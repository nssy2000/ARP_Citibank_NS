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comments/comment4.xml" ContentType="application/vnd.openxmlformats-officedocument.spreadsheetml.comments+xml"/>
  <Override PartName="/xl/worksheets/sheet6.xml" ContentType="application/vnd.openxmlformats-officedocument.spreadsheetml.worksheet+xml"/>
  <Override PartName="/xl/drawings/drawing4.xml" ContentType="application/vnd.openxmlformats-officedocument.drawing+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drawings/drawing5.xml" ContentType="application/vnd.openxmlformats-officedocument.drawing+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18.xml" ContentType="application/vnd.openxmlformats-officedocument.spreadsheetml.worksheet+xml"/>
  <Override PartName="/xl/drawings/drawing6.xml" ContentType="application/vnd.openxmlformats-officedocument.drawing+xml"/>
  <Override PartName="/xl/worksheets/sheet19.xml" ContentType="application/vnd.openxmlformats-officedocument.spreadsheetml.worksheet+xml"/>
  <Override PartName="/xl/drawings/drawing7.xml" ContentType="application/vnd.openxmlformats-officedocument.drawing+xml"/>
  <Override PartName="/xl/worksheets/sheet20.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21.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6000" windowHeight="22600" tabRatio="500" firstSheet="7" activeTab="7" autoFilterDateGrouping="1"/>
  </bookViews>
  <sheets>
    <sheet xmlns:r="http://schemas.openxmlformats.org/officeDocument/2006/relationships" name="Start_Here" sheetId="1" state="visible" r:id="rId1"/>
    <sheet xmlns:r="http://schemas.openxmlformats.org/officeDocument/2006/relationships" name="Results_Summary" sheetId="2" state="visible" r:id="rId2"/>
    <sheet xmlns:r="http://schemas.openxmlformats.org/officeDocument/2006/relationships" name="Charts_Corrected" sheetId="3" state="visible" r:id="rId3"/>
    <sheet xmlns:r="http://schemas.openxmlformats.org/officeDocument/2006/relationships" name="Trader_View" sheetId="4" state="visible" r:id="rId4"/>
    <sheet xmlns:r="http://schemas.openxmlformats.org/officeDocument/2006/relationships" name="Efficiency_Corrected" sheetId="5" state="visible" r:id="rId5"/>
    <sheet xmlns:r="http://schemas.openxmlformats.org/officeDocument/2006/relationships" name="Confusion_Matrices" sheetId="6" state="visible" r:id="rId6"/>
    <sheet xmlns:r="http://schemas.openxmlformats.org/officeDocument/2006/relationships" name="Item_C_Ablation" sheetId="7" state="visible" r:id="rId7"/>
    <sheet xmlns:r="http://schemas.openxmlformats.org/officeDocument/2006/relationships" name="Walk_Forward" sheetId="8" state="visible" r:id="rId8"/>
    <sheet xmlns:r="http://schemas.openxmlformats.org/officeDocument/2006/relationships" name="Accuracy_Conventions" sheetId="9" state="visible" r:id="rId9"/>
    <sheet xmlns:r="http://schemas.openxmlformats.org/officeDocument/2006/relationships" name="Sector_Breakdown" sheetId="10" state="visible" r:id="rId10"/>
    <sheet xmlns:r="http://schemas.openxmlformats.org/officeDocument/2006/relationships" name="Corrected_Metrics" sheetId="11" state="visible" r:id="rId11"/>
    <sheet xmlns:r="http://schemas.openxmlformats.org/officeDocument/2006/relationships" name="Human_Data_Entry" sheetId="12" state="visible" r:id="rId12"/>
    <sheet xmlns:r="http://schemas.openxmlformats.org/officeDocument/2006/relationships" name="LLM_Data_Entry" sheetId="13" state="visible" r:id="rId13"/>
    <sheet xmlns:r="http://schemas.openxmlformats.org/officeDocument/2006/relationships" name="Human_Provenance" sheetId="14" state="visible" r:id="rId14"/>
    <sheet xmlns:r="http://schemas.openxmlformats.org/officeDocument/2006/relationships" name="Human_Protocol" sheetId="15" state="visible" r:id="rId15"/>
    <sheet xmlns:r="http://schemas.openxmlformats.org/officeDocument/2006/relationships" name="LLM_Provenance" sheetId="16" state="visible" r:id="rId16"/>
    <sheet xmlns:r="http://schemas.openxmlformats.org/officeDocument/2006/relationships" name="Summary" sheetId="17" state="visible" r:id="rId17"/>
    <sheet xmlns:r="http://schemas.openxmlformats.org/officeDocument/2006/relationships" name="Charts" sheetId="18" state="visible" r:id="rId18"/>
    <sheet xmlns:r="http://schemas.openxmlformats.org/officeDocument/2006/relationships" name="Efficiency" sheetId="19" state="visible" r:id="rId19"/>
    <sheet xmlns:r="http://schemas.openxmlformats.org/officeDocument/2006/relationships" name="Company_List" sheetId="20" state="visible" r:id="rId20"/>
    <sheet xmlns:r="http://schemas.openxmlformats.org/officeDocument/2006/relationships" name="Settings" sheetId="21" state="visible" r:id="rId21"/>
  </sheets>
  <definedNames>
    <definedName name="CompanyList">Company_List!$A$3:$A$207</definedName>
    <definedName name="DecisionList">Settings!$D$8:$D$10</definedName>
    <definedName name="DocumentList">Settings!$I$8:$I$12</definedName>
    <definedName name="QuarterList">Settings!$G$8:$G$12</definedName>
    <definedName name="RaterList">Settings!$A$8:$A$14</definedName>
    <definedName name="SectionList">Settings!$H$8:$H$11</definedName>
    <definedName name="TickerList">Company_List!$B$3:$B$207</definedName>
    <definedName name="YearList">Settings!$F$8:$F$14</definedName>
    <definedName name="_xlnm._FilterDatabase" localSheetId="13" hidden="1">'Human_Provenance'!$A$4:$T$424</definedName>
    <definedName name="_xlnm._FilterDatabase" localSheetId="14" hidden="1">'Human_Protocol'!$A$4:$X$424</definedName>
    <definedName name="_xlnm._FilterDatabase" localSheetId="15" hidden="1">'LLM_Provenance'!$A$4:$V$365</definedName>
  </definedNames>
  <calcPr calcId="191028" fullCalcOnLoad="1" iterateDelta="0.0001"/>
</workbook>
</file>

<file path=xl/styles.xml><?xml version="1.0" encoding="utf-8"?>
<styleSheet xmlns="http://schemas.openxmlformats.org/spreadsheetml/2006/main">
  <numFmts count="12">
    <numFmt numFmtId="164" formatCode="0.0%"/>
    <numFmt numFmtId="165" formatCode="\$#,##0.00"/>
    <numFmt numFmtId="166" formatCode="\$#,##0"/>
    <numFmt numFmtId="167" formatCode="\$#,##0.000000"/>
    <numFmt numFmtId="168" formatCode="0.0"/>
    <numFmt numFmtId="169" formatCode="0.0&quot;x&quot;"/>
    <numFmt numFmtId="170" formatCode="\$#,##0.0000"/>
    <numFmt numFmtId="171" formatCode="dd/mm/yy;@"/>
    <numFmt numFmtId="172" formatCode="\$0.000000"/>
    <numFmt numFmtId="173" formatCode="0.000"/>
    <numFmt numFmtId="174" formatCode="0.0000"/>
    <numFmt numFmtId="175" formatCode="\$0.000"/>
  </numFmts>
  <fonts count="28">
    <font>
      <name val="Calibri"/>
      <charset val="1"/>
      <family val="2"/>
      <color theme="1"/>
      <sz val="11"/>
    </font>
    <font>
      <name val="Arial"/>
      <family val="2"/>
      <i val="1"/>
      <color rgb="FFE74C3C"/>
      <sz val="8"/>
    </font>
    <font>
      <name val="Calibri"/>
      <charset val="1"/>
      <family val="2"/>
      <b val="1"/>
      <color theme="1"/>
      <sz val="11"/>
    </font>
    <font>
      <name val="Calibri"/>
      <family val="2"/>
      <b val="1"/>
      <color rgb="FF000000"/>
      <sz val="12"/>
    </font>
    <font>
      <name val="Calibri"/>
      <family val="2"/>
      <b val="1"/>
      <color rgb="FFFFFFFF"/>
      <sz val="10"/>
    </font>
    <font>
      <name val="Calibri"/>
      <family val="2"/>
      <color rgb="FF000000"/>
      <sz val="10"/>
    </font>
    <font>
      <name val="Calibri"/>
      <family val="2"/>
      <b val="1"/>
      <color rgb="FF000000"/>
      <sz val="10"/>
    </font>
    <font>
      <name val="Calibri"/>
      <family val="2"/>
      <i val="1"/>
      <color rgb="FF595959"/>
      <sz val="9"/>
    </font>
    <font>
      <name val="Calibri"/>
      <family val="2"/>
      <b val="1"/>
      <color rgb="FF000000"/>
      <sz val="13"/>
    </font>
    <font>
      <name val="Calibri"/>
      <family val="2"/>
      <color rgb="FFFF0000"/>
      <sz val="12"/>
      <scheme val="minor"/>
    </font>
    <font>
      <name val="Calibri"/>
      <family val="2"/>
      <color theme="0"/>
      <sz val="18"/>
      <scheme val="minor"/>
    </font>
    <font>
      <name val="Calibri"/>
      <charset val="1"/>
      <family val="2"/>
      <color rgb="FF000000"/>
      <sz val="10"/>
    </font>
    <font>
      <name val="Calibri"/>
      <family val="2"/>
      <i val="1"/>
      <color theme="1"/>
      <sz val="11"/>
    </font>
    <font>
      <name val="Calibri"/>
      <family val="2"/>
      <b val="1"/>
      <color theme="1"/>
      <sz val="11"/>
    </font>
    <font>
      <name val="Calibri"/>
      <charset val="1"/>
      <family val="2"/>
      <b val="1"/>
      <color theme="1"/>
      <sz val="10"/>
    </font>
    <font>
      <name val="Calibri"/>
      <family val="2"/>
      <b val="1"/>
      <color theme="1"/>
      <sz val="10"/>
    </font>
    <font>
      <name val="Calibri"/>
      <charset val="1"/>
      <family val="2"/>
      <b val="1"/>
      <color rgb="FF000000"/>
      <sz val="10"/>
    </font>
    <font>
      <name val="Calibri"/>
      <family val="2"/>
      <b val="1"/>
      <sz val="11"/>
    </font>
    <font>
      <name val="Calibri"/>
      <family val="2"/>
      <i val="1"/>
      <sz val="11"/>
    </font>
    <font>
      <name val="Calibri"/>
      <family val="2"/>
      <b val="1"/>
      <i val="1"/>
      <sz val="11"/>
    </font>
    <font>
      <name val="Calibri"/>
      <family val="2"/>
      <b val="1"/>
      <color rgb="FF013B70"/>
      <sz val="14"/>
    </font>
    <font>
      <name val="Calibri"/>
      <family val="2"/>
      <b val="1"/>
      <color rgb="FFFFFFFF"/>
      <sz val="11"/>
    </font>
    <font>
      <name val="Calibri"/>
      <family val="2"/>
      <sz val="11"/>
    </font>
    <font>
      <name val="Calibri"/>
      <family val="2"/>
      <b val="1"/>
      <color rgb="FF013B70"/>
      <sz val="11"/>
    </font>
    <font>
      <name val="Calibri"/>
      <family val="2"/>
      <b val="1"/>
      <color rgb="FF013B70"/>
      <sz val="18"/>
    </font>
    <font>
      <name val="Calibri"/>
      <family val="2"/>
      <color rgb="FF008000"/>
      <sz val="11"/>
    </font>
    <font>
      <name val="Tahoma"/>
      <family val="2"/>
      <color rgb="FF000000"/>
      <sz val="10"/>
    </font>
    <font>
      <name val="Tahoma"/>
      <family val="2"/>
      <b val="1"/>
      <color rgb="FF000000"/>
      <sz val="10"/>
    </font>
  </fonts>
  <fills count="23">
    <fill>
      <patternFill/>
    </fill>
    <fill>
      <patternFill patternType="gray125"/>
    </fill>
    <fill>
      <patternFill patternType="solid">
        <fgColor rgb="FFEBF5FB"/>
        <bgColor rgb="FFE8F8F5"/>
      </patternFill>
    </fill>
    <fill>
      <patternFill patternType="solid">
        <fgColor rgb="FFE8F8F5"/>
        <bgColor rgb="FFEBF5FB"/>
      </patternFill>
    </fill>
    <fill>
      <patternFill patternType="solid">
        <fgColor rgb="FFF2F3F4"/>
        <bgColor rgb="FFEBF5FB"/>
      </patternFill>
    </fill>
    <fill>
      <patternFill patternType="solid">
        <fgColor rgb="FFFDFEFE"/>
        <bgColor rgb="FFFFFFFF"/>
      </patternFill>
    </fill>
    <fill>
      <patternFill patternType="solid">
        <fgColor rgb="FFFEF9E7"/>
        <bgColor rgb="FFFDFEFE"/>
      </patternFill>
    </fill>
    <fill>
      <patternFill patternType="solid">
        <fgColor rgb="FFE8F8F5"/>
        <bgColor indexed="64"/>
      </patternFill>
    </fill>
    <fill>
      <patternFill patternType="solid">
        <fgColor rgb="FFEBF5FB"/>
        <bgColor indexed="64"/>
      </patternFill>
    </fill>
    <fill>
      <patternFill patternType="solid">
        <fgColor rgb="FFF2F2F2"/>
      </patternFill>
    </fill>
    <fill>
      <patternFill patternType="solid">
        <fgColor rgb="FF404040"/>
      </patternFill>
    </fill>
    <fill>
      <patternFill patternType="solid">
        <fgColor rgb="FFE2EFDA"/>
      </patternFill>
    </fill>
    <fill>
      <patternFill patternType="solid">
        <fgColor rgb="FFFFF2CC"/>
      </patternFill>
    </fill>
    <fill>
      <patternFill patternType="solid">
        <fgColor rgb="FFFF0000"/>
        <bgColor indexed="64"/>
      </patternFill>
    </fill>
    <fill>
      <patternFill patternType="solid">
        <fgColor theme="3" tint="0.7999816888943144"/>
        <bgColor indexed="64"/>
      </patternFill>
    </fill>
    <fill>
      <patternFill patternType="solid">
        <fgColor rgb="FFFFFFC0"/>
      </patternFill>
    </fill>
    <fill>
      <patternFill patternType="solid">
        <fgColor rgb="FFD9D9D9"/>
      </patternFill>
    </fill>
    <fill>
      <patternFill patternType="solid">
        <fgColor rgb="FFDDEBF7"/>
        <bgColor rgb="FFDDEBF7"/>
      </patternFill>
    </fill>
    <fill>
      <patternFill patternType="solid">
        <fgColor rgb="FFFFCCCC"/>
        <bgColor rgb="FFFFCCCC"/>
      </patternFill>
    </fill>
    <fill>
      <patternFill patternType="solid">
        <fgColor rgb="FFFFF3CD"/>
        <bgColor rgb="FFFFF3CD"/>
      </patternFill>
    </fill>
    <fill>
      <patternFill patternType="solid">
        <fgColor rgb="FFFFFACD"/>
        <bgColor rgb="FFFFFACD"/>
      </patternFill>
    </fill>
    <fill>
      <patternFill patternType="solid">
        <fgColor rgb="FFE8F5E9"/>
        <bgColor rgb="FFE8F5E9"/>
      </patternFill>
    </fill>
    <fill>
      <patternFill patternType="solid">
        <fgColor rgb="FFF7F9FB"/>
      </patternFill>
    </fill>
  </fills>
  <borders count="8">
    <border>
      <left/>
      <right/>
      <top/>
      <bottom/>
      <diagonal/>
    </border>
    <border>
      <left style="hair">
        <color rgb="FFD9D9D9"/>
      </left>
      <right style="hair">
        <color rgb="FFD9D9D9"/>
      </right>
      <top style="hair">
        <color rgb="FFD9D9D9"/>
      </top>
      <bottom style="thin">
        <color rgb="FF595959"/>
      </bottom>
      <diagonal/>
    </border>
    <border>
      <left/>
      <right/>
      <top/>
      <bottom style="hair">
        <color rgb="FFD9D9D9"/>
      </bottom>
      <diagonal/>
    </border>
    <border>
      <left style="hair">
        <color rgb="FFD9D9D9"/>
      </left>
      <right style="hair">
        <color rgb="FFD9D9D9"/>
      </right>
      <top style="hair">
        <color rgb="FFD9D9D9"/>
      </top>
      <bottom style="hair">
        <color rgb="FFD9D9D9"/>
      </bottom>
      <diagonal/>
    </border>
    <border>
      <left/>
      <right/>
      <top/>
      <bottom style="thin">
        <color rgb="FF595959"/>
      </bottom>
      <diagonal/>
    </border>
    <border>
      <left/>
      <right/>
      <top/>
      <bottom style="thin">
        <color theme="1"/>
      </bottom>
      <diagonal/>
    </border>
    <border>
      <left/>
      <right/>
      <top/>
      <bottom style="medium">
        <color rgb="FF013B70"/>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9" fillId="0" borderId="0"/>
  </cellStyleXfs>
  <cellXfs count="250">
    <xf numFmtId="0" fontId="0" fillId="0" borderId="0" pivotButton="0" quotePrefix="0" xfId="0"/>
    <xf numFmtId="0" fontId="2" fillId="0" borderId="0" pivotButton="0" quotePrefix="0" xfId="0"/>
    <xf numFmtId="0" fontId="0" fillId="0" borderId="0" applyAlignment="1" pivotButton="0" quotePrefix="0" xfId="0">
      <alignment horizontal="center"/>
    </xf>
    <xf numFmtId="0" fontId="1" fillId="0" borderId="0" pivotButton="0" quotePrefix="0" xfId="0"/>
    <xf numFmtId="10" fontId="0" fillId="0" borderId="0" applyAlignment="1" pivotButton="0" quotePrefix="0" xfId="0">
      <alignment horizontal="center"/>
    </xf>
    <xf numFmtId="9" fontId="0" fillId="0" borderId="0" applyAlignment="1" pivotButton="0" quotePrefix="0" xfId="0">
      <alignment horizontal="center"/>
    </xf>
    <xf numFmtId="9" fontId="0" fillId="0" borderId="0" applyAlignment="1" pivotButton="0" quotePrefix="0" xfId="0">
      <alignment horizontal="left"/>
    </xf>
    <xf numFmtId="0" fontId="0" fillId="0" borderId="0" applyAlignment="1" pivotButton="0" quotePrefix="0" xfId="0">
      <alignment horizontal="left"/>
    </xf>
    <xf numFmtId="0" fontId="8" fillId="0" borderId="0" applyAlignment="1" pivotButton="0" quotePrefix="0" xfId="0">
      <alignment horizontal="center" vertical="center" wrapText="1"/>
    </xf>
    <xf numFmtId="0" fontId="6" fillId="0" borderId="0" pivotButton="0" quotePrefix="0" xfId="0"/>
    <xf numFmtId="0" fontId="6" fillId="6" borderId="0" pivotButton="0" quotePrefix="0" xfId="0"/>
    <xf numFmtId="0" fontId="3" fillId="0" borderId="0" applyAlignment="1" pivotButton="0" quotePrefix="0" xfId="0">
      <alignment horizontal="center"/>
    </xf>
    <xf numFmtId="0" fontId="3" fillId="0" borderId="0" applyAlignment="1" pivotButton="0" quotePrefix="0" xfId="0">
      <alignment horizontal="center" vertical="center" wrapText="1"/>
    </xf>
    <xf numFmtId="0" fontId="7" fillId="0" borderId="0" applyAlignment="1" pivotButton="0" quotePrefix="0" xfId="0">
      <alignment horizontal="left" vertical="center" wrapText="1"/>
    </xf>
    <xf numFmtId="2" fontId="0" fillId="0" borderId="0" pivotButton="0" quotePrefix="0" xfId="0"/>
    <xf numFmtId="0" fontId="4" fillId="10" borderId="4" applyAlignment="1" pivotButton="0" quotePrefix="0" xfId="0">
      <alignment horizontal="center" vertical="center" wrapText="1"/>
    </xf>
    <xf numFmtId="0" fontId="5" fillId="0" borderId="2" applyAlignment="1" pivotButton="0" quotePrefix="0" xfId="0">
      <alignment horizontal="left" vertical="center"/>
    </xf>
    <xf numFmtId="0" fontId="5" fillId="0" borderId="2" applyAlignment="1" pivotButton="0" quotePrefix="0" xfId="0">
      <alignment horizontal="center" vertical="center"/>
    </xf>
    <xf numFmtId="1" fontId="5" fillId="0" borderId="2" applyAlignment="1" pivotButton="0" quotePrefix="0" xfId="0">
      <alignment horizontal="center" vertical="center"/>
    </xf>
    <xf numFmtId="0" fontId="5" fillId="8" borderId="2" applyAlignment="1" pivotButton="0" quotePrefix="0" xfId="0">
      <alignment horizontal="left" vertical="center"/>
    </xf>
    <xf numFmtId="0" fontId="5" fillId="2" borderId="2" applyAlignment="1" pivotButton="0" quotePrefix="0" xfId="0">
      <alignment horizontal="left" vertical="center"/>
    </xf>
    <xf numFmtId="1" fontId="5" fillId="8" borderId="2" applyAlignment="1" pivotButton="0" quotePrefix="0" xfId="0">
      <alignment horizontal="center" vertical="center"/>
    </xf>
    <xf numFmtId="1" fontId="5" fillId="2" borderId="2" applyAlignment="1" pivotButton="0" quotePrefix="0" xfId="0">
      <alignment horizontal="center" vertical="center"/>
    </xf>
    <xf numFmtId="164" fontId="5" fillId="2" borderId="2" applyAlignment="1" pivotButton="0" quotePrefix="0" xfId="0">
      <alignment horizontal="center" vertical="center"/>
    </xf>
    <xf numFmtId="164" fontId="5" fillId="8" borderId="2" applyAlignment="1" pivotButton="0" quotePrefix="0" xfId="0">
      <alignment horizontal="center" vertical="center"/>
    </xf>
    <xf numFmtId="0" fontId="5" fillId="7" borderId="4" applyAlignment="1" pivotButton="0" quotePrefix="0" xfId="0">
      <alignment horizontal="left" vertical="center"/>
    </xf>
    <xf numFmtId="0" fontId="5" fillId="3" borderId="4" applyAlignment="1" pivotButton="0" quotePrefix="0" xfId="0">
      <alignment horizontal="left" vertical="center"/>
    </xf>
    <xf numFmtId="1" fontId="5" fillId="3" borderId="4" applyAlignment="1" pivotButton="0" quotePrefix="0" xfId="0">
      <alignment horizontal="center" vertical="center"/>
    </xf>
    <xf numFmtId="164" fontId="5" fillId="3" borderId="4" applyAlignment="1" pivotButton="0" quotePrefix="0" xfId="0">
      <alignment horizontal="center" vertical="center"/>
    </xf>
    <xf numFmtId="0" fontId="5" fillId="0" borderId="4" applyAlignment="1" pivotButton="0" quotePrefix="0" xfId="0">
      <alignment horizontal="center" vertical="center"/>
    </xf>
    <xf numFmtId="164" fontId="5" fillId="8" borderId="4" applyAlignment="1" pivotButton="0" quotePrefix="0" xfId="0">
      <alignment horizontal="center" vertical="center"/>
    </xf>
    <xf numFmtId="164" fontId="5" fillId="7" borderId="4" applyAlignment="1" pivotButton="0" quotePrefix="0" xfId="0">
      <alignment horizontal="center" vertical="center"/>
    </xf>
    <xf numFmtId="1" fontId="5" fillId="8" borderId="4" applyAlignment="1" pivotButton="0" quotePrefix="0" xfId="0">
      <alignment horizontal="center" vertical="center"/>
    </xf>
    <xf numFmtId="0" fontId="6" fillId="9" borderId="2" applyAlignment="1" pivotButton="0" quotePrefix="0" xfId="0">
      <alignment horizontal="left" vertical="center"/>
    </xf>
    <xf numFmtId="1" fontId="6" fillId="9" borderId="2" applyAlignment="1" pivotButton="0" quotePrefix="0" xfId="0">
      <alignment horizontal="center" vertical="center"/>
    </xf>
    <xf numFmtId="164" fontId="6" fillId="9" borderId="2" applyAlignment="1" pivotButton="0" quotePrefix="0" xfId="0">
      <alignment horizontal="center" vertical="center"/>
    </xf>
    <xf numFmtId="0" fontId="6" fillId="9" borderId="2" applyAlignment="1" pivotButton="0" quotePrefix="0" xfId="0">
      <alignment horizontal="center" vertical="center"/>
    </xf>
    <xf numFmtId="0" fontId="6" fillId="9" borderId="4" applyAlignment="1" pivotButton="0" quotePrefix="0" xfId="0">
      <alignment horizontal="left" vertical="center"/>
    </xf>
    <xf numFmtId="1" fontId="6" fillId="9" borderId="4" applyAlignment="1" pivotButton="0" quotePrefix="0" xfId="0">
      <alignment horizontal="center" vertical="center"/>
    </xf>
    <xf numFmtId="164" fontId="6" fillId="9" borderId="4" applyAlignment="1" pivotButton="0" quotePrefix="0" xfId="0">
      <alignment horizontal="center" vertical="center"/>
    </xf>
    <xf numFmtId="0" fontId="6" fillId="9" borderId="4" applyAlignment="1" pivotButton="0" quotePrefix="0" xfId="0">
      <alignment horizontal="center" vertical="center"/>
    </xf>
    <xf numFmtId="0" fontId="5" fillId="4" borderId="2" applyAlignment="1" pivotButton="0" quotePrefix="0" xfId="0">
      <alignment horizontal="left" vertical="center"/>
    </xf>
    <xf numFmtId="164" fontId="5" fillId="4" borderId="2" applyAlignment="1" pivotButton="0" quotePrefix="0" xfId="0">
      <alignment horizontal="center" vertical="center"/>
    </xf>
    <xf numFmtId="0" fontId="5" fillId="5" borderId="2" applyAlignment="1" pivotButton="0" quotePrefix="0" xfId="0">
      <alignment horizontal="left" vertical="center"/>
    </xf>
    <xf numFmtId="164" fontId="5" fillId="5" borderId="2" applyAlignment="1" pivotButton="0" quotePrefix="0" xfId="0">
      <alignment horizontal="center" vertical="center"/>
    </xf>
    <xf numFmtId="1" fontId="6" fillId="9" borderId="1" applyAlignment="1" pivotButton="0" quotePrefix="0" xfId="0">
      <alignment horizontal="center" vertical="center"/>
    </xf>
    <xf numFmtId="164" fontId="6" fillId="9" borderId="1" applyAlignment="1" pivotButton="0" quotePrefix="0" xfId="0">
      <alignment horizontal="center" vertical="center"/>
    </xf>
    <xf numFmtId="0" fontId="8" fillId="0" borderId="0" pivotButton="0" quotePrefix="0" xfId="0"/>
    <xf numFmtId="0" fontId="5" fillId="0" borderId="2" pivotButton="0" quotePrefix="0" xfId="0"/>
    <xf numFmtId="0" fontId="5" fillId="0" borderId="2" applyAlignment="1" pivotButton="0" quotePrefix="0" xfId="0">
      <alignment horizontal="center"/>
    </xf>
    <xf numFmtId="164" fontId="5" fillId="0" borderId="2" applyAlignment="1" pivotButton="0" quotePrefix="0" xfId="0">
      <alignment horizontal="center"/>
    </xf>
    <xf numFmtId="164" fontId="5" fillId="0" borderId="2" pivotButton="0" quotePrefix="0" xfId="0"/>
    <xf numFmtId="2" fontId="5" fillId="0" borderId="2" applyAlignment="1" pivotButton="0" quotePrefix="0" xfId="0">
      <alignment horizontal="center"/>
    </xf>
    <xf numFmtId="10" fontId="5" fillId="0" borderId="2" applyAlignment="1" pivotButton="0" quotePrefix="0" xfId="0">
      <alignment horizontal="center"/>
    </xf>
    <xf numFmtId="0" fontId="4" fillId="10" borderId="4" applyAlignment="1" pivotButton="0" quotePrefix="0" xfId="0">
      <alignment horizontal="center" vertical="center"/>
    </xf>
    <xf numFmtId="0" fontId="5" fillId="0" borderId="0" pivotButton="0" quotePrefix="0" xfId="0"/>
    <xf numFmtId="165" fontId="6" fillId="12" borderId="3" applyAlignment="1" pivotButton="0" quotePrefix="0" xfId="0">
      <alignment horizontal="center"/>
    </xf>
    <xf numFmtId="0" fontId="7" fillId="0" borderId="0" applyAlignment="1" pivotButton="0" quotePrefix="0" xfId="0">
      <alignment horizontal="left" vertical="top" wrapText="1"/>
    </xf>
    <xf numFmtId="166" fontId="6" fillId="12" borderId="3" applyAlignment="1" pivotButton="0" quotePrefix="0" xfId="0">
      <alignment horizontal="center"/>
    </xf>
    <xf numFmtId="167" fontId="6" fillId="12" borderId="3" applyAlignment="1" pivotButton="0" quotePrefix="0" xfId="0">
      <alignment horizontal="center"/>
    </xf>
    <xf numFmtId="1" fontId="6" fillId="12" borderId="3" applyAlignment="1" pivotButton="0" quotePrefix="0" xfId="0">
      <alignment horizontal="center"/>
    </xf>
    <xf numFmtId="168" fontId="5" fillId="0" borderId="2" applyAlignment="1" pivotButton="0" quotePrefix="0" xfId="0">
      <alignment horizontal="center"/>
    </xf>
    <xf numFmtId="1" fontId="5" fillId="0" borderId="2" applyAlignment="1" pivotButton="0" quotePrefix="0" xfId="0">
      <alignment horizontal="center"/>
    </xf>
    <xf numFmtId="169" fontId="5" fillId="0" borderId="2" applyAlignment="1" pivotButton="0" quotePrefix="0" xfId="0">
      <alignment horizontal="center"/>
    </xf>
    <xf numFmtId="165" fontId="5" fillId="0" borderId="2" applyAlignment="1" pivotButton="0" quotePrefix="0" xfId="0">
      <alignment horizontal="center"/>
    </xf>
    <xf numFmtId="170" fontId="5" fillId="0" borderId="2" applyAlignment="1" pivotButton="0" quotePrefix="0" xfId="0">
      <alignment horizontal="center"/>
    </xf>
    <xf numFmtId="166" fontId="5" fillId="0" borderId="2" applyAlignment="1" pivotButton="0" quotePrefix="0" xfId="0">
      <alignment horizontal="center"/>
    </xf>
    <xf numFmtId="164" fontId="6" fillId="9" borderId="1" applyAlignment="1" pivotButton="0" quotePrefix="0" xfId="0">
      <alignment horizontal="center"/>
    </xf>
    <xf numFmtId="0" fontId="5" fillId="0" borderId="2" applyAlignment="1" pivotButton="0" quotePrefix="0" xfId="0">
      <alignment horizontal="left" vertical="top" wrapText="1"/>
    </xf>
    <xf numFmtId="0" fontId="5" fillId="0" borderId="0" applyAlignment="1" pivotButton="0" quotePrefix="0" xfId="0">
      <alignment horizontal="left" vertical="top" wrapText="1"/>
    </xf>
    <xf numFmtId="1" fontId="6" fillId="0" borderId="3" applyAlignment="1" pivotButton="0" quotePrefix="0" xfId="0">
      <alignment horizontal="center"/>
    </xf>
    <xf numFmtId="168" fontId="5" fillId="0" borderId="3" applyAlignment="1" pivotButton="0" quotePrefix="0" xfId="0">
      <alignment horizontal="center" vertical="center"/>
    </xf>
    <xf numFmtId="1" fontId="5" fillId="0" borderId="3" applyAlignment="1" pivotButton="0" quotePrefix="0" xfId="0">
      <alignment horizontal="center" vertical="center"/>
    </xf>
    <xf numFmtId="0" fontId="5" fillId="14" borderId="0" applyAlignment="1" pivotButton="0" quotePrefix="0" xfId="0">
      <alignment horizontal="center"/>
    </xf>
    <xf numFmtId="0" fontId="0" fillId="14" borderId="0" pivotButton="0" quotePrefix="0" xfId="0"/>
    <xf numFmtId="0" fontId="12" fillId="0" borderId="0" pivotButton="0" quotePrefix="0" xfId="0"/>
    <xf numFmtId="0" fontId="13" fillId="0" borderId="0" applyAlignment="1" pivotButton="0" quotePrefix="0" xfId="0">
      <alignment horizontal="center"/>
    </xf>
    <xf numFmtId="0" fontId="13" fillId="0" borderId="0" pivotButton="0" quotePrefix="0" xfId="0"/>
    <xf numFmtId="0" fontId="5" fillId="0" borderId="0" applyAlignment="1" pivotButton="0" quotePrefix="0" xfId="0">
      <alignment horizontal="left" vertical="center"/>
    </xf>
    <xf numFmtId="0" fontId="4" fillId="10" borderId="0" applyAlignment="1" pivotButton="0" quotePrefix="0" xfId="0">
      <alignment horizontal="center" vertical="center"/>
    </xf>
    <xf numFmtId="0" fontId="5" fillId="0" borderId="0" applyAlignment="1" pivotButton="0" quotePrefix="0" xfId="0">
      <alignment horizontal="center" vertical="center"/>
    </xf>
    <xf numFmtId="0" fontId="11" fillId="0" borderId="0" applyAlignment="1" pivotButton="0" quotePrefix="0" xfId="0">
      <alignment horizontal="left" vertical="center"/>
    </xf>
    <xf numFmtId="0" fontId="11" fillId="4" borderId="0" applyAlignment="1" pivotButton="0" quotePrefix="0" xfId="0">
      <alignment horizontal="left" vertical="center"/>
    </xf>
    <xf numFmtId="164" fontId="11" fillId="5" borderId="2" applyAlignment="1" pivotButton="0" quotePrefix="0" xfId="0">
      <alignment horizontal="center" vertical="center"/>
    </xf>
    <xf numFmtId="0" fontId="11" fillId="0" borderId="5" applyAlignment="1" pivotButton="0" quotePrefix="0" xfId="0">
      <alignment horizontal="center" vertical="center"/>
    </xf>
    <xf numFmtId="1" fontId="11" fillId="0" borderId="5" applyAlignment="1" pivotButton="0" quotePrefix="0" xfId="0">
      <alignment horizontal="center" vertical="center"/>
    </xf>
    <xf numFmtId="171" fontId="0" fillId="0" borderId="0" pivotButton="0" quotePrefix="0" xfId="0"/>
    <xf numFmtId="171" fontId="0" fillId="0" borderId="0" applyAlignment="1" pivotButton="0" quotePrefix="0" xfId="0">
      <alignment horizontal="center" vertical="center"/>
    </xf>
    <xf numFmtId="0" fontId="13"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right" vertical="center"/>
    </xf>
    <xf numFmtId="2" fontId="0" fillId="0" borderId="0" applyAlignment="1" pivotButton="0" quotePrefix="0" xfId="0">
      <alignment horizontal="right" vertical="center"/>
    </xf>
    <xf numFmtId="10" fontId="11" fillId="0" borderId="0" applyAlignment="1" pivotButton="0" quotePrefix="0" xfId="0">
      <alignment horizontal="center" vertical="center"/>
    </xf>
    <xf numFmtId="10" fontId="11" fillId="0" borderId="5" applyAlignment="1" pivotButton="0" quotePrefix="0" xfId="0">
      <alignment horizontal="center" vertical="center"/>
    </xf>
    <xf numFmtId="0" fontId="17" fillId="0" borderId="0" pivotButton="0" quotePrefix="0" xfId="0"/>
    <xf numFmtId="0" fontId="18" fillId="0" borderId="0" pivotButton="0" quotePrefix="0" xfId="0"/>
    <xf numFmtId="0" fontId="17" fillId="16" borderId="0" pivotButton="0" quotePrefix="0" xfId="0"/>
    <xf numFmtId="0" fontId="19" fillId="17" borderId="0" pivotButton="0" quotePrefix="0" xfId="0"/>
    <xf numFmtId="0" fontId="0" fillId="21" borderId="0" pivotButton="0" quotePrefix="0" xfId="0"/>
    <xf numFmtId="0" fontId="0" fillId="0" borderId="0" applyAlignment="1" pivotButton="0" quotePrefix="0" xfId="0">
      <alignment vertical="top" wrapText="1"/>
    </xf>
    <xf numFmtId="0" fontId="20" fillId="0" borderId="0" pivotButton="0" quotePrefix="0" xfId="0"/>
    <xf numFmtId="0" fontId="22" fillId="0" borderId="0" pivotButton="0" quotePrefix="0" xfId="0"/>
    <xf numFmtId="1" fontId="22" fillId="0" borderId="0" pivotButton="0" quotePrefix="0" xfId="0"/>
    <xf numFmtId="2" fontId="22" fillId="0" borderId="0" pivotButton="0" quotePrefix="0" xfId="0"/>
    <xf numFmtId="172" fontId="22" fillId="0" borderId="0" pivotButton="0" quotePrefix="0" xfId="0"/>
    <xf numFmtId="0" fontId="23" fillId="0" borderId="6" pivotButton="0" quotePrefix="0" xfId="0"/>
    <xf numFmtId="0" fontId="0" fillId="0" borderId="6" pivotButton="0" quotePrefix="0" xfId="0"/>
    <xf numFmtId="0" fontId="24" fillId="0" borderId="0" pivotButton="0" quotePrefix="0" xfId="0"/>
    <xf numFmtId="0" fontId="23" fillId="0" borderId="0" applyAlignment="1" pivotButton="0" quotePrefix="0" xfId="0">
      <alignment vertical="top"/>
    </xf>
    <xf numFmtId="0" fontId="22" fillId="0" borderId="0" applyAlignment="1" pivotButton="0" quotePrefix="0" xfId="0">
      <alignment vertical="top" wrapText="1"/>
    </xf>
    <xf numFmtId="0" fontId="23" fillId="0" borderId="0" pivotButton="0" quotePrefix="0" xfId="0"/>
    <xf numFmtId="173" fontId="0" fillId="0" borderId="0" pivotButton="0" quotePrefix="0" xfId="0"/>
    <xf numFmtId="168" fontId="0" fillId="0" borderId="0" pivotButton="0" quotePrefix="0" xfId="0"/>
    <xf numFmtId="0" fontId="17" fillId="0" borderId="0" applyAlignment="1" pivotButton="0" quotePrefix="0" xfId="0">
      <alignment vertical="top" wrapText="1"/>
    </xf>
    <xf numFmtId="0" fontId="18" fillId="0" borderId="0" applyAlignment="1" pivotButton="0" quotePrefix="0" xfId="0">
      <alignment vertical="top" wrapText="1"/>
    </xf>
    <xf numFmtId="0" fontId="18" fillId="15" borderId="0" applyAlignment="1" pivotButton="0" quotePrefix="0" xfId="0">
      <alignment vertical="top" wrapText="1"/>
    </xf>
    <xf numFmtId="0" fontId="0" fillId="19" borderId="0" applyAlignment="1" pivotButton="0" quotePrefix="0" xfId="0">
      <alignment vertical="top" wrapText="1"/>
    </xf>
    <xf numFmtId="0" fontId="17" fillId="16" borderId="0" applyAlignment="1" pivotButton="0" quotePrefix="0" xfId="0">
      <alignment vertical="top" wrapText="1"/>
    </xf>
    <xf numFmtId="0" fontId="0" fillId="21" borderId="0" applyAlignment="1" pivotButton="0" quotePrefix="0" xfId="0">
      <alignment vertical="top" wrapText="1"/>
    </xf>
    <xf numFmtId="0" fontId="19" fillId="17" borderId="0" applyAlignment="1" pivotButton="0" quotePrefix="0" xfId="0">
      <alignment vertical="top" wrapText="1"/>
    </xf>
    <xf numFmtId="1" fontId="5" fillId="8" borderId="2" applyAlignment="1" pivotButton="0" quotePrefix="0" xfId="0">
      <alignment vertical="top" wrapText="1"/>
    </xf>
    <xf numFmtId="164" fontId="5" fillId="8" borderId="2" applyAlignment="1" pivotButton="0" quotePrefix="0" xfId="0">
      <alignment vertical="top" wrapText="1"/>
    </xf>
    <xf numFmtId="1" fontId="5" fillId="3" borderId="4" applyAlignment="1" pivotButton="0" quotePrefix="0" xfId="0">
      <alignment vertical="top" wrapText="1"/>
    </xf>
    <xf numFmtId="1" fontId="5" fillId="7" borderId="4" applyAlignment="1" pivotButton="0" quotePrefix="0" xfId="0">
      <alignment vertical="top" wrapText="1"/>
    </xf>
    <xf numFmtId="164" fontId="5" fillId="8" borderId="4" applyAlignment="1" pivotButton="0" quotePrefix="0" xfId="0">
      <alignment vertical="top" wrapText="1"/>
    </xf>
    <xf numFmtId="1" fontId="6" fillId="9" borderId="2" applyAlignment="1" pivotButton="0" quotePrefix="0" xfId="0">
      <alignment vertical="top" wrapText="1"/>
    </xf>
    <xf numFmtId="164" fontId="6" fillId="9" borderId="2" applyAlignment="1" pivotButton="0" quotePrefix="0" xfId="0">
      <alignment vertical="top" wrapText="1"/>
    </xf>
    <xf numFmtId="1" fontId="5" fillId="4" borderId="2" applyAlignment="1" pivotButton="0" quotePrefix="0" xfId="0">
      <alignment vertical="top" wrapText="1"/>
    </xf>
    <xf numFmtId="1" fontId="5" fillId="5" borderId="2" applyAlignment="1" pivotButton="0" quotePrefix="0" xfId="0">
      <alignment vertical="top" wrapText="1"/>
    </xf>
    <xf numFmtId="1" fontId="5" fillId="0" borderId="2" applyAlignment="1" pivotButton="0" quotePrefix="0" xfId="0">
      <alignment vertical="top" wrapText="1"/>
    </xf>
    <xf numFmtId="164" fontId="5" fillId="0" borderId="2" applyAlignment="1" pivotButton="0" quotePrefix="0" xfId="0">
      <alignment vertical="top" wrapText="1"/>
    </xf>
    <xf numFmtId="1" fontId="11" fillId="4" borderId="2" applyAlignment="1" pivotButton="0" quotePrefix="0" xfId="0">
      <alignment vertical="top" wrapText="1"/>
    </xf>
    <xf numFmtId="1" fontId="11" fillId="5" borderId="2" applyAlignment="1" pivotButton="0" quotePrefix="0" xfId="0">
      <alignment vertical="top" wrapText="1"/>
    </xf>
    <xf numFmtId="1" fontId="11" fillId="0" borderId="2" applyAlignment="1" pivotButton="0" quotePrefix="0" xfId="0">
      <alignment vertical="top" wrapText="1"/>
    </xf>
    <xf numFmtId="164" fontId="11" fillId="0" borderId="2" applyAlignment="1" pivotButton="0" quotePrefix="0" xfId="0">
      <alignment vertical="top" wrapText="1"/>
    </xf>
    <xf numFmtId="0" fontId="7" fillId="0" borderId="0" applyAlignment="1" pivotButton="0" quotePrefix="0" xfId="0">
      <alignment vertical="top" wrapText="1"/>
    </xf>
    <xf numFmtId="0" fontId="5" fillId="0" borderId="2" applyAlignment="1" pivotButton="0" quotePrefix="0" xfId="0">
      <alignment vertical="top" wrapText="1"/>
    </xf>
    <xf numFmtId="2" fontId="5" fillId="0" borderId="2" applyAlignment="1" pivotButton="0" quotePrefix="0" xfId="0">
      <alignment vertical="top" wrapText="1"/>
    </xf>
    <xf numFmtId="10" fontId="5" fillId="0" borderId="2" applyAlignment="1" pivotButton="0" quotePrefix="0" xfId="0">
      <alignment vertical="top" wrapText="1"/>
    </xf>
    <xf numFmtId="167" fontId="6" fillId="11" borderId="3" applyAlignment="1" pivotButton="0" quotePrefix="0" xfId="0">
      <alignment vertical="top" wrapText="1"/>
    </xf>
    <xf numFmtId="2" fontId="6" fillId="12" borderId="3" applyAlignment="1" pivotButton="0" quotePrefix="0" xfId="0">
      <alignment vertical="top" wrapText="1"/>
    </xf>
    <xf numFmtId="168" fontId="5" fillId="0" borderId="2" applyAlignment="1" pivotButton="0" quotePrefix="0" xfId="0">
      <alignment vertical="top" wrapText="1"/>
    </xf>
    <xf numFmtId="165" fontId="5" fillId="0" borderId="2" applyAlignment="1" pivotButton="0" quotePrefix="0" xfId="0">
      <alignment vertical="top" wrapText="1"/>
    </xf>
    <xf numFmtId="1" fontId="6" fillId="9" borderId="1" applyAlignment="1" pivotButton="0" quotePrefix="0" xfId="0">
      <alignment vertical="top" wrapText="1"/>
    </xf>
    <xf numFmtId="0" fontId="6" fillId="9" borderId="2" applyAlignment="1" pivotButton="0" quotePrefix="0" xfId="0">
      <alignment vertical="top" wrapText="1"/>
    </xf>
    <xf numFmtId="0" fontId="5" fillId="0" borderId="0" applyAlignment="1" pivotButton="0" quotePrefix="0" xfId="0">
      <alignment vertical="top" wrapText="1"/>
    </xf>
    <xf numFmtId="0" fontId="6" fillId="0" borderId="3" applyAlignment="1" pivotButton="0" quotePrefix="0" xfId="0">
      <alignment vertical="top" wrapText="1"/>
    </xf>
    <xf numFmtId="0" fontId="12" fillId="0" borderId="0" applyAlignment="1" pivotButton="0" quotePrefix="0" xfId="0">
      <alignment vertical="top" wrapText="1"/>
    </xf>
    <xf numFmtId="0" fontId="7" fillId="0" borderId="0" pivotButton="0" quotePrefix="0" xfId="0"/>
    <xf numFmtId="0" fontId="21" fillId="10" borderId="7" applyAlignment="1" pivotButton="0" quotePrefix="0" xfId="0">
      <alignment vertical="center" wrapText="1"/>
    </xf>
    <xf numFmtId="0" fontId="22" fillId="0" borderId="7" pivotButton="0" quotePrefix="0" xfId="0"/>
    <xf numFmtId="0" fontId="17" fillId="12" borderId="7" pivotButton="0" quotePrefix="0" xfId="0"/>
    <xf numFmtId="0" fontId="22" fillId="22" borderId="7" pivotButton="0" quotePrefix="0" xfId="0"/>
    <xf numFmtId="0" fontId="22" fillId="22" borderId="7" applyAlignment="1" pivotButton="0" quotePrefix="0" xfId="0">
      <alignment vertical="top" wrapText="1"/>
    </xf>
    <xf numFmtId="3" fontId="17" fillId="12" borderId="7" pivotButton="0" quotePrefix="0" xfId="0"/>
    <xf numFmtId="3" fontId="22" fillId="0" borderId="7" pivotButton="0" quotePrefix="0" xfId="0"/>
    <xf numFmtId="3" fontId="22" fillId="22" borderId="7" pivotButton="0" quotePrefix="0" xfId="0"/>
    <xf numFmtId="0" fontId="22" fillId="0" borderId="7" applyAlignment="1" pivotButton="0" quotePrefix="0" xfId="0">
      <alignment vertical="top" wrapText="1"/>
    </xf>
    <xf numFmtId="174" fontId="22" fillId="0" borderId="7" pivotButton="0" quotePrefix="0" xfId="0"/>
    <xf numFmtId="1" fontId="22" fillId="0" borderId="7" pivotButton="0" quotePrefix="0" xfId="0"/>
    <xf numFmtId="164" fontId="22" fillId="0" borderId="7" pivotButton="0" quotePrefix="0" xfId="0"/>
    <xf numFmtId="1" fontId="22" fillId="22" borderId="7" pivotButton="0" quotePrefix="0" xfId="0"/>
    <xf numFmtId="164" fontId="22" fillId="22" borderId="7" pivotButton="0" quotePrefix="0" xfId="0"/>
    <xf numFmtId="173" fontId="22" fillId="0" borderId="7" pivotButton="0" quotePrefix="0" xfId="0"/>
    <xf numFmtId="175" fontId="22" fillId="0" borderId="7" pivotButton="0" quotePrefix="0" xfId="0"/>
    <xf numFmtId="175" fontId="22" fillId="22" borderId="7" pivotButton="0" quotePrefix="0" xfId="0"/>
    <xf numFmtId="168" fontId="22" fillId="0" borderId="7" pivotButton="0" quotePrefix="0" xfId="0"/>
    <xf numFmtId="168" fontId="22" fillId="22" borderId="7" pivotButton="0" quotePrefix="0" xfId="0"/>
    <xf numFmtId="0" fontId="7" fillId="15" borderId="0" applyAlignment="1" pivotButton="0" quotePrefix="0" xfId="0">
      <alignment vertical="center"/>
    </xf>
    <xf numFmtId="0" fontId="21" fillId="10" borderId="7" applyAlignment="1" pivotButton="0" quotePrefix="0" xfId="0">
      <alignment horizontal="left" vertical="center" wrapText="1"/>
    </xf>
    <xf numFmtId="171" fontId="21" fillId="10" borderId="7" applyAlignment="1" pivotButton="0" quotePrefix="0" xfId="0">
      <alignment horizontal="left" vertical="center" wrapText="1"/>
    </xf>
    <xf numFmtId="2" fontId="21" fillId="10" borderId="7" applyAlignment="1" pivotButton="0" quotePrefix="0" xfId="0">
      <alignment horizontal="left" vertical="center" wrapText="1"/>
    </xf>
    <xf numFmtId="0" fontId="6" fillId="0" borderId="7" applyAlignment="1" pivotButton="0" quotePrefix="0" xfId="0">
      <alignment horizontal="left" vertical="center"/>
    </xf>
    <xf numFmtId="0" fontId="6" fillId="0" borderId="7" applyAlignment="1" pivotButton="0" quotePrefix="0" xfId="0">
      <alignment horizontal="center" vertical="center"/>
    </xf>
    <xf numFmtId="1" fontId="22" fillId="0" borderId="7" applyAlignment="1" pivotButton="0" quotePrefix="0" xfId="0">
      <alignment horizontal="center" vertical="center"/>
    </xf>
    <xf numFmtId="0" fontId="22" fillId="0" borderId="7" applyAlignment="1" pivotButton="0" quotePrefix="0" xfId="0">
      <alignment horizontal="center" vertical="center"/>
    </xf>
    <xf numFmtId="0" fontId="22" fillId="0" borderId="7" applyAlignment="1" pivotButton="0" quotePrefix="0" xfId="0">
      <alignment horizontal="left" vertical="center"/>
    </xf>
    <xf numFmtId="2" fontId="22" fillId="0" borderId="7" applyAlignment="1" pivotButton="0" quotePrefix="0" xfId="0">
      <alignment horizontal="right" vertical="center"/>
    </xf>
    <xf numFmtId="0" fontId="22" fillId="0" borderId="7" applyAlignment="1" pivotButton="0" quotePrefix="0" xfId="0">
      <alignment horizontal="right" vertical="center"/>
    </xf>
    <xf numFmtId="1" fontId="22" fillId="0" borderId="7" applyAlignment="1" pivotButton="0" quotePrefix="0" xfId="0">
      <alignment horizontal="right" vertical="center"/>
    </xf>
    <xf numFmtId="171" fontId="22" fillId="0" borderId="7" applyAlignment="1" pivotButton="0" quotePrefix="0" xfId="0">
      <alignment horizontal="center" vertical="center"/>
    </xf>
    <xf numFmtId="4" fontId="22" fillId="0" borderId="7" applyAlignment="1" pivotButton="0" quotePrefix="0" xfId="0">
      <alignment horizontal="right" vertical="center"/>
    </xf>
    <xf numFmtId="10" fontId="22" fillId="0" borderId="7" applyAlignment="1" pivotButton="0" quotePrefix="0" xfId="0">
      <alignment horizontal="center" vertical="center"/>
    </xf>
    <xf numFmtId="0" fontId="22" fillId="0" borderId="7" applyAlignment="1" pivotButton="0" quotePrefix="0" xfId="0">
      <alignment horizontal="left" vertical="center" wrapText="1"/>
    </xf>
    <xf numFmtId="0" fontId="22" fillId="14" borderId="7" applyAlignment="1" pivotButton="0" quotePrefix="0" xfId="0">
      <alignment horizontal="center"/>
    </xf>
    <xf numFmtId="0" fontId="14" fillId="0" borderId="7" pivotButton="0" quotePrefix="0" xfId="0"/>
    <xf numFmtId="0" fontId="16" fillId="0" borderId="7" applyAlignment="1" pivotButton="0" quotePrefix="0" xfId="0">
      <alignment horizontal="center" vertical="center"/>
    </xf>
    <xf numFmtId="0" fontId="15" fillId="0" borderId="7" pivotButton="0" quotePrefix="0" xfId="0"/>
    <xf numFmtId="0" fontId="22" fillId="0" borderId="7" applyAlignment="1" pivotButton="0" quotePrefix="0" xfId="0">
      <alignment horizontal="left"/>
    </xf>
    <xf numFmtId="0" fontId="16" fillId="0" borderId="7" applyAlignment="1" pivotButton="0" quotePrefix="0" xfId="0">
      <alignment horizontal="left" vertical="center"/>
    </xf>
    <xf numFmtId="0" fontId="13" fillId="0" borderId="7" pivotButton="0" quotePrefix="0" xfId="0"/>
    <xf numFmtId="0" fontId="2" fillId="0" borderId="7" pivotButton="0" quotePrefix="0" xfId="0"/>
    <xf numFmtId="0" fontId="2" fillId="0" borderId="7" applyAlignment="1" pivotButton="0" quotePrefix="0" xfId="0">
      <alignment horizontal="center" vertical="center"/>
    </xf>
    <xf numFmtId="0" fontId="7" fillId="0" borderId="0" applyAlignment="1" pivotButton="0" quotePrefix="0" xfId="0">
      <alignment vertical="center"/>
    </xf>
    <xf numFmtId="2" fontId="22" fillId="0" borderId="7" applyAlignment="1" pivotButton="0" quotePrefix="0" xfId="0">
      <alignment horizontal="center" vertical="center"/>
    </xf>
    <xf numFmtId="10" fontId="22" fillId="0" borderId="7" applyAlignment="1" pivotButton="0" quotePrefix="0" xfId="0">
      <alignment horizontal="right" vertical="center"/>
    </xf>
    <xf numFmtId="0" fontId="22" fillId="18" borderId="7" pivotButton="0" quotePrefix="0" xfId="0"/>
    <xf numFmtId="10" fontId="21" fillId="10" borderId="7" applyAlignment="1" pivotButton="0" quotePrefix="0" xfId="0">
      <alignment vertical="center" wrapText="1"/>
    </xf>
    <xf numFmtId="10" fontId="6" fillId="9" borderId="4" applyAlignment="1" pivotButton="0" quotePrefix="0" xfId="0">
      <alignment horizontal="center" vertical="center"/>
    </xf>
    <xf numFmtId="10" fontId="21" fillId="10" borderId="7" applyAlignment="1" pivotButton="0" quotePrefix="0" xfId="0">
      <alignment horizontal="center" vertical="center" wrapText="1"/>
    </xf>
    <xf numFmtId="10" fontId="5" fillId="8" borderId="2" applyAlignment="1" pivotButton="0" quotePrefix="0" xfId="0">
      <alignment horizontal="center" vertical="top" wrapText="1"/>
    </xf>
    <xf numFmtId="10" fontId="5" fillId="7" borderId="4" applyAlignment="1" pivotButton="0" quotePrefix="0" xfId="0">
      <alignment horizontal="center" vertical="top" wrapText="1"/>
    </xf>
    <xf numFmtId="10" fontId="6" fillId="9" borderId="2" applyAlignment="1" pivotButton="0" quotePrefix="0" xfId="0">
      <alignment horizontal="center" vertical="top" wrapText="1"/>
    </xf>
    <xf numFmtId="1" fontId="5" fillId="0" borderId="2" applyAlignment="1" pivotButton="0" quotePrefix="0" xfId="0">
      <alignment horizontal="center" vertical="top" wrapText="1"/>
    </xf>
    <xf numFmtId="1" fontId="11" fillId="0" borderId="2" applyAlignment="1" pivotButton="0" quotePrefix="0" xfId="0">
      <alignment horizontal="center" vertical="top" wrapText="1"/>
    </xf>
    <xf numFmtId="0" fontId="0" fillId="0" borderId="0" applyAlignment="1" pivotButton="0" quotePrefix="0" xfId="0">
      <alignment horizontal="center" vertical="top" wrapText="1"/>
    </xf>
    <xf numFmtId="164" fontId="0" fillId="0" borderId="0" pivotButton="0" quotePrefix="0" xfId="0"/>
    <xf numFmtId="2" fontId="22" fillId="0" borderId="7" pivotButton="0" quotePrefix="0" xfId="0"/>
    <xf numFmtId="2" fontId="22" fillId="22" borderId="7" pivotButton="0" quotePrefix="0" xfId="0"/>
    <xf numFmtId="0" fontId="17" fillId="12" borderId="7" pivotButton="0" quotePrefix="1" xfId="0"/>
    <xf numFmtId="0" fontId="22" fillId="0" borderId="7" pivotButton="0" quotePrefix="1" xfId="0"/>
    <xf numFmtId="0" fontId="22" fillId="22" borderId="7" pivotButton="0" quotePrefix="1" xfId="0"/>
    <xf numFmtId="0" fontId="0" fillId="0" borderId="0" pivotButton="0" quotePrefix="1" xfId="0"/>
    <xf numFmtId="164" fontId="22" fillId="0" borderId="7" pivotButton="0" quotePrefix="1" xfId="0"/>
    <xf numFmtId="49" fontId="22" fillId="0" borderId="7" pivotButton="0" quotePrefix="0" xfId="0"/>
    <xf numFmtId="49" fontId="22" fillId="22" borderId="7" pivotButton="0" quotePrefix="0" xfId="0"/>
    <xf numFmtId="49" fontId="0" fillId="0" borderId="0" pivotButton="0" quotePrefix="0" xfId="0"/>
    <xf numFmtId="49" fontId="0" fillId="0" borderId="0" pivotButton="0" quotePrefix="1" xfId="0"/>
    <xf numFmtId="49" fontId="0" fillId="0" borderId="0" applyAlignment="1" pivotButton="0" quotePrefix="0" xfId="0">
      <alignment vertical="top" wrapText="1"/>
    </xf>
    <xf numFmtId="49" fontId="17" fillId="20" borderId="0" applyAlignment="1" pivotButton="0" quotePrefix="0" xfId="0">
      <alignment vertical="top" wrapText="1"/>
    </xf>
    <xf numFmtId="49" fontId="17" fillId="0" borderId="0" pivotButton="0" quotePrefix="0" xfId="0"/>
    <xf numFmtId="49" fontId="0" fillId="21" borderId="0" pivotButton="0" quotePrefix="0" xfId="0"/>
    <xf numFmtId="49" fontId="0" fillId="21" borderId="0" applyAlignment="1" pivotButton="0" quotePrefix="0" xfId="0">
      <alignment vertical="top" wrapText="1"/>
    </xf>
    <xf numFmtId="49" fontId="22" fillId="0" borderId="7" pivotButton="0" quotePrefix="1" xfId="0"/>
    <xf numFmtId="49" fontId="17" fillId="12" borderId="7" pivotButton="0" quotePrefix="0" xfId="0"/>
    <xf numFmtId="49" fontId="22" fillId="22" borderId="7" pivotButton="0" quotePrefix="1" xfId="0"/>
    <xf numFmtId="49" fontId="22" fillId="0" borderId="0" applyAlignment="1" pivotButton="0" quotePrefix="0" xfId="0">
      <alignment vertical="top" wrapText="1"/>
    </xf>
    <xf numFmtId="49" fontId="18" fillId="0" borderId="0" applyAlignment="1" pivotButton="0" quotePrefix="0" xfId="0">
      <alignment vertical="top" wrapText="1"/>
    </xf>
    <xf numFmtId="164" fontId="25" fillId="0" borderId="7" pivotButton="0" quotePrefix="0" xfId="0"/>
    <xf numFmtId="164" fontId="25" fillId="22" borderId="7" pivotButton="0" quotePrefix="0" xfId="0"/>
    <xf numFmtId="174" fontId="0" fillId="0" borderId="0" pivotButton="0" quotePrefix="0" xfId="0"/>
    <xf numFmtId="10" fontId="0" fillId="0" borderId="0" pivotButton="0" quotePrefix="0" xfId="0"/>
    <xf numFmtId="173" fontId="22" fillId="22" borderId="7" pivotButton="0" quotePrefix="1" xfId="0"/>
    <xf numFmtId="173" fontId="22" fillId="0" borderId="7" pivotButton="0" quotePrefix="1" xfId="0"/>
    <xf numFmtId="164" fontId="22" fillId="22" borderId="7" pivotButton="0" quotePrefix="1" xfId="0"/>
    <xf numFmtId="164" fontId="0" fillId="0" borderId="0" pivotButton="0" quotePrefix="1" xfId="0"/>
    <xf numFmtId="0" fontId="7" fillId="0" borderId="0" applyAlignment="1" pivotButton="0" quotePrefix="0" xfId="0">
      <alignment vertical="top" wrapText="1"/>
    </xf>
    <xf numFmtId="49" fontId="7" fillId="0" borderId="0" applyAlignment="1" pivotButton="0" quotePrefix="0" xfId="0">
      <alignment vertical="top" wrapText="1"/>
    </xf>
    <xf numFmtId="0" fontId="10" fillId="13" borderId="0" applyAlignment="1" pivotButton="0" quotePrefix="0" xfId="1">
      <alignment horizontal="center"/>
    </xf>
    <xf numFmtId="0" fontId="0" fillId="0" borderId="0" pivotButton="0" quotePrefix="0" xfId="0"/>
    <xf numFmtId="0" fontId="17" fillId="16" borderId="0" pivotButton="0" quotePrefix="0" xfId="0"/>
    <xf numFmtId="0" fontId="0" fillId="14" borderId="0" pivotButton="0" quotePrefix="0" xfId="0"/>
    <xf numFmtId="174" fontId="22" fillId="0" borderId="7" pivotButton="0" quotePrefix="0" xfId="0"/>
    <xf numFmtId="173" fontId="22" fillId="0" borderId="7" pivotButton="0" quotePrefix="0" xfId="0"/>
    <xf numFmtId="173" fontId="22" fillId="22" borderId="7" pivotButton="0" quotePrefix="1" xfId="0"/>
    <xf numFmtId="173" fontId="22" fillId="0" borderId="7" pivotButton="0" quotePrefix="1" xfId="0"/>
    <xf numFmtId="173" fontId="0" fillId="0" borderId="0" pivotButton="0" quotePrefix="0" xfId="0"/>
    <xf numFmtId="174" fontId="0" fillId="0" borderId="0" pivotButton="0" quotePrefix="0" xfId="0"/>
  </cellXfs>
  <cellStyles count="2">
    <cellStyle name="Normal" xfId="0" builtinId="0"/>
    <cellStyle name="Warning Text" xfId="1" builtinId="11"/>
  </cellStyles>
  <dxfs count="52">
    <dxf>
      <font>
        <name val="Calibri"/>
        <family val="2"/>
        <strike val="0"/>
        <outline val="0"/>
        <shadow val="0"/>
        <condense val="0"/>
        <color rgb="FF000000"/>
        <extend val="0"/>
        <sz val="10"/>
        <vertAlign val="baseline"/>
      </font>
      <alignment horizontal="center" vertical="center"/>
    </dxf>
    <dxf>
      <font>
        <name val="Calibri"/>
        <family val="2"/>
        <strike val="0"/>
        <outline val="0"/>
        <shadow val="0"/>
        <condense val="0"/>
        <color rgb="FF000000"/>
        <extend val="0"/>
        <sz val="10"/>
        <vertAlign val="baseline"/>
      </font>
      <alignment horizontal="center" vertical="center"/>
    </dxf>
    <dxf>
      <fill>
        <patternFill>
          <fgColor indexed="64"/>
          <bgColor auto="1"/>
        </patternFill>
      </fill>
    </dxf>
    <dxf>
      <fill>
        <patternFill>
          <fgColor indexed="64"/>
          <bgColor auto="1"/>
        </patternFill>
      </fill>
    </dxf>
    <dxf>
      <fill>
        <patternFill>
          <fgColor indexed="64"/>
          <bgColor auto="1"/>
        </patternFill>
      </fill>
    </dxf>
    <dxf>
      <numFmt numFmtId="0" formatCode="General"/>
    </dxf>
    <dxf>
      <numFmt numFmtId="0" formatCode="General"/>
    </dxf>
    <dxf>
      <alignment horizontal="center"/>
    </dxf>
    <dxf>
      <numFmt numFmtId="164" formatCode="0.0%"/>
    </dxf>
    <dxf>
      <numFmt numFmtId="14" formatCode="0.00%"/>
      <alignment horizontal="center"/>
    </dxf>
    <dxf>
      <font>
        <name val="Calibri"/>
        <color rgb="FF9C0006"/>
        <sz val="10"/>
      </font>
    </dxf>
    <dxf>
      <font>
        <name val="Calibri"/>
        <family val="2"/>
        <strike val="0"/>
        <outline val="0"/>
        <shadow val="0"/>
        <condense val="0"/>
        <color rgb="FF000000"/>
        <extend val="0"/>
        <sz val="10"/>
        <vertAlign val="baseline"/>
      </font>
      <numFmt numFmtId="0" formatCode="General"/>
      <alignment horizontal="right" vertical="center"/>
      <border>
        <left/>
        <right/>
        <top/>
        <bottom style="hair">
          <color rgb="FFD9D9D9"/>
        </bottom>
        <vertical/>
        <horizontal/>
      </border>
    </dxf>
    <dxf>
      <numFmt numFmtId="171" formatCode="dd/mm/yy;@"/>
    </dxf>
    <dxf>
      <numFmt numFmtId="171" formatCode="dd/mm/yy;@"/>
    </dxf>
    <dxf>
      <font>
        <name val="Calibri"/>
        <family val="2"/>
        <strike val="0"/>
        <outline val="0"/>
        <shadow val="0"/>
        <condense val="0"/>
        <color rgb="FF000000"/>
        <extend val="0"/>
        <sz val="10"/>
        <vertAlign val="baseline"/>
      </font>
      <numFmt numFmtId="171" formatCode="dd/mm/yy;@"/>
      <alignment horizontal="center" vertical="center"/>
      <border>
        <left/>
        <right/>
        <top/>
        <bottom style="hair">
          <color rgb="FFD9D9D9"/>
        </bottom>
        <vertical/>
        <horizontal/>
      </border>
    </dxf>
    <dxf>
      <numFmt numFmtId="2" formatCode="0.00"/>
    </dxf>
    <dxf>
      <font>
        <b val="1"/>
      </font>
    </dxf>
    <dxf>
      <font>
        <b val="1"/>
      </font>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alignment horizontal="center" vertical="center"/>
    </dxf>
    <dxf>
      <alignment horizontal="center" vertical="center"/>
    </dxf>
    <dxf>
      <alignment horizontal="center" vertical="center"/>
    </dxf>
    <dxf>
      <alignment horizontal="center" vertical="center"/>
    </dxf>
    <dxf>
      <alignment horizontal="center"/>
    </dxf>
    <dxf>
      <alignment horizontal="right" vertical="center"/>
    </dxf>
    <dxf>
      <numFmt numFmtId="171" formatCode="dd/mm/yy;@"/>
      <alignment horizontal="center" vertical="center"/>
    </dxf>
    <dxf>
      <numFmt numFmtId="2" formatCode="0.00"/>
      <alignment horizontal="right" vertical="center"/>
    </dxf>
    <dxf>
      <numFmt numFmtId="171" formatCode="dd/mm/yy;@"/>
      <alignment horizontal="center" vertical="center"/>
    </dxf>
    <dxf>
      <font>
        <name val="Calibri"/>
        <family val="2"/>
        <strike val="0"/>
        <outline val="0"/>
        <shadow val="0"/>
        <condense val="0"/>
        <color rgb="FF000000"/>
        <extend val="0"/>
        <sz val="10"/>
        <vertAlign val="baseline"/>
      </font>
      <numFmt numFmtId="171" formatCode="dd/mm/yy;@"/>
      <alignment horizontal="center" vertical="center"/>
      <border outline="0">
        <left/>
        <right/>
        <top/>
        <bottom style="hair">
          <color rgb="FFD9D9D9"/>
        </bottom>
      </border>
    </dxf>
    <dxf>
      <alignment horizontal="right" vertical="center"/>
    </dxf>
    <dxf>
      <alignment horizontal="right" vertical="center"/>
    </dxf>
    <dxf>
      <alignment horizontal="right" vertical="center"/>
    </dxf>
    <dxf>
      <alignment horizontal="center" vertical="center"/>
    </dxf>
    <dxf>
      <alignment horizontal="center" vertical="center"/>
    </dxf>
    <dxf>
      <font>
        <name val="Calibri"/>
        <family val="2"/>
        <strike val="0"/>
        <outline val="0"/>
        <shadow val="0"/>
        <condense val="0"/>
        <color rgb="FF000000"/>
        <extend val="0"/>
        <sz val="10"/>
        <vertAlign val="baseline"/>
      </font>
      <alignment horizontal="left" vertical="center"/>
    </dxf>
    <dxf>
      <font>
        <name val="Calibri"/>
        <family val="2"/>
        <strike val="0"/>
        <outline val="0"/>
        <shadow val="0"/>
        <condense val="0"/>
        <color rgb="FF000000"/>
        <extend val="0"/>
        <sz val="10"/>
        <vertAlign val="baseline"/>
      </font>
      <alignment horizontal="left" vertical="center"/>
    </dxf>
    <dxf>
      <alignment horizontal="center" vertical="center"/>
    </dxf>
    <dxf>
      <alignment horizontal="center" vertical="center"/>
    </dxf>
    <dxf>
      <font>
        <b val="1"/>
      </font>
      <alignment horizontal="center" vertical="center"/>
    </dxf>
    <dxf>
      <font>
        <b val="1"/>
      </font>
    </dxf>
    <dxf>
      <font>
        <b val="1"/>
        <color rgb="FF922B21"/>
      </font>
      <fill>
        <patternFill patternType="solid">
          <fgColor rgb="FFFDEDEC"/>
          <bgColor rgb="FFFDEDEC"/>
        </patternFill>
      </fill>
    </dxf>
    <dxf>
      <font>
        <b val="1"/>
        <color rgb="FF1E8449"/>
      </font>
      <fill>
        <patternFill patternType="solid">
          <fgColor rgb="FFD5F5E3"/>
          <bgColor rgb="FFD5F5E3"/>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FFE0B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DFEFE"/>
      <rgbColor rgb="FF7F8C8D"/>
      <rgbColor rgb="FF9999FF"/>
      <rgbColor rgb="FF993366"/>
      <rgbColor rgb="FFFEF9E7"/>
      <rgbColor rgb="FFE8F8F5"/>
      <rgbColor rgb="FF660066"/>
      <rgbColor rgb="FFFF8080"/>
      <rgbColor rgb="FF0066CC"/>
      <rgbColor rgb="FFEBF5FB"/>
      <rgbColor rgb="FF000080"/>
      <rgbColor rgb="FFFF00FF"/>
      <rgbColor rgb="FFFFFF00"/>
      <rgbColor rgb="FF00FFFF"/>
      <rgbColor rgb="FF800080"/>
      <rgbColor rgb="FF800000"/>
      <rgbColor rgb="FF008080"/>
      <rgbColor rgb="FF0000FF"/>
      <rgbColor rgb="FF00CCFF"/>
      <rgbColor rgb="FFD6EAF8"/>
      <rgbColor rgb="FFD5F5E3"/>
      <rgbColor rgb="FFFDEDEC"/>
      <rgbColor rgb="FF99CCFF"/>
      <rgbColor rgb="FFFF99CC"/>
      <rgbColor rgb="FFCC99FF"/>
      <rgbColor rgb="FFF2F3F4"/>
      <rgbColor rgb="FF3366FF"/>
      <rgbColor rgb="FF33CCCC"/>
      <rgbColor rgb="FF99CC00"/>
      <rgbColor rgb="FFFFCC00"/>
      <rgbColor rgb="FFFF9900"/>
      <rgbColor rgb="FFE74C3C"/>
      <rgbColor rgb="FF666699"/>
      <rgbColor rgb="FF969696"/>
      <rgbColor rgb="FF1F3864"/>
      <rgbColor rgb="FF1E8449"/>
      <rgbColor rgb="FF003300"/>
      <rgbColor rgb="FF333300"/>
      <rgbColor rgb="FF922B21"/>
      <rgbColor rgb="FF993366"/>
      <rgbColor rgb="FF333399"/>
      <rgbColor rgb="FF2C3E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Selectivity accuracy against its own floor</a:t>
            </a:r>
          </a:p>
        </rich>
      </tx>
      <overlay val="1"/>
    </title>
    <plotArea>
      <layout/>
      <barChart>
        <barDir val="col"/>
        <grouping val="clustered"/>
        <varyColors val="1"/>
        <ser>
          <idx val="0"/>
          <order val="0"/>
          <tx>
            <strRef>
              <f>Charts_Corrected!$B$5</f>
              <strCache>
                <ptCount val="1"/>
                <pt idx="0">
                  <v>Accuracy</v>
                </pt>
              </strCache>
            </strRef>
          </tx>
          <spPr>
            <a:ln xmlns:a="http://schemas.openxmlformats.org/drawingml/2006/main">
              <a:prstDash val="solid"/>
            </a:ln>
          </spPr>
          <invertIfNegative val="1"/>
          <cat>
            <strRef>
              <f>Charts_Corrected!$A$6:$A$9</f>
              <strCache>
                <ptCount val="3"/>
                <pt idx="0">
                  <v>Frozen (n=109)</v>
                </pt>
                <pt idx="1">
                  <v>Extension (n=18)</v>
                </pt>
                <pt idx="2">
                  <v>Combined (n=127)</v>
                </pt>
              </strCache>
            </strRef>
          </cat>
          <val>
            <numRef>
              <f>Charts_Corrected!$B$6:$B$9</f>
              <numCache>
                <formatCode>0.0%</formatCode>
                <ptCount val="4"/>
                <pt idx="0">
                  <v>0.6238532110091743</v>
                </pt>
                <pt idx="1">
                  <v>0</v>
                </pt>
                <pt idx="2">
                  <v>0.6377952755905512</v>
                </pt>
              </numCache>
            </numRef>
          </val>
        </ser>
        <ser>
          <idx val="1"/>
          <order val="1"/>
          <tx>
            <strRef>
              <f>Charts_Corrected!$C$5</f>
              <strCache>
                <ptCount val="1"/>
                <pt idx="0">
                  <v>Majority-direction floor</v>
                </pt>
              </strCache>
            </strRef>
          </tx>
          <spPr>
            <a:ln xmlns:a="http://schemas.openxmlformats.org/drawingml/2006/main">
              <a:prstDash val="solid"/>
            </a:ln>
          </spPr>
          <invertIfNegative val="1"/>
          <cat>
            <strRef>
              <f>Charts_Corrected!$A$6:$A$9</f>
              <strCache>
                <ptCount val="3"/>
                <pt idx="0">
                  <v>Frozen (n=109)</v>
                </pt>
                <pt idx="1">
                  <v>Extension (n=18)</v>
                </pt>
                <pt idx="2">
                  <v>Combined (n=127)</v>
                </pt>
              </strCache>
            </strRef>
          </cat>
          <val>
            <numRef>
              <f>Charts_Corrected!$C$6:$C$9</f>
              <numCache>
                <formatCode>0.0%</formatCode>
                <ptCount val="4"/>
                <pt idx="0">
                  <v>0.541</v>
                </pt>
                <pt idx="1">
                  <v>0</v>
                </pt>
                <pt idx="2">
                  <v>0.551</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Coverage accuracy: every arm sits below its floor</a:t>
            </a:r>
          </a:p>
        </rich>
      </tx>
      <overlay val="1"/>
    </title>
    <plotArea>
      <layout/>
      <barChart>
        <barDir val="col"/>
        <grouping val="clustered"/>
        <varyColors val="1"/>
        <ser>
          <idx val="0"/>
          <order val="0"/>
          <tx>
            <strRef>
              <f>Charts_Corrected!$B$13</f>
              <strCache>
                <ptCount val="1"/>
                <pt idx="0">
                  <v>Accuracy</v>
                </pt>
              </strCache>
            </strRef>
          </tx>
          <spPr>
            <a:ln xmlns:a="http://schemas.openxmlformats.org/drawingml/2006/main">
              <a:prstDash val="solid"/>
            </a:ln>
          </spPr>
          <invertIfNegative val="1"/>
          <cat>
            <strRef>
              <f>Charts_Corrected!$A$14:$A$17</f>
              <strCache>
                <ptCount val="3"/>
                <pt idx="0">
                  <v>Frozen (n=145)</v>
                </pt>
                <pt idx="1">
                  <v>Extension (n=34)</v>
                </pt>
                <pt idx="2">
                  <v>Combined (n=179)</v>
                </pt>
              </strCache>
            </strRef>
          </cat>
          <val>
            <numRef>
              <f>Charts_Corrected!$B$14:$B$17</f>
              <numCache>
                <formatCode>0.0%</formatCode>
                <ptCount val="4"/>
                <pt idx="0">
                  <v>0.469</v>
                </pt>
                <pt idx="1">
                  <v>0.382</v>
                </pt>
                <pt idx="2">
                  <v>0.4525139664804469</v>
                </pt>
              </numCache>
            </numRef>
          </val>
        </ser>
        <ser>
          <idx val="1"/>
          <order val="1"/>
          <tx>
            <strRef>
              <f>Charts_Corrected!$C$13</f>
              <strCache>
                <ptCount val="1"/>
                <pt idx="0">
                  <v>Coverage floor</v>
                </pt>
              </strCache>
            </strRef>
          </tx>
          <spPr>
            <a:ln xmlns:a="http://schemas.openxmlformats.org/drawingml/2006/main">
              <a:prstDash val="solid"/>
            </a:ln>
          </spPr>
          <invertIfNegative val="1"/>
          <cat>
            <strRef>
              <f>Charts_Corrected!$A$14:$A$17</f>
              <strCache>
                <ptCount val="3"/>
                <pt idx="0">
                  <v>Frozen (n=145)</v>
                </pt>
                <pt idx="1">
                  <v>Extension (n=34)</v>
                </pt>
                <pt idx="2">
                  <v>Combined (n=179)</v>
                </pt>
              </strCache>
            </strRef>
          </cat>
          <val>
            <numRef>
              <f>Charts_Corrected!$C$14:$C$17</f>
              <numCache>
                <formatCode>0.0%</formatCode>
                <ptCount val="4"/>
                <pt idx="0">
                  <v>0.545</v>
                </pt>
                <pt idx="1">
                  <v>0.5</v>
                </pt>
                <pt idx="2">
                  <v>0.536</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7"/>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Rank correlation decays monotonically with horizon</a:t>
            </a:r>
          </a:p>
        </rich>
      </tx>
      <overlay val="1"/>
    </title>
    <plotArea>
      <layout/>
      <barChart>
        <barDir val="col"/>
        <grouping val="clustered"/>
        <varyColors val="1"/>
        <ser>
          <idx val="0"/>
          <order val="0"/>
          <tx>
            <strRef>
              <f>Charts_Corrected!$B$21</f>
              <strCache>
                <ptCount val="1"/>
                <pt idx="0">
                  <v>Rank correlation (rho)</v>
                </pt>
              </strCache>
            </strRef>
          </tx>
          <spPr>
            <a:ln xmlns:a="http://schemas.openxmlformats.org/drawingml/2006/main">
              <a:prstDash val="solid"/>
            </a:ln>
          </spPr>
          <invertIfNegative val="1"/>
          <cat>
            <strRef>
              <f>Charts_Corrected!$A$22:$A$27</f>
              <strCache>
                <ptCount val="5"/>
                <pt idx="0">
                  <v>Overnight</v>
                </pt>
                <pt idx="1">
                  <v>1 day</v>
                </pt>
                <pt idx="2">
                  <v>3 days</v>
                </pt>
                <pt idx="3">
                  <v>5 days</v>
                </pt>
                <pt idx="4">
                  <v>10 days</v>
                </pt>
              </strCache>
            </strRef>
          </cat>
          <val>
            <numRef>
              <f>Charts_Corrected!$B$22:$B$27</f>
              <numCache>
                <formatCode>0.000</formatCode>
                <ptCount val="6"/>
                <pt idx="0">
                  <v>0</v>
                </pt>
                <pt idx="1">
                  <v>0</v>
                </pt>
                <pt idx="2">
                  <v>0</v>
                </pt>
                <pt idx="3">
                  <v>0</v>
                </pt>
                <pt idx="4">
                  <v>0</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28"/>
        </scaling>
        <delete val="0"/>
        <axPos val="l"/>
        <majorGridlines/>
        <title>
          <tx>
            <rich>
              <a:bodyPr xmlns:a="http://schemas.openxmlformats.org/drawingml/2006/main"/>
              <a:lstStyle xmlns:a="http://schemas.openxmlformats.org/drawingml/2006/main"/>
              <a:p xmlns:a="http://schemas.openxmlformats.org/drawingml/2006/main">
                <a:pPr>
                  <a:defRPr/>
                </a:pPr>
                <a:r>
                  <a:rPr lang="en-GB"/>
                  <a:t>Spearman rho</a:t>
                </a:r>
              </a:p>
            </rich>
          </tx>
          <overlay val="1"/>
        </title>
        <numFmt formatCode="0.000" sourceLinked="0"/>
        <majorTickMark val="none"/>
        <minorTickMark val="none"/>
        <tickLblPos val="nextTo"/>
        <crossAx val="10"/>
        <crosses val="autoZero"/>
        <crossBetween val="between"/>
      </valAx>
    </plotArea>
    <legend>
      <legendPos val="r"/>
      <overlay val="0"/>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Accuracy and mean net per trade by horizon</a:t>
            </a:r>
          </a:p>
        </rich>
      </tx>
      <overlay val="1"/>
    </title>
    <plotArea>
      <layout/>
      <barChart>
        <barDir val="col"/>
        <grouping val="clustered"/>
        <varyColors val="1"/>
        <ser>
          <idx val="0"/>
          <order val="0"/>
          <tx>
            <strRef>
              <f>Charts_Corrected!$B$31</f>
              <strCache>
                <ptCount val="1"/>
                <pt idx="0">
                  <v>Accuracy</v>
                </pt>
              </strCache>
            </strRef>
          </tx>
          <spPr>
            <a:ln xmlns:a="http://schemas.openxmlformats.org/drawingml/2006/main">
              <a:prstDash val="solid"/>
            </a:ln>
          </spPr>
          <invertIfNegative val="1"/>
          <cat>
            <strRef>
              <f>Charts_Corrected!$A$32:$A$37</f>
              <strCache>
                <ptCount val="5"/>
                <pt idx="0">
                  <v>Overnight</v>
                </pt>
                <pt idx="1">
                  <v>1 day</v>
                </pt>
                <pt idx="2">
                  <v>3 days</v>
                </pt>
                <pt idx="3">
                  <v>5 days</v>
                </pt>
                <pt idx="4">
                  <v>10 days</v>
                </pt>
              </strCache>
            </strRef>
          </cat>
          <val>
            <numRef>
              <f>Charts_Corrected!$B$32:$B$37</f>
              <numCache>
                <formatCode>0.0%</formatCode>
                <ptCount val="6"/>
                <pt idx="0">
                  <v>0</v>
                </pt>
                <pt idx="1">
                  <v>0</v>
                </pt>
                <pt idx="2">
                  <v>0</v>
                </pt>
                <pt idx="3">
                  <v>0</v>
                </pt>
                <pt idx="4">
                  <v>0</v>
                </pt>
              </numCache>
            </numRef>
          </val>
        </ser>
        <ser>
          <idx val="1"/>
          <order val="1"/>
          <tx>
            <strRef>
              <f>Charts_Corrected!$C$31</f>
              <strCache>
                <ptCount val="1"/>
                <pt idx="0">
                  <v>Mean net per trade</v>
                </pt>
              </strCache>
            </strRef>
          </tx>
          <spPr>
            <a:ln xmlns:a="http://schemas.openxmlformats.org/drawingml/2006/main">
              <a:prstDash val="solid"/>
            </a:ln>
          </spPr>
          <invertIfNegative val="1"/>
          <cat>
            <strRef>
              <f>Charts_Corrected!$A$32:$A$37</f>
              <strCache>
                <ptCount val="5"/>
                <pt idx="0">
                  <v>Overnight</v>
                </pt>
                <pt idx="1">
                  <v>1 day</v>
                </pt>
                <pt idx="2">
                  <v>3 days</v>
                </pt>
                <pt idx="3">
                  <v>5 days</v>
                </pt>
                <pt idx="4">
                  <v>10 days</v>
                </pt>
              </strCache>
            </strRef>
          </cat>
          <val>
            <numRef>
              <f>Charts_Corrected!$C$32:$C$37</f>
              <numCache>
                <formatCode>0.0%</formatCode>
                <ptCount val="6"/>
                <pt idx="0">
                  <v>0</v>
                </pt>
                <pt idx="1">
                  <v>0</v>
                </pt>
                <pt idx="2">
                  <v>0</v>
                </pt>
                <pt idx="3">
                  <v>0</v>
                </pt>
                <pt idx="4">
                  <v>0</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75"/>
        </scaling>
        <delete val="0"/>
        <axPos val="l"/>
        <majorGridlines/>
        <title>
          <tx>
            <rich>
              <a:bodyPr xmlns:a="http://schemas.openxmlformats.org/drawingml/2006/main"/>
              <a:lstStyle xmlns:a="http://schemas.openxmlformats.org/drawingml/2006/main"/>
              <a:p xmlns:a="http://schemas.openxmlformats.org/drawingml/2006/main">
                <a:pPr>
                  <a:defRPr/>
                </a:pPr>
                <a:r>
                  <a:rPr lang="en-GB"/>
                  <a:t>Value</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Both arms clear chance on SELL; neither on BUY</a:t>
            </a:r>
          </a:p>
        </rich>
      </tx>
      <overlay val="1"/>
    </title>
    <plotArea>
      <layout/>
      <barChart>
        <barDir val="col"/>
        <grouping val="clustered"/>
        <varyColors val="1"/>
        <ser>
          <idx val="0"/>
          <order val="0"/>
          <tx>
            <strRef>
              <f>Charts_Corrected!$B$41</f>
              <strCache>
                <ptCount val="1"/>
                <pt idx="0">
                  <v>Human</v>
                </pt>
              </strCache>
            </strRef>
          </tx>
          <spPr>
            <a:ln xmlns:a="http://schemas.openxmlformats.org/drawingml/2006/main">
              <a:prstDash val="solid"/>
            </a:ln>
          </spPr>
          <invertIfNegative val="1"/>
          <cat>
            <strRef>
              <f>Charts_Corrected!$A$42:$A$44</f>
              <strCache>
                <ptCount val="2"/>
                <pt idx="0">
                  <v>BUY</v>
                </pt>
                <pt idx="1">
                  <v>SELL</v>
                </pt>
              </strCache>
            </strRef>
          </cat>
          <val>
            <numRef>
              <f>Charts_Corrected!$B$42:$B$44</f>
              <numCache>
                <formatCode>0.0%</formatCode>
                <ptCount val="3"/>
                <pt idx="0">
                  <v>0.491</v>
                </pt>
                <pt idx="1">
                  <v>0.739</v>
                </pt>
              </numCache>
            </numRef>
          </val>
        </ser>
        <ser>
          <idx val="1"/>
          <order val="1"/>
          <tx>
            <strRef>
              <f>Charts_Corrected!$C$41</f>
              <strCache>
                <ptCount val="1"/>
                <pt idx="0">
                  <v>Model</v>
                </pt>
              </strCache>
            </strRef>
          </tx>
          <spPr>
            <a:ln xmlns:a="http://schemas.openxmlformats.org/drawingml/2006/main">
              <a:prstDash val="solid"/>
            </a:ln>
          </spPr>
          <invertIfNegative val="1"/>
          <cat>
            <strRef>
              <f>Charts_Corrected!$A$42:$A$44</f>
              <strCache>
                <ptCount val="2"/>
                <pt idx="0">
                  <v>BUY</v>
                </pt>
                <pt idx="1">
                  <v>SELL</v>
                </pt>
              </strCache>
            </strRef>
          </cat>
          <val>
            <numRef>
              <f>Charts_Corrected!$C$42:$C$44</f>
              <numCache>
                <formatCode>0.0%</formatCode>
                <ptCount val="3"/>
                <pt idx="0">
                  <v>0.512</v>
                </pt>
                <pt idx="1">
                  <v>0.8080000000000001</v>
                </pt>
              </numCache>
            </numRef>
          </val>
        </ser>
        <ser>
          <idx val="2"/>
          <order val="2"/>
          <tx>
            <strRef>
              <f>Charts_Corrected!$D$41</f>
              <strCache>
                <ptCount val="1"/>
                <pt idx="0">
                  <v>Floor for that call</v>
                </pt>
              </strCache>
            </strRef>
          </tx>
          <spPr>
            <a:ln xmlns:a="http://schemas.openxmlformats.org/drawingml/2006/main">
              <a:prstDash val="solid"/>
            </a:ln>
          </spPr>
          <invertIfNegative val="1"/>
          <cat>
            <strRef>
              <f>Charts_Corrected!$A$42:$A$44</f>
              <strCache>
                <ptCount val="2"/>
                <pt idx="0">
                  <v>BUY</v>
                </pt>
                <pt idx="1">
                  <v>SELL</v>
                </pt>
              </strCache>
            </strRef>
          </cat>
          <val>
            <numRef>
              <f>Charts_Corrected!$D$42:$D$44</f>
              <numCache>
                <formatCode>0.0%</formatCode>
                <ptCount val="3"/>
                <pt idx="0">
                  <v>0.392</v>
                </pt>
                <pt idx="1">
                  <v>0.608</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5"/>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Section arms: indistinguishable on accuracy (paired MDE ±12pp)</a:t>
            </a:r>
          </a:p>
        </rich>
      </tx>
      <overlay val="1"/>
    </title>
    <plotArea>
      <layout/>
      <barChart>
        <barDir val="col"/>
        <grouping val="clustered"/>
        <varyColors val="1"/>
        <ser>
          <idx val="0"/>
          <order val="0"/>
          <tx>
            <strRef>
              <f>Charts_Corrected!$B$48</f>
              <strCache>
                <ptCount val="1"/>
                <pt idx="0">
                  <v>Accuracy</v>
                </pt>
              </strCache>
            </strRef>
          </tx>
          <spPr>
            <a:ln xmlns:a="http://schemas.openxmlformats.org/drawingml/2006/main">
              <a:prstDash val="solid"/>
            </a:ln>
          </spPr>
          <invertIfNegative val="1"/>
          <cat>
            <strRef>
              <f>Charts_Corrected!$A$49:$A$53</f>
              <strCache>
                <ptCount val="4"/>
                <pt idx="0">
                  <v>Full bundle</v>
                </pt>
                <pt idx="1">
                  <v>Press release</v>
                </pt>
                <pt idx="2">
                  <v>Prepared remarks</v>
                </pt>
                <pt idx="3">
                  <v>Q&amp;A only</v>
                </pt>
              </strCache>
            </strRef>
          </cat>
          <val>
            <numRef>
              <f>Charts_Corrected!$B$49:$B$53</f>
              <numCache>
                <formatCode>0.0%</formatCode>
                <ptCount val="5"/>
                <pt idx="0">
                  <v>0</v>
                </pt>
                <pt idx="1">
                  <v>0.649</v>
                </pt>
                <pt idx="2">
                  <v>0</v>
                </pt>
                <pt idx="3">
                  <v>0</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Frontier: FinBERT and the model reverse on the extension</a:t>
            </a:r>
          </a:p>
        </rich>
      </tx>
      <overlay val="1"/>
    </title>
    <plotArea>
      <layout/>
      <barChart>
        <barDir val="col"/>
        <grouping val="clustered"/>
        <varyColors val="1"/>
        <ser>
          <idx val="0"/>
          <order val="0"/>
          <tx>
            <strRef>
              <f>Charts_Corrected!$B$57</f>
              <strCache>
                <ptCount val="1"/>
                <pt idx="0">
                  <v>Frozen</v>
                </pt>
              </strCache>
            </strRef>
          </tx>
          <spPr>
            <a:ln xmlns:a="http://schemas.openxmlformats.org/drawingml/2006/main">
              <a:prstDash val="solid"/>
            </a:ln>
          </spPr>
          <invertIfNegative val="1"/>
          <cat>
            <strRef>
              <f>Charts_Corrected!$A$58:$A$62</f>
              <strCache>
                <ptCount val="4"/>
                <pt idx="0">
                  <v>Majority floor</v>
                </pt>
                <pt idx="1">
                  <v>Deployed model</v>
                </pt>
                <pt idx="2">
                  <v>FinBERT</v>
                </pt>
                <pt idx="3">
                  <v>Loughran-McDonald</v>
                </pt>
              </strCache>
            </strRef>
          </cat>
          <val>
            <numRef>
              <f>Charts_Corrected!$B$58:$B$62</f>
              <numCache>
                <formatCode>0.0%</formatCode>
                <ptCount val="5"/>
                <pt idx="0">
                  <v>0.546</v>
                </pt>
                <pt idx="1">
                  <v>0.487</v>
                </pt>
                <pt idx="2">
                  <v>0.176</v>
                </pt>
                <pt idx="3">
                  <v>0.034</v>
                </pt>
              </numCache>
            </numRef>
          </val>
        </ser>
        <ser>
          <idx val="1"/>
          <order val="1"/>
          <tx>
            <strRef>
              <f>Charts_Corrected!$C$57</f>
              <strCache>
                <ptCount val="1"/>
                <pt idx="0">
                  <v>Extension</v>
                </pt>
              </strCache>
            </strRef>
          </tx>
          <spPr>
            <a:ln xmlns:a="http://schemas.openxmlformats.org/drawingml/2006/main">
              <a:prstDash val="solid"/>
            </a:ln>
          </spPr>
          <invertIfNegative val="1"/>
          <cat>
            <strRef>
              <f>Charts_Corrected!$A$58:$A$62</f>
              <strCache>
                <ptCount val="4"/>
                <pt idx="0">
                  <v>Majority floor</v>
                </pt>
                <pt idx="1">
                  <v>Deployed model</v>
                </pt>
                <pt idx="2">
                  <v>FinBERT</v>
                </pt>
                <pt idx="3">
                  <v>Loughran-McDonald</v>
                </pt>
              </strCache>
            </strRef>
          </cat>
          <val>
            <numRef>
              <f>Charts_Corrected!$C$58:$C$62</f>
              <numCache>
                <formatCode>0.0%</formatCode>
                <ptCount val="5"/>
                <pt idx="0">
                  <v>0.5</v>
                </pt>
                <pt idx="1">
                  <v>0.382</v>
                </pt>
                <pt idx="2">
                  <v>0.147</v>
                </pt>
                <pt idx="3">
                  <v>0.029</v>
                </pt>
              </numCache>
            </numRef>
          </val>
        </ser>
        <ser>
          <idx val="2"/>
          <order val="2"/>
          <tx>
            <strRef>
              <f>Charts_Corrected!$D$57</f>
              <strCache>
                <ptCount val="1"/>
                <pt idx="0">
                  <v>Combined-eval</v>
                </pt>
              </strCache>
            </strRef>
          </tx>
          <spPr>
            <a:ln xmlns:a="http://schemas.openxmlformats.org/drawingml/2006/main">
              <a:prstDash val="solid"/>
            </a:ln>
          </spPr>
          <invertIfNegative val="1"/>
          <cat>
            <strRef>
              <f>Charts_Corrected!$A$58:$A$62</f>
              <strCache>
                <ptCount val="4"/>
                <pt idx="0">
                  <v>Majority floor</v>
                </pt>
                <pt idx="1">
                  <v>Deployed model</v>
                </pt>
                <pt idx="2">
                  <v>FinBERT</v>
                </pt>
                <pt idx="3">
                  <v>Loughran-McDonald</v>
                </pt>
              </strCache>
            </strRef>
          </cat>
          <val>
            <numRef>
              <f>Charts_Corrected!$D$58:$D$62</f>
              <numCache>
                <formatCode>0.0%</formatCode>
                <ptCount val="5"/>
                <pt idx="0">
                  <v>0.536</v>
                </pt>
                <pt idx="1">
                  <v>0.464</v>
                </pt>
                <pt idx="2">
                  <v>0.17</v>
                </pt>
                <pt idx="3">
                  <v>0.033</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6"/>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The model holds far more on the extension than the frozen set</a:t>
            </a:r>
          </a:p>
        </rich>
      </tx>
      <overlay val="1"/>
    </title>
    <plotArea>
      <layout/>
      <barChart>
        <barDir val="col"/>
        <grouping val="clustered"/>
        <varyColors val="1"/>
        <ser>
          <idx val="0"/>
          <order val="0"/>
          <tx>
            <strRef>
              <f>Charts_Corrected!$B$66</f>
              <strCache>
                <ptCount val="1"/>
                <pt idx="0">
                  <v>Human (170 paired)</v>
                </pt>
              </strCache>
            </strRef>
          </tx>
          <spPr>
            <a:ln xmlns:a="http://schemas.openxmlformats.org/drawingml/2006/main">
              <a:prstDash val="solid"/>
            </a:ln>
          </spPr>
          <invertIfNegative val="1"/>
          <cat>
            <strRef>
              <f>Charts_Corrected!$A$67:$A$70</f>
              <strCache>
                <ptCount val="3"/>
                <pt idx="0">
                  <v>BUY</v>
                </pt>
                <pt idx="1">
                  <v>HOLD</v>
                </pt>
                <pt idx="2">
                  <v>SELL</v>
                </pt>
              </strCache>
            </strRef>
          </cat>
          <val>
            <numRef>
              <f>Charts_Corrected!$B$67:$B$70</f>
              <numCache>
                <formatCode>0.0%</formatCode>
                <ptCount val="4"/>
                <pt idx="0">
                  <v>0.5590000000000001</v>
                </pt>
                <pt idx="1">
                  <v>0.235</v>
                </pt>
                <pt idx="2">
                  <v>0.206</v>
                </pt>
              </numCache>
            </numRef>
          </val>
        </ser>
        <ser>
          <idx val="1"/>
          <order val="1"/>
          <tx>
            <strRef>
              <f>Charts_Corrected!$C$66</f>
              <strCache>
                <ptCount val="1"/>
                <pt idx="0">
                  <v>Model (170 paired)</v>
                </pt>
              </strCache>
            </strRef>
          </tx>
          <spPr>
            <a:ln xmlns:a="http://schemas.openxmlformats.org/drawingml/2006/main">
              <a:prstDash val="solid"/>
            </a:ln>
          </spPr>
          <invertIfNegative val="1"/>
          <cat>
            <strRef>
              <f>Charts_Corrected!$A$67:$A$70</f>
              <strCache>
                <ptCount val="3"/>
                <pt idx="0">
                  <v>BUY</v>
                </pt>
                <pt idx="1">
                  <v>HOLD</v>
                </pt>
                <pt idx="2">
                  <v>SELL</v>
                </pt>
              </strCache>
            </strRef>
          </cat>
          <val>
            <numRef>
              <f>Charts_Corrected!$C$67:$C$70</f>
              <numCache>
                <formatCode>0.0%</formatCode>
                <ptCount val="4"/>
                <pt idx="0">
                  <v>0.424</v>
                </pt>
                <pt idx="1">
                  <v>0.312</v>
                </pt>
                <pt idx="2">
                  <v>0.265</v>
                </pt>
              </numCache>
            </numRef>
          </val>
        </ser>
        <ser>
          <idx val="2"/>
          <order val="2"/>
          <tx>
            <strRef>
              <f>Charts_Corrected!$D$66</f>
              <strCache>
                <ptCount val="1"/>
                <pt idx="0">
                  <v>Model extension</v>
                </pt>
              </strCache>
            </strRef>
          </tx>
          <spPr>
            <a:ln xmlns:a="http://schemas.openxmlformats.org/drawingml/2006/main">
              <a:prstDash val="solid"/>
            </a:ln>
          </spPr>
          <invertIfNegative val="1"/>
          <cat>
            <strRef>
              <f>Charts_Corrected!$A$67:$A$70</f>
              <strCache>
                <ptCount val="3"/>
                <pt idx="0">
                  <v>BUY</v>
                </pt>
                <pt idx="1">
                  <v>HOLD</v>
                </pt>
                <pt idx="2">
                  <v>SELL</v>
                </pt>
              </strCache>
            </strRef>
          </cat>
          <val>
            <numRef>
              <f>Charts_Corrected!$D$67:$D$70</f>
              <numCache>
                <formatCode>0.0%</formatCode>
                <ptCount val="4"/>
                <pt idx="0">
                  <v>0.441</v>
                </pt>
                <pt idx="1">
                  <v>0.43</v>
                </pt>
                <pt idx="2">
                  <v>0.129</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75"/>
        </scaling>
        <delete val="0"/>
        <axPos val="l"/>
        <majorGridlines/>
        <title>
          <tx>
            <rich>
              <a:bodyPr xmlns:a="http://schemas.openxmlformats.org/drawingml/2006/main"/>
              <a:lstStyle xmlns:a="http://schemas.openxmlformats.org/drawingml/2006/main"/>
              <a:p xmlns:a="http://schemas.openxmlformats.org/drawingml/2006/main">
                <a:pPr>
                  <a:defRPr/>
                </a:pPr>
                <a:r>
                  <a:rPr lang="en-GB"/>
                  <a:t>Share of calls</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Every accuracy claim rests on the graded row</a:t>
            </a:r>
          </a:p>
        </rich>
      </tx>
      <overlay val="1"/>
    </title>
    <plotArea>
      <layout/>
      <barChart>
        <barDir val="col"/>
        <grouping val="clustered"/>
        <varyColors val="1"/>
        <ser>
          <idx val="0"/>
          <order val="0"/>
          <tx>
            <strRef>
              <f>Charts_Corrected!$B$74</f>
              <strCache>
                <ptCount val="1"/>
                <pt idx="0">
                  <v>Frozen</v>
                </pt>
              </strCache>
            </strRef>
          </tx>
          <spPr>
            <a:ln xmlns:a="http://schemas.openxmlformats.org/drawingml/2006/main">
              <a:prstDash val="solid"/>
            </a:ln>
          </spPr>
          <invertIfNegative val="1"/>
          <cat>
            <strRef>
              <f>Charts_Corrected!$A$75:$A$79</f>
              <strCache>
                <ptCount val="4"/>
                <pt idx="0">
                  <v>Clean universe</v>
                </pt>
                <pt idx="1">
                  <v>Traded</v>
                </pt>
                <pt idx="2">
                  <v>Graded</v>
                </pt>
                <pt idx="3">
                  <v>Correct</v>
                </pt>
              </strCache>
            </strRef>
          </cat>
          <val>
            <numRef>
              <f>Charts_Corrected!$B$75:$B$79</f>
              <numCache>
                <formatCode>#,##0</formatCode>
                <ptCount val="5"/>
                <pt idx="0">
                  <v>232</v>
                </pt>
                <pt idx="1">
                  <v>168</v>
                </pt>
                <pt idx="2">
                  <v>109</v>
                </pt>
                <pt idx="3">
                  <v>68</v>
                </pt>
              </numCache>
            </numRef>
          </val>
        </ser>
        <ser>
          <idx val="1"/>
          <order val="1"/>
          <tx>
            <strRef>
              <f>Charts_Corrected!$C$74</f>
              <strCache>
                <ptCount val="1"/>
                <pt idx="0">
                  <v>Extension</v>
                </pt>
              </strCache>
            </strRef>
          </tx>
          <spPr>
            <a:ln xmlns:a="http://schemas.openxmlformats.org/drawingml/2006/main">
              <a:prstDash val="solid"/>
            </a:ln>
          </spPr>
          <invertIfNegative val="1"/>
          <cat>
            <strRef>
              <f>Charts_Corrected!$A$75:$A$79</f>
              <strCache>
                <ptCount val="4"/>
                <pt idx="0">
                  <v>Clean universe</v>
                </pt>
                <pt idx="1">
                  <v>Traded</v>
                </pt>
                <pt idx="2">
                  <v>Graded</v>
                </pt>
                <pt idx="3">
                  <v>Correct</v>
                </pt>
              </strCache>
            </strRef>
          </cat>
          <val>
            <numRef>
              <f>Charts_Corrected!$C$75:$C$79</f>
              <numCache>
                <formatCode>#,##0</formatCode>
                <ptCount val="5"/>
                <pt idx="0">
                  <v>93</v>
                </pt>
                <pt idx="1">
                  <v>53</v>
                </pt>
                <pt idx="2">
                  <v>18</v>
                </pt>
                <pt idx="3">
                  <v>13</v>
                </pt>
              </numCache>
            </numRef>
          </val>
        </ser>
        <ser>
          <idx val="2"/>
          <order val="2"/>
          <tx>
            <strRef>
              <f>Charts_Corrected!$D$74</f>
              <strCache>
                <ptCount val="1"/>
                <pt idx="0">
                  <v>Combined</v>
                </pt>
              </strCache>
            </strRef>
          </tx>
          <spPr>
            <a:ln xmlns:a="http://schemas.openxmlformats.org/drawingml/2006/main">
              <a:prstDash val="solid"/>
            </a:ln>
          </spPr>
          <invertIfNegative val="1"/>
          <cat>
            <strRef>
              <f>Charts_Corrected!$A$75:$A$79</f>
              <strCache>
                <ptCount val="4"/>
                <pt idx="0">
                  <v>Clean universe</v>
                </pt>
                <pt idx="1">
                  <v>Traded</v>
                </pt>
                <pt idx="2">
                  <v>Graded</v>
                </pt>
                <pt idx="3">
                  <v>Correct</v>
                </pt>
              </strCache>
            </strRef>
          </cat>
          <val>
            <numRef>
              <f>Charts_Corrected!$D$75:$D$79</f>
              <numCache>
                <formatCode>#,##0</formatCode>
                <ptCount val="5"/>
                <pt idx="0">
                  <v>325</v>
                </pt>
                <pt idx="1">
                  <v>221</v>
                </pt>
                <pt idx="2">
                  <v>127</v>
                </pt>
                <pt idx="3">
                  <v>81</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350"/>
        </scaling>
        <delete val="0"/>
        <axPos val="l"/>
        <majorGridlines/>
        <title>
          <tx>
            <rich>
              <a:bodyPr xmlns:a="http://schemas.openxmlformats.org/drawingml/2006/main"/>
              <a:lstStyle xmlns:a="http://schemas.openxmlformats.org/drawingml/2006/main"/>
              <a:p xmlns:a="http://schemas.openxmlformats.org/drawingml/2006/main">
                <a:pPr>
                  <a:defRPr/>
                </a:pPr>
                <a:r>
                  <a:rPr lang="en-US"/>
                  <a:t>Events</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1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Accuracy by conviction band</a:t>
            </a:r>
          </a:p>
        </rich>
      </tx>
      <overlay val="1"/>
    </title>
    <plotArea>
      <layout/>
      <barChart>
        <barDir val="col"/>
        <grouping val="clustered"/>
        <varyColors val="1"/>
        <ser>
          <idx val="0"/>
          <order val="0"/>
          <tx>
            <strRef>
              <f>Trader_View!$D$5</f>
              <strCache>
                <ptCount val="1"/>
                <pt idx="0">
                  <v>Accuracy</v>
                </pt>
              </strCache>
            </strRef>
          </tx>
          <spPr>
            <a:ln xmlns:a="http://schemas.openxmlformats.org/drawingml/2006/main">
              <a:prstDash val="solid"/>
            </a:ln>
          </spPr>
          <invertIfNegative val="1"/>
          <cat>
            <strRef>
              <f>Trader_View!$A$6:$A$12</f>
              <strCache>
                <ptCount val="6"/>
                <pt idx="0">
                  <v>SELL, below −0.30</v>
                </pt>
                <pt idx="1">
                  <v>SELL, −0.30 to −0.15</v>
                </pt>
                <pt idx="2">
                  <v>SELL, −0.15 to −0.10</v>
                </pt>
                <pt idx="3">
                  <v>BUY, +0.20 to +0.35</v>
                </pt>
                <pt idx="4">
                  <v>BUY, +0.35 to +0.45</v>
                </pt>
                <pt idx="5">
                  <v>BUY, above +0.45</v>
                </pt>
              </strCache>
            </strRef>
          </cat>
          <val>
            <numRef>
              <f>Trader_View!$D$6:$D$12</f>
              <numCache>
                <formatCode>0.0%</formatCode>
                <ptCount val="7"/>
                <pt idx="0">
                  <v>0.722</v>
                </pt>
                <pt idx="1">
                  <v>0.778</v>
                </pt>
                <pt idx="2">
                  <v>0.857</v>
                </pt>
                <pt idx="3">
                  <v>0.488</v>
                </pt>
                <pt idx="4">
                  <v>0.643</v>
                </pt>
                <pt idx="5">
                  <v>0.667</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5"/>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Distribution of per-trade net returns (146 trades)</a:t>
            </a:r>
          </a:p>
        </rich>
      </tx>
      <overlay val="1"/>
    </title>
    <plotArea>
      <layout/>
      <barChart>
        <barDir val="col"/>
        <grouping val="clustered"/>
        <varyColors val="1"/>
        <ser>
          <idx val="0"/>
          <order val="0"/>
          <tx>
            <strRef>
              <f>Trader_View!$B$16</f>
              <strCache>
                <ptCount val="1"/>
                <pt idx="0">
                  <v>Trades</v>
                </pt>
              </strCache>
            </strRef>
          </tx>
          <spPr>
            <a:ln xmlns:a="http://schemas.openxmlformats.org/drawingml/2006/main">
              <a:prstDash val="solid"/>
            </a:ln>
          </spPr>
          <invertIfNegative val="1"/>
          <cat>
            <strRef>
              <f>Trader_View!$A$17:$A$23</f>
              <strCache>
                <ptCount val="6"/>
                <pt idx="0">
                  <v>Loss worse than −10%</v>
                </pt>
                <pt idx="1">
                  <v>−10% to −5%</v>
                </pt>
                <pt idx="2">
                  <v>−5% to 0%</v>
                </pt>
                <pt idx="3">
                  <v>0% to +5%</v>
                </pt>
                <pt idx="4">
                  <v>+5% to +10%</v>
                </pt>
                <pt idx="5">
                  <v>Above +10%</v>
                </pt>
              </strCache>
            </strRef>
          </cat>
          <val>
            <numRef>
              <f>Trader_View!$B$17:$B$23</f>
              <numCache>
                <formatCode>#,##0</formatCode>
                <ptCount val="7"/>
                <pt idx="0">
                  <v>1</v>
                </pt>
                <pt idx="1">
                  <v>17</v>
                </pt>
                <pt idx="2">
                  <v>48</v>
                </pt>
                <pt idx="3">
                  <v>62</v>
                </pt>
                <pt idx="4">
                  <v>25</v>
                </pt>
                <pt idx="5">
                  <v>15</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55"/>
        </scaling>
        <delete val="0"/>
        <axPos val="l"/>
        <majorGridlines/>
        <title>
          <tx>
            <rich>
              <a:bodyPr xmlns:a="http://schemas.openxmlformats.org/drawingml/2006/main"/>
              <a:lstStyle xmlns:a="http://schemas.openxmlformats.org/drawingml/2006/main"/>
              <a:p xmlns:a="http://schemas.openxmlformats.org/drawingml/2006/main">
                <a:pPr>
                  <a:defRPr/>
                </a:pPr>
                <a:r>
                  <a:rPr lang="en-GB"/>
                  <a:t>Trades</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Accuracy and return by realised move size</a:t>
            </a:r>
          </a:p>
        </rich>
      </tx>
      <overlay val="1"/>
    </title>
    <plotArea>
      <layout/>
      <barChart>
        <barDir val="col"/>
        <grouping val="clustered"/>
        <varyColors val="1"/>
        <ser>
          <idx val="0"/>
          <order val="0"/>
          <tx>
            <strRef>
              <f>Trader_View!$C$36</f>
              <strCache>
                <ptCount val="1"/>
                <pt idx="0">
                  <v>Accuracy</v>
                </pt>
              </strCache>
            </strRef>
          </tx>
          <spPr>
            <a:ln xmlns:a="http://schemas.openxmlformats.org/drawingml/2006/main">
              <a:prstDash val="solid"/>
            </a:ln>
          </spPr>
          <invertIfNegative val="1"/>
          <cat>
            <strRef>
              <f>Trader_View!$A$37:$A$40</f>
              <strCache>
                <ptCount val="3"/>
                <pt idx="0">
                  <v>2% to 5%</v>
                </pt>
                <pt idx="1">
                  <v>5% to 10%</v>
                </pt>
                <pt idx="2">
                  <v>Above 10%</v>
                </pt>
              </strCache>
            </strRef>
          </cat>
          <val>
            <numRef>
              <f>Trader_View!$C$37:$C$40</f>
              <numCache>
                <formatCode>0.0%</formatCode>
                <ptCount val="4"/>
                <pt idx="0">
                  <v>0.531</v>
                </pt>
                <pt idx="1">
                  <v>0.614</v>
                </pt>
                <pt idx="2">
                  <v>0.9379999999999999</v>
                </pt>
              </numCache>
            </numRef>
          </val>
        </ser>
        <ser>
          <idx val="1"/>
          <order val="1"/>
          <tx>
            <strRef>
              <f>Trader_View!$D$36</f>
              <strCache>
                <ptCount val="1"/>
                <pt idx="0">
                  <v>Mean net per trade</v>
                </pt>
              </strCache>
            </strRef>
          </tx>
          <spPr>
            <a:ln xmlns:a="http://schemas.openxmlformats.org/drawingml/2006/main">
              <a:prstDash val="solid"/>
            </a:ln>
          </spPr>
          <invertIfNegative val="1"/>
          <cat>
            <strRef>
              <f>Trader_View!$A$37:$A$40</f>
              <strCache>
                <ptCount val="3"/>
                <pt idx="0">
                  <v>2% to 5%</v>
                </pt>
                <pt idx="1">
                  <v>5% to 10%</v>
                </pt>
                <pt idx="2">
                  <v>Above 10%</v>
                </pt>
              </strCache>
            </strRef>
          </cat>
          <val>
            <numRef>
              <f>Trader_View!$D$37:$D$40</f>
              <numCache>
                <formatCode>0.0%</formatCode>
                <ptCount val="4"/>
                <pt idx="0">
                  <v>0.0009</v>
                </pt>
                <pt idx="1">
                  <v>0.0153</v>
                </pt>
                <pt idx="2">
                  <v>0.1398</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1"/>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1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Accuracy rises and coverage falls as the band widens</a:t>
            </a:r>
          </a:p>
        </rich>
      </tx>
      <overlay val="1"/>
    </title>
    <plotArea>
      <layout/>
      <barChart>
        <barDir val="col"/>
        <grouping val="clustered"/>
        <varyColors val="1"/>
        <ser>
          <idx val="0"/>
          <order val="0"/>
          <tx>
            <strRef>
              <f>Trader_View!$C$44</f>
              <strCache>
                <ptCount val="1"/>
                <pt idx="0">
                  <v>Accuracy</v>
                </pt>
              </strCache>
            </strRef>
          </tx>
          <spPr>
            <a:ln xmlns:a="http://schemas.openxmlformats.org/drawingml/2006/main">
              <a:prstDash val="solid"/>
            </a:ln>
          </spPr>
          <invertIfNegative val="1"/>
          <cat>
            <strRef>
              <f>Trader_View!$A$45:$A$51</f>
              <strCache>
                <ptCount val="6"/>
                <pt idx="0">
                  <v>±0%</v>
                </pt>
                <pt idx="1">
                  <v>±1%</v>
                </pt>
                <pt idx="2">
                  <v>±2% (pre-registered)</v>
                </pt>
                <pt idx="3">
                  <v>±3%</v>
                </pt>
                <pt idx="4">
                  <v>±4%</v>
                </pt>
                <pt idx="5">
                  <v>±5%</v>
                </pt>
              </strCache>
            </strRef>
          </cat>
          <val>
            <numRef>
              <f>Trader_View!$C$45:$C$51</f>
              <numCache>
                <formatCode>@</formatCode>
                <ptCount val="7"/>
                <pt idx="0">
                  <v>0</v>
                </pt>
                <pt idx="1">
                  <v>0</v>
                </pt>
                <pt idx="2">
                  <v>0</v>
                </pt>
                <pt idx="3">
                  <formatCode>0.0%</formatCode>
                  <v>0</v>
                </pt>
                <pt idx="4">
                  <formatCode>0.0%</formatCode>
                  <v>0</v>
                </pt>
                <pt idx="5">
                  <formatCode>0.0%</formatCode>
                  <v>0.7</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scaling>
        <delete val="0"/>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Mean net per trade by event set</a:t>
            </a:r>
          </a:p>
        </rich>
      </tx>
      <overlay val="1"/>
    </title>
    <plotArea>
      <layout/>
      <barChart>
        <barDir val="col"/>
        <grouping val="clustered"/>
        <varyColors val="1"/>
        <ser>
          <idx val="0"/>
          <order val="0"/>
          <tx>
            <strRef>
              <f>Trader_View!$C$55</f>
              <strCache>
                <ptCount val="1"/>
                <pt idx="0">
                  <v>Mean net per trade</v>
                </pt>
              </strCache>
            </strRef>
          </tx>
          <spPr>
            <a:ln xmlns:a="http://schemas.openxmlformats.org/drawingml/2006/main">
              <a:prstDash val="solid"/>
            </a:ln>
          </spPr>
          <invertIfNegative val="1"/>
          <cat>
            <strRef>
              <f>Trader_View!$A$56:$A$59</f>
              <strCache>
                <ptCount val="3"/>
                <pt idx="0">
                  <v>Frozen</v>
                </pt>
                <pt idx="1">
                  <v>Extension</v>
                </pt>
                <pt idx="2">
                  <v>Combined</v>
                </pt>
              </strCache>
            </strRef>
          </cat>
          <val>
            <numRef>
              <f>Trader_View!$C$56:$C$59</f>
              <numCache>
                <formatCode>0.0%</formatCode>
                <ptCount val="4"/>
                <pt idx="0">
                  <formatCode>@</formatCode>
                  <v>0</v>
                </pt>
                <pt idx="1">
                  <v>0.014885</v>
                </pt>
                <pt idx="2">
                  <v>0.017225</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025"/>
        </scaling>
        <delete val="0"/>
        <axPos val="l"/>
        <majorGridlines/>
        <title>
          <tx>
            <rich>
              <a:bodyPr xmlns:a="http://schemas.openxmlformats.org/drawingml/2006/main"/>
              <a:lstStyle xmlns:a="http://schemas.openxmlformats.org/drawingml/2006/main"/>
              <a:p xmlns:a="http://schemas.openxmlformats.org/drawingml/2006/main">
                <a:pPr>
                  <a:defRPr/>
                </a:pPr>
                <a:r>
                  <a:rPr lang="en-GB"/>
                  <a:t>Return</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Mean net per trade: model against each rater</a:t>
            </a:r>
          </a:p>
        </rich>
      </tx>
      <overlay val="1"/>
    </title>
    <plotArea>
      <layout/>
      <barChart>
        <barDir val="col"/>
        <grouping val="clustered"/>
        <varyColors val="1"/>
        <ser>
          <idx val="0"/>
          <order val="0"/>
          <tx>
            <strRef>
              <f>Trader_View!$C$61</f>
              <strCache>
                <ptCount val="1"/>
                <pt idx="0">
                  <v>Mean net per trade</v>
                </pt>
              </strCache>
            </strRef>
          </tx>
          <spPr>
            <a:ln xmlns:a="http://schemas.openxmlformats.org/drawingml/2006/main">
              <a:prstDash val="solid"/>
            </a:ln>
          </spPr>
          <invertIfNegative val="1"/>
          <cat>
            <strRef>
              <f>Trader_View!$A$62:$A$69</f>
              <strCache>
                <ptCount val="7"/>
                <pt idx="0">
                  <v>Model</v>
                </pt>
                <pt idx="1">
                  <v>Abdul</v>
                </pt>
                <pt idx="2">
                  <v>Meriem</v>
                </pt>
                <pt idx="3">
                  <v>Anna</v>
                </pt>
                <pt idx="4">
                  <v>Dragos</v>
                </pt>
                <pt idx="5">
                  <v>Nigel</v>
                </pt>
                <pt idx="6">
                  <v>David</v>
                </pt>
              </strCache>
            </strRef>
          </cat>
          <val>
            <numRef>
              <f>Trader_View!$C$62:$C$69</f>
              <numCache>
                <formatCode>0.0%</formatCode>
                <ptCount val="8"/>
                <pt idx="0">
                  <v>0.017963</v>
                </pt>
                <pt idx="1">
                  <v>0.02123</v>
                </pt>
                <pt idx="2">
                  <v>0.01309</v>
                </pt>
                <pt idx="3">
                  <v>0.01183</v>
                </pt>
                <pt idx="4">
                  <v>-0.00247</v>
                </pt>
                <pt idx="5">
                  <v>5e-05</v>
                </pt>
                <pt idx="6">
                  <v>-0.02522</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title>
          <tx>
            <rich>
              <a:bodyPr xmlns:a="http://schemas.openxmlformats.org/drawingml/2006/main"/>
              <a:lstStyle xmlns:a="http://schemas.openxmlformats.org/drawingml/2006/main"/>
              <a:p xmlns:a="http://schemas.openxmlformats.org/drawingml/2006/main">
                <a:pPr>
                  <a:defRPr/>
                </a:pPr>
                <a:r>
                  <a:rPr lang="en-GB"/>
                  <a:t>Return</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Cost per correct directional call</a:t>
            </a:r>
          </a:p>
        </rich>
      </tx>
      <overlay val="1"/>
    </title>
    <plotArea>
      <layout/>
      <barChart>
        <barDir val="col"/>
        <grouping val="clustered"/>
        <varyColors val="1"/>
        <ser>
          <idx val="0"/>
          <order val="0"/>
          <tx>
            <strRef>
              <f>Efficiency_Corrected!$B$5</f>
              <strCache>
                <ptCount val="1"/>
                <pt idx="0">
                  <v>Cost per correct call</v>
                </pt>
              </strCache>
            </strRef>
          </tx>
          <spPr>
            <a:ln xmlns:a="http://schemas.openxmlformats.org/drawingml/2006/main">
              <a:prstDash val="solid"/>
            </a:ln>
          </spPr>
          <invertIfNegative val="1"/>
          <cat>
            <strRef>
              <f>Efficiency_Corrected!$A$6:$A$10</f>
              <strCache>
                <ptCount val="4"/>
                <pt idx="0">
                  <v>Full bundle</v>
                </pt>
                <pt idx="1">
                  <v>Press release</v>
                </pt>
                <pt idx="2">
                  <v>Prepared remarks</v>
                </pt>
                <pt idx="3">
                  <v>Q&amp;A only</v>
                </pt>
              </strCache>
            </strRef>
          </cat>
          <val>
            <numRef>
              <f>Efficiency_Corrected!$B$6:$B$10</f>
              <numCache>
                <formatCode>\$0.000</formatCode>
                <ptCount val="5"/>
                <pt idx="0">
                  <v>0</v>
                </pt>
                <pt idx="1">
                  <v>0.0225</v>
                </pt>
                <pt idx="2">
                  <v>0</v>
                </pt>
                <pt idx="3">
                  <v>0</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04"/>
        </scaling>
        <delete val="0"/>
        <axPos val="l"/>
        <majorGridlines/>
        <title>
          <tx>
            <rich>
              <a:bodyPr xmlns:a="http://schemas.openxmlformats.org/drawingml/2006/main"/>
              <a:lstStyle xmlns:a="http://schemas.openxmlformats.org/drawingml/2006/main"/>
              <a:p xmlns:a="http://schemas.openxmlformats.org/drawingml/2006/main">
                <a:pPr>
                  <a:defRPr/>
                </a:pPr>
                <a:r>
                  <a:rPr lang="en-GB"/>
                  <a:t>USD</a:t>
                </a:r>
              </a:p>
            </rich>
          </tx>
          <overlay val="1"/>
        </title>
        <numFmt formatCode="\$0.000" sourceLinked="0"/>
        <majorTickMark val="none"/>
        <minorTickMark val="none"/>
        <tickLblPos val="nextTo"/>
        <crossAx val="10"/>
        <crosses val="autoZero"/>
        <crossBetween val="between"/>
      </valAx>
    </plotArea>
    <legend>
      <legendPos val="r"/>
      <overlay val="0"/>
    </legend>
    <plotVisOnly val="1"/>
    <dispBlanksAs val="gap"/>
  </chart>
</chartSpace>
</file>

<file path=xl/charts/chart1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Human reading time by information set</a:t>
            </a:r>
          </a:p>
        </rich>
      </tx>
      <overlay val="1"/>
    </title>
    <plotArea>
      <layout/>
      <barChart>
        <barDir val="col"/>
        <grouping val="clustered"/>
        <varyColors val="1"/>
        <ser>
          <idx val="0"/>
          <order val="0"/>
          <tx>
            <strRef>
              <f>Efficiency_Corrected!$B$14</f>
              <strCache>
                <ptCount val="1"/>
                <pt idx="0">
                  <v>Mean minutes</v>
                </pt>
              </strCache>
            </strRef>
          </tx>
          <spPr>
            <a:ln xmlns:a="http://schemas.openxmlformats.org/drawingml/2006/main">
              <a:prstDash val="solid"/>
            </a:ln>
          </spPr>
          <invertIfNegative val="1"/>
          <cat>
            <strRef>
              <f>Efficiency_Corrected!$A$15:$A$22</f>
              <strCache>
                <ptCount val="7"/>
                <pt idx="0">
                  <v>Press release only</v>
                </pt>
                <pt idx="1">
                  <v>Guidance only</v>
                </pt>
                <pt idx="2">
                  <v>Presentation only</v>
                </pt>
                <pt idx="3">
                  <v>Financials only</v>
                </pt>
                <pt idx="4">
                  <v>Q&amp;A only</v>
                </pt>
                <pt idx="5">
                  <v>Full document</v>
                </pt>
                <pt idx="6">
                  <v>Transcript only</v>
                </pt>
              </strCache>
            </strRef>
          </cat>
          <val>
            <numRef>
              <f>Efficiency_Corrected!$B$15:$B$22</f>
              <numCache>
                <formatCode>0.0</formatCode>
                <ptCount val="8"/>
                <pt idx="0">
                  <v>15</v>
                </pt>
                <pt idx="1">
                  <v>18.7</v>
                </pt>
                <pt idx="2">
                  <v>19.8</v>
                </pt>
                <pt idx="3">
                  <v>20.3</v>
                </pt>
                <pt idx="4">
                  <v>29.4</v>
                </pt>
                <pt idx="5">
                  <v>29.8</v>
                </pt>
                <pt idx="6">
                  <v>33.5</v>
                </pt>
              </numCache>
            </numRef>
          </val>
        </ser>
        <dLbls>
          <showLegendKey val="0"/>
          <showVal val="0"/>
          <showCatName val="0"/>
          <showSerName val="0"/>
          <showPercent val="0"/>
          <showBubbleSize val="0"/>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40"/>
        </scaling>
        <delete val="0"/>
        <axPos val="l"/>
        <majorGridlines/>
        <title>
          <tx>
            <rich>
              <a:bodyPr xmlns:a="http://schemas.openxmlformats.org/drawingml/2006/main"/>
              <a:lstStyle xmlns:a="http://schemas.openxmlformats.org/drawingml/2006/main"/>
              <a:p xmlns:a="http://schemas.openxmlformats.org/drawingml/2006/main">
                <a:pPr>
                  <a:defRPr/>
                </a:pPr>
                <a:r>
                  <a:rPr lang="en-GB"/>
                  <a:t>Minutes</a:t>
                </a:r>
              </a:p>
            </rich>
          </tx>
          <overlay val="1"/>
        </title>
        <numFmt formatCode="0" sourceLinked="0"/>
        <majorTickMark val="none"/>
        <minorTickMark val="none"/>
        <tickLblPos val="nextTo"/>
        <crossAx val="10"/>
        <crosses val="autoZero"/>
        <crossBetween val="between"/>
      </valAx>
    </plotArea>
    <legend>
      <legendPos val="r"/>
      <overlay val="0"/>
    </legend>
    <plotVisOnly val="1"/>
    <dispBlanksAs val="gap"/>
  </chart>
</chartSpace>
</file>

<file path=xl/charts/chart1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Model call composition by realised outcome (frozen, N=233)</a:t>
            </a:r>
          </a:p>
        </rich>
      </tx>
      <overlay val="1"/>
    </title>
    <plotArea>
      <layout/>
      <barChart>
        <barDir val="col"/>
        <grouping val="stacked"/>
        <varyColors val="1"/>
        <ser>
          <idx val="0"/>
          <order val="0"/>
          <tx>
            <strRef>
              <f>Confusion_Matrices!$B$4</f>
              <strCache>
                <ptCount val="1"/>
                <pt idx="0">
                  <v>Outcome UP (ret&gt;2%)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Confusion_Matrices!$A$5:$A$7</f>
              <strCache>
                <ptCount val="3"/>
                <pt idx="0">
                  <v>Call BUY</v>
                </pt>
                <pt idx="1">
                  <v>Call HOLD</v>
                </pt>
                <pt idx="2">
                  <v>Call SELL</v>
                </pt>
              </strCache>
            </strRef>
          </cat>
          <val>
            <numRef>
              <f>Confusion_Matrices!$B$5:$B$7</f>
              <numCache>
                <formatCode>General</formatCode>
                <ptCount val="3"/>
                <pt idx="0">
                  <v>42</v>
                </pt>
                <pt idx="1">
                  <v>16</v>
                </pt>
                <pt idx="2">
                  <v>8</v>
                </pt>
              </numCache>
            </numRef>
          </val>
        </ser>
        <ser>
          <idx val="1"/>
          <order val="1"/>
          <tx>
            <strRef>
              <f>Confusion_Matrices!$C$4</f>
              <strCache>
                <ptCount val="1"/>
                <pt idx="0">
                  <v>Outcome FLAT (|ret|≤2%)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Confusion_Matrices!$A$5:$A$7</f>
              <strCache>
                <ptCount val="3"/>
                <pt idx="0">
                  <v>Call BUY</v>
                </pt>
                <pt idx="1">
                  <v>Call HOLD</v>
                </pt>
                <pt idx="2">
                  <v>Call SELL</v>
                </pt>
              </strCache>
            </strRef>
          </cat>
          <val>
            <numRef>
              <f>Confusion_Matrices!$C$5:$C$7</f>
              <numCache>
                <formatCode>General</formatCode>
                <ptCount val="3"/>
                <pt idx="0">
                  <v>40</v>
                </pt>
                <pt idx="1">
                  <v>28</v>
                </pt>
                <pt idx="2">
                  <v>19</v>
                </pt>
              </numCache>
            </numRef>
          </val>
        </ser>
        <ser>
          <idx val="2"/>
          <order val="2"/>
          <tx>
            <strRef>
              <f>Confusion_Matrices!$D$4</f>
              <strCache>
                <ptCount val="1"/>
                <pt idx="0">
                  <v>Outcome DOWN (ret&lt;-2%)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Confusion_Matrices!$A$5:$A$7</f>
              <strCache>
                <ptCount val="3"/>
                <pt idx="0">
                  <v>Call BUY</v>
                </pt>
                <pt idx="1">
                  <v>Call HOLD</v>
                </pt>
                <pt idx="2">
                  <v>Call SELL</v>
                </pt>
              </strCache>
            </strRef>
          </cat>
          <val>
            <numRef>
              <f>Confusion_Matrices!$D$5:$D$7</f>
              <numCache>
                <formatCode>General</formatCode>
                <ptCount val="3"/>
                <pt idx="0">
                  <v>33</v>
                </pt>
                <pt idx="1">
                  <v>20</v>
                </pt>
                <pt idx="2">
                  <v>26</v>
                </pt>
              </numCache>
            </numRef>
          </val>
        </ser>
        <dLbls>
          <showLegendKey val="1"/>
          <showVal val="1"/>
          <showCatName val="1"/>
          <showSerName val="1"/>
          <showPercent val="1"/>
          <showBubbleSize val="1"/>
        </dLbls>
        <gapWidth val="150"/>
        <overlap val="10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title>
          <tx>
            <rich>
              <a:bodyPr xmlns:a="http://schemas.openxmlformats.org/drawingml/2006/main"/>
              <a:lstStyle xmlns:a="http://schemas.openxmlformats.org/drawingml/2006/main"/>
              <a:p xmlns:a="http://schemas.openxmlformats.org/drawingml/2006/main">
                <a:pPr>
                  <a:defRPr/>
                </a:pPr>
                <a:r>
                  <a:rPr lang="en-GB"/>
                  <a:t>Events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1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Human arm call composition by realised outcome (paired, N=171)</a:t>
            </a:r>
          </a:p>
        </rich>
      </tx>
      <overlay val="1"/>
    </title>
    <plotArea>
      <layout/>
      <barChart>
        <barDir val="col"/>
        <grouping val="stacked"/>
        <varyColors val="1"/>
        <ser>
          <idx val="0"/>
          <order val="0"/>
          <tx>
            <strRef>
              <f>Confusion_Matrices!$B$14</f>
              <strCache>
                <ptCount val="1"/>
                <pt idx="0">
                  <v>Outcome UP (ret&gt;2%)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Confusion_Matrices!$A$15:$A$17</f>
              <strCache>
                <ptCount val="3"/>
                <pt idx="0">
                  <v>Call BUY</v>
                </pt>
                <pt idx="1">
                  <v>Call HOLD</v>
                </pt>
                <pt idx="2">
                  <v>Call SELL</v>
                </pt>
              </strCache>
            </strRef>
          </cat>
          <val>
            <numRef>
              <f>Confusion_Matrices!$B$15:$B$17</f>
              <numCache>
                <formatCode>General</formatCode>
                <ptCount val="3"/>
                <pt idx="0">
                  <v>27</v>
                </pt>
                <pt idx="1">
                  <v>5</v>
                </pt>
                <pt idx="2">
                  <v>6</v>
                </pt>
              </numCache>
            </numRef>
          </val>
        </ser>
        <ser>
          <idx val="1"/>
          <order val="1"/>
          <tx>
            <strRef>
              <f>Confusion_Matrices!$C$14</f>
              <strCache>
                <ptCount val="1"/>
                <pt idx="0">
                  <v>Outcome FLAT (|ret|≤2%)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Confusion_Matrices!$A$15:$A$17</f>
              <strCache>
                <ptCount val="3"/>
                <pt idx="0">
                  <v>Call BUY</v>
                </pt>
                <pt idx="1">
                  <v>Call HOLD</v>
                </pt>
                <pt idx="2">
                  <v>Call SELL</v>
                </pt>
              </strCache>
            </strRef>
          </cat>
          <val>
            <numRef>
              <f>Confusion_Matrices!$C$15:$C$17</f>
              <numCache>
                <formatCode>General</formatCode>
                <ptCount val="3"/>
                <pt idx="0">
                  <v>40</v>
                </pt>
                <pt idx="1">
                  <v>20</v>
                </pt>
                <pt idx="2">
                  <v>12</v>
                </pt>
              </numCache>
            </numRef>
          </val>
        </ser>
        <ser>
          <idx val="2"/>
          <order val="2"/>
          <tx>
            <strRef>
              <f>Confusion_Matrices!$D$14</f>
              <strCache>
                <ptCount val="1"/>
                <pt idx="0">
                  <v>Outcome DOWN (ret&lt;-2%)</v>
                </pt>
              </strCache>
            </strRef>
          </tx>
          <spPr>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Confusion_Matrices!$A$15:$A$17</f>
              <strCache>
                <ptCount val="3"/>
                <pt idx="0">
                  <v>Call BUY</v>
                </pt>
                <pt idx="1">
                  <v>Call HOLD</v>
                </pt>
                <pt idx="2">
                  <v>Call SELL</v>
                </pt>
              </strCache>
            </strRef>
          </cat>
          <val>
            <numRef>
              <f>Confusion_Matrices!$D$15:$D$17</f>
              <numCache>
                <formatCode>General</formatCode>
                <ptCount val="3"/>
                <pt idx="0">
                  <v>28</v>
                </pt>
                <pt idx="1">
                  <v>15</v>
                </pt>
                <pt idx="2">
                  <v>17</v>
                </pt>
              </numCache>
            </numRef>
          </val>
        </ser>
        <dLbls>
          <showLegendKey val="1"/>
          <showVal val="1"/>
          <showCatName val="1"/>
          <showSerName val="1"/>
          <showPercent val="1"/>
          <showBubbleSize val="1"/>
        </dLbls>
        <gapWidth val="150"/>
        <overlap val="10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title>
          <tx>
            <rich>
              <a:bodyPr xmlns:a="http://schemas.openxmlformats.org/drawingml/2006/main"/>
              <a:lstStyle xmlns:a="http://schemas.openxmlformats.org/drawingml/2006/main"/>
              <a:p xmlns:a="http://schemas.openxmlformats.org/drawingml/2006/main">
                <a:pPr>
                  <a:defRPr/>
                </a:pPr>
                <a:r>
                  <a:rPr lang="en-GB"/>
                  <a:t>Events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0.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Coverage vs Selectivity Accuracy by Arm</a:t>
            </a:r>
          </a:p>
        </rich>
      </tx>
      <overlay val="1"/>
    </title>
    <plotArea>
      <layout/>
      <barChart>
        <barDir val="col"/>
        <grouping val="clustered"/>
        <varyColors val="1"/>
        <ser>
          <idx val="0"/>
          <order val="0"/>
          <tx>
            <strRef>
              <f>Accuracy_Conventions!$B$32</f>
              <strCache>
                <ptCount val="1"/>
                <pt idx="0">
                  <v>Coverage acc</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Accuracy_Conventions!$B$33:$B$34</f>
              <numCache>
                <formatCode>General</formatCode>
                <ptCount val="2"/>
                <pt idx="0">
                  <v>0.421455938697318</v>
                </pt>
                <pt idx="1">
                  <v>0.3809523809523809</v>
                </pt>
              </numCache>
            </numRef>
          </val>
        </ser>
        <ser>
          <idx val="1"/>
          <order val="1"/>
          <tx>
            <strRef>
              <f>Accuracy_Conventions!$C$32</f>
              <strCache>
                <ptCount val="1"/>
                <pt idx="0">
                  <v>Selectivity acc</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Accuracy_Conventions!$C$33:$C$34</f>
              <numCache>
                <formatCode>General</formatCode>
                <ptCount val="2"/>
                <pt idx="0">
                  <v>0.6356589147286822</v>
                </pt>
                <pt idx="1">
                  <v>0.4948453608247423</v>
                </pt>
              </numCache>
            </numRef>
          </val>
        </ser>
        <ser>
          <idx val="2"/>
          <order val="2"/>
          <tx>
            <strRef>
              <f>Accuracy_Conventions!$D$32</f>
              <strCache>
                <ptCount val="1"/>
                <pt idx="0">
                  <v>Coverage floor</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Accuracy_Conventions!$D$33:$D$34</f>
              <numCache>
                <formatCode>General</formatCode>
                <ptCount val="2"/>
                <pt idx="0">
                  <v>0.3486590038314176</v>
                </pt>
                <pt idx="1">
                  <v>0.3142857142857143</v>
                </pt>
              </numCache>
            </numRef>
          </val>
        </ser>
        <ser>
          <idx val="3"/>
          <order val="3"/>
          <tx>
            <strRef>
              <f>Accuracy_Conventions!$E$32</f>
              <strCache>
                <ptCount val="1"/>
                <pt idx="0">
                  <v>Selectivity floor</v>
                </pt>
              </strCache>
            </strRef>
          </tx>
          <spPr>
            <a:ln xmlns:a="http://schemas.openxmlformats.org/drawingml/2006/main">
              <a:prstDash val="solid"/>
            </a:ln>
          </spPr>
          <invertIfNegative val="1"/>
          <cat>
            <strRef>
              <f>Accuracy_Conventions!$A$33:$A$34</f>
              <strCache>
                <ptCount val="2"/>
                <pt idx="0">
                  <v>LLM</v>
                </pt>
                <pt idx="1">
                  <v>Human (All)</v>
                </pt>
              </strCache>
            </strRef>
          </cat>
          <val>
            <numRef>
              <f>Accuracy_Conventions!$E$33:$E$34</f>
              <numCache>
                <formatCode>General</formatCode>
                <ptCount val="2"/>
                <pt idx="0">
                  <v>0.5193798449612403</v>
                </pt>
                <pt idx="1">
                  <v>0.5412371134020618</v>
                </pt>
              </numCache>
            </numRef>
          </val>
        </ser>
        <dLbls>
          <showLegendKey val="0"/>
          <showVal val="0"/>
          <showCatName val="0"/>
          <showSerName val="0"/>
          <showPercent val="0"/>
          <showBubbleSize val="0"/>
        </dLbls>
        <gapWidth val="150"/>
        <axId val="10"/>
        <axId val="100"/>
      </barChart>
      <catAx>
        <axId val="10"/>
        <scaling>
          <orientation val="minMax"/>
        </scaling>
        <delete val="1"/>
        <axPos val="b"/>
        <title>
          <tx>
            <rich>
              <a:bodyPr xmlns:a="http://schemas.openxmlformats.org/drawingml/2006/main"/>
              <a:lstStyle xmlns:a="http://schemas.openxmlformats.org/drawingml/2006/main"/>
              <a:p xmlns:a="http://schemas.openxmlformats.org/drawingml/2006/main">
                <a:pPr>
                  <a:defRPr/>
                </a:pPr>
                <a:r>
                  <a:rPr lang="en-GB"/>
                  <a:t>Arm</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1"/>
        <axPos val="l"/>
        <majorGridlines/>
        <title>
          <tx>
            <rich>
              <a:bodyPr xmlns:a="http://schemas.openxmlformats.org/drawingml/2006/main"/>
              <a:lstStyle xmlns:a="http://schemas.openxmlformats.org/drawingml/2006/main"/>
              <a:p xmlns:a="http://schemas.openxmlformats.org/drawingml/2006/main">
                <a:pPr>
                  <a:defRPr/>
                </a:pPr>
                <a:r>
                  <a:rPr lang="en-GB"/>
                  <a:t>Accuracy</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1 — Directional Accuracy by Arm</a:t>
            </a:r>
          </a:p>
        </rich>
      </tx>
      <overlay val="1"/>
    </title>
    <plotArea>
      <layout/>
      <barChart>
        <barDir val="col"/>
        <grouping val="clustered"/>
        <varyColors val="1"/>
        <ser>
          <idx val="0"/>
          <order val="0"/>
          <tx>
            <strRef>
              <f>Charts!$C$5</f>
              <strCache>
                <ptCount val="1"/>
                <pt idx="0">
                  <v>% Correct</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Charts!$A$6:$A$13</f>
              <strCache>
                <ptCount val="8"/>
                <pt idx="0">
                  <v>Anna</v>
                </pt>
                <pt idx="1">
                  <v>Abdul</v>
                </pt>
                <pt idx="2">
                  <v>Nigel</v>
                </pt>
                <pt idx="3">
                  <v>Meriem</v>
                </pt>
                <pt idx="4">
                  <v>David</v>
                </pt>
                <pt idx="5">
                  <v>Dragos</v>
                </pt>
                <pt idx="6">
                  <v>Ben/DeepSeek</v>
                </pt>
                <pt idx="7">
                  <v>All Humans</v>
                </pt>
              </strCache>
            </strRef>
          </cat>
          <val>
            <numRef>
              <f>Charts!$C$6:$C$13</f>
              <numCache>
                <formatCode>0.0%</formatCode>
                <ptCount val="8"/>
                <pt idx="0">
                  <v>0.3478260869565217</v>
                </pt>
                <pt idx="1">
                  <v>0.5263157894736842</v>
                </pt>
                <pt idx="2">
                  <v>0.2419354838709677</v>
                </pt>
                <pt idx="3">
                  <v>0.3725490196078431</v>
                </pt>
                <pt idx="4">
                  <v>0.4069767441860465</v>
                </pt>
                <pt idx="5">
                  <v>0.3894736842105263</v>
                </pt>
                <pt idx="6">
                  <v>0.421455938697318</v>
                </pt>
                <pt idx="7">
                  <v>0.3809523809523809</v>
                </pt>
              </numCache>
            </numRef>
          </val>
        </ser>
        <dLbls>
          <showLegendKey val="1"/>
          <showVal val="1"/>
          <showCatName val="1"/>
          <showSerName val="1"/>
          <showPercent val="1"/>
          <showBubbleSize val="1"/>
        </dLbls>
        <gapWidth val="150"/>
        <axId val="10"/>
        <axId val="100"/>
      </barChart>
      <lineChart>
        <grouping val="standard"/>
        <varyColors val="1"/>
        <ser>
          <idx val="1"/>
          <order val="1"/>
          <tx>
            <strRef>
              <f>Charts!$D$5</f>
              <strCache>
                <ptCount val="1"/>
                <pt idx="0">
                  <v>Naive Floor</v>
                </pt>
              </strCache>
            </strRef>
          </tx>
          <spPr>
            <a:ln xmlns:a="http://schemas.openxmlformats.org/drawingml/2006/main" w="20000">
              <a:solidFill>
                <a:srgbClr val="C00000"/>
              </a:solidFill>
              <a:prstDash val="dash"/>
            </a:ln>
          </spPr>
          <marker>
            <symbol val="none"/>
            <spPr>
              <a:ln xmlns:a="http://schemas.openxmlformats.org/drawingml/2006/main">
                <a:prstDash val="solid"/>
              </a:ln>
            </spPr>
          </marker>
          <val>
            <numRef>
              <f>Charts!$D$6:$D$13</f>
              <numCache>
                <formatCode>0.0%</formatCode>
                <ptCount val="8"/>
                <pt idx="0">
                  <v>0.4190476190476191</v>
                </pt>
                <pt idx="1">
                  <v>0.4190476190476191</v>
                </pt>
                <pt idx="2">
                  <v>0.4190476190476191</v>
                </pt>
                <pt idx="3">
                  <v>0.4190476190476191</v>
                </pt>
                <pt idx="4">
                  <v>0.4190476190476191</v>
                </pt>
                <pt idx="5">
                  <v>0.4190476190476191</v>
                </pt>
                <pt idx="6">
                  <v>0.4190476190476191</v>
                </pt>
                <pt idx="7">
                  <v>0.4190476190476191</v>
                </pt>
              </numCache>
            </numRef>
          </val>
          <smooth val="1"/>
        </ser>
        <dLbls>
          <showLegendKey val="0"/>
          <showVal val="0"/>
          <showCatName val="0"/>
          <showSerName val="0"/>
          <showPercent val="0"/>
          <showBubbleSize val="0"/>
        </dLbls>
        <marker val="1"/>
        <smooth val="0"/>
        <axId val="10"/>
        <axId val="200"/>
      </line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valAx>
        <axId val="200"/>
        <scaling>
          <orientation val="minMax"/>
        </scaling>
        <delete val="1"/>
        <axPos val="l"/>
        <majorGridlines/>
        <numFmt formatCode="0.0%" sourceLinked="1"/>
        <majorTickMark val="none"/>
        <minorTickMark val="none"/>
        <tickLblPos val="nextTo"/>
        <crossAx val="10"/>
        <crosses val="autoZero"/>
        <crossBetween val="between"/>
      </valAx>
    </plotArea>
    <plotVisOnly val="1"/>
    <dispBlanksAs val="gap"/>
  </chart>
</chartSpace>
</file>

<file path=xl/charts/chart2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2 — Accuracy by Decision Type</a:t>
            </a:r>
          </a:p>
        </rich>
      </tx>
      <overlay val="1"/>
    </title>
    <plotArea>
      <layout/>
      <barChart>
        <barDir val="col"/>
        <grouping val="clustered"/>
        <varyColors val="1"/>
        <ser>
          <idx val="0"/>
          <order val="0"/>
          <tx>
            <strRef>
              <f>Charts!$G$5</f>
              <strCache>
                <ptCount val="1"/>
                <pt idx="0">
                  <v>Human %</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Charts!$G$6:$G$8</f>
              <numCache>
                <formatCode>0.0%</formatCode>
                <ptCount val="3"/>
                <pt idx="0">
                  <v>0.2899159663865546</v>
                </pt>
                <pt idx="1">
                  <v>0.5614035087719298</v>
                </pt>
                <pt idx="2">
                  <v>0.3970588235294117</v>
                </pt>
              </numCache>
            </numRef>
          </val>
        </ser>
        <ser>
          <idx val="1"/>
          <order val="1"/>
          <tx>
            <strRef>
              <f>Charts!$H$5</f>
              <strCache>
                <ptCount val="1"/>
                <pt idx="0">
                  <v>LLM %</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Charts!$F$6:$F$8</f>
              <strCache>
                <ptCount val="3"/>
                <pt idx="0">
                  <v>BUY</v>
                </pt>
                <pt idx="1">
                  <v>HOLD</v>
                </pt>
                <pt idx="2">
                  <v>SELL</v>
                </pt>
              </strCache>
            </strRef>
          </cat>
          <val>
            <numRef>
              <f>Charts!$H$6:$H$8</f>
              <numCache>
                <formatCode>0.0%</formatCode>
                <ptCount val="3"/>
                <pt idx="0">
                  <v>0.3969465648854962</v>
                </pt>
                <pt idx="1">
                  <v>0.3943661971830986</v>
                </pt>
                <pt idx="2">
                  <v>0.5084745762711864</v>
                </pt>
              </numCache>
            </numRef>
          </val>
        </ser>
        <dLbls>
          <showLegendKey val="1"/>
          <showVal val="1"/>
          <showCatName val="1"/>
          <showSerName val="1"/>
          <showPercent val="1"/>
          <showBubbleSize val="1"/>
        </dLbls>
        <gapWidth val="150"/>
        <axId val="10"/>
        <axId val="100"/>
      </bar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plotArea>
    <legend>
      <legendPos val="r"/>
      <overlay val="1"/>
    </legend>
    <plotVisOnly val="1"/>
    <dispBlanksAs val="gap"/>
  </chart>
</chartSpace>
</file>

<file path=xl/charts/chart2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3 — Decision Mix (count of calls)</a:t>
            </a:r>
          </a:p>
        </rich>
      </tx>
      <overlay val="1"/>
    </title>
    <plotArea>
      <layout/>
      <barChart>
        <barDir val="col"/>
        <grouping val="stacked"/>
        <varyColors val="1"/>
        <ser>
          <idx val="0"/>
          <order val="0"/>
          <tx>
            <strRef>
              <f>Charts!$L$5</f>
              <strCache>
                <ptCount val="1"/>
                <pt idx="0">
                  <v>Human</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Charts!$L$6:$L$8</f>
              <numCache>
                <formatCode>General</formatCode>
                <ptCount val="3"/>
                <pt idx="0">
                  <v>238</v>
                </pt>
                <pt idx="1">
                  <v>114</v>
                </pt>
                <pt idx="2">
                  <v>68</v>
                </pt>
              </numCache>
            </numRef>
          </val>
        </ser>
        <ser>
          <idx val="1"/>
          <order val="1"/>
          <tx>
            <strRef>
              <f>Charts!$M$5</f>
              <strCache>
                <ptCount val="1"/>
                <pt idx="0">
                  <v>LLM</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Charts!$K$6:$K$8</f>
              <strCache>
                <ptCount val="3"/>
                <pt idx="0">
                  <v>BUY</v>
                </pt>
                <pt idx="1">
                  <v>HOLD</v>
                </pt>
                <pt idx="2">
                  <v>SELL</v>
                </pt>
              </strCache>
            </strRef>
          </cat>
          <val>
            <numRef>
              <f>Charts!$M$6:$M$8</f>
              <numCache>
                <formatCode>General</formatCode>
                <ptCount val="3"/>
                <pt idx="0">
                  <v>172</v>
                </pt>
                <pt idx="1">
                  <v>109</v>
                </pt>
                <pt idx="2">
                  <v>71</v>
                </pt>
              </numCache>
            </numRef>
          </val>
        </ser>
        <dLbls>
          <showLegendKey val="1"/>
          <showVal val="1"/>
          <showCatName val="1"/>
          <showSerName val="1"/>
          <showPercent val="1"/>
          <showBubbleSize val="1"/>
        </dLbls>
        <gapWidth val="150"/>
        <overlap val="100"/>
        <axId val="10"/>
        <axId val="100"/>
      </bar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Decision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Number of calls</a:t>
                </a:r>
              </a:p>
            </rich>
          </tx>
          <overlay val="1"/>
        </title>
        <numFmt formatCode="General" sourceLinked="1"/>
        <majorTickMark val="none"/>
        <minorTickMark val="none"/>
        <tickLblPos val="nextTo"/>
        <crossAx val="10"/>
        <crosses val="autoZero"/>
        <crossBetween val="between"/>
      </valAx>
    </plotArea>
    <legend>
      <legendPos val="r"/>
      <overlay val="1"/>
    </legend>
    <plotVisOnly val="1"/>
    <dispBlanksAs val="gap"/>
  </chart>
</chartSpace>
</file>

<file path=xl/charts/chart2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4 — Mean Sentiment Score by Realised Direction</a:t>
            </a:r>
          </a:p>
        </rich>
      </tx>
      <overlay val="1"/>
    </title>
    <plotArea>
      <layout/>
      <lineChart>
        <grouping val="standard"/>
        <varyColors val="1"/>
        <ser>
          <idx val="0"/>
          <order val="0"/>
          <tx>
            <strRef>
              <f>Charts!$P$5</f>
              <strCache>
                <ptCount val="1"/>
                <pt idx="0">
                  <v>Human</v>
                </pt>
              </strCache>
            </strRef>
          </tx>
          <spPr>
            <a:ln xmlns:a="http://schemas.openxmlformats.org/drawingml/2006/main" w="25000">
              <a:solidFill>
                <a:srgbClr val="4472C4"/>
              </a:solidFill>
              <a:prstDash val="solid"/>
            </a:ln>
          </spPr>
          <marker>
            <symbol val="circle"/>
            <size val="7"/>
            <spPr>
              <a:ln xmlns:a="http://schemas.openxmlformats.org/drawingml/2006/main">
                <a:prstDash val="solid"/>
              </a:ln>
            </spPr>
          </marker>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Charts!$P$6:$P$8</f>
              <numCache>
                <formatCode>0.00</formatCode>
                <ptCount val="3"/>
                <pt idx="0">
                  <v>0.2337121212121212</v>
                </pt>
                <pt idx="1">
                  <v>0.2315340909090909</v>
                </pt>
                <pt idx="2">
                  <v>0.2705357142857143</v>
                </pt>
              </numCache>
            </numRef>
          </val>
          <smooth val="1"/>
        </ser>
        <ser>
          <idx val="1"/>
          <order val="1"/>
          <tx>
            <strRef>
              <f>Charts!$Q$5</f>
              <strCache>
                <ptCount val="1"/>
                <pt idx="0">
                  <v>LLM</v>
                </pt>
              </strCache>
            </strRef>
          </tx>
          <spPr>
            <a:ln xmlns:a="http://schemas.openxmlformats.org/drawingml/2006/main" w="25000">
              <a:solidFill>
                <a:srgbClr val="ED7D31"/>
              </a:solidFill>
              <a:prstDash val="solid"/>
            </a:ln>
          </spPr>
          <marker>
            <symbol val="square"/>
            <size val="7"/>
            <spPr>
              <a:ln xmlns:a="http://schemas.openxmlformats.org/drawingml/2006/main">
                <a:prstDash val="solid"/>
              </a:ln>
            </spPr>
          </marker>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Charts!$O$6:$O$8</f>
              <strCache>
                <ptCount val="3"/>
                <pt idx="0">
                  <v>DOWN</v>
                </pt>
                <pt idx="1">
                  <v>FLAT</v>
                </pt>
                <pt idx="2">
                  <v>UP</v>
                </pt>
              </strCache>
            </strRef>
          </cat>
          <val>
            <numRef>
              <f>Charts!$Q$6:$Q$8</f>
              <numCache>
                <formatCode>0.00</formatCode>
                <ptCount val="3"/>
                <pt idx="0">
                  <v>0.06824175824175822</v>
                </pt>
                <pt idx="1">
                  <v>0.1016853932584269</v>
                </pt>
                <pt idx="2">
                  <v>0.2404938271604938</v>
                </pt>
              </numCache>
            </numRef>
          </val>
          <smooth val="1"/>
        </ser>
        <dLbls>
          <showLegendKey val="1"/>
          <showVal val="1"/>
          <showCatName val="1"/>
          <showSerName val="1"/>
          <showPercent val="1"/>
          <showBubbleSize val="1"/>
        </dLbls>
        <marker val="1"/>
        <smooth val="0"/>
        <axId val="10"/>
        <axId val="100"/>
      </line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Realised overnight direction</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Mean sentiment</a:t>
                </a:r>
              </a:p>
            </rich>
          </tx>
          <overlay val="1"/>
        </title>
        <numFmt formatCode="0.00" sourceLinked="1"/>
        <majorTickMark val="none"/>
        <minorTickMark val="none"/>
        <tickLblPos val="nextTo"/>
        <crossAx val="10"/>
        <crosses val="autoZero"/>
        <crossBetween val="between"/>
      </valAx>
    </plotArea>
    <legend>
      <legendPos val="r"/>
      <overlay val="1"/>
    </legend>
    <plotVisOnly val="1"/>
    <dispBlanksAs val="gap"/>
  </chart>
</chartSpace>
</file>

<file path=xl/charts/chart2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5 — Average Return per Trade by Arm</a:t>
            </a:r>
          </a:p>
        </rich>
      </tx>
      <overlay val="1"/>
    </title>
    <plotArea>
      <layout/>
      <barChart>
        <barDir val="col"/>
        <grouping val="clustered"/>
        <varyColors val="1"/>
        <ser>
          <idx val="0"/>
          <order val="0"/>
          <tx>
            <strRef>
              <f>Charts!$B$18</f>
              <strCache>
                <ptCount val="1"/>
                <pt idx="0">
                  <v>Avg %/Trade</v>
                </pt>
              </strCache>
            </strRef>
          </tx>
          <spPr>
            <a:solidFill xmlns:a="http://schemas.openxmlformats.org/drawingml/2006/main">
              <a:srgbClr val="70AD47"/>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Charts!$A$19:$A$25</f>
              <strCache>
                <ptCount val="7"/>
                <pt idx="0">
                  <v>Anna</v>
                </pt>
                <pt idx="1">
                  <v>Abdul</v>
                </pt>
                <pt idx="2">
                  <v>Nigel</v>
                </pt>
                <pt idx="3">
                  <v>Meriem</v>
                </pt>
                <pt idx="4">
                  <v>Dragos</v>
                </pt>
                <pt idx="5">
                  <v>David</v>
                </pt>
                <pt idx="6">
                  <v>LLM (DeepSeek)</v>
                </pt>
              </strCache>
            </strRef>
          </cat>
          <val>
            <numRef>
              <f>Charts!$B$19:$B$25</f>
              <numCache>
                <formatCode>0.00%</formatCode>
                <ptCount val="7"/>
                <pt idx="0">
                  <v>0.01593673469387755</v>
                </pt>
                <pt idx="1">
                  <v>0.0216625</v>
                </pt>
                <pt idx="2">
                  <v>-0.006786538461538463</v>
                </pt>
                <pt idx="3">
                  <v>0.01231944444444444</v>
                </pt>
                <pt idx="4">
                  <v>-0.002266153846153847</v>
                </pt>
                <pt idx="5">
                  <v>-0.02429285714285714</v>
                </pt>
                <pt idx="6">
                  <v>0.01892395263157895</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Avg % per trade</a:t>
                </a:r>
              </a:p>
            </rich>
          </tx>
          <overlay val="1"/>
        </title>
        <numFmt formatCode="0.0%" sourceLinked="0"/>
        <majorTickMark val="none"/>
        <minorTickMark val="none"/>
        <tickLblPos val="nextTo"/>
        <crossAx val="10"/>
        <crosses val="autoZero"/>
        <crossBetween val="between"/>
      </valAx>
    </plotArea>
    <plotVisOnly val="1"/>
    <dispBlanksAs val="gap"/>
  </chart>
</chartSpace>
</file>

<file path=xl/charts/chart2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6 — Head-to-Head Outcomes on Shared Events</a:t>
            </a:r>
          </a:p>
        </rich>
      </tx>
      <overlay val="1"/>
    </title>
    <plotArea>
      <layout/>
      <barChart>
        <barDir val="col"/>
        <grouping val="clustered"/>
        <varyColors val="1"/>
        <ser>
          <idx val="0"/>
          <order val="0"/>
          <tx>
            <strRef>
              <f>Efficiency!$B$37</f>
              <strCache>
                <ptCount val="1"/>
                <pt idx="0">
                  <v>Events</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Efficiency!$A$38:$A$41</f>
              <strCache>
                <ptCount val="4"/>
                <pt idx="0">
                  <v>Both correct</v>
                </pt>
                <pt idx="1">
                  <v>Human only correct</v>
                </pt>
                <pt idx="2">
                  <v>LLM only correct</v>
                </pt>
                <pt idx="3">
                  <v>Neither correct</v>
                </pt>
              </strCache>
            </strRef>
          </cat>
          <val>
            <numRef>
              <f>Efficiency!$B$38:$B$41</f>
              <numCache>
                <formatCode>0</formatCode>
                <ptCount val="4"/>
                <pt idx="0">
                  <v>53</v>
                </pt>
                <pt idx="1">
                  <v>52</v>
                </pt>
                <pt idx="2">
                  <v>65</v>
                </pt>
                <pt idx="3">
                  <v>117</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Number of events</a:t>
                </a:r>
              </a:p>
            </rich>
          </tx>
          <overlay val="1"/>
        </title>
        <numFmt formatCode="0" sourceLinked="1"/>
        <majorTickMark val="none"/>
        <minorTickMark val="none"/>
        <tickLblPos val="nextTo"/>
        <crossAx val="10"/>
        <crosses val="autoZero"/>
        <crossBetween val="between"/>
      </valAx>
    </plotArea>
    <plotVisOnly val="1"/>
    <dispBlanksAs val="gap"/>
  </chart>
</chartSpace>
</file>

<file path=xl/charts/chart2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7 — Accuracy by Time Spent (human)</a:t>
            </a:r>
          </a:p>
        </rich>
      </tx>
      <overlay val="1"/>
    </title>
    <plotArea>
      <layout/>
      <barChart>
        <barDir val="col"/>
        <grouping val="clustered"/>
        <varyColors val="1"/>
        <ser>
          <idx val="0"/>
          <order val="0"/>
          <tx>
            <strRef>
              <f>Efficiency!$C$62</f>
              <strCache>
                <ptCount val="1"/>
                <pt idx="0">
                  <v>Accuracy</v>
                </pt>
              </strCache>
            </strRef>
          </tx>
          <spPr>
            <a:solidFill xmlns:a="http://schemas.openxmlformats.org/drawingml/2006/main">
              <a:srgbClr val="70AD47"/>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Efficiency!$A$63:$A$68</f>
              <strCache>
                <ptCount val="6"/>
                <pt idx="0">
                  <v>Under 20</v>
                </pt>
                <pt idx="1">
                  <v>20 to 29</v>
                </pt>
                <pt idx="2">
                  <v>30 to 39</v>
                </pt>
                <pt idx="3">
                  <v>40 to 49</v>
                </pt>
                <pt idx="4">
                  <v>50 to 59</v>
                </pt>
                <pt idx="5">
                  <v>60 and over</v>
                </pt>
              </strCache>
            </strRef>
          </cat>
          <val>
            <numRef>
              <f>Efficiency!$C$63:$C$68</f>
              <numCache>
                <formatCode>0.0%</formatCode>
                <ptCount val="6"/>
                <pt idx="0">
                  <v>0.32</v>
                </pt>
                <pt idx="1">
                  <v>0.3975155279503105</v>
                </pt>
                <pt idx="2">
                  <v>0.4235294117647059</v>
                </pt>
                <pt idx="3">
                  <v>0.3571428571428572</v>
                </pt>
                <pt idx="4">
                  <v>0.3888888888888889</v>
                </pt>
                <pt idx="5">
                  <v>0.4285714285714285</v>
                </pt>
              </numCache>
            </numRef>
          </val>
        </ser>
        <dLbls>
          <showLegendKey val="1"/>
          <showVal val="1"/>
          <showCatName val="1"/>
          <showSerName val="1"/>
          <showPercent val="1"/>
          <showBubbleSize val="1"/>
        </dLbls>
        <gapWidth val="150"/>
        <axId val="10"/>
        <axId val="100"/>
      </barChart>
      <lineChart>
        <grouping val="standard"/>
        <varyColors val="1"/>
        <ser>
          <idx val="1"/>
          <order val="1"/>
          <tx>
            <strRef>
              <f>Efficiency!$B$62</f>
              <strCache>
                <ptCount val="1"/>
                <pt idx="0">
                  <v>Readings</v>
                </pt>
              </strCache>
            </strRef>
          </tx>
          <spPr>
            <a:ln xmlns:a="http://schemas.openxmlformats.org/drawingml/2006/main" w="20000">
              <a:solidFill>
                <a:srgbClr val="A5A5A5"/>
              </a:solidFill>
              <a:prstDash val="solid"/>
            </a:ln>
          </spPr>
          <marker>
            <symbol val="circle"/>
            <size val="6"/>
            <spPr>
              <a:ln xmlns:a="http://schemas.openxmlformats.org/drawingml/2006/main">
                <a:prstDash val="solid"/>
              </a:ln>
            </spPr>
          </marker>
          <val>
            <numRef>
              <f>Efficiency!$B$63:$B$68</f>
              <numCache>
                <formatCode>0</formatCode>
                <ptCount val="6"/>
                <pt idx="0">
                  <v>100</v>
                </pt>
                <pt idx="1">
                  <v>161</v>
                </pt>
                <pt idx="2">
                  <v>85</v>
                </pt>
                <pt idx="3">
                  <v>42</v>
                </pt>
                <pt idx="4">
                  <v>18</v>
                </pt>
                <pt idx="5">
                  <v>14</v>
                </pt>
              </numCache>
            </numRef>
          </val>
          <smooth val="1"/>
        </ser>
        <dLbls>
          <showLegendKey val="0"/>
          <showVal val="0"/>
          <showCatName val="0"/>
          <showSerName val="0"/>
          <showPercent val="0"/>
          <showBubbleSize val="0"/>
        </dLbls>
        <marker val="1"/>
        <smooth val="0"/>
        <axId val="10"/>
        <axId val="300"/>
      </lineChart>
      <catAx>
        <axId val="10"/>
        <scaling>
          <orientation val="minMax"/>
        </scaling>
        <delete val="0"/>
        <axPos val="b"/>
        <title>
          <tx>
            <rich>
              <a:bodyPr xmlns:a="http://schemas.openxmlformats.org/drawingml/2006/main"/>
              <a:lstStyle xmlns:a="http://schemas.openxmlformats.org/drawingml/2006/main"/>
              <a:p xmlns:a="http://schemas.openxmlformats.org/drawingml/2006/main">
                <a:pPr>
                  <a:defRPr/>
                </a:pPr>
                <a:r>
                  <a:rPr lang="en-GB"/>
                  <a:t>Minutes per document</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max val="0.8"/>
          <min val="0"/>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 Correct</a:t>
                </a:r>
              </a:p>
            </rich>
          </tx>
          <overlay val="1"/>
        </title>
        <numFmt formatCode="0%" sourceLinked="0"/>
        <majorTickMark val="none"/>
        <minorTickMark val="none"/>
        <tickLblPos val="nextTo"/>
        <crossAx val="10"/>
        <crosses val="autoZero"/>
        <crossBetween val="between"/>
      </valAx>
      <valAx>
        <axId val="300"/>
        <scaling>
          <orientation val="minMax"/>
        </scaling>
        <delete val="1"/>
        <axPos val="l"/>
        <title>
          <tx>
            <rich>
              <a:bodyPr xmlns:a="http://schemas.openxmlformats.org/drawingml/2006/main"/>
              <a:lstStyle xmlns:a="http://schemas.openxmlformats.org/drawingml/2006/main"/>
              <a:p xmlns:a="http://schemas.openxmlformats.org/drawingml/2006/main">
                <a:pPr>
                  <a:defRPr/>
                </a:pPr>
                <a:r>
                  <a:rPr lang="en-GB"/>
                  <a:t>Readings</a:t>
                </a:r>
              </a:p>
            </rich>
          </tx>
          <overlay val="1"/>
        </title>
        <numFmt formatCode="0" sourceLinked="1"/>
        <majorTickMark val="none"/>
        <minorTickMark val="none"/>
        <tickLblPos val="nextTo"/>
        <crossAx val="10"/>
        <crosses val="autoZero"/>
        <crossBetween val="between"/>
      </valAx>
    </plotArea>
    <legend>
      <legendPos val="r"/>
      <overlay val="1"/>
    </legend>
    <plotVisOnly val="1"/>
    <dispBlanksAs val="gap"/>
  </chart>
</chartSpace>
</file>

<file path=xl/charts/chart2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8 — Throughput (documents per hour)</a:t>
            </a:r>
          </a:p>
        </rich>
      </tx>
      <overlay val="1"/>
    </title>
    <plotArea>
      <layout>
        <manualLayout>
          <layoutTarget val="inner"/>
          <xMode val="edge"/>
          <yMode val="edge"/>
          <wMode val="factor"/>
          <hMode val="factor"/>
          <x val="0.1373119444444444"/>
          <y val="0.07055555555555555"/>
          <w val="0.8319919444444445"/>
          <h val="0.8410222222222222"/>
        </manualLayout>
      </layout>
      <barChart>
        <barDir val="bar"/>
        <grouping val="clustered"/>
        <varyColors val="1"/>
        <ser>
          <idx val="0"/>
          <order val="0"/>
          <tx>
            <strRef>
              <f>Efficiency!$I$73</f>
              <strCache>
                <ptCount val="1"/>
                <pt idx="0">
                  <v>Human</v>
                </pt>
              </strCache>
            </strRef>
          </tx>
          <spPr>
            <a:solidFill xmlns:a="http://schemas.openxmlformats.org/drawingml/2006/main">
              <a:srgbClr val="4472C4"/>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Efficiency!$I$74</f>
              <numCache>
                <formatCode>0.0</formatCode>
                <ptCount val="1"/>
                <pt idx="0">
                  <v>2.150537634408602</v>
                </pt>
              </numCache>
            </numRef>
          </val>
        </ser>
        <ser>
          <idx val="1"/>
          <order val="1"/>
          <tx>
            <strRef>
              <f>Efficiency!$J$73</f>
              <strCache>
                <ptCount val="1"/>
                <pt idx="0">
                  <v>LLM</v>
                </pt>
              </strCache>
            </strRef>
          </tx>
          <spPr>
            <a:solidFill xmlns:a="http://schemas.openxmlformats.org/drawingml/2006/main">
              <a:srgbClr val="ED7D31"/>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Efficiency!$H$74</f>
              <strCache>
                <ptCount val="1"/>
                <pt idx="0">
                  <v>Docs per hour</v>
                </pt>
              </strCache>
            </strRef>
          </cat>
          <val>
            <numRef>
              <f>Efficiency!$J$74</f>
              <numCache>
                <formatCode>0.0</formatCode>
                <ptCount val="1"/>
                <pt idx="0">
                  <v>450</v>
                </pt>
              </numCache>
            </numRef>
          </val>
        </ser>
        <dLbls>
          <showLegendKey val="1"/>
          <showVal val="1"/>
          <showCatName val="1"/>
          <showSerName val="1"/>
          <showPercent val="1"/>
          <showBubbleSize val="1"/>
        </dLbls>
        <gapWidth val="150"/>
        <axId val="10"/>
        <axId val="100"/>
      </barChart>
      <catAx>
        <axId val="10"/>
        <scaling>
          <orientation val="minMax"/>
        </scaling>
        <delete val="0"/>
        <axPos val="l"/>
        <title>
          <tx>
            <rich>
              <a:bodyPr xmlns:a="http://schemas.openxmlformats.org/drawingml/2006/main"/>
              <a:lstStyle xmlns:a="http://schemas.openxmlformats.org/drawingml/2006/main"/>
              <a:p xmlns:a="http://schemas.openxmlformats.org/drawingml/2006/main">
                <a:pPr>
                  <a:defRPr/>
                </a:pPr>
                <a:r>
                  <a:rPr lang="en-GB"/>
                  <a:t>Documents per hour</a:t>
                </a:r>
              </a:p>
            </rich>
          </tx>
          <overlay val="1"/>
        </title>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b"/>
        <majorGridlines>
          <spPr>
            <a:ln xmlns:a="http://schemas.openxmlformats.org/drawingml/2006/main" w="6350">
              <a:solidFill>
                <a:srgbClr val="E8E8E8"/>
              </a:solidFill>
              <a:prstDash val="solid"/>
            </a:ln>
          </spPr>
        </majorGridlines>
        <numFmt formatCode="0.0" sourceLinked="1"/>
        <majorTickMark val="none"/>
        <minorTickMark val="none"/>
        <tickLblPos val="nextTo"/>
        <crossAx val="10"/>
        <crosses val="autoZero"/>
        <crossBetween val="between"/>
      </valAx>
    </plotArea>
    <legend>
      <legendPos val="r"/>
      <overlay val="1"/>
    </legend>
    <plotVisOnly val="1"/>
    <dispBlanksAs val="gap"/>
  </chart>
</chartSpace>
</file>

<file path=xl/charts/chart29.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GB"/>
              <a:t>Figure 9 — Return per Analyst Hour</a:t>
            </a:r>
          </a:p>
        </rich>
      </tx>
      <overlay val="1"/>
    </title>
    <plotArea>
      <layout/>
      <barChart>
        <barDir val="col"/>
        <grouping val="clustered"/>
        <varyColors val="1"/>
        <ser>
          <idx val="0"/>
          <order val="0"/>
          <tx>
            <strRef>
              <f>Efficiency!$I$80</f>
              <strCache>
                <ptCount val="1"/>
                <pt idx="0">
                  <v>Return per hour</v>
                </pt>
              </strCache>
            </strRef>
          </tx>
          <spPr>
            <a:solidFill xmlns:a="http://schemas.openxmlformats.org/drawingml/2006/main">
              <a:srgbClr val="FFC000"/>
            </a:solidFill>
            <a:ln xmlns:a="http://schemas.openxmlformats.org/drawingml/2006/main">
              <a:prstDash val="solid"/>
            </a:ln>
          </spPr>
          <invertIfNegative val="1"/>
          <dLbls>
            <spPr>
              <a:noFill xmlns:a="http://schemas.openxmlformats.org/drawingml/2006/main"/>
              <a:ln xmlns:a="http://schemas.openxmlformats.org/drawingml/2006/main">
                <a:noFill/>
                <a:prstDash val="solid"/>
              </a:ln>
            </spPr>
            <showLegendKey val="1"/>
            <showVal val="1"/>
            <showCatName val="1"/>
            <showSerName val="1"/>
            <showPercent val="1"/>
            <showBubbleSize val="1"/>
            <showLeaderLines val="0"/>
          </dLbls>
          <cat>
            <strRef>
              <f>Efficiency!$H$81:$H$82</f>
              <strCache>
                <ptCount val="2"/>
                <pt idx="0">
                  <v>Human</v>
                </pt>
                <pt idx="1">
                  <v>LLM</v>
                </pt>
              </strCache>
            </strRef>
          </cat>
          <val>
            <numRef>
              <f>Efficiency!$I$81:$I$82</f>
              <numCache>
                <formatCode>0.00%</formatCode>
                <ptCount val="2"/>
                <pt idx="0">
                  <v>0.002066564260112649</v>
                </pt>
                <pt idx="1">
                  <v>4.596585085227272</v>
                </pt>
              </numCache>
            </numRef>
          </val>
        </ser>
        <dLbls>
          <showLegendKey val="1"/>
          <showVal val="1"/>
          <showCatName val="1"/>
          <showSerName val="1"/>
          <showPercent val="1"/>
          <showBubbleSize val="1"/>
        </dLbls>
        <gapWidth val="150"/>
        <axId val="10"/>
        <axId val="100"/>
      </barChart>
      <catAx>
        <axId val="10"/>
        <scaling>
          <orientation val="minMax"/>
        </scaling>
        <delete val="0"/>
        <axPos val="b"/>
        <numFmt formatCode="General" sourceLinked="1"/>
        <majorTickMark val="none"/>
        <minorTickMark val="none"/>
        <tickLblPos val="nextTo"/>
        <crossAx val="100"/>
        <crosses val="autoZero"/>
        <auto val="1"/>
        <lblAlgn val="ctr"/>
        <lblOffset val="100"/>
        <noMultiLvlLbl val="1"/>
      </catAx>
      <valAx>
        <axId val="100"/>
        <scaling>
          <orientation val="minMax"/>
        </scaling>
        <delete val="0"/>
        <axPos val="l"/>
        <majorGridlines>
          <spPr>
            <a:ln xmlns:a="http://schemas.openxmlformats.org/drawingml/2006/main" w="6350">
              <a:solidFill>
                <a:srgbClr val="E8E8E8"/>
              </a:solidFill>
              <a:prstDash val="solid"/>
            </a:ln>
          </spPr>
        </majorGridlines>
        <title>
          <tx>
            <rich>
              <a:bodyPr xmlns:a="http://schemas.openxmlformats.org/drawingml/2006/main"/>
              <a:lstStyle xmlns:a="http://schemas.openxmlformats.org/drawingml/2006/main"/>
              <a:p xmlns:a="http://schemas.openxmlformats.org/drawingml/2006/main">
                <a:pPr>
                  <a:defRPr/>
                </a:pPr>
                <a:r>
                  <a:rPr lang="en-GB"/>
                  <a:t>Sum of returns per hour of effort</a:t>
                </a:r>
              </a:p>
            </rich>
          </tx>
          <overlay val="1"/>
        </title>
        <numFmt formatCode="0%" sourceLinked="0"/>
        <majorTickMark val="none"/>
        <minorTickMark val="none"/>
        <tickLblPos val="nextTo"/>
        <crossAx val="10"/>
        <crosses val="autoZero"/>
        <crossBetween val="between"/>
      </valAx>
    </plotArea>
    <plotVisOnly val="1"/>
    <dispBlanksAs val="gap"/>
  </chart>
</chartSpace>
</file>

<file path=xl/comments/comment1.xml><?xml version="1.0" encoding="utf-8"?>
<comments xmlns="http://schemas.openxmlformats.org/spreadsheetml/2006/main">
  <authors>
    <author>Dragos Macsim</author>
  </authors>
  <commentList>
    <comment ref="B3" authorId="0" shapeId="0">
      <text>
        <t>Dragos Macsim:
361 = 268 frozen + 93 extension scored events. Note that only 352 model rows exist on LLM_Data_Entry: the 9 timing-unresolved events were scored but have no rows in this workbook.</t>
      </text>
    </comment>
  </commentList>
</comments>
</file>

<file path=xl/comments/comment2.xml><?xml version="1.0" encoding="utf-8"?>
<comments xmlns="http://schemas.openxmlformats.org/spreadsheetml/2006/main">
  <authors>
    <author>Dragos Macsim</author>
  </authors>
  <commentList>
    <comment ref="D7" authorId="0" shapeId="0">
      <text>
        <t>Dragos Macsim:
70/127 — always-DOWN among the 127 combined traded+graded events. Was 53.4%, which is not x/127 for any integer x; same defect as Charts_Corrected!C8, corrected there to 0.551 under fix list 7 §C. This is the mirror cell. Robust to the §G extension-basis decision: the two disputed graded events are HOLD-called, so the combined traded+graded count stays 127 either way. Closes ledger L6.</t>
      </text>
    </comment>
    <comment ref="D8" authorId="0" shapeId="0">
      <text>
        <t>Dragos Macsim:
D6 − D7 = 63.8 − 55.1. Was +12.7pp, an old 66.1% accuracy margin left standing against the new floor.</t>
      </text>
    </comment>
  </commentList>
</comments>
</file>

<file path=xl/comments/comment3.xml><?xml version="1.0" encoding="utf-8"?>
<comments xmlns="http://schemas.openxmlformats.org/spreadsheetml/2006/main">
  <authors>
    <author>Dragos Macsim</author>
  </authors>
  <commentList>
    <comment ref="C8" authorId="0" shapeId="0">
      <text>
        <t>Dragos Macsim:
70/127, always-DOWN among combined traded+graded, matching this block's same-denominator convention. Was 0.534, which is not x/127 for any integer x.</t>
      </text>
    </comment>
    <comment ref="B16" authorId="0" shapeId="0">
      <text>
        <t>Dragos Macsim:
Combined coverage = 81/177, from the Set C total on Sector_Breakdown (matches Results_Summary!D9).</t>
      </text>
    </comment>
    <comment ref="C16" authorId="0" shapeId="0">
      <text>
        <t>96/179 on the 34-graded combined basis, adopted 2026-08-21 (was 94/177 = 0.531; 94/178 = 0.528 before that).</t>
      </text>
    </comment>
    <comment ref="B57" authorId="0" shapeId="0">
      <text>
        <t>Dragos Macsim:
FLAT-excluded convention on the eval split (186 events, 119 graded), from Corrected_Metrics rows 90-96. NOT the coverage convention — coverage on the frozen set is 54.5% floor / 46.9% deployed (section 2 above).</t>
      </text>
    </comment>
    <comment ref="C57" authorId="0" shapeId="0">
      <text>
        <t>Dragos Macsim:
Coverage convention (50.0% floor, 38.2% deployed = Results_Summary C9:C10). Different convention from the Frozen column. FinBERT/LM here have no counterpart in Corrected_Metrics.</t>
      </text>
    </comment>
    <comment ref="D57" authorId="0" shapeId="0">
      <text>
        <t>Dragos Macsim:
Combined-eval = 279 events per Start_Here. Derived 2026-08-21 from the committed eval CSVs; no Corrected_Metrics counterpart.</t>
      </text>
    </comment>
    <comment ref="B60" authorId="0" shapeId="0">
      <text>
        <t>Dragos Macsim:
Linked to Corrected_Metrics!B94 (frontier_FinBERT_accuracy_flat_excluded, 21/119).</t>
      </text>
    </comment>
    <comment ref="C60" authorId="0" shapeId="0">
      <text>
        <t>Dragos Macsim:
5/34 = 14.7% from committed finbert_extension_results.csv (flag A)</t>
      </text>
    </comment>
    <comment ref="D60" authorId="0" shapeId="0">
      <text>
        <t>Dragos Macsim:
26/153 = 21/119 + 5/34, single threshold fit (flag A)</t>
      </text>
    </comment>
    <comment ref="B61" authorId="0" shapeId="0">
      <text>
        <t>Dragos Macsim:
Linked to Corrected_Metrics!B92 (frontier_Loughran-McDonald_accuracy_flat_excluded, 4/119).</t>
      </text>
    </comment>
    <comment ref="C61" authorId="0" shapeId="0">
      <text>
        <t>Dragos Macsim:
1/34 = 2.9% from committed lm_baseline_extension_results.csv (flag A)</t>
      </text>
    </comment>
    <comment ref="D61" authorId="0" shapeId="0">
      <text>
        <t>Dragos Macsim:
5/153 = 4/119 + 1/34, single threshold fit (flag A)</t>
      </text>
    </comment>
  </commentList>
</comments>
</file>

<file path=xl/comments/comment4.xml><?xml version="1.0" encoding="utf-8"?>
<comments xmlns="http://schemas.openxmlformats.org/spreadsheetml/2006/main">
  <authors>
    <author>Dragos Macsim</author>
  </authors>
  <commentList>
    <comment ref="E76" authorId="0" shapeId="0">
      <text>
        <t>Dragos Macsim:
Model side recomputed on the corrected 68 correct calls (was 62, a 0.55/0.45-constants vintage): 8,293 s / 68 = 122.0 s. UNRESOLVED: the human 39 correct calls here does not match the 156 correct calls in C36, and 145.3 min per correct call does not match the 75.1 min in C38. The two rows appear to be on different human subsets. Human side moved to the re-priced basis 2026-08-21: 38 graded-correct of 190 full-document readings (the old 39 reproduced on no basis).</t>
      </text>
    </comment>
  </commentList>
</comments>
</file>

<file path=xl/comments/comment5.xml><?xml version="1.0" encoding="utf-8"?>
<comments xmlns="http://schemas.openxmlformats.org/spreadsheetml/2006/main">
  <authors>
    <author>Dragos Macsim</author>
  </authors>
  <commentList>
    <comment ref="B24" authorId="0" shapeId="0">
      <text>
        <t>Grid (c) populated 2026-08-21 from the committed 171-pair crosstab less DIS_FQ1_2025. Verified: columns sum to 72/53/45 (model BUY/HOLD/SELL) and rows to 95/40/35 (human), diagonal 77/170 = 0.4529 = B30.</t>
      </text>
    </comment>
  </commentList>
</comments>
</file>

<file path=xl/comments/comment6.xml><?xml version="1.0" encoding="utf-8"?>
<comments xmlns="http://schemas.openxmlformats.org/spreadsheetml/2006/main">
  <authors>
    <author>Dragos Macsim</author>
  </authors>
  <commentList>
    <comment ref="D9" authorId="0" shapeId="0">
      <text>
        <t>Dragos Macsim:
Was 41. Corrected to match Corrected_Metrics D78 and the four_arm run: identical n_calls (119), mean tokens (10287) and total cost ($0.5412) mean this is the same run, and the cost per correct call of $0.0187 implies 29 correct.</t>
      </text>
    </comment>
    <comment ref="D10" authorId="0" shapeId="0">
      <text>
        <t>Dragos Macsim:
Was 38. Corrected to match Corrected_Metrics D81; cost per correct call of $0.0220 implies 27 correct.</t>
      </text>
    </comment>
    <comment ref="E10" authorId="0" shapeId="0">
      <text>
        <t>Dragos Macsim:
Was 26.</t>
      </text>
    </comment>
  </commentList>
</comments>
</file>

<file path=xl/comments/comment7.xml><?xml version="1.0" encoding="utf-8"?>
<comments xmlns="http://schemas.openxmlformats.org/spreadsheetml/2006/main">
  <authors>
    <author>Dragos Macsim</author>
  </authors>
  <commentList>
    <comment ref="C25" authorId="0" shapeId="0">
      <text>
        <t>Dragos Macsim:
Denominator mismatch, unresolved: the dev accuracy in B25 uses 17 graded events (10/17), but this floor is computed on 26. Corrected_Metrics P105 carries the same 53.8%. Verify against surviving_findings.md before quoting the +5.0pp margin. Addressed 2026-08-21: see the floor-convention note in A28.</t>
      </text>
    </comment>
  </commentList>
</comments>
</file>

<file path=xl/comments/comment8.xml><?xml version="1.0" encoding="utf-8"?>
<comments xmlns="http://schemas.openxmlformats.org/spreadsheetml/2006/main">
  <authors>
    <author>Dragos Macsim</author>
  </authors>
  <commentList>
    <comment ref="A2" authorId="0" shapeId="0">
      <text>
        <t>Hold rates are 53/170 and 40/170 on the N=170 paired subset. Earlier text gave 40.4% / 23.4% against an N=171 label; the intermediate 31.0% / 23.4% were the 171-pair values. The "~7.1pp advantage" clause was removed and needs recalculating from methodology_flat_convention.md.</t>
      </text>
    </comment>
    <comment ref="A63" authorId="0" shapeId="0">
      <text>
        <t>2026-08-21: the rows below were live formulas, so the earlier 'record' was self-updating; human cells are now typed values derived from the 2026-08-13 vintage.</t>
      </text>
    </comment>
    <comment ref="C68" authorId="0" shapeId="0">
      <text>
        <t>Record value: 295 = the corrected-count at the 2026-08-13 vintage. The live 405 count is in A92 and rows 94–101.</t>
      </text>
    </comment>
    <comment ref="A92" authorId="0" shapeId="0">
      <text>
        <t>Dragos Macsim:
COUNTS UNRESOLVED. This paragraph originally gave four mutually inconsistent figures for the same population: 125 uncorrected rows (A64), ~120 rows and 109 unique events (opening sentence), and 108 unique events / 127 rows (closing sentence). Its own components sum to ~101 rows (81 + 20), and the live count in C68 implies a different split again. The closing sentence has been removed; reconcile against Human_Provenance before quoting any of these numbers.</t>
      </text>
    </comment>
  </commentList>
</comments>
</file>

<file path=xl/comments/comment9.xml><?xml version="1.0" encoding="utf-8"?>
<comments xmlns="http://schemas.openxmlformats.org/spreadsheetml/2006/main">
  <authors>
    <author>Dragos Macsim</author>
  </authors>
  <commentList>
    <comment ref="C11" authorId="0" shapeId="0">
      <text>
        <t>Dragos Macsim:
Changed from 233 alongside the Set A regeneration: rows C4:C10 now sum to 232 (Comm Svcs moved 19 to 18). Not listed in fix list 7 — applied so the total matches its own column.</t>
      </text>
    </comment>
    <comment ref="E11" authorId="0" shapeId="0">
      <text>
        <t>Set A rows regenerated 2026-08-21 (fix list 7 §B) on the tab's own taxonomy; rows C4:E10 now sum exactly to this total row: 232 / 145 / 68. Set B and Set C rows still do not sum to their totals — that is blocked on the extension-basis decision (fix list 7 §G: 32 vs 34 graded).</t>
      </text>
    </comment>
    <comment ref="D13" authorId="0" shapeId="0">
      <text>
        <t>Resolved 2026-08-21: group adopted the 34-graded basis (Q1); this cell, G13, A1 and G21 now all read 13.</t>
      </text>
    </comment>
    <comment ref="E19" authorId="0" shapeId="0">
      <text>
        <t>Resolved 2026-08-21: Set B regenerated on the 34-graded basis; rows sum 34 graded / 13 correct.</t>
      </text>
    </comment>
    <comment ref="E29" authorId="0" shapeId="0">
      <text>
        <t>Resolved 2026-08-21: Set C = Set A + Set B, totals 325/179/81, rows tie.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s>
</file>

<file path=xl/drawings/_rels/drawing2.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s>
</file>

<file path=xl/drawings/_rels/drawing3.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s>
</file>

<file path=xl/drawings/_rels/drawing4.xml.rels><Relationships xmlns="http://schemas.openxmlformats.org/package/2006/relationships"><Relationship Type="http://schemas.openxmlformats.org/officeDocument/2006/relationships/chart" Target="/xl/charts/chart18.xml" Id="rId1"/><Relationship Type="http://schemas.openxmlformats.org/officeDocument/2006/relationships/chart" Target="/xl/charts/chart19.xml" Id="rId2"/></Relationships>
</file>

<file path=xl/drawings/_rels/drawing5.xml.rels><Relationships xmlns="http://schemas.openxmlformats.org/package/2006/relationships"><Relationship Type="http://schemas.openxmlformats.org/officeDocument/2006/relationships/chart" Target="/xl/charts/chart20.xml" Id="rId1"/></Relationships>
</file>

<file path=xl/drawings/_rels/drawing6.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 Type="http://schemas.openxmlformats.org/officeDocument/2006/relationships/chart" Target="/xl/charts/chart23.xml" Id="rId3"/><Relationship Type="http://schemas.openxmlformats.org/officeDocument/2006/relationships/chart" Target="/xl/charts/chart24.xml" Id="rId4"/><Relationship Type="http://schemas.openxmlformats.org/officeDocument/2006/relationships/chart" Target="/xl/charts/chart25.xml" Id="rId5"/></Relationships>
</file>

<file path=xl/drawings/_rels/drawing7.xml.rels><Relationships xmlns="http://schemas.openxmlformats.org/package/2006/relationships"><Relationship Type="http://schemas.openxmlformats.org/officeDocument/2006/relationships/chart" Target="/xl/charts/chart26.xml" Id="rId1"/><Relationship Type="http://schemas.openxmlformats.org/officeDocument/2006/relationships/chart" Target="/xl/charts/chart27.xml" Id="rId2"/><Relationship Type="http://schemas.openxmlformats.org/officeDocument/2006/relationships/chart" Target="/xl/charts/chart28.xml" Id="rId3"/><Relationship Type="http://schemas.openxmlformats.org/officeDocument/2006/relationships/chart" Target="/xl/charts/chart29.xml" Id="rId4"/></Relationships>
</file>

<file path=xl/drawings/drawing1.xml><?xml version="1.0" encoding="utf-8"?>
<wsDr xmlns="http://schemas.openxmlformats.org/drawingml/2006/spreadsheetDrawing">
  <oneCellAnchor>
    <from>
      <col>7</col>
      <colOff>0</colOff>
      <row>3</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21</row>
      <rowOff>0</rowOff>
    </from>
    <ext cx="64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6</col>
      <colOff>714375</colOff>
      <row>40</row>
      <rowOff>104775</rowOff>
    </from>
    <ext cx="64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57</row>
      <rowOff>0</rowOff>
    </from>
    <ext cx="6480000" cy="34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7</col>
      <colOff>0</colOff>
      <row>75</row>
      <rowOff>0</rowOff>
    </from>
    <ext cx="6480000" cy="34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93</row>
      <rowOff>0</rowOff>
    </from>
    <ext cx="6480000" cy="34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7</col>
      <colOff>0</colOff>
      <row>111</row>
      <rowOff>0</rowOff>
    </from>
    <ext cx="6480000" cy="342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7</col>
      <colOff>0</colOff>
      <row>129</row>
      <rowOff>0</rowOff>
    </from>
    <ext cx="6480000" cy="342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7</col>
      <colOff>0</colOff>
      <row>147</row>
      <rowOff>0</rowOff>
    </from>
    <ext cx="6480000" cy="342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wsDr>
</file>

<file path=xl/drawings/drawing2.xml><?xml version="1.0" encoding="utf-8"?>
<wsDr xmlns="http://schemas.openxmlformats.org/drawingml/2006/spreadsheetDrawing">
  <oneCellAnchor>
    <from>
      <col>5</col>
      <colOff>504825</colOff>
      <row>4</row>
      <rowOff>266700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21</row>
      <rowOff>0</rowOff>
    </from>
    <ext cx="64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39</row>
      <rowOff>0</rowOff>
    </from>
    <ext cx="6480000" cy="34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57</row>
      <rowOff>0</rowOff>
    </from>
    <ext cx="6480000" cy="34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7</col>
      <colOff>0</colOff>
      <row>75</row>
      <rowOff>0</rowOff>
    </from>
    <ext cx="6480000" cy="34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7</col>
      <colOff>0</colOff>
      <row>93</row>
      <rowOff>0</rowOff>
    </from>
    <ext cx="6480000" cy="34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drawings/drawing3.xml><?xml version="1.0" encoding="utf-8"?>
<wsDr xmlns="http://schemas.openxmlformats.org/drawingml/2006/spreadsheetDrawing">
  <oneCellAnchor>
    <from>
      <col>7</col>
      <colOff>0</colOff>
      <row>3</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21</row>
      <rowOff>0</rowOff>
    </from>
    <ext cx="64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8</col>
      <colOff>0</colOff>
      <row>3</row>
      <rowOff>0</rowOff>
    </from>
    <ext cx="648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21</row>
      <rowOff>0</rowOff>
    </from>
    <ext cx="6480000" cy="34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0</col>
      <colOff>0</colOff>
      <row>35</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26</col>
      <colOff>254000</colOff>
      <row>26</row>
      <rowOff>127000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26</col>
      <colOff>254000</colOff>
      <row>48</row>
      <rowOff>101600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49</row>
      <rowOff>0</rowOff>
    </from>
    <ext cx="720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12</col>
      <colOff>0</colOff>
      <row>49</row>
      <rowOff>0</rowOff>
    </from>
    <ext cx="7200000" cy="360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71</row>
      <rowOff>0</rowOff>
    </from>
    <ext cx="7200000" cy="360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7.xml><?xml version="1.0" encoding="utf-8"?>
<wsDr xmlns="http://schemas.openxmlformats.org/drawingml/2006/spreadsheetDrawing">
  <oneCellAnchor>
    <from>
      <col>13</col>
      <colOff>444500</colOff>
      <row>128</row>
      <rowOff>152400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190500</colOff>
      <row>71</row>
      <rowOff>101600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609600</colOff>
      <row>155</row>
      <rowOff>38100</rowOff>
    </from>
    <ext cx="72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13</col>
      <colOff>419100</colOff>
      <row>110</row>
      <rowOff>0</rowOff>
    </from>
    <ext cx="72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Human_Entry" displayName="Human_Entry" ref="A2:V324" headerRowCount="1">
  <autoFilter ref="A2:V324"/>
  <tableColumns count="22">
    <tableColumn id="1" name="Company" dataDxfId="44"/>
    <tableColumn id="2" name="Ticker" dataDxfId="43"/>
    <tableColumn id="3" name="Year" dataDxfId="42"/>
    <tableColumn id="4" name="Quarter" dataDxfId="41"/>
    <tableColumn id="22" name="Document" dataDxfId="40"/>
    <tableColumn id="23" name="Section" dataDxfId="39"/>
    <tableColumn id="5" name="Rater" dataDxfId="38"/>
    <tableColumn id="6" name="Type (Human/LLM)" dataDxfId="37"/>
    <tableColumn id="7" name="Sentiment Score (−1 to +1)" dataDxfId="36"/>
    <tableColumn id="8" name="Decision (BUY/HOLD/SELL)" dataDxfId="35">
      <calculatedColumnFormula>IF(OR(I3="",Settings!$B$6=""),"",IF(I3&gt;Settings!$B$6,"BUY",IF(I3&lt;-Settings!$B$6,"SELL","HOLD")))</calculatedColumnFormula>
    </tableColumn>
    <tableColumn id="9" name="Time (mins)_x000a_" dataDxfId="34"/>
    <tableColumn id="20" name="Document Date" dataDxfId="33"/>
    <tableColumn id="10" name="Prior Closing Date" dataDxfId="32"/>
    <tableColumn id="11" name="Prior_x000a_Close ($)" dataDxfId="31"/>
    <tableColumn id="12" name="Next Opening Date" dataDxfId="30"/>
    <tableColumn id="13" name="Next Day_x000a_Open ($)" dataDxfId="29"/>
    <tableColumn id="14" name="Actual % Change" dataDxfId="28"/>
    <tableColumn id="15" name="Actual Direction" dataDxfId="27"/>
    <tableColumn id="16" name="Prediction Correct?" dataDxfId="26"/>
    <tableColumn id="17" name="Position" dataDxfId="25"/>
    <tableColumn id="18" name="Net P&amp;L" dataDxfId="24"/>
    <tableColumn id="19" name="Notes / Risks Flagged"/>
  </tableColumns>
  <tableStyleInfo showFirstColumn="0" showLastColumn="0" showRowStripes="0" showColumnStripes="0"/>
</table>
</file>

<file path=xl/tables/table2.xml><?xml version="1.0" encoding="utf-8"?>
<table xmlns="http://schemas.openxmlformats.org/spreadsheetml/2006/main" id="2" name="LLM_Entry" displayName="LLM_Entry" ref="A2:V261" headerRowCount="1">
  <autoFilter ref="A2:V261"/>
  <tableColumns count="22">
    <tableColumn id="1" name="Company" dataDxfId="17"/>
    <tableColumn id="2" name="Ticker" dataDxfId="16"/>
    <tableColumn id="3" name="Year"/>
    <tableColumn id="4" name="Quarter"/>
    <tableColumn id="5" name="Rater"/>
    <tableColumn id="6" name="Type (Human/LLM)"/>
    <tableColumn id="7" name="Sentiment Score (−1 to +1)"/>
    <tableColumn id="8" name="Decision (BUY/HOLD/SELL)"/>
    <tableColumn id="9" name="Time (seconds)_x000a_" dataDxfId="15"/>
    <tableColumn id="20" name="Document Date" dataDxfId="14"/>
    <tableColumn id="10" name="Closing Date" dataDxfId="13"/>
    <tableColumn id="11" name="Prior_x000a_Close ($)"/>
    <tableColumn id="12" name="Opening Date" dataDxfId="12"/>
    <tableColumn id="13" name="Next Day_x000a_Open ($)"/>
    <tableColumn id="21" name="Token Cost ($)" dataDxfId="11"/>
    <tableColumn id="14" name="Actual % Change"/>
    <tableColumn id="15" name="Actual Direction"/>
    <tableColumn id="16" name="Prediction Correct?"/>
    <tableColumn id="17" name="Position"/>
    <tableColumn id="18" name="Net P&amp;L"/>
    <tableColumn id="19" name="Notes / Risks Flagged"/>
    <tableColumn id="22" name="Event Set"/>
  </tableColumns>
  <tableStyleInfo name="TableStyleLight1" showFirstColumn="0" showLastColumn="0" showRowStripes="0" showColumnStripes="0"/>
</table>
</file>

<file path=xl/tables/table3.xml><?xml version="1.0" encoding="utf-8"?>
<table xmlns="http://schemas.openxmlformats.org/spreadsheetml/2006/main" id="3" name="Rater_Accuracy" displayName="Rater_Accuracy" ref="A4:G13" headerRowCount="1">
  <autoFilter ref="A4:G13"/>
  <tableColumns count="7">
    <tableColumn id="1" name="Rater"/>
    <tableColumn id="2" name="Type"/>
    <tableColumn id="3" name="# Predictions"/>
    <tableColumn id="4" name="# Correct"/>
    <tableColumn id="5" name="# Incorrect"/>
    <tableColumn id="6" name="% Correct"/>
    <tableColumn id="7" name="% Incorrect"/>
  </tableColumns>
  <tableStyleInfo name="TableStyleLight1" showFirstColumn="0" showLastColumn="0" showRowStripes="0" showColumnStripes="0"/>
</table>
</file>

<file path=xl/tables/table4.xml><?xml version="1.0" encoding="utf-8"?>
<table xmlns="http://schemas.openxmlformats.org/spreadsheetml/2006/main" id="4" name="Rater_PL" displayName="Rater_PL" ref="I4:R13" headerRowCount="1">
  <autoFilter ref="I4:R13"/>
  <tableColumns count="10">
    <tableColumn id="9" name="Rater"/>
    <tableColumn id="10" name="Type"/>
    <tableColumn id="11" name="# Trades"/>
    <tableColumn id="12" name="Trade Rate %"/>
    <tableColumn id="14" name="Avg %/Trade" dataDxfId="9"/>
    <tableColumn id="1" name="Std Dev %/Trade" dataDxfId="8">
      <calculatedColumnFormula array="1">IFERROR(STDEV(IF((LLM_Data_Entry!$E$3:$E$446=I5)*(LLM_Data_Entry!$H$3:$H$446&lt;&gt;"HOLD")*(LLM_Data_Entry!$T$3:$T$446&lt;&gt;""),LLM_Data_Entry!$T$3:$T$446)),"")</calculatedColumnFormula>
    </tableColumn>
    <tableColumn id="15" name="Dir. Hit Rate %"/>
    <tableColumn id="16" name="Correct"/>
    <tableColumn id="17" name="Flat"/>
    <tableColumn id="18" name="Wrong"/>
  </tableColumns>
  <tableStyleInfo name="TableStyleLight1" showFirstColumn="0" showLastColumn="0" showRowStripes="0" showColumnStripes="0"/>
</table>
</file>

<file path=xl/tables/table5.xml><?xml version="1.0" encoding="utf-8"?>
<table xmlns="http://schemas.openxmlformats.org/spreadsheetml/2006/main" id="5" name="Company_PL" displayName="Company_PL" ref="I17:O108" headerRowCount="1">
  <autoFilter ref="I17:O108"/>
  <tableColumns count="7">
    <tableColumn id="9" name="Company"/>
    <tableColumn id="10" name="Human #Trades"/>
    <tableColumn id="11" name="Human Avg%/Trade"/>
    <tableColumn id="12" name="Human Total Return% (sum)"/>
    <tableColumn id="13" name="LLM #Trades" dataDxfId="7"/>
    <tableColumn id="14" name="LLM Avg%/Trade"/>
    <tableColumn id="15" name="LLM Total Return% (sum)"/>
  </tableColumns>
  <tableStyleInfo name="TableStyleLight1" showFirstColumn="0" showLastColumn="0" showRowStripes="0" showColumnStripes="0"/>
</table>
</file>

<file path=xl/tables/table6.xml><?xml version="1.0" encoding="utf-8"?>
<table xmlns="http://schemas.openxmlformats.org/spreadsheetml/2006/main" id="6" name="Company_Accuracy" displayName="Company_Accuracy" ref="A17:G108" headerRowCount="1">
  <autoFilter ref="A17:G108"/>
  <tableColumns count="7">
    <tableColumn id="1" name="Company"/>
    <tableColumn id="2" name="Human_x000a_# Pred"/>
    <tableColumn id="3" name="Human_x000a_# Correct"/>
    <tableColumn id="4" name="Human_x000a_% Correct"/>
    <tableColumn id="5" name="LLM_x000a_# Pred"/>
    <tableColumn id="6" name="LLM_x000a_# Correct"/>
    <tableColumn id="7" name="LLM_x000a_% Correct"/>
  </tableColumns>
  <tableStyleInfo name="TableStyleLight1" showFirstColumn="0" showLastColumn="0" showRowStripes="0" showColumnStripes="0"/>
</table>
</file>

<file path=xl/tables/table7.xml><?xml version="1.0" encoding="utf-8"?>
<table xmlns="http://schemas.openxmlformats.org/spreadsheetml/2006/main" id="7" name="Table1" displayName="Table1" ref="A2:C206" headerRowCount="1" totalsRowShown="0">
  <autoFilter ref="A2:C206"/>
  <tableColumns count="3">
    <tableColumn id="1" name="Company"/>
    <tableColumn id="2" name="Ticker"/>
    <tableColumn id="3" name="Owner"/>
  </tableColumns>
  <tableStyleInfo name="TableStyleMedium2" showFirstColumn="0" showLastColumn="0" showRowStripes="1" showColumnStripes="0"/>
</table>
</file>

<file path=xl/tables/table8.xml><?xml version="1.0" encoding="utf-8"?>
<table xmlns="http://schemas.openxmlformats.org/spreadsheetml/2006/main" id="8" name="Table12" displayName="Table12" ref="E2:F8" headerRowCount="1" totalsRowShown="0">
  <autoFilter ref="E2:F8"/>
  <tableColumns count="2">
    <tableColumn id="1" name="Rater" dataDxfId="6">
      <calculatedColumnFormula array="1">_xlfn._xlws.SORT(_xlfn.UNIQUE(_xlfn._xlws.FILTER($C$3:$C$200,$C$3:$C$200&lt;&gt;"")))</calculatedColumnFormula>
    </tableColumn>
    <tableColumn id="2" name="Company Count" dataDxfId="5">
      <calculatedColumnFormula>COUNTIF($C:$C,E3)</calculatedColumnFormula>
    </tableColumn>
  </tableColumns>
  <tableStyleInfo name="TableStyleMedium2" showFirstColumn="0" showLastColumn="0" showRowStripes="1" showColumnStripes="0"/>
</table>
</file>

<file path=xl/tables/table9.xml><?xml version="1.0" encoding="utf-8"?>
<table xmlns="http://schemas.openxmlformats.org/spreadsheetml/2006/main" id="9" name="tblRaters" displayName="tblRaters" ref="A7:B14" headerRowCount="1">
  <autoFilter ref="A7:B14"/>
  <tableColumns count="2">
    <tableColumn id="1" name="Rater Name" dataDxfId="4"/>
    <tableColumn id="2" name="Type"/>
  </tableColumns>
  <tableStyleInfo name="TableStyleLight1" showFirstColumn="0" showLastColumn="0" showRowStripes="0" showColumnStripes="0"/>
</table>
</file>

<file path=xl/tables/table10.xml><?xml version="1.0" encoding="utf-8"?>
<table xmlns="http://schemas.openxmlformats.org/spreadsheetml/2006/main" id="10" name="tblDecisions" displayName="tblDecisions" ref="D7:D10" headerRowCount="1" dataDxfId="3">
  <autoFilter ref="D7:D10"/>
  <tableColumns count="1">
    <tableColumn id="4" name="Decision" dataDxfId="2"/>
  </tableColumns>
  <tableStyleInfo name="TableStyleLight1" showFirstColumn="0" showLastColumn="0" showRowStripes="0" showColumnStripes="0"/>
</table>
</file>

<file path=xl/tables/table11.xml><?xml version="1.0" encoding="utf-8"?>
<table xmlns="http://schemas.openxmlformats.org/spreadsheetml/2006/main" id="11" name="tblYears" displayName="tblYears" ref="F7:F14" headerRowCount="1">
  <autoFilter ref="F7:F14"/>
  <tableColumns count="1">
    <tableColumn id="6" name="Year"/>
  </tableColumns>
  <tableStyleInfo name="TableStyleLight1" showFirstColumn="0" showLastColumn="0" showRowStripes="0" showColumnStripes="0"/>
</table>
</file>

<file path=xl/tables/table12.xml><?xml version="1.0" encoding="utf-8"?>
<table xmlns="http://schemas.openxmlformats.org/spreadsheetml/2006/main" id="12" name="tblQuarters" displayName="tblQuarters" ref="G7:I12" headerRowCount="1">
  <autoFilter ref="G7:I12"/>
  <tableColumns count="3">
    <tableColumn id="7" name="Quarter"/>
    <tableColumn id="1" name="Section" dataDxfId="1"/>
    <tableColumn id="2" name="Document"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table" Target="/xl/tables/table1.xml" Id="rId1"/></Relationships>
</file>

<file path=xl/worksheets/_rels/sheet13.xml.rels><Relationships xmlns="http://schemas.openxmlformats.org/package/2006/relationships"><Relationship Type="http://schemas.openxmlformats.org/officeDocument/2006/relationships/table" Target="/xl/tables/table2.xml" Id="rId1"/></Relationships>
</file>

<file path=xl/worksheets/_rels/sheet17.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s>
</file>

<file path=xl/worksheets/_rels/sheet18.xml.rels><Relationships xmlns="http://schemas.openxmlformats.org/package/2006/relationships"><Relationship Type="http://schemas.openxmlformats.org/officeDocument/2006/relationships/drawing" Target="/xl/drawings/drawing6.xml" Id="rId1"/></Relationships>
</file>

<file path=xl/worksheets/_rels/sheet19.xml.rels><Relationships xmlns="http://schemas.openxmlformats.org/package/2006/relationships"><Relationship Type="http://schemas.openxmlformats.org/officeDocument/2006/relationships/drawing" Target="/xl/drawings/drawing7.xml" Id="rId1"/></Relationships>
</file>

<file path=xl/worksheets/_rels/sheet20.xml.rels><Relationships xmlns="http://schemas.openxmlformats.org/package/2006/relationships"><Relationship Type="http://schemas.openxmlformats.org/officeDocument/2006/relationships/table" Target="/xl/tables/table7.xml" Id="rId1"/><Relationship Type="http://schemas.openxmlformats.org/officeDocument/2006/relationships/table" Target="/xl/tables/table8.xml" Id="rId2"/></Relationships>
</file>

<file path=xl/worksheets/_rels/sheet21.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 Type="http://schemas.openxmlformats.org/officeDocument/2006/relationships/table" Target="/xl/tables/table12.xml" Id="rId4"/></Relationships>
</file>

<file path=xl/worksheets/sheet1.xml><?xml version="1.0" encoding="utf-8"?>
<worksheet xmlns="http://schemas.openxmlformats.org/spreadsheetml/2006/main">
  <sheetPr>
    <tabColor rgb="FFD9261C"/>
    <outlinePr summaryBelow="1" summaryRight="1"/>
    <pageSetUpPr fitToPage="1"/>
  </sheetPr>
  <dimension ref="A1:B13"/>
  <sheetViews>
    <sheetView showGridLines="0" workbookViewId="0">
      <selection activeCell="F5" sqref="F5"/>
    </sheetView>
  </sheetViews>
  <sheetFormatPr baseColWidth="8" defaultColWidth="8.85546875" defaultRowHeight="15"/>
  <cols>
    <col width="42" customWidth="1" style="241" min="1" max="1"/>
    <col width="104" customWidth="1" style="241" min="2" max="2"/>
  </cols>
  <sheetData>
    <row r="1" ht="24" customHeight="1" s="241">
      <c r="A1" s="109" t="inlineStr">
        <is>
          <t>Start here</t>
        </is>
      </c>
    </row>
    <row r="3" ht="44.1" customHeight="1" s="241">
      <c r="A3" s="110" t="inlineStr">
        <is>
          <t>What this workbook is</t>
        </is>
      </c>
      <c r="B3" s="111" t="inlineStr">
        <is>
          <t>The complete dataset and results for the model arm of the Citibank Applied Research Project. 361 model readings and 420 human readings, with every reported figure and its source.</t>
        </is>
      </c>
    </row>
    <row r="4" ht="44.1" customHeight="1" s="241">
      <c r="A4" s="110" t="inlineStr">
        <is>
          <t>Read these four tabs first</t>
        </is>
      </c>
      <c r="B4" s="111" t="inlineStr">
        <is>
          <t>Results_Summary for every figure with its definition. Charts_Corrected for the figures. Efficiency_Corrected for cost and time. Confusion_Matrices for where the errors are.</t>
        </is>
      </c>
    </row>
    <row r="5" ht="83.09999999999999" customHeight="1" s="241">
      <c r="A5" s="110" t="inlineStr">
        <is>
          <t>The one thing to understand before reading any number</t>
        </is>
      </c>
      <c r="B5" s="228" t="inlineStr">
        <is>
          <t>Accuracy is reported two ways from the same correct calls. SELECTIVITY asks whether the model was right when it committed to a direction, and reads 62.4% on 109 graded frozen events. COVERAGE asks whether it captured the available directional information, counts every HOLD on a moving event as a miss, and reads 46.9% on 145. Both are correct. Quoting one without the other is misleading.</t>
        </is>
      </c>
    </row>
    <row r="6" ht="69.95" customHeight="1" s="241">
      <c r="A6" s="110" t="inlineStr">
        <is>
          <t>Three event sets, and which to quote</t>
        </is>
      </c>
      <c r="B6" s="228" t="inlineStr">
        <is>
          <t>FROZEN is 232 events and is the pre-registered primary. Lead with it. EXTENSION is 93 events across 20 companies added on 2026-08-14 and is descriptive only, since it yielded 18 graded events. COMBINED is all 325 and is a robustness check. Every figure in Results_Summary shows all three side by side.</t>
        </is>
      </c>
    </row>
    <row r="7" ht="57" customHeight="1" s="241">
      <c r="A7" s="110" t="inlineStr">
        <is>
          <t>The sample is small and most comparisons are untestable</t>
        </is>
      </c>
      <c r="B7" s="111" t="inlineStr">
        <is>
          <t>Every frozen accuracy claim rests on 109 graded events, with a minimum detectable effect of roughly ±11 percentage points. The extension rests on 18, and is smaller again. A non-significant comparison here is underpowered rather than null, and the distinction matters.</t>
        </is>
      </c>
    </row>
    <row r="8" ht="57" customHeight="1" s="241">
      <c r="A8" s="110" t="inlineStr">
        <is>
          <t>Thresholds were fitted in sample</t>
        </is>
      </c>
      <c r="B8" s="111" t="inlineStr">
        <is>
          <t>The deployed HOLD thresholds were chosen by maximising a compounded return the study no longer reports, on the full dataset with all events seen, and were not pre-registered. Every threshold-dependent figure carries that qualification. The walk-forward tab tests it.</t>
        </is>
      </c>
    </row>
    <row r="9" ht="57" customHeight="1" s="241">
      <c r="A9" s="110" t="inlineStr">
        <is>
          <t>Two definitions of combined</t>
        </is>
      </c>
      <c r="B9" s="228" t="inlineStr">
        <is>
          <t>Main figures use COMBINED-FULL at 325 events. The baseline frontier uses COMBINED-EVAL at 279, because the baselines required a dev split for threshold fitting. Never compare a frontier figure against a non-frontier figure without checking which.</t>
        </is>
      </c>
    </row>
    <row r="10" ht="69.95" customHeight="1" s="241">
      <c r="A10" s="110" t="inlineStr">
        <is>
          <t>Which tabs are working records rather than results</t>
        </is>
      </c>
      <c r="B10" s="111" t="inlineStr">
        <is>
          <t>The provenance and protocol tabs are working records rather than results. Corrections_Log, Findings, Anchor_Audit, Price_Basis_Note and the two superseded re-pricing tabs are referenced in several places but are NOT present in this workbook — they live in the repo. Summary, Charts and Efficiency are the original sheets, retained unchanged; they use the coverage convention and the Charts floor line sits on a different denominator from its bars. Use the corrected equivalents instead.</t>
        </is>
      </c>
    </row>
    <row r="11" ht="44.1" customHeight="1" s="241">
      <c r="A11" s="110" t="inlineStr">
        <is>
          <t>Before you use it</t>
        </is>
      </c>
      <c r="B11" s="111" t="inlineStr">
        <is>
          <t>Open in Excel and press Ctrl+Alt+F9 to force a full recalculation. Several tabs are formula-driven and use XLOOKUP, which does not evaluate outside Excel.</t>
        </is>
      </c>
    </row>
    <row r="13">
      <c r="A13" s="150" t="inlineStr">
        <is>
          <t>Prepared 14 August 2026; corrections applied through 24 August 2026. Figures on the corrected release_date anchor, frozen set N=232.</t>
        </is>
      </c>
      <c r="B13" s="111" t="n"/>
    </row>
  </sheetData>
  <pageMargins left="0.75" right="0.75" top="1" bottom="1" header="0.5" footer="0.5"/>
  <pageSetup orientation="landscape" fitToHeight="0"/>
  <legacyDrawing xmlns:r="http://schemas.openxmlformats.org/officeDocument/2006/relationships" r:id="anysvml"/>
</worksheet>
</file>

<file path=xl/worksheets/sheet2.xml><?xml version="1.0" encoding="utf-8"?>
<worksheet xmlns="http://schemas.openxmlformats.org/spreadsheetml/2006/main">
  <sheetPr>
    <tabColor rgb="FFD9261C"/>
    <outlinePr summaryBelow="1" summaryRight="1"/>
    <pageSetUpPr fitToPage="1"/>
  </sheetPr>
  <dimension ref="A1:G99"/>
  <sheetViews>
    <sheetView showGridLines="0" workbookViewId="0">
      <pane ySplit="3" topLeftCell="A4" activePane="bottomLeft" state="frozen"/>
      <selection pane="bottomLeft" activeCell="A26" sqref="A26:E26"/>
    </sheetView>
  </sheetViews>
  <sheetFormatPr baseColWidth="8" defaultColWidth="8.85546875" defaultRowHeight="15"/>
  <cols>
    <col width="34" customWidth="1" style="241" min="1" max="1"/>
    <col width="20" customWidth="1" style="241" min="2" max="2"/>
    <col width="18" customWidth="1" style="241" min="3" max="3"/>
    <col width="20" customWidth="1" style="241" min="4" max="4"/>
    <col width="54" customWidth="1" style="241" min="5" max="5"/>
    <col width="14" customWidth="1" style="241" min="6" max="6"/>
    <col width="20" customWidth="1" style="241" min="7" max="7"/>
  </cols>
  <sheetData>
    <row r="1" ht="18.95" customHeight="1" s="241">
      <c r="A1" s="102" t="inlineStr">
        <is>
          <t>Results Summary — all three event sets</t>
        </is>
      </c>
    </row>
    <row r="2" ht="51.95" customHeight="1" s="241">
      <c r="A2" s="239" t="inlineStr">
        <is>
          <t>Every figure appears on three sets. FROZEN (highlighted) is the pre-registered primary at 232 events and is what the written analysis leads with. EXTENSION is the 93 events added on 2026-08-14 across 20 companies the model arm had never scored, and is descriptive only at 18 graded events. COMBINED is all 325 events and is a robustness check, not a replacement. Accuracy is reported under two conventions because they answer different questions and neither travels alone.</t>
        </is>
      </c>
    </row>
    <row r="4">
      <c r="A4" s="107" t="inlineStr">
        <is>
          <t>Headline result</t>
        </is>
      </c>
      <c r="B4" s="108" t="n"/>
      <c r="C4" s="108" t="n"/>
      <c r="D4" s="108" t="n"/>
      <c r="E4" s="108" t="n"/>
    </row>
    <row r="5" ht="30" customHeight="1" s="241">
      <c r="A5" s="151" t="inlineStr">
        <is>
          <t>Metric</t>
        </is>
      </c>
      <c r="B5" s="151" t="inlineStr">
        <is>
          <t>FROZEN (primary)</t>
        </is>
      </c>
      <c r="C5" s="151" t="inlineStr">
        <is>
          <t>EXTENSION</t>
        </is>
      </c>
      <c r="D5" s="151" t="inlineStr">
        <is>
          <t>COMBINED</t>
        </is>
      </c>
      <c r="E5" s="151" t="inlineStr">
        <is>
          <t>Definition</t>
        </is>
      </c>
    </row>
    <row r="6" ht="15.95" customHeight="1" s="241">
      <c r="A6" s="152" t="inlineStr">
        <is>
          <t>Selectivity accuracy</t>
        </is>
      </c>
      <c r="B6" s="226" t="inlineStr">
        <is>
          <t>62.4% (68/109)</t>
        </is>
      </c>
      <c r="C6" s="152" t="inlineStr">
        <is>
          <t>72.2% (13/18)</t>
        </is>
      </c>
      <c r="D6" s="225" t="inlineStr">
        <is>
          <t>63.8% (81/127)</t>
        </is>
      </c>
      <c r="E6" s="152" t="inlineStr">
        <is>
          <t>Model committed to a direction AND |return| &gt; 2%</t>
        </is>
      </c>
    </row>
    <row r="7" ht="30" customHeight="1" s="241">
      <c r="A7" s="154" t="inlineStr">
        <is>
          <t>Majority-direction floor</t>
        </is>
      </c>
      <c r="B7" s="226" t="inlineStr">
        <is>
          <t>54.1%</t>
        </is>
      </c>
      <c r="C7" s="154" t="inlineStr">
        <is>
          <t>61.1%</t>
        </is>
      </c>
      <c r="D7" s="217" t="inlineStr">
        <is>
          <t>55.1%</t>
        </is>
      </c>
      <c r="E7" s="155" t="inlineStr">
        <is>
          <t>Always predicting the majority realised direction, same denominator</t>
        </is>
      </c>
    </row>
    <row r="8" ht="15.95" customHeight="1" s="241">
      <c r="A8" s="152" t="inlineStr">
        <is>
          <t>Margin over floor</t>
        </is>
      </c>
      <c r="B8" s="226" t="inlineStr">
        <is>
          <t>+8.3pp</t>
        </is>
      </c>
      <c r="C8" s="152" t="inlineStr">
        <is>
          <t>+11.1pp</t>
        </is>
      </c>
      <c r="D8" s="216" t="inlineStr">
        <is>
          <t>+8.7pp</t>
        </is>
      </c>
      <c r="E8" s="152" t="inlineStr">
        <is>
          <t>Accuracy minus its own floor</t>
        </is>
      </c>
    </row>
    <row r="9" ht="30" customHeight="1" s="241">
      <c r="A9" s="154" t="inlineStr">
        <is>
          <t>Coverage accuracy</t>
        </is>
      </c>
      <c r="B9" s="226" t="inlineStr">
        <is>
          <t>46.9% (68/145)</t>
        </is>
      </c>
      <c r="C9" s="213" t="inlineStr">
        <is>
          <t>38.2% (13/34)</t>
        </is>
      </c>
      <c r="D9" s="227" t="inlineStr">
        <is>
          <t>45.3% (81/179)</t>
        </is>
      </c>
      <c r="E9" s="155" t="inlineStr">
        <is>
          <t>All events with |return| &gt; 2%; every HOLD counts as a miss</t>
        </is>
      </c>
    </row>
    <row r="10" ht="15.95" customHeight="1" s="241">
      <c r="A10" s="152" t="inlineStr">
        <is>
          <t>Coverage floor</t>
        </is>
      </c>
      <c r="B10" s="226" t="inlineStr">
        <is>
          <t>54.5%</t>
        </is>
      </c>
      <c r="C10" s="212" t="inlineStr">
        <is>
          <t>50.0%</t>
        </is>
      </c>
      <c r="D10" s="152" t="inlineStr">
        <is>
          <t>—</t>
        </is>
      </c>
      <c r="E10" s="152" t="inlineStr">
        <is>
          <t>Majority direction on the coverage denominator</t>
        </is>
      </c>
    </row>
    <row r="11" ht="30" customHeight="1" s="241">
      <c r="A11" s="154" t="inlineStr">
        <is>
          <t>Score-return rank correlation</t>
        </is>
      </c>
      <c r="B11" s="226" t="inlineStr">
        <is>
          <t>rho 0.2565, p=0.0001</t>
        </is>
      </c>
      <c r="C11" s="154" t="inlineStr">
        <is>
          <t>rho 0.2715</t>
        </is>
      </c>
      <c r="D11" s="154" t="inlineStr">
        <is>
          <t>—</t>
        </is>
      </c>
      <c r="E11" s="155" t="inlineStr">
        <is>
          <t>Spearman, blended score against realised overnight return. No threshold, no band, no selection</t>
        </is>
      </c>
    </row>
    <row r="12" ht="15.95" customHeight="1" s="241">
      <c r="A12" s="152" t="inlineStr">
        <is>
          <t>Mean net per trade</t>
        </is>
      </c>
      <c r="B12" s="226" t="inlineStr">
        <is>
          <t>1.7963%</t>
        </is>
      </c>
      <c r="C12" s="152" t="inlineStr">
        <is>
          <t>1.4885%</t>
        </is>
      </c>
      <c r="D12" s="225" t="inlineStr">
        <is>
          <t>1.7225%</t>
        </is>
      </c>
      <c r="E12" s="152" t="inlineStr">
        <is>
          <t>After 10bps round-trip cost</t>
        </is>
      </c>
    </row>
    <row r="13" ht="30" customHeight="1" s="241">
      <c r="A13" s="154" t="inlineStr">
        <is>
          <t>Summed total return</t>
        </is>
      </c>
      <c r="B13" s="153" t="inlineStr">
        <is>
          <t>+303.80%</t>
        </is>
      </c>
      <c r="C13" s="154" t="inlineStr">
        <is>
          <t>+41.46%</t>
        </is>
      </c>
      <c r="D13" s="154" t="inlineStr">
        <is>
          <t>—</t>
        </is>
      </c>
      <c r="E13" s="155" t="inlineStr">
        <is>
          <t>Sum of independent per-trade returns. Not compounded, not an achievable balance. NOTE: on the N=233 / 169-trade vintage, not the corrected N=232 / 168 (Corrected_Metrics!F16).</t>
        </is>
      </c>
    </row>
    <row r="14" ht="15.95" customHeight="1" s="241">
      <c r="A14" s="152" t="inlineStr">
        <is>
          <t>t-statistic on mean net</t>
        </is>
      </c>
      <c r="B14" s="211" t="inlineStr">
        <is>
          <t>3.676</t>
        </is>
      </c>
      <c r="C14" s="152" t="inlineStr">
        <is>
          <t>1.362</t>
        </is>
      </c>
      <c r="D14" s="152" t="inlineStr">
        <is>
          <t>—</t>
        </is>
      </c>
      <c r="E14" s="152" t="inlineStr">
        <is>
          <t>mean / sd × sqrt(n). Not a Sharpe ratio. NOTE: n=169 trades on the N=233 vintage (Corrected_Metrics!D17).</t>
        </is>
      </c>
    </row>
    <row r="15" ht="15.95" customHeight="1" s="241">
      <c r="A15" s="154" t="inlineStr">
        <is>
          <t>Information ratio per trade</t>
        </is>
      </c>
      <c r="B15" s="211" t="inlineStr">
        <is>
          <t>0.2828</t>
        </is>
      </c>
      <c r="C15" s="154" t="inlineStr">
        <is>
          <t>0.241</t>
        </is>
      </c>
      <c r="D15" s="154" t="inlineStr">
        <is>
          <t>—</t>
        </is>
      </c>
      <c r="E15" s="154" t="inlineStr">
        <is>
          <t>mean / sd, unscaled. NOTE: n=169 trades on the N=233 vintage (Corrected_Metrics!D18).</t>
        </is>
      </c>
    </row>
    <row r="16" ht="45.95" customHeight="1" s="241">
      <c r="A16" s="238" t="inlineStr">
        <is>
          <t>The two accuracy conventions are not in conflict and come from the same correct calls. Selectivity asks whether the model was right when it committed. Coverage asks whether it captured the available directional information, and it did not, because it stayed silent on 36 frozen events and 16 extension events that moved more than 2%. Quote neither without the other.</t>
        </is>
      </c>
    </row>
    <row r="18">
      <c r="A18" s="107" t="inlineStr">
        <is>
          <t>Effective sample funnel</t>
        </is>
      </c>
      <c r="B18" s="108" t="n"/>
      <c r="C18" s="108" t="n"/>
      <c r="D18" s="108" t="n"/>
      <c r="E18" s="108" t="n"/>
    </row>
    <row r="19" ht="30" customHeight="1" s="241">
      <c r="A19" s="151" t="inlineStr">
        <is>
          <t>Step</t>
        </is>
      </c>
      <c r="B19" s="151" t="inlineStr">
        <is>
          <t>FROZEN</t>
        </is>
      </c>
      <c r="C19" s="151" t="inlineStr">
        <is>
          <t>EXTENSION</t>
        </is>
      </c>
      <c r="D19" s="151" t="inlineStr">
        <is>
          <t>COMBINED</t>
        </is>
      </c>
      <c r="E19" s="151" t="inlineStr">
        <is>
          <t>Note</t>
        </is>
      </c>
    </row>
    <row r="20" ht="15.95" customHeight="1" s="241">
      <c r="A20" s="152" t="inlineStr">
        <is>
          <t>Total scored</t>
        </is>
      </c>
      <c r="B20" s="156" t="n">
        <v>268</v>
      </c>
      <c r="C20" s="157" t="n">
        <v>93</v>
      </c>
      <c r="D20" s="157" t="n">
        <v>361</v>
      </c>
      <c r="E20" s="152" t="inlineStr">
        <is>
          <t>Events read by the model</t>
        </is>
      </c>
    </row>
    <row r="21" ht="30" customHeight="1" s="241">
      <c r="A21" s="154" t="inlineStr">
        <is>
          <t>Excluded</t>
        </is>
      </c>
      <c r="B21" s="156" t="n">
        <v>36</v>
      </c>
      <c r="C21" s="158" t="n">
        <v>0</v>
      </c>
      <c r="D21" s="158" t="n">
        <v>36</v>
      </c>
      <c r="E21" s="155" t="inlineStr">
        <is>
          <t>25 worksheet contamination, 1 misattributed document, 1 look-ahead document, 9 timing unresolved</t>
        </is>
      </c>
    </row>
    <row r="22" ht="15.95" customHeight="1" s="241">
      <c r="A22" s="152" t="inlineStr">
        <is>
          <t>Clean universe</t>
        </is>
      </c>
      <c r="B22" s="156" t="n">
        <v>232</v>
      </c>
      <c r="C22" s="157" t="n">
        <v>93</v>
      </c>
      <c r="D22" s="157" t="n">
        <v>325</v>
      </c>
      <c r="E22" s="152" t="inlineStr">
        <is>
          <t>The reported universe</t>
        </is>
      </c>
    </row>
    <row r="23" ht="15.95" customHeight="1" s="241">
      <c r="A23" s="154" t="inlineStr">
        <is>
          <t>Traded (BUY or SELL)</t>
        </is>
      </c>
      <c r="B23" s="156" t="n">
        <v>168</v>
      </c>
      <c r="C23" s="158" t="n">
        <v>53</v>
      </c>
      <c r="D23" s="158" t="n">
        <v>221</v>
      </c>
      <c r="E23" s="217" t="inlineStr">
        <is>
          <t>Trade rate 72.4% frozen against 57.0% extension</t>
        </is>
      </c>
    </row>
    <row r="24" ht="30" customHeight="1" s="241">
      <c r="A24" s="152" t="inlineStr">
        <is>
          <t>Graded directionally</t>
        </is>
      </c>
      <c r="B24" s="156" t="n">
        <v>109</v>
      </c>
      <c r="C24" s="157" t="n">
        <v>18</v>
      </c>
      <c r="D24" s="157" t="n">
        <v>127</v>
      </c>
      <c r="E24" s="159" t="inlineStr">
        <is>
          <t>|return| &gt; 2%, inside the pre-registered neutral band otherwise</t>
        </is>
      </c>
    </row>
    <row r="25" ht="15.95" customHeight="1" s="241">
      <c r="A25" s="154" t="inlineStr">
        <is>
          <t>Correct</t>
        </is>
      </c>
      <c r="B25" s="156" t="n">
        <v>68</v>
      </c>
      <c r="C25" s="158" t="n">
        <v>13</v>
      </c>
      <c r="D25" s="158" t="n">
        <v>81</v>
      </c>
      <c r="E25" s="154" t="n"/>
    </row>
    <row r="26" ht="45.95" customHeight="1" s="241">
      <c r="A26" s="238" t="inlineStr">
        <is>
          <t>Every accuracy claim rests on 109 graded events for the frozen set and 18 for the extension. The unpaired minimum detectable effect is roughly ±11pp on the frozen set, and the extension is smaller again, so the extension cannot test accuracy and its figures are descriptive only. The extension trade rate of 57.0% is itself a finding: the model held on 47.1% of extension events that moved more than 2% (16 of 34), against 24.8% on the frozen set (36 of 145).</t>
        </is>
      </c>
    </row>
    <row r="28">
      <c r="A28" s="107" t="inlineStr">
        <is>
          <t>Signal decay by horizon (FROZEN)</t>
        </is>
      </c>
      <c r="B28" s="108" t="n"/>
      <c r="C28" s="108" t="n"/>
      <c r="D28" s="108" t="n"/>
      <c r="E28" s="108" t="n"/>
      <c r="F28" s="108" t="n"/>
    </row>
    <row r="29" ht="30" customHeight="1" s="241">
      <c r="A29" s="151" t="inlineStr">
        <is>
          <t>Horizon</t>
        </is>
      </c>
      <c r="B29" s="151" t="inlineStr">
        <is>
          <t>Mean net/trade</t>
        </is>
      </c>
      <c r="C29" s="151" t="inlineStr">
        <is>
          <t>Accuracy</t>
        </is>
      </c>
      <c r="D29" s="151" t="inlineStr">
        <is>
          <t>rho</t>
        </is>
      </c>
      <c r="E29" s="151" t="inlineStr">
        <is>
          <t>p (rho)</t>
        </is>
      </c>
      <c r="F29" s="151" t="inlineStr">
        <is>
          <t>Graded n</t>
        </is>
      </c>
    </row>
    <row r="30" ht="15.95" customHeight="1" s="241">
      <c r="A30" s="152" t="inlineStr">
        <is>
          <t>Overnight</t>
        </is>
      </c>
      <c r="B30" s="216" t="inlineStr">
        <is>
          <t>1.7963%</t>
        </is>
      </c>
      <c r="C30" s="216" t="inlineStr">
        <is>
          <t>62.4%</t>
        </is>
      </c>
      <c r="D30" s="216" t="inlineStr">
        <is>
          <t>0.2565</t>
        </is>
      </c>
      <c r="E30" s="244" t="inlineStr">
        <is>
          <t>0.0001</t>
        </is>
      </c>
      <c r="F30" s="216" t="inlineStr">
        <is>
          <t>109</t>
        </is>
      </c>
    </row>
    <row r="31" ht="15.95" customHeight="1" s="241">
      <c r="A31" s="154" t="inlineStr">
        <is>
          <t>1 day</t>
        </is>
      </c>
      <c r="B31" s="217" t="inlineStr">
        <is>
          <t>1.1832%</t>
        </is>
      </c>
      <c r="C31" s="217" t="inlineStr">
        <is>
          <t>60.2%</t>
        </is>
      </c>
      <c r="D31" s="217" t="inlineStr">
        <is>
          <t>0.1952</t>
        </is>
      </c>
      <c r="E31" s="217" t="inlineStr">
        <is>
          <t>0.0028</t>
        </is>
      </c>
      <c r="F31" s="217" t="inlineStr">
        <is>
          <t>113</t>
        </is>
      </c>
    </row>
    <row r="32" ht="15.95" customHeight="1" s="241">
      <c r="A32" s="152" t="inlineStr">
        <is>
          <t>3 days</t>
        </is>
      </c>
      <c r="B32" s="216" t="inlineStr">
        <is>
          <t>0.8296%</t>
        </is>
      </c>
      <c r="C32" s="152" t="inlineStr">
        <is>
          <t>52.6%</t>
        </is>
      </c>
      <c r="D32" s="216" t="inlineStr">
        <is>
          <t>0.1353</t>
        </is>
      </c>
      <c r="E32" s="216" t="inlineStr">
        <is>
          <t>0.0395</t>
        </is>
      </c>
      <c r="F32" s="157" t="inlineStr">
        <is>
          <t>114</t>
        </is>
      </c>
    </row>
    <row r="33" ht="15.95" customHeight="1" s="241">
      <c r="A33" s="154" t="inlineStr">
        <is>
          <t>5 days</t>
        </is>
      </c>
      <c r="B33" s="217" t="inlineStr">
        <is>
          <t>0.9369%</t>
        </is>
      </c>
      <c r="C33" s="217" t="inlineStr">
        <is>
          <t>51.9%</t>
        </is>
      </c>
      <c r="D33" s="217" t="inlineStr">
        <is>
          <t>0.0972</t>
        </is>
      </c>
      <c r="E33" s="217" t="inlineStr">
        <is>
          <t>0.1401</t>
        </is>
      </c>
      <c r="F33" s="217" t="inlineStr">
        <is>
          <t>106</t>
        </is>
      </c>
    </row>
    <row r="34" ht="15.95" customHeight="1" s="241">
      <c r="A34" s="152" t="inlineStr">
        <is>
          <t>10 days</t>
        </is>
      </c>
      <c r="B34" s="216" t="inlineStr">
        <is>
          <t>1.4455%</t>
        </is>
      </c>
      <c r="C34" s="152" t="inlineStr">
        <is>
          <t>57.0%</t>
        </is>
      </c>
      <c r="D34" s="216" t="inlineStr">
        <is>
          <t>0.0951</t>
        </is>
      </c>
      <c r="E34" s="216" t="inlineStr">
        <is>
          <t>0.1488</t>
        </is>
      </c>
      <c r="F34" s="157" t="inlineStr">
        <is>
          <t>114</t>
        </is>
      </c>
    </row>
    <row r="35" ht="45.95" customHeight="1" s="241">
      <c r="A35" s="238" t="inlineStr">
        <is>
          <t>Mean net per trade declines from 1.80% overnight to a trough of 0.83% at three days and partially recovers by ten (1.45%); the bootstrap interval touches zero at three and five days. The overnight window remains the measured choice; the recovery at ten days leaves longer-horizon drift an open question rather than ruled out. Note that the excess-over-SPY column in returns_matrix.csv is a separate per-event diagnostic and is not monotonic; its shape reflects SPY’s own multi-horizon pattern across those entry dates, not the model.</t>
        </is>
      </c>
    </row>
    <row r="37">
      <c r="A37" s="107" t="inlineStr">
        <is>
          <t>Human arm versus model (FROZEN)</t>
        </is>
      </c>
      <c r="B37" s="108" t="n"/>
      <c r="C37" s="108" t="n"/>
      <c r="D37" s="108" t="n"/>
      <c r="E37" s="108" t="n"/>
      <c r="F37" s="108" t="n"/>
      <c r="G37" s="108" t="n"/>
    </row>
    <row r="38" ht="30" customHeight="1" s="241">
      <c r="A38" s="151" t="inlineStr">
        <is>
          <t>Comparison</t>
        </is>
      </c>
      <c r="B38" s="151" t="inlineStr">
        <is>
          <t>Human</t>
        </is>
      </c>
      <c r="C38" s="151" t="inlineStr">
        <is>
          <t>Model</t>
        </is>
      </c>
      <c r="D38" s="151" t="inlineStr">
        <is>
          <t>Difference</t>
        </is>
      </c>
      <c r="E38" s="151" t="inlineStr">
        <is>
          <t>p</t>
        </is>
      </c>
      <c r="F38" s="151" t="inlineStr">
        <is>
          <t>MDE</t>
        </is>
      </c>
      <c r="G38" s="151" t="inlineStr">
        <is>
          <t>n</t>
        </is>
      </c>
    </row>
    <row r="39" ht="15.95" customHeight="1" s="241">
      <c r="A39" s="152" t="inlineStr">
        <is>
          <t>Direction-only, both committed</t>
        </is>
      </c>
      <c r="B39" s="216" t="inlineStr">
        <is>
          <t>57.6%</t>
        </is>
      </c>
      <c r="C39" s="216" t="inlineStr">
        <is>
          <t>58.8%</t>
        </is>
      </c>
      <c r="D39" s="152" t="inlineStr">
        <is>
          <t>+1.2pp</t>
        </is>
      </c>
      <c r="E39" s="216" t="inlineStr">
        <is>
          <t>0.889</t>
        </is>
      </c>
      <c r="F39" s="152" t="inlineStr">
        <is>
          <t>±21pp</t>
        </is>
      </c>
      <c r="G39" s="152" t="n">
        <v>85</v>
      </c>
    </row>
    <row r="40" ht="15.95" customHeight="1" s="241">
      <c r="A40" s="154" t="inlineStr">
        <is>
          <t>Versus always-DOWN floor 52.9%</t>
        </is>
      </c>
      <c r="B40" s="154" t="inlineStr">
        <is>
          <t>+4.7pp</t>
        </is>
      </c>
      <c r="C40" s="154" t="inlineStr">
        <is>
          <t>+5.9pp</t>
        </is>
      </c>
      <c r="D40" s="154" t="inlineStr">
        <is>
          <t>—</t>
        </is>
      </c>
      <c r="E40" s="217" t="inlineStr">
        <is>
          <t>0.224 / 0.164</t>
        </is>
      </c>
      <c r="F40" s="154" t="inlineStr">
        <is>
          <t>—</t>
        </is>
      </c>
      <c r="G40" s="154" t="n">
        <v>85</v>
      </c>
    </row>
    <row r="41" ht="15.95" customHeight="1" s="241">
      <c r="A41" s="152" t="inlineStr">
        <is>
          <t>SELL calls</t>
        </is>
      </c>
      <c r="B41" s="152" t="inlineStr">
        <is>
          <t>72.7%</t>
        </is>
      </c>
      <c r="C41" s="152" t="inlineStr">
        <is>
          <t>69.2%</t>
        </is>
      </c>
      <c r="D41" s="152" t="inlineStr">
        <is>
          <t>—</t>
        </is>
      </c>
      <c r="E41" s="152" t="inlineStr">
        <is>
          <t>0.026 / 0.038</t>
        </is>
      </c>
      <c r="F41" s="152" t="inlineStr">
        <is>
          <t>—</t>
        </is>
      </c>
      <c r="G41" s="152" t="inlineStr">
        <is>
          <t>22 / 26</t>
        </is>
      </c>
    </row>
    <row r="42" ht="15.95" customHeight="1" s="241">
      <c r="A42" s="154" t="inlineStr">
        <is>
          <t>BUY calls</t>
        </is>
      </c>
      <c r="B42" s="217" t="inlineStr">
        <is>
          <t>52.4%</t>
        </is>
      </c>
      <c r="C42" s="217" t="inlineStr">
        <is>
          <t>54.2%</t>
        </is>
      </c>
      <c r="D42" s="154" t="inlineStr">
        <is>
          <t>—</t>
        </is>
      </c>
      <c r="E42" s="217" t="inlineStr">
        <is>
          <t>0.401 / 0.301</t>
        </is>
      </c>
      <c r="F42" s="154" t="inlineStr">
        <is>
          <t>—</t>
        </is>
      </c>
      <c r="G42" s="217" t="inlineStr">
        <is>
          <t>63 / 59</t>
        </is>
      </c>
    </row>
    <row r="43" ht="15.95" customHeight="1" s="241">
      <c r="A43" s="152" t="inlineStr">
        <is>
          <t>Cohen’s kappa</t>
        </is>
      </c>
      <c r="B43" s="216" t="inlineStr">
        <is>
          <t>0.1391</t>
        </is>
      </c>
      <c r="C43" s="152" t="n"/>
      <c r="D43" s="152" t="inlineStr">
        <is>
          <t>CI 0.049 to 0.229</t>
        </is>
      </c>
      <c r="E43" s="152" t="inlineStr">
        <is>
          <t>—</t>
        </is>
      </c>
      <c r="F43" s="152" t="inlineStr">
        <is>
          <t>—</t>
        </is>
      </c>
      <c r="G43" s="152" t="n">
        <v>170</v>
      </c>
    </row>
    <row r="44" ht="45.95" customHeight="1" s="241">
      <c r="A44" s="238" t="inlineStr">
        <is>
          <t>Neither arm beats the naive floor by a testable margin and the difference between them is untestable rather than absent. Both clear chance on SELL calls and neither clears chance on BUY. Against the base rate rather than 50% the SELL margins soften to p=0.060 and 0.087. Kappa near zero means the two arms are close to independent, which is why their agreement carries no information about accuracy.</t>
        </is>
      </c>
    </row>
    <row r="46">
      <c r="A46" s="107" t="inlineStr">
        <is>
          <t>Decision mix</t>
        </is>
      </c>
      <c r="B46" s="108" t="n"/>
      <c r="C46" s="108" t="n"/>
      <c r="D46" s="108" t="n"/>
      <c r="E46" s="108" t="n"/>
    </row>
    <row r="47" ht="30" customHeight="1" s="241">
      <c r="A47" s="151" t="inlineStr">
        <is>
          <t>Call</t>
        </is>
      </c>
      <c r="B47" s="151" t="inlineStr">
        <is>
          <t>Human (170 paired)</t>
        </is>
      </c>
      <c r="C47" s="151" t="inlineStr">
        <is>
          <t>Model (170 paired)</t>
        </is>
      </c>
      <c r="D47" s="151" t="inlineStr">
        <is>
          <t>Model (EXTENSION)</t>
        </is>
      </c>
      <c r="E47" s="151" t="inlineStr">
        <is>
          <t>Note</t>
        </is>
      </c>
    </row>
    <row r="48" ht="15.95" customHeight="1" s="241">
      <c r="A48" s="152" t="inlineStr">
        <is>
          <t>BUY</t>
        </is>
      </c>
      <c r="B48" s="216" t="inlineStr">
        <is>
          <t>55.9%</t>
        </is>
      </c>
      <c r="C48" s="216" t="inlineStr">
        <is>
          <t>42.4%</t>
        </is>
      </c>
      <c r="D48" s="152" t="inlineStr">
        <is>
          <t>44.1%</t>
        </is>
      </c>
      <c r="E48" s="152" t="inlineStr">
        <is>
          <t>Human arm is directionally optimistic</t>
        </is>
      </c>
    </row>
    <row r="49" ht="30" customHeight="1" s="241">
      <c r="A49" s="154" t="inlineStr">
        <is>
          <t>HOLD</t>
        </is>
      </c>
      <c r="B49" s="217" t="inlineStr">
        <is>
          <t>23.5%</t>
        </is>
      </c>
      <c r="C49" s="217" t="inlineStr">
        <is>
          <t>31.2%</t>
        </is>
      </c>
      <c r="D49" s="154" t="inlineStr">
        <is>
          <t>43.0%</t>
        </is>
      </c>
      <c r="E49" s="155" t="inlineStr">
        <is>
          <t>Model holds far more, and more still on the extension</t>
        </is>
      </c>
    </row>
    <row r="50" ht="15.95" customHeight="1" s="241">
      <c r="A50" s="152" t="inlineStr">
        <is>
          <t>SELL</t>
        </is>
      </c>
      <c r="B50" s="216" t="inlineStr">
        <is>
          <t>20.6%</t>
        </is>
      </c>
      <c r="C50" s="216" t="inlineStr">
        <is>
          <t>26.5%</t>
        </is>
      </c>
      <c r="D50" s="152" t="inlineStr">
        <is>
          <t>12.9%</t>
        </is>
      </c>
      <c r="E50" s="152" t="inlineStr">
        <is>
          <t>Two arms with opposite dispositions</t>
        </is>
      </c>
    </row>
    <row r="52">
      <c r="A52" s="107" t="inlineStr">
        <is>
          <t>Section ablation (Item C)</t>
        </is>
      </c>
      <c r="B52" s="108" t="n"/>
      <c r="C52" s="108" t="n"/>
      <c r="D52" s="108" t="n"/>
      <c r="E52" s="108" t="n"/>
    </row>
    <row r="53" ht="30" customHeight="1" s="241">
      <c r="A53" s="151" t="inlineStr">
        <is>
          <t>Arm</t>
        </is>
      </c>
      <c r="B53" s="151" t="inlineStr">
        <is>
          <t>FROZEN accuracy</t>
        </is>
      </c>
      <c r="C53" s="151" t="inlineStr">
        <is>
          <t>FROZEN cost/correct</t>
        </is>
      </c>
      <c r="D53" s="151" t="inlineStr">
        <is>
          <t>EXTENSION accuracy</t>
        </is>
      </c>
      <c r="E53" s="151" t="inlineStr">
        <is>
          <t>Mean tokens</t>
        </is>
      </c>
    </row>
    <row r="54" ht="15.95" customHeight="1" s="241">
      <c r="A54" s="152" t="inlineStr">
        <is>
          <t>Full bundle</t>
        </is>
      </c>
      <c r="B54" s="152" t="inlineStr">
        <is>
          <t>64.6%</t>
        </is>
      </c>
      <c r="C54" s="152" t="inlineStr">
        <is>
          <t>$0.0369</t>
        </is>
      </c>
      <c r="D54" s="212" t="inlineStr">
        <is>
          <t>40.7%</t>
        </is>
      </c>
      <c r="E54" s="152" t="inlineStr">
        <is>
          <t>30096</t>
        </is>
      </c>
    </row>
    <row r="55" ht="15.95" customHeight="1" s="241">
      <c r="A55" s="154" t="inlineStr">
        <is>
          <t>Press release</t>
        </is>
      </c>
      <c r="B55" s="154" t="inlineStr">
        <is>
          <t>64.9%</t>
        </is>
      </c>
      <c r="C55" s="154" t="inlineStr">
        <is>
          <t>$0.0225</t>
        </is>
      </c>
      <c r="D55" s="154" t="inlineStr">
        <is>
          <t>45.5%</t>
        </is>
      </c>
      <c r="E55" s="154" t="inlineStr">
        <is>
          <t>13030</t>
        </is>
      </c>
    </row>
    <row r="56" ht="15.95" customHeight="1" s="241">
      <c r="A56" s="152" t="inlineStr">
        <is>
          <t>Prepared remarks</t>
        </is>
      </c>
      <c r="B56" s="152" t="inlineStr">
        <is>
          <t>64.4%</t>
        </is>
      </c>
      <c r="C56" s="152" t="inlineStr">
        <is>
          <t>$0.0187</t>
        </is>
      </c>
      <c r="D56" s="212" t="inlineStr">
        <is>
          <t>41.7%</t>
        </is>
      </c>
      <c r="E56" s="152" t="inlineStr">
        <is>
          <t>10287</t>
        </is>
      </c>
    </row>
    <row r="57" ht="15.95" customHeight="1" s="241">
      <c r="A57" s="154" t="inlineStr">
        <is>
          <t>Q&amp;A only</t>
        </is>
      </c>
      <c r="B57" s="154" t="inlineStr">
        <is>
          <t>69.2%</t>
        </is>
      </c>
      <c r="C57" s="154" t="inlineStr">
        <is>
          <t>$0.0220</t>
        </is>
      </c>
      <c r="D57" s="213" t="inlineStr">
        <is>
          <t>34.6%</t>
        </is>
      </c>
      <c r="E57" s="154" t="inlineStr">
        <is>
          <t>13163</t>
        </is>
      </c>
    </row>
    <row r="58" ht="45.95" customHeight="1" s="241">
      <c r="A58" s="238" t="inlineStr">
        <is>
          <t>Accuracy differences sit inside the paired MDE of about ±12pp on the frozen set. At the promoted constants on the corrected returns no arm separates from the full bundle: the largest inclusive paired gap is the press release at −3.1pp (p=0.53, n=49), and when both arms commit on a moved event they agree far more often than they differ. Prepared remarks reproduces the full-bundle signal on 87.4% of events (104/119) at roughly a third of the tokens, which remains the deployment answer: indistinguishable accuracy at lower cost. The extension ablation rests on 19 graded events among its 56 four-arm events (corrected returns) and is descriptive only.</t>
        </is>
      </c>
    </row>
    <row r="60">
      <c r="A60" s="107" t="inlineStr">
        <is>
          <t>Baseline frontier — coverage convention</t>
        </is>
      </c>
      <c r="B60" s="108" t="n"/>
      <c r="C60" s="108" t="n"/>
      <c r="D60" s="108" t="n"/>
      <c r="E60" s="108" t="n"/>
    </row>
    <row r="61" ht="30" customHeight="1" s="241">
      <c r="A61" s="151" t="inlineStr">
        <is>
          <t>Method</t>
        </is>
      </c>
      <c r="B61" s="151" t="inlineStr">
        <is>
          <t>FROZEN</t>
        </is>
      </c>
      <c r="C61" s="151" t="inlineStr">
        <is>
          <t>EXTENSION</t>
        </is>
      </c>
      <c r="D61" s="151" t="inlineStr">
        <is>
          <t>COMBINED-EVAL</t>
        </is>
      </c>
      <c r="E61" s="151" t="inlineStr">
        <is>
          <t>Note</t>
        </is>
      </c>
    </row>
    <row r="62" ht="15.95" customHeight="1" s="241">
      <c r="A62" s="152" t="inlineStr">
        <is>
          <t>Majority direction (floor)</t>
        </is>
      </c>
      <c r="B62" s="152" t="inlineStr">
        <is>
          <t>54.6%</t>
        </is>
      </c>
      <c r="C62" s="212" t="inlineStr">
        <is>
          <t>50.0%</t>
        </is>
      </c>
      <c r="D62" s="212" t="inlineStr">
        <is>
          <t>53.6%</t>
        </is>
      </c>
      <c r="E62" s="152" t="inlineStr">
        <is>
          <t>Always predicting the majority realised direction</t>
        </is>
      </c>
    </row>
    <row r="63" ht="15.95" customHeight="1" s="241">
      <c r="A63" s="154" t="inlineStr">
        <is>
          <t>Deployed model</t>
        </is>
      </c>
      <c r="B63" s="154" t="inlineStr">
        <is>
          <t>48.7%</t>
        </is>
      </c>
      <c r="C63" s="213" t="inlineStr">
        <is>
          <t>38.2%</t>
        </is>
      </c>
      <c r="D63" s="213" t="inlineStr">
        <is>
          <t>46.4%</t>
        </is>
      </c>
      <c r="E63" s="154" t="inlineStr">
        <is>
          <t>HOLD counted as wrong</t>
        </is>
      </c>
    </row>
    <row r="64" ht="15.95" customHeight="1" s="241">
      <c r="A64" s="152" t="inlineStr">
        <is>
          <t>FinBERT</t>
        </is>
      </c>
      <c r="B64" s="216" t="inlineStr">
        <is>
          <t>17.6%</t>
        </is>
      </c>
      <c r="C64" s="212" t="inlineStr">
        <is>
          <t>14.7%</t>
        </is>
      </c>
      <c r="D64" s="212" t="inlineStr">
        <is>
          <t>17.0%</t>
        </is>
      </c>
      <c r="E64" s="152" t="inlineStr">
        <is>
          <t>ProsusAI/finbert, chunk-weighted</t>
        </is>
      </c>
    </row>
    <row r="65" ht="15.95" customHeight="1" s="241">
      <c r="A65" s="154" t="inlineStr">
        <is>
          <t>Loughran-McDonald</t>
        </is>
      </c>
      <c r="B65" s="217" t="inlineStr">
        <is>
          <t>3.4%</t>
        </is>
      </c>
      <c r="C65" s="213" t="inlineStr">
        <is>
          <t>2.9%</t>
        </is>
      </c>
      <c r="D65" s="213" t="inlineStr">
        <is>
          <t>3.3%</t>
        </is>
      </c>
      <c r="E65" s="154" t="inlineStr">
        <is>
          <t>Word-count dictionary</t>
        </is>
      </c>
    </row>
    <row r="66" ht="15.95" customHeight="1" s="241">
      <c r="A66" s="152" t="inlineStr">
        <is>
          <t>Graded n</t>
        </is>
      </c>
      <c r="B66" s="152" t="n">
        <v>119</v>
      </c>
      <c r="C66" s="152" t="n">
        <v>34</v>
      </c>
      <c r="D66" s="152" t="n">
        <v>153</v>
      </c>
      <c r="E66" s="152" t="inlineStr">
        <is>
          <t>Denominator for the column above</t>
        </is>
      </c>
    </row>
    <row r="67" ht="45.95" customHeight="1" s="241">
      <c r="A67" s="239" t="inlineStr">
        <is>
          <t>Coverage convention throughout: every graded event is in the denominator regardless of the model’s call, so the model reads 48.7%, 38.2% and 46.4% rather than the 62.4% and 72.2% selectivity headlines. COMBINED-EVAL is 279 events, the frozen eval split of 186 plus the 93 extension events, because the baselines required a dev split for threshold fitting and cannot use the full 325. Do not compare a frontier figure against a non-frontier figure without that distinction. On the corrected basis every baseline sits below its floor in every column, and the earlier reversal story is gone: FinBERT now trades 31% of extension events against the model’s 57%, and its extension coverage (14.7%) sits far below the model’s 38.2%.</t>
        </is>
      </c>
    </row>
    <row r="69">
      <c r="A69" s="107" t="inlineStr">
        <is>
          <t>Walk-forward (Item E)</t>
        </is>
      </c>
      <c r="B69" s="108" t="n"/>
      <c r="C69" s="108" t="n"/>
      <c r="D69" s="108" t="n"/>
      <c r="E69" s="108" t="n"/>
    </row>
    <row r="70" ht="30" customHeight="1" s="241">
      <c r="A70" s="151" t="inlineStr">
        <is>
          <t>Objective</t>
        </is>
      </c>
      <c r="B70" s="151" t="inlineStr">
        <is>
          <t>FROZEN degenerate</t>
        </is>
      </c>
      <c r="C70" s="151" t="inlineStr">
        <is>
          <t>COMBINED degenerate</t>
        </is>
      </c>
      <c r="D70" s="151" t="inlineStr">
        <is>
          <t>Pooled OOS (frozen)</t>
        </is>
      </c>
      <c r="E70" s="151" t="inlineStr">
        <is>
          <t>Note</t>
        </is>
      </c>
    </row>
    <row r="71" ht="30" customHeight="1" s="241">
      <c r="A71" s="152" t="inlineStr">
        <is>
          <t>Mean net per trade</t>
        </is>
      </c>
      <c r="B71" s="216" t="inlineStr">
        <is>
          <t>4/4</t>
        </is>
      </c>
      <c r="C71" s="216" t="inlineStr">
        <is>
          <t>4/4</t>
        </is>
      </c>
      <c r="D71" s="152" t="inlineStr">
        <is>
          <t>5 trades, 50.0%</t>
        </is>
      </c>
      <c r="E71" s="159" t="inlineStr">
        <is>
          <t>Fits the same extreme thresholds (+0.50/−0.50) in all four windows on both sets (frozen training n 99–229, combined 138–320). Not converging</t>
        </is>
      </c>
    </row>
    <row r="72" ht="30" customHeight="1" s="241">
      <c r="A72" s="154" t="inlineStr">
        <is>
          <t>Directional accuracy</t>
        </is>
      </c>
      <c r="B72" s="217" t="inlineStr">
        <is>
          <t>1/4</t>
        </is>
      </c>
      <c r="C72" s="154" t="inlineStr">
        <is>
          <t>1/4</t>
        </is>
      </c>
      <c r="D72" s="154" t="inlineStr">
        <is>
          <t>38 trades, 65.4%</t>
        </is>
      </c>
      <c r="E72" s="155" t="inlineStr">
        <is>
          <t>Test trades thin as the fitted thresholds drift extreme: 19/12/5/2 across the frozen windows</t>
        </is>
      </c>
    </row>
    <row r="73" ht="30" customHeight="1" s="241">
      <c r="A73" s="152" t="inlineStr">
        <is>
          <t>Pooled OOS floor</t>
        </is>
      </c>
      <c r="B73" s="152" t="inlineStr">
        <is>
          <t>—</t>
        </is>
      </c>
      <c r="C73" s="216" t="inlineStr">
        <is>
          <t>65.4%</t>
        </is>
      </c>
      <c r="D73" s="152" t="inlineStr">
        <is>
          <t>gap +0.0pp</t>
        </is>
      </c>
      <c r="E73" s="159" t="inlineStr">
        <is>
          <t>Floor ties the pooled accuracy exactly (both 17/26), so the pooled OOS carries no margin at all</t>
        </is>
      </c>
    </row>
    <row r="74" ht="45.95" customHeight="1" s="241">
      <c r="A74" s="238" t="inlineStr">
        <is>
          <t>The two objectives behave differently and that is the finding. Mean-net maximisation is structurally drawn to a wide band because trading rarely maximises the mean, so it will not become estimable by adding data. Directional accuracy is sample-limited and improving, plausibly estimable somewhere around 400 to 500 events on the observed trajectory, which is an extrapolation from two points rather than an estimate. All events were seen before the analysis, so this is retrospective validation and not out-of-sample in the pre-registered sense.</t>
        </is>
      </c>
    </row>
    <row r="76">
      <c r="A76" s="107" t="inlineStr">
        <is>
          <t>Cost and execution</t>
        </is>
      </c>
      <c r="B76" s="108" t="n"/>
      <c r="C76" s="108" t="n"/>
      <c r="D76" s="108" t="n"/>
    </row>
    <row r="77" ht="30" customHeight="1" s="241">
      <c r="A77" s="151" t="inlineStr">
        <is>
          <t>Metric</t>
        </is>
      </c>
      <c r="B77" s="151" t="inlineStr">
        <is>
          <t>Value</t>
        </is>
      </c>
      <c r="C77" s="151" t="inlineStr">
        <is>
          <t>Basis</t>
        </is>
      </c>
      <c r="D77" s="151" t="inlineStr">
        <is>
          <t>Source</t>
        </is>
      </c>
    </row>
    <row r="78" ht="15.95" customHeight="1" s="241">
      <c r="A78" s="152" t="inlineStr">
        <is>
          <t>Break-even round-trip cost</t>
        </is>
      </c>
      <c r="B78" s="216" t="inlineStr">
        <is>
          <t>189.63 bps</t>
        </is>
      </c>
      <c r="C78" s="216" t="inlineStr">
        <is>
          <t>Mean net per trade, N=232 corrected anchor</t>
        </is>
      </c>
      <c r="D78" s="152" t="inlineStr">
        <is>
          <t>ext9_cost_grid_n233.json</t>
        </is>
      </c>
    </row>
    <row r="79" ht="15.95" customHeight="1" s="241">
      <c r="A79" s="154" t="inlineStr">
        <is>
          <t>Deployed cost assumption</t>
        </is>
      </c>
      <c r="B79" s="154" t="inlineStr">
        <is>
          <t>10 bps</t>
        </is>
      </c>
      <c r="C79" s="154" t="inlineStr">
        <is>
          <t>Round trip, zero slippage</t>
        </is>
      </c>
      <c r="D79" s="154" t="inlineStr">
        <is>
          <t>Settings!B4</t>
        </is>
      </c>
    </row>
    <row r="80" ht="15.95" customHeight="1" s="241">
      <c r="A80" s="152" t="inlineStr">
        <is>
          <t>Extension scoring cost</t>
        </is>
      </c>
      <c r="B80" s="152" t="inlineStr">
        <is>
          <t>$0.77146</t>
        </is>
      </c>
      <c r="C80" s="152" t="inlineStr">
        <is>
          <t>93 events, measured per call</t>
        </is>
      </c>
      <c r="D80" s="152" t="inlineStr">
        <is>
          <t>first_run_costs.jsonl</t>
        </is>
      </c>
    </row>
    <row r="81" ht="15.95" customHeight="1" s="241">
      <c r="A81" s="154" t="inlineStr">
        <is>
          <t>Extension ablation cost</t>
        </is>
      </c>
      <c r="B81" s="154" t="inlineStr">
        <is>
          <t>$1.72383</t>
        </is>
      </c>
      <c r="C81" s="154" t="inlineStr">
        <is>
          <t>298 calls across four arms</t>
        </is>
      </c>
      <c r="D81" s="154" t="inlineStr">
        <is>
          <t>section_ablation_extension_results.csv</t>
        </is>
      </c>
    </row>
    <row r="82" ht="45.95" customHeight="1" s="241">
      <c r="A82" s="238" t="inlineStr">
        <is>
          <t>Per-event token cost is recorded for both sets. The frozen figures come from api_cost_ledger.csv and the extension figures from the per-issuer first_run_costs.jsonl files, which the ledger builder did not visit until it was corrected on 2026-08-14. No externally-cited realistic desk cost exists in this project, so no claim is made about whether the break-even exceeds realistic trading costs.</t>
        </is>
      </c>
    </row>
    <row r="84">
      <c r="A84" s="107" t="inlineStr">
        <is>
          <t>Stated asymmetries between the sets</t>
        </is>
      </c>
      <c r="B84" s="108" t="n"/>
      <c r="C84" s="108" t="n"/>
      <c r="D84" s="108" t="n"/>
    </row>
    <row r="85" ht="30" customHeight="1" s="241">
      <c r="A85" s="151" t="inlineStr">
        <is>
          <t>Item</t>
        </is>
      </c>
      <c r="B85" s="151" t="inlineStr">
        <is>
          <t>FROZEN</t>
        </is>
      </c>
      <c r="C85" s="151" t="inlineStr">
        <is>
          <t>EXTENSION</t>
        </is>
      </c>
      <c r="D85" s="151" t="inlineStr">
        <is>
          <t>Consequence</t>
        </is>
      </c>
    </row>
    <row r="86" ht="30" customHeight="1" s="241">
      <c r="A86" s="152" t="inlineStr">
        <is>
          <t>Ensemble consistency runs</t>
        </is>
      </c>
      <c r="B86" s="152" t="inlineStr">
        <is>
          <t>YES</t>
        </is>
      </c>
      <c r="C86" s="152" t="inlineStr">
        <is>
          <t>NO</t>
        </is>
      </c>
      <c r="D86" s="159" t="inlineStr">
        <is>
          <t>Output-stability claims apply to the frozen set only</t>
        </is>
      </c>
    </row>
    <row r="87" ht="30" customHeight="1" s="241">
      <c r="A87" s="154" t="inlineStr">
        <is>
          <t>Document coverage</t>
        </is>
      </c>
      <c r="B87" s="154" t="inlineStr">
        <is>
          <t>86.6% with a transcript</t>
        </is>
      </c>
      <c r="C87" s="154" t="inlineStr">
        <is>
          <t>98.9% with a transcript</t>
        </is>
      </c>
      <c r="D87" s="155" t="inlineStr">
        <is>
          <t>The extension is better documented, so coverage cannot explain any shortfall</t>
        </is>
      </c>
    </row>
    <row r="88" ht="30" customHeight="1" s="241">
      <c r="A88" s="152" t="inlineStr">
        <is>
          <t>Events excluded from the paired comparison</t>
        </is>
      </c>
      <c r="B88" s="152" t="inlineStr">
        <is>
          <t>0</t>
        </is>
      </c>
      <c r="C88" s="152" t="inlineStr">
        <is>
          <t>3</t>
        </is>
      </c>
      <c r="D88" s="159" t="inlineStr">
        <is>
          <t>Heineken FQ3 2025, Shell FQ3 and FQ4 2025, not like for like</t>
        </is>
      </c>
    </row>
    <row r="89" ht="30" customHeight="1" s="241">
      <c r="A89" s="154" t="inlineStr">
        <is>
          <t>Trade rate</t>
        </is>
      </c>
      <c r="B89" s="217" t="inlineStr">
        <is>
          <t>72.4%</t>
        </is>
      </c>
      <c r="C89" s="217" t="inlineStr">
        <is>
          <t>57.0%</t>
        </is>
      </c>
      <c r="D89" s="155" t="inlineStr">
        <is>
          <t>The extension held on 47.1% of events that moved (16 of 34), against 24.8% frozen (36 of 145)</t>
        </is>
      </c>
    </row>
    <row r="91">
      <c r="A91" s="112" t="inlineStr">
        <is>
          <t>Human arm performance by rater (frozen and extension combined)</t>
        </is>
      </c>
    </row>
    <row r="92" ht="26.1" customHeight="1" s="241">
      <c r="A92" s="151" t="inlineStr">
        <is>
          <t>Rater</t>
        </is>
      </c>
      <c r="B92" s="151" t="inlineStr">
        <is>
          <t>Trades</t>
        </is>
      </c>
      <c r="C92" s="151" t="inlineStr">
        <is>
          <t>Correct</t>
        </is>
      </c>
      <c r="D92" s="151" t="inlineStr">
        <is>
          <t>Wrong</t>
        </is>
      </c>
      <c r="E92" s="151" t="inlineStr">
        <is>
          <t>Flat</t>
        </is>
      </c>
      <c r="F92" s="151" t="inlineStr">
        <is>
          <t>Accuracy</t>
        </is>
      </c>
      <c r="G92" s="151" t="inlineStr">
        <is>
          <t>Mean net per trade</t>
        </is>
      </c>
    </row>
    <row r="93" ht="15.95" customHeight="1" s="241">
      <c r="A93" s="152" t="inlineStr">
        <is>
          <t>Abdul</t>
        </is>
      </c>
      <c r="B93" s="161" t="n">
        <v>48</v>
      </c>
      <c r="C93" s="161" t="n">
        <v>26</v>
      </c>
      <c r="D93" s="161" t="n">
        <v>9</v>
      </c>
      <c r="E93" s="161" t="n">
        <v>13</v>
      </c>
      <c r="F93" s="162" t="n">
        <v>0.542</v>
      </c>
      <c r="G93" s="162" t="n">
        <v>0.02167</v>
      </c>
    </row>
    <row r="94" ht="15.95" customHeight="1" s="241">
      <c r="A94" s="154" t="inlineStr">
        <is>
          <t>Anna</t>
        </is>
      </c>
      <c r="B94" s="163" t="n">
        <v>49</v>
      </c>
      <c r="C94" s="163" t="n">
        <v>18</v>
      </c>
      <c r="D94" s="163" t="n">
        <v>16</v>
      </c>
      <c r="E94" s="163" t="n">
        <v>15</v>
      </c>
      <c r="F94" s="164" t="n">
        <v>0.367</v>
      </c>
      <c r="G94" s="164" t="n">
        <v>0.01594</v>
      </c>
    </row>
    <row r="95" ht="15.95" customHeight="1" s="241">
      <c r="A95" s="152" t="inlineStr">
        <is>
          <t>David</t>
        </is>
      </c>
      <c r="B95" s="161" t="n">
        <v>56</v>
      </c>
      <c r="C95" s="161" t="n">
        <v>13</v>
      </c>
      <c r="D95" s="161" t="n">
        <v>30</v>
      </c>
      <c r="E95" s="161" t="n">
        <v>13</v>
      </c>
      <c r="F95" s="162" t="n">
        <v>0.232</v>
      </c>
      <c r="G95" s="162" t="n">
        <v>-0.02429</v>
      </c>
    </row>
    <row r="96" ht="15.95" customHeight="1" s="241">
      <c r="A96" s="154" t="inlineStr">
        <is>
          <t>Dragos</t>
        </is>
      </c>
      <c r="B96" s="163" t="n">
        <v>65</v>
      </c>
      <c r="C96" s="163" t="n">
        <v>14</v>
      </c>
      <c r="D96" s="163" t="n">
        <v>16</v>
      </c>
      <c r="E96" s="163" t="n">
        <v>35</v>
      </c>
      <c r="F96" s="164" t="n">
        <v>0.215</v>
      </c>
      <c r="G96" s="164" t="n">
        <v>-0.00227</v>
      </c>
    </row>
    <row r="97" ht="15.95" customHeight="1" s="241">
      <c r="A97" s="152" t="inlineStr">
        <is>
          <t>Meriem</t>
        </is>
      </c>
      <c r="B97" s="161" t="n">
        <v>36</v>
      </c>
      <c r="C97" s="161" t="n">
        <v>14</v>
      </c>
      <c r="D97" s="161" t="n">
        <v>10</v>
      </c>
      <c r="E97" s="161" t="n">
        <v>12</v>
      </c>
      <c r="F97" s="162" t="n">
        <v>0.389</v>
      </c>
      <c r="G97" s="162" t="n">
        <v>0.01232</v>
      </c>
    </row>
    <row r="98" ht="15.95" customHeight="1" s="241">
      <c r="A98" s="154" t="inlineStr">
        <is>
          <t>Nigel</t>
        </is>
      </c>
      <c r="B98" s="163" t="n">
        <v>52</v>
      </c>
      <c r="C98" s="163" t="n">
        <v>12</v>
      </c>
      <c r="D98" s="163" t="n">
        <v>16</v>
      </c>
      <c r="E98" s="163" t="n">
        <v>24</v>
      </c>
      <c r="F98" s="164" t="n">
        <v>0.231</v>
      </c>
      <c r="G98" s="164" t="n">
        <v>-0.00599</v>
      </c>
    </row>
    <row r="99" ht="51.95" customHeight="1" s="241">
      <c r="A99" s="238" t="inlineStr">
        <is>
          <t>Each rater read between 36 and 65 traded events, so every figure rests on a small sample and the spread between raters is largely noise rather than skill. On roughly 50 trades apiece the intervals overlap comfortably and no ranking should be read into the order. A pooled human figure is not reported because raters read overlapping events, so pooling counts shared events several times and reflects the mix of rater coverage rather than event economics. Accuracy here counts flat outcomes in the denominator.</t>
        </is>
      </c>
    </row>
  </sheetData>
  <mergeCells count="10">
    <mergeCell ref="A99:G99"/>
    <mergeCell ref="A2:F2"/>
    <mergeCell ref="A44:G44"/>
    <mergeCell ref="A26:E26"/>
    <mergeCell ref="A16:E16"/>
    <mergeCell ref="A82:E82"/>
    <mergeCell ref="A35:F35"/>
    <mergeCell ref="A58:E58"/>
    <mergeCell ref="A74:E74"/>
    <mergeCell ref="A67:E67"/>
  </mergeCells>
  <pageMargins left="0.75" right="0.75" top="1" bottom="1" header="0.5" footer="0.5"/>
  <pageSetup orientation="landscape" fitToHeight="0"/>
  <legacyDrawing xmlns:r="http://schemas.openxmlformats.org/officeDocument/2006/relationships" r:id="anysvml"/>
</worksheet>
</file>

<file path=xl/worksheets/sheet3.xml><?xml version="1.0" encoding="utf-8"?>
<worksheet xmlns="http://schemas.openxmlformats.org/spreadsheetml/2006/main">
  <sheetPr>
    <tabColor rgb="FF013B70"/>
    <outlinePr summaryBelow="1" summaryRight="1"/>
    <pageSetUpPr fitToPage="1"/>
  </sheetPr>
  <dimension ref="A1:F78"/>
  <sheetViews>
    <sheetView showGridLines="0" topLeftCell="A31" workbookViewId="0">
      <selection activeCell="E19" sqref="E19"/>
    </sheetView>
  </sheetViews>
  <sheetFormatPr baseColWidth="8" defaultColWidth="8.85546875" defaultRowHeight="15"/>
  <cols>
    <col width="26" customWidth="1" style="241" min="1" max="1"/>
    <col width="17" customWidth="1" style="241" min="2" max="3"/>
    <col width="19" customWidth="1" style="241" min="4" max="4"/>
    <col width="11" customWidth="1" style="241" min="7" max="16"/>
  </cols>
  <sheetData>
    <row r="1" ht="18.95" customHeight="1" s="241">
      <c r="A1" s="102" t="inlineStr">
        <is>
          <t>Charts — three event sets</t>
        </is>
      </c>
    </row>
    <row r="2" ht="42" customHeight="1" s="241">
      <c r="A2" s="239" t="inlineStr">
        <is>
          <t>Charts on the corrected release_date anchor. Each floor is computed on the same denominator as the bars it sits against. FROZEN is the pre-registered primary; EXTENSION is descriptive only at 18 graded events. The legacy Charts sheet is retained unchanged and uses the coverage convention with a mismatched floor.</t>
        </is>
      </c>
    </row>
    <row r="4">
      <c r="A4" s="112" t="inlineStr">
        <is>
          <t>1. Selectivity accuracy against its floor, all three sets</t>
        </is>
      </c>
    </row>
    <row r="5" ht="26.1" customHeight="1" s="241">
      <c r="A5" s="151" t="inlineStr">
        <is>
          <t>Set</t>
        </is>
      </c>
      <c r="B5" s="151" t="inlineStr">
        <is>
          <t>Accuracy</t>
        </is>
      </c>
      <c r="C5" s="151" t="inlineStr">
        <is>
          <t>Majority-direction floor</t>
        </is>
      </c>
    </row>
    <row r="6" ht="15.95" customHeight="1" s="241">
      <c r="A6" s="152" t="inlineStr">
        <is>
          <t>Frozen (n=109)</t>
        </is>
      </c>
      <c r="B6" s="162">
        <f>B78/B77</f>
        <v/>
      </c>
      <c r="C6" s="230">
        <f>VALUE(Corrected_Metrics!B11)</f>
        <v/>
      </c>
    </row>
    <row r="7" ht="15.95" customHeight="1" s="241">
      <c r="A7" s="154" t="inlineStr">
        <is>
          <t>Extension (n=18)</t>
        </is>
      </c>
      <c r="B7" s="164" t="inlineStr">
        <is>
          <t>0.722</t>
        </is>
      </c>
      <c r="C7" s="164" t="inlineStr">
        <is>
          <t>0.611</t>
        </is>
      </c>
    </row>
    <row r="8" ht="15.95" customHeight="1" s="241">
      <c r="A8" s="212" t="inlineStr">
        <is>
          <t>Combined (n=127)</t>
        </is>
      </c>
      <c r="B8" s="215">
        <f>D78/D77</f>
        <v/>
      </c>
      <c r="C8" s="162" t="n">
        <v>0.551</v>
      </c>
    </row>
    <row r="12">
      <c r="A12" s="112" t="inlineStr">
        <is>
          <t>2. Coverage accuracy against its floor</t>
        </is>
      </c>
    </row>
    <row r="13" ht="26.1" customHeight="1" s="241">
      <c r="A13" s="151" t="inlineStr">
        <is>
          <t>Set</t>
        </is>
      </c>
      <c r="B13" s="151" t="inlineStr">
        <is>
          <t>Accuracy</t>
        </is>
      </c>
      <c r="C13" s="151" t="inlineStr">
        <is>
          <t>Coverage floor</t>
        </is>
      </c>
    </row>
    <row r="14" ht="15.95" customHeight="1" s="241">
      <c r="A14" s="212" t="inlineStr">
        <is>
          <t>Frozen (n=145)</t>
        </is>
      </c>
      <c r="B14" s="230">
        <f>VALUE(Corrected_Metrics!B13)</f>
        <v/>
      </c>
      <c r="C14" s="230">
        <f>VALUE(Corrected_Metrics!B14)</f>
        <v/>
      </c>
    </row>
    <row r="15" ht="15.95" customHeight="1" s="241">
      <c r="A15" s="213" t="inlineStr">
        <is>
          <t>Extension (n=34)</t>
        </is>
      </c>
      <c r="B15" s="164" t="n">
        <v>0.382</v>
      </c>
      <c r="C15" s="164" t="n">
        <v>0.5</v>
      </c>
    </row>
    <row r="16" ht="15.95" customHeight="1" s="241">
      <c r="A16" s="152" t="inlineStr">
        <is>
          <t>Combined (n=179)</t>
        </is>
      </c>
      <c r="B16" s="230">
        <f>Sector_Breakdown!E29/Sector_Breakdown!D29</f>
        <v/>
      </c>
      <c r="C16" s="162" t="n">
        <v>0.536</v>
      </c>
    </row>
    <row r="20">
      <c r="A20" s="112" t="inlineStr">
        <is>
          <t>3. Rank correlation decays with horizon (frozen)</t>
        </is>
      </c>
    </row>
    <row r="21" ht="26.1" customHeight="1" s="241">
      <c r="A21" s="151" t="inlineStr">
        <is>
          <t>Horizon</t>
        </is>
      </c>
      <c r="B21" s="151" t="inlineStr">
        <is>
          <t>Rank correlation (rho)</t>
        </is>
      </c>
    </row>
    <row r="22" ht="15.95" customHeight="1" s="241">
      <c r="A22" s="152" t="inlineStr">
        <is>
          <t>Overnight</t>
        </is>
      </c>
      <c r="B22" s="245" t="inlineStr">
        <is>
          <t>0.257</t>
        </is>
      </c>
    </row>
    <row r="23" ht="15.95" customHeight="1" s="241">
      <c r="A23" s="154" t="inlineStr">
        <is>
          <t>1 day</t>
        </is>
      </c>
      <c r="B23" s="246" t="inlineStr">
        <is>
          <t>0.1952</t>
        </is>
      </c>
    </row>
    <row r="24" ht="15.95" customHeight="1" s="241">
      <c r="A24" s="152" t="inlineStr">
        <is>
          <t>3 days</t>
        </is>
      </c>
      <c r="B24" s="247" t="inlineStr">
        <is>
          <t>0.1353</t>
        </is>
      </c>
    </row>
    <row r="25" ht="15.95" customHeight="1" s="241">
      <c r="A25" s="154" t="inlineStr">
        <is>
          <t>5 days</t>
        </is>
      </c>
      <c r="B25" s="246" t="inlineStr">
        <is>
          <t>0.0972</t>
        </is>
      </c>
    </row>
    <row r="26" ht="15.95" customHeight="1" s="241">
      <c r="A26" s="152" t="inlineStr">
        <is>
          <t>10 days</t>
        </is>
      </c>
      <c r="B26" s="247" t="inlineStr">
        <is>
          <t>0.0951</t>
        </is>
      </c>
    </row>
    <row r="27">
      <c r="B27" s="248" t="n"/>
    </row>
    <row r="30">
      <c r="A30" s="112" t="inlineStr">
        <is>
          <t>4. Accuracy and return decay with horizon (frozen)</t>
        </is>
      </c>
    </row>
    <row r="31" ht="26.1" customHeight="1" s="241">
      <c r="A31" s="151" t="inlineStr">
        <is>
          <t>Horizon</t>
        </is>
      </c>
      <c r="B31" s="151" t="inlineStr">
        <is>
          <t>Accuracy</t>
        </is>
      </c>
      <c r="C31" s="151" t="inlineStr">
        <is>
          <t>Mean net per trade</t>
        </is>
      </c>
    </row>
    <row r="32" ht="15.95" customHeight="1" s="241">
      <c r="A32" s="152" t="inlineStr">
        <is>
          <t>Overnight</t>
        </is>
      </c>
      <c r="B32" s="215" t="inlineStr">
        <is>
          <t>0.624</t>
        </is>
      </c>
      <c r="C32" s="215" t="inlineStr">
        <is>
          <t>0.01796</t>
        </is>
      </c>
    </row>
    <row r="33" ht="15.95" customHeight="1" s="241">
      <c r="A33" s="154" t="inlineStr">
        <is>
          <t>1 day</t>
        </is>
      </c>
      <c r="B33" s="236" t="inlineStr">
        <is>
          <t>0.602</t>
        </is>
      </c>
      <c r="C33" s="236" t="inlineStr">
        <is>
          <t>0.01183</t>
        </is>
      </c>
    </row>
    <row r="34" ht="15.95" customHeight="1" s="241">
      <c r="A34" s="152" t="inlineStr">
        <is>
          <t>3 days</t>
        </is>
      </c>
      <c r="B34" s="162" t="inlineStr">
        <is>
          <t>0.526</t>
        </is>
      </c>
      <c r="C34" s="215" t="inlineStr">
        <is>
          <t>0.00830</t>
        </is>
      </c>
    </row>
    <row r="35" ht="15.95" customHeight="1" s="241">
      <c r="A35" s="154" t="inlineStr">
        <is>
          <t>5 days</t>
        </is>
      </c>
      <c r="B35" s="236" t="inlineStr">
        <is>
          <t>0.519</t>
        </is>
      </c>
      <c r="C35" s="236" t="inlineStr">
        <is>
          <t>0.00937</t>
        </is>
      </c>
    </row>
    <row r="36" ht="15.95" customHeight="1" s="241">
      <c r="A36" s="152" t="inlineStr">
        <is>
          <t>10 days</t>
        </is>
      </c>
      <c r="B36" s="162" t="inlineStr">
        <is>
          <t>0.570</t>
        </is>
      </c>
      <c r="C36" s="215" t="inlineStr">
        <is>
          <t>0.01446</t>
        </is>
      </c>
    </row>
    <row r="40">
      <c r="A40" s="112" t="inlineStr">
        <is>
          <t>5. Directional accuracy by call type (170-paired subset; graded on returns_matrix overnight, ±2% band; floor = base rate of that direction among the 97 graded paired events)</t>
        </is>
      </c>
    </row>
    <row r="41" ht="26.1" customHeight="1" s="241">
      <c r="A41" s="151" t="inlineStr">
        <is>
          <t>Call</t>
        </is>
      </c>
      <c r="B41" s="151" t="inlineStr">
        <is>
          <t>Human</t>
        </is>
      </c>
      <c r="C41" s="151" t="inlineStr">
        <is>
          <t>Model</t>
        </is>
      </c>
      <c r="D41" s="151" t="inlineStr">
        <is>
          <t>Floor for that call</t>
        </is>
      </c>
    </row>
    <row r="42" ht="15.95" customHeight="1" s="241">
      <c r="A42" s="152" t="inlineStr">
        <is>
          <t>BUY</t>
        </is>
      </c>
      <c r="B42" s="162" t="n">
        <v>0.491</v>
      </c>
      <c r="C42" s="162" t="n">
        <v>0.512</v>
      </c>
      <c r="D42" s="162" t="n">
        <v>0.392</v>
      </c>
    </row>
    <row r="43" ht="15.95" customHeight="1" s="241">
      <c r="A43" s="154" t="inlineStr">
        <is>
          <t>SELL</t>
        </is>
      </c>
      <c r="B43" s="164" t="n">
        <v>0.739</v>
      </c>
      <c r="C43" s="164" t="n">
        <v>0.8080000000000001</v>
      </c>
      <c r="D43" s="164" t="n">
        <v>0.608</v>
      </c>
    </row>
    <row r="47">
      <c r="A47" s="112" t="inlineStr">
        <is>
          <t>6. Section ablation — accuracy and cost (frozen)</t>
        </is>
      </c>
    </row>
    <row r="48" ht="26.1" customHeight="1" s="241">
      <c r="A48" s="151" t="inlineStr">
        <is>
          <t>Arm</t>
        </is>
      </c>
      <c r="B48" s="151" t="inlineStr">
        <is>
          <t>Accuracy</t>
        </is>
      </c>
      <c r="C48" s="151" t="inlineStr">
        <is>
          <t>Cost per correct call</t>
        </is>
      </c>
    </row>
    <row r="49" ht="15.95" customHeight="1" s="241">
      <c r="A49" s="152" t="inlineStr">
        <is>
          <t>Full bundle</t>
        </is>
      </c>
      <c r="B49" s="162" t="inlineStr">
        <is>
          <t>0.646</t>
        </is>
      </c>
      <c r="C49" s="166" t="inlineStr">
        <is>
          <t>0.0369</t>
        </is>
      </c>
    </row>
    <row r="50" ht="15.95" customHeight="1" s="241">
      <c r="A50" s="154" t="inlineStr">
        <is>
          <t>Press release</t>
        </is>
      </c>
      <c r="B50" s="164" t="n">
        <v>0.649</v>
      </c>
      <c r="C50" s="167" t="n">
        <v>0.0225</v>
      </c>
    </row>
    <row r="51" ht="15.95" customHeight="1" s="241">
      <c r="A51" s="152" t="inlineStr">
        <is>
          <t>Prepared remarks</t>
        </is>
      </c>
      <c r="B51" s="162" t="inlineStr">
        <is>
          <t>0.644</t>
        </is>
      </c>
      <c r="C51" s="166" t="inlineStr">
        <is>
          <t>0.0187</t>
        </is>
      </c>
    </row>
    <row r="52" ht="15.95" customHeight="1" s="241">
      <c r="A52" s="154" t="inlineStr">
        <is>
          <t>Q&amp;A only</t>
        </is>
      </c>
      <c r="B52" s="164" t="inlineStr">
        <is>
          <t>0.692</t>
        </is>
      </c>
      <c r="C52" s="167" t="inlineStr">
        <is>
          <t>0.022</t>
        </is>
      </c>
    </row>
    <row r="56">
      <c r="A56" s="112" t="inlineStr">
        <is>
          <t>7. Baseline frontier — conventions differ by column: see notes on the header row</t>
        </is>
      </c>
    </row>
    <row r="57" ht="26.1" customHeight="1" s="241">
      <c r="A57" s="151" t="inlineStr">
        <is>
          <t>Method</t>
        </is>
      </c>
      <c r="B57" s="151" t="inlineStr">
        <is>
          <t>Frozen</t>
        </is>
      </c>
      <c r="C57" s="151" t="inlineStr">
        <is>
          <t>Extension</t>
        </is>
      </c>
      <c r="D57" s="151" t="inlineStr">
        <is>
          <t>Combined-eval</t>
        </is>
      </c>
    </row>
    <row r="58" ht="15.95" customHeight="1" s="241">
      <c r="A58" s="152" t="inlineStr">
        <is>
          <t>Majority floor</t>
        </is>
      </c>
      <c r="B58" s="230">
        <f>VALUE(Corrected_Metrics!B90)</f>
        <v/>
      </c>
      <c r="C58" s="162" t="n">
        <v>0.5</v>
      </c>
      <c r="D58" s="162" t="n">
        <v>0.536</v>
      </c>
    </row>
    <row r="59" ht="15.95" customHeight="1" s="241">
      <c r="A59" s="154" t="inlineStr">
        <is>
          <t>Deployed model</t>
        </is>
      </c>
      <c r="B59" s="231">
        <f>VALUE(Corrected_Metrics!B96)</f>
        <v/>
      </c>
      <c r="C59" s="164" t="n">
        <v>0.382</v>
      </c>
      <c r="D59" s="164" t="n">
        <v>0.464</v>
      </c>
    </row>
    <row r="60" ht="15.95" customHeight="1" s="241">
      <c r="A60" s="152" t="inlineStr">
        <is>
          <t>FinBERT</t>
        </is>
      </c>
      <c r="B60" s="230">
        <f>VALUE(Corrected_Metrics!B94)</f>
        <v/>
      </c>
      <c r="C60" s="162" t="n">
        <v>0.147</v>
      </c>
      <c r="D60" s="162" t="n">
        <v>0.17</v>
      </c>
    </row>
    <row r="61" ht="15.95" customHeight="1" s="241">
      <c r="A61" s="154" t="inlineStr">
        <is>
          <t>Loughran-McDonald</t>
        </is>
      </c>
      <c r="B61" s="231">
        <f>VALUE(Corrected_Metrics!B92)</f>
        <v/>
      </c>
      <c r="C61" s="164" t="n">
        <v>0.029</v>
      </c>
      <c r="D61" s="164" t="n">
        <v>0.033</v>
      </c>
    </row>
    <row r="65">
      <c r="A65" s="112" t="inlineStr">
        <is>
          <t>8. Decision mix — how often each arm commits</t>
        </is>
      </c>
    </row>
    <row r="66" ht="26.1" customHeight="1" s="241">
      <c r="A66" s="151" t="inlineStr">
        <is>
          <t>Call</t>
        </is>
      </c>
      <c r="B66" s="151" t="inlineStr">
        <is>
          <t>Human (170 paired)</t>
        </is>
      </c>
      <c r="C66" s="151" t="inlineStr">
        <is>
          <t>Model (170 paired)</t>
        </is>
      </c>
      <c r="D66" s="151" t="inlineStr">
        <is>
          <t>Model extension</t>
        </is>
      </c>
    </row>
    <row r="67" ht="15.95" customHeight="1" s="241">
      <c r="A67" s="152" t="inlineStr">
        <is>
          <t>BUY</t>
        </is>
      </c>
      <c r="B67" s="162" t="n">
        <v>0.5590000000000001</v>
      </c>
      <c r="C67" s="162" t="n">
        <v>0.424</v>
      </c>
      <c r="D67" s="162" t="n">
        <v>0.441</v>
      </c>
    </row>
    <row r="68" ht="15.95" customHeight="1" s="241">
      <c r="A68" s="154" t="inlineStr">
        <is>
          <t>HOLD</t>
        </is>
      </c>
      <c r="B68" s="164" t="n">
        <v>0.235</v>
      </c>
      <c r="C68" s="164" t="n">
        <v>0.312</v>
      </c>
      <c r="D68" s="164" t="n">
        <v>0.43</v>
      </c>
    </row>
    <row r="69" ht="15.95" customHeight="1" s="241">
      <c r="A69" s="152" t="inlineStr">
        <is>
          <t>SELL</t>
        </is>
      </c>
      <c r="B69" s="162" t="n">
        <v>0.206</v>
      </c>
      <c r="C69" s="162" t="n">
        <v>0.265</v>
      </c>
      <c r="D69" s="162" t="n">
        <v>0.129</v>
      </c>
    </row>
    <row r="73">
      <c r="A73" s="112" t="inlineStr">
        <is>
          <t>9. Effective sample funnel, all three sets</t>
        </is>
      </c>
    </row>
    <row r="74" ht="26.1" customHeight="1" s="241">
      <c r="A74" s="151" t="inlineStr">
        <is>
          <t>Step</t>
        </is>
      </c>
      <c r="B74" s="151" t="inlineStr">
        <is>
          <t>Frozen</t>
        </is>
      </c>
      <c r="C74" s="151" t="inlineStr">
        <is>
          <t>Extension</t>
        </is>
      </c>
      <c r="D74" s="151" t="inlineStr">
        <is>
          <t>Combined</t>
        </is>
      </c>
    </row>
    <row r="75" ht="15.95" customHeight="1" s="241">
      <c r="A75" s="152" t="inlineStr">
        <is>
          <t>Clean universe</t>
        </is>
      </c>
      <c r="B75" s="157" t="n">
        <v>232</v>
      </c>
      <c r="C75" s="157" t="n">
        <v>93</v>
      </c>
      <c r="D75" s="157" t="n">
        <v>325</v>
      </c>
    </row>
    <row r="76" ht="15.95" customHeight="1" s="241">
      <c r="A76" s="154" t="inlineStr">
        <is>
          <t>Traded</t>
        </is>
      </c>
      <c r="B76" s="158" t="n">
        <v>168</v>
      </c>
      <c r="C76" s="158" t="n">
        <v>53</v>
      </c>
      <c r="D76" s="158" t="n">
        <v>221</v>
      </c>
    </row>
    <row r="77" ht="15.95" customHeight="1" s="241">
      <c r="A77" s="152" t="inlineStr">
        <is>
          <t>Graded</t>
        </is>
      </c>
      <c r="B77" s="157" t="n">
        <v>109</v>
      </c>
      <c r="C77" s="157" t="n">
        <v>18</v>
      </c>
      <c r="D77" s="157" t="n">
        <v>127</v>
      </c>
    </row>
    <row r="78" ht="15.95" customHeight="1" s="241">
      <c r="A78" s="154" t="inlineStr">
        <is>
          <t>Correct</t>
        </is>
      </c>
      <c r="B78" s="158" t="n">
        <v>68</v>
      </c>
      <c r="C78" s="158" t="n">
        <v>13</v>
      </c>
      <c r="D78" s="158" t="n">
        <v>81</v>
      </c>
    </row>
  </sheetData>
  <mergeCells count="1">
    <mergeCell ref="A2:F2"/>
  </mergeCells>
  <pageMargins left="0.75" right="0.75" top="1" bottom="1" header="0.5" footer="0.5"/>
  <pageSetup orientation="landscape" fitToHeight="0"/>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tabColor rgb="FF013B70"/>
    <outlinePr summaryBelow="1" summaryRight="1"/>
    <pageSetUpPr fitToPage="1"/>
  </sheetPr>
  <dimension ref="A1:F70"/>
  <sheetViews>
    <sheetView showGridLines="0" workbookViewId="0">
      <selection activeCell="F55" sqref="F55"/>
    </sheetView>
  </sheetViews>
  <sheetFormatPr baseColWidth="8" defaultColWidth="8.85546875" defaultRowHeight="15"/>
  <cols>
    <col width="28" customWidth="1" style="241" min="1" max="1"/>
    <col width="13" customWidth="1" style="241" min="2" max="3"/>
    <col width="20" customWidth="1" style="241" min="4" max="4"/>
    <col width="16" customWidth="1" style="241" min="5" max="6"/>
    <col width="11" customWidth="1" style="241" min="7" max="16"/>
  </cols>
  <sheetData>
    <row r="1" ht="18.95" customHeight="1" s="241">
      <c r="A1" s="102" t="inlineStr">
        <is>
          <t>Trader view — the operational questions</t>
        </is>
      </c>
    </row>
    <row r="2" ht="45.95" customHeight="1" s="241">
      <c r="A2" s="238" t="inlineStr">
        <is>
          <t>The cuts a desk asks for before deploying a signal: does conviction predict reliability, what does the return distribution look like, where is the left tail, does the edge concentrate in large moves, and how does the accuracy-versus-coverage trade-off behave across the whole band rather than at one threshold. All figures are the frozen 232-event universe unless stated.</t>
        </is>
      </c>
    </row>
    <row r="4">
      <c r="A4" s="112" t="inlineStr">
        <is>
          <t>1. Does conviction predict reliability?</t>
        </is>
      </c>
    </row>
    <row r="5" ht="26.1" customHeight="1" s="241">
      <c r="A5" s="151" t="inlineStr">
        <is>
          <t>Score band</t>
        </is>
      </c>
      <c r="B5" s="151" t="inlineStr">
        <is>
          <t>Graded n</t>
        </is>
      </c>
      <c r="C5" s="151" t="inlineStr">
        <is>
          <t>Correct</t>
        </is>
      </c>
      <c r="D5" s="151" t="inlineStr">
        <is>
          <t>Accuracy</t>
        </is>
      </c>
    </row>
    <row r="6" ht="15.95" customHeight="1" s="241">
      <c r="A6" s="152" t="inlineStr">
        <is>
          <t>SELL, below −0.30</t>
        </is>
      </c>
      <c r="B6" s="157" t="n">
        <v>18</v>
      </c>
      <c r="C6" s="157" t="n">
        <v>13</v>
      </c>
      <c r="D6" s="162" t="n">
        <v>0.722</v>
      </c>
    </row>
    <row r="7" ht="15.95" customHeight="1" s="241">
      <c r="A7" s="154" t="inlineStr">
        <is>
          <t>SELL, −0.30 to −0.15</t>
        </is>
      </c>
      <c r="B7" s="158" t="n">
        <v>9</v>
      </c>
      <c r="C7" s="158" t="n">
        <v>7</v>
      </c>
      <c r="D7" s="164" t="n">
        <v>0.778</v>
      </c>
    </row>
    <row r="8" ht="15.95" customHeight="1" s="241">
      <c r="A8" s="152" t="inlineStr">
        <is>
          <t>SELL, −0.15 to −0.10</t>
        </is>
      </c>
      <c r="B8" s="157" t="n">
        <v>7</v>
      </c>
      <c r="C8" s="157" t="n">
        <v>6</v>
      </c>
      <c r="D8" s="162" t="n">
        <v>0.857</v>
      </c>
    </row>
    <row r="9" ht="15.95" customHeight="1" s="241">
      <c r="A9" s="154" t="inlineStr">
        <is>
          <t>BUY, +0.20 to +0.35</t>
        </is>
      </c>
      <c r="B9" s="158" t="n">
        <v>43</v>
      </c>
      <c r="C9" s="158" t="n">
        <v>21</v>
      </c>
      <c r="D9" s="164" t="n">
        <v>0.488</v>
      </c>
    </row>
    <row r="10" ht="15.95" customHeight="1" s="241">
      <c r="A10" s="152" t="inlineStr">
        <is>
          <t>BUY, +0.35 to +0.45</t>
        </is>
      </c>
      <c r="B10" s="157" t="n">
        <v>14</v>
      </c>
      <c r="C10" s="157" t="n">
        <v>9</v>
      </c>
      <c r="D10" s="162" t="n">
        <v>0.643</v>
      </c>
    </row>
    <row r="11" ht="15.95" customHeight="1" s="241">
      <c r="A11" s="154" t="inlineStr">
        <is>
          <t>BUY, above +0.45</t>
        </is>
      </c>
      <c r="B11" s="158" t="n">
        <v>18</v>
      </c>
      <c r="C11" s="158" t="n">
        <v>12</v>
      </c>
      <c r="D11" s="164" t="n">
        <v>0.667</v>
      </c>
    </row>
    <row r="13" ht="57.95" customHeight="1" s="241">
      <c r="A13" s="238" t="inlineStr">
        <is>
          <t>The two sides behave differently. On the BUY side accuracy rises with conviction, 48.8% to 64.3% to 66.7%, which is what a desk would want for position sizing. On the SELL side it falls as conviction strengthens, 85.7% to 77.8% to 72.2%, so a strong sell signal is no more reliable than a marginal one — though the −0.15 to −0.10 band holds only seven events. The usable statement is unchanged: conviction is weakly informative on BUY calls and uninformative on SELL calls. These six bands tile all 109 graded traded events at the deployed thresholds (+0.20/−0.10), and the counts sum to the 68/109 = 62.4% selectivity headline.</t>
        </is>
      </c>
    </row>
    <row r="15">
      <c r="A15" s="112" t="inlineStr">
        <is>
          <t>2. What does the return distribution look like?</t>
        </is>
      </c>
    </row>
    <row r="16" ht="26.1" customHeight="1" s="241">
      <c r="A16" s="151" t="inlineStr">
        <is>
          <t>Bucket</t>
        </is>
      </c>
      <c r="B16" s="151" t="inlineStr">
        <is>
          <t>Trades</t>
        </is>
      </c>
    </row>
    <row r="17" ht="15.95" customHeight="1" s="241">
      <c r="A17" s="152" t="inlineStr">
        <is>
          <t>Loss worse than −10%</t>
        </is>
      </c>
      <c r="B17" s="157" t="n">
        <v>1</v>
      </c>
    </row>
    <row r="18" ht="15.95" customHeight="1" s="241">
      <c r="A18" s="154" t="inlineStr">
        <is>
          <t>−10% to −5%</t>
        </is>
      </c>
      <c r="B18" s="158" t="n">
        <v>17</v>
      </c>
    </row>
    <row r="19" ht="15.95" customHeight="1" s="241">
      <c r="A19" s="152" t="inlineStr">
        <is>
          <t>−5% to 0%</t>
        </is>
      </c>
      <c r="B19" s="157" t="n">
        <v>48</v>
      </c>
    </row>
    <row r="20" ht="15.95" customHeight="1" s="241">
      <c r="A20" s="154" t="inlineStr">
        <is>
          <t>0% to +5%</t>
        </is>
      </c>
      <c r="B20" s="158" t="n">
        <v>62</v>
      </c>
    </row>
    <row r="21" ht="15.95" customHeight="1" s="241">
      <c r="A21" s="152" t="inlineStr">
        <is>
          <t>+5% to +10%</t>
        </is>
      </c>
      <c r="B21" s="157" t="n">
        <v>25</v>
      </c>
    </row>
    <row r="22" ht="15.95" customHeight="1" s="241">
      <c r="A22" s="154" t="inlineStr">
        <is>
          <t>Above +10%</t>
        </is>
      </c>
      <c r="B22" s="158" t="n">
        <v>15</v>
      </c>
    </row>
    <row r="24" ht="26.1" customHeight="1" s="241">
      <c r="A24" s="151" t="inlineStr">
        <is>
          <t>Statistic</t>
        </is>
      </c>
      <c r="B24" s="151" t="inlineStr">
        <is>
          <t>Value</t>
        </is>
      </c>
    </row>
    <row r="25" ht="15.95" customHeight="1" s="241">
      <c r="A25" s="152" t="inlineStr">
        <is>
          <t>Mean net per trade</t>
        </is>
      </c>
      <c r="B25" s="225" t="inlineStr">
        <is>
          <t>1.7963%</t>
        </is>
      </c>
    </row>
    <row r="26" ht="15.95" customHeight="1" s="241">
      <c r="A26" s="154" t="inlineStr">
        <is>
          <t>Median net per trade</t>
        </is>
      </c>
      <c r="B26" s="217" t="inlineStr">
        <is>
          <t>+0.950%</t>
        </is>
      </c>
    </row>
    <row r="27" ht="15.95" customHeight="1" s="241">
      <c r="A27" s="152" t="inlineStr">
        <is>
          <t>Best trade</t>
        </is>
      </c>
      <c r="B27" s="152" t="inlineStr">
        <is>
          <t>+32.06%</t>
        </is>
      </c>
    </row>
    <row r="28" ht="15.95" customHeight="1" s="241">
      <c r="A28" s="154" t="inlineStr">
        <is>
          <t>Worst trade</t>
        </is>
      </c>
      <c r="B28" s="154" t="inlineStr">
        <is>
          <t>−14.62%</t>
        </is>
      </c>
    </row>
    <row r="29" ht="15.95" customHeight="1" s="241">
      <c r="A29" s="152" t="inlineStr">
        <is>
          <t>Losing trades</t>
        </is>
      </c>
      <c r="B29" s="216" t="inlineStr">
        <is>
          <t>66 of 168 (39.3%)</t>
        </is>
      </c>
    </row>
    <row r="30" ht="15.95" customHeight="1" s="241">
      <c r="A30" s="154" t="inlineStr">
        <is>
          <t>Losses worse than 5%</t>
        </is>
      </c>
      <c r="B30" s="154" t="inlineStr">
        <is>
          <t>18 trades</t>
        </is>
      </c>
    </row>
    <row r="31" ht="15.95" customHeight="1" s="241">
      <c r="A31" s="152" t="inlineStr">
        <is>
          <t>Losses worse than 10%</t>
        </is>
      </c>
      <c r="B31" s="152" t="inlineStr">
        <is>
          <t>1 trade</t>
        </is>
      </c>
    </row>
    <row r="33" ht="50.1" customHeight="1" s="241">
      <c r="A33" s="239" t="inlineStr">
        <is>
          <t>The mean sits above the median, so the average is pulled up by the right tail, but not dominated by it: removing the single best trade moves the mean from +1.7963% to +1.615%. Thirty-nine per cent of trades lose money and one loses more than 10%, which is the exposure a desk would size against. This is a positive expectancy with a fat right tail rather than a high win rate.</t>
        </is>
      </c>
    </row>
    <row r="35">
      <c r="A35" s="112" t="inlineStr">
        <is>
          <t>3. Does the edge concentrate in large moves?</t>
        </is>
      </c>
    </row>
    <row r="36" ht="26.1" customHeight="1" s="241">
      <c r="A36" s="151" t="inlineStr">
        <is>
          <t>Move size</t>
        </is>
      </c>
      <c r="B36" s="151" t="inlineStr">
        <is>
          <t>Graded n</t>
        </is>
      </c>
      <c r="C36" s="151" t="inlineStr">
        <is>
          <t>Accuracy</t>
        </is>
      </c>
      <c r="D36" s="151" t="inlineStr">
        <is>
          <t>Mean net per trade</t>
        </is>
      </c>
    </row>
    <row r="37" ht="15.95" customHeight="1" s="241">
      <c r="A37" s="152" t="inlineStr">
        <is>
          <t>2% to 5%</t>
        </is>
      </c>
      <c r="B37" s="157" t="n">
        <v>49</v>
      </c>
      <c r="C37" s="162" t="n">
        <v>0.531</v>
      </c>
      <c r="D37" s="162" t="n">
        <v>0.0009</v>
      </c>
    </row>
    <row r="38" ht="15.95" customHeight="1" s="241">
      <c r="A38" s="154" t="inlineStr">
        <is>
          <t>5% to 10%</t>
        </is>
      </c>
      <c r="B38" s="158" t="n">
        <v>44</v>
      </c>
      <c r="C38" s="164" t="n">
        <v>0.614</v>
      </c>
      <c r="D38" s="164" t="n">
        <v>0.0153</v>
      </c>
    </row>
    <row r="39" ht="15.95" customHeight="1" s="241">
      <c r="A39" s="152" t="inlineStr">
        <is>
          <t>Above 10%</t>
        </is>
      </c>
      <c r="B39" s="157" t="n">
        <v>16</v>
      </c>
      <c r="C39" s="162" t="n">
        <v>0.9379999999999999</v>
      </c>
      <c r="D39" s="162" t="n">
        <v>0.1398</v>
      </c>
    </row>
    <row r="41" ht="57.95" customHeight="1" s="241">
      <c r="A41" s="239" t="inlineStr">
        <is>
          <t>This is the strongest operational finding in the study. On events that moved more than 10% the model was right 93.8% of the time at a mean of +13.98% per trade, against 53.1% and +0.09% on 2 to 5% moves. The signal is most reliable precisely where the money is. The caveat is that 16 events cannot carry a strong claim and the direction of causation is open: large moves may simply be easier to read because the document language is less ambiguous.</t>
        </is>
      </c>
    </row>
    <row r="43">
      <c r="A43" s="112" t="inlineStr">
        <is>
          <t>4. The accuracy-versus-coverage trade-off across the whole band</t>
        </is>
      </c>
    </row>
    <row r="44" ht="26.1" customHeight="1" s="241">
      <c r="A44" s="151" t="inlineStr">
        <is>
          <t>HOLD band</t>
        </is>
      </c>
      <c r="B44" s="151" t="inlineStr">
        <is>
          <t>Graded n</t>
        </is>
      </c>
      <c r="C44" s="151" t="inlineStr">
        <is>
          <t>Accuracy</t>
        </is>
      </c>
    </row>
    <row r="45" ht="15.95" customHeight="1" s="241">
      <c r="A45" s="152" t="inlineStr">
        <is>
          <t>±0%</t>
        </is>
      </c>
      <c r="B45" s="216" t="inlineStr">
        <is>
          <t>167</t>
        </is>
      </c>
      <c r="C45" s="216" t="inlineStr">
        <is>
          <t>0.611</t>
        </is>
      </c>
    </row>
    <row r="46" ht="15.95" customHeight="1" s="241">
      <c r="A46" s="154" t="inlineStr">
        <is>
          <t>±1%</t>
        </is>
      </c>
      <c r="B46" s="217" t="inlineStr">
        <is>
          <t>137</t>
        </is>
      </c>
      <c r="C46" s="217" t="inlineStr">
        <is>
          <t>0.620</t>
        </is>
      </c>
    </row>
    <row r="47" ht="15.95" customHeight="1" s="241">
      <c r="A47" s="152" t="inlineStr">
        <is>
          <t>±2% (pre-registered)</t>
        </is>
      </c>
      <c r="B47" s="216" t="inlineStr">
        <is>
          <t>109</t>
        </is>
      </c>
      <c r="C47" s="216" t="inlineStr">
        <is>
          <t>0.624</t>
        </is>
      </c>
    </row>
    <row r="48" ht="15.95" customHeight="1" s="241">
      <c r="A48" s="154" t="inlineStr">
        <is>
          <t>±3%</t>
        </is>
      </c>
      <c r="B48" s="158" t="inlineStr">
        <is>
          <t>82</t>
        </is>
      </c>
      <c r="C48" s="164" t="inlineStr">
        <is>
          <t>0.671</t>
        </is>
      </c>
    </row>
    <row r="49" ht="15.95" customHeight="1" s="241">
      <c r="A49" s="152" t="inlineStr">
        <is>
          <t>±4%</t>
        </is>
      </c>
      <c r="B49" s="157" t="inlineStr">
        <is>
          <t>70</t>
        </is>
      </c>
      <c r="C49" s="162" t="inlineStr">
        <is>
          <t>0.671</t>
        </is>
      </c>
    </row>
    <row r="50" ht="15.95" customHeight="1" s="241">
      <c r="A50" s="154" t="inlineStr">
        <is>
          <t>±5%</t>
        </is>
      </c>
      <c r="B50" s="158" t="n">
        <v>60</v>
      </c>
      <c r="C50" s="164" t="n">
        <v>0.7</v>
      </c>
    </row>
    <row r="52" ht="57.95" customHeight="1" s="241">
      <c r="A52" s="239" t="inlineStr">
        <is>
          <t>Accuracy rises monotonically as the band widens and the graded count falls, from 61.1% on 167 events at no band to 70.0% on 60 events at ±5%. The pre-registered ±2% sits low on that curve, so the choice was conservative rather than flattering: a wider band would have produced a higher headline. Showing the whole curve rather than one point is the direct answer to the objection that the band was fitted, since the shape holds at every threshold.</t>
        </is>
      </c>
    </row>
    <row r="54">
      <c r="A54" s="112" t="inlineStr">
        <is>
          <t>5. Mean net per trade across the three sets</t>
        </is>
      </c>
    </row>
    <row r="55" ht="26.1" customHeight="1" s="241">
      <c r="A55" s="151" t="inlineStr">
        <is>
          <t>Set</t>
        </is>
      </c>
      <c r="B55" s="151" t="inlineStr">
        <is>
          <t>Trades</t>
        </is>
      </c>
      <c r="C55" s="151" t="inlineStr">
        <is>
          <t>Mean net per trade</t>
        </is>
      </c>
    </row>
    <row r="56" ht="15.95" customHeight="1" s="241">
      <c r="A56" s="152" t="inlineStr">
        <is>
          <t>Frozen</t>
        </is>
      </c>
      <c r="B56" s="216" t="inlineStr">
        <is>
          <t>168</t>
        </is>
      </c>
      <c r="C56" s="216" t="inlineStr">
        <is>
          <t>0.017963</t>
        </is>
      </c>
    </row>
    <row r="57" ht="15.95" customHeight="1" s="241">
      <c r="A57" s="154" t="inlineStr">
        <is>
          <t>Extension</t>
        </is>
      </c>
      <c r="B57" s="158" t="n">
        <v>53</v>
      </c>
      <c r="C57" s="164" t="n">
        <v>0.014885</v>
      </c>
    </row>
    <row r="58" ht="15.95" customHeight="1" s="241">
      <c r="A58" s="152" t="inlineStr">
        <is>
          <t>Combined</t>
        </is>
      </c>
      <c r="B58" s="157" t="n">
        <v>221</v>
      </c>
      <c r="C58" s="162" t="n">
        <v>0.017225</v>
      </c>
    </row>
    <row r="60">
      <c r="A60" s="112" t="inlineStr">
        <is>
          <t>6. Mean net per trade, model against each rater</t>
        </is>
      </c>
    </row>
    <row r="61" ht="26.1" customHeight="1" s="241">
      <c r="A61" s="151" t="inlineStr">
        <is>
          <t>Arm</t>
        </is>
      </c>
      <c r="B61" s="151" t="inlineStr">
        <is>
          <t>Trades</t>
        </is>
      </c>
      <c r="C61" s="151" t="inlineStr">
        <is>
          <t>Mean net per trade</t>
        </is>
      </c>
      <c r="D61" s="151" t="inlineStr">
        <is>
          <t>Unweighted mean of the six rater means — the model row is excluded from this average; not a pooled human figure</t>
        </is>
      </c>
    </row>
    <row r="62" ht="15.95" customHeight="1" s="241">
      <c r="A62" s="152" t="inlineStr">
        <is>
          <t>Model</t>
        </is>
      </c>
      <c r="B62" s="157" t="n">
        <v>168</v>
      </c>
      <c r="C62" s="162" t="n">
        <v>0.017963</v>
      </c>
      <c r="D62" s="237" t="n">
        <v>0.00309</v>
      </c>
    </row>
    <row r="63" ht="15.95" customHeight="1" s="241">
      <c r="A63" s="154" t="inlineStr">
        <is>
          <t>Abdul</t>
        </is>
      </c>
      <c r="B63" s="158" t="n">
        <v>48</v>
      </c>
      <c r="C63" s="236" t="n">
        <v>0.02123</v>
      </c>
    </row>
    <row r="64" ht="15.95" customHeight="1" s="241">
      <c r="A64" s="152" t="inlineStr">
        <is>
          <t>Meriem</t>
        </is>
      </c>
      <c r="B64" s="157" t="n">
        <v>36</v>
      </c>
      <c r="C64" s="215" t="n">
        <v>0.01309</v>
      </c>
    </row>
    <row r="65" ht="15.95" customHeight="1" s="241">
      <c r="A65" s="154" t="inlineStr">
        <is>
          <t>Anna</t>
        </is>
      </c>
      <c r="B65" s="158" t="n">
        <v>49</v>
      </c>
      <c r="C65" s="236" t="n">
        <v>0.01183</v>
      </c>
    </row>
    <row r="66" ht="15.95" customHeight="1" s="241">
      <c r="A66" s="152" t="inlineStr">
        <is>
          <t>Dragos</t>
        </is>
      </c>
      <c r="B66" s="157" t="n">
        <v>65</v>
      </c>
      <c r="C66" s="215" t="n">
        <v>-0.00247</v>
      </c>
    </row>
    <row r="67" ht="15.95" customHeight="1" s="241">
      <c r="A67" s="154" t="inlineStr">
        <is>
          <t>Nigel</t>
        </is>
      </c>
      <c r="B67" s="158" t="n">
        <v>52</v>
      </c>
      <c r="C67" s="236" t="n">
        <v>5e-05</v>
      </c>
    </row>
    <row r="68" ht="15.95" customHeight="1" s="241">
      <c r="A68" s="152" t="inlineStr">
        <is>
          <t>David</t>
        </is>
      </c>
      <c r="B68" s="157" t="n">
        <v>56</v>
      </c>
      <c r="C68" s="215" t="n">
        <v>-0.02522</v>
      </c>
    </row>
    <row r="70" ht="50.1" customHeight="1" s="241">
      <c r="A70" s="238" t="inlineStr">
        <is>
          <t>Each rater traded between 36 and 65 events, so the spread across raters is largely noise and no ranking should be read into the order. The model sits inside the human range rather than above it, which is the honest reading: one rater beat it and five did not, on samples too small to separate. No pooled human figure is shown, since raters read overlapping events and pooling would count shared events several times. Rater means are on the re-priced basis (column AK); trades without a re-priced price stay in the trade count but drop from the mean — Nigel: 34 of 52 priced (the ALV.DE, STAN.L, DELL, PLTR and WDAY rows have no re-priced prices). Disney FQ1 2025 stays in Meriem’s row: the human arm keeps all 420 readings (see A92 on Accuracy_Conventions).</t>
        </is>
      </c>
    </row>
  </sheetData>
  <mergeCells count="6">
    <mergeCell ref="A41:F41"/>
    <mergeCell ref="A2:F2"/>
    <mergeCell ref="A33:F33"/>
    <mergeCell ref="A52:F52"/>
    <mergeCell ref="A13:F13"/>
    <mergeCell ref="A70:F70"/>
  </mergeCells>
  <pageMargins left="0.75" right="0.75" top="1" bottom="1" header="0.5" footer="0.5"/>
  <pageSetup orientation="landscape" fitToHeight="0"/>
  <drawing xmlns:r="http://schemas.openxmlformats.org/officeDocument/2006/relationships" r:id="rId1"/>
</worksheet>
</file>

<file path=xl/worksheets/sheet5.xml><?xml version="1.0" encoding="utf-8"?>
<worksheet xmlns="http://schemas.openxmlformats.org/spreadsheetml/2006/main">
  <sheetPr>
    <tabColor rgb="FF013B70"/>
    <outlinePr summaryBelow="1" summaryRight="1"/>
    <pageSetUpPr fitToPage="1"/>
  </sheetPr>
  <dimension ref="A1:G98"/>
  <sheetViews>
    <sheetView showGridLines="0" topLeftCell="A50" workbookViewId="0">
      <selection activeCell="A1" sqref="A1"/>
    </sheetView>
  </sheetViews>
  <sheetFormatPr baseColWidth="8" defaultColWidth="8.85546875" defaultRowHeight="15"/>
  <cols>
    <col width="34" customWidth="1" style="241" min="1" max="1"/>
    <col width="22" customWidth="1" style="241" min="2" max="2"/>
    <col width="26" customWidth="1" style="241" min="3" max="3"/>
    <col width="40" customWidth="1" style="241" min="4" max="4"/>
    <col width="32" customWidth="1" style="241" min="5" max="5"/>
    <col width="18" customWidth="1" style="241" min="6" max="6"/>
    <col width="20" customWidth="1" style="241" min="7" max="16"/>
  </cols>
  <sheetData>
    <row r="1" ht="18.95" customHeight="1" s="241">
      <c r="A1" s="102" t="inlineStr">
        <is>
          <t>Efficiency — corrected figures</t>
        </is>
      </c>
    </row>
    <row r="2" ht="33.95" customHeight="1" s="241">
      <c r="A2" s="238" t="inlineStr">
        <is>
          <t>Cost and time on the corrected anchor. Model cost is measured per call from the API logs. Human time is recorded reading time per event. The two are different currencies and the comparison is indicative rather than a like-for-like unit cost.</t>
        </is>
      </c>
    </row>
    <row r="4">
      <c r="A4" s="112" t="inlineStr">
        <is>
          <t>Cost per correct directional call, by section arm (frozen)</t>
        </is>
      </c>
    </row>
    <row r="5" ht="26.1" customHeight="1" s="241">
      <c r="A5" s="151" t="inlineStr">
        <is>
          <t>Arm</t>
        </is>
      </c>
      <c r="B5" s="151" t="inlineStr">
        <is>
          <t>Cost per correct call</t>
        </is>
      </c>
      <c r="C5" s="151" t="inlineStr">
        <is>
          <t>Mean tokens</t>
        </is>
      </c>
    </row>
    <row r="6" ht="15.95" customHeight="1" s="241">
      <c r="A6" s="152" t="inlineStr">
        <is>
          <t>Full bundle</t>
        </is>
      </c>
      <c r="B6" s="166" t="inlineStr">
        <is>
          <t>0.0369</t>
        </is>
      </c>
      <c r="C6" s="157" t="n">
        <v>30096</v>
      </c>
    </row>
    <row r="7" ht="15.95" customHeight="1" s="241">
      <c r="A7" s="154" t="inlineStr">
        <is>
          <t>Press release</t>
        </is>
      </c>
      <c r="B7" s="167" t="n">
        <v>0.0225</v>
      </c>
      <c r="C7" s="158" t="n">
        <v>13030</v>
      </c>
    </row>
    <row r="8" ht="15.95" customHeight="1" s="241">
      <c r="A8" s="152" t="inlineStr">
        <is>
          <t>Prepared remarks</t>
        </is>
      </c>
      <c r="B8" s="166" t="inlineStr">
        <is>
          <t>0.0187</t>
        </is>
      </c>
      <c r="C8" s="157" t="n">
        <v>10287</v>
      </c>
    </row>
    <row r="9" ht="15.95" customHeight="1" s="241">
      <c r="A9" s="154" t="inlineStr">
        <is>
          <t>Q&amp;A only</t>
        </is>
      </c>
      <c r="B9" s="167" t="inlineStr">
        <is>
          <t>0.022</t>
        </is>
      </c>
      <c r="C9" s="158" t="n">
        <v>13163</v>
      </c>
    </row>
    <row r="13">
      <c r="A13" s="112" t="inlineStr">
        <is>
          <t>Human reading time by information set</t>
        </is>
      </c>
    </row>
    <row r="14" ht="26.1" customHeight="1" s="241">
      <c r="A14" s="151" t="inlineStr">
        <is>
          <t>Information set</t>
        </is>
      </c>
      <c r="B14" s="151" t="inlineStr">
        <is>
          <t>Mean minutes</t>
        </is>
      </c>
      <c r="C14" s="151" t="inlineStr">
        <is>
          <t>Readings</t>
        </is>
      </c>
    </row>
    <row r="15" ht="15.95" customHeight="1" s="241">
      <c r="A15" s="152" t="inlineStr">
        <is>
          <t>Press release only</t>
        </is>
      </c>
      <c r="B15" s="168" t="n">
        <v>15</v>
      </c>
      <c r="C15" s="157" t="n">
        <v>19</v>
      </c>
    </row>
    <row r="16" ht="15.95" customHeight="1" s="241">
      <c r="A16" s="154" t="inlineStr">
        <is>
          <t>Guidance only</t>
        </is>
      </c>
      <c r="B16" s="169" t="n">
        <v>18.7</v>
      </c>
      <c r="C16" s="158" t="n">
        <v>29</v>
      </c>
    </row>
    <row r="17" ht="15.95" customHeight="1" s="241">
      <c r="A17" s="152" t="inlineStr">
        <is>
          <t>Presentation only</t>
        </is>
      </c>
      <c r="B17" s="168" t="n">
        <v>19.8</v>
      </c>
      <c r="C17" s="157" t="n">
        <v>23</v>
      </c>
    </row>
    <row r="18" ht="15.95" customHeight="1" s="241">
      <c r="A18" s="154" t="inlineStr">
        <is>
          <t>Financials only</t>
        </is>
      </c>
      <c r="B18" s="169" t="n">
        <v>20.3</v>
      </c>
      <c r="C18" s="158" t="n">
        <v>32</v>
      </c>
    </row>
    <row r="19" ht="15.95" customHeight="1" s="241">
      <c r="A19" s="152" t="inlineStr">
        <is>
          <t>Q&amp;A only</t>
        </is>
      </c>
      <c r="B19" s="168" t="n">
        <v>29.4</v>
      </c>
      <c r="C19" s="157" t="n">
        <v>33</v>
      </c>
    </row>
    <row r="20" ht="15.95" customHeight="1" s="241">
      <c r="A20" s="154" t="inlineStr">
        <is>
          <t>Full document</t>
        </is>
      </c>
      <c r="B20" s="169" t="n">
        <v>29.8</v>
      </c>
      <c r="C20" s="158" t="n">
        <v>190</v>
      </c>
    </row>
    <row r="21" ht="15.95" customHeight="1" s="241">
      <c r="A21" s="152" t="inlineStr">
        <is>
          <t>Transcript only</t>
        </is>
      </c>
      <c r="B21" s="168" t="n">
        <v>33.5</v>
      </c>
      <c r="C21" s="157" t="n">
        <v>94</v>
      </c>
    </row>
    <row r="22">
      <c r="B22" s="114" t="n"/>
    </row>
    <row r="25">
      <c r="A25" s="112" t="inlineStr">
        <is>
          <t>API cost and break-even</t>
        </is>
      </c>
    </row>
    <row r="26" ht="26.1" customHeight="1" s="241">
      <c r="A26" s="151" t="inlineStr">
        <is>
          <t>Item</t>
        </is>
      </c>
      <c r="B26" s="151" t="inlineStr">
        <is>
          <t>Value</t>
        </is>
      </c>
      <c r="C26" s="151" t="inlineStr">
        <is>
          <t>Basis</t>
        </is>
      </c>
    </row>
    <row r="27" ht="15.95" customHeight="1" s="241">
      <c r="A27" s="152" t="inlineStr">
        <is>
          <t>Extension scoring total</t>
        </is>
      </c>
      <c r="B27" s="152" t="inlineStr">
        <is>
          <t>$0.77146</t>
        </is>
      </c>
      <c r="C27" s="152" t="inlineStr">
        <is>
          <t>93 events, measured per call</t>
        </is>
      </c>
    </row>
    <row r="28" ht="15.95" customHeight="1" s="241">
      <c r="A28" s="154" t="inlineStr">
        <is>
          <t>Extension ablation total</t>
        </is>
      </c>
      <c r="B28" s="154" t="inlineStr">
        <is>
          <t>$1.72383</t>
        </is>
      </c>
      <c r="C28" s="154" t="inlineStr">
        <is>
          <t>298 calls across four arms</t>
        </is>
      </c>
    </row>
    <row r="29" ht="15.95" customHeight="1" s="241">
      <c r="A29" s="152" t="inlineStr">
        <is>
          <t>Break-even round trip</t>
        </is>
      </c>
      <c r="B29" s="216" t="inlineStr">
        <is>
          <t>189.63 bps</t>
        </is>
      </c>
      <c r="C29" s="216" t="inlineStr">
        <is>
          <t>Mean net per trade, N=232</t>
        </is>
      </c>
    </row>
    <row r="30" ht="15.95" customHeight="1" s="241">
      <c r="A30" s="154" t="inlineStr">
        <is>
          <t>Deployed cost assumption</t>
        </is>
      </c>
      <c r="B30" s="154" t="inlineStr">
        <is>
          <t>10 bps</t>
        </is>
      </c>
      <c r="C30" s="154" t="inlineStr">
        <is>
          <t>Round trip, zero slippage</t>
        </is>
      </c>
    </row>
    <row r="32" ht="60" customHeight="1" s="241">
      <c r="A32" s="238" t="inlineStr">
        <is>
          <t>Per-event token cost is recorded for both sets. Frozen figures come from api_cost_ledger.csv. Extension figures come from the per-issuer first_run_costs.jsonl files, which the ledger builder did not visit until it was corrected on 2026-08-14: it built its issuer list from the frozen naming convention and never matched the extension output folders, so the ledger showed nothing for those 93 events while the data sat on disk. The figures are measured, not allocated averages. No externally-cited realistic desk cost exists in this project, so no claim is made about whether the break-even exceeds realistic trading costs.</t>
        </is>
      </c>
    </row>
    <row r="34">
      <c r="A34" s="112" t="inlineStr">
        <is>
          <t>Model against human: two currencies, reported separately</t>
        </is>
      </c>
    </row>
    <row r="35" ht="26.1" customHeight="1" s="241">
      <c r="A35" s="151" t="inlineStr">
        <is>
          <t>Measure</t>
        </is>
      </c>
      <c r="B35" s="151" t="inlineStr">
        <is>
          <t>Model arm</t>
        </is>
      </c>
      <c r="C35" s="151" t="inlineStr">
        <is>
          <t>Human arm</t>
        </is>
      </c>
      <c r="D35" s="151" t="inlineStr">
        <is>
          <t>Note</t>
        </is>
      </c>
    </row>
    <row r="36" ht="15.95" customHeight="1" s="241">
      <c r="A36" s="152" t="inlineStr">
        <is>
          <t>Correct directional calls</t>
        </is>
      </c>
      <c r="B36" s="157" t="n">
        <v>68</v>
      </c>
      <c r="C36" s="212" t="n">
        <v>155</v>
      </c>
      <c r="D36" s="212" t="inlineStr">
        <is>
          <t>Model on 109 graded events; human on 420 readings, re-priced correctness (col AJ; 20 rows carry no re-priced flag)</t>
        </is>
      </c>
    </row>
    <row r="37" ht="15.95" customHeight="1" s="241">
      <c r="A37" s="154" t="inlineStr">
        <is>
          <t>Total cost</t>
        </is>
      </c>
      <c r="B37" s="158" t="inlineStr">
        <is>
          <t>$1.14</t>
        </is>
      </c>
      <c r="C37" s="154" t="inlineStr">
        <is>
          <t>195.3 hours</t>
        </is>
      </c>
      <c r="D37" s="154" t="inlineStr">
        <is>
          <t>API spend against recorded reading time</t>
        </is>
      </c>
    </row>
    <row r="38" ht="15.95" customHeight="1" s="241">
      <c r="A38" s="152" t="inlineStr">
        <is>
          <t>Per correct call</t>
        </is>
      </c>
      <c r="B38" s="157" t="inlineStr">
        <is>
          <t>$0.0369</t>
        </is>
      </c>
      <c r="C38" s="212" t="inlineStr">
        <is>
          <t>75.6 minutes</t>
        </is>
      </c>
      <c r="D38" s="152" t="inlineStr">
        <is>
          <t>The two headline unit figures</t>
        </is>
      </c>
    </row>
    <row r="39" ht="15.95" customHeight="1" s="241">
      <c r="A39" s="154" t="inlineStr">
        <is>
          <t>Per document</t>
        </is>
      </c>
      <c r="B39" s="158" t="inlineStr">
        <is>
          <t>$0.0096</t>
        </is>
      </c>
      <c r="C39" s="154" t="inlineStr">
        <is>
          <t>27.9 minutes</t>
        </is>
      </c>
      <c r="D39" s="154" t="inlineStr">
        <is>
          <t>Mean across all readings</t>
        </is>
      </c>
    </row>
    <row r="40" ht="15.95" customHeight="1" s="241">
      <c r="A40" s="152" t="inlineStr">
        <is>
          <t>Fastest unit</t>
        </is>
      </c>
      <c r="B40" s="157" t="inlineStr">
        <is>
          <t>$0.0187 (prepared remarks)</t>
        </is>
      </c>
      <c r="C40" s="152" t="inlineStr">
        <is>
          <t>17.2 minutes (fastest rater)</t>
        </is>
      </c>
      <c r="D40" s="152" t="inlineStr">
        <is>
          <t>Cheapest arm is also the fastest, at 12.09 s median on the extension</t>
        </is>
      </c>
    </row>
    <row r="42" ht="51.95" customHeight="1" s="241">
      <c r="A42" s="238" t="inlineStr">
        <is>
          <t>Deliberately not converted to a common currency. Turning reading time into money requires choosing an hourly rate, and any resulting ROI figure would inherit that choice rather than measure anything. The two facts stand on their own: the model produces a correct directional call for about three and a half cents, and a human takes about seventy-five minutes. A sensitivity block follows for anyone who wants the conversion, with the rate stated rather than assumed.</t>
        </is>
      </c>
    </row>
    <row r="44">
      <c r="A44" s="112" t="inlineStr">
        <is>
          <t>Sensitivity: human cost per correct call at various hourly rates</t>
        </is>
      </c>
    </row>
    <row r="45" ht="26.1" customHeight="1" s="241">
      <c r="A45" s="151" t="inlineStr">
        <is>
          <t>Hourly rate</t>
        </is>
      </c>
      <c r="B45" s="151" t="inlineStr">
        <is>
          <t>Cost per correct call</t>
        </is>
      </c>
      <c r="C45" s="151" t="inlineStr">
        <is>
          <t>Multiple of model cost</t>
        </is>
      </c>
    </row>
    <row r="46" ht="15.95" customHeight="1" s="241">
      <c r="A46" s="152" t="inlineStr">
        <is>
          <t>£25</t>
        </is>
      </c>
      <c r="B46" s="152" t="inlineStr">
        <is>
          <t>£31.29</t>
        </is>
      </c>
      <c r="C46" s="152" t="inlineStr">
        <is>
          <t>848×</t>
        </is>
      </c>
    </row>
    <row r="47" ht="15.95" customHeight="1" s="241">
      <c r="A47" s="154" t="inlineStr">
        <is>
          <t>£50</t>
        </is>
      </c>
      <c r="B47" s="154" t="inlineStr">
        <is>
          <t>£62.58</t>
        </is>
      </c>
      <c r="C47" s="154" t="inlineStr">
        <is>
          <t>1,696×</t>
        </is>
      </c>
    </row>
    <row r="48" ht="15.95" customHeight="1" s="241">
      <c r="A48" s="152" t="inlineStr">
        <is>
          <t>£75</t>
        </is>
      </c>
      <c r="B48" s="152" t="inlineStr">
        <is>
          <t>£93.88</t>
        </is>
      </c>
      <c r="C48" s="152" t="inlineStr">
        <is>
          <t>2,544×</t>
        </is>
      </c>
    </row>
    <row r="49" ht="15.95" customHeight="1" s="241">
      <c r="A49" s="154" t="inlineStr">
        <is>
          <t>£100</t>
        </is>
      </c>
      <c r="B49" s="154" t="inlineStr">
        <is>
          <t>£125.17</t>
        </is>
      </c>
      <c r="C49" s="154" t="inlineStr">
        <is>
          <t>3,392×</t>
        </is>
      </c>
    </row>
    <row r="50" ht="15.95" customHeight="1" s="241">
      <c r="A50" s="152" t="inlineStr">
        <is>
          <t>£150</t>
        </is>
      </c>
      <c r="B50" s="152" t="inlineStr">
        <is>
          <t>£187.75</t>
        </is>
      </c>
      <c r="C50" s="152" t="inlineStr">
        <is>
          <t>5,088×</t>
        </is>
      </c>
    </row>
    <row r="52" ht="45.95" customHeight="1" s="241">
      <c r="A52" s="238" t="inlineStr">
        <is>
          <t>At 75.6 minutes per correct call, the human unit cost is the hourly rate multiplied by 1.260. The multiple against the model assumes $0.0369 per correct call at parity between pound and dollar, so treat it as an order of magnitude rather than a figure. The point is the scale of the gap, which holds across every plausible rate, not the precise number at any one of them.</t>
        </is>
      </c>
    </row>
    <row r="54">
      <c r="A54" s="112" t="inlineStr">
        <is>
          <t>Time against the decision window</t>
        </is>
      </c>
    </row>
    <row r="55" ht="26.1" customHeight="1" s="241">
      <c r="A55" s="151" t="inlineStr">
        <is>
          <t>Measure</t>
        </is>
      </c>
      <c r="B55" s="151" t="inlineStr">
        <is>
          <t>Value</t>
        </is>
      </c>
      <c r="C55" s="151" t="inlineStr">
        <is>
          <t>Note</t>
        </is>
      </c>
    </row>
    <row r="56" ht="15.95" customHeight="1" s="241">
      <c r="A56" s="152" t="inlineStr">
        <is>
          <t>Overnight decision window</t>
        </is>
      </c>
      <c r="B56" s="152" t="inlineStr">
        <is>
          <t>roughly 15 hours</t>
        </is>
      </c>
      <c r="C56" s="152" t="inlineStr">
        <is>
          <t>Release-day close to next-session open</t>
        </is>
      </c>
    </row>
    <row r="57" ht="15.95" customHeight="1" s="241">
      <c r="A57" s="154" t="inlineStr">
        <is>
          <t>Model time per document</t>
        </is>
      </c>
      <c r="B57" s="154" t="inlineStr">
        <is>
          <t>15.0 s median</t>
        </is>
      </c>
      <c r="C57" s="154" t="inlineStr">
        <is>
          <t>Real per-call latency, 624 calls; IQR 12.95 to 17.31 s</t>
        </is>
      </c>
    </row>
    <row r="58" ht="15.95" customHeight="1" s="241">
      <c r="A58" s="152" t="inlineStr">
        <is>
          <t>Human mean per document</t>
        </is>
      </c>
      <c r="B58" s="152" t="inlineStr">
        <is>
          <t>27.9 minutes</t>
        </is>
      </c>
      <c r="C58" s="152" t="inlineStr">
        <is>
          <t>Recorded reading time</t>
        </is>
      </c>
    </row>
    <row r="59" ht="15.95" customHeight="1" s="241">
      <c r="A59" s="154" t="inlineStr">
        <is>
          <t>Human total across the corpus</t>
        </is>
      </c>
      <c r="B59" s="154" t="inlineStr">
        <is>
          <t>195.3 hours</t>
        </is>
      </c>
      <c r="C59" s="154" t="inlineStr">
        <is>
          <t>420 readings across six raters</t>
        </is>
      </c>
    </row>
    <row r="60" ht="15.95" customHeight="1" s="241">
      <c r="A60" s="152" t="inlineStr">
        <is>
          <t>Documents a human could read in the window</t>
        </is>
      </c>
      <c r="B60" s="152" t="inlineStr">
        <is>
          <t>roughly 32</t>
        </is>
      </c>
      <c r="C60" s="152" t="inlineStr">
        <is>
          <t>At the mean reading time, without breaks</t>
        </is>
      </c>
    </row>
    <row r="62" ht="51.95" customHeight="1" s="241">
      <c r="A62" s="238" t="inlineStr">
        <is>
          <t>The operational argument the model wins outright. A desk covering thirty companies reporting on the same evening cannot read them all by the open; the model can. Note that per-event model runtime was not logged, so the seconds figure is an observation rather than a measurement, and the human times carry an unexplained anomaly: transcript-only reads averaged 33.5 minutes against 29.8 for full-document reads, which is counterintuitive and unresolved.</t>
        </is>
      </c>
    </row>
    <row r="64">
      <c r="A64" s="112" t="inlineStr">
        <is>
          <t>Model latency — measured, not assumed</t>
        </is>
      </c>
    </row>
    <row r="65" ht="26.1" customHeight="1" s="241">
      <c r="A65" s="151" t="inlineStr">
        <is>
          <t>Group</t>
        </is>
      </c>
      <c r="B65" s="151" t="inlineStr">
        <is>
          <t>Calls</t>
        </is>
      </c>
      <c r="C65" s="151" t="inlineStr">
        <is>
          <t>Mean (s)</t>
        </is>
      </c>
      <c r="D65" s="151" t="inlineStr">
        <is>
          <t>Median (s)</t>
        </is>
      </c>
      <c r="E65" s="151" t="inlineStr">
        <is>
          <t>Q1 (s)</t>
        </is>
      </c>
      <c r="F65" s="151" t="inlineStr">
        <is>
          <t>Q3 (s)</t>
        </is>
      </c>
      <c r="G65" s="151" t="inlineStr">
        <is>
          <t>Range (s)</t>
        </is>
      </c>
    </row>
    <row r="66" ht="15.95" customHeight="1" s="241">
      <c r="A66" s="152" t="inlineStr">
        <is>
          <t>All micro-layer calls</t>
        </is>
      </c>
      <c r="B66" s="157" t="n">
        <v>624</v>
      </c>
      <c r="C66" s="209" t="n">
        <v>15.92</v>
      </c>
      <c r="D66" s="209" t="n">
        <v>15</v>
      </c>
      <c r="E66" s="209" t="n">
        <v>12.95</v>
      </c>
      <c r="F66" s="209" t="n">
        <v>17.31</v>
      </c>
      <c r="G66" s="152" t="inlineStr">
        <is>
          <t>7.52 to 126.99</t>
        </is>
      </c>
    </row>
    <row r="67" ht="15.95" customHeight="1" s="241">
      <c r="A67" s="154" t="inlineStr">
        <is>
          <t>Frozen events</t>
        </is>
      </c>
      <c r="B67" s="158" t="n">
        <v>523</v>
      </c>
      <c r="C67" s="210" t="n">
        <v>15.86</v>
      </c>
      <c r="D67" s="210" t="n">
        <v>15.1</v>
      </c>
      <c r="E67" s="210" t="n">
        <v>13.03</v>
      </c>
      <c r="F67" s="210" t="n">
        <v>17.82</v>
      </c>
      <c r="G67" s="154" t="inlineStr">
        <is>
          <t>7.52 to 100.65</t>
        </is>
      </c>
    </row>
    <row r="68" ht="15.95" customHeight="1" s="241">
      <c r="A68" s="152" t="inlineStr">
        <is>
          <t>Extension events</t>
        </is>
      </c>
      <c r="B68" s="157" t="n">
        <v>101</v>
      </c>
      <c r="C68" s="209" t="n">
        <v>16.23</v>
      </c>
      <c r="D68" s="209" t="n">
        <v>14.25</v>
      </c>
      <c r="E68" s="209" t="n">
        <v>12.82</v>
      </c>
      <c r="F68" s="209" t="n">
        <v>15.68</v>
      </c>
      <c r="G68" s="152" t="inlineStr">
        <is>
          <t>9.89 to 126.99</t>
        </is>
      </c>
    </row>
    <row r="70" ht="57.95" customHeight="1" s="241">
      <c r="A70" s="238" t="inlineStr">
        <is>
          <t>Per-call latency was logged throughout in the per-issuer run logs and was never surfaced. The legacy Efficiency tab uses an 8-second placeholder that appears in no committed file, and the 212x and 118x speed multiples on that tab were computed from it. Both are superseded by the figures here. Source: model_latency_2026-08-15.csv, drawn from outputs/p2_*/logs/first_run_costs.jsonl across all 91 issuers, success calls only.</t>
        </is>
      </c>
    </row>
    <row r="72">
      <c r="A72" s="112" t="inlineStr">
        <is>
          <t>Speed against the human arm, stated as a range</t>
        </is>
      </c>
    </row>
    <row r="73" ht="26.1" customHeight="1" s="241">
      <c r="A73" s="151" t="inlineStr">
        <is>
          <t>Comparison</t>
        </is>
      </c>
      <c r="B73" s="151" t="inlineStr">
        <is>
          <t>Human</t>
        </is>
      </c>
      <c r="C73" s="151" t="inlineStr">
        <is>
          <t>Model</t>
        </is>
      </c>
      <c r="D73" s="151" t="inlineStr">
        <is>
          <t>Multiple</t>
        </is>
      </c>
      <c r="E73" s="151" t="inlineStr">
        <is>
          <t>Basis</t>
        </is>
      </c>
    </row>
    <row r="74" ht="15.95" customHeight="1" s="241">
      <c r="A74" s="152" t="inlineStr">
        <is>
          <t>Per document, full-document readers</t>
        </is>
      </c>
      <c r="B74" s="152" t="inlineStr">
        <is>
          <t>29.8 min (1,788 s)</t>
        </is>
      </c>
      <c r="C74" s="152" t="inlineStr">
        <is>
          <t>12.95 to 17.31 s</t>
        </is>
      </c>
      <c r="D74" s="152" t="inlineStr">
        <is>
          <t>103x to 138x</t>
        </is>
      </c>
      <c r="E74" s="159" t="inlineStr">
        <is>
          <t>Human full arm against the model interquartile range</t>
        </is>
      </c>
    </row>
    <row r="75" ht="15.95" customHeight="1" s="241">
      <c r="A75" s="154" t="inlineStr">
        <is>
          <t>Per document, all information sets</t>
        </is>
      </c>
      <c r="B75" s="154" t="inlineStr">
        <is>
          <t>27.9 min (1,674 s)</t>
        </is>
      </c>
      <c r="C75" s="154" t="inlineStr">
        <is>
          <t>12.95 to 17.31 s</t>
        </is>
      </c>
      <c r="D75" s="154" t="inlineStr">
        <is>
          <t>97x to 129x</t>
        </is>
      </c>
      <c r="E75" s="154" t="inlineStr">
        <is>
          <t>Human pooled mean against the same range</t>
        </is>
      </c>
    </row>
    <row r="76" ht="15.95" customHeight="1" s="241">
      <c r="A76" s="152" t="inlineStr">
        <is>
          <t>Per correct directional call</t>
        </is>
      </c>
      <c r="B76" s="212" t="inlineStr">
        <is>
          <t>149.2 min</t>
        </is>
      </c>
      <c r="C76" s="152" t="inlineStr">
        <is>
          <t>2.0 min (122.0 s)</t>
        </is>
      </c>
      <c r="D76" s="152" t="inlineStr">
        <is>
          <t>about 73x</t>
        </is>
      </c>
      <c r="E76" s="159" t="inlineStr">
        <is>
          <t>Human full-document arm: 5,668 min over 38 graded-correct readings (re-priced basis); model 8,293 s over 68 correct</t>
        </is>
      </c>
    </row>
    <row r="78" ht="57.95" customHeight="1" s="241">
      <c r="A78" s="238" t="inlineStr">
        <is>
          <t>Reported as a range because latency varies by a factor of six across calls, from 7.5 to 127 seconds, so a single point figure would mislead. The per-correct-call multiple is roughly half the per-document one, because the model holds more often and therefore produces fewer correct calls per unit of time. That is the harder and fairer comparison. Note that the two arms cover different events, so this is an efficiency comparison rather than a like-for-like race.</t>
        </is>
      </c>
    </row>
    <row r="80">
      <c r="A80" s="112" t="inlineStr">
        <is>
          <t>Latency by section arm — the cheaper arm is also the faster one</t>
        </is>
      </c>
    </row>
    <row r="81" ht="26.1" customHeight="1" s="241">
      <c r="A81" s="151" t="inlineStr">
        <is>
          <t>Arm</t>
        </is>
      </c>
      <c r="B81" s="151" t="inlineStr">
        <is>
          <t>Frozen mean (s)</t>
        </is>
      </c>
      <c r="C81" s="151" t="inlineStr">
        <is>
          <t>Frozen median (s)</t>
        </is>
      </c>
      <c r="D81" s="151" t="inlineStr">
        <is>
          <t>Extension mean (s)</t>
        </is>
      </c>
      <c r="E81" s="151" t="inlineStr">
        <is>
          <t>Extension median (s)</t>
        </is>
      </c>
    </row>
    <row r="82" ht="15.95" customHeight="1" s="241">
      <c r="A82" s="152" t="inlineStr">
        <is>
          <t>Full bundle</t>
        </is>
      </c>
      <c r="B82" s="209" t="n">
        <v>16.36</v>
      </c>
      <c r="C82" s="209" t="n">
        <v>15.31</v>
      </c>
      <c r="D82" s="209" t="n">
        <v>17.53</v>
      </c>
      <c r="E82" s="209" t="n">
        <v>15.41</v>
      </c>
    </row>
    <row r="83" ht="15.95" customHeight="1" s="241">
      <c r="A83" s="154" t="inlineStr">
        <is>
          <t>Press release</t>
        </is>
      </c>
      <c r="B83" s="210" t="n">
        <v>14.14</v>
      </c>
      <c r="C83" s="210" t="n">
        <v>13.07</v>
      </c>
      <c r="D83" s="210" t="n">
        <v>13.32</v>
      </c>
      <c r="E83" s="210" t="n">
        <v>13.03</v>
      </c>
    </row>
    <row r="84" ht="15.95" customHeight="1" s="241">
      <c r="A84" s="152" t="inlineStr">
        <is>
          <t>Prepared remarks</t>
        </is>
      </c>
      <c r="B84" s="209" t="n">
        <v>15.34</v>
      </c>
      <c r="C84" s="209" t="n">
        <v>13.99</v>
      </c>
      <c r="D84" s="209" t="n">
        <v>12.52</v>
      </c>
      <c r="E84" s="209" t="n">
        <v>12.09</v>
      </c>
    </row>
    <row r="85" ht="15.95" customHeight="1" s="241">
      <c r="A85" s="154" t="inlineStr">
        <is>
          <t>Q&amp;A only</t>
        </is>
      </c>
      <c r="B85" s="210" t="n">
        <v>13.47</v>
      </c>
      <c r="C85" s="210" t="n">
        <v>13.19</v>
      </c>
      <c r="D85" s="210" t="n">
        <v>13.73</v>
      </c>
      <c r="E85" s="210" t="n">
        <v>13.21</v>
      </c>
    </row>
    <row r="87" ht="45.95" customHeight="1" s="241">
      <c r="A87" s="238" t="inlineStr">
        <is>
          <t>Prepared remarks and press release run 2 to 3 seconds faster than the full bundle, so the cheaper arm is cheaper in tokens, cheaper per correct call and faster. Three independent reasons pointing the same way. Two outliers above 200 seconds were excluded as probable network timeouts and are named in the source file.</t>
        </is>
      </c>
    </row>
    <row r="89">
      <c r="A89" s="112" t="inlineStr">
        <is>
          <t>Why latency barely tracks document length</t>
        </is>
      </c>
    </row>
    <row r="90" ht="26.1" customHeight="1" s="241">
      <c r="A90" s="151" t="inlineStr">
        <is>
          <t>Measure</t>
        </is>
      </c>
      <c r="B90" s="151" t="inlineStr">
        <is>
          <t>Value</t>
        </is>
      </c>
    </row>
    <row r="91" ht="15.95" customHeight="1" s="241">
      <c r="A91" s="152" t="inlineStr">
        <is>
          <t>Rank correlation, tokens against latency</t>
        </is>
      </c>
      <c r="B91" s="152" t="n">
        <v>0.4414</v>
      </c>
    </row>
    <row r="92" ht="15.95" customHeight="1" s="241">
      <c r="A92" s="154" t="inlineStr">
        <is>
          <t>Fitted intercept</t>
        </is>
      </c>
      <c r="B92" s="154" t="inlineStr">
        <is>
          <t>14.08 s</t>
        </is>
      </c>
    </row>
    <row r="93" ht="15.95" customHeight="1" s="241">
      <c r="A93" s="152" t="inlineStr">
        <is>
          <t>Fitted slope</t>
        </is>
      </c>
      <c r="B93" s="152" t="inlineStr">
        <is>
          <t>0.077 s per 1,000 tokens</t>
        </is>
      </c>
    </row>
    <row r="94" ht="15.95" customHeight="1" s="241">
      <c r="A94" s="154" t="inlineStr">
        <is>
          <t>Predicted at 10,000 tokens</t>
        </is>
      </c>
      <c r="B94" s="154" t="inlineStr">
        <is>
          <t>14.85 s</t>
        </is>
      </c>
    </row>
    <row r="95" ht="15.95" customHeight="1" s="241">
      <c r="A95" s="152" t="inlineStr">
        <is>
          <t>Predicted at 30,000 tokens</t>
        </is>
      </c>
      <c r="B95" s="152" t="inlineStr">
        <is>
          <t>16.38 s</t>
        </is>
      </c>
    </row>
    <row r="96" ht="15.95" customHeight="1" s="241">
      <c r="A96" s="154" t="inlineStr">
        <is>
          <t>Predicted at 50,000 tokens</t>
        </is>
      </c>
      <c r="B96" s="154" t="inlineStr">
        <is>
          <t>17.91 s</t>
        </is>
      </c>
    </row>
    <row r="98" ht="57.95" customHeight="1" s="241">
      <c r="A98" s="238" t="inlineStr">
        <is>
          <t>Most of the 14-second baseline is network and queue overhead rather than reading, so a 30,000-token full bundle is only about 1.5 seconds slower than a 13,000-token press release. Two consequences worth stating: the speed advantage does not erode with document length, so it holds for long filings as well as short releases; and the 2 to 3 second gap between section arms is mostly a token-count effect rather than anything about the sections themselves.</t>
        </is>
      </c>
    </row>
  </sheetData>
  <mergeCells count="9">
    <mergeCell ref="A62:E62"/>
    <mergeCell ref="A98:F98"/>
    <mergeCell ref="A2:E2"/>
    <mergeCell ref="A52:E52"/>
    <mergeCell ref="A42:E42"/>
    <mergeCell ref="A70:F70"/>
    <mergeCell ref="A32:E32"/>
    <mergeCell ref="A78:F78"/>
    <mergeCell ref="A87:F87"/>
  </mergeCells>
  <pageMargins left="0.75" right="0.75" top="1" bottom="1" header="0.5" footer="0.5"/>
  <pageSetup orientation="landscape" fitToHeight="0"/>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tabColor rgb="FF013B70"/>
    <outlinePr summaryBelow="1" summaryRight="1"/>
    <pageSetUpPr fitToPage="1"/>
  </sheetPr>
  <dimension ref="A2:G31"/>
  <sheetViews>
    <sheetView showGridLines="0" workbookViewId="0">
      <pane ySplit="4" topLeftCell="A5" activePane="bottomLeft" state="frozen"/>
      <selection pane="bottomLeft" activeCell="A1" sqref="A1"/>
    </sheetView>
  </sheetViews>
  <sheetFormatPr baseColWidth="8" defaultColWidth="8.85546875" defaultRowHeight="15"/>
  <cols>
    <col width="24" customWidth="1" style="241" min="1" max="1"/>
    <col width="15" customWidth="1" style="241" min="2" max="2"/>
    <col width="17" customWidth="1" style="241" min="3" max="4"/>
    <col width="12" customWidth="1" style="241" min="5" max="5"/>
    <col width="16" customWidth="1" style="241" min="6" max="6"/>
    <col width="18" customWidth="1" style="241" min="7" max="7"/>
    <col width="24" customWidth="1" style="241" min="8" max="8"/>
    <col width="11" customWidth="1" style="241" min="9" max="16"/>
  </cols>
  <sheetData>
    <row r="1" ht="15.95" customHeight="1" s="241"/>
    <row r="2" ht="30" customHeight="1" s="241">
      <c r="A2" s="115" t="inlineStr">
        <is>
          <t>(a) Model call vs realised outcome — N=232 clean events, pre-registered ±2% overnight band</t>
        </is>
      </c>
    </row>
    <row r="3" ht="15.95" customHeight="1" s="241"/>
    <row r="4" ht="15.95" customHeight="1" s="241">
      <c r="A4" s="96" t="n"/>
      <c r="B4" s="151" t="inlineStr">
        <is>
          <t>Outcome UP (ret&gt;2%)</t>
        </is>
      </c>
      <c r="C4" s="151" t="inlineStr">
        <is>
          <t>Outcome FLAT (|ret|≤2%)</t>
        </is>
      </c>
      <c r="D4" s="151" t="inlineStr">
        <is>
          <t>Outcome DOWN (ret&lt;-2%)</t>
        </is>
      </c>
      <c r="E4" s="151" t="inlineStr">
        <is>
          <t>Row total</t>
        </is>
      </c>
      <c r="F4" s="151" t="inlineStr">
        <is>
          <t>Precision (correct/called_dir)</t>
        </is>
      </c>
      <c r="G4" s="151" t="inlineStr">
        <is>
          <t>Recall (correct/realised_dir)</t>
        </is>
      </c>
    </row>
    <row r="5" ht="15.95" customHeight="1" s="241">
      <c r="A5" t="inlineStr">
        <is>
          <t>Call BUY</t>
        </is>
      </c>
      <c r="B5">
        <f>COUNTIFS(LLM_Data_Entry!$BA$3:$BA$354,"YES",LLM_Data_Entry!$H$3:$H$354,"BUY",LLM_Data_Entry!$Q$3:$Q$354,"UP")</f>
        <v/>
      </c>
      <c r="C5">
        <f>COUNTIFS(LLM_Data_Entry!$BA$3:$BA$354,"YES",LLM_Data_Entry!$H$3:$H$354,"BUY",LLM_Data_Entry!$Q$3:$Q$354,"FLAT")</f>
        <v/>
      </c>
      <c r="D5">
        <f>COUNTIFS(LLM_Data_Entry!$BA$3:$BA$354,"YES",LLM_Data_Entry!$H$3:$H$354,"BUY",LLM_Data_Entry!$Q$3:$Q$354,"DOWN")</f>
        <v/>
      </c>
      <c r="E5">
        <f>SUM(B5:D5)</f>
        <v/>
      </c>
      <c r="F5">
        <f>B5&amp;"/"&amp;E5</f>
        <v/>
      </c>
    </row>
    <row r="6" ht="15.95" customHeight="1" s="241">
      <c r="A6" t="inlineStr">
        <is>
          <t>Call HOLD</t>
        </is>
      </c>
      <c r="B6">
        <f>COUNTIFS(LLM_Data_Entry!$BA$3:$BA$354,"YES",LLM_Data_Entry!$H$3:$H$354,"HOLD",LLM_Data_Entry!$Q$3:$Q$354,"UP")</f>
        <v/>
      </c>
      <c r="C6">
        <f>COUNTIFS(LLM_Data_Entry!$BA$3:$BA$354,"YES",LLM_Data_Entry!$H$3:$H$354,"HOLD",LLM_Data_Entry!$Q$3:$Q$354,"FLAT")</f>
        <v/>
      </c>
      <c r="D6">
        <f>COUNTIFS(LLM_Data_Entry!$BA$3:$BA$354,"YES",LLM_Data_Entry!$H$3:$H$354,"HOLD",LLM_Data_Entry!$Q$3:$Q$354,"DOWN")</f>
        <v/>
      </c>
      <c r="E6">
        <f>SUM(B6:D6)</f>
        <v/>
      </c>
      <c r="F6">
        <f>C6&amp;"/"&amp;E6</f>
        <v/>
      </c>
    </row>
    <row r="7" ht="15.95" customHeight="1" s="241">
      <c r="A7" t="inlineStr">
        <is>
          <t>Call SELL</t>
        </is>
      </c>
      <c r="B7">
        <f>COUNTIFS(LLM_Data_Entry!$BA$3:$BA$354,"YES",LLM_Data_Entry!$H$3:$H$354,"SELL",LLM_Data_Entry!$Q$3:$Q$354,"UP")</f>
        <v/>
      </c>
      <c r="C7">
        <f>COUNTIFS(LLM_Data_Entry!$BA$3:$BA$354,"YES",LLM_Data_Entry!$H$3:$H$354,"SELL",LLM_Data_Entry!$Q$3:$Q$354,"FLAT")</f>
        <v/>
      </c>
      <c r="D7">
        <f>COUNTIFS(LLM_Data_Entry!$BA$3:$BA$354,"YES",LLM_Data_Entry!$H$3:$H$354,"SELL",LLM_Data_Entry!$Q$3:$Q$354,"DOWN")</f>
        <v/>
      </c>
      <c r="E7">
        <f>SUM(B7:D7)</f>
        <v/>
      </c>
      <c r="F7">
        <f>D7&amp;"/"&amp;E7</f>
        <v/>
      </c>
    </row>
    <row r="8" ht="15.95" customHeight="1" s="241">
      <c r="A8" t="inlineStr">
        <is>
          <t>Col total</t>
        </is>
      </c>
      <c r="B8">
        <f>SUM(B5:B7)</f>
        <v/>
      </c>
      <c r="C8">
        <f>SUM(C5:C7)</f>
        <v/>
      </c>
      <c r="D8">
        <f>SUM(D5:D7)</f>
        <v/>
      </c>
      <c r="E8">
        <f>SUM(B8:D8)</f>
        <v/>
      </c>
    </row>
    <row r="9" ht="15.95" customHeight="1" s="241">
      <c r="A9" t="inlineStr">
        <is>
          <t>Recall (correct/total_in_direction)</t>
        </is>
      </c>
      <c r="B9">
        <f>B5&amp;"/"&amp;B8</f>
        <v/>
      </c>
      <c r="C9">
        <f>C6&amp;"/"&amp;C8</f>
        <v/>
      </c>
      <c r="D9">
        <f>D7&amp;"/"&amp;D8</f>
        <v/>
      </c>
    </row>
    <row r="10" ht="45.95" customHeight="1" s="241">
      <c r="A10" s="101">
        <f>"Note: BUY-called-DOWN and SELL-called-UP are the costly directional errors. HOLD row against UP and DOWN is the coverage gap ("&amp;(B6+D6)&amp;" events that moved but were passed on). Matrix (a) is computed live from LLM_Data_Entry (In Clean Universe = YES); it previously held figures from a superseded threshold vintage that did not tie to the funnel."</f>
        <v/>
      </c>
    </row>
    <row r="11" ht="15.95" customHeight="1" s="241"/>
    <row r="12" ht="30" customHeight="1" s="241">
      <c r="A12" s="115" t="inlineStr">
        <is>
          <t>(b) Human arm vs realised outcome — N=170 paired events (section=All, first_rater=YES, in_llm=YES, exclusions applied)</t>
        </is>
      </c>
    </row>
    <row r="13" ht="15.95" customHeight="1" s="241"/>
    <row r="14" ht="15.95" customHeight="1" s="241">
      <c r="A14" s="96" t="n"/>
      <c r="B14" t="inlineStr">
        <is>
          <t>Outcome UP (ret&gt;2%)</t>
        </is>
      </c>
      <c r="C14" t="inlineStr">
        <is>
          <t>Outcome FLAT (|ret|≤2%)</t>
        </is>
      </c>
      <c r="D14" t="inlineStr">
        <is>
          <t>Outcome DOWN (ret&lt;-2%)</t>
        </is>
      </c>
      <c r="E14" t="inlineStr">
        <is>
          <t>Row total</t>
        </is>
      </c>
    </row>
    <row r="15" ht="15.95" customHeight="1" s="241">
      <c r="A15" t="inlineStr">
        <is>
          <t>Call BUY</t>
        </is>
      </c>
      <c r="B15" t="n">
        <v>27</v>
      </c>
      <c r="C15" t="n">
        <v>40</v>
      </c>
      <c r="D15" t="n">
        <v>28</v>
      </c>
      <c r="E15" t="n">
        <v>95</v>
      </c>
    </row>
    <row r="16" ht="15.95" customHeight="1" s="241">
      <c r="A16" t="inlineStr">
        <is>
          <t>Call HOLD</t>
        </is>
      </c>
      <c r="B16" t="n">
        <v>5</v>
      </c>
      <c r="C16" t="n">
        <v>20</v>
      </c>
      <c r="D16" t="n">
        <v>15</v>
      </c>
      <c r="E16" t="n">
        <v>40</v>
      </c>
    </row>
    <row r="17" ht="15.95" customHeight="1" s="241">
      <c r="A17" t="inlineStr">
        <is>
          <t>Call SELL</t>
        </is>
      </c>
      <c r="B17" t="n">
        <v>6</v>
      </c>
      <c r="C17" t="n">
        <v>12</v>
      </c>
      <c r="D17" t="n">
        <v>17</v>
      </c>
      <c r="E17" t="n">
        <v>35</v>
      </c>
    </row>
    <row r="18" ht="15.95" customHeight="1" s="241">
      <c r="A18" t="inlineStr">
        <is>
          <t>Col total</t>
        </is>
      </c>
      <c r="B18" t="n">
        <v>38</v>
      </c>
      <c r="C18" t="n">
        <v>72</v>
      </c>
      <c r="D18" t="n">
        <v>60</v>
      </c>
      <c r="E18" t="n">
        <v>170</v>
      </c>
    </row>
    <row r="19" ht="30" customHeight="1" s="241">
      <c r="A19" s="101" t="inlineStr">
        <is>
          <t>Source: human_decisions_export_2026-08-12.csv + returns_matrix.csv</t>
        </is>
      </c>
    </row>
    <row r="20" ht="15.95" customHeight="1" s="241"/>
    <row r="21" ht="30" customHeight="1" s="241">
      <c r="A21" s="115" t="inlineStr">
        <is>
          <t>(c) Human vs model agreement — N=170 paired events. Source: kappa_near_independence.csv (the committed CSV still holds the pre-exclusion 171-pair grid; this grid is that crosstab less DIS_FQ1_2025, verified against the paired rows in Human_Data_Entry and by re-running the script at the deployed constants)</t>
        </is>
      </c>
    </row>
    <row r="22" ht="15.95" customHeight="1" s="241"/>
    <row r="23" ht="15.95" customHeight="1" s="241">
      <c r="A23" s="96" t="inlineStr">
        <is>
          <t>Human call \ LLM call</t>
        </is>
      </c>
      <c r="B23" t="inlineStr">
        <is>
          <t>LLM BUY</t>
        </is>
      </c>
      <c r="C23" t="inlineStr">
        <is>
          <t>LLM HOLD</t>
        </is>
      </c>
      <c r="D23" t="inlineStr">
        <is>
          <t>LLM SELL</t>
        </is>
      </c>
      <c r="E23" t="inlineStr">
        <is>
          <t>Row total</t>
        </is>
      </c>
    </row>
    <row r="24" ht="15.95" customHeight="1" s="241">
      <c r="A24" t="inlineStr">
        <is>
          <t>Human BUY</t>
        </is>
      </c>
      <c r="B24" t="n">
        <v>53</v>
      </c>
      <c r="C24" t="n">
        <v>32</v>
      </c>
      <c r="D24" t="n">
        <v>10</v>
      </c>
      <c r="E24">
        <f>SUM(B24:D24)</f>
        <v/>
      </c>
    </row>
    <row r="25" ht="15.95" customHeight="1" s="241">
      <c r="A25" t="inlineStr">
        <is>
          <t>Human HOLD</t>
        </is>
      </c>
      <c r="B25" t="n">
        <v>13</v>
      </c>
      <c r="C25" t="n">
        <v>8</v>
      </c>
      <c r="D25" t="n">
        <v>19</v>
      </c>
      <c r="E25">
        <f>SUM(B25:D25)</f>
        <v/>
      </c>
    </row>
    <row r="26" ht="15.95" customHeight="1" s="241">
      <c r="A26" t="inlineStr">
        <is>
          <t>Human SELL</t>
        </is>
      </c>
      <c r="B26" t="n">
        <v>6</v>
      </c>
      <c r="C26" t="n">
        <v>13</v>
      </c>
      <c r="D26" t="n">
        <v>16</v>
      </c>
      <c r="E26">
        <f>SUM(B26:D26)</f>
        <v/>
      </c>
    </row>
    <row r="27" ht="15.95" customHeight="1" s="241"/>
    <row r="28" ht="15.95" customHeight="1" s="241">
      <c r="A28" t="inlineStr">
        <is>
          <t>Kappa</t>
        </is>
      </c>
      <c r="B28" s="218" t="inlineStr">
        <is>
          <t>0.1391</t>
        </is>
      </c>
    </row>
    <row r="29" ht="15.95" customHeight="1" s="241">
      <c r="A29" t="inlineStr">
        <is>
          <t>90% CI</t>
        </is>
      </c>
      <c r="B29" t="inlineStr">
        <is>
          <t>[0.049, 0.229]</t>
        </is>
      </c>
    </row>
    <row r="30" ht="15.95" customHeight="1" s="241">
      <c r="A30" t="inlineStr">
        <is>
          <t>Observed agreement</t>
        </is>
      </c>
      <c r="B30" s="218" t="inlineStr">
        <is>
          <t>0.4529</t>
        </is>
      </c>
    </row>
    <row r="31" ht="15.95" customHeight="1" s="241">
      <c r="A31" t="inlineStr">
        <is>
          <t>Expected agreement</t>
        </is>
      </c>
      <c r="B31" s="218" t="inlineStr">
        <is>
          <t>0.3645</t>
        </is>
      </c>
    </row>
  </sheetData>
  <conditionalFormatting sqref="B5:D7">
    <cfRule type="colorScale" priority="1">
      <colorScale>
        <cfvo type="min"/>
        <cfvo type="max"/>
        <color rgb="FFFFFFFF"/>
        <color rgb="FF9DC3E6"/>
      </colorScale>
    </cfRule>
  </conditionalFormatting>
  <conditionalFormatting sqref="B15:D17">
    <cfRule type="colorScale" priority="2">
      <colorScale>
        <cfvo type="min"/>
        <cfvo type="max"/>
        <color rgb="FFFFFFFF"/>
        <color rgb="FFF4B183"/>
      </colorScale>
    </cfRule>
  </conditionalFormatting>
  <pageMargins left="0.75" right="0.75" top="1" bottom="1" header="0.5" footer="0.5"/>
  <pageSetup orientation="landscape" fitToHeight="0"/>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tabColor rgb="FF013B70"/>
    <outlinePr summaryBelow="1" summaryRight="1"/>
    <pageSetUpPr fitToPage="1"/>
  </sheetPr>
  <dimension ref="A1:J24"/>
  <sheetViews>
    <sheetView showGridLines="0" workbookViewId="0">
      <pane ySplit="2" topLeftCell="A3" activePane="bottomLeft" state="frozen"/>
      <selection pane="bottomLeft" activeCell="A1" sqref="A1"/>
    </sheetView>
  </sheetViews>
  <sheetFormatPr baseColWidth="8" defaultColWidth="8.85546875" defaultRowHeight="15"/>
  <cols>
    <col width="46" customWidth="1" style="241" min="1" max="1"/>
    <col width="18" customWidth="1" style="241" min="2" max="2"/>
    <col width="41" customWidth="1" style="241" min="3" max="3"/>
    <col width="10" customWidth="1" style="241" min="4" max="4"/>
    <col width="12" customWidth="1" style="241" min="5" max="5"/>
    <col width="24" customWidth="1" style="241" min="6" max="6"/>
    <col width="22" customWidth="1" style="241" min="7" max="7"/>
    <col width="16" customWidth="1" style="241" min="8" max="8"/>
    <col width="20" customWidth="1" style="241" min="9" max="9"/>
    <col width="46" customWidth="1" style="241" min="10" max="10"/>
  </cols>
  <sheetData>
    <row r="1" ht="15.95" customHeight="1" s="241">
      <c r="A1" s="96" t="inlineStr">
        <is>
          <t>PER-ARM ACCURACY AND COST</t>
        </is>
      </c>
    </row>
    <row r="2" ht="15.95" customHeight="1" s="241">
      <c r="A2" s="151" t="inlineStr">
        <is>
          <t>event_set</t>
        </is>
      </c>
      <c r="B2" s="151" t="inlineStr">
        <is>
          <t>arm</t>
        </is>
      </c>
      <c r="C2" s="151" t="inlineStr">
        <is>
          <t>n_calls</t>
        </is>
      </c>
      <c r="D2" s="151" t="inlineStr">
        <is>
          <t>n_graded</t>
        </is>
      </c>
      <c r="E2" s="151" t="inlineStr">
        <is>
          <t>n_correct</t>
        </is>
      </c>
      <c r="F2" s="151" t="inlineStr">
        <is>
          <t>accuracy_hold_excluded</t>
        </is>
      </c>
      <c r="G2" s="151" t="inlineStr">
        <is>
          <t>mean_tokens_per_call</t>
        </is>
      </c>
      <c r="H2" s="151" t="inlineStr">
        <is>
          <t>total_cost_usd</t>
        </is>
      </c>
      <c r="I2" s="151" t="inlineStr">
        <is>
          <t>cost_per_call_usd</t>
        </is>
      </c>
      <c r="J2" s="151" t="inlineStr">
        <is>
          <t>cost_per_correct_usd</t>
        </is>
      </c>
    </row>
    <row r="3" ht="15.95" customHeight="1" s="241">
      <c r="A3" t="inlineStr">
        <is>
          <t>four_arm_n119</t>
        </is>
      </c>
      <c r="B3" t="inlineStr">
        <is>
          <t>full_bundle</t>
        </is>
      </c>
      <c r="C3" t="inlineStr">
        <is>
          <t>119</t>
        </is>
      </c>
      <c r="D3" s="218" t="inlineStr">
        <is>
          <t>48</t>
        </is>
      </c>
      <c r="E3" s="218" t="inlineStr">
        <is>
          <t>31</t>
        </is>
      </c>
      <c r="F3" s="249">
        <f>E3/D3</f>
        <v/>
      </c>
      <c r="G3" t="inlineStr">
        <is>
          <t>30096</t>
        </is>
      </c>
      <c r="H3" t="inlineStr">
        <is>
          <t>1.1441</t>
        </is>
      </c>
      <c r="I3" t="inlineStr">
        <is>
          <t>0.0096</t>
        </is>
      </c>
      <c r="J3" s="249">
        <f>H3/E3</f>
        <v/>
      </c>
    </row>
    <row r="4" ht="15.95" customHeight="1" s="241">
      <c r="A4" t="inlineStr">
        <is>
          <t>four_arm_n119</t>
        </is>
      </c>
      <c r="B4" t="inlineStr">
        <is>
          <t>press_release</t>
        </is>
      </c>
      <c r="C4" t="inlineStr">
        <is>
          <t>119</t>
        </is>
      </c>
      <c r="D4" t="inlineStr">
        <is>
          <t>37</t>
        </is>
      </c>
      <c r="E4" t="inlineStr">
        <is>
          <t>24</t>
        </is>
      </c>
      <c r="F4" s="249">
        <f>E4/D4</f>
        <v/>
      </c>
      <c r="G4" t="inlineStr">
        <is>
          <t>13030</t>
        </is>
      </c>
      <c r="H4" t="inlineStr">
        <is>
          <t>0.5394</t>
        </is>
      </c>
      <c r="I4" t="inlineStr">
        <is>
          <t>0.0045</t>
        </is>
      </c>
      <c r="J4" s="249">
        <f>H4/E4</f>
        <v/>
      </c>
    </row>
    <row r="5" ht="15.95" customHeight="1" s="241">
      <c r="A5" t="inlineStr">
        <is>
          <t>four_arm_n119</t>
        </is>
      </c>
      <c r="B5" t="inlineStr">
        <is>
          <t>prepared_remarks</t>
        </is>
      </c>
      <c r="C5" t="inlineStr">
        <is>
          <t>119</t>
        </is>
      </c>
      <c r="D5" s="218" t="inlineStr">
        <is>
          <t>45</t>
        </is>
      </c>
      <c r="E5" s="218" t="inlineStr">
        <is>
          <t>29</t>
        </is>
      </c>
      <c r="F5" s="249">
        <f>E5/D5</f>
        <v/>
      </c>
      <c r="G5" t="inlineStr">
        <is>
          <t>10287</t>
        </is>
      </c>
      <c r="H5" t="inlineStr">
        <is>
          <t>0.5412</t>
        </is>
      </c>
      <c r="I5" t="inlineStr">
        <is>
          <t>0.0045</t>
        </is>
      </c>
      <c r="J5" s="249">
        <f>H5/E5</f>
        <v/>
      </c>
    </row>
    <row r="6" ht="15.95" customHeight="1" s="241">
      <c r="A6" t="inlineStr">
        <is>
          <t>four_arm_n119</t>
        </is>
      </c>
      <c r="B6" t="inlineStr">
        <is>
          <t>qa_only</t>
        </is>
      </c>
      <c r="C6" t="inlineStr">
        <is>
          <t>119</t>
        </is>
      </c>
      <c r="D6" s="218" t="inlineStr">
        <is>
          <t>39</t>
        </is>
      </c>
      <c r="E6" s="218" t="inlineStr">
        <is>
          <t>27</t>
        </is>
      </c>
      <c r="F6" s="249">
        <f>E6/D6</f>
        <v/>
      </c>
      <c r="G6" t="inlineStr">
        <is>
          <t>13163</t>
        </is>
      </c>
      <c r="H6" t="inlineStr">
        <is>
          <t>0.5952</t>
        </is>
      </c>
      <c r="I6" t="inlineStr">
        <is>
          <t>0.005</t>
        </is>
      </c>
      <c r="J6" s="249">
        <f>H6/E6</f>
        <v/>
      </c>
    </row>
    <row r="7" ht="15.95" customHeight="1" s="241">
      <c r="A7" t="inlineStr">
        <is>
          <t>all_n200</t>
        </is>
      </c>
      <c r="B7" t="inlineStr">
        <is>
          <t>full_bundle</t>
        </is>
      </c>
      <c r="C7" t="inlineStr">
        <is>
          <t>200</t>
        </is>
      </c>
      <c r="D7" t="inlineStr">
        <is>
          <t>70</t>
        </is>
      </c>
      <c r="E7" t="inlineStr">
        <is>
          <t>46</t>
        </is>
      </c>
      <c r="F7" s="249">
        <f>E7/D7</f>
        <v/>
      </c>
      <c r="G7" t="inlineStr">
        <is>
          <t>33130</t>
        </is>
      </c>
      <c r="H7" t="inlineStr">
        <is>
          <t>2.1166</t>
        </is>
      </c>
      <c r="I7" t="inlineStr">
        <is>
          <t>0.0106</t>
        </is>
      </c>
      <c r="J7" s="249">
        <f>H7/E7</f>
        <v/>
      </c>
    </row>
    <row r="8" ht="15.95" customHeight="1" s="241">
      <c r="A8" t="inlineStr">
        <is>
          <t>all_n200</t>
        </is>
      </c>
      <c r="B8" t="inlineStr">
        <is>
          <t>press_release</t>
        </is>
      </c>
      <c r="C8" t="inlineStr">
        <is>
          <t>200</t>
        </is>
      </c>
      <c r="D8" t="inlineStr">
        <is>
          <t>56</t>
        </is>
      </c>
      <c r="E8" t="inlineStr">
        <is>
          <t>35</t>
        </is>
      </c>
      <c r="F8" s="249">
        <f>E8/D8</f>
        <v/>
      </c>
      <c r="G8" t="inlineStr">
        <is>
          <t>15298</t>
        </is>
      </c>
      <c r="H8" t="inlineStr">
        <is>
          <t>1.0149</t>
        </is>
      </c>
      <c r="I8" t="inlineStr">
        <is>
          <t>0.0051</t>
        </is>
      </c>
      <c r="J8" s="249">
        <f>H8/E8</f>
        <v/>
      </c>
    </row>
    <row r="9" ht="15.95" customHeight="1" s="241">
      <c r="A9" t="inlineStr">
        <is>
          <t>all_n200</t>
        </is>
      </c>
      <c r="B9" t="inlineStr">
        <is>
          <t>prepared_remarks</t>
        </is>
      </c>
      <c r="C9" t="inlineStr">
        <is>
          <t>119</t>
        </is>
      </c>
      <c r="D9" t="n">
        <v>45</v>
      </c>
      <c r="E9" t="n">
        <v>29</v>
      </c>
      <c r="F9" s="249">
        <f>E9/D9</f>
        <v/>
      </c>
      <c r="G9" t="inlineStr">
        <is>
          <t>10287</t>
        </is>
      </c>
      <c r="H9" t="inlineStr">
        <is>
          <t>0.5412</t>
        </is>
      </c>
      <c r="I9" t="inlineStr">
        <is>
          <t>0.0045</t>
        </is>
      </c>
      <c r="J9" s="249">
        <f>H9/E9</f>
        <v/>
      </c>
    </row>
    <row r="10" ht="15.95" customHeight="1" s="241">
      <c r="A10" t="inlineStr">
        <is>
          <t>all_n200</t>
        </is>
      </c>
      <c r="B10" t="inlineStr">
        <is>
          <t>qa_only</t>
        </is>
      </c>
      <c r="C10" t="inlineStr">
        <is>
          <t>119</t>
        </is>
      </c>
      <c r="D10" t="n">
        <v>39</v>
      </c>
      <c r="E10" t="n">
        <v>27</v>
      </c>
      <c r="F10" s="249">
        <f>E10/D10</f>
        <v/>
      </c>
      <c r="G10" t="inlineStr">
        <is>
          <t>13163</t>
        </is>
      </c>
      <c r="H10" t="inlineStr">
        <is>
          <t>0.5952</t>
        </is>
      </c>
      <c r="I10" t="inlineStr">
        <is>
          <t>0.005</t>
        </is>
      </c>
      <c r="J10" s="249">
        <f>H10/E10</f>
        <v/>
      </c>
    </row>
    <row r="11" ht="15.95" customHeight="1" s="241"/>
    <row r="12" ht="45.95" customHeight="1" s="241">
      <c r="A12" s="101" t="inlineStr">
        <is>
          <t>Note: figures from section_ablation_cost_per_correct.csv DATA ROWS ONLY. four_arm_n119 = events where all 4 arms scored. all_n200 = full scored set for full_bundle and press_release.</t>
        </is>
      </c>
    </row>
    <row r="13" ht="15.95" customHeight="1" s="241"/>
    <row r="14" ht="15.95" customHeight="1" s="241">
      <c r="A14" s="96" t="inlineStr">
        <is>
          <t>PAIRED DIFFERENCES VS FULL BUNDLE</t>
        </is>
      </c>
    </row>
    <row r="15" ht="15.95" customHeight="1" s="241">
      <c r="A15" s="96" t="inlineStr">
        <is>
          <t>comparison</t>
        </is>
      </c>
      <c r="B15" s="96" t="inlineStr">
        <is>
          <t>set</t>
        </is>
      </c>
      <c r="C15" s="96" t="inlineStr">
        <is>
          <t>method</t>
        </is>
      </c>
      <c r="D15" s="96" t="inlineStr">
        <is>
          <t>n_paired</t>
        </is>
      </c>
      <c r="E15" s="96" t="inlineStr">
        <is>
          <t>point_diff</t>
        </is>
      </c>
      <c r="F15" s="96" t="inlineStr">
        <is>
          <t>ci_low</t>
        </is>
      </c>
      <c r="G15" s="96" t="inlineStr">
        <is>
          <t>ci_high</t>
        </is>
      </c>
      <c r="H15" s="96" t="inlineStr">
        <is>
          <t>p_value</t>
        </is>
      </c>
      <c r="I15" s="96" t="inlineStr">
        <is>
          <t>metric</t>
        </is>
      </c>
      <c r="J15" s="96" t="inlineStr">
        <is>
          <t>note</t>
        </is>
      </c>
    </row>
    <row r="16" ht="30" customHeight="1" s="241">
      <c r="A16" t="inlineStr">
        <is>
          <t>press_release vs full_bundle</t>
        </is>
      </c>
      <c r="B16" t="inlineStr">
        <is>
          <t>four_arm</t>
        </is>
      </c>
      <c r="C16" t="inlineStr">
        <is>
          <t>strict (both graded)</t>
        </is>
      </c>
      <c r="D16" s="214" t="inlineStr">
        <is>
          <t>36</t>
        </is>
      </c>
      <c r="E16" s="214" t="inlineStr">
        <is>
          <t>0.0278</t>
        </is>
      </c>
      <c r="F16" t="inlineStr">
        <is>
          <t>0.0</t>
        </is>
      </c>
      <c r="G16" s="214" t="inlineStr">
        <is>
          <t>0.0833</t>
        </is>
      </c>
      <c r="H16" s="214" t="inlineStr">
        <is>
          <t>0.7162</t>
        </is>
      </c>
      <c r="I16" t="inlineStr">
        <is>
          <t>accuracy_overnight</t>
        </is>
      </c>
      <c r="J16" s="101" t="inlineStr">
        <is>
          <t>On the 36 both-graded events the press release is +2.8pp (p=0.72); the old zero-information identity did not survive the corrected returns</t>
        </is>
      </c>
    </row>
    <row r="17" ht="30" customHeight="1" s="241">
      <c r="A17" t="inlineStr">
        <is>
          <t>press_release vs full_bundle</t>
        </is>
      </c>
      <c r="B17" t="inlineStr">
        <is>
          <t>four_arm</t>
        </is>
      </c>
      <c r="C17" t="inlineStr">
        <is>
          <t>inclusive (either graded, ungraded=0.5)</t>
        </is>
      </c>
      <c r="D17" s="214" t="inlineStr">
        <is>
          <t>49</t>
        </is>
      </c>
      <c r="E17" s="214" t="inlineStr">
        <is>
          <t>-0.0306</t>
        </is>
      </c>
      <c r="F17" s="214" t="inlineStr">
        <is>
          <t>-0.1020</t>
        </is>
      </c>
      <c r="G17" s="214" t="inlineStr">
        <is>
          <t>0.0408</t>
        </is>
      </c>
      <c r="H17" s="214" t="inlineStr">
        <is>
          <t>0.5346</t>
        </is>
      </c>
      <c r="I17" t="inlineStr">
        <is>
          <t>accuracy_overnight</t>
        </is>
      </c>
      <c r="J17" s="101" t="inlineStr">
        <is>
          <t>Full bundle +3.1pp inclusive (p=0.53) — inside the ±12pp paired MDE</t>
        </is>
      </c>
    </row>
    <row r="18" ht="15.95" customHeight="1" s="241">
      <c r="A18" t="inlineStr">
        <is>
          <t>prepared_remarks vs full_bundle</t>
        </is>
      </c>
      <c r="B18" t="inlineStr">
        <is>
          <t>four_arm</t>
        </is>
      </c>
      <c r="C18" t="inlineStr">
        <is>
          <t>strict (both graded)</t>
        </is>
      </c>
      <c r="D18" s="214" t="inlineStr">
        <is>
          <t>43</t>
        </is>
      </c>
      <c r="E18" s="214" t="inlineStr">
        <is>
          <t>-0.0233</t>
        </is>
      </c>
      <c r="F18" s="214" t="inlineStr">
        <is>
          <t>-0.0698</t>
        </is>
      </c>
      <c r="G18" t="inlineStr">
        <is>
          <t>0.0</t>
        </is>
      </c>
      <c r="H18" t="inlineStr">
        <is>
          <t>0.7284</t>
        </is>
      </c>
      <c r="I18" t="inlineStr">
        <is>
          <t>accuracy_overnight</t>
        </is>
      </c>
    </row>
    <row r="19" ht="15.95" customHeight="1" s="241">
      <c r="A19" t="inlineStr">
        <is>
          <t>prepared_remarks vs full_bundle</t>
        </is>
      </c>
      <c r="B19" t="inlineStr">
        <is>
          <t>four_arm</t>
        </is>
      </c>
      <c r="C19" t="inlineStr">
        <is>
          <t>inclusive (either graded, ungraded=0.5)</t>
        </is>
      </c>
      <c r="D19" s="214" t="inlineStr">
        <is>
          <t>50</t>
        </is>
      </c>
      <c r="E19" s="214" t="inlineStr">
        <is>
          <t>-0.0100</t>
        </is>
      </c>
      <c r="F19" s="214" t="inlineStr">
        <is>
          <t>-0.0700</t>
        </is>
      </c>
      <c r="G19" s="214" t="inlineStr">
        <is>
          <t>0.0400</t>
        </is>
      </c>
      <c r="H19" s="214" t="inlineStr">
        <is>
          <t>0.8994</t>
        </is>
      </c>
      <c r="I19" t="inlineStr">
        <is>
          <t>accuracy_overnight</t>
        </is>
      </c>
    </row>
    <row r="20" ht="15.95" customHeight="1" s="241">
      <c r="A20" t="inlineStr">
        <is>
          <t>qa_only vs full_bundle</t>
        </is>
      </c>
      <c r="B20" t="inlineStr">
        <is>
          <t>four_arm</t>
        </is>
      </c>
      <c r="C20" t="inlineStr">
        <is>
          <t>strict (both graded)</t>
        </is>
      </c>
      <c r="D20" s="214" t="inlineStr">
        <is>
          <t>38</t>
        </is>
      </c>
      <c r="E20" s="214" t="inlineStr">
        <is>
          <t>0.0263</t>
        </is>
      </c>
      <c r="F20" s="214" t="inlineStr">
        <is>
          <t>-0.0526</t>
        </is>
      </c>
      <c r="G20" s="214" t="inlineStr">
        <is>
          <t>0.1053</t>
        </is>
      </c>
      <c r="H20" s="214" t="inlineStr">
        <is>
          <t>0.7804</t>
        </is>
      </c>
      <c r="I20" t="inlineStr">
        <is>
          <t>accuracy_overnight</t>
        </is>
      </c>
    </row>
    <row r="21" ht="15.95" customHeight="1" s="241">
      <c r="A21" t="inlineStr">
        <is>
          <t>qa_only vs full_bundle</t>
        </is>
      </c>
      <c r="B21" t="inlineStr">
        <is>
          <t>four_arm</t>
        </is>
      </c>
      <c r="C21" t="inlineStr">
        <is>
          <t>inclusive (either graded, ungraded=0.5)</t>
        </is>
      </c>
      <c r="D21" s="214" t="inlineStr">
        <is>
          <t>49</t>
        </is>
      </c>
      <c r="E21" s="214" t="inlineStr">
        <is>
          <t>0.0102</t>
        </is>
      </c>
      <c r="F21" s="214" t="inlineStr">
        <is>
          <t>-0.0714</t>
        </is>
      </c>
      <c r="G21" s="214" t="inlineStr">
        <is>
          <t>0.0918</t>
        </is>
      </c>
      <c r="H21" s="214" t="inlineStr">
        <is>
          <t>0.9390</t>
        </is>
      </c>
      <c r="I21" t="inlineStr">
        <is>
          <t>accuracy_overnight</t>
        </is>
      </c>
    </row>
    <row r="22" ht="15.95" customHeight="1" s="241"/>
    <row r="23" ht="45.95" customHeight="1" s="241">
      <c r="A23" s="101" t="inlineStr">
        <is>
          <t>Paired MDE ~±12pp. At the promoted constants on the corrected returns no arm separates from the full bundle: the largest inclusive gap is −3.1pp at p=0.53 (press release, n=49). The 2026-08-13 values (−6.8pp at p=0.055 on 66 pairs) came from pre-correction returns at the superseded thresholds and reproduce from no committed input under any pairing convention.</t>
        </is>
      </c>
    </row>
    <row r="24" ht="30" customHeight="1" s="241">
      <c r="A24" s="101" t="inlineStr">
        <is>
          <t>Prepared remarks agrees with the full bundle on 87.4% of signals (104/119) at ~10k tokens.</t>
        </is>
      </c>
    </row>
  </sheetData>
  <pageMargins left="0.75" right="0.75" top="1" bottom="1" header="0.5" footer="0.5"/>
  <pageSetup orientation="landscape" fitToHeight="0"/>
  <legacyDrawing xmlns:r="http://schemas.openxmlformats.org/officeDocument/2006/relationships" r:id="anysvml"/>
</worksheet>
</file>

<file path=xl/worksheets/sheet8.xml><?xml version="1.0" encoding="utf-8"?>
<worksheet xmlns="http://schemas.openxmlformats.org/spreadsheetml/2006/main">
  <sheetPr>
    <tabColor rgb="FF013B70"/>
    <outlinePr summaryBelow="1" summaryRight="1"/>
    <pageSetUpPr fitToPage="1"/>
  </sheetPr>
  <dimension ref="A2:K40"/>
  <sheetViews>
    <sheetView showGridLines="0" tabSelected="1" workbookViewId="0">
      <pane ySplit="1" topLeftCell="B23" activePane="bottomLeft" state="frozen"/>
      <selection pane="bottomLeft" activeCell="F31" sqref="F31"/>
    </sheetView>
  </sheetViews>
  <sheetFormatPr baseColWidth="8" defaultColWidth="8.85546875" defaultRowHeight="15"/>
  <cols>
    <col width="45" customWidth="1" style="241" min="1" max="1"/>
    <col width="46" customWidth="1" style="241" min="2" max="2"/>
    <col width="29" customWidth="1" style="241" min="3" max="3"/>
    <col width="16" customWidth="1" style="241" min="4" max="4"/>
    <col width="17" customWidth="1" style="241" min="5" max="5"/>
    <col width="28" customWidth="1" style="241" min="6" max="6"/>
    <col width="14" customWidth="1" style="241" min="7" max="7"/>
    <col width="9" customWidth="1" style="241" min="8" max="11"/>
  </cols>
  <sheetData>
    <row r="1" ht="15.95" customHeight="1" s="241"/>
    <row r="2" ht="15.95" customHeight="1" s="241">
      <c r="A2" s="96" t="inlineStr">
        <is>
          <t>DEGENERACY FINDING</t>
        </is>
      </c>
    </row>
    <row r="3" ht="15.95" customHeight="1" s="241"/>
    <row r="4" ht="15.95" customHeight="1" s="241">
      <c r="A4" t="inlineStr">
        <is>
          <t>n_windows</t>
        </is>
      </c>
      <c r="B4" t="n">
        <v>4</v>
      </c>
    </row>
    <row r="5" ht="15.95" customHeight="1" s="241">
      <c r="A5" t="inlineStr">
        <is>
          <t>min_trades_floor</t>
        </is>
      </c>
      <c r="B5" t="n">
        <v>5</v>
      </c>
    </row>
    <row r="6" ht="15.95" customHeight="1" s="241">
      <c r="A6" t="inlineStr">
        <is>
          <t>objectives_tried</t>
        </is>
      </c>
      <c r="B6" t="inlineStr">
        <is>
          <t>['mean_net_per_trade', 'directional_accuracy']</t>
        </is>
      </c>
    </row>
    <row r="7" ht="30" customHeight="1" s="241">
      <c r="A7" t="inlineStr">
        <is>
          <t>degeneracy_finding</t>
        </is>
      </c>
      <c r="B7" s="220" t="inlineStr">
        <is>
          <t>{'mean_net_degenerate': 4, 'accuracy_degenerate': 1, 'total_windows': 4, 'both_degenerate': True}</t>
        </is>
      </c>
    </row>
    <row r="8" ht="15.95" customHeight="1" s="241">
      <c r="A8" t="inlineStr">
        <is>
          <t>mean_net_objective_n_degenerate</t>
        </is>
      </c>
      <c r="B8" t="n">
        <v>4</v>
      </c>
    </row>
    <row r="9" ht="15.95" customHeight="1" s="241">
      <c r="A9" t="inlineStr">
        <is>
          <t>accuracy_objective_n_degenerate</t>
        </is>
      </c>
      <c r="B9" t="n">
        <v>1</v>
      </c>
    </row>
    <row r="10" ht="15.95" customHeight="1" s="241"/>
    <row r="11" ht="15.95" customHeight="1" s="241">
      <c r="A11" s="96" t="inlineStr">
        <is>
          <t>IN-SAMPLE DEPLOYED THRESHOLDS</t>
        </is>
      </c>
    </row>
    <row r="12" ht="15.95" customHeight="1" s="241"/>
    <row r="13" ht="15.95" customHeight="1" s="241">
      <c r="A13" t="inlineStr">
        <is>
          <t>hold_upper</t>
        </is>
      </c>
      <c r="B13" t="n">
        <v>0.2</v>
      </c>
    </row>
    <row r="14" ht="15.95" customHeight="1" s="241">
      <c r="A14" t="inlineStr">
        <is>
          <t>hold_lower</t>
        </is>
      </c>
      <c r="B14" t="n">
        <v>-0.1</v>
      </c>
    </row>
    <row r="15" ht="15.95" customHeight="1" s="241">
      <c r="A15" t="inlineStr">
        <is>
          <t>n_trades</t>
        </is>
      </c>
      <c r="B15" t="n">
        <v>168</v>
      </c>
    </row>
    <row r="16" ht="15.95" customHeight="1" s="241">
      <c r="A16" t="inlineStr">
        <is>
          <t>n_graded</t>
        </is>
      </c>
      <c r="B16" t="n">
        <v>109</v>
      </c>
    </row>
    <row r="17" ht="15.95" customHeight="1" s="241">
      <c r="A17" t="inlineStr">
        <is>
          <t>n_correct</t>
        </is>
      </c>
      <c r="B17" t="n">
        <v>68</v>
      </c>
    </row>
    <row r="18" ht="15.95" customHeight="1" s="241">
      <c r="A18" t="inlineStr">
        <is>
          <t>accuracy</t>
        </is>
      </c>
      <c r="B18" t="n">
        <v>0.6239</v>
      </c>
    </row>
    <row r="19" ht="15.95" customHeight="1" s="241">
      <c r="A19" t="inlineStr">
        <is>
          <t>mean_net_pct</t>
        </is>
      </c>
      <c r="B19" s="218" t="inlineStr">
        <is>
          <t>1.7963</t>
        </is>
      </c>
    </row>
    <row r="20" ht="15.95" customHeight="1" s="241"/>
    <row r="21" ht="15.95" customHeight="1" s="241">
      <c r="A21" s="96" t="inlineStr">
        <is>
          <t>DEV / EVAL SPLIT</t>
        </is>
      </c>
    </row>
    <row r="22" ht="15.95" customHeight="1" s="241"/>
    <row r="23" ht="30" customHeight="1" s="241">
      <c r="A23" t="inlineStr">
        <is>
          <t>Split rule</t>
        </is>
      </c>
      <c r="B23" s="220" t="inlineStr">
        <is>
          <t>Sort 232 clean events by release_date (returns_matrix.csv), earliest 20% (46) = dev, remaining 80% (186) = eval.</t>
        </is>
      </c>
    </row>
    <row r="24" ht="15.95" customHeight="1" s="241">
      <c r="A24" t="inlineStr">
        <is>
          <t>Eval: accuracy</t>
        </is>
      </c>
      <c r="B24" s="218" t="inlineStr">
        <is>
          <t>63.0% (58/92)</t>
        </is>
      </c>
      <c r="C24" t="inlineStr">
        <is>
          <t>floor=54.6% (65/119 graded)</t>
        </is>
      </c>
      <c r="D24" s="218" t="inlineStr">
        <is>
          <t>margin +8.4pp</t>
        </is>
      </c>
      <c r="E24" s="218" t="inlineStr">
        <is>
          <t>p=0.064</t>
        </is>
      </c>
      <c r="F24" t="inlineStr">
        <is>
          <t>MDE ±14.4pp</t>
        </is>
      </c>
    </row>
    <row r="25" ht="15.95" customHeight="1" s="241">
      <c r="A25" t="inlineStr">
        <is>
          <t>Dev:  accuracy</t>
        </is>
      </c>
      <c r="B25" s="218" t="inlineStr">
        <is>
          <t>58.8% (10/17)</t>
        </is>
      </c>
      <c r="C25" s="218" t="inlineStr">
        <is>
          <t>floor=53.8% (14/26 graded)</t>
        </is>
      </c>
      <c r="D25" s="218" t="inlineStr">
        <is>
          <t>margin +5.0pp</t>
        </is>
      </c>
      <c r="E25" s="218" t="inlineStr">
        <is>
          <t>NOT significant (p=0.436)</t>
        </is>
      </c>
      <c r="F25" t="inlineStr">
        <is>
          <t>MDE ±27.8pp — underpowered</t>
        </is>
      </c>
    </row>
    <row r="26" ht="15.95" customHeight="1" s="241">
      <c r="A26" t="inlineStr">
        <is>
          <t>Source</t>
        </is>
      </c>
      <c r="B26" t="inlineStr">
        <is>
          <t>frontier_table.csv, surviving_findings.md</t>
        </is>
      </c>
    </row>
    <row r="27" ht="30" customHeight="1" s="241">
      <c r="A27" t="inlineStr">
        <is>
          <t>NOT out-of-sample</t>
        </is>
      </c>
      <c r="B27" s="101" t="inlineStr">
        <is>
          <t>Dev/eval split applied post hoc to data thresholds were fitted on. Eval 63.0% is in-sample on a subset.</t>
        </is>
      </c>
    </row>
    <row r="28" ht="15.95" customHeight="1" s="241">
      <c r="A28" t="inlineStr">
        <is>
          <t>Floor convention (2026-08-21): the dev/eval floors above are computed on all graded events while accuracy is on traded events. On a matched traded-only denominator the dev floor is 11/17 = 64.7% — above the dev accuracy of 58.8% — while eval survives its matched floor (48/92 = 52.2% vs 63.0%). Separately: the MDE figures ±14.4pp/±27.8pp here (and ±10.8pp on Corrected_Metrics) are unreproduced literals from experiments/build_workbook.py, recorded as such (Q3a).</t>
        </is>
      </c>
    </row>
    <row r="29" ht="15.95" customHeight="1" s="241">
      <c r="A29" s="96" t="inlineStr">
        <is>
          <t>CROSS-ISSUER GENERALISATION (RECONSTRUCTED)</t>
        </is>
      </c>
    </row>
    <row r="30" ht="15.95" customHeight="1" s="241"/>
    <row r="31" ht="45.95" customHeight="1" s="241">
      <c r="A31" t="inlineStr">
        <is>
          <t>note</t>
        </is>
      </c>
      <c r="B31" s="220" t="inlineStr">
        <is>
          <t>Cross-issuer generalisation test: 29 issuers (with clean events in N=232) scored after the N=161 threshold sweep, zero issuer overlap with the 40 in-sweep issuers. 2 further post-sweep issuers (Allianz, Lenovo) are fully timing-excluded. Both subsets span overlapping date ranges (interleaved, not sequential) — this tests issuer transfer, not temporal generalisation. RECONSTRUCTED: sweep membership inferred from issuer ordering and count match (n_documents=161), not from a recorded event list. 453 single-swap alternatives also produce 161.</t>
        </is>
      </c>
      <c r="E31" t="inlineStr">
        <is>
          <t xml:space="preserve"> </t>
        </is>
      </c>
    </row>
    <row r="32" ht="15.95" customHeight="1" s="241"/>
    <row r="33" ht="15.95" customHeight="1" s="241">
      <c r="A33" t="inlineStr">
        <is>
          <t>subset</t>
        </is>
      </c>
      <c r="B33" t="inlineStr">
        <is>
          <t>n_events</t>
        </is>
      </c>
      <c r="C33" t="inlineStr">
        <is>
          <t>n_trades</t>
        </is>
      </c>
      <c r="D33" t="inlineStr">
        <is>
          <t>n_graded</t>
        </is>
      </c>
      <c r="E33" t="inlineStr">
        <is>
          <t>n_correct</t>
        </is>
      </c>
      <c r="F33" t="inlineStr">
        <is>
          <t>accuracy</t>
        </is>
      </c>
      <c r="G33" t="inlineStr">
        <is>
          <t>mean_net_pct</t>
        </is>
      </c>
      <c r="H33" t="inlineStr">
        <is>
          <t>floor</t>
        </is>
      </c>
      <c r="I33" t="inlineStr">
        <is>
          <t>margin</t>
        </is>
      </c>
      <c r="J33" t="inlineStr">
        <is>
          <t>p</t>
        </is>
      </c>
      <c r="K33" t="inlineStr">
        <is>
          <t>mde</t>
        </is>
      </c>
    </row>
    <row r="34" ht="15.95" customHeight="1" s="241">
      <c r="A34" t="inlineStr">
        <is>
          <t>in_sweep</t>
        </is>
      </c>
      <c r="B34" t="n">
        <v>131</v>
      </c>
      <c r="C34" t="n">
        <v>87</v>
      </c>
      <c r="D34" t="n">
        <v>50</v>
      </c>
      <c r="E34" t="n">
        <v>29</v>
      </c>
      <c r="F34" t="n">
        <v>0.58</v>
      </c>
      <c r="G34" t="n">
        <v>0.59</v>
      </c>
    </row>
    <row r="35" ht="15.95" customHeight="1" s="241">
      <c r="A35" t="inlineStr">
        <is>
          <t>post_sweep</t>
        </is>
      </c>
      <c r="B35" t="n">
        <v>101</v>
      </c>
      <c r="C35" t="n">
        <v>81</v>
      </c>
      <c r="D35" t="n">
        <v>59</v>
      </c>
      <c r="E35" t="n">
        <v>39</v>
      </c>
      <c r="F35" t="n">
        <v>0.661</v>
      </c>
      <c r="G35" t="n">
        <v>3.092</v>
      </c>
      <c r="H35" t="n">
        <v>0.5254</v>
      </c>
      <c r="I35" t="n">
        <v>13.6</v>
      </c>
      <c r="J35" t="n">
        <v>0.0244</v>
      </c>
      <c r="K35" t="n">
        <v>19.5</v>
      </c>
    </row>
    <row r="36" ht="15.95" customHeight="1" s="241"/>
    <row r="37" ht="15.95" customHeight="1" s="241">
      <c r="A37" t="inlineStr">
        <is>
          <t>CAVEATS (three)</t>
        </is>
      </c>
    </row>
    <row r="38" ht="30" customHeight="1" s="241">
      <c r="A38" t="inlineStr">
        <is>
          <t>1. RECONSTRUCTED</t>
        </is>
      </c>
      <c r="B38" s="101" t="inlineStr">
        <is>
          <t>Sweep membership inferred from issuer ordering and count match (n=161). 453 single-swap alternatives also give n=161.</t>
        </is>
      </c>
    </row>
    <row r="39" ht="30" customHeight="1" s="241">
      <c r="A39" t="inlineStr">
        <is>
          <t>2. ISSUER TRANSFER ONLY</t>
        </is>
      </c>
      <c r="B39" s="101" t="inlineStr">
        <is>
          <t>Both subsets overlap in time. Tests whether thresholds transfer to new companies, not new time periods. Does NOT corroborate temporal generalisation.</t>
        </is>
      </c>
    </row>
    <row r="40" ht="30" customHeight="1" s="241">
      <c r="A40" s="218" t="inlineStr">
        <is>
          <t>3. NOMINALLY SIGNIFICANT, STILL UNDERPOWERED</t>
        </is>
      </c>
      <c r="B40" s="220" t="inlineStr">
        <is>
          <t>p=0.0244 clears 0.05 nominally; MDE=±19.5pp — the subset stays underpowered and the RECONSTRUCTED caveat above still applies, so treat as suggestive.</t>
        </is>
      </c>
    </row>
  </sheetData>
  <pageMargins left="0.75" right="0.75" top="1" bottom="1" header="0.5" footer="0.5"/>
  <pageSetup orientation="landscape" fitToHeight="0"/>
  <legacyDrawing xmlns:r="http://schemas.openxmlformats.org/officeDocument/2006/relationships" r:id="anysvml"/>
</worksheet>
</file>

<file path=xl/worksheets/sheet9.xml><?xml version="1.0" encoding="utf-8"?>
<worksheet xmlns="http://schemas.openxmlformats.org/spreadsheetml/2006/main">
  <sheetPr>
    <tabColor rgb="FF013B70"/>
    <outlinePr summaryBelow="1" summaryRight="1"/>
    <pageSetUpPr fitToPage="1"/>
  </sheetPr>
  <dimension ref="A1:K101"/>
  <sheetViews>
    <sheetView showGridLines="0" topLeftCell="A64" workbookViewId="0">
      <pane ySplit="7" topLeftCell="A71" activePane="bottomLeft" state="frozen"/>
      <selection pane="bottomLeft" activeCell="A1" sqref="A1"/>
    </sheetView>
  </sheetViews>
  <sheetFormatPr baseColWidth="8" defaultColWidth="8.85546875" defaultRowHeight="15"/>
  <cols>
    <col width="46" customWidth="1" style="241" min="1" max="3"/>
    <col width="23" customWidth="1" style="241" min="4" max="4"/>
    <col width="46" customWidth="1" style="241" min="5" max="7"/>
    <col width="44" customWidth="1" style="241" min="8" max="8"/>
    <col width="46" customWidth="1" style="241" min="9" max="9"/>
    <col width="28" customWidth="1" style="241" min="10" max="10"/>
    <col width="46" customWidth="1" style="241" min="11" max="11"/>
  </cols>
  <sheetData>
    <row r="1" ht="15.95" customHeight="1" s="241">
      <c r="A1" s="96" t="inlineStr">
        <is>
          <t>Accuracy Conventions — Coverage vs Selectivity</t>
        </is>
      </c>
    </row>
    <row r="2" ht="45.95" customHeight="1" s="241">
      <c r="A2" s="116" t="inlineStr">
        <is>
          <t>Coverage accuracy = YES / all events (HOLDs counted as failures when stock moved, credited as correct when stock stayed flat). Selectivity accuracy = correct direction / (traded-and-graded events only: BUY or SELL call AND |ret_overnight| &gt; 2%). Neither figure travels alone: selectivity inflates when the HOLD rate is high, because the model can selectively avoid hard calls. The FLAT convention gives the LLM an advantage in the paired comparison because the LLM holds 31.2% of events vs the human arm's 23.5% (N=170 paired subset): when the LLM holds and the stock stays flat, it earns a YES; a human BUY/SELL on the same event would earn a NO. See methodology_flat_convention.md for full derivation.</t>
        </is>
      </c>
    </row>
    <row r="3" ht="45.95" customHeight="1" s="241">
      <c r="A3" s="117" t="inlineStr">
        <is>
          <t>CROSS-CHECK NOTE (figures below are at the SUPERSEDED 0.55/0.45 constants, which is what was investigated on 2026-08-13; at the deployed 0.80/0.20 the arm reads 68/109 = 62.4%): the selectivity formula (H=BUY/SELL, Q=UP/DOWN) gives 61/94 = 64.9% for the LLM arm. The repo authoritative figure is 62/95 = 65.3% (from item_e_walkforward.json, run 20260812_183842). Discrepancy = 1 event. Cause: one event's |ret_overnight| is below the ±2% band in the current returns_matrix but was apparently above it in the ext2 run. The formula definition is correct; the 0.4pp deviation is documented here.</t>
        </is>
      </c>
    </row>
    <row r="4" ht="15.95" customHeight="1" s="241"/>
    <row r="5" ht="15.95" customHeight="1" s="241">
      <c r="A5" s="242" t="inlineStr">
        <is>
          <t>COVERAGE ACCURACY (YES / all events)</t>
        </is>
      </c>
    </row>
    <row r="6" ht="15.95" customHeight="1" s="241">
      <c r="A6" s="97" t="inlineStr">
        <is>
          <t>Denominator: all events for the arm (including HOLDs)</t>
        </is>
      </c>
      <c r="F6" s="97" t="inlineStr">
        <is>
          <t>Floor: majority direction / all events</t>
        </is>
      </c>
    </row>
    <row r="7" ht="15.95" customHeight="1" s="241">
      <c r="A7" s="151" t="inlineStr">
        <is>
          <t>Arm</t>
        </is>
      </c>
      <c r="B7" s="151" t="inlineStr">
        <is>
          <t>n (denom)</t>
        </is>
      </c>
      <c r="C7" s="151" t="inlineStr">
        <is>
          <t>YES</t>
        </is>
      </c>
      <c r="D7" s="151" t="inlineStr">
        <is>
          <t>Accuracy</t>
        </is>
      </c>
      <c r="E7" s="151" t="inlineStr">
        <is>
          <t>Floor n_DOWN</t>
        </is>
      </c>
      <c r="F7" s="151" t="inlineStr">
        <is>
          <t>Floor prob</t>
        </is>
      </c>
      <c r="G7" s="151" t="inlineStr">
        <is>
          <t>p-value (1-sided)</t>
        </is>
      </c>
      <c r="H7" s="151" t="inlineStr">
        <is>
          <t>MDE (±, 90%)</t>
        </is>
      </c>
      <c r="I7" s="151" t="inlineStr">
        <is>
          <t>HOLD count</t>
        </is>
      </c>
      <c r="J7" s="151" t="inlineStr">
        <is>
          <t>HOLD rate</t>
        </is>
      </c>
      <c r="K7" s="151" t="inlineStr">
        <is>
          <t>Traded</t>
        </is>
      </c>
    </row>
    <row r="8" ht="30" customHeight="1" s="241">
      <c r="A8" t="inlineStr">
        <is>
          <t>LLM (DeepSeek)</t>
        </is>
      </c>
      <c r="B8" s="101">
        <f>COUNTIFS(LLM_Data_Entry!$F$3:$F$430,"LLM",LLM_Data_Entry!$R$3:$R$430,"&lt;&gt;")</f>
        <v/>
      </c>
      <c r="C8" s="101">
        <f>COUNTIFS(LLM_Data_Entry!$F$3:$F$430,"LLM",LLM_Data_Entry!$R$3:$R$430,"YES")</f>
        <v/>
      </c>
      <c r="D8">
        <f>IF(B8=0,"",C8/B8)</f>
        <v/>
      </c>
      <c r="E8" s="101">
        <f>COUNTIFS(LLM_Data_Entry!$F$3:$F$430,"LLM",LLM_Data_Entry!$Q$3:$Q$430,"DOWN")</f>
        <v/>
      </c>
      <c r="F8">
        <f>IF(B8=0,"",E8/B8)</f>
        <v/>
      </c>
      <c r="G8">
        <f>IFERROR(1 - _xlfn.SINGLE(_xlfn.BINOM.DIST(C8 - 1, B8, F8, TRUE)), "")</f>
        <v/>
      </c>
      <c r="H8">
        <f>IFERROR(2*1.645*SQRT(F8*(1-F8)/B8),"")</f>
        <v/>
      </c>
      <c r="I8" s="101">
        <f>COUNTIFS(LLM_Data_Entry!$F$3:$F$430,"LLM",LLM_Data_Entry!$H$3:$H$430,"HOLD")</f>
        <v/>
      </c>
      <c r="J8">
        <f>IFERROR(I8/(I8+K8),"")</f>
        <v/>
      </c>
      <c r="K8" s="101">
        <f>COUNTIFS(LLM_Data_Entry!$F$3:$F$430,"LLM",LLM_Data_Entry!$H$3:$H$430,"BUY")+COUNTIFS(LLM_Data_Entry!$F$3:$F$430,"LLM",LLM_Data_Entry!$H$3:$H$430,"SELL")</f>
        <v/>
      </c>
    </row>
    <row r="9" ht="30" customHeight="1" s="241">
      <c r="A9" t="inlineStr">
        <is>
          <t>Human (All)</t>
        </is>
      </c>
      <c r="B9">
        <f>COUNTIF(Human_Data_Entry!$S$3:$S$524,"YES")+COUNTIF(Human_Data_Entry!$S$3:$S$524,"NO")</f>
        <v/>
      </c>
      <c r="C9">
        <f>COUNTIF(Human_Data_Entry!$S$3:$S$524,"YES")</f>
        <v/>
      </c>
      <c r="D9">
        <f>IF(B9=0,"",C9/B9)</f>
        <v/>
      </c>
      <c r="E9">
        <f>COUNTIF(Human_Data_Entry!$R$3:$R$524,"DOWN")</f>
        <v/>
      </c>
      <c r="F9">
        <f>IF(B9=0,"",E9/B9)</f>
        <v/>
      </c>
      <c r="G9">
        <f>IFERROR(1 - _xlfn.SINGLE(_xlfn.BINOM.DIST(C9 - 1, B9, F9, TRUE)), "")</f>
        <v/>
      </c>
      <c r="H9">
        <f>IFERROR(2*1.645*SQRT(F9*(1-F9)/B9),"")</f>
        <v/>
      </c>
      <c r="I9">
        <f>COUNTIF(Human_Data_Entry!$J$3:$J$524,"HOLD")</f>
        <v/>
      </c>
      <c r="J9">
        <f>IFERROR(I9/(I9+K9),"")</f>
        <v/>
      </c>
      <c r="K9" s="101">
        <f>COUNTIF(Human_Data_Entry!$J$3:$J$524,"BUY")+COUNTIF(Human_Data_Entry!$J$3:$J$524,"SELL")</f>
        <v/>
      </c>
    </row>
    <row r="10" ht="30" customHeight="1" s="241">
      <c r="A10">
        <f>Settings!$A$8</f>
        <v/>
      </c>
      <c r="B10" s="101">
        <f>COUNTIFS(Human_Data_Entry!$G$3:$G$524,A10,Human_Data_Entry!$S$3:$S$524,"&lt;&gt;")</f>
        <v/>
      </c>
      <c r="C10" s="101">
        <f>COUNTIFS(Human_Data_Entry!$G$3:$G$524,A10,Human_Data_Entry!$S$3:$S$524,"YES")</f>
        <v/>
      </c>
      <c r="D10">
        <f>IF(B10=0,"",C10/B10)</f>
        <v/>
      </c>
      <c r="E10" s="101">
        <f>COUNTIFS(Human_Data_Entry!$G$3:$G$524,A10,Human_Data_Entry!$R$3:$R$524,"DOWN")</f>
        <v/>
      </c>
      <c r="F10">
        <f>IF(B10=0,"",E10/B10)</f>
        <v/>
      </c>
      <c r="G10">
        <f>IFERROR(1 - _xlfn.SINGLE(_xlfn.BINOM.DIST(C10 - 1, B10, F10, TRUE)), "")</f>
        <v/>
      </c>
      <c r="H10">
        <f>IFERROR(2*1.645*SQRT(F10*(1-F10)/B10),"")</f>
        <v/>
      </c>
      <c r="I10" s="101">
        <f>COUNTIFS(Human_Data_Entry!$G$3:$G$524,A10,Human_Data_Entry!$J$3:$J$524,"HOLD")</f>
        <v/>
      </c>
      <c r="J10">
        <f>IFERROR(I10/(I10+K10),"")</f>
        <v/>
      </c>
      <c r="K10" s="101">
        <f>COUNTIFS(Human_Data_Entry!$G$3:$G$524,A10,Human_Data_Entry!$J$3:$J$524,"BUY")+COUNTIFS(Human_Data_Entry!$G$3:$G$524,A10,Human_Data_Entry!$J$3:$J$524,"SELL")</f>
        <v/>
      </c>
    </row>
    <row r="11" ht="30" customHeight="1" s="241">
      <c r="A11">
        <f>Settings!$A$9</f>
        <v/>
      </c>
      <c r="B11" s="101">
        <f>COUNTIFS(Human_Data_Entry!$G$3:$G$524,A11,Human_Data_Entry!$S$3:$S$524,"&lt;&gt;")</f>
        <v/>
      </c>
      <c r="C11" s="101">
        <f>COUNTIFS(Human_Data_Entry!$G$3:$G$524,A11,Human_Data_Entry!$S$3:$S$524,"YES")</f>
        <v/>
      </c>
      <c r="D11">
        <f>IF(B11=0,"",C11/B11)</f>
        <v/>
      </c>
      <c r="E11" s="101">
        <f>COUNTIFS(Human_Data_Entry!$G$3:$G$524,A11,Human_Data_Entry!$R$3:$R$524,"DOWN")</f>
        <v/>
      </c>
      <c r="F11">
        <f>IF(B11=0,"",E11/B11)</f>
        <v/>
      </c>
      <c r="G11">
        <f>IFERROR(1 - _xlfn.SINGLE(_xlfn.BINOM.DIST(C11 - 1, B11, F11, TRUE)), "")</f>
        <v/>
      </c>
      <c r="H11">
        <f>IFERROR(2*1.645*SQRT(F11*(1-F11)/B11),"")</f>
        <v/>
      </c>
      <c r="I11" s="101">
        <f>COUNTIFS(Human_Data_Entry!$G$3:$G$524,A11,Human_Data_Entry!$J$3:$J$524,"HOLD")</f>
        <v/>
      </c>
      <c r="J11">
        <f>IFERROR(I11/(I11+K11),"")</f>
        <v/>
      </c>
      <c r="K11" s="101">
        <f>COUNTIFS(Human_Data_Entry!$G$3:$G$524,A11,Human_Data_Entry!$J$3:$J$524,"BUY")+COUNTIFS(Human_Data_Entry!$G$3:$G$524,A11,Human_Data_Entry!$J$3:$J$524,"SELL")</f>
        <v/>
      </c>
    </row>
    <row r="12" ht="30" customHeight="1" s="241">
      <c r="A12">
        <f>Settings!$A$10</f>
        <v/>
      </c>
      <c r="B12" s="101">
        <f>COUNTIFS(Human_Data_Entry!$G$3:$G$524,A12,Human_Data_Entry!$S$3:$S$524,"&lt;&gt;")</f>
        <v/>
      </c>
      <c r="C12" s="101">
        <f>COUNTIFS(Human_Data_Entry!$G$3:$G$524,A12,Human_Data_Entry!$S$3:$S$524,"YES")</f>
        <v/>
      </c>
      <c r="D12">
        <f>IF(B12=0,"",C12/B12)</f>
        <v/>
      </c>
      <c r="E12" s="101">
        <f>COUNTIFS(Human_Data_Entry!$G$3:$G$524,A12,Human_Data_Entry!$R$3:$R$524,"DOWN")</f>
        <v/>
      </c>
      <c r="F12">
        <f>IF(B12=0,"",E12/B12)</f>
        <v/>
      </c>
      <c r="G12">
        <f>IFERROR(1 - _xlfn.SINGLE(_xlfn.BINOM.DIST(C12 - 1, B12, F12, TRUE)), "")</f>
        <v/>
      </c>
      <c r="H12">
        <f>IFERROR(2*1.645*SQRT(F12*(1-F12)/B12),"")</f>
        <v/>
      </c>
      <c r="I12" s="101">
        <f>COUNTIFS(Human_Data_Entry!$G$3:$G$524,A12,Human_Data_Entry!$J$3:$J$524,"HOLD")</f>
        <v/>
      </c>
      <c r="J12">
        <f>IFERROR(I12/(I12+K12),"")</f>
        <v/>
      </c>
      <c r="K12" s="101">
        <f>COUNTIFS(Human_Data_Entry!$G$3:$G$524,A12,Human_Data_Entry!$J$3:$J$524,"BUY")+COUNTIFS(Human_Data_Entry!$G$3:$G$524,A12,Human_Data_Entry!$J$3:$J$524,"SELL")</f>
        <v/>
      </c>
    </row>
    <row r="13" ht="30" customHeight="1" s="241">
      <c r="A13">
        <f>Settings!$A$11</f>
        <v/>
      </c>
      <c r="B13" s="101">
        <f>COUNTIFS(Human_Data_Entry!$G$3:$G$524,A13,Human_Data_Entry!$S$3:$S$524,"&lt;&gt;")</f>
        <v/>
      </c>
      <c r="C13" s="101">
        <f>COUNTIFS(Human_Data_Entry!$G$3:$G$524,A13,Human_Data_Entry!$S$3:$S$524,"YES")</f>
        <v/>
      </c>
      <c r="D13">
        <f>IF(B13=0,"",C13/B13)</f>
        <v/>
      </c>
      <c r="E13" s="101">
        <f>COUNTIFS(Human_Data_Entry!$G$3:$G$524,A13,Human_Data_Entry!$R$3:$R$524,"DOWN")</f>
        <v/>
      </c>
      <c r="F13">
        <f>IF(B13=0,"",E13/B13)</f>
        <v/>
      </c>
      <c r="G13">
        <f>IFERROR(1 - _xlfn.SINGLE(_xlfn.BINOM.DIST(C13 - 1, B13, F13, TRUE)), "")</f>
        <v/>
      </c>
      <c r="H13">
        <f>IFERROR(2*1.645*SQRT(F13*(1-F13)/B13),"")</f>
        <v/>
      </c>
      <c r="I13" s="101">
        <f>COUNTIFS(Human_Data_Entry!$G$3:$G$524,A13,Human_Data_Entry!$J$3:$J$524,"HOLD")</f>
        <v/>
      </c>
      <c r="J13">
        <f>IFERROR(I13/(I13+K13),"")</f>
        <v/>
      </c>
      <c r="K13" s="101">
        <f>COUNTIFS(Human_Data_Entry!$G$3:$G$524,A13,Human_Data_Entry!$J$3:$J$524,"BUY")+COUNTIFS(Human_Data_Entry!$G$3:$G$524,A13,Human_Data_Entry!$J$3:$J$524,"SELL")</f>
        <v/>
      </c>
    </row>
    <row r="14" ht="30" customHeight="1" s="241">
      <c r="A14">
        <f>Settings!$A$12</f>
        <v/>
      </c>
      <c r="B14" s="101">
        <f>COUNTIFS(Human_Data_Entry!$G$3:$G$524,A14,Human_Data_Entry!$S$3:$S$524,"&lt;&gt;")</f>
        <v/>
      </c>
      <c r="C14" s="101">
        <f>COUNTIFS(Human_Data_Entry!$G$3:$G$524,A14,Human_Data_Entry!$S$3:$S$524,"YES")</f>
        <v/>
      </c>
      <c r="D14">
        <f>IF(B14=0,"",C14/B14)</f>
        <v/>
      </c>
      <c r="E14" s="101">
        <f>COUNTIFS(Human_Data_Entry!$G$3:$G$524,A14,Human_Data_Entry!$R$3:$R$524,"DOWN")</f>
        <v/>
      </c>
      <c r="F14">
        <f>IF(B14=0,"",E14/B14)</f>
        <v/>
      </c>
      <c r="G14">
        <f>IFERROR(1 - _xlfn.SINGLE(_xlfn.BINOM.DIST(C14 - 1, B14, F14, TRUE)), "")</f>
        <v/>
      </c>
      <c r="H14">
        <f>IFERROR(2*1.645*SQRT(F14*(1-F14)/B14),"")</f>
        <v/>
      </c>
      <c r="I14" s="101">
        <f>COUNTIFS(Human_Data_Entry!$G$3:$G$524,A14,Human_Data_Entry!$J$3:$J$524,"HOLD")</f>
        <v/>
      </c>
      <c r="J14">
        <f>IFERROR(I14/(I14+K14),"")</f>
        <v/>
      </c>
      <c r="K14" s="101">
        <f>COUNTIFS(Human_Data_Entry!$G$3:$G$524,A14,Human_Data_Entry!$J$3:$J$524,"BUY")+COUNTIFS(Human_Data_Entry!$G$3:$G$524,A14,Human_Data_Entry!$J$3:$J$524,"SELL")</f>
        <v/>
      </c>
    </row>
    <row r="15" ht="30" customHeight="1" s="241">
      <c r="A15">
        <f>Settings!$A$13</f>
        <v/>
      </c>
      <c r="B15" s="101">
        <f>COUNTIFS(Human_Data_Entry!$G$3:$G$524,A15,Human_Data_Entry!$S$3:$S$524,"&lt;&gt;")</f>
        <v/>
      </c>
      <c r="C15" s="101">
        <f>COUNTIFS(Human_Data_Entry!$G$3:$G$524,A15,Human_Data_Entry!$S$3:$S$524,"YES")</f>
        <v/>
      </c>
      <c r="D15">
        <f>IF(B15=0,"",C15/B15)</f>
        <v/>
      </c>
      <c r="E15" s="101">
        <f>COUNTIFS(Human_Data_Entry!$G$3:$G$524,A15,Human_Data_Entry!$R$3:$R$524,"DOWN")</f>
        <v/>
      </c>
      <c r="F15">
        <f>IF(B15=0,"",E15/B15)</f>
        <v/>
      </c>
      <c r="G15">
        <f>IFERROR(1 - _xlfn.SINGLE(_xlfn.BINOM.DIST(C15 - 1, B15, F15, TRUE)), "")</f>
        <v/>
      </c>
      <c r="H15">
        <f>IFERROR(2*1.645*SQRT(F15*(1-F15)/B15),"")</f>
        <v/>
      </c>
      <c r="I15" s="101">
        <f>COUNTIFS(Human_Data_Entry!$G$3:$G$524,A15,Human_Data_Entry!$J$3:$J$524,"HOLD")</f>
        <v/>
      </c>
      <c r="J15">
        <f>IFERROR(I15/(I15+K15),"")</f>
        <v/>
      </c>
      <c r="K15" s="101">
        <f>COUNTIFS(Human_Data_Entry!$G$3:$G$524,A15,Human_Data_Entry!$J$3:$J$524,"BUY")+COUNTIFS(Human_Data_Entry!$G$3:$G$524,A15,Human_Data_Entry!$J$3:$J$524,"SELL")</f>
        <v/>
      </c>
    </row>
    <row r="16" ht="30" customHeight="1" s="241">
      <c r="A16">
        <f>Settings!$A$14</f>
        <v/>
      </c>
      <c r="B16" s="101">
        <f>COUNTIFS(Human_Data_Entry!$G$3:$G$524,A16,Human_Data_Entry!$S$3:$S$524,"&lt;&gt;")</f>
        <v/>
      </c>
      <c r="C16" s="101">
        <f>COUNTIFS(Human_Data_Entry!$G$3:$G$524,A16,Human_Data_Entry!$S$3:$S$524,"YES")</f>
        <v/>
      </c>
      <c r="D16">
        <f>IF(B16=0,"",C16/B16)</f>
        <v/>
      </c>
      <c r="E16" s="101">
        <f>COUNTIFS(Human_Data_Entry!$G$3:$G$524,A16,Human_Data_Entry!$R$3:$R$524,"DOWN")</f>
        <v/>
      </c>
      <c r="F16">
        <f>IF(B16=0,"",E16/B16)</f>
        <v/>
      </c>
      <c r="G16">
        <f>IFERROR(1 - _xlfn.SINGLE(_xlfn.BINOM.DIST(C16 - 1, B16, F16, TRUE)), "")</f>
        <v/>
      </c>
      <c r="H16">
        <f>IFERROR(2*1.645*SQRT(F16*(1-F16)/B16),"")</f>
        <v/>
      </c>
      <c r="I16" s="101">
        <f>COUNTIFS(Human_Data_Entry!$G$3:$G$524,A16,Human_Data_Entry!$J$3:$J$524,"HOLD")</f>
        <v/>
      </c>
      <c r="J16">
        <f>IFERROR(I16/(I16+K16),"")</f>
        <v/>
      </c>
      <c r="K16" s="101">
        <f>COUNTIFS(Human_Data_Entry!$G$3:$G$524,A16,Human_Data_Entry!$J$3:$J$524,"BUY")+COUNTIFS(Human_Data_Entry!$G$3:$G$524,A16,Human_Data_Entry!$J$3:$J$524,"SELL")</f>
        <v/>
      </c>
    </row>
    <row r="17" ht="15.95" customHeight="1" s="241"/>
    <row r="18" ht="15.95" customHeight="1" s="241">
      <c r="A18" s="242" t="inlineStr">
        <is>
          <t>SELECTIVITY ACCURACY (correct / traded-and-graded events)</t>
        </is>
      </c>
    </row>
    <row r="19" ht="30" customHeight="1" s="241">
      <c r="A19" s="116" t="inlineStr">
        <is>
          <t>Denominator: events where arm committed (BUY/SELL) AND |ret_overnight| &gt; 2%</t>
        </is>
      </c>
      <c r="F19" s="97" t="inlineStr">
        <is>
          <t>Floor: DOWN outcomes / graded denominator</t>
        </is>
      </c>
    </row>
    <row r="20" ht="15.95" customHeight="1" s="241">
      <c r="A20" s="242" t="inlineStr">
        <is>
          <t>Arm</t>
        </is>
      </c>
      <c r="B20" s="242" t="inlineStr">
        <is>
          <t>n (denom)</t>
        </is>
      </c>
      <c r="C20" s="242" t="inlineStr">
        <is>
          <t>YES</t>
        </is>
      </c>
      <c r="D20" s="242" t="inlineStr">
        <is>
          <t>Accuracy</t>
        </is>
      </c>
      <c r="E20" s="242" t="inlineStr">
        <is>
          <t>Floor n_DOWN</t>
        </is>
      </c>
      <c r="F20" s="242" t="inlineStr">
        <is>
          <t>Floor prob</t>
        </is>
      </c>
      <c r="G20" s="242" t="inlineStr">
        <is>
          <t>p-value (1-sided)</t>
        </is>
      </c>
      <c r="H20" s="242" t="inlineStr">
        <is>
          <t>MDE (±, 90%)</t>
        </is>
      </c>
      <c r="I20" s="242" t="inlineStr">
        <is>
          <t>HOLD count</t>
        </is>
      </c>
      <c r="J20" s="242" t="inlineStr">
        <is>
          <t>HOLD rate</t>
        </is>
      </c>
      <c r="K20" s="242" t="inlineStr">
        <is>
          <t>Traded</t>
        </is>
      </c>
    </row>
    <row r="21" ht="45.95" customHeight="1" s="241">
      <c r="A21" t="inlineStr">
        <is>
          <t>LLM (DeepSeek)</t>
        </is>
      </c>
      <c r="B21" s="10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C21" s="101">
        <f>COUNTIFS(LLM_Data_Entry!$F$3:$F$430,"LLM",LLM_Data_Entry!$H$3:$H$430,"BUY",LLM_Data_Entry!$Q$3:$Q$430,"UP")+COUNTIFS(LLM_Data_Entry!$F$3:$F$430,"LLM",LLM_Data_Entry!$H$3:$H$430,"SELL",LLM_Data_Entry!$Q$3:$Q$430,"DOWN")</f>
        <v/>
      </c>
      <c r="D21">
        <f>IF(B21=0,"",C21/B21)</f>
        <v/>
      </c>
      <c r="E21" s="101">
        <f>COUNTIFS(LLM_Data_Entry!$F$3:$F$430,"LLM",LLM_Data_Entry!$H$3:$H$430,"BUY",LLM_Data_Entry!$Q$3:$Q$430,"DOWN")+COUNTIFS(LLM_Data_Entry!$F$3:$F$430,"LLM",LLM_Data_Entry!$H$3:$H$430,"SELL",LLM_Data_Entry!$Q$3:$Q$430,"DOWN")</f>
        <v/>
      </c>
      <c r="F21">
        <f>IF(B21=0,"",E21/B21)</f>
        <v/>
      </c>
      <c r="G21">
        <f>IFERROR(1 - _xlfn.SINGLE(_xlfn.BINOM.DIST(C21 - 1, B21, F21, TRUE)), "")</f>
        <v/>
      </c>
      <c r="H21">
        <f>IFERROR(2*1.645*SQRT(F21*(1-F21)/B21),"")</f>
        <v/>
      </c>
      <c r="I21" s="101">
        <f>COUNTIFS(LLM_Data_Entry!$F$3:$F$430,"LLM",LLM_Data_Entry!$H$3:$H$430,"HOLD")</f>
        <v/>
      </c>
      <c r="J21">
        <f>IFERROR(I21/(I21+K21),"")</f>
        <v/>
      </c>
      <c r="K21" s="101">
        <f>COUNTIFS(LLM_Data_Entry!$F$3:$F$430,"LLM",LLM_Data_Entry!$H$3:$H$430,"BUY")+COUNTIFS(LLM_Data_Entry!$F$3:$F$430,"LLM",LLM_Data_Entry!$H$3:$H$430,"SELL")</f>
        <v/>
      </c>
    </row>
    <row r="22" ht="45.95" customHeight="1" s="241">
      <c r="A22" t="inlineStr">
        <is>
          <t>Human (All)</t>
        </is>
      </c>
      <c r="B22" s="101">
        <f>COUNTIFS(Human_Data_Entry!$J$3:$J$524,"BUY",Human_Data_Entry!$R$3:$R$524,"UP")+COUNTIFS(Human_Data_Entry!$J$3:$J$524,"BUY",Human_Data_Entry!$R$3:$R$524,"DOWN")+COUNTIFS(Human_Data_Entry!$J$3:$J$524,"SELL",Human_Data_Entry!$R$3:$R$524,"UP")+COUNTIFS(Human_Data_Entry!$J$3:$J$524,"SELL",Human_Data_Entry!$R$3:$R$524,"DOWN")</f>
        <v/>
      </c>
      <c r="C22" s="101">
        <f>COUNTIFS(Human_Data_Entry!$J$3:$J$524,"BUY",Human_Data_Entry!$R$3:$R$524,"UP")+COUNTIFS(Human_Data_Entry!$J$3:$J$524,"SELL",Human_Data_Entry!$R$3:$R$524,"DOWN")</f>
        <v/>
      </c>
      <c r="D22">
        <f>IF(B22=0,"",C22/B22)</f>
        <v/>
      </c>
      <c r="E22" s="101">
        <f>COUNTIFS(Human_Data_Entry!$J$3:$J$524,"BUY",Human_Data_Entry!$R$3:$R$524,"DOWN")+COUNTIFS(Human_Data_Entry!$J$3:$J$524,"SELL",Human_Data_Entry!$R$3:$R$524,"DOWN")</f>
        <v/>
      </c>
      <c r="F22">
        <f>IF(B22=0,"",E22/B22)</f>
        <v/>
      </c>
      <c r="G22">
        <f>IFERROR(1 - _xlfn.SINGLE(_xlfn.BINOM.DIST(C22 - 1, B22, F22, TRUE)), "")</f>
        <v/>
      </c>
      <c r="H22">
        <f>IFERROR(2*1.645*SQRT(F22*(1-F22)/B22),"")</f>
        <v/>
      </c>
      <c r="I22">
        <f>COUNTIF(Human_Data_Entry!$J$3:$J$524,"HOLD")</f>
        <v/>
      </c>
      <c r="J22">
        <f>IFERROR(I22/(I22+K22),"")</f>
        <v/>
      </c>
      <c r="K22" s="101">
        <f>COUNTIF(Human_Data_Entry!$J$3:$J$524,"BUY")+COUNTIF(Human_Data_Entry!$J$3:$J$524,"SELL")</f>
        <v/>
      </c>
    </row>
    <row r="23" ht="45.95" customHeight="1" s="241">
      <c r="A23">
        <f>Settings!$A$8</f>
        <v/>
      </c>
      <c r="B23" s="101">
        <f>COUNTIFS(Human_Data_Entry!$G$3:$G$524,A23,Human_Data_Entry!$J$3:$J$524,"BUY",Human_Data_Entry!$R$3:$R$524,"UP")+COUNTIFS(Human_Data_Entry!$G$3:$G$524,A23,Human_Data_Entry!$J$3:$J$524,"BUY",Human_Data_Entry!$R$3:$R$524,"DOWN")+COUNTIFS(Human_Data_Entry!$G$3:$G$524,A23,Human_Data_Entry!$J$3:$J$524,"SELL",Human_Data_Entry!$R$3:$R$524,"UP")+COUNTIFS(Human_Data_Entry!$G$3:$G$524,A23,Human_Data_Entry!$J$3:$J$524,"SELL",Human_Data_Entry!$R$3:$R$524,"DOWN")</f>
        <v/>
      </c>
      <c r="C23" s="101">
        <f>COUNTIFS(Human_Data_Entry!$G$3:$G$524,A23,Human_Data_Entry!$J$3:$J$524,"BUY",Human_Data_Entry!$R$3:$R$524,"UP")+COUNTIFS(Human_Data_Entry!$G$3:$G$524,A23,Human_Data_Entry!$J$3:$J$524,"SELL",Human_Data_Entry!$R$3:$R$524,"DOWN")</f>
        <v/>
      </c>
      <c r="D23">
        <f>IF(B23=0,"",C23/B23)</f>
        <v/>
      </c>
      <c r="E23" s="101">
        <f>COUNTIFS(Human_Data_Entry!$G$3:$G$524,A23,Human_Data_Entry!$J$3:$J$524,"BUY",Human_Data_Entry!$R$3:$R$524,"DOWN")+COUNTIFS(Human_Data_Entry!$G$3:$G$524,A23,Human_Data_Entry!$J$3:$J$524,"SELL",Human_Data_Entry!$R$3:$R$524,"DOWN")</f>
        <v/>
      </c>
      <c r="F23">
        <f>IF(B23=0,"",E23/B23)</f>
        <v/>
      </c>
      <c r="G23">
        <f>IFERROR(1 - _xlfn.SINGLE(_xlfn.BINOM.DIST(C23 - 1, B23, F23, TRUE)), "")</f>
        <v/>
      </c>
      <c r="H23">
        <f>IFERROR(2*1.645*SQRT(F23*(1-F23)/B23),"")</f>
        <v/>
      </c>
      <c r="I23" s="101">
        <f>COUNTIFS(Human_Data_Entry!$G$3:$G$524,A23,Human_Data_Entry!$J$3:$J$524,"HOLD")</f>
        <v/>
      </c>
      <c r="J23">
        <f>IFERROR(I23/(I23+K23),"")</f>
        <v/>
      </c>
      <c r="K23" s="101">
        <f>COUNTIFS(Human_Data_Entry!$G$3:$G$524,A23,Human_Data_Entry!$J$3:$J$524,"BUY")+COUNTIFS(Human_Data_Entry!$G$3:$G$524,A23,Human_Data_Entry!$J$3:$J$524,"SELL")</f>
        <v/>
      </c>
    </row>
    <row r="24" ht="45.95" customHeight="1" s="241">
      <c r="A24">
        <f>Settings!$A$9</f>
        <v/>
      </c>
      <c r="B24" s="101">
        <f>COUNTIFS(Human_Data_Entry!$G$3:$G$524,A24,Human_Data_Entry!$J$3:$J$524,"BUY",Human_Data_Entry!$R$3:$R$524,"UP")+COUNTIFS(Human_Data_Entry!$G$3:$G$524,A24,Human_Data_Entry!$J$3:$J$524,"BUY",Human_Data_Entry!$R$3:$R$524,"DOWN")+COUNTIFS(Human_Data_Entry!$G$3:$G$524,A24,Human_Data_Entry!$J$3:$J$524,"SELL",Human_Data_Entry!$R$3:$R$524,"UP")+COUNTIFS(Human_Data_Entry!$G$3:$G$524,A24,Human_Data_Entry!$J$3:$J$524,"SELL",Human_Data_Entry!$R$3:$R$524,"DOWN")</f>
        <v/>
      </c>
      <c r="C24" s="101">
        <f>COUNTIFS(Human_Data_Entry!$G$3:$G$524,A24,Human_Data_Entry!$J$3:$J$524,"BUY",Human_Data_Entry!$R$3:$R$524,"UP")+COUNTIFS(Human_Data_Entry!$G$3:$G$524,A24,Human_Data_Entry!$J$3:$J$524,"SELL",Human_Data_Entry!$R$3:$R$524,"DOWN")</f>
        <v/>
      </c>
      <c r="D24">
        <f>IF(B24=0,"",C24/B24)</f>
        <v/>
      </c>
      <c r="E24" s="101">
        <f>COUNTIFS(Human_Data_Entry!$G$3:$G$524,A24,Human_Data_Entry!$J$3:$J$524,"BUY",Human_Data_Entry!$R$3:$R$524,"DOWN")+COUNTIFS(Human_Data_Entry!$G$3:$G$524,A24,Human_Data_Entry!$J$3:$J$524,"SELL",Human_Data_Entry!$R$3:$R$524,"DOWN")</f>
        <v/>
      </c>
      <c r="F24">
        <f>IF(B24=0,"",E24/B24)</f>
        <v/>
      </c>
      <c r="G24">
        <f>IFERROR(1 - _xlfn.SINGLE(_xlfn.BINOM.DIST(C24 - 1, B24, F24, TRUE)), "")</f>
        <v/>
      </c>
      <c r="H24">
        <f>IFERROR(2*1.645*SQRT(F24*(1-F24)/B24),"")</f>
        <v/>
      </c>
      <c r="I24" s="101">
        <f>COUNTIFS(Human_Data_Entry!$G$3:$G$524,A24,Human_Data_Entry!$J$3:$J$524,"HOLD")</f>
        <v/>
      </c>
      <c r="J24">
        <f>IFERROR(I24/(I24+K24),"")</f>
        <v/>
      </c>
      <c r="K24" s="101">
        <f>COUNTIFS(Human_Data_Entry!$G$3:$G$524,A24,Human_Data_Entry!$J$3:$J$524,"BUY")+COUNTIFS(Human_Data_Entry!$G$3:$G$524,A24,Human_Data_Entry!$J$3:$J$524,"SELL")</f>
        <v/>
      </c>
    </row>
    <row r="25" ht="45.95" customHeight="1" s="241">
      <c r="A25">
        <f>Settings!$A$10</f>
        <v/>
      </c>
      <c r="B25" s="101">
        <f>COUNTIFS(Human_Data_Entry!$G$3:$G$524,A25,Human_Data_Entry!$J$3:$J$524,"BUY",Human_Data_Entry!$R$3:$R$524,"UP")+COUNTIFS(Human_Data_Entry!$G$3:$G$524,A25,Human_Data_Entry!$J$3:$J$524,"BUY",Human_Data_Entry!$R$3:$R$524,"DOWN")+COUNTIFS(Human_Data_Entry!$G$3:$G$524,A25,Human_Data_Entry!$J$3:$J$524,"SELL",Human_Data_Entry!$R$3:$R$524,"UP")+COUNTIFS(Human_Data_Entry!$G$3:$G$524,A25,Human_Data_Entry!$J$3:$J$524,"SELL",Human_Data_Entry!$R$3:$R$524,"DOWN")</f>
        <v/>
      </c>
      <c r="C25" s="101">
        <f>COUNTIFS(Human_Data_Entry!$G$3:$G$524,A25,Human_Data_Entry!$J$3:$J$524,"BUY",Human_Data_Entry!$R$3:$R$524,"UP")+COUNTIFS(Human_Data_Entry!$G$3:$G$524,A25,Human_Data_Entry!$J$3:$J$524,"SELL",Human_Data_Entry!$R$3:$R$524,"DOWN")</f>
        <v/>
      </c>
      <c r="D25">
        <f>IF(B25=0,"",C25/B25)</f>
        <v/>
      </c>
      <c r="E25" s="101">
        <f>COUNTIFS(Human_Data_Entry!$G$3:$G$524,A25,Human_Data_Entry!$J$3:$J$524,"BUY",Human_Data_Entry!$R$3:$R$524,"DOWN")+COUNTIFS(Human_Data_Entry!$G$3:$G$524,A25,Human_Data_Entry!$J$3:$J$524,"SELL",Human_Data_Entry!$R$3:$R$524,"DOWN")</f>
        <v/>
      </c>
      <c r="F25">
        <f>IF(B25=0,"",E25/B25)</f>
        <v/>
      </c>
      <c r="G25">
        <f>IFERROR(1 - _xlfn.SINGLE(_xlfn.BINOM.DIST(C25 - 1, B25, F25, TRUE)), "")</f>
        <v/>
      </c>
      <c r="H25">
        <f>IFERROR(2*1.645*SQRT(F25*(1-F25)/B25),"")</f>
        <v/>
      </c>
      <c r="I25" s="101">
        <f>COUNTIFS(Human_Data_Entry!$G$3:$G$524,A25,Human_Data_Entry!$J$3:$J$524,"HOLD")</f>
        <v/>
      </c>
      <c r="J25">
        <f>IFERROR(I25/(I25+K25),"")</f>
        <v/>
      </c>
      <c r="K25" s="101">
        <f>COUNTIFS(Human_Data_Entry!$G$3:$G$524,A25,Human_Data_Entry!$J$3:$J$524,"BUY")+COUNTIFS(Human_Data_Entry!$G$3:$G$524,A25,Human_Data_Entry!$J$3:$J$524,"SELL")</f>
        <v/>
      </c>
    </row>
    <row r="26" ht="45.95" customHeight="1" s="241">
      <c r="A26">
        <f>Settings!$A$11</f>
        <v/>
      </c>
      <c r="B26" s="101">
        <f>COUNTIFS(Human_Data_Entry!$G$3:$G$524,A26,Human_Data_Entry!$J$3:$J$524,"BUY",Human_Data_Entry!$R$3:$R$524,"UP")+COUNTIFS(Human_Data_Entry!$G$3:$G$524,A26,Human_Data_Entry!$J$3:$J$524,"BUY",Human_Data_Entry!$R$3:$R$524,"DOWN")+COUNTIFS(Human_Data_Entry!$G$3:$G$524,A26,Human_Data_Entry!$J$3:$J$524,"SELL",Human_Data_Entry!$R$3:$R$524,"UP")+COUNTIFS(Human_Data_Entry!$G$3:$G$524,A26,Human_Data_Entry!$J$3:$J$524,"SELL",Human_Data_Entry!$R$3:$R$524,"DOWN")</f>
        <v/>
      </c>
      <c r="C26" s="101">
        <f>COUNTIFS(Human_Data_Entry!$G$3:$G$524,A26,Human_Data_Entry!$J$3:$J$524,"BUY",Human_Data_Entry!$R$3:$R$524,"UP")+COUNTIFS(Human_Data_Entry!$G$3:$G$524,A26,Human_Data_Entry!$J$3:$J$524,"SELL",Human_Data_Entry!$R$3:$R$524,"DOWN")</f>
        <v/>
      </c>
      <c r="D26">
        <f>IF(B26=0,"",C26/B26)</f>
        <v/>
      </c>
      <c r="E26" s="101">
        <f>COUNTIFS(Human_Data_Entry!$G$3:$G$524,A26,Human_Data_Entry!$J$3:$J$524,"BUY",Human_Data_Entry!$R$3:$R$524,"DOWN")+COUNTIFS(Human_Data_Entry!$G$3:$G$524,A26,Human_Data_Entry!$J$3:$J$524,"SELL",Human_Data_Entry!$R$3:$R$524,"DOWN")</f>
        <v/>
      </c>
      <c r="F26">
        <f>IF(B26=0,"",E26/B26)</f>
        <v/>
      </c>
      <c r="G26">
        <f>IFERROR(1 - _xlfn.SINGLE(_xlfn.BINOM.DIST(C26 - 1, B26, F26, TRUE)), "")</f>
        <v/>
      </c>
      <c r="H26">
        <f>IFERROR(2*1.645*SQRT(F26*(1-F26)/B26),"")</f>
        <v/>
      </c>
      <c r="I26" s="101">
        <f>COUNTIFS(Human_Data_Entry!$G$3:$G$524,A26,Human_Data_Entry!$J$3:$J$524,"HOLD")</f>
        <v/>
      </c>
      <c r="J26">
        <f>IFERROR(I26/(I26+K26),"")</f>
        <v/>
      </c>
      <c r="K26" s="101">
        <f>COUNTIFS(Human_Data_Entry!$G$3:$G$524,A26,Human_Data_Entry!$J$3:$J$524,"BUY")+COUNTIFS(Human_Data_Entry!$G$3:$G$524,A26,Human_Data_Entry!$J$3:$J$524,"SELL")</f>
        <v/>
      </c>
    </row>
    <row r="27" ht="45.95" customHeight="1" s="241">
      <c r="A27">
        <f>Settings!$A$12</f>
        <v/>
      </c>
      <c r="B27" s="101">
        <f>COUNTIFS(Human_Data_Entry!$G$3:$G$524,A27,Human_Data_Entry!$J$3:$J$524,"BUY",Human_Data_Entry!$R$3:$R$524,"UP")+COUNTIFS(Human_Data_Entry!$G$3:$G$524,A27,Human_Data_Entry!$J$3:$J$524,"BUY",Human_Data_Entry!$R$3:$R$524,"DOWN")+COUNTIFS(Human_Data_Entry!$G$3:$G$524,A27,Human_Data_Entry!$J$3:$J$524,"SELL",Human_Data_Entry!$R$3:$R$524,"UP")+COUNTIFS(Human_Data_Entry!$G$3:$G$524,A27,Human_Data_Entry!$J$3:$J$524,"SELL",Human_Data_Entry!$R$3:$R$524,"DOWN")</f>
        <v/>
      </c>
      <c r="C27" s="101">
        <f>COUNTIFS(Human_Data_Entry!$G$3:$G$524,A27,Human_Data_Entry!$J$3:$J$524,"BUY",Human_Data_Entry!$R$3:$R$524,"UP")+COUNTIFS(Human_Data_Entry!$G$3:$G$524,A27,Human_Data_Entry!$J$3:$J$524,"SELL",Human_Data_Entry!$R$3:$R$524,"DOWN")</f>
        <v/>
      </c>
      <c r="D27">
        <f>IF(B27=0,"",C27/B27)</f>
        <v/>
      </c>
      <c r="E27" s="101">
        <f>COUNTIFS(Human_Data_Entry!$G$3:$G$524,A27,Human_Data_Entry!$J$3:$J$524,"BUY",Human_Data_Entry!$R$3:$R$524,"DOWN")+COUNTIFS(Human_Data_Entry!$G$3:$G$524,A27,Human_Data_Entry!$J$3:$J$524,"SELL",Human_Data_Entry!$R$3:$R$524,"DOWN")</f>
        <v/>
      </c>
      <c r="F27">
        <f>IF(B27=0,"",E27/B27)</f>
        <v/>
      </c>
      <c r="G27">
        <f>IFERROR(1 - _xlfn.SINGLE(_xlfn.BINOM.DIST(C27 - 1, B27, F27, TRUE)), "")</f>
        <v/>
      </c>
      <c r="H27">
        <f>IFERROR(2*1.645*SQRT(F27*(1-F27)/B27),"")</f>
        <v/>
      </c>
      <c r="I27" s="101">
        <f>COUNTIFS(Human_Data_Entry!$G$3:$G$524,A27,Human_Data_Entry!$J$3:$J$524,"HOLD")</f>
        <v/>
      </c>
      <c r="J27">
        <f>IFERROR(I27/(I27+K27),"")</f>
        <v/>
      </c>
      <c r="K27" s="101">
        <f>COUNTIFS(Human_Data_Entry!$G$3:$G$524,A27,Human_Data_Entry!$J$3:$J$524,"BUY")+COUNTIFS(Human_Data_Entry!$G$3:$G$524,A27,Human_Data_Entry!$J$3:$J$524,"SELL")</f>
        <v/>
      </c>
    </row>
    <row r="28" ht="45.95" customHeight="1" s="241">
      <c r="A28">
        <f>Settings!$A$13</f>
        <v/>
      </c>
      <c r="B28" s="101">
        <f>COUNTIFS(Human_Data_Entry!$G$3:$G$524,A28,Human_Data_Entry!$J$3:$J$524,"BUY",Human_Data_Entry!$R$3:$R$524,"UP")+COUNTIFS(Human_Data_Entry!$G$3:$G$524,A28,Human_Data_Entry!$J$3:$J$524,"BUY",Human_Data_Entry!$R$3:$R$524,"DOWN")+COUNTIFS(Human_Data_Entry!$G$3:$G$524,A28,Human_Data_Entry!$J$3:$J$524,"SELL",Human_Data_Entry!$R$3:$R$524,"UP")+COUNTIFS(Human_Data_Entry!$G$3:$G$524,A28,Human_Data_Entry!$J$3:$J$524,"SELL",Human_Data_Entry!$R$3:$R$524,"DOWN")</f>
        <v/>
      </c>
      <c r="C28" s="101">
        <f>COUNTIFS(Human_Data_Entry!$G$3:$G$524,A28,Human_Data_Entry!$J$3:$J$524,"BUY",Human_Data_Entry!$R$3:$R$524,"UP")+COUNTIFS(Human_Data_Entry!$G$3:$G$524,A28,Human_Data_Entry!$J$3:$J$524,"SELL",Human_Data_Entry!$R$3:$R$524,"DOWN")</f>
        <v/>
      </c>
      <c r="D28">
        <f>IF(B28=0,"",C28/B28)</f>
        <v/>
      </c>
      <c r="E28" s="101">
        <f>COUNTIFS(Human_Data_Entry!$G$3:$G$524,A28,Human_Data_Entry!$J$3:$J$524,"BUY",Human_Data_Entry!$R$3:$R$524,"DOWN")+COUNTIFS(Human_Data_Entry!$G$3:$G$524,A28,Human_Data_Entry!$J$3:$J$524,"SELL",Human_Data_Entry!$R$3:$R$524,"DOWN")</f>
        <v/>
      </c>
      <c r="F28">
        <f>IF(B28=0,"",E28/B28)</f>
        <v/>
      </c>
      <c r="G28">
        <f>IFERROR(1 - _xlfn.SINGLE(_xlfn.BINOM.DIST(C28 - 1, B28, F28, TRUE)), "")</f>
        <v/>
      </c>
      <c r="H28">
        <f>IFERROR(2*1.645*SQRT(F28*(1-F28)/B28),"")</f>
        <v/>
      </c>
      <c r="I28" s="101">
        <f>COUNTIFS(Human_Data_Entry!$G$3:$G$524,A28,Human_Data_Entry!$J$3:$J$524,"HOLD")</f>
        <v/>
      </c>
      <c r="J28">
        <f>IFERROR(I28/(I28+K28),"")</f>
        <v/>
      </c>
      <c r="K28" s="101">
        <f>COUNTIFS(Human_Data_Entry!$G$3:$G$524,A28,Human_Data_Entry!$J$3:$J$524,"BUY")+COUNTIFS(Human_Data_Entry!$G$3:$G$524,A28,Human_Data_Entry!$J$3:$J$524,"SELL")</f>
        <v/>
      </c>
    </row>
    <row r="29" ht="45.95" customHeight="1" s="241">
      <c r="A29">
        <f>Settings!$A$14</f>
        <v/>
      </c>
      <c r="B29" s="101">
        <f>COUNTIFS(Human_Data_Entry!$G$3:$G$524,A29,Human_Data_Entry!$J$3:$J$524,"BUY",Human_Data_Entry!$R$3:$R$524,"UP")+COUNTIFS(Human_Data_Entry!$G$3:$G$524,A29,Human_Data_Entry!$J$3:$J$524,"BUY",Human_Data_Entry!$R$3:$R$524,"DOWN")+COUNTIFS(Human_Data_Entry!$G$3:$G$524,A29,Human_Data_Entry!$J$3:$J$524,"SELL",Human_Data_Entry!$R$3:$R$524,"UP")+COUNTIFS(Human_Data_Entry!$G$3:$G$524,A29,Human_Data_Entry!$J$3:$J$524,"SELL",Human_Data_Entry!$R$3:$R$524,"DOWN")</f>
        <v/>
      </c>
      <c r="C29" s="101">
        <f>COUNTIFS(Human_Data_Entry!$G$3:$G$524,A29,Human_Data_Entry!$J$3:$J$524,"BUY",Human_Data_Entry!$R$3:$R$524,"UP")+COUNTIFS(Human_Data_Entry!$G$3:$G$524,A29,Human_Data_Entry!$J$3:$J$524,"SELL",Human_Data_Entry!$R$3:$R$524,"DOWN")</f>
        <v/>
      </c>
      <c r="D29">
        <f>IF(B29=0,"",C29/B29)</f>
        <v/>
      </c>
      <c r="E29" s="101">
        <f>COUNTIFS(Human_Data_Entry!$G$3:$G$524,A29,Human_Data_Entry!$J$3:$J$524,"BUY",Human_Data_Entry!$R$3:$R$524,"DOWN")+COUNTIFS(Human_Data_Entry!$G$3:$G$524,A29,Human_Data_Entry!$J$3:$J$524,"SELL",Human_Data_Entry!$R$3:$R$524,"DOWN")</f>
        <v/>
      </c>
      <c r="F29">
        <f>IF(B29=0,"",E29/B29)</f>
        <v/>
      </c>
      <c r="G29">
        <f>IFERROR(1 - _xlfn.SINGLE(_xlfn.BINOM.DIST(C29 - 1, B29, F29, TRUE)), "")</f>
        <v/>
      </c>
      <c r="H29">
        <f>IFERROR(2*1.645*SQRT(F29*(1-F29)/B29),"")</f>
        <v/>
      </c>
      <c r="I29" s="101">
        <f>COUNTIFS(Human_Data_Entry!$G$3:$G$524,A29,Human_Data_Entry!$J$3:$J$524,"HOLD")</f>
        <v/>
      </c>
      <c r="J29">
        <f>IFERROR(I29/(I29+K29),"")</f>
        <v/>
      </c>
      <c r="K29" s="101">
        <f>COUNTIFS(Human_Data_Entry!$G$3:$G$524,A29,Human_Data_Entry!$J$3:$J$524,"BUY")+COUNTIFS(Human_Data_Entry!$G$3:$G$524,A29,Human_Data_Entry!$J$3:$J$524,"SELL")</f>
        <v/>
      </c>
    </row>
    <row r="30" ht="45.95" customHeight="1" s="241">
      <c r="A30" s="118" t="inlineStr">
        <is>
          <t>CHART NOTE: The two floor-level series ('Coverage floor' and 'Selectivity floor') are rendered as bars, not horizontal lines, because openpyxl cannot produce a clean bar+line combo chart without raw XML manipulation. To convert to horizontal lines: open in Excel → right-click each floor series → Change Series Chart Type → Line. The coverage and selectivity bars show accuracy; floor bars show the naive majority-direction baseline for the matching denominator.</t>
        </is>
      </c>
    </row>
    <row r="31" ht="15.95" customHeight="1" s="241">
      <c r="A31" s="242" t="inlineStr">
        <is>
          <t>Chart data (feeds accuracy comparison chart below)</t>
        </is>
      </c>
    </row>
    <row r="32" ht="15.95" customHeight="1" s="241">
      <c r="A32" s="242" t="inlineStr">
        <is>
          <t>Arm</t>
        </is>
      </c>
      <c r="B32" s="242" t="inlineStr">
        <is>
          <t>Coverage acc</t>
        </is>
      </c>
      <c r="C32" s="242" t="inlineStr">
        <is>
          <t>Selectivity acc</t>
        </is>
      </c>
      <c r="D32" s="242" t="inlineStr">
        <is>
          <t>Coverage floor</t>
        </is>
      </c>
      <c r="E32" s="242" t="inlineStr">
        <is>
          <t>Selectivity floor</t>
        </is>
      </c>
    </row>
    <row r="33" ht="15.95" customHeight="1" s="241">
      <c r="A33" t="inlineStr">
        <is>
          <t>LLM</t>
        </is>
      </c>
      <c r="B33">
        <f>D8</f>
        <v/>
      </c>
      <c r="C33">
        <f>D21</f>
        <v/>
      </c>
      <c r="D33">
        <f>F8</f>
        <v/>
      </c>
      <c r="E33">
        <f>F21</f>
        <v/>
      </c>
    </row>
    <row r="34" ht="15.95" customHeight="1" s="241">
      <c r="A34" t="inlineStr">
        <is>
          <t>Human (All)</t>
        </is>
      </c>
      <c r="B34">
        <f>D9</f>
        <v/>
      </c>
      <c r="C34">
        <f>D22</f>
        <v/>
      </c>
      <c r="D34">
        <f>F9</f>
        <v/>
      </c>
      <c r="E34">
        <f>F22</f>
        <v/>
      </c>
    </row>
    <row r="35" ht="15.95" customHeight="1" s="241"/>
    <row r="36" ht="15.95" customHeight="1" s="241"/>
    <row r="37" ht="15.95" customHeight="1" s="241"/>
    <row r="38" ht="15.95" customHeight="1" s="241"/>
    <row r="39" ht="15.95" customHeight="1" s="241"/>
    <row r="40" ht="15.95" customHeight="1" s="241"/>
    <row r="41" ht="15.95" customHeight="1" s="241"/>
    <row r="42" ht="15.95" customHeight="1" s="241"/>
    <row r="43" ht="15.95" customHeight="1" s="241"/>
    <row r="44" ht="15.95" customHeight="1" s="241"/>
    <row r="45" ht="15.95" customHeight="1" s="241"/>
    <row r="46" ht="15.95" customHeight="1" s="241"/>
    <row r="47" ht="15.95" customHeight="1" s="241"/>
    <row r="48" ht="15.95" customHeight="1" s="241"/>
    <row r="49" ht="15.95" customHeight="1" s="241"/>
    <row r="50" ht="15.95" customHeight="1" s="241"/>
    <row r="51" ht="15.95" customHeight="1" s="241"/>
    <row r="52" ht="15.95" customHeight="1" s="241"/>
    <row r="53" ht="15.95" customHeight="1" s="241"/>
    <row r="54" ht="15.95" customHeight="1" s="241"/>
    <row r="55" ht="15.95" customHeight="1" s="241"/>
    <row r="56" ht="15.95" customHeight="1" s="241"/>
    <row r="57" ht="15.95" customHeight="1" s="241"/>
    <row r="58" ht="15.95" customHeight="1" s="241"/>
    <row r="59" ht="15.95" customHeight="1" s="241"/>
    <row r="60" ht="45.95" customHeight="1" s="241">
      <c r="A60" s="229" t="inlineStr">
        <is>
          <t>KEY DISTINCTION: Coverage (47%) and selectivity (62%) are not both correct — they measure different things on different denominators. Coverage penalises every HOLD call; selectivity credits only committed events that moved. Quoting one without the other is misleading. The repo's headline accuracy figure is selectivity (68/109 = 62.4%, from item_e_walkforward.json); the workbook Summary and Figure 1 show coverage (47% for LLM). Both are real; neither is the whole story.</t>
        </is>
      </c>
    </row>
    <row r="61" ht="15.95" customHeight="1" s="241"/>
    <row r="62" ht="15.95" customHeight="1" s="241"/>
    <row r="63" ht="30" customHeight="1" s="241">
      <c r="A63" s="119" t="inlineStr">
        <is>
          <t>RECORD (2026-08-13 basis, derived 2026-08-21) — Human arm, the 295 rows then marked Price Basis Corrected = YES. The cells in rows 66–74 were live COUNTIFS formulas that silently tracked the BS column as it grew to 405, so the earlier claim here that the figures had 'NOT been re-run' was wrong — and no 295-era values were ever frozen in any committed vintage. The human values below are now typed records derived from the committed 2026-08-13 workbook vintage (raw prices and scores, same formula semantics). Current 405-row tables: rows 94–101. Ledger L9.</t>
        </is>
      </c>
    </row>
    <row r="64" ht="45.95" customHeight="1" s="241">
      <c r="A64" s="116" t="inlineStr">
        <is>
          <t>Human cells below are typed record values (2026-08-13 basis, 295 corrected rows, original-price correctness). LLM cells remain live single-basis formulas — their inputs did not change. For current human figures use rows 94–101; comparing the two shows the effect of the re-anchoring completed since.</t>
        </is>
      </c>
    </row>
    <row r="65" ht="15.95" customHeight="1" s="241"/>
    <row r="66" ht="15.95" customHeight="1" s="241">
      <c r="A66" s="96" t="inlineStr">
        <is>
          <t>Coverage (2026-08-13 record: 295 corrected rows)</t>
        </is>
      </c>
    </row>
    <row r="67" ht="15.95" customHeight="1" s="241">
      <c r="A67" s="96" t="inlineStr">
        <is>
          <t>Arm</t>
        </is>
      </c>
      <c r="B67" s="96" t="inlineStr">
        <is>
          <t>YES</t>
        </is>
      </c>
      <c r="C67" s="96" t="inlineStr">
        <is>
          <t>N</t>
        </is>
      </c>
      <c r="D67" s="96" t="inlineStr">
        <is>
          <t>Accuracy</t>
        </is>
      </c>
      <c r="E67" s="96" t="inlineStr">
        <is>
          <t>Floor (always-DOWN)</t>
        </is>
      </c>
      <c r="F67" s="96" t="inlineStr">
        <is>
          <t>p-value</t>
        </is>
      </c>
      <c r="G67" s="96" t="inlineStr">
        <is>
          <t>MDE</t>
        </is>
      </c>
    </row>
    <row r="68" ht="45.95" customHeight="1" s="241">
      <c r="A68" t="inlineStr">
        <is>
          <t>Human (all raters, 295 corrected)</t>
        </is>
      </c>
      <c r="B68" s="101" t="n">
        <v>106</v>
      </c>
      <c r="C68" s="101" t="n">
        <v>295</v>
      </c>
      <c r="D68" t="n">
        <v>0.3593</v>
      </c>
      <c r="E68" s="101" t="n">
        <v>0.3695</v>
      </c>
      <c r="F68" t="n">
        <v>0.6619</v>
      </c>
      <c r="G68">
        <f>IFERROR(2*1.645*SQRT(E68*(1-E68)/C68),"")</f>
        <v/>
      </c>
    </row>
    <row r="69" ht="45.95" customHeight="1" s="241">
      <c r="A69" t="inlineStr">
        <is>
          <t>LLM (single basis, unchanged)</t>
        </is>
      </c>
      <c r="B69" s="101">
        <f>COUNTIFS(LLM_Data_Entry!$F$3:$F$430,"LLM",LLM_Data_Entry!$R$3:$R$430,"YES")</f>
        <v/>
      </c>
      <c r="C69" s="101">
        <f>COUNTIFS(LLM_Data_Entry!$F$3:$F$430,"LLM",LLM_Data_Entry!$R$3:$R$430,"&lt;&gt;")</f>
        <v/>
      </c>
      <c r="D69">
        <f>IFERROR(B69/C69,"")</f>
        <v/>
      </c>
      <c r="E69" s="101">
        <f>IFERROR(COUNTIFS(LLM_Data_Entry!$F$3:$F$430,"LLM",LLM_Data_Entry!$Q$3:$Q$430,"DOWN")/COUNTIFS(LLM_Data_Entry!$F$3:$F$430,"LLM",LLM_Data_Entry!$R$3:$R$430,"&lt;&gt;"),"")</f>
        <v/>
      </c>
      <c r="F69">
        <f>IFERROR(1 - _xlfn.SINGLE(_xlfn.BINOM.DIST(B69 - 1, C69, E69, TRUE)), "")</f>
        <v/>
      </c>
      <c r="G69">
        <f>IFERROR(2*1.645*SQRT(E69*(1-E69)/C69),"")</f>
        <v/>
      </c>
    </row>
    <row r="70" ht="15.95" customHeight="1" s="241"/>
    <row r="71" ht="15.95" customHeight="1" s="241">
      <c r="A71" s="96" t="inlineStr">
        <is>
          <t>Selectivity (2026-08-13 record: 295 corrected rows)</t>
        </is>
      </c>
    </row>
    <row r="72" ht="15.95" customHeight="1" s="241">
      <c r="A72" s="96" t="inlineStr">
        <is>
          <t>Arm</t>
        </is>
      </c>
      <c r="B72" s="96" t="inlineStr">
        <is>
          <t>Correct</t>
        </is>
      </c>
      <c r="C72" s="96" t="inlineStr">
        <is>
          <t>N (traded+graded)</t>
        </is>
      </c>
      <c r="D72" s="96" t="inlineStr">
        <is>
          <t>Accuracy</t>
        </is>
      </c>
      <c r="E72" s="96" t="inlineStr">
        <is>
          <t>Floor (always-DOWN)</t>
        </is>
      </c>
      <c r="F72" s="96" t="inlineStr">
        <is>
          <t>p-value</t>
        </is>
      </c>
      <c r="G72" s="96" t="inlineStr">
        <is>
          <t>MDE</t>
        </is>
      </c>
    </row>
    <row r="73" ht="45.95" customHeight="1" s="241">
      <c r="A73" t="inlineStr">
        <is>
          <t>Human (all raters, 295 corrected)</t>
        </is>
      </c>
      <c r="B73" s="101" t="n">
        <v>78</v>
      </c>
      <c r="C73" s="101" t="n">
        <v>159</v>
      </c>
      <c r="D73" t="n">
        <v>0.4906</v>
      </c>
      <c r="E73" s="101" t="n">
        <v>0.5472</v>
      </c>
      <c r="F73" t="n">
        <v>0.9347</v>
      </c>
      <c r="G73">
        <f>IFERROR(2*1.645*SQRT(E73*(1-E73)/C73),"")</f>
        <v/>
      </c>
    </row>
    <row r="74" ht="45.95" customHeight="1" s="241">
      <c r="A74" t="inlineStr">
        <is>
          <t>LLM (single basis, unchanged)</t>
        </is>
      </c>
      <c r="B74" s="101">
        <f>COUNTIFS(LLM_Data_Entry!$F$3:$F$430,"LLM",LLM_Data_Entry!$H$3:$H$430,"BUY",LLM_Data_Entry!$Q$3:$Q$430,"UP")+COUNTIFS(LLM_Data_Entry!$F$3:$F$430,"LLM",LLM_Data_Entry!$H$3:$H$430,"SELL",LLM_Data_Entry!$Q$3:$Q$430,"DOWN")</f>
        <v/>
      </c>
      <c r="C74" s="101">
        <f>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D74">
        <f>IFERROR(B74/C74,"")</f>
        <v/>
      </c>
      <c r="E74" s="101">
        <f>IFERROR((COUNTIFS(LLM_Data_Entry!$F$3:$F$430,"LLM",LLM_Data_Entry!$H$3:$H$430,"BUY",LLM_Data_Entry!$Q$3:$Q$430,"DOWN")+COUNTIFS(LLM_Data_Entry!$F$3:$F$430,"LLM",LLM_Data_Entry!$H$3:$H$430,"SELL",LLM_Data_Entry!$Q$3:$Q$430,"DOWN"))/(COUNTIFS(LLM_Data_Entry!$F$3:$F$430,"LLM",LLM_Data_Entry!$H$3:$H$430,"BUY",LLM_Data_Entry!$Q$3:$Q$430,"UP")+COUNTIFS(LLM_Data_Entry!$F$3:$F$430,"LLM",LLM_Data_Entry!$H$3:$H$430,"BUY",LLM_Data_Entry!$Q$3:$Q$430,"DOWN")+COUNTIFS(LLM_Data_Entry!$F$3:$F$430,"LLM",LLM_Data_Entry!$H$3:$H$430,"SELL",LLM_Data_Entry!$Q$3:$Q$430,"UP")+COUNTIFS(LLM_Data_Entry!$F$3:$F$430,"LLM",LLM_Data_Entry!$H$3:$H$430,"SELL",LLM_Data_Entry!$Q$3:$Q$430,"DOWN")),"")</f>
        <v/>
      </c>
      <c r="F74">
        <f>IFERROR(1 - _xlfn.SINGLE(_xlfn.BINOM.DIST(B74 - 1, C74, E74, TRUE)), "")</f>
        <v/>
      </c>
      <c r="G74">
        <f>IFERROR(2*1.645*SQRT(E74*(1-E74)/C74),"")</f>
        <v/>
      </c>
    </row>
    <row r="75" ht="15.95" customHeight="1" s="241"/>
    <row r="76" ht="45.95" customHeight="1" s="241">
      <c r="A76" s="117" t="inlineStr">
        <is>
          <t>Interpretation: the record above (2026-08-13 basis) against the current tables in rows 94–101 shows what the re-anchoring completed since then did to the human figures. Report the current rows when citing human-arm accuracy from this workbook, and say which basis is being quoted.</t>
        </is>
      </c>
    </row>
    <row r="77" ht="15.95" customHeight="1" s="241"/>
    <row r="78" ht="30" customHeight="1" s="241">
      <c r="A78" s="221" t="inlineStr">
        <is>
          <t>N=232 CLEAN UNIVERSE — LLM ONLY (In Clean Universe = YES, 36 excluded events removed)</t>
        </is>
      </c>
    </row>
    <row r="79" ht="45.95" customHeight="1" s="241">
      <c r="A79" s="220" t="inlineStr">
        <is>
          <t>The 36 excluded events (25 worksheet contamination, 1 SPOT misattribution, 1 look-ahead document, 9 timing unresolved) may inflate N=268 figures. N=232 uses only clean events. LLM values are static from authoritative repo artifacts — they are NOT formula-driven in this section. Human figures require the Price Basis Corrected filter (see rows 63+ above).</t>
        </is>
      </c>
    </row>
    <row r="80" ht="15.95" customHeight="1" s="241">
      <c r="A80" s="222" t="inlineStr">
        <is>
          <t>COVERAGE (N=232)</t>
        </is>
      </c>
    </row>
    <row r="81" ht="15.95" customHeight="1" s="241">
      <c r="A81" s="96" t="inlineStr">
        <is>
          <t>Arm</t>
        </is>
      </c>
      <c r="B81" s="96" t="inlineStr">
        <is>
          <t>n (denom)</t>
        </is>
      </c>
      <c r="C81" s="96" t="inlineStr">
        <is>
          <t>YES (correct)</t>
        </is>
      </c>
      <c r="D81" s="96" t="inlineStr">
        <is>
          <t>Accuracy</t>
        </is>
      </c>
      <c r="E81" s="96" t="inlineStr">
        <is>
          <t>Note</t>
        </is>
      </c>
      <c r="F81" s="96" t="inlineStr">
        <is>
          <t>Source</t>
        </is>
      </c>
    </row>
    <row r="82" ht="30" customHeight="1" s="241">
      <c r="A82" s="223" t="inlineStr">
        <is>
          <t>LLM (DeepSeek, N=232)</t>
        </is>
      </c>
      <c r="B82" s="100" t="n">
        <v>145</v>
      </c>
      <c r="C82" s="100" t="n">
        <v>68</v>
      </c>
      <c r="D82" s="223" t="inlineStr">
        <is>
          <t>46.9% (68/145)</t>
        </is>
      </c>
      <c r="E82" s="120" t="inlineStr">
        <is>
          <t>Coverage = correct / all graded events (|ret|&gt;2%), HOLD counted wrong when stock moved</t>
        </is>
      </c>
      <c r="F82" s="120" t="inlineStr">
        <is>
          <t>ext2_holding_curve.csv / frontier_table.csv (run 20260812_183842)</t>
        </is>
      </c>
    </row>
    <row r="83" ht="15.95" customHeight="1" s="241"/>
    <row r="84" ht="15.95" customHeight="1" s="241">
      <c r="A84" s="222" t="inlineStr">
        <is>
          <t>SELECTIVITY (N=232) — PRIMARY HEADLINE</t>
        </is>
      </c>
    </row>
    <row r="85" ht="15.95" customHeight="1" s="241">
      <c r="A85" s="96" t="inlineStr">
        <is>
          <t>Arm</t>
        </is>
      </c>
      <c r="B85" s="96" t="inlineStr">
        <is>
          <t>n (denom)</t>
        </is>
      </c>
      <c r="C85" s="96" t="inlineStr">
        <is>
          <t>Correct</t>
        </is>
      </c>
      <c r="D85" s="96" t="inlineStr">
        <is>
          <t>Accuracy</t>
        </is>
      </c>
      <c r="E85" s="96" t="inlineStr">
        <is>
          <t>Floor (always-DOWN)</t>
        </is>
      </c>
      <c r="F85" s="96" t="inlineStr">
        <is>
          <t>Source</t>
        </is>
      </c>
    </row>
    <row r="86" ht="30" customHeight="1" s="241">
      <c r="A86" s="223" t="inlineStr">
        <is>
          <t>LLM (DeepSeek, N=232)</t>
        </is>
      </c>
      <c r="B86" s="100" t="n">
        <v>109</v>
      </c>
      <c r="C86" s="100" t="n">
        <v>68</v>
      </c>
      <c r="D86" s="223" t="inlineStr">
        <is>
          <t>62.4% (68/109)</t>
        </is>
      </c>
      <c r="E86" s="224" t="inlineStr">
        <is>
          <t>54.1% (59/109) — always-DOWN floor on N=232 (from item_e_walkforward.json)</t>
        </is>
      </c>
      <c r="F86" s="120" t="inlineStr">
        <is>
          <t>item_e_walkforward.json (run 20260812_183842) — AUTHORITATIVE</t>
        </is>
      </c>
    </row>
    <row r="87" ht="15.95" customHeight="1" s="241"/>
    <row r="88" ht="45.95" customHeight="1" s="241">
      <c r="A88" s="101" t="inlineStr">
        <is>
          <t>RECONCILIATION RESOLVED 2026-08-13 (at the SUPERSEDED 0.55/0.45 constants; the KHC price fix below still stands, but the closing claim that the sheet formula reproduces 62/95 is true only at those constants - at the deployed 0.80/0.20 it reproduces 68/109 = 62.4%): The 1-event discrepancy (formula 61/94 vs authoritative 62/95) was caused by KHC_FQ1_2025 (Kraft Heinz, FQ4 2025, doc_id KHC_FQ1_2025). Its next_day_open was blank (a missing-price sentinel) in the pre-correction workbook. With next_day_open=blank, the formula returned actual_pct_change=0.0%, direction=FLAT — excluding KHC from the selectivity denominator. In returns_matrix.csv, ret_overnight=−0.0442 (−4.4177%), |ret|&gt;2%, so KHC belongs in the graded set. Decision=SELL, actual direction=DOWN → prediction_correct=YES. Fixed 2026-08-13: next_day_open=23.80 (returns_matrix entry_close 24.9 × (1−0.044177)). After this fix the LLM_Data_Entry formula reproduces 62/95=65.3% exactly; the static figures in rows 85-86 above are correct and verified.</t>
        </is>
      </c>
    </row>
    <row r="89" ht="45.95" customHeight="1" s="241">
      <c r="A89" s="220" t="inlineStr">
        <is>
          <t>RECONCILIATION NOTE (recorded at the N=233 vintage; rows 82/86 above carry the current N=232 figures): 47.3% (coverage) and 62.7% (selectivity) describe the same deployed model on the same N=233 events but use different denominators. Coverage denominator=146 (all events where |ret|&gt;2%); selectivity denominator=110 (model committed BUY/SELL AND |ret|&gt;2%). Neither figure is wrong; both must be cited together. The 62.7% is the project headline; the 47.3% provides the fuller picture that penalises HOLD decisions.</t>
        </is>
      </c>
    </row>
    <row r="90" ht="15.95" customHeight="1" s="241"/>
    <row r="91" ht="30" customHeight="1" s="241">
      <c r="A91" s="101" t="inlineStr">
        <is>
          <t>HUMAN-ARM COVERAGE LIMITATION (N=420 total rows; 405 corrected, 15 uncorrected — see A92)</t>
        </is>
      </c>
    </row>
    <row r="92" ht="45.95" customHeight="1" s="241">
      <c r="A92" s="101" t="inlineStr">
        <is>
          <t>Price-basis status (live count, 2026-08-21): 405 of 420 Human_Data_Entry rows carry Price_Basis_Corrected = YES. The 15 remaining rows are 15 unique human-only events that do not appear in the LLM returns_matrix; for each, the recorded reason (column BT) is 'EDGAR lookup deferred — manual verification required'. Human-arm accuracy figures should be reported on the corrected subset with the uncorrected full-sample figure alongside. Earlier counts in this cell (~295/~120/~109) described the 2026-08-13 state and are superseded.</t>
        </is>
      </c>
    </row>
    <row r="94">
      <c r="A94" t="inlineStr">
        <is>
          <t>HUMAN ARM — CURRENT (2026-08-21): 405 corrected rows (Price Basis Corrected = YES), re-priced correctness (columns AH/AI/AJ). 16 of the 405 carry no re-priced outcome (the ALV.DE / STAN.L / DELL / PLTR / WDAY family) and drop from denominators. Typed as gated values; formula equivalent is COUNTIFS over AJ/AI/BS. Group decision Q10. (Efficiency_Corrected D36's '20 rows' counts all 420: these 16 plus 4 of the 15 uncorrected human-only rows; the other 11 uncorrected rows do carry re-priced outcomes.)</t>
        </is>
      </c>
    </row>
    <row r="95">
      <c r="A95" s="96" t="inlineStr">
        <is>
          <t>Coverage (405-corrected rows, re-priced)</t>
        </is>
      </c>
    </row>
    <row r="96">
      <c r="A96" s="96" t="inlineStr">
        <is>
          <t>Arm</t>
        </is>
      </c>
      <c r="B96" s="96" t="inlineStr">
        <is>
          <t>YES (correct)</t>
        </is>
      </c>
      <c r="C96" s="96" t="inlineStr">
        <is>
          <t>N</t>
        </is>
      </c>
      <c r="D96" s="96" t="inlineStr">
        <is>
          <t>Accuracy</t>
        </is>
      </c>
      <c r="E96" s="96" t="inlineStr">
        <is>
          <t>Floor (always-DOWN)</t>
        </is>
      </c>
      <c r="F96" s="96" t="inlineStr">
        <is>
          <t>p-value</t>
        </is>
      </c>
    </row>
    <row r="97">
      <c r="A97" t="inlineStr">
        <is>
          <t>Human (all raters, 405 corrected)</t>
        </is>
      </c>
      <c r="B97" s="101" t="n">
        <v>151</v>
      </c>
      <c r="C97" s="101" t="n">
        <v>389</v>
      </c>
      <c r="D97" t="n">
        <v>0.3882</v>
      </c>
      <c r="E97" s="101" t="n">
        <v>0.3265</v>
      </c>
      <c r="F97" t="n">
        <v>0.006</v>
      </c>
    </row>
    <row r="98">
      <c r="A98" t="inlineStr">
        <is>
          <t>LLM comparison: rows 69 and 74 above (single basis, unchanged)</t>
        </is>
      </c>
    </row>
    <row r="99">
      <c r="A99" s="96" t="inlineStr">
        <is>
          <t>Selectivity (405-corrected rows, re-priced)</t>
        </is>
      </c>
    </row>
    <row r="100">
      <c r="A100" s="96" t="inlineStr">
        <is>
          <t>Arm</t>
        </is>
      </c>
      <c r="B100" s="96" t="inlineStr">
        <is>
          <t>YES (correct)</t>
        </is>
      </c>
      <c r="C100" s="96" t="inlineStr">
        <is>
          <t>N</t>
        </is>
      </c>
      <c r="D100" s="96" t="inlineStr">
        <is>
          <t>Accuracy</t>
        </is>
      </c>
      <c r="E100" s="96" t="inlineStr">
        <is>
          <t>Floor (always-DOWN)</t>
        </is>
      </c>
      <c r="F100" s="96" t="inlineStr">
        <is>
          <t>p-value</t>
        </is>
      </c>
    </row>
    <row r="101">
      <c r="A101" t="inlineStr">
        <is>
          <t>Human (all raters, 405 corrected)</t>
        </is>
      </c>
      <c r="B101" s="101" t="n">
        <v>94</v>
      </c>
      <c r="C101" s="101" t="n">
        <v>186</v>
      </c>
      <c r="D101" t="n">
        <v>0.5054</v>
      </c>
      <c r="E101" s="101" t="n">
        <v>0.5376</v>
      </c>
      <c r="F101" t="n">
        <v>0.8305</v>
      </c>
    </row>
  </sheetData>
  <mergeCells count="3">
    <mergeCell ref="A5:K5"/>
    <mergeCell ref="A18:K18"/>
    <mergeCell ref="A31:E31"/>
  </mergeCells>
  <pageMargins left="0.75" right="0.75" top="1" bottom="1" header="0.5" footer="0.5"/>
  <pageSetup orientation="landscape" fitToHeight="0"/>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tabColor rgb="FF013B70"/>
    <outlinePr summaryBelow="1" summaryRight="1"/>
    <pageSetUpPr fitToPage="1"/>
  </sheetPr>
  <dimension ref="A1:H41"/>
  <sheetViews>
    <sheetView showGridLines="0" workbookViewId="0">
      <pane ySplit="3" topLeftCell="A4" activePane="bottomLeft" state="frozen"/>
      <selection pane="bottomLeft" activeCell="E11" sqref="E11"/>
    </sheetView>
  </sheetViews>
  <sheetFormatPr baseColWidth="8" defaultColWidth="8.85546875" defaultRowHeight="15"/>
  <cols>
    <col width="46" customWidth="1" style="241" min="1" max="1"/>
    <col width="24" customWidth="1" style="241" min="2" max="2"/>
    <col width="10" customWidth="1" style="241" min="3" max="4"/>
    <col width="20" customWidth="1" style="241" min="5" max="5"/>
    <col width="19" customWidth="1" style="241" min="6" max="6"/>
    <col width="46" customWidth="1" style="241" min="7" max="8"/>
  </cols>
  <sheetData>
    <row r="1" ht="45.95" customHeight="1" s="241">
      <c r="A1" s="101" t="inlineStr">
        <is>
          <t>Set B is thin outside Technology (n_graded=15) and Consumer (n_graded=13). Energy, Utilities and Materials are below the n_graded&lt;3 threshold and no accuracy is reported for them. Do not compare Set B sector accuracy against Set A without noting the sample-size difference.</t>
        </is>
      </c>
    </row>
    <row r="2" ht="15.95" customHeight="1" s="241"/>
    <row r="3" ht="15.95" customHeight="1" s="241">
      <c r="A3" s="151" t="inlineStr">
        <is>
          <t>sector</t>
        </is>
      </c>
      <c r="B3" s="151" t="inlineStr">
        <is>
          <t>event_set</t>
        </is>
      </c>
      <c r="C3" s="151" t="inlineStr">
        <is>
          <t>n_events</t>
        </is>
      </c>
      <c r="D3" s="151" t="inlineStr">
        <is>
          <t>n_graded</t>
        </is>
      </c>
      <c r="E3" s="151" t="inlineStr">
        <is>
          <t>n_correct_coverage</t>
        </is>
      </c>
      <c r="F3" s="151" t="inlineStr">
        <is>
          <t>accuracy_coverage</t>
        </is>
      </c>
      <c r="G3" s="151" t="inlineStr">
        <is>
          <t>notes</t>
        </is>
      </c>
    </row>
    <row r="4" ht="30" customHeight="1" s="241">
      <c r="A4" t="inlineStr">
        <is>
          <t>Technology</t>
        </is>
      </c>
      <c r="B4" t="inlineStr">
        <is>
          <t>Set A — N=232 frozen</t>
        </is>
      </c>
      <c r="C4" t="inlineStr">
        <is>
          <t>36</t>
        </is>
      </c>
      <c r="D4" t="inlineStr">
        <is>
          <t>31</t>
        </is>
      </c>
      <c r="E4" t="n">
        <v>13</v>
      </c>
      <c r="F4" s="233" t="n">
        <v>0.419</v>
      </c>
      <c r="G4" s="101" t="inlineStr">
        <is>
          <t>"Includes AAPL AVGO DELL IBM LNVGY MU MSFT ORCL PLTR UBER WDAY (broad Technology grouping)"</t>
        </is>
      </c>
    </row>
    <row r="5" ht="30" customHeight="1" s="241">
      <c r="A5" t="inlineStr">
        <is>
          <t>Consumer</t>
        </is>
      </c>
      <c r="B5" t="inlineStr">
        <is>
          <t>Set A — N=232 frozen</t>
        </is>
      </c>
      <c r="C5" t="inlineStr">
        <is>
          <t>86</t>
        </is>
      </c>
      <c r="D5" t="n">
        <v>49</v>
      </c>
      <c r="E5" t="inlineStr">
        <is>
          <t>23</t>
        </is>
      </c>
      <c r="F5" s="233" t="n">
        <v>0.469</v>
      </c>
      <c r="G5" s="101" t="inlineStr">
        <is>
          <t>"Largest sector by N. Includes ABNB BKNG CMG COST CL EXPE F GIS HLT KHC KO LOW LULU MAR MCD NKE PEP PUM.DE RMSP.XC SBUX TGT TSLA WMT etc."</t>
        </is>
      </c>
    </row>
    <row r="6" ht="30" customHeight="1" s="241">
      <c r="A6" t="inlineStr">
        <is>
          <t>Financials</t>
        </is>
      </c>
      <c r="B6" t="inlineStr">
        <is>
          <t>Set A — N=232 frozen</t>
        </is>
      </c>
      <c r="C6" t="inlineStr">
        <is>
          <t>49</t>
        </is>
      </c>
      <c r="D6" t="inlineStr">
        <is>
          <t>22</t>
        </is>
      </c>
      <c r="E6" t="n">
        <v>9</v>
      </c>
      <c r="F6" s="233" t="n">
        <v>0.409</v>
      </c>
      <c r="G6" s="101" t="inlineStr">
        <is>
          <t>"Includes BAC BCS C COIN GS HOOD JPM MET PYPL SCHW STAN.L V AXP ALV.DE"</t>
        </is>
      </c>
    </row>
    <row r="7" ht="15.95" customHeight="1" s="241">
      <c r="A7" t="inlineStr">
        <is>
          <t>Industrials</t>
        </is>
      </c>
      <c r="B7" t="inlineStr">
        <is>
          <t>Set A — N=232 frozen</t>
        </is>
      </c>
      <c r="C7" t="inlineStr">
        <is>
          <t>26</t>
        </is>
      </c>
      <c r="D7" t="inlineStr">
        <is>
          <t>17</t>
        </is>
      </c>
      <c r="E7" t="n">
        <v>9</v>
      </c>
      <c r="F7" s="233" t="n">
        <v>0.529</v>
      </c>
      <c r="G7" t="inlineStr">
        <is>
          <t>"Includes AMKBY BA CAT DAL FDX LMT SIE.DE UAL"</t>
        </is>
      </c>
    </row>
    <row r="8" ht="30" customHeight="1" s="241">
      <c r="A8" t="inlineStr">
        <is>
          <t>Communication Services</t>
        </is>
      </c>
      <c r="B8" t="inlineStr">
        <is>
          <t>Set A — N=232 frozen</t>
        </is>
      </c>
      <c r="C8" t="n">
        <v>18</v>
      </c>
      <c r="D8" t="n">
        <v>17</v>
      </c>
      <c r="E8" t="n">
        <v>7</v>
      </c>
      <c r="F8" s="233" t="n">
        <v>0.412</v>
      </c>
      <c r="G8" s="101" t="inlineStr">
        <is>
          <t>"Includes CMCSA DIS META NFLX PINS (note: META/NFLX worksheet-excluded pairs removed)"</t>
        </is>
      </c>
    </row>
    <row r="9" ht="30" customHeight="1" s="241">
      <c r="A9" t="inlineStr">
        <is>
          <t>Healthcare</t>
        </is>
      </c>
      <c r="B9" t="inlineStr">
        <is>
          <t>Set A — N=232 frozen</t>
        </is>
      </c>
      <c r="C9" t="inlineStr">
        <is>
          <t>14</t>
        </is>
      </c>
      <c r="D9" t="inlineStr">
        <is>
          <t>9</t>
        </is>
      </c>
      <c r="E9" t="n">
        <v>7</v>
      </c>
      <c r="F9" s="233" t="n">
        <v>0.778</v>
      </c>
      <c r="G9" s="101" t="inlineStr">
        <is>
          <t>"Includes CVS JNJ NVO PFE UNH; n_graded=9 — interpret cautiously"</t>
        </is>
      </c>
    </row>
    <row r="10" ht="15.95" customHeight="1" s="241">
      <c r="A10" t="inlineStr">
        <is>
          <t>Materials</t>
        </is>
      </c>
      <c r="B10" t="inlineStr">
        <is>
          <t>Set A — N=232 frozen</t>
        </is>
      </c>
      <c r="C10" t="inlineStr">
        <is>
          <t>3</t>
        </is>
      </c>
      <c r="D10" t="inlineStr">
        <is>
          <t>0</t>
        </is>
      </c>
      <c r="E10" t="inlineStr">
        <is>
          <t>0</t>
        </is>
      </c>
      <c r="F10" t="inlineStr">
        <is>
          <t>n&lt;3</t>
        </is>
      </c>
      <c r="G10" t="inlineStr">
        <is>
          <t>"LIN only in clean set; 0 graded events in ±2% band"</t>
        </is>
      </c>
    </row>
    <row r="11" ht="15.95" customHeight="1" s="241">
      <c r="A11" t="inlineStr">
        <is>
          <t>Total</t>
        </is>
      </c>
      <c r="B11" t="inlineStr">
        <is>
          <t>Set A — N=232 frozen</t>
        </is>
      </c>
      <c r="C11" t="n">
        <v>232</v>
      </c>
      <c r="D11" t="n">
        <v>145</v>
      </c>
      <c r="E11" t="n">
        <v>68</v>
      </c>
      <c r="F11" s="208">
        <f>E11/D11</f>
        <v/>
      </c>
      <c r="G11" t="inlineStr">
        <is>
          <t>"Coverage accuracy: 68/145. Selectivity (HOLD-excluded</t>
        </is>
      </c>
      <c r="H11" t="inlineStr">
        <is>
          <t xml:space="preserve"> n=109 graded+traded): 62.4% (68/109)."</t>
        </is>
      </c>
    </row>
    <row r="12" ht="30" customHeight="1" s="241">
      <c r="A12" t="inlineStr">
        <is>
          <t>Technology</t>
        </is>
      </c>
      <c r="B12" t="inlineStr">
        <is>
          <t>Set B — N=93 extension</t>
        </is>
      </c>
      <c r="C12" t="inlineStr">
        <is>
          <t>18</t>
        </is>
      </c>
      <c r="D12" t="inlineStr">
        <is>
          <t>15</t>
        </is>
      </c>
      <c r="E12" s="214" t="inlineStr">
        <is>
          <t>8</t>
        </is>
      </c>
      <c r="F12" s="214" t="inlineStr">
        <is>
          <t>53.3%</t>
        </is>
      </c>
      <c r="G12" s="101" t="inlineStr">
        <is>
          <t>"ADBE DDOG INTC SHOP SONY; n_graded=15 — largest graded count in Set B"</t>
        </is>
      </c>
    </row>
    <row r="13" ht="15.95" customHeight="1" s="241">
      <c r="A13" t="inlineStr">
        <is>
          <t>Consumer</t>
        </is>
      </c>
      <c r="B13" t="inlineStr">
        <is>
          <t>Set B — N=93 extension</t>
        </is>
      </c>
      <c r="C13" t="inlineStr">
        <is>
          <t>26</t>
        </is>
      </c>
      <c r="D13" s="214" t="n">
        <v>13</v>
      </c>
      <c r="E13" s="214" t="n">
        <v>1</v>
      </c>
      <c r="F13" s="214" t="inlineStr">
        <is>
          <t>7.7%</t>
        </is>
      </c>
      <c r="G13" t="inlineStr">
        <is>
          <t>"CL COST EBAY HD HEIA.AS NSRGY RMSP.XC; n_graded=13"</t>
        </is>
      </c>
    </row>
    <row r="14" ht="15.95" customHeight="1" s="241">
      <c r="A14" t="inlineStr">
        <is>
          <t>Utilities</t>
        </is>
      </c>
      <c r="B14" t="inlineStr">
        <is>
          <t>Set B — N=93 extension</t>
        </is>
      </c>
      <c r="C14" t="inlineStr">
        <is>
          <t>13</t>
        </is>
      </c>
      <c r="D14" s="219" t="inlineStr">
        <is>
          <t>1</t>
        </is>
      </c>
      <c r="E14" s="214" t="inlineStr">
        <is>
          <t>1</t>
        </is>
      </c>
      <c r="F14" s="214" t="inlineStr">
        <is>
          <t>n&lt;3</t>
        </is>
      </c>
      <c r="G14" t="inlineStr">
        <is>
          <t>"DUK only (13 events); DUK_FQ2_2025 graded after the 8-K acceptance-time dateline correction"</t>
        </is>
      </c>
    </row>
    <row r="15" ht="15.95" customHeight="1" s="241">
      <c r="A15" t="inlineStr">
        <is>
          <t>Energy</t>
        </is>
      </c>
      <c r="B15" t="inlineStr">
        <is>
          <t>Set B — N=93 extension</t>
        </is>
      </c>
      <c r="C15" t="inlineStr">
        <is>
          <t>21</t>
        </is>
      </c>
      <c r="D15" t="inlineStr">
        <is>
          <t>1</t>
        </is>
      </c>
      <c r="E15" s="214" t="inlineStr">
        <is>
          <t>1</t>
        </is>
      </c>
      <c r="F15" t="inlineStr">
        <is>
          <t>n&lt;3</t>
        </is>
      </c>
      <c r="G15" t="inlineStr">
        <is>
          <t>"CVX XOM SHEL; only 1 graded event in ±2% band"</t>
        </is>
      </c>
    </row>
    <row r="16" ht="15.95" customHeight="1" s="241">
      <c r="A16" t="inlineStr">
        <is>
          <t>Financials</t>
        </is>
      </c>
      <c r="B16" t="inlineStr">
        <is>
          <t>Set B — N=93 extension</t>
        </is>
      </c>
      <c r="C16" t="inlineStr">
        <is>
          <t>8</t>
        </is>
      </c>
      <c r="D16" t="inlineStr">
        <is>
          <t>2</t>
        </is>
      </c>
      <c r="E16" s="214" t="inlineStr">
        <is>
          <t>1</t>
        </is>
      </c>
      <c r="F16" t="inlineStr">
        <is>
          <t>n&lt;3</t>
        </is>
      </c>
      <c r="G16" t="inlineStr">
        <is>
          <t>"AXP MA; only 2 graded events — not reportable"</t>
        </is>
      </c>
    </row>
    <row r="17" ht="15.95" customHeight="1" s="241">
      <c r="A17" t="inlineStr">
        <is>
          <t>Materials</t>
        </is>
      </c>
      <c r="B17" t="inlineStr">
        <is>
          <t>Set B — N=93 extension</t>
        </is>
      </c>
      <c r="C17" t="inlineStr">
        <is>
          <t>3</t>
        </is>
      </c>
      <c r="D17" t="inlineStr">
        <is>
          <t>2</t>
        </is>
      </c>
      <c r="E17" t="inlineStr">
        <is>
          <t>1</t>
        </is>
      </c>
      <c r="F17" t="inlineStr">
        <is>
          <t>n&lt;3</t>
        </is>
      </c>
      <c r="G17" t="inlineStr">
        <is>
          <t>"FCX; only 2 graded events — not reportable"</t>
        </is>
      </c>
    </row>
    <row r="18" ht="15.95" customHeight="1" s="241">
      <c r="A18" t="inlineStr">
        <is>
          <t>Industrials</t>
        </is>
      </c>
      <c r="B18" t="inlineStr">
        <is>
          <t>Set B — N=93 extension</t>
        </is>
      </c>
      <c r="C18" t="inlineStr">
        <is>
          <t>4</t>
        </is>
      </c>
      <c r="D18" t="inlineStr">
        <is>
          <t>0</t>
        </is>
      </c>
      <c r="E18" t="inlineStr">
        <is>
          <t>0</t>
        </is>
      </c>
      <c r="F18" t="inlineStr">
        <is>
          <t>—</t>
        </is>
      </c>
      <c r="G18" t="inlineStr">
        <is>
          <t>"UNP; 0 graded events"</t>
        </is>
      </c>
    </row>
    <row r="19" ht="30" customHeight="1" s="241">
      <c r="A19" t="inlineStr">
        <is>
          <t>Total</t>
        </is>
      </c>
      <c r="B19" t="inlineStr">
        <is>
          <t>Set B — N=93 extension</t>
        </is>
      </c>
      <c r="C19" t="inlineStr">
        <is>
          <t>93</t>
        </is>
      </c>
      <c r="D19" s="214" t="n">
        <v>34</v>
      </c>
      <c r="E19" t="n">
        <v>13</v>
      </c>
      <c r="F19" s="208">
        <f>E19/D19</f>
        <v/>
      </c>
      <c r="G19" t="inlineStr">
        <is>
          <t>"Coverage accuracy: 13/34. Selectivity (HOLD-excluded, n=18 graded+traded): 72.2% (13/18). Extension is pure eval."</t>
        </is>
      </c>
      <c r="H19" s="101" t="n"/>
    </row>
    <row r="20" ht="15.95" customHeight="1" s="241">
      <c r="A20" t="inlineStr">
        <is>
          <t>Technology</t>
        </is>
      </c>
      <c r="B20" t="inlineStr">
        <is>
          <t>Set C — N=325 combined</t>
        </is>
      </c>
      <c r="C20" t="inlineStr">
        <is>
          <t>54</t>
        </is>
      </c>
      <c r="D20" t="inlineStr">
        <is>
          <t>46</t>
        </is>
      </c>
      <c r="E20" s="214" t="inlineStr">
        <is>
          <t>21</t>
        </is>
      </c>
      <c r="F20" s="214" t="inlineStr">
        <is>
          <t>45.7%</t>
        </is>
      </c>
      <c r="G20" t="inlineStr">
        <is>
          <t>"Set A (36/31/13) + Set B (18/15/8)"</t>
        </is>
      </c>
    </row>
    <row r="21" ht="15.95" customHeight="1" s="241">
      <c r="A21" t="inlineStr">
        <is>
          <t>Consumer</t>
        </is>
      </c>
      <c r="B21" t="inlineStr">
        <is>
          <t>Set C — N=325 combined</t>
        </is>
      </c>
      <c r="C21" t="inlineStr">
        <is>
          <t>112</t>
        </is>
      </c>
      <c r="D21" s="214" t="n">
        <v>62</v>
      </c>
      <c r="E21" s="214" t="n">
        <v>24</v>
      </c>
      <c r="F21" s="214" t="inlineStr">
        <is>
          <t>38.7%</t>
        </is>
      </c>
      <c r="G21" t="inlineStr">
        <is>
          <t>"Set A (86/49/23) + Set B (26/13/1)"</t>
        </is>
      </c>
    </row>
    <row r="22" ht="15.95" customHeight="1" s="241">
      <c r="A22" t="inlineStr">
        <is>
          <t>Financials</t>
        </is>
      </c>
      <c r="B22" t="inlineStr">
        <is>
          <t>Set C — N=325 combined</t>
        </is>
      </c>
      <c r="C22" t="inlineStr">
        <is>
          <t>57</t>
        </is>
      </c>
      <c r="D22" t="inlineStr">
        <is>
          <t>24</t>
        </is>
      </c>
      <c r="E22" t="inlineStr">
        <is>
          <t>10</t>
        </is>
      </c>
      <c r="F22" t="inlineStr">
        <is>
          <t>41.7%</t>
        </is>
      </c>
      <c r="G22" t="inlineStr">
        <is>
          <t>"Set A (49/22/9) + Set B (8/2/1)"</t>
        </is>
      </c>
    </row>
    <row r="23" ht="15.95" customHeight="1" s="241">
      <c r="A23" t="inlineStr">
        <is>
          <t>Industrials</t>
        </is>
      </c>
      <c r="B23" t="inlineStr">
        <is>
          <t>Set C — N=325 combined</t>
        </is>
      </c>
      <c r="C23" t="inlineStr">
        <is>
          <t>30</t>
        </is>
      </c>
      <c r="D23" t="inlineStr">
        <is>
          <t>17</t>
        </is>
      </c>
      <c r="E23" s="214" t="inlineStr">
        <is>
          <t>9</t>
        </is>
      </c>
      <c r="F23" s="214" t="inlineStr">
        <is>
          <t>52.9%</t>
        </is>
      </c>
      <c r="G23" t="inlineStr">
        <is>
          <t>"Set A (26/17/9) + Set B (4/0/0)"</t>
        </is>
      </c>
    </row>
    <row r="24" ht="15.95" customHeight="1" s="241">
      <c r="A24" t="inlineStr">
        <is>
          <t>Communication Services</t>
        </is>
      </c>
      <c r="B24" t="inlineStr">
        <is>
          <t>Set C — N=325 combined</t>
        </is>
      </c>
      <c r="C24" s="214" t="inlineStr">
        <is>
          <t>18</t>
        </is>
      </c>
      <c r="D24" s="214" t="inlineStr">
        <is>
          <t>17</t>
        </is>
      </c>
      <c r="E24" s="214" t="inlineStr">
        <is>
          <t>7</t>
        </is>
      </c>
      <c r="F24" s="214" t="inlineStr">
        <is>
          <t>41.2%</t>
        </is>
      </c>
      <c r="G24" t="inlineStr">
        <is>
          <t>"Set A only (18/17/7); no Set B events in this sector"</t>
        </is>
      </c>
    </row>
    <row r="25" ht="15.95" customHeight="1" s="241">
      <c r="A25" t="inlineStr">
        <is>
          <t>Healthcare</t>
        </is>
      </c>
      <c r="B25" t="inlineStr">
        <is>
          <t>Set C — N=325 combined</t>
        </is>
      </c>
      <c r="C25" t="inlineStr">
        <is>
          <t>14</t>
        </is>
      </c>
      <c r="D25" t="inlineStr">
        <is>
          <t>9</t>
        </is>
      </c>
      <c r="E25" s="214" t="inlineStr">
        <is>
          <t>7</t>
        </is>
      </c>
      <c r="F25" s="214" t="inlineStr">
        <is>
          <t>77.8%</t>
        </is>
      </c>
      <c r="G25" t="inlineStr">
        <is>
          <t>"Set A only (14/9/7); n_graded=9 — interpret cautiously"</t>
        </is>
      </c>
    </row>
    <row r="26" ht="15.95" customHeight="1" s="241">
      <c r="A26" t="inlineStr">
        <is>
          <t>Energy</t>
        </is>
      </c>
      <c r="B26" t="inlineStr">
        <is>
          <t>Set C — N=325 combined</t>
        </is>
      </c>
      <c r="C26" t="inlineStr">
        <is>
          <t>21</t>
        </is>
      </c>
      <c r="D26" t="inlineStr">
        <is>
          <t>1</t>
        </is>
      </c>
      <c r="E26" s="214" t="inlineStr">
        <is>
          <t>1</t>
        </is>
      </c>
      <c r="F26" t="inlineStr">
        <is>
          <t>n&lt;3</t>
        </is>
      </c>
      <c r="G26" t="inlineStr">
        <is>
          <t>"Set B only (21/1/1)"</t>
        </is>
      </c>
    </row>
    <row r="27" ht="15.95" customHeight="1" s="241">
      <c r="A27" t="inlineStr">
        <is>
          <t>Utilities</t>
        </is>
      </c>
      <c r="B27" t="inlineStr">
        <is>
          <t>Set C — N=325 combined</t>
        </is>
      </c>
      <c r="C27" t="inlineStr">
        <is>
          <t>13</t>
        </is>
      </c>
      <c r="D27" s="214" t="inlineStr">
        <is>
          <t>1</t>
        </is>
      </c>
      <c r="E27" s="214" t="inlineStr">
        <is>
          <t>1</t>
        </is>
      </c>
      <c r="F27" s="214" t="inlineStr">
        <is>
          <t>n&lt;3</t>
        </is>
      </c>
      <c r="G27" t="inlineStr">
        <is>
          <t>"Set B only (13/1/1)"</t>
        </is>
      </c>
    </row>
    <row r="28" ht="15.95" customHeight="1" s="241">
      <c r="A28" t="inlineStr">
        <is>
          <t>Materials</t>
        </is>
      </c>
      <c r="B28" t="inlineStr">
        <is>
          <t>Set C — N=325 combined</t>
        </is>
      </c>
      <c r="C28" t="inlineStr">
        <is>
          <t>6</t>
        </is>
      </c>
      <c r="D28" t="inlineStr">
        <is>
          <t>2</t>
        </is>
      </c>
      <c r="E28" t="inlineStr">
        <is>
          <t>1</t>
        </is>
      </c>
      <c r="F28" t="inlineStr">
        <is>
          <t>n&lt;3</t>
        </is>
      </c>
      <c r="G28" t="inlineStr">
        <is>
          <t>"Set A (3/0/0) + Set B (3/2/1)"</t>
        </is>
      </c>
    </row>
    <row r="29" ht="30" customHeight="1" s="241">
      <c r="A29" t="inlineStr">
        <is>
          <t>Total</t>
        </is>
      </c>
      <c r="B29" t="inlineStr">
        <is>
          <t>Set C — N=325 combined</t>
        </is>
      </c>
      <c r="C29" s="214" t="inlineStr">
        <is>
          <t>325</t>
        </is>
      </c>
      <c r="D29" s="214" t="n">
        <v>179</v>
      </c>
      <c r="E29" t="n">
        <v>81</v>
      </c>
      <c r="F29">
        <f>E29/D29</f>
        <v/>
      </c>
      <c r="G29" s="101" t="inlineStr">
        <is>
          <t>"Coverage accuracy: 81/179. In-sample walk-forward accuracy on graded+traded: 63.8% (81/127, deployed thresholds)."</t>
        </is>
      </c>
    </row>
    <row r="31" ht="44.1" customHeight="1" s="241">
      <c r="A31" s="238" t="inlineStr">
        <is>
          <t>Set B is thin outside Technology (n_graded=15) and Consumer (n_graded=13). Energy, Utilities and Materials fall below the n_graded&lt;3 threshold and no accuracy is reported for them. The counts themselves are the finding: the extension broadened sector coverage but the low-volatility sectors it added rarely breach the ±2% band, so they contribute coverage rather than graded events.</t>
        </is>
      </c>
    </row>
    <row r="34">
      <c r="A34" s="75" t="inlineStr">
        <is>
          <t>A fuller sector analysis across four cuts — Spearman rank correlation, calibration of mean score against</t>
        </is>
      </c>
    </row>
    <row r="35">
      <c r="A35" s="75" t="inlineStr">
        <is>
          <t>mean realised return, score dispersion against hold rate, and BUY versus SELL asymmetry — is in</t>
        </is>
      </c>
    </row>
    <row r="36">
      <c r="A36" s="75" t="inlineStr">
        <is>
          <t>outputs/global/summary/sector_analysis_2026-08-15.md and its accompanying CSV. The signal is positive in</t>
        </is>
      </c>
    </row>
    <row r="37">
      <c r="A37" s="75" t="inlineStr">
        <is>
          <t>every estimable sector rather than concentrated in one. Only four sectors in the frozen set carry enough</t>
        </is>
      </c>
    </row>
    <row r="38">
      <c r="A38" s="75" t="inlineStr">
        <is>
          <t>events for both a correlation and a directional estimate, and most cells fall below the reporting</t>
        </is>
      </c>
    </row>
    <row r="39">
      <c r="A39" s="75" t="inlineStr">
        <is>
          <t>threshold. Note that the fuller analysis uses the SECTORS dict as its canonical taxonomy, which classifies</t>
        </is>
      </c>
    </row>
    <row r="40">
      <c r="A40" s="75" t="inlineStr">
        <is>
          <t>four CVS Health events as Healthcare where this tab places them in Consumer; both sum to 232; under the</t>
        </is>
      </c>
    </row>
    <row r="41">
      <c r="A41" s="75" t="inlineStr">
        <is>
          <t>canonical taxonomy Healthcare reads 18/12/9 (75.0%) and Consumer 82/46/21 (45.7%) against this tab's 14/9/7 (77.8%) and 86/49/23 (46.9%).</t>
        </is>
      </c>
    </row>
  </sheetData>
  <mergeCells count="1">
    <mergeCell ref="A31:G31"/>
  </mergeCells>
  <pageMargins left="0.75" right="0.75" top="1" bottom="1" header="0.5" footer="0.5"/>
  <pageSetup orientation="landscape" fitToHeight="0"/>
  <legacyDrawing xmlns:r="http://schemas.openxmlformats.org/officeDocument/2006/relationships" r:id="anysvml"/>
</worksheet>
</file>

<file path=xl/worksheets/sheet11.xml><?xml version="1.0" encoding="utf-8"?>
<worksheet xmlns="http://schemas.openxmlformats.org/spreadsheetml/2006/main">
  <sheetPr>
    <tabColor rgb="FF2F5597"/>
    <outlinePr summaryBelow="1" summaryRight="1"/>
    <pageSetUpPr fitToPage="1"/>
  </sheetPr>
  <dimension ref="A1:P113"/>
  <sheetViews>
    <sheetView showGridLines="0" workbookViewId="0">
      <pane ySplit="1" topLeftCell="A99" activePane="bottomLeft" state="frozen"/>
      <selection pane="bottomLeft" activeCell="D1" sqref="D1"/>
    </sheetView>
  </sheetViews>
  <sheetFormatPr baseColWidth="8" defaultColWidth="8.85546875" defaultRowHeight="15"/>
  <cols>
    <col width="46" customWidth="1" style="241" min="1" max="2"/>
    <col width="27" customWidth="1" style="241" min="3" max="3"/>
    <col width="11" customWidth="1" style="241" min="4" max="4"/>
    <col width="46" customWidth="1" style="241" min="5" max="7"/>
    <col width="10" customWidth="1" style="241" min="8" max="8"/>
    <col width="9" customWidth="1" style="241" min="9" max="9"/>
    <col width="10" customWidth="1" style="241" min="10" max="10"/>
    <col width="9" customWidth="1" style="241" min="11" max="12"/>
    <col width="46" customWidth="1" style="241" min="13" max="13"/>
    <col width="21" customWidth="1" style="241" min="14" max="14"/>
    <col width="46" customWidth="1" style="241" min="15" max="16"/>
  </cols>
  <sheetData>
    <row r="1" ht="15.95" customHeight="1" s="241">
      <c r="A1" s="151" t="inlineStr">
        <is>
          <t>metric_name</t>
        </is>
      </c>
      <c r="B1" s="151" t="inlineStr">
        <is>
          <t>value</t>
        </is>
      </c>
      <c r="C1" s="151" t="inlineStr">
        <is>
          <t>unit</t>
        </is>
      </c>
      <c r="D1" s="151" t="inlineStr">
        <is>
          <t>n</t>
        </is>
      </c>
      <c r="E1" s="151" t="inlineStr">
        <is>
          <t>denominator_definition</t>
        </is>
      </c>
      <c r="F1" s="151" t="inlineStr">
        <is>
          <t>event_set</t>
        </is>
      </c>
      <c r="G1" s="151" t="inlineStr">
        <is>
          <t>convention</t>
        </is>
      </c>
      <c r="H1" s="151" t="inlineStr">
        <is>
          <t>ci_low</t>
        </is>
      </c>
      <c r="I1" s="151" t="inlineStr">
        <is>
          <t>ci_high</t>
        </is>
      </c>
      <c r="J1" s="151" t="inlineStr">
        <is>
          <t>ci_level</t>
        </is>
      </c>
      <c r="K1" s="151" t="inlineStr">
        <is>
          <t>p_value</t>
        </is>
      </c>
      <c r="L1" s="151" t="inlineStr">
        <is>
          <t>mde</t>
        </is>
      </c>
      <c r="M1" s="151" t="inlineStr">
        <is>
          <t>test_used</t>
        </is>
      </c>
      <c r="N1" s="151" t="inlineStr">
        <is>
          <t>threshold_dependent</t>
        </is>
      </c>
      <c r="O1" s="151" t="inlineStr">
        <is>
          <t>source_file</t>
        </is>
      </c>
      <c r="P1" s="151" t="inlineStr">
        <is>
          <t>notes</t>
        </is>
      </c>
    </row>
    <row r="2" ht="15.95" customHeight="1" s="241">
      <c r="A2" t="inlineStr">
        <is>
          <t>total_events_scored</t>
        </is>
      </c>
      <c r="B2" t="inlineStr">
        <is>
          <t>268</t>
        </is>
      </c>
      <c r="C2" t="inlineStr">
        <is>
          <t>events</t>
        </is>
      </c>
      <c r="D2" t="inlineStr">
        <is>
          <t>268</t>
        </is>
      </c>
      <c r="F2" t="inlineStr">
        <is>
          <t>N=268 phase2 scored events</t>
        </is>
      </c>
      <c r="N2" t="inlineStr">
        <is>
          <t>FALSE</t>
        </is>
      </c>
      <c r="O2" t="inlineStr">
        <is>
          <t>effective_sample_funnel.md</t>
        </is>
      </c>
    </row>
    <row r="3" ht="15.95" customHeight="1" s="241">
      <c r="A3" t="inlineStr">
        <is>
          <t>excluded_worksheet</t>
        </is>
      </c>
      <c r="B3" t="inlineStr">
        <is>
          <t>25</t>
        </is>
      </c>
      <c r="C3" t="inlineStr">
        <is>
          <t>events</t>
        </is>
      </c>
      <c r="D3" t="inlineStr">
        <is>
          <t>268</t>
        </is>
      </c>
      <c r="F3" t="inlineStr">
        <is>
          <t>N=268</t>
        </is>
      </c>
      <c r="N3" t="inlineStr">
        <is>
          <t>FALSE</t>
        </is>
      </c>
      <c r="O3" t="inlineStr">
        <is>
          <t>worksheet_leak_flags.csv</t>
        </is>
      </c>
      <c r="P3" t="inlineStr">
        <is>
          <t>LLM input included human rater worksheet</t>
        </is>
      </c>
    </row>
    <row r="4" ht="15.95" customHeight="1" s="241">
      <c r="A4" s="218" t="inlineStr">
        <is>
          <t>excluded_bad_document</t>
        </is>
      </c>
      <c r="B4" s="218" t="inlineStr">
        <is>
          <t>2</t>
        </is>
      </c>
      <c r="C4" t="inlineStr">
        <is>
          <t>events</t>
        </is>
      </c>
      <c r="N4" t="inlineStr">
        <is>
          <t>FALSE</t>
        </is>
      </c>
      <c r="O4" t="inlineStr">
        <is>
          <t>effective_sample_funnel.md</t>
        </is>
      </c>
      <c r="P4" s="218" t="inlineStr">
        <is>
          <t>SPOT_FQ1_2026 misattribution; DIS_FQ1_2025 look-ahead (excluded 2026-08-24)</t>
        </is>
      </c>
    </row>
    <row r="5" ht="15.95" customHeight="1" s="241">
      <c r="A5" t="inlineStr">
        <is>
          <t>excluded_timing</t>
        </is>
      </c>
      <c r="B5" t="inlineStr">
        <is>
          <t>9</t>
        </is>
      </c>
      <c r="C5" t="inlineStr">
        <is>
          <t>events</t>
        </is>
      </c>
      <c r="N5" t="inlineStr">
        <is>
          <t>FALSE</t>
        </is>
      </c>
      <c r="O5" t="inlineStr">
        <is>
          <t>effective_sample_funnel.md</t>
        </is>
      </c>
      <c r="P5" t="inlineStr">
        <is>
          <t>9 non-US issuers, timing unresolved</t>
        </is>
      </c>
    </row>
    <row r="6" ht="15.95" customHeight="1" s="241">
      <c r="A6" t="inlineStr">
        <is>
          <t>clean_universe</t>
        </is>
      </c>
      <c r="B6" s="218" t="inlineStr">
        <is>
          <t>232</t>
        </is>
      </c>
      <c r="C6" t="inlineStr">
        <is>
          <t>events</t>
        </is>
      </c>
      <c r="F6" s="218" t="inlineStr">
        <is>
          <t>N=232 clean universe</t>
        </is>
      </c>
      <c r="N6" t="inlineStr">
        <is>
          <t>FALSE</t>
        </is>
      </c>
      <c r="O6" t="inlineStr">
        <is>
          <t>effective_sample_funnel.md</t>
        </is>
      </c>
    </row>
    <row r="7" ht="15.95" customHeight="1" s="241">
      <c r="A7" t="inlineStr">
        <is>
          <t>traded_events</t>
        </is>
      </c>
      <c r="B7" s="219" t="inlineStr">
        <is>
          <t>168</t>
        </is>
      </c>
      <c r="C7" t="inlineStr">
        <is>
          <t>events</t>
        </is>
      </c>
      <c r="E7" t="inlineStr">
        <is>
          <t>Model called BUY or SELL</t>
        </is>
      </c>
      <c r="F7" s="218" t="inlineStr">
        <is>
          <t>N=232 clean universe</t>
        </is>
      </c>
      <c r="N7" t="inlineStr">
        <is>
          <t>TRUE</t>
        </is>
      </c>
      <c r="O7" t="inlineStr">
        <is>
          <t>ext2_holding_curve.csv</t>
        </is>
      </c>
    </row>
    <row r="8" ht="15.95" customHeight="1" s="241">
      <c r="A8" t="inlineStr">
        <is>
          <t>graded_events</t>
        </is>
      </c>
      <c r="B8" s="219" t="inlineStr">
        <is>
          <t>109</t>
        </is>
      </c>
      <c r="C8" t="inlineStr">
        <is>
          <t>events</t>
        </is>
      </c>
      <c r="E8" t="inlineStr">
        <is>
          <t>|ret_overnight| &gt; 2% AND traded</t>
        </is>
      </c>
      <c r="F8" s="218" t="inlineStr">
        <is>
          <t>N=232 clean universe</t>
        </is>
      </c>
      <c r="G8" t="inlineStr">
        <is>
          <t>pre-registered ±2% overnight band</t>
        </is>
      </c>
      <c r="N8" t="inlineStr">
        <is>
          <t>TRUE</t>
        </is>
      </c>
      <c r="O8" t="inlineStr">
        <is>
          <t>ext2_holding_curve.csv</t>
        </is>
      </c>
    </row>
    <row r="9" ht="15.95" customHeight="1" s="241">
      <c r="A9" t="inlineStr">
        <is>
          <t>selectivity_accuracy</t>
        </is>
      </c>
      <c r="B9" s="218" t="inlineStr">
        <is>
          <t>62.4%</t>
        </is>
      </c>
      <c r="C9" t="inlineStr">
        <is>
          <t>percent</t>
        </is>
      </c>
      <c r="D9" s="218" t="inlineStr">
        <is>
          <t>109</t>
        </is>
      </c>
      <c r="E9" t="inlineStr">
        <is>
          <t>model traded AND |ret_overnight|&gt;2%</t>
        </is>
      </c>
      <c r="F9" s="218" t="inlineStr">
        <is>
          <t>N=232 clean universe</t>
        </is>
      </c>
      <c r="G9" t="inlineStr">
        <is>
          <t>HOLD-excluded, pre-registered ±2% band</t>
        </is>
      </c>
      <c r="K9" s="218" t="inlineStr">
        <is>
          <t>0.050</t>
        </is>
      </c>
      <c r="L9" t="inlineStr">
        <is>
          <t>±10.8pp</t>
        </is>
      </c>
      <c r="M9" s="218" t="inlineStr">
        <is>
          <t>binomial vs always-DOWN floor 54.1%</t>
        </is>
      </c>
      <c r="N9" t="inlineStr">
        <is>
          <t>TRUE</t>
        </is>
      </c>
      <c r="O9" t="inlineStr">
        <is>
          <t>ext2_holding_curve.csv</t>
        </is>
      </c>
      <c r="P9" s="218" t="inlineStr">
        <is>
          <t>68/109; margin +8.3pp vs floor 54.1% (59/109 always-DOWN); the ±10.8pp MDE is an unreproduced literal hardcoded in experiments/build_workbook.py beside the superseded n=95 basis — no candidate formula reproduces the ±10.8/±14.4/±27.8 family on any basis (recorded 2026-08-21, Q3a)</t>
        </is>
      </c>
    </row>
    <row r="10" ht="15.95" customHeight="1" s="241">
      <c r="A10" t="inlineStr">
        <is>
          <t>selectivity_accuracy_numerator</t>
        </is>
      </c>
      <c r="B10" s="218" t="inlineStr">
        <is>
          <t>68/109</t>
        </is>
      </c>
      <c r="D10" s="218" t="inlineStr">
        <is>
          <t>109</t>
        </is>
      </c>
      <c r="F10" s="218" t="inlineStr">
        <is>
          <t>N=232 clean universe</t>
        </is>
      </c>
      <c r="N10" t="inlineStr">
        <is>
          <t>TRUE</t>
        </is>
      </c>
      <c r="O10" t="inlineStr">
        <is>
          <t>ext2_holding_curve.csv</t>
        </is>
      </c>
    </row>
    <row r="11" ht="15.95" customHeight="1" s="241">
      <c r="A11" t="inlineStr">
        <is>
          <t>selectivity_floor_always_down</t>
        </is>
      </c>
      <c r="B11" s="218" t="inlineStr">
        <is>
          <t>54.1%</t>
        </is>
      </c>
      <c r="C11" t="inlineStr">
        <is>
          <t>percent</t>
        </is>
      </c>
      <c r="D11" s="218" t="inlineStr">
        <is>
          <t>109</t>
        </is>
      </c>
      <c r="E11" t="inlineStr">
        <is>
          <t>always-DOWN (predict SELL every event) on graded set</t>
        </is>
      </c>
      <c r="F11" s="218" t="inlineStr">
        <is>
          <t>N=232 clean universe</t>
        </is>
      </c>
      <c r="G11" s="218" t="inlineStr">
        <is>
          <t>59/109 graded events have negative return</t>
        </is>
      </c>
      <c r="N11" t="inlineStr">
        <is>
          <t>FALSE</t>
        </is>
      </c>
      <c r="O11" t="inlineStr">
        <is>
          <t>ext2_holding_curve.csv</t>
        </is>
      </c>
    </row>
    <row r="12" ht="15.95" customHeight="1" s="241">
      <c r="A12" t="inlineStr">
        <is>
          <t>selectivity_margin_vs_floor</t>
        </is>
      </c>
      <c r="B12" s="218" t="inlineStr">
        <is>
          <t>+8.3pp</t>
        </is>
      </c>
      <c r="C12" t="inlineStr">
        <is>
          <t>pp</t>
        </is>
      </c>
      <c r="D12" s="218" t="inlineStr">
        <is>
          <t>109</t>
        </is>
      </c>
      <c r="K12" s="218" t="inlineStr">
        <is>
          <t>0.050</t>
        </is>
      </c>
      <c r="L12" t="inlineStr">
        <is>
          <t>±10.8pp</t>
        </is>
      </c>
      <c r="M12" s="218" t="inlineStr">
        <is>
          <t>binomial one-sided greater vs always-DOWN 59/109</t>
        </is>
      </c>
      <c r="N12" t="inlineStr">
        <is>
          <t>TRUE</t>
        </is>
      </c>
      <c r="O12" t="inlineStr">
        <is>
          <t>ext2_holding_curve.csv</t>
        </is>
      </c>
      <c r="P12" t="inlineStr">
        <is>
          <t>The ±10.8pp MDE is an unreproduced literal hardcoded in experiments/build_workbook.py beside the superseded n=95 basis — no candidate formula reproduces the ±10.8/±14.4/±27.8 family on any basis (recorded 2026-08-21, Q3a)</t>
        </is>
      </c>
    </row>
    <row r="13" ht="15.95" customHeight="1" s="241">
      <c r="A13" t="inlineStr">
        <is>
          <t>coverage_accuracy</t>
        </is>
      </c>
      <c r="B13" s="218" t="inlineStr">
        <is>
          <t>46.9%</t>
        </is>
      </c>
      <c r="C13" t="inlineStr">
        <is>
          <t>percent</t>
        </is>
      </c>
      <c r="D13" s="218" t="inlineStr">
        <is>
          <t>145</t>
        </is>
      </c>
      <c r="E13" t="inlineStr">
        <is>
          <t>all events with |ret_overnight|&gt;2% (model traded or not)</t>
        </is>
      </c>
      <c r="F13" s="218" t="inlineStr">
        <is>
          <t>N=232 clean universe</t>
        </is>
      </c>
      <c r="G13" t="inlineStr">
        <is>
          <t>HOLD=wrong, pre-registered ±2% band</t>
        </is>
      </c>
      <c r="N13" t="inlineStr">
        <is>
          <t>FALSE</t>
        </is>
      </c>
      <c r="O13" t="inlineStr">
        <is>
          <t>ext2_holding_curve.csv</t>
        </is>
      </c>
      <c r="P13" s="220" t="inlineStr">
        <is>
          <t>68/145; floor=54.5% (79/145 always-DOWN); margin -7.6pp. Model missed 36 events that moved.</t>
        </is>
      </c>
    </row>
    <row r="14" ht="15.95" customHeight="1" s="241">
      <c r="A14" t="inlineStr">
        <is>
          <t>coverage_floor_always_down</t>
        </is>
      </c>
      <c r="B14" s="218" t="inlineStr">
        <is>
          <t>54.5%</t>
        </is>
      </c>
      <c r="C14" t="inlineStr">
        <is>
          <t>percent</t>
        </is>
      </c>
      <c r="D14" s="218" t="inlineStr">
        <is>
          <t>145</t>
        </is>
      </c>
      <c r="E14" t="inlineStr">
        <is>
          <t>all events with |ret_overnight|&gt;2%</t>
        </is>
      </c>
      <c r="F14" s="218" t="inlineStr">
        <is>
          <t>N=232 clean universe</t>
        </is>
      </c>
      <c r="N14" t="inlineStr">
        <is>
          <t>FALSE</t>
        </is>
      </c>
      <c r="P14" s="218" t="inlineStr">
        <is>
          <t>79/145 events have negative return</t>
        </is>
      </c>
    </row>
    <row r="15" ht="15.95" customHeight="1" s="241">
      <c r="A15" t="inlineStr">
        <is>
          <t>mean_net_per_trade_overnight</t>
        </is>
      </c>
      <c r="B15" s="218" t="inlineStr">
        <is>
          <t>1.7963%</t>
        </is>
      </c>
      <c r="C15" t="inlineStr">
        <is>
          <t>percent</t>
        </is>
      </c>
      <c r="D15" s="218" t="inlineStr">
        <is>
          <t>168</t>
        </is>
      </c>
      <c r="E15" t="inlineStr">
        <is>
          <t>traded events</t>
        </is>
      </c>
      <c r="F15" s="218" t="inlineStr">
        <is>
          <t>N=232 clean universe</t>
        </is>
      </c>
      <c r="G15" t="inlineStr">
        <is>
          <t>overnight, 10bps round-trip cost, 0bps short borrow</t>
        </is>
      </c>
      <c r="H15" t="inlineStr">
        <is>
          <t>1.00%</t>
        </is>
      </c>
      <c r="I15" t="inlineStr">
        <is>
          <t>2.63%</t>
        </is>
      </c>
      <c r="J15" t="inlineStr">
        <is>
          <t>90%</t>
        </is>
      </c>
      <c r="N15" t="inlineStr">
        <is>
          <t>TRUE</t>
        </is>
      </c>
      <c r="O15" t="inlineStr">
        <is>
          <t>ext2_holding_curve.csv</t>
        </is>
      </c>
      <c r="P15" t="inlineStr">
        <is>
          <t>+1.798% per trade</t>
        </is>
      </c>
    </row>
    <row r="16" ht="15.95" customHeight="1" s="241">
      <c r="A16" t="inlineStr">
        <is>
          <t>summed_total_return</t>
        </is>
      </c>
      <c r="B16" s="214" t="inlineStr">
        <is>
          <t>+301.78%</t>
        </is>
      </c>
      <c r="C16" t="inlineStr">
        <is>
          <t>percent (order-dependent)</t>
        </is>
      </c>
      <c r="D16" s="214" t="inlineStr">
        <is>
          <t>168</t>
        </is>
      </c>
      <c r="F16" s="214" t="inlineStr">
        <is>
          <t>N=232 clean universe</t>
        </is>
      </c>
      <c r="N16" t="inlineStr">
        <is>
          <t>TRUE</t>
        </is>
      </c>
      <c r="O16" t="inlineStr">
        <is>
          <t>item_e_handoff.md</t>
        </is>
      </c>
      <c r="P16" s="101" t="inlineStr">
        <is>
          <t>Order-dependent compounded equity curve, not an achievable balance. Mean net per trade is the primary P&amp;L metric. Value from item_e_handoff.md (+303.80% on N=233); corrected-basis value gated 2026-08-21 (+303.80% reproduced exactly on N=233/169 from the same chain first)</t>
        </is>
      </c>
    </row>
    <row r="17" ht="30" customHeight="1" s="241">
      <c r="A17" t="inlineStr">
        <is>
          <t>t_statistic_per_trade</t>
        </is>
      </c>
      <c r="B17" s="214" t="inlineStr">
        <is>
          <t>3.652</t>
        </is>
      </c>
      <c r="D17" s="214" t="inlineStr">
        <is>
          <t>168</t>
        </is>
      </c>
      <c r="E17" t="inlineStr">
        <is>
          <t>traded events</t>
        </is>
      </c>
      <c r="F17" s="214" t="inlineStr">
        <is>
          <t>N=232 clean universe</t>
        </is>
      </c>
      <c r="G17" s="101" t="inlineStr">
        <is>
          <t>mean_net/pstdev(nets)*sqrt(N_traded) — NOT a time-series Sharpe</t>
        </is>
      </c>
      <c r="N17" t="inlineStr">
        <is>
          <t>TRUE</t>
        </is>
      </c>
      <c r="O17" t="inlineStr">
        <is>
          <t>item_e_handoff.md</t>
        </is>
      </c>
      <c r="P17" t="inlineStr">
        <is>
          <t>Grows mechanically with sample size. Do not label as Sharpe.</t>
        </is>
      </c>
    </row>
    <row r="18" ht="15.95" customHeight="1" s="241">
      <c r="A18" t="inlineStr">
        <is>
          <t>info_ratio_per_trade</t>
        </is>
      </c>
      <c r="B18" s="214" t="inlineStr">
        <is>
          <t>0.2817</t>
        </is>
      </c>
      <c r="D18" s="214" t="inlineStr">
        <is>
          <t>168</t>
        </is>
      </c>
      <c r="N18" t="inlineStr">
        <is>
          <t>TRUE</t>
        </is>
      </c>
      <c r="O18" t="inlineStr">
        <is>
          <t>item_e_handoff.md</t>
        </is>
      </c>
      <c r="P18" t="inlineStr">
        <is>
          <t>mean_net / pstdev(nets), unscaled by sqrt(N)</t>
        </is>
      </c>
    </row>
    <row r="19" ht="15.95" customHeight="1" s="241">
      <c r="A19" t="inlineStr">
        <is>
          <t>spearman_rho_overnight</t>
        </is>
      </c>
      <c r="B19" s="218" t="inlineStr">
        <is>
          <t>0.2565</t>
        </is>
      </c>
      <c r="D19" s="218" t="inlineStr">
        <is>
          <t>232</t>
        </is>
      </c>
      <c r="F19" s="218" t="inlineStr">
        <is>
          <t>N=232 clean universe</t>
        </is>
      </c>
      <c r="G19" t="inlineStr">
        <is>
          <t>overnight return, 0.02 band (pre-registered)</t>
        </is>
      </c>
      <c r="K19" t="inlineStr">
        <is>
          <t>0.0001</t>
        </is>
      </c>
      <c r="M19" t="inlineStr">
        <is>
          <t>Spearman rank correlation, blended score vs ret_overnight</t>
        </is>
      </c>
      <c r="N19" t="inlineStr">
        <is>
          <t>FALSE</t>
        </is>
      </c>
      <c r="O19" t="inlineStr">
        <is>
          <t>ext2_holding_curve.csv</t>
        </is>
      </c>
    </row>
    <row r="20" ht="15.95" customHeight="1" s="241">
      <c r="A20" t="inlineStr">
        <is>
          <t>mean_net_per_trade_overnight</t>
        </is>
      </c>
      <c r="B20" s="218" t="inlineStr">
        <is>
          <t>1.7963%</t>
        </is>
      </c>
      <c r="C20" t="inlineStr">
        <is>
          <t>percent</t>
        </is>
      </c>
      <c r="D20" s="218" t="inlineStr">
        <is>
          <t>168</t>
        </is>
      </c>
      <c r="F20" s="218" t="inlineStr">
        <is>
          <t>N=232 clean universe</t>
        </is>
      </c>
      <c r="H20" s="218" t="inlineStr">
        <is>
          <t>1.0009%</t>
        </is>
      </c>
      <c r="I20" s="218" t="inlineStr">
        <is>
          <t>2.6281%</t>
        </is>
      </c>
      <c r="J20" t="inlineStr">
        <is>
          <t>90%</t>
        </is>
      </c>
      <c r="N20" t="inlineStr">
        <is>
          <t>FALSE</t>
        </is>
      </c>
      <c r="O20" t="inlineStr">
        <is>
          <t>ext2_holding_curve.csv</t>
        </is>
      </c>
    </row>
    <row r="21" ht="15.95" customHeight="1" s="241">
      <c r="A21" t="inlineStr">
        <is>
          <t>accuracy_overnight</t>
        </is>
      </c>
      <c r="B21" s="218" t="inlineStr">
        <is>
          <t>62.4%</t>
        </is>
      </c>
      <c r="C21" t="inlineStr">
        <is>
          <t>percent</t>
        </is>
      </c>
      <c r="D21" s="218" t="inlineStr">
        <is>
          <t>109</t>
        </is>
      </c>
      <c r="E21" t="inlineStr">
        <is>
          <t>|ret_overnight|&gt;band</t>
        </is>
      </c>
      <c r="N21" t="inlineStr">
        <is>
          <t>TRUE</t>
        </is>
      </c>
      <c r="O21" t="inlineStr">
        <is>
          <t>ext2_holding_curve.csv</t>
        </is>
      </c>
    </row>
    <row r="22" ht="15.95" customHeight="1" s="241">
      <c r="A22" t="inlineStr">
        <is>
          <t>spearman_rho_1d</t>
        </is>
      </c>
      <c r="B22" s="218" t="inlineStr">
        <is>
          <t>0.1952</t>
        </is>
      </c>
      <c r="D22" s="218" t="inlineStr">
        <is>
          <t>232</t>
        </is>
      </c>
      <c r="F22" s="218" t="inlineStr">
        <is>
          <t>N=232 clean universe</t>
        </is>
      </c>
      <c r="G22" s="218" t="inlineStr">
        <is>
          <t>1d return, 0.022497 band (recalibrated)</t>
        </is>
      </c>
      <c r="K22" s="218" t="inlineStr">
        <is>
          <t>0.0028</t>
        </is>
      </c>
      <c r="M22" t="inlineStr">
        <is>
          <t>Spearman rank correlation, blended score vs ret_overnight</t>
        </is>
      </c>
      <c r="N22" t="inlineStr">
        <is>
          <t>FALSE</t>
        </is>
      </c>
      <c r="O22" t="inlineStr">
        <is>
          <t>ext2_holding_curve.csv</t>
        </is>
      </c>
    </row>
    <row r="23" ht="15.95" customHeight="1" s="241">
      <c r="A23" t="inlineStr">
        <is>
          <t>mean_net_per_trade_1d</t>
        </is>
      </c>
      <c r="B23" s="218" t="inlineStr">
        <is>
          <t>1.1832%</t>
        </is>
      </c>
      <c r="C23" t="inlineStr">
        <is>
          <t>percent</t>
        </is>
      </c>
      <c r="D23" s="218" t="inlineStr">
        <is>
          <t>168</t>
        </is>
      </c>
      <c r="F23" s="218" t="inlineStr">
        <is>
          <t>N=232 clean universe</t>
        </is>
      </c>
      <c r="H23" s="218" t="inlineStr">
        <is>
          <t>0.3271%</t>
        </is>
      </c>
      <c r="I23" s="218" t="inlineStr">
        <is>
          <t>2.0805%</t>
        </is>
      </c>
      <c r="J23" t="inlineStr">
        <is>
          <t>90%</t>
        </is>
      </c>
      <c r="N23" t="inlineStr">
        <is>
          <t>FALSE</t>
        </is>
      </c>
      <c r="O23" t="inlineStr">
        <is>
          <t>ext2_holding_curve.csv</t>
        </is>
      </c>
    </row>
    <row r="24" ht="15.95" customHeight="1" s="241">
      <c r="A24" t="inlineStr">
        <is>
          <t>accuracy_1d</t>
        </is>
      </c>
      <c r="B24" s="218" t="inlineStr">
        <is>
          <t>60.2%</t>
        </is>
      </c>
      <c r="C24" t="inlineStr">
        <is>
          <t>percent</t>
        </is>
      </c>
      <c r="D24" s="218" t="inlineStr">
        <is>
          <t>113</t>
        </is>
      </c>
      <c r="E24" t="inlineStr">
        <is>
          <t>|ret_1d|&gt;band</t>
        </is>
      </c>
      <c r="N24" t="inlineStr">
        <is>
          <t>TRUE</t>
        </is>
      </c>
      <c r="O24" t="inlineStr">
        <is>
          <t>ext2_holding_curve.csv</t>
        </is>
      </c>
    </row>
    <row r="25" ht="15.95" customHeight="1" s="241">
      <c r="A25" t="inlineStr">
        <is>
          <t>spearman_rho_3d</t>
        </is>
      </c>
      <c r="B25" s="218" t="inlineStr">
        <is>
          <t>0.1353</t>
        </is>
      </c>
      <c r="D25" s="218" t="inlineStr">
        <is>
          <t>232</t>
        </is>
      </c>
      <c r="F25" s="218" t="inlineStr">
        <is>
          <t>N=232 clean universe</t>
        </is>
      </c>
      <c r="G25" s="218" t="inlineStr">
        <is>
          <t>3d return, 0.025207 band (recalibrated)</t>
        </is>
      </c>
      <c r="K25" s="218" t="inlineStr">
        <is>
          <t>0.0395</t>
        </is>
      </c>
      <c r="M25" t="inlineStr">
        <is>
          <t>Spearman rank correlation, blended score vs ret_overnight</t>
        </is>
      </c>
      <c r="N25" t="inlineStr">
        <is>
          <t>FALSE</t>
        </is>
      </c>
      <c r="O25" t="inlineStr">
        <is>
          <t>ext2_holding_curve.csv</t>
        </is>
      </c>
    </row>
    <row r="26" ht="15.95" customHeight="1" s="241">
      <c r="A26" t="inlineStr">
        <is>
          <t>mean_net_per_trade_3d</t>
        </is>
      </c>
      <c r="B26" s="218" t="inlineStr">
        <is>
          <t>0.8296%</t>
        </is>
      </c>
      <c r="C26" t="inlineStr">
        <is>
          <t>percent</t>
        </is>
      </c>
      <c r="D26" s="218" t="inlineStr">
        <is>
          <t>168</t>
        </is>
      </c>
      <c r="F26" s="218" t="inlineStr">
        <is>
          <t>N=232 clean universe</t>
        </is>
      </c>
      <c r="H26" s="218" t="inlineStr">
        <is>
          <t>-0.0720%</t>
        </is>
      </c>
      <c r="I26" s="218" t="inlineStr">
        <is>
          <t>1.7674%</t>
        </is>
      </c>
      <c r="J26" t="inlineStr">
        <is>
          <t>90%</t>
        </is>
      </c>
      <c r="N26" t="inlineStr">
        <is>
          <t>FALSE</t>
        </is>
      </c>
      <c r="O26" t="inlineStr">
        <is>
          <t>ext2_holding_curve.csv</t>
        </is>
      </c>
    </row>
    <row r="27" ht="15.95" customHeight="1" s="241">
      <c r="A27" t="inlineStr">
        <is>
          <t>accuracy_3d</t>
        </is>
      </c>
      <c r="B27" t="inlineStr">
        <is>
          <t>52.6%</t>
        </is>
      </c>
      <c r="C27" t="inlineStr">
        <is>
          <t>percent</t>
        </is>
      </c>
      <c r="D27" t="inlineStr">
        <is>
          <t>114</t>
        </is>
      </c>
      <c r="E27" t="inlineStr">
        <is>
          <t>|ret_3d|&gt;band</t>
        </is>
      </c>
      <c r="N27" t="inlineStr">
        <is>
          <t>TRUE</t>
        </is>
      </c>
      <c r="O27" t="inlineStr">
        <is>
          <t>ext2_holding_curve.csv</t>
        </is>
      </c>
    </row>
    <row r="28" ht="15.95" customHeight="1" s="241">
      <c r="A28" t="inlineStr">
        <is>
          <t>spearman_rho_5d</t>
        </is>
      </c>
      <c r="B28" s="218" t="inlineStr">
        <is>
          <t>0.0972</t>
        </is>
      </c>
      <c r="D28" s="218" t="inlineStr">
        <is>
          <t>232</t>
        </is>
      </c>
      <c r="F28" s="218" t="inlineStr">
        <is>
          <t>N=232 clean universe</t>
        </is>
      </c>
      <c r="G28" s="218" t="inlineStr">
        <is>
          <t>5d return, 0.027189 band (recalibrated)</t>
        </is>
      </c>
      <c r="K28" s="218" t="inlineStr">
        <is>
          <t>0.1401</t>
        </is>
      </c>
      <c r="M28" t="inlineStr">
        <is>
          <t>Spearman rank correlation, blended score vs ret_overnight</t>
        </is>
      </c>
      <c r="N28" t="inlineStr">
        <is>
          <t>FALSE</t>
        </is>
      </c>
      <c r="O28" t="inlineStr">
        <is>
          <t>ext2_holding_curve.csv</t>
        </is>
      </c>
    </row>
    <row r="29" ht="15.95" customHeight="1" s="241">
      <c r="A29" t="inlineStr">
        <is>
          <t>mean_net_per_trade_5d</t>
        </is>
      </c>
      <c r="B29" s="218" t="inlineStr">
        <is>
          <t>0.9369%</t>
        </is>
      </c>
      <c r="C29" t="inlineStr">
        <is>
          <t>percent</t>
        </is>
      </c>
      <c r="D29" s="218" t="inlineStr">
        <is>
          <t>168</t>
        </is>
      </c>
      <c r="F29" s="218" t="inlineStr">
        <is>
          <t>N=232 clean universe</t>
        </is>
      </c>
      <c r="H29" s="218" t="inlineStr">
        <is>
          <t>-0.0341%</t>
        </is>
      </c>
      <c r="I29" s="218" t="inlineStr">
        <is>
          <t>1.9485%</t>
        </is>
      </c>
      <c r="J29" t="inlineStr">
        <is>
          <t>90%</t>
        </is>
      </c>
      <c r="N29" t="inlineStr">
        <is>
          <t>FALSE</t>
        </is>
      </c>
      <c r="O29" t="inlineStr">
        <is>
          <t>ext2_holding_curve.csv</t>
        </is>
      </c>
    </row>
    <row r="30" ht="15.95" customHeight="1" s="241">
      <c r="A30" t="inlineStr">
        <is>
          <t>accuracy_5d</t>
        </is>
      </c>
      <c r="B30" s="218" t="inlineStr">
        <is>
          <t>51.9%</t>
        </is>
      </c>
      <c r="C30" t="inlineStr">
        <is>
          <t>percent</t>
        </is>
      </c>
      <c r="D30" s="218" t="inlineStr">
        <is>
          <t>106</t>
        </is>
      </c>
      <c r="E30" t="inlineStr">
        <is>
          <t>|ret_5d|&gt;band</t>
        </is>
      </c>
      <c r="N30" t="inlineStr">
        <is>
          <t>TRUE</t>
        </is>
      </c>
      <c r="O30" t="inlineStr">
        <is>
          <t>ext2_holding_curve.csv</t>
        </is>
      </c>
    </row>
    <row r="31" ht="15.95" customHeight="1" s="241">
      <c r="A31" t="inlineStr">
        <is>
          <t>spearman_rho_10d</t>
        </is>
      </c>
      <c r="B31" s="218" t="inlineStr">
        <is>
          <t>0.0951</t>
        </is>
      </c>
      <c r="D31" s="218" t="inlineStr">
        <is>
          <t>232</t>
        </is>
      </c>
      <c r="F31" s="218" t="inlineStr">
        <is>
          <t>N=232 clean universe</t>
        </is>
      </c>
      <c r="G31" t="inlineStr">
        <is>
          <t>10d return, 0.035159 band (recalibrated)</t>
        </is>
      </c>
      <c r="K31" s="218" t="inlineStr">
        <is>
          <t>0.1488</t>
        </is>
      </c>
      <c r="M31" t="inlineStr">
        <is>
          <t>Spearman rank correlation, blended score vs ret_overnight</t>
        </is>
      </c>
      <c r="N31" t="inlineStr">
        <is>
          <t>FALSE</t>
        </is>
      </c>
      <c r="O31" t="inlineStr">
        <is>
          <t>ext2_holding_curve.csv</t>
        </is>
      </c>
    </row>
    <row r="32" ht="15.95" customHeight="1" s="241">
      <c r="A32" t="inlineStr">
        <is>
          <t>mean_net_per_trade_10d</t>
        </is>
      </c>
      <c r="B32" s="218" t="inlineStr">
        <is>
          <t>1.4455%</t>
        </is>
      </c>
      <c r="C32" t="inlineStr">
        <is>
          <t>percent</t>
        </is>
      </c>
      <c r="D32" s="218" t="inlineStr">
        <is>
          <t>168</t>
        </is>
      </c>
      <c r="F32" s="218" t="inlineStr">
        <is>
          <t>N=232 clean universe</t>
        </is>
      </c>
      <c r="H32" s="218" t="inlineStr">
        <is>
          <t>0.2807%</t>
        </is>
      </c>
      <c r="I32" s="218" t="inlineStr">
        <is>
          <t>2.6466%</t>
        </is>
      </c>
      <c r="J32" t="inlineStr">
        <is>
          <t>90%</t>
        </is>
      </c>
      <c r="N32" t="inlineStr">
        <is>
          <t>FALSE</t>
        </is>
      </c>
      <c r="O32" t="inlineStr">
        <is>
          <t>ext2_holding_curve.csv</t>
        </is>
      </c>
    </row>
    <row r="33" ht="15.95" customHeight="1" s="241">
      <c r="A33" t="inlineStr">
        <is>
          <t>accuracy_10d</t>
        </is>
      </c>
      <c r="B33" t="inlineStr">
        <is>
          <t>57.0%</t>
        </is>
      </c>
      <c r="C33" t="inlineStr">
        <is>
          <t>percent</t>
        </is>
      </c>
      <c r="D33" t="inlineStr">
        <is>
          <t>114</t>
        </is>
      </c>
      <c r="E33" t="inlineStr">
        <is>
          <t>|ret_10d|&gt;band</t>
        </is>
      </c>
      <c r="N33" t="inlineStr">
        <is>
          <t>TRUE</t>
        </is>
      </c>
      <c r="O33" t="inlineStr">
        <is>
          <t>ext2_holding_curve.csv</t>
        </is>
      </c>
    </row>
    <row r="34" ht="15.95" customHeight="1" s="241">
      <c r="A34" t="inlineStr">
        <is>
          <t>majority_direction_floor_full_sample</t>
        </is>
      </c>
      <c r="B34" s="218" t="inlineStr">
        <is>
          <t>54.1%</t>
        </is>
      </c>
      <c r="C34" t="inlineStr">
        <is>
          <t>percent</t>
        </is>
      </c>
      <c r="D34" s="218" t="inlineStr">
        <is>
          <t>109</t>
        </is>
      </c>
      <c r="E34" t="inlineStr">
        <is>
          <t>always-DOWN on graded events (|ret_overnight|&gt;2%, traded)</t>
        </is>
      </c>
      <c r="F34" s="218" t="inlineStr">
        <is>
          <t>N=232 clean universe, graded events only</t>
        </is>
      </c>
      <c r="G34" s="218" t="inlineStr">
        <is>
          <t>59/109 graded events have negative return</t>
        </is>
      </c>
      <c r="N34" t="inlineStr">
        <is>
          <t>FALSE</t>
        </is>
      </c>
      <c r="O34" t="inlineStr">
        <is>
          <t>ext2_holding_curve.csv</t>
        </is>
      </c>
    </row>
    <row r="35" ht="30" customHeight="1" s="241">
      <c r="A35" t="inlineStr">
        <is>
          <t>cohens_kappa_human_vs_llm</t>
        </is>
      </c>
      <c r="B35" s="218" t="inlineStr">
        <is>
          <t>0.1391</t>
        </is>
      </c>
      <c r="D35" s="218" t="inlineStr">
        <is>
          <t>170</t>
        </is>
      </c>
      <c r="E35" t="inlineStr">
        <is>
          <t>paired events with both human and LLM BUY/HOLD/SELL call</t>
        </is>
      </c>
      <c r="F35" s="220" t="inlineStr">
        <is>
          <t>N=170 paired events (section=All, first_rater=YES, in_llm=YES, exclusions applied)</t>
        </is>
      </c>
      <c r="G35" t="inlineStr">
        <is>
          <t>3x3 BUY/HOLD/SELL vs BUY/HOLD/SELL, no return grading</t>
        </is>
      </c>
      <c r="H35" s="218" t="inlineStr">
        <is>
          <t>0.049</t>
        </is>
      </c>
      <c r="I35" s="218" t="inlineStr">
        <is>
          <t>0.229</t>
        </is>
      </c>
      <c r="J35" t="inlineStr">
        <is>
          <t>90%</t>
        </is>
      </c>
      <c r="M35" t="inlineStr">
        <is>
          <t>bootstrap 10000 resamples, seed 20260709</t>
        </is>
      </c>
      <c r="N35" t="inlineStr">
        <is>
          <t>FALSE</t>
        </is>
      </c>
      <c r="O35" t="inlineStr">
        <is>
          <t>kappa_near_independence.csv</t>
        </is>
      </c>
    </row>
    <row r="36" ht="15.95" customHeight="1" s="241">
      <c r="A36" t="inlineStr">
        <is>
          <t>call_count_human_buy</t>
        </is>
      </c>
      <c r="B36" s="218" t="inlineStr">
        <is>
          <t>95</t>
        </is>
      </c>
      <c r="C36" t="inlineStr">
        <is>
          <t>count</t>
        </is>
      </c>
      <c r="D36" s="218" t="inlineStr">
        <is>
          <t>170</t>
        </is>
      </c>
      <c r="F36" s="218" t="inlineStr">
        <is>
          <t>N=170 paired events</t>
        </is>
      </c>
      <c r="N36" t="inlineStr">
        <is>
          <t>FALSE</t>
        </is>
      </c>
      <c r="O36" t="inlineStr">
        <is>
          <t>human_vs_llm_statistics.csv</t>
        </is>
      </c>
    </row>
    <row r="37" ht="15.95" customHeight="1" s="241">
      <c r="A37" t="inlineStr">
        <is>
          <t>call_frac_human_buy</t>
        </is>
      </c>
      <c r="B37" s="218" t="inlineStr">
        <is>
          <t>0.5588</t>
        </is>
      </c>
      <c r="C37" t="inlineStr">
        <is>
          <t>fraction</t>
        </is>
      </c>
      <c r="D37" s="218" t="inlineStr">
        <is>
          <t>170</t>
        </is>
      </c>
      <c r="N37" t="inlineStr">
        <is>
          <t>FALSE</t>
        </is>
      </c>
      <c r="O37" t="inlineStr">
        <is>
          <t>human_vs_llm_statistics.csv</t>
        </is>
      </c>
    </row>
    <row r="38" ht="15.95" customHeight="1" s="241">
      <c r="A38" t="inlineStr">
        <is>
          <t>call_count_human_hold</t>
        </is>
      </c>
      <c r="B38" t="inlineStr">
        <is>
          <t>40</t>
        </is>
      </c>
      <c r="C38" t="inlineStr">
        <is>
          <t>count</t>
        </is>
      </c>
      <c r="D38" s="218" t="inlineStr">
        <is>
          <t>170</t>
        </is>
      </c>
      <c r="F38" s="218" t="inlineStr">
        <is>
          <t>N=170 paired events</t>
        </is>
      </c>
      <c r="N38" t="inlineStr">
        <is>
          <t>FALSE</t>
        </is>
      </c>
      <c r="O38" t="inlineStr">
        <is>
          <t>human_vs_llm_statistics.csv</t>
        </is>
      </c>
    </row>
    <row r="39" ht="15.95" customHeight="1" s="241">
      <c r="A39" t="inlineStr">
        <is>
          <t>call_frac_human_hold</t>
        </is>
      </c>
      <c r="B39" s="218" t="inlineStr">
        <is>
          <t>0.2353</t>
        </is>
      </c>
      <c r="C39" t="inlineStr">
        <is>
          <t>fraction</t>
        </is>
      </c>
      <c r="D39" s="218" t="inlineStr">
        <is>
          <t>170</t>
        </is>
      </c>
      <c r="N39" t="inlineStr">
        <is>
          <t>FALSE</t>
        </is>
      </c>
      <c r="O39" t="inlineStr">
        <is>
          <t>human_vs_llm_statistics.csv</t>
        </is>
      </c>
    </row>
    <row r="40" ht="15.95" customHeight="1" s="241">
      <c r="A40" t="inlineStr">
        <is>
          <t>call_count_human_sell</t>
        </is>
      </c>
      <c r="B40" t="inlineStr">
        <is>
          <t>35</t>
        </is>
      </c>
      <c r="C40" t="inlineStr">
        <is>
          <t>count</t>
        </is>
      </c>
      <c r="D40" s="218" t="inlineStr">
        <is>
          <t>170</t>
        </is>
      </c>
      <c r="F40" s="218" t="inlineStr">
        <is>
          <t>N=170 paired events</t>
        </is>
      </c>
      <c r="N40" t="inlineStr">
        <is>
          <t>FALSE</t>
        </is>
      </c>
      <c r="O40" t="inlineStr">
        <is>
          <t>human_vs_llm_statistics.csv</t>
        </is>
      </c>
    </row>
    <row r="41" ht="15.95" customHeight="1" s="241">
      <c r="A41" t="inlineStr">
        <is>
          <t>call_frac_human_sell</t>
        </is>
      </c>
      <c r="B41" s="218" t="inlineStr">
        <is>
          <t>0.2059</t>
        </is>
      </c>
      <c r="C41" t="inlineStr">
        <is>
          <t>fraction</t>
        </is>
      </c>
      <c r="D41" s="218" t="inlineStr">
        <is>
          <t>170</t>
        </is>
      </c>
      <c r="N41" t="inlineStr">
        <is>
          <t>FALSE</t>
        </is>
      </c>
      <c r="O41" t="inlineStr">
        <is>
          <t>human_vs_llm_statistics.csv</t>
        </is>
      </c>
    </row>
    <row r="42" ht="15.95" customHeight="1" s="241">
      <c r="A42" t="inlineStr">
        <is>
          <t>call_count_llm_buy</t>
        </is>
      </c>
      <c r="B42" s="218" t="inlineStr">
        <is>
          <t>72</t>
        </is>
      </c>
      <c r="C42" t="inlineStr">
        <is>
          <t>count</t>
        </is>
      </c>
      <c r="D42" s="218" t="inlineStr">
        <is>
          <t>170</t>
        </is>
      </c>
      <c r="F42" s="218" t="inlineStr">
        <is>
          <t>N=170 paired events</t>
        </is>
      </c>
      <c r="N42" t="inlineStr">
        <is>
          <t>FALSE</t>
        </is>
      </c>
      <c r="O42" t="inlineStr">
        <is>
          <t>human_vs_llm_statistics.csv</t>
        </is>
      </c>
    </row>
    <row r="43" ht="15.95" customHeight="1" s="241">
      <c r="A43" t="inlineStr">
        <is>
          <t>call_frac_llm_buy</t>
        </is>
      </c>
      <c r="B43" s="218" t="inlineStr">
        <is>
          <t>0.4235</t>
        </is>
      </c>
      <c r="C43" t="inlineStr">
        <is>
          <t>fraction</t>
        </is>
      </c>
      <c r="D43" s="218" t="inlineStr">
        <is>
          <t>170</t>
        </is>
      </c>
      <c r="N43" t="inlineStr">
        <is>
          <t>FALSE</t>
        </is>
      </c>
      <c r="O43" t="inlineStr">
        <is>
          <t>human_vs_llm_statistics.csv</t>
        </is>
      </c>
    </row>
    <row r="44" ht="15.95" customHeight="1" s="241">
      <c r="A44" t="inlineStr">
        <is>
          <t>call_count_llm_hold</t>
        </is>
      </c>
      <c r="B44" t="inlineStr">
        <is>
          <t>53</t>
        </is>
      </c>
      <c r="C44" t="inlineStr">
        <is>
          <t>count</t>
        </is>
      </c>
      <c r="D44" s="218" t="inlineStr">
        <is>
          <t>170</t>
        </is>
      </c>
      <c r="F44" s="218" t="inlineStr">
        <is>
          <t>N=170 paired events</t>
        </is>
      </c>
      <c r="N44" t="inlineStr">
        <is>
          <t>FALSE</t>
        </is>
      </c>
      <c r="O44" t="inlineStr">
        <is>
          <t>human_vs_llm_statistics.csv</t>
        </is>
      </c>
    </row>
    <row r="45" ht="15.95" customHeight="1" s="241">
      <c r="A45" t="inlineStr">
        <is>
          <t>call_frac_llm_hold</t>
        </is>
      </c>
      <c r="B45" s="218" t="inlineStr">
        <is>
          <t>0.3118</t>
        </is>
      </c>
      <c r="C45" t="inlineStr">
        <is>
          <t>fraction</t>
        </is>
      </c>
      <c r="D45" s="218" t="inlineStr">
        <is>
          <t>170</t>
        </is>
      </c>
      <c r="N45" t="inlineStr">
        <is>
          <t>FALSE</t>
        </is>
      </c>
      <c r="O45" t="inlineStr">
        <is>
          <t>human_vs_llm_statistics.csv</t>
        </is>
      </c>
    </row>
    <row r="46" ht="15.95" customHeight="1" s="241">
      <c r="A46" t="inlineStr">
        <is>
          <t>call_count_llm_sell</t>
        </is>
      </c>
      <c r="B46" t="inlineStr">
        <is>
          <t>45</t>
        </is>
      </c>
      <c r="C46" t="inlineStr">
        <is>
          <t>count</t>
        </is>
      </c>
      <c r="D46" s="218" t="inlineStr">
        <is>
          <t>170</t>
        </is>
      </c>
      <c r="F46" s="218" t="inlineStr">
        <is>
          <t>N=170 paired events</t>
        </is>
      </c>
      <c r="N46" t="inlineStr">
        <is>
          <t>FALSE</t>
        </is>
      </c>
      <c r="O46" t="inlineStr">
        <is>
          <t>human_vs_llm_statistics.csv</t>
        </is>
      </c>
    </row>
    <row r="47" ht="15.95" customHeight="1" s="241">
      <c r="A47" t="inlineStr">
        <is>
          <t>call_frac_llm_sell</t>
        </is>
      </c>
      <c r="B47" s="218" t="inlineStr">
        <is>
          <t>0.2647</t>
        </is>
      </c>
      <c r="C47" t="inlineStr">
        <is>
          <t>fraction</t>
        </is>
      </c>
      <c r="D47" s="218" t="inlineStr">
        <is>
          <t>170</t>
        </is>
      </c>
      <c r="N47" t="inlineStr">
        <is>
          <t>FALSE</t>
        </is>
      </c>
      <c r="O47" t="inlineStr">
        <is>
          <t>human_vs_llm_statistics.csv</t>
        </is>
      </c>
    </row>
    <row r="48" ht="15.95" customHeight="1" s="241">
      <c r="A48" t="inlineStr">
        <is>
          <t>direction_only_n</t>
        </is>
      </c>
      <c r="B48" s="218" t="inlineStr">
        <is>
          <t>85</t>
        </is>
      </c>
      <c r="C48" t="inlineStr">
        <is>
          <t>events</t>
        </is>
      </c>
      <c r="F48" s="218" t="inlineStr">
        <is>
          <t>N=85 events where both arms called BUY or SELL</t>
        </is>
      </c>
      <c r="N48" t="inlineStr">
        <is>
          <t>FALSE</t>
        </is>
      </c>
      <c r="O48" t="inlineStr">
        <is>
          <t>human_vs_llm_statistics.csv</t>
        </is>
      </c>
    </row>
    <row r="49" ht="15.95" customHeight="1" s="241">
      <c r="A49" t="inlineStr">
        <is>
          <t>direction_human_sign_accuracy</t>
        </is>
      </c>
      <c r="B49" s="218" t="inlineStr">
        <is>
          <t>0.5765</t>
        </is>
      </c>
      <c r="C49" t="inlineStr">
        <is>
          <t>fraction</t>
        </is>
      </c>
      <c r="D49" s="218" t="inlineStr">
        <is>
          <t>85</t>
        </is>
      </c>
      <c r="F49" s="218" t="inlineStr">
        <is>
          <t>N=85 direction-only</t>
        </is>
      </c>
      <c r="G49" t="inlineStr">
        <is>
          <t>sign accuracy, no band filter</t>
        </is>
      </c>
      <c r="N49" t="inlineStr">
        <is>
          <t>FALSE</t>
        </is>
      </c>
      <c r="O49" t="inlineStr">
        <is>
          <t>human_vs_llm_statistics.csv</t>
        </is>
      </c>
      <c r="P49" s="218" t="inlineStr">
        <is>
          <t>49/85</t>
        </is>
      </c>
    </row>
    <row r="50" ht="15.95" customHeight="1" s="241">
      <c r="A50" t="inlineStr">
        <is>
          <t>direction_llm_sign_accuracy</t>
        </is>
      </c>
      <c r="B50" s="218" t="inlineStr">
        <is>
          <t>0.5882</t>
        </is>
      </c>
      <c r="C50" t="inlineStr">
        <is>
          <t>fraction</t>
        </is>
      </c>
      <c r="D50" s="218" t="inlineStr">
        <is>
          <t>85</t>
        </is>
      </c>
      <c r="N50" t="inlineStr">
        <is>
          <t>FALSE</t>
        </is>
      </c>
      <c r="O50" t="inlineStr">
        <is>
          <t>human_vs_llm_statistics.csv</t>
        </is>
      </c>
      <c r="P50" s="218" t="inlineStr">
        <is>
          <t>50/85</t>
        </is>
      </c>
    </row>
    <row r="51" ht="15.95" customHeight="1" s="241">
      <c r="A51" t="inlineStr">
        <is>
          <t>direction_llm_minus_human_pp</t>
        </is>
      </c>
      <c r="B51" t="inlineStr">
        <is>
          <t>1.2</t>
        </is>
      </c>
      <c r="C51" t="inlineStr">
        <is>
          <t>pp</t>
        </is>
      </c>
      <c r="D51" s="218" t="inlineStr">
        <is>
          <t>85</t>
        </is>
      </c>
      <c r="H51" s="218" t="inlineStr">
        <is>
          <t>-5.9</t>
        </is>
      </c>
      <c r="I51" s="218" t="inlineStr">
        <is>
          <t>8.2</t>
        </is>
      </c>
      <c r="J51" t="inlineStr">
        <is>
          <t>90%</t>
        </is>
      </c>
      <c r="K51" s="218" t="inlineStr">
        <is>
          <t>0.889</t>
        </is>
      </c>
      <c r="M51" t="inlineStr">
        <is>
          <t>bootstrap paired 10000 resamples seed 20260709</t>
        </is>
      </c>
      <c r="N51" t="inlineStr">
        <is>
          <t>FALSE</t>
        </is>
      </c>
      <c r="O51" t="inlineStr">
        <is>
          <t>human_vs_llm_statistics.csv</t>
        </is>
      </c>
    </row>
    <row r="52" ht="15.95" customHeight="1" s="241">
      <c r="A52" t="inlineStr">
        <is>
          <t>direction_floor_always_down_strict</t>
        </is>
      </c>
      <c r="B52" s="218" t="inlineStr">
        <is>
          <t>52.9%</t>
        </is>
      </c>
      <c r="C52" t="inlineStr">
        <is>
          <t>percent</t>
        </is>
      </c>
      <c r="D52" s="218" t="inlineStr">
        <is>
          <t>85</t>
        </is>
      </c>
      <c r="E52" s="218" t="inlineStr">
        <is>
          <t>45/85 events with ret_overnight &lt; 0 (strict negative)</t>
        </is>
      </c>
      <c r="F52" s="218" t="inlineStr">
        <is>
          <t>N=85 direction-only</t>
        </is>
      </c>
      <c r="G52" t="inlineStr">
        <is>
          <t>ret &lt; 0 strictly; excludes PUM.DE_FQ4_2025 (ret=0)</t>
        </is>
      </c>
      <c r="N52" t="inlineStr">
        <is>
          <t>FALSE</t>
        </is>
      </c>
      <c r="O52" t="inlineStr">
        <is>
          <t>human_vs_llm_statistics.csv</t>
        </is>
      </c>
    </row>
    <row r="53" ht="30" customHeight="1" s="241">
      <c r="A53" t="inlineStr">
        <is>
          <t>direction_floor_always_down_incl_zero</t>
        </is>
      </c>
      <c r="B53" s="218" t="inlineStr">
        <is>
          <t>54.1%</t>
        </is>
      </c>
      <c r="C53" t="inlineStr">
        <is>
          <t>percent</t>
        </is>
      </c>
      <c r="D53" s="218" t="inlineStr">
        <is>
          <t>85</t>
        </is>
      </c>
      <c r="E53" s="220" t="inlineStr">
        <is>
          <t>46/85 events with ret_overnight &lt;= 0 (includes zero-return PUM.DE_FQ4_2025)</t>
        </is>
      </c>
      <c r="F53" s="218" t="inlineStr">
        <is>
          <t>N=85 direction-only</t>
        </is>
      </c>
      <c r="G53" t="inlineStr">
        <is>
          <t>ret &lt;= 0; used for per-direction base-rate in finding #7</t>
        </is>
      </c>
      <c r="N53" t="inlineStr">
        <is>
          <t>FALSE</t>
        </is>
      </c>
      <c r="O53" t="inlineStr">
        <is>
          <t>human_vs_llm_statistics.csv</t>
        </is>
      </c>
      <c r="P53" t="inlineStr">
        <is>
          <t>PUM.DE_FQ4_2025 has ret_overnight=0.0 exactly</t>
        </is>
      </c>
    </row>
    <row r="54" ht="15.95" customHeight="1" s="241">
      <c r="A54" t="inlineStr">
        <is>
          <t>direction_human_vs_always_down_p</t>
        </is>
      </c>
      <c r="B54" s="218" t="inlineStr">
        <is>
          <t>0.224</t>
        </is>
      </c>
      <c r="D54" s="218" t="inlineStr">
        <is>
          <t>85</t>
        </is>
      </c>
      <c r="K54" s="218" t="inlineStr">
        <is>
          <t>—</t>
        </is>
      </c>
      <c r="M54" s="218" t="inlineStr">
        <is>
          <t>binomial one-sided greater vs always-DOWN 45/85</t>
        </is>
      </c>
      <c r="N54" t="inlineStr">
        <is>
          <t>FALSE</t>
        </is>
      </c>
      <c r="O54" t="inlineStr">
        <is>
          <t>human_vs_llm_statistics.csv</t>
        </is>
      </c>
    </row>
    <row r="55" ht="15.95" customHeight="1" s="241">
      <c r="A55" t="inlineStr">
        <is>
          <t>direction_llm_vs_always_down_p</t>
        </is>
      </c>
      <c r="B55" s="218" t="inlineStr">
        <is>
          <t>0.164</t>
        </is>
      </c>
      <c r="D55" s="218" t="inlineStr">
        <is>
          <t>85</t>
        </is>
      </c>
      <c r="K55" s="218" t="inlineStr">
        <is>
          <t>—</t>
        </is>
      </c>
      <c r="M55" s="218" t="inlineStr">
        <is>
          <t>binomial one-sided greater vs always-DOWN 45/85</t>
        </is>
      </c>
      <c r="N55" t="inlineStr">
        <is>
          <t>FALSE</t>
        </is>
      </c>
      <c r="O55" t="inlineStr">
        <is>
          <t>human_vs_llm_statistics.csv</t>
        </is>
      </c>
    </row>
    <row r="56" ht="30" customHeight="1" s="241">
      <c r="A56" t="inlineStr">
        <is>
          <t>direction_human_buy_accuracy</t>
        </is>
      </c>
      <c r="B56" s="218" t="inlineStr">
        <is>
          <t>52.4%</t>
        </is>
      </c>
      <c r="C56" t="inlineStr">
        <is>
          <t>percent</t>
        </is>
      </c>
      <c r="D56" s="218" t="inlineStr">
        <is>
          <t>63</t>
        </is>
      </c>
      <c r="E56" s="218" t="inlineStr">
        <is>
          <t>human BUY calls among N=85 direction-only events</t>
        </is>
      </c>
      <c r="F56" s="218" t="inlineStr">
        <is>
          <t>N=85 direction-only</t>
        </is>
      </c>
      <c r="G56" t="inlineStr">
        <is>
          <t>sign accuracy, no band</t>
        </is>
      </c>
      <c r="K56" s="218" t="inlineStr">
        <is>
          <t>0.401</t>
        </is>
      </c>
      <c r="M56" s="220" t="inlineStr">
        <is>
          <t>binomial one-sided greater vs 50%; vs base-rate p=0.182 (base_rate=0.4588)</t>
        </is>
      </c>
      <c r="N56" t="inlineStr">
        <is>
          <t>FALSE</t>
        </is>
      </c>
      <c r="O56" t="inlineStr">
        <is>
          <t>human_vs_llm_direction_decomposition.csv</t>
        </is>
      </c>
      <c r="P56" s="218" t="inlineStr">
        <is>
          <t>33/63, vs_50pct_margin=2.4pp</t>
        </is>
      </c>
    </row>
    <row r="57" ht="30" customHeight="1" s="241">
      <c r="A57" t="inlineStr">
        <is>
          <t>direction_human_sell_accuracy</t>
        </is>
      </c>
      <c r="B57" t="inlineStr">
        <is>
          <t>72.7%</t>
        </is>
      </c>
      <c r="C57" t="inlineStr">
        <is>
          <t>percent</t>
        </is>
      </c>
      <c r="D57" t="inlineStr">
        <is>
          <t>22</t>
        </is>
      </c>
      <c r="E57" s="218" t="inlineStr">
        <is>
          <t>human SELL calls among N=85 direction-only events</t>
        </is>
      </c>
      <c r="F57" s="218" t="inlineStr">
        <is>
          <t>N=85 direction-only</t>
        </is>
      </c>
      <c r="G57" t="inlineStr">
        <is>
          <t>sign accuracy, no band</t>
        </is>
      </c>
      <c r="K57" s="218" t="inlineStr">
        <is>
          <t>0.026</t>
        </is>
      </c>
      <c r="M57" s="220" t="inlineStr">
        <is>
          <t>binomial one-sided greater vs 50%; vs base-rate p=0.060 (base_rate=0.5412)</t>
        </is>
      </c>
      <c r="N57" t="inlineStr">
        <is>
          <t>FALSE</t>
        </is>
      </c>
      <c r="O57" t="inlineStr">
        <is>
          <t>human_vs_llm_direction_decomposition.csv</t>
        </is>
      </c>
      <c r="P57" s="218" t="inlineStr">
        <is>
          <t>16/22, vs_50pct_margin=22.7pp</t>
        </is>
      </c>
    </row>
    <row r="58" ht="30" customHeight="1" s="241">
      <c r="A58" t="inlineStr">
        <is>
          <t>direction_llm_buy_accuracy</t>
        </is>
      </c>
      <c r="B58" s="218" t="inlineStr">
        <is>
          <t>54.2%</t>
        </is>
      </c>
      <c r="C58" t="inlineStr">
        <is>
          <t>percent</t>
        </is>
      </c>
      <c r="D58" s="218" t="inlineStr">
        <is>
          <t>59</t>
        </is>
      </c>
      <c r="E58" s="218" t="inlineStr">
        <is>
          <t>llm BUY calls among N=85 direction-only events</t>
        </is>
      </c>
      <c r="F58" s="218" t="inlineStr">
        <is>
          <t>N=85 direction-only</t>
        </is>
      </c>
      <c r="G58" t="inlineStr">
        <is>
          <t>sign accuracy, no band</t>
        </is>
      </c>
      <c r="K58" s="218" t="inlineStr">
        <is>
          <t>0.301</t>
        </is>
      </c>
      <c r="M58" s="220" t="inlineStr">
        <is>
          <t>binomial one-sided greater vs 50%; vs base-rate p=0.124 (base_rate=0.4588)</t>
        </is>
      </c>
      <c r="N58" t="inlineStr">
        <is>
          <t>FALSE</t>
        </is>
      </c>
      <c r="O58" t="inlineStr">
        <is>
          <t>human_vs_llm_direction_decomposition.csv</t>
        </is>
      </c>
      <c r="P58" s="218" t="inlineStr">
        <is>
          <t>32/59, vs_50pct_margin=4.2pp</t>
        </is>
      </c>
    </row>
    <row r="59" ht="30" customHeight="1" s="241">
      <c r="A59" t="inlineStr">
        <is>
          <t>direction_llm_sell_accuracy</t>
        </is>
      </c>
      <c r="B59" t="inlineStr">
        <is>
          <t>69.2%</t>
        </is>
      </c>
      <c r="C59" t="inlineStr">
        <is>
          <t>percent</t>
        </is>
      </c>
      <c r="D59" t="inlineStr">
        <is>
          <t>26</t>
        </is>
      </c>
      <c r="E59" s="218" t="inlineStr">
        <is>
          <t>llm SELL calls among N=85 direction-only events</t>
        </is>
      </c>
      <c r="F59" s="218" t="inlineStr">
        <is>
          <t>N=85 direction-only</t>
        </is>
      </c>
      <c r="G59" t="inlineStr">
        <is>
          <t>sign accuracy, no band</t>
        </is>
      </c>
      <c r="K59" s="218" t="inlineStr">
        <is>
          <t>0.038</t>
        </is>
      </c>
      <c r="M59" s="220" t="inlineStr">
        <is>
          <t>binomial one-sided greater vs 50%; vs base-rate p=0.087 (base_rate=0.5412)</t>
        </is>
      </c>
      <c r="N59" t="inlineStr">
        <is>
          <t>FALSE</t>
        </is>
      </c>
      <c r="O59" t="inlineStr">
        <is>
          <t>human_vs_llm_direction_decomposition.csv</t>
        </is>
      </c>
      <c r="P59" s="218" t="inlineStr">
        <is>
          <t>18/26, vs_50pct_margin=19.2pp</t>
        </is>
      </c>
    </row>
    <row r="60" ht="15.95" customHeight="1" s="241">
      <c r="A60" t="inlineStr">
        <is>
          <t>item_c_four_arm_n119_full_bundle_accuracy</t>
        </is>
      </c>
      <c r="B60" t="inlineStr">
        <is>
          <t>64.6%</t>
        </is>
      </c>
      <c r="C60" t="inlineStr">
        <is>
          <t>percent</t>
        </is>
      </c>
      <c r="D60" t="inlineStr">
        <is>
          <t>48</t>
        </is>
      </c>
      <c r="E60" t="inlineStr">
        <is>
          <t>graded events (|ret|&gt;2%) in four_arm_n119</t>
        </is>
      </c>
      <c r="F60" t="inlineStr">
        <is>
          <t>four_arm_n119</t>
        </is>
      </c>
      <c r="G60" t="inlineStr">
        <is>
          <t>HOLD-excluded, ±2% overnight band</t>
        </is>
      </c>
      <c r="N60" t="inlineStr">
        <is>
          <t>TRUE</t>
        </is>
      </c>
      <c r="O60" t="inlineStr">
        <is>
          <t>section_ablation_cost_per_correct.csv</t>
        </is>
      </c>
      <c r="P60" t="inlineStr">
        <is>
          <t>31/48; calls=119; mean_tokens=30096</t>
        </is>
      </c>
    </row>
    <row r="61" ht="15.95" customHeight="1" s="241">
      <c r="A61" t="inlineStr">
        <is>
          <t>item_c_four_arm_n119_full_bundle_cost_per_correct</t>
        </is>
      </c>
      <c r="B61" t="inlineStr">
        <is>
          <t>$0.0369</t>
        </is>
      </c>
      <c r="C61" t="inlineStr">
        <is>
          <t>USD per correct call</t>
        </is>
      </c>
      <c r="D61" t="inlineStr">
        <is>
          <t>31</t>
        </is>
      </c>
      <c r="F61" t="inlineStr">
        <is>
          <t>four_arm_n119</t>
        </is>
      </c>
      <c r="N61" t="inlineStr">
        <is>
          <t>TRUE</t>
        </is>
      </c>
      <c r="O61" t="inlineStr">
        <is>
          <t>section_ablation_cost_per_correct.csv</t>
        </is>
      </c>
      <c r="P61" t="inlineStr">
        <is>
          <t>total_cost=$1.1441; total_tokens=3581446</t>
        </is>
      </c>
    </row>
    <row r="62" ht="15.95" customHeight="1" s="241">
      <c r="A62" t="inlineStr">
        <is>
          <t>item_c_four_arm_n119_full_bundle_mean_tokens</t>
        </is>
      </c>
      <c r="B62" t="inlineStr">
        <is>
          <t>30096</t>
        </is>
      </c>
      <c r="C62" t="inlineStr">
        <is>
          <t>tokens per call</t>
        </is>
      </c>
      <c r="F62" t="inlineStr">
        <is>
          <t>four_arm_n119</t>
        </is>
      </c>
      <c r="N62" t="inlineStr">
        <is>
          <t>FALSE</t>
        </is>
      </c>
      <c r="O62" t="inlineStr">
        <is>
          <t>section_ablation_cost_per_correct.csv</t>
        </is>
      </c>
    </row>
    <row r="63" ht="15.95" customHeight="1" s="241">
      <c r="A63" t="inlineStr">
        <is>
          <t>item_c_four_arm_n119_press_release_accuracy</t>
        </is>
      </c>
      <c r="B63" t="inlineStr">
        <is>
          <t>64.9%</t>
        </is>
      </c>
      <c r="C63" t="inlineStr">
        <is>
          <t>percent</t>
        </is>
      </c>
      <c r="D63" t="inlineStr">
        <is>
          <t>37</t>
        </is>
      </c>
      <c r="E63" t="inlineStr">
        <is>
          <t>graded events (|ret|&gt;2%) in four_arm_n119</t>
        </is>
      </c>
      <c r="F63" t="inlineStr">
        <is>
          <t>four_arm_n119</t>
        </is>
      </c>
      <c r="G63" t="inlineStr">
        <is>
          <t>HOLD-excluded, ±2% overnight band</t>
        </is>
      </c>
      <c r="N63" t="inlineStr">
        <is>
          <t>TRUE</t>
        </is>
      </c>
      <c r="O63" t="inlineStr">
        <is>
          <t>section_ablation_cost_per_correct.csv</t>
        </is>
      </c>
      <c r="P63" t="inlineStr">
        <is>
          <t>24/37; calls=119; mean_tokens=13030</t>
        </is>
      </c>
    </row>
    <row r="64" ht="15.95" customHeight="1" s="241">
      <c r="A64" t="inlineStr">
        <is>
          <t>item_c_four_arm_n119_press_release_cost_per_correct</t>
        </is>
      </c>
      <c r="B64" t="inlineStr">
        <is>
          <t>$0.0225</t>
        </is>
      </c>
      <c r="C64" t="inlineStr">
        <is>
          <t>USD per correct call</t>
        </is>
      </c>
      <c r="D64" t="inlineStr">
        <is>
          <t>24</t>
        </is>
      </c>
      <c r="F64" t="inlineStr">
        <is>
          <t>four_arm_n119</t>
        </is>
      </c>
      <c r="N64" t="inlineStr">
        <is>
          <t>TRUE</t>
        </is>
      </c>
      <c r="O64" t="inlineStr">
        <is>
          <t>section_ablation_cost_per_correct.csv</t>
        </is>
      </c>
      <c r="P64" t="inlineStr">
        <is>
          <t>total_cost=$0.5394; total_tokens=1550583</t>
        </is>
      </c>
    </row>
    <row r="65" ht="15.95" customHeight="1" s="241">
      <c r="A65" t="inlineStr">
        <is>
          <t>item_c_four_arm_n119_press_release_mean_tokens</t>
        </is>
      </c>
      <c r="B65" t="inlineStr">
        <is>
          <t>13030</t>
        </is>
      </c>
      <c r="C65" t="inlineStr">
        <is>
          <t>tokens per call</t>
        </is>
      </c>
      <c r="F65" t="inlineStr">
        <is>
          <t>four_arm_n119</t>
        </is>
      </c>
      <c r="N65" t="inlineStr">
        <is>
          <t>FALSE</t>
        </is>
      </c>
      <c r="O65" t="inlineStr">
        <is>
          <t>section_ablation_cost_per_correct.csv</t>
        </is>
      </c>
    </row>
    <row r="66" ht="15.95" customHeight="1" s="241">
      <c r="A66" t="inlineStr">
        <is>
          <t>item_c_four_arm_n119_prepared_remarks_accuracy</t>
        </is>
      </c>
      <c r="B66" t="inlineStr">
        <is>
          <t>64.4%</t>
        </is>
      </c>
      <c r="C66" t="inlineStr">
        <is>
          <t>percent</t>
        </is>
      </c>
      <c r="D66" t="inlineStr">
        <is>
          <t>45</t>
        </is>
      </c>
      <c r="E66" t="inlineStr">
        <is>
          <t>graded events (|ret|&gt;2%) in four_arm_n119</t>
        </is>
      </c>
      <c r="F66" t="inlineStr">
        <is>
          <t>four_arm_n119</t>
        </is>
      </c>
      <c r="G66" t="inlineStr">
        <is>
          <t>HOLD-excluded, ±2% overnight band</t>
        </is>
      </c>
      <c r="N66" t="inlineStr">
        <is>
          <t>TRUE</t>
        </is>
      </c>
      <c r="O66" t="inlineStr">
        <is>
          <t>section_ablation_cost_per_correct.csv</t>
        </is>
      </c>
      <c r="P66" t="inlineStr">
        <is>
          <t>29/45; calls=119; mean_tokens=10287</t>
        </is>
      </c>
    </row>
    <row r="67" ht="15.95" customHeight="1" s="241">
      <c r="A67" t="inlineStr">
        <is>
          <t>item_c_four_arm_n119_prepared_remarks_cost_per_correct</t>
        </is>
      </c>
      <c r="B67" t="inlineStr">
        <is>
          <t>$0.0187</t>
        </is>
      </c>
      <c r="C67" t="inlineStr">
        <is>
          <t>USD per correct call</t>
        </is>
      </c>
      <c r="D67" t="inlineStr">
        <is>
          <t>29</t>
        </is>
      </c>
      <c r="F67" t="inlineStr">
        <is>
          <t>four_arm_n119</t>
        </is>
      </c>
      <c r="N67" t="inlineStr">
        <is>
          <t>TRUE</t>
        </is>
      </c>
      <c r="O67" t="inlineStr">
        <is>
          <t>section_ablation_cost_per_correct.csv</t>
        </is>
      </c>
      <c r="P67" t="inlineStr">
        <is>
          <t>total_cost=$0.5412; total_tokens=1224173</t>
        </is>
      </c>
    </row>
    <row r="68" ht="15.95" customHeight="1" s="241">
      <c r="A68" t="inlineStr">
        <is>
          <t>item_c_four_arm_n119_prepared_remarks_mean_tokens</t>
        </is>
      </c>
      <c r="B68" t="inlineStr">
        <is>
          <t>10287</t>
        </is>
      </c>
      <c r="C68" t="inlineStr">
        <is>
          <t>tokens per call</t>
        </is>
      </c>
      <c r="F68" t="inlineStr">
        <is>
          <t>four_arm_n119</t>
        </is>
      </c>
      <c r="N68" t="inlineStr">
        <is>
          <t>FALSE</t>
        </is>
      </c>
      <c r="O68" t="inlineStr">
        <is>
          <t>section_ablation_cost_per_correct.csv</t>
        </is>
      </c>
    </row>
    <row r="69" ht="15.95" customHeight="1" s="241">
      <c r="A69" t="inlineStr">
        <is>
          <t>item_c_four_arm_n119_qa_only_accuracy</t>
        </is>
      </c>
      <c r="B69" t="inlineStr">
        <is>
          <t>69.2%</t>
        </is>
      </c>
      <c r="C69" t="inlineStr">
        <is>
          <t>percent</t>
        </is>
      </c>
      <c r="D69" t="inlineStr">
        <is>
          <t>39</t>
        </is>
      </c>
      <c r="E69" t="inlineStr">
        <is>
          <t>graded events (|ret|&gt;2%) in four_arm_n119</t>
        </is>
      </c>
      <c r="F69" t="inlineStr">
        <is>
          <t>four_arm_n119</t>
        </is>
      </c>
      <c r="G69" t="inlineStr">
        <is>
          <t>HOLD-excluded, ±2% overnight band</t>
        </is>
      </c>
      <c r="N69" t="inlineStr">
        <is>
          <t>TRUE</t>
        </is>
      </c>
      <c r="O69" t="inlineStr">
        <is>
          <t>section_ablation_cost_per_correct.csv</t>
        </is>
      </c>
      <c r="P69" t="inlineStr">
        <is>
          <t>27/39; calls=119; mean_tokens=13163</t>
        </is>
      </c>
    </row>
    <row r="70" ht="15.95" customHeight="1" s="241">
      <c r="A70" t="inlineStr">
        <is>
          <t>item_c_four_arm_n119_qa_only_cost_per_correct</t>
        </is>
      </c>
      <c r="B70" t="inlineStr">
        <is>
          <t>$0.0220</t>
        </is>
      </c>
      <c r="C70" t="inlineStr">
        <is>
          <t>USD per correct call</t>
        </is>
      </c>
      <c r="D70" t="inlineStr">
        <is>
          <t>27</t>
        </is>
      </c>
      <c r="F70" t="inlineStr">
        <is>
          <t>four_arm_n119</t>
        </is>
      </c>
      <c r="N70" t="inlineStr">
        <is>
          <t>TRUE</t>
        </is>
      </c>
      <c r="O70" t="inlineStr">
        <is>
          <t>section_ablation_cost_per_correct.csv</t>
        </is>
      </c>
      <c r="P70" t="inlineStr">
        <is>
          <t>total_cost=$0.5952; total_tokens=1566442</t>
        </is>
      </c>
    </row>
    <row r="71" ht="15.95" customHeight="1" s="241">
      <c r="A71" t="inlineStr">
        <is>
          <t>item_c_four_arm_n119_qa_only_mean_tokens</t>
        </is>
      </c>
      <c r="B71" t="inlineStr">
        <is>
          <t>13163</t>
        </is>
      </c>
      <c r="C71" t="inlineStr">
        <is>
          <t>tokens per call</t>
        </is>
      </c>
      <c r="F71" t="inlineStr">
        <is>
          <t>four_arm_n119</t>
        </is>
      </c>
      <c r="N71" t="inlineStr">
        <is>
          <t>FALSE</t>
        </is>
      </c>
      <c r="O71" t="inlineStr">
        <is>
          <t>section_ablation_cost_per_correct.csv</t>
        </is>
      </c>
    </row>
    <row r="72" ht="15.95" customHeight="1" s="241">
      <c r="A72" t="inlineStr">
        <is>
          <t>item_c_all_n200_full_bundle_accuracy</t>
        </is>
      </c>
      <c r="B72" t="inlineStr">
        <is>
          <t>65.7%</t>
        </is>
      </c>
      <c r="C72" t="inlineStr">
        <is>
          <t>percent</t>
        </is>
      </c>
      <c r="D72" t="inlineStr">
        <is>
          <t>70</t>
        </is>
      </c>
      <c r="E72" t="inlineStr">
        <is>
          <t>graded events (|ret|&gt;2%) in all_n200</t>
        </is>
      </c>
      <c r="F72" t="inlineStr">
        <is>
          <t>all_n200</t>
        </is>
      </c>
      <c r="G72" t="inlineStr">
        <is>
          <t>HOLD-excluded, ±2% overnight band</t>
        </is>
      </c>
      <c r="N72" t="inlineStr">
        <is>
          <t>TRUE</t>
        </is>
      </c>
      <c r="O72" t="inlineStr">
        <is>
          <t>section_ablation_cost_per_correct.csv</t>
        </is>
      </c>
      <c r="P72" t="inlineStr">
        <is>
          <t>46/70; calls=200; mean_tokens=33130</t>
        </is>
      </c>
    </row>
    <row r="73" ht="15.95" customHeight="1" s="241">
      <c r="A73" t="inlineStr">
        <is>
          <t>item_c_all_n200_full_bundle_cost_per_correct</t>
        </is>
      </c>
      <c r="B73" t="inlineStr">
        <is>
          <t>$0.0460</t>
        </is>
      </c>
      <c r="C73" t="inlineStr">
        <is>
          <t>USD per correct call</t>
        </is>
      </c>
      <c r="D73" t="inlineStr">
        <is>
          <t>46</t>
        </is>
      </c>
      <c r="F73" t="inlineStr">
        <is>
          <t>all_n200</t>
        </is>
      </c>
      <c r="N73" t="inlineStr">
        <is>
          <t>TRUE</t>
        </is>
      </c>
      <c r="O73" t="inlineStr">
        <is>
          <t>section_ablation_cost_per_correct.csv</t>
        </is>
      </c>
      <c r="P73" t="inlineStr">
        <is>
          <t>total_cost=$2.1166; total_tokens=6626021</t>
        </is>
      </c>
    </row>
    <row r="74" ht="15.95" customHeight="1" s="241">
      <c r="A74" t="inlineStr">
        <is>
          <t>item_c_all_n200_full_bundle_mean_tokens</t>
        </is>
      </c>
      <c r="B74" t="inlineStr">
        <is>
          <t>33130</t>
        </is>
      </c>
      <c r="C74" t="inlineStr">
        <is>
          <t>tokens per call</t>
        </is>
      </c>
      <c r="F74" t="inlineStr">
        <is>
          <t>all_n200</t>
        </is>
      </c>
      <c r="N74" t="inlineStr">
        <is>
          <t>FALSE</t>
        </is>
      </c>
      <c r="O74" t="inlineStr">
        <is>
          <t>section_ablation_cost_per_correct.csv</t>
        </is>
      </c>
    </row>
    <row r="75" ht="15.95" customHeight="1" s="241">
      <c r="A75" t="inlineStr">
        <is>
          <t>item_c_all_n200_press_release_accuracy</t>
        </is>
      </c>
      <c r="B75" t="inlineStr">
        <is>
          <t>62.5%</t>
        </is>
      </c>
      <c r="C75" t="inlineStr">
        <is>
          <t>percent</t>
        </is>
      </c>
      <c r="D75" t="inlineStr">
        <is>
          <t>56</t>
        </is>
      </c>
      <c r="E75" t="inlineStr">
        <is>
          <t>graded events (|ret|&gt;2%) in all_n200</t>
        </is>
      </c>
      <c r="F75" t="inlineStr">
        <is>
          <t>all_n200</t>
        </is>
      </c>
      <c r="G75" t="inlineStr">
        <is>
          <t>HOLD-excluded, ±2% overnight band</t>
        </is>
      </c>
      <c r="N75" t="inlineStr">
        <is>
          <t>TRUE</t>
        </is>
      </c>
      <c r="O75" t="inlineStr">
        <is>
          <t>section_ablation_cost_per_correct.csv</t>
        </is>
      </c>
      <c r="P75" t="inlineStr">
        <is>
          <t>35/56; calls=200; mean_tokens=15298</t>
        </is>
      </c>
    </row>
    <row r="76" ht="15.95" customHeight="1" s="241">
      <c r="A76" t="inlineStr">
        <is>
          <t>item_c_all_n200_press_release_cost_per_correct</t>
        </is>
      </c>
      <c r="B76" t="inlineStr">
        <is>
          <t>$0.0290</t>
        </is>
      </c>
      <c r="C76" t="inlineStr">
        <is>
          <t>USD per correct call</t>
        </is>
      </c>
      <c r="D76" t="inlineStr">
        <is>
          <t>35</t>
        </is>
      </c>
      <c r="F76" t="inlineStr">
        <is>
          <t>all_n200</t>
        </is>
      </c>
      <c r="N76" t="inlineStr">
        <is>
          <t>TRUE</t>
        </is>
      </c>
      <c r="O76" t="inlineStr">
        <is>
          <t>section_ablation_cost_per_correct.csv</t>
        </is>
      </c>
      <c r="P76" t="inlineStr">
        <is>
          <t>total_cost=$1.0149; total_tokens=3059630</t>
        </is>
      </c>
    </row>
    <row r="77" ht="15.95" customHeight="1" s="241">
      <c r="A77" t="inlineStr">
        <is>
          <t>item_c_all_n200_press_release_mean_tokens</t>
        </is>
      </c>
      <c r="B77" t="inlineStr">
        <is>
          <t>15298</t>
        </is>
      </c>
      <c r="C77" t="inlineStr">
        <is>
          <t>tokens per call</t>
        </is>
      </c>
      <c r="F77" t="inlineStr">
        <is>
          <t>all_n200</t>
        </is>
      </c>
      <c r="N77" t="inlineStr">
        <is>
          <t>FALSE</t>
        </is>
      </c>
      <c r="O77" t="inlineStr">
        <is>
          <t>section_ablation_cost_per_correct.csv</t>
        </is>
      </c>
    </row>
    <row r="78" ht="15.95" customHeight="1" s="241">
      <c r="A78" t="inlineStr">
        <is>
          <t>item_c_all_n200_prepared_remarks_accuracy</t>
        </is>
      </c>
      <c r="B78" t="inlineStr">
        <is>
          <t>64.4%</t>
        </is>
      </c>
      <c r="C78" t="inlineStr">
        <is>
          <t>percent</t>
        </is>
      </c>
      <c r="D78" t="inlineStr">
        <is>
          <t>45</t>
        </is>
      </c>
      <c r="E78" t="inlineStr">
        <is>
          <t>graded events (|ret|&gt;2%) in all_n200</t>
        </is>
      </c>
      <c r="F78" t="inlineStr">
        <is>
          <t>all_n200</t>
        </is>
      </c>
      <c r="G78" t="inlineStr">
        <is>
          <t>HOLD-excluded, ±2% overnight band</t>
        </is>
      </c>
      <c r="N78" t="inlineStr">
        <is>
          <t>TRUE</t>
        </is>
      </c>
      <c r="O78" t="inlineStr">
        <is>
          <t>section_ablation_cost_per_correct.csv</t>
        </is>
      </c>
      <c r="P78" t="inlineStr">
        <is>
          <t>29/45; calls=119; mean_tokens=10287</t>
        </is>
      </c>
    </row>
    <row r="79" ht="15.95" customHeight="1" s="241">
      <c r="A79" t="inlineStr">
        <is>
          <t>item_c_all_n200_prepared_remarks_cost_per_correct</t>
        </is>
      </c>
      <c r="B79" t="inlineStr">
        <is>
          <t>$0.0187</t>
        </is>
      </c>
      <c r="C79" t="inlineStr">
        <is>
          <t>USD per correct call</t>
        </is>
      </c>
      <c r="D79" t="inlineStr">
        <is>
          <t>29</t>
        </is>
      </c>
      <c r="F79" t="inlineStr">
        <is>
          <t>all_n200</t>
        </is>
      </c>
      <c r="N79" t="inlineStr">
        <is>
          <t>TRUE</t>
        </is>
      </c>
      <c r="O79" t="inlineStr">
        <is>
          <t>section_ablation_cost_per_correct.csv</t>
        </is>
      </c>
      <c r="P79" t="inlineStr">
        <is>
          <t>total_cost=$0.5412; total_tokens=1224173</t>
        </is>
      </c>
    </row>
    <row r="80" ht="15.95" customHeight="1" s="241">
      <c r="A80" t="inlineStr">
        <is>
          <t>item_c_all_n200_prepared_remarks_mean_tokens</t>
        </is>
      </c>
      <c r="B80" t="inlineStr">
        <is>
          <t>10287</t>
        </is>
      </c>
      <c r="C80" t="inlineStr">
        <is>
          <t>tokens per call</t>
        </is>
      </c>
      <c r="F80" t="inlineStr">
        <is>
          <t>all_n200</t>
        </is>
      </c>
      <c r="N80" t="inlineStr">
        <is>
          <t>FALSE</t>
        </is>
      </c>
      <c r="O80" t="inlineStr">
        <is>
          <t>section_ablation_cost_per_correct.csv</t>
        </is>
      </c>
    </row>
    <row r="81" ht="15.95" customHeight="1" s="241">
      <c r="A81" t="inlineStr">
        <is>
          <t>item_c_all_n200_qa_only_accuracy</t>
        </is>
      </c>
      <c r="B81" t="inlineStr">
        <is>
          <t>69.2%</t>
        </is>
      </c>
      <c r="C81" t="inlineStr">
        <is>
          <t>percent</t>
        </is>
      </c>
      <c r="D81" t="inlineStr">
        <is>
          <t>39</t>
        </is>
      </c>
      <c r="E81" t="inlineStr">
        <is>
          <t>graded events (|ret|&gt;2%) in all_n200</t>
        </is>
      </c>
      <c r="F81" t="inlineStr">
        <is>
          <t>all_n200</t>
        </is>
      </c>
      <c r="G81" t="inlineStr">
        <is>
          <t>HOLD-excluded, ±2% overnight band</t>
        </is>
      </c>
      <c r="N81" t="inlineStr">
        <is>
          <t>TRUE</t>
        </is>
      </c>
      <c r="O81" t="inlineStr">
        <is>
          <t>section_ablation_cost_per_correct.csv</t>
        </is>
      </c>
      <c r="P81" t="inlineStr">
        <is>
          <t>27/39; calls=119; mean_tokens=13163</t>
        </is>
      </c>
    </row>
    <row r="82" ht="15.95" customHeight="1" s="241">
      <c r="A82" t="inlineStr">
        <is>
          <t>item_c_all_n200_qa_only_cost_per_correct</t>
        </is>
      </c>
      <c r="B82" t="inlineStr">
        <is>
          <t>$0.0220</t>
        </is>
      </c>
      <c r="C82" t="inlineStr">
        <is>
          <t>USD per correct call</t>
        </is>
      </c>
      <c r="D82" t="inlineStr">
        <is>
          <t>27</t>
        </is>
      </c>
      <c r="F82" t="inlineStr">
        <is>
          <t>all_n200</t>
        </is>
      </c>
      <c r="N82" t="inlineStr">
        <is>
          <t>TRUE</t>
        </is>
      </c>
      <c r="O82" t="inlineStr">
        <is>
          <t>section_ablation_cost_per_correct.csv</t>
        </is>
      </c>
      <c r="P82" t="inlineStr">
        <is>
          <t>total_cost=$0.5952; total_tokens=1566442</t>
        </is>
      </c>
    </row>
    <row r="83" ht="15.95" customHeight="1" s="241">
      <c r="A83" t="inlineStr">
        <is>
          <t>item_c_all_n200_qa_only_mean_tokens</t>
        </is>
      </c>
      <c r="B83" t="inlineStr">
        <is>
          <t>13163</t>
        </is>
      </c>
      <c r="C83" t="inlineStr">
        <is>
          <t>tokens per call</t>
        </is>
      </c>
      <c r="F83" t="inlineStr">
        <is>
          <t>all_n200</t>
        </is>
      </c>
      <c r="N83" t="inlineStr">
        <is>
          <t>FALSE</t>
        </is>
      </c>
      <c r="O83" t="inlineStr">
        <is>
          <t>section_ablation_cost_per_correct.csv</t>
        </is>
      </c>
    </row>
    <row r="84" ht="30" customHeight="1" s="241">
      <c r="A84" s="101" t="inlineStr">
        <is>
          <t>item_c_paired_press_release_vs_full_bundle_strict_(both_graded)</t>
        </is>
      </c>
      <c r="B84" s="214" t="inlineStr">
        <is>
          <t>0.0278</t>
        </is>
      </c>
      <c r="C84" t="inlineStr">
        <is>
          <t>fraction diff</t>
        </is>
      </c>
      <c r="D84" s="214" t="inlineStr">
        <is>
          <t>36</t>
        </is>
      </c>
      <c r="F84" t="inlineStr">
        <is>
          <t>four_arm</t>
        </is>
      </c>
      <c r="G84" t="inlineStr">
        <is>
          <t>strict (both graded)</t>
        </is>
      </c>
      <c r="H84" t="inlineStr">
        <is>
          <t>0.0</t>
        </is>
      </c>
      <c r="I84" s="214" t="inlineStr">
        <is>
          <t>0.0833</t>
        </is>
      </c>
      <c r="K84" t="inlineStr">
        <is>
          <t>1.0</t>
        </is>
      </c>
      <c r="N84" t="inlineStr">
        <is>
          <t>TRUE</t>
        </is>
      </c>
      <c r="O84" t="inlineStr">
        <is>
          <t>section_ablation_paired_diffs.csv</t>
        </is>
      </c>
      <c r="P84" s="101" t="inlineStr">
        <is>
          <t>On the 36 both-graded events the press release is +2.8pp (p=0.72); the old zero-information identity did not survive the corrected returns</t>
        </is>
      </c>
    </row>
    <row r="85" ht="30" customHeight="1" s="241">
      <c r="A85" s="101" t="inlineStr">
        <is>
          <t>item_c_paired_press_release_vs_full_bundle_inclusive_(either_graded_ungraded=0.5)</t>
        </is>
      </c>
      <c r="B85" s="214" t="inlineStr">
        <is>
          <t>-0.0306</t>
        </is>
      </c>
      <c r="C85" t="inlineStr">
        <is>
          <t>fraction diff</t>
        </is>
      </c>
      <c r="D85" s="214" t="inlineStr">
        <is>
          <t>49</t>
        </is>
      </c>
      <c r="F85" t="inlineStr">
        <is>
          <t>four_arm</t>
        </is>
      </c>
      <c r="G85" t="inlineStr">
        <is>
          <t>inclusive (either graded, ungraded=0.5)</t>
        </is>
      </c>
      <c r="H85" s="214" t="inlineStr">
        <is>
          <t>-0.1020</t>
        </is>
      </c>
      <c r="I85" s="214" t="inlineStr">
        <is>
          <t>0.0408</t>
        </is>
      </c>
      <c r="K85" t="inlineStr">
        <is>
          <t>0.0548</t>
        </is>
      </c>
      <c r="N85" t="inlineStr">
        <is>
          <t>TRUE</t>
        </is>
      </c>
      <c r="O85" t="inlineStr">
        <is>
          <t>section_ablation_paired_diffs.csv</t>
        </is>
      </c>
      <c r="P85" s="101" t="inlineStr">
        <is>
          <t>Full bundle +3.1pp inclusive (p=0.53) — inside the ±12pp paired MDE</t>
        </is>
      </c>
    </row>
    <row r="86" ht="30" customHeight="1" s="241">
      <c r="A86" s="101" t="inlineStr">
        <is>
          <t>item_c_paired_prepared_remarks_vs_full_bundle_strict_(both_graded)</t>
        </is>
      </c>
      <c r="B86" s="214" t="inlineStr">
        <is>
          <t>-0.0233</t>
        </is>
      </c>
      <c r="C86" t="inlineStr">
        <is>
          <t>fraction diff</t>
        </is>
      </c>
      <c r="D86" s="214" t="inlineStr">
        <is>
          <t>43</t>
        </is>
      </c>
      <c r="F86" t="inlineStr">
        <is>
          <t>four_arm</t>
        </is>
      </c>
      <c r="G86" t="inlineStr">
        <is>
          <t>strict (both graded)</t>
        </is>
      </c>
      <c r="H86" s="214" t="inlineStr">
        <is>
          <t>-0.0698</t>
        </is>
      </c>
      <c r="I86" t="inlineStr">
        <is>
          <t>0.0</t>
        </is>
      </c>
      <c r="K86" t="inlineStr">
        <is>
          <t>0.7284</t>
        </is>
      </c>
      <c r="N86" t="inlineStr">
        <is>
          <t>TRUE</t>
        </is>
      </c>
      <c r="O86" t="inlineStr">
        <is>
          <t>section_ablation_paired_diffs.csv</t>
        </is>
      </c>
    </row>
    <row r="87" ht="30" customHeight="1" s="241">
      <c r="A87" s="101" t="inlineStr">
        <is>
          <t>item_c_paired_prepared_remarks_vs_full_bundle_inclusive_(either_graded_ungraded=0.5)</t>
        </is>
      </c>
      <c r="B87" s="214" t="inlineStr">
        <is>
          <t>-0.0100</t>
        </is>
      </c>
      <c r="C87" t="inlineStr">
        <is>
          <t>fraction diff</t>
        </is>
      </c>
      <c r="D87" s="214" t="inlineStr">
        <is>
          <t>50</t>
        </is>
      </c>
      <c r="F87" t="inlineStr">
        <is>
          <t>four_arm</t>
        </is>
      </c>
      <c r="G87" t="inlineStr">
        <is>
          <t>inclusive (either graded, ungraded=0.5)</t>
        </is>
      </c>
      <c r="H87" s="214" t="inlineStr">
        <is>
          <t>-0.0700</t>
        </is>
      </c>
      <c r="I87" s="214" t="inlineStr">
        <is>
          <t>0.0400</t>
        </is>
      </c>
      <c r="K87" t="inlineStr">
        <is>
          <t>0.201</t>
        </is>
      </c>
      <c r="N87" t="inlineStr">
        <is>
          <t>TRUE</t>
        </is>
      </c>
      <c r="O87" t="inlineStr">
        <is>
          <t>section_ablation_paired_diffs.csv</t>
        </is>
      </c>
    </row>
    <row r="88" ht="15.95" customHeight="1" s="241">
      <c r="A88" t="inlineStr">
        <is>
          <t>item_c_paired_qa_only_vs_full_bundle_strict_(both_graded)</t>
        </is>
      </c>
      <c r="B88" s="214" t="inlineStr">
        <is>
          <t>0.0263</t>
        </is>
      </c>
      <c r="C88" t="inlineStr">
        <is>
          <t>fraction diff</t>
        </is>
      </c>
      <c r="D88" s="214" t="inlineStr">
        <is>
          <t>38</t>
        </is>
      </c>
      <c r="F88" t="inlineStr">
        <is>
          <t>four_arm</t>
        </is>
      </c>
      <c r="G88" t="inlineStr">
        <is>
          <t>strict (both graded)</t>
        </is>
      </c>
      <c r="H88" s="214" t="inlineStr">
        <is>
          <t>-0.0526</t>
        </is>
      </c>
      <c r="I88" s="214" t="inlineStr">
        <is>
          <t>0.1053</t>
        </is>
      </c>
      <c r="K88" t="inlineStr">
        <is>
          <t>0.7934</t>
        </is>
      </c>
      <c r="N88" t="inlineStr">
        <is>
          <t>TRUE</t>
        </is>
      </c>
      <c r="O88" t="inlineStr">
        <is>
          <t>section_ablation_paired_diffs.csv</t>
        </is>
      </c>
      <c r="P88" t="inlineStr">
        <is>
          <t>recomputed 2026-08-21 at the promoted constants on corrected returns (flag C); the 2026-08-13 paired artifact was stale twice over and reproduces from no committed input — same note serves row 89</t>
        </is>
      </c>
    </row>
    <row r="89" ht="30" customHeight="1" s="241">
      <c r="A89" s="101" t="inlineStr">
        <is>
          <t>item_c_paired_qa_only_vs_full_bundle_inclusive_(either_graded_ungraded=0.5)</t>
        </is>
      </c>
      <c r="B89" s="214" t="inlineStr">
        <is>
          <t>0.0102</t>
        </is>
      </c>
      <c r="C89" t="inlineStr">
        <is>
          <t>fraction diff</t>
        </is>
      </c>
      <c r="D89" s="214" t="inlineStr">
        <is>
          <t>49</t>
        </is>
      </c>
      <c r="F89" t="inlineStr">
        <is>
          <t>four_arm</t>
        </is>
      </c>
      <c r="G89" t="inlineStr">
        <is>
          <t>inclusive (either graded, ungraded=0.5)</t>
        </is>
      </c>
      <c r="H89" s="214" t="inlineStr">
        <is>
          <t>-0.0714</t>
        </is>
      </c>
      <c r="I89" s="214" t="inlineStr">
        <is>
          <t>0.0918</t>
        </is>
      </c>
      <c r="K89" t="inlineStr">
        <is>
          <t>0.2686</t>
        </is>
      </c>
      <c r="N89" t="inlineStr">
        <is>
          <t>TRUE</t>
        </is>
      </c>
      <c r="O89" t="inlineStr">
        <is>
          <t>section_ablation_paired_diffs.csv</t>
        </is>
      </c>
    </row>
    <row r="90" ht="15.95" customHeight="1" s="241">
      <c r="A90" t="inlineStr">
        <is>
          <t>frontier_Majority-class_HOLD_accuracy_flat_excluded</t>
        </is>
      </c>
      <c r="B90" t="inlineStr">
        <is>
          <t>54.6%</t>
        </is>
      </c>
      <c r="C90" t="inlineStr">
        <is>
          <t>percent</t>
        </is>
      </c>
      <c r="D90" t="inlineStr">
        <is>
          <t>119</t>
        </is>
      </c>
      <c r="E90" t="inlineStr">
        <is>
          <t>graded events, FLAT-excluded</t>
        </is>
      </c>
      <c r="F90" t="inlineStr">
        <is>
          <t>eval split (186 events, 119 graded)</t>
        </is>
      </c>
      <c r="H90" t="inlineStr">
        <is>
          <t>0.471</t>
        </is>
      </c>
      <c r="I90" t="inlineStr">
        <is>
          <t xml:space="preserve"> 0.622</t>
        </is>
      </c>
      <c r="J90" t="inlineStr">
        <is>
          <t>90%</t>
        </is>
      </c>
      <c r="N90" t="inlineStr">
        <is>
          <t>FALSE</t>
        </is>
      </c>
      <c r="O90" t="inlineStr">
        <is>
          <t>frontier_table.csv</t>
        </is>
      </c>
      <c r="P90" s="101" t="inlineStr">
        <is>
          <t>Always predicts HOLD; 0 trades. FLAT-excluded: always-DOWN = 65/119.</t>
        </is>
      </c>
    </row>
    <row r="91" ht="15.95" customHeight="1" s="241">
      <c r="A91" t="inlineStr">
        <is>
          <t>frontier_Majority-class_HOLD_accuracy_flat_wrong</t>
        </is>
      </c>
      <c r="B91" t="inlineStr">
        <is>
          <t>36.0%</t>
        </is>
      </c>
      <c r="C91" t="inlineStr">
        <is>
          <t>percent</t>
        </is>
      </c>
      <c r="D91" t="inlineStr">
        <is>
          <t>186</t>
        </is>
      </c>
      <c r="E91" t="inlineStr">
        <is>
          <t>all eval events, HOLD=wrong</t>
        </is>
      </c>
      <c r="F91" t="inlineStr">
        <is>
          <t>eval split (186 events)</t>
        </is>
      </c>
      <c r="N91" t="inlineStr">
        <is>
          <t>FALSE</t>
        </is>
      </c>
      <c r="O91" t="inlineStr">
        <is>
          <t>frontier_table.csv</t>
        </is>
      </c>
    </row>
    <row r="92" ht="15.95" customHeight="1" s="241">
      <c r="A92" t="inlineStr">
        <is>
          <t>frontier_Loughran-McDonald_(LM)_accuracy_flat_excluded</t>
        </is>
      </c>
      <c r="B92" s="218" t="inlineStr">
        <is>
          <t>3.4%</t>
        </is>
      </c>
      <c r="C92" t="inlineStr">
        <is>
          <t>percent</t>
        </is>
      </c>
      <c r="D92" t="inlineStr">
        <is>
          <t>119</t>
        </is>
      </c>
      <c r="E92" t="inlineStr">
        <is>
          <t>graded events, FLAT-excluded</t>
        </is>
      </c>
      <c r="F92" t="inlineStr">
        <is>
          <t>eval split (186 events, 119 graded)</t>
        </is>
      </c>
      <c r="H92" s="218" t="inlineStr">
        <is>
          <t>—</t>
        </is>
      </c>
      <c r="I92" s="218" t="inlineStr">
        <is>
          <t>—</t>
        </is>
      </c>
      <c r="J92" t="inlineStr">
        <is>
          <t>90%</t>
        </is>
      </c>
      <c r="N92" t="inlineStr">
        <is>
          <t>FALSE</t>
        </is>
      </c>
      <c r="O92" t="inlineStr">
        <is>
          <t>frontier_table.csv</t>
        </is>
      </c>
      <c r="P92" s="220" t="inlineStr">
        <is>
          <t>pysentiment2 word-count score, no API cost. FLAT-excluded: 4/119.</t>
        </is>
      </c>
    </row>
    <row r="93" ht="15.95" customHeight="1" s="241">
      <c r="A93" t="inlineStr">
        <is>
          <t>frontier_Loughran-McDonald_(LM)_accuracy_flat_wrong</t>
        </is>
      </c>
      <c r="B93" s="218" t="inlineStr">
        <is>
          <t>37.6%</t>
        </is>
      </c>
      <c r="C93" t="inlineStr">
        <is>
          <t>percent</t>
        </is>
      </c>
      <c r="D93" t="inlineStr">
        <is>
          <t>186</t>
        </is>
      </c>
      <c r="E93" t="inlineStr">
        <is>
          <t>all eval events, HOLD=wrong</t>
        </is>
      </c>
      <c r="F93" t="inlineStr">
        <is>
          <t>eval split (186 events)</t>
        </is>
      </c>
      <c r="N93" t="inlineStr">
        <is>
          <t>FALSE</t>
        </is>
      </c>
      <c r="O93" t="inlineStr">
        <is>
          <t>frontier_table.csv</t>
        </is>
      </c>
    </row>
    <row r="94" ht="15.95" customHeight="1" s="241">
      <c r="A94" t="inlineStr">
        <is>
          <t>frontier_FinBERT_(ProsusAI_finbert)_accuracy_flat_excluded</t>
        </is>
      </c>
      <c r="B94" s="218" t="inlineStr">
        <is>
          <t>17.6%</t>
        </is>
      </c>
      <c r="C94" t="inlineStr">
        <is>
          <t>percent</t>
        </is>
      </c>
      <c r="D94" t="inlineStr">
        <is>
          <t>119</t>
        </is>
      </c>
      <c r="E94" t="inlineStr">
        <is>
          <t>graded events, FLAT-excluded</t>
        </is>
      </c>
      <c r="F94" t="inlineStr">
        <is>
          <t>eval split (186 events, 119 graded)</t>
        </is>
      </c>
      <c r="H94" s="218" t="inlineStr">
        <is>
          <t>—</t>
        </is>
      </c>
      <c r="I94" s="218" t="inlineStr">
        <is>
          <t>—</t>
        </is>
      </c>
      <c r="J94" t="inlineStr">
        <is>
          <t>90%</t>
        </is>
      </c>
      <c r="N94" t="inlineStr">
        <is>
          <t>FALSE</t>
        </is>
      </c>
      <c r="O94" t="inlineStr">
        <is>
          <t>frontier_table.csv</t>
        </is>
      </c>
      <c r="P94" s="220" t="inlineStr">
        <is>
          <t>512-token chunks, token-weighted avg; local compute only. FLAT-excluded: 21/119.</t>
        </is>
      </c>
    </row>
    <row r="95" ht="15.95" customHeight="1" s="241">
      <c r="A95" t="inlineStr">
        <is>
          <t>frontier_FinBERT_(ProsusAI_finbert)_accuracy_flat_wrong</t>
        </is>
      </c>
      <c r="B95" s="214" t="inlineStr">
        <is>
          <t>32.8%</t>
        </is>
      </c>
      <c r="C95" t="inlineStr">
        <is>
          <t>percent</t>
        </is>
      </c>
      <c r="D95" t="inlineStr">
        <is>
          <t>186</t>
        </is>
      </c>
      <c r="E95" t="inlineStr">
        <is>
          <t>all eval events, HOLD=wrong</t>
        </is>
      </c>
      <c r="F95" t="inlineStr">
        <is>
          <t>eval split (186 events)</t>
        </is>
      </c>
      <c r="N95" t="inlineStr">
        <is>
          <t>FALSE</t>
        </is>
      </c>
      <c r="O95" t="inlineStr">
        <is>
          <t>frontier_table.csv</t>
        </is>
      </c>
    </row>
    <row r="96" ht="30" customHeight="1" s="241">
      <c r="A96" s="101" t="inlineStr">
        <is>
          <t>frontier_Deployed_model_(DeepSeek_0.80_0.20_micro_macro)_accuracy_flat_excluded</t>
        </is>
      </c>
      <c r="B96" t="inlineStr">
        <is>
          <t>48.7%</t>
        </is>
      </c>
      <c r="C96" t="inlineStr">
        <is>
          <t>percent</t>
        </is>
      </c>
      <c r="D96" t="inlineStr">
        <is>
          <t>119</t>
        </is>
      </c>
      <c r="E96" t="inlineStr">
        <is>
          <t>graded events, FLAT-excluded</t>
        </is>
      </c>
      <c r="F96" t="inlineStr">
        <is>
          <t>eval split (186 events, 119 graded)</t>
        </is>
      </c>
      <c r="H96" t="inlineStr">
        <is>
          <t>0.412</t>
        </is>
      </c>
      <c r="I96" t="inlineStr">
        <is>
          <t xml:space="preserve"> 0.563</t>
        </is>
      </c>
      <c r="J96" t="inlineStr">
        <is>
          <t>90%</t>
        </is>
      </c>
      <c r="N96" t="inlineStr">
        <is>
          <t>FALSE</t>
        </is>
      </c>
      <c r="O96" t="inlineStr">
        <is>
          <t>frontier_table.csv</t>
        </is>
      </c>
      <c r="P96" s="101" t="inlineStr">
        <is>
          <t>Structured output with evidence quotes; API cost per document. FLAT-excluded: 51/119.</t>
        </is>
      </c>
    </row>
    <row r="97" ht="30" customHeight="1" s="241">
      <c r="A97" s="101" t="inlineStr">
        <is>
          <t>frontier_Deployed_model_(DeepSeek_0.80_0.20_micro_macro)_accuracy_flat_wrong</t>
        </is>
      </c>
      <c r="B97" t="inlineStr">
        <is>
          <t>41.9%</t>
        </is>
      </c>
      <c r="C97" t="inlineStr">
        <is>
          <t>percent</t>
        </is>
      </c>
      <c r="D97" t="inlineStr">
        <is>
          <t>186</t>
        </is>
      </c>
      <c r="E97" t="inlineStr">
        <is>
          <t>all eval events, HOLD=wrong</t>
        </is>
      </c>
      <c r="F97" t="inlineStr">
        <is>
          <t>eval split (186 events)</t>
        </is>
      </c>
      <c r="N97" t="inlineStr">
        <is>
          <t>FALSE</t>
        </is>
      </c>
      <c r="O97" t="inlineStr">
        <is>
          <t>frontier_table.csv</t>
        </is>
      </c>
    </row>
    <row r="98" ht="15.95" customHeight="1" s="241">
      <c r="A98" t="inlineStr">
        <is>
          <t>walkforward_n_windows</t>
        </is>
      </c>
      <c r="B98" t="inlineStr">
        <is>
          <t>4</t>
        </is>
      </c>
      <c r="N98" t="inlineStr">
        <is>
          <t>FALSE</t>
        </is>
      </c>
      <c r="O98" t="inlineStr">
        <is>
          <t>item_e_walkforward.json</t>
        </is>
      </c>
    </row>
    <row r="99" ht="30" customHeight="1" s="241">
      <c r="A99" t="inlineStr">
        <is>
          <t>walkforward_degeneracy_finding</t>
        </is>
      </c>
      <c r="B99" s="220" t="inlineStr">
        <is>
          <t>{'mean_net_degenerate': 4, 'accuracy_degenerate': 1, 'total_windows': 4, 'both_degenerate': True}</t>
        </is>
      </c>
      <c r="N99" t="inlineStr">
        <is>
          <t>FALSE</t>
        </is>
      </c>
      <c r="O99" t="inlineStr">
        <is>
          <t>item_e_walkforward.json</t>
        </is>
      </c>
      <c r="P99" t="inlineStr">
        <is>
          <t>Both mean-net and accuracy objectives tried; both degenerate</t>
        </is>
      </c>
    </row>
    <row r="100" ht="15.95" customHeight="1" s="241">
      <c r="A100" t="inlineStr">
        <is>
          <t>walkforward_mean_net_objective_degenerate_windows</t>
        </is>
      </c>
      <c r="F100" t="inlineStr">
        <is>
          <t>walk-forward mean_net_objective</t>
        </is>
      </c>
      <c r="N100" t="inlineStr">
        <is>
          <t>FALSE</t>
        </is>
      </c>
      <c r="O100" t="inlineStr">
        <is>
          <t>item_e_walkforward.json</t>
        </is>
      </c>
    </row>
    <row r="101" ht="15.95" customHeight="1" s="241">
      <c r="A101" t="inlineStr">
        <is>
          <t>walkforward_accuracy_objective_degenerate_windows</t>
        </is>
      </c>
      <c r="F101" t="inlineStr">
        <is>
          <t>walk-forward accuracy_objective</t>
        </is>
      </c>
      <c r="N101" t="inlineStr">
        <is>
          <t>FALSE</t>
        </is>
      </c>
      <c r="O101" t="inlineStr">
        <is>
          <t>item_e_walkforward.json</t>
        </is>
      </c>
    </row>
    <row r="102" ht="15.95" customHeight="1" s="241">
      <c r="A102" t="inlineStr">
        <is>
          <t>in_sample_deployed_accuracy</t>
        </is>
      </c>
      <c r="B102" s="218" t="inlineStr">
        <is>
          <t>62.4%</t>
        </is>
      </c>
      <c r="C102" t="inlineStr">
        <is>
          <t>percent</t>
        </is>
      </c>
      <c r="D102" s="218" t="inlineStr">
        <is>
          <t>109</t>
        </is>
      </c>
      <c r="E102" s="218" t="inlineStr">
        <is>
          <t>graded events, deployed thresholds, full N=232</t>
        </is>
      </c>
      <c r="F102" s="218" t="inlineStr">
        <is>
          <t>N=232 clean universe</t>
        </is>
      </c>
      <c r="N102" t="inlineStr">
        <is>
          <t>TRUE</t>
        </is>
      </c>
      <c r="O102" t="inlineStr">
        <is>
          <t>item_e_walkforward.json</t>
        </is>
      </c>
      <c r="P102" s="218" t="inlineStr">
        <is>
          <t>68/109; trades=168</t>
        </is>
      </c>
    </row>
    <row r="103" ht="30" customHeight="1" s="241">
      <c r="A103" t="inlineStr">
        <is>
          <t>eval_split_always_down_floor</t>
        </is>
      </c>
      <c r="B103" t="inlineStr">
        <is>
          <t>54.6%</t>
        </is>
      </c>
      <c r="C103" t="inlineStr">
        <is>
          <t>percent</t>
        </is>
      </c>
      <c r="D103" t="inlineStr">
        <is>
          <t>119</t>
        </is>
      </c>
      <c r="E103" t="inlineStr">
        <is>
          <t>65/119 graded eval events have negative return</t>
        </is>
      </c>
      <c r="F103" s="101" t="inlineStr">
        <is>
          <t>eval split (latest 80% by release_date, 186 events, 119 graded)</t>
        </is>
      </c>
      <c r="N103" t="inlineStr">
        <is>
          <t>FALSE</t>
        </is>
      </c>
      <c r="O103" t="inlineStr">
        <is>
          <t>frontier_table.csv</t>
        </is>
      </c>
    </row>
    <row r="104" ht="15.95" customHeight="1" s="241">
      <c r="A104" t="inlineStr">
        <is>
          <t>eval_split_accuracy</t>
        </is>
      </c>
      <c r="B104" s="218" t="inlineStr">
        <is>
          <t>63.0%</t>
        </is>
      </c>
      <c r="C104" t="inlineStr">
        <is>
          <t>percent</t>
        </is>
      </c>
      <c r="D104" s="218" t="inlineStr">
        <is>
          <t>92</t>
        </is>
      </c>
      <c r="E104" t="inlineStr">
        <is>
          <t>traded+graded events in eval split</t>
        </is>
      </c>
      <c r="F104" t="inlineStr">
        <is>
          <t>eval split, N=186</t>
        </is>
      </c>
      <c r="K104" s="218" t="inlineStr">
        <is>
          <t>0.064</t>
        </is>
      </c>
      <c r="L104" t="inlineStr">
        <is>
          <t>±14.4pp</t>
        </is>
      </c>
      <c r="M104" t="inlineStr">
        <is>
          <t>binomial vs always-DOWN floor 54.6%</t>
        </is>
      </c>
      <c r="N104" t="inlineStr">
        <is>
          <t>TRUE</t>
        </is>
      </c>
      <c r="O104" t="inlineStr">
        <is>
          <t>surviving_findings.md</t>
        </is>
      </c>
      <c r="P104" s="218" t="inlineStr">
        <is>
          <t>58/92; margin +8.4pp; sorted by release_date, latest 80%</t>
        </is>
      </c>
    </row>
    <row r="105" ht="15.95" customHeight="1" s="241">
      <c r="A105" t="inlineStr">
        <is>
          <t>dev_split_accuracy</t>
        </is>
      </c>
      <c r="B105" s="218" t="inlineStr">
        <is>
          <t>58.8%</t>
        </is>
      </c>
      <c r="C105" t="inlineStr">
        <is>
          <t>percent</t>
        </is>
      </c>
      <c r="D105" s="218" t="inlineStr">
        <is>
          <t>17</t>
        </is>
      </c>
      <c r="E105" t="inlineStr">
        <is>
          <t>traded+graded events in dev split</t>
        </is>
      </c>
      <c r="F105" s="218" t="inlineStr">
        <is>
          <t>dev split, N=46 (earliest 20% by release_date)</t>
        </is>
      </c>
      <c r="L105" t="inlineStr">
        <is>
          <t>±27.8pp</t>
        </is>
      </c>
      <c r="N105" t="inlineStr">
        <is>
          <t>TRUE</t>
        </is>
      </c>
      <c r="O105" t="inlineStr">
        <is>
          <t>surviving_findings.md</t>
        </is>
      </c>
      <c r="P105" s="220" t="inlineStr">
        <is>
          <t>10/17; margin +5.0pp vs floor 53.8% — not significant, underpowered</t>
        </is>
      </c>
    </row>
    <row r="106" ht="30" customHeight="1" s="241">
      <c r="A106" t="inlineStr">
        <is>
          <t>cross_issuer_accuracy</t>
        </is>
      </c>
      <c r="B106" s="218" t="inlineStr">
        <is>
          <t>66.1%</t>
        </is>
      </c>
      <c r="C106" t="inlineStr">
        <is>
          <t>percent</t>
        </is>
      </c>
      <c r="D106" s="218" t="inlineStr">
        <is>
          <t>59</t>
        </is>
      </c>
      <c r="E106" t="inlineStr">
        <is>
          <t>graded events in 29 post-sweep issuers</t>
        </is>
      </c>
      <c r="F106" s="101" t="inlineStr">
        <is>
          <t>N=101 post-sweep events, 29 issuers (2 further timing-excluded)</t>
        </is>
      </c>
      <c r="K106" s="218" t="inlineStr">
        <is>
          <t>0.0244</t>
        </is>
      </c>
      <c r="L106" s="218" t="inlineStr">
        <is>
          <t>±19.5pp</t>
        </is>
      </c>
      <c r="M106" t="inlineStr">
        <is>
          <t>binomial vs always-DOWN floor</t>
        </is>
      </c>
      <c r="N106" t="inlineStr">
        <is>
          <t>TRUE</t>
        </is>
      </c>
      <c r="O106" t="inlineStr">
        <is>
          <t>item_e_walkforward.json</t>
        </is>
      </c>
      <c r="P106" s="220" t="inlineStr">
        <is>
          <t>39/59; floor=52.5%; RECONSTRUCTED subset — sweep membership inferred from issuer order; cross-issuer test only, NOT temporal generalisation; dates overlap with in-sweep events (both span 2023-2026)</t>
        </is>
      </c>
    </row>
    <row r="107" ht="15.95" customHeight="1" s="241"/>
    <row r="108" ht="30" customHeight="1" s="241">
      <c r="A108" s="121" t="inlineStr">
        <is>
          <t>--- THREE-FIGURE RECONCILIATION (deployed model, same run_id 20260812_183842) ---</t>
        </is>
      </c>
      <c r="B108" s="99" t="n"/>
      <c r="C108" s="99" t="n"/>
      <c r="D108" s="99" t="n"/>
      <c r="E108" s="99" t="n"/>
      <c r="F108" s="99" t="n"/>
      <c r="G108" s="99" t="n"/>
      <c r="H108" s="99" t="n"/>
      <c r="I108" s="99" t="n"/>
      <c r="J108" s="99" t="n"/>
      <c r="K108" s="99" t="n"/>
      <c r="L108" s="99" t="n"/>
      <c r="M108" s="99" t="n"/>
      <c r="N108" s="99" t="n"/>
      <c r="O108" s="99" t="n"/>
      <c r="P108" s="99" t="n"/>
    </row>
    <row r="109" ht="15.95" customHeight="1" s="241">
      <c r="A109" s="96" t="inlineStr">
        <is>
          <t>metric_name</t>
        </is>
      </c>
      <c r="B109" s="96" t="inlineStr">
        <is>
          <t>value</t>
        </is>
      </c>
      <c r="C109" s="96" t="inlineStr">
        <is>
          <t>unit</t>
        </is>
      </c>
      <c r="D109" s="96" t="inlineStr">
        <is>
          <t>numerator</t>
        </is>
      </c>
      <c r="E109" s="96" t="inlineStr">
        <is>
          <t>denominator</t>
        </is>
      </c>
      <c r="F109" s="96" t="inlineStr">
        <is>
          <t>event_set</t>
        </is>
      </c>
      <c r="G109" s="96" t="inlineStr">
        <is>
          <t>convention</t>
        </is>
      </c>
      <c r="H109" s="96" t="n"/>
      <c r="I109" s="96" t="n"/>
      <c r="J109" s="96" t="n"/>
      <c r="K109" s="96" t="n"/>
      <c r="L109" s="96" t="n"/>
      <c r="M109" s="96" t="n"/>
      <c r="N109" s="96" t="n"/>
      <c r="O109" s="96" t="inlineStr">
        <is>
          <t>source_file</t>
        </is>
      </c>
      <c r="P109" s="96" t="inlineStr">
        <is>
          <t>notes</t>
        </is>
      </c>
    </row>
    <row r="110" ht="30" customHeight="1" s="241">
      <c r="A110" s="218" t="inlineStr">
        <is>
          <t>accuracy_full_n232_coverage</t>
        </is>
      </c>
      <c r="B110" s="218" t="inlineStr">
        <is>
          <t>46.9%</t>
        </is>
      </c>
      <c r="C110" t="inlineStr">
        <is>
          <t>percent</t>
        </is>
      </c>
      <c r="D110" s="218" t="inlineStr">
        <is>
          <t>68</t>
        </is>
      </c>
      <c r="E110" s="218" t="inlineStr">
        <is>
          <t>145</t>
        </is>
      </c>
      <c r="F110" s="218" t="inlineStr">
        <is>
          <t>N=232 clean universe (all events with |ret|&gt;2%)</t>
        </is>
      </c>
      <c r="G110" s="220" t="inlineStr">
        <is>
          <t>Coverage: HOLD=wrong. Denominator = all N=232 events where |ret_overnight|&gt;2%</t>
        </is>
      </c>
      <c r="N110" t="inlineStr">
        <is>
          <t>FALSE</t>
        </is>
      </c>
      <c r="O110" t="inlineStr">
        <is>
          <t>ext2_holding_curve.csv / item_e_walkforward.json</t>
        </is>
      </c>
      <c r="P110" s="220" t="inlineStr">
        <is>
          <t>PRIMARY full-sample figure. Floor: 54.5% (79/145 always-DOWN). Margin: -7.6pp below floor.</t>
        </is>
      </c>
    </row>
    <row r="111" ht="30" customHeight="1" s="241">
      <c r="A111" t="inlineStr">
        <is>
          <t>accuracy_eval_flat_excluded</t>
        </is>
      </c>
      <c r="B111" t="inlineStr">
        <is>
          <t>48.7%</t>
        </is>
      </c>
      <c r="C111" t="inlineStr">
        <is>
          <t>percent</t>
        </is>
      </c>
      <c r="D111" t="inlineStr">
        <is>
          <t>58</t>
        </is>
      </c>
      <c r="E111" t="inlineStr">
        <is>
          <t>119</t>
        </is>
      </c>
      <c r="F111" s="218" t="inlineStr">
        <is>
          <t>Eval split (latest 80% of N=232 = 186 events; 119 graded)</t>
        </is>
      </c>
      <c r="G111" s="101" t="inlineStr">
        <is>
          <t>FLAT-excluded: denominator = 119 graded events in eval split; model HOLD on moved event excluded</t>
        </is>
      </c>
      <c r="N111" t="inlineStr">
        <is>
          <t>FALSE</t>
        </is>
      </c>
      <c r="O111" t="inlineStr">
        <is>
          <t>frontier_table.csv</t>
        </is>
      </c>
      <c r="P111" s="101" t="inlineStr">
        <is>
          <t>Subset stability check. Floor: 54.6% (65/119 always-DOWN). Margin: -5.9pp below floor.</t>
        </is>
      </c>
    </row>
    <row r="112" ht="30" customHeight="1" s="241">
      <c r="A112" t="inlineStr">
        <is>
          <t>accuracy_eval_flat_as_wrong</t>
        </is>
      </c>
      <c r="B112" t="inlineStr">
        <is>
          <t>41.9%</t>
        </is>
      </c>
      <c r="C112" t="inlineStr">
        <is>
          <t>percent</t>
        </is>
      </c>
      <c r="D112" t="inlineStr">
        <is>
          <t>78</t>
        </is>
      </c>
      <c r="E112" t="inlineStr">
        <is>
          <t>186</t>
        </is>
      </c>
      <c r="F112" s="218" t="inlineStr">
        <is>
          <t>Eval split (latest 80% of N=232 = 186 events)</t>
        </is>
      </c>
      <c r="G112" s="101" t="inlineStr">
        <is>
          <t>FLAT-as-wrong: denominator = 186 all eval events; model HOLD on moved event = wrong</t>
        </is>
      </c>
      <c r="N112" t="inlineStr">
        <is>
          <t>FALSE</t>
        </is>
      </c>
      <c r="O112" t="inlineStr">
        <is>
          <t>frontier_table.csv</t>
        </is>
      </c>
      <c r="P112" s="101" t="inlineStr">
        <is>
          <t>Subset stability check. Floor: 36.0% (67/186 majority-class HOLD baseline).</t>
        </is>
      </c>
    </row>
    <row r="113" ht="45.95" customHeight="1" s="241">
      <c r="A113" t="inlineStr">
        <is>
          <t>reconciliation_note</t>
        </is>
      </c>
      <c r="G113" s="220" t="inlineStr">
        <is>
          <t>41.9% &lt; 46.9% &lt; 48.7%. These are NOT contradictory: different event sets (full N=232 vs eval split only) and different conventions (FLAT-as-wrong/Coverage/FLAT-excluded). Primary figure is 46.9% (68/145, full N=232, coverage). Eval-split figures test subset stability. NOTE the order changed at the 0.80/0.20 constants: FLAT-as-wrong was the highest of the three and is now the lowest, because the model trades more and so takes more HOLD-on-a-mover penalties off the 186 denominator.</t>
        </is>
      </c>
      <c r="O113" t="inlineStr">
        <is>
          <t>frontier_table.csv</t>
        </is>
      </c>
    </row>
  </sheetData>
  <pageMargins left="0.75" right="0.75" top="1" bottom="1" header="0.5" footer="0.5"/>
  <pageSetup orientation="landscape" fitToHeight="0"/>
</worksheet>
</file>

<file path=xl/worksheets/sheet12.xml><?xml version="1.0" encoding="utf-8"?>
<worksheet xmlns="http://schemas.openxmlformats.org/spreadsheetml/2006/main">
  <sheetPr>
    <tabColor rgb="FF404040"/>
    <outlinePr summaryBelow="1" summaryRight="1"/>
    <pageSetUpPr fitToPage="1"/>
  </sheetPr>
  <dimension ref="A1:BT524"/>
  <sheetViews>
    <sheetView showGridLines="0" zoomScale="125" zoomScaleNormal="100" workbookViewId="0">
      <pane xSplit="2" ySplit="2" topLeftCell="C23" activePane="bottomRight" state="frozen"/>
      <selection pane="bottomRight" activeCell="A1" sqref="A1"/>
      <selection pane="bottomLeft" activeCell="A1" sqref="A1"/>
      <selection pane="topRight" activeCell="A1" sqref="A1"/>
    </sheetView>
  </sheetViews>
  <sheetFormatPr baseColWidth="8" defaultColWidth="8.7109375" defaultRowHeight="15"/>
  <cols>
    <col width="20" customWidth="1" style="77" min="1" max="1"/>
    <col width="9" customWidth="1" style="88" min="2" max="2"/>
    <col width="7" customWidth="1" style="90" min="3" max="3"/>
    <col width="8" customWidth="1" style="90" min="4" max="4"/>
    <col width="19" bestFit="1" customWidth="1" style="91" min="5" max="5"/>
    <col width="14.42578125" bestFit="1" customWidth="1" style="91" min="6" max="6"/>
    <col width="15" customWidth="1" style="90" min="7" max="7"/>
    <col width="10" customWidth="1" style="90" min="8" max="8"/>
    <col width="11" customWidth="1" style="92" min="9" max="9"/>
    <col width="12" customWidth="1" style="92" min="10" max="10"/>
    <col width="9" bestFit="1" customWidth="1" style="92" min="11" max="11"/>
    <col width="14" customWidth="1" style="87" min="12" max="12"/>
    <col width="12" customWidth="1" style="87" min="13" max="13"/>
    <col width="10" customWidth="1" style="93" min="14" max="14"/>
    <col width="13" customWidth="1" style="87" min="15" max="15"/>
    <col width="11" customWidth="1" style="92" min="16" max="16"/>
    <col width="12" customWidth="1" style="2" min="17" max="17"/>
    <col width="12" customWidth="1" style="90" min="18" max="18"/>
    <col width="12" customWidth="1" style="241" min="19" max="19"/>
    <col width="8" customWidth="1" style="90" min="20" max="20"/>
    <col width="10" customWidth="1" style="90" min="21" max="21"/>
    <col width="36" bestFit="1" customWidth="1" style="7" min="22" max="22"/>
    <col width="9" bestFit="1" customWidth="1" style="241" min="23" max="23"/>
    <col width="20" customWidth="1" style="243" min="24" max="24"/>
    <col width="12" customWidth="1" style="243" min="25" max="25"/>
    <col width="11" customWidth="1" style="241" min="26" max="26"/>
    <col hidden="1" outlineLevel="1" width="48" customWidth="1" style="241" min="27" max="27"/>
    <col hidden="1" outlineLevel="1" width="10" customWidth="1" style="241" min="28" max="28"/>
    <col hidden="1" outlineLevel="1" width="13" customWidth="1" style="241" min="29" max="50"/>
    <col collapsed="1" width="13" customWidth="1" style="241" min="51" max="51"/>
    <col hidden="1" outlineLevel="1" width="13" customWidth="1" style="241" min="52" max="63"/>
    <col hidden="1" outlineLevel="1" width="23.28515625" customWidth="1" style="241" min="64" max="64"/>
    <col hidden="1" outlineLevel="1" width="13" customWidth="1" style="241" min="65" max="70"/>
    <col width="14" customWidth="1" style="241" min="71" max="71"/>
    <col width="34" customWidth="1" style="241" min="72" max="72"/>
  </cols>
  <sheetData>
    <row r="1" ht="15" customHeight="1" s="241">
      <c r="A1" s="170" t="inlineStr">
        <is>
          <t>HUMAN ARM CORRECTED. Prices M to P re-anchored on release_date from EDGAR filing dates, 2026-08-13. 295 of 420 rows re-anchored; 125 remain on original report_date basis (human-only events not in LLM universe — see column 'Price Basis Corrected'). Columns Q to U and the Summary, Charts and Efficiency sheets recalculate from these. Original basis retained in Master_Data_LOCKED_2026-08-13.xlsx. See Corrections_Log.</t>
        </is>
      </c>
      <c r="W1" t="inlineStr">
        <is>
          <t>Derived from Time (mins). Do not type here.</t>
        </is>
      </c>
      <c r="X1" s="240" t="inlineStr">
        <is>
          <t>HELPER KEY | DO NOT EDIT HERE</t>
        </is>
      </c>
      <c r="AB1" t="inlineStr">
        <is>
          <t>SECTION C — re-priced on the declared basis. Values, not formulas. Nothing to the left of here has been changed.</t>
        </is>
      </c>
      <c r="AL1" t="inlineStr">
        <is>
          <t>SECTION D - provenance and classification. Phase is looked up from Company_List column G. Source File is blank where no document matched the event both uniquely and strongly enough to cite, and Source Basis says which. Nothing to the left of here was changed.</t>
        </is>
      </c>
    </row>
    <row r="2" ht="30" customHeight="1" s="241">
      <c r="A2" s="171" t="inlineStr">
        <is>
          <t>Company</t>
        </is>
      </c>
      <c r="B2" s="171" t="inlineStr">
        <is>
          <t>Ticker</t>
        </is>
      </c>
      <c r="C2" s="171" t="inlineStr">
        <is>
          <t>Year</t>
        </is>
      </c>
      <c r="D2" s="171" t="inlineStr">
        <is>
          <t>Quarter</t>
        </is>
      </c>
      <c r="E2" s="171" t="inlineStr">
        <is>
          <t>Document</t>
        </is>
      </c>
      <c r="F2" s="171" t="inlineStr">
        <is>
          <t>Section</t>
        </is>
      </c>
      <c r="G2" s="171" t="inlineStr">
        <is>
          <t>Rater</t>
        </is>
      </c>
      <c r="H2" s="171" t="inlineStr">
        <is>
          <t>Type (Human/LLM)</t>
        </is>
      </c>
      <c r="I2" s="171" t="inlineStr">
        <is>
          <t>Sentiment Score (−1 to +1)</t>
        </is>
      </c>
      <c r="J2" s="171" t="inlineStr">
        <is>
          <t>Decision (BUY/HOLD/SELL)</t>
        </is>
      </c>
      <c r="K2" s="171" t="inlineStr">
        <is>
          <t xml:space="preserve">Time (mins)
</t>
        </is>
      </c>
      <c r="L2" s="172" t="inlineStr">
        <is>
          <t>Document Date</t>
        </is>
      </c>
      <c r="M2" s="172" t="inlineStr">
        <is>
          <t>Prior Closing Date</t>
        </is>
      </c>
      <c r="N2" s="173" t="inlineStr">
        <is>
          <t>Prior
Close ($)</t>
        </is>
      </c>
      <c r="O2" s="172" t="inlineStr">
        <is>
          <t>Next Opening Date</t>
        </is>
      </c>
      <c r="P2" s="171" t="inlineStr">
        <is>
          <t>Next Day
Open ($)</t>
        </is>
      </c>
      <c r="Q2" s="171" t="inlineStr">
        <is>
          <t>Actual % Change</t>
        </is>
      </c>
      <c r="R2" s="171" t="inlineStr">
        <is>
          <t>Actual Direction</t>
        </is>
      </c>
      <c r="S2" s="171" t="inlineStr">
        <is>
          <t>Prediction Correct?</t>
        </is>
      </c>
      <c r="T2" s="171" t="inlineStr">
        <is>
          <t>Position</t>
        </is>
      </c>
      <c r="U2" s="171" t="inlineStr">
        <is>
          <t>Net P&amp;L</t>
        </is>
      </c>
      <c r="V2" s="171" t="inlineStr">
        <is>
          <t>Notes / Risks Flagged</t>
        </is>
      </c>
      <c r="W2" s="171" t="inlineStr">
        <is>
          <t>Time (sec)</t>
        </is>
      </c>
      <c r="X2" s="171" t="inlineStr">
        <is>
          <t>Event Key</t>
        </is>
      </c>
      <c r="Y2" s="171" t="inlineStr">
        <is>
          <t>LLM Decision</t>
        </is>
      </c>
      <c r="Z2" s="171" t="inlineStr">
        <is>
          <t>LLM Correct?</t>
        </is>
      </c>
      <c r="AA2" s="171" t="inlineStr">
        <is>
          <t>Helper columns for the Efficiency sheet. Do not type here.</t>
        </is>
      </c>
      <c r="AB2" s="171" t="inlineStr">
        <is>
          <t>Re-priced basis</t>
        </is>
      </c>
      <c r="AC2" s="171" t="inlineStr">
        <is>
          <t>Re-priced listing</t>
        </is>
      </c>
      <c r="AD2" s="171" t="inlineStr">
        <is>
          <t>Re-priced prior close date</t>
        </is>
      </c>
      <c r="AE2" s="171" t="inlineStr">
        <is>
          <t>Re-priced prior close</t>
        </is>
      </c>
      <c r="AF2" s="171" t="inlineStr">
        <is>
          <t>Re-priced next open date</t>
        </is>
      </c>
      <c r="AG2" s="171" t="inlineStr">
        <is>
          <t>Re-priced next open</t>
        </is>
      </c>
      <c r="AH2" s="171" t="inlineStr">
        <is>
          <t>Re-priced % change</t>
        </is>
      </c>
      <c r="AI2" s="171" t="inlineStr">
        <is>
          <t>Re-priced direction</t>
        </is>
      </c>
      <c r="AJ2" s="171" t="inlineStr">
        <is>
          <t>Re-priced correct?</t>
        </is>
      </c>
      <c r="AK2" s="171" t="inlineStr">
        <is>
          <t>Re-priced net P&amp;L</t>
        </is>
      </c>
      <c r="AL2" s="171" t="inlineStr">
        <is>
          <t>Phase</t>
        </is>
      </c>
      <c r="AM2" s="171" t="inlineStr">
        <is>
          <t>Source File</t>
        </is>
      </c>
      <c r="AN2" s="171" t="inlineStr">
        <is>
          <t>Source URL</t>
        </is>
      </c>
      <c r="AO2" s="171" t="inlineStr">
        <is>
          <t>Source Basis</t>
        </is>
      </c>
      <c r="AP2" s="171" t="inlineStr">
        <is>
          <t>In LLM Universe</t>
        </is>
      </c>
      <c r="AQ2" s="171" t="inlineStr">
        <is>
          <t>First Rater for Event</t>
        </is>
      </c>
      <c r="AR2" s="171" t="inlineStr">
        <is>
          <t>In Window</t>
        </is>
      </c>
      <c r="AS2" s="171" t="inlineStr">
        <is>
          <t>Information Set</t>
        </is>
      </c>
      <c r="AT2" s="171" t="inlineStr">
        <is>
          <t>Net P&amp;L on trades (helper)</t>
        </is>
      </c>
      <c r="AU2" s="171" t="inlineStr">
        <is>
          <t>Net P&amp;L on trades, re-priced (helper)</t>
        </is>
      </c>
      <c r="AV2" s="171" t="inlineStr">
        <is>
          <t>Conviction weight (helper)</t>
        </is>
      </c>
      <c r="AW2" s="171" t="inlineStr">
        <is>
          <t>Conviction-weighted P&amp;L (helper)</t>
        </is>
      </c>
      <c r="AX2" s="171" t="inlineStr">
        <is>
          <t>Conviction weight, re-priced (helper)</t>
        </is>
      </c>
      <c r="AY2" s="171" t="inlineStr">
        <is>
          <t>Event Set</t>
        </is>
      </c>
      <c r="AZ2" s="171" t="inlineStr">
        <is>
          <t>Sector</t>
        </is>
      </c>
      <c r="BA2" s="171" t="inlineStr">
        <is>
          <t>Pass</t>
        </is>
      </c>
      <c r="BB2" s="171" t="inlineStr">
        <is>
          <t>Passes Recorded</t>
        </is>
      </c>
      <c r="BC2" s="171" t="inlineStr">
        <is>
          <t>First Reading for Rater-Event</t>
        </is>
      </c>
      <c r="BD2" s="171" t="inlineStr">
        <is>
          <t>Pass 1 Minutes</t>
        </is>
      </c>
      <c r="BE2" s="171" t="inlineStr">
        <is>
          <t>Pass 2 Minutes</t>
        </is>
      </c>
      <c r="BF2" s="171" t="inlineStr">
        <is>
          <t>Pass 1 Score</t>
        </is>
      </c>
      <c r="BG2" s="171" t="inlineStr">
        <is>
          <t>Peeked</t>
        </is>
      </c>
      <c r="BH2" s="171" t="inlineStr">
        <is>
          <t>AI Declared</t>
        </is>
      </c>
      <c r="BI2" s="171" t="inlineStr">
        <is>
          <t>Expectation (written before reading)</t>
        </is>
      </c>
      <c r="BJ2" s="171" t="inlineStr">
        <is>
          <t>Rater Record</t>
        </is>
      </c>
      <c r="BK2" s="171" t="inlineStr">
        <is>
          <t>Decisions Agree</t>
        </is>
      </c>
      <c r="BL2" s="171" t="inlineStr">
        <is>
          <t>Peeked - Basis</t>
        </is>
      </c>
      <c r="BM2" s="171" t="inlineStr">
        <is>
          <t>Source Documents Cited</t>
        </is>
      </c>
      <c r="BN2" s="171" t="inlineStr">
        <is>
          <t>Source Publisher</t>
        </is>
      </c>
      <c r="BO2" s="171" t="inlineStr">
        <is>
          <t>Source Licence Class</t>
        </is>
      </c>
      <c r="BP2" s="171" t="inlineStr">
        <is>
          <t>Source Is SEC Periodic Filing</t>
        </is>
      </c>
      <c r="BQ2" s="171" t="inlineStr">
        <is>
          <t>Source In Provenance Manifest</t>
        </is>
      </c>
      <c r="BR2" s="171" t="inlineStr">
        <is>
          <t>Document Date - Basis</t>
        </is>
      </c>
      <c r="BS2" s="171" t="inlineStr">
        <is>
          <t>Price Basis Corrected</t>
        </is>
      </c>
      <c r="BT2" s="171" t="inlineStr">
        <is>
          <t>Not Corrected Reason</t>
        </is>
      </c>
    </row>
    <row r="3" ht="15" customHeight="1" s="241">
      <c r="A3" s="174" t="inlineStr">
        <is>
          <t>Netflix</t>
        </is>
      </c>
      <c r="B3" s="175">
        <f>IF(A3="","",_xlfn.XLOOKUP(A3, Company_List!$A:$A, Company_List!$B:$B, ""))</f>
        <v/>
      </c>
      <c r="C3" s="176" t="n">
        <v>2026</v>
      </c>
      <c r="D3" s="177" t="inlineStr">
        <is>
          <t>Q1</t>
        </is>
      </c>
      <c r="E3" s="178" t="inlineStr">
        <is>
          <t>All</t>
        </is>
      </c>
      <c r="F3" s="178" t="inlineStr">
        <is>
          <t>All</t>
        </is>
      </c>
      <c r="G3" s="177" t="inlineStr">
        <is>
          <t>Anna</t>
        </is>
      </c>
      <c r="H3" s="177" t="inlineStr">
        <is>
          <t>Human</t>
        </is>
      </c>
      <c r="I3" s="179" t="n">
        <v>0.5</v>
      </c>
      <c r="J3" s="180">
        <f>IF(OR(I3="",Settings!$B$6=""),"",IF(I3&gt;Settings!$B$6,"BUY",IF(I3&lt;-Settings!$B$6,"SELL","HOLD")))</f>
        <v/>
      </c>
      <c r="K3" s="181" t="n">
        <v>38</v>
      </c>
      <c r="L3" s="182" t="n">
        <v>46128</v>
      </c>
      <c r="M3" s="182" t="n">
        <v>46128</v>
      </c>
      <c r="N3" s="179" t="n">
        <v>107.79</v>
      </c>
      <c r="O3" s="182" t="n">
        <v>46129</v>
      </c>
      <c r="P3" s="183" t="n">
        <v>96.37</v>
      </c>
      <c r="Q3" s="184">
        <f>IF(OR(N3="",P3=""),"",ROUND((P3-N3)/N3,4))</f>
        <v/>
      </c>
      <c r="R3" s="177">
        <f>IF(OR(N3="",P3=""),"",IF(Q3&gt;Settings!$B$3/100,"UP",IF(Q3&lt;-Settings!$B$3/100,"DOWN","FLAT")))</f>
        <v/>
      </c>
      <c r="S3" s="177">
        <f>IF(OR(N3="",P3="",J3=""),"",IF(OR(AND(J3="BUY",R3="UP"),AND(J3="SELL",R3="DOWN"),AND(J3="HOLD",R3="FLAT")),"YES","NO"))</f>
        <v/>
      </c>
      <c r="T3" s="176">
        <f>IF(J3="","",IF(J3="BUY",1,IF(J3="SELL",-1,0)))</f>
        <v/>
      </c>
      <c r="U3" s="184">
        <f>IFERROR(IF(OR(J3="",N3="",P3=""),"",IF(T3=0,0,T3*Q3-Settings!$B$4/10000-IF(T3&lt;0,Settings!$B$5/10000,0))),"")</f>
        <v/>
      </c>
      <c r="V3" s="185" t="n"/>
      <c r="W3" s="176">
        <f>IF($K3="","",$K3*60)</f>
        <v/>
      </c>
      <c r="X3" s="186">
        <f>IF($A3="","",$A3&amp;"|"&amp;$C3&amp;"|"&amp;$D3)</f>
        <v/>
      </c>
      <c r="Y3" s="186">
        <f>IFERROR(IF($X3="","",INDEX(LLM_Data_Entry!$H$3:$H$548,MATCH($X3,INDEX(LLM_Data_Entry!$A$3:$A$548&amp;"|"&amp;LLM_Data_Entry!$C$3:$C$548&amp;"|"&amp;LLM_Data_Entry!$D$3:$D$548,0),0))),"")</f>
        <v/>
      </c>
      <c r="Z3" s="186">
        <f>IFERROR(IF($X3="","",INDEX(LLM_Data_Entry!$R$3:$R$548,MATCH($X3,INDEX(LLM_Data_Entry!$A$3:$A$548&amp;"|"&amp;LLM_Data_Entry!$C$3:$C$548&amp;"|"&amp;LLM_Data_Entry!$D$3:$D$548,0),0))),"")</f>
        <v/>
      </c>
      <c r="AA3" s="152" t="n"/>
      <c r="AB3" s="152" t="inlineStr">
        <is>
          <t>price signal — only this window shows an abnormal move</t>
        </is>
      </c>
      <c r="AC3" s="152" t="inlineStr">
        <is>
          <t>NFLX</t>
        </is>
      </c>
      <c r="AD3" s="152" t="inlineStr">
        <is>
          <t>2026-04-16</t>
        </is>
      </c>
      <c r="AE3" s="152" t="n">
        <v>107.79</v>
      </c>
      <c r="AF3" s="152" t="inlineStr">
        <is>
          <t>2026-04-17</t>
        </is>
      </c>
      <c r="AG3" s="152" t="n">
        <v>96.37</v>
      </c>
      <c r="AH3" s="152" t="n">
        <v>-0.1059467287693966</v>
      </c>
      <c r="AI3" s="152" t="inlineStr">
        <is>
          <t>DOWN</t>
        </is>
      </c>
      <c r="AJ3" s="152" t="inlineStr">
        <is>
          <t>NO</t>
        </is>
      </c>
      <c r="AK3" s="152" t="n">
        <v>-0.106947</v>
      </c>
      <c r="AL3" s="152">
        <f>IF($A3="","",IFERROR(INDEX(Company_List!$G$3:$G$207,MATCH($A3,Company_List!$A$3:$A$207,0)),"unassigned"))</f>
        <v/>
      </c>
      <c r="AM3" s="152" t="inlineStr">
        <is>
          <t>Phase 2/Netflix/Netflix-Inc-_Earnings-Call_2026-04-16T00_00_00_English-1.pdf</t>
        </is>
      </c>
      <c r="AN3" s="152" t="n"/>
      <c r="AO3" s="152" t="inlineStr">
        <is>
          <t>unique filename match</t>
        </is>
      </c>
      <c r="AP3" s="152">
        <f>IF($A3="","",IF(COUNTIFS(LLM_Data_Entry!$A$3:$A$548,$A3)&gt;0,"YES","NO"))</f>
        <v/>
      </c>
      <c r="AQ3" s="152">
        <f>IF($A3="","",IF(COUNTIFS($A$3:$A3,$A3,$C$3:$C3,$C3,$D$3:$D3,$D3)=1,"YES","NO"))</f>
        <v/>
      </c>
      <c r="AR3" s="152">
        <f>IF($A3="","",IF(AND($C3&amp;"-"&amp;$D3&gt;=Settings!$B$19,$C3&amp;"-"&amp;$D3&lt;=Settings!$B$20),"IN","OUT"))</f>
        <v/>
      </c>
      <c r="AS3" s="152">
        <f>IF($A3="","",IF($F3="Financial Results","financials",IF($F3="Outlook/Guidance","guidance",IF($F3="Transcript Q&amp;A","qanda",IF($F3="","unrecorded",IF($E3="All","full",IF($E3="","unrecorded",LOWER($E3)&amp;" only")))))))</f>
        <v/>
      </c>
      <c r="AT3" s="152">
        <f>IF(AND(OR($J3="BUY",$J3="SELL"),ISNUMBER($U3)),$U3,"")</f>
        <v/>
      </c>
      <c r="AU3" s="152">
        <f>IF(AND(OR($J3="BUY",$J3="SELL"),ISNUMBER($AK3)),$AK3,"")</f>
        <v/>
      </c>
      <c r="AV3" s="152">
        <f>IF(ISNUMBER($AT3),ABS(IF(ISNUMBER($I3),$I3,0)-Settings!$B$24),"")</f>
        <v/>
      </c>
      <c r="AW3" s="152">
        <f>IF(ISNUMBER($AV3),$AV3*$AT3,"")</f>
        <v/>
      </c>
      <c r="AX3" s="152">
        <f>IF(ISNUMBER($AU3),ABS(IF(ISNUMBER($I3),$I3,0)-Settings!$B$24),"")</f>
        <v/>
      </c>
      <c r="AY3" s="152" t="inlineStr">
        <is>
          <t>FROZEN</t>
        </is>
      </c>
      <c r="AZ3" s="152">
        <f>IF($A3="","",IFERROR(INDEX(Company_List!$H$3:$H$207,MATCH($A3,Company_List!$A$3:$A$207,0)),"unassigned"))</f>
        <v/>
      </c>
      <c r="BA3" s="152" t="n"/>
      <c r="BB3" s="152" t="n"/>
      <c r="BC3" s="152">
        <f>IF($A3="","",IF(COUNTIFS($A$3:$A3,$A3,$C$3:$C3,$C3,$D$3:$D3,$D3,$G$3:$G3,$G3)=1,1,0))</f>
        <v/>
      </c>
      <c r="BD3" s="152" t="n"/>
      <c r="BE3" s="152" t="n"/>
      <c r="BF3" s="152" t="n"/>
      <c r="BG3" s="152" t="inlineStr">
        <is>
          <t>no</t>
        </is>
      </c>
      <c r="BH3" s="152" t="n"/>
      <c r="BI3" s="152" t="n"/>
      <c r="BJ3" s="152" t="n"/>
      <c r="BK3" s="152">
        <f>IF(OR($H3&lt;&gt;"Human",$S3="",$J3="",$Y3="",$Z3=""),"",IF(EXACT(UPPER($J3),UPPER($Y3)),1,0))</f>
        <v/>
      </c>
      <c r="BL3" s="152" t="inlineStr">
        <is>
          <t>assumed - no rater record</t>
        </is>
      </c>
      <c r="BM3" s="152" t="n">
        <v>1</v>
      </c>
      <c r="BN3" s="152" t="inlineStr">
        <is>
          <t>S&amp;P Global Market Intelligence (Capital IQ)</t>
        </is>
      </c>
      <c r="BO3" s="152" t="inlineStr">
        <is>
          <t>licensed vendor</t>
        </is>
      </c>
      <c r="BP3" s="152" t="inlineStr">
        <is>
          <t>no</t>
        </is>
      </c>
      <c r="BQ3" s="152" t="inlineStr">
        <is>
          <t>no</t>
        </is>
      </c>
      <c r="BR3" s="152" t="n"/>
      <c r="BS3" s="152" t="inlineStr">
        <is>
          <t>YES</t>
        </is>
      </c>
      <c r="BT3" s="152" t="n"/>
    </row>
    <row r="4" ht="15" customHeight="1" s="241">
      <c r="A4" s="174" t="inlineStr">
        <is>
          <t>Netflix</t>
        </is>
      </c>
      <c r="B4" s="175">
        <f>IF(A4="","",_xlfn.XLOOKUP(A4, Company_List!$A:$A, Company_List!$B:$B, ""))</f>
        <v/>
      </c>
      <c r="C4" s="176" t="n">
        <v>2025</v>
      </c>
      <c r="D4" s="177" t="inlineStr">
        <is>
          <t>Q2</t>
        </is>
      </c>
      <c r="E4" s="178" t="inlineStr">
        <is>
          <t>All</t>
        </is>
      </c>
      <c r="F4" s="178" t="inlineStr">
        <is>
          <t>All</t>
        </is>
      </c>
      <c r="G4" s="177" t="inlineStr">
        <is>
          <t>Anna</t>
        </is>
      </c>
      <c r="H4" s="177" t="inlineStr">
        <is>
          <t>Human</t>
        </is>
      </c>
      <c r="I4" s="179" t="n">
        <v>0.2</v>
      </c>
      <c r="J4" s="180">
        <f>IF(OR(I4="",Settings!$B$6=""),"",IF(I4&gt;Settings!$B$6,"BUY",IF(I4&lt;-Settings!$B$6,"SELL","HOLD")))</f>
        <v/>
      </c>
      <c r="K4" s="181" t="n">
        <v>26</v>
      </c>
      <c r="L4" s="182" t="n">
        <v>45855</v>
      </c>
      <c r="M4" s="182" t="n">
        <v>45855</v>
      </c>
      <c r="N4" s="179" t="n">
        <v>127.417</v>
      </c>
      <c r="O4" s="182" t="n">
        <v>45856</v>
      </c>
      <c r="P4" s="183" t="n">
        <v>124.2</v>
      </c>
      <c r="Q4" s="184">
        <f>IF(OR(N4="",P4=""),"",ROUND((P4-N4)/N4,4))</f>
        <v/>
      </c>
      <c r="R4" s="177">
        <f>IF(OR(N4="",P4=""),"",IF(Q4&gt;Settings!$B$3/100,"UP",IF(Q4&lt;-Settings!$B$3/100,"DOWN","FLAT")))</f>
        <v/>
      </c>
      <c r="S4" s="177">
        <f>IF(OR(N4="",P4="",J4=""),"",IF(OR(AND(J4="BUY",R4="UP"),AND(J4="SELL",R4="DOWN"),AND(J4="HOLD",R4="FLAT")),"YES","NO"))</f>
        <v/>
      </c>
      <c r="T4" s="176">
        <f>IF(J4="","",IF(J4="BUY",1,IF(J4="SELL",-1,0)))</f>
        <v/>
      </c>
      <c r="U4" s="184">
        <f>IFERROR(IF(OR(J4="",N4="",P4=""),"",IF(T4=0,0,T4*Q4-Settings!$B$4/10000-IF(T4&lt;0,Settings!$B$5/10000,0))),"")</f>
        <v/>
      </c>
      <c r="V4" s="185" t="n"/>
      <c r="W4" s="176">
        <f>IF($K4="","",$K4*60)</f>
        <v/>
      </c>
      <c r="X4" s="186">
        <f>IF($A4="","",$A4&amp;"|"&amp;$C4&amp;"|"&amp;$D4)</f>
        <v/>
      </c>
      <c r="Y4" s="186">
        <f>IFERROR(IF($X4="","",INDEX(LLM_Data_Entry!$H$3:$H$548,MATCH($X4,INDEX(LLM_Data_Entry!$A$3:$A$548&amp;"|"&amp;LLM_Data_Entry!$C$3:$C$548&amp;"|"&amp;LLM_Data_Entry!$D$3:$D$548,0),0))),"")</f>
        <v/>
      </c>
      <c r="Z4" s="186">
        <f>IFERROR(IF($X4="","",INDEX(LLM_Data_Entry!$R$3:$R$548,MATCH($X4,INDEX(LLM_Data_Entry!$A$3:$A$548&amp;"|"&amp;LLM_Data_Entry!$C$3:$C$548&amp;"|"&amp;LLM_Data_Entry!$D$3:$D$548,0),0))),"")</f>
        <v/>
      </c>
      <c r="AA4" s="152" t="n"/>
      <c r="AB4" s="152" t="inlineStr">
        <is>
          <t>price signal — only this window shows an abnormal move</t>
        </is>
      </c>
      <c r="AC4" s="152" t="inlineStr">
        <is>
          <t>NFLX</t>
        </is>
      </c>
      <c r="AD4" s="152" t="inlineStr">
        <is>
          <t>2025-07-17</t>
        </is>
      </c>
      <c r="AE4" s="152" t="n">
        <v>127.417</v>
      </c>
      <c r="AF4" s="152" t="inlineStr">
        <is>
          <t>2025-07-18</t>
        </is>
      </c>
      <c r="AG4" s="152" t="n">
        <v>124.196</v>
      </c>
      <c r="AH4" s="152" t="n">
        <v>-0.02527920921070188</v>
      </c>
      <c r="AI4" s="152" t="inlineStr">
        <is>
          <t>DOWN</t>
        </is>
      </c>
      <c r="AJ4" s="152" t="inlineStr">
        <is>
          <t>NO</t>
        </is>
      </c>
      <c r="AK4" s="152" t="n">
        <v>0</v>
      </c>
      <c r="AL4" s="152">
        <f>IF($A4="","",IFERROR(INDEX(Company_List!$G$3:$G$207,MATCH($A4,Company_List!$A$3:$A$207,0)),"unassigned"))</f>
        <v/>
      </c>
      <c r="AM4" s="152" t="inlineStr">
        <is>
          <t>Phase 2/Netflix/2025-Q2/NFLX-2025-Q2-press-release-SEC-EX-99-1.htm</t>
        </is>
      </c>
      <c r="AN4" s="152" t="inlineStr">
        <is>
          <t>https://www.sec.gov/Archives/edgar/data/1065280/000106528025000322/ex991_q225.htm</t>
        </is>
      </c>
      <c r="AO4" s="152" t="inlineStr">
        <is>
          <t>manifest</t>
        </is>
      </c>
      <c r="AP4" s="152">
        <f>IF($A4="","",IF(COUNTIFS(LLM_Data_Entry!$A$3:$A$548,$A4)&gt;0,"YES","NO"))</f>
        <v/>
      </c>
      <c r="AQ4" s="152">
        <f>IF($A4="","",IF(COUNTIFS($A$3:$A4,$A4,$C$3:$C4,$C4,$D$3:$D4,$D4)=1,"YES","NO"))</f>
        <v/>
      </c>
      <c r="AR4" s="152">
        <f>IF($A4="","",IF(AND($C4&amp;"-"&amp;$D4&gt;=Settings!$B$19,$C4&amp;"-"&amp;$D4&lt;=Settings!$B$20),"IN","OUT"))</f>
        <v/>
      </c>
      <c r="AS4" s="152">
        <f>IF($A4="","",IF($F4="Financial Results","financials",IF($F4="Outlook/Guidance","guidance",IF($F4="Transcript Q&amp;A","qanda",IF($F4="","unrecorded",IF($E4="All","full",IF($E4="","unrecorded",LOWER($E4)&amp;" only")))))))</f>
        <v/>
      </c>
      <c r="AT4" s="152">
        <f>IF(AND(OR($J4="BUY",$J4="SELL"),ISNUMBER($U4)),$U4,"")</f>
        <v/>
      </c>
      <c r="AU4" s="152">
        <f>IF(AND(OR($J4="BUY",$J4="SELL"),ISNUMBER($AK4)),$AK4,"")</f>
        <v/>
      </c>
      <c r="AV4" s="152">
        <f>IF(ISNUMBER($AT4),ABS(IF(ISNUMBER($I4),$I4,0)-Settings!$B$24),"")</f>
        <v/>
      </c>
      <c r="AW4" s="152">
        <f>IF(ISNUMBER($AV4),$AV4*$AT4,"")</f>
        <v/>
      </c>
      <c r="AX4" s="152">
        <f>IF(ISNUMBER($AU4),ABS(IF(ISNUMBER($I4),$I4,0)-Settings!$B$24),"")</f>
        <v/>
      </c>
      <c r="AY4" s="152" t="inlineStr">
        <is>
          <t>FROZEN</t>
        </is>
      </c>
      <c r="AZ4" s="152">
        <f>IF($A4="","",IFERROR(INDEX(Company_List!$H$3:$H$207,MATCH($A4,Company_List!$A$3:$A$207,0)),"unassigned"))</f>
        <v/>
      </c>
      <c r="BA4" s="152" t="n"/>
      <c r="BB4" s="152" t="n"/>
      <c r="BC4" s="152">
        <f>IF($A4="","",IF(COUNTIFS($A$3:$A4,$A4,$C$3:$C4,$C4,$D$3:$D4,$D4,$G$3:$G4,$G4)=1,1,0))</f>
        <v/>
      </c>
      <c r="BD4" s="152" t="n"/>
      <c r="BE4" s="152" t="n"/>
      <c r="BF4" s="152" t="n"/>
      <c r="BG4" s="152" t="inlineStr">
        <is>
          <t>no</t>
        </is>
      </c>
      <c r="BH4" s="152" t="n"/>
      <c r="BI4" s="152" t="n"/>
      <c r="BJ4" s="152" t="n"/>
      <c r="BK4" s="152">
        <f>IF(OR($H4&lt;&gt;"Human",$S4="",$J4="",$Y4="",$Z4=""),"",IF(EXACT(UPPER($J4),UPPER($Y4)),1,0))</f>
        <v/>
      </c>
      <c r="BL4" s="152" t="inlineStr">
        <is>
          <t>assumed - no rater record</t>
        </is>
      </c>
      <c r="BM4" s="152" t="n">
        <v>1</v>
      </c>
      <c r="BN4" s="152" t="inlineStr">
        <is>
          <t>not publisher-identified</t>
        </is>
      </c>
      <c r="BO4" s="152" t="inlineStr">
        <is>
          <t>not publisher-identified</t>
        </is>
      </c>
      <c r="BP4" s="152" t="inlineStr">
        <is>
          <t>no</t>
        </is>
      </c>
      <c r="BQ4" s="152" t="inlineStr">
        <is>
          <t>yes</t>
        </is>
      </c>
      <c r="BR4" s="152" t="n"/>
      <c r="BS4" s="152" t="inlineStr">
        <is>
          <t>YES</t>
        </is>
      </c>
      <c r="BT4" s="152" t="n"/>
    </row>
    <row r="5" ht="15" customHeight="1" s="241">
      <c r="A5" s="174" t="inlineStr">
        <is>
          <t>Netflix</t>
        </is>
      </c>
      <c r="B5" s="175">
        <f>IF(A5="","",_xlfn.XLOOKUP(A5, Company_List!$A:$A, Company_List!$B:$B, ""))</f>
        <v/>
      </c>
      <c r="C5" s="176" t="n">
        <v>2025</v>
      </c>
      <c r="D5" s="177" t="inlineStr">
        <is>
          <t>Q3</t>
        </is>
      </c>
      <c r="E5" s="178" t="inlineStr">
        <is>
          <t>All</t>
        </is>
      </c>
      <c r="F5" s="178" t="inlineStr">
        <is>
          <t>All</t>
        </is>
      </c>
      <c r="G5" s="177" t="inlineStr">
        <is>
          <t>Anna</t>
        </is>
      </c>
      <c r="H5" s="177" t="inlineStr">
        <is>
          <t>Human</t>
        </is>
      </c>
      <c r="I5" s="179" t="n">
        <v>-0.2</v>
      </c>
      <c r="J5" s="180">
        <f>IF(OR(I5="",Settings!$B$6=""),"",IF(I5&gt;Settings!$B$6,"BUY",IF(I5&lt;-Settings!$B$6,"SELL","HOLD")))</f>
        <v/>
      </c>
      <c r="K5" s="181" t="n">
        <v>24</v>
      </c>
      <c r="L5" s="182" t="n">
        <v>45951</v>
      </c>
      <c r="M5" s="182" t="n">
        <v>45951</v>
      </c>
      <c r="N5" s="179" t="n">
        <v>124.135</v>
      </c>
      <c r="O5" s="182" t="n">
        <v>45952</v>
      </c>
      <c r="P5" s="183" t="n">
        <v>114.29</v>
      </c>
      <c r="Q5" s="184">
        <f>IF(OR(N5="",P5=""),"",ROUND((P5-N5)/N5,4))</f>
        <v/>
      </c>
      <c r="R5" s="177">
        <f>IF(OR(N5="",P5=""),"",IF(Q5&gt;Settings!$B$3/100,"UP",IF(Q5&lt;-Settings!$B$3/100,"DOWN","FLAT")))</f>
        <v/>
      </c>
      <c r="S5" s="177">
        <f>IF(OR(N5="",P5="",J5=""),"",IF(OR(AND(J5="BUY",R5="UP"),AND(J5="SELL",R5="DOWN"),AND(J5="HOLD",R5="FLAT")),"YES","NO"))</f>
        <v/>
      </c>
      <c r="T5" s="176">
        <f>IF(J5="","",IF(J5="BUY",1,IF(J5="SELL",-1,0)))</f>
        <v/>
      </c>
      <c r="U5" s="184">
        <f>IFERROR(IF(OR(J5="",N5="",P5=""),"",IF(T5=0,0,T5*Q5-Settings!$B$4/10000-IF(T5&lt;0,Settings!$B$5/10000,0))),"")</f>
        <v/>
      </c>
      <c r="V5" s="185" t="n"/>
      <c r="W5" s="176">
        <f>IF($K5="","",$K5*60)</f>
        <v/>
      </c>
      <c r="X5" s="186">
        <f>IF($A5="","",$A5&amp;"|"&amp;$C5&amp;"|"&amp;$D5)</f>
        <v/>
      </c>
      <c r="Y5" s="186">
        <f>IFERROR(IF($X5="","",INDEX(LLM_Data_Entry!$H$3:$H$548,MATCH($X5,INDEX(LLM_Data_Entry!$A$3:$A$548&amp;"|"&amp;LLM_Data_Entry!$C$3:$C$548&amp;"|"&amp;LLM_Data_Entry!$D$3:$D$548,0),0))),"")</f>
        <v/>
      </c>
      <c r="Z5" s="186">
        <f>IFERROR(IF($X5="","",INDEX(LLM_Data_Entry!$R$3:$R$548,MATCH($X5,INDEX(LLM_Data_Entry!$A$3:$A$548&amp;"|"&amp;LLM_Data_Entry!$C$3:$C$548&amp;"|"&amp;LLM_Data_Entry!$D$3:$D$548,0),0))),"")</f>
        <v/>
      </c>
      <c r="AA5" s="152" t="n"/>
      <c r="AB5" s="152" t="inlineStr">
        <is>
          <t>release date + stated time in the document (rater worksheet)</t>
        </is>
      </c>
      <c r="AC5" s="152" t="inlineStr">
        <is>
          <t>NFLX</t>
        </is>
      </c>
      <c r="AD5" s="152" t="inlineStr">
        <is>
          <t>2025-10-21</t>
        </is>
      </c>
      <c r="AE5" s="152" t="n">
        <v>124.135</v>
      </c>
      <c r="AF5" s="152" t="inlineStr">
        <is>
          <t>2025-10-22</t>
        </is>
      </c>
      <c r="AG5" s="152" t="n">
        <v>114.29</v>
      </c>
      <c r="AH5" s="152" t="n">
        <v>-0.07930882379169744</v>
      </c>
      <c r="AI5" s="152" t="inlineStr">
        <is>
          <t>DOWN</t>
        </is>
      </c>
      <c r="AJ5" s="152" t="inlineStr">
        <is>
          <t>NO</t>
        </is>
      </c>
      <c r="AK5" s="152" t="n">
        <v>0</v>
      </c>
      <c r="AL5" s="152">
        <f>IF($A5="","",IFERROR(INDEX(Company_List!$G$3:$G$207,MATCH($A5,Company_List!$A$3:$A$207,0)),"unassigned"))</f>
        <v/>
      </c>
      <c r="AM5" s="152" t="inlineStr">
        <is>
          <t>Phase 2/Netflix/2025-Q3/NFLX-2025-Q3-press-release-SEC-EX-99-1.htm</t>
        </is>
      </c>
      <c r="AN5" s="152" t="inlineStr">
        <is>
          <t>https://www.sec.gov/Archives/edgar/data/1065280/000106528025000404/ex991_q325.htm</t>
        </is>
      </c>
      <c r="AO5" s="152" t="inlineStr">
        <is>
          <t>manifest</t>
        </is>
      </c>
      <c r="AP5" s="152">
        <f>IF($A5="","",IF(COUNTIFS(LLM_Data_Entry!$A$3:$A$548,$A5)&gt;0,"YES","NO"))</f>
        <v/>
      </c>
      <c r="AQ5" s="152">
        <f>IF($A5="","",IF(COUNTIFS($A$3:$A5,$A5,$C$3:$C5,$C5,$D$3:$D5,$D5)=1,"YES","NO"))</f>
        <v/>
      </c>
      <c r="AR5" s="152">
        <f>IF($A5="","",IF(AND($C5&amp;"-"&amp;$D5&gt;=Settings!$B$19,$C5&amp;"-"&amp;$D5&lt;=Settings!$B$20),"IN","OUT"))</f>
        <v/>
      </c>
      <c r="AS5" s="152">
        <f>IF($A5="","",IF($F5="Financial Results","financials",IF($F5="Outlook/Guidance","guidance",IF($F5="Transcript Q&amp;A","qanda",IF($F5="","unrecorded",IF($E5="All","full",IF($E5="","unrecorded",LOWER($E5)&amp;" only")))))))</f>
        <v/>
      </c>
      <c r="AT5" s="152">
        <f>IF(AND(OR($J5="BUY",$J5="SELL"),ISNUMBER($U5)),$U5,"")</f>
        <v/>
      </c>
      <c r="AU5" s="152">
        <f>IF(AND(OR($J5="BUY",$J5="SELL"),ISNUMBER($AK5)),$AK5,"")</f>
        <v/>
      </c>
      <c r="AV5" s="152">
        <f>IF(ISNUMBER($AT5),ABS(IF(ISNUMBER($I5),$I5,0)-Settings!$B$24),"")</f>
        <v/>
      </c>
      <c r="AW5" s="152">
        <f>IF(ISNUMBER($AV5),$AV5*$AT5,"")</f>
        <v/>
      </c>
      <c r="AX5" s="152">
        <f>IF(ISNUMBER($AU5),ABS(IF(ISNUMBER($I5),$I5,0)-Settings!$B$24),"")</f>
        <v/>
      </c>
      <c r="AY5" s="152" t="inlineStr">
        <is>
          <t>FROZEN</t>
        </is>
      </c>
      <c r="AZ5" s="152">
        <f>IF($A5="","",IFERROR(INDEX(Company_List!$H$3:$H$207,MATCH($A5,Company_List!$A$3:$A$207,0)),"unassigned"))</f>
        <v/>
      </c>
      <c r="BA5" s="152" t="n"/>
      <c r="BB5" s="152" t="n"/>
      <c r="BC5" s="152">
        <f>IF($A5="","",IF(COUNTIFS($A$3:$A5,$A5,$C$3:$C5,$C5,$D$3:$D5,$D5,$G$3:$G5,$G5)=1,1,0))</f>
        <v/>
      </c>
      <c r="BD5" s="152" t="n"/>
      <c r="BE5" s="152" t="n"/>
      <c r="BF5" s="152" t="n"/>
      <c r="BG5" s="152" t="inlineStr">
        <is>
          <t>no</t>
        </is>
      </c>
      <c r="BH5" s="152" t="n"/>
      <c r="BI5" s="152" t="n"/>
      <c r="BJ5" s="152" t="n"/>
      <c r="BK5" s="152">
        <f>IF(OR($H5&lt;&gt;"Human",$S5="",$J5="",$Y5="",$Z5=""),"",IF(EXACT(UPPER($J5),UPPER($Y5)),1,0))</f>
        <v/>
      </c>
      <c r="BL5" s="152" t="inlineStr">
        <is>
          <t>assumed - no rater record</t>
        </is>
      </c>
      <c r="BM5" s="152" t="n">
        <v>1</v>
      </c>
      <c r="BN5" s="152" t="inlineStr">
        <is>
          <t>not publisher-identified</t>
        </is>
      </c>
      <c r="BO5" s="152" t="inlineStr">
        <is>
          <t>not publisher-identified</t>
        </is>
      </c>
      <c r="BP5" s="152" t="inlineStr">
        <is>
          <t>no</t>
        </is>
      </c>
      <c r="BQ5" s="152" t="inlineStr">
        <is>
          <t>yes</t>
        </is>
      </c>
      <c r="BR5" s="152" t="n"/>
      <c r="BS5" s="152" t="inlineStr">
        <is>
          <t>YES</t>
        </is>
      </c>
      <c r="BT5" s="152" t="n"/>
    </row>
    <row r="6" ht="15" customHeight="1" s="241">
      <c r="A6" s="174" t="inlineStr">
        <is>
          <t>Netflix</t>
        </is>
      </c>
      <c r="B6" s="175">
        <f>IF(A6="","",_xlfn.XLOOKUP(A6, Company_List!$A:$A, Company_List!$B:$B, ""))</f>
        <v/>
      </c>
      <c r="C6" s="176" t="n">
        <v>2025</v>
      </c>
      <c r="D6" s="177" t="inlineStr">
        <is>
          <t>Q4</t>
        </is>
      </c>
      <c r="E6" s="178" t="inlineStr">
        <is>
          <t>All</t>
        </is>
      </c>
      <c r="F6" s="178" t="inlineStr">
        <is>
          <t>All</t>
        </is>
      </c>
      <c r="G6" s="177" t="inlineStr">
        <is>
          <t>Anna</t>
        </is>
      </c>
      <c r="H6" s="177" t="inlineStr">
        <is>
          <t>Human</t>
        </is>
      </c>
      <c r="I6" s="179" t="n">
        <v>0.6</v>
      </c>
      <c r="J6" s="180">
        <f>IF(OR(I6="",Settings!$B$6=""),"",IF(I6&gt;Settings!$B$6,"BUY",IF(I6&lt;-Settings!$B$6,"SELL","HOLD")))</f>
        <v/>
      </c>
      <c r="K6" s="181" t="n">
        <v>25</v>
      </c>
      <c r="L6" s="182" t="n">
        <v>46042</v>
      </c>
      <c r="M6" s="182" t="n">
        <v>46042</v>
      </c>
      <c r="N6" s="179" t="n">
        <v>87.26000000000001</v>
      </c>
      <c r="O6" s="182" t="n">
        <v>46043</v>
      </c>
      <c r="P6" s="183" t="n">
        <v>82.52</v>
      </c>
      <c r="Q6" s="184">
        <f>IF(OR(N6="",P6=""),"",ROUND((P6-N6)/N6,4))</f>
        <v/>
      </c>
      <c r="R6" s="177">
        <f>IF(OR(N6="",P6=""),"",IF(Q6&gt;Settings!$B$3/100,"UP",IF(Q6&lt;-Settings!$B$3/100,"DOWN","FLAT")))</f>
        <v/>
      </c>
      <c r="S6" s="177">
        <f>IF(OR(N6="",P6="",J6=""),"",IF(OR(AND(J6="BUY",R6="UP"),AND(J6="SELL",R6="DOWN"),AND(J6="HOLD",R6="FLAT")),"YES","NO"))</f>
        <v/>
      </c>
      <c r="T6" s="176">
        <f>IF(J6="","",IF(J6="BUY",1,IF(J6="SELL",-1,0)))</f>
        <v/>
      </c>
      <c r="U6" s="184">
        <f>IFERROR(IF(OR(J6="",N6="",P6=""),"",IF(T6=0,0,T6*Q6-Settings!$B$4/10000-IF(T6&lt;0,Settings!$B$5/10000,0))),"")</f>
        <v/>
      </c>
      <c r="V6" s="185" t="n"/>
      <c r="W6" s="176">
        <f>IF($K6="","",$K6*60)</f>
        <v/>
      </c>
      <c r="X6" s="186">
        <f>IF($A6="","",$A6&amp;"|"&amp;$C6&amp;"|"&amp;$D6)</f>
        <v/>
      </c>
      <c r="Y6" s="186">
        <f>IFERROR(IF($X6="","",INDEX(LLM_Data_Entry!$H$3:$H$548,MATCH($X6,INDEX(LLM_Data_Entry!$A$3:$A$548&amp;"|"&amp;LLM_Data_Entry!$C$3:$C$548&amp;"|"&amp;LLM_Data_Entry!$D$3:$D$548,0),0))),"")</f>
        <v/>
      </c>
      <c r="Z6" s="186">
        <f>IFERROR(IF($X6="","",INDEX(LLM_Data_Entry!$R$3:$R$548,MATCH($X6,INDEX(LLM_Data_Entry!$A$3:$A$548&amp;"|"&amp;LLM_Data_Entry!$C$3:$C$548&amp;"|"&amp;LLM_Data_Entry!$D$3:$D$548,0),0))),"")</f>
        <v/>
      </c>
      <c r="AA6" s="152" t="n"/>
      <c r="AB6" s="152" t="inlineStr">
        <is>
          <t>release date + stated time in the document (rater worksheet)</t>
        </is>
      </c>
      <c r="AC6" s="152" t="inlineStr">
        <is>
          <t>NFLX</t>
        </is>
      </c>
      <c r="AD6" s="152" t="inlineStr">
        <is>
          <t>2026-01-20</t>
        </is>
      </c>
      <c r="AE6" s="152" t="n">
        <v>87.26000000000001</v>
      </c>
      <c r="AF6" s="152" t="inlineStr">
        <is>
          <t>2026-01-21</t>
        </is>
      </c>
      <c r="AG6" s="152" t="n">
        <v>82.52</v>
      </c>
      <c r="AH6" s="152" t="n">
        <v>-0.05432047778316572</v>
      </c>
      <c r="AI6" s="152" t="inlineStr">
        <is>
          <t>DOWN</t>
        </is>
      </c>
      <c r="AJ6" s="152" t="inlineStr">
        <is>
          <t>NO</t>
        </is>
      </c>
      <c r="AK6" s="152" t="n">
        <v>-0.05532</v>
      </c>
      <c r="AL6" s="152">
        <f>IF($A6="","",IFERROR(INDEX(Company_List!$G$3:$G$207,MATCH($A6,Company_List!$A$3:$A$207,0)),"unassigned"))</f>
        <v/>
      </c>
      <c r="AM6" s="152" t="inlineStr">
        <is>
          <t>Phase 2/Netflix/2025-Q4/NFLX-2025-Q4-press-release-SEC-EX-99-1.htm</t>
        </is>
      </c>
      <c r="AN6" s="152" t="inlineStr">
        <is>
          <t>https://www.sec.gov/Archives/edgar/data/1065280/000106528026000033/ex991_q425.htm</t>
        </is>
      </c>
      <c r="AO6" s="152" t="inlineStr">
        <is>
          <t>manifest</t>
        </is>
      </c>
      <c r="AP6" s="152">
        <f>IF($A6="","",IF(COUNTIFS(LLM_Data_Entry!$A$3:$A$548,$A6)&gt;0,"YES","NO"))</f>
        <v/>
      </c>
      <c r="AQ6" s="152">
        <f>IF($A6="","",IF(COUNTIFS($A$3:$A6,$A6,$C$3:$C6,$C6,$D$3:$D6,$D6)=1,"YES","NO"))</f>
        <v/>
      </c>
      <c r="AR6" s="152">
        <f>IF($A6="","",IF(AND($C6&amp;"-"&amp;$D6&gt;=Settings!$B$19,$C6&amp;"-"&amp;$D6&lt;=Settings!$B$20),"IN","OUT"))</f>
        <v/>
      </c>
      <c r="AS6" s="152">
        <f>IF($A6="","",IF($F6="Financial Results","financials",IF($F6="Outlook/Guidance","guidance",IF($F6="Transcript Q&amp;A","qanda",IF($F6="","unrecorded",IF($E6="All","full",IF($E6="","unrecorded",LOWER($E6)&amp;" only")))))))</f>
        <v/>
      </c>
      <c r="AT6" s="152">
        <f>IF(AND(OR($J6="BUY",$J6="SELL"),ISNUMBER($U6)),$U6,"")</f>
        <v/>
      </c>
      <c r="AU6" s="152">
        <f>IF(AND(OR($J6="BUY",$J6="SELL"),ISNUMBER($AK6)),$AK6,"")</f>
        <v/>
      </c>
      <c r="AV6" s="152">
        <f>IF(ISNUMBER($AT6),ABS(IF(ISNUMBER($I6),$I6,0)-Settings!$B$24),"")</f>
        <v/>
      </c>
      <c r="AW6" s="152">
        <f>IF(ISNUMBER($AV6),$AV6*$AT6,"")</f>
        <v/>
      </c>
      <c r="AX6" s="152">
        <f>IF(ISNUMBER($AU6),ABS(IF(ISNUMBER($I6),$I6,0)-Settings!$B$24),"")</f>
        <v/>
      </c>
      <c r="AY6" s="152" t="inlineStr">
        <is>
          <t>FROZEN</t>
        </is>
      </c>
      <c r="AZ6" s="152">
        <f>IF($A6="","",IFERROR(INDEX(Company_List!$H$3:$H$207,MATCH($A6,Company_List!$A$3:$A$207,0)),"unassigned"))</f>
        <v/>
      </c>
      <c r="BA6" s="152" t="n"/>
      <c r="BB6" s="152" t="n"/>
      <c r="BC6" s="152">
        <f>IF($A6="","",IF(COUNTIFS($A$3:$A6,$A6,$C$3:$C6,$C6,$D$3:$D6,$D6,$G$3:$G6,$G6)=1,1,0))</f>
        <v/>
      </c>
      <c r="BD6" s="152" t="n"/>
      <c r="BE6" s="152" t="n"/>
      <c r="BF6" s="152" t="n"/>
      <c r="BG6" s="152" t="inlineStr">
        <is>
          <t>no</t>
        </is>
      </c>
      <c r="BH6" s="152" t="n"/>
      <c r="BI6" s="152" t="n"/>
      <c r="BJ6" s="152" t="n"/>
      <c r="BK6" s="152">
        <f>IF(OR($H6&lt;&gt;"Human",$S6="",$J6="",$Y6="",$Z6=""),"",IF(EXACT(UPPER($J6),UPPER($Y6)),1,0))</f>
        <v/>
      </c>
      <c r="BL6" s="152" t="inlineStr">
        <is>
          <t>assumed - no rater record</t>
        </is>
      </c>
      <c r="BM6" s="152" t="n">
        <v>1</v>
      </c>
      <c r="BN6" s="152" t="inlineStr">
        <is>
          <t>not publisher-identified</t>
        </is>
      </c>
      <c r="BO6" s="152" t="inlineStr">
        <is>
          <t>not publisher-identified</t>
        </is>
      </c>
      <c r="BP6" s="152" t="inlineStr">
        <is>
          <t>no</t>
        </is>
      </c>
      <c r="BQ6" s="152" t="inlineStr">
        <is>
          <t>yes</t>
        </is>
      </c>
      <c r="BR6" s="152" t="n"/>
      <c r="BS6" s="152" t="inlineStr">
        <is>
          <t>YES</t>
        </is>
      </c>
      <c r="BT6" s="152" t="n"/>
    </row>
    <row r="7" ht="15" customHeight="1" s="241">
      <c r="A7" s="174" t="inlineStr">
        <is>
          <t>Netflix</t>
        </is>
      </c>
      <c r="B7" s="175">
        <f>IF(A7="","",_xlfn.XLOOKUP(A7, Company_List!$A:$A, Company_List!$B:$B, ""))</f>
        <v/>
      </c>
      <c r="C7" s="176" t="n">
        <v>2026</v>
      </c>
      <c r="D7" s="177" t="inlineStr">
        <is>
          <t>Q1</t>
        </is>
      </c>
      <c r="E7" s="178" t="inlineStr">
        <is>
          <t>All</t>
        </is>
      </c>
      <c r="F7" s="178" t="inlineStr">
        <is>
          <t>All</t>
        </is>
      </c>
      <c r="G7" s="177" t="inlineStr">
        <is>
          <t>Meriem</t>
        </is>
      </c>
      <c r="H7" s="177" t="inlineStr">
        <is>
          <t>Human</t>
        </is>
      </c>
      <c r="I7" s="179" t="n">
        <v>0.6</v>
      </c>
      <c r="J7" s="180">
        <f>IF(OR(I7="",Settings!$B$6=""),"",IF(I7&gt;Settings!$B$6,"BUY",IF(I7&lt;-Settings!$B$6,"SELL","HOLD")))</f>
        <v/>
      </c>
      <c r="K7" s="181" t="n">
        <v>35</v>
      </c>
      <c r="L7" s="182" t="n">
        <v>46128</v>
      </c>
      <c r="M7" s="182" t="n">
        <v>46128</v>
      </c>
      <c r="N7" s="179" t="n">
        <v>107.79</v>
      </c>
      <c r="O7" s="182" t="n">
        <v>46129</v>
      </c>
      <c r="P7" s="183" t="n">
        <v>96.37</v>
      </c>
      <c r="Q7" s="184">
        <f>IF(OR(N7="",P7=""),"",ROUND((P7-N7)/N7,4))</f>
        <v/>
      </c>
      <c r="R7" s="177">
        <f>IF(OR(N7="",P7=""),"",IF(Q7&gt;Settings!$B$3/100,"UP",IF(Q7&lt;-Settings!$B$3/100,"DOWN","FLAT")))</f>
        <v/>
      </c>
      <c r="S7" s="177">
        <f>IF(OR(N7="",P7="",J7=""),"",IF(OR(AND(J7="BUY",R7="UP"),AND(J7="SELL",R7="DOWN"),AND(J7="HOLD",R7="FLAT")),"YES","NO"))</f>
        <v/>
      </c>
      <c r="T7" s="176">
        <f>IF(J7="","",IF(J7="BUY",1,IF(J7="SELL",-1,0)))</f>
        <v/>
      </c>
      <c r="U7" s="184">
        <f>IFERROR(IF(OR(J7="",N7="",P7=""),"",IF(T7=0,0,T7*Q7-Settings!$B$4/10000-IF(T7&lt;0,Settings!$B$5/10000,0))),"")</f>
        <v/>
      </c>
      <c r="V7" s="185" t="n"/>
      <c r="W7" s="176">
        <f>IF($K7="","",$K7*60)</f>
        <v/>
      </c>
      <c r="X7" s="186">
        <f>IF($A7="","",$A7&amp;"|"&amp;$C7&amp;"|"&amp;$D7)</f>
        <v/>
      </c>
      <c r="Y7" s="186">
        <f>IFERROR(IF($X7="","",INDEX(LLM_Data_Entry!$H$3:$H$548,MATCH($X7,INDEX(LLM_Data_Entry!$A$3:$A$548&amp;"|"&amp;LLM_Data_Entry!$C$3:$C$548&amp;"|"&amp;LLM_Data_Entry!$D$3:$D$548,0),0))),"")</f>
        <v/>
      </c>
      <c r="Z7" s="186">
        <f>IFERROR(IF($X7="","",INDEX(LLM_Data_Entry!$R$3:$R$548,MATCH($X7,INDEX(LLM_Data_Entry!$A$3:$A$548&amp;"|"&amp;LLM_Data_Entry!$C$3:$C$548&amp;"|"&amp;LLM_Data_Entry!$D$3:$D$548,0),0))),"")</f>
        <v/>
      </c>
      <c r="AA7" s="152" t="n"/>
      <c r="AB7" s="152" t="inlineStr">
        <is>
          <t>price signal — only this window shows an abnormal move</t>
        </is>
      </c>
      <c r="AC7" s="152" t="inlineStr">
        <is>
          <t>NFLX</t>
        </is>
      </c>
      <c r="AD7" s="152" t="inlineStr">
        <is>
          <t>2026-04-16</t>
        </is>
      </c>
      <c r="AE7" s="152" t="n">
        <v>107.79</v>
      </c>
      <c r="AF7" s="152" t="inlineStr">
        <is>
          <t>2026-04-17</t>
        </is>
      </c>
      <c r="AG7" s="152" t="n">
        <v>96.37</v>
      </c>
      <c r="AH7" s="152" t="n">
        <v>-0.1059467287693966</v>
      </c>
      <c r="AI7" s="152" t="inlineStr">
        <is>
          <t>DOWN</t>
        </is>
      </c>
      <c r="AJ7" s="152" t="inlineStr">
        <is>
          <t>NO</t>
        </is>
      </c>
      <c r="AK7" s="152" t="n">
        <v>-0.106947</v>
      </c>
      <c r="AL7" s="152">
        <f>IF($A7="","",IFERROR(INDEX(Company_List!$G$3:$G$207,MATCH($A7,Company_List!$A$3:$A$207,0)),"unassigned"))</f>
        <v/>
      </c>
      <c r="AM7" s="152" t="inlineStr">
        <is>
          <t>Phase 2/Netflix/Netflix-Inc-_Earnings-Call_2026-04-16T00_00_00_English-1.pdf</t>
        </is>
      </c>
      <c r="AN7" s="152" t="n"/>
      <c r="AO7" s="152" t="inlineStr">
        <is>
          <t>unique filename match</t>
        </is>
      </c>
      <c r="AP7" s="152">
        <f>IF($A7="","",IF(COUNTIFS(LLM_Data_Entry!$A$3:$A$548,$A7)&gt;0,"YES","NO"))</f>
        <v/>
      </c>
      <c r="AQ7" s="152">
        <f>IF($A7="","",IF(COUNTIFS($A$3:$A7,$A7,$C$3:$C7,$C7,$D$3:$D7,$D7)=1,"YES","NO"))</f>
        <v/>
      </c>
      <c r="AR7" s="152">
        <f>IF($A7="","",IF(AND($C7&amp;"-"&amp;$D7&gt;=Settings!$B$19,$C7&amp;"-"&amp;$D7&lt;=Settings!$B$20),"IN","OUT"))</f>
        <v/>
      </c>
      <c r="AS7" s="152">
        <f>IF($A7="","",IF($F7="Financial Results","financials",IF($F7="Outlook/Guidance","guidance",IF($F7="Transcript Q&amp;A","qanda",IF($F7="","unrecorded",IF($E7="All","full",IF($E7="","unrecorded",LOWER($E7)&amp;" only")))))))</f>
        <v/>
      </c>
      <c r="AT7" s="152">
        <f>IF(AND(OR($J7="BUY",$J7="SELL"),ISNUMBER($U7)),$U7,"")</f>
        <v/>
      </c>
      <c r="AU7" s="152">
        <f>IF(AND(OR($J7="BUY",$J7="SELL"),ISNUMBER($AK7)),$AK7,"")</f>
        <v/>
      </c>
      <c r="AV7" s="152">
        <f>IF(ISNUMBER($AT7),ABS(IF(ISNUMBER($I7),$I7,0)-Settings!$B$24),"")</f>
        <v/>
      </c>
      <c r="AW7" s="152">
        <f>IF(ISNUMBER($AV7),$AV7*$AT7,"")</f>
        <v/>
      </c>
      <c r="AX7" s="152">
        <f>IF(ISNUMBER($AU7),ABS(IF(ISNUMBER($I7),$I7,0)-Settings!$B$24),"")</f>
        <v/>
      </c>
      <c r="AY7" s="152" t="inlineStr">
        <is>
          <t>FROZEN</t>
        </is>
      </c>
      <c r="AZ7" s="152">
        <f>IF($A7="","",IFERROR(INDEX(Company_List!$H$3:$H$207,MATCH($A7,Company_List!$A$3:$A$207,0)),"unassigned"))</f>
        <v/>
      </c>
      <c r="BA7" s="152" t="n"/>
      <c r="BB7" s="152" t="n"/>
      <c r="BC7" s="152">
        <f>IF($A7="","",IF(COUNTIFS($A$3:$A7,$A7,$C$3:$C7,$C7,$D$3:$D7,$D7,$G$3:$G7,$G7)=1,1,0))</f>
        <v/>
      </c>
      <c r="BD7" s="152" t="n"/>
      <c r="BE7" s="152" t="n"/>
      <c r="BF7" s="152" t="n"/>
      <c r="BG7" s="152" t="inlineStr">
        <is>
          <t>no</t>
        </is>
      </c>
      <c r="BH7" s="152" t="n"/>
      <c r="BI7" s="152" t="n"/>
      <c r="BJ7" s="152" t="n"/>
      <c r="BK7" s="152">
        <f>IF(OR($H7&lt;&gt;"Human",$S7="",$J7="",$Y7="",$Z7=""),"",IF(EXACT(UPPER($J7),UPPER($Y7)),1,0))</f>
        <v/>
      </c>
      <c r="BL7" s="152" t="inlineStr">
        <is>
          <t>assumed - no rater record</t>
        </is>
      </c>
      <c r="BM7" s="152" t="n">
        <v>1</v>
      </c>
      <c r="BN7" s="152" t="inlineStr">
        <is>
          <t>S&amp;P Global Market Intelligence (Capital IQ)</t>
        </is>
      </c>
      <c r="BO7" s="152" t="inlineStr">
        <is>
          <t>licensed vendor</t>
        </is>
      </c>
      <c r="BP7" s="152" t="inlineStr">
        <is>
          <t>no</t>
        </is>
      </c>
      <c r="BQ7" s="152" t="inlineStr">
        <is>
          <t>no</t>
        </is>
      </c>
      <c r="BR7" s="152" t="n"/>
      <c r="BS7" s="152" t="inlineStr">
        <is>
          <t>YES</t>
        </is>
      </c>
      <c r="BT7" s="152" t="n"/>
    </row>
    <row r="8" ht="15" customHeight="1" s="241">
      <c r="A8" s="174" t="inlineStr">
        <is>
          <t>Netflix</t>
        </is>
      </c>
      <c r="B8" s="175">
        <f>IF(A8="","",_xlfn.XLOOKUP(A8, Company_List!$A:$A, Company_List!$B:$B, ""))</f>
        <v/>
      </c>
      <c r="C8" s="176" t="n">
        <v>2025</v>
      </c>
      <c r="D8" s="177" t="inlineStr">
        <is>
          <t>Q2</t>
        </is>
      </c>
      <c r="E8" s="178" t="inlineStr">
        <is>
          <t>All</t>
        </is>
      </c>
      <c r="F8" s="178" t="inlineStr">
        <is>
          <t>All</t>
        </is>
      </c>
      <c r="G8" s="177" t="inlineStr">
        <is>
          <t>Meriem</t>
        </is>
      </c>
      <c r="H8" s="177" t="inlineStr">
        <is>
          <t>Human</t>
        </is>
      </c>
      <c r="I8" s="179" t="n">
        <v>0.7</v>
      </c>
      <c r="J8" s="180">
        <f>IF(OR(I8="",Settings!$B$6=""),"",IF(I8&gt;Settings!$B$6,"BUY",IF(I8&lt;-Settings!$B$6,"SELL","HOLD")))</f>
        <v/>
      </c>
      <c r="K8" s="181" t="n">
        <v>55</v>
      </c>
      <c r="L8" s="182" t="n">
        <v>45855</v>
      </c>
      <c r="M8" s="182" t="n">
        <v>45855</v>
      </c>
      <c r="N8" s="179" t="n">
        <v>127.417</v>
      </c>
      <c r="O8" s="182" t="n">
        <v>45856</v>
      </c>
      <c r="P8" s="183" t="n">
        <v>124.2</v>
      </c>
      <c r="Q8" s="184">
        <f>IF(OR(N8="",P8=""),"",ROUND((P8-N8)/N8,4))</f>
        <v/>
      </c>
      <c r="R8" s="177">
        <f>IF(OR(N8="",P8=""),"",IF(Q8&gt;Settings!$B$3/100,"UP",IF(Q8&lt;-Settings!$B$3/100,"DOWN","FLAT")))</f>
        <v/>
      </c>
      <c r="S8" s="177">
        <f>IF(OR(N8="",P8="",J8=""),"",IF(OR(AND(J8="BUY",R8="UP"),AND(J8="SELL",R8="DOWN"),AND(J8="HOLD",R8="FLAT")),"YES","NO"))</f>
        <v/>
      </c>
      <c r="T8" s="176">
        <f>IF(J8="","",IF(J8="BUY",1,IF(J8="SELL",-1,0)))</f>
        <v/>
      </c>
      <c r="U8" s="184">
        <f>IFERROR(IF(OR(J8="",N8="",P8=""),"",IF(T8=0,0,T8*Q8-Settings!$B$4/10000-IF(T8&lt;0,Settings!$B$5/10000,0))),"")</f>
        <v/>
      </c>
      <c r="V8" s="185" t="n"/>
      <c r="W8" s="176">
        <f>IF($K8="","",$K8*60)</f>
        <v/>
      </c>
      <c r="X8" s="186">
        <f>IF($A8="","",$A8&amp;"|"&amp;$C8&amp;"|"&amp;$D8)</f>
        <v/>
      </c>
      <c r="Y8" s="186">
        <f>IFERROR(IF($X8="","",INDEX(LLM_Data_Entry!$H$3:$H$548,MATCH($X8,INDEX(LLM_Data_Entry!$A$3:$A$548&amp;"|"&amp;LLM_Data_Entry!$C$3:$C$548&amp;"|"&amp;LLM_Data_Entry!$D$3:$D$548,0),0))),"")</f>
        <v/>
      </c>
      <c r="Z8" s="186">
        <f>IFERROR(IF($X8="","",INDEX(LLM_Data_Entry!$R$3:$R$548,MATCH($X8,INDEX(LLM_Data_Entry!$A$3:$A$548&amp;"|"&amp;LLM_Data_Entry!$C$3:$C$548&amp;"|"&amp;LLM_Data_Entry!$D$3:$D$548,0),0))),"")</f>
        <v/>
      </c>
      <c r="AA8" s="152" t="n"/>
      <c r="AB8" s="152" t="inlineStr">
        <is>
          <t>price signal — only this window shows an abnormal move</t>
        </is>
      </c>
      <c r="AC8" s="152" t="inlineStr">
        <is>
          <t>NFLX</t>
        </is>
      </c>
      <c r="AD8" s="152" t="inlineStr">
        <is>
          <t>2025-07-17</t>
        </is>
      </c>
      <c r="AE8" s="152" t="n">
        <v>127.417</v>
      </c>
      <c r="AF8" s="152" t="inlineStr">
        <is>
          <t>2025-07-18</t>
        </is>
      </c>
      <c r="AG8" s="152" t="n">
        <v>124.196</v>
      </c>
      <c r="AH8" s="152" t="n">
        <v>-0.02527920921070188</v>
      </c>
      <c r="AI8" s="152" t="inlineStr">
        <is>
          <t>DOWN</t>
        </is>
      </c>
      <c r="AJ8" s="152" t="inlineStr">
        <is>
          <t>NO</t>
        </is>
      </c>
      <c r="AK8" s="152" t="n">
        <v>-0.026279</v>
      </c>
      <c r="AL8" s="152">
        <f>IF($A8="","",IFERROR(INDEX(Company_List!$G$3:$G$207,MATCH($A8,Company_List!$A$3:$A$207,0)),"unassigned"))</f>
        <v/>
      </c>
      <c r="AM8" s="152" t="inlineStr">
        <is>
          <t>Phase 2/Netflix/2025-Q2/NFLX-2025-Q2-press-release-SEC-EX-99-1.htm</t>
        </is>
      </c>
      <c r="AN8" s="152" t="inlineStr">
        <is>
          <t>https://www.sec.gov/Archives/edgar/data/1065280/000106528025000322/ex991_q225.htm</t>
        </is>
      </c>
      <c r="AO8" s="152" t="inlineStr">
        <is>
          <t>manifest</t>
        </is>
      </c>
      <c r="AP8" s="152">
        <f>IF($A8="","",IF(COUNTIFS(LLM_Data_Entry!$A$3:$A$548,$A8)&gt;0,"YES","NO"))</f>
        <v/>
      </c>
      <c r="AQ8" s="152">
        <f>IF($A8="","",IF(COUNTIFS($A$3:$A8,$A8,$C$3:$C8,$C8,$D$3:$D8,$D8)=1,"YES","NO"))</f>
        <v/>
      </c>
      <c r="AR8" s="152">
        <f>IF($A8="","",IF(AND($C8&amp;"-"&amp;$D8&gt;=Settings!$B$19,$C8&amp;"-"&amp;$D8&lt;=Settings!$B$20),"IN","OUT"))</f>
        <v/>
      </c>
      <c r="AS8" s="152">
        <f>IF($A8="","",IF($F8="Financial Results","financials",IF($F8="Outlook/Guidance","guidance",IF($F8="Transcript Q&amp;A","qanda",IF($F8="","unrecorded",IF($E8="All","full",IF($E8="","unrecorded",LOWER($E8)&amp;" only")))))))</f>
        <v/>
      </c>
      <c r="AT8" s="152">
        <f>IF(AND(OR($J8="BUY",$J8="SELL"),ISNUMBER($U8)),$U8,"")</f>
        <v/>
      </c>
      <c r="AU8" s="152">
        <f>IF(AND(OR($J8="BUY",$J8="SELL"),ISNUMBER($AK8)),$AK8,"")</f>
        <v/>
      </c>
      <c r="AV8" s="152">
        <f>IF(ISNUMBER($AT8),ABS(IF(ISNUMBER($I8),$I8,0)-Settings!$B$24),"")</f>
        <v/>
      </c>
      <c r="AW8" s="152">
        <f>IF(ISNUMBER($AV8),$AV8*$AT8,"")</f>
        <v/>
      </c>
      <c r="AX8" s="152">
        <f>IF(ISNUMBER($AU8),ABS(IF(ISNUMBER($I8),$I8,0)-Settings!$B$24),"")</f>
        <v/>
      </c>
      <c r="AY8" s="152" t="inlineStr">
        <is>
          <t>FROZEN</t>
        </is>
      </c>
      <c r="AZ8" s="152">
        <f>IF($A8="","",IFERROR(INDEX(Company_List!$H$3:$H$207,MATCH($A8,Company_List!$A$3:$A$207,0)),"unassigned"))</f>
        <v/>
      </c>
      <c r="BA8" s="152" t="n"/>
      <c r="BB8" s="152" t="n"/>
      <c r="BC8" s="152">
        <f>IF($A8="","",IF(COUNTIFS($A$3:$A8,$A8,$C$3:$C8,$C8,$D$3:$D8,$D8,$G$3:$G8,$G8)=1,1,0))</f>
        <v/>
      </c>
      <c r="BD8" s="152" t="n"/>
      <c r="BE8" s="152" t="n"/>
      <c r="BF8" s="152" t="n"/>
      <c r="BG8" s="152" t="inlineStr">
        <is>
          <t>no</t>
        </is>
      </c>
      <c r="BH8" s="152" t="n"/>
      <c r="BI8" s="152" t="n"/>
      <c r="BJ8" s="152" t="n"/>
      <c r="BK8" s="152">
        <f>IF(OR($H8&lt;&gt;"Human",$S8="",$J8="",$Y8="",$Z8=""),"",IF(EXACT(UPPER($J8),UPPER($Y8)),1,0))</f>
        <v/>
      </c>
      <c r="BL8" s="152" t="inlineStr">
        <is>
          <t>assumed - no rater record</t>
        </is>
      </c>
      <c r="BM8" s="152" t="n">
        <v>1</v>
      </c>
      <c r="BN8" s="152" t="inlineStr">
        <is>
          <t>not publisher-identified</t>
        </is>
      </c>
      <c r="BO8" s="152" t="inlineStr">
        <is>
          <t>not publisher-identified</t>
        </is>
      </c>
      <c r="BP8" s="152" t="inlineStr">
        <is>
          <t>no</t>
        </is>
      </c>
      <c r="BQ8" s="152" t="inlineStr">
        <is>
          <t>yes</t>
        </is>
      </c>
      <c r="BR8" s="152" t="n"/>
      <c r="BS8" s="152" t="inlineStr">
        <is>
          <t>YES</t>
        </is>
      </c>
      <c r="BT8" s="152" t="n"/>
    </row>
    <row r="9" ht="15" customHeight="1" s="241">
      <c r="A9" s="174" t="inlineStr">
        <is>
          <t>Netflix</t>
        </is>
      </c>
      <c r="B9" s="175">
        <f>IF(A9="","",_xlfn.XLOOKUP(A9, Company_List!$A:$A, Company_List!$B:$B, ""))</f>
        <v/>
      </c>
      <c r="C9" s="176" t="n">
        <v>2025</v>
      </c>
      <c r="D9" s="177" t="inlineStr">
        <is>
          <t>Q3</t>
        </is>
      </c>
      <c r="E9" s="178" t="inlineStr">
        <is>
          <t>All</t>
        </is>
      </c>
      <c r="F9" s="178" t="inlineStr">
        <is>
          <t>All</t>
        </is>
      </c>
      <c r="G9" s="177" t="inlineStr">
        <is>
          <t>Meriem</t>
        </is>
      </c>
      <c r="H9" s="177" t="inlineStr">
        <is>
          <t>Human</t>
        </is>
      </c>
      <c r="I9" s="179" t="n">
        <v>-0.5</v>
      </c>
      <c r="J9" s="180">
        <f>IF(OR(I9="",Settings!$B$6=""),"",IF(I9&gt;Settings!$B$6,"BUY",IF(I9&lt;-Settings!$B$6,"SELL","HOLD")))</f>
        <v/>
      </c>
      <c r="K9" s="181" t="n">
        <v>38</v>
      </c>
      <c r="L9" s="182" t="n">
        <v>45951</v>
      </c>
      <c r="M9" s="182" t="n">
        <v>45951</v>
      </c>
      <c r="N9" s="179" t="n">
        <v>124.135</v>
      </c>
      <c r="O9" s="182" t="n">
        <v>45952</v>
      </c>
      <c r="P9" s="183" t="n">
        <v>114.29</v>
      </c>
      <c r="Q9" s="184">
        <f>IF(OR(N9="",P9=""),"",ROUND((P9-N9)/N9,4))</f>
        <v/>
      </c>
      <c r="R9" s="177">
        <f>IF(OR(N9="",P9=""),"",IF(Q9&gt;Settings!$B$3/100,"UP",IF(Q9&lt;-Settings!$B$3/100,"DOWN","FLAT")))</f>
        <v/>
      </c>
      <c r="S9" s="177">
        <f>IF(OR(N9="",P9="",J9=""),"",IF(OR(AND(J9="BUY",R9="UP"),AND(J9="SELL",R9="DOWN"),AND(J9="HOLD",R9="FLAT")),"YES","NO"))</f>
        <v/>
      </c>
      <c r="T9" s="176">
        <f>IF(J9="","",IF(J9="BUY",1,IF(J9="SELL",-1,0)))</f>
        <v/>
      </c>
      <c r="U9" s="184">
        <f>IFERROR(IF(OR(J9="",N9="",P9=""),"",IF(T9=0,0,T9*Q9-Settings!$B$4/10000-IF(T9&lt;0,Settings!$B$5/10000,0))),"")</f>
        <v/>
      </c>
      <c r="V9" s="185" t="n"/>
      <c r="W9" s="176">
        <f>IF($K9="","",$K9*60)</f>
        <v/>
      </c>
      <c r="X9" s="186">
        <f>IF($A9="","",$A9&amp;"|"&amp;$C9&amp;"|"&amp;$D9)</f>
        <v/>
      </c>
      <c r="Y9" s="186">
        <f>IFERROR(IF($X9="","",INDEX(LLM_Data_Entry!$H$3:$H$548,MATCH($X9,INDEX(LLM_Data_Entry!$A$3:$A$548&amp;"|"&amp;LLM_Data_Entry!$C$3:$C$548&amp;"|"&amp;LLM_Data_Entry!$D$3:$D$548,0),0))),"")</f>
        <v/>
      </c>
      <c r="Z9" s="186">
        <f>IFERROR(IF($X9="","",INDEX(LLM_Data_Entry!$R$3:$R$548,MATCH($X9,INDEX(LLM_Data_Entry!$A$3:$A$548&amp;"|"&amp;LLM_Data_Entry!$C$3:$C$548&amp;"|"&amp;LLM_Data_Entry!$D$3:$D$548,0),0))),"")</f>
        <v/>
      </c>
      <c r="AA9" s="152" t="n"/>
      <c r="AB9" s="152" t="inlineStr">
        <is>
          <t>release date + stated time in the document (rater worksheet)</t>
        </is>
      </c>
      <c r="AC9" s="152" t="inlineStr">
        <is>
          <t>NFLX</t>
        </is>
      </c>
      <c r="AD9" s="152" t="inlineStr">
        <is>
          <t>2025-10-21</t>
        </is>
      </c>
      <c r="AE9" s="152" t="n">
        <v>124.135</v>
      </c>
      <c r="AF9" s="152" t="inlineStr">
        <is>
          <t>2025-10-22</t>
        </is>
      </c>
      <c r="AG9" s="152" t="n">
        <v>114.29</v>
      </c>
      <c r="AH9" s="152" t="n">
        <v>-0.07930882379169744</v>
      </c>
      <c r="AI9" s="152" t="inlineStr">
        <is>
          <t>DOWN</t>
        </is>
      </c>
      <c r="AJ9" s="152" t="inlineStr">
        <is>
          <t>YES</t>
        </is>
      </c>
      <c r="AK9" s="152" t="n">
        <v>0.078309</v>
      </c>
      <c r="AL9" s="152">
        <f>IF($A9="","",IFERROR(INDEX(Company_List!$G$3:$G$207,MATCH($A9,Company_List!$A$3:$A$207,0)),"unassigned"))</f>
        <v/>
      </c>
      <c r="AM9" s="152" t="inlineStr">
        <is>
          <t>Phase 2/Netflix/2025-Q3/NFLX-2025-Q3-press-release-SEC-EX-99-1.htm</t>
        </is>
      </c>
      <c r="AN9" s="152" t="inlineStr">
        <is>
          <t>https://www.sec.gov/Archives/edgar/data/1065280/000106528025000404/ex991_q325.htm</t>
        </is>
      </c>
      <c r="AO9" s="152" t="inlineStr">
        <is>
          <t>manifest</t>
        </is>
      </c>
      <c r="AP9" s="152">
        <f>IF($A9="","",IF(COUNTIFS(LLM_Data_Entry!$A$3:$A$548,$A9)&gt;0,"YES","NO"))</f>
        <v/>
      </c>
      <c r="AQ9" s="152">
        <f>IF($A9="","",IF(COUNTIFS($A$3:$A9,$A9,$C$3:$C9,$C9,$D$3:$D9,$D9)=1,"YES","NO"))</f>
        <v/>
      </c>
      <c r="AR9" s="152">
        <f>IF($A9="","",IF(AND($C9&amp;"-"&amp;$D9&gt;=Settings!$B$19,$C9&amp;"-"&amp;$D9&lt;=Settings!$B$20),"IN","OUT"))</f>
        <v/>
      </c>
      <c r="AS9" s="152">
        <f>IF($A9="","",IF($F9="Financial Results","financials",IF($F9="Outlook/Guidance","guidance",IF($F9="Transcript Q&amp;A","qanda",IF($F9="","unrecorded",IF($E9="All","full",IF($E9="","unrecorded",LOWER($E9)&amp;" only")))))))</f>
        <v/>
      </c>
      <c r="AT9" s="152">
        <f>IF(AND(OR($J9="BUY",$J9="SELL"),ISNUMBER($U9)),$U9,"")</f>
        <v/>
      </c>
      <c r="AU9" s="152">
        <f>IF(AND(OR($J9="BUY",$J9="SELL"),ISNUMBER($AK9)),$AK9,"")</f>
        <v/>
      </c>
      <c r="AV9" s="152">
        <f>IF(ISNUMBER($AT9),ABS(IF(ISNUMBER($I9),$I9,0)-Settings!$B$24),"")</f>
        <v/>
      </c>
      <c r="AW9" s="152">
        <f>IF(ISNUMBER($AV9),$AV9*$AT9,"")</f>
        <v/>
      </c>
      <c r="AX9" s="152">
        <f>IF(ISNUMBER($AU9),ABS(IF(ISNUMBER($I9),$I9,0)-Settings!$B$24),"")</f>
        <v/>
      </c>
      <c r="AY9" s="152" t="inlineStr">
        <is>
          <t>FROZEN</t>
        </is>
      </c>
      <c r="AZ9" s="152">
        <f>IF($A9="","",IFERROR(INDEX(Company_List!$H$3:$H$207,MATCH($A9,Company_List!$A$3:$A$207,0)),"unassigned"))</f>
        <v/>
      </c>
      <c r="BA9" s="152" t="n"/>
      <c r="BB9" s="152" t="n"/>
      <c r="BC9" s="152">
        <f>IF($A9="","",IF(COUNTIFS($A$3:$A9,$A9,$C$3:$C9,$C9,$D$3:$D9,$D9,$G$3:$G9,$G9)=1,1,0))</f>
        <v/>
      </c>
      <c r="BD9" s="152" t="n"/>
      <c r="BE9" s="152" t="n"/>
      <c r="BF9" s="152" t="n"/>
      <c r="BG9" s="152" t="inlineStr">
        <is>
          <t>no</t>
        </is>
      </c>
      <c r="BH9" s="152" t="n"/>
      <c r="BI9" s="152" t="n"/>
      <c r="BJ9" s="152" t="n"/>
      <c r="BK9" s="152">
        <f>IF(OR($H9&lt;&gt;"Human",$S9="",$J9="",$Y9="",$Z9=""),"",IF(EXACT(UPPER($J9),UPPER($Y9)),1,0))</f>
        <v/>
      </c>
      <c r="BL9" s="152" t="inlineStr">
        <is>
          <t>assumed - no rater record</t>
        </is>
      </c>
      <c r="BM9" s="152" t="n">
        <v>1</v>
      </c>
      <c r="BN9" s="152" t="inlineStr">
        <is>
          <t>not publisher-identified</t>
        </is>
      </c>
      <c r="BO9" s="152" t="inlineStr">
        <is>
          <t>not publisher-identified</t>
        </is>
      </c>
      <c r="BP9" s="152" t="inlineStr">
        <is>
          <t>no</t>
        </is>
      </c>
      <c r="BQ9" s="152" t="inlineStr">
        <is>
          <t>yes</t>
        </is>
      </c>
      <c r="BR9" s="152" t="n"/>
      <c r="BS9" s="152" t="inlineStr">
        <is>
          <t>YES</t>
        </is>
      </c>
      <c r="BT9" s="152" t="n"/>
    </row>
    <row r="10" ht="15" customHeight="1" s="241">
      <c r="A10" s="174" t="inlineStr">
        <is>
          <t>Netflix</t>
        </is>
      </c>
      <c r="B10" s="175">
        <f>IF(A10="","",_xlfn.XLOOKUP(A10, Company_List!$A:$A, Company_List!$B:$B, ""))</f>
        <v/>
      </c>
      <c r="C10" s="176" t="n">
        <v>2025</v>
      </c>
      <c r="D10" s="177" t="inlineStr">
        <is>
          <t>Q4</t>
        </is>
      </c>
      <c r="E10" s="178" t="inlineStr">
        <is>
          <t>All</t>
        </is>
      </c>
      <c r="F10" s="178" t="inlineStr">
        <is>
          <t>All</t>
        </is>
      </c>
      <c r="G10" s="177" t="inlineStr">
        <is>
          <t>Meriem</t>
        </is>
      </c>
      <c r="H10" s="177" t="inlineStr">
        <is>
          <t>Human</t>
        </is>
      </c>
      <c r="I10" s="179" t="n">
        <v>0.2</v>
      </c>
      <c r="J10" s="180">
        <f>IF(OR(I10="",Settings!$B$6=""),"",IF(I10&gt;Settings!$B$6,"BUY",IF(I10&lt;-Settings!$B$6,"SELL","HOLD")))</f>
        <v/>
      </c>
      <c r="K10" s="181" t="n">
        <v>40</v>
      </c>
      <c r="L10" s="182" t="n">
        <v>46042</v>
      </c>
      <c r="M10" s="182" t="n">
        <v>46042</v>
      </c>
      <c r="N10" s="179" t="n">
        <v>87.26000000000001</v>
      </c>
      <c r="O10" s="182" t="n">
        <v>46043</v>
      </c>
      <c r="P10" s="183" t="n">
        <v>82.52</v>
      </c>
      <c r="Q10" s="184">
        <f>IF(OR(N10="",P10=""),"",ROUND((P10-N10)/N10,4))</f>
        <v/>
      </c>
      <c r="R10" s="177">
        <f>IF(OR(N10="",P10=""),"",IF(Q10&gt;Settings!$B$3/100,"UP",IF(Q10&lt;-Settings!$B$3/100,"DOWN","FLAT")))</f>
        <v/>
      </c>
      <c r="S10" s="177">
        <f>IF(OR(N10="",P10="",J10=""),"",IF(OR(AND(J10="BUY",R10="UP"),AND(J10="SELL",R10="DOWN"),AND(J10="HOLD",R10="FLAT")),"YES","NO"))</f>
        <v/>
      </c>
      <c r="T10" s="176">
        <f>IF(J10="","",IF(J10="BUY",1,IF(J10="SELL",-1,0)))</f>
        <v/>
      </c>
      <c r="U10" s="184">
        <f>IFERROR(IF(OR(J10="",N10="",P10=""),"",IF(T10=0,0,T10*Q10-Settings!$B$4/10000-IF(T10&lt;0,Settings!$B$5/10000,0))),"")</f>
        <v/>
      </c>
      <c r="V10" s="185" t="n"/>
      <c r="W10" s="176">
        <f>IF($K10="","",$K10*60)</f>
        <v/>
      </c>
      <c r="X10" s="186">
        <f>IF($A10="","",$A10&amp;"|"&amp;$C10&amp;"|"&amp;$D10)</f>
        <v/>
      </c>
      <c r="Y10" s="186">
        <f>IFERROR(IF($X10="","",INDEX(LLM_Data_Entry!$H$3:$H$548,MATCH($X10,INDEX(LLM_Data_Entry!$A$3:$A$548&amp;"|"&amp;LLM_Data_Entry!$C$3:$C$548&amp;"|"&amp;LLM_Data_Entry!$D$3:$D$548,0),0))),"")</f>
        <v/>
      </c>
      <c r="Z10" s="186">
        <f>IFERROR(IF($X10="","",INDEX(LLM_Data_Entry!$R$3:$R$548,MATCH($X10,INDEX(LLM_Data_Entry!$A$3:$A$548&amp;"|"&amp;LLM_Data_Entry!$C$3:$C$548&amp;"|"&amp;LLM_Data_Entry!$D$3:$D$548,0),0))),"")</f>
        <v/>
      </c>
      <c r="AA10" s="152" t="n"/>
      <c r="AB10" s="152" t="inlineStr">
        <is>
          <t>release date + stated time in the document (rater worksheet)</t>
        </is>
      </c>
      <c r="AC10" s="152" t="inlineStr">
        <is>
          <t>NFLX</t>
        </is>
      </c>
      <c r="AD10" s="152" t="inlineStr">
        <is>
          <t>2026-01-20</t>
        </is>
      </c>
      <c r="AE10" s="152" t="n">
        <v>87.26000000000001</v>
      </c>
      <c r="AF10" s="152" t="inlineStr">
        <is>
          <t>2026-01-21</t>
        </is>
      </c>
      <c r="AG10" s="152" t="n">
        <v>82.52</v>
      </c>
      <c r="AH10" s="152" t="n">
        <v>-0.05432047778316572</v>
      </c>
      <c r="AI10" s="152" t="inlineStr">
        <is>
          <t>DOWN</t>
        </is>
      </c>
      <c r="AJ10" s="152" t="inlineStr">
        <is>
          <t>NO</t>
        </is>
      </c>
      <c r="AK10" s="152" t="n">
        <v>0</v>
      </c>
      <c r="AL10" s="152">
        <f>IF($A10="","",IFERROR(INDEX(Company_List!$G$3:$G$207,MATCH($A10,Company_List!$A$3:$A$207,0)),"unassigned"))</f>
        <v/>
      </c>
      <c r="AM10" s="152" t="inlineStr">
        <is>
          <t>Phase 2/Netflix/2025-Q4/NFLX-2025-Q4-press-release-SEC-EX-99-1.htm</t>
        </is>
      </c>
      <c r="AN10" s="152" t="inlineStr">
        <is>
          <t>https://www.sec.gov/Archives/edgar/data/1065280/000106528026000033/ex991_q425.htm</t>
        </is>
      </c>
      <c r="AO10" s="152" t="inlineStr">
        <is>
          <t>manifest</t>
        </is>
      </c>
      <c r="AP10" s="152">
        <f>IF($A10="","",IF(COUNTIFS(LLM_Data_Entry!$A$3:$A$548,$A10)&gt;0,"YES","NO"))</f>
        <v/>
      </c>
      <c r="AQ10" s="152">
        <f>IF($A10="","",IF(COUNTIFS($A$3:$A10,$A10,$C$3:$C10,$C10,$D$3:$D10,$D10)=1,"YES","NO"))</f>
        <v/>
      </c>
      <c r="AR10" s="152">
        <f>IF($A10="","",IF(AND($C10&amp;"-"&amp;$D10&gt;=Settings!$B$19,$C10&amp;"-"&amp;$D10&lt;=Settings!$B$20),"IN","OUT"))</f>
        <v/>
      </c>
      <c r="AS10" s="152">
        <f>IF($A10="","",IF($F10="Financial Results","financials",IF($F10="Outlook/Guidance","guidance",IF($F10="Transcript Q&amp;A","qanda",IF($F10="","unrecorded",IF($E10="All","full",IF($E10="","unrecorded",LOWER($E10)&amp;" only")))))))</f>
        <v/>
      </c>
      <c r="AT10" s="152">
        <f>IF(AND(OR($J10="BUY",$J10="SELL"),ISNUMBER($U10)),$U10,"")</f>
        <v/>
      </c>
      <c r="AU10" s="152">
        <f>IF(AND(OR($J10="BUY",$J10="SELL"),ISNUMBER($AK10)),$AK10,"")</f>
        <v/>
      </c>
      <c r="AV10" s="152">
        <f>IF(ISNUMBER($AT10),ABS(IF(ISNUMBER($I10),$I10,0)-Settings!$B$24),"")</f>
        <v/>
      </c>
      <c r="AW10" s="152">
        <f>IF(ISNUMBER($AV10),$AV10*$AT10,"")</f>
        <v/>
      </c>
      <c r="AX10" s="152">
        <f>IF(ISNUMBER($AU10),ABS(IF(ISNUMBER($I10),$I10,0)-Settings!$B$24),"")</f>
        <v/>
      </c>
      <c r="AY10" s="152" t="inlineStr">
        <is>
          <t>FROZEN</t>
        </is>
      </c>
      <c r="AZ10" s="152">
        <f>IF($A10="","",IFERROR(INDEX(Company_List!$H$3:$H$207,MATCH($A10,Company_List!$A$3:$A$207,0)),"unassigned"))</f>
        <v/>
      </c>
      <c r="BA10" s="152" t="n"/>
      <c r="BB10" s="152" t="n"/>
      <c r="BC10" s="152">
        <f>IF($A10="","",IF(COUNTIFS($A$3:$A10,$A10,$C$3:$C10,$C10,$D$3:$D10,$D10,$G$3:$G10,$G10)=1,1,0))</f>
        <v/>
      </c>
      <c r="BD10" s="152" t="n"/>
      <c r="BE10" s="152" t="n"/>
      <c r="BF10" s="152" t="n"/>
      <c r="BG10" s="152" t="inlineStr">
        <is>
          <t>no</t>
        </is>
      </c>
      <c r="BH10" s="152" t="n"/>
      <c r="BI10" s="152" t="n"/>
      <c r="BJ10" s="152" t="n"/>
      <c r="BK10" s="152">
        <f>IF(OR($H10&lt;&gt;"Human",$S10="",$J10="",$Y10="",$Z10=""),"",IF(EXACT(UPPER($J10),UPPER($Y10)),1,0))</f>
        <v/>
      </c>
      <c r="BL10" s="152" t="inlineStr">
        <is>
          <t>assumed - no rater record</t>
        </is>
      </c>
      <c r="BM10" s="152" t="n">
        <v>1</v>
      </c>
      <c r="BN10" s="152" t="inlineStr">
        <is>
          <t>not publisher-identified</t>
        </is>
      </c>
      <c r="BO10" s="152" t="inlineStr">
        <is>
          <t>not publisher-identified</t>
        </is>
      </c>
      <c r="BP10" s="152" t="inlineStr">
        <is>
          <t>no</t>
        </is>
      </c>
      <c r="BQ10" s="152" t="inlineStr">
        <is>
          <t>yes</t>
        </is>
      </c>
      <c r="BR10" s="152" t="n"/>
      <c r="BS10" s="152" t="inlineStr">
        <is>
          <t>YES</t>
        </is>
      </c>
      <c r="BT10" s="152" t="n"/>
    </row>
    <row r="11" ht="15" customHeight="1" s="241">
      <c r="A11" s="174" t="inlineStr">
        <is>
          <t>Netflix</t>
        </is>
      </c>
      <c r="B11" s="175">
        <f>IF(A11="","",_xlfn.XLOOKUP(A11, Company_List!$A:$A, Company_List!$B:$B, ""))</f>
        <v/>
      </c>
      <c r="C11" s="176" t="n">
        <v>2025</v>
      </c>
      <c r="D11" s="177" t="inlineStr">
        <is>
          <t>Q1</t>
        </is>
      </c>
      <c r="E11" s="178" t="inlineStr">
        <is>
          <t>All</t>
        </is>
      </c>
      <c r="F11" s="178" t="inlineStr">
        <is>
          <t>All</t>
        </is>
      </c>
      <c r="G11" s="177" t="inlineStr">
        <is>
          <t>Dragos</t>
        </is>
      </c>
      <c r="H11" s="177" t="inlineStr">
        <is>
          <t>Human</t>
        </is>
      </c>
      <c r="I11" s="179" t="n">
        <v>0.65</v>
      </c>
      <c r="J11" s="180">
        <f>IF(OR(I11="",Settings!$B$6=""),"",IF(I11&gt;Settings!$B$6,"BUY",IF(I11&lt;-Settings!$B$6,"SELL","HOLD")))</f>
        <v/>
      </c>
      <c r="K11" s="181" t="n">
        <v>42</v>
      </c>
      <c r="L11" s="182" t="n">
        <v>45764</v>
      </c>
      <c r="M11" s="182" t="n">
        <v>45764</v>
      </c>
      <c r="N11" s="179" t="n">
        <v>97.303</v>
      </c>
      <c r="O11" s="182" t="n">
        <v>45765</v>
      </c>
      <c r="P11" s="183" t="n">
        <v>98.44</v>
      </c>
      <c r="Q11" s="184">
        <f>IF(OR(N11="",P11=""),"",ROUND((P11-N11)/N11,4))</f>
        <v/>
      </c>
      <c r="R11" s="177">
        <f>IF(OR(N11="",P11=""),"",IF(Q11&gt;Settings!$B$3/100,"UP",IF(Q11&lt;-Settings!$B$3/100,"DOWN","FLAT")))</f>
        <v/>
      </c>
      <c r="S11" s="177">
        <f>IF(OR(N11="",P11="",J11=""),"",IF(OR(AND(J11="BUY",R11="UP"),AND(J11="SELL",R11="DOWN"),AND(J11="HOLD",R11="FLAT")),"YES","NO"))</f>
        <v/>
      </c>
      <c r="T11" s="176">
        <f>IF(J11="","",IF(J11="BUY",1,IF(J11="SELL",-1,0)))</f>
        <v/>
      </c>
      <c r="U11" s="184">
        <f>IFERROR(IF(OR(J11="",N11="",P11=""),"",IF(T11=0,0,T11*Q11-Settings!$B$4/10000-IF(T11&lt;0,Settings!$B$5/10000,0))),"")</f>
        <v/>
      </c>
      <c r="V11" s="185" t="inlineStr">
        <is>
          <t>CORRECTION: replaces my existing row currently mislabeled '2025 Q4' (it holds this Q1 data). Clean beat, margin expansion, guide tracking above midpoint; valuation full. Sealed 29 Jun, ±1% band (correct under my sealed band).</t>
        </is>
      </c>
      <c r="W11" s="176">
        <f>IF($K11="","",$K11*60)</f>
        <v/>
      </c>
      <c r="X11" s="186">
        <f>IF($A11="","",$A11&amp;"|"&amp;$C11&amp;"|"&amp;$D11)</f>
        <v/>
      </c>
      <c r="Y11" s="186">
        <f>IFERROR(IF($X11="","",INDEX(LLM_Data_Entry!$H$3:$H$548,MATCH($X11,INDEX(LLM_Data_Entry!$A$3:$A$548&amp;"|"&amp;LLM_Data_Entry!$C$3:$C$548&amp;"|"&amp;LLM_Data_Entry!$D$3:$D$548,0),0))),"")</f>
        <v/>
      </c>
      <c r="Z11" s="186">
        <f>IFERROR(IF($X11="","",INDEX(LLM_Data_Entry!$R$3:$R$548,MATCH($X11,INDEX(LLM_Data_Entry!$A$3:$A$548&amp;"|"&amp;LLM_Data_Entry!$C$3:$C$548&amp;"|"&amp;LLM_Data_Entry!$D$3:$D$548,0),0))),"")</f>
        <v/>
      </c>
      <c r="AA11" s="152" t="n"/>
      <c r="AB11" s="152" t="inlineStr">
        <is>
          <t>release date + stated time in the document (rater worksheet)</t>
        </is>
      </c>
      <c r="AC11" s="152" t="inlineStr">
        <is>
          <t>NFLX</t>
        </is>
      </c>
      <c r="AD11" s="152" t="inlineStr">
        <is>
          <t>2025-04-17</t>
        </is>
      </c>
      <c r="AE11" s="152" t="n">
        <v>97.303</v>
      </c>
      <c r="AF11" s="152" t="inlineStr">
        <is>
          <t>2025-04-21</t>
        </is>
      </c>
      <c r="AG11" s="152" t="n">
        <v>98.44</v>
      </c>
      <c r="AH11" s="152" t="n">
        <v>0.01168515861088423</v>
      </c>
      <c r="AI11" s="152" t="inlineStr">
        <is>
          <t>FLAT</t>
        </is>
      </c>
      <c r="AJ11" s="152" t="inlineStr">
        <is>
          <t>NO</t>
        </is>
      </c>
      <c r="AK11" s="152" t="n">
        <v>0.010685</v>
      </c>
      <c r="AL11" s="152">
        <f>IF($A11="","",IFERROR(INDEX(Company_List!$G$3:$G$207,MATCH($A11,Company_List!$A$3:$A$207,0)),"unassigned"))</f>
        <v/>
      </c>
      <c r="AM11" s="152" t="inlineStr">
        <is>
          <t>Phase 2/Netflix/2025-Q1/NFLX-2025-Q1-press-release-SEC-EX-99-1.htm</t>
        </is>
      </c>
      <c r="AN11" s="152" t="inlineStr">
        <is>
          <t>https://www.sec.gov/Archives/edgar/data/1065280/000106528025000175/ex991_q125.htm</t>
        </is>
      </c>
      <c r="AO11" s="152" t="inlineStr">
        <is>
          <t>manifest</t>
        </is>
      </c>
      <c r="AP11" s="152">
        <f>IF($A11="","",IF(COUNTIFS(LLM_Data_Entry!$A$3:$A$548,$A11)&gt;0,"YES","NO"))</f>
        <v/>
      </c>
      <c r="AQ11" s="152">
        <f>IF($A11="","",IF(COUNTIFS($A$3:$A11,$A11,$C$3:$C11,$C11,$D$3:$D11,$D11)=1,"YES","NO"))</f>
        <v/>
      </c>
      <c r="AR11" s="152">
        <f>IF($A11="","",IF(AND($C11&amp;"-"&amp;$D11&gt;=Settings!$B$19,$C11&amp;"-"&amp;$D11&lt;=Settings!$B$20),"IN","OUT"))</f>
        <v/>
      </c>
      <c r="AS11" s="152">
        <f>IF($A11="","",IF($F11="Financial Results","financials",IF($F11="Outlook/Guidance","guidance",IF($F11="Transcript Q&amp;A","qanda",IF($F11="","unrecorded",IF($E11="All","full",IF($E11="","unrecorded",LOWER($E11)&amp;" only")))))))</f>
        <v/>
      </c>
      <c r="AT11" s="152">
        <f>IF(AND(OR($J11="BUY",$J11="SELL"),ISNUMBER($U11)),$U11,"")</f>
        <v/>
      </c>
      <c r="AU11" s="152">
        <f>IF(AND(OR($J11="BUY",$J11="SELL"),ISNUMBER($AK11)),$AK11,"")</f>
        <v/>
      </c>
      <c r="AV11" s="152">
        <f>IF(ISNUMBER($AT11),ABS(IF(ISNUMBER($I11),$I11,0)-Settings!$B$24),"")</f>
        <v/>
      </c>
      <c r="AW11" s="152">
        <f>IF(ISNUMBER($AV11),$AV11*$AT11,"")</f>
        <v/>
      </c>
      <c r="AX11" s="152">
        <f>IF(ISNUMBER($AU11),ABS(IF(ISNUMBER($I11),$I11,0)-Settings!$B$24),"")</f>
        <v/>
      </c>
      <c r="AY11" s="152" t="inlineStr">
        <is>
          <t>FROZEN</t>
        </is>
      </c>
      <c r="AZ11" s="152">
        <f>IF($A11="","",IFERROR(INDEX(Company_List!$H$3:$H$207,MATCH($A11,Company_List!$A$3:$A$207,0)),"unassigned"))</f>
        <v/>
      </c>
      <c r="BA11" s="152" t="n"/>
      <c r="BB11" s="152" t="n"/>
      <c r="BC11" s="152">
        <f>IF($A11="","",IF(COUNTIFS($A$3:$A11,$A11,$C$3:$C11,$C11,$D$3:$D11,$D11,$G$3:$G11,$G11)=1,1,0))</f>
        <v/>
      </c>
      <c r="BD11" s="152" t="n"/>
      <c r="BE11" s="152" t="n"/>
      <c r="BF11" s="152" t="n"/>
      <c r="BG11" s="152" t="inlineStr">
        <is>
          <t>no</t>
        </is>
      </c>
      <c r="BH11" s="152" t="n"/>
      <c r="BI11" s="152" t="n"/>
      <c r="BJ11" s="152" t="n"/>
      <c r="BK11" s="152">
        <f>IF(OR($H11&lt;&gt;"Human",$S11="",$J11="",$Y11="",$Z11=""),"",IF(EXACT(UPPER($J11),UPPER($Y11)),1,0))</f>
        <v/>
      </c>
      <c r="BL11" s="152" t="inlineStr">
        <is>
          <t>assumed - no rater record</t>
        </is>
      </c>
      <c r="BM11" s="152" t="n">
        <v>1</v>
      </c>
      <c r="BN11" s="152" t="inlineStr">
        <is>
          <t>not publisher-identified</t>
        </is>
      </c>
      <c r="BO11" s="152" t="inlineStr">
        <is>
          <t>not publisher-identified</t>
        </is>
      </c>
      <c r="BP11" s="152" t="inlineStr">
        <is>
          <t>no</t>
        </is>
      </c>
      <c r="BQ11" s="152" t="inlineStr">
        <is>
          <t>yes</t>
        </is>
      </c>
      <c r="BR11" s="152" t="n"/>
      <c r="BS11" s="152" t="inlineStr">
        <is>
          <t>YES</t>
        </is>
      </c>
      <c r="BT11" s="152" t="n"/>
    </row>
    <row r="12" ht="15" customHeight="1" s="241">
      <c r="A12" s="174" t="inlineStr">
        <is>
          <t>Netflix</t>
        </is>
      </c>
      <c r="B12" s="175">
        <f>IF(A12="","",_xlfn.XLOOKUP(A12, Company_List!$A:$A, Company_List!$B:$B, ""))</f>
        <v/>
      </c>
      <c r="C12" s="176" t="n">
        <v>2025</v>
      </c>
      <c r="D12" s="177" t="inlineStr">
        <is>
          <t>Q2</t>
        </is>
      </c>
      <c r="E12" s="178" t="inlineStr">
        <is>
          <t>All</t>
        </is>
      </c>
      <c r="F12" s="178" t="inlineStr">
        <is>
          <t>All</t>
        </is>
      </c>
      <c r="G12" s="177" t="inlineStr">
        <is>
          <t>Dragos</t>
        </is>
      </c>
      <c r="H12" s="177" t="inlineStr">
        <is>
          <t>Human</t>
        </is>
      </c>
      <c r="I12" s="179" t="n">
        <v>0.55</v>
      </c>
      <c r="J12" s="180">
        <f>IF(OR(I12="",Settings!$B$6=""),"",IF(I12&gt;Settings!$B$6,"BUY",IF(I12&lt;-Settings!$B$6,"SELL","HOLD")))</f>
        <v/>
      </c>
      <c r="K12" s="181" t="n">
        <v>38</v>
      </c>
      <c r="L12" s="182" t="n">
        <v>45855</v>
      </c>
      <c r="M12" s="182" t="n">
        <v>45855</v>
      </c>
      <c r="N12" s="179" t="n">
        <v>127.417</v>
      </c>
      <c r="O12" s="182" t="n">
        <v>45856</v>
      </c>
      <c r="P12" s="183" t="n">
        <v>124.2</v>
      </c>
      <c r="Q12" s="184">
        <f>IF(OR(N12="",P12=""),"",ROUND((P12-N12)/N12,4))</f>
        <v/>
      </c>
      <c r="R12" s="177">
        <f>IF(OR(N12="",P12=""),"",IF(Q12&gt;Settings!$B$3/100,"UP",IF(Q12&lt;-Settings!$B$3/100,"DOWN","FLAT")))</f>
        <v/>
      </c>
      <c r="S12" s="177">
        <f>IF(OR(N12="",P12="",J12=""),"",IF(OR(AND(J12="BUY",R12="UP"),AND(J12="SELL",R12="DOWN"),AND(J12="HOLD",R12="FLAT")),"YES","NO"))</f>
        <v/>
      </c>
      <c r="T12" s="176">
        <f>IF(J12="","",IF(J12="BUY",1,IF(J12="SELL",-1,0)))</f>
        <v/>
      </c>
      <c r="U12" s="184">
        <f>IFERROR(IF(OR(J12="",N12="",P12=""),"",IF(T12=0,0,T12*Q12-Settings!$B$4/10000-IF(T12&lt;0,Settings!$B$5/10000,0))),"")</f>
        <v/>
      </c>
      <c r="V12" s="185" t="inlineStr">
        <is>
          <t>Beat-and-raise but raise mostly FX; H2 margin step-down guided; stock priced for perfection. NOTE: my sealed next-day open is 124.20 (-2.53%); sheet's existing Q2 rows show 129.92 - flag to Anna/Ben.</t>
        </is>
      </c>
      <c r="W12" s="176">
        <f>IF($K12="","",$K12*60)</f>
        <v/>
      </c>
      <c r="X12" s="186">
        <f>IF($A12="","",$A12&amp;"|"&amp;$C12&amp;"|"&amp;$D12)</f>
        <v/>
      </c>
      <c r="Y12" s="186">
        <f>IFERROR(IF($X12="","",INDEX(LLM_Data_Entry!$H$3:$H$548,MATCH($X12,INDEX(LLM_Data_Entry!$A$3:$A$548&amp;"|"&amp;LLM_Data_Entry!$C$3:$C$548&amp;"|"&amp;LLM_Data_Entry!$D$3:$D$548,0),0))),"")</f>
        <v/>
      </c>
      <c r="Z12" s="186">
        <f>IFERROR(IF($X12="","",INDEX(LLM_Data_Entry!$R$3:$R$548,MATCH($X12,INDEX(LLM_Data_Entry!$A$3:$A$548&amp;"|"&amp;LLM_Data_Entry!$C$3:$C$548&amp;"|"&amp;LLM_Data_Entry!$D$3:$D$548,0),0))),"")</f>
        <v/>
      </c>
      <c r="AA12" s="152" t="n"/>
      <c r="AB12" s="152" t="inlineStr">
        <is>
          <t>price signal — only this window shows an abnormal move</t>
        </is>
      </c>
      <c r="AC12" s="152" t="inlineStr">
        <is>
          <t>NFLX</t>
        </is>
      </c>
      <c r="AD12" s="152" t="inlineStr">
        <is>
          <t>2025-07-17</t>
        </is>
      </c>
      <c r="AE12" s="152" t="n">
        <v>127.417</v>
      </c>
      <c r="AF12" s="152" t="inlineStr">
        <is>
          <t>2025-07-18</t>
        </is>
      </c>
      <c r="AG12" s="152" t="n">
        <v>124.196</v>
      </c>
      <c r="AH12" s="152" t="n">
        <v>-0.02527920921070188</v>
      </c>
      <c r="AI12" s="152" t="inlineStr">
        <is>
          <t>DOWN</t>
        </is>
      </c>
      <c r="AJ12" s="152" t="inlineStr">
        <is>
          <t>NO</t>
        </is>
      </c>
      <c r="AK12" s="152" t="n">
        <v>-0.026279</v>
      </c>
      <c r="AL12" s="152">
        <f>IF($A12="","",IFERROR(INDEX(Company_List!$G$3:$G$207,MATCH($A12,Company_List!$A$3:$A$207,0)),"unassigned"))</f>
        <v/>
      </c>
      <c r="AM12" s="152" t="inlineStr">
        <is>
          <t>Phase 2/Netflix/2025-Q2/NFLX-2025-Q2-press-release-SEC-EX-99-1.htm</t>
        </is>
      </c>
      <c r="AN12" s="152" t="inlineStr">
        <is>
          <t>https://www.sec.gov/Archives/edgar/data/1065280/000106528025000322/ex991_q225.htm</t>
        </is>
      </c>
      <c r="AO12" s="152" t="inlineStr">
        <is>
          <t>manifest</t>
        </is>
      </c>
      <c r="AP12" s="152">
        <f>IF($A12="","",IF(COUNTIFS(LLM_Data_Entry!$A$3:$A$548,$A12)&gt;0,"YES","NO"))</f>
        <v/>
      </c>
      <c r="AQ12" s="152">
        <f>IF($A12="","",IF(COUNTIFS($A$3:$A12,$A12,$C$3:$C12,$C12,$D$3:$D12,$D12)=1,"YES","NO"))</f>
        <v/>
      </c>
      <c r="AR12" s="152">
        <f>IF($A12="","",IF(AND($C12&amp;"-"&amp;$D12&gt;=Settings!$B$19,$C12&amp;"-"&amp;$D12&lt;=Settings!$B$20),"IN","OUT"))</f>
        <v/>
      </c>
      <c r="AS12" s="152">
        <f>IF($A12="","",IF($F12="Financial Results","financials",IF($F12="Outlook/Guidance","guidance",IF($F12="Transcript Q&amp;A","qanda",IF($F12="","unrecorded",IF($E12="All","full",IF($E12="","unrecorded",LOWER($E12)&amp;" only")))))))</f>
        <v/>
      </c>
      <c r="AT12" s="152">
        <f>IF(AND(OR($J12="BUY",$J12="SELL"),ISNUMBER($U12)),$U12,"")</f>
        <v/>
      </c>
      <c r="AU12" s="152">
        <f>IF(AND(OR($J12="BUY",$J12="SELL"),ISNUMBER($AK12)),$AK12,"")</f>
        <v/>
      </c>
      <c r="AV12" s="152">
        <f>IF(ISNUMBER($AT12),ABS(IF(ISNUMBER($I12),$I12,0)-Settings!$B$24),"")</f>
        <v/>
      </c>
      <c r="AW12" s="152">
        <f>IF(ISNUMBER($AV12),$AV12*$AT12,"")</f>
        <v/>
      </c>
      <c r="AX12" s="152">
        <f>IF(ISNUMBER($AU12),ABS(IF(ISNUMBER($I12),$I12,0)-Settings!$B$24),"")</f>
        <v/>
      </c>
      <c r="AY12" s="152" t="inlineStr">
        <is>
          <t>FROZEN</t>
        </is>
      </c>
      <c r="AZ12" s="152">
        <f>IF($A12="","",IFERROR(INDEX(Company_List!$H$3:$H$207,MATCH($A12,Company_List!$A$3:$A$207,0)),"unassigned"))</f>
        <v/>
      </c>
      <c r="BA12" s="152" t="n"/>
      <c r="BB12" s="152" t="n"/>
      <c r="BC12" s="152">
        <f>IF($A12="","",IF(COUNTIFS($A$3:$A12,$A12,$C$3:$C12,$C12,$D$3:$D12,$D12,$G$3:$G12,$G12)=1,1,0))</f>
        <v/>
      </c>
      <c r="BD12" s="152" t="n"/>
      <c r="BE12" s="152" t="n"/>
      <c r="BF12" s="152" t="n"/>
      <c r="BG12" s="152" t="inlineStr">
        <is>
          <t>no</t>
        </is>
      </c>
      <c r="BH12" s="152" t="n"/>
      <c r="BI12" s="152" t="n"/>
      <c r="BJ12" s="152" t="n"/>
      <c r="BK12" s="152">
        <f>IF(OR($H12&lt;&gt;"Human",$S12="",$J12="",$Y12="",$Z12=""),"",IF(EXACT(UPPER($J12),UPPER($Y12)),1,0))</f>
        <v/>
      </c>
      <c r="BL12" s="152" t="inlineStr">
        <is>
          <t>attested - the note states the score was sealed</t>
        </is>
      </c>
      <c r="BM12" s="152" t="n">
        <v>1</v>
      </c>
      <c r="BN12" s="152" t="inlineStr">
        <is>
          <t>not publisher-identified</t>
        </is>
      </c>
      <c r="BO12" s="152" t="inlineStr">
        <is>
          <t>not publisher-identified</t>
        </is>
      </c>
      <c r="BP12" s="152" t="inlineStr">
        <is>
          <t>no</t>
        </is>
      </c>
      <c r="BQ12" s="152" t="inlineStr">
        <is>
          <t>yes</t>
        </is>
      </c>
      <c r="BR12" s="152" t="n"/>
      <c r="BS12" s="152" t="inlineStr">
        <is>
          <t>YES</t>
        </is>
      </c>
      <c r="BT12" s="152" t="n"/>
    </row>
    <row r="13" ht="15" customHeight="1" s="241">
      <c r="A13" s="174" t="inlineStr">
        <is>
          <t>Netflix</t>
        </is>
      </c>
      <c r="B13" s="175">
        <f>IF(A13="","",_xlfn.XLOOKUP(A13, Company_List!$A:$A, Company_List!$B:$B, ""))</f>
        <v/>
      </c>
      <c r="C13" s="176" t="n">
        <v>2025</v>
      </c>
      <c r="D13" s="177" t="inlineStr">
        <is>
          <t>Q3</t>
        </is>
      </c>
      <c r="E13" s="178" t="inlineStr">
        <is>
          <t>All</t>
        </is>
      </c>
      <c r="F13" s="178" t="inlineStr">
        <is>
          <t>All</t>
        </is>
      </c>
      <c r="G13" s="177" t="inlineStr">
        <is>
          <t>Dragos</t>
        </is>
      </c>
      <c r="H13" s="177" t="inlineStr">
        <is>
          <t>Human</t>
        </is>
      </c>
      <c r="I13" s="179" t="n">
        <v>0.45</v>
      </c>
      <c r="J13" s="180">
        <f>IF(OR(I13="",Settings!$B$6=""),"",IF(I13&gt;Settings!$B$6,"BUY",IF(I13&lt;-Settings!$B$6,"SELL","HOLD")))</f>
        <v/>
      </c>
      <c r="K13" s="181" t="n">
        <v>55</v>
      </c>
      <c r="L13" s="182" t="n">
        <v>45951</v>
      </c>
      <c r="M13" s="182" t="n">
        <v>45951</v>
      </c>
      <c r="N13" s="179" t="n">
        <v>124.135</v>
      </c>
      <c r="O13" s="182" t="n">
        <v>45952</v>
      </c>
      <c r="P13" s="183" t="n">
        <v>114.29</v>
      </c>
      <c r="Q13" s="184">
        <f>IF(OR(N13="",P13=""),"",ROUND((P13-N13)/N13,4))</f>
        <v/>
      </c>
      <c r="R13" s="177">
        <f>IF(OR(N13="",P13=""),"",IF(Q13&gt;Settings!$B$3/100,"UP",IF(Q13&lt;-Settings!$B$3/100,"DOWN","FLAT")))</f>
        <v/>
      </c>
      <c r="S13" s="177">
        <f>IF(OR(N13="",P13="",J13=""),"",IF(OR(AND(J13="BUY",R13="UP"),AND(J13="SELL",R13="DOWN"),AND(J13="HOLD",R13="FLAT")),"YES","NO"))</f>
        <v/>
      </c>
      <c r="T13" s="176">
        <f>IF(J13="","",IF(J13="BUY",1,IF(J13="SELL",-1,0)))</f>
        <v/>
      </c>
      <c r="U13" s="184">
        <f>IFERROR(IF(OR(J13="",N13="",P13=""),"",IF(T13=0,0,T13*Q13-Settings!$B$4/10000-IF(T13&lt;0,Settings!$B$5/10000,0))),"")</f>
        <v/>
      </c>
      <c r="V13" s="185" t="inlineStr">
        <is>
          <t>Headline EPS miss (Brazil CIDE tax charge), guidance vacuum until January, rich valuation - sold first, reasoned later.</t>
        </is>
      </c>
      <c r="W13" s="176">
        <f>IF($K13="","",$K13*60)</f>
        <v/>
      </c>
      <c r="X13" s="186">
        <f>IF($A13="","",$A13&amp;"|"&amp;$C13&amp;"|"&amp;$D13)</f>
        <v/>
      </c>
      <c r="Y13" s="186">
        <f>IFERROR(IF($X13="","",INDEX(LLM_Data_Entry!$H$3:$H$548,MATCH($X13,INDEX(LLM_Data_Entry!$A$3:$A$548&amp;"|"&amp;LLM_Data_Entry!$C$3:$C$548&amp;"|"&amp;LLM_Data_Entry!$D$3:$D$548,0),0))),"")</f>
        <v/>
      </c>
      <c r="Z13" s="186">
        <f>IFERROR(IF($X13="","",INDEX(LLM_Data_Entry!$R$3:$R$548,MATCH($X13,INDEX(LLM_Data_Entry!$A$3:$A$548&amp;"|"&amp;LLM_Data_Entry!$C$3:$C$548&amp;"|"&amp;LLM_Data_Entry!$D$3:$D$548,0),0))),"")</f>
        <v/>
      </c>
      <c r="AA13" s="152" t="n"/>
      <c r="AB13" s="152" t="inlineStr">
        <is>
          <t>release date + stated time in the document (rater worksheet)</t>
        </is>
      </c>
      <c r="AC13" s="152" t="inlineStr">
        <is>
          <t>NFLX</t>
        </is>
      </c>
      <c r="AD13" s="152" t="inlineStr">
        <is>
          <t>2025-10-21</t>
        </is>
      </c>
      <c r="AE13" s="152" t="n">
        <v>124.135</v>
      </c>
      <c r="AF13" s="152" t="inlineStr">
        <is>
          <t>2025-10-22</t>
        </is>
      </c>
      <c r="AG13" s="152" t="n">
        <v>114.29</v>
      </c>
      <c r="AH13" s="152" t="n">
        <v>-0.07930882379169744</v>
      </c>
      <c r="AI13" s="152" t="inlineStr">
        <is>
          <t>DOWN</t>
        </is>
      </c>
      <c r="AJ13" s="152" t="inlineStr">
        <is>
          <t>NO</t>
        </is>
      </c>
      <c r="AK13" s="152" t="n">
        <v>-0.08030900000000001</v>
      </c>
      <c r="AL13" s="152">
        <f>IF($A13="","",IFERROR(INDEX(Company_List!$G$3:$G$207,MATCH($A13,Company_List!$A$3:$A$207,0)),"unassigned"))</f>
        <v/>
      </c>
      <c r="AM13" s="152" t="inlineStr">
        <is>
          <t>Phase 2/Netflix/2025-Q3/NFLX-2025-Q3-press-release-SEC-EX-99-1.htm</t>
        </is>
      </c>
      <c r="AN13" s="152" t="inlineStr">
        <is>
          <t>https://www.sec.gov/Archives/edgar/data/1065280/000106528025000404/ex991_q325.htm</t>
        </is>
      </c>
      <c r="AO13" s="152" t="inlineStr">
        <is>
          <t>manifest</t>
        </is>
      </c>
      <c r="AP13" s="152">
        <f>IF($A13="","",IF(COUNTIFS(LLM_Data_Entry!$A$3:$A$548,$A13)&gt;0,"YES","NO"))</f>
        <v/>
      </c>
      <c r="AQ13" s="152">
        <f>IF($A13="","",IF(COUNTIFS($A$3:$A13,$A13,$C$3:$C13,$C13,$D$3:$D13,$D13)=1,"YES","NO"))</f>
        <v/>
      </c>
      <c r="AR13" s="152">
        <f>IF($A13="","",IF(AND($C13&amp;"-"&amp;$D13&gt;=Settings!$B$19,$C13&amp;"-"&amp;$D13&lt;=Settings!$B$20),"IN","OUT"))</f>
        <v/>
      </c>
      <c r="AS13" s="152">
        <f>IF($A13="","",IF($F13="Financial Results","financials",IF($F13="Outlook/Guidance","guidance",IF($F13="Transcript Q&amp;A","qanda",IF($F13="","unrecorded",IF($E13="All","full",IF($E13="","unrecorded",LOWER($E13)&amp;" only")))))))</f>
        <v/>
      </c>
      <c r="AT13" s="152">
        <f>IF(AND(OR($J13="BUY",$J13="SELL"),ISNUMBER($U13)),$U13,"")</f>
        <v/>
      </c>
      <c r="AU13" s="152">
        <f>IF(AND(OR($J13="BUY",$J13="SELL"),ISNUMBER($AK13)),$AK13,"")</f>
        <v/>
      </c>
      <c r="AV13" s="152">
        <f>IF(ISNUMBER($AT13),ABS(IF(ISNUMBER($I13),$I13,0)-Settings!$B$24),"")</f>
        <v/>
      </c>
      <c r="AW13" s="152">
        <f>IF(ISNUMBER($AV13),$AV13*$AT13,"")</f>
        <v/>
      </c>
      <c r="AX13" s="152">
        <f>IF(ISNUMBER($AU13),ABS(IF(ISNUMBER($I13),$I13,0)-Settings!$B$24),"")</f>
        <v/>
      </c>
      <c r="AY13" s="152" t="inlineStr">
        <is>
          <t>FROZEN</t>
        </is>
      </c>
      <c r="AZ13" s="152">
        <f>IF($A13="","",IFERROR(INDEX(Company_List!$H$3:$H$207,MATCH($A13,Company_List!$A$3:$A$207,0)),"unassigned"))</f>
        <v/>
      </c>
      <c r="BA13" s="152" t="n"/>
      <c r="BB13" s="152" t="n"/>
      <c r="BC13" s="152">
        <f>IF($A13="","",IF(COUNTIFS($A$3:$A13,$A13,$C$3:$C13,$C13,$D$3:$D13,$D13,$G$3:$G13,$G13)=1,1,0))</f>
        <v/>
      </c>
      <c r="BD13" s="152" t="n"/>
      <c r="BE13" s="152" t="n"/>
      <c r="BF13" s="152" t="n"/>
      <c r="BG13" s="152" t="inlineStr">
        <is>
          <t>no</t>
        </is>
      </c>
      <c r="BH13" s="152" t="n"/>
      <c r="BI13" s="152" t="n"/>
      <c r="BJ13" s="152" t="n"/>
      <c r="BK13" s="152">
        <f>IF(OR($H13&lt;&gt;"Human",$S13="",$J13="",$Y13="",$Z13=""),"",IF(EXACT(UPPER($J13),UPPER($Y13)),1,0))</f>
        <v/>
      </c>
      <c r="BL13" s="152" t="inlineStr">
        <is>
          <t>assumed - no rater record</t>
        </is>
      </c>
      <c r="BM13" s="152" t="n">
        <v>1</v>
      </c>
      <c r="BN13" s="152" t="inlineStr">
        <is>
          <t>not publisher-identified</t>
        </is>
      </c>
      <c r="BO13" s="152" t="inlineStr">
        <is>
          <t>not publisher-identified</t>
        </is>
      </c>
      <c r="BP13" s="152" t="inlineStr">
        <is>
          <t>no</t>
        </is>
      </c>
      <c r="BQ13" s="152" t="inlineStr">
        <is>
          <t>yes</t>
        </is>
      </c>
      <c r="BR13" s="152" t="n"/>
      <c r="BS13" s="152" t="inlineStr">
        <is>
          <t>YES</t>
        </is>
      </c>
      <c r="BT13" s="152" t="n"/>
    </row>
    <row r="14" ht="15" customHeight="1" s="241">
      <c r="A14" s="174" t="inlineStr">
        <is>
          <t>Netflix</t>
        </is>
      </c>
      <c r="B14" s="175">
        <f>IF(A14="","",_xlfn.XLOOKUP(A14, Company_List!$A:$A, Company_List!$B:$B, ""))</f>
        <v/>
      </c>
      <c r="C14" s="176" t="n">
        <v>2025</v>
      </c>
      <c r="D14" s="177" t="inlineStr">
        <is>
          <t>Q4</t>
        </is>
      </c>
      <c r="E14" s="178" t="inlineStr">
        <is>
          <t>All</t>
        </is>
      </c>
      <c r="F14" s="178" t="inlineStr">
        <is>
          <t>All</t>
        </is>
      </c>
      <c r="G14" s="177" t="inlineStr">
        <is>
          <t>Dragos</t>
        </is>
      </c>
      <c r="H14" s="177" t="inlineStr">
        <is>
          <t>Human</t>
        </is>
      </c>
      <c r="I14" s="179" t="n">
        <v>0.6</v>
      </c>
      <c r="J14" s="180">
        <f>IF(OR(I14="",Settings!$B$6=""),"",IF(I14&gt;Settings!$B$6,"BUY",IF(I14&lt;-Settings!$B$6,"SELL","HOLD")))</f>
        <v/>
      </c>
      <c r="K14" s="181" t="n">
        <v>45</v>
      </c>
      <c r="L14" s="182" t="n">
        <v>46042</v>
      </c>
      <c r="M14" s="182" t="n">
        <v>46042</v>
      </c>
      <c r="N14" s="179" t="n">
        <v>87.26000000000001</v>
      </c>
      <c r="O14" s="182" t="n">
        <v>46043</v>
      </c>
      <c r="P14" s="183" t="n">
        <v>82.52</v>
      </c>
      <c r="Q14" s="184">
        <f>IF(OR(N14="",P14=""),"",ROUND((P14-N14)/N14,4))</f>
        <v/>
      </c>
      <c r="R14" s="177">
        <f>IF(OR(N14="",P14=""),"",IF(Q14&gt;Settings!$B$3/100,"UP",IF(Q14&lt;-Settings!$B$3/100,"DOWN","FLAT")))</f>
        <v/>
      </c>
      <c r="S14" s="177">
        <f>IF(OR(N14="",P14="",J14=""),"",IF(OR(AND(J14="BUY",R14="UP"),AND(J14="SELL",R14="DOWN"),AND(J14="HOLD",R14="FLAT")),"YES","NO"))</f>
        <v/>
      </c>
      <c r="T14" s="176">
        <f>IF(J14="","",IF(J14="BUY",1,IF(J14="SELL",-1,0)))</f>
        <v/>
      </c>
      <c r="U14" s="184">
        <f>IFERROR(IF(OR(J14="",N14="",P14=""),"",IF(T14=0,0,T14*Q14-Settings!$B$4/10000-IF(T14&lt;0,Settings!$B$5/10000,0))),"")</f>
        <v/>
      </c>
      <c r="V14" s="185" t="inlineStr">
        <is>
          <t>Clean beat + $51B 2026 guide, but growth decelerating 16%-&gt;14% and WBD deal overhang; I under-weighted the forward risk.</t>
        </is>
      </c>
      <c r="W14" s="176">
        <f>IF($K14="","",$K14*60)</f>
        <v/>
      </c>
      <c r="X14" s="186">
        <f>IF($A14="","",$A14&amp;"|"&amp;$C14&amp;"|"&amp;$D14)</f>
        <v/>
      </c>
      <c r="Y14" s="186">
        <f>IFERROR(IF($X14="","",INDEX(LLM_Data_Entry!$H$3:$H$548,MATCH($X14,INDEX(LLM_Data_Entry!$A$3:$A$548&amp;"|"&amp;LLM_Data_Entry!$C$3:$C$548&amp;"|"&amp;LLM_Data_Entry!$D$3:$D$548,0),0))),"")</f>
        <v/>
      </c>
      <c r="Z14" s="186">
        <f>IFERROR(IF($X14="","",INDEX(LLM_Data_Entry!$R$3:$R$548,MATCH($X14,INDEX(LLM_Data_Entry!$A$3:$A$548&amp;"|"&amp;LLM_Data_Entry!$C$3:$C$548&amp;"|"&amp;LLM_Data_Entry!$D$3:$D$548,0),0))),"")</f>
        <v/>
      </c>
      <c r="AA14" s="152" t="n"/>
      <c r="AB14" s="152" t="inlineStr">
        <is>
          <t>release date + stated time in the document (rater worksheet)</t>
        </is>
      </c>
      <c r="AC14" s="152" t="inlineStr">
        <is>
          <t>NFLX</t>
        </is>
      </c>
      <c r="AD14" s="152" t="inlineStr">
        <is>
          <t>2026-01-20</t>
        </is>
      </c>
      <c r="AE14" s="152" t="n">
        <v>87.26000000000001</v>
      </c>
      <c r="AF14" s="152" t="inlineStr">
        <is>
          <t>2026-01-21</t>
        </is>
      </c>
      <c r="AG14" s="152" t="n">
        <v>82.52</v>
      </c>
      <c r="AH14" s="152" t="n">
        <v>-0.05432047778316572</v>
      </c>
      <c r="AI14" s="152" t="inlineStr">
        <is>
          <t>DOWN</t>
        </is>
      </c>
      <c r="AJ14" s="152" t="inlineStr">
        <is>
          <t>NO</t>
        </is>
      </c>
      <c r="AK14" s="152" t="n">
        <v>-0.05532</v>
      </c>
      <c r="AL14" s="152">
        <f>IF($A14="","",IFERROR(INDEX(Company_List!$G$3:$G$207,MATCH($A14,Company_List!$A$3:$A$207,0)),"unassigned"))</f>
        <v/>
      </c>
      <c r="AM14" s="152" t="inlineStr">
        <is>
          <t>Phase 2/Netflix/2025-Q4/NFLX-2025-Q4-press-release-SEC-EX-99-1.htm</t>
        </is>
      </c>
      <c r="AN14" s="152" t="inlineStr">
        <is>
          <t>https://www.sec.gov/Archives/edgar/data/1065280/000106528026000033/ex991_q425.htm</t>
        </is>
      </c>
      <c r="AO14" s="152" t="inlineStr">
        <is>
          <t>manifest</t>
        </is>
      </c>
      <c r="AP14" s="152">
        <f>IF($A14="","",IF(COUNTIFS(LLM_Data_Entry!$A$3:$A$548,$A14)&gt;0,"YES","NO"))</f>
        <v/>
      </c>
      <c r="AQ14" s="152">
        <f>IF($A14="","",IF(COUNTIFS($A$3:$A14,$A14,$C$3:$C14,$C14,$D$3:$D14,$D14)=1,"YES","NO"))</f>
        <v/>
      </c>
      <c r="AR14" s="152">
        <f>IF($A14="","",IF(AND($C14&amp;"-"&amp;$D14&gt;=Settings!$B$19,$C14&amp;"-"&amp;$D14&lt;=Settings!$B$20),"IN","OUT"))</f>
        <v/>
      </c>
      <c r="AS14" s="152">
        <f>IF($A14="","",IF($F14="Financial Results","financials",IF($F14="Outlook/Guidance","guidance",IF($F14="Transcript Q&amp;A","qanda",IF($F14="","unrecorded",IF($E14="All","full",IF($E14="","unrecorded",LOWER($E14)&amp;" only")))))))</f>
        <v/>
      </c>
      <c r="AT14" s="152">
        <f>IF(AND(OR($J14="BUY",$J14="SELL"),ISNUMBER($U14)),$U14,"")</f>
        <v/>
      </c>
      <c r="AU14" s="152">
        <f>IF(AND(OR($J14="BUY",$J14="SELL"),ISNUMBER($AK14)),$AK14,"")</f>
        <v/>
      </c>
      <c r="AV14" s="152">
        <f>IF(ISNUMBER($AT14),ABS(IF(ISNUMBER($I14),$I14,0)-Settings!$B$24),"")</f>
        <v/>
      </c>
      <c r="AW14" s="152">
        <f>IF(ISNUMBER($AV14),$AV14*$AT14,"")</f>
        <v/>
      </c>
      <c r="AX14" s="152">
        <f>IF(ISNUMBER($AU14),ABS(IF(ISNUMBER($I14),$I14,0)-Settings!$B$24),"")</f>
        <v/>
      </c>
      <c r="AY14" s="152" t="inlineStr">
        <is>
          <t>FROZEN</t>
        </is>
      </c>
      <c r="AZ14" s="152">
        <f>IF($A14="","",IFERROR(INDEX(Company_List!$H$3:$H$207,MATCH($A14,Company_List!$A$3:$A$207,0)),"unassigned"))</f>
        <v/>
      </c>
      <c r="BA14" s="152" t="n"/>
      <c r="BB14" s="152" t="n"/>
      <c r="BC14" s="152">
        <f>IF($A14="","",IF(COUNTIFS($A$3:$A14,$A14,$C$3:$C14,$C14,$D$3:$D14,$D14,$G$3:$G14,$G14)=1,1,0))</f>
        <v/>
      </c>
      <c r="BD14" s="152" t="n"/>
      <c r="BE14" s="152" t="n"/>
      <c r="BF14" s="152" t="n"/>
      <c r="BG14" s="152" t="inlineStr">
        <is>
          <t>no</t>
        </is>
      </c>
      <c r="BH14" s="152" t="n"/>
      <c r="BI14" s="152" t="n"/>
      <c r="BJ14" s="152" t="n"/>
      <c r="BK14" s="152">
        <f>IF(OR($H14&lt;&gt;"Human",$S14="",$J14="",$Y14="",$Z14=""),"",IF(EXACT(UPPER($J14),UPPER($Y14)),1,0))</f>
        <v/>
      </c>
      <c r="BL14" s="152" t="inlineStr">
        <is>
          <t>assumed - no rater record</t>
        </is>
      </c>
      <c r="BM14" s="152" t="n">
        <v>1</v>
      </c>
      <c r="BN14" s="152" t="inlineStr">
        <is>
          <t>not publisher-identified</t>
        </is>
      </c>
      <c r="BO14" s="152" t="inlineStr">
        <is>
          <t>not publisher-identified</t>
        </is>
      </c>
      <c r="BP14" s="152" t="inlineStr">
        <is>
          <t>no</t>
        </is>
      </c>
      <c r="BQ14" s="152" t="inlineStr">
        <is>
          <t>yes</t>
        </is>
      </c>
      <c r="BR14" s="152" t="n"/>
      <c r="BS14" s="152" t="inlineStr">
        <is>
          <t>YES</t>
        </is>
      </c>
      <c r="BT14" s="152" t="n"/>
    </row>
    <row r="15" ht="15" customHeight="1" s="241">
      <c r="A15" s="174" t="inlineStr">
        <is>
          <t>Nvidia</t>
        </is>
      </c>
      <c r="B15" s="175">
        <f>IF(A15="","",_xlfn.XLOOKUP(A15, Company_List!$A:$A, Company_List!$B:$B, ""))</f>
        <v/>
      </c>
      <c r="C15" s="176" t="n">
        <v>2025</v>
      </c>
      <c r="D15" s="177" t="inlineStr">
        <is>
          <t>Q1</t>
        </is>
      </c>
      <c r="E15" s="178" t="inlineStr">
        <is>
          <t>All</t>
        </is>
      </c>
      <c r="F15" s="178" t="inlineStr">
        <is>
          <t>All</t>
        </is>
      </c>
      <c r="G15" s="177" t="inlineStr">
        <is>
          <t>Dragos</t>
        </is>
      </c>
      <c r="H15" s="177" t="inlineStr">
        <is>
          <t>Human</t>
        </is>
      </c>
      <c r="I15" s="179" t="n">
        <v>0.55</v>
      </c>
      <c r="J15" s="180">
        <f>IF(OR(I15="",Settings!$B$6=""),"",IF(I15&gt;Settings!$B$6,"BUY",IF(I15&lt;-Settings!$B$6,"SELL","HOLD")))</f>
        <v/>
      </c>
      <c r="K15" s="181" t="n">
        <v>50</v>
      </c>
      <c r="L15" s="182" t="n">
        <v>45714</v>
      </c>
      <c r="M15" s="182" t="n">
        <v>45714</v>
      </c>
      <c r="N15" s="179" t="n">
        <v>131.28</v>
      </c>
      <c r="O15" s="182" t="n">
        <v>45715</v>
      </c>
      <c r="P15" s="183" t="n">
        <v>135</v>
      </c>
      <c r="Q15" s="184">
        <f>IF(OR(N15="",P15=""),"",ROUND((P15-N15)/N15,4))</f>
        <v/>
      </c>
      <c r="R15" s="177">
        <f>IF(OR(N15="",P15=""),"",IF(Q15&gt;Settings!$B$3/100,"UP",IF(Q15&lt;-Settings!$B$3/100,"DOWN","FLAT")))</f>
        <v/>
      </c>
      <c r="S15" s="177">
        <f>IF(OR(N15="",P15="",J15=""),"",IF(OR(AND(J15="BUY",R15="UP"),AND(J15="SELL",R15="DOWN"),AND(J15="HOLD",R15="FLAT")),"YES","NO"))</f>
        <v/>
      </c>
      <c r="T15" s="176">
        <f>IF(J15="","",IF(J15="BUY",1,IF(J15="SELL",-1,0)))</f>
        <v/>
      </c>
      <c r="U15" s="184">
        <f>IFERROR(IF(OR(J15="",N15="",P15=""),"",IF(T15=0,0,T15*Q15-Settings!$B$4/10000-IF(T15&lt;0,Settings!$B$5/10000,0))),"")</f>
        <v/>
      </c>
      <c r="V15" s="185" t="inlineStr">
        <is>
          <t>NVIDIA fiscal Q4 FY25, released 26 Feb 2025 (calendar label by release date). Beat on every line but margin-trough guide (71%), growth 262%-&gt;65%, tariffs unknown. Opened +2.8% then closed -8.5% - overnight window called it BUY.</t>
        </is>
      </c>
      <c r="W15" s="176">
        <f>IF($K15="","",$K15*60)</f>
        <v/>
      </c>
      <c r="X15" s="186">
        <f>IF($A15="","",$A15&amp;"|"&amp;$C15&amp;"|"&amp;$D15)</f>
        <v/>
      </c>
      <c r="Y15" s="186">
        <f>IFERROR(IF($X15="","",INDEX(LLM_Data_Entry!$H$3:$H$548,MATCH($X15,INDEX(LLM_Data_Entry!$A$3:$A$548&amp;"|"&amp;LLM_Data_Entry!$C$3:$C$548&amp;"|"&amp;LLM_Data_Entry!$D$3:$D$548,0),0))),"")</f>
        <v/>
      </c>
      <c r="Z15" s="186">
        <f>IFERROR(IF($X15="","",INDEX(LLM_Data_Entry!$R$3:$R$548,MATCH($X15,INDEX(LLM_Data_Entry!$A$3:$A$548&amp;"|"&amp;LLM_Data_Entry!$C$3:$C$548&amp;"|"&amp;LLM_Data_Entry!$D$3:$D$548,0),0))),"")</f>
        <v/>
      </c>
      <c r="AA15" s="152" t="n"/>
      <c r="AB15" s="152" t="inlineStr">
        <is>
          <t>release date + stated time in the document (rater worksheet)</t>
        </is>
      </c>
      <c r="AC15" s="152" t="inlineStr">
        <is>
          <t>NVDA</t>
        </is>
      </c>
      <c r="AD15" s="152" t="inlineStr">
        <is>
          <t>2025-02-26</t>
        </is>
      </c>
      <c r="AE15" s="152" t="n">
        <v>131.0842</v>
      </c>
      <c r="AF15" s="152" t="inlineStr">
        <is>
          <t>2025-02-27</t>
        </is>
      </c>
      <c r="AG15" s="152" t="n">
        <v>134.7987</v>
      </c>
      <c r="AH15" s="152" t="n">
        <v>0.0283364750524236</v>
      </c>
      <c r="AI15" s="152" t="inlineStr">
        <is>
          <t>UP</t>
        </is>
      </c>
      <c r="AJ15" s="152" t="inlineStr">
        <is>
          <t>YES</t>
        </is>
      </c>
      <c r="AK15" s="152" t="n">
        <v>0.027336</v>
      </c>
      <c r="AL15" s="152">
        <f>IF($A15="","",IFERROR(INDEX(Company_List!$G$3:$G$207,MATCH($A15,Company_List!$A$3:$A$207,0)),"unassigned"))</f>
        <v/>
      </c>
      <c r="AM15" s="152"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N15" s="152" t="n"/>
      <c r="AO15" s="152" t="inlineStr">
        <is>
          <t>whole bundle (Document = All)</t>
        </is>
      </c>
      <c r="AP15" s="152">
        <f>IF($A15="","",IF(COUNTIFS(LLM_Data_Entry!$A$3:$A$548,$A15)&gt;0,"YES","NO"))</f>
        <v/>
      </c>
      <c r="AQ15" s="152">
        <f>IF($A15="","",IF(COUNTIFS($A$3:$A15,$A15,$C$3:$C15,$C15,$D$3:$D15,$D15)=1,"YES","NO"))</f>
        <v/>
      </c>
      <c r="AR15" s="152">
        <f>IF($A15="","",IF(AND($C15&amp;"-"&amp;$D15&gt;=Settings!$B$19,$C15&amp;"-"&amp;$D15&lt;=Settings!$B$20),"IN","OUT"))</f>
        <v/>
      </c>
      <c r="AS15" s="152">
        <f>IF($A15="","",IF($F15="Financial Results","financials",IF($F15="Outlook/Guidance","guidance",IF($F15="Transcript Q&amp;A","qanda",IF($F15="","unrecorded",IF($E15="All","full",IF($E15="","unrecorded",LOWER($E15)&amp;" only")))))))</f>
        <v/>
      </c>
      <c r="AT15" s="152">
        <f>IF(AND(OR($J15="BUY",$J15="SELL"),ISNUMBER($U15)),$U15,"")</f>
        <v/>
      </c>
      <c r="AU15" s="152">
        <f>IF(AND(OR($J15="BUY",$J15="SELL"),ISNUMBER($AK15)),$AK15,"")</f>
        <v/>
      </c>
      <c r="AV15" s="152">
        <f>IF(ISNUMBER($AT15),ABS(IF(ISNUMBER($I15),$I15,0)-Settings!$B$24),"")</f>
        <v/>
      </c>
      <c r="AW15" s="152">
        <f>IF(ISNUMBER($AV15),$AV15*$AT15,"")</f>
        <v/>
      </c>
      <c r="AX15" s="152">
        <f>IF(ISNUMBER($AU15),ABS(IF(ISNUMBER($I15),$I15,0)-Settings!$B$24),"")</f>
        <v/>
      </c>
      <c r="AY15" s="152" t="inlineStr">
        <is>
          <t>FROZEN</t>
        </is>
      </c>
      <c r="AZ15" s="152">
        <f>IF($A15="","",IFERROR(INDEX(Company_List!$H$3:$H$207,MATCH($A15,Company_List!$A$3:$A$207,0)),"unassigned"))</f>
        <v/>
      </c>
      <c r="BA15" s="152" t="n"/>
      <c r="BB15" s="152" t="n"/>
      <c r="BC15" s="152">
        <f>IF($A15="","",IF(COUNTIFS($A$3:$A15,$A15,$C$3:$C15,$C15,$D$3:$D15,$D15,$G$3:$G15,$G15)=1,1,0))</f>
        <v/>
      </c>
      <c r="BD15" s="152" t="n"/>
      <c r="BE15" s="152" t="n"/>
      <c r="BF15" s="152" t="n"/>
      <c r="BG15" s="152" t="inlineStr">
        <is>
          <t>no</t>
        </is>
      </c>
      <c r="BH15" s="152" t="n"/>
      <c r="BI15" s="152" t="n"/>
      <c r="BJ15" s="152" t="n"/>
      <c r="BK15" s="152">
        <f>IF(OR($H15&lt;&gt;"Human",$S15="",$J15="",$Y15="",$Z15=""),"",IF(EXACT(UPPER($J15),UPPER($Y15)),1,0))</f>
        <v/>
      </c>
      <c r="BL15" s="152" t="inlineStr">
        <is>
          <t>assumed - blind unless stated otherwise; the note names the realised move (query E-a, settled 10 Aug 2026)</t>
        </is>
      </c>
      <c r="BM15" s="152" t="n">
        <v>6</v>
      </c>
      <c r="BN15" s="152" t="inlineStr">
        <is>
          <t>The Motley Fool</t>
        </is>
      </c>
      <c r="BO15" s="152" t="inlineStr">
        <is>
          <t>free to read, copyright asserted</t>
        </is>
      </c>
      <c r="BP15" s="152" t="inlineStr">
        <is>
          <t>no</t>
        </is>
      </c>
      <c r="BQ15" s="152" t="inlineStr">
        <is>
          <t>yes</t>
        </is>
      </c>
      <c r="BR15" s="152" t="n"/>
      <c r="BS15" s="152" t="inlineStr">
        <is>
          <t>YES</t>
        </is>
      </c>
      <c r="BT15" s="152" t="n"/>
    </row>
    <row r="16" ht="15" customHeight="1" s="241">
      <c r="A16" s="174" t="inlineStr">
        <is>
          <t>Nvidia</t>
        </is>
      </c>
      <c r="B16" s="175">
        <f>IF(A16="","",_xlfn.XLOOKUP(A16, Company_List!$A:$A, Company_List!$B:$B, ""))</f>
        <v/>
      </c>
      <c r="C16" s="176" t="n">
        <v>2025</v>
      </c>
      <c r="D16" s="177" t="inlineStr">
        <is>
          <t>Q2</t>
        </is>
      </c>
      <c r="E16" s="178" t="inlineStr">
        <is>
          <t>All</t>
        </is>
      </c>
      <c r="F16" s="178" t="inlineStr">
        <is>
          <t>All</t>
        </is>
      </c>
      <c r="G16" s="177" t="inlineStr">
        <is>
          <t>Dragos</t>
        </is>
      </c>
      <c r="H16" s="177" t="inlineStr">
        <is>
          <t>Human</t>
        </is>
      </c>
      <c r="I16" s="179" t="n">
        <v>0.35</v>
      </c>
      <c r="J16" s="180">
        <f>IF(OR(I16="",Settings!$B$6=""),"",IF(I16&gt;Settings!$B$6,"BUY",IF(I16&lt;-Settings!$B$6,"SELL","HOLD")))</f>
        <v/>
      </c>
      <c r="K16" s="181" t="n">
        <v>48</v>
      </c>
      <c r="L16" s="182" t="n">
        <v>45805</v>
      </c>
      <c r="M16" s="182" t="n">
        <v>45805</v>
      </c>
      <c r="N16" s="179" t="n">
        <v>134.81</v>
      </c>
      <c r="O16" s="182" t="n">
        <v>45806</v>
      </c>
      <c r="P16" s="183" t="n">
        <v>142.25</v>
      </c>
      <c r="Q16" s="184">
        <f>IF(OR(N16="",P16=""),"",ROUND((P16-N16)/N16,4))</f>
        <v/>
      </c>
      <c r="R16" s="177">
        <f>IF(OR(N16="",P16=""),"",IF(Q16&gt;Settings!$B$3/100,"UP",IF(Q16&lt;-Settings!$B$3/100,"DOWN","FLAT")))</f>
        <v/>
      </c>
      <c r="S16" s="177">
        <f>IF(OR(N16="",P16="",J16=""),"",IF(OR(AND(J16="BUY",R16="UP"),AND(J16="SELL",R16="DOWN"),AND(J16="HOLD",R16="FLAT")),"YES","NO"))</f>
        <v/>
      </c>
      <c r="T16" s="176">
        <f>IF(J16="","",IF(J16="BUY",1,IF(J16="SELL",-1,0)))</f>
        <v/>
      </c>
      <c r="U16" s="184">
        <f>IFERROR(IF(OR(J16="",N16="",P16=""),"",IF(T16=0,0,T16*Q16-Settings!$B$4/10000-IF(T16&lt;0,Settings!$B$5/10000,0))),"")</f>
        <v/>
      </c>
      <c r="V16" s="185" t="inlineStr">
        <is>
          <t>NVIDIA fiscal Q1 FY26, released 28 May 2025. Ugly headline (China/H20 charge) but underlying demand intact; market looked through it.</t>
        </is>
      </c>
      <c r="W16" s="176">
        <f>IF($K16="","",$K16*60)</f>
        <v/>
      </c>
      <c r="X16" s="186">
        <f>IF($A16="","",$A16&amp;"|"&amp;$C16&amp;"|"&amp;$D16)</f>
        <v/>
      </c>
      <c r="Y16" s="186">
        <f>IFERROR(IF($X16="","",INDEX(LLM_Data_Entry!$H$3:$H$548,MATCH($X16,INDEX(LLM_Data_Entry!$A$3:$A$548&amp;"|"&amp;LLM_Data_Entry!$C$3:$C$548&amp;"|"&amp;LLM_Data_Entry!$D$3:$D$548,0),0))),"")</f>
        <v/>
      </c>
      <c r="Z16" s="186">
        <f>IFERROR(IF($X16="","",INDEX(LLM_Data_Entry!$R$3:$R$548,MATCH($X16,INDEX(LLM_Data_Entry!$A$3:$A$548&amp;"|"&amp;LLM_Data_Entry!$C$3:$C$548&amp;"|"&amp;LLM_Data_Entry!$D$3:$D$548,0),0))),"")</f>
        <v/>
      </c>
      <c r="AA16" s="152" t="n"/>
      <c r="AB16" s="152" t="inlineStr">
        <is>
          <t>release date + stated time in the document (rater worksheet)</t>
        </is>
      </c>
      <c r="AC16" s="152" t="inlineStr">
        <is>
          <t>NVDA</t>
        </is>
      </c>
      <c r="AD16" s="152" t="inlineStr">
        <is>
          <t>2025-05-28</t>
        </is>
      </c>
      <c r="AE16" s="152" t="n">
        <v>134.6213</v>
      </c>
      <c r="AF16" s="152" t="inlineStr">
        <is>
          <t>2025-05-29</t>
        </is>
      </c>
      <c r="AG16" s="152" t="n">
        <v>142.0509</v>
      </c>
      <c r="AH16" s="152" t="n">
        <v>0.05518877406876717</v>
      </c>
      <c r="AI16" s="152" t="inlineStr">
        <is>
          <t>UP</t>
        </is>
      </c>
      <c r="AJ16" s="152" t="inlineStr">
        <is>
          <t>YES</t>
        </is>
      </c>
      <c r="AK16" s="152" t="n">
        <v>0.054189</v>
      </c>
      <c r="AL16" s="152">
        <f>IF($A16="","",IFERROR(INDEX(Company_List!$G$3:$G$207,MATCH($A16,Company_List!$A$3:$A$207,0)),"unassigned"))</f>
        <v/>
      </c>
      <c r="AM16" s="152"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N16" s="152" t="n"/>
      <c r="AO16" s="152" t="inlineStr">
        <is>
          <t>whole bundle (Document = All)</t>
        </is>
      </c>
      <c r="AP16" s="152">
        <f>IF($A16="","",IF(COUNTIFS(LLM_Data_Entry!$A$3:$A$548,$A16)&gt;0,"YES","NO"))</f>
        <v/>
      </c>
      <c r="AQ16" s="152">
        <f>IF($A16="","",IF(COUNTIFS($A$3:$A16,$A16,$C$3:$C16,$C16,$D$3:$D16,$D16)=1,"YES","NO"))</f>
        <v/>
      </c>
      <c r="AR16" s="152">
        <f>IF($A16="","",IF(AND($C16&amp;"-"&amp;$D16&gt;=Settings!$B$19,$C16&amp;"-"&amp;$D16&lt;=Settings!$B$20),"IN","OUT"))</f>
        <v/>
      </c>
      <c r="AS16" s="152">
        <f>IF($A16="","",IF($F16="Financial Results","financials",IF($F16="Outlook/Guidance","guidance",IF($F16="Transcript Q&amp;A","qanda",IF($F16="","unrecorded",IF($E16="All","full",IF($E16="","unrecorded",LOWER($E16)&amp;" only")))))))</f>
        <v/>
      </c>
      <c r="AT16" s="152">
        <f>IF(AND(OR($J16="BUY",$J16="SELL"),ISNUMBER($U16)),$U16,"")</f>
        <v/>
      </c>
      <c r="AU16" s="152">
        <f>IF(AND(OR($J16="BUY",$J16="SELL"),ISNUMBER($AK16)),$AK16,"")</f>
        <v/>
      </c>
      <c r="AV16" s="152">
        <f>IF(ISNUMBER($AT16),ABS(IF(ISNUMBER($I16),$I16,0)-Settings!$B$24),"")</f>
        <v/>
      </c>
      <c r="AW16" s="152">
        <f>IF(ISNUMBER($AV16),$AV16*$AT16,"")</f>
        <v/>
      </c>
      <c r="AX16" s="152">
        <f>IF(ISNUMBER($AU16),ABS(IF(ISNUMBER($I16),$I16,0)-Settings!$B$24),"")</f>
        <v/>
      </c>
      <c r="AY16" s="152" t="inlineStr">
        <is>
          <t>FROZEN</t>
        </is>
      </c>
      <c r="AZ16" s="152">
        <f>IF($A16="","",IFERROR(INDEX(Company_List!$H$3:$H$207,MATCH($A16,Company_List!$A$3:$A$207,0)),"unassigned"))</f>
        <v/>
      </c>
      <c r="BA16" s="152" t="n"/>
      <c r="BB16" s="152" t="n"/>
      <c r="BC16" s="152">
        <f>IF($A16="","",IF(COUNTIFS($A$3:$A16,$A16,$C$3:$C16,$C16,$D$3:$D16,$D16,$G$3:$G16,$G16)=1,1,0))</f>
        <v/>
      </c>
      <c r="BD16" s="152" t="n"/>
      <c r="BE16" s="152" t="n"/>
      <c r="BF16" s="152" t="n"/>
      <c r="BG16" s="152" t="inlineStr">
        <is>
          <t>no</t>
        </is>
      </c>
      <c r="BH16" s="152" t="n"/>
      <c r="BI16" s="152" t="n"/>
      <c r="BJ16" s="152" t="n"/>
      <c r="BK16" s="152">
        <f>IF(OR($H16&lt;&gt;"Human",$S16="",$J16="",$Y16="",$Z16=""),"",IF(EXACT(UPPER($J16),UPPER($Y16)),1,0))</f>
        <v/>
      </c>
      <c r="BL16" s="152" t="inlineStr">
        <is>
          <t>assumed - no rater record</t>
        </is>
      </c>
      <c r="BM16" s="152" t="n">
        <v>6</v>
      </c>
      <c r="BN16" s="152" t="inlineStr">
        <is>
          <t>not publisher-identified</t>
        </is>
      </c>
      <c r="BO16" s="152" t="inlineStr">
        <is>
          <t>not publisher-identified</t>
        </is>
      </c>
      <c r="BP16" s="152" t="inlineStr">
        <is>
          <t>no</t>
        </is>
      </c>
      <c r="BQ16" s="152" t="inlineStr">
        <is>
          <t>yes</t>
        </is>
      </c>
      <c r="BR16" s="152" t="n"/>
      <c r="BS16" s="152" t="inlineStr">
        <is>
          <t>YES</t>
        </is>
      </c>
      <c r="BT16" s="152" t="n"/>
    </row>
    <row r="17" ht="15" customHeight="1" s="241">
      <c r="A17" s="174" t="inlineStr">
        <is>
          <t>Nvidia</t>
        </is>
      </c>
      <c r="B17" s="175">
        <f>IF(A17="","",_xlfn.XLOOKUP(A17, Company_List!$A:$A, Company_List!$B:$B, ""))</f>
        <v/>
      </c>
      <c r="C17" s="176" t="n">
        <v>2025</v>
      </c>
      <c r="D17" s="177" t="inlineStr">
        <is>
          <t>Q3</t>
        </is>
      </c>
      <c r="E17" s="178" t="inlineStr">
        <is>
          <t>All</t>
        </is>
      </c>
      <c r="F17" s="178" t="inlineStr">
        <is>
          <t>All</t>
        </is>
      </c>
      <c r="G17" s="177" t="inlineStr">
        <is>
          <t>Dragos</t>
        </is>
      </c>
      <c r="H17" s="177" t="inlineStr">
        <is>
          <t>Human</t>
        </is>
      </c>
      <c r="I17" s="179" t="n">
        <v>0.6</v>
      </c>
      <c r="J17" s="180">
        <f>IF(OR(I17="",Settings!$B$6=""),"",IF(I17&gt;Settings!$B$6,"BUY",IF(I17&lt;-Settings!$B$6,"SELL","HOLD")))</f>
        <v/>
      </c>
      <c r="K17" s="181" t="n">
        <v>40</v>
      </c>
      <c r="L17" s="182" t="n">
        <v>45896</v>
      </c>
      <c r="M17" s="182" t="n">
        <v>45896</v>
      </c>
      <c r="N17" s="179" t="n">
        <v>181.6</v>
      </c>
      <c r="O17" s="182" t="n">
        <v>45897</v>
      </c>
      <c r="P17" s="183" t="n">
        <v>180.82</v>
      </c>
      <c r="Q17" s="184">
        <f>IF(OR(N17="",P17=""),"",ROUND((P17-N17)/N17,4))</f>
        <v/>
      </c>
      <c r="R17" s="177">
        <f>IF(OR(N17="",P17=""),"",IF(Q17&gt;Settings!$B$3/100,"UP",IF(Q17&lt;-Settings!$B$3/100,"DOWN","FLAT")))</f>
        <v/>
      </c>
      <c r="S17" s="177">
        <f>IF(OR(N17="",P17="",J17=""),"",IF(OR(AND(J17="BUY",R17="UP"),AND(J17="SELL",R17="DOWN"),AND(J17="HOLD",R17="FLAT")),"YES","NO"))</f>
        <v/>
      </c>
      <c r="T17" s="176">
        <f>IF(J17="","",IF(J17="BUY",1,IF(J17="SELL",-1,0)))</f>
        <v/>
      </c>
      <c r="U17" s="184">
        <f>IFERROR(IF(OR(J17="",N17="",P17=""),"",IF(T17=0,0,T17*Q17-Settings!$B$4/10000-IF(T17&lt;0,Settings!$B$5/10000,0))),"")</f>
        <v/>
      </c>
      <c r="V17" s="185" t="inlineStr">
        <is>
          <t>NVIDIA fiscal Q2 FY26, released 27 Aug 2025. Strong records but reaction flat (-0.43%) - correct call was HOLD.</t>
        </is>
      </c>
      <c r="W17" s="176">
        <f>IF($K17="","",$K17*60)</f>
        <v/>
      </c>
      <c r="X17" s="186">
        <f>IF($A17="","",$A17&amp;"|"&amp;$C17&amp;"|"&amp;$D17)</f>
        <v/>
      </c>
      <c r="Y17" s="186">
        <f>IFERROR(IF($X17="","",INDEX(LLM_Data_Entry!$H$3:$H$548,MATCH($X17,INDEX(LLM_Data_Entry!$A$3:$A$548&amp;"|"&amp;LLM_Data_Entry!$C$3:$C$548&amp;"|"&amp;LLM_Data_Entry!$D$3:$D$548,0),0))),"")</f>
        <v/>
      </c>
      <c r="Z17" s="186">
        <f>IFERROR(IF($X17="","",INDEX(LLM_Data_Entry!$R$3:$R$548,MATCH($X17,INDEX(LLM_Data_Entry!$A$3:$A$548&amp;"|"&amp;LLM_Data_Entry!$C$3:$C$548&amp;"|"&amp;LLM_Data_Entry!$D$3:$D$548,0),0))),"")</f>
        <v/>
      </c>
      <c r="AA17" s="152" t="n"/>
      <c r="AB17" s="152" t="inlineStr">
        <is>
          <t>release date + stated time in the document (rater worksheet)</t>
        </is>
      </c>
      <c r="AC17" s="152" t="inlineStr">
        <is>
          <t>NVDA</t>
        </is>
      </c>
      <c r="AD17" s="152" t="inlineStr">
        <is>
          <t>2025-08-27</t>
        </is>
      </c>
      <c r="AE17" s="152" t="n">
        <v>181.3585</v>
      </c>
      <c r="AF17" s="152" t="inlineStr">
        <is>
          <t>2025-08-28</t>
        </is>
      </c>
      <c r="AG17" s="152" t="n">
        <v>180.5795</v>
      </c>
      <c r="AH17" s="152" t="n">
        <v>-0.004295198674112745</v>
      </c>
      <c r="AI17" s="152" t="inlineStr">
        <is>
          <t>FLAT</t>
        </is>
      </c>
      <c r="AJ17" s="152" t="inlineStr">
        <is>
          <t>NO</t>
        </is>
      </c>
      <c r="AK17" s="152" t="n">
        <v>-0.005295</v>
      </c>
      <c r="AL17" s="152">
        <f>IF($A17="","",IFERROR(INDEX(Company_List!$G$3:$G$207,MATCH($A17,Company_List!$A$3:$A$207,0)),"unassigned"))</f>
        <v/>
      </c>
      <c r="AM17" s="152"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N17" s="152" t="n"/>
      <c r="AO17" s="152" t="inlineStr">
        <is>
          <t>whole bundle (Document = All)</t>
        </is>
      </c>
      <c r="AP17" s="152">
        <f>IF($A17="","",IF(COUNTIFS(LLM_Data_Entry!$A$3:$A$548,$A17)&gt;0,"YES","NO"))</f>
        <v/>
      </c>
      <c r="AQ17" s="152">
        <f>IF($A17="","",IF(COUNTIFS($A$3:$A17,$A17,$C$3:$C17,$C17,$D$3:$D17,$D17)=1,"YES","NO"))</f>
        <v/>
      </c>
      <c r="AR17" s="152">
        <f>IF($A17="","",IF(AND($C17&amp;"-"&amp;$D17&gt;=Settings!$B$19,$C17&amp;"-"&amp;$D17&lt;=Settings!$B$20),"IN","OUT"))</f>
        <v/>
      </c>
      <c r="AS17" s="152">
        <f>IF($A17="","",IF($F17="Financial Results","financials",IF($F17="Outlook/Guidance","guidance",IF($F17="Transcript Q&amp;A","qanda",IF($F17="","unrecorded",IF($E17="All","full",IF($E17="","unrecorded",LOWER($E17)&amp;" only")))))))</f>
        <v/>
      </c>
      <c r="AT17" s="152">
        <f>IF(AND(OR($J17="BUY",$J17="SELL"),ISNUMBER($U17)),$U17,"")</f>
        <v/>
      </c>
      <c r="AU17" s="152">
        <f>IF(AND(OR($J17="BUY",$J17="SELL"),ISNUMBER($AK17)),$AK17,"")</f>
        <v/>
      </c>
      <c r="AV17" s="152">
        <f>IF(ISNUMBER($AT17),ABS(IF(ISNUMBER($I17),$I17,0)-Settings!$B$24),"")</f>
        <v/>
      </c>
      <c r="AW17" s="152">
        <f>IF(ISNUMBER($AV17),$AV17*$AT17,"")</f>
        <v/>
      </c>
      <c r="AX17" s="152">
        <f>IF(ISNUMBER($AU17),ABS(IF(ISNUMBER($I17),$I17,0)-Settings!$B$24),"")</f>
        <v/>
      </c>
      <c r="AY17" s="152" t="inlineStr">
        <is>
          <t>FROZEN</t>
        </is>
      </c>
      <c r="AZ17" s="152">
        <f>IF($A17="","",IFERROR(INDEX(Company_List!$H$3:$H$207,MATCH($A17,Company_List!$A$3:$A$207,0)),"unassigned"))</f>
        <v/>
      </c>
      <c r="BA17" s="152" t="n"/>
      <c r="BB17" s="152" t="n"/>
      <c r="BC17" s="152">
        <f>IF($A17="","",IF(COUNTIFS($A$3:$A17,$A17,$C$3:$C17,$C17,$D$3:$D17,$D17,$G$3:$G17,$G17)=1,1,0))</f>
        <v/>
      </c>
      <c r="BD17" s="152" t="n"/>
      <c r="BE17" s="152" t="n"/>
      <c r="BF17" s="152" t="n"/>
      <c r="BG17" s="152" t="inlineStr">
        <is>
          <t>no</t>
        </is>
      </c>
      <c r="BH17" s="152" t="n"/>
      <c r="BI17" s="152" t="n"/>
      <c r="BJ17" s="152" t="n"/>
      <c r="BK17" s="152">
        <f>IF(OR($H17&lt;&gt;"Human",$S17="",$J17="",$Y17="",$Z17=""),"",IF(EXACT(UPPER($J17),UPPER($Y17)),1,0))</f>
        <v/>
      </c>
      <c r="BL17" s="152" t="inlineStr">
        <is>
          <t>assumed - blind unless stated otherwise; the note names the realised move (query E-a, settled 10 Aug 2026)</t>
        </is>
      </c>
      <c r="BM17" s="152" t="n">
        <v>6</v>
      </c>
      <c r="BN17" s="152" t="inlineStr">
        <is>
          <t>The Motley Fool</t>
        </is>
      </c>
      <c r="BO17" s="152" t="inlineStr">
        <is>
          <t>free to read, copyright asserted</t>
        </is>
      </c>
      <c r="BP17" s="152" t="inlineStr">
        <is>
          <t>no</t>
        </is>
      </c>
      <c r="BQ17" s="152" t="inlineStr">
        <is>
          <t>yes</t>
        </is>
      </c>
      <c r="BR17" s="152" t="n"/>
      <c r="BS17" s="152" t="inlineStr">
        <is>
          <t>YES</t>
        </is>
      </c>
      <c r="BT17" s="152" t="n"/>
    </row>
    <row r="18" ht="15" customHeight="1" s="241">
      <c r="A18" s="174" t="inlineStr">
        <is>
          <t>Nvidia</t>
        </is>
      </c>
      <c r="B18" s="175">
        <f>IF(A18="","",_xlfn.XLOOKUP(A18, Company_List!$A:$A, Company_List!$B:$B, ""))</f>
        <v/>
      </c>
      <c r="C18" s="176" t="n">
        <v>2025</v>
      </c>
      <c r="D18" s="177" t="inlineStr">
        <is>
          <t>Q4</t>
        </is>
      </c>
      <c r="E18" s="178" t="inlineStr">
        <is>
          <t>All</t>
        </is>
      </c>
      <c r="F18" s="178" t="inlineStr">
        <is>
          <t>All</t>
        </is>
      </c>
      <c r="G18" s="177" t="inlineStr">
        <is>
          <t>Dragos</t>
        </is>
      </c>
      <c r="H18" s="177" t="inlineStr">
        <is>
          <t>Human</t>
        </is>
      </c>
      <c r="I18" s="179" t="n">
        <v>0.75</v>
      </c>
      <c r="J18" s="180">
        <f>IF(OR(I18="",Settings!$B$6=""),"",IF(I18&gt;Settings!$B$6,"BUY",IF(I18&lt;-Settings!$B$6,"SELL","HOLD")))</f>
        <v/>
      </c>
      <c r="K18" s="181" t="n">
        <v>44</v>
      </c>
      <c r="L18" s="182" t="n">
        <v>45980</v>
      </c>
      <c r="M18" s="182" t="n">
        <v>45980</v>
      </c>
      <c r="N18" s="179" t="n">
        <v>186.52</v>
      </c>
      <c r="O18" s="182" t="n">
        <v>45981</v>
      </c>
      <c r="P18" s="183" t="n">
        <v>195.95</v>
      </c>
      <c r="Q18" s="184">
        <f>IF(OR(N18="",P18=""),"",ROUND((P18-N18)/N18,4))</f>
        <v/>
      </c>
      <c r="R18" s="177">
        <f>IF(OR(N18="",P18=""),"",IF(Q18&gt;Settings!$B$3/100,"UP",IF(Q18&lt;-Settings!$B$3/100,"DOWN","FLAT")))</f>
        <v/>
      </c>
      <c r="S18" s="177">
        <f>IF(OR(N18="",P18="",J18=""),"",IF(OR(AND(J18="BUY",R18="UP"),AND(J18="SELL",R18="DOWN"),AND(J18="HOLD",R18="FLAT")),"YES","NO"))</f>
        <v/>
      </c>
      <c r="T18" s="176">
        <f>IF(J18="","",IF(J18="BUY",1,IF(J18="SELL",-1,0)))</f>
        <v/>
      </c>
      <c r="U18" s="184">
        <f>IFERROR(IF(OR(J18="",N18="",P18=""),"",IF(T18=0,0,T18*Q18-Settings!$B$4/10000-IF(T18&lt;0,Settings!$B$5/10000,0))),"")</f>
        <v/>
      </c>
      <c r="V18" s="185" t="inlineStr">
        <is>
          <t>NVIDIA fiscal Q3 FY26, released 19 Nov 2025. Strongest print of the four; +5.1% overnight.</t>
        </is>
      </c>
      <c r="W18" s="176">
        <f>IF($K18="","",$K18*60)</f>
        <v/>
      </c>
      <c r="X18" s="186">
        <f>IF($A18="","",$A18&amp;"|"&amp;$C18&amp;"|"&amp;$D18)</f>
        <v/>
      </c>
      <c r="Y18" s="186">
        <f>IFERROR(IF($X18="","",INDEX(LLM_Data_Entry!$H$3:$H$548,MATCH($X18,INDEX(LLM_Data_Entry!$A$3:$A$548&amp;"|"&amp;LLM_Data_Entry!$C$3:$C$548&amp;"|"&amp;LLM_Data_Entry!$D$3:$D$548,0),0))),"")</f>
        <v/>
      </c>
      <c r="Z18" s="186">
        <f>IFERROR(IF($X18="","",INDEX(LLM_Data_Entry!$R$3:$R$548,MATCH($X18,INDEX(LLM_Data_Entry!$A$3:$A$548&amp;"|"&amp;LLM_Data_Entry!$C$3:$C$548&amp;"|"&amp;LLM_Data_Entry!$D$3:$D$548,0),0))),"")</f>
        <v/>
      </c>
      <c r="AA18" s="152" t="n"/>
      <c r="AB18" s="152" t="inlineStr">
        <is>
          <t>release date + stated time in the document (rater worksheet)</t>
        </is>
      </c>
      <c r="AC18" s="152" t="inlineStr">
        <is>
          <t>NVDA</t>
        </is>
      </c>
      <c r="AD18" s="152" t="inlineStr">
        <is>
          <t>2025-11-19</t>
        </is>
      </c>
      <c r="AE18" s="152" t="n">
        <v>186.2824</v>
      </c>
      <c r="AF18" s="152" t="inlineStr">
        <is>
          <t>2025-11-20</t>
        </is>
      </c>
      <c r="AG18" s="152" t="n">
        <v>195.7004</v>
      </c>
      <c r="AH18" s="152" t="n">
        <v>0.0505575533934741</v>
      </c>
      <c r="AI18" s="152" t="inlineStr">
        <is>
          <t>UP</t>
        </is>
      </c>
      <c r="AJ18" s="152" t="inlineStr">
        <is>
          <t>YES</t>
        </is>
      </c>
      <c r="AK18" s="152" t="n">
        <v>0.049558</v>
      </c>
      <c r="AL18" s="152">
        <f>IF($A18="","",IFERROR(INDEX(Company_List!$G$3:$G$207,MATCH($A18,Company_List!$A$3:$A$207,0)),"unassigned"))</f>
        <v/>
      </c>
      <c r="AM18" s="152"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N18" s="152" t="n"/>
      <c r="AO18" s="152" t="inlineStr">
        <is>
          <t>whole bundle (Document = All)</t>
        </is>
      </c>
      <c r="AP18" s="152">
        <f>IF($A18="","",IF(COUNTIFS(LLM_Data_Entry!$A$3:$A$548,$A18)&gt;0,"YES","NO"))</f>
        <v/>
      </c>
      <c r="AQ18" s="152">
        <f>IF($A18="","",IF(COUNTIFS($A$3:$A18,$A18,$C$3:$C18,$C18,$D$3:$D18,$D18)=1,"YES","NO"))</f>
        <v/>
      </c>
      <c r="AR18" s="152">
        <f>IF($A18="","",IF(AND($C18&amp;"-"&amp;$D18&gt;=Settings!$B$19,$C18&amp;"-"&amp;$D18&lt;=Settings!$B$20),"IN","OUT"))</f>
        <v/>
      </c>
      <c r="AS18" s="152">
        <f>IF($A18="","",IF($F18="Financial Results","financials",IF($F18="Outlook/Guidance","guidance",IF($F18="Transcript Q&amp;A","qanda",IF($F18="","unrecorded",IF($E18="All","full",IF($E18="","unrecorded",LOWER($E18)&amp;" only")))))))</f>
        <v/>
      </c>
      <c r="AT18" s="152">
        <f>IF(AND(OR($J18="BUY",$J18="SELL"),ISNUMBER($U18)),$U18,"")</f>
        <v/>
      </c>
      <c r="AU18" s="152">
        <f>IF(AND(OR($J18="BUY",$J18="SELL"),ISNUMBER($AK18)),$AK18,"")</f>
        <v/>
      </c>
      <c r="AV18" s="152">
        <f>IF(ISNUMBER($AT18),ABS(IF(ISNUMBER($I18),$I18,0)-Settings!$B$24),"")</f>
        <v/>
      </c>
      <c r="AW18" s="152">
        <f>IF(ISNUMBER($AV18),$AV18*$AT18,"")</f>
        <v/>
      </c>
      <c r="AX18" s="152">
        <f>IF(ISNUMBER($AU18),ABS(IF(ISNUMBER($I18),$I18,0)-Settings!$B$24),"")</f>
        <v/>
      </c>
      <c r="AY18" s="152" t="inlineStr">
        <is>
          <t>FROZEN</t>
        </is>
      </c>
      <c r="AZ18" s="152">
        <f>IF($A18="","",IFERROR(INDEX(Company_List!$H$3:$H$207,MATCH($A18,Company_List!$A$3:$A$207,0)),"unassigned"))</f>
        <v/>
      </c>
      <c r="BA18" s="152" t="n"/>
      <c r="BB18" s="152" t="n"/>
      <c r="BC18" s="152">
        <f>IF($A18="","",IF(COUNTIFS($A$3:$A18,$A18,$C$3:$C18,$C18,$D$3:$D18,$D18,$G$3:$G18,$G18)=1,1,0))</f>
        <v/>
      </c>
      <c r="BD18" s="152" t="n"/>
      <c r="BE18" s="152" t="n"/>
      <c r="BF18" s="152" t="n"/>
      <c r="BG18" s="152" t="inlineStr">
        <is>
          <t>no</t>
        </is>
      </c>
      <c r="BH18" s="152" t="n"/>
      <c r="BI18" s="152" t="n"/>
      <c r="BJ18" s="152" t="n"/>
      <c r="BK18" s="152">
        <f>IF(OR($H18&lt;&gt;"Human",$S18="",$J18="",$Y18="",$Z18=""),"",IF(EXACT(UPPER($J18),UPPER($Y18)),1,0))</f>
        <v/>
      </c>
      <c r="BL18" s="152" t="inlineStr">
        <is>
          <t>assumed - no rater record</t>
        </is>
      </c>
      <c r="BM18" s="152" t="n">
        <v>6</v>
      </c>
      <c r="BN18" s="152" t="inlineStr">
        <is>
          <t>The Motley Fool</t>
        </is>
      </c>
      <c r="BO18" s="152" t="inlineStr">
        <is>
          <t>free to read, copyright asserted</t>
        </is>
      </c>
      <c r="BP18" s="152" t="inlineStr">
        <is>
          <t>no</t>
        </is>
      </c>
      <c r="BQ18" s="152" t="inlineStr">
        <is>
          <t>yes</t>
        </is>
      </c>
      <c r="BR18" s="152" t="n"/>
      <c r="BS18" s="152" t="inlineStr">
        <is>
          <t>YES</t>
        </is>
      </c>
      <c r="BT18" s="152" t="n"/>
    </row>
    <row r="19" ht="15" customHeight="1" s="241">
      <c r="A19" s="174" t="inlineStr">
        <is>
          <t>Boeing</t>
        </is>
      </c>
      <c r="B19" s="175">
        <f>IF(A19="","",_xlfn.XLOOKUP(A19, Company_List!$A:$A, Company_List!$B:$B, ""))</f>
        <v/>
      </c>
      <c r="C19" s="176" t="n">
        <v>2025</v>
      </c>
      <c r="D19" s="177" t="inlineStr">
        <is>
          <t>Q1</t>
        </is>
      </c>
      <c r="E19" s="178" t="inlineStr">
        <is>
          <t>All</t>
        </is>
      </c>
      <c r="F19" s="178" t="inlineStr">
        <is>
          <t>All</t>
        </is>
      </c>
      <c r="G19" s="177" t="inlineStr">
        <is>
          <t>Nigel</t>
        </is>
      </c>
      <c r="H19" s="177" t="inlineStr">
        <is>
          <t>Human</t>
        </is>
      </c>
      <c r="I19" s="179" t="n">
        <v>-0.5</v>
      </c>
      <c r="J19" s="180">
        <f>IF(OR(I19="",Settings!$B$6=""),"",IF(I19&gt;Settings!$B$6,"BUY",IF(I19&lt;-Settings!$B$6,"SELL","HOLD")))</f>
        <v/>
      </c>
      <c r="K19" s="181" t="n">
        <v>32</v>
      </c>
      <c r="L19" s="182" t="n">
        <v>45770</v>
      </c>
      <c r="M19" s="182" t="n">
        <v>45769</v>
      </c>
      <c r="N19" s="179" t="n">
        <v>162.52</v>
      </c>
      <c r="O19" s="182" t="n">
        <v>45770</v>
      </c>
      <c r="P19" s="183" t="n">
        <v>174</v>
      </c>
      <c r="Q19" s="184">
        <f>IF(OR(N19="",P19=""),"",ROUND((P19-N19)/N19,4))</f>
        <v/>
      </c>
      <c r="R19" s="177">
        <f>IF(OR(N19="",P19=""),"",IF(Q19&gt;Settings!$B$3/100,"UP",IF(Q19&lt;-Settings!$B$3/100,"DOWN","FLAT")))</f>
        <v/>
      </c>
      <c r="S19" s="177">
        <f>IF(OR(N19="",P19="",J19=""),"",IF(OR(AND(J19="BUY",R19="UP"),AND(J19="SELL",R19="DOWN"),AND(J19="HOLD",R19="FLAT")),"YES","NO"))</f>
        <v/>
      </c>
      <c r="T19" s="176">
        <f>IF(J19="","",IF(J19="BUY",1,IF(J19="SELL",-1,0)))</f>
        <v/>
      </c>
      <c r="U19" s="184">
        <f>IFERROR(IF(OR(J19="",N19="",P19=""),"",IF(T19=0,0,T19*Q19-Settings!$B$4/10000-IF(T19&lt;0,Settings!$B$5/10000,0))),"")</f>
        <v/>
      </c>
      <c r="V19" s="152" t="inlineStr">
        <is>
          <t>Recovery plan working as intended though a long road remains; revenue up but operating margin lower and not yet convincing; outlook resting on planned diversification; tariffs a growing concern especially around China deals, with possible supply chain knock-on; more conservative forward plans. Heavy uncertainty, cautious tone.</t>
        </is>
      </c>
      <c r="W19" s="176">
        <f>IF($K19="","",$K19*60)</f>
        <v/>
      </c>
      <c r="X19" s="186">
        <f>IF($A19="","",$A19&amp;"|"&amp;$C19&amp;"|"&amp;$D19)</f>
        <v/>
      </c>
      <c r="Y19" s="186">
        <f>IFERROR(IF($X19="","",INDEX(LLM_Data_Entry!$H$3:$H$548,MATCH($X19,INDEX(LLM_Data_Entry!$A$3:$A$548&amp;"|"&amp;LLM_Data_Entry!$C$3:$C$548&amp;"|"&amp;LLM_Data_Entry!$D$3:$D$548,0),0))),"")</f>
        <v/>
      </c>
      <c r="Z19" s="186">
        <f>IFERROR(IF($X19="","",INDEX(LLM_Data_Entry!$R$3:$R$548,MATCH($X19,INDEX(LLM_Data_Entry!$A$3:$A$548&amp;"|"&amp;LLM_Data_Entry!$C$3:$C$548&amp;"|"&amp;LLM_Data_Entry!$D$3:$D$548,0),0))),"")</f>
        <v/>
      </c>
      <c r="AA19" s="152" t="n"/>
      <c r="AB19" s="152" t="inlineStr">
        <is>
          <t>price signal</t>
        </is>
      </c>
      <c r="AC19" s="152" t="inlineStr">
        <is>
          <t>BA</t>
        </is>
      </c>
      <c r="AD19" s="152" t="inlineStr">
        <is>
          <t>2025-04-22</t>
        </is>
      </c>
      <c r="AE19" s="152" t="n">
        <v>162.52</v>
      </c>
      <c r="AF19" s="152" t="inlineStr">
        <is>
          <t>2025-04-23</t>
        </is>
      </c>
      <c r="AG19" s="152" t="n">
        <v>174</v>
      </c>
      <c r="AH19" s="152" t="n">
        <v>0.07063743365401344</v>
      </c>
      <c r="AI19" s="152" t="inlineStr">
        <is>
          <t>UP</t>
        </is>
      </c>
      <c r="AJ19" s="152" t="inlineStr">
        <is>
          <t>NO</t>
        </is>
      </c>
      <c r="AK19" s="152" t="n">
        <v>-0.07163700000000001</v>
      </c>
      <c r="AL19" s="152">
        <f>IF($A19="","",IFERROR(INDEX(Company_List!$G$3:$G$207,MATCH($A19,Company_List!$A$3:$A$207,0)),"unassigned"))</f>
        <v/>
      </c>
      <c r="AM19" s="152" t="inlineStr">
        <is>
          <t>Phase 2/Boeing/Q1/Transcript-Q1-2025-Earnings-Call.pdf</t>
        </is>
      </c>
      <c r="AN19" s="152" t="n"/>
      <c r="AO19" s="152" t="inlineStr">
        <is>
          <t>unique filename match</t>
        </is>
      </c>
      <c r="AP19" s="152">
        <f>IF($A19="","",IF(COUNTIFS(LLM_Data_Entry!$A$3:$A$548,$A19)&gt;0,"YES","NO"))</f>
        <v/>
      </c>
      <c r="AQ19" s="152">
        <f>IF($A19="","",IF(COUNTIFS($A$3:$A19,$A19,$C$3:$C19,$C19,$D$3:$D19,$D19)=1,"YES","NO"))</f>
        <v/>
      </c>
      <c r="AR19" s="152">
        <f>IF($A19="","",IF(AND($C19&amp;"-"&amp;$D19&gt;=Settings!$B$19,$C19&amp;"-"&amp;$D19&lt;=Settings!$B$20),"IN","OUT"))</f>
        <v/>
      </c>
      <c r="AS19" s="152">
        <f>IF($A19="","",IF($F19="Financial Results","financials",IF($F19="Outlook/Guidance","guidance",IF($F19="Transcript Q&amp;A","qanda",IF($F19="","unrecorded",IF($E19="All","full",IF($E19="","unrecorded",LOWER($E19)&amp;" only")))))))</f>
        <v/>
      </c>
      <c r="AT19" s="152">
        <f>IF(AND(OR($J19="BUY",$J19="SELL"),ISNUMBER($U19)),$U19,"")</f>
        <v/>
      </c>
      <c r="AU19" s="152">
        <f>IF(AND(OR($J19="BUY",$J19="SELL"),ISNUMBER($AK19)),$AK19,"")</f>
        <v/>
      </c>
      <c r="AV19" s="152">
        <f>IF(ISNUMBER($AT19),ABS(IF(ISNUMBER($I19),$I19,0)-Settings!$B$24),"")</f>
        <v/>
      </c>
      <c r="AW19" s="152">
        <f>IF(ISNUMBER($AV19),$AV19*$AT19,"")</f>
        <v/>
      </c>
      <c r="AX19" s="152">
        <f>IF(ISNUMBER($AU19),ABS(IF(ISNUMBER($I19),$I19,0)-Settings!$B$24),"")</f>
        <v/>
      </c>
      <c r="AY19" s="152" t="inlineStr">
        <is>
          <t>FROZEN</t>
        </is>
      </c>
      <c r="AZ19" s="152">
        <f>IF($A19="","",IFERROR(INDEX(Company_List!$H$3:$H$207,MATCH($A19,Company_List!$A$3:$A$207,0)),"unassigned"))</f>
        <v/>
      </c>
      <c r="BA19" s="152" t="n"/>
      <c r="BB19" s="152" t="n"/>
      <c r="BC19" s="152">
        <f>IF($A19="","",IF(COUNTIFS($A$3:$A19,$A19,$C$3:$C19,$C19,$D$3:$D19,$D19,$G$3:$G19,$G19)=1,1,0))</f>
        <v/>
      </c>
      <c r="BD19" s="152" t="n"/>
      <c r="BE19" s="152" t="n"/>
      <c r="BF19" s="152" t="n"/>
      <c r="BG19" s="152" t="inlineStr">
        <is>
          <t>no</t>
        </is>
      </c>
      <c r="BH19" s="152" t="n"/>
      <c r="BI19" s="152" t="n"/>
      <c r="BJ19" s="152" t="n"/>
      <c r="BK19" s="152">
        <f>IF(OR($H19&lt;&gt;"Human",$S19="",$J19="",$Y19="",$Z19=""),"",IF(EXACT(UPPER($J19),UPPER($Y19)),1,0))</f>
        <v/>
      </c>
      <c r="BL19" s="152" t="inlineStr">
        <is>
          <t>assumed - no rater record</t>
        </is>
      </c>
      <c r="BM19" s="152" t="n">
        <v>1</v>
      </c>
      <c r="BN19" s="152" t="inlineStr">
        <is>
          <t>FactSet CallStreet</t>
        </is>
      </c>
      <c r="BO19" s="152" t="inlineStr">
        <is>
          <t>licensed vendor</t>
        </is>
      </c>
      <c r="BP19" s="152" t="inlineStr">
        <is>
          <t>no</t>
        </is>
      </c>
      <c r="BQ19" s="152" t="inlineStr">
        <is>
          <t>no</t>
        </is>
      </c>
      <c r="BR19" s="152" t="n"/>
      <c r="BS19" s="152" t="inlineStr">
        <is>
          <t>YES</t>
        </is>
      </c>
      <c r="BT19" s="152" t="n"/>
    </row>
    <row r="20" ht="15" customHeight="1" s="241">
      <c r="A20" s="174" t="inlineStr">
        <is>
          <t>Boeing</t>
        </is>
      </c>
      <c r="B20" s="175">
        <f>IF(A20="","",_xlfn.XLOOKUP(A20, Company_List!$A:$A, Company_List!$B:$B, ""))</f>
        <v/>
      </c>
      <c r="C20" s="176" t="n">
        <v>2025</v>
      </c>
      <c r="D20" s="177" t="inlineStr">
        <is>
          <t>Q2</t>
        </is>
      </c>
      <c r="E20" s="178" t="inlineStr">
        <is>
          <t>All</t>
        </is>
      </c>
      <c r="F20" s="178" t="inlineStr">
        <is>
          <t>All</t>
        </is>
      </c>
      <c r="G20" s="177" t="inlineStr">
        <is>
          <t>Nigel</t>
        </is>
      </c>
      <c r="H20" s="177" t="inlineStr">
        <is>
          <t>Human</t>
        </is>
      </c>
      <c r="I20" s="179" t="n">
        <v>0.6</v>
      </c>
      <c r="J20" s="180">
        <f>IF(OR(I20="",Settings!$B$6=""),"",IF(I20&gt;Settings!$B$6,"BUY",IF(I20&lt;-Settings!$B$6,"SELL","HOLD")))</f>
        <v/>
      </c>
      <c r="K20" s="181" t="n">
        <v>28</v>
      </c>
      <c r="L20" s="182" t="n">
        <v>45867</v>
      </c>
      <c r="M20" s="182" t="n">
        <v>45866</v>
      </c>
      <c r="N20" s="179" t="n">
        <v>236.41</v>
      </c>
      <c r="O20" s="182" t="n">
        <v>45867</v>
      </c>
      <c r="P20" s="183" t="n">
        <v>239.5</v>
      </c>
      <c r="Q20" s="184">
        <f>IF(OR(N20="",P20=""),"",ROUND((P20-N20)/N20,4))</f>
        <v/>
      </c>
      <c r="R20" s="177">
        <f>IF(OR(N20="",P20=""),"",IF(Q20&gt;Settings!$B$3/100,"UP",IF(Q20&lt;-Settings!$B$3/100,"DOWN","FLAT")))</f>
        <v/>
      </c>
      <c r="S20" s="177">
        <f>IF(OR(N20="",P20="",J20=""),"",IF(OR(AND(J20="BUY",R20="UP"),AND(J20="SELL",R20="DOWN"),AND(J20="HOLD",R20="FLAT")),"YES","NO"))</f>
        <v/>
      </c>
      <c r="T20" s="176">
        <f>IF(J20="","",IF(J20="BUY",1,IF(J20="SELL",-1,0)))</f>
        <v/>
      </c>
      <c r="U20" s="184">
        <f>IFERROR(IF(OR(J20="",N20="",P20=""),"",IF(T20=0,0,T20*Q20-Settings!$B$4/10000-IF(T20&lt;0,Settings!$B$5/10000,0))),"")</f>
        <v/>
      </c>
      <c r="V20" s="152" t="inlineStr">
        <is>
          <t>Demand growing and finances healthier with stronger revenues; production plan improving as intended; contract wins in defence and space; tariff worries easing and geopolitical risk stabilising; 737 deliveries below last year but in line with the action plan. Improving tone.</t>
        </is>
      </c>
      <c r="W20" s="176">
        <f>IF($K20="","",$K20*60)</f>
        <v/>
      </c>
      <c r="X20" s="186">
        <f>IF($A20="","",$A20&amp;"|"&amp;$C20&amp;"|"&amp;$D20)</f>
        <v/>
      </c>
      <c r="Y20" s="186">
        <f>IFERROR(IF($X20="","",INDEX(LLM_Data_Entry!$H$3:$H$548,MATCH($X20,INDEX(LLM_Data_Entry!$A$3:$A$548&amp;"|"&amp;LLM_Data_Entry!$C$3:$C$548&amp;"|"&amp;LLM_Data_Entry!$D$3:$D$548,0),0))),"")</f>
        <v/>
      </c>
      <c r="Z20" s="186">
        <f>IFERROR(IF($X20="","",INDEX(LLM_Data_Entry!$R$3:$R$548,MATCH($X20,INDEX(LLM_Data_Entry!$A$3:$A$548&amp;"|"&amp;LLM_Data_Entry!$C$3:$C$548&amp;"|"&amp;LLM_Data_Entry!$D$3:$D$548,0),0))),"")</f>
        <v/>
      </c>
      <c r="AA20" s="152" t="n"/>
      <c r="AB20" s="152" t="inlineStr">
        <is>
          <t>price signal</t>
        </is>
      </c>
      <c r="AC20" s="152" t="inlineStr">
        <is>
          <t>BA</t>
        </is>
      </c>
      <c r="AD20" s="152" t="inlineStr">
        <is>
          <t>2025-07-28</t>
        </is>
      </c>
      <c r="AE20" s="152" t="n">
        <v>236.41</v>
      </c>
      <c r="AF20" s="152" t="inlineStr">
        <is>
          <t>2025-07-29</t>
        </is>
      </c>
      <c r="AG20" s="152" t="n">
        <v>239.5</v>
      </c>
      <c r="AH20" s="152" t="n">
        <v>0.01307049595075505</v>
      </c>
      <c r="AI20" s="152" t="inlineStr">
        <is>
          <t>FLAT</t>
        </is>
      </c>
      <c r="AJ20" s="152" t="inlineStr">
        <is>
          <t>NO</t>
        </is>
      </c>
      <c r="AK20" s="152" t="n">
        <v>0.01207</v>
      </c>
      <c r="AL20" s="152">
        <f>IF($A20="","",IFERROR(INDEX(Company_List!$G$3:$G$207,MATCH($A20,Company_List!$A$3:$A$207,0)),"unassigned"))</f>
        <v/>
      </c>
      <c r="AM20" s="152" t="inlineStr">
        <is>
          <t>Phase 2/Boeing/2025-Q2/BA-2025-Q2-press-release-SEC-EX-99-1.htm</t>
        </is>
      </c>
      <c r="AN20" s="152" t="inlineStr">
        <is>
          <t>https://www.sec.gov/Archives/edgar/data/12927/000001292725000058/a202506jun308kprex991.htm</t>
        </is>
      </c>
      <c r="AO20" s="152" t="inlineStr">
        <is>
          <t>manifest</t>
        </is>
      </c>
      <c r="AP20" s="152">
        <f>IF($A20="","",IF(COUNTIFS(LLM_Data_Entry!$A$3:$A$548,$A20)&gt;0,"YES","NO"))</f>
        <v/>
      </c>
      <c r="AQ20" s="152">
        <f>IF($A20="","",IF(COUNTIFS($A$3:$A20,$A20,$C$3:$C20,$C20,$D$3:$D20,$D20)=1,"YES","NO"))</f>
        <v/>
      </c>
      <c r="AR20" s="152">
        <f>IF($A20="","",IF(AND($C20&amp;"-"&amp;$D20&gt;=Settings!$B$19,$C20&amp;"-"&amp;$D20&lt;=Settings!$B$20),"IN","OUT"))</f>
        <v/>
      </c>
      <c r="AS20" s="152">
        <f>IF($A20="","",IF($F20="Financial Results","financials",IF($F20="Outlook/Guidance","guidance",IF($F20="Transcript Q&amp;A","qanda",IF($F20="","unrecorded",IF($E20="All","full",IF($E20="","unrecorded",LOWER($E20)&amp;" only")))))))</f>
        <v/>
      </c>
      <c r="AT20" s="152">
        <f>IF(AND(OR($J20="BUY",$J20="SELL"),ISNUMBER($U20)),$U20,"")</f>
        <v/>
      </c>
      <c r="AU20" s="152">
        <f>IF(AND(OR($J20="BUY",$J20="SELL"),ISNUMBER($AK20)),$AK20,"")</f>
        <v/>
      </c>
      <c r="AV20" s="152">
        <f>IF(ISNUMBER($AT20),ABS(IF(ISNUMBER($I20),$I20,0)-Settings!$B$24),"")</f>
        <v/>
      </c>
      <c r="AW20" s="152">
        <f>IF(ISNUMBER($AV20),$AV20*$AT20,"")</f>
        <v/>
      </c>
      <c r="AX20" s="152">
        <f>IF(ISNUMBER($AU20),ABS(IF(ISNUMBER($I20),$I20,0)-Settings!$B$24),"")</f>
        <v/>
      </c>
      <c r="AY20" s="152" t="inlineStr">
        <is>
          <t>FROZEN</t>
        </is>
      </c>
      <c r="AZ20" s="152">
        <f>IF($A20="","",IFERROR(INDEX(Company_List!$H$3:$H$207,MATCH($A20,Company_List!$A$3:$A$207,0)),"unassigned"))</f>
        <v/>
      </c>
      <c r="BA20" s="152" t="n"/>
      <c r="BB20" s="152" t="n"/>
      <c r="BC20" s="152">
        <f>IF($A20="","",IF(COUNTIFS($A$3:$A20,$A20,$C$3:$C20,$C20,$D$3:$D20,$D20,$G$3:$G20,$G20)=1,1,0))</f>
        <v/>
      </c>
      <c r="BD20" s="152" t="n"/>
      <c r="BE20" s="152" t="n"/>
      <c r="BF20" s="152" t="n"/>
      <c r="BG20" s="152" t="inlineStr">
        <is>
          <t>no</t>
        </is>
      </c>
      <c r="BH20" s="152" t="n"/>
      <c r="BI20" s="152" t="n"/>
      <c r="BJ20" s="152" t="n"/>
      <c r="BK20" s="152">
        <f>IF(OR($H20&lt;&gt;"Human",$S20="",$J20="",$Y20="",$Z20=""),"",IF(EXACT(UPPER($J20),UPPER($Y20)),1,0))</f>
        <v/>
      </c>
      <c r="BL20" s="152" t="inlineStr">
        <is>
          <t>assumed - no rater record</t>
        </is>
      </c>
      <c r="BM20" s="152" t="n">
        <v>1</v>
      </c>
      <c r="BN20" s="152" t="inlineStr">
        <is>
          <t>not publisher-identified</t>
        </is>
      </c>
      <c r="BO20" s="152" t="inlineStr">
        <is>
          <t>not publisher-identified</t>
        </is>
      </c>
      <c r="BP20" s="152" t="inlineStr">
        <is>
          <t>no</t>
        </is>
      </c>
      <c r="BQ20" s="152" t="inlineStr">
        <is>
          <t>yes</t>
        </is>
      </c>
      <c r="BR20" s="152" t="n"/>
      <c r="BS20" s="152" t="inlineStr">
        <is>
          <t>YES</t>
        </is>
      </c>
      <c r="BT20" s="152" t="n"/>
    </row>
    <row r="21" ht="15" customHeight="1" s="241">
      <c r="A21" s="174" t="inlineStr">
        <is>
          <t>Boeing</t>
        </is>
      </c>
      <c r="B21" s="175">
        <f>IF(A21="","",_xlfn.XLOOKUP(A21, Company_List!$A:$A, Company_List!$B:$B, ""))</f>
        <v/>
      </c>
      <c r="C21" s="176" t="n">
        <v>2025</v>
      </c>
      <c r="D21" s="177" t="inlineStr">
        <is>
          <t>Q3</t>
        </is>
      </c>
      <c r="E21" s="178" t="inlineStr">
        <is>
          <t>All</t>
        </is>
      </c>
      <c r="F21" s="178" t="inlineStr">
        <is>
          <t>All</t>
        </is>
      </c>
      <c r="G21" s="177" t="inlineStr">
        <is>
          <t>Nigel</t>
        </is>
      </c>
      <c r="H21" s="177" t="inlineStr">
        <is>
          <t>Human</t>
        </is>
      </c>
      <c r="I21" s="179" t="n">
        <v>-0.1</v>
      </c>
      <c r="J21" s="180">
        <f>IF(OR(I21="",Settings!$B$6=""),"",IF(I21&gt;Settings!$B$6,"BUY",IF(I21&lt;-Settings!$B$6,"SELL","HOLD")))</f>
        <v/>
      </c>
      <c r="K21" s="181" t="n">
        <v>26</v>
      </c>
      <c r="L21" s="182" t="n">
        <v>45959</v>
      </c>
      <c r="M21" s="182" t="n">
        <v>45958</v>
      </c>
      <c r="N21" s="179" t="n">
        <v>223.33</v>
      </c>
      <c r="O21" s="182" t="n">
        <v>45959</v>
      </c>
      <c r="P21" s="183" t="n">
        <v>221.36</v>
      </c>
      <c r="Q21" s="184">
        <f>IF(OR(N21="",P21=""),"",ROUND((P21-N21)/N21,4))</f>
        <v/>
      </c>
      <c r="R21" s="177">
        <f>IF(OR(N21="",P21=""),"",IF(Q21&gt;Settings!$B$3/100,"UP",IF(Q21&lt;-Settings!$B$3/100,"DOWN","FLAT")))</f>
        <v/>
      </c>
      <c r="S21" s="177">
        <f>IF(OR(N21="",P21="",J21=""),"",IF(OR(AND(J21="BUY",R21="UP"),AND(J21="SELL",R21="DOWN"),AND(J21="HOLD",R21="FLAT")),"YES","NO"))</f>
        <v/>
      </c>
      <c r="T21" s="176">
        <f>IF(J21="","",IF(J21="BUY",1,IF(J21="SELL",-1,0)))</f>
        <v/>
      </c>
      <c r="U21" s="184">
        <f>IFERROR(IF(OR(J21="",N21="",P21=""),"",IF(T21=0,0,T21*Q21-Settings!$B$4/10000-IF(T21&lt;0,Settings!$B$5/10000,0))),"")</f>
        <v/>
      </c>
      <c r="V21" s="152" t="inlineStr">
        <is>
          <t>Good progress on the 737 programme though 777X production delayed; US Space Force contract secured; KPIs being met and demand still strong; finances healthier; supply chain still tough but stable. Steady tone.</t>
        </is>
      </c>
      <c r="W21" s="176">
        <f>IF($K21="","",$K21*60)</f>
        <v/>
      </c>
      <c r="X21" s="186">
        <f>IF($A21="","",$A21&amp;"|"&amp;$C21&amp;"|"&amp;$D21)</f>
        <v/>
      </c>
      <c r="Y21" s="186">
        <f>IFERROR(IF($X21="","",INDEX(LLM_Data_Entry!$H$3:$H$548,MATCH($X21,INDEX(LLM_Data_Entry!$A$3:$A$548&amp;"|"&amp;LLM_Data_Entry!$C$3:$C$548&amp;"|"&amp;LLM_Data_Entry!$D$3:$D$548,0),0))),"")</f>
        <v/>
      </c>
      <c r="Z21" s="186">
        <f>IFERROR(IF($X21="","",INDEX(LLM_Data_Entry!$R$3:$R$548,MATCH($X21,INDEX(LLM_Data_Entry!$A$3:$A$548&amp;"|"&amp;LLM_Data_Entry!$C$3:$C$548&amp;"|"&amp;LLM_Data_Entry!$D$3:$D$548,0),0))),"")</f>
        <v/>
      </c>
      <c r="AA21" s="152" t="n"/>
      <c r="AB21" s="152" t="inlineStr">
        <is>
          <t>release time published by the issuer</t>
        </is>
      </c>
      <c r="AC21" s="152" t="inlineStr">
        <is>
          <t>BA</t>
        </is>
      </c>
      <c r="AD21" s="152" t="inlineStr">
        <is>
          <t>2025-10-28</t>
        </is>
      </c>
      <c r="AE21" s="152" t="n">
        <v>223.33</v>
      </c>
      <c r="AF21" s="152" t="inlineStr">
        <is>
          <t>2025-10-29</t>
        </is>
      </c>
      <c r="AG21" s="152" t="n">
        <v>221.36</v>
      </c>
      <c r="AH21" s="152" t="n">
        <v>-0.008821031578193405</v>
      </c>
      <c r="AI21" s="152" t="inlineStr">
        <is>
          <t>FLAT</t>
        </is>
      </c>
      <c r="AJ21" s="152" t="inlineStr">
        <is>
          <t>YES</t>
        </is>
      </c>
      <c r="AK21" s="152" t="n">
        <v>0</v>
      </c>
      <c r="AL21" s="152">
        <f>IF($A21="","",IFERROR(INDEX(Company_List!$G$3:$G$207,MATCH($A21,Company_List!$A$3:$A$207,0)),"unassigned"))</f>
        <v/>
      </c>
      <c r="AM21" s="152" t="inlineStr">
        <is>
          <t>Phase 2/Boeing/2025-Q3/BA-2025-Q3-press-release-SEC-EX-99-1.htm</t>
        </is>
      </c>
      <c r="AN21" s="152" t="inlineStr">
        <is>
          <t>https://www.sec.gov/Archives/edgar/data/12927/000162828025046915/a202509sep308kprex991.htm</t>
        </is>
      </c>
      <c r="AO21" s="152" t="inlineStr">
        <is>
          <t>manifest</t>
        </is>
      </c>
      <c r="AP21" s="152">
        <f>IF($A21="","",IF(COUNTIFS(LLM_Data_Entry!$A$3:$A$548,$A21)&gt;0,"YES","NO"))</f>
        <v/>
      </c>
      <c r="AQ21" s="152">
        <f>IF($A21="","",IF(COUNTIFS($A$3:$A21,$A21,$C$3:$C21,$C21,$D$3:$D21,$D21)=1,"YES","NO"))</f>
        <v/>
      </c>
      <c r="AR21" s="152">
        <f>IF($A21="","",IF(AND($C21&amp;"-"&amp;$D21&gt;=Settings!$B$19,$C21&amp;"-"&amp;$D21&lt;=Settings!$B$20),"IN","OUT"))</f>
        <v/>
      </c>
      <c r="AS21" s="152">
        <f>IF($A21="","",IF($F21="Financial Results","financials",IF($F21="Outlook/Guidance","guidance",IF($F21="Transcript Q&amp;A","qanda",IF($F21="","unrecorded",IF($E21="All","full",IF($E21="","unrecorded",LOWER($E21)&amp;" only")))))))</f>
        <v/>
      </c>
      <c r="AT21" s="152">
        <f>IF(AND(OR($J21="BUY",$J21="SELL"),ISNUMBER($U21)),$U21,"")</f>
        <v/>
      </c>
      <c r="AU21" s="152">
        <f>IF(AND(OR($J21="BUY",$J21="SELL"),ISNUMBER($AK21)),$AK21,"")</f>
        <v/>
      </c>
      <c r="AV21" s="152">
        <f>IF(ISNUMBER($AT21),ABS(IF(ISNUMBER($I21),$I21,0)-Settings!$B$24),"")</f>
        <v/>
      </c>
      <c r="AW21" s="152">
        <f>IF(ISNUMBER($AV21),$AV21*$AT21,"")</f>
        <v/>
      </c>
      <c r="AX21" s="152">
        <f>IF(ISNUMBER($AU21),ABS(IF(ISNUMBER($I21),$I21,0)-Settings!$B$24),"")</f>
        <v/>
      </c>
      <c r="AY21" s="152" t="inlineStr">
        <is>
          <t>FROZEN</t>
        </is>
      </c>
      <c r="AZ21" s="152">
        <f>IF($A21="","",IFERROR(INDEX(Company_List!$H$3:$H$207,MATCH($A21,Company_List!$A$3:$A$207,0)),"unassigned"))</f>
        <v/>
      </c>
      <c r="BA21" s="152" t="n"/>
      <c r="BB21" s="152" t="n"/>
      <c r="BC21" s="152">
        <f>IF($A21="","",IF(COUNTIFS($A$3:$A21,$A21,$C$3:$C21,$C21,$D$3:$D21,$D21,$G$3:$G21,$G21)=1,1,0))</f>
        <v/>
      </c>
      <c r="BD21" s="152" t="n"/>
      <c r="BE21" s="152" t="n"/>
      <c r="BF21" s="152" t="n"/>
      <c r="BG21" s="152" t="inlineStr">
        <is>
          <t>no</t>
        </is>
      </c>
      <c r="BH21" s="152" t="n"/>
      <c r="BI21" s="152" t="n"/>
      <c r="BJ21" s="152" t="n"/>
      <c r="BK21" s="152">
        <f>IF(OR($H21&lt;&gt;"Human",$S21="",$J21="",$Y21="",$Z21=""),"",IF(EXACT(UPPER($J21),UPPER($Y21)),1,0))</f>
        <v/>
      </c>
      <c r="BL21" s="152" t="inlineStr">
        <is>
          <t>assumed - no rater record</t>
        </is>
      </c>
      <c r="BM21" s="152" t="n">
        <v>1</v>
      </c>
      <c r="BN21" s="152" t="inlineStr">
        <is>
          <t>not publisher-identified</t>
        </is>
      </c>
      <c r="BO21" s="152" t="inlineStr">
        <is>
          <t>not publisher-identified</t>
        </is>
      </c>
      <c r="BP21" s="152" t="inlineStr">
        <is>
          <t>no</t>
        </is>
      </c>
      <c r="BQ21" s="152" t="inlineStr">
        <is>
          <t>yes</t>
        </is>
      </c>
      <c r="BR21" s="152" t="n"/>
      <c r="BS21" s="152" t="inlineStr">
        <is>
          <t>YES</t>
        </is>
      </c>
      <c r="BT21" s="152" t="n"/>
    </row>
    <row r="22" ht="15" customHeight="1" s="241">
      <c r="A22" s="174" t="inlineStr">
        <is>
          <t>Boeing</t>
        </is>
      </c>
      <c r="B22" s="175">
        <f>IF(A22="","",_xlfn.XLOOKUP(A22, Company_List!$A:$A, Company_List!$B:$B, ""))</f>
        <v/>
      </c>
      <c r="C22" s="176" t="n">
        <v>2025</v>
      </c>
      <c r="D22" s="177" t="inlineStr">
        <is>
          <t>Q4</t>
        </is>
      </c>
      <c r="E22" s="178" t="inlineStr">
        <is>
          <t>All</t>
        </is>
      </c>
      <c r="F22" s="178" t="inlineStr">
        <is>
          <t>All</t>
        </is>
      </c>
      <c r="G22" s="177" t="inlineStr">
        <is>
          <t>Nigel</t>
        </is>
      </c>
      <c r="H22" s="177" t="inlineStr">
        <is>
          <t>Human</t>
        </is>
      </c>
      <c r="I22" s="179" t="n">
        <v>0.7</v>
      </c>
      <c r="J22" s="180">
        <f>IF(OR(I22="",Settings!$B$6=""),"",IF(I22&gt;Settings!$B$6,"BUY",IF(I22&lt;-Settings!$B$6,"SELL","HOLD")))</f>
        <v/>
      </c>
      <c r="K22" s="181" t="n">
        <v>18</v>
      </c>
      <c r="L22" s="182" t="n">
        <v>46049</v>
      </c>
      <c r="M22" s="182" t="n">
        <v>46048</v>
      </c>
      <c r="N22" s="179" t="n">
        <v>248.43</v>
      </c>
      <c r="O22" s="182" t="n">
        <v>46049</v>
      </c>
      <c r="P22" s="183" t="n">
        <v>242.5</v>
      </c>
      <c r="Q22" s="184">
        <f>IF(OR(N22="",P22=""),"",ROUND((P22-N22)/N22,4))</f>
        <v/>
      </c>
      <c r="R22" s="177">
        <f>IF(OR(N22="",P22=""),"",IF(Q22&gt;Settings!$B$3/100,"UP",IF(Q22&lt;-Settings!$B$3/100,"DOWN","FLAT")))</f>
        <v/>
      </c>
      <c r="S22" s="177">
        <f>IF(OR(N22="",P22="",J22=""),"",IF(OR(AND(J22="BUY",R22="UP"),AND(J22="SELL",R22="DOWN"),AND(J22="HOLD",R22="FLAT")),"YES","NO"))</f>
        <v/>
      </c>
      <c r="T22" s="176">
        <f>IF(J22="","",IF(J22="BUY",1,IF(J22="SELL",-1,0)))</f>
        <v/>
      </c>
      <c r="U22" s="184">
        <f>IFERROR(IF(OR(J22="",N22="",P22=""),"",IF(T22=0,0,T22*Q22-Settings!$B$4/10000-IF(T22&lt;0,Settings!$B$5/10000,0))),"")</f>
        <v/>
      </c>
      <c r="V22" s="152" t="inlineStr">
        <is>
          <t>Highest order totals and good progress on delivery plans; leaner production and supply chain; KPIs being met; further defence deals secured; Jeppesen sale completed; finances healthy. Confident tone.</t>
        </is>
      </c>
      <c r="W22" s="176">
        <f>IF($K22="","",$K22*60)</f>
        <v/>
      </c>
      <c r="X22" s="186">
        <f>IF($A22="","",$A22&amp;"|"&amp;$C22&amp;"|"&amp;$D22)</f>
        <v/>
      </c>
      <c r="Y22" s="186">
        <f>IFERROR(IF($X22="","",INDEX(LLM_Data_Entry!$H$3:$H$548,MATCH($X22,INDEX(LLM_Data_Entry!$A$3:$A$548&amp;"|"&amp;LLM_Data_Entry!$C$3:$C$548&amp;"|"&amp;LLM_Data_Entry!$D$3:$D$548,0),0))),"")</f>
        <v/>
      </c>
      <c r="Z22" s="186">
        <f>IFERROR(IF($X22="","",INDEX(LLM_Data_Entry!$R$3:$R$548,MATCH($X22,INDEX(LLM_Data_Entry!$A$3:$A$548&amp;"|"&amp;LLM_Data_Entry!$C$3:$C$548&amp;"|"&amp;LLM_Data_Entry!$D$3:$D$548,0),0))),"")</f>
        <v/>
      </c>
      <c r="AA22" s="152" t="n"/>
      <c r="AB22" s="152" t="inlineStr">
        <is>
          <t>recorded price identified against every pulled series</t>
        </is>
      </c>
      <c r="AC22" s="152" t="inlineStr">
        <is>
          <t>BA</t>
        </is>
      </c>
      <c r="AD22" s="152" t="inlineStr">
        <is>
          <t>2026-01-26</t>
        </is>
      </c>
      <c r="AE22" s="152" t="n">
        <v>248.43</v>
      </c>
      <c r="AF22" s="152" t="inlineStr">
        <is>
          <t>2026-01-27</t>
        </is>
      </c>
      <c r="AG22" s="152" t="n">
        <v>242.5</v>
      </c>
      <c r="AH22" s="152" t="n">
        <v>-0.02386987548641116</v>
      </c>
      <c r="AI22" s="152" t="inlineStr">
        <is>
          <t>DOWN</t>
        </is>
      </c>
      <c r="AJ22" s="152" t="inlineStr">
        <is>
          <t>NO</t>
        </is>
      </c>
      <c r="AK22" s="152" t="n">
        <v>-0.02487</v>
      </c>
      <c r="AL22" s="152">
        <f>IF($A22="","",IFERROR(INDEX(Company_List!$G$3:$G$207,MATCH($A22,Company_List!$A$3:$A$207,0)),"unassigned"))</f>
        <v/>
      </c>
      <c r="AM22" s="152" t="inlineStr">
        <is>
          <t>Phase 2/Boeing/2025-Q4/BA-2025-Q4-press-release-SEC-EX-99-1.htm</t>
        </is>
      </c>
      <c r="AN22" s="152" t="inlineStr">
        <is>
          <t>https://www.sec.gov/Archives/edgar/data/12927/000162828026003518/a202512dec318kprex991.htm</t>
        </is>
      </c>
      <c r="AO22" s="152" t="inlineStr">
        <is>
          <t>manifest</t>
        </is>
      </c>
      <c r="AP22" s="152">
        <f>IF($A22="","",IF(COUNTIFS(LLM_Data_Entry!$A$3:$A$548,$A22)&gt;0,"YES","NO"))</f>
        <v/>
      </c>
      <c r="AQ22" s="152">
        <f>IF($A22="","",IF(COUNTIFS($A$3:$A22,$A22,$C$3:$C22,$C22,$D$3:$D22,$D22)=1,"YES","NO"))</f>
        <v/>
      </c>
      <c r="AR22" s="152">
        <f>IF($A22="","",IF(AND($C22&amp;"-"&amp;$D22&gt;=Settings!$B$19,$C22&amp;"-"&amp;$D22&lt;=Settings!$B$20),"IN","OUT"))</f>
        <v/>
      </c>
      <c r="AS22" s="152">
        <f>IF($A22="","",IF($F22="Financial Results","financials",IF($F22="Outlook/Guidance","guidance",IF($F22="Transcript Q&amp;A","qanda",IF($F22="","unrecorded",IF($E22="All","full",IF($E22="","unrecorded",LOWER($E22)&amp;" only")))))))</f>
        <v/>
      </c>
      <c r="AT22" s="152">
        <f>IF(AND(OR($J22="BUY",$J22="SELL"),ISNUMBER($U22)),$U22,"")</f>
        <v/>
      </c>
      <c r="AU22" s="152">
        <f>IF(AND(OR($J22="BUY",$J22="SELL"),ISNUMBER($AK22)),$AK22,"")</f>
        <v/>
      </c>
      <c r="AV22" s="152">
        <f>IF(ISNUMBER($AT22),ABS(IF(ISNUMBER($I22),$I22,0)-Settings!$B$24),"")</f>
        <v/>
      </c>
      <c r="AW22" s="152">
        <f>IF(ISNUMBER($AV22),$AV22*$AT22,"")</f>
        <v/>
      </c>
      <c r="AX22" s="152">
        <f>IF(ISNUMBER($AU22),ABS(IF(ISNUMBER($I22),$I22,0)-Settings!$B$24),"")</f>
        <v/>
      </c>
      <c r="AY22" s="152" t="inlineStr">
        <is>
          <t>FROZEN</t>
        </is>
      </c>
      <c r="AZ22" s="152">
        <f>IF($A22="","",IFERROR(INDEX(Company_List!$H$3:$H$207,MATCH($A22,Company_List!$A$3:$A$207,0)),"unassigned"))</f>
        <v/>
      </c>
      <c r="BA22" s="152" t="n"/>
      <c r="BB22" s="152" t="n"/>
      <c r="BC22" s="152">
        <f>IF($A22="","",IF(COUNTIFS($A$3:$A22,$A22,$C$3:$C22,$C22,$D$3:$D22,$D22,$G$3:$G22,$G22)=1,1,0))</f>
        <v/>
      </c>
      <c r="BD22" s="152" t="n"/>
      <c r="BE22" s="152" t="n"/>
      <c r="BF22" s="152" t="n"/>
      <c r="BG22" s="152" t="inlineStr">
        <is>
          <t>no</t>
        </is>
      </c>
      <c r="BH22" s="152" t="n"/>
      <c r="BI22" s="152" t="n"/>
      <c r="BJ22" s="152" t="n"/>
      <c r="BK22" s="152">
        <f>IF(OR($H22&lt;&gt;"Human",$S22="",$J22="",$Y22="",$Z22=""),"",IF(EXACT(UPPER($J22),UPPER($Y22)),1,0))</f>
        <v/>
      </c>
      <c r="BL22" s="152" t="inlineStr">
        <is>
          <t>assumed - no rater record</t>
        </is>
      </c>
      <c r="BM22" s="152" t="n">
        <v>1</v>
      </c>
      <c r="BN22" s="152" t="inlineStr">
        <is>
          <t>not publisher-identified</t>
        </is>
      </c>
      <c r="BO22" s="152" t="inlineStr">
        <is>
          <t>not publisher-identified</t>
        </is>
      </c>
      <c r="BP22" s="152" t="inlineStr">
        <is>
          <t>no</t>
        </is>
      </c>
      <c r="BQ22" s="152" t="inlineStr">
        <is>
          <t>yes</t>
        </is>
      </c>
      <c r="BR22" s="152" t="n"/>
      <c r="BS22" s="152" t="inlineStr">
        <is>
          <t>YES</t>
        </is>
      </c>
      <c r="BT22" s="152" t="n"/>
    </row>
    <row r="23" ht="15" customHeight="1" s="241">
      <c r="A23" s="174" t="inlineStr">
        <is>
          <t>Disney</t>
        </is>
      </c>
      <c r="B23" s="175">
        <f>IF(A23="","",_xlfn.XLOOKUP(A23, Company_List!$A:$A, Company_List!$B:$B, ""))</f>
        <v/>
      </c>
      <c r="C23" s="176" t="n">
        <v>2025</v>
      </c>
      <c r="D23" s="177" t="inlineStr">
        <is>
          <t>Q1</t>
        </is>
      </c>
      <c r="E23" s="178" t="inlineStr">
        <is>
          <t>All</t>
        </is>
      </c>
      <c r="F23" s="178" t="inlineStr">
        <is>
          <t>All</t>
        </is>
      </c>
      <c r="G23" s="177" t="inlineStr">
        <is>
          <t>Meriem</t>
        </is>
      </c>
      <c r="H23" s="177" t="inlineStr">
        <is>
          <t>Human</t>
        </is>
      </c>
      <c r="I23" s="179" t="n">
        <v>0.4</v>
      </c>
      <c r="J23" s="180">
        <f>IF(OR(I23="",Settings!$B$6=""),"",IF(I23&gt;Settings!$B$6,"BUY",IF(I23&lt;-Settings!$B$6,"SELL","HOLD")))</f>
        <v/>
      </c>
      <c r="K23" s="181" t="n">
        <v>60</v>
      </c>
      <c r="L23" s="182" t="n">
        <v>45693</v>
      </c>
      <c r="M23" s="182" t="n">
        <v>45692</v>
      </c>
      <c r="N23" s="179" t="n">
        <v>113.3</v>
      </c>
      <c r="O23" s="182" t="n">
        <v>45693</v>
      </c>
      <c r="P23" s="183" t="n">
        <v>115.7</v>
      </c>
      <c r="Q23" s="184">
        <f>IF(OR(N23="",P23=""),"",ROUND((P23-N23)/N23,4))</f>
        <v/>
      </c>
      <c r="R23" s="177">
        <f>IF(OR(N23="",P23=""),"",IF(Q23&gt;Settings!$B$3/100,"UP",IF(Q23&lt;-Settings!$B$3/100,"DOWN","FLAT")))</f>
        <v/>
      </c>
      <c r="S23" s="177">
        <f>IF(OR(N23="",P23="",J23=""),"",IF(OR(AND(J23="BUY",R23="UP"),AND(J23="SELL",R23="DOWN"),AND(J23="HOLD",R23="FLAT")),"YES","NO"))</f>
        <v/>
      </c>
      <c r="T23" s="176">
        <f>IF(J23="","",IF(J23="BUY",1,IF(J23="SELL",-1,0)))</f>
        <v/>
      </c>
      <c r="U23" s="184">
        <f>IFERROR(IF(OR(J23="",N23="",P23=""),"",IF(T23=0,0,T23*Q23-Settings!$B$4/10000-IF(T23&lt;0,Settings!$B$5/10000,0))),"")</f>
        <v/>
      </c>
      <c r="V23" s="185" t="n"/>
      <c r="W23" s="176">
        <f>IF($K23="","",$K23*60)</f>
        <v/>
      </c>
      <c r="X23" s="186">
        <f>IF($A23="","",$A23&amp;"|"&amp;$C23&amp;"|"&amp;$D23)</f>
        <v/>
      </c>
      <c r="Y23" s="186">
        <f>IFERROR(IF($X23="","",INDEX(LLM_Data_Entry!$H$3:$H$548,MATCH($X23,INDEX(LLM_Data_Entry!$A$3:$A$548&amp;"|"&amp;LLM_Data_Entry!$C$3:$C$548&amp;"|"&amp;LLM_Data_Entry!$D$3:$D$548,0),0))),"")</f>
        <v/>
      </c>
      <c r="Z23" s="186">
        <f>IFERROR(IF($X23="","",INDEX(LLM_Data_Entry!$R$3:$R$548,MATCH($X23,INDEX(LLM_Data_Entry!$A$3:$A$548&amp;"|"&amp;LLM_Data_Entry!$C$3:$C$548&amp;"|"&amp;LLM_Data_Entry!$D$3:$D$548,0),0))),"")</f>
        <v/>
      </c>
      <c r="AA23" s="152" t="n"/>
      <c r="AB23" s="152" t="inlineStr">
        <is>
          <t>release date + stated time</t>
        </is>
      </c>
      <c r="AC23" s="152" t="inlineStr">
        <is>
          <t>DIS</t>
        </is>
      </c>
      <c r="AD23" s="152" t="inlineStr">
        <is>
          <t>2025-02-04</t>
        </is>
      </c>
      <c r="AE23" s="152" t="n">
        <v>111.2086</v>
      </c>
      <c r="AF23" s="152" t="inlineStr">
        <is>
          <t>2025-02-05</t>
        </is>
      </c>
      <c r="AG23" s="152" t="n">
        <v>113.5643</v>
      </c>
      <c r="AH23" s="152" t="n">
        <v>0.02118258778095112</v>
      </c>
      <c r="AI23" s="152" t="inlineStr">
        <is>
          <t>UP</t>
        </is>
      </c>
      <c r="AJ23" s="152" t="inlineStr">
        <is>
          <t>YES</t>
        </is>
      </c>
      <c r="AK23" s="152" t="n">
        <v>0.020183</v>
      </c>
      <c r="AL23" s="152">
        <f>IF($A23="","",IFERROR(INDEX(Company_List!$G$3:$G$207,MATCH($A23,Company_List!$A$3:$A$207,0)),"unassigned"))</f>
        <v/>
      </c>
      <c r="AM23" s="152" t="inlineStr">
        <is>
          <t>Phase 2/Disney/q1-fy25-earnings-transcriptpdf.pdf</t>
        </is>
      </c>
      <c r="AN23" s="152" t="n"/>
      <c r="AO23" s="152" t="inlineStr">
        <is>
          <t>unique filename match</t>
        </is>
      </c>
      <c r="AP23" s="152">
        <f>IF($A23="","",IF(COUNTIFS(LLM_Data_Entry!$A$3:$A$548,$A23)&gt;0,"YES","NO"))</f>
        <v/>
      </c>
      <c r="AQ23" s="152">
        <f>IF($A23="","",IF(COUNTIFS($A$3:$A23,$A23,$C$3:$C23,$C23,$D$3:$D23,$D23)=1,"YES","NO"))</f>
        <v/>
      </c>
      <c r="AR23" s="152">
        <f>IF($A23="","",IF(AND($C23&amp;"-"&amp;$D23&gt;=Settings!$B$19,$C23&amp;"-"&amp;$D23&lt;=Settings!$B$20),"IN","OUT"))</f>
        <v/>
      </c>
      <c r="AS23" s="152">
        <f>IF($A23="","",IF($F23="Financial Results","financials",IF($F23="Outlook/Guidance","guidance",IF($F23="Transcript Q&amp;A","qanda",IF($F23="","unrecorded",IF($E23="All","full",IF($E23="","unrecorded",LOWER($E23)&amp;" only")))))))</f>
        <v/>
      </c>
      <c r="AT23" s="152">
        <f>IF(AND(OR($J23="BUY",$J23="SELL"),ISNUMBER($U23)),$U23,"")</f>
        <v/>
      </c>
      <c r="AU23" s="152">
        <f>IF(AND(OR($J23="BUY",$J23="SELL"),ISNUMBER($AK23)),$AK23,"")</f>
        <v/>
      </c>
      <c r="AV23" s="152">
        <f>IF(ISNUMBER($AT23),ABS(IF(ISNUMBER($I23),$I23,0)-Settings!$B$24),"")</f>
        <v/>
      </c>
      <c r="AW23" s="152">
        <f>IF(ISNUMBER($AV23),$AV23*$AT23,"")</f>
        <v/>
      </c>
      <c r="AX23" s="152">
        <f>IF(ISNUMBER($AU23),ABS(IF(ISNUMBER($I23),$I23,0)-Settings!$B$24),"")</f>
        <v/>
      </c>
      <c r="AY23" s="152" t="inlineStr">
        <is>
          <t>FROZEN</t>
        </is>
      </c>
      <c r="AZ23" s="152">
        <f>IF($A23="","",IFERROR(INDEX(Company_List!$H$3:$H$207,MATCH($A23,Company_List!$A$3:$A$207,0)),"unassigned"))</f>
        <v/>
      </c>
      <c r="BA23" s="152" t="n"/>
      <c r="BB23" s="152" t="n"/>
      <c r="BC23" s="152">
        <f>IF($A23="","",IF(COUNTIFS($A$3:$A23,$A23,$C$3:$C23,$C23,$D$3:$D23,$D23,$G$3:$G23,$G23)=1,1,0))</f>
        <v/>
      </c>
      <c r="BD23" s="152" t="n"/>
      <c r="BE23" s="152" t="n"/>
      <c r="BF23" s="152" t="n"/>
      <c r="BG23" s="152" t="inlineStr">
        <is>
          <t>no</t>
        </is>
      </c>
      <c r="BH23" s="152" t="n"/>
      <c r="BI23" s="152" t="n"/>
      <c r="BJ23" s="152" t="n"/>
      <c r="BK23" s="152">
        <f>IF(OR($H23&lt;&gt;"Human",$S23="",$J23="",$Y23="",$Z23=""),"",IF(EXACT(UPPER($J23),UPPER($Y23)),1,0))</f>
        <v/>
      </c>
      <c r="BL23" s="152" t="inlineStr">
        <is>
          <t>assumed - no rater record</t>
        </is>
      </c>
      <c r="BM23" s="152" t="n">
        <v>1</v>
      </c>
      <c r="BN23" s="152" t="inlineStr">
        <is>
          <t>The Motley Fool</t>
        </is>
      </c>
      <c r="BO23" s="152" t="inlineStr">
        <is>
          <t>free to read, copyright asserted</t>
        </is>
      </c>
      <c r="BP23" s="152" t="inlineStr">
        <is>
          <t>no</t>
        </is>
      </c>
      <c r="BQ23" s="152" t="inlineStr">
        <is>
          <t>no</t>
        </is>
      </c>
      <c r="BR23" s="152" t="n"/>
      <c r="BS23" s="152" t="inlineStr">
        <is>
          <t>YES</t>
        </is>
      </c>
      <c r="BT23" s="152" t="n"/>
    </row>
    <row r="24" ht="15" customHeight="1" s="241">
      <c r="A24" s="174" t="inlineStr">
        <is>
          <t>Disney</t>
        </is>
      </c>
      <c r="B24" s="175">
        <f>IF(A24="","",_xlfn.XLOOKUP(A24, Company_List!$A:$A, Company_List!$B:$B, ""))</f>
        <v/>
      </c>
      <c r="C24" s="176" t="n">
        <v>2025</v>
      </c>
      <c r="D24" s="177" t="inlineStr">
        <is>
          <t>Q3</t>
        </is>
      </c>
      <c r="E24" s="178" t="inlineStr">
        <is>
          <t>All</t>
        </is>
      </c>
      <c r="F24" s="178" t="inlineStr">
        <is>
          <t>All</t>
        </is>
      </c>
      <c r="G24" s="177" t="inlineStr">
        <is>
          <t>Meriem</t>
        </is>
      </c>
      <c r="H24" s="177" t="inlineStr">
        <is>
          <t>Human</t>
        </is>
      </c>
      <c r="I24" s="179" t="n">
        <v>0.5</v>
      </c>
      <c r="J24" s="180">
        <f>IF(OR(I24="",Settings!$B$6=""),"",IF(I24&gt;Settings!$B$6,"BUY",IF(I24&lt;-Settings!$B$6,"SELL","HOLD")))</f>
        <v/>
      </c>
      <c r="K24" s="181" t="n">
        <v>45</v>
      </c>
      <c r="L24" s="182" t="n">
        <v>45875</v>
      </c>
      <c r="M24" s="182" t="n">
        <v>45874</v>
      </c>
      <c r="N24" s="179" t="n">
        <v>118.32</v>
      </c>
      <c r="O24" s="182" t="n">
        <v>45875</v>
      </c>
      <c r="P24" s="183" t="n">
        <v>115.78</v>
      </c>
      <c r="Q24" s="184">
        <f>IF(OR(N24="",P24=""),"",ROUND((P24-N24)/N24,4))</f>
        <v/>
      </c>
      <c r="R24" s="177">
        <f>IF(OR(N24="",P24=""),"",IF(Q24&gt;Settings!$B$3/100,"UP",IF(Q24&lt;-Settings!$B$3/100,"DOWN","FLAT")))</f>
        <v/>
      </c>
      <c r="S24" s="177">
        <f>IF(OR(N24="",P24="",J24=""),"",IF(OR(AND(J24="BUY",R24="UP"),AND(J24="SELL",R24="DOWN"),AND(J24="HOLD",R24="FLAT")),"YES","NO"))</f>
        <v/>
      </c>
      <c r="T24" s="176">
        <f>IF(J24="","",IF(J24="BUY",1,IF(J24="SELL",-1,0)))</f>
        <v/>
      </c>
      <c r="U24" s="184">
        <f>IFERROR(IF(OR(J24="",N24="",P24=""),"",IF(T24=0,0,T24*Q24-Settings!$B$4/10000-IF(T24&lt;0,Settings!$B$5/10000,0))),"")</f>
        <v/>
      </c>
      <c r="V24" s="185" t="n"/>
      <c r="W24" s="176">
        <f>IF($K24="","",$K24*60)</f>
        <v/>
      </c>
      <c r="X24" s="186">
        <f>IF($A24="","",$A24&amp;"|"&amp;$C24&amp;"|"&amp;$D24)</f>
        <v/>
      </c>
      <c r="Y24" s="186">
        <f>IFERROR(IF($X24="","",INDEX(LLM_Data_Entry!$H$3:$H$548,MATCH($X24,INDEX(LLM_Data_Entry!$A$3:$A$548&amp;"|"&amp;LLM_Data_Entry!$C$3:$C$548&amp;"|"&amp;LLM_Data_Entry!$D$3:$D$548,0),0))),"")</f>
        <v/>
      </c>
      <c r="Z24" s="186">
        <f>IFERROR(IF($X24="","",INDEX(LLM_Data_Entry!$R$3:$R$548,MATCH($X24,INDEX(LLM_Data_Entry!$A$3:$A$548&amp;"|"&amp;LLM_Data_Entry!$C$3:$C$548&amp;"|"&amp;LLM_Data_Entry!$D$3:$D$548,0),0))),"")</f>
        <v/>
      </c>
      <c r="AA24" s="152" t="n"/>
      <c r="AB24" s="152" t="inlineStr">
        <is>
          <t>price signal — only this window shows an abnormal move</t>
        </is>
      </c>
      <c r="AC24" s="152" t="inlineStr">
        <is>
          <t>DIS</t>
        </is>
      </c>
      <c r="AD24" s="152" t="inlineStr">
        <is>
          <t>2025-08-05</t>
        </is>
      </c>
      <c r="AE24" s="152" t="n">
        <v>116.6312</v>
      </c>
      <c r="AF24" s="152" t="inlineStr">
        <is>
          <t>2025-08-06</t>
        </is>
      </c>
      <c r="AG24" s="152" t="n">
        <v>114.1274</v>
      </c>
      <c r="AH24" s="152" t="n">
        <v>-0.02146729710397124</v>
      </c>
      <c r="AI24" s="152" t="inlineStr">
        <is>
          <t>DOWN</t>
        </is>
      </c>
      <c r="AJ24" s="152" t="inlineStr">
        <is>
          <t>NO</t>
        </is>
      </c>
      <c r="AK24" s="152" t="n">
        <v>-0.022467</v>
      </c>
      <c r="AL24" s="152">
        <f>IF($A24="","",IFERROR(INDEX(Company_List!$G$3:$G$207,MATCH($A24,Company_List!$A$3:$A$207,0)),"unassigned"))</f>
        <v/>
      </c>
      <c r="AM24" s="152" t="inlineStr">
        <is>
          <t>Phase 2/Disney/q3-fy25-earnings-transcript.pdf</t>
        </is>
      </c>
      <c r="AN24" s="152" t="n"/>
      <c r="AO24" s="152" t="inlineStr">
        <is>
          <t>unique filename match</t>
        </is>
      </c>
      <c r="AP24" s="152">
        <f>IF($A24="","",IF(COUNTIFS(LLM_Data_Entry!$A$3:$A$548,$A24)&gt;0,"YES","NO"))</f>
        <v/>
      </c>
      <c r="AQ24" s="152">
        <f>IF($A24="","",IF(COUNTIFS($A$3:$A24,$A24,$C$3:$C24,$C24,$D$3:$D24,$D24)=1,"YES","NO"))</f>
        <v/>
      </c>
      <c r="AR24" s="152">
        <f>IF($A24="","",IF(AND($C24&amp;"-"&amp;$D24&gt;=Settings!$B$19,$C24&amp;"-"&amp;$D24&lt;=Settings!$B$20),"IN","OUT"))</f>
        <v/>
      </c>
      <c r="AS24" s="152">
        <f>IF($A24="","",IF($F24="Financial Results","financials",IF($F24="Outlook/Guidance","guidance",IF($F24="Transcript Q&amp;A","qanda",IF($F24="","unrecorded",IF($E24="All","full",IF($E24="","unrecorded",LOWER($E24)&amp;" only")))))))</f>
        <v/>
      </c>
      <c r="AT24" s="152">
        <f>IF(AND(OR($J24="BUY",$J24="SELL"),ISNUMBER($U24)),$U24,"")</f>
        <v/>
      </c>
      <c r="AU24" s="152">
        <f>IF(AND(OR($J24="BUY",$J24="SELL"),ISNUMBER($AK24)),$AK24,"")</f>
        <v/>
      </c>
      <c r="AV24" s="152">
        <f>IF(ISNUMBER($AT24),ABS(IF(ISNUMBER($I24),$I24,0)-Settings!$B$24),"")</f>
        <v/>
      </c>
      <c r="AW24" s="152">
        <f>IF(ISNUMBER($AV24),$AV24*$AT24,"")</f>
        <v/>
      </c>
      <c r="AX24" s="152">
        <f>IF(ISNUMBER($AU24),ABS(IF(ISNUMBER($I24),$I24,0)-Settings!$B$24),"")</f>
        <v/>
      </c>
      <c r="AY24" s="152" t="inlineStr">
        <is>
          <t>FROZEN</t>
        </is>
      </c>
      <c r="AZ24" s="152">
        <f>IF($A24="","",IFERROR(INDEX(Company_List!$H$3:$H$207,MATCH($A24,Company_List!$A$3:$A$207,0)),"unassigned"))</f>
        <v/>
      </c>
      <c r="BA24" s="152" t="n"/>
      <c r="BB24" s="152" t="n"/>
      <c r="BC24" s="152">
        <f>IF($A24="","",IF(COUNTIFS($A$3:$A24,$A24,$C$3:$C24,$C24,$D$3:$D24,$D24,$G$3:$G24,$G24)=1,1,0))</f>
        <v/>
      </c>
      <c r="BD24" s="152" t="n"/>
      <c r="BE24" s="152" t="n"/>
      <c r="BF24" s="152" t="n"/>
      <c r="BG24" s="152" t="inlineStr">
        <is>
          <t>no</t>
        </is>
      </c>
      <c r="BH24" s="152" t="n"/>
      <c r="BI24" s="152" t="n"/>
      <c r="BJ24" s="152" t="n"/>
      <c r="BK24" s="152">
        <f>IF(OR($H24&lt;&gt;"Human",$S24="",$J24="",$Y24="",$Z24=""),"",IF(EXACT(UPPER($J24),UPPER($Y24)),1,0))</f>
        <v/>
      </c>
      <c r="BL24" s="152" t="inlineStr">
        <is>
          <t>assumed - no rater record</t>
        </is>
      </c>
      <c r="BM24" s="152" t="n">
        <v>1</v>
      </c>
      <c r="BN24" s="152" t="inlineStr">
        <is>
          <t>not publisher-identified</t>
        </is>
      </c>
      <c r="BO24" s="152" t="inlineStr">
        <is>
          <t>not publisher-identified</t>
        </is>
      </c>
      <c r="BP24" s="152" t="inlineStr">
        <is>
          <t>no</t>
        </is>
      </c>
      <c r="BQ24" s="152" t="inlineStr">
        <is>
          <t>no</t>
        </is>
      </c>
      <c r="BR24" s="152" t="n"/>
      <c r="BS24" s="152" t="inlineStr">
        <is>
          <t>YES</t>
        </is>
      </c>
      <c r="BT24" s="152" t="n"/>
    </row>
    <row r="25" ht="15" customHeight="1" s="241">
      <c r="A25" s="174" t="inlineStr">
        <is>
          <t>Disney</t>
        </is>
      </c>
      <c r="B25" s="175">
        <f>IF(A25="","",_xlfn.XLOOKUP(A25, Company_List!$A:$A, Company_List!$B:$B, ""))</f>
        <v/>
      </c>
      <c r="C25" s="176" t="n">
        <v>2025</v>
      </c>
      <c r="D25" s="177" t="inlineStr">
        <is>
          <t>Q4</t>
        </is>
      </c>
      <c r="E25" s="178" t="inlineStr">
        <is>
          <t>All</t>
        </is>
      </c>
      <c r="F25" s="178" t="inlineStr">
        <is>
          <t>All</t>
        </is>
      </c>
      <c r="G25" s="177" t="inlineStr">
        <is>
          <t>Meriem</t>
        </is>
      </c>
      <c r="H25" s="177" t="inlineStr">
        <is>
          <t>Human</t>
        </is>
      </c>
      <c r="I25" s="179" t="n">
        <v>0.6</v>
      </c>
      <c r="J25" s="180">
        <f>IF(OR(I25="",Settings!$B$6=""),"",IF(I25&gt;Settings!$B$6,"BUY",IF(I25&lt;-Settings!$B$6,"SELL","HOLD")))</f>
        <v/>
      </c>
      <c r="K25" s="181" t="n">
        <v>60</v>
      </c>
      <c r="L25" s="182" t="n">
        <v>45974</v>
      </c>
      <c r="M25" s="182" t="n">
        <v>45973</v>
      </c>
      <c r="N25" s="179" t="n">
        <v>116.65</v>
      </c>
      <c r="O25" s="182" t="n">
        <v>45974</v>
      </c>
      <c r="P25" s="183" t="n">
        <v>108.89</v>
      </c>
      <c r="Q25" s="184">
        <f>IF(OR(N25="",P25=""),"",ROUND((P25-N25)/N25,4))</f>
        <v/>
      </c>
      <c r="R25" s="177">
        <f>IF(OR(N25="",P25=""),"",IF(Q25&gt;Settings!$B$3/100,"UP",IF(Q25&lt;-Settings!$B$3/100,"DOWN","FLAT")))</f>
        <v/>
      </c>
      <c r="S25" s="177">
        <f>IF(OR(N25="",P25="",J25=""),"",IF(OR(AND(J25="BUY",R25="UP"),AND(J25="SELL",R25="DOWN"),AND(J25="HOLD",R25="FLAT")),"YES","NO"))</f>
        <v/>
      </c>
      <c r="T25" s="176">
        <f>IF(J25="","",IF(J25="BUY",1,IF(J25="SELL",-1,0)))</f>
        <v/>
      </c>
      <c r="U25" s="184">
        <f>IFERROR(IF(OR(J25="",N25="",P25=""),"",IF(T25=0,0,T25*Q25-Settings!$B$4/10000-IF(T25&lt;0,Settings!$B$5/10000,0))),"")</f>
        <v/>
      </c>
      <c r="V25" s="185" t="n"/>
      <c r="W25" s="176">
        <f>IF($K25="","",$K25*60)</f>
        <v/>
      </c>
      <c r="X25" s="186">
        <f>IF($A25="","",$A25&amp;"|"&amp;$C25&amp;"|"&amp;$D25)</f>
        <v/>
      </c>
      <c r="Y25" s="186">
        <f>IFERROR(IF($X25="","",INDEX(LLM_Data_Entry!$H$3:$H$548,MATCH($X25,INDEX(LLM_Data_Entry!$A$3:$A$548&amp;"|"&amp;LLM_Data_Entry!$C$3:$C$548&amp;"|"&amp;LLM_Data_Entry!$D$3:$D$548,0),0))),"")</f>
        <v/>
      </c>
      <c r="Z25" s="186">
        <f>IFERROR(IF($X25="","",INDEX(LLM_Data_Entry!$R$3:$R$548,MATCH($X25,INDEX(LLM_Data_Entry!$A$3:$A$548&amp;"|"&amp;LLM_Data_Entry!$C$3:$C$548&amp;"|"&amp;LLM_Data_Entry!$D$3:$D$548,0),0))),"")</f>
        <v/>
      </c>
      <c r="AA25" s="152" t="n"/>
      <c r="AB25" s="152" t="inlineStr">
        <is>
          <t>price signal — only this window shows an abnormal move</t>
        </is>
      </c>
      <c r="AC25" s="152" t="inlineStr">
        <is>
          <t>DIS</t>
        </is>
      </c>
      <c r="AD25" s="152" t="inlineStr">
        <is>
          <t>2025-11-12</t>
        </is>
      </c>
      <c r="AE25" s="152" t="n">
        <v>114.985</v>
      </c>
      <c r="AF25" s="152" t="inlineStr">
        <is>
          <t>2025-11-13</t>
        </is>
      </c>
      <c r="AG25" s="152" t="n">
        <v>107.3358</v>
      </c>
      <c r="AH25" s="152" t="n">
        <v>-0.06652385097677246</v>
      </c>
      <c r="AI25" s="152" t="inlineStr">
        <is>
          <t>DOWN</t>
        </is>
      </c>
      <c r="AJ25" s="152" t="inlineStr">
        <is>
          <t>NO</t>
        </is>
      </c>
      <c r="AK25" s="152" t="n">
        <v>-0.067524</v>
      </c>
      <c r="AL25" s="152">
        <f>IF($A25="","",IFERROR(INDEX(Company_List!$G$3:$G$207,MATCH($A25,Company_List!$A$3:$A$207,0)),"unassigned"))</f>
        <v/>
      </c>
      <c r="AM25" s="152" t="inlineStr">
        <is>
          <t>Phase 2/Disney/q4-fy25-earnings-transcript.pdf</t>
        </is>
      </c>
      <c r="AN25" s="152" t="n"/>
      <c r="AO25" s="152" t="inlineStr">
        <is>
          <t>unique filename match</t>
        </is>
      </c>
      <c r="AP25" s="152">
        <f>IF($A25="","",IF(COUNTIFS(LLM_Data_Entry!$A$3:$A$548,$A25)&gt;0,"YES","NO"))</f>
        <v/>
      </c>
      <c r="AQ25" s="152">
        <f>IF($A25="","",IF(COUNTIFS($A$3:$A25,$A25,$C$3:$C25,$C25,$D$3:$D25,$D25)=1,"YES","NO"))</f>
        <v/>
      </c>
      <c r="AR25" s="152">
        <f>IF($A25="","",IF(AND($C25&amp;"-"&amp;$D25&gt;=Settings!$B$19,$C25&amp;"-"&amp;$D25&lt;=Settings!$B$20),"IN","OUT"))</f>
        <v/>
      </c>
      <c r="AS25" s="152">
        <f>IF($A25="","",IF($F25="Financial Results","financials",IF($F25="Outlook/Guidance","guidance",IF($F25="Transcript Q&amp;A","qanda",IF($F25="","unrecorded",IF($E25="All","full",IF($E25="","unrecorded",LOWER($E25)&amp;" only")))))))</f>
        <v/>
      </c>
      <c r="AT25" s="152">
        <f>IF(AND(OR($J25="BUY",$J25="SELL"),ISNUMBER($U25)),$U25,"")</f>
        <v/>
      </c>
      <c r="AU25" s="152">
        <f>IF(AND(OR($J25="BUY",$J25="SELL"),ISNUMBER($AK25)),$AK25,"")</f>
        <v/>
      </c>
      <c r="AV25" s="152">
        <f>IF(ISNUMBER($AT25),ABS(IF(ISNUMBER($I25),$I25,0)-Settings!$B$24),"")</f>
        <v/>
      </c>
      <c r="AW25" s="152">
        <f>IF(ISNUMBER($AV25),$AV25*$AT25,"")</f>
        <v/>
      </c>
      <c r="AX25" s="152">
        <f>IF(ISNUMBER($AU25),ABS(IF(ISNUMBER($I25),$I25,0)-Settings!$B$24),"")</f>
        <v/>
      </c>
      <c r="AY25" s="152" t="inlineStr">
        <is>
          <t>FROZEN</t>
        </is>
      </c>
      <c r="AZ25" s="152">
        <f>IF($A25="","",IFERROR(INDEX(Company_List!$H$3:$H$207,MATCH($A25,Company_List!$A$3:$A$207,0)),"unassigned"))</f>
        <v/>
      </c>
      <c r="BA25" s="152" t="n"/>
      <c r="BB25" s="152" t="n"/>
      <c r="BC25" s="152">
        <f>IF($A25="","",IF(COUNTIFS($A$3:$A25,$A25,$C$3:$C25,$C25,$D$3:$D25,$D25,$G$3:$G25,$G25)=1,1,0))</f>
        <v/>
      </c>
      <c r="BD25" s="152" t="n"/>
      <c r="BE25" s="152" t="n"/>
      <c r="BF25" s="152" t="n"/>
      <c r="BG25" s="152" t="inlineStr">
        <is>
          <t>no</t>
        </is>
      </c>
      <c r="BH25" s="152" t="n"/>
      <c r="BI25" s="152" t="n"/>
      <c r="BJ25" s="152" t="n"/>
      <c r="BK25" s="152">
        <f>IF(OR($H25&lt;&gt;"Human",$S25="",$J25="",$Y25="",$Z25=""),"",IF(EXACT(UPPER($J25),UPPER($Y25)),1,0))</f>
        <v/>
      </c>
      <c r="BL25" s="152" t="inlineStr">
        <is>
          <t>assumed - no rater record</t>
        </is>
      </c>
      <c r="BM25" s="152" t="n">
        <v>1</v>
      </c>
      <c r="BN25" s="152" t="inlineStr">
        <is>
          <t>not publisher-identified</t>
        </is>
      </c>
      <c r="BO25" s="152" t="inlineStr">
        <is>
          <t>not publisher-identified</t>
        </is>
      </c>
      <c r="BP25" s="152" t="inlineStr">
        <is>
          <t>no</t>
        </is>
      </c>
      <c r="BQ25" s="152" t="inlineStr">
        <is>
          <t>no</t>
        </is>
      </c>
      <c r="BR25" s="152" t="n"/>
      <c r="BS25" s="152" t="inlineStr">
        <is>
          <t>YES</t>
        </is>
      </c>
      <c r="BT25" s="152" t="n"/>
    </row>
    <row r="26" ht="15" customHeight="1" s="241">
      <c r="A26" s="174" t="inlineStr">
        <is>
          <t>Netflix</t>
        </is>
      </c>
      <c r="B26" s="175">
        <f>IF(A26="","",_xlfn.XLOOKUP(A26, Company_List!$A:$A, Company_List!$B:$B, ""))</f>
        <v/>
      </c>
      <c r="C26" s="176" t="n">
        <v>2025</v>
      </c>
      <c r="D26" s="177" t="inlineStr">
        <is>
          <t>Q3</t>
        </is>
      </c>
      <c r="E26" s="178" t="inlineStr">
        <is>
          <t>Transcript</t>
        </is>
      </c>
      <c r="F26" s="178" t="inlineStr">
        <is>
          <t>All</t>
        </is>
      </c>
      <c r="G26" s="177" t="inlineStr">
        <is>
          <t>David</t>
        </is>
      </c>
      <c r="H26" s="177" t="inlineStr">
        <is>
          <t>Human</t>
        </is>
      </c>
      <c r="I26" s="179" t="n">
        <v>0.5</v>
      </c>
      <c r="J26" s="180">
        <f>IF(OR(I26="",Settings!$B$6=""),"",IF(I26&gt;Settings!$B$6,"BUY",IF(I26&lt;-Settings!$B$6,"SELL","HOLD")))</f>
        <v/>
      </c>
      <c r="K26" s="181" t="n">
        <v>62</v>
      </c>
      <c r="L26" s="182" t="n">
        <v>45951</v>
      </c>
      <c r="M26" s="182" t="n">
        <v>45951</v>
      </c>
      <c r="N26" s="179" t="n">
        <v>124.135</v>
      </c>
      <c r="O26" s="182" t="n">
        <v>45952</v>
      </c>
      <c r="P26" s="183" t="n">
        <v>114.29</v>
      </c>
      <c r="Q26" s="184">
        <f>IF(OR(N26="",P26=""),"",ROUND((P26-N26)/N26,4))</f>
        <v/>
      </c>
      <c r="R26" s="177">
        <f>IF(OR(N26="",P26=""),"",IF(Q26&gt;Settings!$B$3/100,"UP",IF(Q26&lt;-Settings!$B$3/100,"DOWN","FLAT")))</f>
        <v/>
      </c>
      <c r="S26" s="177">
        <f>IF(OR(N26="",P26="",J26=""),"",IF(OR(AND(J26="BUY",R26="UP"),AND(J26="SELL",R26="DOWN"),AND(J26="HOLD",R26="FLAT")),"YES","NO"))</f>
        <v/>
      </c>
      <c r="T26" s="176">
        <f>IF(J26="","",IF(J26="BUY",1,IF(J26="SELL",-1,0)))</f>
        <v/>
      </c>
      <c r="U26" s="184">
        <f>IFERROR(IF(OR(J26="",N26="",P26=""),"",IF(T26=0,0,T26*Q26-Settings!$B$4/10000-IF(T26&lt;0,Settings!$B$5/10000,0))),"")</f>
        <v/>
      </c>
      <c r="V26" s="185" t="n"/>
      <c r="W26" s="176">
        <f>IF($K26="","",$K26*60)</f>
        <v/>
      </c>
      <c r="X26" s="186">
        <f>IF($A26="","",$A26&amp;"|"&amp;$C26&amp;"|"&amp;$D26)</f>
        <v/>
      </c>
      <c r="Y26" s="186">
        <f>IFERROR(IF($X26="","",INDEX(LLM_Data_Entry!$H$3:$H$548,MATCH($X26,INDEX(LLM_Data_Entry!$A$3:$A$548&amp;"|"&amp;LLM_Data_Entry!$C$3:$C$548&amp;"|"&amp;LLM_Data_Entry!$D$3:$D$548,0),0))),"")</f>
        <v/>
      </c>
      <c r="Z26" s="186">
        <f>IFERROR(IF($X26="","",INDEX(LLM_Data_Entry!$R$3:$R$548,MATCH($X26,INDEX(LLM_Data_Entry!$A$3:$A$548&amp;"|"&amp;LLM_Data_Entry!$C$3:$C$548&amp;"|"&amp;LLM_Data_Entry!$D$3:$D$548,0),0))),"")</f>
        <v/>
      </c>
      <c r="AA26" s="152" t="n"/>
      <c r="AB26" s="152" t="inlineStr">
        <is>
          <t>release date + stated time in the document (rater worksheet)</t>
        </is>
      </c>
      <c r="AC26" s="152" t="inlineStr">
        <is>
          <t>NFLX</t>
        </is>
      </c>
      <c r="AD26" s="152" t="inlineStr">
        <is>
          <t>2025-10-21</t>
        </is>
      </c>
      <c r="AE26" s="152" t="n">
        <v>124.135</v>
      </c>
      <c r="AF26" s="152" t="inlineStr">
        <is>
          <t>2025-10-22</t>
        </is>
      </c>
      <c r="AG26" s="152" t="n">
        <v>114.29</v>
      </c>
      <c r="AH26" s="152" t="n">
        <v>-0.07930882379169744</v>
      </c>
      <c r="AI26" s="152" t="inlineStr">
        <is>
          <t>DOWN</t>
        </is>
      </c>
      <c r="AJ26" s="152" t="inlineStr">
        <is>
          <t>NO</t>
        </is>
      </c>
      <c r="AK26" s="152" t="n">
        <v>-0.08030900000000001</v>
      </c>
      <c r="AL26" s="152">
        <f>IF($A26="","",IFERROR(INDEX(Company_List!$G$3:$G$207,MATCH($A26,Company_List!$A$3:$A$207,0)),"unassigned"))</f>
        <v/>
      </c>
      <c r="AM26" s="152" t="inlineStr">
        <is>
          <t>Phase 2/Netflix/2025-Q3/NFLX-2025-Q3-press-release-SEC-EX-99-1.htm</t>
        </is>
      </c>
      <c r="AN26" s="152" t="inlineStr">
        <is>
          <t>https://www.sec.gov/Archives/edgar/data/1065280/000106528025000404/ex991_q325.htm</t>
        </is>
      </c>
      <c r="AO26" s="152" t="inlineStr">
        <is>
          <t>manifest</t>
        </is>
      </c>
      <c r="AP26" s="152">
        <f>IF($A26="","",IF(COUNTIFS(LLM_Data_Entry!$A$3:$A$548,$A26)&gt;0,"YES","NO"))</f>
        <v/>
      </c>
      <c r="AQ26" s="152">
        <f>IF($A26="","",IF(COUNTIFS($A$3:$A26,$A26,$C$3:$C26,$C26,$D$3:$D26,$D26)=1,"YES","NO"))</f>
        <v/>
      </c>
      <c r="AR26" s="152">
        <f>IF($A26="","",IF(AND($C26&amp;"-"&amp;$D26&gt;=Settings!$B$19,$C26&amp;"-"&amp;$D26&lt;=Settings!$B$20),"IN","OUT"))</f>
        <v/>
      </c>
      <c r="AS26" s="152">
        <f>IF($A26="","",IF($F26="Financial Results","financials",IF($F26="Outlook/Guidance","guidance",IF($F26="Transcript Q&amp;A","qanda",IF($F26="","unrecorded",IF($E26="All","full",IF($E26="","unrecorded",LOWER($E26)&amp;" only")))))))</f>
        <v/>
      </c>
      <c r="AT26" s="152">
        <f>IF(AND(OR($J26="BUY",$J26="SELL"),ISNUMBER($U26)),$U26,"")</f>
        <v/>
      </c>
      <c r="AU26" s="152">
        <f>IF(AND(OR($J26="BUY",$J26="SELL"),ISNUMBER($AK26)),$AK26,"")</f>
        <v/>
      </c>
      <c r="AV26" s="152">
        <f>IF(ISNUMBER($AT26),ABS(IF(ISNUMBER($I26),$I26,0)-Settings!$B$24),"")</f>
        <v/>
      </c>
      <c r="AW26" s="152">
        <f>IF(ISNUMBER($AV26),$AV26*$AT26,"")</f>
        <v/>
      </c>
      <c r="AX26" s="152">
        <f>IF(ISNUMBER($AU26),ABS(IF(ISNUMBER($I26),$I26,0)-Settings!$B$24),"")</f>
        <v/>
      </c>
      <c r="AY26" s="152" t="inlineStr">
        <is>
          <t>FROZEN</t>
        </is>
      </c>
      <c r="AZ26" s="152">
        <f>IF($A26="","",IFERROR(INDEX(Company_List!$H$3:$H$207,MATCH($A26,Company_List!$A$3:$A$207,0)),"unassigned"))</f>
        <v/>
      </c>
      <c r="BA26" s="152" t="n"/>
      <c r="BB26" s="152" t="n"/>
      <c r="BC26" s="152">
        <f>IF($A26="","",IF(COUNTIFS($A$3:$A26,$A26,$C$3:$C26,$C26,$D$3:$D26,$D26,$G$3:$G26,$G26)=1,1,0))</f>
        <v/>
      </c>
      <c r="BD26" s="152" t="n"/>
      <c r="BE26" s="152" t="n"/>
      <c r="BF26" s="152" t="n"/>
      <c r="BG26" s="152" t="inlineStr">
        <is>
          <t>no</t>
        </is>
      </c>
      <c r="BH26" s="152" t="n"/>
      <c r="BI26" s="152" t="n"/>
      <c r="BJ26" s="152" t="n"/>
      <c r="BK26" s="152">
        <f>IF(OR($H26&lt;&gt;"Human",$S26="",$J26="",$Y26="",$Z26=""),"",IF(EXACT(UPPER($J26),UPPER($Y26)),1,0))</f>
        <v/>
      </c>
      <c r="BL26" s="152" t="inlineStr">
        <is>
          <t>assumed - no rater record</t>
        </is>
      </c>
      <c r="BM26" s="152" t="n">
        <v>1</v>
      </c>
      <c r="BN26" s="152" t="inlineStr">
        <is>
          <t>not publisher-identified</t>
        </is>
      </c>
      <c r="BO26" s="152" t="inlineStr">
        <is>
          <t>not publisher-identified</t>
        </is>
      </c>
      <c r="BP26" s="152" t="inlineStr">
        <is>
          <t>no</t>
        </is>
      </c>
      <c r="BQ26" s="152" t="inlineStr">
        <is>
          <t>yes</t>
        </is>
      </c>
      <c r="BR26" s="152" t="inlineStr">
        <is>
          <t>filled 11 Aug 2026 from the corpus manifest: the company-quarter holds exactly one document and the manifest carries its release date</t>
        </is>
      </c>
      <c r="BS26" s="152" t="inlineStr">
        <is>
          <t>YES</t>
        </is>
      </c>
      <c r="BT26" s="152" t="n"/>
    </row>
    <row r="27" ht="15" customHeight="1" s="241">
      <c r="A27" s="174" t="inlineStr">
        <is>
          <t>Netflix</t>
        </is>
      </c>
      <c r="B27" s="175">
        <f>IF(A27="","",_xlfn.XLOOKUP(A27, Company_List!$A:$A, Company_List!$B:$B, ""))</f>
        <v/>
      </c>
      <c r="C27" s="176" t="n">
        <v>2025</v>
      </c>
      <c r="D27" s="177" t="inlineStr">
        <is>
          <t>Q4</t>
        </is>
      </c>
      <c r="E27" s="178" t="inlineStr">
        <is>
          <t>Transcript</t>
        </is>
      </c>
      <c r="F27" s="178" t="inlineStr">
        <is>
          <t>All</t>
        </is>
      </c>
      <c r="G27" s="177" t="inlineStr">
        <is>
          <t>David</t>
        </is>
      </c>
      <c r="H27" s="177" t="inlineStr">
        <is>
          <t>Human</t>
        </is>
      </c>
      <c r="I27" s="179" t="n">
        <v>0.6</v>
      </c>
      <c r="J27" s="180">
        <f>IF(OR(I27="",Settings!$B$6=""),"",IF(I27&gt;Settings!$B$6,"BUY",IF(I27&lt;-Settings!$B$6,"SELL","HOLD")))</f>
        <v/>
      </c>
      <c r="K27" s="181" t="n">
        <v>60</v>
      </c>
      <c r="L27" s="182" t="n">
        <v>46042</v>
      </c>
      <c r="M27" s="182" t="n">
        <v>46042</v>
      </c>
      <c r="N27" s="179" t="n">
        <v>87.26000000000001</v>
      </c>
      <c r="O27" s="182" t="n">
        <v>46043</v>
      </c>
      <c r="P27" s="183" t="n">
        <v>82.52</v>
      </c>
      <c r="Q27" s="184">
        <f>IF(OR(N27="",P27=""),"",ROUND((P27-N27)/N27,4))</f>
        <v/>
      </c>
      <c r="R27" s="177">
        <f>IF(OR(N27="",P27=""),"",IF(Q27&gt;Settings!$B$3/100,"UP",IF(Q27&lt;-Settings!$B$3/100,"DOWN","FLAT")))</f>
        <v/>
      </c>
      <c r="S27" s="177">
        <f>IF(OR(N27="",P27="",J27=""),"",IF(OR(AND(J27="BUY",R27="UP"),AND(J27="SELL",R27="DOWN"),AND(J27="HOLD",R27="FLAT")),"YES","NO"))</f>
        <v/>
      </c>
      <c r="T27" s="176">
        <f>IF(J27="","",IF(J27="BUY",1,IF(J27="SELL",-1,0)))</f>
        <v/>
      </c>
      <c r="U27" s="184">
        <f>IFERROR(IF(OR(J27="",N27="",P27=""),"",IF(T27=0,0,T27*Q27-Settings!$B$4/10000-IF(T27&lt;0,Settings!$B$5/10000,0))),"")</f>
        <v/>
      </c>
      <c r="V27" s="185" t="n"/>
      <c r="W27" s="176">
        <f>IF($K27="","",$K27*60)</f>
        <v/>
      </c>
      <c r="X27" s="186">
        <f>IF($A27="","",$A27&amp;"|"&amp;$C27&amp;"|"&amp;$D27)</f>
        <v/>
      </c>
      <c r="Y27" s="186">
        <f>IFERROR(IF($X27="","",INDEX(LLM_Data_Entry!$H$3:$H$548,MATCH($X27,INDEX(LLM_Data_Entry!$A$3:$A$548&amp;"|"&amp;LLM_Data_Entry!$C$3:$C$548&amp;"|"&amp;LLM_Data_Entry!$D$3:$D$548,0),0))),"")</f>
        <v/>
      </c>
      <c r="Z27" s="186">
        <f>IFERROR(IF($X27="","",INDEX(LLM_Data_Entry!$R$3:$R$548,MATCH($X27,INDEX(LLM_Data_Entry!$A$3:$A$548&amp;"|"&amp;LLM_Data_Entry!$C$3:$C$548&amp;"|"&amp;LLM_Data_Entry!$D$3:$D$548,0),0))),"")</f>
        <v/>
      </c>
      <c r="AA27" s="152" t="n"/>
      <c r="AB27" s="152" t="inlineStr">
        <is>
          <t>release date + stated time in the document (rater worksheet)</t>
        </is>
      </c>
      <c r="AC27" s="152" t="inlineStr">
        <is>
          <t>NFLX</t>
        </is>
      </c>
      <c r="AD27" s="152" t="inlineStr">
        <is>
          <t>2026-01-20</t>
        </is>
      </c>
      <c r="AE27" s="152" t="n">
        <v>87.26000000000001</v>
      </c>
      <c r="AF27" s="152" t="inlineStr">
        <is>
          <t>2026-01-21</t>
        </is>
      </c>
      <c r="AG27" s="152" t="n">
        <v>82.52</v>
      </c>
      <c r="AH27" s="152" t="n">
        <v>-0.05432047778316572</v>
      </c>
      <c r="AI27" s="152" t="inlineStr">
        <is>
          <t>DOWN</t>
        </is>
      </c>
      <c r="AJ27" s="152" t="inlineStr">
        <is>
          <t>NO</t>
        </is>
      </c>
      <c r="AK27" s="152" t="n">
        <v>-0.05532</v>
      </c>
      <c r="AL27" s="152">
        <f>IF($A27="","",IFERROR(INDEX(Company_List!$G$3:$G$207,MATCH($A27,Company_List!$A$3:$A$207,0)),"unassigned"))</f>
        <v/>
      </c>
      <c r="AM27" s="152" t="inlineStr">
        <is>
          <t>Phase 2/Netflix/2025-Q4/NFLX-2025-Q4-press-release-SEC-EX-99-1.htm</t>
        </is>
      </c>
      <c r="AN27" s="152" t="inlineStr">
        <is>
          <t>https://www.sec.gov/Archives/edgar/data/1065280/000106528026000033/ex991_q425.htm</t>
        </is>
      </c>
      <c r="AO27" s="152" t="inlineStr">
        <is>
          <t>manifest</t>
        </is>
      </c>
      <c r="AP27" s="152">
        <f>IF($A27="","",IF(COUNTIFS(LLM_Data_Entry!$A$3:$A$548,$A27)&gt;0,"YES","NO"))</f>
        <v/>
      </c>
      <c r="AQ27" s="152">
        <f>IF($A27="","",IF(COUNTIFS($A$3:$A27,$A27,$C$3:$C27,$C27,$D$3:$D27,$D27)=1,"YES","NO"))</f>
        <v/>
      </c>
      <c r="AR27" s="152">
        <f>IF($A27="","",IF(AND($C27&amp;"-"&amp;$D27&gt;=Settings!$B$19,$C27&amp;"-"&amp;$D27&lt;=Settings!$B$20),"IN","OUT"))</f>
        <v/>
      </c>
      <c r="AS27" s="152">
        <f>IF($A27="","",IF($F27="Financial Results","financials",IF($F27="Outlook/Guidance","guidance",IF($F27="Transcript Q&amp;A","qanda",IF($F27="","unrecorded",IF($E27="All","full",IF($E27="","unrecorded",LOWER($E27)&amp;" only")))))))</f>
        <v/>
      </c>
      <c r="AT27" s="152">
        <f>IF(AND(OR($J27="BUY",$J27="SELL"),ISNUMBER($U27)),$U27,"")</f>
        <v/>
      </c>
      <c r="AU27" s="152">
        <f>IF(AND(OR($J27="BUY",$J27="SELL"),ISNUMBER($AK27)),$AK27,"")</f>
        <v/>
      </c>
      <c r="AV27" s="152">
        <f>IF(ISNUMBER($AT27),ABS(IF(ISNUMBER($I27),$I27,0)-Settings!$B$24),"")</f>
        <v/>
      </c>
      <c r="AW27" s="152">
        <f>IF(ISNUMBER($AV27),$AV27*$AT27,"")</f>
        <v/>
      </c>
      <c r="AX27" s="152">
        <f>IF(ISNUMBER($AU27),ABS(IF(ISNUMBER($I27),$I27,0)-Settings!$B$24),"")</f>
        <v/>
      </c>
      <c r="AY27" s="152" t="inlineStr">
        <is>
          <t>FROZEN</t>
        </is>
      </c>
      <c r="AZ27" s="152">
        <f>IF($A27="","",IFERROR(INDEX(Company_List!$H$3:$H$207,MATCH($A27,Company_List!$A$3:$A$207,0)),"unassigned"))</f>
        <v/>
      </c>
      <c r="BA27" s="152" t="n"/>
      <c r="BB27" s="152" t="n"/>
      <c r="BC27" s="152">
        <f>IF($A27="","",IF(COUNTIFS($A$3:$A27,$A27,$C$3:$C27,$C27,$D$3:$D27,$D27,$G$3:$G27,$G27)=1,1,0))</f>
        <v/>
      </c>
      <c r="BD27" s="152" t="n"/>
      <c r="BE27" s="152" t="n"/>
      <c r="BF27" s="152" t="n"/>
      <c r="BG27" s="152" t="inlineStr">
        <is>
          <t>no</t>
        </is>
      </c>
      <c r="BH27" s="152" t="n"/>
      <c r="BI27" s="152" t="n"/>
      <c r="BJ27" s="152" t="n"/>
      <c r="BK27" s="152">
        <f>IF(OR($H27&lt;&gt;"Human",$S27="",$J27="",$Y27="",$Z27=""),"",IF(EXACT(UPPER($J27),UPPER($Y27)),1,0))</f>
        <v/>
      </c>
      <c r="BL27" s="152" t="inlineStr">
        <is>
          <t>assumed - no rater record</t>
        </is>
      </c>
      <c r="BM27" s="152" t="n">
        <v>1</v>
      </c>
      <c r="BN27" s="152" t="inlineStr">
        <is>
          <t>not publisher-identified</t>
        </is>
      </c>
      <c r="BO27" s="152" t="inlineStr">
        <is>
          <t>not publisher-identified</t>
        </is>
      </c>
      <c r="BP27" s="152" t="inlineStr">
        <is>
          <t>no</t>
        </is>
      </c>
      <c r="BQ27" s="152" t="inlineStr">
        <is>
          <t>yes</t>
        </is>
      </c>
      <c r="BR27" s="152" t="inlineStr">
        <is>
          <t>filled 11 Aug 2026 from the corpus manifest: the company-quarter holds exactly one document and the manifest carries its release date</t>
        </is>
      </c>
      <c r="BS27" s="152" t="inlineStr">
        <is>
          <t>YES</t>
        </is>
      </c>
      <c r="BT27" s="152" t="n"/>
    </row>
    <row r="28" ht="15" customHeight="1" s="241">
      <c r="A28" s="174" t="inlineStr">
        <is>
          <t>Netflix</t>
        </is>
      </c>
      <c r="B28" s="175">
        <f>IF(A28="","",_xlfn.XLOOKUP(A28, Company_List!$A:$A, Company_List!$B:$B, ""))</f>
        <v/>
      </c>
      <c r="C28" s="176" t="n">
        <v>2024</v>
      </c>
      <c r="D28" s="177" t="inlineStr">
        <is>
          <t>Q4</t>
        </is>
      </c>
      <c r="E28" s="178" t="inlineStr">
        <is>
          <t>Transcript</t>
        </is>
      </c>
      <c r="F28" s="178" t="inlineStr">
        <is>
          <t>All</t>
        </is>
      </c>
      <c r="G28" s="177" t="inlineStr">
        <is>
          <t>David</t>
        </is>
      </c>
      <c r="H28" s="177" t="inlineStr">
        <is>
          <t>Human</t>
        </is>
      </c>
      <c r="I28" s="179" t="n">
        <v>0.8</v>
      </c>
      <c r="J28" s="180">
        <f>IF(OR(I28="",Settings!$B$6=""),"",IF(I28&gt;Settings!$B$6,"BUY",IF(I28&lt;-Settings!$B$6,"SELL","HOLD")))</f>
        <v/>
      </c>
      <c r="K28" s="181" t="n">
        <v>47</v>
      </c>
      <c r="L28" s="182" t="n">
        <v>45678</v>
      </c>
      <c r="M28" s="182" t="n">
        <v>45678</v>
      </c>
      <c r="N28" s="179" t="n">
        <v>86.968</v>
      </c>
      <c r="O28" s="182" t="n">
        <v>45679</v>
      </c>
      <c r="P28" s="183" t="n">
        <v>99.8</v>
      </c>
      <c r="Q28" s="184">
        <f>IF(OR(N28="",P28=""),"",ROUND((P28-N28)/N28,4))</f>
        <v/>
      </c>
      <c r="R28" s="177">
        <f>IF(OR(N28="",P28=""),"",IF(Q28&gt;Settings!$B$3/100,"UP",IF(Q28&lt;-Settings!$B$3/100,"DOWN","FLAT")))</f>
        <v/>
      </c>
      <c r="S28" s="177">
        <f>IF(OR(N28="",P28="",J28=""),"",IF(OR(AND(J28="BUY",R28="UP"),AND(J28="SELL",R28="DOWN"),AND(J28="HOLD",R28="FLAT")),"YES","NO"))</f>
        <v/>
      </c>
      <c r="T28" s="176">
        <f>IF(J28="","",IF(J28="BUY",1,IF(J28="SELL",-1,0)))</f>
        <v/>
      </c>
      <c r="U28" s="184">
        <f>IFERROR(IF(OR(J28="",N28="",P28=""),"",IF(T28=0,0,T28*Q28-Settings!$B$4/10000-IF(T28&lt;0,Settings!$B$5/10000,0))),"")</f>
        <v/>
      </c>
      <c r="V28" s="185" t="n"/>
      <c r="W28" s="176">
        <f>IF($K28="","",$K28*60)</f>
        <v/>
      </c>
      <c r="X28" s="186">
        <f>IF($A28="","",$A28&amp;"|"&amp;$C28&amp;"|"&amp;$D28)</f>
        <v/>
      </c>
      <c r="Y28" s="186">
        <f>IFERROR(IF($X28="","",INDEX(LLM_Data_Entry!$H$3:$H$548,MATCH($X28,INDEX(LLM_Data_Entry!$A$3:$A$548&amp;"|"&amp;LLM_Data_Entry!$C$3:$C$548&amp;"|"&amp;LLM_Data_Entry!$D$3:$D$548,0),0))),"")</f>
        <v/>
      </c>
      <c r="Z28" s="186">
        <f>IFERROR(IF($X28="","",INDEX(LLM_Data_Entry!$R$3:$R$548,MATCH($X28,INDEX(LLM_Data_Entry!$A$3:$A$548&amp;"|"&amp;LLM_Data_Entry!$C$3:$C$548&amp;"|"&amp;LLM_Data_Entry!$D$3:$D$548,0),0))),"")</f>
        <v/>
      </c>
      <c r="AA28" s="152" t="n"/>
      <c r="AB28" s="152" t="inlineStr">
        <is>
          <t>release date + stated time in the document (rater worksheet)</t>
        </is>
      </c>
      <c r="AC28" s="152" t="inlineStr">
        <is>
          <t>NFLX</t>
        </is>
      </c>
      <c r="AD28" s="152" t="inlineStr">
        <is>
          <t>2025-01-21</t>
        </is>
      </c>
      <c r="AE28" s="152" t="n">
        <v>86.968</v>
      </c>
      <c r="AF28" s="152" t="inlineStr">
        <is>
          <t>2025-01-22</t>
        </is>
      </c>
      <c r="AG28" s="152" t="n">
        <v>99.803</v>
      </c>
      <c r="AH28" s="152" t="n">
        <v>0.1475830041490432</v>
      </c>
      <c r="AI28" s="152" t="inlineStr">
        <is>
          <t>UP</t>
        </is>
      </c>
      <c r="AJ28" s="152" t="inlineStr">
        <is>
          <t>YES</t>
        </is>
      </c>
      <c r="AK28" s="152" t="n">
        <v>0.146583</v>
      </c>
      <c r="AL28" s="152">
        <f>IF($A28="","",IFERROR(INDEX(Company_List!$G$3:$G$207,MATCH($A28,Company_List!$A$3:$A$207,0)),"unassigned"))</f>
        <v/>
      </c>
      <c r="AM28" s="152" t="inlineStr">
        <is>
          <t>Phase 2/Netflix/2024-Q4/NFLX-2024-Q4-press-release-SEC-EX-99-1.htm</t>
        </is>
      </c>
      <c r="AN28" s="152" t="inlineStr">
        <is>
          <t>https://www.sec.gov/Archives/edgar/data/1065280/000106528025000033/ex991_q424.htm</t>
        </is>
      </c>
      <c r="AO28" s="152" t="inlineStr">
        <is>
          <t>manifest</t>
        </is>
      </c>
      <c r="AP28" s="152">
        <f>IF($A28="","",IF(COUNTIFS(LLM_Data_Entry!$A$3:$A$548,$A28)&gt;0,"YES","NO"))</f>
        <v/>
      </c>
      <c r="AQ28" s="152">
        <f>IF($A28="","",IF(COUNTIFS($A$3:$A28,$A28,$C$3:$C28,$C28,$D$3:$D28,$D28)=1,"YES","NO"))</f>
        <v/>
      </c>
      <c r="AR28" s="152">
        <f>IF($A28="","",IF(AND($C28&amp;"-"&amp;$D28&gt;=Settings!$B$19,$C28&amp;"-"&amp;$D28&lt;=Settings!$B$20),"IN","OUT"))</f>
        <v/>
      </c>
      <c r="AS28" s="152">
        <f>IF($A28="","",IF($F28="Financial Results","financials",IF($F28="Outlook/Guidance","guidance",IF($F28="Transcript Q&amp;A","qanda",IF($F28="","unrecorded",IF($E28="All","full",IF($E28="","unrecorded",LOWER($E28)&amp;" only")))))))</f>
        <v/>
      </c>
      <c r="AT28" s="152">
        <f>IF(AND(OR($J28="BUY",$J28="SELL"),ISNUMBER($U28)),$U28,"")</f>
        <v/>
      </c>
      <c r="AU28" s="152">
        <f>IF(AND(OR($J28="BUY",$J28="SELL"),ISNUMBER($AK28)),$AK28,"")</f>
        <v/>
      </c>
      <c r="AV28" s="152">
        <f>IF(ISNUMBER($AT28),ABS(IF(ISNUMBER($I28),$I28,0)-Settings!$B$24),"")</f>
        <v/>
      </c>
      <c r="AW28" s="152">
        <f>IF(ISNUMBER($AV28),$AV28*$AT28,"")</f>
        <v/>
      </c>
      <c r="AX28" s="152">
        <f>IF(ISNUMBER($AU28),ABS(IF(ISNUMBER($I28),$I28,0)-Settings!$B$24),"")</f>
        <v/>
      </c>
      <c r="AY28" s="152" t="inlineStr">
        <is>
          <t>FROZEN</t>
        </is>
      </c>
      <c r="AZ28" s="152">
        <f>IF($A28="","",IFERROR(INDEX(Company_List!$H$3:$H$207,MATCH($A28,Company_List!$A$3:$A$207,0)),"unassigned"))</f>
        <v/>
      </c>
      <c r="BA28" s="152" t="n"/>
      <c r="BB28" s="152" t="n"/>
      <c r="BC28" s="152">
        <f>IF($A28="","",IF(COUNTIFS($A$3:$A28,$A28,$C$3:$C28,$C28,$D$3:$D28,$D28,$G$3:$G28,$G28)=1,1,0))</f>
        <v/>
      </c>
      <c r="BD28" s="152" t="n"/>
      <c r="BE28" s="152" t="n"/>
      <c r="BF28" s="152" t="n"/>
      <c r="BG28" s="152" t="inlineStr">
        <is>
          <t>no</t>
        </is>
      </c>
      <c r="BH28" s="152" t="n"/>
      <c r="BI28" s="152" t="n"/>
      <c r="BJ28" s="152" t="n"/>
      <c r="BK28" s="152">
        <f>IF(OR($H28&lt;&gt;"Human",$S28="",$J28="",$Y28="",$Z28=""),"",IF(EXACT(UPPER($J28),UPPER($Y28)),1,0))</f>
        <v/>
      </c>
      <c r="BL28" s="152" t="inlineStr">
        <is>
          <t>assumed - no rater record</t>
        </is>
      </c>
      <c r="BM28" s="152" t="n">
        <v>1</v>
      </c>
      <c r="BN28" s="152" t="inlineStr">
        <is>
          <t>not publisher-identified</t>
        </is>
      </c>
      <c r="BO28" s="152" t="inlineStr">
        <is>
          <t>not publisher-identified</t>
        </is>
      </c>
      <c r="BP28" s="152" t="inlineStr">
        <is>
          <t>no</t>
        </is>
      </c>
      <c r="BQ28" s="152" t="inlineStr">
        <is>
          <t>yes</t>
        </is>
      </c>
      <c r="BR28" s="152" t="inlineStr">
        <is>
          <t>filled 11 Aug 2026 from the corpus manifest: the company-quarter holds exactly one document and the manifest carries its release date</t>
        </is>
      </c>
      <c r="BS28" s="152" t="inlineStr">
        <is>
          <t>YES</t>
        </is>
      </c>
      <c r="BT28" s="152" t="n"/>
    </row>
    <row r="29" ht="15" customHeight="1" s="241">
      <c r="A29" s="174" t="inlineStr">
        <is>
          <t>Amazon</t>
        </is>
      </c>
      <c r="B29" s="175">
        <f>IF(A29="","",_xlfn.XLOOKUP(A29, Company_List!$A:$A, Company_List!$B:$B, ""))</f>
        <v/>
      </c>
      <c r="C29" s="176" t="n">
        <v>2026</v>
      </c>
      <c r="D29" s="177" t="inlineStr">
        <is>
          <t>Q1</t>
        </is>
      </c>
      <c r="E29" s="178" t="inlineStr">
        <is>
          <t>All</t>
        </is>
      </c>
      <c r="F29" s="178" t="inlineStr">
        <is>
          <t>All</t>
        </is>
      </c>
      <c r="G29" s="177" t="inlineStr">
        <is>
          <t>David</t>
        </is>
      </c>
      <c r="H29" s="177" t="inlineStr">
        <is>
          <t>Human</t>
        </is>
      </c>
      <c r="I29" s="179" t="n">
        <v>0.8</v>
      </c>
      <c r="J29" s="180">
        <f>IF(OR(I29="",Settings!$B$6=""),"",IF(I29&gt;Settings!$B$6,"BUY",IF(I29&lt;-Settings!$B$6,"SELL","HOLD")))</f>
        <v/>
      </c>
      <c r="K29" s="181" t="n">
        <v>52</v>
      </c>
      <c r="L29" s="182" t="n">
        <v>46141</v>
      </c>
      <c r="M29" s="182" t="n">
        <v>46141</v>
      </c>
      <c r="N29" s="179" t="n">
        <v>263.04</v>
      </c>
      <c r="O29" s="182" t="n">
        <v>46142</v>
      </c>
      <c r="P29" s="183" t="n">
        <v>273.17</v>
      </c>
      <c r="Q29" s="184">
        <f>IF(OR(N29="",P29=""),"",ROUND((P29-N29)/N29,4))</f>
        <v/>
      </c>
      <c r="R29" s="177">
        <f>IF(OR(N29="",P29=""),"",IF(Q29&gt;Settings!$B$3/100,"UP",IF(Q29&lt;-Settings!$B$3/100,"DOWN","FLAT")))</f>
        <v/>
      </c>
      <c r="S29" s="177">
        <f>IF(OR(N29="",P29="",J29=""),"",IF(OR(AND(J29="BUY",R29="UP"),AND(J29="SELL",R29="DOWN"),AND(J29="HOLD",R29="FLAT")),"YES","NO"))</f>
        <v/>
      </c>
      <c r="T29" s="176">
        <f>IF(J29="","",IF(J29="BUY",1,IF(J29="SELL",-1,0)))</f>
        <v/>
      </c>
      <c r="U29" s="184">
        <f>IFERROR(IF(OR(J29="",N29="",P29=""),"",IF(T29=0,0,T29*Q29-Settings!$B$4/10000-IF(T29&lt;0,Settings!$B$5/10000,0))),"")</f>
        <v/>
      </c>
      <c r="V29" s="185" t="n"/>
      <c r="W29" s="176">
        <f>IF($K29="","",$K29*60)</f>
        <v/>
      </c>
      <c r="X29" s="186">
        <f>IF($A29="","",$A29&amp;"|"&amp;$C29&amp;"|"&amp;$D29)</f>
        <v/>
      </c>
      <c r="Y29" s="186">
        <f>IFERROR(IF($X29="","",INDEX(LLM_Data_Entry!$H$3:$H$548,MATCH($X29,INDEX(LLM_Data_Entry!$A$3:$A$548&amp;"|"&amp;LLM_Data_Entry!$C$3:$C$548&amp;"|"&amp;LLM_Data_Entry!$D$3:$D$548,0),0))),"")</f>
        <v/>
      </c>
      <c r="Z29" s="186">
        <f>IFERROR(IF($X29="","",INDEX(LLM_Data_Entry!$R$3:$R$548,MATCH($X29,INDEX(LLM_Data_Entry!$A$3:$A$548&amp;"|"&amp;LLM_Data_Entry!$C$3:$C$548&amp;"|"&amp;LLM_Data_Entry!$D$3:$D$548,0),0))),"")</f>
        <v/>
      </c>
      <c r="AA29" s="152" t="n"/>
      <c r="AB29" s="152" t="inlineStr">
        <is>
          <t>release date + stated time in the document (rater worksheet)</t>
        </is>
      </c>
      <c r="AC29" s="152" t="inlineStr">
        <is>
          <t>AMZN</t>
        </is>
      </c>
      <c r="AD29" s="152" t="inlineStr">
        <is>
          <t>2026-04-29</t>
        </is>
      </c>
      <c r="AE29" s="152" t="n">
        <v>263.04</v>
      </c>
      <c r="AF29" s="152" t="inlineStr">
        <is>
          <t>2026-04-30</t>
        </is>
      </c>
      <c r="AG29" s="152" t="n">
        <v>273.17</v>
      </c>
      <c r="AH29" s="152" t="n">
        <v>0.03851126693049948</v>
      </c>
      <c r="AI29" s="152" t="inlineStr">
        <is>
          <t>UP</t>
        </is>
      </c>
      <c r="AJ29" s="152" t="inlineStr">
        <is>
          <t>YES</t>
        </is>
      </c>
      <c r="AK29" s="152" t="n">
        <v>0.037511</v>
      </c>
      <c r="AL29" s="152">
        <f>IF($A29="","",IFERROR(INDEX(Company_List!$G$3:$G$207,MATCH($A29,Company_List!$A$3:$A$207,0)),"unassigned"))</f>
        <v/>
      </c>
      <c r="AM29" s="152" t="inlineStr">
        <is>
          <t>Phase 2/Amazon/2026-Q1/AMZN-2026-Q1-press-release-SEC-EX-99-1.htm</t>
        </is>
      </c>
      <c r="AN29" s="152" t="inlineStr">
        <is>
          <t>https://www.sec.gov/Archives/edgar/data/1018724/000101872426000012/amzn-20260331xex991.htm</t>
        </is>
      </c>
      <c r="AO29" s="152" t="inlineStr">
        <is>
          <t>manifest</t>
        </is>
      </c>
      <c r="AP29" s="152">
        <f>IF($A29="","",IF(COUNTIFS(LLM_Data_Entry!$A$3:$A$548,$A29)&gt;0,"YES","NO"))</f>
        <v/>
      </c>
      <c r="AQ29" s="152">
        <f>IF($A29="","",IF(COUNTIFS($A$3:$A29,$A29,$C$3:$C29,$C29,$D$3:$D29,$D29)=1,"YES","NO"))</f>
        <v/>
      </c>
      <c r="AR29" s="152">
        <f>IF($A29="","",IF(AND($C29&amp;"-"&amp;$D29&gt;=Settings!$B$19,$C29&amp;"-"&amp;$D29&lt;=Settings!$B$20),"IN","OUT"))</f>
        <v/>
      </c>
      <c r="AS29" s="152">
        <f>IF($A29="","",IF($F29="Financial Results","financials",IF($F29="Outlook/Guidance","guidance",IF($F29="Transcript Q&amp;A","qanda",IF($F29="","unrecorded",IF($E29="All","full",IF($E29="","unrecorded",LOWER($E29)&amp;" only")))))))</f>
        <v/>
      </c>
      <c r="AT29" s="152">
        <f>IF(AND(OR($J29="BUY",$J29="SELL"),ISNUMBER($U29)),$U29,"")</f>
        <v/>
      </c>
      <c r="AU29" s="152">
        <f>IF(AND(OR($J29="BUY",$J29="SELL"),ISNUMBER($AK29)),$AK29,"")</f>
        <v/>
      </c>
      <c r="AV29" s="152">
        <f>IF(ISNUMBER($AT29),ABS(IF(ISNUMBER($I29),$I29,0)-Settings!$B$24),"")</f>
        <v/>
      </c>
      <c r="AW29" s="152">
        <f>IF(ISNUMBER($AV29),$AV29*$AT29,"")</f>
        <v/>
      </c>
      <c r="AX29" s="152">
        <f>IF(ISNUMBER($AU29),ABS(IF(ISNUMBER($I29),$I29,0)-Settings!$B$24),"")</f>
        <v/>
      </c>
      <c r="AY29" s="152" t="inlineStr">
        <is>
          <t>FROZEN</t>
        </is>
      </c>
      <c r="AZ29" s="152">
        <f>IF($A29="","",IFERROR(INDEX(Company_List!$H$3:$H$207,MATCH($A29,Company_List!$A$3:$A$207,0)),"unassigned"))</f>
        <v/>
      </c>
      <c r="BA29" s="152" t="n"/>
      <c r="BB29" s="152" t="n"/>
      <c r="BC29" s="152">
        <f>IF($A29="","",IF(COUNTIFS($A$3:$A29,$A29,$C$3:$C29,$C29,$D$3:$D29,$D29,$G$3:$G29,$G29)=1,1,0))</f>
        <v/>
      </c>
      <c r="BD29" s="152" t="n"/>
      <c r="BE29" s="152" t="n"/>
      <c r="BF29" s="152" t="n"/>
      <c r="BG29" s="152" t="inlineStr">
        <is>
          <t>no</t>
        </is>
      </c>
      <c r="BH29" s="152" t="n"/>
      <c r="BI29" s="152" t="n"/>
      <c r="BJ29" s="152" t="n"/>
      <c r="BK29" s="152">
        <f>IF(OR($H29&lt;&gt;"Human",$S29="",$J29="",$Y29="",$Z29=""),"",IF(EXACT(UPPER($J29),UPPER($Y29)),1,0))</f>
        <v/>
      </c>
      <c r="BL29" s="152" t="inlineStr">
        <is>
          <t>assumed - no rater record</t>
        </is>
      </c>
      <c r="BM29" s="152" t="n">
        <v>1</v>
      </c>
      <c r="BN29" s="152" t="inlineStr">
        <is>
          <t>not publisher-identified</t>
        </is>
      </c>
      <c r="BO29" s="152" t="inlineStr">
        <is>
          <t>not publisher-identified</t>
        </is>
      </c>
      <c r="BP29" s="152" t="inlineStr">
        <is>
          <t>no</t>
        </is>
      </c>
      <c r="BQ29" s="152" t="inlineStr">
        <is>
          <t>yes</t>
        </is>
      </c>
      <c r="BR29" s="152" t="inlineStr">
        <is>
          <t>filled 11 Aug 2026 from the corpus manifest: the company-quarter holds exactly one document and the manifest carries its release date</t>
        </is>
      </c>
      <c r="BS29" s="152" t="inlineStr">
        <is>
          <t>YES</t>
        </is>
      </c>
      <c r="BT29" s="152" t="n"/>
    </row>
    <row r="30" ht="15" customHeight="1" s="241">
      <c r="A30" s="174" t="inlineStr">
        <is>
          <t>Amazon</t>
        </is>
      </c>
      <c r="B30" s="175">
        <f>IF(A30="","",_xlfn.XLOOKUP(A30, Company_List!$A:$A, Company_List!$B:$B, ""))</f>
        <v/>
      </c>
      <c r="C30" s="176" t="n">
        <v>2025</v>
      </c>
      <c r="D30" s="177" t="inlineStr">
        <is>
          <t>Q3</t>
        </is>
      </c>
      <c r="E30" s="178" t="inlineStr">
        <is>
          <t>All</t>
        </is>
      </c>
      <c r="F30" s="178" t="inlineStr">
        <is>
          <t>All</t>
        </is>
      </c>
      <c r="G30" s="177" t="inlineStr">
        <is>
          <t>David</t>
        </is>
      </c>
      <c r="H30" s="177" t="inlineStr">
        <is>
          <t>Human</t>
        </is>
      </c>
      <c r="I30" s="179" t="n">
        <v>-0.5</v>
      </c>
      <c r="J30" s="180">
        <f>IF(OR(I30="",Settings!$B$6=""),"",IF(I30&gt;Settings!$B$6,"BUY",IF(I30&lt;-Settings!$B$6,"SELL","HOLD")))</f>
        <v/>
      </c>
      <c r="K30" s="181" t="n">
        <v>47</v>
      </c>
      <c r="L30" s="182" t="n">
        <v>45960</v>
      </c>
      <c r="M30" s="182" t="n">
        <v>45960</v>
      </c>
      <c r="N30" s="179" t="n">
        <v>222.86</v>
      </c>
      <c r="O30" s="182" t="n">
        <v>45961</v>
      </c>
      <c r="P30" s="183" t="n">
        <v>250.1</v>
      </c>
      <c r="Q30" s="184">
        <f>IF(OR(N30="",P30=""),"",ROUND((P30-N30)/N30,4))</f>
        <v/>
      </c>
      <c r="R30" s="177">
        <f>IF(OR(N30="",P30=""),"",IF(Q30&gt;Settings!$B$3/100,"UP",IF(Q30&lt;-Settings!$B$3/100,"DOWN","FLAT")))</f>
        <v/>
      </c>
      <c r="S30" s="177">
        <f>IF(OR(N30="",P30="",J30=""),"",IF(OR(AND(J30="BUY",R30="UP"),AND(J30="SELL",R30="DOWN"),AND(J30="HOLD",R30="FLAT")),"YES","NO"))</f>
        <v/>
      </c>
      <c r="T30" s="176">
        <f>IF(J30="","",IF(J30="BUY",1,IF(J30="SELL",-1,0)))</f>
        <v/>
      </c>
      <c r="U30" s="184">
        <f>IFERROR(IF(OR(J30="",N30="",P30=""),"",IF(T30=0,0,T30*Q30-Settings!$B$4/10000-IF(T30&lt;0,Settings!$B$5/10000,0))),"")</f>
        <v/>
      </c>
      <c r="V30" s="185" t="n"/>
      <c r="W30" s="176">
        <f>IF($K30="","",$K30*60)</f>
        <v/>
      </c>
      <c r="X30" s="186">
        <f>IF($A30="","",$A30&amp;"|"&amp;$C30&amp;"|"&amp;$D30)</f>
        <v/>
      </c>
      <c r="Y30" s="186">
        <f>IFERROR(IF($X30="","",INDEX(LLM_Data_Entry!$H$3:$H$548,MATCH($X30,INDEX(LLM_Data_Entry!$A$3:$A$548&amp;"|"&amp;LLM_Data_Entry!$C$3:$C$548&amp;"|"&amp;LLM_Data_Entry!$D$3:$D$548,0),0))),"")</f>
        <v/>
      </c>
      <c r="Z30" s="186">
        <f>IFERROR(IF($X30="","",INDEX(LLM_Data_Entry!$R$3:$R$548,MATCH($X30,INDEX(LLM_Data_Entry!$A$3:$A$548&amp;"|"&amp;LLM_Data_Entry!$C$3:$C$548&amp;"|"&amp;LLM_Data_Entry!$D$3:$D$548,0),0))),"")</f>
        <v/>
      </c>
      <c r="AA30" s="152" t="n"/>
      <c r="AB30" s="152" t="inlineStr">
        <is>
          <t>release date + stated time in the document (rater worksheet)</t>
        </is>
      </c>
      <c r="AC30" s="152" t="inlineStr">
        <is>
          <t>AMZN</t>
        </is>
      </c>
      <c r="AD30" s="152" t="inlineStr">
        <is>
          <t>2025-10-30</t>
        </is>
      </c>
      <c r="AE30" s="152" t="n">
        <v>222.86</v>
      </c>
      <c r="AF30" s="152" t="inlineStr">
        <is>
          <t>2025-10-31</t>
        </is>
      </c>
      <c r="AG30" s="152" t="n">
        <v>250.1</v>
      </c>
      <c r="AH30" s="152" t="n">
        <v>0.1222292240768679</v>
      </c>
      <c r="AI30" s="152" t="inlineStr">
        <is>
          <t>UP</t>
        </is>
      </c>
      <c r="AJ30" s="152" t="inlineStr">
        <is>
          <t>NO</t>
        </is>
      </c>
      <c r="AK30" s="152" t="n">
        <v>-0.123229</v>
      </c>
      <c r="AL30" s="152">
        <f>IF($A30="","",IFERROR(INDEX(Company_List!$G$3:$G$207,MATCH($A30,Company_List!$A$3:$A$207,0)),"unassigned"))</f>
        <v/>
      </c>
      <c r="AM30" s="152" t="inlineStr">
        <is>
          <t>Phase 2/Amazon/2025-Q3/AMZN-2025-Q3-press-release-SEC-EX-99-1.htm</t>
        </is>
      </c>
      <c r="AN30" s="152" t="inlineStr">
        <is>
          <t>https://www.sec.gov/Archives/edgar/data/1018724/000101872425000121/amzn-20250930xex991.htm</t>
        </is>
      </c>
      <c r="AO30" s="152" t="inlineStr">
        <is>
          <t>manifest</t>
        </is>
      </c>
      <c r="AP30" s="152">
        <f>IF($A30="","",IF(COUNTIFS(LLM_Data_Entry!$A$3:$A$548,$A30)&gt;0,"YES","NO"))</f>
        <v/>
      </c>
      <c r="AQ30" s="152">
        <f>IF($A30="","",IF(COUNTIFS($A$3:$A30,$A30,$C$3:$C30,$C30,$D$3:$D30,$D30)=1,"YES","NO"))</f>
        <v/>
      </c>
      <c r="AR30" s="152">
        <f>IF($A30="","",IF(AND($C30&amp;"-"&amp;$D30&gt;=Settings!$B$19,$C30&amp;"-"&amp;$D30&lt;=Settings!$B$20),"IN","OUT"))</f>
        <v/>
      </c>
      <c r="AS30" s="152">
        <f>IF($A30="","",IF($F30="Financial Results","financials",IF($F30="Outlook/Guidance","guidance",IF($F30="Transcript Q&amp;A","qanda",IF($F30="","unrecorded",IF($E30="All","full",IF($E30="","unrecorded",LOWER($E30)&amp;" only")))))))</f>
        <v/>
      </c>
      <c r="AT30" s="152">
        <f>IF(AND(OR($J30="BUY",$J30="SELL"),ISNUMBER($U30)),$U30,"")</f>
        <v/>
      </c>
      <c r="AU30" s="152">
        <f>IF(AND(OR($J30="BUY",$J30="SELL"),ISNUMBER($AK30)),$AK30,"")</f>
        <v/>
      </c>
      <c r="AV30" s="152">
        <f>IF(ISNUMBER($AT30),ABS(IF(ISNUMBER($I30),$I30,0)-Settings!$B$24),"")</f>
        <v/>
      </c>
      <c r="AW30" s="152">
        <f>IF(ISNUMBER($AV30),$AV30*$AT30,"")</f>
        <v/>
      </c>
      <c r="AX30" s="152">
        <f>IF(ISNUMBER($AU30),ABS(IF(ISNUMBER($I30),$I30,0)-Settings!$B$24),"")</f>
        <v/>
      </c>
      <c r="AY30" s="152" t="inlineStr">
        <is>
          <t>FROZEN</t>
        </is>
      </c>
      <c r="AZ30" s="152">
        <f>IF($A30="","",IFERROR(INDEX(Company_List!$H$3:$H$207,MATCH($A30,Company_List!$A$3:$A$207,0)),"unassigned"))</f>
        <v/>
      </c>
      <c r="BA30" s="152" t="n"/>
      <c r="BB30" s="152" t="n"/>
      <c r="BC30" s="152">
        <f>IF($A30="","",IF(COUNTIFS($A$3:$A30,$A30,$C$3:$C30,$C30,$D$3:$D30,$D30,$G$3:$G30,$G30)=1,1,0))</f>
        <v/>
      </c>
      <c r="BD30" s="152" t="n"/>
      <c r="BE30" s="152" t="n"/>
      <c r="BF30" s="152" t="n"/>
      <c r="BG30" s="152" t="inlineStr">
        <is>
          <t>no</t>
        </is>
      </c>
      <c r="BH30" s="152" t="n"/>
      <c r="BI30" s="152" t="n"/>
      <c r="BJ30" s="152" t="n"/>
      <c r="BK30" s="152">
        <f>IF(OR($H30&lt;&gt;"Human",$S30="",$J30="",$Y30="",$Z30=""),"",IF(EXACT(UPPER($J30),UPPER($Y30)),1,0))</f>
        <v/>
      </c>
      <c r="BL30" s="152" t="inlineStr">
        <is>
          <t>assumed - no rater record</t>
        </is>
      </c>
      <c r="BM30" s="152" t="n">
        <v>1</v>
      </c>
      <c r="BN30" s="152" t="inlineStr">
        <is>
          <t>not publisher-identified</t>
        </is>
      </c>
      <c r="BO30" s="152" t="inlineStr">
        <is>
          <t>not publisher-identified</t>
        </is>
      </c>
      <c r="BP30" s="152" t="inlineStr">
        <is>
          <t>no</t>
        </is>
      </c>
      <c r="BQ30" s="152" t="inlineStr">
        <is>
          <t>yes</t>
        </is>
      </c>
      <c r="BR30" s="152" t="inlineStr">
        <is>
          <t>filled 11 Aug 2026 from the corpus manifest: the company-quarter holds exactly one document and the manifest carries its release date</t>
        </is>
      </c>
      <c r="BS30" s="152" t="inlineStr">
        <is>
          <t>YES</t>
        </is>
      </c>
      <c r="BT30" s="152" t="n"/>
    </row>
    <row r="31" ht="15" customHeight="1" s="241">
      <c r="A31" s="174" t="inlineStr">
        <is>
          <t>Amazon</t>
        </is>
      </c>
      <c r="B31" s="175">
        <f>IF(A31="","",_xlfn.XLOOKUP(A31, Company_List!$A:$A, Company_List!$B:$B, ""))</f>
        <v/>
      </c>
      <c r="C31" s="176" t="n">
        <v>2025</v>
      </c>
      <c r="D31" s="177" t="inlineStr">
        <is>
          <t>Q4</t>
        </is>
      </c>
      <c r="E31" s="178" t="inlineStr">
        <is>
          <t>All</t>
        </is>
      </c>
      <c r="F31" s="178" t="inlineStr">
        <is>
          <t>All</t>
        </is>
      </c>
      <c r="G31" s="177" t="inlineStr">
        <is>
          <t>David</t>
        </is>
      </c>
      <c r="H31" s="177" t="inlineStr">
        <is>
          <t>Human</t>
        </is>
      </c>
      <c r="I31" s="179" t="n">
        <v>0.3</v>
      </c>
      <c r="J31" s="180">
        <f>IF(OR(I31="",Settings!$B$6=""),"",IF(I31&gt;Settings!$B$6,"BUY",IF(I31&lt;-Settings!$B$6,"SELL","HOLD")))</f>
        <v/>
      </c>
      <c r="K31" s="181" t="n">
        <v>58</v>
      </c>
      <c r="L31" s="182" t="n">
        <v>46058</v>
      </c>
      <c r="M31" s="182" t="n">
        <v>46058</v>
      </c>
      <c r="N31" s="179" t="n">
        <v>222.69</v>
      </c>
      <c r="O31" s="182" t="n">
        <v>46059</v>
      </c>
      <c r="P31" s="183" t="n">
        <v>202.7</v>
      </c>
      <c r="Q31" s="184">
        <f>IF(OR(N31="",P31=""),"",ROUND((P31-N31)/N31,4))</f>
        <v/>
      </c>
      <c r="R31" s="177">
        <f>IF(OR(N31="",P31=""),"",IF(Q31&gt;Settings!$B$3/100,"UP",IF(Q31&lt;-Settings!$B$3/100,"DOWN","FLAT")))</f>
        <v/>
      </c>
      <c r="S31" s="177">
        <f>IF(OR(N31="",P31="",J31=""),"",IF(OR(AND(J31="BUY",R31="UP"),AND(J31="SELL",R31="DOWN"),AND(J31="HOLD",R31="FLAT")),"YES","NO"))</f>
        <v/>
      </c>
      <c r="T31" s="176">
        <f>IF(J31="","",IF(J31="BUY",1,IF(J31="SELL",-1,0)))</f>
        <v/>
      </c>
      <c r="U31" s="184">
        <f>IFERROR(IF(OR(J31="",N31="",P31=""),"",IF(T31=0,0,T31*Q31-Settings!$B$4/10000-IF(T31&lt;0,Settings!$B$5/10000,0))),"")</f>
        <v/>
      </c>
      <c r="V31" s="185" t="n"/>
      <c r="W31" s="176">
        <f>IF($K31="","",$K31*60)</f>
        <v/>
      </c>
      <c r="X31" s="186">
        <f>IF($A31="","",$A31&amp;"|"&amp;$C31&amp;"|"&amp;$D31)</f>
        <v/>
      </c>
      <c r="Y31" s="186">
        <f>IFERROR(IF($X31="","",INDEX(LLM_Data_Entry!$H$3:$H$548,MATCH($X31,INDEX(LLM_Data_Entry!$A$3:$A$548&amp;"|"&amp;LLM_Data_Entry!$C$3:$C$548&amp;"|"&amp;LLM_Data_Entry!$D$3:$D$548,0),0))),"")</f>
        <v/>
      </c>
      <c r="Z31" s="186">
        <f>IFERROR(IF($X31="","",INDEX(LLM_Data_Entry!$R$3:$R$548,MATCH($X31,INDEX(LLM_Data_Entry!$A$3:$A$548&amp;"|"&amp;LLM_Data_Entry!$C$3:$C$548&amp;"|"&amp;LLM_Data_Entry!$D$3:$D$548,0),0))),"")</f>
        <v/>
      </c>
      <c r="AA31" s="152" t="n"/>
      <c r="AB31" s="152" t="inlineStr">
        <is>
          <t>recorded price identified against every pulled series</t>
        </is>
      </c>
      <c r="AC31" s="152" t="inlineStr">
        <is>
          <t>AMZN</t>
        </is>
      </c>
      <c r="AD31" s="152" t="inlineStr">
        <is>
          <t>2026-02-05</t>
        </is>
      </c>
      <c r="AE31" s="152" t="n">
        <v>222.69</v>
      </c>
      <c r="AF31" s="152" t="inlineStr">
        <is>
          <t>2026-02-06</t>
        </is>
      </c>
      <c r="AG31" s="152" t="n">
        <v>202.7</v>
      </c>
      <c r="AH31" s="152" t="n">
        <v>-0.08976606412711782</v>
      </c>
      <c r="AI31" s="152" t="inlineStr">
        <is>
          <t>DOWN</t>
        </is>
      </c>
      <c r="AJ31" s="152" t="inlineStr">
        <is>
          <t>NO</t>
        </is>
      </c>
      <c r="AK31" s="152" t="n">
        <v>-0.090766</v>
      </c>
      <c r="AL31" s="152">
        <f>IF($A31="","",IFERROR(INDEX(Company_List!$G$3:$G$207,MATCH($A31,Company_List!$A$3:$A$207,0)),"unassigned"))</f>
        <v/>
      </c>
      <c r="AM31" s="152" t="inlineStr">
        <is>
          <t>Phase 2/Amazon/2025-Q4/AMZN-2025-Q4-press-release-SEC-EX-99-1.htm</t>
        </is>
      </c>
      <c r="AN31" s="152" t="inlineStr">
        <is>
          <t>https://www.sec.gov/Archives/edgar/data/1018724/000101872426000002/amzn-20251231xex991.htm</t>
        </is>
      </c>
      <c r="AO31" s="152" t="inlineStr">
        <is>
          <t>manifest</t>
        </is>
      </c>
      <c r="AP31" s="152">
        <f>IF($A31="","",IF(COUNTIFS(LLM_Data_Entry!$A$3:$A$548,$A31)&gt;0,"YES","NO"))</f>
        <v/>
      </c>
      <c r="AQ31" s="152">
        <f>IF($A31="","",IF(COUNTIFS($A$3:$A31,$A31,$C$3:$C31,$C31,$D$3:$D31,$D31)=1,"YES","NO"))</f>
        <v/>
      </c>
      <c r="AR31" s="152">
        <f>IF($A31="","",IF(AND($C31&amp;"-"&amp;$D31&gt;=Settings!$B$19,$C31&amp;"-"&amp;$D31&lt;=Settings!$B$20),"IN","OUT"))</f>
        <v/>
      </c>
      <c r="AS31" s="152">
        <f>IF($A31="","",IF($F31="Financial Results","financials",IF($F31="Outlook/Guidance","guidance",IF($F31="Transcript Q&amp;A","qanda",IF($F31="","unrecorded",IF($E31="All","full",IF($E31="","unrecorded",LOWER($E31)&amp;" only")))))))</f>
        <v/>
      </c>
      <c r="AT31" s="152">
        <f>IF(AND(OR($J31="BUY",$J31="SELL"),ISNUMBER($U31)),$U31,"")</f>
        <v/>
      </c>
      <c r="AU31" s="152">
        <f>IF(AND(OR($J31="BUY",$J31="SELL"),ISNUMBER($AK31)),$AK31,"")</f>
        <v/>
      </c>
      <c r="AV31" s="152">
        <f>IF(ISNUMBER($AT31),ABS(IF(ISNUMBER($I31),$I31,0)-Settings!$B$24),"")</f>
        <v/>
      </c>
      <c r="AW31" s="152">
        <f>IF(ISNUMBER($AV31),$AV31*$AT31,"")</f>
        <v/>
      </c>
      <c r="AX31" s="152">
        <f>IF(ISNUMBER($AU31),ABS(IF(ISNUMBER($I31),$I31,0)-Settings!$B$24),"")</f>
        <v/>
      </c>
      <c r="AY31" s="152" t="inlineStr">
        <is>
          <t>FROZEN</t>
        </is>
      </c>
      <c r="AZ31" s="152">
        <f>IF($A31="","",IFERROR(INDEX(Company_List!$H$3:$H$207,MATCH($A31,Company_List!$A$3:$A$207,0)),"unassigned"))</f>
        <v/>
      </c>
      <c r="BA31" s="152" t="n"/>
      <c r="BB31" s="152" t="n"/>
      <c r="BC31" s="152">
        <f>IF($A31="","",IF(COUNTIFS($A$3:$A31,$A31,$C$3:$C31,$C31,$D$3:$D31,$D31,$G$3:$G31,$G31)=1,1,0))</f>
        <v/>
      </c>
      <c r="BD31" s="152" t="n"/>
      <c r="BE31" s="152" t="n"/>
      <c r="BF31" s="152" t="n"/>
      <c r="BG31" s="152" t="inlineStr">
        <is>
          <t>no</t>
        </is>
      </c>
      <c r="BH31" s="152" t="n"/>
      <c r="BI31" s="152" t="n"/>
      <c r="BJ31" s="152" t="n"/>
      <c r="BK31" s="152">
        <f>IF(OR($H31&lt;&gt;"Human",$S31="",$J31="",$Y31="",$Z31=""),"",IF(EXACT(UPPER($J31),UPPER($Y31)),1,0))</f>
        <v/>
      </c>
      <c r="BL31" s="152" t="inlineStr">
        <is>
          <t>assumed - no rater record</t>
        </is>
      </c>
      <c r="BM31" s="152" t="n">
        <v>1</v>
      </c>
      <c r="BN31" s="152" t="inlineStr">
        <is>
          <t>not publisher-identified</t>
        </is>
      </c>
      <c r="BO31" s="152" t="inlineStr">
        <is>
          <t>not publisher-identified</t>
        </is>
      </c>
      <c r="BP31" s="152" t="inlineStr">
        <is>
          <t>no</t>
        </is>
      </c>
      <c r="BQ31" s="152" t="inlineStr">
        <is>
          <t>yes</t>
        </is>
      </c>
      <c r="BR31" s="152" t="inlineStr">
        <is>
          <t>filled 11 Aug 2026 from the corpus manifest: the company-quarter holds exactly one document and the manifest carries its release date</t>
        </is>
      </c>
      <c r="BS31" s="152" t="inlineStr">
        <is>
          <t>YES</t>
        </is>
      </c>
      <c r="BT31" s="152" t="n"/>
    </row>
    <row r="32" ht="15" customHeight="1" s="241">
      <c r="A32" s="174" t="inlineStr">
        <is>
          <t>McDonald's</t>
        </is>
      </c>
      <c r="B32" s="175">
        <f>IF(A32="","",_xlfn.XLOOKUP(A32, Company_List!$A:$A, Company_List!$B:$B, ""))</f>
        <v/>
      </c>
      <c r="C32" s="176" t="n">
        <v>2024</v>
      </c>
      <c r="D32" s="177" t="inlineStr">
        <is>
          <t>Q4</t>
        </is>
      </c>
      <c r="E32" s="178" t="inlineStr">
        <is>
          <t>All</t>
        </is>
      </c>
      <c r="F32" s="178" t="inlineStr">
        <is>
          <t>All</t>
        </is>
      </c>
      <c r="G32" s="177" t="inlineStr">
        <is>
          <t>Meriem</t>
        </is>
      </c>
      <c r="H32" s="177" t="inlineStr">
        <is>
          <t>Human</t>
        </is>
      </c>
      <c r="I32" s="179" t="n">
        <v>-0.5</v>
      </c>
      <c r="J32" s="180">
        <f>IF(OR(I32="",Settings!$B$6=""),"",IF(I32&gt;Settings!$B$6,"BUY",IF(I32&lt;-Settings!$B$6,"SELL","HOLD")))</f>
        <v/>
      </c>
      <c r="K32" s="181" t="n">
        <v>30</v>
      </c>
      <c r="L32" s="182" t="n">
        <v>45698</v>
      </c>
      <c r="M32" s="182" t="n">
        <v>45695</v>
      </c>
      <c r="N32" s="179" t="n">
        <v>294.3</v>
      </c>
      <c r="O32" s="182" t="n">
        <v>45698</v>
      </c>
      <c r="P32" s="183" t="n">
        <v>302.27</v>
      </c>
      <c r="Q32" s="184">
        <f>IF(OR(N32="",P32=""),"",ROUND((P32-N32)/N32,4))</f>
        <v/>
      </c>
      <c r="R32" s="177">
        <f>IF(OR(N32="",P32=""),"",IF(Q32&gt;Settings!$B$3/100,"UP",IF(Q32&lt;-Settings!$B$3/100,"DOWN","FLAT")))</f>
        <v/>
      </c>
      <c r="S32" s="177">
        <f>IF(OR(N32="",P32="",J32=""),"",IF(OR(AND(J32="BUY",R32="UP"),AND(J32="SELL",R32="DOWN"),AND(J32="HOLD",R32="FLAT")),"YES","NO"))</f>
        <v/>
      </c>
      <c r="T32" s="176">
        <f>IF(J32="","",IF(J32="BUY",1,IF(J32="SELL",-1,0)))</f>
        <v/>
      </c>
      <c r="U32" s="184">
        <f>IFERROR(IF(OR(J32="",N32="",P32=""),"",IF(T32=0,0,T32*Q32-Settings!$B$4/10000-IF(T32&lt;0,Settings!$B$5/10000,0))),"")</f>
        <v/>
      </c>
      <c r="V32" s="185" t="inlineStr">
        <is>
          <t>sales went down; revenue asw; EPS diluted down; net income and Current +total assets down; long term debt up. No guidance</t>
        </is>
      </c>
      <c r="W32" s="176">
        <f>IF($K32="","",$K32*60)</f>
        <v/>
      </c>
      <c r="X32" s="186">
        <f>IF($A32="","",$A32&amp;"|"&amp;$C32&amp;"|"&amp;$D32)</f>
        <v/>
      </c>
      <c r="Y32" s="186">
        <f>IFERROR(IF($X32="","",INDEX(LLM_Data_Entry!$H$3:$H$548,MATCH($X32,INDEX(LLM_Data_Entry!$A$3:$A$548&amp;"|"&amp;LLM_Data_Entry!$C$3:$C$548&amp;"|"&amp;LLM_Data_Entry!$D$3:$D$548,0),0))),"")</f>
        <v/>
      </c>
      <c r="Z32" s="186">
        <f>IFERROR(IF($X32="","",INDEX(LLM_Data_Entry!$R$3:$R$548,MATCH($X32,INDEX(LLM_Data_Entry!$A$3:$A$548&amp;"|"&amp;LLM_Data_Entry!$C$3:$C$548&amp;"|"&amp;LLM_Data_Entry!$D$3:$D$548,0),0))),"")</f>
        <v/>
      </c>
      <c r="AA32" s="152" t="n"/>
      <c r="AB32" s="152" t="inlineStr">
        <is>
          <t>price signal — only this window shows an abnormal move</t>
        </is>
      </c>
      <c r="AC32" s="152" t="inlineStr">
        <is>
          <t>MCD</t>
        </is>
      </c>
      <c r="AD32" s="152" t="inlineStr">
        <is>
          <t>2025-02-07</t>
        </is>
      </c>
      <c r="AE32" s="152" t="n">
        <v>284.0678</v>
      </c>
      <c r="AF32" s="152" t="inlineStr">
        <is>
          <t>2025-02-10</t>
        </is>
      </c>
      <c r="AG32" s="152" t="n">
        <v>291.7607</v>
      </c>
      <c r="AH32" s="152" t="n">
        <v>0.02708116902143613</v>
      </c>
      <c r="AI32" s="152" t="inlineStr">
        <is>
          <t>UP</t>
        </is>
      </c>
      <c r="AJ32" s="152" t="inlineStr">
        <is>
          <t>NO</t>
        </is>
      </c>
      <c r="AK32" s="152" t="n">
        <v>-0.028081</v>
      </c>
      <c r="AL32" s="152">
        <f>IF($A32="","",IFERROR(INDEX(Company_List!$G$3:$G$207,MATCH($A32,Company_List!$A$3:$A$207,0)),"unassigned"))</f>
        <v/>
      </c>
      <c r="AM32" s="152" t="inlineStr">
        <is>
          <t>Phase 2/McDonald's/Q4 2024-numbers.pdf; Phase 2/McDonald's/Q4 2024 Earnings Call Transcript.pdf</t>
        </is>
      </c>
      <c r="AN32" s="152" t="n"/>
      <c r="AO32" s="152" t="inlineStr">
        <is>
          <t>whole bundle (Document = All)</t>
        </is>
      </c>
      <c r="AP32" s="152">
        <f>IF($A32="","",IF(COUNTIFS(LLM_Data_Entry!$A$3:$A$548,$A32)&gt;0,"YES","NO"))</f>
        <v/>
      </c>
      <c r="AQ32" s="152">
        <f>IF($A32="","",IF(COUNTIFS($A$3:$A32,$A32,$C$3:$C32,$C32,$D$3:$D32,$D32)=1,"YES","NO"))</f>
        <v/>
      </c>
      <c r="AR32" s="152">
        <f>IF($A32="","",IF(AND($C32&amp;"-"&amp;$D32&gt;=Settings!$B$19,$C32&amp;"-"&amp;$D32&lt;=Settings!$B$20),"IN","OUT"))</f>
        <v/>
      </c>
      <c r="AS32" s="152">
        <f>IF($A32="","",IF($F32="Financial Results","financials",IF($F32="Outlook/Guidance","guidance",IF($F32="Transcript Q&amp;A","qanda",IF($F32="","unrecorded",IF($E32="All","full",IF($E32="","unrecorded",LOWER($E32)&amp;" only")))))))</f>
        <v/>
      </c>
      <c r="AT32" s="152">
        <f>IF(AND(OR($J32="BUY",$J32="SELL"),ISNUMBER($U32)),$U32,"")</f>
        <v/>
      </c>
      <c r="AU32" s="152">
        <f>IF(AND(OR($J32="BUY",$J32="SELL"),ISNUMBER($AK32)),$AK32,"")</f>
        <v/>
      </c>
      <c r="AV32" s="152">
        <f>IF(ISNUMBER($AT32),ABS(IF(ISNUMBER($I32),$I32,0)-Settings!$B$24),"")</f>
        <v/>
      </c>
      <c r="AW32" s="152">
        <f>IF(ISNUMBER($AV32),$AV32*$AT32,"")</f>
        <v/>
      </c>
      <c r="AX32" s="152">
        <f>IF(ISNUMBER($AU32),ABS(IF(ISNUMBER($I32),$I32,0)-Settings!$B$24),"")</f>
        <v/>
      </c>
      <c r="AY32" s="152" t="inlineStr">
        <is>
          <t>FROZEN</t>
        </is>
      </c>
      <c r="AZ32" s="152">
        <f>IF($A32="","",IFERROR(INDEX(Company_List!$H$3:$H$207,MATCH($A32,Company_List!$A$3:$A$207,0)),"unassigned"))</f>
        <v/>
      </c>
      <c r="BA32" s="152" t="n"/>
      <c r="BB32" s="152" t="n"/>
      <c r="BC32" s="152">
        <f>IF($A32="","",IF(COUNTIFS($A$3:$A32,$A32,$C$3:$C32,$C32,$D$3:$D32,$D32,$G$3:$G32,$G32)=1,1,0))</f>
        <v/>
      </c>
      <c r="BD32" s="152" t="n"/>
      <c r="BE32" s="152" t="n"/>
      <c r="BF32" s="152" t="n"/>
      <c r="BG32" s="152" t="inlineStr">
        <is>
          <t>no</t>
        </is>
      </c>
      <c r="BH32" s="152" t="n"/>
      <c r="BI32" s="152" t="n"/>
      <c r="BJ32" s="152" t="n"/>
      <c r="BK32" s="152">
        <f>IF(OR($H32&lt;&gt;"Human",$S32="",$J32="",$Y32="",$Z32=""),"",IF(EXACT(UPPER($J32),UPPER($Y32)),1,0))</f>
        <v/>
      </c>
      <c r="BL32" s="152" t="inlineStr">
        <is>
          <t>assumed - no rater record</t>
        </is>
      </c>
      <c r="BM32" s="152" t="n">
        <v>2</v>
      </c>
      <c r="BN32" s="152" t="inlineStr">
        <is>
          <t>The Motley Fool</t>
        </is>
      </c>
      <c r="BO32" s="152" t="inlineStr">
        <is>
          <t>free to read, copyright asserted</t>
        </is>
      </c>
      <c r="BP32" s="152" t="inlineStr">
        <is>
          <t>no</t>
        </is>
      </c>
      <c r="BQ32" s="152" t="inlineStr">
        <is>
          <t>no</t>
        </is>
      </c>
      <c r="BR32" s="152" t="n"/>
      <c r="BS32" s="152" t="inlineStr">
        <is>
          <t>YES</t>
        </is>
      </c>
      <c r="BT32" s="152" t="n"/>
    </row>
    <row r="33" ht="15" customHeight="1" s="241">
      <c r="A33" s="174" t="inlineStr">
        <is>
          <t>McDonald's</t>
        </is>
      </c>
      <c r="B33" s="175">
        <f>IF(A33="","",_xlfn.XLOOKUP(A33, Company_List!$A:$A, Company_List!$B:$B, ""))</f>
        <v/>
      </c>
      <c r="C33" s="176" t="n">
        <v>2025</v>
      </c>
      <c r="D33" s="177" t="inlineStr">
        <is>
          <t>Q4</t>
        </is>
      </c>
      <c r="E33" s="178" t="inlineStr">
        <is>
          <t>All</t>
        </is>
      </c>
      <c r="F33" s="178" t="inlineStr">
        <is>
          <t>All</t>
        </is>
      </c>
      <c r="G33" s="177" t="inlineStr">
        <is>
          <t>Meriem</t>
        </is>
      </c>
      <c r="H33" s="177" t="inlineStr">
        <is>
          <t>Human</t>
        </is>
      </c>
      <c r="I33" s="179" t="n">
        <v>0.3</v>
      </c>
      <c r="J33" s="180">
        <f>IF(OR(I33="",Settings!$B$6=""),"",IF(I33&gt;Settings!$B$6,"BUY",IF(I33&lt;-Settings!$B$6,"SELL","HOLD")))</f>
        <v/>
      </c>
      <c r="K33" s="181" t="n">
        <v>20</v>
      </c>
      <c r="L33" s="182" t="n">
        <v>46064</v>
      </c>
      <c r="M33" s="182" t="n">
        <v>46063</v>
      </c>
      <c r="N33" s="179" t="n">
        <v>325.97</v>
      </c>
      <c r="O33" s="182" t="n">
        <v>46064</v>
      </c>
      <c r="P33" s="183" t="n">
        <v>323.58</v>
      </c>
      <c r="Q33" s="184">
        <f>IF(OR(N33="",P33=""),"",ROUND((P33-N33)/N33,4))</f>
        <v/>
      </c>
      <c r="R33" s="177">
        <f>IF(OR(N33="",P33=""),"",IF(Q33&gt;Settings!$B$3/100,"UP",IF(Q33&lt;-Settings!$B$3/100,"DOWN","FLAT")))</f>
        <v/>
      </c>
      <c r="S33" s="177">
        <f>IF(OR(N33="",P33="",J33=""),"",IF(OR(AND(J33="BUY",R33="UP"),AND(J33="SELL",R33="DOWN"),AND(J33="HOLD",R33="FLAT")),"YES","NO"))</f>
        <v/>
      </c>
      <c r="T33" s="176">
        <f>IF(J33="","",IF(J33="BUY",1,IF(J33="SELL",-1,0)))</f>
        <v/>
      </c>
      <c r="U33" s="184">
        <f>IFERROR(IF(OR(J33="",N33="",P33=""),"",IF(T33=0,0,T33*Q33-Settings!$B$4/10000-IF(T33&lt;0,Settings!$B$5/10000,0))),"")</f>
        <v/>
      </c>
      <c r="V33" s="185" t="inlineStr">
        <is>
          <t>good numbers but guidance isn’t great and tone is not as optimistic as needed but still good</t>
        </is>
      </c>
      <c r="W33" s="176">
        <f>IF($K33="","",$K33*60)</f>
        <v/>
      </c>
      <c r="X33" s="186">
        <f>IF($A33="","",$A33&amp;"|"&amp;$C33&amp;"|"&amp;$D33)</f>
        <v/>
      </c>
      <c r="Y33" s="186">
        <f>IFERROR(IF($X33="","",INDEX(LLM_Data_Entry!$H$3:$H$548,MATCH($X33,INDEX(LLM_Data_Entry!$A$3:$A$548&amp;"|"&amp;LLM_Data_Entry!$C$3:$C$548&amp;"|"&amp;LLM_Data_Entry!$D$3:$D$548,0),0))),"")</f>
        <v/>
      </c>
      <c r="Z33" s="186">
        <f>IFERROR(IF($X33="","",INDEX(LLM_Data_Entry!$R$3:$R$548,MATCH($X33,INDEX(LLM_Data_Entry!$A$3:$A$548&amp;"|"&amp;LLM_Data_Entry!$C$3:$C$548&amp;"|"&amp;LLM_Data_Entry!$D$3:$D$548,0),0))),"")</f>
        <v/>
      </c>
      <c r="AA33" s="152" t="n"/>
      <c r="AB33" s="152" t="inlineStr">
        <is>
          <t>EDGAR acceptance timestamp on the Item 2.02 8-K</t>
        </is>
      </c>
      <c r="AC33" s="152" t="inlineStr">
        <is>
          <t>MCD</t>
        </is>
      </c>
      <c r="AD33" s="152" t="inlineStr">
        <is>
          <t>2026-02-11</t>
        </is>
      </c>
      <c r="AE33" s="152" t="n">
        <v>319.2493</v>
      </c>
      <c r="AF33" s="152" t="inlineStr">
        <is>
          <t>2026-02-12</t>
        </is>
      </c>
      <c r="AG33" s="152" t="n">
        <v>325.7882</v>
      </c>
      <c r="AH33" s="152" t="n">
        <v>0.02048199993826937</v>
      </c>
      <c r="AI33" s="152" t="inlineStr">
        <is>
          <t>UP</t>
        </is>
      </c>
      <c r="AJ33" s="152" t="inlineStr">
        <is>
          <t>YES</t>
        </is>
      </c>
      <c r="AK33" s="152" t="n">
        <v>0.019482</v>
      </c>
      <c r="AL33" s="152">
        <f>IF($A33="","",IFERROR(INDEX(Company_List!$G$3:$G$207,MATCH($A33,Company_List!$A$3:$A$207,0)),"unassigned"))</f>
        <v/>
      </c>
      <c r="AM33" s="152" t="inlineStr">
        <is>
          <t>Phase 2/McDonald's/Q4 2025 Earnings Call Transcript.pdf; Phase 2/McDonald's/Q4 2025 - numbers.pdf</t>
        </is>
      </c>
      <c r="AN33" s="152" t="n"/>
      <c r="AO33" s="152" t="inlineStr">
        <is>
          <t>whole bundle (Document = All)</t>
        </is>
      </c>
      <c r="AP33" s="152">
        <f>IF($A33="","",IF(COUNTIFS(LLM_Data_Entry!$A$3:$A$548,$A33)&gt;0,"YES","NO"))</f>
        <v/>
      </c>
      <c r="AQ33" s="152">
        <f>IF($A33="","",IF(COUNTIFS($A$3:$A33,$A33,$C$3:$C33,$C33,$D$3:$D33,$D33)=1,"YES","NO"))</f>
        <v/>
      </c>
      <c r="AR33" s="152">
        <f>IF($A33="","",IF(AND($C33&amp;"-"&amp;$D33&gt;=Settings!$B$19,$C33&amp;"-"&amp;$D33&lt;=Settings!$B$20),"IN","OUT"))</f>
        <v/>
      </c>
      <c r="AS33" s="152">
        <f>IF($A33="","",IF($F33="Financial Results","financials",IF($F33="Outlook/Guidance","guidance",IF($F33="Transcript Q&amp;A","qanda",IF($F33="","unrecorded",IF($E33="All","full",IF($E33="","unrecorded",LOWER($E33)&amp;" only")))))))</f>
        <v/>
      </c>
      <c r="AT33" s="152">
        <f>IF(AND(OR($J33="BUY",$J33="SELL"),ISNUMBER($U33)),$U33,"")</f>
        <v/>
      </c>
      <c r="AU33" s="152">
        <f>IF(AND(OR($J33="BUY",$J33="SELL"),ISNUMBER($AK33)),$AK33,"")</f>
        <v/>
      </c>
      <c r="AV33" s="152">
        <f>IF(ISNUMBER($AT33),ABS(IF(ISNUMBER($I33),$I33,0)-Settings!$B$24),"")</f>
        <v/>
      </c>
      <c r="AW33" s="152">
        <f>IF(ISNUMBER($AV33),$AV33*$AT33,"")</f>
        <v/>
      </c>
      <c r="AX33" s="152">
        <f>IF(ISNUMBER($AU33),ABS(IF(ISNUMBER($I33),$I33,0)-Settings!$B$24),"")</f>
        <v/>
      </c>
      <c r="AY33" s="152" t="inlineStr">
        <is>
          <t>FROZEN</t>
        </is>
      </c>
      <c r="AZ33" s="152">
        <f>IF($A33="","",IFERROR(INDEX(Company_List!$H$3:$H$207,MATCH($A33,Company_List!$A$3:$A$207,0)),"unassigned"))</f>
        <v/>
      </c>
      <c r="BA33" s="152" t="n"/>
      <c r="BB33" s="152" t="n"/>
      <c r="BC33" s="152">
        <f>IF($A33="","",IF(COUNTIFS($A$3:$A33,$A33,$C$3:$C33,$C33,$D$3:$D33,$D33,$G$3:$G33,$G33)=1,1,0))</f>
        <v/>
      </c>
      <c r="BD33" s="152" t="n"/>
      <c r="BE33" s="152" t="n"/>
      <c r="BF33" s="152" t="n"/>
      <c r="BG33" s="152" t="inlineStr">
        <is>
          <t>no</t>
        </is>
      </c>
      <c r="BH33" s="152" t="n"/>
      <c r="BI33" s="152" t="n"/>
      <c r="BJ33" s="152" t="n"/>
      <c r="BK33" s="152">
        <f>IF(OR($H33&lt;&gt;"Human",$S33="",$J33="",$Y33="",$Z33=""),"",IF(EXACT(UPPER($J33),UPPER($Y33)),1,0))</f>
        <v/>
      </c>
      <c r="BL33" s="152" t="inlineStr">
        <is>
          <t>assumed - no rater record</t>
        </is>
      </c>
      <c r="BM33" s="152" t="n">
        <v>2</v>
      </c>
      <c r="BN33" s="152" t="inlineStr">
        <is>
          <t>The Motley Fool</t>
        </is>
      </c>
      <c r="BO33" s="152" t="inlineStr">
        <is>
          <t>free to read, copyright asserted</t>
        </is>
      </c>
      <c r="BP33" s="152" t="inlineStr">
        <is>
          <t>no</t>
        </is>
      </c>
      <c r="BQ33" s="152" t="inlineStr">
        <is>
          <t>no</t>
        </is>
      </c>
      <c r="BR33" s="152" t="n"/>
      <c r="BS33" s="152" t="inlineStr">
        <is>
          <t>YES</t>
        </is>
      </c>
      <c r="BT33" s="152" t="n"/>
    </row>
    <row r="34" ht="15" customHeight="1" s="241">
      <c r="A34" s="174" t="inlineStr">
        <is>
          <t>McDonald's</t>
        </is>
      </c>
      <c r="B34" s="175">
        <f>IF(A34="","",_xlfn.XLOOKUP(A34, Company_List!$A:$A, Company_List!$B:$B, ""))</f>
        <v/>
      </c>
      <c r="C34" s="176" t="n">
        <v>2026</v>
      </c>
      <c r="D34" s="177" t="inlineStr">
        <is>
          <t>Q1</t>
        </is>
      </c>
      <c r="E34" s="178" t="inlineStr">
        <is>
          <t>All</t>
        </is>
      </c>
      <c r="F34" s="178" t="inlineStr">
        <is>
          <t>All</t>
        </is>
      </c>
      <c r="G34" s="177" t="inlineStr">
        <is>
          <t>Meriem</t>
        </is>
      </c>
      <c r="H34" s="177" t="inlineStr">
        <is>
          <t>Human</t>
        </is>
      </c>
      <c r="I34" s="179" t="n">
        <v>0.2</v>
      </c>
      <c r="J34" s="180">
        <f>IF(OR(I34="",Settings!$B$6=""),"",IF(I34&gt;Settings!$B$6,"BUY",IF(I34&lt;-Settings!$B$6,"SELL","HOLD")))</f>
        <v/>
      </c>
      <c r="K34" s="181" t="n">
        <v>34</v>
      </c>
      <c r="L34" s="182" t="n">
        <v>46149</v>
      </c>
      <c r="M34" s="182" t="n">
        <v>46148</v>
      </c>
      <c r="N34" s="179" t="n">
        <v>284.1</v>
      </c>
      <c r="O34" s="182" t="n">
        <v>46149</v>
      </c>
      <c r="P34" s="183" t="n">
        <v>287.83</v>
      </c>
      <c r="Q34" s="184">
        <f>IF(OR(N34="",P34=""),"",ROUND((P34-N34)/N34,4))</f>
        <v/>
      </c>
      <c r="R34" s="177">
        <f>IF(OR(N34="",P34=""),"",IF(Q34&gt;Settings!$B$3/100,"UP",IF(Q34&lt;-Settings!$B$3/100,"DOWN","FLAT")))</f>
        <v/>
      </c>
      <c r="S34" s="177">
        <f>IF(OR(N34="",P34="",J34=""),"",IF(OR(AND(J34="BUY",R34="UP"),AND(J34="SELL",R34="DOWN"),AND(J34="HOLD",R34="FLAT")),"YES","NO"))</f>
        <v/>
      </c>
      <c r="T34" s="176">
        <f>IF(J34="","",IF(J34="BUY",1,IF(J34="SELL",-1,0)))</f>
        <v/>
      </c>
      <c r="U34" s="184">
        <f>IFERROR(IF(OR(J34="",N34="",P34=""),"",IF(T34=0,0,T34*Q34-Settings!$B$4/10000-IF(T34&lt;0,Settings!$B$5/10000,0))),"")</f>
        <v/>
      </c>
      <c r="V34" s="185" t="inlineStr">
        <is>
          <t>slight increase in sales and revenue and EPS but challenging environment so unsure about future. too many concerns</t>
        </is>
      </c>
      <c r="W34" s="176">
        <f>IF($K34="","",$K34*60)</f>
        <v/>
      </c>
      <c r="X34" s="186">
        <f>IF($A34="","",$A34&amp;"|"&amp;$C34&amp;"|"&amp;$D34)</f>
        <v/>
      </c>
      <c r="Y34" s="186">
        <f>IFERROR(IF($X34="","",INDEX(LLM_Data_Entry!$H$3:$H$548,MATCH($X34,INDEX(LLM_Data_Entry!$A$3:$A$548&amp;"|"&amp;LLM_Data_Entry!$C$3:$C$548&amp;"|"&amp;LLM_Data_Entry!$D$3:$D$548,0),0))),"")</f>
        <v/>
      </c>
      <c r="Z34" s="186">
        <f>IFERROR(IF($X34="","",INDEX(LLM_Data_Entry!$R$3:$R$548,MATCH($X34,INDEX(LLM_Data_Entry!$A$3:$A$548&amp;"|"&amp;LLM_Data_Entry!$C$3:$C$548&amp;"|"&amp;LLM_Data_Entry!$D$3:$D$548,0),0))),"")</f>
        <v/>
      </c>
      <c r="AA34" s="152" t="n"/>
      <c r="AB34" s="152" t="inlineStr">
        <is>
          <t>release date + stated time</t>
        </is>
      </c>
      <c r="AC34" s="152" t="inlineStr">
        <is>
          <t>MCD</t>
        </is>
      </c>
      <c r="AD34" s="152" t="inlineStr">
        <is>
          <t>2026-05-06</t>
        </is>
      </c>
      <c r="AE34" s="152" t="n">
        <v>282.1862</v>
      </c>
      <c r="AF34" s="152" t="inlineStr">
        <is>
          <t>2026-05-07</t>
        </is>
      </c>
      <c r="AG34" s="152" t="n">
        <v>285.891</v>
      </c>
      <c r="AH34" s="152" t="n">
        <v>0.0131290784508832</v>
      </c>
      <c r="AI34" s="152" t="inlineStr">
        <is>
          <t>FLAT</t>
        </is>
      </c>
      <c r="AJ34" s="152" t="inlineStr">
        <is>
          <t>YES</t>
        </is>
      </c>
      <c r="AK34" s="152" t="n">
        <v>0</v>
      </c>
      <c r="AL34" s="152">
        <f>IF($A34="","",IFERROR(INDEX(Company_List!$G$3:$G$207,MATCH($A34,Company_List!$A$3:$A$207,0)),"unassigned"))</f>
        <v/>
      </c>
      <c r="AM34" s="152" t="inlineStr">
        <is>
          <t>Phase 2/McDonald's/Q1 2026- numbers.pdf; Phase 2/McDonald's/Q1 2026 Earnings Transcript.pdf</t>
        </is>
      </c>
      <c r="AN34" s="152" t="n"/>
      <c r="AO34" s="152" t="inlineStr">
        <is>
          <t>whole bundle (Document = All)</t>
        </is>
      </c>
      <c r="AP34" s="152">
        <f>IF($A34="","",IF(COUNTIFS(LLM_Data_Entry!$A$3:$A$548,$A34)&gt;0,"YES","NO"))</f>
        <v/>
      </c>
      <c r="AQ34" s="152">
        <f>IF($A34="","",IF(COUNTIFS($A$3:$A34,$A34,$C$3:$C34,$C34,$D$3:$D34,$D34)=1,"YES","NO"))</f>
        <v/>
      </c>
      <c r="AR34" s="152">
        <f>IF($A34="","",IF(AND($C34&amp;"-"&amp;$D34&gt;=Settings!$B$19,$C34&amp;"-"&amp;$D34&lt;=Settings!$B$20),"IN","OUT"))</f>
        <v/>
      </c>
      <c r="AS34" s="152">
        <f>IF($A34="","",IF($F34="Financial Results","financials",IF($F34="Outlook/Guidance","guidance",IF($F34="Transcript Q&amp;A","qanda",IF($F34="","unrecorded",IF($E34="All","full",IF($E34="","unrecorded",LOWER($E34)&amp;" only")))))))</f>
        <v/>
      </c>
      <c r="AT34" s="152">
        <f>IF(AND(OR($J34="BUY",$J34="SELL"),ISNUMBER($U34)),$U34,"")</f>
        <v/>
      </c>
      <c r="AU34" s="152">
        <f>IF(AND(OR($J34="BUY",$J34="SELL"),ISNUMBER($AK34)),$AK34,"")</f>
        <v/>
      </c>
      <c r="AV34" s="152">
        <f>IF(ISNUMBER($AT34),ABS(IF(ISNUMBER($I34),$I34,0)-Settings!$B$24),"")</f>
        <v/>
      </c>
      <c r="AW34" s="152">
        <f>IF(ISNUMBER($AV34),$AV34*$AT34,"")</f>
        <v/>
      </c>
      <c r="AX34" s="152">
        <f>IF(ISNUMBER($AU34),ABS(IF(ISNUMBER($I34),$I34,0)-Settings!$B$24),"")</f>
        <v/>
      </c>
      <c r="AY34" s="152" t="inlineStr">
        <is>
          <t>FROZEN</t>
        </is>
      </c>
      <c r="AZ34" s="152">
        <f>IF($A34="","",IFERROR(INDEX(Company_List!$H$3:$H$207,MATCH($A34,Company_List!$A$3:$A$207,0)),"unassigned"))</f>
        <v/>
      </c>
      <c r="BA34" s="152" t="n"/>
      <c r="BB34" s="152" t="n"/>
      <c r="BC34" s="152">
        <f>IF($A34="","",IF(COUNTIFS($A$3:$A34,$A34,$C$3:$C34,$C34,$D$3:$D34,$D34,$G$3:$G34,$G34)=1,1,0))</f>
        <v/>
      </c>
      <c r="BD34" s="152" t="n"/>
      <c r="BE34" s="152" t="n"/>
      <c r="BF34" s="152" t="n"/>
      <c r="BG34" s="152" t="inlineStr">
        <is>
          <t>no</t>
        </is>
      </c>
      <c r="BH34" s="152" t="n"/>
      <c r="BI34" s="152" t="n"/>
      <c r="BJ34" s="152" t="n"/>
      <c r="BK34" s="152">
        <f>IF(OR($H34&lt;&gt;"Human",$S34="",$J34="",$Y34="",$Z34=""),"",IF(EXACT(UPPER($J34),UPPER($Y34)),1,0))</f>
        <v/>
      </c>
      <c r="BL34" s="152" t="inlineStr">
        <is>
          <t>assumed - no rater record</t>
        </is>
      </c>
      <c r="BM34" s="152" t="n">
        <v>2</v>
      </c>
      <c r="BN34" s="152" t="inlineStr">
        <is>
          <t>The Motley Fool</t>
        </is>
      </c>
      <c r="BO34" s="152" t="inlineStr">
        <is>
          <t>free to read, copyright asserted</t>
        </is>
      </c>
      <c r="BP34" s="152" t="inlineStr">
        <is>
          <t>no</t>
        </is>
      </c>
      <c r="BQ34" s="152" t="inlineStr">
        <is>
          <t>no</t>
        </is>
      </c>
      <c r="BR34" s="152" t="n"/>
      <c r="BS34" s="152" t="inlineStr">
        <is>
          <t>YES</t>
        </is>
      </c>
      <c r="BT34" s="152" t="n"/>
    </row>
    <row r="35" ht="15" customHeight="1" s="241">
      <c r="A35" s="174" t="inlineStr">
        <is>
          <t>Apple</t>
        </is>
      </c>
      <c r="B35" s="175">
        <f>IF(A35="","",_xlfn.XLOOKUP(A35, Company_List!$A:$A, Company_List!$B:$B, ""))</f>
        <v/>
      </c>
      <c r="C35" s="176" t="n">
        <v>2025</v>
      </c>
      <c r="D35" s="177" t="inlineStr">
        <is>
          <t>Q3</t>
        </is>
      </c>
      <c r="E35" s="178" t="inlineStr">
        <is>
          <t>All</t>
        </is>
      </c>
      <c r="F35" s="178" t="inlineStr">
        <is>
          <t>All</t>
        </is>
      </c>
      <c r="G35" s="177" t="inlineStr">
        <is>
          <t>Meriem</t>
        </is>
      </c>
      <c r="H35" s="177" t="inlineStr">
        <is>
          <t>Human</t>
        </is>
      </c>
      <c r="I35" s="179" t="n">
        <v>-0.3</v>
      </c>
      <c r="J35" s="180">
        <f>IF(OR(I35="",Settings!$B$6=""),"",IF(I35&gt;Settings!$B$6,"BUY",IF(I35&lt;-Settings!$B$6,"SELL","HOLD")))</f>
        <v/>
      </c>
      <c r="K35" s="181" t="n">
        <v>25</v>
      </c>
      <c r="L35" s="182" t="n">
        <v>45869</v>
      </c>
      <c r="M35" s="182" t="n">
        <v>45869</v>
      </c>
      <c r="N35" s="179" t="n">
        <v>207.57</v>
      </c>
      <c r="O35" s="182" t="n">
        <v>45870</v>
      </c>
      <c r="P35" s="183" t="n">
        <v>210.87</v>
      </c>
      <c r="Q35" s="184">
        <f>IF(OR(N35="",P35=""),"",ROUND((P35-N35)/N35,4))</f>
        <v/>
      </c>
      <c r="R35" s="177">
        <f>IF(OR(N35="",P35=""),"",IF(Q35&gt;Settings!$B$3/100,"UP",IF(Q35&lt;-Settings!$B$3/100,"DOWN","FLAT")))</f>
        <v/>
      </c>
      <c r="S35" s="177">
        <f>IF(OR(N35="",P35="",J35=""),"",IF(OR(AND(J35="BUY",R35="UP"),AND(J35="SELL",R35="DOWN"),AND(J35="HOLD",R35="FLAT")),"YES","NO"))</f>
        <v/>
      </c>
      <c r="T35" s="176">
        <f>IF(J35="","",IF(J35="BUY",1,IF(J35="SELL",-1,0)))</f>
        <v/>
      </c>
      <c r="U35" s="184">
        <f>IFERROR(IF(OR(J35="",N35="",P35=""),"",IF(T35=0,0,T35*Q35-Settings!$B$4/10000-IF(T35&lt;0,Settings!$B$5/10000,0))),"")</f>
        <v/>
      </c>
      <c r="V35" s="185" t="inlineStr">
        <is>
          <t>tariffs costs; revenue and EPS are up but gross profit margin is down and expenses up. selling bcs tariffs</t>
        </is>
      </c>
      <c r="W35" s="176">
        <f>IF($K35="","",$K35*60)</f>
        <v/>
      </c>
      <c r="X35" s="186">
        <f>IF($A35="","",$A35&amp;"|"&amp;$C35&amp;"|"&amp;$D35)</f>
        <v/>
      </c>
      <c r="Y35" s="186">
        <f>IFERROR(IF($X35="","",INDEX(LLM_Data_Entry!$H$3:$H$548,MATCH($X35,INDEX(LLM_Data_Entry!$A$3:$A$548&amp;"|"&amp;LLM_Data_Entry!$C$3:$C$548&amp;"|"&amp;LLM_Data_Entry!$D$3:$D$548,0),0))),"")</f>
        <v/>
      </c>
      <c r="Z35" s="186">
        <f>IFERROR(IF($X35="","",INDEX(LLM_Data_Entry!$R$3:$R$548,MATCH($X35,INDEX(LLM_Data_Entry!$A$3:$A$548&amp;"|"&amp;LLM_Data_Entry!$C$3:$C$548&amp;"|"&amp;LLM_Data_Entry!$D$3:$D$548,0),0))),"")</f>
        <v/>
      </c>
      <c r="AA35" s="152" t="n"/>
      <c r="AB35" s="152" t="inlineStr">
        <is>
          <t>price signal — both moved; this one dominates</t>
        </is>
      </c>
      <c r="AC35" s="152" t="inlineStr">
        <is>
          <t>AAPL</t>
        </is>
      </c>
      <c r="AD35" s="152" t="inlineStr">
        <is>
          <t>2025-07-31</t>
        </is>
      </c>
      <c r="AE35" s="152" t="n">
        <v>206.7498</v>
      </c>
      <c r="AF35" s="152" t="inlineStr">
        <is>
          <t>2025-08-01</t>
        </is>
      </c>
      <c r="AG35" s="152" t="n">
        <v>210.0367</v>
      </c>
      <c r="AH35" s="152" t="n">
        <v>0.01589826594045488</v>
      </c>
      <c r="AI35" s="152" t="inlineStr">
        <is>
          <t>FLAT</t>
        </is>
      </c>
      <c r="AJ35" s="152" t="inlineStr">
        <is>
          <t>NO</t>
        </is>
      </c>
      <c r="AK35" s="152" t="n">
        <v>-0.016898</v>
      </c>
      <c r="AL35" s="152">
        <f>IF($A35="","",IFERROR(INDEX(Company_List!$G$3:$G$207,MATCH($A35,Company_List!$A$3:$A$207,0)),"unassigned"))</f>
        <v/>
      </c>
      <c r="AM35" s="152" t="inlineStr">
        <is>
          <t>Phase 2/Apple/Q3 2025 Earnings Call Transcript.pdf; Phase 2/Apple/FY25_Q3_Consolidated_Financial_Statements.pdf</t>
        </is>
      </c>
      <c r="AN35" s="152" t="n"/>
      <c r="AO35" s="152" t="inlineStr">
        <is>
          <t>whole bundle (Document = All)</t>
        </is>
      </c>
      <c r="AP35" s="152">
        <f>IF($A35="","",IF(COUNTIFS(LLM_Data_Entry!$A$3:$A$548,$A35)&gt;0,"YES","NO"))</f>
        <v/>
      </c>
      <c r="AQ35" s="152">
        <f>IF($A35="","",IF(COUNTIFS($A$3:$A35,$A35,$C$3:$C35,$C35,$D$3:$D35,$D35)=1,"YES","NO"))</f>
        <v/>
      </c>
      <c r="AR35" s="152">
        <f>IF($A35="","",IF(AND($C35&amp;"-"&amp;$D35&gt;=Settings!$B$19,$C35&amp;"-"&amp;$D35&lt;=Settings!$B$20),"IN","OUT"))</f>
        <v/>
      </c>
      <c r="AS35" s="152">
        <f>IF($A35="","",IF($F35="Financial Results","financials",IF($F35="Outlook/Guidance","guidance",IF($F35="Transcript Q&amp;A","qanda",IF($F35="","unrecorded",IF($E35="All","full",IF($E35="","unrecorded",LOWER($E35)&amp;" only")))))))</f>
        <v/>
      </c>
      <c r="AT35" s="152">
        <f>IF(AND(OR($J35="BUY",$J35="SELL"),ISNUMBER($U35)),$U35,"")</f>
        <v/>
      </c>
      <c r="AU35" s="152">
        <f>IF(AND(OR($J35="BUY",$J35="SELL"),ISNUMBER($AK35)),$AK35,"")</f>
        <v/>
      </c>
      <c r="AV35" s="152">
        <f>IF(ISNUMBER($AT35),ABS(IF(ISNUMBER($I35),$I35,0)-Settings!$B$24),"")</f>
        <v/>
      </c>
      <c r="AW35" s="152">
        <f>IF(ISNUMBER($AV35),$AV35*$AT35,"")</f>
        <v/>
      </c>
      <c r="AX35" s="152">
        <f>IF(ISNUMBER($AU35),ABS(IF(ISNUMBER($I35),$I35,0)-Settings!$B$24),"")</f>
        <v/>
      </c>
      <c r="AY35" s="152" t="inlineStr">
        <is>
          <t>FROZEN</t>
        </is>
      </c>
      <c r="AZ35" s="152">
        <f>IF($A35="","",IFERROR(INDEX(Company_List!$H$3:$H$207,MATCH($A35,Company_List!$A$3:$A$207,0)),"unassigned"))</f>
        <v/>
      </c>
      <c r="BA35" s="152" t="n"/>
      <c r="BB35" s="152" t="n"/>
      <c r="BC35" s="152">
        <f>IF($A35="","",IF(COUNTIFS($A$3:$A35,$A35,$C$3:$C35,$C35,$D$3:$D35,$D35,$G$3:$G35,$G35)=1,1,0))</f>
        <v/>
      </c>
      <c r="BD35" s="152" t="n"/>
      <c r="BE35" s="152" t="n"/>
      <c r="BF35" s="152" t="n"/>
      <c r="BG35" s="152" t="inlineStr">
        <is>
          <t>no</t>
        </is>
      </c>
      <c r="BH35" s="152" t="n"/>
      <c r="BI35" s="152" t="n"/>
      <c r="BJ35" s="152" t="n"/>
      <c r="BK35" s="152">
        <f>IF(OR($H35&lt;&gt;"Human",$S35="",$J35="",$Y35="",$Z35=""),"",IF(EXACT(UPPER($J35),UPPER($Y35)),1,0))</f>
        <v/>
      </c>
      <c r="BL35" s="152" t="inlineStr">
        <is>
          <t>assumed - no rater record</t>
        </is>
      </c>
      <c r="BM35" s="152" t="n">
        <v>2</v>
      </c>
      <c r="BN35" s="152" t="inlineStr">
        <is>
          <t>The Motley Fool</t>
        </is>
      </c>
      <c r="BO35" s="152" t="inlineStr">
        <is>
          <t>free to read, copyright asserted</t>
        </is>
      </c>
      <c r="BP35" s="152" t="inlineStr">
        <is>
          <t>no</t>
        </is>
      </c>
      <c r="BQ35" s="152" t="inlineStr">
        <is>
          <t>no</t>
        </is>
      </c>
      <c r="BR35" s="152" t="n"/>
      <c r="BS35" s="152" t="inlineStr">
        <is>
          <t>YES</t>
        </is>
      </c>
      <c r="BT35" s="152" t="n"/>
    </row>
    <row r="36" ht="15" customHeight="1" s="241">
      <c r="A36" s="174" t="inlineStr">
        <is>
          <t>Apple</t>
        </is>
      </c>
      <c r="B36" s="175">
        <f>IF(A36="","",_xlfn.XLOOKUP(A36, Company_List!$A:$A, Company_List!$B:$B, ""))</f>
        <v/>
      </c>
      <c r="C36" s="176" t="n">
        <v>2025</v>
      </c>
      <c r="D36" s="177" t="inlineStr">
        <is>
          <t>Q4</t>
        </is>
      </c>
      <c r="E36" s="178" t="inlineStr">
        <is>
          <t>All</t>
        </is>
      </c>
      <c r="F36" s="178" t="inlineStr">
        <is>
          <t>All</t>
        </is>
      </c>
      <c r="G36" s="177" t="inlineStr">
        <is>
          <t>Meriem</t>
        </is>
      </c>
      <c r="H36" s="177" t="inlineStr">
        <is>
          <t>Human</t>
        </is>
      </c>
      <c r="I36" s="179" t="n">
        <v>0.3</v>
      </c>
      <c r="J36" s="180">
        <f>IF(OR(I36="",Settings!$B$6=""),"",IF(I36&gt;Settings!$B$6,"BUY",IF(I36&lt;-Settings!$B$6,"SELL","HOLD")))</f>
        <v/>
      </c>
      <c r="K36" s="181" t="n">
        <v>30</v>
      </c>
      <c r="L36" s="182" t="n">
        <v>45960</v>
      </c>
      <c r="M36" s="182" t="n">
        <v>45960</v>
      </c>
      <c r="N36" s="179" t="n">
        <v>271.4</v>
      </c>
      <c r="O36" s="182" t="n">
        <v>45961</v>
      </c>
      <c r="P36" s="183" t="n">
        <v>276.99</v>
      </c>
      <c r="Q36" s="184">
        <f>IF(OR(N36="",P36=""),"",ROUND((P36-N36)/N36,4))</f>
        <v/>
      </c>
      <c r="R36" s="177">
        <f>IF(OR(N36="",P36=""),"",IF(Q36&gt;Settings!$B$3/100,"UP",IF(Q36&lt;-Settings!$B$3/100,"DOWN","FLAT")))</f>
        <v/>
      </c>
      <c r="S36" s="177">
        <f>IF(OR(N36="",P36="",J36=""),"",IF(OR(AND(J36="BUY",R36="UP"),AND(J36="SELL",R36="DOWN"),AND(J36="HOLD",R36="FLAT")),"YES","NO"))</f>
        <v/>
      </c>
      <c r="T36" s="176">
        <f>IF(J36="","",IF(J36="BUY",1,IF(J36="SELL",-1,0)))</f>
        <v/>
      </c>
      <c r="U36" s="184">
        <f>IFERROR(IF(OR(J36="",N36="",P36=""),"",IF(T36=0,0,T36*Q36-Settings!$B$4/10000-IF(T36&lt;0,Settings!$B$5/10000,0))),"")</f>
        <v/>
      </c>
      <c r="V36" s="185" t="inlineStr">
        <is>
          <t>revenue up; guidance is good and seems more certain than previous quarter. numbers look better</t>
        </is>
      </c>
      <c r="W36" s="176">
        <f>IF($K36="","",$K36*60)</f>
        <v/>
      </c>
      <c r="X36" s="186">
        <f>IF($A36="","",$A36&amp;"|"&amp;$C36&amp;"|"&amp;$D36)</f>
        <v/>
      </c>
      <c r="Y36" s="186">
        <f>IFERROR(IF($X36="","",INDEX(LLM_Data_Entry!$H$3:$H$548,MATCH($X36,INDEX(LLM_Data_Entry!$A$3:$A$548&amp;"|"&amp;LLM_Data_Entry!$C$3:$C$548&amp;"|"&amp;LLM_Data_Entry!$D$3:$D$548,0),0))),"")</f>
        <v/>
      </c>
      <c r="Z36" s="186">
        <f>IFERROR(IF($X36="","",INDEX(LLM_Data_Entry!$R$3:$R$548,MATCH($X36,INDEX(LLM_Data_Entry!$A$3:$A$548&amp;"|"&amp;LLM_Data_Entry!$C$3:$C$548&amp;"|"&amp;LLM_Data_Entry!$D$3:$D$548,0),0))),"")</f>
        <v/>
      </c>
      <c r="AA36" s="152" t="n"/>
      <c r="AB36" s="152" t="inlineStr">
        <is>
          <t>earnings calendar, seconded independently (section C)</t>
        </is>
      </c>
      <c r="AC36" s="152" t="inlineStr">
        <is>
          <t>AAPL</t>
        </is>
      </c>
      <c r="AD36" s="152" t="inlineStr">
        <is>
          <t>2025-10-30</t>
        </is>
      </c>
      <c r="AE36" s="152" t="n">
        <v>270.6343</v>
      </c>
      <c r="AF36" s="152" t="inlineStr">
        <is>
          <t>2025-10-31</t>
        </is>
      </c>
      <c r="AG36" s="152" t="n">
        <v>276.2086</v>
      </c>
      <c r="AH36" s="152" t="n">
        <v>0.02059686882660206</v>
      </c>
      <c r="AI36" s="152" t="inlineStr">
        <is>
          <t>UP</t>
        </is>
      </c>
      <c r="AJ36" s="152" t="inlineStr">
        <is>
          <t>YES</t>
        </is>
      </c>
      <c r="AK36" s="152" t="n">
        <v>0.019597</v>
      </c>
      <c r="AL36" s="152">
        <f>IF($A36="","",IFERROR(INDEX(Company_List!$G$3:$G$207,MATCH($A36,Company_List!$A$3:$A$207,0)),"unassigned"))</f>
        <v/>
      </c>
      <c r="AM36" s="152" t="inlineStr">
        <is>
          <t>Phase 2/Apple/Q4 2025 Earnings Call Transcript.pdf; Phase 2/Apple/FY25_Q4_Consolidated_Financial_Statements.pdf</t>
        </is>
      </c>
      <c r="AN36" s="152" t="n"/>
      <c r="AO36" s="152" t="inlineStr">
        <is>
          <t>whole bundle (Document = All)</t>
        </is>
      </c>
      <c r="AP36" s="152">
        <f>IF($A36="","",IF(COUNTIFS(LLM_Data_Entry!$A$3:$A$548,$A36)&gt;0,"YES","NO"))</f>
        <v/>
      </c>
      <c r="AQ36" s="152">
        <f>IF($A36="","",IF(COUNTIFS($A$3:$A36,$A36,$C$3:$C36,$C36,$D$3:$D36,$D36)=1,"YES","NO"))</f>
        <v/>
      </c>
      <c r="AR36" s="152">
        <f>IF($A36="","",IF(AND($C36&amp;"-"&amp;$D36&gt;=Settings!$B$19,$C36&amp;"-"&amp;$D36&lt;=Settings!$B$20),"IN","OUT"))</f>
        <v/>
      </c>
      <c r="AS36" s="152">
        <f>IF($A36="","",IF($F36="Financial Results","financials",IF($F36="Outlook/Guidance","guidance",IF($F36="Transcript Q&amp;A","qanda",IF($F36="","unrecorded",IF($E36="All","full",IF($E36="","unrecorded",LOWER($E36)&amp;" only")))))))</f>
        <v/>
      </c>
      <c r="AT36" s="152">
        <f>IF(AND(OR($J36="BUY",$J36="SELL"),ISNUMBER($U36)),$U36,"")</f>
        <v/>
      </c>
      <c r="AU36" s="152">
        <f>IF(AND(OR($J36="BUY",$J36="SELL"),ISNUMBER($AK36)),$AK36,"")</f>
        <v/>
      </c>
      <c r="AV36" s="152">
        <f>IF(ISNUMBER($AT36),ABS(IF(ISNUMBER($I36),$I36,0)-Settings!$B$24),"")</f>
        <v/>
      </c>
      <c r="AW36" s="152">
        <f>IF(ISNUMBER($AV36),$AV36*$AT36,"")</f>
        <v/>
      </c>
      <c r="AX36" s="152">
        <f>IF(ISNUMBER($AU36),ABS(IF(ISNUMBER($I36),$I36,0)-Settings!$B$24),"")</f>
        <v/>
      </c>
      <c r="AY36" s="152" t="inlineStr">
        <is>
          <t>FROZEN</t>
        </is>
      </c>
      <c r="AZ36" s="152">
        <f>IF($A36="","",IFERROR(INDEX(Company_List!$H$3:$H$207,MATCH($A36,Company_List!$A$3:$A$207,0)),"unassigned"))</f>
        <v/>
      </c>
      <c r="BA36" s="152" t="n"/>
      <c r="BB36" s="152" t="n"/>
      <c r="BC36" s="152">
        <f>IF($A36="","",IF(COUNTIFS($A$3:$A36,$A36,$C$3:$C36,$C36,$D$3:$D36,$D36,$G$3:$G36,$G36)=1,1,0))</f>
        <v/>
      </c>
      <c r="BD36" s="152" t="n"/>
      <c r="BE36" s="152" t="n"/>
      <c r="BF36" s="152" t="n"/>
      <c r="BG36" s="152" t="inlineStr">
        <is>
          <t>no</t>
        </is>
      </c>
      <c r="BH36" s="152" t="n"/>
      <c r="BI36" s="152" t="n"/>
      <c r="BJ36" s="152" t="n"/>
      <c r="BK36" s="152">
        <f>IF(OR($H36&lt;&gt;"Human",$S36="",$J36="",$Y36="",$Z36=""),"",IF(EXACT(UPPER($J36),UPPER($Y36)),1,0))</f>
        <v/>
      </c>
      <c r="BL36" s="152" t="inlineStr">
        <is>
          <t>assumed - no rater record</t>
        </is>
      </c>
      <c r="BM36" s="152" t="n">
        <v>2</v>
      </c>
      <c r="BN36" s="152" t="inlineStr">
        <is>
          <t>The Motley Fool</t>
        </is>
      </c>
      <c r="BO36" s="152" t="inlineStr">
        <is>
          <t>free to read, copyright asserted</t>
        </is>
      </c>
      <c r="BP36" s="152" t="inlineStr">
        <is>
          <t>no</t>
        </is>
      </c>
      <c r="BQ36" s="152" t="inlineStr">
        <is>
          <t>no</t>
        </is>
      </c>
      <c r="BR36" s="152" t="n"/>
      <c r="BS36" s="152" t="inlineStr">
        <is>
          <t>YES</t>
        </is>
      </c>
      <c r="BT36" s="152" t="n"/>
    </row>
    <row r="37" ht="15" customHeight="1" s="241">
      <c r="A37" s="174" t="inlineStr">
        <is>
          <t>Apple</t>
        </is>
      </c>
      <c r="B37" s="175">
        <f>IF(A37="","",_xlfn.XLOOKUP(A37, Company_List!$A:$A, Company_List!$B:$B, ""))</f>
        <v/>
      </c>
      <c r="C37" s="176" t="n">
        <v>2026</v>
      </c>
      <c r="D37" s="177" t="inlineStr">
        <is>
          <t>Q1</t>
        </is>
      </c>
      <c r="E37" s="178" t="inlineStr">
        <is>
          <t>All</t>
        </is>
      </c>
      <c r="F37" s="178" t="inlineStr">
        <is>
          <t>All</t>
        </is>
      </c>
      <c r="G37" s="177" t="inlineStr">
        <is>
          <t>Meriem</t>
        </is>
      </c>
      <c r="H37" s="177" t="inlineStr">
        <is>
          <t>Human</t>
        </is>
      </c>
      <c r="I37" s="179" t="n">
        <v>0.5</v>
      </c>
      <c r="J37" s="180">
        <f>IF(OR(I37="",Settings!$B$6=""),"",IF(I37&gt;Settings!$B$6,"BUY",IF(I37&lt;-Settings!$B$6,"SELL","HOLD")))</f>
        <v/>
      </c>
      <c r="K37" s="181" t="n">
        <v>22</v>
      </c>
      <c r="L37" s="182" t="n">
        <v>46051</v>
      </c>
      <c r="M37" s="182" t="n">
        <v>46051</v>
      </c>
      <c r="N37" s="179" t="n">
        <v>258.28</v>
      </c>
      <c r="O37" s="182" t="n">
        <v>46052</v>
      </c>
      <c r="P37" s="183" t="n">
        <v>255.17</v>
      </c>
      <c r="Q37" s="184">
        <f>IF(OR(N37="",P37=""),"",ROUND((P37-N37)/N37,4))</f>
        <v/>
      </c>
      <c r="R37" s="177">
        <f>IF(OR(N37="",P37=""),"",IF(Q37&gt;Settings!$B$3/100,"UP",IF(Q37&lt;-Settings!$B$3/100,"DOWN","FLAT")))</f>
        <v/>
      </c>
      <c r="S37" s="177">
        <f>IF(OR(N37="",P37="",J37=""),"",IF(OR(AND(J37="BUY",R37="UP"),AND(J37="SELL",R37="DOWN"),AND(J37="HOLD",R37="FLAT")),"YES","NO"))</f>
        <v/>
      </c>
      <c r="T37" s="176">
        <f>IF(J37="","",IF(J37="BUY",1,IF(J37="SELL",-1,0)))</f>
        <v/>
      </c>
      <c r="U37" s="184">
        <f>IFERROR(IF(OR(J37="",N37="",P37=""),"",IF(T37=0,0,T37*Q37-Settings!$B$4/10000-IF(T37&lt;0,Settings!$B$5/10000,0))),"")</f>
        <v/>
      </c>
      <c r="V37" s="185" t="inlineStr">
        <is>
          <t>revenue is up; numbers are great (better than two previous quarters)</t>
        </is>
      </c>
      <c r="W37" s="176">
        <f>IF($K37="","",$K37*60)</f>
        <v/>
      </c>
      <c r="X37" s="186">
        <f>IF($A37="","",$A37&amp;"|"&amp;$C37&amp;"|"&amp;$D37)</f>
        <v/>
      </c>
      <c r="Y37" s="186">
        <f>IFERROR(IF($X37="","",INDEX(LLM_Data_Entry!$H$3:$H$548,MATCH($X37,INDEX(LLM_Data_Entry!$A$3:$A$548&amp;"|"&amp;LLM_Data_Entry!$C$3:$C$548&amp;"|"&amp;LLM_Data_Entry!$D$3:$D$548,0),0))),"")</f>
        <v/>
      </c>
      <c r="Z37" s="186">
        <f>IFERROR(IF($X37="","",INDEX(LLM_Data_Entry!$R$3:$R$548,MATCH($X37,INDEX(LLM_Data_Entry!$A$3:$A$548&amp;"|"&amp;LLM_Data_Entry!$C$3:$C$548&amp;"|"&amp;LLM_Data_Entry!$D$3:$D$548,0),0))),"")</f>
        <v/>
      </c>
      <c r="AA37" s="152" t="n"/>
      <c r="AB37" s="152" t="inlineStr">
        <is>
          <t>price signal — only this window shows an abnormal move</t>
        </is>
      </c>
      <c r="AC37" s="152" t="inlineStr">
        <is>
          <t>AAPL</t>
        </is>
      </c>
      <c r="AD37" s="152" t="inlineStr">
        <is>
          <t>2026-01-29</t>
        </is>
      </c>
      <c r="AE37" s="152" t="n">
        <v>257.801</v>
      </c>
      <c r="AF37" s="152" t="inlineStr">
        <is>
          <t>2026-01-30</t>
        </is>
      </c>
      <c r="AG37" s="152" t="n">
        <v>254.6968</v>
      </c>
      <c r="AH37" s="152" t="n">
        <v>-0.01204109121342554</v>
      </c>
      <c r="AI37" s="152" t="inlineStr">
        <is>
          <t>FLAT</t>
        </is>
      </c>
      <c r="AJ37" s="152" t="inlineStr">
        <is>
          <t>NO</t>
        </is>
      </c>
      <c r="AK37" s="152" t="n">
        <v>-0.013041</v>
      </c>
      <c r="AL37" s="152">
        <f>IF($A37="","",IFERROR(INDEX(Company_List!$G$3:$G$207,MATCH($A37,Company_List!$A$3:$A$207,0)),"unassigned"))</f>
        <v/>
      </c>
      <c r="AM37" s="152" t="inlineStr">
        <is>
          <t>Phase 2/Apple/Q1 2026 Earnings Call Transcript.pdf; Phase 2/Apple/FY26_Q1_Consolidated_Financial_Statements.pdf</t>
        </is>
      </c>
      <c r="AN37" s="152" t="n"/>
      <c r="AO37" s="152" t="inlineStr">
        <is>
          <t>whole bundle (Document = All)</t>
        </is>
      </c>
      <c r="AP37" s="152">
        <f>IF($A37="","",IF(COUNTIFS(LLM_Data_Entry!$A$3:$A$548,$A37)&gt;0,"YES","NO"))</f>
        <v/>
      </c>
      <c r="AQ37" s="152">
        <f>IF($A37="","",IF(COUNTIFS($A$3:$A37,$A37,$C$3:$C37,$C37,$D$3:$D37,$D37)=1,"YES","NO"))</f>
        <v/>
      </c>
      <c r="AR37" s="152">
        <f>IF($A37="","",IF(AND($C37&amp;"-"&amp;$D37&gt;=Settings!$B$19,$C37&amp;"-"&amp;$D37&lt;=Settings!$B$20),"IN","OUT"))</f>
        <v/>
      </c>
      <c r="AS37" s="152">
        <f>IF($A37="","",IF($F37="Financial Results","financials",IF($F37="Outlook/Guidance","guidance",IF($F37="Transcript Q&amp;A","qanda",IF($F37="","unrecorded",IF($E37="All","full",IF($E37="","unrecorded",LOWER($E37)&amp;" only")))))))</f>
        <v/>
      </c>
      <c r="AT37" s="152">
        <f>IF(AND(OR($J37="BUY",$J37="SELL"),ISNUMBER($U37)),$U37,"")</f>
        <v/>
      </c>
      <c r="AU37" s="152">
        <f>IF(AND(OR($J37="BUY",$J37="SELL"),ISNUMBER($AK37)),$AK37,"")</f>
        <v/>
      </c>
      <c r="AV37" s="152">
        <f>IF(ISNUMBER($AT37),ABS(IF(ISNUMBER($I37),$I37,0)-Settings!$B$24),"")</f>
        <v/>
      </c>
      <c r="AW37" s="152">
        <f>IF(ISNUMBER($AV37),$AV37*$AT37,"")</f>
        <v/>
      </c>
      <c r="AX37" s="152">
        <f>IF(ISNUMBER($AU37),ABS(IF(ISNUMBER($I37),$I37,0)-Settings!$B$24),"")</f>
        <v/>
      </c>
      <c r="AY37" s="152" t="inlineStr">
        <is>
          <t>FROZEN</t>
        </is>
      </c>
      <c r="AZ37" s="152">
        <f>IF($A37="","",IFERROR(INDEX(Company_List!$H$3:$H$207,MATCH($A37,Company_List!$A$3:$A$207,0)),"unassigned"))</f>
        <v/>
      </c>
      <c r="BA37" s="152" t="n"/>
      <c r="BB37" s="152" t="n"/>
      <c r="BC37" s="152">
        <f>IF($A37="","",IF(COUNTIFS($A$3:$A37,$A37,$C$3:$C37,$C37,$D$3:$D37,$D37,$G$3:$G37,$G37)=1,1,0))</f>
        <v/>
      </c>
      <c r="BD37" s="152" t="n"/>
      <c r="BE37" s="152" t="n"/>
      <c r="BF37" s="152" t="n"/>
      <c r="BG37" s="152" t="inlineStr">
        <is>
          <t>no</t>
        </is>
      </c>
      <c r="BH37" s="152" t="n"/>
      <c r="BI37" s="152" t="n"/>
      <c r="BJ37" s="152" t="n"/>
      <c r="BK37" s="152">
        <f>IF(OR($H37&lt;&gt;"Human",$S37="",$J37="",$Y37="",$Z37=""),"",IF(EXACT(UPPER($J37),UPPER($Y37)),1,0))</f>
        <v/>
      </c>
      <c r="BL37" s="152" t="inlineStr">
        <is>
          <t>assumed - no rater record</t>
        </is>
      </c>
      <c r="BM37" s="152" t="n">
        <v>2</v>
      </c>
      <c r="BN37" s="152" t="inlineStr">
        <is>
          <t>The Motley Fool</t>
        </is>
      </c>
      <c r="BO37" s="152" t="inlineStr">
        <is>
          <t>free to read, copyright asserted</t>
        </is>
      </c>
      <c r="BP37" s="152" t="inlineStr">
        <is>
          <t>no</t>
        </is>
      </c>
      <c r="BQ37" s="152" t="inlineStr">
        <is>
          <t>no</t>
        </is>
      </c>
      <c r="BR37" s="152" t="n"/>
      <c r="BS37" s="152" t="inlineStr">
        <is>
          <t>YES</t>
        </is>
      </c>
      <c r="BT37" s="152" t="n"/>
    </row>
    <row r="38" ht="15" customHeight="1" s="241">
      <c r="A38" s="174" t="inlineStr">
        <is>
          <t>Coca-Cola</t>
        </is>
      </c>
      <c r="B38" s="175">
        <f>IF(A38="","",_xlfn.XLOOKUP(A38, Company_List!$A:$A, Company_List!$B:$B, ""))</f>
        <v/>
      </c>
      <c r="C38" s="176" t="n">
        <v>2025</v>
      </c>
      <c r="D38" s="177" t="inlineStr">
        <is>
          <t>Q2</t>
        </is>
      </c>
      <c r="E38" s="178" t="inlineStr">
        <is>
          <t>All</t>
        </is>
      </c>
      <c r="F38" s="178" t="inlineStr">
        <is>
          <t>All</t>
        </is>
      </c>
      <c r="G38" s="177" t="inlineStr">
        <is>
          <t>Meriem</t>
        </is>
      </c>
      <c r="H38" s="177" t="inlineStr">
        <is>
          <t>Human</t>
        </is>
      </c>
      <c r="I38" s="179" t="n">
        <v>0.2</v>
      </c>
      <c r="J38" s="180">
        <f>IF(OR(I38="",Settings!$B$6=""),"",IF(I38&gt;Settings!$B$6,"BUY",IF(I38&lt;-Settings!$B$6,"SELL","HOLD")))</f>
        <v/>
      </c>
      <c r="K38" s="181" t="n">
        <v>35</v>
      </c>
      <c r="L38" s="182" t="n">
        <v>45860</v>
      </c>
      <c r="M38" s="182" t="n">
        <v>45859</v>
      </c>
      <c r="N38" s="179" t="n">
        <v>70.06999999999999</v>
      </c>
      <c r="O38" s="182" t="n">
        <v>45860</v>
      </c>
      <c r="P38" s="183" t="n">
        <v>69.45</v>
      </c>
      <c r="Q38" s="184">
        <f>IF(OR(N38="",P38=""),"",ROUND((P38-N38)/N38,4))</f>
        <v/>
      </c>
      <c r="R38" s="177">
        <f>IF(OR(N38="",P38=""),"",IF(Q38&gt;Settings!$B$3/100,"UP",IF(Q38&lt;-Settings!$B$3/100,"DOWN","FLAT")))</f>
        <v/>
      </c>
      <c r="S38" s="177">
        <f>IF(OR(N38="",P38="",J38=""),"",IF(OR(AND(J38="BUY",R38="UP"),AND(J38="SELL",R38="DOWN"),AND(J38="HOLD",R38="FLAT")),"YES","NO"))</f>
        <v/>
      </c>
      <c r="T38" s="176">
        <f>IF(J38="","",IF(J38="BUY",1,IF(J38="SELL",-1,0)))</f>
        <v/>
      </c>
      <c r="U38" s="184">
        <f>IFERROR(IF(OR(J38="",N38="",P38=""),"",IF(T38=0,0,T38*Q38-Settings!$B$4/10000-IF(T38&lt;0,Settings!$B$5/10000,0))),"")</f>
        <v/>
      </c>
      <c r="V38" s="185" t="inlineStr">
        <is>
          <t>adverse weather conditions not great so recovery might not be good right now; growth expanded but Asia’s volume is down. so hold</t>
        </is>
      </c>
      <c r="W38" s="176">
        <f>IF($K38="","",$K38*60)</f>
        <v/>
      </c>
      <c r="X38" s="186">
        <f>IF($A38="","",$A38&amp;"|"&amp;$C38&amp;"|"&amp;$D38)</f>
        <v/>
      </c>
      <c r="Y38" s="186">
        <f>IFERROR(IF($X38="","",INDEX(LLM_Data_Entry!$H$3:$H$548,MATCH($X38,INDEX(LLM_Data_Entry!$A$3:$A$548&amp;"|"&amp;LLM_Data_Entry!$C$3:$C$548&amp;"|"&amp;LLM_Data_Entry!$D$3:$D$548,0),0))),"")</f>
        <v/>
      </c>
      <c r="Z38" s="186">
        <f>IFERROR(IF($X38="","",INDEX(LLM_Data_Entry!$R$3:$R$548,MATCH($X38,INDEX(LLM_Data_Entry!$A$3:$A$548&amp;"|"&amp;LLM_Data_Entry!$C$3:$C$548&amp;"|"&amp;LLM_Data_Entry!$D$3:$D$548,0),0))),"")</f>
        <v/>
      </c>
      <c r="AA38" s="152" t="n"/>
      <c r="AB38" s="152" t="inlineStr">
        <is>
          <t>release date + stated time</t>
        </is>
      </c>
      <c r="AC38" s="152" t="inlineStr">
        <is>
          <t>KO</t>
        </is>
      </c>
      <c r="AD38" s="152" t="inlineStr">
        <is>
          <t>2025-07-21</t>
        </is>
      </c>
      <c r="AE38" s="152" t="n">
        <v>68.14019999999999</v>
      </c>
      <c r="AF38" s="152" t="inlineStr">
        <is>
          <t>2025-07-22</t>
        </is>
      </c>
      <c r="AG38" s="152" t="n">
        <v>67.5373</v>
      </c>
      <c r="AH38" s="152" t="n">
        <v>-0.008848346685875993</v>
      </c>
      <c r="AI38" s="152" t="inlineStr">
        <is>
          <t>FLAT</t>
        </is>
      </c>
      <c r="AJ38" s="152" t="inlineStr">
        <is>
          <t>YES</t>
        </is>
      </c>
      <c r="AK38" s="152" t="n">
        <v>0</v>
      </c>
      <c r="AL38" s="152">
        <f>IF($A38="","",IFERROR(INDEX(Company_List!$G$3:$G$207,MATCH($A38,Company_List!$A$3:$A$207,0)),"unassigned"))</f>
        <v/>
      </c>
      <c r="AM38" s="152" t="inlineStr">
        <is>
          <t>Phase 2/Coca-Cola/Q2 2025 Earnings Call Transcript.pdf</t>
        </is>
      </c>
      <c r="AN38" s="152" t="n"/>
      <c r="AO38" s="152" t="inlineStr">
        <is>
          <t>unique filename match</t>
        </is>
      </c>
      <c r="AP38" s="152">
        <f>IF($A38="","",IF(COUNTIFS(LLM_Data_Entry!$A$3:$A$548,$A38)&gt;0,"YES","NO"))</f>
        <v/>
      </c>
      <c r="AQ38" s="152">
        <f>IF($A38="","",IF(COUNTIFS($A$3:$A38,$A38,$C$3:$C38,$C38,$D$3:$D38,$D38)=1,"YES","NO"))</f>
        <v/>
      </c>
      <c r="AR38" s="152">
        <f>IF($A38="","",IF(AND($C38&amp;"-"&amp;$D38&gt;=Settings!$B$19,$C38&amp;"-"&amp;$D38&lt;=Settings!$B$20),"IN","OUT"))</f>
        <v/>
      </c>
      <c r="AS38" s="152">
        <f>IF($A38="","",IF($F38="Financial Results","financials",IF($F38="Outlook/Guidance","guidance",IF($F38="Transcript Q&amp;A","qanda",IF($F38="","unrecorded",IF($E38="All","full",IF($E38="","unrecorded",LOWER($E38)&amp;" only")))))))</f>
        <v/>
      </c>
      <c r="AT38" s="152">
        <f>IF(AND(OR($J38="BUY",$J38="SELL"),ISNUMBER($U38)),$U38,"")</f>
        <v/>
      </c>
      <c r="AU38" s="152">
        <f>IF(AND(OR($J38="BUY",$J38="SELL"),ISNUMBER($AK38)),$AK38,"")</f>
        <v/>
      </c>
      <c r="AV38" s="152">
        <f>IF(ISNUMBER($AT38),ABS(IF(ISNUMBER($I38),$I38,0)-Settings!$B$24),"")</f>
        <v/>
      </c>
      <c r="AW38" s="152">
        <f>IF(ISNUMBER($AV38),$AV38*$AT38,"")</f>
        <v/>
      </c>
      <c r="AX38" s="152">
        <f>IF(ISNUMBER($AU38),ABS(IF(ISNUMBER($I38),$I38,0)-Settings!$B$24),"")</f>
        <v/>
      </c>
      <c r="AY38" s="152" t="inlineStr">
        <is>
          <t>FROZEN</t>
        </is>
      </c>
      <c r="AZ38" s="152">
        <f>IF($A38="","",IFERROR(INDEX(Company_List!$H$3:$H$207,MATCH($A38,Company_List!$A$3:$A$207,0)),"unassigned"))</f>
        <v/>
      </c>
      <c r="BA38" s="152" t="n"/>
      <c r="BB38" s="152" t="n"/>
      <c r="BC38" s="152">
        <f>IF($A38="","",IF(COUNTIFS($A$3:$A38,$A38,$C$3:$C38,$C38,$D$3:$D38,$D38,$G$3:$G38,$G38)=1,1,0))</f>
        <v/>
      </c>
      <c r="BD38" s="152" t="n"/>
      <c r="BE38" s="152" t="n"/>
      <c r="BF38" s="152" t="n"/>
      <c r="BG38" s="152" t="inlineStr">
        <is>
          <t>no</t>
        </is>
      </c>
      <c r="BH38" s="152" t="n"/>
      <c r="BI38" s="152" t="n"/>
      <c r="BJ38" s="152" t="n"/>
      <c r="BK38" s="152">
        <f>IF(OR($H38&lt;&gt;"Human",$S38="",$J38="",$Y38="",$Z38=""),"",IF(EXACT(UPPER($J38),UPPER($Y38)),1,0))</f>
        <v/>
      </c>
      <c r="BL38" s="152" t="inlineStr">
        <is>
          <t>assumed - no rater record</t>
        </is>
      </c>
      <c r="BM38" s="152" t="n">
        <v>1</v>
      </c>
      <c r="BN38" s="152" t="inlineStr">
        <is>
          <t>The Motley Fool</t>
        </is>
      </c>
      <c r="BO38" s="152" t="inlineStr">
        <is>
          <t>free to read, copyright asserted</t>
        </is>
      </c>
      <c r="BP38" s="152" t="inlineStr">
        <is>
          <t>no</t>
        </is>
      </c>
      <c r="BQ38" s="152" t="inlineStr">
        <is>
          <t>no</t>
        </is>
      </c>
      <c r="BR38" s="152" t="n"/>
      <c r="BS38" s="152" t="inlineStr">
        <is>
          <t>YES</t>
        </is>
      </c>
      <c r="BT38" s="152" t="n"/>
    </row>
    <row r="39" ht="15" customHeight="1" s="241">
      <c r="A39" s="174" t="inlineStr">
        <is>
          <t>Coca-Cola</t>
        </is>
      </c>
      <c r="B39" s="175">
        <f>IF(A39="","",_xlfn.XLOOKUP(A39, Company_List!$A:$A, Company_List!$B:$B, ""))</f>
        <v/>
      </c>
      <c r="C39" s="176" t="n">
        <v>2025</v>
      </c>
      <c r="D39" s="177" t="inlineStr">
        <is>
          <t>Q4</t>
        </is>
      </c>
      <c r="E39" s="178" t="inlineStr">
        <is>
          <t>All</t>
        </is>
      </c>
      <c r="F39" s="178" t="inlineStr">
        <is>
          <t>All</t>
        </is>
      </c>
      <c r="G39" s="177" t="inlineStr">
        <is>
          <t>Meriem</t>
        </is>
      </c>
      <c r="H39" s="177" t="inlineStr">
        <is>
          <t>Human</t>
        </is>
      </c>
      <c r="I39" s="179" t="n">
        <v>-0.3</v>
      </c>
      <c r="J39" s="180">
        <f>IF(OR(I39="",Settings!$B$6=""),"",IF(I39&gt;Settings!$B$6,"BUY",IF(I39&lt;-Settings!$B$6,"SELL","HOLD")))</f>
        <v/>
      </c>
      <c r="K39" s="181" t="n">
        <v>28</v>
      </c>
      <c r="L39" s="182" t="n">
        <v>46063</v>
      </c>
      <c r="M39" s="182" t="n">
        <v>46062</v>
      </c>
      <c r="N39" s="179" t="n">
        <v>77.97</v>
      </c>
      <c r="O39" s="182" t="n">
        <v>46063</v>
      </c>
      <c r="P39" s="183" t="n">
        <v>76.63</v>
      </c>
      <c r="Q39" s="184">
        <f>IF(OR(N39="",P39=""),"",ROUND((P39-N39)/N39,4))</f>
        <v/>
      </c>
      <c r="R39" s="177">
        <f>IF(OR(N39="",P39=""),"",IF(Q39&gt;Settings!$B$3/100,"UP",IF(Q39&lt;-Settings!$B$3/100,"DOWN","FLAT")))</f>
        <v/>
      </c>
      <c r="S39" s="177">
        <f>IF(OR(N39="",P39="",J39=""),"",IF(OR(AND(J39="BUY",R39="UP"),AND(J39="SELL",R39="DOWN"),AND(J39="HOLD",R39="FLAT")),"YES","NO"))</f>
        <v/>
      </c>
      <c r="T39" s="176">
        <f>IF(J39="","",IF(J39="BUY",1,IF(J39="SELL",-1,0)))</f>
        <v/>
      </c>
      <c r="U39" s="184">
        <f>IFERROR(IF(OR(J39="",N39="",P39=""),"",IF(T39=0,0,T39*Q39-Settings!$B$4/10000-IF(T39&lt;0,Settings!$B$5/10000,0))),"")</f>
        <v/>
      </c>
      <c r="V39" s="185" t="inlineStr">
        <is>
          <t>leadership transition so added risk; Asia’s volume and revenue still down and uncertainty so sell.</t>
        </is>
      </c>
      <c r="W39" s="176">
        <f>IF($K39="","",$K39*60)</f>
        <v/>
      </c>
      <c r="X39" s="186">
        <f>IF($A39="","",$A39&amp;"|"&amp;$C39&amp;"|"&amp;$D39)</f>
        <v/>
      </c>
      <c r="Y39" s="186">
        <f>IFERROR(IF($X39="","",INDEX(LLM_Data_Entry!$H$3:$H$548,MATCH($X39,INDEX(LLM_Data_Entry!$A$3:$A$548&amp;"|"&amp;LLM_Data_Entry!$C$3:$C$548&amp;"|"&amp;LLM_Data_Entry!$D$3:$D$548,0),0))),"")</f>
        <v/>
      </c>
      <c r="Z39" s="186">
        <f>IFERROR(IF($X39="","",INDEX(LLM_Data_Entry!$R$3:$R$548,MATCH($X39,INDEX(LLM_Data_Entry!$A$3:$A$548&amp;"|"&amp;LLM_Data_Entry!$C$3:$C$548&amp;"|"&amp;LLM_Data_Entry!$D$3:$D$548,0),0))),"")</f>
        <v/>
      </c>
      <c r="AA39" s="152" t="n"/>
      <c r="AB39" s="152" t="inlineStr">
        <is>
          <t>release date + stated time</t>
        </is>
      </c>
      <c r="AC39" s="152" t="inlineStr">
        <is>
          <t>KO</t>
        </is>
      </c>
      <c r="AD39" s="152" t="inlineStr">
        <is>
          <t>2026-02-09</t>
        </is>
      </c>
      <c r="AE39" s="152" t="n">
        <v>76.9408</v>
      </c>
      <c r="AF39" s="152" t="inlineStr">
        <is>
          <t>2026-02-10</t>
        </is>
      </c>
      <c r="AG39" s="152" t="n">
        <v>75.6185</v>
      </c>
      <c r="AH39" s="152" t="n">
        <v>-0.01718625273446614</v>
      </c>
      <c r="AI39" s="152" t="inlineStr">
        <is>
          <t>FLAT</t>
        </is>
      </c>
      <c r="AJ39" s="152" t="inlineStr">
        <is>
          <t>NO</t>
        </is>
      </c>
      <c r="AK39" s="152" t="n">
        <v>0.016186</v>
      </c>
      <c r="AL39" s="152">
        <f>IF($A39="","",IFERROR(INDEX(Company_List!$G$3:$G$207,MATCH($A39,Company_List!$A$3:$A$207,0)),"unassigned"))</f>
        <v/>
      </c>
      <c r="AM39" s="152" t="inlineStr">
        <is>
          <t>Phase 2/Coca-Cola/Q4 2025 Earnings Call Transcript.pdf</t>
        </is>
      </c>
      <c r="AN39" s="152" t="n"/>
      <c r="AO39" s="152" t="inlineStr">
        <is>
          <t>unique filename match</t>
        </is>
      </c>
      <c r="AP39" s="152">
        <f>IF($A39="","",IF(COUNTIFS(LLM_Data_Entry!$A$3:$A$548,$A39)&gt;0,"YES","NO"))</f>
        <v/>
      </c>
      <c r="AQ39" s="152">
        <f>IF($A39="","",IF(COUNTIFS($A$3:$A39,$A39,$C$3:$C39,$C39,$D$3:$D39,$D39)=1,"YES","NO"))</f>
        <v/>
      </c>
      <c r="AR39" s="152">
        <f>IF($A39="","",IF(AND($C39&amp;"-"&amp;$D39&gt;=Settings!$B$19,$C39&amp;"-"&amp;$D39&lt;=Settings!$B$20),"IN","OUT"))</f>
        <v/>
      </c>
      <c r="AS39" s="152">
        <f>IF($A39="","",IF($F39="Financial Results","financials",IF($F39="Outlook/Guidance","guidance",IF($F39="Transcript Q&amp;A","qanda",IF($F39="","unrecorded",IF($E39="All","full",IF($E39="","unrecorded",LOWER($E39)&amp;" only")))))))</f>
        <v/>
      </c>
      <c r="AT39" s="152">
        <f>IF(AND(OR($J39="BUY",$J39="SELL"),ISNUMBER($U39)),$U39,"")</f>
        <v/>
      </c>
      <c r="AU39" s="152">
        <f>IF(AND(OR($J39="BUY",$J39="SELL"),ISNUMBER($AK39)),$AK39,"")</f>
        <v/>
      </c>
      <c r="AV39" s="152">
        <f>IF(ISNUMBER($AT39),ABS(IF(ISNUMBER($I39),$I39,0)-Settings!$B$24),"")</f>
        <v/>
      </c>
      <c r="AW39" s="152">
        <f>IF(ISNUMBER($AV39),$AV39*$AT39,"")</f>
        <v/>
      </c>
      <c r="AX39" s="152">
        <f>IF(ISNUMBER($AU39),ABS(IF(ISNUMBER($I39),$I39,0)-Settings!$B$24),"")</f>
        <v/>
      </c>
      <c r="AY39" s="152" t="inlineStr">
        <is>
          <t>FROZEN</t>
        </is>
      </c>
      <c r="AZ39" s="152">
        <f>IF($A39="","",IFERROR(INDEX(Company_List!$H$3:$H$207,MATCH($A39,Company_List!$A$3:$A$207,0)),"unassigned"))</f>
        <v/>
      </c>
      <c r="BA39" s="152" t="n"/>
      <c r="BB39" s="152" t="n"/>
      <c r="BC39" s="152">
        <f>IF($A39="","",IF(COUNTIFS($A$3:$A39,$A39,$C$3:$C39,$C39,$D$3:$D39,$D39,$G$3:$G39,$G39)=1,1,0))</f>
        <v/>
      </c>
      <c r="BD39" s="152" t="n"/>
      <c r="BE39" s="152" t="n"/>
      <c r="BF39" s="152" t="n"/>
      <c r="BG39" s="152" t="inlineStr">
        <is>
          <t>no</t>
        </is>
      </c>
      <c r="BH39" s="152" t="n"/>
      <c r="BI39" s="152" t="n"/>
      <c r="BJ39" s="152" t="n"/>
      <c r="BK39" s="152">
        <f>IF(OR($H39&lt;&gt;"Human",$S39="",$J39="",$Y39="",$Z39=""),"",IF(EXACT(UPPER($J39),UPPER($Y39)),1,0))</f>
        <v/>
      </c>
      <c r="BL39" s="152" t="inlineStr">
        <is>
          <t>assumed - no rater record</t>
        </is>
      </c>
      <c r="BM39" s="152" t="n">
        <v>1</v>
      </c>
      <c r="BN39" s="152" t="inlineStr">
        <is>
          <t>The Motley Fool</t>
        </is>
      </c>
      <c r="BO39" s="152" t="inlineStr">
        <is>
          <t>free to read, copyright asserted</t>
        </is>
      </c>
      <c r="BP39" s="152" t="inlineStr">
        <is>
          <t>no</t>
        </is>
      </c>
      <c r="BQ39" s="152" t="inlineStr">
        <is>
          <t>no</t>
        </is>
      </c>
      <c r="BR39" s="152" t="n"/>
      <c r="BS39" s="152" t="inlineStr">
        <is>
          <t>YES</t>
        </is>
      </c>
      <c r="BT39" s="152" t="n"/>
    </row>
    <row r="40" ht="15" customHeight="1" s="241">
      <c r="A40" s="174" t="inlineStr">
        <is>
          <t>Coca-Cola</t>
        </is>
      </c>
      <c r="B40" s="175">
        <f>IF(A40="","",_xlfn.XLOOKUP(A40, Company_List!$A:$A, Company_List!$B:$B, ""))</f>
        <v/>
      </c>
      <c r="C40" s="176" t="n">
        <v>2026</v>
      </c>
      <c r="D40" s="177" t="inlineStr">
        <is>
          <t>Q1</t>
        </is>
      </c>
      <c r="E40" s="178" t="inlineStr">
        <is>
          <t>All</t>
        </is>
      </c>
      <c r="F40" s="178" t="inlineStr">
        <is>
          <t>All</t>
        </is>
      </c>
      <c r="G40" s="177" t="inlineStr">
        <is>
          <t>Meriem</t>
        </is>
      </c>
      <c r="H40" s="177" t="inlineStr">
        <is>
          <t>Human</t>
        </is>
      </c>
      <c r="I40" s="179" t="n">
        <v>0.4</v>
      </c>
      <c r="J40" s="180">
        <f>IF(OR(I40="",Settings!$B$6=""),"",IF(I40&gt;Settings!$B$6,"BUY",IF(I40&lt;-Settings!$B$6,"SELL","HOLD")))</f>
        <v/>
      </c>
      <c r="K40" s="181" t="n">
        <v>25</v>
      </c>
      <c r="L40" s="182" t="n">
        <v>46140</v>
      </c>
      <c r="M40" s="182" t="n">
        <v>46139</v>
      </c>
      <c r="N40" s="179" t="n">
        <v>75.44</v>
      </c>
      <c r="O40" s="182" t="n">
        <v>46140</v>
      </c>
      <c r="P40" s="183" t="n">
        <v>79.52</v>
      </c>
      <c r="Q40" s="184">
        <f>IF(OR(N40="",P40=""),"",ROUND((P40-N40)/N40,4))</f>
        <v/>
      </c>
      <c r="R40" s="177">
        <f>IF(OR(N40="",P40=""),"",IF(Q40&gt;Settings!$B$3/100,"UP",IF(Q40&lt;-Settings!$B$3/100,"DOWN","FLAT")))</f>
        <v/>
      </c>
      <c r="S40" s="177">
        <f>IF(OR(N40="",P40="",J40=""),"",IF(OR(AND(J40="BUY",R40="UP"),AND(J40="SELL",R40="DOWN"),AND(J40="HOLD",R40="FLAT")),"YES","NO"))</f>
        <v/>
      </c>
      <c r="T40" s="176">
        <f>IF(J40="","",IF(J40="BUY",1,IF(J40="SELL",-1,0)))</f>
        <v/>
      </c>
      <c r="U40" s="184">
        <f>IFERROR(IF(OR(J40="",N40="",P40=""),"",IF(T40=0,0,T40*Q40-Settings!$B$4/10000-IF(T40&lt;0,Settings!$B$5/10000,0))),"")</f>
        <v/>
      </c>
      <c r="V40" s="185" t="inlineStr">
        <is>
          <t>Asia’s volume and revenue finally up; revenue up as well and EPS up 18%; optimistic tone so buy</t>
        </is>
      </c>
      <c r="W40" s="176">
        <f>IF($K40="","",$K40*60)</f>
        <v/>
      </c>
      <c r="X40" s="186">
        <f>IF($A40="","",$A40&amp;"|"&amp;$C40&amp;"|"&amp;$D40)</f>
        <v/>
      </c>
      <c r="Y40" s="186">
        <f>IFERROR(IF($X40="","",INDEX(LLM_Data_Entry!$H$3:$H$548,MATCH($X40,INDEX(LLM_Data_Entry!$A$3:$A$548&amp;"|"&amp;LLM_Data_Entry!$C$3:$C$548&amp;"|"&amp;LLM_Data_Entry!$D$3:$D$548,0),0))),"")</f>
        <v/>
      </c>
      <c r="Z40" s="186">
        <f>IFERROR(IF($X40="","",INDEX(LLM_Data_Entry!$R$3:$R$548,MATCH($X40,INDEX(LLM_Data_Entry!$A$3:$A$548&amp;"|"&amp;LLM_Data_Entry!$C$3:$C$548&amp;"|"&amp;LLM_Data_Entry!$D$3:$D$548,0),0))),"")</f>
        <v/>
      </c>
      <c r="AA40" s="152" t="n"/>
      <c r="AB40" s="152" t="inlineStr">
        <is>
          <t>release date + stated time</t>
        </is>
      </c>
      <c r="AC40" s="152" t="inlineStr">
        <is>
          <t>KO</t>
        </is>
      </c>
      <c r="AD40" s="152" t="inlineStr">
        <is>
          <t>2026-04-27</t>
        </is>
      </c>
      <c r="AE40" s="152" t="n">
        <v>74.95610000000001</v>
      </c>
      <c r="AF40" s="152" t="inlineStr">
        <is>
          <t>2026-04-28</t>
        </is>
      </c>
      <c r="AG40" s="152" t="n">
        <v>79.0099</v>
      </c>
      <c r="AH40" s="152" t="n">
        <v>0.05408262442542064</v>
      </c>
      <c r="AI40" s="152" t="inlineStr">
        <is>
          <t>UP</t>
        </is>
      </c>
      <c r="AJ40" s="152" t="inlineStr">
        <is>
          <t>YES</t>
        </is>
      </c>
      <c r="AK40" s="152" t="n">
        <v>0.053083</v>
      </c>
      <c r="AL40" s="152">
        <f>IF($A40="","",IFERROR(INDEX(Company_List!$G$3:$G$207,MATCH($A40,Company_List!$A$3:$A$207,0)),"unassigned"))</f>
        <v/>
      </c>
      <c r="AM40" s="152" t="inlineStr">
        <is>
          <t>Phase 2/Coca-Cola/Q1 2026 Earnings Transcript.pdf</t>
        </is>
      </c>
      <c r="AN40" s="152" t="n"/>
      <c r="AO40" s="152" t="inlineStr">
        <is>
          <t>unique filename match</t>
        </is>
      </c>
      <c r="AP40" s="152">
        <f>IF($A40="","",IF(COUNTIFS(LLM_Data_Entry!$A$3:$A$548,$A40)&gt;0,"YES","NO"))</f>
        <v/>
      </c>
      <c r="AQ40" s="152">
        <f>IF($A40="","",IF(COUNTIFS($A$3:$A40,$A40,$C$3:$C40,$C40,$D$3:$D40,$D40)=1,"YES","NO"))</f>
        <v/>
      </c>
      <c r="AR40" s="152">
        <f>IF($A40="","",IF(AND($C40&amp;"-"&amp;$D40&gt;=Settings!$B$19,$C40&amp;"-"&amp;$D40&lt;=Settings!$B$20),"IN","OUT"))</f>
        <v/>
      </c>
      <c r="AS40" s="152">
        <f>IF($A40="","",IF($F40="Financial Results","financials",IF($F40="Outlook/Guidance","guidance",IF($F40="Transcript Q&amp;A","qanda",IF($F40="","unrecorded",IF($E40="All","full",IF($E40="","unrecorded",LOWER($E40)&amp;" only")))))))</f>
        <v/>
      </c>
      <c r="AT40" s="152">
        <f>IF(AND(OR($J40="BUY",$J40="SELL"),ISNUMBER($U40)),$U40,"")</f>
        <v/>
      </c>
      <c r="AU40" s="152">
        <f>IF(AND(OR($J40="BUY",$J40="SELL"),ISNUMBER($AK40)),$AK40,"")</f>
        <v/>
      </c>
      <c r="AV40" s="152">
        <f>IF(ISNUMBER($AT40),ABS(IF(ISNUMBER($I40),$I40,0)-Settings!$B$24),"")</f>
        <v/>
      </c>
      <c r="AW40" s="152">
        <f>IF(ISNUMBER($AV40),$AV40*$AT40,"")</f>
        <v/>
      </c>
      <c r="AX40" s="152">
        <f>IF(ISNUMBER($AU40),ABS(IF(ISNUMBER($I40),$I40,0)-Settings!$B$24),"")</f>
        <v/>
      </c>
      <c r="AY40" s="152" t="inlineStr">
        <is>
          <t>FROZEN</t>
        </is>
      </c>
      <c r="AZ40" s="152">
        <f>IF($A40="","",IFERROR(INDEX(Company_List!$H$3:$H$207,MATCH($A40,Company_List!$A$3:$A$207,0)),"unassigned"))</f>
        <v/>
      </c>
      <c r="BA40" s="152" t="n"/>
      <c r="BB40" s="152" t="n"/>
      <c r="BC40" s="152">
        <f>IF($A40="","",IF(COUNTIFS($A$3:$A40,$A40,$C$3:$C40,$C40,$D$3:$D40,$D40,$G$3:$G40,$G40)=1,1,0))</f>
        <v/>
      </c>
      <c r="BD40" s="152" t="n"/>
      <c r="BE40" s="152" t="n"/>
      <c r="BF40" s="152" t="n"/>
      <c r="BG40" s="152" t="inlineStr">
        <is>
          <t>no</t>
        </is>
      </c>
      <c r="BH40" s="152" t="n"/>
      <c r="BI40" s="152" t="n"/>
      <c r="BJ40" s="152" t="n"/>
      <c r="BK40" s="152">
        <f>IF(OR($H40&lt;&gt;"Human",$S40="",$J40="",$Y40="",$Z40=""),"",IF(EXACT(UPPER($J40),UPPER($Y40)),1,0))</f>
        <v/>
      </c>
      <c r="BL40" s="152" t="inlineStr">
        <is>
          <t>assumed - no rater record</t>
        </is>
      </c>
      <c r="BM40" s="152" t="n">
        <v>1</v>
      </c>
      <c r="BN40" s="152" t="inlineStr">
        <is>
          <t>The Motley Fool</t>
        </is>
      </c>
      <c r="BO40" s="152" t="inlineStr">
        <is>
          <t>free to read, copyright asserted</t>
        </is>
      </c>
      <c r="BP40" s="152" t="inlineStr">
        <is>
          <t>no</t>
        </is>
      </c>
      <c r="BQ40" s="152" t="inlineStr">
        <is>
          <t>no</t>
        </is>
      </c>
      <c r="BR40" s="152" t="n"/>
      <c r="BS40" s="152" t="inlineStr">
        <is>
          <t>YES</t>
        </is>
      </c>
      <c r="BT40" s="152" t="n"/>
    </row>
    <row r="41" ht="15" customHeight="1" s="241">
      <c r="A41" s="174" t="inlineStr">
        <is>
          <t>Bank of America</t>
        </is>
      </c>
      <c r="B41" s="175">
        <f>IF(A41="","",_xlfn.XLOOKUP(A41, Company_List!$A:$A, Company_List!$B:$B, ""))</f>
        <v/>
      </c>
      <c r="C41" s="176" t="n">
        <v>2025</v>
      </c>
      <c r="D41" s="177" t="inlineStr">
        <is>
          <t>Q1</t>
        </is>
      </c>
      <c r="E41" s="178" t="inlineStr">
        <is>
          <t>Transcript</t>
        </is>
      </c>
      <c r="F41" s="178" t="inlineStr">
        <is>
          <t>All</t>
        </is>
      </c>
      <c r="G41" s="177" t="inlineStr">
        <is>
          <t>Abdul</t>
        </is>
      </c>
      <c r="H41" s="177" t="inlineStr">
        <is>
          <t>Human</t>
        </is>
      </c>
      <c r="I41" s="179" t="n">
        <v>0.4</v>
      </c>
      <c r="J41" s="180">
        <f>IF(OR(I41="",Settings!$B$6=""),"",IF(I41&gt;Settings!$B$6,"BUY",IF(I41&lt;-Settings!$B$6,"SELL","HOLD")))</f>
        <v/>
      </c>
      <c r="K41" s="181" t="n">
        <v>60</v>
      </c>
      <c r="L41" s="182" t="n">
        <v>45762</v>
      </c>
      <c r="M41" s="182" t="n">
        <v>45761</v>
      </c>
      <c r="N41" s="179" t="n">
        <v>36.67</v>
      </c>
      <c r="O41" s="182" t="n">
        <v>45762</v>
      </c>
      <c r="P41" s="183" t="n">
        <v>37.8</v>
      </c>
      <c r="Q41" s="184">
        <f>IF(OR(N41="",P41=""),"",ROUND((P41-N41)/N41,4))</f>
        <v/>
      </c>
      <c r="R41" s="177">
        <f>IF(OR(N41="",P41=""),"",IF(Q41&gt;Settings!$B$3/100,"UP",IF(Q41&lt;-Settings!$B$3/100,"DOWN","FLAT")))</f>
        <v/>
      </c>
      <c r="S41" s="177">
        <f>IF(OR(N41="",P41="",J41=""),"",IF(OR(AND(J41="BUY",R41="UP"),AND(J41="SELL",R41="DOWN"),AND(J41="HOLD",R41="FLAT")),"YES","NO"))</f>
        <v/>
      </c>
      <c r="T41" s="176">
        <f>IF(J41="","",IF(J41="BUY",1,IF(J41="SELL",-1,0)))</f>
        <v/>
      </c>
      <c r="U41" s="184">
        <f>IFERROR(IF(OR(J41="",N41="",P41=""),"",IF(T41=0,0,T41*Q41-Settings!$B$4/10000-IF(T41&lt;0,Settings!$B$5/10000,0))),"")</f>
        <v/>
      </c>
      <c r="V41" s="185" t="n"/>
      <c r="W41" s="176">
        <f>IF($K41="","",$K41*60)</f>
        <v/>
      </c>
      <c r="X41" s="186">
        <f>IF($A41="","",$A41&amp;"|"&amp;$C41&amp;"|"&amp;$D41)</f>
        <v/>
      </c>
      <c r="Y41" s="186">
        <f>IFERROR(IF($X41="","",INDEX(LLM_Data_Entry!$H$3:$H$548,MATCH($X41,INDEX(LLM_Data_Entry!$A$3:$A$548&amp;"|"&amp;LLM_Data_Entry!$C$3:$C$548&amp;"|"&amp;LLM_Data_Entry!$D$3:$D$548,0),0))),"")</f>
        <v/>
      </c>
      <c r="Z41" s="186">
        <f>IFERROR(IF($X41="","",INDEX(LLM_Data_Entry!$R$3:$R$548,MATCH($X41,INDEX(LLM_Data_Entry!$A$3:$A$548&amp;"|"&amp;LLM_Data_Entry!$C$3:$C$548&amp;"|"&amp;LLM_Data_Entry!$D$3:$D$548,0),0))),"")</f>
        <v/>
      </c>
      <c r="AA41" s="152" t="n"/>
      <c r="AB41" s="152" t="inlineStr">
        <is>
          <t>price signal — only this window shows an abnormal move</t>
        </is>
      </c>
      <c r="AC41" s="152" t="inlineStr">
        <is>
          <t>BAC</t>
        </is>
      </c>
      <c r="AD41" s="152" t="inlineStr">
        <is>
          <t>2025-04-14</t>
        </is>
      </c>
      <c r="AE41" s="152" t="n">
        <v>35.678</v>
      </c>
      <c r="AF41" s="152" t="inlineStr">
        <is>
          <t>2025-04-15</t>
        </is>
      </c>
      <c r="AG41" s="152" t="n">
        <v>36.7774</v>
      </c>
      <c r="AH41" s="152" t="n">
        <v>0.03081528922337576</v>
      </c>
      <c r="AI41" s="152" t="inlineStr">
        <is>
          <t>UP</t>
        </is>
      </c>
      <c r="AJ41" s="152" t="inlineStr">
        <is>
          <t>YES</t>
        </is>
      </c>
      <c r="AK41" s="152" t="n">
        <v>0.029815</v>
      </c>
      <c r="AL41" s="152">
        <f>IF($A41="","",IFERROR(INDEX(Company_List!$G$3:$G$207,MATCH($A41,Company_List!$A$3:$A$207,0)),"unassigned"))</f>
        <v/>
      </c>
      <c r="AM41" s="152" t="inlineStr">
        <is>
          <t>Phase 2/bank of america/2025-Q1/BAC-2025-Q1-earnings-call-transcript-roic-ai.html</t>
        </is>
      </c>
      <c r="AN41" s="152" t="inlineStr">
        <is>
          <t>roic.ai API /v2/company/earnings-calls/transcript/BAC?year=2025&amp;quarter=1</t>
        </is>
      </c>
      <c r="AO41" s="152" t="inlineStr">
        <is>
          <t>manifest</t>
        </is>
      </c>
      <c r="AP41" s="152">
        <f>IF($A41="","",IF(COUNTIFS(LLM_Data_Entry!$A$3:$A$548,$A41)&gt;0,"YES","NO"))</f>
        <v/>
      </c>
      <c r="AQ41" s="152">
        <f>IF($A41="","",IF(COUNTIFS($A$3:$A41,$A41,$C$3:$C41,$C41,$D$3:$D41,$D41)=1,"YES","NO"))</f>
        <v/>
      </c>
      <c r="AR41" s="152">
        <f>IF($A41="","",IF(AND($C41&amp;"-"&amp;$D41&gt;=Settings!$B$19,$C41&amp;"-"&amp;$D41&lt;=Settings!$B$20),"IN","OUT"))</f>
        <v/>
      </c>
      <c r="AS41" s="152">
        <f>IF($A41="","",IF($F41="Financial Results","financials",IF($F41="Outlook/Guidance","guidance",IF($F41="Transcript Q&amp;A","qanda",IF($F41="","unrecorded",IF($E41="All","full",IF($E41="","unrecorded",LOWER($E41)&amp;" only")))))))</f>
        <v/>
      </c>
      <c r="AT41" s="152">
        <f>IF(AND(OR($J41="BUY",$J41="SELL"),ISNUMBER($U41)),$U41,"")</f>
        <v/>
      </c>
      <c r="AU41" s="152">
        <f>IF(AND(OR($J41="BUY",$J41="SELL"),ISNUMBER($AK41)),$AK41,"")</f>
        <v/>
      </c>
      <c r="AV41" s="152">
        <f>IF(ISNUMBER($AT41),ABS(IF(ISNUMBER($I41),$I41,0)-Settings!$B$24),"")</f>
        <v/>
      </c>
      <c r="AW41" s="152">
        <f>IF(ISNUMBER($AV41),$AV41*$AT41,"")</f>
        <v/>
      </c>
      <c r="AX41" s="152">
        <f>IF(ISNUMBER($AU41),ABS(IF(ISNUMBER($I41),$I41,0)-Settings!$B$24),"")</f>
        <v/>
      </c>
      <c r="AY41" s="152" t="inlineStr">
        <is>
          <t>FROZEN</t>
        </is>
      </c>
      <c r="AZ41" s="152">
        <f>IF($A41="","",IFERROR(INDEX(Company_List!$H$3:$H$207,MATCH($A41,Company_List!$A$3:$A$207,0)),"unassigned"))</f>
        <v/>
      </c>
      <c r="BA41" s="152" t="n"/>
      <c r="BB41" s="152" t="n"/>
      <c r="BC41" s="152">
        <f>IF($A41="","",IF(COUNTIFS($A$3:$A41,$A41,$C$3:$C41,$C41,$D$3:$D41,$D41,$G$3:$G41,$G41)=1,1,0))</f>
        <v/>
      </c>
      <c r="BD41" s="152" t="n"/>
      <c r="BE41" s="152" t="n"/>
      <c r="BF41" s="152" t="n"/>
      <c r="BG41" s="152" t="inlineStr">
        <is>
          <t>no</t>
        </is>
      </c>
      <c r="BH41" s="152" t="n"/>
      <c r="BI41" s="152" t="n"/>
      <c r="BJ41" s="152" t="n"/>
      <c r="BK41" s="152">
        <f>IF(OR($H41&lt;&gt;"Human",$S41="",$J41="",$Y41="",$Z41=""),"",IF(EXACT(UPPER($J41),UPPER($Y41)),1,0))</f>
        <v/>
      </c>
      <c r="BL41" s="152" t="inlineStr">
        <is>
          <t>assumed - no rater record</t>
        </is>
      </c>
      <c r="BM41" s="152" t="n">
        <v>1</v>
      </c>
      <c r="BN41" s="152" t="inlineStr">
        <is>
          <t>not publisher-identified</t>
        </is>
      </c>
      <c r="BO41" s="152" t="inlineStr">
        <is>
          <t>not publisher-identified</t>
        </is>
      </c>
      <c r="BP41" s="152" t="inlineStr">
        <is>
          <t>no</t>
        </is>
      </c>
      <c r="BQ41" s="152" t="inlineStr">
        <is>
          <t>yes</t>
        </is>
      </c>
      <c r="BR41" s="152" t="n"/>
      <c r="BS41" s="152" t="inlineStr">
        <is>
          <t>YES</t>
        </is>
      </c>
      <c r="BT41" s="152" t="n"/>
    </row>
    <row r="42" ht="15" customHeight="1" s="241">
      <c r="A42" s="174" t="inlineStr">
        <is>
          <t>Bank of America</t>
        </is>
      </c>
      <c r="B42" s="175">
        <f>IF(A42="","",_xlfn.XLOOKUP(A42, Company_List!$A:$A, Company_List!$B:$B, ""))</f>
        <v/>
      </c>
      <c r="C42" s="176" t="n">
        <v>2025</v>
      </c>
      <c r="D42" s="177" t="inlineStr">
        <is>
          <t>Q2</t>
        </is>
      </c>
      <c r="E42" s="178" t="inlineStr">
        <is>
          <t>Transcript</t>
        </is>
      </c>
      <c r="F42" s="178" t="inlineStr">
        <is>
          <t>All</t>
        </is>
      </c>
      <c r="G42" s="177" t="inlineStr">
        <is>
          <t>Abdul</t>
        </is>
      </c>
      <c r="H42" s="177" t="inlineStr">
        <is>
          <t>Human</t>
        </is>
      </c>
      <c r="I42" s="179" t="n">
        <v>0.6</v>
      </c>
      <c r="J42" s="180">
        <f>IF(OR(I42="",Settings!$B$6=""),"",IF(I42&gt;Settings!$B$6,"BUY",IF(I42&lt;-Settings!$B$6,"SELL","HOLD")))</f>
        <v/>
      </c>
      <c r="K42" s="181" t="n">
        <v>41</v>
      </c>
      <c r="L42" s="182" t="n">
        <v>45854</v>
      </c>
      <c r="M42" s="182" t="n">
        <v>45853</v>
      </c>
      <c r="N42" s="179" t="n">
        <v>46.15</v>
      </c>
      <c r="O42" s="182" t="n">
        <v>45854</v>
      </c>
      <c r="P42" s="183" t="n">
        <v>46.25</v>
      </c>
      <c r="Q42" s="184">
        <f>IF(OR(N42="",P42=""),"",ROUND((P42-N42)/N42,4))</f>
        <v/>
      </c>
      <c r="R42" s="177">
        <f>IF(OR(N42="",P42=""),"",IF(Q42&gt;Settings!$B$3/100,"UP",IF(Q42&lt;-Settings!$B$3/100,"DOWN","FLAT")))</f>
        <v/>
      </c>
      <c r="S42" s="177">
        <f>IF(OR(N42="",P42="",J42=""),"",IF(OR(AND(J42="BUY",R42="UP"),AND(J42="SELL",R42="DOWN"),AND(J42="HOLD",R42="FLAT")),"YES","NO"))</f>
        <v/>
      </c>
      <c r="T42" s="176">
        <f>IF(J42="","",IF(J42="BUY",1,IF(J42="SELL",-1,0)))</f>
        <v/>
      </c>
      <c r="U42" s="184">
        <f>IFERROR(IF(OR(J42="",N42="",P42=""),"",IF(T42=0,0,T42*Q42-Settings!$B$4/10000-IF(T42&lt;0,Settings!$B$5/10000,0))),"")</f>
        <v/>
      </c>
      <c r="V42" s="185" t="n"/>
      <c r="W42" s="176">
        <f>IF($K42="","",$K42*60)</f>
        <v/>
      </c>
      <c r="X42" s="186">
        <f>IF($A42="","",$A42&amp;"|"&amp;$C42&amp;"|"&amp;$D42)</f>
        <v/>
      </c>
      <c r="Y42" s="186">
        <f>IFERROR(IF($X42="","",INDEX(LLM_Data_Entry!$H$3:$H$548,MATCH($X42,INDEX(LLM_Data_Entry!$A$3:$A$548&amp;"|"&amp;LLM_Data_Entry!$C$3:$C$548&amp;"|"&amp;LLM_Data_Entry!$D$3:$D$548,0),0))),"")</f>
        <v/>
      </c>
      <c r="Z42" s="186">
        <f>IFERROR(IF($X42="","",INDEX(LLM_Data_Entry!$R$3:$R$548,MATCH($X42,INDEX(LLM_Data_Entry!$A$3:$A$548&amp;"|"&amp;LLM_Data_Entry!$C$3:$C$548&amp;"|"&amp;LLM_Data_Entry!$D$3:$D$548,0),0))),"")</f>
        <v/>
      </c>
      <c r="AA42" s="152" t="n"/>
      <c r="AB42" s="152" t="inlineStr">
        <is>
          <t>price signal</t>
        </is>
      </c>
      <c r="AC42" s="152" t="inlineStr">
        <is>
          <t>BAC</t>
        </is>
      </c>
      <c r="AD42" s="152" t="inlineStr">
        <is>
          <t>2025-07-14</t>
        </is>
      </c>
      <c r="AE42" s="152" t="n">
        <v>46.0665</v>
      </c>
      <c r="AF42" s="152" t="inlineStr">
        <is>
          <t>2025-07-15</t>
        </is>
      </c>
      <c r="AG42" s="152" t="n">
        <v>45.8806</v>
      </c>
      <c r="AH42" s="152" t="n">
        <v>-0.004036662747253092</v>
      </c>
      <c r="AI42" s="152" t="inlineStr">
        <is>
          <t>FLAT</t>
        </is>
      </c>
      <c r="AJ42" s="152" t="inlineStr">
        <is>
          <t>NO</t>
        </is>
      </c>
      <c r="AK42" s="152" t="n">
        <v>-0.005037</v>
      </c>
      <c r="AL42" s="152">
        <f>IF($A42="","",IFERROR(INDEX(Company_List!$G$3:$G$207,MATCH($A42,Company_List!$A$3:$A$207,0)),"unassigned"))</f>
        <v/>
      </c>
      <c r="AM42" s="152" t="inlineStr">
        <is>
          <t>Phase 2/bank of america/2025-Q2/BAC-2025-Q2-earnings-call-transcript-news-alphastreet-com.html</t>
        </is>
      </c>
      <c r="AN42" s="152" t="inlineStr">
        <is>
          <t>https://news.alphastreet.com/bank-of-america-corporation-bac-q2-2025-earnings-call-transcript/</t>
        </is>
      </c>
      <c r="AO42" s="152" t="inlineStr">
        <is>
          <t>manifest</t>
        </is>
      </c>
      <c r="AP42" s="152">
        <f>IF($A42="","",IF(COUNTIFS(LLM_Data_Entry!$A$3:$A$548,$A42)&gt;0,"YES","NO"))</f>
        <v/>
      </c>
      <c r="AQ42" s="152">
        <f>IF($A42="","",IF(COUNTIFS($A$3:$A42,$A42,$C$3:$C42,$C42,$D$3:$D42,$D42)=1,"YES","NO"))</f>
        <v/>
      </c>
      <c r="AR42" s="152">
        <f>IF($A42="","",IF(AND($C42&amp;"-"&amp;$D42&gt;=Settings!$B$19,$C42&amp;"-"&amp;$D42&lt;=Settings!$B$20),"IN","OUT"))</f>
        <v/>
      </c>
      <c r="AS42" s="152">
        <f>IF($A42="","",IF($F42="Financial Results","financials",IF($F42="Outlook/Guidance","guidance",IF($F42="Transcript Q&amp;A","qanda",IF($F42="","unrecorded",IF($E42="All","full",IF($E42="","unrecorded",LOWER($E42)&amp;" only")))))))</f>
        <v/>
      </c>
      <c r="AT42" s="152">
        <f>IF(AND(OR($J42="BUY",$J42="SELL"),ISNUMBER($U42)),$U42,"")</f>
        <v/>
      </c>
      <c r="AU42" s="152">
        <f>IF(AND(OR($J42="BUY",$J42="SELL"),ISNUMBER($AK42)),$AK42,"")</f>
        <v/>
      </c>
      <c r="AV42" s="152">
        <f>IF(ISNUMBER($AT42),ABS(IF(ISNUMBER($I42),$I42,0)-Settings!$B$24),"")</f>
        <v/>
      </c>
      <c r="AW42" s="152">
        <f>IF(ISNUMBER($AV42),$AV42*$AT42,"")</f>
        <v/>
      </c>
      <c r="AX42" s="152">
        <f>IF(ISNUMBER($AU42),ABS(IF(ISNUMBER($I42),$I42,0)-Settings!$B$24),"")</f>
        <v/>
      </c>
      <c r="AY42" s="152" t="inlineStr">
        <is>
          <t>FROZEN</t>
        </is>
      </c>
      <c r="AZ42" s="152">
        <f>IF($A42="","",IFERROR(INDEX(Company_List!$H$3:$H$207,MATCH($A42,Company_List!$A$3:$A$207,0)),"unassigned"))</f>
        <v/>
      </c>
      <c r="BA42" s="152" t="n"/>
      <c r="BB42" s="152" t="n"/>
      <c r="BC42" s="152">
        <f>IF($A42="","",IF(COUNTIFS($A$3:$A42,$A42,$C$3:$C42,$C42,$D$3:$D42,$D42,$G$3:$G42,$G42)=1,1,0))</f>
        <v/>
      </c>
      <c r="BD42" s="152" t="n"/>
      <c r="BE42" s="152" t="n"/>
      <c r="BF42" s="152" t="n"/>
      <c r="BG42" s="152" t="inlineStr">
        <is>
          <t>no</t>
        </is>
      </c>
      <c r="BH42" s="152" t="n"/>
      <c r="BI42" s="152" t="n"/>
      <c r="BJ42" s="152" t="n"/>
      <c r="BK42" s="152">
        <f>IF(OR($H42&lt;&gt;"Human",$S42="",$J42="",$Y42="",$Z42=""),"",IF(EXACT(UPPER($J42),UPPER($Y42)),1,0))</f>
        <v/>
      </c>
      <c r="BL42" s="152" t="inlineStr">
        <is>
          <t>assumed - no rater record</t>
        </is>
      </c>
      <c r="BM42" s="152" t="n">
        <v>1</v>
      </c>
      <c r="BN42" s="152" t="inlineStr">
        <is>
          <t>not publisher-identified</t>
        </is>
      </c>
      <c r="BO42" s="152" t="inlineStr">
        <is>
          <t>not publisher-identified</t>
        </is>
      </c>
      <c r="BP42" s="152" t="inlineStr">
        <is>
          <t>no</t>
        </is>
      </c>
      <c r="BQ42" s="152" t="inlineStr">
        <is>
          <t>yes</t>
        </is>
      </c>
      <c r="BR42" s="152" t="n"/>
      <c r="BS42" s="152" t="inlineStr">
        <is>
          <t>YES</t>
        </is>
      </c>
      <c r="BT42" s="152" t="n"/>
    </row>
    <row r="43" ht="15" customHeight="1" s="241">
      <c r="A43" s="174" t="inlineStr">
        <is>
          <t>Bank of America</t>
        </is>
      </c>
      <c r="B43" s="175">
        <f>IF(A43="","",_xlfn.XLOOKUP(A43, Company_List!$A:$A, Company_List!$B:$B, ""))</f>
        <v/>
      </c>
      <c r="C43" s="176" t="n">
        <v>2025</v>
      </c>
      <c r="D43" s="177" t="inlineStr">
        <is>
          <t>Q3</t>
        </is>
      </c>
      <c r="E43" s="178" t="inlineStr">
        <is>
          <t>Transcript</t>
        </is>
      </c>
      <c r="F43" s="178" t="inlineStr">
        <is>
          <t>All</t>
        </is>
      </c>
      <c r="G43" s="177" t="inlineStr">
        <is>
          <t>Abdul</t>
        </is>
      </c>
      <c r="H43" s="177" t="inlineStr">
        <is>
          <t>Human</t>
        </is>
      </c>
      <c r="I43" s="179" t="n">
        <v>0.7</v>
      </c>
      <c r="J43" s="180">
        <f>IF(OR(I43="",Settings!$B$6=""),"",IF(I43&gt;Settings!$B$6,"BUY",IF(I43&lt;-Settings!$B$6,"SELL","HOLD")))</f>
        <v/>
      </c>
      <c r="K43" s="181" t="n">
        <v>75</v>
      </c>
      <c r="L43" s="182" t="n">
        <v>45945</v>
      </c>
      <c r="M43" s="182" t="n">
        <v>45944</v>
      </c>
      <c r="N43" s="179" t="n">
        <v>50.09</v>
      </c>
      <c r="O43" s="182" t="n">
        <v>45945</v>
      </c>
      <c r="P43" s="183" t="n">
        <v>51.57</v>
      </c>
      <c r="Q43" s="184">
        <f>IF(OR(N43="",P43=""),"",ROUND((P43-N43)/N43,4))</f>
        <v/>
      </c>
      <c r="R43" s="177">
        <f>IF(OR(N43="",P43=""),"",IF(Q43&gt;Settings!$B$3/100,"UP",IF(Q43&lt;-Settings!$B$3/100,"DOWN","FLAT")))</f>
        <v/>
      </c>
      <c r="S43" s="177">
        <f>IF(OR(N43="",P43="",J43=""),"",IF(OR(AND(J43="BUY",R43="UP"),AND(J43="SELL",R43="DOWN"),AND(J43="HOLD",R43="FLAT")),"YES","NO"))</f>
        <v/>
      </c>
      <c r="T43" s="176">
        <f>IF(J43="","",IF(J43="BUY",1,IF(J43="SELL",-1,0)))</f>
        <v/>
      </c>
      <c r="U43" s="184">
        <f>IFERROR(IF(OR(J43="",N43="",P43=""),"",IF(T43=0,0,T43*Q43-Settings!$B$4/10000-IF(T43&lt;0,Settings!$B$5/10000,0))),"")</f>
        <v/>
      </c>
      <c r="V43" s="185" t="n"/>
      <c r="W43" s="176">
        <f>IF($K43="","",$K43*60)</f>
        <v/>
      </c>
      <c r="X43" s="186">
        <f>IF($A43="","",$A43&amp;"|"&amp;$C43&amp;"|"&amp;$D43)</f>
        <v/>
      </c>
      <c r="Y43" s="186">
        <f>IFERROR(IF($X43="","",INDEX(LLM_Data_Entry!$H$3:$H$548,MATCH($X43,INDEX(LLM_Data_Entry!$A$3:$A$548&amp;"|"&amp;LLM_Data_Entry!$C$3:$C$548&amp;"|"&amp;LLM_Data_Entry!$D$3:$D$548,0),0))),"")</f>
        <v/>
      </c>
      <c r="Z43" s="186">
        <f>IFERROR(IF($X43="","",INDEX(LLM_Data_Entry!$R$3:$R$548,MATCH($X43,INDEX(LLM_Data_Entry!$A$3:$A$548&amp;"|"&amp;LLM_Data_Entry!$C$3:$C$548&amp;"|"&amp;LLM_Data_Entry!$D$3:$D$548,0),0))),"")</f>
        <v/>
      </c>
      <c r="AA43" s="152" t="n"/>
      <c r="AB43" s="152" t="inlineStr">
        <is>
          <t>price signal — both moved; this one dominates</t>
        </is>
      </c>
      <c r="AC43" s="152" t="inlineStr">
        <is>
          <t>BAC</t>
        </is>
      </c>
      <c r="AD43" s="152" t="inlineStr">
        <is>
          <t>2025-10-14</t>
        </is>
      </c>
      <c r="AE43" s="152" t="n">
        <v>49.2948</v>
      </c>
      <c r="AF43" s="152" t="inlineStr">
        <is>
          <t>2025-10-15</t>
        </is>
      </c>
      <c r="AG43" s="152" t="n">
        <v>50.7513</v>
      </c>
      <c r="AH43" s="152" t="n">
        <v>0.02954688252887193</v>
      </c>
      <c r="AI43" s="152" t="inlineStr">
        <is>
          <t>UP</t>
        </is>
      </c>
      <c r="AJ43" s="152" t="inlineStr">
        <is>
          <t>YES</t>
        </is>
      </c>
      <c r="AK43" s="152" t="n">
        <v>0.028547</v>
      </c>
      <c r="AL43" s="152">
        <f>IF($A43="","",IFERROR(INDEX(Company_List!$G$3:$G$207,MATCH($A43,Company_List!$A$3:$A$207,0)),"unassigned"))</f>
        <v/>
      </c>
      <c r="AM43" s="152" t="inlineStr">
        <is>
          <t>Phase 2/bank of america/2025-Q3/BAC-2025-Q3-earnings-call-transcript-news-alphastreet-com.html</t>
        </is>
      </c>
      <c r="AN43" s="152" t="inlineStr">
        <is>
          <t>https://news.alphastreet.com/bank-of-america-corporation-bac-q3-2025-earnings-call-transcript/</t>
        </is>
      </c>
      <c r="AO43" s="152" t="inlineStr">
        <is>
          <t>manifest</t>
        </is>
      </c>
      <c r="AP43" s="152">
        <f>IF($A43="","",IF(COUNTIFS(LLM_Data_Entry!$A$3:$A$548,$A43)&gt;0,"YES","NO"))</f>
        <v/>
      </c>
      <c r="AQ43" s="152">
        <f>IF($A43="","",IF(COUNTIFS($A$3:$A43,$A43,$C$3:$C43,$C43,$D$3:$D43,$D43)=1,"YES","NO"))</f>
        <v/>
      </c>
      <c r="AR43" s="152">
        <f>IF($A43="","",IF(AND($C43&amp;"-"&amp;$D43&gt;=Settings!$B$19,$C43&amp;"-"&amp;$D43&lt;=Settings!$B$20),"IN","OUT"))</f>
        <v/>
      </c>
      <c r="AS43" s="152">
        <f>IF($A43="","",IF($F43="Financial Results","financials",IF($F43="Outlook/Guidance","guidance",IF($F43="Transcript Q&amp;A","qanda",IF($F43="","unrecorded",IF($E43="All","full",IF($E43="","unrecorded",LOWER($E43)&amp;" only")))))))</f>
        <v/>
      </c>
      <c r="AT43" s="152">
        <f>IF(AND(OR($J43="BUY",$J43="SELL"),ISNUMBER($U43)),$U43,"")</f>
        <v/>
      </c>
      <c r="AU43" s="152">
        <f>IF(AND(OR($J43="BUY",$J43="SELL"),ISNUMBER($AK43)),$AK43,"")</f>
        <v/>
      </c>
      <c r="AV43" s="152">
        <f>IF(ISNUMBER($AT43),ABS(IF(ISNUMBER($I43),$I43,0)-Settings!$B$24),"")</f>
        <v/>
      </c>
      <c r="AW43" s="152">
        <f>IF(ISNUMBER($AV43),$AV43*$AT43,"")</f>
        <v/>
      </c>
      <c r="AX43" s="152">
        <f>IF(ISNUMBER($AU43),ABS(IF(ISNUMBER($I43),$I43,0)-Settings!$B$24),"")</f>
        <v/>
      </c>
      <c r="AY43" s="152" t="inlineStr">
        <is>
          <t>FROZEN</t>
        </is>
      </c>
      <c r="AZ43" s="152">
        <f>IF($A43="","",IFERROR(INDEX(Company_List!$H$3:$H$207,MATCH($A43,Company_List!$A$3:$A$207,0)),"unassigned"))</f>
        <v/>
      </c>
      <c r="BA43" s="152" t="n"/>
      <c r="BB43" s="152" t="n"/>
      <c r="BC43" s="152">
        <f>IF($A43="","",IF(COUNTIFS($A$3:$A43,$A43,$C$3:$C43,$C43,$D$3:$D43,$D43,$G$3:$G43,$G43)=1,1,0))</f>
        <v/>
      </c>
      <c r="BD43" s="152" t="n"/>
      <c r="BE43" s="152" t="n"/>
      <c r="BF43" s="152" t="n"/>
      <c r="BG43" s="152" t="inlineStr">
        <is>
          <t>no</t>
        </is>
      </c>
      <c r="BH43" s="152" t="n"/>
      <c r="BI43" s="152" t="n"/>
      <c r="BJ43" s="152" t="n"/>
      <c r="BK43" s="152">
        <f>IF(OR($H43&lt;&gt;"Human",$S43="",$J43="",$Y43="",$Z43=""),"",IF(EXACT(UPPER($J43),UPPER($Y43)),1,0))</f>
        <v/>
      </c>
      <c r="BL43" s="152" t="inlineStr">
        <is>
          <t>assumed - no rater record</t>
        </is>
      </c>
      <c r="BM43" s="152" t="n">
        <v>1</v>
      </c>
      <c r="BN43" s="152" t="inlineStr">
        <is>
          <t>not publisher-identified</t>
        </is>
      </c>
      <c r="BO43" s="152" t="inlineStr">
        <is>
          <t>not publisher-identified</t>
        </is>
      </c>
      <c r="BP43" s="152" t="inlineStr">
        <is>
          <t>no</t>
        </is>
      </c>
      <c r="BQ43" s="152" t="inlineStr">
        <is>
          <t>yes</t>
        </is>
      </c>
      <c r="BR43" s="152" t="n"/>
      <c r="BS43" s="152" t="inlineStr">
        <is>
          <t>YES</t>
        </is>
      </c>
      <c r="BT43" s="152" t="n"/>
    </row>
    <row r="44" ht="15" customHeight="1" s="241">
      <c r="A44" s="174" t="inlineStr">
        <is>
          <t>Bank of America</t>
        </is>
      </c>
      <c r="B44" s="175">
        <f>IF(A44="","",_xlfn.XLOOKUP(A44, Company_List!$A:$A, Company_List!$B:$B, ""))</f>
        <v/>
      </c>
      <c r="C44" s="176" t="n">
        <v>2025</v>
      </c>
      <c r="D44" s="177" t="inlineStr">
        <is>
          <t>Q4</t>
        </is>
      </c>
      <c r="E44" s="178" t="inlineStr">
        <is>
          <t>Transcript</t>
        </is>
      </c>
      <c r="F44" s="178" t="inlineStr">
        <is>
          <t>All</t>
        </is>
      </c>
      <c r="G44" s="177" t="inlineStr">
        <is>
          <t>Abdul</t>
        </is>
      </c>
      <c r="H44" s="177" t="inlineStr">
        <is>
          <t>Human</t>
        </is>
      </c>
      <c r="I44" s="179" t="n">
        <v>0.1</v>
      </c>
      <c r="J44" s="180">
        <f>IF(OR(I44="",Settings!$B$6=""),"",IF(I44&gt;Settings!$B$6,"BUY",IF(I44&lt;-Settings!$B$6,"SELL","HOLD")))</f>
        <v/>
      </c>
      <c r="K44" s="181" t="n">
        <v>55</v>
      </c>
      <c r="L44" s="182" t="n">
        <v>46036</v>
      </c>
      <c r="M44" s="182" t="n">
        <v>46035</v>
      </c>
      <c r="N44" s="179" t="n">
        <v>54.54</v>
      </c>
      <c r="O44" s="182" t="n">
        <v>46036</v>
      </c>
      <c r="P44" s="183" t="n">
        <v>52.88</v>
      </c>
      <c r="Q44" s="184">
        <f>IF(OR(N44="",P44=""),"",ROUND((P44-N44)/N44,4))</f>
        <v/>
      </c>
      <c r="R44" s="177">
        <f>IF(OR(N44="",P44=""),"",IF(Q44&gt;Settings!$B$3/100,"UP",IF(Q44&lt;-Settings!$B$3/100,"DOWN","FLAT")))</f>
        <v/>
      </c>
      <c r="S44" s="177">
        <f>IF(OR(N44="",P44="",J44=""),"",IF(OR(AND(J44="BUY",R44="UP"),AND(J44="SELL",R44="DOWN"),AND(J44="HOLD",R44="FLAT")),"YES","NO"))</f>
        <v/>
      </c>
      <c r="T44" s="176">
        <f>IF(J44="","",IF(J44="BUY",1,IF(J44="SELL",-1,0)))</f>
        <v/>
      </c>
      <c r="U44" s="184">
        <f>IFERROR(IF(OR(J44="",N44="",P44=""),"",IF(T44=0,0,T44*Q44-Settings!$B$4/10000-IF(T44&lt;0,Settings!$B$5/10000,0))),"")</f>
        <v/>
      </c>
      <c r="V44" s="185" t="n"/>
      <c r="W44" s="176">
        <f>IF($K44="","",$K44*60)</f>
        <v/>
      </c>
      <c r="X44" s="186">
        <f>IF($A44="","",$A44&amp;"|"&amp;$C44&amp;"|"&amp;$D44)</f>
        <v/>
      </c>
      <c r="Y44" s="186">
        <f>IFERROR(IF($X44="","",INDEX(LLM_Data_Entry!$H$3:$H$548,MATCH($X44,INDEX(LLM_Data_Entry!$A$3:$A$548&amp;"|"&amp;LLM_Data_Entry!$C$3:$C$548&amp;"|"&amp;LLM_Data_Entry!$D$3:$D$548,0),0))),"")</f>
        <v/>
      </c>
      <c r="Z44" s="186">
        <f>IFERROR(IF($X44="","",INDEX(LLM_Data_Entry!$R$3:$R$548,MATCH($X44,INDEX(LLM_Data_Entry!$A$3:$A$548&amp;"|"&amp;LLM_Data_Entry!$C$3:$C$548&amp;"|"&amp;LLM_Data_Entry!$D$3:$D$548,0),0))),"")</f>
        <v/>
      </c>
      <c r="AA44" s="152" t="n"/>
      <c r="AB44" s="152" t="inlineStr">
        <is>
          <t>price signal — only this window shows an abnormal move</t>
        </is>
      </c>
      <c r="AC44" s="152" t="inlineStr">
        <is>
          <t>BAC</t>
        </is>
      </c>
      <c r="AD44" s="152" t="inlineStr">
        <is>
          <t>2026-01-13</t>
        </is>
      </c>
      <c r="AE44" s="152" t="n">
        <v>53.9531</v>
      </c>
      <c r="AF44" s="152" t="inlineStr">
        <is>
          <t>2026-01-14</t>
        </is>
      </c>
      <c r="AG44" s="152" t="n">
        <v>52.3109</v>
      </c>
      <c r="AH44" s="152" t="n">
        <v>-0.03043632344136009</v>
      </c>
      <c r="AI44" s="152" t="inlineStr">
        <is>
          <t>DOWN</t>
        </is>
      </c>
      <c r="AJ44" s="152" t="inlineStr">
        <is>
          <t>NO</t>
        </is>
      </c>
      <c r="AK44" s="152" t="n">
        <v>0</v>
      </c>
      <c r="AL44" s="152">
        <f>IF($A44="","",IFERROR(INDEX(Company_List!$G$3:$G$207,MATCH($A44,Company_List!$A$3:$A$207,0)),"unassigned"))</f>
        <v/>
      </c>
      <c r="AM44" s="152" t="inlineStr">
        <is>
          <t>Phase 2/bank of america/2025-Q4/BAC-2025-Q4-earnings-call-transcript-news-alphastreet-com.html</t>
        </is>
      </c>
      <c r="AN44" s="152" t="inlineStr">
        <is>
          <t>https://news.alphastreet.com/bank-of-america-corporation-bac-q4-2025-earnings-call-transcript/</t>
        </is>
      </c>
      <c r="AO44" s="152" t="inlineStr">
        <is>
          <t>manifest</t>
        </is>
      </c>
      <c r="AP44" s="152">
        <f>IF($A44="","",IF(COUNTIFS(LLM_Data_Entry!$A$3:$A$548,$A44)&gt;0,"YES","NO"))</f>
        <v/>
      </c>
      <c r="AQ44" s="152">
        <f>IF($A44="","",IF(COUNTIFS($A$3:$A44,$A44,$C$3:$C44,$C44,$D$3:$D44,$D44)=1,"YES","NO"))</f>
        <v/>
      </c>
      <c r="AR44" s="152">
        <f>IF($A44="","",IF(AND($C44&amp;"-"&amp;$D44&gt;=Settings!$B$19,$C44&amp;"-"&amp;$D44&lt;=Settings!$B$20),"IN","OUT"))</f>
        <v/>
      </c>
      <c r="AS44" s="152">
        <f>IF($A44="","",IF($F44="Financial Results","financials",IF($F44="Outlook/Guidance","guidance",IF($F44="Transcript Q&amp;A","qanda",IF($F44="","unrecorded",IF($E44="All","full",IF($E44="","unrecorded",LOWER($E44)&amp;" only")))))))</f>
        <v/>
      </c>
      <c r="AT44" s="152">
        <f>IF(AND(OR($J44="BUY",$J44="SELL"),ISNUMBER($U44)),$U44,"")</f>
        <v/>
      </c>
      <c r="AU44" s="152">
        <f>IF(AND(OR($J44="BUY",$J44="SELL"),ISNUMBER($AK44)),$AK44,"")</f>
        <v/>
      </c>
      <c r="AV44" s="152">
        <f>IF(ISNUMBER($AT44),ABS(IF(ISNUMBER($I44),$I44,0)-Settings!$B$24),"")</f>
        <v/>
      </c>
      <c r="AW44" s="152">
        <f>IF(ISNUMBER($AV44),$AV44*$AT44,"")</f>
        <v/>
      </c>
      <c r="AX44" s="152">
        <f>IF(ISNUMBER($AU44),ABS(IF(ISNUMBER($I44),$I44,0)-Settings!$B$24),"")</f>
        <v/>
      </c>
      <c r="AY44" s="152" t="inlineStr">
        <is>
          <t>FROZEN</t>
        </is>
      </c>
      <c r="AZ44" s="152">
        <f>IF($A44="","",IFERROR(INDEX(Company_List!$H$3:$H$207,MATCH($A44,Company_List!$A$3:$A$207,0)),"unassigned"))</f>
        <v/>
      </c>
      <c r="BA44" s="152" t="n"/>
      <c r="BB44" s="152" t="n"/>
      <c r="BC44" s="152">
        <f>IF($A44="","",IF(COUNTIFS($A$3:$A44,$A44,$C$3:$C44,$C44,$D$3:$D44,$D44,$G$3:$G44,$G44)=1,1,0))</f>
        <v/>
      </c>
      <c r="BD44" s="152" t="n"/>
      <c r="BE44" s="152" t="n"/>
      <c r="BF44" s="152" t="n"/>
      <c r="BG44" s="152" t="inlineStr">
        <is>
          <t>no</t>
        </is>
      </c>
      <c r="BH44" s="152" t="n"/>
      <c r="BI44" s="152" t="n"/>
      <c r="BJ44" s="152" t="n"/>
      <c r="BK44" s="152">
        <f>IF(OR($H44&lt;&gt;"Human",$S44="",$J44="",$Y44="",$Z44=""),"",IF(EXACT(UPPER($J44),UPPER($Y44)),1,0))</f>
        <v/>
      </c>
      <c r="BL44" s="152" t="inlineStr">
        <is>
          <t>assumed - no rater record</t>
        </is>
      </c>
      <c r="BM44" s="152" t="n">
        <v>1</v>
      </c>
      <c r="BN44" s="152" t="inlineStr">
        <is>
          <t>not publisher-identified</t>
        </is>
      </c>
      <c r="BO44" s="152" t="inlineStr">
        <is>
          <t>not publisher-identified</t>
        </is>
      </c>
      <c r="BP44" s="152" t="inlineStr">
        <is>
          <t>no</t>
        </is>
      </c>
      <c r="BQ44" s="152" t="inlineStr">
        <is>
          <t>yes</t>
        </is>
      </c>
      <c r="BR44" s="152" t="n"/>
      <c r="BS44" s="152" t="inlineStr">
        <is>
          <t>YES</t>
        </is>
      </c>
      <c r="BT44" s="152" t="n"/>
    </row>
    <row r="45" ht="15" customHeight="1" s="241">
      <c r="A45" s="174" t="inlineStr">
        <is>
          <t>AMD</t>
        </is>
      </c>
      <c r="B45" s="175">
        <f>IF(A45="","",_xlfn.XLOOKUP(A45, Company_List!$A:$A, Company_List!$B:$B, ""))</f>
        <v/>
      </c>
      <c r="C45" s="176" t="n">
        <v>2026</v>
      </c>
      <c r="D45" s="177" t="inlineStr">
        <is>
          <t>Q1</t>
        </is>
      </c>
      <c r="E45" s="178" t="inlineStr">
        <is>
          <t>All</t>
        </is>
      </c>
      <c r="F45" s="178" t="inlineStr">
        <is>
          <t>All</t>
        </is>
      </c>
      <c r="G45" s="177" t="inlineStr">
        <is>
          <t>David</t>
        </is>
      </c>
      <c r="H45" s="177" t="inlineStr">
        <is>
          <t>Human</t>
        </is>
      </c>
      <c r="I45" s="179" t="n">
        <v>0.8</v>
      </c>
      <c r="J45" s="180">
        <f>IF(OR(I45="",Settings!$B$6=""),"",IF(I45&gt;Settings!$B$6,"BUY",IF(I45&lt;-Settings!$B$6,"SELL","HOLD")))</f>
        <v/>
      </c>
      <c r="K45" s="181" t="n">
        <v>51</v>
      </c>
      <c r="L45" s="182" t="n">
        <v>46147</v>
      </c>
      <c r="M45" s="182" t="n">
        <v>46147</v>
      </c>
      <c r="N45" s="179" t="n">
        <v>355.26</v>
      </c>
      <c r="O45" s="182" t="n">
        <v>46148</v>
      </c>
      <c r="P45" s="183" t="n">
        <v>409.49</v>
      </c>
      <c r="Q45" s="184">
        <f>IF(OR(N45="",P45=""),"",ROUND((P45-N45)/N45,4))</f>
        <v/>
      </c>
      <c r="R45" s="177">
        <f>IF(OR(N45="",P45=""),"",IF(Q45&gt;Settings!$B$3/100,"UP",IF(Q45&lt;-Settings!$B$3/100,"DOWN","FLAT")))</f>
        <v/>
      </c>
      <c r="S45" s="177">
        <f>IF(OR(N45="",P45="",J45=""),"",IF(OR(AND(J45="BUY",R45="UP"),AND(J45="SELL",R45="DOWN"),AND(J45="HOLD",R45="FLAT")),"YES","NO"))</f>
        <v/>
      </c>
      <c r="T45" s="176">
        <f>IF(J45="","",IF(J45="BUY",1,IF(J45="SELL",-1,0)))</f>
        <v/>
      </c>
      <c r="U45" s="184">
        <f>IFERROR(IF(OR(J45="",N45="",P45=""),"",IF(T45=0,0,T45*Q45-Settings!$B$4/10000-IF(T45&lt;0,Settings!$B$5/10000,0))),"")</f>
        <v/>
      </c>
      <c r="V45" s="185" t="n"/>
      <c r="W45" s="176">
        <f>IF($K45="","",$K45*60)</f>
        <v/>
      </c>
      <c r="X45" s="186">
        <f>IF($A45="","",$A45&amp;"|"&amp;$C45&amp;"|"&amp;$D45)</f>
        <v/>
      </c>
      <c r="Y45" s="186">
        <f>IFERROR(IF($X45="","",INDEX(LLM_Data_Entry!$H$3:$H$548,MATCH($X45,INDEX(LLM_Data_Entry!$A$3:$A$548&amp;"|"&amp;LLM_Data_Entry!$C$3:$C$548&amp;"|"&amp;LLM_Data_Entry!$D$3:$D$548,0),0))),"")</f>
        <v/>
      </c>
      <c r="Z45" s="186">
        <f>IFERROR(IF($X45="","",INDEX(LLM_Data_Entry!$R$3:$R$548,MATCH($X45,INDEX(LLM_Data_Entry!$A$3:$A$548&amp;"|"&amp;LLM_Data_Entry!$C$3:$C$548&amp;"|"&amp;LLM_Data_Entry!$D$3:$D$548,0),0))),"")</f>
        <v/>
      </c>
      <c r="AA45" s="152" t="n"/>
      <c r="AB45" s="152" t="inlineStr">
        <is>
          <t>release date + stated time in the document (rater worksheet)</t>
        </is>
      </c>
      <c r="AC45" s="152" t="inlineStr">
        <is>
          <t>AMD</t>
        </is>
      </c>
      <c r="AD45" s="152" t="inlineStr">
        <is>
          <t>2026-05-05</t>
        </is>
      </c>
      <c r="AE45" s="152" t="n">
        <v>355.26</v>
      </c>
      <c r="AF45" s="152" t="inlineStr">
        <is>
          <t>2026-05-06</t>
        </is>
      </c>
      <c r="AG45" s="152" t="n">
        <v>409.49</v>
      </c>
      <c r="AH45" s="152" t="n">
        <v>0.1526487036916989</v>
      </c>
      <c r="AI45" s="152" t="inlineStr">
        <is>
          <t>UP</t>
        </is>
      </c>
      <c r="AJ45" s="152" t="inlineStr">
        <is>
          <t>YES</t>
        </is>
      </c>
      <c r="AK45" s="152" t="n">
        <v>0.151649</v>
      </c>
      <c r="AL45" s="152">
        <f>IF($A45="","",IFERROR(INDEX(Company_List!$G$3:$G$207,MATCH($A45,Company_List!$A$3:$A$207,0)),"unassigned"))</f>
        <v/>
      </c>
      <c r="AM45" s="152" t="inlineStr">
        <is>
          <t>Phase 2/AMD/2026-Q1/AMD-2026-Q1-press-release-SEC-EX-99-1.htm</t>
        </is>
      </c>
      <c r="AN45" s="152" t="inlineStr">
        <is>
          <t>https://www.sec.gov/Archives/edgar/data/2488/000000248826000072/q12026991.htm</t>
        </is>
      </c>
      <c r="AO45" s="152" t="inlineStr">
        <is>
          <t>manifest</t>
        </is>
      </c>
      <c r="AP45" s="152">
        <f>IF($A45="","",IF(COUNTIFS(LLM_Data_Entry!$A$3:$A$548,$A45)&gt;0,"YES","NO"))</f>
        <v/>
      </c>
      <c r="AQ45" s="152">
        <f>IF($A45="","",IF(COUNTIFS($A$3:$A45,$A45,$C$3:$C45,$C45,$D$3:$D45,$D45)=1,"YES","NO"))</f>
        <v/>
      </c>
      <c r="AR45" s="152">
        <f>IF($A45="","",IF(AND($C45&amp;"-"&amp;$D45&gt;=Settings!$B$19,$C45&amp;"-"&amp;$D45&lt;=Settings!$B$20),"IN","OUT"))</f>
        <v/>
      </c>
      <c r="AS45" s="152">
        <f>IF($A45="","",IF($F45="Financial Results","financials",IF($F45="Outlook/Guidance","guidance",IF($F45="Transcript Q&amp;A","qanda",IF($F45="","unrecorded",IF($E45="All","full",IF($E45="","unrecorded",LOWER($E45)&amp;" only")))))))</f>
        <v/>
      </c>
      <c r="AT45" s="152">
        <f>IF(AND(OR($J45="BUY",$J45="SELL"),ISNUMBER($U45)),$U45,"")</f>
        <v/>
      </c>
      <c r="AU45" s="152">
        <f>IF(AND(OR($J45="BUY",$J45="SELL"),ISNUMBER($AK45)),$AK45,"")</f>
        <v/>
      </c>
      <c r="AV45" s="152">
        <f>IF(ISNUMBER($AT45),ABS(IF(ISNUMBER($I45),$I45,0)-Settings!$B$24),"")</f>
        <v/>
      </c>
      <c r="AW45" s="152">
        <f>IF(ISNUMBER($AV45),$AV45*$AT45,"")</f>
        <v/>
      </c>
      <c r="AX45" s="152">
        <f>IF(ISNUMBER($AU45),ABS(IF(ISNUMBER($I45),$I45,0)-Settings!$B$24),"")</f>
        <v/>
      </c>
      <c r="AY45" s="152" t="inlineStr">
        <is>
          <t>FROZEN</t>
        </is>
      </c>
      <c r="AZ45" s="152">
        <f>IF($A45="","",IFERROR(INDEX(Company_List!$H$3:$H$207,MATCH($A45,Company_List!$A$3:$A$207,0)),"unassigned"))</f>
        <v/>
      </c>
      <c r="BA45" s="152" t="n"/>
      <c r="BB45" s="152" t="n"/>
      <c r="BC45" s="152">
        <f>IF($A45="","",IF(COUNTIFS($A$3:$A45,$A45,$C$3:$C45,$C45,$D$3:$D45,$D45,$G$3:$G45,$G45)=1,1,0))</f>
        <v/>
      </c>
      <c r="BD45" s="152" t="n"/>
      <c r="BE45" s="152" t="n"/>
      <c r="BF45" s="152" t="n"/>
      <c r="BG45" s="152" t="inlineStr">
        <is>
          <t>no</t>
        </is>
      </c>
      <c r="BH45" s="152" t="n"/>
      <c r="BI45" s="152" t="n"/>
      <c r="BJ45" s="152" t="n"/>
      <c r="BK45" s="152">
        <f>IF(OR($H45&lt;&gt;"Human",$S45="",$J45="",$Y45="",$Z45=""),"",IF(EXACT(UPPER($J45),UPPER($Y45)),1,0))</f>
        <v/>
      </c>
      <c r="BL45" s="152" t="inlineStr">
        <is>
          <t>assumed - no rater record</t>
        </is>
      </c>
      <c r="BM45" s="152" t="n">
        <v>1</v>
      </c>
      <c r="BN45" s="152" t="inlineStr">
        <is>
          <t>not publisher-identified</t>
        </is>
      </c>
      <c r="BO45" s="152" t="inlineStr">
        <is>
          <t>not publisher-identified</t>
        </is>
      </c>
      <c r="BP45" s="152" t="inlineStr">
        <is>
          <t>no</t>
        </is>
      </c>
      <c r="BQ45" s="152" t="inlineStr">
        <is>
          <t>yes</t>
        </is>
      </c>
      <c r="BR45" s="152" t="inlineStr">
        <is>
          <t>filled 11 Aug 2026 from the corpus manifest: the company-quarter holds exactly one document and the manifest carries its release date</t>
        </is>
      </c>
      <c r="BS45" s="152" t="inlineStr">
        <is>
          <t>YES</t>
        </is>
      </c>
      <c r="BT45" s="152" t="n"/>
    </row>
    <row r="46" ht="15" customHeight="1" s="241">
      <c r="A46" s="174" t="inlineStr">
        <is>
          <t>AMD</t>
        </is>
      </c>
      <c r="B46" s="175">
        <f>IF(A46="","",_xlfn.XLOOKUP(A46, Company_List!$A:$A, Company_List!$B:$B, ""))</f>
        <v/>
      </c>
      <c r="C46" s="176" t="n">
        <v>2025</v>
      </c>
      <c r="D46" s="177" t="inlineStr">
        <is>
          <t>Q2</t>
        </is>
      </c>
      <c r="E46" s="178" t="inlineStr">
        <is>
          <t>All</t>
        </is>
      </c>
      <c r="F46" s="178" t="inlineStr">
        <is>
          <t>All</t>
        </is>
      </c>
      <c r="G46" s="177" t="inlineStr">
        <is>
          <t>David</t>
        </is>
      </c>
      <c r="H46" s="177" t="inlineStr">
        <is>
          <t>Human</t>
        </is>
      </c>
      <c r="I46" s="179" t="n">
        <v>0.65</v>
      </c>
      <c r="J46" s="180">
        <f>IF(OR(I46="",Settings!$B$6=""),"",IF(I46&gt;Settings!$B$6,"BUY",IF(I46&lt;-Settings!$B$6,"SELL","HOLD")))</f>
        <v/>
      </c>
      <c r="K46" s="181" t="n">
        <v>44</v>
      </c>
      <c r="L46" s="182" t="n">
        <v>45874</v>
      </c>
      <c r="M46" s="182" t="n">
        <v>45874</v>
      </c>
      <c r="N46" s="179" t="n">
        <v>174.31</v>
      </c>
      <c r="O46" s="182" t="n">
        <v>45875</v>
      </c>
      <c r="P46" s="183" t="n">
        <v>165.05</v>
      </c>
      <c r="Q46" s="184">
        <f>IF(OR(N46="",P46=""),"",ROUND((P46-N46)/N46,4))</f>
        <v/>
      </c>
      <c r="R46" s="177">
        <f>IF(OR(N46="",P46=""),"",IF(Q46&gt;Settings!$B$3/100,"UP",IF(Q46&lt;-Settings!$B$3/100,"DOWN","FLAT")))</f>
        <v/>
      </c>
      <c r="S46" s="177">
        <f>IF(OR(N46="",P46="",J46=""),"",IF(OR(AND(J46="BUY",R46="UP"),AND(J46="SELL",R46="DOWN"),AND(J46="HOLD",R46="FLAT")),"YES","NO"))</f>
        <v/>
      </c>
      <c r="T46" s="176">
        <f>IF(J46="","",IF(J46="BUY",1,IF(J46="SELL",-1,0)))</f>
        <v/>
      </c>
      <c r="U46" s="184">
        <f>IFERROR(IF(OR(J46="",N46="",P46=""),"",IF(T46=0,0,T46*Q46-Settings!$B$4/10000-IF(T46&lt;0,Settings!$B$5/10000,0))),"")</f>
        <v/>
      </c>
      <c r="V46" s="185" t="n"/>
      <c r="W46" s="176">
        <f>IF($K46="","",$K46*60)</f>
        <v/>
      </c>
      <c r="X46" s="186">
        <f>IF($A46="","",$A46&amp;"|"&amp;$C46&amp;"|"&amp;$D46)</f>
        <v/>
      </c>
      <c r="Y46" s="186">
        <f>IFERROR(IF($X46="","",INDEX(LLM_Data_Entry!$H$3:$H$548,MATCH($X46,INDEX(LLM_Data_Entry!$A$3:$A$548&amp;"|"&amp;LLM_Data_Entry!$C$3:$C$548&amp;"|"&amp;LLM_Data_Entry!$D$3:$D$548,0),0))),"")</f>
        <v/>
      </c>
      <c r="Z46" s="186">
        <f>IFERROR(IF($X46="","",INDEX(LLM_Data_Entry!$R$3:$R$548,MATCH($X46,INDEX(LLM_Data_Entry!$A$3:$A$548&amp;"|"&amp;LLM_Data_Entry!$C$3:$C$548&amp;"|"&amp;LLM_Data_Entry!$D$3:$D$548,0),0))),"")</f>
        <v/>
      </c>
      <c r="AA46" s="152" t="n"/>
      <c r="AB46" s="152" t="inlineStr">
        <is>
          <t>release date + stated time in the document (rater worksheet)</t>
        </is>
      </c>
      <c r="AC46" s="152" t="inlineStr">
        <is>
          <t>AMD</t>
        </is>
      </c>
      <c r="AD46" s="152" t="inlineStr">
        <is>
          <t>2025-08-05</t>
        </is>
      </c>
      <c r="AE46" s="152" t="n">
        <v>174.31</v>
      </c>
      <c r="AF46" s="152" t="inlineStr">
        <is>
          <t>2025-08-06</t>
        </is>
      </c>
      <c r="AG46" s="152" t="n">
        <v>165.05</v>
      </c>
      <c r="AH46" s="152" t="n">
        <v>-0.05312371697692294</v>
      </c>
      <c r="AI46" s="152" t="inlineStr">
        <is>
          <t>DOWN</t>
        </is>
      </c>
      <c r="AJ46" s="152" t="inlineStr">
        <is>
          <t>NO</t>
        </is>
      </c>
      <c r="AK46" s="152" t="n">
        <v>-0.054124</v>
      </c>
      <c r="AL46" s="152">
        <f>IF($A46="","",IFERROR(INDEX(Company_List!$G$3:$G$207,MATCH($A46,Company_List!$A$3:$A$207,0)),"unassigned"))</f>
        <v/>
      </c>
      <c r="AM46" s="152" t="inlineStr">
        <is>
          <t>Phase 2/AMD/2025-Q2/AMD-2025-Q2-press-release-SEC-EX-99-1.htm</t>
        </is>
      </c>
      <c r="AN46" s="152" t="inlineStr">
        <is>
          <t>https://www.sec.gov/Archives/edgar/data/2488/000000248825000106/q22025991.htm</t>
        </is>
      </c>
      <c r="AO46" s="152" t="inlineStr">
        <is>
          <t>manifest</t>
        </is>
      </c>
      <c r="AP46" s="152">
        <f>IF($A46="","",IF(COUNTIFS(LLM_Data_Entry!$A$3:$A$548,$A46)&gt;0,"YES","NO"))</f>
        <v/>
      </c>
      <c r="AQ46" s="152">
        <f>IF($A46="","",IF(COUNTIFS($A$3:$A46,$A46,$C$3:$C46,$C46,$D$3:$D46,$D46)=1,"YES","NO"))</f>
        <v/>
      </c>
      <c r="AR46" s="152">
        <f>IF($A46="","",IF(AND($C46&amp;"-"&amp;$D46&gt;=Settings!$B$19,$C46&amp;"-"&amp;$D46&lt;=Settings!$B$20),"IN","OUT"))</f>
        <v/>
      </c>
      <c r="AS46" s="152">
        <f>IF($A46="","",IF($F46="Financial Results","financials",IF($F46="Outlook/Guidance","guidance",IF($F46="Transcript Q&amp;A","qanda",IF($F46="","unrecorded",IF($E46="All","full",IF($E46="","unrecorded",LOWER($E46)&amp;" only")))))))</f>
        <v/>
      </c>
      <c r="AT46" s="152">
        <f>IF(AND(OR($J46="BUY",$J46="SELL"),ISNUMBER($U46)),$U46,"")</f>
        <v/>
      </c>
      <c r="AU46" s="152">
        <f>IF(AND(OR($J46="BUY",$J46="SELL"),ISNUMBER($AK46)),$AK46,"")</f>
        <v/>
      </c>
      <c r="AV46" s="152">
        <f>IF(ISNUMBER($AT46),ABS(IF(ISNUMBER($I46),$I46,0)-Settings!$B$24),"")</f>
        <v/>
      </c>
      <c r="AW46" s="152">
        <f>IF(ISNUMBER($AV46),$AV46*$AT46,"")</f>
        <v/>
      </c>
      <c r="AX46" s="152">
        <f>IF(ISNUMBER($AU46),ABS(IF(ISNUMBER($I46),$I46,0)-Settings!$B$24),"")</f>
        <v/>
      </c>
      <c r="AY46" s="152" t="inlineStr">
        <is>
          <t>FROZEN</t>
        </is>
      </c>
      <c r="AZ46" s="152">
        <f>IF($A46="","",IFERROR(INDEX(Company_List!$H$3:$H$207,MATCH($A46,Company_List!$A$3:$A$207,0)),"unassigned"))</f>
        <v/>
      </c>
      <c r="BA46" s="152" t="n"/>
      <c r="BB46" s="152" t="n"/>
      <c r="BC46" s="152">
        <f>IF($A46="","",IF(COUNTIFS($A$3:$A46,$A46,$C$3:$C46,$C46,$D$3:$D46,$D46,$G$3:$G46,$G46)=1,1,0))</f>
        <v/>
      </c>
      <c r="BD46" s="152" t="n"/>
      <c r="BE46" s="152" t="n"/>
      <c r="BF46" s="152" t="n"/>
      <c r="BG46" s="152" t="inlineStr">
        <is>
          <t>no</t>
        </is>
      </c>
      <c r="BH46" s="152" t="n"/>
      <c r="BI46" s="152" t="n"/>
      <c r="BJ46" s="152" t="n"/>
      <c r="BK46" s="152">
        <f>IF(OR($H46&lt;&gt;"Human",$S46="",$J46="",$Y46="",$Z46=""),"",IF(EXACT(UPPER($J46),UPPER($Y46)),1,0))</f>
        <v/>
      </c>
      <c r="BL46" s="152" t="inlineStr">
        <is>
          <t>assumed - no rater record</t>
        </is>
      </c>
      <c r="BM46" s="152" t="n">
        <v>1</v>
      </c>
      <c r="BN46" s="152" t="inlineStr">
        <is>
          <t>not publisher-identified</t>
        </is>
      </c>
      <c r="BO46" s="152" t="inlineStr">
        <is>
          <t>not publisher-identified</t>
        </is>
      </c>
      <c r="BP46" s="152" t="inlineStr">
        <is>
          <t>no</t>
        </is>
      </c>
      <c r="BQ46" s="152" t="inlineStr">
        <is>
          <t>yes</t>
        </is>
      </c>
      <c r="BR46" s="152" t="inlineStr">
        <is>
          <t>filled 11 Aug 2026 from the corpus manifest: the company-quarter holds exactly one document and the manifest carries its release date</t>
        </is>
      </c>
      <c r="BS46" s="152" t="inlineStr">
        <is>
          <t>YES</t>
        </is>
      </c>
      <c r="BT46" s="152" t="n"/>
    </row>
    <row r="47" ht="15" customHeight="1" s="241">
      <c r="A47" s="174" t="inlineStr">
        <is>
          <t>AMD</t>
        </is>
      </c>
      <c r="B47" s="175">
        <f>IF(A47="","",_xlfn.XLOOKUP(A47, Company_List!$A:$A, Company_List!$B:$B, ""))</f>
        <v/>
      </c>
      <c r="C47" s="176" t="n">
        <v>2025</v>
      </c>
      <c r="D47" s="177" t="inlineStr">
        <is>
          <t>Q4</t>
        </is>
      </c>
      <c r="E47" s="178" t="inlineStr">
        <is>
          <t>All</t>
        </is>
      </c>
      <c r="F47" s="178" t="inlineStr">
        <is>
          <t>All</t>
        </is>
      </c>
      <c r="G47" s="177" t="inlineStr">
        <is>
          <t>David</t>
        </is>
      </c>
      <c r="H47" s="177" t="inlineStr">
        <is>
          <t>Human</t>
        </is>
      </c>
      <c r="I47" s="179" t="n">
        <v>0.75</v>
      </c>
      <c r="J47" s="180">
        <f>IF(OR(I47="",Settings!$B$6=""),"",IF(I47&gt;Settings!$B$6,"BUY",IF(I47&lt;-Settings!$B$6,"SELL","HOLD")))</f>
        <v/>
      </c>
      <c r="K47" s="181" t="n">
        <v>55</v>
      </c>
      <c r="L47" s="182" t="n">
        <v>46056</v>
      </c>
      <c r="M47" s="182" t="n">
        <v>46056</v>
      </c>
      <c r="N47" s="179" t="n">
        <v>242.11</v>
      </c>
      <c r="O47" s="182" t="n">
        <v>46057</v>
      </c>
      <c r="P47" s="183" t="n">
        <v>215</v>
      </c>
      <c r="Q47" s="184">
        <f>IF(OR(N47="",P47=""),"",ROUND((P47-N47)/N47,4))</f>
        <v/>
      </c>
      <c r="R47" s="177">
        <f>IF(OR(N47="",P47=""),"",IF(Q47&gt;Settings!$B$3/100,"UP",IF(Q47&lt;-Settings!$B$3/100,"DOWN","FLAT")))</f>
        <v/>
      </c>
      <c r="S47" s="177">
        <f>IF(OR(N47="",P47="",J47=""),"",IF(OR(AND(J47="BUY",R47="UP"),AND(J47="SELL",R47="DOWN"),AND(J47="HOLD",R47="FLAT")),"YES","NO"))</f>
        <v/>
      </c>
      <c r="T47" s="176">
        <f>IF(J47="","",IF(J47="BUY",1,IF(J47="SELL",-1,0)))</f>
        <v/>
      </c>
      <c r="U47" s="184">
        <f>IFERROR(IF(OR(J47="",N47="",P47=""),"",IF(T47=0,0,T47*Q47-Settings!$B$4/10000-IF(T47&lt;0,Settings!$B$5/10000,0))),"")</f>
        <v/>
      </c>
      <c r="V47" s="185" t="n"/>
      <c r="W47" s="176">
        <f>IF($K47="","",$K47*60)</f>
        <v/>
      </c>
      <c r="X47" s="186">
        <f>IF($A47="","",$A47&amp;"|"&amp;$C47&amp;"|"&amp;$D47)</f>
        <v/>
      </c>
      <c r="Y47" s="186">
        <f>IFERROR(IF($X47="","",INDEX(LLM_Data_Entry!$H$3:$H$548,MATCH($X47,INDEX(LLM_Data_Entry!$A$3:$A$548&amp;"|"&amp;LLM_Data_Entry!$C$3:$C$548&amp;"|"&amp;LLM_Data_Entry!$D$3:$D$548,0),0))),"")</f>
        <v/>
      </c>
      <c r="Z47" s="186">
        <f>IFERROR(IF($X47="","",INDEX(LLM_Data_Entry!$R$3:$R$548,MATCH($X47,INDEX(LLM_Data_Entry!$A$3:$A$548&amp;"|"&amp;LLM_Data_Entry!$C$3:$C$548&amp;"|"&amp;LLM_Data_Entry!$D$3:$D$548,0),0))),"")</f>
        <v/>
      </c>
      <c r="AA47" s="152" t="n"/>
      <c r="AB47" s="152" t="inlineStr">
        <is>
          <t>release date + stated time in the document (rater worksheet)</t>
        </is>
      </c>
      <c r="AC47" s="152" t="inlineStr">
        <is>
          <t>AMD</t>
        </is>
      </c>
      <c r="AD47" s="152" t="inlineStr">
        <is>
          <t>2026-02-03</t>
        </is>
      </c>
      <c r="AE47" s="152" t="n">
        <v>242.11</v>
      </c>
      <c r="AF47" s="152" t="inlineStr">
        <is>
          <t>2026-02-04</t>
        </is>
      </c>
      <c r="AG47" s="152" t="n">
        <v>215</v>
      </c>
      <c r="AH47" s="152" t="n">
        <v>-0.1119738998307633</v>
      </c>
      <c r="AI47" s="152" t="inlineStr">
        <is>
          <t>DOWN</t>
        </is>
      </c>
      <c r="AJ47" s="152" t="inlineStr">
        <is>
          <t>NO</t>
        </is>
      </c>
      <c r="AK47" s="152" t="n">
        <v>-0.112974</v>
      </c>
      <c r="AL47" s="152">
        <f>IF($A47="","",IFERROR(INDEX(Company_List!$G$3:$G$207,MATCH($A47,Company_List!$A$3:$A$207,0)),"unassigned"))</f>
        <v/>
      </c>
      <c r="AM47" s="152" t="inlineStr">
        <is>
          <t>Phase 2/AMD/2025-Q4/AMD-2025-Q4-press-release-SEC-EX-99-1.htm</t>
        </is>
      </c>
      <c r="AN47" s="152" t="inlineStr">
        <is>
          <t>https://www.sec.gov/Archives/edgar/data/2488/000000248826000014/q42025991.htm</t>
        </is>
      </c>
      <c r="AO47" s="152" t="inlineStr">
        <is>
          <t>manifest</t>
        </is>
      </c>
      <c r="AP47" s="152">
        <f>IF($A47="","",IF(COUNTIFS(LLM_Data_Entry!$A$3:$A$548,$A47)&gt;0,"YES","NO"))</f>
        <v/>
      </c>
      <c r="AQ47" s="152">
        <f>IF($A47="","",IF(COUNTIFS($A$3:$A47,$A47,$C$3:$C47,$C47,$D$3:$D47,$D47)=1,"YES","NO"))</f>
        <v/>
      </c>
      <c r="AR47" s="152">
        <f>IF($A47="","",IF(AND($C47&amp;"-"&amp;$D47&gt;=Settings!$B$19,$C47&amp;"-"&amp;$D47&lt;=Settings!$B$20),"IN","OUT"))</f>
        <v/>
      </c>
      <c r="AS47" s="152">
        <f>IF($A47="","",IF($F47="Financial Results","financials",IF($F47="Outlook/Guidance","guidance",IF($F47="Transcript Q&amp;A","qanda",IF($F47="","unrecorded",IF($E47="All","full",IF($E47="","unrecorded",LOWER($E47)&amp;" only")))))))</f>
        <v/>
      </c>
      <c r="AT47" s="152">
        <f>IF(AND(OR($J47="BUY",$J47="SELL"),ISNUMBER($U47)),$U47,"")</f>
        <v/>
      </c>
      <c r="AU47" s="152">
        <f>IF(AND(OR($J47="BUY",$J47="SELL"),ISNUMBER($AK47)),$AK47,"")</f>
        <v/>
      </c>
      <c r="AV47" s="152">
        <f>IF(ISNUMBER($AT47),ABS(IF(ISNUMBER($I47),$I47,0)-Settings!$B$24),"")</f>
        <v/>
      </c>
      <c r="AW47" s="152">
        <f>IF(ISNUMBER($AV47),$AV47*$AT47,"")</f>
        <v/>
      </c>
      <c r="AX47" s="152">
        <f>IF(ISNUMBER($AU47),ABS(IF(ISNUMBER($I47),$I47,0)-Settings!$B$24),"")</f>
        <v/>
      </c>
      <c r="AY47" s="152" t="inlineStr">
        <is>
          <t>FROZEN</t>
        </is>
      </c>
      <c r="AZ47" s="152">
        <f>IF($A47="","",IFERROR(INDEX(Company_List!$H$3:$H$207,MATCH($A47,Company_List!$A$3:$A$207,0)),"unassigned"))</f>
        <v/>
      </c>
      <c r="BA47" s="152" t="n"/>
      <c r="BB47" s="152" t="n"/>
      <c r="BC47" s="152">
        <f>IF($A47="","",IF(COUNTIFS($A$3:$A47,$A47,$C$3:$C47,$C47,$D$3:$D47,$D47,$G$3:$G47,$G47)=1,1,0))</f>
        <v/>
      </c>
      <c r="BD47" s="152" t="n"/>
      <c r="BE47" s="152" t="n"/>
      <c r="BF47" s="152" t="n"/>
      <c r="BG47" s="152" t="inlineStr">
        <is>
          <t>no</t>
        </is>
      </c>
      <c r="BH47" s="152" t="n"/>
      <c r="BI47" s="152" t="n"/>
      <c r="BJ47" s="152" t="n"/>
      <c r="BK47" s="152">
        <f>IF(OR($H47&lt;&gt;"Human",$S47="",$J47="",$Y47="",$Z47=""),"",IF(EXACT(UPPER($J47),UPPER($Y47)),1,0))</f>
        <v/>
      </c>
      <c r="BL47" s="152" t="inlineStr">
        <is>
          <t>assumed - no rater record</t>
        </is>
      </c>
      <c r="BM47" s="152" t="n">
        <v>1</v>
      </c>
      <c r="BN47" s="152" t="inlineStr">
        <is>
          <t>not publisher-identified</t>
        </is>
      </c>
      <c r="BO47" s="152" t="inlineStr">
        <is>
          <t>not publisher-identified</t>
        </is>
      </c>
      <c r="BP47" s="152" t="inlineStr">
        <is>
          <t>no</t>
        </is>
      </c>
      <c r="BQ47" s="152" t="inlineStr">
        <is>
          <t>yes</t>
        </is>
      </c>
      <c r="BR47" s="152" t="inlineStr">
        <is>
          <t>filled 11 Aug 2026 from the corpus manifest: the company-quarter holds exactly one document and the manifest carries its release date</t>
        </is>
      </c>
      <c r="BS47" s="152" t="inlineStr">
        <is>
          <t>YES</t>
        </is>
      </c>
      <c r="BT47" s="152" t="n"/>
    </row>
    <row r="48" ht="15" customHeight="1" s="241">
      <c r="A48" s="174" t="inlineStr">
        <is>
          <t>Airbnb</t>
        </is>
      </c>
      <c r="B48" s="175">
        <f>IF(A48="","",_xlfn.XLOOKUP(A48, Company_List!$A:$A, Company_List!$B:$B, ""))</f>
        <v/>
      </c>
      <c r="C48" s="176" t="n">
        <v>2025</v>
      </c>
      <c r="D48" s="177" t="inlineStr">
        <is>
          <t>Q2</t>
        </is>
      </c>
      <c r="E48" s="178" t="inlineStr">
        <is>
          <t>Transcript</t>
        </is>
      </c>
      <c r="F48" s="178" t="inlineStr">
        <is>
          <t>All</t>
        </is>
      </c>
      <c r="G48" s="177" t="inlineStr">
        <is>
          <t>Anna</t>
        </is>
      </c>
      <c r="H48" s="177" t="inlineStr">
        <is>
          <t>Human</t>
        </is>
      </c>
      <c r="I48" s="179" t="n">
        <v>0.6</v>
      </c>
      <c r="J48" s="180">
        <f>IF(OR(I48="",Settings!$B$6=""),"",IF(I48&gt;Settings!$B$6,"BUY",IF(I48&lt;-Settings!$B$6,"SELL","HOLD")))</f>
        <v/>
      </c>
      <c r="K48" s="181" t="n">
        <v>30</v>
      </c>
      <c r="L48" s="182" t="n">
        <v>45875</v>
      </c>
      <c r="M48" s="182" t="n">
        <v>45875</v>
      </c>
      <c r="N48" s="179" t="n">
        <v>130.5</v>
      </c>
      <c r="O48" s="182" t="n">
        <v>45876</v>
      </c>
      <c r="P48" s="183" t="n">
        <v>120.38</v>
      </c>
      <c r="Q48" s="184">
        <f>IF(OR(N48="",P48=""),"",ROUND((P48-N48)/N48,4))</f>
        <v/>
      </c>
      <c r="R48" s="177">
        <f>IF(OR(N48="",P48=""),"",IF(Q48&gt;Settings!$B$3/100,"UP",IF(Q48&lt;-Settings!$B$3/100,"DOWN","FLAT")))</f>
        <v/>
      </c>
      <c r="S48" s="177">
        <f>IF(OR(N48="",P48="",J48=""),"",IF(OR(AND(J48="BUY",R48="UP"),AND(J48="SELL",R48="DOWN"),AND(J48="HOLD",R48="FLAT")),"YES","NO"))</f>
        <v/>
      </c>
      <c r="T48" s="176">
        <f>IF(J48="","",IF(J48="BUY",1,IF(J48="SELL",-1,0)))</f>
        <v/>
      </c>
      <c r="U48" s="184">
        <f>IFERROR(IF(OR(J48="",N48="",P48=""),"",IF(T48=0,0,T48*Q48-Settings!$B$4/10000-IF(T48&lt;0,Settings!$B$5/10000,0))),"")</f>
        <v/>
      </c>
      <c r="V48" s="185" t="n"/>
      <c r="W48" s="176">
        <f>IF($K48="","",$K48*60)</f>
        <v/>
      </c>
      <c r="X48" s="186">
        <f>IF($A48="","",$A48&amp;"|"&amp;$C48&amp;"|"&amp;$D48)</f>
        <v/>
      </c>
      <c r="Y48" s="186">
        <f>IFERROR(IF($X48="","",INDEX(LLM_Data_Entry!$H$3:$H$548,MATCH($X48,INDEX(LLM_Data_Entry!$A$3:$A$548&amp;"|"&amp;LLM_Data_Entry!$C$3:$C$548&amp;"|"&amp;LLM_Data_Entry!$D$3:$D$548,0),0))),"")</f>
        <v/>
      </c>
      <c r="Z48" s="186">
        <f>IFERROR(IF($X48="","",INDEX(LLM_Data_Entry!$R$3:$R$548,MATCH($X48,INDEX(LLM_Data_Entry!$A$3:$A$548&amp;"|"&amp;LLM_Data_Entry!$C$3:$C$548&amp;"|"&amp;LLM_Data_Entry!$D$3:$D$548,0),0))),"")</f>
        <v/>
      </c>
      <c r="AA48" s="152" t="n"/>
      <c r="AB48" s="152" t="inlineStr">
        <is>
          <t>price signal — only this window shows an abnormal move</t>
        </is>
      </c>
      <c r="AC48" s="152" t="inlineStr">
        <is>
          <t>ABNB</t>
        </is>
      </c>
      <c r="AD48" s="152" t="inlineStr">
        <is>
          <t>2025-08-06</t>
        </is>
      </c>
      <c r="AE48" s="152" t="n">
        <v>130.5</v>
      </c>
      <c r="AF48" s="152" t="inlineStr">
        <is>
          <t>2025-08-07</t>
        </is>
      </c>
      <c r="AG48" s="152" t="n">
        <v>120.38</v>
      </c>
      <c r="AH48" s="152" t="n">
        <v>-0.07754791570881224</v>
      </c>
      <c r="AI48" s="152" t="inlineStr">
        <is>
          <t>DOWN</t>
        </is>
      </c>
      <c r="AJ48" s="152" t="inlineStr">
        <is>
          <t>NO</t>
        </is>
      </c>
      <c r="AK48" s="152" t="n">
        <v>-0.07854800000000001</v>
      </c>
      <c r="AL48" s="152">
        <f>IF($A48="","",IFERROR(INDEX(Company_List!$G$3:$G$207,MATCH($A48,Company_List!$A$3:$A$207,0)),"unassigned"))</f>
        <v/>
      </c>
      <c r="AM48" s="152" t="inlineStr">
        <is>
          <t>Phase 2/Airbnb/Airbnb-Q2-25-Earnings-Call-Transcript.pdf</t>
        </is>
      </c>
      <c r="AN48" s="152" t="n"/>
      <c r="AO48" s="152" t="inlineStr">
        <is>
          <t>unique filename match</t>
        </is>
      </c>
      <c r="AP48" s="152">
        <f>IF($A48="","",IF(COUNTIFS(LLM_Data_Entry!$A$3:$A$548,$A48)&gt;0,"YES","NO"))</f>
        <v/>
      </c>
      <c r="AQ48" s="152">
        <f>IF($A48="","",IF(COUNTIFS($A$3:$A48,$A48,$C$3:$C48,$C48,$D$3:$D48,$D48)=1,"YES","NO"))</f>
        <v/>
      </c>
      <c r="AR48" s="152">
        <f>IF($A48="","",IF(AND($C48&amp;"-"&amp;$D48&gt;=Settings!$B$19,$C48&amp;"-"&amp;$D48&lt;=Settings!$B$20),"IN","OUT"))</f>
        <v/>
      </c>
      <c r="AS48" s="152">
        <f>IF($A48="","",IF($F48="Financial Results","financials",IF($F48="Outlook/Guidance","guidance",IF($F48="Transcript Q&amp;A","qanda",IF($F48="","unrecorded",IF($E48="All","full",IF($E48="","unrecorded",LOWER($E48)&amp;" only")))))))</f>
        <v/>
      </c>
      <c r="AT48" s="152">
        <f>IF(AND(OR($J48="BUY",$J48="SELL"),ISNUMBER($U48)),$U48,"")</f>
        <v/>
      </c>
      <c r="AU48" s="152">
        <f>IF(AND(OR($J48="BUY",$J48="SELL"),ISNUMBER($AK48)),$AK48,"")</f>
        <v/>
      </c>
      <c r="AV48" s="152">
        <f>IF(ISNUMBER($AT48),ABS(IF(ISNUMBER($I48),$I48,0)-Settings!$B$24),"")</f>
        <v/>
      </c>
      <c r="AW48" s="152">
        <f>IF(ISNUMBER($AV48),$AV48*$AT48,"")</f>
        <v/>
      </c>
      <c r="AX48" s="152">
        <f>IF(ISNUMBER($AU48),ABS(IF(ISNUMBER($I48),$I48,0)-Settings!$B$24),"")</f>
        <v/>
      </c>
      <c r="AY48" s="152" t="inlineStr">
        <is>
          <t>FROZEN</t>
        </is>
      </c>
      <c r="AZ48" s="152">
        <f>IF($A48="","",IFERROR(INDEX(Company_List!$H$3:$H$207,MATCH($A48,Company_List!$A$3:$A$207,0)),"unassigned"))</f>
        <v/>
      </c>
      <c r="BA48" s="152" t="n"/>
      <c r="BB48" s="152" t="n"/>
      <c r="BC48" s="152">
        <f>IF($A48="","",IF(COUNTIFS($A$3:$A48,$A48,$C$3:$C48,$C48,$D$3:$D48,$D48,$G$3:$G48,$G48)=1,1,0))</f>
        <v/>
      </c>
      <c r="BD48" s="152" t="n"/>
      <c r="BE48" s="152" t="n"/>
      <c r="BF48" s="152" t="n"/>
      <c r="BG48" s="152" t="inlineStr">
        <is>
          <t>no</t>
        </is>
      </c>
      <c r="BH48" s="152" t="n"/>
      <c r="BI48" s="152" t="n"/>
      <c r="BJ48" s="152" t="n"/>
      <c r="BK48" s="152">
        <f>IF(OR($H48&lt;&gt;"Human",$S48="",$J48="",$Y48="",$Z48=""),"",IF(EXACT(UPPER($J48),UPPER($Y48)),1,0))</f>
        <v/>
      </c>
      <c r="BL48" s="152" t="inlineStr">
        <is>
          <t>assumed - no rater record</t>
        </is>
      </c>
      <c r="BM48" s="152" t="n">
        <v>1</v>
      </c>
      <c r="BN48" s="152" t="inlineStr">
        <is>
          <t>FactSet CallStreet</t>
        </is>
      </c>
      <c r="BO48" s="152" t="inlineStr">
        <is>
          <t>licensed vendor</t>
        </is>
      </c>
      <c r="BP48" s="152" t="inlineStr">
        <is>
          <t>no</t>
        </is>
      </c>
      <c r="BQ48" s="152" t="inlineStr">
        <is>
          <t>no</t>
        </is>
      </c>
      <c r="BR48" s="152" t="n"/>
      <c r="BS48" s="152" t="inlineStr">
        <is>
          <t>YES</t>
        </is>
      </c>
      <c r="BT48" s="152" t="n"/>
    </row>
    <row r="49" ht="15" customHeight="1" s="241">
      <c r="A49" s="174" t="inlineStr">
        <is>
          <t>Airbnb</t>
        </is>
      </c>
      <c r="B49" s="175">
        <f>IF(A49="","",_xlfn.XLOOKUP(A49, Company_List!$A:$A, Company_List!$B:$B, ""))</f>
        <v/>
      </c>
      <c r="C49" s="176" t="n">
        <v>2025</v>
      </c>
      <c r="D49" s="177" t="inlineStr">
        <is>
          <t>Q3</t>
        </is>
      </c>
      <c r="E49" s="178" t="inlineStr">
        <is>
          <t>Transcript</t>
        </is>
      </c>
      <c r="F49" s="178" t="inlineStr">
        <is>
          <t>All</t>
        </is>
      </c>
      <c r="G49" s="177" t="inlineStr">
        <is>
          <t>Anna</t>
        </is>
      </c>
      <c r="H49" s="177" t="inlineStr">
        <is>
          <t>Human</t>
        </is>
      </c>
      <c r="I49" s="179" t="n">
        <v>0.4</v>
      </c>
      <c r="J49" s="180">
        <f>IF(OR(I49="",Settings!$B$6=""),"",IF(I49&gt;Settings!$B$6,"BUY",IF(I49&lt;-Settings!$B$6,"SELL","HOLD")))</f>
        <v/>
      </c>
      <c r="K49" s="181" t="n">
        <v>31</v>
      </c>
      <c r="L49" s="182" t="n">
        <v>45967</v>
      </c>
      <c r="M49" s="182" t="n">
        <v>45967</v>
      </c>
      <c r="N49" s="179" t="n">
        <v>120.53</v>
      </c>
      <c r="O49" s="182" t="n">
        <v>45968</v>
      </c>
      <c r="P49" s="183" t="n">
        <v>125.49</v>
      </c>
      <c r="Q49" s="184">
        <f>IF(OR(N49="",P49=""),"",ROUND((P49-N49)/N49,4))</f>
        <v/>
      </c>
      <c r="R49" s="177">
        <f>IF(OR(N49="",P49=""),"",IF(Q49&gt;Settings!$B$3/100,"UP",IF(Q49&lt;-Settings!$B$3/100,"DOWN","FLAT")))</f>
        <v/>
      </c>
      <c r="S49" s="177">
        <f>IF(OR(N49="",P49="",J49=""),"",IF(OR(AND(J49="BUY",R49="UP"),AND(J49="SELL",R49="DOWN"),AND(J49="HOLD",R49="FLAT")),"YES","NO"))</f>
        <v/>
      </c>
      <c r="T49" s="176">
        <f>IF(J49="","",IF(J49="BUY",1,IF(J49="SELL",-1,0)))</f>
        <v/>
      </c>
      <c r="U49" s="184">
        <f>IFERROR(IF(OR(J49="",N49="",P49=""),"",IF(T49=0,0,T49*Q49-Settings!$B$4/10000-IF(T49&lt;0,Settings!$B$5/10000,0))),"")</f>
        <v/>
      </c>
      <c r="V49" s="185" t="n"/>
      <c r="W49" s="176">
        <f>IF($K49="","",$K49*60)</f>
        <v/>
      </c>
      <c r="X49" s="186">
        <f>IF($A49="","",$A49&amp;"|"&amp;$C49&amp;"|"&amp;$D49)</f>
        <v/>
      </c>
      <c r="Y49" s="186">
        <f>IFERROR(IF($X49="","",INDEX(LLM_Data_Entry!$H$3:$H$548,MATCH($X49,INDEX(LLM_Data_Entry!$A$3:$A$548&amp;"|"&amp;LLM_Data_Entry!$C$3:$C$548&amp;"|"&amp;LLM_Data_Entry!$D$3:$D$548,0),0))),"")</f>
        <v/>
      </c>
      <c r="Z49" s="186">
        <f>IFERROR(IF($X49="","",INDEX(LLM_Data_Entry!$R$3:$R$548,MATCH($X49,INDEX(LLM_Data_Entry!$A$3:$A$548&amp;"|"&amp;LLM_Data_Entry!$C$3:$C$548&amp;"|"&amp;LLM_Data_Entry!$D$3:$D$548,0),0))),"")</f>
        <v/>
      </c>
      <c r="AA49" s="152" t="n"/>
      <c r="AB49" s="152" t="inlineStr">
        <is>
          <t>price signal — only this window shows an abnormal move</t>
        </is>
      </c>
      <c r="AC49" s="152" t="inlineStr">
        <is>
          <t>ABNB</t>
        </is>
      </c>
      <c r="AD49" s="152" t="inlineStr">
        <is>
          <t>2025-11-06</t>
        </is>
      </c>
      <c r="AE49" s="152" t="n">
        <v>120.53</v>
      </c>
      <c r="AF49" s="152" t="inlineStr">
        <is>
          <t>2025-11-07</t>
        </is>
      </c>
      <c r="AG49" s="152" t="n">
        <v>125.495</v>
      </c>
      <c r="AH49" s="152" t="n">
        <v>0.04119309749600174</v>
      </c>
      <c r="AI49" s="152" t="inlineStr">
        <is>
          <t>UP</t>
        </is>
      </c>
      <c r="AJ49" s="152" t="inlineStr">
        <is>
          <t>YES</t>
        </is>
      </c>
      <c r="AK49" s="152" t="n">
        <v>0.040193</v>
      </c>
      <c r="AL49" s="152">
        <f>IF($A49="","",IFERROR(INDEX(Company_List!$G$3:$G$207,MATCH($A49,Company_List!$A$3:$A$207,0)),"unassigned"))</f>
        <v/>
      </c>
      <c r="AM49" s="152" t="inlineStr">
        <is>
          <t>Phase 2/Airbnb/Airbnb-Q3-2025-Earnings-Call-6-November-2025-5_00-PM-ET.pdf</t>
        </is>
      </c>
      <c r="AN49" s="152" t="n"/>
      <c r="AO49" s="152" t="inlineStr">
        <is>
          <t>unique filename match</t>
        </is>
      </c>
      <c r="AP49" s="152">
        <f>IF($A49="","",IF(COUNTIFS(LLM_Data_Entry!$A$3:$A$548,$A49)&gt;0,"YES","NO"))</f>
        <v/>
      </c>
      <c r="AQ49" s="152">
        <f>IF($A49="","",IF(COUNTIFS($A$3:$A49,$A49,$C$3:$C49,$C49,$D$3:$D49,$D49)=1,"YES","NO"))</f>
        <v/>
      </c>
      <c r="AR49" s="152">
        <f>IF($A49="","",IF(AND($C49&amp;"-"&amp;$D49&gt;=Settings!$B$19,$C49&amp;"-"&amp;$D49&lt;=Settings!$B$20),"IN","OUT"))</f>
        <v/>
      </c>
      <c r="AS49" s="152">
        <f>IF($A49="","",IF($F49="Financial Results","financials",IF($F49="Outlook/Guidance","guidance",IF($F49="Transcript Q&amp;A","qanda",IF($F49="","unrecorded",IF($E49="All","full",IF($E49="","unrecorded",LOWER($E49)&amp;" only")))))))</f>
        <v/>
      </c>
      <c r="AT49" s="152">
        <f>IF(AND(OR($J49="BUY",$J49="SELL"),ISNUMBER($U49)),$U49,"")</f>
        <v/>
      </c>
      <c r="AU49" s="152">
        <f>IF(AND(OR($J49="BUY",$J49="SELL"),ISNUMBER($AK49)),$AK49,"")</f>
        <v/>
      </c>
      <c r="AV49" s="152">
        <f>IF(ISNUMBER($AT49),ABS(IF(ISNUMBER($I49),$I49,0)-Settings!$B$24),"")</f>
        <v/>
      </c>
      <c r="AW49" s="152">
        <f>IF(ISNUMBER($AV49),$AV49*$AT49,"")</f>
        <v/>
      </c>
      <c r="AX49" s="152">
        <f>IF(ISNUMBER($AU49),ABS(IF(ISNUMBER($I49),$I49,0)-Settings!$B$24),"")</f>
        <v/>
      </c>
      <c r="AY49" s="152" t="inlineStr">
        <is>
          <t>FROZEN</t>
        </is>
      </c>
      <c r="AZ49" s="152">
        <f>IF($A49="","",IFERROR(INDEX(Company_List!$H$3:$H$207,MATCH($A49,Company_List!$A$3:$A$207,0)),"unassigned"))</f>
        <v/>
      </c>
      <c r="BA49" s="152" t="n"/>
      <c r="BB49" s="152" t="n"/>
      <c r="BC49" s="152">
        <f>IF($A49="","",IF(COUNTIFS($A$3:$A49,$A49,$C$3:$C49,$C49,$D$3:$D49,$D49,$G$3:$G49,$G49)=1,1,0))</f>
        <v/>
      </c>
      <c r="BD49" s="152" t="n"/>
      <c r="BE49" s="152" t="n"/>
      <c r="BF49" s="152" t="n"/>
      <c r="BG49" s="152" t="inlineStr">
        <is>
          <t>no</t>
        </is>
      </c>
      <c r="BH49" s="152" t="n"/>
      <c r="BI49" s="152" t="n"/>
      <c r="BJ49" s="152" t="n"/>
      <c r="BK49" s="152">
        <f>IF(OR($H49&lt;&gt;"Human",$S49="",$J49="",$Y49="",$Z49=""),"",IF(EXACT(UPPER($J49),UPPER($Y49)),1,0))</f>
        <v/>
      </c>
      <c r="BL49" s="152" t="inlineStr">
        <is>
          <t>assumed - no rater record</t>
        </is>
      </c>
      <c r="BM49" s="152" t="n">
        <v>1</v>
      </c>
      <c r="BN49" s="152" t="inlineStr">
        <is>
          <t>FactSet CallStreet</t>
        </is>
      </c>
      <c r="BO49" s="152" t="inlineStr">
        <is>
          <t>licensed vendor</t>
        </is>
      </c>
      <c r="BP49" s="152" t="inlineStr">
        <is>
          <t>no</t>
        </is>
      </c>
      <c r="BQ49" s="152" t="inlineStr">
        <is>
          <t>no</t>
        </is>
      </c>
      <c r="BR49" s="152" t="n"/>
      <c r="BS49" s="152" t="inlineStr">
        <is>
          <t>YES</t>
        </is>
      </c>
      <c r="BT49" s="152" t="n"/>
    </row>
    <row r="50" ht="15" customHeight="1" s="241">
      <c r="A50" s="174" t="inlineStr">
        <is>
          <t>JPMorgan</t>
        </is>
      </c>
      <c r="B50" s="175">
        <f>IF(A50="","",_xlfn.XLOOKUP(A50, Company_List!$A:$A, Company_List!$B:$B, ""))</f>
        <v/>
      </c>
      <c r="C50" s="176" t="n">
        <v>2025</v>
      </c>
      <c r="D50" s="177" t="inlineStr">
        <is>
          <t>Q1</t>
        </is>
      </c>
      <c r="E50" s="178" t="inlineStr">
        <is>
          <t>All</t>
        </is>
      </c>
      <c r="F50" s="178" t="inlineStr">
        <is>
          <t>All</t>
        </is>
      </c>
      <c r="G50" s="177" t="inlineStr">
        <is>
          <t>Nigel</t>
        </is>
      </c>
      <c r="H50" s="177" t="inlineStr">
        <is>
          <t>Human</t>
        </is>
      </c>
      <c r="I50" s="179" t="n">
        <v>0.2</v>
      </c>
      <c r="J50" s="180">
        <f>IF(OR(I50="",Settings!$B$6=""),"",IF(I50&gt;Settings!$B$6,"BUY",IF(I50&lt;-Settings!$B$6,"SELL","HOLD")))</f>
        <v/>
      </c>
      <c r="K50" s="181" t="n">
        <v>32</v>
      </c>
      <c r="L50" s="182" t="n">
        <v>45758</v>
      </c>
      <c r="M50" s="182" t="n">
        <v>45757</v>
      </c>
      <c r="N50" s="179" t="n">
        <v>227.11</v>
      </c>
      <c r="O50" s="182" t="n">
        <v>45758</v>
      </c>
      <c r="P50" s="183" t="n">
        <v>226.31</v>
      </c>
      <c r="Q50" s="184">
        <f>IF(OR(N50="",P50=""),"",ROUND((P50-N50)/N50,4))</f>
        <v/>
      </c>
      <c r="R50" s="177">
        <f>IF(OR(N50="",P50=""),"",IF(Q50&gt;Settings!$B$3/100,"UP",IF(Q50&lt;-Settings!$B$3/100,"DOWN","FLAT")))</f>
        <v/>
      </c>
      <c r="S50" s="177">
        <f>IF(OR(N50="",P50="",J50=""),"",IF(OR(AND(J50="BUY",R50="UP"),AND(J50="SELL",R50="DOWN"),AND(J50="HOLD",R50="FLAT")),"YES","NO"))</f>
        <v/>
      </c>
      <c r="T50" s="176">
        <f>IF(J50="","",IF(J50="BUY",1,IF(J50="SELL",-1,0)))</f>
        <v/>
      </c>
      <c r="U50" s="184">
        <f>IFERROR(IF(OR(J50="",N50="",P50=""),"",IF(T50=0,0,T50*Q50-Settings!$B$4/10000-IF(T50&lt;0,Settings!$B$5/10000,0))),"")</f>
        <v/>
      </c>
      <c r="V50" s="185" t="n"/>
      <c r="W50" s="176">
        <f>IF($K50="","",$K50*60)</f>
        <v/>
      </c>
      <c r="X50" s="186">
        <f>IF($A50="","",$A50&amp;"|"&amp;$C50&amp;"|"&amp;$D50)</f>
        <v/>
      </c>
      <c r="Y50" s="186">
        <f>IFERROR(IF($X50="","",INDEX(LLM_Data_Entry!$H$3:$H$548,MATCH($X50,INDEX(LLM_Data_Entry!$A$3:$A$548&amp;"|"&amp;LLM_Data_Entry!$C$3:$C$548&amp;"|"&amp;LLM_Data_Entry!$D$3:$D$548,0),0))),"")</f>
        <v/>
      </c>
      <c r="Z50" s="186">
        <f>IFERROR(IF($X50="","",INDEX(LLM_Data_Entry!$R$3:$R$548,MATCH($X50,INDEX(LLM_Data_Entry!$A$3:$A$548&amp;"|"&amp;LLM_Data_Entry!$C$3:$C$548&amp;"|"&amp;LLM_Data_Entry!$D$3:$D$548,0),0))),"")</f>
        <v/>
      </c>
      <c r="AA50" s="152" t="n"/>
      <c r="AB50" s="152" t="inlineStr">
        <is>
          <t>document date + price signal</t>
        </is>
      </c>
      <c r="AC50" s="152" t="inlineStr">
        <is>
          <t>JPM</t>
        </is>
      </c>
      <c r="AD50" s="152" t="inlineStr">
        <is>
          <t>2025-03-31</t>
        </is>
      </c>
      <c r="AE50" s="152" t="n">
        <v>238.0749</v>
      </c>
      <c r="AF50" s="152" t="inlineStr">
        <is>
          <t>2025-04-01</t>
        </is>
      </c>
      <c r="AG50" s="152" t="n">
        <v>235.4738</v>
      </c>
      <c r="AH50" s="152" t="n">
        <v>-0.01092547572088052</v>
      </c>
      <c r="AI50" s="152" t="inlineStr">
        <is>
          <t>FLAT</t>
        </is>
      </c>
      <c r="AJ50" s="152" t="inlineStr">
        <is>
          <t>YES</t>
        </is>
      </c>
      <c r="AK50" s="152" t="n">
        <v>0</v>
      </c>
      <c r="AL50" s="152">
        <f>IF($A50="","",IFERROR(INDEX(Company_List!$G$3:$G$207,MATCH($A50,Company_List!$A$3:$A$207,0)),"unassigned"))</f>
        <v/>
      </c>
      <c r="AM50" s="152" t="inlineStr">
        <is>
          <t>Phase 2/JPMC Documents/2025-Q1/JPM-2025-Q1-press-release-SEC-EX-99-1.htm; Phase 2/JPMC Documents/2025-Q1/JPM-2025-Q1-earnings-call-transcript-jpmorganchase-com.pdf</t>
        </is>
      </c>
      <c r="AN50" s="152" t="inlineStr">
        <is>
          <t>https://www.jpmorganchase.com/content/dam/jpmc/jpmorgan-chase-and-co/investor-relations/documents/quarterly-earnings/2025/1st-quarter/1q25-earnings-transcript.pdf; https://www.sec.gov/Archives/edgar/data/19617/000001961725000332/a1q25erfexhibit991narrative.htm</t>
        </is>
      </c>
      <c r="AO50" s="152" t="inlineStr">
        <is>
          <t>manifest (whole bundle)</t>
        </is>
      </c>
      <c r="AP50" s="152">
        <f>IF($A50="","",IF(COUNTIFS(LLM_Data_Entry!$A$3:$A$548,$A50)&gt;0,"YES","NO"))</f>
        <v/>
      </c>
      <c r="AQ50" s="152">
        <f>IF($A50="","",IF(COUNTIFS($A$3:$A50,$A50,$C$3:$C50,$C50,$D$3:$D50,$D50)=1,"YES","NO"))</f>
        <v/>
      </c>
      <c r="AR50" s="152">
        <f>IF($A50="","",IF(AND($C50&amp;"-"&amp;$D50&gt;=Settings!$B$19,$C50&amp;"-"&amp;$D50&lt;=Settings!$B$20),"IN","OUT"))</f>
        <v/>
      </c>
      <c r="AS50" s="152">
        <f>IF($A50="","",IF($F50="Financial Results","financials",IF($F50="Outlook/Guidance","guidance",IF($F50="Transcript Q&amp;A","qanda",IF($F50="","unrecorded",IF($E50="All","full",IF($E50="","unrecorded",LOWER($E50)&amp;" only")))))))</f>
        <v/>
      </c>
      <c r="AT50" s="152">
        <f>IF(AND(OR($J50="BUY",$J50="SELL"),ISNUMBER($U50)),$U50,"")</f>
        <v/>
      </c>
      <c r="AU50" s="152">
        <f>IF(AND(OR($J50="BUY",$J50="SELL"),ISNUMBER($AK50)),$AK50,"")</f>
        <v/>
      </c>
      <c r="AV50" s="152">
        <f>IF(ISNUMBER($AT50),ABS(IF(ISNUMBER($I50),$I50,0)-Settings!$B$24),"")</f>
        <v/>
      </c>
      <c r="AW50" s="152">
        <f>IF(ISNUMBER($AV50),$AV50*$AT50,"")</f>
        <v/>
      </c>
      <c r="AX50" s="152">
        <f>IF(ISNUMBER($AU50),ABS(IF(ISNUMBER($I50),$I50,0)-Settings!$B$24),"")</f>
        <v/>
      </c>
      <c r="AY50" s="152" t="inlineStr">
        <is>
          <t>FROZEN</t>
        </is>
      </c>
      <c r="AZ50" s="152">
        <f>IF($A50="","",IFERROR(INDEX(Company_List!$H$3:$H$207,MATCH($A50,Company_List!$A$3:$A$207,0)),"unassigned"))</f>
        <v/>
      </c>
      <c r="BA50" s="152" t="n"/>
      <c r="BB50" s="152" t="n"/>
      <c r="BC50" s="152">
        <f>IF($A50="","",IF(COUNTIFS($A$3:$A50,$A50,$C$3:$C50,$C50,$D$3:$D50,$D50,$G$3:$G50,$G50)=1,1,0))</f>
        <v/>
      </c>
      <c r="BD50" s="152" t="n"/>
      <c r="BE50" s="152" t="n"/>
      <c r="BF50" s="152" t="n"/>
      <c r="BG50" s="152" t="inlineStr">
        <is>
          <t>no</t>
        </is>
      </c>
      <c r="BH50" s="152" t="n"/>
      <c r="BI50" s="152" t="n"/>
      <c r="BJ50" s="152" t="n"/>
      <c r="BK50" s="152">
        <f>IF(OR($H50&lt;&gt;"Human",$S50="",$J50="",$Y50="",$Z50=""),"",IF(EXACT(UPPER($J50),UPPER($Y50)),1,0))</f>
        <v/>
      </c>
      <c r="BL50" s="152" t="inlineStr">
        <is>
          <t>assumed - no rater record</t>
        </is>
      </c>
      <c r="BM50" s="152" t="n">
        <v>2</v>
      </c>
      <c r="BN50" s="152" t="inlineStr">
        <is>
          <t>not publisher-identified</t>
        </is>
      </c>
      <c r="BO50" s="152" t="inlineStr">
        <is>
          <t>not publisher-identified</t>
        </is>
      </c>
      <c r="BP50" s="152" t="inlineStr">
        <is>
          <t>no</t>
        </is>
      </c>
      <c r="BQ50" s="152" t="inlineStr">
        <is>
          <t>yes</t>
        </is>
      </c>
      <c r="BR50" s="152" t="n"/>
      <c r="BS50" s="152" t="inlineStr">
        <is>
          <t>YES</t>
        </is>
      </c>
      <c r="BT50" s="152" t="n"/>
    </row>
    <row r="51" ht="15" customHeight="1" s="241">
      <c r="A51" s="174" t="inlineStr">
        <is>
          <t>JPMorgan</t>
        </is>
      </c>
      <c r="B51" s="175">
        <f>IF(A51="","",_xlfn.XLOOKUP(A51, Company_List!$A:$A, Company_List!$B:$B, ""))</f>
        <v/>
      </c>
      <c r="C51" s="176" t="n">
        <v>2025</v>
      </c>
      <c r="D51" s="177" t="inlineStr">
        <is>
          <t>Q2</t>
        </is>
      </c>
      <c r="E51" s="178" t="inlineStr">
        <is>
          <t>All</t>
        </is>
      </c>
      <c r="F51" s="178" t="inlineStr">
        <is>
          <t>All</t>
        </is>
      </c>
      <c r="G51" s="177" t="inlineStr">
        <is>
          <t>Nigel</t>
        </is>
      </c>
      <c r="H51" s="177" t="inlineStr">
        <is>
          <t>Human</t>
        </is>
      </c>
      <c r="I51" s="179" t="n">
        <v>0.6</v>
      </c>
      <c r="J51" s="180">
        <f>IF(OR(I51="",Settings!$B$6=""),"",IF(I51&gt;Settings!$B$6,"BUY",IF(I51&lt;-Settings!$B$6,"SELL","HOLD")))</f>
        <v/>
      </c>
      <c r="K51" s="181" t="n">
        <v>31</v>
      </c>
      <c r="L51" s="182" t="n">
        <v>45853</v>
      </c>
      <c r="M51" s="182" t="n">
        <v>45852</v>
      </c>
      <c r="N51" s="179" t="n">
        <v>288.7</v>
      </c>
      <c r="O51" s="182" t="n">
        <v>45853</v>
      </c>
      <c r="P51" s="183" t="n">
        <v>288</v>
      </c>
      <c r="Q51" s="184">
        <f>IF(OR(N51="",P51=""),"",ROUND((P51-N51)/N51,4))</f>
        <v/>
      </c>
      <c r="R51" s="177">
        <f>IF(OR(N51="",P51=""),"",IF(Q51&gt;Settings!$B$3/100,"UP",IF(Q51&lt;-Settings!$B$3/100,"DOWN","FLAT")))</f>
        <v/>
      </c>
      <c r="S51" s="177">
        <f>IF(OR(N51="",P51="",J51=""),"",IF(OR(AND(J51="BUY",R51="UP"),AND(J51="SELL",R51="DOWN"),AND(J51="HOLD",R51="FLAT")),"YES","NO"))</f>
        <v/>
      </c>
      <c r="T51" s="176">
        <f>IF(J51="","",IF(J51="BUY",1,IF(J51="SELL",-1,0)))</f>
        <v/>
      </c>
      <c r="U51" s="184">
        <f>IFERROR(IF(OR(J51="",N51="",P51=""),"",IF(T51=0,0,T51*Q51-Settings!$B$4/10000-IF(T51&lt;0,Settings!$B$5/10000,0))),"")</f>
        <v/>
      </c>
      <c r="V51" s="185" t="n"/>
      <c r="W51" s="176">
        <f>IF($K51="","",$K51*60)</f>
        <v/>
      </c>
      <c r="X51" s="186">
        <f>IF($A51="","",$A51&amp;"|"&amp;$C51&amp;"|"&amp;$D51)</f>
        <v/>
      </c>
      <c r="Y51" s="186">
        <f>IFERROR(IF($X51="","",INDEX(LLM_Data_Entry!$H$3:$H$548,MATCH($X51,INDEX(LLM_Data_Entry!$A$3:$A$548&amp;"|"&amp;LLM_Data_Entry!$C$3:$C$548&amp;"|"&amp;LLM_Data_Entry!$D$3:$D$548,0),0))),"")</f>
        <v/>
      </c>
      <c r="Z51" s="186">
        <f>IFERROR(IF($X51="","",INDEX(LLM_Data_Entry!$R$3:$R$548,MATCH($X51,INDEX(LLM_Data_Entry!$A$3:$A$548&amp;"|"&amp;LLM_Data_Entry!$C$3:$C$548&amp;"|"&amp;LLM_Data_Entry!$D$3:$D$548,0),0))),"")</f>
        <v/>
      </c>
      <c r="AA51" s="152" t="n"/>
      <c r="AB51" s="152" t="inlineStr">
        <is>
          <t>release time published by the issuer</t>
        </is>
      </c>
      <c r="AC51" s="152" t="inlineStr">
        <is>
          <t>JPM</t>
        </is>
      </c>
      <c r="AD51" s="152" t="inlineStr">
        <is>
          <t>2025-07-14</t>
        </is>
      </c>
      <c r="AE51" s="152" t="n">
        <v>283.2807</v>
      </c>
      <c r="AF51" s="152" t="inlineStr">
        <is>
          <t>2025-07-15</t>
        </is>
      </c>
      <c r="AG51" s="152" t="n">
        <v>282.5938</v>
      </c>
      <c r="AH51" s="152" t="n">
        <v>-0.002424757842669704</v>
      </c>
      <c r="AI51" s="152" t="inlineStr">
        <is>
          <t>FLAT</t>
        </is>
      </c>
      <c r="AJ51" s="152" t="inlineStr">
        <is>
          <t>NO</t>
        </is>
      </c>
      <c r="AK51" s="152" t="n">
        <v>-0.003425</v>
      </c>
      <c r="AL51" s="152">
        <f>IF($A51="","",IFERROR(INDEX(Company_List!$G$3:$G$207,MATCH($A51,Company_List!$A$3:$A$207,0)),"unassigned"))</f>
        <v/>
      </c>
      <c r="AM51" s="152" t="inlineStr">
        <is>
          <t>Phase 2/JPMC Documents/Q2/corp-q2-2025.pdf</t>
        </is>
      </c>
      <c r="AN51" s="152" t="n"/>
      <c r="AO51" s="152" t="inlineStr">
        <is>
          <t>unique filename match</t>
        </is>
      </c>
      <c r="AP51" s="152">
        <f>IF($A51="","",IF(COUNTIFS(LLM_Data_Entry!$A$3:$A$548,$A51)&gt;0,"YES","NO"))</f>
        <v/>
      </c>
      <c r="AQ51" s="152">
        <f>IF($A51="","",IF(COUNTIFS($A$3:$A51,$A51,$C$3:$C51,$C51,$D$3:$D51,$D51)=1,"YES","NO"))</f>
        <v/>
      </c>
      <c r="AR51" s="152">
        <f>IF($A51="","",IF(AND($C51&amp;"-"&amp;$D51&gt;=Settings!$B$19,$C51&amp;"-"&amp;$D51&lt;=Settings!$B$20),"IN","OUT"))</f>
        <v/>
      </c>
      <c r="AS51" s="152">
        <f>IF($A51="","",IF($F51="Financial Results","financials",IF($F51="Outlook/Guidance","guidance",IF($F51="Transcript Q&amp;A","qanda",IF($F51="","unrecorded",IF($E51="All","full",IF($E51="","unrecorded",LOWER($E51)&amp;" only")))))))</f>
        <v/>
      </c>
      <c r="AT51" s="152">
        <f>IF(AND(OR($J51="BUY",$J51="SELL"),ISNUMBER($U51)),$U51,"")</f>
        <v/>
      </c>
      <c r="AU51" s="152">
        <f>IF(AND(OR($J51="BUY",$J51="SELL"),ISNUMBER($AK51)),$AK51,"")</f>
        <v/>
      </c>
      <c r="AV51" s="152">
        <f>IF(ISNUMBER($AT51),ABS(IF(ISNUMBER($I51),$I51,0)-Settings!$B$24),"")</f>
        <v/>
      </c>
      <c r="AW51" s="152">
        <f>IF(ISNUMBER($AV51),$AV51*$AT51,"")</f>
        <v/>
      </c>
      <c r="AX51" s="152">
        <f>IF(ISNUMBER($AU51),ABS(IF(ISNUMBER($I51),$I51,0)-Settings!$B$24),"")</f>
        <v/>
      </c>
      <c r="AY51" s="152" t="inlineStr">
        <is>
          <t>FROZEN</t>
        </is>
      </c>
      <c r="AZ51" s="152">
        <f>IF($A51="","",IFERROR(INDEX(Company_List!$H$3:$H$207,MATCH($A51,Company_List!$A$3:$A$207,0)),"unassigned"))</f>
        <v/>
      </c>
      <c r="BA51" s="152" t="n"/>
      <c r="BB51" s="152" t="n"/>
      <c r="BC51" s="152">
        <f>IF($A51="","",IF(COUNTIFS($A$3:$A51,$A51,$C$3:$C51,$C51,$D$3:$D51,$D51,$G$3:$G51,$G51)=1,1,0))</f>
        <v/>
      </c>
      <c r="BD51" s="152" t="n"/>
      <c r="BE51" s="152" t="n"/>
      <c r="BF51" s="152" t="n"/>
      <c r="BG51" s="152" t="inlineStr">
        <is>
          <t>no</t>
        </is>
      </c>
      <c r="BH51" s="152" t="n"/>
      <c r="BI51" s="152" t="n"/>
      <c r="BJ51" s="152" t="n"/>
      <c r="BK51" s="152">
        <f>IF(OR($H51&lt;&gt;"Human",$S51="",$J51="",$Y51="",$Z51=""),"",IF(EXACT(UPPER($J51),UPPER($Y51)),1,0))</f>
        <v/>
      </c>
      <c r="BL51" s="152" t="inlineStr">
        <is>
          <t>assumed - no rater record</t>
        </is>
      </c>
      <c r="BM51" s="152" t="n">
        <v>1</v>
      </c>
      <c r="BN51" s="152" t="inlineStr">
        <is>
          <t>not publisher-identified</t>
        </is>
      </c>
      <c r="BO51" s="152" t="inlineStr">
        <is>
          <t>not publisher-identified</t>
        </is>
      </c>
      <c r="BP51" s="152" t="inlineStr">
        <is>
          <t>sole source</t>
        </is>
      </c>
      <c r="BQ51" s="152" t="inlineStr">
        <is>
          <t>no</t>
        </is>
      </c>
      <c r="BR51" s="152" t="n"/>
      <c r="BS51" s="152" t="inlineStr">
        <is>
          <t>YES</t>
        </is>
      </c>
      <c r="BT51" s="152" t="n"/>
    </row>
    <row r="52" ht="15" customHeight="1" s="241">
      <c r="A52" s="174" t="inlineStr">
        <is>
          <t>JPMorgan</t>
        </is>
      </c>
      <c r="B52" s="175">
        <f>IF(A52="","",_xlfn.XLOOKUP(A52, Company_List!$A:$A, Company_List!$B:$B, ""))</f>
        <v/>
      </c>
      <c r="C52" s="176" t="n">
        <v>2025</v>
      </c>
      <c r="D52" s="177" t="inlineStr">
        <is>
          <t>Q3</t>
        </is>
      </c>
      <c r="E52" s="178" t="inlineStr">
        <is>
          <t>All</t>
        </is>
      </c>
      <c r="F52" s="178" t="inlineStr">
        <is>
          <t>All</t>
        </is>
      </c>
      <c r="G52" s="177" t="inlineStr">
        <is>
          <t>Nigel</t>
        </is>
      </c>
      <c r="H52" s="177" t="inlineStr">
        <is>
          <t>Human</t>
        </is>
      </c>
      <c r="I52" s="179" t="n">
        <v>0.7</v>
      </c>
      <c r="J52" s="180">
        <f>IF(OR(I52="",Settings!$B$6=""),"",IF(I52&gt;Settings!$B$6,"BUY",IF(I52&lt;-Settings!$B$6,"SELL","HOLD")))</f>
        <v/>
      </c>
      <c r="K52" s="181" t="n">
        <v>28</v>
      </c>
      <c r="L52" s="182" t="n">
        <v>45944</v>
      </c>
      <c r="M52" s="182" t="n">
        <v>45943</v>
      </c>
      <c r="N52" s="179" t="n">
        <v>307.97</v>
      </c>
      <c r="O52" s="182" t="n">
        <v>45944</v>
      </c>
      <c r="P52" s="183" t="n">
        <v>305.84</v>
      </c>
      <c r="Q52" s="184">
        <f>IF(OR(N52="",P52=""),"",ROUND((P52-N52)/N52,4))</f>
        <v/>
      </c>
      <c r="R52" s="177">
        <f>IF(OR(N52="",P52=""),"",IF(Q52&gt;Settings!$B$3/100,"UP",IF(Q52&lt;-Settings!$B$3/100,"DOWN","FLAT")))</f>
        <v/>
      </c>
      <c r="S52" s="177">
        <f>IF(OR(N52="",P52="",J52=""),"",IF(OR(AND(J52="BUY",R52="UP"),AND(J52="SELL",R52="DOWN"),AND(J52="HOLD",R52="FLAT")),"YES","NO"))</f>
        <v/>
      </c>
      <c r="T52" s="176">
        <f>IF(J52="","",IF(J52="BUY",1,IF(J52="SELL",-1,0)))</f>
        <v/>
      </c>
      <c r="U52" s="184">
        <f>IFERROR(IF(OR(J52="",N52="",P52=""),"",IF(T52=0,0,T52*Q52-Settings!$B$4/10000-IF(T52&lt;0,Settings!$B$5/10000,0))),"")</f>
        <v/>
      </c>
      <c r="V52" s="185" t="n"/>
      <c r="W52" s="176">
        <f>IF($K52="","",$K52*60)</f>
        <v/>
      </c>
      <c r="X52" s="186">
        <f>IF($A52="","",$A52&amp;"|"&amp;$C52&amp;"|"&amp;$D52)</f>
        <v/>
      </c>
      <c r="Y52" s="186">
        <f>IFERROR(IF($X52="","",INDEX(LLM_Data_Entry!$H$3:$H$548,MATCH($X52,INDEX(LLM_Data_Entry!$A$3:$A$548&amp;"|"&amp;LLM_Data_Entry!$C$3:$C$548&amp;"|"&amp;LLM_Data_Entry!$D$3:$D$548,0),0))),"")</f>
        <v/>
      </c>
      <c r="Z52" s="186">
        <f>IFERROR(IF($X52="","",INDEX(LLM_Data_Entry!$R$3:$R$548,MATCH($X52,INDEX(LLM_Data_Entry!$A$3:$A$548&amp;"|"&amp;LLM_Data_Entry!$C$3:$C$548&amp;"|"&amp;LLM_Data_Entry!$D$3:$D$548,0),0))),"")</f>
        <v/>
      </c>
      <c r="AA52" s="152" t="n"/>
      <c r="AB52" s="152" t="inlineStr">
        <is>
          <t>release time published by the issuer</t>
        </is>
      </c>
      <c r="AC52" s="152" t="inlineStr">
        <is>
          <t>JPM</t>
        </is>
      </c>
      <c r="AD52" s="152" t="inlineStr">
        <is>
          <t>2025-10-13</t>
        </is>
      </c>
      <c r="AE52" s="152" t="n">
        <v>303.6581</v>
      </c>
      <c r="AF52" s="152" t="inlineStr">
        <is>
          <t>2025-10-14</t>
        </is>
      </c>
      <c r="AG52" s="152" t="n">
        <v>301.5579</v>
      </c>
      <c r="AH52" s="152" t="n">
        <v>-0.006916205179626069</v>
      </c>
      <c r="AI52" s="152" t="inlineStr">
        <is>
          <t>FLAT</t>
        </is>
      </c>
      <c r="AJ52" s="152" t="inlineStr">
        <is>
          <t>NO</t>
        </is>
      </c>
      <c r="AK52" s="152" t="n">
        <v>-0.007915999999999999</v>
      </c>
      <c r="AL52" s="152">
        <f>IF($A52="","",IFERROR(INDEX(Company_List!$G$3:$G$207,MATCH($A52,Company_List!$A$3:$A$207,0)),"unassigned"))</f>
        <v/>
      </c>
      <c r="AM52" s="152" t="inlineStr">
        <is>
          <t>Phase 2/JPMC Documents/2025-Q3/JPM-2025-Q3-press-release-SEC-EX-99-1.htm; Phase 2/JPMC Documents/2025-Q3/JPM-2025-Q3-earnings-call-transcript-jpmorganchase-com.pdf</t>
        </is>
      </c>
      <c r="AN52" s="152" t="inlineStr">
        <is>
          <t>https://www.jpmorganchase.com/content/dam/jpmc/jpmorgan-chase-and-co/investor-relations/documents/quarterly-earnings/2025/3rd-quarter/jpm-3q25-earnings-call-transcript.pdf; https://www.sec.gov/Archives/edgar/data/19617/000162828025044845/a3q25erfexhibit991narrative.htm</t>
        </is>
      </c>
      <c r="AO52" s="152" t="inlineStr">
        <is>
          <t>manifest (whole bundle)</t>
        </is>
      </c>
      <c r="AP52" s="152">
        <f>IF($A52="","",IF(COUNTIFS(LLM_Data_Entry!$A$3:$A$548,$A52)&gt;0,"YES","NO"))</f>
        <v/>
      </c>
      <c r="AQ52" s="152">
        <f>IF($A52="","",IF(COUNTIFS($A$3:$A52,$A52,$C$3:$C52,$C52,$D$3:$D52,$D52)=1,"YES","NO"))</f>
        <v/>
      </c>
      <c r="AR52" s="152">
        <f>IF($A52="","",IF(AND($C52&amp;"-"&amp;$D52&gt;=Settings!$B$19,$C52&amp;"-"&amp;$D52&lt;=Settings!$B$20),"IN","OUT"))</f>
        <v/>
      </c>
      <c r="AS52" s="152">
        <f>IF($A52="","",IF($F52="Financial Results","financials",IF($F52="Outlook/Guidance","guidance",IF($F52="Transcript Q&amp;A","qanda",IF($F52="","unrecorded",IF($E52="All","full",IF($E52="","unrecorded",LOWER($E52)&amp;" only")))))))</f>
        <v/>
      </c>
      <c r="AT52" s="152">
        <f>IF(AND(OR($J52="BUY",$J52="SELL"),ISNUMBER($U52)),$U52,"")</f>
        <v/>
      </c>
      <c r="AU52" s="152">
        <f>IF(AND(OR($J52="BUY",$J52="SELL"),ISNUMBER($AK52)),$AK52,"")</f>
        <v/>
      </c>
      <c r="AV52" s="152">
        <f>IF(ISNUMBER($AT52),ABS(IF(ISNUMBER($I52),$I52,0)-Settings!$B$24),"")</f>
        <v/>
      </c>
      <c r="AW52" s="152">
        <f>IF(ISNUMBER($AV52),$AV52*$AT52,"")</f>
        <v/>
      </c>
      <c r="AX52" s="152">
        <f>IF(ISNUMBER($AU52),ABS(IF(ISNUMBER($I52),$I52,0)-Settings!$B$24),"")</f>
        <v/>
      </c>
      <c r="AY52" s="152" t="inlineStr">
        <is>
          <t>FROZEN</t>
        </is>
      </c>
      <c r="AZ52" s="152">
        <f>IF($A52="","",IFERROR(INDEX(Company_List!$H$3:$H$207,MATCH($A52,Company_List!$A$3:$A$207,0)),"unassigned"))</f>
        <v/>
      </c>
      <c r="BA52" s="152" t="n"/>
      <c r="BB52" s="152" t="n"/>
      <c r="BC52" s="152">
        <f>IF($A52="","",IF(COUNTIFS($A$3:$A52,$A52,$C$3:$C52,$C52,$D$3:$D52,$D52,$G$3:$G52,$G52)=1,1,0))</f>
        <v/>
      </c>
      <c r="BD52" s="152" t="n"/>
      <c r="BE52" s="152" t="n"/>
      <c r="BF52" s="152" t="n"/>
      <c r="BG52" s="152" t="inlineStr">
        <is>
          <t>no</t>
        </is>
      </c>
      <c r="BH52" s="152" t="n"/>
      <c r="BI52" s="152" t="n"/>
      <c r="BJ52" s="152" t="n"/>
      <c r="BK52" s="152">
        <f>IF(OR($H52&lt;&gt;"Human",$S52="",$J52="",$Y52="",$Z52=""),"",IF(EXACT(UPPER($J52),UPPER($Y52)),1,0))</f>
        <v/>
      </c>
      <c r="BL52" s="152" t="inlineStr">
        <is>
          <t>assumed - no rater record</t>
        </is>
      </c>
      <c r="BM52" s="152" t="n">
        <v>2</v>
      </c>
      <c r="BN52" s="152" t="inlineStr">
        <is>
          <t>not publisher-identified</t>
        </is>
      </c>
      <c r="BO52" s="152" t="inlineStr">
        <is>
          <t>not publisher-identified</t>
        </is>
      </c>
      <c r="BP52" s="152" t="inlineStr">
        <is>
          <t>no</t>
        </is>
      </c>
      <c r="BQ52" s="152" t="inlineStr">
        <is>
          <t>yes</t>
        </is>
      </c>
      <c r="BR52" s="152" t="n"/>
      <c r="BS52" s="152" t="inlineStr">
        <is>
          <t>YES</t>
        </is>
      </c>
      <c r="BT52" s="152" t="n"/>
    </row>
    <row r="53" ht="15" customHeight="1" s="241">
      <c r="A53" s="174" t="inlineStr">
        <is>
          <t>JPMorgan</t>
        </is>
      </c>
      <c r="B53" s="175">
        <f>IF(A53="","",_xlfn.XLOOKUP(A53, Company_List!$A:$A, Company_List!$B:$B, ""))</f>
        <v/>
      </c>
      <c r="C53" s="176" t="n">
        <v>2025</v>
      </c>
      <c r="D53" s="177" t="inlineStr">
        <is>
          <t>Q4</t>
        </is>
      </c>
      <c r="E53" s="178" t="inlineStr">
        <is>
          <t>All</t>
        </is>
      </c>
      <c r="F53" s="178" t="inlineStr">
        <is>
          <t>All</t>
        </is>
      </c>
      <c r="G53" s="177" t="inlineStr">
        <is>
          <t>Nigel</t>
        </is>
      </c>
      <c r="H53" s="177" t="inlineStr">
        <is>
          <t>Human</t>
        </is>
      </c>
      <c r="I53" s="179" t="n">
        <v>-0.4</v>
      </c>
      <c r="J53" s="180">
        <f>IF(OR(I53="",Settings!$B$6=""),"",IF(I53&gt;Settings!$B$6,"BUY",IF(I53&lt;-Settings!$B$6,"SELL","HOLD")))</f>
        <v/>
      </c>
      <c r="K53" s="181" t="n">
        <v>24</v>
      </c>
      <c r="L53" s="182" t="n">
        <v>46035</v>
      </c>
      <c r="M53" s="182" t="n">
        <v>46034</v>
      </c>
      <c r="N53" s="179" t="n">
        <v>324.49</v>
      </c>
      <c r="O53" s="182" t="n">
        <v>46035</v>
      </c>
      <c r="P53" s="183" t="n">
        <v>324.3</v>
      </c>
      <c r="Q53" s="184">
        <f>IF(OR(N53="",P53=""),"",ROUND((P53-N53)/N53,4))</f>
        <v/>
      </c>
      <c r="R53" s="177">
        <f>IF(OR(N53="",P53=""),"",IF(Q53&gt;Settings!$B$3/100,"UP",IF(Q53&lt;-Settings!$B$3/100,"DOWN","FLAT")))</f>
        <v/>
      </c>
      <c r="S53" s="177">
        <f>IF(OR(N53="",P53="",J53=""),"",IF(OR(AND(J53="BUY",R53="UP"),AND(J53="SELL",R53="DOWN"),AND(J53="HOLD",R53="FLAT")),"YES","NO"))</f>
        <v/>
      </c>
      <c r="T53" s="176">
        <f>IF(J53="","",IF(J53="BUY",1,IF(J53="SELL",-1,0)))</f>
        <v/>
      </c>
      <c r="U53" s="184">
        <f>IFERROR(IF(OR(J53="",N53="",P53=""),"",IF(T53=0,0,T53*Q53-Settings!$B$4/10000-IF(T53&lt;0,Settings!$B$5/10000,0))),"")</f>
        <v/>
      </c>
      <c r="V53" s="185" t="n"/>
      <c r="W53" s="176">
        <f>IF($K53="","",$K53*60)</f>
        <v/>
      </c>
      <c r="X53" s="186">
        <f>IF($A53="","",$A53&amp;"|"&amp;$C53&amp;"|"&amp;$D53)</f>
        <v/>
      </c>
      <c r="Y53" s="186">
        <f>IFERROR(IF($X53="","",INDEX(LLM_Data_Entry!$H$3:$H$548,MATCH($X53,INDEX(LLM_Data_Entry!$A$3:$A$548&amp;"|"&amp;LLM_Data_Entry!$C$3:$C$548&amp;"|"&amp;LLM_Data_Entry!$D$3:$D$548,0),0))),"")</f>
        <v/>
      </c>
      <c r="Z53" s="186">
        <f>IFERROR(IF($X53="","",INDEX(LLM_Data_Entry!$R$3:$R$548,MATCH($X53,INDEX(LLM_Data_Entry!$A$3:$A$548&amp;"|"&amp;LLM_Data_Entry!$C$3:$C$548&amp;"|"&amp;LLM_Data_Entry!$D$3:$D$548,0),0))),"")</f>
        <v/>
      </c>
      <c r="AA53" s="152" t="n"/>
      <c r="AB53" s="152" t="inlineStr">
        <is>
          <t>release time published by the issuer</t>
        </is>
      </c>
      <c r="AC53" s="152" t="inlineStr">
        <is>
          <t>JPM</t>
        </is>
      </c>
      <c r="AD53" s="152" t="inlineStr">
        <is>
          <t>2026-01-12</t>
        </is>
      </c>
      <c r="AE53" s="152" t="n">
        <v>321.39</v>
      </c>
      <c r="AF53" s="152" t="inlineStr">
        <is>
          <t>2026-01-13</t>
        </is>
      </c>
      <c r="AG53" s="152" t="n">
        <v>321.2018</v>
      </c>
      <c r="AH53" s="152" t="n">
        <v>-0.0005855717077517526</v>
      </c>
      <c r="AI53" s="152" t="inlineStr">
        <is>
          <t>FLAT</t>
        </is>
      </c>
      <c r="AJ53" s="152" t="inlineStr">
        <is>
          <t>NO</t>
        </is>
      </c>
      <c r="AK53" s="152" t="n">
        <v>-0.000414</v>
      </c>
      <c r="AL53" s="152">
        <f>IF($A53="","",IFERROR(INDEX(Company_List!$G$3:$G$207,MATCH($A53,Company_List!$A$3:$A$207,0)),"unassigned"))</f>
        <v/>
      </c>
      <c r="AM53" s="152" t="inlineStr">
        <is>
          <t>Phase 2/JPMC Documents/Q4/corp-10k-2025.pdf</t>
        </is>
      </c>
      <c r="AN53" s="152" t="n"/>
      <c r="AO53" s="152" t="inlineStr">
        <is>
          <t>unique filename match</t>
        </is>
      </c>
      <c r="AP53" s="152">
        <f>IF($A53="","",IF(COUNTIFS(LLM_Data_Entry!$A$3:$A$548,$A53)&gt;0,"YES","NO"))</f>
        <v/>
      </c>
      <c r="AQ53" s="152">
        <f>IF($A53="","",IF(COUNTIFS($A$3:$A53,$A53,$C$3:$C53,$C53,$D$3:$D53,$D53)=1,"YES","NO"))</f>
        <v/>
      </c>
      <c r="AR53" s="152">
        <f>IF($A53="","",IF(AND($C53&amp;"-"&amp;$D53&gt;=Settings!$B$19,$C53&amp;"-"&amp;$D53&lt;=Settings!$B$20),"IN","OUT"))</f>
        <v/>
      </c>
      <c r="AS53" s="152">
        <f>IF($A53="","",IF($F53="Financial Results","financials",IF($F53="Outlook/Guidance","guidance",IF($F53="Transcript Q&amp;A","qanda",IF($F53="","unrecorded",IF($E53="All","full",IF($E53="","unrecorded",LOWER($E53)&amp;" only")))))))</f>
        <v/>
      </c>
      <c r="AT53" s="152">
        <f>IF(AND(OR($J53="BUY",$J53="SELL"),ISNUMBER($U53)),$U53,"")</f>
        <v/>
      </c>
      <c r="AU53" s="152">
        <f>IF(AND(OR($J53="BUY",$J53="SELL"),ISNUMBER($AK53)),$AK53,"")</f>
        <v/>
      </c>
      <c r="AV53" s="152">
        <f>IF(ISNUMBER($AT53),ABS(IF(ISNUMBER($I53),$I53,0)-Settings!$B$24),"")</f>
        <v/>
      </c>
      <c r="AW53" s="152">
        <f>IF(ISNUMBER($AV53),$AV53*$AT53,"")</f>
        <v/>
      </c>
      <c r="AX53" s="152">
        <f>IF(ISNUMBER($AU53),ABS(IF(ISNUMBER($I53),$I53,0)-Settings!$B$24),"")</f>
        <v/>
      </c>
      <c r="AY53" s="152" t="inlineStr">
        <is>
          <t>FROZEN</t>
        </is>
      </c>
      <c r="AZ53" s="152">
        <f>IF($A53="","",IFERROR(INDEX(Company_List!$H$3:$H$207,MATCH($A53,Company_List!$A$3:$A$207,0)),"unassigned"))</f>
        <v/>
      </c>
      <c r="BA53" s="152" t="n"/>
      <c r="BB53" s="152" t="n"/>
      <c r="BC53" s="152">
        <f>IF($A53="","",IF(COUNTIFS($A$3:$A53,$A53,$C$3:$C53,$C53,$D$3:$D53,$D53,$G$3:$G53,$G53)=1,1,0))</f>
        <v/>
      </c>
      <c r="BD53" s="152" t="n"/>
      <c r="BE53" s="152" t="n"/>
      <c r="BF53" s="152" t="n"/>
      <c r="BG53" s="152" t="inlineStr">
        <is>
          <t>no</t>
        </is>
      </c>
      <c r="BH53" s="152" t="n"/>
      <c r="BI53" s="152" t="n"/>
      <c r="BJ53" s="152" t="n"/>
      <c r="BK53" s="152">
        <f>IF(OR($H53&lt;&gt;"Human",$S53="",$J53="",$Y53="",$Z53=""),"",IF(EXACT(UPPER($J53),UPPER($Y53)),1,0))</f>
        <v/>
      </c>
      <c r="BL53" s="152" t="inlineStr">
        <is>
          <t>assumed - no rater record</t>
        </is>
      </c>
      <c r="BM53" s="152" t="n">
        <v>1</v>
      </c>
      <c r="BN53" s="152" t="inlineStr">
        <is>
          <t>not publisher-identified</t>
        </is>
      </c>
      <c r="BO53" s="152" t="inlineStr">
        <is>
          <t>not publisher-identified</t>
        </is>
      </c>
      <c r="BP53" s="152" t="inlineStr">
        <is>
          <t>sole source</t>
        </is>
      </c>
      <c r="BQ53" s="152" t="inlineStr">
        <is>
          <t>no</t>
        </is>
      </c>
      <c r="BR53" s="152" t="n"/>
      <c r="BS53" s="152" t="inlineStr">
        <is>
          <t>YES</t>
        </is>
      </c>
      <c r="BT53" s="152" t="n"/>
    </row>
    <row r="54" ht="15" customHeight="1" s="241">
      <c r="A54" s="174" t="inlineStr">
        <is>
          <t>JPMorgan</t>
        </is>
      </c>
      <c r="B54" s="175">
        <f>IF(A54="","",_xlfn.XLOOKUP(A54, Company_List!$A:$A, Company_List!$B:$B, ""))</f>
        <v/>
      </c>
      <c r="C54" s="176" t="n">
        <v>2025</v>
      </c>
      <c r="D54" s="177" t="inlineStr">
        <is>
          <t>Q1</t>
        </is>
      </c>
      <c r="E54" s="178" t="inlineStr">
        <is>
          <t>Transcript</t>
        </is>
      </c>
      <c r="F54" s="178" t="inlineStr">
        <is>
          <t>All</t>
        </is>
      </c>
      <c r="G54" s="177" t="inlineStr">
        <is>
          <t>Abdul</t>
        </is>
      </c>
      <c r="H54" s="177" t="inlineStr">
        <is>
          <t>Human</t>
        </is>
      </c>
      <c r="I54" s="179" t="n">
        <v>0.1</v>
      </c>
      <c r="J54" s="180">
        <f>IF(OR(I54="",Settings!$B$6=""),"",IF(I54&gt;Settings!$B$6,"BUY",IF(I54&lt;-Settings!$B$6,"SELL","HOLD")))</f>
        <v/>
      </c>
      <c r="K54" s="181" t="n">
        <v>72</v>
      </c>
      <c r="L54" s="182" t="n">
        <v>45758</v>
      </c>
      <c r="M54" s="182" t="n">
        <v>45757</v>
      </c>
      <c r="N54" s="179" t="n">
        <v>227.11</v>
      </c>
      <c r="O54" s="182" t="n">
        <v>45758</v>
      </c>
      <c r="P54" s="183" t="n">
        <v>226.31</v>
      </c>
      <c r="Q54" s="184">
        <f>IF(OR(N54="",P54=""),"",ROUND((P54-N54)/N54,4))</f>
        <v/>
      </c>
      <c r="R54" s="177">
        <f>IF(OR(N54="",P54=""),"",IF(Q54&gt;Settings!$B$3/100,"UP",IF(Q54&lt;-Settings!$B$3/100,"DOWN","FLAT")))</f>
        <v/>
      </c>
      <c r="S54" s="177">
        <f>IF(OR(N54="",P54="",J54=""),"",IF(OR(AND(J54="BUY",R54="UP"),AND(J54="SELL",R54="DOWN"),AND(J54="HOLD",R54="FLAT")),"YES","NO"))</f>
        <v/>
      </c>
      <c r="T54" s="176">
        <f>IF(J54="","",IF(J54="BUY",1,IF(J54="SELL",-1,0)))</f>
        <v/>
      </c>
      <c r="U54" s="184">
        <f>IFERROR(IF(OR(J54="",N54="",P54=""),"",IF(T54=0,0,T54*Q54-Settings!$B$4/10000-IF(T54&lt;0,Settings!$B$5/10000,0))),"")</f>
        <v/>
      </c>
      <c r="V54" s="185" t="n"/>
      <c r="W54" s="176">
        <f>IF($K54="","",$K54*60)</f>
        <v/>
      </c>
      <c r="X54" s="186">
        <f>IF($A54="","",$A54&amp;"|"&amp;$C54&amp;"|"&amp;$D54)</f>
        <v/>
      </c>
      <c r="Y54" s="186">
        <f>IFERROR(IF($X54="","",INDEX(LLM_Data_Entry!$H$3:$H$548,MATCH($X54,INDEX(LLM_Data_Entry!$A$3:$A$548&amp;"|"&amp;LLM_Data_Entry!$C$3:$C$548&amp;"|"&amp;LLM_Data_Entry!$D$3:$D$548,0),0))),"")</f>
        <v/>
      </c>
      <c r="Z54" s="186">
        <f>IFERROR(IF($X54="","",INDEX(LLM_Data_Entry!$R$3:$R$548,MATCH($X54,INDEX(LLM_Data_Entry!$A$3:$A$548&amp;"|"&amp;LLM_Data_Entry!$C$3:$C$548&amp;"|"&amp;LLM_Data_Entry!$D$3:$D$548,0),0))),"")</f>
        <v/>
      </c>
      <c r="AA54" s="152" t="n"/>
      <c r="AB54" s="152" t="inlineStr">
        <is>
          <t>document date + price signal</t>
        </is>
      </c>
      <c r="AC54" s="152" t="inlineStr">
        <is>
          <t>JPM</t>
        </is>
      </c>
      <c r="AD54" s="152" t="inlineStr">
        <is>
          <t>2025-03-31</t>
        </is>
      </c>
      <c r="AE54" s="152" t="n">
        <v>238.0749</v>
      </c>
      <c r="AF54" s="152" t="inlineStr">
        <is>
          <t>2025-04-01</t>
        </is>
      </c>
      <c r="AG54" s="152" t="n">
        <v>235.4738</v>
      </c>
      <c r="AH54" s="152" t="n">
        <v>-0.01092547572088052</v>
      </c>
      <c r="AI54" s="152" t="inlineStr">
        <is>
          <t>FLAT</t>
        </is>
      </c>
      <c r="AJ54" s="152" t="inlineStr">
        <is>
          <t>YES</t>
        </is>
      </c>
      <c r="AK54" s="152" t="n">
        <v>0</v>
      </c>
      <c r="AL54" s="152">
        <f>IF($A54="","",IFERROR(INDEX(Company_List!$G$3:$G$207,MATCH($A54,Company_List!$A$3:$A$207,0)),"unassigned"))</f>
        <v/>
      </c>
      <c r="AM54" s="152" t="inlineStr">
        <is>
          <t>Phase 2/JPMC Documents/2025-Q1/JPM-2025-Q1-earnings-call-transcript-jpmorganchase-com.pdf</t>
        </is>
      </c>
      <c r="AN54" s="152" t="inlineStr">
        <is>
          <t>https://www.jpmorganchase.com/content/dam/jpmc/jpmorgan-chase-and-co/investor-relations/documents/quarterly-earnings/2025/1st-quarter/1q25-earnings-transcript.pdf</t>
        </is>
      </c>
      <c r="AO54" s="152" t="inlineStr">
        <is>
          <t>manifest</t>
        </is>
      </c>
      <c r="AP54" s="152">
        <f>IF($A54="","",IF(COUNTIFS(LLM_Data_Entry!$A$3:$A$548,$A54)&gt;0,"YES","NO"))</f>
        <v/>
      </c>
      <c r="AQ54" s="152">
        <f>IF($A54="","",IF(COUNTIFS($A$3:$A54,$A54,$C$3:$C54,$C54,$D$3:$D54,$D54)=1,"YES","NO"))</f>
        <v/>
      </c>
      <c r="AR54" s="152">
        <f>IF($A54="","",IF(AND($C54&amp;"-"&amp;$D54&gt;=Settings!$B$19,$C54&amp;"-"&amp;$D54&lt;=Settings!$B$20),"IN","OUT"))</f>
        <v/>
      </c>
      <c r="AS54" s="152">
        <f>IF($A54="","",IF($F54="Financial Results","financials",IF($F54="Outlook/Guidance","guidance",IF($F54="Transcript Q&amp;A","qanda",IF($F54="","unrecorded",IF($E54="All","full",IF($E54="","unrecorded",LOWER($E54)&amp;" only")))))))</f>
        <v/>
      </c>
      <c r="AT54" s="152">
        <f>IF(AND(OR($J54="BUY",$J54="SELL"),ISNUMBER($U54)),$U54,"")</f>
        <v/>
      </c>
      <c r="AU54" s="152">
        <f>IF(AND(OR($J54="BUY",$J54="SELL"),ISNUMBER($AK54)),$AK54,"")</f>
        <v/>
      </c>
      <c r="AV54" s="152">
        <f>IF(ISNUMBER($AT54),ABS(IF(ISNUMBER($I54),$I54,0)-Settings!$B$24),"")</f>
        <v/>
      </c>
      <c r="AW54" s="152">
        <f>IF(ISNUMBER($AV54),$AV54*$AT54,"")</f>
        <v/>
      </c>
      <c r="AX54" s="152">
        <f>IF(ISNUMBER($AU54),ABS(IF(ISNUMBER($I54),$I54,0)-Settings!$B$24),"")</f>
        <v/>
      </c>
      <c r="AY54" s="152" t="inlineStr">
        <is>
          <t>FROZEN</t>
        </is>
      </c>
      <c r="AZ54" s="152">
        <f>IF($A54="","",IFERROR(INDEX(Company_List!$H$3:$H$207,MATCH($A54,Company_List!$A$3:$A$207,0)),"unassigned"))</f>
        <v/>
      </c>
      <c r="BA54" s="152" t="n"/>
      <c r="BB54" s="152" t="n"/>
      <c r="BC54" s="152">
        <f>IF($A54="","",IF(COUNTIFS($A$3:$A54,$A54,$C$3:$C54,$C54,$D$3:$D54,$D54,$G$3:$G54,$G54)=1,1,0))</f>
        <v/>
      </c>
      <c r="BD54" s="152" t="n"/>
      <c r="BE54" s="152" t="n"/>
      <c r="BF54" s="152" t="n"/>
      <c r="BG54" s="152" t="inlineStr">
        <is>
          <t>no</t>
        </is>
      </c>
      <c r="BH54" s="152" t="n"/>
      <c r="BI54" s="152" t="n"/>
      <c r="BJ54" s="152" t="n"/>
      <c r="BK54" s="152">
        <f>IF(OR($H54&lt;&gt;"Human",$S54="",$J54="",$Y54="",$Z54=""),"",IF(EXACT(UPPER($J54),UPPER($Y54)),1,0))</f>
        <v/>
      </c>
      <c r="BL54" s="152" t="inlineStr">
        <is>
          <t>assumed - no rater record</t>
        </is>
      </c>
      <c r="BM54" s="152" t="n">
        <v>1</v>
      </c>
      <c r="BN54" s="152" t="inlineStr">
        <is>
          <t>not publisher-identified</t>
        </is>
      </c>
      <c r="BO54" s="152" t="inlineStr">
        <is>
          <t>not publisher-identified</t>
        </is>
      </c>
      <c r="BP54" s="152" t="inlineStr">
        <is>
          <t>no</t>
        </is>
      </c>
      <c r="BQ54" s="152" t="inlineStr">
        <is>
          <t>yes</t>
        </is>
      </c>
      <c r="BR54" s="152" t="n"/>
      <c r="BS54" s="152" t="inlineStr">
        <is>
          <t>YES</t>
        </is>
      </c>
      <c r="BT54" s="152" t="n"/>
    </row>
    <row r="55" ht="15" customHeight="1" s="241">
      <c r="A55" s="174" t="inlineStr">
        <is>
          <t>JPMorgan</t>
        </is>
      </c>
      <c r="B55" s="175">
        <f>IF(A55="","",_xlfn.XLOOKUP(A55, Company_List!$A:$A, Company_List!$B:$B, ""))</f>
        <v/>
      </c>
      <c r="C55" s="176" t="n">
        <v>2025</v>
      </c>
      <c r="D55" s="177" t="inlineStr">
        <is>
          <t>Q3</t>
        </is>
      </c>
      <c r="E55" s="178" t="inlineStr">
        <is>
          <t>Transcript</t>
        </is>
      </c>
      <c r="F55" s="178" t="inlineStr">
        <is>
          <t>All</t>
        </is>
      </c>
      <c r="G55" s="177" t="inlineStr">
        <is>
          <t>Abdul</t>
        </is>
      </c>
      <c r="H55" s="177" t="inlineStr">
        <is>
          <t>Human</t>
        </is>
      </c>
      <c r="I55" s="179" t="n">
        <v>0.4</v>
      </c>
      <c r="J55" s="180">
        <f>IF(OR(I55="",Settings!$B$6=""),"",IF(I55&gt;Settings!$B$6,"BUY",IF(I55&lt;-Settings!$B$6,"SELL","HOLD")))</f>
        <v/>
      </c>
      <c r="K55" s="181" t="n">
        <v>55</v>
      </c>
      <c r="L55" s="182" t="n">
        <v>45944</v>
      </c>
      <c r="M55" s="182" t="n">
        <v>45943</v>
      </c>
      <c r="N55" s="179" t="n">
        <v>307.97</v>
      </c>
      <c r="O55" s="182" t="n">
        <v>45944</v>
      </c>
      <c r="P55" s="183" t="n">
        <v>305.84</v>
      </c>
      <c r="Q55" s="184">
        <f>IF(OR(N55="",P55=""),"",ROUND((P55-N55)/N55,4))</f>
        <v/>
      </c>
      <c r="R55" s="177">
        <f>IF(OR(N55="",P55=""),"",IF(Q55&gt;Settings!$B$3/100,"UP",IF(Q55&lt;-Settings!$B$3/100,"DOWN","FLAT")))</f>
        <v/>
      </c>
      <c r="S55" s="177">
        <f>IF(OR(N55="",P55="",J55=""),"",IF(OR(AND(J55="BUY",R55="UP"),AND(J55="SELL",R55="DOWN"),AND(J55="HOLD",R55="FLAT")),"YES","NO"))</f>
        <v/>
      </c>
      <c r="T55" s="176">
        <f>IF(J55="","",IF(J55="BUY",1,IF(J55="SELL",-1,0)))</f>
        <v/>
      </c>
      <c r="U55" s="184">
        <f>IFERROR(IF(OR(J55="",N55="",P55=""),"",IF(T55=0,0,T55*Q55-Settings!$B$4/10000-IF(T55&lt;0,Settings!$B$5/10000,0))),"")</f>
        <v/>
      </c>
      <c r="V55" s="185" t="n"/>
      <c r="W55" s="176">
        <f>IF($K55="","",$K55*60)</f>
        <v/>
      </c>
      <c r="X55" s="186">
        <f>IF($A55="","",$A55&amp;"|"&amp;$C55&amp;"|"&amp;$D55)</f>
        <v/>
      </c>
      <c r="Y55" s="186">
        <f>IFERROR(IF($X55="","",INDEX(LLM_Data_Entry!$H$3:$H$548,MATCH($X55,INDEX(LLM_Data_Entry!$A$3:$A$548&amp;"|"&amp;LLM_Data_Entry!$C$3:$C$548&amp;"|"&amp;LLM_Data_Entry!$D$3:$D$548,0),0))),"")</f>
        <v/>
      </c>
      <c r="Z55" s="186">
        <f>IFERROR(IF($X55="","",INDEX(LLM_Data_Entry!$R$3:$R$548,MATCH($X55,INDEX(LLM_Data_Entry!$A$3:$A$548&amp;"|"&amp;LLM_Data_Entry!$C$3:$C$548&amp;"|"&amp;LLM_Data_Entry!$D$3:$D$548,0),0))),"")</f>
        <v/>
      </c>
      <c r="AA55" s="152" t="n"/>
      <c r="AB55" s="152" t="inlineStr">
        <is>
          <t>release time published by the issuer</t>
        </is>
      </c>
      <c r="AC55" s="152" t="inlineStr">
        <is>
          <t>JPM</t>
        </is>
      </c>
      <c r="AD55" s="152" t="inlineStr">
        <is>
          <t>2025-10-13</t>
        </is>
      </c>
      <c r="AE55" s="152" t="n">
        <v>303.6581</v>
      </c>
      <c r="AF55" s="152" t="inlineStr">
        <is>
          <t>2025-10-14</t>
        </is>
      </c>
      <c r="AG55" s="152" t="n">
        <v>301.5579</v>
      </c>
      <c r="AH55" s="152" t="n">
        <v>-0.006916205179626069</v>
      </c>
      <c r="AI55" s="152" t="inlineStr">
        <is>
          <t>FLAT</t>
        </is>
      </c>
      <c r="AJ55" s="152" t="inlineStr">
        <is>
          <t>NO</t>
        </is>
      </c>
      <c r="AK55" s="152" t="n">
        <v>-0.007915999999999999</v>
      </c>
      <c r="AL55" s="152">
        <f>IF($A55="","",IFERROR(INDEX(Company_List!$G$3:$G$207,MATCH($A55,Company_List!$A$3:$A$207,0)),"unassigned"))</f>
        <v/>
      </c>
      <c r="AM55" s="152" t="inlineStr">
        <is>
          <t>Phase 2/JPMC Documents/2025-Q3/JPM-2025-Q3-earnings-call-transcript-jpmorganchase-com.pdf</t>
        </is>
      </c>
      <c r="AN55" s="152" t="inlineStr">
        <is>
          <t>https://www.jpmorganchase.com/content/dam/jpmc/jpmorgan-chase-and-co/investor-relations/documents/quarterly-earnings/2025/3rd-quarter/jpm-3q25-earnings-call-transcript.pdf</t>
        </is>
      </c>
      <c r="AO55" s="152" t="inlineStr">
        <is>
          <t>manifest</t>
        </is>
      </c>
      <c r="AP55" s="152">
        <f>IF($A55="","",IF(COUNTIFS(LLM_Data_Entry!$A$3:$A$548,$A55)&gt;0,"YES","NO"))</f>
        <v/>
      </c>
      <c r="AQ55" s="152">
        <f>IF($A55="","",IF(COUNTIFS($A$3:$A55,$A55,$C$3:$C55,$C55,$D$3:$D55,$D55)=1,"YES","NO"))</f>
        <v/>
      </c>
      <c r="AR55" s="152">
        <f>IF($A55="","",IF(AND($C55&amp;"-"&amp;$D55&gt;=Settings!$B$19,$C55&amp;"-"&amp;$D55&lt;=Settings!$B$20),"IN","OUT"))</f>
        <v/>
      </c>
      <c r="AS55" s="152">
        <f>IF($A55="","",IF($F55="Financial Results","financials",IF($F55="Outlook/Guidance","guidance",IF($F55="Transcript Q&amp;A","qanda",IF($F55="","unrecorded",IF($E55="All","full",IF($E55="","unrecorded",LOWER($E55)&amp;" only")))))))</f>
        <v/>
      </c>
      <c r="AT55" s="152">
        <f>IF(AND(OR($J55="BUY",$J55="SELL"),ISNUMBER($U55)),$U55,"")</f>
        <v/>
      </c>
      <c r="AU55" s="152">
        <f>IF(AND(OR($J55="BUY",$J55="SELL"),ISNUMBER($AK55)),$AK55,"")</f>
        <v/>
      </c>
      <c r="AV55" s="152">
        <f>IF(ISNUMBER($AT55),ABS(IF(ISNUMBER($I55),$I55,0)-Settings!$B$24),"")</f>
        <v/>
      </c>
      <c r="AW55" s="152">
        <f>IF(ISNUMBER($AV55),$AV55*$AT55,"")</f>
        <v/>
      </c>
      <c r="AX55" s="152">
        <f>IF(ISNUMBER($AU55),ABS(IF(ISNUMBER($I55),$I55,0)-Settings!$B$24),"")</f>
        <v/>
      </c>
      <c r="AY55" s="152" t="inlineStr">
        <is>
          <t>FROZEN</t>
        </is>
      </c>
      <c r="AZ55" s="152">
        <f>IF($A55="","",IFERROR(INDEX(Company_List!$H$3:$H$207,MATCH($A55,Company_List!$A$3:$A$207,0)),"unassigned"))</f>
        <v/>
      </c>
      <c r="BA55" s="152" t="n"/>
      <c r="BB55" s="152" t="n"/>
      <c r="BC55" s="152">
        <f>IF($A55="","",IF(COUNTIFS($A$3:$A55,$A55,$C$3:$C55,$C55,$D$3:$D55,$D55,$G$3:$G55,$G55)=1,1,0))</f>
        <v/>
      </c>
      <c r="BD55" s="152" t="n"/>
      <c r="BE55" s="152" t="n"/>
      <c r="BF55" s="152" t="n"/>
      <c r="BG55" s="152" t="inlineStr">
        <is>
          <t>no</t>
        </is>
      </c>
      <c r="BH55" s="152" t="n"/>
      <c r="BI55" s="152" t="n"/>
      <c r="BJ55" s="152" t="n"/>
      <c r="BK55" s="152">
        <f>IF(OR($H55&lt;&gt;"Human",$S55="",$J55="",$Y55="",$Z55=""),"",IF(EXACT(UPPER($J55),UPPER($Y55)),1,0))</f>
        <v/>
      </c>
      <c r="BL55" s="152" t="inlineStr">
        <is>
          <t>assumed - no rater record</t>
        </is>
      </c>
      <c r="BM55" s="152" t="n">
        <v>1</v>
      </c>
      <c r="BN55" s="152" t="inlineStr">
        <is>
          <t>not publisher-identified</t>
        </is>
      </c>
      <c r="BO55" s="152" t="inlineStr">
        <is>
          <t>not publisher-identified</t>
        </is>
      </c>
      <c r="BP55" s="152" t="inlineStr">
        <is>
          <t>no</t>
        </is>
      </c>
      <c r="BQ55" s="152" t="inlineStr">
        <is>
          <t>yes</t>
        </is>
      </c>
      <c r="BR55" s="152" t="n"/>
      <c r="BS55" s="152" t="inlineStr">
        <is>
          <t>YES</t>
        </is>
      </c>
      <c r="BT55" s="152" t="n"/>
    </row>
    <row r="56" ht="15" customHeight="1" s="241">
      <c r="A56" s="174" t="inlineStr">
        <is>
          <t>JPMorgan</t>
        </is>
      </c>
      <c r="B56" s="175">
        <f>IF(A56="","",_xlfn.XLOOKUP(A56, Company_List!$A:$A, Company_List!$B:$B, ""))</f>
        <v/>
      </c>
      <c r="C56" s="176" t="n">
        <v>2026</v>
      </c>
      <c r="D56" s="177" t="inlineStr">
        <is>
          <t>Q1</t>
        </is>
      </c>
      <c r="E56" s="178" t="inlineStr">
        <is>
          <t>Transcript</t>
        </is>
      </c>
      <c r="F56" s="178" t="inlineStr">
        <is>
          <t>All</t>
        </is>
      </c>
      <c r="G56" s="177" t="inlineStr">
        <is>
          <t>Abdul</t>
        </is>
      </c>
      <c r="H56" s="177" t="inlineStr">
        <is>
          <t>Human</t>
        </is>
      </c>
      <c r="I56" s="179" t="n">
        <v>0.5</v>
      </c>
      <c r="J56" s="180">
        <f>IF(OR(I56="",Settings!$B$6=""),"",IF(I56&gt;Settings!$B$6,"BUY",IF(I56&lt;-Settings!$B$6,"SELL","HOLD")))</f>
        <v/>
      </c>
      <c r="K56" s="181" t="n">
        <v>74</v>
      </c>
      <c r="L56" s="182" t="n">
        <v>46126</v>
      </c>
      <c r="M56" s="182" t="n">
        <v>46125</v>
      </c>
      <c r="N56" s="179" t="n">
        <v>313.68</v>
      </c>
      <c r="O56" s="182" t="n">
        <v>46126</v>
      </c>
      <c r="P56" s="183" t="n">
        <v>309.82</v>
      </c>
      <c r="Q56" s="184">
        <f>IF(OR(N56="",P56=""),"",ROUND((P56-N56)/N56,4))</f>
        <v/>
      </c>
      <c r="R56" s="177">
        <f>IF(OR(N56="",P56=""),"",IF(Q56&gt;Settings!$B$3/100,"UP",IF(Q56&lt;-Settings!$B$3/100,"DOWN","FLAT")))</f>
        <v/>
      </c>
      <c r="S56" s="177">
        <f>IF(OR(N56="",P56="",J56=""),"",IF(OR(AND(J56="BUY",R56="UP"),AND(J56="SELL",R56="DOWN"),AND(J56="HOLD",R56="FLAT")),"YES","NO"))</f>
        <v/>
      </c>
      <c r="T56" s="176">
        <f>IF(J56="","",IF(J56="BUY",1,IF(J56="SELL",-1,0)))</f>
        <v/>
      </c>
      <c r="U56" s="184">
        <f>IFERROR(IF(OR(J56="",N56="",P56=""),"",IF(T56=0,0,T56*Q56-Settings!$B$4/10000-IF(T56&lt;0,Settings!$B$5/10000,0))),"")</f>
        <v/>
      </c>
      <c r="V56" s="185" t="n"/>
      <c r="W56" s="176">
        <f>IF($K56="","",$K56*60)</f>
        <v/>
      </c>
      <c r="X56" s="186">
        <f>IF($A56="","",$A56&amp;"|"&amp;$C56&amp;"|"&amp;$D56)</f>
        <v/>
      </c>
      <c r="Y56" s="186">
        <f>IFERROR(IF($X56="","",INDEX(LLM_Data_Entry!$H$3:$H$548,MATCH($X56,INDEX(LLM_Data_Entry!$A$3:$A$548&amp;"|"&amp;LLM_Data_Entry!$C$3:$C$548&amp;"|"&amp;LLM_Data_Entry!$D$3:$D$548,0),0))),"")</f>
        <v/>
      </c>
      <c r="Z56" s="186">
        <f>IFERROR(IF($X56="","",INDEX(LLM_Data_Entry!$R$3:$R$548,MATCH($X56,INDEX(LLM_Data_Entry!$A$3:$A$548&amp;"|"&amp;LLM_Data_Entry!$C$3:$C$548&amp;"|"&amp;LLM_Data_Entry!$D$3:$D$548,0),0))),"")</f>
        <v/>
      </c>
      <c r="AA56" s="152" t="n"/>
      <c r="AB56" s="152" t="inlineStr">
        <is>
          <t>release time published by the issuer</t>
        </is>
      </c>
      <c r="AC56" s="152" t="inlineStr">
        <is>
          <t>JPM</t>
        </is>
      </c>
      <c r="AD56" s="152" t="inlineStr">
        <is>
          <t>2026-04-13</t>
        </is>
      </c>
      <c r="AE56" s="152" t="n">
        <v>312.2732</v>
      </c>
      <c r="AF56" s="152" t="inlineStr">
        <is>
          <t>2026-04-14</t>
        </is>
      </c>
      <c r="AG56" s="152" t="n">
        <v>308.4305</v>
      </c>
      <c r="AH56" s="152" t="n">
        <v>-0.01230550873185565</v>
      </c>
      <c r="AI56" s="152" t="inlineStr">
        <is>
          <t>FLAT</t>
        </is>
      </c>
      <c r="AJ56" s="152" t="inlineStr">
        <is>
          <t>NO</t>
        </is>
      </c>
      <c r="AK56" s="152" t="n">
        <v>-0.013306</v>
      </c>
      <c r="AL56" s="152">
        <f>IF($A56="","",IFERROR(INDEX(Company_List!$G$3:$G$207,MATCH($A56,Company_List!$A$3:$A$207,0)),"unassigned"))</f>
        <v/>
      </c>
      <c r="AM56" s="152" t="inlineStr">
        <is>
          <t>Phase 2/JPMC Documents/2026-Q1/JPM-2026-Q1-earnings-call-transcript-jpmorganchase-com.pdf</t>
        </is>
      </c>
      <c r="AN56" s="152" t="inlineStr">
        <is>
          <t>https://www.jpmorganchase.com/content/dam/jpmc/jpmorgan-chase-and-co/investor-relations/documents/quarterly-earnings/2026/1st-quarter/1q26-earnings-transcript.pdf</t>
        </is>
      </c>
      <c r="AO56" s="152" t="inlineStr">
        <is>
          <t>manifest</t>
        </is>
      </c>
      <c r="AP56" s="152">
        <f>IF($A56="","",IF(COUNTIFS(LLM_Data_Entry!$A$3:$A$548,$A56)&gt;0,"YES","NO"))</f>
        <v/>
      </c>
      <c r="AQ56" s="152">
        <f>IF($A56="","",IF(COUNTIFS($A$3:$A56,$A56,$C$3:$C56,$C56,$D$3:$D56,$D56)=1,"YES","NO"))</f>
        <v/>
      </c>
      <c r="AR56" s="152">
        <f>IF($A56="","",IF(AND($C56&amp;"-"&amp;$D56&gt;=Settings!$B$19,$C56&amp;"-"&amp;$D56&lt;=Settings!$B$20),"IN","OUT"))</f>
        <v/>
      </c>
      <c r="AS56" s="152">
        <f>IF($A56="","",IF($F56="Financial Results","financials",IF($F56="Outlook/Guidance","guidance",IF($F56="Transcript Q&amp;A","qanda",IF($F56="","unrecorded",IF($E56="All","full",IF($E56="","unrecorded",LOWER($E56)&amp;" only")))))))</f>
        <v/>
      </c>
      <c r="AT56" s="152">
        <f>IF(AND(OR($J56="BUY",$J56="SELL"),ISNUMBER($U56)),$U56,"")</f>
        <v/>
      </c>
      <c r="AU56" s="152">
        <f>IF(AND(OR($J56="BUY",$J56="SELL"),ISNUMBER($AK56)),$AK56,"")</f>
        <v/>
      </c>
      <c r="AV56" s="152">
        <f>IF(ISNUMBER($AT56),ABS(IF(ISNUMBER($I56),$I56,0)-Settings!$B$24),"")</f>
        <v/>
      </c>
      <c r="AW56" s="152">
        <f>IF(ISNUMBER($AV56),$AV56*$AT56,"")</f>
        <v/>
      </c>
      <c r="AX56" s="152">
        <f>IF(ISNUMBER($AU56),ABS(IF(ISNUMBER($I56),$I56,0)-Settings!$B$24),"")</f>
        <v/>
      </c>
      <c r="AY56" s="152" t="inlineStr">
        <is>
          <t>FROZEN</t>
        </is>
      </c>
      <c r="AZ56" s="152">
        <f>IF($A56="","",IFERROR(INDEX(Company_List!$H$3:$H$207,MATCH($A56,Company_List!$A$3:$A$207,0)),"unassigned"))</f>
        <v/>
      </c>
      <c r="BA56" s="152" t="n"/>
      <c r="BB56" s="152" t="n"/>
      <c r="BC56" s="152">
        <f>IF($A56="","",IF(COUNTIFS($A$3:$A56,$A56,$C$3:$C56,$C56,$D$3:$D56,$D56,$G$3:$G56,$G56)=1,1,0))</f>
        <v/>
      </c>
      <c r="BD56" s="152" t="n"/>
      <c r="BE56" s="152" t="n"/>
      <c r="BF56" s="152" t="n"/>
      <c r="BG56" s="152" t="inlineStr">
        <is>
          <t>no</t>
        </is>
      </c>
      <c r="BH56" s="152" t="n"/>
      <c r="BI56" s="152" t="n"/>
      <c r="BJ56" s="152" t="n"/>
      <c r="BK56" s="152">
        <f>IF(OR($H56&lt;&gt;"Human",$S56="",$J56="",$Y56="",$Z56=""),"",IF(EXACT(UPPER($J56),UPPER($Y56)),1,0))</f>
        <v/>
      </c>
      <c r="BL56" s="152" t="inlineStr">
        <is>
          <t>assumed - no rater record</t>
        </is>
      </c>
      <c r="BM56" s="152" t="n">
        <v>1</v>
      </c>
      <c r="BN56" s="152" t="inlineStr">
        <is>
          <t>not publisher-identified</t>
        </is>
      </c>
      <c r="BO56" s="152" t="inlineStr">
        <is>
          <t>not publisher-identified</t>
        </is>
      </c>
      <c r="BP56" s="152" t="inlineStr">
        <is>
          <t>no</t>
        </is>
      </c>
      <c r="BQ56" s="152" t="inlineStr">
        <is>
          <t>yes</t>
        </is>
      </c>
      <c r="BR56" s="152" t="n"/>
      <c r="BS56" s="152" t="inlineStr">
        <is>
          <t>YES</t>
        </is>
      </c>
      <c r="BT56" s="152" t="n"/>
    </row>
    <row r="57" ht="15" customHeight="1" s="241">
      <c r="A57" s="174" t="inlineStr">
        <is>
          <t>IBM</t>
        </is>
      </c>
      <c r="B57" s="175">
        <f>IF(A57="","",_xlfn.XLOOKUP(A57, Company_List!$A:$A, Company_List!$B:$B, ""))</f>
        <v/>
      </c>
      <c r="C57" s="176" t="n">
        <v>2025</v>
      </c>
      <c r="D57" s="177" t="inlineStr">
        <is>
          <t>Q2</t>
        </is>
      </c>
      <c r="E57" s="178" t="inlineStr">
        <is>
          <t>All</t>
        </is>
      </c>
      <c r="F57" s="178" t="inlineStr">
        <is>
          <t>All</t>
        </is>
      </c>
      <c r="G57" s="177" t="inlineStr">
        <is>
          <t>Meriem</t>
        </is>
      </c>
      <c r="H57" s="177" t="inlineStr">
        <is>
          <t>Human</t>
        </is>
      </c>
      <c r="I57" s="179" t="n">
        <v>0.4</v>
      </c>
      <c r="J57" s="180">
        <f>IF(OR(I57="",Settings!$B$6=""),"",IF(I57&gt;Settings!$B$6,"BUY",IF(I57&lt;-Settings!$B$6,"SELL","HOLD")))</f>
        <v/>
      </c>
      <c r="K57" s="181" t="n">
        <v>40</v>
      </c>
      <c r="L57" s="182" t="n">
        <v>45861</v>
      </c>
      <c r="M57" s="182" t="n">
        <v>45861</v>
      </c>
      <c r="N57" s="179" t="n">
        <v>282.01</v>
      </c>
      <c r="O57" s="182" t="n">
        <v>45862</v>
      </c>
      <c r="P57" s="183" t="n">
        <v>261.25</v>
      </c>
      <c r="Q57" s="184">
        <f>IF(OR(N57="",P57=""),"",ROUND((P57-N57)/N57,4))</f>
        <v/>
      </c>
      <c r="R57" s="177">
        <f>IF(OR(N57="",P57=""),"",IF(Q57&gt;Settings!$B$3/100,"UP",IF(Q57&lt;-Settings!$B$3/100,"DOWN","FLAT")))</f>
        <v/>
      </c>
      <c r="S57" s="177">
        <f>IF(OR(N57="",P57="",J57=""),"",IF(OR(AND(J57="BUY",R57="UP"),AND(J57="SELL",R57="DOWN"),AND(J57="HOLD",R57="FLAT")),"YES","NO"))</f>
        <v/>
      </c>
      <c r="T57" s="176">
        <f>IF(J57="","",IF(J57="BUY",1,IF(J57="SELL",-1,0)))</f>
        <v/>
      </c>
      <c r="U57" s="184">
        <f>IFERROR(IF(OR(J57="",N57="",P57=""),"",IF(T57=0,0,T57*Q57-Settings!$B$4/10000-IF(T57&lt;0,Settings!$B$5/10000,0))),"")</f>
        <v/>
      </c>
      <c r="V57" s="185" t="inlineStr">
        <is>
          <t>revenue up 8% you; profit is up and G profit margin + EPS asw. numbers look great and tone is optimistic</t>
        </is>
      </c>
      <c r="W57" s="176">
        <f>IF($K57="","",$K57*60)</f>
        <v/>
      </c>
      <c r="X57" s="186">
        <f>IF($A57="","",$A57&amp;"|"&amp;$C57&amp;"|"&amp;$D57)</f>
        <v/>
      </c>
      <c r="Y57" s="186">
        <f>IFERROR(IF($X57="","",INDEX(LLM_Data_Entry!$H$3:$H$548,MATCH($X57,INDEX(LLM_Data_Entry!$A$3:$A$548&amp;"|"&amp;LLM_Data_Entry!$C$3:$C$548&amp;"|"&amp;LLM_Data_Entry!$D$3:$D$548,0),0))),"")</f>
        <v/>
      </c>
      <c r="Z57" s="186">
        <f>IFERROR(IF($X57="","",INDEX(LLM_Data_Entry!$R$3:$R$548,MATCH($X57,INDEX(LLM_Data_Entry!$A$3:$A$548&amp;"|"&amp;LLM_Data_Entry!$C$3:$C$548&amp;"|"&amp;LLM_Data_Entry!$D$3:$D$548,0),0))),"")</f>
        <v/>
      </c>
      <c r="AA57" s="152" t="n"/>
      <c r="AB57" s="152" t="inlineStr">
        <is>
          <t>price signal — only this window shows an abnormal move</t>
        </is>
      </c>
      <c r="AC57" s="152" t="inlineStr">
        <is>
          <t>IBM</t>
        </is>
      </c>
      <c r="AD57" s="152" t="inlineStr">
        <is>
          <t>2025-07-23</t>
        </is>
      </c>
      <c r="AE57" s="152" t="n">
        <v>274.977</v>
      </c>
      <c r="AF57" s="152" t="inlineStr">
        <is>
          <t>2025-07-24</t>
        </is>
      </c>
      <c r="AG57" s="152" t="n">
        <v>254.7347</v>
      </c>
      <c r="AH57" s="152" t="n">
        <v>-0.0736144742944667</v>
      </c>
      <c r="AI57" s="152" t="inlineStr">
        <is>
          <t>DOWN</t>
        </is>
      </c>
      <c r="AJ57" s="152" t="inlineStr">
        <is>
          <t>NO</t>
        </is>
      </c>
      <c r="AK57" s="152" t="n">
        <v>-0.074614</v>
      </c>
      <c r="AL57" s="152">
        <f>IF($A57="","",IFERROR(INDEX(Company_List!$G$3:$G$207,MATCH($A57,Company_List!$A$3:$A$207,0)),"unassigned"))</f>
        <v/>
      </c>
      <c r="AM57" s="152" t="inlineStr">
        <is>
          <t>Phase 2/IBM/Q2 2025 Earnings Call Transcript.pdf; Phase 2/IBM/Q2 2025 - numbers.pdf</t>
        </is>
      </c>
      <c r="AN57" s="152" t="n"/>
      <c r="AO57" s="152" t="inlineStr">
        <is>
          <t>whole bundle (Document = All)</t>
        </is>
      </c>
      <c r="AP57" s="152">
        <f>IF($A57="","",IF(COUNTIFS(LLM_Data_Entry!$A$3:$A$548,$A57)&gt;0,"YES","NO"))</f>
        <v/>
      </c>
      <c r="AQ57" s="152">
        <f>IF($A57="","",IF(COUNTIFS($A$3:$A57,$A57,$C$3:$C57,$C57,$D$3:$D57,$D57)=1,"YES","NO"))</f>
        <v/>
      </c>
      <c r="AR57" s="152">
        <f>IF($A57="","",IF(AND($C57&amp;"-"&amp;$D57&gt;=Settings!$B$19,$C57&amp;"-"&amp;$D57&lt;=Settings!$B$20),"IN","OUT"))</f>
        <v/>
      </c>
      <c r="AS57" s="152">
        <f>IF($A57="","",IF($F57="Financial Results","financials",IF($F57="Outlook/Guidance","guidance",IF($F57="Transcript Q&amp;A","qanda",IF($F57="","unrecorded",IF($E57="All","full",IF($E57="","unrecorded",LOWER($E57)&amp;" only")))))))</f>
        <v/>
      </c>
      <c r="AT57" s="152">
        <f>IF(AND(OR($J57="BUY",$J57="SELL"),ISNUMBER($U57)),$U57,"")</f>
        <v/>
      </c>
      <c r="AU57" s="152">
        <f>IF(AND(OR($J57="BUY",$J57="SELL"),ISNUMBER($AK57)),$AK57,"")</f>
        <v/>
      </c>
      <c r="AV57" s="152">
        <f>IF(ISNUMBER($AT57),ABS(IF(ISNUMBER($I57),$I57,0)-Settings!$B$24),"")</f>
        <v/>
      </c>
      <c r="AW57" s="152">
        <f>IF(ISNUMBER($AV57),$AV57*$AT57,"")</f>
        <v/>
      </c>
      <c r="AX57" s="152">
        <f>IF(ISNUMBER($AU57),ABS(IF(ISNUMBER($I57),$I57,0)-Settings!$B$24),"")</f>
        <v/>
      </c>
      <c r="AY57" s="152" t="inlineStr">
        <is>
          <t>FROZEN</t>
        </is>
      </c>
      <c r="AZ57" s="152">
        <f>IF($A57="","",IFERROR(INDEX(Company_List!$H$3:$H$207,MATCH($A57,Company_List!$A$3:$A$207,0)),"unassigned"))</f>
        <v/>
      </c>
      <c r="BA57" s="152" t="n"/>
      <c r="BB57" s="152" t="n"/>
      <c r="BC57" s="152">
        <f>IF($A57="","",IF(COUNTIFS($A$3:$A57,$A57,$C$3:$C57,$C57,$D$3:$D57,$D57,$G$3:$G57,$G57)=1,1,0))</f>
        <v/>
      </c>
      <c r="BD57" s="152" t="n"/>
      <c r="BE57" s="152" t="n"/>
      <c r="BF57" s="152" t="n"/>
      <c r="BG57" s="152" t="inlineStr">
        <is>
          <t>no</t>
        </is>
      </c>
      <c r="BH57" s="152" t="n"/>
      <c r="BI57" s="152" t="n"/>
      <c r="BJ57" s="152" t="n"/>
      <c r="BK57" s="152">
        <f>IF(OR($H57&lt;&gt;"Human",$S57="",$J57="",$Y57="",$Z57=""),"",IF(EXACT(UPPER($J57),UPPER($Y57)),1,0))</f>
        <v/>
      </c>
      <c r="BL57" s="152" t="inlineStr">
        <is>
          <t>assumed - no rater record</t>
        </is>
      </c>
      <c r="BM57" s="152" t="n">
        <v>2</v>
      </c>
      <c r="BN57" s="152" t="inlineStr">
        <is>
          <t>The Motley Fool</t>
        </is>
      </c>
      <c r="BO57" s="152" t="inlineStr">
        <is>
          <t>free to read, copyright asserted</t>
        </is>
      </c>
      <c r="BP57" s="152" t="inlineStr">
        <is>
          <t>no</t>
        </is>
      </c>
      <c r="BQ57" s="152" t="inlineStr">
        <is>
          <t>no</t>
        </is>
      </c>
      <c r="BR57" s="152" t="n"/>
      <c r="BS57" s="152" t="inlineStr">
        <is>
          <t>YES</t>
        </is>
      </c>
      <c r="BT57" s="152" t="n"/>
    </row>
    <row r="58" ht="15" customHeight="1" s="241">
      <c r="A58" s="174" t="inlineStr">
        <is>
          <t>IBM</t>
        </is>
      </c>
      <c r="B58" s="175">
        <f>IF(A58="","",_xlfn.XLOOKUP(A58, Company_List!$A:$A, Company_List!$B:$B, ""))</f>
        <v/>
      </c>
      <c r="C58" s="176" t="n">
        <v>2025</v>
      </c>
      <c r="D58" s="177" t="inlineStr">
        <is>
          <t>Q4</t>
        </is>
      </c>
      <c r="E58" s="178" t="inlineStr">
        <is>
          <t>All</t>
        </is>
      </c>
      <c r="F58" s="178" t="inlineStr">
        <is>
          <t>All</t>
        </is>
      </c>
      <c r="G58" s="177" t="inlineStr">
        <is>
          <t>Meriem</t>
        </is>
      </c>
      <c r="H58" s="177" t="inlineStr">
        <is>
          <t>Human</t>
        </is>
      </c>
      <c r="I58" s="179" t="n">
        <v>0.5</v>
      </c>
      <c r="J58" s="180">
        <f>IF(OR(I58="",Settings!$B$6=""),"",IF(I58&gt;Settings!$B$6,"BUY",IF(I58&lt;-Settings!$B$6,"SELL","HOLD")))</f>
        <v/>
      </c>
      <c r="K58" s="181" t="n">
        <v>30</v>
      </c>
      <c r="L58" s="182" t="n">
        <v>46050</v>
      </c>
      <c r="M58" s="182" t="n">
        <v>46050</v>
      </c>
      <c r="N58" s="179" t="n">
        <v>294.16</v>
      </c>
      <c r="O58" s="182" t="n">
        <v>46051</v>
      </c>
      <c r="P58" s="183" t="n">
        <v>317.86</v>
      </c>
      <c r="Q58" s="184">
        <f>IF(OR(N58="",P58=""),"",ROUND((P58-N58)/N58,4))</f>
        <v/>
      </c>
      <c r="R58" s="177">
        <f>IF(OR(N58="",P58=""),"",IF(Q58&gt;Settings!$B$3/100,"UP",IF(Q58&lt;-Settings!$B$3/100,"DOWN","FLAT")))</f>
        <v/>
      </c>
      <c r="S58" s="177">
        <f>IF(OR(N58="",P58="",J58=""),"",IF(OR(AND(J58="BUY",R58="UP"),AND(J58="SELL",R58="DOWN"),AND(J58="HOLD",R58="FLAT")),"YES","NO"))</f>
        <v/>
      </c>
      <c r="T58" s="176">
        <f>IF(J58="","",IF(J58="BUY",1,IF(J58="SELL",-1,0)))</f>
        <v/>
      </c>
      <c r="U58" s="184">
        <f>IFERROR(IF(OR(J58="",N58="",P58=""),"",IF(T58=0,0,T58*Q58-Settings!$B$4/10000-IF(T58&lt;0,Settings!$B$5/10000,0))),"")</f>
        <v/>
      </c>
      <c r="V58" s="185" t="inlineStr">
        <is>
          <t>same as Q2; numbers look great; tone is optimistic and growth is seen and expected; good guidance so buy</t>
        </is>
      </c>
      <c r="W58" s="176">
        <f>IF($K58="","",$K58*60)</f>
        <v/>
      </c>
      <c r="X58" s="186">
        <f>IF($A58="","",$A58&amp;"|"&amp;$C58&amp;"|"&amp;$D58)</f>
        <v/>
      </c>
      <c r="Y58" s="186">
        <f>IFERROR(IF($X58="","",INDEX(LLM_Data_Entry!$H$3:$H$548,MATCH($X58,INDEX(LLM_Data_Entry!$A$3:$A$548&amp;"|"&amp;LLM_Data_Entry!$C$3:$C$548&amp;"|"&amp;LLM_Data_Entry!$D$3:$D$548,0),0))),"")</f>
        <v/>
      </c>
      <c r="Z58" s="186">
        <f>IFERROR(IF($X58="","",INDEX(LLM_Data_Entry!$R$3:$R$548,MATCH($X58,INDEX(LLM_Data_Entry!$A$3:$A$548&amp;"|"&amp;LLM_Data_Entry!$C$3:$C$548&amp;"|"&amp;LLM_Data_Entry!$D$3:$D$548,0),0))),"")</f>
        <v/>
      </c>
      <c r="AA58" s="152" t="n"/>
      <c r="AB58" s="152" t="inlineStr">
        <is>
          <t>price signal — only this window shows an abnormal move</t>
        </is>
      </c>
      <c r="AC58" s="152" t="inlineStr">
        <is>
          <t>IBM</t>
        </is>
      </c>
      <c r="AD58" s="152" t="inlineStr">
        <is>
          <t>2026-01-28</t>
        </is>
      </c>
      <c r="AE58" s="152" t="n">
        <v>290.3553</v>
      </c>
      <c r="AF58" s="152" t="inlineStr">
        <is>
          <t>2026-01-29</t>
        </is>
      </c>
      <c r="AG58" s="152" t="n">
        <v>313.7488</v>
      </c>
      <c r="AH58" s="152" t="n">
        <v>0.08056835407148978</v>
      </c>
      <c r="AI58" s="152" t="inlineStr">
        <is>
          <t>UP</t>
        </is>
      </c>
      <c r="AJ58" s="152" t="inlineStr">
        <is>
          <t>YES</t>
        </is>
      </c>
      <c r="AK58" s="152" t="n">
        <v>0.079568</v>
      </c>
      <c r="AL58" s="152">
        <f>IF($A58="","",IFERROR(INDEX(Company_List!$G$3:$G$207,MATCH($A58,Company_List!$A$3:$A$207,0)),"unassigned"))</f>
        <v/>
      </c>
      <c r="AM58" s="152" t="inlineStr">
        <is>
          <t>Phase 2/IBM/Q4 2025 Earnings Call Transcript.pdf; Phase 2/IBM/Q4 2025 - numbers.pdf</t>
        </is>
      </c>
      <c r="AN58" s="152" t="n"/>
      <c r="AO58" s="152" t="inlineStr">
        <is>
          <t>whole bundle (Document = All)</t>
        </is>
      </c>
      <c r="AP58" s="152">
        <f>IF($A58="","",IF(COUNTIFS(LLM_Data_Entry!$A$3:$A$548,$A58)&gt;0,"YES","NO"))</f>
        <v/>
      </c>
      <c r="AQ58" s="152">
        <f>IF($A58="","",IF(COUNTIFS($A$3:$A58,$A58,$C$3:$C58,$C58,$D$3:$D58,$D58)=1,"YES","NO"))</f>
        <v/>
      </c>
      <c r="AR58" s="152">
        <f>IF($A58="","",IF(AND($C58&amp;"-"&amp;$D58&gt;=Settings!$B$19,$C58&amp;"-"&amp;$D58&lt;=Settings!$B$20),"IN","OUT"))</f>
        <v/>
      </c>
      <c r="AS58" s="152">
        <f>IF($A58="","",IF($F58="Financial Results","financials",IF($F58="Outlook/Guidance","guidance",IF($F58="Transcript Q&amp;A","qanda",IF($F58="","unrecorded",IF($E58="All","full",IF($E58="","unrecorded",LOWER($E58)&amp;" only")))))))</f>
        <v/>
      </c>
      <c r="AT58" s="152">
        <f>IF(AND(OR($J58="BUY",$J58="SELL"),ISNUMBER($U58)),$U58,"")</f>
        <v/>
      </c>
      <c r="AU58" s="152">
        <f>IF(AND(OR($J58="BUY",$J58="SELL"),ISNUMBER($AK58)),$AK58,"")</f>
        <v/>
      </c>
      <c r="AV58" s="152">
        <f>IF(ISNUMBER($AT58),ABS(IF(ISNUMBER($I58),$I58,0)-Settings!$B$24),"")</f>
        <v/>
      </c>
      <c r="AW58" s="152">
        <f>IF(ISNUMBER($AV58),$AV58*$AT58,"")</f>
        <v/>
      </c>
      <c r="AX58" s="152">
        <f>IF(ISNUMBER($AU58),ABS(IF(ISNUMBER($I58),$I58,0)-Settings!$B$24),"")</f>
        <v/>
      </c>
      <c r="AY58" s="152" t="inlineStr">
        <is>
          <t>FROZEN</t>
        </is>
      </c>
      <c r="AZ58" s="152">
        <f>IF($A58="","",IFERROR(INDEX(Company_List!$H$3:$H$207,MATCH($A58,Company_List!$A$3:$A$207,0)),"unassigned"))</f>
        <v/>
      </c>
      <c r="BA58" s="152" t="n"/>
      <c r="BB58" s="152" t="n"/>
      <c r="BC58" s="152">
        <f>IF($A58="","",IF(COUNTIFS($A$3:$A58,$A58,$C$3:$C58,$C58,$D$3:$D58,$D58,$G$3:$G58,$G58)=1,1,0))</f>
        <v/>
      </c>
      <c r="BD58" s="152" t="n"/>
      <c r="BE58" s="152" t="n"/>
      <c r="BF58" s="152" t="n"/>
      <c r="BG58" s="152" t="inlineStr">
        <is>
          <t>no</t>
        </is>
      </c>
      <c r="BH58" s="152" t="n"/>
      <c r="BI58" s="152" t="n"/>
      <c r="BJ58" s="152" t="n"/>
      <c r="BK58" s="152">
        <f>IF(OR($H58&lt;&gt;"Human",$S58="",$J58="",$Y58="",$Z58=""),"",IF(EXACT(UPPER($J58),UPPER($Y58)),1,0))</f>
        <v/>
      </c>
      <c r="BL58" s="152" t="inlineStr">
        <is>
          <t>assumed - no rater record</t>
        </is>
      </c>
      <c r="BM58" s="152" t="n">
        <v>2</v>
      </c>
      <c r="BN58" s="152" t="inlineStr">
        <is>
          <t>The Motley Fool</t>
        </is>
      </c>
      <c r="BO58" s="152" t="inlineStr">
        <is>
          <t>free to read, copyright asserted</t>
        </is>
      </c>
      <c r="BP58" s="152" t="inlineStr">
        <is>
          <t>no</t>
        </is>
      </c>
      <c r="BQ58" s="152" t="inlineStr">
        <is>
          <t>no</t>
        </is>
      </c>
      <c r="BR58" s="152" t="n"/>
      <c r="BS58" s="152" t="inlineStr">
        <is>
          <t>YES</t>
        </is>
      </c>
      <c r="BT58" s="152" t="n"/>
    </row>
    <row r="59" ht="15" customHeight="1" s="241">
      <c r="A59" s="174" t="inlineStr">
        <is>
          <t>IBM</t>
        </is>
      </c>
      <c r="B59" s="175">
        <f>IF(A59="","",_xlfn.XLOOKUP(A59, Company_List!$A:$A, Company_List!$B:$B, ""))</f>
        <v/>
      </c>
      <c r="C59" s="176" t="n">
        <v>2026</v>
      </c>
      <c r="D59" s="177" t="inlineStr">
        <is>
          <t>Q1</t>
        </is>
      </c>
      <c r="E59" s="178" t="inlineStr">
        <is>
          <t>All</t>
        </is>
      </c>
      <c r="F59" s="178" t="inlineStr">
        <is>
          <t>All</t>
        </is>
      </c>
      <c r="G59" s="177" t="inlineStr">
        <is>
          <t>Meriem</t>
        </is>
      </c>
      <c r="H59" s="177" t="inlineStr">
        <is>
          <t>Human</t>
        </is>
      </c>
      <c r="I59" s="179" t="n">
        <v>0.2</v>
      </c>
      <c r="J59" s="180">
        <f>IF(OR(I59="",Settings!$B$6=""),"",IF(I59&gt;Settings!$B$6,"BUY",IF(I59&lt;-Settings!$B$6,"SELL","HOLD")))</f>
        <v/>
      </c>
      <c r="K59" s="181" t="n">
        <v>42</v>
      </c>
      <c r="L59" s="182" t="n">
        <v>46134</v>
      </c>
      <c r="M59" s="182" t="n">
        <v>46134</v>
      </c>
      <c r="N59" s="179" t="n">
        <v>251.86</v>
      </c>
      <c r="O59" s="182" t="n">
        <v>46135</v>
      </c>
      <c r="P59" s="183" t="n">
        <v>232.27</v>
      </c>
      <c r="Q59" s="184">
        <f>IF(OR(N59="",P59=""),"",ROUND((P59-N59)/N59,4))</f>
        <v/>
      </c>
      <c r="R59" s="177">
        <f>IF(OR(N59="",P59=""),"",IF(Q59&gt;Settings!$B$3/100,"UP",IF(Q59&lt;-Settings!$B$3/100,"DOWN","FLAT")))</f>
        <v/>
      </c>
      <c r="S59" s="177">
        <f>IF(OR(N59="",P59="",J59=""),"",IF(OR(AND(J59="BUY",R59="UP"),AND(J59="SELL",R59="DOWN"),AND(J59="HOLD",R59="FLAT")),"YES","NO"))</f>
        <v/>
      </c>
      <c r="T59" s="176">
        <f>IF(J59="","",IF(J59="BUY",1,IF(J59="SELL",-1,0)))</f>
        <v/>
      </c>
      <c r="U59" s="184">
        <f>IFERROR(IF(OR(J59="",N59="",P59=""),"",IF(T59=0,0,T59*Q59-Settings!$B$4/10000-IF(T59&lt;0,Settings!$B$5/10000,0))),"")</f>
        <v/>
      </c>
      <c r="V59" s="185" t="inlineStr">
        <is>
          <t>numbers are great but Middle East worries even though didnt affect Q1 as we saw higher growth in the ME than in decades so uncertainty but some confidence so hold</t>
        </is>
      </c>
      <c r="W59" s="176">
        <f>IF($K59="","",$K59*60)</f>
        <v/>
      </c>
      <c r="X59" s="186">
        <f>IF($A59="","",$A59&amp;"|"&amp;$C59&amp;"|"&amp;$D59)</f>
        <v/>
      </c>
      <c r="Y59" s="186">
        <f>IFERROR(IF($X59="","",INDEX(LLM_Data_Entry!$H$3:$H$548,MATCH($X59,INDEX(LLM_Data_Entry!$A$3:$A$548&amp;"|"&amp;LLM_Data_Entry!$C$3:$C$548&amp;"|"&amp;LLM_Data_Entry!$D$3:$D$548,0),0))),"")</f>
        <v/>
      </c>
      <c r="Z59" s="186">
        <f>IFERROR(IF($X59="","",INDEX(LLM_Data_Entry!$R$3:$R$548,MATCH($X59,INDEX(LLM_Data_Entry!$A$3:$A$548&amp;"|"&amp;LLM_Data_Entry!$C$3:$C$548&amp;"|"&amp;LLM_Data_Entry!$D$3:$D$548,0),0))),"")</f>
        <v/>
      </c>
      <c r="AA59" s="152" t="n"/>
      <c r="AB59" s="152" t="inlineStr">
        <is>
          <t>price signal — both moved; this one dominates</t>
        </is>
      </c>
      <c r="AC59" s="152" t="inlineStr">
        <is>
          <t>IBM</t>
        </is>
      </c>
      <c r="AD59" s="152" t="inlineStr">
        <is>
          <t>2026-04-22</t>
        </is>
      </c>
      <c r="AE59" s="152" t="n">
        <v>250.0199</v>
      </c>
      <c r="AF59" s="152" t="inlineStr">
        <is>
          <t>2026-04-23</t>
        </is>
      </c>
      <c r="AG59" s="152" t="n">
        <v>230.573</v>
      </c>
      <c r="AH59" s="152" t="n">
        <v>-0.07778128926398546</v>
      </c>
      <c r="AI59" s="152" t="inlineStr">
        <is>
          <t>DOWN</t>
        </is>
      </c>
      <c r="AJ59" s="152" t="inlineStr">
        <is>
          <t>NO</t>
        </is>
      </c>
      <c r="AK59" s="152" t="n">
        <v>0</v>
      </c>
      <c r="AL59" s="152">
        <f>IF($A59="","",IFERROR(INDEX(Company_List!$G$3:$G$207,MATCH($A59,Company_List!$A$3:$A$207,0)),"unassigned"))</f>
        <v/>
      </c>
      <c r="AM59" s="152" t="inlineStr">
        <is>
          <t>Phase 2/IBM/Q1 2026 Earnings Call Transcript.pdf; Phase 2/IBM/Q1 2026 0 numbers.pdf</t>
        </is>
      </c>
      <c r="AN59" s="152" t="n"/>
      <c r="AO59" s="152" t="inlineStr">
        <is>
          <t>whole bundle (Document = All)</t>
        </is>
      </c>
      <c r="AP59" s="152">
        <f>IF($A59="","",IF(COUNTIFS(LLM_Data_Entry!$A$3:$A$548,$A59)&gt;0,"YES","NO"))</f>
        <v/>
      </c>
      <c r="AQ59" s="152">
        <f>IF($A59="","",IF(COUNTIFS($A$3:$A59,$A59,$C$3:$C59,$C59,$D$3:$D59,$D59)=1,"YES","NO"))</f>
        <v/>
      </c>
      <c r="AR59" s="152">
        <f>IF($A59="","",IF(AND($C59&amp;"-"&amp;$D59&gt;=Settings!$B$19,$C59&amp;"-"&amp;$D59&lt;=Settings!$B$20),"IN","OUT"))</f>
        <v/>
      </c>
      <c r="AS59" s="152">
        <f>IF($A59="","",IF($F59="Financial Results","financials",IF($F59="Outlook/Guidance","guidance",IF($F59="Transcript Q&amp;A","qanda",IF($F59="","unrecorded",IF($E59="All","full",IF($E59="","unrecorded",LOWER($E59)&amp;" only")))))))</f>
        <v/>
      </c>
      <c r="AT59" s="152">
        <f>IF(AND(OR($J59="BUY",$J59="SELL"),ISNUMBER($U59)),$U59,"")</f>
        <v/>
      </c>
      <c r="AU59" s="152">
        <f>IF(AND(OR($J59="BUY",$J59="SELL"),ISNUMBER($AK59)),$AK59,"")</f>
        <v/>
      </c>
      <c r="AV59" s="152">
        <f>IF(ISNUMBER($AT59),ABS(IF(ISNUMBER($I59),$I59,0)-Settings!$B$24),"")</f>
        <v/>
      </c>
      <c r="AW59" s="152">
        <f>IF(ISNUMBER($AV59),$AV59*$AT59,"")</f>
        <v/>
      </c>
      <c r="AX59" s="152">
        <f>IF(ISNUMBER($AU59),ABS(IF(ISNUMBER($I59),$I59,0)-Settings!$B$24),"")</f>
        <v/>
      </c>
      <c r="AY59" s="152" t="inlineStr">
        <is>
          <t>FROZEN</t>
        </is>
      </c>
      <c r="AZ59" s="152">
        <f>IF($A59="","",IFERROR(INDEX(Company_List!$H$3:$H$207,MATCH($A59,Company_List!$A$3:$A$207,0)),"unassigned"))</f>
        <v/>
      </c>
      <c r="BA59" s="152" t="n"/>
      <c r="BB59" s="152" t="n"/>
      <c r="BC59" s="152">
        <f>IF($A59="","",IF(COUNTIFS($A$3:$A59,$A59,$C$3:$C59,$C59,$D$3:$D59,$D59,$G$3:$G59,$G59)=1,1,0))</f>
        <v/>
      </c>
      <c r="BD59" s="152" t="n"/>
      <c r="BE59" s="152" t="n"/>
      <c r="BF59" s="152" t="n"/>
      <c r="BG59" s="152" t="inlineStr">
        <is>
          <t>no</t>
        </is>
      </c>
      <c r="BH59" s="152" t="n"/>
      <c r="BI59" s="152" t="n"/>
      <c r="BJ59" s="152" t="n"/>
      <c r="BK59" s="152">
        <f>IF(OR($H59&lt;&gt;"Human",$S59="",$J59="",$Y59="",$Z59=""),"",IF(EXACT(UPPER($J59),UPPER($Y59)),1,0))</f>
        <v/>
      </c>
      <c r="BL59" s="152" t="inlineStr">
        <is>
          <t>assumed - no rater record</t>
        </is>
      </c>
      <c r="BM59" s="152" t="n">
        <v>2</v>
      </c>
      <c r="BN59" s="152" t="inlineStr">
        <is>
          <t>The Motley Fool</t>
        </is>
      </c>
      <c r="BO59" s="152" t="inlineStr">
        <is>
          <t>free to read, copyright asserted</t>
        </is>
      </c>
      <c r="BP59" s="152" t="inlineStr">
        <is>
          <t>no</t>
        </is>
      </c>
      <c r="BQ59" s="152" t="inlineStr">
        <is>
          <t>no</t>
        </is>
      </c>
      <c r="BR59" s="152" t="n"/>
      <c r="BS59" s="152" t="inlineStr">
        <is>
          <t>YES</t>
        </is>
      </c>
      <c r="BT59" s="152" t="n"/>
    </row>
    <row r="60" ht="15" customHeight="1" s="241">
      <c r="A60" s="174" t="inlineStr">
        <is>
          <t>Target</t>
        </is>
      </c>
      <c r="B60" s="175">
        <f>IF(A60="","",_xlfn.XLOOKUP(A60, Company_List!$A:$A, Company_List!$B:$B, ""))</f>
        <v/>
      </c>
      <c r="C60" s="176" t="n">
        <v>2025</v>
      </c>
      <c r="D60" s="177" t="inlineStr">
        <is>
          <t>Q2</t>
        </is>
      </c>
      <c r="E60" s="178" t="inlineStr">
        <is>
          <t>Transcript</t>
        </is>
      </c>
      <c r="F60" s="178" t="inlineStr">
        <is>
          <t>All</t>
        </is>
      </c>
      <c r="G60" s="177" t="inlineStr">
        <is>
          <t>Anna</t>
        </is>
      </c>
      <c r="H60" s="177" t="inlineStr">
        <is>
          <t>Human</t>
        </is>
      </c>
      <c r="I60" s="179" t="n">
        <v>0.3</v>
      </c>
      <c r="J60" s="180">
        <f>IF(OR(I60="",Settings!$B$6=""),"",IF(I60&gt;Settings!$B$6,"BUY",IF(I60&lt;-Settings!$B$6,"SELL","HOLD")))</f>
        <v/>
      </c>
      <c r="K60" s="181" t="n">
        <v>35</v>
      </c>
      <c r="L60" s="182" t="n">
        <v>45889</v>
      </c>
      <c r="M60" s="182" t="n">
        <v>45888</v>
      </c>
      <c r="N60" s="179" t="n">
        <v>105.36</v>
      </c>
      <c r="O60" s="182" t="n">
        <v>45889</v>
      </c>
      <c r="P60" s="183" t="n">
        <v>94.41</v>
      </c>
      <c r="Q60" s="184">
        <f>IF(OR(N60="",P60=""),"",ROUND((P60-N60)/N60,4))</f>
        <v/>
      </c>
      <c r="R60" s="177">
        <f>IF(OR(N60="",P60=""),"",IF(Q60&gt;Settings!$B$3/100,"UP",IF(Q60&lt;-Settings!$B$3/100,"DOWN","FLAT")))</f>
        <v/>
      </c>
      <c r="S60" s="177">
        <f>IF(OR(N60="",P60="",J60=""),"",IF(OR(AND(J60="BUY",R60="UP"),AND(J60="SELL",R60="DOWN"),AND(J60="HOLD",R60="FLAT")),"YES","NO"))</f>
        <v/>
      </c>
      <c r="T60" s="176">
        <f>IF(J60="","",IF(J60="BUY",1,IF(J60="SELL",-1,0)))</f>
        <v/>
      </c>
      <c r="U60" s="184">
        <f>IFERROR(IF(OR(J60="",N60="",P60=""),"",IF(T60=0,0,T60*Q60-Settings!$B$4/10000-IF(T60&lt;0,Settings!$B$5/10000,0))),"")</f>
        <v/>
      </c>
      <c r="V60" s="185" t="n"/>
      <c r="W60" s="176">
        <f>IF($K60="","",$K60*60)</f>
        <v/>
      </c>
      <c r="X60" s="186">
        <f>IF($A60="","",$A60&amp;"|"&amp;$C60&amp;"|"&amp;$D60)</f>
        <v/>
      </c>
      <c r="Y60" s="186">
        <f>IFERROR(IF($X60="","",INDEX(LLM_Data_Entry!$H$3:$H$548,MATCH($X60,INDEX(LLM_Data_Entry!$A$3:$A$548&amp;"|"&amp;LLM_Data_Entry!$C$3:$C$548&amp;"|"&amp;LLM_Data_Entry!$D$3:$D$548,0),0))),"")</f>
        <v/>
      </c>
      <c r="Z60" s="186">
        <f>IFERROR(IF($X60="","",INDEX(LLM_Data_Entry!$R$3:$R$548,MATCH($X60,INDEX(LLM_Data_Entry!$A$3:$A$548&amp;"|"&amp;LLM_Data_Entry!$C$3:$C$548&amp;"|"&amp;LLM_Data_Entry!$D$3:$D$548,0),0))),"")</f>
        <v/>
      </c>
      <c r="AA60" s="152" t="n"/>
      <c r="AB60" s="152" t="inlineStr">
        <is>
          <t>release date + stated time</t>
        </is>
      </c>
      <c r="AC60" s="152" t="inlineStr">
        <is>
          <t>TGT</t>
        </is>
      </c>
      <c r="AD60" s="152" t="inlineStr">
        <is>
          <t>2025-08-19</t>
        </is>
      </c>
      <c r="AE60" s="152" t="n">
        <v>102.0369</v>
      </c>
      <c r="AF60" s="152" t="inlineStr">
        <is>
          <t>2025-08-20</t>
        </is>
      </c>
      <c r="AG60" s="152" t="n">
        <v>91.43219999999999</v>
      </c>
      <c r="AH60" s="152" t="n">
        <v>-0.1039292512694035</v>
      </c>
      <c r="AI60" s="152" t="inlineStr">
        <is>
          <t>DOWN</t>
        </is>
      </c>
      <c r="AJ60" s="152" t="inlineStr">
        <is>
          <t>NO</t>
        </is>
      </c>
      <c r="AK60" s="152" t="n">
        <v>-0.104929</v>
      </c>
      <c r="AL60" s="152">
        <f>IF($A60="","",IFERROR(INDEX(Company_List!$G$3:$G$207,MATCH($A60,Company_List!$A$3:$A$207,0)),"unassigned"))</f>
        <v/>
      </c>
      <c r="AM60" s="152" t="inlineStr">
        <is>
          <t>Phase 2/Target/2025-Q2/TGT-2025-Q2-earnings-call-transcript-corporate-target-com.pdf</t>
        </is>
      </c>
      <c r="AN60" s="152" t="inlineStr">
        <is>
          <t>https://corporate.target.com/getmedia/c5751599-850d-4bb0-b599-d8ac55a91156/2025-august-20-tgt-transcript.pdf</t>
        </is>
      </c>
      <c r="AO60" s="152" t="inlineStr">
        <is>
          <t>manifest</t>
        </is>
      </c>
      <c r="AP60" s="152">
        <f>IF($A60="","",IF(COUNTIFS(LLM_Data_Entry!$A$3:$A$548,$A60)&gt;0,"YES","NO"))</f>
        <v/>
      </c>
      <c r="AQ60" s="152">
        <f>IF($A60="","",IF(COUNTIFS($A$3:$A60,$A60,$C$3:$C60,$C60,$D$3:$D60,$D60)=1,"YES","NO"))</f>
        <v/>
      </c>
      <c r="AR60" s="152">
        <f>IF($A60="","",IF(AND($C60&amp;"-"&amp;$D60&gt;=Settings!$B$19,$C60&amp;"-"&amp;$D60&lt;=Settings!$B$20),"IN","OUT"))</f>
        <v/>
      </c>
      <c r="AS60" s="152">
        <f>IF($A60="","",IF($F60="Financial Results","financials",IF($F60="Outlook/Guidance","guidance",IF($F60="Transcript Q&amp;A","qanda",IF($F60="","unrecorded",IF($E60="All","full",IF($E60="","unrecorded",LOWER($E60)&amp;" only")))))))</f>
        <v/>
      </c>
      <c r="AT60" s="152">
        <f>IF(AND(OR($J60="BUY",$J60="SELL"),ISNUMBER($U60)),$U60,"")</f>
        <v/>
      </c>
      <c r="AU60" s="152">
        <f>IF(AND(OR($J60="BUY",$J60="SELL"),ISNUMBER($AK60)),$AK60,"")</f>
        <v/>
      </c>
      <c r="AV60" s="152">
        <f>IF(ISNUMBER($AT60),ABS(IF(ISNUMBER($I60),$I60,0)-Settings!$B$24),"")</f>
        <v/>
      </c>
      <c r="AW60" s="152">
        <f>IF(ISNUMBER($AV60),$AV60*$AT60,"")</f>
        <v/>
      </c>
      <c r="AX60" s="152">
        <f>IF(ISNUMBER($AU60),ABS(IF(ISNUMBER($I60),$I60,0)-Settings!$B$24),"")</f>
        <v/>
      </c>
      <c r="AY60" s="152" t="inlineStr">
        <is>
          <t>FROZEN</t>
        </is>
      </c>
      <c r="AZ60" s="152">
        <f>IF($A60="","",IFERROR(INDEX(Company_List!$H$3:$H$207,MATCH($A60,Company_List!$A$3:$A$207,0)),"unassigned"))</f>
        <v/>
      </c>
      <c r="BA60" s="152" t="n"/>
      <c r="BB60" s="152" t="n"/>
      <c r="BC60" s="152">
        <f>IF($A60="","",IF(COUNTIFS($A$3:$A60,$A60,$C$3:$C60,$C60,$D$3:$D60,$D60,$G$3:$G60,$G60)=1,1,0))</f>
        <v/>
      </c>
      <c r="BD60" s="152" t="n"/>
      <c r="BE60" s="152" t="n"/>
      <c r="BF60" s="152" t="n"/>
      <c r="BG60" s="152" t="inlineStr">
        <is>
          <t>no</t>
        </is>
      </c>
      <c r="BH60" s="152" t="n"/>
      <c r="BI60" s="152" t="n"/>
      <c r="BJ60" s="152" t="n"/>
      <c r="BK60" s="152">
        <f>IF(OR($H60&lt;&gt;"Human",$S60="",$J60="",$Y60="",$Z60=""),"",IF(EXACT(UPPER($J60),UPPER($Y60)),1,0))</f>
        <v/>
      </c>
      <c r="BL60" s="152" t="inlineStr">
        <is>
          <t>assumed - no rater record</t>
        </is>
      </c>
      <c r="BM60" s="152" t="n">
        <v>1</v>
      </c>
      <c r="BN60" s="152" t="inlineStr">
        <is>
          <t>Refinitiv / LSEG StreetEvents</t>
        </is>
      </c>
      <c r="BO60" s="152" t="inlineStr">
        <is>
          <t>licensed vendor</t>
        </is>
      </c>
      <c r="BP60" s="152" t="inlineStr">
        <is>
          <t>no</t>
        </is>
      </c>
      <c r="BQ60" s="152" t="inlineStr">
        <is>
          <t>yes</t>
        </is>
      </c>
      <c r="BR60" s="152" t="n"/>
      <c r="BS60" s="152" t="inlineStr">
        <is>
          <t>YES</t>
        </is>
      </c>
      <c r="BT60" s="152" t="n"/>
    </row>
    <row r="61" ht="15" customHeight="1" s="241">
      <c r="A61" s="174" t="inlineStr">
        <is>
          <t>Target</t>
        </is>
      </c>
      <c r="B61" s="175">
        <f>IF(A61="","",_xlfn.XLOOKUP(A61, Company_List!$A:$A, Company_List!$B:$B, ""))</f>
        <v/>
      </c>
      <c r="C61" s="176" t="n">
        <v>2025</v>
      </c>
      <c r="D61" s="177" t="inlineStr">
        <is>
          <t>Q1</t>
        </is>
      </c>
      <c r="E61" s="178" t="inlineStr">
        <is>
          <t>Transcript</t>
        </is>
      </c>
      <c r="F61" s="178" t="inlineStr">
        <is>
          <t>All</t>
        </is>
      </c>
      <c r="G61" s="177" t="inlineStr">
        <is>
          <t>Anna</t>
        </is>
      </c>
      <c r="H61" s="177" t="inlineStr">
        <is>
          <t>Human</t>
        </is>
      </c>
      <c r="I61" s="179" t="n">
        <v>0.3</v>
      </c>
      <c r="J61" s="180">
        <f>IF(OR(I61="",Settings!$B$6=""),"",IF(I61&gt;Settings!$B$6,"BUY",IF(I61&lt;-Settings!$B$6,"SELL","HOLD")))</f>
        <v/>
      </c>
      <c r="K61" s="181" t="n">
        <v>32</v>
      </c>
      <c r="L61" s="182" t="n">
        <v>45798</v>
      </c>
      <c r="M61" s="182" t="n">
        <v>45797</v>
      </c>
      <c r="N61" s="179" t="n">
        <v>98.12</v>
      </c>
      <c r="O61" s="182" t="n">
        <v>45798</v>
      </c>
      <c r="P61" s="183" t="n">
        <v>91.5</v>
      </c>
      <c r="Q61" s="184">
        <f>IF(OR(N61="",P61=""),"",ROUND((P61-N61)/N61,4))</f>
        <v/>
      </c>
      <c r="R61" s="177">
        <f>IF(OR(N61="",P61=""),"",IF(Q61&gt;Settings!$B$3/100,"UP",IF(Q61&lt;-Settings!$B$3/100,"DOWN","FLAT")))</f>
        <v/>
      </c>
      <c r="S61" s="177">
        <f>IF(OR(N61="",P61="",J61=""),"",IF(OR(AND(J61="BUY",R61="UP"),AND(J61="SELL",R61="DOWN"),AND(J61="HOLD",R61="FLAT")),"YES","NO"))</f>
        <v/>
      </c>
      <c r="T61" s="176">
        <f>IF(J61="","",IF(J61="BUY",1,IF(J61="SELL",-1,0)))</f>
        <v/>
      </c>
      <c r="U61" s="184">
        <f>IFERROR(IF(OR(J61="",N61="",P61=""),"",IF(T61=0,0,T61*Q61-Settings!$B$4/10000-IF(T61&lt;0,Settings!$B$5/10000,0))),"")</f>
        <v/>
      </c>
      <c r="V61" s="185" t="n"/>
      <c r="W61" s="176">
        <f>IF($K61="","",$K61*60)</f>
        <v/>
      </c>
      <c r="X61" s="186">
        <f>IF($A61="","",$A61&amp;"|"&amp;$C61&amp;"|"&amp;$D61)</f>
        <v/>
      </c>
      <c r="Y61" s="186">
        <f>IFERROR(IF($X61="","",INDEX(LLM_Data_Entry!$H$3:$H$548,MATCH($X61,INDEX(LLM_Data_Entry!$A$3:$A$548&amp;"|"&amp;LLM_Data_Entry!$C$3:$C$548&amp;"|"&amp;LLM_Data_Entry!$D$3:$D$548,0),0))),"")</f>
        <v/>
      </c>
      <c r="Z61" s="186">
        <f>IFERROR(IF($X61="","",INDEX(LLM_Data_Entry!$R$3:$R$548,MATCH($X61,INDEX(LLM_Data_Entry!$A$3:$A$548&amp;"|"&amp;LLM_Data_Entry!$C$3:$C$548&amp;"|"&amp;LLM_Data_Entry!$D$3:$D$548,0),0))),"")</f>
        <v/>
      </c>
      <c r="AA61" s="152" t="n"/>
      <c r="AB61" s="152" t="inlineStr">
        <is>
          <t>release date + stated time</t>
        </is>
      </c>
      <c r="AC61" s="152" t="inlineStr">
        <is>
          <t>TGT</t>
        </is>
      </c>
      <c r="AD61" s="152" t="inlineStr">
        <is>
          <t>2025-05-20</t>
        </is>
      </c>
      <c r="AE61" s="152" t="n">
        <v>94.0057</v>
      </c>
      <c r="AF61" s="152" t="inlineStr">
        <is>
          <t>2025-05-21</t>
        </is>
      </c>
      <c r="AG61" s="152" t="n">
        <v>87.66330000000001</v>
      </c>
      <c r="AH61" s="152" t="n">
        <v>-0.06746838049408189</v>
      </c>
      <c r="AI61" s="152" t="inlineStr">
        <is>
          <t>DOWN</t>
        </is>
      </c>
      <c r="AJ61" s="152" t="inlineStr">
        <is>
          <t>NO</t>
        </is>
      </c>
      <c r="AK61" s="152" t="n">
        <v>-0.068468</v>
      </c>
      <c r="AL61" s="152">
        <f>IF($A61="","",IFERROR(INDEX(Company_List!$G$3:$G$207,MATCH($A61,Company_List!$A$3:$A$207,0)),"unassigned"))</f>
        <v/>
      </c>
      <c r="AM61" s="152" t="inlineStr">
        <is>
          <t>Phase 2/Target/2025-Q1/TGT-2025-Q1-earnings-call-transcript-corporate-target-com.pdf</t>
        </is>
      </c>
      <c r="AN61" s="152" t="inlineStr">
        <is>
          <t>https://corporate.target.com/getmedia/9c383747-166d-4310-b91f-cd77b7d06433/2025-May-21-TGT-Transcript.pdf%C2%A0%C2%A0</t>
        </is>
      </c>
      <c r="AO61" s="152" t="inlineStr">
        <is>
          <t>manifest</t>
        </is>
      </c>
      <c r="AP61" s="152">
        <f>IF($A61="","",IF(COUNTIFS(LLM_Data_Entry!$A$3:$A$548,$A61)&gt;0,"YES","NO"))</f>
        <v/>
      </c>
      <c r="AQ61" s="152">
        <f>IF($A61="","",IF(COUNTIFS($A$3:$A61,$A61,$C$3:$C61,$C61,$D$3:$D61,$D61)=1,"YES","NO"))</f>
        <v/>
      </c>
      <c r="AR61" s="152">
        <f>IF($A61="","",IF(AND($C61&amp;"-"&amp;$D61&gt;=Settings!$B$19,$C61&amp;"-"&amp;$D61&lt;=Settings!$B$20),"IN","OUT"))</f>
        <v/>
      </c>
      <c r="AS61" s="152">
        <f>IF($A61="","",IF($F61="Financial Results","financials",IF($F61="Outlook/Guidance","guidance",IF($F61="Transcript Q&amp;A","qanda",IF($F61="","unrecorded",IF($E61="All","full",IF($E61="","unrecorded",LOWER($E61)&amp;" only")))))))</f>
        <v/>
      </c>
      <c r="AT61" s="152">
        <f>IF(AND(OR($J61="BUY",$J61="SELL"),ISNUMBER($U61)),$U61,"")</f>
        <v/>
      </c>
      <c r="AU61" s="152">
        <f>IF(AND(OR($J61="BUY",$J61="SELL"),ISNUMBER($AK61)),$AK61,"")</f>
        <v/>
      </c>
      <c r="AV61" s="152">
        <f>IF(ISNUMBER($AT61),ABS(IF(ISNUMBER($I61),$I61,0)-Settings!$B$24),"")</f>
        <v/>
      </c>
      <c r="AW61" s="152">
        <f>IF(ISNUMBER($AV61),$AV61*$AT61,"")</f>
        <v/>
      </c>
      <c r="AX61" s="152">
        <f>IF(ISNUMBER($AU61),ABS(IF(ISNUMBER($I61),$I61,0)-Settings!$B$24),"")</f>
        <v/>
      </c>
      <c r="AY61" s="152" t="inlineStr">
        <is>
          <t>FROZEN</t>
        </is>
      </c>
      <c r="AZ61" s="152">
        <f>IF($A61="","",IFERROR(INDEX(Company_List!$H$3:$H$207,MATCH($A61,Company_List!$A$3:$A$207,0)),"unassigned"))</f>
        <v/>
      </c>
      <c r="BA61" s="152" t="n"/>
      <c r="BB61" s="152" t="n"/>
      <c r="BC61" s="152">
        <f>IF($A61="","",IF(COUNTIFS($A$3:$A61,$A61,$C$3:$C61,$C61,$D$3:$D61,$D61,$G$3:$G61,$G61)=1,1,0))</f>
        <v/>
      </c>
      <c r="BD61" s="152" t="n"/>
      <c r="BE61" s="152" t="n"/>
      <c r="BF61" s="152" t="n"/>
      <c r="BG61" s="152" t="inlineStr">
        <is>
          <t>no</t>
        </is>
      </c>
      <c r="BH61" s="152" t="n"/>
      <c r="BI61" s="152" t="n"/>
      <c r="BJ61" s="152" t="n"/>
      <c r="BK61" s="152">
        <f>IF(OR($H61&lt;&gt;"Human",$S61="",$J61="",$Y61="",$Z61=""),"",IF(EXACT(UPPER($J61),UPPER($Y61)),1,0))</f>
        <v/>
      </c>
      <c r="BL61" s="152" t="inlineStr">
        <is>
          <t>assumed - no rater record</t>
        </is>
      </c>
      <c r="BM61" s="152" t="n">
        <v>1</v>
      </c>
      <c r="BN61" s="152" t="inlineStr">
        <is>
          <t>Refinitiv / LSEG StreetEvents</t>
        </is>
      </c>
      <c r="BO61" s="152" t="inlineStr">
        <is>
          <t>licensed vendor</t>
        </is>
      </c>
      <c r="BP61" s="152" t="inlineStr">
        <is>
          <t>no</t>
        </is>
      </c>
      <c r="BQ61" s="152" t="inlineStr">
        <is>
          <t>yes</t>
        </is>
      </c>
      <c r="BR61" s="152" t="n"/>
      <c r="BS61" s="152" t="inlineStr">
        <is>
          <t>YES</t>
        </is>
      </c>
      <c r="BT61" s="152" t="n"/>
    </row>
    <row r="62" ht="15" customHeight="1" s="241">
      <c r="A62" s="174" t="inlineStr">
        <is>
          <t>Target</t>
        </is>
      </c>
      <c r="B62" s="175">
        <f>IF(A62="","",_xlfn.XLOOKUP(A62, Company_List!$A:$A, Company_List!$B:$B, ""))</f>
        <v/>
      </c>
      <c r="C62" s="176" t="n">
        <v>2025</v>
      </c>
      <c r="D62" s="177" t="inlineStr">
        <is>
          <t>Q3</t>
        </is>
      </c>
      <c r="E62" s="178" t="inlineStr">
        <is>
          <t>Transcript</t>
        </is>
      </c>
      <c r="F62" s="178" t="inlineStr">
        <is>
          <t>All</t>
        </is>
      </c>
      <c r="G62" s="177" t="inlineStr">
        <is>
          <t>Anna</t>
        </is>
      </c>
      <c r="H62" s="177" t="inlineStr">
        <is>
          <t>Human</t>
        </is>
      </c>
      <c r="I62" s="179" t="n">
        <v>0.2</v>
      </c>
      <c r="J62" s="180">
        <f>IF(OR(I62="",Settings!$B$6=""),"",IF(I62&gt;Settings!$B$6,"BUY",IF(I62&lt;-Settings!$B$6,"SELL","HOLD")))</f>
        <v/>
      </c>
      <c r="K62" s="181" t="n">
        <v>27</v>
      </c>
      <c r="L62" s="182" t="n">
        <v>45980</v>
      </c>
      <c r="M62" s="182" t="n">
        <v>45979</v>
      </c>
      <c r="N62" s="179" t="n">
        <v>88.53</v>
      </c>
      <c r="O62" s="182" t="n">
        <v>45980</v>
      </c>
      <c r="P62" s="183" t="n">
        <v>86.42</v>
      </c>
      <c r="Q62" s="184">
        <f>IF(OR(N62="",P62=""),"",ROUND((P62-N62)/N62,4))</f>
        <v/>
      </c>
      <c r="R62" s="177">
        <f>IF(OR(N62="",P62=""),"",IF(Q62&gt;Settings!$B$3/100,"UP",IF(Q62&lt;-Settings!$B$3/100,"DOWN","FLAT")))</f>
        <v/>
      </c>
      <c r="S62" s="177">
        <f>IF(OR(N62="",P62="",J62=""),"",IF(OR(AND(J62="BUY",R62="UP"),AND(J62="SELL",R62="DOWN"),AND(J62="HOLD",R62="FLAT")),"YES","NO"))</f>
        <v/>
      </c>
      <c r="T62" s="176">
        <f>IF(J62="","",IF(J62="BUY",1,IF(J62="SELL",-1,0)))</f>
        <v/>
      </c>
      <c r="U62" s="184">
        <f>IFERROR(IF(OR(J62="",N62="",P62=""),"",IF(T62=0,0,T62*Q62-Settings!$B$4/10000-IF(T62&lt;0,Settings!$B$5/10000,0))),"")</f>
        <v/>
      </c>
      <c r="V62" s="185" t="n"/>
      <c r="W62" s="176">
        <f>IF($K62="","",$K62*60)</f>
        <v/>
      </c>
      <c r="X62" s="186">
        <f>IF($A62="","",$A62&amp;"|"&amp;$C62&amp;"|"&amp;$D62)</f>
        <v/>
      </c>
      <c r="Y62" s="186">
        <f>IFERROR(IF($X62="","",INDEX(LLM_Data_Entry!$H$3:$H$548,MATCH($X62,INDEX(LLM_Data_Entry!$A$3:$A$548&amp;"|"&amp;LLM_Data_Entry!$C$3:$C$548&amp;"|"&amp;LLM_Data_Entry!$D$3:$D$548,0),0))),"")</f>
        <v/>
      </c>
      <c r="Z62" s="186">
        <f>IFERROR(IF($X62="","",INDEX(LLM_Data_Entry!$R$3:$R$548,MATCH($X62,INDEX(LLM_Data_Entry!$A$3:$A$548&amp;"|"&amp;LLM_Data_Entry!$C$3:$C$548&amp;"|"&amp;LLM_Data_Entry!$D$3:$D$548,0),0))),"")</f>
        <v/>
      </c>
      <c r="AA62" s="152" t="n"/>
      <c r="AB62" s="152" t="inlineStr">
        <is>
          <t>release date + stated time</t>
        </is>
      </c>
      <c r="AC62" s="152" t="inlineStr">
        <is>
          <t>TGT</t>
        </is>
      </c>
      <c r="AD62" s="152" t="inlineStr">
        <is>
          <t>2025-11-18</t>
        </is>
      </c>
      <c r="AE62" s="152" t="n">
        <v>86.8184</v>
      </c>
      <c r="AF62" s="152" t="inlineStr">
        <is>
          <t>2025-11-19</t>
        </is>
      </c>
      <c r="AG62" s="152" t="n">
        <v>84.7492</v>
      </c>
      <c r="AH62" s="152" t="n">
        <v>-0.02383377009660183</v>
      </c>
      <c r="AI62" s="152" t="inlineStr">
        <is>
          <t>DOWN</t>
        </is>
      </c>
      <c r="AJ62" s="152" t="inlineStr">
        <is>
          <t>NO</t>
        </is>
      </c>
      <c r="AK62" s="152" t="n">
        <v>0</v>
      </c>
      <c r="AL62" s="152">
        <f>IF($A62="","",IFERROR(INDEX(Company_List!$G$3:$G$207,MATCH($A62,Company_List!$A$3:$A$207,0)),"unassigned"))</f>
        <v/>
      </c>
      <c r="AM62" s="152" t="inlineStr">
        <is>
          <t>Phase 2/Target/2025-Q3/TGT-2025-Q3-earnings-call-transcript-corporate-target-com.pdf</t>
        </is>
      </c>
      <c r="AN62" s="152" t="inlineStr">
        <is>
          <t>https://corporate.target.com/getmedia/1b701222-ff3c-4f65-b4b7-d0de5511f9a4/TGT-Transcript-2025-11-19.pdf</t>
        </is>
      </c>
      <c r="AO62" s="152" t="inlineStr">
        <is>
          <t>manifest</t>
        </is>
      </c>
      <c r="AP62" s="152">
        <f>IF($A62="","",IF(COUNTIFS(LLM_Data_Entry!$A$3:$A$548,$A62)&gt;0,"YES","NO"))</f>
        <v/>
      </c>
      <c r="AQ62" s="152">
        <f>IF($A62="","",IF(COUNTIFS($A$3:$A62,$A62,$C$3:$C62,$C62,$D$3:$D62,$D62)=1,"YES","NO"))</f>
        <v/>
      </c>
      <c r="AR62" s="152">
        <f>IF($A62="","",IF(AND($C62&amp;"-"&amp;$D62&gt;=Settings!$B$19,$C62&amp;"-"&amp;$D62&lt;=Settings!$B$20),"IN","OUT"))</f>
        <v/>
      </c>
      <c r="AS62" s="152">
        <f>IF($A62="","",IF($F62="Financial Results","financials",IF($F62="Outlook/Guidance","guidance",IF($F62="Transcript Q&amp;A","qanda",IF($F62="","unrecorded",IF($E62="All","full",IF($E62="","unrecorded",LOWER($E62)&amp;" only")))))))</f>
        <v/>
      </c>
      <c r="AT62" s="152">
        <f>IF(AND(OR($J62="BUY",$J62="SELL"),ISNUMBER($U62)),$U62,"")</f>
        <v/>
      </c>
      <c r="AU62" s="152">
        <f>IF(AND(OR($J62="BUY",$J62="SELL"),ISNUMBER($AK62)),$AK62,"")</f>
        <v/>
      </c>
      <c r="AV62" s="152">
        <f>IF(ISNUMBER($AT62),ABS(IF(ISNUMBER($I62),$I62,0)-Settings!$B$24),"")</f>
        <v/>
      </c>
      <c r="AW62" s="152">
        <f>IF(ISNUMBER($AV62),$AV62*$AT62,"")</f>
        <v/>
      </c>
      <c r="AX62" s="152">
        <f>IF(ISNUMBER($AU62),ABS(IF(ISNUMBER($I62),$I62,0)-Settings!$B$24),"")</f>
        <v/>
      </c>
      <c r="AY62" s="152" t="inlineStr">
        <is>
          <t>FROZEN</t>
        </is>
      </c>
      <c r="AZ62" s="152">
        <f>IF($A62="","",IFERROR(INDEX(Company_List!$H$3:$H$207,MATCH($A62,Company_List!$A$3:$A$207,0)),"unassigned"))</f>
        <v/>
      </c>
      <c r="BA62" s="152" t="n"/>
      <c r="BB62" s="152" t="n"/>
      <c r="BC62" s="152">
        <f>IF($A62="","",IF(COUNTIFS($A$3:$A62,$A62,$C$3:$C62,$C62,$D$3:$D62,$D62,$G$3:$G62,$G62)=1,1,0))</f>
        <v/>
      </c>
      <c r="BD62" s="152" t="n"/>
      <c r="BE62" s="152" t="n"/>
      <c r="BF62" s="152" t="n"/>
      <c r="BG62" s="152" t="inlineStr">
        <is>
          <t>no</t>
        </is>
      </c>
      <c r="BH62" s="152" t="n"/>
      <c r="BI62" s="152" t="n"/>
      <c r="BJ62" s="152" t="n"/>
      <c r="BK62" s="152">
        <f>IF(OR($H62&lt;&gt;"Human",$S62="",$J62="",$Y62="",$Z62=""),"",IF(EXACT(UPPER($J62),UPPER($Y62)),1,0))</f>
        <v/>
      </c>
      <c r="BL62" s="152" t="inlineStr">
        <is>
          <t>assumed - no rater record</t>
        </is>
      </c>
      <c r="BM62" s="152" t="n">
        <v>1</v>
      </c>
      <c r="BN62" s="152" t="inlineStr">
        <is>
          <t>Refinitiv / LSEG StreetEvents</t>
        </is>
      </c>
      <c r="BO62" s="152" t="inlineStr">
        <is>
          <t>licensed vendor</t>
        </is>
      </c>
      <c r="BP62" s="152" t="inlineStr">
        <is>
          <t>no</t>
        </is>
      </c>
      <c r="BQ62" s="152" t="inlineStr">
        <is>
          <t>yes</t>
        </is>
      </c>
      <c r="BR62" s="152" t="n"/>
      <c r="BS62" s="152" t="inlineStr">
        <is>
          <t>YES</t>
        </is>
      </c>
      <c r="BT62" s="152" t="n"/>
    </row>
    <row r="63" ht="15" customHeight="1" s="241">
      <c r="A63" s="174" t="inlineStr">
        <is>
          <t>Target</t>
        </is>
      </c>
      <c r="B63" s="175">
        <f>IF(A63="","",_xlfn.XLOOKUP(A63, Company_List!$A:$A, Company_List!$B:$B, ""))</f>
        <v/>
      </c>
      <c r="C63" s="176" t="n">
        <v>2026</v>
      </c>
      <c r="D63" s="177" t="inlineStr">
        <is>
          <t>Q1</t>
        </is>
      </c>
      <c r="E63" s="178" t="inlineStr">
        <is>
          <t>Transcript</t>
        </is>
      </c>
      <c r="F63" s="178" t="inlineStr">
        <is>
          <t>All</t>
        </is>
      </c>
      <c r="G63" s="177" t="inlineStr">
        <is>
          <t>Anna</t>
        </is>
      </c>
      <c r="H63" s="177" t="inlineStr">
        <is>
          <t>Human</t>
        </is>
      </c>
      <c r="I63" s="179" t="n">
        <v>0.4</v>
      </c>
      <c r="J63" s="180">
        <f>IF(OR(I63="",Settings!$B$6=""),"",IF(I63&gt;Settings!$B$6,"BUY",IF(I63&lt;-Settings!$B$6,"SELL","HOLD")))</f>
        <v/>
      </c>
      <c r="K63" s="181" t="n">
        <v>29</v>
      </c>
      <c r="L63" s="182" t="n">
        <v>46162</v>
      </c>
      <c r="M63" s="182" t="n">
        <v>46161</v>
      </c>
      <c r="N63" s="179" t="n">
        <v>127.24</v>
      </c>
      <c r="O63" s="182" t="n">
        <v>46162</v>
      </c>
      <c r="P63" s="183" t="n">
        <v>120.21</v>
      </c>
      <c r="Q63" s="184">
        <f>IF(OR(N63="",P63=""),"",ROUND((P63-N63)/N63,4))</f>
        <v/>
      </c>
      <c r="R63" s="177">
        <f>IF(OR(N63="",P63=""),"",IF(Q63&gt;Settings!$B$3/100,"UP",IF(Q63&lt;-Settings!$B$3/100,"DOWN","FLAT")))</f>
        <v/>
      </c>
      <c r="S63" s="177">
        <f>IF(OR(N63="",P63="",J63=""),"",IF(OR(AND(J63="BUY",R63="UP"),AND(J63="SELL",R63="DOWN"),AND(J63="HOLD",R63="FLAT")),"YES","NO"))</f>
        <v/>
      </c>
      <c r="T63" s="176">
        <f>IF(J63="","",IF(J63="BUY",1,IF(J63="SELL",-1,0)))</f>
        <v/>
      </c>
      <c r="U63" s="184">
        <f>IFERROR(IF(OR(J63="",N63="",P63=""),"",IF(T63=0,0,T63*Q63-Settings!$B$4/10000-IF(T63&lt;0,Settings!$B$5/10000,0))),"")</f>
        <v/>
      </c>
      <c r="V63" s="185" t="n"/>
      <c r="W63" s="176">
        <f>IF($K63="","",$K63*60)</f>
        <v/>
      </c>
      <c r="X63" s="186">
        <f>IF($A63="","",$A63&amp;"|"&amp;$C63&amp;"|"&amp;$D63)</f>
        <v/>
      </c>
      <c r="Y63" s="186">
        <f>IFERROR(IF($X63="","",INDEX(LLM_Data_Entry!$H$3:$H$548,MATCH($X63,INDEX(LLM_Data_Entry!$A$3:$A$548&amp;"|"&amp;LLM_Data_Entry!$C$3:$C$548&amp;"|"&amp;LLM_Data_Entry!$D$3:$D$548,0),0))),"")</f>
        <v/>
      </c>
      <c r="Z63" s="186">
        <f>IFERROR(IF($X63="","",INDEX(LLM_Data_Entry!$R$3:$R$548,MATCH($X63,INDEX(LLM_Data_Entry!$A$3:$A$548&amp;"|"&amp;LLM_Data_Entry!$C$3:$C$548&amp;"|"&amp;LLM_Data_Entry!$D$3:$D$548,0),0))),"")</f>
        <v/>
      </c>
      <c r="AA63" s="152" t="n"/>
      <c r="AB63" s="152" t="inlineStr">
        <is>
          <t>release date + stated time</t>
        </is>
      </c>
      <c r="AC63" s="152" t="inlineStr">
        <is>
          <t>TGT</t>
        </is>
      </c>
      <c r="AD63" s="152" t="inlineStr">
        <is>
          <t>2026-05-19</t>
        </is>
      </c>
      <c r="AE63" s="152" t="n">
        <v>127.24</v>
      </c>
      <c r="AF63" s="152" t="inlineStr">
        <is>
          <t>2026-05-20</t>
        </is>
      </c>
      <c r="AG63" s="152" t="n">
        <v>120.21</v>
      </c>
      <c r="AH63" s="152" t="n">
        <v>-0.05524991441763465</v>
      </c>
      <c r="AI63" s="152" t="inlineStr">
        <is>
          <t>DOWN</t>
        </is>
      </c>
      <c r="AJ63" s="152" t="inlineStr">
        <is>
          <t>NO</t>
        </is>
      </c>
      <c r="AK63" s="152" t="n">
        <v>-0.05625</v>
      </c>
      <c r="AL63" s="152">
        <f>IF($A63="","",IFERROR(INDEX(Company_List!$G$3:$G$207,MATCH($A63,Company_List!$A$3:$A$207,0)),"unassigned"))</f>
        <v/>
      </c>
      <c r="AM63" s="152" t="inlineStr">
        <is>
          <t>Phase 2/Target/2026-Q1/TGT-2026-Q1-earnings-call-transcript-fool-com.html</t>
        </is>
      </c>
      <c r="AN63" s="152" t="inlineStr">
        <is>
          <t>https://www.fool.com/earnings/call-transcripts/2026/05/20/target-tgt-q1-2026-earnings-call-transcript/</t>
        </is>
      </c>
      <c r="AO63" s="152" t="inlineStr">
        <is>
          <t>manifest</t>
        </is>
      </c>
      <c r="AP63" s="152">
        <f>IF($A63="","",IF(COUNTIFS(LLM_Data_Entry!$A$3:$A$548,$A63)&gt;0,"YES","NO"))</f>
        <v/>
      </c>
      <c r="AQ63" s="152">
        <f>IF($A63="","",IF(COUNTIFS($A$3:$A63,$A63,$C$3:$C63,$C63,$D$3:$D63,$D63)=1,"YES","NO"))</f>
        <v/>
      </c>
      <c r="AR63" s="152">
        <f>IF($A63="","",IF(AND($C63&amp;"-"&amp;$D63&gt;=Settings!$B$19,$C63&amp;"-"&amp;$D63&lt;=Settings!$B$20),"IN","OUT"))</f>
        <v/>
      </c>
      <c r="AS63" s="152">
        <f>IF($A63="","",IF($F63="Financial Results","financials",IF($F63="Outlook/Guidance","guidance",IF($F63="Transcript Q&amp;A","qanda",IF($F63="","unrecorded",IF($E63="All","full",IF($E63="","unrecorded",LOWER($E63)&amp;" only")))))))</f>
        <v/>
      </c>
      <c r="AT63" s="152">
        <f>IF(AND(OR($J63="BUY",$J63="SELL"),ISNUMBER($U63)),$U63,"")</f>
        <v/>
      </c>
      <c r="AU63" s="152">
        <f>IF(AND(OR($J63="BUY",$J63="SELL"),ISNUMBER($AK63)),$AK63,"")</f>
        <v/>
      </c>
      <c r="AV63" s="152">
        <f>IF(ISNUMBER($AT63),ABS(IF(ISNUMBER($I63),$I63,0)-Settings!$B$24),"")</f>
        <v/>
      </c>
      <c r="AW63" s="152">
        <f>IF(ISNUMBER($AV63),$AV63*$AT63,"")</f>
        <v/>
      </c>
      <c r="AX63" s="152">
        <f>IF(ISNUMBER($AU63),ABS(IF(ISNUMBER($I63),$I63,0)-Settings!$B$24),"")</f>
        <v/>
      </c>
      <c r="AY63" s="152" t="inlineStr">
        <is>
          <t>FROZEN</t>
        </is>
      </c>
      <c r="AZ63" s="152">
        <f>IF($A63="","",IFERROR(INDEX(Company_List!$H$3:$H$207,MATCH($A63,Company_List!$A$3:$A$207,0)),"unassigned"))</f>
        <v/>
      </c>
      <c r="BA63" s="152" t="n"/>
      <c r="BB63" s="152" t="n"/>
      <c r="BC63" s="152">
        <f>IF($A63="","",IF(COUNTIFS($A$3:$A63,$A63,$C$3:$C63,$C63,$D$3:$D63,$D63,$G$3:$G63,$G63)=1,1,0))</f>
        <v/>
      </c>
      <c r="BD63" s="152" t="n"/>
      <c r="BE63" s="152" t="n"/>
      <c r="BF63" s="152" t="n"/>
      <c r="BG63" s="152" t="inlineStr">
        <is>
          <t>no</t>
        </is>
      </c>
      <c r="BH63" s="152" t="n"/>
      <c r="BI63" s="152" t="n"/>
      <c r="BJ63" s="152" t="n"/>
      <c r="BK63" s="152">
        <f>IF(OR($H63&lt;&gt;"Human",$S63="",$J63="",$Y63="",$Z63=""),"",IF(EXACT(UPPER($J63),UPPER($Y63)),1,0))</f>
        <v/>
      </c>
      <c r="BL63" s="152" t="inlineStr">
        <is>
          <t>assumed - no rater record</t>
        </is>
      </c>
      <c r="BM63" s="152" t="n">
        <v>1</v>
      </c>
      <c r="BN63" s="152" t="inlineStr">
        <is>
          <t>The Motley Fool</t>
        </is>
      </c>
      <c r="BO63" s="152" t="inlineStr">
        <is>
          <t>free to read, copyright asserted</t>
        </is>
      </c>
      <c r="BP63" s="152" t="inlineStr">
        <is>
          <t>no</t>
        </is>
      </c>
      <c r="BQ63" s="152" t="inlineStr">
        <is>
          <t>yes</t>
        </is>
      </c>
      <c r="BR63" s="152" t="n"/>
      <c r="BS63" s="152" t="inlineStr">
        <is>
          <t>YES</t>
        </is>
      </c>
      <c r="BT63" s="152" t="n"/>
    </row>
    <row r="64" ht="15" customHeight="1" s="241">
      <c r="A64" s="174" t="inlineStr">
        <is>
          <t>Nike</t>
        </is>
      </c>
      <c r="B64" s="175">
        <f>IF(A64="","",_xlfn.XLOOKUP(A64, Company_List!$A:$A, Company_List!$B:$B, ""))</f>
        <v/>
      </c>
      <c r="C64" s="176" t="n">
        <v>2025</v>
      </c>
      <c r="D64" s="177" t="inlineStr">
        <is>
          <t>Q1</t>
        </is>
      </c>
      <c r="E64" s="178" t="inlineStr">
        <is>
          <t>All</t>
        </is>
      </c>
      <c r="F64" s="178" t="inlineStr">
        <is>
          <t>All</t>
        </is>
      </c>
      <c r="G64" s="177" t="inlineStr">
        <is>
          <t>Meriem</t>
        </is>
      </c>
      <c r="H64" s="177" t="inlineStr">
        <is>
          <t>Human</t>
        </is>
      </c>
      <c r="I64" s="179" t="n">
        <v>-0.5</v>
      </c>
      <c r="J64" s="180">
        <f>IF(OR(I64="",Settings!$B$6=""),"",IF(I64&gt;Settings!$B$6,"BUY",IF(I64&lt;-Settings!$B$6,"SELL","HOLD")))</f>
        <v/>
      </c>
      <c r="K64" s="181" t="n">
        <v>19</v>
      </c>
      <c r="L64" s="182" t="n">
        <v>45566</v>
      </c>
      <c r="M64" s="182" t="n">
        <v>45566</v>
      </c>
      <c r="N64" s="179" t="n">
        <v>89.13</v>
      </c>
      <c r="O64" s="182" t="n">
        <v>45567</v>
      </c>
      <c r="P64" s="183" t="n">
        <v>82.89</v>
      </c>
      <c r="Q64" s="184">
        <f>IF(OR(N64="",P64=""),"",ROUND((P64-N64)/N64,4))</f>
        <v/>
      </c>
      <c r="R64" s="177">
        <f>IF(OR(N64="",P64=""),"",IF(Q64&gt;Settings!$B$3/100,"UP",IF(Q64&lt;-Settings!$B$3/100,"DOWN","FLAT")))</f>
        <v/>
      </c>
      <c r="S64" s="177">
        <f>IF(OR(N64="",P64="",J64=""),"",IF(OR(AND(J64="BUY",R64="UP"),AND(J64="SELL",R64="DOWN"),AND(J64="HOLD",R64="FLAT")),"YES","NO"))</f>
        <v/>
      </c>
      <c r="T64" s="176">
        <f>IF(J64="","",IF(J64="BUY",1,IF(J64="SELL",-1,0)))</f>
        <v/>
      </c>
      <c r="U64" s="184">
        <f>IFERROR(IF(OR(J64="",N64="",P64=""),"",IF(T64=0,0,T64*Q64-Settings!$B$4/10000-IF(T64&lt;0,Settings!$B$5/10000,0))),"")</f>
        <v/>
      </c>
      <c r="V64" s="185" t="inlineStr">
        <is>
          <t>new CEO; said bouncing back takes time; revenue down 10% and diluted EPS down 26%; no outlook for next quarter or year</t>
        </is>
      </c>
      <c r="W64" s="176">
        <f>IF($K64="","",$K64*60)</f>
        <v/>
      </c>
      <c r="X64" s="186">
        <f>IF($A64="","",$A64&amp;"|"&amp;$C64&amp;"|"&amp;$D64)</f>
        <v/>
      </c>
      <c r="Y64" s="186">
        <f>IFERROR(IF($X64="","",INDEX(LLM_Data_Entry!$H$3:$H$548,MATCH($X64,INDEX(LLM_Data_Entry!$A$3:$A$548&amp;"|"&amp;LLM_Data_Entry!$C$3:$C$548&amp;"|"&amp;LLM_Data_Entry!$D$3:$D$548,0),0))),"")</f>
        <v/>
      </c>
      <c r="Z64" s="186">
        <f>IFERROR(IF($X64="","",INDEX(LLM_Data_Entry!$R$3:$R$548,MATCH($X64,INDEX(LLM_Data_Entry!$A$3:$A$548&amp;"|"&amp;LLM_Data_Entry!$C$3:$C$548&amp;"|"&amp;LLM_Data_Entry!$D$3:$D$548,0),0))),"")</f>
        <v/>
      </c>
      <c r="AA64" s="152" t="n"/>
      <c r="AB64" s="152" t="inlineStr">
        <is>
          <t>price signal — only this window shows an abnormal move</t>
        </is>
      </c>
      <c r="AC64" s="152" t="inlineStr">
        <is>
          <t>NKE</t>
        </is>
      </c>
      <c r="AD64" s="152" t="inlineStr">
        <is>
          <t>2024-10-01</t>
        </is>
      </c>
      <c r="AE64" s="152" t="n">
        <v>85.3074</v>
      </c>
      <c r="AF64" s="152" t="inlineStr">
        <is>
          <t>2024-10-02</t>
        </is>
      </c>
      <c r="AG64" s="152" t="n">
        <v>79.33499999999999</v>
      </c>
      <c r="AH64" s="152" t="n">
        <v>-0.07001015486395322</v>
      </c>
      <c r="AI64" s="152" t="inlineStr">
        <is>
          <t>DOWN</t>
        </is>
      </c>
      <c r="AJ64" s="152" t="inlineStr">
        <is>
          <t>YES</t>
        </is>
      </c>
      <c r="AK64" s="152" t="n">
        <v>0.06901</v>
      </c>
      <c r="AL64" s="152">
        <f>IF($A64="","",IFERROR(INDEX(Company_List!$G$3:$G$207,MATCH($A64,Company_List!$A$3:$A$207,0)),"unassigned"))</f>
        <v/>
      </c>
      <c r="AM64" s="152" t="inlineStr">
        <is>
          <t>Phase 2/Nike/Q1 2025 Earnings Call Transcript.pdf; Phase 2/Nike/Q1 2025 - numbers.pdf</t>
        </is>
      </c>
      <c r="AN64" s="152" t="n"/>
      <c r="AO64" s="152" t="inlineStr">
        <is>
          <t>whole bundle (Document = All)</t>
        </is>
      </c>
      <c r="AP64" s="152">
        <f>IF($A64="","",IF(COUNTIFS(LLM_Data_Entry!$A$3:$A$548,$A64)&gt;0,"YES","NO"))</f>
        <v/>
      </c>
      <c r="AQ64" s="152">
        <f>IF($A64="","",IF(COUNTIFS($A$3:$A64,$A64,$C$3:$C64,$C64,$D$3:$D64,$D64)=1,"YES","NO"))</f>
        <v/>
      </c>
      <c r="AR64" s="152">
        <f>IF($A64="","",IF(AND($C64&amp;"-"&amp;$D64&gt;=Settings!$B$19,$C64&amp;"-"&amp;$D64&lt;=Settings!$B$20),"IN","OUT"))</f>
        <v/>
      </c>
      <c r="AS64" s="152">
        <f>IF($A64="","",IF($F64="Financial Results","financials",IF($F64="Outlook/Guidance","guidance",IF($F64="Transcript Q&amp;A","qanda",IF($F64="","unrecorded",IF($E64="All","full",IF($E64="","unrecorded",LOWER($E64)&amp;" only")))))))</f>
        <v/>
      </c>
      <c r="AT64" s="152">
        <f>IF(AND(OR($J64="BUY",$J64="SELL"),ISNUMBER($U64)),$U64,"")</f>
        <v/>
      </c>
      <c r="AU64" s="152">
        <f>IF(AND(OR($J64="BUY",$J64="SELL"),ISNUMBER($AK64)),$AK64,"")</f>
        <v/>
      </c>
      <c r="AV64" s="152">
        <f>IF(ISNUMBER($AT64),ABS(IF(ISNUMBER($I64),$I64,0)-Settings!$B$24),"")</f>
        <v/>
      </c>
      <c r="AW64" s="152">
        <f>IF(ISNUMBER($AV64),$AV64*$AT64,"")</f>
        <v/>
      </c>
      <c r="AX64" s="152">
        <f>IF(ISNUMBER($AU64),ABS(IF(ISNUMBER($I64),$I64,0)-Settings!$B$24),"")</f>
        <v/>
      </c>
      <c r="AY64" s="152" t="inlineStr">
        <is>
          <t>FROZEN</t>
        </is>
      </c>
      <c r="AZ64" s="152">
        <f>IF($A64="","",IFERROR(INDEX(Company_List!$H$3:$H$207,MATCH($A64,Company_List!$A$3:$A$207,0)),"unassigned"))</f>
        <v/>
      </c>
      <c r="BA64" s="152" t="n"/>
      <c r="BB64" s="152" t="n"/>
      <c r="BC64" s="152">
        <f>IF($A64="","",IF(COUNTIFS($A$3:$A64,$A64,$C$3:$C64,$C64,$D$3:$D64,$D64,$G$3:$G64,$G64)=1,1,0))</f>
        <v/>
      </c>
      <c r="BD64" s="152" t="n"/>
      <c r="BE64" s="152" t="n"/>
      <c r="BF64" s="152" t="n"/>
      <c r="BG64" s="152" t="inlineStr">
        <is>
          <t>no</t>
        </is>
      </c>
      <c r="BH64" s="152" t="n"/>
      <c r="BI64" s="152" t="n"/>
      <c r="BJ64" s="152" t="n"/>
      <c r="BK64" s="152">
        <f>IF(OR($H64&lt;&gt;"Human",$S64="",$J64="",$Y64="",$Z64=""),"",IF(EXACT(UPPER($J64),UPPER($Y64)),1,0))</f>
        <v/>
      </c>
      <c r="BL64" s="152" t="inlineStr">
        <is>
          <t>assumed - no rater record</t>
        </is>
      </c>
      <c r="BM64" s="152" t="n">
        <v>2</v>
      </c>
      <c r="BN64" s="152" t="inlineStr">
        <is>
          <t>The Motley Fool</t>
        </is>
      </c>
      <c r="BO64" s="152" t="inlineStr">
        <is>
          <t>free to read, copyright asserted</t>
        </is>
      </c>
      <c r="BP64" s="152" t="inlineStr">
        <is>
          <t>no</t>
        </is>
      </c>
      <c r="BQ64" s="152" t="inlineStr">
        <is>
          <t>no</t>
        </is>
      </c>
      <c r="BR64" s="152" t="n"/>
      <c r="BS64" s="152" t="inlineStr">
        <is>
          <t>YES</t>
        </is>
      </c>
      <c r="BT64" s="152" t="n"/>
    </row>
    <row r="65" ht="15" customHeight="1" s="241">
      <c r="A65" s="174" t="inlineStr">
        <is>
          <t>Nike</t>
        </is>
      </c>
      <c r="B65" s="175">
        <f>IF(A65="","",_xlfn.XLOOKUP(A65, Company_List!$A:$A, Company_List!$B:$B, ""))</f>
        <v/>
      </c>
      <c r="C65" s="176" t="n">
        <v>2025</v>
      </c>
      <c r="D65" s="177" t="inlineStr">
        <is>
          <t>Q2</t>
        </is>
      </c>
      <c r="E65" s="178" t="inlineStr">
        <is>
          <t>All</t>
        </is>
      </c>
      <c r="F65" s="178" t="inlineStr">
        <is>
          <t>All</t>
        </is>
      </c>
      <c r="G65" s="177" t="inlineStr">
        <is>
          <t>Meriem</t>
        </is>
      </c>
      <c r="H65" s="177" t="inlineStr">
        <is>
          <t>Human</t>
        </is>
      </c>
      <c r="I65" s="179" t="n">
        <v>-0.3</v>
      </c>
      <c r="J65" s="180">
        <f>IF(OR(I65="",Settings!$B$6=""),"",IF(I65&gt;Settings!$B$6,"BUY",IF(I65&lt;-Settings!$B$6,"SELL","HOLD")))</f>
        <v/>
      </c>
      <c r="K65" s="181" t="n">
        <v>25</v>
      </c>
      <c r="L65" s="182" t="n">
        <v>45645</v>
      </c>
      <c r="M65" s="182" t="n">
        <v>45645</v>
      </c>
      <c r="N65" s="179" t="n">
        <v>77.09999999999999</v>
      </c>
      <c r="O65" s="182" t="n">
        <v>45646</v>
      </c>
      <c r="P65" s="183" t="n">
        <v>75.95999999999999</v>
      </c>
      <c r="Q65" s="184">
        <f>IF(OR(N65="",P65=""),"",ROUND((P65-N65)/N65,4))</f>
        <v/>
      </c>
      <c r="R65" s="177">
        <f>IF(OR(N65="",P65=""),"",IF(Q65&gt;Settings!$B$3/100,"UP",IF(Q65&lt;-Settings!$B$3/100,"DOWN","FLAT")))</f>
        <v/>
      </c>
      <c r="S65" s="177">
        <f>IF(OR(N65="",P65="",J65=""),"",IF(OR(AND(J65="BUY",R65="UP"),AND(J65="SELL",R65="DOWN"),AND(J65="HOLD",R65="FLAT")),"YES","NO"))</f>
        <v/>
      </c>
      <c r="T65" s="176">
        <f>IF(J65="","",IF(J65="BUY",1,IF(J65="SELL",-1,0)))</f>
        <v/>
      </c>
      <c r="U65" s="184">
        <f>IFERROR(IF(OR(J65="",N65="",P65=""),"",IF(T65=0,0,T65*Q65-Settings!$B$4/10000-IF(T65&lt;0,Settings!$B$5/10000,0))),"")</f>
        <v/>
      </c>
      <c r="V65" s="185" t="inlineStr">
        <is>
          <t>still with new CEO so lots of changes being implemented and some chaos; revenue still down but slightly getting better hence the less aggressive sentiment score</t>
        </is>
      </c>
      <c r="W65" s="176">
        <f>IF($K65="","",$K65*60)</f>
        <v/>
      </c>
      <c r="X65" s="186">
        <f>IF($A65="","",$A65&amp;"|"&amp;$C65&amp;"|"&amp;$D65)</f>
        <v/>
      </c>
      <c r="Y65" s="186">
        <f>IFERROR(IF($X65="","",INDEX(LLM_Data_Entry!$H$3:$H$548,MATCH($X65,INDEX(LLM_Data_Entry!$A$3:$A$548&amp;"|"&amp;LLM_Data_Entry!$C$3:$C$548&amp;"|"&amp;LLM_Data_Entry!$D$3:$D$548,0),0))),"")</f>
        <v/>
      </c>
      <c r="Z65" s="186">
        <f>IFERROR(IF($X65="","",INDEX(LLM_Data_Entry!$R$3:$R$548,MATCH($X65,INDEX(LLM_Data_Entry!$A$3:$A$548&amp;"|"&amp;LLM_Data_Entry!$C$3:$C$548&amp;"|"&amp;LLM_Data_Entry!$D$3:$D$548,0),0))),"")</f>
        <v/>
      </c>
      <c r="AA65" s="152" t="n"/>
      <c r="AB65" s="152" t="inlineStr">
        <is>
          <t>earnings calendar, seconded independently</t>
        </is>
      </c>
      <c r="AC65" s="152" t="inlineStr">
        <is>
          <t>NKE</t>
        </is>
      </c>
      <c r="AD65" s="152" t="inlineStr">
        <is>
          <t>2024-12-19</t>
        </is>
      </c>
      <c r="AE65" s="152" t="n">
        <v>74.17</v>
      </c>
      <c r="AF65" s="152" t="inlineStr">
        <is>
          <t>2024-12-20</t>
        </is>
      </c>
      <c r="AG65" s="152" t="n">
        <v>73.0733</v>
      </c>
      <c r="AH65" s="152" t="n">
        <v>-0.014786076089275</v>
      </c>
      <c r="AI65" s="152" t="inlineStr">
        <is>
          <t>FLAT</t>
        </is>
      </c>
      <c r="AJ65" s="152" t="inlineStr">
        <is>
          <t>NO</t>
        </is>
      </c>
      <c r="AK65" s="152" t="n">
        <v>0.013786</v>
      </c>
      <c r="AL65" s="152">
        <f>IF($A65="","",IFERROR(INDEX(Company_List!$G$3:$G$207,MATCH($A65,Company_List!$A$3:$A$207,0)),"unassigned"))</f>
        <v/>
      </c>
      <c r="AM65" s="152" t="inlineStr">
        <is>
          <t>Phase 2/Nike/Q2 2025 Earnings Call Transcript.pdf; Phase 2/Nike/Q2 2025 - numbers.pdf</t>
        </is>
      </c>
      <c r="AN65" s="152" t="n"/>
      <c r="AO65" s="152" t="inlineStr">
        <is>
          <t>whole bundle (Document = All)</t>
        </is>
      </c>
      <c r="AP65" s="152">
        <f>IF($A65="","",IF(COUNTIFS(LLM_Data_Entry!$A$3:$A$548,$A65)&gt;0,"YES","NO"))</f>
        <v/>
      </c>
      <c r="AQ65" s="152">
        <f>IF($A65="","",IF(COUNTIFS($A$3:$A65,$A65,$C$3:$C65,$C65,$D$3:$D65,$D65)=1,"YES","NO"))</f>
        <v/>
      </c>
      <c r="AR65" s="152">
        <f>IF($A65="","",IF(AND($C65&amp;"-"&amp;$D65&gt;=Settings!$B$19,$C65&amp;"-"&amp;$D65&lt;=Settings!$B$20),"IN","OUT"))</f>
        <v/>
      </c>
      <c r="AS65" s="152">
        <f>IF($A65="","",IF($F65="Financial Results","financials",IF($F65="Outlook/Guidance","guidance",IF($F65="Transcript Q&amp;A","qanda",IF($F65="","unrecorded",IF($E65="All","full",IF($E65="","unrecorded",LOWER($E65)&amp;" only")))))))</f>
        <v/>
      </c>
      <c r="AT65" s="152">
        <f>IF(AND(OR($J65="BUY",$J65="SELL"),ISNUMBER($U65)),$U65,"")</f>
        <v/>
      </c>
      <c r="AU65" s="152">
        <f>IF(AND(OR($J65="BUY",$J65="SELL"),ISNUMBER($AK65)),$AK65,"")</f>
        <v/>
      </c>
      <c r="AV65" s="152">
        <f>IF(ISNUMBER($AT65),ABS(IF(ISNUMBER($I65),$I65,0)-Settings!$B$24),"")</f>
        <v/>
      </c>
      <c r="AW65" s="152">
        <f>IF(ISNUMBER($AV65),$AV65*$AT65,"")</f>
        <v/>
      </c>
      <c r="AX65" s="152">
        <f>IF(ISNUMBER($AU65),ABS(IF(ISNUMBER($I65),$I65,0)-Settings!$B$24),"")</f>
        <v/>
      </c>
      <c r="AY65" s="152" t="inlineStr">
        <is>
          <t>FROZEN</t>
        </is>
      </c>
      <c r="AZ65" s="152">
        <f>IF($A65="","",IFERROR(INDEX(Company_List!$H$3:$H$207,MATCH($A65,Company_List!$A$3:$A$207,0)),"unassigned"))</f>
        <v/>
      </c>
      <c r="BA65" s="152" t="n"/>
      <c r="BB65" s="152" t="n"/>
      <c r="BC65" s="152">
        <f>IF($A65="","",IF(COUNTIFS($A$3:$A65,$A65,$C$3:$C65,$C65,$D$3:$D65,$D65,$G$3:$G65,$G65)=1,1,0))</f>
        <v/>
      </c>
      <c r="BD65" s="152" t="n"/>
      <c r="BE65" s="152" t="n"/>
      <c r="BF65" s="152" t="n"/>
      <c r="BG65" s="152" t="inlineStr">
        <is>
          <t>no</t>
        </is>
      </c>
      <c r="BH65" s="152" t="n"/>
      <c r="BI65" s="152" t="n"/>
      <c r="BJ65" s="152" t="n"/>
      <c r="BK65" s="152">
        <f>IF(OR($H65&lt;&gt;"Human",$S65="",$J65="",$Y65="",$Z65=""),"",IF(EXACT(UPPER($J65),UPPER($Y65)),1,0))</f>
        <v/>
      </c>
      <c r="BL65" s="152" t="inlineStr">
        <is>
          <t>assumed - no rater record</t>
        </is>
      </c>
      <c r="BM65" s="152" t="n">
        <v>2</v>
      </c>
      <c r="BN65" s="152" t="inlineStr">
        <is>
          <t>The Motley Fool</t>
        </is>
      </c>
      <c r="BO65" s="152" t="inlineStr">
        <is>
          <t>free to read, copyright asserted</t>
        </is>
      </c>
      <c r="BP65" s="152" t="inlineStr">
        <is>
          <t>no</t>
        </is>
      </c>
      <c r="BQ65" s="152" t="inlineStr">
        <is>
          <t>no</t>
        </is>
      </c>
      <c r="BR65" s="152" t="n"/>
      <c r="BS65" s="152" t="inlineStr">
        <is>
          <t>YES</t>
        </is>
      </c>
      <c r="BT65" s="152" t="n"/>
    </row>
    <row r="66" ht="15" customHeight="1" s="241">
      <c r="A66" s="174" t="inlineStr">
        <is>
          <t>Nike</t>
        </is>
      </c>
      <c r="B66" s="175">
        <f>IF(A66="","",_xlfn.XLOOKUP(A66, Company_List!$A:$A, Company_List!$B:$B, ""))</f>
        <v/>
      </c>
      <c r="C66" s="176" t="n">
        <v>2025</v>
      </c>
      <c r="D66" s="177" t="inlineStr">
        <is>
          <t>Q3</t>
        </is>
      </c>
      <c r="E66" s="178" t="inlineStr">
        <is>
          <t>All</t>
        </is>
      </c>
      <c r="F66" s="178" t="inlineStr">
        <is>
          <t>All</t>
        </is>
      </c>
      <c r="G66" s="177" t="inlineStr">
        <is>
          <t>Meriem</t>
        </is>
      </c>
      <c r="H66" s="177" t="inlineStr">
        <is>
          <t>Human</t>
        </is>
      </c>
      <c r="I66" s="179" t="n">
        <v>-0.5</v>
      </c>
      <c r="J66" s="180">
        <f>IF(OR(I66="",Settings!$B$6=""),"",IF(I66&gt;Settings!$B$6,"BUY",IF(I66&lt;-Settings!$B$6,"SELL","HOLD")))</f>
        <v/>
      </c>
      <c r="K66" s="181" t="n">
        <v>25</v>
      </c>
      <c r="L66" s="182" t="n">
        <v>45736</v>
      </c>
      <c r="M66" s="182" t="n">
        <v>45736</v>
      </c>
      <c r="N66" s="179" t="n">
        <v>71.86</v>
      </c>
      <c r="O66" s="182" t="n">
        <v>45737</v>
      </c>
      <c r="P66" s="183" t="n">
        <v>66.59</v>
      </c>
      <c r="Q66" s="184">
        <f>IF(OR(N66="",P66=""),"",ROUND((P66-N66)/N66,4))</f>
        <v/>
      </c>
      <c r="R66" s="177">
        <f>IF(OR(N66="",P66=""),"",IF(Q66&gt;Settings!$B$3/100,"UP",IF(Q66&lt;-Settings!$B$3/100,"DOWN","FLAT")))</f>
        <v/>
      </c>
      <c r="S66" s="177">
        <f>IF(OR(N66="",P66="",J66=""),"",IF(OR(AND(J66="BUY",R66="UP"),AND(J66="SELL",R66="DOWN"),AND(J66="HOLD",R66="FLAT")),"YES","NO"))</f>
        <v/>
      </c>
      <c r="T66" s="176">
        <f>IF(J66="","",IF(J66="BUY",1,IF(J66="SELL",-1,0)))</f>
        <v/>
      </c>
      <c r="U66" s="184">
        <f>IFERROR(IF(OR(J66="",N66="",P66=""),"",IF(T66=0,0,T66*Q66-Settings!$B$4/10000-IF(T66&lt;0,Settings!$B$5/10000,0))),"")</f>
        <v/>
      </c>
      <c r="V66" s="185" t="inlineStr">
        <is>
          <t>numbers are not looking good at all; CEO said not satisfied with the results so very cautious and non optimistic tone</t>
        </is>
      </c>
      <c r="W66" s="176">
        <f>IF($K66="","",$K66*60)</f>
        <v/>
      </c>
      <c r="X66" s="186">
        <f>IF($A66="","",$A66&amp;"|"&amp;$C66&amp;"|"&amp;$D66)</f>
        <v/>
      </c>
      <c r="Y66" s="186">
        <f>IFERROR(IF($X66="","",INDEX(LLM_Data_Entry!$H$3:$H$548,MATCH($X66,INDEX(LLM_Data_Entry!$A$3:$A$548&amp;"|"&amp;LLM_Data_Entry!$C$3:$C$548&amp;"|"&amp;LLM_Data_Entry!$D$3:$D$548,0),0))),"")</f>
        <v/>
      </c>
      <c r="Z66" s="186">
        <f>IFERROR(IF($X66="","",INDEX(LLM_Data_Entry!$R$3:$R$548,MATCH($X66,INDEX(LLM_Data_Entry!$A$3:$A$548&amp;"|"&amp;LLM_Data_Entry!$C$3:$C$548&amp;"|"&amp;LLM_Data_Entry!$D$3:$D$548,0),0))),"")</f>
        <v/>
      </c>
      <c r="AA66" s="152" t="n"/>
      <c r="AB66" s="152" t="inlineStr">
        <is>
          <t>price signal — only this window shows an abnormal move</t>
        </is>
      </c>
      <c r="AC66" s="152" t="inlineStr">
        <is>
          <t>NKE</t>
        </is>
      </c>
      <c r="AD66" s="152" t="inlineStr">
        <is>
          <t>2025-03-20</t>
        </is>
      </c>
      <c r="AE66" s="152" t="n">
        <v>69.479</v>
      </c>
      <c r="AF66" s="152" t="inlineStr">
        <is>
          <t>2025-03-21</t>
        </is>
      </c>
      <c r="AG66" s="152" t="n">
        <v>64.3836</v>
      </c>
      <c r="AH66" s="152" t="n">
        <v>-0.0733371094135996</v>
      </c>
      <c r="AI66" s="152" t="inlineStr">
        <is>
          <t>DOWN</t>
        </is>
      </c>
      <c r="AJ66" s="152" t="inlineStr">
        <is>
          <t>YES</t>
        </is>
      </c>
      <c r="AK66" s="152" t="n">
        <v>0.072337</v>
      </c>
      <c r="AL66" s="152">
        <f>IF($A66="","",IFERROR(INDEX(Company_List!$G$3:$G$207,MATCH($A66,Company_List!$A$3:$A$207,0)),"unassigned"))</f>
        <v/>
      </c>
      <c r="AM66" s="152" t="inlineStr">
        <is>
          <t>Phase 2/Nike/Q3 2025 Earnings Call Transcript.pdf; Phase 2/Nike/Q3 2025 - numbers.pdf</t>
        </is>
      </c>
      <c r="AN66" s="152" t="n"/>
      <c r="AO66" s="152" t="inlineStr">
        <is>
          <t>whole bundle (Document = All)</t>
        </is>
      </c>
      <c r="AP66" s="152">
        <f>IF($A66="","",IF(COUNTIFS(LLM_Data_Entry!$A$3:$A$548,$A66)&gt;0,"YES","NO"))</f>
        <v/>
      </c>
      <c r="AQ66" s="152">
        <f>IF($A66="","",IF(COUNTIFS($A$3:$A66,$A66,$C$3:$C66,$C66,$D$3:$D66,$D66)=1,"YES","NO"))</f>
        <v/>
      </c>
      <c r="AR66" s="152">
        <f>IF($A66="","",IF(AND($C66&amp;"-"&amp;$D66&gt;=Settings!$B$19,$C66&amp;"-"&amp;$D66&lt;=Settings!$B$20),"IN","OUT"))</f>
        <v/>
      </c>
      <c r="AS66" s="152">
        <f>IF($A66="","",IF($F66="Financial Results","financials",IF($F66="Outlook/Guidance","guidance",IF($F66="Transcript Q&amp;A","qanda",IF($F66="","unrecorded",IF($E66="All","full",IF($E66="","unrecorded",LOWER($E66)&amp;" only")))))))</f>
        <v/>
      </c>
      <c r="AT66" s="152">
        <f>IF(AND(OR($J66="BUY",$J66="SELL"),ISNUMBER($U66)),$U66,"")</f>
        <v/>
      </c>
      <c r="AU66" s="152">
        <f>IF(AND(OR($J66="BUY",$J66="SELL"),ISNUMBER($AK66)),$AK66,"")</f>
        <v/>
      </c>
      <c r="AV66" s="152">
        <f>IF(ISNUMBER($AT66),ABS(IF(ISNUMBER($I66),$I66,0)-Settings!$B$24),"")</f>
        <v/>
      </c>
      <c r="AW66" s="152">
        <f>IF(ISNUMBER($AV66),$AV66*$AT66,"")</f>
        <v/>
      </c>
      <c r="AX66" s="152">
        <f>IF(ISNUMBER($AU66),ABS(IF(ISNUMBER($I66),$I66,0)-Settings!$B$24),"")</f>
        <v/>
      </c>
      <c r="AY66" s="152" t="inlineStr">
        <is>
          <t>FROZEN</t>
        </is>
      </c>
      <c r="AZ66" s="152">
        <f>IF($A66="","",IFERROR(INDEX(Company_List!$H$3:$H$207,MATCH($A66,Company_List!$A$3:$A$207,0)),"unassigned"))</f>
        <v/>
      </c>
      <c r="BA66" s="152" t="n"/>
      <c r="BB66" s="152" t="n"/>
      <c r="BC66" s="152">
        <f>IF($A66="","",IF(COUNTIFS($A$3:$A66,$A66,$C$3:$C66,$C66,$D$3:$D66,$D66,$G$3:$G66,$G66)=1,1,0))</f>
        <v/>
      </c>
      <c r="BD66" s="152" t="n"/>
      <c r="BE66" s="152" t="n"/>
      <c r="BF66" s="152" t="n"/>
      <c r="BG66" s="152" t="inlineStr">
        <is>
          <t>no</t>
        </is>
      </c>
      <c r="BH66" s="152" t="n"/>
      <c r="BI66" s="152" t="n"/>
      <c r="BJ66" s="152" t="n"/>
      <c r="BK66" s="152">
        <f>IF(OR($H66&lt;&gt;"Human",$S66="",$J66="",$Y66="",$Z66=""),"",IF(EXACT(UPPER($J66),UPPER($Y66)),1,0))</f>
        <v/>
      </c>
      <c r="BL66" s="152" t="inlineStr">
        <is>
          <t>assumed - no rater record</t>
        </is>
      </c>
      <c r="BM66" s="152" t="n">
        <v>2</v>
      </c>
      <c r="BN66" s="152" t="inlineStr">
        <is>
          <t>The Motley Fool</t>
        </is>
      </c>
      <c r="BO66" s="152" t="inlineStr">
        <is>
          <t>free to read, copyright asserted</t>
        </is>
      </c>
      <c r="BP66" s="152" t="inlineStr">
        <is>
          <t>no</t>
        </is>
      </c>
      <c r="BQ66" s="152" t="inlineStr">
        <is>
          <t>no</t>
        </is>
      </c>
      <c r="BR66" s="152" t="n"/>
      <c r="BS66" s="152" t="inlineStr">
        <is>
          <t>YES</t>
        </is>
      </c>
      <c r="BT66" s="152" t="n"/>
    </row>
    <row r="67" ht="15" customHeight="1" s="241">
      <c r="A67" s="174" t="inlineStr">
        <is>
          <t>Lululemon</t>
        </is>
      </c>
      <c r="B67" s="175">
        <f>IF(A67="","",_xlfn.XLOOKUP(A67, Company_List!$A:$A, Company_List!$B:$B, ""))</f>
        <v/>
      </c>
      <c r="C67" s="176" t="n">
        <v>2025</v>
      </c>
      <c r="D67" s="177" t="inlineStr">
        <is>
          <t>Q3</t>
        </is>
      </c>
      <c r="E67" s="178" t="inlineStr">
        <is>
          <t>All</t>
        </is>
      </c>
      <c r="F67" s="178" t="inlineStr">
        <is>
          <t>All</t>
        </is>
      </c>
      <c r="G67" s="177" t="inlineStr">
        <is>
          <t>Meriem</t>
        </is>
      </c>
      <c r="H67" s="177" t="inlineStr">
        <is>
          <t>Human</t>
        </is>
      </c>
      <c r="I67" s="179" t="n">
        <v>-0.4</v>
      </c>
      <c r="J67" s="180">
        <f>IF(OR(I67="",Settings!$B$6=""),"",IF(I67&gt;Settings!$B$6,"BUY",IF(I67&lt;-Settings!$B$6,"SELL","HOLD")))</f>
        <v/>
      </c>
      <c r="K67" s="181" t="n">
        <v>20</v>
      </c>
      <c r="L67" s="182" t="n">
        <v>46002</v>
      </c>
      <c r="M67" s="182" t="n">
        <v>46002</v>
      </c>
      <c r="N67" s="179" t="n">
        <v>187.01</v>
      </c>
      <c r="O67" s="182" t="n">
        <v>46003</v>
      </c>
      <c r="P67" s="183" t="n">
        <v>204.58</v>
      </c>
      <c r="Q67" s="184">
        <f>IF(OR(N67="",P67=""),"",ROUND((P67-N67)/N67,4))</f>
        <v/>
      </c>
      <c r="R67" s="177">
        <f>IF(OR(N67="",P67=""),"",IF(Q67&gt;Settings!$B$3/100,"UP",IF(Q67&lt;-Settings!$B$3/100,"DOWN","FLAT")))</f>
        <v/>
      </c>
      <c r="S67" s="177">
        <f>IF(OR(N67="",P67="",J67=""),"",IF(OR(AND(J67="BUY",R67="UP"),AND(J67="SELL",R67="DOWN"),AND(J67="HOLD",R67="FLAT")),"YES","NO"))</f>
        <v/>
      </c>
      <c r="T67" s="176">
        <f>IF(J67="","",IF(J67="BUY",1,IF(J67="SELL",-1,0)))</f>
        <v/>
      </c>
      <c r="U67" s="184">
        <f>IFERROR(IF(OR(J67="",N67="",P67=""),"",IF(T67=0,0,T67*Q67-Settings!$B$4/10000-IF(T67&lt;0,Settings!$B$5/10000,0))),"")</f>
        <v/>
      </c>
      <c r="V67" s="185" t="inlineStr">
        <is>
          <t xml:space="preserve"> tariffs; numbers are down in Americas; CEO changing so expected uncertainty</t>
        </is>
      </c>
      <c r="W67" s="176">
        <f>IF($K67="","",$K67*60)</f>
        <v/>
      </c>
      <c r="X67" s="186">
        <f>IF($A67="","",$A67&amp;"|"&amp;$C67&amp;"|"&amp;$D67)</f>
        <v/>
      </c>
      <c r="Y67" s="186">
        <f>IFERROR(IF($X67="","",INDEX(LLM_Data_Entry!$H$3:$H$548,MATCH($X67,INDEX(LLM_Data_Entry!$A$3:$A$548&amp;"|"&amp;LLM_Data_Entry!$C$3:$C$548&amp;"|"&amp;LLM_Data_Entry!$D$3:$D$548,0),0))),"")</f>
        <v/>
      </c>
      <c r="Z67" s="186">
        <f>IFERROR(IF($X67="","",INDEX(LLM_Data_Entry!$R$3:$R$548,MATCH($X67,INDEX(LLM_Data_Entry!$A$3:$A$548&amp;"|"&amp;LLM_Data_Entry!$C$3:$C$548&amp;"|"&amp;LLM_Data_Entry!$D$3:$D$548,0),0))),"")</f>
        <v/>
      </c>
      <c r="AA67" s="152" t="n"/>
      <c r="AB67" s="152" t="inlineStr">
        <is>
          <t>price signal — both moved; this one dominates</t>
        </is>
      </c>
      <c r="AC67" s="152" t="inlineStr">
        <is>
          <t>LULU</t>
        </is>
      </c>
      <c r="AD67" s="152" t="inlineStr">
        <is>
          <t>2025-12-11</t>
        </is>
      </c>
      <c r="AE67" s="152" t="n">
        <v>187.01</v>
      </c>
      <c r="AF67" s="152" t="inlineStr">
        <is>
          <t>2025-12-12</t>
        </is>
      </c>
      <c r="AG67" s="152" t="n">
        <v>204.58</v>
      </c>
      <c r="AH67" s="152" t="n">
        <v>0.09395223501289332</v>
      </c>
      <c r="AI67" s="152" t="inlineStr">
        <is>
          <t>UP</t>
        </is>
      </c>
      <c r="AJ67" s="152" t="inlineStr">
        <is>
          <t>NO</t>
        </is>
      </c>
      <c r="AK67" s="152" t="n">
        <v>-0.09495199999999999</v>
      </c>
      <c r="AL67" s="152">
        <f>IF($A67="","",IFERROR(INDEX(Company_List!$G$3:$G$207,MATCH($A67,Company_List!$A$3:$A$207,0)),"unassigned"))</f>
        <v/>
      </c>
      <c r="AM67" s="152" t="inlineStr">
        <is>
          <t>Phase 2/Lululemon/Q3 2025 Earnings Call Transcript.pdf</t>
        </is>
      </c>
      <c r="AN67" s="152" t="n"/>
      <c r="AO67" s="152" t="inlineStr">
        <is>
          <t>unique filename match</t>
        </is>
      </c>
      <c r="AP67" s="152">
        <f>IF($A67="","",IF(COUNTIFS(LLM_Data_Entry!$A$3:$A$548,$A67)&gt;0,"YES","NO"))</f>
        <v/>
      </c>
      <c r="AQ67" s="152">
        <f>IF($A67="","",IF(COUNTIFS($A$3:$A67,$A67,$C$3:$C67,$C67,$D$3:$D67,$D67)=1,"YES","NO"))</f>
        <v/>
      </c>
      <c r="AR67" s="152">
        <f>IF($A67="","",IF(AND($C67&amp;"-"&amp;$D67&gt;=Settings!$B$19,$C67&amp;"-"&amp;$D67&lt;=Settings!$B$20),"IN","OUT"))</f>
        <v/>
      </c>
      <c r="AS67" s="152">
        <f>IF($A67="","",IF($F67="Financial Results","financials",IF($F67="Outlook/Guidance","guidance",IF($F67="Transcript Q&amp;A","qanda",IF($F67="","unrecorded",IF($E67="All","full",IF($E67="","unrecorded",LOWER($E67)&amp;" only")))))))</f>
        <v/>
      </c>
      <c r="AT67" s="152">
        <f>IF(AND(OR($J67="BUY",$J67="SELL"),ISNUMBER($U67)),$U67,"")</f>
        <v/>
      </c>
      <c r="AU67" s="152">
        <f>IF(AND(OR($J67="BUY",$J67="SELL"),ISNUMBER($AK67)),$AK67,"")</f>
        <v/>
      </c>
      <c r="AV67" s="152">
        <f>IF(ISNUMBER($AT67),ABS(IF(ISNUMBER($I67),$I67,0)-Settings!$B$24),"")</f>
        <v/>
      </c>
      <c r="AW67" s="152">
        <f>IF(ISNUMBER($AV67),$AV67*$AT67,"")</f>
        <v/>
      </c>
      <c r="AX67" s="152">
        <f>IF(ISNUMBER($AU67),ABS(IF(ISNUMBER($I67),$I67,0)-Settings!$B$24),"")</f>
        <v/>
      </c>
      <c r="AY67" s="152" t="inlineStr">
        <is>
          <t>FROZEN</t>
        </is>
      </c>
      <c r="AZ67" s="152">
        <f>IF($A67="","",IFERROR(INDEX(Company_List!$H$3:$H$207,MATCH($A67,Company_List!$A$3:$A$207,0)),"unassigned"))</f>
        <v/>
      </c>
      <c r="BA67" s="152" t="n"/>
      <c r="BB67" s="152" t="n"/>
      <c r="BC67" s="152">
        <f>IF($A67="","",IF(COUNTIFS($A$3:$A67,$A67,$C$3:$C67,$C67,$D$3:$D67,$D67,$G$3:$G67,$G67)=1,1,0))</f>
        <v/>
      </c>
      <c r="BD67" s="152" t="n"/>
      <c r="BE67" s="152" t="n"/>
      <c r="BF67" s="152" t="n"/>
      <c r="BG67" s="152" t="inlineStr">
        <is>
          <t>no</t>
        </is>
      </c>
      <c r="BH67" s="152" t="n"/>
      <c r="BI67" s="152" t="n"/>
      <c r="BJ67" s="152" t="n"/>
      <c r="BK67" s="152">
        <f>IF(OR($H67&lt;&gt;"Human",$S67="",$J67="",$Y67="",$Z67=""),"",IF(EXACT(UPPER($J67),UPPER($Y67)),1,0))</f>
        <v/>
      </c>
      <c r="BL67" s="152" t="inlineStr">
        <is>
          <t>assumed - no rater record</t>
        </is>
      </c>
      <c r="BM67" s="152" t="n">
        <v>1</v>
      </c>
      <c r="BN67" s="152" t="inlineStr">
        <is>
          <t>The Motley Fool</t>
        </is>
      </c>
      <c r="BO67" s="152" t="inlineStr">
        <is>
          <t>free to read, copyright asserted</t>
        </is>
      </c>
      <c r="BP67" s="152" t="inlineStr">
        <is>
          <t>no</t>
        </is>
      </c>
      <c r="BQ67" s="152" t="inlineStr">
        <is>
          <t>no</t>
        </is>
      </c>
      <c r="BR67" s="152" t="n"/>
      <c r="BS67" s="152" t="inlineStr">
        <is>
          <t>YES</t>
        </is>
      </c>
      <c r="BT67" s="152" t="n"/>
    </row>
    <row r="68" ht="15" customHeight="1" s="241">
      <c r="A68" s="174" t="inlineStr">
        <is>
          <t>Lululemon</t>
        </is>
      </c>
      <c r="B68" s="175">
        <f>IF(A68="","",_xlfn.XLOOKUP(A68, Company_List!$A:$A, Company_List!$B:$B, ""))</f>
        <v/>
      </c>
      <c r="C68" s="176" t="n">
        <v>2025</v>
      </c>
      <c r="D68" s="177" t="inlineStr">
        <is>
          <t>Q4</t>
        </is>
      </c>
      <c r="E68" s="178" t="inlineStr">
        <is>
          <t>All</t>
        </is>
      </c>
      <c r="F68" s="178" t="inlineStr">
        <is>
          <t>All</t>
        </is>
      </c>
      <c r="G68" s="177" t="inlineStr">
        <is>
          <t>Meriem</t>
        </is>
      </c>
      <c r="H68" s="177" t="inlineStr">
        <is>
          <t>Human</t>
        </is>
      </c>
      <c r="I68" s="179" t="n">
        <v>-0.3</v>
      </c>
      <c r="J68" s="180">
        <f>IF(OR(I68="",Settings!$B$6=""),"",IF(I68&gt;Settings!$B$6,"BUY",IF(I68&lt;-Settings!$B$6,"SELL","HOLD")))</f>
        <v/>
      </c>
      <c r="K68" s="181" t="n">
        <v>31</v>
      </c>
      <c r="L68" s="182" t="n">
        <v>46098</v>
      </c>
      <c r="M68" s="182" t="n">
        <v>46098</v>
      </c>
      <c r="N68" s="179" t="n">
        <v>159.27</v>
      </c>
      <c r="O68" s="182" t="n">
        <v>46099</v>
      </c>
      <c r="P68" s="183" t="n">
        <v>158.04</v>
      </c>
      <c r="Q68" s="184">
        <f>IF(OR(N68="",P68=""),"",ROUND((P68-N68)/N68,4))</f>
        <v/>
      </c>
      <c r="R68" s="177">
        <f>IF(OR(N68="",P68=""),"",IF(Q68&gt;Settings!$B$3/100,"UP",IF(Q68&lt;-Settings!$B$3/100,"DOWN","FLAT")))</f>
        <v/>
      </c>
      <c r="S68" s="177">
        <f>IF(OR(N68="",P68="",J68=""),"",IF(OR(AND(J68="BUY",R68="UP"),AND(J68="SELL",R68="DOWN"),AND(J68="HOLD",R68="FLAT")),"YES","NO"))</f>
        <v/>
      </c>
      <c r="T68" s="176">
        <f>IF(J68="","",IF(J68="BUY",1,IF(J68="SELL",-1,0)))</f>
        <v/>
      </c>
      <c r="U68" s="184">
        <f>IFERROR(IF(OR(J68="",N68="",P68=""),"",IF(T68=0,0,T68*Q68-Settings!$B$4/10000-IF(T68&lt;0,Settings!$B$5/10000,0))),"")</f>
        <v/>
      </c>
      <c r="V68" s="185" t="inlineStr">
        <is>
          <t>numbers are still down and guidance for next year is that gross margin is expected to go down</t>
        </is>
      </c>
      <c r="W68" s="176">
        <f>IF($K68="","",$K68*60)</f>
        <v/>
      </c>
      <c r="X68" s="186">
        <f>IF($A68="","",$A68&amp;"|"&amp;$C68&amp;"|"&amp;$D68)</f>
        <v/>
      </c>
      <c r="Y68" s="186">
        <f>IFERROR(IF($X68="","",INDEX(LLM_Data_Entry!$H$3:$H$548,MATCH($X68,INDEX(LLM_Data_Entry!$A$3:$A$548&amp;"|"&amp;LLM_Data_Entry!$C$3:$C$548&amp;"|"&amp;LLM_Data_Entry!$D$3:$D$548,0),0))),"")</f>
        <v/>
      </c>
      <c r="Z68" s="186">
        <f>IFERROR(IF($X68="","",INDEX(LLM_Data_Entry!$R$3:$R$548,MATCH($X68,INDEX(LLM_Data_Entry!$A$3:$A$548&amp;"|"&amp;LLM_Data_Entry!$C$3:$C$548&amp;"|"&amp;LLM_Data_Entry!$D$3:$D$548,0),0))),"")</f>
        <v/>
      </c>
      <c r="AA68" s="152" t="n"/>
      <c r="AB68" s="152" t="inlineStr">
        <is>
          <t>earnings calendar, seconded independently (section C)</t>
        </is>
      </c>
      <c r="AC68" s="152" t="inlineStr">
        <is>
          <t>LULU</t>
        </is>
      </c>
      <c r="AD68" s="152" t="inlineStr">
        <is>
          <t>2026-03-17</t>
        </is>
      </c>
      <c r="AE68" s="152" t="n">
        <v>159.27</v>
      </c>
      <c r="AF68" s="152" t="inlineStr">
        <is>
          <t>2026-03-18</t>
        </is>
      </c>
      <c r="AG68" s="152" t="n">
        <v>158.04</v>
      </c>
      <c r="AH68" s="152" t="n">
        <v>-0.007722803849493157</v>
      </c>
      <c r="AI68" s="152" t="inlineStr">
        <is>
          <t>FLAT</t>
        </is>
      </c>
      <c r="AJ68" s="152" t="inlineStr">
        <is>
          <t>NO</t>
        </is>
      </c>
      <c r="AK68" s="152" t="n">
        <v>0.006723</v>
      </c>
      <c r="AL68" s="152">
        <f>IF($A68="","",IFERROR(INDEX(Company_List!$G$3:$G$207,MATCH($A68,Company_List!$A$3:$A$207,0)),"unassigned"))</f>
        <v/>
      </c>
      <c r="AM68" s="152" t="inlineStr">
        <is>
          <t>Phase 2/Lululemon/Q4 2025 Earnings Call Transcript.pdf</t>
        </is>
      </c>
      <c r="AN68" s="152" t="n"/>
      <c r="AO68" s="152" t="inlineStr">
        <is>
          <t>unique filename match</t>
        </is>
      </c>
      <c r="AP68" s="152">
        <f>IF($A68="","",IF(COUNTIFS(LLM_Data_Entry!$A$3:$A$548,$A68)&gt;0,"YES","NO"))</f>
        <v/>
      </c>
      <c r="AQ68" s="152">
        <f>IF($A68="","",IF(COUNTIFS($A$3:$A68,$A68,$C$3:$C68,$C68,$D$3:$D68,$D68)=1,"YES","NO"))</f>
        <v/>
      </c>
      <c r="AR68" s="152">
        <f>IF($A68="","",IF(AND($C68&amp;"-"&amp;$D68&gt;=Settings!$B$19,$C68&amp;"-"&amp;$D68&lt;=Settings!$B$20),"IN","OUT"))</f>
        <v/>
      </c>
      <c r="AS68" s="152">
        <f>IF($A68="","",IF($F68="Financial Results","financials",IF($F68="Outlook/Guidance","guidance",IF($F68="Transcript Q&amp;A","qanda",IF($F68="","unrecorded",IF($E68="All","full",IF($E68="","unrecorded",LOWER($E68)&amp;" only")))))))</f>
        <v/>
      </c>
      <c r="AT68" s="152">
        <f>IF(AND(OR($J68="BUY",$J68="SELL"),ISNUMBER($U68)),$U68,"")</f>
        <v/>
      </c>
      <c r="AU68" s="152">
        <f>IF(AND(OR($J68="BUY",$J68="SELL"),ISNUMBER($AK68)),$AK68,"")</f>
        <v/>
      </c>
      <c r="AV68" s="152">
        <f>IF(ISNUMBER($AT68),ABS(IF(ISNUMBER($I68),$I68,0)-Settings!$B$24),"")</f>
        <v/>
      </c>
      <c r="AW68" s="152">
        <f>IF(ISNUMBER($AV68),$AV68*$AT68,"")</f>
        <v/>
      </c>
      <c r="AX68" s="152">
        <f>IF(ISNUMBER($AU68),ABS(IF(ISNUMBER($I68),$I68,0)-Settings!$B$24),"")</f>
        <v/>
      </c>
      <c r="AY68" s="152" t="inlineStr">
        <is>
          <t>FROZEN</t>
        </is>
      </c>
      <c r="AZ68" s="152">
        <f>IF($A68="","",IFERROR(INDEX(Company_List!$H$3:$H$207,MATCH($A68,Company_List!$A$3:$A$207,0)),"unassigned"))</f>
        <v/>
      </c>
      <c r="BA68" s="152" t="n"/>
      <c r="BB68" s="152" t="n"/>
      <c r="BC68" s="152">
        <f>IF($A68="","",IF(COUNTIFS($A$3:$A68,$A68,$C$3:$C68,$C68,$D$3:$D68,$D68,$G$3:$G68,$G68)=1,1,0))</f>
        <v/>
      </c>
      <c r="BD68" s="152" t="n"/>
      <c r="BE68" s="152" t="n"/>
      <c r="BF68" s="152" t="n"/>
      <c r="BG68" s="152" t="inlineStr">
        <is>
          <t>no</t>
        </is>
      </c>
      <c r="BH68" s="152" t="n"/>
      <c r="BI68" s="152" t="n"/>
      <c r="BJ68" s="152" t="n"/>
      <c r="BK68" s="152">
        <f>IF(OR($H68&lt;&gt;"Human",$S68="",$J68="",$Y68="",$Z68=""),"",IF(EXACT(UPPER($J68),UPPER($Y68)),1,0))</f>
        <v/>
      </c>
      <c r="BL68" s="152" t="inlineStr">
        <is>
          <t>assumed - no rater record</t>
        </is>
      </c>
      <c r="BM68" s="152" t="n">
        <v>1</v>
      </c>
      <c r="BN68" s="152" t="inlineStr">
        <is>
          <t>The Motley Fool</t>
        </is>
      </c>
      <c r="BO68" s="152" t="inlineStr">
        <is>
          <t>free to read, copyright asserted</t>
        </is>
      </c>
      <c r="BP68" s="152" t="inlineStr">
        <is>
          <t>no</t>
        </is>
      </c>
      <c r="BQ68" s="152" t="inlineStr">
        <is>
          <t>no</t>
        </is>
      </c>
      <c r="BR68" s="152" t="n"/>
      <c r="BS68" s="152" t="inlineStr">
        <is>
          <t>YES</t>
        </is>
      </c>
      <c r="BT68" s="152" t="n"/>
    </row>
    <row r="69" ht="15" customHeight="1" s="241">
      <c r="A69" s="174" t="inlineStr">
        <is>
          <t>Lululemon</t>
        </is>
      </c>
      <c r="B69" s="175">
        <f>IF(A69="","",_xlfn.XLOOKUP(A69, Company_List!$A:$A, Company_List!$B:$B, ""))</f>
        <v/>
      </c>
      <c r="C69" s="176" t="n">
        <v>2026</v>
      </c>
      <c r="D69" s="177" t="inlineStr">
        <is>
          <t>Q1</t>
        </is>
      </c>
      <c r="E69" s="178" t="inlineStr">
        <is>
          <t>All</t>
        </is>
      </c>
      <c r="F69" s="178" t="inlineStr">
        <is>
          <t>All</t>
        </is>
      </c>
      <c r="G69" s="177" t="inlineStr">
        <is>
          <t>Meriem</t>
        </is>
      </c>
      <c r="H69" s="177" t="inlineStr">
        <is>
          <t>Human</t>
        </is>
      </c>
      <c r="I69" s="179" t="n">
        <v>-0.3</v>
      </c>
      <c r="J69" s="180">
        <f>IF(OR(I69="",Settings!$B$6=""),"",IF(I69&gt;Settings!$B$6,"BUY",IF(I69&lt;-Settings!$B$6,"SELL","HOLD")))</f>
        <v/>
      </c>
      <c r="K69" s="181" t="n">
        <v>24</v>
      </c>
      <c r="L69" s="182" t="n">
        <v>46177</v>
      </c>
      <c r="M69" s="182" t="n">
        <v>46177</v>
      </c>
      <c r="N69" s="179" t="n">
        <v>124.92</v>
      </c>
      <c r="O69" s="182" t="n">
        <v>46178</v>
      </c>
      <c r="P69" s="183" t="n">
        <v>110.43</v>
      </c>
      <c r="Q69" s="184">
        <f>IF(OR(N69="",P69=""),"",ROUND((P69-N69)/N69,4))</f>
        <v/>
      </c>
      <c r="R69" s="177">
        <f>IF(OR(N69="",P69=""),"",IF(Q69&gt;Settings!$B$3/100,"UP",IF(Q69&lt;-Settings!$B$3/100,"DOWN","FLAT")))</f>
        <v/>
      </c>
      <c r="S69" s="177">
        <f>IF(OR(N69="",P69="",J69=""),"",IF(OR(AND(J69="BUY",R69="UP"),AND(J69="SELL",R69="DOWN"),AND(J69="HOLD",R69="FLAT")),"YES","NO"))</f>
        <v/>
      </c>
      <c r="T69" s="176">
        <f>IF(J69="","",IF(J69="BUY",1,IF(J69="SELL",-1,0)))</f>
        <v/>
      </c>
      <c r="U69" s="184">
        <f>IFERROR(IF(OR(J69="",N69="",P69=""),"",IF(T69=0,0,T69*Q69-Settings!$B$4/10000-IF(T69&lt;0,Settings!$B$5/10000,0))),"")</f>
        <v/>
      </c>
      <c r="V69" s="185" t="inlineStr">
        <is>
          <t>very cautious and non optimistic language; new CEO; anticipated decline</t>
        </is>
      </c>
      <c r="W69" s="176">
        <f>IF($K69="","",$K69*60)</f>
        <v/>
      </c>
      <c r="X69" s="186">
        <f>IF($A69="","",$A69&amp;"|"&amp;$C69&amp;"|"&amp;$D69)</f>
        <v/>
      </c>
      <c r="Y69" s="186">
        <f>IFERROR(IF($X69="","",INDEX(LLM_Data_Entry!$H$3:$H$548,MATCH($X69,INDEX(LLM_Data_Entry!$A$3:$A$548&amp;"|"&amp;LLM_Data_Entry!$C$3:$C$548&amp;"|"&amp;LLM_Data_Entry!$D$3:$D$548,0),0))),"")</f>
        <v/>
      </c>
      <c r="Z69" s="186">
        <f>IFERROR(IF($X69="","",INDEX(LLM_Data_Entry!$R$3:$R$548,MATCH($X69,INDEX(LLM_Data_Entry!$A$3:$A$548&amp;"|"&amp;LLM_Data_Entry!$C$3:$C$548&amp;"|"&amp;LLM_Data_Entry!$D$3:$D$548,0),0))),"")</f>
        <v/>
      </c>
      <c r="AA69" s="152" t="n"/>
      <c r="AB69" s="152" t="inlineStr">
        <is>
          <t>price signal — both moved; this one dominates</t>
        </is>
      </c>
      <c r="AC69" s="152" t="inlineStr">
        <is>
          <t>LULU</t>
        </is>
      </c>
      <c r="AD69" s="152" t="inlineStr">
        <is>
          <t>2026-06-04</t>
        </is>
      </c>
      <c r="AE69" s="152" t="n">
        <v>124.92</v>
      </c>
      <c r="AF69" s="152" t="inlineStr">
        <is>
          <t>2026-06-05</t>
        </is>
      </c>
      <c r="AG69" s="152" t="n">
        <v>110.43</v>
      </c>
      <c r="AH69" s="152" t="n">
        <v>-0.1159942221580888</v>
      </c>
      <c r="AI69" s="152" t="inlineStr">
        <is>
          <t>DOWN</t>
        </is>
      </c>
      <c r="AJ69" s="152" t="inlineStr">
        <is>
          <t>YES</t>
        </is>
      </c>
      <c r="AK69" s="152" t="n">
        <v>0.114994</v>
      </c>
      <c r="AL69" s="152">
        <f>IF($A69="","",IFERROR(INDEX(Company_List!$G$3:$G$207,MATCH($A69,Company_List!$A$3:$A$207,0)),"unassigned"))</f>
        <v/>
      </c>
      <c r="AM69" s="152" t="inlineStr">
        <is>
          <t>Phase 2/Lululemon/Q1 2026 Earnings Transcript.pdf</t>
        </is>
      </c>
      <c r="AN69" s="152" t="n"/>
      <c r="AO69" s="152" t="inlineStr">
        <is>
          <t>unique filename match</t>
        </is>
      </c>
      <c r="AP69" s="152">
        <f>IF($A69="","",IF(COUNTIFS(LLM_Data_Entry!$A$3:$A$548,$A69)&gt;0,"YES","NO"))</f>
        <v/>
      </c>
      <c r="AQ69" s="152">
        <f>IF($A69="","",IF(COUNTIFS($A$3:$A69,$A69,$C$3:$C69,$C69,$D$3:$D69,$D69)=1,"YES","NO"))</f>
        <v/>
      </c>
      <c r="AR69" s="152">
        <f>IF($A69="","",IF(AND($C69&amp;"-"&amp;$D69&gt;=Settings!$B$19,$C69&amp;"-"&amp;$D69&lt;=Settings!$B$20),"IN","OUT"))</f>
        <v/>
      </c>
      <c r="AS69" s="152">
        <f>IF($A69="","",IF($F69="Financial Results","financials",IF($F69="Outlook/Guidance","guidance",IF($F69="Transcript Q&amp;A","qanda",IF($F69="","unrecorded",IF($E69="All","full",IF($E69="","unrecorded",LOWER($E69)&amp;" only")))))))</f>
        <v/>
      </c>
      <c r="AT69" s="152">
        <f>IF(AND(OR($J69="BUY",$J69="SELL"),ISNUMBER($U69)),$U69,"")</f>
        <v/>
      </c>
      <c r="AU69" s="152">
        <f>IF(AND(OR($J69="BUY",$J69="SELL"),ISNUMBER($AK69)),$AK69,"")</f>
        <v/>
      </c>
      <c r="AV69" s="152">
        <f>IF(ISNUMBER($AT69),ABS(IF(ISNUMBER($I69),$I69,0)-Settings!$B$24),"")</f>
        <v/>
      </c>
      <c r="AW69" s="152">
        <f>IF(ISNUMBER($AV69),$AV69*$AT69,"")</f>
        <v/>
      </c>
      <c r="AX69" s="152">
        <f>IF(ISNUMBER($AU69),ABS(IF(ISNUMBER($I69),$I69,0)-Settings!$B$24),"")</f>
        <v/>
      </c>
      <c r="AY69" s="152" t="inlineStr">
        <is>
          <t>FROZEN</t>
        </is>
      </c>
      <c r="AZ69" s="152">
        <f>IF($A69="","",IFERROR(INDEX(Company_List!$H$3:$H$207,MATCH($A69,Company_List!$A$3:$A$207,0)),"unassigned"))</f>
        <v/>
      </c>
      <c r="BA69" s="152" t="n"/>
      <c r="BB69" s="152" t="n"/>
      <c r="BC69" s="152">
        <f>IF($A69="","",IF(COUNTIFS($A$3:$A69,$A69,$C$3:$C69,$C69,$D$3:$D69,$D69,$G$3:$G69,$G69)=1,1,0))</f>
        <v/>
      </c>
      <c r="BD69" s="152" t="n"/>
      <c r="BE69" s="152" t="n"/>
      <c r="BF69" s="152" t="n"/>
      <c r="BG69" s="152" t="inlineStr">
        <is>
          <t>no</t>
        </is>
      </c>
      <c r="BH69" s="152" t="n"/>
      <c r="BI69" s="152" t="n"/>
      <c r="BJ69" s="152" t="n"/>
      <c r="BK69" s="152">
        <f>IF(OR($H69&lt;&gt;"Human",$S69="",$J69="",$Y69="",$Z69=""),"",IF(EXACT(UPPER($J69),UPPER($Y69)),1,0))</f>
        <v/>
      </c>
      <c r="BL69" s="152" t="inlineStr">
        <is>
          <t>assumed - no rater record</t>
        </is>
      </c>
      <c r="BM69" s="152" t="n">
        <v>1</v>
      </c>
      <c r="BN69" s="152" t="inlineStr">
        <is>
          <t>The Motley Fool</t>
        </is>
      </c>
      <c r="BO69" s="152" t="inlineStr">
        <is>
          <t>free to read, copyright asserted</t>
        </is>
      </c>
      <c r="BP69" s="152" t="inlineStr">
        <is>
          <t>no</t>
        </is>
      </c>
      <c r="BQ69" s="152" t="inlineStr">
        <is>
          <t>no</t>
        </is>
      </c>
      <c r="BR69" s="152" t="n"/>
      <c r="BS69" s="152" t="inlineStr">
        <is>
          <t>YES</t>
        </is>
      </c>
      <c r="BT69" s="152" t="n"/>
    </row>
    <row r="70" ht="15" customHeight="1" s="241">
      <c r="A70" s="174" t="inlineStr">
        <is>
          <t>Airbnb</t>
        </is>
      </c>
      <c r="B70" s="175">
        <f>IF(A70="","",_xlfn.XLOOKUP(A70, Company_List!$A:$A, Company_List!$B:$B, ""))</f>
        <v/>
      </c>
      <c r="C70" s="176" t="n">
        <v>2026</v>
      </c>
      <c r="D70" s="177" t="inlineStr">
        <is>
          <t>Q1</t>
        </is>
      </c>
      <c r="E70" s="178" t="inlineStr">
        <is>
          <t>All</t>
        </is>
      </c>
      <c r="F70" s="178" t="inlineStr">
        <is>
          <t>All</t>
        </is>
      </c>
      <c r="G70" s="177" t="inlineStr">
        <is>
          <t>Anna</t>
        </is>
      </c>
      <c r="H70" s="177" t="inlineStr">
        <is>
          <t>Human</t>
        </is>
      </c>
      <c r="I70" s="179" t="n">
        <v>0.7</v>
      </c>
      <c r="J70" s="180">
        <f>IF(OR(I70="",Settings!$B$6=""),"",IF(I70&gt;Settings!$B$6,"BUY",IF(I70&lt;-Settings!$B$6,"SELL","HOLD")))</f>
        <v/>
      </c>
      <c r="K70" s="181" t="n">
        <v>34</v>
      </c>
      <c r="L70" s="182" t="n">
        <v>46149</v>
      </c>
      <c r="M70" s="182" t="n">
        <v>46149</v>
      </c>
      <c r="N70" s="179" t="n">
        <v>140.46</v>
      </c>
      <c r="O70" s="182" t="n">
        <v>46150</v>
      </c>
      <c r="P70" s="183" t="n">
        <v>138.12</v>
      </c>
      <c r="Q70" s="184">
        <f>IF(OR(N70="",P70=""),"",ROUND((P70-N70)/N70,4))</f>
        <v/>
      </c>
      <c r="R70" s="177">
        <f>IF(OR(N70="",P70=""),"",IF(Q70&gt;Settings!$B$3/100,"UP",IF(Q70&lt;-Settings!$B$3/100,"DOWN","FLAT")))</f>
        <v/>
      </c>
      <c r="S70" s="177">
        <f>IF(OR(N70="",P70="",J70=""),"",IF(OR(AND(J70="BUY",R70="UP"),AND(J70="SELL",R70="DOWN"),AND(J70="HOLD",R70="FLAT")),"YES","NO"))</f>
        <v/>
      </c>
      <c r="T70" s="176">
        <f>IF(J70="","",IF(J70="BUY",1,IF(J70="SELL",-1,0)))</f>
        <v/>
      </c>
      <c r="U70" s="184">
        <f>IFERROR(IF(OR(J70="",N70="",P70=""),"",IF(T70=0,0,T70*Q70-Settings!$B$4/10000-IF(T70&lt;0,Settings!$B$5/10000,0))),"")</f>
        <v/>
      </c>
      <c r="V70" s="185" t="inlineStr">
        <is>
          <t>very optimistic language and substantial growth despite issues in the middle east potentially impacting travel</t>
        </is>
      </c>
      <c r="W70" s="176">
        <f>IF($K70="","",$K70*60)</f>
        <v/>
      </c>
      <c r="X70" s="186">
        <f>IF($A70="","",$A70&amp;"|"&amp;$C70&amp;"|"&amp;$D70)</f>
        <v/>
      </c>
      <c r="Y70" s="186">
        <f>IFERROR(IF($X70="","",INDEX(LLM_Data_Entry!$H$3:$H$548,MATCH($X70,INDEX(LLM_Data_Entry!$A$3:$A$548&amp;"|"&amp;LLM_Data_Entry!$C$3:$C$548&amp;"|"&amp;LLM_Data_Entry!$D$3:$D$548,0),0))),"")</f>
        <v/>
      </c>
      <c r="Z70" s="186">
        <f>IFERROR(IF($X70="","",INDEX(LLM_Data_Entry!$R$3:$R$548,MATCH($X70,INDEX(LLM_Data_Entry!$A$3:$A$548&amp;"|"&amp;LLM_Data_Entry!$C$3:$C$548&amp;"|"&amp;LLM_Data_Entry!$D$3:$D$548,0),0))),"")</f>
        <v/>
      </c>
      <c r="AA70" s="152" t="n"/>
      <c r="AB70" s="152" t="inlineStr">
        <is>
          <t>price signal — only this window shows an abnormal move</t>
        </is>
      </c>
      <c r="AC70" s="152" t="inlineStr">
        <is>
          <t>ABNB</t>
        </is>
      </c>
      <c r="AD70" s="152" t="inlineStr">
        <is>
          <t>2026-05-07</t>
        </is>
      </c>
      <c r="AE70" s="152" t="n">
        <v>140.46</v>
      </c>
      <c r="AF70" s="152" t="inlineStr">
        <is>
          <t>2026-05-08</t>
        </is>
      </c>
      <c r="AG70" s="152" t="n">
        <v>138.125</v>
      </c>
      <c r="AH70" s="152" t="n">
        <v>-0.01662399888674354</v>
      </c>
      <c r="AI70" s="152" t="inlineStr">
        <is>
          <t>FLAT</t>
        </is>
      </c>
      <c r="AJ70" s="152" t="inlineStr">
        <is>
          <t>NO</t>
        </is>
      </c>
      <c r="AK70" s="152" t="n">
        <v>-0.017624</v>
      </c>
      <c r="AL70" s="152">
        <f>IF($A70="","",IFERROR(INDEX(Company_List!$G$3:$G$207,MATCH($A70,Company_List!$A$3:$A$207,0)),"unassigned"))</f>
        <v/>
      </c>
      <c r="AM70" s="152" t="inlineStr">
        <is>
          <t>Phase 2/Airbnb/2026-Q1/ABNB-2026-Q1-press-release-SEC-EX-99-1.htm</t>
        </is>
      </c>
      <c r="AN70" s="152" t="inlineStr">
        <is>
          <t>https://www.sec.gov/Archives/edgar/data/1559720/000119312526211816/d23351dex991.htm</t>
        </is>
      </c>
      <c r="AO70" s="152" t="inlineStr">
        <is>
          <t>manifest</t>
        </is>
      </c>
      <c r="AP70" s="152">
        <f>IF($A70="","",IF(COUNTIFS(LLM_Data_Entry!$A$3:$A$548,$A70)&gt;0,"YES","NO"))</f>
        <v/>
      </c>
      <c r="AQ70" s="152">
        <f>IF($A70="","",IF(COUNTIFS($A$3:$A70,$A70,$C$3:$C70,$C70,$D$3:$D70,$D70)=1,"YES","NO"))</f>
        <v/>
      </c>
      <c r="AR70" s="152">
        <f>IF($A70="","",IF(AND($C70&amp;"-"&amp;$D70&gt;=Settings!$B$19,$C70&amp;"-"&amp;$D70&lt;=Settings!$B$20),"IN","OUT"))</f>
        <v/>
      </c>
      <c r="AS70" s="152">
        <f>IF($A70="","",IF($F70="Financial Results","financials",IF($F70="Outlook/Guidance","guidance",IF($F70="Transcript Q&amp;A","qanda",IF($F70="","unrecorded",IF($E70="All","full",IF($E70="","unrecorded",LOWER($E70)&amp;" only")))))))</f>
        <v/>
      </c>
      <c r="AT70" s="152">
        <f>IF(AND(OR($J70="BUY",$J70="SELL"),ISNUMBER($U70)),$U70,"")</f>
        <v/>
      </c>
      <c r="AU70" s="152">
        <f>IF(AND(OR($J70="BUY",$J70="SELL"),ISNUMBER($AK70)),$AK70,"")</f>
        <v/>
      </c>
      <c r="AV70" s="152">
        <f>IF(ISNUMBER($AT70),ABS(IF(ISNUMBER($I70),$I70,0)-Settings!$B$24),"")</f>
        <v/>
      </c>
      <c r="AW70" s="152">
        <f>IF(ISNUMBER($AV70),$AV70*$AT70,"")</f>
        <v/>
      </c>
      <c r="AX70" s="152">
        <f>IF(ISNUMBER($AU70),ABS(IF(ISNUMBER($I70),$I70,0)-Settings!$B$24),"")</f>
        <v/>
      </c>
      <c r="AY70" s="152" t="inlineStr">
        <is>
          <t>FROZEN</t>
        </is>
      </c>
      <c r="AZ70" s="152">
        <f>IF($A70="","",IFERROR(INDEX(Company_List!$H$3:$H$207,MATCH($A70,Company_List!$A$3:$A$207,0)),"unassigned"))</f>
        <v/>
      </c>
      <c r="BA70" s="152" t="n"/>
      <c r="BB70" s="152" t="n"/>
      <c r="BC70" s="152">
        <f>IF($A70="","",IF(COUNTIFS($A$3:$A70,$A70,$C$3:$C70,$C70,$D$3:$D70,$D70,$G$3:$G70,$G70)=1,1,0))</f>
        <v/>
      </c>
      <c r="BD70" s="152" t="n"/>
      <c r="BE70" s="152" t="n"/>
      <c r="BF70" s="152" t="n"/>
      <c r="BG70" s="152" t="inlineStr">
        <is>
          <t>no</t>
        </is>
      </c>
      <c r="BH70" s="152" t="n"/>
      <c r="BI70" s="152" t="n"/>
      <c r="BJ70" s="152" t="n"/>
      <c r="BK70" s="152">
        <f>IF(OR($H70&lt;&gt;"Human",$S70="",$J70="",$Y70="",$Z70=""),"",IF(EXACT(UPPER($J70),UPPER($Y70)),1,0))</f>
        <v/>
      </c>
      <c r="BL70" s="152" t="inlineStr">
        <is>
          <t>assumed - no rater record</t>
        </is>
      </c>
      <c r="BM70" s="152" t="n">
        <v>1</v>
      </c>
      <c r="BN70" s="152" t="inlineStr">
        <is>
          <t>not publisher-identified</t>
        </is>
      </c>
      <c r="BO70" s="152" t="inlineStr">
        <is>
          <t>not publisher-identified</t>
        </is>
      </c>
      <c r="BP70" s="152" t="inlineStr">
        <is>
          <t>no</t>
        </is>
      </c>
      <c r="BQ70" s="152" t="inlineStr">
        <is>
          <t>yes</t>
        </is>
      </c>
      <c r="BR70" s="152" t="n"/>
      <c r="BS70" s="152" t="inlineStr">
        <is>
          <t>YES</t>
        </is>
      </c>
      <c r="BT70" s="152" t="n"/>
    </row>
    <row r="71" ht="15" customHeight="1" s="241">
      <c r="A71" s="174" t="inlineStr">
        <is>
          <t>Lowe's</t>
        </is>
      </c>
      <c r="B71" s="175">
        <f>IF(A71="","",_xlfn.XLOOKUP(A71, Company_List!$A:$A, Company_List!$B:$B, ""))</f>
        <v/>
      </c>
      <c r="C71" s="176" t="n">
        <v>2025</v>
      </c>
      <c r="D71" s="177" t="inlineStr">
        <is>
          <t>Q1</t>
        </is>
      </c>
      <c r="E71" s="178" t="inlineStr">
        <is>
          <t>All</t>
        </is>
      </c>
      <c r="F71" s="178" t="inlineStr">
        <is>
          <t>All</t>
        </is>
      </c>
      <c r="G71" s="177" t="inlineStr">
        <is>
          <t>Anna</t>
        </is>
      </c>
      <c r="H71" s="177" t="inlineStr">
        <is>
          <t>Human</t>
        </is>
      </c>
      <c r="I71" s="179" t="n">
        <v>-0.1</v>
      </c>
      <c r="J71" s="180">
        <f>IF(OR(I71="",Settings!$B$6=""),"",IF(I71&gt;Settings!$B$6,"BUY",IF(I71&lt;-Settings!$B$6,"SELL","HOLD")))</f>
        <v/>
      </c>
      <c r="K71" s="181" t="n">
        <v>25</v>
      </c>
      <c r="L71" s="182" t="n">
        <v>45798</v>
      </c>
      <c r="M71" s="182" t="n">
        <v>45797</v>
      </c>
      <c r="N71" s="179" t="n">
        <v>231.25</v>
      </c>
      <c r="O71" s="182" t="n">
        <v>45798</v>
      </c>
      <c r="P71" s="183" t="n">
        <v>232.7</v>
      </c>
      <c r="Q71" s="184">
        <f>IF(OR(N71="",P71=""),"",ROUND((P71-N71)/N71,4))</f>
        <v/>
      </c>
      <c r="R71" s="177">
        <f>IF(OR(N71="",P71=""),"",IF(Q71&gt;Settings!$B$3/100,"UP",IF(Q71&lt;-Settings!$B$3/100,"DOWN","FLAT")))</f>
        <v/>
      </c>
      <c r="S71" s="177">
        <f>IF(OR(N71="",P71="",J71=""),"",IF(OR(AND(J71="BUY",R71="UP"),AND(J71="SELL",R71="DOWN"),AND(J71="HOLD",R71="FLAT")),"YES","NO"))</f>
        <v/>
      </c>
      <c r="T71" s="176">
        <f>IF(J71="","",IF(J71="BUY",1,IF(J71="SELL",-1,0)))</f>
        <v/>
      </c>
      <c r="U71" s="184">
        <f>IFERROR(IF(OR(J71="",N71="",P71=""),"",IF(T71=0,0,T71*Q71-Settings!$B$4/10000-IF(T71&lt;0,Settings!$B$5/10000,0))),"")</f>
        <v/>
      </c>
      <c r="V71" s="185" t="inlineStr">
        <is>
          <t>numbers were down, but it was expected based on seasonal shopping</t>
        </is>
      </c>
      <c r="W71" s="176">
        <f>IF($K71="","",$K71*60)</f>
        <v/>
      </c>
      <c r="X71" s="186">
        <f>IF($A71="","",$A71&amp;"|"&amp;$C71&amp;"|"&amp;$D71)</f>
        <v/>
      </c>
      <c r="Y71" s="186">
        <f>IFERROR(IF($X71="","",INDEX(LLM_Data_Entry!$H$3:$H$548,MATCH($X71,INDEX(LLM_Data_Entry!$A$3:$A$548&amp;"|"&amp;LLM_Data_Entry!$C$3:$C$548&amp;"|"&amp;LLM_Data_Entry!$D$3:$D$548,0),0))),"")</f>
        <v/>
      </c>
      <c r="Z71" s="186">
        <f>IFERROR(IF($X71="","",INDEX(LLM_Data_Entry!$R$3:$R$548,MATCH($X71,INDEX(LLM_Data_Entry!$A$3:$A$548&amp;"|"&amp;LLM_Data_Entry!$C$3:$C$548&amp;"|"&amp;LLM_Data_Entry!$D$3:$D$548,0),0))),"")</f>
        <v/>
      </c>
      <c r="AA71" s="152" t="n"/>
      <c r="AB71" s="152" t="inlineStr">
        <is>
          <t>price signal</t>
        </is>
      </c>
      <c r="AC71" s="152" t="inlineStr">
        <is>
          <t>LOW</t>
        </is>
      </c>
      <c r="AD71" s="152" t="inlineStr">
        <is>
          <t>2025-05-20</t>
        </is>
      </c>
      <c r="AE71" s="152" t="n">
        <v>225.3962</v>
      </c>
      <c r="AF71" s="152" t="inlineStr">
        <is>
          <t>2025-05-21</t>
        </is>
      </c>
      <c r="AG71" s="152" t="n">
        <v>226.8095</v>
      </c>
      <c r="AH71" s="152" t="n">
        <v>0.006270270910386287</v>
      </c>
      <c r="AI71" s="152" t="inlineStr">
        <is>
          <t>FLAT</t>
        </is>
      </c>
      <c r="AJ71" s="152" t="inlineStr">
        <is>
          <t>NO</t>
        </is>
      </c>
      <c r="AK71" s="152" t="n">
        <v>0.00527</v>
      </c>
      <c r="AL71" s="152">
        <f>IF($A71="","",IFERROR(INDEX(Company_List!$G$3:$G$207,MATCH($A71,Company_List!$A$3:$A$207,0)),"unassigned"))</f>
        <v/>
      </c>
      <c r="AM71" s="152" t="inlineStr">
        <is>
          <t>Phase 2/Lowe's/low-usq-transcript-2026-05-20-1.pdf</t>
        </is>
      </c>
      <c r="AN71" s="152" t="n"/>
      <c r="AO71" s="152" t="inlineStr">
        <is>
          <t>unique filename match</t>
        </is>
      </c>
      <c r="AP71" s="152">
        <f>IF($A71="","",IF(COUNTIFS(LLM_Data_Entry!$A$3:$A$548,$A71)&gt;0,"YES","NO"))</f>
        <v/>
      </c>
      <c r="AQ71" s="152">
        <f>IF($A71="","",IF(COUNTIFS($A$3:$A71,$A71,$C$3:$C71,$C71,$D$3:$D71,$D71)=1,"YES","NO"))</f>
        <v/>
      </c>
      <c r="AR71" s="152">
        <f>IF($A71="","",IF(AND($C71&amp;"-"&amp;$D71&gt;=Settings!$B$19,$C71&amp;"-"&amp;$D71&lt;=Settings!$B$20),"IN","OUT"))</f>
        <v/>
      </c>
      <c r="AS71" s="152">
        <f>IF($A71="","",IF($F71="Financial Results","financials",IF($F71="Outlook/Guidance","guidance",IF($F71="Transcript Q&amp;A","qanda",IF($F71="","unrecorded",IF($E71="All","full",IF($E71="","unrecorded",LOWER($E71)&amp;" only")))))))</f>
        <v/>
      </c>
      <c r="AT71" s="152">
        <f>IF(AND(OR($J71="BUY",$J71="SELL"),ISNUMBER($U71)),$U71,"")</f>
        <v/>
      </c>
      <c r="AU71" s="152">
        <f>IF(AND(OR($J71="BUY",$J71="SELL"),ISNUMBER($AK71)),$AK71,"")</f>
        <v/>
      </c>
      <c r="AV71" s="152">
        <f>IF(ISNUMBER($AT71),ABS(IF(ISNUMBER($I71),$I71,0)-Settings!$B$24),"")</f>
        <v/>
      </c>
      <c r="AW71" s="152">
        <f>IF(ISNUMBER($AV71),$AV71*$AT71,"")</f>
        <v/>
      </c>
      <c r="AX71" s="152">
        <f>IF(ISNUMBER($AU71),ABS(IF(ISNUMBER($I71),$I71,0)-Settings!$B$24),"")</f>
        <v/>
      </c>
      <c r="AY71" s="152" t="inlineStr">
        <is>
          <t>FROZEN</t>
        </is>
      </c>
      <c r="AZ71" s="152">
        <f>IF($A71="","",IFERROR(INDEX(Company_List!$H$3:$H$207,MATCH($A71,Company_List!$A$3:$A$207,0)),"unassigned"))</f>
        <v/>
      </c>
      <c r="BA71" s="152" t="n"/>
      <c r="BB71" s="152" t="n"/>
      <c r="BC71" s="152">
        <f>IF($A71="","",IF(COUNTIFS($A$3:$A71,$A71,$C$3:$C71,$C71,$D$3:$D71,$D71,$G$3:$G71,$G71)=1,1,0))</f>
        <v/>
      </c>
      <c r="BD71" s="152" t="n"/>
      <c r="BE71" s="152" t="n"/>
      <c r="BF71" s="152" t="n"/>
      <c r="BG71" s="152" t="inlineStr">
        <is>
          <t>no</t>
        </is>
      </c>
      <c r="BH71" s="152" t="n"/>
      <c r="BI71" s="152" t="n"/>
      <c r="BJ71" s="152" t="n"/>
      <c r="BK71" s="152">
        <f>IF(OR($H71&lt;&gt;"Human",$S71="",$J71="",$Y71="",$Z71=""),"",IF(EXACT(UPPER($J71),UPPER($Y71)),1,0))</f>
        <v/>
      </c>
      <c r="BL71" s="152" t="inlineStr">
        <is>
          <t>assumed - no rater record</t>
        </is>
      </c>
      <c r="BM71" s="152" t="n">
        <v>1</v>
      </c>
      <c r="BN71" s="152" t="inlineStr">
        <is>
          <t>Refinitiv / LSEG StreetEvents</t>
        </is>
      </c>
      <c r="BO71" s="152" t="inlineStr">
        <is>
          <t>licensed vendor</t>
        </is>
      </c>
      <c r="BP71" s="152" t="inlineStr">
        <is>
          <t>no</t>
        </is>
      </c>
      <c r="BQ71" s="152" t="inlineStr">
        <is>
          <t>no</t>
        </is>
      </c>
      <c r="BR71" s="152" t="n"/>
      <c r="BS71" s="152" t="inlineStr">
        <is>
          <t>YES</t>
        </is>
      </c>
      <c r="BT71" s="152" t="n"/>
    </row>
    <row r="72" ht="15" customHeight="1" s="241">
      <c r="A72" s="174" t="inlineStr">
        <is>
          <t>Walmart</t>
        </is>
      </c>
      <c r="B72" s="175">
        <f>IF(A72="","",_xlfn.XLOOKUP(A72, Company_List!$A:$A, Company_List!$B:$B, ""))</f>
        <v/>
      </c>
      <c r="C72" s="176" t="n">
        <v>2025</v>
      </c>
      <c r="D72" s="177" t="inlineStr">
        <is>
          <t>Q1</t>
        </is>
      </c>
      <c r="E72" s="178" t="inlineStr">
        <is>
          <t>Transcript</t>
        </is>
      </c>
      <c r="F72" s="178" t="inlineStr">
        <is>
          <t>All</t>
        </is>
      </c>
      <c r="G72" s="177" t="inlineStr">
        <is>
          <t>Abdul</t>
        </is>
      </c>
      <c r="H72" s="177" t="inlineStr">
        <is>
          <t>Human</t>
        </is>
      </c>
      <c r="I72" s="179" t="n">
        <v>-0.3</v>
      </c>
      <c r="J72" s="180">
        <f>IF(OR(I72="",Settings!$B$6=""),"",IF(I72&gt;Settings!$B$6,"BUY",IF(I72&lt;-Settings!$B$6,"SELL","HOLD")))</f>
        <v/>
      </c>
      <c r="K72" s="181" t="n">
        <v>30</v>
      </c>
      <c r="L72" s="182" t="n">
        <v>45792</v>
      </c>
      <c r="M72" s="182" t="n">
        <v>45791</v>
      </c>
      <c r="N72" s="179" t="n">
        <v>96.83</v>
      </c>
      <c r="O72" s="182" t="n">
        <v>45792</v>
      </c>
      <c r="P72" s="183" t="n">
        <v>94.3</v>
      </c>
      <c r="Q72" s="184">
        <f>IF(OR(N72="",P72=""),"",ROUND((P72-N72)/N72,4))</f>
        <v/>
      </c>
      <c r="R72" s="177">
        <f>IF(OR(N72="",P72=""),"",IF(Q72&gt;Settings!$B$3/100,"UP",IF(Q72&lt;-Settings!$B$3/100,"DOWN","FLAT")))</f>
        <v/>
      </c>
      <c r="S72" s="177">
        <f>IF(OR(N72="",P72="",J72=""),"",IF(OR(AND(J72="BUY",R72="UP"),AND(J72="SELL",R72="DOWN"),AND(J72="HOLD",R72="FLAT")),"YES","NO"))</f>
        <v/>
      </c>
      <c r="T72" s="176">
        <f>IF(J72="","",IF(J72="BUY",1,IF(J72="SELL",-1,0)))</f>
        <v/>
      </c>
      <c r="U72" s="184">
        <f>IFERROR(IF(OR(J72="",N72="",P72=""),"",IF(T72=0,0,T72*Q72-Settings!$B$4/10000-IF(T72&lt;0,Settings!$B$5/10000,0))),"")</f>
        <v/>
      </c>
      <c r="V72" s="185" t="n"/>
      <c r="W72" s="176">
        <f>IF($K72="","",$K72*60)</f>
        <v/>
      </c>
      <c r="X72" s="186">
        <f>IF($A72="","",$A72&amp;"|"&amp;$C72&amp;"|"&amp;$D72)</f>
        <v/>
      </c>
      <c r="Y72" s="186">
        <f>IFERROR(IF($X72="","",INDEX(LLM_Data_Entry!$H$3:$H$548,MATCH($X72,INDEX(LLM_Data_Entry!$A$3:$A$548&amp;"|"&amp;LLM_Data_Entry!$C$3:$C$548&amp;"|"&amp;LLM_Data_Entry!$D$3:$D$548,0),0))),"")</f>
        <v/>
      </c>
      <c r="Z72" s="186">
        <f>IFERROR(IF($X72="","",INDEX(LLM_Data_Entry!$R$3:$R$548,MATCH($X72,INDEX(LLM_Data_Entry!$A$3:$A$548&amp;"|"&amp;LLM_Data_Entry!$C$3:$C$548&amp;"|"&amp;LLM_Data_Entry!$D$3:$D$548,0),0))),"")</f>
        <v/>
      </c>
      <c r="AA72" s="152" t="n"/>
      <c r="AB72" s="152" t="inlineStr">
        <is>
          <t>price signal — only this window shows an abnormal move</t>
        </is>
      </c>
      <c r="AC72" s="152" t="inlineStr">
        <is>
          <t>WMT</t>
        </is>
      </c>
      <c r="AD72" s="152" t="inlineStr">
        <is>
          <t>2025-05-14</t>
        </is>
      </c>
      <c r="AE72" s="152" t="n">
        <v>96.0271</v>
      </c>
      <c r="AF72" s="152" t="inlineStr">
        <is>
          <t>2025-05-15</t>
        </is>
      </c>
      <c r="AG72" s="152" t="n">
        <v>93.5181</v>
      </c>
      <c r="AH72" s="152" t="n">
        <v>-0.02612822401329185</v>
      </c>
      <c r="AI72" s="152" t="inlineStr">
        <is>
          <t>DOWN</t>
        </is>
      </c>
      <c r="AJ72" s="152" t="inlineStr">
        <is>
          <t>YES</t>
        </is>
      </c>
      <c r="AK72" s="152" t="n">
        <v>0.025128</v>
      </c>
      <c r="AL72" s="152">
        <f>IF($A72="","",IFERROR(INDEX(Company_List!$G$3:$G$207,MATCH($A72,Company_List!$A$3:$A$207,0)),"unassigned"))</f>
        <v/>
      </c>
      <c r="AM72" s="152" t="inlineStr">
        <is>
          <t>Phase 2/Walmart/Q1 2025/q1-fy26-earnings-call-transcript.pdf</t>
        </is>
      </c>
      <c r="AN72" s="152" t="n"/>
      <c r="AO72" s="152" t="inlineStr">
        <is>
          <t>unique filename match</t>
        </is>
      </c>
      <c r="AP72" s="152">
        <f>IF($A72="","",IF(COUNTIFS(LLM_Data_Entry!$A$3:$A$548,$A72)&gt;0,"YES","NO"))</f>
        <v/>
      </c>
      <c r="AQ72" s="152">
        <f>IF($A72="","",IF(COUNTIFS($A$3:$A72,$A72,$C$3:$C72,$C72,$D$3:$D72,$D72)=1,"YES","NO"))</f>
        <v/>
      </c>
      <c r="AR72" s="152">
        <f>IF($A72="","",IF(AND($C72&amp;"-"&amp;$D72&gt;=Settings!$B$19,$C72&amp;"-"&amp;$D72&lt;=Settings!$B$20),"IN","OUT"))</f>
        <v/>
      </c>
      <c r="AS72" s="152">
        <f>IF($A72="","",IF($F72="Financial Results","financials",IF($F72="Outlook/Guidance","guidance",IF($F72="Transcript Q&amp;A","qanda",IF($F72="","unrecorded",IF($E72="All","full",IF($E72="","unrecorded",LOWER($E72)&amp;" only")))))))</f>
        <v/>
      </c>
      <c r="AT72" s="152">
        <f>IF(AND(OR($J72="BUY",$J72="SELL"),ISNUMBER($U72)),$U72,"")</f>
        <v/>
      </c>
      <c r="AU72" s="152">
        <f>IF(AND(OR($J72="BUY",$J72="SELL"),ISNUMBER($AK72)),$AK72,"")</f>
        <v/>
      </c>
      <c r="AV72" s="152">
        <f>IF(ISNUMBER($AT72),ABS(IF(ISNUMBER($I72),$I72,0)-Settings!$B$24),"")</f>
        <v/>
      </c>
      <c r="AW72" s="152">
        <f>IF(ISNUMBER($AV72),$AV72*$AT72,"")</f>
        <v/>
      </c>
      <c r="AX72" s="152">
        <f>IF(ISNUMBER($AU72),ABS(IF(ISNUMBER($I72),$I72,0)-Settings!$B$24),"")</f>
        <v/>
      </c>
      <c r="AY72" s="152" t="inlineStr">
        <is>
          <t>FROZEN</t>
        </is>
      </c>
      <c r="AZ72" s="152">
        <f>IF($A72="","",IFERROR(INDEX(Company_List!$H$3:$H$207,MATCH($A72,Company_List!$A$3:$A$207,0)),"unassigned"))</f>
        <v/>
      </c>
      <c r="BA72" s="152" t="n"/>
      <c r="BB72" s="152" t="n"/>
      <c r="BC72" s="152">
        <f>IF($A72="","",IF(COUNTIFS($A$3:$A72,$A72,$C$3:$C72,$C72,$D$3:$D72,$D72,$G$3:$G72,$G72)=1,1,0))</f>
        <v/>
      </c>
      <c r="BD72" s="152" t="n"/>
      <c r="BE72" s="152" t="n"/>
      <c r="BF72" s="152" t="n"/>
      <c r="BG72" s="152" t="inlineStr">
        <is>
          <t>no</t>
        </is>
      </c>
      <c r="BH72" s="152" t="n"/>
      <c r="BI72" s="152" t="n"/>
      <c r="BJ72" s="152" t="n"/>
      <c r="BK72" s="152">
        <f>IF(OR($H72&lt;&gt;"Human",$S72="",$J72="",$Y72="",$Z72=""),"",IF(EXACT(UPPER($J72),UPPER($Y72)),1,0))</f>
        <v/>
      </c>
      <c r="BL72" s="152" t="inlineStr">
        <is>
          <t>assumed - no rater record</t>
        </is>
      </c>
      <c r="BM72" s="152" t="n">
        <v>1</v>
      </c>
      <c r="BN72" s="152" t="inlineStr">
        <is>
          <t>FactSet CallStreet</t>
        </is>
      </c>
      <c r="BO72" s="152" t="inlineStr">
        <is>
          <t>licensed vendor</t>
        </is>
      </c>
      <c r="BP72" s="152" t="inlineStr">
        <is>
          <t>no</t>
        </is>
      </c>
      <c r="BQ72" s="152" t="inlineStr">
        <is>
          <t>no</t>
        </is>
      </c>
      <c r="BR72" s="152" t="n"/>
      <c r="BS72" s="152" t="inlineStr">
        <is>
          <t>YES</t>
        </is>
      </c>
      <c r="BT72" s="152" t="n"/>
    </row>
    <row r="73" ht="15" customHeight="1" s="241">
      <c r="A73" s="174" t="inlineStr">
        <is>
          <t>Walmart</t>
        </is>
      </c>
      <c r="B73" s="175">
        <f>IF(A73="","",_xlfn.XLOOKUP(A73, Company_List!$A:$A, Company_List!$B:$B, ""))</f>
        <v/>
      </c>
      <c r="C73" s="176" t="n">
        <v>2025</v>
      </c>
      <c r="D73" s="177" t="inlineStr">
        <is>
          <t>Q2</t>
        </is>
      </c>
      <c r="E73" s="178" t="inlineStr">
        <is>
          <t>Transcript</t>
        </is>
      </c>
      <c r="F73" s="178" t="inlineStr">
        <is>
          <t>All</t>
        </is>
      </c>
      <c r="G73" s="177" t="inlineStr">
        <is>
          <t>Abdul</t>
        </is>
      </c>
      <c r="H73" s="177" t="inlineStr">
        <is>
          <t>Human</t>
        </is>
      </c>
      <c r="I73" s="179" t="n">
        <v>0.4</v>
      </c>
      <c r="J73" s="180">
        <f>IF(OR(I73="",Settings!$B$6=""),"",IF(I73&gt;Settings!$B$6,"BUY",IF(I73&lt;-Settings!$B$6,"SELL","HOLD")))</f>
        <v/>
      </c>
      <c r="K73" s="181" t="n">
        <v>26</v>
      </c>
      <c r="L73" s="182" t="n">
        <v>45890</v>
      </c>
      <c r="M73" s="182" t="n">
        <v>45889</v>
      </c>
      <c r="N73" s="179" t="n">
        <v>102.57</v>
      </c>
      <c r="O73" s="182" t="n">
        <v>45890</v>
      </c>
      <c r="P73" s="183" t="n">
        <v>99.41</v>
      </c>
      <c r="Q73" s="184">
        <f>IF(OR(N73="",P73=""),"",ROUND((P73-N73)/N73,4))</f>
        <v/>
      </c>
      <c r="R73" s="177">
        <f>IF(OR(N73="",P73=""),"",IF(Q73&gt;Settings!$B$3/100,"UP",IF(Q73&lt;-Settings!$B$3/100,"DOWN","FLAT")))</f>
        <v/>
      </c>
      <c r="S73" s="177">
        <f>IF(OR(N73="",P73="",J73=""),"",IF(OR(AND(J73="BUY",R73="UP"),AND(J73="SELL",R73="DOWN"),AND(J73="HOLD",R73="FLAT")),"YES","NO"))</f>
        <v/>
      </c>
      <c r="T73" s="176">
        <f>IF(J73="","",IF(J73="BUY",1,IF(J73="SELL",-1,0)))</f>
        <v/>
      </c>
      <c r="U73" s="184">
        <f>IFERROR(IF(OR(J73="",N73="",P73=""),"",IF(T73=0,0,T73*Q73-Settings!$B$4/10000-IF(T73&lt;0,Settings!$B$5/10000,0))),"")</f>
        <v/>
      </c>
      <c r="V73" s="185" t="n"/>
      <c r="W73" s="176">
        <f>IF($K73="","",$K73*60)</f>
        <v/>
      </c>
      <c r="X73" s="186">
        <f>IF($A73="","",$A73&amp;"|"&amp;$C73&amp;"|"&amp;$D73)</f>
        <v/>
      </c>
      <c r="Y73" s="186">
        <f>IFERROR(IF($X73="","",INDEX(LLM_Data_Entry!$H$3:$H$548,MATCH($X73,INDEX(LLM_Data_Entry!$A$3:$A$548&amp;"|"&amp;LLM_Data_Entry!$C$3:$C$548&amp;"|"&amp;LLM_Data_Entry!$D$3:$D$548,0),0))),"")</f>
        <v/>
      </c>
      <c r="Z73" s="186">
        <f>IFERROR(IF($X73="","",INDEX(LLM_Data_Entry!$R$3:$R$548,MATCH($X73,INDEX(LLM_Data_Entry!$A$3:$A$548&amp;"|"&amp;LLM_Data_Entry!$C$3:$C$548&amp;"|"&amp;LLM_Data_Entry!$D$3:$D$548,0),0))),"")</f>
        <v/>
      </c>
      <c r="AA73" s="152" t="n"/>
      <c r="AB73" s="152" t="inlineStr">
        <is>
          <t>price signal — only this window shows an abnormal move</t>
        </is>
      </c>
      <c r="AC73" s="152" t="inlineStr">
        <is>
          <t>WMT</t>
        </is>
      </c>
      <c r="AD73" s="152" t="inlineStr">
        <is>
          <t>2025-08-20</t>
        </is>
      </c>
      <c r="AE73" s="152" t="n">
        <v>101.9571</v>
      </c>
      <c r="AF73" s="152" t="inlineStr">
        <is>
          <t>2025-08-21</t>
        </is>
      </c>
      <c r="AG73" s="152" t="n">
        <v>98.816</v>
      </c>
      <c r="AH73" s="152" t="n">
        <v>-0.03080822646605782</v>
      </c>
      <c r="AI73" s="152" t="inlineStr">
        <is>
          <t>DOWN</t>
        </is>
      </c>
      <c r="AJ73" s="152" t="inlineStr">
        <is>
          <t>NO</t>
        </is>
      </c>
      <c r="AK73" s="152" t="n">
        <v>-0.031808</v>
      </c>
      <c r="AL73" s="152">
        <f>IF($A73="","",IFERROR(INDEX(Company_List!$G$3:$G$207,MATCH($A73,Company_List!$A$3:$A$207,0)),"unassigned"))</f>
        <v/>
      </c>
      <c r="AM73" s="152" t="inlineStr">
        <is>
          <t>Phase 2/Walmart/Q2 2025/q2-fy26-earnings-call-transcript.pdf</t>
        </is>
      </c>
      <c r="AN73" s="152" t="n"/>
      <c r="AO73" s="152" t="inlineStr">
        <is>
          <t>unique filename match</t>
        </is>
      </c>
      <c r="AP73" s="152">
        <f>IF($A73="","",IF(COUNTIFS(LLM_Data_Entry!$A$3:$A$548,$A73)&gt;0,"YES","NO"))</f>
        <v/>
      </c>
      <c r="AQ73" s="152">
        <f>IF($A73="","",IF(COUNTIFS($A$3:$A73,$A73,$C$3:$C73,$C73,$D$3:$D73,$D73)=1,"YES","NO"))</f>
        <v/>
      </c>
      <c r="AR73" s="152">
        <f>IF($A73="","",IF(AND($C73&amp;"-"&amp;$D73&gt;=Settings!$B$19,$C73&amp;"-"&amp;$D73&lt;=Settings!$B$20),"IN","OUT"))</f>
        <v/>
      </c>
      <c r="AS73" s="152">
        <f>IF($A73="","",IF($F73="Financial Results","financials",IF($F73="Outlook/Guidance","guidance",IF($F73="Transcript Q&amp;A","qanda",IF($F73="","unrecorded",IF($E73="All","full",IF($E73="","unrecorded",LOWER($E73)&amp;" only")))))))</f>
        <v/>
      </c>
      <c r="AT73" s="152">
        <f>IF(AND(OR($J73="BUY",$J73="SELL"),ISNUMBER($U73)),$U73,"")</f>
        <v/>
      </c>
      <c r="AU73" s="152">
        <f>IF(AND(OR($J73="BUY",$J73="SELL"),ISNUMBER($AK73)),$AK73,"")</f>
        <v/>
      </c>
      <c r="AV73" s="152">
        <f>IF(ISNUMBER($AT73),ABS(IF(ISNUMBER($I73),$I73,0)-Settings!$B$24),"")</f>
        <v/>
      </c>
      <c r="AW73" s="152">
        <f>IF(ISNUMBER($AV73),$AV73*$AT73,"")</f>
        <v/>
      </c>
      <c r="AX73" s="152">
        <f>IF(ISNUMBER($AU73),ABS(IF(ISNUMBER($I73),$I73,0)-Settings!$B$24),"")</f>
        <v/>
      </c>
      <c r="AY73" s="152" t="inlineStr">
        <is>
          <t>FROZEN</t>
        </is>
      </c>
      <c r="AZ73" s="152">
        <f>IF($A73="","",IFERROR(INDEX(Company_List!$H$3:$H$207,MATCH($A73,Company_List!$A$3:$A$207,0)),"unassigned"))</f>
        <v/>
      </c>
      <c r="BA73" s="152" t="n"/>
      <c r="BB73" s="152" t="n"/>
      <c r="BC73" s="152">
        <f>IF($A73="","",IF(COUNTIFS($A$3:$A73,$A73,$C$3:$C73,$C73,$D$3:$D73,$D73,$G$3:$G73,$G73)=1,1,0))</f>
        <v/>
      </c>
      <c r="BD73" s="152" t="n"/>
      <c r="BE73" s="152" t="n"/>
      <c r="BF73" s="152" t="n"/>
      <c r="BG73" s="152" t="inlineStr">
        <is>
          <t>no</t>
        </is>
      </c>
      <c r="BH73" s="152" t="n"/>
      <c r="BI73" s="152" t="n"/>
      <c r="BJ73" s="152" t="n"/>
      <c r="BK73" s="152">
        <f>IF(OR($H73&lt;&gt;"Human",$S73="",$J73="",$Y73="",$Z73=""),"",IF(EXACT(UPPER($J73),UPPER($Y73)),1,0))</f>
        <v/>
      </c>
      <c r="BL73" s="152" t="inlineStr">
        <is>
          <t>assumed - no rater record</t>
        </is>
      </c>
      <c r="BM73" s="152" t="n">
        <v>1</v>
      </c>
      <c r="BN73" s="152" t="inlineStr">
        <is>
          <t>FactSet CallStreet</t>
        </is>
      </c>
      <c r="BO73" s="152" t="inlineStr">
        <is>
          <t>licensed vendor</t>
        </is>
      </c>
      <c r="BP73" s="152" t="inlineStr">
        <is>
          <t>no</t>
        </is>
      </c>
      <c r="BQ73" s="152" t="inlineStr">
        <is>
          <t>no</t>
        </is>
      </c>
      <c r="BR73" s="152" t="n"/>
      <c r="BS73" s="152" t="inlineStr">
        <is>
          <t>YES</t>
        </is>
      </c>
      <c r="BT73" s="152" t="n"/>
    </row>
    <row r="74" ht="15" customHeight="1" s="241">
      <c r="A74" s="174" t="inlineStr">
        <is>
          <t>Walmart</t>
        </is>
      </c>
      <c r="B74" s="175">
        <f>IF(A74="","",_xlfn.XLOOKUP(A74, Company_List!$A:$A, Company_List!$B:$B, ""))</f>
        <v/>
      </c>
      <c r="C74" s="176" t="n">
        <v>2025</v>
      </c>
      <c r="D74" s="177" t="inlineStr">
        <is>
          <t>Q3</t>
        </is>
      </c>
      <c r="E74" s="178" t="inlineStr">
        <is>
          <t>Transcript</t>
        </is>
      </c>
      <c r="F74" s="178" t="inlineStr">
        <is>
          <t>All</t>
        </is>
      </c>
      <c r="G74" s="177" t="inlineStr">
        <is>
          <t>Abdul</t>
        </is>
      </c>
      <c r="H74" s="177" t="inlineStr">
        <is>
          <t>Human</t>
        </is>
      </c>
      <c r="I74" s="179" t="n">
        <v>0.5</v>
      </c>
      <c r="J74" s="180">
        <f>IF(OR(I74="",Settings!$B$6=""),"",IF(I74&gt;Settings!$B$6,"BUY",IF(I74&lt;-Settings!$B$6,"SELL","HOLD")))</f>
        <v/>
      </c>
      <c r="K74" s="181" t="n">
        <v>24</v>
      </c>
      <c r="L74" s="182" t="n">
        <v>45981</v>
      </c>
      <c r="M74" s="182" t="n">
        <v>45980</v>
      </c>
      <c r="N74" s="179" t="n">
        <v>100.61</v>
      </c>
      <c r="O74" s="182" t="n">
        <v>45981</v>
      </c>
      <c r="P74" s="183" t="n">
        <v>103.94</v>
      </c>
      <c r="Q74" s="184">
        <f>IF(OR(N74="",P74=""),"",ROUND((P74-N74)/N74,4))</f>
        <v/>
      </c>
      <c r="R74" s="177">
        <f>IF(OR(N74="",P74=""),"",IF(Q74&gt;Settings!$B$3/100,"UP",IF(Q74&lt;-Settings!$B$3/100,"DOWN","FLAT")))</f>
        <v/>
      </c>
      <c r="S74" s="177">
        <f>IF(OR(N74="",P74="",J74=""),"",IF(OR(AND(J74="BUY",R74="UP"),AND(J74="SELL",R74="DOWN"),AND(J74="HOLD",R74="FLAT")),"YES","NO"))</f>
        <v/>
      </c>
      <c r="T74" s="176">
        <f>IF(J74="","",IF(J74="BUY",1,IF(J74="SELL",-1,0)))</f>
        <v/>
      </c>
      <c r="U74" s="184">
        <f>IFERROR(IF(OR(J74="",N74="",P74=""),"",IF(T74=0,0,T74*Q74-Settings!$B$4/10000-IF(T74&lt;0,Settings!$B$5/10000,0))),"")</f>
        <v/>
      </c>
      <c r="V74" s="185" t="n"/>
      <c r="W74" s="176">
        <f>IF($K74="","",$K74*60)</f>
        <v/>
      </c>
      <c r="X74" s="186">
        <f>IF($A74="","",$A74&amp;"|"&amp;$C74&amp;"|"&amp;$D74)</f>
        <v/>
      </c>
      <c r="Y74" s="186">
        <f>IFERROR(IF($X74="","",INDEX(LLM_Data_Entry!$H$3:$H$548,MATCH($X74,INDEX(LLM_Data_Entry!$A$3:$A$548&amp;"|"&amp;LLM_Data_Entry!$C$3:$C$548&amp;"|"&amp;LLM_Data_Entry!$D$3:$D$548,0),0))),"")</f>
        <v/>
      </c>
      <c r="Z74" s="186">
        <f>IFERROR(IF($X74="","",INDEX(LLM_Data_Entry!$R$3:$R$548,MATCH($X74,INDEX(LLM_Data_Entry!$A$3:$A$548&amp;"|"&amp;LLM_Data_Entry!$C$3:$C$548&amp;"|"&amp;LLM_Data_Entry!$D$3:$D$548,0),0))),"")</f>
        <v/>
      </c>
      <c r="AA74" s="152" t="n"/>
      <c r="AB74" s="152" t="inlineStr">
        <is>
          <t>price signal — only this window shows an abnormal move</t>
        </is>
      </c>
      <c r="AC74" s="152" t="inlineStr">
        <is>
          <t>WMT</t>
        </is>
      </c>
      <c r="AD74" s="152" t="inlineStr">
        <is>
          <t>2025-11-19</t>
        </is>
      </c>
      <c r="AE74" s="152" t="n">
        <v>100.0088</v>
      </c>
      <c r="AF74" s="152" t="inlineStr">
        <is>
          <t>2025-11-20</t>
        </is>
      </c>
      <c r="AG74" s="152" t="n">
        <v>103.3189</v>
      </c>
      <c r="AH74" s="152" t="n">
        <v>0.03309815846942354</v>
      </c>
      <c r="AI74" s="152" t="inlineStr">
        <is>
          <t>UP</t>
        </is>
      </c>
      <c r="AJ74" s="152" t="inlineStr">
        <is>
          <t>YES</t>
        </is>
      </c>
      <c r="AK74" s="152" t="n">
        <v>0.032098</v>
      </c>
      <c r="AL74" s="152">
        <f>IF($A74="","",IFERROR(INDEX(Company_List!$G$3:$G$207,MATCH($A74,Company_List!$A$3:$A$207,0)),"unassigned"))</f>
        <v/>
      </c>
      <c r="AM74" s="152" t="inlineStr">
        <is>
          <t>Phase 2/Walmart/Q3 2025/q3-fy26-earnings-call-transcript.pdf</t>
        </is>
      </c>
      <c r="AN74" s="152" t="n"/>
      <c r="AO74" s="152" t="inlineStr">
        <is>
          <t>unique filename match</t>
        </is>
      </c>
      <c r="AP74" s="152">
        <f>IF($A74="","",IF(COUNTIFS(LLM_Data_Entry!$A$3:$A$548,$A74)&gt;0,"YES","NO"))</f>
        <v/>
      </c>
      <c r="AQ74" s="152">
        <f>IF($A74="","",IF(COUNTIFS($A$3:$A74,$A74,$C$3:$C74,$C74,$D$3:$D74,$D74)=1,"YES","NO"))</f>
        <v/>
      </c>
      <c r="AR74" s="152">
        <f>IF($A74="","",IF(AND($C74&amp;"-"&amp;$D74&gt;=Settings!$B$19,$C74&amp;"-"&amp;$D74&lt;=Settings!$B$20),"IN","OUT"))</f>
        <v/>
      </c>
      <c r="AS74" s="152">
        <f>IF($A74="","",IF($F74="Financial Results","financials",IF($F74="Outlook/Guidance","guidance",IF($F74="Transcript Q&amp;A","qanda",IF($F74="","unrecorded",IF($E74="All","full",IF($E74="","unrecorded",LOWER($E74)&amp;" only")))))))</f>
        <v/>
      </c>
      <c r="AT74" s="152">
        <f>IF(AND(OR($J74="BUY",$J74="SELL"),ISNUMBER($U74)),$U74,"")</f>
        <v/>
      </c>
      <c r="AU74" s="152">
        <f>IF(AND(OR($J74="BUY",$J74="SELL"),ISNUMBER($AK74)),$AK74,"")</f>
        <v/>
      </c>
      <c r="AV74" s="152">
        <f>IF(ISNUMBER($AT74),ABS(IF(ISNUMBER($I74),$I74,0)-Settings!$B$24),"")</f>
        <v/>
      </c>
      <c r="AW74" s="152">
        <f>IF(ISNUMBER($AV74),$AV74*$AT74,"")</f>
        <v/>
      </c>
      <c r="AX74" s="152">
        <f>IF(ISNUMBER($AU74),ABS(IF(ISNUMBER($I74),$I74,0)-Settings!$B$24),"")</f>
        <v/>
      </c>
      <c r="AY74" s="152" t="inlineStr">
        <is>
          <t>FROZEN</t>
        </is>
      </c>
      <c r="AZ74" s="152">
        <f>IF($A74="","",IFERROR(INDEX(Company_List!$H$3:$H$207,MATCH($A74,Company_List!$A$3:$A$207,0)),"unassigned"))</f>
        <v/>
      </c>
      <c r="BA74" s="152" t="n"/>
      <c r="BB74" s="152" t="n"/>
      <c r="BC74" s="152">
        <f>IF($A74="","",IF(COUNTIFS($A$3:$A74,$A74,$C$3:$C74,$C74,$D$3:$D74,$D74,$G$3:$G74,$G74)=1,1,0))</f>
        <v/>
      </c>
      <c r="BD74" s="152" t="n"/>
      <c r="BE74" s="152" t="n"/>
      <c r="BF74" s="152" t="n"/>
      <c r="BG74" s="152" t="inlineStr">
        <is>
          <t>no</t>
        </is>
      </c>
      <c r="BH74" s="152" t="n"/>
      <c r="BI74" s="152" t="n"/>
      <c r="BJ74" s="152" t="n"/>
      <c r="BK74" s="152">
        <f>IF(OR($H74&lt;&gt;"Human",$S74="",$J74="",$Y74="",$Z74=""),"",IF(EXACT(UPPER($J74),UPPER($Y74)),1,0))</f>
        <v/>
      </c>
      <c r="BL74" s="152" t="inlineStr">
        <is>
          <t>assumed - no rater record</t>
        </is>
      </c>
      <c r="BM74" s="152" t="n">
        <v>1</v>
      </c>
      <c r="BN74" s="152" t="inlineStr">
        <is>
          <t>FactSet CallStreet</t>
        </is>
      </c>
      <c r="BO74" s="152" t="inlineStr">
        <is>
          <t>licensed vendor</t>
        </is>
      </c>
      <c r="BP74" s="152" t="inlineStr">
        <is>
          <t>no</t>
        </is>
      </c>
      <c r="BQ74" s="152" t="inlineStr">
        <is>
          <t>no</t>
        </is>
      </c>
      <c r="BR74" s="152" t="n"/>
      <c r="BS74" s="152" t="inlineStr">
        <is>
          <t>YES</t>
        </is>
      </c>
      <c r="BT74" s="152" t="n"/>
    </row>
    <row r="75" ht="15" customHeight="1" s="241">
      <c r="A75" s="174" t="inlineStr">
        <is>
          <t>Walmart</t>
        </is>
      </c>
      <c r="B75" s="175">
        <f>IF(A75="","",_xlfn.XLOOKUP(A75, Company_List!$A:$A, Company_List!$B:$B, ""))</f>
        <v/>
      </c>
      <c r="C75" s="176" t="n">
        <v>2025</v>
      </c>
      <c r="D75" s="177" t="inlineStr">
        <is>
          <t>Q4</t>
        </is>
      </c>
      <c r="E75" s="178" t="inlineStr">
        <is>
          <t>Transcript</t>
        </is>
      </c>
      <c r="F75" s="178" t="inlineStr">
        <is>
          <t>All</t>
        </is>
      </c>
      <c r="G75" s="177" t="inlineStr">
        <is>
          <t>Abdul</t>
        </is>
      </c>
      <c r="H75" s="177" t="inlineStr">
        <is>
          <t>Human</t>
        </is>
      </c>
      <c r="I75" s="179" t="n">
        <v>0.7</v>
      </c>
      <c r="J75" s="180">
        <f>IF(OR(I75="",Settings!$B$6=""),"",IF(I75&gt;Settings!$B$6,"BUY",IF(I75&lt;-Settings!$B$6,"SELL","HOLD")))</f>
        <v/>
      </c>
      <c r="K75" s="181" t="n">
        <v>21</v>
      </c>
      <c r="L75" s="182" t="n">
        <v>46072</v>
      </c>
      <c r="M75" s="182" t="n">
        <v>46071</v>
      </c>
      <c r="N75" s="179" t="n">
        <v>126.62</v>
      </c>
      <c r="O75" s="182" t="n">
        <v>46072</v>
      </c>
      <c r="P75" s="183" t="n">
        <v>128.5</v>
      </c>
      <c r="Q75" s="184">
        <f>IF(OR(N75="",P75=""),"",ROUND((P75-N75)/N75,4))</f>
        <v/>
      </c>
      <c r="R75" s="177">
        <f>IF(OR(N75="",P75=""),"",IF(Q75&gt;Settings!$B$3/100,"UP",IF(Q75&lt;-Settings!$B$3/100,"DOWN","FLAT")))</f>
        <v/>
      </c>
      <c r="S75" s="177">
        <f>IF(OR(N75="",P75="",J75=""),"",IF(OR(AND(J75="BUY",R75="UP"),AND(J75="SELL",R75="DOWN"),AND(J75="HOLD",R75="FLAT")),"YES","NO"))</f>
        <v/>
      </c>
      <c r="T75" s="176">
        <f>IF(J75="","",IF(J75="BUY",1,IF(J75="SELL",-1,0)))</f>
        <v/>
      </c>
      <c r="U75" s="184">
        <f>IFERROR(IF(OR(J75="",N75="",P75=""),"",IF(T75=0,0,T75*Q75-Settings!$B$4/10000-IF(T75&lt;0,Settings!$B$5/10000,0))),"")</f>
        <v/>
      </c>
      <c r="V75" s="185" t="n"/>
      <c r="W75" s="176">
        <f>IF($K75="","",$K75*60)</f>
        <v/>
      </c>
      <c r="X75" s="186">
        <f>IF($A75="","",$A75&amp;"|"&amp;$C75&amp;"|"&amp;$D75)</f>
        <v/>
      </c>
      <c r="Y75" s="186">
        <f>IFERROR(IF($X75="","",INDEX(LLM_Data_Entry!$H$3:$H$548,MATCH($X75,INDEX(LLM_Data_Entry!$A$3:$A$548&amp;"|"&amp;LLM_Data_Entry!$C$3:$C$548&amp;"|"&amp;LLM_Data_Entry!$D$3:$D$548,0),0))),"")</f>
        <v/>
      </c>
      <c r="Z75" s="186">
        <f>IFERROR(IF($X75="","",INDEX(LLM_Data_Entry!$R$3:$R$548,MATCH($X75,INDEX(LLM_Data_Entry!$A$3:$A$548&amp;"|"&amp;LLM_Data_Entry!$C$3:$C$548&amp;"|"&amp;LLM_Data_Entry!$D$3:$D$548,0),0))),"")</f>
        <v/>
      </c>
      <c r="AA75" s="152" t="n"/>
      <c r="AB75" s="152" t="inlineStr">
        <is>
          <t>price signal — only this window shows an abnormal move</t>
        </is>
      </c>
      <c r="AC75" s="152" t="inlineStr">
        <is>
          <t>WMT</t>
        </is>
      </c>
      <c r="AD75" s="152" t="inlineStr">
        <is>
          <t>2026-02-18</t>
        </is>
      </c>
      <c r="AE75" s="152" t="n">
        <v>126.12</v>
      </c>
      <c r="AF75" s="152" t="inlineStr">
        <is>
          <t>2026-02-19</t>
        </is>
      </c>
      <c r="AG75" s="152" t="n">
        <v>127.9926</v>
      </c>
      <c r="AH75" s="152" t="n">
        <v>0.01484756150853842</v>
      </c>
      <c r="AI75" s="152" t="inlineStr">
        <is>
          <t>FLAT</t>
        </is>
      </c>
      <c r="AJ75" s="152" t="inlineStr">
        <is>
          <t>NO</t>
        </is>
      </c>
      <c r="AK75" s="152" t="n">
        <v>0.013848</v>
      </c>
      <c r="AL75" s="152">
        <f>IF($A75="","",IFERROR(INDEX(Company_List!$G$3:$G$207,MATCH($A75,Company_List!$A$3:$A$207,0)),"unassigned"))</f>
        <v/>
      </c>
      <c r="AM75" s="152" t="inlineStr">
        <is>
          <t>Phase 2/Walmart/Q4 2025/q4-fy26-earnings-call-transcript.pdf</t>
        </is>
      </c>
      <c r="AN75" s="152" t="n"/>
      <c r="AO75" s="152" t="inlineStr">
        <is>
          <t>unique filename match</t>
        </is>
      </c>
      <c r="AP75" s="152">
        <f>IF($A75="","",IF(COUNTIFS(LLM_Data_Entry!$A$3:$A$548,$A75)&gt;0,"YES","NO"))</f>
        <v/>
      </c>
      <c r="AQ75" s="152">
        <f>IF($A75="","",IF(COUNTIFS($A$3:$A75,$A75,$C$3:$C75,$C75,$D$3:$D75,$D75)=1,"YES","NO"))</f>
        <v/>
      </c>
      <c r="AR75" s="152">
        <f>IF($A75="","",IF(AND($C75&amp;"-"&amp;$D75&gt;=Settings!$B$19,$C75&amp;"-"&amp;$D75&lt;=Settings!$B$20),"IN","OUT"))</f>
        <v/>
      </c>
      <c r="AS75" s="152">
        <f>IF($A75="","",IF($F75="Financial Results","financials",IF($F75="Outlook/Guidance","guidance",IF($F75="Transcript Q&amp;A","qanda",IF($F75="","unrecorded",IF($E75="All","full",IF($E75="","unrecorded",LOWER($E75)&amp;" only")))))))</f>
        <v/>
      </c>
      <c r="AT75" s="152">
        <f>IF(AND(OR($J75="BUY",$J75="SELL"),ISNUMBER($U75)),$U75,"")</f>
        <v/>
      </c>
      <c r="AU75" s="152">
        <f>IF(AND(OR($J75="BUY",$J75="SELL"),ISNUMBER($AK75)),$AK75,"")</f>
        <v/>
      </c>
      <c r="AV75" s="152">
        <f>IF(ISNUMBER($AT75),ABS(IF(ISNUMBER($I75),$I75,0)-Settings!$B$24),"")</f>
        <v/>
      </c>
      <c r="AW75" s="152">
        <f>IF(ISNUMBER($AV75),$AV75*$AT75,"")</f>
        <v/>
      </c>
      <c r="AX75" s="152">
        <f>IF(ISNUMBER($AU75),ABS(IF(ISNUMBER($I75),$I75,0)-Settings!$B$24),"")</f>
        <v/>
      </c>
      <c r="AY75" s="152" t="inlineStr">
        <is>
          <t>FROZEN</t>
        </is>
      </c>
      <c r="AZ75" s="152">
        <f>IF($A75="","",IFERROR(INDEX(Company_List!$H$3:$H$207,MATCH($A75,Company_List!$A$3:$A$207,0)),"unassigned"))</f>
        <v/>
      </c>
      <c r="BA75" s="152" t="n"/>
      <c r="BB75" s="152" t="n"/>
      <c r="BC75" s="152">
        <f>IF($A75="","",IF(COUNTIFS($A$3:$A75,$A75,$C$3:$C75,$C75,$D$3:$D75,$D75,$G$3:$G75,$G75)=1,1,0))</f>
        <v/>
      </c>
      <c r="BD75" s="152" t="n"/>
      <c r="BE75" s="152" t="n"/>
      <c r="BF75" s="152" t="n"/>
      <c r="BG75" s="152" t="inlineStr">
        <is>
          <t>no</t>
        </is>
      </c>
      <c r="BH75" s="152" t="n"/>
      <c r="BI75" s="152" t="n"/>
      <c r="BJ75" s="152" t="n"/>
      <c r="BK75" s="152">
        <f>IF(OR($H75&lt;&gt;"Human",$S75="",$J75="",$Y75="",$Z75=""),"",IF(EXACT(UPPER($J75),UPPER($Y75)),1,0))</f>
        <v/>
      </c>
      <c r="BL75" s="152" t="inlineStr">
        <is>
          <t>assumed - no rater record</t>
        </is>
      </c>
      <c r="BM75" s="152" t="n">
        <v>1</v>
      </c>
      <c r="BN75" s="152" t="inlineStr">
        <is>
          <t>FactSet CallStreet</t>
        </is>
      </c>
      <c r="BO75" s="152" t="inlineStr">
        <is>
          <t>licensed vendor</t>
        </is>
      </c>
      <c r="BP75" s="152" t="inlineStr">
        <is>
          <t>no</t>
        </is>
      </c>
      <c r="BQ75" s="152" t="inlineStr">
        <is>
          <t>no</t>
        </is>
      </c>
      <c r="BR75" s="152" t="n"/>
      <c r="BS75" s="152" t="inlineStr">
        <is>
          <t>YES</t>
        </is>
      </c>
      <c r="BT75" s="152" t="n"/>
    </row>
    <row r="76" ht="15" customHeight="1" s="241">
      <c r="A76" s="174" t="inlineStr">
        <is>
          <t>Walmart</t>
        </is>
      </c>
      <c r="B76" s="175">
        <f>IF(A76="","",_xlfn.XLOOKUP(A76, Company_List!$A:$A, Company_List!$B:$B, ""))</f>
        <v/>
      </c>
      <c r="C76" s="176" t="n">
        <v>2026</v>
      </c>
      <c r="D76" s="177" t="inlineStr">
        <is>
          <t>Q1</t>
        </is>
      </c>
      <c r="E76" s="178" t="inlineStr">
        <is>
          <t>Transcript</t>
        </is>
      </c>
      <c r="F76" s="178" t="inlineStr">
        <is>
          <t>All</t>
        </is>
      </c>
      <c r="G76" s="177" t="inlineStr">
        <is>
          <t>Abdul</t>
        </is>
      </c>
      <c r="H76" s="177" t="inlineStr">
        <is>
          <t>Human</t>
        </is>
      </c>
      <c r="I76" s="179" t="n">
        <v>-0.5</v>
      </c>
      <c r="J76" s="180">
        <f>IF(OR(I76="",Settings!$B$6=""),"",IF(I76&gt;Settings!$B$6,"BUY",IF(I76&lt;-Settings!$B$6,"SELL","HOLD")))</f>
        <v/>
      </c>
      <c r="K76" s="181" t="n">
        <v>27</v>
      </c>
      <c r="L76" s="182" t="n">
        <v>46163</v>
      </c>
      <c r="M76" s="182" t="n">
        <v>46162</v>
      </c>
      <c r="N76" s="179" t="n">
        <v>130.85</v>
      </c>
      <c r="O76" s="182" t="n">
        <v>46163</v>
      </c>
      <c r="P76" s="183" t="n">
        <v>124.41</v>
      </c>
      <c r="Q76" s="184">
        <f>IF(OR(N76="",P76=""),"",ROUND((P76-N76)/N76,4))</f>
        <v/>
      </c>
      <c r="R76" s="177">
        <f>IF(OR(N76="",P76=""),"",IF(Q76&gt;Settings!$B$3/100,"UP",IF(Q76&lt;-Settings!$B$3/100,"DOWN","FLAT")))</f>
        <v/>
      </c>
      <c r="S76" s="177">
        <f>IF(OR(N76="",P76="",J76=""),"",IF(OR(AND(J76="BUY",R76="UP"),AND(J76="SELL",R76="DOWN"),AND(J76="HOLD",R76="FLAT")),"YES","NO"))</f>
        <v/>
      </c>
      <c r="T76" s="176">
        <f>IF(J76="","",IF(J76="BUY",1,IF(J76="SELL",-1,0)))</f>
        <v/>
      </c>
      <c r="U76" s="184">
        <f>IFERROR(IF(OR(J76="",N76="",P76=""),"",IF(T76=0,0,T76*Q76-Settings!$B$4/10000-IF(T76&lt;0,Settings!$B$5/10000,0))),"")</f>
        <v/>
      </c>
      <c r="V76" s="185" t="n"/>
      <c r="W76" s="176">
        <f>IF($K76="","",$K76*60)</f>
        <v/>
      </c>
      <c r="X76" s="186">
        <f>IF($A76="","",$A76&amp;"|"&amp;$C76&amp;"|"&amp;$D76)</f>
        <v/>
      </c>
      <c r="Y76" s="186">
        <f>IFERROR(IF($X76="","",INDEX(LLM_Data_Entry!$H$3:$H$548,MATCH($X76,INDEX(LLM_Data_Entry!$A$3:$A$548&amp;"|"&amp;LLM_Data_Entry!$C$3:$C$548&amp;"|"&amp;LLM_Data_Entry!$D$3:$D$548,0),0))),"")</f>
        <v/>
      </c>
      <c r="Z76" s="186">
        <f>IFERROR(IF($X76="","",INDEX(LLM_Data_Entry!$R$3:$R$548,MATCH($X76,INDEX(LLM_Data_Entry!$A$3:$A$548&amp;"|"&amp;LLM_Data_Entry!$C$3:$C$548&amp;"|"&amp;LLM_Data_Entry!$D$3:$D$548,0),0))),"")</f>
        <v/>
      </c>
      <c r="AA76" s="152" t="n"/>
      <c r="AB76" s="152" t="inlineStr">
        <is>
          <t>price signal — both moved; this one dominates</t>
        </is>
      </c>
      <c r="AC76" s="152" t="inlineStr">
        <is>
          <t>WMT</t>
        </is>
      </c>
      <c r="AD76" s="152" t="inlineStr">
        <is>
          <t>2026-05-20</t>
        </is>
      </c>
      <c r="AE76" s="152" t="n">
        <v>130.85</v>
      </c>
      <c r="AF76" s="152" t="inlineStr">
        <is>
          <t>2026-05-21</t>
        </is>
      </c>
      <c r="AG76" s="152" t="n">
        <v>124.41</v>
      </c>
      <c r="AH76" s="152" t="n">
        <v>-0.04921667332594548</v>
      </c>
      <c r="AI76" s="152" t="inlineStr">
        <is>
          <t>DOWN</t>
        </is>
      </c>
      <c r="AJ76" s="152" t="inlineStr">
        <is>
          <t>YES</t>
        </is>
      </c>
      <c r="AK76" s="152" t="n">
        <v>0.048217</v>
      </c>
      <c r="AL76" s="152">
        <f>IF($A76="","",IFERROR(INDEX(Company_List!$G$3:$G$207,MATCH($A76,Company_List!$A$3:$A$207,0)),"unassigned"))</f>
        <v/>
      </c>
      <c r="AM76" s="152" t="inlineStr">
        <is>
          <t>Phase 2/Walmart/Q1 2026/q1-fy27-earnings-call-transcript.pdf</t>
        </is>
      </c>
      <c r="AN76" s="152" t="n"/>
      <c r="AO76" s="152" t="inlineStr">
        <is>
          <t>unique filename match</t>
        </is>
      </c>
      <c r="AP76" s="152">
        <f>IF($A76="","",IF(COUNTIFS(LLM_Data_Entry!$A$3:$A$548,$A76)&gt;0,"YES","NO"))</f>
        <v/>
      </c>
      <c r="AQ76" s="152">
        <f>IF($A76="","",IF(COUNTIFS($A$3:$A76,$A76,$C$3:$C76,$C76,$D$3:$D76,$D76)=1,"YES","NO"))</f>
        <v/>
      </c>
      <c r="AR76" s="152">
        <f>IF($A76="","",IF(AND($C76&amp;"-"&amp;$D76&gt;=Settings!$B$19,$C76&amp;"-"&amp;$D76&lt;=Settings!$B$20),"IN","OUT"))</f>
        <v/>
      </c>
      <c r="AS76" s="152">
        <f>IF($A76="","",IF($F76="Financial Results","financials",IF($F76="Outlook/Guidance","guidance",IF($F76="Transcript Q&amp;A","qanda",IF($F76="","unrecorded",IF($E76="All","full",IF($E76="","unrecorded",LOWER($E76)&amp;" only")))))))</f>
        <v/>
      </c>
      <c r="AT76" s="152">
        <f>IF(AND(OR($J76="BUY",$J76="SELL"),ISNUMBER($U76)),$U76,"")</f>
        <v/>
      </c>
      <c r="AU76" s="152">
        <f>IF(AND(OR($J76="BUY",$J76="SELL"),ISNUMBER($AK76)),$AK76,"")</f>
        <v/>
      </c>
      <c r="AV76" s="152">
        <f>IF(ISNUMBER($AT76),ABS(IF(ISNUMBER($I76),$I76,0)-Settings!$B$24),"")</f>
        <v/>
      </c>
      <c r="AW76" s="152">
        <f>IF(ISNUMBER($AV76),$AV76*$AT76,"")</f>
        <v/>
      </c>
      <c r="AX76" s="152">
        <f>IF(ISNUMBER($AU76),ABS(IF(ISNUMBER($I76),$I76,0)-Settings!$B$24),"")</f>
        <v/>
      </c>
      <c r="AY76" s="152" t="inlineStr">
        <is>
          <t>FROZEN</t>
        </is>
      </c>
      <c r="AZ76" s="152">
        <f>IF($A76="","",IFERROR(INDEX(Company_List!$H$3:$H$207,MATCH($A76,Company_List!$A$3:$A$207,0)),"unassigned"))</f>
        <v/>
      </c>
      <c r="BA76" s="152" t="n"/>
      <c r="BB76" s="152" t="n"/>
      <c r="BC76" s="152">
        <f>IF($A76="","",IF(COUNTIFS($A$3:$A76,$A76,$C$3:$C76,$C76,$D$3:$D76,$D76,$G$3:$G76,$G76)=1,1,0))</f>
        <v/>
      </c>
      <c r="BD76" s="152" t="n"/>
      <c r="BE76" s="152" t="n"/>
      <c r="BF76" s="152" t="n"/>
      <c r="BG76" s="152" t="inlineStr">
        <is>
          <t>no</t>
        </is>
      </c>
      <c r="BH76" s="152" t="n"/>
      <c r="BI76" s="152" t="n"/>
      <c r="BJ76" s="152" t="n"/>
      <c r="BK76" s="152">
        <f>IF(OR($H76&lt;&gt;"Human",$S76="",$J76="",$Y76="",$Z76=""),"",IF(EXACT(UPPER($J76),UPPER($Y76)),1,0))</f>
        <v/>
      </c>
      <c r="BL76" s="152" t="inlineStr">
        <is>
          <t>assumed - no rater record</t>
        </is>
      </c>
      <c r="BM76" s="152" t="n">
        <v>1</v>
      </c>
      <c r="BN76" s="152" t="inlineStr">
        <is>
          <t>FactSet CallStreet</t>
        </is>
      </c>
      <c r="BO76" s="152" t="inlineStr">
        <is>
          <t>licensed vendor</t>
        </is>
      </c>
      <c r="BP76" s="152" t="inlineStr">
        <is>
          <t>no</t>
        </is>
      </c>
      <c r="BQ76" s="152" t="inlineStr">
        <is>
          <t>no</t>
        </is>
      </c>
      <c r="BR76" s="152" t="n"/>
      <c r="BS76" s="152" t="inlineStr">
        <is>
          <t>YES</t>
        </is>
      </c>
      <c r="BT76" s="152" t="n"/>
    </row>
    <row r="77" ht="15" customHeight="1" s="241">
      <c r="A77" s="174" t="inlineStr">
        <is>
          <t>Citigroup</t>
        </is>
      </c>
      <c r="B77" s="175">
        <f>IF(A77="","",_xlfn.XLOOKUP(A77, Company_List!$A:$A, Company_List!$B:$B, ""))</f>
        <v/>
      </c>
      <c r="C77" s="176" t="n">
        <v>2025</v>
      </c>
      <c r="D77" s="177" t="inlineStr">
        <is>
          <t>Q1</t>
        </is>
      </c>
      <c r="E77" s="178" t="inlineStr">
        <is>
          <t>All</t>
        </is>
      </c>
      <c r="F77" s="178" t="inlineStr">
        <is>
          <t>All</t>
        </is>
      </c>
      <c r="G77" s="177" t="inlineStr">
        <is>
          <t>Nigel</t>
        </is>
      </c>
      <c r="H77" s="177" t="inlineStr">
        <is>
          <t>Human</t>
        </is>
      </c>
      <c r="I77" s="179" t="n">
        <v>0.6</v>
      </c>
      <c r="J77" s="180">
        <f>IF(OR(I77="",Settings!$B$6=""),"",IF(I77&gt;Settings!$B$6,"BUY",IF(I77&lt;-Settings!$B$6,"SELL","HOLD")))</f>
        <v/>
      </c>
      <c r="K77" s="181" t="n">
        <v>38</v>
      </c>
      <c r="L77" s="182" t="n">
        <v>45762</v>
      </c>
      <c r="M77" s="182" t="n">
        <v>45761</v>
      </c>
      <c r="N77" s="179" t="n">
        <v>63.22</v>
      </c>
      <c r="O77" s="182" t="n">
        <v>45762</v>
      </c>
      <c r="P77" s="183" t="n">
        <v>64.19</v>
      </c>
      <c r="Q77" s="184">
        <f>IF(OR(N77="",P77=""),"",ROUND((P77-N77)/N77,4))</f>
        <v/>
      </c>
      <c r="R77" s="177">
        <f>IF(OR(N77="",P77=""),"",IF(Q77&gt;Settings!$B$3/100,"UP",IF(Q77&lt;-Settings!$B$3/100,"DOWN","FLAT")))</f>
        <v/>
      </c>
      <c r="S77" s="177">
        <f>IF(OR(N77="",P77="",J77=""),"",IF(OR(AND(J77="BUY",R77="UP"),AND(J77="SELL",R77="DOWN"),AND(J77="HOLD",R77="FLAT")),"YES","NO"))</f>
        <v/>
      </c>
      <c r="T77" s="176">
        <f>IF(J77="","",IF(J77="BUY",1,IF(J77="SELL",-1,0)))</f>
        <v/>
      </c>
      <c r="U77" s="184">
        <f>IFERROR(IF(OR(J77="",N77="",P77=""),"",IF(T77=0,0,T77*Q77-Settings!$B$4/10000-IF(T77&lt;0,Settings!$B$5/10000,0))),"")</f>
        <v/>
      </c>
      <c r="V77" s="185" t="inlineStr">
        <is>
          <t>Net income up on strength in the remaining divisions despite a sharp decline in "All Others", showing resilience; customer loyalty and demand holding though clients turning more cautious on financial decisions; strategy in place to stay resilient through conflict and volatility. Confident tone.</t>
        </is>
      </c>
      <c r="W77" s="176">
        <f>IF($K77="","",$K77*60)</f>
        <v/>
      </c>
      <c r="X77" s="186">
        <f>IF($A77="","",$A77&amp;"|"&amp;$C77&amp;"|"&amp;$D77)</f>
        <v/>
      </c>
      <c r="Y77" s="186">
        <f>IFERROR(IF($X77="","",INDEX(LLM_Data_Entry!$H$3:$H$548,MATCH($X77,INDEX(LLM_Data_Entry!$A$3:$A$548&amp;"|"&amp;LLM_Data_Entry!$C$3:$C$548&amp;"|"&amp;LLM_Data_Entry!$D$3:$D$548,0),0))),"")</f>
        <v/>
      </c>
      <c r="Z77" s="186">
        <f>IFERROR(IF($X77="","",INDEX(LLM_Data_Entry!$R$3:$R$548,MATCH($X77,INDEX(LLM_Data_Entry!$A$3:$A$548&amp;"|"&amp;LLM_Data_Entry!$C$3:$C$548&amp;"|"&amp;LLM_Data_Entry!$D$3:$D$548,0),0))),"")</f>
        <v/>
      </c>
      <c r="AA77" s="152" t="n"/>
      <c r="AB77" s="152" t="inlineStr">
        <is>
          <t>earnings calendar, seconded by the issuer's habit</t>
        </is>
      </c>
      <c r="AC77" s="152" t="inlineStr">
        <is>
          <t>C</t>
        </is>
      </c>
      <c r="AD77" s="152" t="inlineStr">
        <is>
          <t>2025-04-14</t>
        </is>
      </c>
      <c r="AE77" s="152" t="n">
        <v>61.0179</v>
      </c>
      <c r="AF77" s="152" t="inlineStr">
        <is>
          <t>2025-04-15</t>
        </is>
      </c>
      <c r="AG77" s="152" t="n">
        <v>61.9541</v>
      </c>
      <c r="AH77" s="152" t="n">
        <v>0.01534335565834782</v>
      </c>
      <c r="AI77" s="152" t="inlineStr">
        <is>
          <t>FLAT</t>
        </is>
      </c>
      <c r="AJ77" s="152" t="inlineStr">
        <is>
          <t>NO</t>
        </is>
      </c>
      <c r="AK77" s="152" t="n">
        <v>0.014343</v>
      </c>
      <c r="AL77" s="152">
        <f>IF($A77="","",IFERROR(INDEX(Company_List!$G$3:$G$207,MATCH($A77,Company_List!$A$3:$A$207,0)),"unassigned"))</f>
        <v/>
      </c>
      <c r="AM77" s="152" t="inlineStr">
        <is>
          <t>Phase 2/Citigroup/Q1/2025psqtr1rslt.pdf; Phase 2/Citigroup/Q1/2025prqtr1rslt.pdf; Phase 2/Citigroup/Q1/2025fsqtr1rslt.pdf</t>
        </is>
      </c>
      <c r="AN77" s="152" t="n"/>
      <c r="AO77" s="152" t="inlineStr">
        <is>
          <t>whole bundle (Document = All)</t>
        </is>
      </c>
      <c r="AP77" s="152">
        <f>IF($A77="","",IF(COUNTIFS(LLM_Data_Entry!$A$3:$A$548,$A77)&gt;0,"YES","NO"))</f>
        <v/>
      </c>
      <c r="AQ77" s="152">
        <f>IF($A77="","",IF(COUNTIFS($A$3:$A77,$A77,$C$3:$C77,$C77,$D$3:$D77,$D77)=1,"YES","NO"))</f>
        <v/>
      </c>
      <c r="AR77" s="152">
        <f>IF($A77="","",IF(AND($C77&amp;"-"&amp;$D77&gt;=Settings!$B$19,$C77&amp;"-"&amp;$D77&lt;=Settings!$B$20),"IN","OUT"))</f>
        <v/>
      </c>
      <c r="AS77" s="152">
        <f>IF($A77="","",IF($F77="Financial Results","financials",IF($F77="Outlook/Guidance","guidance",IF($F77="Transcript Q&amp;A","qanda",IF($F77="","unrecorded",IF($E77="All","full",IF($E77="","unrecorded",LOWER($E77)&amp;" only")))))))</f>
        <v/>
      </c>
      <c r="AT77" s="152">
        <f>IF(AND(OR($J77="BUY",$J77="SELL"),ISNUMBER($U77)),$U77,"")</f>
        <v/>
      </c>
      <c r="AU77" s="152">
        <f>IF(AND(OR($J77="BUY",$J77="SELL"),ISNUMBER($AK77)),$AK77,"")</f>
        <v/>
      </c>
      <c r="AV77" s="152">
        <f>IF(ISNUMBER($AT77),ABS(IF(ISNUMBER($I77),$I77,0)-Settings!$B$24),"")</f>
        <v/>
      </c>
      <c r="AW77" s="152">
        <f>IF(ISNUMBER($AV77),$AV77*$AT77,"")</f>
        <v/>
      </c>
      <c r="AX77" s="152">
        <f>IF(ISNUMBER($AU77),ABS(IF(ISNUMBER($I77),$I77,0)-Settings!$B$24),"")</f>
        <v/>
      </c>
      <c r="AY77" s="152" t="inlineStr">
        <is>
          <t>FROZEN</t>
        </is>
      </c>
      <c r="AZ77" s="152">
        <f>IF($A77="","",IFERROR(INDEX(Company_List!$H$3:$H$207,MATCH($A77,Company_List!$A$3:$A$207,0)),"unassigned"))</f>
        <v/>
      </c>
      <c r="BA77" s="152" t="n"/>
      <c r="BB77" s="152" t="n"/>
      <c r="BC77" s="152">
        <f>IF($A77="","",IF(COUNTIFS($A$3:$A77,$A77,$C$3:$C77,$C77,$D$3:$D77,$D77,$G$3:$G77,$G77)=1,1,0))</f>
        <v/>
      </c>
      <c r="BD77" s="152" t="n"/>
      <c r="BE77" s="152" t="n"/>
      <c r="BF77" s="152" t="n"/>
      <c r="BG77" s="152" t="inlineStr">
        <is>
          <t>no</t>
        </is>
      </c>
      <c r="BH77" s="152" t="n"/>
      <c r="BI77" s="152" t="n"/>
      <c r="BJ77" s="152" t="n"/>
      <c r="BK77" s="152">
        <f>IF(OR($H77&lt;&gt;"Human",$S77="",$J77="",$Y77="",$Z77=""),"",IF(EXACT(UPPER($J77),UPPER($Y77)),1,0))</f>
        <v/>
      </c>
      <c r="BL77" s="152" t="inlineStr">
        <is>
          <t>assumed - no rater record</t>
        </is>
      </c>
      <c r="BM77" s="152" t="n">
        <v>3</v>
      </c>
      <c r="BN77" s="152" t="inlineStr">
        <is>
          <t>not publisher-identified</t>
        </is>
      </c>
      <c r="BO77" s="152" t="inlineStr">
        <is>
          <t>not publisher-identified</t>
        </is>
      </c>
      <c r="BP77" s="152" t="inlineStr">
        <is>
          <t>no</t>
        </is>
      </c>
      <c r="BQ77" s="152" t="inlineStr">
        <is>
          <t>no</t>
        </is>
      </c>
      <c r="BR77" s="152" t="n"/>
      <c r="BS77" s="152" t="inlineStr">
        <is>
          <t>YES</t>
        </is>
      </c>
      <c r="BT77" s="152" t="n"/>
    </row>
    <row r="78" ht="15" customHeight="1" s="241">
      <c r="A78" s="174" t="inlineStr">
        <is>
          <t>Citigroup</t>
        </is>
      </c>
      <c r="B78" s="175">
        <f>IF(A78="","",_xlfn.XLOOKUP(A78, Company_List!$A:$A, Company_List!$B:$B, ""))</f>
        <v/>
      </c>
      <c r="C78" s="176" t="n">
        <v>2025</v>
      </c>
      <c r="D78" s="177" t="inlineStr">
        <is>
          <t>Q2</t>
        </is>
      </c>
      <c r="E78" s="178" t="inlineStr">
        <is>
          <t>All</t>
        </is>
      </c>
      <c r="F78" s="178" t="inlineStr">
        <is>
          <t>All</t>
        </is>
      </c>
      <c r="G78" s="177" t="inlineStr">
        <is>
          <t>Nigel</t>
        </is>
      </c>
      <c r="H78" s="177" t="inlineStr">
        <is>
          <t>Human</t>
        </is>
      </c>
      <c r="I78" s="179" t="n">
        <v>0.4</v>
      </c>
      <c r="J78" s="180">
        <f>IF(OR(I78="",Settings!$B$6=""),"",IF(I78&gt;Settings!$B$6,"BUY",IF(I78&lt;-Settings!$B$6,"SELL","HOLD")))</f>
        <v/>
      </c>
      <c r="K78" s="181" t="n">
        <v>25</v>
      </c>
      <c r="L78" s="182" t="n">
        <v>45853</v>
      </c>
      <c r="M78" s="182" t="n">
        <v>45852</v>
      </c>
      <c r="N78" s="179" t="n">
        <v>87.5</v>
      </c>
      <c r="O78" s="182" t="n">
        <v>45853</v>
      </c>
      <c r="P78" s="183" t="n">
        <v>88.65000000000001</v>
      </c>
      <c r="Q78" s="184">
        <f>IF(OR(N78="",P78=""),"",ROUND((P78-N78)/N78,4))</f>
        <v/>
      </c>
      <c r="R78" s="177">
        <f>IF(OR(N78="",P78=""),"",IF(Q78&gt;Settings!$B$3/100,"UP",IF(Q78&lt;-Settings!$B$3/100,"DOWN","FLAT")))</f>
        <v/>
      </c>
      <c r="S78" s="177">
        <f>IF(OR(N78="",P78="",J78=""),"",IF(OR(AND(J78="BUY",R78="UP"),AND(J78="SELL",R78="DOWN"),AND(J78="HOLD",R78="FLAT")),"YES","NO"))</f>
        <v/>
      </c>
      <c r="T78" s="176">
        <f>IF(J78="","",IF(J78="BUY",1,IF(J78="SELL",-1,0)))</f>
        <v/>
      </c>
      <c r="U78" s="184">
        <f>IFERROR(IF(OR(J78="",N78="",P78=""),"",IF(T78=0,0,T78*Q78-Settings!$B$4/10000-IF(T78&lt;0,Settings!$B$5/10000,0))),"")</f>
        <v/>
      </c>
      <c r="V78" s="185" t="inlineStr">
        <is>
          <t>Revenue up 8% and net income higher despite "All Others" declining, with strength across remaining divisions; best second-quarter Equities performance since 2020; results holding up across different environments; business simplified and streamlined; stress test showing scope for further capital return and evidence of derisking; higher tech investment including AI tools; buffers retained against volatility. Confident tone on outlook.</t>
        </is>
      </c>
      <c r="W78" s="176">
        <f>IF($K78="","",$K78*60)</f>
        <v/>
      </c>
      <c r="X78" s="186">
        <f>IF($A78="","",$A78&amp;"|"&amp;$C78&amp;"|"&amp;$D78)</f>
        <v/>
      </c>
      <c r="Y78" s="186">
        <f>IFERROR(IF($X78="","",INDEX(LLM_Data_Entry!$H$3:$H$548,MATCH($X78,INDEX(LLM_Data_Entry!$A$3:$A$548&amp;"|"&amp;LLM_Data_Entry!$C$3:$C$548&amp;"|"&amp;LLM_Data_Entry!$D$3:$D$548,0),0))),"")</f>
        <v/>
      </c>
      <c r="Z78" s="186">
        <f>IFERROR(IF($X78="","",INDEX(LLM_Data_Entry!$R$3:$R$548,MATCH($X78,INDEX(LLM_Data_Entry!$A$3:$A$548&amp;"|"&amp;LLM_Data_Entry!$C$3:$C$548&amp;"|"&amp;LLM_Data_Entry!$D$3:$D$548,0),0))),"")</f>
        <v/>
      </c>
      <c r="AA78" s="152" t="n"/>
      <c r="AB78" s="152" t="inlineStr">
        <is>
          <t>document date + price signal</t>
        </is>
      </c>
      <c r="AC78" s="152" t="inlineStr">
        <is>
          <t>C</t>
        </is>
      </c>
      <c r="AD78" s="152" t="inlineStr">
        <is>
          <t>2025-07-14</t>
        </is>
      </c>
      <c r="AE78" s="152" t="n">
        <v>85.12739999999999</v>
      </c>
      <c r="AF78" s="152" t="inlineStr">
        <is>
          <t>2025-07-15</t>
        </is>
      </c>
      <c r="AG78" s="152" t="n">
        <v>86.24630000000001</v>
      </c>
      <c r="AH78" s="152" t="n">
        <v>0.01314288227646826</v>
      </c>
      <c r="AI78" s="152" t="inlineStr">
        <is>
          <t>FLAT</t>
        </is>
      </c>
      <c r="AJ78" s="152" t="inlineStr">
        <is>
          <t>NO</t>
        </is>
      </c>
      <c r="AK78" s="152" t="n">
        <v>0.012143</v>
      </c>
      <c r="AL78" s="152">
        <f>IF($A78="","",IFERROR(INDEX(Company_List!$G$3:$G$207,MATCH($A78,Company_List!$A$3:$A$207,0)),"unassigned"))</f>
        <v/>
      </c>
      <c r="AM78" s="152" t="inlineStr">
        <is>
          <t>Phase 2/Citigroup/Q2/2025psqtr2rslt.pdf; Phase 2/Citigroup/Q2/2025prqtr2rslt.pdf; Phase 2/Citigroup/Q2/2025fsqtr2rslt.pdf</t>
        </is>
      </c>
      <c r="AN78" s="152" t="n"/>
      <c r="AO78" s="152" t="inlineStr">
        <is>
          <t>whole bundle (Document = All)</t>
        </is>
      </c>
      <c r="AP78" s="152">
        <f>IF($A78="","",IF(COUNTIFS(LLM_Data_Entry!$A$3:$A$548,$A78)&gt;0,"YES","NO"))</f>
        <v/>
      </c>
      <c r="AQ78" s="152">
        <f>IF($A78="","",IF(COUNTIFS($A$3:$A78,$A78,$C$3:$C78,$C78,$D$3:$D78,$D78)=1,"YES","NO"))</f>
        <v/>
      </c>
      <c r="AR78" s="152">
        <f>IF($A78="","",IF(AND($C78&amp;"-"&amp;$D78&gt;=Settings!$B$19,$C78&amp;"-"&amp;$D78&lt;=Settings!$B$20),"IN","OUT"))</f>
        <v/>
      </c>
      <c r="AS78" s="152">
        <f>IF($A78="","",IF($F78="Financial Results","financials",IF($F78="Outlook/Guidance","guidance",IF($F78="Transcript Q&amp;A","qanda",IF($F78="","unrecorded",IF($E78="All","full",IF($E78="","unrecorded",LOWER($E78)&amp;" only")))))))</f>
        <v/>
      </c>
      <c r="AT78" s="152">
        <f>IF(AND(OR($J78="BUY",$J78="SELL"),ISNUMBER($U78)),$U78,"")</f>
        <v/>
      </c>
      <c r="AU78" s="152">
        <f>IF(AND(OR($J78="BUY",$J78="SELL"),ISNUMBER($AK78)),$AK78,"")</f>
        <v/>
      </c>
      <c r="AV78" s="152">
        <f>IF(ISNUMBER($AT78),ABS(IF(ISNUMBER($I78),$I78,0)-Settings!$B$24),"")</f>
        <v/>
      </c>
      <c r="AW78" s="152">
        <f>IF(ISNUMBER($AV78),$AV78*$AT78,"")</f>
        <v/>
      </c>
      <c r="AX78" s="152">
        <f>IF(ISNUMBER($AU78),ABS(IF(ISNUMBER($I78),$I78,0)-Settings!$B$24),"")</f>
        <v/>
      </c>
      <c r="AY78" s="152" t="inlineStr">
        <is>
          <t>FROZEN</t>
        </is>
      </c>
      <c r="AZ78" s="152">
        <f>IF($A78="","",IFERROR(INDEX(Company_List!$H$3:$H$207,MATCH($A78,Company_List!$A$3:$A$207,0)),"unassigned"))</f>
        <v/>
      </c>
      <c r="BA78" s="152" t="n"/>
      <c r="BB78" s="152" t="n"/>
      <c r="BC78" s="152">
        <f>IF($A78="","",IF(COUNTIFS($A$3:$A78,$A78,$C$3:$C78,$C78,$D$3:$D78,$D78,$G$3:$G78,$G78)=1,1,0))</f>
        <v/>
      </c>
      <c r="BD78" s="152" t="n"/>
      <c r="BE78" s="152" t="n"/>
      <c r="BF78" s="152" t="n"/>
      <c r="BG78" s="152" t="inlineStr">
        <is>
          <t>no</t>
        </is>
      </c>
      <c r="BH78" s="152" t="n"/>
      <c r="BI78" s="152" t="n"/>
      <c r="BJ78" s="152" t="n"/>
      <c r="BK78" s="152">
        <f>IF(OR($H78&lt;&gt;"Human",$S78="",$J78="",$Y78="",$Z78=""),"",IF(EXACT(UPPER($J78),UPPER($Y78)),1,0))</f>
        <v/>
      </c>
      <c r="BL78" s="152" t="inlineStr">
        <is>
          <t>assumed - no rater record</t>
        </is>
      </c>
      <c r="BM78" s="152" t="n">
        <v>3</v>
      </c>
      <c r="BN78" s="152" t="inlineStr">
        <is>
          <t>not publisher-identified</t>
        </is>
      </c>
      <c r="BO78" s="152" t="inlineStr">
        <is>
          <t>not publisher-identified</t>
        </is>
      </c>
      <c r="BP78" s="152" t="inlineStr">
        <is>
          <t>no</t>
        </is>
      </c>
      <c r="BQ78" s="152" t="inlineStr">
        <is>
          <t>no</t>
        </is>
      </c>
      <c r="BR78" s="152" t="n"/>
      <c r="BS78" s="152" t="inlineStr">
        <is>
          <t>YES</t>
        </is>
      </c>
      <c r="BT78" s="152" t="n"/>
    </row>
    <row r="79" ht="15" customHeight="1" s="241">
      <c r="A79" s="174" t="inlineStr">
        <is>
          <t>Citigroup</t>
        </is>
      </c>
      <c r="B79" s="175">
        <f>IF(A79="","",_xlfn.XLOOKUP(A79, Company_List!$A:$A, Company_List!$B:$B, ""))</f>
        <v/>
      </c>
      <c r="C79" s="176" t="n">
        <v>2025</v>
      </c>
      <c r="D79" s="177" t="inlineStr">
        <is>
          <t>Q3</t>
        </is>
      </c>
      <c r="E79" s="178" t="inlineStr">
        <is>
          <t>All</t>
        </is>
      </c>
      <c r="F79" s="178" t="inlineStr">
        <is>
          <t>All</t>
        </is>
      </c>
      <c r="G79" s="177" t="inlineStr">
        <is>
          <t>Nigel</t>
        </is>
      </c>
      <c r="H79" s="177" t="inlineStr">
        <is>
          <t>Human</t>
        </is>
      </c>
      <c r="I79" s="179" t="n">
        <v>0.8</v>
      </c>
      <c r="J79" s="180">
        <f>IF(OR(I79="",Settings!$B$6=""),"",IF(I79&gt;Settings!$B$6,"BUY",IF(I79&lt;-Settings!$B$6,"SELL","HOLD")))</f>
        <v/>
      </c>
      <c r="K79" s="181" t="n">
        <v>21</v>
      </c>
      <c r="L79" s="182" t="n">
        <v>45944</v>
      </c>
      <c r="M79" s="182" t="n">
        <v>45943</v>
      </c>
      <c r="N79" s="179" t="n">
        <v>96.09999999999999</v>
      </c>
      <c r="O79" s="182" t="n">
        <v>45944</v>
      </c>
      <c r="P79" s="183" t="n">
        <v>95.37</v>
      </c>
      <c r="Q79" s="184">
        <f>IF(OR(N79="",P79=""),"",ROUND((P79-N79)/N79,4))</f>
        <v/>
      </c>
      <c r="R79" s="177">
        <f>IF(OR(N79="",P79=""),"",IF(Q79&gt;Settings!$B$3/100,"UP",IF(Q79&lt;-Settings!$B$3/100,"DOWN","FLAT")))</f>
        <v/>
      </c>
      <c r="S79" s="177">
        <f>IF(OR(N79="",P79="",J79=""),"",IF(OR(AND(J79="BUY",R79="UP"),AND(J79="SELL",R79="DOWN"),AND(J79="HOLD",R79="FLAT")),"YES","NO"))</f>
        <v/>
      </c>
      <c r="T79" s="176">
        <f>IF(J79="","",IF(J79="BUY",1,IF(J79="SELL",-1,0)))</f>
        <v/>
      </c>
      <c r="U79" s="184">
        <f>IFERROR(IF(OR(J79="",N79="",P79=""),"",IF(T79=0,0,T79*Q79-Settings!$B$4/10000-IF(T79&lt;0,Settings!$B$5/10000,0))),"")</f>
        <v/>
      </c>
      <c r="V79" s="185" t="inlineStr">
        <is>
          <t>Record third-quarter revenue including the sale of a 25% equity stake in Grupo Financiero; Services posted its best quarter ever and Markets its best third quarter ever; record Net New Investment assets; returns improving quarter after quarter; transformation, simplification and digitisation delivering results; new Co-Heads of M&amp;A and a strategic partnership with BlackRock; Banamex IPO planned. Greater tariff clarity easing volatility, confident tone.</t>
        </is>
      </c>
      <c r="W79" s="176">
        <f>IF($K79="","",$K79*60)</f>
        <v/>
      </c>
      <c r="X79" s="186">
        <f>IF($A79="","",$A79&amp;"|"&amp;$C79&amp;"|"&amp;$D79)</f>
        <v/>
      </c>
      <c r="Y79" s="186">
        <f>IFERROR(IF($X79="","",INDEX(LLM_Data_Entry!$H$3:$H$548,MATCH($X79,INDEX(LLM_Data_Entry!$A$3:$A$548&amp;"|"&amp;LLM_Data_Entry!$C$3:$C$548&amp;"|"&amp;LLM_Data_Entry!$D$3:$D$548,0),0))),"")</f>
        <v/>
      </c>
      <c r="Z79" s="186">
        <f>IFERROR(IF($X79="","",INDEX(LLM_Data_Entry!$R$3:$R$548,MATCH($X79,INDEX(LLM_Data_Entry!$A$3:$A$548&amp;"|"&amp;LLM_Data_Entry!$C$3:$C$548&amp;"|"&amp;LLM_Data_Entry!$D$3:$D$548,0),0))),"")</f>
        <v/>
      </c>
      <c r="AA79" s="152" t="n"/>
      <c r="AB79" s="152" t="inlineStr">
        <is>
          <t>earnings calendar, seconded by the issuer's habit</t>
        </is>
      </c>
      <c r="AC79" s="152" t="inlineStr">
        <is>
          <t>C</t>
        </is>
      </c>
      <c r="AD79" s="152" t="inlineStr">
        <is>
          <t>2025-10-13</t>
        </is>
      </c>
      <c r="AE79" s="152" t="n">
        <v>94.1091</v>
      </c>
      <c r="AF79" s="152" t="inlineStr">
        <is>
          <t>2025-10-14</t>
        </is>
      </c>
      <c r="AG79" s="152" t="n">
        <v>93.3943</v>
      </c>
      <c r="AH79" s="152" t="n">
        <v>-0.007596170444705547</v>
      </c>
      <c r="AI79" s="152" t="inlineStr">
        <is>
          <t>FLAT</t>
        </is>
      </c>
      <c r="AJ79" s="152" t="inlineStr">
        <is>
          <t>NO</t>
        </is>
      </c>
      <c r="AK79" s="152" t="n">
        <v>-0.008595999999999999</v>
      </c>
      <c r="AL79" s="152">
        <f>IF($A79="","",IFERROR(INDEX(Company_List!$G$3:$G$207,MATCH($A79,Company_List!$A$3:$A$207,0)),"unassigned"))</f>
        <v/>
      </c>
      <c r="AM79" s="152" t="inlineStr">
        <is>
          <t>Phase 2/Citigroup/Q3/2025psqtr3rslt.pdf; Phase 2/Citigroup/Q3/2025psqtr3-transcript.pdf; Phase 2/Citigroup/Q3/2025prqtr3rslt.pdf; Phase 2/Citigroup/Q3/2025fsqtr3rslt.pdf</t>
        </is>
      </c>
      <c r="AN79" s="152" t="n"/>
      <c r="AO79" s="152" t="inlineStr">
        <is>
          <t>whole bundle (Document = All)</t>
        </is>
      </c>
      <c r="AP79" s="152">
        <f>IF($A79="","",IF(COUNTIFS(LLM_Data_Entry!$A$3:$A$548,$A79)&gt;0,"YES","NO"))</f>
        <v/>
      </c>
      <c r="AQ79" s="152">
        <f>IF($A79="","",IF(COUNTIFS($A$3:$A79,$A79,$C$3:$C79,$C79,$D$3:$D79,$D79)=1,"YES","NO"))</f>
        <v/>
      </c>
      <c r="AR79" s="152">
        <f>IF($A79="","",IF(AND($C79&amp;"-"&amp;$D79&gt;=Settings!$B$19,$C79&amp;"-"&amp;$D79&lt;=Settings!$B$20),"IN","OUT"))</f>
        <v/>
      </c>
      <c r="AS79" s="152">
        <f>IF($A79="","",IF($F79="Financial Results","financials",IF($F79="Outlook/Guidance","guidance",IF($F79="Transcript Q&amp;A","qanda",IF($F79="","unrecorded",IF($E79="All","full",IF($E79="","unrecorded",LOWER($E79)&amp;" only")))))))</f>
        <v/>
      </c>
      <c r="AT79" s="152">
        <f>IF(AND(OR($J79="BUY",$J79="SELL"),ISNUMBER($U79)),$U79,"")</f>
        <v/>
      </c>
      <c r="AU79" s="152">
        <f>IF(AND(OR($J79="BUY",$J79="SELL"),ISNUMBER($AK79)),$AK79,"")</f>
        <v/>
      </c>
      <c r="AV79" s="152">
        <f>IF(ISNUMBER($AT79),ABS(IF(ISNUMBER($I79),$I79,0)-Settings!$B$24),"")</f>
        <v/>
      </c>
      <c r="AW79" s="152">
        <f>IF(ISNUMBER($AV79),$AV79*$AT79,"")</f>
        <v/>
      </c>
      <c r="AX79" s="152">
        <f>IF(ISNUMBER($AU79),ABS(IF(ISNUMBER($I79),$I79,0)-Settings!$B$24),"")</f>
        <v/>
      </c>
      <c r="AY79" s="152" t="inlineStr">
        <is>
          <t>FROZEN</t>
        </is>
      </c>
      <c r="AZ79" s="152">
        <f>IF($A79="","",IFERROR(INDEX(Company_List!$H$3:$H$207,MATCH($A79,Company_List!$A$3:$A$207,0)),"unassigned"))</f>
        <v/>
      </c>
      <c r="BA79" s="152" t="n"/>
      <c r="BB79" s="152" t="n"/>
      <c r="BC79" s="152">
        <f>IF($A79="","",IF(COUNTIFS($A$3:$A79,$A79,$C$3:$C79,$C79,$D$3:$D79,$D79,$G$3:$G79,$G79)=1,1,0))</f>
        <v/>
      </c>
      <c r="BD79" s="152" t="n"/>
      <c r="BE79" s="152" t="n"/>
      <c r="BF79" s="152" t="n"/>
      <c r="BG79" s="152" t="inlineStr">
        <is>
          <t>no</t>
        </is>
      </c>
      <c r="BH79" s="152" t="n"/>
      <c r="BI79" s="152" t="n"/>
      <c r="BJ79" s="152" t="n"/>
      <c r="BK79" s="152">
        <f>IF(OR($H79&lt;&gt;"Human",$S79="",$J79="",$Y79="",$Z79=""),"",IF(EXACT(UPPER($J79),UPPER($Y79)),1,0))</f>
        <v/>
      </c>
      <c r="BL79" s="152" t="inlineStr">
        <is>
          <t>assumed - no rater record</t>
        </is>
      </c>
      <c r="BM79" s="152" t="n">
        <v>4</v>
      </c>
      <c r="BN79" s="152" t="inlineStr">
        <is>
          <t>not publisher-identified</t>
        </is>
      </c>
      <c r="BO79" s="152" t="inlineStr">
        <is>
          <t>not publisher-identified</t>
        </is>
      </c>
      <c r="BP79" s="152" t="inlineStr">
        <is>
          <t>no</t>
        </is>
      </c>
      <c r="BQ79" s="152" t="inlineStr">
        <is>
          <t>no</t>
        </is>
      </c>
      <c r="BR79" s="152" t="n"/>
      <c r="BS79" s="152" t="inlineStr">
        <is>
          <t>YES</t>
        </is>
      </c>
      <c r="BT79" s="152" t="n"/>
    </row>
    <row r="80" ht="15" customHeight="1" s="241">
      <c r="A80" s="174" t="inlineStr">
        <is>
          <t>Citigroup</t>
        </is>
      </c>
      <c r="B80" s="175">
        <f>IF(A80="","",_xlfn.XLOOKUP(A80, Company_List!$A:$A, Company_List!$B:$B, ""))</f>
        <v/>
      </c>
      <c r="C80" s="176" t="n">
        <v>2025</v>
      </c>
      <c r="D80" s="177" t="inlineStr">
        <is>
          <t>Q4</t>
        </is>
      </c>
      <c r="E80" s="178" t="inlineStr">
        <is>
          <t>All</t>
        </is>
      </c>
      <c r="F80" s="178" t="inlineStr">
        <is>
          <t>All</t>
        </is>
      </c>
      <c r="G80" s="177" t="inlineStr">
        <is>
          <t>Nigel</t>
        </is>
      </c>
      <c r="H80" s="177" t="inlineStr">
        <is>
          <t>Human</t>
        </is>
      </c>
      <c r="I80" s="179" t="n">
        <v>0.2</v>
      </c>
      <c r="J80" s="180">
        <f>IF(OR(I80="",Settings!$B$6=""),"",IF(I80&gt;Settings!$B$6,"BUY",IF(I80&lt;-Settings!$B$6,"SELL","HOLD")))</f>
        <v/>
      </c>
      <c r="K80" s="181" t="n">
        <v>18</v>
      </c>
      <c r="L80" s="182" t="n">
        <v>46036</v>
      </c>
      <c r="M80" s="182" t="n">
        <v>46035</v>
      </c>
      <c r="N80" s="179" t="n">
        <v>116.3</v>
      </c>
      <c r="O80" s="182" t="n">
        <v>46036</v>
      </c>
      <c r="P80" s="183" t="n">
        <v>117.91</v>
      </c>
      <c r="Q80" s="184">
        <f>IF(OR(N80="",P80=""),"",ROUND((P80-N80)/N80,4))</f>
        <v/>
      </c>
      <c r="R80" s="177">
        <f>IF(OR(N80="",P80=""),"",IF(Q80&gt;Settings!$B$3/100,"UP",IF(Q80&lt;-Settings!$B$3/100,"DOWN","FLAT")))</f>
        <v/>
      </c>
      <c r="S80" s="177">
        <f>IF(OR(N80="",P80="",J80=""),"",IF(OR(AND(J80="BUY",R80="UP"),AND(J80="SELL",R80="DOWN"),AND(J80="HOLD",R80="FLAT")),"YES","NO"))</f>
        <v/>
      </c>
      <c r="T80" s="176">
        <f>IF(J80="","",IF(J80="BUY",1,IF(J80="SELL",-1,0)))</f>
        <v/>
      </c>
      <c r="U80" s="184">
        <f>IFERROR(IF(OR(J80="",N80="",P80=""),"",IF(T80=0,0,T80*Q80-Settings!$B$4/10000-IF(T80&lt;0,Settings!$B$5/10000,0))),"")</f>
        <v/>
      </c>
      <c r="V80" s="185" t="inlineStr">
        <is>
          <t>Revenue up though growth slower than prior quarters; EPS down; Markets revenue down but Banking revenue up sharply on a record year for the division; "All Others" revenue still down; largest return of capital to shareholders since the pandemic; transformation and digitisation progressing. Solid full year but Q4 improvement weaker than Q1-Q3, confident tone with growing market optimism.</t>
        </is>
      </c>
      <c r="W80" s="176">
        <f>IF($K80="","",$K80*60)</f>
        <v/>
      </c>
      <c r="X80" s="186">
        <f>IF($A80="","",$A80&amp;"|"&amp;$C80&amp;"|"&amp;$D80)</f>
        <v/>
      </c>
      <c r="Y80" s="186">
        <f>IFERROR(IF($X80="","",INDEX(LLM_Data_Entry!$H$3:$H$548,MATCH($X80,INDEX(LLM_Data_Entry!$A$3:$A$548&amp;"|"&amp;LLM_Data_Entry!$C$3:$C$548&amp;"|"&amp;LLM_Data_Entry!$D$3:$D$548,0),0))),"")</f>
        <v/>
      </c>
      <c r="Z80" s="186">
        <f>IFERROR(IF($X80="","",INDEX(LLM_Data_Entry!$R$3:$R$548,MATCH($X80,INDEX(LLM_Data_Entry!$A$3:$A$548&amp;"|"&amp;LLM_Data_Entry!$C$3:$C$548&amp;"|"&amp;LLM_Data_Entry!$D$3:$D$548,0),0))),"")</f>
        <v/>
      </c>
      <c r="AA80" s="152" t="n"/>
      <c r="AB80" s="152" t="inlineStr">
        <is>
          <t>price signal</t>
        </is>
      </c>
      <c r="AC80" s="152" t="inlineStr">
        <is>
          <t>C</t>
        </is>
      </c>
      <c r="AD80" s="152" t="inlineStr">
        <is>
          <t>2026-01-13</t>
        </is>
      </c>
      <c r="AE80" s="152" t="n">
        <v>114.5697</v>
      </c>
      <c r="AF80" s="152" t="inlineStr">
        <is>
          <t>2026-01-14</t>
        </is>
      </c>
      <c r="AG80" s="152" t="n">
        <v>116.1558</v>
      </c>
      <c r="AH80" s="152" t="n">
        <v>0.01384353209791019</v>
      </c>
      <c r="AI80" s="152" t="inlineStr">
        <is>
          <t>FLAT</t>
        </is>
      </c>
      <c r="AJ80" s="152" t="inlineStr">
        <is>
          <t>YES</t>
        </is>
      </c>
      <c r="AK80" s="152" t="n">
        <v>0</v>
      </c>
      <c r="AL80" s="152">
        <f>IF($A80="","",IFERROR(INDEX(Company_List!$G$3:$G$207,MATCH($A80,Company_List!$A$3:$A$207,0)),"unassigned"))</f>
        <v/>
      </c>
      <c r="AM80" s="152" t="inlineStr">
        <is>
          <t>Phase 2/Citigroup/Q4/2025psqtr4rslt.pdf; Phase 2/Citigroup/Q4/2025psqtr4-transcript.pdf; Phase 2/Citigroup/Q4/2025prqtr4rslt.pdf; Phase 2/Citigroup/Q4/2025fsqtr4rslt.pdf</t>
        </is>
      </c>
      <c r="AN80" s="152" t="n"/>
      <c r="AO80" s="152" t="inlineStr">
        <is>
          <t>whole bundle (Document = All)</t>
        </is>
      </c>
      <c r="AP80" s="152">
        <f>IF($A80="","",IF(COUNTIFS(LLM_Data_Entry!$A$3:$A$548,$A80)&gt;0,"YES","NO"))</f>
        <v/>
      </c>
      <c r="AQ80" s="152">
        <f>IF($A80="","",IF(COUNTIFS($A$3:$A80,$A80,$C$3:$C80,$C80,$D$3:$D80,$D80)=1,"YES","NO"))</f>
        <v/>
      </c>
      <c r="AR80" s="152">
        <f>IF($A80="","",IF(AND($C80&amp;"-"&amp;$D80&gt;=Settings!$B$19,$C80&amp;"-"&amp;$D80&lt;=Settings!$B$20),"IN","OUT"))</f>
        <v/>
      </c>
      <c r="AS80" s="152">
        <f>IF($A80="","",IF($F80="Financial Results","financials",IF($F80="Outlook/Guidance","guidance",IF($F80="Transcript Q&amp;A","qanda",IF($F80="","unrecorded",IF($E80="All","full",IF($E80="","unrecorded",LOWER($E80)&amp;" only")))))))</f>
        <v/>
      </c>
      <c r="AT80" s="152">
        <f>IF(AND(OR($J80="BUY",$J80="SELL"),ISNUMBER($U80)),$U80,"")</f>
        <v/>
      </c>
      <c r="AU80" s="152">
        <f>IF(AND(OR($J80="BUY",$J80="SELL"),ISNUMBER($AK80)),$AK80,"")</f>
        <v/>
      </c>
      <c r="AV80" s="152">
        <f>IF(ISNUMBER($AT80),ABS(IF(ISNUMBER($I80),$I80,0)-Settings!$B$24),"")</f>
        <v/>
      </c>
      <c r="AW80" s="152">
        <f>IF(ISNUMBER($AV80),$AV80*$AT80,"")</f>
        <v/>
      </c>
      <c r="AX80" s="152">
        <f>IF(ISNUMBER($AU80),ABS(IF(ISNUMBER($I80),$I80,0)-Settings!$B$24),"")</f>
        <v/>
      </c>
      <c r="AY80" s="152" t="inlineStr">
        <is>
          <t>FROZEN</t>
        </is>
      </c>
      <c r="AZ80" s="152">
        <f>IF($A80="","",IFERROR(INDEX(Company_List!$H$3:$H$207,MATCH($A80,Company_List!$A$3:$A$207,0)),"unassigned"))</f>
        <v/>
      </c>
      <c r="BA80" s="152" t="n"/>
      <c r="BB80" s="152" t="n"/>
      <c r="BC80" s="152">
        <f>IF($A80="","",IF(COUNTIFS($A$3:$A80,$A80,$C$3:$C80,$C80,$D$3:$D80,$D80,$G$3:$G80,$G80)=1,1,0))</f>
        <v/>
      </c>
      <c r="BD80" s="152" t="n"/>
      <c r="BE80" s="152" t="n"/>
      <c r="BF80" s="152" t="n"/>
      <c r="BG80" s="152" t="inlineStr">
        <is>
          <t>no</t>
        </is>
      </c>
      <c r="BH80" s="152" t="n"/>
      <c r="BI80" s="152" t="n"/>
      <c r="BJ80" s="152" t="n"/>
      <c r="BK80" s="152">
        <f>IF(OR($H80&lt;&gt;"Human",$S80="",$J80="",$Y80="",$Z80=""),"",IF(EXACT(UPPER($J80),UPPER($Y80)),1,0))</f>
        <v/>
      </c>
      <c r="BL80" s="152" t="inlineStr">
        <is>
          <t>assumed - no rater record</t>
        </is>
      </c>
      <c r="BM80" s="152" t="n">
        <v>4</v>
      </c>
      <c r="BN80" s="152" t="inlineStr">
        <is>
          <t>not publisher-identified</t>
        </is>
      </c>
      <c r="BO80" s="152" t="inlineStr">
        <is>
          <t>not publisher-identified</t>
        </is>
      </c>
      <c r="BP80" s="152" t="inlineStr">
        <is>
          <t>no</t>
        </is>
      </c>
      <c r="BQ80" s="152" t="inlineStr">
        <is>
          <t>no</t>
        </is>
      </c>
      <c r="BR80" s="152" t="n"/>
      <c r="BS80" s="152" t="inlineStr">
        <is>
          <t>YES</t>
        </is>
      </c>
      <c r="BT80" s="152" t="n"/>
    </row>
    <row r="81" ht="15" customHeight="1" s="241">
      <c r="A81" s="174" t="inlineStr">
        <is>
          <t>Maersk</t>
        </is>
      </c>
      <c r="B81" s="175">
        <f>IF(A81="","",_xlfn.XLOOKUP(A81, Company_List!$A:$A, Company_List!$B:$B, ""))</f>
        <v/>
      </c>
      <c r="C81" s="176" t="n">
        <v>2025</v>
      </c>
      <c r="D81" s="177" t="inlineStr">
        <is>
          <t>Q1</t>
        </is>
      </c>
      <c r="E81" s="178" t="inlineStr">
        <is>
          <t>All</t>
        </is>
      </c>
      <c r="F81" s="178" t="inlineStr">
        <is>
          <t>All</t>
        </is>
      </c>
      <c r="G81" s="177" t="inlineStr">
        <is>
          <t>Nigel</t>
        </is>
      </c>
      <c r="H81" s="177" t="inlineStr">
        <is>
          <t>Human</t>
        </is>
      </c>
      <c r="I81" s="179" t="n">
        <v>-0.4</v>
      </c>
      <c r="J81" s="180">
        <f>IF(OR(I81="",Settings!$B$6=""),"",IF(I81&gt;Settings!$B$6,"BUY",IF(I81&lt;-Settings!$B$6,"SELL","HOLD")))</f>
        <v/>
      </c>
      <c r="K81" s="181" t="n">
        <v>24</v>
      </c>
      <c r="L81" s="182" t="n">
        <v>45785</v>
      </c>
      <c r="M81" s="182" t="n">
        <v>45784</v>
      </c>
      <c r="N81" s="179" t="n">
        <v>8.58</v>
      </c>
      <c r="O81" s="182" t="n">
        <v>45785</v>
      </c>
      <c r="P81" s="183" t="n">
        <v>8.720000000000001</v>
      </c>
      <c r="Q81" s="184">
        <f>IF(OR(N81="",P81=""),"",ROUND((P81-N81)/N81,4))</f>
        <v/>
      </c>
      <c r="R81" s="177">
        <f>IF(OR(N81="",P81=""),"",IF(Q81&gt;Settings!$B$3/100,"UP",IF(Q81&lt;-Settings!$B$3/100,"DOWN","FLAT")))</f>
        <v/>
      </c>
      <c r="S81" s="177">
        <f>IF(OR(N81="",P81="",J81=""),"",IF(OR(AND(J81="BUY",R81="UP"),AND(J81="SELL",R81="DOWN"),AND(J81="HOLD",R81="FLAT")),"YES","NO"))</f>
        <v/>
      </c>
      <c r="T81" s="176">
        <f>IF(J81="","",IF(J81="BUY",1,IF(J81="SELL",-1,0)))</f>
        <v/>
      </c>
      <c r="U81" s="184">
        <f>IFERROR(IF(OR(J81="",N81="",P81=""),"",IF(T81=0,0,T81*Q81-Settings!$B$4/10000-IF(T81&lt;0,Settings!$B$5/10000,0))),"")</f>
        <v/>
      </c>
      <c r="V81" s="152" t="inlineStr">
        <is>
          <t>Solid performance on operational improvements and cost measures; Ocean profits down with only marginal loaded volume growth; L&amp;S revenue down but profit up and improved YoY; Terminals posted second-highest ever EBITDA; global container volume growth forecast cut on tariff and trade-war uncertainty; recession probability rising and US weakness expected to spill over; demand outlook highly uncertain in both directions. Guidance lowered, cautious tone.</t>
        </is>
      </c>
      <c r="W81" s="176">
        <f>IF($K81="","",$K81*60)</f>
        <v/>
      </c>
      <c r="X81" s="186">
        <f>IF($A81="","",$A81&amp;"|"&amp;$C81&amp;"|"&amp;$D81)</f>
        <v/>
      </c>
      <c r="Y81" s="186">
        <f>IFERROR(IF($X81="","",INDEX(LLM_Data_Entry!$H$3:$H$548,MATCH($X81,INDEX(LLM_Data_Entry!$A$3:$A$548&amp;"|"&amp;LLM_Data_Entry!$C$3:$C$548&amp;"|"&amp;LLM_Data_Entry!$D$3:$D$548,0),0))),"")</f>
        <v/>
      </c>
      <c r="Z81" s="186">
        <f>IFERROR(IF($X81="","",INDEX(LLM_Data_Entry!$R$3:$R$548,MATCH($X81,INDEX(LLM_Data_Entry!$A$3:$A$548&amp;"|"&amp;LLM_Data_Entry!$C$3:$C$548&amp;"|"&amp;LLM_Data_Entry!$D$3:$D$548,0),0))),"")</f>
        <v/>
      </c>
      <c r="AA81" s="152" t="n"/>
      <c r="AB81" s="152" t="inlineStr">
        <is>
          <t>repriced on the issuer's primary listing</t>
        </is>
      </c>
      <c r="AC81" s="152" t="inlineStr">
        <is>
          <t>AMKBY</t>
        </is>
      </c>
      <c r="AD81" s="152" t="inlineStr">
        <is>
          <t>2025-02-06</t>
        </is>
      </c>
      <c r="AE81" s="152" t="n">
        <v>7.0573</v>
      </c>
      <c r="AF81" s="152" t="inlineStr">
        <is>
          <t>2025-02-07</t>
        </is>
      </c>
      <c r="AG81" s="152" t="n">
        <v>6.9505</v>
      </c>
      <c r="AH81" s="152" t="n">
        <v>-0.01513250280934686</v>
      </c>
      <c r="AI81" s="152" t="inlineStr">
        <is>
          <t>FLAT</t>
        </is>
      </c>
      <c r="AJ81" s="152" t="inlineStr">
        <is>
          <t>NO</t>
        </is>
      </c>
      <c r="AK81" s="152" t="n">
        <v>0.014133</v>
      </c>
      <c r="AL81" s="152">
        <f>IF($A81="","",IFERROR(INDEX(Company_List!$G$3:$G$207,MATCH($A81,Company_List!$A$3:$A$207,0)),"unassigned"))</f>
        <v/>
      </c>
      <c r="AM81" s="152" t="inlineStr">
        <is>
          <t>Phase 2/Maersk/Q1/Q1 2025 AP Moeller - Maersk A:S Earnings Call Transcript.pdf; Phase 2/Maersk/Q1/Maersk Q1 2025 Investor Presentation.pdf; Phase 2/Maersk/Q1/Maersk Q1 2025 Interim Report.pdf</t>
        </is>
      </c>
      <c r="AN81" s="152" t="n"/>
      <c r="AO81" s="152" t="inlineStr">
        <is>
          <t>whole bundle (Document = All)</t>
        </is>
      </c>
      <c r="AP81" s="152">
        <f>IF($A81="","",IF(COUNTIFS(LLM_Data_Entry!$A$3:$A$548,$A81)&gt;0,"YES","NO"))</f>
        <v/>
      </c>
      <c r="AQ81" s="152">
        <f>IF($A81="","",IF(COUNTIFS($A$3:$A81,$A81,$C$3:$C81,$C81,$D$3:$D81,$D81)=1,"YES","NO"))</f>
        <v/>
      </c>
      <c r="AR81" s="152">
        <f>IF($A81="","",IF(AND($C81&amp;"-"&amp;$D81&gt;=Settings!$B$19,$C81&amp;"-"&amp;$D81&lt;=Settings!$B$20),"IN","OUT"))</f>
        <v/>
      </c>
      <c r="AS81" s="152">
        <f>IF($A81="","",IF($F81="Financial Results","financials",IF($F81="Outlook/Guidance","guidance",IF($F81="Transcript Q&amp;A","qanda",IF($F81="","unrecorded",IF($E81="All","full",IF($E81="","unrecorded",LOWER($E81)&amp;" only")))))))</f>
        <v/>
      </c>
      <c r="AT81" s="152">
        <f>IF(AND(OR($J81="BUY",$J81="SELL"),ISNUMBER($U81)),$U81,"")</f>
        <v/>
      </c>
      <c r="AU81" s="152">
        <f>IF(AND(OR($J81="BUY",$J81="SELL"),ISNUMBER($AK81)),$AK81,"")</f>
        <v/>
      </c>
      <c r="AV81" s="152">
        <f>IF(ISNUMBER($AT81),ABS(IF(ISNUMBER($I81),$I81,0)-Settings!$B$24),"")</f>
        <v/>
      </c>
      <c r="AW81" s="152">
        <f>IF(ISNUMBER($AV81),$AV81*$AT81,"")</f>
        <v/>
      </c>
      <c r="AX81" s="152">
        <f>IF(ISNUMBER($AU81),ABS(IF(ISNUMBER($I81),$I81,0)-Settings!$B$24),"")</f>
        <v/>
      </c>
      <c r="AY81" s="152" t="inlineStr">
        <is>
          <t>FROZEN</t>
        </is>
      </c>
      <c r="AZ81" s="152">
        <f>IF($A81="","",IFERROR(INDEX(Company_List!$H$3:$H$207,MATCH($A81,Company_List!$A$3:$A$207,0)),"unassigned"))</f>
        <v/>
      </c>
      <c r="BA81" s="152" t="n"/>
      <c r="BB81" s="152" t="n"/>
      <c r="BC81" s="152">
        <f>IF($A81="","",IF(COUNTIFS($A$3:$A81,$A81,$C$3:$C81,$C81,$D$3:$D81,$D81,$G$3:$G81,$G81)=1,1,0))</f>
        <v/>
      </c>
      <c r="BD81" s="152" t="n"/>
      <c r="BE81" s="152" t="n"/>
      <c r="BF81" s="152" t="n"/>
      <c r="BG81" s="152" t="inlineStr">
        <is>
          <t>no</t>
        </is>
      </c>
      <c r="BH81" s="152" t="n"/>
      <c r="BI81" s="152" t="n"/>
      <c r="BJ81" s="152" t="n"/>
      <c r="BK81" s="152">
        <f>IF(OR($H81&lt;&gt;"Human",$S81="",$J81="",$Y81="",$Z81=""),"",IF(EXACT(UPPER($J81),UPPER($Y81)),1,0))</f>
        <v/>
      </c>
      <c r="BL81" s="152" t="inlineStr">
        <is>
          <t>assumed - no rater record</t>
        </is>
      </c>
      <c r="BM81" s="152" t="n">
        <v>3</v>
      </c>
      <c r="BN81" s="152" t="inlineStr">
        <is>
          <t>not publisher-identified</t>
        </is>
      </c>
      <c r="BO81" s="152" t="inlineStr">
        <is>
          <t>not publisher-identified</t>
        </is>
      </c>
      <c r="BP81" s="152" t="inlineStr">
        <is>
          <t>no</t>
        </is>
      </c>
      <c r="BQ81" s="152" t="inlineStr">
        <is>
          <t>no</t>
        </is>
      </c>
      <c r="BR81" s="152" t="n"/>
      <c r="BS81" s="152" t="inlineStr">
        <is>
          <t>YES</t>
        </is>
      </c>
      <c r="BT81" s="152" t="n"/>
    </row>
    <row r="82" ht="15" customHeight="1" s="241">
      <c r="A82" s="174" t="inlineStr">
        <is>
          <t>Maersk</t>
        </is>
      </c>
      <c r="B82" s="175">
        <f>IF(A82="","",_xlfn.XLOOKUP(A82, Company_List!$A:$A, Company_List!$B:$B, ""))</f>
        <v/>
      </c>
      <c r="C82" s="176" t="n">
        <v>2025</v>
      </c>
      <c r="D82" s="177" t="inlineStr">
        <is>
          <t>Q2</t>
        </is>
      </c>
      <c r="E82" s="178" t="inlineStr">
        <is>
          <t>All</t>
        </is>
      </c>
      <c r="F82" s="178" t="inlineStr">
        <is>
          <t>All</t>
        </is>
      </c>
      <c r="G82" s="177" t="inlineStr">
        <is>
          <t>Nigel</t>
        </is>
      </c>
      <c r="H82" s="177" t="inlineStr">
        <is>
          <t>Human</t>
        </is>
      </c>
      <c r="I82" s="179" t="n">
        <v>0.5</v>
      </c>
      <c r="J82" s="180">
        <f>IF(OR(I82="",Settings!$B$6=""),"",IF(I82&gt;Settings!$B$6,"BUY",IF(I82&lt;-Settings!$B$6,"SELL","HOLD")))</f>
        <v/>
      </c>
      <c r="K82" s="181" t="n">
        <v>15</v>
      </c>
      <c r="L82" s="182" t="n">
        <v>45876</v>
      </c>
      <c r="M82" s="182" t="n">
        <v>45876</v>
      </c>
      <c r="N82" s="179" t="n">
        <v>10.71</v>
      </c>
      <c r="O82" s="182" t="n">
        <v>45877</v>
      </c>
      <c r="P82" s="183" t="n">
        <v>10.8</v>
      </c>
      <c r="Q82" s="184">
        <f>IF(OR(N82="",P82=""),"",ROUND((P82-N82)/N82,4))</f>
        <v/>
      </c>
      <c r="R82" s="177">
        <f>IF(OR(N82="",P82=""),"",IF(Q82&gt;Settings!$B$3/100,"UP",IF(Q82&lt;-Settings!$B$3/100,"DOWN","FLAT")))</f>
        <v/>
      </c>
      <c r="S82" s="177">
        <f>IF(OR(N82="",P82="",J82=""),"",IF(OR(AND(J82="BUY",R82="UP"),AND(J82="SELL",R82="DOWN"),AND(J82="HOLD",R82="FLAT")),"YES","NO"))</f>
        <v/>
      </c>
      <c r="T82" s="176">
        <f>IF(J82="","",IF(J82="BUY",1,IF(J82="SELL",-1,0)))</f>
        <v/>
      </c>
      <c r="U82" s="184">
        <f>IFERROR(IF(OR(J82="",N82="",P82=""),"",IF(T82=0,0,T82*Q82-Settings!$B$4/10000-IF(T82&lt;0,Settings!$B$5/10000,0))),"")</f>
        <v/>
      </c>
      <c r="V82" s="152" t="inlineStr">
        <is>
          <t>Solid performance with progress across all four divisions and record Terminals ROIC well above target; Gemini network fully phased in; global container volume growth forecast raised; container demand still rising against fears of tariff-driven collapse; buy-back initiated; tariff escalation and Middle East tensions still flagged as risks with modest sector growth expected. Guidance raised, confident tone.</t>
        </is>
      </c>
      <c r="W82" s="176">
        <f>IF($K82="","",$K82*60)</f>
        <v/>
      </c>
      <c r="X82" s="186">
        <f>IF($A82="","",$A82&amp;"|"&amp;$C82&amp;"|"&amp;$D82)</f>
        <v/>
      </c>
      <c r="Y82" s="186">
        <f>IFERROR(IF($X82="","",INDEX(LLM_Data_Entry!$H$3:$H$548,MATCH($X82,INDEX(LLM_Data_Entry!$A$3:$A$548&amp;"|"&amp;LLM_Data_Entry!$C$3:$C$548&amp;"|"&amp;LLM_Data_Entry!$D$3:$D$548,0),0))),"")</f>
        <v/>
      </c>
      <c r="Z82" s="186">
        <f>IFERROR(IF($X82="","",INDEX(LLM_Data_Entry!$R$3:$R$548,MATCH($X82,INDEX(LLM_Data_Entry!$A$3:$A$548&amp;"|"&amp;LLM_Data_Entry!$C$3:$C$548&amp;"|"&amp;LLM_Data_Entry!$D$3:$D$548,0),0))),"")</f>
        <v/>
      </c>
      <c r="AA82" s="152" t="n"/>
      <c r="AB82" s="152" t="inlineStr">
        <is>
          <t>repriced on the issuer's primary listing</t>
        </is>
      </c>
      <c r="AC82" s="152" t="inlineStr">
        <is>
          <t>MAERSK-B.CO</t>
        </is>
      </c>
      <c r="AD82" s="152" t="inlineStr">
        <is>
          <t>2025-08-06</t>
        </is>
      </c>
      <c r="AE82" s="152" t="n">
        <v>12753.9619</v>
      </c>
      <c r="AF82" s="152" t="inlineStr">
        <is>
          <t>2025-08-07</t>
        </is>
      </c>
      <c r="AG82" s="152" t="n">
        <v>13453.3411</v>
      </c>
      <c r="AH82" s="152" t="n">
        <v>0.05483622973668197</v>
      </c>
      <c r="AI82" s="152" t="inlineStr">
        <is>
          <t>UP</t>
        </is>
      </c>
      <c r="AJ82" s="152" t="inlineStr">
        <is>
          <t>YES</t>
        </is>
      </c>
      <c r="AK82" s="152" t="n">
        <v>0.053836</v>
      </c>
      <c r="AL82" s="152">
        <f>IF($A82="","",IFERROR(INDEX(Company_List!$G$3:$G$207,MATCH($A82,Company_List!$A$3:$A$207,0)),"unassigned"))</f>
        <v/>
      </c>
      <c r="AM82" s="152" t="inlineStr">
        <is>
          <t>Phase 2/Maersk/Q2/Q2 2025 AP Moeller - Maersk A:S Earnings Call Transcript.pdf; Phase 2/Maersk/Q2/Maersk Q2 2025 Investor Presentation.pdf; Phase 2/Maersk/Q2/Maersk Q2 2025 Interim Report.pdf</t>
        </is>
      </c>
      <c r="AN82" s="152" t="n"/>
      <c r="AO82" s="152" t="inlineStr">
        <is>
          <t>whole bundle (Document = All)</t>
        </is>
      </c>
      <c r="AP82" s="152">
        <f>IF($A82="","",IF(COUNTIFS(LLM_Data_Entry!$A$3:$A$548,$A82)&gt;0,"YES","NO"))</f>
        <v/>
      </c>
      <c r="AQ82" s="152">
        <f>IF($A82="","",IF(COUNTIFS($A$3:$A82,$A82,$C$3:$C82,$C82,$D$3:$D82,$D82)=1,"YES","NO"))</f>
        <v/>
      </c>
      <c r="AR82" s="152">
        <f>IF($A82="","",IF(AND($C82&amp;"-"&amp;$D82&gt;=Settings!$B$19,$C82&amp;"-"&amp;$D82&lt;=Settings!$B$20),"IN","OUT"))</f>
        <v/>
      </c>
      <c r="AS82" s="152">
        <f>IF($A82="","",IF($F82="Financial Results","financials",IF($F82="Outlook/Guidance","guidance",IF($F82="Transcript Q&amp;A","qanda",IF($F82="","unrecorded",IF($E82="All","full",IF($E82="","unrecorded",LOWER($E82)&amp;" only")))))))</f>
        <v/>
      </c>
      <c r="AT82" s="152">
        <f>IF(AND(OR($J82="BUY",$J82="SELL"),ISNUMBER($U82)),$U82,"")</f>
        <v/>
      </c>
      <c r="AU82" s="152">
        <f>IF(AND(OR($J82="BUY",$J82="SELL"),ISNUMBER($AK82)),$AK82,"")</f>
        <v/>
      </c>
      <c r="AV82" s="152">
        <f>IF(ISNUMBER($AT82),ABS(IF(ISNUMBER($I82),$I82,0)-Settings!$B$24),"")</f>
        <v/>
      </c>
      <c r="AW82" s="152">
        <f>IF(ISNUMBER($AV82),$AV82*$AT82,"")</f>
        <v/>
      </c>
      <c r="AX82" s="152">
        <f>IF(ISNUMBER($AU82),ABS(IF(ISNUMBER($I82),$I82,0)-Settings!$B$24),"")</f>
        <v/>
      </c>
      <c r="AY82" s="152" t="inlineStr">
        <is>
          <t>FROZEN</t>
        </is>
      </c>
      <c r="AZ82" s="152">
        <f>IF($A82="","",IFERROR(INDEX(Company_List!$H$3:$H$207,MATCH($A82,Company_List!$A$3:$A$207,0)),"unassigned"))</f>
        <v/>
      </c>
      <c r="BA82" s="152" t="n"/>
      <c r="BB82" s="152" t="n"/>
      <c r="BC82" s="152">
        <f>IF($A82="","",IF(COUNTIFS($A$3:$A82,$A82,$C$3:$C82,$C82,$D$3:$D82,$D82,$G$3:$G82,$G82)=1,1,0))</f>
        <v/>
      </c>
      <c r="BD82" s="152" t="n"/>
      <c r="BE82" s="152" t="n"/>
      <c r="BF82" s="152" t="n"/>
      <c r="BG82" s="152" t="inlineStr">
        <is>
          <t>no</t>
        </is>
      </c>
      <c r="BH82" s="152" t="n"/>
      <c r="BI82" s="152" t="n"/>
      <c r="BJ82" s="152" t="n"/>
      <c r="BK82" s="152">
        <f>IF(OR($H82&lt;&gt;"Human",$S82="",$J82="",$Y82="",$Z82=""),"",IF(EXACT(UPPER($J82),UPPER($Y82)),1,0))</f>
        <v/>
      </c>
      <c r="BL82" s="152" t="inlineStr">
        <is>
          <t>assumed - no rater record</t>
        </is>
      </c>
      <c r="BM82" s="152" t="n">
        <v>3</v>
      </c>
      <c r="BN82" s="152" t="inlineStr">
        <is>
          <t>not publisher-identified</t>
        </is>
      </c>
      <c r="BO82" s="152" t="inlineStr">
        <is>
          <t>not publisher-identified</t>
        </is>
      </c>
      <c r="BP82" s="152" t="inlineStr">
        <is>
          <t>no</t>
        </is>
      </c>
      <c r="BQ82" s="152" t="inlineStr">
        <is>
          <t>no</t>
        </is>
      </c>
      <c r="BR82" s="152" t="n"/>
      <c r="BS82" s="152" t="inlineStr">
        <is>
          <t>YES</t>
        </is>
      </c>
      <c r="BT82" s="152" t="n"/>
    </row>
    <row r="83" ht="15" customHeight="1" s="241">
      <c r="A83" s="174" t="inlineStr">
        <is>
          <t>Maersk</t>
        </is>
      </c>
      <c r="B83" s="175">
        <f>IF(A83="","",_xlfn.XLOOKUP(A83, Company_List!$A:$A, Company_List!$B:$B, ""))</f>
        <v/>
      </c>
      <c r="C83" s="176" t="n">
        <v>2025</v>
      </c>
      <c r="D83" s="177" t="inlineStr">
        <is>
          <t>Q3</t>
        </is>
      </c>
      <c r="E83" s="178" t="inlineStr">
        <is>
          <t>All</t>
        </is>
      </c>
      <c r="F83" s="178" t="inlineStr">
        <is>
          <t>All</t>
        </is>
      </c>
      <c r="G83" s="177" t="inlineStr">
        <is>
          <t>Nigel</t>
        </is>
      </c>
      <c r="H83" s="177" t="inlineStr">
        <is>
          <t>Human</t>
        </is>
      </c>
      <c r="I83" s="179" t="n">
        <v>0.2</v>
      </c>
      <c r="J83" s="180">
        <f>IF(OR(I83="",Settings!$B$6=""),"",IF(I83&gt;Settings!$B$6,"BUY",IF(I83&lt;-Settings!$B$6,"SELL","HOLD")))</f>
        <v/>
      </c>
      <c r="K83" s="181" t="n">
        <v>18</v>
      </c>
      <c r="L83" s="182" t="n">
        <v>45967</v>
      </c>
      <c r="M83" s="182" t="n">
        <v>45966</v>
      </c>
      <c r="N83" s="179" t="n">
        <v>10.38</v>
      </c>
      <c r="O83" s="182" t="n">
        <v>45967</v>
      </c>
      <c r="P83" s="183" t="n">
        <v>9.800000000000001</v>
      </c>
      <c r="Q83" s="184">
        <f>IF(OR(N83="",P83=""),"",ROUND((P83-N83)/N83,4))</f>
        <v/>
      </c>
      <c r="R83" s="177">
        <f>IF(OR(N83="",P83=""),"",IF(Q83&gt;Settings!$B$3/100,"UP",IF(Q83&lt;-Settings!$B$3/100,"DOWN","FLAT")))</f>
        <v/>
      </c>
      <c r="S83" s="177">
        <f>IF(OR(N83="",P83="",J83=""),"",IF(OR(AND(J83="BUY",R83="UP"),AND(J83="SELL",R83="DOWN"),AND(J83="HOLD",R83="FLAT")),"YES","NO"))</f>
        <v/>
      </c>
      <c r="T83" s="176">
        <f>IF(J83="","",IF(J83="BUY",1,IF(J83="SELL",-1,0)))</f>
        <v/>
      </c>
      <c r="U83" s="184">
        <f>IFERROR(IF(OR(J83="",N83="",P83=""),"",IF(T83=0,0,T83*Q83-Settings!$B$4/10000-IF(T83&lt;0,Settings!$B$5/10000,0))),"")</f>
        <v/>
      </c>
      <c r="V83" s="152" t="inlineStr">
        <is>
          <t>Revenue down YoY though all divisions improved over the year; average loaded freight rate down; Gemini delivering operational savings; global economy outperformed expectations with PMI still expansionary; container demand and logistics growth robust. Outlook positive but conservative.</t>
        </is>
      </c>
      <c r="W83" s="176">
        <f>IF($K83="","",$K83*60)</f>
        <v/>
      </c>
      <c r="X83" s="186">
        <f>IF($A83="","",$A83&amp;"|"&amp;$C83&amp;"|"&amp;$D83)</f>
        <v/>
      </c>
      <c r="Y83" s="186">
        <f>IFERROR(IF($X83="","",INDEX(LLM_Data_Entry!$H$3:$H$548,MATCH($X83,INDEX(LLM_Data_Entry!$A$3:$A$548&amp;"|"&amp;LLM_Data_Entry!$C$3:$C$548&amp;"|"&amp;LLM_Data_Entry!$D$3:$D$548,0),0))),"")</f>
        <v/>
      </c>
      <c r="Z83" s="186">
        <f>IFERROR(IF($X83="","",INDEX(LLM_Data_Entry!$R$3:$R$548,MATCH($X83,INDEX(LLM_Data_Entry!$A$3:$A$548&amp;"|"&amp;LLM_Data_Entry!$C$3:$C$548&amp;"|"&amp;LLM_Data_Entry!$D$3:$D$548,0),0))),"")</f>
        <v/>
      </c>
      <c r="AA83" s="152" t="n"/>
      <c r="AB83" s="152" t="inlineStr">
        <is>
          <t>repriced on the issuer's primary listing</t>
        </is>
      </c>
      <c r="AC83" s="152" t="inlineStr">
        <is>
          <t>MAERSK-B.CO</t>
        </is>
      </c>
      <c r="AD83" s="152" t="inlineStr">
        <is>
          <t>2025-11-05</t>
        </is>
      </c>
      <c r="AE83" s="152" t="n">
        <v>13181.3604</v>
      </c>
      <c r="AF83" s="152" t="inlineStr">
        <is>
          <t>2025-11-06</t>
        </is>
      </c>
      <c r="AG83" s="152" t="n">
        <v>12627.6849</v>
      </c>
      <c r="AH83" s="152" t="n">
        <v>-0.04200442564466281</v>
      </c>
      <c r="AI83" s="152" t="inlineStr">
        <is>
          <t>DOWN</t>
        </is>
      </c>
      <c r="AJ83" s="152" t="inlineStr">
        <is>
          <t>NO</t>
        </is>
      </c>
      <c r="AK83" s="152" t="n">
        <v>0</v>
      </c>
      <c r="AL83" s="152">
        <f>IF($A83="","",IFERROR(INDEX(Company_List!$G$3:$G$207,MATCH($A83,Company_List!$A$3:$A$207,0)),"unassigned"))</f>
        <v/>
      </c>
      <c r="AM83" s="152" t="inlineStr">
        <is>
          <t>Phase 2/Maersk/Q3/Q3 2025 AP Moeller - Maersk A:S Earnings Call Transcript.pdf; Phase 2/Maersk/Q3/Maersk Q3 2025 Investor Presentation.pdf; Phase 2/Maersk/Q3/Maersk Q3 2025 Interim Report.pdf</t>
        </is>
      </c>
      <c r="AN83" s="152" t="n"/>
      <c r="AO83" s="152" t="inlineStr">
        <is>
          <t>whole bundle (Document = All)</t>
        </is>
      </c>
      <c r="AP83" s="152">
        <f>IF($A83="","",IF(COUNTIFS(LLM_Data_Entry!$A$3:$A$548,$A83)&gt;0,"YES","NO"))</f>
        <v/>
      </c>
      <c r="AQ83" s="152">
        <f>IF($A83="","",IF(COUNTIFS($A$3:$A83,$A83,$C$3:$C83,$C83,$D$3:$D83,$D83)=1,"YES","NO"))</f>
        <v/>
      </c>
      <c r="AR83" s="152">
        <f>IF($A83="","",IF(AND($C83&amp;"-"&amp;$D83&gt;=Settings!$B$19,$C83&amp;"-"&amp;$D83&lt;=Settings!$B$20),"IN","OUT"))</f>
        <v/>
      </c>
      <c r="AS83" s="152">
        <f>IF($A83="","",IF($F83="Financial Results","financials",IF($F83="Outlook/Guidance","guidance",IF($F83="Transcript Q&amp;A","qanda",IF($F83="","unrecorded",IF($E83="All","full",IF($E83="","unrecorded",LOWER($E83)&amp;" only")))))))</f>
        <v/>
      </c>
      <c r="AT83" s="152">
        <f>IF(AND(OR($J83="BUY",$J83="SELL"),ISNUMBER($U83)),$U83,"")</f>
        <v/>
      </c>
      <c r="AU83" s="152">
        <f>IF(AND(OR($J83="BUY",$J83="SELL"),ISNUMBER($AK83)),$AK83,"")</f>
        <v/>
      </c>
      <c r="AV83" s="152">
        <f>IF(ISNUMBER($AT83),ABS(IF(ISNUMBER($I83),$I83,0)-Settings!$B$24),"")</f>
        <v/>
      </c>
      <c r="AW83" s="152">
        <f>IF(ISNUMBER($AV83),$AV83*$AT83,"")</f>
        <v/>
      </c>
      <c r="AX83" s="152">
        <f>IF(ISNUMBER($AU83),ABS(IF(ISNUMBER($I83),$I83,0)-Settings!$B$24),"")</f>
        <v/>
      </c>
      <c r="AY83" s="152" t="inlineStr">
        <is>
          <t>FROZEN</t>
        </is>
      </c>
      <c r="AZ83" s="152">
        <f>IF($A83="","",IFERROR(INDEX(Company_List!$H$3:$H$207,MATCH($A83,Company_List!$A$3:$A$207,0)),"unassigned"))</f>
        <v/>
      </c>
      <c r="BA83" s="152" t="n"/>
      <c r="BB83" s="152" t="n"/>
      <c r="BC83" s="152">
        <f>IF($A83="","",IF(COUNTIFS($A$3:$A83,$A83,$C$3:$C83,$C83,$D$3:$D83,$D83,$G$3:$G83,$G83)=1,1,0))</f>
        <v/>
      </c>
      <c r="BD83" s="152" t="n"/>
      <c r="BE83" s="152" t="n"/>
      <c r="BF83" s="152" t="n"/>
      <c r="BG83" s="152" t="inlineStr">
        <is>
          <t>no</t>
        </is>
      </c>
      <c r="BH83" s="152" t="n"/>
      <c r="BI83" s="152" t="n"/>
      <c r="BJ83" s="152" t="n"/>
      <c r="BK83" s="152">
        <f>IF(OR($H83&lt;&gt;"Human",$S83="",$J83="",$Y83="",$Z83=""),"",IF(EXACT(UPPER($J83),UPPER($Y83)),1,0))</f>
        <v/>
      </c>
      <c r="BL83" s="152" t="inlineStr">
        <is>
          <t>assumed - no rater record</t>
        </is>
      </c>
      <c r="BM83" s="152" t="n">
        <v>3</v>
      </c>
      <c r="BN83" s="152" t="inlineStr">
        <is>
          <t>not publisher-identified</t>
        </is>
      </c>
      <c r="BO83" s="152" t="inlineStr">
        <is>
          <t>not publisher-identified</t>
        </is>
      </c>
      <c r="BP83" s="152" t="inlineStr">
        <is>
          <t>no</t>
        </is>
      </c>
      <c r="BQ83" s="152" t="inlineStr">
        <is>
          <t>no</t>
        </is>
      </c>
      <c r="BR83" s="152" t="n"/>
      <c r="BS83" s="152" t="inlineStr">
        <is>
          <t>YES</t>
        </is>
      </c>
      <c r="BT83" s="152" t="n"/>
    </row>
    <row r="84" ht="15" customHeight="1" s="241">
      <c r="A84" s="174" t="inlineStr">
        <is>
          <t>Maersk</t>
        </is>
      </c>
      <c r="B84" s="175">
        <f>IF(A84="","",_xlfn.XLOOKUP(A84, Company_List!$A:$A, Company_List!$B:$B, ""))</f>
        <v/>
      </c>
      <c r="C84" s="176" t="n">
        <v>2025</v>
      </c>
      <c r="D84" s="177" t="inlineStr">
        <is>
          <t>Q4</t>
        </is>
      </c>
      <c r="E84" s="178" t="inlineStr">
        <is>
          <t>All</t>
        </is>
      </c>
      <c r="F84" s="178" t="inlineStr">
        <is>
          <t>All</t>
        </is>
      </c>
      <c r="G84" s="177" t="inlineStr">
        <is>
          <t>Nigel</t>
        </is>
      </c>
      <c r="H84" s="177" t="inlineStr">
        <is>
          <t>Human</t>
        </is>
      </c>
      <c r="I84" s="179" t="n">
        <v>-0.5</v>
      </c>
      <c r="J84" s="180">
        <f>IF(OR(I84="",Settings!$B$6=""),"",IF(I84&gt;Settings!$B$6,"BUY",IF(I84&lt;-Settings!$B$6,"SELL","HOLD")))</f>
        <v/>
      </c>
      <c r="K84" s="181" t="n">
        <v>38</v>
      </c>
      <c r="L84" s="182" t="n">
        <v>46058</v>
      </c>
      <c r="M84" s="182" t="n">
        <v>46058</v>
      </c>
      <c r="N84" s="179" t="n">
        <v>12.09</v>
      </c>
      <c r="O84" s="182" t="n">
        <v>46059</v>
      </c>
      <c r="P84" s="183" t="n">
        <v>11.93</v>
      </c>
      <c r="Q84" s="184">
        <f>IF(OR(N84="",P84=""),"",ROUND((P84-N84)/N84,4))</f>
        <v/>
      </c>
      <c r="R84" s="177">
        <f>IF(OR(N84="",P84=""),"",IF(Q84&gt;Settings!$B$3/100,"UP",IF(Q84&lt;-Settings!$B$3/100,"DOWN","FLAT")))</f>
        <v/>
      </c>
      <c r="S84" s="177">
        <f>IF(OR(N84="",P84="",J84=""),"",IF(OR(AND(J84="BUY",R84="UP"),AND(J84="SELL",R84="DOWN"),AND(J84="HOLD",R84="FLAT")),"YES","NO"))</f>
        <v/>
      </c>
      <c r="T84" s="176">
        <f>IF(J84="","",IF(J84="BUY",1,IF(J84="SELL",-1,0)))</f>
        <v/>
      </c>
      <c r="U84" s="184">
        <f>IFERROR(IF(OR(J84="",N84="",P84=""),"",IF(T84=0,0,T84*Q84-Settings!$B$4/10000-IF(T84&lt;0,Settings!$B$5/10000,0))),"")</f>
        <v/>
      </c>
      <c r="V84" s="152" t="inlineStr">
        <is>
          <t>Full-year revenue down on 2024 and container trade demand down; all annual targets missed except Terminals; resilience through a volatile year; outlook still heavily dependent on unresolved geopolitical and macro conditions. Cautious tone.</t>
        </is>
      </c>
      <c r="W84" s="176">
        <f>IF($K84="","",$K84*60)</f>
        <v/>
      </c>
      <c r="X84" s="186">
        <f>IF($A84="","",$A84&amp;"|"&amp;$C84&amp;"|"&amp;$D84)</f>
        <v/>
      </c>
      <c r="Y84" s="186">
        <f>IFERROR(IF($X84="","",INDEX(LLM_Data_Entry!$H$3:$H$548,MATCH($X84,INDEX(LLM_Data_Entry!$A$3:$A$548&amp;"|"&amp;LLM_Data_Entry!$C$3:$C$548&amp;"|"&amp;LLM_Data_Entry!$D$3:$D$548,0),0))),"")</f>
        <v/>
      </c>
      <c r="Z84" s="186">
        <f>IFERROR(IF($X84="","",INDEX(LLM_Data_Entry!$R$3:$R$548,MATCH($X84,INDEX(LLM_Data_Entry!$A$3:$A$548&amp;"|"&amp;LLM_Data_Entry!$C$3:$C$548&amp;"|"&amp;LLM_Data_Entry!$D$3:$D$548,0),0))),"")</f>
        <v/>
      </c>
      <c r="AA84" s="152" t="n"/>
      <c r="AB84" s="152" t="inlineStr">
        <is>
          <t>repriced on the issuer's primary listing</t>
        </is>
      </c>
      <c r="AC84" s="152" t="inlineStr">
        <is>
          <t>MAERSK-B.CO</t>
        </is>
      </c>
      <c r="AD84" s="152" t="inlineStr">
        <is>
          <t>2026-02-04</t>
        </is>
      </c>
      <c r="AE84" s="152" t="n">
        <v>15522.3389</v>
      </c>
      <c r="AF84" s="152" t="inlineStr">
        <is>
          <t>2026-02-05</t>
        </is>
      </c>
      <c r="AG84" s="152" t="n">
        <v>14570.4061</v>
      </c>
      <c r="AH84" s="152" t="n">
        <v>-0.0613266305667326</v>
      </c>
      <c r="AI84" s="152" t="inlineStr">
        <is>
          <t>DOWN</t>
        </is>
      </c>
      <c r="AJ84" s="152" t="inlineStr">
        <is>
          <t>YES</t>
        </is>
      </c>
      <c r="AK84" s="152" t="n">
        <v>0.060327</v>
      </c>
      <c r="AL84" s="152">
        <f>IF($A84="","",IFERROR(INDEX(Company_List!$G$3:$G$207,MATCH($A84,Company_List!$A$3:$A$207,0)),"unassigned"))</f>
        <v/>
      </c>
      <c r="AM84" s="152" t="inlineStr">
        <is>
          <t>Phase 2/Maersk/Q4/maersk_annual_report_2025_press_release.pdf; Phase 2/Maersk/Q4/apmm-ar-2025-70-final-no-tags.pdf; Phase 2/Maersk/Q4/Q4 2025 AP Moeller - Maersk A:S Earnings Call Transcript.pdf</t>
        </is>
      </c>
      <c r="AN84" s="152" t="n"/>
      <c r="AO84" s="152" t="inlineStr">
        <is>
          <t>whole bundle (Document = All)</t>
        </is>
      </c>
      <c r="AP84" s="152">
        <f>IF($A84="","",IF(COUNTIFS(LLM_Data_Entry!$A$3:$A$548,$A84)&gt;0,"YES","NO"))</f>
        <v/>
      </c>
      <c r="AQ84" s="152">
        <f>IF($A84="","",IF(COUNTIFS($A$3:$A84,$A84,$C$3:$C84,$C84,$D$3:$D84,$D84)=1,"YES","NO"))</f>
        <v/>
      </c>
      <c r="AR84" s="152">
        <f>IF($A84="","",IF(AND($C84&amp;"-"&amp;$D84&gt;=Settings!$B$19,$C84&amp;"-"&amp;$D84&lt;=Settings!$B$20),"IN","OUT"))</f>
        <v/>
      </c>
      <c r="AS84" s="152">
        <f>IF($A84="","",IF($F84="Financial Results","financials",IF($F84="Outlook/Guidance","guidance",IF($F84="Transcript Q&amp;A","qanda",IF($F84="","unrecorded",IF($E84="All","full",IF($E84="","unrecorded",LOWER($E84)&amp;" only")))))))</f>
        <v/>
      </c>
      <c r="AT84" s="152">
        <f>IF(AND(OR($J84="BUY",$J84="SELL"),ISNUMBER($U84)),$U84,"")</f>
        <v/>
      </c>
      <c r="AU84" s="152">
        <f>IF(AND(OR($J84="BUY",$J84="SELL"),ISNUMBER($AK84)),$AK84,"")</f>
        <v/>
      </c>
      <c r="AV84" s="152">
        <f>IF(ISNUMBER($AT84),ABS(IF(ISNUMBER($I84),$I84,0)-Settings!$B$24),"")</f>
        <v/>
      </c>
      <c r="AW84" s="152">
        <f>IF(ISNUMBER($AV84),$AV84*$AT84,"")</f>
        <v/>
      </c>
      <c r="AX84" s="152">
        <f>IF(ISNUMBER($AU84),ABS(IF(ISNUMBER($I84),$I84,0)-Settings!$B$24),"")</f>
        <v/>
      </c>
      <c r="AY84" s="152" t="inlineStr">
        <is>
          <t>FROZEN</t>
        </is>
      </c>
      <c r="AZ84" s="152">
        <f>IF($A84="","",IFERROR(INDEX(Company_List!$H$3:$H$207,MATCH($A84,Company_List!$A$3:$A$207,0)),"unassigned"))</f>
        <v/>
      </c>
      <c r="BA84" s="152" t="n"/>
      <c r="BB84" s="152" t="n"/>
      <c r="BC84" s="152">
        <f>IF($A84="","",IF(COUNTIFS($A$3:$A84,$A84,$C$3:$C84,$C84,$D$3:$D84,$D84,$G$3:$G84,$G84)=1,1,0))</f>
        <v/>
      </c>
      <c r="BD84" s="152" t="n"/>
      <c r="BE84" s="152" t="n"/>
      <c r="BF84" s="152" t="n"/>
      <c r="BG84" s="152" t="inlineStr">
        <is>
          <t>no</t>
        </is>
      </c>
      <c r="BH84" s="152" t="n"/>
      <c r="BI84" s="152" t="n"/>
      <c r="BJ84" s="152" t="n"/>
      <c r="BK84" s="152">
        <f>IF(OR($H84&lt;&gt;"Human",$S84="",$J84="",$Y84="",$Z84=""),"",IF(EXACT(UPPER($J84),UPPER($Y84)),1,0))</f>
        <v/>
      </c>
      <c r="BL84" s="152" t="inlineStr">
        <is>
          <t>assumed - no rater record</t>
        </is>
      </c>
      <c r="BM84" s="152" t="n">
        <v>3</v>
      </c>
      <c r="BN84" s="152" t="inlineStr">
        <is>
          <t>not publisher-identified</t>
        </is>
      </c>
      <c r="BO84" s="152" t="inlineStr">
        <is>
          <t>not publisher-identified</t>
        </is>
      </c>
      <c r="BP84" s="152" t="inlineStr">
        <is>
          <t>no</t>
        </is>
      </c>
      <c r="BQ84" s="152" t="inlineStr">
        <is>
          <t>no</t>
        </is>
      </c>
      <c r="BR84" s="152" t="n"/>
      <c r="BS84" s="152" t="inlineStr">
        <is>
          <t>YES</t>
        </is>
      </c>
      <c r="BT84" s="152" t="n"/>
    </row>
    <row r="85" ht="15" customHeight="1" s="241">
      <c r="A85" s="174" t="inlineStr">
        <is>
          <t>Goldman Sachs</t>
        </is>
      </c>
      <c r="B85" s="175">
        <f>IF(A85="","",_xlfn.XLOOKUP(A85, Company_List!$A:$A, Company_List!$B:$B, ""))</f>
        <v/>
      </c>
      <c r="C85" s="176" t="n">
        <v>2025</v>
      </c>
      <c r="D85" s="177" t="inlineStr">
        <is>
          <t>Q1</t>
        </is>
      </c>
      <c r="E85" s="178" t="inlineStr">
        <is>
          <t>All</t>
        </is>
      </c>
      <c r="F85" s="178" t="inlineStr">
        <is>
          <t>All</t>
        </is>
      </c>
      <c r="G85" s="177" t="inlineStr">
        <is>
          <t>Dragos</t>
        </is>
      </c>
      <c r="H85" s="177" t="inlineStr">
        <is>
          <t>Human</t>
        </is>
      </c>
      <c r="I85" s="179" t="n">
        <v>0.45</v>
      </c>
      <c r="J85" s="180">
        <f>IF(OR(I85="",Settings!$B$6=""),"",IF(I85&gt;Settings!$B$6,"BUY",IF(I85&lt;-Settings!$B$6,"SELL","HOLD")))</f>
        <v/>
      </c>
      <c r="K85" s="181" t="n">
        <v>32</v>
      </c>
      <c r="L85" s="182" t="n">
        <v>45761</v>
      </c>
      <c r="M85" s="182" t="n">
        <v>45758</v>
      </c>
      <c r="N85" s="179" t="n">
        <v>494.44</v>
      </c>
      <c r="O85" s="182" t="n">
        <v>45761</v>
      </c>
      <c r="P85" s="183" t="n">
        <v>510</v>
      </c>
      <c r="Q85" s="184">
        <f>IF(OR(N85="",P85=""),"",ROUND((P85-N85)/N85,4))</f>
        <v/>
      </c>
      <c r="R85" s="177">
        <f>IF(OR(N85="",P85=""),"",IF(Q85&gt;Settings!$B$3/100,"UP",IF(Q85&lt;-Settings!$B$3/100,"DOWN","FLAT")))</f>
        <v/>
      </c>
      <c r="S85" s="177">
        <f>IF(OR(N85="",P85="",J85=""),"",IF(OR(AND(J85="BUY",R85="UP"),AND(J85="SELL",R85="DOWN"),AND(J85="HOLD",R85="FLAT")),"YES","NO"))</f>
        <v/>
      </c>
      <c r="T85" s="176">
        <f>IF(J85="","",IF(J85="BUY",1,IF(J85="SELL",-1,0)))</f>
        <v/>
      </c>
      <c r="U85" s="184">
        <f>IFERROR(IF(OR(J85="",N85="",P85=""),"",IF(T85=0,0,T85*Q85-Settings!$B$4/10000-IF(T85&lt;0,Settings!$B$5/10000,0))),"")</f>
        <v/>
      </c>
      <c r="V85" s="185" t="inlineStr">
        <is>
          <t>Big EPS beat ($14.12 vs $11.58 yoy) on record Equities +27% and FICC financing; $40B buyback authorization; backlog up 4th straight qtr. Offsets: ~$1.63 EPS one-off tax benefit, advisory -8%, very cautious tariff/recession macro tone. Released into market braced for tariff damage - beat vs feared worse. [memory] I vaguely recall this print landing well amid April 2025 tariff chaos; decision based on docs.</t>
        </is>
      </c>
      <c r="W85" s="176">
        <f>IF($K85="","",$K85*60)</f>
        <v/>
      </c>
      <c r="X85" s="186">
        <f>IF($A85="","",$A85&amp;"|"&amp;$C85&amp;"|"&amp;$D85)</f>
        <v/>
      </c>
      <c r="Y85" s="186">
        <f>IFERROR(IF($X85="","",INDEX(LLM_Data_Entry!$H$3:$H$548,MATCH($X85,INDEX(LLM_Data_Entry!$A$3:$A$548&amp;"|"&amp;LLM_Data_Entry!$C$3:$C$548&amp;"|"&amp;LLM_Data_Entry!$D$3:$D$548,0),0))),"")</f>
        <v/>
      </c>
      <c r="Z85" s="186">
        <f>IFERROR(IF($X85="","",INDEX(LLM_Data_Entry!$R$3:$R$548,MATCH($X85,INDEX(LLM_Data_Entry!$A$3:$A$548&amp;"|"&amp;LLM_Data_Entry!$C$3:$C$548&amp;"|"&amp;LLM_Data_Entry!$D$3:$D$548,0),0))),"")</f>
        <v/>
      </c>
      <c r="AA85" s="152" t="n"/>
      <c r="AB85" s="152" t="inlineStr">
        <is>
          <t>price signal — only this window shows an abnormal move</t>
        </is>
      </c>
      <c r="AC85" s="152" t="inlineStr">
        <is>
          <t>GS</t>
        </is>
      </c>
      <c r="AD85" s="152" t="inlineStr">
        <is>
          <t>2025-04-11</t>
        </is>
      </c>
      <c r="AE85" s="152" t="n">
        <v>482.2791</v>
      </c>
      <c r="AF85" s="152" t="inlineStr">
        <is>
          <t>2025-04-14</t>
        </is>
      </c>
      <c r="AG85" s="152" t="n">
        <v>497.4564</v>
      </c>
      <c r="AH85" s="152" t="n">
        <v>0.03146985469319141</v>
      </c>
      <c r="AI85" s="152" t="inlineStr">
        <is>
          <t>UP</t>
        </is>
      </c>
      <c r="AJ85" s="152" t="inlineStr">
        <is>
          <t>YES</t>
        </is>
      </c>
      <c r="AK85" s="152" t="n">
        <v>0.03047</v>
      </c>
      <c r="AL85" s="152">
        <f>IF($A85="","",IFERROR(INDEX(Company_List!$G$3:$G$207,MATCH($A85,Company_List!$A$3:$A$207,0)),"unassigned"))</f>
        <v/>
      </c>
      <c r="AM85" s="152" t="inlineStr">
        <is>
          <t>Phase 2/Goldman Sachs/Q1 2025/GS-Q1-2025-presentation-SEC-EX99-2.htm; Phase 2/Goldman Sachs/Q1 2025/GS-Q1-2025-press-release-SEC-EX99-1.htm; Phase 2/Goldman Sachs/Q1 2025/GS-Q1-2025-earnings-call-transcript-InsiderMonkey.html</t>
        </is>
      </c>
      <c r="AN85" s="152" t="inlineStr">
        <is>
          <t>https://www.insidermonkey.com/blog/the-goldman-sachs-group-inc-nysegs-q1-2025-earnings-call-transcript-1508363/; https://www.sec.gov/Archives/edgar/data/886982/000119312525079625/d750054dex991.htm; https://www.sec.gov/Archives/edgar/data/886982/000119312525079625/d750054dex992.htm</t>
        </is>
      </c>
      <c r="AO85" s="152" t="inlineStr">
        <is>
          <t>manifest (whole bundle)</t>
        </is>
      </c>
      <c r="AP85" s="152">
        <f>IF($A85="","",IF(COUNTIFS(LLM_Data_Entry!$A$3:$A$548,$A85)&gt;0,"YES","NO"))</f>
        <v/>
      </c>
      <c r="AQ85" s="152">
        <f>IF($A85="","",IF(COUNTIFS($A$3:$A85,$A85,$C$3:$C85,$C85,$D$3:$D85,$D85)=1,"YES","NO"))</f>
        <v/>
      </c>
      <c r="AR85" s="152">
        <f>IF($A85="","",IF(AND($C85&amp;"-"&amp;$D85&gt;=Settings!$B$19,$C85&amp;"-"&amp;$D85&lt;=Settings!$B$20),"IN","OUT"))</f>
        <v/>
      </c>
      <c r="AS85" s="152">
        <f>IF($A85="","",IF($F85="Financial Results","financials",IF($F85="Outlook/Guidance","guidance",IF($F85="Transcript Q&amp;A","qanda",IF($F85="","unrecorded",IF($E85="All","full",IF($E85="","unrecorded",LOWER($E85)&amp;" only")))))))</f>
        <v/>
      </c>
      <c r="AT85" s="152">
        <f>IF(AND(OR($J85="BUY",$J85="SELL"),ISNUMBER($U85)),$U85,"")</f>
        <v/>
      </c>
      <c r="AU85" s="152">
        <f>IF(AND(OR($J85="BUY",$J85="SELL"),ISNUMBER($AK85)),$AK85,"")</f>
        <v/>
      </c>
      <c r="AV85" s="152">
        <f>IF(ISNUMBER($AT85),ABS(IF(ISNUMBER($I85),$I85,0)-Settings!$B$24),"")</f>
        <v/>
      </c>
      <c r="AW85" s="152">
        <f>IF(ISNUMBER($AV85),$AV85*$AT85,"")</f>
        <v/>
      </c>
      <c r="AX85" s="152">
        <f>IF(ISNUMBER($AU85),ABS(IF(ISNUMBER($I85),$I85,0)-Settings!$B$24),"")</f>
        <v/>
      </c>
      <c r="AY85" s="152" t="inlineStr">
        <is>
          <t>FROZEN</t>
        </is>
      </c>
      <c r="AZ85" s="152">
        <f>IF($A85="","",IFERROR(INDEX(Company_List!$H$3:$H$207,MATCH($A85,Company_List!$A$3:$A$207,0)),"unassigned"))</f>
        <v/>
      </c>
      <c r="BA85" s="152" t="n"/>
      <c r="BB85" s="152" t="n"/>
      <c r="BC85" s="152">
        <f>IF($A85="","",IF(COUNTIFS($A$3:$A85,$A85,$C$3:$C85,$C85,$D$3:$D85,$D85,$G$3:$G85,$G85)=1,1,0))</f>
        <v/>
      </c>
      <c r="BD85" s="152" t="n"/>
      <c r="BE85" s="152" t="n"/>
      <c r="BF85" s="152" t="n"/>
      <c r="BG85" s="152" t="inlineStr">
        <is>
          <t>no</t>
        </is>
      </c>
      <c r="BH85" s="152" t="n"/>
      <c r="BI85" s="152" t="n"/>
      <c r="BJ85" s="152" t="n"/>
      <c r="BK85" s="152">
        <f>IF(OR($H85&lt;&gt;"Human",$S85="",$J85="",$Y85="",$Z85=""),"",IF(EXACT(UPPER($J85),UPPER($Y85)),1,0))</f>
        <v/>
      </c>
      <c r="BL85" s="152" t="inlineStr">
        <is>
          <t>assumed - no rater record</t>
        </is>
      </c>
      <c r="BM85" s="152" t="n">
        <v>3</v>
      </c>
      <c r="BN85" s="152" t="inlineStr">
        <is>
          <t>Insider Monkey (Koala Guide LLC)</t>
        </is>
      </c>
      <c r="BO85" s="152" t="inlineStr">
        <is>
          <t>free to read, copyright asserted</t>
        </is>
      </c>
      <c r="BP85" s="152" t="inlineStr">
        <is>
          <t>no</t>
        </is>
      </c>
      <c r="BQ85" s="152" t="inlineStr">
        <is>
          <t>yes</t>
        </is>
      </c>
      <c r="BR85" s="152" t="n"/>
      <c r="BS85" s="152" t="inlineStr">
        <is>
          <t>YES</t>
        </is>
      </c>
      <c r="BT85" s="152" t="n"/>
    </row>
    <row r="86" ht="15" customHeight="1" s="241">
      <c r="A86" s="174" t="inlineStr">
        <is>
          <t>Goldman Sachs</t>
        </is>
      </c>
      <c r="B86" s="175">
        <f>IF(A86="","",_xlfn.XLOOKUP(A86, Company_List!$A:$A, Company_List!$B:$B, ""))</f>
        <v/>
      </c>
      <c r="C86" s="176" t="n">
        <v>2025</v>
      </c>
      <c r="D86" s="177" t="inlineStr">
        <is>
          <t>Q2</t>
        </is>
      </c>
      <c r="E86" s="178" t="inlineStr">
        <is>
          <t>All</t>
        </is>
      </c>
      <c r="F86" s="178" t="inlineStr">
        <is>
          <t>All</t>
        </is>
      </c>
      <c r="G86" s="177" t="inlineStr">
        <is>
          <t>Dragos</t>
        </is>
      </c>
      <c r="H86" s="177" t="inlineStr">
        <is>
          <t>Human</t>
        </is>
      </c>
      <c r="I86" s="179" t="n">
        <v>0.5</v>
      </c>
      <c r="J86" s="180">
        <f>IF(OR(I86="",Settings!$B$6=""),"",IF(I86&gt;Settings!$B$6,"BUY",IF(I86&lt;-Settings!$B$6,"SELL","HOLD")))</f>
        <v/>
      </c>
      <c r="K86" s="181" t="n">
        <v>25</v>
      </c>
      <c r="L86" s="182" t="n">
        <v>45854</v>
      </c>
      <c r="M86" s="182" t="n">
        <v>45853</v>
      </c>
      <c r="N86" s="179" t="n">
        <v>702.51</v>
      </c>
      <c r="O86" s="182" t="n">
        <v>45854</v>
      </c>
      <c r="P86" s="183" t="n">
        <v>708.5</v>
      </c>
      <c r="Q86" s="184">
        <f>IF(OR(N86="",P86=""),"",ROUND((P86-N86)/N86,4))</f>
        <v/>
      </c>
      <c r="R86" s="177">
        <f>IF(OR(N86="",P86=""),"",IF(Q86&gt;Settings!$B$3/100,"UP",IF(Q86&lt;-Settings!$B$3/100,"DOWN","FLAT")))</f>
        <v/>
      </c>
      <c r="S86" s="177">
        <f>IF(OR(N86="",P86="",J86=""),"",IF(OR(AND(J86="BUY",R86="UP"),AND(J86="SELL",R86="DOWN"),AND(J86="HOLD",R86="FLAT")),"YES","NO"))</f>
        <v/>
      </c>
      <c r="T86" s="176">
        <f>IF(J86="","",IF(J86="BUY",1,IF(J86="SELL",-1,0)))</f>
        <v/>
      </c>
      <c r="U86" s="184">
        <f>IFERROR(IF(OR(J86="",N86="",P86=""),"",IF(T86=0,0,T86*Q86-Settings!$B$4/10000-IF(T86&lt;0,Settings!$B$5/10000,0))),"")</f>
        <v/>
      </c>
      <c r="V86" s="185" t="inlineStr">
        <is>
          <t>Strong beat: EPS +27% yoy, revs +15%, advisory +26%, backlog up 5th straight qtr, 33% dividend hike to $4.00 (pre-announced via CCAR). Optimistic IB outlook, no big one-offs. Strength well telegraphed after Q1 records and market rally into print; ROE 12.8% softer. [memory] I recall GS trading near record highs into this July 2025 print.</t>
        </is>
      </c>
      <c r="W86" s="176">
        <f>IF($K86="","",$K86*60)</f>
        <v/>
      </c>
      <c r="X86" s="186">
        <f>IF($A86="","",$A86&amp;"|"&amp;$C86&amp;"|"&amp;$D86)</f>
        <v/>
      </c>
      <c r="Y86" s="186">
        <f>IFERROR(IF($X86="","",INDEX(LLM_Data_Entry!$H$3:$H$548,MATCH($X86,INDEX(LLM_Data_Entry!$A$3:$A$548&amp;"|"&amp;LLM_Data_Entry!$C$3:$C$548&amp;"|"&amp;LLM_Data_Entry!$D$3:$D$548,0),0))),"")</f>
        <v/>
      </c>
      <c r="Z86" s="186">
        <f>IFERROR(IF($X86="","",INDEX(LLM_Data_Entry!$R$3:$R$548,MATCH($X86,INDEX(LLM_Data_Entry!$A$3:$A$548&amp;"|"&amp;LLM_Data_Entry!$C$3:$C$548&amp;"|"&amp;LLM_Data_Entry!$D$3:$D$548,0),0))),"")</f>
        <v/>
      </c>
      <c r="AA86" s="152" t="n"/>
      <c r="AB86" s="152" t="inlineStr">
        <is>
          <t>earnings calendar, seconded independently</t>
        </is>
      </c>
      <c r="AC86" s="152" t="inlineStr">
        <is>
          <t>GS</t>
        </is>
      </c>
      <c r="AD86" s="152" t="inlineStr">
        <is>
          <t>2025-07-15</t>
        </is>
      </c>
      <c r="AE86" s="152" t="n">
        <v>688.6472</v>
      </c>
      <c r="AF86" s="152" t="inlineStr">
        <is>
          <t>2025-07-16</t>
        </is>
      </c>
      <c r="AG86" s="152" t="n">
        <v>694.5189</v>
      </c>
      <c r="AH86" s="152" t="n">
        <v>0.008526563634517781</v>
      </c>
      <c r="AI86" s="152" t="inlineStr">
        <is>
          <t>FLAT</t>
        </is>
      </c>
      <c r="AJ86" s="152" t="inlineStr">
        <is>
          <t>NO</t>
        </is>
      </c>
      <c r="AK86" s="152" t="n">
        <v>0.007527</v>
      </c>
      <c r="AL86" s="152">
        <f>IF($A86="","",IFERROR(INDEX(Company_List!$G$3:$G$207,MATCH($A86,Company_List!$A$3:$A$207,0)),"unassigned"))</f>
        <v/>
      </c>
      <c r="AM86" s="152" t="inlineStr">
        <is>
          <t>Phase 2/Goldman Sachs/Q2 2025/GS-Q2-2025-presentation-SEC-EX99-2.htm; Phase 2/Goldman Sachs/Q2 2025/GS-Q2-2025-press-release-SEC-EX99-1.htm; Phase 2/Goldman Sachs/Q2 2025/GS-Q2-2025-earnings-call-transcript-MotleyFool.html</t>
        </is>
      </c>
      <c r="AN86" s="152" t="inlineStr">
        <is>
          <t>https://www.fool.com/earnings/call-transcripts/2025/07/16/goldman-sachs-gs-q2-2025-earnings-call-transcript/; https://www.sec.gov/Archives/edgar/data/886982/000119312525159560/d41877dex991.htm; https://www.sec.gov/Archives/edgar/data/886982/000119312525159560/d41877dex992.htm</t>
        </is>
      </c>
      <c r="AO86" s="152" t="inlineStr">
        <is>
          <t>manifest (whole bundle)</t>
        </is>
      </c>
      <c r="AP86" s="152">
        <f>IF($A86="","",IF(COUNTIFS(LLM_Data_Entry!$A$3:$A$548,$A86)&gt;0,"YES","NO"))</f>
        <v/>
      </c>
      <c r="AQ86" s="152">
        <f>IF($A86="","",IF(COUNTIFS($A$3:$A86,$A86,$C$3:$C86,$C86,$D$3:$D86,$D86)=1,"YES","NO"))</f>
        <v/>
      </c>
      <c r="AR86" s="152">
        <f>IF($A86="","",IF(AND($C86&amp;"-"&amp;$D86&gt;=Settings!$B$19,$C86&amp;"-"&amp;$D86&lt;=Settings!$B$20),"IN","OUT"))</f>
        <v/>
      </c>
      <c r="AS86" s="152">
        <f>IF($A86="","",IF($F86="Financial Results","financials",IF($F86="Outlook/Guidance","guidance",IF($F86="Transcript Q&amp;A","qanda",IF($F86="","unrecorded",IF($E86="All","full",IF($E86="","unrecorded",LOWER($E86)&amp;" only")))))))</f>
        <v/>
      </c>
      <c r="AT86" s="152">
        <f>IF(AND(OR($J86="BUY",$J86="SELL"),ISNUMBER($U86)),$U86,"")</f>
        <v/>
      </c>
      <c r="AU86" s="152">
        <f>IF(AND(OR($J86="BUY",$J86="SELL"),ISNUMBER($AK86)),$AK86,"")</f>
        <v/>
      </c>
      <c r="AV86" s="152">
        <f>IF(ISNUMBER($AT86),ABS(IF(ISNUMBER($I86),$I86,0)-Settings!$B$24),"")</f>
        <v/>
      </c>
      <c r="AW86" s="152">
        <f>IF(ISNUMBER($AV86),$AV86*$AT86,"")</f>
        <v/>
      </c>
      <c r="AX86" s="152">
        <f>IF(ISNUMBER($AU86),ABS(IF(ISNUMBER($I86),$I86,0)-Settings!$B$24),"")</f>
        <v/>
      </c>
      <c r="AY86" s="152" t="inlineStr">
        <is>
          <t>FROZEN</t>
        </is>
      </c>
      <c r="AZ86" s="152">
        <f>IF($A86="","",IFERROR(INDEX(Company_List!$H$3:$H$207,MATCH($A86,Company_List!$A$3:$A$207,0)),"unassigned"))</f>
        <v/>
      </c>
      <c r="BA86" s="152" t="n"/>
      <c r="BB86" s="152" t="n"/>
      <c r="BC86" s="152">
        <f>IF($A86="","",IF(COUNTIFS($A$3:$A86,$A86,$C$3:$C86,$C86,$D$3:$D86,$D86,$G$3:$G86,$G86)=1,1,0))</f>
        <v/>
      </c>
      <c r="BD86" s="152" t="n"/>
      <c r="BE86" s="152" t="n"/>
      <c r="BF86" s="152" t="n"/>
      <c r="BG86" s="152" t="inlineStr">
        <is>
          <t>no</t>
        </is>
      </c>
      <c r="BH86" s="152" t="n"/>
      <c r="BI86" s="152" t="n"/>
      <c r="BJ86" s="152" t="n"/>
      <c r="BK86" s="152">
        <f>IF(OR($H86&lt;&gt;"Human",$S86="",$J86="",$Y86="",$Z86=""),"",IF(EXACT(UPPER($J86),UPPER($Y86)),1,0))</f>
        <v/>
      </c>
      <c r="BL86" s="152" t="inlineStr">
        <is>
          <t>assumed - no rater record</t>
        </is>
      </c>
      <c r="BM86" s="152" t="n">
        <v>3</v>
      </c>
      <c r="BN86" s="152" t="inlineStr">
        <is>
          <t>The Motley Fool</t>
        </is>
      </c>
      <c r="BO86" s="152" t="inlineStr">
        <is>
          <t>free to read, copyright asserted</t>
        </is>
      </c>
      <c r="BP86" s="152" t="inlineStr">
        <is>
          <t>no</t>
        </is>
      </c>
      <c r="BQ86" s="152" t="inlineStr">
        <is>
          <t>yes</t>
        </is>
      </c>
      <c r="BR86" s="152" t="n"/>
      <c r="BS86" s="152" t="inlineStr">
        <is>
          <t>YES</t>
        </is>
      </c>
      <c r="BT86" s="152" t="n"/>
    </row>
    <row r="87" ht="15" customHeight="1" s="241">
      <c r="A87" s="174" t="inlineStr">
        <is>
          <t>Goldman Sachs</t>
        </is>
      </c>
      <c r="B87" s="175">
        <f>IF(A87="","",_xlfn.XLOOKUP(A87, Company_List!$A:$A, Company_List!$B:$B, ""))</f>
        <v/>
      </c>
      <c r="C87" s="176" t="n">
        <v>2025</v>
      </c>
      <c r="D87" s="177" t="inlineStr">
        <is>
          <t>Q3</t>
        </is>
      </c>
      <c r="E87" s="178" t="inlineStr">
        <is>
          <t>All</t>
        </is>
      </c>
      <c r="F87" s="178" t="inlineStr">
        <is>
          <t>All</t>
        </is>
      </c>
      <c r="G87" s="177" t="inlineStr">
        <is>
          <t>Dragos</t>
        </is>
      </c>
      <c r="H87" s="177" t="inlineStr">
        <is>
          <t>Human</t>
        </is>
      </c>
      <c r="I87" s="179" t="n">
        <v>0.55</v>
      </c>
      <c r="J87" s="180">
        <f>IF(OR(I87="",Settings!$B$6=""),"",IF(I87&gt;Settings!$B$6,"BUY",IF(I87&lt;-Settings!$B$6,"SELL","HOLD")))</f>
        <v/>
      </c>
      <c r="K87" s="181" t="n">
        <v>34</v>
      </c>
      <c r="L87" s="182" t="n">
        <v>45944</v>
      </c>
      <c r="M87" s="182" t="n">
        <v>45943</v>
      </c>
      <c r="N87" s="179" t="n">
        <v>786.78</v>
      </c>
      <c r="O87" s="182" t="n">
        <v>45944</v>
      </c>
      <c r="P87" s="183" t="n">
        <v>764.45</v>
      </c>
      <c r="Q87" s="184">
        <f>IF(OR(N87="",P87=""),"",ROUND((P87-N87)/N87,4))</f>
        <v/>
      </c>
      <c r="R87" s="177">
        <f>IF(OR(N87="",P87=""),"",IF(Q87&gt;Settings!$B$3/100,"UP",IF(Q87&lt;-Settings!$B$3/100,"DOWN","FLAT")))</f>
        <v/>
      </c>
      <c r="S87" s="177">
        <f>IF(OR(N87="",P87="",J87=""),"",IF(OR(AND(J87="BUY",R87="UP"),AND(J87="SELL",R87="DOWN"),AND(J87="HOLD",R87="FLAT")),"YES","NO"))</f>
        <v/>
      </c>
      <c r="T87" s="176">
        <f>IF(J87="","",IF(J87="BUY",1,IF(J87="SELL",-1,0)))</f>
        <v/>
      </c>
      <c r="U87" s="184">
        <f>IFERROR(IF(OR(J87="",N87="",P87=""),"",IF(T87=0,0,T87*Q87-Settings!$B$4/10000-IF(T87&lt;0,Settings!$B$5/10000,0))),"")</f>
        <v/>
      </c>
      <c r="V87" s="185" t="inlineStr">
        <is>
          <t>Very strong: EPS +46% yoy, revs +20%, IB fees +42% on M&amp;A boom, all segments up, sponsor pipeline +40%. But backlog flat qoq, buyback slowed to $2B (avg cost $718 shows huge run-up into print), CEO warned of investor exuberance/AI cycle. Strength well telegraphed after two blowout qtrs - high bar.</t>
        </is>
      </c>
      <c r="W87" s="176">
        <f>IF($K87="","",$K87*60)</f>
        <v/>
      </c>
      <c r="X87" s="186">
        <f>IF($A87="","",$A87&amp;"|"&amp;$C87&amp;"|"&amp;$D87)</f>
        <v/>
      </c>
      <c r="Y87" s="186">
        <f>IFERROR(IF($X87="","",INDEX(LLM_Data_Entry!$H$3:$H$548,MATCH($X87,INDEX(LLM_Data_Entry!$A$3:$A$548&amp;"|"&amp;LLM_Data_Entry!$C$3:$C$548&amp;"|"&amp;LLM_Data_Entry!$D$3:$D$548,0),0))),"")</f>
        <v/>
      </c>
      <c r="Z87" s="186">
        <f>IFERROR(IF($X87="","",INDEX(LLM_Data_Entry!$R$3:$R$548,MATCH($X87,INDEX(LLM_Data_Entry!$A$3:$A$548&amp;"|"&amp;LLM_Data_Entry!$C$3:$C$548&amp;"|"&amp;LLM_Data_Entry!$D$3:$D$548,0),0))),"")</f>
        <v/>
      </c>
      <c r="AA87" s="152" t="n"/>
      <c r="AB87" s="152" t="inlineStr">
        <is>
          <t>price signal — only this window shows an abnormal move</t>
        </is>
      </c>
      <c r="AC87" s="152" t="inlineStr">
        <is>
          <t>GS</t>
        </is>
      </c>
      <c r="AD87" s="152" t="inlineStr">
        <is>
          <t>2025-10-13</t>
        </is>
      </c>
      <c r="AE87" s="152" t="n">
        <v>775.3828999999999</v>
      </c>
      <c r="AF87" s="152" t="inlineStr">
        <is>
          <t>2025-10-14</t>
        </is>
      </c>
      <c r="AG87" s="152" t="n">
        <v>753.3764</v>
      </c>
      <c r="AH87" s="152" t="n">
        <v>-0.02838145729871041</v>
      </c>
      <c r="AI87" s="152" t="inlineStr">
        <is>
          <t>DOWN</t>
        </is>
      </c>
      <c r="AJ87" s="152" t="inlineStr">
        <is>
          <t>NO</t>
        </is>
      </c>
      <c r="AK87" s="152" t="n">
        <v>-0.029381</v>
      </c>
      <c r="AL87" s="152">
        <f>IF($A87="","",IFERROR(INDEX(Company_List!$G$3:$G$207,MATCH($A87,Company_List!$A$3:$A$207,0)),"unassigned"))</f>
        <v/>
      </c>
      <c r="AM87" s="152" t="inlineStr">
        <is>
          <t>Phase 2/Goldman Sachs/Q3 2025/GS-Q3-2025-presentation-SEC-EX99-2.htm; Phase 2/Goldman Sachs/Q3 2025/GS-Q3-2025-press-release-SEC-EX99-1.htm; Phase 2/Goldman Sachs/Q3 2025/GS-Q3-2025-earnings-call-transcript-InsiderMonkey.html</t>
        </is>
      </c>
      <c r="AN87" s="152" t="inlineStr">
        <is>
          <t>https://www.insidermonkey.com/blog/the-goldman-sachs-group-inc-nysegs-q3-2025-earnings-call-transcript-1628253/; https://www.sec.gov/Archives/edgar/data/886982/000119312525238058/d899312dex991.htm; https://www.sec.gov/Archives/edgar/data/886982/000119312525238058/d899312dex992.htm</t>
        </is>
      </c>
      <c r="AO87" s="152" t="inlineStr">
        <is>
          <t>manifest (whole bundle)</t>
        </is>
      </c>
      <c r="AP87" s="152">
        <f>IF($A87="","",IF(COUNTIFS(LLM_Data_Entry!$A$3:$A$548,$A87)&gt;0,"YES","NO"))</f>
        <v/>
      </c>
      <c r="AQ87" s="152">
        <f>IF($A87="","",IF(COUNTIFS($A$3:$A87,$A87,$C$3:$C87,$C87,$D$3:$D87,$D87)=1,"YES","NO"))</f>
        <v/>
      </c>
      <c r="AR87" s="152">
        <f>IF($A87="","",IF(AND($C87&amp;"-"&amp;$D87&gt;=Settings!$B$19,$C87&amp;"-"&amp;$D87&lt;=Settings!$B$20),"IN","OUT"))</f>
        <v/>
      </c>
      <c r="AS87" s="152">
        <f>IF($A87="","",IF($F87="Financial Results","financials",IF($F87="Outlook/Guidance","guidance",IF($F87="Transcript Q&amp;A","qanda",IF($F87="","unrecorded",IF($E87="All","full",IF($E87="","unrecorded",LOWER($E87)&amp;" only")))))))</f>
        <v/>
      </c>
      <c r="AT87" s="152">
        <f>IF(AND(OR($J87="BUY",$J87="SELL"),ISNUMBER($U87)),$U87,"")</f>
        <v/>
      </c>
      <c r="AU87" s="152">
        <f>IF(AND(OR($J87="BUY",$J87="SELL"),ISNUMBER($AK87)),$AK87,"")</f>
        <v/>
      </c>
      <c r="AV87" s="152">
        <f>IF(ISNUMBER($AT87),ABS(IF(ISNUMBER($I87),$I87,0)-Settings!$B$24),"")</f>
        <v/>
      </c>
      <c r="AW87" s="152">
        <f>IF(ISNUMBER($AV87),$AV87*$AT87,"")</f>
        <v/>
      </c>
      <c r="AX87" s="152">
        <f>IF(ISNUMBER($AU87),ABS(IF(ISNUMBER($I87),$I87,0)-Settings!$B$24),"")</f>
        <v/>
      </c>
      <c r="AY87" s="152" t="inlineStr">
        <is>
          <t>FROZEN</t>
        </is>
      </c>
      <c r="AZ87" s="152">
        <f>IF($A87="","",IFERROR(INDEX(Company_List!$H$3:$H$207,MATCH($A87,Company_List!$A$3:$A$207,0)),"unassigned"))</f>
        <v/>
      </c>
      <c r="BA87" s="152" t="n"/>
      <c r="BB87" s="152" t="n"/>
      <c r="BC87" s="152">
        <f>IF($A87="","",IF(COUNTIFS($A$3:$A87,$A87,$C$3:$C87,$C87,$D$3:$D87,$D87,$G$3:$G87,$G87)=1,1,0))</f>
        <v/>
      </c>
      <c r="BD87" s="152" t="n"/>
      <c r="BE87" s="152" t="n"/>
      <c r="BF87" s="152" t="n"/>
      <c r="BG87" s="152" t="inlineStr">
        <is>
          <t>no</t>
        </is>
      </c>
      <c r="BH87" s="152" t="n"/>
      <c r="BI87" s="152" t="n"/>
      <c r="BJ87" s="152" t="n"/>
      <c r="BK87" s="152">
        <f>IF(OR($H87&lt;&gt;"Human",$S87="",$J87="",$Y87="",$Z87=""),"",IF(EXACT(UPPER($J87),UPPER($Y87)),1,0))</f>
        <v/>
      </c>
      <c r="BL87" s="152" t="inlineStr">
        <is>
          <t>assumed - no rater record</t>
        </is>
      </c>
      <c r="BM87" s="152" t="n">
        <v>3</v>
      </c>
      <c r="BN87" s="152" t="inlineStr">
        <is>
          <t>Insider Monkey (Koala Guide LLC)</t>
        </is>
      </c>
      <c r="BO87" s="152" t="inlineStr">
        <is>
          <t>free to read, copyright asserted</t>
        </is>
      </c>
      <c r="BP87" s="152" t="inlineStr">
        <is>
          <t>no</t>
        </is>
      </c>
      <c r="BQ87" s="152" t="inlineStr">
        <is>
          <t>yes</t>
        </is>
      </c>
      <c r="BR87" s="152" t="n"/>
      <c r="BS87" s="152" t="inlineStr">
        <is>
          <t>YES</t>
        </is>
      </c>
      <c r="BT87" s="152" t="n"/>
    </row>
    <row r="88" ht="15" customHeight="1" s="241">
      <c r="A88" s="174" t="inlineStr">
        <is>
          <t>Goldman Sachs</t>
        </is>
      </c>
      <c r="B88" s="175">
        <f>IF(A88="","",_xlfn.XLOOKUP(A88, Company_List!$A:$A, Company_List!$B:$B, ""))</f>
        <v/>
      </c>
      <c r="C88" s="176" t="n">
        <v>2025</v>
      </c>
      <c r="D88" s="177" t="inlineStr">
        <is>
          <t>Q4</t>
        </is>
      </c>
      <c r="E88" s="178" t="inlineStr">
        <is>
          <t>All</t>
        </is>
      </c>
      <c r="F88" s="178" t="inlineStr">
        <is>
          <t>All</t>
        </is>
      </c>
      <c r="G88" s="177" t="inlineStr">
        <is>
          <t>Dragos</t>
        </is>
      </c>
      <c r="H88" s="177" t="inlineStr">
        <is>
          <t>Human</t>
        </is>
      </c>
      <c r="I88" s="179" t="n">
        <v>0.45</v>
      </c>
      <c r="J88" s="180">
        <f>IF(OR(I88="",Settings!$B$6=""),"",IF(I88&gt;Settings!$B$6,"BUY",IF(I88&lt;-Settings!$B$6,"SELL","HOLD")))</f>
        <v/>
      </c>
      <c r="K88" s="181" t="n">
        <v>21</v>
      </c>
      <c r="L88" s="182" t="n">
        <v>46037</v>
      </c>
      <c r="M88" s="182" t="n">
        <v>46036</v>
      </c>
      <c r="N88" s="179" t="n">
        <v>932.67</v>
      </c>
      <c r="O88" s="182" t="n">
        <v>46037</v>
      </c>
      <c r="P88" s="183" t="n">
        <v>924.9</v>
      </c>
      <c r="Q88" s="184">
        <f>IF(OR(N88="",P88=""),"",ROUND((P88-N88)/N88,4))</f>
        <v/>
      </c>
      <c r="R88" s="177">
        <f>IF(OR(N88="",P88=""),"",IF(Q88&gt;Settings!$B$3/100,"UP",IF(Q88&lt;-Settings!$B$3/100,"DOWN","FLAT")))</f>
        <v/>
      </c>
      <c r="S88" s="177">
        <f>IF(OR(N88="",P88="",J88=""),"",IF(OR(AND(J88="BUY",R88="UP"),AND(J88="SELL",R88="DOWN"),AND(J88="HOLD",R88="FLAT")),"YES","NO"))</f>
        <v/>
      </c>
      <c r="T88" s="176">
        <f>IF(J88="","",IF(J88="BUY",1,IF(J88="SELL",-1,0)))</f>
        <v/>
      </c>
      <c r="U88" s="184">
        <f>IFERROR(IF(OR(J88="",N88="",P88=""),"",IF(T88=0,0,T88*Q88-Settings!$B$4/10000-IF(T88&lt;0,Settings!$B$5/10000,0))),"")</f>
        <v/>
      </c>
      <c r="V88" s="185" t="inlineStr">
        <is>
          <t>EPS $14.01 +17% yoy, FY $51.32 +27%; GBM +22%, IB fees +25%, backlog up, dividend hiked to $4.50. Apple Card exit one-off net +$0.46 EPS (markdown offset by reserve release) muddies quality; revs -3% yoy optically. Reaffirmed mid-teens ROE, new 30% AWM margin target. Strong but expected after blowout year; one-off noise cuts both ways.</t>
        </is>
      </c>
      <c r="W88" s="176">
        <f>IF($K88="","",$K88*60)</f>
        <v/>
      </c>
      <c r="X88" s="186">
        <f>IF($A88="","",$A88&amp;"|"&amp;$C88&amp;"|"&amp;$D88)</f>
        <v/>
      </c>
      <c r="Y88" s="186">
        <f>IFERROR(IF($X88="","",INDEX(LLM_Data_Entry!$H$3:$H$548,MATCH($X88,INDEX(LLM_Data_Entry!$A$3:$A$548&amp;"|"&amp;LLM_Data_Entry!$C$3:$C$548&amp;"|"&amp;LLM_Data_Entry!$D$3:$D$548,0),0))),"")</f>
        <v/>
      </c>
      <c r="Z88" s="186">
        <f>IFERROR(IF($X88="","",INDEX(LLM_Data_Entry!$R$3:$R$548,MATCH($X88,INDEX(LLM_Data_Entry!$A$3:$A$548&amp;"|"&amp;LLM_Data_Entry!$C$3:$C$548&amp;"|"&amp;LLM_Data_Entry!$D$3:$D$548,0),0))),"")</f>
        <v/>
      </c>
      <c r="AA88" s="152" t="n"/>
      <c r="AB88" s="152" t="inlineStr">
        <is>
          <t>price signal — only this window shows an abnormal move</t>
        </is>
      </c>
      <c r="AC88" s="152" t="inlineStr">
        <is>
          <t>GS</t>
        </is>
      </c>
      <c r="AD88" s="152" t="inlineStr">
        <is>
          <t>2026-01-14</t>
        </is>
      </c>
      <c r="AE88" s="152" t="n">
        <v>923.7163</v>
      </c>
      <c r="AF88" s="152" t="inlineStr">
        <is>
          <t>2026-01-15</t>
        </is>
      </c>
      <c r="AG88" s="152" t="n">
        <v>916.0209</v>
      </c>
      <c r="AH88" s="152" t="n">
        <v>-0.008330925349948315</v>
      </c>
      <c r="AI88" s="152" t="inlineStr">
        <is>
          <t>FLAT</t>
        </is>
      </c>
      <c r="AJ88" s="152" t="inlineStr">
        <is>
          <t>NO</t>
        </is>
      </c>
      <c r="AK88" s="152" t="n">
        <v>-0.009331000000000001</v>
      </c>
      <c r="AL88" s="152">
        <f>IF($A88="","",IFERROR(INDEX(Company_List!$G$3:$G$207,MATCH($A88,Company_List!$A$3:$A$207,0)),"unassigned"))</f>
        <v/>
      </c>
      <c r="AM88" s="152" t="inlineStr">
        <is>
          <t>Phase 2/Goldman Sachs/Q4 2025/GS-Q4-2025-presentation-SEC-EX99-2.htm; Phase 2/Goldman Sachs/Q4 2025/GS-Q4-2025-press-release-SEC-EX99-1.htm; Phase 2/Goldman Sachs/Q4 2025/GS-Q4-2025-earnings-call-transcript-MotleyFool.html</t>
        </is>
      </c>
      <c r="AN88" s="152" t="inlineStr">
        <is>
          <t>https://www.fool.com/earnings/call-transcripts/2026/01/15/goldman-sachs-gs-q4-2025-earnings-transcript/; https://www.sec.gov/Archives/edgar/data/886982/000088698226000008/a4q25gsearningsresults.htm; https://www.sec.gov/Archives/edgar/data/886982/000088698226000008/a4q25gsearningsresultspr.htm</t>
        </is>
      </c>
      <c r="AO88" s="152" t="inlineStr">
        <is>
          <t>manifest (whole bundle)</t>
        </is>
      </c>
      <c r="AP88" s="152">
        <f>IF($A88="","",IF(COUNTIFS(LLM_Data_Entry!$A$3:$A$548,$A88)&gt;0,"YES","NO"))</f>
        <v/>
      </c>
      <c r="AQ88" s="152">
        <f>IF($A88="","",IF(COUNTIFS($A$3:$A88,$A88,$C$3:$C88,$C88,$D$3:$D88,$D88)=1,"YES","NO"))</f>
        <v/>
      </c>
      <c r="AR88" s="152">
        <f>IF($A88="","",IF(AND($C88&amp;"-"&amp;$D88&gt;=Settings!$B$19,$C88&amp;"-"&amp;$D88&lt;=Settings!$B$20),"IN","OUT"))</f>
        <v/>
      </c>
      <c r="AS88" s="152">
        <f>IF($A88="","",IF($F88="Financial Results","financials",IF($F88="Outlook/Guidance","guidance",IF($F88="Transcript Q&amp;A","qanda",IF($F88="","unrecorded",IF($E88="All","full",IF($E88="","unrecorded",LOWER($E88)&amp;" only")))))))</f>
        <v/>
      </c>
      <c r="AT88" s="152">
        <f>IF(AND(OR($J88="BUY",$J88="SELL"),ISNUMBER($U88)),$U88,"")</f>
        <v/>
      </c>
      <c r="AU88" s="152">
        <f>IF(AND(OR($J88="BUY",$J88="SELL"),ISNUMBER($AK88)),$AK88,"")</f>
        <v/>
      </c>
      <c r="AV88" s="152">
        <f>IF(ISNUMBER($AT88),ABS(IF(ISNUMBER($I88),$I88,0)-Settings!$B$24),"")</f>
        <v/>
      </c>
      <c r="AW88" s="152">
        <f>IF(ISNUMBER($AV88),$AV88*$AT88,"")</f>
        <v/>
      </c>
      <c r="AX88" s="152">
        <f>IF(ISNUMBER($AU88),ABS(IF(ISNUMBER($I88),$I88,0)-Settings!$B$24),"")</f>
        <v/>
      </c>
      <c r="AY88" s="152" t="inlineStr">
        <is>
          <t>FROZEN</t>
        </is>
      </c>
      <c r="AZ88" s="152">
        <f>IF($A88="","",IFERROR(INDEX(Company_List!$H$3:$H$207,MATCH($A88,Company_List!$A$3:$A$207,0)),"unassigned"))</f>
        <v/>
      </c>
      <c r="BA88" s="152" t="n"/>
      <c r="BB88" s="152" t="n"/>
      <c r="BC88" s="152">
        <f>IF($A88="","",IF(COUNTIFS($A$3:$A88,$A88,$C$3:$C88,$C88,$D$3:$D88,$D88,$G$3:$G88,$G88)=1,1,0))</f>
        <v/>
      </c>
      <c r="BD88" s="152" t="n"/>
      <c r="BE88" s="152" t="n"/>
      <c r="BF88" s="152" t="n"/>
      <c r="BG88" s="152" t="inlineStr">
        <is>
          <t>no</t>
        </is>
      </c>
      <c r="BH88" s="152" t="n"/>
      <c r="BI88" s="152" t="n"/>
      <c r="BJ88" s="152" t="n"/>
      <c r="BK88" s="152">
        <f>IF(OR($H88&lt;&gt;"Human",$S88="",$J88="",$Y88="",$Z88=""),"",IF(EXACT(UPPER($J88),UPPER($Y88)),1,0))</f>
        <v/>
      </c>
      <c r="BL88" s="152" t="inlineStr">
        <is>
          <t>assumed - no rater record</t>
        </is>
      </c>
      <c r="BM88" s="152" t="n">
        <v>3</v>
      </c>
      <c r="BN88" s="152" t="inlineStr">
        <is>
          <t>The Motley Fool</t>
        </is>
      </c>
      <c r="BO88" s="152" t="inlineStr">
        <is>
          <t>free to read, copyright asserted</t>
        </is>
      </c>
      <c r="BP88" s="152" t="inlineStr">
        <is>
          <t>no</t>
        </is>
      </c>
      <c r="BQ88" s="152" t="inlineStr">
        <is>
          <t>yes</t>
        </is>
      </c>
      <c r="BR88" s="152" t="n"/>
      <c r="BS88" s="152" t="inlineStr">
        <is>
          <t>YES</t>
        </is>
      </c>
      <c r="BT88" s="152" t="n"/>
    </row>
    <row r="89" ht="15" customHeight="1" s="241">
      <c r="A89" s="174" t="inlineStr">
        <is>
          <t>Goldman Sachs</t>
        </is>
      </c>
      <c r="B89" s="175">
        <f>IF(A89="","",_xlfn.XLOOKUP(A89, Company_List!$A:$A, Company_List!$B:$B, ""))</f>
        <v/>
      </c>
      <c r="C89" s="176" t="n">
        <v>2026</v>
      </c>
      <c r="D89" s="177" t="inlineStr">
        <is>
          <t>Q1</t>
        </is>
      </c>
      <c r="E89" s="178" t="inlineStr">
        <is>
          <t>All</t>
        </is>
      </c>
      <c r="F89" s="178" t="inlineStr">
        <is>
          <t>All</t>
        </is>
      </c>
      <c r="G89" s="177" t="inlineStr">
        <is>
          <t>Dragos</t>
        </is>
      </c>
      <c r="H89" s="177" t="inlineStr">
        <is>
          <t>Human</t>
        </is>
      </c>
      <c r="I89" s="179" t="n">
        <v>0.4</v>
      </c>
      <c r="J89" s="180">
        <f>IF(OR(I89="",Settings!$B$6=""),"",IF(I89&gt;Settings!$B$6,"BUY",IF(I89&lt;-Settings!$B$6,"SELL","HOLD")))</f>
        <v/>
      </c>
      <c r="K89" s="181" t="n">
        <v>24</v>
      </c>
      <c r="L89" s="182" t="n">
        <v>46125</v>
      </c>
      <c r="M89" s="182" t="n">
        <v>46122</v>
      </c>
      <c r="N89" s="179" t="n">
        <v>907.8</v>
      </c>
      <c r="O89" s="182" t="n">
        <v>46125</v>
      </c>
      <c r="P89" s="183" t="n">
        <v>875.55</v>
      </c>
      <c r="Q89" s="184">
        <f>IF(OR(N89="",P89=""),"",ROUND((P89-N89)/N89,4))</f>
        <v/>
      </c>
      <c r="R89" s="177">
        <f>IF(OR(N89="",P89=""),"",IF(Q89&gt;Settings!$B$3/100,"UP",IF(Q89&lt;-Settings!$B$3/100,"DOWN","FLAT")))</f>
        <v/>
      </c>
      <c r="S89" s="177">
        <f>IF(OR(N89="",P89="",J89=""),"",IF(OR(AND(J89="BUY",R89="UP"),AND(J89="SELL",R89="DOWN"),AND(J89="HOLD",R89="FLAT")),"YES","NO"))</f>
        <v/>
      </c>
      <c r="T89" s="176">
        <f>IF(J89="","",IF(J89="BUY",1,IF(J89="SELL",-1,0)))</f>
        <v/>
      </c>
      <c r="U89" s="184">
        <f>IFERROR(IF(OR(J89="",N89="",P89=""),"",IF(T89=0,0,T89*Q89-Settings!$B$4/10000-IF(T89&lt;0,Settings!$B$5/10000,0))),"")</f>
        <v/>
      </c>
      <c r="V89" s="185" t="inlineStr">
        <is>
          <t>Headline blowout: EPS $17.55 +24%, ROE 19.8%, record GBM/Equities/AUS, $5B buyback. But $2.91 EPS from one-off tax benefit (13.2% tax rate), FICC -10% yoy, IB backlog down slightly - first backlog decline in 6 qtrs. Q&amp;A probed credit cycle/private credit losses. Strong but lower-quality beat into sky-high expectations.</t>
        </is>
      </c>
      <c r="W89" s="176">
        <f>IF($K89="","",$K89*60)</f>
        <v/>
      </c>
      <c r="X89" s="186">
        <f>IF($A89="","",$A89&amp;"|"&amp;$C89&amp;"|"&amp;$D89)</f>
        <v/>
      </c>
      <c r="Y89" s="186">
        <f>IFERROR(IF($X89="","",INDEX(LLM_Data_Entry!$H$3:$H$548,MATCH($X89,INDEX(LLM_Data_Entry!$A$3:$A$548&amp;"|"&amp;LLM_Data_Entry!$C$3:$C$548&amp;"|"&amp;LLM_Data_Entry!$D$3:$D$548,0),0))),"")</f>
        <v/>
      </c>
      <c r="Z89" s="186">
        <f>IFERROR(IF($X89="","",INDEX(LLM_Data_Entry!$R$3:$R$548,MATCH($X89,INDEX(LLM_Data_Entry!$A$3:$A$548&amp;"|"&amp;LLM_Data_Entry!$C$3:$C$548&amp;"|"&amp;LLM_Data_Entry!$D$3:$D$548,0),0))),"")</f>
        <v/>
      </c>
      <c r="AA89" s="152" t="n"/>
      <c r="AB89" s="152" t="inlineStr">
        <is>
          <t>price signal — only this window shows an abnormal move</t>
        </is>
      </c>
      <c r="AC89" s="152" t="inlineStr">
        <is>
          <t>GS</t>
        </is>
      </c>
      <c r="AD89" s="152" t="inlineStr">
        <is>
          <t>2026-04-10</t>
        </is>
      </c>
      <c r="AE89" s="152" t="n">
        <v>903.8167</v>
      </c>
      <c r="AF89" s="152" t="inlineStr">
        <is>
          <t>2026-04-13</t>
        </is>
      </c>
      <c r="AG89" s="152" t="n">
        <v>871.7082</v>
      </c>
      <c r="AH89" s="152" t="n">
        <v>-0.03552543586465621</v>
      </c>
      <c r="AI89" s="152" t="inlineStr">
        <is>
          <t>DOWN</t>
        </is>
      </c>
      <c r="AJ89" s="152" t="inlineStr">
        <is>
          <t>NO</t>
        </is>
      </c>
      <c r="AK89" s="152" t="n">
        <v>-0.036525</v>
      </c>
      <c r="AL89" s="152">
        <f>IF($A89="","",IFERROR(INDEX(Company_List!$G$3:$G$207,MATCH($A89,Company_List!$A$3:$A$207,0)),"unassigned"))</f>
        <v/>
      </c>
      <c r="AM89" s="152" t="inlineStr">
        <is>
          <t>Phase 2/Goldman Sachs/Q1 2026/GS-Q1-2026-presentation-SEC-EX99-2.htm; Phase 2/Goldman Sachs/Q1 2026/GS-Q1-2026-press-release-SEC-EX99-1.htm; Phase 2/Goldman Sachs/Q1 2026/GS-Q1-2026-earnings-call-transcript-MotleyFool.html</t>
        </is>
      </c>
      <c r="AN89" s="152" t="inlineStr">
        <is>
          <t>https://www.fool.com/earnings/call-transcripts/2026/04/13/goldman-sachs-gs-q1-2026-earnings-transcript/; https://www.sec.gov/Archives/edgar/data/886982/000088698226000096/a1q26gsearningsresults.htm; https://www.sec.gov/Archives/edgar/data/886982/000088698226000096/a1q26gsearningsresultspr.htm</t>
        </is>
      </c>
      <c r="AO89" s="152" t="inlineStr">
        <is>
          <t>manifest (whole bundle)</t>
        </is>
      </c>
      <c r="AP89" s="152">
        <f>IF($A89="","",IF(COUNTIFS(LLM_Data_Entry!$A$3:$A$548,$A89)&gt;0,"YES","NO"))</f>
        <v/>
      </c>
      <c r="AQ89" s="152">
        <f>IF($A89="","",IF(COUNTIFS($A$3:$A89,$A89,$C$3:$C89,$C89,$D$3:$D89,$D89)=1,"YES","NO"))</f>
        <v/>
      </c>
      <c r="AR89" s="152">
        <f>IF($A89="","",IF(AND($C89&amp;"-"&amp;$D89&gt;=Settings!$B$19,$C89&amp;"-"&amp;$D89&lt;=Settings!$B$20),"IN","OUT"))</f>
        <v/>
      </c>
      <c r="AS89" s="152">
        <f>IF($A89="","",IF($F89="Financial Results","financials",IF($F89="Outlook/Guidance","guidance",IF($F89="Transcript Q&amp;A","qanda",IF($F89="","unrecorded",IF($E89="All","full",IF($E89="","unrecorded",LOWER($E89)&amp;" only")))))))</f>
        <v/>
      </c>
      <c r="AT89" s="152">
        <f>IF(AND(OR($J89="BUY",$J89="SELL"),ISNUMBER($U89)),$U89,"")</f>
        <v/>
      </c>
      <c r="AU89" s="152">
        <f>IF(AND(OR($J89="BUY",$J89="SELL"),ISNUMBER($AK89)),$AK89,"")</f>
        <v/>
      </c>
      <c r="AV89" s="152">
        <f>IF(ISNUMBER($AT89),ABS(IF(ISNUMBER($I89),$I89,0)-Settings!$B$24),"")</f>
        <v/>
      </c>
      <c r="AW89" s="152">
        <f>IF(ISNUMBER($AV89),$AV89*$AT89,"")</f>
        <v/>
      </c>
      <c r="AX89" s="152">
        <f>IF(ISNUMBER($AU89),ABS(IF(ISNUMBER($I89),$I89,0)-Settings!$B$24),"")</f>
        <v/>
      </c>
      <c r="AY89" s="152" t="inlineStr">
        <is>
          <t>FROZEN</t>
        </is>
      </c>
      <c r="AZ89" s="152">
        <f>IF($A89="","",IFERROR(INDEX(Company_List!$H$3:$H$207,MATCH($A89,Company_List!$A$3:$A$207,0)),"unassigned"))</f>
        <v/>
      </c>
      <c r="BA89" s="152" t="n"/>
      <c r="BB89" s="152" t="n"/>
      <c r="BC89" s="152">
        <f>IF($A89="","",IF(COUNTIFS($A$3:$A89,$A89,$C$3:$C89,$C89,$D$3:$D89,$D89,$G$3:$G89,$G89)=1,1,0))</f>
        <v/>
      </c>
      <c r="BD89" s="152" t="n"/>
      <c r="BE89" s="152" t="n"/>
      <c r="BF89" s="152" t="n"/>
      <c r="BG89" s="152" t="inlineStr">
        <is>
          <t>no</t>
        </is>
      </c>
      <c r="BH89" s="152" t="n"/>
      <c r="BI89" s="152" t="n"/>
      <c r="BJ89" s="152" t="n"/>
      <c r="BK89" s="152">
        <f>IF(OR($H89&lt;&gt;"Human",$S89="",$J89="",$Y89="",$Z89=""),"",IF(EXACT(UPPER($J89),UPPER($Y89)),1,0))</f>
        <v/>
      </c>
      <c r="BL89" s="152" t="inlineStr">
        <is>
          <t>assumed - no rater record</t>
        </is>
      </c>
      <c r="BM89" s="152" t="n">
        <v>3</v>
      </c>
      <c r="BN89" s="152" t="inlineStr">
        <is>
          <t>The Motley Fool</t>
        </is>
      </c>
      <c r="BO89" s="152" t="inlineStr">
        <is>
          <t>free to read, copyright asserted</t>
        </is>
      </c>
      <c r="BP89" s="152" t="inlineStr">
        <is>
          <t>no</t>
        </is>
      </c>
      <c r="BQ89" s="152" t="inlineStr">
        <is>
          <t>yes</t>
        </is>
      </c>
      <c r="BR89" s="152" t="n"/>
      <c r="BS89" s="152" t="inlineStr">
        <is>
          <t>YES</t>
        </is>
      </c>
      <c r="BT89" s="152" t="n"/>
    </row>
    <row r="90" ht="15" customHeight="1" s="241">
      <c r="A90" s="174" t="inlineStr">
        <is>
          <t>Goldman Sachs</t>
        </is>
      </c>
      <c r="B90" s="175">
        <f>IF(A90="","",_xlfn.XLOOKUP(A90, Company_List!$A:$A, Company_List!$B:$B, ""))</f>
        <v/>
      </c>
      <c r="C90" s="176" t="n">
        <v>2026</v>
      </c>
      <c r="D90" s="177" t="inlineStr">
        <is>
          <t>Q2</t>
        </is>
      </c>
      <c r="E90" s="178" t="inlineStr">
        <is>
          <t>All</t>
        </is>
      </c>
      <c r="F90" s="178" t="inlineStr">
        <is>
          <t>All</t>
        </is>
      </c>
      <c r="G90" s="177" t="inlineStr">
        <is>
          <t>Dragos</t>
        </is>
      </c>
      <c r="H90" s="177" t="inlineStr">
        <is>
          <t>Human</t>
        </is>
      </c>
      <c r="I90" s="179" t="n">
        <v>0.8</v>
      </c>
      <c r="J90" s="180">
        <f>IF(OR(I90="",Settings!$B$6=""),"",IF(I90&gt;Settings!$B$6,"BUY",IF(I90&lt;-Settings!$B$6,"SELL","HOLD")))</f>
        <v/>
      </c>
      <c r="K90" s="181" t="n">
        <v>21</v>
      </c>
      <c r="L90" s="182" t="n">
        <v>46217</v>
      </c>
      <c r="M90" s="182" t="n">
        <v>46216</v>
      </c>
      <c r="N90" s="179" t="n">
        <v>1045.91</v>
      </c>
      <c r="O90" s="182" t="n">
        <v>46217</v>
      </c>
      <c r="P90" s="183" t="n">
        <v>1085</v>
      </c>
      <c r="Q90" s="184">
        <f>IF(OR(N90="",P90=""),"",ROUND((P90-N90)/N90,4))</f>
        <v/>
      </c>
      <c r="R90" s="177">
        <f>IF(OR(N90="",P90=""),"",IF(Q90&gt;Settings!$B$3/100,"UP",IF(Q90&lt;-Settings!$B$3/100,"DOWN","FLAT")))</f>
        <v/>
      </c>
      <c r="S90" s="177">
        <f>IF(OR(N90="",P90="",J90=""),"",IF(OR(AND(J90="BUY",R90="UP"),AND(J90="SELL",R90="DOWN"),AND(J90="HOLD",R90="FLAT")),"YES","NO"))</f>
        <v/>
      </c>
      <c r="T90" s="176">
        <f>IF(J90="","",IF(J90="BUY",1,IF(J90="SELL",-1,0)))</f>
        <v/>
      </c>
      <c r="U90" s="184">
        <f>IFERROR(IF(OR(J90="",N90="",P90=""),"",IF(T90=0,0,T90*Q90-Settings!$B$4/10000-IF(T90&lt;0,Settings!$B$5/10000,0))),"")</f>
        <v/>
      </c>
      <c r="V90" s="185" t="inlineStr">
        <is>
          <t>Unambiguous blowout: record revs $20.3B +39%, record EPS $20.98 +92% yoy, ROE 23.5%, Equities +72%, IB fees +55%, record advisory backlog, dividend to $5.00, provisions only $102M, raised alts fundraising target. Magnitude looks well beyond consensus even with high expectations. Risk: peak-cycle numbers, everything priced for perfection. Post-cutoff quarter, no memory possible.</t>
        </is>
      </c>
      <c r="W90" s="176">
        <f>IF($K90="","",$K90*60)</f>
        <v/>
      </c>
      <c r="X90" s="186">
        <f>IF($A90="","",$A90&amp;"|"&amp;$C90&amp;"|"&amp;$D90)</f>
        <v/>
      </c>
      <c r="Y90" s="186">
        <f>IFERROR(IF($X90="","",INDEX(LLM_Data_Entry!$H$3:$H$548,MATCH($X90,INDEX(LLM_Data_Entry!$A$3:$A$548&amp;"|"&amp;LLM_Data_Entry!$C$3:$C$548&amp;"|"&amp;LLM_Data_Entry!$D$3:$D$548,0),0))),"")</f>
        <v/>
      </c>
      <c r="Z90" s="186">
        <f>IFERROR(IF($X90="","",INDEX(LLM_Data_Entry!$R$3:$R$548,MATCH($X90,INDEX(LLM_Data_Entry!$A$3:$A$548&amp;"|"&amp;LLM_Data_Entry!$C$3:$C$548&amp;"|"&amp;LLM_Data_Entry!$D$3:$D$548,0),0))),"")</f>
        <v/>
      </c>
      <c r="AA90" s="152" t="n"/>
      <c r="AB90" s="152" t="inlineStr">
        <is>
          <t>price signal — only this window shows an abnormal move</t>
        </is>
      </c>
      <c r="AC90" s="152" t="inlineStr">
        <is>
          <t>GS</t>
        </is>
      </c>
      <c r="AD90" s="152" t="inlineStr">
        <is>
          <t>2026-07-13</t>
        </is>
      </c>
      <c r="AE90" s="152" t="n">
        <v>1045.91</v>
      </c>
      <c r="AF90" s="152" t="inlineStr">
        <is>
          <t>2026-07-14</t>
        </is>
      </c>
      <c r="AG90" s="152" t="n">
        <v>1085</v>
      </c>
      <c r="AH90" s="152" t="n">
        <v>0.03737411892923861</v>
      </c>
      <c r="AI90" s="152" t="inlineStr">
        <is>
          <t>UP</t>
        </is>
      </c>
      <c r="AJ90" s="152" t="inlineStr">
        <is>
          <t>YES</t>
        </is>
      </c>
      <c r="AK90" s="152" t="n">
        <v>0.036374</v>
      </c>
      <c r="AL90" s="152">
        <f>IF($A90="","",IFERROR(INDEX(Company_List!$G$3:$G$207,MATCH($A90,Company_List!$A$3:$A$207,0)),"unassigned"))</f>
        <v/>
      </c>
      <c r="AM90" s="152" t="inlineStr">
        <is>
          <t>Phase 2/Goldman Sachs/Q2 2026/GS-Q2-2026-presentation-SEC-EX99-2.htm; Phase 2/Goldman Sachs/Q2 2026/GS-Q2-2026-press-release-SEC-EX99-1.htm; Phase 2/Goldman Sachs/Q2 2026/GS-Q2-2026-earnings-call-transcript-AlphaStreet.html</t>
        </is>
      </c>
      <c r="AN90" s="152" t="inlineStr">
        <is>
          <t>https://news.alphastreet.com/goldman-sachs-group-inc-gs-q2-2026-earnings-call-transcript/; https://www.sec.gov/Archives/edgar/data/886982/000088698226000294/a2q26gsearningsresults.htm; https://www.sec.gov/Archives/edgar/data/886982/000088698226000294/a2q26gsearningsresultspr.htm</t>
        </is>
      </c>
      <c r="AO90" s="152" t="inlineStr">
        <is>
          <t>manifest (whole bundle)</t>
        </is>
      </c>
      <c r="AP90" s="152">
        <f>IF($A90="","",IF(COUNTIFS(LLM_Data_Entry!$A$3:$A$548,$A90)&gt;0,"YES","NO"))</f>
        <v/>
      </c>
      <c r="AQ90" s="152">
        <f>IF($A90="","",IF(COUNTIFS($A$3:$A90,$A90,$C$3:$C90,$C90,$D$3:$D90,$D90)=1,"YES","NO"))</f>
        <v/>
      </c>
      <c r="AR90" s="152">
        <f>IF($A90="","",IF(AND($C90&amp;"-"&amp;$D90&gt;=Settings!$B$19,$C90&amp;"-"&amp;$D90&lt;=Settings!$B$20),"IN","OUT"))</f>
        <v/>
      </c>
      <c r="AS90" s="152">
        <f>IF($A90="","",IF($F90="Financial Results","financials",IF($F90="Outlook/Guidance","guidance",IF($F90="Transcript Q&amp;A","qanda",IF($F90="","unrecorded",IF($E90="All","full",IF($E90="","unrecorded",LOWER($E90)&amp;" only")))))))</f>
        <v/>
      </c>
      <c r="AT90" s="152">
        <f>IF(AND(OR($J90="BUY",$J90="SELL"),ISNUMBER($U90)),$U90,"")</f>
        <v/>
      </c>
      <c r="AU90" s="152">
        <f>IF(AND(OR($J90="BUY",$J90="SELL"),ISNUMBER($AK90)),$AK90,"")</f>
        <v/>
      </c>
      <c r="AV90" s="152">
        <f>IF(ISNUMBER($AT90),ABS(IF(ISNUMBER($I90),$I90,0)-Settings!$B$24),"")</f>
        <v/>
      </c>
      <c r="AW90" s="152">
        <f>IF(ISNUMBER($AV90),$AV90*$AT90,"")</f>
        <v/>
      </c>
      <c r="AX90" s="152">
        <f>IF(ISNUMBER($AU90),ABS(IF(ISNUMBER($I90),$I90,0)-Settings!$B$24),"")</f>
        <v/>
      </c>
      <c r="AY90" s="152" t="inlineStr">
        <is>
          <t>FROZEN</t>
        </is>
      </c>
      <c r="AZ90" s="152">
        <f>IF($A90="","",IFERROR(INDEX(Company_List!$H$3:$H$207,MATCH($A90,Company_List!$A$3:$A$207,0)),"unassigned"))</f>
        <v/>
      </c>
      <c r="BA90" s="152" t="n"/>
      <c r="BB90" s="152" t="n"/>
      <c r="BC90" s="152">
        <f>IF($A90="","",IF(COUNTIFS($A$3:$A90,$A90,$C$3:$C90,$C90,$D$3:$D90,$D90,$G$3:$G90,$G90)=1,1,0))</f>
        <v/>
      </c>
      <c r="BD90" s="152" t="n"/>
      <c r="BE90" s="152" t="n"/>
      <c r="BF90" s="152" t="n"/>
      <c r="BG90" s="152" t="inlineStr">
        <is>
          <t>no</t>
        </is>
      </c>
      <c r="BH90" s="152" t="n"/>
      <c r="BI90" s="152" t="n"/>
      <c r="BJ90" s="152" t="n"/>
      <c r="BK90" s="152">
        <f>IF(OR($H90&lt;&gt;"Human",$S90="",$J90="",$Y90="",$Z90=""),"",IF(EXACT(UPPER($J90),UPPER($Y90)),1,0))</f>
        <v/>
      </c>
      <c r="BL90" s="152" t="inlineStr">
        <is>
          <t>assumed - no rater record</t>
        </is>
      </c>
      <c r="BM90" s="152" t="n">
        <v>3</v>
      </c>
      <c r="BN90" s="152" t="inlineStr">
        <is>
          <t>not publisher-identified</t>
        </is>
      </c>
      <c r="BO90" s="152" t="inlineStr">
        <is>
          <t>not publisher-identified</t>
        </is>
      </c>
      <c r="BP90" s="152" t="inlineStr">
        <is>
          <t>no</t>
        </is>
      </c>
      <c r="BQ90" s="152" t="inlineStr">
        <is>
          <t>yes</t>
        </is>
      </c>
      <c r="BR90" s="152" t="n"/>
      <c r="BS90" s="152" t="inlineStr">
        <is>
          <t>YES</t>
        </is>
      </c>
      <c r="BT90" s="152" t="n"/>
    </row>
    <row r="91" ht="15" customHeight="1" s="241">
      <c r="A91" s="174" t="inlineStr">
        <is>
          <t>Charles Schwab</t>
        </is>
      </c>
      <c r="B91" s="175">
        <f>IF(A91="","",_xlfn.XLOOKUP(A91, Company_List!$A:$A, Company_List!$B:$B, ""))</f>
        <v/>
      </c>
      <c r="C91" s="176" t="n">
        <v>2025</v>
      </c>
      <c r="D91" s="177" t="inlineStr">
        <is>
          <t>Q1</t>
        </is>
      </c>
      <c r="E91" s="178" t="inlineStr">
        <is>
          <t>All</t>
        </is>
      </c>
      <c r="F91" s="178" t="inlineStr">
        <is>
          <t>All</t>
        </is>
      </c>
      <c r="G91" s="177" t="inlineStr">
        <is>
          <t>Dragos</t>
        </is>
      </c>
      <c r="H91" s="177" t="inlineStr">
        <is>
          <t>Human</t>
        </is>
      </c>
      <c r="I91" s="179" t="n">
        <v>0.6</v>
      </c>
      <c r="J91" s="180">
        <f>IF(OR(I91="",Settings!$B$6=""),"",IF(I91&gt;Settings!$B$6,"BUY",IF(I91&lt;-Settings!$B$6,"SELL","HOLD")))</f>
        <v/>
      </c>
      <c r="K91" s="181" t="n">
        <v>25</v>
      </c>
      <c r="L91" s="182" t="n">
        <v>45764</v>
      </c>
      <c r="M91" s="182" t="n">
        <v>45764</v>
      </c>
      <c r="N91" s="179" t="n">
        <v>76.15000000000001</v>
      </c>
      <c r="O91" s="182" t="n">
        <v>45765</v>
      </c>
      <c r="P91" s="183" t="n">
        <v>75.64</v>
      </c>
      <c r="Q91" s="184">
        <f>IF(OR(N91="",P91=""),"",ROUND((P91-N91)/N91,4))</f>
        <v/>
      </c>
      <c r="R91" s="177">
        <f>IF(OR(N91="",P91=""),"",IF(Q91&gt;Settings!$B$3/100,"UP",IF(Q91&lt;-Settings!$B$3/100,"DOWN","FLAT")))</f>
        <v/>
      </c>
      <c r="S91" s="177">
        <f>IF(OR(N91="",P91="",J91=""),"",IF(OR(AND(J91="BUY",R91="UP"),AND(J91="SELL",R91="DOWN"),AND(J91="HOLD",R91="FLAT")),"YES","NO"))</f>
        <v/>
      </c>
      <c r="T91" s="176">
        <f>IF(J91="","",IF(J91="BUY",1,IF(J91="SELL",-1,0)))</f>
        <v/>
      </c>
      <c r="U91" s="184">
        <f>IFERROR(IF(OR(J91="",N91="",P91=""),"",IF(T91=0,0,T91*Q91-Settings!$B$4/10000-IF(T91&lt;0,Settings!$B$5/10000,0))),"")</f>
        <v/>
      </c>
      <c r="V91" s="185" t="inlineStr">
        <is>
          <t>Record revenue +18%, adj EPS $1.04 +41%, NNA $137.7B +44%, div +8%, $1.5B buyback; tracking upper end of FY EPS scenario amid April tariff volatility with record trading. Risk: rate-cut path could trim 4Q NIM; macro fear tape means market braced for worse, beat should pop.</t>
        </is>
      </c>
      <c r="W91" s="176">
        <f>IF($K91="","",$K91*60)</f>
        <v/>
      </c>
      <c r="X91" s="186">
        <f>IF($A91="","",$A91&amp;"|"&amp;$C91&amp;"|"&amp;$D91)</f>
        <v/>
      </c>
      <c r="Y91" s="186">
        <f>IFERROR(IF($X91="","",INDEX(LLM_Data_Entry!$H$3:$H$548,MATCH($X91,INDEX(LLM_Data_Entry!$A$3:$A$548&amp;"|"&amp;LLM_Data_Entry!$C$3:$C$548&amp;"|"&amp;LLM_Data_Entry!$D$3:$D$548,0),0))),"")</f>
        <v/>
      </c>
      <c r="Z91" s="186">
        <f>IFERROR(IF($X91="","",INDEX(LLM_Data_Entry!$R$3:$R$548,MATCH($X91,INDEX(LLM_Data_Entry!$A$3:$A$548&amp;"|"&amp;LLM_Data_Entry!$C$3:$C$548&amp;"|"&amp;LLM_Data_Entry!$D$3:$D$548,0),0))),"")</f>
        <v/>
      </c>
      <c r="AA91" s="152" t="n"/>
      <c r="AB91" s="152" t="inlineStr">
        <is>
          <t>price signal — only this window shows an abnormal move</t>
        </is>
      </c>
      <c r="AC91" s="152" t="inlineStr">
        <is>
          <t>SCHW</t>
        </is>
      </c>
      <c r="AD91" s="152" t="inlineStr">
        <is>
          <t>2025-04-16</t>
        </is>
      </c>
      <c r="AE91" s="152" t="n">
        <v>74.5125</v>
      </c>
      <c r="AF91" s="152" t="inlineStr">
        <is>
          <t>2025-04-17</t>
        </is>
      </c>
      <c r="AG91" s="152" t="n">
        <v>76.4517</v>
      </c>
      <c r="AH91" s="152" t="n">
        <v>0.02602391441620634</v>
      </c>
      <c r="AI91" s="152" t="inlineStr">
        <is>
          <t>UP</t>
        </is>
      </c>
      <c r="AJ91" s="152" t="inlineStr">
        <is>
          <t>YES</t>
        </is>
      </c>
      <c r="AK91" s="152" t="n">
        <v>0.025024</v>
      </c>
      <c r="AL91" s="152">
        <f>IF($A91="","",IFERROR(INDEX(Company_List!$G$3:$G$207,MATCH($A91,Company_List!$A$3:$A$207,0)),"unassigned"))</f>
        <v/>
      </c>
      <c r="AM91" s="152" t="inlineStr">
        <is>
          <t>Phase 2/Charles Schwab/Q1 2025/SCHW-Q1-2025-press-release-SEC-EX99-1.htm; Phase 2/Charles Schwab/Q1 2025/SCHW-Q1-2025-earnings-call-transcript-InsiderMonkey.html</t>
        </is>
      </c>
      <c r="AN91" s="152" t="inlineStr">
        <is>
          <t>https://www.insidermonkey.com/blog/the-charles-schwab-corporation-nyseschw-q1-2025-earnings-call-transcript-1511418/; https://www.sec.gov/Archives/edgar/data/316709/000031670925000019/a1q25exhibit991.htm</t>
        </is>
      </c>
      <c r="AO91" s="152" t="inlineStr">
        <is>
          <t>manifest (whole bundle)</t>
        </is>
      </c>
      <c r="AP91" s="152">
        <f>IF($A91="","",IF(COUNTIFS(LLM_Data_Entry!$A$3:$A$548,$A91)&gt;0,"YES","NO"))</f>
        <v/>
      </c>
      <c r="AQ91" s="152">
        <f>IF($A91="","",IF(COUNTIFS($A$3:$A91,$A91,$C$3:$C91,$C91,$D$3:$D91,$D91)=1,"YES","NO"))</f>
        <v/>
      </c>
      <c r="AR91" s="152">
        <f>IF($A91="","",IF(AND($C91&amp;"-"&amp;$D91&gt;=Settings!$B$19,$C91&amp;"-"&amp;$D91&lt;=Settings!$B$20),"IN","OUT"))</f>
        <v/>
      </c>
      <c r="AS91" s="152">
        <f>IF($A91="","",IF($F91="Financial Results","financials",IF($F91="Outlook/Guidance","guidance",IF($F91="Transcript Q&amp;A","qanda",IF($F91="","unrecorded",IF($E91="All","full",IF($E91="","unrecorded",LOWER($E91)&amp;" only")))))))</f>
        <v/>
      </c>
      <c r="AT91" s="152">
        <f>IF(AND(OR($J91="BUY",$J91="SELL"),ISNUMBER($U91)),$U91,"")</f>
        <v/>
      </c>
      <c r="AU91" s="152">
        <f>IF(AND(OR($J91="BUY",$J91="SELL"),ISNUMBER($AK91)),$AK91,"")</f>
        <v/>
      </c>
      <c r="AV91" s="152">
        <f>IF(ISNUMBER($AT91),ABS(IF(ISNUMBER($I91),$I91,0)-Settings!$B$24),"")</f>
        <v/>
      </c>
      <c r="AW91" s="152">
        <f>IF(ISNUMBER($AV91),$AV91*$AT91,"")</f>
        <v/>
      </c>
      <c r="AX91" s="152">
        <f>IF(ISNUMBER($AU91),ABS(IF(ISNUMBER($I91),$I91,0)-Settings!$B$24),"")</f>
        <v/>
      </c>
      <c r="AY91" s="152" t="inlineStr">
        <is>
          <t>FROZEN</t>
        </is>
      </c>
      <c r="AZ91" s="152">
        <f>IF($A91="","",IFERROR(INDEX(Company_List!$H$3:$H$207,MATCH($A91,Company_List!$A$3:$A$207,0)),"unassigned"))</f>
        <v/>
      </c>
      <c r="BA91" s="152" t="n"/>
      <c r="BB91" s="152" t="n"/>
      <c r="BC91" s="152">
        <f>IF($A91="","",IF(COUNTIFS($A$3:$A91,$A91,$C$3:$C91,$C91,$D$3:$D91,$D91,$G$3:$G91,$G91)=1,1,0))</f>
        <v/>
      </c>
      <c r="BD91" s="152" t="n"/>
      <c r="BE91" s="152" t="n"/>
      <c r="BF91" s="152" t="n"/>
      <c r="BG91" s="152" t="inlineStr">
        <is>
          <t>no</t>
        </is>
      </c>
      <c r="BH91" s="152" t="n"/>
      <c r="BI91" s="152" t="n"/>
      <c r="BJ91" s="152" t="n"/>
      <c r="BK91" s="152">
        <f>IF(OR($H91&lt;&gt;"Human",$S91="",$J91="",$Y91="",$Z91=""),"",IF(EXACT(UPPER($J91),UPPER($Y91)),1,0))</f>
        <v/>
      </c>
      <c r="BL91" s="152" t="inlineStr">
        <is>
          <t>assumed - no rater record</t>
        </is>
      </c>
      <c r="BM91" s="152" t="n">
        <v>2</v>
      </c>
      <c r="BN91" s="152" t="inlineStr">
        <is>
          <t>Insider Monkey (Koala Guide LLC)</t>
        </is>
      </c>
      <c r="BO91" s="152" t="inlineStr">
        <is>
          <t>free to read, copyright asserted</t>
        </is>
      </c>
      <c r="BP91" s="152" t="inlineStr">
        <is>
          <t>no</t>
        </is>
      </c>
      <c r="BQ91" s="152" t="inlineStr">
        <is>
          <t>yes</t>
        </is>
      </c>
      <c r="BR91" s="152" t="n"/>
      <c r="BS91" s="152" t="inlineStr">
        <is>
          <t>YES</t>
        </is>
      </c>
      <c r="BT91" s="152" t="n"/>
    </row>
    <row r="92" ht="15" customHeight="1" s="241">
      <c r="A92" s="174" t="inlineStr">
        <is>
          <t>Charles Schwab</t>
        </is>
      </c>
      <c r="B92" s="175">
        <f>IF(A92="","",_xlfn.XLOOKUP(A92, Company_List!$A:$A, Company_List!$B:$B, ""))</f>
        <v/>
      </c>
      <c r="C92" s="176" t="n">
        <v>2025</v>
      </c>
      <c r="D92" s="177" t="inlineStr">
        <is>
          <t>Q2</t>
        </is>
      </c>
      <c r="E92" s="178" t="inlineStr">
        <is>
          <t>All</t>
        </is>
      </c>
      <c r="F92" s="178" t="inlineStr">
        <is>
          <t>All</t>
        </is>
      </c>
      <c r="G92" s="177" t="inlineStr">
        <is>
          <t>Dragos</t>
        </is>
      </c>
      <c r="H92" s="177" t="inlineStr">
        <is>
          <t>Human</t>
        </is>
      </c>
      <c r="I92" s="179" t="n">
        <v>0.7</v>
      </c>
      <c r="J92" s="180">
        <f>IF(OR(I92="",Settings!$B$6=""),"",IF(I92&gt;Settings!$B$6,"BUY",IF(I92&lt;-Settings!$B$6,"SELL","HOLD")))</f>
        <v/>
      </c>
      <c r="K92" s="181" t="n">
        <v>30</v>
      </c>
      <c r="L92" s="182" t="n">
        <v>45856</v>
      </c>
      <c r="M92" s="182" t="n">
        <v>45856</v>
      </c>
      <c r="N92" s="179" t="n">
        <v>95.8</v>
      </c>
      <c r="O92" s="182" t="n">
        <v>45859</v>
      </c>
      <c r="P92" s="183" t="n">
        <v>96.02</v>
      </c>
      <c r="Q92" s="184">
        <f>IF(OR(N92="",P92=""),"",ROUND((P92-N92)/N92,4))</f>
        <v/>
      </c>
      <c r="R92" s="177">
        <f>IF(OR(N92="",P92=""),"",IF(Q92&gt;Settings!$B$3/100,"UP",IF(Q92&lt;-Settings!$B$3/100,"DOWN","FLAT")))</f>
        <v/>
      </c>
      <c r="S92" s="177">
        <f>IF(OR(N92="",P92="",J92=""),"",IF(OR(AND(J92="BUY",R92="UP"),AND(J92="SELL",R92="DOWN"),AND(J92="HOLD",R92="FLAT")),"YES","NO"))</f>
        <v/>
      </c>
      <c r="T92" s="176">
        <f>IF(J92="","",IF(J92="BUY",1,IF(J92="SELL",-1,0)))</f>
        <v/>
      </c>
      <c r="U92" s="184">
        <f>IFERROR(IF(OR(J92="",N92="",P92=""),"",IF(T92=0,0,T92*Q92-Settings!$B$4/10000-IF(T92&lt;0,Settings!$B$5/10000,0))),"")</f>
        <v/>
      </c>
      <c r="V92" s="185" t="inlineStr">
        <is>
          <t>Blowout: record rev +25%, adj EPS $1.14 +56%, margin &gt;50%, NNA +31%; FY EPS scenario raised to $4.55-4.65 from $4.10-4.20, NIM guide up. Risk: trading-driven strength partly known; buyback modest at $350M.</t>
        </is>
      </c>
      <c r="W92" s="176">
        <f>IF($K92="","",$K92*60)</f>
        <v/>
      </c>
      <c r="X92" s="186">
        <f>IF($A92="","",$A92&amp;"|"&amp;$C92&amp;"|"&amp;$D92)</f>
        <v/>
      </c>
      <c r="Y92" s="186">
        <f>IFERROR(IF($X92="","",INDEX(LLM_Data_Entry!$H$3:$H$548,MATCH($X92,INDEX(LLM_Data_Entry!$A$3:$A$548&amp;"|"&amp;LLM_Data_Entry!$C$3:$C$548&amp;"|"&amp;LLM_Data_Entry!$D$3:$D$548,0),0))),"")</f>
        <v/>
      </c>
      <c r="Z92" s="186">
        <f>IFERROR(IF($X92="","",INDEX(LLM_Data_Entry!$R$3:$R$548,MATCH($X92,INDEX(LLM_Data_Entry!$A$3:$A$548&amp;"|"&amp;LLM_Data_Entry!$C$3:$C$548&amp;"|"&amp;LLM_Data_Entry!$D$3:$D$548,0),0))),"")</f>
        <v/>
      </c>
      <c r="AA92" s="152" t="n"/>
      <c r="AB92" s="152" t="inlineStr">
        <is>
          <t>price signal — only this window shows an abnormal move</t>
        </is>
      </c>
      <c r="AC92" s="152" t="inlineStr">
        <is>
          <t>SCHW</t>
        </is>
      </c>
      <c r="AD92" s="152" t="inlineStr">
        <is>
          <t>2025-07-17</t>
        </is>
      </c>
      <c r="AE92" s="152" t="n">
        <v>91.93380000000001</v>
      </c>
      <c r="AF92" s="152" t="inlineStr">
        <is>
          <t>2025-07-18</t>
        </is>
      </c>
      <c r="AG92" s="152" t="n">
        <v>94.5012</v>
      </c>
      <c r="AH92" s="152" t="n">
        <v>0.02792702460304082</v>
      </c>
      <c r="AI92" s="152" t="inlineStr">
        <is>
          <t>UP</t>
        </is>
      </c>
      <c r="AJ92" s="152" t="inlineStr">
        <is>
          <t>YES</t>
        </is>
      </c>
      <c r="AK92" s="152" t="n">
        <v>0.026927</v>
      </c>
      <c r="AL92" s="152">
        <f>IF($A92="","",IFERROR(INDEX(Company_List!$G$3:$G$207,MATCH($A92,Company_List!$A$3:$A$207,0)),"unassigned"))</f>
        <v/>
      </c>
      <c r="AM92" s="152" t="inlineStr">
        <is>
          <t>Phase 2/Charles Schwab/Q2 2025/SCHW-Q2-2025-press-release-SEC-EX99-1.htm; Phase 2/Charles Schwab/Q2 2025/SCHW-Q2-2025-earnings-call-transcript-InsiderMonkey.html</t>
        </is>
      </c>
      <c r="AN92" s="152" t="inlineStr">
        <is>
          <t>https://www.insidermonkey.com/blog/the-charles-schwab-corporation-nyseschw-q2-2025-earnings-call-transcript-1573625/; https://www.sec.gov/Archives/edgar/data/316709/000031670925000033/a2q25exhibit991.htm</t>
        </is>
      </c>
      <c r="AO92" s="152" t="inlineStr">
        <is>
          <t>manifest (whole bundle)</t>
        </is>
      </c>
      <c r="AP92" s="152">
        <f>IF($A92="","",IF(COUNTIFS(LLM_Data_Entry!$A$3:$A$548,$A92)&gt;0,"YES","NO"))</f>
        <v/>
      </c>
      <c r="AQ92" s="152">
        <f>IF($A92="","",IF(COUNTIFS($A$3:$A92,$A92,$C$3:$C92,$C92,$D$3:$D92,$D92)=1,"YES","NO"))</f>
        <v/>
      </c>
      <c r="AR92" s="152">
        <f>IF($A92="","",IF(AND($C92&amp;"-"&amp;$D92&gt;=Settings!$B$19,$C92&amp;"-"&amp;$D92&lt;=Settings!$B$20),"IN","OUT"))</f>
        <v/>
      </c>
      <c r="AS92" s="152">
        <f>IF($A92="","",IF($F92="Financial Results","financials",IF($F92="Outlook/Guidance","guidance",IF($F92="Transcript Q&amp;A","qanda",IF($F92="","unrecorded",IF($E92="All","full",IF($E92="","unrecorded",LOWER($E92)&amp;" only")))))))</f>
        <v/>
      </c>
      <c r="AT92" s="152">
        <f>IF(AND(OR($J92="BUY",$J92="SELL"),ISNUMBER($U92)),$U92,"")</f>
        <v/>
      </c>
      <c r="AU92" s="152">
        <f>IF(AND(OR($J92="BUY",$J92="SELL"),ISNUMBER($AK92)),$AK92,"")</f>
        <v/>
      </c>
      <c r="AV92" s="152">
        <f>IF(ISNUMBER($AT92),ABS(IF(ISNUMBER($I92),$I92,0)-Settings!$B$24),"")</f>
        <v/>
      </c>
      <c r="AW92" s="152">
        <f>IF(ISNUMBER($AV92),$AV92*$AT92,"")</f>
        <v/>
      </c>
      <c r="AX92" s="152">
        <f>IF(ISNUMBER($AU92),ABS(IF(ISNUMBER($I92),$I92,0)-Settings!$B$24),"")</f>
        <v/>
      </c>
      <c r="AY92" s="152" t="inlineStr">
        <is>
          <t>FROZEN</t>
        </is>
      </c>
      <c r="AZ92" s="152">
        <f>IF($A92="","",IFERROR(INDEX(Company_List!$H$3:$H$207,MATCH($A92,Company_List!$A$3:$A$207,0)),"unassigned"))</f>
        <v/>
      </c>
      <c r="BA92" s="152" t="n"/>
      <c r="BB92" s="152" t="n"/>
      <c r="BC92" s="152">
        <f>IF($A92="","",IF(COUNTIFS($A$3:$A92,$A92,$C$3:$C92,$C92,$D$3:$D92,$D92,$G$3:$G92,$G92)=1,1,0))</f>
        <v/>
      </c>
      <c r="BD92" s="152" t="n"/>
      <c r="BE92" s="152" t="n"/>
      <c r="BF92" s="152" t="n"/>
      <c r="BG92" s="152" t="inlineStr">
        <is>
          <t>no</t>
        </is>
      </c>
      <c r="BH92" s="152" t="n"/>
      <c r="BI92" s="152" t="n"/>
      <c r="BJ92" s="152" t="n"/>
      <c r="BK92" s="152">
        <f>IF(OR($H92&lt;&gt;"Human",$S92="",$J92="",$Y92="",$Z92=""),"",IF(EXACT(UPPER($J92),UPPER($Y92)),1,0))</f>
        <v/>
      </c>
      <c r="BL92" s="152" t="inlineStr">
        <is>
          <t>assumed - no rater record</t>
        </is>
      </c>
      <c r="BM92" s="152" t="n">
        <v>2</v>
      </c>
      <c r="BN92" s="152" t="inlineStr">
        <is>
          <t>Insider Monkey (Koala Guide LLC)</t>
        </is>
      </c>
      <c r="BO92" s="152" t="inlineStr">
        <is>
          <t>free to read, copyright asserted</t>
        </is>
      </c>
      <c r="BP92" s="152" t="inlineStr">
        <is>
          <t>no</t>
        </is>
      </c>
      <c r="BQ92" s="152" t="inlineStr">
        <is>
          <t>yes</t>
        </is>
      </c>
      <c r="BR92" s="152" t="n"/>
      <c r="BS92" s="152" t="inlineStr">
        <is>
          <t>YES</t>
        </is>
      </c>
      <c r="BT92" s="152" t="n"/>
    </row>
    <row r="93" ht="15" customHeight="1" s="241">
      <c r="A93" s="174" t="inlineStr">
        <is>
          <t>Charles Schwab</t>
        </is>
      </c>
      <c r="B93" s="175">
        <f>IF(A93="","",_xlfn.XLOOKUP(A93, Company_List!$A:$A, Company_List!$B:$B, ""))</f>
        <v/>
      </c>
      <c r="C93" s="176" t="n">
        <v>2025</v>
      </c>
      <c r="D93" s="177" t="inlineStr">
        <is>
          <t>Q3</t>
        </is>
      </c>
      <c r="E93" s="178" t="inlineStr">
        <is>
          <t>All</t>
        </is>
      </c>
      <c r="F93" s="178" t="inlineStr">
        <is>
          <t>All</t>
        </is>
      </c>
      <c r="G93" s="177" t="inlineStr">
        <is>
          <t>Dragos</t>
        </is>
      </c>
      <c r="H93" s="177" t="inlineStr">
        <is>
          <t>Human</t>
        </is>
      </c>
      <c r="I93" s="179" t="n">
        <v>0.7</v>
      </c>
      <c r="J93" s="180">
        <f>IF(OR(I93="",Settings!$B$6=""),"",IF(I93&gt;Settings!$B$6,"BUY",IF(I93&lt;-Settings!$B$6,"SELL","HOLD")))</f>
        <v/>
      </c>
      <c r="K93" s="181" t="n">
        <v>26</v>
      </c>
      <c r="L93" s="182" t="n">
        <v>45946</v>
      </c>
      <c r="M93" s="182" t="n">
        <v>45946</v>
      </c>
      <c r="N93" s="179" t="n">
        <v>93.41</v>
      </c>
      <c r="O93" s="182" t="n">
        <v>45947</v>
      </c>
      <c r="P93" s="183" t="n">
        <v>94.72</v>
      </c>
      <c r="Q93" s="184">
        <f>IF(OR(N93="",P93=""),"",ROUND((P93-N93)/N93,4))</f>
        <v/>
      </c>
      <c r="R93" s="177">
        <f>IF(OR(N93="",P93=""),"",IF(Q93&gt;Settings!$B$3/100,"UP",IF(Q93&lt;-Settings!$B$3/100,"DOWN","FLAT")))</f>
        <v/>
      </c>
      <c r="S93" s="177">
        <f>IF(OR(N93="",P93="",J93=""),"",IF(OR(AND(J93="BUY",R93="UP"),AND(J93="SELL",R93="DOWN"),AND(J93="HOLD",R93="FLAT")),"YES","NO"))</f>
        <v/>
      </c>
      <c r="T93" s="176">
        <f>IF(J93="","",IF(J93="BUY",1,IF(J93="SELL",-1,0)))</f>
        <v/>
      </c>
      <c r="U93" s="184">
        <f>IFERROR(IF(OR(J93="",N93="",P93=""),"",IF(T93=0,0,T93*Q93-Settings!$B$4/10000-IF(T93&lt;0,Settings!$B$5/10000,0))),"")</f>
        <v/>
      </c>
      <c r="V93" s="185" t="inlineStr">
        <is>
          <t>Third straight record: rev +27%, adj EPS $1.31 +70%, NNA +44%, buyback up to $2.7B, NIM 2.86%; guided ~2%+ above upper end of July scenario. Risk: momentum now well known, so bar is high; rate cuts into 2026 an overhang.</t>
        </is>
      </c>
      <c r="W93" s="176">
        <f>IF($K93="","",$K93*60)</f>
        <v/>
      </c>
      <c r="X93" s="186">
        <f>IF($A93="","",$A93&amp;"|"&amp;$C93&amp;"|"&amp;$D93)</f>
        <v/>
      </c>
      <c r="Y93" s="186">
        <f>IFERROR(IF($X93="","",INDEX(LLM_Data_Entry!$H$3:$H$548,MATCH($X93,INDEX(LLM_Data_Entry!$A$3:$A$548&amp;"|"&amp;LLM_Data_Entry!$C$3:$C$548&amp;"|"&amp;LLM_Data_Entry!$D$3:$D$548,0),0))),"")</f>
        <v/>
      </c>
      <c r="Z93" s="186">
        <f>IFERROR(IF($X93="","",INDEX(LLM_Data_Entry!$R$3:$R$548,MATCH($X93,INDEX(LLM_Data_Entry!$A$3:$A$548&amp;"|"&amp;LLM_Data_Entry!$C$3:$C$548&amp;"|"&amp;LLM_Data_Entry!$D$3:$D$548,0),0))),"")</f>
        <v/>
      </c>
      <c r="AA93" s="152" t="n"/>
      <c r="AB93" s="152" t="inlineStr">
        <is>
          <t>earnings calendar, seconded independently</t>
        </is>
      </c>
      <c r="AC93" s="152" t="inlineStr">
        <is>
          <t>SCHW</t>
        </is>
      </c>
      <c r="AD93" s="152" t="inlineStr">
        <is>
          <t>2025-10-15</t>
        </is>
      </c>
      <c r="AE93" s="152" t="n">
        <v>93.41119999999999</v>
      </c>
      <c r="AF93" s="152" t="inlineStr">
        <is>
          <t>2025-10-16</t>
        </is>
      </c>
      <c r="AG93" s="152" t="n">
        <v>93.84690000000001</v>
      </c>
      <c r="AH93" s="152" t="n">
        <v>0.004664287859232544</v>
      </c>
      <c r="AI93" s="152" t="inlineStr">
        <is>
          <t>FLAT</t>
        </is>
      </c>
      <c r="AJ93" s="152" t="inlineStr">
        <is>
          <t>NO</t>
        </is>
      </c>
      <c r="AK93" s="152" t="n">
        <v>0.003664</v>
      </c>
      <c r="AL93" s="152">
        <f>IF($A93="","",IFERROR(INDEX(Company_List!$G$3:$G$207,MATCH($A93,Company_List!$A$3:$A$207,0)),"unassigned"))</f>
        <v/>
      </c>
      <c r="AM93" s="152" t="inlineStr">
        <is>
          <t>Phase 2/Charles Schwab/Q3 2025/SCHW-Q3-2025-press-release-SEC-EX99-1.htm; Phase 2/Charles Schwab/Q3 2025/SCHW-Q3-2025-earnings-call-transcript-InsiderMonkey.html</t>
        </is>
      </c>
      <c r="AN93" s="152" t="inlineStr">
        <is>
          <t>https://www.insidermonkey.com/blog/the-charles-schwab-corporation-nyseschw-q3-2025-earnings-call-transcript-1631368/; https://www.sec.gov/Archives/edgar/data/316709/000031670925000046/a3q25exhibit991.htm</t>
        </is>
      </c>
      <c r="AO93" s="152" t="inlineStr">
        <is>
          <t>manifest (whole bundle)</t>
        </is>
      </c>
      <c r="AP93" s="152">
        <f>IF($A93="","",IF(COUNTIFS(LLM_Data_Entry!$A$3:$A$548,$A93)&gt;0,"YES","NO"))</f>
        <v/>
      </c>
      <c r="AQ93" s="152">
        <f>IF($A93="","",IF(COUNTIFS($A$3:$A93,$A93,$C$3:$C93,$C93,$D$3:$D93,$D93)=1,"YES","NO"))</f>
        <v/>
      </c>
      <c r="AR93" s="152">
        <f>IF($A93="","",IF(AND($C93&amp;"-"&amp;$D93&gt;=Settings!$B$19,$C93&amp;"-"&amp;$D93&lt;=Settings!$B$20),"IN","OUT"))</f>
        <v/>
      </c>
      <c r="AS93" s="152">
        <f>IF($A93="","",IF($F93="Financial Results","financials",IF($F93="Outlook/Guidance","guidance",IF($F93="Transcript Q&amp;A","qanda",IF($F93="","unrecorded",IF($E93="All","full",IF($E93="","unrecorded",LOWER($E93)&amp;" only")))))))</f>
        <v/>
      </c>
      <c r="AT93" s="152">
        <f>IF(AND(OR($J93="BUY",$J93="SELL"),ISNUMBER($U93)),$U93,"")</f>
        <v/>
      </c>
      <c r="AU93" s="152">
        <f>IF(AND(OR($J93="BUY",$J93="SELL"),ISNUMBER($AK93)),$AK93,"")</f>
        <v/>
      </c>
      <c r="AV93" s="152">
        <f>IF(ISNUMBER($AT93),ABS(IF(ISNUMBER($I93),$I93,0)-Settings!$B$24),"")</f>
        <v/>
      </c>
      <c r="AW93" s="152">
        <f>IF(ISNUMBER($AV93),$AV93*$AT93,"")</f>
        <v/>
      </c>
      <c r="AX93" s="152">
        <f>IF(ISNUMBER($AU93),ABS(IF(ISNUMBER($I93),$I93,0)-Settings!$B$24),"")</f>
        <v/>
      </c>
      <c r="AY93" s="152" t="inlineStr">
        <is>
          <t>FROZEN</t>
        </is>
      </c>
      <c r="AZ93" s="152">
        <f>IF($A93="","",IFERROR(INDEX(Company_List!$H$3:$H$207,MATCH($A93,Company_List!$A$3:$A$207,0)),"unassigned"))</f>
        <v/>
      </c>
      <c r="BA93" s="152" t="n"/>
      <c r="BB93" s="152" t="n"/>
      <c r="BC93" s="152">
        <f>IF($A93="","",IF(COUNTIFS($A$3:$A93,$A93,$C$3:$C93,$C93,$D$3:$D93,$D93,$G$3:$G93,$G93)=1,1,0))</f>
        <v/>
      </c>
      <c r="BD93" s="152" t="n"/>
      <c r="BE93" s="152" t="n"/>
      <c r="BF93" s="152" t="n"/>
      <c r="BG93" s="152" t="inlineStr">
        <is>
          <t>no</t>
        </is>
      </c>
      <c r="BH93" s="152" t="n"/>
      <c r="BI93" s="152" t="n"/>
      <c r="BJ93" s="152" t="n"/>
      <c r="BK93" s="152">
        <f>IF(OR($H93&lt;&gt;"Human",$S93="",$J93="",$Y93="",$Z93=""),"",IF(EXACT(UPPER($J93),UPPER($Y93)),1,0))</f>
        <v/>
      </c>
      <c r="BL93" s="152" t="inlineStr">
        <is>
          <t>assumed - no rater record</t>
        </is>
      </c>
      <c r="BM93" s="152" t="n">
        <v>2</v>
      </c>
      <c r="BN93" s="152" t="inlineStr">
        <is>
          <t>Insider Monkey (Koala Guide LLC)</t>
        </is>
      </c>
      <c r="BO93" s="152" t="inlineStr">
        <is>
          <t>free to read, copyright asserted</t>
        </is>
      </c>
      <c r="BP93" s="152" t="inlineStr">
        <is>
          <t>no</t>
        </is>
      </c>
      <c r="BQ93" s="152" t="inlineStr">
        <is>
          <t>yes</t>
        </is>
      </c>
      <c r="BR93" s="152" t="n"/>
      <c r="BS93" s="152" t="inlineStr">
        <is>
          <t>YES</t>
        </is>
      </c>
      <c r="BT93" s="152" t="n"/>
    </row>
    <row r="94" ht="15" customHeight="1" s="241">
      <c r="A94" s="174" t="inlineStr">
        <is>
          <t>Charles Schwab</t>
        </is>
      </c>
      <c r="B94" s="175">
        <f>IF(A94="","",_xlfn.XLOOKUP(A94, Company_List!$A:$A, Company_List!$B:$B, ""))</f>
        <v/>
      </c>
      <c r="C94" s="176" t="n">
        <v>2025</v>
      </c>
      <c r="D94" s="177" t="inlineStr">
        <is>
          <t>Q4</t>
        </is>
      </c>
      <c r="E94" s="178" t="inlineStr">
        <is>
          <t>All</t>
        </is>
      </c>
      <c r="F94" s="178" t="inlineStr">
        <is>
          <t>All</t>
        </is>
      </c>
      <c r="G94" s="177" t="inlineStr">
        <is>
          <t>Dragos</t>
        </is>
      </c>
      <c r="H94" s="177" t="inlineStr">
        <is>
          <t>Human</t>
        </is>
      </c>
      <c r="I94" s="179" t="n">
        <v>0.5</v>
      </c>
      <c r="J94" s="180">
        <f>IF(OR(I94="",Settings!$B$6=""),"",IF(I94&gt;Settings!$B$6,"BUY",IF(I94&lt;-Settings!$B$6,"SELL","HOLD")))</f>
        <v/>
      </c>
      <c r="K94" s="181" t="n">
        <v>29</v>
      </c>
      <c r="L94" s="182" t="n">
        <v>46043</v>
      </c>
      <c r="M94" s="182" t="n">
        <v>46043</v>
      </c>
      <c r="N94" s="179" t="n">
        <v>101.79</v>
      </c>
      <c r="O94" s="182" t="n">
        <v>46044</v>
      </c>
      <c r="P94" s="183" t="n">
        <v>103.07</v>
      </c>
      <c r="Q94" s="184">
        <f>IF(OR(N94="",P94=""),"",ROUND((P94-N94)/N94,4))</f>
        <v/>
      </c>
      <c r="R94" s="177">
        <f>IF(OR(N94="",P94=""),"",IF(Q94&gt;Settings!$B$3/100,"UP",IF(Q94&lt;-Settings!$B$3/100,"DOWN","FLAT")))</f>
        <v/>
      </c>
      <c r="S94" s="177">
        <f>IF(OR(N94="",P94="",J94=""),"",IF(OR(AND(J94="BUY",R94="UP"),AND(J94="SELL",R94="DOWN"),AND(J94="HOLD",R94="FLAT")),"YES","NO"))</f>
        <v/>
      </c>
      <c r="T94" s="176">
        <f>IF(J94="","",IF(J94="BUY",1,IF(J94="SELL",-1,0)))</f>
        <v/>
      </c>
      <c r="U94" s="184">
        <f>IFERROR(IF(OR(J94="",N94="",P94=""),"",IF(T94=0,0,T94*Q94-Settings!$B$4/10000-IF(T94&lt;0,Settings!$B$5/10000,0))),"")</f>
        <v/>
      </c>
      <c r="V94" s="185" t="inlineStr">
        <is>
          <t>Record Q4: adj EPS $1.39 +38%, NNA $163.9B, FY EPS $4.87 beat own raised scenario; but 2026 guide decelerates to rev +9.5-10.5%, EPS $5.70-5.80, expenses 5.5-6.5%. Fourth straight record is fully telegraphed; guide is solid not a raise-shock, so inside the gap bar.</t>
        </is>
      </c>
      <c r="W94" s="176">
        <f>IF($K94="","",$K94*60)</f>
        <v/>
      </c>
      <c r="X94" s="186">
        <f>IF($A94="","",$A94&amp;"|"&amp;$C94&amp;"|"&amp;$D94)</f>
        <v/>
      </c>
      <c r="Y94" s="186">
        <f>IFERROR(IF($X94="","",INDEX(LLM_Data_Entry!$H$3:$H$548,MATCH($X94,INDEX(LLM_Data_Entry!$A$3:$A$548&amp;"|"&amp;LLM_Data_Entry!$C$3:$C$548&amp;"|"&amp;LLM_Data_Entry!$D$3:$D$548,0),0))),"")</f>
        <v/>
      </c>
      <c r="Z94" s="186">
        <f>IFERROR(IF($X94="","",INDEX(LLM_Data_Entry!$R$3:$R$548,MATCH($X94,INDEX(LLM_Data_Entry!$A$3:$A$548&amp;"|"&amp;LLM_Data_Entry!$C$3:$C$548&amp;"|"&amp;LLM_Data_Entry!$D$3:$D$548,0),0))),"")</f>
        <v/>
      </c>
      <c r="AA94" s="152" t="n"/>
      <c r="AB94" s="152" t="inlineStr">
        <is>
          <t>earnings calendar, seconded independently</t>
        </is>
      </c>
      <c r="AC94" s="152" t="inlineStr">
        <is>
          <t>SCHW</t>
        </is>
      </c>
      <c r="AD94" s="152" t="inlineStr">
        <is>
          <t>2026-01-20</t>
        </is>
      </c>
      <c r="AE94" s="152" t="n">
        <v>100.2902</v>
      </c>
      <c r="AF94" s="152" t="inlineStr">
        <is>
          <t>2026-01-21</t>
        </is>
      </c>
      <c r="AG94" s="152" t="n">
        <v>100.6279</v>
      </c>
      <c r="AH94" s="152" t="n">
        <v>0.003366761565933791</v>
      </c>
      <c r="AI94" s="152" t="inlineStr">
        <is>
          <t>FLAT</t>
        </is>
      </c>
      <c r="AJ94" s="152" t="inlineStr">
        <is>
          <t>NO</t>
        </is>
      </c>
      <c r="AK94" s="152" t="n">
        <v>0.002367</v>
      </c>
      <c r="AL94" s="152">
        <f>IF($A94="","",IFERROR(INDEX(Company_List!$G$3:$G$207,MATCH($A94,Company_List!$A$3:$A$207,0)),"unassigned"))</f>
        <v/>
      </c>
      <c r="AM94" s="152" t="inlineStr">
        <is>
          <t>Phase 2/Charles Schwab/Q4 2025/SCHW-Q4-2025-press-release-SEC-EX99-1.htm; Phase 2/Charles Schwab/Q4 2025/SCHW-Q4-2025-earnings-call-transcript-MotleyFool.html</t>
        </is>
      </c>
      <c r="AN94" s="152" t="inlineStr">
        <is>
          <t>https://www.fool.com/earnings/call-transcripts/2026/03/24/schwab-schw-q4-2025-earnings-call-transcript/; https://www.sec.gov/Archives/edgar/data/316709/000031670926000004/a4q25exhibit991.htm</t>
        </is>
      </c>
      <c r="AO94" s="152" t="inlineStr">
        <is>
          <t>manifest (whole bundle)</t>
        </is>
      </c>
      <c r="AP94" s="152">
        <f>IF($A94="","",IF(COUNTIFS(LLM_Data_Entry!$A$3:$A$548,$A94)&gt;0,"YES","NO"))</f>
        <v/>
      </c>
      <c r="AQ94" s="152">
        <f>IF($A94="","",IF(COUNTIFS($A$3:$A94,$A94,$C$3:$C94,$C94,$D$3:$D94,$D94)=1,"YES","NO"))</f>
        <v/>
      </c>
      <c r="AR94" s="152">
        <f>IF($A94="","",IF(AND($C94&amp;"-"&amp;$D94&gt;=Settings!$B$19,$C94&amp;"-"&amp;$D94&lt;=Settings!$B$20),"IN","OUT"))</f>
        <v/>
      </c>
      <c r="AS94" s="152">
        <f>IF($A94="","",IF($F94="Financial Results","financials",IF($F94="Outlook/Guidance","guidance",IF($F94="Transcript Q&amp;A","qanda",IF($F94="","unrecorded",IF($E94="All","full",IF($E94="","unrecorded",LOWER($E94)&amp;" only")))))))</f>
        <v/>
      </c>
      <c r="AT94" s="152">
        <f>IF(AND(OR($J94="BUY",$J94="SELL"),ISNUMBER($U94)),$U94,"")</f>
        <v/>
      </c>
      <c r="AU94" s="152">
        <f>IF(AND(OR($J94="BUY",$J94="SELL"),ISNUMBER($AK94)),$AK94,"")</f>
        <v/>
      </c>
      <c r="AV94" s="152">
        <f>IF(ISNUMBER($AT94),ABS(IF(ISNUMBER($I94),$I94,0)-Settings!$B$24),"")</f>
        <v/>
      </c>
      <c r="AW94" s="152">
        <f>IF(ISNUMBER($AV94),$AV94*$AT94,"")</f>
        <v/>
      </c>
      <c r="AX94" s="152">
        <f>IF(ISNUMBER($AU94),ABS(IF(ISNUMBER($I94),$I94,0)-Settings!$B$24),"")</f>
        <v/>
      </c>
      <c r="AY94" s="152" t="inlineStr">
        <is>
          <t>FROZEN</t>
        </is>
      </c>
      <c r="AZ94" s="152">
        <f>IF($A94="","",IFERROR(INDEX(Company_List!$H$3:$H$207,MATCH($A94,Company_List!$A$3:$A$207,0)),"unassigned"))</f>
        <v/>
      </c>
      <c r="BA94" s="152" t="n"/>
      <c r="BB94" s="152" t="n"/>
      <c r="BC94" s="152">
        <f>IF($A94="","",IF(COUNTIFS($A$3:$A94,$A94,$C$3:$C94,$C94,$D$3:$D94,$D94,$G$3:$G94,$G94)=1,1,0))</f>
        <v/>
      </c>
      <c r="BD94" s="152" t="n"/>
      <c r="BE94" s="152" t="n"/>
      <c r="BF94" s="152" t="n"/>
      <c r="BG94" s="152" t="inlineStr">
        <is>
          <t>no</t>
        </is>
      </c>
      <c r="BH94" s="152" t="n"/>
      <c r="BI94" s="152" t="n"/>
      <c r="BJ94" s="152" t="n"/>
      <c r="BK94" s="152">
        <f>IF(OR($H94&lt;&gt;"Human",$S94="",$J94="",$Y94="",$Z94=""),"",IF(EXACT(UPPER($J94),UPPER($Y94)),1,0))</f>
        <v/>
      </c>
      <c r="BL94" s="152" t="inlineStr">
        <is>
          <t>assumed - no rater record</t>
        </is>
      </c>
      <c r="BM94" s="152" t="n">
        <v>2</v>
      </c>
      <c r="BN94" s="152" t="inlineStr">
        <is>
          <t>The Motley Fool</t>
        </is>
      </c>
      <c r="BO94" s="152" t="inlineStr">
        <is>
          <t>free to read, copyright asserted</t>
        </is>
      </c>
      <c r="BP94" s="152" t="inlineStr">
        <is>
          <t>no</t>
        </is>
      </c>
      <c r="BQ94" s="152" t="inlineStr">
        <is>
          <t>yes</t>
        </is>
      </c>
      <c r="BR94" s="152" t="n"/>
      <c r="BS94" s="152" t="inlineStr">
        <is>
          <t>YES</t>
        </is>
      </c>
      <c r="BT94" s="152" t="n"/>
    </row>
    <row r="95" ht="15" customHeight="1" s="241">
      <c r="A95" s="174" t="inlineStr">
        <is>
          <t>Charles Schwab</t>
        </is>
      </c>
      <c r="B95" s="175">
        <f>IF(A95="","",_xlfn.XLOOKUP(A95, Company_List!$A:$A, Company_List!$B:$B, ""))</f>
        <v/>
      </c>
      <c r="C95" s="176" t="n">
        <v>2026</v>
      </c>
      <c r="D95" s="177" t="inlineStr">
        <is>
          <t>Q1</t>
        </is>
      </c>
      <c r="E95" s="178" t="inlineStr">
        <is>
          <t>All</t>
        </is>
      </c>
      <c r="F95" s="178" t="inlineStr">
        <is>
          <t>All</t>
        </is>
      </c>
      <c r="G95" s="177" t="inlineStr">
        <is>
          <t>Dragos</t>
        </is>
      </c>
      <c r="H95" s="177" t="inlineStr">
        <is>
          <t>Human</t>
        </is>
      </c>
      <c r="I95" s="179" t="n">
        <v>0.5</v>
      </c>
      <c r="J95" s="180">
        <f>IF(OR(I95="",Settings!$B$6=""),"",IF(I95&gt;Settings!$B$6,"BUY",IF(I95&lt;-Settings!$B$6,"SELL","HOLD")))</f>
        <v/>
      </c>
      <c r="K95" s="181" t="n">
        <v>21</v>
      </c>
      <c r="L95" s="182" t="n">
        <v>46128</v>
      </c>
      <c r="M95" s="182" t="n">
        <v>46128</v>
      </c>
      <c r="N95" s="179" t="n">
        <v>92.62</v>
      </c>
      <c r="O95" s="182" t="n">
        <v>46129</v>
      </c>
      <c r="P95" s="183" t="n">
        <v>93.34999999999999</v>
      </c>
      <c r="Q95" s="184">
        <f>IF(OR(N95="",P95=""),"",ROUND((P95-N95)/N95,4))</f>
        <v/>
      </c>
      <c r="R95" s="177">
        <f>IF(OR(N95="",P95=""),"",IF(Q95&gt;Settings!$B$3/100,"UP",IF(Q95&lt;-Settings!$B$3/100,"DOWN","FLAT")))</f>
        <v/>
      </c>
      <c r="S95" s="177">
        <f>IF(OR(N95="",P95="",J95=""),"",IF(OR(AND(J95="BUY",R95="UP"),AND(J95="SELL",R95="DOWN"),AND(J95="HOLD",R95="FLAT")),"YES","NO"))</f>
        <v/>
      </c>
      <c r="T95" s="176">
        <f>IF(J95="","",IF(J95="BUY",1,IF(J95="SELL",-1,0)))</f>
        <v/>
      </c>
      <c r="U95" s="184">
        <f>IFERROR(IF(OR(J95="",N95="",P95=""),"",IF(T95=0,0,T95*Q95-Settings!$B$4/10000-IF(T95&lt;0,Settings!$B$5/10000,0))),"")</f>
        <v/>
      </c>
      <c r="V95" s="185" t="inlineStr">
        <is>
          <t>Record adj EPS $1.43 +38%, NNA $158B ex-deconversion, div +19%, tracking above FY $5.70-5.80 scenario with no-cut curve a tailwind. Overhang: Q&amp;A dominated by cash-sweep monetization fears (JPM product, agentic AI) and lower rev per trade; strong print into a braced market favors an up-gap.</t>
        </is>
      </c>
      <c r="W95" s="176">
        <f>IF($K95="","",$K95*60)</f>
        <v/>
      </c>
      <c r="X95" s="186">
        <f>IF($A95="","",$A95&amp;"|"&amp;$C95&amp;"|"&amp;$D95)</f>
        <v/>
      </c>
      <c r="Y95" s="186">
        <f>IFERROR(IF($X95="","",INDEX(LLM_Data_Entry!$H$3:$H$548,MATCH($X95,INDEX(LLM_Data_Entry!$A$3:$A$548&amp;"|"&amp;LLM_Data_Entry!$C$3:$C$548&amp;"|"&amp;LLM_Data_Entry!$D$3:$D$548,0),0))),"")</f>
        <v/>
      </c>
      <c r="Z95" s="186">
        <f>IFERROR(IF($X95="","",INDEX(LLM_Data_Entry!$R$3:$R$548,MATCH($X95,INDEX(LLM_Data_Entry!$A$3:$A$548&amp;"|"&amp;LLM_Data_Entry!$C$3:$C$548&amp;"|"&amp;LLM_Data_Entry!$D$3:$D$548,0),0))),"")</f>
        <v/>
      </c>
      <c r="AA95" s="152" t="n"/>
      <c r="AB95" s="152" t="inlineStr">
        <is>
          <t>price signal — both moved; this one dominates</t>
        </is>
      </c>
      <c r="AC95" s="152" t="inlineStr">
        <is>
          <t>SCHW</t>
        </is>
      </c>
      <c r="AD95" s="152" t="inlineStr">
        <is>
          <t>2026-04-15</t>
        </is>
      </c>
      <c r="AE95" s="152" t="n">
        <v>99.9115</v>
      </c>
      <c r="AF95" s="152" t="inlineStr">
        <is>
          <t>2026-04-16</t>
        </is>
      </c>
      <c r="AG95" s="152" t="n">
        <v>95.41759999999999</v>
      </c>
      <c r="AH95" s="152" t="n">
        <v>-0.04497844079049667</v>
      </c>
      <c r="AI95" s="152" t="inlineStr">
        <is>
          <t>DOWN</t>
        </is>
      </c>
      <c r="AJ95" s="152" t="inlineStr">
        <is>
          <t>NO</t>
        </is>
      </c>
      <c r="AK95" s="152" t="n">
        <v>-0.045978</v>
      </c>
      <c r="AL95" s="152">
        <f>IF($A95="","",IFERROR(INDEX(Company_List!$G$3:$G$207,MATCH($A95,Company_List!$A$3:$A$207,0)),"unassigned"))</f>
        <v/>
      </c>
      <c r="AM95" s="152" t="inlineStr">
        <is>
          <t>Phase 2/Charles Schwab/Q1 2026/SCHW-Q1-2026-press-release-SEC-EX99-1.htm; Phase 2/Charles Schwab/Q1 2026/SCHW-Q1-2026-earnings-call-transcript-InsiderMonkey.html</t>
        </is>
      </c>
      <c r="AN95" s="152" t="inlineStr">
        <is>
          <t>https://www.insidermonkey.com/blog/the-charles-schwab-corporation-nyseschw-q1-2026-earnings-call-transcript-1740197/; https://www.sec.gov/Archives/edgar/data/316709/000031670926000016/a1q26exhibit991.htm</t>
        </is>
      </c>
      <c r="AO95" s="152" t="inlineStr">
        <is>
          <t>manifest (whole bundle)</t>
        </is>
      </c>
      <c r="AP95" s="152">
        <f>IF($A95="","",IF(COUNTIFS(LLM_Data_Entry!$A$3:$A$548,$A95)&gt;0,"YES","NO"))</f>
        <v/>
      </c>
      <c r="AQ95" s="152">
        <f>IF($A95="","",IF(COUNTIFS($A$3:$A95,$A95,$C$3:$C95,$C95,$D$3:$D95,$D95)=1,"YES","NO"))</f>
        <v/>
      </c>
      <c r="AR95" s="152">
        <f>IF($A95="","",IF(AND($C95&amp;"-"&amp;$D95&gt;=Settings!$B$19,$C95&amp;"-"&amp;$D95&lt;=Settings!$B$20),"IN","OUT"))</f>
        <v/>
      </c>
      <c r="AS95" s="152">
        <f>IF($A95="","",IF($F95="Financial Results","financials",IF($F95="Outlook/Guidance","guidance",IF($F95="Transcript Q&amp;A","qanda",IF($F95="","unrecorded",IF($E95="All","full",IF($E95="","unrecorded",LOWER($E95)&amp;" only")))))))</f>
        <v/>
      </c>
      <c r="AT95" s="152">
        <f>IF(AND(OR($J95="BUY",$J95="SELL"),ISNUMBER($U95)),$U95,"")</f>
        <v/>
      </c>
      <c r="AU95" s="152">
        <f>IF(AND(OR($J95="BUY",$J95="SELL"),ISNUMBER($AK95)),$AK95,"")</f>
        <v/>
      </c>
      <c r="AV95" s="152">
        <f>IF(ISNUMBER($AT95),ABS(IF(ISNUMBER($I95),$I95,0)-Settings!$B$24),"")</f>
        <v/>
      </c>
      <c r="AW95" s="152">
        <f>IF(ISNUMBER($AV95),$AV95*$AT95,"")</f>
        <v/>
      </c>
      <c r="AX95" s="152">
        <f>IF(ISNUMBER($AU95),ABS(IF(ISNUMBER($I95),$I95,0)-Settings!$B$24),"")</f>
        <v/>
      </c>
      <c r="AY95" s="152" t="inlineStr">
        <is>
          <t>FROZEN</t>
        </is>
      </c>
      <c r="AZ95" s="152">
        <f>IF($A95="","",IFERROR(INDEX(Company_List!$H$3:$H$207,MATCH($A95,Company_List!$A$3:$A$207,0)),"unassigned"))</f>
        <v/>
      </c>
      <c r="BA95" s="152" t="n"/>
      <c r="BB95" s="152" t="n"/>
      <c r="BC95" s="152">
        <f>IF($A95="","",IF(COUNTIFS($A$3:$A95,$A95,$C$3:$C95,$C95,$D$3:$D95,$D95,$G$3:$G95,$G95)=1,1,0))</f>
        <v/>
      </c>
      <c r="BD95" s="152" t="n"/>
      <c r="BE95" s="152" t="n"/>
      <c r="BF95" s="152" t="n"/>
      <c r="BG95" s="152" t="inlineStr">
        <is>
          <t>no</t>
        </is>
      </c>
      <c r="BH95" s="152" t="n"/>
      <c r="BI95" s="152" t="n"/>
      <c r="BJ95" s="152" t="n"/>
      <c r="BK95" s="152">
        <f>IF(OR($H95&lt;&gt;"Human",$S95="",$J95="",$Y95="",$Z95=""),"",IF(EXACT(UPPER($J95),UPPER($Y95)),1,0))</f>
        <v/>
      </c>
      <c r="BL95" s="152" t="inlineStr">
        <is>
          <t>assumed - no rater record</t>
        </is>
      </c>
      <c r="BM95" s="152" t="n">
        <v>2</v>
      </c>
      <c r="BN95" s="152" t="inlineStr">
        <is>
          <t>Insider Monkey (Koala Guide LLC)</t>
        </is>
      </c>
      <c r="BO95" s="152" t="inlineStr">
        <is>
          <t>free to read, copyright asserted</t>
        </is>
      </c>
      <c r="BP95" s="152" t="inlineStr">
        <is>
          <t>no</t>
        </is>
      </c>
      <c r="BQ95" s="152" t="inlineStr">
        <is>
          <t>yes</t>
        </is>
      </c>
      <c r="BR95" s="152" t="n"/>
      <c r="BS95" s="152" t="inlineStr">
        <is>
          <t>YES</t>
        </is>
      </c>
      <c r="BT95" s="152" t="n"/>
    </row>
    <row r="96" ht="15" customHeight="1" s="241">
      <c r="A96" s="174" t="inlineStr">
        <is>
          <t>Airbnb</t>
        </is>
      </c>
      <c r="B96" s="175">
        <f>IF(A96="","",_xlfn.XLOOKUP(A96, Company_List!$A:$A, Company_List!$B:$B, ""))</f>
        <v/>
      </c>
      <c r="C96" s="176" t="n">
        <v>2025</v>
      </c>
      <c r="D96" s="177" t="inlineStr">
        <is>
          <t>Q4</t>
        </is>
      </c>
      <c r="E96" s="178" t="inlineStr">
        <is>
          <t>Transcript</t>
        </is>
      </c>
      <c r="F96" s="178" t="inlineStr">
        <is>
          <t>All</t>
        </is>
      </c>
      <c r="G96" s="177" t="inlineStr">
        <is>
          <t>Anna</t>
        </is>
      </c>
      <c r="H96" s="177" t="inlineStr">
        <is>
          <t>Human</t>
        </is>
      </c>
      <c r="I96" s="179" t="n">
        <v>0.3</v>
      </c>
      <c r="J96" s="180">
        <f>IF(OR(I96="",Settings!$B$6=""),"",IF(I96&gt;Settings!$B$6,"BUY",IF(I96&lt;-Settings!$B$6,"SELL","HOLD")))</f>
        <v/>
      </c>
      <c r="K96" s="181" t="n">
        <v>25</v>
      </c>
      <c r="L96" s="182" t="n">
        <v>46065</v>
      </c>
      <c r="M96" s="182" t="n">
        <v>46065</v>
      </c>
      <c r="N96" s="179" t="n">
        <v>115.96</v>
      </c>
      <c r="O96" s="182" t="n">
        <v>46066</v>
      </c>
      <c r="P96" s="183" t="n">
        <v>126.47</v>
      </c>
      <c r="Q96" s="184">
        <f>IF(OR(N96="",P96=""),"",ROUND((P96-N96)/N96,4))</f>
        <v/>
      </c>
      <c r="R96" s="177">
        <f>IF(OR(N96="",P96=""),"",IF(Q96&gt;Settings!$B$3/100,"UP",IF(Q96&lt;-Settings!$B$3/100,"DOWN","FLAT")))</f>
        <v/>
      </c>
      <c r="S96" s="177">
        <f>IF(OR(N96="",P96="",J96=""),"",IF(OR(AND(J96="BUY",R96="UP"),AND(J96="SELL",R96="DOWN"),AND(J96="HOLD",R96="FLAT")),"YES","NO"))</f>
        <v/>
      </c>
      <c r="T96" s="176">
        <f>IF(J96="","",IF(J96="BUY",1,IF(J96="SELL",-1,0)))</f>
        <v/>
      </c>
      <c r="U96" s="184">
        <f>IFERROR(IF(OR(J96="",N96="",P96=""),"",IF(T96=0,0,T96*Q96-Settings!$B$4/10000-IF(T96&lt;0,Settings!$B$5/10000,0))),"")</f>
        <v/>
      </c>
      <c r="V96" s="185" t="n"/>
      <c r="W96" s="176">
        <f>IF($K96="","",$K96*60)</f>
        <v/>
      </c>
      <c r="X96" s="186">
        <f>IF($A96="","",$A96&amp;"|"&amp;$C96&amp;"|"&amp;$D96)</f>
        <v/>
      </c>
      <c r="Y96" s="186">
        <f>IFERROR(IF($X96="","",INDEX(LLM_Data_Entry!$H$3:$H$548,MATCH($X96,INDEX(LLM_Data_Entry!$A$3:$A$548&amp;"|"&amp;LLM_Data_Entry!$C$3:$C$548&amp;"|"&amp;LLM_Data_Entry!$D$3:$D$548,0),0))),"")</f>
        <v/>
      </c>
      <c r="Z96" s="186">
        <f>IFERROR(IF($X96="","",INDEX(LLM_Data_Entry!$R$3:$R$548,MATCH($X96,INDEX(LLM_Data_Entry!$A$3:$A$548&amp;"|"&amp;LLM_Data_Entry!$C$3:$C$548&amp;"|"&amp;LLM_Data_Entry!$D$3:$D$548,0),0))),"")</f>
        <v/>
      </c>
      <c r="AA96" s="152" t="n"/>
      <c r="AB96" s="152" t="inlineStr">
        <is>
          <t>price signal — only this window shows an abnormal move</t>
        </is>
      </c>
      <c r="AC96" s="152" t="inlineStr">
        <is>
          <t>ABNB</t>
        </is>
      </c>
      <c r="AD96" s="152" t="inlineStr">
        <is>
          <t>2026-02-12</t>
        </is>
      </c>
      <c r="AE96" s="152" t="n">
        <v>115.96</v>
      </c>
      <c r="AF96" s="152" t="inlineStr">
        <is>
          <t>2026-02-13</t>
        </is>
      </c>
      <c r="AG96" s="152" t="n">
        <v>126.465</v>
      </c>
      <c r="AH96" s="152" t="n">
        <v>0.09059155821482892</v>
      </c>
      <c r="AI96" s="152" t="inlineStr">
        <is>
          <t>UP</t>
        </is>
      </c>
      <c r="AJ96" s="152" t="inlineStr">
        <is>
          <t>YES</t>
        </is>
      </c>
      <c r="AK96" s="152" t="n">
        <v>0.089592</v>
      </c>
      <c r="AL96" s="152">
        <f>IF($A96="","",IFERROR(INDEX(Company_List!$G$3:$G$207,MATCH($A96,Company_List!$A$3:$A$207,0)),"unassigned"))</f>
        <v/>
      </c>
      <c r="AM96" s="152" t="inlineStr">
        <is>
          <t>Phase 2/Airbnb/Airbnb-Q4-25-Earnings-Call-Transcript.pdf</t>
        </is>
      </c>
      <c r="AN96" s="152" t="n"/>
      <c r="AO96" s="152" t="inlineStr">
        <is>
          <t>unique filename match</t>
        </is>
      </c>
      <c r="AP96" s="152">
        <f>IF($A96="","",IF(COUNTIFS(LLM_Data_Entry!$A$3:$A$548,$A96)&gt;0,"YES","NO"))</f>
        <v/>
      </c>
      <c r="AQ96" s="152">
        <f>IF($A96="","",IF(COUNTIFS($A$3:$A96,$A96,$C$3:$C96,$C96,$D$3:$D96,$D96)=1,"YES","NO"))</f>
        <v/>
      </c>
      <c r="AR96" s="152">
        <f>IF($A96="","",IF(AND($C96&amp;"-"&amp;$D96&gt;=Settings!$B$19,$C96&amp;"-"&amp;$D96&lt;=Settings!$B$20),"IN","OUT"))</f>
        <v/>
      </c>
      <c r="AS96" s="152">
        <f>IF($A96="","",IF($F96="Financial Results","financials",IF($F96="Outlook/Guidance","guidance",IF($F96="Transcript Q&amp;A","qanda",IF($F96="","unrecorded",IF($E96="All","full",IF($E96="","unrecorded",LOWER($E96)&amp;" only")))))))</f>
        <v/>
      </c>
      <c r="AT96" s="152">
        <f>IF(AND(OR($J96="BUY",$J96="SELL"),ISNUMBER($U96)),$U96,"")</f>
        <v/>
      </c>
      <c r="AU96" s="152">
        <f>IF(AND(OR($J96="BUY",$J96="SELL"),ISNUMBER($AK96)),$AK96,"")</f>
        <v/>
      </c>
      <c r="AV96" s="152">
        <f>IF(ISNUMBER($AT96),ABS(IF(ISNUMBER($I96),$I96,0)-Settings!$B$24),"")</f>
        <v/>
      </c>
      <c r="AW96" s="152">
        <f>IF(ISNUMBER($AV96),$AV96*$AT96,"")</f>
        <v/>
      </c>
      <c r="AX96" s="152">
        <f>IF(ISNUMBER($AU96),ABS(IF(ISNUMBER($I96),$I96,0)-Settings!$B$24),"")</f>
        <v/>
      </c>
      <c r="AY96" s="152" t="inlineStr">
        <is>
          <t>FROZEN</t>
        </is>
      </c>
      <c r="AZ96" s="152">
        <f>IF($A96="","",IFERROR(INDEX(Company_List!$H$3:$H$207,MATCH($A96,Company_List!$A$3:$A$207,0)),"unassigned"))</f>
        <v/>
      </c>
      <c r="BA96" s="152" t="n"/>
      <c r="BB96" s="152" t="n"/>
      <c r="BC96" s="152">
        <f>IF($A96="","",IF(COUNTIFS($A$3:$A96,$A96,$C$3:$C96,$C96,$D$3:$D96,$D96,$G$3:$G96,$G96)=1,1,0))</f>
        <v/>
      </c>
      <c r="BD96" s="152" t="n"/>
      <c r="BE96" s="152" t="n"/>
      <c r="BF96" s="152" t="n"/>
      <c r="BG96" s="152" t="inlineStr">
        <is>
          <t>no</t>
        </is>
      </c>
      <c r="BH96" s="152" t="n"/>
      <c r="BI96" s="152" t="n"/>
      <c r="BJ96" s="152" t="n"/>
      <c r="BK96" s="152">
        <f>IF(OR($H96&lt;&gt;"Human",$S96="",$J96="",$Y96="",$Z96=""),"",IF(EXACT(UPPER($J96),UPPER($Y96)),1,0))</f>
        <v/>
      </c>
      <c r="BL96" s="152" t="inlineStr">
        <is>
          <t>assumed - no rater record</t>
        </is>
      </c>
      <c r="BM96" s="152" t="n">
        <v>1</v>
      </c>
      <c r="BN96" s="152" t="inlineStr">
        <is>
          <t>FactSet CallStreet</t>
        </is>
      </c>
      <c r="BO96" s="152" t="inlineStr">
        <is>
          <t>licensed vendor</t>
        </is>
      </c>
      <c r="BP96" s="152" t="inlineStr">
        <is>
          <t>no</t>
        </is>
      </c>
      <c r="BQ96" s="152" t="inlineStr">
        <is>
          <t>no</t>
        </is>
      </c>
      <c r="BR96" s="152" t="n"/>
      <c r="BS96" s="152" t="inlineStr">
        <is>
          <t>YES</t>
        </is>
      </c>
      <c r="BT96" s="152" t="n"/>
    </row>
    <row r="97" ht="15" customHeight="1" s="241">
      <c r="A97" s="174" t="inlineStr">
        <is>
          <t>Lowe's</t>
        </is>
      </c>
      <c r="B97" s="175">
        <f>IF(A97="","",_xlfn.XLOOKUP(A97, Company_List!$A:$A, Company_List!$B:$B, ""))</f>
        <v/>
      </c>
      <c r="C97" s="176" t="n">
        <v>2025</v>
      </c>
      <c r="D97" s="177" t="inlineStr">
        <is>
          <t>Q4</t>
        </is>
      </c>
      <c r="E97" s="178" t="inlineStr">
        <is>
          <t>Transcript</t>
        </is>
      </c>
      <c r="F97" s="178" t="inlineStr">
        <is>
          <t>All</t>
        </is>
      </c>
      <c r="G97" s="177" t="inlineStr">
        <is>
          <t>Anna</t>
        </is>
      </c>
      <c r="H97" s="177" t="inlineStr">
        <is>
          <t>Human</t>
        </is>
      </c>
      <c r="I97" s="179" t="n">
        <v>-0.3</v>
      </c>
      <c r="J97" s="180">
        <f>IF(OR(I97="",Settings!$B$6=""),"",IF(I97&gt;Settings!$B$6,"BUY",IF(I97&lt;-Settings!$B$6,"SELL","HOLD")))</f>
        <v/>
      </c>
      <c r="K97" s="181" t="n">
        <v>23</v>
      </c>
      <c r="L97" s="182" t="n">
        <v>46078</v>
      </c>
      <c r="M97" s="182" t="n">
        <v>46077</v>
      </c>
      <c r="N97" s="179" t="n">
        <v>278.59</v>
      </c>
      <c r="O97" s="182" t="n">
        <v>46078</v>
      </c>
      <c r="P97" s="183" t="n">
        <v>266.25</v>
      </c>
      <c r="Q97" s="184">
        <f>IF(OR(N97="",P97=""),"",ROUND((P97-N97)/N97,4))</f>
        <v/>
      </c>
      <c r="R97" s="177">
        <f>IF(OR(N97="",P97=""),"",IF(Q97&gt;Settings!$B$3/100,"UP",IF(Q97&lt;-Settings!$B$3/100,"DOWN","FLAT")))</f>
        <v/>
      </c>
      <c r="S97" s="177">
        <f>IF(OR(N97="",P97="",J97=""),"",IF(OR(AND(J97="BUY",R97="UP"),AND(J97="SELL",R97="DOWN"),AND(J97="HOLD",R97="FLAT")),"YES","NO"))</f>
        <v/>
      </c>
      <c r="T97" s="176">
        <f>IF(J97="","",IF(J97="BUY",1,IF(J97="SELL",-1,0)))</f>
        <v/>
      </c>
      <c r="U97" s="184">
        <f>IFERROR(IF(OR(J97="",N97="",P97=""),"",IF(T97=0,0,T97*Q97-Settings!$B$4/10000-IF(T97&lt;0,Settings!$B$5/10000,0))),"")</f>
        <v/>
      </c>
      <c r="V97" s="185" t="n"/>
      <c r="W97" s="176">
        <f>IF($K97="","",$K97*60)</f>
        <v/>
      </c>
      <c r="X97" s="186">
        <f>IF($A97="","",$A97&amp;"|"&amp;$C97&amp;"|"&amp;$D97)</f>
        <v/>
      </c>
      <c r="Y97" s="186">
        <f>IFERROR(IF($X97="","",INDEX(LLM_Data_Entry!$H$3:$H$548,MATCH($X97,INDEX(LLM_Data_Entry!$A$3:$A$548&amp;"|"&amp;LLM_Data_Entry!$C$3:$C$548&amp;"|"&amp;LLM_Data_Entry!$D$3:$D$548,0),0))),"")</f>
        <v/>
      </c>
      <c r="Z97" s="186">
        <f>IFERROR(IF($X97="","",INDEX(LLM_Data_Entry!$R$3:$R$548,MATCH($X97,INDEX(LLM_Data_Entry!$A$3:$A$548&amp;"|"&amp;LLM_Data_Entry!$C$3:$C$548&amp;"|"&amp;LLM_Data_Entry!$D$3:$D$548,0),0))),"")</f>
        <v/>
      </c>
      <c r="AA97" s="152" t="n"/>
      <c r="AB97" s="152" t="inlineStr">
        <is>
          <t>recorded price identified against every pulled series</t>
        </is>
      </c>
      <c r="AC97" s="152" t="inlineStr">
        <is>
          <t>LOW</t>
        </is>
      </c>
      <c r="AD97" s="152" t="inlineStr">
        <is>
          <t>2026-02-24</t>
        </is>
      </c>
      <c r="AE97" s="152" t="n">
        <v>275.5561</v>
      </c>
      <c r="AF97" s="152" t="inlineStr">
        <is>
          <t>2026-02-25</t>
        </is>
      </c>
      <c r="AG97" s="152" t="n">
        <v>263.3505</v>
      </c>
      <c r="AH97" s="152" t="n">
        <v>-0.04429448388162475</v>
      </c>
      <c r="AI97" s="152" t="inlineStr">
        <is>
          <t>DOWN</t>
        </is>
      </c>
      <c r="AJ97" s="152" t="inlineStr">
        <is>
          <t>YES</t>
        </is>
      </c>
      <c r="AK97" s="152" t="n">
        <v>0.043294</v>
      </c>
      <c r="AL97" s="152">
        <f>IF($A97="","",IFERROR(INDEX(Company_List!$G$3:$G$207,MATCH($A97,Company_List!$A$3:$A$207,0)),"unassigned"))</f>
        <v/>
      </c>
      <c r="AM97" s="152" t="inlineStr">
        <is>
          <t>Phase 2/Lowe's/low-usq-transcript_2026-02-25.pdf</t>
        </is>
      </c>
      <c r="AN97" s="152" t="n"/>
      <c r="AO97" s="152" t="inlineStr">
        <is>
          <t>unique filename match</t>
        </is>
      </c>
      <c r="AP97" s="152">
        <f>IF($A97="","",IF(COUNTIFS(LLM_Data_Entry!$A$3:$A$548,$A97)&gt;0,"YES","NO"))</f>
        <v/>
      </c>
      <c r="AQ97" s="152">
        <f>IF($A97="","",IF(COUNTIFS($A$3:$A97,$A97,$C$3:$C97,$C97,$D$3:$D97,$D97)=1,"YES","NO"))</f>
        <v/>
      </c>
      <c r="AR97" s="152">
        <f>IF($A97="","",IF(AND($C97&amp;"-"&amp;$D97&gt;=Settings!$B$19,$C97&amp;"-"&amp;$D97&lt;=Settings!$B$20),"IN","OUT"))</f>
        <v/>
      </c>
      <c r="AS97" s="152">
        <f>IF($A97="","",IF($F97="Financial Results","financials",IF($F97="Outlook/Guidance","guidance",IF($F97="Transcript Q&amp;A","qanda",IF($F97="","unrecorded",IF($E97="All","full",IF($E97="","unrecorded",LOWER($E97)&amp;" only")))))))</f>
        <v/>
      </c>
      <c r="AT97" s="152">
        <f>IF(AND(OR($J97="BUY",$J97="SELL"),ISNUMBER($U97)),$U97,"")</f>
        <v/>
      </c>
      <c r="AU97" s="152">
        <f>IF(AND(OR($J97="BUY",$J97="SELL"),ISNUMBER($AK97)),$AK97,"")</f>
        <v/>
      </c>
      <c r="AV97" s="152">
        <f>IF(ISNUMBER($AT97),ABS(IF(ISNUMBER($I97),$I97,0)-Settings!$B$24),"")</f>
        <v/>
      </c>
      <c r="AW97" s="152">
        <f>IF(ISNUMBER($AV97),$AV97*$AT97,"")</f>
        <v/>
      </c>
      <c r="AX97" s="152">
        <f>IF(ISNUMBER($AU97),ABS(IF(ISNUMBER($I97),$I97,0)-Settings!$B$24),"")</f>
        <v/>
      </c>
      <c r="AY97" s="152" t="inlineStr">
        <is>
          <t>FROZEN</t>
        </is>
      </c>
      <c r="AZ97" s="152">
        <f>IF($A97="","",IFERROR(INDEX(Company_List!$H$3:$H$207,MATCH($A97,Company_List!$A$3:$A$207,0)),"unassigned"))</f>
        <v/>
      </c>
      <c r="BA97" s="152" t="n"/>
      <c r="BB97" s="152" t="n"/>
      <c r="BC97" s="152">
        <f>IF($A97="","",IF(COUNTIFS($A$3:$A97,$A97,$C$3:$C97,$C97,$D$3:$D97,$D97,$G$3:$G97,$G97)=1,1,0))</f>
        <v/>
      </c>
      <c r="BD97" s="152" t="n"/>
      <c r="BE97" s="152" t="n"/>
      <c r="BF97" s="152" t="n"/>
      <c r="BG97" s="152" t="inlineStr">
        <is>
          <t>no</t>
        </is>
      </c>
      <c r="BH97" s="152" t="n"/>
      <c r="BI97" s="152" t="n"/>
      <c r="BJ97" s="152" t="n"/>
      <c r="BK97" s="152">
        <f>IF(OR($H97&lt;&gt;"Human",$S97="",$J97="",$Y97="",$Z97=""),"",IF(EXACT(UPPER($J97),UPPER($Y97)),1,0))</f>
        <v/>
      </c>
      <c r="BL97" s="152" t="inlineStr">
        <is>
          <t>assumed - no rater record</t>
        </is>
      </c>
      <c r="BM97" s="152" t="n">
        <v>1</v>
      </c>
      <c r="BN97" s="152" t="inlineStr">
        <is>
          <t>Refinitiv / LSEG StreetEvents</t>
        </is>
      </c>
      <c r="BO97" s="152" t="inlineStr">
        <is>
          <t>licensed vendor</t>
        </is>
      </c>
      <c r="BP97" s="152" t="inlineStr">
        <is>
          <t>no</t>
        </is>
      </c>
      <c r="BQ97" s="152" t="inlineStr">
        <is>
          <t>no</t>
        </is>
      </c>
      <c r="BR97" s="152" t="n"/>
      <c r="BS97" s="152" t="inlineStr">
        <is>
          <t>YES</t>
        </is>
      </c>
      <c r="BT97" s="152" t="n"/>
    </row>
    <row r="98" ht="15" customHeight="1" s="241">
      <c r="A98" s="174" t="inlineStr">
        <is>
          <t>Lowe's</t>
        </is>
      </c>
      <c r="B98" s="175">
        <f>IF(A98="","",_xlfn.XLOOKUP(A98, Company_List!$A:$A, Company_List!$B:$B, ""))</f>
        <v/>
      </c>
      <c r="C98" s="176" t="n">
        <v>2025</v>
      </c>
      <c r="D98" s="177" t="inlineStr">
        <is>
          <t>Q2</t>
        </is>
      </c>
      <c r="E98" s="178" t="inlineStr">
        <is>
          <t>Transcript</t>
        </is>
      </c>
      <c r="F98" s="178" t="inlineStr">
        <is>
          <t>All</t>
        </is>
      </c>
      <c r="G98" s="177" t="inlineStr">
        <is>
          <t>Anna</t>
        </is>
      </c>
      <c r="H98" s="177" t="inlineStr">
        <is>
          <t>Human</t>
        </is>
      </c>
      <c r="I98" s="179" t="n">
        <v>0.2</v>
      </c>
      <c r="J98" s="180">
        <f>IF(OR(I98="",Settings!$B$6=""),"",IF(I98&gt;Settings!$B$6,"BUY",IF(I98&lt;-Settings!$B$6,"SELL","HOLD")))</f>
        <v/>
      </c>
      <c r="K98" s="181" t="n">
        <v>25</v>
      </c>
      <c r="L98" s="182" t="n">
        <v>45889</v>
      </c>
      <c r="M98" s="182" t="n">
        <v>45888</v>
      </c>
      <c r="N98" s="179" t="n">
        <v>256.36</v>
      </c>
      <c r="O98" s="182" t="n">
        <v>45889</v>
      </c>
      <c r="P98" s="183" t="n">
        <v>265.4</v>
      </c>
      <c r="Q98" s="184">
        <f>IF(OR(N98="",P98=""),"",ROUND((P98-N98)/N98,4))</f>
        <v/>
      </c>
      <c r="R98" s="177">
        <f>IF(OR(N98="",P98=""),"",IF(Q98&gt;Settings!$B$3/100,"UP",IF(Q98&lt;-Settings!$B$3/100,"DOWN","FLAT")))</f>
        <v/>
      </c>
      <c r="S98" s="177">
        <f>IF(OR(N98="",P98="",J98=""),"",IF(OR(AND(J98="BUY",R98="UP"),AND(J98="SELL",R98="DOWN"),AND(J98="HOLD",R98="FLAT")),"YES","NO"))</f>
        <v/>
      </c>
      <c r="T98" s="176">
        <f>IF(J98="","",IF(J98="BUY",1,IF(J98="SELL",-1,0)))</f>
        <v/>
      </c>
      <c r="U98" s="184">
        <f>IFERROR(IF(OR(J98="",N98="",P98=""),"",IF(T98=0,0,T98*Q98-Settings!$B$4/10000-IF(T98&lt;0,Settings!$B$5/10000,0))),"")</f>
        <v/>
      </c>
      <c r="V98" s="185" t="n"/>
      <c r="W98" s="176">
        <f>IF($K98="","",$K98*60)</f>
        <v/>
      </c>
      <c r="X98" s="186">
        <f>IF($A98="","",$A98&amp;"|"&amp;$C98&amp;"|"&amp;$D98)</f>
        <v/>
      </c>
      <c r="Y98" s="186">
        <f>IFERROR(IF($X98="","",INDEX(LLM_Data_Entry!$H$3:$H$548,MATCH($X98,INDEX(LLM_Data_Entry!$A$3:$A$548&amp;"|"&amp;LLM_Data_Entry!$C$3:$C$548&amp;"|"&amp;LLM_Data_Entry!$D$3:$D$548,0),0))),"")</f>
        <v/>
      </c>
      <c r="Z98" s="186">
        <f>IFERROR(IF($X98="","",INDEX(LLM_Data_Entry!$R$3:$R$548,MATCH($X98,INDEX(LLM_Data_Entry!$A$3:$A$548&amp;"|"&amp;LLM_Data_Entry!$C$3:$C$548&amp;"|"&amp;LLM_Data_Entry!$D$3:$D$548,0),0))),"")</f>
        <v/>
      </c>
      <c r="AA98" s="152" t="n"/>
      <c r="AB98" s="152" t="inlineStr">
        <is>
          <t>release date + stated time</t>
        </is>
      </c>
      <c r="AC98" s="152" t="inlineStr">
        <is>
          <t>LOW</t>
        </is>
      </c>
      <c r="AD98" s="152" t="inlineStr">
        <is>
          <t>2025-08-19</t>
        </is>
      </c>
      <c r="AE98" s="152" t="n">
        <v>251.1994</v>
      </c>
      <c r="AF98" s="152" t="inlineStr">
        <is>
          <t>2025-08-20</t>
        </is>
      </c>
      <c r="AG98" s="152" t="n">
        <v>260.0575</v>
      </c>
      <c r="AH98" s="152" t="n">
        <v>0.03526301478860992</v>
      </c>
      <c r="AI98" s="152" t="inlineStr">
        <is>
          <t>UP</t>
        </is>
      </c>
      <c r="AJ98" s="152" t="inlineStr">
        <is>
          <t>NO</t>
        </is>
      </c>
      <c r="AK98" s="152" t="n">
        <v>0</v>
      </c>
      <c r="AL98" s="152">
        <f>IF($A98="","",IFERROR(INDEX(Company_List!$G$3:$G$207,MATCH($A98,Company_List!$A$3:$A$207,0)),"unassigned"))</f>
        <v/>
      </c>
      <c r="AM98" s="152" t="inlineStr">
        <is>
          <t>Phase 2/Lowe's/low-usq-transcript-2025-08-20.pdf</t>
        </is>
      </c>
      <c r="AN98" s="152" t="n"/>
      <c r="AO98" s="152" t="inlineStr">
        <is>
          <t>unique filename match</t>
        </is>
      </c>
      <c r="AP98" s="152">
        <f>IF($A98="","",IF(COUNTIFS(LLM_Data_Entry!$A$3:$A$548,$A98)&gt;0,"YES","NO"))</f>
        <v/>
      </c>
      <c r="AQ98" s="152">
        <f>IF($A98="","",IF(COUNTIFS($A$3:$A98,$A98,$C$3:$C98,$C98,$D$3:$D98,$D98)=1,"YES","NO"))</f>
        <v/>
      </c>
      <c r="AR98" s="152">
        <f>IF($A98="","",IF(AND($C98&amp;"-"&amp;$D98&gt;=Settings!$B$19,$C98&amp;"-"&amp;$D98&lt;=Settings!$B$20),"IN","OUT"))</f>
        <v/>
      </c>
      <c r="AS98" s="152">
        <f>IF($A98="","",IF($F98="Financial Results","financials",IF($F98="Outlook/Guidance","guidance",IF($F98="Transcript Q&amp;A","qanda",IF($F98="","unrecorded",IF($E98="All","full",IF($E98="","unrecorded",LOWER($E98)&amp;" only")))))))</f>
        <v/>
      </c>
      <c r="AT98" s="152">
        <f>IF(AND(OR($J98="BUY",$J98="SELL"),ISNUMBER($U98)),$U98,"")</f>
        <v/>
      </c>
      <c r="AU98" s="152">
        <f>IF(AND(OR($J98="BUY",$J98="SELL"),ISNUMBER($AK98)),$AK98,"")</f>
        <v/>
      </c>
      <c r="AV98" s="152">
        <f>IF(ISNUMBER($AT98),ABS(IF(ISNUMBER($I98),$I98,0)-Settings!$B$24),"")</f>
        <v/>
      </c>
      <c r="AW98" s="152">
        <f>IF(ISNUMBER($AV98),$AV98*$AT98,"")</f>
        <v/>
      </c>
      <c r="AX98" s="152">
        <f>IF(ISNUMBER($AU98),ABS(IF(ISNUMBER($I98),$I98,0)-Settings!$B$24),"")</f>
        <v/>
      </c>
      <c r="AY98" s="152" t="inlineStr">
        <is>
          <t>FROZEN</t>
        </is>
      </c>
      <c r="AZ98" s="152">
        <f>IF($A98="","",IFERROR(INDEX(Company_List!$H$3:$H$207,MATCH($A98,Company_List!$A$3:$A$207,0)),"unassigned"))</f>
        <v/>
      </c>
      <c r="BA98" s="152" t="n"/>
      <c r="BB98" s="152" t="n"/>
      <c r="BC98" s="152">
        <f>IF($A98="","",IF(COUNTIFS($A$3:$A98,$A98,$C$3:$C98,$C98,$D$3:$D98,$D98,$G$3:$G98,$G98)=1,1,0))</f>
        <v/>
      </c>
      <c r="BD98" s="152" t="n"/>
      <c r="BE98" s="152" t="n"/>
      <c r="BF98" s="152" t="n"/>
      <c r="BG98" s="152" t="inlineStr">
        <is>
          <t>no</t>
        </is>
      </c>
      <c r="BH98" s="152" t="n"/>
      <c r="BI98" s="152" t="n"/>
      <c r="BJ98" s="152" t="n"/>
      <c r="BK98" s="152">
        <f>IF(OR($H98&lt;&gt;"Human",$S98="",$J98="",$Y98="",$Z98=""),"",IF(EXACT(UPPER($J98),UPPER($Y98)),1,0))</f>
        <v/>
      </c>
      <c r="BL98" s="152" t="inlineStr">
        <is>
          <t>assumed - no rater record</t>
        </is>
      </c>
      <c r="BM98" s="152" t="n">
        <v>1</v>
      </c>
      <c r="BN98" s="152" t="inlineStr">
        <is>
          <t>Refinitiv / LSEG StreetEvents</t>
        </is>
      </c>
      <c r="BO98" s="152" t="inlineStr">
        <is>
          <t>licensed vendor</t>
        </is>
      </c>
      <c r="BP98" s="152" t="inlineStr">
        <is>
          <t>no</t>
        </is>
      </c>
      <c r="BQ98" s="152" t="inlineStr">
        <is>
          <t>no</t>
        </is>
      </c>
      <c r="BR98" s="152" t="n"/>
      <c r="BS98" s="152" t="inlineStr">
        <is>
          <t>YES</t>
        </is>
      </c>
      <c r="BT98" s="152" t="n"/>
    </row>
    <row r="99" ht="15" customHeight="1" s="241">
      <c r="A99" s="174" t="inlineStr">
        <is>
          <t>Lowe's</t>
        </is>
      </c>
      <c r="B99" s="175">
        <f>IF(A99="","",_xlfn.XLOOKUP(A99, Company_List!$A:$A, Company_List!$B:$B, ""))</f>
        <v/>
      </c>
      <c r="C99" s="176" t="n">
        <v>2025</v>
      </c>
      <c r="D99" s="177" t="inlineStr">
        <is>
          <t>Q3</t>
        </is>
      </c>
      <c r="E99" s="178" t="inlineStr">
        <is>
          <t>Transcript</t>
        </is>
      </c>
      <c r="F99" s="178" t="inlineStr">
        <is>
          <t>All</t>
        </is>
      </c>
      <c r="G99" s="177" t="inlineStr">
        <is>
          <t>Anna</t>
        </is>
      </c>
      <c r="H99" s="177" t="inlineStr">
        <is>
          <t>Human</t>
        </is>
      </c>
      <c r="I99" s="179" t="n">
        <v>0.1</v>
      </c>
      <c r="J99" s="180">
        <f>IF(OR(I99="",Settings!$B$6=""),"",IF(I99&gt;Settings!$B$6,"BUY",IF(I99&lt;-Settings!$B$6,"SELL","HOLD")))</f>
        <v/>
      </c>
      <c r="K99" s="181" t="n">
        <v>30</v>
      </c>
      <c r="L99" s="182" t="n">
        <v>45980</v>
      </c>
      <c r="M99" s="182" t="n">
        <v>45979</v>
      </c>
      <c r="N99" s="179" t="n">
        <v>219.57</v>
      </c>
      <c r="O99" s="182" t="n">
        <v>45980</v>
      </c>
      <c r="P99" s="183" t="n">
        <v>230.01</v>
      </c>
      <c r="Q99" s="184">
        <f>IF(OR(N99="",P99=""),"",ROUND((P99-N99)/N99,4))</f>
        <v/>
      </c>
      <c r="R99" s="177">
        <f>IF(OR(N99="",P99=""),"",IF(Q99&gt;Settings!$B$3/100,"UP",IF(Q99&lt;-Settings!$B$3/100,"DOWN","FLAT")))</f>
        <v/>
      </c>
      <c r="S99" s="177">
        <f>IF(OR(N99="",P99="",J99=""),"",IF(OR(AND(J99="BUY",R99="UP"),AND(J99="SELL",R99="DOWN"),AND(J99="HOLD",R99="FLAT")),"YES","NO"))</f>
        <v/>
      </c>
      <c r="T99" s="176">
        <f>IF(J99="","",IF(J99="BUY",1,IF(J99="SELL",-1,0)))</f>
        <v/>
      </c>
      <c r="U99" s="184">
        <f>IFERROR(IF(OR(J99="",N99="",P99=""),"",IF(T99=0,0,T99*Q99-Settings!$B$4/10000-IF(T99&lt;0,Settings!$B$5/10000,0))),"")</f>
        <v/>
      </c>
      <c r="V99" s="185" t="n"/>
      <c r="W99" s="176">
        <f>IF($K99="","",$K99*60)</f>
        <v/>
      </c>
      <c r="X99" s="186">
        <f>IF($A99="","",$A99&amp;"|"&amp;$C99&amp;"|"&amp;$D99)</f>
        <v/>
      </c>
      <c r="Y99" s="186">
        <f>IFERROR(IF($X99="","",INDEX(LLM_Data_Entry!$H$3:$H$548,MATCH($X99,INDEX(LLM_Data_Entry!$A$3:$A$548&amp;"|"&amp;LLM_Data_Entry!$C$3:$C$548&amp;"|"&amp;LLM_Data_Entry!$D$3:$D$548,0),0))),"")</f>
        <v/>
      </c>
      <c r="Z99" s="186">
        <f>IFERROR(IF($X99="","",INDEX(LLM_Data_Entry!$R$3:$R$548,MATCH($X99,INDEX(LLM_Data_Entry!$A$3:$A$548&amp;"|"&amp;LLM_Data_Entry!$C$3:$C$548&amp;"|"&amp;LLM_Data_Entry!$D$3:$D$548,0),0))),"")</f>
        <v/>
      </c>
      <c r="AA99" s="152" t="n"/>
      <c r="AB99" s="152" t="inlineStr">
        <is>
          <t>document date + price signal</t>
        </is>
      </c>
      <c r="AC99" s="152" t="inlineStr">
        <is>
          <t>LOW</t>
        </is>
      </c>
      <c r="AD99" s="152" t="inlineStr">
        <is>
          <t>2025-11-18</t>
        </is>
      </c>
      <c r="AE99" s="152" t="n">
        <v>216.2079</v>
      </c>
      <c r="AF99" s="152" t="inlineStr">
        <is>
          <t>2025-11-19</t>
        </is>
      </c>
      <c r="AG99" s="152" t="n">
        <v>226.488</v>
      </c>
      <c r="AH99" s="152" t="n">
        <v>0.04754749705677633</v>
      </c>
      <c r="AI99" s="152" t="inlineStr">
        <is>
          <t>UP</t>
        </is>
      </c>
      <c r="AJ99" s="152" t="inlineStr">
        <is>
          <t>NO</t>
        </is>
      </c>
      <c r="AK99" s="152" t="n">
        <v>0</v>
      </c>
      <c r="AL99" s="152">
        <f>IF($A99="","",IFERROR(INDEX(Company_List!$G$3:$G$207,MATCH($A99,Company_List!$A$3:$A$207,0)),"unassigned"))</f>
        <v/>
      </c>
      <c r="AM99" s="152" t="inlineStr">
        <is>
          <t>Phase 2/Lowe's/low-usq-transcript-2025-11-19.pdf</t>
        </is>
      </c>
      <c r="AN99" s="152" t="n"/>
      <c r="AO99" s="152" t="inlineStr">
        <is>
          <t>unique filename match</t>
        </is>
      </c>
      <c r="AP99" s="152">
        <f>IF($A99="","",IF(COUNTIFS(LLM_Data_Entry!$A$3:$A$548,$A99)&gt;0,"YES","NO"))</f>
        <v/>
      </c>
      <c r="AQ99" s="152">
        <f>IF($A99="","",IF(COUNTIFS($A$3:$A99,$A99,$C$3:$C99,$C99,$D$3:$D99,$D99)=1,"YES","NO"))</f>
        <v/>
      </c>
      <c r="AR99" s="152">
        <f>IF($A99="","",IF(AND($C99&amp;"-"&amp;$D99&gt;=Settings!$B$19,$C99&amp;"-"&amp;$D99&lt;=Settings!$B$20),"IN","OUT"))</f>
        <v/>
      </c>
      <c r="AS99" s="152">
        <f>IF($A99="","",IF($F99="Financial Results","financials",IF($F99="Outlook/Guidance","guidance",IF($F99="Transcript Q&amp;A","qanda",IF($F99="","unrecorded",IF($E99="All","full",IF($E99="","unrecorded",LOWER($E99)&amp;" only")))))))</f>
        <v/>
      </c>
      <c r="AT99" s="152">
        <f>IF(AND(OR($J99="BUY",$J99="SELL"),ISNUMBER($U99)),$U99,"")</f>
        <v/>
      </c>
      <c r="AU99" s="152">
        <f>IF(AND(OR($J99="BUY",$J99="SELL"),ISNUMBER($AK99)),$AK99,"")</f>
        <v/>
      </c>
      <c r="AV99" s="152">
        <f>IF(ISNUMBER($AT99),ABS(IF(ISNUMBER($I99),$I99,0)-Settings!$B$24),"")</f>
        <v/>
      </c>
      <c r="AW99" s="152">
        <f>IF(ISNUMBER($AV99),$AV99*$AT99,"")</f>
        <v/>
      </c>
      <c r="AX99" s="152">
        <f>IF(ISNUMBER($AU99),ABS(IF(ISNUMBER($I99),$I99,0)-Settings!$B$24),"")</f>
        <v/>
      </c>
      <c r="AY99" s="152" t="inlineStr">
        <is>
          <t>FROZEN</t>
        </is>
      </c>
      <c r="AZ99" s="152">
        <f>IF($A99="","",IFERROR(INDEX(Company_List!$H$3:$H$207,MATCH($A99,Company_List!$A$3:$A$207,0)),"unassigned"))</f>
        <v/>
      </c>
      <c r="BA99" s="152" t="n"/>
      <c r="BB99" s="152" t="n"/>
      <c r="BC99" s="152">
        <f>IF($A99="","",IF(COUNTIFS($A$3:$A99,$A99,$C$3:$C99,$C99,$D$3:$D99,$D99,$G$3:$G99,$G99)=1,1,0))</f>
        <v/>
      </c>
      <c r="BD99" s="152" t="n"/>
      <c r="BE99" s="152" t="n"/>
      <c r="BF99" s="152" t="n"/>
      <c r="BG99" s="152" t="inlineStr">
        <is>
          <t>no</t>
        </is>
      </c>
      <c r="BH99" s="152" t="n"/>
      <c r="BI99" s="152" t="n"/>
      <c r="BJ99" s="152" t="n"/>
      <c r="BK99" s="152">
        <f>IF(OR($H99&lt;&gt;"Human",$S99="",$J99="",$Y99="",$Z99=""),"",IF(EXACT(UPPER($J99),UPPER($Y99)),1,0))</f>
        <v/>
      </c>
      <c r="BL99" s="152" t="inlineStr">
        <is>
          <t>assumed - no rater record</t>
        </is>
      </c>
      <c r="BM99" s="152" t="n">
        <v>1</v>
      </c>
      <c r="BN99" s="152" t="inlineStr">
        <is>
          <t>Refinitiv / LSEG StreetEvents</t>
        </is>
      </c>
      <c r="BO99" s="152" t="inlineStr">
        <is>
          <t>licensed vendor</t>
        </is>
      </c>
      <c r="BP99" s="152" t="inlineStr">
        <is>
          <t>no</t>
        </is>
      </c>
      <c r="BQ99" s="152" t="inlineStr">
        <is>
          <t>no</t>
        </is>
      </c>
      <c r="BR99" s="152" t="n"/>
      <c r="BS99" s="152" t="inlineStr">
        <is>
          <t>YES</t>
        </is>
      </c>
      <c r="BT99" s="152" t="n"/>
    </row>
    <row r="100" ht="15" customHeight="1" s="241">
      <c r="A100" s="174" t="inlineStr">
        <is>
          <t>Lowe's</t>
        </is>
      </c>
      <c r="B100" s="175">
        <f>IF(A100="","",_xlfn.XLOOKUP(A100, Company_List!$A:$A, Company_List!$B:$B, ""))</f>
        <v/>
      </c>
      <c r="C100" s="176" t="n">
        <v>2026</v>
      </c>
      <c r="D100" s="177" t="inlineStr">
        <is>
          <t>Q1</t>
        </is>
      </c>
      <c r="E100" s="178" t="inlineStr">
        <is>
          <t>Transcript</t>
        </is>
      </c>
      <c r="F100" s="178" t="inlineStr">
        <is>
          <t>All</t>
        </is>
      </c>
      <c r="G100" s="177" t="inlineStr">
        <is>
          <t>Anna</t>
        </is>
      </c>
      <c r="H100" s="177" t="inlineStr">
        <is>
          <t>Human</t>
        </is>
      </c>
      <c r="I100" s="179" t="n">
        <v>0.4</v>
      </c>
      <c r="J100" s="180">
        <f>IF(OR(I100="",Settings!$B$6=""),"",IF(I100&gt;Settings!$B$6,"BUY",IF(I100&lt;-Settings!$B$6,"SELL","HOLD")))</f>
        <v/>
      </c>
      <c r="K100" s="181" t="n">
        <v>22</v>
      </c>
      <c r="L100" s="182" t="n">
        <v>46162</v>
      </c>
      <c r="M100" s="182" t="n">
        <v>46161</v>
      </c>
      <c r="N100" s="179" t="n">
        <v>218.37</v>
      </c>
      <c r="O100" s="182" t="n">
        <v>46162</v>
      </c>
      <c r="P100" s="183" t="n">
        <v>213.98</v>
      </c>
      <c r="Q100" s="184">
        <f>IF(OR(N100="",P100=""),"",ROUND((P100-N100)/N100,4))</f>
        <v/>
      </c>
      <c r="R100" s="177">
        <f>IF(OR(N100="",P100=""),"",IF(Q100&gt;Settings!$B$3/100,"UP",IF(Q100&lt;-Settings!$B$3/100,"DOWN","FLAT")))</f>
        <v/>
      </c>
      <c r="S100" s="177">
        <f>IF(OR(N100="",P100="",J100=""),"",IF(OR(AND(J100="BUY",R100="UP"),AND(J100="SELL",R100="DOWN"),AND(J100="HOLD",R100="FLAT")),"YES","NO"))</f>
        <v/>
      </c>
      <c r="T100" s="176">
        <f>IF(J100="","",IF(J100="BUY",1,IF(J100="SELL",-1,0)))</f>
        <v/>
      </c>
      <c r="U100" s="184">
        <f>IFERROR(IF(OR(J100="",N100="",P100=""),"",IF(T100=0,0,T100*Q100-Settings!$B$4/10000-IF(T100&lt;0,Settings!$B$5/10000,0))),"")</f>
        <v/>
      </c>
      <c r="V100" s="185" t="n"/>
      <c r="W100" s="176">
        <f>IF($K100="","",$K100*60)</f>
        <v/>
      </c>
      <c r="X100" s="186">
        <f>IF($A100="","",$A100&amp;"|"&amp;$C100&amp;"|"&amp;$D100)</f>
        <v/>
      </c>
      <c r="Y100" s="186">
        <f>IFERROR(IF($X100="","",INDEX(LLM_Data_Entry!$H$3:$H$548,MATCH($X100,INDEX(LLM_Data_Entry!$A$3:$A$548&amp;"|"&amp;LLM_Data_Entry!$C$3:$C$548&amp;"|"&amp;LLM_Data_Entry!$D$3:$D$548,0),0))),"")</f>
        <v/>
      </c>
      <c r="Z100" s="186">
        <f>IFERROR(IF($X100="","",INDEX(LLM_Data_Entry!$R$3:$R$548,MATCH($X100,INDEX(LLM_Data_Entry!$A$3:$A$548&amp;"|"&amp;LLM_Data_Entry!$C$3:$C$548&amp;"|"&amp;LLM_Data_Entry!$D$3:$D$548,0),0))),"")</f>
        <v/>
      </c>
      <c r="AA100" s="152" t="n"/>
      <c r="AB100" s="152" t="inlineStr">
        <is>
          <t>release date + stated time in the document (document)</t>
        </is>
      </c>
      <c r="AC100" s="152" t="inlineStr">
        <is>
          <t>LOW</t>
        </is>
      </c>
      <c r="AD100" s="152" t="inlineStr">
        <is>
          <t>2026-05-19</t>
        </is>
      </c>
      <c r="AE100" s="152" t="n">
        <v>217.0287</v>
      </c>
      <c r="AF100" s="152" t="inlineStr">
        <is>
          <t>2026-05-20</t>
        </is>
      </c>
      <c r="AG100" s="152" t="n">
        <v>212.6657</v>
      </c>
      <c r="AH100" s="152" t="n">
        <v>-0.02010343546108412</v>
      </c>
      <c r="AI100" s="152" t="inlineStr">
        <is>
          <t>DOWN</t>
        </is>
      </c>
      <c r="AJ100" s="152" t="inlineStr">
        <is>
          <t>NO</t>
        </is>
      </c>
      <c r="AK100" s="152" t="n">
        <v>0</v>
      </c>
      <c r="AL100" s="152">
        <f>IF($A100="","",IFERROR(INDEX(Company_List!$G$3:$G$207,MATCH($A100,Company_List!$A$3:$A$207,0)),"unassigned"))</f>
        <v/>
      </c>
      <c r="AM100" s="152" t="inlineStr">
        <is>
          <t>Phase 2/Lowe's/2026-Q1/LOW-2026-Q1-earnings-call-transcript-corporate-lowes-com.pdf</t>
        </is>
      </c>
      <c r="AN100" s="152" t="inlineStr">
        <is>
          <t>https://corporate.lowes.com/sites/lowes-corp/files/low-usq-transcript-2026-05-20-1.pdf</t>
        </is>
      </c>
      <c r="AO100" s="152" t="inlineStr">
        <is>
          <t>manifest</t>
        </is>
      </c>
      <c r="AP100" s="152">
        <f>IF($A100="","",IF(COUNTIFS(LLM_Data_Entry!$A$3:$A$548,$A100)&gt;0,"YES","NO"))</f>
        <v/>
      </c>
      <c r="AQ100" s="152">
        <f>IF($A100="","",IF(COUNTIFS($A$3:$A100,$A100,$C$3:$C100,$C100,$D$3:$D100,$D100)=1,"YES","NO"))</f>
        <v/>
      </c>
      <c r="AR100" s="152">
        <f>IF($A100="","",IF(AND($C100&amp;"-"&amp;$D100&gt;=Settings!$B$19,$C100&amp;"-"&amp;$D100&lt;=Settings!$B$20),"IN","OUT"))</f>
        <v/>
      </c>
      <c r="AS100" s="152">
        <f>IF($A100="","",IF($F100="Financial Results","financials",IF($F100="Outlook/Guidance","guidance",IF($F100="Transcript Q&amp;A","qanda",IF($F100="","unrecorded",IF($E100="All","full",IF($E100="","unrecorded",LOWER($E100)&amp;" only")))))))</f>
        <v/>
      </c>
      <c r="AT100" s="152">
        <f>IF(AND(OR($J100="BUY",$J100="SELL"),ISNUMBER($U100)),$U100,"")</f>
        <v/>
      </c>
      <c r="AU100" s="152">
        <f>IF(AND(OR($J100="BUY",$J100="SELL"),ISNUMBER($AK100)),$AK100,"")</f>
        <v/>
      </c>
      <c r="AV100" s="152">
        <f>IF(ISNUMBER($AT100),ABS(IF(ISNUMBER($I100),$I100,0)-Settings!$B$24),"")</f>
        <v/>
      </c>
      <c r="AW100" s="152">
        <f>IF(ISNUMBER($AV100),$AV100*$AT100,"")</f>
        <v/>
      </c>
      <c r="AX100" s="152">
        <f>IF(ISNUMBER($AU100),ABS(IF(ISNUMBER($I100),$I100,0)-Settings!$B$24),"")</f>
        <v/>
      </c>
      <c r="AY100" s="152" t="inlineStr">
        <is>
          <t>FROZEN</t>
        </is>
      </c>
      <c r="AZ100" s="152">
        <f>IF($A100="","",IFERROR(INDEX(Company_List!$H$3:$H$207,MATCH($A100,Company_List!$A$3:$A$207,0)),"unassigned"))</f>
        <v/>
      </c>
      <c r="BA100" s="152" t="n"/>
      <c r="BB100" s="152" t="n"/>
      <c r="BC100" s="152">
        <f>IF($A100="","",IF(COUNTIFS($A$3:$A100,$A100,$C$3:$C100,$C100,$D$3:$D100,$D100,$G$3:$G100,$G100)=1,1,0))</f>
        <v/>
      </c>
      <c r="BD100" s="152" t="n"/>
      <c r="BE100" s="152" t="n"/>
      <c r="BF100" s="152" t="n"/>
      <c r="BG100" s="152" t="inlineStr">
        <is>
          <t>no</t>
        </is>
      </c>
      <c r="BH100" s="152" t="n"/>
      <c r="BI100" s="152" t="n"/>
      <c r="BJ100" s="152" t="n"/>
      <c r="BK100" s="152">
        <f>IF(OR($H100&lt;&gt;"Human",$S100="",$J100="",$Y100="",$Z100=""),"",IF(EXACT(UPPER($J100),UPPER($Y100)),1,0))</f>
        <v/>
      </c>
      <c r="BL100" s="152" t="inlineStr">
        <is>
          <t>assumed - no rater record</t>
        </is>
      </c>
      <c r="BM100" s="152" t="n">
        <v>1</v>
      </c>
      <c r="BN100" s="152" t="inlineStr">
        <is>
          <t>Refinitiv / LSEG StreetEvents</t>
        </is>
      </c>
      <c r="BO100" s="152" t="inlineStr">
        <is>
          <t>licensed vendor</t>
        </is>
      </c>
      <c r="BP100" s="152" t="inlineStr">
        <is>
          <t>no</t>
        </is>
      </c>
      <c r="BQ100" s="152" t="inlineStr">
        <is>
          <t>yes</t>
        </is>
      </c>
      <c r="BR100" s="152" t="n"/>
      <c r="BS100" s="152" t="inlineStr">
        <is>
          <t>YES</t>
        </is>
      </c>
      <c r="BT100" s="152" t="n"/>
    </row>
    <row r="101" ht="15" customHeight="1" s="241">
      <c r="A101" s="174" t="inlineStr">
        <is>
          <t>CVS Health</t>
        </is>
      </c>
      <c r="B101" s="175">
        <f>IF(A101="","",_xlfn.XLOOKUP(A101, Company_List!$A:$A, Company_List!$B:$B, ""))</f>
        <v/>
      </c>
      <c r="C101" s="176" t="n">
        <v>2026</v>
      </c>
      <c r="D101" s="177" t="inlineStr">
        <is>
          <t>Q1</t>
        </is>
      </c>
      <c r="E101" s="178" t="inlineStr">
        <is>
          <t>Transcript</t>
        </is>
      </c>
      <c r="F101" s="178" t="inlineStr">
        <is>
          <t>All</t>
        </is>
      </c>
      <c r="G101" s="177" t="inlineStr">
        <is>
          <t>Anna</t>
        </is>
      </c>
      <c r="H101" s="177" t="inlineStr">
        <is>
          <t>Human</t>
        </is>
      </c>
      <c r="I101" s="179" t="n">
        <v>0.5</v>
      </c>
      <c r="J101" s="180">
        <f>IF(OR(I101="",Settings!$B$6=""),"",IF(I101&gt;Settings!$B$6,"BUY",IF(I101&lt;-Settings!$B$6,"SELL","HOLD")))</f>
        <v/>
      </c>
      <c r="K101" s="181" t="n">
        <v>35</v>
      </c>
      <c r="L101" s="182" t="n">
        <v>46148</v>
      </c>
      <c r="M101" s="182" t="n">
        <v>46147</v>
      </c>
      <c r="N101" s="179" t="n">
        <v>80.69</v>
      </c>
      <c r="O101" s="182" t="n">
        <v>46148</v>
      </c>
      <c r="P101" s="183" t="n">
        <v>85.51000000000001</v>
      </c>
      <c r="Q101" s="184">
        <f>IF(OR(N101="",P101=""),"",ROUND((P101-N101)/N101,4))</f>
        <v/>
      </c>
      <c r="R101" s="177">
        <f>IF(OR(N101="",P101=""),"",IF(Q101&gt;Settings!$B$3/100,"UP",IF(Q101&lt;-Settings!$B$3/100,"DOWN","FLAT")))</f>
        <v/>
      </c>
      <c r="S101" s="177">
        <f>IF(OR(N101="",P101="",J101=""),"",IF(OR(AND(J101="BUY",R101="UP"),AND(J101="SELL",R101="DOWN"),AND(J101="HOLD",R101="FLAT")),"YES","NO"))</f>
        <v/>
      </c>
      <c r="T101" s="176">
        <f>IF(J101="","",IF(J101="BUY",1,IF(J101="SELL",-1,0)))</f>
        <v/>
      </c>
      <c r="U101" s="184">
        <f>IFERROR(IF(OR(J101="",N101="",P101=""),"",IF(T101=0,0,T101*Q101-Settings!$B$4/10000-IF(T101&lt;0,Settings!$B$5/10000,0))),"")</f>
        <v/>
      </c>
      <c r="V101" s="185" t="n"/>
      <c r="W101" s="176">
        <f>IF($K101="","",$K101*60)</f>
        <v/>
      </c>
      <c r="X101" s="186">
        <f>IF($A101="","",$A101&amp;"|"&amp;$C101&amp;"|"&amp;$D101)</f>
        <v/>
      </c>
      <c r="Y101" s="186">
        <f>IFERROR(IF($X101="","",INDEX(LLM_Data_Entry!$H$3:$H$548,MATCH($X101,INDEX(LLM_Data_Entry!$A$3:$A$548&amp;"|"&amp;LLM_Data_Entry!$C$3:$C$548&amp;"|"&amp;LLM_Data_Entry!$D$3:$D$548,0),0))),"")</f>
        <v/>
      </c>
      <c r="Z101" s="186">
        <f>IFERROR(IF($X101="","",INDEX(LLM_Data_Entry!$R$3:$R$548,MATCH($X101,INDEX(LLM_Data_Entry!$A$3:$A$548&amp;"|"&amp;LLM_Data_Entry!$C$3:$C$548&amp;"|"&amp;LLM_Data_Entry!$D$3:$D$548,0),0))),"")</f>
        <v/>
      </c>
      <c r="AA101" s="152" t="n"/>
      <c r="AB101" s="152" t="inlineStr">
        <is>
          <t>recorded price identified against every pulled series</t>
        </is>
      </c>
      <c r="AC101" s="152" t="inlineStr">
        <is>
          <t>CVS</t>
        </is>
      </c>
      <c r="AD101" s="152" t="inlineStr">
        <is>
          <t>2026-05-05</t>
        </is>
      </c>
      <c r="AE101" s="152" t="n">
        <v>80.1935</v>
      </c>
      <c r="AF101" s="152" t="inlineStr">
        <is>
          <t>2026-05-06</t>
        </is>
      </c>
      <c r="AG101" s="152" t="n">
        <v>84.98390000000001</v>
      </c>
      <c r="AH101" s="152" t="n">
        <v>0.05973477609127331</v>
      </c>
      <c r="AI101" s="152" t="inlineStr">
        <is>
          <t>UP</t>
        </is>
      </c>
      <c r="AJ101" s="152" t="inlineStr">
        <is>
          <t>YES</t>
        </is>
      </c>
      <c r="AK101" s="152" t="n">
        <v>0.058735</v>
      </c>
      <c r="AL101" s="152">
        <f>IF($A101="","",IFERROR(INDEX(Company_List!$G$3:$G$207,MATCH($A101,Company_List!$A$3:$A$207,0)),"unassigned"))</f>
        <v/>
      </c>
      <c r="AM101" s="152" t="inlineStr">
        <is>
          <t>Phase 2/CVS Health/CVS-Health-Q1-2026-Earnings-Transcript.pdf</t>
        </is>
      </c>
      <c r="AN101" s="152" t="n"/>
      <c r="AO101" s="152" t="inlineStr">
        <is>
          <t>unique filename match</t>
        </is>
      </c>
      <c r="AP101" s="152">
        <f>IF($A101="","",IF(COUNTIFS(LLM_Data_Entry!$A$3:$A$548,$A101)&gt;0,"YES","NO"))</f>
        <v/>
      </c>
      <c r="AQ101" s="152">
        <f>IF($A101="","",IF(COUNTIFS($A$3:$A101,$A101,$C$3:$C101,$C101,$D$3:$D101,$D101)=1,"YES","NO"))</f>
        <v/>
      </c>
      <c r="AR101" s="152">
        <f>IF($A101="","",IF(AND($C101&amp;"-"&amp;$D101&gt;=Settings!$B$19,$C101&amp;"-"&amp;$D101&lt;=Settings!$B$20),"IN","OUT"))</f>
        <v/>
      </c>
      <c r="AS101" s="152">
        <f>IF($A101="","",IF($F101="Financial Results","financials",IF($F101="Outlook/Guidance","guidance",IF($F101="Transcript Q&amp;A","qanda",IF($F101="","unrecorded",IF($E101="All","full",IF($E101="","unrecorded",LOWER($E101)&amp;" only")))))))</f>
        <v/>
      </c>
      <c r="AT101" s="152">
        <f>IF(AND(OR($J101="BUY",$J101="SELL"),ISNUMBER($U101)),$U101,"")</f>
        <v/>
      </c>
      <c r="AU101" s="152">
        <f>IF(AND(OR($J101="BUY",$J101="SELL"),ISNUMBER($AK101)),$AK101,"")</f>
        <v/>
      </c>
      <c r="AV101" s="152">
        <f>IF(ISNUMBER($AT101),ABS(IF(ISNUMBER($I101),$I101,0)-Settings!$B$24),"")</f>
        <v/>
      </c>
      <c r="AW101" s="152">
        <f>IF(ISNUMBER($AV101),$AV101*$AT101,"")</f>
        <v/>
      </c>
      <c r="AX101" s="152">
        <f>IF(ISNUMBER($AU101),ABS(IF(ISNUMBER($I101),$I101,0)-Settings!$B$24),"")</f>
        <v/>
      </c>
      <c r="AY101" s="152" t="inlineStr">
        <is>
          <t>FROZEN</t>
        </is>
      </c>
      <c r="AZ101" s="152">
        <f>IF($A101="","",IFERROR(INDEX(Company_List!$H$3:$H$207,MATCH($A101,Company_List!$A$3:$A$207,0)),"unassigned"))</f>
        <v/>
      </c>
      <c r="BA101" s="152" t="n"/>
      <c r="BB101" s="152" t="n"/>
      <c r="BC101" s="152">
        <f>IF($A101="","",IF(COUNTIFS($A$3:$A101,$A101,$C$3:$C101,$C101,$D$3:$D101,$D101,$G$3:$G101,$G101)=1,1,0))</f>
        <v/>
      </c>
      <c r="BD101" s="152" t="n"/>
      <c r="BE101" s="152" t="n"/>
      <c r="BF101" s="152" t="n"/>
      <c r="BG101" s="152" t="inlineStr">
        <is>
          <t>no</t>
        </is>
      </c>
      <c r="BH101" s="152" t="n"/>
      <c r="BI101" s="152" t="n"/>
      <c r="BJ101" s="152" t="n"/>
      <c r="BK101" s="152">
        <f>IF(OR($H101&lt;&gt;"Human",$S101="",$J101="",$Y101="",$Z101=""),"",IF(EXACT(UPPER($J101),UPPER($Y101)),1,0))</f>
        <v/>
      </c>
      <c r="BL101" s="152" t="inlineStr">
        <is>
          <t>assumed - no rater record</t>
        </is>
      </c>
      <c r="BM101" s="152" t="n">
        <v>1</v>
      </c>
      <c r="BN101" s="152" t="inlineStr">
        <is>
          <t>FactSet CallStreet</t>
        </is>
      </c>
      <c r="BO101" s="152" t="inlineStr">
        <is>
          <t>licensed vendor</t>
        </is>
      </c>
      <c r="BP101" s="152" t="inlineStr">
        <is>
          <t>no</t>
        </is>
      </c>
      <c r="BQ101" s="152" t="inlineStr">
        <is>
          <t>no</t>
        </is>
      </c>
      <c r="BR101" s="152" t="n"/>
      <c r="BS101" s="152" t="inlineStr">
        <is>
          <t>YES</t>
        </is>
      </c>
      <c r="BT101" s="152" t="n"/>
    </row>
    <row r="102" ht="15" customHeight="1" s="241">
      <c r="A102" s="174" t="inlineStr">
        <is>
          <t>Uber</t>
        </is>
      </c>
      <c r="B102" s="175">
        <f>IF(A102="","",_xlfn.XLOOKUP(A102, Company_List!$A:$A, Company_List!$B:$B, ""))</f>
        <v/>
      </c>
      <c r="C102" s="176" t="n">
        <v>2025</v>
      </c>
      <c r="D102" s="177" t="inlineStr">
        <is>
          <t>Q1</t>
        </is>
      </c>
      <c r="E102" s="178" t="inlineStr">
        <is>
          <t>Transcript</t>
        </is>
      </c>
      <c r="F102" s="178" t="inlineStr">
        <is>
          <t>All</t>
        </is>
      </c>
      <c r="G102" s="177" t="inlineStr">
        <is>
          <t>Abdul</t>
        </is>
      </c>
      <c r="H102" s="177" t="inlineStr">
        <is>
          <t>Human</t>
        </is>
      </c>
      <c r="I102" s="179" t="n">
        <v>-0.3</v>
      </c>
      <c r="J102" s="180">
        <f>IF(OR(I102="",Settings!$B$6=""),"",IF(I102&gt;Settings!$B$6,"BUY",IF(I102&lt;-Settings!$B$6,"SELL","HOLD")))</f>
        <v/>
      </c>
      <c r="K102" s="181" t="n">
        <v>30</v>
      </c>
      <c r="L102" s="182" t="n">
        <v>45784</v>
      </c>
      <c r="M102" s="182" t="n">
        <v>45783</v>
      </c>
      <c r="N102" s="179" t="n">
        <v>85.83</v>
      </c>
      <c r="O102" s="182" t="n">
        <v>45784</v>
      </c>
      <c r="P102" s="183" t="n">
        <v>83.13</v>
      </c>
      <c r="Q102" s="184">
        <f>IF(OR(N102="",P102=""),"",ROUND((P102-N102)/N102,4))</f>
        <v/>
      </c>
      <c r="R102" s="177">
        <f>IF(OR(N102="",P102=""),"",IF(Q102&gt;Settings!$B$3/100,"UP",IF(Q102&lt;-Settings!$B$3/100,"DOWN","FLAT")))</f>
        <v/>
      </c>
      <c r="S102" s="177">
        <f>IF(OR(N102="",P102="",J102=""),"",IF(OR(AND(J102="BUY",R102="UP"),AND(J102="SELL",R102="DOWN"),AND(J102="HOLD",R102="FLAT")),"YES","NO"))</f>
        <v/>
      </c>
      <c r="T102" s="176">
        <f>IF(J102="","",IF(J102="BUY",1,IF(J102="SELL",-1,0)))</f>
        <v/>
      </c>
      <c r="U102" s="184">
        <f>IFERROR(IF(OR(J102="",N102="",P102=""),"",IF(T102=0,0,T102*Q102-Settings!$B$4/10000-IF(T102&lt;0,Settings!$B$5/10000,0))),"")</f>
        <v/>
      </c>
      <c r="V102" s="185" t="n"/>
      <c r="W102" s="176">
        <f>IF($K102="","",$K102*60)</f>
        <v/>
      </c>
      <c r="X102" s="186">
        <f>IF($A102="","",$A102&amp;"|"&amp;$C102&amp;"|"&amp;$D102)</f>
        <v/>
      </c>
      <c r="Y102" s="186">
        <f>IFERROR(IF($X102="","",INDEX(LLM_Data_Entry!$H$3:$H$548,MATCH($X102,INDEX(LLM_Data_Entry!$A$3:$A$548&amp;"|"&amp;LLM_Data_Entry!$C$3:$C$548&amp;"|"&amp;LLM_Data_Entry!$D$3:$D$548,0),0))),"")</f>
        <v/>
      </c>
      <c r="Z102" s="186">
        <f>IFERROR(IF($X102="","",INDEX(LLM_Data_Entry!$R$3:$R$548,MATCH($X102,INDEX(LLM_Data_Entry!$A$3:$A$548&amp;"|"&amp;LLM_Data_Entry!$C$3:$C$548&amp;"|"&amp;LLM_Data_Entry!$D$3:$D$548,0),0))),"")</f>
        <v/>
      </c>
      <c r="AA102" s="152" t="n"/>
      <c r="AB102" s="152" t="inlineStr">
        <is>
          <t>price signal — both moved; this one dominates</t>
        </is>
      </c>
      <c r="AC102" s="152" t="inlineStr">
        <is>
          <t>UBER</t>
        </is>
      </c>
      <c r="AD102" s="152" t="inlineStr">
        <is>
          <t>2025-05-06</t>
        </is>
      </c>
      <c r="AE102" s="152" t="n">
        <v>85.83</v>
      </c>
      <c r="AF102" s="152" t="inlineStr">
        <is>
          <t>2025-05-07</t>
        </is>
      </c>
      <c r="AG102" s="152" t="n">
        <v>83.13</v>
      </c>
      <c r="AH102" s="152" t="n">
        <v>-0.03145758985302121</v>
      </c>
      <c r="AI102" s="152" t="inlineStr">
        <is>
          <t>DOWN</t>
        </is>
      </c>
      <c r="AJ102" s="152" t="inlineStr">
        <is>
          <t>YES</t>
        </is>
      </c>
      <c r="AK102" s="152" t="n">
        <v>0.030458</v>
      </c>
      <c r="AL102" s="152">
        <f>IF($A102="","",IFERROR(INDEX(Company_List!$G$3:$G$207,MATCH($A102,Company_List!$A$3:$A$207,0)),"unassigned"))</f>
        <v/>
      </c>
      <c r="AM102" s="152" t="inlineStr">
        <is>
          <t>Phase 2/Uber/uber-q1-25-earnings-call-transcript.pdf</t>
        </is>
      </c>
      <c r="AN102" s="152" t="n"/>
      <c r="AO102" s="152" t="inlineStr">
        <is>
          <t>unique filename match</t>
        </is>
      </c>
      <c r="AP102" s="152">
        <f>IF($A102="","",IF(COUNTIFS(LLM_Data_Entry!$A$3:$A$548,$A102)&gt;0,"YES","NO"))</f>
        <v/>
      </c>
      <c r="AQ102" s="152">
        <f>IF($A102="","",IF(COUNTIFS($A$3:$A102,$A102,$C$3:$C102,$C102,$D$3:$D102,$D102)=1,"YES","NO"))</f>
        <v/>
      </c>
      <c r="AR102" s="152">
        <f>IF($A102="","",IF(AND($C102&amp;"-"&amp;$D102&gt;=Settings!$B$19,$C102&amp;"-"&amp;$D102&lt;=Settings!$B$20),"IN","OUT"))</f>
        <v/>
      </c>
      <c r="AS102" s="152">
        <f>IF($A102="","",IF($F102="Financial Results","financials",IF($F102="Outlook/Guidance","guidance",IF($F102="Transcript Q&amp;A","qanda",IF($F102="","unrecorded",IF($E102="All","full",IF($E102="","unrecorded",LOWER($E102)&amp;" only")))))))</f>
        <v/>
      </c>
      <c r="AT102" s="152">
        <f>IF(AND(OR($J102="BUY",$J102="SELL"),ISNUMBER($U102)),$U102,"")</f>
        <v/>
      </c>
      <c r="AU102" s="152">
        <f>IF(AND(OR($J102="BUY",$J102="SELL"),ISNUMBER($AK102)),$AK102,"")</f>
        <v/>
      </c>
      <c r="AV102" s="152">
        <f>IF(ISNUMBER($AT102),ABS(IF(ISNUMBER($I102),$I102,0)-Settings!$B$24),"")</f>
        <v/>
      </c>
      <c r="AW102" s="152">
        <f>IF(ISNUMBER($AV102),$AV102*$AT102,"")</f>
        <v/>
      </c>
      <c r="AX102" s="152">
        <f>IF(ISNUMBER($AU102),ABS(IF(ISNUMBER($I102),$I102,0)-Settings!$B$24),"")</f>
        <v/>
      </c>
      <c r="AY102" s="152" t="inlineStr">
        <is>
          <t>FROZEN</t>
        </is>
      </c>
      <c r="AZ102" s="152">
        <f>IF($A102="","",IFERROR(INDEX(Company_List!$H$3:$H$207,MATCH($A102,Company_List!$A$3:$A$207,0)),"unassigned"))</f>
        <v/>
      </c>
      <c r="BA102" s="152" t="n"/>
      <c r="BB102" s="152" t="n"/>
      <c r="BC102" s="152">
        <f>IF($A102="","",IF(COUNTIFS($A$3:$A102,$A102,$C$3:$C102,$C102,$D$3:$D102,$D102,$G$3:$G102,$G102)=1,1,0))</f>
        <v/>
      </c>
      <c r="BD102" s="152" t="n"/>
      <c r="BE102" s="152" t="n"/>
      <c r="BF102" s="152" t="n"/>
      <c r="BG102" s="152" t="inlineStr">
        <is>
          <t>no</t>
        </is>
      </c>
      <c r="BH102" s="152" t="n"/>
      <c r="BI102" s="152" t="n"/>
      <c r="BJ102" s="152" t="n"/>
      <c r="BK102" s="152">
        <f>IF(OR($H102&lt;&gt;"Human",$S102="",$J102="",$Y102="",$Z102=""),"",IF(EXACT(UPPER($J102),UPPER($Y102)),1,0))</f>
        <v/>
      </c>
      <c r="BL102" s="152" t="inlineStr">
        <is>
          <t>assumed - no rater record</t>
        </is>
      </c>
      <c r="BM102" s="152" t="n">
        <v>1</v>
      </c>
      <c r="BN102" s="152" t="inlineStr">
        <is>
          <t>FactSet CallStreet</t>
        </is>
      </c>
      <c r="BO102" s="152" t="inlineStr">
        <is>
          <t>licensed vendor</t>
        </is>
      </c>
      <c r="BP102" s="152" t="inlineStr">
        <is>
          <t>no</t>
        </is>
      </c>
      <c r="BQ102" s="152" t="inlineStr">
        <is>
          <t>no</t>
        </is>
      </c>
      <c r="BR102" s="152" t="n"/>
      <c r="BS102" s="152" t="inlineStr">
        <is>
          <t>YES</t>
        </is>
      </c>
      <c r="BT102" s="152" t="n"/>
    </row>
    <row r="103" ht="15" customHeight="1" s="241">
      <c r="A103" s="174" t="inlineStr">
        <is>
          <t>Uber</t>
        </is>
      </c>
      <c r="B103" s="175">
        <f>IF(A103="","",_xlfn.XLOOKUP(A103, Company_List!$A:$A, Company_List!$B:$B, ""))</f>
        <v/>
      </c>
      <c r="C103" s="176" t="n">
        <v>2025</v>
      </c>
      <c r="D103" s="177" t="inlineStr">
        <is>
          <t>Q2</t>
        </is>
      </c>
      <c r="E103" s="178" t="inlineStr">
        <is>
          <t>Transcript</t>
        </is>
      </c>
      <c r="F103" s="178" t="inlineStr">
        <is>
          <t>All</t>
        </is>
      </c>
      <c r="G103" s="177" t="inlineStr">
        <is>
          <t>Abdul</t>
        </is>
      </c>
      <c r="H103" s="177" t="inlineStr">
        <is>
          <t>Human</t>
        </is>
      </c>
      <c r="I103" s="179" t="n">
        <v>0.4</v>
      </c>
      <c r="J103" s="180">
        <f>IF(OR(I103="",Settings!$B$6=""),"",IF(I103&gt;Settings!$B$6,"BUY",IF(I103&lt;-Settings!$B$6,"SELL","HOLD")))</f>
        <v/>
      </c>
      <c r="K103" s="181" t="n">
        <v>21</v>
      </c>
      <c r="L103" s="182" t="n">
        <v>45875</v>
      </c>
      <c r="M103" s="182" t="n">
        <v>45874</v>
      </c>
      <c r="N103" s="179" t="n">
        <v>89.39</v>
      </c>
      <c r="O103" s="182" t="n">
        <v>45875</v>
      </c>
      <c r="P103" s="183" t="n">
        <v>90.95</v>
      </c>
      <c r="Q103" s="184">
        <f>IF(OR(N103="",P103=""),"",ROUND((P103-N103)/N103,4))</f>
        <v/>
      </c>
      <c r="R103" s="177">
        <f>IF(OR(N103="",P103=""),"",IF(Q103&gt;Settings!$B$3/100,"UP",IF(Q103&lt;-Settings!$B$3/100,"DOWN","FLAT")))</f>
        <v/>
      </c>
      <c r="S103" s="177">
        <f>IF(OR(N103="",P103="",J103=""),"",IF(OR(AND(J103="BUY",R103="UP"),AND(J103="SELL",R103="DOWN"),AND(J103="HOLD",R103="FLAT")),"YES","NO"))</f>
        <v/>
      </c>
      <c r="T103" s="176">
        <f>IF(J103="","",IF(J103="BUY",1,IF(J103="SELL",-1,0)))</f>
        <v/>
      </c>
      <c r="U103" s="184">
        <f>IFERROR(IF(OR(J103="",N103="",P103=""),"",IF(T103=0,0,T103*Q103-Settings!$B$4/10000-IF(T103&lt;0,Settings!$B$5/10000,0))),"")</f>
        <v/>
      </c>
      <c r="V103" s="185" t="n"/>
      <c r="W103" s="176">
        <f>IF($K103="","",$K103*60)</f>
        <v/>
      </c>
      <c r="X103" s="186">
        <f>IF($A103="","",$A103&amp;"|"&amp;$C103&amp;"|"&amp;$D103)</f>
        <v/>
      </c>
      <c r="Y103" s="186">
        <f>IFERROR(IF($X103="","",INDEX(LLM_Data_Entry!$H$3:$H$548,MATCH($X103,INDEX(LLM_Data_Entry!$A$3:$A$548&amp;"|"&amp;LLM_Data_Entry!$C$3:$C$548&amp;"|"&amp;LLM_Data_Entry!$D$3:$D$548,0),0))),"")</f>
        <v/>
      </c>
      <c r="Z103" s="186">
        <f>IFERROR(IF($X103="","",INDEX(LLM_Data_Entry!$R$3:$R$548,MATCH($X103,INDEX(LLM_Data_Entry!$A$3:$A$548&amp;"|"&amp;LLM_Data_Entry!$C$3:$C$548&amp;"|"&amp;LLM_Data_Entry!$D$3:$D$548,0),0))),"")</f>
        <v/>
      </c>
      <c r="AA103" s="152" t="n"/>
      <c r="AB103" s="152" t="inlineStr">
        <is>
          <t>price signal — only this window shows an abnormal move</t>
        </is>
      </c>
      <c r="AC103" s="152" t="inlineStr">
        <is>
          <t>UBER</t>
        </is>
      </c>
      <c r="AD103" s="152" t="inlineStr">
        <is>
          <t>2025-08-05</t>
        </is>
      </c>
      <c r="AE103" s="152" t="n">
        <v>89.39</v>
      </c>
      <c r="AF103" s="152" t="inlineStr">
        <is>
          <t>2025-08-06</t>
        </is>
      </c>
      <c r="AG103" s="152" t="n">
        <v>90.95</v>
      </c>
      <c r="AH103" s="152" t="n">
        <v>0.01745159433327651</v>
      </c>
      <c r="AI103" s="152" t="inlineStr">
        <is>
          <t>FLAT</t>
        </is>
      </c>
      <c r="AJ103" s="152" t="inlineStr">
        <is>
          <t>NO</t>
        </is>
      </c>
      <c r="AK103" s="152" t="n">
        <v>0.016452</v>
      </c>
      <c r="AL103" s="152">
        <f>IF($A103="","",IFERROR(INDEX(Company_List!$G$3:$G$207,MATCH($A103,Company_List!$A$3:$A$207,0)),"unassigned"))</f>
        <v/>
      </c>
      <c r="AM103" s="152" t="inlineStr">
        <is>
          <t>Phase 2/Uber/uber-q2-25-earnings-call-transcript.pdf</t>
        </is>
      </c>
      <c r="AN103" s="152" t="n"/>
      <c r="AO103" s="152" t="inlineStr">
        <is>
          <t>unique filename match</t>
        </is>
      </c>
      <c r="AP103" s="152">
        <f>IF($A103="","",IF(COUNTIFS(LLM_Data_Entry!$A$3:$A$548,$A103)&gt;0,"YES","NO"))</f>
        <v/>
      </c>
      <c r="AQ103" s="152">
        <f>IF($A103="","",IF(COUNTIFS($A$3:$A103,$A103,$C$3:$C103,$C103,$D$3:$D103,$D103)=1,"YES","NO"))</f>
        <v/>
      </c>
      <c r="AR103" s="152">
        <f>IF($A103="","",IF(AND($C103&amp;"-"&amp;$D103&gt;=Settings!$B$19,$C103&amp;"-"&amp;$D103&lt;=Settings!$B$20),"IN","OUT"))</f>
        <v/>
      </c>
      <c r="AS103" s="152">
        <f>IF($A103="","",IF($F103="Financial Results","financials",IF($F103="Outlook/Guidance","guidance",IF($F103="Transcript Q&amp;A","qanda",IF($F103="","unrecorded",IF($E103="All","full",IF($E103="","unrecorded",LOWER($E103)&amp;" only")))))))</f>
        <v/>
      </c>
      <c r="AT103" s="152">
        <f>IF(AND(OR($J103="BUY",$J103="SELL"),ISNUMBER($U103)),$U103,"")</f>
        <v/>
      </c>
      <c r="AU103" s="152">
        <f>IF(AND(OR($J103="BUY",$J103="SELL"),ISNUMBER($AK103)),$AK103,"")</f>
        <v/>
      </c>
      <c r="AV103" s="152">
        <f>IF(ISNUMBER($AT103),ABS(IF(ISNUMBER($I103),$I103,0)-Settings!$B$24),"")</f>
        <v/>
      </c>
      <c r="AW103" s="152">
        <f>IF(ISNUMBER($AV103),$AV103*$AT103,"")</f>
        <v/>
      </c>
      <c r="AX103" s="152">
        <f>IF(ISNUMBER($AU103),ABS(IF(ISNUMBER($I103),$I103,0)-Settings!$B$24),"")</f>
        <v/>
      </c>
      <c r="AY103" s="152" t="inlineStr">
        <is>
          <t>FROZEN</t>
        </is>
      </c>
      <c r="AZ103" s="152">
        <f>IF($A103="","",IFERROR(INDEX(Company_List!$H$3:$H$207,MATCH($A103,Company_List!$A$3:$A$207,0)),"unassigned"))</f>
        <v/>
      </c>
      <c r="BA103" s="152" t="n"/>
      <c r="BB103" s="152" t="n"/>
      <c r="BC103" s="152">
        <f>IF($A103="","",IF(COUNTIFS($A$3:$A103,$A103,$C$3:$C103,$C103,$D$3:$D103,$D103,$G$3:$G103,$G103)=1,1,0))</f>
        <v/>
      </c>
      <c r="BD103" s="152" t="n"/>
      <c r="BE103" s="152" t="n"/>
      <c r="BF103" s="152" t="n"/>
      <c r="BG103" s="152" t="inlineStr">
        <is>
          <t>no</t>
        </is>
      </c>
      <c r="BH103" s="152" t="n"/>
      <c r="BI103" s="152" t="n"/>
      <c r="BJ103" s="152" t="n"/>
      <c r="BK103" s="152">
        <f>IF(OR($H103&lt;&gt;"Human",$S103="",$J103="",$Y103="",$Z103=""),"",IF(EXACT(UPPER($J103),UPPER($Y103)),1,0))</f>
        <v/>
      </c>
      <c r="BL103" s="152" t="inlineStr">
        <is>
          <t>assumed - no rater record</t>
        </is>
      </c>
      <c r="BM103" s="152" t="n">
        <v>1</v>
      </c>
      <c r="BN103" s="152" t="inlineStr">
        <is>
          <t>FactSet CallStreet</t>
        </is>
      </c>
      <c r="BO103" s="152" t="inlineStr">
        <is>
          <t>licensed vendor</t>
        </is>
      </c>
      <c r="BP103" s="152" t="inlineStr">
        <is>
          <t>no</t>
        </is>
      </c>
      <c r="BQ103" s="152" t="inlineStr">
        <is>
          <t>no</t>
        </is>
      </c>
      <c r="BR103" s="152" t="n"/>
      <c r="BS103" s="152" t="inlineStr">
        <is>
          <t>YES</t>
        </is>
      </c>
      <c r="BT103" s="152" t="n"/>
    </row>
    <row r="104" ht="15" customHeight="1" s="241">
      <c r="A104" s="174" t="inlineStr">
        <is>
          <t>Uber</t>
        </is>
      </c>
      <c r="B104" s="175">
        <f>IF(A104="","",_xlfn.XLOOKUP(A104, Company_List!$A:$A, Company_List!$B:$B, ""))</f>
        <v/>
      </c>
      <c r="C104" s="176" t="n">
        <v>2025</v>
      </c>
      <c r="D104" s="177" t="inlineStr">
        <is>
          <t>Q4</t>
        </is>
      </c>
      <c r="E104" s="178" t="inlineStr">
        <is>
          <t>Transcript</t>
        </is>
      </c>
      <c r="F104" s="178" t="inlineStr">
        <is>
          <t>All</t>
        </is>
      </c>
      <c r="G104" s="177" t="inlineStr">
        <is>
          <t>Abdul</t>
        </is>
      </c>
      <c r="H104" s="177" t="inlineStr">
        <is>
          <t>Human</t>
        </is>
      </c>
      <c r="I104" s="179" t="n">
        <v>0.5</v>
      </c>
      <c r="J104" s="180">
        <f>IF(OR(I104="",Settings!$B$6=""),"",IF(I104&gt;Settings!$B$6,"BUY",IF(I104&lt;-Settings!$B$6,"SELL","HOLD")))</f>
        <v/>
      </c>
      <c r="K104" s="181" t="n">
        <v>27</v>
      </c>
      <c r="L104" s="182" t="n">
        <v>46057</v>
      </c>
      <c r="M104" s="182" t="n">
        <v>46056</v>
      </c>
      <c r="N104" s="179" t="n">
        <v>77.93000000000001</v>
      </c>
      <c r="O104" s="182" t="n">
        <v>46057</v>
      </c>
      <c r="P104" s="183" t="n">
        <v>75.62</v>
      </c>
      <c r="Q104" s="184">
        <f>IF(OR(N104="",P104=""),"",ROUND((P104-N104)/N104,4))</f>
        <v/>
      </c>
      <c r="R104" s="177">
        <f>IF(OR(N104="",P104=""),"",IF(Q104&gt;Settings!$B$3/100,"UP",IF(Q104&lt;-Settings!$B$3/100,"DOWN","FLAT")))</f>
        <v/>
      </c>
      <c r="S104" s="177">
        <f>IF(OR(N104="",P104="",J104=""),"",IF(OR(AND(J104="BUY",R104="UP"),AND(J104="SELL",R104="DOWN"),AND(J104="HOLD",R104="FLAT")),"YES","NO"))</f>
        <v/>
      </c>
      <c r="T104" s="176">
        <f>IF(J104="","",IF(J104="BUY",1,IF(J104="SELL",-1,0)))</f>
        <v/>
      </c>
      <c r="U104" s="184">
        <f>IFERROR(IF(OR(J104="",N104="",P104=""),"",IF(T104=0,0,T104*Q104-Settings!$B$4/10000-IF(T104&lt;0,Settings!$B$5/10000,0))),"")</f>
        <v/>
      </c>
      <c r="V104" s="185" t="n"/>
      <c r="W104" s="176">
        <f>IF($K104="","",$K104*60)</f>
        <v/>
      </c>
      <c r="X104" s="186">
        <f>IF($A104="","",$A104&amp;"|"&amp;$C104&amp;"|"&amp;$D104)</f>
        <v/>
      </c>
      <c r="Y104" s="186">
        <f>IFERROR(IF($X104="","",INDEX(LLM_Data_Entry!$H$3:$H$548,MATCH($X104,INDEX(LLM_Data_Entry!$A$3:$A$548&amp;"|"&amp;LLM_Data_Entry!$C$3:$C$548&amp;"|"&amp;LLM_Data_Entry!$D$3:$D$548,0),0))),"")</f>
        <v/>
      </c>
      <c r="Z104" s="186">
        <f>IFERROR(IF($X104="","",INDEX(LLM_Data_Entry!$R$3:$R$548,MATCH($X104,INDEX(LLM_Data_Entry!$A$3:$A$548&amp;"|"&amp;LLM_Data_Entry!$C$3:$C$548&amp;"|"&amp;LLM_Data_Entry!$D$3:$D$548,0),0))),"")</f>
        <v/>
      </c>
      <c r="AA104" s="152" t="n"/>
      <c r="AB104" s="152" t="inlineStr">
        <is>
          <t>price signal — only this window shows an abnormal move</t>
        </is>
      </c>
      <c r="AC104" s="152" t="inlineStr">
        <is>
          <t>UBER</t>
        </is>
      </c>
      <c r="AD104" s="152" t="inlineStr">
        <is>
          <t>2026-02-03</t>
        </is>
      </c>
      <c r="AE104" s="152" t="n">
        <v>77.93000000000001</v>
      </c>
      <c r="AF104" s="152" t="inlineStr">
        <is>
          <t>2026-02-04</t>
        </is>
      </c>
      <c r="AG104" s="152" t="n">
        <v>75.625</v>
      </c>
      <c r="AH104" s="152" t="n">
        <v>-0.02957782625433089</v>
      </c>
      <c r="AI104" s="152" t="inlineStr">
        <is>
          <t>DOWN</t>
        </is>
      </c>
      <c r="AJ104" s="152" t="inlineStr">
        <is>
          <t>NO</t>
        </is>
      </c>
      <c r="AK104" s="152" t="n">
        <v>-0.030578</v>
      </c>
      <c r="AL104" s="152">
        <f>IF($A104="","",IFERROR(INDEX(Company_List!$G$3:$G$207,MATCH($A104,Company_List!$A$3:$A$207,0)),"unassigned"))</f>
        <v/>
      </c>
      <c r="AM104" s="152" t="inlineStr">
        <is>
          <t>Phase 2/Uber/Uber-Q4-25-Earnings-Call-Transcript.pdf</t>
        </is>
      </c>
      <c r="AN104" s="152" t="n"/>
      <c r="AO104" s="152" t="inlineStr">
        <is>
          <t>unique filename match</t>
        </is>
      </c>
      <c r="AP104" s="152">
        <f>IF($A104="","",IF(COUNTIFS(LLM_Data_Entry!$A$3:$A$548,$A104)&gt;0,"YES","NO"))</f>
        <v/>
      </c>
      <c r="AQ104" s="152">
        <f>IF($A104="","",IF(COUNTIFS($A$3:$A104,$A104,$C$3:$C104,$C104,$D$3:$D104,$D104)=1,"YES","NO"))</f>
        <v/>
      </c>
      <c r="AR104" s="152">
        <f>IF($A104="","",IF(AND($C104&amp;"-"&amp;$D104&gt;=Settings!$B$19,$C104&amp;"-"&amp;$D104&lt;=Settings!$B$20),"IN","OUT"))</f>
        <v/>
      </c>
      <c r="AS104" s="152">
        <f>IF($A104="","",IF($F104="Financial Results","financials",IF($F104="Outlook/Guidance","guidance",IF($F104="Transcript Q&amp;A","qanda",IF($F104="","unrecorded",IF($E104="All","full",IF($E104="","unrecorded",LOWER($E104)&amp;" only")))))))</f>
        <v/>
      </c>
      <c r="AT104" s="152">
        <f>IF(AND(OR($J104="BUY",$J104="SELL"),ISNUMBER($U104)),$U104,"")</f>
        <v/>
      </c>
      <c r="AU104" s="152">
        <f>IF(AND(OR($J104="BUY",$J104="SELL"),ISNUMBER($AK104)),$AK104,"")</f>
        <v/>
      </c>
      <c r="AV104" s="152">
        <f>IF(ISNUMBER($AT104),ABS(IF(ISNUMBER($I104),$I104,0)-Settings!$B$24),"")</f>
        <v/>
      </c>
      <c r="AW104" s="152">
        <f>IF(ISNUMBER($AV104),$AV104*$AT104,"")</f>
        <v/>
      </c>
      <c r="AX104" s="152">
        <f>IF(ISNUMBER($AU104),ABS(IF(ISNUMBER($I104),$I104,0)-Settings!$B$24),"")</f>
        <v/>
      </c>
      <c r="AY104" s="152" t="inlineStr">
        <is>
          <t>FROZEN</t>
        </is>
      </c>
      <c r="AZ104" s="152">
        <f>IF($A104="","",IFERROR(INDEX(Company_List!$H$3:$H$207,MATCH($A104,Company_List!$A$3:$A$207,0)),"unassigned"))</f>
        <v/>
      </c>
      <c r="BA104" s="152" t="n"/>
      <c r="BB104" s="152" t="n"/>
      <c r="BC104" s="152">
        <f>IF($A104="","",IF(COUNTIFS($A$3:$A104,$A104,$C$3:$C104,$C104,$D$3:$D104,$D104,$G$3:$G104,$G104)=1,1,0))</f>
        <v/>
      </c>
      <c r="BD104" s="152" t="n"/>
      <c r="BE104" s="152" t="n"/>
      <c r="BF104" s="152" t="n"/>
      <c r="BG104" s="152" t="inlineStr">
        <is>
          <t>no</t>
        </is>
      </c>
      <c r="BH104" s="152" t="n"/>
      <c r="BI104" s="152" t="n"/>
      <c r="BJ104" s="152" t="n"/>
      <c r="BK104" s="152">
        <f>IF(OR($H104&lt;&gt;"Human",$S104="",$J104="",$Y104="",$Z104=""),"",IF(EXACT(UPPER($J104),UPPER($Y104)),1,0))</f>
        <v/>
      </c>
      <c r="BL104" s="152" t="inlineStr">
        <is>
          <t>assumed - no rater record</t>
        </is>
      </c>
      <c r="BM104" s="152" t="n">
        <v>1</v>
      </c>
      <c r="BN104" s="152" t="inlineStr">
        <is>
          <t>FactSet CallStreet</t>
        </is>
      </c>
      <c r="BO104" s="152" t="inlineStr">
        <is>
          <t>licensed vendor</t>
        </is>
      </c>
      <c r="BP104" s="152" t="inlineStr">
        <is>
          <t>no</t>
        </is>
      </c>
      <c r="BQ104" s="152" t="inlineStr">
        <is>
          <t>no</t>
        </is>
      </c>
      <c r="BR104" s="152" t="n"/>
      <c r="BS104" s="152" t="inlineStr">
        <is>
          <t>YES</t>
        </is>
      </c>
      <c r="BT104" s="152" t="n"/>
    </row>
    <row r="105" ht="15" customHeight="1" s="241">
      <c r="A105" s="174" t="inlineStr">
        <is>
          <t>Uber</t>
        </is>
      </c>
      <c r="B105" s="175">
        <f>IF(A105="","",_xlfn.XLOOKUP(A105, Company_List!$A:$A, Company_List!$B:$B, ""))</f>
        <v/>
      </c>
      <c r="C105" s="176" t="n">
        <v>2026</v>
      </c>
      <c r="D105" s="177" t="inlineStr">
        <is>
          <t>Q1</t>
        </is>
      </c>
      <c r="E105" s="178" t="inlineStr">
        <is>
          <t>Transcript</t>
        </is>
      </c>
      <c r="F105" s="178" t="inlineStr">
        <is>
          <t>All</t>
        </is>
      </c>
      <c r="G105" s="177" t="inlineStr">
        <is>
          <t>Abdul</t>
        </is>
      </c>
      <c r="H105" s="177" t="inlineStr">
        <is>
          <t>Human</t>
        </is>
      </c>
      <c r="I105" s="179" t="n">
        <v>0.3</v>
      </c>
      <c r="J105" s="180">
        <f>IF(OR(I105="",Settings!$B$6=""),"",IF(I105&gt;Settings!$B$6,"BUY",IF(I105&lt;-Settings!$B$6,"SELL","HOLD")))</f>
        <v/>
      </c>
      <c r="K105" s="181" t="n">
        <v>35</v>
      </c>
      <c r="L105" s="182" t="n">
        <v>46148</v>
      </c>
      <c r="M105" s="182" t="n">
        <v>46147</v>
      </c>
      <c r="N105" s="179" t="n">
        <v>72.95</v>
      </c>
      <c r="O105" s="182" t="n">
        <v>46148</v>
      </c>
      <c r="P105" s="183" t="n">
        <v>77.45999999999999</v>
      </c>
      <c r="Q105" s="184">
        <f>IF(OR(N105="",P105=""),"",ROUND((P105-N105)/N105,4))</f>
        <v/>
      </c>
      <c r="R105" s="177">
        <f>IF(OR(N105="",P105=""),"",IF(Q105&gt;Settings!$B$3/100,"UP",IF(Q105&lt;-Settings!$B$3/100,"DOWN","FLAT")))</f>
        <v/>
      </c>
      <c r="S105" s="177">
        <f>IF(OR(N105="",P105="",J105=""),"",IF(OR(AND(J105="BUY",R105="UP"),AND(J105="SELL",R105="DOWN"),AND(J105="HOLD",R105="FLAT")),"YES","NO"))</f>
        <v/>
      </c>
      <c r="T105" s="176">
        <f>IF(J105="","",IF(J105="BUY",1,IF(J105="SELL",-1,0)))</f>
        <v/>
      </c>
      <c r="U105" s="184">
        <f>IFERROR(IF(OR(J105="",N105="",P105=""),"",IF(T105=0,0,T105*Q105-Settings!$B$4/10000-IF(T105&lt;0,Settings!$B$5/10000,0))),"")</f>
        <v/>
      </c>
      <c r="V105" s="185" t="n"/>
      <c r="W105" s="176">
        <f>IF($K105="","",$K105*60)</f>
        <v/>
      </c>
      <c r="X105" s="186">
        <f>IF($A105="","",$A105&amp;"|"&amp;$C105&amp;"|"&amp;$D105)</f>
        <v/>
      </c>
      <c r="Y105" s="186">
        <f>IFERROR(IF($X105="","",INDEX(LLM_Data_Entry!$H$3:$H$548,MATCH($X105,INDEX(LLM_Data_Entry!$A$3:$A$548&amp;"|"&amp;LLM_Data_Entry!$C$3:$C$548&amp;"|"&amp;LLM_Data_Entry!$D$3:$D$548,0),0))),"")</f>
        <v/>
      </c>
      <c r="Z105" s="186">
        <f>IFERROR(IF($X105="","",INDEX(LLM_Data_Entry!$R$3:$R$548,MATCH($X105,INDEX(LLM_Data_Entry!$A$3:$A$548&amp;"|"&amp;LLM_Data_Entry!$C$3:$C$548&amp;"|"&amp;LLM_Data_Entry!$D$3:$D$548,0),0))),"")</f>
        <v/>
      </c>
      <c r="AA105" s="152" t="n"/>
      <c r="AB105" s="152" t="inlineStr">
        <is>
          <t>price signal — only this window shows an abnormal move</t>
        </is>
      </c>
      <c r="AC105" s="152" t="inlineStr">
        <is>
          <t>UBER</t>
        </is>
      </c>
      <c r="AD105" s="152" t="inlineStr">
        <is>
          <t>2026-05-05</t>
        </is>
      </c>
      <c r="AE105" s="152" t="n">
        <v>72.95</v>
      </c>
      <c r="AF105" s="152" t="inlineStr">
        <is>
          <t>2026-05-06</t>
        </is>
      </c>
      <c r="AG105" s="152" t="n">
        <v>77.45999999999999</v>
      </c>
      <c r="AH105" s="152" t="n">
        <v>0.06182319651089226</v>
      </c>
      <c r="AI105" s="152" t="inlineStr">
        <is>
          <t>UP</t>
        </is>
      </c>
      <c r="AJ105" s="152" t="inlineStr">
        <is>
          <t>YES</t>
        </is>
      </c>
      <c r="AK105" s="152" t="n">
        <v>0.060823</v>
      </c>
      <c r="AL105" s="152">
        <f>IF($A105="","",IFERROR(INDEX(Company_List!$G$3:$G$207,MATCH($A105,Company_List!$A$3:$A$207,0)),"unassigned"))</f>
        <v/>
      </c>
      <c r="AM105" s="152" t="inlineStr">
        <is>
          <t>Phase 2/Uber/Uber-Q1-26-Earnings-Call-Transcript.pdf</t>
        </is>
      </c>
      <c r="AN105" s="152" t="n"/>
      <c r="AO105" s="152" t="inlineStr">
        <is>
          <t>unique filename match</t>
        </is>
      </c>
      <c r="AP105" s="152">
        <f>IF($A105="","",IF(COUNTIFS(LLM_Data_Entry!$A$3:$A$548,$A105)&gt;0,"YES","NO"))</f>
        <v/>
      </c>
      <c r="AQ105" s="152">
        <f>IF($A105="","",IF(COUNTIFS($A$3:$A105,$A105,$C$3:$C105,$C105,$D$3:$D105,$D105)=1,"YES","NO"))</f>
        <v/>
      </c>
      <c r="AR105" s="152">
        <f>IF($A105="","",IF(AND($C105&amp;"-"&amp;$D105&gt;=Settings!$B$19,$C105&amp;"-"&amp;$D105&lt;=Settings!$B$20),"IN","OUT"))</f>
        <v/>
      </c>
      <c r="AS105" s="152">
        <f>IF($A105="","",IF($F105="Financial Results","financials",IF($F105="Outlook/Guidance","guidance",IF($F105="Transcript Q&amp;A","qanda",IF($F105="","unrecorded",IF($E105="All","full",IF($E105="","unrecorded",LOWER($E105)&amp;" only")))))))</f>
        <v/>
      </c>
      <c r="AT105" s="152">
        <f>IF(AND(OR($J105="BUY",$J105="SELL"),ISNUMBER($U105)),$U105,"")</f>
        <v/>
      </c>
      <c r="AU105" s="152">
        <f>IF(AND(OR($J105="BUY",$J105="SELL"),ISNUMBER($AK105)),$AK105,"")</f>
        <v/>
      </c>
      <c r="AV105" s="152">
        <f>IF(ISNUMBER($AT105),ABS(IF(ISNUMBER($I105),$I105,0)-Settings!$B$24),"")</f>
        <v/>
      </c>
      <c r="AW105" s="152">
        <f>IF(ISNUMBER($AV105),$AV105*$AT105,"")</f>
        <v/>
      </c>
      <c r="AX105" s="152">
        <f>IF(ISNUMBER($AU105),ABS(IF(ISNUMBER($I105),$I105,0)-Settings!$B$24),"")</f>
        <v/>
      </c>
      <c r="AY105" s="152" t="inlineStr">
        <is>
          <t>FROZEN</t>
        </is>
      </c>
      <c r="AZ105" s="152">
        <f>IF($A105="","",IFERROR(INDEX(Company_List!$H$3:$H$207,MATCH($A105,Company_List!$A$3:$A$207,0)),"unassigned"))</f>
        <v/>
      </c>
      <c r="BA105" s="152" t="n"/>
      <c r="BB105" s="152" t="n"/>
      <c r="BC105" s="152">
        <f>IF($A105="","",IF(COUNTIFS($A$3:$A105,$A105,$C$3:$C105,$C105,$D$3:$D105,$D105,$G$3:$G105,$G105)=1,1,0))</f>
        <v/>
      </c>
      <c r="BD105" s="152" t="n"/>
      <c r="BE105" s="152" t="n"/>
      <c r="BF105" s="152" t="n"/>
      <c r="BG105" s="152" t="inlineStr">
        <is>
          <t>no</t>
        </is>
      </c>
      <c r="BH105" s="152" t="n"/>
      <c r="BI105" s="152" t="n"/>
      <c r="BJ105" s="152" t="n"/>
      <c r="BK105" s="152">
        <f>IF(OR($H105&lt;&gt;"Human",$S105="",$J105="",$Y105="",$Z105=""),"",IF(EXACT(UPPER($J105),UPPER($Y105)),1,0))</f>
        <v/>
      </c>
      <c r="BL105" s="152" t="inlineStr">
        <is>
          <t>assumed - no rater record</t>
        </is>
      </c>
      <c r="BM105" s="152" t="n">
        <v>1</v>
      </c>
      <c r="BN105" s="152" t="inlineStr">
        <is>
          <t>FactSet CallStreet</t>
        </is>
      </c>
      <c r="BO105" s="152" t="inlineStr">
        <is>
          <t>licensed vendor</t>
        </is>
      </c>
      <c r="BP105" s="152" t="inlineStr">
        <is>
          <t>no</t>
        </is>
      </c>
      <c r="BQ105" s="152" t="inlineStr">
        <is>
          <t>no</t>
        </is>
      </c>
      <c r="BR105" s="152" t="n"/>
      <c r="BS105" s="152" t="inlineStr">
        <is>
          <t>YES</t>
        </is>
      </c>
      <c r="BT105" s="152" t="n"/>
    </row>
    <row r="106" ht="15" customHeight="1" s="241">
      <c r="A106" s="174" t="inlineStr">
        <is>
          <t>Coinbase</t>
        </is>
      </c>
      <c r="B106" s="175">
        <f>IF(A106="","",_xlfn.XLOOKUP(A106, Company_List!$A:$A, Company_List!$B:$B, ""))</f>
        <v/>
      </c>
      <c r="C106" s="176" t="n">
        <v>2026</v>
      </c>
      <c r="D106" s="177" t="inlineStr">
        <is>
          <t>Q1</t>
        </is>
      </c>
      <c r="E106" s="178" t="inlineStr">
        <is>
          <t>All</t>
        </is>
      </c>
      <c r="F106" s="178" t="inlineStr">
        <is>
          <t>All</t>
        </is>
      </c>
      <c r="G106" s="177" t="inlineStr">
        <is>
          <t>David</t>
        </is>
      </c>
      <c r="H106" s="177" t="inlineStr">
        <is>
          <t>Human</t>
        </is>
      </c>
      <c r="I106" s="179" t="n">
        <v>0.35</v>
      </c>
      <c r="J106" s="180">
        <f>IF(OR(I106="",Settings!$B$6=""),"",IF(I106&gt;Settings!$B$6,"BUY",IF(I106&lt;-Settings!$B$6,"SELL","HOLD")))</f>
        <v/>
      </c>
      <c r="K106" s="181" t="n">
        <v>63</v>
      </c>
      <c r="L106" s="182" t="n">
        <v>46149</v>
      </c>
      <c r="M106" s="182" t="n">
        <v>46149</v>
      </c>
      <c r="N106" s="179" t="n">
        <v>192.96</v>
      </c>
      <c r="O106" s="182" t="n">
        <v>46150</v>
      </c>
      <c r="P106" s="183" t="n">
        <v>186.05</v>
      </c>
      <c r="Q106" s="184">
        <f>IF(OR(N106="",P106=""),"",ROUND((P106-N106)/N106,4))</f>
        <v/>
      </c>
      <c r="R106" s="177">
        <f>IF(OR(N106="",P106=""),"",IF(Q106&gt;Settings!$B$3/100,"UP",IF(Q106&lt;-Settings!$B$3/100,"DOWN","FLAT")))</f>
        <v/>
      </c>
      <c r="S106" s="177">
        <f>IF(OR(N106="",P106="",J106=""),"",IF(OR(AND(J106="BUY",R106="UP"),AND(J106="SELL",R106="DOWN"),AND(J106="HOLD",R106="FLAT")),"YES","NO"))</f>
        <v/>
      </c>
      <c r="T106" s="176">
        <f>IF(J106="","",IF(J106="BUY",1,IF(J106="SELL",-1,0)))</f>
        <v/>
      </c>
      <c r="U106" s="184">
        <f>IFERROR(IF(OR(J106="",N106="",P106=""),"",IF(T106=0,0,T106*Q106-Settings!$B$4/10000-IF(T106&lt;0,Settings!$B$5/10000,0))),"")</f>
        <v/>
      </c>
      <c r="V106" s="185" t="n"/>
      <c r="W106" s="176">
        <f>IF($K106="","",$K106*60)</f>
        <v/>
      </c>
      <c r="X106" s="186">
        <f>IF($A106="","",$A106&amp;"|"&amp;$C106&amp;"|"&amp;$D106)</f>
        <v/>
      </c>
      <c r="Y106" s="186">
        <f>IFERROR(IF($X106="","",INDEX(LLM_Data_Entry!$H$3:$H$548,MATCH($X106,INDEX(LLM_Data_Entry!$A$3:$A$548&amp;"|"&amp;LLM_Data_Entry!$C$3:$C$548&amp;"|"&amp;LLM_Data_Entry!$D$3:$D$548,0),0))),"")</f>
        <v/>
      </c>
      <c r="Z106" s="186">
        <f>IFERROR(IF($X106="","",INDEX(LLM_Data_Entry!$R$3:$R$548,MATCH($X106,INDEX(LLM_Data_Entry!$A$3:$A$548&amp;"|"&amp;LLM_Data_Entry!$C$3:$C$548&amp;"|"&amp;LLM_Data_Entry!$D$3:$D$548,0),0))),"")</f>
        <v/>
      </c>
      <c r="AA106" s="152" t="n"/>
      <c r="AB106" s="152" t="inlineStr">
        <is>
          <t>release date + stated time in the document (rater worksheet)</t>
        </is>
      </c>
      <c r="AC106" s="152" t="inlineStr">
        <is>
          <t>COIN</t>
        </is>
      </c>
      <c r="AD106" s="152" t="inlineStr">
        <is>
          <t>2026-05-07</t>
        </is>
      </c>
      <c r="AE106" s="152" t="n">
        <v>192.96</v>
      </c>
      <c r="AF106" s="152" t="inlineStr">
        <is>
          <t>2026-05-08</t>
        </is>
      </c>
      <c r="AG106" s="152" t="n">
        <v>186.05</v>
      </c>
      <c r="AH106" s="152" t="n">
        <v>-0.03581055011052102</v>
      </c>
      <c r="AI106" s="152" t="inlineStr">
        <is>
          <t>DOWN</t>
        </is>
      </c>
      <c r="AJ106" s="152" t="inlineStr">
        <is>
          <t>NO</t>
        </is>
      </c>
      <c r="AK106" s="152" t="n">
        <v>-0.036811</v>
      </c>
      <c r="AL106" s="152">
        <f>IF($A106="","",IFERROR(INDEX(Company_List!$G$3:$G$207,MATCH($A106,Company_List!$A$3:$A$207,0)),"unassigned"))</f>
        <v/>
      </c>
      <c r="AM106" s="152" t="inlineStr">
        <is>
          <t>Phase 2/Coin Base/2026-Q1/COIN-2026-Q1-press-release-SEC-EX-99-1.htm</t>
        </is>
      </c>
      <c r="AN106" s="152" t="inlineStr">
        <is>
          <t>https://www.sec.gov/Archives/edgar/data/1679788/000167978826000053/q126earningsdeck-finalse.htm</t>
        </is>
      </c>
      <c r="AO106" s="152" t="inlineStr">
        <is>
          <t>manifest</t>
        </is>
      </c>
      <c r="AP106" s="152">
        <f>IF($A106="","",IF(COUNTIFS(LLM_Data_Entry!$A$3:$A$548,$A106)&gt;0,"YES","NO"))</f>
        <v/>
      </c>
      <c r="AQ106" s="152">
        <f>IF($A106="","",IF(COUNTIFS($A$3:$A106,$A106,$C$3:$C106,$C106,$D$3:$D106,$D106)=1,"YES","NO"))</f>
        <v/>
      </c>
      <c r="AR106" s="152">
        <f>IF($A106="","",IF(AND($C106&amp;"-"&amp;$D106&gt;=Settings!$B$19,$C106&amp;"-"&amp;$D106&lt;=Settings!$B$20),"IN","OUT"))</f>
        <v/>
      </c>
      <c r="AS106" s="152">
        <f>IF($A106="","",IF($F106="Financial Results","financials",IF($F106="Outlook/Guidance","guidance",IF($F106="Transcript Q&amp;A","qanda",IF($F106="","unrecorded",IF($E106="All","full",IF($E106="","unrecorded",LOWER($E106)&amp;" only")))))))</f>
        <v/>
      </c>
      <c r="AT106" s="152">
        <f>IF(AND(OR($J106="BUY",$J106="SELL"),ISNUMBER($U106)),$U106,"")</f>
        <v/>
      </c>
      <c r="AU106" s="152">
        <f>IF(AND(OR($J106="BUY",$J106="SELL"),ISNUMBER($AK106)),$AK106,"")</f>
        <v/>
      </c>
      <c r="AV106" s="152">
        <f>IF(ISNUMBER($AT106),ABS(IF(ISNUMBER($I106),$I106,0)-Settings!$B$24),"")</f>
        <v/>
      </c>
      <c r="AW106" s="152">
        <f>IF(ISNUMBER($AV106),$AV106*$AT106,"")</f>
        <v/>
      </c>
      <c r="AX106" s="152">
        <f>IF(ISNUMBER($AU106),ABS(IF(ISNUMBER($I106),$I106,0)-Settings!$B$24),"")</f>
        <v/>
      </c>
      <c r="AY106" s="152" t="inlineStr">
        <is>
          <t>FROZEN</t>
        </is>
      </c>
      <c r="AZ106" s="152">
        <f>IF($A106="","",IFERROR(INDEX(Company_List!$H$3:$H$207,MATCH($A106,Company_List!$A$3:$A$207,0)),"unassigned"))</f>
        <v/>
      </c>
      <c r="BA106" s="152" t="n"/>
      <c r="BB106" s="152" t="n"/>
      <c r="BC106" s="152">
        <f>IF($A106="","",IF(COUNTIFS($A$3:$A106,$A106,$C$3:$C106,$C106,$D$3:$D106,$D106,$G$3:$G106,$G106)=1,1,0))</f>
        <v/>
      </c>
      <c r="BD106" s="152" t="n"/>
      <c r="BE106" s="152" t="n"/>
      <c r="BF106" s="152" t="n"/>
      <c r="BG106" s="152" t="inlineStr">
        <is>
          <t>no</t>
        </is>
      </c>
      <c r="BH106" s="152" t="n"/>
      <c r="BI106" s="152" t="n"/>
      <c r="BJ106" s="152" t="n"/>
      <c r="BK106" s="152">
        <f>IF(OR($H106&lt;&gt;"Human",$S106="",$J106="",$Y106="",$Z106=""),"",IF(EXACT(UPPER($J106),UPPER($Y106)),1,0))</f>
        <v/>
      </c>
      <c r="BL106" s="152" t="inlineStr">
        <is>
          <t>assumed - no rater record</t>
        </is>
      </c>
      <c r="BM106" s="152" t="n">
        <v>1</v>
      </c>
      <c r="BN106" s="152" t="inlineStr">
        <is>
          <t>not publisher-identified</t>
        </is>
      </c>
      <c r="BO106" s="152" t="inlineStr">
        <is>
          <t>not publisher-identified</t>
        </is>
      </c>
      <c r="BP106" s="152" t="inlineStr">
        <is>
          <t>no</t>
        </is>
      </c>
      <c r="BQ106" s="152" t="inlineStr">
        <is>
          <t>yes</t>
        </is>
      </c>
      <c r="BR106" s="152" t="inlineStr">
        <is>
          <t>filled 11 Aug 2026 from the corpus manifest: the company-quarter holds exactly one document and the manifest carries its release date</t>
        </is>
      </c>
      <c r="BS106" s="152" t="inlineStr">
        <is>
          <t>YES</t>
        </is>
      </c>
      <c r="BT106" s="152" t="n"/>
    </row>
    <row r="107" ht="15" customHeight="1" s="241">
      <c r="A107" s="174" t="inlineStr">
        <is>
          <t>Coinbase</t>
        </is>
      </c>
      <c r="B107" s="175">
        <f>IF(A107="","",_xlfn.XLOOKUP(A107, Company_List!$A:$A, Company_List!$B:$B, ""))</f>
        <v/>
      </c>
      <c r="C107" s="176" t="n">
        <v>2025</v>
      </c>
      <c r="D107" s="177" t="inlineStr">
        <is>
          <t>Q3</t>
        </is>
      </c>
      <c r="E107" s="178" t="inlineStr">
        <is>
          <t>All</t>
        </is>
      </c>
      <c r="F107" s="178" t="inlineStr">
        <is>
          <t>All</t>
        </is>
      </c>
      <c r="G107" s="177" t="inlineStr">
        <is>
          <t>David</t>
        </is>
      </c>
      <c r="H107" s="177" t="inlineStr">
        <is>
          <t>Human</t>
        </is>
      </c>
      <c r="I107" s="179" t="n">
        <v>0.6</v>
      </c>
      <c r="J107" s="180">
        <f>IF(OR(I107="",Settings!$B$6=""),"",IF(I107&gt;Settings!$B$6,"BUY",IF(I107&lt;-Settings!$B$6,"SELL","HOLD")))</f>
        <v/>
      </c>
      <c r="K107" s="181" t="n">
        <v>49</v>
      </c>
      <c r="L107" s="182" t="n">
        <v>45960</v>
      </c>
      <c r="M107" s="182" t="n">
        <v>45960</v>
      </c>
      <c r="N107" s="179" t="n">
        <v>328.51</v>
      </c>
      <c r="O107" s="182" t="n">
        <v>45961</v>
      </c>
      <c r="P107" s="183" t="n">
        <v>336</v>
      </c>
      <c r="Q107" s="184">
        <f>IF(OR(N107="",P107=""),"",ROUND((P107-N107)/N107,4))</f>
        <v/>
      </c>
      <c r="R107" s="177">
        <f>IF(OR(N107="",P107=""),"",IF(Q107&gt;Settings!$B$3/100,"UP",IF(Q107&lt;-Settings!$B$3/100,"DOWN","FLAT")))</f>
        <v/>
      </c>
      <c r="S107" s="177">
        <f>IF(OR(N107="",P107="",J107=""),"",IF(OR(AND(J107="BUY",R107="UP"),AND(J107="SELL",R107="DOWN"),AND(J107="HOLD",R107="FLAT")),"YES","NO"))</f>
        <v/>
      </c>
      <c r="T107" s="176">
        <f>IF(J107="","",IF(J107="BUY",1,IF(J107="SELL",-1,0)))</f>
        <v/>
      </c>
      <c r="U107" s="184">
        <f>IFERROR(IF(OR(J107="",N107="",P107=""),"",IF(T107=0,0,T107*Q107-Settings!$B$4/10000-IF(T107&lt;0,Settings!$B$5/10000,0))),"")</f>
        <v/>
      </c>
      <c r="V107" s="185" t="n"/>
      <c r="W107" s="176">
        <f>IF($K107="","",$K107*60)</f>
        <v/>
      </c>
      <c r="X107" s="186">
        <f>IF($A107="","",$A107&amp;"|"&amp;$C107&amp;"|"&amp;$D107)</f>
        <v/>
      </c>
      <c r="Y107" s="186">
        <f>IFERROR(IF($X107="","",INDEX(LLM_Data_Entry!$H$3:$H$548,MATCH($X107,INDEX(LLM_Data_Entry!$A$3:$A$548&amp;"|"&amp;LLM_Data_Entry!$C$3:$C$548&amp;"|"&amp;LLM_Data_Entry!$D$3:$D$548,0),0))),"")</f>
        <v/>
      </c>
      <c r="Z107" s="186">
        <f>IFERROR(IF($X107="","",INDEX(LLM_Data_Entry!$R$3:$R$548,MATCH($X107,INDEX(LLM_Data_Entry!$A$3:$A$548&amp;"|"&amp;LLM_Data_Entry!$C$3:$C$548&amp;"|"&amp;LLM_Data_Entry!$D$3:$D$548,0),0))),"")</f>
        <v/>
      </c>
      <c r="AA107" s="152" t="n"/>
      <c r="AB107" s="152" t="inlineStr">
        <is>
          <t>release date + stated time in the document (rater worksheet)</t>
        </is>
      </c>
      <c r="AC107" s="152" t="inlineStr">
        <is>
          <t>COIN</t>
        </is>
      </c>
      <c r="AD107" s="152" t="inlineStr">
        <is>
          <t>2025-10-30</t>
        </is>
      </c>
      <c r="AE107" s="152" t="n">
        <v>328.51</v>
      </c>
      <c r="AF107" s="152" t="inlineStr">
        <is>
          <t>2025-10-31</t>
        </is>
      </c>
      <c r="AG107" s="152" t="n">
        <v>336</v>
      </c>
      <c r="AH107" s="152" t="n">
        <v>0.02279988363216079</v>
      </c>
      <c r="AI107" s="152" t="inlineStr">
        <is>
          <t>UP</t>
        </is>
      </c>
      <c r="AJ107" s="152" t="inlineStr">
        <is>
          <t>YES</t>
        </is>
      </c>
      <c r="AK107" s="152" t="n">
        <v>0.0218</v>
      </c>
      <c r="AL107" s="152">
        <f>IF($A107="","",IFERROR(INDEX(Company_List!$G$3:$G$207,MATCH($A107,Company_List!$A$3:$A$207,0)),"unassigned"))</f>
        <v/>
      </c>
      <c r="AM107" s="152" t="inlineStr">
        <is>
          <t>Phase 2/Coin Base/2025-Q3/COIN-2025-Q3-press-release-SEC-EX-99-1.htm</t>
        </is>
      </c>
      <c r="AN107" s="152" t="inlineStr">
        <is>
          <t>https://www.sec.gov/Archives/edgar/data/1679788/000167978825000207/q325shareholderletter.htm</t>
        </is>
      </c>
      <c r="AO107" s="152" t="inlineStr">
        <is>
          <t>manifest</t>
        </is>
      </c>
      <c r="AP107" s="152">
        <f>IF($A107="","",IF(COUNTIFS(LLM_Data_Entry!$A$3:$A$548,$A107)&gt;0,"YES","NO"))</f>
        <v/>
      </c>
      <c r="AQ107" s="152">
        <f>IF($A107="","",IF(COUNTIFS($A$3:$A107,$A107,$C$3:$C107,$C107,$D$3:$D107,$D107)=1,"YES","NO"))</f>
        <v/>
      </c>
      <c r="AR107" s="152">
        <f>IF($A107="","",IF(AND($C107&amp;"-"&amp;$D107&gt;=Settings!$B$19,$C107&amp;"-"&amp;$D107&lt;=Settings!$B$20),"IN","OUT"))</f>
        <v/>
      </c>
      <c r="AS107" s="152">
        <f>IF($A107="","",IF($F107="Financial Results","financials",IF($F107="Outlook/Guidance","guidance",IF($F107="Transcript Q&amp;A","qanda",IF($F107="","unrecorded",IF($E107="All","full",IF($E107="","unrecorded",LOWER($E107)&amp;" only")))))))</f>
        <v/>
      </c>
      <c r="AT107" s="152">
        <f>IF(AND(OR($J107="BUY",$J107="SELL"),ISNUMBER($U107)),$U107,"")</f>
        <v/>
      </c>
      <c r="AU107" s="152">
        <f>IF(AND(OR($J107="BUY",$J107="SELL"),ISNUMBER($AK107)),$AK107,"")</f>
        <v/>
      </c>
      <c r="AV107" s="152">
        <f>IF(ISNUMBER($AT107),ABS(IF(ISNUMBER($I107),$I107,0)-Settings!$B$24),"")</f>
        <v/>
      </c>
      <c r="AW107" s="152">
        <f>IF(ISNUMBER($AV107),$AV107*$AT107,"")</f>
        <v/>
      </c>
      <c r="AX107" s="152">
        <f>IF(ISNUMBER($AU107),ABS(IF(ISNUMBER($I107),$I107,0)-Settings!$B$24),"")</f>
        <v/>
      </c>
      <c r="AY107" s="152" t="inlineStr">
        <is>
          <t>FROZEN</t>
        </is>
      </c>
      <c r="AZ107" s="152">
        <f>IF($A107="","",IFERROR(INDEX(Company_List!$H$3:$H$207,MATCH($A107,Company_List!$A$3:$A$207,0)),"unassigned"))</f>
        <v/>
      </c>
      <c r="BA107" s="152" t="n"/>
      <c r="BB107" s="152" t="n"/>
      <c r="BC107" s="152">
        <f>IF($A107="","",IF(COUNTIFS($A$3:$A107,$A107,$C$3:$C107,$C107,$D$3:$D107,$D107,$G$3:$G107,$G107)=1,1,0))</f>
        <v/>
      </c>
      <c r="BD107" s="152" t="n"/>
      <c r="BE107" s="152" t="n"/>
      <c r="BF107" s="152" t="n"/>
      <c r="BG107" s="152" t="inlineStr">
        <is>
          <t>no</t>
        </is>
      </c>
      <c r="BH107" s="152" t="n"/>
      <c r="BI107" s="152" t="n"/>
      <c r="BJ107" s="152" t="n"/>
      <c r="BK107" s="152">
        <f>IF(OR($H107&lt;&gt;"Human",$S107="",$J107="",$Y107="",$Z107=""),"",IF(EXACT(UPPER($J107),UPPER($Y107)),1,0))</f>
        <v/>
      </c>
      <c r="BL107" s="152" t="inlineStr">
        <is>
          <t>assumed - no rater record</t>
        </is>
      </c>
      <c r="BM107" s="152" t="n">
        <v>1</v>
      </c>
      <c r="BN107" s="152" t="inlineStr">
        <is>
          <t>not publisher-identified</t>
        </is>
      </c>
      <c r="BO107" s="152" t="inlineStr">
        <is>
          <t>not publisher-identified</t>
        </is>
      </c>
      <c r="BP107" s="152" t="inlineStr">
        <is>
          <t>no</t>
        </is>
      </c>
      <c r="BQ107" s="152" t="inlineStr">
        <is>
          <t>yes</t>
        </is>
      </c>
      <c r="BR107" s="152" t="inlineStr">
        <is>
          <t>filled 11 Aug 2026 from the corpus manifest: the company-quarter holds exactly one document and the manifest carries its release date</t>
        </is>
      </c>
      <c r="BS107" s="152" t="inlineStr">
        <is>
          <t>YES</t>
        </is>
      </c>
      <c r="BT107" s="152" t="n"/>
    </row>
    <row r="108" ht="15" customHeight="1" s="241">
      <c r="A108" s="174" t="inlineStr">
        <is>
          <t>Coinbase</t>
        </is>
      </c>
      <c r="B108" s="175">
        <f>IF(A108="","",_xlfn.XLOOKUP(A108, Company_List!$A:$A, Company_List!$B:$B, ""))</f>
        <v/>
      </c>
      <c r="C108" s="176" t="n">
        <v>2025</v>
      </c>
      <c r="D108" s="177" t="inlineStr">
        <is>
          <t>Q4</t>
        </is>
      </c>
      <c r="E108" s="178" t="inlineStr">
        <is>
          <t>All</t>
        </is>
      </c>
      <c r="F108" s="178" t="inlineStr">
        <is>
          <t>All</t>
        </is>
      </c>
      <c r="G108" s="177" t="inlineStr">
        <is>
          <t>David</t>
        </is>
      </c>
      <c r="H108" s="177" t="inlineStr">
        <is>
          <t>Human</t>
        </is>
      </c>
      <c r="I108" s="179" t="n">
        <v>-0.1</v>
      </c>
      <c r="J108" s="180">
        <f>IF(OR(I108="",Settings!$B$6=""),"",IF(I108&gt;Settings!$B$6,"BUY",IF(I108&lt;-Settings!$B$6,"SELL","HOLD")))</f>
        <v/>
      </c>
      <c r="K108" s="181" t="n">
        <v>42</v>
      </c>
      <c r="L108" s="182" t="n">
        <v>46065</v>
      </c>
      <c r="M108" s="182" t="n">
        <v>46065</v>
      </c>
      <c r="N108" s="179" t="n">
        <v>141.09</v>
      </c>
      <c r="O108" s="182" t="n">
        <v>46066</v>
      </c>
      <c r="P108" s="183" t="n">
        <v>153.7</v>
      </c>
      <c r="Q108" s="184">
        <f>IF(OR(N108="",P108=""),"",ROUND((P108-N108)/N108,4))</f>
        <v/>
      </c>
      <c r="R108" s="177">
        <f>IF(OR(N108="",P108=""),"",IF(Q108&gt;Settings!$B$3/100,"UP",IF(Q108&lt;-Settings!$B$3/100,"DOWN","FLAT")))</f>
        <v/>
      </c>
      <c r="S108" s="177">
        <f>IF(OR(N108="",P108="",J108=""),"",IF(OR(AND(J108="BUY",R108="UP"),AND(J108="SELL",R108="DOWN"),AND(J108="HOLD",R108="FLAT")),"YES","NO"))</f>
        <v/>
      </c>
      <c r="T108" s="176">
        <f>IF(J108="","",IF(J108="BUY",1,IF(J108="SELL",-1,0)))</f>
        <v/>
      </c>
      <c r="U108" s="184">
        <f>IFERROR(IF(OR(J108="",N108="",P108=""),"",IF(T108=0,0,T108*Q108-Settings!$B$4/10000-IF(T108&lt;0,Settings!$B$5/10000,0))),"")</f>
        <v/>
      </c>
      <c r="V108" s="185" t="n"/>
      <c r="W108" s="176">
        <f>IF($K108="","",$K108*60)</f>
        <v/>
      </c>
      <c r="X108" s="186">
        <f>IF($A108="","",$A108&amp;"|"&amp;$C108&amp;"|"&amp;$D108)</f>
        <v/>
      </c>
      <c r="Y108" s="186">
        <f>IFERROR(IF($X108="","",INDEX(LLM_Data_Entry!$H$3:$H$548,MATCH($X108,INDEX(LLM_Data_Entry!$A$3:$A$548&amp;"|"&amp;LLM_Data_Entry!$C$3:$C$548&amp;"|"&amp;LLM_Data_Entry!$D$3:$D$548,0),0))),"")</f>
        <v/>
      </c>
      <c r="Z108" s="186">
        <f>IFERROR(IF($X108="","",INDEX(LLM_Data_Entry!$R$3:$R$548,MATCH($X108,INDEX(LLM_Data_Entry!$A$3:$A$548&amp;"|"&amp;LLM_Data_Entry!$C$3:$C$548&amp;"|"&amp;LLM_Data_Entry!$D$3:$D$548,0),0))),"")</f>
        <v/>
      </c>
      <c r="AA108" s="152" t="n"/>
      <c r="AB108" s="152" t="inlineStr">
        <is>
          <t>release date + stated time in the document (rater worksheet)</t>
        </is>
      </c>
      <c r="AC108" s="152" t="inlineStr">
        <is>
          <t>COIN</t>
        </is>
      </c>
      <c r="AD108" s="152" t="inlineStr">
        <is>
          <t>2026-02-12</t>
        </is>
      </c>
      <c r="AE108" s="152" t="n">
        <v>141.09</v>
      </c>
      <c r="AF108" s="152" t="inlineStr">
        <is>
          <t>2026-02-13</t>
        </is>
      </c>
      <c r="AG108" s="152" t="n">
        <v>153.7</v>
      </c>
      <c r="AH108" s="152" t="n">
        <v>0.08937558549509053</v>
      </c>
      <c r="AI108" s="152" t="inlineStr">
        <is>
          <t>UP</t>
        </is>
      </c>
      <c r="AJ108" s="152" t="inlineStr">
        <is>
          <t>NO</t>
        </is>
      </c>
      <c r="AK108" s="152" t="n">
        <v>0</v>
      </c>
      <c r="AL108" s="152">
        <f>IF($A108="","",IFERROR(INDEX(Company_List!$G$3:$G$207,MATCH($A108,Company_List!$A$3:$A$207,0)),"unassigned"))</f>
        <v/>
      </c>
      <c r="AM108" s="152" t="inlineStr">
        <is>
          <t>Phase 2/Coin Base/2025-Q4/COIN-2025-Q4-press-release-SEC-EX-99-1.htm</t>
        </is>
      </c>
      <c r="AN108" s="152" t="inlineStr">
        <is>
          <t>https://www.sec.gov/Archives/edgar/data/1679788/000167978826000011/q425shareholderletter.htm</t>
        </is>
      </c>
      <c r="AO108" s="152" t="inlineStr">
        <is>
          <t>manifest</t>
        </is>
      </c>
      <c r="AP108" s="152">
        <f>IF($A108="","",IF(COUNTIFS(LLM_Data_Entry!$A$3:$A$548,$A108)&gt;0,"YES","NO"))</f>
        <v/>
      </c>
      <c r="AQ108" s="152">
        <f>IF($A108="","",IF(COUNTIFS($A$3:$A108,$A108,$C$3:$C108,$C108,$D$3:$D108,$D108)=1,"YES","NO"))</f>
        <v/>
      </c>
      <c r="AR108" s="152">
        <f>IF($A108="","",IF(AND($C108&amp;"-"&amp;$D108&gt;=Settings!$B$19,$C108&amp;"-"&amp;$D108&lt;=Settings!$B$20),"IN","OUT"))</f>
        <v/>
      </c>
      <c r="AS108" s="152">
        <f>IF($A108="","",IF($F108="Financial Results","financials",IF($F108="Outlook/Guidance","guidance",IF($F108="Transcript Q&amp;A","qanda",IF($F108="","unrecorded",IF($E108="All","full",IF($E108="","unrecorded",LOWER($E108)&amp;" only")))))))</f>
        <v/>
      </c>
      <c r="AT108" s="152">
        <f>IF(AND(OR($J108="BUY",$J108="SELL"),ISNUMBER($U108)),$U108,"")</f>
        <v/>
      </c>
      <c r="AU108" s="152">
        <f>IF(AND(OR($J108="BUY",$J108="SELL"),ISNUMBER($AK108)),$AK108,"")</f>
        <v/>
      </c>
      <c r="AV108" s="152">
        <f>IF(ISNUMBER($AT108),ABS(IF(ISNUMBER($I108),$I108,0)-Settings!$B$24),"")</f>
        <v/>
      </c>
      <c r="AW108" s="152">
        <f>IF(ISNUMBER($AV108),$AV108*$AT108,"")</f>
        <v/>
      </c>
      <c r="AX108" s="152">
        <f>IF(ISNUMBER($AU108),ABS(IF(ISNUMBER($I108),$I108,0)-Settings!$B$24),"")</f>
        <v/>
      </c>
      <c r="AY108" s="152" t="inlineStr">
        <is>
          <t>FROZEN</t>
        </is>
      </c>
      <c r="AZ108" s="152">
        <f>IF($A108="","",IFERROR(INDEX(Company_List!$H$3:$H$207,MATCH($A108,Company_List!$A$3:$A$207,0)),"unassigned"))</f>
        <v/>
      </c>
      <c r="BA108" s="152" t="n"/>
      <c r="BB108" s="152" t="n"/>
      <c r="BC108" s="152">
        <f>IF($A108="","",IF(COUNTIFS($A$3:$A108,$A108,$C$3:$C108,$C108,$D$3:$D108,$D108,$G$3:$G108,$G108)=1,1,0))</f>
        <v/>
      </c>
      <c r="BD108" s="152" t="n"/>
      <c r="BE108" s="152" t="n"/>
      <c r="BF108" s="152" t="n"/>
      <c r="BG108" s="152" t="inlineStr">
        <is>
          <t>no</t>
        </is>
      </c>
      <c r="BH108" s="152" t="n"/>
      <c r="BI108" s="152" t="n"/>
      <c r="BJ108" s="152" t="n"/>
      <c r="BK108" s="152">
        <f>IF(OR($H108&lt;&gt;"Human",$S108="",$J108="",$Y108="",$Z108=""),"",IF(EXACT(UPPER($J108),UPPER($Y108)),1,0))</f>
        <v/>
      </c>
      <c r="BL108" s="152" t="inlineStr">
        <is>
          <t>assumed - no rater record</t>
        </is>
      </c>
      <c r="BM108" s="152" t="n">
        <v>1</v>
      </c>
      <c r="BN108" s="152" t="inlineStr">
        <is>
          <t>not publisher-identified</t>
        </is>
      </c>
      <c r="BO108" s="152" t="inlineStr">
        <is>
          <t>not publisher-identified</t>
        </is>
      </c>
      <c r="BP108" s="152" t="inlineStr">
        <is>
          <t>no</t>
        </is>
      </c>
      <c r="BQ108" s="152" t="inlineStr">
        <is>
          <t>yes</t>
        </is>
      </c>
      <c r="BR108" s="152" t="inlineStr">
        <is>
          <t>filled 11 Aug 2026 from the corpus manifest: the company-quarter holds exactly one document and the manifest carries its release date</t>
        </is>
      </c>
      <c r="BS108" s="152" t="inlineStr">
        <is>
          <t>YES</t>
        </is>
      </c>
      <c r="BT108" s="152" t="n"/>
    </row>
    <row r="109" ht="15" customHeight="1" s="241">
      <c r="A109" s="174" t="inlineStr">
        <is>
          <t>Eli Lilly</t>
        </is>
      </c>
      <c r="B109" s="175">
        <f>IF(A109="","",_xlfn.XLOOKUP(A109, Company_List!$A:$A, Company_List!$B:$B, ""))</f>
        <v/>
      </c>
      <c r="C109" s="176" t="n">
        <v>2026</v>
      </c>
      <c r="D109" s="177" t="inlineStr">
        <is>
          <t>Q1</t>
        </is>
      </c>
      <c r="E109" s="178" t="inlineStr">
        <is>
          <t>All</t>
        </is>
      </c>
      <c r="F109" s="178" t="inlineStr">
        <is>
          <t>All</t>
        </is>
      </c>
      <c r="G109" s="177" t="inlineStr">
        <is>
          <t>David</t>
        </is>
      </c>
      <c r="H109" s="177" t="inlineStr">
        <is>
          <t>Human</t>
        </is>
      </c>
      <c r="I109" s="179" t="n">
        <v>0.85</v>
      </c>
      <c r="J109" s="180">
        <f>IF(OR(I109="",Settings!$B$6=""),"",IF(I109&gt;Settings!$B$6,"BUY",IF(I109&lt;-Settings!$B$6,"SELL","HOLD")))</f>
        <v/>
      </c>
      <c r="K109" s="181" t="n">
        <v>68</v>
      </c>
      <c r="L109" s="182" t="n">
        <v>46142</v>
      </c>
      <c r="M109" s="182" t="n">
        <v>46141</v>
      </c>
      <c r="N109" s="179" t="n">
        <v>851.21</v>
      </c>
      <c r="O109" s="182" t="n">
        <v>46142</v>
      </c>
      <c r="P109" s="183" t="n">
        <v>898.78</v>
      </c>
      <c r="Q109" s="184">
        <f>IF(OR(N109="",P109=""),"",ROUND((P109-N109)/N109,4))</f>
        <v/>
      </c>
      <c r="R109" s="177">
        <f>IF(OR(N109="",P109=""),"",IF(Q109&gt;Settings!$B$3/100,"UP",IF(Q109&lt;-Settings!$B$3/100,"DOWN","FLAT")))</f>
        <v/>
      </c>
      <c r="S109" s="177">
        <f>IF(OR(N109="",P109="",J109=""),"",IF(OR(AND(J109="BUY",R109="UP"),AND(J109="SELL",R109="DOWN"),AND(J109="HOLD",R109="FLAT")),"YES","NO"))</f>
        <v/>
      </c>
      <c r="T109" s="176">
        <f>IF(J109="","",IF(J109="BUY",1,IF(J109="SELL",-1,0)))</f>
        <v/>
      </c>
      <c r="U109" s="184">
        <f>IFERROR(IF(OR(J109="",N109="",P109=""),"",IF(T109=0,0,T109*Q109-Settings!$B$4/10000-IF(T109&lt;0,Settings!$B$5/10000,0))),"")</f>
        <v/>
      </c>
      <c r="V109" s="185" t="n"/>
      <c r="W109" s="176">
        <f>IF($K109="","",$K109*60)</f>
        <v/>
      </c>
      <c r="X109" s="186">
        <f>IF($A109="","",$A109&amp;"|"&amp;$C109&amp;"|"&amp;$D109)</f>
        <v/>
      </c>
      <c r="Y109" s="186">
        <f>IFERROR(IF($X109="","",INDEX(LLM_Data_Entry!$H$3:$H$548,MATCH($X109,INDEX(LLM_Data_Entry!$A$3:$A$548&amp;"|"&amp;LLM_Data_Entry!$C$3:$C$548&amp;"|"&amp;LLM_Data_Entry!$D$3:$D$548,0),0))),"")</f>
        <v/>
      </c>
      <c r="Z109" s="186">
        <f>IFERROR(IF($X109="","",INDEX(LLM_Data_Entry!$R$3:$R$548,MATCH($X109,INDEX(LLM_Data_Entry!$A$3:$A$548&amp;"|"&amp;LLM_Data_Entry!$C$3:$C$548&amp;"|"&amp;LLM_Data_Entry!$D$3:$D$548,0),0))),"")</f>
        <v/>
      </c>
      <c r="AA109" s="152" t="n"/>
      <c r="AB109" s="152" t="inlineStr">
        <is>
          <t>release date + stated time in the document (rater worksheet)</t>
        </is>
      </c>
      <c r="AC109" s="152" t="inlineStr">
        <is>
          <t>LLY</t>
        </is>
      </c>
      <c r="AD109" s="152" t="inlineStr">
        <is>
          <t>2026-04-29</t>
        </is>
      </c>
      <c r="AE109" s="152" t="n">
        <v>849.7473</v>
      </c>
      <c r="AF109" s="152" t="inlineStr">
        <is>
          <t>2026-04-30</t>
        </is>
      </c>
      <c r="AG109" s="152" t="n">
        <v>897.2355</v>
      </c>
      <c r="AH109" s="152" t="n">
        <v>0.05588514850647311</v>
      </c>
      <c r="AI109" s="152" t="inlineStr">
        <is>
          <t>UP</t>
        </is>
      </c>
      <c r="AJ109" s="152" t="inlineStr">
        <is>
          <t>YES</t>
        </is>
      </c>
      <c r="AK109" s="152" t="n">
        <v>0.054885</v>
      </c>
      <c r="AL109" s="152">
        <f>IF($A109="","",IFERROR(INDEX(Company_List!$G$3:$G$207,MATCH($A109,Company_List!$A$3:$A$207,0)),"unassigned"))</f>
        <v/>
      </c>
      <c r="AM109" s="152" t="inlineStr">
        <is>
          <t>Phase 2/Eli Lilly/2026-Q1/LLY-2026-Q1-press-release-SEC-EX-99.htm</t>
        </is>
      </c>
      <c r="AN109" s="152" t="inlineStr">
        <is>
          <t>https://www.sec.gov/Archives/edgar/data/59478/000005947826000043/q126lillysalesandearningsp.htm</t>
        </is>
      </c>
      <c r="AO109" s="152" t="inlineStr">
        <is>
          <t>manifest</t>
        </is>
      </c>
      <c r="AP109" s="152">
        <f>IF($A109="","",IF(COUNTIFS(LLM_Data_Entry!$A$3:$A$548,$A109)&gt;0,"YES","NO"))</f>
        <v/>
      </c>
      <c r="AQ109" s="152">
        <f>IF($A109="","",IF(COUNTIFS($A$3:$A109,$A109,$C$3:$C109,$C109,$D$3:$D109,$D109)=1,"YES","NO"))</f>
        <v/>
      </c>
      <c r="AR109" s="152">
        <f>IF($A109="","",IF(AND($C109&amp;"-"&amp;$D109&gt;=Settings!$B$19,$C109&amp;"-"&amp;$D109&lt;=Settings!$B$20),"IN","OUT"))</f>
        <v/>
      </c>
      <c r="AS109" s="152">
        <f>IF($A109="","",IF($F109="Financial Results","financials",IF($F109="Outlook/Guidance","guidance",IF($F109="Transcript Q&amp;A","qanda",IF($F109="","unrecorded",IF($E109="All","full",IF($E109="","unrecorded",LOWER($E109)&amp;" only")))))))</f>
        <v/>
      </c>
      <c r="AT109" s="152">
        <f>IF(AND(OR($J109="BUY",$J109="SELL"),ISNUMBER($U109)),$U109,"")</f>
        <v/>
      </c>
      <c r="AU109" s="152">
        <f>IF(AND(OR($J109="BUY",$J109="SELL"),ISNUMBER($AK109)),$AK109,"")</f>
        <v/>
      </c>
      <c r="AV109" s="152">
        <f>IF(ISNUMBER($AT109),ABS(IF(ISNUMBER($I109),$I109,0)-Settings!$B$24),"")</f>
        <v/>
      </c>
      <c r="AW109" s="152">
        <f>IF(ISNUMBER($AV109),$AV109*$AT109,"")</f>
        <v/>
      </c>
      <c r="AX109" s="152">
        <f>IF(ISNUMBER($AU109),ABS(IF(ISNUMBER($I109),$I109,0)-Settings!$B$24),"")</f>
        <v/>
      </c>
      <c r="AY109" s="152" t="inlineStr">
        <is>
          <t>FROZEN</t>
        </is>
      </c>
      <c r="AZ109" s="152">
        <f>IF($A109="","",IFERROR(INDEX(Company_List!$H$3:$H$207,MATCH($A109,Company_List!$A$3:$A$207,0)),"unassigned"))</f>
        <v/>
      </c>
      <c r="BA109" s="152" t="n"/>
      <c r="BB109" s="152" t="n"/>
      <c r="BC109" s="152">
        <f>IF($A109="","",IF(COUNTIFS($A$3:$A109,$A109,$C$3:$C109,$C109,$D$3:$D109,$D109,$G$3:$G109,$G109)=1,1,0))</f>
        <v/>
      </c>
      <c r="BD109" s="152" t="n"/>
      <c r="BE109" s="152" t="n"/>
      <c r="BF109" s="152" t="n"/>
      <c r="BG109" s="152" t="inlineStr">
        <is>
          <t>no</t>
        </is>
      </c>
      <c r="BH109" s="152" t="n"/>
      <c r="BI109" s="152" t="n"/>
      <c r="BJ109" s="152" t="n"/>
      <c r="BK109" s="152">
        <f>IF(OR($H109&lt;&gt;"Human",$S109="",$J109="",$Y109="",$Z109=""),"",IF(EXACT(UPPER($J109),UPPER($Y109)),1,0))</f>
        <v/>
      </c>
      <c r="BL109" s="152" t="inlineStr">
        <is>
          <t>assumed - no rater record</t>
        </is>
      </c>
      <c r="BM109" s="152" t="n">
        <v>1</v>
      </c>
      <c r="BN109" s="152" t="inlineStr">
        <is>
          <t>not publisher-identified</t>
        </is>
      </c>
      <c r="BO109" s="152" t="inlineStr">
        <is>
          <t>not publisher-identified</t>
        </is>
      </c>
      <c r="BP109" s="152" t="inlineStr">
        <is>
          <t>no</t>
        </is>
      </c>
      <c r="BQ109" s="152" t="inlineStr">
        <is>
          <t>yes</t>
        </is>
      </c>
      <c r="BR109" s="152" t="inlineStr">
        <is>
          <t>filled 11 Aug 2026 from the corpus manifest: the company-quarter holds exactly one document and the manifest carries its release date</t>
        </is>
      </c>
      <c r="BS109" s="152" t="inlineStr">
        <is>
          <t>YES</t>
        </is>
      </c>
      <c r="BT109" s="152" t="n"/>
    </row>
    <row r="110" ht="15" customHeight="1" s="241">
      <c r="A110" s="174" t="inlineStr">
        <is>
          <t>Eli Lilly</t>
        </is>
      </c>
      <c r="B110" s="175">
        <f>IF(A110="","",_xlfn.XLOOKUP(A110, Company_List!$A:$A, Company_List!$B:$B, ""))</f>
        <v/>
      </c>
      <c r="C110" s="176" t="n">
        <v>2025</v>
      </c>
      <c r="D110" s="177" t="inlineStr">
        <is>
          <t>Q3</t>
        </is>
      </c>
      <c r="E110" s="178" t="inlineStr">
        <is>
          <t>All</t>
        </is>
      </c>
      <c r="F110" s="178" t="inlineStr">
        <is>
          <t>All</t>
        </is>
      </c>
      <c r="G110" s="177" t="inlineStr">
        <is>
          <t>David</t>
        </is>
      </c>
      <c r="H110" s="177" t="inlineStr">
        <is>
          <t>Human</t>
        </is>
      </c>
      <c r="I110" s="179" t="n">
        <v>-0.35</v>
      </c>
      <c r="J110" s="180">
        <f>IF(OR(I110="",Settings!$B$6=""),"",IF(I110&gt;Settings!$B$6,"BUY",IF(I110&lt;-Settings!$B$6,"SELL","HOLD")))</f>
        <v/>
      </c>
      <c r="K110" s="181" t="n">
        <v>61</v>
      </c>
      <c r="L110" s="182" t="n">
        <v>45960</v>
      </c>
      <c r="M110" s="182" t="n">
        <v>45959</v>
      </c>
      <c r="N110" s="179" t="n">
        <v>813.53</v>
      </c>
      <c r="O110" s="182" t="n">
        <v>45960</v>
      </c>
      <c r="P110" s="183" t="n">
        <v>837.5</v>
      </c>
      <c r="Q110" s="184">
        <f>IF(OR(N110="",P110=""),"",ROUND((P110-N110)/N110,4))</f>
        <v/>
      </c>
      <c r="R110" s="177">
        <f>IF(OR(N110="",P110=""),"",IF(Q110&gt;Settings!$B$3/100,"UP",IF(Q110&lt;-Settings!$B$3/100,"DOWN","FLAT")))</f>
        <v/>
      </c>
      <c r="S110" s="177">
        <f>IF(OR(N110="",P110="",J110=""),"",IF(OR(AND(J110="BUY",R110="UP"),AND(J110="SELL",R110="DOWN"),AND(J110="HOLD",R110="FLAT")),"YES","NO"))</f>
        <v/>
      </c>
      <c r="T110" s="176">
        <f>IF(J110="","",IF(J110="BUY",1,IF(J110="SELL",-1,0)))</f>
        <v/>
      </c>
      <c r="U110" s="184">
        <f>IFERROR(IF(OR(J110="",N110="",P110=""),"",IF(T110=0,0,T110*Q110-Settings!$B$4/10000-IF(T110&lt;0,Settings!$B$5/10000,0))),"")</f>
        <v/>
      </c>
      <c r="V110" s="185" t="n"/>
      <c r="W110" s="176">
        <f>IF($K110="","",$K110*60)</f>
        <v/>
      </c>
      <c r="X110" s="186">
        <f>IF($A110="","",$A110&amp;"|"&amp;$C110&amp;"|"&amp;$D110)</f>
        <v/>
      </c>
      <c r="Y110" s="186">
        <f>IFERROR(IF($X110="","",INDEX(LLM_Data_Entry!$H$3:$H$548,MATCH($X110,INDEX(LLM_Data_Entry!$A$3:$A$548&amp;"|"&amp;LLM_Data_Entry!$C$3:$C$548&amp;"|"&amp;LLM_Data_Entry!$D$3:$D$548,0),0))),"")</f>
        <v/>
      </c>
      <c r="Z110" s="186">
        <f>IFERROR(IF($X110="","",INDEX(LLM_Data_Entry!$R$3:$R$548,MATCH($X110,INDEX(LLM_Data_Entry!$A$3:$A$548&amp;"|"&amp;LLM_Data_Entry!$C$3:$C$548&amp;"|"&amp;LLM_Data_Entry!$D$3:$D$548,0),0))),"")</f>
        <v/>
      </c>
      <c r="AA110" s="152" t="n"/>
      <c r="AB110" s="152" t="inlineStr">
        <is>
          <t>release date + stated time in the document (rater worksheet)</t>
        </is>
      </c>
      <c r="AC110" s="152" t="inlineStr">
        <is>
          <t>LLY</t>
        </is>
      </c>
      <c r="AD110" s="152" t="inlineStr">
        <is>
          <t>2025-10-29</t>
        </is>
      </c>
      <c r="AE110" s="152" t="n">
        <v>809.5898</v>
      </c>
      <c r="AF110" s="152" t="inlineStr">
        <is>
          <t>2025-10-30</t>
        </is>
      </c>
      <c r="AG110" s="152" t="n">
        <v>833.4437</v>
      </c>
      <c r="AH110" s="152" t="n">
        <v>0.02946411647138618</v>
      </c>
      <c r="AI110" s="152" t="inlineStr">
        <is>
          <t>UP</t>
        </is>
      </c>
      <c r="AJ110" s="152" t="inlineStr">
        <is>
          <t>NO</t>
        </is>
      </c>
      <c r="AK110" s="152" t="n">
        <v>-0.030464</v>
      </c>
      <c r="AL110" s="152">
        <f>IF($A110="","",IFERROR(INDEX(Company_List!$G$3:$G$207,MATCH($A110,Company_List!$A$3:$A$207,0)),"unassigned"))</f>
        <v/>
      </c>
      <c r="AM110" s="152" t="inlineStr">
        <is>
          <t>Phase 2/Eli Lilly/2025-Q3/LLY-2025-Q3-press-release-SEC-EX-99-1.htm</t>
        </is>
      </c>
      <c r="AN110" s="152" t="inlineStr">
        <is>
          <t>https://www.sec.gov/Archives/edgar/data/59478/000005947825000251/q325lillysalesandearningsp.htm</t>
        </is>
      </c>
      <c r="AO110" s="152" t="inlineStr">
        <is>
          <t>manifest</t>
        </is>
      </c>
      <c r="AP110" s="152">
        <f>IF($A110="","",IF(COUNTIFS(LLM_Data_Entry!$A$3:$A$548,$A110)&gt;0,"YES","NO"))</f>
        <v/>
      </c>
      <c r="AQ110" s="152">
        <f>IF($A110="","",IF(COUNTIFS($A$3:$A110,$A110,$C$3:$C110,$C110,$D$3:$D110,$D110)=1,"YES","NO"))</f>
        <v/>
      </c>
      <c r="AR110" s="152">
        <f>IF($A110="","",IF(AND($C110&amp;"-"&amp;$D110&gt;=Settings!$B$19,$C110&amp;"-"&amp;$D110&lt;=Settings!$B$20),"IN","OUT"))</f>
        <v/>
      </c>
      <c r="AS110" s="152">
        <f>IF($A110="","",IF($F110="Financial Results","financials",IF($F110="Outlook/Guidance","guidance",IF($F110="Transcript Q&amp;A","qanda",IF($F110="","unrecorded",IF($E110="All","full",IF($E110="","unrecorded",LOWER($E110)&amp;" only")))))))</f>
        <v/>
      </c>
      <c r="AT110" s="152">
        <f>IF(AND(OR($J110="BUY",$J110="SELL"),ISNUMBER($U110)),$U110,"")</f>
        <v/>
      </c>
      <c r="AU110" s="152">
        <f>IF(AND(OR($J110="BUY",$J110="SELL"),ISNUMBER($AK110)),$AK110,"")</f>
        <v/>
      </c>
      <c r="AV110" s="152">
        <f>IF(ISNUMBER($AT110),ABS(IF(ISNUMBER($I110),$I110,0)-Settings!$B$24),"")</f>
        <v/>
      </c>
      <c r="AW110" s="152">
        <f>IF(ISNUMBER($AV110),$AV110*$AT110,"")</f>
        <v/>
      </c>
      <c r="AX110" s="152">
        <f>IF(ISNUMBER($AU110),ABS(IF(ISNUMBER($I110),$I110,0)-Settings!$B$24),"")</f>
        <v/>
      </c>
      <c r="AY110" s="152" t="inlineStr">
        <is>
          <t>FROZEN</t>
        </is>
      </c>
      <c r="AZ110" s="152">
        <f>IF($A110="","",IFERROR(INDEX(Company_List!$H$3:$H$207,MATCH($A110,Company_List!$A$3:$A$207,0)),"unassigned"))</f>
        <v/>
      </c>
      <c r="BA110" s="152" t="n"/>
      <c r="BB110" s="152" t="n"/>
      <c r="BC110" s="152">
        <f>IF($A110="","",IF(COUNTIFS($A$3:$A110,$A110,$C$3:$C110,$C110,$D$3:$D110,$D110,$G$3:$G110,$G110)=1,1,0))</f>
        <v/>
      </c>
      <c r="BD110" s="152" t="n"/>
      <c r="BE110" s="152" t="n"/>
      <c r="BF110" s="152" t="n"/>
      <c r="BG110" s="152" t="inlineStr">
        <is>
          <t>no</t>
        </is>
      </c>
      <c r="BH110" s="152" t="n"/>
      <c r="BI110" s="152" t="n"/>
      <c r="BJ110" s="152" t="n"/>
      <c r="BK110" s="152">
        <f>IF(OR($H110&lt;&gt;"Human",$S110="",$J110="",$Y110="",$Z110=""),"",IF(EXACT(UPPER($J110),UPPER($Y110)),1,0))</f>
        <v/>
      </c>
      <c r="BL110" s="152" t="inlineStr">
        <is>
          <t>assumed - no rater record</t>
        </is>
      </c>
      <c r="BM110" s="152" t="n">
        <v>1</v>
      </c>
      <c r="BN110" s="152" t="inlineStr">
        <is>
          <t>not publisher-identified</t>
        </is>
      </c>
      <c r="BO110" s="152" t="inlineStr">
        <is>
          <t>not publisher-identified</t>
        </is>
      </c>
      <c r="BP110" s="152" t="inlineStr">
        <is>
          <t>no</t>
        </is>
      </c>
      <c r="BQ110" s="152" t="inlineStr">
        <is>
          <t>yes</t>
        </is>
      </c>
      <c r="BR110" s="152" t="inlineStr">
        <is>
          <t>filled 11 Aug 2026 from the corpus manifest: the company-quarter holds exactly one document and the manifest carries its release date</t>
        </is>
      </c>
      <c r="BS110" s="152" t="inlineStr">
        <is>
          <t>YES</t>
        </is>
      </c>
      <c r="BT110" s="152" t="n"/>
    </row>
    <row r="111" ht="15" customHeight="1" s="241">
      <c r="A111" s="174" t="inlineStr">
        <is>
          <t>Eli Lilly</t>
        </is>
      </c>
      <c r="B111" s="175">
        <f>IF(A111="","",_xlfn.XLOOKUP(A111, Company_List!$A:$A, Company_List!$B:$B, ""))</f>
        <v/>
      </c>
      <c r="C111" s="176" t="n">
        <v>2025</v>
      </c>
      <c r="D111" s="177" t="inlineStr">
        <is>
          <t>Q4</t>
        </is>
      </c>
      <c r="E111" s="178" t="inlineStr">
        <is>
          <t>All</t>
        </is>
      </c>
      <c r="F111" s="178" t="inlineStr">
        <is>
          <t>All</t>
        </is>
      </c>
      <c r="G111" s="177" t="inlineStr">
        <is>
          <t>David</t>
        </is>
      </c>
      <c r="H111" s="177" t="inlineStr">
        <is>
          <t>Human</t>
        </is>
      </c>
      <c r="I111" s="179" t="n">
        <v>0.8</v>
      </c>
      <c r="J111" s="180">
        <f>IF(OR(I111="",Settings!$B$6=""),"",IF(I111&gt;Settings!$B$6,"BUY",IF(I111&lt;-Settings!$B$6,"SELL","HOLD")))</f>
        <v/>
      </c>
      <c r="K111" s="181" t="n">
        <v>57</v>
      </c>
      <c r="L111" s="182" t="n">
        <v>46057</v>
      </c>
      <c r="M111" s="182" t="n">
        <v>46056</v>
      </c>
      <c r="N111" s="179" t="n">
        <v>1003.46</v>
      </c>
      <c r="O111" s="182" t="n">
        <v>46057</v>
      </c>
      <c r="P111" s="183" t="n">
        <v>1075.12</v>
      </c>
      <c r="Q111" s="184">
        <f>IF(OR(N111="",P111=""),"",ROUND((P111-N111)/N111,4))</f>
        <v/>
      </c>
      <c r="R111" s="177">
        <f>IF(OR(N111="",P111=""),"",IF(Q111&gt;Settings!$B$3/100,"UP",IF(Q111&lt;-Settings!$B$3/100,"DOWN","FLAT")))</f>
        <v/>
      </c>
      <c r="S111" s="177">
        <f>IF(OR(N111="",P111="",J111=""),"",IF(OR(AND(J111="BUY",R111="UP"),AND(J111="SELL",R111="DOWN"),AND(J111="HOLD",R111="FLAT")),"YES","NO"))</f>
        <v/>
      </c>
      <c r="T111" s="176">
        <f>IF(J111="","",IF(J111="BUY",1,IF(J111="SELL",-1,0)))</f>
        <v/>
      </c>
      <c r="U111" s="184">
        <f>IFERROR(IF(OR(J111="",N111="",P111=""),"",IF(T111=0,0,T111*Q111-Settings!$B$4/10000-IF(T111&lt;0,Settings!$B$5/10000,0))),"")</f>
        <v/>
      </c>
      <c r="V111" s="185" t="n"/>
      <c r="W111" s="176">
        <f>IF($K111="","",$K111*60)</f>
        <v/>
      </c>
      <c r="X111" s="186">
        <f>IF($A111="","",$A111&amp;"|"&amp;$C111&amp;"|"&amp;$D111)</f>
        <v/>
      </c>
      <c r="Y111" s="186">
        <f>IFERROR(IF($X111="","",INDEX(LLM_Data_Entry!$H$3:$H$548,MATCH($X111,INDEX(LLM_Data_Entry!$A$3:$A$548&amp;"|"&amp;LLM_Data_Entry!$C$3:$C$548&amp;"|"&amp;LLM_Data_Entry!$D$3:$D$548,0),0))),"")</f>
        <v/>
      </c>
      <c r="Z111" s="186">
        <f>IFERROR(IF($X111="","",INDEX(LLM_Data_Entry!$R$3:$R$548,MATCH($X111,INDEX(LLM_Data_Entry!$A$3:$A$548&amp;"|"&amp;LLM_Data_Entry!$C$3:$C$548&amp;"|"&amp;LLM_Data_Entry!$D$3:$D$548,0),0))),"")</f>
        <v/>
      </c>
      <c r="AA111" s="152" t="n"/>
      <c r="AB111" s="152" t="inlineStr">
        <is>
          <t>release date + stated time in the document (rater worksheet)</t>
        </is>
      </c>
      <c r="AC111" s="152" t="inlineStr">
        <is>
          <t>LLY</t>
        </is>
      </c>
      <c r="AD111" s="152" t="inlineStr">
        <is>
          <t>2026-02-03</t>
        </is>
      </c>
      <c r="AE111" s="152" t="n">
        <v>1000.0665</v>
      </c>
      <c r="AF111" s="152" t="inlineStr">
        <is>
          <t>2026-02-04</t>
        </is>
      </c>
      <c r="AG111" s="152" t="n">
        <v>1071.4841</v>
      </c>
      <c r="AH111" s="152" t="n">
        <v>0.07141286038889046</v>
      </c>
      <c r="AI111" s="152" t="inlineStr">
        <is>
          <t>UP</t>
        </is>
      </c>
      <c r="AJ111" s="152" t="inlineStr">
        <is>
          <t>YES</t>
        </is>
      </c>
      <c r="AK111" s="152" t="n">
        <v>0.070413</v>
      </c>
      <c r="AL111" s="152">
        <f>IF($A111="","",IFERROR(INDEX(Company_List!$G$3:$G$207,MATCH($A111,Company_List!$A$3:$A$207,0)),"unassigned"))</f>
        <v/>
      </c>
      <c r="AM111" s="152" t="inlineStr">
        <is>
          <t>Phase 2/Eli Lilly/2025-Q4/LLY-2025-Q4-press-release-SEC-EX-99-1.htm</t>
        </is>
      </c>
      <c r="AN111" s="152" t="inlineStr">
        <is>
          <t>https://www.sec.gov/Archives/edgar/data/59478/000005947826000008/q425lillysalesandearningsp.htm</t>
        </is>
      </c>
      <c r="AO111" s="152" t="inlineStr">
        <is>
          <t>manifest</t>
        </is>
      </c>
      <c r="AP111" s="152">
        <f>IF($A111="","",IF(COUNTIFS(LLM_Data_Entry!$A$3:$A$548,$A111)&gt;0,"YES","NO"))</f>
        <v/>
      </c>
      <c r="AQ111" s="152">
        <f>IF($A111="","",IF(COUNTIFS($A$3:$A111,$A111,$C$3:$C111,$C111,$D$3:$D111,$D111)=1,"YES","NO"))</f>
        <v/>
      </c>
      <c r="AR111" s="152">
        <f>IF($A111="","",IF(AND($C111&amp;"-"&amp;$D111&gt;=Settings!$B$19,$C111&amp;"-"&amp;$D111&lt;=Settings!$B$20),"IN","OUT"))</f>
        <v/>
      </c>
      <c r="AS111" s="152">
        <f>IF($A111="","",IF($F111="Financial Results","financials",IF($F111="Outlook/Guidance","guidance",IF($F111="Transcript Q&amp;A","qanda",IF($F111="","unrecorded",IF($E111="All","full",IF($E111="","unrecorded",LOWER($E111)&amp;" only")))))))</f>
        <v/>
      </c>
      <c r="AT111" s="152">
        <f>IF(AND(OR($J111="BUY",$J111="SELL"),ISNUMBER($U111)),$U111,"")</f>
        <v/>
      </c>
      <c r="AU111" s="152">
        <f>IF(AND(OR($J111="BUY",$J111="SELL"),ISNUMBER($AK111)),$AK111,"")</f>
        <v/>
      </c>
      <c r="AV111" s="152">
        <f>IF(ISNUMBER($AT111),ABS(IF(ISNUMBER($I111),$I111,0)-Settings!$B$24),"")</f>
        <v/>
      </c>
      <c r="AW111" s="152">
        <f>IF(ISNUMBER($AV111),$AV111*$AT111,"")</f>
        <v/>
      </c>
      <c r="AX111" s="152">
        <f>IF(ISNUMBER($AU111),ABS(IF(ISNUMBER($I111),$I111,0)-Settings!$B$24),"")</f>
        <v/>
      </c>
      <c r="AY111" s="152" t="inlineStr">
        <is>
          <t>FROZEN</t>
        </is>
      </c>
      <c r="AZ111" s="152">
        <f>IF($A111="","",IFERROR(INDEX(Company_List!$H$3:$H$207,MATCH($A111,Company_List!$A$3:$A$207,0)),"unassigned"))</f>
        <v/>
      </c>
      <c r="BA111" s="152" t="n"/>
      <c r="BB111" s="152" t="n"/>
      <c r="BC111" s="152">
        <f>IF($A111="","",IF(COUNTIFS($A$3:$A111,$A111,$C$3:$C111,$C111,$D$3:$D111,$D111,$G$3:$G111,$G111)=1,1,0))</f>
        <v/>
      </c>
      <c r="BD111" s="152" t="n"/>
      <c r="BE111" s="152" t="n"/>
      <c r="BF111" s="152" t="n"/>
      <c r="BG111" s="152" t="inlineStr">
        <is>
          <t>no</t>
        </is>
      </c>
      <c r="BH111" s="152" t="n"/>
      <c r="BI111" s="152" t="n"/>
      <c r="BJ111" s="152" t="n"/>
      <c r="BK111" s="152">
        <f>IF(OR($H111&lt;&gt;"Human",$S111="",$J111="",$Y111="",$Z111=""),"",IF(EXACT(UPPER($J111),UPPER($Y111)),1,0))</f>
        <v/>
      </c>
      <c r="BL111" s="152" t="inlineStr">
        <is>
          <t>assumed - no rater record</t>
        </is>
      </c>
      <c r="BM111" s="152" t="n">
        <v>1</v>
      </c>
      <c r="BN111" s="152" t="inlineStr">
        <is>
          <t>not publisher-identified</t>
        </is>
      </c>
      <c r="BO111" s="152" t="inlineStr">
        <is>
          <t>not publisher-identified</t>
        </is>
      </c>
      <c r="BP111" s="152" t="inlineStr">
        <is>
          <t>no</t>
        </is>
      </c>
      <c r="BQ111" s="152" t="inlineStr">
        <is>
          <t>yes</t>
        </is>
      </c>
      <c r="BR111" s="152" t="inlineStr">
        <is>
          <t>filled 11 Aug 2026 from the corpus manifest: the company-quarter holds exactly one document and the manifest carries its release date</t>
        </is>
      </c>
      <c r="BS111" s="152" t="inlineStr">
        <is>
          <t>YES</t>
        </is>
      </c>
      <c r="BT111" s="152" t="n"/>
    </row>
    <row r="112" ht="15" customHeight="1" s="241">
      <c r="A112" s="174" t="inlineStr">
        <is>
          <t>Meta</t>
        </is>
      </c>
      <c r="B112" s="175">
        <f>IF(A112="","",_xlfn.XLOOKUP(A112, Company_List!$A:$A, Company_List!$B:$B, ""))</f>
        <v/>
      </c>
      <c r="C112" s="176" t="n">
        <v>2026</v>
      </c>
      <c r="D112" s="177" t="inlineStr">
        <is>
          <t>Q1</t>
        </is>
      </c>
      <c r="E112" s="178" t="inlineStr">
        <is>
          <t>All</t>
        </is>
      </c>
      <c r="F112" s="178" t="inlineStr">
        <is>
          <t>All</t>
        </is>
      </c>
      <c r="G112" s="177" t="inlineStr">
        <is>
          <t>David</t>
        </is>
      </c>
      <c r="H112" s="177" t="inlineStr">
        <is>
          <t>Human</t>
        </is>
      </c>
      <c r="I112" s="179" t="n">
        <v>0.7</v>
      </c>
      <c r="J112" s="180">
        <f>IF(OR(I112="",Settings!$B$6=""),"",IF(I112&gt;Settings!$B$6,"BUY",IF(I112&lt;-Settings!$B$6,"SELL","HOLD")))</f>
        <v/>
      </c>
      <c r="K112" s="181" t="n">
        <v>46</v>
      </c>
      <c r="L112" s="182" t="n">
        <v>46141</v>
      </c>
      <c r="M112" s="182" t="n">
        <v>46141</v>
      </c>
      <c r="N112" s="179" t="n">
        <v>669.12</v>
      </c>
      <c r="O112" s="182" t="n">
        <v>46142</v>
      </c>
      <c r="P112" s="183" t="n">
        <v>619.3200000000001</v>
      </c>
      <c r="Q112" s="184">
        <f>IF(OR(N112="",P112=""),"",ROUND((P112-N112)/N112,4))</f>
        <v/>
      </c>
      <c r="R112" s="177">
        <f>IF(OR(N112="",P112=""),"",IF(Q112&gt;Settings!$B$3/100,"UP",IF(Q112&lt;-Settings!$B$3/100,"DOWN","FLAT")))</f>
        <v/>
      </c>
      <c r="S112" s="177">
        <f>IF(OR(N112="",P112="",J112=""),"",IF(OR(AND(J112="BUY",R112="UP"),AND(J112="SELL",R112="DOWN"),AND(J112="HOLD",R112="FLAT")),"YES","NO"))</f>
        <v/>
      </c>
      <c r="T112" s="176">
        <f>IF(J112="","",IF(J112="BUY",1,IF(J112="SELL",-1,0)))</f>
        <v/>
      </c>
      <c r="U112" s="184">
        <f>IFERROR(IF(OR(J112="",N112="",P112=""),"",IF(T112=0,0,T112*Q112-Settings!$B$4/10000-IF(T112&lt;0,Settings!$B$5/10000,0))),"")</f>
        <v/>
      </c>
      <c r="V112" s="185" t="n"/>
      <c r="W112" s="176">
        <f>IF($K112="","",$K112*60)</f>
        <v/>
      </c>
      <c r="X112" s="186">
        <f>IF($A112="","",$A112&amp;"|"&amp;$C112&amp;"|"&amp;$D112)</f>
        <v/>
      </c>
      <c r="Y112" s="186">
        <f>IFERROR(IF($X112="","",INDEX(LLM_Data_Entry!$H$3:$H$548,MATCH($X112,INDEX(LLM_Data_Entry!$A$3:$A$548&amp;"|"&amp;LLM_Data_Entry!$C$3:$C$548&amp;"|"&amp;LLM_Data_Entry!$D$3:$D$548,0),0))),"")</f>
        <v/>
      </c>
      <c r="Z112" s="186">
        <f>IFERROR(IF($X112="","",INDEX(LLM_Data_Entry!$R$3:$R$548,MATCH($X112,INDEX(LLM_Data_Entry!$A$3:$A$548&amp;"|"&amp;LLM_Data_Entry!$C$3:$C$548&amp;"|"&amp;LLM_Data_Entry!$D$3:$D$548,0),0))),"")</f>
        <v/>
      </c>
      <c r="AA112" s="152" t="n"/>
      <c r="AB112" s="152" t="inlineStr">
        <is>
          <t>release date + stated time in the document (rater worksheet)</t>
        </is>
      </c>
      <c r="AC112" s="152" t="inlineStr">
        <is>
          <t>META</t>
        </is>
      </c>
      <c r="AD112" s="152" t="inlineStr">
        <is>
          <t>2026-04-29</t>
        </is>
      </c>
      <c r="AE112" s="152" t="n">
        <v>668.5004</v>
      </c>
      <c r="AF112" s="152" t="inlineStr">
        <is>
          <t>2026-04-30</t>
        </is>
      </c>
      <c r="AG112" s="152" t="n">
        <v>618.7465999999999</v>
      </c>
      <c r="AH112" s="152" t="n">
        <v>-0.07442608591111155</v>
      </c>
      <c r="AI112" s="152" t="inlineStr">
        <is>
          <t>DOWN</t>
        </is>
      </c>
      <c r="AJ112" s="152" t="inlineStr">
        <is>
          <t>NO</t>
        </is>
      </c>
      <c r="AK112" s="152" t="n">
        <v>-0.07542600000000001</v>
      </c>
      <c r="AL112" s="152">
        <f>IF($A112="","",IFERROR(INDEX(Company_List!$G$3:$G$207,MATCH($A112,Company_List!$A$3:$A$207,0)),"unassigned"))</f>
        <v/>
      </c>
      <c r="AM112" s="152" t="inlineStr">
        <is>
          <t>Phase 2/META/2026-Q1/META-2026-Q1-press-release-SEC-EX-99-1.htm</t>
        </is>
      </c>
      <c r="AN112" s="152" t="inlineStr">
        <is>
          <t>https://www.sec.gov/Archives/edgar/data/1326801/000162828026028364/meta-03312026xexhibit991.htm</t>
        </is>
      </c>
      <c r="AO112" s="152" t="inlineStr">
        <is>
          <t>manifest</t>
        </is>
      </c>
      <c r="AP112" s="152">
        <f>IF($A112="","",IF(COUNTIFS(LLM_Data_Entry!$A$3:$A$548,$A112)&gt;0,"YES","NO"))</f>
        <v/>
      </c>
      <c r="AQ112" s="152">
        <f>IF($A112="","",IF(COUNTIFS($A$3:$A112,$A112,$C$3:$C112,$C112,$D$3:$D112,$D112)=1,"YES","NO"))</f>
        <v/>
      </c>
      <c r="AR112" s="152">
        <f>IF($A112="","",IF(AND($C112&amp;"-"&amp;$D112&gt;=Settings!$B$19,$C112&amp;"-"&amp;$D112&lt;=Settings!$B$20),"IN","OUT"))</f>
        <v/>
      </c>
      <c r="AS112" s="152">
        <f>IF($A112="","",IF($F112="Financial Results","financials",IF($F112="Outlook/Guidance","guidance",IF($F112="Transcript Q&amp;A","qanda",IF($F112="","unrecorded",IF($E112="All","full",IF($E112="","unrecorded",LOWER($E112)&amp;" only")))))))</f>
        <v/>
      </c>
      <c r="AT112" s="152">
        <f>IF(AND(OR($J112="BUY",$J112="SELL"),ISNUMBER($U112)),$U112,"")</f>
        <v/>
      </c>
      <c r="AU112" s="152">
        <f>IF(AND(OR($J112="BUY",$J112="SELL"),ISNUMBER($AK112)),$AK112,"")</f>
        <v/>
      </c>
      <c r="AV112" s="152">
        <f>IF(ISNUMBER($AT112),ABS(IF(ISNUMBER($I112),$I112,0)-Settings!$B$24),"")</f>
        <v/>
      </c>
      <c r="AW112" s="152">
        <f>IF(ISNUMBER($AV112),$AV112*$AT112,"")</f>
        <v/>
      </c>
      <c r="AX112" s="152">
        <f>IF(ISNUMBER($AU112),ABS(IF(ISNUMBER($I112),$I112,0)-Settings!$B$24),"")</f>
        <v/>
      </c>
      <c r="AY112" s="152" t="inlineStr">
        <is>
          <t>FROZEN</t>
        </is>
      </c>
      <c r="AZ112" s="152">
        <f>IF($A112="","",IFERROR(INDEX(Company_List!$H$3:$H$207,MATCH($A112,Company_List!$A$3:$A$207,0)),"unassigned"))</f>
        <v/>
      </c>
      <c r="BA112" s="152" t="n"/>
      <c r="BB112" s="152" t="n"/>
      <c r="BC112" s="152">
        <f>IF($A112="","",IF(COUNTIFS($A$3:$A112,$A112,$C$3:$C112,$C112,$D$3:$D112,$D112,$G$3:$G112,$G112)=1,1,0))</f>
        <v/>
      </c>
      <c r="BD112" s="152" t="n"/>
      <c r="BE112" s="152" t="n"/>
      <c r="BF112" s="152" t="n"/>
      <c r="BG112" s="152" t="inlineStr">
        <is>
          <t>no</t>
        </is>
      </c>
      <c r="BH112" s="152" t="n"/>
      <c r="BI112" s="152" t="n"/>
      <c r="BJ112" s="152" t="n"/>
      <c r="BK112" s="152">
        <f>IF(OR($H112&lt;&gt;"Human",$S112="",$J112="",$Y112="",$Z112=""),"",IF(EXACT(UPPER($J112),UPPER($Y112)),1,0))</f>
        <v/>
      </c>
      <c r="BL112" s="152" t="inlineStr">
        <is>
          <t>assumed - no rater record</t>
        </is>
      </c>
      <c r="BM112" s="152" t="n">
        <v>1</v>
      </c>
      <c r="BN112" s="152" t="inlineStr">
        <is>
          <t>not publisher-identified</t>
        </is>
      </c>
      <c r="BO112" s="152" t="inlineStr">
        <is>
          <t>not publisher-identified</t>
        </is>
      </c>
      <c r="BP112" s="152" t="inlineStr">
        <is>
          <t>no</t>
        </is>
      </c>
      <c r="BQ112" s="152" t="inlineStr">
        <is>
          <t>yes</t>
        </is>
      </c>
      <c r="BR112" s="152" t="inlineStr">
        <is>
          <t>filled 11 Aug 2026 from the corpus manifest: the company-quarter holds exactly one document and the manifest carries its release date</t>
        </is>
      </c>
      <c r="BS112" s="152" t="inlineStr">
        <is>
          <t>YES</t>
        </is>
      </c>
      <c r="BT112" s="152" t="n"/>
    </row>
    <row r="113" ht="15" customHeight="1" s="241">
      <c r="A113" s="174" t="inlineStr">
        <is>
          <t>Meta</t>
        </is>
      </c>
      <c r="B113" s="175">
        <f>IF(A113="","",_xlfn.XLOOKUP(A113, Company_List!$A:$A, Company_List!$B:$B, ""))</f>
        <v/>
      </c>
      <c r="C113" s="176" t="n">
        <v>2025</v>
      </c>
      <c r="D113" s="177" t="inlineStr">
        <is>
          <t>Q3</t>
        </is>
      </c>
      <c r="E113" s="178" t="inlineStr">
        <is>
          <t>All</t>
        </is>
      </c>
      <c r="F113" s="178" t="inlineStr">
        <is>
          <t>All</t>
        </is>
      </c>
      <c r="G113" s="177" t="inlineStr">
        <is>
          <t>David</t>
        </is>
      </c>
      <c r="H113" s="177" t="inlineStr">
        <is>
          <t>Human</t>
        </is>
      </c>
      <c r="I113" s="179" t="n">
        <v>0.45</v>
      </c>
      <c r="J113" s="180">
        <f>IF(OR(I113="",Settings!$B$6=""),"",IF(I113&gt;Settings!$B$6,"BUY",IF(I113&lt;-Settings!$B$6,"SELL","HOLD")))</f>
        <v/>
      </c>
      <c r="K113" s="181" t="n">
        <v>53</v>
      </c>
      <c r="L113" s="182" t="n">
        <v>45959</v>
      </c>
      <c r="M113" s="182" t="n">
        <v>45959</v>
      </c>
      <c r="N113" s="179" t="n">
        <v>751.67</v>
      </c>
      <c r="O113" s="182" t="n">
        <v>45960</v>
      </c>
      <c r="P113" s="183" t="n">
        <v>669.15</v>
      </c>
      <c r="Q113" s="184">
        <f>IF(OR(N113="",P113=""),"",ROUND((P113-N113)/N113,4))</f>
        <v/>
      </c>
      <c r="R113" s="177">
        <f>IF(OR(N113="",P113=""),"",IF(Q113&gt;Settings!$B$3/100,"UP",IF(Q113&lt;-Settings!$B$3/100,"DOWN","FLAT")))</f>
        <v/>
      </c>
      <c r="S113" s="177">
        <f>IF(OR(N113="",P113="",J113=""),"",IF(OR(AND(J113="BUY",R113="UP"),AND(J113="SELL",R113="DOWN"),AND(J113="HOLD",R113="FLAT")),"YES","NO"))</f>
        <v/>
      </c>
      <c r="T113" s="176">
        <f>IF(J113="","",IF(J113="BUY",1,IF(J113="SELL",-1,0)))</f>
        <v/>
      </c>
      <c r="U113" s="184">
        <f>IFERROR(IF(OR(J113="",N113="",P113=""),"",IF(T113=0,0,T113*Q113-Settings!$B$4/10000-IF(T113&lt;0,Settings!$B$5/10000,0))),"")</f>
        <v/>
      </c>
      <c r="V113" s="185" t="n"/>
      <c r="W113" s="176">
        <f>IF($K113="","",$K113*60)</f>
        <v/>
      </c>
      <c r="X113" s="186">
        <f>IF($A113="","",$A113&amp;"|"&amp;$C113&amp;"|"&amp;$D113)</f>
        <v/>
      </c>
      <c r="Y113" s="186">
        <f>IFERROR(IF($X113="","",INDEX(LLM_Data_Entry!$H$3:$H$548,MATCH($X113,INDEX(LLM_Data_Entry!$A$3:$A$548&amp;"|"&amp;LLM_Data_Entry!$C$3:$C$548&amp;"|"&amp;LLM_Data_Entry!$D$3:$D$548,0),0))),"")</f>
        <v/>
      </c>
      <c r="Z113" s="186">
        <f>IFERROR(IF($X113="","",INDEX(LLM_Data_Entry!$R$3:$R$548,MATCH($X113,INDEX(LLM_Data_Entry!$A$3:$A$548&amp;"|"&amp;LLM_Data_Entry!$C$3:$C$548&amp;"|"&amp;LLM_Data_Entry!$D$3:$D$548,0),0))),"")</f>
        <v/>
      </c>
      <c r="AA113" s="152" t="n"/>
      <c r="AB113" s="152" t="inlineStr">
        <is>
          <t>release date + stated time in the document (rater worksheet)</t>
        </is>
      </c>
      <c r="AC113" s="152" t="inlineStr">
        <is>
          <t>META</t>
        </is>
      </c>
      <c r="AD113" s="152" t="inlineStr">
        <is>
          <t>2025-10-29</t>
        </is>
      </c>
      <c r="AE113" s="152" t="n">
        <v>749.7201</v>
      </c>
      <c r="AF113" s="152" t="inlineStr">
        <is>
          <t>2025-10-30</t>
        </is>
      </c>
      <c r="AG113" s="152" t="n">
        <v>667.4142000000001</v>
      </c>
      <c r="AH113" s="152" t="n">
        <v>-0.1097821761251839</v>
      </c>
      <c r="AI113" s="152" t="inlineStr">
        <is>
          <t>DOWN</t>
        </is>
      </c>
      <c r="AJ113" s="152" t="inlineStr">
        <is>
          <t>NO</t>
        </is>
      </c>
      <c r="AK113" s="152" t="n">
        <v>-0.110782</v>
      </c>
      <c r="AL113" s="152">
        <f>IF($A113="","",IFERROR(INDEX(Company_List!$G$3:$G$207,MATCH($A113,Company_List!$A$3:$A$207,0)),"unassigned"))</f>
        <v/>
      </c>
      <c r="AM113" s="152" t="inlineStr">
        <is>
          <t>Phase 2/META/2025-Q3/META-2025-Q3-press-release-SEC-EX-99-1.htm</t>
        </is>
      </c>
      <c r="AN113" s="152" t="inlineStr">
        <is>
          <t>https://www.sec.gov/Archives/edgar/data/1326801/000162828025047114/meta-09302025xexhibit991.htm</t>
        </is>
      </c>
      <c r="AO113" s="152" t="inlineStr">
        <is>
          <t>manifest</t>
        </is>
      </c>
      <c r="AP113" s="152">
        <f>IF($A113="","",IF(COUNTIFS(LLM_Data_Entry!$A$3:$A$548,$A113)&gt;0,"YES","NO"))</f>
        <v/>
      </c>
      <c r="AQ113" s="152">
        <f>IF($A113="","",IF(COUNTIFS($A$3:$A113,$A113,$C$3:$C113,$C113,$D$3:$D113,$D113)=1,"YES","NO"))</f>
        <v/>
      </c>
      <c r="AR113" s="152">
        <f>IF($A113="","",IF(AND($C113&amp;"-"&amp;$D113&gt;=Settings!$B$19,$C113&amp;"-"&amp;$D113&lt;=Settings!$B$20),"IN","OUT"))</f>
        <v/>
      </c>
      <c r="AS113" s="152">
        <f>IF($A113="","",IF($F113="Financial Results","financials",IF($F113="Outlook/Guidance","guidance",IF($F113="Transcript Q&amp;A","qanda",IF($F113="","unrecorded",IF($E113="All","full",IF($E113="","unrecorded",LOWER($E113)&amp;" only")))))))</f>
        <v/>
      </c>
      <c r="AT113" s="152">
        <f>IF(AND(OR($J113="BUY",$J113="SELL"),ISNUMBER($U113)),$U113,"")</f>
        <v/>
      </c>
      <c r="AU113" s="152">
        <f>IF(AND(OR($J113="BUY",$J113="SELL"),ISNUMBER($AK113)),$AK113,"")</f>
        <v/>
      </c>
      <c r="AV113" s="152">
        <f>IF(ISNUMBER($AT113),ABS(IF(ISNUMBER($I113),$I113,0)-Settings!$B$24),"")</f>
        <v/>
      </c>
      <c r="AW113" s="152">
        <f>IF(ISNUMBER($AV113),$AV113*$AT113,"")</f>
        <v/>
      </c>
      <c r="AX113" s="152">
        <f>IF(ISNUMBER($AU113),ABS(IF(ISNUMBER($I113),$I113,0)-Settings!$B$24),"")</f>
        <v/>
      </c>
      <c r="AY113" s="152" t="inlineStr">
        <is>
          <t>FROZEN</t>
        </is>
      </c>
      <c r="AZ113" s="152">
        <f>IF($A113="","",IFERROR(INDEX(Company_List!$H$3:$H$207,MATCH($A113,Company_List!$A$3:$A$207,0)),"unassigned"))</f>
        <v/>
      </c>
      <c r="BA113" s="152" t="n"/>
      <c r="BB113" s="152" t="n"/>
      <c r="BC113" s="152">
        <f>IF($A113="","",IF(COUNTIFS($A$3:$A113,$A113,$C$3:$C113,$C113,$D$3:$D113,$D113,$G$3:$G113,$G113)=1,1,0))</f>
        <v/>
      </c>
      <c r="BD113" s="152" t="n"/>
      <c r="BE113" s="152" t="n"/>
      <c r="BF113" s="152" t="n"/>
      <c r="BG113" s="152" t="inlineStr">
        <is>
          <t>no</t>
        </is>
      </c>
      <c r="BH113" s="152" t="n"/>
      <c r="BI113" s="152" t="n"/>
      <c r="BJ113" s="152" t="n"/>
      <c r="BK113" s="152">
        <f>IF(OR($H113&lt;&gt;"Human",$S113="",$J113="",$Y113="",$Z113=""),"",IF(EXACT(UPPER($J113),UPPER($Y113)),1,0))</f>
        <v/>
      </c>
      <c r="BL113" s="152" t="inlineStr">
        <is>
          <t>assumed - no rater record</t>
        </is>
      </c>
      <c r="BM113" s="152" t="n">
        <v>1</v>
      </c>
      <c r="BN113" s="152" t="inlineStr">
        <is>
          <t>not publisher-identified</t>
        </is>
      </c>
      <c r="BO113" s="152" t="inlineStr">
        <is>
          <t>not publisher-identified</t>
        </is>
      </c>
      <c r="BP113" s="152" t="inlineStr">
        <is>
          <t>no</t>
        </is>
      </c>
      <c r="BQ113" s="152" t="inlineStr">
        <is>
          <t>yes</t>
        </is>
      </c>
      <c r="BR113" s="152" t="inlineStr">
        <is>
          <t>filled 11 Aug 2026 from the corpus manifest: the company-quarter holds exactly one document and the manifest carries its release date</t>
        </is>
      </c>
      <c r="BS113" s="152" t="inlineStr">
        <is>
          <t>YES</t>
        </is>
      </c>
      <c r="BT113" s="152" t="n"/>
    </row>
    <row r="114" ht="15" customHeight="1" s="241">
      <c r="A114" s="174" t="inlineStr">
        <is>
          <t>Meta</t>
        </is>
      </c>
      <c r="B114" s="175">
        <f>IF(A114="","",_xlfn.XLOOKUP(A114, Company_List!$A:$A, Company_List!$B:$B, ""))</f>
        <v/>
      </c>
      <c r="C114" s="176" t="n">
        <v>2025</v>
      </c>
      <c r="D114" s="177" t="inlineStr">
        <is>
          <t>Q4</t>
        </is>
      </c>
      <c r="E114" s="178" t="inlineStr">
        <is>
          <t>All</t>
        </is>
      </c>
      <c r="F114" s="178" t="inlineStr">
        <is>
          <t>All</t>
        </is>
      </c>
      <c r="G114" s="177" t="inlineStr">
        <is>
          <t>David</t>
        </is>
      </c>
      <c r="H114" s="177" t="inlineStr">
        <is>
          <t>Human</t>
        </is>
      </c>
      <c r="I114" s="179" t="n">
        <v>0.5</v>
      </c>
      <c r="J114" s="180">
        <f>IF(OR(I114="",Settings!$B$6=""),"",IF(I114&gt;Settings!$B$6,"BUY",IF(I114&lt;-Settings!$B$6,"SELL","HOLD")))</f>
        <v/>
      </c>
      <c r="K114" s="181" t="n">
        <v>65</v>
      </c>
      <c r="L114" s="182" t="n">
        <v>46050</v>
      </c>
      <c r="M114" s="182" t="n">
        <v>46050</v>
      </c>
      <c r="N114" s="179" t="n">
        <v>668.73</v>
      </c>
      <c r="O114" s="182" t="n">
        <v>46051</v>
      </c>
      <c r="P114" s="183" t="n">
        <v>737.4299999999999</v>
      </c>
      <c r="Q114" s="184">
        <f>IF(OR(N114="",P114=""),"",ROUND((P114-N114)/N114,4))</f>
        <v/>
      </c>
      <c r="R114" s="177">
        <f>IF(OR(N114="",P114=""),"",IF(Q114&gt;Settings!$B$3/100,"UP",IF(Q114&lt;-Settings!$B$3/100,"DOWN","FLAT")))</f>
        <v/>
      </c>
      <c r="S114" s="177">
        <f>IF(OR(N114="",P114="",J114=""),"",IF(OR(AND(J114="BUY",R114="UP"),AND(J114="SELL",R114="DOWN"),AND(J114="HOLD",R114="FLAT")),"YES","NO"))</f>
        <v/>
      </c>
      <c r="T114" s="176">
        <f>IF(J114="","",IF(J114="BUY",1,IF(J114="SELL",-1,0)))</f>
        <v/>
      </c>
      <c r="U114" s="184">
        <f>IFERROR(IF(OR(J114="",N114="",P114=""),"",IF(T114=0,0,T114*Q114-Settings!$B$4/10000-IF(T114&lt;0,Settings!$B$5/10000,0))),"")</f>
        <v/>
      </c>
      <c r="V114" s="185" t="n"/>
      <c r="W114" s="176">
        <f>IF($K114="","",$K114*60)</f>
        <v/>
      </c>
      <c r="X114" s="186">
        <f>IF($A114="","",$A114&amp;"|"&amp;$C114&amp;"|"&amp;$D114)</f>
        <v/>
      </c>
      <c r="Y114" s="186">
        <f>IFERROR(IF($X114="","",INDEX(LLM_Data_Entry!$H$3:$H$548,MATCH($X114,INDEX(LLM_Data_Entry!$A$3:$A$548&amp;"|"&amp;LLM_Data_Entry!$C$3:$C$548&amp;"|"&amp;LLM_Data_Entry!$D$3:$D$548,0),0))),"")</f>
        <v/>
      </c>
      <c r="Z114" s="186">
        <f>IFERROR(IF($X114="","",INDEX(LLM_Data_Entry!$R$3:$R$548,MATCH($X114,INDEX(LLM_Data_Entry!$A$3:$A$548&amp;"|"&amp;LLM_Data_Entry!$C$3:$C$548&amp;"|"&amp;LLM_Data_Entry!$D$3:$D$548,0),0))),"")</f>
        <v/>
      </c>
      <c r="AA114" s="152" t="n"/>
      <c r="AB114" s="152" t="inlineStr">
        <is>
          <t>release date + stated time in the document (rater worksheet)</t>
        </is>
      </c>
      <c r="AC114" s="152" t="inlineStr">
        <is>
          <t>META</t>
        </is>
      </c>
      <c r="AD114" s="152" t="inlineStr">
        <is>
          <t>2026-01-28</t>
        </is>
      </c>
      <c r="AE114" s="152" t="n">
        <v>667.5392000000001</v>
      </c>
      <c r="AF114" s="152" t="inlineStr">
        <is>
          <t>2026-01-29</t>
        </is>
      </c>
      <c r="AG114" s="152" t="n">
        <v>736.1169</v>
      </c>
      <c r="AH114" s="152" t="n">
        <v>0.102732153378451</v>
      </c>
      <c r="AI114" s="152" t="inlineStr">
        <is>
          <t>UP</t>
        </is>
      </c>
      <c r="AJ114" s="152" t="inlineStr">
        <is>
          <t>YES</t>
        </is>
      </c>
      <c r="AK114" s="152" t="n">
        <v>0.101732</v>
      </c>
      <c r="AL114" s="152">
        <f>IF($A114="","",IFERROR(INDEX(Company_List!$G$3:$G$207,MATCH($A114,Company_List!$A$3:$A$207,0)),"unassigned"))</f>
        <v/>
      </c>
      <c r="AM114" s="152" t="inlineStr">
        <is>
          <t>Phase 2/META/2025-Q4/META-2025-Q4-press-release-SEC-EX-99-1.htm</t>
        </is>
      </c>
      <c r="AN114" s="152" t="inlineStr">
        <is>
          <t>https://www.sec.gov/Archives/edgar/data/1326801/000162828026003832/meta-12312025xexhibit991.htm</t>
        </is>
      </c>
      <c r="AO114" s="152" t="inlineStr">
        <is>
          <t>manifest</t>
        </is>
      </c>
      <c r="AP114" s="152">
        <f>IF($A114="","",IF(COUNTIFS(LLM_Data_Entry!$A$3:$A$548,$A114)&gt;0,"YES","NO"))</f>
        <v/>
      </c>
      <c r="AQ114" s="152">
        <f>IF($A114="","",IF(COUNTIFS($A$3:$A114,$A114,$C$3:$C114,$C114,$D$3:$D114,$D114)=1,"YES","NO"))</f>
        <v/>
      </c>
      <c r="AR114" s="152">
        <f>IF($A114="","",IF(AND($C114&amp;"-"&amp;$D114&gt;=Settings!$B$19,$C114&amp;"-"&amp;$D114&lt;=Settings!$B$20),"IN","OUT"))</f>
        <v/>
      </c>
      <c r="AS114" s="152">
        <f>IF($A114="","",IF($F114="Financial Results","financials",IF($F114="Outlook/Guidance","guidance",IF($F114="Transcript Q&amp;A","qanda",IF($F114="","unrecorded",IF($E114="All","full",IF($E114="","unrecorded",LOWER($E114)&amp;" only")))))))</f>
        <v/>
      </c>
      <c r="AT114" s="152">
        <f>IF(AND(OR($J114="BUY",$J114="SELL"),ISNUMBER($U114)),$U114,"")</f>
        <v/>
      </c>
      <c r="AU114" s="152">
        <f>IF(AND(OR($J114="BUY",$J114="SELL"),ISNUMBER($AK114)),$AK114,"")</f>
        <v/>
      </c>
      <c r="AV114" s="152">
        <f>IF(ISNUMBER($AT114),ABS(IF(ISNUMBER($I114),$I114,0)-Settings!$B$24),"")</f>
        <v/>
      </c>
      <c r="AW114" s="152">
        <f>IF(ISNUMBER($AV114),$AV114*$AT114,"")</f>
        <v/>
      </c>
      <c r="AX114" s="152">
        <f>IF(ISNUMBER($AU114),ABS(IF(ISNUMBER($I114),$I114,0)-Settings!$B$24),"")</f>
        <v/>
      </c>
      <c r="AY114" s="152" t="inlineStr">
        <is>
          <t>FROZEN</t>
        </is>
      </c>
      <c r="AZ114" s="152">
        <f>IF($A114="","",IFERROR(INDEX(Company_List!$H$3:$H$207,MATCH($A114,Company_List!$A$3:$A$207,0)),"unassigned"))</f>
        <v/>
      </c>
      <c r="BA114" s="152" t="n"/>
      <c r="BB114" s="152" t="n"/>
      <c r="BC114" s="152">
        <f>IF($A114="","",IF(COUNTIFS($A$3:$A114,$A114,$C$3:$C114,$C114,$D$3:$D114,$D114,$G$3:$G114,$G114)=1,1,0))</f>
        <v/>
      </c>
      <c r="BD114" s="152" t="n"/>
      <c r="BE114" s="152" t="n"/>
      <c r="BF114" s="152" t="n"/>
      <c r="BG114" s="152" t="inlineStr">
        <is>
          <t>no</t>
        </is>
      </c>
      <c r="BH114" s="152" t="n"/>
      <c r="BI114" s="152" t="n"/>
      <c r="BJ114" s="152" t="n"/>
      <c r="BK114" s="152">
        <f>IF(OR($H114&lt;&gt;"Human",$S114="",$J114="",$Y114="",$Z114=""),"",IF(EXACT(UPPER($J114),UPPER($Y114)),1,0))</f>
        <v/>
      </c>
      <c r="BL114" s="152" t="inlineStr">
        <is>
          <t>assumed - no rater record</t>
        </is>
      </c>
      <c r="BM114" s="152" t="n">
        <v>1</v>
      </c>
      <c r="BN114" s="152" t="inlineStr">
        <is>
          <t>not publisher-identified</t>
        </is>
      </c>
      <c r="BO114" s="152" t="inlineStr">
        <is>
          <t>not publisher-identified</t>
        </is>
      </c>
      <c r="BP114" s="152" t="inlineStr">
        <is>
          <t>no</t>
        </is>
      </c>
      <c r="BQ114" s="152" t="inlineStr">
        <is>
          <t>yes</t>
        </is>
      </c>
      <c r="BR114" s="152" t="inlineStr">
        <is>
          <t>filled 11 Aug 2026 from the corpus manifest: the company-quarter holds exactly one document and the manifest carries its release date</t>
        </is>
      </c>
      <c r="BS114" s="152" t="inlineStr">
        <is>
          <t>YES</t>
        </is>
      </c>
      <c r="BT114" s="152" t="n"/>
    </row>
    <row r="115" ht="15" customHeight="1" s="241">
      <c r="A115" s="174" t="inlineStr">
        <is>
          <t>Tesla</t>
        </is>
      </c>
      <c r="B115" s="175">
        <f>IF(A115="","",_xlfn.XLOOKUP(A115, Company_List!$A:$A, Company_List!$B:$B, ""))</f>
        <v/>
      </c>
      <c r="C115" s="176" t="n">
        <v>2026</v>
      </c>
      <c r="D115" s="177" t="inlineStr">
        <is>
          <t>Q1</t>
        </is>
      </c>
      <c r="E115" s="178" t="inlineStr">
        <is>
          <t>All</t>
        </is>
      </c>
      <c r="F115" s="178" t="inlineStr">
        <is>
          <t>All</t>
        </is>
      </c>
      <c r="G115" s="177" t="inlineStr">
        <is>
          <t>David</t>
        </is>
      </c>
      <c r="H115" s="177" t="inlineStr">
        <is>
          <t>Human</t>
        </is>
      </c>
      <c r="I115" s="179" t="n">
        <v>0.35</v>
      </c>
      <c r="J115" s="180">
        <f>IF(OR(I115="",Settings!$B$6=""),"",IF(I115&gt;Settings!$B$6,"BUY",IF(I115&lt;-Settings!$B$6,"SELL","HOLD")))</f>
        <v/>
      </c>
      <c r="K115" s="181" t="n">
        <v>41</v>
      </c>
      <c r="L115" s="182" t="n">
        <v>46134</v>
      </c>
      <c r="M115" s="182" t="n">
        <v>46134</v>
      </c>
      <c r="N115" s="179" t="n">
        <v>387.51</v>
      </c>
      <c r="O115" s="182" t="n">
        <v>46135</v>
      </c>
      <c r="P115" s="183" t="n">
        <v>375.28</v>
      </c>
      <c r="Q115" s="184">
        <f>IF(OR(N115="",P115=""),"",ROUND((P115-N115)/N115,4))</f>
        <v/>
      </c>
      <c r="R115" s="177">
        <f>IF(OR(N115="",P115=""),"",IF(Q115&gt;Settings!$B$3/100,"UP",IF(Q115&lt;-Settings!$B$3/100,"DOWN","FLAT")))</f>
        <v/>
      </c>
      <c r="S115" s="177">
        <f>IF(OR(N115="",P115="",J115=""),"",IF(OR(AND(J115="BUY",R115="UP"),AND(J115="SELL",R115="DOWN"),AND(J115="HOLD",R115="FLAT")),"YES","NO"))</f>
        <v/>
      </c>
      <c r="T115" s="176">
        <f>IF(J115="","",IF(J115="BUY",1,IF(J115="SELL",-1,0)))</f>
        <v/>
      </c>
      <c r="U115" s="184">
        <f>IFERROR(IF(OR(J115="",N115="",P115=""),"",IF(T115=0,0,T115*Q115-Settings!$B$4/10000-IF(T115&lt;0,Settings!$B$5/10000,0))),"")</f>
        <v/>
      </c>
      <c r="V115" s="185" t="n"/>
      <c r="W115" s="176">
        <f>IF($K115="","",$K115*60)</f>
        <v/>
      </c>
      <c r="X115" s="186">
        <f>IF($A115="","",$A115&amp;"|"&amp;$C115&amp;"|"&amp;$D115)</f>
        <v/>
      </c>
      <c r="Y115" s="186">
        <f>IFERROR(IF($X115="","",INDEX(LLM_Data_Entry!$H$3:$H$548,MATCH($X115,INDEX(LLM_Data_Entry!$A$3:$A$548&amp;"|"&amp;LLM_Data_Entry!$C$3:$C$548&amp;"|"&amp;LLM_Data_Entry!$D$3:$D$548,0),0))),"")</f>
        <v/>
      </c>
      <c r="Z115" s="186">
        <f>IFERROR(IF($X115="","",INDEX(LLM_Data_Entry!$R$3:$R$548,MATCH($X115,INDEX(LLM_Data_Entry!$A$3:$A$548&amp;"|"&amp;LLM_Data_Entry!$C$3:$C$548&amp;"|"&amp;LLM_Data_Entry!$D$3:$D$548,0),0))),"")</f>
        <v/>
      </c>
      <c r="AA115" s="152" t="n"/>
      <c r="AB115" s="152" t="inlineStr">
        <is>
          <t>release date + stated time in the document (rater worksheet)</t>
        </is>
      </c>
      <c r="AC115" s="152" t="inlineStr">
        <is>
          <t>TSLA</t>
        </is>
      </c>
      <c r="AD115" s="152" t="inlineStr">
        <is>
          <t>2026-04-22</t>
        </is>
      </c>
      <c r="AE115" s="152" t="n">
        <v>387.51</v>
      </c>
      <c r="AF115" s="152" t="inlineStr">
        <is>
          <t>2026-04-23</t>
        </is>
      </c>
      <c r="AG115" s="152" t="n">
        <v>375.28</v>
      </c>
      <c r="AH115" s="152" t="n">
        <v>-0.03156050343060827</v>
      </c>
      <c r="AI115" s="152" t="inlineStr">
        <is>
          <t>DOWN</t>
        </is>
      </c>
      <c r="AJ115" s="152" t="inlineStr">
        <is>
          <t>NO</t>
        </is>
      </c>
      <c r="AK115" s="152" t="n">
        <v>-0.032561</v>
      </c>
      <c r="AL115" s="152">
        <f>IF($A115="","",IFERROR(INDEX(Company_List!$G$3:$G$207,MATCH($A115,Company_List!$A$3:$A$207,0)),"unassigned"))</f>
        <v/>
      </c>
      <c r="AM115" s="152" t="inlineStr">
        <is>
          <t>Phase 2/Tesla/2026-Q1/TSLA-2026-Q1-press-release-SEC-EX-99-1.htm</t>
        </is>
      </c>
      <c r="AN115" s="152" t="inlineStr">
        <is>
          <t>https://www.sec.gov/Archives/edgar/data/1318605/000162828026026551/exhibit991.htm</t>
        </is>
      </c>
      <c r="AO115" s="152" t="inlineStr">
        <is>
          <t>manifest</t>
        </is>
      </c>
      <c r="AP115" s="152">
        <f>IF($A115="","",IF(COUNTIFS(LLM_Data_Entry!$A$3:$A$548,$A115)&gt;0,"YES","NO"))</f>
        <v/>
      </c>
      <c r="AQ115" s="152">
        <f>IF($A115="","",IF(COUNTIFS($A$3:$A115,$A115,$C$3:$C115,$C115,$D$3:$D115,$D115)=1,"YES","NO"))</f>
        <v/>
      </c>
      <c r="AR115" s="152">
        <f>IF($A115="","",IF(AND($C115&amp;"-"&amp;$D115&gt;=Settings!$B$19,$C115&amp;"-"&amp;$D115&lt;=Settings!$B$20),"IN","OUT"))</f>
        <v/>
      </c>
      <c r="AS115" s="152">
        <f>IF($A115="","",IF($F115="Financial Results","financials",IF($F115="Outlook/Guidance","guidance",IF($F115="Transcript Q&amp;A","qanda",IF($F115="","unrecorded",IF($E115="All","full",IF($E115="","unrecorded",LOWER($E115)&amp;" only")))))))</f>
        <v/>
      </c>
      <c r="AT115" s="152">
        <f>IF(AND(OR($J115="BUY",$J115="SELL"),ISNUMBER($U115)),$U115,"")</f>
        <v/>
      </c>
      <c r="AU115" s="152">
        <f>IF(AND(OR($J115="BUY",$J115="SELL"),ISNUMBER($AK115)),$AK115,"")</f>
        <v/>
      </c>
      <c r="AV115" s="152">
        <f>IF(ISNUMBER($AT115),ABS(IF(ISNUMBER($I115),$I115,0)-Settings!$B$24),"")</f>
        <v/>
      </c>
      <c r="AW115" s="152">
        <f>IF(ISNUMBER($AV115),$AV115*$AT115,"")</f>
        <v/>
      </c>
      <c r="AX115" s="152">
        <f>IF(ISNUMBER($AU115),ABS(IF(ISNUMBER($I115),$I115,0)-Settings!$B$24),"")</f>
        <v/>
      </c>
      <c r="AY115" s="152" t="inlineStr">
        <is>
          <t>FROZEN</t>
        </is>
      </c>
      <c r="AZ115" s="152">
        <f>IF($A115="","",IFERROR(INDEX(Company_List!$H$3:$H$207,MATCH($A115,Company_List!$A$3:$A$207,0)),"unassigned"))</f>
        <v/>
      </c>
      <c r="BA115" s="152" t="n"/>
      <c r="BB115" s="152" t="n"/>
      <c r="BC115" s="152">
        <f>IF($A115="","",IF(COUNTIFS($A$3:$A115,$A115,$C$3:$C115,$C115,$D$3:$D115,$D115,$G$3:$G115,$G115)=1,1,0))</f>
        <v/>
      </c>
      <c r="BD115" s="152" t="n"/>
      <c r="BE115" s="152" t="n"/>
      <c r="BF115" s="152" t="n"/>
      <c r="BG115" s="152" t="inlineStr">
        <is>
          <t>no</t>
        </is>
      </c>
      <c r="BH115" s="152" t="n"/>
      <c r="BI115" s="152" t="n"/>
      <c r="BJ115" s="152" t="n"/>
      <c r="BK115" s="152">
        <f>IF(OR($H115&lt;&gt;"Human",$S115="",$J115="",$Y115="",$Z115=""),"",IF(EXACT(UPPER($J115),UPPER($Y115)),1,0))</f>
        <v/>
      </c>
      <c r="BL115" s="152" t="inlineStr">
        <is>
          <t>assumed - no rater record</t>
        </is>
      </c>
      <c r="BM115" s="152" t="n">
        <v>1</v>
      </c>
      <c r="BN115" s="152" t="inlineStr">
        <is>
          <t>not publisher-identified</t>
        </is>
      </c>
      <c r="BO115" s="152" t="inlineStr">
        <is>
          <t>not publisher-identified</t>
        </is>
      </c>
      <c r="BP115" s="152" t="inlineStr">
        <is>
          <t>no</t>
        </is>
      </c>
      <c r="BQ115" s="152" t="inlineStr">
        <is>
          <t>yes</t>
        </is>
      </c>
      <c r="BR115" s="152" t="inlineStr">
        <is>
          <t>filled 11 Aug 2026 from the corpus manifest: the company-quarter holds exactly one document and the manifest carries its release date</t>
        </is>
      </c>
      <c r="BS115" s="152" t="inlineStr">
        <is>
          <t>YES</t>
        </is>
      </c>
      <c r="BT115" s="152" t="n"/>
    </row>
    <row r="116" ht="15" customHeight="1" s="241">
      <c r="A116" s="174" t="inlineStr">
        <is>
          <t>Tesla</t>
        </is>
      </c>
      <c r="B116" s="175">
        <f>IF(A116="","",_xlfn.XLOOKUP(A116, Company_List!$A:$A, Company_List!$B:$B, ""))</f>
        <v/>
      </c>
      <c r="C116" s="176" t="n">
        <v>2025</v>
      </c>
      <c r="D116" s="177" t="inlineStr">
        <is>
          <t>Q3</t>
        </is>
      </c>
      <c r="E116" s="178" t="inlineStr">
        <is>
          <t>All</t>
        </is>
      </c>
      <c r="F116" s="178" t="inlineStr">
        <is>
          <t>All</t>
        </is>
      </c>
      <c r="G116" s="177" t="inlineStr">
        <is>
          <t>David</t>
        </is>
      </c>
      <c r="H116" s="177" t="inlineStr">
        <is>
          <t>Human</t>
        </is>
      </c>
      <c r="I116" s="179" t="n">
        <v>0.6</v>
      </c>
      <c r="J116" s="180">
        <f>IF(OR(I116="",Settings!$B$6=""),"",IF(I116&gt;Settings!$B$6,"BUY",IF(I116&lt;-Settings!$B$6,"SELL","HOLD")))</f>
        <v/>
      </c>
      <c r="K116" s="181" t="n">
        <v>60</v>
      </c>
      <c r="L116" s="182" t="n">
        <v>45952</v>
      </c>
      <c r="M116" s="182" t="n">
        <v>45952</v>
      </c>
      <c r="N116" s="179" t="n">
        <v>438.97</v>
      </c>
      <c r="O116" s="182" t="n">
        <v>45953</v>
      </c>
      <c r="P116" s="183" t="n">
        <v>420</v>
      </c>
      <c r="Q116" s="184">
        <f>IF(OR(N116="",P116=""),"",ROUND((P116-N116)/N116,4))</f>
        <v/>
      </c>
      <c r="R116" s="177">
        <f>IF(OR(N116="",P116=""),"",IF(Q116&gt;Settings!$B$3/100,"UP",IF(Q116&lt;-Settings!$B$3/100,"DOWN","FLAT")))</f>
        <v/>
      </c>
      <c r="S116" s="177">
        <f>IF(OR(N116="",P116="",J116=""),"",IF(OR(AND(J116="BUY",R116="UP"),AND(J116="SELL",R116="DOWN"),AND(J116="HOLD",R116="FLAT")),"YES","NO"))</f>
        <v/>
      </c>
      <c r="T116" s="176">
        <f>IF(J116="","",IF(J116="BUY",1,IF(J116="SELL",-1,0)))</f>
        <v/>
      </c>
      <c r="U116" s="184">
        <f>IFERROR(IF(OR(J116="",N116="",P116=""),"",IF(T116=0,0,T116*Q116-Settings!$B$4/10000-IF(T116&lt;0,Settings!$B$5/10000,0))),"")</f>
        <v/>
      </c>
      <c r="V116" s="185" t="n"/>
      <c r="W116" s="176">
        <f>IF($K116="","",$K116*60)</f>
        <v/>
      </c>
      <c r="X116" s="186">
        <f>IF($A116="","",$A116&amp;"|"&amp;$C116&amp;"|"&amp;$D116)</f>
        <v/>
      </c>
      <c r="Y116" s="186">
        <f>IFERROR(IF($X116="","",INDEX(LLM_Data_Entry!$H$3:$H$548,MATCH($X116,INDEX(LLM_Data_Entry!$A$3:$A$548&amp;"|"&amp;LLM_Data_Entry!$C$3:$C$548&amp;"|"&amp;LLM_Data_Entry!$D$3:$D$548,0),0))),"")</f>
        <v/>
      </c>
      <c r="Z116" s="186">
        <f>IFERROR(IF($X116="","",INDEX(LLM_Data_Entry!$R$3:$R$548,MATCH($X116,INDEX(LLM_Data_Entry!$A$3:$A$548&amp;"|"&amp;LLM_Data_Entry!$C$3:$C$548&amp;"|"&amp;LLM_Data_Entry!$D$3:$D$548,0),0))),"")</f>
        <v/>
      </c>
      <c r="AA116" s="152" t="n"/>
      <c r="AB116" s="152" t="inlineStr">
        <is>
          <t>release date + stated time in the document (rater worksheet)</t>
        </is>
      </c>
      <c r="AC116" s="152" t="inlineStr">
        <is>
          <t>TSLA</t>
        </is>
      </c>
      <c r="AD116" s="152" t="inlineStr">
        <is>
          <t>2025-10-22</t>
        </is>
      </c>
      <c r="AE116" s="152" t="n">
        <v>438.97</v>
      </c>
      <c r="AF116" s="152" t="inlineStr">
        <is>
          <t>2025-10-23</t>
        </is>
      </c>
      <c r="AG116" s="152" t="n">
        <v>420</v>
      </c>
      <c r="AH116" s="152" t="n">
        <v>-0.04321480045740079</v>
      </c>
      <c r="AI116" s="152" t="inlineStr">
        <is>
          <t>DOWN</t>
        </is>
      </c>
      <c r="AJ116" s="152" t="inlineStr">
        <is>
          <t>NO</t>
        </is>
      </c>
      <c r="AK116" s="152" t="n">
        <v>-0.044215</v>
      </c>
      <c r="AL116" s="152">
        <f>IF($A116="","",IFERROR(INDEX(Company_List!$G$3:$G$207,MATCH($A116,Company_List!$A$3:$A$207,0)),"unassigned"))</f>
        <v/>
      </c>
      <c r="AM116" s="152" t="inlineStr">
        <is>
          <t>Phase 2/Tesla/2025-Q3/TSLA-2025-Q3-press-release-SEC-EX-99-1.htm</t>
        </is>
      </c>
      <c r="AN116" s="152" t="inlineStr">
        <is>
          <t>https://www.sec.gov/Archives/edgar/data/1318605/000162828025045861/exhibit991.htm</t>
        </is>
      </c>
      <c r="AO116" s="152" t="inlineStr">
        <is>
          <t>manifest</t>
        </is>
      </c>
      <c r="AP116" s="152">
        <f>IF($A116="","",IF(COUNTIFS(LLM_Data_Entry!$A$3:$A$548,$A116)&gt;0,"YES","NO"))</f>
        <v/>
      </c>
      <c r="AQ116" s="152">
        <f>IF($A116="","",IF(COUNTIFS($A$3:$A116,$A116,$C$3:$C116,$C116,$D$3:$D116,$D116)=1,"YES","NO"))</f>
        <v/>
      </c>
      <c r="AR116" s="152">
        <f>IF($A116="","",IF(AND($C116&amp;"-"&amp;$D116&gt;=Settings!$B$19,$C116&amp;"-"&amp;$D116&lt;=Settings!$B$20),"IN","OUT"))</f>
        <v/>
      </c>
      <c r="AS116" s="152">
        <f>IF($A116="","",IF($F116="Financial Results","financials",IF($F116="Outlook/Guidance","guidance",IF($F116="Transcript Q&amp;A","qanda",IF($F116="","unrecorded",IF($E116="All","full",IF($E116="","unrecorded",LOWER($E116)&amp;" only")))))))</f>
        <v/>
      </c>
      <c r="AT116" s="152">
        <f>IF(AND(OR($J116="BUY",$J116="SELL"),ISNUMBER($U116)),$U116,"")</f>
        <v/>
      </c>
      <c r="AU116" s="152">
        <f>IF(AND(OR($J116="BUY",$J116="SELL"),ISNUMBER($AK116)),$AK116,"")</f>
        <v/>
      </c>
      <c r="AV116" s="152">
        <f>IF(ISNUMBER($AT116),ABS(IF(ISNUMBER($I116),$I116,0)-Settings!$B$24),"")</f>
        <v/>
      </c>
      <c r="AW116" s="152">
        <f>IF(ISNUMBER($AV116),$AV116*$AT116,"")</f>
        <v/>
      </c>
      <c r="AX116" s="152">
        <f>IF(ISNUMBER($AU116),ABS(IF(ISNUMBER($I116),$I116,0)-Settings!$B$24),"")</f>
        <v/>
      </c>
      <c r="AY116" s="152" t="inlineStr">
        <is>
          <t>FROZEN</t>
        </is>
      </c>
      <c r="AZ116" s="152">
        <f>IF($A116="","",IFERROR(INDEX(Company_List!$H$3:$H$207,MATCH($A116,Company_List!$A$3:$A$207,0)),"unassigned"))</f>
        <v/>
      </c>
      <c r="BA116" s="152" t="n"/>
      <c r="BB116" s="152" t="n"/>
      <c r="BC116" s="152">
        <f>IF($A116="","",IF(COUNTIFS($A$3:$A116,$A116,$C$3:$C116,$C116,$D$3:$D116,$D116,$G$3:$G116,$G116)=1,1,0))</f>
        <v/>
      </c>
      <c r="BD116" s="152" t="n"/>
      <c r="BE116" s="152" t="n"/>
      <c r="BF116" s="152" t="n"/>
      <c r="BG116" s="152" t="inlineStr">
        <is>
          <t>no</t>
        </is>
      </c>
      <c r="BH116" s="152" t="n"/>
      <c r="BI116" s="152" t="n"/>
      <c r="BJ116" s="152" t="n"/>
      <c r="BK116" s="152">
        <f>IF(OR($H116&lt;&gt;"Human",$S116="",$J116="",$Y116="",$Z116=""),"",IF(EXACT(UPPER($J116),UPPER($Y116)),1,0))</f>
        <v/>
      </c>
      <c r="BL116" s="152" t="inlineStr">
        <is>
          <t>assumed - no rater record</t>
        </is>
      </c>
      <c r="BM116" s="152" t="n">
        <v>1</v>
      </c>
      <c r="BN116" s="152" t="inlineStr">
        <is>
          <t>not publisher-identified</t>
        </is>
      </c>
      <c r="BO116" s="152" t="inlineStr">
        <is>
          <t>not publisher-identified</t>
        </is>
      </c>
      <c r="BP116" s="152" t="inlineStr">
        <is>
          <t>no</t>
        </is>
      </c>
      <c r="BQ116" s="152" t="inlineStr">
        <is>
          <t>yes</t>
        </is>
      </c>
      <c r="BR116" s="152" t="inlineStr">
        <is>
          <t>filled 11 Aug 2026 from the corpus manifest: the company-quarter holds exactly one document and the manifest carries its release date</t>
        </is>
      </c>
      <c r="BS116" s="152" t="inlineStr">
        <is>
          <t>YES</t>
        </is>
      </c>
      <c r="BT116" s="152" t="n"/>
    </row>
    <row r="117" ht="15" customHeight="1" s="241">
      <c r="A117" s="174" t="inlineStr">
        <is>
          <t>Tesla</t>
        </is>
      </c>
      <c r="B117" s="175">
        <f>IF(A117="","",_xlfn.XLOOKUP(A117, Company_List!$A:$A, Company_List!$B:$B, ""))</f>
        <v/>
      </c>
      <c r="C117" s="176" t="n">
        <v>2025</v>
      </c>
      <c r="D117" s="177" t="inlineStr">
        <is>
          <t>Q4</t>
        </is>
      </c>
      <c r="E117" s="178" t="inlineStr">
        <is>
          <t>All</t>
        </is>
      </c>
      <c r="F117" s="178" t="inlineStr">
        <is>
          <t>All</t>
        </is>
      </c>
      <c r="G117" s="177" t="inlineStr">
        <is>
          <t>David</t>
        </is>
      </c>
      <c r="H117" s="177" t="inlineStr">
        <is>
          <t>Human</t>
        </is>
      </c>
      <c r="I117" s="179" t="n">
        <v>0.6</v>
      </c>
      <c r="J117" s="180">
        <f>IF(OR(I117="",Settings!$B$6=""),"",IF(I117&gt;Settings!$B$6,"BUY",IF(I117&lt;-Settings!$B$6,"SELL","HOLD")))</f>
        <v/>
      </c>
      <c r="K117" s="181" t="n">
        <v>50</v>
      </c>
      <c r="L117" s="182" t="n">
        <v>46050</v>
      </c>
      <c r="M117" s="182" t="n">
        <v>46050</v>
      </c>
      <c r="N117" s="179" t="n">
        <v>431.46</v>
      </c>
      <c r="O117" s="182" t="n">
        <v>46051</v>
      </c>
      <c r="P117" s="183" t="n">
        <v>437.8</v>
      </c>
      <c r="Q117" s="184">
        <f>IF(OR(N117="",P117=""),"",ROUND((P117-N117)/N117,4))</f>
        <v/>
      </c>
      <c r="R117" s="177">
        <f>IF(OR(N117="",P117=""),"",IF(Q117&gt;Settings!$B$3/100,"UP",IF(Q117&lt;-Settings!$B$3/100,"DOWN","FLAT")))</f>
        <v/>
      </c>
      <c r="S117" s="177">
        <f>IF(OR(N117="",P117="",J117=""),"",IF(OR(AND(J117="BUY",R117="UP"),AND(J117="SELL",R117="DOWN"),AND(J117="HOLD",R117="FLAT")),"YES","NO"))</f>
        <v/>
      </c>
      <c r="T117" s="176">
        <f>IF(J117="","",IF(J117="BUY",1,IF(J117="SELL",-1,0)))</f>
        <v/>
      </c>
      <c r="U117" s="184">
        <f>IFERROR(IF(OR(J117="",N117="",P117=""),"",IF(T117=0,0,T117*Q117-Settings!$B$4/10000-IF(T117&lt;0,Settings!$B$5/10000,0))),"")</f>
        <v/>
      </c>
      <c r="V117" s="185" t="n"/>
      <c r="W117" s="176">
        <f>IF($K117="","",$K117*60)</f>
        <v/>
      </c>
      <c r="X117" s="186">
        <f>IF($A117="","",$A117&amp;"|"&amp;$C117&amp;"|"&amp;$D117)</f>
        <v/>
      </c>
      <c r="Y117" s="186">
        <f>IFERROR(IF($X117="","",INDEX(LLM_Data_Entry!$H$3:$H$548,MATCH($X117,INDEX(LLM_Data_Entry!$A$3:$A$548&amp;"|"&amp;LLM_Data_Entry!$C$3:$C$548&amp;"|"&amp;LLM_Data_Entry!$D$3:$D$548,0),0))),"")</f>
        <v/>
      </c>
      <c r="Z117" s="186">
        <f>IFERROR(IF($X117="","",INDEX(LLM_Data_Entry!$R$3:$R$548,MATCH($X117,INDEX(LLM_Data_Entry!$A$3:$A$548&amp;"|"&amp;LLM_Data_Entry!$C$3:$C$548&amp;"|"&amp;LLM_Data_Entry!$D$3:$D$548,0),0))),"")</f>
        <v/>
      </c>
      <c r="AA117" s="152" t="n"/>
      <c r="AB117" s="152" t="inlineStr">
        <is>
          <t>release date + stated time in the document (rater worksheet)</t>
        </is>
      </c>
      <c r="AC117" s="152" t="inlineStr">
        <is>
          <t>TSLA</t>
        </is>
      </c>
      <c r="AD117" s="152" t="inlineStr">
        <is>
          <t>2026-01-28</t>
        </is>
      </c>
      <c r="AE117" s="152" t="n">
        <v>431.46</v>
      </c>
      <c r="AF117" s="152" t="inlineStr">
        <is>
          <t>2026-01-29</t>
        </is>
      </c>
      <c r="AG117" s="152" t="n">
        <v>437.8</v>
      </c>
      <c r="AH117" s="152" t="n">
        <v>0.01469428714654561</v>
      </c>
      <c r="AI117" s="152" t="inlineStr">
        <is>
          <t>FLAT</t>
        </is>
      </c>
      <c r="AJ117" s="152" t="inlineStr">
        <is>
          <t>NO</t>
        </is>
      </c>
      <c r="AK117" s="152" t="n">
        <v>0.013694</v>
      </c>
      <c r="AL117" s="152">
        <f>IF($A117="","",IFERROR(INDEX(Company_List!$G$3:$G$207,MATCH($A117,Company_List!$A$3:$A$207,0)),"unassigned"))</f>
        <v/>
      </c>
      <c r="AM117" s="152" t="inlineStr">
        <is>
          <t>Phase 2/Tesla/2025-Q4/TSLA-2025-Q4-press-release-SEC-EX-99-1.htm</t>
        </is>
      </c>
      <c r="AN117" s="152" t="inlineStr">
        <is>
          <t>https://www.sec.gov/Archives/edgar/data/1318605/000162828026003837/exhibit991.htm</t>
        </is>
      </c>
      <c r="AO117" s="152" t="inlineStr">
        <is>
          <t>manifest</t>
        </is>
      </c>
      <c r="AP117" s="152">
        <f>IF($A117="","",IF(COUNTIFS(LLM_Data_Entry!$A$3:$A$548,$A117)&gt;0,"YES","NO"))</f>
        <v/>
      </c>
      <c r="AQ117" s="152">
        <f>IF($A117="","",IF(COUNTIFS($A$3:$A117,$A117,$C$3:$C117,$C117,$D$3:$D117,$D117)=1,"YES","NO"))</f>
        <v/>
      </c>
      <c r="AR117" s="152">
        <f>IF($A117="","",IF(AND($C117&amp;"-"&amp;$D117&gt;=Settings!$B$19,$C117&amp;"-"&amp;$D117&lt;=Settings!$B$20),"IN","OUT"))</f>
        <v/>
      </c>
      <c r="AS117" s="152">
        <f>IF($A117="","",IF($F117="Financial Results","financials",IF($F117="Outlook/Guidance","guidance",IF($F117="Transcript Q&amp;A","qanda",IF($F117="","unrecorded",IF($E117="All","full",IF($E117="","unrecorded",LOWER($E117)&amp;" only")))))))</f>
        <v/>
      </c>
      <c r="AT117" s="152">
        <f>IF(AND(OR($J117="BUY",$J117="SELL"),ISNUMBER($U117)),$U117,"")</f>
        <v/>
      </c>
      <c r="AU117" s="152">
        <f>IF(AND(OR($J117="BUY",$J117="SELL"),ISNUMBER($AK117)),$AK117,"")</f>
        <v/>
      </c>
      <c r="AV117" s="152">
        <f>IF(ISNUMBER($AT117),ABS(IF(ISNUMBER($I117),$I117,0)-Settings!$B$24),"")</f>
        <v/>
      </c>
      <c r="AW117" s="152">
        <f>IF(ISNUMBER($AV117),$AV117*$AT117,"")</f>
        <v/>
      </c>
      <c r="AX117" s="152">
        <f>IF(ISNUMBER($AU117),ABS(IF(ISNUMBER($I117),$I117,0)-Settings!$B$24),"")</f>
        <v/>
      </c>
      <c r="AY117" s="152" t="inlineStr">
        <is>
          <t>FROZEN</t>
        </is>
      </c>
      <c r="AZ117" s="152">
        <f>IF($A117="","",IFERROR(INDEX(Company_List!$H$3:$H$207,MATCH($A117,Company_List!$A$3:$A$207,0)),"unassigned"))</f>
        <v/>
      </c>
      <c r="BA117" s="152" t="n"/>
      <c r="BB117" s="152" t="n"/>
      <c r="BC117" s="152">
        <f>IF($A117="","",IF(COUNTIFS($A$3:$A117,$A117,$C$3:$C117,$C117,$D$3:$D117,$D117,$G$3:$G117,$G117)=1,1,0))</f>
        <v/>
      </c>
      <c r="BD117" s="152" t="n"/>
      <c r="BE117" s="152" t="n"/>
      <c r="BF117" s="152" t="n"/>
      <c r="BG117" s="152" t="inlineStr">
        <is>
          <t>no</t>
        </is>
      </c>
      <c r="BH117" s="152" t="n"/>
      <c r="BI117" s="152" t="n"/>
      <c r="BJ117" s="152" t="n"/>
      <c r="BK117" s="152">
        <f>IF(OR($H117&lt;&gt;"Human",$S117="",$J117="",$Y117="",$Z117=""),"",IF(EXACT(UPPER($J117),UPPER($Y117)),1,0))</f>
        <v/>
      </c>
      <c r="BL117" s="152" t="inlineStr">
        <is>
          <t>assumed - no rater record</t>
        </is>
      </c>
      <c r="BM117" s="152" t="n">
        <v>1</v>
      </c>
      <c r="BN117" s="152" t="inlineStr">
        <is>
          <t>not publisher-identified</t>
        </is>
      </c>
      <c r="BO117" s="152" t="inlineStr">
        <is>
          <t>not publisher-identified</t>
        </is>
      </c>
      <c r="BP117" s="152" t="inlineStr">
        <is>
          <t>no</t>
        </is>
      </c>
      <c r="BQ117" s="152" t="inlineStr">
        <is>
          <t>yes</t>
        </is>
      </c>
      <c r="BR117" s="152" t="inlineStr">
        <is>
          <t>filled 11 Aug 2026 from the corpus manifest: the company-quarter holds exactly one document and the manifest carries its release date</t>
        </is>
      </c>
      <c r="BS117" s="152" t="inlineStr">
        <is>
          <t>YES</t>
        </is>
      </c>
      <c r="BT117" s="152" t="n"/>
    </row>
    <row r="118" ht="15" customHeight="1" s="241">
      <c r="A118" s="174" t="inlineStr">
        <is>
          <t>Pfizer</t>
        </is>
      </c>
      <c r="B118" s="175">
        <f>IF(A118="","",_xlfn.XLOOKUP(A118, Company_List!$A:$A, Company_List!$B:$B, ""))</f>
        <v/>
      </c>
      <c r="C118" s="176" t="n">
        <v>2025</v>
      </c>
      <c r="D118" s="177" t="inlineStr">
        <is>
          <t>Q1</t>
        </is>
      </c>
      <c r="E118" s="178" t="inlineStr">
        <is>
          <t>Transcript</t>
        </is>
      </c>
      <c r="F118" s="178" t="inlineStr">
        <is>
          <t>All</t>
        </is>
      </c>
      <c r="G118" s="177" t="inlineStr">
        <is>
          <t>Abdul</t>
        </is>
      </c>
      <c r="H118" s="177" t="inlineStr">
        <is>
          <t>Human</t>
        </is>
      </c>
      <c r="I118" s="179" t="n">
        <v>-0.3</v>
      </c>
      <c r="J118" s="180">
        <f>IF(OR(I118="",Settings!$B$6=""),"",IF(I118&gt;Settings!$B$6,"BUY",IF(I118&lt;-Settings!$B$6,"SELL","HOLD")))</f>
        <v/>
      </c>
      <c r="K118" s="181" t="n">
        <v>55</v>
      </c>
      <c r="L118" s="182" t="n">
        <v>45776</v>
      </c>
      <c r="M118" s="182" t="n">
        <v>45775</v>
      </c>
      <c r="N118" s="179" t="n">
        <v>23.05</v>
      </c>
      <c r="O118" s="182" t="n">
        <v>45776</v>
      </c>
      <c r="P118" s="183" t="n">
        <v>22.83</v>
      </c>
      <c r="Q118" s="184">
        <f>IF(OR(N118="",P118=""),"",ROUND((P118-N118)/N118,4))</f>
        <v/>
      </c>
      <c r="R118" s="177">
        <f>IF(OR(N118="",P118=""),"",IF(Q118&gt;Settings!$B$3/100,"UP",IF(Q118&lt;-Settings!$B$3/100,"DOWN","FLAT")))</f>
        <v/>
      </c>
      <c r="S118" s="177">
        <f>IF(OR(N118="",P118="",J118=""),"",IF(OR(AND(J118="BUY",R118="UP"),AND(J118="SELL",R118="DOWN"),AND(J118="HOLD",R118="FLAT")),"YES","NO"))</f>
        <v/>
      </c>
      <c r="T118" s="176">
        <f>IF(J118="","",IF(J118="BUY",1,IF(J118="SELL",-1,0)))</f>
        <v/>
      </c>
      <c r="U118" s="184">
        <f>IFERROR(IF(OR(J118="",N118="",P118=""),"",IF(T118=0,0,T118*Q118-Settings!$B$4/10000-IF(T118&lt;0,Settings!$B$5/10000,0))),"")</f>
        <v/>
      </c>
      <c r="V118" s="185" t="n"/>
      <c r="W118" s="176">
        <f>IF($K118="","",$K118*60)</f>
        <v/>
      </c>
      <c r="X118" s="186">
        <f>IF($A118="","",$A118&amp;"|"&amp;$C118&amp;"|"&amp;$D118)</f>
        <v/>
      </c>
      <c r="Y118" s="186">
        <f>IFERROR(IF($X118="","",INDEX(LLM_Data_Entry!$H$3:$H$548,MATCH($X118,INDEX(LLM_Data_Entry!$A$3:$A$548&amp;"|"&amp;LLM_Data_Entry!$C$3:$C$548&amp;"|"&amp;LLM_Data_Entry!$D$3:$D$548,0),0))),"")</f>
        <v/>
      </c>
      <c r="Z118" s="186">
        <f>IFERROR(IF($X118="","",INDEX(LLM_Data_Entry!$R$3:$R$548,MATCH($X118,INDEX(LLM_Data_Entry!$A$3:$A$548&amp;"|"&amp;LLM_Data_Entry!$C$3:$C$548&amp;"|"&amp;LLM_Data_Entry!$D$3:$D$548,0),0))),"")</f>
        <v/>
      </c>
      <c r="AA118" s="152" t="n"/>
      <c r="AB118" s="152" t="inlineStr">
        <is>
          <t>earnings calendar, seconded independently</t>
        </is>
      </c>
      <c r="AC118" s="152" t="inlineStr">
        <is>
          <t>PFE</t>
        </is>
      </c>
      <c r="AD118" s="152" t="inlineStr">
        <is>
          <t>2025-04-28</t>
        </is>
      </c>
      <c r="AE118" s="152" t="n">
        <v>20.7777</v>
      </c>
      <c r="AF118" s="152" t="inlineStr">
        <is>
          <t>2025-04-29</t>
        </is>
      </c>
      <c r="AG118" s="152" t="n">
        <v>20.5793</v>
      </c>
      <c r="AH118" s="152" t="n">
        <v>-0.009544570031988756</v>
      </c>
      <c r="AI118" s="152" t="inlineStr">
        <is>
          <t>FLAT</t>
        </is>
      </c>
      <c r="AJ118" s="152" t="inlineStr">
        <is>
          <t>NO</t>
        </is>
      </c>
      <c r="AK118" s="152" t="n">
        <v>0.008545000000000001</v>
      </c>
      <c r="AL118" s="152">
        <f>IF($A118="","",IFERROR(INDEX(Company_List!$G$3:$G$207,MATCH($A118,Company_List!$A$3:$A$207,0)),"unassigned"))</f>
        <v/>
      </c>
      <c r="AM118" s="152" t="inlineStr">
        <is>
          <t>Phase 2/Pfizer/PFE-USQ_Transcript_2025-04-29.pdf</t>
        </is>
      </c>
      <c r="AN118" s="152" t="n"/>
      <c r="AO118" s="152" t="inlineStr">
        <is>
          <t>unique filename match</t>
        </is>
      </c>
      <c r="AP118" s="152">
        <f>IF($A118="","",IF(COUNTIFS(LLM_Data_Entry!$A$3:$A$548,$A118)&gt;0,"YES","NO"))</f>
        <v/>
      </c>
      <c r="AQ118" s="152">
        <f>IF($A118="","",IF(COUNTIFS($A$3:$A118,$A118,$C$3:$C118,$C118,$D$3:$D118,$D118)=1,"YES","NO"))</f>
        <v/>
      </c>
      <c r="AR118" s="152">
        <f>IF($A118="","",IF(AND($C118&amp;"-"&amp;$D118&gt;=Settings!$B$19,$C118&amp;"-"&amp;$D118&lt;=Settings!$B$20),"IN","OUT"))</f>
        <v/>
      </c>
      <c r="AS118" s="152">
        <f>IF($A118="","",IF($F118="Financial Results","financials",IF($F118="Outlook/Guidance","guidance",IF($F118="Transcript Q&amp;A","qanda",IF($F118="","unrecorded",IF($E118="All","full",IF($E118="","unrecorded",LOWER($E118)&amp;" only")))))))</f>
        <v/>
      </c>
      <c r="AT118" s="152">
        <f>IF(AND(OR($J118="BUY",$J118="SELL"),ISNUMBER($U118)),$U118,"")</f>
        <v/>
      </c>
      <c r="AU118" s="152">
        <f>IF(AND(OR($J118="BUY",$J118="SELL"),ISNUMBER($AK118)),$AK118,"")</f>
        <v/>
      </c>
      <c r="AV118" s="152">
        <f>IF(ISNUMBER($AT118),ABS(IF(ISNUMBER($I118),$I118,0)-Settings!$B$24),"")</f>
        <v/>
      </c>
      <c r="AW118" s="152">
        <f>IF(ISNUMBER($AV118),$AV118*$AT118,"")</f>
        <v/>
      </c>
      <c r="AX118" s="152">
        <f>IF(ISNUMBER($AU118),ABS(IF(ISNUMBER($I118),$I118,0)-Settings!$B$24),"")</f>
        <v/>
      </c>
      <c r="AY118" s="152" t="inlineStr">
        <is>
          <t>FROZEN</t>
        </is>
      </c>
      <c r="AZ118" s="152">
        <f>IF($A118="","",IFERROR(INDEX(Company_List!$H$3:$H$207,MATCH($A118,Company_List!$A$3:$A$207,0)),"unassigned"))</f>
        <v/>
      </c>
      <c r="BA118" s="152" t="n"/>
      <c r="BB118" s="152" t="n"/>
      <c r="BC118" s="152">
        <f>IF($A118="","",IF(COUNTIFS($A$3:$A118,$A118,$C$3:$C118,$C118,$D$3:$D118,$D118,$G$3:$G118,$G118)=1,1,0))</f>
        <v/>
      </c>
      <c r="BD118" s="152" t="n"/>
      <c r="BE118" s="152" t="n"/>
      <c r="BF118" s="152" t="n"/>
      <c r="BG118" s="152" t="inlineStr">
        <is>
          <t>no</t>
        </is>
      </c>
      <c r="BH118" s="152" t="n"/>
      <c r="BI118" s="152" t="n"/>
      <c r="BJ118" s="152" t="n"/>
      <c r="BK118" s="152">
        <f>IF(OR($H118&lt;&gt;"Human",$S118="",$J118="",$Y118="",$Z118=""),"",IF(EXACT(UPPER($J118),UPPER($Y118)),1,0))</f>
        <v/>
      </c>
      <c r="BL118" s="152" t="inlineStr">
        <is>
          <t>assumed - no rater record</t>
        </is>
      </c>
      <c r="BM118" s="152" t="n">
        <v>1</v>
      </c>
      <c r="BN118" s="152" t="inlineStr">
        <is>
          <t>Refinitiv / LSEG StreetEvents</t>
        </is>
      </c>
      <c r="BO118" s="152" t="inlineStr">
        <is>
          <t>licensed vendor</t>
        </is>
      </c>
      <c r="BP118" s="152" t="inlineStr">
        <is>
          <t>no</t>
        </is>
      </c>
      <c r="BQ118" s="152" t="inlineStr">
        <is>
          <t>no</t>
        </is>
      </c>
      <c r="BR118" s="152" t="n"/>
      <c r="BS118" s="152" t="inlineStr">
        <is>
          <t>YES</t>
        </is>
      </c>
      <c r="BT118" s="152" t="n"/>
    </row>
    <row r="119" ht="15" customHeight="1" s="241">
      <c r="A119" s="174" t="inlineStr">
        <is>
          <t>Pfizer</t>
        </is>
      </c>
      <c r="B119" s="175">
        <f>IF(A119="","",_xlfn.XLOOKUP(A119, Company_List!$A:$A, Company_List!$B:$B, ""))</f>
        <v/>
      </c>
      <c r="C119" s="176" t="n">
        <v>2025</v>
      </c>
      <c r="D119" s="177" t="inlineStr">
        <is>
          <t>Q2</t>
        </is>
      </c>
      <c r="E119" s="178" t="inlineStr">
        <is>
          <t>Transcript</t>
        </is>
      </c>
      <c r="F119" s="178" t="inlineStr">
        <is>
          <t>All</t>
        </is>
      </c>
      <c r="G119" s="177" t="inlineStr">
        <is>
          <t>Abdul</t>
        </is>
      </c>
      <c r="H119" s="177" t="inlineStr">
        <is>
          <t>Human</t>
        </is>
      </c>
      <c r="I119" s="179" t="n">
        <v>0.4</v>
      </c>
      <c r="J119" s="180">
        <f>IF(OR(I119="",Settings!$B$6=""),"",IF(I119&gt;Settings!$B$6,"BUY",IF(I119&lt;-Settings!$B$6,"SELL","HOLD")))</f>
        <v/>
      </c>
      <c r="K119" s="181" t="n">
        <v>45</v>
      </c>
      <c r="L119" s="182" t="n">
        <v>45874</v>
      </c>
      <c r="M119" s="182" t="n">
        <v>45873</v>
      </c>
      <c r="N119" s="179" t="n">
        <v>23.53</v>
      </c>
      <c r="O119" s="182" t="n">
        <v>45874</v>
      </c>
      <c r="P119" s="183" t="n">
        <v>24.27</v>
      </c>
      <c r="Q119" s="184">
        <f>IF(OR(N119="",P119=""),"",ROUND((P119-N119)/N119,4))</f>
        <v/>
      </c>
      <c r="R119" s="177">
        <f>IF(OR(N119="",P119=""),"",IF(Q119&gt;Settings!$B$3/100,"UP",IF(Q119&lt;-Settings!$B$3/100,"DOWN","FLAT")))</f>
        <v/>
      </c>
      <c r="S119" s="177">
        <f>IF(OR(N119="",P119="",J119=""),"",IF(OR(AND(J119="BUY",R119="UP"),AND(J119="SELL",R119="DOWN"),AND(J119="HOLD",R119="FLAT")),"YES","NO"))</f>
        <v/>
      </c>
      <c r="T119" s="176">
        <f>IF(J119="","",IF(J119="BUY",1,IF(J119="SELL",-1,0)))</f>
        <v/>
      </c>
      <c r="U119" s="184">
        <f>IFERROR(IF(OR(J119="",N119="",P119=""),"",IF(T119=0,0,T119*Q119-Settings!$B$4/10000-IF(T119&lt;0,Settings!$B$5/10000,0))),"")</f>
        <v/>
      </c>
      <c r="V119" s="185" t="n"/>
      <c r="W119" s="176">
        <f>IF($K119="","",$K119*60)</f>
        <v/>
      </c>
      <c r="X119" s="186">
        <f>IF($A119="","",$A119&amp;"|"&amp;$C119&amp;"|"&amp;$D119)</f>
        <v/>
      </c>
      <c r="Y119" s="186">
        <f>IFERROR(IF($X119="","",INDEX(LLM_Data_Entry!$H$3:$H$548,MATCH($X119,INDEX(LLM_Data_Entry!$A$3:$A$548&amp;"|"&amp;LLM_Data_Entry!$C$3:$C$548&amp;"|"&amp;LLM_Data_Entry!$D$3:$D$548,0),0))),"")</f>
        <v/>
      </c>
      <c r="Z119" s="186">
        <f>IFERROR(IF($X119="","",INDEX(LLM_Data_Entry!$R$3:$R$548,MATCH($X119,INDEX(LLM_Data_Entry!$A$3:$A$548&amp;"|"&amp;LLM_Data_Entry!$C$3:$C$548&amp;"|"&amp;LLM_Data_Entry!$D$3:$D$548,0),0))),"")</f>
        <v/>
      </c>
      <c r="AA119" s="152" t="n"/>
      <c r="AB119" s="152" t="inlineStr">
        <is>
          <t>price signal — both moved; this one dominates</t>
        </is>
      </c>
      <c r="AC119" s="152" t="inlineStr">
        <is>
          <t>PFE</t>
        </is>
      </c>
      <c r="AD119" s="152" t="inlineStr">
        <is>
          <t>2025-08-04</t>
        </is>
      </c>
      <c r="AE119" s="152" t="n">
        <v>21.9879</v>
      </c>
      <c r="AF119" s="152" t="inlineStr">
        <is>
          <t>2025-08-05</t>
        </is>
      </c>
      <c r="AG119" s="152" t="n">
        <v>22.6794</v>
      </c>
      <c r="AH119" s="152" t="n">
        <v>0.03144916541941944</v>
      </c>
      <c r="AI119" s="152" t="inlineStr">
        <is>
          <t>UP</t>
        </is>
      </c>
      <c r="AJ119" s="152" t="inlineStr">
        <is>
          <t>YES</t>
        </is>
      </c>
      <c r="AK119" s="152" t="n">
        <v>0.030449</v>
      </c>
      <c r="AL119" s="152">
        <f>IF($A119="","",IFERROR(INDEX(Company_List!$G$3:$G$207,MATCH($A119,Company_List!$A$3:$A$207,0)),"unassigned"))</f>
        <v/>
      </c>
      <c r="AM119" s="152" t="inlineStr">
        <is>
          <t>Phase 2/Pfizer/PFE-USQ_Transcript_2025-08-05.pdf</t>
        </is>
      </c>
      <c r="AN119" s="152" t="n"/>
      <c r="AO119" s="152" t="inlineStr">
        <is>
          <t>unique filename match</t>
        </is>
      </c>
      <c r="AP119" s="152">
        <f>IF($A119="","",IF(COUNTIFS(LLM_Data_Entry!$A$3:$A$548,$A119)&gt;0,"YES","NO"))</f>
        <v/>
      </c>
      <c r="AQ119" s="152">
        <f>IF($A119="","",IF(COUNTIFS($A$3:$A119,$A119,$C$3:$C119,$C119,$D$3:$D119,$D119)=1,"YES","NO"))</f>
        <v/>
      </c>
      <c r="AR119" s="152">
        <f>IF($A119="","",IF(AND($C119&amp;"-"&amp;$D119&gt;=Settings!$B$19,$C119&amp;"-"&amp;$D119&lt;=Settings!$B$20),"IN","OUT"))</f>
        <v/>
      </c>
      <c r="AS119" s="152">
        <f>IF($A119="","",IF($F119="Financial Results","financials",IF($F119="Outlook/Guidance","guidance",IF($F119="Transcript Q&amp;A","qanda",IF($F119="","unrecorded",IF($E119="All","full",IF($E119="","unrecorded",LOWER($E119)&amp;" only")))))))</f>
        <v/>
      </c>
      <c r="AT119" s="152">
        <f>IF(AND(OR($J119="BUY",$J119="SELL"),ISNUMBER($U119)),$U119,"")</f>
        <v/>
      </c>
      <c r="AU119" s="152">
        <f>IF(AND(OR($J119="BUY",$J119="SELL"),ISNUMBER($AK119)),$AK119,"")</f>
        <v/>
      </c>
      <c r="AV119" s="152">
        <f>IF(ISNUMBER($AT119),ABS(IF(ISNUMBER($I119),$I119,0)-Settings!$B$24),"")</f>
        <v/>
      </c>
      <c r="AW119" s="152">
        <f>IF(ISNUMBER($AV119),$AV119*$AT119,"")</f>
        <v/>
      </c>
      <c r="AX119" s="152">
        <f>IF(ISNUMBER($AU119),ABS(IF(ISNUMBER($I119),$I119,0)-Settings!$B$24),"")</f>
        <v/>
      </c>
      <c r="AY119" s="152" t="inlineStr">
        <is>
          <t>FROZEN</t>
        </is>
      </c>
      <c r="AZ119" s="152">
        <f>IF($A119="","",IFERROR(INDEX(Company_List!$H$3:$H$207,MATCH($A119,Company_List!$A$3:$A$207,0)),"unassigned"))</f>
        <v/>
      </c>
      <c r="BA119" s="152" t="n"/>
      <c r="BB119" s="152" t="n"/>
      <c r="BC119" s="152">
        <f>IF($A119="","",IF(COUNTIFS($A$3:$A119,$A119,$C$3:$C119,$C119,$D$3:$D119,$D119,$G$3:$G119,$G119)=1,1,0))</f>
        <v/>
      </c>
      <c r="BD119" s="152" t="n"/>
      <c r="BE119" s="152" t="n"/>
      <c r="BF119" s="152" t="n"/>
      <c r="BG119" s="152" t="inlineStr">
        <is>
          <t>no</t>
        </is>
      </c>
      <c r="BH119" s="152" t="n"/>
      <c r="BI119" s="152" t="n"/>
      <c r="BJ119" s="152" t="n"/>
      <c r="BK119" s="152">
        <f>IF(OR($H119&lt;&gt;"Human",$S119="",$J119="",$Y119="",$Z119=""),"",IF(EXACT(UPPER($J119),UPPER($Y119)),1,0))</f>
        <v/>
      </c>
      <c r="BL119" s="152" t="inlineStr">
        <is>
          <t>assumed - no rater record</t>
        </is>
      </c>
      <c r="BM119" s="152" t="n">
        <v>1</v>
      </c>
      <c r="BN119" s="152" t="inlineStr">
        <is>
          <t>Refinitiv / LSEG StreetEvents</t>
        </is>
      </c>
      <c r="BO119" s="152" t="inlineStr">
        <is>
          <t>licensed vendor</t>
        </is>
      </c>
      <c r="BP119" s="152" t="inlineStr">
        <is>
          <t>no</t>
        </is>
      </c>
      <c r="BQ119" s="152" t="inlineStr">
        <is>
          <t>no</t>
        </is>
      </c>
      <c r="BR119" s="152" t="n"/>
      <c r="BS119" s="152" t="inlineStr">
        <is>
          <t>YES</t>
        </is>
      </c>
      <c r="BT119" s="152" t="n"/>
    </row>
    <row r="120" ht="15" customHeight="1" s="241">
      <c r="A120" s="174" t="inlineStr">
        <is>
          <t>Pfizer</t>
        </is>
      </c>
      <c r="B120" s="175">
        <f>IF(A120="","",_xlfn.XLOOKUP(A120, Company_List!$A:$A, Company_List!$B:$B, ""))</f>
        <v/>
      </c>
      <c r="C120" s="176" t="n">
        <v>2025</v>
      </c>
      <c r="D120" s="177" t="inlineStr">
        <is>
          <t>Q4</t>
        </is>
      </c>
      <c r="E120" s="178" t="inlineStr">
        <is>
          <t>Transcript</t>
        </is>
      </c>
      <c r="F120" s="178" t="inlineStr">
        <is>
          <t>All</t>
        </is>
      </c>
      <c r="G120" s="177" t="inlineStr">
        <is>
          <t>Abdul</t>
        </is>
      </c>
      <c r="H120" s="177" t="inlineStr">
        <is>
          <t>Human</t>
        </is>
      </c>
      <c r="I120" s="179" t="n">
        <v>-0.6</v>
      </c>
      <c r="J120" s="180">
        <f>IF(OR(I120="",Settings!$B$6=""),"",IF(I120&gt;Settings!$B$6,"BUY",IF(I120&lt;-Settings!$B$6,"SELL","HOLD")))</f>
        <v/>
      </c>
      <c r="K120" s="181" t="n">
        <v>49</v>
      </c>
      <c r="L120" s="182" t="n">
        <v>46056</v>
      </c>
      <c r="M120" s="182" t="n">
        <v>46055</v>
      </c>
      <c r="N120" s="179" t="n">
        <v>26.66</v>
      </c>
      <c r="O120" s="182" t="n">
        <v>46056</v>
      </c>
      <c r="P120" s="183" t="n">
        <v>25.36</v>
      </c>
      <c r="Q120" s="184">
        <f>IF(OR(N120="",P120=""),"",ROUND((P120-N120)/N120,4))</f>
        <v/>
      </c>
      <c r="R120" s="177">
        <f>IF(OR(N120="",P120=""),"",IF(Q120&gt;Settings!$B$3/100,"UP",IF(Q120&lt;-Settings!$B$3/100,"DOWN","FLAT")))</f>
        <v/>
      </c>
      <c r="S120" s="177">
        <f>IF(OR(N120="",P120="",J120=""),"",IF(OR(AND(J120="BUY",R120="UP"),AND(J120="SELL",R120="DOWN"),AND(J120="HOLD",R120="FLAT")),"YES","NO"))</f>
        <v/>
      </c>
      <c r="T120" s="176">
        <f>IF(J120="","",IF(J120="BUY",1,IF(J120="SELL",-1,0)))</f>
        <v/>
      </c>
      <c r="U120" s="184">
        <f>IFERROR(IF(OR(J120="",N120="",P120=""),"",IF(T120=0,0,T120*Q120-Settings!$B$4/10000-IF(T120&lt;0,Settings!$B$5/10000,0))),"")</f>
        <v/>
      </c>
      <c r="V120" s="185" t="n"/>
      <c r="W120" s="176">
        <f>IF($K120="","",$K120*60)</f>
        <v/>
      </c>
      <c r="X120" s="186">
        <f>IF($A120="","",$A120&amp;"|"&amp;$C120&amp;"|"&amp;$D120)</f>
        <v/>
      </c>
      <c r="Y120" s="186">
        <f>IFERROR(IF($X120="","",INDEX(LLM_Data_Entry!$H$3:$H$548,MATCH($X120,INDEX(LLM_Data_Entry!$A$3:$A$548&amp;"|"&amp;LLM_Data_Entry!$C$3:$C$548&amp;"|"&amp;LLM_Data_Entry!$D$3:$D$548,0),0))),"")</f>
        <v/>
      </c>
      <c r="Z120" s="186">
        <f>IFERROR(IF($X120="","",INDEX(LLM_Data_Entry!$R$3:$R$548,MATCH($X120,INDEX(LLM_Data_Entry!$A$3:$A$548&amp;"|"&amp;LLM_Data_Entry!$C$3:$C$548&amp;"|"&amp;LLM_Data_Entry!$D$3:$D$548,0),0))),"")</f>
        <v/>
      </c>
      <c r="AA120" s="152" t="n"/>
      <c r="AB120" s="152" t="inlineStr">
        <is>
          <t>price signal — only this window shows an abnormal move</t>
        </is>
      </c>
      <c r="AC120" s="152" t="inlineStr">
        <is>
          <t>PFE</t>
        </is>
      </c>
      <c r="AD120" s="152" t="inlineStr">
        <is>
          <t>2026-02-02</t>
        </is>
      </c>
      <c r="AE120" s="152" t="n">
        <v>25.7762</v>
      </c>
      <c r="AF120" s="152" t="inlineStr">
        <is>
          <t>2026-02-03</t>
        </is>
      </c>
      <c r="AG120" s="152" t="n">
        <v>24.5193</v>
      </c>
      <c r="AH120" s="152" t="n">
        <v>-0.04876210990506553</v>
      </c>
      <c r="AI120" s="152" t="inlineStr">
        <is>
          <t>DOWN</t>
        </is>
      </c>
      <c r="AJ120" s="152" t="inlineStr">
        <is>
          <t>YES</t>
        </is>
      </c>
      <c r="AK120" s="152" t="n">
        <v>0.047762</v>
      </c>
      <c r="AL120" s="152">
        <f>IF($A120="","",IFERROR(INDEX(Company_List!$G$3:$G$207,MATCH($A120,Company_List!$A$3:$A$207,0)),"unassigned"))</f>
        <v/>
      </c>
      <c r="AM120" s="152" t="inlineStr">
        <is>
          <t>Phase 2/Pfizer/PFE-USQ_Transcript_2026-02-03.pdf</t>
        </is>
      </c>
      <c r="AN120" s="152" t="n"/>
      <c r="AO120" s="152" t="inlineStr">
        <is>
          <t>unique filename match</t>
        </is>
      </c>
      <c r="AP120" s="152">
        <f>IF($A120="","",IF(COUNTIFS(LLM_Data_Entry!$A$3:$A$548,$A120)&gt;0,"YES","NO"))</f>
        <v/>
      </c>
      <c r="AQ120" s="152">
        <f>IF($A120="","",IF(COUNTIFS($A$3:$A120,$A120,$C$3:$C120,$C120,$D$3:$D120,$D120)=1,"YES","NO"))</f>
        <v/>
      </c>
      <c r="AR120" s="152">
        <f>IF($A120="","",IF(AND($C120&amp;"-"&amp;$D120&gt;=Settings!$B$19,$C120&amp;"-"&amp;$D120&lt;=Settings!$B$20),"IN","OUT"))</f>
        <v/>
      </c>
      <c r="AS120" s="152">
        <f>IF($A120="","",IF($F120="Financial Results","financials",IF($F120="Outlook/Guidance","guidance",IF($F120="Transcript Q&amp;A","qanda",IF($F120="","unrecorded",IF($E120="All","full",IF($E120="","unrecorded",LOWER($E120)&amp;" only")))))))</f>
        <v/>
      </c>
      <c r="AT120" s="152">
        <f>IF(AND(OR($J120="BUY",$J120="SELL"),ISNUMBER($U120)),$U120,"")</f>
        <v/>
      </c>
      <c r="AU120" s="152">
        <f>IF(AND(OR($J120="BUY",$J120="SELL"),ISNUMBER($AK120)),$AK120,"")</f>
        <v/>
      </c>
      <c r="AV120" s="152">
        <f>IF(ISNUMBER($AT120),ABS(IF(ISNUMBER($I120),$I120,0)-Settings!$B$24),"")</f>
        <v/>
      </c>
      <c r="AW120" s="152">
        <f>IF(ISNUMBER($AV120),$AV120*$AT120,"")</f>
        <v/>
      </c>
      <c r="AX120" s="152">
        <f>IF(ISNUMBER($AU120),ABS(IF(ISNUMBER($I120),$I120,0)-Settings!$B$24),"")</f>
        <v/>
      </c>
      <c r="AY120" s="152" t="inlineStr">
        <is>
          <t>FROZEN</t>
        </is>
      </c>
      <c r="AZ120" s="152">
        <f>IF($A120="","",IFERROR(INDEX(Company_List!$H$3:$H$207,MATCH($A120,Company_List!$A$3:$A$207,0)),"unassigned"))</f>
        <v/>
      </c>
      <c r="BA120" s="152" t="n"/>
      <c r="BB120" s="152" t="n"/>
      <c r="BC120" s="152">
        <f>IF($A120="","",IF(COUNTIFS($A$3:$A120,$A120,$C$3:$C120,$C120,$D$3:$D120,$D120,$G$3:$G120,$G120)=1,1,0))</f>
        <v/>
      </c>
      <c r="BD120" s="152" t="n"/>
      <c r="BE120" s="152" t="n"/>
      <c r="BF120" s="152" t="n"/>
      <c r="BG120" s="152" t="inlineStr">
        <is>
          <t>no</t>
        </is>
      </c>
      <c r="BH120" s="152" t="n"/>
      <c r="BI120" s="152" t="n"/>
      <c r="BJ120" s="152" t="n"/>
      <c r="BK120" s="152">
        <f>IF(OR($H120&lt;&gt;"Human",$S120="",$J120="",$Y120="",$Z120=""),"",IF(EXACT(UPPER($J120),UPPER($Y120)),1,0))</f>
        <v/>
      </c>
      <c r="BL120" s="152" t="inlineStr">
        <is>
          <t>assumed - no rater record</t>
        </is>
      </c>
      <c r="BM120" s="152" t="n">
        <v>1</v>
      </c>
      <c r="BN120" s="152" t="inlineStr">
        <is>
          <t>Refinitiv / LSEG StreetEvents</t>
        </is>
      </c>
      <c r="BO120" s="152" t="inlineStr">
        <is>
          <t>licensed vendor</t>
        </is>
      </c>
      <c r="BP120" s="152" t="inlineStr">
        <is>
          <t>no</t>
        </is>
      </c>
      <c r="BQ120" s="152" t="inlineStr">
        <is>
          <t>no</t>
        </is>
      </c>
      <c r="BR120" s="152" t="n"/>
      <c r="BS120" s="152" t="inlineStr">
        <is>
          <t>YES</t>
        </is>
      </c>
      <c r="BT120" s="152" t="n"/>
    </row>
    <row r="121" ht="15" customHeight="1" s="241">
      <c r="A121" s="174" t="inlineStr">
        <is>
          <t>Pfizer</t>
        </is>
      </c>
      <c r="B121" s="175">
        <f>IF(A121="","",_xlfn.XLOOKUP(A121, Company_List!$A:$A, Company_List!$B:$B, ""))</f>
        <v/>
      </c>
      <c r="C121" s="176" t="n">
        <v>2026</v>
      </c>
      <c r="D121" s="177" t="inlineStr">
        <is>
          <t>Q1</t>
        </is>
      </c>
      <c r="E121" s="178" t="inlineStr">
        <is>
          <t>Transcript</t>
        </is>
      </c>
      <c r="F121" s="178" t="inlineStr">
        <is>
          <t>All</t>
        </is>
      </c>
      <c r="G121" s="177" t="inlineStr">
        <is>
          <t>Abdul</t>
        </is>
      </c>
      <c r="H121" s="177" t="inlineStr">
        <is>
          <t>Human</t>
        </is>
      </c>
      <c r="I121" s="179" t="n">
        <v>0.7</v>
      </c>
      <c r="J121" s="180">
        <f>IF(OR(I121="",Settings!$B$6=""),"",IF(I121&gt;Settings!$B$6,"BUY",IF(I121&lt;-Settings!$B$6,"SELL","HOLD")))</f>
        <v/>
      </c>
      <c r="K121" s="181" t="n">
        <v>40</v>
      </c>
      <c r="L121" s="182" t="n">
        <v>46147</v>
      </c>
      <c r="M121" s="182" t="n">
        <v>46146</v>
      </c>
      <c r="N121" s="179" t="n">
        <v>26.3</v>
      </c>
      <c r="O121" s="182" t="n">
        <v>46147</v>
      </c>
      <c r="P121" s="183" t="n">
        <v>26.59</v>
      </c>
      <c r="Q121" s="184">
        <f>IF(OR(N121="",P121=""),"",ROUND((P121-N121)/N121,4))</f>
        <v/>
      </c>
      <c r="R121" s="177">
        <f>IF(OR(N121="",P121=""),"",IF(Q121&gt;Settings!$B$3/100,"UP",IF(Q121&lt;-Settings!$B$3/100,"DOWN","FLAT")))</f>
        <v/>
      </c>
      <c r="S121" s="177">
        <f>IF(OR(N121="",P121="",J121=""),"",IF(OR(AND(J121="BUY",R121="UP"),AND(J121="SELL",R121="DOWN"),AND(J121="HOLD",R121="FLAT")),"YES","NO"))</f>
        <v/>
      </c>
      <c r="T121" s="176">
        <f>IF(J121="","",IF(J121="BUY",1,IF(J121="SELL",-1,0)))</f>
        <v/>
      </c>
      <c r="U121" s="184">
        <f>IFERROR(IF(OR(J121="",N121="",P121=""),"",IF(T121=0,0,T121*Q121-Settings!$B$4/10000-IF(T121&lt;0,Settings!$B$5/10000,0))),"")</f>
        <v/>
      </c>
      <c r="V121" s="185" t="n"/>
      <c r="W121" s="176">
        <f>IF($K121="","",$K121*60)</f>
        <v/>
      </c>
      <c r="X121" s="186">
        <f>IF($A121="","",$A121&amp;"|"&amp;$C121&amp;"|"&amp;$D121)</f>
        <v/>
      </c>
      <c r="Y121" s="186">
        <f>IFERROR(IF($X121="","",INDEX(LLM_Data_Entry!$H$3:$H$548,MATCH($X121,INDEX(LLM_Data_Entry!$A$3:$A$548&amp;"|"&amp;LLM_Data_Entry!$C$3:$C$548&amp;"|"&amp;LLM_Data_Entry!$D$3:$D$548,0),0))),"")</f>
        <v/>
      </c>
      <c r="Z121" s="186">
        <f>IFERROR(IF($X121="","",INDEX(LLM_Data_Entry!$R$3:$R$548,MATCH($X121,INDEX(LLM_Data_Entry!$A$3:$A$548&amp;"|"&amp;LLM_Data_Entry!$C$3:$C$548&amp;"|"&amp;LLM_Data_Entry!$D$3:$D$548,0),0))),"")</f>
        <v/>
      </c>
      <c r="AA121" s="152" t="n"/>
      <c r="AB121" s="152" t="inlineStr">
        <is>
          <t>earnings calendar, seconded independently</t>
        </is>
      </c>
      <c r="AC121" s="152" t="inlineStr">
        <is>
          <t>PFE</t>
        </is>
      </c>
      <c r="AD121" s="152" t="inlineStr">
        <is>
          <t>2026-05-04</t>
        </is>
      </c>
      <c r="AE121" s="152" t="n">
        <v>25.4281</v>
      </c>
      <c r="AF121" s="152" t="inlineStr">
        <is>
          <t>2026-05-05</t>
        </is>
      </c>
      <c r="AG121" s="152" t="n">
        <v>25.7085</v>
      </c>
      <c r="AH121" s="152" t="n">
        <v>0.01102665328244645</v>
      </c>
      <c r="AI121" s="152" t="inlineStr">
        <is>
          <t>FLAT</t>
        </is>
      </c>
      <c r="AJ121" s="152" t="inlineStr">
        <is>
          <t>NO</t>
        </is>
      </c>
      <c r="AK121" s="152" t="n">
        <v>0.010027</v>
      </c>
      <c r="AL121" s="152">
        <f>IF($A121="","",IFERROR(INDEX(Company_List!$G$3:$G$207,MATCH($A121,Company_List!$A$3:$A$207,0)),"unassigned"))</f>
        <v/>
      </c>
      <c r="AM121" s="152" t="inlineStr">
        <is>
          <t>Phase 2/Pfizer/PFE-USQ_Transcript_2026-05-05.pdf</t>
        </is>
      </c>
      <c r="AN121" s="152" t="n"/>
      <c r="AO121" s="152" t="inlineStr">
        <is>
          <t>unique filename match</t>
        </is>
      </c>
      <c r="AP121" s="152">
        <f>IF($A121="","",IF(COUNTIFS(LLM_Data_Entry!$A$3:$A$548,$A121)&gt;0,"YES","NO"))</f>
        <v/>
      </c>
      <c r="AQ121" s="152">
        <f>IF($A121="","",IF(COUNTIFS($A$3:$A121,$A121,$C$3:$C121,$C121,$D$3:$D121,$D121)=1,"YES","NO"))</f>
        <v/>
      </c>
      <c r="AR121" s="152">
        <f>IF($A121="","",IF(AND($C121&amp;"-"&amp;$D121&gt;=Settings!$B$19,$C121&amp;"-"&amp;$D121&lt;=Settings!$B$20),"IN","OUT"))</f>
        <v/>
      </c>
      <c r="AS121" s="152">
        <f>IF($A121="","",IF($F121="Financial Results","financials",IF($F121="Outlook/Guidance","guidance",IF($F121="Transcript Q&amp;A","qanda",IF($F121="","unrecorded",IF($E121="All","full",IF($E121="","unrecorded",LOWER($E121)&amp;" only")))))))</f>
        <v/>
      </c>
      <c r="AT121" s="152">
        <f>IF(AND(OR($J121="BUY",$J121="SELL"),ISNUMBER($U121)),$U121,"")</f>
        <v/>
      </c>
      <c r="AU121" s="152">
        <f>IF(AND(OR($J121="BUY",$J121="SELL"),ISNUMBER($AK121)),$AK121,"")</f>
        <v/>
      </c>
      <c r="AV121" s="152">
        <f>IF(ISNUMBER($AT121),ABS(IF(ISNUMBER($I121),$I121,0)-Settings!$B$24),"")</f>
        <v/>
      </c>
      <c r="AW121" s="152">
        <f>IF(ISNUMBER($AV121),$AV121*$AT121,"")</f>
        <v/>
      </c>
      <c r="AX121" s="152">
        <f>IF(ISNUMBER($AU121),ABS(IF(ISNUMBER($I121),$I121,0)-Settings!$B$24),"")</f>
        <v/>
      </c>
      <c r="AY121" s="152" t="inlineStr">
        <is>
          <t>FROZEN</t>
        </is>
      </c>
      <c r="AZ121" s="152">
        <f>IF($A121="","",IFERROR(INDEX(Company_List!$H$3:$H$207,MATCH($A121,Company_List!$A$3:$A$207,0)),"unassigned"))</f>
        <v/>
      </c>
      <c r="BA121" s="152" t="n"/>
      <c r="BB121" s="152" t="n"/>
      <c r="BC121" s="152">
        <f>IF($A121="","",IF(COUNTIFS($A$3:$A121,$A121,$C$3:$C121,$C121,$D$3:$D121,$D121,$G$3:$G121,$G121)=1,1,0))</f>
        <v/>
      </c>
      <c r="BD121" s="152" t="n"/>
      <c r="BE121" s="152" t="n"/>
      <c r="BF121" s="152" t="n"/>
      <c r="BG121" s="152" t="inlineStr">
        <is>
          <t>no</t>
        </is>
      </c>
      <c r="BH121" s="152" t="n"/>
      <c r="BI121" s="152" t="n"/>
      <c r="BJ121" s="152" t="n"/>
      <c r="BK121" s="152">
        <f>IF(OR($H121&lt;&gt;"Human",$S121="",$J121="",$Y121="",$Z121=""),"",IF(EXACT(UPPER($J121),UPPER($Y121)),1,0))</f>
        <v/>
      </c>
      <c r="BL121" s="152" t="inlineStr">
        <is>
          <t>assumed - no rater record</t>
        </is>
      </c>
      <c r="BM121" s="152" t="n">
        <v>1</v>
      </c>
      <c r="BN121" s="152" t="inlineStr">
        <is>
          <t>Refinitiv / LSEG StreetEvents</t>
        </is>
      </c>
      <c r="BO121" s="152" t="inlineStr">
        <is>
          <t>licensed vendor</t>
        </is>
      </c>
      <c r="BP121" s="152" t="inlineStr">
        <is>
          <t>no</t>
        </is>
      </c>
      <c r="BQ121" s="152" t="inlineStr">
        <is>
          <t>no</t>
        </is>
      </c>
      <c r="BR121" s="152" t="n"/>
      <c r="BS121" s="152" t="inlineStr">
        <is>
          <t>YES</t>
        </is>
      </c>
      <c r="BT121" s="152" t="n"/>
    </row>
    <row r="122" ht="15" customHeight="1" s="241">
      <c r="A122" s="174" t="inlineStr">
        <is>
          <t>Microsoft</t>
        </is>
      </c>
      <c r="B122" s="175">
        <f>IF(A122="","",_xlfn.XLOOKUP(A122, Company_List!$A:$A, Company_List!$B:$B, ""))</f>
        <v/>
      </c>
      <c r="C122" s="176" t="n">
        <v>2025</v>
      </c>
      <c r="D122" s="177" t="inlineStr">
        <is>
          <t>Q1</t>
        </is>
      </c>
      <c r="E122" s="178" t="inlineStr">
        <is>
          <t>Transcript</t>
        </is>
      </c>
      <c r="F122" s="178" t="inlineStr">
        <is>
          <t>All</t>
        </is>
      </c>
      <c r="G122" s="177" t="inlineStr">
        <is>
          <t>Abdul</t>
        </is>
      </c>
      <c r="H122" s="177" t="inlineStr">
        <is>
          <t>Human</t>
        </is>
      </c>
      <c r="I122" s="179" t="n">
        <v>0.1</v>
      </c>
      <c r="J122" s="180">
        <f>IF(OR(I122="",Settings!$B$6=""),"",IF(I122&gt;Settings!$B$6,"BUY",IF(I122&lt;-Settings!$B$6,"SELL","HOLD")))</f>
        <v/>
      </c>
      <c r="K122" s="181" t="n">
        <v>70</v>
      </c>
      <c r="L122" s="182" t="n">
        <v>45595</v>
      </c>
      <c r="M122" s="182" t="n">
        <v>45595</v>
      </c>
      <c r="N122" s="179" t="n">
        <v>432.53</v>
      </c>
      <c r="O122" s="182" t="n">
        <v>45596</v>
      </c>
      <c r="P122" s="183" t="n">
        <v>415.36</v>
      </c>
      <c r="Q122" s="184">
        <f>IF(OR(N122="",P122=""),"",ROUND((P122-N122)/N122,4))</f>
        <v/>
      </c>
      <c r="R122" s="177">
        <f>IF(OR(N122="",P122=""),"",IF(Q122&gt;Settings!$B$3/100,"UP",IF(Q122&lt;-Settings!$B$3/100,"DOWN","FLAT")))</f>
        <v/>
      </c>
      <c r="S122" s="177">
        <f>IF(OR(N122="",P122="",J122=""),"",IF(OR(AND(J122="BUY",R122="UP"),AND(J122="SELL",R122="DOWN"),AND(J122="HOLD",R122="FLAT")),"YES","NO"))</f>
        <v/>
      </c>
      <c r="T122" s="176">
        <f>IF(J122="","",IF(J122="BUY",1,IF(J122="SELL",-1,0)))</f>
        <v/>
      </c>
      <c r="U122" s="184">
        <f>IFERROR(IF(OR(J122="",N122="",P122=""),"",IF(T122=0,0,T122*Q122-Settings!$B$4/10000-IF(T122&lt;0,Settings!$B$5/10000,0))),"")</f>
        <v/>
      </c>
      <c r="V122" s="185" t="n"/>
      <c r="W122" s="176">
        <f>IF($K122="","",$K122*60)</f>
        <v/>
      </c>
      <c r="X122" s="186">
        <f>IF($A122="","",$A122&amp;"|"&amp;$C122&amp;"|"&amp;$D122)</f>
        <v/>
      </c>
      <c r="Y122" s="186">
        <f>IFERROR(IF($X122="","",INDEX(LLM_Data_Entry!$H$3:$H$548,MATCH($X122,INDEX(LLM_Data_Entry!$A$3:$A$548&amp;"|"&amp;LLM_Data_Entry!$C$3:$C$548&amp;"|"&amp;LLM_Data_Entry!$D$3:$D$548,0),0))),"")</f>
        <v/>
      </c>
      <c r="Z122" s="186">
        <f>IFERROR(IF($X122="","",INDEX(LLM_Data_Entry!$R$3:$R$548,MATCH($X122,INDEX(LLM_Data_Entry!$A$3:$A$548&amp;"|"&amp;LLM_Data_Entry!$C$3:$C$548&amp;"|"&amp;LLM_Data_Entry!$D$3:$D$548,0),0))),"")</f>
        <v/>
      </c>
      <c r="AA122" s="152" t="n"/>
      <c r="AB122" s="152" t="inlineStr">
        <is>
          <t>price signal — both moved; this one dominates</t>
        </is>
      </c>
      <c r="AC122" s="152" t="inlineStr">
        <is>
          <t>MSFT</t>
        </is>
      </c>
      <c r="AD122" s="152" t="inlineStr">
        <is>
          <t>2024-10-30</t>
        </is>
      </c>
      <c r="AE122" s="152" t="n">
        <v>426.6052</v>
      </c>
      <c r="AF122" s="152" t="inlineStr">
        <is>
          <t>2024-10-31</t>
        </is>
      </c>
      <c r="AG122" s="152" t="n">
        <v>409.6703</v>
      </c>
      <c r="AH122" s="152" t="n">
        <v>-0.03969677779628429</v>
      </c>
      <c r="AI122" s="152" t="inlineStr">
        <is>
          <t>DOWN</t>
        </is>
      </c>
      <c r="AJ122" s="152" t="inlineStr">
        <is>
          <t>NO</t>
        </is>
      </c>
      <c r="AK122" s="152" t="n">
        <v>0</v>
      </c>
      <c r="AL122" s="152">
        <f>IF($A122="","",IFERROR(INDEX(Company_List!$G$3:$G$207,MATCH($A122,Company_List!$A$3:$A$207,0)),"unassigned"))</f>
        <v/>
      </c>
      <c r="AM122" s="152" t="inlineStr">
        <is>
          <t>Phase 2/Microsoft/2025-Q1/MSFT-2025-Q1-earnings-call-transcript-microsoft-com.html</t>
        </is>
      </c>
      <c r="AN122" s="152" t="inlineStr">
        <is>
          <t>https://www.microsoft.com/en-us/investor/events/fy-2025/earnings-fy-2025-q1</t>
        </is>
      </c>
      <c r="AO122" s="152" t="inlineStr">
        <is>
          <t>manifest</t>
        </is>
      </c>
      <c r="AP122" s="152">
        <f>IF($A122="","",IF(COUNTIFS(LLM_Data_Entry!$A$3:$A$548,$A122)&gt;0,"YES","NO"))</f>
        <v/>
      </c>
      <c r="AQ122" s="152">
        <f>IF($A122="","",IF(COUNTIFS($A$3:$A122,$A122,$C$3:$C122,$C122,$D$3:$D122,$D122)=1,"YES","NO"))</f>
        <v/>
      </c>
      <c r="AR122" s="152">
        <f>IF($A122="","",IF(AND($C122&amp;"-"&amp;$D122&gt;=Settings!$B$19,$C122&amp;"-"&amp;$D122&lt;=Settings!$B$20),"IN","OUT"))</f>
        <v/>
      </c>
      <c r="AS122" s="152">
        <f>IF($A122="","",IF($F122="Financial Results","financials",IF($F122="Outlook/Guidance","guidance",IF($F122="Transcript Q&amp;A","qanda",IF($F122="","unrecorded",IF($E122="All","full",IF($E122="","unrecorded",LOWER($E122)&amp;" only")))))))</f>
        <v/>
      </c>
      <c r="AT122" s="152">
        <f>IF(AND(OR($J122="BUY",$J122="SELL"),ISNUMBER($U122)),$U122,"")</f>
        <v/>
      </c>
      <c r="AU122" s="152">
        <f>IF(AND(OR($J122="BUY",$J122="SELL"),ISNUMBER($AK122)),$AK122,"")</f>
        <v/>
      </c>
      <c r="AV122" s="152">
        <f>IF(ISNUMBER($AT122),ABS(IF(ISNUMBER($I122),$I122,0)-Settings!$B$24),"")</f>
        <v/>
      </c>
      <c r="AW122" s="152">
        <f>IF(ISNUMBER($AV122),$AV122*$AT122,"")</f>
        <v/>
      </c>
      <c r="AX122" s="152">
        <f>IF(ISNUMBER($AU122),ABS(IF(ISNUMBER($I122),$I122,0)-Settings!$B$24),"")</f>
        <v/>
      </c>
      <c r="AY122" s="152" t="inlineStr">
        <is>
          <t>FROZEN</t>
        </is>
      </c>
      <c r="AZ122" s="152">
        <f>IF($A122="","",IFERROR(INDEX(Company_List!$H$3:$H$207,MATCH($A122,Company_List!$A$3:$A$207,0)),"unassigned"))</f>
        <v/>
      </c>
      <c r="BA122" s="152" t="n"/>
      <c r="BB122" s="152" t="n"/>
      <c r="BC122" s="152">
        <f>IF($A122="","",IF(COUNTIFS($A$3:$A122,$A122,$C$3:$C122,$C122,$D$3:$D122,$D122,$G$3:$G122,$G122)=1,1,0))</f>
        <v/>
      </c>
      <c r="BD122" s="152" t="n"/>
      <c r="BE122" s="152" t="n"/>
      <c r="BF122" s="152" t="n"/>
      <c r="BG122" s="152" t="inlineStr">
        <is>
          <t>no</t>
        </is>
      </c>
      <c r="BH122" s="152" t="n"/>
      <c r="BI122" s="152" t="n"/>
      <c r="BJ122" s="152" t="n"/>
      <c r="BK122" s="152">
        <f>IF(OR($H122&lt;&gt;"Human",$S122="",$J122="",$Y122="",$Z122=""),"",IF(EXACT(UPPER($J122),UPPER($Y122)),1,0))</f>
        <v/>
      </c>
      <c r="BL122" s="152" t="inlineStr">
        <is>
          <t>assumed - no rater record</t>
        </is>
      </c>
      <c r="BM122" s="152" t="n">
        <v>1</v>
      </c>
      <c r="BN122" s="152" t="inlineStr">
        <is>
          <t>not publisher-identified</t>
        </is>
      </c>
      <c r="BO122" s="152" t="inlineStr">
        <is>
          <t>not publisher-identified</t>
        </is>
      </c>
      <c r="BP122" s="152" t="inlineStr">
        <is>
          <t>no</t>
        </is>
      </c>
      <c r="BQ122" s="152" t="inlineStr">
        <is>
          <t>yes</t>
        </is>
      </c>
      <c r="BR122" s="152" t="n"/>
      <c r="BS122" s="152" t="inlineStr">
        <is>
          <t>YES</t>
        </is>
      </c>
      <c r="BT122" s="152" t="n"/>
    </row>
    <row r="123" ht="15" customHeight="1" s="241">
      <c r="A123" s="174" t="inlineStr">
        <is>
          <t>Microsoft</t>
        </is>
      </c>
      <c r="B123" s="175">
        <f>IF(A123="","",_xlfn.XLOOKUP(A123, Company_List!$A:$A, Company_List!$B:$B, ""))</f>
        <v/>
      </c>
      <c r="C123" s="176" t="n">
        <v>2025</v>
      </c>
      <c r="D123" s="177" t="inlineStr">
        <is>
          <t>Q2</t>
        </is>
      </c>
      <c r="E123" s="178" t="inlineStr">
        <is>
          <t>Transcript</t>
        </is>
      </c>
      <c r="F123" s="178" t="inlineStr">
        <is>
          <t>All</t>
        </is>
      </c>
      <c r="G123" s="177" t="inlineStr">
        <is>
          <t>Abdul</t>
        </is>
      </c>
      <c r="H123" s="177" t="inlineStr">
        <is>
          <t>Human</t>
        </is>
      </c>
      <c r="I123" s="179" t="n">
        <v>-0.6</v>
      </c>
      <c r="J123" s="180">
        <f>IF(OR(I123="",Settings!$B$6=""),"",IF(I123&gt;Settings!$B$6,"BUY",IF(I123&lt;-Settings!$B$6,"SELL","HOLD")))</f>
        <v/>
      </c>
      <c r="K123" s="181" t="n">
        <v>55</v>
      </c>
      <c r="L123" s="182" t="n">
        <v>45686</v>
      </c>
      <c r="M123" s="182" t="n">
        <v>45686</v>
      </c>
      <c r="N123" s="179" t="n">
        <v>442.33</v>
      </c>
      <c r="O123" s="182" t="n">
        <v>45687</v>
      </c>
      <c r="P123" s="183" t="n">
        <v>418.77</v>
      </c>
      <c r="Q123" s="184">
        <f>IF(OR(N123="",P123=""),"",ROUND((P123-N123)/N123,4))</f>
        <v/>
      </c>
      <c r="R123" s="177">
        <f>IF(OR(N123="",P123=""),"",IF(Q123&gt;Settings!$B$3/100,"UP",IF(Q123&lt;-Settings!$B$3/100,"DOWN","FLAT")))</f>
        <v/>
      </c>
      <c r="S123" s="177">
        <f>IF(OR(N123="",P123="",J123=""),"",IF(OR(AND(J123="BUY",R123="UP"),AND(J123="SELL",R123="DOWN"),AND(J123="HOLD",R123="FLAT")),"YES","NO"))</f>
        <v/>
      </c>
      <c r="T123" s="176">
        <f>IF(J123="","",IF(J123="BUY",1,IF(J123="SELL",-1,0)))</f>
        <v/>
      </c>
      <c r="U123" s="184">
        <f>IFERROR(IF(OR(J123="",N123="",P123=""),"",IF(T123=0,0,T123*Q123-Settings!$B$4/10000-IF(T123&lt;0,Settings!$B$5/10000,0))),"")</f>
        <v/>
      </c>
      <c r="V123" s="185" t="n"/>
      <c r="W123" s="176">
        <f>IF($K123="","",$K123*60)</f>
        <v/>
      </c>
      <c r="X123" s="186">
        <f>IF($A123="","",$A123&amp;"|"&amp;$C123&amp;"|"&amp;$D123)</f>
        <v/>
      </c>
      <c r="Y123" s="186">
        <f>IFERROR(IF($X123="","",INDEX(LLM_Data_Entry!$H$3:$H$548,MATCH($X123,INDEX(LLM_Data_Entry!$A$3:$A$548&amp;"|"&amp;LLM_Data_Entry!$C$3:$C$548&amp;"|"&amp;LLM_Data_Entry!$D$3:$D$548,0),0))),"")</f>
        <v/>
      </c>
      <c r="Z123" s="186">
        <f>IFERROR(IF($X123="","",INDEX(LLM_Data_Entry!$R$3:$R$548,MATCH($X123,INDEX(LLM_Data_Entry!$A$3:$A$548&amp;"|"&amp;LLM_Data_Entry!$C$3:$C$548&amp;"|"&amp;LLM_Data_Entry!$D$3:$D$548,0),0))),"")</f>
        <v/>
      </c>
      <c r="AA123" s="152" t="n"/>
      <c r="AB123" s="152" t="inlineStr">
        <is>
          <t>price signal — only this window shows an abnormal move</t>
        </is>
      </c>
      <c r="AC123" s="152" t="inlineStr">
        <is>
          <t>MSFT</t>
        </is>
      </c>
      <c r="AD123" s="152" t="inlineStr">
        <is>
          <t>2025-01-29</t>
        </is>
      </c>
      <c r="AE123" s="152" t="n">
        <v>437.1442</v>
      </c>
      <c r="AF123" s="152" t="inlineStr">
        <is>
          <t>2025-01-30</t>
        </is>
      </c>
      <c r="AG123" s="152" t="n">
        <v>413.8604</v>
      </c>
      <c r="AH123" s="152" t="n">
        <v>-0.0532634734427876</v>
      </c>
      <c r="AI123" s="152" t="inlineStr">
        <is>
          <t>DOWN</t>
        </is>
      </c>
      <c r="AJ123" s="152" t="inlineStr">
        <is>
          <t>YES</t>
        </is>
      </c>
      <c r="AK123" s="152" t="n">
        <v>0.052263</v>
      </c>
      <c r="AL123" s="152">
        <f>IF($A123="","",IFERROR(INDEX(Company_List!$G$3:$G$207,MATCH($A123,Company_List!$A$3:$A$207,0)),"unassigned"))</f>
        <v/>
      </c>
      <c r="AM123" s="152" t="inlineStr">
        <is>
          <t>Phase 2/Microsoft/2025-Q2/MSFT-2025-Q2-earnings-call-transcript-fool-com.html</t>
        </is>
      </c>
      <c r="AN123" s="152" t="inlineStr">
        <is>
          <t>https://www.fool.com/earnings/call-transcripts/2025/01/29/microsoft-msft-q2-2025-earnings-call-transcript/</t>
        </is>
      </c>
      <c r="AO123" s="152" t="inlineStr">
        <is>
          <t>manifest</t>
        </is>
      </c>
      <c r="AP123" s="152">
        <f>IF($A123="","",IF(COUNTIFS(LLM_Data_Entry!$A$3:$A$548,$A123)&gt;0,"YES","NO"))</f>
        <v/>
      </c>
      <c r="AQ123" s="152">
        <f>IF($A123="","",IF(COUNTIFS($A$3:$A123,$A123,$C$3:$C123,$C123,$D$3:$D123,$D123)=1,"YES","NO"))</f>
        <v/>
      </c>
      <c r="AR123" s="152">
        <f>IF($A123="","",IF(AND($C123&amp;"-"&amp;$D123&gt;=Settings!$B$19,$C123&amp;"-"&amp;$D123&lt;=Settings!$B$20),"IN","OUT"))</f>
        <v/>
      </c>
      <c r="AS123" s="152">
        <f>IF($A123="","",IF($F123="Financial Results","financials",IF($F123="Outlook/Guidance","guidance",IF($F123="Transcript Q&amp;A","qanda",IF($F123="","unrecorded",IF($E123="All","full",IF($E123="","unrecorded",LOWER($E123)&amp;" only")))))))</f>
        <v/>
      </c>
      <c r="AT123" s="152">
        <f>IF(AND(OR($J123="BUY",$J123="SELL"),ISNUMBER($U123)),$U123,"")</f>
        <v/>
      </c>
      <c r="AU123" s="152">
        <f>IF(AND(OR($J123="BUY",$J123="SELL"),ISNUMBER($AK123)),$AK123,"")</f>
        <v/>
      </c>
      <c r="AV123" s="152">
        <f>IF(ISNUMBER($AT123),ABS(IF(ISNUMBER($I123),$I123,0)-Settings!$B$24),"")</f>
        <v/>
      </c>
      <c r="AW123" s="152">
        <f>IF(ISNUMBER($AV123),$AV123*$AT123,"")</f>
        <v/>
      </c>
      <c r="AX123" s="152">
        <f>IF(ISNUMBER($AU123),ABS(IF(ISNUMBER($I123),$I123,0)-Settings!$B$24),"")</f>
        <v/>
      </c>
      <c r="AY123" s="152" t="inlineStr">
        <is>
          <t>FROZEN</t>
        </is>
      </c>
      <c r="AZ123" s="152">
        <f>IF($A123="","",IFERROR(INDEX(Company_List!$H$3:$H$207,MATCH($A123,Company_List!$A$3:$A$207,0)),"unassigned"))</f>
        <v/>
      </c>
      <c r="BA123" s="152" t="n"/>
      <c r="BB123" s="152" t="n"/>
      <c r="BC123" s="152">
        <f>IF($A123="","",IF(COUNTIFS($A$3:$A123,$A123,$C$3:$C123,$C123,$D$3:$D123,$D123,$G$3:$G123,$G123)=1,1,0))</f>
        <v/>
      </c>
      <c r="BD123" s="152" t="n"/>
      <c r="BE123" s="152" t="n"/>
      <c r="BF123" s="152" t="n"/>
      <c r="BG123" s="152" t="inlineStr">
        <is>
          <t>no</t>
        </is>
      </c>
      <c r="BH123" s="152" t="n"/>
      <c r="BI123" s="152" t="n"/>
      <c r="BJ123" s="152" t="n"/>
      <c r="BK123" s="152">
        <f>IF(OR($H123&lt;&gt;"Human",$S123="",$J123="",$Y123="",$Z123=""),"",IF(EXACT(UPPER($J123),UPPER($Y123)),1,0))</f>
        <v/>
      </c>
      <c r="BL123" s="152" t="inlineStr">
        <is>
          <t>assumed - no rater record</t>
        </is>
      </c>
      <c r="BM123" s="152" t="n">
        <v>1</v>
      </c>
      <c r="BN123" s="152" t="inlineStr">
        <is>
          <t>The Motley Fool</t>
        </is>
      </c>
      <c r="BO123" s="152" t="inlineStr">
        <is>
          <t>free to read, copyright asserted</t>
        </is>
      </c>
      <c r="BP123" s="152" t="inlineStr">
        <is>
          <t>no</t>
        </is>
      </c>
      <c r="BQ123" s="152" t="inlineStr">
        <is>
          <t>yes</t>
        </is>
      </c>
      <c r="BR123" s="152" t="n"/>
      <c r="BS123" s="152" t="inlineStr">
        <is>
          <t>YES</t>
        </is>
      </c>
      <c r="BT123" s="152" t="n"/>
    </row>
    <row r="124" ht="15" customHeight="1" s="241">
      <c r="A124" s="174" t="inlineStr">
        <is>
          <t>Microsoft</t>
        </is>
      </c>
      <c r="B124" s="175">
        <f>IF(A124="","",_xlfn.XLOOKUP(A124, Company_List!$A:$A, Company_List!$B:$B, ""))</f>
        <v/>
      </c>
      <c r="C124" s="176" t="n">
        <v>2026</v>
      </c>
      <c r="D124" s="177" t="inlineStr">
        <is>
          <t>Q1</t>
        </is>
      </c>
      <c r="E124" s="178" t="inlineStr">
        <is>
          <t>Transcript</t>
        </is>
      </c>
      <c r="F124" s="178" t="inlineStr">
        <is>
          <t>All</t>
        </is>
      </c>
      <c r="G124" s="177" t="inlineStr">
        <is>
          <t>Abdul</t>
        </is>
      </c>
      <c r="H124" s="177" t="inlineStr">
        <is>
          <t>Human</t>
        </is>
      </c>
      <c r="I124" s="179" t="n">
        <v>-0.4</v>
      </c>
      <c r="J124" s="180">
        <f>IF(OR(I124="",Settings!$B$6=""),"",IF(I124&gt;Settings!$B$6,"BUY",IF(I124&lt;-Settings!$B$6,"SELL","HOLD")))</f>
        <v/>
      </c>
      <c r="K124" s="181" t="n">
        <v>46</v>
      </c>
      <c r="L124" s="182" t="n">
        <v>45959</v>
      </c>
      <c r="M124" s="182" t="n">
        <v>45959</v>
      </c>
      <c r="N124" s="179" t="n">
        <v>541.55</v>
      </c>
      <c r="O124" s="182" t="n">
        <v>45960</v>
      </c>
      <c r="P124" s="183" t="n">
        <v>530.48</v>
      </c>
      <c r="Q124" s="184">
        <f>IF(OR(N124="",P124=""),"",ROUND((P124-N124)/N124,4))</f>
        <v/>
      </c>
      <c r="R124" s="177">
        <f>IF(OR(N124="",P124=""),"",IF(Q124&gt;Settings!$B$3/100,"UP",IF(Q124&lt;-Settings!$B$3/100,"DOWN","FLAT")))</f>
        <v/>
      </c>
      <c r="S124" s="177">
        <f>IF(OR(N124="",P124="",J124=""),"",IF(OR(AND(J124="BUY",R124="UP"),AND(J124="SELL",R124="DOWN"),AND(J124="HOLD",R124="FLAT")),"YES","NO"))</f>
        <v/>
      </c>
      <c r="T124" s="176">
        <f>IF(J124="","",IF(J124="BUY",1,IF(J124="SELL",-1,0)))</f>
        <v/>
      </c>
      <c r="U124" s="184">
        <f>IFERROR(IF(OR(J124="",N124="",P124=""),"",IF(T124=0,0,T124*Q124-Settings!$B$4/10000-IF(T124&lt;0,Settings!$B$5/10000,0))),"")</f>
        <v/>
      </c>
      <c r="V124" s="185" t="n"/>
      <c r="W124" s="176">
        <f>IF($K124="","",$K124*60)</f>
        <v/>
      </c>
      <c r="X124" s="186">
        <f>IF($A124="","",$A124&amp;"|"&amp;$C124&amp;"|"&amp;$D124)</f>
        <v/>
      </c>
      <c r="Y124" s="186">
        <f>IFERROR(IF($X124="","",INDEX(LLM_Data_Entry!$H$3:$H$548,MATCH($X124,INDEX(LLM_Data_Entry!$A$3:$A$548&amp;"|"&amp;LLM_Data_Entry!$C$3:$C$548&amp;"|"&amp;LLM_Data_Entry!$D$3:$D$548,0),0))),"")</f>
        <v/>
      </c>
      <c r="Z124" s="186">
        <f>IFERROR(IF($X124="","",INDEX(LLM_Data_Entry!$R$3:$R$548,MATCH($X124,INDEX(LLM_Data_Entry!$A$3:$A$548&amp;"|"&amp;LLM_Data_Entry!$C$3:$C$548&amp;"|"&amp;LLM_Data_Entry!$D$3:$D$548,0),0))),"")</f>
        <v/>
      </c>
      <c r="AA124" s="152" t="n"/>
      <c r="AB124" s="152" t="inlineStr">
        <is>
          <t>price signal — only this window shows an abnormal move</t>
        </is>
      </c>
      <c r="AC124" s="152" t="inlineStr">
        <is>
          <t>MSFT</t>
        </is>
      </c>
      <c r="AD124" s="152" t="inlineStr">
        <is>
          <t>2025-10-29</t>
        </is>
      </c>
      <c r="AE124" s="152" t="n">
        <v>538.1418</v>
      </c>
      <c r="AF124" s="152" t="inlineStr">
        <is>
          <t>2025-10-30</t>
        </is>
      </c>
      <c r="AG124" s="152" t="n">
        <v>527.1415</v>
      </c>
      <c r="AH124" s="152" t="n">
        <v>-0.02044124169005466</v>
      </c>
      <c r="AI124" s="152" t="inlineStr">
        <is>
          <t>DOWN</t>
        </is>
      </c>
      <c r="AJ124" s="152" t="inlineStr">
        <is>
          <t>YES</t>
        </is>
      </c>
      <c r="AK124" s="152" t="n">
        <v>0.019441</v>
      </c>
      <c r="AL124" s="152">
        <f>IF($A124="","",IFERROR(INDEX(Company_List!$G$3:$G$207,MATCH($A124,Company_List!$A$3:$A$207,0)),"unassigned"))</f>
        <v/>
      </c>
      <c r="AM124" s="152" t="inlineStr">
        <is>
          <t>Phase 2/Microsoft/2026-Q1/MSFT-2026-Q1-earnings-call-transcript-microsoft-com.html</t>
        </is>
      </c>
      <c r="AN124" s="152" t="inlineStr">
        <is>
          <t>https://www.microsoft.com/en-us/investor/events/fy-2026/earnings-fy-2026-q1</t>
        </is>
      </c>
      <c r="AO124" s="152" t="inlineStr">
        <is>
          <t>manifest</t>
        </is>
      </c>
      <c r="AP124" s="152">
        <f>IF($A124="","",IF(COUNTIFS(LLM_Data_Entry!$A$3:$A$548,$A124)&gt;0,"YES","NO"))</f>
        <v/>
      </c>
      <c r="AQ124" s="152">
        <f>IF($A124="","",IF(COUNTIFS($A$3:$A124,$A124,$C$3:$C124,$C124,$D$3:$D124,$D124)=1,"YES","NO"))</f>
        <v/>
      </c>
      <c r="AR124" s="152">
        <f>IF($A124="","",IF(AND($C124&amp;"-"&amp;$D124&gt;=Settings!$B$19,$C124&amp;"-"&amp;$D124&lt;=Settings!$B$20),"IN","OUT"))</f>
        <v/>
      </c>
      <c r="AS124" s="152">
        <f>IF($A124="","",IF($F124="Financial Results","financials",IF($F124="Outlook/Guidance","guidance",IF($F124="Transcript Q&amp;A","qanda",IF($F124="","unrecorded",IF($E124="All","full",IF($E124="","unrecorded",LOWER($E124)&amp;" only")))))))</f>
        <v/>
      </c>
      <c r="AT124" s="152">
        <f>IF(AND(OR($J124="BUY",$J124="SELL"),ISNUMBER($U124)),$U124,"")</f>
        <v/>
      </c>
      <c r="AU124" s="152">
        <f>IF(AND(OR($J124="BUY",$J124="SELL"),ISNUMBER($AK124)),$AK124,"")</f>
        <v/>
      </c>
      <c r="AV124" s="152">
        <f>IF(ISNUMBER($AT124),ABS(IF(ISNUMBER($I124),$I124,0)-Settings!$B$24),"")</f>
        <v/>
      </c>
      <c r="AW124" s="152">
        <f>IF(ISNUMBER($AV124),$AV124*$AT124,"")</f>
        <v/>
      </c>
      <c r="AX124" s="152">
        <f>IF(ISNUMBER($AU124),ABS(IF(ISNUMBER($I124),$I124,0)-Settings!$B$24),"")</f>
        <v/>
      </c>
      <c r="AY124" s="152" t="inlineStr">
        <is>
          <t>FROZEN</t>
        </is>
      </c>
      <c r="AZ124" s="152">
        <f>IF($A124="","",IFERROR(INDEX(Company_List!$H$3:$H$207,MATCH($A124,Company_List!$A$3:$A$207,0)),"unassigned"))</f>
        <v/>
      </c>
      <c r="BA124" s="152" t="n"/>
      <c r="BB124" s="152" t="n"/>
      <c r="BC124" s="152">
        <f>IF($A124="","",IF(COUNTIFS($A$3:$A124,$A124,$C$3:$C124,$C124,$D$3:$D124,$D124,$G$3:$G124,$G124)=1,1,0))</f>
        <v/>
      </c>
      <c r="BD124" s="152" t="n"/>
      <c r="BE124" s="152" t="n"/>
      <c r="BF124" s="152" t="n"/>
      <c r="BG124" s="152" t="inlineStr">
        <is>
          <t>no</t>
        </is>
      </c>
      <c r="BH124" s="152" t="n"/>
      <c r="BI124" s="152" t="n"/>
      <c r="BJ124" s="152" t="n"/>
      <c r="BK124" s="152">
        <f>IF(OR($H124&lt;&gt;"Human",$S124="",$J124="",$Y124="",$Z124=""),"",IF(EXACT(UPPER($J124),UPPER($Y124)),1,0))</f>
        <v/>
      </c>
      <c r="BL124" s="152" t="inlineStr">
        <is>
          <t>assumed - no rater record</t>
        </is>
      </c>
      <c r="BM124" s="152" t="n">
        <v>1</v>
      </c>
      <c r="BN124" s="152" t="inlineStr">
        <is>
          <t>not publisher-identified</t>
        </is>
      </c>
      <c r="BO124" s="152" t="inlineStr">
        <is>
          <t>not publisher-identified</t>
        </is>
      </c>
      <c r="BP124" s="152" t="inlineStr">
        <is>
          <t>no</t>
        </is>
      </c>
      <c r="BQ124" s="152" t="inlineStr">
        <is>
          <t>yes</t>
        </is>
      </c>
      <c r="BR124" s="152" t="n"/>
      <c r="BS124" s="152" t="inlineStr">
        <is>
          <t>YES</t>
        </is>
      </c>
      <c r="BT124" s="152" t="n"/>
    </row>
    <row r="125" ht="15" customHeight="1" s="241">
      <c r="A125" s="174" t="inlineStr">
        <is>
          <t>Ford</t>
        </is>
      </c>
      <c r="B125" s="175">
        <f>IF(A125="","",_xlfn.XLOOKUP(A125, Company_List!$A:$A, Company_List!$B:$B, ""))</f>
        <v/>
      </c>
      <c r="C125" s="176" t="n">
        <v>2025</v>
      </c>
      <c r="D125" s="177" t="inlineStr">
        <is>
          <t>Q2</t>
        </is>
      </c>
      <c r="E125" s="178" t="inlineStr">
        <is>
          <t>Transcript</t>
        </is>
      </c>
      <c r="F125" s="178" t="inlineStr">
        <is>
          <t>All</t>
        </is>
      </c>
      <c r="G125" s="177" t="inlineStr">
        <is>
          <t>Abdul</t>
        </is>
      </c>
      <c r="H125" s="177" t="inlineStr">
        <is>
          <t>Human</t>
        </is>
      </c>
      <c r="I125" s="179" t="n">
        <v>-0.1</v>
      </c>
      <c r="J125" s="180">
        <f>IF(OR(I125="",Settings!$B$6=""),"",IF(I125&gt;Settings!$B$6,"BUY",IF(I125&lt;-Settings!$B$6,"SELL","HOLD")))</f>
        <v/>
      </c>
      <c r="K125" s="181" t="n">
        <v>58</v>
      </c>
      <c r="L125" s="182" t="n">
        <v>45868</v>
      </c>
      <c r="M125" s="182" t="n">
        <v>45868</v>
      </c>
      <c r="N125" s="179" t="n">
        <v>10.87</v>
      </c>
      <c r="O125" s="182" t="n">
        <v>45869</v>
      </c>
      <c r="P125" s="183" t="n">
        <v>10.77</v>
      </c>
      <c r="Q125" s="184">
        <f>IF(OR(N125="",P125=""),"",ROUND((P125-N125)/N125,4))</f>
        <v/>
      </c>
      <c r="R125" s="177">
        <f>IF(OR(N125="",P125=""),"",IF(Q125&gt;Settings!$B$3/100,"UP",IF(Q125&lt;-Settings!$B$3/100,"DOWN","FLAT")))</f>
        <v/>
      </c>
      <c r="S125" s="177">
        <f>IF(OR(N125="",P125="",J125=""),"",IF(OR(AND(J125="BUY",R125="UP"),AND(J125="SELL",R125="DOWN"),AND(J125="HOLD",R125="FLAT")),"YES","NO"))</f>
        <v/>
      </c>
      <c r="T125" s="176">
        <f>IF(J125="","",IF(J125="BUY",1,IF(J125="SELL",-1,0)))</f>
        <v/>
      </c>
      <c r="U125" s="184">
        <f>IFERROR(IF(OR(J125="",N125="",P125=""),"",IF(T125=0,0,T125*Q125-Settings!$B$4/10000-IF(T125&lt;0,Settings!$B$5/10000,0))),"")</f>
        <v/>
      </c>
      <c r="V125" s="185" t="n"/>
      <c r="W125" s="176">
        <f>IF($K125="","",$K125*60)</f>
        <v/>
      </c>
      <c r="X125" s="186">
        <f>IF($A125="","",$A125&amp;"|"&amp;$C125&amp;"|"&amp;$D125)</f>
        <v/>
      </c>
      <c r="Y125" s="186">
        <f>IFERROR(IF($X125="","",INDEX(LLM_Data_Entry!$H$3:$H$548,MATCH($X125,INDEX(LLM_Data_Entry!$A$3:$A$548&amp;"|"&amp;LLM_Data_Entry!$C$3:$C$548&amp;"|"&amp;LLM_Data_Entry!$D$3:$D$548,0),0))),"")</f>
        <v/>
      </c>
      <c r="Z125" s="186">
        <f>IFERROR(IF($X125="","",INDEX(LLM_Data_Entry!$R$3:$R$548,MATCH($X125,INDEX(LLM_Data_Entry!$A$3:$A$548&amp;"|"&amp;LLM_Data_Entry!$C$3:$C$548&amp;"|"&amp;LLM_Data_Entry!$D$3:$D$548,0),0))),"")</f>
        <v/>
      </c>
      <c r="AA125" s="152" t="n"/>
      <c r="AB125" s="152" t="inlineStr">
        <is>
          <t>price signal — only this window shows an abnormal move</t>
        </is>
      </c>
      <c r="AC125" s="152" t="inlineStr">
        <is>
          <t>F</t>
        </is>
      </c>
      <c r="AD125" s="152" t="inlineStr">
        <is>
          <t>2025-07-30</t>
        </is>
      </c>
      <c r="AE125" s="152" t="n">
        <v>10.3591</v>
      </c>
      <c r="AF125" s="152" t="inlineStr">
        <is>
          <t>2025-07-31</t>
        </is>
      </c>
      <c r="AG125" s="152" t="n">
        <v>10.2638</v>
      </c>
      <c r="AH125" s="152" t="n">
        <v>-0.009199603761870054</v>
      </c>
      <c r="AI125" s="152" t="inlineStr">
        <is>
          <t>FLAT</t>
        </is>
      </c>
      <c r="AJ125" s="152" t="inlineStr">
        <is>
          <t>YES</t>
        </is>
      </c>
      <c r="AK125" s="152" t="n">
        <v>0</v>
      </c>
      <c r="AL125" s="152">
        <f>IF($A125="","",IFERROR(INDEX(Company_List!$G$3:$G$207,MATCH($A125,Company_List!$A$3:$A$207,0)),"unassigned"))</f>
        <v/>
      </c>
      <c r="AM125" s="152" t="inlineStr">
        <is>
          <t>Phase 2/Ford/Ford-Q2-2025-Earnings-Call-Transcript.pdf</t>
        </is>
      </c>
      <c r="AN125" s="152" t="n"/>
      <c r="AO125" s="152" t="inlineStr">
        <is>
          <t>unique filename match</t>
        </is>
      </c>
      <c r="AP125" s="152">
        <f>IF($A125="","",IF(COUNTIFS(LLM_Data_Entry!$A$3:$A$548,$A125)&gt;0,"YES","NO"))</f>
        <v/>
      </c>
      <c r="AQ125" s="152">
        <f>IF($A125="","",IF(COUNTIFS($A$3:$A125,$A125,$C$3:$C125,$C125,$D$3:$D125,$D125)=1,"YES","NO"))</f>
        <v/>
      </c>
      <c r="AR125" s="152">
        <f>IF($A125="","",IF(AND($C125&amp;"-"&amp;$D125&gt;=Settings!$B$19,$C125&amp;"-"&amp;$D125&lt;=Settings!$B$20),"IN","OUT"))</f>
        <v/>
      </c>
      <c r="AS125" s="152">
        <f>IF($A125="","",IF($F125="Financial Results","financials",IF($F125="Outlook/Guidance","guidance",IF($F125="Transcript Q&amp;A","qanda",IF($F125="","unrecorded",IF($E125="All","full",IF($E125="","unrecorded",LOWER($E125)&amp;" only")))))))</f>
        <v/>
      </c>
      <c r="AT125" s="152">
        <f>IF(AND(OR($J125="BUY",$J125="SELL"),ISNUMBER($U125)),$U125,"")</f>
        <v/>
      </c>
      <c r="AU125" s="152">
        <f>IF(AND(OR($J125="BUY",$J125="SELL"),ISNUMBER($AK125)),$AK125,"")</f>
        <v/>
      </c>
      <c r="AV125" s="152">
        <f>IF(ISNUMBER($AT125),ABS(IF(ISNUMBER($I125),$I125,0)-Settings!$B$24),"")</f>
        <v/>
      </c>
      <c r="AW125" s="152">
        <f>IF(ISNUMBER($AV125),$AV125*$AT125,"")</f>
        <v/>
      </c>
      <c r="AX125" s="152">
        <f>IF(ISNUMBER($AU125),ABS(IF(ISNUMBER($I125),$I125,0)-Settings!$B$24),"")</f>
        <v/>
      </c>
      <c r="AY125" s="152" t="inlineStr">
        <is>
          <t>FROZEN</t>
        </is>
      </c>
      <c r="AZ125" s="152">
        <f>IF($A125="","",IFERROR(INDEX(Company_List!$H$3:$H$207,MATCH($A125,Company_List!$A$3:$A$207,0)),"unassigned"))</f>
        <v/>
      </c>
      <c r="BA125" s="152" t="n"/>
      <c r="BB125" s="152" t="n"/>
      <c r="BC125" s="152">
        <f>IF($A125="","",IF(COUNTIFS($A$3:$A125,$A125,$C$3:$C125,$C125,$D$3:$D125,$D125,$G$3:$G125,$G125)=1,1,0))</f>
        <v/>
      </c>
      <c r="BD125" s="152" t="n"/>
      <c r="BE125" s="152" t="n"/>
      <c r="BF125" s="152" t="n"/>
      <c r="BG125" s="152" t="inlineStr">
        <is>
          <t>no</t>
        </is>
      </c>
      <c r="BH125" s="152" t="n"/>
      <c r="BI125" s="152" t="n"/>
      <c r="BJ125" s="152" t="n"/>
      <c r="BK125" s="152">
        <f>IF(OR($H125&lt;&gt;"Human",$S125="",$J125="",$Y125="",$Z125=""),"",IF(EXACT(UPPER($J125),UPPER($Y125)),1,0))</f>
        <v/>
      </c>
      <c r="BL125" s="152" t="inlineStr">
        <is>
          <t>assumed - no rater record</t>
        </is>
      </c>
      <c r="BM125" s="152" t="n">
        <v>1</v>
      </c>
      <c r="BN125" s="152" t="inlineStr">
        <is>
          <t>not publisher-identified</t>
        </is>
      </c>
      <c r="BO125" s="152" t="inlineStr">
        <is>
          <t>not publisher-identified</t>
        </is>
      </c>
      <c r="BP125" s="152" t="inlineStr">
        <is>
          <t>no</t>
        </is>
      </c>
      <c r="BQ125" s="152" t="inlineStr">
        <is>
          <t>no</t>
        </is>
      </c>
      <c r="BR125" s="152" t="n"/>
      <c r="BS125" s="152" t="inlineStr">
        <is>
          <t>YES</t>
        </is>
      </c>
      <c r="BT125" s="152" t="n"/>
    </row>
    <row r="126" ht="15" customHeight="1" s="241">
      <c r="A126" s="174" t="inlineStr">
        <is>
          <t>Ford</t>
        </is>
      </c>
      <c r="B126" s="175">
        <f>IF(A126="","",_xlfn.XLOOKUP(A126, Company_List!$A:$A, Company_List!$B:$B, ""))</f>
        <v/>
      </c>
      <c r="C126" s="176" t="n">
        <v>2025</v>
      </c>
      <c r="D126" s="177" t="inlineStr">
        <is>
          <t>Q4</t>
        </is>
      </c>
      <c r="E126" s="178" t="inlineStr">
        <is>
          <t>Transcript</t>
        </is>
      </c>
      <c r="F126" s="178" t="inlineStr">
        <is>
          <t>All</t>
        </is>
      </c>
      <c r="G126" s="177" t="inlineStr">
        <is>
          <t>Abdul</t>
        </is>
      </c>
      <c r="H126" s="177" t="inlineStr">
        <is>
          <t>Human</t>
        </is>
      </c>
      <c r="I126" s="179" t="n">
        <v>0.2</v>
      </c>
      <c r="J126" s="180">
        <f>IF(OR(I126="",Settings!$B$6=""),"",IF(I126&gt;Settings!$B$6,"BUY",IF(I126&lt;-Settings!$B$6,"SELL","HOLD")))</f>
        <v/>
      </c>
      <c r="K126" s="181" t="n">
        <v>48</v>
      </c>
      <c r="L126" s="182" t="n">
        <v>46063</v>
      </c>
      <c r="M126" s="182" t="n">
        <v>46063</v>
      </c>
      <c r="N126" s="179" t="n">
        <v>13.57</v>
      </c>
      <c r="O126" s="182" t="n">
        <v>46064</v>
      </c>
      <c r="P126" s="183" t="n">
        <v>13.62</v>
      </c>
      <c r="Q126" s="184">
        <f>IF(OR(N126="",P126=""),"",ROUND((P126-N126)/N126,4))</f>
        <v/>
      </c>
      <c r="R126" s="177">
        <f>IF(OR(N126="",P126=""),"",IF(Q126&gt;Settings!$B$3/100,"UP",IF(Q126&lt;-Settings!$B$3/100,"DOWN","FLAT")))</f>
        <v/>
      </c>
      <c r="S126" s="177">
        <f>IF(OR(N126="",P126="",J126=""),"",IF(OR(AND(J126="BUY",R126="UP"),AND(J126="SELL",R126="DOWN"),AND(J126="HOLD",R126="FLAT")),"YES","NO"))</f>
        <v/>
      </c>
      <c r="T126" s="176">
        <f>IF(J126="","",IF(J126="BUY",1,IF(J126="SELL",-1,0)))</f>
        <v/>
      </c>
      <c r="U126" s="184">
        <f>IFERROR(IF(OR(J126="",N126="",P126=""),"",IF(T126=0,0,T126*Q126-Settings!$B$4/10000-IF(T126&lt;0,Settings!$B$5/10000,0))),"")</f>
        <v/>
      </c>
      <c r="V126" s="185" t="n"/>
      <c r="W126" s="176">
        <f>IF($K126="","",$K126*60)</f>
        <v/>
      </c>
      <c r="X126" s="186">
        <f>IF($A126="","",$A126&amp;"|"&amp;$C126&amp;"|"&amp;$D126)</f>
        <v/>
      </c>
      <c r="Y126" s="186">
        <f>IFERROR(IF($X126="","",INDEX(LLM_Data_Entry!$H$3:$H$548,MATCH($X126,INDEX(LLM_Data_Entry!$A$3:$A$548&amp;"|"&amp;LLM_Data_Entry!$C$3:$C$548&amp;"|"&amp;LLM_Data_Entry!$D$3:$D$548,0),0))),"")</f>
        <v/>
      </c>
      <c r="Z126" s="186">
        <f>IFERROR(IF($X126="","",INDEX(LLM_Data_Entry!$R$3:$R$548,MATCH($X126,INDEX(LLM_Data_Entry!$A$3:$A$548&amp;"|"&amp;LLM_Data_Entry!$C$3:$C$548&amp;"|"&amp;LLM_Data_Entry!$D$3:$D$548,0),0))),"")</f>
        <v/>
      </c>
      <c r="AA126" s="152" t="n"/>
      <c r="AB126" s="152" t="inlineStr">
        <is>
          <t>earnings calendar, seconded independently</t>
        </is>
      </c>
      <c r="AC126" s="152" t="inlineStr">
        <is>
          <t>F</t>
        </is>
      </c>
      <c r="AD126" s="152" t="inlineStr">
        <is>
          <t>2026-02-10</t>
        </is>
      </c>
      <c r="AE126" s="152" t="n">
        <v>13.2575</v>
      </c>
      <c r="AF126" s="152" t="inlineStr">
        <is>
          <t>2026-02-11</t>
        </is>
      </c>
      <c r="AG126" s="152" t="n">
        <v>13.3063</v>
      </c>
      <c r="AH126" s="152" t="n">
        <v>0.003684683706256294</v>
      </c>
      <c r="AI126" s="152" t="inlineStr">
        <is>
          <t>FLAT</t>
        </is>
      </c>
      <c r="AJ126" s="152" t="inlineStr">
        <is>
          <t>YES</t>
        </is>
      </c>
      <c r="AK126" s="152" t="n">
        <v>0</v>
      </c>
      <c r="AL126" s="152">
        <f>IF($A126="","",IFERROR(INDEX(Company_List!$G$3:$G$207,MATCH($A126,Company_List!$A$3:$A$207,0)),"unassigned"))</f>
        <v/>
      </c>
      <c r="AM126" s="152" t="inlineStr">
        <is>
          <t>Phase 2/Ford/Ford-Q4-2025-Earnings-Call-Transcript.pdf</t>
        </is>
      </c>
      <c r="AN126" s="152" t="n"/>
      <c r="AO126" s="152" t="inlineStr">
        <is>
          <t>unique filename match</t>
        </is>
      </c>
      <c r="AP126" s="152">
        <f>IF($A126="","",IF(COUNTIFS(LLM_Data_Entry!$A$3:$A$548,$A126)&gt;0,"YES","NO"))</f>
        <v/>
      </c>
      <c r="AQ126" s="152">
        <f>IF($A126="","",IF(COUNTIFS($A$3:$A126,$A126,$C$3:$C126,$C126,$D$3:$D126,$D126)=1,"YES","NO"))</f>
        <v/>
      </c>
      <c r="AR126" s="152">
        <f>IF($A126="","",IF(AND($C126&amp;"-"&amp;$D126&gt;=Settings!$B$19,$C126&amp;"-"&amp;$D126&lt;=Settings!$B$20),"IN","OUT"))</f>
        <v/>
      </c>
      <c r="AS126" s="152">
        <f>IF($A126="","",IF($F126="Financial Results","financials",IF($F126="Outlook/Guidance","guidance",IF($F126="Transcript Q&amp;A","qanda",IF($F126="","unrecorded",IF($E126="All","full",IF($E126="","unrecorded",LOWER($E126)&amp;" only")))))))</f>
        <v/>
      </c>
      <c r="AT126" s="152">
        <f>IF(AND(OR($J126="BUY",$J126="SELL"),ISNUMBER($U126)),$U126,"")</f>
        <v/>
      </c>
      <c r="AU126" s="152">
        <f>IF(AND(OR($J126="BUY",$J126="SELL"),ISNUMBER($AK126)),$AK126,"")</f>
        <v/>
      </c>
      <c r="AV126" s="152">
        <f>IF(ISNUMBER($AT126),ABS(IF(ISNUMBER($I126),$I126,0)-Settings!$B$24),"")</f>
        <v/>
      </c>
      <c r="AW126" s="152">
        <f>IF(ISNUMBER($AV126),$AV126*$AT126,"")</f>
        <v/>
      </c>
      <c r="AX126" s="152">
        <f>IF(ISNUMBER($AU126),ABS(IF(ISNUMBER($I126),$I126,0)-Settings!$B$24),"")</f>
        <v/>
      </c>
      <c r="AY126" s="152" t="inlineStr">
        <is>
          <t>FROZEN</t>
        </is>
      </c>
      <c r="AZ126" s="152">
        <f>IF($A126="","",IFERROR(INDEX(Company_List!$H$3:$H$207,MATCH($A126,Company_List!$A$3:$A$207,0)),"unassigned"))</f>
        <v/>
      </c>
      <c r="BA126" s="152" t="n"/>
      <c r="BB126" s="152" t="n"/>
      <c r="BC126" s="152">
        <f>IF($A126="","",IF(COUNTIFS($A$3:$A126,$A126,$C$3:$C126,$C126,$D$3:$D126,$D126,$G$3:$G126,$G126)=1,1,0))</f>
        <v/>
      </c>
      <c r="BD126" s="152" t="n"/>
      <c r="BE126" s="152" t="n"/>
      <c r="BF126" s="152" t="n"/>
      <c r="BG126" s="152" t="inlineStr">
        <is>
          <t>no</t>
        </is>
      </c>
      <c r="BH126" s="152" t="n"/>
      <c r="BI126" s="152" t="n"/>
      <c r="BJ126" s="152" t="n"/>
      <c r="BK126" s="152">
        <f>IF(OR($H126&lt;&gt;"Human",$S126="",$J126="",$Y126="",$Z126=""),"",IF(EXACT(UPPER($J126),UPPER($Y126)),1,0))</f>
        <v/>
      </c>
      <c r="BL126" s="152" t="inlineStr">
        <is>
          <t>assumed - no rater record</t>
        </is>
      </c>
      <c r="BM126" s="152" t="n">
        <v>1</v>
      </c>
      <c r="BN126" s="152" t="inlineStr">
        <is>
          <t>not publisher-identified</t>
        </is>
      </c>
      <c r="BO126" s="152" t="inlineStr">
        <is>
          <t>not publisher-identified</t>
        </is>
      </c>
      <c r="BP126" s="152" t="inlineStr">
        <is>
          <t>no</t>
        </is>
      </c>
      <c r="BQ126" s="152" t="inlineStr">
        <is>
          <t>no</t>
        </is>
      </c>
      <c r="BR126" s="152" t="n"/>
      <c r="BS126" s="152" t="inlineStr">
        <is>
          <t>YES</t>
        </is>
      </c>
      <c r="BT126" s="152" t="n"/>
    </row>
    <row r="127" ht="15" customHeight="1" s="241">
      <c r="A127" s="174" t="inlineStr">
        <is>
          <t>Ford</t>
        </is>
      </c>
      <c r="B127" s="175">
        <f>IF(A127="","",_xlfn.XLOOKUP(A127, Company_List!$A:$A, Company_List!$B:$B, ""))</f>
        <v/>
      </c>
      <c r="C127" s="176" t="n">
        <v>2026</v>
      </c>
      <c r="D127" s="177" t="inlineStr">
        <is>
          <t>Q1</t>
        </is>
      </c>
      <c r="E127" s="178" t="inlineStr">
        <is>
          <t>Transcript</t>
        </is>
      </c>
      <c r="F127" s="178" t="inlineStr">
        <is>
          <t>All</t>
        </is>
      </c>
      <c r="G127" s="177" t="inlineStr">
        <is>
          <t>Abdul</t>
        </is>
      </c>
      <c r="H127" s="177" t="inlineStr">
        <is>
          <t>Human</t>
        </is>
      </c>
      <c r="I127" s="179" t="n">
        <v>-0.3</v>
      </c>
      <c r="J127" s="180">
        <f>IF(OR(I127="",Settings!$B$6=""),"",IF(I127&gt;Settings!$B$6,"BUY",IF(I127&lt;-Settings!$B$6,"SELL","HOLD")))</f>
        <v/>
      </c>
      <c r="K127" s="181" t="n">
        <v>50</v>
      </c>
      <c r="L127" s="182" t="n">
        <v>46141</v>
      </c>
      <c r="M127" s="182" t="n">
        <v>46141</v>
      </c>
      <c r="N127" s="179" t="n">
        <v>12.24</v>
      </c>
      <c r="O127" s="182" t="n">
        <v>46142</v>
      </c>
      <c r="P127" s="183" t="n">
        <v>11.55</v>
      </c>
      <c r="Q127" s="184">
        <f>IF(OR(N127="",P127=""),"",ROUND((P127-N127)/N127,4))</f>
        <v/>
      </c>
      <c r="R127" s="177">
        <f>IF(OR(N127="",P127=""),"",IF(Q127&gt;Settings!$B$3/100,"UP",IF(Q127&lt;-Settings!$B$3/100,"DOWN","FLAT")))</f>
        <v/>
      </c>
      <c r="S127" s="177">
        <f>IF(OR(N127="",P127="",J127=""),"",IF(OR(AND(J127="BUY",R127="UP"),AND(J127="SELL",R127="DOWN"),AND(J127="HOLD",R127="FLAT")),"YES","NO"))</f>
        <v/>
      </c>
      <c r="T127" s="176">
        <f>IF(J127="","",IF(J127="BUY",1,IF(J127="SELL",-1,0)))</f>
        <v/>
      </c>
      <c r="U127" s="184">
        <f>IFERROR(IF(OR(J127="",N127="",P127=""),"",IF(T127=0,0,T127*Q127-Settings!$B$4/10000-IF(T127&lt;0,Settings!$B$5/10000,0))),"")</f>
        <v/>
      </c>
      <c r="V127" s="185" t="n"/>
      <c r="W127" s="176">
        <f>IF($K127="","",$K127*60)</f>
        <v/>
      </c>
      <c r="X127" s="186">
        <f>IF($A127="","",$A127&amp;"|"&amp;$C127&amp;"|"&amp;$D127)</f>
        <v/>
      </c>
      <c r="Y127" s="186">
        <f>IFERROR(IF($X127="","",INDEX(LLM_Data_Entry!$H$3:$H$548,MATCH($X127,INDEX(LLM_Data_Entry!$A$3:$A$548&amp;"|"&amp;LLM_Data_Entry!$C$3:$C$548&amp;"|"&amp;LLM_Data_Entry!$D$3:$D$548,0),0))),"")</f>
        <v/>
      </c>
      <c r="Z127" s="186">
        <f>IFERROR(IF($X127="","",INDEX(LLM_Data_Entry!$R$3:$R$548,MATCH($X127,INDEX(LLM_Data_Entry!$A$3:$A$548&amp;"|"&amp;LLM_Data_Entry!$C$3:$C$548&amp;"|"&amp;LLM_Data_Entry!$D$3:$D$548,0),0))),"")</f>
        <v/>
      </c>
      <c r="AA127" s="152" t="n"/>
      <c r="AB127" s="152" t="inlineStr">
        <is>
          <t>price signal — only this window shows an abnormal move</t>
        </is>
      </c>
      <c r="AC127" s="152" t="inlineStr">
        <is>
          <t>F</t>
        </is>
      </c>
      <c r="AD127" s="152" t="inlineStr">
        <is>
          <t>2026-04-29</t>
        </is>
      </c>
      <c r="AE127" s="152" t="n">
        <v>12.0876</v>
      </c>
      <c r="AF127" s="152" t="inlineStr">
        <is>
          <t>2026-04-30</t>
        </is>
      </c>
      <c r="AG127" s="152" t="n">
        <v>11.4062</v>
      </c>
      <c r="AH127" s="152" t="n">
        <v>-0.05637260433755552</v>
      </c>
      <c r="AI127" s="152" t="inlineStr">
        <is>
          <t>DOWN</t>
        </is>
      </c>
      <c r="AJ127" s="152" t="inlineStr">
        <is>
          <t>YES</t>
        </is>
      </c>
      <c r="AK127" s="152" t="n">
        <v>0.055373</v>
      </c>
      <c r="AL127" s="152">
        <f>IF($A127="","",IFERROR(INDEX(Company_List!$G$3:$G$207,MATCH($A127,Company_List!$A$3:$A$207,0)),"unassigned"))</f>
        <v/>
      </c>
      <c r="AM127" s="152" t="inlineStr">
        <is>
          <t>Phase 2/Ford/Ford-Q1-2026-Earnings-Call-Transcript.pdf</t>
        </is>
      </c>
      <c r="AN127" s="152" t="n"/>
      <c r="AO127" s="152" t="inlineStr">
        <is>
          <t>unique filename match</t>
        </is>
      </c>
      <c r="AP127" s="152">
        <f>IF($A127="","",IF(COUNTIFS(LLM_Data_Entry!$A$3:$A$548,$A127)&gt;0,"YES","NO"))</f>
        <v/>
      </c>
      <c r="AQ127" s="152">
        <f>IF($A127="","",IF(COUNTIFS($A$3:$A127,$A127,$C$3:$C127,$C127,$D$3:$D127,$D127)=1,"YES","NO"))</f>
        <v/>
      </c>
      <c r="AR127" s="152">
        <f>IF($A127="","",IF(AND($C127&amp;"-"&amp;$D127&gt;=Settings!$B$19,$C127&amp;"-"&amp;$D127&lt;=Settings!$B$20),"IN","OUT"))</f>
        <v/>
      </c>
      <c r="AS127" s="152">
        <f>IF($A127="","",IF($F127="Financial Results","financials",IF($F127="Outlook/Guidance","guidance",IF($F127="Transcript Q&amp;A","qanda",IF($F127="","unrecorded",IF($E127="All","full",IF($E127="","unrecorded",LOWER($E127)&amp;" only")))))))</f>
        <v/>
      </c>
      <c r="AT127" s="152">
        <f>IF(AND(OR($J127="BUY",$J127="SELL"),ISNUMBER($U127)),$U127,"")</f>
        <v/>
      </c>
      <c r="AU127" s="152">
        <f>IF(AND(OR($J127="BUY",$J127="SELL"),ISNUMBER($AK127)),$AK127,"")</f>
        <v/>
      </c>
      <c r="AV127" s="152">
        <f>IF(ISNUMBER($AT127),ABS(IF(ISNUMBER($I127),$I127,0)-Settings!$B$24),"")</f>
        <v/>
      </c>
      <c r="AW127" s="152">
        <f>IF(ISNUMBER($AV127),$AV127*$AT127,"")</f>
        <v/>
      </c>
      <c r="AX127" s="152">
        <f>IF(ISNUMBER($AU127),ABS(IF(ISNUMBER($I127),$I127,0)-Settings!$B$24),"")</f>
        <v/>
      </c>
      <c r="AY127" s="152" t="inlineStr">
        <is>
          <t>FROZEN</t>
        </is>
      </c>
      <c r="AZ127" s="152">
        <f>IF($A127="","",IFERROR(INDEX(Company_List!$H$3:$H$207,MATCH($A127,Company_List!$A$3:$A$207,0)),"unassigned"))</f>
        <v/>
      </c>
      <c r="BA127" s="152" t="n"/>
      <c r="BB127" s="152" t="n"/>
      <c r="BC127" s="152">
        <f>IF($A127="","",IF(COUNTIFS($A$3:$A127,$A127,$C$3:$C127,$C127,$D$3:$D127,$D127,$G$3:$G127,$G127)=1,1,0))</f>
        <v/>
      </c>
      <c r="BD127" s="152" t="n"/>
      <c r="BE127" s="152" t="n"/>
      <c r="BF127" s="152" t="n"/>
      <c r="BG127" s="152" t="inlineStr">
        <is>
          <t>no</t>
        </is>
      </c>
      <c r="BH127" s="152" t="n"/>
      <c r="BI127" s="152" t="n"/>
      <c r="BJ127" s="152" t="n"/>
      <c r="BK127" s="152">
        <f>IF(OR($H127&lt;&gt;"Human",$S127="",$J127="",$Y127="",$Z127=""),"",IF(EXACT(UPPER($J127),UPPER($Y127)),1,0))</f>
        <v/>
      </c>
      <c r="BL127" s="152" t="inlineStr">
        <is>
          <t>assumed - no rater record</t>
        </is>
      </c>
      <c r="BM127" s="152" t="n">
        <v>1</v>
      </c>
      <c r="BN127" s="152" t="inlineStr">
        <is>
          <t>not publisher-identified</t>
        </is>
      </c>
      <c r="BO127" s="152" t="inlineStr">
        <is>
          <t>not publisher-identified</t>
        </is>
      </c>
      <c r="BP127" s="152" t="inlineStr">
        <is>
          <t>no</t>
        </is>
      </c>
      <c r="BQ127" s="152" t="inlineStr">
        <is>
          <t>no</t>
        </is>
      </c>
      <c r="BR127" s="152" t="n"/>
      <c r="BS127" s="152" t="inlineStr">
        <is>
          <t>YES</t>
        </is>
      </c>
      <c r="BT127" s="152" t="n"/>
    </row>
    <row r="128" ht="15" customHeight="1" s="241">
      <c r="A128" s="174" t="inlineStr">
        <is>
          <t>Barclays</t>
        </is>
      </c>
      <c r="B128" s="175">
        <f>IF(A128="","",_xlfn.XLOOKUP(A128, Company_List!$A:$A, Company_List!$B:$B, ""))</f>
        <v/>
      </c>
      <c r="C128" s="176" t="n">
        <v>2025</v>
      </c>
      <c r="D128" s="177" t="inlineStr">
        <is>
          <t>Q2</t>
        </is>
      </c>
      <c r="E128" s="178" t="inlineStr">
        <is>
          <t>Transcript</t>
        </is>
      </c>
      <c r="F128" s="178" t="inlineStr">
        <is>
          <t>All</t>
        </is>
      </c>
      <c r="G128" s="177" t="inlineStr">
        <is>
          <t>Abdul</t>
        </is>
      </c>
      <c r="H128" s="177" t="inlineStr">
        <is>
          <t>Human</t>
        </is>
      </c>
      <c r="I128" s="179" t="n">
        <v>0.4</v>
      </c>
      <c r="J128" s="180">
        <f>IF(OR(I128="",Settings!$B$6=""),"",IF(I128&gt;Settings!$B$6,"BUY",IF(I128&lt;-Settings!$B$6,"SELL","HOLD")))</f>
        <v/>
      </c>
      <c r="K128" s="181" t="n">
        <v>41</v>
      </c>
      <c r="L128" s="182" t="n">
        <v>45867</v>
      </c>
      <c r="M128" s="182" t="n">
        <v>45866</v>
      </c>
      <c r="N128" s="179" t="n">
        <v>19.41</v>
      </c>
      <c r="O128" s="182" t="n">
        <v>45867</v>
      </c>
      <c r="P128" s="183" t="n">
        <v>19.82</v>
      </c>
      <c r="Q128" s="184">
        <f>IF(OR(N128="",P128=""),"",ROUND((P128-N128)/N128,4))</f>
        <v/>
      </c>
      <c r="R128" s="177">
        <f>IF(OR(N128="",P128=""),"",IF(Q128&gt;Settings!$B$3/100,"UP",IF(Q128&lt;-Settings!$B$3/100,"DOWN","FLAT")))</f>
        <v/>
      </c>
      <c r="S128" s="177">
        <f>IF(OR(N128="",P128="",J128=""),"",IF(OR(AND(J128="BUY",R128="UP"),AND(J128="SELL",R128="DOWN"),AND(J128="HOLD",R128="FLAT")),"YES","NO"))</f>
        <v/>
      </c>
      <c r="T128" s="176">
        <f>IF(J128="","",IF(J128="BUY",1,IF(J128="SELL",-1,0)))</f>
        <v/>
      </c>
      <c r="U128" s="184">
        <f>IFERROR(IF(OR(J128="",N128="",P128=""),"",IF(T128=0,0,T128*Q128-Settings!$B$4/10000-IF(T128&lt;0,Settings!$B$5/10000,0))),"")</f>
        <v/>
      </c>
      <c r="V128" s="185" t="n"/>
      <c r="W128" s="176">
        <f>IF($K128="","",$K128*60)</f>
        <v/>
      </c>
      <c r="X128" s="186">
        <f>IF($A128="","",$A128&amp;"|"&amp;$C128&amp;"|"&amp;$D128)</f>
        <v/>
      </c>
      <c r="Y128" s="186">
        <f>IFERROR(IF($X128="","",INDEX(LLM_Data_Entry!$H$3:$H$548,MATCH($X128,INDEX(LLM_Data_Entry!$A$3:$A$548&amp;"|"&amp;LLM_Data_Entry!$C$3:$C$548&amp;"|"&amp;LLM_Data_Entry!$D$3:$D$548,0),0))),"")</f>
        <v/>
      </c>
      <c r="Z128" s="186">
        <f>IFERROR(IF($X128="","",INDEX(LLM_Data_Entry!$R$3:$R$548,MATCH($X128,INDEX(LLM_Data_Entry!$A$3:$A$548&amp;"|"&amp;LLM_Data_Entry!$C$3:$C$548&amp;"|"&amp;LLM_Data_Entry!$D$3:$D$548,0),0))),"")</f>
        <v/>
      </c>
      <c r="AA128" s="152" t="n"/>
      <c r="AB128" s="152" t="inlineStr">
        <is>
          <t>repriced on the issuer's primary listing</t>
        </is>
      </c>
      <c r="AC128" s="152" t="inlineStr">
        <is>
          <t>BARC.L</t>
        </is>
      </c>
      <c r="AD128" s="152" t="inlineStr">
        <is>
          <t>2025-07-28</t>
        </is>
      </c>
      <c r="AE128" s="152" t="n">
        <v>361.0883</v>
      </c>
      <c r="AF128" s="152" t="inlineStr">
        <is>
          <t>2025-07-29</t>
        </is>
      </c>
      <c r="AG128" s="152" t="n">
        <v>359.4888</v>
      </c>
      <c r="AH128" s="152" t="n">
        <v>-0.004429665367434825</v>
      </c>
      <c r="AI128" s="152" t="inlineStr">
        <is>
          <t>FLAT</t>
        </is>
      </c>
      <c r="AJ128" s="152" t="inlineStr">
        <is>
          <t>NO</t>
        </is>
      </c>
      <c r="AK128" s="152" t="n">
        <v>-0.00543</v>
      </c>
      <c r="AL128" s="152">
        <f>IF($A128="","",IFERROR(INDEX(Company_List!$G$3:$G$207,MATCH($A128,Company_List!$A$3:$A$207,0)),"unassigned"))</f>
        <v/>
      </c>
      <c r="AM128" s="152" t="inlineStr">
        <is>
          <t>Phase 2/Barclays/2025-Q2/BCS-2025-Q2-earnings-call-transcript-home-barclays.pdf</t>
        </is>
      </c>
      <c r="AN128" s="152" t="inlineStr">
        <is>
          <t>https://home.barclays/content/dam/home-barclays/documents/investor-relations/ResultAnnouncements/H12025Results/Q225-Q&amp;A-Transcript.pdf</t>
        </is>
      </c>
      <c r="AO128" s="152" t="inlineStr">
        <is>
          <t>manifest</t>
        </is>
      </c>
      <c r="AP128" s="152">
        <f>IF($A128="","",IF(COUNTIFS(LLM_Data_Entry!$A$3:$A$548,$A128)&gt;0,"YES","NO"))</f>
        <v/>
      </c>
      <c r="AQ128" s="152">
        <f>IF($A128="","",IF(COUNTIFS($A$3:$A128,$A128,$C$3:$C128,$C128,$D$3:$D128,$D128)=1,"YES","NO"))</f>
        <v/>
      </c>
      <c r="AR128" s="152">
        <f>IF($A128="","",IF(AND($C128&amp;"-"&amp;$D128&gt;=Settings!$B$19,$C128&amp;"-"&amp;$D128&lt;=Settings!$B$20),"IN","OUT"))</f>
        <v/>
      </c>
      <c r="AS128" s="152">
        <f>IF($A128="","",IF($F128="Financial Results","financials",IF($F128="Outlook/Guidance","guidance",IF($F128="Transcript Q&amp;A","qanda",IF($F128="","unrecorded",IF($E128="All","full",IF($E128="","unrecorded",LOWER($E128)&amp;" only")))))))</f>
        <v/>
      </c>
      <c r="AT128" s="152">
        <f>IF(AND(OR($J128="BUY",$J128="SELL"),ISNUMBER($U128)),$U128,"")</f>
        <v/>
      </c>
      <c r="AU128" s="152">
        <f>IF(AND(OR($J128="BUY",$J128="SELL"),ISNUMBER($AK128)),$AK128,"")</f>
        <v/>
      </c>
      <c r="AV128" s="152">
        <f>IF(ISNUMBER($AT128),ABS(IF(ISNUMBER($I128),$I128,0)-Settings!$B$24),"")</f>
        <v/>
      </c>
      <c r="AW128" s="152">
        <f>IF(ISNUMBER($AV128),$AV128*$AT128,"")</f>
        <v/>
      </c>
      <c r="AX128" s="152">
        <f>IF(ISNUMBER($AU128),ABS(IF(ISNUMBER($I128),$I128,0)-Settings!$B$24),"")</f>
        <v/>
      </c>
      <c r="AY128" s="152" t="inlineStr">
        <is>
          <t>FROZEN</t>
        </is>
      </c>
      <c r="AZ128" s="152">
        <f>IF($A128="","",IFERROR(INDEX(Company_List!$H$3:$H$207,MATCH($A128,Company_List!$A$3:$A$207,0)),"unassigned"))</f>
        <v/>
      </c>
      <c r="BA128" s="152" t="n"/>
      <c r="BB128" s="152" t="n"/>
      <c r="BC128" s="152">
        <f>IF($A128="","",IF(COUNTIFS($A$3:$A128,$A128,$C$3:$C128,$C128,$D$3:$D128,$D128,$G$3:$G128,$G128)=1,1,0))</f>
        <v/>
      </c>
      <c r="BD128" s="152" t="n"/>
      <c r="BE128" s="152" t="n"/>
      <c r="BF128" s="152" t="n"/>
      <c r="BG128" s="152" t="inlineStr">
        <is>
          <t>no</t>
        </is>
      </c>
      <c r="BH128" s="152" t="n"/>
      <c r="BI128" s="152" t="n"/>
      <c r="BJ128" s="152" t="n"/>
      <c r="BK128" s="152">
        <f>IF(OR($H128&lt;&gt;"Human",$S128="",$J128="",$Y128="",$Z128=""),"",IF(EXACT(UPPER($J128),UPPER($Y128)),1,0))</f>
        <v/>
      </c>
      <c r="BL128" s="152" t="inlineStr">
        <is>
          <t>assumed - no rater record</t>
        </is>
      </c>
      <c r="BM128" s="152" t="n">
        <v>1</v>
      </c>
      <c r="BN128" s="152" t="inlineStr">
        <is>
          <t>not publisher-identified</t>
        </is>
      </c>
      <c r="BO128" s="152" t="inlineStr">
        <is>
          <t>not publisher-identified</t>
        </is>
      </c>
      <c r="BP128" s="152" t="inlineStr">
        <is>
          <t>no</t>
        </is>
      </c>
      <c r="BQ128" s="152" t="inlineStr">
        <is>
          <t>yes</t>
        </is>
      </c>
      <c r="BR128" s="152" t="n"/>
      <c r="BS128" s="152" t="inlineStr">
        <is>
          <t>YES</t>
        </is>
      </c>
      <c r="BT128" s="152" t="n"/>
    </row>
    <row r="129" ht="15" customHeight="1" s="241">
      <c r="A129" s="174" t="inlineStr">
        <is>
          <t>Barclays</t>
        </is>
      </c>
      <c r="B129" s="175">
        <f>IF(A129="","",_xlfn.XLOOKUP(A129, Company_List!$A:$A, Company_List!$B:$B, ""))</f>
        <v/>
      </c>
      <c r="C129" s="176" t="n">
        <v>2025</v>
      </c>
      <c r="D129" s="177" t="inlineStr">
        <is>
          <t>Q3</t>
        </is>
      </c>
      <c r="E129" s="178" t="inlineStr">
        <is>
          <t>Transcript</t>
        </is>
      </c>
      <c r="F129" s="178" t="inlineStr">
        <is>
          <t>All</t>
        </is>
      </c>
      <c r="G129" s="177" t="inlineStr">
        <is>
          <t>Abdul</t>
        </is>
      </c>
      <c r="H129" s="177" t="inlineStr">
        <is>
          <t>Human</t>
        </is>
      </c>
      <c r="I129" s="179" t="n">
        <v>0.3</v>
      </c>
      <c r="J129" s="180">
        <f>IF(OR(I129="",Settings!$B$6=""),"",IF(I129&gt;Settings!$B$6,"BUY",IF(I129&lt;-Settings!$B$6,"SELL","HOLD")))</f>
        <v/>
      </c>
      <c r="K129" s="181" t="n">
        <v>45</v>
      </c>
      <c r="L129" s="182" t="n">
        <v>45952</v>
      </c>
      <c r="M129" s="182" t="n">
        <v>45951</v>
      </c>
      <c r="N129" s="179" t="n">
        <v>19.49</v>
      </c>
      <c r="O129" s="182" t="n">
        <v>45952</v>
      </c>
      <c r="P129" s="183" t="n">
        <v>20.47</v>
      </c>
      <c r="Q129" s="184">
        <f>IF(OR(N129="",P129=""),"",ROUND((P129-N129)/N129,4))</f>
        <v/>
      </c>
      <c r="R129" s="177">
        <f>IF(OR(N129="",P129=""),"",IF(Q129&gt;Settings!$B$3/100,"UP",IF(Q129&lt;-Settings!$B$3/100,"DOWN","FLAT")))</f>
        <v/>
      </c>
      <c r="S129" s="177">
        <f>IF(OR(N129="",P129="",J129=""),"",IF(OR(AND(J129="BUY",R129="UP"),AND(J129="SELL",R129="DOWN"),AND(J129="HOLD",R129="FLAT")),"YES","NO"))</f>
        <v/>
      </c>
      <c r="T129" s="176">
        <f>IF(J129="","",IF(J129="BUY",1,IF(J129="SELL",-1,0)))</f>
        <v/>
      </c>
      <c r="U129" s="184">
        <f>IFERROR(IF(OR(J129="",N129="",P129=""),"",IF(T129=0,0,T129*Q129-Settings!$B$4/10000-IF(T129&lt;0,Settings!$B$5/10000,0))),"")</f>
        <v/>
      </c>
      <c r="V129" s="185" t="n"/>
      <c r="W129" s="176">
        <f>IF($K129="","",$K129*60)</f>
        <v/>
      </c>
      <c r="X129" s="186">
        <f>IF($A129="","",$A129&amp;"|"&amp;$C129&amp;"|"&amp;$D129)</f>
        <v/>
      </c>
      <c r="Y129" s="186">
        <f>IFERROR(IF($X129="","",INDEX(LLM_Data_Entry!$H$3:$H$548,MATCH($X129,INDEX(LLM_Data_Entry!$A$3:$A$548&amp;"|"&amp;LLM_Data_Entry!$C$3:$C$548&amp;"|"&amp;LLM_Data_Entry!$D$3:$D$548,0),0))),"")</f>
        <v/>
      </c>
      <c r="Z129" s="186">
        <f>IFERROR(IF($X129="","",INDEX(LLM_Data_Entry!$R$3:$R$548,MATCH($X129,INDEX(LLM_Data_Entry!$A$3:$A$548&amp;"|"&amp;LLM_Data_Entry!$C$3:$C$548&amp;"|"&amp;LLM_Data_Entry!$D$3:$D$548,0),0))),"")</f>
        <v/>
      </c>
      <c r="AA129" s="152" t="n"/>
      <c r="AB129" s="152" t="inlineStr">
        <is>
          <t>repriced on the issuer's primary listing</t>
        </is>
      </c>
      <c r="AC129" s="152" t="inlineStr">
        <is>
          <t>BARC.L</t>
        </is>
      </c>
      <c r="AD129" s="152" t="inlineStr">
        <is>
          <t>2025-10-21</t>
        </is>
      </c>
      <c r="AE129" s="152" t="n">
        <v>364.1673</v>
      </c>
      <c r="AF129" s="152" t="inlineStr">
        <is>
          <t>2025-10-22</t>
        </is>
      </c>
      <c r="AG129" s="152" t="n">
        <v>372.4154</v>
      </c>
      <c r="AH129" s="152" t="n">
        <v>0.02264928506958951</v>
      </c>
      <c r="AI129" s="152" t="inlineStr">
        <is>
          <t>UP</t>
        </is>
      </c>
      <c r="AJ129" s="152" t="inlineStr">
        <is>
          <t>YES</t>
        </is>
      </c>
      <c r="AK129" s="152" t="n">
        <v>0.021649</v>
      </c>
      <c r="AL129" s="152">
        <f>IF($A129="","",IFERROR(INDEX(Company_List!$G$3:$G$207,MATCH($A129,Company_List!$A$3:$A$207,0)),"unassigned"))</f>
        <v/>
      </c>
      <c r="AM129" s="152" t="inlineStr">
        <is>
          <t>Phase 2/Barclays/2025-Q3/BCS-2025-Q3-earnings-call-transcript-fool-com.html</t>
        </is>
      </c>
      <c r="AN129" s="152" t="inlineStr">
        <is>
          <t>https://www.fool.com/earnings/call-transcripts/2026/04/28/barclays-bcs-q3-2025-earnings-call-transcript/</t>
        </is>
      </c>
      <c r="AO129" s="152" t="inlineStr">
        <is>
          <t>manifest</t>
        </is>
      </c>
      <c r="AP129" s="152">
        <f>IF($A129="","",IF(COUNTIFS(LLM_Data_Entry!$A$3:$A$548,$A129)&gt;0,"YES","NO"))</f>
        <v/>
      </c>
      <c r="AQ129" s="152">
        <f>IF($A129="","",IF(COUNTIFS($A$3:$A129,$A129,$C$3:$C129,$C129,$D$3:$D129,$D129)=1,"YES","NO"))</f>
        <v/>
      </c>
      <c r="AR129" s="152">
        <f>IF($A129="","",IF(AND($C129&amp;"-"&amp;$D129&gt;=Settings!$B$19,$C129&amp;"-"&amp;$D129&lt;=Settings!$B$20),"IN","OUT"))</f>
        <v/>
      </c>
      <c r="AS129" s="152">
        <f>IF($A129="","",IF($F129="Financial Results","financials",IF($F129="Outlook/Guidance","guidance",IF($F129="Transcript Q&amp;A","qanda",IF($F129="","unrecorded",IF($E129="All","full",IF($E129="","unrecorded",LOWER($E129)&amp;" only")))))))</f>
        <v/>
      </c>
      <c r="AT129" s="152">
        <f>IF(AND(OR($J129="BUY",$J129="SELL"),ISNUMBER($U129)),$U129,"")</f>
        <v/>
      </c>
      <c r="AU129" s="152">
        <f>IF(AND(OR($J129="BUY",$J129="SELL"),ISNUMBER($AK129)),$AK129,"")</f>
        <v/>
      </c>
      <c r="AV129" s="152">
        <f>IF(ISNUMBER($AT129),ABS(IF(ISNUMBER($I129),$I129,0)-Settings!$B$24),"")</f>
        <v/>
      </c>
      <c r="AW129" s="152">
        <f>IF(ISNUMBER($AV129),$AV129*$AT129,"")</f>
        <v/>
      </c>
      <c r="AX129" s="152">
        <f>IF(ISNUMBER($AU129),ABS(IF(ISNUMBER($I129),$I129,0)-Settings!$B$24),"")</f>
        <v/>
      </c>
      <c r="AY129" s="152" t="inlineStr">
        <is>
          <t>FROZEN</t>
        </is>
      </c>
      <c r="AZ129" s="152">
        <f>IF($A129="","",IFERROR(INDEX(Company_List!$H$3:$H$207,MATCH($A129,Company_List!$A$3:$A$207,0)),"unassigned"))</f>
        <v/>
      </c>
      <c r="BA129" s="152" t="n"/>
      <c r="BB129" s="152" t="n"/>
      <c r="BC129" s="152">
        <f>IF($A129="","",IF(COUNTIFS($A$3:$A129,$A129,$C$3:$C129,$C129,$D$3:$D129,$D129,$G$3:$G129,$G129)=1,1,0))</f>
        <v/>
      </c>
      <c r="BD129" s="152" t="n"/>
      <c r="BE129" s="152" t="n"/>
      <c r="BF129" s="152" t="n"/>
      <c r="BG129" s="152" t="inlineStr">
        <is>
          <t>no</t>
        </is>
      </c>
      <c r="BH129" s="152" t="n"/>
      <c r="BI129" s="152" t="n"/>
      <c r="BJ129" s="152" t="n"/>
      <c r="BK129" s="152">
        <f>IF(OR($H129&lt;&gt;"Human",$S129="",$J129="",$Y129="",$Z129=""),"",IF(EXACT(UPPER($J129),UPPER($Y129)),1,0))</f>
        <v/>
      </c>
      <c r="BL129" s="152" t="inlineStr">
        <is>
          <t>assumed - no rater record</t>
        </is>
      </c>
      <c r="BM129" s="152" t="n">
        <v>1</v>
      </c>
      <c r="BN129" s="152" t="inlineStr">
        <is>
          <t>The Motley Fool</t>
        </is>
      </c>
      <c r="BO129" s="152" t="inlineStr">
        <is>
          <t>free to read, copyright asserted</t>
        </is>
      </c>
      <c r="BP129" s="152" t="inlineStr">
        <is>
          <t>no</t>
        </is>
      </c>
      <c r="BQ129" s="152" t="inlineStr">
        <is>
          <t>yes</t>
        </is>
      </c>
      <c r="BR129" s="152" t="n"/>
      <c r="BS129" s="152" t="inlineStr">
        <is>
          <t>YES</t>
        </is>
      </c>
      <c r="BT129" s="152" t="n"/>
    </row>
    <row r="130" ht="15" customHeight="1" s="241">
      <c r="A130" s="174" t="inlineStr">
        <is>
          <t>Barclays</t>
        </is>
      </c>
      <c r="B130" s="175">
        <f>IF(A130="","",_xlfn.XLOOKUP(A130, Company_List!$A:$A, Company_List!$B:$B, ""))</f>
        <v/>
      </c>
      <c r="C130" s="176" t="n">
        <v>2026</v>
      </c>
      <c r="D130" s="177" t="inlineStr">
        <is>
          <t>Q1</t>
        </is>
      </c>
      <c r="E130" s="178" t="inlineStr">
        <is>
          <t>Transcript</t>
        </is>
      </c>
      <c r="F130" s="178" t="inlineStr">
        <is>
          <t>All</t>
        </is>
      </c>
      <c r="G130" s="177" t="inlineStr">
        <is>
          <t>Abdul</t>
        </is>
      </c>
      <c r="H130" s="177" t="inlineStr">
        <is>
          <t>Human</t>
        </is>
      </c>
      <c r="I130" s="179" t="n">
        <v>0.1</v>
      </c>
      <c r="J130" s="180">
        <f>IF(OR(I130="",Settings!$B$6=""),"",IF(I130&gt;Settings!$B$6,"BUY",IF(I130&lt;-Settings!$B$6,"SELL","HOLD")))</f>
        <v/>
      </c>
      <c r="K130" s="181" t="n">
        <v>35</v>
      </c>
      <c r="L130" s="182" t="n">
        <v>46140</v>
      </c>
      <c r="M130" s="182" t="n">
        <v>46139</v>
      </c>
      <c r="N130" s="179" t="n">
        <v>23.09</v>
      </c>
      <c r="O130" s="182" t="n">
        <v>46140</v>
      </c>
      <c r="P130" s="183" t="n">
        <v>22.92</v>
      </c>
      <c r="Q130" s="184">
        <f>IF(OR(N130="",P130=""),"",ROUND((P130-N130)/N130,4))</f>
        <v/>
      </c>
      <c r="R130" s="177">
        <f>IF(OR(N130="",P130=""),"",IF(Q130&gt;Settings!$B$3/100,"UP",IF(Q130&lt;-Settings!$B$3/100,"DOWN","FLAT")))</f>
        <v/>
      </c>
      <c r="S130" s="177">
        <f>IF(OR(N130="",P130="",J130=""),"",IF(OR(AND(J130="BUY",R130="UP"),AND(J130="SELL",R130="DOWN"),AND(J130="HOLD",R130="FLAT")),"YES","NO"))</f>
        <v/>
      </c>
      <c r="T130" s="176">
        <f>IF(J130="","",IF(J130="BUY",1,IF(J130="SELL",-1,0)))</f>
        <v/>
      </c>
      <c r="U130" s="184">
        <f>IFERROR(IF(OR(J130="",N130="",P130=""),"",IF(T130=0,0,T130*Q130-Settings!$B$4/10000-IF(T130&lt;0,Settings!$B$5/10000,0))),"")</f>
        <v/>
      </c>
      <c r="V130" s="185" t="n"/>
      <c r="W130" s="176">
        <f>IF($K130="","",$K130*60)</f>
        <v/>
      </c>
      <c r="X130" s="186">
        <f>IF($A130="","",$A130&amp;"|"&amp;$C130&amp;"|"&amp;$D130)</f>
        <v/>
      </c>
      <c r="Y130" s="186">
        <f>IFERROR(IF($X130="","",INDEX(LLM_Data_Entry!$H$3:$H$548,MATCH($X130,INDEX(LLM_Data_Entry!$A$3:$A$548&amp;"|"&amp;LLM_Data_Entry!$C$3:$C$548&amp;"|"&amp;LLM_Data_Entry!$D$3:$D$548,0),0))),"")</f>
        <v/>
      </c>
      <c r="Z130" s="186">
        <f>IFERROR(IF($X130="","",INDEX(LLM_Data_Entry!$R$3:$R$548,MATCH($X130,INDEX(LLM_Data_Entry!$A$3:$A$548&amp;"|"&amp;LLM_Data_Entry!$C$3:$C$548&amp;"|"&amp;LLM_Data_Entry!$D$3:$D$548,0),0))),"")</f>
        <v/>
      </c>
      <c r="AA130" s="152" t="n"/>
      <c r="AB130" s="152" t="inlineStr">
        <is>
          <t>repriced on the issuer's primary listing</t>
        </is>
      </c>
      <c r="AC130" s="152" t="inlineStr">
        <is>
          <t>BARC.L</t>
        </is>
      </c>
      <c r="AD130" s="152" t="inlineStr">
        <is>
          <t>2026-04-27</t>
        </is>
      </c>
      <c r="AE130" s="152" t="n">
        <v>427.3522</v>
      </c>
      <c r="AF130" s="152" t="inlineStr">
        <is>
          <t>2026-04-28</t>
        </is>
      </c>
      <c r="AG130" s="152" t="n">
        <v>417.9532</v>
      </c>
      <c r="AH130" s="152" t="n">
        <v>-0.02199344444484191</v>
      </c>
      <c r="AI130" s="152" t="inlineStr">
        <is>
          <t>DOWN</t>
        </is>
      </c>
      <c r="AJ130" s="152" t="inlineStr">
        <is>
          <t>NO</t>
        </is>
      </c>
      <c r="AK130" s="152" t="n">
        <v>0</v>
      </c>
      <c r="AL130" s="152">
        <f>IF($A130="","",IFERROR(INDEX(Company_List!$G$3:$G$207,MATCH($A130,Company_List!$A$3:$A$207,0)),"unassigned"))</f>
        <v/>
      </c>
      <c r="AM130" s="152" t="inlineStr">
        <is>
          <t>Phase 2/Barclays/2026-Q1/BCS-2026-Q1-earnings-call-transcript-home-barclays.pdf</t>
        </is>
      </c>
      <c r="AN130" s="152" t="inlineStr">
        <is>
          <t>https://home.barclays/content/dam/home-barclays/documents/investor-relations/ResultAnnouncements/Q12026Results/Q126%20Results%20QA%20transcript.pdf</t>
        </is>
      </c>
      <c r="AO130" s="152" t="inlineStr">
        <is>
          <t>manifest</t>
        </is>
      </c>
      <c r="AP130" s="152">
        <f>IF($A130="","",IF(COUNTIFS(LLM_Data_Entry!$A$3:$A$548,$A130)&gt;0,"YES","NO"))</f>
        <v/>
      </c>
      <c r="AQ130" s="152">
        <f>IF($A130="","",IF(COUNTIFS($A$3:$A130,$A130,$C$3:$C130,$C130,$D$3:$D130,$D130)=1,"YES","NO"))</f>
        <v/>
      </c>
      <c r="AR130" s="152">
        <f>IF($A130="","",IF(AND($C130&amp;"-"&amp;$D130&gt;=Settings!$B$19,$C130&amp;"-"&amp;$D130&lt;=Settings!$B$20),"IN","OUT"))</f>
        <v/>
      </c>
      <c r="AS130" s="152">
        <f>IF($A130="","",IF($F130="Financial Results","financials",IF($F130="Outlook/Guidance","guidance",IF($F130="Transcript Q&amp;A","qanda",IF($F130="","unrecorded",IF($E130="All","full",IF($E130="","unrecorded",LOWER($E130)&amp;" only")))))))</f>
        <v/>
      </c>
      <c r="AT130" s="152">
        <f>IF(AND(OR($J130="BUY",$J130="SELL"),ISNUMBER($U130)),$U130,"")</f>
        <v/>
      </c>
      <c r="AU130" s="152">
        <f>IF(AND(OR($J130="BUY",$J130="SELL"),ISNUMBER($AK130)),$AK130,"")</f>
        <v/>
      </c>
      <c r="AV130" s="152">
        <f>IF(ISNUMBER($AT130),ABS(IF(ISNUMBER($I130),$I130,0)-Settings!$B$24),"")</f>
        <v/>
      </c>
      <c r="AW130" s="152">
        <f>IF(ISNUMBER($AV130),$AV130*$AT130,"")</f>
        <v/>
      </c>
      <c r="AX130" s="152">
        <f>IF(ISNUMBER($AU130),ABS(IF(ISNUMBER($I130),$I130,0)-Settings!$B$24),"")</f>
        <v/>
      </c>
      <c r="AY130" s="152" t="inlineStr">
        <is>
          <t>FROZEN</t>
        </is>
      </c>
      <c r="AZ130" s="152">
        <f>IF($A130="","",IFERROR(INDEX(Company_List!$H$3:$H$207,MATCH($A130,Company_List!$A$3:$A$207,0)),"unassigned"))</f>
        <v/>
      </c>
      <c r="BA130" s="152" t="n"/>
      <c r="BB130" s="152" t="n"/>
      <c r="BC130" s="152">
        <f>IF($A130="","",IF(COUNTIFS($A$3:$A130,$A130,$C$3:$C130,$C130,$D$3:$D130,$D130,$G$3:$G130,$G130)=1,1,0))</f>
        <v/>
      </c>
      <c r="BD130" s="152" t="n"/>
      <c r="BE130" s="152" t="n"/>
      <c r="BF130" s="152" t="n"/>
      <c r="BG130" s="152" t="inlineStr">
        <is>
          <t>no</t>
        </is>
      </c>
      <c r="BH130" s="152" t="n"/>
      <c r="BI130" s="152" t="n"/>
      <c r="BJ130" s="152" t="n"/>
      <c r="BK130" s="152">
        <f>IF(OR($H130&lt;&gt;"Human",$S130="",$J130="",$Y130="",$Z130=""),"",IF(EXACT(UPPER($J130),UPPER($Y130)),1,0))</f>
        <v/>
      </c>
      <c r="BL130" s="152" t="inlineStr">
        <is>
          <t>assumed - no rater record</t>
        </is>
      </c>
      <c r="BM130" s="152" t="n">
        <v>1</v>
      </c>
      <c r="BN130" s="152" t="inlineStr">
        <is>
          <t>not publisher-identified</t>
        </is>
      </c>
      <c r="BO130" s="152" t="inlineStr">
        <is>
          <t>not publisher-identified</t>
        </is>
      </c>
      <c r="BP130" s="152" t="inlineStr">
        <is>
          <t>no</t>
        </is>
      </c>
      <c r="BQ130" s="152" t="inlineStr">
        <is>
          <t>yes</t>
        </is>
      </c>
      <c r="BR130" s="152" t="n"/>
      <c r="BS130" s="152" t="inlineStr">
        <is>
          <t>YES</t>
        </is>
      </c>
      <c r="BT130" s="152" t="n"/>
    </row>
    <row r="131" ht="15" customHeight="1" s="241">
      <c r="A131" s="174" t="inlineStr">
        <is>
          <t>United Airlines</t>
        </is>
      </c>
      <c r="B131" s="175">
        <f>IF(A131="","",_xlfn.XLOOKUP(A131, Company_List!$A:$A, Company_List!$B:$B, ""))</f>
        <v/>
      </c>
      <c r="C131" s="176" t="n">
        <v>2025</v>
      </c>
      <c r="D131" s="177" t="inlineStr">
        <is>
          <t>Q1</t>
        </is>
      </c>
      <c r="E131" s="178" t="inlineStr">
        <is>
          <t>All</t>
        </is>
      </c>
      <c r="F131" s="178" t="inlineStr">
        <is>
          <t>All</t>
        </is>
      </c>
      <c r="G131" s="177" t="inlineStr">
        <is>
          <t>Nigel</t>
        </is>
      </c>
      <c r="H131" s="177" t="inlineStr">
        <is>
          <t>Human</t>
        </is>
      </c>
      <c r="I131" s="179" t="n">
        <v>0.7</v>
      </c>
      <c r="J131" s="180">
        <f>IF(OR(I131="",Settings!$B$6=""),"",IF(I131&gt;Settings!$B$6,"BUY",IF(I131&lt;-Settings!$B$6,"SELL","HOLD")))</f>
        <v/>
      </c>
      <c r="K131" s="181" t="n">
        <v>18</v>
      </c>
      <c r="L131" s="182" t="n">
        <v>45763</v>
      </c>
      <c r="M131" s="182" t="n">
        <v>45762</v>
      </c>
      <c r="N131" s="179" t="n">
        <v>67</v>
      </c>
      <c r="O131" s="182" t="n">
        <v>45763</v>
      </c>
      <c r="P131" s="183" t="n">
        <v>69.64</v>
      </c>
      <c r="Q131" s="184">
        <f>IF(OR(N131="",P131=""),"",ROUND((P131-N131)/N131,4))</f>
        <v/>
      </c>
      <c r="R131" s="177">
        <f>IF(OR(N131="",P131=""),"",IF(Q131&gt;Settings!$B$3/100,"UP",IF(Q131&lt;-Settings!$B$3/100,"DOWN","FLAT")))</f>
        <v/>
      </c>
      <c r="S131" s="177">
        <f>IF(OR(N131="",P131="",J131=""),"",IF(OR(AND(J131="BUY",R131="UP"),AND(J131="SELL",R131="DOWN"),AND(J131="HOLD",R131="FLAT")),"YES","NO"))</f>
        <v/>
      </c>
      <c r="T131" s="176">
        <f>IF(J131="","",IF(J131="BUY",1,IF(J131="SELL",-1,0)))</f>
        <v/>
      </c>
      <c r="U131" s="184">
        <f>IFERROR(IF(OR(J131="",N131="",P131=""),"",IF(T131=0,0,T131*Q131-Settings!$B$4/10000-IF(T131&lt;0,Settings!$B$5/10000,0))),"")</f>
        <v/>
      </c>
      <c r="V131" s="152" t="inlineStr">
        <is>
          <t>Best Q1 in five years despite macro pressure; growth across diversified revenue streams; largest ASM schedule in history and best on-time performance since 2021; premium and international the main profit sources and less exposed to macro; fleet renewal with older aircraft phasing out; off-peak capacity cuts to trim costs. Q2 demand and RASM assumptions cut conservatively, confident tone.</t>
        </is>
      </c>
      <c r="W131" s="176">
        <f>IF($K131="","",$K131*60)</f>
        <v/>
      </c>
      <c r="X131" s="186">
        <f>IF($A131="","",$A131&amp;"|"&amp;$C131&amp;"|"&amp;$D131)</f>
        <v/>
      </c>
      <c r="Y131" s="186">
        <f>IFERROR(IF($X131="","",INDEX(LLM_Data_Entry!$H$3:$H$548,MATCH($X131,INDEX(LLM_Data_Entry!$A$3:$A$548&amp;"|"&amp;LLM_Data_Entry!$C$3:$C$548&amp;"|"&amp;LLM_Data_Entry!$D$3:$D$548,0),0))),"")</f>
        <v/>
      </c>
      <c r="Z131" s="186">
        <f>IFERROR(IF($X131="","",INDEX(LLM_Data_Entry!$R$3:$R$548,MATCH($X131,INDEX(LLM_Data_Entry!$A$3:$A$548&amp;"|"&amp;LLM_Data_Entry!$C$3:$C$548&amp;"|"&amp;LLM_Data_Entry!$D$3:$D$548,0),0))),"")</f>
        <v/>
      </c>
      <c r="AA131" s="152" t="n"/>
      <c r="AB131" s="152" t="inlineStr">
        <is>
          <t>price signal — only this window shows an abnormal move</t>
        </is>
      </c>
      <c r="AC131" s="152" t="inlineStr">
        <is>
          <t>UAL</t>
        </is>
      </c>
      <c r="AD131" s="152" t="inlineStr">
        <is>
          <t>2025-04-15</t>
        </is>
      </c>
      <c r="AE131" s="152" t="n">
        <v>67</v>
      </c>
      <c r="AF131" s="152" t="inlineStr">
        <is>
          <t>2025-04-16</t>
        </is>
      </c>
      <c r="AG131" s="152" t="n">
        <v>69.64</v>
      </c>
      <c r="AH131" s="152" t="n">
        <v>0.03940297014925378</v>
      </c>
      <c r="AI131" s="152" t="inlineStr">
        <is>
          <t>UP</t>
        </is>
      </c>
      <c r="AJ131" s="152" t="inlineStr">
        <is>
          <t>YES</t>
        </is>
      </c>
      <c r="AK131" s="152" t="n">
        <v>0.038403</v>
      </c>
      <c r="AL131" s="152">
        <f>IF($A131="","",IFERROR(INDEX(Company_List!$G$3:$G$207,MATCH($A131,Company_List!$A$3:$A$207,0)),"unassigned"))</f>
        <v/>
      </c>
      <c r="AM131" s="152" t="inlineStr">
        <is>
          <t>Phase 2/United Airlines/Q1/Q1 2025 United Airlines Holdings Inc Earnings Call Transcript.pdf; Phase 2/United Airlines/Q1/Q1 2025 Financial Results Final.pdf</t>
        </is>
      </c>
      <c r="AN131" s="152" t="n"/>
      <c r="AO131" s="152" t="inlineStr">
        <is>
          <t>whole bundle (Document = All)</t>
        </is>
      </c>
      <c r="AP131" s="152">
        <f>IF($A131="","",IF(COUNTIFS(LLM_Data_Entry!$A$3:$A$548,$A131)&gt;0,"YES","NO"))</f>
        <v/>
      </c>
      <c r="AQ131" s="152">
        <f>IF($A131="","",IF(COUNTIFS($A$3:$A131,$A131,$C$3:$C131,$C131,$D$3:$D131,$D131)=1,"YES","NO"))</f>
        <v/>
      </c>
      <c r="AR131" s="152">
        <f>IF($A131="","",IF(AND($C131&amp;"-"&amp;$D131&gt;=Settings!$B$19,$C131&amp;"-"&amp;$D131&lt;=Settings!$B$20),"IN","OUT"))</f>
        <v/>
      </c>
      <c r="AS131" s="152">
        <f>IF($A131="","",IF($F131="Financial Results","financials",IF($F131="Outlook/Guidance","guidance",IF($F131="Transcript Q&amp;A","qanda",IF($F131="","unrecorded",IF($E131="All","full",IF($E131="","unrecorded",LOWER($E131)&amp;" only")))))))</f>
        <v/>
      </c>
      <c r="AT131" s="152">
        <f>IF(AND(OR($J131="BUY",$J131="SELL"),ISNUMBER($U131)),$U131,"")</f>
        <v/>
      </c>
      <c r="AU131" s="152">
        <f>IF(AND(OR($J131="BUY",$J131="SELL"),ISNUMBER($AK131)),$AK131,"")</f>
        <v/>
      </c>
      <c r="AV131" s="152">
        <f>IF(ISNUMBER($AT131),ABS(IF(ISNUMBER($I131),$I131,0)-Settings!$B$24),"")</f>
        <v/>
      </c>
      <c r="AW131" s="152">
        <f>IF(ISNUMBER($AV131),$AV131*$AT131,"")</f>
        <v/>
      </c>
      <c r="AX131" s="152">
        <f>IF(ISNUMBER($AU131),ABS(IF(ISNUMBER($I131),$I131,0)-Settings!$B$24),"")</f>
        <v/>
      </c>
      <c r="AY131" s="152" t="inlineStr">
        <is>
          <t>FROZEN</t>
        </is>
      </c>
      <c r="AZ131" s="152">
        <f>IF($A131="","",IFERROR(INDEX(Company_List!$H$3:$H$207,MATCH($A131,Company_List!$A$3:$A$207,0)),"unassigned"))</f>
        <v/>
      </c>
      <c r="BA131" s="152" t="n"/>
      <c r="BB131" s="152" t="n"/>
      <c r="BC131" s="152">
        <f>IF($A131="","",IF(COUNTIFS($A$3:$A131,$A131,$C$3:$C131,$C131,$D$3:$D131,$D131,$G$3:$G131,$G131)=1,1,0))</f>
        <v/>
      </c>
      <c r="BD131" s="152" t="n"/>
      <c r="BE131" s="152" t="n"/>
      <c r="BF131" s="152" t="n"/>
      <c r="BG131" s="152" t="inlineStr">
        <is>
          <t>no</t>
        </is>
      </c>
      <c r="BH131" s="152" t="n"/>
      <c r="BI131" s="152" t="n"/>
      <c r="BJ131" s="152" t="n"/>
      <c r="BK131" s="152">
        <f>IF(OR($H131&lt;&gt;"Human",$S131="",$J131="",$Y131="",$Z131=""),"",IF(EXACT(UPPER($J131),UPPER($Y131)),1,0))</f>
        <v/>
      </c>
      <c r="BL131" s="152" t="inlineStr">
        <is>
          <t>assumed - no rater record</t>
        </is>
      </c>
      <c r="BM131" s="152" t="n">
        <v>2</v>
      </c>
      <c r="BN131" s="152" t="inlineStr">
        <is>
          <t>not publisher-identified</t>
        </is>
      </c>
      <c r="BO131" s="152" t="inlineStr">
        <is>
          <t>not publisher-identified</t>
        </is>
      </c>
      <c r="BP131" s="152" t="inlineStr">
        <is>
          <t>no</t>
        </is>
      </c>
      <c r="BQ131" s="152" t="inlineStr">
        <is>
          <t>no</t>
        </is>
      </c>
      <c r="BR131" s="152" t="n"/>
      <c r="BS131" s="152" t="inlineStr">
        <is>
          <t>YES</t>
        </is>
      </c>
      <c r="BT131" s="152" t="n"/>
    </row>
    <row r="132" ht="15" customHeight="1" s="241">
      <c r="A132" s="174" t="inlineStr">
        <is>
          <t>United Airlines</t>
        </is>
      </c>
      <c r="B132" s="175">
        <f>IF(A132="","",_xlfn.XLOOKUP(A132, Company_List!$A:$A, Company_List!$B:$B, ""))</f>
        <v/>
      </c>
      <c r="C132" s="176" t="n">
        <v>2025</v>
      </c>
      <c r="D132" s="177" t="inlineStr">
        <is>
          <t>Q2</t>
        </is>
      </c>
      <c r="E132" s="178" t="inlineStr">
        <is>
          <t>All</t>
        </is>
      </c>
      <c r="F132" s="178" t="inlineStr">
        <is>
          <t>All</t>
        </is>
      </c>
      <c r="G132" s="177" t="inlineStr">
        <is>
          <t>Nigel</t>
        </is>
      </c>
      <c r="H132" s="177" t="inlineStr">
        <is>
          <t>Human</t>
        </is>
      </c>
      <c r="I132" s="179" t="n">
        <v>0.4</v>
      </c>
      <c r="J132" s="180">
        <f>IF(OR(I132="",Settings!$B$6=""),"",IF(I132&gt;Settings!$B$6,"BUY",IF(I132&lt;-Settings!$B$6,"SELL","HOLD")))</f>
        <v/>
      </c>
      <c r="K132" s="181" t="n">
        <v>15</v>
      </c>
      <c r="L132" s="182" t="n">
        <v>45855</v>
      </c>
      <c r="M132" s="182" t="n">
        <v>45854</v>
      </c>
      <c r="N132" s="179" t="n">
        <v>88.47</v>
      </c>
      <c r="O132" s="182" t="n">
        <v>45855</v>
      </c>
      <c r="P132" s="183" t="n">
        <v>91.89</v>
      </c>
      <c r="Q132" s="184">
        <f>IF(OR(N132="",P132=""),"",ROUND((P132-N132)/N132,4))</f>
        <v/>
      </c>
      <c r="R132" s="177">
        <f>IF(OR(N132="",P132=""),"",IF(Q132&gt;Settings!$B$3/100,"UP",IF(Q132&lt;-Settings!$B$3/100,"DOWN","FLAT")))</f>
        <v/>
      </c>
      <c r="S132" s="177">
        <f>IF(OR(N132="",P132="",J132=""),"",IF(OR(AND(J132="BUY",R132="UP"),AND(J132="SELL",R132="DOWN"),AND(J132="HOLD",R132="FLAT")),"YES","NO"))</f>
        <v/>
      </c>
      <c r="T132" s="176">
        <f>IF(J132="","",IF(J132="BUY",1,IF(J132="SELL",-1,0)))</f>
        <v/>
      </c>
      <c r="U132" s="184">
        <f>IFERROR(IF(OR(J132="",N132="",P132=""),"",IF(T132=0,0,T132*Q132-Settings!$B$4/10000-IF(T132&lt;0,Settings!$B$5/10000,0))),"")</f>
        <v/>
      </c>
      <c r="V132" s="152" t="inlineStr">
        <is>
          <t>Earnings and pre-tax margin both up and EPS beat Wall Street; weak RASM but better margin outcome; demand stabilised though 5 points softer than expected; costs running better than planned; largest international expansion in its history and continued premium build-out; best departure and cancellation rates since Covid; highest Q2 satisfaction since 2021. Expects less uncertainty in H2 with booking acceleration, confident tone.</t>
        </is>
      </c>
      <c r="W132" s="176">
        <f>IF($K132="","",$K132*60)</f>
        <v/>
      </c>
      <c r="X132" s="186">
        <f>IF($A132="","",$A132&amp;"|"&amp;$C132&amp;"|"&amp;$D132)</f>
        <v/>
      </c>
      <c r="Y132" s="186">
        <f>IFERROR(IF($X132="","",INDEX(LLM_Data_Entry!$H$3:$H$548,MATCH($X132,INDEX(LLM_Data_Entry!$A$3:$A$548&amp;"|"&amp;LLM_Data_Entry!$C$3:$C$548&amp;"|"&amp;LLM_Data_Entry!$D$3:$D$548,0),0))),"")</f>
        <v/>
      </c>
      <c r="Z132" s="186">
        <f>IFERROR(IF($X132="","",INDEX(LLM_Data_Entry!$R$3:$R$548,MATCH($X132,INDEX(LLM_Data_Entry!$A$3:$A$548&amp;"|"&amp;LLM_Data_Entry!$C$3:$C$548&amp;"|"&amp;LLM_Data_Entry!$D$3:$D$548,0),0))),"")</f>
        <v/>
      </c>
      <c r="AA132" s="152" t="n"/>
      <c r="AB132" s="152" t="inlineStr">
        <is>
          <t>recorded price identified against every pulled series</t>
        </is>
      </c>
      <c r="AC132" s="152" t="inlineStr">
        <is>
          <t>UAL</t>
        </is>
      </c>
      <c r="AD132" s="152" t="inlineStr">
        <is>
          <t>2025-07-16</t>
        </is>
      </c>
      <c r="AE132" s="152" t="n">
        <v>88.47</v>
      </c>
      <c r="AF132" s="152" t="inlineStr">
        <is>
          <t>2025-07-17</t>
        </is>
      </c>
      <c r="AG132" s="152" t="n">
        <v>91.89</v>
      </c>
      <c r="AH132" s="152" t="n">
        <v>0.03865714887920038</v>
      </c>
      <c r="AI132" s="152" t="inlineStr">
        <is>
          <t>UP</t>
        </is>
      </c>
      <c r="AJ132" s="152" t="inlineStr">
        <is>
          <t>YES</t>
        </is>
      </c>
      <c r="AK132" s="152" t="n">
        <v>0.037657</v>
      </c>
      <c r="AL132" s="152">
        <f>IF($A132="","",IFERROR(INDEX(Company_List!$G$3:$G$207,MATCH($A132,Company_List!$A$3:$A$207,0)),"unassigned"))</f>
        <v/>
      </c>
      <c r="AM132" s="152" t="inlineStr">
        <is>
          <t>Phase 2/United Airlines/Q2/Q2 2025 United Airlines Holdings Inc Earnings Call Transcript.pdf; Phase 2/United Airlines/Q2/Q2 2025 Investor Update Final.pdf; Phase 2/United Airlines/Q2/Q2 2025 Earnings Release Final.pdf</t>
        </is>
      </c>
      <c r="AN132" s="152" t="n"/>
      <c r="AO132" s="152" t="inlineStr">
        <is>
          <t>whole bundle (Document = All)</t>
        </is>
      </c>
      <c r="AP132" s="152">
        <f>IF($A132="","",IF(COUNTIFS(LLM_Data_Entry!$A$3:$A$548,$A132)&gt;0,"YES","NO"))</f>
        <v/>
      </c>
      <c r="AQ132" s="152">
        <f>IF($A132="","",IF(COUNTIFS($A$3:$A132,$A132,$C$3:$C132,$C132,$D$3:$D132,$D132)=1,"YES","NO"))</f>
        <v/>
      </c>
      <c r="AR132" s="152">
        <f>IF($A132="","",IF(AND($C132&amp;"-"&amp;$D132&gt;=Settings!$B$19,$C132&amp;"-"&amp;$D132&lt;=Settings!$B$20),"IN","OUT"))</f>
        <v/>
      </c>
      <c r="AS132" s="152">
        <f>IF($A132="","",IF($F132="Financial Results","financials",IF($F132="Outlook/Guidance","guidance",IF($F132="Transcript Q&amp;A","qanda",IF($F132="","unrecorded",IF($E132="All","full",IF($E132="","unrecorded",LOWER($E132)&amp;" only")))))))</f>
        <v/>
      </c>
      <c r="AT132" s="152">
        <f>IF(AND(OR($J132="BUY",$J132="SELL"),ISNUMBER($U132)),$U132,"")</f>
        <v/>
      </c>
      <c r="AU132" s="152">
        <f>IF(AND(OR($J132="BUY",$J132="SELL"),ISNUMBER($AK132)),$AK132,"")</f>
        <v/>
      </c>
      <c r="AV132" s="152">
        <f>IF(ISNUMBER($AT132),ABS(IF(ISNUMBER($I132),$I132,0)-Settings!$B$24),"")</f>
        <v/>
      </c>
      <c r="AW132" s="152">
        <f>IF(ISNUMBER($AV132),$AV132*$AT132,"")</f>
        <v/>
      </c>
      <c r="AX132" s="152">
        <f>IF(ISNUMBER($AU132),ABS(IF(ISNUMBER($I132),$I132,0)-Settings!$B$24),"")</f>
        <v/>
      </c>
      <c r="AY132" s="152" t="inlineStr">
        <is>
          <t>FROZEN</t>
        </is>
      </c>
      <c r="AZ132" s="152">
        <f>IF($A132="","",IFERROR(INDEX(Company_List!$H$3:$H$207,MATCH($A132,Company_List!$A$3:$A$207,0)),"unassigned"))</f>
        <v/>
      </c>
      <c r="BA132" s="152" t="n"/>
      <c r="BB132" s="152" t="n"/>
      <c r="BC132" s="152">
        <f>IF($A132="","",IF(COUNTIFS($A$3:$A132,$A132,$C$3:$C132,$C132,$D$3:$D132,$D132,$G$3:$G132,$G132)=1,1,0))</f>
        <v/>
      </c>
      <c r="BD132" s="152" t="n"/>
      <c r="BE132" s="152" t="n"/>
      <c r="BF132" s="152" t="n"/>
      <c r="BG132" s="152" t="inlineStr">
        <is>
          <t>no</t>
        </is>
      </c>
      <c r="BH132" s="152" t="n"/>
      <c r="BI132" s="152" t="n"/>
      <c r="BJ132" s="152" t="n"/>
      <c r="BK132" s="152">
        <f>IF(OR($H132&lt;&gt;"Human",$S132="",$J132="",$Y132="",$Z132=""),"",IF(EXACT(UPPER($J132),UPPER($Y132)),1,0))</f>
        <v/>
      </c>
      <c r="BL132" s="152" t="inlineStr">
        <is>
          <t>assumed - no rater record</t>
        </is>
      </c>
      <c r="BM132" s="152" t="n">
        <v>3</v>
      </c>
      <c r="BN132" s="152" t="inlineStr">
        <is>
          <t>not publisher-identified</t>
        </is>
      </c>
      <c r="BO132" s="152" t="inlineStr">
        <is>
          <t>not publisher-identified</t>
        </is>
      </c>
      <c r="BP132" s="152" t="inlineStr">
        <is>
          <t>no</t>
        </is>
      </c>
      <c r="BQ132" s="152" t="inlineStr">
        <is>
          <t>no</t>
        </is>
      </c>
      <c r="BR132" s="152" t="n"/>
      <c r="BS132" s="152" t="inlineStr">
        <is>
          <t>YES</t>
        </is>
      </c>
      <c r="BT132" s="152" t="n"/>
    </row>
    <row r="133" ht="15" customHeight="1" s="241">
      <c r="A133" s="174" t="inlineStr">
        <is>
          <t>United Airlines</t>
        </is>
      </c>
      <c r="B133" s="175">
        <f>IF(A133="","",_xlfn.XLOOKUP(A133, Company_List!$A:$A, Company_List!$B:$B, ""))</f>
        <v/>
      </c>
      <c r="C133" s="176" t="n">
        <v>2025</v>
      </c>
      <c r="D133" s="177" t="inlineStr">
        <is>
          <t>Q3</t>
        </is>
      </c>
      <c r="E133" s="178" t="inlineStr">
        <is>
          <t>All</t>
        </is>
      </c>
      <c r="F133" s="178" t="inlineStr">
        <is>
          <t>All</t>
        </is>
      </c>
      <c r="G133" s="177" t="inlineStr">
        <is>
          <t>Nigel</t>
        </is>
      </c>
      <c r="H133" s="177" t="inlineStr">
        <is>
          <t>Human</t>
        </is>
      </c>
      <c r="I133" s="179" t="n">
        <v>0.6</v>
      </c>
      <c r="J133" s="180">
        <f>IF(OR(I133="",Settings!$B$6=""),"",IF(I133&gt;Settings!$B$6,"BUY",IF(I133&lt;-Settings!$B$6,"SELL","HOLD")))</f>
        <v/>
      </c>
      <c r="K133" s="181" t="n">
        <v>14</v>
      </c>
      <c r="L133" s="182" t="n">
        <v>45946</v>
      </c>
      <c r="M133" s="182" t="n">
        <v>45945</v>
      </c>
      <c r="N133" s="179" t="n">
        <v>104.05</v>
      </c>
      <c r="O133" s="182" t="n">
        <v>45946</v>
      </c>
      <c r="P133" s="183" t="n">
        <v>102.94</v>
      </c>
      <c r="Q133" s="184">
        <f>IF(OR(N133="",P133=""),"",ROUND((P133-N133)/N133,4))</f>
        <v/>
      </c>
      <c r="R133" s="177">
        <f>IF(OR(N133="",P133=""),"",IF(Q133&gt;Settings!$B$3/100,"UP",IF(Q133&lt;-Settings!$B$3/100,"DOWN","FLAT")))</f>
        <v/>
      </c>
      <c r="S133" s="177">
        <f>IF(OR(N133="",P133="",J133=""),"",IF(OR(AND(J133="BUY",R133="UP"),AND(J133="SELL",R133="DOWN"),AND(J133="HOLD",R133="FLAT")),"YES","NO"))</f>
        <v/>
      </c>
      <c r="T133" s="176">
        <f>IF(J133="","",IF(J133="BUY",1,IF(J133="SELL",-1,0)))</f>
        <v/>
      </c>
      <c r="U133" s="184">
        <f>IFERROR(IF(OR(J133="",N133="",P133=""),"",IF(T133=0,0,T133*Q133-Settings!$B$4/10000-IF(T133&lt;0,Settings!$B$5/10000,0))),"")</f>
        <v/>
      </c>
      <c r="V133" s="152" t="inlineStr">
        <is>
          <t>Profit beat Wall Street and EPS up; record quarterly passenger numbers and improving reliability; brand-loyal base cushioning macro volatility; continued route expansion and customer investment. Guides Q4 to highest quarterly revenue in company history and confident on 2026 margin expansion.</t>
        </is>
      </c>
      <c r="W133" s="176">
        <f>IF($K133="","",$K133*60)</f>
        <v/>
      </c>
      <c r="X133" s="186">
        <f>IF($A133="","",$A133&amp;"|"&amp;$C133&amp;"|"&amp;$D133)</f>
        <v/>
      </c>
      <c r="Y133" s="186">
        <f>IFERROR(IF($X133="","",INDEX(LLM_Data_Entry!$H$3:$H$548,MATCH($X133,INDEX(LLM_Data_Entry!$A$3:$A$548&amp;"|"&amp;LLM_Data_Entry!$C$3:$C$548&amp;"|"&amp;LLM_Data_Entry!$D$3:$D$548,0),0))),"")</f>
        <v/>
      </c>
      <c r="Z133" s="186">
        <f>IFERROR(IF($X133="","",INDEX(LLM_Data_Entry!$R$3:$R$548,MATCH($X133,INDEX(LLM_Data_Entry!$A$3:$A$548&amp;"|"&amp;LLM_Data_Entry!$C$3:$C$548&amp;"|"&amp;LLM_Data_Entry!$D$3:$D$548,0),0))),"")</f>
        <v/>
      </c>
      <c r="AA133" s="152" t="n"/>
      <c r="AB133" s="152" t="inlineStr">
        <is>
          <t>recorded price identified against every pulled series</t>
        </is>
      </c>
      <c r="AC133" s="152" t="inlineStr">
        <is>
          <t>UAL</t>
        </is>
      </c>
      <c r="AD133" s="152" t="inlineStr">
        <is>
          <t>2025-10-15</t>
        </is>
      </c>
      <c r="AE133" s="152" t="n">
        <v>104.05</v>
      </c>
      <c r="AF133" s="152" t="inlineStr">
        <is>
          <t>2025-10-16</t>
        </is>
      </c>
      <c r="AG133" s="152" t="n">
        <v>102.94</v>
      </c>
      <c r="AH133" s="152" t="n">
        <v>-0.01066795740505646</v>
      </c>
      <c r="AI133" s="152" t="inlineStr">
        <is>
          <t>FLAT</t>
        </is>
      </c>
      <c r="AJ133" s="152" t="inlineStr">
        <is>
          <t>NO</t>
        </is>
      </c>
      <c r="AK133" s="152" t="n">
        <v>-0.011668</v>
      </c>
      <c r="AL133" s="152">
        <f>IF($A133="","",IFERROR(INDEX(Company_List!$G$3:$G$207,MATCH($A133,Company_List!$A$3:$A$207,0)),"unassigned"))</f>
        <v/>
      </c>
      <c r="AM133" s="152" t="inlineStr">
        <is>
          <t>Phase 2/United Airlines/Q3/Q3 2025 United Airlines Holdings Inc Earnings Call Transcript.pdf</t>
        </is>
      </c>
      <c r="AN133" s="152" t="n"/>
      <c r="AO133" s="152" t="inlineStr">
        <is>
          <t>unique filename match</t>
        </is>
      </c>
      <c r="AP133" s="152">
        <f>IF($A133="","",IF(COUNTIFS(LLM_Data_Entry!$A$3:$A$548,$A133)&gt;0,"YES","NO"))</f>
        <v/>
      </c>
      <c r="AQ133" s="152">
        <f>IF($A133="","",IF(COUNTIFS($A$3:$A133,$A133,$C$3:$C133,$C133,$D$3:$D133,$D133)=1,"YES","NO"))</f>
        <v/>
      </c>
      <c r="AR133" s="152">
        <f>IF($A133="","",IF(AND($C133&amp;"-"&amp;$D133&gt;=Settings!$B$19,$C133&amp;"-"&amp;$D133&lt;=Settings!$B$20),"IN","OUT"))</f>
        <v/>
      </c>
      <c r="AS133" s="152">
        <f>IF($A133="","",IF($F133="Financial Results","financials",IF($F133="Outlook/Guidance","guidance",IF($F133="Transcript Q&amp;A","qanda",IF($F133="","unrecorded",IF($E133="All","full",IF($E133="","unrecorded",LOWER($E133)&amp;" only")))))))</f>
        <v/>
      </c>
      <c r="AT133" s="152">
        <f>IF(AND(OR($J133="BUY",$J133="SELL"),ISNUMBER($U133)),$U133,"")</f>
        <v/>
      </c>
      <c r="AU133" s="152">
        <f>IF(AND(OR($J133="BUY",$J133="SELL"),ISNUMBER($AK133)),$AK133,"")</f>
        <v/>
      </c>
      <c r="AV133" s="152">
        <f>IF(ISNUMBER($AT133),ABS(IF(ISNUMBER($I133),$I133,0)-Settings!$B$24),"")</f>
        <v/>
      </c>
      <c r="AW133" s="152">
        <f>IF(ISNUMBER($AV133),$AV133*$AT133,"")</f>
        <v/>
      </c>
      <c r="AX133" s="152">
        <f>IF(ISNUMBER($AU133),ABS(IF(ISNUMBER($I133),$I133,0)-Settings!$B$24),"")</f>
        <v/>
      </c>
      <c r="AY133" s="152" t="inlineStr">
        <is>
          <t>FROZEN</t>
        </is>
      </c>
      <c r="AZ133" s="152">
        <f>IF($A133="","",IFERROR(INDEX(Company_List!$H$3:$H$207,MATCH($A133,Company_List!$A$3:$A$207,0)),"unassigned"))</f>
        <v/>
      </c>
      <c r="BA133" s="152" t="n"/>
      <c r="BB133" s="152" t="n"/>
      <c r="BC133" s="152">
        <f>IF($A133="","",IF(COUNTIFS($A$3:$A133,$A133,$C$3:$C133,$C133,$D$3:$D133,$D133,$G$3:$G133,$G133)=1,1,0))</f>
        <v/>
      </c>
      <c r="BD133" s="152" t="n"/>
      <c r="BE133" s="152" t="n"/>
      <c r="BF133" s="152" t="n"/>
      <c r="BG133" s="152" t="inlineStr">
        <is>
          <t>no</t>
        </is>
      </c>
      <c r="BH133" s="152" t="n"/>
      <c r="BI133" s="152" t="n"/>
      <c r="BJ133" s="152" t="n"/>
      <c r="BK133" s="152">
        <f>IF(OR($H133&lt;&gt;"Human",$S133="",$J133="",$Y133="",$Z133=""),"",IF(EXACT(UPPER($J133),UPPER($Y133)),1,0))</f>
        <v/>
      </c>
      <c r="BL133" s="152" t="inlineStr">
        <is>
          <t>assumed - no rater record</t>
        </is>
      </c>
      <c r="BM133" s="152" t="n">
        <v>1</v>
      </c>
      <c r="BN133" s="152" t="inlineStr">
        <is>
          <t>not publisher-identified</t>
        </is>
      </c>
      <c r="BO133" s="152" t="inlineStr">
        <is>
          <t>not publisher-identified</t>
        </is>
      </c>
      <c r="BP133" s="152" t="inlineStr">
        <is>
          <t>no</t>
        </is>
      </c>
      <c r="BQ133" s="152" t="inlineStr">
        <is>
          <t>no</t>
        </is>
      </c>
      <c r="BR133" s="152" t="n"/>
      <c r="BS133" s="152" t="inlineStr">
        <is>
          <t>YES</t>
        </is>
      </c>
      <c r="BT133" s="152" t="n"/>
    </row>
    <row r="134" ht="15" customHeight="1" s="241">
      <c r="A134" s="174" t="inlineStr">
        <is>
          <t>United Airlines</t>
        </is>
      </c>
      <c r="B134" s="175">
        <f>IF(A134="","",_xlfn.XLOOKUP(A134, Company_List!$A:$A, Company_List!$B:$B, ""))</f>
        <v/>
      </c>
      <c r="C134" s="176" t="n">
        <v>2025</v>
      </c>
      <c r="D134" s="177" t="inlineStr">
        <is>
          <t>Q4</t>
        </is>
      </c>
      <c r="E134" s="178" t="inlineStr">
        <is>
          <t>All</t>
        </is>
      </c>
      <c r="F134" s="178" t="inlineStr">
        <is>
          <t>All</t>
        </is>
      </c>
      <c r="G134" s="177" t="inlineStr">
        <is>
          <t>Nigel</t>
        </is>
      </c>
      <c r="H134" s="177" t="inlineStr">
        <is>
          <t>Human</t>
        </is>
      </c>
      <c r="I134" s="179" t="n">
        <v>0.7</v>
      </c>
      <c r="J134" s="180">
        <f>IF(OR(I134="",Settings!$B$6=""),"",IF(I134&gt;Settings!$B$6,"BUY",IF(I134&lt;-Settings!$B$6,"SELL","HOLD")))</f>
        <v/>
      </c>
      <c r="K134" s="181" t="n">
        <v>15</v>
      </c>
      <c r="L134" s="182" t="n">
        <v>46043</v>
      </c>
      <c r="M134" s="182" t="n">
        <v>46042</v>
      </c>
      <c r="N134" s="179" t="n">
        <v>108.57</v>
      </c>
      <c r="O134" s="182" t="n">
        <v>46043</v>
      </c>
      <c r="P134" s="183" t="n">
        <v>111.95</v>
      </c>
      <c r="Q134" s="184">
        <f>IF(OR(N134="",P134=""),"",ROUND((P134-N134)/N134,4))</f>
        <v/>
      </c>
      <c r="R134" s="177">
        <f>IF(OR(N134="",P134=""),"",IF(Q134&gt;Settings!$B$3/100,"UP",IF(Q134&lt;-Settings!$B$3/100,"DOWN","FLAT")))</f>
        <v/>
      </c>
      <c r="S134" s="177">
        <f>IF(OR(N134="",P134="",J134=""),"",IF(OR(AND(J134="BUY",R134="UP"),AND(J134="SELL",R134="DOWN"),AND(J134="HOLD",R134="FLAT")),"YES","NO"))</f>
        <v/>
      </c>
      <c r="T134" s="176">
        <f>IF(J134="","",IF(J134="BUY",1,IF(J134="SELL",-1,0)))</f>
        <v/>
      </c>
      <c r="U134" s="184">
        <f>IFERROR(IF(OR(J134="",N134="",P134=""),"",IF(T134=0,0,T134*Q134-Settings!$B$4/10000-IF(T134&lt;0,Settings!$B$5/10000,0))),"")</f>
        <v/>
      </c>
      <c r="V134" s="185" t="inlineStr">
        <is>
          <t>Highest quarterly revenue and unit revenue in UAL history; record passenger numbers and lowest ever seat cancellation rate; grew faster than any US airline and record November NPS despite the government shutdown; international flying rebounded. Expects sequential improvement and fastest ever international capacity growth in Q1 2026, confident tone.</t>
        </is>
      </c>
      <c r="W134" s="176">
        <f>IF($K134="","",$K134*60)</f>
        <v/>
      </c>
      <c r="X134" s="186">
        <f>IF($A134="","",$A134&amp;"|"&amp;$C134&amp;"|"&amp;$D134)</f>
        <v/>
      </c>
      <c r="Y134" s="186">
        <f>IFERROR(IF($X134="","",INDEX(LLM_Data_Entry!$H$3:$H$548,MATCH($X134,INDEX(LLM_Data_Entry!$A$3:$A$548&amp;"|"&amp;LLM_Data_Entry!$C$3:$C$548&amp;"|"&amp;LLM_Data_Entry!$D$3:$D$548,0),0))),"")</f>
        <v/>
      </c>
      <c r="Z134" s="186">
        <f>IFERROR(IF($X134="","",INDEX(LLM_Data_Entry!$R$3:$R$548,MATCH($X134,INDEX(LLM_Data_Entry!$A$3:$A$548&amp;"|"&amp;LLM_Data_Entry!$C$3:$C$548&amp;"|"&amp;LLM_Data_Entry!$D$3:$D$548,0),0))),"")</f>
        <v/>
      </c>
      <c r="AA134" s="152" t="n"/>
      <c r="AB134" s="152" t="inlineStr">
        <is>
          <t>recorded price identified against every pulled series</t>
        </is>
      </c>
      <c r="AC134" s="152" t="inlineStr">
        <is>
          <t>UAL</t>
        </is>
      </c>
      <c r="AD134" s="152" t="inlineStr">
        <is>
          <t>2026-01-20</t>
        </is>
      </c>
      <c r="AE134" s="152" t="n">
        <v>108.57</v>
      </c>
      <c r="AF134" s="152" t="inlineStr">
        <is>
          <t>2026-01-21</t>
        </is>
      </c>
      <c r="AG134" s="152" t="n">
        <v>111.95</v>
      </c>
      <c r="AH134" s="152" t="n">
        <v>0.03113196094685459</v>
      </c>
      <c r="AI134" s="152" t="inlineStr">
        <is>
          <t>UP</t>
        </is>
      </c>
      <c r="AJ134" s="152" t="inlineStr">
        <is>
          <t>YES</t>
        </is>
      </c>
      <c r="AK134" s="152" t="n">
        <v>0.030132</v>
      </c>
      <c r="AL134" s="152">
        <f>IF($A134="","",IFERROR(INDEX(Company_List!$G$3:$G$207,MATCH($A134,Company_List!$A$3:$A$207,0)),"unassigned"))</f>
        <v/>
      </c>
      <c r="AM134" s="152" t="inlineStr">
        <is>
          <t>Phase 2/United Airlines/Q4/UAL 2025 10K.pdf; Phase 2/United Airlines/Q4/Q4 2025 United Airlines Holdings Inc Earnings Call Transcript.pdf; Phase 2/United Airlines/Q4/4Q_FY25 Earnings Release Final.pdf</t>
        </is>
      </c>
      <c r="AN134" s="152" t="n"/>
      <c r="AO134" s="152" t="inlineStr">
        <is>
          <t>whole bundle (Document = All)</t>
        </is>
      </c>
      <c r="AP134" s="152">
        <f>IF($A134="","",IF(COUNTIFS(LLM_Data_Entry!$A$3:$A$548,$A134)&gt;0,"YES","NO"))</f>
        <v/>
      </c>
      <c r="AQ134" s="152">
        <f>IF($A134="","",IF(COUNTIFS($A$3:$A134,$A134,$C$3:$C134,$C134,$D$3:$D134,$D134)=1,"YES","NO"))</f>
        <v/>
      </c>
      <c r="AR134" s="152">
        <f>IF($A134="","",IF(AND($C134&amp;"-"&amp;$D134&gt;=Settings!$B$19,$C134&amp;"-"&amp;$D134&lt;=Settings!$B$20),"IN","OUT"))</f>
        <v/>
      </c>
      <c r="AS134" s="152">
        <f>IF($A134="","",IF($F134="Financial Results","financials",IF($F134="Outlook/Guidance","guidance",IF($F134="Transcript Q&amp;A","qanda",IF($F134="","unrecorded",IF($E134="All","full",IF($E134="","unrecorded",LOWER($E134)&amp;" only")))))))</f>
        <v/>
      </c>
      <c r="AT134" s="152">
        <f>IF(AND(OR($J134="BUY",$J134="SELL"),ISNUMBER($U134)),$U134,"")</f>
        <v/>
      </c>
      <c r="AU134" s="152">
        <f>IF(AND(OR($J134="BUY",$J134="SELL"),ISNUMBER($AK134)),$AK134,"")</f>
        <v/>
      </c>
      <c r="AV134" s="152">
        <f>IF(ISNUMBER($AT134),ABS(IF(ISNUMBER($I134),$I134,0)-Settings!$B$24),"")</f>
        <v/>
      </c>
      <c r="AW134" s="152">
        <f>IF(ISNUMBER($AV134),$AV134*$AT134,"")</f>
        <v/>
      </c>
      <c r="AX134" s="152">
        <f>IF(ISNUMBER($AU134),ABS(IF(ISNUMBER($I134),$I134,0)-Settings!$B$24),"")</f>
        <v/>
      </c>
      <c r="AY134" s="152" t="inlineStr">
        <is>
          <t>FROZEN</t>
        </is>
      </c>
      <c r="AZ134" s="152">
        <f>IF($A134="","",IFERROR(INDEX(Company_List!$H$3:$H$207,MATCH($A134,Company_List!$A$3:$A$207,0)),"unassigned"))</f>
        <v/>
      </c>
      <c r="BA134" s="152" t="n"/>
      <c r="BB134" s="152" t="n"/>
      <c r="BC134" s="152">
        <f>IF($A134="","",IF(COUNTIFS($A$3:$A134,$A134,$C$3:$C134,$C134,$D$3:$D134,$D134,$G$3:$G134,$G134)=1,1,0))</f>
        <v/>
      </c>
      <c r="BD134" s="152" t="n"/>
      <c r="BE134" s="152" t="n"/>
      <c r="BF134" s="152" t="n"/>
      <c r="BG134" s="152" t="inlineStr">
        <is>
          <t>no</t>
        </is>
      </c>
      <c r="BH134" s="152" t="n"/>
      <c r="BI134" s="152" t="n"/>
      <c r="BJ134" s="152" t="n"/>
      <c r="BK134" s="152">
        <f>IF(OR($H134&lt;&gt;"Human",$S134="",$J134="",$Y134="",$Z134=""),"",IF(EXACT(UPPER($J134),UPPER($Y134)),1,0))</f>
        <v/>
      </c>
      <c r="BL134" s="152" t="inlineStr">
        <is>
          <t>assumed - no rater record</t>
        </is>
      </c>
      <c r="BM134" s="152" t="n">
        <v>3</v>
      </c>
      <c r="BN134" s="152" t="inlineStr">
        <is>
          <t>not publisher-identified</t>
        </is>
      </c>
      <c r="BO134" s="152" t="inlineStr">
        <is>
          <t>not publisher-identified</t>
        </is>
      </c>
      <c r="BP134" s="152" t="inlineStr">
        <is>
          <t>one of several</t>
        </is>
      </c>
      <c r="BQ134" s="152" t="inlineStr">
        <is>
          <t>no</t>
        </is>
      </c>
      <c r="BR134" s="152" t="n"/>
      <c r="BS134" s="152" t="inlineStr">
        <is>
          <t>YES</t>
        </is>
      </c>
      <c r="BT134" s="152" t="n"/>
    </row>
    <row r="135" ht="15" customHeight="1" s="241">
      <c r="A135" s="174" t="inlineStr">
        <is>
          <t>Novo Nordisk</t>
        </is>
      </c>
      <c r="B135" s="175">
        <f>IF(A135="","",_xlfn.XLOOKUP(A135, Company_List!$A:$A, Company_List!$B:$B, ""))</f>
        <v/>
      </c>
      <c r="C135" s="176" t="n">
        <v>2025</v>
      </c>
      <c r="D135" s="177" t="inlineStr">
        <is>
          <t>Q1</t>
        </is>
      </c>
      <c r="E135" s="178" t="inlineStr">
        <is>
          <t>All</t>
        </is>
      </c>
      <c r="F135" s="178" t="inlineStr">
        <is>
          <t>All</t>
        </is>
      </c>
      <c r="G135" s="177" t="inlineStr">
        <is>
          <t>Nigel</t>
        </is>
      </c>
      <c r="H135" s="177" t="inlineStr">
        <is>
          <t>Human</t>
        </is>
      </c>
      <c r="I135" s="179" t="n">
        <v>0.4</v>
      </c>
      <c r="J135" s="180">
        <f>IF(OR(I135="",Settings!$B$6=""),"",IF(I135&gt;Settings!$B$6,"BUY",IF(I135&lt;-Settings!$B$6,"SELL","HOLD")))</f>
        <v/>
      </c>
      <c r="K135" s="181" t="n">
        <v>21</v>
      </c>
      <c r="L135" s="182" t="n">
        <v>45784</v>
      </c>
      <c r="M135" s="182" t="n">
        <v>45783</v>
      </c>
      <c r="N135" s="179" t="n">
        <v>66.29000000000001</v>
      </c>
      <c r="O135" s="182" t="n">
        <v>45784</v>
      </c>
      <c r="P135" s="183" t="n">
        <v>69.34999999999999</v>
      </c>
      <c r="Q135" s="184">
        <f>IF(OR(N135="",P135=""),"",ROUND((P135-N135)/N135,4))</f>
        <v/>
      </c>
      <c r="R135" s="177">
        <f>IF(OR(N135="",P135=""),"",IF(Q135&gt;Settings!$B$3/100,"UP",IF(Q135&lt;-Settings!$B$3/100,"DOWN","FLAT")))</f>
        <v/>
      </c>
      <c r="S135" s="177">
        <f>IF(OR(N135="",P135="",J135=""),"",IF(OR(AND(J135="BUY",R135="UP"),AND(J135="SELL",R135="DOWN"),AND(J135="HOLD",R135="FLAT")),"YES","NO"))</f>
        <v/>
      </c>
      <c r="T135" s="176">
        <f>IF(J135="","",IF(J135="BUY",1,IF(J135="SELL",-1,0)))</f>
        <v/>
      </c>
      <c r="U135" s="184">
        <f>IFERROR(IF(OR(J135="",N135="",P135=""),"",IF(T135=0,0,T135*Q135-Settings!$B$4/10000-IF(T135&lt;0,Settings!$B$5/10000,0))),"")</f>
        <v/>
      </c>
      <c r="V135" s="152" t="inlineStr">
        <is>
          <t>Sales up 18-20% and operating profit up 22% in DKK; 2025 outlook still strong but cut on slower US branded GLP-1 penetration; Wegovy US sales up 39%; sole obesity GLP-1 on CVS national formulary; oral GLP-1 filed for US approval and CagriSema trials promising; slight insulin share loss but still US leader. Guidance lowered, confident tone.</t>
        </is>
      </c>
      <c r="W135" s="176">
        <f>IF($K135="","",$K135*60)</f>
        <v/>
      </c>
      <c r="X135" s="186">
        <f>IF($A135="","",$A135&amp;"|"&amp;$C135&amp;"|"&amp;$D135)</f>
        <v/>
      </c>
      <c r="Y135" s="186">
        <f>IFERROR(IF($X135="","",INDEX(LLM_Data_Entry!$H$3:$H$548,MATCH($X135,INDEX(LLM_Data_Entry!$A$3:$A$548&amp;"|"&amp;LLM_Data_Entry!$C$3:$C$548&amp;"|"&amp;LLM_Data_Entry!$D$3:$D$548,0),0))),"")</f>
        <v/>
      </c>
      <c r="Z135" s="186">
        <f>IFERROR(IF($X135="","",INDEX(LLM_Data_Entry!$R$3:$R$548,MATCH($X135,INDEX(LLM_Data_Entry!$A$3:$A$548&amp;"|"&amp;LLM_Data_Entry!$C$3:$C$548&amp;"|"&amp;LLM_Data_Entry!$D$3:$D$548,0),0))),"")</f>
        <v/>
      </c>
      <c r="AA135" s="152" t="n"/>
      <c r="AB135" s="152" t="inlineStr">
        <is>
          <t>repriced on the issuer's primary listing</t>
        </is>
      </c>
      <c r="AC135" s="152" t="inlineStr">
        <is>
          <t>NOVO-B.CO</t>
        </is>
      </c>
      <c r="AD135" s="152" t="inlineStr">
        <is>
          <t>2025-05-06</t>
        </is>
      </c>
      <c r="AE135" s="152" t="n">
        <v>421.4183</v>
      </c>
      <c r="AF135" s="152" t="inlineStr">
        <is>
          <t>2025-05-07</t>
        </is>
      </c>
      <c r="AG135" s="152" t="n">
        <v>421.3705</v>
      </c>
      <c r="AH135" s="152" t="n">
        <v>-0.0001132916695550904</v>
      </c>
      <c r="AI135" s="152" t="inlineStr">
        <is>
          <t>FLAT</t>
        </is>
      </c>
      <c r="AJ135" s="152" t="inlineStr">
        <is>
          <t>NO</t>
        </is>
      </c>
      <c r="AK135" s="152" t="n">
        <v>-0.001113</v>
      </c>
      <c r="AL135" s="152">
        <f>IF($A135="","",IFERROR(INDEX(Company_List!$G$3:$G$207,MATCH($A135,Company_List!$A$3:$A$207,0)),"unassigned"))</f>
        <v/>
      </c>
      <c r="AM135" s="152" t="inlineStr">
        <is>
          <t>Phase 2/Novo Nordisk/Q1/ca250507-q1-2025-updated.pdf; Phase 2/Novo Nordisk/Q1/Q1-2025-investor-presentation.pdf; Phase 2/Novo Nordisk/Q1/Q1-2025-financial-workbook.xlsx; Phase 2/Novo Nordisk/Q1/Q1 2025 Novo Nordisk A:S Earnings Call Transcript.pdf</t>
        </is>
      </c>
      <c r="AN135" s="152" t="n"/>
      <c r="AO135" s="152" t="inlineStr">
        <is>
          <t>whole bundle (Document = All)</t>
        </is>
      </c>
      <c r="AP135" s="152">
        <f>IF($A135="","",IF(COUNTIFS(LLM_Data_Entry!$A$3:$A$548,$A135)&gt;0,"YES","NO"))</f>
        <v/>
      </c>
      <c r="AQ135" s="152">
        <f>IF($A135="","",IF(COUNTIFS($A$3:$A135,$A135,$C$3:$C135,$C135,$D$3:$D135,$D135)=1,"YES","NO"))</f>
        <v/>
      </c>
      <c r="AR135" s="152">
        <f>IF($A135="","",IF(AND($C135&amp;"-"&amp;$D135&gt;=Settings!$B$19,$C135&amp;"-"&amp;$D135&lt;=Settings!$B$20),"IN","OUT"))</f>
        <v/>
      </c>
      <c r="AS135" s="152">
        <f>IF($A135="","",IF($F135="Financial Results","financials",IF($F135="Outlook/Guidance","guidance",IF($F135="Transcript Q&amp;A","qanda",IF($F135="","unrecorded",IF($E135="All","full",IF($E135="","unrecorded",LOWER($E135)&amp;" only")))))))</f>
        <v/>
      </c>
      <c r="AT135" s="152">
        <f>IF(AND(OR($J135="BUY",$J135="SELL"),ISNUMBER($U135)),$U135,"")</f>
        <v/>
      </c>
      <c r="AU135" s="152">
        <f>IF(AND(OR($J135="BUY",$J135="SELL"),ISNUMBER($AK135)),$AK135,"")</f>
        <v/>
      </c>
      <c r="AV135" s="152">
        <f>IF(ISNUMBER($AT135),ABS(IF(ISNUMBER($I135),$I135,0)-Settings!$B$24),"")</f>
        <v/>
      </c>
      <c r="AW135" s="152">
        <f>IF(ISNUMBER($AV135),$AV135*$AT135,"")</f>
        <v/>
      </c>
      <c r="AX135" s="152">
        <f>IF(ISNUMBER($AU135),ABS(IF(ISNUMBER($I135),$I135,0)-Settings!$B$24),"")</f>
        <v/>
      </c>
      <c r="AY135" s="152" t="inlineStr">
        <is>
          <t>FROZEN</t>
        </is>
      </c>
      <c r="AZ135" s="152">
        <f>IF($A135="","",IFERROR(INDEX(Company_List!$H$3:$H$207,MATCH($A135,Company_List!$A$3:$A$207,0)),"unassigned"))</f>
        <v/>
      </c>
      <c r="BA135" s="152" t="n"/>
      <c r="BB135" s="152" t="n"/>
      <c r="BC135" s="152">
        <f>IF($A135="","",IF(COUNTIFS($A$3:$A135,$A135,$C$3:$C135,$C135,$D$3:$D135,$D135,$G$3:$G135,$G135)=1,1,0))</f>
        <v/>
      </c>
      <c r="BD135" s="152" t="n"/>
      <c r="BE135" s="152" t="n"/>
      <c r="BF135" s="152" t="n"/>
      <c r="BG135" s="152" t="inlineStr">
        <is>
          <t>no</t>
        </is>
      </c>
      <c r="BH135" s="152" t="n"/>
      <c r="BI135" s="152" t="n"/>
      <c r="BJ135" s="152" t="n"/>
      <c r="BK135" s="152">
        <f>IF(OR($H135&lt;&gt;"Human",$S135="",$J135="",$Y135="",$Z135=""),"",IF(EXACT(UPPER($J135),UPPER($Y135)),1,0))</f>
        <v/>
      </c>
      <c r="BL135" s="152" t="inlineStr">
        <is>
          <t>assumed - no rater record</t>
        </is>
      </c>
      <c r="BM135" s="152" t="n">
        <v>4</v>
      </c>
      <c r="BN135" s="152" t="inlineStr">
        <is>
          <t>not publisher-identified</t>
        </is>
      </c>
      <c r="BO135" s="152" t="inlineStr">
        <is>
          <t>not publisher-identified</t>
        </is>
      </c>
      <c r="BP135" s="152" t="inlineStr">
        <is>
          <t>no</t>
        </is>
      </c>
      <c r="BQ135" s="152" t="inlineStr">
        <is>
          <t>no</t>
        </is>
      </c>
      <c r="BR135" s="152" t="n"/>
      <c r="BS135" s="152" t="inlineStr">
        <is>
          <t>YES</t>
        </is>
      </c>
      <c r="BT135" s="152" t="n"/>
    </row>
    <row r="136" ht="15" customHeight="1" s="241">
      <c r="A136" s="174" t="inlineStr">
        <is>
          <t>Novo Nordisk</t>
        </is>
      </c>
      <c r="B136" s="175">
        <f>IF(A136="","",_xlfn.XLOOKUP(A136, Company_List!$A:$A, Company_List!$B:$B, ""))</f>
        <v/>
      </c>
      <c r="C136" s="176" t="n">
        <v>2025</v>
      </c>
      <c r="D136" s="177" t="inlineStr">
        <is>
          <t>Q2</t>
        </is>
      </c>
      <c r="E136" s="178" t="inlineStr">
        <is>
          <t>All</t>
        </is>
      </c>
      <c r="F136" s="178" t="inlineStr">
        <is>
          <t>All</t>
        </is>
      </c>
      <c r="G136" s="177" t="inlineStr">
        <is>
          <t>Nigel</t>
        </is>
      </c>
      <c r="H136" s="177" t="inlineStr">
        <is>
          <t>Human</t>
        </is>
      </c>
      <c r="I136" s="179" t="n">
        <v>0.3</v>
      </c>
      <c r="J136" s="180">
        <f>IF(OR(I136="",Settings!$B$6=""),"",IF(I136&gt;Settings!$B$6,"BUY",IF(I136&lt;-Settings!$B$6,"SELL","HOLD")))</f>
        <v/>
      </c>
      <c r="K136" s="181" t="n">
        <v>25</v>
      </c>
      <c r="L136" s="182" t="n">
        <v>45875</v>
      </c>
      <c r="M136" s="182" t="n">
        <v>45874</v>
      </c>
      <c r="N136" s="179" t="n">
        <v>47.22</v>
      </c>
      <c r="O136" s="182" t="n">
        <v>45875</v>
      </c>
      <c r="P136" s="183" t="n">
        <v>45.97</v>
      </c>
      <c r="Q136" s="184">
        <f>IF(OR(N136="",P136=""),"",ROUND((P136-N136)/N136,4))</f>
        <v/>
      </c>
      <c r="R136" s="177">
        <f>IF(OR(N136="",P136=""),"",IF(Q136&gt;Settings!$B$3/100,"UP",IF(Q136&lt;-Settings!$B$3/100,"DOWN","FLAT")))</f>
        <v/>
      </c>
      <c r="S136" s="177">
        <f>IF(OR(N136="",P136="",J136=""),"",IF(OR(AND(J136="BUY",R136="UP"),AND(J136="SELL",R136="DOWN"),AND(J136="HOLD",R136="FLAT")),"YES","NO"))</f>
        <v/>
      </c>
      <c r="T136" s="176">
        <f>IF(J136="","",IF(J136="BUY",1,IF(J136="SELL",-1,0)))</f>
        <v/>
      </c>
      <c r="U136" s="184">
        <f>IFERROR(IF(OR(J136="",N136="",P136=""),"",IF(T136=0,0,T136*Q136-Settings!$B$4/10000-IF(T136&lt;0,Settings!$B$5/10000,0))),"")</f>
        <v/>
      </c>
      <c r="V136" s="152" t="inlineStr">
        <is>
          <t>Sales up 16% and operating profit up 25%; 2025 outlook lowered again; CagriSema submitted to EU; international obesity care sales up 117% and 71% GLP-1 share; China sales down though share gaining; US diabetes GLP-1 class growth still slowing; new management; conservative downside range provided. Guidance lowered, prepared tone.</t>
        </is>
      </c>
      <c r="W136" s="176">
        <f>IF($K136="","",$K136*60)</f>
        <v/>
      </c>
      <c r="X136" s="186">
        <f>IF($A136="","",$A136&amp;"|"&amp;$C136&amp;"|"&amp;$D136)</f>
        <v/>
      </c>
      <c r="Y136" s="186">
        <f>IFERROR(IF($X136="","",INDEX(LLM_Data_Entry!$H$3:$H$548,MATCH($X136,INDEX(LLM_Data_Entry!$A$3:$A$548&amp;"|"&amp;LLM_Data_Entry!$C$3:$C$548&amp;"|"&amp;LLM_Data_Entry!$D$3:$D$548,0),0))),"")</f>
        <v/>
      </c>
      <c r="Z136" s="186">
        <f>IFERROR(IF($X136="","",INDEX(LLM_Data_Entry!$R$3:$R$548,MATCH($X136,INDEX(LLM_Data_Entry!$A$3:$A$548&amp;"|"&amp;LLM_Data_Entry!$C$3:$C$548&amp;"|"&amp;LLM_Data_Entry!$D$3:$D$548,0),0))),"")</f>
        <v/>
      </c>
      <c r="AA136" s="152" t="n"/>
      <c r="AB136" s="152" t="inlineStr">
        <is>
          <t>repriced on the issuer's primary listing</t>
        </is>
      </c>
      <c r="AC136" s="152" t="inlineStr">
        <is>
          <t>NOVO-B.CO</t>
        </is>
      </c>
      <c r="AD136" s="152" t="inlineStr">
        <is>
          <t>2025-08-05</t>
        </is>
      </c>
      <c r="AE136" s="152" t="n">
        <v>292.284</v>
      </c>
      <c r="AF136" s="152" t="inlineStr">
        <is>
          <t>2025-08-06</t>
        </is>
      </c>
      <c r="AG136" s="152" t="n">
        <v>296.2015</v>
      </c>
      <c r="AH136" s="152" t="n">
        <v>0.01340307368649402</v>
      </c>
      <c r="AI136" s="152" t="inlineStr">
        <is>
          <t>FLAT</t>
        </is>
      </c>
      <c r="AJ136" s="152" t="inlineStr">
        <is>
          <t>NO</t>
        </is>
      </c>
      <c r="AK136" s="152" t="n">
        <v>0.012403</v>
      </c>
      <c r="AL136" s="152">
        <f>IF($A136="","",IFERROR(INDEX(Company_List!$G$3:$G$207,MATCH($A136,Company_List!$A$3:$A$207,0)),"unassigned"))</f>
        <v/>
      </c>
      <c r="AM136" s="152" t="inlineStr">
        <is>
          <t>Phase 2/Novo Nordisk/Q2/Q2-2025-investor-presentation-updated.pdf; Phase 2/Novo Nordisk/Q2/Q2-2025-financial-workbook.xlsx; Phase 2/Novo Nordisk/Q2/Q2 2025 Novo Nordisk A:S Earnings Call Transcript.pdf</t>
        </is>
      </c>
      <c r="AN136" s="152" t="n"/>
      <c r="AO136" s="152" t="inlineStr">
        <is>
          <t>whole bundle (Document = All)</t>
        </is>
      </c>
      <c r="AP136" s="152">
        <f>IF($A136="","",IF(COUNTIFS(LLM_Data_Entry!$A$3:$A$548,$A136)&gt;0,"YES","NO"))</f>
        <v/>
      </c>
      <c r="AQ136" s="152">
        <f>IF($A136="","",IF(COUNTIFS($A$3:$A136,$A136,$C$3:$C136,$C136,$D$3:$D136,$D136)=1,"YES","NO"))</f>
        <v/>
      </c>
      <c r="AR136" s="152">
        <f>IF($A136="","",IF(AND($C136&amp;"-"&amp;$D136&gt;=Settings!$B$19,$C136&amp;"-"&amp;$D136&lt;=Settings!$B$20),"IN","OUT"))</f>
        <v/>
      </c>
      <c r="AS136" s="152">
        <f>IF($A136="","",IF($F136="Financial Results","financials",IF($F136="Outlook/Guidance","guidance",IF($F136="Transcript Q&amp;A","qanda",IF($F136="","unrecorded",IF($E136="All","full",IF($E136="","unrecorded",LOWER($E136)&amp;" only")))))))</f>
        <v/>
      </c>
      <c r="AT136" s="152">
        <f>IF(AND(OR($J136="BUY",$J136="SELL"),ISNUMBER($U136)),$U136,"")</f>
        <v/>
      </c>
      <c r="AU136" s="152">
        <f>IF(AND(OR($J136="BUY",$J136="SELL"),ISNUMBER($AK136)),$AK136,"")</f>
        <v/>
      </c>
      <c r="AV136" s="152">
        <f>IF(ISNUMBER($AT136),ABS(IF(ISNUMBER($I136),$I136,0)-Settings!$B$24),"")</f>
        <v/>
      </c>
      <c r="AW136" s="152">
        <f>IF(ISNUMBER($AV136),$AV136*$AT136,"")</f>
        <v/>
      </c>
      <c r="AX136" s="152">
        <f>IF(ISNUMBER($AU136),ABS(IF(ISNUMBER($I136),$I136,0)-Settings!$B$24),"")</f>
        <v/>
      </c>
      <c r="AY136" s="152" t="inlineStr">
        <is>
          <t>FROZEN</t>
        </is>
      </c>
      <c r="AZ136" s="152">
        <f>IF($A136="","",IFERROR(INDEX(Company_List!$H$3:$H$207,MATCH($A136,Company_List!$A$3:$A$207,0)),"unassigned"))</f>
        <v/>
      </c>
      <c r="BA136" s="152" t="n"/>
      <c r="BB136" s="152" t="n"/>
      <c r="BC136" s="152">
        <f>IF($A136="","",IF(COUNTIFS($A$3:$A136,$A136,$C$3:$C136,$C136,$D$3:$D136,$D136,$G$3:$G136,$G136)=1,1,0))</f>
        <v/>
      </c>
      <c r="BD136" s="152" t="n"/>
      <c r="BE136" s="152" t="n"/>
      <c r="BF136" s="152" t="n"/>
      <c r="BG136" s="152" t="inlineStr">
        <is>
          <t>no</t>
        </is>
      </c>
      <c r="BH136" s="152" t="n"/>
      <c r="BI136" s="152" t="n"/>
      <c r="BJ136" s="152" t="n"/>
      <c r="BK136" s="152">
        <f>IF(OR($H136&lt;&gt;"Human",$S136="",$J136="",$Y136="",$Z136=""),"",IF(EXACT(UPPER($J136),UPPER($Y136)),1,0))</f>
        <v/>
      </c>
      <c r="BL136" s="152" t="inlineStr">
        <is>
          <t>assumed - no rater record</t>
        </is>
      </c>
      <c r="BM136" s="152" t="n">
        <v>3</v>
      </c>
      <c r="BN136" s="152" t="inlineStr">
        <is>
          <t>not publisher-identified</t>
        </is>
      </c>
      <c r="BO136" s="152" t="inlineStr">
        <is>
          <t>not publisher-identified</t>
        </is>
      </c>
      <c r="BP136" s="152" t="inlineStr">
        <is>
          <t>no</t>
        </is>
      </c>
      <c r="BQ136" s="152" t="inlineStr">
        <is>
          <t>no</t>
        </is>
      </c>
      <c r="BR136" s="152" t="n"/>
      <c r="BS136" s="152" t="inlineStr">
        <is>
          <t>YES</t>
        </is>
      </c>
      <c r="BT136" s="152" t="n"/>
    </row>
    <row r="137" ht="15" customHeight="1" s="241">
      <c r="A137" s="174" t="inlineStr">
        <is>
          <t>Novo Nordisk</t>
        </is>
      </c>
      <c r="B137" s="175">
        <f>IF(A137="","",_xlfn.XLOOKUP(A137, Company_List!$A:$A, Company_List!$B:$B, ""))</f>
        <v/>
      </c>
      <c r="C137" s="176" t="n">
        <v>2025</v>
      </c>
      <c r="D137" s="177" t="inlineStr">
        <is>
          <t>Q3</t>
        </is>
      </c>
      <c r="E137" s="178" t="inlineStr">
        <is>
          <t>All</t>
        </is>
      </c>
      <c r="F137" s="178" t="inlineStr">
        <is>
          <t>All</t>
        </is>
      </c>
      <c r="G137" s="177" t="inlineStr">
        <is>
          <t>Nigel</t>
        </is>
      </c>
      <c r="H137" s="177" t="inlineStr">
        <is>
          <t>Human</t>
        </is>
      </c>
      <c r="I137" s="179" t="n">
        <v>0.1</v>
      </c>
      <c r="J137" s="180">
        <f>IF(OR(I137="",Settings!$B$6=""),"",IF(I137&gt;Settings!$B$6,"BUY",IF(I137&lt;-Settings!$B$6,"SELL","HOLD")))</f>
        <v/>
      </c>
      <c r="K137" s="181" t="n">
        <v>22</v>
      </c>
      <c r="L137" s="182" t="n">
        <v>45966</v>
      </c>
      <c r="M137" s="182" t="n">
        <v>45965</v>
      </c>
      <c r="N137" s="179" t="n">
        <v>48.25</v>
      </c>
      <c r="O137" s="182" t="n">
        <v>45966</v>
      </c>
      <c r="P137" s="183" t="n">
        <v>46.98</v>
      </c>
      <c r="Q137" s="184">
        <f>IF(OR(N137="",P137=""),"",ROUND((P137-N137)/N137,4))</f>
        <v/>
      </c>
      <c r="R137" s="177">
        <f>IF(OR(N137="",P137=""),"",IF(Q137&gt;Settings!$B$3/100,"UP",IF(Q137&lt;-Settings!$B$3/100,"DOWN","FLAT")))</f>
        <v/>
      </c>
      <c r="S137" s="177">
        <f>IF(OR(N137="",P137="",J137=""),"",IF(OR(AND(J137="BUY",R137="UP"),AND(J137="SELL",R137="DOWN"),AND(J137="HOLD",R137="FLAT")),"YES","NO"))</f>
        <v/>
      </c>
      <c r="T137" s="176">
        <f>IF(J137="","",IF(J137="BUY",1,IF(J137="SELL",-1,0)))</f>
        <v/>
      </c>
      <c r="U137" s="184">
        <f>IFERROR(IF(OR(J137="",N137="",P137=""),"",IF(T137=0,0,T137*Q137-Settings!$B$4/10000-IF(T137&lt;0,Settings!$B$5/10000,0))),"")</f>
        <v/>
      </c>
      <c r="V137" s="152" t="inlineStr">
        <is>
          <t>Slower sales and profit growth; 2025 outlook cut again; operating profit held back by restructuring costs, 21% underlying; agreed to acquire Akero; diabetes value share down though still leader; intensifying competition and pricing pressure; international sales down; Wegovy still growing strongly; expects lower GLP-1 growth ahead. Guidance lowered, cautious tone.</t>
        </is>
      </c>
      <c r="W137" s="176">
        <f>IF($K137="","",$K137*60)</f>
        <v/>
      </c>
      <c r="X137" s="186">
        <f>IF($A137="","",$A137&amp;"|"&amp;$C137&amp;"|"&amp;$D137)</f>
        <v/>
      </c>
      <c r="Y137" s="186">
        <f>IFERROR(IF($X137="","",INDEX(LLM_Data_Entry!$H$3:$H$548,MATCH($X137,INDEX(LLM_Data_Entry!$A$3:$A$548&amp;"|"&amp;LLM_Data_Entry!$C$3:$C$548&amp;"|"&amp;LLM_Data_Entry!$D$3:$D$548,0),0))),"")</f>
        <v/>
      </c>
      <c r="Z137" s="186">
        <f>IFERROR(IF($X137="","",INDEX(LLM_Data_Entry!$R$3:$R$548,MATCH($X137,INDEX(LLM_Data_Entry!$A$3:$A$548&amp;"|"&amp;LLM_Data_Entry!$C$3:$C$548&amp;"|"&amp;LLM_Data_Entry!$D$3:$D$548,0),0))),"")</f>
        <v/>
      </c>
      <c r="AA137" s="152" t="n"/>
      <c r="AB137" s="152" t="inlineStr">
        <is>
          <t>repriced on the issuer's primary listing</t>
        </is>
      </c>
      <c r="AC137" s="152" t="inlineStr">
        <is>
          <t>NOVO-B.CO</t>
        </is>
      </c>
      <c r="AD137" s="152" t="inlineStr">
        <is>
          <t>2025-11-04</t>
        </is>
      </c>
      <c r="AE137" s="152" t="n">
        <v>304.6911</v>
      </c>
      <c r="AF137" s="152" t="inlineStr">
        <is>
          <t>2025-11-05</t>
        </is>
      </c>
      <c r="AG137" s="152" t="n">
        <v>293.1879</v>
      </c>
      <c r="AH137" s="152" t="n">
        <v>-0.03775387126395204</v>
      </c>
      <c r="AI137" s="152" t="inlineStr">
        <is>
          <t>DOWN</t>
        </is>
      </c>
      <c r="AJ137" s="152" t="inlineStr">
        <is>
          <t>NO</t>
        </is>
      </c>
      <c r="AK137" s="152" t="n">
        <v>0</v>
      </c>
      <c r="AL137" s="152">
        <f>IF($A137="","",IFERROR(INDEX(Company_List!$G$3:$G$207,MATCH($A137,Company_List!$A$3:$A$207,0)),"unassigned"))</f>
        <v/>
      </c>
      <c r="AM137" s="152" t="inlineStr">
        <is>
          <t>Phase 2/Novo Nordisk/Q3/ca251105-q3-2025.pdf; Phase 2/Novo Nordisk/Q3/Q3-investor-presentation-2025.pdf; Phase 2/Novo Nordisk/Q3/Q3-2025-financial-workbook.xlsx; Phase 2/Novo Nordisk/Q3/Novo Nordisk (NVO) Q3 2025 Earnings Transcript | The Motley Fool.pdf</t>
        </is>
      </c>
      <c r="AN137" s="152" t="n"/>
      <c r="AO137" s="152" t="inlineStr">
        <is>
          <t>whole bundle (Document = All)</t>
        </is>
      </c>
      <c r="AP137" s="152">
        <f>IF($A137="","",IF(COUNTIFS(LLM_Data_Entry!$A$3:$A$548,$A137)&gt;0,"YES","NO"))</f>
        <v/>
      </c>
      <c r="AQ137" s="152">
        <f>IF($A137="","",IF(COUNTIFS($A$3:$A137,$A137,$C$3:$C137,$C137,$D$3:$D137,$D137)=1,"YES","NO"))</f>
        <v/>
      </c>
      <c r="AR137" s="152">
        <f>IF($A137="","",IF(AND($C137&amp;"-"&amp;$D137&gt;=Settings!$B$19,$C137&amp;"-"&amp;$D137&lt;=Settings!$B$20),"IN","OUT"))</f>
        <v/>
      </c>
      <c r="AS137" s="152">
        <f>IF($A137="","",IF($F137="Financial Results","financials",IF($F137="Outlook/Guidance","guidance",IF($F137="Transcript Q&amp;A","qanda",IF($F137="","unrecorded",IF($E137="All","full",IF($E137="","unrecorded",LOWER($E137)&amp;" only")))))))</f>
        <v/>
      </c>
      <c r="AT137" s="152">
        <f>IF(AND(OR($J137="BUY",$J137="SELL"),ISNUMBER($U137)),$U137,"")</f>
        <v/>
      </c>
      <c r="AU137" s="152">
        <f>IF(AND(OR($J137="BUY",$J137="SELL"),ISNUMBER($AK137)),$AK137,"")</f>
        <v/>
      </c>
      <c r="AV137" s="152">
        <f>IF(ISNUMBER($AT137),ABS(IF(ISNUMBER($I137),$I137,0)-Settings!$B$24),"")</f>
        <v/>
      </c>
      <c r="AW137" s="152">
        <f>IF(ISNUMBER($AV137),$AV137*$AT137,"")</f>
        <v/>
      </c>
      <c r="AX137" s="152">
        <f>IF(ISNUMBER($AU137),ABS(IF(ISNUMBER($I137),$I137,0)-Settings!$B$24),"")</f>
        <v/>
      </c>
      <c r="AY137" s="152" t="inlineStr">
        <is>
          <t>FROZEN</t>
        </is>
      </c>
      <c r="AZ137" s="152">
        <f>IF($A137="","",IFERROR(INDEX(Company_List!$H$3:$H$207,MATCH($A137,Company_List!$A$3:$A$207,0)),"unassigned"))</f>
        <v/>
      </c>
      <c r="BA137" s="152" t="n"/>
      <c r="BB137" s="152" t="n"/>
      <c r="BC137" s="152">
        <f>IF($A137="","",IF(COUNTIFS($A$3:$A137,$A137,$C$3:$C137,$C137,$D$3:$D137,$D137,$G$3:$G137,$G137)=1,1,0))</f>
        <v/>
      </c>
      <c r="BD137" s="152" t="n"/>
      <c r="BE137" s="152" t="n"/>
      <c r="BF137" s="152" t="n"/>
      <c r="BG137" s="152" t="inlineStr">
        <is>
          <t>no</t>
        </is>
      </c>
      <c r="BH137" s="152" t="n"/>
      <c r="BI137" s="152" t="n"/>
      <c r="BJ137" s="152" t="n"/>
      <c r="BK137" s="152">
        <f>IF(OR($H137&lt;&gt;"Human",$S137="",$J137="",$Y137="",$Z137=""),"",IF(EXACT(UPPER($J137),UPPER($Y137)),1,0))</f>
        <v/>
      </c>
      <c r="BL137" s="152" t="inlineStr">
        <is>
          <t>assumed - no rater record</t>
        </is>
      </c>
      <c r="BM137" s="152" t="n">
        <v>4</v>
      </c>
      <c r="BN137" s="152" t="inlineStr">
        <is>
          <t>The Motley Fool</t>
        </is>
      </c>
      <c r="BO137" s="152" t="inlineStr">
        <is>
          <t>free to read, copyright asserted</t>
        </is>
      </c>
      <c r="BP137" s="152" t="inlineStr">
        <is>
          <t>no</t>
        </is>
      </c>
      <c r="BQ137" s="152" t="inlineStr">
        <is>
          <t>no</t>
        </is>
      </c>
      <c r="BR137" s="152" t="n"/>
      <c r="BS137" s="152" t="inlineStr">
        <is>
          <t>YES</t>
        </is>
      </c>
      <c r="BT137" s="152" t="n"/>
    </row>
    <row r="138" ht="15" customHeight="1" s="241">
      <c r="A138" s="174" t="inlineStr">
        <is>
          <t>Novo Nordisk</t>
        </is>
      </c>
      <c r="B138" s="175">
        <f>IF(A138="","",_xlfn.XLOOKUP(A138, Company_List!$A:$A, Company_List!$B:$B, ""))</f>
        <v/>
      </c>
      <c r="C138" s="176" t="n">
        <v>2025</v>
      </c>
      <c r="D138" s="177" t="inlineStr">
        <is>
          <t>Q4</t>
        </is>
      </c>
      <c r="E138" s="178" t="inlineStr">
        <is>
          <t>All</t>
        </is>
      </c>
      <c r="F138" s="178" t="inlineStr">
        <is>
          <t>All</t>
        </is>
      </c>
      <c r="G138" s="177" t="inlineStr">
        <is>
          <t>Nigel</t>
        </is>
      </c>
      <c r="H138" s="177" t="inlineStr">
        <is>
          <t>Human</t>
        </is>
      </c>
      <c r="I138" s="179" t="n">
        <v>-0.4</v>
      </c>
      <c r="J138" s="180">
        <f>IF(OR(I138="",Settings!$B$6=""),"",IF(I138&gt;Settings!$B$6,"BUY",IF(I138&lt;-Settings!$B$6,"SELL","HOLD")))</f>
        <v/>
      </c>
      <c r="K138" s="181" t="n">
        <v>26</v>
      </c>
      <c r="L138" s="182" t="n">
        <v>46057</v>
      </c>
      <c r="M138" s="182" t="n">
        <v>46055</v>
      </c>
      <c r="N138" s="179" t="n">
        <v>58.93</v>
      </c>
      <c r="O138" s="182" t="n">
        <v>46056</v>
      </c>
      <c r="P138" s="183" t="n">
        <v>58.35</v>
      </c>
      <c r="Q138" s="184">
        <f>IF(OR(N138="",P138=""),"",ROUND((P138-N138)/N138,4))</f>
        <v/>
      </c>
      <c r="R138" s="177">
        <f>IF(OR(N138="",P138=""),"",IF(Q138&gt;Settings!$B$3/100,"UP",IF(Q138&lt;-Settings!$B$3/100,"DOWN","FLAT")))</f>
        <v/>
      </c>
      <c r="S138" s="177">
        <f>IF(OR(N138="",P138="",J138=""),"",IF(OR(AND(J138="BUY",R138="UP"),AND(J138="SELL",R138="DOWN"),AND(J138="HOLD",R138="FLAT")),"YES","NO"))</f>
        <v/>
      </c>
      <c r="T138" s="176">
        <f>IF(J138="","",IF(J138="BUY",1,IF(J138="SELL",-1,0)))</f>
        <v/>
      </c>
      <c r="U138" s="184">
        <f>IFERROR(IF(OR(J138="",N138="",P138=""),"",IF(T138=0,0,T138*Q138-Settings!$B$4/10000-IF(T138&lt;0,Settings!$B$5/10000,0))),"")</f>
        <v/>
      </c>
      <c r="V138" s="152" t="inlineStr">
        <is>
          <t>Q4 sales down 8% and gross margin lower; operating profit down on transformation costs, 6% underlying; negative sales growth expected for 2026 partly on DKK FX; FDA approval of first oral GLP-1 pill; GLP-1 sales down in China and emerging markets and insulin down in US and internationally; international share losses; intensifying competition and reduced Medicaid obesity coverage. Guidance negative, cautious tone.</t>
        </is>
      </c>
      <c r="W138" s="176">
        <f>IF($K138="","",$K138*60)</f>
        <v/>
      </c>
      <c r="X138" s="186">
        <f>IF($A138="","",$A138&amp;"|"&amp;$C138&amp;"|"&amp;$D138)</f>
        <v/>
      </c>
      <c r="Y138" s="186">
        <f>IFERROR(IF($X138="","",INDEX(LLM_Data_Entry!$H$3:$H$548,MATCH($X138,INDEX(LLM_Data_Entry!$A$3:$A$548&amp;"|"&amp;LLM_Data_Entry!$C$3:$C$548&amp;"|"&amp;LLM_Data_Entry!$D$3:$D$548,0),0))),"")</f>
        <v/>
      </c>
      <c r="Z138" s="186">
        <f>IFERROR(IF($X138="","",INDEX(LLM_Data_Entry!$R$3:$R$548,MATCH($X138,INDEX(LLM_Data_Entry!$A$3:$A$548&amp;"|"&amp;LLM_Data_Entry!$C$3:$C$548&amp;"|"&amp;LLM_Data_Entry!$D$3:$D$548,0),0))),"")</f>
        <v/>
      </c>
      <c r="AA138" s="152" t="n"/>
      <c r="AB138" s="152" t="inlineStr">
        <is>
          <t>repriced on the issuer's primary listing</t>
        </is>
      </c>
      <c r="AC138" s="152" t="inlineStr">
        <is>
          <t>NOVO-B.CO</t>
        </is>
      </c>
      <c r="AD138" s="152" t="inlineStr">
        <is>
          <t>2026-02-03</t>
        </is>
      </c>
      <c r="AE138" s="152" t="n">
        <v>355.5374</v>
      </c>
      <c r="AF138" s="152" t="inlineStr">
        <is>
          <t>2026-02-04</t>
        </is>
      </c>
      <c r="AG138" s="152" t="n">
        <v>291.9312</v>
      </c>
      <c r="AH138" s="152" t="n">
        <v>-0.1789015603144252</v>
      </c>
      <c r="AI138" s="152" t="inlineStr">
        <is>
          <t>DOWN</t>
        </is>
      </c>
      <c r="AJ138" s="152" t="inlineStr">
        <is>
          <t>YES</t>
        </is>
      </c>
      <c r="AK138" s="152" t="n">
        <v>0.177902</v>
      </c>
      <c r="AL138" s="152">
        <f>IF($A138="","",IFERROR(INDEX(Company_List!$G$3:$G$207,MATCH($A138,Company_List!$A$3:$A$207,0)),"unassigned"))</f>
        <v/>
      </c>
      <c r="AM138" s="152"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N138" s="152" t="n"/>
      <c r="AO138" s="152" t="inlineStr">
        <is>
          <t>whole bundle (Document = All)</t>
        </is>
      </c>
      <c r="AP138" s="152">
        <f>IF($A138="","",IF(COUNTIFS(LLM_Data_Entry!$A$3:$A$548,$A138)&gt;0,"YES","NO"))</f>
        <v/>
      </c>
      <c r="AQ138" s="152">
        <f>IF($A138="","",IF(COUNTIFS($A$3:$A138,$A138,$C$3:$C138,$C138,$D$3:$D138,$D138)=1,"YES","NO"))</f>
        <v/>
      </c>
      <c r="AR138" s="152">
        <f>IF($A138="","",IF(AND($C138&amp;"-"&amp;$D138&gt;=Settings!$B$19,$C138&amp;"-"&amp;$D138&lt;=Settings!$B$20),"IN","OUT"))</f>
        <v/>
      </c>
      <c r="AS138" s="152">
        <f>IF($A138="","",IF($F138="Financial Results","financials",IF($F138="Outlook/Guidance","guidance",IF($F138="Transcript Q&amp;A","qanda",IF($F138="","unrecorded",IF($E138="All","full",IF($E138="","unrecorded",LOWER($E138)&amp;" only")))))))</f>
        <v/>
      </c>
      <c r="AT138" s="152">
        <f>IF(AND(OR($J138="BUY",$J138="SELL"),ISNUMBER($U138)),$U138,"")</f>
        <v/>
      </c>
      <c r="AU138" s="152">
        <f>IF(AND(OR($J138="BUY",$J138="SELL"),ISNUMBER($AK138)),$AK138,"")</f>
        <v/>
      </c>
      <c r="AV138" s="152">
        <f>IF(ISNUMBER($AT138),ABS(IF(ISNUMBER($I138),$I138,0)-Settings!$B$24),"")</f>
        <v/>
      </c>
      <c r="AW138" s="152">
        <f>IF(ISNUMBER($AV138),$AV138*$AT138,"")</f>
        <v/>
      </c>
      <c r="AX138" s="152">
        <f>IF(ISNUMBER($AU138),ABS(IF(ISNUMBER($I138),$I138,0)-Settings!$B$24),"")</f>
        <v/>
      </c>
      <c r="AY138" s="152" t="inlineStr">
        <is>
          <t>FROZEN</t>
        </is>
      </c>
      <c r="AZ138" s="152">
        <f>IF($A138="","",IFERROR(INDEX(Company_List!$H$3:$H$207,MATCH($A138,Company_List!$A$3:$A$207,0)),"unassigned"))</f>
        <v/>
      </c>
      <c r="BA138" s="152" t="n"/>
      <c r="BB138" s="152" t="n"/>
      <c r="BC138" s="152">
        <f>IF($A138="","",IF(COUNTIFS($A$3:$A138,$A138,$C$3:$C138,$C138,$D$3:$D138,$D138,$G$3:$G138,$G138)=1,1,0))</f>
        <v/>
      </c>
      <c r="BD138" s="152" t="n"/>
      <c r="BE138" s="152" t="n"/>
      <c r="BF138" s="152" t="n"/>
      <c r="BG138" s="152" t="inlineStr">
        <is>
          <t>no</t>
        </is>
      </c>
      <c r="BH138" s="152" t="n"/>
      <c r="BI138" s="152" t="n"/>
      <c r="BJ138" s="152" t="n"/>
      <c r="BK138" s="152">
        <f>IF(OR($H138&lt;&gt;"Human",$S138="",$J138="",$Y138="",$Z138=""),"",IF(EXACT(UPPER($J138),UPPER($Y138)),1,0))</f>
        <v/>
      </c>
      <c r="BL138" s="152" t="inlineStr">
        <is>
          <t>assumed - no rater record</t>
        </is>
      </c>
      <c r="BM138" s="152" t="n">
        <v>5</v>
      </c>
      <c r="BN138" s="152" t="inlineStr">
        <is>
          <t>not publisher-identified</t>
        </is>
      </c>
      <c r="BO138" s="152" t="inlineStr">
        <is>
          <t>not publisher-identified</t>
        </is>
      </c>
      <c r="BP138" s="152" t="inlineStr">
        <is>
          <t>no</t>
        </is>
      </c>
      <c r="BQ138" s="152" t="inlineStr">
        <is>
          <t>no</t>
        </is>
      </c>
      <c r="BR138" s="152" t="n"/>
      <c r="BS138" s="152" t="inlineStr">
        <is>
          <t>YES</t>
        </is>
      </c>
      <c r="BT138" s="152" t="n"/>
    </row>
    <row r="139" ht="15" customHeight="1" s="241">
      <c r="A139" s="174" t="inlineStr">
        <is>
          <t>Lockheed Martin</t>
        </is>
      </c>
      <c r="B139" s="175">
        <f>IF(A139="","",_xlfn.XLOOKUP(A139, Company_List!$A:$A, Company_List!$B:$B, ""))</f>
        <v/>
      </c>
      <c r="C139" s="176" t="n">
        <v>2025</v>
      </c>
      <c r="D139" s="177" t="inlineStr">
        <is>
          <t>Q1</t>
        </is>
      </c>
      <c r="E139" s="178" t="inlineStr">
        <is>
          <t>All</t>
        </is>
      </c>
      <c r="F139" s="178" t="inlineStr">
        <is>
          <t>All</t>
        </is>
      </c>
      <c r="G139" s="177" t="inlineStr">
        <is>
          <t>Nigel</t>
        </is>
      </c>
      <c r="H139" s="177" t="inlineStr">
        <is>
          <t>Human</t>
        </is>
      </c>
      <c r="I139" s="179" t="n">
        <v>0.3</v>
      </c>
      <c r="J139" s="180">
        <f>IF(OR(I139="",Settings!$B$6=""),"",IF(I139&gt;Settings!$B$6,"BUY",IF(I139&lt;-Settings!$B$6,"SELL","HOLD")))</f>
        <v/>
      </c>
      <c r="K139" s="181" t="n">
        <v>18</v>
      </c>
      <c r="L139" s="182" t="n">
        <v>45769</v>
      </c>
      <c r="M139" s="182" t="n">
        <v>45768</v>
      </c>
      <c r="N139" s="179" t="n">
        <v>458.33</v>
      </c>
      <c r="O139" s="182" t="n">
        <v>45769</v>
      </c>
      <c r="P139" s="183" t="n">
        <v>458.05</v>
      </c>
      <c r="Q139" s="184">
        <f>IF(OR(N139="",P139=""),"",ROUND((P139-N139)/N139,4))</f>
        <v/>
      </c>
      <c r="R139" s="177">
        <f>IF(OR(N139="",P139=""),"",IF(Q139&gt;Settings!$B$3/100,"UP",IF(Q139&lt;-Settings!$B$3/100,"DOWN","FLAT")))</f>
        <v/>
      </c>
      <c r="S139" s="177">
        <f>IF(OR(N139="",P139="",J139=""),"",IF(OR(AND(J139="BUY",R139="UP"),AND(J139="SELL",R139="DOWN"),AND(J139="HOLD",R139="FLAT")),"YES","NO"))</f>
        <v/>
      </c>
      <c r="T139" s="176">
        <f>IF(J139="","",IF(J139="BUY",1,IF(J139="SELL",-1,0)))</f>
        <v/>
      </c>
      <c r="U139" s="184">
        <f>IFERROR(IF(OR(J139="",N139="",P139=""),"",IF(T139=0,0,T139*Q139-Settings!$B$4/10000-IF(T139&lt;0,Settings!$B$5/10000,0))),"")</f>
        <v/>
      </c>
      <c r="V139" s="152" t="inlineStr">
        <is>
          <t>Sales up modestly; net earnings and EPS up; FCF down on higher costs and contract assets; Aeronautics, MFC and RMS strong; Space sales down but profit up; new contract wins; strong international demand; insulated from tariffs with recovery mechanisms. 2025 guidance reaffirmed, confident tone.</t>
        </is>
      </c>
      <c r="W139" s="176">
        <f>IF($K139="","",$K139*60)</f>
        <v/>
      </c>
      <c r="X139" s="186">
        <f>IF($A139="","",$A139&amp;"|"&amp;$C139&amp;"|"&amp;$D139)</f>
        <v/>
      </c>
      <c r="Y139" s="186">
        <f>IFERROR(IF($X139="","",INDEX(LLM_Data_Entry!$H$3:$H$548,MATCH($X139,INDEX(LLM_Data_Entry!$A$3:$A$548&amp;"|"&amp;LLM_Data_Entry!$C$3:$C$548&amp;"|"&amp;LLM_Data_Entry!$D$3:$D$548,0),0))),"")</f>
        <v/>
      </c>
      <c r="Z139" s="186">
        <f>IFERROR(IF($X139="","",INDEX(LLM_Data_Entry!$R$3:$R$548,MATCH($X139,INDEX(LLM_Data_Entry!$A$3:$A$548&amp;"|"&amp;LLM_Data_Entry!$C$3:$C$548&amp;"|"&amp;LLM_Data_Entry!$D$3:$D$548,0),0))),"")</f>
        <v/>
      </c>
      <c r="AA139" s="152" t="n"/>
      <c r="AB139" s="152" t="inlineStr">
        <is>
          <t>earnings calendar, seconded by the issuer's habit</t>
        </is>
      </c>
      <c r="AC139" s="152" t="inlineStr">
        <is>
          <t>LMT</t>
        </is>
      </c>
      <c r="AD139" s="152" t="inlineStr">
        <is>
          <t>2025-04-21</t>
        </is>
      </c>
      <c r="AE139" s="152" t="n">
        <v>443.2397</v>
      </c>
      <c r="AF139" s="152" t="inlineStr">
        <is>
          <t>2025-04-22</t>
        </is>
      </c>
      <c r="AG139" s="152" t="n">
        <v>442.969</v>
      </c>
      <c r="AH139" s="152" t="n">
        <v>-0.0006108604790666978</v>
      </c>
      <c r="AI139" s="152" t="inlineStr">
        <is>
          <t>FLAT</t>
        </is>
      </c>
      <c r="AJ139" s="152" t="inlineStr">
        <is>
          <t>NO</t>
        </is>
      </c>
      <c r="AK139" s="152" t="n">
        <v>-0.001611</v>
      </c>
      <c r="AL139" s="152">
        <f>IF($A139="","",IFERROR(INDEX(Company_List!$G$3:$G$207,MATCH($A139,Company_List!$A$3:$A$207,0)),"unassigned"))</f>
        <v/>
      </c>
      <c r="AM139" s="152"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N139" s="152" t="n"/>
      <c r="AO139" s="152" t="inlineStr">
        <is>
          <t>whole bundle (Document = All)</t>
        </is>
      </c>
      <c r="AP139" s="152">
        <f>IF($A139="","",IF(COUNTIFS(LLM_Data_Entry!$A$3:$A$548,$A139)&gt;0,"YES","NO"))</f>
        <v/>
      </c>
      <c r="AQ139" s="152">
        <f>IF($A139="","",IF(COUNTIFS($A$3:$A139,$A139,$C$3:$C139,$C139,$D$3:$D139,$D139)=1,"YES","NO"))</f>
        <v/>
      </c>
      <c r="AR139" s="152">
        <f>IF($A139="","",IF(AND($C139&amp;"-"&amp;$D139&gt;=Settings!$B$19,$C139&amp;"-"&amp;$D139&lt;=Settings!$B$20),"IN","OUT"))</f>
        <v/>
      </c>
      <c r="AS139" s="152">
        <f>IF($A139="","",IF($F139="Financial Results","financials",IF($F139="Outlook/Guidance","guidance",IF($F139="Transcript Q&amp;A","qanda",IF($F139="","unrecorded",IF($E139="All","full",IF($E139="","unrecorded",LOWER($E139)&amp;" only")))))))</f>
        <v/>
      </c>
      <c r="AT139" s="152">
        <f>IF(AND(OR($J139="BUY",$J139="SELL"),ISNUMBER($U139)),$U139,"")</f>
        <v/>
      </c>
      <c r="AU139" s="152">
        <f>IF(AND(OR($J139="BUY",$J139="SELL"),ISNUMBER($AK139)),$AK139,"")</f>
        <v/>
      </c>
      <c r="AV139" s="152">
        <f>IF(ISNUMBER($AT139),ABS(IF(ISNUMBER($I139),$I139,0)-Settings!$B$24),"")</f>
        <v/>
      </c>
      <c r="AW139" s="152">
        <f>IF(ISNUMBER($AV139),$AV139*$AT139,"")</f>
        <v/>
      </c>
      <c r="AX139" s="152">
        <f>IF(ISNUMBER($AU139),ABS(IF(ISNUMBER($I139),$I139,0)-Settings!$B$24),"")</f>
        <v/>
      </c>
      <c r="AY139" s="152" t="inlineStr">
        <is>
          <t>FROZEN</t>
        </is>
      </c>
      <c r="AZ139" s="152">
        <f>IF($A139="","",IFERROR(INDEX(Company_List!$H$3:$H$207,MATCH($A139,Company_List!$A$3:$A$207,0)),"unassigned"))</f>
        <v/>
      </c>
      <c r="BA139" s="152" t="n"/>
      <c r="BB139" s="152" t="n"/>
      <c r="BC139" s="152">
        <f>IF($A139="","",IF(COUNTIFS($A$3:$A139,$A139,$C$3:$C139,$C139,$D$3:$D139,$D139,$G$3:$G139,$G139)=1,1,0))</f>
        <v/>
      </c>
      <c r="BD139" s="152" t="n"/>
      <c r="BE139" s="152" t="n"/>
      <c r="BF139" s="152" t="n"/>
      <c r="BG139" s="152" t="inlineStr">
        <is>
          <t>no</t>
        </is>
      </c>
      <c r="BH139" s="152" t="n"/>
      <c r="BI139" s="152" t="n"/>
      <c r="BJ139" s="152" t="n"/>
      <c r="BK139" s="152">
        <f>IF(OR($H139&lt;&gt;"Human",$S139="",$J139="",$Y139="",$Z139=""),"",IF(EXACT(UPPER($J139),UPPER($Y139)),1,0))</f>
        <v/>
      </c>
      <c r="BL139" s="152" t="inlineStr">
        <is>
          <t>assumed - no rater record</t>
        </is>
      </c>
      <c r="BM139" s="152" t="n">
        <v>4</v>
      </c>
      <c r="BN139" s="152" t="inlineStr">
        <is>
          <t>not publisher-identified</t>
        </is>
      </c>
      <c r="BO139" s="152" t="inlineStr">
        <is>
          <t>not publisher-identified</t>
        </is>
      </c>
      <c r="BP139" s="152" t="inlineStr">
        <is>
          <t>no</t>
        </is>
      </c>
      <c r="BQ139" s="152" t="inlineStr">
        <is>
          <t>no</t>
        </is>
      </c>
      <c r="BR139" s="152" t="n"/>
      <c r="BS139" s="152" t="inlineStr">
        <is>
          <t>YES</t>
        </is>
      </c>
      <c r="BT139" s="152" t="n"/>
    </row>
    <row r="140" ht="15" customHeight="1" s="241">
      <c r="A140" s="174" t="inlineStr">
        <is>
          <t>Lockheed Martin</t>
        </is>
      </c>
      <c r="B140" s="175">
        <f>IF(A140="","",_xlfn.XLOOKUP(A140, Company_List!$A:$A, Company_List!$B:$B, ""))</f>
        <v/>
      </c>
      <c r="C140" s="176" t="n">
        <v>2025</v>
      </c>
      <c r="D140" s="177" t="inlineStr">
        <is>
          <t>Q2</t>
        </is>
      </c>
      <c r="E140" s="178" t="inlineStr">
        <is>
          <t>All</t>
        </is>
      </c>
      <c r="F140" s="178" t="inlineStr">
        <is>
          <t>All</t>
        </is>
      </c>
      <c r="G140" s="177" t="inlineStr">
        <is>
          <t>Nigel</t>
        </is>
      </c>
      <c r="H140" s="177" t="inlineStr">
        <is>
          <t>Human</t>
        </is>
      </c>
      <c r="I140" s="179" t="n">
        <v>-0.2</v>
      </c>
      <c r="J140" s="180">
        <f>IF(OR(I140="",Settings!$B$6=""),"",IF(I140&gt;Settings!$B$6,"BUY",IF(I140&lt;-Settings!$B$6,"SELL","HOLD")))</f>
        <v/>
      </c>
      <c r="K140" s="181" t="n">
        <v>15</v>
      </c>
      <c r="L140" s="182" t="n">
        <v>45860</v>
      </c>
      <c r="M140" s="182" t="n">
        <v>45859</v>
      </c>
      <c r="N140" s="179" t="n">
        <v>460.53</v>
      </c>
      <c r="O140" s="182" t="n">
        <v>45860</v>
      </c>
      <c r="P140" s="183" t="n">
        <v>422.75</v>
      </c>
      <c r="Q140" s="184">
        <f>IF(OR(N140="",P140=""),"",ROUND((P140-N140)/N140,4))</f>
        <v/>
      </c>
      <c r="R140" s="177">
        <f>IF(OR(N140="",P140=""),"",IF(Q140&gt;Settings!$B$3/100,"UP",IF(Q140&lt;-Settings!$B$3/100,"DOWN","FLAT")))</f>
        <v/>
      </c>
      <c r="S140" s="177">
        <f>IF(OR(N140="",P140="",J140=""),"",IF(OR(AND(J140="BUY",R140="UP"),AND(J140="SELL",R140="DOWN"),AND(J140="HOLD",R140="FLAT")),"YES","NO"))</f>
        <v/>
      </c>
      <c r="T140" s="176">
        <f>IF(J140="","",IF(J140="BUY",1,IF(J140="SELL",-1,0)))</f>
        <v/>
      </c>
      <c r="U140" s="184">
        <f>IFERROR(IF(OR(J140="",N140="",P140=""),"",IF(T140=0,0,T140*Q140-Settings!$B$4/10000-IF(T140&lt;0,Settings!$B$5/10000,0))),"")</f>
        <v/>
      </c>
      <c r="V140" s="152" t="inlineStr">
        <is>
          <t>Sales up but operating profit and diluted EPS sharply down on working capital; significant loss on classified Aeronautics programme with cost overruns and schedule revisions; Aeronautics, Space and MFC up; RMS sales down and profit sharply down; segment and consolidated profit outlook cut; new contracts and F-35 orders won. Guidance lowered.</t>
        </is>
      </c>
      <c r="W140" s="176">
        <f>IF($K140="","",$K140*60)</f>
        <v/>
      </c>
      <c r="X140" s="186">
        <f>IF($A140="","",$A140&amp;"|"&amp;$C140&amp;"|"&amp;$D140)</f>
        <v/>
      </c>
      <c r="Y140" s="186">
        <f>IFERROR(IF($X140="","",INDEX(LLM_Data_Entry!$H$3:$H$548,MATCH($X140,INDEX(LLM_Data_Entry!$A$3:$A$548&amp;"|"&amp;LLM_Data_Entry!$C$3:$C$548&amp;"|"&amp;LLM_Data_Entry!$D$3:$D$548,0),0))),"")</f>
        <v/>
      </c>
      <c r="Z140" s="186">
        <f>IFERROR(IF($X140="","",INDEX(LLM_Data_Entry!$R$3:$R$548,MATCH($X140,INDEX(LLM_Data_Entry!$A$3:$A$548&amp;"|"&amp;LLM_Data_Entry!$C$3:$C$548&amp;"|"&amp;LLM_Data_Entry!$D$3:$D$548,0),0))),"")</f>
        <v/>
      </c>
      <c r="AA140" s="152" t="n"/>
      <c r="AB140" s="152" t="inlineStr">
        <is>
          <t>price signal</t>
        </is>
      </c>
      <c r="AC140" s="152" t="inlineStr">
        <is>
          <t>LMT</t>
        </is>
      </c>
      <c r="AD140" s="152" t="inlineStr">
        <is>
          <t>2025-07-21</t>
        </is>
      </c>
      <c r="AE140" s="152" t="n">
        <v>448.435</v>
      </c>
      <c r="AF140" s="152" t="inlineStr">
        <is>
          <t>2025-07-22</t>
        </is>
      </c>
      <c r="AG140" s="152" t="n">
        <v>411.6473</v>
      </c>
      <c r="AH140" s="152" t="n">
        <v>-0.08203590110123288</v>
      </c>
      <c r="AI140" s="152" t="inlineStr">
        <is>
          <t>DOWN</t>
        </is>
      </c>
      <c r="AJ140" s="152" t="inlineStr">
        <is>
          <t>NO</t>
        </is>
      </c>
      <c r="AK140" s="152" t="n">
        <v>0</v>
      </c>
      <c r="AL140" s="152">
        <f>IF($A140="","",IFERROR(INDEX(Company_List!$G$3:$G$207,MATCH($A140,Company_List!$A$3:$A$207,0)),"unassigned"))</f>
        <v/>
      </c>
      <c r="AM140" s="152"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N140" s="152" t="n"/>
      <c r="AO140" s="152" t="inlineStr">
        <is>
          <t>whole bundle (Document = All)</t>
        </is>
      </c>
      <c r="AP140" s="152">
        <f>IF($A140="","",IF(COUNTIFS(LLM_Data_Entry!$A$3:$A$548,$A140)&gt;0,"YES","NO"))</f>
        <v/>
      </c>
      <c r="AQ140" s="152">
        <f>IF($A140="","",IF(COUNTIFS($A$3:$A140,$A140,$C$3:$C140,$C140,$D$3:$D140,$D140)=1,"YES","NO"))</f>
        <v/>
      </c>
      <c r="AR140" s="152">
        <f>IF($A140="","",IF(AND($C140&amp;"-"&amp;$D140&gt;=Settings!$B$19,$C140&amp;"-"&amp;$D140&lt;=Settings!$B$20),"IN","OUT"))</f>
        <v/>
      </c>
      <c r="AS140" s="152">
        <f>IF($A140="","",IF($F140="Financial Results","financials",IF($F140="Outlook/Guidance","guidance",IF($F140="Transcript Q&amp;A","qanda",IF($F140="","unrecorded",IF($E140="All","full",IF($E140="","unrecorded",LOWER($E140)&amp;" only")))))))</f>
        <v/>
      </c>
      <c r="AT140" s="152">
        <f>IF(AND(OR($J140="BUY",$J140="SELL"),ISNUMBER($U140)),$U140,"")</f>
        <v/>
      </c>
      <c r="AU140" s="152">
        <f>IF(AND(OR($J140="BUY",$J140="SELL"),ISNUMBER($AK140)),$AK140,"")</f>
        <v/>
      </c>
      <c r="AV140" s="152">
        <f>IF(ISNUMBER($AT140),ABS(IF(ISNUMBER($I140),$I140,0)-Settings!$B$24),"")</f>
        <v/>
      </c>
      <c r="AW140" s="152">
        <f>IF(ISNUMBER($AV140),$AV140*$AT140,"")</f>
        <v/>
      </c>
      <c r="AX140" s="152">
        <f>IF(ISNUMBER($AU140),ABS(IF(ISNUMBER($I140),$I140,0)-Settings!$B$24),"")</f>
        <v/>
      </c>
      <c r="AY140" s="152" t="inlineStr">
        <is>
          <t>FROZEN</t>
        </is>
      </c>
      <c r="AZ140" s="152">
        <f>IF($A140="","",IFERROR(INDEX(Company_List!$H$3:$H$207,MATCH($A140,Company_List!$A$3:$A$207,0)),"unassigned"))</f>
        <v/>
      </c>
      <c r="BA140" s="152" t="n"/>
      <c r="BB140" s="152" t="n"/>
      <c r="BC140" s="152">
        <f>IF($A140="","",IF(COUNTIFS($A$3:$A140,$A140,$C$3:$C140,$C140,$D$3:$D140,$D140,$G$3:$G140,$G140)=1,1,0))</f>
        <v/>
      </c>
      <c r="BD140" s="152" t="n"/>
      <c r="BE140" s="152" t="n"/>
      <c r="BF140" s="152" t="n"/>
      <c r="BG140" s="152" t="inlineStr">
        <is>
          <t>no</t>
        </is>
      </c>
      <c r="BH140" s="152" t="n"/>
      <c r="BI140" s="152" t="n"/>
      <c r="BJ140" s="152" t="n"/>
      <c r="BK140" s="152">
        <f>IF(OR($H140&lt;&gt;"Human",$S140="",$J140="",$Y140="",$Z140=""),"",IF(EXACT(UPPER($J140),UPPER($Y140)),1,0))</f>
        <v/>
      </c>
      <c r="BL140" s="152" t="inlineStr">
        <is>
          <t>assumed - no rater record</t>
        </is>
      </c>
      <c r="BM140" s="152" t="n">
        <v>4</v>
      </c>
      <c r="BN140" s="152" t="inlineStr">
        <is>
          <t>not publisher-identified</t>
        </is>
      </c>
      <c r="BO140" s="152" t="inlineStr">
        <is>
          <t>not publisher-identified</t>
        </is>
      </c>
      <c r="BP140" s="152" t="inlineStr">
        <is>
          <t>no</t>
        </is>
      </c>
      <c r="BQ140" s="152" t="inlineStr">
        <is>
          <t>no</t>
        </is>
      </c>
      <c r="BR140" s="152" t="n"/>
      <c r="BS140" s="152" t="inlineStr">
        <is>
          <t>YES</t>
        </is>
      </c>
      <c r="BT140" s="152" t="n"/>
    </row>
    <row r="141" ht="15" customHeight="1" s="241">
      <c r="A141" s="174" t="inlineStr">
        <is>
          <t>Lockheed Martin</t>
        </is>
      </c>
      <c r="B141" s="175">
        <f>IF(A141="","",_xlfn.XLOOKUP(A141, Company_List!$A:$A, Company_List!$B:$B, ""))</f>
        <v/>
      </c>
      <c r="C141" s="176" t="n">
        <v>2025</v>
      </c>
      <c r="D141" s="177" t="inlineStr">
        <is>
          <t>Q3</t>
        </is>
      </c>
      <c r="E141" s="178" t="inlineStr">
        <is>
          <t>All</t>
        </is>
      </c>
      <c r="F141" s="178" t="inlineStr">
        <is>
          <t>All</t>
        </is>
      </c>
      <c r="G141" s="177" t="inlineStr">
        <is>
          <t>Nigel</t>
        </is>
      </c>
      <c r="H141" s="177" t="inlineStr">
        <is>
          <t>Human</t>
        </is>
      </c>
      <c r="I141" s="179" t="n">
        <v>0.7</v>
      </c>
      <c r="J141" s="180">
        <f>IF(OR(I141="",Settings!$B$6=""),"",IF(I141&gt;Settings!$B$6,"BUY",IF(I141&lt;-Settings!$B$6,"SELL","HOLD")))</f>
        <v/>
      </c>
      <c r="K141" s="181" t="n">
        <v>15</v>
      </c>
      <c r="L141" s="182" t="n">
        <v>45951</v>
      </c>
      <c r="M141" s="182" t="n">
        <v>45950</v>
      </c>
      <c r="N141" s="179" t="n">
        <v>505.9</v>
      </c>
      <c r="O141" s="182" t="n">
        <v>45951</v>
      </c>
      <c r="P141" s="183" t="n">
        <v>482.71</v>
      </c>
      <c r="Q141" s="184">
        <f>IF(OR(N141="",P141=""),"",ROUND((P141-N141)/N141,4))</f>
        <v/>
      </c>
      <c r="R141" s="177">
        <f>IF(OR(N141="",P141=""),"",IF(Q141&gt;Settings!$B$3/100,"UP",IF(Q141&lt;-Settings!$B$3/100,"DOWN","FLAT")))</f>
        <v/>
      </c>
      <c r="S141" s="177">
        <f>IF(OR(N141="",P141="",J141=""),"",IF(OR(AND(J141="BUY",R141="UP"),AND(J141="SELL",R141="DOWN"),AND(J141="HOLD",R141="FLAT")),"YES","NO"))</f>
        <v/>
      </c>
      <c r="T141" s="176">
        <f>IF(J141="","",IF(J141="BUY",1,IF(J141="SELL",-1,0)))</f>
        <v/>
      </c>
      <c r="U141" s="184">
        <f>IFERROR(IF(OR(J141="",N141="",P141=""),"",IF(T141=0,0,T141*Q141-Settings!$B$4/10000-IF(T141&lt;0,Settings!$B$5/10000,0))),"")</f>
        <v/>
      </c>
      <c r="V141" s="152" t="inlineStr">
        <is>
          <t>Sales, EPS and FCF all up; record backlog on major contract wins; all four segments improved; unprecedented demand from US and allies driving capacity expansion; confidence in supply chain. 2025 outlook raised, confident tone.</t>
        </is>
      </c>
      <c r="W141" s="176">
        <f>IF($K141="","",$K141*60)</f>
        <v/>
      </c>
      <c r="X141" s="186">
        <f>IF($A141="","",$A141&amp;"|"&amp;$C141&amp;"|"&amp;$D141)</f>
        <v/>
      </c>
      <c r="Y141" s="186">
        <f>IFERROR(IF($X141="","",INDEX(LLM_Data_Entry!$H$3:$H$548,MATCH($X141,INDEX(LLM_Data_Entry!$A$3:$A$548&amp;"|"&amp;LLM_Data_Entry!$C$3:$C$548&amp;"|"&amp;LLM_Data_Entry!$D$3:$D$548,0),0))),"")</f>
        <v/>
      </c>
      <c r="Z141" s="186">
        <f>IFERROR(IF($X141="","",INDEX(LLM_Data_Entry!$R$3:$R$548,MATCH($X141,INDEX(LLM_Data_Entry!$A$3:$A$548&amp;"|"&amp;LLM_Data_Entry!$C$3:$C$548&amp;"|"&amp;LLM_Data_Entry!$D$3:$D$548,0),0))),"")</f>
        <v/>
      </c>
      <c r="AA141" s="152" t="n"/>
      <c r="AB141" s="152" t="inlineStr">
        <is>
          <t>price signal</t>
        </is>
      </c>
      <c r="AC141" s="152" t="inlineStr">
        <is>
          <t>LMT</t>
        </is>
      </c>
      <c r="AD141" s="152" t="inlineStr">
        <is>
          <t>2025-10-20</t>
        </is>
      </c>
      <c r="AE141" s="152" t="n">
        <v>496.2074</v>
      </c>
      <c r="AF141" s="152" t="inlineStr">
        <is>
          <t>2025-10-21</t>
        </is>
      </c>
      <c r="AG141" s="152" t="n">
        <v>473.4617</v>
      </c>
      <c r="AH141" s="152" t="n">
        <v>-0.0458391078337796</v>
      </c>
      <c r="AI141" s="152" t="inlineStr">
        <is>
          <t>DOWN</t>
        </is>
      </c>
      <c r="AJ141" s="152" t="inlineStr">
        <is>
          <t>NO</t>
        </is>
      </c>
      <c r="AK141" s="152" t="n">
        <v>-0.046839</v>
      </c>
      <c r="AL141" s="152">
        <f>IF($A141="","",IFERROR(INDEX(Company_List!$G$3:$G$207,MATCH($A141,Company_List!$A$3:$A$207,0)),"unassigned"))</f>
        <v/>
      </c>
      <c r="AM141" s="152"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N141" s="152" t="n"/>
      <c r="AO141" s="152" t="inlineStr">
        <is>
          <t>whole bundle (Document = All)</t>
        </is>
      </c>
      <c r="AP141" s="152">
        <f>IF($A141="","",IF(COUNTIFS(LLM_Data_Entry!$A$3:$A$548,$A141)&gt;0,"YES","NO"))</f>
        <v/>
      </c>
      <c r="AQ141" s="152">
        <f>IF($A141="","",IF(COUNTIFS($A$3:$A141,$A141,$C$3:$C141,$C141,$D$3:$D141,$D141)=1,"YES","NO"))</f>
        <v/>
      </c>
      <c r="AR141" s="152">
        <f>IF($A141="","",IF(AND($C141&amp;"-"&amp;$D141&gt;=Settings!$B$19,$C141&amp;"-"&amp;$D141&lt;=Settings!$B$20),"IN","OUT"))</f>
        <v/>
      </c>
      <c r="AS141" s="152">
        <f>IF($A141="","",IF($F141="Financial Results","financials",IF($F141="Outlook/Guidance","guidance",IF($F141="Transcript Q&amp;A","qanda",IF($F141="","unrecorded",IF($E141="All","full",IF($E141="","unrecorded",LOWER($E141)&amp;" only")))))))</f>
        <v/>
      </c>
      <c r="AT141" s="152">
        <f>IF(AND(OR($J141="BUY",$J141="SELL"),ISNUMBER($U141)),$U141,"")</f>
        <v/>
      </c>
      <c r="AU141" s="152">
        <f>IF(AND(OR($J141="BUY",$J141="SELL"),ISNUMBER($AK141)),$AK141,"")</f>
        <v/>
      </c>
      <c r="AV141" s="152">
        <f>IF(ISNUMBER($AT141),ABS(IF(ISNUMBER($I141),$I141,0)-Settings!$B$24),"")</f>
        <v/>
      </c>
      <c r="AW141" s="152">
        <f>IF(ISNUMBER($AV141),$AV141*$AT141,"")</f>
        <v/>
      </c>
      <c r="AX141" s="152">
        <f>IF(ISNUMBER($AU141),ABS(IF(ISNUMBER($I141),$I141,0)-Settings!$B$24),"")</f>
        <v/>
      </c>
      <c r="AY141" s="152" t="inlineStr">
        <is>
          <t>FROZEN</t>
        </is>
      </c>
      <c r="AZ141" s="152">
        <f>IF($A141="","",IFERROR(INDEX(Company_List!$H$3:$H$207,MATCH($A141,Company_List!$A$3:$A$207,0)),"unassigned"))</f>
        <v/>
      </c>
      <c r="BA141" s="152" t="n"/>
      <c r="BB141" s="152" t="n"/>
      <c r="BC141" s="152">
        <f>IF($A141="","",IF(COUNTIFS($A$3:$A141,$A141,$C$3:$C141,$C141,$D$3:$D141,$D141,$G$3:$G141,$G141)=1,1,0))</f>
        <v/>
      </c>
      <c r="BD141" s="152" t="n"/>
      <c r="BE141" s="152" t="n"/>
      <c r="BF141" s="152" t="n"/>
      <c r="BG141" s="152" t="inlineStr">
        <is>
          <t>no</t>
        </is>
      </c>
      <c r="BH141" s="152" t="n"/>
      <c r="BI141" s="152" t="n"/>
      <c r="BJ141" s="152" t="n"/>
      <c r="BK141" s="152">
        <f>IF(OR($H141&lt;&gt;"Human",$S141="",$J141="",$Y141="",$Z141=""),"",IF(EXACT(UPPER($J141),UPPER($Y141)),1,0))</f>
        <v/>
      </c>
      <c r="BL141" s="152" t="inlineStr">
        <is>
          <t>assumed - no rater record</t>
        </is>
      </c>
      <c r="BM141" s="152" t="n">
        <v>5</v>
      </c>
      <c r="BN141" s="152" t="inlineStr">
        <is>
          <t>not publisher-identified</t>
        </is>
      </c>
      <c r="BO141" s="152" t="inlineStr">
        <is>
          <t>not publisher-identified</t>
        </is>
      </c>
      <c r="BP141" s="152" t="inlineStr">
        <is>
          <t>no</t>
        </is>
      </c>
      <c r="BQ141" s="152" t="inlineStr">
        <is>
          <t>no</t>
        </is>
      </c>
      <c r="BR141" s="152" t="n"/>
      <c r="BS141" s="152" t="inlineStr">
        <is>
          <t>YES</t>
        </is>
      </c>
      <c r="BT141" s="152" t="n"/>
    </row>
    <row r="142" ht="15" customHeight="1" s="241">
      <c r="A142" s="174" t="inlineStr">
        <is>
          <t>Lockheed Martin</t>
        </is>
      </c>
      <c r="B142" s="175">
        <f>IF(A142="","",_xlfn.XLOOKUP(A142, Company_List!$A:$A, Company_List!$B:$B, ""))</f>
        <v/>
      </c>
      <c r="C142" s="176" t="n">
        <v>2025</v>
      </c>
      <c r="D142" s="177" t="inlineStr">
        <is>
          <t>Q4</t>
        </is>
      </c>
      <c r="E142" s="178" t="inlineStr">
        <is>
          <t>All</t>
        </is>
      </c>
      <c r="F142" s="178" t="inlineStr">
        <is>
          <t>All</t>
        </is>
      </c>
      <c r="G142" s="177" t="inlineStr">
        <is>
          <t>Nigel</t>
        </is>
      </c>
      <c r="H142" s="177" t="inlineStr">
        <is>
          <t>Human</t>
        </is>
      </c>
      <c r="I142" s="179" t="n">
        <v>0.6</v>
      </c>
      <c r="J142" s="180">
        <f>IF(OR(I142="",Settings!$B$6=""),"",IF(I142&gt;Settings!$B$6,"BUY",IF(I142&lt;-Settings!$B$6,"SELL","HOLD")))</f>
        <v/>
      </c>
      <c r="K142" s="181" t="n">
        <v>18</v>
      </c>
      <c r="L142" s="182" t="n">
        <v>46051</v>
      </c>
      <c r="M142" s="182" t="n">
        <v>46050</v>
      </c>
      <c r="N142" s="179" t="n">
        <v>597.27</v>
      </c>
      <c r="O142" s="182" t="n">
        <v>46051</v>
      </c>
      <c r="P142" s="183" t="n">
        <v>609.24</v>
      </c>
      <c r="Q142" s="184">
        <f>IF(OR(N142="",P142=""),"",ROUND((P142-N142)/N142,4))</f>
        <v/>
      </c>
      <c r="R142" s="177">
        <f>IF(OR(N142="",P142=""),"",IF(Q142&gt;Settings!$B$3/100,"UP",IF(Q142&lt;-Settings!$B$3/100,"DOWN","FLAT")))</f>
        <v/>
      </c>
      <c r="S142" s="177">
        <f>IF(OR(N142="",P142="",J142=""),"",IF(OR(AND(J142="BUY",R142="UP"),AND(J142="SELL",R142="DOWN"),AND(J142="HOLD",R142="FLAT")),"YES","NO"))</f>
        <v/>
      </c>
      <c r="T142" s="176">
        <f>IF(J142="","",IF(J142="BUY",1,IF(J142="SELL",-1,0)))</f>
        <v/>
      </c>
      <c r="U142" s="184">
        <f>IFERROR(IF(OR(J142="",N142="",P142=""),"",IF(T142=0,0,T142*Q142-Settings!$B$4/10000-IF(T142&lt;0,Settings!$B$5/10000,0))),"")</f>
        <v/>
      </c>
      <c r="V142" s="152" t="inlineStr">
        <is>
          <t>Sales, net earnings and EPS up sharply in the quarter though full-year EPS down 4% on higher costs; sales up in all divisions but profit down in Space and RMS; unprecedented 2025 demand; expects to extend and expand Department of War contracts. Healthy outlook reaffirmed, confident tone.</t>
        </is>
      </c>
      <c r="W142" s="176">
        <f>IF($K142="","",$K142*60)</f>
        <v/>
      </c>
      <c r="X142" s="186">
        <f>IF($A142="","",$A142&amp;"|"&amp;$C142&amp;"|"&amp;$D142)</f>
        <v/>
      </c>
      <c r="Y142" s="186">
        <f>IFERROR(IF($X142="","",INDEX(LLM_Data_Entry!$H$3:$H$548,MATCH($X142,INDEX(LLM_Data_Entry!$A$3:$A$548&amp;"|"&amp;LLM_Data_Entry!$C$3:$C$548&amp;"|"&amp;LLM_Data_Entry!$D$3:$D$548,0),0))),"")</f>
        <v/>
      </c>
      <c r="Z142" s="186">
        <f>IFERROR(IF($X142="","",INDEX(LLM_Data_Entry!$R$3:$R$548,MATCH($X142,INDEX(LLM_Data_Entry!$A$3:$A$548&amp;"|"&amp;LLM_Data_Entry!$C$3:$C$548&amp;"|"&amp;LLM_Data_Entry!$D$3:$D$548,0),0))),"")</f>
        <v/>
      </c>
      <c r="AA142" s="152" t="n"/>
      <c r="AB142" s="152" t="inlineStr">
        <is>
          <t>release date + stated time</t>
        </is>
      </c>
      <c r="AC142" s="152" t="inlineStr">
        <is>
          <t>LMT</t>
        </is>
      </c>
      <c r="AD142" s="152" t="inlineStr">
        <is>
          <t>2026-01-28</t>
        </is>
      </c>
      <c r="AE142" s="152" t="n">
        <v>590.2745</v>
      </c>
      <c r="AF142" s="152" t="inlineStr">
        <is>
          <t>2026-01-29</t>
        </is>
      </c>
      <c r="AG142" s="152" t="n">
        <v>602.1043</v>
      </c>
      <c r="AH142" s="152" t="n">
        <v>0.02004118399790735</v>
      </c>
      <c r="AI142" s="152" t="inlineStr">
        <is>
          <t>UP</t>
        </is>
      </c>
      <c r="AJ142" s="152" t="inlineStr">
        <is>
          <t>YES</t>
        </is>
      </c>
      <c r="AK142" s="152" t="n">
        <v>0.019041</v>
      </c>
      <c r="AL142" s="152">
        <f>IF($A142="","",IFERROR(INDEX(Company_List!$G$3:$G$207,MATCH($A142,Company_List!$A$3:$A$207,0)),"unassigned"))</f>
        <v/>
      </c>
      <c r="AM142" s="152"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N142" s="152" t="n"/>
      <c r="AO142" s="152" t="inlineStr">
        <is>
          <t>whole bundle (Document = All)</t>
        </is>
      </c>
      <c r="AP142" s="152">
        <f>IF($A142="","",IF(COUNTIFS(LLM_Data_Entry!$A$3:$A$548,$A142)&gt;0,"YES","NO"))</f>
        <v/>
      </c>
      <c r="AQ142" s="152">
        <f>IF($A142="","",IF(COUNTIFS($A$3:$A142,$A142,$C$3:$C142,$C142,$D$3:$D142,$D142)=1,"YES","NO"))</f>
        <v/>
      </c>
      <c r="AR142" s="152">
        <f>IF($A142="","",IF(AND($C142&amp;"-"&amp;$D142&gt;=Settings!$B$19,$C142&amp;"-"&amp;$D142&lt;=Settings!$B$20),"IN","OUT"))</f>
        <v/>
      </c>
      <c r="AS142" s="152">
        <f>IF($A142="","",IF($F142="Financial Results","financials",IF($F142="Outlook/Guidance","guidance",IF($F142="Transcript Q&amp;A","qanda",IF($F142="","unrecorded",IF($E142="All","full",IF($E142="","unrecorded",LOWER($E142)&amp;" only")))))))</f>
        <v/>
      </c>
      <c r="AT142" s="152">
        <f>IF(AND(OR($J142="BUY",$J142="SELL"),ISNUMBER($U142)),$U142,"")</f>
        <v/>
      </c>
      <c r="AU142" s="152">
        <f>IF(AND(OR($J142="BUY",$J142="SELL"),ISNUMBER($AK142)),$AK142,"")</f>
        <v/>
      </c>
      <c r="AV142" s="152">
        <f>IF(ISNUMBER($AT142),ABS(IF(ISNUMBER($I142),$I142,0)-Settings!$B$24),"")</f>
        <v/>
      </c>
      <c r="AW142" s="152">
        <f>IF(ISNUMBER($AV142),$AV142*$AT142,"")</f>
        <v/>
      </c>
      <c r="AX142" s="152">
        <f>IF(ISNUMBER($AU142),ABS(IF(ISNUMBER($I142),$I142,0)-Settings!$B$24),"")</f>
        <v/>
      </c>
      <c r="AY142" s="152" t="inlineStr">
        <is>
          <t>FROZEN</t>
        </is>
      </c>
      <c r="AZ142" s="152">
        <f>IF($A142="","",IFERROR(INDEX(Company_List!$H$3:$H$207,MATCH($A142,Company_List!$A$3:$A$207,0)),"unassigned"))</f>
        <v/>
      </c>
      <c r="BA142" s="152" t="n"/>
      <c r="BB142" s="152" t="n"/>
      <c r="BC142" s="152">
        <f>IF($A142="","",IF(COUNTIFS($A$3:$A142,$A142,$C$3:$C142,$C142,$D$3:$D142,$D142,$G$3:$G142,$G142)=1,1,0))</f>
        <v/>
      </c>
      <c r="BD142" s="152" t="n"/>
      <c r="BE142" s="152" t="n"/>
      <c r="BF142" s="152" t="n"/>
      <c r="BG142" s="152" t="inlineStr">
        <is>
          <t>no</t>
        </is>
      </c>
      <c r="BH142" s="152" t="n"/>
      <c r="BI142" s="152" t="n"/>
      <c r="BJ142" s="152" t="n"/>
      <c r="BK142" s="152">
        <f>IF(OR($H142&lt;&gt;"Human",$S142="",$J142="",$Y142="",$Z142=""),"",IF(EXACT(UPPER($J142),UPPER($Y142)),1,0))</f>
        <v/>
      </c>
      <c r="BL142" s="152" t="inlineStr">
        <is>
          <t>assumed - no rater record</t>
        </is>
      </c>
      <c r="BM142" s="152" t="n">
        <v>5</v>
      </c>
      <c r="BN142" s="152" t="inlineStr">
        <is>
          <t>not publisher-identified</t>
        </is>
      </c>
      <c r="BO142" s="152" t="inlineStr">
        <is>
          <t>not publisher-identified</t>
        </is>
      </c>
      <c r="BP142" s="152" t="inlineStr">
        <is>
          <t>no</t>
        </is>
      </c>
      <c r="BQ142" s="152" t="inlineStr">
        <is>
          <t>no</t>
        </is>
      </c>
      <c r="BR142" s="152" t="n"/>
      <c r="BS142" s="152" t="inlineStr">
        <is>
          <t>YES</t>
        </is>
      </c>
      <c r="BT142" s="152" t="n"/>
    </row>
    <row r="143" ht="15" customHeight="1" s="241">
      <c r="A143" s="174" t="inlineStr">
        <is>
          <t>LVMH</t>
        </is>
      </c>
      <c r="B143" s="175">
        <f>IF(A143="","",_xlfn.XLOOKUP(A143, Company_List!$A:$A, Company_List!$B:$B, ""))</f>
        <v/>
      </c>
      <c r="C143" s="176" t="n">
        <v>2025</v>
      </c>
      <c r="D143" s="177" t="inlineStr">
        <is>
          <t>Q2</t>
        </is>
      </c>
      <c r="E143" s="178" t="inlineStr">
        <is>
          <t>All</t>
        </is>
      </c>
      <c r="F143" s="178" t="inlineStr">
        <is>
          <t>All</t>
        </is>
      </c>
      <c r="G143" s="177" t="inlineStr">
        <is>
          <t>Nigel</t>
        </is>
      </c>
      <c r="H143" s="177" t="inlineStr">
        <is>
          <t>Human</t>
        </is>
      </c>
      <c r="I143" s="179" t="n">
        <v>-0.4</v>
      </c>
      <c r="J143" s="180">
        <f>IF(OR(I143="",Settings!$B$6=""),"",IF(I143&gt;Settings!$B$6,"BUY",IF(I143&lt;-Settings!$B$6,"SELL","HOLD")))</f>
        <v/>
      </c>
      <c r="K143" s="181" t="n">
        <v>20</v>
      </c>
      <c r="L143" s="182" t="n">
        <v>45862</v>
      </c>
      <c r="M143" s="182" t="n">
        <v>45862</v>
      </c>
      <c r="N143" s="179" t="n">
        <v>470.25</v>
      </c>
      <c r="O143" s="182" t="n">
        <v>45863</v>
      </c>
      <c r="P143" s="183" t="n">
        <v>464.95</v>
      </c>
      <c r="Q143" s="184">
        <f>IF(OR(N143="",P143=""),"",ROUND((P143-N143)/N143,4))</f>
        <v/>
      </c>
      <c r="R143" s="177">
        <f>IF(OR(N143="",P143=""),"",IF(Q143&gt;Settings!$B$3/100,"UP",IF(Q143&lt;-Settings!$B$3/100,"DOWN","FLAT")))</f>
        <v/>
      </c>
      <c r="S143" s="177">
        <f>IF(OR(N143="",P143="",J143=""),"",IF(OR(AND(J143="BUY",R143="UP"),AND(J143="SELL",R143="DOWN"),AND(J143="HOLD",R143="FLAT")),"YES","NO"))</f>
        <v/>
      </c>
      <c r="T143" s="176">
        <f>IF(J143="","",IF(J143="BUY",1,IF(J143="SELL",-1,0)))</f>
        <v/>
      </c>
      <c r="U143" s="184">
        <f>IFERROR(IF(OR(J143="",N143="",P143=""),"",IF(T143=0,0,T143*Q143-Settings!$B$4/10000-IF(T143&lt;0,Settings!$B$5/10000,0))),"")</f>
        <v/>
      </c>
      <c r="V143" s="152" t="inlineStr">
        <is>
          <t>Revenue, profit and EPS down across all business groups; net debt up; FCF up; FX drag; Wines &amp; Spirits hit by US-China trade tensions; F&amp;LG margins above average; Sephora slowing in North America and China. No guidance, confident tone.</t>
        </is>
      </c>
      <c r="W143" s="176">
        <f>IF($K143="","",$K143*60)</f>
        <v/>
      </c>
      <c r="X143" s="186">
        <f>IF($A143="","",$A143&amp;"|"&amp;$C143&amp;"|"&amp;$D143)</f>
        <v/>
      </c>
      <c r="Y143" s="186">
        <f>IFERROR(IF($X143="","",INDEX(LLM_Data_Entry!$H$3:$H$548,MATCH($X143,INDEX(LLM_Data_Entry!$A$3:$A$548&amp;"|"&amp;LLM_Data_Entry!$C$3:$C$548&amp;"|"&amp;LLM_Data_Entry!$D$3:$D$548,0),0))),"")</f>
        <v/>
      </c>
      <c r="Z143" s="186">
        <f>IFERROR(IF($X143="","",INDEX(LLM_Data_Entry!$R$3:$R$548,MATCH($X143,INDEX(LLM_Data_Entry!$A$3:$A$548&amp;"|"&amp;LLM_Data_Entry!$C$3:$C$548&amp;"|"&amp;LLM_Data_Entry!$D$3:$D$548,0),0))),"")</f>
        <v/>
      </c>
      <c r="AA143" s="152" t="n"/>
      <c r="AB143" s="152" t="inlineStr">
        <is>
          <t>release time published by the issuer</t>
        </is>
      </c>
      <c r="AC143" s="152" t="inlineStr">
        <is>
          <t>MC.PA</t>
        </is>
      </c>
      <c r="AD143" s="152" t="inlineStr">
        <is>
          <t>2025-07-24</t>
        </is>
      </c>
      <c r="AE143" s="152" t="n">
        <v>458.7454</v>
      </c>
      <c r="AF143" s="152" t="inlineStr">
        <is>
          <t>2025-07-25</t>
        </is>
      </c>
      <c r="AG143" s="152" t="n">
        <v>453.5751</v>
      </c>
      <c r="AH143" s="152" t="n">
        <v>-0.01127059128188342</v>
      </c>
      <c r="AI143" s="152" t="inlineStr">
        <is>
          <t>FLAT</t>
        </is>
      </c>
      <c r="AJ143" s="152" t="inlineStr">
        <is>
          <t>NO</t>
        </is>
      </c>
      <c r="AK143" s="152" t="n">
        <v>0.010271</v>
      </c>
      <c r="AL143" s="152">
        <f>IF($A143="","",IFERROR(INDEX(Company_List!$G$3:$G$207,MATCH($A143,Company_List!$A$3:$A$207,0)),"unassigned"))</f>
        <v/>
      </c>
      <c r="AM143" s="152" t="inlineStr">
        <is>
          <t>Phase 2/LVMH/2025-Q2/MC.PA-2025-Q2-results-LVMH-IR.pdf</t>
        </is>
      </c>
      <c r="AN143" s="152" t="n"/>
      <c r="AO143" s="152" t="inlineStr">
        <is>
          <t>manifest</t>
        </is>
      </c>
      <c r="AP143" s="152">
        <f>IF($A143="","",IF(COUNTIFS(LLM_Data_Entry!$A$3:$A$548,$A143)&gt;0,"YES","NO"))</f>
        <v/>
      </c>
      <c r="AQ143" s="152">
        <f>IF($A143="","",IF(COUNTIFS($A$3:$A143,$A143,$C$3:$C143,$C143,$D$3:$D143,$D143)=1,"YES","NO"))</f>
        <v/>
      </c>
      <c r="AR143" s="152">
        <f>IF($A143="","",IF(AND($C143&amp;"-"&amp;$D143&gt;=Settings!$B$19,$C143&amp;"-"&amp;$D143&lt;=Settings!$B$20),"IN","OUT"))</f>
        <v/>
      </c>
      <c r="AS143" s="152">
        <f>IF($A143="","",IF($F143="Financial Results","financials",IF($F143="Outlook/Guidance","guidance",IF($F143="Transcript Q&amp;A","qanda",IF($F143="","unrecorded",IF($E143="All","full",IF($E143="","unrecorded",LOWER($E143)&amp;" only")))))))</f>
        <v/>
      </c>
      <c r="AT143" s="152">
        <f>IF(AND(OR($J143="BUY",$J143="SELL"),ISNUMBER($U143)),$U143,"")</f>
        <v/>
      </c>
      <c r="AU143" s="152">
        <f>IF(AND(OR($J143="BUY",$J143="SELL"),ISNUMBER($AK143)),$AK143,"")</f>
        <v/>
      </c>
      <c r="AV143" s="152">
        <f>IF(ISNUMBER($AT143),ABS(IF(ISNUMBER($I143),$I143,0)-Settings!$B$24),"")</f>
        <v/>
      </c>
      <c r="AW143" s="152">
        <f>IF(ISNUMBER($AV143),$AV143*$AT143,"")</f>
        <v/>
      </c>
      <c r="AX143" s="152">
        <f>IF(ISNUMBER($AU143),ABS(IF(ISNUMBER($I143),$I143,0)-Settings!$B$24),"")</f>
        <v/>
      </c>
      <c r="AY143" s="152" t="inlineStr">
        <is>
          <t>FROZEN</t>
        </is>
      </c>
      <c r="AZ143" s="152">
        <f>IF($A143="","",IFERROR(INDEX(Company_List!$H$3:$H$207,MATCH($A143,Company_List!$A$3:$A$207,0)),"unassigned"))</f>
        <v/>
      </c>
      <c r="BA143" s="152" t="n"/>
      <c r="BB143" s="152" t="n"/>
      <c r="BC143" s="152">
        <f>IF($A143="","",IF(COUNTIFS($A$3:$A143,$A143,$C$3:$C143,$C143,$D$3:$D143,$D143,$G$3:$G143,$G143)=1,1,0))</f>
        <v/>
      </c>
      <c r="BD143" s="152" t="n"/>
      <c r="BE143" s="152" t="n"/>
      <c r="BF143" s="152" t="n"/>
      <c r="BG143" s="152" t="inlineStr">
        <is>
          <t>no</t>
        </is>
      </c>
      <c r="BH143" s="152" t="n"/>
      <c r="BI143" s="152" t="n"/>
      <c r="BJ143" s="152" t="n"/>
      <c r="BK143" s="152">
        <f>IF(OR($H143&lt;&gt;"Human",$S143="",$J143="",$Y143="",$Z143=""),"",IF(EXACT(UPPER($J143),UPPER($Y143)),1,0))</f>
        <v/>
      </c>
      <c r="BL143" s="152" t="inlineStr">
        <is>
          <t>assumed - no rater record</t>
        </is>
      </c>
      <c r="BM143" s="152" t="n">
        <v>1</v>
      </c>
      <c r="BN143" s="152" t="inlineStr">
        <is>
          <t>not publisher-identified</t>
        </is>
      </c>
      <c r="BO143" s="152" t="inlineStr">
        <is>
          <t>not publisher-identified</t>
        </is>
      </c>
      <c r="BP143" s="152" t="inlineStr">
        <is>
          <t>no</t>
        </is>
      </c>
      <c r="BQ143" s="152" t="inlineStr">
        <is>
          <t>yes</t>
        </is>
      </c>
      <c r="BR143" s="152" t="n"/>
      <c r="BS143" s="152" t="inlineStr">
        <is>
          <t>YES</t>
        </is>
      </c>
      <c r="BT143" s="152" t="n"/>
    </row>
    <row r="144" ht="15" customHeight="1" s="241">
      <c r="A144" s="174" t="inlineStr">
        <is>
          <t>LVMH</t>
        </is>
      </c>
      <c r="B144" s="175">
        <f>IF(A144="","",_xlfn.XLOOKUP(A144, Company_List!$A:$A, Company_List!$B:$B, ""))</f>
        <v/>
      </c>
      <c r="C144" s="176" t="n">
        <v>2025</v>
      </c>
      <c r="D144" s="177" t="inlineStr">
        <is>
          <t>Q4</t>
        </is>
      </c>
      <c r="E144" s="178" t="inlineStr">
        <is>
          <t>All</t>
        </is>
      </c>
      <c r="F144" s="178" t="inlineStr">
        <is>
          <t>All</t>
        </is>
      </c>
      <c r="G144" s="177" t="inlineStr">
        <is>
          <t>Nigel</t>
        </is>
      </c>
      <c r="H144" s="177" t="inlineStr">
        <is>
          <t>Human</t>
        </is>
      </c>
      <c r="I144" s="179" t="n">
        <v>-0.4</v>
      </c>
      <c r="J144" s="180">
        <f>IF(OR(I144="",Settings!$B$6=""),"",IF(I144&gt;Settings!$B$6,"BUY",IF(I144&lt;-Settings!$B$6,"SELL","HOLD")))</f>
        <v/>
      </c>
      <c r="K144" s="181" t="n">
        <v>15</v>
      </c>
      <c r="L144" s="182" t="n">
        <v>46049</v>
      </c>
      <c r="M144" s="182" t="n">
        <v>46049</v>
      </c>
      <c r="N144" s="179" t="n">
        <v>589.3</v>
      </c>
      <c r="O144" s="182" t="n">
        <v>46050</v>
      </c>
      <c r="P144" s="183" t="n">
        <v>556</v>
      </c>
      <c r="Q144" s="184">
        <f>IF(OR(N144="",P144=""),"",ROUND((P144-N144)/N144,4))</f>
        <v/>
      </c>
      <c r="R144" s="177">
        <f>IF(OR(N144="",P144=""),"",IF(Q144&gt;Settings!$B$3/100,"UP",IF(Q144&lt;-Settings!$B$3/100,"DOWN","FLAT")))</f>
        <v/>
      </c>
      <c r="S144" s="177">
        <f>IF(OR(N144="",P144="",J144=""),"",IF(OR(AND(J144="BUY",R144="UP"),AND(J144="SELL",R144="DOWN"),AND(J144="HOLD",R144="FLAT")),"YES","NO"))</f>
        <v/>
      </c>
      <c r="T144" s="176">
        <f>IF(J144="","",IF(J144="BUY",1,IF(J144="SELL",-1,0)))</f>
        <v/>
      </c>
      <c r="U144" s="184">
        <f>IFERROR(IF(OR(J144="",N144="",P144=""),"",IF(T144=0,0,T144*Q144-Settings!$B$4/10000-IF(T144&lt;0,Settings!$B$5/10000,0))),"")</f>
        <v/>
      </c>
      <c r="V144" s="152" t="inlineStr">
        <is>
          <t>Revenue, profit and EPS down on FX; FCF up; debt down; trends improved across all groups; F&amp;LG resilient on Japan tourism; Wines &amp; Spirits slowing; Asia down 2 points; margin above average. No guidance.</t>
        </is>
      </c>
      <c r="W144" s="176">
        <f>IF($K144="","",$K144*60)</f>
        <v/>
      </c>
      <c r="X144" s="186">
        <f>IF($A144="","",$A144&amp;"|"&amp;$C144&amp;"|"&amp;$D144)</f>
        <v/>
      </c>
      <c r="Y144" s="186">
        <f>IFERROR(IF($X144="","",INDEX(LLM_Data_Entry!$H$3:$H$548,MATCH($X144,INDEX(LLM_Data_Entry!$A$3:$A$548&amp;"|"&amp;LLM_Data_Entry!$C$3:$C$548&amp;"|"&amp;LLM_Data_Entry!$D$3:$D$548,0),0))),"")</f>
        <v/>
      </c>
      <c r="Z144" s="186">
        <f>IFERROR(IF($X144="","",INDEX(LLM_Data_Entry!$R$3:$R$548,MATCH($X144,INDEX(LLM_Data_Entry!$A$3:$A$548&amp;"|"&amp;LLM_Data_Entry!$C$3:$C$548&amp;"|"&amp;LLM_Data_Entry!$D$3:$D$548,0),0))),"")</f>
        <v/>
      </c>
      <c r="AA144" s="152" t="n"/>
      <c r="AB144" s="152" t="inlineStr">
        <is>
          <t>price signal — only this window shows an abnormal move</t>
        </is>
      </c>
      <c r="AC144" s="152" t="inlineStr">
        <is>
          <t>MC.PA</t>
        </is>
      </c>
      <c r="AD144" s="152" t="inlineStr">
        <is>
          <t>2026-01-27</t>
        </is>
      </c>
      <c r="AE144" s="152" t="n">
        <v>579.845</v>
      </c>
      <c r="AF144" s="152" t="inlineStr">
        <is>
          <t>2026-01-28</t>
        </is>
      </c>
      <c r="AG144" s="152" t="n">
        <v>547.0793</v>
      </c>
      <c r="AH144" s="152" t="n">
        <v>-0.05650765892918979</v>
      </c>
      <c r="AI144" s="152" t="inlineStr">
        <is>
          <t>DOWN</t>
        </is>
      </c>
      <c r="AJ144" s="152" t="inlineStr">
        <is>
          <t>YES</t>
        </is>
      </c>
      <c r="AK144" s="152" t="n">
        <v>0.055508</v>
      </c>
      <c r="AL144" s="152">
        <f>IF($A144="","",IFERROR(INDEX(Company_List!$G$3:$G$207,MATCH($A144,Company_List!$A$3:$A$207,0)),"unassigned"))</f>
        <v/>
      </c>
      <c r="AM144" s="152" t="inlineStr">
        <is>
          <t>Phase 2/LVMH/2025-Q4/MC.PA-2025-Q4-results-LVMH-IR.pdf</t>
        </is>
      </c>
      <c r="AN144" s="152" t="n"/>
      <c r="AO144" s="152" t="inlineStr">
        <is>
          <t>manifest</t>
        </is>
      </c>
      <c r="AP144" s="152">
        <f>IF($A144="","",IF(COUNTIFS(LLM_Data_Entry!$A$3:$A$548,$A144)&gt;0,"YES","NO"))</f>
        <v/>
      </c>
      <c r="AQ144" s="152">
        <f>IF($A144="","",IF(COUNTIFS($A$3:$A144,$A144,$C$3:$C144,$C144,$D$3:$D144,$D144)=1,"YES","NO"))</f>
        <v/>
      </c>
      <c r="AR144" s="152">
        <f>IF($A144="","",IF(AND($C144&amp;"-"&amp;$D144&gt;=Settings!$B$19,$C144&amp;"-"&amp;$D144&lt;=Settings!$B$20),"IN","OUT"))</f>
        <v/>
      </c>
      <c r="AS144" s="152">
        <f>IF($A144="","",IF($F144="Financial Results","financials",IF($F144="Outlook/Guidance","guidance",IF($F144="Transcript Q&amp;A","qanda",IF($F144="","unrecorded",IF($E144="All","full",IF($E144="","unrecorded",LOWER($E144)&amp;" only")))))))</f>
        <v/>
      </c>
      <c r="AT144" s="152">
        <f>IF(AND(OR($J144="BUY",$J144="SELL"),ISNUMBER($U144)),$U144,"")</f>
        <v/>
      </c>
      <c r="AU144" s="152">
        <f>IF(AND(OR($J144="BUY",$J144="SELL"),ISNUMBER($AK144)),$AK144,"")</f>
        <v/>
      </c>
      <c r="AV144" s="152">
        <f>IF(ISNUMBER($AT144),ABS(IF(ISNUMBER($I144),$I144,0)-Settings!$B$24),"")</f>
        <v/>
      </c>
      <c r="AW144" s="152">
        <f>IF(ISNUMBER($AV144),$AV144*$AT144,"")</f>
        <v/>
      </c>
      <c r="AX144" s="152">
        <f>IF(ISNUMBER($AU144),ABS(IF(ISNUMBER($I144),$I144,0)-Settings!$B$24),"")</f>
        <v/>
      </c>
      <c r="AY144" s="152" t="inlineStr">
        <is>
          <t>FROZEN</t>
        </is>
      </c>
      <c r="AZ144" s="152">
        <f>IF($A144="","",IFERROR(INDEX(Company_List!$H$3:$H$207,MATCH($A144,Company_List!$A$3:$A$207,0)),"unassigned"))</f>
        <v/>
      </c>
      <c r="BA144" s="152" t="n"/>
      <c r="BB144" s="152" t="n"/>
      <c r="BC144" s="152">
        <f>IF($A144="","",IF(COUNTIFS($A$3:$A144,$A144,$C$3:$C144,$C144,$D$3:$D144,$D144,$G$3:$G144,$G144)=1,1,0))</f>
        <v/>
      </c>
      <c r="BD144" s="152" t="n"/>
      <c r="BE144" s="152" t="n"/>
      <c r="BF144" s="152" t="n"/>
      <c r="BG144" s="152" t="inlineStr">
        <is>
          <t>no</t>
        </is>
      </c>
      <c r="BH144" s="152" t="n"/>
      <c r="BI144" s="152" t="n"/>
      <c r="BJ144" s="152" t="n"/>
      <c r="BK144" s="152">
        <f>IF(OR($H144&lt;&gt;"Human",$S144="",$J144="",$Y144="",$Z144=""),"",IF(EXACT(UPPER($J144),UPPER($Y144)),1,0))</f>
        <v/>
      </c>
      <c r="BL144" s="152" t="inlineStr">
        <is>
          <t>assumed - no rater record</t>
        </is>
      </c>
      <c r="BM144" s="152" t="n">
        <v>1</v>
      </c>
      <c r="BN144" s="152" t="inlineStr">
        <is>
          <t>not publisher-identified</t>
        </is>
      </c>
      <c r="BO144" s="152" t="inlineStr">
        <is>
          <t>not publisher-identified</t>
        </is>
      </c>
      <c r="BP144" s="152" t="inlineStr">
        <is>
          <t>no</t>
        </is>
      </c>
      <c r="BQ144" s="152" t="inlineStr">
        <is>
          <t>yes</t>
        </is>
      </c>
      <c r="BR144" s="152" t="n"/>
      <c r="BS144" s="152" t="inlineStr">
        <is>
          <t>YES</t>
        </is>
      </c>
      <c r="BT144" s="152" t="n"/>
    </row>
    <row r="145" ht="15" customHeight="1" s="241">
      <c r="A145" s="174" t="inlineStr">
        <is>
          <t>CVS Health</t>
        </is>
      </c>
      <c r="B145" s="175">
        <f>IF(A145="","",_xlfn.XLOOKUP(A145, Company_List!$A:$A, Company_List!$B:$B, ""))</f>
        <v/>
      </c>
      <c r="C145" s="176" t="n">
        <v>2025</v>
      </c>
      <c r="D145" s="177" t="inlineStr">
        <is>
          <t>Q2</t>
        </is>
      </c>
      <c r="E145" s="178" t="inlineStr">
        <is>
          <t>Transcript</t>
        </is>
      </c>
      <c r="F145" s="178" t="inlineStr">
        <is>
          <t>All</t>
        </is>
      </c>
      <c r="G145" s="177" t="inlineStr">
        <is>
          <t>Anna</t>
        </is>
      </c>
      <c r="H145" s="177" t="inlineStr">
        <is>
          <t>Human</t>
        </is>
      </c>
      <c r="I145" s="179" t="n">
        <v>0.3</v>
      </c>
      <c r="J145" s="180">
        <f>IF(OR(I145="",Settings!$B$6=""),"",IF(I145&gt;Settings!$B$6,"BUY",IF(I145&lt;-Settings!$B$6,"SELL","HOLD")))</f>
        <v/>
      </c>
      <c r="K145" s="181" t="n">
        <v>20</v>
      </c>
      <c r="L145" s="182" t="n">
        <v>45869</v>
      </c>
      <c r="M145" s="182" t="n">
        <v>45868</v>
      </c>
      <c r="N145" s="179" t="n">
        <v>62.3</v>
      </c>
      <c r="O145" s="182" t="n">
        <v>45869</v>
      </c>
      <c r="P145" s="183" t="n">
        <v>65.51000000000001</v>
      </c>
      <c r="Q145" s="184">
        <f>IF(OR(N145="",P145=""),"",ROUND((P145-N145)/N145,4))</f>
        <v/>
      </c>
      <c r="R145" s="177">
        <f>IF(OR(N145="",P145=""),"",IF(Q145&gt;Settings!$B$3/100,"UP",IF(Q145&lt;-Settings!$B$3/100,"DOWN","FLAT")))</f>
        <v/>
      </c>
      <c r="S145" s="177">
        <f>IF(OR(N145="",P145="",J145=""),"",IF(OR(AND(J145="BUY",R145="UP"),AND(J145="SELL",R145="DOWN"),AND(J145="HOLD",R145="FLAT")),"YES","NO"))</f>
        <v/>
      </c>
      <c r="T145" s="176">
        <f>IF(J145="","",IF(J145="BUY",1,IF(J145="SELL",-1,0)))</f>
        <v/>
      </c>
      <c r="U145" s="184">
        <f>IFERROR(IF(OR(J145="",N145="",P145=""),"",IF(T145=0,0,T145*Q145-Settings!$B$4/10000-IF(T145&lt;0,Settings!$B$5/10000,0))),"")</f>
        <v/>
      </c>
      <c r="V145" s="152" t="n"/>
      <c r="W145" s="176">
        <f>IF($K145="","",$K145*60)</f>
        <v/>
      </c>
      <c r="X145" s="186">
        <f>IF($A145="","",$A145&amp;"|"&amp;$C145&amp;"|"&amp;$D145)</f>
        <v/>
      </c>
      <c r="Y145" s="186">
        <f>IFERROR(IF($X145="","",INDEX(LLM_Data_Entry!$H$3:$H$548,MATCH($X145,INDEX(LLM_Data_Entry!$A$3:$A$548&amp;"|"&amp;LLM_Data_Entry!$C$3:$C$548&amp;"|"&amp;LLM_Data_Entry!$D$3:$D$548,0),0))),"")</f>
        <v/>
      </c>
      <c r="Z145" s="186">
        <f>IFERROR(IF($X145="","",INDEX(LLM_Data_Entry!$R$3:$R$548,MATCH($X145,INDEX(LLM_Data_Entry!$A$3:$A$548&amp;"|"&amp;LLM_Data_Entry!$C$3:$C$548&amp;"|"&amp;LLM_Data_Entry!$D$3:$D$548,0),0))),"")</f>
        <v/>
      </c>
      <c r="AA145" s="152" t="n"/>
      <c r="AB145" s="152" t="inlineStr">
        <is>
          <t>price signal</t>
        </is>
      </c>
      <c r="AC145" s="152" t="inlineStr">
        <is>
          <t>CVS</t>
        </is>
      </c>
      <c r="AD145" s="152" t="inlineStr">
        <is>
          <t>2025-07-30</t>
        </is>
      </c>
      <c r="AE145" s="152" t="n">
        <v>60.3834</v>
      </c>
      <c r="AF145" s="152" t="inlineStr">
        <is>
          <t>2025-07-31</t>
        </is>
      </c>
      <c r="AG145" s="152" t="n">
        <v>63.4947</v>
      </c>
      <c r="AH145" s="152" t="n">
        <v>0.05152500323754339</v>
      </c>
      <c r="AI145" s="152" t="inlineStr">
        <is>
          <t>UP</t>
        </is>
      </c>
      <c r="AJ145" s="152" t="inlineStr">
        <is>
          <t>YES</t>
        </is>
      </c>
      <c r="AK145" s="152" t="n">
        <v>0.050525</v>
      </c>
      <c r="AL145" s="152">
        <f>IF($A145="","",IFERROR(INDEX(Company_List!$G$3:$G$207,MATCH($A145,Company_List!$A$3:$A$207,0)),"unassigned"))</f>
        <v/>
      </c>
      <c r="AM145" s="152" t="inlineStr">
        <is>
          <t>Phase 2/CVS Health/CVS-Health-Q2-2025-Earnings-Transcript.pdf</t>
        </is>
      </c>
      <c r="AN145" s="152" t="n"/>
      <c r="AO145" s="152" t="inlineStr">
        <is>
          <t>unique filename match</t>
        </is>
      </c>
      <c r="AP145" s="152">
        <f>IF($A145="","",IF(COUNTIFS(LLM_Data_Entry!$A$3:$A$548,$A145)&gt;0,"YES","NO"))</f>
        <v/>
      </c>
      <c r="AQ145" s="152">
        <f>IF($A145="","",IF(COUNTIFS($A$3:$A145,$A145,$C$3:$C145,$C145,$D$3:$D145,$D145)=1,"YES","NO"))</f>
        <v/>
      </c>
      <c r="AR145" s="152">
        <f>IF($A145="","",IF(AND($C145&amp;"-"&amp;$D145&gt;=Settings!$B$19,$C145&amp;"-"&amp;$D145&lt;=Settings!$B$20),"IN","OUT"))</f>
        <v/>
      </c>
      <c r="AS145" s="152">
        <f>IF($A145="","",IF($F145="Financial Results","financials",IF($F145="Outlook/Guidance","guidance",IF($F145="Transcript Q&amp;A","qanda",IF($F145="","unrecorded",IF($E145="All","full",IF($E145="","unrecorded",LOWER($E145)&amp;" only")))))))</f>
        <v/>
      </c>
      <c r="AT145" s="152">
        <f>IF(AND(OR($J145="BUY",$J145="SELL"),ISNUMBER($U145)),$U145,"")</f>
        <v/>
      </c>
      <c r="AU145" s="152">
        <f>IF(AND(OR($J145="BUY",$J145="SELL"),ISNUMBER($AK145)),$AK145,"")</f>
        <v/>
      </c>
      <c r="AV145" s="152">
        <f>IF(ISNUMBER($AT145),ABS(IF(ISNUMBER($I145),$I145,0)-Settings!$B$24),"")</f>
        <v/>
      </c>
      <c r="AW145" s="152">
        <f>IF(ISNUMBER($AV145),$AV145*$AT145,"")</f>
        <v/>
      </c>
      <c r="AX145" s="152">
        <f>IF(ISNUMBER($AU145),ABS(IF(ISNUMBER($I145),$I145,0)-Settings!$B$24),"")</f>
        <v/>
      </c>
      <c r="AY145" s="152" t="inlineStr">
        <is>
          <t>FROZEN</t>
        </is>
      </c>
      <c r="AZ145" s="152">
        <f>IF($A145="","",IFERROR(INDEX(Company_List!$H$3:$H$207,MATCH($A145,Company_List!$A$3:$A$207,0)),"unassigned"))</f>
        <v/>
      </c>
      <c r="BA145" s="152" t="n"/>
      <c r="BB145" s="152" t="n"/>
      <c r="BC145" s="152">
        <f>IF($A145="","",IF(COUNTIFS($A$3:$A145,$A145,$C$3:$C145,$C145,$D$3:$D145,$D145,$G$3:$G145,$G145)=1,1,0))</f>
        <v/>
      </c>
      <c r="BD145" s="152" t="n"/>
      <c r="BE145" s="152" t="n"/>
      <c r="BF145" s="152" t="n"/>
      <c r="BG145" s="152" t="inlineStr">
        <is>
          <t>no</t>
        </is>
      </c>
      <c r="BH145" s="152" t="n"/>
      <c r="BI145" s="152" t="n"/>
      <c r="BJ145" s="152" t="n"/>
      <c r="BK145" s="152">
        <f>IF(OR($H145&lt;&gt;"Human",$S145="",$J145="",$Y145="",$Z145=""),"",IF(EXACT(UPPER($J145),UPPER($Y145)),1,0))</f>
        <v/>
      </c>
      <c r="BL145" s="152" t="inlineStr">
        <is>
          <t>assumed - no rater record</t>
        </is>
      </c>
      <c r="BM145" s="152" t="n">
        <v>1</v>
      </c>
      <c r="BN145" s="152" t="inlineStr">
        <is>
          <t>FactSet CallStreet</t>
        </is>
      </c>
      <c r="BO145" s="152" t="inlineStr">
        <is>
          <t>licensed vendor</t>
        </is>
      </c>
      <c r="BP145" s="152" t="inlineStr">
        <is>
          <t>no</t>
        </is>
      </c>
      <c r="BQ145" s="152" t="inlineStr">
        <is>
          <t>no</t>
        </is>
      </c>
      <c r="BR145" s="152" t="n"/>
      <c r="BS145" s="152" t="inlineStr">
        <is>
          <t>YES</t>
        </is>
      </c>
      <c r="BT145" s="152" t="n"/>
    </row>
    <row r="146" ht="15" customHeight="1" s="241">
      <c r="A146" s="174" t="inlineStr">
        <is>
          <t>CVS Health</t>
        </is>
      </c>
      <c r="B146" s="175">
        <f>IF(A146="","",_xlfn.XLOOKUP(A146, Company_List!$A:$A, Company_List!$B:$B, ""))</f>
        <v/>
      </c>
      <c r="C146" s="176" t="n">
        <v>2025</v>
      </c>
      <c r="D146" s="177" t="inlineStr">
        <is>
          <t>Q4</t>
        </is>
      </c>
      <c r="E146" s="178" t="inlineStr">
        <is>
          <t>Transcript</t>
        </is>
      </c>
      <c r="F146" s="178" t="inlineStr">
        <is>
          <t>All</t>
        </is>
      </c>
      <c r="G146" s="177" t="inlineStr">
        <is>
          <t>Anna</t>
        </is>
      </c>
      <c r="H146" s="177" t="inlineStr">
        <is>
          <t>Human</t>
        </is>
      </c>
      <c r="I146" s="179" t="n">
        <v>0.5</v>
      </c>
      <c r="J146" s="180">
        <f>IF(OR(I146="",Settings!$B$6=""),"",IF(I146&gt;Settings!$B$6,"BUY",IF(I146&lt;-Settings!$B$6,"SELL","HOLD")))</f>
        <v/>
      </c>
      <c r="K146" s="181" t="n">
        <v>25</v>
      </c>
      <c r="L146" s="182" t="n">
        <v>46063</v>
      </c>
      <c r="M146" s="182" t="n">
        <v>46062</v>
      </c>
      <c r="N146" s="179" t="n">
        <v>75.77</v>
      </c>
      <c r="O146" s="182" t="n">
        <v>46063</v>
      </c>
      <c r="P146" s="183" t="n">
        <v>73.77</v>
      </c>
      <c r="Q146" s="184">
        <f>IF(OR(N146="",P146=""),"",ROUND((P146-N146)/N146,4))</f>
        <v/>
      </c>
      <c r="R146" s="177">
        <f>IF(OR(N146="",P146=""),"",IF(Q146&gt;Settings!$B$3/100,"UP",IF(Q146&lt;-Settings!$B$3/100,"DOWN","FLAT")))</f>
        <v/>
      </c>
      <c r="S146" s="177">
        <f>IF(OR(N146="",P146="",J146=""),"",IF(OR(AND(J146="BUY",R146="UP"),AND(J146="SELL",R146="DOWN"),AND(J146="HOLD",R146="FLAT")),"YES","NO"))</f>
        <v/>
      </c>
      <c r="T146" s="176">
        <f>IF(J146="","",IF(J146="BUY",1,IF(J146="SELL",-1,0)))</f>
        <v/>
      </c>
      <c r="U146" s="184">
        <f>IFERROR(IF(OR(J146="",N146="",P146=""),"",IF(T146=0,0,T146*Q146-Settings!$B$4/10000-IF(T146&lt;0,Settings!$B$5/10000,0))),"")</f>
        <v/>
      </c>
      <c r="V146" s="185" t="n"/>
      <c r="W146" s="176">
        <f>IF($K146="","",$K146*60)</f>
        <v/>
      </c>
      <c r="X146" s="186">
        <f>IF($A146="","",$A146&amp;"|"&amp;$C146&amp;"|"&amp;$D146)</f>
        <v/>
      </c>
      <c r="Y146" s="186">
        <f>IFERROR(IF($X146="","",INDEX(LLM_Data_Entry!$H$3:$H$548,MATCH($X146,INDEX(LLM_Data_Entry!$A$3:$A$548&amp;"|"&amp;LLM_Data_Entry!$C$3:$C$548&amp;"|"&amp;LLM_Data_Entry!$D$3:$D$548,0),0))),"")</f>
        <v/>
      </c>
      <c r="Z146" s="186">
        <f>IFERROR(IF($X146="","",INDEX(LLM_Data_Entry!$R$3:$R$548,MATCH($X146,INDEX(LLM_Data_Entry!$A$3:$A$548&amp;"|"&amp;LLM_Data_Entry!$C$3:$C$548&amp;"|"&amp;LLM_Data_Entry!$D$3:$D$548,0),0))),"")</f>
        <v/>
      </c>
      <c r="AA146" s="152" t="n"/>
      <c r="AB146" s="152" t="inlineStr">
        <is>
          <t>price signal</t>
        </is>
      </c>
      <c r="AC146" s="152" t="inlineStr">
        <is>
          <t>CVS</t>
        </is>
      </c>
      <c r="AD146" s="152" t="inlineStr">
        <is>
          <t>2026-02-09</t>
        </is>
      </c>
      <c r="AE146" s="152" t="n">
        <v>74.6486</v>
      </c>
      <c r="AF146" s="152" t="inlineStr">
        <is>
          <t>2026-02-10</t>
        </is>
      </c>
      <c r="AG146" s="152" t="n">
        <v>72.6782</v>
      </c>
      <c r="AH146" s="152" t="n">
        <v>-0.02639575051911369</v>
      </c>
      <c r="AI146" s="152" t="inlineStr">
        <is>
          <t>DOWN</t>
        </is>
      </c>
      <c r="AJ146" s="152" t="inlineStr">
        <is>
          <t>NO</t>
        </is>
      </c>
      <c r="AK146" s="152" t="n">
        <v>-0.027396</v>
      </c>
      <c r="AL146" s="152">
        <f>IF($A146="","",IFERROR(INDEX(Company_List!$G$3:$G$207,MATCH($A146,Company_List!$A$3:$A$207,0)),"unassigned"))</f>
        <v/>
      </c>
      <c r="AM146" s="152" t="inlineStr">
        <is>
          <t>Phase 2/CVS Health/CVS-Health-Q4-2025-Transcript.pdf</t>
        </is>
      </c>
      <c r="AN146" s="152" t="n"/>
      <c r="AO146" s="152" t="inlineStr">
        <is>
          <t>unique filename match</t>
        </is>
      </c>
      <c r="AP146" s="152">
        <f>IF($A146="","",IF(COUNTIFS(LLM_Data_Entry!$A$3:$A$548,$A146)&gt;0,"YES","NO"))</f>
        <v/>
      </c>
      <c r="AQ146" s="152">
        <f>IF($A146="","",IF(COUNTIFS($A$3:$A146,$A146,$C$3:$C146,$C146,$D$3:$D146,$D146)=1,"YES","NO"))</f>
        <v/>
      </c>
      <c r="AR146" s="152">
        <f>IF($A146="","",IF(AND($C146&amp;"-"&amp;$D146&gt;=Settings!$B$19,$C146&amp;"-"&amp;$D146&lt;=Settings!$B$20),"IN","OUT"))</f>
        <v/>
      </c>
      <c r="AS146" s="152">
        <f>IF($A146="","",IF($F146="Financial Results","financials",IF($F146="Outlook/Guidance","guidance",IF($F146="Transcript Q&amp;A","qanda",IF($F146="","unrecorded",IF($E146="All","full",IF($E146="","unrecorded",LOWER($E146)&amp;" only")))))))</f>
        <v/>
      </c>
      <c r="AT146" s="152">
        <f>IF(AND(OR($J146="BUY",$J146="SELL"),ISNUMBER($U146)),$U146,"")</f>
        <v/>
      </c>
      <c r="AU146" s="152">
        <f>IF(AND(OR($J146="BUY",$J146="SELL"),ISNUMBER($AK146)),$AK146,"")</f>
        <v/>
      </c>
      <c r="AV146" s="152">
        <f>IF(ISNUMBER($AT146),ABS(IF(ISNUMBER($I146),$I146,0)-Settings!$B$24),"")</f>
        <v/>
      </c>
      <c r="AW146" s="152">
        <f>IF(ISNUMBER($AV146),$AV146*$AT146,"")</f>
        <v/>
      </c>
      <c r="AX146" s="152">
        <f>IF(ISNUMBER($AU146),ABS(IF(ISNUMBER($I146),$I146,0)-Settings!$B$24),"")</f>
        <v/>
      </c>
      <c r="AY146" s="152" t="inlineStr">
        <is>
          <t>FROZEN</t>
        </is>
      </c>
      <c r="AZ146" s="152">
        <f>IF($A146="","",IFERROR(INDEX(Company_List!$H$3:$H$207,MATCH($A146,Company_List!$A$3:$A$207,0)),"unassigned"))</f>
        <v/>
      </c>
      <c r="BA146" s="152" t="n"/>
      <c r="BB146" s="152" t="n"/>
      <c r="BC146" s="152">
        <f>IF($A146="","",IF(COUNTIFS($A$3:$A146,$A146,$C$3:$C146,$C146,$D$3:$D146,$D146,$G$3:$G146,$G146)=1,1,0))</f>
        <v/>
      </c>
      <c r="BD146" s="152" t="n"/>
      <c r="BE146" s="152" t="n"/>
      <c r="BF146" s="152" t="n"/>
      <c r="BG146" s="152" t="inlineStr">
        <is>
          <t>no</t>
        </is>
      </c>
      <c r="BH146" s="152" t="n"/>
      <c r="BI146" s="152" t="n"/>
      <c r="BJ146" s="152" t="n"/>
      <c r="BK146" s="152">
        <f>IF(OR($H146&lt;&gt;"Human",$S146="",$J146="",$Y146="",$Z146=""),"",IF(EXACT(UPPER($J146),UPPER($Y146)),1,0))</f>
        <v/>
      </c>
      <c r="BL146" s="152" t="inlineStr">
        <is>
          <t>assumed - no rater record</t>
        </is>
      </c>
      <c r="BM146" s="152" t="n">
        <v>1</v>
      </c>
      <c r="BN146" s="152" t="inlineStr">
        <is>
          <t>FactSet CallStreet</t>
        </is>
      </c>
      <c r="BO146" s="152" t="inlineStr">
        <is>
          <t>licensed vendor</t>
        </is>
      </c>
      <c r="BP146" s="152" t="inlineStr">
        <is>
          <t>no</t>
        </is>
      </c>
      <c r="BQ146" s="152" t="inlineStr">
        <is>
          <t>no</t>
        </is>
      </c>
      <c r="BR146" s="152" t="n"/>
      <c r="BS146" s="152" t="inlineStr">
        <is>
          <t>YES</t>
        </is>
      </c>
      <c r="BT146" s="152" t="n"/>
    </row>
    <row r="147" ht="15" customHeight="1" s="241">
      <c r="A147" s="174" t="inlineStr">
        <is>
          <t>CVS Health</t>
        </is>
      </c>
      <c r="B147" s="175">
        <f>IF(A147="","",_xlfn.XLOOKUP(A147, Company_List!$A:$A, Company_List!$B:$B, ""))</f>
        <v/>
      </c>
      <c r="C147" s="176" t="n">
        <v>2025</v>
      </c>
      <c r="D147" s="177" t="inlineStr">
        <is>
          <t>Q3</t>
        </is>
      </c>
      <c r="E147" s="178" t="inlineStr">
        <is>
          <t>Transcript</t>
        </is>
      </c>
      <c r="F147" s="178" t="inlineStr">
        <is>
          <t>All</t>
        </is>
      </c>
      <c r="G147" s="177" t="inlineStr">
        <is>
          <t>Anna</t>
        </is>
      </c>
      <c r="H147" s="177" t="inlineStr">
        <is>
          <t>Human</t>
        </is>
      </c>
      <c r="I147" s="179" t="n">
        <v>0.3</v>
      </c>
      <c r="J147" s="180">
        <f>IF(OR(I147="",Settings!$B$6=""),"",IF(I147&gt;Settings!$B$6,"BUY",IF(I147&lt;-Settings!$B$6,"SELL","HOLD")))</f>
        <v/>
      </c>
      <c r="K147" s="181" t="n">
        <v>22</v>
      </c>
      <c r="L147" s="182" t="n">
        <v>45959</v>
      </c>
      <c r="M147" s="182" t="n">
        <v>45958</v>
      </c>
      <c r="N147" s="179" t="n">
        <v>82.2</v>
      </c>
      <c r="O147" s="182" t="n">
        <v>45959</v>
      </c>
      <c r="P147" s="183" t="n">
        <v>82.5</v>
      </c>
      <c r="Q147" s="184">
        <f>IF(OR(N147="",P147=""),"",ROUND((P147-N147)/N147,4))</f>
        <v/>
      </c>
      <c r="R147" s="177">
        <f>IF(OR(N147="",P147=""),"",IF(Q147&gt;Settings!$B$3/100,"UP",IF(Q147&lt;-Settings!$B$3/100,"DOWN","FLAT")))</f>
        <v/>
      </c>
      <c r="S147" s="177">
        <f>IF(OR(N147="",P147="",J147=""),"",IF(OR(AND(J147="BUY",R147="UP"),AND(J147="SELL",R147="DOWN"),AND(J147="HOLD",R147="FLAT")),"YES","NO"))</f>
        <v/>
      </c>
      <c r="T147" s="176">
        <f>IF(J147="","",IF(J147="BUY",1,IF(J147="SELL",-1,0)))</f>
        <v/>
      </c>
      <c r="U147" s="184">
        <f>IFERROR(IF(OR(J147="",N147="",P147=""),"",IF(T147=0,0,T147*Q147-Settings!$B$4/10000-IF(T147&lt;0,Settings!$B$5/10000,0))),"")</f>
        <v/>
      </c>
      <c r="V147" s="185" t="n"/>
      <c r="W147" s="176">
        <f>IF($K147="","",$K147*60)</f>
        <v/>
      </c>
      <c r="X147" s="186">
        <f>IF($A147="","",$A147&amp;"|"&amp;$C147&amp;"|"&amp;$D147)</f>
        <v/>
      </c>
      <c r="Y147" s="186">
        <f>IFERROR(IF($X147="","",INDEX(LLM_Data_Entry!$H$3:$H$548,MATCH($X147,INDEX(LLM_Data_Entry!$A$3:$A$548&amp;"|"&amp;LLM_Data_Entry!$C$3:$C$548&amp;"|"&amp;LLM_Data_Entry!$D$3:$D$548,0),0))),"")</f>
        <v/>
      </c>
      <c r="Z147" s="186">
        <f>IFERROR(IF($X147="","",INDEX(LLM_Data_Entry!$R$3:$R$548,MATCH($X147,INDEX(LLM_Data_Entry!$A$3:$A$548&amp;"|"&amp;LLM_Data_Entry!$C$3:$C$548&amp;"|"&amp;LLM_Data_Entry!$D$3:$D$548,0),0))),"")</f>
        <v/>
      </c>
      <c r="AA147" s="152" t="n"/>
      <c r="AB147" s="152" t="inlineStr">
        <is>
          <t>price signal — only this window shows an abnormal move</t>
        </is>
      </c>
      <c r="AC147" s="152" t="inlineStr">
        <is>
          <t>CVS</t>
        </is>
      </c>
      <c r="AD147" s="152" t="inlineStr">
        <is>
          <t>2025-10-29</t>
        </is>
      </c>
      <c r="AE147" s="152" t="n">
        <v>78.7591</v>
      </c>
      <c r="AF147" s="152" t="inlineStr">
        <is>
          <t>2025-10-30</t>
        </is>
      </c>
      <c r="AG147" s="152" t="n">
        <v>74.34229999999999</v>
      </c>
      <c r="AH147" s="152" t="n">
        <v>-0.05607938044933943</v>
      </c>
      <c r="AI147" s="152" t="inlineStr">
        <is>
          <t>DOWN</t>
        </is>
      </c>
      <c r="AJ147" s="152" t="inlineStr">
        <is>
          <t>NO</t>
        </is>
      </c>
      <c r="AK147" s="152" t="n">
        <v>-0.057079</v>
      </c>
      <c r="AL147" s="152">
        <f>IF($A147="","",IFERROR(INDEX(Company_List!$G$3:$G$207,MATCH($A147,Company_List!$A$3:$A$207,0)),"unassigned"))</f>
        <v/>
      </c>
      <c r="AM147" s="152" t="inlineStr">
        <is>
          <t>Phase 2/CVS Health/CVS-Q3-2025-Earnings-Transcript.pdf</t>
        </is>
      </c>
      <c r="AN147" s="152" t="n"/>
      <c r="AO147" s="152" t="inlineStr">
        <is>
          <t>unique filename match</t>
        </is>
      </c>
      <c r="AP147" s="152">
        <f>IF($A147="","",IF(COUNTIFS(LLM_Data_Entry!$A$3:$A$548,$A147)&gt;0,"YES","NO"))</f>
        <v/>
      </c>
      <c r="AQ147" s="152">
        <f>IF($A147="","",IF(COUNTIFS($A$3:$A147,$A147,$C$3:$C147,$C147,$D$3:$D147,$D147)=1,"YES","NO"))</f>
        <v/>
      </c>
      <c r="AR147" s="152">
        <f>IF($A147="","",IF(AND($C147&amp;"-"&amp;$D147&gt;=Settings!$B$19,$C147&amp;"-"&amp;$D147&lt;=Settings!$B$20),"IN","OUT"))</f>
        <v/>
      </c>
      <c r="AS147" s="152">
        <f>IF($A147="","",IF($F147="Financial Results","financials",IF($F147="Outlook/Guidance","guidance",IF($F147="Transcript Q&amp;A","qanda",IF($F147="","unrecorded",IF($E147="All","full",IF($E147="","unrecorded",LOWER($E147)&amp;" only")))))))</f>
        <v/>
      </c>
      <c r="AT147" s="152">
        <f>IF(AND(OR($J147="BUY",$J147="SELL"),ISNUMBER($U147)),$U147,"")</f>
        <v/>
      </c>
      <c r="AU147" s="152">
        <f>IF(AND(OR($J147="BUY",$J147="SELL"),ISNUMBER($AK147)),$AK147,"")</f>
        <v/>
      </c>
      <c r="AV147" s="152">
        <f>IF(ISNUMBER($AT147),ABS(IF(ISNUMBER($I147),$I147,0)-Settings!$B$24),"")</f>
        <v/>
      </c>
      <c r="AW147" s="152">
        <f>IF(ISNUMBER($AV147),$AV147*$AT147,"")</f>
        <v/>
      </c>
      <c r="AX147" s="152">
        <f>IF(ISNUMBER($AU147),ABS(IF(ISNUMBER($I147),$I147,0)-Settings!$B$24),"")</f>
        <v/>
      </c>
      <c r="AY147" s="152" t="inlineStr">
        <is>
          <t>FROZEN</t>
        </is>
      </c>
      <c r="AZ147" s="152">
        <f>IF($A147="","",IFERROR(INDEX(Company_List!$H$3:$H$207,MATCH($A147,Company_List!$A$3:$A$207,0)),"unassigned"))</f>
        <v/>
      </c>
      <c r="BA147" s="152" t="n"/>
      <c r="BB147" s="152" t="n"/>
      <c r="BC147" s="152">
        <f>IF($A147="","",IF(COUNTIFS($A$3:$A147,$A147,$C$3:$C147,$C147,$D$3:$D147,$D147,$G$3:$G147,$G147)=1,1,0))</f>
        <v/>
      </c>
      <c r="BD147" s="152" t="n"/>
      <c r="BE147" s="152" t="n"/>
      <c r="BF147" s="152" t="n"/>
      <c r="BG147" s="152" t="inlineStr">
        <is>
          <t>no</t>
        </is>
      </c>
      <c r="BH147" s="152" t="n"/>
      <c r="BI147" s="152" t="n"/>
      <c r="BJ147" s="152" t="n"/>
      <c r="BK147" s="152">
        <f>IF(OR($H147&lt;&gt;"Human",$S147="",$J147="",$Y147="",$Z147=""),"",IF(EXACT(UPPER($J147),UPPER($Y147)),1,0))</f>
        <v/>
      </c>
      <c r="BL147" s="152" t="inlineStr">
        <is>
          <t>assumed - no rater record</t>
        </is>
      </c>
      <c r="BM147" s="152" t="n">
        <v>1</v>
      </c>
      <c r="BN147" s="152" t="inlineStr">
        <is>
          <t>FactSet CallStreet</t>
        </is>
      </c>
      <c r="BO147" s="152" t="inlineStr">
        <is>
          <t>licensed vendor</t>
        </is>
      </c>
      <c r="BP147" s="152" t="inlineStr">
        <is>
          <t>no</t>
        </is>
      </c>
      <c r="BQ147" s="152" t="inlineStr">
        <is>
          <t>no</t>
        </is>
      </c>
      <c r="BR147" s="152" t="n"/>
      <c r="BS147" s="152" t="inlineStr">
        <is>
          <t>YES</t>
        </is>
      </c>
      <c r="BT147" s="152" t="n"/>
    </row>
    <row r="148" ht="15" customHeight="1" s="241">
      <c r="A148" s="174" t="inlineStr">
        <is>
          <t>FedEx</t>
        </is>
      </c>
      <c r="B148" s="175">
        <f>IF(A148="","",_xlfn.XLOOKUP(A148, Company_List!$A:$A, Company_List!$B:$B, ""))</f>
        <v/>
      </c>
      <c r="C148" s="176" t="n">
        <v>2026</v>
      </c>
      <c r="D148" s="177" t="inlineStr">
        <is>
          <t>Q2</t>
        </is>
      </c>
      <c r="E148" s="178" t="inlineStr">
        <is>
          <t>Transcript</t>
        </is>
      </c>
      <c r="F148" s="178" t="inlineStr">
        <is>
          <t>All</t>
        </is>
      </c>
      <c r="G148" s="177" t="inlineStr">
        <is>
          <t>Anna</t>
        </is>
      </c>
      <c r="H148" s="177" t="inlineStr">
        <is>
          <t>Human</t>
        </is>
      </c>
      <c r="I148" s="179" t="n">
        <v>0.2</v>
      </c>
      <c r="J148" s="180">
        <f>IF(OR(I148="",Settings!$B$6=""),"",IF(I148&gt;Settings!$B$6,"BUY",IF(I148&lt;-Settings!$B$6,"SELL","HOLD")))</f>
        <v/>
      </c>
      <c r="K148" s="181" t="n">
        <v>20</v>
      </c>
      <c r="L148" s="182" t="n">
        <v>46009</v>
      </c>
      <c r="M148" s="182" t="n">
        <v>46009</v>
      </c>
      <c r="N148" s="179" t="n">
        <v>231.3618</v>
      </c>
      <c r="O148" s="182" t="n">
        <v>46010</v>
      </c>
      <c r="P148" s="180" t="n">
        <v>219.23</v>
      </c>
      <c r="Q148" s="184">
        <f>IF(OR(N148="",P148=""),"",ROUND((P148-N148)/N148,4))</f>
        <v/>
      </c>
      <c r="R148" s="177">
        <f>IF(OR(N148="",P148=""),"",IF(Q148&gt;Settings!$B$3/100,"UP",IF(Q148&lt;-Settings!$B$3/100,"DOWN","FLAT")))</f>
        <v/>
      </c>
      <c r="S148" s="177">
        <f>IF(OR(N148="",P148="",J148=""),"",IF(OR(AND(J148="BUY",R148="UP"),AND(J148="SELL",R148="DOWN"),AND(J148="HOLD",R148="FLAT")),"YES","NO"))</f>
        <v/>
      </c>
      <c r="T148" s="176">
        <f>IF(J148="","",IF(J148="BUY",1,IF(J148="SELL",-1,0)))</f>
        <v/>
      </c>
      <c r="U148" s="184">
        <f>IFERROR(IF(OR(J148="",N148="",P148=""),"",IF(T148=0,0,T148*Q148-Settings!$B$4/10000-IF(T148&lt;0,Settings!$B$5/10000,0))),"")</f>
        <v/>
      </c>
      <c r="V148" s="185" t="n"/>
      <c r="W148" s="176">
        <f>IF($K148="","",$K148*60)</f>
        <v/>
      </c>
      <c r="X148" s="186">
        <f>IF($A148="","",$A148&amp;"|"&amp;$C148&amp;"|"&amp;$D148)</f>
        <v/>
      </c>
      <c r="Y148" s="186">
        <f>IFERROR(IF($X148="","",INDEX(LLM_Data_Entry!$H$3:$H$548,MATCH($X148,INDEX(LLM_Data_Entry!$A$3:$A$548&amp;"|"&amp;LLM_Data_Entry!$C$3:$C$548&amp;"|"&amp;LLM_Data_Entry!$D$3:$D$548,0),0))),"")</f>
        <v/>
      </c>
      <c r="Z148" s="186">
        <f>IFERROR(IF($X148="","",INDEX(LLM_Data_Entry!$R$3:$R$548,MATCH($X148,INDEX(LLM_Data_Entry!$A$3:$A$548&amp;"|"&amp;LLM_Data_Entry!$C$3:$C$548&amp;"|"&amp;LLM_Data_Entry!$D$3:$D$548,0),0))),"")</f>
        <v/>
      </c>
      <c r="AA148" s="152" t="n"/>
      <c r="AB148" s="152" t="inlineStr">
        <is>
          <t>document date + price signal</t>
        </is>
      </c>
      <c r="AC148" s="152" t="inlineStr">
        <is>
          <t>FDX</t>
        </is>
      </c>
      <c r="AD148" s="152" t="inlineStr">
        <is>
          <t>2025-12-18</t>
        </is>
      </c>
      <c r="AE148" s="152" t="n">
        <v>229.5658</v>
      </c>
      <c r="AF148" s="152" t="inlineStr">
        <is>
          <t>2025-12-19</t>
        </is>
      </c>
      <c r="AG148" s="152" t="n">
        <v>217.5246</v>
      </c>
      <c r="AH148" s="152" t="n">
        <v>-0.05245197295717229</v>
      </c>
      <c r="AI148" s="152" t="inlineStr">
        <is>
          <t>DOWN</t>
        </is>
      </c>
      <c r="AJ148" s="152" t="inlineStr">
        <is>
          <t>NO</t>
        </is>
      </c>
      <c r="AK148" s="152" t="n">
        <v>0</v>
      </c>
      <c r="AL148" s="152">
        <f>IF($A148="","",IFERROR(INDEX(Company_List!$G$3:$G$207,MATCH($A148,Company_List!$A$3:$A$207,0)),"unassigned"))</f>
        <v/>
      </c>
      <c r="AM148" s="152" t="inlineStr">
        <is>
          <t>Phase 2/FedEx/Earnings-Transcript-Q2FY26.pdf</t>
        </is>
      </c>
      <c r="AN148" s="152" t="n"/>
      <c r="AO148" s="152" t="inlineStr">
        <is>
          <t>unique filename match</t>
        </is>
      </c>
      <c r="AP148" s="152">
        <f>IF($A148="","",IF(COUNTIFS(LLM_Data_Entry!$A$3:$A$548,$A148)&gt;0,"YES","NO"))</f>
        <v/>
      </c>
      <c r="AQ148" s="152">
        <f>IF($A148="","",IF(COUNTIFS($A$3:$A148,$A148,$C$3:$C148,$C148,$D$3:$D148,$D148)=1,"YES","NO"))</f>
        <v/>
      </c>
      <c r="AR148" s="152">
        <f>IF($A148="","",IF(AND($C148&amp;"-"&amp;$D148&gt;=Settings!$B$19,$C148&amp;"-"&amp;$D148&lt;=Settings!$B$20),"IN","OUT"))</f>
        <v/>
      </c>
      <c r="AS148" s="152">
        <f>IF($A148="","",IF($F148="Financial Results","financials",IF($F148="Outlook/Guidance","guidance",IF($F148="Transcript Q&amp;A","qanda",IF($F148="","unrecorded",IF($E148="All","full",IF($E148="","unrecorded",LOWER($E148)&amp;" only")))))))</f>
        <v/>
      </c>
      <c r="AT148" s="152">
        <f>IF(AND(OR($J148="BUY",$J148="SELL"),ISNUMBER($U148)),$U148,"")</f>
        <v/>
      </c>
      <c r="AU148" s="152">
        <f>IF(AND(OR($J148="BUY",$J148="SELL"),ISNUMBER($AK148)),$AK148,"")</f>
        <v/>
      </c>
      <c r="AV148" s="152">
        <f>IF(ISNUMBER($AT148),ABS(IF(ISNUMBER($I148),$I148,0)-Settings!$B$24),"")</f>
        <v/>
      </c>
      <c r="AW148" s="152">
        <f>IF(ISNUMBER($AV148),$AV148*$AT148,"")</f>
        <v/>
      </c>
      <c r="AX148" s="152">
        <f>IF(ISNUMBER($AU148),ABS(IF(ISNUMBER($I148),$I148,0)-Settings!$B$24),"")</f>
        <v/>
      </c>
      <c r="AY148" s="152" t="inlineStr">
        <is>
          <t>FROZEN</t>
        </is>
      </c>
      <c r="AZ148" s="152">
        <f>IF($A148="","",IFERROR(INDEX(Company_List!$H$3:$H$207,MATCH($A148,Company_List!$A$3:$A$207,0)),"unassigned"))</f>
        <v/>
      </c>
      <c r="BA148" s="152" t="n"/>
      <c r="BB148" s="152" t="n"/>
      <c r="BC148" s="152">
        <f>IF($A148="","",IF(COUNTIFS($A$3:$A148,$A148,$C$3:$C148,$C148,$D$3:$D148,$D148,$G$3:$G148,$G148)=1,1,0))</f>
        <v/>
      </c>
      <c r="BD148" s="152" t="n"/>
      <c r="BE148" s="152" t="n"/>
      <c r="BF148" s="152" t="n"/>
      <c r="BG148" s="152" t="inlineStr">
        <is>
          <t>no</t>
        </is>
      </c>
      <c r="BH148" s="152" t="n"/>
      <c r="BI148" s="152" t="n"/>
      <c r="BJ148" s="152" t="n"/>
      <c r="BK148" s="152">
        <f>IF(OR($H148&lt;&gt;"Human",$S148="",$J148="",$Y148="",$Z148=""),"",IF(EXACT(UPPER($J148),UPPER($Y148)),1,0))</f>
        <v/>
      </c>
      <c r="BL148" s="152" t="inlineStr">
        <is>
          <t>assumed - no rater record</t>
        </is>
      </c>
      <c r="BM148" s="152" t="n">
        <v>1</v>
      </c>
      <c r="BN148" s="152" t="inlineStr">
        <is>
          <t>not publisher-identified</t>
        </is>
      </c>
      <c r="BO148" s="152" t="inlineStr">
        <is>
          <t>not publisher-identified</t>
        </is>
      </c>
      <c r="BP148" s="152" t="inlineStr">
        <is>
          <t>no</t>
        </is>
      </c>
      <c r="BQ148" s="152" t="inlineStr">
        <is>
          <t>no</t>
        </is>
      </c>
      <c r="BR148" s="152" t="n"/>
      <c r="BS148" s="152" t="inlineStr">
        <is>
          <t>YES</t>
        </is>
      </c>
      <c r="BT148" s="152" t="n"/>
    </row>
    <row r="149" ht="15" customHeight="1" s="241">
      <c r="A149" s="174" t="inlineStr">
        <is>
          <t>FedEx</t>
        </is>
      </c>
      <c r="B149" s="175">
        <f>IF(A149="","",_xlfn.XLOOKUP(A149, Company_List!$A:$A, Company_List!$B:$B, ""))</f>
        <v/>
      </c>
      <c r="C149" s="176" t="n">
        <v>2026</v>
      </c>
      <c r="D149" s="177" t="inlineStr">
        <is>
          <t>Q3</t>
        </is>
      </c>
      <c r="E149" s="178" t="inlineStr">
        <is>
          <t>Transcript</t>
        </is>
      </c>
      <c r="F149" s="178" t="inlineStr">
        <is>
          <t>All</t>
        </is>
      </c>
      <c r="G149" s="177" t="inlineStr">
        <is>
          <t>Anna</t>
        </is>
      </c>
      <c r="H149" s="177" t="inlineStr">
        <is>
          <t>Human</t>
        </is>
      </c>
      <c r="I149" s="179" t="n">
        <v>0.3</v>
      </c>
      <c r="J149" s="180">
        <f>IF(OR(I149="",Settings!$B$6=""),"",IF(I149&gt;Settings!$B$6,"BUY",IF(I149&lt;-Settings!$B$6,"SELL","HOLD")))</f>
        <v/>
      </c>
      <c r="K149" s="181" t="n">
        <v>22</v>
      </c>
      <c r="L149" s="182" t="n">
        <v>46100</v>
      </c>
      <c r="M149" s="182" t="n">
        <v>46100</v>
      </c>
      <c r="N149" s="179" t="n">
        <v>286.9541</v>
      </c>
      <c r="O149" s="182" t="n">
        <v>46101</v>
      </c>
      <c r="P149" s="180" t="n">
        <v>306.87</v>
      </c>
      <c r="Q149" s="184">
        <f>IF(OR(N149="",P149=""),"",ROUND((P149-N149)/N149,4))</f>
        <v/>
      </c>
      <c r="R149" s="177">
        <f>IF(OR(N149="",P149=""),"",IF(Q149&gt;Settings!$B$3/100,"UP",IF(Q149&lt;-Settings!$B$3/100,"DOWN","FLAT")))</f>
        <v/>
      </c>
      <c r="S149" s="177">
        <f>IF(OR(N149="",P149="",J149=""),"",IF(OR(AND(J149="BUY",R149="UP"),AND(J149="SELL",R149="DOWN"),AND(J149="HOLD",R149="FLAT")),"YES","NO"))</f>
        <v/>
      </c>
      <c r="T149" s="176">
        <f>IF(J149="","",IF(J149="BUY",1,IF(J149="SELL",-1,0)))</f>
        <v/>
      </c>
      <c r="U149" s="184">
        <f>IFERROR(IF(OR(J149="",N149="",P149=""),"",IF(T149=0,0,T149*Q149-Settings!$B$4/10000-IF(T149&lt;0,Settings!$B$5/10000,0))),"")</f>
        <v/>
      </c>
      <c r="V149" s="185" t="n"/>
      <c r="W149" s="176">
        <f>IF($K149="","",$K149*60)</f>
        <v/>
      </c>
      <c r="X149" s="186">
        <f>IF($A149="","",$A149&amp;"|"&amp;$C149&amp;"|"&amp;$D149)</f>
        <v/>
      </c>
      <c r="Y149" s="186">
        <f>IFERROR(IF($X149="","",INDEX(LLM_Data_Entry!$H$3:$H$548,MATCH($X149,INDEX(LLM_Data_Entry!$A$3:$A$548&amp;"|"&amp;LLM_Data_Entry!$C$3:$C$548&amp;"|"&amp;LLM_Data_Entry!$D$3:$D$548,0),0))),"")</f>
        <v/>
      </c>
      <c r="Z149" s="186">
        <f>IFERROR(IF($X149="","",INDEX(LLM_Data_Entry!$R$3:$R$548,MATCH($X149,INDEX(LLM_Data_Entry!$A$3:$A$548&amp;"|"&amp;LLM_Data_Entry!$C$3:$C$548&amp;"|"&amp;LLM_Data_Entry!$D$3:$D$548,0),0))),"")</f>
        <v/>
      </c>
      <c r="AA149" s="152" t="n"/>
      <c r="AB149" s="152" t="inlineStr">
        <is>
          <t>price signal — only this window shows an abnormal move</t>
        </is>
      </c>
      <c r="AC149" s="152" t="inlineStr">
        <is>
          <t>FDX</t>
        </is>
      </c>
      <c r="AD149" s="152" t="inlineStr">
        <is>
          <t>2026-03-19</t>
        </is>
      </c>
      <c r="AE149" s="152" t="n">
        <v>285.8809</v>
      </c>
      <c r="AF149" s="152" t="inlineStr">
        <is>
          <t>2026-03-20</t>
        </is>
      </c>
      <c r="AG149" s="152" t="n">
        <v>305.7177</v>
      </c>
      <c r="AH149" s="152" t="n">
        <v>0.06938857023244727</v>
      </c>
      <c r="AI149" s="152" t="inlineStr">
        <is>
          <t>UP</t>
        </is>
      </c>
      <c r="AJ149" s="152" t="inlineStr">
        <is>
          <t>YES</t>
        </is>
      </c>
      <c r="AK149" s="152" t="n">
        <v>0.06838900000000001</v>
      </c>
      <c r="AL149" s="152">
        <f>IF($A149="","",IFERROR(INDEX(Company_List!$G$3:$G$207,MATCH($A149,Company_List!$A$3:$A$207,0)),"unassigned"))</f>
        <v/>
      </c>
      <c r="AM149" s="152" t="inlineStr">
        <is>
          <t>Phase 2/FedEx/Earnings-Transcript-Q3FY26.pdf</t>
        </is>
      </c>
      <c r="AN149" s="152" t="n"/>
      <c r="AO149" s="152" t="inlineStr">
        <is>
          <t>unique filename match</t>
        </is>
      </c>
      <c r="AP149" s="152">
        <f>IF($A149="","",IF(COUNTIFS(LLM_Data_Entry!$A$3:$A$548,$A149)&gt;0,"YES","NO"))</f>
        <v/>
      </c>
      <c r="AQ149" s="152">
        <f>IF($A149="","",IF(COUNTIFS($A$3:$A149,$A149,$C$3:$C149,$C149,$D$3:$D149,$D149)=1,"YES","NO"))</f>
        <v/>
      </c>
      <c r="AR149" s="152">
        <f>IF($A149="","",IF(AND($C149&amp;"-"&amp;$D149&gt;=Settings!$B$19,$C149&amp;"-"&amp;$D149&lt;=Settings!$B$20),"IN","OUT"))</f>
        <v/>
      </c>
      <c r="AS149" s="152">
        <f>IF($A149="","",IF($F149="Financial Results","financials",IF($F149="Outlook/Guidance","guidance",IF($F149="Transcript Q&amp;A","qanda",IF($F149="","unrecorded",IF($E149="All","full",IF($E149="","unrecorded",LOWER($E149)&amp;" only")))))))</f>
        <v/>
      </c>
      <c r="AT149" s="152">
        <f>IF(AND(OR($J149="BUY",$J149="SELL"),ISNUMBER($U149)),$U149,"")</f>
        <v/>
      </c>
      <c r="AU149" s="152">
        <f>IF(AND(OR($J149="BUY",$J149="SELL"),ISNUMBER($AK149)),$AK149,"")</f>
        <v/>
      </c>
      <c r="AV149" s="152">
        <f>IF(ISNUMBER($AT149),ABS(IF(ISNUMBER($I149),$I149,0)-Settings!$B$24),"")</f>
        <v/>
      </c>
      <c r="AW149" s="152">
        <f>IF(ISNUMBER($AV149),$AV149*$AT149,"")</f>
        <v/>
      </c>
      <c r="AX149" s="152">
        <f>IF(ISNUMBER($AU149),ABS(IF(ISNUMBER($I149),$I149,0)-Settings!$B$24),"")</f>
        <v/>
      </c>
      <c r="AY149" s="152" t="inlineStr">
        <is>
          <t>FROZEN</t>
        </is>
      </c>
      <c r="AZ149" s="152">
        <f>IF($A149="","",IFERROR(INDEX(Company_List!$H$3:$H$207,MATCH($A149,Company_List!$A$3:$A$207,0)),"unassigned"))</f>
        <v/>
      </c>
      <c r="BA149" s="152" t="n"/>
      <c r="BB149" s="152" t="n"/>
      <c r="BC149" s="152">
        <f>IF($A149="","",IF(COUNTIFS($A$3:$A149,$A149,$C$3:$C149,$C149,$D$3:$D149,$D149,$G$3:$G149,$G149)=1,1,0))</f>
        <v/>
      </c>
      <c r="BD149" s="152" t="n"/>
      <c r="BE149" s="152" t="n"/>
      <c r="BF149" s="152" t="n"/>
      <c r="BG149" s="152" t="inlineStr">
        <is>
          <t>no</t>
        </is>
      </c>
      <c r="BH149" s="152" t="n"/>
      <c r="BI149" s="152" t="n"/>
      <c r="BJ149" s="152" t="n"/>
      <c r="BK149" s="152">
        <f>IF(OR($H149&lt;&gt;"Human",$S149="",$J149="",$Y149="",$Z149=""),"",IF(EXACT(UPPER($J149),UPPER($Y149)),1,0))</f>
        <v/>
      </c>
      <c r="BL149" s="152" t="inlineStr">
        <is>
          <t>assumed - no rater record</t>
        </is>
      </c>
      <c r="BM149" s="152" t="n">
        <v>1</v>
      </c>
      <c r="BN149" s="152" t="inlineStr">
        <is>
          <t>not publisher-identified</t>
        </is>
      </c>
      <c r="BO149" s="152" t="inlineStr">
        <is>
          <t>not publisher-identified</t>
        </is>
      </c>
      <c r="BP149" s="152" t="inlineStr">
        <is>
          <t>no</t>
        </is>
      </c>
      <c r="BQ149" s="152" t="inlineStr">
        <is>
          <t>no</t>
        </is>
      </c>
      <c r="BR149" s="152" t="n"/>
      <c r="BS149" s="152" t="inlineStr">
        <is>
          <t>YES</t>
        </is>
      </c>
      <c r="BT149" s="152" t="n"/>
    </row>
    <row r="150" ht="15" customHeight="1" s="241">
      <c r="A150" s="174" t="inlineStr">
        <is>
          <t>FedEx</t>
        </is>
      </c>
      <c r="B150" s="175">
        <f>IF(A150="","",_xlfn.XLOOKUP(A150, Company_List!$A:$A, Company_List!$B:$B, ""))</f>
        <v/>
      </c>
      <c r="C150" s="176" t="n">
        <v>2026</v>
      </c>
      <c r="D150" s="177" t="inlineStr">
        <is>
          <t>Q4</t>
        </is>
      </c>
      <c r="E150" s="178" t="inlineStr">
        <is>
          <t>Transcript</t>
        </is>
      </c>
      <c r="F150" s="178" t="inlineStr">
        <is>
          <t>All</t>
        </is>
      </c>
      <c r="G150" s="177" t="inlineStr">
        <is>
          <t>Anna</t>
        </is>
      </c>
      <c r="H150" s="177" t="inlineStr">
        <is>
          <t>Human</t>
        </is>
      </c>
      <c r="I150" s="179" t="n">
        <v>0.4</v>
      </c>
      <c r="J150" s="180">
        <f>IF(OR(I150="",Settings!$B$6=""),"",IF(I150&gt;Settings!$B$6,"BUY",IF(I150&lt;-Settings!$B$6,"SELL","HOLD")))</f>
        <v/>
      </c>
      <c r="K150" s="181" t="n">
        <v>25</v>
      </c>
      <c r="L150" s="182" t="n">
        <v>46196</v>
      </c>
      <c r="M150" s="182" t="n">
        <v>46196</v>
      </c>
      <c r="N150" s="179" t="n">
        <v>317.24</v>
      </c>
      <c r="O150" s="182" t="n">
        <v>46197</v>
      </c>
      <c r="P150" s="180" t="n">
        <v>314.77</v>
      </c>
      <c r="Q150" s="184">
        <f>IF(OR(N150="",P150=""),"",ROUND((P150-N150)/N150,4))</f>
        <v/>
      </c>
      <c r="R150" s="177">
        <f>IF(OR(N150="",P150=""),"",IF(Q150&gt;Settings!$B$3/100,"UP",IF(Q150&lt;-Settings!$B$3/100,"DOWN","FLAT")))</f>
        <v/>
      </c>
      <c r="S150" s="177">
        <f>IF(OR(N150="",P150="",J150=""),"",IF(OR(AND(J150="BUY",R150="UP"),AND(J150="SELL",R150="DOWN"),AND(J150="HOLD",R150="FLAT")),"YES","NO"))</f>
        <v/>
      </c>
      <c r="T150" s="176">
        <f>IF(J150="","",IF(J150="BUY",1,IF(J150="SELL",-1,0)))</f>
        <v/>
      </c>
      <c r="U150" s="184">
        <f>IFERROR(IF(OR(J150="",N150="",P150=""),"",IF(T150=0,0,T150*Q150-Settings!$B$4/10000-IF(T150&lt;0,Settings!$B$5/10000,0))),"")</f>
        <v/>
      </c>
      <c r="V150" s="185" t="n"/>
      <c r="W150" s="176">
        <f>IF($K150="","",$K150*60)</f>
        <v/>
      </c>
      <c r="X150" s="186">
        <f>IF($A150="","",$A150&amp;"|"&amp;$C150&amp;"|"&amp;$D150)</f>
        <v/>
      </c>
      <c r="Y150" s="186">
        <f>IFERROR(IF($X150="","",INDEX(LLM_Data_Entry!$H$3:$H$548,MATCH($X150,INDEX(LLM_Data_Entry!$A$3:$A$548&amp;"|"&amp;LLM_Data_Entry!$C$3:$C$548&amp;"|"&amp;LLM_Data_Entry!$D$3:$D$548,0),0))),"")</f>
        <v/>
      </c>
      <c r="Z150" s="186">
        <f>IFERROR(IF($X150="","",INDEX(LLM_Data_Entry!$R$3:$R$548,MATCH($X150,INDEX(LLM_Data_Entry!$A$3:$A$548&amp;"|"&amp;LLM_Data_Entry!$C$3:$C$548&amp;"|"&amp;LLM_Data_Entry!$D$3:$D$548,0),0))),"")</f>
        <v/>
      </c>
      <c r="AA150" s="152" t="n"/>
      <c r="AB150" s="152" t="inlineStr">
        <is>
          <t>price signal — only this window shows an abnormal move</t>
        </is>
      </c>
      <c r="AC150" s="152" t="inlineStr">
        <is>
          <t>FDX</t>
        </is>
      </c>
      <c r="AD150" s="152" t="inlineStr">
        <is>
          <t>2026-06-23</t>
        </is>
      </c>
      <c r="AE150" s="152" t="n">
        <v>317.24</v>
      </c>
      <c r="AF150" s="152" t="inlineStr">
        <is>
          <t>2026-06-24</t>
        </is>
      </c>
      <c r="AG150" s="152" t="n">
        <v>314.77</v>
      </c>
      <c r="AH150" s="152" t="n">
        <v>-0.007785906814585286</v>
      </c>
      <c r="AI150" s="152" t="inlineStr">
        <is>
          <t>FLAT</t>
        </is>
      </c>
      <c r="AJ150" s="152" t="inlineStr">
        <is>
          <t>NO</t>
        </is>
      </c>
      <c r="AK150" s="152" t="n">
        <v>-0.008786</v>
      </c>
      <c r="AL150" s="152">
        <f>IF($A150="","",IFERROR(INDEX(Company_List!$G$3:$G$207,MATCH($A150,Company_List!$A$3:$A$207,0)),"unassigned"))</f>
        <v/>
      </c>
      <c r="AM150" s="152" t="inlineStr">
        <is>
          <t>Phase 2/FedEx/Earnings-Transcript-Q4FY26.pdf</t>
        </is>
      </c>
      <c r="AN150" s="152" t="n"/>
      <c r="AO150" s="152" t="inlineStr">
        <is>
          <t>unique filename match</t>
        </is>
      </c>
      <c r="AP150" s="152">
        <f>IF($A150="","",IF(COUNTIFS(LLM_Data_Entry!$A$3:$A$548,$A150)&gt;0,"YES","NO"))</f>
        <v/>
      </c>
      <c r="AQ150" s="152">
        <f>IF($A150="","",IF(COUNTIFS($A$3:$A150,$A150,$C$3:$C150,$C150,$D$3:$D150,$D150)=1,"YES","NO"))</f>
        <v/>
      </c>
      <c r="AR150" s="152">
        <f>IF($A150="","",IF(AND($C150&amp;"-"&amp;$D150&gt;=Settings!$B$19,$C150&amp;"-"&amp;$D150&lt;=Settings!$B$20),"IN","OUT"))</f>
        <v/>
      </c>
      <c r="AS150" s="152">
        <f>IF($A150="","",IF($F150="Financial Results","financials",IF($F150="Outlook/Guidance","guidance",IF($F150="Transcript Q&amp;A","qanda",IF($F150="","unrecorded",IF($E150="All","full",IF($E150="","unrecorded",LOWER($E150)&amp;" only")))))))</f>
        <v/>
      </c>
      <c r="AT150" s="152">
        <f>IF(AND(OR($J150="BUY",$J150="SELL"),ISNUMBER($U150)),$U150,"")</f>
        <v/>
      </c>
      <c r="AU150" s="152">
        <f>IF(AND(OR($J150="BUY",$J150="SELL"),ISNUMBER($AK150)),$AK150,"")</f>
        <v/>
      </c>
      <c r="AV150" s="152">
        <f>IF(ISNUMBER($AT150),ABS(IF(ISNUMBER($I150),$I150,0)-Settings!$B$24),"")</f>
        <v/>
      </c>
      <c r="AW150" s="152">
        <f>IF(ISNUMBER($AV150),$AV150*$AT150,"")</f>
        <v/>
      </c>
      <c r="AX150" s="152">
        <f>IF(ISNUMBER($AU150),ABS(IF(ISNUMBER($I150),$I150,0)-Settings!$B$24),"")</f>
        <v/>
      </c>
      <c r="AY150" s="152" t="inlineStr">
        <is>
          <t>FROZEN</t>
        </is>
      </c>
      <c r="AZ150" s="152">
        <f>IF($A150="","",IFERROR(INDEX(Company_List!$H$3:$H$207,MATCH($A150,Company_List!$A$3:$A$207,0)),"unassigned"))</f>
        <v/>
      </c>
      <c r="BA150" s="152" t="n"/>
      <c r="BB150" s="152" t="n"/>
      <c r="BC150" s="152">
        <f>IF($A150="","",IF(COUNTIFS($A$3:$A150,$A150,$C$3:$C150,$C150,$D$3:$D150,$D150,$G$3:$G150,$G150)=1,1,0))</f>
        <v/>
      </c>
      <c r="BD150" s="152" t="n"/>
      <c r="BE150" s="152" t="n"/>
      <c r="BF150" s="152" t="n"/>
      <c r="BG150" s="152" t="inlineStr">
        <is>
          <t>no</t>
        </is>
      </c>
      <c r="BH150" s="152" t="n"/>
      <c r="BI150" s="152" t="n"/>
      <c r="BJ150" s="152" t="n"/>
      <c r="BK150" s="152">
        <f>IF(OR($H150&lt;&gt;"Human",$S150="",$J150="",$Y150="",$Z150=""),"",IF(EXACT(UPPER($J150),UPPER($Y150)),1,0))</f>
        <v/>
      </c>
      <c r="BL150" s="152" t="inlineStr">
        <is>
          <t>assumed - no rater record</t>
        </is>
      </c>
      <c r="BM150" s="152" t="n">
        <v>1</v>
      </c>
      <c r="BN150" s="152" t="inlineStr">
        <is>
          <t>not publisher-identified</t>
        </is>
      </c>
      <c r="BO150" s="152" t="inlineStr">
        <is>
          <t>not publisher-identified</t>
        </is>
      </c>
      <c r="BP150" s="152" t="inlineStr">
        <is>
          <t>no</t>
        </is>
      </c>
      <c r="BQ150" s="152" t="inlineStr">
        <is>
          <t>no</t>
        </is>
      </c>
      <c r="BR150" s="152" t="n"/>
      <c r="BS150" s="152" t="inlineStr">
        <is>
          <t>YES</t>
        </is>
      </c>
      <c r="BT150" s="152" t="n"/>
    </row>
    <row r="151" ht="15" customHeight="1" s="241">
      <c r="A151" s="174" t="inlineStr">
        <is>
          <t>FedEx</t>
        </is>
      </c>
      <c r="B151" s="175">
        <f>IF(A151="","",_xlfn.XLOOKUP(A151, Company_List!$A:$A, Company_List!$B:$B, ""))</f>
        <v/>
      </c>
      <c r="C151" s="176" t="n">
        <v>2026</v>
      </c>
      <c r="D151" s="177" t="inlineStr">
        <is>
          <t>Q1</t>
        </is>
      </c>
      <c r="E151" s="178" t="inlineStr">
        <is>
          <t>Transcript</t>
        </is>
      </c>
      <c r="F151" s="178" t="inlineStr">
        <is>
          <t>All</t>
        </is>
      </c>
      <c r="G151" s="177" t="inlineStr">
        <is>
          <t>Anna</t>
        </is>
      </c>
      <c r="H151" s="177" t="inlineStr">
        <is>
          <t>Human</t>
        </is>
      </c>
      <c r="I151" s="179" t="n">
        <v>0.3</v>
      </c>
      <c r="J151" s="180">
        <f>IF(OR(I151="",Settings!$B$6=""),"",IF(I151&gt;Settings!$B$6,"BUY",IF(I151&lt;-Settings!$B$6,"SELL","HOLD")))</f>
        <v/>
      </c>
      <c r="K151" s="181" t="n">
        <v>19</v>
      </c>
      <c r="L151" s="182" t="n">
        <v>45918</v>
      </c>
      <c r="M151" s="182" t="n">
        <v>45918</v>
      </c>
      <c r="N151" s="179" t="n">
        <v>182.5141</v>
      </c>
      <c r="O151" s="182" t="n">
        <v>45919</v>
      </c>
      <c r="P151" s="180" t="n">
        <v>183.96</v>
      </c>
      <c r="Q151" s="184">
        <f>IF(OR(N151="",P151=""),"",ROUND((P151-N151)/N151,4))</f>
        <v/>
      </c>
      <c r="R151" s="177">
        <f>IF(OR(N151="",P151=""),"",IF(Q151&gt;Settings!$B$3/100,"UP",IF(Q151&lt;-Settings!$B$3/100,"DOWN","FLAT")))</f>
        <v/>
      </c>
      <c r="S151" s="177">
        <f>IF(OR(N151="",P151="",J151=""),"",IF(OR(AND(J151="BUY",R151="UP"),AND(J151="SELL",R151="DOWN"),AND(J151="HOLD",R151="FLAT")),"YES","NO"))</f>
        <v/>
      </c>
      <c r="T151" s="176">
        <f>IF(J151="","",IF(J151="BUY",1,IF(J151="SELL",-1,0)))</f>
        <v/>
      </c>
      <c r="U151" s="184">
        <f>IFERROR(IF(OR(J151="",N151="",P151=""),"",IF(T151=0,0,T151*Q151-Settings!$B$4/10000-IF(T151&lt;0,Settings!$B$5/10000,0))),"")</f>
        <v/>
      </c>
      <c r="V151" s="185" t="n"/>
      <c r="W151" s="176">
        <f>IF($K151="","",$K151*60)</f>
        <v/>
      </c>
      <c r="X151" s="186">
        <f>IF($A151="","",$A151&amp;"|"&amp;$C151&amp;"|"&amp;$D151)</f>
        <v/>
      </c>
      <c r="Y151" s="186">
        <f>IFERROR(IF($X151="","",INDEX(LLM_Data_Entry!$H$3:$H$548,MATCH($X151,INDEX(LLM_Data_Entry!$A$3:$A$548&amp;"|"&amp;LLM_Data_Entry!$C$3:$C$548&amp;"|"&amp;LLM_Data_Entry!$D$3:$D$548,0),0))),"")</f>
        <v/>
      </c>
      <c r="Z151" s="186">
        <f>IFERROR(IF($X151="","",INDEX(LLM_Data_Entry!$R$3:$R$548,MATCH($X151,INDEX(LLM_Data_Entry!$A$3:$A$548&amp;"|"&amp;LLM_Data_Entry!$C$3:$C$548&amp;"|"&amp;LLM_Data_Entry!$D$3:$D$548,0),0))),"")</f>
        <v/>
      </c>
      <c r="AA151" s="152" t="n"/>
      <c r="AB151" s="152" t="inlineStr">
        <is>
          <t>price signal — only this window shows an abnormal move</t>
        </is>
      </c>
      <c r="AC151" s="152" t="inlineStr">
        <is>
          <t>FDX</t>
        </is>
      </c>
      <c r="AD151" s="152" t="inlineStr">
        <is>
          <t>2025-09-18</t>
        </is>
      </c>
      <c r="AE151" s="152" t="n">
        <v>180.1738</v>
      </c>
      <c r="AF151" s="152" t="inlineStr">
        <is>
          <t>2025-09-19</t>
        </is>
      </c>
      <c r="AG151" s="152" t="n">
        <v>181.6056</v>
      </c>
      <c r="AH151" s="152" t="n">
        <v>0.007947007323929561</v>
      </c>
      <c r="AI151" s="152" t="inlineStr">
        <is>
          <t>FLAT</t>
        </is>
      </c>
      <c r="AJ151" s="152" t="inlineStr">
        <is>
          <t>NO</t>
        </is>
      </c>
      <c r="AK151" s="152" t="n">
        <v>0.006947</v>
      </c>
      <c r="AL151" s="152">
        <f>IF($A151="","",IFERROR(INDEX(Company_List!$G$3:$G$207,MATCH($A151,Company_List!$A$3:$A$207,0)),"unassigned"))</f>
        <v/>
      </c>
      <c r="AM151" s="152" t="inlineStr">
        <is>
          <t>Phase 2/FedEx/FDX-Q1-FY26-Earnings-Call-Transcript.pdf</t>
        </is>
      </c>
      <c r="AN151" s="152" t="n"/>
      <c r="AO151" s="152" t="inlineStr">
        <is>
          <t>unique filename match</t>
        </is>
      </c>
      <c r="AP151" s="152">
        <f>IF($A151="","",IF(COUNTIFS(LLM_Data_Entry!$A$3:$A$548,$A151)&gt;0,"YES","NO"))</f>
        <v/>
      </c>
      <c r="AQ151" s="152">
        <f>IF($A151="","",IF(COUNTIFS($A$3:$A151,$A151,$C$3:$C151,$C151,$D$3:$D151,$D151)=1,"YES","NO"))</f>
        <v/>
      </c>
      <c r="AR151" s="152">
        <f>IF($A151="","",IF(AND($C151&amp;"-"&amp;$D151&gt;=Settings!$B$19,$C151&amp;"-"&amp;$D151&lt;=Settings!$B$20),"IN","OUT"))</f>
        <v/>
      </c>
      <c r="AS151" s="152">
        <f>IF($A151="","",IF($F151="Financial Results","financials",IF($F151="Outlook/Guidance","guidance",IF($F151="Transcript Q&amp;A","qanda",IF($F151="","unrecorded",IF($E151="All","full",IF($E151="","unrecorded",LOWER($E151)&amp;" only")))))))</f>
        <v/>
      </c>
      <c r="AT151" s="152">
        <f>IF(AND(OR($J151="BUY",$J151="SELL"),ISNUMBER($U151)),$U151,"")</f>
        <v/>
      </c>
      <c r="AU151" s="152">
        <f>IF(AND(OR($J151="BUY",$J151="SELL"),ISNUMBER($AK151)),$AK151,"")</f>
        <v/>
      </c>
      <c r="AV151" s="152">
        <f>IF(ISNUMBER($AT151),ABS(IF(ISNUMBER($I151),$I151,0)-Settings!$B$24),"")</f>
        <v/>
      </c>
      <c r="AW151" s="152">
        <f>IF(ISNUMBER($AV151),$AV151*$AT151,"")</f>
        <v/>
      </c>
      <c r="AX151" s="152">
        <f>IF(ISNUMBER($AU151),ABS(IF(ISNUMBER($I151),$I151,0)-Settings!$B$24),"")</f>
        <v/>
      </c>
      <c r="AY151" s="152" t="inlineStr">
        <is>
          <t>FROZEN</t>
        </is>
      </c>
      <c r="AZ151" s="152">
        <f>IF($A151="","",IFERROR(INDEX(Company_List!$H$3:$H$207,MATCH($A151,Company_List!$A$3:$A$207,0)),"unassigned"))</f>
        <v/>
      </c>
      <c r="BA151" s="152" t="n"/>
      <c r="BB151" s="152" t="n"/>
      <c r="BC151" s="152">
        <f>IF($A151="","",IF(COUNTIFS($A$3:$A151,$A151,$C$3:$C151,$C151,$D$3:$D151,$D151,$G$3:$G151,$G151)=1,1,0))</f>
        <v/>
      </c>
      <c r="BD151" s="152" t="n"/>
      <c r="BE151" s="152" t="n"/>
      <c r="BF151" s="152" t="n"/>
      <c r="BG151" s="152" t="inlineStr">
        <is>
          <t>no</t>
        </is>
      </c>
      <c r="BH151" s="152" t="n"/>
      <c r="BI151" s="152" t="n"/>
      <c r="BJ151" s="152" t="n"/>
      <c r="BK151" s="152">
        <f>IF(OR($H151&lt;&gt;"Human",$S151="",$J151="",$Y151="",$Z151=""),"",IF(EXACT(UPPER($J151),UPPER($Y151)),1,0))</f>
        <v/>
      </c>
      <c r="BL151" s="152" t="inlineStr">
        <is>
          <t>assumed - no rater record</t>
        </is>
      </c>
      <c r="BM151" s="152" t="n">
        <v>1</v>
      </c>
      <c r="BN151" s="152" t="inlineStr">
        <is>
          <t>not publisher-identified</t>
        </is>
      </c>
      <c r="BO151" s="152" t="inlineStr">
        <is>
          <t>not publisher-identified</t>
        </is>
      </c>
      <c r="BP151" s="152" t="inlineStr">
        <is>
          <t>no</t>
        </is>
      </c>
      <c r="BQ151" s="152" t="inlineStr">
        <is>
          <t>no</t>
        </is>
      </c>
      <c r="BR151" s="152" t="n"/>
      <c r="BS151" s="152" t="inlineStr">
        <is>
          <t>YES</t>
        </is>
      </c>
      <c r="BT151" s="152" t="n"/>
    </row>
    <row r="152" ht="15" customHeight="1" s="241">
      <c r="A152" s="174" t="inlineStr">
        <is>
          <t>Hilton</t>
        </is>
      </c>
      <c r="B152" s="175">
        <f>IF(A152="","",_xlfn.XLOOKUP(A152, Company_List!$A:$A, Company_List!$B:$B, ""))</f>
        <v/>
      </c>
      <c r="C152" s="176" t="n">
        <v>2025</v>
      </c>
      <c r="D152" s="177" t="inlineStr">
        <is>
          <t>Q1</t>
        </is>
      </c>
      <c r="E152" s="178" t="inlineStr">
        <is>
          <t>Transcript</t>
        </is>
      </c>
      <c r="F152" s="178" t="inlineStr">
        <is>
          <t>All</t>
        </is>
      </c>
      <c r="G152" s="177" t="inlineStr">
        <is>
          <t>Anna</t>
        </is>
      </c>
      <c r="H152" s="177" t="inlineStr">
        <is>
          <t>Human</t>
        </is>
      </c>
      <c r="I152" s="179" t="n">
        <v>-0.3</v>
      </c>
      <c r="J152" s="180">
        <f>IF(OR(I152="",Settings!$B$6=""),"",IF(I152&gt;Settings!$B$6,"BUY",IF(I152&lt;-Settings!$B$6,"SELL","HOLD")))</f>
        <v/>
      </c>
      <c r="K152" s="181" t="n">
        <v>27</v>
      </c>
      <c r="L152" s="182" t="n">
        <v>45776</v>
      </c>
      <c r="M152" s="182" t="n">
        <v>45775</v>
      </c>
      <c r="N152" s="179" t="n">
        <v>221.6</v>
      </c>
      <c r="O152" s="182" t="n">
        <v>45776</v>
      </c>
      <c r="P152" s="180" t="n">
        <v>224.6</v>
      </c>
      <c r="Q152" s="184">
        <f>IF(OR(N152="",P152=""),"",ROUND((P152-N152)/N152,4))</f>
        <v/>
      </c>
      <c r="R152" s="177">
        <f>IF(OR(N152="",P152=""),"",IF(Q152&gt;Settings!$B$3/100,"UP",IF(Q152&lt;-Settings!$B$3/100,"DOWN","FLAT")))</f>
        <v/>
      </c>
      <c r="S152" s="177">
        <f>IF(OR(N152="",P152="",J152=""),"",IF(OR(AND(J152="BUY",R152="UP"),AND(J152="SELL",R152="DOWN"),AND(J152="HOLD",R152="FLAT")),"YES","NO"))</f>
        <v/>
      </c>
      <c r="T152" s="176">
        <f>IF(J152="","",IF(J152="BUY",1,IF(J152="SELL",-1,0)))</f>
        <v/>
      </c>
      <c r="U152" s="184">
        <f>IFERROR(IF(OR(J152="",N152="",P152=""),"",IF(T152=0,0,T152*Q152-Settings!$B$4/10000-IF(T152&lt;0,Settings!$B$5/10000,0))),"")</f>
        <v/>
      </c>
      <c r="V152" s="185" t="n"/>
      <c r="W152" s="176">
        <f>IF($K152="","",$K152*60)</f>
        <v/>
      </c>
      <c r="X152" s="186">
        <f>IF($A152="","",$A152&amp;"|"&amp;$C152&amp;"|"&amp;$D152)</f>
        <v/>
      </c>
      <c r="Y152" s="186">
        <f>IFERROR(IF($X152="","",INDEX(LLM_Data_Entry!$H$3:$H$548,MATCH($X152,INDEX(LLM_Data_Entry!$A$3:$A$548&amp;"|"&amp;LLM_Data_Entry!$C$3:$C$548&amp;"|"&amp;LLM_Data_Entry!$D$3:$D$548,0),0))),"")</f>
        <v/>
      </c>
      <c r="Z152" s="186">
        <f>IFERROR(IF($X152="","",INDEX(LLM_Data_Entry!$R$3:$R$548,MATCH($X152,INDEX(LLM_Data_Entry!$A$3:$A$548&amp;"|"&amp;LLM_Data_Entry!$C$3:$C$548&amp;"|"&amp;LLM_Data_Entry!$D$3:$D$548,0),0))),"")</f>
        <v/>
      </c>
      <c r="AA152" s="152" t="n"/>
      <c r="AB152" s="152" t="inlineStr">
        <is>
          <t>price signal</t>
        </is>
      </c>
      <c r="AC152" s="152" t="inlineStr">
        <is>
          <t>HLT</t>
        </is>
      </c>
      <c r="AD152" s="152" t="inlineStr">
        <is>
          <t>2025-04-28</t>
        </is>
      </c>
      <c r="AE152" s="152" t="n">
        <v>221.0122</v>
      </c>
      <c r="AF152" s="152" t="inlineStr">
        <is>
          <t>2025-04-29</t>
        </is>
      </c>
      <c r="AG152" s="152" t="n">
        <v>224.0043</v>
      </c>
      <c r="AH152" s="152" t="n">
        <v>0.01353784273014375</v>
      </c>
      <c r="AI152" s="152" t="inlineStr">
        <is>
          <t>FLAT</t>
        </is>
      </c>
      <c r="AJ152" s="152" t="inlineStr">
        <is>
          <t>NO</t>
        </is>
      </c>
      <c r="AK152" s="152" t="n">
        <v>-0.014538</v>
      </c>
      <c r="AL152" s="152">
        <f>IF($A152="","",IFERROR(INDEX(Company_List!$G$3:$G$207,MATCH($A152,Company_List!$A$3:$A$207,0)),"unassigned"))</f>
        <v/>
      </c>
      <c r="AM152" s="152" t="inlineStr">
        <is>
          <t>Phase 2/Hilton/hilton-1q-2025-earnings-call-transcript.pdf</t>
        </is>
      </c>
      <c r="AN152" s="152" t="n"/>
      <c r="AO152" s="152" t="inlineStr">
        <is>
          <t>unique filename match</t>
        </is>
      </c>
      <c r="AP152" s="152">
        <f>IF($A152="","",IF(COUNTIFS(LLM_Data_Entry!$A$3:$A$548,$A152)&gt;0,"YES","NO"))</f>
        <v/>
      </c>
      <c r="AQ152" s="152">
        <f>IF($A152="","",IF(COUNTIFS($A$3:$A152,$A152,$C$3:$C152,$C152,$D$3:$D152,$D152)=1,"YES","NO"))</f>
        <v/>
      </c>
      <c r="AR152" s="152">
        <f>IF($A152="","",IF(AND($C152&amp;"-"&amp;$D152&gt;=Settings!$B$19,$C152&amp;"-"&amp;$D152&lt;=Settings!$B$20),"IN","OUT"))</f>
        <v/>
      </c>
      <c r="AS152" s="152">
        <f>IF($A152="","",IF($F152="Financial Results","financials",IF($F152="Outlook/Guidance","guidance",IF($F152="Transcript Q&amp;A","qanda",IF($F152="","unrecorded",IF($E152="All","full",IF($E152="","unrecorded",LOWER($E152)&amp;" only")))))))</f>
        <v/>
      </c>
      <c r="AT152" s="152">
        <f>IF(AND(OR($J152="BUY",$J152="SELL"),ISNUMBER($U152)),$U152,"")</f>
        <v/>
      </c>
      <c r="AU152" s="152">
        <f>IF(AND(OR($J152="BUY",$J152="SELL"),ISNUMBER($AK152)),$AK152,"")</f>
        <v/>
      </c>
      <c r="AV152" s="152">
        <f>IF(ISNUMBER($AT152),ABS(IF(ISNUMBER($I152),$I152,0)-Settings!$B$24),"")</f>
        <v/>
      </c>
      <c r="AW152" s="152">
        <f>IF(ISNUMBER($AV152),$AV152*$AT152,"")</f>
        <v/>
      </c>
      <c r="AX152" s="152">
        <f>IF(ISNUMBER($AU152),ABS(IF(ISNUMBER($I152),$I152,0)-Settings!$B$24),"")</f>
        <v/>
      </c>
      <c r="AY152" s="152" t="inlineStr">
        <is>
          <t>FROZEN</t>
        </is>
      </c>
      <c r="AZ152" s="152">
        <f>IF($A152="","",IFERROR(INDEX(Company_List!$H$3:$H$207,MATCH($A152,Company_List!$A$3:$A$207,0)),"unassigned"))</f>
        <v/>
      </c>
      <c r="BA152" s="152" t="n"/>
      <c r="BB152" s="152" t="n"/>
      <c r="BC152" s="152">
        <f>IF($A152="","",IF(COUNTIFS($A$3:$A152,$A152,$C$3:$C152,$C152,$D$3:$D152,$D152,$G$3:$G152,$G152)=1,1,0))</f>
        <v/>
      </c>
      <c r="BD152" s="152" t="n"/>
      <c r="BE152" s="152" t="n"/>
      <c r="BF152" s="152" t="n"/>
      <c r="BG152" s="152" t="inlineStr">
        <is>
          <t>no</t>
        </is>
      </c>
      <c r="BH152" s="152" t="n"/>
      <c r="BI152" s="152" t="n"/>
      <c r="BJ152" s="152" t="n"/>
      <c r="BK152" s="152">
        <f>IF(OR($H152&lt;&gt;"Human",$S152="",$J152="",$Y152="",$Z152=""),"",IF(EXACT(UPPER($J152),UPPER($Y152)),1,0))</f>
        <v/>
      </c>
      <c r="BL152" s="152" t="inlineStr">
        <is>
          <t>assumed - no rater record</t>
        </is>
      </c>
      <c r="BM152" s="152" t="n">
        <v>1</v>
      </c>
      <c r="BN152" s="152" t="inlineStr">
        <is>
          <t>S&amp;P Global Market Intelligence (Capital IQ)</t>
        </is>
      </c>
      <c r="BO152" s="152" t="inlineStr">
        <is>
          <t>licensed vendor</t>
        </is>
      </c>
      <c r="BP152" s="152" t="inlineStr">
        <is>
          <t>no</t>
        </is>
      </c>
      <c r="BQ152" s="152" t="inlineStr">
        <is>
          <t>no</t>
        </is>
      </c>
      <c r="BR152" s="152" t="n"/>
      <c r="BS152" s="152" t="inlineStr">
        <is>
          <t>YES</t>
        </is>
      </c>
      <c r="BT152" s="152" t="n"/>
    </row>
    <row r="153" ht="15" customHeight="1" s="241">
      <c r="A153" s="174" t="inlineStr">
        <is>
          <t>Hilton</t>
        </is>
      </c>
      <c r="B153" s="175">
        <f>IF(A153="","",_xlfn.XLOOKUP(A153, Company_List!$A:$A, Company_List!$B:$B, ""))</f>
        <v/>
      </c>
      <c r="C153" s="176" t="n">
        <v>2025</v>
      </c>
      <c r="D153" s="177" t="inlineStr">
        <is>
          <t>Q2</t>
        </is>
      </c>
      <c r="E153" s="178" t="inlineStr">
        <is>
          <t>Transcript</t>
        </is>
      </c>
      <c r="F153" s="178" t="inlineStr">
        <is>
          <t>All</t>
        </is>
      </c>
      <c r="G153" s="177" t="inlineStr">
        <is>
          <t>Anna</t>
        </is>
      </c>
      <c r="H153" s="177" t="inlineStr">
        <is>
          <t>Human</t>
        </is>
      </c>
      <c r="I153" s="179" t="n">
        <v>-0.2</v>
      </c>
      <c r="J153" s="180">
        <f>IF(OR(I153="",Settings!$B$6=""),"",IF(I153&gt;Settings!$B$6,"BUY",IF(I153&lt;-Settings!$B$6,"SELL","HOLD")))</f>
        <v/>
      </c>
      <c r="K153" s="181" t="n">
        <v>28</v>
      </c>
      <c r="L153" s="182" t="n">
        <v>45861</v>
      </c>
      <c r="M153" s="182" t="n">
        <v>45860</v>
      </c>
      <c r="N153" s="179" t="n">
        <v>273.84</v>
      </c>
      <c r="O153" s="182" t="n">
        <v>45861</v>
      </c>
      <c r="P153" s="180" t="n">
        <v>264.9</v>
      </c>
      <c r="Q153" s="184">
        <f>IF(OR(N153="",P153=""),"",ROUND((P153-N153)/N153,4))</f>
        <v/>
      </c>
      <c r="R153" s="177">
        <f>IF(OR(N153="",P153=""),"",IF(Q153&gt;Settings!$B$3/100,"UP",IF(Q153&lt;-Settings!$B$3/100,"DOWN","FLAT")))</f>
        <v/>
      </c>
      <c r="S153" s="177">
        <f>IF(OR(N153="",P153="",J153=""),"",IF(OR(AND(J153="BUY",R153="UP"),AND(J153="SELL",R153="DOWN"),AND(J153="HOLD",R153="FLAT")),"YES","NO"))</f>
        <v/>
      </c>
      <c r="T153" s="176">
        <f>IF(J153="","",IF(J153="BUY",1,IF(J153="SELL",-1,0)))</f>
        <v/>
      </c>
      <c r="U153" s="184">
        <f>IFERROR(IF(OR(J153="",N153="",P153=""),"",IF(T153=0,0,T153*Q153-Settings!$B$4/10000-IF(T153&lt;0,Settings!$B$5/10000,0))),"")</f>
        <v/>
      </c>
      <c r="V153" s="185" t="n"/>
      <c r="W153" s="176">
        <f>IF($K153="","",$K153*60)</f>
        <v/>
      </c>
      <c r="X153" s="186">
        <f>IF($A153="","",$A153&amp;"|"&amp;$C153&amp;"|"&amp;$D153)</f>
        <v/>
      </c>
      <c r="Y153" s="186">
        <f>IFERROR(IF($X153="","",INDEX(LLM_Data_Entry!$H$3:$H$548,MATCH($X153,INDEX(LLM_Data_Entry!$A$3:$A$548&amp;"|"&amp;LLM_Data_Entry!$C$3:$C$548&amp;"|"&amp;LLM_Data_Entry!$D$3:$D$548,0),0))),"")</f>
        <v/>
      </c>
      <c r="Z153" s="186">
        <f>IFERROR(IF($X153="","",INDEX(LLM_Data_Entry!$R$3:$R$548,MATCH($X153,INDEX(LLM_Data_Entry!$A$3:$A$548&amp;"|"&amp;LLM_Data_Entry!$C$3:$C$548&amp;"|"&amp;LLM_Data_Entry!$D$3:$D$548,0),0))),"")</f>
        <v/>
      </c>
      <c r="AA153" s="152" t="n"/>
      <c r="AB153" s="152" t="inlineStr">
        <is>
          <t>price signal</t>
        </is>
      </c>
      <c r="AC153" s="152" t="inlineStr">
        <is>
          <t>HLT</t>
        </is>
      </c>
      <c r="AD153" s="152" t="inlineStr">
        <is>
          <t>2025-07-22</t>
        </is>
      </c>
      <c r="AE153" s="152" t="n">
        <v>273.2798</v>
      </c>
      <c r="AF153" s="152" t="inlineStr">
        <is>
          <t>2025-07-23</t>
        </is>
      </c>
      <c r="AG153" s="152" t="n">
        <v>264.3581</v>
      </c>
      <c r="AH153" s="152" t="n">
        <v>-0.03264686799542926</v>
      </c>
      <c r="AI153" s="152" t="inlineStr">
        <is>
          <t>DOWN</t>
        </is>
      </c>
      <c r="AJ153" s="152" t="inlineStr">
        <is>
          <t>NO</t>
        </is>
      </c>
      <c r="AK153" s="152" t="n">
        <v>0</v>
      </c>
      <c r="AL153" s="152">
        <f>IF($A153="","",IFERROR(INDEX(Company_List!$G$3:$G$207,MATCH($A153,Company_List!$A$3:$A$207,0)),"unassigned"))</f>
        <v/>
      </c>
      <c r="AM153" s="152" t="inlineStr">
        <is>
          <t>Phase 2/Hilton/hilton-2q-2025-earnings-call-july-23-2025.pdf</t>
        </is>
      </c>
      <c r="AN153" s="152" t="n"/>
      <c r="AO153" s="152" t="inlineStr">
        <is>
          <t>unique filename match</t>
        </is>
      </c>
      <c r="AP153" s="152">
        <f>IF($A153="","",IF(COUNTIFS(LLM_Data_Entry!$A$3:$A$548,$A153)&gt;0,"YES","NO"))</f>
        <v/>
      </c>
      <c r="AQ153" s="152">
        <f>IF($A153="","",IF(COUNTIFS($A$3:$A153,$A153,$C$3:$C153,$C153,$D$3:$D153,$D153)=1,"YES","NO"))</f>
        <v/>
      </c>
      <c r="AR153" s="152">
        <f>IF($A153="","",IF(AND($C153&amp;"-"&amp;$D153&gt;=Settings!$B$19,$C153&amp;"-"&amp;$D153&lt;=Settings!$B$20),"IN","OUT"))</f>
        <v/>
      </c>
      <c r="AS153" s="152">
        <f>IF($A153="","",IF($F153="Financial Results","financials",IF($F153="Outlook/Guidance","guidance",IF($F153="Transcript Q&amp;A","qanda",IF($F153="","unrecorded",IF($E153="All","full",IF($E153="","unrecorded",LOWER($E153)&amp;" only")))))))</f>
        <v/>
      </c>
      <c r="AT153" s="152">
        <f>IF(AND(OR($J153="BUY",$J153="SELL"),ISNUMBER($U153)),$U153,"")</f>
        <v/>
      </c>
      <c r="AU153" s="152">
        <f>IF(AND(OR($J153="BUY",$J153="SELL"),ISNUMBER($AK153)),$AK153,"")</f>
        <v/>
      </c>
      <c r="AV153" s="152">
        <f>IF(ISNUMBER($AT153),ABS(IF(ISNUMBER($I153),$I153,0)-Settings!$B$24),"")</f>
        <v/>
      </c>
      <c r="AW153" s="152">
        <f>IF(ISNUMBER($AV153),$AV153*$AT153,"")</f>
        <v/>
      </c>
      <c r="AX153" s="152">
        <f>IF(ISNUMBER($AU153),ABS(IF(ISNUMBER($I153),$I153,0)-Settings!$B$24),"")</f>
        <v/>
      </c>
      <c r="AY153" s="152" t="inlineStr">
        <is>
          <t>FROZEN</t>
        </is>
      </c>
      <c r="AZ153" s="152">
        <f>IF($A153="","",IFERROR(INDEX(Company_List!$H$3:$H$207,MATCH($A153,Company_List!$A$3:$A$207,0)),"unassigned"))</f>
        <v/>
      </c>
      <c r="BA153" s="152" t="n"/>
      <c r="BB153" s="152" t="n"/>
      <c r="BC153" s="152">
        <f>IF($A153="","",IF(COUNTIFS($A$3:$A153,$A153,$C$3:$C153,$C153,$D$3:$D153,$D153,$G$3:$G153,$G153)=1,1,0))</f>
        <v/>
      </c>
      <c r="BD153" s="152" t="n"/>
      <c r="BE153" s="152" t="n"/>
      <c r="BF153" s="152" t="n"/>
      <c r="BG153" s="152" t="inlineStr">
        <is>
          <t>no</t>
        </is>
      </c>
      <c r="BH153" s="152" t="n"/>
      <c r="BI153" s="152" t="n"/>
      <c r="BJ153" s="152" t="n"/>
      <c r="BK153" s="152">
        <f>IF(OR($H153&lt;&gt;"Human",$S153="",$J153="",$Y153="",$Z153=""),"",IF(EXACT(UPPER($J153),UPPER($Y153)),1,0))</f>
        <v/>
      </c>
      <c r="BL153" s="152" t="inlineStr">
        <is>
          <t>assumed - no rater record</t>
        </is>
      </c>
      <c r="BM153" s="152" t="n">
        <v>1</v>
      </c>
      <c r="BN153" s="152" t="inlineStr">
        <is>
          <t>S&amp;P Global Market Intelligence (Capital IQ)</t>
        </is>
      </c>
      <c r="BO153" s="152" t="inlineStr">
        <is>
          <t>licensed vendor</t>
        </is>
      </c>
      <c r="BP153" s="152" t="inlineStr">
        <is>
          <t>no</t>
        </is>
      </c>
      <c r="BQ153" s="152" t="inlineStr">
        <is>
          <t>no</t>
        </is>
      </c>
      <c r="BR153" s="152" t="n"/>
      <c r="BS153" s="152" t="inlineStr">
        <is>
          <t>YES</t>
        </is>
      </c>
      <c r="BT153" s="152" t="n"/>
    </row>
    <row r="154" ht="15" customHeight="1" s="241">
      <c r="A154" s="174" t="inlineStr">
        <is>
          <t>Hilton</t>
        </is>
      </c>
      <c r="B154" s="175">
        <f>IF(A154="","",_xlfn.XLOOKUP(A154, Company_List!$A:$A, Company_List!$B:$B, ""))</f>
        <v/>
      </c>
      <c r="C154" s="176" t="n">
        <v>2024</v>
      </c>
      <c r="D154" s="177" t="inlineStr">
        <is>
          <t>Q3</t>
        </is>
      </c>
      <c r="E154" s="178" t="inlineStr">
        <is>
          <t>Transcript</t>
        </is>
      </c>
      <c r="F154" s="178" t="inlineStr">
        <is>
          <t>All</t>
        </is>
      </c>
      <c r="G154" s="177" t="inlineStr">
        <is>
          <t>Anna</t>
        </is>
      </c>
      <c r="H154" s="177" t="inlineStr">
        <is>
          <t>Human</t>
        </is>
      </c>
      <c r="I154" s="179" t="n">
        <v>-0.2</v>
      </c>
      <c r="J154" s="180">
        <f>IF(OR(I154="",Settings!$B$6=""),"",IF(I154&gt;Settings!$B$6,"BUY",IF(I154&lt;-Settings!$B$6,"SELL","HOLD")))</f>
        <v/>
      </c>
      <c r="K154" s="181" t="n">
        <v>24</v>
      </c>
      <c r="L154" s="182" t="n">
        <v>45588</v>
      </c>
      <c r="M154" s="182" t="n">
        <v>45587</v>
      </c>
      <c r="N154" s="179" t="n">
        <v>238.13</v>
      </c>
      <c r="O154" s="182" t="n">
        <v>45588</v>
      </c>
      <c r="P154" s="183" t="n">
        <v>237.5</v>
      </c>
      <c r="Q154" s="184">
        <f>IF(OR(N154="",P154=""),"",ROUND((P154-N154)/N154,4))</f>
        <v/>
      </c>
      <c r="R154" s="177">
        <f>IF(OR(N154="",P154=""),"",IF(Q154&gt;Settings!$B$3/100,"UP",IF(Q154&lt;-Settings!$B$3/100,"DOWN","FLAT")))</f>
        <v/>
      </c>
      <c r="S154" s="177">
        <f>IF(OR(N154="",P154="",J154=""),"",IF(OR(AND(J154="BUY",R154="UP"),AND(J154="SELL",R154="DOWN"),AND(J154="HOLD",R154="FLAT")),"YES","NO"))</f>
        <v/>
      </c>
      <c r="T154" s="176">
        <f>IF(J154="","",IF(J154="BUY",1,IF(J154="SELL",-1,0)))</f>
        <v/>
      </c>
      <c r="U154" s="184">
        <f>IFERROR(IF(OR(J154="",N154="",P154=""),"",IF(T154=0,0,T154*Q154-Settings!$B$4/10000-IF(T154&lt;0,Settings!$B$5/10000,0))),"")</f>
        <v/>
      </c>
      <c r="V154" s="185" t="n"/>
      <c r="W154" s="176">
        <f>IF($K154="","",$K154*60)</f>
        <v/>
      </c>
      <c r="X154" s="186">
        <f>IF($A154="","",$A154&amp;"|"&amp;$C154&amp;"|"&amp;$D154)</f>
        <v/>
      </c>
      <c r="Y154" s="186">
        <f>IFERROR(IF($X154="","",INDEX(LLM_Data_Entry!$H$3:$H$548,MATCH($X154,INDEX(LLM_Data_Entry!$A$3:$A$548&amp;"|"&amp;LLM_Data_Entry!$C$3:$C$548&amp;"|"&amp;LLM_Data_Entry!$D$3:$D$548,0),0))),"")</f>
        <v/>
      </c>
      <c r="Z154" s="186">
        <f>IFERROR(IF($X154="","",INDEX(LLM_Data_Entry!$R$3:$R$548,MATCH($X154,INDEX(LLM_Data_Entry!$A$3:$A$548&amp;"|"&amp;LLM_Data_Entry!$C$3:$C$548&amp;"|"&amp;LLM_Data_Entry!$D$3:$D$548,0),0))),"")</f>
        <v/>
      </c>
      <c r="AA154" s="152" t="n"/>
      <c r="AB154" s="152" t="inlineStr">
        <is>
          <t>recorded price identified against every pulled series</t>
        </is>
      </c>
      <c r="AC154" s="152" t="inlineStr">
        <is>
          <t>HLT</t>
        </is>
      </c>
      <c r="AD154" s="152" t="inlineStr">
        <is>
          <t>2024-10-22</t>
        </is>
      </c>
      <c r="AE154" s="152" t="n">
        <v>237.223</v>
      </c>
      <c r="AF154" s="152" t="inlineStr">
        <is>
          <t>2024-10-23</t>
        </is>
      </c>
      <c r="AG154" s="152" t="n">
        <v>236.5954</v>
      </c>
      <c r="AH154" s="152" t="n">
        <v>-0.002645619719489599</v>
      </c>
      <c r="AI154" s="152" t="inlineStr">
        <is>
          <t>FLAT</t>
        </is>
      </c>
      <c r="AJ154" s="152" t="inlineStr">
        <is>
          <t>YES</t>
        </is>
      </c>
      <c r="AK154" s="152" t="n">
        <v>0</v>
      </c>
      <c r="AL154" s="152">
        <f>IF($A154="","",IFERROR(INDEX(Company_List!$G$3:$G$207,MATCH($A154,Company_List!$A$3:$A$207,0)),"unassigned"))</f>
        <v/>
      </c>
      <c r="AM154" s="152" t="inlineStr">
        <is>
          <t>Phase 2/Hilton/hilton-3q-2024-earnings-call-october-22-2025.pdf</t>
        </is>
      </c>
      <c r="AN154" s="152" t="n"/>
      <c r="AO154" s="152" t="inlineStr">
        <is>
          <t>unique filename match</t>
        </is>
      </c>
      <c r="AP154" s="152">
        <f>IF($A154="","",IF(COUNTIFS(LLM_Data_Entry!$A$3:$A$548,$A154)&gt;0,"YES","NO"))</f>
        <v/>
      </c>
      <c r="AQ154" s="152">
        <f>IF($A154="","",IF(COUNTIFS($A$3:$A154,$A154,$C$3:$C154,$C154,$D$3:$D154,$D154)=1,"YES","NO"))</f>
        <v/>
      </c>
      <c r="AR154" s="152">
        <f>IF($A154="","",IF(AND($C154&amp;"-"&amp;$D154&gt;=Settings!$B$19,$C154&amp;"-"&amp;$D154&lt;=Settings!$B$20),"IN","OUT"))</f>
        <v/>
      </c>
      <c r="AS154" s="152">
        <f>IF($A154="","",IF($F154="Financial Results","financials",IF($F154="Outlook/Guidance","guidance",IF($F154="Transcript Q&amp;A","qanda",IF($F154="","unrecorded",IF($E154="All","full",IF($E154="","unrecorded",LOWER($E154)&amp;" only")))))))</f>
        <v/>
      </c>
      <c r="AT154" s="152">
        <f>IF(AND(OR($J154="BUY",$J154="SELL"),ISNUMBER($U154)),$U154,"")</f>
        <v/>
      </c>
      <c r="AU154" s="152">
        <f>IF(AND(OR($J154="BUY",$J154="SELL"),ISNUMBER($AK154)),$AK154,"")</f>
        <v/>
      </c>
      <c r="AV154" s="152">
        <f>IF(ISNUMBER($AT154),ABS(IF(ISNUMBER($I154),$I154,0)-Settings!$B$24),"")</f>
        <v/>
      </c>
      <c r="AW154" s="152">
        <f>IF(ISNUMBER($AV154),$AV154*$AT154,"")</f>
        <v/>
      </c>
      <c r="AX154" s="152">
        <f>IF(ISNUMBER($AU154),ABS(IF(ISNUMBER($I154),$I154,0)-Settings!$B$24),"")</f>
        <v/>
      </c>
      <c r="AY154" s="152" t="inlineStr">
        <is>
          <t>FROZEN</t>
        </is>
      </c>
      <c r="AZ154" s="152">
        <f>IF($A154="","",IFERROR(INDEX(Company_List!$H$3:$H$207,MATCH($A154,Company_List!$A$3:$A$207,0)),"unassigned"))</f>
        <v/>
      </c>
      <c r="BA154" s="152" t="n"/>
      <c r="BB154" s="152" t="n"/>
      <c r="BC154" s="152">
        <f>IF($A154="","",IF(COUNTIFS($A$3:$A154,$A154,$C$3:$C154,$C154,$D$3:$D154,$D154,$G$3:$G154,$G154)=1,1,0))</f>
        <v/>
      </c>
      <c r="BD154" s="152" t="n"/>
      <c r="BE154" s="152" t="n"/>
      <c r="BF154" s="152" t="n"/>
      <c r="BG154" s="152" t="inlineStr">
        <is>
          <t>no</t>
        </is>
      </c>
      <c r="BH154" s="152" t="n"/>
      <c r="BI154" s="152" t="n"/>
      <c r="BJ154" s="152" t="n"/>
      <c r="BK154" s="152">
        <f>IF(OR($H154&lt;&gt;"Human",$S154="",$J154="",$Y154="",$Z154=""),"",IF(EXACT(UPPER($J154),UPPER($Y154)),1,0))</f>
        <v/>
      </c>
      <c r="BL154" s="152" t="inlineStr">
        <is>
          <t>assumed - no rater record</t>
        </is>
      </c>
      <c r="BM154" s="152" t="n">
        <v>1</v>
      </c>
      <c r="BN154" s="152" t="inlineStr">
        <is>
          <t>S&amp;P Global Market Intelligence (Capital IQ)</t>
        </is>
      </c>
      <c r="BO154" s="152" t="inlineStr">
        <is>
          <t>licensed vendor</t>
        </is>
      </c>
      <c r="BP154" s="152" t="inlineStr">
        <is>
          <t>no</t>
        </is>
      </c>
      <c r="BQ154" s="152" t="inlineStr">
        <is>
          <t>no</t>
        </is>
      </c>
      <c r="BR154" s="152" t="n"/>
      <c r="BS154" s="152" t="inlineStr">
        <is>
          <t>YES</t>
        </is>
      </c>
      <c r="BT154" s="152" t="n"/>
    </row>
    <row r="155" ht="15" customHeight="1" s="241">
      <c r="A155" s="174" t="inlineStr">
        <is>
          <t>Hilton</t>
        </is>
      </c>
      <c r="B155" s="175">
        <f>IF(A155="","",_xlfn.XLOOKUP(A155, Company_List!$A:$A, Company_List!$B:$B, ""))</f>
        <v/>
      </c>
      <c r="C155" s="176" t="n">
        <v>2026</v>
      </c>
      <c r="D155" s="177" t="inlineStr">
        <is>
          <t>Q1</t>
        </is>
      </c>
      <c r="E155" s="178" t="inlineStr">
        <is>
          <t>Transcript</t>
        </is>
      </c>
      <c r="F155" s="178" t="inlineStr">
        <is>
          <t>All</t>
        </is>
      </c>
      <c r="G155" s="177" t="inlineStr">
        <is>
          <t>Anna</t>
        </is>
      </c>
      <c r="H155" s="177" t="inlineStr">
        <is>
          <t>Human</t>
        </is>
      </c>
      <c r="I155" s="179" t="n">
        <v>0.3</v>
      </c>
      <c r="J155" s="180">
        <f>IF(OR(I155="",Settings!$B$6=""),"",IF(I155&gt;Settings!$B$6,"BUY",IF(I155&lt;-Settings!$B$6,"SELL","HOLD")))</f>
        <v/>
      </c>
      <c r="K155" s="181" t="n">
        <v>25</v>
      </c>
      <c r="L155" s="182" t="n">
        <v>46140</v>
      </c>
      <c r="M155" s="182" t="n">
        <v>46139</v>
      </c>
      <c r="N155" s="179" t="n">
        <v>332.45</v>
      </c>
      <c r="O155" s="182" t="n">
        <v>46140</v>
      </c>
      <c r="P155" s="183" t="n">
        <v>323.42</v>
      </c>
      <c r="Q155" s="184">
        <f>IF(OR(N155="",P155=""),"",ROUND((P155-N155)/N155,4))</f>
        <v/>
      </c>
      <c r="R155" s="177">
        <f>IF(OR(N155="",P155=""),"",IF(Q155&gt;Settings!$B$3/100,"UP",IF(Q155&lt;-Settings!$B$3/100,"DOWN","FLAT")))</f>
        <v/>
      </c>
      <c r="S155" s="177">
        <f>IF(OR(N155="",P155="",J155=""),"",IF(OR(AND(J155="BUY",R155="UP"),AND(J155="SELL",R155="DOWN"),AND(J155="HOLD",R155="FLAT")),"YES","NO"))</f>
        <v/>
      </c>
      <c r="T155" s="176">
        <f>IF(J155="","",IF(J155="BUY",1,IF(J155="SELL",-1,0)))</f>
        <v/>
      </c>
      <c r="U155" s="184">
        <f>IFERROR(IF(OR(J155="",N155="",P155=""),"",IF(T155=0,0,T155*Q155-Settings!$B$4/10000-IF(T155&lt;0,Settings!$B$5/10000,0))),"")</f>
        <v/>
      </c>
      <c r="V155" s="185" t="n"/>
      <c r="W155" s="176">
        <f>IF($K155="","",$K155*60)</f>
        <v/>
      </c>
      <c r="X155" s="186">
        <f>IF($A155="","",$A155&amp;"|"&amp;$C155&amp;"|"&amp;$D155)</f>
        <v/>
      </c>
      <c r="Y155" s="186">
        <f>IFERROR(IF($X155="","",INDEX(LLM_Data_Entry!$H$3:$H$548,MATCH($X155,INDEX(LLM_Data_Entry!$A$3:$A$548&amp;"|"&amp;LLM_Data_Entry!$C$3:$C$548&amp;"|"&amp;LLM_Data_Entry!$D$3:$D$548,0),0))),"")</f>
        <v/>
      </c>
      <c r="Z155" s="186">
        <f>IFERROR(IF($X155="","",INDEX(LLM_Data_Entry!$R$3:$R$548,MATCH($X155,INDEX(LLM_Data_Entry!$A$3:$A$548&amp;"|"&amp;LLM_Data_Entry!$C$3:$C$548&amp;"|"&amp;LLM_Data_Entry!$D$3:$D$548,0),0))),"")</f>
        <v/>
      </c>
      <c r="AA155" s="152" t="n"/>
      <c r="AB155" s="152" t="inlineStr">
        <is>
          <t>recorded price identified against every pulled series</t>
        </is>
      </c>
      <c r="AC155" s="152" t="inlineStr">
        <is>
          <t>HLT</t>
        </is>
      </c>
      <c r="AD155" s="152" t="inlineStr">
        <is>
          <t>2026-04-27</t>
        </is>
      </c>
      <c r="AE155" s="152" t="n">
        <v>332.2955</v>
      </c>
      <c r="AF155" s="152" t="inlineStr">
        <is>
          <t>2026-04-28</t>
        </is>
      </c>
      <c r="AG155" s="152" t="n">
        <v>323.2697</v>
      </c>
      <c r="AH155" s="152" t="n">
        <v>-0.02716192317131351</v>
      </c>
      <c r="AI155" s="152" t="inlineStr">
        <is>
          <t>DOWN</t>
        </is>
      </c>
      <c r="AJ155" s="152" t="inlineStr">
        <is>
          <t>NO</t>
        </is>
      </c>
      <c r="AK155" s="152" t="n">
        <v>-0.028162</v>
      </c>
      <c r="AL155" s="152">
        <f>IF($A155="","",IFERROR(INDEX(Company_List!$G$3:$G$207,MATCH($A155,Company_List!$A$3:$A$207,0)),"unassigned"))</f>
        <v/>
      </c>
      <c r="AM155" s="152" t="inlineStr">
        <is>
          <t>Phase 2/Hilton/hilton-q1-2026-earnings-transcript.pdf</t>
        </is>
      </c>
      <c r="AN155" s="152" t="n"/>
      <c r="AO155" s="152" t="inlineStr">
        <is>
          <t>unique filename match</t>
        </is>
      </c>
      <c r="AP155" s="152">
        <f>IF($A155="","",IF(COUNTIFS(LLM_Data_Entry!$A$3:$A$548,$A155)&gt;0,"YES","NO"))</f>
        <v/>
      </c>
      <c r="AQ155" s="152">
        <f>IF($A155="","",IF(COUNTIFS($A$3:$A155,$A155,$C$3:$C155,$C155,$D$3:$D155,$D155)=1,"YES","NO"))</f>
        <v/>
      </c>
      <c r="AR155" s="152">
        <f>IF($A155="","",IF(AND($C155&amp;"-"&amp;$D155&gt;=Settings!$B$19,$C155&amp;"-"&amp;$D155&lt;=Settings!$B$20),"IN","OUT"))</f>
        <v/>
      </c>
      <c r="AS155" s="152">
        <f>IF($A155="","",IF($F155="Financial Results","financials",IF($F155="Outlook/Guidance","guidance",IF($F155="Transcript Q&amp;A","qanda",IF($F155="","unrecorded",IF($E155="All","full",IF($E155="","unrecorded",LOWER($E155)&amp;" only")))))))</f>
        <v/>
      </c>
      <c r="AT155" s="152">
        <f>IF(AND(OR($J155="BUY",$J155="SELL"),ISNUMBER($U155)),$U155,"")</f>
        <v/>
      </c>
      <c r="AU155" s="152">
        <f>IF(AND(OR($J155="BUY",$J155="SELL"),ISNUMBER($AK155)),$AK155,"")</f>
        <v/>
      </c>
      <c r="AV155" s="152">
        <f>IF(ISNUMBER($AT155),ABS(IF(ISNUMBER($I155),$I155,0)-Settings!$B$24),"")</f>
        <v/>
      </c>
      <c r="AW155" s="152">
        <f>IF(ISNUMBER($AV155),$AV155*$AT155,"")</f>
        <v/>
      </c>
      <c r="AX155" s="152">
        <f>IF(ISNUMBER($AU155),ABS(IF(ISNUMBER($I155),$I155,0)-Settings!$B$24),"")</f>
        <v/>
      </c>
      <c r="AY155" s="152" t="inlineStr">
        <is>
          <t>FROZEN</t>
        </is>
      </c>
      <c r="AZ155" s="152">
        <f>IF($A155="","",IFERROR(INDEX(Company_List!$H$3:$H$207,MATCH($A155,Company_List!$A$3:$A$207,0)),"unassigned"))</f>
        <v/>
      </c>
      <c r="BA155" s="152" t="n"/>
      <c r="BB155" s="152" t="n"/>
      <c r="BC155" s="152">
        <f>IF($A155="","",IF(COUNTIFS($A$3:$A155,$A155,$C$3:$C155,$C155,$D$3:$D155,$D155,$G$3:$G155,$G155)=1,1,0))</f>
        <v/>
      </c>
      <c r="BD155" s="152" t="n"/>
      <c r="BE155" s="152" t="n"/>
      <c r="BF155" s="152" t="n"/>
      <c r="BG155" s="152" t="inlineStr">
        <is>
          <t>no</t>
        </is>
      </c>
      <c r="BH155" s="152" t="n"/>
      <c r="BI155" s="152" t="n"/>
      <c r="BJ155" s="152" t="n"/>
      <c r="BK155" s="152">
        <f>IF(OR($H155&lt;&gt;"Human",$S155="",$J155="",$Y155="",$Z155=""),"",IF(EXACT(UPPER($J155),UPPER($Y155)),1,0))</f>
        <v/>
      </c>
      <c r="BL155" s="152" t="inlineStr">
        <is>
          <t>assumed - no rater record</t>
        </is>
      </c>
      <c r="BM155" s="152" t="n">
        <v>1</v>
      </c>
      <c r="BN155" s="152" t="inlineStr">
        <is>
          <t>S&amp;P Global Market Intelligence (Capital IQ)</t>
        </is>
      </c>
      <c r="BO155" s="152" t="inlineStr">
        <is>
          <t>licensed vendor</t>
        </is>
      </c>
      <c r="BP155" s="152" t="inlineStr">
        <is>
          <t>no</t>
        </is>
      </c>
      <c r="BQ155" s="152" t="inlineStr">
        <is>
          <t>no</t>
        </is>
      </c>
      <c r="BR155" s="152" t="n"/>
      <c r="BS155" s="152" t="inlineStr">
        <is>
          <t>YES</t>
        </is>
      </c>
      <c r="BT155" s="152" t="n"/>
    </row>
    <row r="156" ht="15" customHeight="1" s="241">
      <c r="A156" s="174" t="inlineStr">
        <is>
          <t>Hilton</t>
        </is>
      </c>
      <c r="B156" s="175">
        <f>IF(A156="","",_xlfn.XLOOKUP(A156, Company_List!$A:$A, Company_List!$B:$B, ""))</f>
        <v/>
      </c>
      <c r="C156" s="176" t="n">
        <v>2025</v>
      </c>
      <c r="D156" s="177" t="inlineStr">
        <is>
          <t>Q4</t>
        </is>
      </c>
      <c r="E156" s="178" t="inlineStr">
        <is>
          <t>Transcript</t>
        </is>
      </c>
      <c r="F156" s="178" t="inlineStr">
        <is>
          <t>All</t>
        </is>
      </c>
      <c r="G156" s="177" t="inlineStr">
        <is>
          <t>Anna</t>
        </is>
      </c>
      <c r="H156" s="177" t="inlineStr">
        <is>
          <t>Human</t>
        </is>
      </c>
      <c r="I156" s="179" t="n">
        <v>0.5</v>
      </c>
      <c r="J156" s="180">
        <f>IF(OR(I156="",Settings!$B$6=""),"",IF(I156&gt;Settings!$B$6,"BUY",IF(I156&lt;-Settings!$B$6,"SELL","HOLD")))</f>
        <v/>
      </c>
      <c r="K156" s="181" t="n">
        <v>23</v>
      </c>
      <c r="L156" s="182" t="n">
        <v>46064</v>
      </c>
      <c r="M156" s="182" t="n">
        <v>46063</v>
      </c>
      <c r="N156" s="179" t="n">
        <v>323.7</v>
      </c>
      <c r="O156" s="182" t="n">
        <v>46064</v>
      </c>
      <c r="P156" s="183" t="n">
        <v>321.76</v>
      </c>
      <c r="Q156" s="184">
        <f>IF(OR(N156="",P156=""),"",ROUND((P156-N156)/N156,4))</f>
        <v/>
      </c>
      <c r="R156" s="177">
        <f>IF(OR(N156="",P156=""),"",IF(Q156&gt;Settings!$B$3/100,"UP",IF(Q156&lt;-Settings!$B$3/100,"DOWN","FLAT")))</f>
        <v/>
      </c>
      <c r="S156" s="177">
        <f>IF(OR(N156="",P156="",J156=""),"",IF(OR(AND(J156="BUY",R156="UP"),AND(J156="SELL",R156="DOWN"),AND(J156="HOLD",R156="FLAT")),"YES","NO"))</f>
        <v/>
      </c>
      <c r="T156" s="176">
        <f>IF(J156="","",IF(J156="BUY",1,IF(J156="SELL",-1,0)))</f>
        <v/>
      </c>
      <c r="U156" s="184">
        <f>IFERROR(IF(OR(J156="",N156="",P156=""),"",IF(T156=0,0,T156*Q156-Settings!$B$4/10000-IF(T156&lt;0,Settings!$B$5/10000,0))),"")</f>
        <v/>
      </c>
      <c r="V156" s="185" t="n"/>
      <c r="W156" s="176">
        <f>IF($K156="","",$K156*60)</f>
        <v/>
      </c>
      <c r="X156" s="186">
        <f>IF($A156="","",$A156&amp;"|"&amp;$C156&amp;"|"&amp;$D156)</f>
        <v/>
      </c>
      <c r="Y156" s="186">
        <f>IFERROR(IF($X156="","",INDEX(LLM_Data_Entry!$H$3:$H$548,MATCH($X156,INDEX(LLM_Data_Entry!$A$3:$A$548&amp;"|"&amp;LLM_Data_Entry!$C$3:$C$548&amp;"|"&amp;LLM_Data_Entry!$D$3:$D$548,0),0))),"")</f>
        <v/>
      </c>
      <c r="Z156" s="186">
        <f>IFERROR(IF($X156="","",INDEX(LLM_Data_Entry!$R$3:$R$548,MATCH($X156,INDEX(LLM_Data_Entry!$A$3:$A$548&amp;"|"&amp;LLM_Data_Entry!$C$3:$C$548&amp;"|"&amp;LLM_Data_Entry!$D$3:$D$548,0),0))),"")</f>
        <v/>
      </c>
      <c r="AA156" s="152" t="n"/>
      <c r="AB156" s="152" t="inlineStr">
        <is>
          <t>price signal</t>
        </is>
      </c>
      <c r="AC156" s="152" t="inlineStr">
        <is>
          <t>HLT</t>
        </is>
      </c>
      <c r="AD156" s="152" t="inlineStr">
        <is>
          <t>2026-02-10</t>
        </is>
      </c>
      <c r="AE156" s="152" t="n">
        <v>323.3969</v>
      </c>
      <c r="AF156" s="152" t="inlineStr">
        <is>
          <t>2026-02-11</t>
        </is>
      </c>
      <c r="AG156" s="152" t="n">
        <v>321.4587</v>
      </c>
      <c r="AH156" s="152" t="n">
        <v>-0.00599322139387343</v>
      </c>
      <c r="AI156" s="152" t="inlineStr">
        <is>
          <t>FLAT</t>
        </is>
      </c>
      <c r="AJ156" s="152" t="inlineStr">
        <is>
          <t>NO</t>
        </is>
      </c>
      <c r="AK156" s="152" t="n">
        <v>-0.006993</v>
      </c>
      <c r="AL156" s="152">
        <f>IF($A156="","",IFERROR(INDEX(Company_List!$G$3:$G$207,MATCH($A156,Company_List!$A$3:$A$207,0)),"unassigned"))</f>
        <v/>
      </c>
      <c r="AM156" s="152" t="inlineStr">
        <is>
          <t>Phase 2/Hilton/hilton-q4-2025-earnings-transcript-combined.pdf</t>
        </is>
      </c>
      <c r="AN156" s="152" t="n"/>
      <c r="AO156" s="152" t="inlineStr">
        <is>
          <t>unique filename match</t>
        </is>
      </c>
      <c r="AP156" s="152">
        <f>IF($A156="","",IF(COUNTIFS(LLM_Data_Entry!$A$3:$A$548,$A156)&gt;0,"YES","NO"))</f>
        <v/>
      </c>
      <c r="AQ156" s="152">
        <f>IF($A156="","",IF(COUNTIFS($A$3:$A156,$A156,$C$3:$C156,$C156,$D$3:$D156,$D156)=1,"YES","NO"))</f>
        <v/>
      </c>
      <c r="AR156" s="152">
        <f>IF($A156="","",IF(AND($C156&amp;"-"&amp;$D156&gt;=Settings!$B$19,$C156&amp;"-"&amp;$D156&lt;=Settings!$B$20),"IN","OUT"))</f>
        <v/>
      </c>
      <c r="AS156" s="152">
        <f>IF($A156="","",IF($F156="Financial Results","financials",IF($F156="Outlook/Guidance","guidance",IF($F156="Transcript Q&amp;A","qanda",IF($F156="","unrecorded",IF($E156="All","full",IF($E156="","unrecorded",LOWER($E156)&amp;" only")))))))</f>
        <v/>
      </c>
      <c r="AT156" s="152">
        <f>IF(AND(OR($J156="BUY",$J156="SELL"),ISNUMBER($U156)),$U156,"")</f>
        <v/>
      </c>
      <c r="AU156" s="152">
        <f>IF(AND(OR($J156="BUY",$J156="SELL"),ISNUMBER($AK156)),$AK156,"")</f>
        <v/>
      </c>
      <c r="AV156" s="152">
        <f>IF(ISNUMBER($AT156),ABS(IF(ISNUMBER($I156),$I156,0)-Settings!$B$24),"")</f>
        <v/>
      </c>
      <c r="AW156" s="152">
        <f>IF(ISNUMBER($AV156),$AV156*$AT156,"")</f>
        <v/>
      </c>
      <c r="AX156" s="152">
        <f>IF(ISNUMBER($AU156),ABS(IF(ISNUMBER($I156),$I156,0)-Settings!$B$24),"")</f>
        <v/>
      </c>
      <c r="AY156" s="152" t="inlineStr">
        <is>
          <t>FROZEN</t>
        </is>
      </c>
      <c r="AZ156" s="152">
        <f>IF($A156="","",IFERROR(INDEX(Company_List!$H$3:$H$207,MATCH($A156,Company_List!$A$3:$A$207,0)),"unassigned"))</f>
        <v/>
      </c>
      <c r="BA156" s="152" t="n"/>
      <c r="BB156" s="152" t="n"/>
      <c r="BC156" s="152">
        <f>IF($A156="","",IF(COUNTIFS($A$3:$A156,$A156,$C$3:$C156,$C156,$D$3:$D156,$D156,$G$3:$G156,$G156)=1,1,0))</f>
        <v/>
      </c>
      <c r="BD156" s="152" t="n"/>
      <c r="BE156" s="152" t="n"/>
      <c r="BF156" s="152" t="n"/>
      <c r="BG156" s="152" t="inlineStr">
        <is>
          <t>no</t>
        </is>
      </c>
      <c r="BH156" s="152" t="n"/>
      <c r="BI156" s="152" t="n"/>
      <c r="BJ156" s="152" t="n"/>
      <c r="BK156" s="152">
        <f>IF(OR($H156&lt;&gt;"Human",$S156="",$J156="",$Y156="",$Z156=""),"",IF(EXACT(UPPER($J156),UPPER($Y156)),1,0))</f>
        <v/>
      </c>
      <c r="BL156" s="152" t="inlineStr">
        <is>
          <t>assumed - no rater record</t>
        </is>
      </c>
      <c r="BM156" s="152" t="n">
        <v>1</v>
      </c>
      <c r="BN156" s="152" t="inlineStr">
        <is>
          <t>S&amp;P Global Market Intelligence (Capital IQ)</t>
        </is>
      </c>
      <c r="BO156" s="152" t="inlineStr">
        <is>
          <t>licensed vendor</t>
        </is>
      </c>
      <c r="BP156" s="152" t="inlineStr">
        <is>
          <t>no</t>
        </is>
      </c>
      <c r="BQ156" s="152" t="inlineStr">
        <is>
          <t>no</t>
        </is>
      </c>
      <c r="BR156" s="152" t="n"/>
      <c r="BS156" s="152" t="inlineStr">
        <is>
          <t>YES</t>
        </is>
      </c>
      <c r="BT156" s="152" t="n"/>
    </row>
    <row r="157" ht="15" customHeight="1" s="241">
      <c r="A157" s="174" t="inlineStr">
        <is>
          <t>Marriott</t>
        </is>
      </c>
      <c r="B157" s="175">
        <f>IF(A157="","",_xlfn.XLOOKUP(A157, Company_List!$A:$A, Company_List!$B:$B, ""))</f>
        <v/>
      </c>
      <c r="C157" s="176" t="n">
        <v>2025</v>
      </c>
      <c r="D157" s="177" t="inlineStr">
        <is>
          <t>Q2</t>
        </is>
      </c>
      <c r="E157" s="178" t="inlineStr">
        <is>
          <t>Transcript</t>
        </is>
      </c>
      <c r="F157" s="178" t="inlineStr">
        <is>
          <t>All</t>
        </is>
      </c>
      <c r="G157" s="177" t="inlineStr">
        <is>
          <t>Anna</t>
        </is>
      </c>
      <c r="H157" s="177" t="inlineStr">
        <is>
          <t>Human</t>
        </is>
      </c>
      <c r="I157" s="179" t="n">
        <v>0.2</v>
      </c>
      <c r="J157" s="180">
        <f>IF(OR(I157="",Settings!$B$6=""),"",IF(I157&gt;Settings!$B$6,"BUY",IF(I157&lt;-Settings!$B$6,"SELL","HOLD")))</f>
        <v/>
      </c>
      <c r="K157" s="181" t="n">
        <v>22</v>
      </c>
      <c r="L157" s="182" t="n">
        <v>45874</v>
      </c>
      <c r="M157" s="182" t="n">
        <v>45873</v>
      </c>
      <c r="N157" s="179" t="n">
        <v>259.13</v>
      </c>
      <c r="O157" s="182" t="n">
        <v>45874</v>
      </c>
      <c r="P157" s="183" t="n">
        <v>259.31</v>
      </c>
      <c r="Q157" s="184">
        <f>IF(OR(N157="",P157=""),"",ROUND((P157-N157)/N157,4))</f>
        <v/>
      </c>
      <c r="R157" s="177">
        <f>IF(OR(N157="",P157=""),"",IF(Q157&gt;Settings!$B$3/100,"UP",IF(Q157&lt;-Settings!$B$3/100,"DOWN","FLAT")))</f>
        <v/>
      </c>
      <c r="S157" s="177">
        <f>IF(OR(N157="",P157="",J157=""),"",IF(OR(AND(J157="BUY",R157="UP"),AND(J157="SELL",R157="DOWN"),AND(J157="HOLD",R157="FLAT")),"YES","NO"))</f>
        <v/>
      </c>
      <c r="T157" s="176">
        <f>IF(J157="","",IF(J157="BUY",1,IF(J157="SELL",-1,0)))</f>
        <v/>
      </c>
      <c r="U157" s="184">
        <f>IFERROR(IF(OR(J157="",N157="",P157=""),"",IF(T157=0,0,T157*Q157-Settings!$B$4/10000-IF(T157&lt;0,Settings!$B$5/10000,0))),"")</f>
        <v/>
      </c>
      <c r="V157" s="185" t="n"/>
      <c r="W157" s="176">
        <f>IF($K157="","",$K157*60)</f>
        <v/>
      </c>
      <c r="X157" s="186">
        <f>IF($A157="","",$A157&amp;"|"&amp;$C157&amp;"|"&amp;$D157)</f>
        <v/>
      </c>
      <c r="Y157" s="186">
        <f>IFERROR(IF($X157="","",INDEX(LLM_Data_Entry!$H$3:$H$548,MATCH($X157,INDEX(LLM_Data_Entry!$A$3:$A$548&amp;"|"&amp;LLM_Data_Entry!$C$3:$C$548&amp;"|"&amp;LLM_Data_Entry!$D$3:$D$548,0),0))),"")</f>
        <v/>
      </c>
      <c r="Z157" s="186">
        <f>IFERROR(IF($X157="","",INDEX(LLM_Data_Entry!$R$3:$R$548,MATCH($X157,INDEX(LLM_Data_Entry!$A$3:$A$548&amp;"|"&amp;LLM_Data_Entry!$C$3:$C$548&amp;"|"&amp;LLM_Data_Entry!$D$3:$D$548,0),0))),"")</f>
        <v/>
      </c>
      <c r="AA157" s="152" t="n"/>
      <c r="AB157" s="152" t="inlineStr">
        <is>
          <t>earnings calendar, seconded by the issuer's habit</t>
        </is>
      </c>
      <c r="AC157" s="152" t="inlineStr">
        <is>
          <t>MAR</t>
        </is>
      </c>
      <c r="AD157" s="152" t="inlineStr">
        <is>
          <t>2025-08-04</t>
        </is>
      </c>
      <c r="AE157" s="152" t="n">
        <v>256.8576</v>
      </c>
      <c r="AF157" s="152" t="inlineStr">
        <is>
          <t>2025-08-05</t>
        </is>
      </c>
      <c r="AG157" s="152" t="n">
        <v>257.036</v>
      </c>
      <c r="AH157" s="152" t="n">
        <v>0.0006945501161925129</v>
      </c>
      <c r="AI157" s="152" t="inlineStr">
        <is>
          <t>FLAT</t>
        </is>
      </c>
      <c r="AJ157" s="152" t="inlineStr">
        <is>
          <t>YES</t>
        </is>
      </c>
      <c r="AK157" s="152" t="n">
        <v>0</v>
      </c>
      <c r="AL157" s="152">
        <f>IF($A157="","",IFERROR(INDEX(Company_List!$G$3:$G$207,MATCH($A157,Company_List!$A$3:$A$207,0)),"unassigned"))</f>
        <v/>
      </c>
      <c r="AM157" s="152" t="inlineStr">
        <is>
          <t>Phase 2/Marriott/MAR Q2 2025 TRANSCRIPT 8-5-25 FINAL.pdf</t>
        </is>
      </c>
      <c r="AN157" s="152" t="n"/>
      <c r="AO157" s="152" t="inlineStr">
        <is>
          <t>unique filename match</t>
        </is>
      </c>
      <c r="AP157" s="152">
        <f>IF($A157="","",IF(COUNTIFS(LLM_Data_Entry!$A$3:$A$548,$A157)&gt;0,"YES","NO"))</f>
        <v/>
      </c>
      <c r="AQ157" s="152">
        <f>IF($A157="","",IF(COUNTIFS($A$3:$A157,$A157,$C$3:$C157,$C157,$D$3:$D157,$D157)=1,"YES","NO"))</f>
        <v/>
      </c>
      <c r="AR157" s="152">
        <f>IF($A157="","",IF(AND($C157&amp;"-"&amp;$D157&gt;=Settings!$B$19,$C157&amp;"-"&amp;$D157&lt;=Settings!$B$20),"IN","OUT"))</f>
        <v/>
      </c>
      <c r="AS157" s="152">
        <f>IF($A157="","",IF($F157="Financial Results","financials",IF($F157="Outlook/Guidance","guidance",IF($F157="Transcript Q&amp;A","qanda",IF($F157="","unrecorded",IF($E157="All","full",IF($E157="","unrecorded",LOWER($E157)&amp;" only")))))))</f>
        <v/>
      </c>
      <c r="AT157" s="152">
        <f>IF(AND(OR($J157="BUY",$J157="SELL"),ISNUMBER($U157)),$U157,"")</f>
        <v/>
      </c>
      <c r="AU157" s="152">
        <f>IF(AND(OR($J157="BUY",$J157="SELL"),ISNUMBER($AK157)),$AK157,"")</f>
        <v/>
      </c>
      <c r="AV157" s="152">
        <f>IF(ISNUMBER($AT157),ABS(IF(ISNUMBER($I157),$I157,0)-Settings!$B$24),"")</f>
        <v/>
      </c>
      <c r="AW157" s="152">
        <f>IF(ISNUMBER($AV157),$AV157*$AT157,"")</f>
        <v/>
      </c>
      <c r="AX157" s="152">
        <f>IF(ISNUMBER($AU157),ABS(IF(ISNUMBER($I157),$I157,0)-Settings!$B$24),"")</f>
        <v/>
      </c>
      <c r="AY157" s="152" t="inlineStr">
        <is>
          <t>FROZEN</t>
        </is>
      </c>
      <c r="AZ157" s="152">
        <f>IF($A157="","",IFERROR(INDEX(Company_List!$H$3:$H$207,MATCH($A157,Company_List!$A$3:$A$207,0)),"unassigned"))</f>
        <v/>
      </c>
      <c r="BA157" s="152" t="n"/>
      <c r="BB157" s="152" t="n"/>
      <c r="BC157" s="152">
        <f>IF($A157="","",IF(COUNTIFS($A$3:$A157,$A157,$C$3:$C157,$C157,$D$3:$D157,$D157,$G$3:$G157,$G157)=1,1,0))</f>
        <v/>
      </c>
      <c r="BD157" s="152" t="n"/>
      <c r="BE157" s="152" t="n"/>
      <c r="BF157" s="152" t="n"/>
      <c r="BG157" s="152" t="inlineStr">
        <is>
          <t>no</t>
        </is>
      </c>
      <c r="BH157" s="152" t="n"/>
      <c r="BI157" s="152" t="n"/>
      <c r="BJ157" s="152" t="n"/>
      <c r="BK157" s="152">
        <f>IF(OR($H157&lt;&gt;"Human",$S157="",$J157="",$Y157="",$Z157=""),"",IF(EXACT(UPPER($J157),UPPER($Y157)),1,0))</f>
        <v/>
      </c>
      <c r="BL157" s="152" t="inlineStr">
        <is>
          <t>assumed - no rater record</t>
        </is>
      </c>
      <c r="BM157" s="152" t="n">
        <v>1</v>
      </c>
      <c r="BN157" s="152" t="inlineStr">
        <is>
          <t>not publisher-identified</t>
        </is>
      </c>
      <c r="BO157" s="152" t="inlineStr">
        <is>
          <t>not publisher-identified</t>
        </is>
      </c>
      <c r="BP157" s="152" t="inlineStr">
        <is>
          <t>no</t>
        </is>
      </c>
      <c r="BQ157" s="152" t="inlineStr">
        <is>
          <t>no</t>
        </is>
      </c>
      <c r="BR157" s="152" t="n"/>
      <c r="BS157" s="152" t="inlineStr">
        <is>
          <t>YES</t>
        </is>
      </c>
      <c r="BT157" s="152" t="n"/>
    </row>
    <row r="158" ht="15" customHeight="1" s="241">
      <c r="A158" s="174" t="inlineStr">
        <is>
          <t>Marriott</t>
        </is>
      </c>
      <c r="B158" s="175">
        <f>IF(A158="","",_xlfn.XLOOKUP(A158, Company_List!$A:$A, Company_List!$B:$B, ""))</f>
        <v/>
      </c>
      <c r="C158" s="176" t="n">
        <v>2025</v>
      </c>
      <c r="D158" s="177" t="inlineStr">
        <is>
          <t>Q3</t>
        </is>
      </c>
      <c r="E158" s="178" t="inlineStr">
        <is>
          <t>Transcript</t>
        </is>
      </c>
      <c r="F158" s="178" t="inlineStr">
        <is>
          <t>All</t>
        </is>
      </c>
      <c r="G158" s="177" t="inlineStr">
        <is>
          <t>Anna</t>
        </is>
      </c>
      <c r="H158" s="177" t="inlineStr">
        <is>
          <t>Human</t>
        </is>
      </c>
      <c r="I158" s="179" t="n">
        <v>0.3</v>
      </c>
      <c r="J158" s="180">
        <f>IF(OR(I158="",Settings!$B$6=""),"",IF(I158&gt;Settings!$B$6,"BUY",IF(I158&lt;-Settings!$B$6,"SELL","HOLD")))</f>
        <v/>
      </c>
      <c r="K158" s="181" t="n">
        <v>26</v>
      </c>
      <c r="L158" s="182" t="n">
        <v>45965</v>
      </c>
      <c r="M158" s="182" t="n">
        <v>45964</v>
      </c>
      <c r="N158" s="179" t="n">
        <v>263.89</v>
      </c>
      <c r="O158" s="182" t="n">
        <v>45965</v>
      </c>
      <c r="P158" s="183" t="n">
        <v>264.4</v>
      </c>
      <c r="Q158" s="184">
        <f>IF(OR(N158="",P158=""),"",ROUND((P158-N158)/N158,4))</f>
        <v/>
      </c>
      <c r="R158" s="177">
        <f>IF(OR(N158="",P158=""),"",IF(Q158&gt;Settings!$B$3/100,"UP",IF(Q158&lt;-Settings!$B$3/100,"DOWN","FLAT")))</f>
        <v/>
      </c>
      <c r="S158" s="177">
        <f>IF(OR(N158="",P158="",J158=""),"",IF(OR(AND(J158="BUY",R158="UP"),AND(J158="SELL",R158="DOWN"),AND(J158="HOLD",R158="FLAT")),"YES","NO"))</f>
        <v/>
      </c>
      <c r="T158" s="176">
        <f>IF(J158="","",IF(J158="BUY",1,IF(J158="SELL",-1,0)))</f>
        <v/>
      </c>
      <c r="U158" s="184">
        <f>IFERROR(IF(OR(J158="",N158="",P158=""),"",IF(T158=0,0,T158*Q158-Settings!$B$4/10000-IF(T158&lt;0,Settings!$B$5/10000,0))),"")</f>
        <v/>
      </c>
      <c r="V158" s="185" t="n"/>
      <c r="W158" s="176">
        <f>IF($K158="","",$K158*60)</f>
        <v/>
      </c>
      <c r="X158" s="186">
        <f>IF($A158="","",$A158&amp;"|"&amp;$C158&amp;"|"&amp;$D158)</f>
        <v/>
      </c>
      <c r="Y158" s="186">
        <f>IFERROR(IF($X158="","",INDEX(LLM_Data_Entry!$H$3:$H$548,MATCH($X158,INDEX(LLM_Data_Entry!$A$3:$A$548&amp;"|"&amp;LLM_Data_Entry!$C$3:$C$548&amp;"|"&amp;LLM_Data_Entry!$D$3:$D$548,0),0))),"")</f>
        <v/>
      </c>
      <c r="Z158" s="186">
        <f>IFERROR(IF($X158="","",INDEX(LLM_Data_Entry!$R$3:$R$548,MATCH($X158,INDEX(LLM_Data_Entry!$A$3:$A$548&amp;"|"&amp;LLM_Data_Entry!$C$3:$C$548&amp;"|"&amp;LLM_Data_Entry!$D$3:$D$548,0),0))),"")</f>
        <v/>
      </c>
      <c r="AA158" s="152" t="n"/>
      <c r="AB158" s="152" t="inlineStr">
        <is>
          <t>document date + price signal</t>
        </is>
      </c>
      <c r="AC158" s="152" t="inlineStr">
        <is>
          <t>MAR</t>
        </is>
      </c>
      <c r="AD158" s="152" t="inlineStr">
        <is>
          <t>2025-11-04</t>
        </is>
      </c>
      <c r="AE158" s="152" t="n">
        <v>270.5404</v>
      </c>
      <c r="AF158" s="152" t="inlineStr">
        <is>
          <t>2025-11-05</t>
        </is>
      </c>
      <c r="AG158" s="152" t="n">
        <v>272.041</v>
      </c>
      <c r="AH158" s="152" t="n">
        <v>0.005546668634632643</v>
      </c>
      <c r="AI158" s="152" t="inlineStr">
        <is>
          <t>FLAT</t>
        </is>
      </c>
      <c r="AJ158" s="152" t="inlineStr">
        <is>
          <t>NO</t>
        </is>
      </c>
      <c r="AK158" s="152" t="n">
        <v>0.004547</v>
      </c>
      <c r="AL158" s="152">
        <f>IF($A158="","",IFERROR(INDEX(Company_List!$G$3:$G$207,MATCH($A158,Company_List!$A$3:$A$207,0)),"unassigned"))</f>
        <v/>
      </c>
      <c r="AM158" s="152" t="inlineStr">
        <is>
          <t>Phase 2/Marriott/MAR Q3 Earnings TRANSCRIPT 11-4-25 FINAL.pdf</t>
        </is>
      </c>
      <c r="AN158" s="152" t="n"/>
      <c r="AO158" s="152" t="inlineStr">
        <is>
          <t>unique filename match</t>
        </is>
      </c>
      <c r="AP158" s="152">
        <f>IF($A158="","",IF(COUNTIFS(LLM_Data_Entry!$A$3:$A$548,$A158)&gt;0,"YES","NO"))</f>
        <v/>
      </c>
      <c r="AQ158" s="152">
        <f>IF($A158="","",IF(COUNTIFS($A$3:$A158,$A158,$C$3:$C158,$C158,$D$3:$D158,$D158)=1,"YES","NO"))</f>
        <v/>
      </c>
      <c r="AR158" s="152">
        <f>IF($A158="","",IF(AND($C158&amp;"-"&amp;$D158&gt;=Settings!$B$19,$C158&amp;"-"&amp;$D158&lt;=Settings!$B$20),"IN","OUT"))</f>
        <v/>
      </c>
      <c r="AS158" s="152">
        <f>IF($A158="","",IF($F158="Financial Results","financials",IF($F158="Outlook/Guidance","guidance",IF($F158="Transcript Q&amp;A","qanda",IF($F158="","unrecorded",IF($E158="All","full",IF($E158="","unrecorded",LOWER($E158)&amp;" only")))))))</f>
        <v/>
      </c>
      <c r="AT158" s="152">
        <f>IF(AND(OR($J158="BUY",$J158="SELL"),ISNUMBER($U158)),$U158,"")</f>
        <v/>
      </c>
      <c r="AU158" s="152">
        <f>IF(AND(OR($J158="BUY",$J158="SELL"),ISNUMBER($AK158)),$AK158,"")</f>
        <v/>
      </c>
      <c r="AV158" s="152">
        <f>IF(ISNUMBER($AT158),ABS(IF(ISNUMBER($I158),$I158,0)-Settings!$B$24),"")</f>
        <v/>
      </c>
      <c r="AW158" s="152">
        <f>IF(ISNUMBER($AV158),$AV158*$AT158,"")</f>
        <v/>
      </c>
      <c r="AX158" s="152">
        <f>IF(ISNUMBER($AU158),ABS(IF(ISNUMBER($I158),$I158,0)-Settings!$B$24),"")</f>
        <v/>
      </c>
      <c r="AY158" s="152" t="inlineStr">
        <is>
          <t>FROZEN</t>
        </is>
      </c>
      <c r="AZ158" s="152">
        <f>IF($A158="","",IFERROR(INDEX(Company_List!$H$3:$H$207,MATCH($A158,Company_List!$A$3:$A$207,0)),"unassigned"))</f>
        <v/>
      </c>
      <c r="BA158" s="152" t="n"/>
      <c r="BB158" s="152" t="n"/>
      <c r="BC158" s="152">
        <f>IF($A158="","",IF(COUNTIFS($A$3:$A158,$A158,$C$3:$C158,$C158,$D$3:$D158,$D158,$G$3:$G158,$G158)=1,1,0))</f>
        <v/>
      </c>
      <c r="BD158" s="152" t="n"/>
      <c r="BE158" s="152" t="n"/>
      <c r="BF158" s="152" t="n"/>
      <c r="BG158" s="152" t="inlineStr">
        <is>
          <t>no</t>
        </is>
      </c>
      <c r="BH158" s="152" t="n"/>
      <c r="BI158" s="152" t="n"/>
      <c r="BJ158" s="152" t="n"/>
      <c r="BK158" s="152">
        <f>IF(OR($H158&lt;&gt;"Human",$S158="",$J158="",$Y158="",$Z158=""),"",IF(EXACT(UPPER($J158),UPPER($Y158)),1,0))</f>
        <v/>
      </c>
      <c r="BL158" s="152" t="inlineStr">
        <is>
          <t>assumed - no rater record</t>
        </is>
      </c>
      <c r="BM158" s="152" t="n">
        <v>1</v>
      </c>
      <c r="BN158" s="152" t="inlineStr">
        <is>
          <t>not publisher-identified</t>
        </is>
      </c>
      <c r="BO158" s="152" t="inlineStr">
        <is>
          <t>not publisher-identified</t>
        </is>
      </c>
      <c r="BP158" s="152" t="inlineStr">
        <is>
          <t>no</t>
        </is>
      </c>
      <c r="BQ158" s="152" t="inlineStr">
        <is>
          <t>no</t>
        </is>
      </c>
      <c r="BR158" s="152" t="n"/>
      <c r="BS158" s="152" t="inlineStr">
        <is>
          <t>YES</t>
        </is>
      </c>
      <c r="BT158" s="152" t="n"/>
    </row>
    <row r="159" ht="15" customHeight="1" s="241">
      <c r="A159" s="174" t="inlineStr">
        <is>
          <t>Marriott</t>
        </is>
      </c>
      <c r="B159" s="175">
        <f>IF(A159="","",_xlfn.XLOOKUP(A159, Company_List!$A:$A, Company_List!$B:$B, ""))</f>
        <v/>
      </c>
      <c r="C159" s="176" t="n">
        <v>2025</v>
      </c>
      <c r="D159" s="177" t="inlineStr">
        <is>
          <t>Q4</t>
        </is>
      </c>
      <c r="E159" s="178" t="inlineStr">
        <is>
          <t>Transcript</t>
        </is>
      </c>
      <c r="F159" s="178" t="inlineStr">
        <is>
          <t>All</t>
        </is>
      </c>
      <c r="G159" s="177" t="inlineStr">
        <is>
          <t>Anna</t>
        </is>
      </c>
      <c r="H159" s="177" t="inlineStr">
        <is>
          <t>Human</t>
        </is>
      </c>
      <c r="I159" s="179" t="n">
        <v>-0.4</v>
      </c>
      <c r="J159" s="180">
        <f>IF(OR(I159="",Settings!$B$6=""),"",IF(I159&gt;Settings!$B$6,"BUY",IF(I159&lt;-Settings!$B$6,"SELL","HOLD")))</f>
        <v/>
      </c>
      <c r="K159" s="181" t="n">
        <v>27</v>
      </c>
      <c r="L159" s="182" t="n">
        <v>46063</v>
      </c>
      <c r="M159" s="182" t="n">
        <v>46062</v>
      </c>
      <c r="N159" s="179" t="n">
        <v>331.21</v>
      </c>
      <c r="O159" s="182" t="n">
        <v>46063</v>
      </c>
      <c r="P159" s="183" t="n">
        <v>349.91</v>
      </c>
      <c r="Q159" s="184">
        <f>IF(OR(N159="",P159=""),"",ROUND((P159-N159)/N159,4))</f>
        <v/>
      </c>
      <c r="R159" s="177">
        <f>IF(OR(N159="",P159=""),"",IF(Q159&gt;Settings!$B$3/100,"UP",IF(Q159&lt;-Settings!$B$3/100,"DOWN","FLAT")))</f>
        <v/>
      </c>
      <c r="S159" s="177">
        <f>IF(OR(N159="",P159="",J159=""),"",IF(OR(AND(J159="BUY",R159="UP"),AND(J159="SELL",R159="DOWN"),AND(J159="HOLD",R159="FLAT")),"YES","NO"))</f>
        <v/>
      </c>
      <c r="T159" s="176">
        <f>IF(J159="","",IF(J159="BUY",1,IF(J159="SELL",-1,0)))</f>
        <v/>
      </c>
      <c r="U159" s="184">
        <f>IFERROR(IF(OR(J159="",N159="",P159=""),"",IF(T159=0,0,T159*Q159-Settings!$B$4/10000-IF(T159&lt;0,Settings!$B$5/10000,0))),"")</f>
        <v/>
      </c>
      <c r="V159" s="185" t="n"/>
      <c r="W159" s="176">
        <f>IF($K159="","",$K159*60)</f>
        <v/>
      </c>
      <c r="X159" s="186">
        <f>IF($A159="","",$A159&amp;"|"&amp;$C159&amp;"|"&amp;$D159)</f>
        <v/>
      </c>
      <c r="Y159" s="186">
        <f>IFERROR(IF($X159="","",INDEX(LLM_Data_Entry!$H$3:$H$548,MATCH($X159,INDEX(LLM_Data_Entry!$A$3:$A$548&amp;"|"&amp;LLM_Data_Entry!$C$3:$C$548&amp;"|"&amp;LLM_Data_Entry!$D$3:$D$548,0),0))),"")</f>
        <v/>
      </c>
      <c r="Z159" s="186">
        <f>IFERROR(IF($X159="","",INDEX(LLM_Data_Entry!$R$3:$R$548,MATCH($X159,INDEX(LLM_Data_Entry!$A$3:$A$548&amp;"|"&amp;LLM_Data_Entry!$C$3:$C$548&amp;"|"&amp;LLM_Data_Entry!$D$3:$D$548,0),0))),"")</f>
        <v/>
      </c>
      <c r="AA159" s="152" t="n"/>
      <c r="AB159" s="152" t="inlineStr">
        <is>
          <t>recorded price identified against every pulled series</t>
        </is>
      </c>
      <c r="AC159" s="152" t="inlineStr">
        <is>
          <t>MAR</t>
        </is>
      </c>
      <c r="AD159" s="152" t="inlineStr">
        <is>
          <t>2026-02-09</t>
        </is>
      </c>
      <c r="AE159" s="152" t="n">
        <v>329.9201</v>
      </c>
      <c r="AF159" s="152" t="inlineStr">
        <is>
          <t>2026-02-10</t>
        </is>
      </c>
      <c r="AG159" s="152" t="n">
        <v>348.5473</v>
      </c>
      <c r="AH159" s="152" t="n">
        <v>0.0564597004331539</v>
      </c>
      <c r="AI159" s="152" t="inlineStr">
        <is>
          <t>UP</t>
        </is>
      </c>
      <c r="AJ159" s="152" t="inlineStr">
        <is>
          <t>NO</t>
        </is>
      </c>
      <c r="AK159" s="152" t="n">
        <v>-0.05746</v>
      </c>
      <c r="AL159" s="152">
        <f>IF($A159="","",IFERROR(INDEX(Company_List!$G$3:$G$207,MATCH($A159,Company_List!$A$3:$A$207,0)),"unassigned"))</f>
        <v/>
      </c>
      <c r="AM159" s="152" t="inlineStr">
        <is>
          <t>Phase 2/Marriott/2025-Q4/MAR-2025-Q4-earnings-call-transcript-fool-com.html</t>
        </is>
      </c>
      <c r="AN159" s="152" t="inlineStr">
        <is>
          <t>https://www.fool.com/earnings/call-transcripts/2026/02/10/marriott-mar-q4-2025-earnings-call-transcript/</t>
        </is>
      </c>
      <c r="AO159" s="152" t="inlineStr">
        <is>
          <t>manifest</t>
        </is>
      </c>
      <c r="AP159" s="152">
        <f>IF($A159="","",IF(COUNTIFS(LLM_Data_Entry!$A$3:$A$548,$A159)&gt;0,"YES","NO"))</f>
        <v/>
      </c>
      <c r="AQ159" s="152">
        <f>IF($A159="","",IF(COUNTIFS($A$3:$A159,$A159,$C$3:$C159,$C159,$D$3:$D159,$D159)=1,"YES","NO"))</f>
        <v/>
      </c>
      <c r="AR159" s="152">
        <f>IF($A159="","",IF(AND($C159&amp;"-"&amp;$D159&gt;=Settings!$B$19,$C159&amp;"-"&amp;$D159&lt;=Settings!$B$20),"IN","OUT"))</f>
        <v/>
      </c>
      <c r="AS159" s="152">
        <f>IF($A159="","",IF($F159="Financial Results","financials",IF($F159="Outlook/Guidance","guidance",IF($F159="Transcript Q&amp;A","qanda",IF($F159="","unrecorded",IF($E159="All","full",IF($E159="","unrecorded",LOWER($E159)&amp;" only")))))))</f>
        <v/>
      </c>
      <c r="AT159" s="152">
        <f>IF(AND(OR($J159="BUY",$J159="SELL"),ISNUMBER($U159)),$U159,"")</f>
        <v/>
      </c>
      <c r="AU159" s="152">
        <f>IF(AND(OR($J159="BUY",$J159="SELL"),ISNUMBER($AK159)),$AK159,"")</f>
        <v/>
      </c>
      <c r="AV159" s="152">
        <f>IF(ISNUMBER($AT159),ABS(IF(ISNUMBER($I159),$I159,0)-Settings!$B$24),"")</f>
        <v/>
      </c>
      <c r="AW159" s="152">
        <f>IF(ISNUMBER($AV159),$AV159*$AT159,"")</f>
        <v/>
      </c>
      <c r="AX159" s="152">
        <f>IF(ISNUMBER($AU159),ABS(IF(ISNUMBER($I159),$I159,0)-Settings!$B$24),"")</f>
        <v/>
      </c>
      <c r="AY159" s="152" t="inlineStr">
        <is>
          <t>FROZEN</t>
        </is>
      </c>
      <c r="AZ159" s="152">
        <f>IF($A159="","",IFERROR(INDEX(Company_List!$H$3:$H$207,MATCH($A159,Company_List!$A$3:$A$207,0)),"unassigned"))</f>
        <v/>
      </c>
      <c r="BA159" s="152" t="n"/>
      <c r="BB159" s="152" t="n"/>
      <c r="BC159" s="152">
        <f>IF($A159="","",IF(COUNTIFS($A$3:$A159,$A159,$C$3:$C159,$C159,$D$3:$D159,$D159,$G$3:$G159,$G159)=1,1,0))</f>
        <v/>
      </c>
      <c r="BD159" s="152" t="n"/>
      <c r="BE159" s="152" t="n"/>
      <c r="BF159" s="152" t="n"/>
      <c r="BG159" s="152" t="inlineStr">
        <is>
          <t>no</t>
        </is>
      </c>
      <c r="BH159" s="152" t="n"/>
      <c r="BI159" s="152" t="n"/>
      <c r="BJ159" s="152" t="n"/>
      <c r="BK159" s="152">
        <f>IF(OR($H159&lt;&gt;"Human",$S159="",$J159="",$Y159="",$Z159=""),"",IF(EXACT(UPPER($J159),UPPER($Y159)),1,0))</f>
        <v/>
      </c>
      <c r="BL159" s="152" t="inlineStr">
        <is>
          <t>assumed - no rater record</t>
        </is>
      </c>
      <c r="BM159" s="152" t="n">
        <v>1</v>
      </c>
      <c r="BN159" s="152" t="inlineStr">
        <is>
          <t>The Motley Fool</t>
        </is>
      </c>
      <c r="BO159" s="152" t="inlineStr">
        <is>
          <t>free to read, copyright asserted</t>
        </is>
      </c>
      <c r="BP159" s="152" t="inlineStr">
        <is>
          <t>no</t>
        </is>
      </c>
      <c r="BQ159" s="152" t="inlineStr">
        <is>
          <t>yes</t>
        </is>
      </c>
      <c r="BR159" s="152" t="n"/>
      <c r="BS159" s="152" t="inlineStr">
        <is>
          <t>YES</t>
        </is>
      </c>
      <c r="BT159" s="152" t="n"/>
    </row>
    <row r="160" ht="15" customHeight="1" s="241">
      <c r="A160" s="174" t="inlineStr">
        <is>
          <t>Marriott</t>
        </is>
      </c>
      <c r="B160" s="175">
        <f>IF(A160="","",_xlfn.XLOOKUP(A160, Company_List!$A:$A, Company_List!$B:$B, ""))</f>
        <v/>
      </c>
      <c r="C160" s="176" t="n">
        <v>2026</v>
      </c>
      <c r="D160" s="177" t="inlineStr">
        <is>
          <t>Q1</t>
        </is>
      </c>
      <c r="E160" s="178" t="inlineStr">
        <is>
          <t>Transcript</t>
        </is>
      </c>
      <c r="F160" s="178" t="inlineStr">
        <is>
          <t>All</t>
        </is>
      </c>
      <c r="G160" s="177" t="inlineStr">
        <is>
          <t>Anna</t>
        </is>
      </c>
      <c r="H160" s="177" t="inlineStr">
        <is>
          <t>Human</t>
        </is>
      </c>
      <c r="I160" s="179" t="n">
        <v>0.2</v>
      </c>
      <c r="J160" s="180">
        <f>IF(OR(I160="",Settings!$B$6=""),"",IF(I160&gt;Settings!$B$6,"BUY",IF(I160&lt;-Settings!$B$6,"SELL","HOLD")))</f>
        <v/>
      </c>
      <c r="K160" s="181" t="n">
        <v>29</v>
      </c>
      <c r="L160" s="182" t="n">
        <v>46148</v>
      </c>
      <c r="M160" s="182" t="n">
        <v>46147</v>
      </c>
      <c r="N160" s="179" t="n">
        <v>354.52</v>
      </c>
      <c r="O160" s="182" t="n">
        <v>46148</v>
      </c>
      <c r="P160" s="183" t="n">
        <v>363.87</v>
      </c>
      <c r="Q160" s="184">
        <f>IF(OR(N160="",P160=""),"",ROUND((P160-N160)/N160,4))</f>
        <v/>
      </c>
      <c r="R160" s="177">
        <f>IF(OR(N160="",P160=""),"",IF(Q160&gt;Settings!$B$3/100,"UP",IF(Q160&lt;-Settings!$B$3/100,"DOWN","FLAT")))</f>
        <v/>
      </c>
      <c r="S160" s="177">
        <f>IF(OR(N160="",P160="",J160=""),"",IF(OR(AND(J160="BUY",R160="UP"),AND(J160="SELL",R160="DOWN"),AND(J160="HOLD",R160="FLAT")),"YES","NO"))</f>
        <v/>
      </c>
      <c r="T160" s="176">
        <f>IF(J160="","",IF(J160="BUY",1,IF(J160="SELL",-1,0)))</f>
        <v/>
      </c>
      <c r="U160" s="184">
        <f>IFERROR(IF(OR(J160="",N160="",P160=""),"",IF(T160=0,0,T160*Q160-Settings!$B$4/10000-IF(T160&lt;0,Settings!$B$5/10000,0))),"")</f>
        <v/>
      </c>
      <c r="V160" s="185" t="n"/>
      <c r="W160" s="176">
        <f>IF($K160="","",$K160*60)</f>
        <v/>
      </c>
      <c r="X160" s="186">
        <f>IF($A160="","",$A160&amp;"|"&amp;$C160&amp;"|"&amp;$D160)</f>
        <v/>
      </c>
      <c r="Y160" s="186">
        <f>IFERROR(IF($X160="","",INDEX(LLM_Data_Entry!$H$3:$H$548,MATCH($X160,INDEX(LLM_Data_Entry!$A$3:$A$548&amp;"|"&amp;LLM_Data_Entry!$C$3:$C$548&amp;"|"&amp;LLM_Data_Entry!$D$3:$D$548,0),0))),"")</f>
        <v/>
      </c>
      <c r="Z160" s="186">
        <f>IFERROR(IF($X160="","",INDEX(LLM_Data_Entry!$R$3:$R$548,MATCH($X160,INDEX(LLM_Data_Entry!$A$3:$A$548&amp;"|"&amp;LLM_Data_Entry!$C$3:$C$548&amp;"|"&amp;LLM_Data_Entry!$D$3:$D$548,0),0))),"")</f>
        <v/>
      </c>
      <c r="AA160" s="152" t="n"/>
      <c r="AB160" s="152" t="inlineStr">
        <is>
          <t>document date + price signal</t>
        </is>
      </c>
      <c r="AC160" s="152" t="inlineStr">
        <is>
          <t>MAR</t>
        </is>
      </c>
      <c r="AD160" s="152" t="inlineStr">
        <is>
          <t>2026-05-05</t>
        </is>
      </c>
      <c r="AE160" s="152" t="n">
        <v>353.8216</v>
      </c>
      <c r="AF160" s="152" t="inlineStr">
        <is>
          <t>2026-05-06</t>
        </is>
      </c>
      <c r="AG160" s="152" t="n">
        <v>363.1532</v>
      </c>
      <c r="AH160" s="152" t="n">
        <v>0.02637371097224022</v>
      </c>
      <c r="AI160" s="152" t="inlineStr">
        <is>
          <t>UP</t>
        </is>
      </c>
      <c r="AJ160" s="152" t="inlineStr">
        <is>
          <t>NO</t>
        </is>
      </c>
      <c r="AK160" s="152" t="n">
        <v>0</v>
      </c>
      <c r="AL160" s="152">
        <f>IF($A160="","",IFERROR(INDEX(Company_List!$G$3:$G$207,MATCH($A160,Company_List!$A$3:$A$207,0)),"unassigned"))</f>
        <v/>
      </c>
      <c r="AM160" s="152" t="inlineStr">
        <is>
          <t>Phase 2/Marriott/Marriott Q1 Earnings Transcript 5-6-26 FINAL.pdf</t>
        </is>
      </c>
      <c r="AN160" s="152" t="n"/>
      <c r="AO160" s="152" t="inlineStr">
        <is>
          <t>unique filename match</t>
        </is>
      </c>
      <c r="AP160" s="152">
        <f>IF($A160="","",IF(COUNTIFS(LLM_Data_Entry!$A$3:$A$548,$A160)&gt;0,"YES","NO"))</f>
        <v/>
      </c>
      <c r="AQ160" s="152">
        <f>IF($A160="","",IF(COUNTIFS($A$3:$A160,$A160,$C$3:$C160,$C160,$D$3:$D160,$D160)=1,"YES","NO"))</f>
        <v/>
      </c>
      <c r="AR160" s="152">
        <f>IF($A160="","",IF(AND($C160&amp;"-"&amp;$D160&gt;=Settings!$B$19,$C160&amp;"-"&amp;$D160&lt;=Settings!$B$20),"IN","OUT"))</f>
        <v/>
      </c>
      <c r="AS160" s="152">
        <f>IF($A160="","",IF($F160="Financial Results","financials",IF($F160="Outlook/Guidance","guidance",IF($F160="Transcript Q&amp;A","qanda",IF($F160="","unrecorded",IF($E160="All","full",IF($E160="","unrecorded",LOWER($E160)&amp;" only")))))))</f>
        <v/>
      </c>
      <c r="AT160" s="152">
        <f>IF(AND(OR($J160="BUY",$J160="SELL"),ISNUMBER($U160)),$U160,"")</f>
        <v/>
      </c>
      <c r="AU160" s="152">
        <f>IF(AND(OR($J160="BUY",$J160="SELL"),ISNUMBER($AK160)),$AK160,"")</f>
        <v/>
      </c>
      <c r="AV160" s="152">
        <f>IF(ISNUMBER($AT160),ABS(IF(ISNUMBER($I160),$I160,0)-Settings!$B$24),"")</f>
        <v/>
      </c>
      <c r="AW160" s="152">
        <f>IF(ISNUMBER($AV160),$AV160*$AT160,"")</f>
        <v/>
      </c>
      <c r="AX160" s="152">
        <f>IF(ISNUMBER($AU160),ABS(IF(ISNUMBER($I160),$I160,0)-Settings!$B$24),"")</f>
        <v/>
      </c>
      <c r="AY160" s="152" t="inlineStr">
        <is>
          <t>FROZEN</t>
        </is>
      </c>
      <c r="AZ160" s="152">
        <f>IF($A160="","",IFERROR(INDEX(Company_List!$H$3:$H$207,MATCH($A160,Company_List!$A$3:$A$207,0)),"unassigned"))</f>
        <v/>
      </c>
      <c r="BA160" s="152" t="n"/>
      <c r="BB160" s="152" t="n"/>
      <c r="BC160" s="152">
        <f>IF($A160="","",IF(COUNTIFS($A$3:$A160,$A160,$C$3:$C160,$C160,$D$3:$D160,$D160,$G$3:$G160,$G160)=1,1,0))</f>
        <v/>
      </c>
      <c r="BD160" s="152" t="n"/>
      <c r="BE160" s="152" t="n"/>
      <c r="BF160" s="152" t="n"/>
      <c r="BG160" s="152" t="inlineStr">
        <is>
          <t>no</t>
        </is>
      </c>
      <c r="BH160" s="152" t="n"/>
      <c r="BI160" s="152" t="n"/>
      <c r="BJ160" s="152" t="n"/>
      <c r="BK160" s="152">
        <f>IF(OR($H160&lt;&gt;"Human",$S160="",$J160="",$Y160="",$Z160=""),"",IF(EXACT(UPPER($J160),UPPER($Y160)),1,0))</f>
        <v/>
      </c>
      <c r="BL160" s="152" t="inlineStr">
        <is>
          <t>assumed - no rater record</t>
        </is>
      </c>
      <c r="BM160" s="152" t="n">
        <v>1</v>
      </c>
      <c r="BN160" s="152" t="inlineStr">
        <is>
          <t>not publisher-identified</t>
        </is>
      </c>
      <c r="BO160" s="152" t="inlineStr">
        <is>
          <t>not publisher-identified</t>
        </is>
      </c>
      <c r="BP160" s="152" t="inlineStr">
        <is>
          <t>no</t>
        </is>
      </c>
      <c r="BQ160" s="152" t="inlineStr">
        <is>
          <t>no</t>
        </is>
      </c>
      <c r="BR160" s="152" t="n"/>
      <c r="BS160" s="152" t="inlineStr">
        <is>
          <t>YES</t>
        </is>
      </c>
      <c r="BT160" s="152" t="n"/>
    </row>
    <row r="161" ht="15" customHeight="1" s="241">
      <c r="A161" s="187" t="inlineStr">
        <is>
          <t>Target</t>
        </is>
      </c>
      <c r="B161" s="175">
        <f>IF(A161="","",_xlfn.XLOOKUP(A161, Company_List!$A:$A, Company_List!$B:$B, ""))</f>
        <v/>
      </c>
      <c r="C161" s="176" t="n">
        <v>2025</v>
      </c>
      <c r="D161" s="177" t="inlineStr">
        <is>
          <t>Q1</t>
        </is>
      </c>
      <c r="E161" s="178" t="inlineStr">
        <is>
          <t>Transcript</t>
        </is>
      </c>
      <c r="F161" s="178" t="inlineStr">
        <is>
          <t>Financial Results</t>
        </is>
      </c>
      <c r="G161" s="177" t="inlineStr">
        <is>
          <t>Abdul</t>
        </is>
      </c>
      <c r="H161" s="177" t="inlineStr">
        <is>
          <t>Human</t>
        </is>
      </c>
      <c r="I161" s="179" t="n">
        <v>-0.7</v>
      </c>
      <c r="J161" s="180">
        <f>IF(OR(I161="",Settings!$B$6=""),"",IF(I161&gt;Settings!$B$6,"BUY",IF(I161&lt;-Settings!$B$6,"SELL","HOLD")))</f>
        <v/>
      </c>
      <c r="K161" s="181" t="n">
        <v>15</v>
      </c>
      <c r="L161" s="182" t="n">
        <v>45798</v>
      </c>
      <c r="M161" s="182" t="n">
        <v>45797</v>
      </c>
      <c r="N161" s="179" t="n">
        <v>98.12</v>
      </c>
      <c r="O161" s="182" t="n">
        <v>45798</v>
      </c>
      <c r="P161" s="183" t="n">
        <v>91.5</v>
      </c>
      <c r="Q161" s="184">
        <f>IF(OR(N161="",P161=""),"",ROUND((P161-N161)/N161,4))</f>
        <v/>
      </c>
      <c r="R161" s="177">
        <f>IF(OR(N161="",P161=""),"",IF(Q161&gt;Settings!$B$3/100,"UP",IF(Q161&lt;-Settings!$B$3/100,"DOWN","FLAT")))</f>
        <v/>
      </c>
      <c r="S161" s="177">
        <f>IF(OR(N161="",P161="",J161=""),"",IF(OR(AND(J161="BUY",R161="UP"),AND(J161="SELL",R161="DOWN"),AND(J161="HOLD",R161="FLAT")),"YES","NO"))</f>
        <v/>
      </c>
      <c r="T161" s="176">
        <f>IF(J161="","",IF(J161="BUY",1,IF(J161="SELL",-1,0)))</f>
        <v/>
      </c>
      <c r="U161" s="184">
        <f>IFERROR(IF(OR(J161="",N161="",P161=""),"",IF(T161=0,0,T161*Q161-Settings!$B$4/10000-IF(T161&lt;0,Settings!$B$5/10000,0))),"")</f>
        <v/>
      </c>
      <c r="V161" s="185" t="n"/>
      <c r="W161" s="176">
        <f>IF($K161="","",$K161*60)</f>
        <v/>
      </c>
      <c r="X161" s="186">
        <f>IF($A161="","",$A161&amp;"|"&amp;$C161&amp;"|"&amp;$D161)</f>
        <v/>
      </c>
      <c r="Y161" s="186">
        <f>IFERROR(IF($X161="","",INDEX(LLM_Data_Entry!$H$3:$H$548,MATCH($X161,INDEX(LLM_Data_Entry!$A$3:$A$548&amp;"|"&amp;LLM_Data_Entry!$C$3:$C$548&amp;"|"&amp;LLM_Data_Entry!$D$3:$D$548,0),0))),"")</f>
        <v/>
      </c>
      <c r="Z161" s="186">
        <f>IFERROR(IF($X161="","",INDEX(LLM_Data_Entry!$R$3:$R$548,MATCH($X161,INDEX(LLM_Data_Entry!$A$3:$A$548&amp;"|"&amp;LLM_Data_Entry!$C$3:$C$548&amp;"|"&amp;LLM_Data_Entry!$D$3:$D$548,0),0))),"")</f>
        <v/>
      </c>
      <c r="AA161" s="152" t="n"/>
      <c r="AB161" s="152" t="inlineStr">
        <is>
          <t>release date + stated time</t>
        </is>
      </c>
      <c r="AC161" s="152" t="inlineStr">
        <is>
          <t>TGT</t>
        </is>
      </c>
      <c r="AD161" s="152" t="inlineStr">
        <is>
          <t>2025-05-20</t>
        </is>
      </c>
      <c r="AE161" s="152" t="n">
        <v>94.0057</v>
      </c>
      <c r="AF161" s="152" t="inlineStr">
        <is>
          <t>2025-05-21</t>
        </is>
      </c>
      <c r="AG161" s="152" t="n">
        <v>87.66330000000001</v>
      </c>
      <c r="AH161" s="152" t="n">
        <v>-0.06746838049408189</v>
      </c>
      <c r="AI161" s="152" t="inlineStr">
        <is>
          <t>DOWN</t>
        </is>
      </c>
      <c r="AJ161" s="152" t="inlineStr">
        <is>
          <t>YES</t>
        </is>
      </c>
      <c r="AK161" s="152" t="n">
        <v>0.066468</v>
      </c>
      <c r="AL161" s="152">
        <f>IF($A161="","",IFERROR(INDEX(Company_List!$G$3:$G$207,MATCH($A161,Company_List!$A$3:$A$207,0)),"unassigned"))</f>
        <v/>
      </c>
      <c r="AM161" s="152" t="inlineStr">
        <is>
          <t>Phase 2/Target/2025-Q1/TGT-2025-Q1-earnings-call-transcript-corporate-target-com.pdf</t>
        </is>
      </c>
      <c r="AN161" s="152" t="inlineStr">
        <is>
          <t>https://corporate.target.com/getmedia/9c383747-166d-4310-b91f-cd77b7d06433/2025-May-21-TGT-Transcript.pdf%C2%A0%C2%A0</t>
        </is>
      </c>
      <c r="AO161" s="152" t="inlineStr">
        <is>
          <t>manifest</t>
        </is>
      </c>
      <c r="AP161" s="152">
        <f>IF($A161="","",IF(COUNTIFS(LLM_Data_Entry!$A$3:$A$548,$A161)&gt;0,"YES","NO"))</f>
        <v/>
      </c>
      <c r="AQ161" s="152">
        <f>IF($A161="","",IF(COUNTIFS($A$3:$A161,$A161,$C$3:$C161,$C161,$D$3:$D161,$D161)=1,"YES","NO"))</f>
        <v/>
      </c>
      <c r="AR161" s="152">
        <f>IF($A161="","",IF(AND($C161&amp;"-"&amp;$D161&gt;=Settings!$B$19,$C161&amp;"-"&amp;$D161&lt;=Settings!$B$20),"IN","OUT"))</f>
        <v/>
      </c>
      <c r="AS161" s="152">
        <f>IF($A161="","",IF($F161="Financial Results","financials",IF($F161="Outlook/Guidance","guidance",IF($F161="Transcript Q&amp;A","qanda",IF($F161="","unrecorded",IF($E161="All","full",IF($E161="","unrecorded",LOWER($E161)&amp;" only")))))))</f>
        <v/>
      </c>
      <c r="AT161" s="152">
        <f>IF(AND(OR($J161="BUY",$J161="SELL"),ISNUMBER($U161)),$U161,"")</f>
        <v/>
      </c>
      <c r="AU161" s="152">
        <f>IF(AND(OR($J161="BUY",$J161="SELL"),ISNUMBER($AK161)),$AK161,"")</f>
        <v/>
      </c>
      <c r="AV161" s="152">
        <f>IF(ISNUMBER($AT161),ABS(IF(ISNUMBER($I161),$I161,0)-Settings!$B$24),"")</f>
        <v/>
      </c>
      <c r="AW161" s="152">
        <f>IF(ISNUMBER($AV161),$AV161*$AT161,"")</f>
        <v/>
      </c>
      <c r="AX161" s="152">
        <f>IF(ISNUMBER($AU161),ABS(IF(ISNUMBER($I161),$I161,0)-Settings!$B$24),"")</f>
        <v/>
      </c>
      <c r="AY161" s="152" t="inlineStr">
        <is>
          <t>FROZEN</t>
        </is>
      </c>
      <c r="AZ161" s="152">
        <f>IF($A161="","",IFERROR(INDEX(Company_List!$H$3:$H$207,MATCH($A161,Company_List!$A$3:$A$207,0)),"unassigned"))</f>
        <v/>
      </c>
      <c r="BA161" s="152" t="n"/>
      <c r="BB161" s="152" t="n"/>
      <c r="BC161" s="152">
        <f>IF($A161="","",IF(COUNTIFS($A$3:$A161,$A161,$C$3:$C161,$C161,$D$3:$D161,$D161,$G$3:$G161,$G161)=1,1,0))</f>
        <v/>
      </c>
      <c r="BD161" s="152" t="n"/>
      <c r="BE161" s="152" t="n"/>
      <c r="BF161" s="152" t="n"/>
      <c r="BG161" s="152" t="inlineStr">
        <is>
          <t>no</t>
        </is>
      </c>
      <c r="BH161" s="152" t="n"/>
      <c r="BI161" s="152" t="n"/>
      <c r="BJ161" s="152" t="n"/>
      <c r="BK161" s="152">
        <f>IF(OR($H161&lt;&gt;"Human",$S161="",$J161="",$Y161="",$Z161=""),"",IF(EXACT(UPPER($J161),UPPER($Y161)),1,0))</f>
        <v/>
      </c>
      <c r="BL161" s="152" t="inlineStr">
        <is>
          <t>assumed - no rater record</t>
        </is>
      </c>
      <c r="BM161" s="152" t="n">
        <v>1</v>
      </c>
      <c r="BN161" s="152" t="inlineStr">
        <is>
          <t>Refinitiv / LSEG StreetEvents</t>
        </is>
      </c>
      <c r="BO161" s="152" t="inlineStr">
        <is>
          <t>licensed vendor</t>
        </is>
      </c>
      <c r="BP161" s="152" t="inlineStr">
        <is>
          <t>no</t>
        </is>
      </c>
      <c r="BQ161" s="152" t="inlineStr">
        <is>
          <t>yes</t>
        </is>
      </c>
      <c r="BR161" s="152" t="n"/>
      <c r="BS161" s="152" t="inlineStr">
        <is>
          <t>YES</t>
        </is>
      </c>
      <c r="BT161" s="152" t="n"/>
    </row>
    <row r="162" ht="15" customHeight="1" s="241">
      <c r="A162" s="187" t="inlineStr">
        <is>
          <t>Target</t>
        </is>
      </c>
      <c r="B162" s="175">
        <f>IF(A162="","",_xlfn.XLOOKUP(A162, Company_List!$A:$A, Company_List!$B:$B, ""))</f>
        <v/>
      </c>
      <c r="C162" s="176" t="n">
        <v>2025</v>
      </c>
      <c r="D162" s="177" t="inlineStr">
        <is>
          <t>Q2</t>
        </is>
      </c>
      <c r="E162" s="178" t="inlineStr">
        <is>
          <t>Transcript</t>
        </is>
      </c>
      <c r="F162" s="178" t="inlineStr">
        <is>
          <t>Financial Results</t>
        </is>
      </c>
      <c r="G162" s="177" t="inlineStr">
        <is>
          <t>Abdul</t>
        </is>
      </c>
      <c r="H162" s="177" t="inlineStr">
        <is>
          <t>Human</t>
        </is>
      </c>
      <c r="I162" s="179" t="n">
        <v>-0.3</v>
      </c>
      <c r="J162" s="180">
        <f>IF(OR(I162="",Settings!$B$6=""),"",IF(I162&gt;Settings!$B$6,"BUY",IF(I162&lt;-Settings!$B$6,"SELL","HOLD")))</f>
        <v/>
      </c>
      <c r="K162" s="180" t="n">
        <v>17</v>
      </c>
      <c r="L162" s="182" t="n">
        <v>45889</v>
      </c>
      <c r="M162" s="182" t="n">
        <v>45888</v>
      </c>
      <c r="N162" s="179" t="n">
        <v>105.36</v>
      </c>
      <c r="O162" s="182" t="n">
        <v>45889</v>
      </c>
      <c r="P162" s="180" t="n">
        <v>94.41</v>
      </c>
      <c r="Q162" s="184">
        <f>IF(OR(N162="",P162=""),"",ROUND((P162-N162)/N162,4))</f>
        <v/>
      </c>
      <c r="R162" s="177">
        <f>IF(OR(N162="",P162=""),"",IF(Q162&gt;Settings!$B$3/100,"UP",IF(Q162&lt;-Settings!$B$3/100,"DOWN","FLAT")))</f>
        <v/>
      </c>
      <c r="S162" s="177">
        <f>IF(OR(N162="",P162="",J162=""),"",IF(OR(AND(J162="BUY",R162="UP"),AND(J162="SELL",R162="DOWN"),AND(J162="HOLD",R162="FLAT")),"YES","NO"))</f>
        <v/>
      </c>
      <c r="T162" s="176">
        <f>IF(J162="","",IF(J162="BUY",1,IF(J162="SELL",-1,0)))</f>
        <v/>
      </c>
      <c r="U162" s="184">
        <f>IFERROR(IF(OR(J162="",N162="",P162=""),"",IF(T162=0,0,T162*Q162-Settings!$B$4/10000-IF(T162&lt;0,Settings!$B$5/10000,0))),"")</f>
        <v/>
      </c>
      <c r="V162" s="152" t="n"/>
      <c r="W162" s="176">
        <f>IF($K162="","",$K162*60)</f>
        <v/>
      </c>
      <c r="X162" s="186">
        <f>IF($A162="","",$A162&amp;"|"&amp;$C162&amp;"|"&amp;$D162)</f>
        <v/>
      </c>
      <c r="Y162" s="186">
        <f>IFERROR(IF($X162="","",INDEX(LLM_Data_Entry!$H$3:$H$548,MATCH($X162,INDEX(LLM_Data_Entry!$A$3:$A$548&amp;"|"&amp;LLM_Data_Entry!$C$3:$C$548&amp;"|"&amp;LLM_Data_Entry!$D$3:$D$548,0),0))),"")</f>
        <v/>
      </c>
      <c r="Z162" s="186">
        <f>IFERROR(IF($X162="","",INDEX(LLM_Data_Entry!$R$3:$R$548,MATCH($X162,INDEX(LLM_Data_Entry!$A$3:$A$548&amp;"|"&amp;LLM_Data_Entry!$C$3:$C$548&amp;"|"&amp;LLM_Data_Entry!$D$3:$D$548,0),0))),"")</f>
        <v/>
      </c>
      <c r="AA162" s="152" t="n"/>
      <c r="AB162" s="152" t="inlineStr">
        <is>
          <t>release date + stated time</t>
        </is>
      </c>
      <c r="AC162" s="152" t="inlineStr">
        <is>
          <t>TGT</t>
        </is>
      </c>
      <c r="AD162" s="152" t="inlineStr">
        <is>
          <t>2025-08-19</t>
        </is>
      </c>
      <c r="AE162" s="152" t="n">
        <v>102.0369</v>
      </c>
      <c r="AF162" s="152" t="inlineStr">
        <is>
          <t>2025-08-20</t>
        </is>
      </c>
      <c r="AG162" s="152" t="n">
        <v>91.43219999999999</v>
      </c>
      <c r="AH162" s="152" t="n">
        <v>-0.1039292512694035</v>
      </c>
      <c r="AI162" s="152" t="inlineStr">
        <is>
          <t>DOWN</t>
        </is>
      </c>
      <c r="AJ162" s="152" t="inlineStr">
        <is>
          <t>YES</t>
        </is>
      </c>
      <c r="AK162" s="152" t="n">
        <v>0.102929</v>
      </c>
      <c r="AL162" s="152">
        <f>IF($A162="","",IFERROR(INDEX(Company_List!$G$3:$G$207,MATCH($A162,Company_List!$A$3:$A$207,0)),"unassigned"))</f>
        <v/>
      </c>
      <c r="AM162" s="152" t="inlineStr">
        <is>
          <t>Phase 2/Target/2025-Q2/TGT-2025-Q2-earnings-call-transcript-corporate-target-com.pdf</t>
        </is>
      </c>
      <c r="AN162" s="152" t="inlineStr">
        <is>
          <t>https://corporate.target.com/getmedia/c5751599-850d-4bb0-b599-d8ac55a91156/2025-august-20-tgt-transcript.pdf</t>
        </is>
      </c>
      <c r="AO162" s="152" t="inlineStr">
        <is>
          <t>manifest</t>
        </is>
      </c>
      <c r="AP162" s="152">
        <f>IF($A162="","",IF(COUNTIFS(LLM_Data_Entry!$A$3:$A$548,$A162)&gt;0,"YES","NO"))</f>
        <v/>
      </c>
      <c r="AQ162" s="152">
        <f>IF($A162="","",IF(COUNTIFS($A$3:$A162,$A162,$C$3:$C162,$C162,$D$3:$D162,$D162)=1,"YES","NO"))</f>
        <v/>
      </c>
      <c r="AR162" s="152">
        <f>IF($A162="","",IF(AND($C162&amp;"-"&amp;$D162&gt;=Settings!$B$19,$C162&amp;"-"&amp;$D162&lt;=Settings!$B$20),"IN","OUT"))</f>
        <v/>
      </c>
      <c r="AS162" s="152">
        <f>IF($A162="","",IF($F162="Financial Results","financials",IF($F162="Outlook/Guidance","guidance",IF($F162="Transcript Q&amp;A","qanda",IF($F162="","unrecorded",IF($E162="All","full",IF($E162="","unrecorded",LOWER($E162)&amp;" only")))))))</f>
        <v/>
      </c>
      <c r="AT162" s="152">
        <f>IF(AND(OR($J162="BUY",$J162="SELL"),ISNUMBER($U162)),$U162,"")</f>
        <v/>
      </c>
      <c r="AU162" s="152">
        <f>IF(AND(OR($J162="BUY",$J162="SELL"),ISNUMBER($AK162)),$AK162,"")</f>
        <v/>
      </c>
      <c r="AV162" s="152">
        <f>IF(ISNUMBER($AT162),ABS(IF(ISNUMBER($I162),$I162,0)-Settings!$B$24),"")</f>
        <v/>
      </c>
      <c r="AW162" s="152">
        <f>IF(ISNUMBER($AV162),$AV162*$AT162,"")</f>
        <v/>
      </c>
      <c r="AX162" s="152">
        <f>IF(ISNUMBER($AU162),ABS(IF(ISNUMBER($I162),$I162,0)-Settings!$B$24),"")</f>
        <v/>
      </c>
      <c r="AY162" s="152" t="inlineStr">
        <is>
          <t>FROZEN</t>
        </is>
      </c>
      <c r="AZ162" s="152">
        <f>IF($A162="","",IFERROR(INDEX(Company_List!$H$3:$H$207,MATCH($A162,Company_List!$A$3:$A$207,0)),"unassigned"))</f>
        <v/>
      </c>
      <c r="BA162" s="152" t="n"/>
      <c r="BB162" s="152" t="n"/>
      <c r="BC162" s="152">
        <f>IF($A162="","",IF(COUNTIFS($A$3:$A162,$A162,$C$3:$C162,$C162,$D$3:$D162,$D162,$G$3:$G162,$G162)=1,1,0))</f>
        <v/>
      </c>
      <c r="BD162" s="152" t="n"/>
      <c r="BE162" s="152" t="n"/>
      <c r="BF162" s="152" t="n"/>
      <c r="BG162" s="152" t="inlineStr">
        <is>
          <t>no</t>
        </is>
      </c>
      <c r="BH162" s="152" t="n"/>
      <c r="BI162" s="152" t="n"/>
      <c r="BJ162" s="152" t="n"/>
      <c r="BK162" s="152">
        <f>IF(OR($H162&lt;&gt;"Human",$S162="",$J162="",$Y162="",$Z162=""),"",IF(EXACT(UPPER($J162),UPPER($Y162)),1,0))</f>
        <v/>
      </c>
      <c r="BL162" s="152" t="inlineStr">
        <is>
          <t>assumed - no rater record</t>
        </is>
      </c>
      <c r="BM162" s="152" t="n">
        <v>1</v>
      </c>
      <c r="BN162" s="152" t="inlineStr">
        <is>
          <t>Refinitiv / LSEG StreetEvents</t>
        </is>
      </c>
      <c r="BO162" s="152" t="inlineStr">
        <is>
          <t>licensed vendor</t>
        </is>
      </c>
      <c r="BP162" s="152" t="inlineStr">
        <is>
          <t>no</t>
        </is>
      </c>
      <c r="BQ162" s="152" t="inlineStr">
        <is>
          <t>yes</t>
        </is>
      </c>
      <c r="BR162" s="152" t="n"/>
      <c r="BS162" s="152" t="inlineStr">
        <is>
          <t>YES</t>
        </is>
      </c>
      <c r="BT162" s="152" t="n"/>
    </row>
    <row r="163" ht="15" customHeight="1" s="241">
      <c r="A163" s="187" t="inlineStr">
        <is>
          <t>Target</t>
        </is>
      </c>
      <c r="B163" s="175">
        <f>IF(A163="","",_xlfn.XLOOKUP(A163, Company_List!$A:$A, Company_List!$B:$B, ""))</f>
        <v/>
      </c>
      <c r="C163" s="176" t="n">
        <v>2025</v>
      </c>
      <c r="D163" s="177" t="inlineStr">
        <is>
          <t>Q3</t>
        </is>
      </c>
      <c r="E163" s="178" t="inlineStr">
        <is>
          <t>Transcript</t>
        </is>
      </c>
      <c r="F163" s="178" t="inlineStr">
        <is>
          <t>Financial Results</t>
        </is>
      </c>
      <c r="G163" s="177" t="inlineStr">
        <is>
          <t>Abdul</t>
        </is>
      </c>
      <c r="H163" s="177" t="inlineStr">
        <is>
          <t>Human</t>
        </is>
      </c>
      <c r="I163" s="180" t="n">
        <v>-0.6</v>
      </c>
      <c r="J163" s="180">
        <f>IF(OR(I163="",Settings!$B$6=""),"",IF(I163&gt;Settings!$B$6,"BUY",IF(I163&lt;-Settings!$B$6,"SELL","HOLD")))</f>
        <v/>
      </c>
      <c r="K163" s="180" t="n">
        <v>13</v>
      </c>
      <c r="L163" s="182" t="n">
        <v>45980</v>
      </c>
      <c r="M163" s="182" t="n">
        <v>45979</v>
      </c>
      <c r="N163" s="179" t="n">
        <v>88.53</v>
      </c>
      <c r="O163" s="182" t="n">
        <v>45980</v>
      </c>
      <c r="P163" s="180" t="n">
        <v>86.42</v>
      </c>
      <c r="Q163" s="184">
        <f>IF(OR(N163="",P163=""),"",ROUND((P163-N163)/N163,4))</f>
        <v/>
      </c>
      <c r="R163" s="177">
        <f>IF(OR(N163="",P163=""),"",IF(Q163&gt;Settings!$B$3/100,"UP",IF(Q163&lt;-Settings!$B$3/100,"DOWN","FLAT")))</f>
        <v/>
      </c>
      <c r="S163" s="177">
        <f>IF(OR(N163="",P163="",J163=""),"",IF(OR(AND(J163="BUY",R163="UP"),AND(J163="SELL",R163="DOWN"),AND(J163="HOLD",R163="FLAT")),"YES","NO"))</f>
        <v/>
      </c>
      <c r="T163" s="176">
        <f>IF(J163="","",IF(J163="BUY",1,IF(J163="SELL",-1,0)))</f>
        <v/>
      </c>
      <c r="U163" s="184">
        <f>IFERROR(IF(OR(J163="",N163="",P163=""),"",IF(T163=0,0,T163*Q163-Settings!$B$4/10000-IF(T163&lt;0,Settings!$B$5/10000,0))),"")</f>
        <v/>
      </c>
      <c r="V163" s="152" t="n"/>
      <c r="W163" s="176">
        <f>IF($K163="","",$K163*60)</f>
        <v/>
      </c>
      <c r="X163" s="186">
        <f>IF($A163="","",$A163&amp;"|"&amp;$C163&amp;"|"&amp;$D163)</f>
        <v/>
      </c>
      <c r="Y163" s="186">
        <f>IFERROR(IF($X163="","",INDEX(LLM_Data_Entry!$H$3:$H$548,MATCH($X163,INDEX(LLM_Data_Entry!$A$3:$A$548&amp;"|"&amp;LLM_Data_Entry!$C$3:$C$548&amp;"|"&amp;LLM_Data_Entry!$D$3:$D$548,0),0))),"")</f>
        <v/>
      </c>
      <c r="Z163" s="186">
        <f>IFERROR(IF($X163="","",INDEX(LLM_Data_Entry!$R$3:$R$548,MATCH($X163,INDEX(LLM_Data_Entry!$A$3:$A$548&amp;"|"&amp;LLM_Data_Entry!$C$3:$C$548&amp;"|"&amp;LLM_Data_Entry!$D$3:$D$548,0),0))),"")</f>
        <v/>
      </c>
      <c r="AA163" s="152" t="n"/>
      <c r="AB163" s="152" t="inlineStr">
        <is>
          <t>release date + stated time</t>
        </is>
      </c>
      <c r="AC163" s="152" t="inlineStr">
        <is>
          <t>TGT</t>
        </is>
      </c>
      <c r="AD163" s="152" t="inlineStr">
        <is>
          <t>2025-11-18</t>
        </is>
      </c>
      <c r="AE163" s="152" t="n">
        <v>86.8184</v>
      </c>
      <c r="AF163" s="152" t="inlineStr">
        <is>
          <t>2025-11-19</t>
        </is>
      </c>
      <c r="AG163" s="152" t="n">
        <v>84.7492</v>
      </c>
      <c r="AH163" s="152" t="n">
        <v>-0.02383377009660183</v>
      </c>
      <c r="AI163" s="152" t="inlineStr">
        <is>
          <t>DOWN</t>
        </is>
      </c>
      <c r="AJ163" s="152" t="inlineStr">
        <is>
          <t>YES</t>
        </is>
      </c>
      <c r="AK163" s="152" t="n">
        <v>0.022834</v>
      </c>
      <c r="AL163" s="152">
        <f>IF($A163="","",IFERROR(INDEX(Company_List!$G$3:$G$207,MATCH($A163,Company_List!$A$3:$A$207,0)),"unassigned"))</f>
        <v/>
      </c>
      <c r="AM163" s="152" t="inlineStr">
        <is>
          <t>Phase 2/Target/2025-Q3/TGT-2025-Q3-earnings-call-transcript-corporate-target-com.pdf</t>
        </is>
      </c>
      <c r="AN163" s="152" t="inlineStr">
        <is>
          <t>https://corporate.target.com/getmedia/1b701222-ff3c-4f65-b4b7-d0de5511f9a4/TGT-Transcript-2025-11-19.pdf</t>
        </is>
      </c>
      <c r="AO163" s="152" t="inlineStr">
        <is>
          <t>manifest</t>
        </is>
      </c>
      <c r="AP163" s="152">
        <f>IF($A163="","",IF(COUNTIFS(LLM_Data_Entry!$A$3:$A$548,$A163)&gt;0,"YES","NO"))</f>
        <v/>
      </c>
      <c r="AQ163" s="152">
        <f>IF($A163="","",IF(COUNTIFS($A$3:$A163,$A163,$C$3:$C163,$C163,$D$3:$D163,$D163)=1,"YES","NO"))</f>
        <v/>
      </c>
      <c r="AR163" s="152">
        <f>IF($A163="","",IF(AND($C163&amp;"-"&amp;$D163&gt;=Settings!$B$19,$C163&amp;"-"&amp;$D163&lt;=Settings!$B$20),"IN","OUT"))</f>
        <v/>
      </c>
      <c r="AS163" s="152">
        <f>IF($A163="","",IF($F163="Financial Results","financials",IF($F163="Outlook/Guidance","guidance",IF($F163="Transcript Q&amp;A","qanda",IF($F163="","unrecorded",IF($E163="All","full",IF($E163="","unrecorded",LOWER($E163)&amp;" only")))))))</f>
        <v/>
      </c>
      <c r="AT163" s="152">
        <f>IF(AND(OR($J163="BUY",$J163="SELL"),ISNUMBER($U163)),$U163,"")</f>
        <v/>
      </c>
      <c r="AU163" s="152">
        <f>IF(AND(OR($J163="BUY",$J163="SELL"),ISNUMBER($AK163)),$AK163,"")</f>
        <v/>
      </c>
      <c r="AV163" s="152">
        <f>IF(ISNUMBER($AT163),ABS(IF(ISNUMBER($I163),$I163,0)-Settings!$B$24),"")</f>
        <v/>
      </c>
      <c r="AW163" s="152">
        <f>IF(ISNUMBER($AV163),$AV163*$AT163,"")</f>
        <v/>
      </c>
      <c r="AX163" s="152">
        <f>IF(ISNUMBER($AU163),ABS(IF(ISNUMBER($I163),$I163,0)-Settings!$B$24),"")</f>
        <v/>
      </c>
      <c r="AY163" s="152" t="inlineStr">
        <is>
          <t>FROZEN</t>
        </is>
      </c>
      <c r="AZ163" s="152">
        <f>IF($A163="","",IFERROR(INDEX(Company_List!$H$3:$H$207,MATCH($A163,Company_List!$A$3:$A$207,0)),"unassigned"))</f>
        <v/>
      </c>
      <c r="BA163" s="152" t="n"/>
      <c r="BB163" s="152" t="n"/>
      <c r="BC163" s="152">
        <f>IF($A163="","",IF(COUNTIFS($A$3:$A163,$A163,$C$3:$C163,$C163,$D$3:$D163,$D163,$G$3:$G163,$G163)=1,1,0))</f>
        <v/>
      </c>
      <c r="BD163" s="152" t="n"/>
      <c r="BE163" s="152" t="n"/>
      <c r="BF163" s="152" t="n"/>
      <c r="BG163" s="152" t="inlineStr">
        <is>
          <t>no</t>
        </is>
      </c>
      <c r="BH163" s="152" t="n"/>
      <c r="BI163" s="152" t="n"/>
      <c r="BJ163" s="152" t="n"/>
      <c r="BK163" s="152">
        <f>IF(OR($H163&lt;&gt;"Human",$S163="",$J163="",$Y163="",$Z163=""),"",IF(EXACT(UPPER($J163),UPPER($Y163)),1,0))</f>
        <v/>
      </c>
      <c r="BL163" s="152" t="inlineStr">
        <is>
          <t>assumed - no rater record</t>
        </is>
      </c>
      <c r="BM163" s="152" t="n">
        <v>1</v>
      </c>
      <c r="BN163" s="152" t="inlineStr">
        <is>
          <t>Refinitiv / LSEG StreetEvents</t>
        </is>
      </c>
      <c r="BO163" s="152" t="inlineStr">
        <is>
          <t>licensed vendor</t>
        </is>
      </c>
      <c r="BP163" s="152" t="inlineStr">
        <is>
          <t>no</t>
        </is>
      </c>
      <c r="BQ163" s="152" t="inlineStr">
        <is>
          <t>yes</t>
        </is>
      </c>
      <c r="BR163" s="152" t="n"/>
      <c r="BS163" s="152" t="inlineStr">
        <is>
          <t>YES</t>
        </is>
      </c>
      <c r="BT163" s="152" t="n"/>
    </row>
    <row r="164" ht="15" customHeight="1" s="241">
      <c r="A164" s="187" t="inlineStr">
        <is>
          <t>Target</t>
        </is>
      </c>
      <c r="B164" s="175">
        <f>IF(A164="","",_xlfn.XLOOKUP(A164, Company_List!$A:$A, Company_List!$B:$B, ""))</f>
        <v/>
      </c>
      <c r="C164" s="176" t="n">
        <v>2026</v>
      </c>
      <c r="D164" s="177" t="inlineStr">
        <is>
          <t>Q1</t>
        </is>
      </c>
      <c r="E164" s="178" t="inlineStr">
        <is>
          <t>Transcript</t>
        </is>
      </c>
      <c r="F164" s="178" t="inlineStr">
        <is>
          <t>Financial Results</t>
        </is>
      </c>
      <c r="G164" s="177" t="inlineStr">
        <is>
          <t>Abdul</t>
        </is>
      </c>
      <c r="H164" s="177" t="inlineStr">
        <is>
          <t>Human</t>
        </is>
      </c>
      <c r="I164" s="180" t="n">
        <v>-0.1</v>
      </c>
      <c r="J164" s="180">
        <f>IF(OR(I164="",Settings!$B$6=""),"",IF(I164&gt;Settings!$B$6,"BUY",IF(I164&lt;-Settings!$B$6,"SELL","HOLD")))</f>
        <v/>
      </c>
      <c r="K164" s="180" t="n">
        <v>19</v>
      </c>
      <c r="L164" s="182" t="n">
        <v>46162</v>
      </c>
      <c r="M164" s="182" t="n">
        <v>46161</v>
      </c>
      <c r="N164" s="179" t="n">
        <v>127.24</v>
      </c>
      <c r="O164" s="182" t="n">
        <v>46162</v>
      </c>
      <c r="P164" s="180" t="n">
        <v>120.21</v>
      </c>
      <c r="Q164" s="184">
        <f>IF(OR(N164="",P164=""),"",ROUND((P164-N164)/N164,4))</f>
        <v/>
      </c>
      <c r="R164" s="177">
        <f>IF(OR(N164="",P164=""),"",IF(Q164&gt;Settings!$B$3/100,"UP",IF(Q164&lt;-Settings!$B$3/100,"DOWN","FLAT")))</f>
        <v/>
      </c>
      <c r="S164" s="177">
        <f>IF(OR(N164="",P164="",J164=""),"",IF(OR(AND(J164="BUY",R164="UP"),AND(J164="SELL",R164="DOWN"),AND(J164="HOLD",R164="FLAT")),"YES","NO"))</f>
        <v/>
      </c>
      <c r="T164" s="176">
        <f>IF(J164="","",IF(J164="BUY",1,IF(J164="SELL",-1,0)))</f>
        <v/>
      </c>
      <c r="U164" s="184">
        <f>IFERROR(IF(OR(J164="",N164="",P164=""),"",IF(T164=0,0,T164*Q164-Settings!$B$4/10000-IF(T164&lt;0,Settings!$B$5/10000,0))),"")</f>
        <v/>
      </c>
      <c r="V164" s="152" t="n"/>
      <c r="W164" s="176">
        <f>IF($K164="","",$K164*60)</f>
        <v/>
      </c>
      <c r="X164" s="186">
        <f>IF($A164="","",$A164&amp;"|"&amp;$C164&amp;"|"&amp;$D164)</f>
        <v/>
      </c>
      <c r="Y164" s="186">
        <f>IFERROR(IF($X164="","",INDEX(LLM_Data_Entry!$H$3:$H$548,MATCH($X164,INDEX(LLM_Data_Entry!$A$3:$A$548&amp;"|"&amp;LLM_Data_Entry!$C$3:$C$548&amp;"|"&amp;LLM_Data_Entry!$D$3:$D$548,0),0))),"")</f>
        <v/>
      </c>
      <c r="Z164" s="186">
        <f>IFERROR(IF($X164="","",INDEX(LLM_Data_Entry!$R$3:$R$548,MATCH($X164,INDEX(LLM_Data_Entry!$A$3:$A$548&amp;"|"&amp;LLM_Data_Entry!$C$3:$C$548&amp;"|"&amp;LLM_Data_Entry!$D$3:$D$548,0),0))),"")</f>
        <v/>
      </c>
      <c r="AA164" s="152" t="n"/>
      <c r="AB164" s="152" t="inlineStr">
        <is>
          <t>release date + stated time</t>
        </is>
      </c>
      <c r="AC164" s="152" t="inlineStr">
        <is>
          <t>TGT</t>
        </is>
      </c>
      <c r="AD164" s="152" t="inlineStr">
        <is>
          <t>2026-05-19</t>
        </is>
      </c>
      <c r="AE164" s="152" t="n">
        <v>127.24</v>
      </c>
      <c r="AF164" s="152" t="inlineStr">
        <is>
          <t>2026-05-20</t>
        </is>
      </c>
      <c r="AG164" s="152" t="n">
        <v>120.21</v>
      </c>
      <c r="AH164" s="152" t="n">
        <v>-0.05524991441763465</v>
      </c>
      <c r="AI164" s="152" t="inlineStr">
        <is>
          <t>DOWN</t>
        </is>
      </c>
      <c r="AJ164" s="152" t="inlineStr">
        <is>
          <t>NO</t>
        </is>
      </c>
      <c r="AK164" s="152" t="n">
        <v>0</v>
      </c>
      <c r="AL164" s="152">
        <f>IF($A164="","",IFERROR(INDEX(Company_List!$G$3:$G$207,MATCH($A164,Company_List!$A$3:$A$207,0)),"unassigned"))</f>
        <v/>
      </c>
      <c r="AM164" s="152" t="inlineStr">
        <is>
          <t>Phase 2/Target/2026-Q1/TGT-2026-Q1-earnings-call-transcript-fool-com.html</t>
        </is>
      </c>
      <c r="AN164" s="152" t="inlineStr">
        <is>
          <t>https://www.fool.com/earnings/call-transcripts/2026/05/20/target-tgt-q1-2026-earnings-call-transcript/</t>
        </is>
      </c>
      <c r="AO164" s="152" t="inlineStr">
        <is>
          <t>manifest</t>
        </is>
      </c>
      <c r="AP164" s="152">
        <f>IF($A164="","",IF(COUNTIFS(LLM_Data_Entry!$A$3:$A$548,$A164)&gt;0,"YES","NO"))</f>
        <v/>
      </c>
      <c r="AQ164" s="152">
        <f>IF($A164="","",IF(COUNTIFS($A$3:$A164,$A164,$C$3:$C164,$C164,$D$3:$D164,$D164)=1,"YES","NO"))</f>
        <v/>
      </c>
      <c r="AR164" s="152">
        <f>IF($A164="","",IF(AND($C164&amp;"-"&amp;$D164&gt;=Settings!$B$19,$C164&amp;"-"&amp;$D164&lt;=Settings!$B$20),"IN","OUT"))</f>
        <v/>
      </c>
      <c r="AS164" s="152">
        <f>IF($A164="","",IF($F164="Financial Results","financials",IF($F164="Outlook/Guidance","guidance",IF($F164="Transcript Q&amp;A","qanda",IF($F164="","unrecorded",IF($E164="All","full",IF($E164="","unrecorded",LOWER($E164)&amp;" only")))))))</f>
        <v/>
      </c>
      <c r="AT164" s="152">
        <f>IF(AND(OR($J164="BUY",$J164="SELL"),ISNUMBER($U164)),$U164,"")</f>
        <v/>
      </c>
      <c r="AU164" s="152">
        <f>IF(AND(OR($J164="BUY",$J164="SELL"),ISNUMBER($AK164)),$AK164,"")</f>
        <v/>
      </c>
      <c r="AV164" s="152">
        <f>IF(ISNUMBER($AT164),ABS(IF(ISNUMBER($I164),$I164,0)-Settings!$B$24),"")</f>
        <v/>
      </c>
      <c r="AW164" s="152">
        <f>IF(ISNUMBER($AV164),$AV164*$AT164,"")</f>
        <v/>
      </c>
      <c r="AX164" s="152">
        <f>IF(ISNUMBER($AU164),ABS(IF(ISNUMBER($I164),$I164,0)-Settings!$B$24),"")</f>
        <v/>
      </c>
      <c r="AY164" s="152" t="inlineStr">
        <is>
          <t>FROZEN</t>
        </is>
      </c>
      <c r="AZ164" s="152">
        <f>IF($A164="","",IFERROR(INDEX(Company_List!$H$3:$H$207,MATCH($A164,Company_List!$A$3:$A$207,0)),"unassigned"))</f>
        <v/>
      </c>
      <c r="BA164" s="152" t="n"/>
      <c r="BB164" s="152" t="n"/>
      <c r="BC164" s="152">
        <f>IF($A164="","",IF(COUNTIFS($A$3:$A164,$A164,$C$3:$C164,$C164,$D$3:$D164,$D164,$G$3:$G164,$G164)=1,1,0))</f>
        <v/>
      </c>
      <c r="BD164" s="152" t="n"/>
      <c r="BE164" s="152" t="n"/>
      <c r="BF164" s="152" t="n"/>
      <c r="BG164" s="152" t="inlineStr">
        <is>
          <t>no</t>
        </is>
      </c>
      <c r="BH164" s="152" t="n"/>
      <c r="BI164" s="152" t="n"/>
      <c r="BJ164" s="152" t="n"/>
      <c r="BK164" s="152">
        <f>IF(OR($H164&lt;&gt;"Human",$S164="",$J164="",$Y164="",$Z164=""),"",IF(EXACT(UPPER($J164),UPPER($Y164)),1,0))</f>
        <v/>
      </c>
      <c r="BL164" s="152" t="inlineStr">
        <is>
          <t>assumed - no rater record</t>
        </is>
      </c>
      <c r="BM164" s="152" t="n">
        <v>1</v>
      </c>
      <c r="BN164" s="152" t="inlineStr">
        <is>
          <t>The Motley Fool</t>
        </is>
      </c>
      <c r="BO164" s="152" t="inlineStr">
        <is>
          <t>free to read, copyright asserted</t>
        </is>
      </c>
      <c r="BP164" s="152" t="inlineStr">
        <is>
          <t>no</t>
        </is>
      </c>
      <c r="BQ164" s="152" t="inlineStr">
        <is>
          <t>yes</t>
        </is>
      </c>
      <c r="BR164" s="152" t="n"/>
      <c r="BS164" s="152" t="inlineStr">
        <is>
          <t>YES</t>
        </is>
      </c>
      <c r="BT164" s="152" t="n"/>
    </row>
    <row r="165" ht="15" customHeight="1" s="241">
      <c r="A165" s="187" t="inlineStr">
        <is>
          <t>PayPal</t>
        </is>
      </c>
      <c r="B165" s="188">
        <f>IF(A165="","",_xlfn.XLOOKUP(A165, Company_List!$A:$A, Company_List!$B:$B, ""))</f>
        <v/>
      </c>
      <c r="C165" s="176" t="n">
        <v>2025</v>
      </c>
      <c r="D165" s="177" t="inlineStr">
        <is>
          <t>Q1</t>
        </is>
      </c>
      <c r="E165" s="178" t="inlineStr">
        <is>
          <t>Transcript</t>
        </is>
      </c>
      <c r="F165" s="178" t="inlineStr">
        <is>
          <t>Financial Results</t>
        </is>
      </c>
      <c r="G165" s="177" t="inlineStr">
        <is>
          <t>Abdul</t>
        </is>
      </c>
      <c r="H165" s="177" t="inlineStr">
        <is>
          <t>Human</t>
        </is>
      </c>
      <c r="I165" s="180" t="n">
        <v>0.3</v>
      </c>
      <c r="J165" s="180">
        <f>IF(OR(I165="",Settings!$B$6=""),"",IF(I165&gt;Settings!$B$6,"BUY",IF(I165&lt;-Settings!$B$6,"SELL","HOLD")))</f>
        <v/>
      </c>
      <c r="K165" s="180" t="n">
        <v>17</v>
      </c>
      <c r="L165" s="182" t="n">
        <v>45776</v>
      </c>
      <c r="M165" s="182" t="n">
        <v>45775</v>
      </c>
      <c r="N165" s="179" t="n">
        <v>64.93000000000001</v>
      </c>
      <c r="O165" s="182" t="n">
        <v>45776</v>
      </c>
      <c r="P165" s="180" t="n">
        <v>66.37</v>
      </c>
      <c r="Q165" s="184">
        <f>IF(OR(N165="",P165=""),"",ROUND((P165-N165)/N165,4))</f>
        <v/>
      </c>
      <c r="R165" s="177">
        <f>IF(OR(N165="",P165=""),"",IF(Q165&gt;Settings!$B$3/100,"UP",IF(Q165&lt;-Settings!$B$3/100,"DOWN","FLAT")))</f>
        <v/>
      </c>
      <c r="S165" s="177">
        <f>IF(OR(N165="",P165="",J165=""),"",IF(OR(AND(J165="BUY",R165="UP"),AND(J165="SELL",R165="DOWN"),AND(J165="HOLD",R165="FLAT")),"YES","NO"))</f>
        <v/>
      </c>
      <c r="T165" s="176">
        <f>IF(J165="","",IF(J165="BUY",1,IF(J165="SELL",-1,0)))</f>
        <v/>
      </c>
      <c r="U165" s="184">
        <f>IFERROR(IF(OR(J165="",N165="",P165=""),"",IF(T165=0,0,T165*Q165-Settings!$B$4/10000-IF(T165&lt;0,Settings!$B$5/10000,0))),"")</f>
        <v/>
      </c>
      <c r="V165" s="152" t="n"/>
      <c r="W165" s="176">
        <f>IF($K165="","",$K165*60)</f>
        <v/>
      </c>
      <c r="X165" s="186">
        <f>IF($A165="","",$A165&amp;"|"&amp;$C165&amp;"|"&amp;$D165)</f>
        <v/>
      </c>
      <c r="Y165" s="186">
        <f>IFERROR(IF($X165="","",INDEX(LLM_Data_Entry!$H$3:$H$548,MATCH($X165,INDEX(LLM_Data_Entry!$A$3:$A$548&amp;"|"&amp;LLM_Data_Entry!$C$3:$C$548&amp;"|"&amp;LLM_Data_Entry!$D$3:$D$548,0),0))),"")</f>
        <v/>
      </c>
      <c r="Z165" s="186">
        <f>IFERROR(IF($X165="","",INDEX(LLM_Data_Entry!$R$3:$R$548,MATCH($X165,INDEX(LLM_Data_Entry!$A$3:$A$548&amp;"|"&amp;LLM_Data_Entry!$C$3:$C$548&amp;"|"&amp;LLM_Data_Entry!$D$3:$D$548,0),0))),"")</f>
        <v/>
      </c>
      <c r="AA165" s="152" t="n"/>
      <c r="AB165" s="152" t="inlineStr">
        <is>
          <t>price signal — only this window shows an abnormal move</t>
        </is>
      </c>
      <c r="AC165" s="152" t="inlineStr">
        <is>
          <t>PYPL</t>
        </is>
      </c>
      <c r="AD165" s="152" t="inlineStr">
        <is>
          <t>2025-04-28</t>
        </is>
      </c>
      <c r="AE165" s="152" t="n">
        <v>64.3725</v>
      </c>
      <c r="AF165" s="152" t="inlineStr">
        <is>
          <t>2025-04-29</t>
        </is>
      </c>
      <c r="AG165" s="152" t="n">
        <v>65.8001</v>
      </c>
      <c r="AH165" s="152" t="n">
        <v>0.02217769318727723</v>
      </c>
      <c r="AI165" s="152" t="inlineStr">
        <is>
          <t>UP</t>
        </is>
      </c>
      <c r="AJ165" s="152" t="inlineStr">
        <is>
          <t>YES</t>
        </is>
      </c>
      <c r="AK165" s="152" t="n">
        <v>0.021178</v>
      </c>
      <c r="AL165" s="152">
        <f>IF($A165="","",IFERROR(INDEX(Company_List!$G$3:$G$207,MATCH($A165,Company_List!$A$3:$A$207,0)),"unassigned"))</f>
        <v/>
      </c>
      <c r="AM165" s="152" t="inlineStr">
        <is>
          <t>Phase 3/Readings/PayPal/PYPL-Holdings_Q1-2025-Earnings-Call-Transcript.pdf</t>
        </is>
      </c>
      <c r="AN165" s="152" t="n"/>
      <c r="AO165" s="152" t="inlineStr">
        <is>
          <t>unique filename match</t>
        </is>
      </c>
      <c r="AP165" s="152">
        <f>IF($A165="","",IF(COUNTIFS(LLM_Data_Entry!$A$3:$A$548,$A165)&gt;0,"YES","NO"))</f>
        <v/>
      </c>
      <c r="AQ165" s="152">
        <f>IF($A165="","",IF(COUNTIFS($A$3:$A165,$A165,$C$3:$C165,$C165,$D$3:$D165,$D165)=1,"YES","NO"))</f>
        <v/>
      </c>
      <c r="AR165" s="152">
        <f>IF($A165="","",IF(AND($C165&amp;"-"&amp;$D165&gt;=Settings!$B$19,$C165&amp;"-"&amp;$D165&lt;=Settings!$B$20),"IN","OUT"))</f>
        <v/>
      </c>
      <c r="AS165" s="152">
        <f>IF($A165="","",IF($F165="Financial Results","financials",IF($F165="Outlook/Guidance","guidance",IF($F165="Transcript Q&amp;A","qanda",IF($F165="","unrecorded",IF($E165="All","full",IF($E165="","unrecorded",LOWER($E165)&amp;" only")))))))</f>
        <v/>
      </c>
      <c r="AT165" s="152">
        <f>IF(AND(OR($J165="BUY",$J165="SELL"),ISNUMBER($U165)),$U165,"")</f>
        <v/>
      </c>
      <c r="AU165" s="152">
        <f>IF(AND(OR($J165="BUY",$J165="SELL"),ISNUMBER($AK165)),$AK165,"")</f>
        <v/>
      </c>
      <c r="AV165" s="152">
        <f>IF(ISNUMBER($AT165),ABS(IF(ISNUMBER($I165),$I165,0)-Settings!$B$24),"")</f>
        <v/>
      </c>
      <c r="AW165" s="152">
        <f>IF(ISNUMBER($AV165),$AV165*$AT165,"")</f>
        <v/>
      </c>
      <c r="AX165" s="152">
        <f>IF(ISNUMBER($AU165),ABS(IF(ISNUMBER($I165),$I165,0)-Settings!$B$24),"")</f>
        <v/>
      </c>
      <c r="AY165" s="152" t="inlineStr">
        <is>
          <t>FROZEN</t>
        </is>
      </c>
      <c r="AZ165" s="152">
        <f>IF($A165="","",IFERROR(INDEX(Company_List!$H$3:$H$207,MATCH($A165,Company_List!$A$3:$A$207,0)),"unassigned"))</f>
        <v/>
      </c>
      <c r="BA165" s="152" t="n"/>
      <c r="BB165" s="152" t="n"/>
      <c r="BC165" s="152">
        <f>IF($A165="","",IF(COUNTIFS($A$3:$A165,$A165,$C$3:$C165,$C165,$D$3:$D165,$D165,$G$3:$G165,$G165)=1,1,0))</f>
        <v/>
      </c>
      <c r="BD165" s="152" t="n"/>
      <c r="BE165" s="152" t="n"/>
      <c r="BF165" s="152" t="n"/>
      <c r="BG165" s="152" t="inlineStr">
        <is>
          <t>no</t>
        </is>
      </c>
      <c r="BH165" s="152" t="n"/>
      <c r="BI165" s="152" t="n"/>
      <c r="BJ165" s="152" t="n"/>
      <c r="BK165" s="152">
        <f>IF(OR($H165&lt;&gt;"Human",$S165="",$J165="",$Y165="",$Z165=""),"",IF(EXACT(UPPER($J165),UPPER($Y165)),1,0))</f>
        <v/>
      </c>
      <c r="BL165" s="152" t="inlineStr">
        <is>
          <t>assumed - no rater record</t>
        </is>
      </c>
      <c r="BM165" s="152" t="n">
        <v>1</v>
      </c>
      <c r="BN165" s="152" t="inlineStr">
        <is>
          <t>FactSet CallStreet</t>
        </is>
      </c>
      <c r="BO165" s="152" t="inlineStr">
        <is>
          <t>licensed vendor</t>
        </is>
      </c>
      <c r="BP165" s="152" t="inlineStr">
        <is>
          <t>no</t>
        </is>
      </c>
      <c r="BQ165" s="152" t="inlineStr">
        <is>
          <t>no</t>
        </is>
      </c>
      <c r="BR165" s="152" t="n"/>
      <c r="BS165" s="152" t="inlineStr">
        <is>
          <t>YES</t>
        </is>
      </c>
      <c r="BT165" s="152" t="n"/>
    </row>
    <row r="166" ht="15" customHeight="1" s="241">
      <c r="A166" s="187" t="inlineStr">
        <is>
          <t>PayPal</t>
        </is>
      </c>
      <c r="B166" s="188">
        <f>IF(A166="","",_xlfn.XLOOKUP(A166, Company_List!$A:$A, Company_List!$B:$B, ""))</f>
        <v/>
      </c>
      <c r="C166" s="176" t="n">
        <v>2025</v>
      </c>
      <c r="D166" s="177" t="inlineStr">
        <is>
          <t>Q2</t>
        </is>
      </c>
      <c r="E166" s="178" t="inlineStr">
        <is>
          <t>Transcript</t>
        </is>
      </c>
      <c r="F166" s="178" t="inlineStr">
        <is>
          <t>Outlook/Guidance</t>
        </is>
      </c>
      <c r="G166" s="177" t="inlineStr">
        <is>
          <t>Abdul</t>
        </is>
      </c>
      <c r="H166" s="177" t="inlineStr">
        <is>
          <t>Human</t>
        </is>
      </c>
      <c r="I166" s="180" t="n">
        <v>0.3</v>
      </c>
      <c r="J166" s="180">
        <f>IF(OR(I166="",Settings!$B$6=""),"",IF(I166&gt;Settings!$B$6,"BUY",IF(I166&lt;-Settings!$B$6,"SELL","HOLD")))</f>
        <v/>
      </c>
      <c r="K166" s="180" t="n">
        <v>12</v>
      </c>
      <c r="L166" s="182" t="n">
        <v>45867</v>
      </c>
      <c r="M166" s="182" t="n">
        <v>45866</v>
      </c>
      <c r="N166" s="179" t="n">
        <v>78.22</v>
      </c>
      <c r="O166" s="182" t="n">
        <v>45867</v>
      </c>
      <c r="P166" s="180" t="n">
        <v>71.73</v>
      </c>
      <c r="Q166" s="184">
        <f>IF(OR(N166="",P166=""),"",ROUND((P166-N166)/N166,4))</f>
        <v/>
      </c>
      <c r="R166" s="177">
        <f>IF(OR(N166="",P166=""),"",IF(Q166&gt;Settings!$B$3/100,"UP",IF(Q166&lt;-Settings!$B$3/100,"DOWN","FLAT")))</f>
        <v/>
      </c>
      <c r="S166" s="177">
        <f>IF(OR(N166="",P166="",J166=""),"",IF(OR(AND(J166="BUY",R166="UP"),AND(J166="SELL",R166="DOWN"),AND(J166="HOLD",R166="FLAT")),"YES","NO"))</f>
        <v/>
      </c>
      <c r="T166" s="176">
        <f>IF(J166="","",IF(J166="BUY",1,IF(J166="SELL",-1,0)))</f>
        <v/>
      </c>
      <c r="U166" s="184">
        <f>IFERROR(IF(OR(J166="",N166="",P166=""),"",IF(T166=0,0,T166*Q166-Settings!$B$4/10000-IF(T166&lt;0,Settings!$B$5/10000,0))),"")</f>
        <v/>
      </c>
      <c r="V166" s="152" t="n"/>
      <c r="W166" s="176">
        <f>IF($K166="","",$K166*60)</f>
        <v/>
      </c>
      <c r="X166" s="186">
        <f>IF($A166="","",$A166&amp;"|"&amp;$C166&amp;"|"&amp;$D166)</f>
        <v/>
      </c>
      <c r="Y166" s="186">
        <f>IFERROR(IF($X166="","",INDEX(LLM_Data_Entry!$H$3:$H$548,MATCH($X166,INDEX(LLM_Data_Entry!$A$3:$A$548&amp;"|"&amp;LLM_Data_Entry!$C$3:$C$548&amp;"|"&amp;LLM_Data_Entry!$D$3:$D$548,0),0))),"")</f>
        <v/>
      </c>
      <c r="Z166" s="186">
        <f>IFERROR(IF($X166="","",INDEX(LLM_Data_Entry!$R$3:$R$548,MATCH($X166,INDEX(LLM_Data_Entry!$A$3:$A$548&amp;"|"&amp;LLM_Data_Entry!$C$3:$C$548&amp;"|"&amp;LLM_Data_Entry!$D$3:$D$548,0),0))),"")</f>
        <v/>
      </c>
      <c r="AA166" s="152" t="n"/>
      <c r="AB166" s="152" t="inlineStr">
        <is>
          <t>price signal — only this window shows an abnormal move</t>
        </is>
      </c>
      <c r="AC166" s="152" t="inlineStr">
        <is>
          <t>PYPL</t>
        </is>
      </c>
      <c r="AD166" s="152" t="inlineStr">
        <is>
          <t>2025-07-28</t>
        </is>
      </c>
      <c r="AE166" s="152" t="n">
        <v>77.5484</v>
      </c>
      <c r="AF166" s="152" t="inlineStr">
        <is>
          <t>2025-07-29</t>
        </is>
      </c>
      <c r="AG166" s="152" t="n">
        <v>71.11409999999999</v>
      </c>
      <c r="AH166" s="152" t="n">
        <v>-0.08297117785809287</v>
      </c>
      <c r="AI166" s="152" t="inlineStr">
        <is>
          <t>DOWN</t>
        </is>
      </c>
      <c r="AJ166" s="152" t="inlineStr">
        <is>
          <t>NO</t>
        </is>
      </c>
      <c r="AK166" s="152" t="n">
        <v>-0.083971</v>
      </c>
      <c r="AL166" s="152">
        <f>IF($A166="","",IFERROR(INDEX(Company_List!$G$3:$G$207,MATCH($A166,Company_List!$A$3:$A$207,0)),"unassigned"))</f>
        <v/>
      </c>
      <c r="AM166" s="152" t="inlineStr">
        <is>
          <t>Phase 3/Readings/PayPal/CORRECTED-TRANSCRIPT_-PayPal-Holdings-Inc-PYPL-US-Q2-2025-Earnings-Call-29-July-2025-8_00-AM-ET.pdf</t>
        </is>
      </c>
      <c r="AN166" s="152" t="n"/>
      <c r="AO166" s="152" t="inlineStr">
        <is>
          <t>unique filename match</t>
        </is>
      </c>
      <c r="AP166" s="152">
        <f>IF($A166="","",IF(COUNTIFS(LLM_Data_Entry!$A$3:$A$548,$A166)&gt;0,"YES","NO"))</f>
        <v/>
      </c>
      <c r="AQ166" s="152">
        <f>IF($A166="","",IF(COUNTIFS($A$3:$A166,$A166,$C$3:$C166,$C166,$D$3:$D166,$D166)=1,"YES","NO"))</f>
        <v/>
      </c>
      <c r="AR166" s="152">
        <f>IF($A166="","",IF(AND($C166&amp;"-"&amp;$D166&gt;=Settings!$B$19,$C166&amp;"-"&amp;$D166&lt;=Settings!$B$20),"IN","OUT"))</f>
        <v/>
      </c>
      <c r="AS166" s="152">
        <f>IF($A166="","",IF($F166="Financial Results","financials",IF($F166="Outlook/Guidance","guidance",IF($F166="Transcript Q&amp;A","qanda",IF($F166="","unrecorded",IF($E166="All","full",IF($E166="","unrecorded",LOWER($E166)&amp;" only")))))))</f>
        <v/>
      </c>
      <c r="AT166" s="152">
        <f>IF(AND(OR($J166="BUY",$J166="SELL"),ISNUMBER($U166)),$U166,"")</f>
        <v/>
      </c>
      <c r="AU166" s="152">
        <f>IF(AND(OR($J166="BUY",$J166="SELL"),ISNUMBER($AK166)),$AK166,"")</f>
        <v/>
      </c>
      <c r="AV166" s="152">
        <f>IF(ISNUMBER($AT166),ABS(IF(ISNUMBER($I166),$I166,0)-Settings!$B$24),"")</f>
        <v/>
      </c>
      <c r="AW166" s="152">
        <f>IF(ISNUMBER($AV166),$AV166*$AT166,"")</f>
        <v/>
      </c>
      <c r="AX166" s="152">
        <f>IF(ISNUMBER($AU166),ABS(IF(ISNUMBER($I166),$I166,0)-Settings!$B$24),"")</f>
        <v/>
      </c>
      <c r="AY166" s="152" t="inlineStr">
        <is>
          <t>FROZEN</t>
        </is>
      </c>
      <c r="AZ166" s="152">
        <f>IF($A166="","",IFERROR(INDEX(Company_List!$H$3:$H$207,MATCH($A166,Company_List!$A$3:$A$207,0)),"unassigned"))</f>
        <v/>
      </c>
      <c r="BA166" s="152" t="n"/>
      <c r="BB166" s="152" t="n"/>
      <c r="BC166" s="152">
        <f>IF($A166="","",IF(COUNTIFS($A$3:$A166,$A166,$C$3:$C166,$C166,$D$3:$D166,$D166,$G$3:$G166,$G166)=1,1,0))</f>
        <v/>
      </c>
      <c r="BD166" s="152" t="n"/>
      <c r="BE166" s="152" t="n"/>
      <c r="BF166" s="152" t="n"/>
      <c r="BG166" s="152" t="inlineStr">
        <is>
          <t>no</t>
        </is>
      </c>
      <c r="BH166" s="152" t="n"/>
      <c r="BI166" s="152" t="n"/>
      <c r="BJ166" s="152" t="n"/>
      <c r="BK166" s="152">
        <f>IF(OR($H166&lt;&gt;"Human",$S166="",$J166="",$Y166="",$Z166=""),"",IF(EXACT(UPPER($J166),UPPER($Y166)),1,0))</f>
        <v/>
      </c>
      <c r="BL166" s="152" t="inlineStr">
        <is>
          <t>assumed - no rater record</t>
        </is>
      </c>
      <c r="BM166" s="152" t="n">
        <v>1</v>
      </c>
      <c r="BN166" s="152" t="inlineStr">
        <is>
          <t>FactSet CallStreet</t>
        </is>
      </c>
      <c r="BO166" s="152" t="inlineStr">
        <is>
          <t>licensed vendor</t>
        </is>
      </c>
      <c r="BP166" s="152" t="inlineStr">
        <is>
          <t>no</t>
        </is>
      </c>
      <c r="BQ166" s="152" t="inlineStr">
        <is>
          <t>no</t>
        </is>
      </c>
      <c r="BR166" s="152" t="n"/>
      <c r="BS166" s="152" t="inlineStr">
        <is>
          <t>YES</t>
        </is>
      </c>
      <c r="BT166" s="152" t="n"/>
    </row>
    <row r="167" ht="15" customHeight="1" s="241">
      <c r="A167" s="187" t="inlineStr">
        <is>
          <t>PayPal</t>
        </is>
      </c>
      <c r="B167" s="188">
        <f>IF(A167="","",_xlfn.XLOOKUP(A167, Company_List!$A:$A, Company_List!$B:$B, ""))</f>
        <v/>
      </c>
      <c r="C167" s="176" t="n">
        <v>2025</v>
      </c>
      <c r="D167" s="177" t="inlineStr">
        <is>
          <t>Q3</t>
        </is>
      </c>
      <c r="E167" s="178" t="inlineStr">
        <is>
          <t>Transcript</t>
        </is>
      </c>
      <c r="F167" s="178" t="inlineStr">
        <is>
          <t>Transcript Q&amp;A</t>
        </is>
      </c>
      <c r="G167" s="177" t="inlineStr">
        <is>
          <t>Abdul</t>
        </is>
      </c>
      <c r="H167" s="177" t="inlineStr">
        <is>
          <t>Human</t>
        </is>
      </c>
      <c r="I167" s="180" t="n">
        <v>0.5</v>
      </c>
      <c r="J167" s="180">
        <f>IF(OR(I167="",Settings!$B$6=""),"",IF(I167&gt;Settings!$B$6,"BUY",IF(I167&lt;-Settings!$B$6,"SELL","HOLD")))</f>
        <v/>
      </c>
      <c r="K167" s="180" t="n">
        <v>32</v>
      </c>
      <c r="L167" s="182" t="n">
        <v>45958</v>
      </c>
      <c r="M167" s="182" t="n">
        <v>45957</v>
      </c>
      <c r="N167" s="179" t="n">
        <v>70.25</v>
      </c>
      <c r="O167" s="182" t="n">
        <v>45958</v>
      </c>
      <c r="P167" s="180" t="n">
        <v>76.20999999999999</v>
      </c>
      <c r="Q167" s="184">
        <f>IF(OR(N167="",P167=""),"",ROUND((P167-N167)/N167,4))</f>
        <v/>
      </c>
      <c r="R167" s="177">
        <f>IF(OR(N167="",P167=""),"",IF(Q167&gt;Settings!$B$3/100,"UP",IF(Q167&lt;-Settings!$B$3/100,"DOWN","FLAT")))</f>
        <v/>
      </c>
      <c r="S167" s="177">
        <f>IF(OR(N167="",P167="",J167=""),"",IF(OR(AND(J167="BUY",R167="UP"),AND(J167="SELL",R167="DOWN"),AND(J167="HOLD",R167="FLAT")),"YES","NO"))</f>
        <v/>
      </c>
      <c r="T167" s="176">
        <f>IF(J167="","",IF(J167="BUY",1,IF(J167="SELL",-1,0)))</f>
        <v/>
      </c>
      <c r="U167" s="184">
        <f>IFERROR(IF(OR(J167="",N167="",P167=""),"",IF(T167=0,0,T167*Q167-Settings!$B$4/10000-IF(T167&lt;0,Settings!$B$5/10000,0))),"")</f>
        <v/>
      </c>
      <c r="V167" s="152" t="n"/>
      <c r="W167" s="176">
        <f>IF($K167="","",$K167*60)</f>
        <v/>
      </c>
      <c r="X167" s="186">
        <f>IF($A167="","",$A167&amp;"|"&amp;$C167&amp;"|"&amp;$D167)</f>
        <v/>
      </c>
      <c r="Y167" s="186">
        <f>IFERROR(IF($X167="","",INDEX(LLM_Data_Entry!$H$3:$H$548,MATCH($X167,INDEX(LLM_Data_Entry!$A$3:$A$548&amp;"|"&amp;LLM_Data_Entry!$C$3:$C$548&amp;"|"&amp;LLM_Data_Entry!$D$3:$D$548,0),0))),"")</f>
        <v/>
      </c>
      <c r="Z167" s="186">
        <f>IFERROR(IF($X167="","",INDEX(LLM_Data_Entry!$R$3:$R$548,MATCH($X167,INDEX(LLM_Data_Entry!$A$3:$A$548&amp;"|"&amp;LLM_Data_Entry!$C$3:$C$548&amp;"|"&amp;LLM_Data_Entry!$D$3:$D$548,0),0))),"")</f>
        <v/>
      </c>
      <c r="AA167" s="152" t="n"/>
      <c r="AB167" s="152" t="inlineStr">
        <is>
          <t>price signal — only this window shows an abnormal move</t>
        </is>
      </c>
      <c r="AC167" s="152" t="inlineStr">
        <is>
          <t>PYPL</t>
        </is>
      </c>
      <c r="AD167" s="152" t="inlineStr">
        <is>
          <t>2025-10-27</t>
        </is>
      </c>
      <c r="AE167" s="152" t="n">
        <v>69.6468</v>
      </c>
      <c r="AF167" s="152" t="inlineStr">
        <is>
          <t>2025-10-28</t>
        </is>
      </c>
      <c r="AG167" s="152" t="n">
        <v>75.5556</v>
      </c>
      <c r="AH167" s="152" t="n">
        <v>0.08483975966452981</v>
      </c>
      <c r="AI167" s="152" t="inlineStr">
        <is>
          <t>UP</t>
        </is>
      </c>
      <c r="AJ167" s="152" t="inlineStr">
        <is>
          <t>YES</t>
        </is>
      </c>
      <c r="AK167" s="152" t="n">
        <v>0.08384</v>
      </c>
      <c r="AL167" s="152">
        <f>IF($A167="","",IFERROR(INDEX(Company_List!$G$3:$G$207,MATCH($A167,Company_List!$A$3:$A$207,0)),"unassigned"))</f>
        <v/>
      </c>
      <c r="AM167" s="152" t="inlineStr">
        <is>
          <t>Phase 3/Readings/PayPal/CORRECTED-TRANSCRIPT_-PayPal-Holdings-Inc-PYPL-US-Q3-2025-Earnings-Call-28-October-2025-8_00-AM-ET.pdf</t>
        </is>
      </c>
      <c r="AN167" s="152" t="n"/>
      <c r="AO167" s="152" t="inlineStr">
        <is>
          <t>unique filename match</t>
        </is>
      </c>
      <c r="AP167" s="152">
        <f>IF($A167="","",IF(COUNTIFS(LLM_Data_Entry!$A$3:$A$548,$A167)&gt;0,"YES","NO"))</f>
        <v/>
      </c>
      <c r="AQ167" s="152">
        <f>IF($A167="","",IF(COUNTIFS($A$3:$A167,$A167,$C$3:$C167,$C167,$D$3:$D167,$D167)=1,"YES","NO"))</f>
        <v/>
      </c>
      <c r="AR167" s="152">
        <f>IF($A167="","",IF(AND($C167&amp;"-"&amp;$D167&gt;=Settings!$B$19,$C167&amp;"-"&amp;$D167&lt;=Settings!$B$20),"IN","OUT"))</f>
        <v/>
      </c>
      <c r="AS167" s="152">
        <f>IF($A167="","",IF($F167="Financial Results","financials",IF($F167="Outlook/Guidance","guidance",IF($F167="Transcript Q&amp;A","qanda",IF($F167="","unrecorded",IF($E167="All","full",IF($E167="","unrecorded",LOWER($E167)&amp;" only")))))))</f>
        <v/>
      </c>
      <c r="AT167" s="152">
        <f>IF(AND(OR($J167="BUY",$J167="SELL"),ISNUMBER($U167)),$U167,"")</f>
        <v/>
      </c>
      <c r="AU167" s="152">
        <f>IF(AND(OR($J167="BUY",$J167="SELL"),ISNUMBER($AK167)),$AK167,"")</f>
        <v/>
      </c>
      <c r="AV167" s="152">
        <f>IF(ISNUMBER($AT167),ABS(IF(ISNUMBER($I167),$I167,0)-Settings!$B$24),"")</f>
        <v/>
      </c>
      <c r="AW167" s="152">
        <f>IF(ISNUMBER($AV167),$AV167*$AT167,"")</f>
        <v/>
      </c>
      <c r="AX167" s="152">
        <f>IF(ISNUMBER($AU167),ABS(IF(ISNUMBER($I167),$I167,0)-Settings!$B$24),"")</f>
        <v/>
      </c>
      <c r="AY167" s="152" t="inlineStr">
        <is>
          <t>FROZEN</t>
        </is>
      </c>
      <c r="AZ167" s="152">
        <f>IF($A167="","",IFERROR(INDEX(Company_List!$H$3:$H$207,MATCH($A167,Company_List!$A$3:$A$207,0)),"unassigned"))</f>
        <v/>
      </c>
      <c r="BA167" s="152" t="n"/>
      <c r="BB167" s="152" t="n"/>
      <c r="BC167" s="152">
        <f>IF($A167="","",IF(COUNTIFS($A$3:$A167,$A167,$C$3:$C167,$C167,$D$3:$D167,$D167,$G$3:$G167,$G167)=1,1,0))</f>
        <v/>
      </c>
      <c r="BD167" s="152" t="n"/>
      <c r="BE167" s="152" t="n"/>
      <c r="BF167" s="152" t="n"/>
      <c r="BG167" s="152" t="inlineStr">
        <is>
          <t>no</t>
        </is>
      </c>
      <c r="BH167" s="152" t="n"/>
      <c r="BI167" s="152" t="n"/>
      <c r="BJ167" s="152" t="n"/>
      <c r="BK167" s="152">
        <f>IF(OR($H167&lt;&gt;"Human",$S167="",$J167="",$Y167="",$Z167=""),"",IF(EXACT(UPPER($J167),UPPER($Y167)),1,0))</f>
        <v/>
      </c>
      <c r="BL167" s="152" t="inlineStr">
        <is>
          <t>assumed - no rater record</t>
        </is>
      </c>
      <c r="BM167" s="152" t="n">
        <v>1</v>
      </c>
      <c r="BN167" s="152" t="inlineStr">
        <is>
          <t>FactSet CallStreet</t>
        </is>
      </c>
      <c r="BO167" s="152" t="inlineStr">
        <is>
          <t>licensed vendor</t>
        </is>
      </c>
      <c r="BP167" s="152" t="inlineStr">
        <is>
          <t>no</t>
        </is>
      </c>
      <c r="BQ167" s="152" t="inlineStr">
        <is>
          <t>no</t>
        </is>
      </c>
      <c r="BR167" s="152" t="n"/>
      <c r="BS167" s="152" t="inlineStr">
        <is>
          <t>YES</t>
        </is>
      </c>
      <c r="BT167" s="152" t="n"/>
    </row>
    <row r="168" ht="15" customHeight="1" s="241">
      <c r="A168" s="187" t="inlineStr">
        <is>
          <t>PayPal</t>
        </is>
      </c>
      <c r="B168" s="188">
        <f>IF(A168="","",_xlfn.XLOOKUP(A168, Company_List!$A:$A, Company_List!$B:$B, ""))</f>
        <v/>
      </c>
      <c r="C168" s="176" t="n">
        <v>2026</v>
      </c>
      <c r="D168" s="177" t="inlineStr">
        <is>
          <t>Q1</t>
        </is>
      </c>
      <c r="E168" s="178" t="inlineStr">
        <is>
          <t>Presentation</t>
        </is>
      </c>
      <c r="F168" s="178" t="inlineStr">
        <is>
          <t>All</t>
        </is>
      </c>
      <c r="G168" s="177" t="inlineStr">
        <is>
          <t>Abdul</t>
        </is>
      </c>
      <c r="H168" s="177" t="inlineStr">
        <is>
          <t>Human</t>
        </is>
      </c>
      <c r="I168" s="180" t="n">
        <v>-0.5</v>
      </c>
      <c r="J168" s="180">
        <f>IF(OR(I168="",Settings!$B$6=""),"",IF(I168&gt;Settings!$B$6,"BUY",IF(I168&lt;-Settings!$B$6,"SELL","HOLD")))</f>
        <v/>
      </c>
      <c r="K168" s="180" t="n">
        <v>28</v>
      </c>
      <c r="L168" s="182" t="n">
        <v>46147</v>
      </c>
      <c r="M168" s="182" t="n">
        <v>46146</v>
      </c>
      <c r="N168" s="180" t="n">
        <v>50.39</v>
      </c>
      <c r="O168" s="182" t="n">
        <v>46147</v>
      </c>
      <c r="P168" s="180" t="n">
        <v>45.37</v>
      </c>
      <c r="Q168" s="184">
        <f>IF(OR(N168="",P168=""),"",ROUND((P168-N168)/N168,4))</f>
        <v/>
      </c>
      <c r="R168" s="177">
        <f>IF(OR(N168="",P168=""),"",IF(Q168&gt;Settings!$B$3/100,"UP",IF(Q168&lt;-Settings!$B$3/100,"DOWN","FLAT")))</f>
        <v/>
      </c>
      <c r="S168" s="177">
        <f>IF(OR(N168="",P168="",J168=""),"",IF(OR(AND(J168="BUY",R168="UP"),AND(J168="SELL",R168="DOWN"),AND(J168="HOLD",R168="FLAT")),"YES","NO"))</f>
        <v/>
      </c>
      <c r="T168" s="176">
        <f>IF(J168="","",IF(J168="BUY",1,IF(J168="SELL",-1,0)))</f>
        <v/>
      </c>
      <c r="U168" s="184">
        <f>IFERROR(IF(OR(J168="",N168="",P168=""),"",IF(T168=0,0,T168*Q168-Settings!$B$4/10000-IF(T168&lt;0,Settings!$B$5/10000,0))),"")</f>
        <v/>
      </c>
      <c r="V168" s="152" t="n"/>
      <c r="W168" s="176">
        <f>IF($K168="","",$K168*60)</f>
        <v/>
      </c>
      <c r="X168" s="186">
        <f>IF($A168="","",$A168&amp;"|"&amp;$C168&amp;"|"&amp;$D168)</f>
        <v/>
      </c>
      <c r="Y168" s="186">
        <f>IFERROR(IF($X168="","",INDEX(LLM_Data_Entry!$H$3:$H$548,MATCH($X168,INDEX(LLM_Data_Entry!$A$3:$A$548&amp;"|"&amp;LLM_Data_Entry!$C$3:$C$548&amp;"|"&amp;LLM_Data_Entry!$D$3:$D$548,0),0))),"")</f>
        <v/>
      </c>
      <c r="Z168" s="186">
        <f>IFERROR(IF($X168="","",INDEX(LLM_Data_Entry!$R$3:$R$548,MATCH($X168,INDEX(LLM_Data_Entry!$A$3:$A$548&amp;"|"&amp;LLM_Data_Entry!$C$3:$C$548&amp;"|"&amp;LLM_Data_Entry!$D$3:$D$548,0),0))),"")</f>
        <v/>
      </c>
      <c r="AA168" s="152" t="n"/>
      <c r="AB168" s="152" t="inlineStr">
        <is>
          <t>price signal — only this window shows an abnormal move</t>
        </is>
      </c>
      <c r="AC168" s="152" t="inlineStr">
        <is>
          <t>PYPL</t>
        </is>
      </c>
      <c r="AD168" s="152" t="inlineStr">
        <is>
          <t>2026-05-04</t>
        </is>
      </c>
      <c r="AE168" s="152" t="n">
        <v>50.2244</v>
      </c>
      <c r="AF168" s="152" t="inlineStr">
        <is>
          <t>2026-05-05</t>
        </is>
      </c>
      <c r="AG168" s="152" t="n">
        <v>45.2209</v>
      </c>
      <c r="AH168" s="152" t="n">
        <v>-0.09962295859469628</v>
      </c>
      <c r="AI168" s="152" t="inlineStr">
        <is>
          <t>DOWN</t>
        </is>
      </c>
      <c r="AJ168" s="152" t="inlineStr">
        <is>
          <t>YES</t>
        </is>
      </c>
      <c r="AK168" s="152" t="n">
        <v>0.098623</v>
      </c>
      <c r="AL168" s="152">
        <f>IF($A168="","",IFERROR(INDEX(Company_List!$G$3:$G$207,MATCH($A168,Company_List!$A$3:$A$207,0)),"unassigned"))</f>
        <v/>
      </c>
      <c r="AM168" s="152" t="inlineStr">
        <is>
          <t>Phase 3/Readings/PayPal/PYPL-1Q-26-Earnings-Presentation.pdf</t>
        </is>
      </c>
      <c r="AN168" s="152" t="n"/>
      <c r="AO168" s="152" t="inlineStr">
        <is>
          <t>unique filename match</t>
        </is>
      </c>
      <c r="AP168" s="152">
        <f>IF($A168="","",IF(COUNTIFS(LLM_Data_Entry!$A$3:$A$548,$A168)&gt;0,"YES","NO"))</f>
        <v/>
      </c>
      <c r="AQ168" s="152">
        <f>IF($A168="","",IF(COUNTIFS($A$3:$A168,$A168,$C$3:$C168,$C168,$D$3:$D168,$D168)=1,"YES","NO"))</f>
        <v/>
      </c>
      <c r="AR168" s="152">
        <f>IF($A168="","",IF(AND($C168&amp;"-"&amp;$D168&gt;=Settings!$B$19,$C168&amp;"-"&amp;$D168&lt;=Settings!$B$20),"IN","OUT"))</f>
        <v/>
      </c>
      <c r="AS168" s="152">
        <f>IF($A168="","",IF($F168="Financial Results","financials",IF($F168="Outlook/Guidance","guidance",IF($F168="Transcript Q&amp;A","qanda",IF($F168="","unrecorded",IF($E168="All","full",IF($E168="","unrecorded",LOWER($E168)&amp;" only")))))))</f>
        <v/>
      </c>
      <c r="AT168" s="152">
        <f>IF(AND(OR($J168="BUY",$J168="SELL"),ISNUMBER($U168)),$U168,"")</f>
        <v/>
      </c>
      <c r="AU168" s="152">
        <f>IF(AND(OR($J168="BUY",$J168="SELL"),ISNUMBER($AK168)),$AK168,"")</f>
        <v/>
      </c>
      <c r="AV168" s="152">
        <f>IF(ISNUMBER($AT168),ABS(IF(ISNUMBER($I168),$I168,0)-Settings!$B$24),"")</f>
        <v/>
      </c>
      <c r="AW168" s="152">
        <f>IF(ISNUMBER($AV168),$AV168*$AT168,"")</f>
        <v/>
      </c>
      <c r="AX168" s="152">
        <f>IF(ISNUMBER($AU168),ABS(IF(ISNUMBER($I168),$I168,0)-Settings!$B$24),"")</f>
        <v/>
      </c>
      <c r="AY168" s="152" t="inlineStr">
        <is>
          <t>FROZEN</t>
        </is>
      </c>
      <c r="AZ168" s="152">
        <f>IF($A168="","",IFERROR(INDEX(Company_List!$H$3:$H$207,MATCH($A168,Company_List!$A$3:$A$207,0)),"unassigned"))</f>
        <v/>
      </c>
      <c r="BA168" s="152" t="n"/>
      <c r="BB168" s="152" t="n"/>
      <c r="BC168" s="152">
        <f>IF($A168="","",IF(COUNTIFS($A$3:$A168,$A168,$C$3:$C168,$C168,$D$3:$D168,$D168,$G$3:$G168,$G168)=1,1,0))</f>
        <v/>
      </c>
      <c r="BD168" s="152" t="n"/>
      <c r="BE168" s="152" t="n"/>
      <c r="BF168" s="152" t="n"/>
      <c r="BG168" s="152" t="inlineStr">
        <is>
          <t>no</t>
        </is>
      </c>
      <c r="BH168" s="152" t="n"/>
      <c r="BI168" s="152" t="n"/>
      <c r="BJ168" s="152" t="n"/>
      <c r="BK168" s="152">
        <f>IF(OR($H168&lt;&gt;"Human",$S168="",$J168="",$Y168="",$Z168=""),"",IF(EXACT(UPPER($J168),UPPER($Y168)),1,0))</f>
        <v/>
      </c>
      <c r="BL168" s="152" t="inlineStr">
        <is>
          <t>assumed - no rater record</t>
        </is>
      </c>
      <c r="BM168" s="152" t="n">
        <v>1</v>
      </c>
      <c r="BN168" s="152" t="inlineStr">
        <is>
          <t>not publisher-identified</t>
        </is>
      </c>
      <c r="BO168" s="152" t="inlineStr">
        <is>
          <t>not publisher-identified</t>
        </is>
      </c>
      <c r="BP168" s="152" t="inlineStr">
        <is>
          <t>no</t>
        </is>
      </c>
      <c r="BQ168" s="152" t="inlineStr">
        <is>
          <t>no</t>
        </is>
      </c>
      <c r="BR168" s="152" t="n"/>
      <c r="BS168" s="152" t="inlineStr">
        <is>
          <t>YES</t>
        </is>
      </c>
      <c r="BT168" s="152" t="n"/>
    </row>
    <row r="169" ht="15" customHeight="1" s="241">
      <c r="A169" s="189" t="inlineStr">
        <is>
          <t>Visa</t>
        </is>
      </c>
      <c r="B169" s="188">
        <f>IF(A169="","",_xlfn.XLOOKUP(A169, Company_List!$A:$A, Company_List!$B:$B, ""))</f>
        <v/>
      </c>
      <c r="C169" s="176" t="n">
        <v>2025</v>
      </c>
      <c r="D169" s="177" t="inlineStr">
        <is>
          <t>Q1</t>
        </is>
      </c>
      <c r="E169" s="178" t="inlineStr">
        <is>
          <t>Transcript</t>
        </is>
      </c>
      <c r="F169" s="178" t="inlineStr">
        <is>
          <t>Outlook/Guidance</t>
        </is>
      </c>
      <c r="G169" s="177" t="inlineStr">
        <is>
          <t>Abdul</t>
        </is>
      </c>
      <c r="H169" s="177" t="inlineStr">
        <is>
          <t>Human</t>
        </is>
      </c>
      <c r="I169" s="180" t="n">
        <v>0.5</v>
      </c>
      <c r="J169" s="180">
        <f>IF(OR(I169="",Settings!$B$6=""),"",IF(I169&gt;Settings!$B$6,"BUY",IF(I169&lt;-Settings!$B$6,"SELL","HOLD")))</f>
        <v/>
      </c>
      <c r="K169" s="180" t="n">
        <v>12</v>
      </c>
      <c r="L169" s="182" t="n">
        <v>45776</v>
      </c>
      <c r="M169" s="182" t="n">
        <v>45776</v>
      </c>
      <c r="N169" s="179" t="n">
        <v>341.52</v>
      </c>
      <c r="O169" s="182" t="n">
        <v>45777</v>
      </c>
      <c r="P169" s="180" t="n">
        <v>334.44</v>
      </c>
      <c r="Q169" s="184">
        <f>IF(OR(N169="",P169=""),"",ROUND((P169-N169)/N169,4))</f>
        <v/>
      </c>
      <c r="R169" s="177">
        <f>IF(OR(N169="",P169=""),"",IF(Q169&gt;Settings!$B$3/100,"UP",IF(Q169&lt;-Settings!$B$3/100,"DOWN","FLAT")))</f>
        <v/>
      </c>
      <c r="S169" s="177">
        <f>IF(OR(N169="",P169="",J169=""),"",IF(OR(AND(J169="BUY",R169="UP"),AND(J169="SELL",R169="DOWN"),AND(J169="HOLD",R169="FLAT")),"YES","NO"))</f>
        <v/>
      </c>
      <c r="T169" s="176">
        <f>IF(J169="","",IF(J169="BUY",1,IF(J169="SELL",-1,0)))</f>
        <v/>
      </c>
      <c r="U169" s="184">
        <f>IFERROR(IF(OR(J169="",N169="",P169=""),"",IF(T169=0,0,T169*Q169-Settings!$B$4/10000-IF(T169&lt;0,Settings!$B$5/10000,0))),"")</f>
        <v/>
      </c>
      <c r="V169" s="152" t="n"/>
      <c r="W169" s="176">
        <f>IF($K169="","",$K169*60)</f>
        <v/>
      </c>
      <c r="X169" s="186">
        <f>IF($A169="","",$A169&amp;"|"&amp;$C169&amp;"|"&amp;$D169)</f>
        <v/>
      </c>
      <c r="Y169" s="186">
        <f>IFERROR(IF($X169="","",INDEX(LLM_Data_Entry!$H$3:$H$548,MATCH($X169,INDEX(LLM_Data_Entry!$A$3:$A$548&amp;"|"&amp;LLM_Data_Entry!$C$3:$C$548&amp;"|"&amp;LLM_Data_Entry!$D$3:$D$548,0),0))),"")</f>
        <v/>
      </c>
      <c r="Z169" s="186">
        <f>IFERROR(IF($X169="","",INDEX(LLM_Data_Entry!$R$3:$R$548,MATCH($X169,INDEX(LLM_Data_Entry!$A$3:$A$548&amp;"|"&amp;LLM_Data_Entry!$C$3:$C$548&amp;"|"&amp;LLM_Data_Entry!$D$3:$D$548,0),0))),"")</f>
        <v/>
      </c>
      <c r="AA169" s="152" t="n"/>
      <c r="AB169" s="152" t="inlineStr">
        <is>
          <t>price signal</t>
        </is>
      </c>
      <c r="AC169" s="152" t="inlineStr">
        <is>
          <t>V</t>
        </is>
      </c>
      <c r="AD169" s="152" t="inlineStr">
        <is>
          <t>2025-04-29</t>
        </is>
      </c>
      <c r="AE169" s="152" t="n">
        <v>338.2817</v>
      </c>
      <c r="AF169" s="152" t="inlineStr">
        <is>
          <t>2025-04-30</t>
        </is>
      </c>
      <c r="AG169" s="152" t="n">
        <v>331.2689</v>
      </c>
      <c r="AH169" s="152" t="n">
        <v>-0.02073084731316826</v>
      </c>
      <c r="AI169" s="152" t="inlineStr">
        <is>
          <t>DOWN</t>
        </is>
      </c>
      <c r="AJ169" s="152" t="inlineStr">
        <is>
          <t>NO</t>
        </is>
      </c>
      <c r="AK169" s="152" t="n">
        <v>-0.021731</v>
      </c>
      <c r="AL169" s="152">
        <f>IF($A169="","",IFERROR(INDEX(Company_List!$G$3:$G$207,MATCH($A169,Company_List!$A$3:$A$207,0)),"unassigned"))</f>
        <v/>
      </c>
      <c r="AM169" s="152" t="inlineStr">
        <is>
          <t>Phase 3/Readings/Visa/CORRECTED-TRANSCRIPT_-Visa-Inc-V-US-Q2-2025-Earnings-Call-29-April-2025-5_00-PM-ET.pdf</t>
        </is>
      </c>
      <c r="AN169" s="152" t="n"/>
      <c r="AO169" s="152" t="inlineStr">
        <is>
          <t>unique filename match</t>
        </is>
      </c>
      <c r="AP169" s="152">
        <f>IF($A169="","",IF(COUNTIFS(LLM_Data_Entry!$A$3:$A$548,$A169)&gt;0,"YES","NO"))</f>
        <v/>
      </c>
      <c r="AQ169" s="152">
        <f>IF($A169="","",IF(COUNTIFS($A$3:$A169,$A169,$C$3:$C169,$C169,$D$3:$D169,$D169)=1,"YES","NO"))</f>
        <v/>
      </c>
      <c r="AR169" s="152">
        <f>IF($A169="","",IF(AND($C169&amp;"-"&amp;$D169&gt;=Settings!$B$19,$C169&amp;"-"&amp;$D169&lt;=Settings!$B$20),"IN","OUT"))</f>
        <v/>
      </c>
      <c r="AS169" s="152">
        <f>IF($A169="","",IF($F169="Financial Results","financials",IF($F169="Outlook/Guidance","guidance",IF($F169="Transcript Q&amp;A","qanda",IF($F169="","unrecorded",IF($E169="All","full",IF($E169="","unrecorded",LOWER($E169)&amp;" only")))))))</f>
        <v/>
      </c>
      <c r="AT169" s="152">
        <f>IF(AND(OR($J169="BUY",$J169="SELL"),ISNUMBER($U169)),$U169,"")</f>
        <v/>
      </c>
      <c r="AU169" s="152">
        <f>IF(AND(OR($J169="BUY",$J169="SELL"),ISNUMBER($AK169)),$AK169,"")</f>
        <v/>
      </c>
      <c r="AV169" s="152">
        <f>IF(ISNUMBER($AT169),ABS(IF(ISNUMBER($I169),$I169,0)-Settings!$B$24),"")</f>
        <v/>
      </c>
      <c r="AW169" s="152">
        <f>IF(ISNUMBER($AV169),$AV169*$AT169,"")</f>
        <v/>
      </c>
      <c r="AX169" s="152">
        <f>IF(ISNUMBER($AU169),ABS(IF(ISNUMBER($I169),$I169,0)-Settings!$B$24),"")</f>
        <v/>
      </c>
      <c r="AY169" s="152" t="inlineStr">
        <is>
          <t>FROZEN</t>
        </is>
      </c>
      <c r="AZ169" s="152">
        <f>IF($A169="","",IFERROR(INDEX(Company_List!$H$3:$H$207,MATCH($A169,Company_List!$A$3:$A$207,0)),"unassigned"))</f>
        <v/>
      </c>
      <c r="BA169" s="152" t="n"/>
      <c r="BB169" s="152" t="n"/>
      <c r="BC169" s="152">
        <f>IF($A169="","",IF(COUNTIFS($A$3:$A169,$A169,$C$3:$C169,$C169,$D$3:$D169,$D169,$G$3:$G169,$G169)=1,1,0))</f>
        <v/>
      </c>
      <c r="BD169" s="152" t="n"/>
      <c r="BE169" s="152" t="n"/>
      <c r="BF169" s="152" t="n"/>
      <c r="BG169" s="152" t="inlineStr">
        <is>
          <t>no</t>
        </is>
      </c>
      <c r="BH169" s="152" t="n"/>
      <c r="BI169" s="152" t="n"/>
      <c r="BJ169" s="152" t="n"/>
      <c r="BK169" s="152">
        <f>IF(OR($H169&lt;&gt;"Human",$S169="",$J169="",$Y169="",$Z169=""),"",IF(EXACT(UPPER($J169),UPPER($Y169)),1,0))</f>
        <v/>
      </c>
      <c r="BL169" s="152" t="inlineStr">
        <is>
          <t>assumed - no rater record</t>
        </is>
      </c>
      <c r="BM169" s="152" t="n">
        <v>1</v>
      </c>
      <c r="BN169" s="152" t="inlineStr">
        <is>
          <t>FactSet CallStreet</t>
        </is>
      </c>
      <c r="BO169" s="152" t="inlineStr">
        <is>
          <t>licensed vendor</t>
        </is>
      </c>
      <c r="BP169" s="152" t="inlineStr">
        <is>
          <t>no</t>
        </is>
      </c>
      <c r="BQ169" s="152" t="inlineStr">
        <is>
          <t>no</t>
        </is>
      </c>
      <c r="BR169" s="152" t="n"/>
      <c r="BS169" s="152" t="inlineStr">
        <is>
          <t>YES</t>
        </is>
      </c>
      <c r="BT169" s="152" t="n"/>
    </row>
    <row r="170" ht="15" customHeight="1" s="241">
      <c r="A170" s="189" t="inlineStr">
        <is>
          <t>Visa</t>
        </is>
      </c>
      <c r="B170" s="188">
        <f>IF(A170="","",_xlfn.XLOOKUP(A170, Company_List!$A:$A, Company_List!$B:$B, ""))</f>
        <v/>
      </c>
      <c r="C170" s="176" t="n">
        <v>2025</v>
      </c>
      <c r="D170" s="177" t="inlineStr">
        <is>
          <t>Q2</t>
        </is>
      </c>
      <c r="E170" s="178" t="inlineStr">
        <is>
          <t>Transcript</t>
        </is>
      </c>
      <c r="F170" s="178" t="inlineStr">
        <is>
          <t>Outlook/Guidance</t>
        </is>
      </c>
      <c r="G170" s="177" t="inlineStr">
        <is>
          <t>Abdul</t>
        </is>
      </c>
      <c r="H170" s="177" t="inlineStr">
        <is>
          <t>Human</t>
        </is>
      </c>
      <c r="I170" s="180" t="n">
        <v>0.3</v>
      </c>
      <c r="J170" s="180">
        <f>IF(OR(I170="",Settings!$B$6=""),"",IF(I170&gt;Settings!$B$6,"BUY",IF(I170&lt;-Settings!$B$6,"SELL","HOLD")))</f>
        <v/>
      </c>
      <c r="K170" s="180" t="n">
        <v>10</v>
      </c>
      <c r="L170" s="182" t="n">
        <v>45867</v>
      </c>
      <c r="M170" s="182" t="n">
        <v>45867</v>
      </c>
      <c r="N170" s="179" t="n">
        <v>351.29</v>
      </c>
      <c r="O170" s="182" t="n">
        <v>45868</v>
      </c>
      <c r="P170" s="180" t="n">
        <v>351.7</v>
      </c>
      <c r="Q170" s="184">
        <f>IF(OR(N170="",P170=""),"",ROUND((P170-N170)/N170,4))</f>
        <v/>
      </c>
      <c r="R170" s="177">
        <f>IF(OR(N170="",P170=""),"",IF(Q170&gt;Settings!$B$3/100,"UP",IF(Q170&lt;-Settings!$B$3/100,"DOWN","FLAT")))</f>
        <v/>
      </c>
      <c r="S170" s="177">
        <f>IF(OR(N170="",P170="",J170=""),"",IF(OR(AND(J170="BUY",R170="UP"),AND(J170="SELL",R170="DOWN"),AND(J170="HOLD",R170="FLAT")),"YES","NO"))</f>
        <v/>
      </c>
      <c r="T170" s="176">
        <f>IF(J170="","",IF(J170="BUY",1,IF(J170="SELL",-1,0)))</f>
        <v/>
      </c>
      <c r="U170" s="184">
        <f>IFERROR(IF(OR(J170="",N170="",P170=""),"",IF(T170=0,0,T170*Q170-Settings!$B$4/10000-IF(T170&lt;0,Settings!$B$5/10000,0))),"")</f>
        <v/>
      </c>
      <c r="V170" s="152" t="n"/>
      <c r="W170" s="176">
        <f>IF($K170="","",$K170*60)</f>
        <v/>
      </c>
      <c r="X170" s="186">
        <f>IF($A170="","",$A170&amp;"|"&amp;$C170&amp;"|"&amp;$D170)</f>
        <v/>
      </c>
      <c r="Y170" s="186">
        <f>IFERROR(IF($X170="","",INDEX(LLM_Data_Entry!$H$3:$H$548,MATCH($X170,INDEX(LLM_Data_Entry!$A$3:$A$548&amp;"|"&amp;LLM_Data_Entry!$C$3:$C$548&amp;"|"&amp;LLM_Data_Entry!$D$3:$D$548,0),0))),"")</f>
        <v/>
      </c>
      <c r="Z170" s="186">
        <f>IFERROR(IF($X170="","",INDEX(LLM_Data_Entry!$R$3:$R$548,MATCH($X170,INDEX(LLM_Data_Entry!$A$3:$A$548&amp;"|"&amp;LLM_Data_Entry!$C$3:$C$548&amp;"|"&amp;LLM_Data_Entry!$D$3:$D$548,0),0))),"")</f>
        <v/>
      </c>
      <c r="AA170" s="152" t="n"/>
      <c r="AB170" s="152" t="inlineStr">
        <is>
          <t>release time published by the issuer</t>
        </is>
      </c>
      <c r="AC170" s="152" t="inlineStr">
        <is>
          <t>V</t>
        </is>
      </c>
      <c r="AD170" s="152" t="inlineStr">
        <is>
          <t>2025-07-29</t>
        </is>
      </c>
      <c r="AE170" s="152" t="n">
        <v>348.537</v>
      </c>
      <c r="AF170" s="152" t="inlineStr">
        <is>
          <t>2025-07-30</t>
        </is>
      </c>
      <c r="AG170" s="152" t="n">
        <v>348.9438</v>
      </c>
      <c r="AH170" s="152" t="n">
        <v>0.001167086332530885</v>
      </c>
      <c r="AI170" s="152" t="inlineStr">
        <is>
          <t>FLAT</t>
        </is>
      </c>
      <c r="AJ170" s="152" t="inlineStr">
        <is>
          <t>NO</t>
        </is>
      </c>
      <c r="AK170" s="152" t="n">
        <v>0.000167</v>
      </c>
      <c r="AL170" s="152">
        <f>IF($A170="","",IFERROR(INDEX(Company_List!$G$3:$G$207,MATCH($A170,Company_List!$A$3:$A$207,0)),"unassigned"))</f>
        <v/>
      </c>
      <c r="AM170" s="152" t="inlineStr">
        <is>
          <t>Phase 3/Readings/Visa/CORRECTED-TRANSCRIPT_-Visa-Inc-V-US-Q3-2025-Earnings-Call-29-July-2025-5_00-PM-ET.pdf</t>
        </is>
      </c>
      <c r="AN170" s="152" t="n"/>
      <c r="AO170" s="152" t="inlineStr">
        <is>
          <t>unique filename match</t>
        </is>
      </c>
      <c r="AP170" s="152">
        <f>IF($A170="","",IF(COUNTIFS(LLM_Data_Entry!$A$3:$A$548,$A170)&gt;0,"YES","NO"))</f>
        <v/>
      </c>
      <c r="AQ170" s="152">
        <f>IF($A170="","",IF(COUNTIFS($A$3:$A170,$A170,$C$3:$C170,$C170,$D$3:$D170,$D170)=1,"YES","NO"))</f>
        <v/>
      </c>
      <c r="AR170" s="152">
        <f>IF($A170="","",IF(AND($C170&amp;"-"&amp;$D170&gt;=Settings!$B$19,$C170&amp;"-"&amp;$D170&lt;=Settings!$B$20),"IN","OUT"))</f>
        <v/>
      </c>
      <c r="AS170" s="152">
        <f>IF($A170="","",IF($F170="Financial Results","financials",IF($F170="Outlook/Guidance","guidance",IF($F170="Transcript Q&amp;A","qanda",IF($F170="","unrecorded",IF($E170="All","full",IF($E170="","unrecorded",LOWER($E170)&amp;" only")))))))</f>
        <v/>
      </c>
      <c r="AT170" s="152">
        <f>IF(AND(OR($J170="BUY",$J170="SELL"),ISNUMBER($U170)),$U170,"")</f>
        <v/>
      </c>
      <c r="AU170" s="152">
        <f>IF(AND(OR($J170="BUY",$J170="SELL"),ISNUMBER($AK170)),$AK170,"")</f>
        <v/>
      </c>
      <c r="AV170" s="152">
        <f>IF(ISNUMBER($AT170),ABS(IF(ISNUMBER($I170),$I170,0)-Settings!$B$24),"")</f>
        <v/>
      </c>
      <c r="AW170" s="152">
        <f>IF(ISNUMBER($AV170),$AV170*$AT170,"")</f>
        <v/>
      </c>
      <c r="AX170" s="152">
        <f>IF(ISNUMBER($AU170),ABS(IF(ISNUMBER($I170),$I170,0)-Settings!$B$24),"")</f>
        <v/>
      </c>
      <c r="AY170" s="152" t="inlineStr">
        <is>
          <t>FROZEN</t>
        </is>
      </c>
      <c r="AZ170" s="152">
        <f>IF($A170="","",IFERROR(INDEX(Company_List!$H$3:$H$207,MATCH($A170,Company_List!$A$3:$A$207,0)),"unassigned"))</f>
        <v/>
      </c>
      <c r="BA170" s="152" t="n"/>
      <c r="BB170" s="152" t="n"/>
      <c r="BC170" s="152">
        <f>IF($A170="","",IF(COUNTIFS($A$3:$A170,$A170,$C$3:$C170,$C170,$D$3:$D170,$D170,$G$3:$G170,$G170)=1,1,0))</f>
        <v/>
      </c>
      <c r="BD170" s="152" t="n"/>
      <c r="BE170" s="152" t="n"/>
      <c r="BF170" s="152" t="n"/>
      <c r="BG170" s="152" t="inlineStr">
        <is>
          <t>no</t>
        </is>
      </c>
      <c r="BH170" s="152" t="n"/>
      <c r="BI170" s="152" t="n"/>
      <c r="BJ170" s="152" t="n"/>
      <c r="BK170" s="152">
        <f>IF(OR($H170&lt;&gt;"Human",$S170="",$J170="",$Y170="",$Z170=""),"",IF(EXACT(UPPER($J170),UPPER($Y170)),1,0))</f>
        <v/>
      </c>
      <c r="BL170" s="152" t="inlineStr">
        <is>
          <t>assumed - no rater record</t>
        </is>
      </c>
      <c r="BM170" s="152" t="n">
        <v>1</v>
      </c>
      <c r="BN170" s="152" t="inlineStr">
        <is>
          <t>FactSet CallStreet</t>
        </is>
      </c>
      <c r="BO170" s="152" t="inlineStr">
        <is>
          <t>licensed vendor</t>
        </is>
      </c>
      <c r="BP170" s="152" t="inlineStr">
        <is>
          <t>no</t>
        </is>
      </c>
      <c r="BQ170" s="152" t="inlineStr">
        <is>
          <t>no</t>
        </is>
      </c>
      <c r="BR170" s="152" t="n"/>
      <c r="BS170" s="152" t="inlineStr">
        <is>
          <t>YES</t>
        </is>
      </c>
      <c r="BT170" s="152" t="n"/>
    </row>
    <row r="171" ht="15" customHeight="1" s="241">
      <c r="A171" s="189" t="inlineStr">
        <is>
          <t>Visa</t>
        </is>
      </c>
      <c r="B171" s="188">
        <f>IF(A171="","",_xlfn.XLOOKUP(A171, Company_List!$A:$A, Company_List!$B:$B, ""))</f>
        <v/>
      </c>
      <c r="C171" s="176" t="n">
        <v>2025</v>
      </c>
      <c r="D171" s="177" t="inlineStr">
        <is>
          <t>Q3</t>
        </is>
      </c>
      <c r="E171" s="178" t="inlineStr">
        <is>
          <t>Transcript</t>
        </is>
      </c>
      <c r="F171" s="178" t="inlineStr">
        <is>
          <t>Outlook/Guidance</t>
        </is>
      </c>
      <c r="G171" s="177" t="inlineStr">
        <is>
          <t>Abdul</t>
        </is>
      </c>
      <c r="H171" s="177" t="inlineStr">
        <is>
          <t>Human</t>
        </is>
      </c>
      <c r="I171" s="180" t="n">
        <v>0.3</v>
      </c>
      <c r="J171" s="180">
        <f>IF(OR(I171="",Settings!$B$6=""),"",IF(I171&gt;Settings!$B$6,"BUY",IF(I171&lt;-Settings!$B$6,"SELL","HOLD")))</f>
        <v/>
      </c>
      <c r="K171" s="180" t="n">
        <v>10</v>
      </c>
      <c r="L171" s="182" t="n">
        <v>45958</v>
      </c>
      <c r="M171" s="182" t="n">
        <v>45958</v>
      </c>
      <c r="N171" s="179" t="n">
        <v>346.9</v>
      </c>
      <c r="O171" s="182" t="n">
        <v>45959</v>
      </c>
      <c r="P171" s="180" t="n">
        <v>346</v>
      </c>
      <c r="Q171" s="184">
        <f>IF(OR(N171="",P171=""),"",ROUND((P171-N171)/N171,4))</f>
        <v/>
      </c>
      <c r="R171" s="177">
        <f>IF(OR(N171="",P171=""),"",IF(Q171&gt;Settings!$B$3/100,"UP",IF(Q171&lt;-Settings!$B$3/100,"DOWN","FLAT")))</f>
        <v/>
      </c>
      <c r="S171" s="177">
        <f>IF(OR(N171="",P171="",J171=""),"",IF(OR(AND(J171="BUY",R171="UP"),AND(J171="SELL",R171="DOWN"),AND(J171="HOLD",R171="FLAT")),"YES","NO"))</f>
        <v/>
      </c>
      <c r="T171" s="176">
        <f>IF(J171="","",IF(J171="BUY",1,IF(J171="SELL",-1,0)))</f>
        <v/>
      </c>
      <c r="U171" s="184">
        <f>IFERROR(IF(OR(J171="",N171="",P171=""),"",IF(T171=0,0,T171*Q171-Settings!$B$4/10000-IF(T171&lt;0,Settings!$B$5/10000,0))),"")</f>
        <v/>
      </c>
      <c r="V171" s="152" t="n"/>
      <c r="W171" s="176">
        <f>IF($K171="","",$K171*60)</f>
        <v/>
      </c>
      <c r="X171" s="186">
        <f>IF($A171="","",$A171&amp;"|"&amp;$C171&amp;"|"&amp;$D171)</f>
        <v/>
      </c>
      <c r="Y171" s="186">
        <f>IFERROR(IF($X171="","",INDEX(LLM_Data_Entry!$H$3:$H$548,MATCH($X171,INDEX(LLM_Data_Entry!$A$3:$A$548&amp;"|"&amp;LLM_Data_Entry!$C$3:$C$548&amp;"|"&amp;LLM_Data_Entry!$D$3:$D$548,0),0))),"")</f>
        <v/>
      </c>
      <c r="Z171" s="186">
        <f>IFERROR(IF($X171="","",INDEX(LLM_Data_Entry!$R$3:$R$548,MATCH($X171,INDEX(LLM_Data_Entry!$A$3:$A$548&amp;"|"&amp;LLM_Data_Entry!$C$3:$C$548&amp;"|"&amp;LLM_Data_Entry!$D$3:$D$548,0),0))),"")</f>
        <v/>
      </c>
      <c r="AA171" s="152" t="n"/>
      <c r="AB171" s="152" t="inlineStr">
        <is>
          <t>release time published by the issuer</t>
        </is>
      </c>
      <c r="AC171" s="152" t="inlineStr">
        <is>
          <t>V</t>
        </is>
      </c>
      <c r="AD171" s="152" t="inlineStr">
        <is>
          <t>2025-10-28</t>
        </is>
      </c>
      <c r="AE171" s="152" t="n">
        <v>344.787</v>
      </c>
      <c r="AF171" s="152" t="inlineStr">
        <is>
          <t>2025-10-29</t>
        </is>
      </c>
      <c r="AG171" s="152" t="n">
        <v>343.8925</v>
      </c>
      <c r="AH171" s="152" t="n">
        <v>-0.002594277179821893</v>
      </c>
      <c r="AI171" s="152" t="inlineStr">
        <is>
          <t>FLAT</t>
        </is>
      </c>
      <c r="AJ171" s="152" t="inlineStr">
        <is>
          <t>NO</t>
        </is>
      </c>
      <c r="AK171" s="152" t="n">
        <v>-0.003594</v>
      </c>
      <c r="AL171" s="152">
        <f>IF($A171="","",IFERROR(INDEX(Company_List!$G$3:$G$207,MATCH($A171,Company_List!$A$3:$A$207,0)),"unassigned"))</f>
        <v/>
      </c>
      <c r="AM171" s="152" t="inlineStr">
        <is>
          <t>Phase 3/Readings/Visa/CORRECTED-TRANSCRIPT_-Visa-Inc-V-US-Q4-2025-Earnings-Call-28-October-2025-5_00-PM-ET.pdf</t>
        </is>
      </c>
      <c r="AN171" s="152" t="n"/>
      <c r="AO171" s="152" t="inlineStr">
        <is>
          <t>unique filename match</t>
        </is>
      </c>
      <c r="AP171" s="152">
        <f>IF($A171="","",IF(COUNTIFS(LLM_Data_Entry!$A$3:$A$548,$A171)&gt;0,"YES","NO"))</f>
        <v/>
      </c>
      <c r="AQ171" s="152">
        <f>IF($A171="","",IF(COUNTIFS($A$3:$A171,$A171,$C$3:$C171,$C171,$D$3:$D171,$D171)=1,"YES","NO"))</f>
        <v/>
      </c>
      <c r="AR171" s="152">
        <f>IF($A171="","",IF(AND($C171&amp;"-"&amp;$D171&gt;=Settings!$B$19,$C171&amp;"-"&amp;$D171&lt;=Settings!$B$20),"IN","OUT"))</f>
        <v/>
      </c>
      <c r="AS171" s="152">
        <f>IF($A171="","",IF($F171="Financial Results","financials",IF($F171="Outlook/Guidance","guidance",IF($F171="Transcript Q&amp;A","qanda",IF($F171="","unrecorded",IF($E171="All","full",IF($E171="","unrecorded",LOWER($E171)&amp;" only")))))))</f>
        <v/>
      </c>
      <c r="AT171" s="152">
        <f>IF(AND(OR($J171="BUY",$J171="SELL"),ISNUMBER($U171)),$U171,"")</f>
        <v/>
      </c>
      <c r="AU171" s="152">
        <f>IF(AND(OR($J171="BUY",$J171="SELL"),ISNUMBER($AK171)),$AK171,"")</f>
        <v/>
      </c>
      <c r="AV171" s="152">
        <f>IF(ISNUMBER($AT171),ABS(IF(ISNUMBER($I171),$I171,0)-Settings!$B$24),"")</f>
        <v/>
      </c>
      <c r="AW171" s="152">
        <f>IF(ISNUMBER($AV171),$AV171*$AT171,"")</f>
        <v/>
      </c>
      <c r="AX171" s="152">
        <f>IF(ISNUMBER($AU171),ABS(IF(ISNUMBER($I171),$I171,0)-Settings!$B$24),"")</f>
        <v/>
      </c>
      <c r="AY171" s="152" t="inlineStr">
        <is>
          <t>FROZEN</t>
        </is>
      </c>
      <c r="AZ171" s="152">
        <f>IF($A171="","",IFERROR(INDEX(Company_List!$H$3:$H$207,MATCH($A171,Company_List!$A$3:$A$207,0)),"unassigned"))</f>
        <v/>
      </c>
      <c r="BA171" s="152" t="n"/>
      <c r="BB171" s="152" t="n"/>
      <c r="BC171" s="152">
        <f>IF($A171="","",IF(COUNTIFS($A$3:$A171,$A171,$C$3:$C171,$C171,$D$3:$D171,$D171,$G$3:$G171,$G171)=1,1,0))</f>
        <v/>
      </c>
      <c r="BD171" s="152" t="n"/>
      <c r="BE171" s="152" t="n"/>
      <c r="BF171" s="152" t="n"/>
      <c r="BG171" s="152" t="inlineStr">
        <is>
          <t>no</t>
        </is>
      </c>
      <c r="BH171" s="152" t="n"/>
      <c r="BI171" s="152" t="n"/>
      <c r="BJ171" s="152" t="n"/>
      <c r="BK171" s="152">
        <f>IF(OR($H171&lt;&gt;"Human",$S171="",$J171="",$Y171="",$Z171=""),"",IF(EXACT(UPPER($J171),UPPER($Y171)),1,0))</f>
        <v/>
      </c>
      <c r="BL171" s="152" t="inlineStr">
        <is>
          <t>assumed - no rater record</t>
        </is>
      </c>
      <c r="BM171" s="152" t="n">
        <v>1</v>
      </c>
      <c r="BN171" s="152" t="inlineStr">
        <is>
          <t>FactSet CallStreet</t>
        </is>
      </c>
      <c r="BO171" s="152" t="inlineStr">
        <is>
          <t>licensed vendor</t>
        </is>
      </c>
      <c r="BP171" s="152" t="inlineStr">
        <is>
          <t>no</t>
        </is>
      </c>
      <c r="BQ171" s="152" t="inlineStr">
        <is>
          <t>no</t>
        </is>
      </c>
      <c r="BR171" s="152" t="n"/>
      <c r="BS171" s="152" t="inlineStr">
        <is>
          <t>YES</t>
        </is>
      </c>
      <c r="BT171" s="152" t="n"/>
    </row>
    <row r="172" ht="15" customHeight="1" s="241">
      <c r="A172" s="189" t="inlineStr">
        <is>
          <t>Visa</t>
        </is>
      </c>
      <c r="B172" s="188">
        <f>IF(A172="","",_xlfn.XLOOKUP(A172, Company_List!$A:$A, Company_List!$B:$B, ""))</f>
        <v/>
      </c>
      <c r="C172" s="176" t="n">
        <v>2026</v>
      </c>
      <c r="D172" s="177" t="inlineStr">
        <is>
          <t>Q1</t>
        </is>
      </c>
      <c r="E172" s="178" t="inlineStr">
        <is>
          <t>Transcript</t>
        </is>
      </c>
      <c r="F172" s="178" t="inlineStr">
        <is>
          <t>Outlook/Guidance</t>
        </is>
      </c>
      <c r="G172" s="177" t="inlineStr">
        <is>
          <t>Abdul</t>
        </is>
      </c>
      <c r="H172" s="177" t="inlineStr">
        <is>
          <t>Human</t>
        </is>
      </c>
      <c r="I172" s="180" t="n">
        <v>0.8</v>
      </c>
      <c r="J172" s="180">
        <f>IF(OR(I172="",Settings!$B$6=""),"",IF(I172&gt;Settings!$B$6,"BUY",IF(I172&lt;-Settings!$B$6,"SELL","HOLD")))</f>
        <v/>
      </c>
      <c r="K172" s="180" t="n">
        <v>13</v>
      </c>
      <c r="L172" s="182" t="n">
        <v>46140</v>
      </c>
      <c r="M172" s="182" t="n">
        <v>46140</v>
      </c>
      <c r="N172" s="179" t="n">
        <v>309.3</v>
      </c>
      <c r="O172" s="182" t="n">
        <v>46141</v>
      </c>
      <c r="P172" s="180" t="n">
        <v>336.4</v>
      </c>
      <c r="Q172" s="184">
        <f>IF(OR(N172="",P172=""),"",ROUND((P172-N172)/N172,4))</f>
        <v/>
      </c>
      <c r="R172" s="177">
        <f>IF(OR(N172="",P172=""),"",IF(Q172&gt;Settings!$B$3/100,"UP",IF(Q172&lt;-Settings!$B$3/100,"DOWN","FLAT")))</f>
        <v/>
      </c>
      <c r="S172" s="177">
        <f>IF(OR(N172="",P172="",J172=""),"",IF(OR(AND(J172="BUY",R172="UP"),AND(J172="SELL",R172="DOWN"),AND(J172="HOLD",R172="FLAT")),"YES","NO"))</f>
        <v/>
      </c>
      <c r="T172" s="176">
        <f>IF(J172="","",IF(J172="BUY",1,IF(J172="SELL",-1,0)))</f>
        <v/>
      </c>
      <c r="U172" s="184">
        <f>IFERROR(IF(OR(J172="",N172="",P172=""),"",IF(T172=0,0,T172*Q172-Settings!$B$4/10000-IF(T172&lt;0,Settings!$B$5/10000,0))),"")</f>
        <v/>
      </c>
      <c r="V172" s="152" t="n"/>
      <c r="W172" s="176">
        <f>IF($K172="","",$K172*60)</f>
        <v/>
      </c>
      <c r="X172" s="186">
        <f>IF($A172="","",$A172&amp;"|"&amp;$C172&amp;"|"&amp;$D172)</f>
        <v/>
      </c>
      <c r="Y172" s="186">
        <f>IFERROR(IF($X172="","",INDEX(LLM_Data_Entry!$H$3:$H$548,MATCH($X172,INDEX(LLM_Data_Entry!$A$3:$A$548&amp;"|"&amp;LLM_Data_Entry!$C$3:$C$548&amp;"|"&amp;LLM_Data_Entry!$D$3:$D$548,0),0))),"")</f>
        <v/>
      </c>
      <c r="Z172" s="186">
        <f>IFERROR(IF($X172="","",INDEX(LLM_Data_Entry!$R$3:$R$548,MATCH($X172,INDEX(LLM_Data_Entry!$A$3:$A$548&amp;"|"&amp;LLM_Data_Entry!$C$3:$C$548&amp;"|"&amp;LLM_Data_Entry!$D$3:$D$548,0),0))),"")</f>
        <v/>
      </c>
      <c r="AA172" s="152" t="n"/>
      <c r="AB172" s="152" t="inlineStr">
        <is>
          <t>price signal — both moved; this one dominates</t>
        </is>
      </c>
      <c r="AC172" s="152" t="inlineStr">
        <is>
          <t>V</t>
        </is>
      </c>
      <c r="AD172" s="152" t="inlineStr">
        <is>
          <t>2026-04-28</t>
        </is>
      </c>
      <c r="AE172" s="152" t="n">
        <v>308.6601</v>
      </c>
      <c r="AF172" s="152" t="inlineStr">
        <is>
          <t>2026-04-29</t>
        </is>
      </c>
      <c r="AG172" s="152" t="n">
        <v>335.7041</v>
      </c>
      <c r="AH172" s="152" t="n">
        <v>0.0876172997754088</v>
      </c>
      <c r="AI172" s="152" t="inlineStr">
        <is>
          <t>UP</t>
        </is>
      </c>
      <c r="AJ172" s="152" t="inlineStr">
        <is>
          <t>YES</t>
        </is>
      </c>
      <c r="AK172" s="152" t="n">
        <v>0.086617</v>
      </c>
      <c r="AL172" s="152">
        <f>IF($A172="","",IFERROR(INDEX(Company_List!$G$3:$G$207,MATCH($A172,Company_List!$A$3:$A$207,0)),"unassigned"))</f>
        <v/>
      </c>
      <c r="AM172" s="152" t="inlineStr">
        <is>
          <t>Phase 3/Readings/Visa/CORRECTED-TRANSCRIPT_-Visa-Inc-V-US-Q2-2026-Earnings-Call-28-April-2026-5_00-PM-ET-4.pdf</t>
        </is>
      </c>
      <c r="AN172" s="152" t="n"/>
      <c r="AO172" s="152" t="inlineStr">
        <is>
          <t>unique filename match</t>
        </is>
      </c>
      <c r="AP172" s="152">
        <f>IF($A172="","",IF(COUNTIFS(LLM_Data_Entry!$A$3:$A$548,$A172)&gt;0,"YES","NO"))</f>
        <v/>
      </c>
      <c r="AQ172" s="152">
        <f>IF($A172="","",IF(COUNTIFS($A$3:$A172,$A172,$C$3:$C172,$C172,$D$3:$D172,$D172)=1,"YES","NO"))</f>
        <v/>
      </c>
      <c r="AR172" s="152">
        <f>IF($A172="","",IF(AND($C172&amp;"-"&amp;$D172&gt;=Settings!$B$19,$C172&amp;"-"&amp;$D172&lt;=Settings!$B$20),"IN","OUT"))</f>
        <v/>
      </c>
      <c r="AS172" s="152">
        <f>IF($A172="","",IF($F172="Financial Results","financials",IF($F172="Outlook/Guidance","guidance",IF($F172="Transcript Q&amp;A","qanda",IF($F172="","unrecorded",IF($E172="All","full",IF($E172="","unrecorded",LOWER($E172)&amp;" only")))))))</f>
        <v/>
      </c>
      <c r="AT172" s="152">
        <f>IF(AND(OR($J172="BUY",$J172="SELL"),ISNUMBER($U172)),$U172,"")</f>
        <v/>
      </c>
      <c r="AU172" s="152">
        <f>IF(AND(OR($J172="BUY",$J172="SELL"),ISNUMBER($AK172)),$AK172,"")</f>
        <v/>
      </c>
      <c r="AV172" s="152">
        <f>IF(ISNUMBER($AT172),ABS(IF(ISNUMBER($I172),$I172,0)-Settings!$B$24),"")</f>
        <v/>
      </c>
      <c r="AW172" s="152">
        <f>IF(ISNUMBER($AV172),$AV172*$AT172,"")</f>
        <v/>
      </c>
      <c r="AX172" s="152">
        <f>IF(ISNUMBER($AU172),ABS(IF(ISNUMBER($I172),$I172,0)-Settings!$B$24),"")</f>
        <v/>
      </c>
      <c r="AY172" s="152" t="inlineStr">
        <is>
          <t>FROZEN</t>
        </is>
      </c>
      <c r="AZ172" s="152">
        <f>IF($A172="","",IFERROR(INDEX(Company_List!$H$3:$H$207,MATCH($A172,Company_List!$A$3:$A$207,0)),"unassigned"))</f>
        <v/>
      </c>
      <c r="BA172" s="152" t="n"/>
      <c r="BB172" s="152" t="n"/>
      <c r="BC172" s="152">
        <f>IF($A172="","",IF(COUNTIFS($A$3:$A172,$A172,$C$3:$C172,$C172,$D$3:$D172,$D172,$G$3:$G172,$G172)=1,1,0))</f>
        <v/>
      </c>
      <c r="BD172" s="152" t="n"/>
      <c r="BE172" s="152" t="n"/>
      <c r="BF172" s="152" t="n"/>
      <c r="BG172" s="152" t="inlineStr">
        <is>
          <t>no</t>
        </is>
      </c>
      <c r="BH172" s="152" t="n"/>
      <c r="BI172" s="152" t="n"/>
      <c r="BJ172" s="152" t="n"/>
      <c r="BK172" s="152">
        <f>IF(OR($H172&lt;&gt;"Human",$S172="",$J172="",$Y172="",$Z172=""),"",IF(EXACT(UPPER($J172),UPPER($Y172)),1,0))</f>
        <v/>
      </c>
      <c r="BL172" s="152" t="inlineStr">
        <is>
          <t>assumed - no rater record</t>
        </is>
      </c>
      <c r="BM172" s="152" t="n">
        <v>1</v>
      </c>
      <c r="BN172" s="152" t="inlineStr">
        <is>
          <t>FactSet CallStreet</t>
        </is>
      </c>
      <c r="BO172" s="152" t="inlineStr">
        <is>
          <t>licensed vendor</t>
        </is>
      </c>
      <c r="BP172" s="152" t="inlineStr">
        <is>
          <t>no</t>
        </is>
      </c>
      <c r="BQ172" s="152" t="inlineStr">
        <is>
          <t>no</t>
        </is>
      </c>
      <c r="BR172" s="152" t="n"/>
      <c r="BS172" s="152" t="inlineStr">
        <is>
          <t>YES</t>
        </is>
      </c>
      <c r="BT172" s="152" t="n"/>
    </row>
    <row r="173" ht="15" customHeight="1" s="241">
      <c r="A173" s="187" t="inlineStr">
        <is>
          <t>Johnson &amp; Johnson</t>
        </is>
      </c>
      <c r="B173" s="188">
        <f>IF(A173="","",_xlfn.XLOOKUP(A173, Company_List!$A:$A, Company_List!$B:$B, ""))</f>
        <v/>
      </c>
      <c r="C173" s="176" t="n">
        <v>2025</v>
      </c>
      <c r="D173" s="177" t="inlineStr">
        <is>
          <t>Q1</t>
        </is>
      </c>
      <c r="E173" s="178" t="inlineStr">
        <is>
          <t>Presentation</t>
        </is>
      </c>
      <c r="F173" s="178" t="inlineStr">
        <is>
          <t>All</t>
        </is>
      </c>
      <c r="G173" s="177" t="inlineStr">
        <is>
          <t>Abdul</t>
        </is>
      </c>
      <c r="H173" s="177" t="inlineStr">
        <is>
          <t>Human</t>
        </is>
      </c>
      <c r="I173" s="180" t="n">
        <v>0.3</v>
      </c>
      <c r="J173" s="180">
        <f>IF(OR(I173="",Settings!$B$6=""),"",IF(I173&gt;Settings!$B$6,"BUY",IF(I173&lt;-Settings!$B$6,"SELL","HOLD")))</f>
        <v/>
      </c>
      <c r="K173" s="180" t="n">
        <v>28</v>
      </c>
      <c r="L173" s="182" t="n">
        <v>45762</v>
      </c>
      <c r="M173" s="182" t="n">
        <v>45761</v>
      </c>
      <c r="N173" s="179" t="n">
        <v>154.36</v>
      </c>
      <c r="O173" s="182" t="n">
        <v>45762</v>
      </c>
      <c r="P173" s="180" t="n">
        <v>155.7</v>
      </c>
      <c r="Q173" s="184">
        <f>IF(OR(N173="",P173=""),"",ROUND((P173-N173)/N173,4))</f>
        <v/>
      </c>
      <c r="R173" s="177">
        <f>IF(OR(N173="",P173=""),"",IF(Q173&gt;Settings!$B$3/100,"UP",IF(Q173&lt;-Settings!$B$3/100,"DOWN","FLAT")))</f>
        <v/>
      </c>
      <c r="S173" s="177">
        <f>IF(OR(N173="",P173="",J173=""),"",IF(OR(AND(J173="BUY",R173="UP"),AND(J173="SELL",R173="DOWN"),AND(J173="HOLD",R173="FLAT")),"YES","NO"))</f>
        <v/>
      </c>
      <c r="T173" s="176">
        <f>IF(J173="","",IF(J173="BUY",1,IF(J173="SELL",-1,0)))</f>
        <v/>
      </c>
      <c r="U173" s="184">
        <f>IFERROR(IF(OR(J173="",N173="",P173=""),"",IF(T173=0,0,T173*Q173-Settings!$B$4/10000-IF(T173&lt;0,Settings!$B$5/10000,0))),"")</f>
        <v/>
      </c>
      <c r="V173" s="152" t="n"/>
      <c r="W173" s="176">
        <f>IF($K173="","",$K173*60)</f>
        <v/>
      </c>
      <c r="X173" s="186">
        <f>IF($A173="","",$A173&amp;"|"&amp;$C173&amp;"|"&amp;$D173)</f>
        <v/>
      </c>
      <c r="Y173" s="186">
        <f>IFERROR(IF($X173="","",INDEX(LLM_Data_Entry!$H$3:$H$548,MATCH($X173,INDEX(LLM_Data_Entry!$A$3:$A$548&amp;"|"&amp;LLM_Data_Entry!$C$3:$C$548&amp;"|"&amp;LLM_Data_Entry!$D$3:$D$548,0),0))),"")</f>
        <v/>
      </c>
      <c r="Z173" s="186">
        <f>IFERROR(IF($X173="","",INDEX(LLM_Data_Entry!$R$3:$R$548,MATCH($X173,INDEX(LLM_Data_Entry!$A$3:$A$548&amp;"|"&amp;LLM_Data_Entry!$C$3:$C$548&amp;"|"&amp;LLM_Data_Entry!$D$3:$D$548,0),0))),"")</f>
        <v/>
      </c>
      <c r="AA173" s="152" t="n"/>
      <c r="AB173" s="152" t="inlineStr">
        <is>
          <t>release date + stated time</t>
        </is>
      </c>
      <c r="AC173" s="152" t="inlineStr">
        <is>
          <t>JNJ</t>
        </is>
      </c>
      <c r="AD173" s="152" t="inlineStr">
        <is>
          <t>2025-04-14</t>
        </is>
      </c>
      <c r="AE173" s="152" t="n">
        <v>149.3171</v>
      </c>
      <c r="AF173" s="152" t="inlineStr">
        <is>
          <t>2025-04-15</t>
        </is>
      </c>
      <c r="AG173" s="152" t="n">
        <v>150.6133</v>
      </c>
      <c r="AH173" s="152" t="n">
        <v>0.008680939853563819</v>
      </c>
      <c r="AI173" s="152" t="inlineStr">
        <is>
          <t>FLAT</t>
        </is>
      </c>
      <c r="AJ173" s="152" t="inlineStr">
        <is>
          <t>NO</t>
        </is>
      </c>
      <c r="AK173" s="152" t="n">
        <v>0.007681</v>
      </c>
      <c r="AL173" s="152">
        <f>IF($A173="","",IFERROR(INDEX(Company_List!$G$3:$G$207,MATCH($A173,Company_List!$A$3:$A$207,0)),"unassigned"))</f>
        <v/>
      </c>
      <c r="AM173" s="152" t="inlineStr">
        <is>
          <t>Phase 3/Readings/Jonson &amp; Jonson/JNJ_N-Transcript-2025-04-15T12_30.pdf</t>
        </is>
      </c>
      <c r="AN173" s="152" t="n"/>
      <c r="AO173" s="152" t="inlineStr">
        <is>
          <t>unique filename match</t>
        </is>
      </c>
      <c r="AP173" s="152">
        <f>IF($A173="","",IF(COUNTIFS(LLM_Data_Entry!$A$3:$A$548,$A173)&gt;0,"YES","NO"))</f>
        <v/>
      </c>
      <c r="AQ173" s="152">
        <f>IF($A173="","",IF(COUNTIFS($A$3:$A173,$A173,$C$3:$C173,$C173,$D$3:$D173,$D173)=1,"YES","NO"))</f>
        <v/>
      </c>
      <c r="AR173" s="152">
        <f>IF($A173="","",IF(AND($C173&amp;"-"&amp;$D173&gt;=Settings!$B$19,$C173&amp;"-"&amp;$D173&lt;=Settings!$B$20),"IN","OUT"))</f>
        <v/>
      </c>
      <c r="AS173" s="152">
        <f>IF($A173="","",IF($F173="Financial Results","financials",IF($F173="Outlook/Guidance","guidance",IF($F173="Transcript Q&amp;A","qanda",IF($F173="","unrecorded",IF($E173="All","full",IF($E173="","unrecorded",LOWER($E173)&amp;" only")))))))</f>
        <v/>
      </c>
      <c r="AT173" s="152">
        <f>IF(AND(OR($J173="BUY",$J173="SELL"),ISNUMBER($U173)),$U173,"")</f>
        <v/>
      </c>
      <c r="AU173" s="152">
        <f>IF(AND(OR($J173="BUY",$J173="SELL"),ISNUMBER($AK173)),$AK173,"")</f>
        <v/>
      </c>
      <c r="AV173" s="152">
        <f>IF(ISNUMBER($AT173),ABS(IF(ISNUMBER($I173),$I173,0)-Settings!$B$24),"")</f>
        <v/>
      </c>
      <c r="AW173" s="152">
        <f>IF(ISNUMBER($AV173),$AV173*$AT173,"")</f>
        <v/>
      </c>
      <c r="AX173" s="152">
        <f>IF(ISNUMBER($AU173),ABS(IF(ISNUMBER($I173),$I173,0)-Settings!$B$24),"")</f>
        <v/>
      </c>
      <c r="AY173" s="152" t="inlineStr">
        <is>
          <t>FROZEN</t>
        </is>
      </c>
      <c r="AZ173" s="152">
        <f>IF($A173="","",IFERROR(INDEX(Company_List!$H$3:$H$207,MATCH($A173,Company_List!$A$3:$A$207,0)),"unassigned"))</f>
        <v/>
      </c>
      <c r="BA173" s="152" t="n"/>
      <c r="BB173" s="152" t="n"/>
      <c r="BC173" s="152">
        <f>IF($A173="","",IF(COUNTIFS($A$3:$A173,$A173,$C$3:$C173,$C173,$D$3:$D173,$D173,$G$3:$G173,$G173)=1,1,0))</f>
        <v/>
      </c>
      <c r="BD173" s="152" t="n"/>
      <c r="BE173" s="152" t="n"/>
      <c r="BF173" s="152" t="n"/>
      <c r="BG173" s="152" t="inlineStr">
        <is>
          <t>no</t>
        </is>
      </c>
      <c r="BH173" s="152" t="n"/>
      <c r="BI173" s="152" t="n"/>
      <c r="BJ173" s="152" t="n"/>
      <c r="BK173" s="152">
        <f>IF(OR($H173&lt;&gt;"Human",$S173="",$J173="",$Y173="",$Z173=""),"",IF(EXACT(UPPER($J173),UPPER($Y173)),1,0))</f>
        <v/>
      </c>
      <c r="BL173" s="152" t="inlineStr">
        <is>
          <t>assumed - no rater record</t>
        </is>
      </c>
      <c r="BM173" s="152" t="n">
        <v>1</v>
      </c>
      <c r="BN173" s="152" t="inlineStr">
        <is>
          <t>Refinitiv / LSEG StreetEvents</t>
        </is>
      </c>
      <c r="BO173" s="152" t="inlineStr">
        <is>
          <t>licensed vendor</t>
        </is>
      </c>
      <c r="BP173" s="152" t="inlineStr">
        <is>
          <t>no</t>
        </is>
      </c>
      <c r="BQ173" s="152" t="inlineStr">
        <is>
          <t>no</t>
        </is>
      </c>
      <c r="BR173" s="152" t="n"/>
      <c r="BS173" s="152" t="inlineStr">
        <is>
          <t>YES</t>
        </is>
      </c>
      <c r="BT173" s="152" t="n"/>
    </row>
    <row r="174" ht="15" customHeight="1" s="241">
      <c r="A174" s="187" t="inlineStr">
        <is>
          <t>Johnson &amp; Johnson</t>
        </is>
      </c>
      <c r="B174" s="188">
        <f>IF(A174="","",_xlfn.XLOOKUP(A174, Company_List!$A:$A, Company_List!$B:$B, ""))</f>
        <v/>
      </c>
      <c r="C174" s="176" t="n">
        <v>2025</v>
      </c>
      <c r="D174" s="177" t="inlineStr">
        <is>
          <t>Q2</t>
        </is>
      </c>
      <c r="E174" s="178" t="inlineStr">
        <is>
          <t>Presentation</t>
        </is>
      </c>
      <c r="F174" s="178" t="inlineStr">
        <is>
          <t>All</t>
        </is>
      </c>
      <c r="G174" s="177" t="inlineStr">
        <is>
          <t>Abdul</t>
        </is>
      </c>
      <c r="H174" s="177" t="inlineStr">
        <is>
          <t>Human</t>
        </is>
      </c>
      <c r="I174" s="180" t="n">
        <v>0.4</v>
      </c>
      <c r="J174" s="180">
        <f>IF(OR(I174="",Settings!$B$6=""),"",IF(I174&gt;Settings!$B$6,"BUY",IF(I174&lt;-Settings!$B$6,"SELL","HOLD")))</f>
        <v/>
      </c>
      <c r="K174" s="180" t="n">
        <v>25</v>
      </c>
      <c r="L174" s="182" t="n">
        <v>45854</v>
      </c>
      <c r="M174" s="182" t="n">
        <v>45853</v>
      </c>
      <c r="N174" s="179" t="n">
        <v>155.17</v>
      </c>
      <c r="O174" s="182" t="n">
        <v>45854</v>
      </c>
      <c r="P174" s="180" t="n">
        <v>160.3</v>
      </c>
      <c r="Q174" s="184">
        <f>IF(OR(N174="",P174=""),"",ROUND((P174-N174)/N174,4))</f>
        <v/>
      </c>
      <c r="R174" s="177">
        <f>IF(OR(N174="",P174=""),"",IF(Q174&gt;Settings!$B$3/100,"UP",IF(Q174&lt;-Settings!$B$3/100,"DOWN","FLAT")))</f>
        <v/>
      </c>
      <c r="S174" s="177">
        <f>IF(OR(N174="",P174="",J174=""),"",IF(OR(AND(J174="BUY",R174="UP"),AND(J174="SELL",R174="DOWN"),AND(J174="HOLD",R174="FLAT")),"YES","NO"))</f>
        <v/>
      </c>
      <c r="T174" s="176">
        <f>IF(J174="","",IF(J174="BUY",1,IF(J174="SELL",-1,0)))</f>
        <v/>
      </c>
      <c r="U174" s="184">
        <f>IFERROR(IF(OR(J174="",N174="",P174=""),"",IF(T174=0,0,T174*Q174-Settings!$B$4/10000-IF(T174&lt;0,Settings!$B$5/10000,0))),"")</f>
        <v/>
      </c>
      <c r="V174" s="152" t="n"/>
      <c r="W174" s="176">
        <f>IF($K174="","",$K174*60)</f>
        <v/>
      </c>
      <c r="X174" s="186">
        <f>IF($A174="","",$A174&amp;"|"&amp;$C174&amp;"|"&amp;$D174)</f>
        <v/>
      </c>
      <c r="Y174" s="186">
        <f>IFERROR(IF($X174="","",INDEX(LLM_Data_Entry!$H$3:$H$548,MATCH($X174,INDEX(LLM_Data_Entry!$A$3:$A$548&amp;"|"&amp;LLM_Data_Entry!$C$3:$C$548&amp;"|"&amp;LLM_Data_Entry!$D$3:$D$548,0),0))),"")</f>
        <v/>
      </c>
      <c r="Z174" s="186">
        <f>IFERROR(IF($X174="","",INDEX(LLM_Data_Entry!$R$3:$R$548,MATCH($X174,INDEX(LLM_Data_Entry!$A$3:$A$548&amp;"|"&amp;LLM_Data_Entry!$C$3:$C$548&amp;"|"&amp;LLM_Data_Entry!$D$3:$D$548,0),0))),"")</f>
        <v/>
      </c>
      <c r="AA174" s="152" t="n"/>
      <c r="AB174" s="152" t="inlineStr">
        <is>
          <t>release date + stated time in the document (document)</t>
        </is>
      </c>
      <c r="AC174" s="152" t="inlineStr">
        <is>
          <t>JNJ</t>
        </is>
      </c>
      <c r="AD174" s="152" t="inlineStr">
        <is>
          <t>2025-07-15</t>
        </is>
      </c>
      <c r="AE174" s="152" t="n">
        <v>151.3874</v>
      </c>
      <c r="AF174" s="152" t="inlineStr">
        <is>
          <t>2025-07-16</t>
        </is>
      </c>
      <c r="AG174" s="152" t="n">
        <v>156.3924</v>
      </c>
      <c r="AH174" s="152" t="n">
        <v>0.03306050751914497</v>
      </c>
      <c r="AI174" s="152" t="inlineStr">
        <is>
          <t>UP</t>
        </is>
      </c>
      <c r="AJ174" s="152" t="inlineStr">
        <is>
          <t>YES</t>
        </is>
      </c>
      <c r="AK174" s="152" t="n">
        <v>0.032061</v>
      </c>
      <c r="AL174" s="152">
        <f>IF($A174="","",IFERROR(INDEX(Company_List!$G$3:$G$207,MATCH($A174,Company_List!$A$3:$A$207,0)),"unassigned"))</f>
        <v/>
      </c>
      <c r="AM174" s="152" t="inlineStr">
        <is>
          <t>Phase 3/Readings/Jonson &amp; Jonson/JNJ-USQ_Transcript_2025-07-16.pdf</t>
        </is>
      </c>
      <c r="AN174" s="152" t="n"/>
      <c r="AO174" s="152" t="inlineStr">
        <is>
          <t>unique filename match</t>
        </is>
      </c>
      <c r="AP174" s="152">
        <f>IF($A174="","",IF(COUNTIFS(LLM_Data_Entry!$A$3:$A$548,$A174)&gt;0,"YES","NO"))</f>
        <v/>
      </c>
      <c r="AQ174" s="152">
        <f>IF($A174="","",IF(COUNTIFS($A$3:$A174,$A174,$C$3:$C174,$C174,$D$3:$D174,$D174)=1,"YES","NO"))</f>
        <v/>
      </c>
      <c r="AR174" s="152">
        <f>IF($A174="","",IF(AND($C174&amp;"-"&amp;$D174&gt;=Settings!$B$19,$C174&amp;"-"&amp;$D174&lt;=Settings!$B$20),"IN","OUT"))</f>
        <v/>
      </c>
      <c r="AS174" s="152">
        <f>IF($A174="","",IF($F174="Financial Results","financials",IF($F174="Outlook/Guidance","guidance",IF($F174="Transcript Q&amp;A","qanda",IF($F174="","unrecorded",IF($E174="All","full",IF($E174="","unrecorded",LOWER($E174)&amp;" only")))))))</f>
        <v/>
      </c>
      <c r="AT174" s="152">
        <f>IF(AND(OR($J174="BUY",$J174="SELL"),ISNUMBER($U174)),$U174,"")</f>
        <v/>
      </c>
      <c r="AU174" s="152">
        <f>IF(AND(OR($J174="BUY",$J174="SELL"),ISNUMBER($AK174)),$AK174,"")</f>
        <v/>
      </c>
      <c r="AV174" s="152">
        <f>IF(ISNUMBER($AT174),ABS(IF(ISNUMBER($I174),$I174,0)-Settings!$B$24),"")</f>
        <v/>
      </c>
      <c r="AW174" s="152">
        <f>IF(ISNUMBER($AV174),$AV174*$AT174,"")</f>
        <v/>
      </c>
      <c r="AX174" s="152">
        <f>IF(ISNUMBER($AU174),ABS(IF(ISNUMBER($I174),$I174,0)-Settings!$B$24),"")</f>
        <v/>
      </c>
      <c r="AY174" s="152" t="inlineStr">
        <is>
          <t>FROZEN</t>
        </is>
      </c>
      <c r="AZ174" s="152">
        <f>IF($A174="","",IFERROR(INDEX(Company_List!$H$3:$H$207,MATCH($A174,Company_List!$A$3:$A$207,0)),"unassigned"))</f>
        <v/>
      </c>
      <c r="BA174" s="152" t="n"/>
      <c r="BB174" s="152" t="n"/>
      <c r="BC174" s="152">
        <f>IF($A174="","",IF(COUNTIFS($A$3:$A174,$A174,$C$3:$C174,$C174,$D$3:$D174,$D174,$G$3:$G174,$G174)=1,1,0))</f>
        <v/>
      </c>
      <c r="BD174" s="152" t="n"/>
      <c r="BE174" s="152" t="n"/>
      <c r="BF174" s="152" t="n"/>
      <c r="BG174" s="152" t="inlineStr">
        <is>
          <t>no</t>
        </is>
      </c>
      <c r="BH174" s="152" t="n"/>
      <c r="BI174" s="152" t="n"/>
      <c r="BJ174" s="152" t="n"/>
      <c r="BK174" s="152">
        <f>IF(OR($H174&lt;&gt;"Human",$S174="",$J174="",$Y174="",$Z174=""),"",IF(EXACT(UPPER($J174),UPPER($Y174)),1,0))</f>
        <v/>
      </c>
      <c r="BL174" s="152" t="inlineStr">
        <is>
          <t>assumed - no rater record</t>
        </is>
      </c>
      <c r="BM174" s="152" t="n">
        <v>1</v>
      </c>
      <c r="BN174" s="152" t="inlineStr">
        <is>
          <t>Refinitiv / LSEG StreetEvents</t>
        </is>
      </c>
      <c r="BO174" s="152" t="inlineStr">
        <is>
          <t>licensed vendor</t>
        </is>
      </c>
      <c r="BP174" s="152" t="inlineStr">
        <is>
          <t>no</t>
        </is>
      </c>
      <c r="BQ174" s="152" t="inlineStr">
        <is>
          <t>no</t>
        </is>
      </c>
      <c r="BR174" s="152" t="n"/>
      <c r="BS174" s="152" t="inlineStr">
        <is>
          <t>YES</t>
        </is>
      </c>
      <c r="BT174" s="152" t="n"/>
    </row>
    <row r="175" ht="15" customHeight="1" s="241">
      <c r="A175" s="187" t="inlineStr">
        <is>
          <t>Johnson &amp; Johnson</t>
        </is>
      </c>
      <c r="B175" s="188">
        <f>IF(A175="","",_xlfn.XLOOKUP(A175, Company_List!$A:$A, Company_List!$B:$B, ""))</f>
        <v/>
      </c>
      <c r="C175" s="176" t="n">
        <v>2025</v>
      </c>
      <c r="D175" s="177" t="inlineStr">
        <is>
          <t>Q3</t>
        </is>
      </c>
      <c r="E175" s="178" t="inlineStr">
        <is>
          <t>Presentation</t>
        </is>
      </c>
      <c r="F175" s="178" t="inlineStr">
        <is>
          <t>All</t>
        </is>
      </c>
      <c r="G175" s="177" t="inlineStr">
        <is>
          <t>Abdul</t>
        </is>
      </c>
      <c r="H175" s="177" t="inlineStr">
        <is>
          <t>Human</t>
        </is>
      </c>
      <c r="I175" s="180" t="n">
        <v>0.6</v>
      </c>
      <c r="J175" s="180">
        <f>IF(OR(I175="",Settings!$B$6=""),"",IF(I175&gt;Settings!$B$6,"BUY",IF(I175&lt;-Settings!$B$6,"SELL","HOLD")))</f>
        <v/>
      </c>
      <c r="K175" s="180" t="n">
        <v>22</v>
      </c>
      <c r="L175" s="182" t="n">
        <v>45944</v>
      </c>
      <c r="M175" s="182" t="n">
        <v>45943</v>
      </c>
      <c r="N175" s="179" t="n">
        <v>190.9</v>
      </c>
      <c r="O175" s="182" t="n">
        <v>45944</v>
      </c>
      <c r="P175" s="180" t="n">
        <v>192.92</v>
      </c>
      <c r="Q175" s="184">
        <f>IF(OR(N175="",P175=""),"",ROUND((P175-N175)/N175,4))</f>
        <v/>
      </c>
      <c r="R175" s="177">
        <f>IF(OR(N175="",P175=""),"",IF(Q175&gt;Settings!$B$3/100,"UP",IF(Q175&lt;-Settings!$B$3/100,"DOWN","FLAT")))</f>
        <v/>
      </c>
      <c r="S175" s="177">
        <f>IF(OR(N175="",P175="",J175=""),"",IF(OR(AND(J175="BUY",R175="UP"),AND(J175="SELL",R175="DOWN"),AND(J175="HOLD",R175="FLAT")),"YES","NO"))</f>
        <v/>
      </c>
      <c r="T175" s="176">
        <f>IF(J175="","",IF(J175="BUY",1,IF(J175="SELL",-1,0)))</f>
        <v/>
      </c>
      <c r="U175" s="184">
        <f>IFERROR(IF(OR(J175="",N175="",P175=""),"",IF(T175=0,0,T175*Q175-Settings!$B$4/10000-IF(T175&lt;0,Settings!$B$5/10000,0))),"")</f>
        <v/>
      </c>
      <c r="V175" s="152" t="n"/>
      <c r="W175" s="176">
        <f>IF($K175="","",$K175*60)</f>
        <v/>
      </c>
      <c r="X175" s="186">
        <f>IF($A175="","",$A175&amp;"|"&amp;$C175&amp;"|"&amp;$D175)</f>
        <v/>
      </c>
      <c r="Y175" s="186">
        <f>IFERROR(IF($X175="","",INDEX(LLM_Data_Entry!$H$3:$H$548,MATCH($X175,INDEX(LLM_Data_Entry!$A$3:$A$548&amp;"|"&amp;LLM_Data_Entry!$C$3:$C$548&amp;"|"&amp;LLM_Data_Entry!$D$3:$D$548,0),0))),"")</f>
        <v/>
      </c>
      <c r="Z175" s="186">
        <f>IFERROR(IF($X175="","",INDEX(LLM_Data_Entry!$R$3:$R$548,MATCH($X175,INDEX(LLM_Data_Entry!$A$3:$A$548&amp;"|"&amp;LLM_Data_Entry!$C$3:$C$548&amp;"|"&amp;LLM_Data_Entry!$D$3:$D$548,0),0))),"")</f>
        <v/>
      </c>
      <c r="AA175" s="152" t="n"/>
      <c r="AB175" s="152" t="inlineStr">
        <is>
          <t>release date + stated time in the document (document)</t>
        </is>
      </c>
      <c r="AC175" s="152" t="inlineStr">
        <is>
          <t>JNJ</t>
        </is>
      </c>
      <c r="AD175" s="152" t="inlineStr">
        <is>
          <t>2025-10-13</t>
        </is>
      </c>
      <c r="AE175" s="152" t="n">
        <v>187.6135</v>
      </c>
      <c r="AF175" s="152" t="inlineStr">
        <is>
          <t>2025-10-14</t>
        </is>
      </c>
      <c r="AG175" s="152" t="n">
        <v>189.5987</v>
      </c>
      <c r="AH175" s="152" t="n">
        <v>0.01058152825636535</v>
      </c>
      <c r="AI175" s="152" t="inlineStr">
        <is>
          <t>FLAT</t>
        </is>
      </c>
      <c r="AJ175" s="152" t="inlineStr">
        <is>
          <t>NO</t>
        </is>
      </c>
      <c r="AK175" s="152" t="n">
        <v>0.009582</v>
      </c>
      <c r="AL175" s="152">
        <f>IF($A175="","",IFERROR(INDEX(Company_List!$G$3:$G$207,MATCH($A175,Company_List!$A$3:$A$207,0)),"unassigned"))</f>
        <v/>
      </c>
      <c r="AM175" s="152" t="inlineStr">
        <is>
          <t>Phase 3/Readings/Jonson &amp; Jonson/JNJ-USQ_Transcript_2025-10-14.pdf</t>
        </is>
      </c>
      <c r="AN175" s="152" t="n"/>
      <c r="AO175" s="152" t="inlineStr">
        <is>
          <t>unique filename match</t>
        </is>
      </c>
      <c r="AP175" s="152">
        <f>IF($A175="","",IF(COUNTIFS(LLM_Data_Entry!$A$3:$A$548,$A175)&gt;0,"YES","NO"))</f>
        <v/>
      </c>
      <c r="AQ175" s="152">
        <f>IF($A175="","",IF(COUNTIFS($A$3:$A175,$A175,$C$3:$C175,$C175,$D$3:$D175,$D175)=1,"YES","NO"))</f>
        <v/>
      </c>
      <c r="AR175" s="152">
        <f>IF($A175="","",IF(AND($C175&amp;"-"&amp;$D175&gt;=Settings!$B$19,$C175&amp;"-"&amp;$D175&lt;=Settings!$B$20),"IN","OUT"))</f>
        <v/>
      </c>
      <c r="AS175" s="152">
        <f>IF($A175="","",IF($F175="Financial Results","financials",IF($F175="Outlook/Guidance","guidance",IF($F175="Transcript Q&amp;A","qanda",IF($F175="","unrecorded",IF($E175="All","full",IF($E175="","unrecorded",LOWER($E175)&amp;" only")))))))</f>
        <v/>
      </c>
      <c r="AT175" s="152">
        <f>IF(AND(OR($J175="BUY",$J175="SELL"),ISNUMBER($U175)),$U175,"")</f>
        <v/>
      </c>
      <c r="AU175" s="152">
        <f>IF(AND(OR($J175="BUY",$J175="SELL"),ISNUMBER($AK175)),$AK175,"")</f>
        <v/>
      </c>
      <c r="AV175" s="152">
        <f>IF(ISNUMBER($AT175),ABS(IF(ISNUMBER($I175),$I175,0)-Settings!$B$24),"")</f>
        <v/>
      </c>
      <c r="AW175" s="152">
        <f>IF(ISNUMBER($AV175),$AV175*$AT175,"")</f>
        <v/>
      </c>
      <c r="AX175" s="152">
        <f>IF(ISNUMBER($AU175),ABS(IF(ISNUMBER($I175),$I175,0)-Settings!$B$24),"")</f>
        <v/>
      </c>
      <c r="AY175" s="152" t="inlineStr">
        <is>
          <t>FROZEN</t>
        </is>
      </c>
      <c r="AZ175" s="152">
        <f>IF($A175="","",IFERROR(INDEX(Company_List!$H$3:$H$207,MATCH($A175,Company_List!$A$3:$A$207,0)),"unassigned"))</f>
        <v/>
      </c>
      <c r="BA175" s="152" t="n"/>
      <c r="BB175" s="152" t="n"/>
      <c r="BC175" s="152">
        <f>IF($A175="","",IF(COUNTIFS($A$3:$A175,$A175,$C$3:$C175,$C175,$D$3:$D175,$D175,$G$3:$G175,$G175)=1,1,0))</f>
        <v/>
      </c>
      <c r="BD175" s="152" t="n"/>
      <c r="BE175" s="152" t="n"/>
      <c r="BF175" s="152" t="n"/>
      <c r="BG175" s="152" t="inlineStr">
        <is>
          <t>no</t>
        </is>
      </c>
      <c r="BH175" s="152" t="n"/>
      <c r="BI175" s="152" t="n"/>
      <c r="BJ175" s="152" t="n"/>
      <c r="BK175" s="152">
        <f>IF(OR($H175&lt;&gt;"Human",$S175="",$J175="",$Y175="",$Z175=""),"",IF(EXACT(UPPER($J175),UPPER($Y175)),1,0))</f>
        <v/>
      </c>
      <c r="BL175" s="152" t="inlineStr">
        <is>
          <t>assumed - no rater record</t>
        </is>
      </c>
      <c r="BM175" s="152" t="n">
        <v>1</v>
      </c>
      <c r="BN175" s="152" t="inlineStr">
        <is>
          <t>Refinitiv / LSEG StreetEvents</t>
        </is>
      </c>
      <c r="BO175" s="152" t="inlineStr">
        <is>
          <t>licensed vendor</t>
        </is>
      </c>
      <c r="BP175" s="152" t="inlineStr">
        <is>
          <t>no</t>
        </is>
      </c>
      <c r="BQ175" s="152" t="inlineStr">
        <is>
          <t>no</t>
        </is>
      </c>
      <c r="BR175" s="152" t="n"/>
      <c r="BS175" s="152" t="inlineStr">
        <is>
          <t>YES</t>
        </is>
      </c>
      <c r="BT175" s="152" t="n"/>
    </row>
    <row r="176" ht="15" customHeight="1" s="241">
      <c r="A176" s="187" t="inlineStr">
        <is>
          <t>Johnson &amp; Johnson</t>
        </is>
      </c>
      <c r="B176" s="188">
        <f>IF(A176="","",_xlfn.XLOOKUP(A176, Company_List!$A:$A, Company_List!$B:$B, ""))</f>
        <v/>
      </c>
      <c r="C176" s="176" t="n">
        <v>2026</v>
      </c>
      <c r="D176" s="177" t="inlineStr">
        <is>
          <t>Q1</t>
        </is>
      </c>
      <c r="E176" s="178" t="inlineStr">
        <is>
          <t>Presentation</t>
        </is>
      </c>
      <c r="F176" s="178" t="inlineStr">
        <is>
          <t>All</t>
        </is>
      </c>
      <c r="G176" s="177" t="inlineStr">
        <is>
          <t>Abdul</t>
        </is>
      </c>
      <c r="H176" s="177" t="inlineStr">
        <is>
          <t>Human</t>
        </is>
      </c>
      <c r="I176" s="180" t="n">
        <v>-0.3</v>
      </c>
      <c r="J176" s="180">
        <f>IF(OR(I176="",Settings!$B$6=""),"",IF(I176&gt;Settings!$B$6,"BUY",IF(I176&lt;-Settings!$B$6,"SELL","HOLD")))</f>
        <v/>
      </c>
      <c r="K176" s="180" t="n">
        <v>24</v>
      </c>
      <c r="L176" s="182" t="n">
        <v>46126</v>
      </c>
      <c r="M176" s="182" t="n">
        <v>46125</v>
      </c>
      <c r="N176" s="179" t="n">
        <v>237.96</v>
      </c>
      <c r="O176" s="182" t="n">
        <v>46126</v>
      </c>
      <c r="P176" s="180" t="n">
        <v>235.01</v>
      </c>
      <c r="Q176" s="184">
        <f>IF(OR(N176="",P176=""),"",ROUND((P176-N176)/N176,4))</f>
        <v/>
      </c>
      <c r="R176" s="177">
        <f>IF(OR(N176="",P176=""),"",IF(Q176&gt;Settings!$B$3/100,"UP",IF(Q176&lt;-Settings!$B$3/100,"DOWN","FLAT")))</f>
        <v/>
      </c>
      <c r="S176" s="177">
        <f>IF(OR(N176="",P176="",J176=""),"",IF(OR(AND(J176="BUY",R176="UP"),AND(J176="SELL",R176="DOWN"),AND(J176="HOLD",R176="FLAT")),"YES","NO"))</f>
        <v/>
      </c>
      <c r="T176" s="176">
        <f>IF(J176="","",IF(J176="BUY",1,IF(J176="SELL",-1,0)))</f>
        <v/>
      </c>
      <c r="U176" s="184">
        <f>IFERROR(IF(OR(J176="",N176="",P176=""),"",IF(T176=0,0,T176*Q176-Settings!$B$4/10000-IF(T176&lt;0,Settings!$B$5/10000,0))),"")</f>
        <v/>
      </c>
      <c r="V176" s="152" t="n"/>
      <c r="W176" s="176">
        <f>IF($K176="","",$K176*60)</f>
        <v/>
      </c>
      <c r="X176" s="186">
        <f>IF($A176="","",$A176&amp;"|"&amp;$C176&amp;"|"&amp;$D176)</f>
        <v/>
      </c>
      <c r="Y176" s="186">
        <f>IFERROR(IF($X176="","",INDEX(LLM_Data_Entry!$H$3:$H$548,MATCH($X176,INDEX(LLM_Data_Entry!$A$3:$A$548&amp;"|"&amp;LLM_Data_Entry!$C$3:$C$548&amp;"|"&amp;LLM_Data_Entry!$D$3:$D$548,0),0))),"")</f>
        <v/>
      </c>
      <c r="Z176" s="186">
        <f>IFERROR(IF($X176="","",INDEX(LLM_Data_Entry!$R$3:$R$548,MATCH($X176,INDEX(LLM_Data_Entry!$A$3:$A$548&amp;"|"&amp;LLM_Data_Entry!$C$3:$C$548&amp;"|"&amp;LLM_Data_Entry!$D$3:$D$548,0),0))),"")</f>
        <v/>
      </c>
      <c r="AA176" s="152" t="n"/>
      <c r="AB176" s="152" t="inlineStr">
        <is>
          <t>release date + stated time in the document (document)</t>
        </is>
      </c>
      <c r="AC176" s="152" t="inlineStr">
        <is>
          <t>JNJ</t>
        </is>
      </c>
      <c r="AD176" s="152" t="inlineStr">
        <is>
          <t>2026-04-13</t>
        </is>
      </c>
      <c r="AE176" s="152" t="n">
        <v>236.5993</v>
      </c>
      <c r="AF176" s="152" t="inlineStr">
        <is>
          <t>2026-04-14</t>
        </is>
      </c>
      <c r="AG176" s="152" t="n">
        <v>233.6662</v>
      </c>
      <c r="AH176" s="152" t="n">
        <v>-0.01239709181904946</v>
      </c>
      <c r="AI176" s="152" t="inlineStr">
        <is>
          <t>FLAT</t>
        </is>
      </c>
      <c r="AJ176" s="152" t="inlineStr">
        <is>
          <t>NO</t>
        </is>
      </c>
      <c r="AK176" s="152" t="n">
        <v>0.011397</v>
      </c>
      <c r="AL176" s="152">
        <f>IF($A176="","",IFERROR(INDEX(Company_List!$G$3:$G$207,MATCH($A176,Company_List!$A$3:$A$207,0)),"unassigned"))</f>
        <v/>
      </c>
      <c r="AM176" s="152" t="inlineStr">
        <is>
          <t>Phase 3/Readings/Jonson &amp; Jonson/JNJ-USQ_Transcript_2026-04-14.pdf</t>
        </is>
      </c>
      <c r="AN176" s="152" t="n"/>
      <c r="AO176" s="152" t="inlineStr">
        <is>
          <t>unique filename match</t>
        </is>
      </c>
      <c r="AP176" s="152">
        <f>IF($A176="","",IF(COUNTIFS(LLM_Data_Entry!$A$3:$A$548,$A176)&gt;0,"YES","NO"))</f>
        <v/>
      </c>
      <c r="AQ176" s="152">
        <f>IF($A176="","",IF(COUNTIFS($A$3:$A176,$A176,$C$3:$C176,$C176,$D$3:$D176,$D176)=1,"YES","NO"))</f>
        <v/>
      </c>
      <c r="AR176" s="152">
        <f>IF($A176="","",IF(AND($C176&amp;"-"&amp;$D176&gt;=Settings!$B$19,$C176&amp;"-"&amp;$D176&lt;=Settings!$B$20),"IN","OUT"))</f>
        <v/>
      </c>
      <c r="AS176" s="152">
        <f>IF($A176="","",IF($F176="Financial Results","financials",IF($F176="Outlook/Guidance","guidance",IF($F176="Transcript Q&amp;A","qanda",IF($F176="","unrecorded",IF($E176="All","full",IF($E176="","unrecorded",LOWER($E176)&amp;" only")))))))</f>
        <v/>
      </c>
      <c r="AT176" s="152">
        <f>IF(AND(OR($J176="BUY",$J176="SELL"),ISNUMBER($U176)),$U176,"")</f>
        <v/>
      </c>
      <c r="AU176" s="152">
        <f>IF(AND(OR($J176="BUY",$J176="SELL"),ISNUMBER($AK176)),$AK176,"")</f>
        <v/>
      </c>
      <c r="AV176" s="152">
        <f>IF(ISNUMBER($AT176),ABS(IF(ISNUMBER($I176),$I176,0)-Settings!$B$24),"")</f>
        <v/>
      </c>
      <c r="AW176" s="152">
        <f>IF(ISNUMBER($AV176),$AV176*$AT176,"")</f>
        <v/>
      </c>
      <c r="AX176" s="152">
        <f>IF(ISNUMBER($AU176),ABS(IF(ISNUMBER($I176),$I176,0)-Settings!$B$24),"")</f>
        <v/>
      </c>
      <c r="AY176" s="152" t="inlineStr">
        <is>
          <t>FROZEN</t>
        </is>
      </c>
      <c r="AZ176" s="152">
        <f>IF($A176="","",IFERROR(INDEX(Company_List!$H$3:$H$207,MATCH($A176,Company_List!$A$3:$A$207,0)),"unassigned"))</f>
        <v/>
      </c>
      <c r="BA176" s="152" t="n"/>
      <c r="BB176" s="152" t="n"/>
      <c r="BC176" s="152">
        <f>IF($A176="","",IF(COUNTIFS($A$3:$A176,$A176,$C$3:$C176,$C176,$D$3:$D176,$D176,$G$3:$G176,$G176)=1,1,0))</f>
        <v/>
      </c>
      <c r="BD176" s="152" t="n"/>
      <c r="BE176" s="152" t="n"/>
      <c r="BF176" s="152" t="n"/>
      <c r="BG176" s="152" t="inlineStr">
        <is>
          <t>no</t>
        </is>
      </c>
      <c r="BH176" s="152" t="n"/>
      <c r="BI176" s="152" t="n"/>
      <c r="BJ176" s="152" t="n"/>
      <c r="BK176" s="152">
        <f>IF(OR($H176&lt;&gt;"Human",$S176="",$J176="",$Y176="",$Z176=""),"",IF(EXACT(UPPER($J176),UPPER($Y176)),1,0))</f>
        <v/>
      </c>
      <c r="BL176" s="152" t="inlineStr">
        <is>
          <t>assumed - no rater record</t>
        </is>
      </c>
      <c r="BM176" s="152" t="n">
        <v>1</v>
      </c>
      <c r="BN176" s="152" t="inlineStr">
        <is>
          <t>Refinitiv / LSEG StreetEvents</t>
        </is>
      </c>
      <c r="BO176" s="152" t="inlineStr">
        <is>
          <t>licensed vendor</t>
        </is>
      </c>
      <c r="BP176" s="152" t="inlineStr">
        <is>
          <t>no</t>
        </is>
      </c>
      <c r="BQ176" s="152" t="inlineStr">
        <is>
          <t>no</t>
        </is>
      </c>
      <c r="BR176" s="152" t="n"/>
      <c r="BS176" s="152" t="inlineStr">
        <is>
          <t>NO</t>
        </is>
      </c>
      <c r="BT176" s="152" t="inlineStr">
        <is>
          <t>human-only event; not in LLM returns_matrix — EDGAR lookup deferred, manual verification required</t>
        </is>
      </c>
    </row>
    <row r="177" ht="15" customHeight="1" s="241">
      <c r="A177" s="187" t="inlineStr">
        <is>
          <t>Expedia</t>
        </is>
      </c>
      <c r="B177" s="188">
        <f>IF(A177="","",_xlfn.XLOOKUP(A177, Company_List!$A:$A, Company_List!$B:$B, ""))</f>
        <v/>
      </c>
      <c r="C177" s="176" t="n">
        <v>2025</v>
      </c>
      <c r="D177" s="177" t="inlineStr">
        <is>
          <t>Q1</t>
        </is>
      </c>
      <c r="E177" s="178" t="inlineStr">
        <is>
          <t>Transcript</t>
        </is>
      </c>
      <c r="F177" s="178" t="inlineStr">
        <is>
          <t>Transcript Q&amp;A</t>
        </is>
      </c>
      <c r="G177" s="177" t="inlineStr">
        <is>
          <t>Abdul</t>
        </is>
      </c>
      <c r="H177" s="177" t="inlineStr">
        <is>
          <t>Human</t>
        </is>
      </c>
      <c r="I177" s="180" t="n">
        <v>-0.3</v>
      </c>
      <c r="J177" s="180">
        <f>IF(OR(I177="",Settings!$B$6=""),"",IF(I177&gt;Settings!$B$6,"BUY",IF(I177&lt;-Settings!$B$6,"SELL","HOLD")))</f>
        <v/>
      </c>
      <c r="K177" s="180" t="n">
        <v>38</v>
      </c>
      <c r="L177" s="182" t="n">
        <v>45785</v>
      </c>
      <c r="M177" s="182" t="n">
        <v>45785</v>
      </c>
      <c r="N177" s="179" t="n">
        <v>168.99</v>
      </c>
      <c r="O177" s="182" t="n">
        <v>45786</v>
      </c>
      <c r="P177" s="180" t="n">
        <v>152.59</v>
      </c>
      <c r="Q177" s="184">
        <f>IF(OR(N177="",P177=""),"",ROUND((P177-N177)/N177,4))</f>
        <v/>
      </c>
      <c r="R177" s="177">
        <f>IF(OR(N177="",P177=""),"",IF(Q177&gt;Settings!$B$3/100,"UP",IF(Q177&lt;-Settings!$B$3/100,"DOWN","FLAT")))</f>
        <v/>
      </c>
      <c r="S177" s="177">
        <f>IF(OR(N177="",P177="",J177=""),"",IF(OR(AND(J177="BUY",R177="UP"),AND(J177="SELL",R177="DOWN"),AND(J177="HOLD",R177="FLAT")),"YES","NO"))</f>
        <v/>
      </c>
      <c r="T177" s="176">
        <f>IF(J177="","",IF(J177="BUY",1,IF(J177="SELL",-1,0)))</f>
        <v/>
      </c>
      <c r="U177" s="184">
        <f>IFERROR(IF(OR(J177="",N177="",P177=""),"",IF(T177=0,0,T177*Q177-Settings!$B$4/10000-IF(T177&lt;0,Settings!$B$5/10000,0))),"")</f>
        <v/>
      </c>
      <c r="V177" s="152" t="n"/>
      <c r="W177" s="176">
        <f>IF($K177="","",$K177*60)</f>
        <v/>
      </c>
      <c r="X177" s="186">
        <f>IF($A177="","",$A177&amp;"|"&amp;$C177&amp;"|"&amp;$D177)</f>
        <v/>
      </c>
      <c r="Y177" s="186">
        <f>IFERROR(IF($X177="","",INDEX(LLM_Data_Entry!$H$3:$H$548,MATCH($X177,INDEX(LLM_Data_Entry!$A$3:$A$548&amp;"|"&amp;LLM_Data_Entry!$C$3:$C$548&amp;"|"&amp;LLM_Data_Entry!$D$3:$D$548,0),0))),"")</f>
        <v/>
      </c>
      <c r="Z177" s="186">
        <f>IFERROR(IF($X177="","",INDEX(LLM_Data_Entry!$R$3:$R$548,MATCH($X177,INDEX(LLM_Data_Entry!$A$3:$A$548&amp;"|"&amp;LLM_Data_Entry!$C$3:$C$548&amp;"|"&amp;LLM_Data_Entry!$D$3:$D$548,0),0))),"")</f>
        <v/>
      </c>
      <c r="AA177" s="152" t="n"/>
      <c r="AB177" s="152" t="inlineStr">
        <is>
          <t>document date + price signal</t>
        </is>
      </c>
      <c r="AC177" s="152" t="inlineStr">
        <is>
          <t>EXPE</t>
        </is>
      </c>
      <c r="AD177" s="152" t="inlineStr">
        <is>
          <t>2025-05-08</t>
        </is>
      </c>
      <c r="AE177" s="152" t="n">
        <v>167.2699</v>
      </c>
      <c r="AF177" s="152" t="inlineStr">
        <is>
          <t>2025-05-09</t>
        </is>
      </c>
      <c r="AG177" s="152" t="n">
        <v>151.0368</v>
      </c>
      <c r="AH177" s="152" t="n">
        <v>-0.09704723191489181</v>
      </c>
      <c r="AI177" s="152" t="inlineStr">
        <is>
          <t>DOWN</t>
        </is>
      </c>
      <c r="AJ177" s="152" t="inlineStr">
        <is>
          <t>YES</t>
        </is>
      </c>
      <c r="AK177" s="152" t="n">
        <v>0.09604699999999999</v>
      </c>
      <c r="AL177" s="152">
        <f>IF($A177="","",IFERROR(INDEX(Company_List!$G$3:$G$207,MATCH($A177,Company_List!$A$3:$A$207,0)),"unassigned"))</f>
        <v/>
      </c>
      <c r="AM177" s="152" t="inlineStr">
        <is>
          <t>Phase 3/Readings/Expedia/EXPE-USQ_Transcript_2025-05-08.pdf</t>
        </is>
      </c>
      <c r="AN177" s="152" t="n"/>
      <c r="AO177" s="152" t="inlineStr">
        <is>
          <t>unique filename match</t>
        </is>
      </c>
      <c r="AP177" s="152">
        <f>IF($A177="","",IF(COUNTIFS(LLM_Data_Entry!$A$3:$A$548,$A177)&gt;0,"YES","NO"))</f>
        <v/>
      </c>
      <c r="AQ177" s="152">
        <f>IF($A177="","",IF(COUNTIFS($A$3:$A177,$A177,$C$3:$C177,$C177,$D$3:$D177,$D177)=1,"YES","NO"))</f>
        <v/>
      </c>
      <c r="AR177" s="152">
        <f>IF($A177="","",IF(AND($C177&amp;"-"&amp;$D177&gt;=Settings!$B$19,$C177&amp;"-"&amp;$D177&lt;=Settings!$B$20),"IN","OUT"))</f>
        <v/>
      </c>
      <c r="AS177" s="152">
        <f>IF($A177="","",IF($F177="Financial Results","financials",IF($F177="Outlook/Guidance","guidance",IF($F177="Transcript Q&amp;A","qanda",IF($F177="","unrecorded",IF($E177="All","full",IF($E177="","unrecorded",LOWER($E177)&amp;" only")))))))</f>
        <v/>
      </c>
      <c r="AT177" s="152">
        <f>IF(AND(OR($J177="BUY",$J177="SELL"),ISNUMBER($U177)),$U177,"")</f>
        <v/>
      </c>
      <c r="AU177" s="152">
        <f>IF(AND(OR($J177="BUY",$J177="SELL"),ISNUMBER($AK177)),$AK177,"")</f>
        <v/>
      </c>
      <c r="AV177" s="152">
        <f>IF(ISNUMBER($AT177),ABS(IF(ISNUMBER($I177),$I177,0)-Settings!$B$24),"")</f>
        <v/>
      </c>
      <c r="AW177" s="152">
        <f>IF(ISNUMBER($AV177),$AV177*$AT177,"")</f>
        <v/>
      </c>
      <c r="AX177" s="152">
        <f>IF(ISNUMBER($AU177),ABS(IF(ISNUMBER($I177),$I177,0)-Settings!$B$24),"")</f>
        <v/>
      </c>
      <c r="AY177" s="152" t="inlineStr">
        <is>
          <t>FROZEN</t>
        </is>
      </c>
      <c r="AZ177" s="152">
        <f>IF($A177="","",IFERROR(INDEX(Company_List!$H$3:$H$207,MATCH($A177,Company_List!$A$3:$A$207,0)),"unassigned"))</f>
        <v/>
      </c>
      <c r="BA177" s="152" t="n"/>
      <c r="BB177" s="152" t="n"/>
      <c r="BC177" s="152">
        <f>IF($A177="","",IF(COUNTIFS($A$3:$A177,$A177,$C$3:$C177,$C177,$D$3:$D177,$D177,$G$3:$G177,$G177)=1,1,0))</f>
        <v/>
      </c>
      <c r="BD177" s="152" t="n"/>
      <c r="BE177" s="152" t="n"/>
      <c r="BF177" s="152" t="n"/>
      <c r="BG177" s="152" t="inlineStr">
        <is>
          <t>no</t>
        </is>
      </c>
      <c r="BH177" s="152" t="n"/>
      <c r="BI177" s="152" t="n"/>
      <c r="BJ177" s="152" t="n"/>
      <c r="BK177" s="152">
        <f>IF(OR($H177&lt;&gt;"Human",$S177="",$J177="",$Y177="",$Z177=""),"",IF(EXACT(UPPER($J177),UPPER($Y177)),1,0))</f>
        <v/>
      </c>
      <c r="BL177" s="152" t="inlineStr">
        <is>
          <t>assumed - no rater record</t>
        </is>
      </c>
      <c r="BM177" s="152" t="n">
        <v>1</v>
      </c>
      <c r="BN177" s="152" t="inlineStr">
        <is>
          <t>Refinitiv / LSEG StreetEvents</t>
        </is>
      </c>
      <c r="BO177" s="152" t="inlineStr">
        <is>
          <t>licensed vendor</t>
        </is>
      </c>
      <c r="BP177" s="152" t="inlineStr">
        <is>
          <t>no</t>
        </is>
      </c>
      <c r="BQ177" s="152" t="inlineStr">
        <is>
          <t>no</t>
        </is>
      </c>
      <c r="BR177" s="152" t="n"/>
      <c r="BS177" s="152" t="inlineStr">
        <is>
          <t>YES</t>
        </is>
      </c>
      <c r="BT177" s="152" t="n"/>
    </row>
    <row r="178" ht="15" customHeight="1" s="241">
      <c r="A178" s="187" t="inlineStr">
        <is>
          <t>Expedia</t>
        </is>
      </c>
      <c r="B178" s="188">
        <f>IF(A178="","",_xlfn.XLOOKUP(A178, Company_List!$A:$A, Company_List!$B:$B, ""))</f>
        <v/>
      </c>
      <c r="C178" s="176" t="n">
        <v>2025</v>
      </c>
      <c r="D178" s="177" t="inlineStr">
        <is>
          <t>Q2</t>
        </is>
      </c>
      <c r="E178" s="178" t="inlineStr">
        <is>
          <t>Transcript</t>
        </is>
      </c>
      <c r="F178" s="178" t="inlineStr">
        <is>
          <t>Transcript Q&amp;A</t>
        </is>
      </c>
      <c r="G178" s="177" t="inlineStr">
        <is>
          <t>Abdul</t>
        </is>
      </c>
      <c r="H178" s="177" t="inlineStr">
        <is>
          <t>Human</t>
        </is>
      </c>
      <c r="I178" s="180" t="n">
        <v>0.2</v>
      </c>
      <c r="J178" s="180">
        <f>IF(OR(I178="",Settings!$B$6=""),"",IF(I178&gt;Settings!$B$6,"BUY",IF(I178&lt;-Settings!$B$6,"SELL","HOLD")))</f>
        <v/>
      </c>
      <c r="K178" s="180" t="n">
        <v>32</v>
      </c>
      <c r="L178" s="182" t="n">
        <v>45876</v>
      </c>
      <c r="M178" s="182" t="n">
        <v>45876</v>
      </c>
      <c r="N178" s="179" t="n">
        <v>187.61</v>
      </c>
      <c r="O178" s="182" t="n">
        <v>45877</v>
      </c>
      <c r="P178" s="180" t="n">
        <v>211.6</v>
      </c>
      <c r="Q178" s="184">
        <f>IF(OR(N178="",P178=""),"",ROUND((P178-N178)/N178,4))</f>
        <v/>
      </c>
      <c r="R178" s="177">
        <f>IF(OR(N178="",P178=""),"",IF(Q178&gt;Settings!$B$3/100,"UP",IF(Q178&lt;-Settings!$B$3/100,"DOWN","FLAT")))</f>
        <v/>
      </c>
      <c r="S178" s="177">
        <f>IF(OR(N178="",P178="",J178=""),"",IF(OR(AND(J178="BUY",R178="UP"),AND(J178="SELL",R178="DOWN"),AND(J178="HOLD",R178="FLAT")),"YES","NO"))</f>
        <v/>
      </c>
      <c r="T178" s="176">
        <f>IF(J178="","",IF(J178="BUY",1,IF(J178="SELL",-1,0)))</f>
        <v/>
      </c>
      <c r="U178" s="184">
        <f>IFERROR(IF(OR(J178="",N178="",P178=""),"",IF(T178=0,0,T178*Q178-Settings!$B$4/10000-IF(T178&lt;0,Settings!$B$5/10000,0))),"")</f>
        <v/>
      </c>
      <c r="V178" s="152" t="n"/>
      <c r="W178" s="176">
        <f>IF($K178="","",$K178*60)</f>
        <v/>
      </c>
      <c r="X178" s="186">
        <f>IF($A178="","",$A178&amp;"|"&amp;$C178&amp;"|"&amp;$D178)</f>
        <v/>
      </c>
      <c r="Y178" s="186">
        <f>IFERROR(IF($X178="","",INDEX(LLM_Data_Entry!$H$3:$H$548,MATCH($X178,INDEX(LLM_Data_Entry!$A$3:$A$548&amp;"|"&amp;LLM_Data_Entry!$C$3:$C$548&amp;"|"&amp;LLM_Data_Entry!$D$3:$D$548,0),0))),"")</f>
        <v/>
      </c>
      <c r="Z178" s="186">
        <f>IFERROR(IF($X178="","",INDEX(LLM_Data_Entry!$R$3:$R$548,MATCH($X178,INDEX(LLM_Data_Entry!$A$3:$A$548&amp;"|"&amp;LLM_Data_Entry!$C$3:$C$548&amp;"|"&amp;LLM_Data_Entry!$D$3:$D$548,0),0))),"")</f>
        <v/>
      </c>
      <c r="AA178" s="152" t="n"/>
      <c r="AB178" s="152" t="inlineStr">
        <is>
          <t>price signal — only this window shows an abnormal move</t>
        </is>
      </c>
      <c r="AC178" s="152" t="inlineStr">
        <is>
          <t>EXPE</t>
        </is>
      </c>
      <c r="AD178" s="152" t="inlineStr">
        <is>
          <t>2025-08-07</t>
        </is>
      </c>
      <c r="AE178" s="152" t="n">
        <v>186.1444</v>
      </c>
      <c r="AF178" s="152" t="inlineStr">
        <is>
          <t>2025-08-08</t>
        </is>
      </c>
      <c r="AG178" s="152" t="n">
        <v>209.947</v>
      </c>
      <c r="AH178" s="152" t="n">
        <v>0.1278717323670675</v>
      </c>
      <c r="AI178" s="152" t="inlineStr">
        <is>
          <t>UP</t>
        </is>
      </c>
      <c r="AJ178" s="152" t="inlineStr">
        <is>
          <t>NO</t>
        </is>
      </c>
      <c r="AK178" s="152" t="n">
        <v>0</v>
      </c>
      <c r="AL178" s="152">
        <f>IF($A178="","",IFERROR(INDEX(Company_List!$G$3:$G$207,MATCH($A178,Company_List!$A$3:$A$207,0)),"unassigned"))</f>
        <v/>
      </c>
      <c r="AM178" s="152" t="inlineStr">
        <is>
          <t>Phase 3/Readings/Expedia/EXPE-USQ_Transcript_2025-08-07.pdf</t>
        </is>
      </c>
      <c r="AN178" s="152" t="n"/>
      <c r="AO178" s="152" t="inlineStr">
        <is>
          <t>unique filename match</t>
        </is>
      </c>
      <c r="AP178" s="152">
        <f>IF($A178="","",IF(COUNTIFS(LLM_Data_Entry!$A$3:$A$548,$A178)&gt;0,"YES","NO"))</f>
        <v/>
      </c>
      <c r="AQ178" s="152">
        <f>IF($A178="","",IF(COUNTIFS($A$3:$A178,$A178,$C$3:$C178,$C178,$D$3:$D178,$D178)=1,"YES","NO"))</f>
        <v/>
      </c>
      <c r="AR178" s="152">
        <f>IF($A178="","",IF(AND($C178&amp;"-"&amp;$D178&gt;=Settings!$B$19,$C178&amp;"-"&amp;$D178&lt;=Settings!$B$20),"IN","OUT"))</f>
        <v/>
      </c>
      <c r="AS178" s="152">
        <f>IF($A178="","",IF($F178="Financial Results","financials",IF($F178="Outlook/Guidance","guidance",IF($F178="Transcript Q&amp;A","qanda",IF($F178="","unrecorded",IF($E178="All","full",IF($E178="","unrecorded",LOWER($E178)&amp;" only")))))))</f>
        <v/>
      </c>
      <c r="AT178" s="152">
        <f>IF(AND(OR($J178="BUY",$J178="SELL"),ISNUMBER($U178)),$U178,"")</f>
        <v/>
      </c>
      <c r="AU178" s="152">
        <f>IF(AND(OR($J178="BUY",$J178="SELL"),ISNUMBER($AK178)),$AK178,"")</f>
        <v/>
      </c>
      <c r="AV178" s="152">
        <f>IF(ISNUMBER($AT178),ABS(IF(ISNUMBER($I178),$I178,0)-Settings!$B$24),"")</f>
        <v/>
      </c>
      <c r="AW178" s="152">
        <f>IF(ISNUMBER($AV178),$AV178*$AT178,"")</f>
        <v/>
      </c>
      <c r="AX178" s="152">
        <f>IF(ISNUMBER($AU178),ABS(IF(ISNUMBER($I178),$I178,0)-Settings!$B$24),"")</f>
        <v/>
      </c>
      <c r="AY178" s="152" t="inlineStr">
        <is>
          <t>FROZEN</t>
        </is>
      </c>
      <c r="AZ178" s="152">
        <f>IF($A178="","",IFERROR(INDEX(Company_List!$H$3:$H$207,MATCH($A178,Company_List!$A$3:$A$207,0)),"unassigned"))</f>
        <v/>
      </c>
      <c r="BA178" s="152" t="n"/>
      <c r="BB178" s="152" t="n"/>
      <c r="BC178" s="152">
        <f>IF($A178="","",IF(COUNTIFS($A$3:$A178,$A178,$C$3:$C178,$C178,$D$3:$D178,$D178,$G$3:$G178,$G178)=1,1,0))</f>
        <v/>
      </c>
      <c r="BD178" s="152" t="n"/>
      <c r="BE178" s="152" t="n"/>
      <c r="BF178" s="152" t="n"/>
      <c r="BG178" s="152" t="inlineStr">
        <is>
          <t>no</t>
        </is>
      </c>
      <c r="BH178" s="152" t="n"/>
      <c r="BI178" s="152" t="n"/>
      <c r="BJ178" s="152" t="n"/>
      <c r="BK178" s="152">
        <f>IF(OR($H178&lt;&gt;"Human",$S178="",$J178="",$Y178="",$Z178=""),"",IF(EXACT(UPPER($J178),UPPER($Y178)),1,0))</f>
        <v/>
      </c>
      <c r="BL178" s="152" t="inlineStr">
        <is>
          <t>assumed - no rater record</t>
        </is>
      </c>
      <c r="BM178" s="152" t="n">
        <v>1</v>
      </c>
      <c r="BN178" s="152" t="inlineStr">
        <is>
          <t>Refinitiv / LSEG StreetEvents</t>
        </is>
      </c>
      <c r="BO178" s="152" t="inlineStr">
        <is>
          <t>licensed vendor</t>
        </is>
      </c>
      <c r="BP178" s="152" t="inlineStr">
        <is>
          <t>no</t>
        </is>
      </c>
      <c r="BQ178" s="152" t="inlineStr">
        <is>
          <t>no</t>
        </is>
      </c>
      <c r="BR178" s="152" t="n"/>
      <c r="BS178" s="152" t="inlineStr">
        <is>
          <t>YES</t>
        </is>
      </c>
      <c r="BT178" s="152" t="n"/>
    </row>
    <row r="179" ht="15" customHeight="1" s="241">
      <c r="A179" s="187" t="inlineStr">
        <is>
          <t>Expedia</t>
        </is>
      </c>
      <c r="B179" s="188">
        <f>IF(A179="","",_xlfn.XLOOKUP(A179, Company_List!$A:$A, Company_List!$B:$B, ""))</f>
        <v/>
      </c>
      <c r="C179" s="176" t="n">
        <v>2025</v>
      </c>
      <c r="D179" s="177" t="inlineStr">
        <is>
          <t>Q4</t>
        </is>
      </c>
      <c r="E179" s="178" t="inlineStr">
        <is>
          <t>Transcript</t>
        </is>
      </c>
      <c r="F179" s="178" t="inlineStr">
        <is>
          <t>Transcript Q&amp;A</t>
        </is>
      </c>
      <c r="G179" s="177" t="inlineStr">
        <is>
          <t>Abdul</t>
        </is>
      </c>
      <c r="H179" s="177" t="inlineStr">
        <is>
          <t>Human</t>
        </is>
      </c>
      <c r="I179" s="180" t="n">
        <v>0.4</v>
      </c>
      <c r="J179" s="180">
        <f>IF(OR(I179="",Settings!$B$6=""),"",IF(I179&gt;Settings!$B$6,"BUY",IF(I179&lt;-Settings!$B$6,"SELL","HOLD")))</f>
        <v/>
      </c>
      <c r="K179" s="180" t="n">
        <v>34</v>
      </c>
      <c r="L179" s="182" t="n">
        <v>46065</v>
      </c>
      <c r="M179" s="182" t="n">
        <v>46065</v>
      </c>
      <c r="N179" s="179" t="n">
        <v>227.24</v>
      </c>
      <c r="O179" s="182" t="n">
        <v>46066</v>
      </c>
      <c r="P179" s="180" t="n">
        <v>212</v>
      </c>
      <c r="Q179" s="184">
        <f>IF(OR(N179="",P179=""),"",ROUND((P179-N179)/N179,4))</f>
        <v/>
      </c>
      <c r="R179" s="177">
        <f>IF(OR(N179="",P179=""),"",IF(Q179&gt;Settings!$B$3/100,"UP",IF(Q179&lt;-Settings!$B$3/100,"DOWN","FLAT")))</f>
        <v/>
      </c>
      <c r="S179" s="177">
        <f>IF(OR(N179="",P179="",J179=""),"",IF(OR(AND(J179="BUY",R179="UP"),AND(J179="SELL",R179="DOWN"),AND(J179="HOLD",R179="FLAT")),"YES","NO"))</f>
        <v/>
      </c>
      <c r="T179" s="176">
        <f>IF(J179="","",IF(J179="BUY",1,IF(J179="SELL",-1,0)))</f>
        <v/>
      </c>
      <c r="U179" s="184">
        <f>IFERROR(IF(OR(J179="",N179="",P179=""),"",IF(T179=0,0,T179*Q179-Settings!$B$4/10000-IF(T179&lt;0,Settings!$B$5/10000,0))),"")</f>
        <v/>
      </c>
      <c r="V179" s="152" t="n"/>
      <c r="W179" s="176">
        <f>IF($K179="","",$K179*60)</f>
        <v/>
      </c>
      <c r="X179" s="186">
        <f>IF($A179="","",$A179&amp;"|"&amp;$C179&amp;"|"&amp;$D179)</f>
        <v/>
      </c>
      <c r="Y179" s="186">
        <f>IFERROR(IF($X179="","",INDEX(LLM_Data_Entry!$H$3:$H$548,MATCH($X179,INDEX(LLM_Data_Entry!$A$3:$A$548&amp;"|"&amp;LLM_Data_Entry!$C$3:$C$548&amp;"|"&amp;LLM_Data_Entry!$D$3:$D$548,0),0))),"")</f>
        <v/>
      </c>
      <c r="Z179" s="186">
        <f>IFERROR(IF($X179="","",INDEX(LLM_Data_Entry!$R$3:$R$548,MATCH($X179,INDEX(LLM_Data_Entry!$A$3:$A$548&amp;"|"&amp;LLM_Data_Entry!$C$3:$C$548&amp;"|"&amp;LLM_Data_Entry!$D$3:$D$548,0),0))),"")</f>
        <v/>
      </c>
      <c r="AA179" s="152" t="n"/>
      <c r="AB179" s="152" t="inlineStr">
        <is>
          <t>price signal — both moved; this one dominates</t>
        </is>
      </c>
      <c r="AC179" s="152" t="inlineStr">
        <is>
          <t>EXPE</t>
        </is>
      </c>
      <c r="AD179" s="152" t="inlineStr">
        <is>
          <t>2026-02-12</t>
        </is>
      </c>
      <c r="AE179" s="152" t="n">
        <v>226.2677</v>
      </c>
      <c r="AF179" s="152" t="inlineStr">
        <is>
          <t>2026-02-13</t>
        </is>
      </c>
      <c r="AG179" s="152" t="n">
        <v>211.0929</v>
      </c>
      <c r="AH179" s="152" t="n">
        <v>-0.06706572422558535</v>
      </c>
      <c r="AI179" s="152" t="inlineStr">
        <is>
          <t>DOWN</t>
        </is>
      </c>
      <c r="AJ179" s="152" t="inlineStr">
        <is>
          <t>NO</t>
        </is>
      </c>
      <c r="AK179" s="152" t="n">
        <v>-0.068066</v>
      </c>
      <c r="AL179" s="152">
        <f>IF($A179="","",IFERROR(INDEX(Company_List!$G$3:$G$207,MATCH($A179,Company_List!$A$3:$A$207,0)),"unassigned"))</f>
        <v/>
      </c>
      <c r="AM179" s="152" t="inlineStr">
        <is>
          <t>Phase 3/Readings/Expedia/EXPE-USQ_Transcript_2026-02-12.pdf</t>
        </is>
      </c>
      <c r="AN179" s="152" t="n"/>
      <c r="AO179" s="152" t="inlineStr">
        <is>
          <t>unique filename match</t>
        </is>
      </c>
      <c r="AP179" s="152">
        <f>IF($A179="","",IF(COUNTIFS(LLM_Data_Entry!$A$3:$A$548,$A179)&gt;0,"YES","NO"))</f>
        <v/>
      </c>
      <c r="AQ179" s="152">
        <f>IF($A179="","",IF(COUNTIFS($A$3:$A179,$A179,$C$3:$C179,$C179,$D$3:$D179,$D179)=1,"YES","NO"))</f>
        <v/>
      </c>
      <c r="AR179" s="152">
        <f>IF($A179="","",IF(AND($C179&amp;"-"&amp;$D179&gt;=Settings!$B$19,$C179&amp;"-"&amp;$D179&lt;=Settings!$B$20),"IN","OUT"))</f>
        <v/>
      </c>
      <c r="AS179" s="152">
        <f>IF($A179="","",IF($F179="Financial Results","financials",IF($F179="Outlook/Guidance","guidance",IF($F179="Transcript Q&amp;A","qanda",IF($F179="","unrecorded",IF($E179="All","full",IF($E179="","unrecorded",LOWER($E179)&amp;" only")))))))</f>
        <v/>
      </c>
      <c r="AT179" s="152">
        <f>IF(AND(OR($J179="BUY",$J179="SELL"),ISNUMBER($U179)),$U179,"")</f>
        <v/>
      </c>
      <c r="AU179" s="152">
        <f>IF(AND(OR($J179="BUY",$J179="SELL"),ISNUMBER($AK179)),$AK179,"")</f>
        <v/>
      </c>
      <c r="AV179" s="152">
        <f>IF(ISNUMBER($AT179),ABS(IF(ISNUMBER($I179),$I179,0)-Settings!$B$24),"")</f>
        <v/>
      </c>
      <c r="AW179" s="152">
        <f>IF(ISNUMBER($AV179),$AV179*$AT179,"")</f>
        <v/>
      </c>
      <c r="AX179" s="152">
        <f>IF(ISNUMBER($AU179),ABS(IF(ISNUMBER($I179),$I179,0)-Settings!$B$24),"")</f>
        <v/>
      </c>
      <c r="AY179" s="152" t="inlineStr">
        <is>
          <t>FROZEN</t>
        </is>
      </c>
      <c r="AZ179" s="152">
        <f>IF($A179="","",IFERROR(INDEX(Company_List!$H$3:$H$207,MATCH($A179,Company_List!$A$3:$A$207,0)),"unassigned"))</f>
        <v/>
      </c>
      <c r="BA179" s="152" t="n"/>
      <c r="BB179" s="152" t="n"/>
      <c r="BC179" s="152">
        <f>IF($A179="","",IF(COUNTIFS($A$3:$A179,$A179,$C$3:$C179,$C179,$D$3:$D179,$D179,$G$3:$G179,$G179)=1,1,0))</f>
        <v/>
      </c>
      <c r="BD179" s="152" t="n"/>
      <c r="BE179" s="152" t="n"/>
      <c r="BF179" s="152" t="n"/>
      <c r="BG179" s="152" t="inlineStr">
        <is>
          <t>no</t>
        </is>
      </c>
      <c r="BH179" s="152" t="n"/>
      <c r="BI179" s="152" t="n"/>
      <c r="BJ179" s="152" t="n"/>
      <c r="BK179" s="152">
        <f>IF(OR($H179&lt;&gt;"Human",$S179="",$J179="",$Y179="",$Z179=""),"",IF(EXACT(UPPER($J179),UPPER($Y179)),1,0))</f>
        <v/>
      </c>
      <c r="BL179" s="152" t="inlineStr">
        <is>
          <t>assumed - no rater record</t>
        </is>
      </c>
      <c r="BM179" s="152" t="n">
        <v>1</v>
      </c>
      <c r="BN179" s="152" t="inlineStr">
        <is>
          <t>Refinitiv / LSEG StreetEvents</t>
        </is>
      </c>
      <c r="BO179" s="152" t="inlineStr">
        <is>
          <t>licensed vendor</t>
        </is>
      </c>
      <c r="BP179" s="152" t="inlineStr">
        <is>
          <t>no</t>
        </is>
      </c>
      <c r="BQ179" s="152" t="inlineStr">
        <is>
          <t>no</t>
        </is>
      </c>
      <c r="BR179" s="152" t="n"/>
      <c r="BS179" s="152" t="inlineStr">
        <is>
          <t>YES</t>
        </is>
      </c>
      <c r="BT179" s="152" t="n"/>
    </row>
    <row r="180" ht="15" customHeight="1" s="241">
      <c r="A180" s="187" t="inlineStr">
        <is>
          <t>Expedia</t>
        </is>
      </c>
      <c r="B180" s="188">
        <f>IF(A180="","",_xlfn.XLOOKUP(A180, Company_List!$A:$A, Company_List!$B:$B, ""))</f>
        <v/>
      </c>
      <c r="C180" s="176" t="n">
        <v>2026</v>
      </c>
      <c r="D180" s="177" t="inlineStr">
        <is>
          <t>Q1</t>
        </is>
      </c>
      <c r="E180" s="178" t="inlineStr">
        <is>
          <t>Transcript</t>
        </is>
      </c>
      <c r="F180" s="178" t="inlineStr">
        <is>
          <t>Transcript Q&amp;A</t>
        </is>
      </c>
      <c r="G180" s="177" t="inlineStr">
        <is>
          <t>Abdul</t>
        </is>
      </c>
      <c r="H180" s="177" t="inlineStr">
        <is>
          <t>Human</t>
        </is>
      </c>
      <c r="I180" s="180" t="n">
        <v>-0.4</v>
      </c>
      <c r="J180" s="180">
        <f>IF(OR(I180="",Settings!$B$6=""),"",IF(I180&gt;Settings!$B$6,"BUY",IF(I180&lt;-Settings!$B$6,"SELL","HOLD")))</f>
        <v/>
      </c>
      <c r="K180" s="180" t="n">
        <v>30</v>
      </c>
      <c r="L180" s="182" t="n">
        <v>46149</v>
      </c>
      <c r="M180" s="182" t="n">
        <v>46149</v>
      </c>
      <c r="N180" s="179" t="n">
        <v>252.79</v>
      </c>
      <c r="O180" s="182" t="n">
        <v>46150</v>
      </c>
      <c r="P180" s="180" t="n">
        <v>232.51</v>
      </c>
      <c r="Q180" s="184">
        <f>IF(OR(N180="",P180=""),"",ROUND((P180-N180)/N180,4))</f>
        <v/>
      </c>
      <c r="R180" s="177">
        <f>IF(OR(N180="",P180=""),"",IF(Q180&gt;Settings!$B$3/100,"UP",IF(Q180&lt;-Settings!$B$3/100,"DOWN","FLAT")))</f>
        <v/>
      </c>
      <c r="S180" s="177">
        <f>IF(OR(N180="",P180="",J180=""),"",IF(OR(AND(J180="BUY",R180="UP"),AND(J180="SELL",R180="DOWN"),AND(J180="HOLD",R180="FLAT")),"YES","NO"))</f>
        <v/>
      </c>
      <c r="T180" s="176">
        <f>IF(J180="","",IF(J180="BUY",1,IF(J180="SELL",-1,0)))</f>
        <v/>
      </c>
      <c r="U180" s="184">
        <f>IFERROR(IF(OR(J180="",N180="",P180=""),"",IF(T180=0,0,T180*Q180-Settings!$B$4/10000-IF(T180&lt;0,Settings!$B$5/10000,0))),"")</f>
        <v/>
      </c>
      <c r="V180" s="152" t="n"/>
      <c r="W180" s="176">
        <f>IF($K180="","",$K180*60)</f>
        <v/>
      </c>
      <c r="X180" s="186">
        <f>IF($A180="","",$A180&amp;"|"&amp;$C180&amp;"|"&amp;$D180)</f>
        <v/>
      </c>
      <c r="Y180" s="186">
        <f>IFERROR(IF($X180="","",INDEX(LLM_Data_Entry!$H$3:$H$548,MATCH($X180,INDEX(LLM_Data_Entry!$A$3:$A$548&amp;"|"&amp;LLM_Data_Entry!$C$3:$C$548&amp;"|"&amp;LLM_Data_Entry!$D$3:$D$548,0),0))),"")</f>
        <v/>
      </c>
      <c r="Z180" s="186">
        <f>IFERROR(IF($X180="","",INDEX(LLM_Data_Entry!$R$3:$R$548,MATCH($X180,INDEX(LLM_Data_Entry!$A$3:$A$548&amp;"|"&amp;LLM_Data_Entry!$C$3:$C$548&amp;"|"&amp;LLM_Data_Entry!$D$3:$D$548,0),0))),"")</f>
        <v/>
      </c>
      <c r="AA180" s="152" t="n"/>
      <c r="AB180" s="152" t="inlineStr">
        <is>
          <t>price signal — only this window shows an abnormal move</t>
        </is>
      </c>
      <c r="AC180" s="152" t="inlineStr">
        <is>
          <t>EXPE</t>
        </is>
      </c>
      <c r="AD180" s="152" t="inlineStr">
        <is>
          <t>2026-05-07</t>
        </is>
      </c>
      <c r="AE180" s="152" t="n">
        <v>252.2544</v>
      </c>
      <c r="AF180" s="152" t="inlineStr">
        <is>
          <t>2026-05-08</t>
        </is>
      </c>
      <c r="AG180" s="152" t="n">
        <v>232.0174</v>
      </c>
      <c r="AH180" s="152" t="n">
        <v>-0.08022469436591488</v>
      </c>
      <c r="AI180" s="152" t="inlineStr">
        <is>
          <t>DOWN</t>
        </is>
      </c>
      <c r="AJ180" s="152" t="inlineStr">
        <is>
          <t>YES</t>
        </is>
      </c>
      <c r="AK180" s="152" t="n">
        <v>0.079225</v>
      </c>
      <c r="AL180" s="152">
        <f>IF($A180="","",IFERROR(INDEX(Company_List!$G$3:$G$207,MATCH($A180,Company_List!$A$3:$A$207,0)),"unassigned"))</f>
        <v/>
      </c>
      <c r="AM180" s="152" t="inlineStr">
        <is>
          <t>Phase 3/Readings/Expedia/EXPE-USQ_Transcript_2026-05-07.pdf</t>
        </is>
      </c>
      <c r="AN180" s="152" t="n"/>
      <c r="AO180" s="152" t="inlineStr">
        <is>
          <t>unique filename match</t>
        </is>
      </c>
      <c r="AP180" s="152">
        <f>IF($A180="","",IF(COUNTIFS(LLM_Data_Entry!$A$3:$A$548,$A180)&gt;0,"YES","NO"))</f>
        <v/>
      </c>
      <c r="AQ180" s="152">
        <f>IF($A180="","",IF(COUNTIFS($A$3:$A180,$A180,$C$3:$C180,$C180,$D$3:$D180,$D180)=1,"YES","NO"))</f>
        <v/>
      </c>
      <c r="AR180" s="152">
        <f>IF($A180="","",IF(AND($C180&amp;"-"&amp;$D180&gt;=Settings!$B$19,$C180&amp;"-"&amp;$D180&lt;=Settings!$B$20),"IN","OUT"))</f>
        <v/>
      </c>
      <c r="AS180" s="152">
        <f>IF($A180="","",IF($F180="Financial Results","financials",IF($F180="Outlook/Guidance","guidance",IF($F180="Transcript Q&amp;A","qanda",IF($F180="","unrecorded",IF($E180="All","full",IF($E180="","unrecorded",LOWER($E180)&amp;" only")))))))</f>
        <v/>
      </c>
      <c r="AT180" s="152">
        <f>IF(AND(OR($J180="BUY",$J180="SELL"),ISNUMBER($U180)),$U180,"")</f>
        <v/>
      </c>
      <c r="AU180" s="152">
        <f>IF(AND(OR($J180="BUY",$J180="SELL"),ISNUMBER($AK180)),$AK180,"")</f>
        <v/>
      </c>
      <c r="AV180" s="152">
        <f>IF(ISNUMBER($AT180),ABS(IF(ISNUMBER($I180),$I180,0)-Settings!$B$24),"")</f>
        <v/>
      </c>
      <c r="AW180" s="152">
        <f>IF(ISNUMBER($AV180),$AV180*$AT180,"")</f>
        <v/>
      </c>
      <c r="AX180" s="152">
        <f>IF(ISNUMBER($AU180),ABS(IF(ISNUMBER($I180),$I180,0)-Settings!$B$24),"")</f>
        <v/>
      </c>
      <c r="AY180" s="152" t="inlineStr">
        <is>
          <t>FROZEN</t>
        </is>
      </c>
      <c r="AZ180" s="152">
        <f>IF($A180="","",IFERROR(INDEX(Company_List!$H$3:$H$207,MATCH($A180,Company_List!$A$3:$A$207,0)),"unassigned"))</f>
        <v/>
      </c>
      <c r="BA180" s="152" t="n"/>
      <c r="BB180" s="152" t="n"/>
      <c r="BC180" s="152">
        <f>IF($A180="","",IF(COUNTIFS($A$3:$A180,$A180,$C$3:$C180,$C180,$D$3:$D180,$D180,$G$3:$G180,$G180)=1,1,0))</f>
        <v/>
      </c>
      <c r="BD180" s="152" t="n"/>
      <c r="BE180" s="152" t="n"/>
      <c r="BF180" s="152" t="n"/>
      <c r="BG180" s="152" t="inlineStr">
        <is>
          <t>no</t>
        </is>
      </c>
      <c r="BH180" s="152" t="n"/>
      <c r="BI180" s="152" t="n"/>
      <c r="BJ180" s="152" t="n"/>
      <c r="BK180" s="152">
        <f>IF(OR($H180&lt;&gt;"Human",$S180="",$J180="",$Y180="",$Z180=""),"",IF(EXACT(UPPER($J180),UPPER($Y180)),1,0))</f>
        <v/>
      </c>
      <c r="BL180" s="152" t="inlineStr">
        <is>
          <t>assumed - no rater record</t>
        </is>
      </c>
      <c r="BM180" s="152" t="n">
        <v>1</v>
      </c>
      <c r="BN180" s="152" t="inlineStr">
        <is>
          <t>Refinitiv / LSEG StreetEvents</t>
        </is>
      </c>
      <c r="BO180" s="152" t="inlineStr">
        <is>
          <t>licensed vendor</t>
        </is>
      </c>
      <c r="BP180" s="152" t="inlineStr">
        <is>
          <t>no</t>
        </is>
      </c>
      <c r="BQ180" s="152" t="inlineStr">
        <is>
          <t>no</t>
        </is>
      </c>
      <c r="BR180" s="152" t="n"/>
      <c r="BS180" s="152" t="inlineStr">
        <is>
          <t>YES</t>
        </is>
      </c>
      <c r="BT180" s="152" t="n"/>
    </row>
    <row r="181" ht="15" customHeight="1" s="241">
      <c r="A181" s="187" t="inlineStr">
        <is>
          <t>Robinhood Markets</t>
        </is>
      </c>
      <c r="B181" s="188">
        <f>IF(A181="","",_xlfn.XLOOKUP(A181, Company_List!$A:$A, Company_List!$B:$B, ""))</f>
        <v/>
      </c>
      <c r="C181" s="176" t="n">
        <v>2025</v>
      </c>
      <c r="D181" s="177" t="inlineStr">
        <is>
          <t>Q1</t>
        </is>
      </c>
      <c r="E181" s="178" t="inlineStr">
        <is>
          <t>Press Release Document</t>
        </is>
      </c>
      <c r="F181" s="178" t="inlineStr">
        <is>
          <t>All</t>
        </is>
      </c>
      <c r="G181" s="177" t="inlineStr">
        <is>
          <t>Abdul</t>
        </is>
      </c>
      <c r="H181" s="177" t="inlineStr">
        <is>
          <t>Human</t>
        </is>
      </c>
      <c r="I181" s="180" t="n">
        <v>0.7</v>
      </c>
      <c r="J181" s="180">
        <f>IF(OR(I181="",Settings!$B$6=""),"",IF(I181&gt;Settings!$B$6,"BUY",IF(I181&lt;-Settings!$B$6,"SELL","HOLD")))</f>
        <v/>
      </c>
      <c r="K181" s="180" t="n">
        <v>21</v>
      </c>
      <c r="L181" s="182" t="n">
        <v>45777</v>
      </c>
      <c r="M181" s="182" t="n">
        <v>45777</v>
      </c>
      <c r="N181" s="179" t="n">
        <v>49.11</v>
      </c>
      <c r="O181" s="182" t="n">
        <v>45778</v>
      </c>
      <c r="P181" s="180" t="n">
        <v>51.12</v>
      </c>
      <c r="Q181" s="184">
        <f>IF(OR(N181="",P181=""),"",ROUND((P181-N181)/N181,4))</f>
        <v/>
      </c>
      <c r="R181" s="177">
        <f>IF(OR(N181="",P181=""),"",IF(Q181&gt;Settings!$B$3/100,"UP",IF(Q181&lt;-Settings!$B$3/100,"DOWN","FLAT")))</f>
        <v/>
      </c>
      <c r="S181" s="177">
        <f>IF(OR(N181="",P181="",J181=""),"",IF(OR(AND(J181="BUY",R181="UP"),AND(J181="SELL",R181="DOWN"),AND(J181="HOLD",R181="FLAT")),"YES","NO"))</f>
        <v/>
      </c>
      <c r="T181" s="176">
        <f>IF(J181="","",IF(J181="BUY",1,IF(J181="SELL",-1,0)))</f>
        <v/>
      </c>
      <c r="U181" s="184">
        <f>IFERROR(IF(OR(J181="",N181="",P181=""),"",IF(T181=0,0,T181*Q181-Settings!$B$4/10000-IF(T181&lt;0,Settings!$B$5/10000,0))),"")</f>
        <v/>
      </c>
      <c r="V181" s="152" t="n"/>
      <c r="W181" s="176">
        <f>IF($K181="","",$K181*60)</f>
        <v/>
      </c>
      <c r="X181" s="186">
        <f>IF($A181="","",$A181&amp;"|"&amp;$C181&amp;"|"&amp;$D181)</f>
        <v/>
      </c>
      <c r="Y181" s="186">
        <f>IFERROR(IF($X181="","",INDEX(LLM_Data_Entry!$H$3:$H$548,MATCH($X181,INDEX(LLM_Data_Entry!$A$3:$A$548&amp;"|"&amp;LLM_Data_Entry!$C$3:$C$548&amp;"|"&amp;LLM_Data_Entry!$D$3:$D$548,0),0))),"")</f>
        <v/>
      </c>
      <c r="Z181" s="186">
        <f>IFERROR(IF($X181="","",INDEX(LLM_Data_Entry!$R$3:$R$548,MATCH($X181,INDEX(LLM_Data_Entry!$A$3:$A$548&amp;"|"&amp;LLM_Data_Entry!$C$3:$C$548&amp;"|"&amp;LLM_Data_Entry!$D$3:$D$548,0),0))),"")</f>
        <v/>
      </c>
      <c r="AA181" s="152" t="n"/>
      <c r="AB181" s="152" t="inlineStr">
        <is>
          <t>release time published by the issuer (section C)</t>
        </is>
      </c>
      <c r="AC181" s="152" t="inlineStr">
        <is>
          <t>HOOD</t>
        </is>
      </c>
      <c r="AD181" s="152" t="inlineStr">
        <is>
          <t>2025-04-30</t>
        </is>
      </c>
      <c r="AE181" s="152" t="n">
        <v>49.11</v>
      </c>
      <c r="AF181" s="152" t="inlineStr">
        <is>
          <t>2025-05-01</t>
        </is>
      </c>
      <c r="AG181" s="152" t="n">
        <v>51.125</v>
      </c>
      <c r="AH181" s="152" t="n">
        <v>0.04103031885501306</v>
      </c>
      <c r="AI181" s="152" t="inlineStr">
        <is>
          <t>UP</t>
        </is>
      </c>
      <c r="AJ181" s="152" t="inlineStr">
        <is>
          <t>YES</t>
        </is>
      </c>
      <c r="AK181" s="152" t="n">
        <v>0.04003</v>
      </c>
      <c r="AL181" s="152">
        <f>IF($A181="","",IFERROR(INDEX(Company_List!$G$3:$G$207,MATCH($A181,Company_List!$A$3:$A$207,0)),"unassigned"))</f>
        <v/>
      </c>
      <c r="AM181" s="152" t="inlineStr">
        <is>
          <t>Phase 3/Readings/Robinhood/Q1 2025 Robinhood Exhibit 99.1.pdf</t>
        </is>
      </c>
      <c r="AN181" s="152" t="n"/>
      <c r="AO181" s="152" t="inlineStr">
        <is>
          <t>unique filename match</t>
        </is>
      </c>
      <c r="AP181" s="152">
        <f>IF($A181="","",IF(COUNTIFS(LLM_Data_Entry!$A$3:$A$548,$A181)&gt;0,"YES","NO"))</f>
        <v/>
      </c>
      <c r="AQ181" s="152">
        <f>IF($A181="","",IF(COUNTIFS($A$3:$A181,$A181,$C$3:$C181,$C181,$D$3:$D181,$D181)=1,"YES","NO"))</f>
        <v/>
      </c>
      <c r="AR181" s="152">
        <f>IF($A181="","",IF(AND($C181&amp;"-"&amp;$D181&gt;=Settings!$B$19,$C181&amp;"-"&amp;$D181&lt;=Settings!$B$20),"IN","OUT"))</f>
        <v/>
      </c>
      <c r="AS181" s="152">
        <f>IF($A181="","",IF($F181="Financial Results","financials",IF($F181="Outlook/Guidance","guidance",IF($F181="Transcript Q&amp;A","qanda",IF($F181="","unrecorded",IF($E181="All","full",IF($E181="","unrecorded",LOWER($E181)&amp;" only")))))))</f>
        <v/>
      </c>
      <c r="AT181" s="152">
        <f>IF(AND(OR($J181="BUY",$J181="SELL"),ISNUMBER($U181)),$U181,"")</f>
        <v/>
      </c>
      <c r="AU181" s="152">
        <f>IF(AND(OR($J181="BUY",$J181="SELL"),ISNUMBER($AK181)),$AK181,"")</f>
        <v/>
      </c>
      <c r="AV181" s="152">
        <f>IF(ISNUMBER($AT181),ABS(IF(ISNUMBER($I181),$I181,0)-Settings!$B$24),"")</f>
        <v/>
      </c>
      <c r="AW181" s="152">
        <f>IF(ISNUMBER($AV181),$AV181*$AT181,"")</f>
        <v/>
      </c>
      <c r="AX181" s="152">
        <f>IF(ISNUMBER($AU181),ABS(IF(ISNUMBER($I181),$I181,0)-Settings!$B$24),"")</f>
        <v/>
      </c>
      <c r="AY181" s="152" t="inlineStr">
        <is>
          <t>FROZEN</t>
        </is>
      </c>
      <c r="AZ181" s="152">
        <f>IF($A181="","",IFERROR(INDEX(Company_List!$H$3:$H$207,MATCH($A181,Company_List!$A$3:$A$207,0)),"unassigned"))</f>
        <v/>
      </c>
      <c r="BA181" s="152" t="n"/>
      <c r="BB181" s="152" t="n"/>
      <c r="BC181" s="152">
        <f>IF($A181="","",IF(COUNTIFS($A$3:$A181,$A181,$C$3:$C181,$C181,$D$3:$D181,$D181,$G$3:$G181,$G181)=1,1,0))</f>
        <v/>
      </c>
      <c r="BD181" s="152" t="n"/>
      <c r="BE181" s="152" t="n"/>
      <c r="BF181" s="152" t="n"/>
      <c r="BG181" s="152" t="inlineStr">
        <is>
          <t>no</t>
        </is>
      </c>
      <c r="BH181" s="152" t="n"/>
      <c r="BI181" s="152" t="n"/>
      <c r="BJ181" s="152" t="n"/>
      <c r="BK181" s="152">
        <f>IF(OR($H181&lt;&gt;"Human",$S181="",$J181="",$Y181="",$Z181=""),"",IF(EXACT(UPPER($J181),UPPER($Y181)),1,0))</f>
        <v/>
      </c>
      <c r="BL181" s="152" t="inlineStr">
        <is>
          <t>assumed - no rater record</t>
        </is>
      </c>
      <c r="BM181" s="152" t="n">
        <v>1</v>
      </c>
      <c r="BN181" s="152" t="inlineStr">
        <is>
          <t>not publisher-identified</t>
        </is>
      </c>
      <c r="BO181" s="152" t="inlineStr">
        <is>
          <t>not publisher-identified</t>
        </is>
      </c>
      <c r="BP181" s="152" t="inlineStr">
        <is>
          <t>no</t>
        </is>
      </c>
      <c r="BQ181" s="152" t="inlineStr">
        <is>
          <t>no</t>
        </is>
      </c>
      <c r="BR181" s="152" t="n"/>
      <c r="BS181" s="152" t="inlineStr">
        <is>
          <t>YES</t>
        </is>
      </c>
      <c r="BT181" s="152" t="n"/>
    </row>
    <row r="182" ht="15" customHeight="1" s="241">
      <c r="A182" s="187" t="inlineStr">
        <is>
          <t>Robinhood Markets</t>
        </is>
      </c>
      <c r="B182" s="188">
        <f>IF(A182="","",_xlfn.XLOOKUP(A182, Company_List!$A:$A, Company_List!$B:$B, ""))</f>
        <v/>
      </c>
      <c r="C182" s="176" t="n">
        <v>2025</v>
      </c>
      <c r="D182" s="177" t="inlineStr">
        <is>
          <t>Q2</t>
        </is>
      </c>
      <c r="E182" s="178" t="inlineStr">
        <is>
          <t>Transcript</t>
        </is>
      </c>
      <c r="F182" s="178" t="inlineStr">
        <is>
          <t>Outlook/Guidance</t>
        </is>
      </c>
      <c r="G182" s="177" t="inlineStr">
        <is>
          <t>Abdul</t>
        </is>
      </c>
      <c r="H182" s="177" t="inlineStr">
        <is>
          <t>Human</t>
        </is>
      </c>
      <c r="I182" s="180" t="n">
        <v>0.6</v>
      </c>
      <c r="J182" s="180">
        <f>IF(OR(I182="",Settings!$B$6=""),"",IF(I182&gt;Settings!$B$6,"BUY",IF(I182&lt;-Settings!$B$6,"SELL","HOLD")))</f>
        <v/>
      </c>
      <c r="K182" s="180" t="n">
        <v>15</v>
      </c>
      <c r="L182" s="182" t="n">
        <v>45868</v>
      </c>
      <c r="M182" s="182" t="n">
        <v>45868</v>
      </c>
      <c r="N182" s="179" t="n">
        <v>106.1</v>
      </c>
      <c r="O182" s="182" t="n">
        <v>45869</v>
      </c>
      <c r="P182" s="180" t="n">
        <v>103.87</v>
      </c>
      <c r="Q182" s="184">
        <f>IF(OR(N182="",P182=""),"",ROUND((P182-N182)/N182,4))</f>
        <v/>
      </c>
      <c r="R182" s="177">
        <f>IF(OR(N182="",P182=""),"",IF(Q182&gt;Settings!$B$3/100,"UP",IF(Q182&lt;-Settings!$B$3/100,"DOWN","FLAT")))</f>
        <v/>
      </c>
      <c r="S182" s="177">
        <f>IF(OR(N182="",P182="",J182=""),"",IF(OR(AND(J182="BUY",R182="UP"),AND(J182="SELL",R182="DOWN"),AND(J182="HOLD",R182="FLAT")),"YES","NO"))</f>
        <v/>
      </c>
      <c r="T182" s="176">
        <f>IF(J182="","",IF(J182="BUY",1,IF(J182="SELL",-1,0)))</f>
        <v/>
      </c>
      <c r="U182" s="184">
        <f>IFERROR(IF(OR(J182="",N182="",P182=""),"",IF(T182=0,0,T182*Q182-Settings!$B$4/10000-IF(T182&lt;0,Settings!$B$5/10000,0))),"")</f>
        <v/>
      </c>
      <c r="V182" s="152" t="n"/>
      <c r="W182" s="176">
        <f>IF($K182="","",$K182*60)</f>
        <v/>
      </c>
      <c r="X182" s="186">
        <f>IF($A182="","",$A182&amp;"|"&amp;$C182&amp;"|"&amp;$D182)</f>
        <v/>
      </c>
      <c r="Y182" s="186">
        <f>IFERROR(IF($X182="","",INDEX(LLM_Data_Entry!$H$3:$H$548,MATCH($X182,INDEX(LLM_Data_Entry!$A$3:$A$548&amp;"|"&amp;LLM_Data_Entry!$C$3:$C$548&amp;"|"&amp;LLM_Data_Entry!$D$3:$D$548,0),0))),"")</f>
        <v/>
      </c>
      <c r="Z182" s="186">
        <f>IFERROR(IF($X182="","",INDEX(LLM_Data_Entry!$R$3:$R$548,MATCH($X182,INDEX(LLM_Data_Entry!$A$3:$A$548&amp;"|"&amp;LLM_Data_Entry!$C$3:$C$548&amp;"|"&amp;LLM_Data_Entry!$D$3:$D$548,0),0))),"")</f>
        <v/>
      </c>
      <c r="AA182" s="152" t="n"/>
      <c r="AB182" s="152" t="inlineStr">
        <is>
          <t>price signal — only this window shows an abnormal move</t>
        </is>
      </c>
      <c r="AC182" s="152" t="inlineStr">
        <is>
          <t>HOOD</t>
        </is>
      </c>
      <c r="AD182" s="152" t="inlineStr">
        <is>
          <t>2025-07-30</t>
        </is>
      </c>
      <c r="AE182" s="152" t="n">
        <v>106.1</v>
      </c>
      <c r="AF182" s="152" t="inlineStr">
        <is>
          <t>2025-07-31</t>
        </is>
      </c>
      <c r="AG182" s="152" t="n">
        <v>103.865</v>
      </c>
      <c r="AH182" s="152" t="n">
        <v>-0.02106503338482626</v>
      </c>
      <c r="AI182" s="152" t="inlineStr">
        <is>
          <t>DOWN</t>
        </is>
      </c>
      <c r="AJ182" s="152" t="inlineStr">
        <is>
          <t>NO</t>
        </is>
      </c>
      <c r="AK182" s="152" t="n">
        <v>-0.022065</v>
      </c>
      <c r="AL182" s="152">
        <f>IF($A182="","",IFERROR(INDEX(Company_List!$G$3:$G$207,MATCH($A182,Company_List!$A$3:$A$207,0)),"unassigned"))</f>
        <v/>
      </c>
      <c r="AM182" s="152" t="inlineStr">
        <is>
          <t>Phase 3/Readings/Robinhood/Robinhood Markets, Inc. Q2 2025 Earnings Call Transcript.pdf</t>
        </is>
      </c>
      <c r="AN182" s="152" t="n"/>
      <c r="AO182" s="152" t="inlineStr">
        <is>
          <t>unique filename match</t>
        </is>
      </c>
      <c r="AP182" s="152">
        <f>IF($A182="","",IF(COUNTIFS(LLM_Data_Entry!$A$3:$A$548,$A182)&gt;0,"YES","NO"))</f>
        <v/>
      </c>
      <c r="AQ182" s="152">
        <f>IF($A182="","",IF(COUNTIFS($A$3:$A182,$A182,$C$3:$C182,$C182,$D$3:$D182,$D182)=1,"YES","NO"))</f>
        <v/>
      </c>
      <c r="AR182" s="152">
        <f>IF($A182="","",IF(AND($C182&amp;"-"&amp;$D182&gt;=Settings!$B$19,$C182&amp;"-"&amp;$D182&lt;=Settings!$B$20),"IN","OUT"))</f>
        <v/>
      </c>
      <c r="AS182" s="152">
        <f>IF($A182="","",IF($F182="Financial Results","financials",IF($F182="Outlook/Guidance","guidance",IF($F182="Transcript Q&amp;A","qanda",IF($F182="","unrecorded",IF($E182="All","full",IF($E182="","unrecorded",LOWER($E182)&amp;" only")))))))</f>
        <v/>
      </c>
      <c r="AT182" s="152">
        <f>IF(AND(OR($J182="BUY",$J182="SELL"),ISNUMBER($U182)),$U182,"")</f>
        <v/>
      </c>
      <c r="AU182" s="152">
        <f>IF(AND(OR($J182="BUY",$J182="SELL"),ISNUMBER($AK182)),$AK182,"")</f>
        <v/>
      </c>
      <c r="AV182" s="152">
        <f>IF(ISNUMBER($AT182),ABS(IF(ISNUMBER($I182),$I182,0)-Settings!$B$24),"")</f>
        <v/>
      </c>
      <c r="AW182" s="152">
        <f>IF(ISNUMBER($AV182),$AV182*$AT182,"")</f>
        <v/>
      </c>
      <c r="AX182" s="152">
        <f>IF(ISNUMBER($AU182),ABS(IF(ISNUMBER($I182),$I182,0)-Settings!$B$24),"")</f>
        <v/>
      </c>
      <c r="AY182" s="152" t="inlineStr">
        <is>
          <t>FROZEN</t>
        </is>
      </c>
      <c r="AZ182" s="152">
        <f>IF($A182="","",IFERROR(INDEX(Company_List!$H$3:$H$207,MATCH($A182,Company_List!$A$3:$A$207,0)),"unassigned"))</f>
        <v/>
      </c>
      <c r="BA182" s="152" t="n"/>
      <c r="BB182" s="152" t="n"/>
      <c r="BC182" s="152">
        <f>IF($A182="","",IF(COUNTIFS($A$3:$A182,$A182,$C$3:$C182,$C182,$D$3:$D182,$D182,$G$3:$G182,$G182)=1,1,0))</f>
        <v/>
      </c>
      <c r="BD182" s="152" t="n"/>
      <c r="BE182" s="152" t="n"/>
      <c r="BF182" s="152" t="n"/>
      <c r="BG182" s="152" t="inlineStr">
        <is>
          <t>no</t>
        </is>
      </c>
      <c r="BH182" s="152" t="n"/>
      <c r="BI182" s="152" t="n"/>
      <c r="BJ182" s="152" t="n"/>
      <c r="BK182" s="152">
        <f>IF(OR($H182&lt;&gt;"Human",$S182="",$J182="",$Y182="",$Z182=""),"",IF(EXACT(UPPER($J182),UPPER($Y182)),1,0))</f>
        <v/>
      </c>
      <c r="BL182" s="152" t="inlineStr">
        <is>
          <t>assumed - no rater record</t>
        </is>
      </c>
      <c r="BM182" s="152" t="n">
        <v>1</v>
      </c>
      <c r="BN182" s="152" t="inlineStr">
        <is>
          <t>not publisher-identified</t>
        </is>
      </c>
      <c r="BO182" s="152" t="inlineStr">
        <is>
          <t>not publisher-identified</t>
        </is>
      </c>
      <c r="BP182" s="152" t="inlineStr">
        <is>
          <t>no</t>
        </is>
      </c>
      <c r="BQ182" s="152" t="inlineStr">
        <is>
          <t>no</t>
        </is>
      </c>
      <c r="BR182" s="152" t="n"/>
      <c r="BS182" s="152" t="inlineStr">
        <is>
          <t>YES</t>
        </is>
      </c>
      <c r="BT182" s="152" t="n"/>
    </row>
    <row r="183" ht="15" customHeight="1" s="241">
      <c r="A183" s="187" t="inlineStr">
        <is>
          <t>Robinhood Markets</t>
        </is>
      </c>
      <c r="B183" s="188">
        <f>IF(A183="","",_xlfn.XLOOKUP(A183, Company_List!$A:$A, Company_List!$B:$B, ""))</f>
        <v/>
      </c>
      <c r="C183" s="176" t="n">
        <v>2025</v>
      </c>
      <c r="D183" s="177" t="inlineStr">
        <is>
          <t>Q3</t>
        </is>
      </c>
      <c r="E183" s="178" t="inlineStr">
        <is>
          <t>Transcript</t>
        </is>
      </c>
      <c r="F183" s="178" t="inlineStr">
        <is>
          <t>Transcript Q&amp;A</t>
        </is>
      </c>
      <c r="G183" s="177" t="inlineStr">
        <is>
          <t>Abdul</t>
        </is>
      </c>
      <c r="H183" s="177" t="inlineStr">
        <is>
          <t>Human</t>
        </is>
      </c>
      <c r="I183" s="180" t="n">
        <v>0.3</v>
      </c>
      <c r="J183" s="180">
        <f>IF(OR(I183="",Settings!$B$6=""),"",IF(I183&gt;Settings!$B$6,"BUY",IF(I183&lt;-Settings!$B$6,"SELL","HOLD")))</f>
        <v/>
      </c>
      <c r="K183" s="180" t="n">
        <v>40</v>
      </c>
      <c r="L183" s="182" t="n">
        <v>45966</v>
      </c>
      <c r="M183" s="182" t="n">
        <v>45966</v>
      </c>
      <c r="N183" s="179" t="n">
        <v>142.48</v>
      </c>
      <c r="O183" s="182" t="n">
        <v>45967</v>
      </c>
      <c r="P183" s="180" t="n">
        <v>140</v>
      </c>
      <c r="Q183" s="184">
        <f>IF(OR(N183="",P183=""),"",ROUND((P183-N183)/N183,4))</f>
        <v/>
      </c>
      <c r="R183" s="177">
        <f>IF(OR(N183="",P183=""),"",IF(Q183&gt;Settings!$B$3/100,"UP",IF(Q183&lt;-Settings!$B$3/100,"DOWN","FLAT")))</f>
        <v/>
      </c>
      <c r="S183" s="177">
        <f>IF(OR(N183="",P183="",J183=""),"",IF(OR(AND(J183="BUY",R183="UP"),AND(J183="SELL",R183="DOWN"),AND(J183="HOLD",R183="FLAT")),"YES","NO"))</f>
        <v/>
      </c>
      <c r="T183" s="176">
        <f>IF(J183="","",IF(J183="BUY",1,IF(J183="SELL",-1,0)))</f>
        <v/>
      </c>
      <c r="U183" s="184">
        <f>IFERROR(IF(OR(J183="",N183="",P183=""),"",IF(T183=0,0,T183*Q183-Settings!$B$4/10000-IF(T183&lt;0,Settings!$B$5/10000,0))),"")</f>
        <v/>
      </c>
      <c r="V183" s="152" t="n"/>
      <c r="W183" s="176">
        <f>IF($K183="","",$K183*60)</f>
        <v/>
      </c>
      <c r="X183" s="186">
        <f>IF($A183="","",$A183&amp;"|"&amp;$C183&amp;"|"&amp;$D183)</f>
        <v/>
      </c>
      <c r="Y183" s="186">
        <f>IFERROR(IF($X183="","",INDEX(LLM_Data_Entry!$H$3:$H$548,MATCH($X183,INDEX(LLM_Data_Entry!$A$3:$A$548&amp;"|"&amp;LLM_Data_Entry!$C$3:$C$548&amp;"|"&amp;LLM_Data_Entry!$D$3:$D$548,0),0))),"")</f>
        <v/>
      </c>
      <c r="Z183" s="186">
        <f>IFERROR(IF($X183="","",INDEX(LLM_Data_Entry!$R$3:$R$548,MATCH($X183,INDEX(LLM_Data_Entry!$A$3:$A$548&amp;"|"&amp;LLM_Data_Entry!$C$3:$C$548&amp;"|"&amp;LLM_Data_Entry!$D$3:$D$548,0),0))),"")</f>
        <v/>
      </c>
      <c r="AA183" s="152" t="n"/>
      <c r="AB183" s="152" t="inlineStr">
        <is>
          <t>price signal</t>
        </is>
      </c>
      <c r="AC183" s="152" t="inlineStr">
        <is>
          <t>HOOD</t>
        </is>
      </c>
      <c r="AD183" s="152" t="inlineStr">
        <is>
          <t>2025-11-04</t>
        </is>
      </c>
      <c r="AE183" s="152" t="n">
        <v>136.8</v>
      </c>
      <c r="AF183" s="152" t="inlineStr">
        <is>
          <t>2025-11-05</t>
        </is>
      </c>
      <c r="AG183" s="152" t="n">
        <v>139.635</v>
      </c>
      <c r="AH183" s="152" t="n">
        <v>0.02072362527652868</v>
      </c>
      <c r="AI183" s="152" t="inlineStr">
        <is>
          <t>UP</t>
        </is>
      </c>
      <c r="AJ183" s="152" t="inlineStr">
        <is>
          <t>YES</t>
        </is>
      </c>
      <c r="AK183" s="152" t="n">
        <v>0.019724</v>
      </c>
      <c r="AL183" s="152">
        <f>IF($A183="","",IFERROR(INDEX(Company_List!$G$3:$G$207,MATCH($A183,Company_List!$A$3:$A$207,0)),"unassigned"))</f>
        <v/>
      </c>
      <c r="AM183" s="152" t="inlineStr">
        <is>
          <t>Phase 3/Readings/Robinhood/Robinhood Markets, Inc. Q3 2025 Earnings Call Transcript.pdf</t>
        </is>
      </c>
      <c r="AN183" s="152" t="n"/>
      <c r="AO183" s="152" t="inlineStr">
        <is>
          <t>unique filename match</t>
        </is>
      </c>
      <c r="AP183" s="152">
        <f>IF($A183="","",IF(COUNTIFS(LLM_Data_Entry!$A$3:$A$548,$A183)&gt;0,"YES","NO"))</f>
        <v/>
      </c>
      <c r="AQ183" s="152">
        <f>IF($A183="","",IF(COUNTIFS($A$3:$A183,$A183,$C$3:$C183,$C183,$D$3:$D183,$D183)=1,"YES","NO"))</f>
        <v/>
      </c>
      <c r="AR183" s="152">
        <f>IF($A183="","",IF(AND($C183&amp;"-"&amp;$D183&gt;=Settings!$B$19,$C183&amp;"-"&amp;$D183&lt;=Settings!$B$20),"IN","OUT"))</f>
        <v/>
      </c>
      <c r="AS183" s="152">
        <f>IF($A183="","",IF($F183="Financial Results","financials",IF($F183="Outlook/Guidance","guidance",IF($F183="Transcript Q&amp;A","qanda",IF($F183="","unrecorded",IF($E183="All","full",IF($E183="","unrecorded",LOWER($E183)&amp;" only")))))))</f>
        <v/>
      </c>
      <c r="AT183" s="152">
        <f>IF(AND(OR($J183="BUY",$J183="SELL"),ISNUMBER($U183)),$U183,"")</f>
        <v/>
      </c>
      <c r="AU183" s="152">
        <f>IF(AND(OR($J183="BUY",$J183="SELL"),ISNUMBER($AK183)),$AK183,"")</f>
        <v/>
      </c>
      <c r="AV183" s="152">
        <f>IF(ISNUMBER($AT183),ABS(IF(ISNUMBER($I183),$I183,0)-Settings!$B$24),"")</f>
        <v/>
      </c>
      <c r="AW183" s="152">
        <f>IF(ISNUMBER($AV183),$AV183*$AT183,"")</f>
        <v/>
      </c>
      <c r="AX183" s="152">
        <f>IF(ISNUMBER($AU183),ABS(IF(ISNUMBER($I183),$I183,0)-Settings!$B$24),"")</f>
        <v/>
      </c>
      <c r="AY183" s="152" t="inlineStr">
        <is>
          <t>FROZEN</t>
        </is>
      </c>
      <c r="AZ183" s="152">
        <f>IF($A183="","",IFERROR(INDEX(Company_List!$H$3:$H$207,MATCH($A183,Company_List!$A$3:$A$207,0)),"unassigned"))</f>
        <v/>
      </c>
      <c r="BA183" s="152" t="n"/>
      <c r="BB183" s="152" t="n"/>
      <c r="BC183" s="152">
        <f>IF($A183="","",IF(COUNTIFS($A$3:$A183,$A183,$C$3:$C183,$C183,$D$3:$D183,$D183,$G$3:$G183,$G183)=1,1,0))</f>
        <v/>
      </c>
      <c r="BD183" s="152" t="n"/>
      <c r="BE183" s="152" t="n"/>
      <c r="BF183" s="152" t="n"/>
      <c r="BG183" s="152" t="inlineStr">
        <is>
          <t>no</t>
        </is>
      </c>
      <c r="BH183" s="152" t="n"/>
      <c r="BI183" s="152" t="n"/>
      <c r="BJ183" s="152" t="n"/>
      <c r="BK183" s="152">
        <f>IF(OR($H183&lt;&gt;"Human",$S183="",$J183="",$Y183="",$Z183=""),"",IF(EXACT(UPPER($J183),UPPER($Y183)),1,0))</f>
        <v/>
      </c>
      <c r="BL183" s="152" t="inlineStr">
        <is>
          <t>assumed - no rater record</t>
        </is>
      </c>
      <c r="BM183" s="152" t="n">
        <v>1</v>
      </c>
      <c r="BN183" s="152" t="inlineStr">
        <is>
          <t>not publisher-identified</t>
        </is>
      </c>
      <c r="BO183" s="152" t="inlineStr">
        <is>
          <t>not publisher-identified</t>
        </is>
      </c>
      <c r="BP183" s="152" t="inlineStr">
        <is>
          <t>no</t>
        </is>
      </c>
      <c r="BQ183" s="152" t="inlineStr">
        <is>
          <t>no</t>
        </is>
      </c>
      <c r="BR183" s="152" t="n"/>
      <c r="BS183" s="152" t="inlineStr">
        <is>
          <t>YES</t>
        </is>
      </c>
      <c r="BT183" s="152" t="n"/>
    </row>
    <row r="184" ht="15" customHeight="1" s="241">
      <c r="A184" s="187" t="inlineStr">
        <is>
          <t>Robinhood Markets</t>
        </is>
      </c>
      <c r="B184" s="188">
        <f>IF(A184="","",_xlfn.XLOOKUP(A184, Company_List!$A:$A, Company_List!$B:$B, ""))</f>
        <v/>
      </c>
      <c r="C184" s="176" t="n">
        <v>2026</v>
      </c>
      <c r="D184" s="177" t="inlineStr">
        <is>
          <t>Q1</t>
        </is>
      </c>
      <c r="E184" s="178" t="inlineStr">
        <is>
          <t>Presentation</t>
        </is>
      </c>
      <c r="F184" s="178" t="inlineStr">
        <is>
          <t>All</t>
        </is>
      </c>
      <c r="G184" s="177" t="inlineStr">
        <is>
          <t>Abdul</t>
        </is>
      </c>
      <c r="H184" s="177" t="inlineStr">
        <is>
          <t>Human</t>
        </is>
      </c>
      <c r="I184" s="180" t="n">
        <v>-0.6</v>
      </c>
      <c r="J184" s="180">
        <f>IF(OR(I184="",Settings!$B$6=""),"",IF(I184&gt;Settings!$B$6,"BUY",IF(I184&lt;-Settings!$B$6,"SELL","HOLD")))</f>
        <v/>
      </c>
      <c r="K184" s="180" t="n">
        <v>25</v>
      </c>
      <c r="L184" s="182" t="n">
        <v>46140</v>
      </c>
      <c r="M184" s="182" t="n">
        <v>46140</v>
      </c>
      <c r="N184" s="179" t="n">
        <v>82.06999999999999</v>
      </c>
      <c r="O184" s="182" t="n">
        <v>46141</v>
      </c>
      <c r="P184" s="180" t="n">
        <v>72.3</v>
      </c>
      <c r="Q184" s="184">
        <f>IF(OR(N184="",P184=""),"",ROUND((P184-N184)/N184,4))</f>
        <v/>
      </c>
      <c r="R184" s="177">
        <f>IF(OR(N184="",P184=""),"",IF(Q184&gt;Settings!$B$3/100,"UP",IF(Q184&lt;-Settings!$B$3/100,"DOWN","FLAT")))</f>
        <v/>
      </c>
      <c r="S184" s="177">
        <f>IF(OR(N184="",P184="",J184=""),"",IF(OR(AND(J184="BUY",R184="UP"),AND(J184="SELL",R184="DOWN"),AND(J184="HOLD",R184="FLAT")),"YES","NO"))</f>
        <v/>
      </c>
      <c r="T184" s="176">
        <f>IF(J184="","",IF(J184="BUY",1,IF(J184="SELL",-1,0)))</f>
        <v/>
      </c>
      <c r="U184" s="184">
        <f>IFERROR(IF(OR(J184="",N184="",P184=""),"",IF(T184=0,0,T184*Q184-Settings!$B$4/10000-IF(T184&lt;0,Settings!$B$5/10000,0))),"")</f>
        <v/>
      </c>
      <c r="V184" s="152" t="n"/>
      <c r="W184" s="176">
        <f>IF($K184="","",$K184*60)</f>
        <v/>
      </c>
      <c r="X184" s="186">
        <f>IF($A184="","",$A184&amp;"|"&amp;$C184&amp;"|"&amp;$D184)</f>
        <v/>
      </c>
      <c r="Y184" s="186">
        <f>IFERROR(IF($X184="","",INDEX(LLM_Data_Entry!$H$3:$H$548,MATCH($X184,INDEX(LLM_Data_Entry!$A$3:$A$548&amp;"|"&amp;LLM_Data_Entry!$C$3:$C$548&amp;"|"&amp;LLM_Data_Entry!$D$3:$D$548,0),0))),"")</f>
        <v/>
      </c>
      <c r="Z184" s="186">
        <f>IFERROR(IF($X184="","",INDEX(LLM_Data_Entry!$R$3:$R$548,MATCH($X184,INDEX(LLM_Data_Entry!$A$3:$A$548&amp;"|"&amp;LLM_Data_Entry!$C$3:$C$548&amp;"|"&amp;LLM_Data_Entry!$D$3:$D$548,0),0))),"")</f>
        <v/>
      </c>
      <c r="AA184" s="152" t="n"/>
      <c r="AB184" s="152" t="inlineStr">
        <is>
          <t>price signal — both moved; this one dominates</t>
        </is>
      </c>
      <c r="AC184" s="152" t="inlineStr">
        <is>
          <t>HOOD</t>
        </is>
      </c>
      <c r="AD184" s="152" t="inlineStr">
        <is>
          <t>2026-04-28</t>
        </is>
      </c>
      <c r="AE184" s="152" t="n">
        <v>82.06999999999999</v>
      </c>
      <c r="AF184" s="152" t="inlineStr">
        <is>
          <t>2026-04-29</t>
        </is>
      </c>
      <c r="AG184" s="152" t="n">
        <v>72.3</v>
      </c>
      <c r="AH184" s="152" t="n">
        <v>-0.1190446813695624</v>
      </c>
      <c r="AI184" s="152" t="inlineStr">
        <is>
          <t>DOWN</t>
        </is>
      </c>
      <c r="AJ184" s="152" t="inlineStr">
        <is>
          <t>YES</t>
        </is>
      </c>
      <c r="AK184" s="152" t="n">
        <v>0.118045</v>
      </c>
      <c r="AL184" s="152">
        <f>IF($A184="","",IFERROR(INDEX(Company_List!$G$3:$G$207,MATCH($A184,Company_List!$A$3:$A$207,0)),"unassigned"))</f>
        <v/>
      </c>
      <c r="AM184" s="152" t="inlineStr">
        <is>
          <t>Phase 3/Readings/Robinhood/Q1 2026 Earnings Presentation.pdf</t>
        </is>
      </c>
      <c r="AN184" s="152" t="n"/>
      <c r="AO184" s="152" t="inlineStr">
        <is>
          <t>unique filename match</t>
        </is>
      </c>
      <c r="AP184" s="152">
        <f>IF($A184="","",IF(COUNTIFS(LLM_Data_Entry!$A$3:$A$548,$A184)&gt;0,"YES","NO"))</f>
        <v/>
      </c>
      <c r="AQ184" s="152">
        <f>IF($A184="","",IF(COUNTIFS($A$3:$A184,$A184,$C$3:$C184,$C184,$D$3:$D184,$D184)=1,"YES","NO"))</f>
        <v/>
      </c>
      <c r="AR184" s="152">
        <f>IF($A184="","",IF(AND($C184&amp;"-"&amp;$D184&gt;=Settings!$B$19,$C184&amp;"-"&amp;$D184&lt;=Settings!$B$20),"IN","OUT"))</f>
        <v/>
      </c>
      <c r="AS184" s="152">
        <f>IF($A184="","",IF($F184="Financial Results","financials",IF($F184="Outlook/Guidance","guidance",IF($F184="Transcript Q&amp;A","qanda",IF($F184="","unrecorded",IF($E184="All","full",IF($E184="","unrecorded",LOWER($E184)&amp;" only")))))))</f>
        <v/>
      </c>
      <c r="AT184" s="152">
        <f>IF(AND(OR($J184="BUY",$J184="SELL"),ISNUMBER($U184)),$U184,"")</f>
        <v/>
      </c>
      <c r="AU184" s="152">
        <f>IF(AND(OR($J184="BUY",$J184="SELL"),ISNUMBER($AK184)),$AK184,"")</f>
        <v/>
      </c>
      <c r="AV184" s="152">
        <f>IF(ISNUMBER($AT184),ABS(IF(ISNUMBER($I184),$I184,0)-Settings!$B$24),"")</f>
        <v/>
      </c>
      <c r="AW184" s="152">
        <f>IF(ISNUMBER($AV184),$AV184*$AT184,"")</f>
        <v/>
      </c>
      <c r="AX184" s="152">
        <f>IF(ISNUMBER($AU184),ABS(IF(ISNUMBER($I184),$I184,0)-Settings!$B$24),"")</f>
        <v/>
      </c>
      <c r="AY184" s="152" t="inlineStr">
        <is>
          <t>FROZEN</t>
        </is>
      </c>
      <c r="AZ184" s="152">
        <f>IF($A184="","",IFERROR(INDEX(Company_List!$H$3:$H$207,MATCH($A184,Company_List!$A$3:$A$207,0)),"unassigned"))</f>
        <v/>
      </c>
      <c r="BA184" s="152" t="n"/>
      <c r="BB184" s="152" t="n"/>
      <c r="BC184" s="152">
        <f>IF($A184="","",IF(COUNTIFS($A$3:$A184,$A184,$C$3:$C184,$C184,$D$3:$D184,$D184,$G$3:$G184,$G184)=1,1,0))</f>
        <v/>
      </c>
      <c r="BD184" s="152" t="n"/>
      <c r="BE184" s="152" t="n"/>
      <c r="BF184" s="152" t="n"/>
      <c r="BG184" s="152" t="inlineStr">
        <is>
          <t>no</t>
        </is>
      </c>
      <c r="BH184" s="152" t="n"/>
      <c r="BI184" s="152" t="n"/>
      <c r="BJ184" s="152" t="n"/>
      <c r="BK184" s="152">
        <f>IF(OR($H184&lt;&gt;"Human",$S184="",$J184="",$Y184="",$Z184=""),"",IF(EXACT(UPPER($J184),UPPER($Y184)),1,0))</f>
        <v/>
      </c>
      <c r="BL184" s="152" t="inlineStr">
        <is>
          <t>assumed - no rater record</t>
        </is>
      </c>
      <c r="BM184" s="152" t="n">
        <v>1</v>
      </c>
      <c r="BN184" s="152" t="inlineStr">
        <is>
          <t>not publisher-identified</t>
        </is>
      </c>
      <c r="BO184" s="152" t="inlineStr">
        <is>
          <t>not publisher-identified</t>
        </is>
      </c>
      <c r="BP184" s="152" t="inlineStr">
        <is>
          <t>no</t>
        </is>
      </c>
      <c r="BQ184" s="152" t="inlineStr">
        <is>
          <t>no</t>
        </is>
      </c>
      <c r="BR184" s="152" t="n"/>
      <c r="BS184" s="152" t="inlineStr">
        <is>
          <t>YES</t>
        </is>
      </c>
      <c r="BT184" s="152" t="n"/>
    </row>
    <row r="185" ht="15" customHeight="1" s="241">
      <c r="A185" s="187" t="inlineStr">
        <is>
          <t>Comcast Corporation</t>
        </is>
      </c>
      <c r="B185" s="188">
        <f>IF(A185="","",_xlfn.XLOOKUP(A185, Company_List!$A:$A, Company_List!$B:$B, ""))</f>
        <v/>
      </c>
      <c r="C185" s="176" t="n">
        <v>2025</v>
      </c>
      <c r="D185" s="177" t="inlineStr">
        <is>
          <t>Q1</t>
        </is>
      </c>
      <c r="E185" s="178" t="inlineStr">
        <is>
          <t>Transcript</t>
        </is>
      </c>
      <c r="F185" s="178" t="inlineStr">
        <is>
          <t>All</t>
        </is>
      </c>
      <c r="G185" s="177" t="inlineStr">
        <is>
          <t>Abdul</t>
        </is>
      </c>
      <c r="H185" s="177" t="inlineStr">
        <is>
          <t>Human</t>
        </is>
      </c>
      <c r="I185" s="180" t="n">
        <v>-0.1</v>
      </c>
      <c r="J185" s="180">
        <f>IF(OR(I185="",Settings!$B$6=""),"",IF(I185&gt;Settings!$B$6,"BUY",IF(I185&lt;-Settings!$B$6,"SELL","HOLD")))</f>
        <v/>
      </c>
      <c r="K185" s="180" t="n">
        <v>38</v>
      </c>
      <c r="L185" s="182" t="n">
        <v>45771</v>
      </c>
      <c r="M185" s="182" t="n">
        <v>45770</v>
      </c>
      <c r="N185" s="179" t="n">
        <v>32.3055</v>
      </c>
      <c r="O185" s="182" t="n">
        <v>45771</v>
      </c>
      <c r="P185" s="180" t="n">
        <v>29.97</v>
      </c>
      <c r="Q185" s="184">
        <f>IF(OR(N185="",P185=""),"",ROUND((P185-N185)/N185,4))</f>
        <v/>
      </c>
      <c r="R185" s="177">
        <f>IF(OR(N185="",P185=""),"",IF(Q185&gt;Settings!$B$3/100,"UP",IF(Q185&lt;-Settings!$B$3/100,"DOWN","FLAT")))</f>
        <v/>
      </c>
      <c r="S185" s="177">
        <f>IF(OR(N185="",P185="",J185=""),"",IF(OR(AND(J185="BUY",R185="UP"),AND(J185="SELL",R185="DOWN"),AND(J185="HOLD",R185="FLAT")),"YES","NO"))</f>
        <v/>
      </c>
      <c r="T185" s="176">
        <f>IF(J185="","",IF(J185="BUY",1,IF(J185="SELL",-1,0)))</f>
        <v/>
      </c>
      <c r="U185" s="184">
        <f>IFERROR(IF(OR(J185="",N185="",P185=""),"",IF(T185=0,0,T185*Q185-Settings!$B$4/10000-IF(T185&lt;0,Settings!$B$5/10000,0))),"")</f>
        <v/>
      </c>
      <c r="V185" s="152" t="n"/>
      <c r="W185" s="176">
        <f>IF($K185="","",$K185*60)</f>
        <v/>
      </c>
      <c r="X185" s="186">
        <f>IF($A185="","",$A185&amp;"|"&amp;$C185&amp;"|"&amp;$D185)</f>
        <v/>
      </c>
      <c r="Y185" s="186">
        <f>IFERROR(IF($X185="","",INDEX(LLM_Data_Entry!$H$3:$H$548,MATCH($X185,INDEX(LLM_Data_Entry!$A$3:$A$548&amp;"|"&amp;LLM_Data_Entry!$C$3:$C$548&amp;"|"&amp;LLM_Data_Entry!$D$3:$D$548,0),0))),"")</f>
        <v/>
      </c>
      <c r="Z185" s="186">
        <f>IFERROR(IF($X185="","",INDEX(LLM_Data_Entry!$R$3:$R$548,MATCH($X185,INDEX(LLM_Data_Entry!$A$3:$A$548&amp;"|"&amp;LLM_Data_Entry!$C$3:$C$548&amp;"|"&amp;LLM_Data_Entry!$D$3:$D$548,0),0))),"")</f>
        <v/>
      </c>
      <c r="AA185" s="152" t="n"/>
      <c r="AB185" s="152" t="inlineStr">
        <is>
          <t>release date + stated time in the document (document)</t>
        </is>
      </c>
      <c r="AC185" s="152" t="inlineStr">
        <is>
          <t>CMCSA</t>
        </is>
      </c>
      <c r="AD185" s="152" t="inlineStr">
        <is>
          <t>2025-04-23</t>
        </is>
      </c>
      <c r="AE185" s="152" t="n">
        <v>30.5329</v>
      </c>
      <c r="AF185" s="152" t="inlineStr">
        <is>
          <t>2025-04-24</t>
        </is>
      </c>
      <c r="AG185" s="152" t="n">
        <v>28.3273</v>
      </c>
      <c r="AH185" s="152" t="n">
        <v>-0.07223681702027766</v>
      </c>
      <c r="AI185" s="152" t="inlineStr">
        <is>
          <t>DOWN</t>
        </is>
      </c>
      <c r="AJ185" s="152" t="inlineStr">
        <is>
          <t>NO</t>
        </is>
      </c>
      <c r="AK185" s="152" t="n">
        <v>0</v>
      </c>
      <c r="AL185" s="152">
        <f>IF($A185="","",IFERROR(INDEX(Company_List!$G$3:$G$207,MATCH($A185,Company_List!$A$3:$A$207,0)),"unassigned"))</f>
        <v/>
      </c>
      <c r="AM185" s="152" t="inlineStr">
        <is>
          <t>Phase 3/Readings/Comcast/CMCSA-USQ_Transcript_2025-04-24.pdf</t>
        </is>
      </c>
      <c r="AN185" s="152" t="n"/>
      <c r="AO185" s="152" t="inlineStr">
        <is>
          <t>unique filename match</t>
        </is>
      </c>
      <c r="AP185" s="152">
        <f>IF($A185="","",IF(COUNTIFS(LLM_Data_Entry!$A$3:$A$548,$A185)&gt;0,"YES","NO"))</f>
        <v/>
      </c>
      <c r="AQ185" s="152">
        <f>IF($A185="","",IF(COUNTIFS($A$3:$A185,$A185,$C$3:$C185,$C185,$D$3:$D185,$D185)=1,"YES","NO"))</f>
        <v/>
      </c>
      <c r="AR185" s="152">
        <f>IF($A185="","",IF(AND($C185&amp;"-"&amp;$D185&gt;=Settings!$B$19,$C185&amp;"-"&amp;$D185&lt;=Settings!$B$20),"IN","OUT"))</f>
        <v/>
      </c>
      <c r="AS185" s="152">
        <f>IF($A185="","",IF($F185="Financial Results","financials",IF($F185="Outlook/Guidance","guidance",IF($F185="Transcript Q&amp;A","qanda",IF($F185="","unrecorded",IF($E185="All","full",IF($E185="","unrecorded",LOWER($E185)&amp;" only")))))))</f>
        <v/>
      </c>
      <c r="AT185" s="152">
        <f>IF(AND(OR($J185="BUY",$J185="SELL"),ISNUMBER($U185)),$U185,"")</f>
        <v/>
      </c>
      <c r="AU185" s="152">
        <f>IF(AND(OR($J185="BUY",$J185="SELL"),ISNUMBER($AK185)),$AK185,"")</f>
        <v/>
      </c>
      <c r="AV185" s="152">
        <f>IF(ISNUMBER($AT185),ABS(IF(ISNUMBER($I185),$I185,0)-Settings!$B$24),"")</f>
        <v/>
      </c>
      <c r="AW185" s="152">
        <f>IF(ISNUMBER($AV185),$AV185*$AT185,"")</f>
        <v/>
      </c>
      <c r="AX185" s="152">
        <f>IF(ISNUMBER($AU185),ABS(IF(ISNUMBER($I185),$I185,0)-Settings!$B$24),"")</f>
        <v/>
      </c>
      <c r="AY185" s="152" t="inlineStr">
        <is>
          <t>FROZEN</t>
        </is>
      </c>
      <c r="AZ185" s="152">
        <f>IF($A185="","",IFERROR(INDEX(Company_List!$H$3:$H$207,MATCH($A185,Company_List!$A$3:$A$207,0)),"unassigned"))</f>
        <v/>
      </c>
      <c r="BA185" s="152" t="n"/>
      <c r="BB185" s="152" t="n"/>
      <c r="BC185" s="152">
        <f>IF($A185="","",IF(COUNTIFS($A$3:$A185,$A185,$C$3:$C185,$C185,$D$3:$D185,$D185,$G$3:$G185,$G185)=1,1,0))</f>
        <v/>
      </c>
      <c r="BD185" s="152" t="n"/>
      <c r="BE185" s="152" t="n"/>
      <c r="BF185" s="152" t="n"/>
      <c r="BG185" s="152" t="inlineStr">
        <is>
          <t>no</t>
        </is>
      </c>
      <c r="BH185" s="152" t="n"/>
      <c r="BI185" s="152" t="n"/>
      <c r="BJ185" s="152" t="n"/>
      <c r="BK185" s="152">
        <f>IF(OR($H185&lt;&gt;"Human",$S185="",$J185="",$Y185="",$Z185=""),"",IF(EXACT(UPPER($J185),UPPER($Y185)),1,0))</f>
        <v/>
      </c>
      <c r="BL185" s="152" t="inlineStr">
        <is>
          <t>assumed - no rater record</t>
        </is>
      </c>
      <c r="BM185" s="152" t="n">
        <v>1</v>
      </c>
      <c r="BN185" s="152" t="inlineStr">
        <is>
          <t>Refinitiv / LSEG StreetEvents</t>
        </is>
      </c>
      <c r="BO185" s="152" t="inlineStr">
        <is>
          <t>licensed vendor</t>
        </is>
      </c>
      <c r="BP185" s="152" t="inlineStr">
        <is>
          <t>no</t>
        </is>
      </c>
      <c r="BQ185" s="152" t="inlineStr">
        <is>
          <t>no</t>
        </is>
      </c>
      <c r="BR185" s="152" t="n"/>
      <c r="BS185" s="152" t="inlineStr">
        <is>
          <t>YES</t>
        </is>
      </c>
      <c r="BT185" s="152" t="n"/>
    </row>
    <row r="186" ht="15" customHeight="1" s="241">
      <c r="A186" s="187" t="inlineStr">
        <is>
          <t>Comcast Corporation</t>
        </is>
      </c>
      <c r="B186" s="188">
        <f>IF(A186="","",_xlfn.XLOOKUP(A186, Company_List!$A:$A, Company_List!$B:$B, ""))</f>
        <v/>
      </c>
      <c r="C186" s="176" t="n">
        <v>2025</v>
      </c>
      <c r="D186" s="177" t="inlineStr">
        <is>
          <t>Q2</t>
        </is>
      </c>
      <c r="E186" s="178" t="inlineStr">
        <is>
          <t>Transcript</t>
        </is>
      </c>
      <c r="F186" s="178" t="inlineStr">
        <is>
          <t>All</t>
        </is>
      </c>
      <c r="G186" s="177" t="inlineStr">
        <is>
          <t>Abdul</t>
        </is>
      </c>
      <c r="H186" s="177" t="inlineStr">
        <is>
          <t>Human</t>
        </is>
      </c>
      <c r="I186" s="180" t="n">
        <v>-0.3</v>
      </c>
      <c r="J186" s="180">
        <f>IF(OR(I186="",Settings!$B$6=""),"",IF(I186&gt;Settings!$B$6,"BUY",IF(I186&lt;-Settings!$B$6,"SELL","HOLD")))</f>
        <v/>
      </c>
      <c r="K186" s="180" t="n">
        <v>29</v>
      </c>
      <c r="L186" s="182" t="n">
        <v>45869</v>
      </c>
      <c r="M186" s="182" t="n">
        <v>45868</v>
      </c>
      <c r="N186" s="179" t="n">
        <v>30.4592</v>
      </c>
      <c r="O186" s="182" t="n">
        <v>45869</v>
      </c>
      <c r="P186" s="180" t="n">
        <v>31.86</v>
      </c>
      <c r="Q186" s="184">
        <f>IF(OR(N186="",P186=""),"",ROUND((P186-N186)/N186,4))</f>
        <v/>
      </c>
      <c r="R186" s="177">
        <f>IF(OR(N186="",P186=""),"",IF(Q186&gt;Settings!$B$3/100,"UP",IF(Q186&lt;-Settings!$B$3/100,"DOWN","FLAT")))</f>
        <v/>
      </c>
      <c r="S186" s="177">
        <f>IF(OR(N186="",P186="",J186=""),"",IF(OR(AND(J186="BUY",R186="UP"),AND(J186="SELL",R186="DOWN"),AND(J186="HOLD",R186="FLAT")),"YES","NO"))</f>
        <v/>
      </c>
      <c r="T186" s="176">
        <f>IF(J186="","",IF(J186="BUY",1,IF(J186="SELL",-1,0)))</f>
        <v/>
      </c>
      <c r="U186" s="184">
        <f>IFERROR(IF(OR(J186="",N186="",P186=""),"",IF(T186=0,0,T186*Q186-Settings!$B$4/10000-IF(T186&lt;0,Settings!$B$5/10000,0))),"")</f>
        <v/>
      </c>
      <c r="V186" s="152" t="n"/>
      <c r="W186" s="176">
        <f>IF($K186="","",$K186*60)</f>
        <v/>
      </c>
      <c r="X186" s="186">
        <f>IF($A186="","",$A186&amp;"|"&amp;$C186&amp;"|"&amp;$D186)</f>
        <v/>
      </c>
      <c r="Y186" s="186">
        <f>IFERROR(IF($X186="","",INDEX(LLM_Data_Entry!$H$3:$H$548,MATCH($X186,INDEX(LLM_Data_Entry!$A$3:$A$548&amp;"|"&amp;LLM_Data_Entry!$C$3:$C$548&amp;"|"&amp;LLM_Data_Entry!$D$3:$D$548,0),0))),"")</f>
        <v/>
      </c>
      <c r="Z186" s="186">
        <f>IFERROR(IF($X186="","",INDEX(LLM_Data_Entry!$R$3:$R$548,MATCH($X186,INDEX(LLM_Data_Entry!$A$3:$A$548&amp;"|"&amp;LLM_Data_Entry!$C$3:$C$548&amp;"|"&amp;LLM_Data_Entry!$D$3:$D$548,0),0))),"")</f>
        <v/>
      </c>
      <c r="AA186" s="152" t="n"/>
      <c r="AB186" s="152" t="inlineStr">
        <is>
          <t>release date + stated time in the document (document)</t>
        </is>
      </c>
      <c r="AC186" s="152" t="inlineStr">
        <is>
          <t>CMCSA</t>
        </is>
      </c>
      <c r="AD186" s="152" t="inlineStr">
        <is>
          <t>2025-07-30</t>
        </is>
      </c>
      <c r="AE186" s="152" t="n">
        <v>29.0518</v>
      </c>
      <c r="AF186" s="152" t="inlineStr">
        <is>
          <t>2025-07-31</t>
        </is>
      </c>
      <c r="AG186" s="152" t="n">
        <v>30.3838</v>
      </c>
      <c r="AH186" s="152" t="n">
        <v>0.04584623937001522</v>
      </c>
      <c r="AI186" s="152" t="inlineStr">
        <is>
          <t>UP</t>
        </is>
      </c>
      <c r="AJ186" s="152" t="inlineStr">
        <is>
          <t>NO</t>
        </is>
      </c>
      <c r="AK186" s="152" t="n">
        <v>-0.046846</v>
      </c>
      <c r="AL186" s="152">
        <f>IF($A186="","",IFERROR(INDEX(Company_List!$G$3:$G$207,MATCH($A186,Company_List!$A$3:$A$207,0)),"unassigned"))</f>
        <v/>
      </c>
      <c r="AM186" s="152" t="inlineStr">
        <is>
          <t>Phase 3/Readings/Comcast/CMCSA-USQ_Transcript_2025-07-31.pdf</t>
        </is>
      </c>
      <c r="AN186" s="152" t="n"/>
      <c r="AO186" s="152" t="inlineStr">
        <is>
          <t>unique filename match</t>
        </is>
      </c>
      <c r="AP186" s="152">
        <f>IF($A186="","",IF(COUNTIFS(LLM_Data_Entry!$A$3:$A$548,$A186)&gt;0,"YES","NO"))</f>
        <v/>
      </c>
      <c r="AQ186" s="152">
        <f>IF($A186="","",IF(COUNTIFS($A$3:$A186,$A186,$C$3:$C186,$C186,$D$3:$D186,$D186)=1,"YES","NO"))</f>
        <v/>
      </c>
      <c r="AR186" s="152">
        <f>IF($A186="","",IF(AND($C186&amp;"-"&amp;$D186&gt;=Settings!$B$19,$C186&amp;"-"&amp;$D186&lt;=Settings!$B$20),"IN","OUT"))</f>
        <v/>
      </c>
      <c r="AS186" s="152">
        <f>IF($A186="","",IF($F186="Financial Results","financials",IF($F186="Outlook/Guidance","guidance",IF($F186="Transcript Q&amp;A","qanda",IF($F186="","unrecorded",IF($E186="All","full",IF($E186="","unrecorded",LOWER($E186)&amp;" only")))))))</f>
        <v/>
      </c>
      <c r="AT186" s="152">
        <f>IF(AND(OR($J186="BUY",$J186="SELL"),ISNUMBER($U186)),$U186,"")</f>
        <v/>
      </c>
      <c r="AU186" s="152">
        <f>IF(AND(OR($J186="BUY",$J186="SELL"),ISNUMBER($AK186)),$AK186,"")</f>
        <v/>
      </c>
      <c r="AV186" s="152">
        <f>IF(ISNUMBER($AT186),ABS(IF(ISNUMBER($I186),$I186,0)-Settings!$B$24),"")</f>
        <v/>
      </c>
      <c r="AW186" s="152">
        <f>IF(ISNUMBER($AV186),$AV186*$AT186,"")</f>
        <v/>
      </c>
      <c r="AX186" s="152">
        <f>IF(ISNUMBER($AU186),ABS(IF(ISNUMBER($I186),$I186,0)-Settings!$B$24),"")</f>
        <v/>
      </c>
      <c r="AY186" s="152" t="inlineStr">
        <is>
          <t>FROZEN</t>
        </is>
      </c>
      <c r="AZ186" s="152">
        <f>IF($A186="","",IFERROR(INDEX(Company_List!$H$3:$H$207,MATCH($A186,Company_List!$A$3:$A$207,0)),"unassigned"))</f>
        <v/>
      </c>
      <c r="BA186" s="152" t="n"/>
      <c r="BB186" s="152" t="n"/>
      <c r="BC186" s="152">
        <f>IF($A186="","",IF(COUNTIFS($A$3:$A186,$A186,$C$3:$C186,$C186,$D$3:$D186,$D186,$G$3:$G186,$G186)=1,1,0))</f>
        <v/>
      </c>
      <c r="BD186" s="152" t="n"/>
      <c r="BE186" s="152" t="n"/>
      <c r="BF186" s="152" t="n"/>
      <c r="BG186" s="152" t="inlineStr">
        <is>
          <t>no</t>
        </is>
      </c>
      <c r="BH186" s="152" t="n"/>
      <c r="BI186" s="152" t="n"/>
      <c r="BJ186" s="152" t="n"/>
      <c r="BK186" s="152">
        <f>IF(OR($H186&lt;&gt;"Human",$S186="",$J186="",$Y186="",$Z186=""),"",IF(EXACT(UPPER($J186),UPPER($Y186)),1,0))</f>
        <v/>
      </c>
      <c r="BL186" s="152" t="inlineStr">
        <is>
          <t>assumed - no rater record</t>
        </is>
      </c>
      <c r="BM186" s="152" t="n">
        <v>1</v>
      </c>
      <c r="BN186" s="152" t="inlineStr">
        <is>
          <t>Refinitiv / LSEG StreetEvents</t>
        </is>
      </c>
      <c r="BO186" s="152" t="inlineStr">
        <is>
          <t>licensed vendor</t>
        </is>
      </c>
      <c r="BP186" s="152" t="inlineStr">
        <is>
          <t>no</t>
        </is>
      </c>
      <c r="BQ186" s="152" t="inlineStr">
        <is>
          <t>no</t>
        </is>
      </c>
      <c r="BR186" s="152" t="n"/>
      <c r="BS186" s="152" t="inlineStr">
        <is>
          <t>YES</t>
        </is>
      </c>
      <c r="BT186" s="152" t="n"/>
    </row>
    <row r="187" ht="15" customHeight="1" s="241">
      <c r="A187" s="187" t="inlineStr">
        <is>
          <t>Comcast Corporation</t>
        </is>
      </c>
      <c r="B187" s="188">
        <f>IF(A187="","",_xlfn.XLOOKUP(A187, Company_List!$A:$A, Company_List!$B:$B, ""))</f>
        <v/>
      </c>
      <c r="C187" s="176" t="n">
        <v>2025</v>
      </c>
      <c r="D187" s="177" t="inlineStr">
        <is>
          <t>Q4</t>
        </is>
      </c>
      <c r="E187" s="178" t="inlineStr">
        <is>
          <t>Transcript</t>
        </is>
      </c>
      <c r="F187" s="178" t="inlineStr">
        <is>
          <t>All</t>
        </is>
      </c>
      <c r="G187" s="177" t="inlineStr">
        <is>
          <t>Abdul</t>
        </is>
      </c>
      <c r="H187" s="177" t="inlineStr">
        <is>
          <t>Human</t>
        </is>
      </c>
      <c r="I187" s="180" t="n">
        <v>0.3</v>
      </c>
      <c r="J187" s="180">
        <f>IF(OR(I187="",Settings!$B$6=""),"",IF(I187&gt;Settings!$B$6,"BUY",IF(I187&lt;-Settings!$B$6,"SELL","HOLD")))</f>
        <v/>
      </c>
      <c r="K187" s="180" t="n">
        <v>33</v>
      </c>
      <c r="L187" s="182" t="n">
        <v>46051</v>
      </c>
      <c r="M187" s="182" t="n">
        <v>46050</v>
      </c>
      <c r="N187" s="179" t="n">
        <v>28.41</v>
      </c>
      <c r="O187" s="182" t="n">
        <v>46051</v>
      </c>
      <c r="P187" s="180" t="n">
        <v>27.63</v>
      </c>
      <c r="Q187" s="184">
        <f>IF(OR(N187="",P187=""),"",ROUND((P187-N187)/N187,4))</f>
        <v/>
      </c>
      <c r="R187" s="177">
        <f>IF(OR(N187="",P187=""),"",IF(Q187&gt;Settings!$B$3/100,"UP",IF(Q187&lt;-Settings!$B$3/100,"DOWN","FLAT")))</f>
        <v/>
      </c>
      <c r="S187" s="177">
        <f>IF(OR(N187="",P187="",J187=""),"",IF(OR(AND(J187="BUY",R187="UP"),AND(J187="SELL",R187="DOWN"),AND(J187="HOLD",R187="FLAT")),"YES","NO"))</f>
        <v/>
      </c>
      <c r="T187" s="176">
        <f>IF(J187="","",IF(J187="BUY",1,IF(J187="SELL",-1,0)))</f>
        <v/>
      </c>
      <c r="U187" s="184">
        <f>IFERROR(IF(OR(J187="",N187="",P187=""),"",IF(T187=0,0,T187*Q187-Settings!$B$4/10000-IF(T187&lt;0,Settings!$B$5/10000,0))),"")</f>
        <v/>
      </c>
      <c r="V187" s="152" t="n"/>
      <c r="W187" s="176">
        <f>IF($K187="","",$K187*60)</f>
        <v/>
      </c>
      <c r="X187" s="186">
        <f>IF($A187="","",$A187&amp;"|"&amp;$C187&amp;"|"&amp;$D187)</f>
        <v/>
      </c>
      <c r="Y187" s="186">
        <f>IFERROR(IF($X187="","",INDEX(LLM_Data_Entry!$H$3:$H$548,MATCH($X187,INDEX(LLM_Data_Entry!$A$3:$A$548&amp;"|"&amp;LLM_Data_Entry!$C$3:$C$548&amp;"|"&amp;LLM_Data_Entry!$D$3:$D$548,0),0))),"")</f>
        <v/>
      </c>
      <c r="Z187" s="186">
        <f>IFERROR(IF($X187="","",INDEX(LLM_Data_Entry!$R$3:$R$548,MATCH($X187,INDEX(LLM_Data_Entry!$A$3:$A$548&amp;"|"&amp;LLM_Data_Entry!$C$3:$C$548&amp;"|"&amp;LLM_Data_Entry!$D$3:$D$548,0),0))),"")</f>
        <v/>
      </c>
      <c r="AA187" s="152" t="n"/>
      <c r="AB187" s="152" t="inlineStr">
        <is>
          <t>earnings calendar, seconded independently</t>
        </is>
      </c>
      <c r="AC187" s="152" t="inlineStr">
        <is>
          <t>CMCSA</t>
        </is>
      </c>
      <c r="AD187" s="152" t="inlineStr">
        <is>
          <t>2026-01-28</t>
        </is>
      </c>
      <c r="AE187" s="152" t="n">
        <v>27.706</v>
      </c>
      <c r="AF187" s="152" t="inlineStr">
        <is>
          <t>2026-01-29</t>
        </is>
      </c>
      <c r="AG187" s="152" t="n">
        <v>26.9453</v>
      </c>
      <c r="AH187" s="152" t="n">
        <v>-0.02745509297290409</v>
      </c>
      <c r="AI187" s="152" t="inlineStr">
        <is>
          <t>DOWN</t>
        </is>
      </c>
      <c r="AJ187" s="152" t="inlineStr">
        <is>
          <t>NO</t>
        </is>
      </c>
      <c r="AK187" s="152" t="n">
        <v>-0.028455</v>
      </c>
      <c r="AL187" s="152">
        <f>IF($A187="","",IFERROR(INDEX(Company_List!$G$3:$G$207,MATCH($A187,Company_List!$A$3:$A$207,0)),"unassigned"))</f>
        <v/>
      </c>
      <c r="AM187" s="152" t="inlineStr">
        <is>
          <t>Phase 3/Readings/Comcast/2025-Q4/CMCSA-2025-Q4-earnings-call-transcript-fool-com.html</t>
        </is>
      </c>
      <c r="AN187" s="152" t="inlineStr">
        <is>
          <t>https://www.fool.com/earnings/call-transcripts/2026/01/29/comcast-cmcsa-q4-2025-earnings-call-transcript/</t>
        </is>
      </c>
      <c r="AO187" s="152" t="inlineStr">
        <is>
          <t>manifest</t>
        </is>
      </c>
      <c r="AP187" s="152">
        <f>IF($A187="","",IF(COUNTIFS(LLM_Data_Entry!$A$3:$A$548,$A187)&gt;0,"YES","NO"))</f>
        <v/>
      </c>
      <c r="AQ187" s="152">
        <f>IF($A187="","",IF(COUNTIFS($A$3:$A187,$A187,$C$3:$C187,$C187,$D$3:$D187,$D187)=1,"YES","NO"))</f>
        <v/>
      </c>
      <c r="AR187" s="152">
        <f>IF($A187="","",IF(AND($C187&amp;"-"&amp;$D187&gt;=Settings!$B$19,$C187&amp;"-"&amp;$D187&lt;=Settings!$B$20),"IN","OUT"))</f>
        <v/>
      </c>
      <c r="AS187" s="152">
        <f>IF($A187="","",IF($F187="Financial Results","financials",IF($F187="Outlook/Guidance","guidance",IF($F187="Transcript Q&amp;A","qanda",IF($F187="","unrecorded",IF($E187="All","full",IF($E187="","unrecorded",LOWER($E187)&amp;" only")))))))</f>
        <v/>
      </c>
      <c r="AT187" s="152">
        <f>IF(AND(OR($J187="BUY",$J187="SELL"),ISNUMBER($U187)),$U187,"")</f>
        <v/>
      </c>
      <c r="AU187" s="152">
        <f>IF(AND(OR($J187="BUY",$J187="SELL"),ISNUMBER($AK187)),$AK187,"")</f>
        <v/>
      </c>
      <c r="AV187" s="152">
        <f>IF(ISNUMBER($AT187),ABS(IF(ISNUMBER($I187),$I187,0)-Settings!$B$24),"")</f>
        <v/>
      </c>
      <c r="AW187" s="152">
        <f>IF(ISNUMBER($AV187),$AV187*$AT187,"")</f>
        <v/>
      </c>
      <c r="AX187" s="152">
        <f>IF(ISNUMBER($AU187),ABS(IF(ISNUMBER($I187),$I187,0)-Settings!$B$24),"")</f>
        <v/>
      </c>
      <c r="AY187" s="152" t="inlineStr">
        <is>
          <t>FROZEN</t>
        </is>
      </c>
      <c r="AZ187" s="152">
        <f>IF($A187="","",IFERROR(INDEX(Company_List!$H$3:$H$207,MATCH($A187,Company_List!$A$3:$A$207,0)),"unassigned"))</f>
        <v/>
      </c>
      <c r="BA187" s="152" t="n"/>
      <c r="BB187" s="152" t="n"/>
      <c r="BC187" s="152">
        <f>IF($A187="","",IF(COUNTIFS($A$3:$A187,$A187,$C$3:$C187,$C187,$D$3:$D187,$D187,$G$3:$G187,$G187)=1,1,0))</f>
        <v/>
      </c>
      <c r="BD187" s="152" t="n"/>
      <c r="BE187" s="152" t="n"/>
      <c r="BF187" s="152" t="n"/>
      <c r="BG187" s="152" t="inlineStr">
        <is>
          <t>no</t>
        </is>
      </c>
      <c r="BH187" s="152" t="n"/>
      <c r="BI187" s="152" t="n"/>
      <c r="BJ187" s="152" t="n"/>
      <c r="BK187" s="152">
        <f>IF(OR($H187&lt;&gt;"Human",$S187="",$J187="",$Y187="",$Z187=""),"",IF(EXACT(UPPER($J187),UPPER($Y187)),1,0))</f>
        <v/>
      </c>
      <c r="BL187" s="152" t="inlineStr">
        <is>
          <t>assumed - no rater record</t>
        </is>
      </c>
      <c r="BM187" s="152" t="n">
        <v>1</v>
      </c>
      <c r="BN187" s="152" t="inlineStr">
        <is>
          <t>The Motley Fool</t>
        </is>
      </c>
      <c r="BO187" s="152" t="inlineStr">
        <is>
          <t>free to read, copyright asserted</t>
        </is>
      </c>
      <c r="BP187" s="152" t="inlineStr">
        <is>
          <t>no</t>
        </is>
      </c>
      <c r="BQ187" s="152" t="inlineStr">
        <is>
          <t>yes</t>
        </is>
      </c>
      <c r="BR187" s="152" t="n"/>
      <c r="BS187" s="152" t="inlineStr">
        <is>
          <t>YES</t>
        </is>
      </c>
      <c r="BT187" s="152" t="n"/>
    </row>
    <row r="188" ht="15" customHeight="1" s="241">
      <c r="A188" s="187" t="inlineStr">
        <is>
          <t>Comcast Corporation</t>
        </is>
      </c>
      <c r="B188" s="188">
        <f>IF(A188="","",_xlfn.XLOOKUP(A188, Company_List!$A:$A, Company_List!$B:$B, ""))</f>
        <v/>
      </c>
      <c r="C188" s="176" t="n">
        <v>2026</v>
      </c>
      <c r="D188" s="177" t="inlineStr">
        <is>
          <t>Q1</t>
        </is>
      </c>
      <c r="E188" s="178" t="inlineStr">
        <is>
          <t>Transcript</t>
        </is>
      </c>
      <c r="F188" s="178" t="inlineStr">
        <is>
          <t>All</t>
        </is>
      </c>
      <c r="G188" s="177" t="inlineStr">
        <is>
          <t>Abdul</t>
        </is>
      </c>
      <c r="H188" s="177" t="inlineStr">
        <is>
          <t>Human</t>
        </is>
      </c>
      <c r="I188" s="180" t="n">
        <v>-0.5</v>
      </c>
      <c r="J188" s="180">
        <f>IF(OR(I188="",Settings!$B$6=""),"",IF(I188&gt;Settings!$B$6,"BUY",IF(I188&lt;-Settings!$B$6,"SELL","HOLD")))</f>
        <v/>
      </c>
      <c r="K188" s="180" t="n">
        <v>40</v>
      </c>
      <c r="L188" s="182" t="n">
        <v>46135</v>
      </c>
      <c r="M188" s="182" t="n">
        <v>46134</v>
      </c>
      <c r="N188" s="179" t="n">
        <v>29.37</v>
      </c>
      <c r="O188" s="182" t="n">
        <v>46135</v>
      </c>
      <c r="P188" s="180" t="n">
        <v>30.5</v>
      </c>
      <c r="Q188" s="184">
        <f>IF(OR(N188="",P188=""),"",ROUND((P188-N188)/N188,4))</f>
        <v/>
      </c>
      <c r="R188" s="177">
        <f>IF(OR(N188="",P188=""),"",IF(Q188&gt;Settings!$B$3/100,"UP",IF(Q188&lt;-Settings!$B$3/100,"DOWN","FLAT")))</f>
        <v/>
      </c>
      <c r="S188" s="177">
        <f>IF(OR(N188="",P188="",J188=""),"",IF(OR(AND(J188="BUY",R188="UP"),AND(J188="SELL",R188="DOWN"),AND(J188="HOLD",R188="FLAT")),"YES","NO"))</f>
        <v/>
      </c>
      <c r="T188" s="176">
        <f>IF(J188="","",IF(J188="BUY",1,IF(J188="SELL",-1,0)))</f>
        <v/>
      </c>
      <c r="U188" s="184">
        <f>IFERROR(IF(OR(J188="",N188="",P188=""),"",IF(T188=0,0,T188*Q188-Settings!$B$4/10000-IF(T188&lt;0,Settings!$B$5/10000,0))),"")</f>
        <v/>
      </c>
      <c r="V188" s="152" t="n"/>
      <c r="W188" s="176">
        <f>IF($K188="","",$K188*60)</f>
        <v/>
      </c>
      <c r="X188" s="186">
        <f>IF($A188="","",$A188&amp;"|"&amp;$C188&amp;"|"&amp;$D188)</f>
        <v/>
      </c>
      <c r="Y188" s="186">
        <f>IFERROR(IF($X188="","",INDEX(LLM_Data_Entry!$H$3:$H$548,MATCH($X188,INDEX(LLM_Data_Entry!$A$3:$A$548&amp;"|"&amp;LLM_Data_Entry!$C$3:$C$548&amp;"|"&amp;LLM_Data_Entry!$D$3:$D$548,0),0))),"")</f>
        <v/>
      </c>
      <c r="Z188" s="186">
        <f>IFERROR(IF($X188="","",INDEX(LLM_Data_Entry!$R$3:$R$548,MATCH($X188,INDEX(LLM_Data_Entry!$A$3:$A$548&amp;"|"&amp;LLM_Data_Entry!$C$3:$C$548&amp;"|"&amp;LLM_Data_Entry!$D$3:$D$548,0),0))),"")</f>
        <v/>
      </c>
      <c r="AA188" s="152" t="n"/>
      <c r="AB188" s="152" t="inlineStr">
        <is>
          <t>release date + stated time in the document (document)</t>
        </is>
      </c>
      <c r="AC188" s="152" t="inlineStr">
        <is>
          <t>CMCSA</t>
        </is>
      </c>
      <c r="AD188" s="152" t="inlineStr">
        <is>
          <t>2026-04-22</t>
        </is>
      </c>
      <c r="AE188" s="152" t="n">
        <v>28.9752</v>
      </c>
      <c r="AF188" s="152" t="inlineStr">
        <is>
          <t>2026-04-23</t>
        </is>
      </c>
      <c r="AG188" s="152" t="n">
        <v>30.09</v>
      </c>
      <c r="AH188" s="152" t="n">
        <v>0.03847460761580832</v>
      </c>
      <c r="AI188" s="152" t="inlineStr">
        <is>
          <t>UP</t>
        </is>
      </c>
      <c r="AJ188" s="152" t="inlineStr">
        <is>
          <t>NO</t>
        </is>
      </c>
      <c r="AK188" s="152" t="n">
        <v>-0.039475</v>
      </c>
      <c r="AL188" s="152">
        <f>IF($A188="","",IFERROR(INDEX(Company_List!$G$3:$G$207,MATCH($A188,Company_List!$A$3:$A$207,0)),"unassigned"))</f>
        <v/>
      </c>
      <c r="AM188" s="152" t="inlineStr">
        <is>
          <t>Phase 3/Readings/Comcast/CMCSA-USQ_Transcript_2026-04-23.pdf</t>
        </is>
      </c>
      <c r="AN188" s="152" t="n"/>
      <c r="AO188" s="152" t="inlineStr">
        <is>
          <t>unique filename match</t>
        </is>
      </c>
      <c r="AP188" s="152">
        <f>IF($A188="","",IF(COUNTIFS(LLM_Data_Entry!$A$3:$A$548,$A188)&gt;0,"YES","NO"))</f>
        <v/>
      </c>
      <c r="AQ188" s="152">
        <f>IF($A188="","",IF(COUNTIFS($A$3:$A188,$A188,$C$3:$C188,$C188,$D$3:$D188,$D188)=1,"YES","NO"))</f>
        <v/>
      </c>
      <c r="AR188" s="152">
        <f>IF($A188="","",IF(AND($C188&amp;"-"&amp;$D188&gt;=Settings!$B$19,$C188&amp;"-"&amp;$D188&lt;=Settings!$B$20),"IN","OUT"))</f>
        <v/>
      </c>
      <c r="AS188" s="152">
        <f>IF($A188="","",IF($F188="Financial Results","financials",IF($F188="Outlook/Guidance","guidance",IF($F188="Transcript Q&amp;A","qanda",IF($F188="","unrecorded",IF($E188="All","full",IF($E188="","unrecorded",LOWER($E188)&amp;" only")))))))</f>
        <v/>
      </c>
      <c r="AT188" s="152">
        <f>IF(AND(OR($J188="BUY",$J188="SELL"),ISNUMBER($U188)),$U188,"")</f>
        <v/>
      </c>
      <c r="AU188" s="152">
        <f>IF(AND(OR($J188="BUY",$J188="SELL"),ISNUMBER($AK188)),$AK188,"")</f>
        <v/>
      </c>
      <c r="AV188" s="152">
        <f>IF(ISNUMBER($AT188),ABS(IF(ISNUMBER($I188),$I188,0)-Settings!$B$24),"")</f>
        <v/>
      </c>
      <c r="AW188" s="152">
        <f>IF(ISNUMBER($AV188),$AV188*$AT188,"")</f>
        <v/>
      </c>
      <c r="AX188" s="152">
        <f>IF(ISNUMBER($AU188),ABS(IF(ISNUMBER($I188),$I188,0)-Settings!$B$24),"")</f>
        <v/>
      </c>
      <c r="AY188" s="152" t="inlineStr">
        <is>
          <t>FROZEN</t>
        </is>
      </c>
      <c r="AZ188" s="152">
        <f>IF($A188="","",IFERROR(INDEX(Company_List!$H$3:$H$207,MATCH($A188,Company_List!$A$3:$A$207,0)),"unassigned"))</f>
        <v/>
      </c>
      <c r="BA188" s="152" t="n"/>
      <c r="BB188" s="152" t="n"/>
      <c r="BC188" s="152">
        <f>IF($A188="","",IF(COUNTIFS($A$3:$A188,$A188,$C$3:$C188,$C188,$D$3:$D188,$D188,$G$3:$G188,$G188)=1,1,0))</f>
        <v/>
      </c>
      <c r="BD188" s="152" t="n"/>
      <c r="BE188" s="152" t="n"/>
      <c r="BF188" s="152" t="n"/>
      <c r="BG188" s="152" t="inlineStr">
        <is>
          <t>no</t>
        </is>
      </c>
      <c r="BH188" s="152" t="n"/>
      <c r="BI188" s="152" t="n"/>
      <c r="BJ188" s="152" t="n"/>
      <c r="BK188" s="152">
        <f>IF(OR($H188&lt;&gt;"Human",$S188="",$J188="",$Y188="",$Z188=""),"",IF(EXACT(UPPER($J188),UPPER($Y188)),1,0))</f>
        <v/>
      </c>
      <c r="BL188" s="152" t="inlineStr">
        <is>
          <t>assumed - no rater record</t>
        </is>
      </c>
      <c r="BM188" s="152" t="n">
        <v>1</v>
      </c>
      <c r="BN188" s="152" t="inlineStr">
        <is>
          <t>Refinitiv / LSEG StreetEvents</t>
        </is>
      </c>
      <c r="BO188" s="152" t="inlineStr">
        <is>
          <t>licensed vendor</t>
        </is>
      </c>
      <c r="BP188" s="152" t="inlineStr">
        <is>
          <t>no</t>
        </is>
      </c>
      <c r="BQ188" s="152" t="inlineStr">
        <is>
          <t>no</t>
        </is>
      </c>
      <c r="BR188" s="152" t="n"/>
      <c r="BS188" s="152" t="inlineStr">
        <is>
          <t>YES</t>
        </is>
      </c>
      <c r="BT188" s="152" t="n"/>
    </row>
    <row r="189" ht="15" customHeight="1" s="241">
      <c r="A189" s="187" t="inlineStr">
        <is>
          <t>Pinterest</t>
        </is>
      </c>
      <c r="B189" s="188">
        <f>IF(A189="","",_xlfn.XLOOKUP(A189, Company_List!$A:$A, Company_List!$B:$B, ""))</f>
        <v/>
      </c>
      <c r="C189" s="176" t="n">
        <v>2024</v>
      </c>
      <c r="D189" s="177" t="inlineStr">
        <is>
          <t>Q4</t>
        </is>
      </c>
      <c r="E189" s="178" t="inlineStr">
        <is>
          <t>Presentation</t>
        </is>
      </c>
      <c r="F189" s="178" t="inlineStr">
        <is>
          <t>All</t>
        </is>
      </c>
      <c r="G189" s="177" t="inlineStr">
        <is>
          <t>Meriem</t>
        </is>
      </c>
      <c r="H189" s="177" t="inlineStr">
        <is>
          <t>Human</t>
        </is>
      </c>
      <c r="I189" s="180" t="n">
        <v>0.5</v>
      </c>
      <c r="J189" s="180">
        <f>IF(OR(I189="",Settings!$B$6=""),"",IF(I189&gt;Settings!$B$6,"BUY",IF(I189&lt;-Settings!$B$6,"SELL","HOLD")))</f>
        <v/>
      </c>
      <c r="K189" s="180" t="n">
        <v>14</v>
      </c>
      <c r="L189" s="182" t="n">
        <v>45694</v>
      </c>
      <c r="M189" s="182" t="n">
        <v>45694</v>
      </c>
      <c r="N189" s="179" t="n">
        <v>33.59</v>
      </c>
      <c r="O189" s="182" t="n">
        <v>45695</v>
      </c>
      <c r="P189" s="180" t="n">
        <v>40.89</v>
      </c>
      <c r="Q189" s="184">
        <f>IF(OR(N189="",P189=""),"",ROUND((P189-N189)/N189,4))</f>
        <v/>
      </c>
      <c r="R189" s="177">
        <f>IF(OR(N189="",P189=""),"",IF(Q189&gt;Settings!$B$3/100,"UP",IF(Q189&lt;-Settings!$B$3/100,"DOWN","FLAT")))</f>
        <v/>
      </c>
      <c r="S189" s="177">
        <f>IF(OR(N189="",P189="",J189=""),"",IF(OR(AND(J189="BUY",R189="UP"),AND(J189="SELL",R189="DOWN"),AND(J189="HOLD",R189="FLAT")),"YES","NO"))</f>
        <v/>
      </c>
      <c r="T189" s="176">
        <f>IF(J189="","",IF(J189="BUY",1,IF(J189="SELL",-1,0)))</f>
        <v/>
      </c>
      <c r="U189" s="184">
        <f>IFERROR(IF(OR(J189="",N189="",P189=""),"",IF(T189=0,0,T189*Q189-Settings!$B$4/10000-IF(T189&lt;0,Settings!$B$5/10000,0))),"")</f>
        <v/>
      </c>
      <c r="V189" s="190" t="inlineStr">
        <is>
          <t>Strong revenue, user growth, expanding margins, and robust EBITDA suggest continued business momentum despite limited information from the presentation.</t>
        </is>
      </c>
      <c r="W189" s="176">
        <f>IF($K189="","",$K189*60)</f>
        <v/>
      </c>
      <c r="X189" s="186">
        <f>IF($A189="","",$A189&amp;"|"&amp;$C189&amp;"|"&amp;$D189)</f>
        <v/>
      </c>
      <c r="Y189" s="186">
        <f>IFERROR(IF($X189="","",INDEX(LLM_Data_Entry!$H$3:$H$548,MATCH($X189,INDEX(LLM_Data_Entry!$A$3:$A$548&amp;"|"&amp;LLM_Data_Entry!$C$3:$C$548&amp;"|"&amp;LLM_Data_Entry!$D$3:$D$548,0),0))),"")</f>
        <v/>
      </c>
      <c r="Z189" s="186">
        <f>IFERROR(IF($X189="","",INDEX(LLM_Data_Entry!$R$3:$R$548,MATCH($X189,INDEX(LLM_Data_Entry!$A$3:$A$548&amp;"|"&amp;LLM_Data_Entry!$C$3:$C$548&amp;"|"&amp;LLM_Data_Entry!$D$3:$D$548,0),0))),"")</f>
        <v/>
      </c>
      <c r="AA189" s="152" t="n"/>
      <c r="AB189" s="152" t="inlineStr">
        <is>
          <t>price signal — only this window shows an abnormal move</t>
        </is>
      </c>
      <c r="AC189" s="152" t="inlineStr">
        <is>
          <t>PINS</t>
        </is>
      </c>
      <c r="AD189" s="152" t="inlineStr">
        <is>
          <t>2025-02-06</t>
        </is>
      </c>
      <c r="AE189" s="152" t="n">
        <v>33.59</v>
      </c>
      <c r="AF189" s="152" t="inlineStr">
        <is>
          <t>2025-02-07</t>
        </is>
      </c>
      <c r="AG189" s="152" t="n">
        <v>40.89</v>
      </c>
      <c r="AH189" s="152" t="n">
        <v>0.2173265555224769</v>
      </c>
      <c r="AI189" s="152" t="inlineStr">
        <is>
          <t>UP</t>
        </is>
      </c>
      <c r="AJ189" s="152" t="inlineStr">
        <is>
          <t>YES</t>
        </is>
      </c>
      <c r="AK189" s="152" t="n">
        <v>0.216327</v>
      </c>
      <c r="AL189" s="152">
        <f>IF($A189="","",IFERROR(INDEX(Company_List!$G$3:$G$207,MATCH($A189,Company_List!$A$3:$A$207,0)),"unassigned"))</f>
        <v/>
      </c>
      <c r="AM189" s="152" t="inlineStr">
        <is>
          <t>Phase 3/Readings/Pinterest/Q4 2024 presentation.pdf</t>
        </is>
      </c>
      <c r="AN189" s="152" t="n"/>
      <c r="AO189" s="152" t="inlineStr">
        <is>
          <t>unique filename match</t>
        </is>
      </c>
      <c r="AP189" s="152">
        <f>IF($A189="","",IF(COUNTIFS(LLM_Data_Entry!$A$3:$A$548,$A189)&gt;0,"YES","NO"))</f>
        <v/>
      </c>
      <c r="AQ189" s="152">
        <f>IF($A189="","",IF(COUNTIFS($A$3:$A189,$A189,$C$3:$C189,$C189,$D$3:$D189,$D189)=1,"YES","NO"))</f>
        <v/>
      </c>
      <c r="AR189" s="152">
        <f>IF($A189="","",IF(AND($C189&amp;"-"&amp;$D189&gt;=Settings!$B$19,$C189&amp;"-"&amp;$D189&lt;=Settings!$B$20),"IN","OUT"))</f>
        <v/>
      </c>
      <c r="AS189" s="152">
        <f>IF($A189="","",IF($F189="Financial Results","financials",IF($F189="Outlook/Guidance","guidance",IF($F189="Transcript Q&amp;A","qanda",IF($F189="","unrecorded",IF($E189="All","full",IF($E189="","unrecorded",LOWER($E189)&amp;" only")))))))</f>
        <v/>
      </c>
      <c r="AT189" s="152">
        <f>IF(AND(OR($J189="BUY",$J189="SELL"),ISNUMBER($U189)),$U189,"")</f>
        <v/>
      </c>
      <c r="AU189" s="152">
        <f>IF(AND(OR($J189="BUY",$J189="SELL"),ISNUMBER($AK189)),$AK189,"")</f>
        <v/>
      </c>
      <c r="AV189" s="152">
        <f>IF(ISNUMBER($AT189),ABS(IF(ISNUMBER($I189),$I189,0)-Settings!$B$24),"")</f>
        <v/>
      </c>
      <c r="AW189" s="152">
        <f>IF(ISNUMBER($AV189),$AV189*$AT189,"")</f>
        <v/>
      </c>
      <c r="AX189" s="152">
        <f>IF(ISNUMBER($AU189),ABS(IF(ISNUMBER($I189),$I189,0)-Settings!$B$24),"")</f>
        <v/>
      </c>
      <c r="AY189" s="152" t="inlineStr">
        <is>
          <t>FROZEN</t>
        </is>
      </c>
      <c r="AZ189" s="152">
        <f>IF($A189="","",IFERROR(INDEX(Company_List!$H$3:$H$207,MATCH($A189,Company_List!$A$3:$A$207,0)),"unassigned"))</f>
        <v/>
      </c>
      <c r="BA189" s="152" t="n"/>
      <c r="BB189" s="152" t="n"/>
      <c r="BC189" s="152">
        <f>IF($A189="","",IF(COUNTIFS($A$3:$A189,$A189,$C$3:$C189,$C189,$D$3:$D189,$D189,$G$3:$G189,$G189)=1,1,0))</f>
        <v/>
      </c>
      <c r="BD189" s="152" t="n"/>
      <c r="BE189" s="152" t="n"/>
      <c r="BF189" s="152" t="n"/>
      <c r="BG189" s="152" t="inlineStr">
        <is>
          <t>no</t>
        </is>
      </c>
      <c r="BH189" s="152" t="n"/>
      <c r="BI189" s="152" t="n"/>
      <c r="BJ189" s="152" t="n"/>
      <c r="BK189" s="152">
        <f>IF(OR($H189&lt;&gt;"Human",$S189="",$J189="",$Y189="",$Z189=""),"",IF(EXACT(UPPER($J189),UPPER($Y189)),1,0))</f>
        <v/>
      </c>
      <c r="BL189" s="152" t="inlineStr">
        <is>
          <t>assumed - no rater record</t>
        </is>
      </c>
      <c r="BM189" s="152" t="n">
        <v>1</v>
      </c>
      <c r="BN189" s="152" t="inlineStr">
        <is>
          <t>not publisher-identified</t>
        </is>
      </c>
      <c r="BO189" s="152" t="inlineStr">
        <is>
          <t>not publisher-identified</t>
        </is>
      </c>
      <c r="BP189" s="152" t="inlineStr">
        <is>
          <t>no</t>
        </is>
      </c>
      <c r="BQ189" s="152" t="inlineStr">
        <is>
          <t>no</t>
        </is>
      </c>
      <c r="BR189" s="152" t="n"/>
      <c r="BS189" s="152" t="inlineStr">
        <is>
          <t>YES</t>
        </is>
      </c>
      <c r="BT189" s="152" t="n"/>
    </row>
    <row r="190" ht="15" customHeight="1" s="241">
      <c r="A190" s="187" t="inlineStr">
        <is>
          <t>Pinterest</t>
        </is>
      </c>
      <c r="B190" s="188">
        <f>IF(A190="","",_xlfn.XLOOKUP(A190, Company_List!$A:$A, Company_List!$B:$B, ""))</f>
        <v/>
      </c>
      <c r="C190" s="176" t="n">
        <v>2025</v>
      </c>
      <c r="D190" s="177" t="inlineStr">
        <is>
          <t>Q4</t>
        </is>
      </c>
      <c r="E190" s="178" t="inlineStr">
        <is>
          <t>Transcript</t>
        </is>
      </c>
      <c r="F190" s="178" t="inlineStr">
        <is>
          <t>Financial Results</t>
        </is>
      </c>
      <c r="G190" s="177" t="inlineStr">
        <is>
          <t>Meriem</t>
        </is>
      </c>
      <c r="H190" s="177" t="inlineStr">
        <is>
          <t>Human</t>
        </is>
      </c>
      <c r="I190" s="180" t="n">
        <v>-0.1</v>
      </c>
      <c r="J190" s="180">
        <f>IF(OR(I190="",Settings!$B$6=""),"",IF(I190&gt;Settings!$B$6,"BUY",IF(I190&lt;-Settings!$B$6,"SELL","HOLD")))</f>
        <v/>
      </c>
      <c r="K190" s="180" t="n">
        <v>25</v>
      </c>
      <c r="L190" s="182" t="n">
        <v>46065</v>
      </c>
      <c r="M190" s="182" t="n">
        <v>46065</v>
      </c>
      <c r="N190" s="179" t="n">
        <v>18.54</v>
      </c>
      <c r="O190" s="182" t="n">
        <v>46066</v>
      </c>
      <c r="P190" s="180" t="n">
        <v>14.33</v>
      </c>
      <c r="Q190" s="184">
        <f>IF(OR(N190="",P190=""),"",ROUND((P190-N190)/N190,4))</f>
        <v/>
      </c>
      <c r="R190" s="177">
        <f>IF(OR(N190="",P190=""),"",IF(Q190&gt;Settings!$B$3/100,"UP",IF(Q190&lt;-Settings!$B$3/100,"DOWN","FLAT")))</f>
        <v/>
      </c>
      <c r="S190" s="177">
        <f>IF(OR(N190="",P190="",J190=""),"",IF(OR(AND(J190="BUY",R190="UP"),AND(J190="SELL",R190="DOWN"),AND(J190="HOLD",R190="FLAT")),"YES","NO"))</f>
        <v/>
      </c>
      <c r="T190" s="176">
        <f>IF(J190="","",IF(J190="BUY",1,IF(J190="SELL",-1,0)))</f>
        <v/>
      </c>
      <c r="U190" s="184">
        <f>IFERROR(IF(OR(J190="",N190="",P190=""),"",IF(T190=0,0,T190*Q190-Settings!$B$4/10000-IF(T190&lt;0,Settings!$B$5/10000,0))),"")</f>
        <v/>
      </c>
      <c r="V190" s="190" t="inlineStr">
        <is>
          <t>Solid operational growth and AI progress were offset by weaker-than-expected revenue performance, competitive pressures, and macroeconomic uncertainty.</t>
        </is>
      </c>
      <c r="W190" s="176">
        <f>IF($K190="","",$K190*60)</f>
        <v/>
      </c>
      <c r="X190" s="186">
        <f>IF($A190="","",$A190&amp;"|"&amp;$C190&amp;"|"&amp;$D190)</f>
        <v/>
      </c>
      <c r="Y190" s="186">
        <f>IFERROR(IF($X190="","",INDEX(LLM_Data_Entry!$H$3:$H$548,MATCH($X190,INDEX(LLM_Data_Entry!$A$3:$A$548&amp;"|"&amp;LLM_Data_Entry!$C$3:$C$548&amp;"|"&amp;LLM_Data_Entry!$D$3:$D$548,0),0))),"")</f>
        <v/>
      </c>
      <c r="Z190" s="186">
        <f>IFERROR(IF($X190="","",INDEX(LLM_Data_Entry!$R$3:$R$548,MATCH($X190,INDEX(LLM_Data_Entry!$A$3:$A$548&amp;"|"&amp;LLM_Data_Entry!$C$3:$C$548&amp;"|"&amp;LLM_Data_Entry!$D$3:$D$548,0),0))),"")</f>
        <v/>
      </c>
      <c r="AA190" s="152" t="n"/>
      <c r="AB190" s="152" t="inlineStr">
        <is>
          <t>price signal — only this window shows an abnormal move</t>
        </is>
      </c>
      <c r="AC190" s="152" t="inlineStr">
        <is>
          <t>PINS</t>
        </is>
      </c>
      <c r="AD190" s="152" t="inlineStr">
        <is>
          <t>2026-02-12</t>
        </is>
      </c>
      <c r="AE190" s="152" t="n">
        <v>18.54</v>
      </c>
      <c r="AF190" s="152" t="inlineStr">
        <is>
          <t>2026-02-13</t>
        </is>
      </c>
      <c r="AG190" s="152" t="n">
        <v>14.33</v>
      </c>
      <c r="AH190" s="152" t="n">
        <v>-0.2270766328437631</v>
      </c>
      <c r="AI190" s="152" t="inlineStr">
        <is>
          <t>DOWN</t>
        </is>
      </c>
      <c r="AJ190" s="152" t="inlineStr">
        <is>
          <t>NO</t>
        </is>
      </c>
      <c r="AK190" s="152" t="n">
        <v>0</v>
      </c>
      <c r="AL190" s="152">
        <f>IF($A190="","",IFERROR(INDEX(Company_List!$G$3:$G$207,MATCH($A190,Company_List!$A$3:$A$207,0)),"unassigned"))</f>
        <v/>
      </c>
      <c r="AM190" s="152" t="inlineStr">
        <is>
          <t>Phase 3/Readings/Pinterest/PINS Q4 2025 Transcript .pdf</t>
        </is>
      </c>
      <c r="AN190" s="152" t="n"/>
      <c r="AO190" s="152" t="inlineStr">
        <is>
          <t>unique filename match</t>
        </is>
      </c>
      <c r="AP190" s="152">
        <f>IF($A190="","",IF(COUNTIFS(LLM_Data_Entry!$A$3:$A$548,$A190)&gt;0,"YES","NO"))</f>
        <v/>
      </c>
      <c r="AQ190" s="152">
        <f>IF($A190="","",IF(COUNTIFS($A$3:$A190,$A190,$C$3:$C190,$C190,$D$3:$D190,$D190)=1,"YES","NO"))</f>
        <v/>
      </c>
      <c r="AR190" s="152">
        <f>IF($A190="","",IF(AND($C190&amp;"-"&amp;$D190&gt;=Settings!$B$19,$C190&amp;"-"&amp;$D190&lt;=Settings!$B$20),"IN","OUT"))</f>
        <v/>
      </c>
      <c r="AS190" s="152">
        <f>IF($A190="","",IF($F190="Financial Results","financials",IF($F190="Outlook/Guidance","guidance",IF($F190="Transcript Q&amp;A","qanda",IF($F190="","unrecorded",IF($E190="All","full",IF($E190="","unrecorded",LOWER($E190)&amp;" only")))))))</f>
        <v/>
      </c>
      <c r="AT190" s="152">
        <f>IF(AND(OR($J190="BUY",$J190="SELL"),ISNUMBER($U190)),$U190,"")</f>
        <v/>
      </c>
      <c r="AU190" s="152">
        <f>IF(AND(OR($J190="BUY",$J190="SELL"),ISNUMBER($AK190)),$AK190,"")</f>
        <v/>
      </c>
      <c r="AV190" s="152">
        <f>IF(ISNUMBER($AT190),ABS(IF(ISNUMBER($I190),$I190,0)-Settings!$B$24),"")</f>
        <v/>
      </c>
      <c r="AW190" s="152">
        <f>IF(ISNUMBER($AV190),$AV190*$AT190,"")</f>
        <v/>
      </c>
      <c r="AX190" s="152">
        <f>IF(ISNUMBER($AU190),ABS(IF(ISNUMBER($I190),$I190,0)-Settings!$B$24),"")</f>
        <v/>
      </c>
      <c r="AY190" s="152" t="inlineStr">
        <is>
          <t>FROZEN</t>
        </is>
      </c>
      <c r="AZ190" s="152">
        <f>IF($A190="","",IFERROR(INDEX(Company_List!$H$3:$H$207,MATCH($A190,Company_List!$A$3:$A$207,0)),"unassigned"))</f>
        <v/>
      </c>
      <c r="BA190" s="152" t="n"/>
      <c r="BB190" s="152" t="n"/>
      <c r="BC190" s="152">
        <f>IF($A190="","",IF(COUNTIFS($A$3:$A190,$A190,$C$3:$C190,$C190,$D$3:$D190,$D190,$G$3:$G190,$G190)=1,1,0))</f>
        <v/>
      </c>
      <c r="BD190" s="152" t="n"/>
      <c r="BE190" s="152" t="n"/>
      <c r="BF190" s="152" t="n"/>
      <c r="BG190" s="152" t="inlineStr">
        <is>
          <t>no</t>
        </is>
      </c>
      <c r="BH190" s="152" t="n"/>
      <c r="BI190" s="152" t="n"/>
      <c r="BJ190" s="152" t="n"/>
      <c r="BK190" s="152">
        <f>IF(OR($H190&lt;&gt;"Human",$S190="",$J190="",$Y190="",$Z190=""),"",IF(EXACT(UPPER($J190),UPPER($Y190)),1,0))</f>
        <v/>
      </c>
      <c r="BL190" s="152" t="inlineStr">
        <is>
          <t>assumed - no rater record</t>
        </is>
      </c>
      <c r="BM190" s="152" t="n">
        <v>1</v>
      </c>
      <c r="BN190" s="152" t="inlineStr">
        <is>
          <t>The Motley Fool</t>
        </is>
      </c>
      <c r="BO190" s="152" t="inlineStr">
        <is>
          <t>free to read, copyright asserted</t>
        </is>
      </c>
      <c r="BP190" s="152" t="inlineStr">
        <is>
          <t>no</t>
        </is>
      </c>
      <c r="BQ190" s="152" t="inlineStr">
        <is>
          <t>no</t>
        </is>
      </c>
      <c r="BR190" s="152" t="n"/>
      <c r="BS190" s="152" t="inlineStr">
        <is>
          <t>YES</t>
        </is>
      </c>
      <c r="BT190" s="152" t="n"/>
    </row>
    <row r="191" ht="15" customHeight="1" s="241">
      <c r="A191" s="187" t="inlineStr">
        <is>
          <t>Pinterest</t>
        </is>
      </c>
      <c r="B191" s="188">
        <f>IF(A191="","",_xlfn.XLOOKUP(A191, Company_List!$A:$A, Company_List!$B:$B, ""))</f>
        <v/>
      </c>
      <c r="C191" s="176" t="n">
        <v>2026</v>
      </c>
      <c r="D191" s="177" t="inlineStr">
        <is>
          <t>Q1</t>
        </is>
      </c>
      <c r="E191" s="178" t="inlineStr">
        <is>
          <t>Transcript</t>
        </is>
      </c>
      <c r="F191" s="178" t="inlineStr">
        <is>
          <t>Transcript Q&amp;A</t>
        </is>
      </c>
      <c r="G191" s="177" t="inlineStr">
        <is>
          <t>Meriem</t>
        </is>
      </c>
      <c r="H191" s="177" t="inlineStr">
        <is>
          <t>Human</t>
        </is>
      </c>
      <c r="I191" s="180" t="n">
        <v>0.3</v>
      </c>
      <c r="J191" s="180">
        <f>IF(OR(I191="",Settings!$B$6=""),"",IF(I191&gt;Settings!$B$6,"BUY",IF(I191&lt;-Settings!$B$6,"SELL","HOLD")))</f>
        <v/>
      </c>
      <c r="K191" s="180" t="n">
        <v>35</v>
      </c>
      <c r="L191" s="182" t="n">
        <v>46146</v>
      </c>
      <c r="M191" s="182" t="n">
        <v>46146</v>
      </c>
      <c r="N191" s="179" t="n">
        <v>20.85</v>
      </c>
      <c r="O191" s="182" t="n">
        <v>46147</v>
      </c>
      <c r="P191" s="180" t="n">
        <v>24.71</v>
      </c>
      <c r="Q191" s="184">
        <f>IF(OR(N191="",P191=""),"",ROUND((P191-N191)/N191,4))</f>
        <v/>
      </c>
      <c r="R191" s="177">
        <f>IF(OR(N191="",P191=""),"",IF(Q191&gt;Settings!$B$3/100,"UP",IF(Q191&lt;-Settings!$B$3/100,"DOWN","FLAT")))</f>
        <v/>
      </c>
      <c r="S191" s="177">
        <f>IF(OR(N191="",P191="",J191=""),"",IF(OR(AND(J191="BUY",R191="UP"),AND(J191="SELL",R191="DOWN"),AND(J191="HOLD",R191="FLAT")),"YES","NO"))</f>
        <v/>
      </c>
      <c r="T191" s="176">
        <f>IF(J191="","",IF(J191="BUY",1,IF(J191="SELL",-1,0)))</f>
        <v/>
      </c>
      <c r="U191" s="184">
        <f>IFERROR(IF(OR(J191="",N191="",P191=""),"",IF(T191=0,0,T191*Q191-Settings!$B$4/10000-IF(T191&lt;0,Settings!$B$5/10000,0))),"")</f>
        <v/>
      </c>
      <c r="V191" s="190" t="inlineStr">
        <is>
          <t>Strong early-quarter performance and improving monetisation outweighed tariff risks and expectations of a softer following quarter.</t>
        </is>
      </c>
      <c r="W191" s="176">
        <f>IF($K191="","",$K191*60)</f>
        <v/>
      </c>
      <c r="X191" s="186">
        <f>IF($A191="","",$A191&amp;"|"&amp;$C191&amp;"|"&amp;$D191)</f>
        <v/>
      </c>
      <c r="Y191" s="186">
        <f>IFERROR(IF($X191="","",INDEX(LLM_Data_Entry!$H$3:$H$548,MATCH($X191,INDEX(LLM_Data_Entry!$A$3:$A$548&amp;"|"&amp;LLM_Data_Entry!$C$3:$C$548&amp;"|"&amp;LLM_Data_Entry!$D$3:$D$548,0),0))),"")</f>
        <v/>
      </c>
      <c r="Z191" s="186">
        <f>IFERROR(IF($X191="","",INDEX(LLM_Data_Entry!$R$3:$R$548,MATCH($X191,INDEX(LLM_Data_Entry!$A$3:$A$548&amp;"|"&amp;LLM_Data_Entry!$C$3:$C$548&amp;"|"&amp;LLM_Data_Entry!$D$3:$D$548,0),0))),"")</f>
        <v/>
      </c>
      <c r="AA191" s="152" t="n"/>
      <c r="AB191" s="152" t="inlineStr">
        <is>
          <t>price signal — only this window shows an abnormal move</t>
        </is>
      </c>
      <c r="AC191" s="152" t="inlineStr">
        <is>
          <t>PINS</t>
        </is>
      </c>
      <c r="AD191" s="152" t="inlineStr">
        <is>
          <t>2026-05-04</t>
        </is>
      </c>
      <c r="AE191" s="152" t="n">
        <v>20.85</v>
      </c>
      <c r="AF191" s="152" t="inlineStr">
        <is>
          <t>2026-05-05</t>
        </is>
      </c>
      <c r="AG191" s="152" t="n">
        <v>24.71</v>
      </c>
      <c r="AH191" s="152" t="n">
        <v>0.1851318465227819</v>
      </c>
      <c r="AI191" s="152" t="inlineStr">
        <is>
          <t>UP</t>
        </is>
      </c>
      <c r="AJ191" s="152" t="inlineStr">
        <is>
          <t>YES</t>
        </is>
      </c>
      <c r="AK191" s="152" t="n">
        <v>0.184132</v>
      </c>
      <c r="AL191" s="152">
        <f>IF($A191="","",IFERROR(INDEX(Company_List!$G$3:$G$207,MATCH($A191,Company_List!$A$3:$A$207,0)),"unassigned"))</f>
        <v/>
      </c>
      <c r="AM191" s="152" t="inlineStr">
        <is>
          <t>Phase 3/Readings/Pinterest/PINS Q1 2026 Transcript .pdf</t>
        </is>
      </c>
      <c r="AN191" s="152" t="n"/>
      <c r="AO191" s="152" t="inlineStr">
        <is>
          <t>unique filename match</t>
        </is>
      </c>
      <c r="AP191" s="152">
        <f>IF($A191="","",IF(COUNTIFS(LLM_Data_Entry!$A$3:$A$548,$A191)&gt;0,"YES","NO"))</f>
        <v/>
      </c>
      <c r="AQ191" s="152">
        <f>IF($A191="","",IF(COUNTIFS($A$3:$A191,$A191,$C$3:$C191,$C191,$D$3:$D191,$D191)=1,"YES","NO"))</f>
        <v/>
      </c>
      <c r="AR191" s="152">
        <f>IF($A191="","",IF(AND($C191&amp;"-"&amp;$D191&gt;=Settings!$B$19,$C191&amp;"-"&amp;$D191&lt;=Settings!$B$20),"IN","OUT"))</f>
        <v/>
      </c>
      <c r="AS191" s="152">
        <f>IF($A191="","",IF($F191="Financial Results","financials",IF($F191="Outlook/Guidance","guidance",IF($F191="Transcript Q&amp;A","qanda",IF($F191="","unrecorded",IF($E191="All","full",IF($E191="","unrecorded",LOWER($E191)&amp;" only")))))))</f>
        <v/>
      </c>
      <c r="AT191" s="152">
        <f>IF(AND(OR($J191="BUY",$J191="SELL"),ISNUMBER($U191)),$U191,"")</f>
        <v/>
      </c>
      <c r="AU191" s="152">
        <f>IF(AND(OR($J191="BUY",$J191="SELL"),ISNUMBER($AK191)),$AK191,"")</f>
        <v/>
      </c>
      <c r="AV191" s="152">
        <f>IF(ISNUMBER($AT191),ABS(IF(ISNUMBER($I191),$I191,0)-Settings!$B$24),"")</f>
        <v/>
      </c>
      <c r="AW191" s="152">
        <f>IF(ISNUMBER($AV191),$AV191*$AT191,"")</f>
        <v/>
      </c>
      <c r="AX191" s="152">
        <f>IF(ISNUMBER($AU191),ABS(IF(ISNUMBER($I191),$I191,0)-Settings!$B$24),"")</f>
        <v/>
      </c>
      <c r="AY191" s="152" t="inlineStr">
        <is>
          <t>FROZEN</t>
        </is>
      </c>
      <c r="AZ191" s="152">
        <f>IF($A191="","",IFERROR(INDEX(Company_List!$H$3:$H$207,MATCH($A191,Company_List!$A$3:$A$207,0)),"unassigned"))</f>
        <v/>
      </c>
      <c r="BA191" s="152" t="n"/>
      <c r="BB191" s="152" t="n"/>
      <c r="BC191" s="152">
        <f>IF($A191="","",IF(COUNTIFS($A$3:$A191,$A191,$C$3:$C191,$C191,$D$3:$D191,$D191,$G$3:$G191,$G191)=1,1,0))</f>
        <v/>
      </c>
      <c r="BD191" s="152" t="n"/>
      <c r="BE191" s="152" t="n"/>
      <c r="BF191" s="152" t="n"/>
      <c r="BG191" s="152" t="inlineStr">
        <is>
          <t>no</t>
        </is>
      </c>
      <c r="BH191" s="152" t="n"/>
      <c r="BI191" s="152" t="n"/>
      <c r="BJ191" s="152" t="n"/>
      <c r="BK191" s="152">
        <f>IF(OR($H191&lt;&gt;"Human",$S191="",$J191="",$Y191="",$Z191=""),"",IF(EXACT(UPPER($J191),UPPER($Y191)),1,0))</f>
        <v/>
      </c>
      <c r="BL191" s="152" t="inlineStr">
        <is>
          <t>assumed - no rater record</t>
        </is>
      </c>
      <c r="BM191" s="152" t="n">
        <v>1</v>
      </c>
      <c r="BN191" s="152" t="inlineStr">
        <is>
          <t>The Motley Fool</t>
        </is>
      </c>
      <c r="BO191" s="152" t="inlineStr">
        <is>
          <t>free to read, copyright asserted</t>
        </is>
      </c>
      <c r="BP191" s="152" t="inlineStr">
        <is>
          <t>no</t>
        </is>
      </c>
      <c r="BQ191" s="152" t="inlineStr">
        <is>
          <t>no</t>
        </is>
      </c>
      <c r="BR191" s="152" t="n"/>
      <c r="BS191" s="152" t="inlineStr">
        <is>
          <t>YES</t>
        </is>
      </c>
      <c r="BT191" s="152" t="n"/>
    </row>
    <row r="192" ht="15" customHeight="1" s="241">
      <c r="A192" s="187" t="inlineStr">
        <is>
          <t>Kraft Heinz</t>
        </is>
      </c>
      <c r="B192" s="188">
        <f>IF(A192="","",_xlfn.XLOOKUP(A192, Company_List!$A:$A, Company_List!$B:$B, ""))</f>
        <v/>
      </c>
      <c r="C192" s="176" t="n">
        <v>2024</v>
      </c>
      <c r="D192" s="177" t="inlineStr">
        <is>
          <t>Q4</t>
        </is>
      </c>
      <c r="E192" s="178" t="inlineStr">
        <is>
          <t>Press Release Document</t>
        </is>
      </c>
      <c r="F192" s="178" t="inlineStr">
        <is>
          <t>All</t>
        </is>
      </c>
      <c r="G192" s="177" t="inlineStr">
        <is>
          <t>Meriem</t>
        </is>
      </c>
      <c r="H192" s="177" t="inlineStr">
        <is>
          <t>Human</t>
        </is>
      </c>
      <c r="I192" s="180" t="n">
        <v>-0.5</v>
      </c>
      <c r="J192" s="180">
        <f>IF(OR(I192="",Settings!$B$6=""),"",IF(I192&gt;Settings!$B$6,"BUY",IF(I192&lt;-Settings!$B$6,"SELL","HOLD")))</f>
        <v/>
      </c>
      <c r="K192" s="180" t="n">
        <v>15</v>
      </c>
      <c r="L192" s="182" t="n">
        <v>45700</v>
      </c>
      <c r="M192" s="182" t="n">
        <v>45699</v>
      </c>
      <c r="N192" s="179" t="n">
        <v>29.58</v>
      </c>
      <c r="O192" s="182" t="n">
        <v>45700</v>
      </c>
      <c r="P192" s="180" t="n">
        <v>27.53</v>
      </c>
      <c r="Q192" s="184">
        <f>IF(OR(N192="",P192=""),"",ROUND((P192-N192)/N192,4))</f>
        <v/>
      </c>
      <c r="R192" s="177">
        <f>IF(OR(N192="",P192=""),"",IF(Q192&gt;Settings!$B$3/100,"UP",IF(Q192&lt;-Settings!$B$3/100,"DOWN","FLAT")))</f>
        <v/>
      </c>
      <c r="S192" s="177">
        <f>IF(OR(N192="",P192="",J192=""),"",IF(OR(AND(J192="BUY",R192="UP"),AND(J192="SELL",R192="DOWN"),AND(J192="HOLD",R192="FLAT")),"YES","NO"))</f>
        <v/>
      </c>
      <c r="T192" s="176">
        <f>IF(J192="","",IF(J192="BUY",1,IF(J192="SELL",-1,0)))</f>
        <v/>
      </c>
      <c r="U192" s="184">
        <f>IFERROR(IF(OR(J192="",N192="",P192=""),"",IF(T192=0,0,T192*Q192-Settings!$B$4/10000-IF(T192&lt;0,Settings!$B$5/10000,0))),"")</f>
        <v/>
      </c>
      <c r="V192" s="190" t="inlineStr">
        <is>
          <t>Declining sales, weaker operating income, disappointing results, and cautious 2025 guidance outweighed improvements in EPS and margins.</t>
        </is>
      </c>
      <c r="W192" s="176">
        <f>IF($K192="","",$K192*60)</f>
        <v/>
      </c>
      <c r="X192" s="186">
        <f>IF($A192="","",$A192&amp;"|"&amp;$C192&amp;"|"&amp;$D192)</f>
        <v/>
      </c>
      <c r="Y192" s="186">
        <f>IFERROR(IF($X192="","",INDEX(LLM_Data_Entry!$H$3:$H$548,MATCH($X192,INDEX(LLM_Data_Entry!$A$3:$A$548&amp;"|"&amp;LLM_Data_Entry!$C$3:$C$548&amp;"|"&amp;LLM_Data_Entry!$D$3:$D$548,0),0))),"")</f>
        <v/>
      </c>
      <c r="Z192" s="186">
        <f>IFERROR(IF($X192="","",INDEX(LLM_Data_Entry!$R$3:$R$548,MATCH($X192,INDEX(LLM_Data_Entry!$A$3:$A$548&amp;"|"&amp;LLM_Data_Entry!$C$3:$C$548&amp;"|"&amp;LLM_Data_Entry!$D$3:$D$548,0),0))),"")</f>
        <v/>
      </c>
      <c r="AA192" s="152" t="n"/>
      <c r="AB192" s="152" t="inlineStr">
        <is>
          <t>release date + stated time</t>
        </is>
      </c>
      <c r="AC192" s="152" t="inlineStr">
        <is>
          <t>KHC</t>
        </is>
      </c>
      <c r="AD192" s="152" t="inlineStr">
        <is>
          <t>2025-02-11</t>
        </is>
      </c>
      <c r="AE192" s="152" t="n">
        <v>26.9607</v>
      </c>
      <c r="AF192" s="152" t="inlineStr">
        <is>
          <t>2025-02-12</t>
        </is>
      </c>
      <c r="AG192" s="152" t="n">
        <v>25.0922</v>
      </c>
      <c r="AH192" s="152" t="n">
        <v>-0.06930362136701343</v>
      </c>
      <c r="AI192" s="152" t="inlineStr">
        <is>
          <t>DOWN</t>
        </is>
      </c>
      <c r="AJ192" s="152" t="inlineStr">
        <is>
          <t>YES</t>
        </is>
      </c>
      <c r="AK192" s="152" t="n">
        <v>0.068304</v>
      </c>
      <c r="AL192" s="152">
        <f>IF($A192="","",IFERROR(INDEX(Company_List!$G$3:$G$207,MATCH($A192,Company_List!$A$3:$A$207,0)),"unassigned"))</f>
        <v/>
      </c>
      <c r="AM192" s="152" t="inlineStr">
        <is>
          <t>Phase 3/Readings/Kraft Heinz/KHC Q4 2024 Results.pdf</t>
        </is>
      </c>
      <c r="AN192" s="152" t="n"/>
      <c r="AO192" s="152" t="inlineStr">
        <is>
          <t>unique filename match</t>
        </is>
      </c>
      <c r="AP192" s="152">
        <f>IF($A192="","",IF(COUNTIFS(LLM_Data_Entry!$A$3:$A$548,$A192)&gt;0,"YES","NO"))</f>
        <v/>
      </c>
      <c r="AQ192" s="152">
        <f>IF($A192="","",IF(COUNTIFS($A$3:$A192,$A192,$C$3:$C192,$C192,$D$3:$D192,$D192)=1,"YES","NO"))</f>
        <v/>
      </c>
      <c r="AR192" s="152">
        <f>IF($A192="","",IF(AND($C192&amp;"-"&amp;$D192&gt;=Settings!$B$19,$C192&amp;"-"&amp;$D192&lt;=Settings!$B$20),"IN","OUT"))</f>
        <v/>
      </c>
      <c r="AS192" s="152">
        <f>IF($A192="","",IF($F192="Financial Results","financials",IF($F192="Outlook/Guidance","guidance",IF($F192="Transcript Q&amp;A","qanda",IF($F192="","unrecorded",IF($E192="All","full",IF($E192="","unrecorded",LOWER($E192)&amp;" only")))))))</f>
        <v/>
      </c>
      <c r="AT192" s="152">
        <f>IF(AND(OR($J192="BUY",$J192="SELL"),ISNUMBER($U192)),$U192,"")</f>
        <v/>
      </c>
      <c r="AU192" s="152">
        <f>IF(AND(OR($J192="BUY",$J192="SELL"),ISNUMBER($AK192)),$AK192,"")</f>
        <v/>
      </c>
      <c r="AV192" s="152">
        <f>IF(ISNUMBER($AT192),ABS(IF(ISNUMBER($I192),$I192,0)-Settings!$B$24),"")</f>
        <v/>
      </c>
      <c r="AW192" s="152">
        <f>IF(ISNUMBER($AV192),$AV192*$AT192,"")</f>
        <v/>
      </c>
      <c r="AX192" s="152">
        <f>IF(ISNUMBER($AU192),ABS(IF(ISNUMBER($I192),$I192,0)-Settings!$B$24),"")</f>
        <v/>
      </c>
      <c r="AY192" s="152" t="inlineStr">
        <is>
          <t>FROZEN</t>
        </is>
      </c>
      <c r="AZ192" s="152">
        <f>IF($A192="","",IFERROR(INDEX(Company_List!$H$3:$H$207,MATCH($A192,Company_List!$A$3:$A$207,0)),"unassigned"))</f>
        <v/>
      </c>
      <c r="BA192" s="152" t="n"/>
      <c r="BB192" s="152" t="n"/>
      <c r="BC192" s="152">
        <f>IF($A192="","",IF(COUNTIFS($A$3:$A192,$A192,$C$3:$C192,$C192,$D$3:$D192,$D192,$G$3:$G192,$G192)=1,1,0))</f>
        <v/>
      </c>
      <c r="BD192" s="152" t="n"/>
      <c r="BE192" s="152" t="n"/>
      <c r="BF192" s="152" t="n"/>
      <c r="BG192" s="152" t="inlineStr">
        <is>
          <t>no</t>
        </is>
      </c>
      <c r="BH192" s="152" t="n"/>
      <c r="BI192" s="152" t="n"/>
      <c r="BJ192" s="152" t="n"/>
      <c r="BK192" s="152">
        <f>IF(OR($H192&lt;&gt;"Human",$S192="",$J192="",$Y192="",$Z192=""),"",IF(EXACT(UPPER($J192),UPPER($Y192)),1,0))</f>
        <v/>
      </c>
      <c r="BL192" s="152" t="inlineStr">
        <is>
          <t>assumed - no rater record</t>
        </is>
      </c>
      <c r="BM192" s="152" t="n">
        <v>1</v>
      </c>
      <c r="BN192" s="152" t="inlineStr">
        <is>
          <t>not publisher-identified</t>
        </is>
      </c>
      <c r="BO192" s="152" t="inlineStr">
        <is>
          <t>not publisher-identified</t>
        </is>
      </c>
      <c r="BP192" s="152" t="inlineStr">
        <is>
          <t>no</t>
        </is>
      </c>
      <c r="BQ192" s="152" t="inlineStr">
        <is>
          <t>no</t>
        </is>
      </c>
      <c r="BR192" s="152" t="n"/>
      <c r="BS192" s="152" t="inlineStr">
        <is>
          <t>YES</t>
        </is>
      </c>
      <c r="BT192" s="152" t="n"/>
    </row>
    <row r="193" ht="15" customHeight="1" s="241">
      <c r="A193" s="187" t="inlineStr">
        <is>
          <t>Kraft Heinz</t>
        </is>
      </c>
      <c r="B193" s="188">
        <f>IF(A193="","",_xlfn.XLOOKUP(A193, Company_List!$A:$A, Company_List!$B:$B, ""))</f>
        <v/>
      </c>
      <c r="C193" s="176" t="n">
        <v>2025</v>
      </c>
      <c r="D193" s="177" t="inlineStr">
        <is>
          <t>Q4</t>
        </is>
      </c>
      <c r="E193" s="178" t="inlineStr">
        <is>
          <t>Transcript</t>
        </is>
      </c>
      <c r="F193" s="178" t="inlineStr">
        <is>
          <t>Financial Results</t>
        </is>
      </c>
      <c r="G193" s="177" t="inlineStr">
        <is>
          <t>Meriem</t>
        </is>
      </c>
      <c r="H193" s="177" t="inlineStr">
        <is>
          <t>Human</t>
        </is>
      </c>
      <c r="I193" s="180" t="n">
        <v>-0.2</v>
      </c>
      <c r="J193" s="180">
        <f>IF(OR(I193="",Settings!$B$6=""),"",IF(I193&gt;Settings!$B$6,"BUY",IF(I193&lt;-Settings!$B$6,"SELL","HOLD")))</f>
        <v/>
      </c>
      <c r="K193" s="180" t="n">
        <v>19</v>
      </c>
      <c r="L193" s="182" t="n">
        <v>46064</v>
      </c>
      <c r="M193" s="182" t="n">
        <v>46062</v>
      </c>
      <c r="N193" s="179" t="n">
        <v>24.9</v>
      </c>
      <c r="O193" s="182" t="n">
        <v>46063</v>
      </c>
      <c r="P193" s="180" t="n">
        <v>23.8</v>
      </c>
      <c r="Q193" s="184" t="n">
        <v>-4.4177</v>
      </c>
      <c r="R193" s="177" t="inlineStr">
        <is>
          <t>DOWN</t>
        </is>
      </c>
      <c r="S193" s="177">
        <f>IF(OR(N193="",P193="",J193=""),"",IF(OR(AND(J193="BUY",R193="UP"),AND(J193="SELL",R193="DOWN"),AND(J193="HOLD",R193="FLAT")),"YES","NO"))</f>
        <v/>
      </c>
      <c r="T193" s="176">
        <f>IF(J193="","",IF(J193="BUY",1,IF(J193="SELL",-1,0)))</f>
        <v/>
      </c>
      <c r="U193" s="184">
        <f>IFERROR(IF(OR(J193="",N193="",P193=""),"",IF(T193=0,0,T193*Q193-Settings!$B$4/10000-IF(T193&lt;0,Settings!$B$5/10000,0))),"")</f>
        <v/>
      </c>
      <c r="V193" s="190" t="inlineStr">
        <is>
          <t>Although current performance remained weak, management's increased investment strategy and focus on higher-return initiatives support a neutral outlook.</t>
        </is>
      </c>
      <c r="W193" s="176">
        <f>IF($K193="","",$K193*60)</f>
        <v/>
      </c>
      <c r="X193" s="186">
        <f>IF($A193="","",$A193&amp;"|"&amp;$C193&amp;"|"&amp;$D193)</f>
        <v/>
      </c>
      <c r="Y193" s="186">
        <f>IFERROR(IF($X193="","",INDEX(LLM_Data_Entry!$H$3:$H$548,MATCH($X193,INDEX(LLM_Data_Entry!$A$3:$A$548&amp;"|"&amp;LLM_Data_Entry!$C$3:$C$548&amp;"|"&amp;LLM_Data_Entry!$D$3:$D$548,0),0))),"")</f>
        <v/>
      </c>
      <c r="Z193" s="186">
        <f>IFERROR(IF($X193="","",INDEX(LLM_Data_Entry!$R$3:$R$548,MATCH($X193,INDEX(LLM_Data_Entry!$A$3:$A$548&amp;"|"&amp;LLM_Data_Entry!$C$3:$C$548&amp;"|"&amp;LLM_Data_Entry!$D$3:$D$548,0),0))),"")</f>
        <v/>
      </c>
      <c r="AA193" s="152" t="n"/>
      <c r="AB193" s="152" t="inlineStr">
        <is>
          <t>release date + stated time</t>
        </is>
      </c>
      <c r="AC193" s="152" t="inlineStr">
        <is>
          <t>KHC</t>
        </is>
      </c>
      <c r="AD193" s="152" t="inlineStr">
        <is>
          <t>2026-02-10</t>
        </is>
      </c>
      <c r="AE193" s="152" t="n">
        <v>24.053</v>
      </c>
      <c r="AF193" s="152" t="inlineStr">
        <is>
          <t>2026-02-11</t>
        </is>
      </c>
      <c r="AG193" s="152" t="n">
        <v>22.9904</v>
      </c>
      <c r="AH193" s="152" t="n">
        <v>-0.04417676864599556</v>
      </c>
      <c r="AI193" s="152" t="inlineStr">
        <is>
          <t>DOWN</t>
        </is>
      </c>
      <c r="AJ193" s="152" t="inlineStr">
        <is>
          <t>NO</t>
        </is>
      </c>
      <c r="AK193" s="152" t="n">
        <v>0</v>
      </c>
      <c r="AL193" s="152">
        <f>IF($A193="","",IFERROR(INDEX(Company_List!$G$3:$G$207,MATCH($A193,Company_List!$A$3:$A$207,0)),"unassigned"))</f>
        <v/>
      </c>
      <c r="AM193" s="152" t="inlineStr">
        <is>
          <t>Phase 3/Readings/Kraft Heinz/KHC Q4 2025 Earnings Call Transcript.pdf</t>
        </is>
      </c>
      <c r="AN193" s="152" t="n"/>
      <c r="AO193" s="152" t="inlineStr">
        <is>
          <t>unique filename match</t>
        </is>
      </c>
      <c r="AP193" s="152">
        <f>IF($A193="","",IF(COUNTIFS(LLM_Data_Entry!$A$3:$A$548,$A193)&gt;0,"YES","NO"))</f>
        <v/>
      </c>
      <c r="AQ193" s="152">
        <f>IF($A193="","",IF(COUNTIFS($A$3:$A193,$A193,$C$3:$C193,$C193,$D$3:$D193,$D193)=1,"YES","NO"))</f>
        <v/>
      </c>
      <c r="AR193" s="152">
        <f>IF($A193="","",IF(AND($C193&amp;"-"&amp;$D193&gt;=Settings!$B$19,$C193&amp;"-"&amp;$D193&lt;=Settings!$B$20),"IN","OUT"))</f>
        <v/>
      </c>
      <c r="AS193" s="152">
        <f>IF($A193="","",IF($F193="Financial Results","financials",IF($F193="Outlook/Guidance","guidance",IF($F193="Transcript Q&amp;A","qanda",IF($F193="","unrecorded",IF($E193="All","full",IF($E193="","unrecorded",LOWER($E193)&amp;" only")))))))</f>
        <v/>
      </c>
      <c r="AT193" s="152">
        <f>IF(AND(OR($J193="BUY",$J193="SELL"),ISNUMBER($U193)),$U193,"")</f>
        <v/>
      </c>
      <c r="AU193" s="152">
        <f>IF(AND(OR($J193="BUY",$J193="SELL"),ISNUMBER($AK193)),$AK193,"")</f>
        <v/>
      </c>
      <c r="AV193" s="152">
        <f>IF(ISNUMBER($AT193),ABS(IF(ISNUMBER($I193),$I193,0)-Settings!$B$24),"")</f>
        <v/>
      </c>
      <c r="AW193" s="152">
        <f>IF(ISNUMBER($AV193),$AV193*$AT193,"")</f>
        <v/>
      </c>
      <c r="AX193" s="152">
        <f>IF(ISNUMBER($AU193),ABS(IF(ISNUMBER($I193),$I193,0)-Settings!$B$24),"")</f>
        <v/>
      </c>
      <c r="AY193" s="152" t="inlineStr">
        <is>
          <t>FROZEN</t>
        </is>
      </c>
      <c r="AZ193" s="152">
        <f>IF($A193="","",IFERROR(INDEX(Company_List!$H$3:$H$207,MATCH($A193,Company_List!$A$3:$A$207,0)),"unassigned"))</f>
        <v/>
      </c>
      <c r="BA193" s="152" t="n"/>
      <c r="BB193" s="152" t="n"/>
      <c r="BC193" s="152">
        <f>IF($A193="","",IF(COUNTIFS($A$3:$A193,$A193,$C$3:$C193,$C193,$D$3:$D193,$D193,$G$3:$G193,$G193)=1,1,0))</f>
        <v/>
      </c>
      <c r="BD193" s="152" t="n"/>
      <c r="BE193" s="152" t="n"/>
      <c r="BF193" s="152" t="n"/>
      <c r="BG193" s="152" t="inlineStr">
        <is>
          <t>no</t>
        </is>
      </c>
      <c r="BH193" s="152" t="n"/>
      <c r="BI193" s="152" t="n"/>
      <c r="BJ193" s="152" t="n"/>
      <c r="BK193" s="152">
        <f>IF(OR($H193&lt;&gt;"Human",$S193="",$J193="",$Y193="",$Z193=""),"",IF(EXACT(UPPER($J193),UPPER($Y193)),1,0))</f>
        <v/>
      </c>
      <c r="BL193" s="152" t="inlineStr">
        <is>
          <t>assumed - no rater record</t>
        </is>
      </c>
      <c r="BM193" s="152" t="n">
        <v>1</v>
      </c>
      <c r="BN193" s="152" t="inlineStr">
        <is>
          <t>The Motley Fool</t>
        </is>
      </c>
      <c r="BO193" s="152" t="inlineStr">
        <is>
          <t>free to read, copyright asserted</t>
        </is>
      </c>
      <c r="BP193" s="152" t="inlineStr">
        <is>
          <t>no</t>
        </is>
      </c>
      <c r="BQ193" s="152" t="inlineStr">
        <is>
          <t>no</t>
        </is>
      </c>
      <c r="BR193" s="152" t="n"/>
      <c r="BS193" s="152" t="inlineStr">
        <is>
          <t>YES</t>
        </is>
      </c>
      <c r="BT193" s="152" t="n"/>
    </row>
    <row r="194" ht="15" customHeight="1" s="241">
      <c r="A194" s="187" t="inlineStr">
        <is>
          <t>Kraft Heinz</t>
        </is>
      </c>
      <c r="B194" s="188">
        <f>IF(A194="","",_xlfn.XLOOKUP(A194, Company_List!$A:$A, Company_List!$B:$B, ""))</f>
        <v/>
      </c>
      <c r="C194" s="176" t="n">
        <v>2026</v>
      </c>
      <c r="D194" s="177" t="inlineStr">
        <is>
          <t>Q1</t>
        </is>
      </c>
      <c r="E194" s="178" t="inlineStr">
        <is>
          <t>Transcript</t>
        </is>
      </c>
      <c r="F194" s="178" t="inlineStr">
        <is>
          <t>Transcript Q&amp;A</t>
        </is>
      </c>
      <c r="G194" s="177" t="inlineStr">
        <is>
          <t>Meriem</t>
        </is>
      </c>
      <c r="H194" s="177" t="inlineStr">
        <is>
          <t>Human</t>
        </is>
      </c>
      <c r="I194" s="180" t="n">
        <v>-0.2</v>
      </c>
      <c r="J194" s="180">
        <f>IF(OR(I194="",Settings!$B$6=""),"",IF(I194&gt;Settings!$B$6,"BUY",IF(I194&lt;-Settings!$B$6,"SELL","HOLD")))</f>
        <v/>
      </c>
      <c r="K194" s="180" t="n">
        <v>30</v>
      </c>
      <c r="L194" s="182" t="n">
        <v>46148</v>
      </c>
      <c r="M194" s="182" t="n">
        <v>46147</v>
      </c>
      <c r="N194" s="179" t="n">
        <v>22.54</v>
      </c>
      <c r="O194" s="182" t="n">
        <v>46148</v>
      </c>
      <c r="P194" s="180" t="n">
        <v>23.17</v>
      </c>
      <c r="Q194" s="184">
        <f>IF(OR(N194="",P194=""),"",ROUND((P194-N194)/N194,4))</f>
        <v/>
      </c>
      <c r="R194" s="177">
        <f>IF(OR(N194="",P194=""),"",IF(Q194&gt;Settings!$B$3/100,"UP",IF(Q194&lt;-Settings!$B$3/100,"DOWN","FLAT")))</f>
        <v/>
      </c>
      <c r="S194" s="177">
        <f>IF(OR(N194="",P194="",J194=""),"",IF(OR(AND(J194="BUY",R194="UP"),AND(J194="SELL",R194="DOWN"),AND(J194="HOLD",R194="FLAT")),"YES","NO"))</f>
        <v/>
      </c>
      <c r="T194" s="176">
        <f>IF(J194="","",IF(J194="BUY",1,IF(J194="SELL",-1,0)))</f>
        <v/>
      </c>
      <c r="U194" s="184">
        <f>IFERROR(IF(OR(J194="",N194="",P194=""),"",IF(T194=0,0,T194*Q194-Settings!$B$4/10000-IF(T194&lt;0,Settings!$B$5/10000,0))),"")</f>
        <v/>
      </c>
      <c r="V194" s="190" t="inlineStr">
        <is>
          <t>Ongoing revenue pressure and inflation risks were balanced by continued investment in growth initiatives and marketing, suggesting limited near-term upside.</t>
        </is>
      </c>
      <c r="W194" s="176">
        <f>IF($K194="","",$K194*60)</f>
        <v/>
      </c>
      <c r="X194" s="186">
        <f>IF($A194="","",$A194&amp;"|"&amp;$C194&amp;"|"&amp;$D194)</f>
        <v/>
      </c>
      <c r="Y194" s="186">
        <f>IFERROR(IF($X194="","",INDEX(LLM_Data_Entry!$H$3:$H$548,MATCH($X194,INDEX(LLM_Data_Entry!$A$3:$A$548&amp;"|"&amp;LLM_Data_Entry!$C$3:$C$548&amp;"|"&amp;LLM_Data_Entry!$D$3:$D$548,0),0))),"")</f>
        <v/>
      </c>
      <c r="Z194" s="186">
        <f>IFERROR(IF($X194="","",INDEX(LLM_Data_Entry!$R$3:$R$548,MATCH($X194,INDEX(LLM_Data_Entry!$A$3:$A$548&amp;"|"&amp;LLM_Data_Entry!$C$3:$C$548&amp;"|"&amp;LLM_Data_Entry!$D$3:$D$548,0),0))),"")</f>
        <v/>
      </c>
      <c r="AA194" s="152" t="n"/>
      <c r="AB194" s="152" t="inlineStr">
        <is>
          <t>release date + stated time</t>
        </is>
      </c>
      <c r="AC194" s="152" t="inlineStr">
        <is>
          <t>KHC</t>
        </is>
      </c>
      <c r="AD194" s="152" t="inlineStr">
        <is>
          <t>2026-05-05</t>
        </is>
      </c>
      <c r="AE194" s="152" t="n">
        <v>22.1388</v>
      </c>
      <c r="AF194" s="152" t="inlineStr">
        <is>
          <t>2026-05-06</t>
        </is>
      </c>
      <c r="AG194" s="152" t="n">
        <v>22.7575</v>
      </c>
      <c r="AH194" s="152" t="n">
        <v>0.0279503014617634</v>
      </c>
      <c r="AI194" s="152" t="inlineStr">
        <is>
          <t>UP</t>
        </is>
      </c>
      <c r="AJ194" s="152" t="inlineStr">
        <is>
          <t>NO</t>
        </is>
      </c>
      <c r="AK194" s="152" t="n">
        <v>0</v>
      </c>
      <c r="AL194" s="152">
        <f>IF($A194="","",IFERROR(INDEX(Company_List!$G$3:$G$207,MATCH($A194,Company_List!$A$3:$A$207,0)),"unassigned"))</f>
        <v/>
      </c>
      <c r="AM194" s="152" t="inlineStr">
        <is>
          <t>Phase 3/Readings/Kraft Heinz/KHC Q1 2026 Earnings Transcript.pdf</t>
        </is>
      </c>
      <c r="AN194" s="152" t="n"/>
      <c r="AO194" s="152" t="inlineStr">
        <is>
          <t>unique filename match</t>
        </is>
      </c>
      <c r="AP194" s="152">
        <f>IF($A194="","",IF(COUNTIFS(LLM_Data_Entry!$A$3:$A$548,$A194)&gt;0,"YES","NO"))</f>
        <v/>
      </c>
      <c r="AQ194" s="152">
        <f>IF($A194="","",IF(COUNTIFS($A$3:$A194,$A194,$C$3:$C194,$C194,$D$3:$D194,$D194)=1,"YES","NO"))</f>
        <v/>
      </c>
      <c r="AR194" s="152">
        <f>IF($A194="","",IF(AND($C194&amp;"-"&amp;$D194&gt;=Settings!$B$19,$C194&amp;"-"&amp;$D194&lt;=Settings!$B$20),"IN","OUT"))</f>
        <v/>
      </c>
      <c r="AS194" s="152">
        <f>IF($A194="","",IF($F194="Financial Results","financials",IF($F194="Outlook/Guidance","guidance",IF($F194="Transcript Q&amp;A","qanda",IF($F194="","unrecorded",IF($E194="All","full",IF($E194="","unrecorded",LOWER($E194)&amp;" only")))))))</f>
        <v/>
      </c>
      <c r="AT194" s="152">
        <f>IF(AND(OR($J194="BUY",$J194="SELL"),ISNUMBER($U194)),$U194,"")</f>
        <v/>
      </c>
      <c r="AU194" s="152">
        <f>IF(AND(OR($J194="BUY",$J194="SELL"),ISNUMBER($AK194)),$AK194,"")</f>
        <v/>
      </c>
      <c r="AV194" s="152">
        <f>IF(ISNUMBER($AT194),ABS(IF(ISNUMBER($I194),$I194,0)-Settings!$B$24),"")</f>
        <v/>
      </c>
      <c r="AW194" s="152">
        <f>IF(ISNUMBER($AV194),$AV194*$AT194,"")</f>
        <v/>
      </c>
      <c r="AX194" s="152">
        <f>IF(ISNUMBER($AU194),ABS(IF(ISNUMBER($I194),$I194,0)-Settings!$B$24),"")</f>
        <v/>
      </c>
      <c r="AY194" s="152" t="inlineStr">
        <is>
          <t>FROZEN</t>
        </is>
      </c>
      <c r="AZ194" s="152">
        <f>IF($A194="","",IFERROR(INDEX(Company_List!$H$3:$H$207,MATCH($A194,Company_List!$A$3:$A$207,0)),"unassigned"))</f>
        <v/>
      </c>
      <c r="BA194" s="152" t="n"/>
      <c r="BB194" s="152" t="n"/>
      <c r="BC194" s="152">
        <f>IF($A194="","",IF(COUNTIFS($A$3:$A194,$A194,$C$3:$C194,$C194,$D$3:$D194,$D194,$G$3:$G194,$G194)=1,1,0))</f>
        <v/>
      </c>
      <c r="BD194" s="152" t="n"/>
      <c r="BE194" s="152" t="n"/>
      <c r="BF194" s="152" t="n"/>
      <c r="BG194" s="152" t="inlineStr">
        <is>
          <t>no</t>
        </is>
      </c>
      <c r="BH194" s="152" t="n"/>
      <c r="BI194" s="152" t="n"/>
      <c r="BJ194" s="152" t="n"/>
      <c r="BK194" s="152">
        <f>IF(OR($H194&lt;&gt;"Human",$S194="",$J194="",$Y194="",$Z194=""),"",IF(EXACT(UPPER($J194),UPPER($Y194)),1,0))</f>
        <v/>
      </c>
      <c r="BL194" s="152" t="inlineStr">
        <is>
          <t>assumed - no rater record</t>
        </is>
      </c>
      <c r="BM194" s="152" t="n">
        <v>1</v>
      </c>
      <c r="BN194" s="152" t="inlineStr">
        <is>
          <t>The Motley Fool</t>
        </is>
      </c>
      <c r="BO194" s="152" t="inlineStr">
        <is>
          <t>free to read, copyright asserted</t>
        </is>
      </c>
      <c r="BP194" s="152" t="inlineStr">
        <is>
          <t>no</t>
        </is>
      </c>
      <c r="BQ194" s="152" t="inlineStr">
        <is>
          <t>no</t>
        </is>
      </c>
      <c r="BR194" s="152" t="n"/>
      <c r="BS194" s="152" t="inlineStr">
        <is>
          <t>YES</t>
        </is>
      </c>
      <c r="BT194" s="152" t="n"/>
    </row>
    <row r="195" ht="15" customHeight="1" s="241">
      <c r="A195" s="187" t="inlineStr">
        <is>
          <t>Linde</t>
        </is>
      </c>
      <c r="B195" s="188">
        <f>IF(A195="","",_xlfn.XLOOKUP(A195, Company_List!$A:$A, Company_List!$B:$B, ""))</f>
        <v/>
      </c>
      <c r="C195" s="176" t="n">
        <v>2025</v>
      </c>
      <c r="D195" s="177" t="inlineStr">
        <is>
          <t>Q2</t>
        </is>
      </c>
      <c r="E195" s="178" t="inlineStr">
        <is>
          <t>Presentation</t>
        </is>
      </c>
      <c r="F195" s="178" t="inlineStr">
        <is>
          <t>All</t>
        </is>
      </c>
      <c r="G195" s="177" t="inlineStr">
        <is>
          <t>Meriem</t>
        </is>
      </c>
      <c r="H195" s="177" t="inlineStr">
        <is>
          <t>Human</t>
        </is>
      </c>
      <c r="I195" s="180" t="n">
        <v>0.4</v>
      </c>
      <c r="J195" s="180">
        <f>IF(OR(I195="",Settings!$B$6=""),"",IF(I195&gt;Settings!$B$6,"BUY",IF(I195&lt;-Settings!$B$6,"SELL","HOLD")))</f>
        <v/>
      </c>
      <c r="K195" s="180" t="n">
        <v>35</v>
      </c>
      <c r="L195" s="182" t="n">
        <v>45870</v>
      </c>
      <c r="M195" s="182" t="n">
        <v>45869</v>
      </c>
      <c r="N195" s="179" t="n">
        <v>460.26</v>
      </c>
      <c r="O195" s="182" t="n">
        <v>45870</v>
      </c>
      <c r="P195" s="180" t="n">
        <v>458.33</v>
      </c>
      <c r="Q195" s="184">
        <f>IF(OR(N195="",P195=""),"",ROUND((P195-N195)/N195,4))</f>
        <v/>
      </c>
      <c r="R195" s="177">
        <f>IF(OR(N195="",P195=""),"",IF(Q195&gt;Settings!$B$3/100,"UP",IF(Q195&lt;-Settings!$B$3/100,"DOWN","FLAT")))</f>
        <v/>
      </c>
      <c r="S195" s="177">
        <f>IF(OR(N195="",P195="",J195=""),"",IF(OR(AND(J195="BUY",R195="UP"),AND(J195="SELL",R195="DOWN"),AND(J195="HOLD",R195="FLAT")),"YES","NO"))</f>
        <v/>
      </c>
      <c r="T195" s="176">
        <f>IF(J195="","",IF(J195="BUY",1,IF(J195="SELL",-1,0)))</f>
        <v/>
      </c>
      <c r="U195" s="184">
        <f>IFERROR(IF(OR(J195="",N195="",P195=""),"",IF(T195=0,0,T195*Q195-Settings!$B$4/10000-IF(T195&lt;0,Settings!$B$5/10000,0))),"")</f>
        <v/>
      </c>
      <c r="V195" s="190" t="inlineStr">
        <is>
          <t>Strong earnings growth, improving profitability, and higher EBITDA indicate resilient financial performance despite modest volume weakness.</t>
        </is>
      </c>
      <c r="W195" s="176">
        <f>IF($K195="","",$K195*60)</f>
        <v/>
      </c>
      <c r="X195" s="186">
        <f>IF($A195="","",$A195&amp;"|"&amp;$C195&amp;"|"&amp;$D195)</f>
        <v/>
      </c>
      <c r="Y195" s="186">
        <f>IFERROR(IF($X195="","",INDEX(LLM_Data_Entry!$H$3:$H$548,MATCH($X195,INDEX(LLM_Data_Entry!$A$3:$A$548&amp;"|"&amp;LLM_Data_Entry!$C$3:$C$548&amp;"|"&amp;LLM_Data_Entry!$D$3:$D$548,0),0))),"")</f>
        <v/>
      </c>
      <c r="Z195" s="186">
        <f>IFERROR(IF($X195="","",INDEX(LLM_Data_Entry!$R$3:$R$548,MATCH($X195,INDEX(LLM_Data_Entry!$A$3:$A$548&amp;"|"&amp;LLM_Data_Entry!$C$3:$C$548&amp;"|"&amp;LLM_Data_Entry!$D$3:$D$548,0),0))),"")</f>
        <v/>
      </c>
      <c r="AA195" s="152" t="n"/>
      <c r="AB195" s="152" t="inlineStr">
        <is>
          <t>release time published by the issuer</t>
        </is>
      </c>
      <c r="AC195" s="152" t="inlineStr">
        <is>
          <t>LIN</t>
        </is>
      </c>
      <c r="AD195" s="152" t="inlineStr">
        <is>
          <t>2025-07-31</t>
        </is>
      </c>
      <c r="AE195" s="152" t="n">
        <v>454.1467</v>
      </c>
      <c r="AF195" s="152" t="inlineStr">
        <is>
          <t>2025-08-01</t>
        </is>
      </c>
      <c r="AG195" s="152" t="n">
        <v>452.2424</v>
      </c>
      <c r="AH195" s="152" t="n">
        <v>-0.004193263791559401</v>
      </c>
      <c r="AI195" s="152" t="inlineStr">
        <is>
          <t>FLAT</t>
        </is>
      </c>
      <c r="AJ195" s="152" t="inlineStr">
        <is>
          <t>NO</t>
        </is>
      </c>
      <c r="AK195" s="152" t="n">
        <v>-0.005193</v>
      </c>
      <c r="AL195" s="152">
        <f>IF($A195="","",IFERROR(INDEX(Company_List!$G$3:$G$207,MATCH($A195,Company_List!$A$3:$A$207,0)),"unassigned"))</f>
        <v/>
      </c>
      <c r="AM195" s="152" t="inlineStr">
        <is>
          <t>Phase 3/Readings/Linde/2025-Q2/LIN-2025-Q2-earnings-presentation-linde-com.pdf</t>
        </is>
      </c>
      <c r="AN195" s="152" t="inlineStr">
        <is>
          <t>https://assets.linde.com/-/media/global/corporate/corporate/documents/investors/quarterly-earnings/linde2q25teleconferenceslides.pdf</t>
        </is>
      </c>
      <c r="AO195" s="152" t="inlineStr">
        <is>
          <t>manifest</t>
        </is>
      </c>
      <c r="AP195" s="152">
        <f>IF($A195="","",IF(COUNTIFS(LLM_Data_Entry!$A$3:$A$548,$A195)&gt;0,"YES","NO"))</f>
        <v/>
      </c>
      <c r="AQ195" s="152">
        <f>IF($A195="","",IF(COUNTIFS($A$3:$A195,$A195,$C$3:$C195,$C195,$D$3:$D195,$D195)=1,"YES","NO"))</f>
        <v/>
      </c>
      <c r="AR195" s="152">
        <f>IF($A195="","",IF(AND($C195&amp;"-"&amp;$D195&gt;=Settings!$B$19,$C195&amp;"-"&amp;$D195&lt;=Settings!$B$20),"IN","OUT"))</f>
        <v/>
      </c>
      <c r="AS195" s="152">
        <f>IF($A195="","",IF($F195="Financial Results","financials",IF($F195="Outlook/Guidance","guidance",IF($F195="Transcript Q&amp;A","qanda",IF($F195="","unrecorded",IF($E195="All","full",IF($E195="","unrecorded",LOWER($E195)&amp;" only")))))))</f>
        <v/>
      </c>
      <c r="AT195" s="152">
        <f>IF(AND(OR($J195="BUY",$J195="SELL"),ISNUMBER($U195)),$U195,"")</f>
        <v/>
      </c>
      <c r="AU195" s="152">
        <f>IF(AND(OR($J195="BUY",$J195="SELL"),ISNUMBER($AK195)),$AK195,"")</f>
        <v/>
      </c>
      <c r="AV195" s="152">
        <f>IF(ISNUMBER($AT195),ABS(IF(ISNUMBER($I195),$I195,0)-Settings!$B$24),"")</f>
        <v/>
      </c>
      <c r="AW195" s="152">
        <f>IF(ISNUMBER($AV195),$AV195*$AT195,"")</f>
        <v/>
      </c>
      <c r="AX195" s="152">
        <f>IF(ISNUMBER($AU195),ABS(IF(ISNUMBER($I195),$I195,0)-Settings!$B$24),"")</f>
        <v/>
      </c>
      <c r="AY195" s="152" t="inlineStr">
        <is>
          <t>FROZEN</t>
        </is>
      </c>
      <c r="AZ195" s="152">
        <f>IF($A195="","",IFERROR(INDEX(Company_List!$H$3:$H$207,MATCH($A195,Company_List!$A$3:$A$207,0)),"unassigned"))</f>
        <v/>
      </c>
      <c r="BA195" s="152" t="n"/>
      <c r="BB195" s="152" t="n"/>
      <c r="BC195" s="152">
        <f>IF($A195="","",IF(COUNTIFS($A$3:$A195,$A195,$C$3:$C195,$C195,$D$3:$D195,$D195,$G$3:$G195,$G195)=1,1,0))</f>
        <v/>
      </c>
      <c r="BD195" s="152" t="n"/>
      <c r="BE195" s="152" t="n"/>
      <c r="BF195" s="152" t="n"/>
      <c r="BG195" s="152" t="inlineStr">
        <is>
          <t>no</t>
        </is>
      </c>
      <c r="BH195" s="152" t="n"/>
      <c r="BI195" s="152" t="n"/>
      <c r="BJ195" s="152" t="n"/>
      <c r="BK195" s="152">
        <f>IF(OR($H195&lt;&gt;"Human",$S195="",$J195="",$Y195="",$Z195=""),"",IF(EXACT(UPPER($J195),UPPER($Y195)),1,0))</f>
        <v/>
      </c>
      <c r="BL195" s="152" t="inlineStr">
        <is>
          <t>assumed - no rater record</t>
        </is>
      </c>
      <c r="BM195" s="152" t="n">
        <v>1</v>
      </c>
      <c r="BN195" s="152" t="inlineStr">
        <is>
          <t>not publisher-identified</t>
        </is>
      </c>
      <c r="BO195" s="152" t="inlineStr">
        <is>
          <t>not publisher-identified</t>
        </is>
      </c>
      <c r="BP195" s="152" t="inlineStr">
        <is>
          <t>no</t>
        </is>
      </c>
      <c r="BQ195" s="152" t="inlineStr">
        <is>
          <t>yes</t>
        </is>
      </c>
      <c r="BR195" s="152" t="n"/>
      <c r="BS195" s="152" t="inlineStr">
        <is>
          <t>YES</t>
        </is>
      </c>
      <c r="BT195" s="152" t="n"/>
    </row>
    <row r="196" ht="15" customHeight="1" s="241">
      <c r="A196" s="187" t="inlineStr">
        <is>
          <t>Linde</t>
        </is>
      </c>
      <c r="B196" s="188">
        <f>IF(A196="","",_xlfn.XLOOKUP(A196, Company_List!$A:$A, Company_List!$B:$B, ""))</f>
        <v/>
      </c>
      <c r="C196" s="176" t="n">
        <v>2025</v>
      </c>
      <c r="D196" s="177" t="inlineStr">
        <is>
          <t>Q3</t>
        </is>
      </c>
      <c r="E196" s="178" t="inlineStr">
        <is>
          <t>Transcript</t>
        </is>
      </c>
      <c r="F196" s="178" t="inlineStr">
        <is>
          <t>Financial Results</t>
        </is>
      </c>
      <c r="G196" s="177" t="inlineStr">
        <is>
          <t>Meriem</t>
        </is>
      </c>
      <c r="H196" s="177" t="inlineStr">
        <is>
          <t>Human</t>
        </is>
      </c>
      <c r="I196" s="180" t="n">
        <v>0.2</v>
      </c>
      <c r="J196" s="180">
        <f>IF(OR(I196="",Settings!$B$6=""),"",IF(I196&gt;Settings!$B$6,"BUY",IF(I196&lt;-Settings!$B$6,"SELL","HOLD")))</f>
        <v/>
      </c>
      <c r="K196" s="180" t="n">
        <v>24</v>
      </c>
      <c r="L196" s="182" t="n">
        <v>45961</v>
      </c>
      <c r="M196" s="182" t="n">
        <v>45960</v>
      </c>
      <c r="N196" s="179" t="n">
        <v>429.91</v>
      </c>
      <c r="O196" s="182" t="n">
        <v>45961</v>
      </c>
      <c r="P196" s="180" t="n">
        <v>425</v>
      </c>
      <c r="Q196" s="184">
        <f>IF(OR(N196="",P196=""),"",ROUND((P196-N196)/N196,4))</f>
        <v/>
      </c>
      <c r="R196" s="177">
        <f>IF(OR(N196="",P196=""),"",IF(Q196&gt;Settings!$B$3/100,"UP",IF(Q196&lt;-Settings!$B$3/100,"DOWN","FLAT")))</f>
        <v/>
      </c>
      <c r="S196" s="177">
        <f>IF(OR(N196="",P196="",J196=""),"",IF(OR(AND(J196="BUY",R196="UP"),AND(J196="SELL",R196="DOWN"),AND(J196="HOLD",R196="FLAT")),"YES","NO"))</f>
        <v/>
      </c>
      <c r="T196" s="176">
        <f>IF(J196="","",IF(J196="BUY",1,IF(J196="SELL",-1,0)))</f>
        <v/>
      </c>
      <c r="U196" s="184">
        <f>IFERROR(IF(OR(J196="",N196="",P196=""),"",IF(T196=0,0,T196*Q196-Settings!$B$4/10000-IF(T196&lt;0,Settings!$B$5/10000,0))),"")</f>
        <v/>
      </c>
      <c r="V196" s="190" t="inlineStr">
        <is>
          <t>Continued earnings growth and cash generation were tempered by cautious management commentary and a challenging macroeconomic environment.</t>
        </is>
      </c>
      <c r="W196" s="176">
        <f>IF($K196="","",$K196*60)</f>
        <v/>
      </c>
      <c r="X196" s="186">
        <f>IF($A196="","",$A196&amp;"|"&amp;$C196&amp;"|"&amp;$D196)</f>
        <v/>
      </c>
      <c r="Y196" s="186">
        <f>IFERROR(IF($X196="","",INDEX(LLM_Data_Entry!$H$3:$H$548,MATCH($X196,INDEX(LLM_Data_Entry!$A$3:$A$548&amp;"|"&amp;LLM_Data_Entry!$C$3:$C$548&amp;"|"&amp;LLM_Data_Entry!$D$3:$D$548,0),0))),"")</f>
        <v/>
      </c>
      <c r="Z196" s="186">
        <f>IFERROR(IF($X196="","",INDEX(LLM_Data_Entry!$R$3:$R$548,MATCH($X196,INDEX(LLM_Data_Entry!$A$3:$A$548&amp;"|"&amp;LLM_Data_Entry!$C$3:$C$548&amp;"|"&amp;LLM_Data_Entry!$D$3:$D$548,0),0))),"")</f>
        <v/>
      </c>
      <c r="AA196" s="152" t="n"/>
      <c r="AB196" s="152" t="inlineStr">
        <is>
          <t>document date + price signal</t>
        </is>
      </c>
      <c r="AC196" s="152" t="inlineStr">
        <is>
          <t>LIN</t>
        </is>
      </c>
      <c r="AD196" s="152" t="inlineStr">
        <is>
          <t>2025-10-30</t>
        </is>
      </c>
      <c r="AE196" s="152" t="n">
        <v>425.5529</v>
      </c>
      <c r="AF196" s="152" t="inlineStr">
        <is>
          <t>2025-10-31</t>
        </is>
      </c>
      <c r="AG196" s="152" t="n">
        <v>420.6926</v>
      </c>
      <c r="AH196" s="152" t="n">
        <v>-0.01142098467691608</v>
      </c>
      <c r="AI196" s="152" t="inlineStr">
        <is>
          <t>FLAT</t>
        </is>
      </c>
      <c r="AJ196" s="152" t="inlineStr">
        <is>
          <t>YES</t>
        </is>
      </c>
      <c r="AK196" s="152" t="n">
        <v>0</v>
      </c>
      <c r="AL196" s="152">
        <f>IF($A196="","",IFERROR(INDEX(Company_List!$G$3:$G$207,MATCH($A196,Company_List!$A$3:$A$207,0)),"unassigned"))</f>
        <v/>
      </c>
      <c r="AM196" s="152" t="inlineStr">
        <is>
          <t>Phase 3/Readings/Linde/LIN Q3 2025 transcript.pdf</t>
        </is>
      </c>
      <c r="AN196" s="152" t="n"/>
      <c r="AO196" s="152" t="inlineStr">
        <is>
          <t>unique filename match</t>
        </is>
      </c>
      <c r="AP196" s="152">
        <f>IF($A196="","",IF(COUNTIFS(LLM_Data_Entry!$A$3:$A$548,$A196)&gt;0,"YES","NO"))</f>
        <v/>
      </c>
      <c r="AQ196" s="152">
        <f>IF($A196="","",IF(COUNTIFS($A$3:$A196,$A196,$C$3:$C196,$C196,$D$3:$D196,$D196)=1,"YES","NO"))</f>
        <v/>
      </c>
      <c r="AR196" s="152">
        <f>IF($A196="","",IF(AND($C196&amp;"-"&amp;$D196&gt;=Settings!$B$19,$C196&amp;"-"&amp;$D196&lt;=Settings!$B$20),"IN","OUT"))</f>
        <v/>
      </c>
      <c r="AS196" s="152">
        <f>IF($A196="","",IF($F196="Financial Results","financials",IF($F196="Outlook/Guidance","guidance",IF($F196="Transcript Q&amp;A","qanda",IF($F196="","unrecorded",IF($E196="All","full",IF($E196="","unrecorded",LOWER($E196)&amp;" only")))))))</f>
        <v/>
      </c>
      <c r="AT196" s="152">
        <f>IF(AND(OR($J196="BUY",$J196="SELL"),ISNUMBER($U196)),$U196,"")</f>
        <v/>
      </c>
      <c r="AU196" s="152">
        <f>IF(AND(OR($J196="BUY",$J196="SELL"),ISNUMBER($AK196)),$AK196,"")</f>
        <v/>
      </c>
      <c r="AV196" s="152">
        <f>IF(ISNUMBER($AT196),ABS(IF(ISNUMBER($I196),$I196,0)-Settings!$B$24),"")</f>
        <v/>
      </c>
      <c r="AW196" s="152">
        <f>IF(ISNUMBER($AV196),$AV196*$AT196,"")</f>
        <v/>
      </c>
      <c r="AX196" s="152">
        <f>IF(ISNUMBER($AU196),ABS(IF(ISNUMBER($I196),$I196,0)-Settings!$B$24),"")</f>
        <v/>
      </c>
      <c r="AY196" s="152" t="inlineStr">
        <is>
          <t>FROZEN</t>
        </is>
      </c>
      <c r="AZ196" s="152">
        <f>IF($A196="","",IFERROR(INDEX(Company_List!$H$3:$H$207,MATCH($A196,Company_List!$A$3:$A$207,0)),"unassigned"))</f>
        <v/>
      </c>
      <c r="BA196" s="152" t="n"/>
      <c r="BB196" s="152" t="n"/>
      <c r="BC196" s="152">
        <f>IF($A196="","",IF(COUNTIFS($A$3:$A196,$A196,$C$3:$C196,$C196,$D$3:$D196,$D196,$G$3:$G196,$G196)=1,1,0))</f>
        <v/>
      </c>
      <c r="BD196" s="152" t="n"/>
      <c r="BE196" s="152" t="n"/>
      <c r="BF196" s="152" t="n"/>
      <c r="BG196" s="152" t="inlineStr">
        <is>
          <t>no</t>
        </is>
      </c>
      <c r="BH196" s="152" t="n"/>
      <c r="BI196" s="152" t="n"/>
      <c r="BJ196" s="152" t="n"/>
      <c r="BK196" s="152">
        <f>IF(OR($H196&lt;&gt;"Human",$S196="",$J196="",$Y196="",$Z196=""),"",IF(EXACT(UPPER($J196),UPPER($Y196)),1,0))</f>
        <v/>
      </c>
      <c r="BL196" s="152" t="inlineStr">
        <is>
          <t>assumed - no rater record</t>
        </is>
      </c>
      <c r="BM196" s="152" t="n">
        <v>1</v>
      </c>
      <c r="BN196" s="152" t="inlineStr">
        <is>
          <t>not publisher-identified</t>
        </is>
      </c>
      <c r="BO196" s="152" t="inlineStr">
        <is>
          <t>not publisher-identified</t>
        </is>
      </c>
      <c r="BP196" s="152" t="inlineStr">
        <is>
          <t>no</t>
        </is>
      </c>
      <c r="BQ196" s="152" t="inlineStr">
        <is>
          <t>no</t>
        </is>
      </c>
      <c r="BR196" s="152" t="n"/>
      <c r="BS196" s="152" t="inlineStr">
        <is>
          <t>YES</t>
        </is>
      </c>
      <c r="BT196" s="152" t="n"/>
    </row>
    <row r="197" ht="15" customHeight="1" s="241">
      <c r="A197" s="187" t="inlineStr">
        <is>
          <t>Linde</t>
        </is>
      </c>
      <c r="B197" s="188">
        <f>IF(A197="","",_xlfn.XLOOKUP(A197, Company_List!$A:$A, Company_List!$B:$B, ""))</f>
        <v/>
      </c>
      <c r="C197" s="176" t="n">
        <v>2026</v>
      </c>
      <c r="D197" s="177" t="inlineStr">
        <is>
          <t>Q1</t>
        </is>
      </c>
      <c r="E197" s="178" t="inlineStr">
        <is>
          <t>Transcript</t>
        </is>
      </c>
      <c r="F197" s="178" t="inlineStr">
        <is>
          <t>Transcript Q&amp;A</t>
        </is>
      </c>
      <c r="G197" s="177" t="inlineStr">
        <is>
          <t>Meriem</t>
        </is>
      </c>
      <c r="H197" s="177" t="inlineStr">
        <is>
          <t>Human</t>
        </is>
      </c>
      <c r="I197" s="180" t="n">
        <v>0.1</v>
      </c>
      <c r="J197" s="180">
        <f>IF(OR(I197="",Settings!$B$6=""),"",IF(I197&gt;Settings!$B$6,"BUY",IF(I197&lt;-Settings!$B$6,"SELL","HOLD")))</f>
        <v/>
      </c>
      <c r="K197" s="180" t="n">
        <v>42</v>
      </c>
      <c r="L197" s="182" t="n">
        <v>46143</v>
      </c>
      <c r="M197" s="182" t="n">
        <v>46142</v>
      </c>
      <c r="N197" s="179" t="n">
        <v>501.14</v>
      </c>
      <c r="O197" s="182" t="n">
        <v>46143</v>
      </c>
      <c r="P197" s="180" t="n">
        <v>503.36</v>
      </c>
      <c r="Q197" s="184">
        <f>IF(OR(N197="",P197=""),"",ROUND((P197-N197)/N197,4))</f>
        <v/>
      </c>
      <c r="R197" s="177">
        <f>IF(OR(N197="",P197=""),"",IF(Q197&gt;Settings!$B$3/100,"UP",IF(Q197&lt;-Settings!$B$3/100,"DOWN","FLAT")))</f>
        <v/>
      </c>
      <c r="S197" s="177">
        <f>IF(OR(N197="",P197="",J197=""),"",IF(OR(AND(J197="BUY",R197="UP"),AND(J197="SELL",R197="DOWN"),AND(J197="HOLD",R197="FLAT")),"YES","NO"))</f>
        <v/>
      </c>
      <c r="T197" s="176">
        <f>IF(J197="","",IF(J197="BUY",1,IF(J197="SELL",-1,0)))</f>
        <v/>
      </c>
      <c r="U197" s="184">
        <f>IFERROR(IF(OR(J197="",N197="",P197=""),"",IF(T197=0,0,T197*Q197-Settings!$B$4/10000-IF(T197&lt;0,Settings!$B$5/10000,0))),"")</f>
        <v/>
      </c>
      <c r="V197" s="190" t="inlineStr">
        <is>
          <t>Mixed regional performance and cautious management outlook were partially offset by expected growth in electronics and improving conditions in the Americas.</t>
        </is>
      </c>
      <c r="W197" s="176">
        <f>IF($K197="","",$K197*60)</f>
        <v/>
      </c>
      <c r="X197" s="186">
        <f>IF($A197="","",$A197&amp;"|"&amp;$C197&amp;"|"&amp;$D197)</f>
        <v/>
      </c>
      <c r="Y197" s="186">
        <f>IFERROR(IF($X197="","",INDEX(LLM_Data_Entry!$H$3:$H$548,MATCH($X197,INDEX(LLM_Data_Entry!$A$3:$A$548&amp;"|"&amp;LLM_Data_Entry!$C$3:$C$548&amp;"|"&amp;LLM_Data_Entry!$D$3:$D$548,0),0))),"")</f>
        <v/>
      </c>
      <c r="Z197" s="186">
        <f>IFERROR(IF($X197="","",INDEX(LLM_Data_Entry!$R$3:$R$548,MATCH($X197,INDEX(LLM_Data_Entry!$A$3:$A$548&amp;"|"&amp;LLM_Data_Entry!$C$3:$C$548&amp;"|"&amp;LLM_Data_Entry!$D$3:$D$548,0),0))),"")</f>
        <v/>
      </c>
      <c r="AA197" s="152" t="n"/>
      <c r="AB197" s="152" t="inlineStr">
        <is>
          <t>release time published by the issuer</t>
        </is>
      </c>
      <c r="AC197" s="152" t="inlineStr">
        <is>
          <t>LIN</t>
        </is>
      </c>
      <c r="AD197" s="152" t="inlineStr">
        <is>
          <t>2026-04-30</t>
        </is>
      </c>
      <c r="AE197" s="152" t="n">
        <v>499.5603</v>
      </c>
      <c r="AF197" s="152" t="inlineStr">
        <is>
          <t>2026-05-01</t>
        </is>
      </c>
      <c r="AG197" s="152" t="n">
        <v>501.7733</v>
      </c>
      <c r="AH197" s="152" t="n">
        <v>0.004429800472402943</v>
      </c>
      <c r="AI197" s="152" t="inlineStr">
        <is>
          <t>FLAT</t>
        </is>
      </c>
      <c r="AJ197" s="152" t="inlineStr">
        <is>
          <t>YES</t>
        </is>
      </c>
      <c r="AK197" s="152" t="n">
        <v>0</v>
      </c>
      <c r="AL197" s="152">
        <f>IF($A197="","",IFERROR(INDEX(Company_List!$G$3:$G$207,MATCH($A197,Company_List!$A$3:$A$207,0)),"unassigned"))</f>
        <v/>
      </c>
      <c r="AM197" s="152" t="inlineStr">
        <is>
          <t>Phase 3/Readings/Linde/LIN Q1 2026 transcript.pdf</t>
        </is>
      </c>
      <c r="AN197" s="152" t="n"/>
      <c r="AO197" s="152" t="inlineStr">
        <is>
          <t>unique filename match</t>
        </is>
      </c>
      <c r="AP197" s="152">
        <f>IF($A197="","",IF(COUNTIFS(LLM_Data_Entry!$A$3:$A$548,$A197)&gt;0,"YES","NO"))</f>
        <v/>
      </c>
      <c r="AQ197" s="152">
        <f>IF($A197="","",IF(COUNTIFS($A$3:$A197,$A197,$C$3:$C197,$C197,$D$3:$D197,$D197)=1,"YES","NO"))</f>
        <v/>
      </c>
      <c r="AR197" s="152">
        <f>IF($A197="","",IF(AND($C197&amp;"-"&amp;$D197&gt;=Settings!$B$19,$C197&amp;"-"&amp;$D197&lt;=Settings!$B$20),"IN","OUT"))</f>
        <v/>
      </c>
      <c r="AS197" s="152">
        <f>IF($A197="","",IF($F197="Financial Results","financials",IF($F197="Outlook/Guidance","guidance",IF($F197="Transcript Q&amp;A","qanda",IF($F197="","unrecorded",IF($E197="All","full",IF($E197="","unrecorded",LOWER($E197)&amp;" only")))))))</f>
        <v/>
      </c>
      <c r="AT197" s="152">
        <f>IF(AND(OR($J197="BUY",$J197="SELL"),ISNUMBER($U197)),$U197,"")</f>
        <v/>
      </c>
      <c r="AU197" s="152">
        <f>IF(AND(OR($J197="BUY",$J197="SELL"),ISNUMBER($AK197)),$AK197,"")</f>
        <v/>
      </c>
      <c r="AV197" s="152">
        <f>IF(ISNUMBER($AT197),ABS(IF(ISNUMBER($I197),$I197,0)-Settings!$B$24),"")</f>
        <v/>
      </c>
      <c r="AW197" s="152">
        <f>IF(ISNUMBER($AV197),$AV197*$AT197,"")</f>
        <v/>
      </c>
      <c r="AX197" s="152">
        <f>IF(ISNUMBER($AU197),ABS(IF(ISNUMBER($I197),$I197,0)-Settings!$B$24),"")</f>
        <v/>
      </c>
      <c r="AY197" s="152" t="inlineStr">
        <is>
          <t>FROZEN</t>
        </is>
      </c>
      <c r="AZ197" s="152">
        <f>IF($A197="","",IFERROR(INDEX(Company_List!$H$3:$H$207,MATCH($A197,Company_List!$A$3:$A$207,0)),"unassigned"))</f>
        <v/>
      </c>
      <c r="BA197" s="152" t="n"/>
      <c r="BB197" s="152" t="n"/>
      <c r="BC197" s="152">
        <f>IF($A197="","",IF(COUNTIFS($A$3:$A197,$A197,$C$3:$C197,$C197,$D$3:$D197,$D197,$G$3:$G197,$G197)=1,1,0))</f>
        <v/>
      </c>
      <c r="BD197" s="152" t="n"/>
      <c r="BE197" s="152" t="n"/>
      <c r="BF197" s="152" t="n"/>
      <c r="BG197" s="152" t="inlineStr">
        <is>
          <t>no</t>
        </is>
      </c>
      <c r="BH197" s="152" t="n"/>
      <c r="BI197" s="152" t="n"/>
      <c r="BJ197" s="152" t="n"/>
      <c r="BK197" s="152">
        <f>IF(OR($H197&lt;&gt;"Human",$S197="",$J197="",$Y197="",$Z197=""),"",IF(EXACT(UPPER($J197),UPPER($Y197)),1,0))</f>
        <v/>
      </c>
      <c r="BL197" s="152" t="inlineStr">
        <is>
          <t>assumed - no rater record</t>
        </is>
      </c>
      <c r="BM197" s="152" t="n">
        <v>1</v>
      </c>
      <c r="BN197" s="152" t="inlineStr">
        <is>
          <t>not publisher-identified</t>
        </is>
      </c>
      <c r="BO197" s="152" t="inlineStr">
        <is>
          <t>not publisher-identified</t>
        </is>
      </c>
      <c r="BP197" s="152" t="inlineStr">
        <is>
          <t>no</t>
        </is>
      </c>
      <c r="BQ197" s="152" t="inlineStr">
        <is>
          <t>no</t>
        </is>
      </c>
      <c r="BR197" s="152" t="n"/>
      <c r="BS197" s="152" t="inlineStr">
        <is>
          <t>YES</t>
        </is>
      </c>
      <c r="BT197" s="152" t="n"/>
    </row>
    <row r="198" ht="15" customHeight="1" s="241">
      <c r="A198" s="187" t="inlineStr">
        <is>
          <t>Puma</t>
        </is>
      </c>
      <c r="B198" s="188">
        <f>IF(A198="","",_xlfn.XLOOKUP(A198, Company_List!$A:$A, Company_List!$B:$B, ""))</f>
        <v/>
      </c>
      <c r="C198" s="176" t="n">
        <v>2026</v>
      </c>
      <c r="D198" s="177" t="inlineStr">
        <is>
          <t>Q1</t>
        </is>
      </c>
      <c r="E198" s="178" t="inlineStr">
        <is>
          <t>Transcript</t>
        </is>
      </c>
      <c r="F198" s="178" t="inlineStr">
        <is>
          <t>All</t>
        </is>
      </c>
      <c r="G198" s="177" t="inlineStr">
        <is>
          <t>Anna</t>
        </is>
      </c>
      <c r="H198" s="177" t="inlineStr">
        <is>
          <t>Human</t>
        </is>
      </c>
      <c r="I198" s="180" t="n">
        <v>-0.4</v>
      </c>
      <c r="J198" s="180">
        <f>IF(OR(I198="",Settings!$B$6=""),"",IF(I198&gt;Settings!$B$6,"BUY",IF(I198&lt;-Settings!$B$6,"SELL","HOLD")))</f>
        <v/>
      </c>
      <c r="K198" s="180" t="n">
        <v>34</v>
      </c>
      <c r="L198" s="182" t="n">
        <v>46142</v>
      </c>
      <c r="M198" s="182" t="n">
        <v>46141</v>
      </c>
      <c r="N198" s="179" t="n">
        <v>24.68</v>
      </c>
      <c r="O198" s="182" t="n">
        <v>46142</v>
      </c>
      <c r="P198" s="180" t="n">
        <v>24.94</v>
      </c>
      <c r="Q198" s="184">
        <f>IF(OR(N198="",P198=""),"",ROUND((P198-N198)/N198,4))</f>
        <v/>
      </c>
      <c r="R198" s="177">
        <f>IF(OR(N198="",P198=""),"",IF(Q198&gt;Settings!$B$3/100,"UP",IF(Q198&lt;-Settings!$B$3/100,"DOWN","FLAT")))</f>
        <v/>
      </c>
      <c r="S198" s="177">
        <f>IF(OR(N198="",P198="",J198=""),"",IF(OR(AND(J198="BUY",R198="UP"),AND(J198="SELL",R198="DOWN"),AND(J198="HOLD",R198="FLAT")),"YES","NO"))</f>
        <v/>
      </c>
      <c r="T198" s="176">
        <f>IF(J198="","",IF(J198="BUY",1,IF(J198="SELL",-1,0)))</f>
        <v/>
      </c>
      <c r="U198" s="184">
        <f>IFERROR(IF(OR(J198="",N198="",P198=""),"",IF(T198=0,0,T198*Q198-Settings!$B$4/10000-IF(T198&lt;0,Settings!$B$5/10000,0))),"")</f>
        <v/>
      </c>
      <c r="V198" s="152" t="n"/>
      <c r="W198" s="176">
        <f>IF($K198="","",$K198*60)</f>
        <v/>
      </c>
      <c r="X198" s="186">
        <f>IF($A198="","",$A198&amp;"|"&amp;$C198&amp;"|"&amp;$D198)</f>
        <v/>
      </c>
      <c r="Y198" s="186">
        <f>IFERROR(IF($X198="","",INDEX(LLM_Data_Entry!$H$3:$H$548,MATCH($X198,INDEX(LLM_Data_Entry!$A$3:$A$548&amp;"|"&amp;LLM_Data_Entry!$C$3:$C$548&amp;"|"&amp;LLM_Data_Entry!$D$3:$D$548,0),0))),"")</f>
        <v/>
      </c>
      <c r="Z198" s="186">
        <f>IFERROR(IF($X198="","",INDEX(LLM_Data_Entry!$R$3:$R$548,MATCH($X198,INDEX(LLM_Data_Entry!$A$3:$A$548&amp;"|"&amp;LLM_Data_Entry!$C$3:$C$548&amp;"|"&amp;LLM_Data_Entry!$D$3:$D$548,0),0))),"")</f>
        <v/>
      </c>
      <c r="AA198" s="152" t="n"/>
      <c r="AB198" s="152" t="inlineStr">
        <is>
          <t>earnings calendar, seconded by the issuer's habit</t>
        </is>
      </c>
      <c r="AC198" s="152" t="inlineStr">
        <is>
          <t>PUM.DE</t>
        </is>
      </c>
      <c r="AD198" s="152" t="inlineStr">
        <is>
          <t>2026-04-29</t>
        </is>
      </c>
      <c r="AE198" s="152" t="n">
        <v>24.68</v>
      </c>
      <c r="AF198" s="152" t="inlineStr">
        <is>
          <t>2026-04-30</t>
        </is>
      </c>
      <c r="AG198" s="152" t="n">
        <v>24.94</v>
      </c>
      <c r="AH198" s="152" t="n">
        <v>0.01053488654781195</v>
      </c>
      <c r="AI198" s="152" t="inlineStr">
        <is>
          <t>FLAT</t>
        </is>
      </c>
      <c r="AJ198" s="152" t="inlineStr">
        <is>
          <t>NO</t>
        </is>
      </c>
      <c r="AK198" s="152" t="n">
        <v>-0.011535</v>
      </c>
      <c r="AL198" s="152">
        <f>IF($A198="","",IFERROR(INDEX(Company_List!$G$3:$G$207,MATCH($A198,Company_List!$A$3:$A$207,0)),"unassigned"))</f>
        <v/>
      </c>
      <c r="AM198" s="152" t="inlineStr">
        <is>
          <t>Phase 3/Readings/Puma/Puma Q1 2026.pdf</t>
        </is>
      </c>
      <c r="AN198" s="152" t="n"/>
      <c r="AO198" s="152" t="inlineStr">
        <is>
          <t>unique filename match</t>
        </is>
      </c>
      <c r="AP198" s="152">
        <f>IF($A198="","",IF(COUNTIFS(LLM_Data_Entry!$A$3:$A$548,$A198)&gt;0,"YES","NO"))</f>
        <v/>
      </c>
      <c r="AQ198" s="152">
        <f>IF($A198="","",IF(COUNTIFS($A$3:$A198,$A198,$C$3:$C198,$C198,$D$3:$D198,$D198)=1,"YES","NO"))</f>
        <v/>
      </c>
      <c r="AR198" s="152">
        <f>IF($A198="","",IF(AND($C198&amp;"-"&amp;$D198&gt;=Settings!$B$19,$C198&amp;"-"&amp;$D198&lt;=Settings!$B$20),"IN","OUT"))</f>
        <v/>
      </c>
      <c r="AS198" s="152">
        <f>IF($A198="","",IF($F198="Financial Results","financials",IF($F198="Outlook/Guidance","guidance",IF($F198="Transcript Q&amp;A","qanda",IF($F198="","unrecorded",IF($E198="All","full",IF($E198="","unrecorded",LOWER($E198)&amp;" only")))))))</f>
        <v/>
      </c>
      <c r="AT198" s="152">
        <f>IF(AND(OR($J198="BUY",$J198="SELL"),ISNUMBER($U198)),$U198,"")</f>
        <v/>
      </c>
      <c r="AU198" s="152">
        <f>IF(AND(OR($J198="BUY",$J198="SELL"),ISNUMBER($AK198)),$AK198,"")</f>
        <v/>
      </c>
      <c r="AV198" s="152">
        <f>IF(ISNUMBER($AT198),ABS(IF(ISNUMBER($I198),$I198,0)-Settings!$B$24),"")</f>
        <v/>
      </c>
      <c r="AW198" s="152">
        <f>IF(ISNUMBER($AV198),$AV198*$AT198,"")</f>
        <v/>
      </c>
      <c r="AX198" s="152">
        <f>IF(ISNUMBER($AU198),ABS(IF(ISNUMBER($I198),$I198,0)-Settings!$B$24),"")</f>
        <v/>
      </c>
      <c r="AY198" s="152" t="inlineStr">
        <is>
          <t>FROZEN</t>
        </is>
      </c>
      <c r="AZ198" s="152">
        <f>IF($A198="","",IFERROR(INDEX(Company_List!$H$3:$H$207,MATCH($A198,Company_List!$A$3:$A$207,0)),"unassigned"))</f>
        <v/>
      </c>
      <c r="BA198" s="152" t="n"/>
      <c r="BB198" s="152" t="n"/>
      <c r="BC198" s="152">
        <f>IF($A198="","",IF(COUNTIFS($A$3:$A198,$A198,$C$3:$C198,$C198,$D$3:$D198,$D198,$G$3:$G198,$G198)=1,1,0))</f>
        <v/>
      </c>
      <c r="BD198" s="152" t="n"/>
      <c r="BE198" s="152" t="n"/>
      <c r="BF198" s="152" t="n"/>
      <c r="BG198" s="152" t="inlineStr">
        <is>
          <t>no</t>
        </is>
      </c>
      <c r="BH198" s="152" t="n"/>
      <c r="BI198" s="152" t="n"/>
      <c r="BJ198" s="152" t="n"/>
      <c r="BK198" s="152">
        <f>IF(OR($H198&lt;&gt;"Human",$S198="",$J198="",$Y198="",$Z198=""),"",IF(EXACT(UPPER($J198),UPPER($Y198)),1,0))</f>
        <v/>
      </c>
      <c r="BL198" s="152" t="inlineStr">
        <is>
          <t>assumed - no rater record</t>
        </is>
      </c>
      <c r="BM198" s="152" t="n">
        <v>1</v>
      </c>
      <c r="BN198" s="152" t="inlineStr">
        <is>
          <t>not publisher-identified</t>
        </is>
      </c>
      <c r="BO198" s="152" t="inlineStr">
        <is>
          <t>not publisher-identified</t>
        </is>
      </c>
      <c r="BP198" s="152" t="inlineStr">
        <is>
          <t>no</t>
        </is>
      </c>
      <c r="BQ198" s="152" t="inlineStr">
        <is>
          <t>no</t>
        </is>
      </c>
      <c r="BR198" s="152" t="n"/>
      <c r="BS198" s="152" t="inlineStr">
        <is>
          <t>YES</t>
        </is>
      </c>
      <c r="BT198" s="152" t="n"/>
    </row>
    <row r="199" ht="15" customHeight="1" s="241">
      <c r="A199" s="187" t="inlineStr">
        <is>
          <t>Puma</t>
        </is>
      </c>
      <c r="B199" s="188">
        <f>IF(A199="","",_xlfn.XLOOKUP(A199, Company_List!$A:$A, Company_List!$B:$B, ""))</f>
        <v/>
      </c>
      <c r="C199" s="176" t="n">
        <v>2025</v>
      </c>
      <c r="D199" s="177" t="inlineStr">
        <is>
          <t>Q3</t>
        </is>
      </c>
      <c r="E199" s="178" t="inlineStr">
        <is>
          <t>Transcript</t>
        </is>
      </c>
      <c r="F199" s="178" t="inlineStr">
        <is>
          <t>All</t>
        </is>
      </c>
      <c r="G199" s="177" t="inlineStr">
        <is>
          <t>Anna</t>
        </is>
      </c>
      <c r="H199" s="177" t="inlineStr">
        <is>
          <t>Human</t>
        </is>
      </c>
      <c r="I199" s="180" t="n">
        <v>-0.6</v>
      </c>
      <c r="J199" s="180">
        <f>IF(OR(I199="",Settings!$B$6=""),"",IF(I199&gt;Settings!$B$6,"BUY",IF(I199&lt;-Settings!$B$6,"SELL","HOLD")))</f>
        <v/>
      </c>
      <c r="K199" s="180" t="n">
        <v>30</v>
      </c>
      <c r="L199" s="182" t="n">
        <v>45960</v>
      </c>
      <c r="M199" s="182" t="n">
        <v>45959</v>
      </c>
      <c r="N199" s="179" t="n">
        <v>20.6</v>
      </c>
      <c r="O199" s="182" t="n">
        <v>45960</v>
      </c>
      <c r="P199" s="180" t="n">
        <v>21.01</v>
      </c>
      <c r="Q199" s="184">
        <f>IF(OR(N199="",P199=""),"",ROUND((P199-N199)/N199,4))</f>
        <v/>
      </c>
      <c r="R199" s="177">
        <f>IF(OR(N199="",P199=""),"",IF(Q199&gt;Settings!$B$3/100,"UP",IF(Q199&lt;-Settings!$B$3/100,"DOWN","FLAT")))</f>
        <v/>
      </c>
      <c r="S199" s="177">
        <f>IF(OR(N199="",P199="",J199=""),"",IF(OR(AND(J199="BUY",R199="UP"),AND(J199="SELL",R199="DOWN"),AND(J199="HOLD",R199="FLAT")),"YES","NO"))</f>
        <v/>
      </c>
      <c r="T199" s="176">
        <f>IF(J199="","",IF(J199="BUY",1,IF(J199="SELL",-1,0)))</f>
        <v/>
      </c>
      <c r="U199" s="184">
        <f>IFERROR(IF(OR(J199="",N199="",P199=""),"",IF(T199=0,0,T199*Q199-Settings!$B$4/10000-IF(T199&lt;0,Settings!$B$5/10000,0))),"")</f>
        <v/>
      </c>
      <c r="V199" s="190" t="inlineStr">
        <is>
          <t>used oct 29 for prior closing date bc earnings release occurred at 8am oct 30, so market had time to react on oct 30 to the news</t>
        </is>
      </c>
      <c r="W199" s="176">
        <f>IF($K199="","",$K199*60)</f>
        <v/>
      </c>
      <c r="X199" s="186">
        <f>IF($A199="","",$A199&amp;"|"&amp;$C199&amp;"|"&amp;$D199)</f>
        <v/>
      </c>
      <c r="Y199" s="186">
        <f>IFERROR(IF($X199="","",INDEX(LLM_Data_Entry!$H$3:$H$548,MATCH($X199,INDEX(LLM_Data_Entry!$A$3:$A$548&amp;"|"&amp;LLM_Data_Entry!$C$3:$C$548&amp;"|"&amp;LLM_Data_Entry!$D$3:$D$548,0),0))),"")</f>
        <v/>
      </c>
      <c r="Z199" s="186">
        <f>IFERROR(IF($X199="","",INDEX(LLM_Data_Entry!$R$3:$R$548,MATCH($X199,INDEX(LLM_Data_Entry!$A$3:$A$548&amp;"|"&amp;LLM_Data_Entry!$C$3:$C$548&amp;"|"&amp;LLM_Data_Entry!$D$3:$D$548,0),0))),"")</f>
        <v/>
      </c>
      <c r="AA199" s="152" t="n"/>
      <c r="AB199" s="152" t="inlineStr">
        <is>
          <t>recorded window spanned two sessions, closed to one</t>
        </is>
      </c>
      <c r="AC199" s="152" t="inlineStr">
        <is>
          <t>PUM.DE</t>
        </is>
      </c>
      <c r="AD199" s="152" t="inlineStr">
        <is>
          <t>2025-10-29</t>
        </is>
      </c>
      <c r="AE199" s="152" t="n">
        <v>20.6</v>
      </c>
      <c r="AF199" s="152" t="inlineStr">
        <is>
          <t>2025-10-30</t>
        </is>
      </c>
      <c r="AG199" s="152" t="n">
        <v>21.01</v>
      </c>
      <c r="AH199" s="152" t="n">
        <v>0.01990291262135923</v>
      </c>
      <c r="AI199" s="152" t="inlineStr">
        <is>
          <t>FLAT</t>
        </is>
      </c>
      <c r="AJ199" s="152" t="inlineStr">
        <is>
          <t>NO</t>
        </is>
      </c>
      <c r="AK199" s="152" t="n">
        <v>-0.020903</v>
      </c>
      <c r="AL199" s="152">
        <f>IF($A199="","",IFERROR(INDEX(Company_List!$G$3:$G$207,MATCH($A199,Company_List!$A$3:$A$207,0)),"unassigned"))</f>
        <v/>
      </c>
      <c r="AM199" s="152" t="inlineStr">
        <is>
          <t>Phase 3/Readings/Puma/Puma q3 2025.pdf</t>
        </is>
      </c>
      <c r="AN199" s="152" t="n"/>
      <c r="AO199" s="152" t="inlineStr">
        <is>
          <t>unique filename match</t>
        </is>
      </c>
      <c r="AP199" s="152">
        <f>IF($A199="","",IF(COUNTIFS(LLM_Data_Entry!$A$3:$A$548,$A199)&gt;0,"YES","NO"))</f>
        <v/>
      </c>
      <c r="AQ199" s="152">
        <f>IF($A199="","",IF(COUNTIFS($A$3:$A199,$A199,$C$3:$C199,$C199,$D$3:$D199,$D199)=1,"YES","NO"))</f>
        <v/>
      </c>
      <c r="AR199" s="152">
        <f>IF($A199="","",IF(AND($C199&amp;"-"&amp;$D199&gt;=Settings!$B$19,$C199&amp;"-"&amp;$D199&lt;=Settings!$B$20),"IN","OUT"))</f>
        <v/>
      </c>
      <c r="AS199" s="152">
        <f>IF($A199="","",IF($F199="Financial Results","financials",IF($F199="Outlook/Guidance","guidance",IF($F199="Transcript Q&amp;A","qanda",IF($F199="","unrecorded",IF($E199="All","full",IF($E199="","unrecorded",LOWER($E199)&amp;" only")))))))</f>
        <v/>
      </c>
      <c r="AT199" s="152">
        <f>IF(AND(OR($J199="BUY",$J199="SELL"),ISNUMBER($U199)),$U199,"")</f>
        <v/>
      </c>
      <c r="AU199" s="152">
        <f>IF(AND(OR($J199="BUY",$J199="SELL"),ISNUMBER($AK199)),$AK199,"")</f>
        <v/>
      </c>
      <c r="AV199" s="152">
        <f>IF(ISNUMBER($AT199),ABS(IF(ISNUMBER($I199),$I199,0)-Settings!$B$24),"")</f>
        <v/>
      </c>
      <c r="AW199" s="152">
        <f>IF(ISNUMBER($AV199),$AV199*$AT199,"")</f>
        <v/>
      </c>
      <c r="AX199" s="152">
        <f>IF(ISNUMBER($AU199),ABS(IF(ISNUMBER($I199),$I199,0)-Settings!$B$24),"")</f>
        <v/>
      </c>
      <c r="AY199" s="152" t="inlineStr">
        <is>
          <t>FROZEN</t>
        </is>
      </c>
      <c r="AZ199" s="152">
        <f>IF($A199="","",IFERROR(INDEX(Company_List!$H$3:$H$207,MATCH($A199,Company_List!$A$3:$A$207,0)),"unassigned"))</f>
        <v/>
      </c>
      <c r="BA199" s="152" t="n"/>
      <c r="BB199" s="152" t="n"/>
      <c r="BC199" s="152">
        <f>IF($A199="","",IF(COUNTIFS($A$3:$A199,$A199,$C$3:$C199,$C199,$D$3:$D199,$D199,$G$3:$G199,$G199)=1,1,0))</f>
        <v/>
      </c>
      <c r="BD199" s="152" t="n"/>
      <c r="BE199" s="152" t="n"/>
      <c r="BF199" s="152" t="n"/>
      <c r="BG199" s="152" t="inlineStr">
        <is>
          <t>no</t>
        </is>
      </c>
      <c r="BH199" s="152" t="n"/>
      <c r="BI199" s="152" t="n"/>
      <c r="BJ199" s="152" t="n"/>
      <c r="BK199" s="152">
        <f>IF(OR($H199&lt;&gt;"Human",$S199="",$J199="",$Y199="",$Z199=""),"",IF(EXACT(UPPER($J199),UPPER($Y199)),1,0))</f>
        <v/>
      </c>
      <c r="BL199" s="152" t="inlineStr">
        <is>
          <t>assumed - no rater record</t>
        </is>
      </c>
      <c r="BM199" s="152" t="n">
        <v>1</v>
      </c>
      <c r="BN199" s="152" t="inlineStr">
        <is>
          <t>not publisher-identified</t>
        </is>
      </c>
      <c r="BO199" s="152" t="inlineStr">
        <is>
          <t>not publisher-identified</t>
        </is>
      </c>
      <c r="BP199" s="152" t="inlineStr">
        <is>
          <t>no</t>
        </is>
      </c>
      <c r="BQ199" s="152" t="inlineStr">
        <is>
          <t>no</t>
        </is>
      </c>
      <c r="BR199" s="152" t="n"/>
      <c r="BS199" s="152" t="inlineStr">
        <is>
          <t>YES</t>
        </is>
      </c>
      <c r="BT199" s="152" t="n"/>
    </row>
    <row r="200" ht="15" customHeight="1" s="241">
      <c r="A200" s="187" t="inlineStr">
        <is>
          <t>Puma</t>
        </is>
      </c>
      <c r="B200" s="188">
        <f>IF(A200="","",_xlfn.XLOOKUP(A200, Company_List!$A:$A, Company_List!$B:$B, ""))</f>
        <v/>
      </c>
      <c r="C200" s="176" t="n">
        <v>2025</v>
      </c>
      <c r="D200" s="177" t="inlineStr">
        <is>
          <t>Q1</t>
        </is>
      </c>
      <c r="E200" s="178" t="inlineStr">
        <is>
          <t>Transcript</t>
        </is>
      </c>
      <c r="F200" s="178" t="inlineStr">
        <is>
          <t>All</t>
        </is>
      </c>
      <c r="G200" s="177" t="inlineStr">
        <is>
          <t>Anna</t>
        </is>
      </c>
      <c r="H200" s="177" t="inlineStr">
        <is>
          <t>Human</t>
        </is>
      </c>
      <c r="I200" s="180" t="n">
        <v>0.1</v>
      </c>
      <c r="J200" s="180">
        <f>IF(OR(I200="",Settings!$B$6=""),"",IF(I200&gt;Settings!$B$6,"BUY",IF(I200&lt;-Settings!$B$6,"SELL","HOLD")))</f>
        <v/>
      </c>
      <c r="K200" s="180" t="n">
        <v>32</v>
      </c>
      <c r="L200" s="182" t="n">
        <v>45785</v>
      </c>
      <c r="M200" s="182" t="n">
        <v>45783</v>
      </c>
      <c r="N200" s="179" t="n">
        <v>23.67</v>
      </c>
      <c r="O200" s="182" t="n">
        <v>45784</v>
      </c>
      <c r="P200" s="180" t="n">
        <v>24</v>
      </c>
      <c r="Q200" s="184">
        <f>IF(OR(N200="",P200=""),"",ROUND((P200-N200)/N200,4))</f>
        <v/>
      </c>
      <c r="R200" s="177">
        <f>IF(OR(N200="",P200=""),"",IF(Q200&gt;Settings!$B$3/100,"UP",IF(Q200&lt;-Settings!$B$3/100,"DOWN","FLAT")))</f>
        <v/>
      </c>
      <c r="S200" s="177">
        <f>IF(OR(N200="",P200="",J200=""),"",IF(OR(AND(J200="BUY",R200="UP"),AND(J200="SELL",R200="DOWN"),AND(J200="HOLD",R200="FLAT")),"YES","NO"))</f>
        <v/>
      </c>
      <c r="T200" s="176">
        <f>IF(J200="","",IF(J200="BUY",1,IF(J200="SELL",-1,0)))</f>
        <v/>
      </c>
      <c r="U200" s="184">
        <f>IFERROR(IF(OR(J200="",N200="",P200=""),"",IF(T200=0,0,T200*Q200-Settings!$B$4/10000-IF(T200&lt;0,Settings!$B$5/10000,0))),"")</f>
        <v/>
      </c>
      <c r="V200" s="190" t="inlineStr">
        <is>
          <t>used may 7 for prior closing date bc earnings release occurred at 8am may 8, so market had time to react on may 8 to the news</t>
        </is>
      </c>
      <c r="W200" s="176">
        <f>IF($K200="","",$K200*60)</f>
        <v/>
      </c>
      <c r="X200" s="186">
        <f>IF($A200="","",$A200&amp;"|"&amp;$C200&amp;"|"&amp;$D200)</f>
        <v/>
      </c>
      <c r="Y200" s="186">
        <f>IFERROR(IF($X200="","",INDEX(LLM_Data_Entry!$H$3:$H$548,MATCH($X200,INDEX(LLM_Data_Entry!$A$3:$A$548&amp;"|"&amp;LLM_Data_Entry!$C$3:$C$548&amp;"|"&amp;LLM_Data_Entry!$D$3:$D$548,0),0))),"")</f>
        <v/>
      </c>
      <c r="Z200" s="186">
        <f>IFERROR(IF($X200="","",INDEX(LLM_Data_Entry!$R$3:$R$548,MATCH($X200,INDEX(LLM_Data_Entry!$A$3:$A$548&amp;"|"&amp;LLM_Data_Entry!$C$3:$C$548&amp;"|"&amp;LLM_Data_Entry!$D$3:$D$548,0),0))),"")</f>
        <v/>
      </c>
      <c r="AA200" s="152" t="n"/>
      <c r="AB200" s="152" t="inlineStr">
        <is>
          <t>recorded window spanned two sessions, closed to one</t>
        </is>
      </c>
      <c r="AC200" s="152" t="inlineStr">
        <is>
          <t>PUM.DE</t>
        </is>
      </c>
      <c r="AD200" s="152" t="inlineStr">
        <is>
          <t>2025-05-07</t>
        </is>
      </c>
      <c r="AE200" s="152" t="n">
        <v>22.759</v>
      </c>
      <c r="AF200" s="152" t="inlineStr">
        <is>
          <t>2025-05-08</t>
        </is>
      </c>
      <c r="AG200" s="152" t="n">
        <v>23.7815</v>
      </c>
      <c r="AH200" s="152" t="n">
        <v>0.04492938783083154</v>
      </c>
      <c r="AI200" s="152" t="inlineStr">
        <is>
          <t>UP</t>
        </is>
      </c>
      <c r="AJ200" s="152" t="inlineStr">
        <is>
          <t>NO</t>
        </is>
      </c>
      <c r="AK200" s="152" t="n">
        <v>0</v>
      </c>
      <c r="AL200" s="152">
        <f>IF($A200="","",IFERROR(INDEX(Company_List!$G$3:$G$207,MATCH($A200,Company_List!$A$3:$A$207,0)),"unassigned"))</f>
        <v/>
      </c>
      <c r="AM200" s="152" t="inlineStr">
        <is>
          <t>Phase 3/Readings/Puma/puma-q1-2025-transcript_website.pdf</t>
        </is>
      </c>
      <c r="AN200" s="152" t="n"/>
      <c r="AO200" s="152" t="inlineStr">
        <is>
          <t>unique filename match</t>
        </is>
      </c>
      <c r="AP200" s="152">
        <f>IF($A200="","",IF(COUNTIFS(LLM_Data_Entry!$A$3:$A$548,$A200)&gt;0,"YES","NO"))</f>
        <v/>
      </c>
      <c r="AQ200" s="152">
        <f>IF($A200="","",IF(COUNTIFS($A$3:$A200,$A200,$C$3:$C200,$C200,$D$3:$D200,$D200)=1,"YES","NO"))</f>
        <v/>
      </c>
      <c r="AR200" s="152">
        <f>IF($A200="","",IF(AND($C200&amp;"-"&amp;$D200&gt;=Settings!$B$19,$C200&amp;"-"&amp;$D200&lt;=Settings!$B$20),"IN","OUT"))</f>
        <v/>
      </c>
      <c r="AS200" s="152">
        <f>IF($A200="","",IF($F200="Financial Results","financials",IF($F200="Outlook/Guidance","guidance",IF($F200="Transcript Q&amp;A","qanda",IF($F200="","unrecorded",IF($E200="All","full",IF($E200="","unrecorded",LOWER($E200)&amp;" only")))))))</f>
        <v/>
      </c>
      <c r="AT200" s="152">
        <f>IF(AND(OR($J200="BUY",$J200="SELL"),ISNUMBER($U200)),$U200,"")</f>
        <v/>
      </c>
      <c r="AU200" s="152">
        <f>IF(AND(OR($J200="BUY",$J200="SELL"),ISNUMBER($AK200)),$AK200,"")</f>
        <v/>
      </c>
      <c r="AV200" s="152">
        <f>IF(ISNUMBER($AT200),ABS(IF(ISNUMBER($I200),$I200,0)-Settings!$B$24),"")</f>
        <v/>
      </c>
      <c r="AW200" s="152">
        <f>IF(ISNUMBER($AV200),$AV200*$AT200,"")</f>
        <v/>
      </c>
      <c r="AX200" s="152">
        <f>IF(ISNUMBER($AU200),ABS(IF(ISNUMBER($I200),$I200,0)-Settings!$B$24),"")</f>
        <v/>
      </c>
      <c r="AY200" s="152" t="inlineStr">
        <is>
          <t>FROZEN</t>
        </is>
      </c>
      <c r="AZ200" s="152">
        <f>IF($A200="","",IFERROR(INDEX(Company_List!$H$3:$H$207,MATCH($A200,Company_List!$A$3:$A$207,0)),"unassigned"))</f>
        <v/>
      </c>
      <c r="BA200" s="152" t="n"/>
      <c r="BB200" s="152" t="n"/>
      <c r="BC200" s="152">
        <f>IF($A200="","",IF(COUNTIFS($A$3:$A200,$A200,$C$3:$C200,$C200,$D$3:$D200,$D200,$G$3:$G200,$G200)=1,1,0))</f>
        <v/>
      </c>
      <c r="BD200" s="152" t="n"/>
      <c r="BE200" s="152" t="n"/>
      <c r="BF200" s="152" t="n"/>
      <c r="BG200" s="152" t="inlineStr">
        <is>
          <t>no</t>
        </is>
      </c>
      <c r="BH200" s="152" t="n"/>
      <c r="BI200" s="152" t="n"/>
      <c r="BJ200" s="152" t="n"/>
      <c r="BK200" s="152">
        <f>IF(OR($H200&lt;&gt;"Human",$S200="",$J200="",$Y200="",$Z200=""),"",IF(EXACT(UPPER($J200),UPPER($Y200)),1,0))</f>
        <v/>
      </c>
      <c r="BL200" s="152" t="inlineStr">
        <is>
          <t>assumed - no rater record</t>
        </is>
      </c>
      <c r="BM200" s="152" t="n">
        <v>1</v>
      </c>
      <c r="BN200" s="152" t="inlineStr">
        <is>
          <t>not publisher-identified</t>
        </is>
      </c>
      <c r="BO200" s="152" t="inlineStr">
        <is>
          <t>not publisher-identified</t>
        </is>
      </c>
      <c r="BP200" s="152" t="inlineStr">
        <is>
          <t>no</t>
        </is>
      </c>
      <c r="BQ200" s="152" t="inlineStr">
        <is>
          <t>no</t>
        </is>
      </c>
      <c r="BR200" s="152" t="n"/>
      <c r="BS200" s="152" t="inlineStr">
        <is>
          <t>YES</t>
        </is>
      </c>
      <c r="BT200" s="152" t="n"/>
    </row>
    <row r="201" ht="15" customHeight="1" s="241">
      <c r="A201" s="187" t="inlineStr">
        <is>
          <t>Puma</t>
        </is>
      </c>
      <c r="B201" s="188">
        <f>IF(A201="","",_xlfn.XLOOKUP(A201, Company_List!$A:$A, Company_List!$B:$B, ""))</f>
        <v/>
      </c>
      <c r="C201" s="176" t="n">
        <v>2025</v>
      </c>
      <c r="D201" s="177" t="inlineStr">
        <is>
          <t>Q4</t>
        </is>
      </c>
      <c r="E201" s="178" t="inlineStr">
        <is>
          <t>Transcript</t>
        </is>
      </c>
      <c r="F201" s="178" t="inlineStr">
        <is>
          <t>All</t>
        </is>
      </c>
      <c r="G201" s="177" t="inlineStr">
        <is>
          <t>Anna</t>
        </is>
      </c>
      <c r="H201" s="177" t="inlineStr">
        <is>
          <t>Human</t>
        </is>
      </c>
      <c r="I201" s="180" t="n">
        <v>0.4</v>
      </c>
      <c r="J201" s="180">
        <f>IF(OR(I201="",Settings!$B$6=""),"",IF(I201&gt;Settings!$B$6,"BUY",IF(I201&lt;-Settings!$B$6,"SELL","HOLD")))</f>
        <v/>
      </c>
      <c r="K201" s="180" t="n">
        <v>33</v>
      </c>
      <c r="L201" s="182" t="n">
        <v>46079</v>
      </c>
      <c r="M201" s="182" t="n">
        <v>46078</v>
      </c>
      <c r="N201" s="179" t="n">
        <v>22.61</v>
      </c>
      <c r="O201" s="182" t="n">
        <v>46079</v>
      </c>
      <c r="P201" s="180" t="n">
        <v>22.61</v>
      </c>
      <c r="Q201" s="184">
        <f>IF(OR(N201="",P201=""),"",ROUND((P201-N201)/N201,4))</f>
        <v/>
      </c>
      <c r="R201" s="177">
        <f>IF(OR(N201="",P201=""),"",IF(Q201&gt;Settings!$B$3/100,"UP",IF(Q201&lt;-Settings!$B$3/100,"DOWN","FLAT")))</f>
        <v/>
      </c>
      <c r="S201" s="177">
        <f>IF(OR(N201="",P201="",J201=""),"",IF(OR(AND(J201="BUY",R201="UP"),AND(J201="SELL",R201="DOWN"),AND(J201="HOLD",R201="FLAT")),"YES","NO"))</f>
        <v/>
      </c>
      <c r="T201" s="176">
        <f>IF(J201="","",IF(J201="BUY",1,IF(J201="SELL",-1,0)))</f>
        <v/>
      </c>
      <c r="U201" s="184">
        <f>IFERROR(IF(OR(J201="",N201="",P201=""),"",IF(T201=0,0,T201*Q201-Settings!$B$4/10000-IF(T201&lt;0,Settings!$B$5/10000,0))),"")</f>
        <v/>
      </c>
      <c r="V201" s="190" t="inlineStr">
        <is>
          <t>used feb 25 for prior closing date bc earnings release occurred at 9am feb 26 so market had time to react on feb 26 to the news</t>
        </is>
      </c>
      <c r="W201" s="176">
        <f>IF($K201="","",$K201*60)</f>
        <v/>
      </c>
      <c r="X201" s="186">
        <f>IF($A201="","",$A201&amp;"|"&amp;$C201&amp;"|"&amp;$D201)</f>
        <v/>
      </c>
      <c r="Y201" s="186">
        <f>IFERROR(IF($X201="","",INDEX(LLM_Data_Entry!$H$3:$H$548,MATCH($X201,INDEX(LLM_Data_Entry!$A$3:$A$548&amp;"|"&amp;LLM_Data_Entry!$C$3:$C$548&amp;"|"&amp;LLM_Data_Entry!$D$3:$D$548,0),0))),"")</f>
        <v/>
      </c>
      <c r="Z201" s="186">
        <f>IFERROR(IF($X201="","",INDEX(LLM_Data_Entry!$R$3:$R$548,MATCH($X201,INDEX(LLM_Data_Entry!$A$3:$A$548&amp;"|"&amp;LLM_Data_Entry!$C$3:$C$548&amp;"|"&amp;LLM_Data_Entry!$D$3:$D$548,0),0))),"")</f>
        <v/>
      </c>
      <c r="AA201" s="152" t="n"/>
      <c r="AB201" s="152" t="inlineStr">
        <is>
          <t>recorded window spanned two sessions, closed to one</t>
        </is>
      </c>
      <c r="AC201" s="152" t="inlineStr">
        <is>
          <t>PUM.DE</t>
        </is>
      </c>
      <c r="AD201" s="152" t="inlineStr">
        <is>
          <t>2026-02-25</t>
        </is>
      </c>
      <c r="AE201" s="152" t="n">
        <v>22.61</v>
      </c>
      <c r="AF201" s="152" t="inlineStr">
        <is>
          <t>2026-02-26</t>
        </is>
      </c>
      <c r="AG201" s="152" t="n">
        <v>22.61</v>
      </c>
      <c r="AH201" s="152" t="n">
        <v>0</v>
      </c>
      <c r="AI201" s="152" t="inlineStr">
        <is>
          <t>FLAT</t>
        </is>
      </c>
      <c r="AJ201" s="152" t="inlineStr">
        <is>
          <t>NO</t>
        </is>
      </c>
      <c r="AK201" s="152" t="n">
        <v>-0.001</v>
      </c>
      <c r="AL201" s="152">
        <f>IF($A201="","",IFERROR(INDEX(Company_List!$G$3:$G$207,MATCH($A201,Company_List!$A$3:$A$207,0)),"unassigned"))</f>
        <v/>
      </c>
      <c r="AM201" s="152" t="inlineStr">
        <is>
          <t>Phase 3/Readings/Puma/puma-q4-fy-2025-transcript_website.pdf</t>
        </is>
      </c>
      <c r="AN201" s="152" t="n"/>
      <c r="AO201" s="152" t="inlineStr">
        <is>
          <t>unique filename match</t>
        </is>
      </c>
      <c r="AP201" s="152">
        <f>IF($A201="","",IF(COUNTIFS(LLM_Data_Entry!$A$3:$A$548,$A201)&gt;0,"YES","NO"))</f>
        <v/>
      </c>
      <c r="AQ201" s="152">
        <f>IF($A201="","",IF(COUNTIFS($A$3:$A201,$A201,$C$3:$C201,$C201,$D$3:$D201,$D201)=1,"YES","NO"))</f>
        <v/>
      </c>
      <c r="AR201" s="152">
        <f>IF($A201="","",IF(AND($C201&amp;"-"&amp;$D201&gt;=Settings!$B$19,$C201&amp;"-"&amp;$D201&lt;=Settings!$B$20),"IN","OUT"))</f>
        <v/>
      </c>
      <c r="AS201" s="152">
        <f>IF($A201="","",IF($F201="Financial Results","financials",IF($F201="Outlook/Guidance","guidance",IF($F201="Transcript Q&amp;A","qanda",IF($F201="","unrecorded",IF($E201="All","full",IF($E201="","unrecorded",LOWER($E201)&amp;" only")))))))</f>
        <v/>
      </c>
      <c r="AT201" s="152">
        <f>IF(AND(OR($J201="BUY",$J201="SELL"),ISNUMBER($U201)),$U201,"")</f>
        <v/>
      </c>
      <c r="AU201" s="152">
        <f>IF(AND(OR($J201="BUY",$J201="SELL"),ISNUMBER($AK201)),$AK201,"")</f>
        <v/>
      </c>
      <c r="AV201" s="152">
        <f>IF(ISNUMBER($AT201),ABS(IF(ISNUMBER($I201),$I201,0)-Settings!$B$24),"")</f>
        <v/>
      </c>
      <c r="AW201" s="152">
        <f>IF(ISNUMBER($AV201),$AV201*$AT201,"")</f>
        <v/>
      </c>
      <c r="AX201" s="152">
        <f>IF(ISNUMBER($AU201),ABS(IF(ISNUMBER($I201),$I201,0)-Settings!$B$24),"")</f>
        <v/>
      </c>
      <c r="AY201" s="152" t="inlineStr">
        <is>
          <t>FROZEN</t>
        </is>
      </c>
      <c r="AZ201" s="152">
        <f>IF($A201="","",IFERROR(INDEX(Company_List!$H$3:$H$207,MATCH($A201,Company_List!$A$3:$A$207,0)),"unassigned"))</f>
        <v/>
      </c>
      <c r="BA201" s="152" t="n"/>
      <c r="BB201" s="152" t="n"/>
      <c r="BC201" s="152">
        <f>IF($A201="","",IF(COUNTIFS($A$3:$A201,$A201,$C$3:$C201,$C201,$D$3:$D201,$D201,$G$3:$G201,$G201)=1,1,0))</f>
        <v/>
      </c>
      <c r="BD201" s="152" t="n"/>
      <c r="BE201" s="152" t="n"/>
      <c r="BF201" s="152" t="n"/>
      <c r="BG201" s="152" t="inlineStr">
        <is>
          <t>no</t>
        </is>
      </c>
      <c r="BH201" s="152" t="n"/>
      <c r="BI201" s="152" t="n"/>
      <c r="BJ201" s="152" t="n"/>
      <c r="BK201" s="152">
        <f>IF(OR($H201&lt;&gt;"Human",$S201="",$J201="",$Y201="",$Z201=""),"",IF(EXACT(UPPER($J201),UPPER($Y201)),1,0))</f>
        <v/>
      </c>
      <c r="BL201" s="152" t="inlineStr">
        <is>
          <t>assumed - no rater record</t>
        </is>
      </c>
      <c r="BM201" s="152" t="n">
        <v>1</v>
      </c>
      <c r="BN201" s="152" t="inlineStr">
        <is>
          <t>not publisher-identified</t>
        </is>
      </c>
      <c r="BO201" s="152" t="inlineStr">
        <is>
          <t>not publisher-identified</t>
        </is>
      </c>
      <c r="BP201" s="152" t="inlineStr">
        <is>
          <t>no</t>
        </is>
      </c>
      <c r="BQ201" s="152" t="inlineStr">
        <is>
          <t>no</t>
        </is>
      </c>
      <c r="BR201" s="152" t="n"/>
      <c r="BS201" s="152" t="inlineStr">
        <is>
          <t>YES</t>
        </is>
      </c>
      <c r="BT201" s="152" t="n"/>
    </row>
    <row r="202" ht="15" customHeight="1" s="241">
      <c r="A202" s="191" t="inlineStr">
        <is>
          <t>Colgate-Palmolive</t>
        </is>
      </c>
      <c r="B202" s="188">
        <f>IF(A202="","",_xlfn.XLOOKUP(A202, Company_List!$A:$A, Company_List!$B:$B, ""))</f>
        <v/>
      </c>
      <c r="C202" s="177" t="n">
        <v>2026</v>
      </c>
      <c r="D202" s="177" t="inlineStr">
        <is>
          <t>Q2</t>
        </is>
      </c>
      <c r="E202" s="178" t="inlineStr">
        <is>
          <t>Press Release Document</t>
        </is>
      </c>
      <c r="F202" s="178" t="inlineStr">
        <is>
          <t>All</t>
        </is>
      </c>
      <c r="G202" s="177" t="inlineStr">
        <is>
          <t>Anna</t>
        </is>
      </c>
      <c r="H202" s="177" t="inlineStr">
        <is>
          <t>Human</t>
        </is>
      </c>
      <c r="I202" s="180" t="n">
        <v>0.4</v>
      </c>
      <c r="J202" s="180">
        <f>IF(OR(I202="",Settings!$B$6=""),"",IF(I202&gt;Settings!$B$6,"BUY",IF(I202&lt;-Settings!$B$6,"SELL","HOLD")))</f>
        <v/>
      </c>
      <c r="K202" s="180" t="n">
        <v>15</v>
      </c>
      <c r="L202" s="182" t="n">
        <v>46234</v>
      </c>
      <c r="M202" s="182" t="n">
        <v>46233</v>
      </c>
      <c r="N202" s="179" t="n">
        <v>91.59999999999999</v>
      </c>
      <c r="O202" s="182" t="n">
        <v>46234</v>
      </c>
      <c r="P202" s="180" t="n">
        <v>90.84999999999999</v>
      </c>
      <c r="Q202" s="184">
        <f>IF(OR(N202="",P202=""),"",ROUND((P202-N202)/N202,4))</f>
        <v/>
      </c>
      <c r="R202" s="177">
        <f>IF(OR(N202="",P202=""),"",IF(Q202&gt;Settings!$B$3/100,"UP",IF(Q202&lt;-Settings!$B$3/100,"DOWN","FLAT")))</f>
        <v/>
      </c>
      <c r="S202" s="177">
        <f>IF(OR(N202="",P202="",J202=""),"",IF(OR(AND(J202="BUY",R202="UP"),AND(J202="SELL",R202="DOWN"),AND(J202="HOLD",R202="FLAT")),"YES","NO"))</f>
        <v/>
      </c>
      <c r="T202" s="176">
        <f>IF(J202="","",IF(J202="BUY",1,IF(J202="SELL",-1,0)))</f>
        <v/>
      </c>
      <c r="U202" s="184">
        <f>IFERROR(IF(OR(J202="",N202="",P202=""),"",IF(T202=0,0,T202*Q202-Settings!$B$4/10000-IF(T202&lt;0,Settings!$B$5/10000,0))),"")</f>
        <v/>
      </c>
      <c r="V202" s="152" t="n"/>
      <c r="W202" s="176">
        <f>IF($K202="","",$K202*60)</f>
        <v/>
      </c>
      <c r="X202" s="186">
        <f>IF($A202="","",$A202&amp;"|"&amp;$C202&amp;"|"&amp;$D202)</f>
        <v/>
      </c>
      <c r="Y202" s="186">
        <f>IFERROR(IF($X202="","",INDEX(LLM_Data_Entry!$H$3:$H$548,MATCH($X202,INDEX(LLM_Data_Entry!$A$3:$A$548&amp;"|"&amp;LLM_Data_Entry!$C$3:$C$548&amp;"|"&amp;LLM_Data_Entry!$D$3:$D$548,0),0))),"")</f>
        <v/>
      </c>
      <c r="Z202" s="186">
        <f>IFERROR(IF($X202="","",INDEX(LLM_Data_Entry!$R$3:$R$548,MATCH($X202,INDEX(LLM_Data_Entry!$A$3:$A$548&amp;"|"&amp;LLM_Data_Entry!$C$3:$C$548&amp;"|"&amp;LLM_Data_Entry!$D$3:$D$548,0),0))),"")</f>
        <v/>
      </c>
      <c r="AA202" s="152" t="n"/>
      <c r="AB202" s="152" t="inlineStr">
        <is>
          <t>recorded window spanned two sessions, closed to one</t>
        </is>
      </c>
      <c r="AC202" s="152" t="inlineStr">
        <is>
          <t>CL</t>
        </is>
      </c>
      <c r="AD202" s="152" t="inlineStr">
        <is>
          <t>2026-07-30</t>
        </is>
      </c>
      <c r="AE202" s="152" t="n">
        <v>91.59999999999999</v>
      </c>
      <c r="AF202" s="152" t="inlineStr">
        <is>
          <t>2026-07-31</t>
        </is>
      </c>
      <c r="AG202" s="152" t="n">
        <v>90.84999999999999</v>
      </c>
      <c r="AH202" s="152" t="n">
        <v>-0.008187773104536375</v>
      </c>
      <c r="AI202" s="152" t="inlineStr">
        <is>
          <t>FLAT</t>
        </is>
      </c>
      <c r="AJ202" s="152" t="inlineStr">
        <is>
          <t>NO</t>
        </is>
      </c>
      <c r="AK202" s="152" t="n">
        <v>-0.009188</v>
      </c>
      <c r="AL202" s="152">
        <f>IF($A202="","",IFERROR(INDEX(Company_List!$G$3:$G$207,MATCH($A202,Company_List!$A$3:$A$207,0)),"unassigned"))</f>
        <v/>
      </c>
      <c r="AM202" s="152" t="inlineStr">
        <is>
          <t>Phase 3/Readings/Colgate Palmolive/CP 2Q 2026 Press Release - Final.pdf</t>
        </is>
      </c>
      <c r="AN202" s="152" t="n"/>
      <c r="AO202" s="152" t="inlineStr">
        <is>
          <t>unique filename match</t>
        </is>
      </c>
      <c r="AP202" s="152">
        <f>IF($A202="","",IF(COUNTIFS(LLM_Data_Entry!$A$3:$A$548,$A202)&gt;0,"YES","NO"))</f>
        <v/>
      </c>
      <c r="AQ202" s="152">
        <f>IF($A202="","",IF(COUNTIFS($A$3:$A202,$A202,$C$3:$C202,$C202,$D$3:$D202,$D202)=1,"YES","NO"))</f>
        <v/>
      </c>
      <c r="AR202" s="152">
        <f>IF($A202="","",IF(AND($C202&amp;"-"&amp;$D202&gt;=Settings!$B$19,$C202&amp;"-"&amp;$D202&lt;=Settings!$B$20),"IN","OUT"))</f>
        <v/>
      </c>
      <c r="AS202" s="152">
        <f>IF($A202="","",IF($F202="Financial Results","financials",IF($F202="Outlook/Guidance","guidance",IF($F202="Transcript Q&amp;A","qanda",IF($F202="","unrecorded",IF($E202="All","full",IF($E202="","unrecorded",LOWER($E202)&amp;" only")))))))</f>
        <v/>
      </c>
      <c r="AT202" s="152">
        <f>IF(AND(OR($J202="BUY",$J202="SELL"),ISNUMBER($U202)),$U202,"")</f>
        <v/>
      </c>
      <c r="AU202" s="152">
        <f>IF(AND(OR($J202="BUY",$J202="SELL"),ISNUMBER($AK202)),$AK202,"")</f>
        <v/>
      </c>
      <c r="AV202" s="152">
        <f>IF(ISNUMBER($AT202),ABS(IF(ISNUMBER($I202),$I202,0)-Settings!$B$24),"")</f>
        <v/>
      </c>
      <c r="AW202" s="152">
        <f>IF(ISNUMBER($AV202),$AV202*$AT202,"")</f>
        <v/>
      </c>
      <c r="AX202" s="152">
        <f>IF(ISNUMBER($AU202),ABS(IF(ISNUMBER($I202),$I202,0)-Settings!$B$24),"")</f>
        <v/>
      </c>
      <c r="AY202" s="152" t="inlineStr">
        <is>
          <t>EXTENSION</t>
        </is>
      </c>
      <c r="AZ202" s="152">
        <f>IF($A202="","",IFERROR(INDEX(Company_List!$H$3:$H$207,MATCH($A202,Company_List!$A$3:$A$207,0)),"unassigned"))</f>
        <v/>
      </c>
      <c r="BA202" s="152" t="n"/>
      <c r="BB202" s="152" t="n"/>
      <c r="BC202" s="152">
        <f>IF($A202="","",IF(COUNTIFS($A$3:$A202,$A202,$C$3:$C202,$C202,$D$3:$D202,$D202,$G$3:$G202,$G202)=1,1,0))</f>
        <v/>
      </c>
      <c r="BD202" s="152" t="n"/>
      <c r="BE202" s="152" t="n"/>
      <c r="BF202" s="152" t="n"/>
      <c r="BG202" s="152" t="inlineStr">
        <is>
          <t>no</t>
        </is>
      </c>
      <c r="BH202" s="152" t="n"/>
      <c r="BI202" s="152" t="n"/>
      <c r="BJ202" s="152" t="n"/>
      <c r="BK202" s="152">
        <f>IF(OR($H202&lt;&gt;"Human",$S202="",$J202="",$Y202="",$Z202=""),"",IF(EXACT(UPPER($J202),UPPER($Y202)),1,0))</f>
        <v/>
      </c>
      <c r="BL202" s="152" t="inlineStr">
        <is>
          <t>assumed - no rater record</t>
        </is>
      </c>
      <c r="BM202" s="152" t="n">
        <v>1</v>
      </c>
      <c r="BN202" s="152" t="inlineStr">
        <is>
          <t>not publisher-identified</t>
        </is>
      </c>
      <c r="BO202" s="152" t="inlineStr">
        <is>
          <t>not publisher-identified</t>
        </is>
      </c>
      <c r="BP202" s="152" t="inlineStr">
        <is>
          <t>no</t>
        </is>
      </c>
      <c r="BQ202" s="152" t="inlineStr">
        <is>
          <t>no</t>
        </is>
      </c>
      <c r="BR202" s="152" t="n"/>
      <c r="BS202" s="152" t="inlineStr">
        <is>
          <t>YES</t>
        </is>
      </c>
      <c r="BT202" s="152" t="n"/>
    </row>
    <row r="203" ht="15" customHeight="1" s="241">
      <c r="A203" s="191" t="inlineStr">
        <is>
          <t>Colgate-Palmolive</t>
        </is>
      </c>
      <c r="B203" s="188">
        <f>IF(A203="","",_xlfn.XLOOKUP(A203, Company_List!$A:$A, Company_List!$B:$B, ""))</f>
        <v/>
      </c>
      <c r="C203" s="177" t="n">
        <v>2026</v>
      </c>
      <c r="D203" s="177" t="inlineStr">
        <is>
          <t>Q1</t>
        </is>
      </c>
      <c r="E203" s="178" t="inlineStr">
        <is>
          <t>Press Release Document</t>
        </is>
      </c>
      <c r="F203" s="178" t="inlineStr">
        <is>
          <t>All</t>
        </is>
      </c>
      <c r="G203" s="177" t="inlineStr">
        <is>
          <t>Anna</t>
        </is>
      </c>
      <c r="H203" s="177" t="inlineStr">
        <is>
          <t>Human</t>
        </is>
      </c>
      <c r="I203" s="180" t="n">
        <v>0.2</v>
      </c>
      <c r="J203" s="180">
        <f>IF(OR(I203="",Settings!$B$6=""),"",IF(I203&gt;Settings!$B$6,"BUY",IF(I203&lt;-Settings!$B$6,"SELL","HOLD")))</f>
        <v/>
      </c>
      <c r="K203" s="180" t="n">
        <v>13</v>
      </c>
      <c r="L203" s="182" t="n">
        <v>46143</v>
      </c>
      <c r="M203" s="182" t="n">
        <v>46142</v>
      </c>
      <c r="N203" s="179" t="n">
        <v>84.8734</v>
      </c>
      <c r="O203" s="182" t="n">
        <v>46143</v>
      </c>
      <c r="P203" s="180" t="n">
        <v>87.6674</v>
      </c>
      <c r="Q203" s="184">
        <f>IF(OR(N203="",P203=""),"",ROUND((P203-N203)/N203,4))</f>
        <v/>
      </c>
      <c r="R203" s="177">
        <f>IF(OR(N203="",P203=""),"",IF(Q203&gt;Settings!$B$3/100,"UP",IF(Q203&lt;-Settings!$B$3/100,"DOWN","FLAT")))</f>
        <v/>
      </c>
      <c r="S203" s="177">
        <f>IF(OR(N203="",P203="",J203=""),"",IF(OR(AND(J203="BUY",R203="UP"),AND(J203="SELL",R203="DOWN"),AND(J203="HOLD",R203="FLAT")),"YES","NO"))</f>
        <v/>
      </c>
      <c r="T203" s="176">
        <f>IF(J203="","",IF(J203="BUY",1,IF(J203="SELL",-1,0)))</f>
        <v/>
      </c>
      <c r="U203" s="184">
        <f>IFERROR(IF(OR(J203="",N203="",P203=""),"",IF(T203=0,0,T203*Q203-Settings!$B$4/10000-IF(T203&lt;0,Settings!$B$5/10000,0))),"")</f>
        <v/>
      </c>
      <c r="V203" s="152" t="n"/>
      <c r="W203" s="176">
        <f>IF($K203="","",$K203*60)</f>
        <v/>
      </c>
      <c r="X203" s="186">
        <f>IF($A203="","",$A203&amp;"|"&amp;$C203&amp;"|"&amp;$D203)</f>
        <v/>
      </c>
      <c r="Y203" s="186">
        <f>IFERROR(IF($X203="","",INDEX(LLM_Data_Entry!$H$3:$H$548,MATCH($X203,INDEX(LLM_Data_Entry!$A$3:$A$548&amp;"|"&amp;LLM_Data_Entry!$C$3:$C$548&amp;"|"&amp;LLM_Data_Entry!$D$3:$D$548,0),0))),"")</f>
        <v/>
      </c>
      <c r="Z203" s="186">
        <f>IFERROR(IF($X203="","",INDEX(LLM_Data_Entry!$R$3:$R$548,MATCH($X203,INDEX(LLM_Data_Entry!$A$3:$A$548&amp;"|"&amp;LLM_Data_Entry!$C$3:$C$548&amp;"|"&amp;LLM_Data_Entry!$D$3:$D$548,0),0))),"")</f>
        <v/>
      </c>
      <c r="AA203" s="152" t="n"/>
      <c r="AB203" s="152" t="inlineStr">
        <is>
          <t>recorded window spanned two sessions, closed to one</t>
        </is>
      </c>
      <c r="AC203" s="152" t="inlineStr">
        <is>
          <t>CL</t>
        </is>
      </c>
      <c r="AD203" s="152" t="inlineStr">
        <is>
          <t>2026-04-30</t>
        </is>
      </c>
      <c r="AE203" s="152" t="n">
        <v>84.8734</v>
      </c>
      <c r="AF203" s="152" t="inlineStr">
        <is>
          <t>2026-05-01</t>
        </is>
      </c>
      <c r="AG203" s="152" t="n">
        <v>87.6674</v>
      </c>
      <c r="AH203" s="152" t="n">
        <v>0.03291933245240548</v>
      </c>
      <c r="AI203" s="152" t="inlineStr">
        <is>
          <t>UP</t>
        </is>
      </c>
      <c r="AJ203" s="152" t="inlineStr">
        <is>
          <t>NO</t>
        </is>
      </c>
      <c r="AK203" s="152" t="n">
        <v>0</v>
      </c>
      <c r="AL203" s="152">
        <f>IF($A203="","",IFERROR(INDEX(Company_List!$G$3:$G$207,MATCH($A203,Company_List!$A$3:$A$207,0)),"unassigned"))</f>
        <v/>
      </c>
      <c r="AM203" s="152" t="inlineStr">
        <is>
          <t>Phase 3/Readings/Colgate Palmolive/CP 1Q 2026 Press Release - Final.pdf</t>
        </is>
      </c>
      <c r="AN203" s="152" t="n"/>
      <c r="AO203" s="152" t="inlineStr">
        <is>
          <t>unique filename match</t>
        </is>
      </c>
      <c r="AP203" s="152">
        <f>IF($A203="","",IF(COUNTIFS(LLM_Data_Entry!$A$3:$A$548,$A203)&gt;0,"YES","NO"))</f>
        <v/>
      </c>
      <c r="AQ203" s="152">
        <f>IF($A203="","",IF(COUNTIFS($A$3:$A203,$A203,$C$3:$C203,$C203,$D$3:$D203,$D203)=1,"YES","NO"))</f>
        <v/>
      </c>
      <c r="AR203" s="152">
        <f>IF($A203="","",IF(AND($C203&amp;"-"&amp;$D203&gt;=Settings!$B$19,$C203&amp;"-"&amp;$D203&lt;=Settings!$B$20),"IN","OUT"))</f>
        <v/>
      </c>
      <c r="AS203" s="152">
        <f>IF($A203="","",IF($F203="Financial Results","financials",IF($F203="Outlook/Guidance","guidance",IF($F203="Transcript Q&amp;A","qanda",IF($F203="","unrecorded",IF($E203="All","full",IF($E203="","unrecorded",LOWER($E203)&amp;" only")))))))</f>
        <v/>
      </c>
      <c r="AT203" s="152">
        <f>IF(AND(OR($J203="BUY",$J203="SELL"),ISNUMBER($U203)),$U203,"")</f>
        <v/>
      </c>
      <c r="AU203" s="152">
        <f>IF(AND(OR($J203="BUY",$J203="SELL"),ISNUMBER($AK203)),$AK203,"")</f>
        <v/>
      </c>
      <c r="AV203" s="152">
        <f>IF(ISNUMBER($AT203),ABS(IF(ISNUMBER($I203),$I203,0)-Settings!$B$24),"")</f>
        <v/>
      </c>
      <c r="AW203" s="152">
        <f>IF(ISNUMBER($AV203),$AV203*$AT203,"")</f>
        <v/>
      </c>
      <c r="AX203" s="152">
        <f>IF(ISNUMBER($AU203),ABS(IF(ISNUMBER($I203),$I203,0)-Settings!$B$24),"")</f>
        <v/>
      </c>
      <c r="AY203" s="152" t="inlineStr">
        <is>
          <t>EXTENSION</t>
        </is>
      </c>
      <c r="AZ203" s="152">
        <f>IF($A203="","",IFERROR(INDEX(Company_List!$H$3:$H$207,MATCH($A203,Company_List!$A$3:$A$207,0)),"unassigned"))</f>
        <v/>
      </c>
      <c r="BA203" s="152" t="n"/>
      <c r="BB203" s="152" t="n"/>
      <c r="BC203" s="152">
        <f>IF($A203="","",IF(COUNTIFS($A$3:$A203,$A203,$C$3:$C203,$C203,$D$3:$D203,$D203,$G$3:$G203,$G203)=1,1,0))</f>
        <v/>
      </c>
      <c r="BD203" s="152" t="n"/>
      <c r="BE203" s="152" t="n"/>
      <c r="BF203" s="152" t="n"/>
      <c r="BG203" s="152" t="inlineStr">
        <is>
          <t>no</t>
        </is>
      </c>
      <c r="BH203" s="152" t="n"/>
      <c r="BI203" s="152" t="n"/>
      <c r="BJ203" s="152" t="n"/>
      <c r="BK203" s="152">
        <f>IF(OR($H203&lt;&gt;"Human",$S203="",$J203="",$Y203="",$Z203=""),"",IF(EXACT(UPPER($J203),UPPER($Y203)),1,0))</f>
        <v/>
      </c>
      <c r="BL203" s="152" t="inlineStr">
        <is>
          <t>assumed - no rater record</t>
        </is>
      </c>
      <c r="BM203" s="152" t="n">
        <v>1</v>
      </c>
      <c r="BN203" s="152" t="inlineStr">
        <is>
          <t>not publisher-identified</t>
        </is>
      </c>
      <c r="BO203" s="152" t="inlineStr">
        <is>
          <t>not publisher-identified</t>
        </is>
      </c>
      <c r="BP203" s="152" t="inlineStr">
        <is>
          <t>no</t>
        </is>
      </c>
      <c r="BQ203" s="152" t="inlineStr">
        <is>
          <t>no</t>
        </is>
      </c>
      <c r="BR203" s="152" t="n"/>
      <c r="BS203" s="152" t="inlineStr">
        <is>
          <t>YES</t>
        </is>
      </c>
      <c r="BT203" s="152" t="n"/>
    </row>
    <row r="204" ht="15" customHeight="1" s="241">
      <c r="A204" s="191" t="inlineStr">
        <is>
          <t>Colgate-Palmolive</t>
        </is>
      </c>
      <c r="B204" s="188">
        <f>IF(A204="","",_xlfn.XLOOKUP(A204, Company_List!$A:$A, Company_List!$B:$B, ""))</f>
        <v/>
      </c>
      <c r="C204" s="177" t="n">
        <v>2025</v>
      </c>
      <c r="D204" s="177" t="inlineStr">
        <is>
          <t>Q4</t>
        </is>
      </c>
      <c r="E204" s="178" t="inlineStr">
        <is>
          <t>Press Release Document</t>
        </is>
      </c>
      <c r="F204" s="178" t="inlineStr">
        <is>
          <t>All</t>
        </is>
      </c>
      <c r="G204" s="177" t="inlineStr">
        <is>
          <t>Anna</t>
        </is>
      </c>
      <c r="H204" s="177" t="inlineStr">
        <is>
          <t>Human</t>
        </is>
      </c>
      <c r="I204" s="180" t="n">
        <v>0.2</v>
      </c>
      <c r="J204" s="180">
        <f>IF(OR(I204="",Settings!$B$6=""),"",IF(I204&gt;Settings!$B$6,"BUY",IF(I204&lt;-Settings!$B$6,"SELL","HOLD")))</f>
        <v/>
      </c>
      <c r="K204" s="180" t="n">
        <v>14</v>
      </c>
      <c r="L204" s="182" t="n">
        <v>46052</v>
      </c>
      <c r="M204" s="182" t="n">
        <v>46051</v>
      </c>
      <c r="N204" s="179" t="n">
        <v>84.2306</v>
      </c>
      <c r="O204" s="182" t="n">
        <v>46052</v>
      </c>
      <c r="P204" s="180" t="n">
        <v>87.6497</v>
      </c>
      <c r="Q204" s="184">
        <f>IF(OR(N204="",P204=""),"",ROUND((P204-N204)/N204,4))</f>
        <v/>
      </c>
      <c r="R204" s="177">
        <f>IF(OR(N204="",P204=""),"",IF(Q204&gt;Settings!$B$3/100,"UP",IF(Q204&lt;-Settings!$B$3/100,"DOWN","FLAT")))</f>
        <v/>
      </c>
      <c r="S204" s="177">
        <f>IF(OR(N204="",P204="",J204=""),"",IF(OR(AND(J204="BUY",R204="UP"),AND(J204="SELL",R204="DOWN"),AND(J204="HOLD",R204="FLAT")),"YES","NO"))</f>
        <v/>
      </c>
      <c r="T204" s="176">
        <f>IF(J204="","",IF(J204="BUY",1,IF(J204="SELL",-1,0)))</f>
        <v/>
      </c>
      <c r="U204" s="184">
        <f>IFERROR(IF(OR(J204="",N204="",P204=""),"",IF(T204=0,0,T204*Q204-Settings!$B$4/10000-IF(T204&lt;0,Settings!$B$5/10000,0))),"")</f>
        <v/>
      </c>
      <c r="V204" s="152" t="n"/>
      <c r="W204" s="176">
        <f>IF($K204="","",$K204*60)</f>
        <v/>
      </c>
      <c r="X204" s="186">
        <f>IF($A204="","",$A204&amp;"|"&amp;$C204&amp;"|"&amp;$D204)</f>
        <v/>
      </c>
      <c r="Y204" s="186">
        <f>IFERROR(IF($X204="","",INDEX(LLM_Data_Entry!$H$3:$H$548,MATCH($X204,INDEX(LLM_Data_Entry!$A$3:$A$548&amp;"|"&amp;LLM_Data_Entry!$C$3:$C$548&amp;"|"&amp;LLM_Data_Entry!$D$3:$D$548,0),0))),"")</f>
        <v/>
      </c>
      <c r="Z204" s="186">
        <f>IFERROR(IF($X204="","",INDEX(LLM_Data_Entry!$R$3:$R$548,MATCH($X204,INDEX(LLM_Data_Entry!$A$3:$A$548&amp;"|"&amp;LLM_Data_Entry!$C$3:$C$548&amp;"|"&amp;LLM_Data_Entry!$D$3:$D$548,0),0))),"")</f>
        <v/>
      </c>
      <c r="AA204" s="152" t="n"/>
      <c r="AB204" s="152" t="inlineStr">
        <is>
          <t>recorded window spanned two sessions, closed to one</t>
        </is>
      </c>
      <c r="AC204" s="152" t="inlineStr">
        <is>
          <t>CL</t>
        </is>
      </c>
      <c r="AD204" s="152" t="inlineStr">
        <is>
          <t>2026-01-29</t>
        </is>
      </c>
      <c r="AE204" s="152" t="n">
        <v>84.2306</v>
      </c>
      <c r="AF204" s="152" t="inlineStr">
        <is>
          <t>2026-01-30</t>
        </is>
      </c>
      <c r="AG204" s="152" t="n">
        <v>87.6497</v>
      </c>
      <c r="AH204" s="152" t="n">
        <v>0.04059116407398446</v>
      </c>
      <c r="AI204" s="152" t="inlineStr">
        <is>
          <t>UP</t>
        </is>
      </c>
      <c r="AJ204" s="152" t="inlineStr">
        <is>
          <t>NO</t>
        </is>
      </c>
      <c r="AK204" s="152" t="n">
        <v>0</v>
      </c>
      <c r="AL204" s="152">
        <f>IF($A204="","",IFERROR(INDEX(Company_List!$G$3:$G$207,MATCH($A204,Company_List!$A$3:$A$207,0)),"unassigned"))</f>
        <v/>
      </c>
      <c r="AM204" s="152" t="inlineStr">
        <is>
          <t>Phase 3/Readings/Colgate Palmolive/CP 4Q &amp; FY 2025 Press Release - Final.pdf</t>
        </is>
      </c>
      <c r="AN204" s="152" t="n"/>
      <c r="AO204" s="152" t="inlineStr">
        <is>
          <t>unique filename match</t>
        </is>
      </c>
      <c r="AP204" s="152">
        <f>IF($A204="","",IF(COUNTIFS(LLM_Data_Entry!$A$3:$A$548,$A204)&gt;0,"YES","NO"))</f>
        <v/>
      </c>
      <c r="AQ204" s="152">
        <f>IF($A204="","",IF(COUNTIFS($A$3:$A204,$A204,$C$3:$C204,$C204,$D$3:$D204,$D204)=1,"YES","NO"))</f>
        <v/>
      </c>
      <c r="AR204" s="152">
        <f>IF($A204="","",IF(AND($C204&amp;"-"&amp;$D204&gt;=Settings!$B$19,$C204&amp;"-"&amp;$D204&lt;=Settings!$B$20),"IN","OUT"))</f>
        <v/>
      </c>
      <c r="AS204" s="152">
        <f>IF($A204="","",IF($F204="Financial Results","financials",IF($F204="Outlook/Guidance","guidance",IF($F204="Transcript Q&amp;A","qanda",IF($F204="","unrecorded",IF($E204="All","full",IF($E204="","unrecorded",LOWER($E204)&amp;" only")))))))</f>
        <v/>
      </c>
      <c r="AT204" s="152">
        <f>IF(AND(OR($J204="BUY",$J204="SELL"),ISNUMBER($U204)),$U204,"")</f>
        <v/>
      </c>
      <c r="AU204" s="152">
        <f>IF(AND(OR($J204="BUY",$J204="SELL"),ISNUMBER($AK204)),$AK204,"")</f>
        <v/>
      </c>
      <c r="AV204" s="152">
        <f>IF(ISNUMBER($AT204),ABS(IF(ISNUMBER($I204),$I204,0)-Settings!$B$24),"")</f>
        <v/>
      </c>
      <c r="AW204" s="152">
        <f>IF(ISNUMBER($AV204),$AV204*$AT204,"")</f>
        <v/>
      </c>
      <c r="AX204" s="152">
        <f>IF(ISNUMBER($AU204),ABS(IF(ISNUMBER($I204),$I204,0)-Settings!$B$24),"")</f>
        <v/>
      </c>
      <c r="AY204" s="152" t="inlineStr">
        <is>
          <t>EXTENSION</t>
        </is>
      </c>
      <c r="AZ204" s="152">
        <f>IF($A204="","",IFERROR(INDEX(Company_List!$H$3:$H$207,MATCH($A204,Company_List!$A$3:$A$207,0)),"unassigned"))</f>
        <v/>
      </c>
      <c r="BA204" s="152" t="n"/>
      <c r="BB204" s="152" t="n"/>
      <c r="BC204" s="152">
        <f>IF($A204="","",IF(COUNTIFS($A$3:$A204,$A204,$C$3:$C204,$C204,$D$3:$D204,$D204,$G$3:$G204,$G204)=1,1,0))</f>
        <v/>
      </c>
      <c r="BD204" s="152" t="n"/>
      <c r="BE204" s="152" t="n"/>
      <c r="BF204" s="152" t="n"/>
      <c r="BG204" s="152" t="inlineStr">
        <is>
          <t>no</t>
        </is>
      </c>
      <c r="BH204" s="152" t="n"/>
      <c r="BI204" s="152" t="n"/>
      <c r="BJ204" s="152" t="n"/>
      <c r="BK204" s="152">
        <f>IF(OR($H204&lt;&gt;"Human",$S204="",$J204="",$Y204="",$Z204=""),"",IF(EXACT(UPPER($J204),UPPER($Y204)),1,0))</f>
        <v/>
      </c>
      <c r="BL204" s="152" t="inlineStr">
        <is>
          <t>assumed - no rater record</t>
        </is>
      </c>
      <c r="BM204" s="152" t="n">
        <v>1</v>
      </c>
      <c r="BN204" s="152" t="inlineStr">
        <is>
          <t>not publisher-identified</t>
        </is>
      </c>
      <c r="BO204" s="152" t="inlineStr">
        <is>
          <t>not publisher-identified</t>
        </is>
      </c>
      <c r="BP204" s="152" t="inlineStr">
        <is>
          <t>no</t>
        </is>
      </c>
      <c r="BQ204" s="152" t="inlineStr">
        <is>
          <t>no</t>
        </is>
      </c>
      <c r="BR204" s="152" t="n"/>
      <c r="BS204" s="152" t="inlineStr">
        <is>
          <t>YES</t>
        </is>
      </c>
      <c r="BT204" s="152" t="n"/>
    </row>
    <row r="205" ht="15" customHeight="1" s="241">
      <c r="A205" s="191" t="inlineStr">
        <is>
          <t>Colgate-Palmolive</t>
        </is>
      </c>
      <c r="B205" s="188">
        <f>IF(A205="","",_xlfn.XLOOKUP(A205, Company_List!$A:$A, Company_List!$B:$B, ""))</f>
        <v/>
      </c>
      <c r="C205" s="177" t="n">
        <v>2025</v>
      </c>
      <c r="D205" s="177" t="inlineStr">
        <is>
          <t>Q3</t>
        </is>
      </c>
      <c r="E205" s="178" t="inlineStr">
        <is>
          <t>Press Release Document</t>
        </is>
      </c>
      <c r="F205" s="178" t="inlineStr">
        <is>
          <t>All</t>
        </is>
      </c>
      <c r="G205" s="177" t="inlineStr">
        <is>
          <t>Anna</t>
        </is>
      </c>
      <c r="H205" s="177" t="inlineStr">
        <is>
          <t>Human</t>
        </is>
      </c>
      <c r="I205" s="180" t="n">
        <v>0.1</v>
      </c>
      <c r="J205" s="180">
        <f>IF(OR(I205="",Settings!$B$6=""),"",IF(I205&gt;Settings!$B$6,"BUY",IF(I205&lt;-Settings!$B$6,"SELL","HOLD")))</f>
        <v/>
      </c>
      <c r="K205" s="180" t="n">
        <v>13</v>
      </c>
      <c r="L205" s="182" t="n">
        <v>45961</v>
      </c>
      <c r="M205" s="182" t="n">
        <v>45960</v>
      </c>
      <c r="N205" s="179" t="n">
        <v>75.1439</v>
      </c>
      <c r="O205" s="182" t="n">
        <v>45961</v>
      </c>
      <c r="P205" s="180" t="n">
        <v>74.20099999999999</v>
      </c>
      <c r="Q205" s="184">
        <f>IF(OR(N205="",P205=""),"",ROUND((P205-N205)/N205,4))</f>
        <v/>
      </c>
      <c r="R205" s="177">
        <f>IF(OR(N205="",P205=""),"",IF(Q205&gt;Settings!$B$3/100,"UP",IF(Q205&lt;-Settings!$B$3/100,"DOWN","FLAT")))</f>
        <v/>
      </c>
      <c r="S205" s="177">
        <f>IF(OR(N205="",P205="",J205=""),"",IF(OR(AND(J205="BUY",R205="UP"),AND(J205="SELL",R205="DOWN"),AND(J205="HOLD",R205="FLAT")),"YES","NO"))</f>
        <v/>
      </c>
      <c r="T205" s="176">
        <f>IF(J205="","",IF(J205="BUY",1,IF(J205="SELL",-1,0)))</f>
        <v/>
      </c>
      <c r="U205" s="184">
        <f>IFERROR(IF(OR(J205="",N205="",P205=""),"",IF(T205=0,0,T205*Q205-Settings!$B$4/10000-IF(T205&lt;0,Settings!$B$5/10000,0))),"")</f>
        <v/>
      </c>
      <c r="V205" s="152" t="n"/>
      <c r="W205" s="176">
        <f>IF($K205="","",$K205*60)</f>
        <v/>
      </c>
      <c r="X205" s="186">
        <f>IF($A205="","",$A205&amp;"|"&amp;$C205&amp;"|"&amp;$D205)</f>
        <v/>
      </c>
      <c r="Y205" s="186">
        <f>IFERROR(IF($X205="","",INDEX(LLM_Data_Entry!$H$3:$H$548,MATCH($X205,INDEX(LLM_Data_Entry!$A$3:$A$548&amp;"|"&amp;LLM_Data_Entry!$C$3:$C$548&amp;"|"&amp;LLM_Data_Entry!$D$3:$D$548,0),0))),"")</f>
        <v/>
      </c>
      <c r="Z205" s="186">
        <f>IFERROR(IF($X205="","",INDEX(LLM_Data_Entry!$R$3:$R$548,MATCH($X205,INDEX(LLM_Data_Entry!$A$3:$A$548&amp;"|"&amp;LLM_Data_Entry!$C$3:$C$548&amp;"|"&amp;LLM_Data_Entry!$D$3:$D$548,0),0))),"")</f>
        <v/>
      </c>
      <c r="AA205" s="152" t="n"/>
      <c r="AB205" s="152" t="inlineStr">
        <is>
          <t>recorded window spanned two sessions, closed to one</t>
        </is>
      </c>
      <c r="AC205" s="152" t="inlineStr">
        <is>
          <t>CL</t>
        </is>
      </c>
      <c r="AD205" s="152" t="inlineStr">
        <is>
          <t>2025-10-30</t>
        </is>
      </c>
      <c r="AE205" s="152" t="n">
        <v>75.1439</v>
      </c>
      <c r="AF205" s="152" t="inlineStr">
        <is>
          <t>2025-10-31</t>
        </is>
      </c>
      <c r="AG205" s="152" t="n">
        <v>74.20099999999999</v>
      </c>
      <c r="AH205" s="152" t="n">
        <v>-0.0125473927771357</v>
      </c>
      <c r="AI205" s="152" t="inlineStr">
        <is>
          <t>FLAT</t>
        </is>
      </c>
      <c r="AJ205" s="152" t="inlineStr">
        <is>
          <t>YES</t>
        </is>
      </c>
      <c r="AK205" s="152" t="n">
        <v>0</v>
      </c>
      <c r="AL205" s="152">
        <f>IF($A205="","",IFERROR(INDEX(Company_List!$G$3:$G$207,MATCH($A205,Company_List!$A$3:$A$207,0)),"unassigned"))</f>
        <v/>
      </c>
      <c r="AM205" s="152" t="inlineStr">
        <is>
          <t>Phase 3/Readings/Colgate Palmolive/CP 3Q 2025 Press Release - Final.pdf</t>
        </is>
      </c>
      <c r="AN205" s="152" t="n"/>
      <c r="AO205" s="152" t="inlineStr">
        <is>
          <t>unique filename match</t>
        </is>
      </c>
      <c r="AP205" s="152">
        <f>IF($A205="","",IF(COUNTIFS(LLM_Data_Entry!$A$3:$A$548,$A205)&gt;0,"YES","NO"))</f>
        <v/>
      </c>
      <c r="AQ205" s="152">
        <f>IF($A205="","",IF(COUNTIFS($A$3:$A205,$A205,$C$3:$C205,$C205,$D$3:$D205,$D205)=1,"YES","NO"))</f>
        <v/>
      </c>
      <c r="AR205" s="152">
        <f>IF($A205="","",IF(AND($C205&amp;"-"&amp;$D205&gt;=Settings!$B$19,$C205&amp;"-"&amp;$D205&lt;=Settings!$B$20),"IN","OUT"))</f>
        <v/>
      </c>
      <c r="AS205" s="152">
        <f>IF($A205="","",IF($F205="Financial Results","financials",IF($F205="Outlook/Guidance","guidance",IF($F205="Transcript Q&amp;A","qanda",IF($F205="","unrecorded",IF($E205="All","full",IF($E205="","unrecorded",LOWER($E205)&amp;" only")))))))</f>
        <v/>
      </c>
      <c r="AT205" s="152">
        <f>IF(AND(OR($J205="BUY",$J205="SELL"),ISNUMBER($U205)),$U205,"")</f>
        <v/>
      </c>
      <c r="AU205" s="152">
        <f>IF(AND(OR($J205="BUY",$J205="SELL"),ISNUMBER($AK205)),$AK205,"")</f>
        <v/>
      </c>
      <c r="AV205" s="152">
        <f>IF(ISNUMBER($AT205),ABS(IF(ISNUMBER($I205),$I205,0)-Settings!$B$24),"")</f>
        <v/>
      </c>
      <c r="AW205" s="152">
        <f>IF(ISNUMBER($AV205),$AV205*$AT205,"")</f>
        <v/>
      </c>
      <c r="AX205" s="152">
        <f>IF(ISNUMBER($AU205),ABS(IF(ISNUMBER($I205),$I205,0)-Settings!$B$24),"")</f>
        <v/>
      </c>
      <c r="AY205" s="152" t="inlineStr">
        <is>
          <t>EXTENSION</t>
        </is>
      </c>
      <c r="AZ205" s="152">
        <f>IF($A205="","",IFERROR(INDEX(Company_List!$H$3:$H$207,MATCH($A205,Company_List!$A$3:$A$207,0)),"unassigned"))</f>
        <v/>
      </c>
      <c r="BA205" s="152" t="n"/>
      <c r="BB205" s="152" t="n"/>
      <c r="BC205" s="152">
        <f>IF($A205="","",IF(COUNTIFS($A$3:$A205,$A205,$C$3:$C205,$C205,$D$3:$D205,$D205,$G$3:$G205,$G205)=1,1,0))</f>
        <v/>
      </c>
      <c r="BD205" s="152" t="n"/>
      <c r="BE205" s="152" t="n"/>
      <c r="BF205" s="152" t="n"/>
      <c r="BG205" s="152" t="inlineStr">
        <is>
          <t>no</t>
        </is>
      </c>
      <c r="BH205" s="152" t="n"/>
      <c r="BI205" s="152" t="n"/>
      <c r="BJ205" s="152" t="n"/>
      <c r="BK205" s="152">
        <f>IF(OR($H205&lt;&gt;"Human",$S205="",$J205="",$Y205="",$Z205=""),"",IF(EXACT(UPPER($J205),UPPER($Y205)),1,0))</f>
        <v/>
      </c>
      <c r="BL205" s="152" t="inlineStr">
        <is>
          <t>assumed - no rater record</t>
        </is>
      </c>
      <c r="BM205" s="152" t="n">
        <v>1</v>
      </c>
      <c r="BN205" s="152" t="inlineStr">
        <is>
          <t>not publisher-identified</t>
        </is>
      </c>
      <c r="BO205" s="152" t="inlineStr">
        <is>
          <t>not publisher-identified</t>
        </is>
      </c>
      <c r="BP205" s="152" t="inlineStr">
        <is>
          <t>no</t>
        </is>
      </c>
      <c r="BQ205" s="152" t="inlineStr">
        <is>
          <t>no</t>
        </is>
      </c>
      <c r="BR205" s="152" t="n"/>
      <c r="BS205" s="152" t="inlineStr">
        <is>
          <t>YES</t>
        </is>
      </c>
      <c r="BT205" s="152" t="n"/>
    </row>
    <row r="206" ht="15" customHeight="1" s="241">
      <c r="A206" s="191" t="inlineStr">
        <is>
          <t>Lenovo</t>
        </is>
      </c>
      <c r="B206" s="188">
        <f>IF(A206="","",_xlfn.XLOOKUP(A206, Company_List!$A:$A, Company_List!$B:$B, ""))</f>
        <v/>
      </c>
      <c r="C206" s="177" t="n">
        <v>2026</v>
      </c>
      <c r="D206" s="177" t="inlineStr">
        <is>
          <t>Q4</t>
        </is>
      </c>
      <c r="E206" s="178" t="inlineStr">
        <is>
          <t>Presentation</t>
        </is>
      </c>
      <c r="F206" s="178" t="inlineStr">
        <is>
          <t>All</t>
        </is>
      </c>
      <c r="G206" s="177" t="inlineStr">
        <is>
          <t>Anna</t>
        </is>
      </c>
      <c r="H206" s="177" t="inlineStr">
        <is>
          <t>Human</t>
        </is>
      </c>
      <c r="I206" s="180" t="n">
        <v>0.7</v>
      </c>
      <c r="J206" s="180">
        <f>IF(OR(I206="",Settings!$B$6=""),"",IF(I206&gt;Settings!$B$6,"BUY",IF(I206&lt;-Settings!$B$6,"SELL","HOLD")))</f>
        <v/>
      </c>
      <c r="K206" s="180" t="n">
        <v>21</v>
      </c>
      <c r="L206" s="182" t="n">
        <v>46164</v>
      </c>
      <c r="M206" s="182" t="n">
        <v>46164</v>
      </c>
      <c r="N206" s="179" t="n">
        <v>40.17</v>
      </c>
      <c r="O206" s="182" t="n">
        <v>46167</v>
      </c>
      <c r="P206" s="180" t="n">
        <v>47.01</v>
      </c>
      <c r="Q206" s="184">
        <f>IF(OR(N206="",P206=""),"",ROUND((P206-N206)/N206,4))</f>
        <v/>
      </c>
      <c r="R206" s="177">
        <f>IF(OR(N206="",P206=""),"",IF(Q206&gt;Settings!$B$3/100,"UP",IF(Q206&lt;-Settings!$B$3/100,"DOWN","FLAT")))</f>
        <v/>
      </c>
      <c r="S206" s="177">
        <f>IF(OR(N206="",P206="",J206=""),"",IF(OR(AND(J206="BUY",R206="UP"),AND(J206="SELL",R206="DOWN"),AND(J206="HOLD",R206="FLAT")),"YES","NO"))</f>
        <v/>
      </c>
      <c r="T206" s="176">
        <f>IF(J206="","",IF(J206="BUY",1,IF(J206="SELL",-1,0)))</f>
        <v/>
      </c>
      <c r="U206" s="184">
        <f>IFERROR(IF(OR(J206="",N206="",P206=""),"",IF(T206=0,0,T206*Q206-Settings!$B$4/10000-IF(T206&lt;0,Settings!$B$5/10000,0))),"")</f>
        <v/>
      </c>
      <c r="V206" s="152" t="n"/>
      <c r="W206" s="176">
        <f>IF($K206="","",$K206*60)</f>
        <v/>
      </c>
      <c r="X206" s="186">
        <f>IF($A206="","",$A206&amp;"|"&amp;$C206&amp;"|"&amp;$D206)</f>
        <v/>
      </c>
      <c r="Y206" s="186">
        <f>IFERROR(IF($X206="","",INDEX(LLM_Data_Entry!$H$3:$H$548,MATCH($X206,INDEX(LLM_Data_Entry!$A$3:$A$548&amp;"|"&amp;LLM_Data_Entry!$C$3:$C$548&amp;"|"&amp;LLM_Data_Entry!$D$3:$D$548,0),0))),"")</f>
        <v/>
      </c>
      <c r="Z206" s="186">
        <f>IFERROR(IF($X206="","",INDEX(LLM_Data_Entry!$R$3:$R$548,MATCH($X206,INDEX(LLM_Data_Entry!$A$3:$A$548&amp;"|"&amp;LLM_Data_Entry!$C$3:$C$548&amp;"|"&amp;LLM_Data_Entry!$D$3:$D$548,0),0))),"")</f>
        <v/>
      </c>
      <c r="AA206" s="152" t="n"/>
      <c r="AB206" s="152" t="inlineStr">
        <is>
          <t>repriced on the issuer's primary listing</t>
        </is>
      </c>
      <c r="AC206" s="152" t="inlineStr">
        <is>
          <t>0992.HK</t>
        </is>
      </c>
      <c r="AD206" s="152" t="inlineStr">
        <is>
          <t>2026-05-21</t>
        </is>
      </c>
      <c r="AE206" s="152" t="n">
        <v>12.9739</v>
      </c>
      <c r="AF206" s="152" t="inlineStr">
        <is>
          <t>2026-05-22</t>
        </is>
      </c>
      <c r="AG206" s="152" t="n">
        <v>13.6053</v>
      </c>
      <c r="AH206" s="152" t="n">
        <v>0.04866921306796387</v>
      </c>
      <c r="AI206" s="152" t="inlineStr">
        <is>
          <t>UP</t>
        </is>
      </c>
      <c r="AJ206" s="152" t="inlineStr">
        <is>
          <t>YES</t>
        </is>
      </c>
      <c r="AK206" s="152" t="n">
        <v>0.047669</v>
      </c>
      <c r="AL206" s="152">
        <f>IF($A206="","",IFERROR(INDEX(Company_List!$G$3:$G$207,MATCH($A206,Company_List!$A$3:$A$207,0)),"unassigned"))</f>
        <v/>
      </c>
      <c r="AM206" s="152" t="inlineStr">
        <is>
          <t>Phase 3/Readings/Lenovo/presentation_2526_q4.pdf</t>
        </is>
      </c>
      <c r="AN206" s="152" t="n"/>
      <c r="AO206" s="152" t="inlineStr">
        <is>
          <t>unique filename match</t>
        </is>
      </c>
      <c r="AP206" s="152">
        <f>IF($A206="","",IF(COUNTIFS(LLM_Data_Entry!$A$3:$A$548,$A206)&gt;0,"YES","NO"))</f>
        <v/>
      </c>
      <c r="AQ206" s="152">
        <f>IF($A206="","",IF(COUNTIFS($A$3:$A206,$A206,$C$3:$C206,$C206,$D$3:$D206,$D206)=1,"YES","NO"))</f>
        <v/>
      </c>
      <c r="AR206" s="152">
        <f>IF($A206="","",IF(AND($C206&amp;"-"&amp;$D206&gt;=Settings!$B$19,$C206&amp;"-"&amp;$D206&lt;=Settings!$B$20),"IN","OUT"))</f>
        <v/>
      </c>
      <c r="AS206" s="152">
        <f>IF($A206="","",IF($F206="Financial Results","financials",IF($F206="Outlook/Guidance","guidance",IF($F206="Transcript Q&amp;A","qanda",IF($F206="","unrecorded",IF($E206="All","full",IF($E206="","unrecorded",LOWER($E206)&amp;" only")))))))</f>
        <v/>
      </c>
      <c r="AT206" s="152">
        <f>IF(AND(OR($J206="BUY",$J206="SELL"),ISNUMBER($U206)),$U206,"")</f>
        <v/>
      </c>
      <c r="AU206" s="152">
        <f>IF(AND(OR($J206="BUY",$J206="SELL"),ISNUMBER($AK206)),$AK206,"")</f>
        <v/>
      </c>
      <c r="AV206" s="152">
        <f>IF(ISNUMBER($AT206),ABS(IF(ISNUMBER($I206),$I206,0)-Settings!$B$24),"")</f>
        <v/>
      </c>
      <c r="AW206" s="152">
        <f>IF(ISNUMBER($AV206),$AV206*$AT206,"")</f>
        <v/>
      </c>
      <c r="AX206" s="152">
        <f>IF(ISNUMBER($AU206),ABS(IF(ISNUMBER($I206),$I206,0)-Settings!$B$24),"")</f>
        <v/>
      </c>
      <c r="AY206" s="152" t="inlineStr">
        <is>
          <t>FROZEN</t>
        </is>
      </c>
      <c r="AZ206" s="152">
        <f>IF($A206="","",IFERROR(INDEX(Company_List!$H$3:$H$207,MATCH($A206,Company_List!$A$3:$A$207,0)),"unassigned"))</f>
        <v/>
      </c>
      <c r="BA206" s="152" t="n"/>
      <c r="BB206" s="152" t="n"/>
      <c r="BC206" s="152">
        <f>IF($A206="","",IF(COUNTIFS($A$3:$A206,$A206,$C$3:$C206,$C206,$D$3:$D206,$D206,$G$3:$G206,$G206)=1,1,0))</f>
        <v/>
      </c>
      <c r="BD206" s="152" t="n"/>
      <c r="BE206" s="152" t="n"/>
      <c r="BF206" s="152" t="n"/>
      <c r="BG206" s="152" t="inlineStr">
        <is>
          <t>no</t>
        </is>
      </c>
      <c r="BH206" s="152" t="n"/>
      <c r="BI206" s="152" t="n"/>
      <c r="BJ206" s="152" t="n"/>
      <c r="BK206" s="152">
        <f>IF(OR($H206&lt;&gt;"Human",$S206="",$J206="",$Y206="",$Z206=""),"",IF(EXACT(UPPER($J206),UPPER($Y206)),1,0))</f>
        <v/>
      </c>
      <c r="BL206" s="152" t="inlineStr">
        <is>
          <t>assumed - no rater record</t>
        </is>
      </c>
      <c r="BM206" s="152" t="n">
        <v>1</v>
      </c>
      <c r="BN206" s="152" t="inlineStr">
        <is>
          <t>not publisher-identified</t>
        </is>
      </c>
      <c r="BO206" s="152" t="inlineStr">
        <is>
          <t>not publisher-identified</t>
        </is>
      </c>
      <c r="BP206" s="152" t="inlineStr">
        <is>
          <t>no</t>
        </is>
      </c>
      <c r="BQ206" s="152" t="inlineStr">
        <is>
          <t>no</t>
        </is>
      </c>
      <c r="BR206" s="152" t="n"/>
      <c r="BS206" s="152" t="inlineStr">
        <is>
          <t>YES</t>
        </is>
      </c>
      <c r="BT206" s="152" t="n"/>
    </row>
    <row r="207" ht="15" customHeight="1" s="241">
      <c r="A207" s="191" t="inlineStr">
        <is>
          <t>Lenovo</t>
        </is>
      </c>
      <c r="B207" s="188">
        <f>IF(A207="","",_xlfn.XLOOKUP(A207, Company_List!$A:$A, Company_List!$B:$B, ""))</f>
        <v/>
      </c>
      <c r="C207" s="177" t="n">
        <v>2026</v>
      </c>
      <c r="D207" s="177" t="inlineStr">
        <is>
          <t>Q3</t>
        </is>
      </c>
      <c r="E207" s="178" t="inlineStr">
        <is>
          <t>Presentation</t>
        </is>
      </c>
      <c r="F207" s="178" t="inlineStr">
        <is>
          <t>All</t>
        </is>
      </c>
      <c r="G207" s="177" t="inlineStr">
        <is>
          <t>Anna</t>
        </is>
      </c>
      <c r="H207" s="177" t="inlineStr">
        <is>
          <t>Human</t>
        </is>
      </c>
      <c r="I207" s="180" t="n">
        <v>0.7</v>
      </c>
      <c r="J207" s="180">
        <f>IF(OR(I207="",Settings!$B$6=""),"",IF(I207&gt;Settings!$B$6,"BUY",IF(I207&lt;-Settings!$B$6,"SELL","HOLD")))</f>
        <v/>
      </c>
      <c r="K207" s="180" t="n">
        <v>22</v>
      </c>
      <c r="L207" s="182" t="n">
        <v>46065</v>
      </c>
      <c r="M207" s="182" t="n">
        <v>46065</v>
      </c>
      <c r="N207" s="179" t="n">
        <v>22.96</v>
      </c>
      <c r="O207" s="182" t="n">
        <v>46066</v>
      </c>
      <c r="P207" s="180" t="n">
        <v>23.55</v>
      </c>
      <c r="Q207" s="184">
        <f>IF(OR(N207="",P207=""),"",ROUND((P207-N207)/N207,4))</f>
        <v/>
      </c>
      <c r="R207" s="177">
        <f>IF(OR(N207="",P207=""),"",IF(Q207&gt;Settings!$B$3/100,"UP",IF(Q207&lt;-Settings!$B$3/100,"DOWN","FLAT")))</f>
        <v/>
      </c>
      <c r="S207" s="177">
        <f>IF(OR(N207="",P207="",J207=""),"",IF(OR(AND(J207="BUY",R207="UP"),AND(J207="SELL",R207="DOWN"),AND(J207="HOLD",R207="FLAT")),"YES","NO"))</f>
        <v/>
      </c>
      <c r="T207" s="176">
        <f>IF(J207="","",IF(J207="BUY",1,IF(J207="SELL",-1,0)))</f>
        <v/>
      </c>
      <c r="U207" s="184">
        <f>IFERROR(IF(OR(J207="",N207="",P207=""),"",IF(T207=0,0,T207*Q207-Settings!$B$4/10000-IF(T207&lt;0,Settings!$B$5/10000,0))),"")</f>
        <v/>
      </c>
      <c r="V207" s="152" t="n"/>
      <c r="W207" s="176">
        <f>IF($K207="","",$K207*60)</f>
        <v/>
      </c>
      <c r="X207" s="186">
        <f>IF($A207="","",$A207&amp;"|"&amp;$C207&amp;"|"&amp;$D207)</f>
        <v/>
      </c>
      <c r="Y207" s="186">
        <f>IFERROR(IF($X207="","",INDEX(LLM_Data_Entry!$H$3:$H$548,MATCH($X207,INDEX(LLM_Data_Entry!$A$3:$A$548&amp;"|"&amp;LLM_Data_Entry!$C$3:$C$548&amp;"|"&amp;LLM_Data_Entry!$D$3:$D$548,0),0))),"")</f>
        <v/>
      </c>
      <c r="Z207" s="186">
        <f>IFERROR(IF($X207="","",INDEX(LLM_Data_Entry!$R$3:$R$548,MATCH($X207,INDEX(LLM_Data_Entry!$A$3:$A$548&amp;"|"&amp;LLM_Data_Entry!$C$3:$C$548&amp;"|"&amp;LLM_Data_Entry!$D$3:$D$548,0),0))),"")</f>
        <v/>
      </c>
      <c r="AA207" s="152" t="n"/>
      <c r="AB207" s="152" t="inlineStr">
        <is>
          <t>the exchange's own publication timestamp</t>
        </is>
      </c>
      <c r="AC207" s="152" t="inlineStr">
        <is>
          <t>0992.HK</t>
        </is>
      </c>
      <c r="AD207" s="152" t="inlineStr">
        <is>
          <t>2026-02-11</t>
        </is>
      </c>
      <c r="AE207" s="152" t="n">
        <v>9.303699999999999</v>
      </c>
      <c r="AF207" s="152" t="inlineStr">
        <is>
          <t>2026-02-12</t>
        </is>
      </c>
      <c r="AG207" s="152" t="n">
        <v>9.274100000000001</v>
      </c>
      <c r="AH207" s="152" t="n">
        <v>-0.003181284256710995</v>
      </c>
      <c r="AI207" s="152" t="inlineStr">
        <is>
          <t>FLAT</t>
        </is>
      </c>
      <c r="AJ207" s="152" t="inlineStr">
        <is>
          <t>NO</t>
        </is>
      </c>
      <c r="AK207" s="152" t="n">
        <v>-0.004181</v>
      </c>
      <c r="AL207" s="152">
        <f>IF($A207="","",IFERROR(INDEX(Company_List!$G$3:$G$207,MATCH($A207,Company_List!$A$3:$A$207,0)),"unassigned"))</f>
        <v/>
      </c>
      <c r="AM207" s="152" t="inlineStr">
        <is>
          <t>Phase 3/Readings/Lenovo/presentation_2526_q3.pdf</t>
        </is>
      </c>
      <c r="AN207" s="152" t="n"/>
      <c r="AO207" s="152" t="inlineStr">
        <is>
          <t>unique filename match</t>
        </is>
      </c>
      <c r="AP207" s="152">
        <f>IF($A207="","",IF(COUNTIFS(LLM_Data_Entry!$A$3:$A$548,$A207)&gt;0,"YES","NO"))</f>
        <v/>
      </c>
      <c r="AQ207" s="152">
        <f>IF($A207="","",IF(COUNTIFS($A$3:$A207,$A207,$C$3:$C207,$C207,$D$3:$D207,$D207)=1,"YES","NO"))</f>
        <v/>
      </c>
      <c r="AR207" s="152">
        <f>IF($A207="","",IF(AND($C207&amp;"-"&amp;$D207&gt;=Settings!$B$19,$C207&amp;"-"&amp;$D207&lt;=Settings!$B$20),"IN","OUT"))</f>
        <v/>
      </c>
      <c r="AS207" s="152">
        <f>IF($A207="","",IF($F207="Financial Results","financials",IF($F207="Outlook/Guidance","guidance",IF($F207="Transcript Q&amp;A","qanda",IF($F207="","unrecorded",IF($E207="All","full",IF($E207="","unrecorded",LOWER($E207)&amp;" only")))))))</f>
        <v/>
      </c>
      <c r="AT207" s="152">
        <f>IF(AND(OR($J207="BUY",$J207="SELL"),ISNUMBER($U207)),$U207,"")</f>
        <v/>
      </c>
      <c r="AU207" s="152">
        <f>IF(AND(OR($J207="BUY",$J207="SELL"),ISNUMBER($AK207)),$AK207,"")</f>
        <v/>
      </c>
      <c r="AV207" s="152">
        <f>IF(ISNUMBER($AT207),ABS(IF(ISNUMBER($I207),$I207,0)-Settings!$B$24),"")</f>
        <v/>
      </c>
      <c r="AW207" s="152">
        <f>IF(ISNUMBER($AV207),$AV207*$AT207,"")</f>
        <v/>
      </c>
      <c r="AX207" s="152">
        <f>IF(ISNUMBER($AU207),ABS(IF(ISNUMBER($I207),$I207,0)-Settings!$B$24),"")</f>
        <v/>
      </c>
      <c r="AY207" s="152" t="inlineStr">
        <is>
          <t>FROZEN</t>
        </is>
      </c>
      <c r="AZ207" s="152">
        <f>IF($A207="","",IFERROR(INDEX(Company_List!$H$3:$H$207,MATCH($A207,Company_List!$A$3:$A$207,0)),"unassigned"))</f>
        <v/>
      </c>
      <c r="BA207" s="152" t="n"/>
      <c r="BB207" s="152" t="n"/>
      <c r="BC207" s="152">
        <f>IF($A207="","",IF(COUNTIFS($A$3:$A207,$A207,$C$3:$C207,$C207,$D$3:$D207,$D207,$G$3:$G207,$G207)=1,1,0))</f>
        <v/>
      </c>
      <c r="BD207" s="152" t="n"/>
      <c r="BE207" s="152" t="n"/>
      <c r="BF207" s="152" t="n"/>
      <c r="BG207" s="152" t="inlineStr">
        <is>
          <t>no</t>
        </is>
      </c>
      <c r="BH207" s="152" t="n"/>
      <c r="BI207" s="152" t="n"/>
      <c r="BJ207" s="152" t="n"/>
      <c r="BK207" s="152">
        <f>IF(OR($H207&lt;&gt;"Human",$S207="",$J207="",$Y207="",$Z207=""),"",IF(EXACT(UPPER($J207),UPPER($Y207)),1,0))</f>
        <v/>
      </c>
      <c r="BL207" s="152" t="inlineStr">
        <is>
          <t>assumed - no rater record</t>
        </is>
      </c>
      <c r="BM207" s="152" t="n">
        <v>1</v>
      </c>
      <c r="BN207" s="152" t="inlineStr">
        <is>
          <t>not publisher-identified</t>
        </is>
      </c>
      <c r="BO207" s="152" t="inlineStr">
        <is>
          <t>not publisher-identified</t>
        </is>
      </c>
      <c r="BP207" s="152" t="inlineStr">
        <is>
          <t>no</t>
        </is>
      </c>
      <c r="BQ207" s="152" t="inlineStr">
        <is>
          <t>no</t>
        </is>
      </c>
      <c r="BR207" s="152" t="n"/>
      <c r="BS207" s="152" t="inlineStr">
        <is>
          <t>YES</t>
        </is>
      </c>
      <c r="BT207" s="152" t="n"/>
    </row>
    <row r="208" ht="15" customHeight="1" s="241">
      <c r="A208" s="191" t="inlineStr">
        <is>
          <t>Lenovo</t>
        </is>
      </c>
      <c r="B208" s="188">
        <f>IF(A208="","",_xlfn.XLOOKUP(A208, Company_List!$A:$A, Company_List!$B:$B, ""))</f>
        <v/>
      </c>
      <c r="C208" s="177" t="n">
        <v>2026</v>
      </c>
      <c r="D208" s="177" t="inlineStr">
        <is>
          <t>Q2</t>
        </is>
      </c>
      <c r="E208" s="178" t="inlineStr">
        <is>
          <t>Presentation</t>
        </is>
      </c>
      <c r="F208" s="178" t="inlineStr">
        <is>
          <t>All</t>
        </is>
      </c>
      <c r="G208" s="177" t="inlineStr">
        <is>
          <t>Anna</t>
        </is>
      </c>
      <c r="H208" s="177" t="inlineStr">
        <is>
          <t>Human</t>
        </is>
      </c>
      <c r="I208" s="180" t="n">
        <v>0.6</v>
      </c>
      <c r="J208" s="180">
        <f>IF(OR(I208="",Settings!$B$6=""),"",IF(I208&gt;Settings!$B$6,"BUY",IF(I208&lt;-Settings!$B$6,"SELL","HOLD")))</f>
        <v/>
      </c>
      <c r="K208" s="180" t="n">
        <v>25</v>
      </c>
      <c r="L208" s="182" t="n">
        <v>45981</v>
      </c>
      <c r="M208" s="182" t="n">
        <v>46052</v>
      </c>
      <c r="N208" s="179" t="n">
        <v>22.61</v>
      </c>
      <c r="O208" s="182" t="n">
        <v>46055</v>
      </c>
      <c r="P208" s="180" t="n">
        <v>22.41</v>
      </c>
      <c r="Q208" s="184">
        <f>IF(OR(N208="",P208=""),"",ROUND((P208-N208)/N208,4))</f>
        <v/>
      </c>
      <c r="R208" s="177">
        <f>IF(OR(N208="",P208=""),"",IF(Q208&gt;Settings!$B$3/100,"UP",IF(Q208&lt;-Settings!$B$3/100,"DOWN","FLAT")))</f>
        <v/>
      </c>
      <c r="S208" s="177">
        <f>IF(OR(N208="",P208="",J208=""),"",IF(OR(AND(J208="BUY",R208="UP"),AND(J208="SELL",R208="DOWN"),AND(J208="HOLD",R208="FLAT")),"YES","NO"))</f>
        <v/>
      </c>
      <c r="T208" s="176">
        <f>IF(J208="","",IF(J208="BUY",1,IF(J208="SELL",-1,0)))</f>
        <v/>
      </c>
      <c r="U208" s="184">
        <f>IFERROR(IF(OR(J208="",N208="",P208=""),"",IF(T208=0,0,T208*Q208-Settings!$B$4/10000-IF(T208&lt;0,Settings!$B$5/10000,0))),"")</f>
        <v/>
      </c>
      <c r="V208" s="152" t="n"/>
      <c r="W208" s="176">
        <f>IF($K208="","",$K208*60)</f>
        <v/>
      </c>
      <c r="X208" s="186">
        <f>IF($A208="","",$A208&amp;"|"&amp;$C208&amp;"|"&amp;$D208)</f>
        <v/>
      </c>
      <c r="Y208" s="186">
        <f>IFERROR(IF($X208="","",INDEX(LLM_Data_Entry!$H$3:$H$548,MATCH($X208,INDEX(LLM_Data_Entry!$A$3:$A$548&amp;"|"&amp;LLM_Data_Entry!$C$3:$C$548&amp;"|"&amp;LLM_Data_Entry!$D$3:$D$548,0),0))),"")</f>
        <v/>
      </c>
      <c r="Z208" s="186">
        <f>IFERROR(IF($X208="","",INDEX(LLM_Data_Entry!$R$3:$R$548,MATCH($X208,INDEX(LLM_Data_Entry!$A$3:$A$548&amp;"|"&amp;LLM_Data_Entry!$C$3:$C$548&amp;"|"&amp;LLM_Data_Entry!$D$3:$D$548,0),0))),"")</f>
        <v/>
      </c>
      <c r="AA208" s="152" t="n"/>
      <c r="AB208" s="152" t="inlineStr">
        <is>
          <t>repriced on the issuer's primary listing</t>
        </is>
      </c>
      <c r="AC208" s="152" t="inlineStr">
        <is>
          <t>0992.HK</t>
        </is>
      </c>
      <c r="AD208" s="152" t="inlineStr">
        <is>
          <t>2025-11-19</t>
        </is>
      </c>
      <c r="AE208" s="152" t="n">
        <v>9.4186</v>
      </c>
      <c r="AF208" s="152" t="inlineStr">
        <is>
          <t>2025-11-20</t>
        </is>
      </c>
      <c r="AG208" s="152" t="n">
        <v>9.6533</v>
      </c>
      <c r="AH208" s="152" t="n">
        <v>0.02492208009193885</v>
      </c>
      <c r="AI208" s="152" t="inlineStr">
        <is>
          <t>UP</t>
        </is>
      </c>
      <c r="AJ208" s="152" t="inlineStr">
        <is>
          <t>YES</t>
        </is>
      </c>
      <c r="AK208" s="152" t="n">
        <v>0.023922</v>
      </c>
      <c r="AL208" s="152">
        <f>IF($A208="","",IFERROR(INDEX(Company_List!$G$3:$G$207,MATCH($A208,Company_List!$A$3:$A$207,0)),"unassigned"))</f>
        <v/>
      </c>
      <c r="AM208" s="152" t="inlineStr">
        <is>
          <t>Phase 3/Readings/Lenovo/presentation_2526_q2.pdf</t>
        </is>
      </c>
      <c r="AN208" s="152" t="n"/>
      <c r="AO208" s="152" t="inlineStr">
        <is>
          <t>unique filename match</t>
        </is>
      </c>
      <c r="AP208" s="152">
        <f>IF($A208="","",IF(COUNTIFS(LLM_Data_Entry!$A$3:$A$548,$A208)&gt;0,"YES","NO"))</f>
        <v/>
      </c>
      <c r="AQ208" s="152">
        <f>IF($A208="","",IF(COUNTIFS($A$3:$A208,$A208,$C$3:$C208,$C208,$D$3:$D208,$D208)=1,"YES","NO"))</f>
        <v/>
      </c>
      <c r="AR208" s="152">
        <f>IF($A208="","",IF(AND($C208&amp;"-"&amp;$D208&gt;=Settings!$B$19,$C208&amp;"-"&amp;$D208&lt;=Settings!$B$20),"IN","OUT"))</f>
        <v/>
      </c>
      <c r="AS208" s="152">
        <f>IF($A208="","",IF($F208="Financial Results","financials",IF($F208="Outlook/Guidance","guidance",IF($F208="Transcript Q&amp;A","qanda",IF($F208="","unrecorded",IF($E208="All","full",IF($E208="","unrecorded",LOWER($E208)&amp;" only")))))))</f>
        <v/>
      </c>
      <c r="AT208" s="152">
        <f>IF(AND(OR($J208="BUY",$J208="SELL"),ISNUMBER($U208)),$U208,"")</f>
        <v/>
      </c>
      <c r="AU208" s="152">
        <f>IF(AND(OR($J208="BUY",$J208="SELL"),ISNUMBER($AK208)),$AK208,"")</f>
        <v/>
      </c>
      <c r="AV208" s="152">
        <f>IF(ISNUMBER($AT208),ABS(IF(ISNUMBER($I208),$I208,0)-Settings!$B$24),"")</f>
        <v/>
      </c>
      <c r="AW208" s="152">
        <f>IF(ISNUMBER($AV208),$AV208*$AT208,"")</f>
        <v/>
      </c>
      <c r="AX208" s="152">
        <f>IF(ISNUMBER($AU208),ABS(IF(ISNUMBER($I208),$I208,0)-Settings!$B$24),"")</f>
        <v/>
      </c>
      <c r="AY208" s="152" t="inlineStr">
        <is>
          <t>FROZEN</t>
        </is>
      </c>
      <c r="AZ208" s="152">
        <f>IF($A208="","",IFERROR(INDEX(Company_List!$H$3:$H$207,MATCH($A208,Company_List!$A$3:$A$207,0)),"unassigned"))</f>
        <v/>
      </c>
      <c r="BA208" s="152" t="n"/>
      <c r="BB208" s="152" t="n"/>
      <c r="BC208" s="152">
        <f>IF($A208="","",IF(COUNTIFS($A$3:$A208,$A208,$C$3:$C208,$C208,$D$3:$D208,$D208,$G$3:$G208,$G208)=1,1,0))</f>
        <v/>
      </c>
      <c r="BD208" s="152" t="n"/>
      <c r="BE208" s="152" t="n"/>
      <c r="BF208" s="152" t="n"/>
      <c r="BG208" s="152" t="inlineStr">
        <is>
          <t>no</t>
        </is>
      </c>
      <c r="BH208" s="152" t="n"/>
      <c r="BI208" s="152" t="n"/>
      <c r="BJ208" s="152" t="n"/>
      <c r="BK208" s="152">
        <f>IF(OR($H208&lt;&gt;"Human",$S208="",$J208="",$Y208="",$Z208=""),"",IF(EXACT(UPPER($J208),UPPER($Y208)),1,0))</f>
        <v/>
      </c>
      <c r="BL208" s="152" t="inlineStr">
        <is>
          <t>assumed - no rater record</t>
        </is>
      </c>
      <c r="BM208" s="152" t="n">
        <v>1</v>
      </c>
      <c r="BN208" s="152" t="inlineStr">
        <is>
          <t>not publisher-identified</t>
        </is>
      </c>
      <c r="BO208" s="152" t="inlineStr">
        <is>
          <t>not publisher-identified</t>
        </is>
      </c>
      <c r="BP208" s="152" t="inlineStr">
        <is>
          <t>no</t>
        </is>
      </c>
      <c r="BQ208" s="152" t="inlineStr">
        <is>
          <t>no</t>
        </is>
      </c>
      <c r="BR208" s="152" t="n"/>
      <c r="BS208" s="152" t="inlineStr">
        <is>
          <t>YES</t>
        </is>
      </c>
      <c r="BT208" s="152" t="n"/>
    </row>
    <row r="209" ht="15" customHeight="1" s="241">
      <c r="A209" s="191" t="inlineStr">
        <is>
          <t>Lenovo</t>
        </is>
      </c>
      <c r="B209" s="188">
        <f>IF(A209="","",_xlfn.XLOOKUP(A209, Company_List!$A:$A, Company_List!$B:$B, ""))</f>
        <v/>
      </c>
      <c r="C209" s="177" t="n">
        <v>2026</v>
      </c>
      <c r="D209" s="177" t="inlineStr">
        <is>
          <t>Q1</t>
        </is>
      </c>
      <c r="E209" s="178" t="inlineStr">
        <is>
          <t>Presentation</t>
        </is>
      </c>
      <c r="F209" s="178" t="inlineStr">
        <is>
          <t>All</t>
        </is>
      </c>
      <c r="G209" s="177" t="inlineStr">
        <is>
          <t>Anna</t>
        </is>
      </c>
      <c r="H209" s="177" t="inlineStr">
        <is>
          <t>Human</t>
        </is>
      </c>
      <c r="I209" s="180" t="n">
        <v>0.6</v>
      </c>
      <c r="J209" s="180">
        <f>IF(OR(I209="",Settings!$B$6=""),"",IF(I209&gt;Settings!$B$6,"BUY",IF(I209&lt;-Settings!$B$6,"SELL","HOLD")))</f>
        <v/>
      </c>
      <c r="K209" s="180" t="n">
        <v>24</v>
      </c>
      <c r="L209" s="182" t="n">
        <v>45883</v>
      </c>
      <c r="M209" s="182" t="n">
        <v>45883</v>
      </c>
      <c r="N209" s="179" t="n">
        <v>27.4</v>
      </c>
      <c r="O209" s="182" t="n">
        <v>45884</v>
      </c>
      <c r="P209" s="180" t="n">
        <v>28.75</v>
      </c>
      <c r="Q209" s="184">
        <f>IF(OR(N209="",P209=""),"",ROUND((P209-N209)/N209,4))</f>
        <v/>
      </c>
      <c r="R209" s="177">
        <f>IF(OR(N209="",P209=""),"",IF(Q209&gt;Settings!$B$3/100,"UP",IF(Q209&lt;-Settings!$B$3/100,"DOWN","FLAT")))</f>
        <v/>
      </c>
      <c r="S209" s="177">
        <f>IF(OR(N209="",P209="",J209=""),"",IF(OR(AND(J209="BUY",R209="UP"),AND(J209="SELL",R209="DOWN"),AND(J209="HOLD",R209="FLAT")),"YES","NO"))</f>
        <v/>
      </c>
      <c r="T209" s="176">
        <f>IF(J209="","",IF(J209="BUY",1,IF(J209="SELL",-1,0)))</f>
        <v/>
      </c>
      <c r="U209" s="184">
        <f>IFERROR(IF(OR(J209="",N209="",P209=""),"",IF(T209=0,0,T209*Q209-Settings!$B$4/10000-IF(T209&lt;0,Settings!$B$5/10000,0))),"")</f>
        <v/>
      </c>
      <c r="V209" s="152" t="n"/>
      <c r="W209" s="176">
        <f>IF($K209="","",$K209*60)</f>
        <v/>
      </c>
      <c r="X209" s="186">
        <f>IF($A209="","",$A209&amp;"|"&amp;$C209&amp;"|"&amp;$D209)</f>
        <v/>
      </c>
      <c r="Y209" s="186">
        <f>IFERROR(IF($X209="","",INDEX(LLM_Data_Entry!$H$3:$H$548,MATCH($X209,INDEX(LLM_Data_Entry!$A$3:$A$548&amp;"|"&amp;LLM_Data_Entry!$C$3:$C$548&amp;"|"&amp;LLM_Data_Entry!$D$3:$D$548,0),0))),"")</f>
        <v/>
      </c>
      <c r="Z209" s="186">
        <f>IFERROR(IF($X209="","",INDEX(LLM_Data_Entry!$R$3:$R$548,MATCH($X209,INDEX(LLM_Data_Entry!$A$3:$A$548&amp;"|"&amp;LLM_Data_Entry!$C$3:$C$548&amp;"|"&amp;LLM_Data_Entry!$D$3:$D$548,0),0))),"")</f>
        <v/>
      </c>
      <c r="AA209" s="152" t="n"/>
      <c r="AB209" s="152" t="inlineStr">
        <is>
          <t>repriced on the issuer's primary listing</t>
        </is>
      </c>
      <c r="AC209" s="152" t="inlineStr">
        <is>
          <t>0992.HK</t>
        </is>
      </c>
      <c r="AD209" s="152" t="inlineStr">
        <is>
          <t>2025-08-13</t>
        </is>
      </c>
      <c r="AE209" s="152" t="n">
        <v>11.2671</v>
      </c>
      <c r="AF209" s="152" t="inlineStr">
        <is>
          <t>2025-08-14</t>
        </is>
      </c>
      <c r="AG209" s="152" t="n">
        <v>11.2671</v>
      </c>
      <c r="AH209" s="152" t="n">
        <v>-5.457992439665133e-08</v>
      </c>
      <c r="AI209" s="152" t="inlineStr">
        <is>
          <t>FLAT</t>
        </is>
      </c>
      <c r="AJ209" s="152" t="inlineStr">
        <is>
          <t>NO</t>
        </is>
      </c>
      <c r="AK209" s="152" t="n">
        <v>-0.001</v>
      </c>
      <c r="AL209" s="152">
        <f>IF($A209="","",IFERROR(INDEX(Company_List!$G$3:$G$207,MATCH($A209,Company_List!$A$3:$A$207,0)),"unassigned"))</f>
        <v/>
      </c>
      <c r="AM209" s="152" t="inlineStr">
        <is>
          <t>Phase 3/Readings/Lenovo/presentation_2526_q1.pdf</t>
        </is>
      </c>
      <c r="AN209" s="152" t="n"/>
      <c r="AO209" s="152" t="inlineStr">
        <is>
          <t>unique filename match</t>
        </is>
      </c>
      <c r="AP209" s="152">
        <f>IF($A209="","",IF(COUNTIFS(LLM_Data_Entry!$A$3:$A$548,$A209)&gt;0,"YES","NO"))</f>
        <v/>
      </c>
      <c r="AQ209" s="152">
        <f>IF($A209="","",IF(COUNTIFS($A$3:$A209,$A209,$C$3:$C209,$C209,$D$3:$D209,$D209)=1,"YES","NO"))</f>
        <v/>
      </c>
      <c r="AR209" s="152">
        <f>IF($A209="","",IF(AND($C209&amp;"-"&amp;$D209&gt;=Settings!$B$19,$C209&amp;"-"&amp;$D209&lt;=Settings!$B$20),"IN","OUT"))</f>
        <v/>
      </c>
      <c r="AS209" s="152">
        <f>IF($A209="","",IF($F209="Financial Results","financials",IF($F209="Outlook/Guidance","guidance",IF($F209="Transcript Q&amp;A","qanda",IF($F209="","unrecorded",IF($E209="All","full",IF($E209="","unrecorded",LOWER($E209)&amp;" only")))))))</f>
        <v/>
      </c>
      <c r="AT209" s="152">
        <f>IF(AND(OR($J209="BUY",$J209="SELL"),ISNUMBER($U209)),$U209,"")</f>
        <v/>
      </c>
      <c r="AU209" s="152">
        <f>IF(AND(OR($J209="BUY",$J209="SELL"),ISNUMBER($AK209)),$AK209,"")</f>
        <v/>
      </c>
      <c r="AV209" s="152">
        <f>IF(ISNUMBER($AT209),ABS(IF(ISNUMBER($I209),$I209,0)-Settings!$B$24),"")</f>
        <v/>
      </c>
      <c r="AW209" s="152">
        <f>IF(ISNUMBER($AV209),$AV209*$AT209,"")</f>
        <v/>
      </c>
      <c r="AX209" s="152">
        <f>IF(ISNUMBER($AU209),ABS(IF(ISNUMBER($I209),$I209,0)-Settings!$B$24),"")</f>
        <v/>
      </c>
      <c r="AY209" s="152" t="inlineStr">
        <is>
          <t>FROZEN</t>
        </is>
      </c>
      <c r="AZ209" s="152">
        <f>IF($A209="","",IFERROR(INDEX(Company_List!$H$3:$H$207,MATCH($A209,Company_List!$A$3:$A$207,0)),"unassigned"))</f>
        <v/>
      </c>
      <c r="BA209" s="152" t="n"/>
      <c r="BB209" s="152" t="n"/>
      <c r="BC209" s="152">
        <f>IF($A209="","",IF(COUNTIFS($A$3:$A209,$A209,$C$3:$C209,$C209,$D$3:$D209,$D209,$G$3:$G209,$G209)=1,1,0))</f>
        <v/>
      </c>
      <c r="BD209" s="152" t="n"/>
      <c r="BE209" s="152" t="n"/>
      <c r="BF209" s="152" t="n"/>
      <c r="BG209" s="152" t="inlineStr">
        <is>
          <t>no</t>
        </is>
      </c>
      <c r="BH209" s="152" t="n"/>
      <c r="BI209" s="152" t="n"/>
      <c r="BJ209" s="152" t="n"/>
      <c r="BK209" s="152">
        <f>IF(OR($H209&lt;&gt;"Human",$S209="",$J209="",$Y209="",$Z209=""),"",IF(EXACT(UPPER($J209),UPPER($Y209)),1,0))</f>
        <v/>
      </c>
      <c r="BL209" s="152" t="inlineStr">
        <is>
          <t>assumed - no rater record</t>
        </is>
      </c>
      <c r="BM209" s="152" t="n">
        <v>1</v>
      </c>
      <c r="BN209" s="152" t="inlineStr">
        <is>
          <t>not publisher-identified</t>
        </is>
      </c>
      <c r="BO209" s="152" t="inlineStr">
        <is>
          <t>not publisher-identified</t>
        </is>
      </c>
      <c r="BP209" s="152" t="inlineStr">
        <is>
          <t>no</t>
        </is>
      </c>
      <c r="BQ209" s="152" t="inlineStr">
        <is>
          <t>no</t>
        </is>
      </c>
      <c r="BR209" s="152" t="n"/>
      <c r="BS209" s="152" t="inlineStr">
        <is>
          <t>YES</t>
        </is>
      </c>
      <c r="BT209" s="152" t="n"/>
    </row>
    <row r="210" ht="15" customHeight="1" s="241">
      <c r="A210" s="191" t="inlineStr">
        <is>
          <t>Spotify</t>
        </is>
      </c>
      <c r="B210" s="188">
        <f>IF(A210="","",_xlfn.XLOOKUP(A210, Company_List!$A:$A, Company_List!$B:$B, ""))</f>
        <v/>
      </c>
      <c r="C210" s="177" t="n">
        <v>2026</v>
      </c>
      <c r="D210" s="177" t="inlineStr">
        <is>
          <t>Q1</t>
        </is>
      </c>
      <c r="E210" s="178" t="inlineStr">
        <is>
          <t>Presentation</t>
        </is>
      </c>
      <c r="F210" s="178" t="inlineStr">
        <is>
          <t>All</t>
        </is>
      </c>
      <c r="G210" s="177" t="inlineStr">
        <is>
          <t>Anna</t>
        </is>
      </c>
      <c r="H210" s="177" t="inlineStr">
        <is>
          <t>Human</t>
        </is>
      </c>
      <c r="I210" s="180" t="n">
        <v>0.3</v>
      </c>
      <c r="J210" s="180">
        <f>IF(OR(I210="",Settings!$B$6=""),"",IF(I210&gt;Settings!$B$6,"BUY",IF(I210&lt;-Settings!$B$6,"SELL","HOLD")))</f>
        <v/>
      </c>
      <c r="K210" s="180" t="n">
        <v>22</v>
      </c>
      <c r="L210" s="182" t="n">
        <v>46140</v>
      </c>
      <c r="M210" s="182" t="n">
        <v>46139</v>
      </c>
      <c r="N210" s="179" t="n">
        <v>495.82</v>
      </c>
      <c r="O210" s="182" t="n">
        <v>46140</v>
      </c>
      <c r="P210" s="180" t="n">
        <v>445</v>
      </c>
      <c r="Q210" s="184">
        <f>IF(OR(N210="",P210=""),"",ROUND((P210-N210)/N210,4))</f>
        <v/>
      </c>
      <c r="R210" s="177">
        <f>IF(OR(N210="",P210=""),"",IF(Q210&gt;Settings!$B$3/100,"UP",IF(Q210&lt;-Settings!$B$3/100,"DOWN","FLAT")))</f>
        <v/>
      </c>
      <c r="S210" s="177">
        <f>IF(OR(N210="",P210="",J210=""),"",IF(OR(AND(J210="BUY",R210="UP"),AND(J210="SELL",R210="DOWN"),AND(J210="HOLD",R210="FLAT")),"YES","NO"))</f>
        <v/>
      </c>
      <c r="T210" s="176">
        <f>IF(J210="","",IF(J210="BUY",1,IF(J210="SELL",-1,0)))</f>
        <v/>
      </c>
      <c r="U210" s="184">
        <f>IFERROR(IF(OR(J210="",N210="",P210=""),"",IF(T210=0,0,T210*Q210-Settings!$B$4/10000-IF(T210&lt;0,Settings!$B$5/10000,0))),"")</f>
        <v/>
      </c>
      <c r="V210" s="152" t="n"/>
      <c r="W210" s="176">
        <f>IF($K210="","",$K210*60)</f>
        <v/>
      </c>
      <c r="X210" s="186">
        <f>IF($A210="","",$A210&amp;"|"&amp;$C210&amp;"|"&amp;$D210)</f>
        <v/>
      </c>
      <c r="Y210" s="186">
        <f>IFERROR(IF($X210="","",INDEX(LLM_Data_Entry!$H$3:$H$548,MATCH($X210,INDEX(LLM_Data_Entry!$A$3:$A$548&amp;"|"&amp;LLM_Data_Entry!$C$3:$C$548&amp;"|"&amp;LLM_Data_Entry!$D$3:$D$548,0),0))),"")</f>
        <v/>
      </c>
      <c r="Z210" s="186">
        <f>IFERROR(IF($X210="","",INDEX(LLM_Data_Entry!$R$3:$R$548,MATCH($X210,INDEX(LLM_Data_Entry!$A$3:$A$548&amp;"|"&amp;LLM_Data_Entry!$C$3:$C$548&amp;"|"&amp;LLM_Data_Entry!$D$3:$D$548,0),0))),"")</f>
        <v/>
      </c>
      <c r="AA210" s="152" t="n"/>
      <c r="AB210" s="152" t="inlineStr">
        <is>
          <t>recorded window spanned two sessions, closed to one</t>
        </is>
      </c>
      <c r="AC210" s="152" t="inlineStr">
        <is>
          <t>SPOT</t>
        </is>
      </c>
      <c r="AD210" s="152" t="inlineStr">
        <is>
          <t>2026-04-27</t>
        </is>
      </c>
      <c r="AE210" s="152" t="n">
        <v>495.82</v>
      </c>
      <c r="AF210" s="152" t="inlineStr">
        <is>
          <t>2026-04-28</t>
        </is>
      </c>
      <c r="AG210" s="152" t="n">
        <v>445</v>
      </c>
      <c r="AH210" s="152" t="n">
        <v>-0.1024968865364886</v>
      </c>
      <c r="AI210" s="152" t="inlineStr">
        <is>
          <t>DOWN</t>
        </is>
      </c>
      <c r="AJ210" s="152" t="inlineStr">
        <is>
          <t>NO</t>
        </is>
      </c>
      <c r="AK210" s="152" t="n">
        <v>-0.103497</v>
      </c>
      <c r="AL210" s="152">
        <f>IF($A210="","",IFERROR(INDEX(Company_List!$G$3:$G$207,MATCH($A210,Company_List!$A$3:$A$207,0)),"unassigned"))</f>
        <v/>
      </c>
      <c r="AM210" s="152" t="inlineStr">
        <is>
          <t>Phase 3/Readings/Spotify/Q1-2026-Shareholder-Deck-FINAL-2.pdf</t>
        </is>
      </c>
      <c r="AN210" s="152" t="n"/>
      <c r="AO210" s="152" t="inlineStr">
        <is>
          <t>unique filename match</t>
        </is>
      </c>
      <c r="AP210" s="152">
        <f>IF($A210="","",IF(COUNTIFS(LLM_Data_Entry!$A$3:$A$548,$A210)&gt;0,"YES","NO"))</f>
        <v/>
      </c>
      <c r="AQ210" s="152">
        <f>IF($A210="","",IF(COUNTIFS($A$3:$A210,$A210,$C$3:$C210,$C210,$D$3:$D210,$D210)=1,"YES","NO"))</f>
        <v/>
      </c>
      <c r="AR210" s="152">
        <f>IF($A210="","",IF(AND($C210&amp;"-"&amp;$D210&gt;=Settings!$B$19,$C210&amp;"-"&amp;$D210&lt;=Settings!$B$20),"IN","OUT"))</f>
        <v/>
      </c>
      <c r="AS210" s="152">
        <f>IF($A210="","",IF($F210="Financial Results","financials",IF($F210="Outlook/Guidance","guidance",IF($F210="Transcript Q&amp;A","qanda",IF($F210="","unrecorded",IF($E210="All","full",IF($E210="","unrecorded",LOWER($E210)&amp;" only")))))))</f>
        <v/>
      </c>
      <c r="AT210" s="152">
        <f>IF(AND(OR($J210="BUY",$J210="SELL"),ISNUMBER($U210)),$U210,"")</f>
        <v/>
      </c>
      <c r="AU210" s="152">
        <f>IF(AND(OR($J210="BUY",$J210="SELL"),ISNUMBER($AK210)),$AK210,"")</f>
        <v/>
      </c>
      <c r="AV210" s="152">
        <f>IF(ISNUMBER($AT210),ABS(IF(ISNUMBER($I210),$I210,0)-Settings!$B$24),"")</f>
        <v/>
      </c>
      <c r="AW210" s="152">
        <f>IF(ISNUMBER($AV210),$AV210*$AT210,"")</f>
        <v/>
      </c>
      <c r="AX210" s="152">
        <f>IF(ISNUMBER($AU210),ABS(IF(ISNUMBER($I210),$I210,0)-Settings!$B$24),"")</f>
        <v/>
      </c>
      <c r="AY210" s="152" t="inlineStr">
        <is>
          <t>FROZEN</t>
        </is>
      </c>
      <c r="AZ210" s="152">
        <f>IF($A210="","",IFERROR(INDEX(Company_List!$H$3:$H$207,MATCH($A210,Company_List!$A$3:$A$207,0)),"unassigned"))</f>
        <v/>
      </c>
      <c r="BA210" s="152" t="n"/>
      <c r="BB210" s="152" t="n"/>
      <c r="BC210" s="152">
        <f>IF($A210="","",IF(COUNTIFS($A$3:$A210,$A210,$C$3:$C210,$C210,$D$3:$D210,$D210,$G$3:$G210,$G210)=1,1,0))</f>
        <v/>
      </c>
      <c r="BD210" s="152" t="n"/>
      <c r="BE210" s="152" t="n"/>
      <c r="BF210" s="152" t="n"/>
      <c r="BG210" s="152" t="inlineStr">
        <is>
          <t>no</t>
        </is>
      </c>
      <c r="BH210" s="152" t="n"/>
      <c r="BI210" s="152" t="n"/>
      <c r="BJ210" s="152" t="n"/>
      <c r="BK210" s="152">
        <f>IF(OR($H210&lt;&gt;"Human",$S210="",$J210="",$Y210="",$Z210=""),"",IF(EXACT(UPPER($J210),UPPER($Y210)),1,0))</f>
        <v/>
      </c>
      <c r="BL210" s="152" t="inlineStr">
        <is>
          <t>assumed - no rater record</t>
        </is>
      </c>
      <c r="BM210" s="152" t="n">
        <v>1</v>
      </c>
      <c r="BN210" s="152" t="inlineStr">
        <is>
          <t>not publisher-identified</t>
        </is>
      </c>
      <c r="BO210" s="152" t="inlineStr">
        <is>
          <t>not publisher-identified</t>
        </is>
      </c>
      <c r="BP210" s="152" t="inlineStr">
        <is>
          <t>no</t>
        </is>
      </c>
      <c r="BQ210" s="152" t="inlineStr">
        <is>
          <t>no</t>
        </is>
      </c>
      <c r="BR210" s="152" t="n"/>
      <c r="BS210" s="152" t="inlineStr">
        <is>
          <t>YES</t>
        </is>
      </c>
      <c r="BT210" s="152" t="n"/>
    </row>
    <row r="211" ht="15" customHeight="1" s="241">
      <c r="A211" s="191" t="inlineStr">
        <is>
          <t>Spotify</t>
        </is>
      </c>
      <c r="B211" s="188">
        <f>IF(A211="","",_xlfn.XLOOKUP(A211, Company_List!$A:$A, Company_List!$B:$B, ""))</f>
        <v/>
      </c>
      <c r="C211" s="177" t="n">
        <v>2025</v>
      </c>
      <c r="D211" s="177" t="inlineStr">
        <is>
          <t>Q4</t>
        </is>
      </c>
      <c r="E211" s="178" t="inlineStr">
        <is>
          <t>Presentation</t>
        </is>
      </c>
      <c r="F211" s="178" t="inlineStr">
        <is>
          <t>All</t>
        </is>
      </c>
      <c r="G211" s="177" t="inlineStr">
        <is>
          <t>Anna</t>
        </is>
      </c>
      <c r="H211" s="177" t="inlineStr">
        <is>
          <t>Human</t>
        </is>
      </c>
      <c r="I211" s="180" t="n">
        <v>0.6</v>
      </c>
      <c r="J211" s="180">
        <f>IF(OR(I211="",Settings!$B$6=""),"",IF(I211&gt;Settings!$B$6,"BUY",IF(I211&lt;-Settings!$B$6,"SELL","HOLD")))</f>
        <v/>
      </c>
      <c r="K211" s="180" t="n">
        <v>23</v>
      </c>
      <c r="L211" s="182" t="n">
        <v>46063</v>
      </c>
      <c r="M211" s="182" t="n">
        <v>46062</v>
      </c>
      <c r="N211" s="179" t="n">
        <v>414.84</v>
      </c>
      <c r="O211" s="182" t="n">
        <v>46063</v>
      </c>
      <c r="P211" s="180" t="n">
        <v>462.78</v>
      </c>
      <c r="Q211" s="184">
        <f>IF(OR(N211="",P211=""),"",ROUND((P211-N211)/N211,4))</f>
        <v/>
      </c>
      <c r="R211" s="177">
        <f>IF(OR(N211="",P211=""),"",IF(Q211&gt;Settings!$B$3/100,"UP",IF(Q211&lt;-Settings!$B$3/100,"DOWN","FLAT")))</f>
        <v/>
      </c>
      <c r="S211" s="177">
        <f>IF(OR(N211="",P211="",J211=""),"",IF(OR(AND(J211="BUY",R211="UP"),AND(J211="SELL",R211="DOWN"),AND(J211="HOLD",R211="FLAT")),"YES","NO"))</f>
        <v/>
      </c>
      <c r="T211" s="176">
        <f>IF(J211="","",IF(J211="BUY",1,IF(J211="SELL",-1,0)))</f>
        <v/>
      </c>
      <c r="U211" s="184">
        <f>IFERROR(IF(OR(J211="",N211="",P211=""),"",IF(T211=0,0,T211*Q211-Settings!$B$4/10000-IF(T211&lt;0,Settings!$B$5/10000,0))),"")</f>
        <v/>
      </c>
      <c r="V211" s="152" t="n"/>
      <c r="W211" s="176">
        <f>IF($K211="","",$K211*60)</f>
        <v/>
      </c>
      <c r="X211" s="186">
        <f>IF($A211="","",$A211&amp;"|"&amp;$C211&amp;"|"&amp;$D211)</f>
        <v/>
      </c>
      <c r="Y211" s="186">
        <f>IFERROR(IF($X211="","",INDEX(LLM_Data_Entry!$H$3:$H$548,MATCH($X211,INDEX(LLM_Data_Entry!$A$3:$A$548&amp;"|"&amp;LLM_Data_Entry!$C$3:$C$548&amp;"|"&amp;LLM_Data_Entry!$D$3:$D$548,0),0))),"")</f>
        <v/>
      </c>
      <c r="Z211" s="186">
        <f>IFERROR(IF($X211="","",INDEX(LLM_Data_Entry!$R$3:$R$548,MATCH($X211,INDEX(LLM_Data_Entry!$A$3:$A$548&amp;"|"&amp;LLM_Data_Entry!$C$3:$C$548&amp;"|"&amp;LLM_Data_Entry!$D$3:$D$548,0),0))),"")</f>
        <v/>
      </c>
      <c r="AA211" s="152" t="n"/>
      <c r="AB211" s="152" t="inlineStr">
        <is>
          <t>recorded price identified against every pulled series</t>
        </is>
      </c>
      <c r="AC211" s="152" t="inlineStr">
        <is>
          <t>SPOT</t>
        </is>
      </c>
      <c r="AD211" s="152" t="inlineStr">
        <is>
          <t>2026-02-09</t>
        </is>
      </c>
      <c r="AE211" s="152" t="n">
        <v>414.84</v>
      </c>
      <c r="AF211" s="152" t="inlineStr">
        <is>
          <t>2026-02-10</t>
        </is>
      </c>
      <c r="AG211" s="152" t="n">
        <v>462.78</v>
      </c>
      <c r="AH211" s="152" t="n">
        <v>0.1155626349008064</v>
      </c>
      <c r="AI211" s="152" t="inlineStr">
        <is>
          <t>UP</t>
        </is>
      </c>
      <c r="AJ211" s="152" t="inlineStr">
        <is>
          <t>YES</t>
        </is>
      </c>
      <c r="AK211" s="152" t="n">
        <v>0.114563</v>
      </c>
      <c r="AL211" s="152">
        <f>IF($A211="","",IFERROR(INDEX(Company_List!$G$3:$G$207,MATCH($A211,Company_List!$A$3:$A$207,0)),"unassigned"))</f>
        <v/>
      </c>
      <c r="AM211" s="152" t="inlineStr">
        <is>
          <t>Phase 3/Readings/Spotify/Q4-2025-Shareholder-Deck-FINAL.pdf</t>
        </is>
      </c>
      <c r="AN211" s="152" t="n"/>
      <c r="AO211" s="152" t="inlineStr">
        <is>
          <t>unique filename match</t>
        </is>
      </c>
      <c r="AP211" s="152">
        <f>IF($A211="","",IF(COUNTIFS(LLM_Data_Entry!$A$3:$A$548,$A211)&gt;0,"YES","NO"))</f>
        <v/>
      </c>
      <c r="AQ211" s="152">
        <f>IF($A211="","",IF(COUNTIFS($A$3:$A211,$A211,$C$3:$C211,$C211,$D$3:$D211,$D211)=1,"YES","NO"))</f>
        <v/>
      </c>
      <c r="AR211" s="152">
        <f>IF($A211="","",IF(AND($C211&amp;"-"&amp;$D211&gt;=Settings!$B$19,$C211&amp;"-"&amp;$D211&lt;=Settings!$B$20),"IN","OUT"))</f>
        <v/>
      </c>
      <c r="AS211" s="152">
        <f>IF($A211="","",IF($F211="Financial Results","financials",IF($F211="Outlook/Guidance","guidance",IF($F211="Transcript Q&amp;A","qanda",IF($F211="","unrecorded",IF($E211="All","full",IF($E211="","unrecorded",LOWER($E211)&amp;" only")))))))</f>
        <v/>
      </c>
      <c r="AT211" s="152">
        <f>IF(AND(OR($J211="BUY",$J211="SELL"),ISNUMBER($U211)),$U211,"")</f>
        <v/>
      </c>
      <c r="AU211" s="152">
        <f>IF(AND(OR($J211="BUY",$J211="SELL"),ISNUMBER($AK211)),$AK211,"")</f>
        <v/>
      </c>
      <c r="AV211" s="152">
        <f>IF(ISNUMBER($AT211),ABS(IF(ISNUMBER($I211),$I211,0)-Settings!$B$24),"")</f>
        <v/>
      </c>
      <c r="AW211" s="152">
        <f>IF(ISNUMBER($AV211),$AV211*$AT211,"")</f>
        <v/>
      </c>
      <c r="AX211" s="152">
        <f>IF(ISNUMBER($AU211),ABS(IF(ISNUMBER($I211),$I211,0)-Settings!$B$24),"")</f>
        <v/>
      </c>
      <c r="AY211" s="152" t="inlineStr">
        <is>
          <t>FROZEN</t>
        </is>
      </c>
      <c r="AZ211" s="152">
        <f>IF($A211="","",IFERROR(INDEX(Company_List!$H$3:$H$207,MATCH($A211,Company_List!$A$3:$A$207,0)),"unassigned"))</f>
        <v/>
      </c>
      <c r="BA211" s="152" t="n"/>
      <c r="BB211" s="152" t="n"/>
      <c r="BC211" s="152">
        <f>IF($A211="","",IF(COUNTIFS($A$3:$A211,$A211,$C$3:$C211,$C211,$D$3:$D211,$D211,$G$3:$G211,$G211)=1,1,0))</f>
        <v/>
      </c>
      <c r="BD211" s="152" t="n"/>
      <c r="BE211" s="152" t="n"/>
      <c r="BF211" s="152" t="n"/>
      <c r="BG211" s="152" t="inlineStr">
        <is>
          <t>no</t>
        </is>
      </c>
      <c r="BH211" s="152" t="n"/>
      <c r="BI211" s="152" t="n"/>
      <c r="BJ211" s="152" t="n"/>
      <c r="BK211" s="152">
        <f>IF(OR($H211&lt;&gt;"Human",$S211="",$J211="",$Y211="",$Z211=""),"",IF(EXACT(UPPER($J211),UPPER($Y211)),1,0))</f>
        <v/>
      </c>
      <c r="BL211" s="152" t="inlineStr">
        <is>
          <t>assumed - no rater record</t>
        </is>
      </c>
      <c r="BM211" s="152" t="n">
        <v>1</v>
      </c>
      <c r="BN211" s="152" t="inlineStr">
        <is>
          <t>not publisher-identified</t>
        </is>
      </c>
      <c r="BO211" s="152" t="inlineStr">
        <is>
          <t>not publisher-identified</t>
        </is>
      </c>
      <c r="BP211" s="152" t="inlineStr">
        <is>
          <t>no</t>
        </is>
      </c>
      <c r="BQ211" s="152" t="inlineStr">
        <is>
          <t>no</t>
        </is>
      </c>
      <c r="BR211" s="152" t="n"/>
      <c r="BS211" s="152" t="inlineStr">
        <is>
          <t>YES</t>
        </is>
      </c>
      <c r="BT211" s="152" t="n"/>
    </row>
    <row r="212" ht="15" customHeight="1" s="241">
      <c r="A212" s="191" t="inlineStr">
        <is>
          <t>Spotify</t>
        </is>
      </c>
      <c r="B212" s="188">
        <f>IF(A212="","",_xlfn.XLOOKUP(A212, Company_List!$A:$A, Company_List!$B:$B, ""))</f>
        <v/>
      </c>
      <c r="C212" s="177" t="n">
        <v>2025</v>
      </c>
      <c r="D212" s="177" t="inlineStr">
        <is>
          <t>Q3</t>
        </is>
      </c>
      <c r="E212" s="178" t="inlineStr">
        <is>
          <t>Presentation</t>
        </is>
      </c>
      <c r="F212" s="178" t="inlineStr">
        <is>
          <t>All</t>
        </is>
      </c>
      <c r="G212" s="177" t="inlineStr">
        <is>
          <t>Anna</t>
        </is>
      </c>
      <c r="H212" s="177" t="inlineStr">
        <is>
          <t>Human</t>
        </is>
      </c>
      <c r="I212" s="180" t="n">
        <v>0.5</v>
      </c>
      <c r="J212" s="180">
        <f>IF(OR(I212="",Settings!$B$6=""),"",IF(I212&gt;Settings!$B$6,"BUY",IF(I212&lt;-Settings!$B$6,"SELL","HOLD")))</f>
        <v/>
      </c>
      <c r="K212" s="180" t="n">
        <v>22</v>
      </c>
      <c r="L212" s="182" t="n">
        <v>45965</v>
      </c>
      <c r="M212" s="182" t="n">
        <v>45964</v>
      </c>
      <c r="N212" s="179" t="n">
        <v>644.09</v>
      </c>
      <c r="O212" s="182" t="n">
        <v>45965</v>
      </c>
      <c r="P212" s="180" t="n">
        <v>625.1799999999999</v>
      </c>
      <c r="Q212" s="184">
        <f>IF(OR(N212="",P212=""),"",ROUND((P212-N212)/N212,4))</f>
        <v/>
      </c>
      <c r="R212" s="177">
        <f>IF(OR(N212="",P212=""),"",IF(Q212&gt;Settings!$B$3/100,"UP",IF(Q212&lt;-Settings!$B$3/100,"DOWN","FLAT")))</f>
        <v/>
      </c>
      <c r="S212" s="177">
        <f>IF(OR(N212="",P212="",J212=""),"",IF(OR(AND(J212="BUY",R212="UP"),AND(J212="SELL",R212="DOWN"),AND(J212="HOLD",R212="FLAT")),"YES","NO"))</f>
        <v/>
      </c>
      <c r="T212" s="176">
        <f>IF(J212="","",IF(J212="BUY",1,IF(J212="SELL",-1,0)))</f>
        <v/>
      </c>
      <c r="U212" s="184">
        <f>IFERROR(IF(OR(J212="",N212="",P212=""),"",IF(T212=0,0,T212*Q212-Settings!$B$4/10000-IF(T212&lt;0,Settings!$B$5/10000,0))),"")</f>
        <v/>
      </c>
      <c r="V212" s="152" t="n"/>
      <c r="W212" s="176">
        <f>IF($K212="","",$K212*60)</f>
        <v/>
      </c>
      <c r="X212" s="186">
        <f>IF($A212="","",$A212&amp;"|"&amp;$C212&amp;"|"&amp;$D212)</f>
        <v/>
      </c>
      <c r="Y212" s="186">
        <f>IFERROR(IF($X212="","",INDEX(LLM_Data_Entry!$H$3:$H$548,MATCH($X212,INDEX(LLM_Data_Entry!$A$3:$A$548&amp;"|"&amp;LLM_Data_Entry!$C$3:$C$548&amp;"|"&amp;LLM_Data_Entry!$D$3:$D$548,0),0))),"")</f>
        <v/>
      </c>
      <c r="Z212" s="186">
        <f>IFERROR(IF($X212="","",INDEX(LLM_Data_Entry!$R$3:$R$548,MATCH($X212,INDEX(LLM_Data_Entry!$A$3:$A$548&amp;"|"&amp;LLM_Data_Entry!$C$3:$C$548&amp;"|"&amp;LLM_Data_Entry!$D$3:$D$548,0),0))),"")</f>
        <v/>
      </c>
      <c r="AA212" s="152" t="n"/>
      <c r="AB212" s="152" t="inlineStr">
        <is>
          <t>recorded window spanned two sessions, closed to one</t>
        </is>
      </c>
      <c r="AC212" s="152" t="inlineStr">
        <is>
          <t>SPOT</t>
        </is>
      </c>
      <c r="AD212" s="152" t="inlineStr">
        <is>
          <t>2025-11-03</t>
        </is>
      </c>
      <c r="AE212" s="152" t="n">
        <v>644.09</v>
      </c>
      <c r="AF212" s="152" t="inlineStr">
        <is>
          <t>2025-11-04</t>
        </is>
      </c>
      <c r="AG212" s="152" t="n">
        <v>625.1799999999999</v>
      </c>
      <c r="AH212" s="152" t="n">
        <v>-0.02935930259326931</v>
      </c>
      <c r="AI212" s="152" t="inlineStr">
        <is>
          <t>DOWN</t>
        </is>
      </c>
      <c r="AJ212" s="152" t="inlineStr">
        <is>
          <t>NO</t>
        </is>
      </c>
      <c r="AK212" s="152" t="n">
        <v>-0.030359</v>
      </c>
      <c r="AL212" s="152">
        <f>IF($A212="","",IFERROR(INDEX(Company_List!$G$3:$G$207,MATCH($A212,Company_List!$A$3:$A$207,0)),"unassigned"))</f>
        <v/>
      </c>
      <c r="AM212" s="152" t="inlineStr">
        <is>
          <t>Phase 3/Readings/Spotify/Q3-2025-Shareholder-Deck-FINAL.pdf</t>
        </is>
      </c>
      <c r="AN212" s="152" t="n"/>
      <c r="AO212" s="152" t="inlineStr">
        <is>
          <t>unique filename match</t>
        </is>
      </c>
      <c r="AP212" s="152">
        <f>IF($A212="","",IF(COUNTIFS(LLM_Data_Entry!$A$3:$A$548,$A212)&gt;0,"YES","NO"))</f>
        <v/>
      </c>
      <c r="AQ212" s="152">
        <f>IF($A212="","",IF(COUNTIFS($A$3:$A212,$A212,$C$3:$C212,$C212,$D$3:$D212,$D212)=1,"YES","NO"))</f>
        <v/>
      </c>
      <c r="AR212" s="152">
        <f>IF($A212="","",IF(AND($C212&amp;"-"&amp;$D212&gt;=Settings!$B$19,$C212&amp;"-"&amp;$D212&lt;=Settings!$B$20),"IN","OUT"))</f>
        <v/>
      </c>
      <c r="AS212" s="152">
        <f>IF($A212="","",IF($F212="Financial Results","financials",IF($F212="Outlook/Guidance","guidance",IF($F212="Transcript Q&amp;A","qanda",IF($F212="","unrecorded",IF($E212="All","full",IF($E212="","unrecorded",LOWER($E212)&amp;" only")))))))</f>
        <v/>
      </c>
      <c r="AT212" s="152">
        <f>IF(AND(OR($J212="BUY",$J212="SELL"),ISNUMBER($U212)),$U212,"")</f>
        <v/>
      </c>
      <c r="AU212" s="152">
        <f>IF(AND(OR($J212="BUY",$J212="SELL"),ISNUMBER($AK212)),$AK212,"")</f>
        <v/>
      </c>
      <c r="AV212" s="152">
        <f>IF(ISNUMBER($AT212),ABS(IF(ISNUMBER($I212),$I212,0)-Settings!$B$24),"")</f>
        <v/>
      </c>
      <c r="AW212" s="152">
        <f>IF(ISNUMBER($AV212),$AV212*$AT212,"")</f>
        <v/>
      </c>
      <c r="AX212" s="152">
        <f>IF(ISNUMBER($AU212),ABS(IF(ISNUMBER($I212),$I212,0)-Settings!$B$24),"")</f>
        <v/>
      </c>
      <c r="AY212" s="152" t="inlineStr">
        <is>
          <t>FROZEN</t>
        </is>
      </c>
      <c r="AZ212" s="152">
        <f>IF($A212="","",IFERROR(INDEX(Company_List!$H$3:$H$207,MATCH($A212,Company_List!$A$3:$A$207,0)),"unassigned"))</f>
        <v/>
      </c>
      <c r="BA212" s="152" t="n"/>
      <c r="BB212" s="152" t="n"/>
      <c r="BC212" s="152">
        <f>IF($A212="","",IF(COUNTIFS($A$3:$A212,$A212,$C$3:$C212,$C212,$D$3:$D212,$D212,$G$3:$G212,$G212)=1,1,0))</f>
        <v/>
      </c>
      <c r="BD212" s="152" t="n"/>
      <c r="BE212" s="152" t="n"/>
      <c r="BF212" s="152" t="n"/>
      <c r="BG212" s="152" t="inlineStr">
        <is>
          <t>no</t>
        </is>
      </c>
      <c r="BH212" s="152" t="n"/>
      <c r="BI212" s="152" t="n"/>
      <c r="BJ212" s="152" t="n"/>
      <c r="BK212" s="152">
        <f>IF(OR($H212&lt;&gt;"Human",$S212="",$J212="",$Y212="",$Z212=""),"",IF(EXACT(UPPER($J212),UPPER($Y212)),1,0))</f>
        <v/>
      </c>
      <c r="BL212" s="152" t="inlineStr">
        <is>
          <t>assumed - no rater record</t>
        </is>
      </c>
      <c r="BM212" s="152" t="n">
        <v>1</v>
      </c>
      <c r="BN212" s="152" t="inlineStr">
        <is>
          <t>not publisher-identified</t>
        </is>
      </c>
      <c r="BO212" s="152" t="inlineStr">
        <is>
          <t>not publisher-identified</t>
        </is>
      </c>
      <c r="BP212" s="152" t="inlineStr">
        <is>
          <t>no</t>
        </is>
      </c>
      <c r="BQ212" s="152" t="inlineStr">
        <is>
          <t>no</t>
        </is>
      </c>
      <c r="BR212" s="152" t="n"/>
      <c r="BS212" s="152" t="inlineStr">
        <is>
          <t>YES</t>
        </is>
      </c>
      <c r="BT212" s="152" t="n"/>
    </row>
    <row r="213" ht="15" customHeight="1" s="241">
      <c r="A213" s="191" t="inlineStr">
        <is>
          <t>Spotify</t>
        </is>
      </c>
      <c r="B213" s="188">
        <f>IF(A213="","",_xlfn.XLOOKUP(A213, Company_List!$A:$A, Company_List!$B:$B, ""))</f>
        <v/>
      </c>
      <c r="C213" s="177" t="n">
        <v>2025</v>
      </c>
      <c r="D213" s="177" t="inlineStr">
        <is>
          <t>Q2</t>
        </is>
      </c>
      <c r="E213" s="178" t="inlineStr">
        <is>
          <t>Presentation</t>
        </is>
      </c>
      <c r="F213" s="178" t="inlineStr">
        <is>
          <t>All</t>
        </is>
      </c>
      <c r="G213" s="177" t="inlineStr">
        <is>
          <t>Anna</t>
        </is>
      </c>
      <c r="H213" s="177" t="inlineStr">
        <is>
          <t>Human</t>
        </is>
      </c>
      <c r="I213" s="180" t="n">
        <v>0.4</v>
      </c>
      <c r="J213" s="180">
        <f>IF(OR(I213="",Settings!$B$6=""),"",IF(I213&gt;Settings!$B$6,"BUY",IF(I213&lt;-Settings!$B$6,"SELL","HOLD")))</f>
        <v/>
      </c>
      <c r="K213" s="180" t="n">
        <v>20</v>
      </c>
      <c r="L213" s="182" t="n">
        <v>45867</v>
      </c>
      <c r="M213" s="182" t="n">
        <v>45866</v>
      </c>
      <c r="N213" s="180" t="n">
        <v>700.98</v>
      </c>
      <c r="O213" s="182" t="n">
        <v>45867</v>
      </c>
      <c r="P213" s="180" t="n">
        <v>657.53</v>
      </c>
      <c r="Q213" s="184">
        <f>IF(OR(N213="",P213=""),"",ROUND((P213-N213)/N213,4))</f>
        <v/>
      </c>
      <c r="R213" s="177">
        <f>IF(OR(N213="",P213=""),"",IF(Q213&gt;Settings!$B$3/100,"UP",IF(Q213&lt;-Settings!$B$3/100,"DOWN","FLAT")))</f>
        <v/>
      </c>
      <c r="S213" s="177">
        <f>IF(OR(N213="",P213="",J213=""),"",IF(OR(AND(J213="BUY",R213="UP"),AND(J213="SELL",R213="DOWN"),AND(J213="HOLD",R213="FLAT")),"YES","NO"))</f>
        <v/>
      </c>
      <c r="T213" s="176">
        <f>IF(J213="","",IF(J213="BUY",1,IF(J213="SELL",-1,0)))</f>
        <v/>
      </c>
      <c r="U213" s="184">
        <f>IFERROR(IF(OR(J213="",N213="",P213=""),"",IF(T213=0,0,T213*Q213-Settings!$B$4/10000-IF(T213&lt;0,Settings!$B$5/10000,0))),"")</f>
        <v/>
      </c>
      <c r="V213" s="152" t="n"/>
      <c r="W213" s="176">
        <f>IF($K213="","",$K213*60)</f>
        <v/>
      </c>
      <c r="X213" s="186">
        <f>IF($A213="","",$A213&amp;"|"&amp;$C213&amp;"|"&amp;$D213)</f>
        <v/>
      </c>
      <c r="Y213" s="186">
        <f>IFERROR(IF($X213="","",INDEX(LLM_Data_Entry!$H$3:$H$548,MATCH($X213,INDEX(LLM_Data_Entry!$A$3:$A$548&amp;"|"&amp;LLM_Data_Entry!$C$3:$C$548&amp;"|"&amp;LLM_Data_Entry!$D$3:$D$548,0),0))),"")</f>
        <v/>
      </c>
      <c r="Z213" s="186">
        <f>IFERROR(IF($X213="","",INDEX(LLM_Data_Entry!$R$3:$R$548,MATCH($X213,INDEX(LLM_Data_Entry!$A$3:$A$548&amp;"|"&amp;LLM_Data_Entry!$C$3:$C$548&amp;"|"&amp;LLM_Data_Entry!$D$3:$D$548,0),0))),"")</f>
        <v/>
      </c>
      <c r="AA213" s="152" t="n"/>
      <c r="AB213" s="152" t="inlineStr">
        <is>
          <t>recorded window spanned two sessions, closed to one</t>
        </is>
      </c>
      <c r="AC213" s="152" t="inlineStr">
        <is>
          <t>SPOT</t>
        </is>
      </c>
      <c r="AD213" s="152" t="inlineStr">
        <is>
          <t>2025-07-28</t>
        </is>
      </c>
      <c r="AE213" s="152" t="n">
        <v>700.98</v>
      </c>
      <c r="AF213" s="152" t="inlineStr">
        <is>
          <t>2025-07-29</t>
        </is>
      </c>
      <c r="AG213" s="152" t="n">
        <v>657.53</v>
      </c>
      <c r="AH213" s="152" t="n">
        <v>-0.06198458192771774</v>
      </c>
      <c r="AI213" s="152" t="inlineStr">
        <is>
          <t>DOWN</t>
        </is>
      </c>
      <c r="AJ213" s="152" t="inlineStr">
        <is>
          <t>NO</t>
        </is>
      </c>
      <c r="AK213" s="152" t="n">
        <v>-0.062985</v>
      </c>
      <c r="AL213" s="152">
        <f>IF($A213="","",IFERROR(INDEX(Company_List!$G$3:$G$207,MATCH($A213,Company_List!$A$3:$A$207,0)),"unassigned"))</f>
        <v/>
      </c>
      <c r="AM213" s="152" t="inlineStr">
        <is>
          <t>Phase 3/Readings/Spotify/Q2-2025-Shareholder-Deck-FINAL.pdf</t>
        </is>
      </c>
      <c r="AN213" s="152" t="n"/>
      <c r="AO213" s="152" t="inlineStr">
        <is>
          <t>unique filename match</t>
        </is>
      </c>
      <c r="AP213" s="152">
        <f>IF($A213="","",IF(COUNTIFS(LLM_Data_Entry!$A$3:$A$548,$A213)&gt;0,"YES","NO"))</f>
        <v/>
      </c>
      <c r="AQ213" s="152">
        <f>IF($A213="","",IF(COUNTIFS($A$3:$A213,$A213,$C$3:$C213,$C213,$D$3:$D213,$D213)=1,"YES","NO"))</f>
        <v/>
      </c>
      <c r="AR213" s="152">
        <f>IF($A213="","",IF(AND($C213&amp;"-"&amp;$D213&gt;=Settings!$B$19,$C213&amp;"-"&amp;$D213&lt;=Settings!$B$20),"IN","OUT"))</f>
        <v/>
      </c>
      <c r="AS213" s="152">
        <f>IF($A213="","",IF($F213="Financial Results","financials",IF($F213="Outlook/Guidance","guidance",IF($F213="Transcript Q&amp;A","qanda",IF($F213="","unrecorded",IF($E213="All","full",IF($E213="","unrecorded",LOWER($E213)&amp;" only")))))))</f>
        <v/>
      </c>
      <c r="AT213" s="152">
        <f>IF(AND(OR($J213="BUY",$J213="SELL"),ISNUMBER($U213)),$U213,"")</f>
        <v/>
      </c>
      <c r="AU213" s="152">
        <f>IF(AND(OR($J213="BUY",$J213="SELL"),ISNUMBER($AK213)),$AK213,"")</f>
        <v/>
      </c>
      <c r="AV213" s="152">
        <f>IF(ISNUMBER($AT213),ABS(IF(ISNUMBER($I213),$I213,0)-Settings!$B$24),"")</f>
        <v/>
      </c>
      <c r="AW213" s="152">
        <f>IF(ISNUMBER($AV213),$AV213*$AT213,"")</f>
        <v/>
      </c>
      <c r="AX213" s="152">
        <f>IF(ISNUMBER($AU213),ABS(IF(ISNUMBER($I213),$I213,0)-Settings!$B$24),"")</f>
        <v/>
      </c>
      <c r="AY213" s="152" t="inlineStr">
        <is>
          <t>FROZEN</t>
        </is>
      </c>
      <c r="AZ213" s="152">
        <f>IF($A213="","",IFERROR(INDEX(Company_List!$H$3:$H$207,MATCH($A213,Company_List!$A$3:$A$207,0)),"unassigned"))</f>
        <v/>
      </c>
      <c r="BA213" s="152" t="n"/>
      <c r="BB213" s="152" t="n"/>
      <c r="BC213" s="152">
        <f>IF($A213="","",IF(COUNTIFS($A$3:$A213,$A213,$C$3:$C213,$C213,$D$3:$D213,$D213,$G$3:$G213,$G213)=1,1,0))</f>
        <v/>
      </c>
      <c r="BD213" s="152" t="n"/>
      <c r="BE213" s="152" t="n"/>
      <c r="BF213" s="152" t="n"/>
      <c r="BG213" s="152" t="inlineStr">
        <is>
          <t>no</t>
        </is>
      </c>
      <c r="BH213" s="152" t="n"/>
      <c r="BI213" s="152" t="n"/>
      <c r="BJ213" s="152" t="n"/>
      <c r="BK213" s="152">
        <f>IF(OR($H213&lt;&gt;"Human",$S213="",$J213="",$Y213="",$Z213=""),"",IF(EXACT(UPPER($J213),UPPER($Y213)),1,0))</f>
        <v/>
      </c>
      <c r="BL213" s="152" t="inlineStr">
        <is>
          <t>assumed - no rater record</t>
        </is>
      </c>
      <c r="BM213" s="152" t="n">
        <v>1</v>
      </c>
      <c r="BN213" s="152" t="inlineStr">
        <is>
          <t>not publisher-identified</t>
        </is>
      </c>
      <c r="BO213" s="152" t="inlineStr">
        <is>
          <t>not publisher-identified</t>
        </is>
      </c>
      <c r="BP213" s="152" t="inlineStr">
        <is>
          <t>no</t>
        </is>
      </c>
      <c r="BQ213" s="152" t="inlineStr">
        <is>
          <t>no</t>
        </is>
      </c>
      <c r="BR213" s="152" t="n"/>
      <c r="BS213" s="152" t="inlineStr">
        <is>
          <t>YES</t>
        </is>
      </c>
      <c r="BT213" s="152" t="n"/>
    </row>
    <row r="214" ht="15" customHeight="1" s="241">
      <c r="A214" s="191" t="inlineStr">
        <is>
          <t>Chipotle</t>
        </is>
      </c>
      <c r="B214" s="188">
        <f>IF(A214="","",_xlfn.XLOOKUP(A214, Company_List!$A:$A, Company_List!$B:$B, ""))</f>
        <v/>
      </c>
      <c r="C214" s="177" t="n">
        <v>2025</v>
      </c>
      <c r="D214" s="177" t="inlineStr">
        <is>
          <t>Q4</t>
        </is>
      </c>
      <c r="E214" s="178" t="inlineStr">
        <is>
          <t>Press Release Document</t>
        </is>
      </c>
      <c r="F214" s="178" t="inlineStr">
        <is>
          <t>All</t>
        </is>
      </c>
      <c r="G214" s="177" t="inlineStr">
        <is>
          <t>Anna</t>
        </is>
      </c>
      <c r="H214" s="177" t="inlineStr">
        <is>
          <t>Human</t>
        </is>
      </c>
      <c r="I214" s="180" t="n">
        <v>-0.2</v>
      </c>
      <c r="J214" s="180">
        <f>IF(OR(I214="",Settings!$B$6=""),"",IF(I214&gt;Settings!$B$6,"BUY",IF(I214&lt;-Settings!$B$6,"SELL","HOLD")))</f>
        <v/>
      </c>
      <c r="K214" s="180" t="n">
        <v>19</v>
      </c>
      <c r="L214" s="182" t="n">
        <v>46056</v>
      </c>
      <c r="M214" s="182" t="n">
        <v>46056</v>
      </c>
      <c r="N214" s="179" t="n">
        <v>39.17</v>
      </c>
      <c r="O214" s="182" t="n">
        <v>46057</v>
      </c>
      <c r="P214" s="180" t="n">
        <v>37.72</v>
      </c>
      <c r="Q214" s="184">
        <f>IF(OR(N214="",P214=""),"",ROUND((P214-N214)/N214,4))</f>
        <v/>
      </c>
      <c r="R214" s="177">
        <f>IF(OR(N214="",P214=""),"",IF(Q214&gt;Settings!$B$3/100,"UP",IF(Q214&lt;-Settings!$B$3/100,"DOWN","FLAT")))</f>
        <v/>
      </c>
      <c r="S214" s="177">
        <f>IF(OR(N214="",P214="",J214=""),"",IF(OR(AND(J214="BUY",R214="UP"),AND(J214="SELL",R214="DOWN"),AND(J214="HOLD",R214="FLAT")),"YES","NO"))</f>
        <v/>
      </c>
      <c r="T214" s="176">
        <f>IF(J214="","",IF(J214="BUY",1,IF(J214="SELL",-1,0)))</f>
        <v/>
      </c>
      <c r="U214" s="184">
        <f>IFERROR(IF(OR(J214="",N214="",P214=""),"",IF(T214=0,0,T214*Q214-Settings!$B$4/10000-IF(T214&lt;0,Settings!$B$5/10000,0))),"")</f>
        <v/>
      </c>
      <c r="V214" s="152" t="n"/>
      <c r="W214" s="176">
        <f>IF($K214="","",$K214*60)</f>
        <v/>
      </c>
      <c r="X214" s="186">
        <f>IF($A214="","",$A214&amp;"|"&amp;$C214&amp;"|"&amp;$D214)</f>
        <v/>
      </c>
      <c r="Y214" s="186">
        <f>IFERROR(IF($X214="","",INDEX(LLM_Data_Entry!$H$3:$H$548,MATCH($X214,INDEX(LLM_Data_Entry!$A$3:$A$548&amp;"|"&amp;LLM_Data_Entry!$C$3:$C$548&amp;"|"&amp;LLM_Data_Entry!$D$3:$D$548,0),0))),"")</f>
        <v/>
      </c>
      <c r="Z214" s="186">
        <f>IFERROR(IF($X214="","",INDEX(LLM_Data_Entry!$R$3:$R$548,MATCH($X214,INDEX(LLM_Data_Entry!$A$3:$A$548&amp;"|"&amp;LLM_Data_Entry!$C$3:$C$548&amp;"|"&amp;LLM_Data_Entry!$D$3:$D$548,0),0))),"")</f>
        <v/>
      </c>
      <c r="AA214" s="152" t="n"/>
      <c r="AB214" s="152" t="inlineStr">
        <is>
          <t>price signal — only this window shows an abnormal move</t>
        </is>
      </c>
      <c r="AC214" s="152" t="inlineStr">
        <is>
          <t>CMG</t>
        </is>
      </c>
      <c r="AD214" s="152" t="inlineStr">
        <is>
          <t>2026-02-03</t>
        </is>
      </c>
      <c r="AE214" s="152" t="n">
        <v>39.17</v>
      </c>
      <c r="AF214" s="152" t="inlineStr">
        <is>
          <t>2026-02-04</t>
        </is>
      </c>
      <c r="AG214" s="152" t="n">
        <v>37.72</v>
      </c>
      <c r="AH214" s="152" t="n">
        <v>-0.03701805141782229</v>
      </c>
      <c r="AI214" s="152" t="inlineStr">
        <is>
          <t>DOWN</t>
        </is>
      </c>
      <c r="AJ214" s="152" t="inlineStr">
        <is>
          <t>NO</t>
        </is>
      </c>
      <c r="AK214" s="152" t="n">
        <v>0</v>
      </c>
      <c r="AL214" s="152">
        <f>IF($A214="","",IFERROR(INDEX(Company_List!$G$3:$G$207,MATCH($A214,Company_List!$A$3:$A$207,0)),"unassigned"))</f>
        <v/>
      </c>
      <c r="AM214" s="152" t="inlineStr">
        <is>
          <t>Phase 3/Readings/Chipotle/2026-02-03-CHIPOTLE-ANNOUNCES-FOURTH-QUARTER-AND-FULL-YEAR-2025-RESULTS-IR.pdf</t>
        </is>
      </c>
      <c r="AN214" s="152" t="n"/>
      <c r="AO214" s="152" t="inlineStr">
        <is>
          <t>unique filename match</t>
        </is>
      </c>
      <c r="AP214" s="152">
        <f>IF($A214="","",IF(COUNTIFS(LLM_Data_Entry!$A$3:$A$548,$A214)&gt;0,"YES","NO"))</f>
        <v/>
      </c>
      <c r="AQ214" s="152">
        <f>IF($A214="","",IF(COUNTIFS($A$3:$A214,$A214,$C$3:$C214,$C214,$D$3:$D214,$D214)=1,"YES","NO"))</f>
        <v/>
      </c>
      <c r="AR214" s="152">
        <f>IF($A214="","",IF(AND($C214&amp;"-"&amp;$D214&gt;=Settings!$B$19,$C214&amp;"-"&amp;$D214&lt;=Settings!$B$20),"IN","OUT"))</f>
        <v/>
      </c>
      <c r="AS214" s="152">
        <f>IF($A214="","",IF($F214="Financial Results","financials",IF($F214="Outlook/Guidance","guidance",IF($F214="Transcript Q&amp;A","qanda",IF($F214="","unrecorded",IF($E214="All","full",IF($E214="","unrecorded",LOWER($E214)&amp;" only")))))))</f>
        <v/>
      </c>
      <c r="AT214" s="152">
        <f>IF(AND(OR($J214="BUY",$J214="SELL"),ISNUMBER($U214)),$U214,"")</f>
        <v/>
      </c>
      <c r="AU214" s="152">
        <f>IF(AND(OR($J214="BUY",$J214="SELL"),ISNUMBER($AK214)),$AK214,"")</f>
        <v/>
      </c>
      <c r="AV214" s="152">
        <f>IF(ISNUMBER($AT214),ABS(IF(ISNUMBER($I214),$I214,0)-Settings!$B$24),"")</f>
        <v/>
      </c>
      <c r="AW214" s="152">
        <f>IF(ISNUMBER($AV214),$AV214*$AT214,"")</f>
        <v/>
      </c>
      <c r="AX214" s="152">
        <f>IF(ISNUMBER($AU214),ABS(IF(ISNUMBER($I214),$I214,0)-Settings!$B$24),"")</f>
        <v/>
      </c>
      <c r="AY214" s="152" t="inlineStr">
        <is>
          <t>FROZEN</t>
        </is>
      </c>
      <c r="AZ214" s="152">
        <f>IF($A214="","",IFERROR(INDEX(Company_List!$H$3:$H$207,MATCH($A214,Company_List!$A$3:$A$207,0)),"unassigned"))</f>
        <v/>
      </c>
      <c r="BA214" s="152" t="n"/>
      <c r="BB214" s="152" t="n"/>
      <c r="BC214" s="152">
        <f>IF($A214="","",IF(COUNTIFS($A$3:$A214,$A214,$C$3:$C214,$C214,$D$3:$D214,$D214,$G$3:$G214,$G214)=1,1,0))</f>
        <v/>
      </c>
      <c r="BD214" s="152" t="n"/>
      <c r="BE214" s="152" t="n"/>
      <c r="BF214" s="152" t="n"/>
      <c r="BG214" s="152" t="inlineStr">
        <is>
          <t>no</t>
        </is>
      </c>
      <c r="BH214" s="152" t="n"/>
      <c r="BI214" s="152" t="n"/>
      <c r="BJ214" s="152" t="n"/>
      <c r="BK214" s="152">
        <f>IF(OR($H214&lt;&gt;"Human",$S214="",$J214="",$Y214="",$Z214=""),"",IF(EXACT(UPPER($J214),UPPER($Y214)),1,0))</f>
        <v/>
      </c>
      <c r="BL214" s="152" t="inlineStr">
        <is>
          <t>assumed - no rater record</t>
        </is>
      </c>
      <c r="BM214" s="152" t="n">
        <v>1</v>
      </c>
      <c r="BN214" s="152" t="inlineStr">
        <is>
          <t>not publisher-identified</t>
        </is>
      </c>
      <c r="BO214" s="152" t="inlineStr">
        <is>
          <t>not publisher-identified</t>
        </is>
      </c>
      <c r="BP214" s="152" t="inlineStr">
        <is>
          <t>no</t>
        </is>
      </c>
      <c r="BQ214" s="152" t="inlineStr">
        <is>
          <t>no</t>
        </is>
      </c>
      <c r="BR214" s="152" t="n"/>
      <c r="BS214" s="152" t="inlineStr">
        <is>
          <t>YES</t>
        </is>
      </c>
      <c r="BT214" s="152" t="n"/>
    </row>
    <row r="215" ht="15" customHeight="1" s="241">
      <c r="A215" s="191" t="inlineStr">
        <is>
          <t>Chipotle</t>
        </is>
      </c>
      <c r="B215" s="188">
        <f>IF(A215="","",_xlfn.XLOOKUP(A215, Company_List!$A:$A, Company_List!$B:$B, ""))</f>
        <v/>
      </c>
      <c r="C215" s="177" t="n">
        <v>2025</v>
      </c>
      <c r="D215" s="177" t="inlineStr">
        <is>
          <t>Q3</t>
        </is>
      </c>
      <c r="E215" s="178" t="inlineStr">
        <is>
          <t>Press Release Document</t>
        </is>
      </c>
      <c r="F215" s="178" t="inlineStr">
        <is>
          <t>All</t>
        </is>
      </c>
      <c r="G215" s="177" t="inlineStr">
        <is>
          <t>Anna</t>
        </is>
      </c>
      <c r="H215" s="177" t="inlineStr">
        <is>
          <t>Human</t>
        </is>
      </c>
      <c r="I215" s="180" t="n">
        <v>-0.1</v>
      </c>
      <c r="J215" s="180">
        <f>IF(OR(I215="",Settings!$B$6=""),"",IF(I215&gt;Settings!$B$6,"BUY",IF(I215&lt;-Settings!$B$6,"SELL","HOLD")))</f>
        <v/>
      </c>
      <c r="K215" s="180" t="n">
        <v>18</v>
      </c>
      <c r="L215" s="182" t="n">
        <v>45959</v>
      </c>
      <c r="M215" s="182" t="n">
        <v>45959</v>
      </c>
      <c r="N215" s="179" t="n">
        <v>39.76</v>
      </c>
      <c r="O215" s="182" t="n">
        <v>45960</v>
      </c>
      <c r="P215" s="180" t="n">
        <v>31.27</v>
      </c>
      <c r="Q215" s="184">
        <f>IF(OR(N215="",P215=""),"",ROUND((P215-N215)/N215,4))</f>
        <v/>
      </c>
      <c r="R215" s="177">
        <f>IF(OR(N215="",P215=""),"",IF(Q215&gt;Settings!$B$3/100,"UP",IF(Q215&lt;-Settings!$B$3/100,"DOWN","FLAT")))</f>
        <v/>
      </c>
      <c r="S215" s="177">
        <f>IF(OR(N215="",P215="",J215=""),"",IF(OR(AND(J215="BUY",R215="UP"),AND(J215="SELL",R215="DOWN"),AND(J215="HOLD",R215="FLAT")),"YES","NO"))</f>
        <v/>
      </c>
      <c r="T215" s="176">
        <f>IF(J215="","",IF(J215="BUY",1,IF(J215="SELL",-1,0)))</f>
        <v/>
      </c>
      <c r="U215" s="184">
        <f>IFERROR(IF(OR(J215="",N215="",P215=""),"",IF(T215=0,0,T215*Q215-Settings!$B$4/10000-IF(T215&lt;0,Settings!$B$5/10000,0))),"")</f>
        <v/>
      </c>
      <c r="V215" s="152" t="n"/>
      <c r="W215" s="176">
        <f>IF($K215="","",$K215*60)</f>
        <v/>
      </c>
      <c r="X215" s="186">
        <f>IF($A215="","",$A215&amp;"|"&amp;$C215&amp;"|"&amp;$D215)</f>
        <v/>
      </c>
      <c r="Y215" s="186">
        <f>IFERROR(IF($X215="","",INDEX(LLM_Data_Entry!$H$3:$H$548,MATCH($X215,INDEX(LLM_Data_Entry!$A$3:$A$548&amp;"|"&amp;LLM_Data_Entry!$C$3:$C$548&amp;"|"&amp;LLM_Data_Entry!$D$3:$D$548,0),0))),"")</f>
        <v/>
      </c>
      <c r="Z215" s="186">
        <f>IFERROR(IF($X215="","",INDEX(LLM_Data_Entry!$R$3:$R$548,MATCH($X215,INDEX(LLM_Data_Entry!$A$3:$A$548&amp;"|"&amp;LLM_Data_Entry!$C$3:$C$548&amp;"|"&amp;LLM_Data_Entry!$D$3:$D$548,0),0))),"")</f>
        <v/>
      </c>
      <c r="AA215" s="152" t="n"/>
      <c r="AB215" s="152" t="inlineStr">
        <is>
          <t>price signal — both moved; this one dominates</t>
        </is>
      </c>
      <c r="AC215" s="152" t="inlineStr">
        <is>
          <t>CMG</t>
        </is>
      </c>
      <c r="AD215" s="152" t="inlineStr">
        <is>
          <t>2025-10-29</t>
        </is>
      </c>
      <c r="AE215" s="152" t="n">
        <v>39.76</v>
      </c>
      <c r="AF215" s="152" t="inlineStr">
        <is>
          <t>2025-10-30</t>
        </is>
      </c>
      <c r="AG215" s="152" t="n">
        <v>31.27</v>
      </c>
      <c r="AH215" s="152" t="n">
        <v>-0.213531147561929</v>
      </c>
      <c r="AI215" s="152" t="inlineStr">
        <is>
          <t>DOWN</t>
        </is>
      </c>
      <c r="AJ215" s="152" t="inlineStr">
        <is>
          <t>NO</t>
        </is>
      </c>
      <c r="AK215" s="152" t="n">
        <v>0</v>
      </c>
      <c r="AL215" s="152">
        <f>IF($A215="","",IFERROR(INDEX(Company_List!$G$3:$G$207,MATCH($A215,Company_List!$A$3:$A$207,0)),"unassigned"))</f>
        <v/>
      </c>
      <c r="AM215" s="152" t="inlineStr">
        <is>
          <t>Phase 3/Readings/Chipotle/2025-Q3/CMG-2025-Q3-press-release-SEC-EX-99-1.htm</t>
        </is>
      </c>
      <c r="AN215" s="152" t="inlineStr">
        <is>
          <t>https://www.sec.gov/Archives/edgar/data/1058090/000105809025000086/cmg-20251029xex991.htm</t>
        </is>
      </c>
      <c r="AO215" s="152" t="inlineStr">
        <is>
          <t>manifest</t>
        </is>
      </c>
      <c r="AP215" s="152">
        <f>IF($A215="","",IF(COUNTIFS(LLM_Data_Entry!$A$3:$A$548,$A215)&gt;0,"YES","NO"))</f>
        <v/>
      </c>
      <c r="AQ215" s="152">
        <f>IF($A215="","",IF(COUNTIFS($A$3:$A215,$A215,$C$3:$C215,$C215,$D$3:$D215,$D215)=1,"YES","NO"))</f>
        <v/>
      </c>
      <c r="AR215" s="152">
        <f>IF($A215="","",IF(AND($C215&amp;"-"&amp;$D215&gt;=Settings!$B$19,$C215&amp;"-"&amp;$D215&lt;=Settings!$B$20),"IN","OUT"))</f>
        <v/>
      </c>
      <c r="AS215" s="152">
        <f>IF($A215="","",IF($F215="Financial Results","financials",IF($F215="Outlook/Guidance","guidance",IF($F215="Transcript Q&amp;A","qanda",IF($F215="","unrecorded",IF($E215="All","full",IF($E215="","unrecorded",LOWER($E215)&amp;" only")))))))</f>
        <v/>
      </c>
      <c r="AT215" s="152">
        <f>IF(AND(OR($J215="BUY",$J215="SELL"),ISNUMBER($U215)),$U215,"")</f>
        <v/>
      </c>
      <c r="AU215" s="152">
        <f>IF(AND(OR($J215="BUY",$J215="SELL"),ISNUMBER($AK215)),$AK215,"")</f>
        <v/>
      </c>
      <c r="AV215" s="152">
        <f>IF(ISNUMBER($AT215),ABS(IF(ISNUMBER($I215),$I215,0)-Settings!$B$24),"")</f>
        <v/>
      </c>
      <c r="AW215" s="152">
        <f>IF(ISNUMBER($AV215),$AV215*$AT215,"")</f>
        <v/>
      </c>
      <c r="AX215" s="152">
        <f>IF(ISNUMBER($AU215),ABS(IF(ISNUMBER($I215),$I215,0)-Settings!$B$24),"")</f>
        <v/>
      </c>
      <c r="AY215" s="152" t="inlineStr">
        <is>
          <t>FROZEN</t>
        </is>
      </c>
      <c r="AZ215" s="152">
        <f>IF($A215="","",IFERROR(INDEX(Company_List!$H$3:$H$207,MATCH($A215,Company_List!$A$3:$A$207,0)),"unassigned"))</f>
        <v/>
      </c>
      <c r="BA215" s="152" t="n"/>
      <c r="BB215" s="152" t="n"/>
      <c r="BC215" s="152">
        <f>IF($A215="","",IF(COUNTIFS($A$3:$A215,$A215,$C$3:$C215,$C215,$D$3:$D215,$D215,$G$3:$G215,$G215)=1,1,0))</f>
        <v/>
      </c>
      <c r="BD215" s="152" t="n"/>
      <c r="BE215" s="152" t="n"/>
      <c r="BF215" s="152" t="n"/>
      <c r="BG215" s="152" t="inlineStr">
        <is>
          <t>no</t>
        </is>
      </c>
      <c r="BH215" s="152" t="n"/>
      <c r="BI215" s="152" t="n"/>
      <c r="BJ215" s="152" t="n"/>
      <c r="BK215" s="152">
        <f>IF(OR($H215&lt;&gt;"Human",$S215="",$J215="",$Y215="",$Z215=""),"",IF(EXACT(UPPER($J215),UPPER($Y215)),1,0))</f>
        <v/>
      </c>
      <c r="BL215" s="152" t="inlineStr">
        <is>
          <t>assumed - no rater record</t>
        </is>
      </c>
      <c r="BM215" s="152" t="n">
        <v>1</v>
      </c>
      <c r="BN215" s="152" t="inlineStr">
        <is>
          <t>not publisher-identified</t>
        </is>
      </c>
      <c r="BO215" s="152" t="inlineStr">
        <is>
          <t>not publisher-identified</t>
        </is>
      </c>
      <c r="BP215" s="152" t="inlineStr">
        <is>
          <t>no</t>
        </is>
      </c>
      <c r="BQ215" s="152" t="inlineStr">
        <is>
          <t>yes</t>
        </is>
      </c>
      <c r="BR215" s="152" t="n"/>
      <c r="BS215" s="152" t="inlineStr">
        <is>
          <t>YES</t>
        </is>
      </c>
      <c r="BT215" s="152" t="n"/>
    </row>
    <row r="216" ht="15" customHeight="1" s="241">
      <c r="A216" s="191" t="inlineStr">
        <is>
          <t>Chipotle</t>
        </is>
      </c>
      <c r="B216" s="188">
        <f>IF(A216="","",_xlfn.XLOOKUP(A216, Company_List!$A:$A, Company_List!$B:$B, ""))</f>
        <v/>
      </c>
      <c r="C216" s="177" t="n">
        <v>2025</v>
      </c>
      <c r="D216" s="177" t="inlineStr">
        <is>
          <t>Q2</t>
        </is>
      </c>
      <c r="E216" s="178" t="inlineStr">
        <is>
          <t>Press Release Document</t>
        </is>
      </c>
      <c r="F216" s="178" t="inlineStr">
        <is>
          <t>All</t>
        </is>
      </c>
      <c r="G216" s="177" t="inlineStr">
        <is>
          <t>Anna</t>
        </is>
      </c>
      <c r="H216" s="177" t="inlineStr">
        <is>
          <t>Human</t>
        </is>
      </c>
      <c r="I216" s="180" t="n">
        <v>-0.4</v>
      </c>
      <c r="J216" s="180">
        <f>IF(OR(I216="",Settings!$B$6=""),"",IF(I216&gt;Settings!$B$6,"BUY",IF(I216&lt;-Settings!$B$6,"SELL","HOLD")))</f>
        <v/>
      </c>
      <c r="K216" s="180" t="n">
        <v>10</v>
      </c>
      <c r="L216" s="182" t="n">
        <v>45861</v>
      </c>
      <c r="M216" s="182" t="n">
        <v>45861</v>
      </c>
      <c r="N216" s="179" t="n">
        <v>52.78</v>
      </c>
      <c r="O216" s="182" t="n">
        <v>45862</v>
      </c>
      <c r="P216" s="180" t="n">
        <v>46.2</v>
      </c>
      <c r="Q216" s="184">
        <f>IF(OR(N216="",P216=""),"",ROUND((P216-N216)/N216,4))</f>
        <v/>
      </c>
      <c r="R216" s="177">
        <f>IF(OR(N216="",P216=""),"",IF(Q216&gt;Settings!$B$3/100,"UP",IF(Q216&lt;-Settings!$B$3/100,"DOWN","FLAT")))</f>
        <v/>
      </c>
      <c r="S216" s="177">
        <f>IF(OR(N216="",P216="",J216=""),"",IF(OR(AND(J216="BUY",R216="UP"),AND(J216="SELL",R216="DOWN"),AND(J216="HOLD",R216="FLAT")),"YES","NO"))</f>
        <v/>
      </c>
      <c r="T216" s="176">
        <f>IF(J216="","",IF(J216="BUY",1,IF(J216="SELL",-1,0)))</f>
        <v/>
      </c>
      <c r="U216" s="184">
        <f>IFERROR(IF(OR(J216="",N216="",P216=""),"",IF(T216=0,0,T216*Q216-Settings!$B$4/10000-IF(T216&lt;0,Settings!$B$5/10000,0))),"")</f>
        <v/>
      </c>
      <c r="V216" s="152" t="n"/>
      <c r="W216" s="176">
        <f>IF($K216="","",$K216*60)</f>
        <v/>
      </c>
      <c r="X216" s="186">
        <f>IF($A216="","",$A216&amp;"|"&amp;$C216&amp;"|"&amp;$D216)</f>
        <v/>
      </c>
      <c r="Y216" s="186">
        <f>IFERROR(IF($X216="","",INDEX(LLM_Data_Entry!$H$3:$H$548,MATCH($X216,INDEX(LLM_Data_Entry!$A$3:$A$548&amp;"|"&amp;LLM_Data_Entry!$C$3:$C$548&amp;"|"&amp;LLM_Data_Entry!$D$3:$D$548,0),0))),"")</f>
        <v/>
      </c>
      <c r="Z216" s="186">
        <f>IFERROR(IF($X216="","",INDEX(LLM_Data_Entry!$R$3:$R$548,MATCH($X216,INDEX(LLM_Data_Entry!$A$3:$A$548&amp;"|"&amp;LLM_Data_Entry!$C$3:$C$548&amp;"|"&amp;LLM_Data_Entry!$D$3:$D$548,0),0))),"")</f>
        <v/>
      </c>
      <c r="AA216" s="152" t="n"/>
      <c r="AB216" s="152" t="inlineStr">
        <is>
          <t>price signal — only this window shows an abnormal move</t>
        </is>
      </c>
      <c r="AC216" s="152" t="inlineStr">
        <is>
          <t>CMG</t>
        </is>
      </c>
      <c r="AD216" s="152" t="inlineStr">
        <is>
          <t>2025-07-23</t>
        </is>
      </c>
      <c r="AE216" s="152" t="n">
        <v>52.78</v>
      </c>
      <c r="AF216" s="152" t="inlineStr">
        <is>
          <t>2025-07-24</t>
        </is>
      </c>
      <c r="AG216" s="152" t="n">
        <v>46.2</v>
      </c>
      <c r="AH216" s="152" t="n">
        <v>-0.12466839948216</v>
      </c>
      <c r="AI216" s="152" t="inlineStr">
        <is>
          <t>DOWN</t>
        </is>
      </c>
      <c r="AJ216" s="152" t="inlineStr">
        <is>
          <t>YES</t>
        </is>
      </c>
      <c r="AK216" s="152" t="n">
        <v>0.123668</v>
      </c>
      <c r="AL216" s="152">
        <f>IF($A216="","",IFERROR(INDEX(Company_List!$G$3:$G$207,MATCH($A216,Company_List!$A$3:$A$207,0)),"unassigned"))</f>
        <v/>
      </c>
      <c r="AM216" s="152" t="inlineStr">
        <is>
          <t>Phase 3/Readings/Chipotle/2025-Q2/CMG-2025-Q2-press-release-SEC-EX-99-1.htm</t>
        </is>
      </c>
      <c r="AN216" s="152" t="inlineStr">
        <is>
          <t>https://www.sec.gov/Archives/edgar/data/1058090/000105809025000055/cmg-20250723xex991.htm</t>
        </is>
      </c>
      <c r="AO216" s="152" t="inlineStr">
        <is>
          <t>manifest</t>
        </is>
      </c>
      <c r="AP216" s="152">
        <f>IF($A216="","",IF(COUNTIFS(LLM_Data_Entry!$A$3:$A$548,$A216)&gt;0,"YES","NO"))</f>
        <v/>
      </c>
      <c r="AQ216" s="152">
        <f>IF($A216="","",IF(COUNTIFS($A$3:$A216,$A216,$C$3:$C216,$C216,$D$3:$D216,$D216)=1,"YES","NO"))</f>
        <v/>
      </c>
      <c r="AR216" s="152">
        <f>IF($A216="","",IF(AND($C216&amp;"-"&amp;$D216&gt;=Settings!$B$19,$C216&amp;"-"&amp;$D216&lt;=Settings!$B$20),"IN","OUT"))</f>
        <v/>
      </c>
      <c r="AS216" s="152">
        <f>IF($A216="","",IF($F216="Financial Results","financials",IF($F216="Outlook/Guidance","guidance",IF($F216="Transcript Q&amp;A","qanda",IF($F216="","unrecorded",IF($E216="All","full",IF($E216="","unrecorded",LOWER($E216)&amp;" only")))))))</f>
        <v/>
      </c>
      <c r="AT216" s="152">
        <f>IF(AND(OR($J216="BUY",$J216="SELL"),ISNUMBER($U216)),$U216,"")</f>
        <v/>
      </c>
      <c r="AU216" s="152">
        <f>IF(AND(OR($J216="BUY",$J216="SELL"),ISNUMBER($AK216)),$AK216,"")</f>
        <v/>
      </c>
      <c r="AV216" s="152">
        <f>IF(ISNUMBER($AT216),ABS(IF(ISNUMBER($I216),$I216,0)-Settings!$B$24),"")</f>
        <v/>
      </c>
      <c r="AW216" s="152">
        <f>IF(ISNUMBER($AV216),$AV216*$AT216,"")</f>
        <v/>
      </c>
      <c r="AX216" s="152">
        <f>IF(ISNUMBER($AU216),ABS(IF(ISNUMBER($I216),$I216,0)-Settings!$B$24),"")</f>
        <v/>
      </c>
      <c r="AY216" s="152" t="inlineStr">
        <is>
          <t>FROZEN</t>
        </is>
      </c>
      <c r="AZ216" s="152">
        <f>IF($A216="","",IFERROR(INDEX(Company_List!$H$3:$H$207,MATCH($A216,Company_List!$A$3:$A$207,0)),"unassigned"))</f>
        <v/>
      </c>
      <c r="BA216" s="152" t="n"/>
      <c r="BB216" s="152" t="n"/>
      <c r="BC216" s="152">
        <f>IF($A216="","",IF(COUNTIFS($A$3:$A216,$A216,$C$3:$C216,$C216,$D$3:$D216,$D216,$G$3:$G216,$G216)=1,1,0))</f>
        <v/>
      </c>
      <c r="BD216" s="152" t="n"/>
      <c r="BE216" s="152" t="n"/>
      <c r="BF216" s="152" t="n"/>
      <c r="BG216" s="152" t="inlineStr">
        <is>
          <t>no</t>
        </is>
      </c>
      <c r="BH216" s="152" t="n"/>
      <c r="BI216" s="152" t="n"/>
      <c r="BJ216" s="152" t="n"/>
      <c r="BK216" s="152">
        <f>IF(OR($H216&lt;&gt;"Human",$S216="",$J216="",$Y216="",$Z216=""),"",IF(EXACT(UPPER($J216),UPPER($Y216)),1,0))</f>
        <v/>
      </c>
      <c r="BL216" s="152" t="inlineStr">
        <is>
          <t>assumed - no rater record</t>
        </is>
      </c>
      <c r="BM216" s="152" t="n">
        <v>1</v>
      </c>
      <c r="BN216" s="152" t="inlineStr">
        <is>
          <t>not publisher-identified</t>
        </is>
      </c>
      <c r="BO216" s="152" t="inlineStr">
        <is>
          <t>not publisher-identified</t>
        </is>
      </c>
      <c r="BP216" s="152" t="inlineStr">
        <is>
          <t>no</t>
        </is>
      </c>
      <c r="BQ216" s="152" t="inlineStr">
        <is>
          <t>yes</t>
        </is>
      </c>
      <c r="BR216" s="152" t="n"/>
      <c r="BS216" s="152" t="inlineStr">
        <is>
          <t>YES</t>
        </is>
      </c>
      <c r="BT216" s="152" t="n"/>
    </row>
    <row r="217" ht="15" customHeight="1" s="241">
      <c r="A217" s="191" t="inlineStr">
        <is>
          <t>Chipotle</t>
        </is>
      </c>
      <c r="B217" s="188">
        <f>IF(A217="","",_xlfn.XLOOKUP(A217, Company_List!$A:$A, Company_List!$B:$B, ""))</f>
        <v/>
      </c>
      <c r="C217" s="177" t="n">
        <v>2025</v>
      </c>
      <c r="D217" s="177" t="inlineStr">
        <is>
          <t>Q1</t>
        </is>
      </c>
      <c r="E217" s="178" t="inlineStr">
        <is>
          <t>Press Release Document</t>
        </is>
      </c>
      <c r="F217" s="178" t="inlineStr">
        <is>
          <t>All</t>
        </is>
      </c>
      <c r="G217" s="177" t="inlineStr">
        <is>
          <t>Anna</t>
        </is>
      </c>
      <c r="H217" s="177" t="inlineStr">
        <is>
          <t>Human</t>
        </is>
      </c>
      <c r="I217" s="180" t="n">
        <v>-0.2</v>
      </c>
      <c r="J217" s="180">
        <f>IF(OR(I217="",Settings!$B$6=""),"",IF(I217&gt;Settings!$B$6,"BUY",IF(I217&lt;-Settings!$B$6,"SELL","HOLD")))</f>
        <v/>
      </c>
      <c r="K217" s="180" t="n">
        <v>12</v>
      </c>
      <c r="L217" s="182" t="n">
        <v>45770</v>
      </c>
      <c r="M217" s="182" t="n">
        <v>45770</v>
      </c>
      <c r="N217" s="179" t="n">
        <v>48.76</v>
      </c>
      <c r="O217" s="182" t="n">
        <v>45771</v>
      </c>
      <c r="P217" s="180" t="n">
        <v>49.2</v>
      </c>
      <c r="Q217" s="184">
        <f>IF(OR(N217="",P217=""),"",ROUND((P217-N217)/N217,4))</f>
        <v/>
      </c>
      <c r="R217" s="177">
        <f>IF(OR(N217="",P217=""),"",IF(Q217&gt;Settings!$B$3/100,"UP",IF(Q217&lt;-Settings!$B$3/100,"DOWN","FLAT")))</f>
        <v/>
      </c>
      <c r="S217" s="177">
        <f>IF(OR(N217="",P217="",J217=""),"",IF(OR(AND(J217="BUY",R217="UP"),AND(J217="SELL",R217="DOWN"),AND(J217="HOLD",R217="FLAT")),"YES","NO"))</f>
        <v/>
      </c>
      <c r="T217" s="176">
        <f>IF(J217="","",IF(J217="BUY",1,IF(J217="SELL",-1,0)))</f>
        <v/>
      </c>
      <c r="U217" s="184">
        <f>IFERROR(IF(OR(J217="",N217="",P217=""),"",IF(T217=0,0,T217*Q217-Settings!$B$4/10000-IF(T217&lt;0,Settings!$B$5/10000,0))),"")</f>
        <v/>
      </c>
      <c r="V217" s="152" t="n"/>
      <c r="W217" s="176">
        <f>IF($K217="","",$K217*60)</f>
        <v/>
      </c>
      <c r="X217" s="186">
        <f>IF($A217="","",$A217&amp;"|"&amp;$C217&amp;"|"&amp;$D217)</f>
        <v/>
      </c>
      <c r="Y217" s="186">
        <f>IFERROR(IF($X217="","",INDEX(LLM_Data_Entry!$H$3:$H$548,MATCH($X217,INDEX(LLM_Data_Entry!$A$3:$A$548&amp;"|"&amp;LLM_Data_Entry!$C$3:$C$548&amp;"|"&amp;LLM_Data_Entry!$D$3:$D$548,0),0))),"")</f>
        <v/>
      </c>
      <c r="Z217" s="186">
        <f>IFERROR(IF($X217="","",INDEX(LLM_Data_Entry!$R$3:$R$548,MATCH($X217,INDEX(LLM_Data_Entry!$A$3:$A$548&amp;"|"&amp;LLM_Data_Entry!$C$3:$C$548&amp;"|"&amp;LLM_Data_Entry!$D$3:$D$548,0),0))),"")</f>
        <v/>
      </c>
      <c r="AA217" s="152" t="n"/>
      <c r="AB217" s="152" t="inlineStr">
        <is>
          <t>price signal</t>
        </is>
      </c>
      <c r="AC217" s="152" t="inlineStr">
        <is>
          <t>CMG</t>
        </is>
      </c>
      <c r="AD217" s="152" t="inlineStr">
        <is>
          <t>2025-04-22</t>
        </is>
      </c>
      <c r="AE217" s="152" t="n">
        <v>47.1</v>
      </c>
      <c r="AF217" s="152" t="inlineStr">
        <is>
          <t>2025-04-23</t>
        </is>
      </c>
      <c r="AG217" s="152" t="n">
        <v>48.87</v>
      </c>
      <c r="AH217" s="152" t="n">
        <v>0.03757964066155588</v>
      </c>
      <c r="AI217" s="152" t="inlineStr">
        <is>
          <t>UP</t>
        </is>
      </c>
      <c r="AJ217" s="152" t="inlineStr">
        <is>
          <t>NO</t>
        </is>
      </c>
      <c r="AK217" s="152" t="n">
        <v>0</v>
      </c>
      <c r="AL217" s="152">
        <f>IF($A217="","",IFERROR(INDEX(Company_List!$G$3:$G$207,MATCH($A217,Company_List!$A$3:$A$207,0)),"unassigned"))</f>
        <v/>
      </c>
      <c r="AM217" s="152" t="inlineStr">
        <is>
          <t>Phase 3/Readings/Chipotle/2025-Q1/CMG-2025-Q1-press-release-SEC-EX-99-1.htm</t>
        </is>
      </c>
      <c r="AN217" s="152" t="inlineStr">
        <is>
          <t>https://www.sec.gov/Archives/edgar/data/1058090/000105809025000028/cmg-20250423xex991.htm</t>
        </is>
      </c>
      <c r="AO217" s="152" t="inlineStr">
        <is>
          <t>manifest</t>
        </is>
      </c>
      <c r="AP217" s="152">
        <f>IF($A217="","",IF(COUNTIFS(LLM_Data_Entry!$A$3:$A$548,$A217)&gt;0,"YES","NO"))</f>
        <v/>
      </c>
      <c r="AQ217" s="152">
        <f>IF($A217="","",IF(COUNTIFS($A$3:$A217,$A217,$C$3:$C217,$C217,$D$3:$D217,$D217)=1,"YES","NO"))</f>
        <v/>
      </c>
      <c r="AR217" s="152">
        <f>IF($A217="","",IF(AND($C217&amp;"-"&amp;$D217&gt;=Settings!$B$19,$C217&amp;"-"&amp;$D217&lt;=Settings!$B$20),"IN","OUT"))</f>
        <v/>
      </c>
      <c r="AS217" s="152">
        <f>IF($A217="","",IF($F217="Financial Results","financials",IF($F217="Outlook/Guidance","guidance",IF($F217="Transcript Q&amp;A","qanda",IF($F217="","unrecorded",IF($E217="All","full",IF($E217="","unrecorded",LOWER($E217)&amp;" only")))))))</f>
        <v/>
      </c>
      <c r="AT217" s="152">
        <f>IF(AND(OR($J217="BUY",$J217="SELL"),ISNUMBER($U217)),$U217,"")</f>
        <v/>
      </c>
      <c r="AU217" s="152">
        <f>IF(AND(OR($J217="BUY",$J217="SELL"),ISNUMBER($AK217)),$AK217,"")</f>
        <v/>
      </c>
      <c r="AV217" s="152">
        <f>IF(ISNUMBER($AT217),ABS(IF(ISNUMBER($I217),$I217,0)-Settings!$B$24),"")</f>
        <v/>
      </c>
      <c r="AW217" s="152">
        <f>IF(ISNUMBER($AV217),$AV217*$AT217,"")</f>
        <v/>
      </c>
      <c r="AX217" s="152">
        <f>IF(ISNUMBER($AU217),ABS(IF(ISNUMBER($I217),$I217,0)-Settings!$B$24),"")</f>
        <v/>
      </c>
      <c r="AY217" s="152" t="inlineStr">
        <is>
          <t>FROZEN</t>
        </is>
      </c>
      <c r="AZ217" s="152">
        <f>IF($A217="","",IFERROR(INDEX(Company_List!$H$3:$H$207,MATCH($A217,Company_List!$A$3:$A$207,0)),"unassigned"))</f>
        <v/>
      </c>
      <c r="BA217" s="152" t="n"/>
      <c r="BB217" s="152" t="n"/>
      <c r="BC217" s="152">
        <f>IF($A217="","",IF(COUNTIFS($A$3:$A217,$A217,$C$3:$C217,$C217,$D$3:$D217,$D217,$G$3:$G217,$G217)=1,1,0))</f>
        <v/>
      </c>
      <c r="BD217" s="152" t="n"/>
      <c r="BE217" s="152" t="n"/>
      <c r="BF217" s="152" t="n"/>
      <c r="BG217" s="152" t="inlineStr">
        <is>
          <t>no</t>
        </is>
      </c>
      <c r="BH217" s="152" t="n"/>
      <c r="BI217" s="152" t="n"/>
      <c r="BJ217" s="152" t="n"/>
      <c r="BK217" s="152">
        <f>IF(OR($H217&lt;&gt;"Human",$S217="",$J217="",$Y217="",$Z217=""),"",IF(EXACT(UPPER($J217),UPPER($Y217)),1,0))</f>
        <v/>
      </c>
      <c r="BL217" s="152" t="inlineStr">
        <is>
          <t>assumed - no rater record</t>
        </is>
      </c>
      <c r="BM217" s="152" t="n">
        <v>1</v>
      </c>
      <c r="BN217" s="152" t="inlineStr">
        <is>
          <t>not publisher-identified</t>
        </is>
      </c>
      <c r="BO217" s="152" t="inlineStr">
        <is>
          <t>not publisher-identified</t>
        </is>
      </c>
      <c r="BP217" s="152" t="inlineStr">
        <is>
          <t>no</t>
        </is>
      </c>
      <c r="BQ217" s="152" t="inlineStr">
        <is>
          <t>yes</t>
        </is>
      </c>
      <c r="BR217" s="152" t="n"/>
      <c r="BS217" s="152" t="inlineStr">
        <is>
          <t>YES</t>
        </is>
      </c>
      <c r="BT217" s="152" t="n"/>
    </row>
    <row r="218" ht="15" customHeight="1" s="241">
      <c r="A218" s="191" t="inlineStr">
        <is>
          <t>Heineken</t>
        </is>
      </c>
      <c r="B218" s="188">
        <f>IF(A218="","",_xlfn.XLOOKUP(A218, Company_List!$A:$A, Company_List!$B:$B, ""))</f>
        <v/>
      </c>
      <c r="C218" s="177" t="n">
        <v>2025</v>
      </c>
      <c r="D218" s="177" t="inlineStr">
        <is>
          <t>Q3</t>
        </is>
      </c>
      <c r="E218" s="178" t="inlineStr">
        <is>
          <t>Presentation</t>
        </is>
      </c>
      <c r="F218" s="178" t="inlineStr">
        <is>
          <t>All</t>
        </is>
      </c>
      <c r="G218" s="177" t="inlineStr">
        <is>
          <t>Anna</t>
        </is>
      </c>
      <c r="H218" s="177" t="inlineStr">
        <is>
          <t>Human</t>
        </is>
      </c>
      <c r="I218" s="180" t="n">
        <v>-0.3</v>
      </c>
      <c r="J218" s="180">
        <f>IF(OR(I218="",Settings!$B$6=""),"",IF(I218&gt;Settings!$B$6,"BUY",IF(I218&lt;-Settings!$B$6,"SELL","HOLD")))</f>
        <v/>
      </c>
      <c r="K218" s="180" t="n">
        <v>10</v>
      </c>
      <c r="L218" s="182" t="n">
        <v>45952</v>
      </c>
      <c r="M218" s="182" t="n">
        <v>45951</v>
      </c>
      <c r="N218" s="179" t="n">
        <v>69.48139999999999</v>
      </c>
      <c r="O218" s="182" t="n">
        <v>45952</v>
      </c>
      <c r="P218" s="180" t="n">
        <v>68.7486</v>
      </c>
      <c r="Q218" s="184">
        <f>IF(OR(N218="",P218=""),"",ROUND((P218-N218)/N218,4))</f>
        <v/>
      </c>
      <c r="R218" s="177">
        <f>IF(OR(N218="",P218=""),"",IF(Q218&gt;Settings!$B$3/100,"UP",IF(Q218&lt;-Settings!$B$3/100,"DOWN","FLAT")))</f>
        <v/>
      </c>
      <c r="S218" s="177">
        <f>IF(OR(N218="",P218="",J218=""),"",IF(OR(AND(J218="BUY",R218="UP"),AND(J218="SELL",R218="DOWN"),AND(J218="HOLD",R218="FLAT")),"YES","NO"))</f>
        <v/>
      </c>
      <c r="T218" s="176">
        <f>IF(J218="","",IF(J218="BUY",1,IF(J218="SELL",-1,0)))</f>
        <v/>
      </c>
      <c r="U218" s="184">
        <f>IFERROR(IF(OR(J218="",N218="",P218=""),"",IF(T218=0,0,T218*Q218-Settings!$B$4/10000-IF(T218&lt;0,Settings!$B$5/10000,0))),"")</f>
        <v/>
      </c>
      <c r="V218" s="152" t="n"/>
      <c r="W218" s="176">
        <f>IF($K218="","",$K218*60)</f>
        <v/>
      </c>
      <c r="X218" s="186">
        <f>IF($A218="","",$A218&amp;"|"&amp;$C218&amp;"|"&amp;$D218)</f>
        <v/>
      </c>
      <c r="Y218" s="186">
        <f>IFERROR(IF($X218="","",INDEX(LLM_Data_Entry!$H$3:$H$548,MATCH($X218,INDEX(LLM_Data_Entry!$A$3:$A$548&amp;"|"&amp;LLM_Data_Entry!$C$3:$C$548&amp;"|"&amp;LLM_Data_Entry!$D$3:$D$548,0),0))),"")</f>
        <v/>
      </c>
      <c r="Z218" s="186">
        <f>IFERROR(IF($X218="","",INDEX(LLM_Data_Entry!$R$3:$R$548,MATCH($X218,INDEX(LLM_Data_Entry!$A$3:$A$548&amp;"|"&amp;LLM_Data_Entry!$C$3:$C$548&amp;"|"&amp;LLM_Data_Entry!$D$3:$D$548,0),0))),"")</f>
        <v/>
      </c>
      <c r="AA218" s="152" t="n"/>
      <c r="AB218" s="152" t="inlineStr">
        <is>
          <t>recorded price identified against every pulled series</t>
        </is>
      </c>
      <c r="AC218" s="152" t="inlineStr">
        <is>
          <t>HEIA.AS</t>
        </is>
      </c>
      <c r="AD218" s="152" t="inlineStr">
        <is>
          <t>2025-10-21</t>
        </is>
      </c>
      <c r="AE218" s="152" t="n">
        <v>69.48139999999999</v>
      </c>
      <c r="AF218" s="152" t="inlineStr">
        <is>
          <t>2025-10-22</t>
        </is>
      </c>
      <c r="AG218" s="152" t="n">
        <v>68.7486</v>
      </c>
      <c r="AH218" s="152" t="n">
        <v>-0.01054740485912891</v>
      </c>
      <c r="AI218" s="152" t="inlineStr">
        <is>
          <t>FLAT</t>
        </is>
      </c>
      <c r="AJ218" s="152" t="inlineStr">
        <is>
          <t>NO</t>
        </is>
      </c>
      <c r="AK218" s="152" t="n">
        <v>0.009547</v>
      </c>
      <c r="AL218" s="152">
        <f>IF($A218="","",IFERROR(INDEX(Company_List!$G$3:$G$207,MATCH($A218,Company_List!$A$3:$A$207,0)),"unassigned"))</f>
        <v/>
      </c>
      <c r="AM218" s="152" t="inlineStr">
        <is>
          <t>Phase 3/Readings/Heineken/heineken-q3-2025-trading-update-presentation-vF.pdf</t>
        </is>
      </c>
      <c r="AN218" s="152" t="n"/>
      <c r="AO218" s="152" t="inlineStr">
        <is>
          <t>unique filename match</t>
        </is>
      </c>
      <c r="AP218" s="152">
        <f>IF($A218="","",IF(COUNTIFS(LLM_Data_Entry!$A$3:$A$548,$A218)&gt;0,"YES","NO"))</f>
        <v/>
      </c>
      <c r="AQ218" s="152">
        <f>IF($A218="","",IF(COUNTIFS($A$3:$A218,$A218,$C$3:$C218,$C218,$D$3:$D218,$D218)=1,"YES","NO"))</f>
        <v/>
      </c>
      <c r="AR218" s="152">
        <f>IF($A218="","",IF(AND($C218&amp;"-"&amp;$D218&gt;=Settings!$B$19,$C218&amp;"-"&amp;$D218&lt;=Settings!$B$20),"IN","OUT"))</f>
        <v/>
      </c>
      <c r="AS218" s="152">
        <f>IF($A218="","",IF($F218="Financial Results","financials",IF($F218="Outlook/Guidance","guidance",IF($F218="Transcript Q&amp;A","qanda",IF($F218="","unrecorded",IF($E218="All","full",IF($E218="","unrecorded",LOWER($E218)&amp;" only")))))))</f>
        <v/>
      </c>
      <c r="AT218" s="152">
        <f>IF(AND(OR($J218="BUY",$J218="SELL"),ISNUMBER($U218)),$U218,"")</f>
        <v/>
      </c>
      <c r="AU218" s="152">
        <f>IF(AND(OR($J218="BUY",$J218="SELL"),ISNUMBER($AK218)),$AK218,"")</f>
        <v/>
      </c>
      <c r="AV218" s="152">
        <f>IF(ISNUMBER($AT218),ABS(IF(ISNUMBER($I218),$I218,0)-Settings!$B$24),"")</f>
        <v/>
      </c>
      <c r="AW218" s="152">
        <f>IF(ISNUMBER($AV218),$AV218*$AT218,"")</f>
        <v/>
      </c>
      <c r="AX218" s="152">
        <f>IF(ISNUMBER($AU218),ABS(IF(ISNUMBER($I218),$I218,0)-Settings!$B$24),"")</f>
        <v/>
      </c>
      <c r="AY218" s="152" t="inlineStr">
        <is>
          <t>EXTENSION</t>
        </is>
      </c>
      <c r="AZ218" s="152">
        <f>IF($A218="","",IFERROR(INDEX(Company_List!$H$3:$H$207,MATCH($A218,Company_List!$A$3:$A$207,0)),"unassigned"))</f>
        <v/>
      </c>
      <c r="BA218" s="152" t="n"/>
      <c r="BB218" s="152" t="n"/>
      <c r="BC218" s="152">
        <f>IF($A218="","",IF(COUNTIFS($A$3:$A218,$A218,$C$3:$C218,$C218,$D$3:$D218,$D218,$G$3:$G218,$G218)=1,1,0))</f>
        <v/>
      </c>
      <c r="BD218" s="152" t="n"/>
      <c r="BE218" s="152" t="n"/>
      <c r="BF218" s="152" t="n"/>
      <c r="BG218" s="152" t="inlineStr">
        <is>
          <t>no</t>
        </is>
      </c>
      <c r="BH218" s="152" t="n"/>
      <c r="BI218" s="152" t="n"/>
      <c r="BJ218" s="152" t="n"/>
      <c r="BK218" s="152">
        <f>IF(OR($H218&lt;&gt;"Human",$S218="",$J218="",$Y218="",$Z218=""),"",IF(EXACT(UPPER($J218),UPPER($Y218)),1,0))</f>
        <v/>
      </c>
      <c r="BL218" s="152" t="inlineStr">
        <is>
          <t>assumed - no rater record</t>
        </is>
      </c>
      <c r="BM218" s="152" t="n">
        <v>1</v>
      </c>
      <c r="BN218" s="152" t="inlineStr">
        <is>
          <t>not publisher-identified</t>
        </is>
      </c>
      <c r="BO218" s="152" t="inlineStr">
        <is>
          <t>not publisher-identified</t>
        </is>
      </c>
      <c r="BP218" s="152" t="inlineStr">
        <is>
          <t>no</t>
        </is>
      </c>
      <c r="BQ218" s="152" t="inlineStr">
        <is>
          <t>no</t>
        </is>
      </c>
      <c r="BR218" s="152" t="n"/>
      <c r="BS218" s="152" t="inlineStr">
        <is>
          <t>YES</t>
        </is>
      </c>
      <c r="BT218" s="152" t="n"/>
    </row>
    <row r="219" ht="15" customHeight="1" s="241">
      <c r="A219" s="191" t="inlineStr">
        <is>
          <t>Heineken</t>
        </is>
      </c>
      <c r="B219" s="188">
        <f>IF(A219="","",_xlfn.XLOOKUP(A219, Company_List!$A:$A, Company_List!$B:$B, ""))</f>
        <v/>
      </c>
      <c r="C219" s="177" t="n">
        <v>2024</v>
      </c>
      <c r="D219" s="177" t="inlineStr">
        <is>
          <t>Q3</t>
        </is>
      </c>
      <c r="E219" s="178" t="inlineStr">
        <is>
          <t>Presentation</t>
        </is>
      </c>
      <c r="F219" s="178" t="inlineStr">
        <is>
          <t>All</t>
        </is>
      </c>
      <c r="G219" s="177" t="inlineStr">
        <is>
          <t>Anna</t>
        </is>
      </c>
      <c r="H219" s="177" t="inlineStr">
        <is>
          <t>Human</t>
        </is>
      </c>
      <c r="I219" s="180" t="n">
        <v>0.5</v>
      </c>
      <c r="J219" s="180">
        <f>IF(OR(I219="",Settings!$B$6=""),"",IF(I219&gt;Settings!$B$6,"BUY",IF(I219&lt;-Settings!$B$6,"SELL","HOLD")))</f>
        <v/>
      </c>
      <c r="K219" s="180" t="n">
        <v>10</v>
      </c>
      <c r="L219" s="182" t="n">
        <v>45588</v>
      </c>
      <c r="M219" s="182" t="n">
        <v>45587</v>
      </c>
      <c r="N219" s="179" t="n">
        <v>74.32940000000001</v>
      </c>
      <c r="O219" s="182" t="n">
        <v>45588</v>
      </c>
      <c r="P219" s="180" t="n">
        <v>74.7929</v>
      </c>
      <c r="Q219" s="184">
        <f>IF(OR(N219="",P219=""),"",ROUND((P219-N219)/N219,4))</f>
        <v/>
      </c>
      <c r="R219" s="177">
        <f>IF(OR(N219="",P219=""),"",IF(Q219&gt;Settings!$B$3/100,"UP",IF(Q219&lt;-Settings!$B$3/100,"DOWN","FLAT")))</f>
        <v/>
      </c>
      <c r="S219" s="177">
        <f>IF(OR(N219="",P219="",J219=""),"",IF(OR(AND(J219="BUY",R219="UP"),AND(J219="SELL",R219="DOWN"),AND(J219="HOLD",R219="FLAT")),"YES","NO"))</f>
        <v/>
      </c>
      <c r="T219" s="176">
        <f>IF(J219="","",IF(J219="BUY",1,IF(J219="SELL",-1,0)))</f>
        <v/>
      </c>
      <c r="U219" s="184">
        <f>IFERROR(IF(OR(J219="",N219="",P219=""),"",IF(T219=0,0,T219*Q219-Settings!$B$4/10000-IF(T219&lt;0,Settings!$B$5/10000,0))),"")</f>
        <v/>
      </c>
      <c r="V219" s="152" t="n"/>
      <c r="W219" s="176">
        <f>IF($K219="","",$K219*60)</f>
        <v/>
      </c>
      <c r="X219" s="186">
        <f>IF($A219="","",$A219&amp;"|"&amp;$C219&amp;"|"&amp;$D219)</f>
        <v/>
      </c>
      <c r="Y219" s="186">
        <f>IFERROR(IF($X219="","",INDEX(LLM_Data_Entry!$H$3:$H$548,MATCH($X219,INDEX(LLM_Data_Entry!$A$3:$A$548&amp;"|"&amp;LLM_Data_Entry!$C$3:$C$548&amp;"|"&amp;LLM_Data_Entry!$D$3:$D$548,0),0))),"")</f>
        <v/>
      </c>
      <c r="Z219" s="186">
        <f>IFERROR(IF($X219="","",INDEX(LLM_Data_Entry!$R$3:$R$548,MATCH($X219,INDEX(LLM_Data_Entry!$A$3:$A$548&amp;"|"&amp;LLM_Data_Entry!$C$3:$C$548&amp;"|"&amp;LLM_Data_Entry!$D$3:$D$548,0),0))),"")</f>
        <v/>
      </c>
      <c r="AA219" s="152" t="n"/>
      <c r="AB219" s="152" t="inlineStr">
        <is>
          <t>recorded price identified against every pulled series</t>
        </is>
      </c>
      <c r="AC219" s="152" t="inlineStr">
        <is>
          <t>HEIA.AS</t>
        </is>
      </c>
      <c r="AD219" s="152" t="inlineStr">
        <is>
          <t>2024-10-22</t>
        </is>
      </c>
      <c r="AE219" s="152" t="n">
        <v>74.32940000000001</v>
      </c>
      <c r="AF219" s="152" t="inlineStr">
        <is>
          <t>2024-10-23</t>
        </is>
      </c>
      <c r="AG219" s="152" t="n">
        <v>74.7929</v>
      </c>
      <c r="AH219" s="152" t="n">
        <v>0.006235368989053385</v>
      </c>
      <c r="AI219" s="152" t="inlineStr">
        <is>
          <t>FLAT</t>
        </is>
      </c>
      <c r="AJ219" s="152" t="inlineStr">
        <is>
          <t>NO</t>
        </is>
      </c>
      <c r="AK219" s="152" t="n">
        <v>0.005235</v>
      </c>
      <c r="AL219" s="152">
        <f>IF($A219="","",IFERROR(INDEX(Company_List!$G$3:$G$207,MATCH($A219,Company_List!$A$3:$A$207,0)),"unassigned"))</f>
        <v/>
      </c>
      <c r="AM219" s="152" t="inlineStr">
        <is>
          <t>Phase 3/Readings/Heineken/q3-2024-trading-update-presentation_FINAL.pdf</t>
        </is>
      </c>
      <c r="AN219" s="152" t="n"/>
      <c r="AO219" s="152" t="inlineStr">
        <is>
          <t>unique filename match</t>
        </is>
      </c>
      <c r="AP219" s="152">
        <f>IF($A219="","",IF(COUNTIFS(LLM_Data_Entry!$A$3:$A$548,$A219)&gt;0,"YES","NO"))</f>
        <v/>
      </c>
      <c r="AQ219" s="152">
        <f>IF($A219="","",IF(COUNTIFS($A$3:$A219,$A219,$C$3:$C219,$C219,$D$3:$D219,$D219)=1,"YES","NO"))</f>
        <v/>
      </c>
      <c r="AR219" s="152">
        <f>IF($A219="","",IF(AND($C219&amp;"-"&amp;$D219&gt;=Settings!$B$19,$C219&amp;"-"&amp;$D219&lt;=Settings!$B$20),"IN","OUT"))</f>
        <v/>
      </c>
      <c r="AS219" s="152">
        <f>IF($A219="","",IF($F219="Financial Results","financials",IF($F219="Outlook/Guidance","guidance",IF($F219="Transcript Q&amp;A","qanda",IF($F219="","unrecorded",IF($E219="All","full",IF($E219="","unrecorded",LOWER($E219)&amp;" only")))))))</f>
        <v/>
      </c>
      <c r="AT219" s="152">
        <f>IF(AND(OR($J219="BUY",$J219="SELL"),ISNUMBER($U219)),$U219,"")</f>
        <v/>
      </c>
      <c r="AU219" s="152">
        <f>IF(AND(OR($J219="BUY",$J219="SELL"),ISNUMBER($AK219)),$AK219,"")</f>
        <v/>
      </c>
      <c r="AV219" s="152">
        <f>IF(ISNUMBER($AT219),ABS(IF(ISNUMBER($I219),$I219,0)-Settings!$B$24),"")</f>
        <v/>
      </c>
      <c r="AW219" s="152">
        <f>IF(ISNUMBER($AV219),$AV219*$AT219,"")</f>
        <v/>
      </c>
      <c r="AX219" s="152">
        <f>IF(ISNUMBER($AU219),ABS(IF(ISNUMBER($I219),$I219,0)-Settings!$B$24),"")</f>
        <v/>
      </c>
      <c r="AY219" s="152" t="inlineStr">
        <is>
          <t>EXTENSION</t>
        </is>
      </c>
      <c r="AZ219" s="152">
        <f>IF($A219="","",IFERROR(INDEX(Company_List!$H$3:$H$207,MATCH($A219,Company_List!$A$3:$A$207,0)),"unassigned"))</f>
        <v/>
      </c>
      <c r="BA219" s="152" t="n"/>
      <c r="BB219" s="152" t="n"/>
      <c r="BC219" s="152">
        <f>IF($A219="","",IF(COUNTIFS($A$3:$A219,$A219,$C$3:$C219,$C219,$D$3:$D219,$D219,$G$3:$G219,$G219)=1,1,0))</f>
        <v/>
      </c>
      <c r="BD219" s="152" t="n"/>
      <c r="BE219" s="152" t="n"/>
      <c r="BF219" s="152" t="n"/>
      <c r="BG219" s="152" t="inlineStr">
        <is>
          <t>no</t>
        </is>
      </c>
      <c r="BH219" s="152" t="n"/>
      <c r="BI219" s="152" t="n"/>
      <c r="BJ219" s="152" t="n"/>
      <c r="BK219" s="152">
        <f>IF(OR($H219&lt;&gt;"Human",$S219="",$J219="",$Y219="",$Z219=""),"",IF(EXACT(UPPER($J219),UPPER($Y219)),1,0))</f>
        <v/>
      </c>
      <c r="BL219" s="152" t="inlineStr">
        <is>
          <t>assumed - no rater record</t>
        </is>
      </c>
      <c r="BM219" s="152" t="n">
        <v>1</v>
      </c>
      <c r="BN219" s="152" t="inlineStr">
        <is>
          <t>not publisher-identified</t>
        </is>
      </c>
      <c r="BO219" s="152" t="inlineStr">
        <is>
          <t>not publisher-identified</t>
        </is>
      </c>
      <c r="BP219" s="152" t="inlineStr">
        <is>
          <t>no</t>
        </is>
      </c>
      <c r="BQ219" s="152" t="inlineStr">
        <is>
          <t>no</t>
        </is>
      </c>
      <c r="BR219" s="152" t="n"/>
      <c r="BS219" s="152" t="inlineStr">
        <is>
          <t>YES</t>
        </is>
      </c>
      <c r="BT219" s="152" t="n"/>
    </row>
    <row r="220" ht="15" customHeight="1" s="241">
      <c r="A220" s="191" t="inlineStr">
        <is>
          <t>Heineken</t>
        </is>
      </c>
      <c r="B220" s="188">
        <f>IF(A220="","",_xlfn.XLOOKUP(A220, Company_List!$A:$A, Company_List!$B:$B, ""))</f>
        <v/>
      </c>
      <c r="C220" s="177" t="n">
        <v>2024</v>
      </c>
      <c r="D220" s="177" t="inlineStr">
        <is>
          <t>Q2</t>
        </is>
      </c>
      <c r="E220" s="178" t="inlineStr">
        <is>
          <t>Presentation</t>
        </is>
      </c>
      <c r="F220" s="178" t="inlineStr">
        <is>
          <t>All</t>
        </is>
      </c>
      <c r="G220" s="177" t="inlineStr">
        <is>
          <t>Anna</t>
        </is>
      </c>
      <c r="H220" s="177" t="inlineStr">
        <is>
          <t>Human</t>
        </is>
      </c>
      <c r="I220" s="180" t="n">
        <v>0.5</v>
      </c>
      <c r="J220" s="180">
        <f>IF(OR(I220="",Settings!$B$6=""),"",IF(I220&gt;Settings!$B$6,"BUY",IF(I220&lt;-Settings!$B$6,"SELL","HOLD")))</f>
        <v/>
      </c>
      <c r="K220" s="180" t="n">
        <v>11</v>
      </c>
      <c r="L220" s="182" t="n">
        <v>45502</v>
      </c>
      <c r="M220" s="182" t="n">
        <v>45499</v>
      </c>
      <c r="N220" s="179" t="n">
        <v>86.8399</v>
      </c>
      <c r="O220" s="182" t="n">
        <v>45502</v>
      </c>
      <c r="P220" s="180" t="n">
        <v>81.9187</v>
      </c>
      <c r="Q220" s="184">
        <f>IF(OR(N220="",P220=""),"",ROUND((P220-N220)/N220,4))</f>
        <v/>
      </c>
      <c r="R220" s="177">
        <f>IF(OR(N220="",P220=""),"",IF(Q220&gt;Settings!$B$3/100,"UP",IF(Q220&lt;-Settings!$B$3/100,"DOWN","FLAT")))</f>
        <v/>
      </c>
      <c r="S220" s="177">
        <f>IF(OR(N220="",P220="",J220=""),"",IF(OR(AND(J220="BUY",R220="UP"),AND(J220="SELL",R220="DOWN"),AND(J220="HOLD",R220="FLAT")),"YES","NO"))</f>
        <v/>
      </c>
      <c r="T220" s="176">
        <f>IF(J220="","",IF(J220="BUY",1,IF(J220="SELL",-1,0)))</f>
        <v/>
      </c>
      <c r="U220" s="184">
        <f>IFERROR(IF(OR(J220="",N220="",P220=""),"",IF(T220=0,0,T220*Q220-Settings!$B$4/10000-IF(T220&lt;0,Settings!$B$5/10000,0))),"")</f>
        <v/>
      </c>
      <c r="V220" s="152" t="n"/>
      <c r="W220" s="176">
        <f>IF($K220="","",$K220*60)</f>
        <v/>
      </c>
      <c r="X220" s="186">
        <f>IF($A220="","",$A220&amp;"|"&amp;$C220&amp;"|"&amp;$D220)</f>
        <v/>
      </c>
      <c r="Y220" s="186">
        <f>IFERROR(IF($X220="","",INDEX(LLM_Data_Entry!$H$3:$H$548,MATCH($X220,INDEX(LLM_Data_Entry!$A$3:$A$548&amp;"|"&amp;LLM_Data_Entry!$C$3:$C$548&amp;"|"&amp;LLM_Data_Entry!$D$3:$D$548,0),0))),"")</f>
        <v/>
      </c>
      <c r="Z220" s="186">
        <f>IFERROR(IF($X220="","",INDEX(LLM_Data_Entry!$R$3:$R$548,MATCH($X220,INDEX(LLM_Data_Entry!$A$3:$A$548&amp;"|"&amp;LLM_Data_Entry!$C$3:$C$548&amp;"|"&amp;LLM_Data_Entry!$D$3:$D$548,0),0))),"")</f>
        <v/>
      </c>
      <c r="AA220" s="152" t="n"/>
      <c r="AB220" s="152" t="inlineStr">
        <is>
          <t>recorded price identified against every pulled series</t>
        </is>
      </c>
      <c r="AC220" s="152" t="inlineStr">
        <is>
          <t>HEIA.AS</t>
        </is>
      </c>
      <c r="AD220" s="152" t="inlineStr">
        <is>
          <t>2024-07-26</t>
        </is>
      </c>
      <c r="AE220" s="152" t="n">
        <v>86.8399</v>
      </c>
      <c r="AF220" s="152" t="inlineStr">
        <is>
          <t>2024-07-29</t>
        </is>
      </c>
      <c r="AG220" s="152" t="n">
        <v>81.9187</v>
      </c>
      <c r="AH220" s="152" t="n">
        <v>-0.05667035369371357</v>
      </c>
      <c r="AI220" s="152" t="inlineStr">
        <is>
          <t>DOWN</t>
        </is>
      </c>
      <c r="AJ220" s="152" t="inlineStr">
        <is>
          <t>NO</t>
        </is>
      </c>
      <c r="AK220" s="152" t="n">
        <v>-0.05767</v>
      </c>
      <c r="AL220" s="152">
        <f>IF($A220="","",IFERROR(INDEX(Company_List!$G$3:$G$207,MATCH($A220,Company_List!$A$3:$A$207,0)),"unassigned"))</f>
        <v/>
      </c>
      <c r="AM220" s="152" t="inlineStr">
        <is>
          <t>Phase 3/Readings/Heineken/2024-Q2/HEINY-2024-Q2-earnings-presentation-HeinekenIR.pdf</t>
        </is>
      </c>
      <c r="AN220" s="152" t="inlineStr">
        <is>
          <t>Heineken N.V. investor relations, supplied by the group (original filename hy-24-results-presentation.pdf)</t>
        </is>
      </c>
      <c r="AO220" s="152" t="inlineStr">
        <is>
          <t>manifest</t>
        </is>
      </c>
      <c r="AP220" s="152">
        <f>IF($A220="","",IF(COUNTIFS(LLM_Data_Entry!$A$3:$A$548,$A220)&gt;0,"YES","NO"))</f>
        <v/>
      </c>
      <c r="AQ220" s="152">
        <f>IF($A220="","",IF(COUNTIFS($A$3:$A220,$A220,$C$3:$C220,$C220,$D$3:$D220,$D220)=1,"YES","NO"))</f>
        <v/>
      </c>
      <c r="AR220" s="152">
        <f>IF($A220="","",IF(AND($C220&amp;"-"&amp;$D220&gt;=Settings!$B$19,$C220&amp;"-"&amp;$D220&lt;=Settings!$B$20),"IN","OUT"))</f>
        <v/>
      </c>
      <c r="AS220" s="152">
        <f>IF($A220="","",IF($F220="Financial Results","financials",IF($F220="Outlook/Guidance","guidance",IF($F220="Transcript Q&amp;A","qanda",IF($F220="","unrecorded",IF($E220="All","full",IF($E220="","unrecorded",LOWER($E220)&amp;" only")))))))</f>
        <v/>
      </c>
      <c r="AT220" s="152">
        <f>IF(AND(OR($J220="BUY",$J220="SELL"),ISNUMBER($U220)),$U220,"")</f>
        <v/>
      </c>
      <c r="AU220" s="152">
        <f>IF(AND(OR($J220="BUY",$J220="SELL"),ISNUMBER($AK220)),$AK220,"")</f>
        <v/>
      </c>
      <c r="AV220" s="152">
        <f>IF(ISNUMBER($AT220),ABS(IF(ISNUMBER($I220),$I220,0)-Settings!$B$24),"")</f>
        <v/>
      </c>
      <c r="AW220" s="152">
        <f>IF(ISNUMBER($AV220),$AV220*$AT220,"")</f>
        <v/>
      </c>
      <c r="AX220" s="152">
        <f>IF(ISNUMBER($AU220),ABS(IF(ISNUMBER($I220),$I220,0)-Settings!$B$24),"")</f>
        <v/>
      </c>
      <c r="AY220" s="152" t="inlineStr">
        <is>
          <t>EXTENSION</t>
        </is>
      </c>
      <c r="AZ220" s="152">
        <f>IF($A220="","",IFERROR(INDEX(Company_List!$H$3:$H$207,MATCH($A220,Company_List!$A$3:$A$207,0)),"unassigned"))</f>
        <v/>
      </c>
      <c r="BA220" s="152" t="n"/>
      <c r="BB220" s="152" t="n"/>
      <c r="BC220" s="152">
        <f>IF($A220="","",IF(COUNTIFS($A$3:$A220,$A220,$C$3:$C220,$C220,$D$3:$D220,$D220,$G$3:$G220,$G220)=1,1,0))</f>
        <v/>
      </c>
      <c r="BD220" s="152" t="n"/>
      <c r="BE220" s="152" t="n"/>
      <c r="BF220" s="152" t="n"/>
      <c r="BG220" s="152" t="inlineStr">
        <is>
          <t>no</t>
        </is>
      </c>
      <c r="BH220" s="152" t="n"/>
      <c r="BI220" s="152" t="n"/>
      <c r="BJ220" s="152" t="n"/>
      <c r="BK220" s="152">
        <f>IF(OR($H220&lt;&gt;"Human",$S220="",$J220="",$Y220="",$Z220=""),"",IF(EXACT(UPPER($J220),UPPER($Y220)),1,0))</f>
        <v/>
      </c>
      <c r="BL220" s="152" t="inlineStr">
        <is>
          <t>assumed - no rater record</t>
        </is>
      </c>
      <c r="BM220" s="152" t="n">
        <v>1</v>
      </c>
      <c r="BN220" s="152" t="inlineStr">
        <is>
          <t>not publisher-identified</t>
        </is>
      </c>
      <c r="BO220" s="152" t="inlineStr">
        <is>
          <t>not publisher-identified</t>
        </is>
      </c>
      <c r="BP220" s="152" t="inlineStr">
        <is>
          <t>no</t>
        </is>
      </c>
      <c r="BQ220" s="152" t="inlineStr">
        <is>
          <t>yes</t>
        </is>
      </c>
      <c r="BR220" s="152" t="n"/>
      <c r="BS220" s="152" t="inlineStr">
        <is>
          <t>YES</t>
        </is>
      </c>
      <c r="BT220" s="152" t="n"/>
    </row>
    <row r="221" ht="15" customHeight="1" s="241">
      <c r="A221" s="191" t="inlineStr">
        <is>
          <t>Heineken</t>
        </is>
      </c>
      <c r="B221" s="188">
        <f>IF(A221="","",_xlfn.XLOOKUP(A221, Company_List!$A:$A, Company_List!$B:$B, ""))</f>
        <v/>
      </c>
      <c r="C221" s="177" t="n">
        <v>2024</v>
      </c>
      <c r="D221" s="177" t="inlineStr">
        <is>
          <t>Q1</t>
        </is>
      </c>
      <c r="E221" s="178" t="inlineStr">
        <is>
          <t>Presentation</t>
        </is>
      </c>
      <c r="F221" s="178" t="inlineStr">
        <is>
          <t>All</t>
        </is>
      </c>
      <c r="G221" s="177" t="inlineStr">
        <is>
          <t>Anna</t>
        </is>
      </c>
      <c r="H221" s="177" t="inlineStr">
        <is>
          <t>Human</t>
        </is>
      </c>
      <c r="I221" s="180" t="n">
        <v>0.5</v>
      </c>
      <c r="J221" s="180">
        <f>IF(OR(I221="",Settings!$B$6=""),"",IF(I221&gt;Settings!$B$6,"BUY",IF(I221&lt;-Settings!$B$6,"SELL","HOLD")))</f>
        <v/>
      </c>
      <c r="K221" s="180" t="n">
        <v>9</v>
      </c>
      <c r="L221" s="182" t="n">
        <v>45406</v>
      </c>
      <c r="M221" s="182" t="n">
        <v>45405</v>
      </c>
      <c r="N221" s="179" t="n">
        <v>85.8329</v>
      </c>
      <c r="O221" s="182" t="n">
        <v>45406</v>
      </c>
      <c r="P221" s="180" t="n">
        <v>86.628</v>
      </c>
      <c r="Q221" s="184">
        <f>IF(OR(N221="",P221=""),"",ROUND((P221-N221)/N221,4))</f>
        <v/>
      </c>
      <c r="R221" s="177">
        <f>IF(OR(N221="",P221=""),"",IF(Q221&gt;Settings!$B$3/100,"UP",IF(Q221&lt;-Settings!$B$3/100,"DOWN","FLAT")))</f>
        <v/>
      </c>
      <c r="S221" s="177">
        <f>IF(OR(N221="",P221="",J221=""),"",IF(OR(AND(J221="BUY",R221="UP"),AND(J221="SELL",R221="DOWN"),AND(J221="HOLD",R221="FLAT")),"YES","NO"))</f>
        <v/>
      </c>
      <c r="T221" s="176">
        <f>IF(J221="","",IF(J221="BUY",1,IF(J221="SELL",-1,0)))</f>
        <v/>
      </c>
      <c r="U221" s="184">
        <f>IFERROR(IF(OR(J221="",N221="",P221=""),"",IF(T221=0,0,T221*Q221-Settings!$B$4/10000-IF(T221&lt;0,Settings!$B$5/10000,0))),"")</f>
        <v/>
      </c>
      <c r="V221" s="152" t="n"/>
      <c r="W221" s="176">
        <f>IF($K221="","",$K221*60)</f>
        <v/>
      </c>
      <c r="X221" s="186">
        <f>IF($A221="","",$A221&amp;"|"&amp;$C221&amp;"|"&amp;$D221)</f>
        <v/>
      </c>
      <c r="Y221" s="186">
        <f>IFERROR(IF($X221="","",INDEX(LLM_Data_Entry!$H$3:$H$548,MATCH($X221,INDEX(LLM_Data_Entry!$A$3:$A$548&amp;"|"&amp;LLM_Data_Entry!$C$3:$C$548&amp;"|"&amp;LLM_Data_Entry!$D$3:$D$548,0),0))),"")</f>
        <v/>
      </c>
      <c r="Z221" s="186">
        <f>IFERROR(IF($X221="","",INDEX(LLM_Data_Entry!$R$3:$R$548,MATCH($X221,INDEX(LLM_Data_Entry!$A$3:$A$548&amp;"|"&amp;LLM_Data_Entry!$C$3:$C$548&amp;"|"&amp;LLM_Data_Entry!$D$3:$D$548,0),0))),"")</f>
        <v/>
      </c>
      <c r="AA221" s="152" t="n"/>
      <c r="AB221" s="152" t="inlineStr">
        <is>
          <t>recorded price identified against every pulled series</t>
        </is>
      </c>
      <c r="AC221" s="152" t="inlineStr">
        <is>
          <t>HEIA.AS</t>
        </is>
      </c>
      <c r="AD221" s="152" t="inlineStr">
        <is>
          <t>2024-04-23</t>
        </is>
      </c>
      <c r="AE221" s="152" t="n">
        <v>85.8329</v>
      </c>
      <c r="AF221" s="152" t="inlineStr">
        <is>
          <t>2024-04-24</t>
        </is>
      </c>
      <c r="AG221" s="152" t="n">
        <v>86.628</v>
      </c>
      <c r="AH221" s="152" t="n">
        <v>0.009263224297611681</v>
      </c>
      <c r="AI221" s="152" t="inlineStr">
        <is>
          <t>FLAT</t>
        </is>
      </c>
      <c r="AJ221" s="152" t="inlineStr">
        <is>
          <t>NO</t>
        </is>
      </c>
      <c r="AK221" s="152" t="n">
        <v>0.008263</v>
      </c>
      <c r="AL221" s="152">
        <f>IF($A221="","",IFERROR(INDEX(Company_List!$G$3:$G$207,MATCH($A221,Company_List!$A$3:$A$207,0)),"unassigned"))</f>
        <v/>
      </c>
      <c r="AM221" s="152" t="inlineStr">
        <is>
          <t>Phase 3/Readings/Heineken/heineken-nv-1Q24-trading-update-presentation.pdf</t>
        </is>
      </c>
      <c r="AN221" s="152" t="n"/>
      <c r="AO221" s="152" t="inlineStr">
        <is>
          <t>unique filename match</t>
        </is>
      </c>
      <c r="AP221" s="152">
        <f>IF($A221="","",IF(COUNTIFS(LLM_Data_Entry!$A$3:$A$548,$A221)&gt;0,"YES","NO"))</f>
        <v/>
      </c>
      <c r="AQ221" s="152">
        <f>IF($A221="","",IF(COUNTIFS($A$3:$A221,$A221,$C$3:$C221,$C221,$D$3:$D221,$D221)=1,"YES","NO"))</f>
        <v/>
      </c>
      <c r="AR221" s="152">
        <f>IF($A221="","",IF(AND($C221&amp;"-"&amp;$D221&gt;=Settings!$B$19,$C221&amp;"-"&amp;$D221&lt;=Settings!$B$20),"IN","OUT"))</f>
        <v/>
      </c>
      <c r="AS221" s="152">
        <f>IF($A221="","",IF($F221="Financial Results","financials",IF($F221="Outlook/Guidance","guidance",IF($F221="Transcript Q&amp;A","qanda",IF($F221="","unrecorded",IF($E221="All","full",IF($E221="","unrecorded",LOWER($E221)&amp;" only")))))))</f>
        <v/>
      </c>
      <c r="AT221" s="152">
        <f>IF(AND(OR($J221="BUY",$J221="SELL"),ISNUMBER($U221)),$U221,"")</f>
        <v/>
      </c>
      <c r="AU221" s="152">
        <f>IF(AND(OR($J221="BUY",$J221="SELL"),ISNUMBER($AK221)),$AK221,"")</f>
        <v/>
      </c>
      <c r="AV221" s="152">
        <f>IF(ISNUMBER($AT221),ABS(IF(ISNUMBER($I221),$I221,0)-Settings!$B$24),"")</f>
        <v/>
      </c>
      <c r="AW221" s="152">
        <f>IF(ISNUMBER($AV221),$AV221*$AT221,"")</f>
        <v/>
      </c>
      <c r="AX221" s="152">
        <f>IF(ISNUMBER($AU221),ABS(IF(ISNUMBER($I221),$I221,0)-Settings!$B$24),"")</f>
        <v/>
      </c>
      <c r="AY221" s="152" t="inlineStr">
        <is>
          <t>EXTENSION</t>
        </is>
      </c>
      <c r="AZ221" s="152">
        <f>IF($A221="","",IFERROR(INDEX(Company_List!$H$3:$H$207,MATCH($A221,Company_List!$A$3:$A$207,0)),"unassigned"))</f>
        <v/>
      </c>
      <c r="BA221" s="152" t="n"/>
      <c r="BB221" s="152" t="n"/>
      <c r="BC221" s="152">
        <f>IF($A221="","",IF(COUNTIFS($A$3:$A221,$A221,$C$3:$C221,$C221,$D$3:$D221,$D221,$G$3:$G221,$G221)=1,1,0))</f>
        <v/>
      </c>
      <c r="BD221" s="152" t="n"/>
      <c r="BE221" s="152" t="n"/>
      <c r="BF221" s="152" t="n"/>
      <c r="BG221" s="152" t="inlineStr">
        <is>
          <t>no</t>
        </is>
      </c>
      <c r="BH221" s="152" t="n"/>
      <c r="BI221" s="152" t="n"/>
      <c r="BJ221" s="152" t="n"/>
      <c r="BK221" s="152">
        <f>IF(OR($H221&lt;&gt;"Human",$S221="",$J221="",$Y221="",$Z221=""),"",IF(EXACT(UPPER($J221),UPPER($Y221)),1,0))</f>
        <v/>
      </c>
      <c r="BL221" s="152" t="inlineStr">
        <is>
          <t>assumed - no rater record</t>
        </is>
      </c>
      <c r="BM221" s="152" t="n">
        <v>1</v>
      </c>
      <c r="BN221" s="152" t="inlineStr">
        <is>
          <t>not publisher-identified</t>
        </is>
      </c>
      <c r="BO221" s="152" t="inlineStr">
        <is>
          <t>not publisher-identified</t>
        </is>
      </c>
      <c r="BP221" s="152" t="inlineStr">
        <is>
          <t>no</t>
        </is>
      </c>
      <c r="BQ221" s="152" t="inlineStr">
        <is>
          <t>no</t>
        </is>
      </c>
      <c r="BR221" s="152" t="n"/>
      <c r="BS221" s="152" t="inlineStr">
        <is>
          <t>YES</t>
        </is>
      </c>
      <c r="BT221" s="152" t="n"/>
    </row>
    <row r="222" ht="15" customHeight="1" s="241">
      <c r="A222" s="191" t="inlineStr">
        <is>
          <t>Datadog</t>
        </is>
      </c>
      <c r="B222" s="188">
        <f>IF(A222="","",_xlfn.XLOOKUP(A222, Company_List!$A:$A, Company_List!$B:$B, ""))</f>
        <v/>
      </c>
      <c r="C222" s="177" t="n">
        <v>2026</v>
      </c>
      <c r="D222" s="177" t="inlineStr">
        <is>
          <t>Q1</t>
        </is>
      </c>
      <c r="E222" s="178" t="inlineStr">
        <is>
          <t>Press Release Document</t>
        </is>
      </c>
      <c r="F222" s="178" t="inlineStr">
        <is>
          <t>All</t>
        </is>
      </c>
      <c r="G222" s="177" t="inlineStr">
        <is>
          <t>Anna</t>
        </is>
      </c>
      <c r="H222" s="177" t="inlineStr">
        <is>
          <t>Human</t>
        </is>
      </c>
      <c r="I222" s="180" t="n">
        <v>0.6</v>
      </c>
      <c r="J222" s="180">
        <f>IF(OR(I222="",Settings!$B$6=""),"",IF(I222&gt;Settings!$B$6,"BUY",IF(I222&lt;-Settings!$B$6,"SELL","HOLD")))</f>
        <v/>
      </c>
      <c r="K222" s="180" t="n">
        <v>10</v>
      </c>
      <c r="L222" s="182" t="n">
        <v>46149</v>
      </c>
      <c r="M222" s="182" t="n">
        <v>46148</v>
      </c>
      <c r="N222" s="179" t="n">
        <v>143.71</v>
      </c>
      <c r="O222" s="182" t="n">
        <v>46149</v>
      </c>
      <c r="P222" s="180" t="n">
        <v>187.99</v>
      </c>
      <c r="Q222" s="184">
        <f>IF(OR(N222="",P222=""),"",ROUND((P222-N222)/N222,4))</f>
        <v/>
      </c>
      <c r="R222" s="177">
        <f>IF(OR(N222="",P222=""),"",IF(Q222&gt;Settings!$B$3/100,"UP",IF(Q222&lt;-Settings!$B$3/100,"DOWN","FLAT")))</f>
        <v/>
      </c>
      <c r="S222" s="177">
        <f>IF(OR(N222="",P222="",J222=""),"",IF(OR(AND(J222="BUY",R222="UP"),AND(J222="SELL",R222="DOWN"),AND(J222="HOLD",R222="FLAT")),"YES","NO"))</f>
        <v/>
      </c>
      <c r="T222" s="176">
        <f>IF(J222="","",IF(J222="BUY",1,IF(J222="SELL",-1,0)))</f>
        <v/>
      </c>
      <c r="U222" s="184">
        <f>IFERROR(IF(OR(J222="",N222="",P222=""),"",IF(T222=0,0,T222*Q222-Settings!$B$4/10000-IF(T222&lt;0,Settings!$B$5/10000,0))),"")</f>
        <v/>
      </c>
      <c r="V222" s="152" t="n"/>
      <c r="W222" s="176">
        <f>IF($K222="","",$K222*60)</f>
        <v/>
      </c>
      <c r="X222" s="186">
        <f>IF($A222="","",$A222&amp;"|"&amp;$C222&amp;"|"&amp;$D222)</f>
        <v/>
      </c>
      <c r="Y222" s="186">
        <f>IFERROR(IF($X222="","",INDEX(LLM_Data_Entry!$H$3:$H$548,MATCH($X222,INDEX(LLM_Data_Entry!$A$3:$A$548&amp;"|"&amp;LLM_Data_Entry!$C$3:$C$548&amp;"|"&amp;LLM_Data_Entry!$D$3:$D$548,0),0))),"")</f>
        <v/>
      </c>
      <c r="Z222" s="186">
        <f>IFERROR(IF($X222="","",INDEX(LLM_Data_Entry!$R$3:$R$548,MATCH($X222,INDEX(LLM_Data_Entry!$A$3:$A$548&amp;"|"&amp;LLM_Data_Entry!$C$3:$C$548&amp;"|"&amp;LLM_Data_Entry!$D$3:$D$548,0),0))),"")</f>
        <v/>
      </c>
      <c r="AA222" s="152" t="n"/>
      <c r="AB222" s="152" t="inlineStr">
        <is>
          <t>recorded window spanned two sessions, closed to one</t>
        </is>
      </c>
      <c r="AC222" s="152" t="inlineStr">
        <is>
          <t>DDOG</t>
        </is>
      </c>
      <c r="AD222" s="152" t="inlineStr">
        <is>
          <t>2026-05-06</t>
        </is>
      </c>
      <c r="AE222" s="152" t="n">
        <v>143.71</v>
      </c>
      <c r="AF222" s="152" t="inlineStr">
        <is>
          <t>2026-05-07</t>
        </is>
      </c>
      <c r="AG222" s="152" t="n">
        <v>187.99</v>
      </c>
      <c r="AH222" s="152" t="n">
        <v>0.3081204915674384</v>
      </c>
      <c r="AI222" s="152" t="inlineStr">
        <is>
          <t>UP</t>
        </is>
      </c>
      <c r="AJ222" s="152" t="inlineStr">
        <is>
          <t>YES</t>
        </is>
      </c>
      <c r="AK222" s="152" t="n">
        <v>0.30712</v>
      </c>
      <c r="AL222" s="152">
        <f>IF($A222="","",IFERROR(INDEX(Company_List!$G$3:$G$207,MATCH($A222,Company_List!$A$3:$A$207,0)),"unassigned"))</f>
        <v/>
      </c>
      <c r="AM222" s="152" t="inlineStr">
        <is>
          <t>Phase 3/Readings/Datadog/2026-Q1/DDOG-2026-Q1-press-release-SEC-EX-99-1.htm</t>
        </is>
      </c>
      <c r="AN222" s="152" t="inlineStr">
        <is>
          <t>https://www.sec.gov/Archives/edgar/data/1561550/000162828026031677/ex-991x20260331x8k.htm</t>
        </is>
      </c>
      <c r="AO222" s="152" t="inlineStr">
        <is>
          <t>manifest</t>
        </is>
      </c>
      <c r="AP222" s="152">
        <f>IF($A222="","",IF(COUNTIFS(LLM_Data_Entry!$A$3:$A$548,$A222)&gt;0,"YES","NO"))</f>
        <v/>
      </c>
      <c r="AQ222" s="152">
        <f>IF($A222="","",IF(COUNTIFS($A$3:$A222,$A222,$C$3:$C222,$C222,$D$3:$D222,$D222)=1,"YES","NO"))</f>
        <v/>
      </c>
      <c r="AR222" s="152">
        <f>IF($A222="","",IF(AND($C222&amp;"-"&amp;$D222&gt;=Settings!$B$19,$C222&amp;"-"&amp;$D222&lt;=Settings!$B$20),"IN","OUT"))</f>
        <v/>
      </c>
      <c r="AS222" s="152">
        <f>IF($A222="","",IF($F222="Financial Results","financials",IF($F222="Outlook/Guidance","guidance",IF($F222="Transcript Q&amp;A","qanda",IF($F222="","unrecorded",IF($E222="All","full",IF($E222="","unrecorded",LOWER($E222)&amp;" only")))))))</f>
        <v/>
      </c>
      <c r="AT222" s="152">
        <f>IF(AND(OR($J222="BUY",$J222="SELL"),ISNUMBER($U222)),$U222,"")</f>
        <v/>
      </c>
      <c r="AU222" s="152">
        <f>IF(AND(OR($J222="BUY",$J222="SELL"),ISNUMBER($AK222)),$AK222,"")</f>
        <v/>
      </c>
      <c r="AV222" s="152">
        <f>IF(ISNUMBER($AT222),ABS(IF(ISNUMBER($I222),$I222,0)-Settings!$B$24),"")</f>
        <v/>
      </c>
      <c r="AW222" s="152">
        <f>IF(ISNUMBER($AV222),$AV222*$AT222,"")</f>
        <v/>
      </c>
      <c r="AX222" s="152">
        <f>IF(ISNUMBER($AU222),ABS(IF(ISNUMBER($I222),$I222,0)-Settings!$B$24),"")</f>
        <v/>
      </c>
      <c r="AY222" s="152" t="inlineStr">
        <is>
          <t>EXTENSION</t>
        </is>
      </c>
      <c r="AZ222" s="152">
        <f>IF($A222="","",IFERROR(INDEX(Company_List!$H$3:$H$207,MATCH($A222,Company_List!$A$3:$A$207,0)),"unassigned"))</f>
        <v/>
      </c>
      <c r="BA222" s="152" t="n"/>
      <c r="BB222" s="152" t="n"/>
      <c r="BC222" s="152">
        <f>IF($A222="","",IF(COUNTIFS($A$3:$A222,$A222,$C$3:$C222,$C222,$D$3:$D222,$D222,$G$3:$G222,$G222)=1,1,0))</f>
        <v/>
      </c>
      <c r="BD222" s="152" t="n"/>
      <c r="BE222" s="152" t="n"/>
      <c r="BF222" s="152" t="n"/>
      <c r="BG222" s="152" t="inlineStr">
        <is>
          <t>no</t>
        </is>
      </c>
      <c r="BH222" s="152" t="n"/>
      <c r="BI222" s="152" t="n"/>
      <c r="BJ222" s="152" t="n"/>
      <c r="BK222" s="152">
        <f>IF(OR($H222&lt;&gt;"Human",$S222="",$J222="",$Y222="",$Z222=""),"",IF(EXACT(UPPER($J222),UPPER($Y222)),1,0))</f>
        <v/>
      </c>
      <c r="BL222" s="152" t="inlineStr">
        <is>
          <t>assumed - no rater record</t>
        </is>
      </c>
      <c r="BM222" s="152" t="n">
        <v>1</v>
      </c>
      <c r="BN222" s="152" t="inlineStr">
        <is>
          <t>not publisher-identified</t>
        </is>
      </c>
      <c r="BO222" s="152" t="inlineStr">
        <is>
          <t>not publisher-identified</t>
        </is>
      </c>
      <c r="BP222" s="152" t="inlineStr">
        <is>
          <t>no</t>
        </is>
      </c>
      <c r="BQ222" s="152" t="inlineStr">
        <is>
          <t>yes</t>
        </is>
      </c>
      <c r="BR222" s="152" t="n"/>
      <c r="BS222" s="152" t="inlineStr">
        <is>
          <t>YES</t>
        </is>
      </c>
      <c r="BT222" s="152" t="n"/>
    </row>
    <row r="223" ht="15" customHeight="1" s="241">
      <c r="A223" s="191" t="inlineStr">
        <is>
          <t>Datadog</t>
        </is>
      </c>
      <c r="B223" s="188">
        <f>IF(A223="","",_xlfn.XLOOKUP(A223, Company_List!$A:$A, Company_List!$B:$B, ""))</f>
        <v/>
      </c>
      <c r="C223" s="177" t="n">
        <v>2025</v>
      </c>
      <c r="D223" s="177" t="inlineStr">
        <is>
          <t>Q3</t>
        </is>
      </c>
      <c r="E223" s="178" t="inlineStr">
        <is>
          <t>Press Release Document</t>
        </is>
      </c>
      <c r="F223" s="178" t="inlineStr">
        <is>
          <t>All</t>
        </is>
      </c>
      <c r="G223" s="177" t="inlineStr">
        <is>
          <t>Anna</t>
        </is>
      </c>
      <c r="H223" s="177" t="inlineStr">
        <is>
          <t>Human</t>
        </is>
      </c>
      <c r="I223" s="180" t="n">
        <v>0.4</v>
      </c>
      <c r="J223" s="180">
        <f>IF(OR(I223="",Settings!$B$6=""),"",IF(I223&gt;Settings!$B$6,"BUY",IF(I223&lt;-Settings!$B$6,"SELL","HOLD")))</f>
        <v/>
      </c>
      <c r="K223" s="180" t="n">
        <v>9</v>
      </c>
      <c r="L223" s="182" t="n">
        <v>45967</v>
      </c>
      <c r="M223" s="182" t="n">
        <v>45966</v>
      </c>
      <c r="N223" s="179" t="n">
        <v>154.98</v>
      </c>
      <c r="O223" s="182" t="n">
        <v>45967</v>
      </c>
      <c r="P223" s="180" t="n">
        <v>178.89</v>
      </c>
      <c r="Q223" s="184">
        <f>IF(OR(N223="",P223=""),"",ROUND((P223-N223)/N223,4))</f>
        <v/>
      </c>
      <c r="R223" s="177">
        <f>IF(OR(N223="",P223=""),"",IF(Q223&gt;Settings!$B$3/100,"UP",IF(Q223&lt;-Settings!$B$3/100,"DOWN","FLAT")))</f>
        <v/>
      </c>
      <c r="S223" s="177">
        <f>IF(OR(N223="",P223="",J223=""),"",IF(OR(AND(J223="BUY",R223="UP"),AND(J223="SELL",R223="DOWN"),AND(J223="HOLD",R223="FLAT")),"YES","NO"))</f>
        <v/>
      </c>
      <c r="T223" s="176">
        <f>IF(J223="","",IF(J223="BUY",1,IF(J223="SELL",-1,0)))</f>
        <v/>
      </c>
      <c r="U223" s="184">
        <f>IFERROR(IF(OR(J223="",N223="",P223=""),"",IF(T223=0,0,T223*Q223-Settings!$B$4/10000-IF(T223&lt;0,Settings!$B$5/10000,0))),"")</f>
        <v/>
      </c>
      <c r="V223" s="152" t="n"/>
      <c r="W223" s="176">
        <f>IF($K223="","",$K223*60)</f>
        <v/>
      </c>
      <c r="X223" s="186">
        <f>IF($A223="","",$A223&amp;"|"&amp;$C223&amp;"|"&amp;$D223)</f>
        <v/>
      </c>
      <c r="Y223" s="186">
        <f>IFERROR(IF($X223="","",INDEX(LLM_Data_Entry!$H$3:$H$548,MATCH($X223,INDEX(LLM_Data_Entry!$A$3:$A$548&amp;"|"&amp;LLM_Data_Entry!$C$3:$C$548&amp;"|"&amp;LLM_Data_Entry!$D$3:$D$548,0),0))),"")</f>
        <v/>
      </c>
      <c r="Z223" s="186">
        <f>IFERROR(IF($X223="","",INDEX(LLM_Data_Entry!$R$3:$R$548,MATCH($X223,INDEX(LLM_Data_Entry!$A$3:$A$548&amp;"|"&amp;LLM_Data_Entry!$C$3:$C$548&amp;"|"&amp;LLM_Data_Entry!$D$3:$D$548,0),0))),"")</f>
        <v/>
      </c>
      <c r="AA223" s="152" t="n"/>
      <c r="AB223" s="152" t="inlineStr">
        <is>
          <t>recorded window spanned two sessions, closed to one</t>
        </is>
      </c>
      <c r="AC223" s="152" t="inlineStr">
        <is>
          <t>DDOG</t>
        </is>
      </c>
      <c r="AD223" s="152" t="inlineStr">
        <is>
          <t>2025-11-05</t>
        </is>
      </c>
      <c r="AE223" s="152" t="n">
        <v>154.98</v>
      </c>
      <c r="AF223" s="152" t="inlineStr">
        <is>
          <t>2025-11-06</t>
        </is>
      </c>
      <c r="AG223" s="152" t="n">
        <v>178.89</v>
      </c>
      <c r="AH223" s="152" t="n">
        <v>0.1542779946903598</v>
      </c>
      <c r="AI223" s="152" t="inlineStr">
        <is>
          <t>UP</t>
        </is>
      </c>
      <c r="AJ223" s="152" t="inlineStr">
        <is>
          <t>YES</t>
        </is>
      </c>
      <c r="AK223" s="152" t="n">
        <v>0.153278</v>
      </c>
      <c r="AL223" s="152">
        <f>IF($A223="","",IFERROR(INDEX(Company_List!$G$3:$G$207,MATCH($A223,Company_List!$A$3:$A$207,0)),"unassigned"))</f>
        <v/>
      </c>
      <c r="AM223" s="152" t="inlineStr">
        <is>
          <t>Phase 3/Readings/Datadog/2025-Q3/DDOG-2025-Q3-press-release-SEC-EX-99-1.htm</t>
        </is>
      </c>
      <c r="AN223" s="152" t="inlineStr">
        <is>
          <t>https://www.sec.gov/Archives/edgar/data/1561550/000156155025000310/ex-991x20250930x8k.htm</t>
        </is>
      </c>
      <c r="AO223" s="152" t="inlineStr">
        <is>
          <t>manifest</t>
        </is>
      </c>
      <c r="AP223" s="152">
        <f>IF($A223="","",IF(COUNTIFS(LLM_Data_Entry!$A$3:$A$548,$A223)&gt;0,"YES","NO"))</f>
        <v/>
      </c>
      <c r="AQ223" s="152">
        <f>IF($A223="","",IF(COUNTIFS($A$3:$A223,$A223,$C$3:$C223,$C223,$D$3:$D223,$D223)=1,"YES","NO"))</f>
        <v/>
      </c>
      <c r="AR223" s="152">
        <f>IF($A223="","",IF(AND($C223&amp;"-"&amp;$D223&gt;=Settings!$B$19,$C223&amp;"-"&amp;$D223&lt;=Settings!$B$20),"IN","OUT"))</f>
        <v/>
      </c>
      <c r="AS223" s="152">
        <f>IF($A223="","",IF($F223="Financial Results","financials",IF($F223="Outlook/Guidance","guidance",IF($F223="Transcript Q&amp;A","qanda",IF($F223="","unrecorded",IF($E223="All","full",IF($E223="","unrecorded",LOWER($E223)&amp;" only")))))))</f>
        <v/>
      </c>
      <c r="AT223" s="152">
        <f>IF(AND(OR($J223="BUY",$J223="SELL"),ISNUMBER($U223)),$U223,"")</f>
        <v/>
      </c>
      <c r="AU223" s="152">
        <f>IF(AND(OR($J223="BUY",$J223="SELL"),ISNUMBER($AK223)),$AK223,"")</f>
        <v/>
      </c>
      <c r="AV223" s="152">
        <f>IF(ISNUMBER($AT223),ABS(IF(ISNUMBER($I223),$I223,0)-Settings!$B$24),"")</f>
        <v/>
      </c>
      <c r="AW223" s="152">
        <f>IF(ISNUMBER($AV223),$AV223*$AT223,"")</f>
        <v/>
      </c>
      <c r="AX223" s="152">
        <f>IF(ISNUMBER($AU223),ABS(IF(ISNUMBER($I223),$I223,0)-Settings!$B$24),"")</f>
        <v/>
      </c>
      <c r="AY223" s="152" t="inlineStr">
        <is>
          <t>EXTENSION</t>
        </is>
      </c>
      <c r="AZ223" s="152">
        <f>IF($A223="","",IFERROR(INDEX(Company_List!$H$3:$H$207,MATCH($A223,Company_List!$A$3:$A$207,0)),"unassigned"))</f>
        <v/>
      </c>
      <c r="BA223" s="152" t="n"/>
      <c r="BB223" s="152" t="n"/>
      <c r="BC223" s="152">
        <f>IF($A223="","",IF(COUNTIFS($A$3:$A223,$A223,$C$3:$C223,$C223,$D$3:$D223,$D223,$G$3:$G223,$G223)=1,1,0))</f>
        <v/>
      </c>
      <c r="BD223" s="152" t="n"/>
      <c r="BE223" s="152" t="n"/>
      <c r="BF223" s="152" t="n"/>
      <c r="BG223" s="152" t="inlineStr">
        <is>
          <t>no</t>
        </is>
      </c>
      <c r="BH223" s="152" t="n"/>
      <c r="BI223" s="152" t="n"/>
      <c r="BJ223" s="152" t="n"/>
      <c r="BK223" s="152">
        <f>IF(OR($H223&lt;&gt;"Human",$S223="",$J223="",$Y223="",$Z223=""),"",IF(EXACT(UPPER($J223),UPPER($Y223)),1,0))</f>
        <v/>
      </c>
      <c r="BL223" s="152" t="inlineStr">
        <is>
          <t>assumed - no rater record</t>
        </is>
      </c>
      <c r="BM223" s="152" t="n">
        <v>1</v>
      </c>
      <c r="BN223" s="152" t="inlineStr">
        <is>
          <t>not publisher-identified</t>
        </is>
      </c>
      <c r="BO223" s="152" t="inlineStr">
        <is>
          <t>not publisher-identified</t>
        </is>
      </c>
      <c r="BP223" s="152" t="inlineStr">
        <is>
          <t>no</t>
        </is>
      </c>
      <c r="BQ223" s="152" t="inlineStr">
        <is>
          <t>yes</t>
        </is>
      </c>
      <c r="BR223" s="152" t="n"/>
      <c r="BS223" s="152" t="inlineStr">
        <is>
          <t>YES</t>
        </is>
      </c>
      <c r="BT223" s="152" t="n"/>
    </row>
    <row r="224" ht="15" customHeight="1" s="241">
      <c r="A224" s="191" t="inlineStr">
        <is>
          <t>Datadog</t>
        </is>
      </c>
      <c r="B224" s="188">
        <f>IF(A224="","",_xlfn.XLOOKUP(A224, Company_List!$A:$A, Company_List!$B:$B, ""))</f>
        <v/>
      </c>
      <c r="C224" s="177" t="n">
        <v>2025</v>
      </c>
      <c r="D224" s="177" t="inlineStr">
        <is>
          <t>Q4</t>
        </is>
      </c>
      <c r="E224" s="178" t="inlineStr">
        <is>
          <t>Transcript</t>
        </is>
      </c>
      <c r="F224" s="178" t="inlineStr">
        <is>
          <t>All</t>
        </is>
      </c>
      <c r="G224" s="177" t="inlineStr">
        <is>
          <t>Anna</t>
        </is>
      </c>
      <c r="H224" s="177" t="inlineStr">
        <is>
          <t>Human</t>
        </is>
      </c>
      <c r="I224" s="180" t="n">
        <v>0.4</v>
      </c>
      <c r="J224" s="180">
        <f>IF(OR(I224="",Settings!$B$6=""),"",IF(I224&gt;Settings!$B$6,"BUY",IF(I224&lt;-Settings!$B$6,"SELL","HOLD")))</f>
        <v/>
      </c>
      <c r="K224" s="180" t="n">
        <v>28</v>
      </c>
      <c r="L224" s="182" t="n">
        <v>46063</v>
      </c>
      <c r="M224" s="182" t="n">
        <v>46062</v>
      </c>
      <c r="N224" s="179" t="n">
        <v>114.01</v>
      </c>
      <c r="O224" s="182" t="n">
        <v>46063</v>
      </c>
      <c r="P224" s="180" t="n">
        <v>124.175</v>
      </c>
      <c r="Q224" s="184">
        <f>IF(OR(N224="",P224=""),"",ROUND((P224-N224)/N224,4))</f>
        <v/>
      </c>
      <c r="R224" s="177">
        <f>IF(OR(N224="",P224=""),"",IF(Q224&gt;Settings!$B$3/100,"UP",IF(Q224&lt;-Settings!$B$3/100,"DOWN","FLAT")))</f>
        <v/>
      </c>
      <c r="S224" s="177">
        <f>IF(OR(N224="",P224="",J224=""),"",IF(OR(AND(J224="BUY",R224="UP"),AND(J224="SELL",R224="DOWN"),AND(J224="HOLD",R224="FLAT")),"YES","NO"))</f>
        <v/>
      </c>
      <c r="T224" s="176">
        <f>IF(J224="","",IF(J224="BUY",1,IF(J224="SELL",-1,0)))</f>
        <v/>
      </c>
      <c r="U224" s="184">
        <f>IFERROR(IF(OR(J224="",N224="",P224=""),"",IF(T224=0,0,T224*Q224-Settings!$B$4/10000-IF(T224&lt;0,Settings!$B$5/10000,0))),"")</f>
        <v/>
      </c>
      <c r="V224" s="152" t="n"/>
      <c r="W224" s="176">
        <f>IF($K224="","",$K224*60)</f>
        <v/>
      </c>
      <c r="X224" s="186">
        <f>IF($A224="","",$A224&amp;"|"&amp;$C224&amp;"|"&amp;$D224)</f>
        <v/>
      </c>
      <c r="Y224" s="186">
        <f>IFERROR(IF($X224="","",INDEX(LLM_Data_Entry!$H$3:$H$548,MATCH($X224,INDEX(LLM_Data_Entry!$A$3:$A$548&amp;"|"&amp;LLM_Data_Entry!$C$3:$C$548&amp;"|"&amp;LLM_Data_Entry!$D$3:$D$548,0),0))),"")</f>
        <v/>
      </c>
      <c r="Z224" s="186">
        <f>IFERROR(IF($X224="","",INDEX(LLM_Data_Entry!$R$3:$R$548,MATCH($X224,INDEX(LLM_Data_Entry!$A$3:$A$548&amp;"|"&amp;LLM_Data_Entry!$C$3:$C$548&amp;"|"&amp;LLM_Data_Entry!$D$3:$D$548,0),0))),"")</f>
        <v/>
      </c>
      <c r="AA224" s="152" t="n"/>
      <c r="AB224" s="152" t="inlineStr">
        <is>
          <t>recorded window spanned two sessions, closed to one</t>
        </is>
      </c>
      <c r="AC224" s="152" t="inlineStr">
        <is>
          <t>DDOG</t>
        </is>
      </c>
      <c r="AD224" s="152" t="inlineStr">
        <is>
          <t>2026-02-09</t>
        </is>
      </c>
      <c r="AE224" s="152" t="n">
        <v>114.01</v>
      </c>
      <c r="AF224" s="152" t="inlineStr">
        <is>
          <t>2026-02-10</t>
        </is>
      </c>
      <c r="AG224" s="152" t="n">
        <v>124.175</v>
      </c>
      <c r="AH224" s="152" t="n">
        <v>0.08915885292239538</v>
      </c>
      <c r="AI224" s="152" t="inlineStr">
        <is>
          <t>UP</t>
        </is>
      </c>
      <c r="AJ224" s="152" t="inlineStr">
        <is>
          <t>YES</t>
        </is>
      </c>
      <c r="AK224" s="152" t="n">
        <v>0.088159</v>
      </c>
      <c r="AL224" s="152">
        <f>IF($A224="","",IFERROR(INDEX(Company_List!$G$3:$G$207,MATCH($A224,Company_List!$A$3:$A$207,0)),"unassigned"))</f>
        <v/>
      </c>
      <c r="AM224" s="152" t="inlineStr">
        <is>
          <t>Phase 3/Readings/Datadog/Datadog, Inc., Q4 2025 Earnings Call, Feb 10, 2026.pdf</t>
        </is>
      </c>
      <c r="AN224" s="152" t="n"/>
      <c r="AO224" s="152" t="inlineStr">
        <is>
          <t>unique filename match</t>
        </is>
      </c>
      <c r="AP224" s="152">
        <f>IF($A224="","",IF(COUNTIFS(LLM_Data_Entry!$A$3:$A$548,$A224)&gt;0,"YES","NO"))</f>
        <v/>
      </c>
      <c r="AQ224" s="152">
        <f>IF($A224="","",IF(COUNTIFS($A$3:$A224,$A224,$C$3:$C224,$C224,$D$3:$D224,$D224)=1,"YES","NO"))</f>
        <v/>
      </c>
      <c r="AR224" s="152">
        <f>IF($A224="","",IF(AND($C224&amp;"-"&amp;$D224&gt;=Settings!$B$19,$C224&amp;"-"&amp;$D224&lt;=Settings!$B$20),"IN","OUT"))</f>
        <v/>
      </c>
      <c r="AS224" s="152">
        <f>IF($A224="","",IF($F224="Financial Results","financials",IF($F224="Outlook/Guidance","guidance",IF($F224="Transcript Q&amp;A","qanda",IF($F224="","unrecorded",IF($E224="All","full",IF($E224="","unrecorded",LOWER($E224)&amp;" only")))))))</f>
        <v/>
      </c>
      <c r="AT224" s="152">
        <f>IF(AND(OR($J224="BUY",$J224="SELL"),ISNUMBER($U224)),$U224,"")</f>
        <v/>
      </c>
      <c r="AU224" s="152">
        <f>IF(AND(OR($J224="BUY",$J224="SELL"),ISNUMBER($AK224)),$AK224,"")</f>
        <v/>
      </c>
      <c r="AV224" s="152">
        <f>IF(ISNUMBER($AT224),ABS(IF(ISNUMBER($I224),$I224,0)-Settings!$B$24),"")</f>
        <v/>
      </c>
      <c r="AW224" s="152">
        <f>IF(ISNUMBER($AV224),$AV224*$AT224,"")</f>
        <v/>
      </c>
      <c r="AX224" s="152">
        <f>IF(ISNUMBER($AU224),ABS(IF(ISNUMBER($I224),$I224,0)-Settings!$B$24),"")</f>
        <v/>
      </c>
      <c r="AY224" s="152" t="inlineStr">
        <is>
          <t>EXTENSION</t>
        </is>
      </c>
      <c r="AZ224" s="152">
        <f>IF($A224="","",IFERROR(INDEX(Company_List!$H$3:$H$207,MATCH($A224,Company_List!$A$3:$A$207,0)),"unassigned"))</f>
        <v/>
      </c>
      <c r="BA224" s="152" t="n"/>
      <c r="BB224" s="152" t="n"/>
      <c r="BC224" s="152">
        <f>IF($A224="","",IF(COUNTIFS($A$3:$A224,$A224,$C$3:$C224,$C224,$D$3:$D224,$D224,$G$3:$G224,$G224)=1,1,0))</f>
        <v/>
      </c>
      <c r="BD224" s="152" t="n"/>
      <c r="BE224" s="152" t="n"/>
      <c r="BF224" s="152" t="n"/>
      <c r="BG224" s="152" t="inlineStr">
        <is>
          <t>no</t>
        </is>
      </c>
      <c r="BH224" s="152" t="n"/>
      <c r="BI224" s="152" t="n"/>
      <c r="BJ224" s="152" t="n"/>
      <c r="BK224" s="152">
        <f>IF(OR($H224&lt;&gt;"Human",$S224="",$J224="",$Y224="",$Z224=""),"",IF(EXACT(UPPER($J224),UPPER($Y224)),1,0))</f>
        <v/>
      </c>
      <c r="BL224" s="152" t="inlineStr">
        <is>
          <t>assumed - no rater record</t>
        </is>
      </c>
      <c r="BM224" s="152" t="n">
        <v>1</v>
      </c>
      <c r="BN224" s="152" t="inlineStr">
        <is>
          <t>S&amp;P Global Market Intelligence (Capital IQ)</t>
        </is>
      </c>
      <c r="BO224" s="152" t="inlineStr">
        <is>
          <t>licensed vendor</t>
        </is>
      </c>
      <c r="BP224" s="152" t="inlineStr">
        <is>
          <t>no</t>
        </is>
      </c>
      <c r="BQ224" s="152" t="inlineStr">
        <is>
          <t>no</t>
        </is>
      </c>
      <c r="BR224" s="152" t="n"/>
      <c r="BS224" s="152" t="inlineStr">
        <is>
          <t>YES</t>
        </is>
      </c>
      <c r="BT224" s="152" t="n"/>
    </row>
    <row r="225" ht="15" customHeight="1" s="241">
      <c r="A225" s="191" t="inlineStr">
        <is>
          <t>Datadog</t>
        </is>
      </c>
      <c r="B225" s="188">
        <f>IF(A225="","",_xlfn.XLOOKUP(A225, Company_List!$A:$A, Company_List!$B:$B, ""))</f>
        <v/>
      </c>
      <c r="C225" s="177" t="n">
        <v>2025</v>
      </c>
      <c r="D225" s="177" t="inlineStr">
        <is>
          <t>Q2</t>
        </is>
      </c>
      <c r="E225" s="178" t="inlineStr">
        <is>
          <t>Press Release Document</t>
        </is>
      </c>
      <c r="F225" s="178" t="inlineStr">
        <is>
          <t>All</t>
        </is>
      </c>
      <c r="G225" s="177" t="inlineStr">
        <is>
          <t>Anna</t>
        </is>
      </c>
      <c r="H225" s="177" t="inlineStr">
        <is>
          <t>Human</t>
        </is>
      </c>
      <c r="I225" s="180" t="n">
        <v>0.4</v>
      </c>
      <c r="J225" s="180">
        <f>IF(OR(I225="",Settings!$B$6=""),"",IF(I225&gt;Settings!$B$6,"BUY",IF(I225&lt;-Settings!$B$6,"SELL","HOLD")))</f>
        <v/>
      </c>
      <c r="K225" s="180" t="n">
        <v>5</v>
      </c>
      <c r="L225" s="182" t="n">
        <v>45876</v>
      </c>
      <c r="M225" s="182" t="n">
        <v>45875</v>
      </c>
      <c r="N225" s="179" t="n">
        <v>136.96</v>
      </c>
      <c r="O225" s="182" t="n">
        <v>45876</v>
      </c>
      <c r="P225" s="180" t="n">
        <v>147.75</v>
      </c>
      <c r="Q225" s="184">
        <f>IF(OR(N225="",P225=""),"",ROUND((P225-N225)/N225,4))</f>
        <v/>
      </c>
      <c r="R225" s="177">
        <f>IF(OR(N225="",P225=""),"",IF(Q225&gt;Settings!$B$3/100,"UP",IF(Q225&lt;-Settings!$B$3/100,"DOWN","FLAT")))</f>
        <v/>
      </c>
      <c r="S225" s="177">
        <f>IF(OR(N225="",P225="",J225=""),"",IF(OR(AND(J225="BUY",R225="UP"),AND(J225="SELL",R225="DOWN"),AND(J225="HOLD",R225="FLAT")),"YES","NO"))</f>
        <v/>
      </c>
      <c r="T225" s="176">
        <f>IF(J225="","",IF(J225="BUY",1,IF(J225="SELL",-1,0)))</f>
        <v/>
      </c>
      <c r="U225" s="184">
        <f>IFERROR(IF(OR(J225="",N225="",P225=""),"",IF(T225=0,0,T225*Q225-Settings!$B$4/10000-IF(T225&lt;0,Settings!$B$5/10000,0))),"")</f>
        <v/>
      </c>
      <c r="V225" s="152" t="n"/>
      <c r="W225" s="176">
        <f>IF($K225="","",$K225*60)</f>
        <v/>
      </c>
      <c r="X225" s="186">
        <f>IF($A225="","",$A225&amp;"|"&amp;$C225&amp;"|"&amp;$D225)</f>
        <v/>
      </c>
      <c r="Y225" s="186">
        <f>IFERROR(IF($X225="","",INDEX(LLM_Data_Entry!$H$3:$H$548,MATCH($X225,INDEX(LLM_Data_Entry!$A$3:$A$548&amp;"|"&amp;LLM_Data_Entry!$C$3:$C$548&amp;"|"&amp;LLM_Data_Entry!$D$3:$D$548,0),0))),"")</f>
        <v/>
      </c>
      <c r="Z225" s="186">
        <f>IFERROR(IF($X225="","",INDEX(LLM_Data_Entry!$R$3:$R$548,MATCH($X225,INDEX(LLM_Data_Entry!$A$3:$A$548&amp;"|"&amp;LLM_Data_Entry!$C$3:$C$548&amp;"|"&amp;LLM_Data_Entry!$D$3:$D$548,0),0))),"")</f>
        <v/>
      </c>
      <c r="AA225" s="152" t="n"/>
      <c r="AB225" s="152" t="inlineStr">
        <is>
          <t>recorded window spanned two sessions, closed to one</t>
        </is>
      </c>
      <c r="AC225" s="152" t="inlineStr">
        <is>
          <t>DDOG</t>
        </is>
      </c>
      <c r="AD225" s="152" t="inlineStr">
        <is>
          <t>2025-08-06</t>
        </is>
      </c>
      <c r="AE225" s="152" t="n">
        <v>136.96</v>
      </c>
      <c r="AF225" s="152" t="inlineStr">
        <is>
          <t>2025-08-07</t>
        </is>
      </c>
      <c r="AG225" s="152" t="n">
        <v>147.75</v>
      </c>
      <c r="AH225" s="152" t="n">
        <v>0.07878207103187437</v>
      </c>
      <c r="AI225" s="152" t="inlineStr">
        <is>
          <t>UP</t>
        </is>
      </c>
      <c r="AJ225" s="152" t="inlineStr">
        <is>
          <t>YES</t>
        </is>
      </c>
      <c r="AK225" s="152" t="n">
        <v>0.077782</v>
      </c>
      <c r="AL225" s="152">
        <f>IF($A225="","",IFERROR(INDEX(Company_List!$G$3:$G$207,MATCH($A225,Company_List!$A$3:$A$207,0)),"unassigned"))</f>
        <v/>
      </c>
      <c r="AM225" s="152" t="inlineStr">
        <is>
          <t>Phase 3/Readings/Datadog/2025-Q2/DDOG-2025-Q2-press-release-SEC-EX-99-1.htm</t>
        </is>
      </c>
      <c r="AN225" s="152" t="inlineStr">
        <is>
          <t>https://www.sec.gov/Archives/edgar/data/1561550/000156155025000216/ex-991x20250630x8k.htm</t>
        </is>
      </c>
      <c r="AO225" s="152" t="inlineStr">
        <is>
          <t>manifest</t>
        </is>
      </c>
      <c r="AP225" s="152">
        <f>IF($A225="","",IF(COUNTIFS(LLM_Data_Entry!$A$3:$A$548,$A225)&gt;0,"YES","NO"))</f>
        <v/>
      </c>
      <c r="AQ225" s="152">
        <f>IF($A225="","",IF(COUNTIFS($A$3:$A225,$A225,$C$3:$C225,$C225,$D$3:$D225,$D225)=1,"YES","NO"))</f>
        <v/>
      </c>
      <c r="AR225" s="152">
        <f>IF($A225="","",IF(AND($C225&amp;"-"&amp;$D225&gt;=Settings!$B$19,$C225&amp;"-"&amp;$D225&lt;=Settings!$B$20),"IN","OUT"))</f>
        <v/>
      </c>
      <c r="AS225" s="152">
        <f>IF($A225="","",IF($F225="Financial Results","financials",IF($F225="Outlook/Guidance","guidance",IF($F225="Transcript Q&amp;A","qanda",IF($F225="","unrecorded",IF($E225="All","full",IF($E225="","unrecorded",LOWER($E225)&amp;" only")))))))</f>
        <v/>
      </c>
      <c r="AT225" s="152">
        <f>IF(AND(OR($J225="BUY",$J225="SELL"),ISNUMBER($U225)),$U225,"")</f>
        <v/>
      </c>
      <c r="AU225" s="152">
        <f>IF(AND(OR($J225="BUY",$J225="SELL"),ISNUMBER($AK225)),$AK225,"")</f>
        <v/>
      </c>
      <c r="AV225" s="152">
        <f>IF(ISNUMBER($AT225),ABS(IF(ISNUMBER($I225),$I225,0)-Settings!$B$24),"")</f>
        <v/>
      </c>
      <c r="AW225" s="152">
        <f>IF(ISNUMBER($AV225),$AV225*$AT225,"")</f>
        <v/>
      </c>
      <c r="AX225" s="152">
        <f>IF(ISNUMBER($AU225),ABS(IF(ISNUMBER($I225),$I225,0)-Settings!$B$24),"")</f>
        <v/>
      </c>
      <c r="AY225" s="152" t="inlineStr">
        <is>
          <t>EXTENSION</t>
        </is>
      </c>
      <c r="AZ225" s="152">
        <f>IF($A225="","",IFERROR(INDEX(Company_List!$H$3:$H$207,MATCH($A225,Company_List!$A$3:$A$207,0)),"unassigned"))</f>
        <v/>
      </c>
      <c r="BA225" s="152" t="n"/>
      <c r="BB225" s="152" t="n"/>
      <c r="BC225" s="152">
        <f>IF($A225="","",IF(COUNTIFS($A$3:$A225,$A225,$C$3:$C225,$C225,$D$3:$D225,$D225,$G$3:$G225,$G225)=1,1,0))</f>
        <v/>
      </c>
      <c r="BD225" s="152" t="n"/>
      <c r="BE225" s="152" t="n"/>
      <c r="BF225" s="152" t="n"/>
      <c r="BG225" s="152" t="inlineStr">
        <is>
          <t>no</t>
        </is>
      </c>
      <c r="BH225" s="152" t="n"/>
      <c r="BI225" s="152" t="n"/>
      <c r="BJ225" s="152" t="n"/>
      <c r="BK225" s="152">
        <f>IF(OR($H225&lt;&gt;"Human",$S225="",$J225="",$Y225="",$Z225=""),"",IF(EXACT(UPPER($J225),UPPER($Y225)),1,0))</f>
        <v/>
      </c>
      <c r="BL225" s="152" t="inlineStr">
        <is>
          <t>assumed - no rater record</t>
        </is>
      </c>
      <c r="BM225" s="152" t="n">
        <v>1</v>
      </c>
      <c r="BN225" s="152" t="inlineStr">
        <is>
          <t>not publisher-identified</t>
        </is>
      </c>
      <c r="BO225" s="152" t="inlineStr">
        <is>
          <t>not publisher-identified</t>
        </is>
      </c>
      <c r="BP225" s="152" t="inlineStr">
        <is>
          <t>no</t>
        </is>
      </c>
      <c r="BQ225" s="152" t="inlineStr">
        <is>
          <t>yes</t>
        </is>
      </c>
      <c r="BR225" s="152" t="n"/>
      <c r="BS225" s="152" t="inlineStr">
        <is>
          <t>YES</t>
        </is>
      </c>
      <c r="BT225" s="152" t="n"/>
    </row>
    <row r="226" ht="15" customHeight="1" s="241">
      <c r="A226" s="191" t="inlineStr">
        <is>
          <t>eBay</t>
        </is>
      </c>
      <c r="B226" s="188">
        <f>IF(A226="","",_xlfn.XLOOKUP(A226, Company_List!$A:$A, Company_List!$B:$B, ""))</f>
        <v/>
      </c>
      <c r="C226" s="177" t="n">
        <v>2025</v>
      </c>
      <c r="D226" s="177" t="inlineStr">
        <is>
          <t>Q1</t>
        </is>
      </c>
      <c r="E226" s="178" t="inlineStr">
        <is>
          <t>Presentation</t>
        </is>
      </c>
      <c r="F226" s="178" t="inlineStr">
        <is>
          <t>All</t>
        </is>
      </c>
      <c r="G226" s="177" t="inlineStr">
        <is>
          <t>Anna</t>
        </is>
      </c>
      <c r="H226" s="177" t="inlineStr">
        <is>
          <t>Human</t>
        </is>
      </c>
      <c r="I226" s="180" t="n">
        <v>0.3</v>
      </c>
      <c r="J226" s="180">
        <f>IF(OR(I226="",Settings!$B$6=""),"",IF(I226&gt;Settings!$B$6,"BUY",IF(I226&lt;-Settings!$B$6,"SELL","HOLD")))</f>
        <v/>
      </c>
      <c r="K226" s="180" t="n">
        <v>12</v>
      </c>
      <c r="L226" s="182" t="n">
        <v>45777</v>
      </c>
      <c r="M226" s="182" t="n">
        <v>45777</v>
      </c>
      <c r="N226" s="179" t="n">
        <v>67.0277</v>
      </c>
      <c r="O226" s="182" t="n">
        <v>45778</v>
      </c>
      <c r="P226" s="180" t="n">
        <v>68.88630000000001</v>
      </c>
      <c r="Q226" s="184">
        <f>IF(OR(N226="",P226=""),"",ROUND((P226-N226)/N226,4))</f>
        <v/>
      </c>
      <c r="R226" s="177">
        <f>IF(OR(N226="",P226=""),"",IF(Q226&gt;Settings!$B$3/100,"UP",IF(Q226&lt;-Settings!$B$3/100,"DOWN","FLAT")))</f>
        <v/>
      </c>
      <c r="S226" s="177">
        <f>IF(OR(N226="",P226="",J226=""),"",IF(OR(AND(J226="BUY",R226="UP"),AND(J226="SELL",R226="DOWN"),AND(J226="HOLD",R226="FLAT")),"YES","NO"))</f>
        <v/>
      </c>
      <c r="T226" s="176">
        <f>IF(J226="","",IF(J226="BUY",1,IF(J226="SELL",-1,0)))</f>
        <v/>
      </c>
      <c r="U226" s="184">
        <f>IFERROR(IF(OR(J226="",N226="",P226=""),"",IF(T226=0,0,T226*Q226-Settings!$B$4/10000-IF(T226&lt;0,Settings!$B$5/10000,0))),"")</f>
        <v/>
      </c>
      <c r="V226" s="152" t="n"/>
      <c r="W226" s="176">
        <f>IF($K226="","",$K226*60)</f>
        <v/>
      </c>
      <c r="X226" s="186">
        <f>IF($A226="","",$A226&amp;"|"&amp;$C226&amp;"|"&amp;$D226)</f>
        <v/>
      </c>
      <c r="Y226" s="186">
        <f>IFERROR(IF($X226="","",INDEX(LLM_Data_Entry!$H$3:$H$548,MATCH($X226,INDEX(LLM_Data_Entry!$A$3:$A$548&amp;"|"&amp;LLM_Data_Entry!$C$3:$C$548&amp;"|"&amp;LLM_Data_Entry!$D$3:$D$548,0),0))),"")</f>
        <v/>
      </c>
      <c r="Z226" s="186">
        <f>IFERROR(IF($X226="","",INDEX(LLM_Data_Entry!$R$3:$R$548,MATCH($X226,INDEX(LLM_Data_Entry!$A$3:$A$548&amp;"|"&amp;LLM_Data_Entry!$C$3:$C$548&amp;"|"&amp;LLM_Data_Entry!$D$3:$D$548,0),0))),"")</f>
        <v/>
      </c>
      <c r="AA226" s="152" t="n"/>
      <c r="AB226" s="152" t="inlineStr">
        <is>
          <t>price signal — only this window shows an abnormal move</t>
        </is>
      </c>
      <c r="AC226" s="152" t="inlineStr">
        <is>
          <t>EBAY</t>
        </is>
      </c>
      <c r="AD226" s="152" t="inlineStr">
        <is>
          <t>2025-04-30</t>
        </is>
      </c>
      <c r="AE226" s="152" t="n">
        <v>67.0277</v>
      </c>
      <c r="AF226" s="152" t="inlineStr">
        <is>
          <t>2025-05-01</t>
        </is>
      </c>
      <c r="AG226" s="152" t="n">
        <v>68.88630000000001</v>
      </c>
      <c r="AH226" s="152" t="n">
        <v>0.02772886625758397</v>
      </c>
      <c r="AI226" s="152" t="inlineStr">
        <is>
          <t>UP</t>
        </is>
      </c>
      <c r="AJ226" s="152" t="inlineStr">
        <is>
          <t>YES</t>
        </is>
      </c>
      <c r="AK226" s="152" t="n">
        <v>0.026729</v>
      </c>
      <c r="AL226" s="152">
        <f>IF($A226="","",IFERROR(INDEX(Company_List!$G$3:$G$207,MATCH($A226,Company_List!$A$3:$A$207,0)),"unassigned"))</f>
        <v/>
      </c>
      <c r="AM226" s="152" t="inlineStr">
        <is>
          <t>Phase 3/Readings/eBay/2025_Q1_eBay_Earnings_Deck_FINAL.pdf</t>
        </is>
      </c>
      <c r="AN226" s="152" t="n"/>
      <c r="AO226" s="152" t="inlineStr">
        <is>
          <t>unique filename match</t>
        </is>
      </c>
      <c r="AP226" s="152">
        <f>IF($A226="","",IF(COUNTIFS(LLM_Data_Entry!$A$3:$A$548,$A226)&gt;0,"YES","NO"))</f>
        <v/>
      </c>
      <c r="AQ226" s="152">
        <f>IF($A226="","",IF(COUNTIFS($A$3:$A226,$A226,$C$3:$C226,$C226,$D$3:$D226,$D226)=1,"YES","NO"))</f>
        <v/>
      </c>
      <c r="AR226" s="152">
        <f>IF($A226="","",IF(AND($C226&amp;"-"&amp;$D226&gt;=Settings!$B$19,$C226&amp;"-"&amp;$D226&lt;=Settings!$B$20),"IN","OUT"))</f>
        <v/>
      </c>
      <c r="AS226" s="152">
        <f>IF($A226="","",IF($F226="Financial Results","financials",IF($F226="Outlook/Guidance","guidance",IF($F226="Transcript Q&amp;A","qanda",IF($F226="","unrecorded",IF($E226="All","full",IF($E226="","unrecorded",LOWER($E226)&amp;" only")))))))</f>
        <v/>
      </c>
      <c r="AT226" s="152">
        <f>IF(AND(OR($J226="BUY",$J226="SELL"),ISNUMBER($U226)),$U226,"")</f>
        <v/>
      </c>
      <c r="AU226" s="152">
        <f>IF(AND(OR($J226="BUY",$J226="SELL"),ISNUMBER($AK226)),$AK226,"")</f>
        <v/>
      </c>
      <c r="AV226" s="152">
        <f>IF(ISNUMBER($AT226),ABS(IF(ISNUMBER($I226),$I226,0)-Settings!$B$24),"")</f>
        <v/>
      </c>
      <c r="AW226" s="152">
        <f>IF(ISNUMBER($AV226),$AV226*$AT226,"")</f>
        <v/>
      </c>
      <c r="AX226" s="152">
        <f>IF(ISNUMBER($AU226),ABS(IF(ISNUMBER($I226),$I226,0)-Settings!$B$24),"")</f>
        <v/>
      </c>
      <c r="AY226" s="152" t="inlineStr">
        <is>
          <t>EXTENSION</t>
        </is>
      </c>
      <c r="AZ226" s="152">
        <f>IF($A226="","",IFERROR(INDEX(Company_List!$H$3:$H$207,MATCH($A226,Company_List!$A$3:$A$207,0)),"unassigned"))</f>
        <v/>
      </c>
      <c r="BA226" s="152" t="n"/>
      <c r="BB226" s="152" t="n"/>
      <c r="BC226" s="152">
        <f>IF($A226="","",IF(COUNTIFS($A$3:$A226,$A226,$C$3:$C226,$C226,$D$3:$D226,$D226,$G$3:$G226,$G226)=1,1,0))</f>
        <v/>
      </c>
      <c r="BD226" s="152" t="n"/>
      <c r="BE226" s="152" t="n"/>
      <c r="BF226" s="152" t="n"/>
      <c r="BG226" s="152" t="inlineStr">
        <is>
          <t>no</t>
        </is>
      </c>
      <c r="BH226" s="152" t="n"/>
      <c r="BI226" s="152" t="n"/>
      <c r="BJ226" s="152" t="n"/>
      <c r="BK226" s="152">
        <f>IF(OR($H226&lt;&gt;"Human",$S226="",$J226="",$Y226="",$Z226=""),"",IF(EXACT(UPPER($J226),UPPER($Y226)),1,0))</f>
        <v/>
      </c>
      <c r="BL226" s="152" t="inlineStr">
        <is>
          <t>assumed - no rater record</t>
        </is>
      </c>
      <c r="BM226" s="152" t="n">
        <v>1</v>
      </c>
      <c r="BN226" s="152" t="inlineStr">
        <is>
          <t>not publisher-identified</t>
        </is>
      </c>
      <c r="BO226" s="152" t="inlineStr">
        <is>
          <t>not publisher-identified</t>
        </is>
      </c>
      <c r="BP226" s="152" t="inlineStr">
        <is>
          <t>no</t>
        </is>
      </c>
      <c r="BQ226" s="152" t="inlineStr">
        <is>
          <t>no</t>
        </is>
      </c>
      <c r="BR226" s="152" t="n"/>
      <c r="BS226" s="152" t="inlineStr">
        <is>
          <t>YES</t>
        </is>
      </c>
      <c r="BT226" s="152" t="n"/>
    </row>
    <row r="227" ht="15" customHeight="1" s="241">
      <c r="A227" s="191" t="inlineStr">
        <is>
          <t>eBay</t>
        </is>
      </c>
      <c r="B227" s="188">
        <f>IF(A227="","",_xlfn.XLOOKUP(A227, Company_List!$A:$A, Company_List!$B:$B, ""))</f>
        <v/>
      </c>
      <c r="C227" s="177" t="n">
        <v>2026</v>
      </c>
      <c r="D227" s="177" t="inlineStr">
        <is>
          <t>Q1</t>
        </is>
      </c>
      <c r="E227" s="178" t="inlineStr">
        <is>
          <t>Press Release Document</t>
        </is>
      </c>
      <c r="F227" s="178" t="inlineStr">
        <is>
          <t>All</t>
        </is>
      </c>
      <c r="G227" s="177" t="inlineStr">
        <is>
          <t>Anna</t>
        </is>
      </c>
      <c r="H227" s="177" t="inlineStr">
        <is>
          <t>Human</t>
        </is>
      </c>
      <c r="I227" s="180" t="n">
        <v>0.7</v>
      </c>
      <c r="J227" s="180">
        <f>IF(OR(I227="",Settings!$B$6=""),"",IF(I227&gt;Settings!$B$6,"BUY",IF(I227&lt;-Settings!$B$6,"SELL","HOLD")))</f>
        <v/>
      </c>
      <c r="K227" s="180" t="n">
        <v>10</v>
      </c>
      <c r="L227" s="182" t="n">
        <v>46141</v>
      </c>
      <c r="M227" s="182" t="n">
        <v>46141</v>
      </c>
      <c r="N227" s="179" t="n">
        <v>103.5031</v>
      </c>
      <c r="O227" s="182" t="n">
        <v>46142</v>
      </c>
      <c r="P227" s="180" t="n">
        <v>99.7933</v>
      </c>
      <c r="Q227" s="184">
        <f>IF(OR(N227="",P227=""),"",ROUND((P227-N227)/N227,4))</f>
        <v/>
      </c>
      <c r="R227" s="177">
        <f>IF(OR(N227="",P227=""),"",IF(Q227&gt;Settings!$B$3/100,"UP",IF(Q227&lt;-Settings!$B$3/100,"DOWN","FLAT")))</f>
        <v/>
      </c>
      <c r="S227" s="177">
        <f>IF(OR(N227="",P227="",J227=""),"",IF(OR(AND(J227="BUY",R227="UP"),AND(J227="SELL",R227="DOWN"),AND(J227="HOLD",R227="FLAT")),"YES","NO"))</f>
        <v/>
      </c>
      <c r="T227" s="176">
        <f>IF(J227="","",IF(J227="BUY",1,IF(J227="SELL",-1,0)))</f>
        <v/>
      </c>
      <c r="U227" s="184">
        <f>IFERROR(IF(OR(J227="",N227="",P227=""),"",IF(T227=0,0,T227*Q227-Settings!$B$4/10000-IF(T227&lt;0,Settings!$B$5/10000,0))),"")</f>
        <v/>
      </c>
      <c r="V227" s="152" t="n"/>
      <c r="W227" s="176">
        <f>IF($K227="","",$K227*60)</f>
        <v/>
      </c>
      <c r="X227" s="186">
        <f>IF($A227="","",$A227&amp;"|"&amp;$C227&amp;"|"&amp;$D227)</f>
        <v/>
      </c>
      <c r="Y227" s="186">
        <f>IFERROR(IF($X227="","",INDEX(LLM_Data_Entry!$H$3:$H$548,MATCH($X227,INDEX(LLM_Data_Entry!$A$3:$A$548&amp;"|"&amp;LLM_Data_Entry!$C$3:$C$548&amp;"|"&amp;LLM_Data_Entry!$D$3:$D$548,0),0))),"")</f>
        <v/>
      </c>
      <c r="Z227" s="186">
        <f>IFERROR(IF($X227="","",INDEX(LLM_Data_Entry!$R$3:$R$548,MATCH($X227,INDEX(LLM_Data_Entry!$A$3:$A$548&amp;"|"&amp;LLM_Data_Entry!$C$3:$C$548&amp;"|"&amp;LLM_Data_Entry!$D$3:$D$548,0),0))),"")</f>
        <v/>
      </c>
      <c r="AA227" s="152" t="n"/>
      <c r="AB227" s="152" t="inlineStr">
        <is>
          <t>price signal, re-derived — only this window shows an abnormal move</t>
        </is>
      </c>
      <c r="AC227" s="152" t="inlineStr">
        <is>
          <t>EBAY</t>
        </is>
      </c>
      <c r="AD227" s="152" t="inlineStr">
        <is>
          <t>2026-04-29</t>
        </is>
      </c>
      <c r="AE227" s="152" t="n">
        <v>103.5031</v>
      </c>
      <c r="AF227" s="152" t="inlineStr">
        <is>
          <t>2026-04-30</t>
        </is>
      </c>
      <c r="AG227" s="152" t="n">
        <v>99.7933</v>
      </c>
      <c r="AH227" s="152" t="n">
        <v>-0.03584163152060018</v>
      </c>
      <c r="AI227" s="152" t="inlineStr">
        <is>
          <t>DOWN</t>
        </is>
      </c>
      <c r="AJ227" s="152" t="inlineStr">
        <is>
          <t>NO</t>
        </is>
      </c>
      <c r="AK227" s="152" t="n">
        <v>-0.036842</v>
      </c>
      <c r="AL227" s="152">
        <f>IF($A227="","",IFERROR(INDEX(Company_List!$G$3:$G$207,MATCH($A227,Company_List!$A$3:$A$207,0)),"unassigned"))</f>
        <v/>
      </c>
      <c r="AM227" s="152" t="inlineStr">
        <is>
          <t>Phase 3/Readings/eBay/eBay-Q1-2026-earnings-press-release.pdf</t>
        </is>
      </c>
      <c r="AN227" s="152" t="n"/>
      <c r="AO227" s="152" t="inlineStr">
        <is>
          <t>unique filename match</t>
        </is>
      </c>
      <c r="AP227" s="152">
        <f>IF($A227="","",IF(COUNTIFS(LLM_Data_Entry!$A$3:$A$548,$A227)&gt;0,"YES","NO"))</f>
        <v/>
      </c>
      <c r="AQ227" s="152">
        <f>IF($A227="","",IF(COUNTIFS($A$3:$A227,$A227,$C$3:$C227,$C227,$D$3:$D227,$D227)=1,"YES","NO"))</f>
        <v/>
      </c>
      <c r="AR227" s="152">
        <f>IF($A227="","",IF(AND($C227&amp;"-"&amp;$D227&gt;=Settings!$B$19,$C227&amp;"-"&amp;$D227&lt;=Settings!$B$20),"IN","OUT"))</f>
        <v/>
      </c>
      <c r="AS227" s="152">
        <f>IF($A227="","",IF($F227="Financial Results","financials",IF($F227="Outlook/Guidance","guidance",IF($F227="Transcript Q&amp;A","qanda",IF($F227="","unrecorded",IF($E227="All","full",IF($E227="","unrecorded",LOWER($E227)&amp;" only")))))))</f>
        <v/>
      </c>
      <c r="AT227" s="152">
        <f>IF(AND(OR($J227="BUY",$J227="SELL"),ISNUMBER($U227)),$U227,"")</f>
        <v/>
      </c>
      <c r="AU227" s="152">
        <f>IF(AND(OR($J227="BUY",$J227="SELL"),ISNUMBER($AK227)),$AK227,"")</f>
        <v/>
      </c>
      <c r="AV227" s="152">
        <f>IF(ISNUMBER($AT227),ABS(IF(ISNUMBER($I227),$I227,0)-Settings!$B$24),"")</f>
        <v/>
      </c>
      <c r="AW227" s="152">
        <f>IF(ISNUMBER($AV227),$AV227*$AT227,"")</f>
        <v/>
      </c>
      <c r="AX227" s="152">
        <f>IF(ISNUMBER($AU227),ABS(IF(ISNUMBER($I227),$I227,0)-Settings!$B$24),"")</f>
        <v/>
      </c>
      <c r="AY227" s="152" t="inlineStr">
        <is>
          <t>EXTENSION</t>
        </is>
      </c>
      <c r="AZ227" s="152">
        <f>IF($A227="","",IFERROR(INDEX(Company_List!$H$3:$H$207,MATCH($A227,Company_List!$A$3:$A$207,0)),"unassigned"))</f>
        <v/>
      </c>
      <c r="BA227" s="152" t="n"/>
      <c r="BB227" s="152" t="n"/>
      <c r="BC227" s="152">
        <f>IF($A227="","",IF(COUNTIFS($A$3:$A227,$A227,$C$3:$C227,$C227,$D$3:$D227,$D227,$G$3:$G227,$G227)=1,1,0))</f>
        <v/>
      </c>
      <c r="BD227" s="152" t="n"/>
      <c r="BE227" s="152" t="n"/>
      <c r="BF227" s="152" t="n"/>
      <c r="BG227" s="152" t="inlineStr">
        <is>
          <t>no</t>
        </is>
      </c>
      <c r="BH227" s="152" t="n"/>
      <c r="BI227" s="152" t="n"/>
      <c r="BJ227" s="152" t="n"/>
      <c r="BK227" s="152">
        <f>IF(OR($H227&lt;&gt;"Human",$S227="",$J227="",$Y227="",$Z227=""),"",IF(EXACT(UPPER($J227),UPPER($Y227)),1,0))</f>
        <v/>
      </c>
      <c r="BL227" s="152" t="inlineStr">
        <is>
          <t>assumed - no rater record</t>
        </is>
      </c>
      <c r="BM227" s="152" t="n">
        <v>1</v>
      </c>
      <c r="BN227" s="152" t="inlineStr">
        <is>
          <t>not publisher-identified</t>
        </is>
      </c>
      <c r="BO227" s="152" t="inlineStr">
        <is>
          <t>not publisher-identified</t>
        </is>
      </c>
      <c r="BP227" s="152" t="inlineStr">
        <is>
          <t>no</t>
        </is>
      </c>
      <c r="BQ227" s="152" t="inlineStr">
        <is>
          <t>no</t>
        </is>
      </c>
      <c r="BR227" s="152" t="n"/>
      <c r="BS227" s="152" t="inlineStr">
        <is>
          <t>YES</t>
        </is>
      </c>
      <c r="BT227" s="152" t="n"/>
    </row>
    <row r="228" ht="15" customHeight="1" s="241">
      <c r="A228" s="191" t="inlineStr">
        <is>
          <t>eBay</t>
        </is>
      </c>
      <c r="B228" s="188">
        <f>IF(A228="","",_xlfn.XLOOKUP(A228, Company_List!$A:$A, Company_List!$B:$B, ""))</f>
        <v/>
      </c>
      <c r="C228" s="177" t="n">
        <v>2025</v>
      </c>
      <c r="D228" s="177" t="inlineStr">
        <is>
          <t>Q3</t>
        </is>
      </c>
      <c r="E228" s="178" t="inlineStr">
        <is>
          <t>Press Release Document</t>
        </is>
      </c>
      <c r="F228" s="178" t="inlineStr">
        <is>
          <t>All</t>
        </is>
      </c>
      <c r="G228" s="177" t="inlineStr">
        <is>
          <t>Anna</t>
        </is>
      </c>
      <c r="H228" s="177" t="inlineStr">
        <is>
          <t>Human</t>
        </is>
      </c>
      <c r="I228" s="180" t="n">
        <v>0.3</v>
      </c>
      <c r="J228" s="180">
        <f>IF(OR(I228="",Settings!$B$6=""),"",IF(I228&gt;Settings!$B$6,"BUY",IF(I228&lt;-Settings!$B$6,"SELL","HOLD")))</f>
        <v/>
      </c>
      <c r="K228" s="180" t="n">
        <v>10</v>
      </c>
      <c r="L228" s="182" t="n">
        <v>45959</v>
      </c>
      <c r="M228" s="182" t="n">
        <v>45959</v>
      </c>
      <c r="N228" s="179" t="n">
        <v>98.58629999999999</v>
      </c>
      <c r="O228" s="182" t="n">
        <v>45960</v>
      </c>
      <c r="P228" s="180" t="n">
        <v>84.77979999999999</v>
      </c>
      <c r="Q228" s="184">
        <f>IF(OR(N228="",P228=""),"",ROUND((P228-N228)/N228,4))</f>
        <v/>
      </c>
      <c r="R228" s="177">
        <f>IF(OR(N228="",P228=""),"",IF(Q228&gt;Settings!$B$3/100,"UP",IF(Q228&lt;-Settings!$B$3/100,"DOWN","FLAT")))</f>
        <v/>
      </c>
      <c r="S228" s="177">
        <f>IF(OR(N228="",P228="",J228=""),"",IF(OR(AND(J228="BUY",R228="UP"),AND(J228="SELL",R228="DOWN"),AND(J228="HOLD",R228="FLAT")),"YES","NO"))</f>
        <v/>
      </c>
      <c r="T228" s="176">
        <f>IF(J228="","",IF(J228="BUY",1,IF(J228="SELL",-1,0)))</f>
        <v/>
      </c>
      <c r="U228" s="184">
        <f>IFERROR(IF(OR(J228="",N228="",P228=""),"",IF(T228=0,0,T228*Q228-Settings!$B$4/10000-IF(T228&lt;0,Settings!$B$5/10000,0))),"")</f>
        <v/>
      </c>
      <c r="V228" s="152" t="n"/>
      <c r="W228" s="176">
        <f>IF($K228="","",$K228*60)</f>
        <v/>
      </c>
      <c r="X228" s="186">
        <f>IF($A228="","",$A228&amp;"|"&amp;$C228&amp;"|"&amp;$D228)</f>
        <v/>
      </c>
      <c r="Y228" s="186">
        <f>IFERROR(IF($X228="","",INDEX(LLM_Data_Entry!$H$3:$H$548,MATCH($X228,INDEX(LLM_Data_Entry!$A$3:$A$548&amp;"|"&amp;LLM_Data_Entry!$C$3:$C$548&amp;"|"&amp;LLM_Data_Entry!$D$3:$D$548,0),0))),"")</f>
        <v/>
      </c>
      <c r="Z228" s="186">
        <f>IFERROR(IF($X228="","",INDEX(LLM_Data_Entry!$R$3:$R$548,MATCH($X228,INDEX(LLM_Data_Entry!$A$3:$A$548&amp;"|"&amp;LLM_Data_Entry!$C$3:$C$548&amp;"|"&amp;LLM_Data_Entry!$D$3:$D$548,0),0))),"")</f>
        <v/>
      </c>
      <c r="AA228" s="152" t="n"/>
      <c r="AB228" s="152" t="inlineStr">
        <is>
          <t>price signal, re-derived — both moved; this one dominates</t>
        </is>
      </c>
      <c r="AC228" s="152" t="inlineStr">
        <is>
          <t>EBAY</t>
        </is>
      </c>
      <c r="AD228" s="152" t="inlineStr">
        <is>
          <t>2025-10-29</t>
        </is>
      </c>
      <c r="AE228" s="152" t="n">
        <v>98.58629999999999</v>
      </c>
      <c r="AF228" s="152" t="inlineStr">
        <is>
          <t>2025-10-30</t>
        </is>
      </c>
      <c r="AG228" s="152" t="n">
        <v>84.77979999999999</v>
      </c>
      <c r="AH228" s="152" t="n">
        <v>-0.1400442483700868</v>
      </c>
      <c r="AI228" s="152" t="inlineStr">
        <is>
          <t>DOWN</t>
        </is>
      </c>
      <c r="AJ228" s="152" t="inlineStr">
        <is>
          <t>NO</t>
        </is>
      </c>
      <c r="AK228" s="152" t="n">
        <v>-0.141044</v>
      </c>
      <c r="AL228" s="152">
        <f>IF($A228="","",IFERROR(INDEX(Company_List!$G$3:$G$207,MATCH($A228,Company_List!$A$3:$A$207,0)),"unassigned"))</f>
        <v/>
      </c>
      <c r="AM228" s="152" t="inlineStr">
        <is>
          <t>Phase 3/Readings/eBay/eBay-Q3-2025-Earnings-Press-Release-Final.pdf</t>
        </is>
      </c>
      <c r="AN228" s="152" t="n"/>
      <c r="AO228" s="152" t="inlineStr">
        <is>
          <t>unique filename match</t>
        </is>
      </c>
      <c r="AP228" s="152">
        <f>IF($A228="","",IF(COUNTIFS(LLM_Data_Entry!$A$3:$A$548,$A228)&gt;0,"YES","NO"))</f>
        <v/>
      </c>
      <c r="AQ228" s="152">
        <f>IF($A228="","",IF(COUNTIFS($A$3:$A228,$A228,$C$3:$C228,$C228,$D$3:$D228,$D228)=1,"YES","NO"))</f>
        <v/>
      </c>
      <c r="AR228" s="152">
        <f>IF($A228="","",IF(AND($C228&amp;"-"&amp;$D228&gt;=Settings!$B$19,$C228&amp;"-"&amp;$D228&lt;=Settings!$B$20),"IN","OUT"))</f>
        <v/>
      </c>
      <c r="AS228" s="152">
        <f>IF($A228="","",IF($F228="Financial Results","financials",IF($F228="Outlook/Guidance","guidance",IF($F228="Transcript Q&amp;A","qanda",IF($F228="","unrecorded",IF($E228="All","full",IF($E228="","unrecorded",LOWER($E228)&amp;" only")))))))</f>
        <v/>
      </c>
      <c r="AT228" s="152">
        <f>IF(AND(OR($J228="BUY",$J228="SELL"),ISNUMBER($U228)),$U228,"")</f>
        <v/>
      </c>
      <c r="AU228" s="152">
        <f>IF(AND(OR($J228="BUY",$J228="SELL"),ISNUMBER($AK228)),$AK228,"")</f>
        <v/>
      </c>
      <c r="AV228" s="152">
        <f>IF(ISNUMBER($AT228),ABS(IF(ISNUMBER($I228),$I228,0)-Settings!$B$24),"")</f>
        <v/>
      </c>
      <c r="AW228" s="152">
        <f>IF(ISNUMBER($AV228),$AV228*$AT228,"")</f>
        <v/>
      </c>
      <c r="AX228" s="152">
        <f>IF(ISNUMBER($AU228),ABS(IF(ISNUMBER($I228),$I228,0)-Settings!$B$24),"")</f>
        <v/>
      </c>
      <c r="AY228" s="152" t="inlineStr">
        <is>
          <t>EXTENSION</t>
        </is>
      </c>
      <c r="AZ228" s="152">
        <f>IF($A228="","",IFERROR(INDEX(Company_List!$H$3:$H$207,MATCH($A228,Company_List!$A$3:$A$207,0)),"unassigned"))</f>
        <v/>
      </c>
      <c r="BA228" s="152" t="n"/>
      <c r="BB228" s="152" t="n"/>
      <c r="BC228" s="152">
        <f>IF($A228="","",IF(COUNTIFS($A$3:$A228,$A228,$C$3:$C228,$C228,$D$3:$D228,$D228,$G$3:$G228,$G228)=1,1,0))</f>
        <v/>
      </c>
      <c r="BD228" s="152" t="n"/>
      <c r="BE228" s="152" t="n"/>
      <c r="BF228" s="152" t="n"/>
      <c r="BG228" s="152" t="inlineStr">
        <is>
          <t>no</t>
        </is>
      </c>
      <c r="BH228" s="152" t="n"/>
      <c r="BI228" s="152" t="n"/>
      <c r="BJ228" s="152" t="n"/>
      <c r="BK228" s="152">
        <f>IF(OR($H228&lt;&gt;"Human",$S228="",$J228="",$Y228="",$Z228=""),"",IF(EXACT(UPPER($J228),UPPER($Y228)),1,0))</f>
        <v/>
      </c>
      <c r="BL228" s="152" t="inlineStr">
        <is>
          <t>assumed - no rater record</t>
        </is>
      </c>
      <c r="BM228" s="152" t="n">
        <v>1</v>
      </c>
      <c r="BN228" s="152" t="inlineStr">
        <is>
          <t>not publisher-identified</t>
        </is>
      </c>
      <c r="BO228" s="152" t="inlineStr">
        <is>
          <t>not publisher-identified</t>
        </is>
      </c>
      <c r="BP228" s="152" t="inlineStr">
        <is>
          <t>no</t>
        </is>
      </c>
      <c r="BQ228" s="152" t="inlineStr">
        <is>
          <t>no</t>
        </is>
      </c>
      <c r="BR228" s="152" t="n"/>
      <c r="BS228" s="152" t="inlineStr">
        <is>
          <t>YES</t>
        </is>
      </c>
      <c r="BT228" s="152" t="n"/>
    </row>
    <row r="229" ht="15" customHeight="1" s="241">
      <c r="A229" s="191" t="inlineStr">
        <is>
          <t>eBay</t>
        </is>
      </c>
      <c r="B229" s="188">
        <f>IF(A229="","",_xlfn.XLOOKUP(A229, Company_List!$A:$A, Company_List!$B:$B, ""))</f>
        <v/>
      </c>
      <c r="C229" s="177" t="n">
        <v>2025</v>
      </c>
      <c r="D229" s="177" t="inlineStr">
        <is>
          <t>Q2</t>
        </is>
      </c>
      <c r="E229" s="178" t="inlineStr">
        <is>
          <t>Presentation</t>
        </is>
      </c>
      <c r="F229" s="178" t="inlineStr">
        <is>
          <t>All</t>
        </is>
      </c>
      <c r="G229" s="177" t="inlineStr">
        <is>
          <t>Anna</t>
        </is>
      </c>
      <c r="H229" s="177" t="inlineStr">
        <is>
          <t>Human</t>
        </is>
      </c>
      <c r="I229" s="180" t="n">
        <v>0.2</v>
      </c>
      <c r="J229" s="180">
        <f>IF(OR(I229="",Settings!$B$6=""),"",IF(I229&gt;Settings!$B$6,"BUY",IF(I229&lt;-Settings!$B$6,"SELL","HOLD")))</f>
        <v/>
      </c>
      <c r="K229" s="180" t="n">
        <v>11</v>
      </c>
      <c r="L229" s="182" t="n">
        <v>45868</v>
      </c>
      <c r="M229" s="182" t="n">
        <v>45868</v>
      </c>
      <c r="N229" s="179" t="n">
        <v>76.57680000000001</v>
      </c>
      <c r="O229" s="182" t="n">
        <v>45869</v>
      </c>
      <c r="P229" s="180" t="n">
        <v>87.0819</v>
      </c>
      <c r="Q229" s="184">
        <f>IF(OR(N229="",P229=""),"",ROUND((P229-N229)/N229,4))</f>
        <v/>
      </c>
      <c r="R229" s="177">
        <f>IF(OR(N229="",P229=""),"",IF(Q229&gt;Settings!$B$3/100,"UP",IF(Q229&lt;-Settings!$B$3/100,"DOWN","FLAT")))</f>
        <v/>
      </c>
      <c r="S229" s="177">
        <f>IF(OR(N229="",P229="",J229=""),"",IF(OR(AND(J229="BUY",R229="UP"),AND(J229="SELL",R229="DOWN"),AND(J229="HOLD",R229="FLAT")),"YES","NO"))</f>
        <v/>
      </c>
      <c r="T229" s="176">
        <f>IF(J229="","",IF(J229="BUY",1,IF(J229="SELL",-1,0)))</f>
        <v/>
      </c>
      <c r="U229" s="184">
        <f>IFERROR(IF(OR(J229="",N229="",P229=""),"",IF(T229=0,0,T229*Q229-Settings!$B$4/10000-IF(T229&lt;0,Settings!$B$5/10000,0))),"")</f>
        <v/>
      </c>
      <c r="V229" s="152" t="n"/>
      <c r="W229" s="176">
        <f>IF($K229="","",$K229*60)</f>
        <v/>
      </c>
      <c r="X229" s="186">
        <f>IF($A229="","",$A229&amp;"|"&amp;$C229&amp;"|"&amp;$D229)</f>
        <v/>
      </c>
      <c r="Y229" s="186">
        <f>IFERROR(IF($X229="","",INDEX(LLM_Data_Entry!$H$3:$H$548,MATCH($X229,INDEX(LLM_Data_Entry!$A$3:$A$548&amp;"|"&amp;LLM_Data_Entry!$C$3:$C$548&amp;"|"&amp;LLM_Data_Entry!$D$3:$D$548,0),0))),"")</f>
        <v/>
      </c>
      <c r="Z229" s="186">
        <f>IFERROR(IF($X229="","",INDEX(LLM_Data_Entry!$R$3:$R$548,MATCH($X229,INDEX(LLM_Data_Entry!$A$3:$A$548&amp;"|"&amp;LLM_Data_Entry!$C$3:$C$548&amp;"|"&amp;LLM_Data_Entry!$D$3:$D$548,0),0))),"")</f>
        <v/>
      </c>
      <c r="AA229" s="152" t="n"/>
      <c r="AB229" s="152" t="inlineStr">
        <is>
          <t>price signal, re-derived — only this window shows an abnormal move</t>
        </is>
      </c>
      <c r="AC229" s="152" t="inlineStr">
        <is>
          <t>EBAY</t>
        </is>
      </c>
      <c r="AD229" s="152" t="inlineStr">
        <is>
          <t>2025-07-30</t>
        </is>
      </c>
      <c r="AE229" s="152" t="n">
        <v>76.57680000000001</v>
      </c>
      <c r="AF229" s="152" t="inlineStr">
        <is>
          <t>2025-07-31</t>
        </is>
      </c>
      <c r="AG229" s="152" t="n">
        <v>87.0819</v>
      </c>
      <c r="AH229" s="152" t="n">
        <v>0.1371840463453027</v>
      </c>
      <c r="AI229" s="152" t="inlineStr">
        <is>
          <t>UP</t>
        </is>
      </c>
      <c r="AJ229" s="152" t="inlineStr">
        <is>
          <t>NO</t>
        </is>
      </c>
      <c r="AK229" s="152" t="n">
        <v>0</v>
      </c>
      <c r="AL229" s="152">
        <f>IF($A229="","",IFERROR(INDEX(Company_List!$G$3:$G$207,MATCH($A229,Company_List!$A$3:$A$207,0)),"unassigned"))</f>
        <v/>
      </c>
      <c r="AM229" s="152" t="inlineStr">
        <is>
          <t>Phase 3/Readings/eBay/2025_Q2_eBay_Earnings_Presentation_Final.pdf</t>
        </is>
      </c>
      <c r="AN229" s="152" t="n"/>
      <c r="AO229" s="152" t="inlineStr">
        <is>
          <t>unique filename match</t>
        </is>
      </c>
      <c r="AP229" s="152">
        <f>IF($A229="","",IF(COUNTIFS(LLM_Data_Entry!$A$3:$A$548,$A229)&gt;0,"YES","NO"))</f>
        <v/>
      </c>
      <c r="AQ229" s="152">
        <f>IF($A229="","",IF(COUNTIFS($A$3:$A229,$A229,$C$3:$C229,$C229,$D$3:$D229,$D229)=1,"YES","NO"))</f>
        <v/>
      </c>
      <c r="AR229" s="152">
        <f>IF($A229="","",IF(AND($C229&amp;"-"&amp;$D229&gt;=Settings!$B$19,$C229&amp;"-"&amp;$D229&lt;=Settings!$B$20),"IN","OUT"))</f>
        <v/>
      </c>
      <c r="AS229" s="152">
        <f>IF($A229="","",IF($F229="Financial Results","financials",IF($F229="Outlook/Guidance","guidance",IF($F229="Transcript Q&amp;A","qanda",IF($F229="","unrecorded",IF($E229="All","full",IF($E229="","unrecorded",LOWER($E229)&amp;" only")))))))</f>
        <v/>
      </c>
      <c r="AT229" s="152">
        <f>IF(AND(OR($J229="BUY",$J229="SELL"),ISNUMBER($U229)),$U229,"")</f>
        <v/>
      </c>
      <c r="AU229" s="152">
        <f>IF(AND(OR($J229="BUY",$J229="SELL"),ISNUMBER($AK229)),$AK229,"")</f>
        <v/>
      </c>
      <c r="AV229" s="152">
        <f>IF(ISNUMBER($AT229),ABS(IF(ISNUMBER($I229),$I229,0)-Settings!$B$24),"")</f>
        <v/>
      </c>
      <c r="AW229" s="152">
        <f>IF(ISNUMBER($AV229),$AV229*$AT229,"")</f>
        <v/>
      </c>
      <c r="AX229" s="152">
        <f>IF(ISNUMBER($AU229),ABS(IF(ISNUMBER($I229),$I229,0)-Settings!$B$24),"")</f>
        <v/>
      </c>
      <c r="AY229" s="152" t="inlineStr">
        <is>
          <t>EXTENSION</t>
        </is>
      </c>
      <c r="AZ229" s="152">
        <f>IF($A229="","",IFERROR(INDEX(Company_List!$H$3:$H$207,MATCH($A229,Company_List!$A$3:$A$207,0)),"unassigned"))</f>
        <v/>
      </c>
      <c r="BA229" s="152" t="n"/>
      <c r="BB229" s="152" t="n"/>
      <c r="BC229" s="152">
        <f>IF($A229="","",IF(COUNTIFS($A$3:$A229,$A229,$C$3:$C229,$C229,$D$3:$D229,$D229,$G$3:$G229,$G229)=1,1,0))</f>
        <v/>
      </c>
      <c r="BD229" s="152" t="n"/>
      <c r="BE229" s="152" t="n"/>
      <c r="BF229" s="152" t="n"/>
      <c r="BG229" s="152" t="inlineStr">
        <is>
          <t>no</t>
        </is>
      </c>
      <c r="BH229" s="152" t="n"/>
      <c r="BI229" s="152" t="n"/>
      <c r="BJ229" s="152" t="n"/>
      <c r="BK229" s="152">
        <f>IF(OR($H229&lt;&gt;"Human",$S229="",$J229="",$Y229="",$Z229=""),"",IF(EXACT(UPPER($J229),UPPER($Y229)),1,0))</f>
        <v/>
      </c>
      <c r="BL229" s="152" t="inlineStr">
        <is>
          <t>assumed - no rater record</t>
        </is>
      </c>
      <c r="BM229" s="152" t="n">
        <v>1</v>
      </c>
      <c r="BN229" s="152" t="inlineStr">
        <is>
          <t>not publisher-identified</t>
        </is>
      </c>
      <c r="BO229" s="152" t="inlineStr">
        <is>
          <t>not publisher-identified</t>
        </is>
      </c>
      <c r="BP229" s="152" t="inlineStr">
        <is>
          <t>no</t>
        </is>
      </c>
      <c r="BQ229" s="152" t="inlineStr">
        <is>
          <t>no</t>
        </is>
      </c>
      <c r="BR229" s="152" t="n"/>
      <c r="BS229" s="152" t="inlineStr">
        <is>
          <t>YES</t>
        </is>
      </c>
      <c r="BT229" s="152" t="n"/>
    </row>
    <row r="230" ht="15" customHeight="1" s="241">
      <c r="A230" s="191" t="inlineStr">
        <is>
          <t>Pinterest</t>
        </is>
      </c>
      <c r="B230" s="188">
        <f>IF(A230="","",_xlfn.XLOOKUP(A230, Company_List!$A:$A, Company_List!$B:$B, ""))</f>
        <v/>
      </c>
      <c r="C230" s="177" t="n">
        <v>2026</v>
      </c>
      <c r="D230" s="177" t="inlineStr">
        <is>
          <t>Q1</t>
        </is>
      </c>
      <c r="E230" s="178" t="inlineStr">
        <is>
          <t>Transcript</t>
        </is>
      </c>
      <c r="F230" s="178" t="inlineStr">
        <is>
          <t>All</t>
        </is>
      </c>
      <c r="G230" s="177" t="inlineStr">
        <is>
          <t>Anna</t>
        </is>
      </c>
      <c r="H230" s="177" t="inlineStr">
        <is>
          <t>Human</t>
        </is>
      </c>
      <c r="I230" s="180" t="n">
        <v>0.4</v>
      </c>
      <c r="J230" s="180">
        <f>IF(OR(I230="",Settings!$B$6=""),"",IF(I230&gt;Settings!$B$6,"BUY",IF(I230&lt;-Settings!$B$6,"SELL","HOLD")))</f>
        <v/>
      </c>
      <c r="K230" s="180" t="n">
        <v>25</v>
      </c>
      <c r="L230" s="182" t="n">
        <v>46146</v>
      </c>
      <c r="M230" s="182" t="n">
        <v>46146</v>
      </c>
      <c r="N230" s="179" t="n">
        <v>20.85</v>
      </c>
      <c r="O230" s="182" t="n">
        <v>46147</v>
      </c>
      <c r="P230" s="180" t="n">
        <v>24.71</v>
      </c>
      <c r="Q230" s="184">
        <f>IF(OR(N230="",P230=""),"",ROUND((P230-N230)/N230,4))</f>
        <v/>
      </c>
      <c r="R230" s="177">
        <f>IF(OR(N230="",P230=""),"",IF(Q230&gt;Settings!$B$3/100,"UP",IF(Q230&lt;-Settings!$B$3/100,"DOWN","FLAT")))</f>
        <v/>
      </c>
      <c r="S230" s="177">
        <f>IF(OR(N230="",P230="",J230=""),"",IF(OR(AND(J230="BUY",R230="UP"),AND(J230="SELL",R230="DOWN"),AND(J230="HOLD",R230="FLAT")),"YES","NO"))</f>
        <v/>
      </c>
      <c r="T230" s="176">
        <f>IF(J230="","",IF(J230="BUY",1,IF(J230="SELL",-1,0)))</f>
        <v/>
      </c>
      <c r="U230" s="184">
        <f>IFERROR(IF(OR(J230="",N230="",P230=""),"",IF(T230=0,0,T230*Q230-Settings!$B$4/10000-IF(T230&lt;0,Settings!$B$5/10000,0))),"")</f>
        <v/>
      </c>
      <c r="V230" s="152" t="n"/>
      <c r="W230" s="176">
        <f>IF($K230="","",$K230*60)</f>
        <v/>
      </c>
      <c r="X230" s="186">
        <f>IF($A230="","",$A230&amp;"|"&amp;$C230&amp;"|"&amp;$D230)</f>
        <v/>
      </c>
      <c r="Y230" s="186">
        <f>IFERROR(IF($X230="","",INDEX(LLM_Data_Entry!$H$3:$H$548,MATCH($X230,INDEX(LLM_Data_Entry!$A$3:$A$548&amp;"|"&amp;LLM_Data_Entry!$C$3:$C$548&amp;"|"&amp;LLM_Data_Entry!$D$3:$D$548,0),0))),"")</f>
        <v/>
      </c>
      <c r="Z230" s="186">
        <f>IFERROR(IF($X230="","",INDEX(LLM_Data_Entry!$R$3:$R$548,MATCH($X230,INDEX(LLM_Data_Entry!$A$3:$A$548&amp;"|"&amp;LLM_Data_Entry!$C$3:$C$548&amp;"|"&amp;LLM_Data_Entry!$D$3:$D$548,0),0))),"")</f>
        <v/>
      </c>
      <c r="AA230" s="152" t="n"/>
      <c r="AB230" s="152" t="inlineStr">
        <is>
          <t>price signal — only this window shows an abnormal move</t>
        </is>
      </c>
      <c r="AC230" s="152" t="inlineStr">
        <is>
          <t>PINS</t>
        </is>
      </c>
      <c r="AD230" s="152" t="inlineStr">
        <is>
          <t>2026-05-04</t>
        </is>
      </c>
      <c r="AE230" s="152" t="n">
        <v>20.85</v>
      </c>
      <c r="AF230" s="152" t="inlineStr">
        <is>
          <t>2026-05-05</t>
        </is>
      </c>
      <c r="AG230" s="152" t="n">
        <v>24.71</v>
      </c>
      <c r="AH230" s="152" t="n">
        <v>0.1851318465227819</v>
      </c>
      <c r="AI230" s="152" t="inlineStr">
        <is>
          <t>UP</t>
        </is>
      </c>
      <c r="AJ230" s="152" t="inlineStr">
        <is>
          <t>YES</t>
        </is>
      </c>
      <c r="AK230" s="152" t="n">
        <v>0.184132</v>
      </c>
      <c r="AL230" s="152">
        <f>IF($A230="","",IFERROR(INDEX(Company_List!$G$3:$G$207,MATCH($A230,Company_List!$A$3:$A$207,0)),"unassigned"))</f>
        <v/>
      </c>
      <c r="AM230" s="152" t="inlineStr">
        <is>
          <t>Phase 3/Readings/Pinterest/PINS Q1 2026 Transcript .pdf</t>
        </is>
      </c>
      <c r="AN230" s="152" t="n"/>
      <c r="AO230" s="152" t="inlineStr">
        <is>
          <t>unique filename match</t>
        </is>
      </c>
      <c r="AP230" s="152">
        <f>IF($A230="","",IF(COUNTIFS(LLM_Data_Entry!$A$3:$A$548,$A230)&gt;0,"YES","NO"))</f>
        <v/>
      </c>
      <c r="AQ230" s="152">
        <f>IF($A230="","",IF(COUNTIFS($A$3:$A230,$A230,$C$3:$C230,$C230,$D$3:$D230,$D230)=1,"YES","NO"))</f>
        <v/>
      </c>
      <c r="AR230" s="152">
        <f>IF($A230="","",IF(AND($C230&amp;"-"&amp;$D230&gt;=Settings!$B$19,$C230&amp;"-"&amp;$D230&lt;=Settings!$B$20),"IN","OUT"))</f>
        <v/>
      </c>
      <c r="AS230" s="152">
        <f>IF($A230="","",IF($F230="Financial Results","financials",IF($F230="Outlook/Guidance","guidance",IF($F230="Transcript Q&amp;A","qanda",IF($F230="","unrecorded",IF($E230="All","full",IF($E230="","unrecorded",LOWER($E230)&amp;" only")))))))</f>
        <v/>
      </c>
      <c r="AT230" s="152">
        <f>IF(AND(OR($J230="BUY",$J230="SELL"),ISNUMBER($U230)),$U230,"")</f>
        <v/>
      </c>
      <c r="AU230" s="152">
        <f>IF(AND(OR($J230="BUY",$J230="SELL"),ISNUMBER($AK230)),$AK230,"")</f>
        <v/>
      </c>
      <c r="AV230" s="152">
        <f>IF(ISNUMBER($AT230),ABS(IF(ISNUMBER($I230),$I230,0)-Settings!$B$24),"")</f>
        <v/>
      </c>
      <c r="AW230" s="152">
        <f>IF(ISNUMBER($AV230),$AV230*$AT230,"")</f>
        <v/>
      </c>
      <c r="AX230" s="152">
        <f>IF(ISNUMBER($AU230),ABS(IF(ISNUMBER($I230),$I230,0)-Settings!$B$24),"")</f>
        <v/>
      </c>
      <c r="AY230" s="152" t="inlineStr">
        <is>
          <t>FROZEN</t>
        </is>
      </c>
      <c r="AZ230" s="152">
        <f>IF($A230="","",IFERROR(INDEX(Company_List!$H$3:$H$207,MATCH($A230,Company_List!$A$3:$A$207,0)),"unassigned"))</f>
        <v/>
      </c>
      <c r="BA230" s="152" t="n"/>
      <c r="BB230" s="152" t="n"/>
      <c r="BC230" s="152">
        <f>IF($A230="","",IF(COUNTIFS($A$3:$A230,$A230,$C$3:$C230,$C230,$D$3:$D230,$D230,$G$3:$G230,$G230)=1,1,0))</f>
        <v/>
      </c>
      <c r="BD230" s="152" t="n"/>
      <c r="BE230" s="152" t="n"/>
      <c r="BF230" s="152" t="n"/>
      <c r="BG230" s="152" t="inlineStr">
        <is>
          <t>no</t>
        </is>
      </c>
      <c r="BH230" s="152" t="n"/>
      <c r="BI230" s="152" t="n"/>
      <c r="BJ230" s="152" t="n"/>
      <c r="BK230" s="152">
        <f>IF(OR($H230&lt;&gt;"Human",$S230="",$J230="",$Y230="",$Z230=""),"",IF(EXACT(UPPER($J230),UPPER($Y230)),1,0))</f>
        <v/>
      </c>
      <c r="BL230" s="152" t="inlineStr">
        <is>
          <t>assumed - no rater record</t>
        </is>
      </c>
      <c r="BM230" s="152" t="n">
        <v>1</v>
      </c>
      <c r="BN230" s="152" t="inlineStr">
        <is>
          <t>The Motley Fool</t>
        </is>
      </c>
      <c r="BO230" s="152" t="inlineStr">
        <is>
          <t>free to read, copyright asserted</t>
        </is>
      </c>
      <c r="BP230" s="152" t="inlineStr">
        <is>
          <t>no</t>
        </is>
      </c>
      <c r="BQ230" s="152" t="inlineStr">
        <is>
          <t>no</t>
        </is>
      </c>
      <c r="BR230" s="152" t="n"/>
      <c r="BS230" s="152" t="inlineStr">
        <is>
          <t>YES</t>
        </is>
      </c>
      <c r="BT230" s="152" t="n"/>
    </row>
    <row r="231" ht="15" customHeight="1" s="241">
      <c r="A231" s="191" t="inlineStr">
        <is>
          <t>Pinterest</t>
        </is>
      </c>
      <c r="B231" s="188">
        <f>IF(A231="","",_xlfn.XLOOKUP(A231, Company_List!$A:$A, Company_List!$B:$B, ""))</f>
        <v/>
      </c>
      <c r="C231" s="177" t="n">
        <v>2025</v>
      </c>
      <c r="D231" s="177" t="inlineStr">
        <is>
          <t>Q4</t>
        </is>
      </c>
      <c r="E231" s="178" t="inlineStr">
        <is>
          <t>Transcript</t>
        </is>
      </c>
      <c r="F231" s="178" t="inlineStr">
        <is>
          <t>All</t>
        </is>
      </c>
      <c r="G231" s="177" t="inlineStr">
        <is>
          <t>Anna</t>
        </is>
      </c>
      <c r="H231" s="177" t="inlineStr">
        <is>
          <t>Human</t>
        </is>
      </c>
      <c r="I231" s="180" t="n">
        <v>0.2</v>
      </c>
      <c r="J231" s="180">
        <f>IF(OR(I231="",Settings!$B$6=""),"",IF(I231&gt;Settings!$B$6,"BUY",IF(I231&lt;-Settings!$B$6,"SELL","HOLD")))</f>
        <v/>
      </c>
      <c r="K231" s="180" t="n">
        <v>22</v>
      </c>
      <c r="L231" s="182" t="n">
        <v>46065</v>
      </c>
      <c r="M231" s="182" t="n">
        <v>46065</v>
      </c>
      <c r="N231" s="179" t="n">
        <v>18.54</v>
      </c>
      <c r="O231" s="182" t="n">
        <v>46066</v>
      </c>
      <c r="P231" s="180" t="n">
        <v>14.33</v>
      </c>
      <c r="Q231" s="184">
        <f>IF(OR(N231="",P231=""),"",ROUND((P231-N231)/N231,4))</f>
        <v/>
      </c>
      <c r="R231" s="177">
        <f>IF(OR(N231="",P231=""),"",IF(Q231&gt;Settings!$B$3/100,"UP",IF(Q231&lt;-Settings!$B$3/100,"DOWN","FLAT")))</f>
        <v/>
      </c>
      <c r="S231" s="177">
        <f>IF(OR(N231="",P231="",J231=""),"",IF(OR(AND(J231="BUY",R231="UP"),AND(J231="SELL",R231="DOWN"),AND(J231="HOLD",R231="FLAT")),"YES","NO"))</f>
        <v/>
      </c>
      <c r="T231" s="176">
        <f>IF(J231="","",IF(J231="BUY",1,IF(J231="SELL",-1,0)))</f>
        <v/>
      </c>
      <c r="U231" s="184">
        <f>IFERROR(IF(OR(J231="",N231="",P231=""),"",IF(T231=0,0,T231*Q231-Settings!$B$4/10000-IF(T231&lt;0,Settings!$B$5/10000,0))),"")</f>
        <v/>
      </c>
      <c r="V231" s="152" t="n"/>
      <c r="W231" s="176">
        <f>IF($K231="","",$K231*60)</f>
        <v/>
      </c>
      <c r="X231" s="186">
        <f>IF($A231="","",$A231&amp;"|"&amp;$C231&amp;"|"&amp;$D231)</f>
        <v/>
      </c>
      <c r="Y231" s="186">
        <f>IFERROR(IF($X231="","",INDEX(LLM_Data_Entry!$H$3:$H$548,MATCH($X231,INDEX(LLM_Data_Entry!$A$3:$A$548&amp;"|"&amp;LLM_Data_Entry!$C$3:$C$548&amp;"|"&amp;LLM_Data_Entry!$D$3:$D$548,0),0))),"")</f>
        <v/>
      </c>
      <c r="Z231" s="186">
        <f>IFERROR(IF($X231="","",INDEX(LLM_Data_Entry!$R$3:$R$548,MATCH($X231,INDEX(LLM_Data_Entry!$A$3:$A$548&amp;"|"&amp;LLM_Data_Entry!$C$3:$C$548&amp;"|"&amp;LLM_Data_Entry!$D$3:$D$548,0),0))),"")</f>
        <v/>
      </c>
      <c r="AA231" s="152" t="n"/>
      <c r="AB231" s="152" t="inlineStr">
        <is>
          <t>price signal — only this window shows an abnormal move</t>
        </is>
      </c>
      <c r="AC231" s="152" t="inlineStr">
        <is>
          <t>PINS</t>
        </is>
      </c>
      <c r="AD231" s="152" t="inlineStr">
        <is>
          <t>2026-02-12</t>
        </is>
      </c>
      <c r="AE231" s="152" t="n">
        <v>18.54</v>
      </c>
      <c r="AF231" s="152" t="inlineStr">
        <is>
          <t>2026-02-13</t>
        </is>
      </c>
      <c r="AG231" s="152" t="n">
        <v>14.33</v>
      </c>
      <c r="AH231" s="152" t="n">
        <v>-0.2270766328437631</v>
      </c>
      <c r="AI231" s="152" t="inlineStr">
        <is>
          <t>DOWN</t>
        </is>
      </c>
      <c r="AJ231" s="152" t="inlineStr">
        <is>
          <t>NO</t>
        </is>
      </c>
      <c r="AK231" s="152" t="n">
        <v>0</v>
      </c>
      <c r="AL231" s="152">
        <f>IF($A231="","",IFERROR(INDEX(Company_List!$G$3:$G$207,MATCH($A231,Company_List!$A$3:$A$207,0)),"unassigned"))</f>
        <v/>
      </c>
      <c r="AM231" s="152" t="inlineStr">
        <is>
          <t>Phase 3/Readings/Pinterest/PINS Q4 2025 Transcript .pdf</t>
        </is>
      </c>
      <c r="AN231" s="152" t="n"/>
      <c r="AO231" s="152" t="inlineStr">
        <is>
          <t>unique filename match</t>
        </is>
      </c>
      <c r="AP231" s="152">
        <f>IF($A231="","",IF(COUNTIFS(LLM_Data_Entry!$A$3:$A$548,$A231)&gt;0,"YES","NO"))</f>
        <v/>
      </c>
      <c r="AQ231" s="152">
        <f>IF($A231="","",IF(COUNTIFS($A$3:$A231,$A231,$C$3:$C231,$C231,$D$3:$D231,$D231)=1,"YES","NO"))</f>
        <v/>
      </c>
      <c r="AR231" s="152">
        <f>IF($A231="","",IF(AND($C231&amp;"-"&amp;$D231&gt;=Settings!$B$19,$C231&amp;"-"&amp;$D231&lt;=Settings!$B$20),"IN","OUT"))</f>
        <v/>
      </c>
      <c r="AS231" s="152">
        <f>IF($A231="","",IF($F231="Financial Results","financials",IF($F231="Outlook/Guidance","guidance",IF($F231="Transcript Q&amp;A","qanda",IF($F231="","unrecorded",IF($E231="All","full",IF($E231="","unrecorded",LOWER($E231)&amp;" only")))))))</f>
        <v/>
      </c>
      <c r="AT231" s="152">
        <f>IF(AND(OR($J231="BUY",$J231="SELL"),ISNUMBER($U231)),$U231,"")</f>
        <v/>
      </c>
      <c r="AU231" s="152">
        <f>IF(AND(OR($J231="BUY",$J231="SELL"),ISNUMBER($AK231)),$AK231,"")</f>
        <v/>
      </c>
      <c r="AV231" s="152">
        <f>IF(ISNUMBER($AT231),ABS(IF(ISNUMBER($I231),$I231,0)-Settings!$B$24),"")</f>
        <v/>
      </c>
      <c r="AW231" s="152">
        <f>IF(ISNUMBER($AV231),$AV231*$AT231,"")</f>
        <v/>
      </c>
      <c r="AX231" s="152">
        <f>IF(ISNUMBER($AU231),ABS(IF(ISNUMBER($I231),$I231,0)-Settings!$B$24),"")</f>
        <v/>
      </c>
      <c r="AY231" s="152" t="inlineStr">
        <is>
          <t>FROZEN</t>
        </is>
      </c>
      <c r="AZ231" s="152">
        <f>IF($A231="","",IFERROR(INDEX(Company_List!$H$3:$H$207,MATCH($A231,Company_List!$A$3:$A$207,0)),"unassigned"))</f>
        <v/>
      </c>
      <c r="BA231" s="152" t="n"/>
      <c r="BB231" s="152" t="n"/>
      <c r="BC231" s="152">
        <f>IF($A231="","",IF(COUNTIFS($A$3:$A231,$A231,$C$3:$C231,$C231,$D$3:$D231,$D231,$G$3:$G231,$G231)=1,1,0))</f>
        <v/>
      </c>
      <c r="BD231" s="152" t="n"/>
      <c r="BE231" s="152" t="n"/>
      <c r="BF231" s="152" t="n"/>
      <c r="BG231" s="152" t="inlineStr">
        <is>
          <t>no</t>
        </is>
      </c>
      <c r="BH231" s="152" t="n"/>
      <c r="BI231" s="152" t="n"/>
      <c r="BJ231" s="152" t="n"/>
      <c r="BK231" s="152">
        <f>IF(OR($H231&lt;&gt;"Human",$S231="",$J231="",$Y231="",$Z231=""),"",IF(EXACT(UPPER($J231),UPPER($Y231)),1,0))</f>
        <v/>
      </c>
      <c r="BL231" s="152" t="inlineStr">
        <is>
          <t>assumed - no rater record</t>
        </is>
      </c>
      <c r="BM231" s="152" t="n">
        <v>1</v>
      </c>
      <c r="BN231" s="152" t="inlineStr">
        <is>
          <t>The Motley Fool</t>
        </is>
      </c>
      <c r="BO231" s="152" t="inlineStr">
        <is>
          <t>free to read, copyright asserted</t>
        </is>
      </c>
      <c r="BP231" s="152" t="inlineStr">
        <is>
          <t>no</t>
        </is>
      </c>
      <c r="BQ231" s="152" t="inlineStr">
        <is>
          <t>no</t>
        </is>
      </c>
      <c r="BR231" s="152" t="n"/>
      <c r="BS231" s="152" t="inlineStr">
        <is>
          <t>YES</t>
        </is>
      </c>
      <c r="BT231" s="152" t="n"/>
    </row>
    <row r="232" ht="15" customHeight="1" s="241">
      <c r="A232" s="191" t="inlineStr">
        <is>
          <t>Pinterest</t>
        </is>
      </c>
      <c r="B232" s="188">
        <f>IF(A232="","",_xlfn.XLOOKUP(A232, Company_List!$A:$A, Company_List!$B:$B, ""))</f>
        <v/>
      </c>
      <c r="C232" s="177" t="n">
        <v>2024</v>
      </c>
      <c r="D232" s="177" t="inlineStr">
        <is>
          <t>Q4</t>
        </is>
      </c>
      <c r="E232" s="178" t="inlineStr">
        <is>
          <t>Presentation</t>
        </is>
      </c>
      <c r="F232" s="178" t="inlineStr">
        <is>
          <t>All</t>
        </is>
      </c>
      <c r="G232" s="177" t="inlineStr">
        <is>
          <t>Anna</t>
        </is>
      </c>
      <c r="H232" s="177" t="inlineStr">
        <is>
          <t>Human</t>
        </is>
      </c>
      <c r="I232" s="180" t="n">
        <v>0.5</v>
      </c>
      <c r="J232" s="180">
        <f>IF(OR(I232="",Settings!$B$6=""),"",IF(I232&gt;Settings!$B$6,"BUY",IF(I232&lt;-Settings!$B$6,"SELL","HOLD")))</f>
        <v/>
      </c>
      <c r="K232" s="180" t="n">
        <v>13</v>
      </c>
      <c r="L232" s="182" t="n">
        <v>45694</v>
      </c>
      <c r="M232" s="182" t="n">
        <v>45694</v>
      </c>
      <c r="N232" s="179" t="n">
        <v>33.59</v>
      </c>
      <c r="O232" s="182" t="n">
        <v>45695</v>
      </c>
      <c r="P232" s="180" t="n">
        <v>40.89</v>
      </c>
      <c r="Q232" s="184">
        <f>IF(OR(N232="",P232=""),"",ROUND((P232-N232)/N232,4))</f>
        <v/>
      </c>
      <c r="R232" s="177">
        <f>IF(OR(N232="",P232=""),"",IF(Q232&gt;Settings!$B$3/100,"UP",IF(Q232&lt;-Settings!$B$3/100,"DOWN","FLAT")))</f>
        <v/>
      </c>
      <c r="S232" s="177">
        <f>IF(OR(N232="",P232="",J232=""),"",IF(OR(AND(J232="BUY",R232="UP"),AND(J232="SELL",R232="DOWN"),AND(J232="HOLD",R232="FLAT")),"YES","NO"))</f>
        <v/>
      </c>
      <c r="T232" s="176">
        <f>IF(J232="","",IF(J232="BUY",1,IF(J232="SELL",-1,0)))</f>
        <v/>
      </c>
      <c r="U232" s="184">
        <f>IFERROR(IF(OR(J232="",N232="",P232=""),"",IF(T232=0,0,T232*Q232-Settings!$B$4/10000-IF(T232&lt;0,Settings!$B$5/10000,0))),"")</f>
        <v/>
      </c>
      <c r="V232" s="152" t="n"/>
      <c r="W232" s="176">
        <f>IF($K232="","",$K232*60)</f>
        <v/>
      </c>
      <c r="X232" s="186">
        <f>IF($A232="","",$A232&amp;"|"&amp;$C232&amp;"|"&amp;$D232)</f>
        <v/>
      </c>
      <c r="Y232" s="186">
        <f>IFERROR(IF($X232="","",INDEX(LLM_Data_Entry!$H$3:$H$548,MATCH($X232,INDEX(LLM_Data_Entry!$A$3:$A$548&amp;"|"&amp;LLM_Data_Entry!$C$3:$C$548&amp;"|"&amp;LLM_Data_Entry!$D$3:$D$548,0),0))),"")</f>
        <v/>
      </c>
      <c r="Z232" s="186">
        <f>IFERROR(IF($X232="","",INDEX(LLM_Data_Entry!$R$3:$R$548,MATCH($X232,INDEX(LLM_Data_Entry!$A$3:$A$548&amp;"|"&amp;LLM_Data_Entry!$C$3:$C$548&amp;"|"&amp;LLM_Data_Entry!$D$3:$D$548,0),0))),"")</f>
        <v/>
      </c>
      <c r="AA232" s="152" t="n"/>
      <c r="AB232" s="152" t="inlineStr">
        <is>
          <t>price signal — only this window shows an abnormal move</t>
        </is>
      </c>
      <c r="AC232" s="152" t="inlineStr">
        <is>
          <t>PINS</t>
        </is>
      </c>
      <c r="AD232" s="152" t="inlineStr">
        <is>
          <t>2025-02-06</t>
        </is>
      </c>
      <c r="AE232" s="152" t="n">
        <v>33.59</v>
      </c>
      <c r="AF232" s="152" t="inlineStr">
        <is>
          <t>2025-02-07</t>
        </is>
      </c>
      <c r="AG232" s="152" t="n">
        <v>40.89</v>
      </c>
      <c r="AH232" s="152" t="n">
        <v>0.2173265555224769</v>
      </c>
      <c r="AI232" s="152" t="inlineStr">
        <is>
          <t>UP</t>
        </is>
      </c>
      <c r="AJ232" s="152" t="inlineStr">
        <is>
          <t>YES</t>
        </is>
      </c>
      <c r="AK232" s="152" t="n">
        <v>0.216327</v>
      </c>
      <c r="AL232" s="152">
        <f>IF($A232="","",IFERROR(INDEX(Company_List!$G$3:$G$207,MATCH($A232,Company_List!$A$3:$A$207,0)),"unassigned"))</f>
        <v/>
      </c>
      <c r="AM232" s="152" t="inlineStr">
        <is>
          <t>Phase 3/Readings/Pinterest/Q4 2024 presentation.pdf</t>
        </is>
      </c>
      <c r="AN232" s="152" t="n"/>
      <c r="AO232" s="152" t="inlineStr">
        <is>
          <t>unique filename match</t>
        </is>
      </c>
      <c r="AP232" s="152">
        <f>IF($A232="","",IF(COUNTIFS(LLM_Data_Entry!$A$3:$A$548,$A232)&gt;0,"YES","NO"))</f>
        <v/>
      </c>
      <c r="AQ232" s="152">
        <f>IF($A232="","",IF(COUNTIFS($A$3:$A232,$A232,$C$3:$C232,$C232,$D$3:$D232,$D232)=1,"YES","NO"))</f>
        <v/>
      </c>
      <c r="AR232" s="152">
        <f>IF($A232="","",IF(AND($C232&amp;"-"&amp;$D232&gt;=Settings!$B$19,$C232&amp;"-"&amp;$D232&lt;=Settings!$B$20),"IN","OUT"))</f>
        <v/>
      </c>
      <c r="AS232" s="152">
        <f>IF($A232="","",IF($F232="Financial Results","financials",IF($F232="Outlook/Guidance","guidance",IF($F232="Transcript Q&amp;A","qanda",IF($F232="","unrecorded",IF($E232="All","full",IF($E232="","unrecorded",LOWER($E232)&amp;" only")))))))</f>
        <v/>
      </c>
      <c r="AT232" s="152">
        <f>IF(AND(OR($J232="BUY",$J232="SELL"),ISNUMBER($U232)),$U232,"")</f>
        <v/>
      </c>
      <c r="AU232" s="152">
        <f>IF(AND(OR($J232="BUY",$J232="SELL"),ISNUMBER($AK232)),$AK232,"")</f>
        <v/>
      </c>
      <c r="AV232" s="152">
        <f>IF(ISNUMBER($AT232),ABS(IF(ISNUMBER($I232),$I232,0)-Settings!$B$24),"")</f>
        <v/>
      </c>
      <c r="AW232" s="152">
        <f>IF(ISNUMBER($AV232),$AV232*$AT232,"")</f>
        <v/>
      </c>
      <c r="AX232" s="152">
        <f>IF(ISNUMBER($AU232),ABS(IF(ISNUMBER($I232),$I232,0)-Settings!$B$24),"")</f>
        <v/>
      </c>
      <c r="AY232" s="152" t="inlineStr">
        <is>
          <t>FROZEN</t>
        </is>
      </c>
      <c r="AZ232" s="152">
        <f>IF($A232="","",IFERROR(INDEX(Company_List!$H$3:$H$207,MATCH($A232,Company_List!$A$3:$A$207,0)),"unassigned"))</f>
        <v/>
      </c>
      <c r="BA232" s="152" t="n"/>
      <c r="BB232" s="152" t="n"/>
      <c r="BC232" s="152">
        <f>IF($A232="","",IF(COUNTIFS($A$3:$A232,$A232,$C$3:$C232,$C232,$D$3:$D232,$D232,$G$3:$G232,$G232)=1,1,0))</f>
        <v/>
      </c>
      <c r="BD232" s="152" t="n"/>
      <c r="BE232" s="152" t="n"/>
      <c r="BF232" s="152" t="n"/>
      <c r="BG232" s="152" t="inlineStr">
        <is>
          <t>no</t>
        </is>
      </c>
      <c r="BH232" s="152" t="n"/>
      <c r="BI232" s="152" t="n"/>
      <c r="BJ232" s="152" t="n"/>
      <c r="BK232" s="152">
        <f>IF(OR($H232&lt;&gt;"Human",$S232="",$J232="",$Y232="",$Z232=""),"",IF(EXACT(UPPER($J232),UPPER($Y232)),1,0))</f>
        <v/>
      </c>
      <c r="BL232" s="152" t="inlineStr">
        <is>
          <t>assumed - no rater record</t>
        </is>
      </c>
      <c r="BM232" s="152" t="n">
        <v>1</v>
      </c>
      <c r="BN232" s="152" t="inlineStr">
        <is>
          <t>not publisher-identified</t>
        </is>
      </c>
      <c r="BO232" s="152" t="inlineStr">
        <is>
          <t>not publisher-identified</t>
        </is>
      </c>
      <c r="BP232" s="152" t="inlineStr">
        <is>
          <t>no</t>
        </is>
      </c>
      <c r="BQ232" s="152" t="inlineStr">
        <is>
          <t>no</t>
        </is>
      </c>
      <c r="BR232" s="152" t="n"/>
      <c r="BS232" s="152" t="inlineStr">
        <is>
          <t>YES</t>
        </is>
      </c>
      <c r="BT232" s="152" t="n"/>
    </row>
    <row r="233" ht="15" customHeight="1" s="241">
      <c r="A233" s="191" t="inlineStr">
        <is>
          <t>Hermès</t>
        </is>
      </c>
      <c r="B233" s="188">
        <f>IF(A233="","",_xlfn.XLOOKUP(A233, Company_List!$A:$A, Company_List!$B:$B, ""))</f>
        <v/>
      </c>
      <c r="C233" s="177" t="n">
        <v>2025</v>
      </c>
      <c r="D233" s="177" t="inlineStr">
        <is>
          <t>Q1</t>
        </is>
      </c>
      <c r="E233" s="178" t="inlineStr">
        <is>
          <t>Press Release Document</t>
        </is>
      </c>
      <c r="F233" s="178" t="inlineStr">
        <is>
          <t>Financial Results</t>
        </is>
      </c>
      <c r="G233" s="177" t="inlineStr">
        <is>
          <t>Nigel</t>
        </is>
      </c>
      <c r="H233" s="177" t="inlineStr">
        <is>
          <t>Human</t>
        </is>
      </c>
      <c r="I233" s="180" t="n">
        <v>0.4</v>
      </c>
      <c r="J233" s="180">
        <f>IF(OR(I233="",Settings!$B$6=""),"",IF(I233&gt;Settings!$B$6,"BUY",IF(I233&lt;-Settings!$B$6,"SELL","HOLD")))</f>
        <v/>
      </c>
      <c r="K233" s="180" t="n">
        <v>3</v>
      </c>
      <c r="L233" s="182" t="n">
        <v>45764</v>
      </c>
      <c r="M233" s="182" t="n">
        <v>45763</v>
      </c>
      <c r="N233" s="179" t="n">
        <v>2317.9597</v>
      </c>
      <c r="O233" s="182" t="n">
        <v>45764</v>
      </c>
      <c r="P233" s="180" t="n">
        <v>2235.5607</v>
      </c>
      <c r="Q233" s="184">
        <f>IF(OR(N233="",P233=""),"",ROUND((P233-N233)/N233,4))</f>
        <v/>
      </c>
      <c r="R233" s="177">
        <f>IF(OR(N233="",P233=""),"",IF(Q233&gt;Settings!$B$3/100,"UP",IF(Q233&lt;-Settings!$B$3/100,"DOWN","FLAT")))</f>
        <v/>
      </c>
      <c r="S233" s="177">
        <f>IF(OR(N233="",P233="",J233=""),"",IF(OR(AND(J233="BUY",R233="UP"),AND(J233="SELL",R233="DOWN"),AND(J233="HOLD",R233="FLAT")),"YES","NO"))</f>
        <v/>
      </c>
      <c r="T233" s="176">
        <f>IF(J233="","",IF(J233="BUY",1,IF(J233="SELL",-1,0)))</f>
        <v/>
      </c>
      <c r="U233" s="184">
        <f>IFERROR(IF(OR(J233="",N233="",P233=""),"",IF(T233=0,0,T233*Q233-Settings!$B$4/10000-IF(T233&lt;0,Settings!$B$5/10000,0))),"")</f>
        <v/>
      </c>
      <c r="V233" s="190" t="inlineStr">
        <is>
          <t>Revenues were up 7-9% with all regions seeing growth.</t>
        </is>
      </c>
      <c r="W233" s="176">
        <f>IF($K233="","",$K233*60)</f>
        <v/>
      </c>
      <c r="X233" s="186">
        <f>IF($A233="","",$A233&amp;"|"&amp;$C233&amp;"|"&amp;$D233)</f>
        <v/>
      </c>
      <c r="Y233" s="186">
        <f>IFERROR(IF($X233="","",INDEX(LLM_Data_Entry!$H$3:$H$548,MATCH($X233,INDEX(LLM_Data_Entry!$A$3:$A$548&amp;"|"&amp;LLM_Data_Entry!$C$3:$C$548&amp;"|"&amp;LLM_Data_Entry!$D$3:$D$548,0),0))),"")</f>
        <v/>
      </c>
      <c r="Z233" s="186">
        <f>IFERROR(IF($X233="","",INDEX(LLM_Data_Entry!$R$3:$R$548,MATCH($X233,INDEX(LLM_Data_Entry!$A$3:$A$548&amp;"|"&amp;LLM_Data_Entry!$C$3:$C$548&amp;"|"&amp;LLM_Data_Entry!$D$3:$D$548,0),0))),"")</f>
        <v/>
      </c>
      <c r="AA233" s="152" t="n"/>
      <c r="AB233" s="152" t="inlineStr">
        <is>
          <t>price signal — only this window shows an abnormal move</t>
        </is>
      </c>
      <c r="AC233" s="152" t="inlineStr">
        <is>
          <t>RMS.PA</t>
        </is>
      </c>
      <c r="AD233" s="152" t="inlineStr">
        <is>
          <t>2025-04-16</t>
        </is>
      </c>
      <c r="AE233" s="152" t="n">
        <v>2317.9597</v>
      </c>
      <c r="AF233" s="152" t="inlineStr">
        <is>
          <t>2025-04-17</t>
        </is>
      </c>
      <c r="AG233" s="152" t="n">
        <v>2235.5607</v>
      </c>
      <c r="AH233" s="152" t="n">
        <v>-0.03554808475716196</v>
      </c>
      <c r="AI233" s="152" t="inlineStr">
        <is>
          <t>DOWN</t>
        </is>
      </c>
      <c r="AJ233" s="152" t="inlineStr">
        <is>
          <t>NO</t>
        </is>
      </c>
      <c r="AK233" s="152" t="n">
        <v>-0.036548</v>
      </c>
      <c r="AL233" s="152">
        <f>IF($A233="","",IFERROR(INDEX(Company_List!$G$3:$G$207,MATCH($A233,Company_List!$A$3:$A$207,0)),"unassigned"))</f>
        <v/>
      </c>
      <c r="AM233" s="152" t="inlineStr">
        <is>
          <t>Phase 3/Readings/Hermes/Q1/hermes_20250417_q1revenue_en.pdf</t>
        </is>
      </c>
      <c r="AN233" s="152" t="n"/>
      <c r="AO233" s="152" t="inlineStr">
        <is>
          <t>unique filename match</t>
        </is>
      </c>
      <c r="AP233" s="152">
        <f>IF($A233="","",IF(COUNTIFS(LLM_Data_Entry!$A$3:$A$548,$A233)&gt;0,"YES","NO"))</f>
        <v/>
      </c>
      <c r="AQ233" s="152">
        <f>IF($A233="","",IF(COUNTIFS($A$3:$A233,$A233,$C$3:$C233,$C233,$D$3:$D233,$D233)=1,"YES","NO"))</f>
        <v/>
      </c>
      <c r="AR233" s="152">
        <f>IF($A233="","",IF(AND($C233&amp;"-"&amp;$D233&gt;=Settings!$B$19,$C233&amp;"-"&amp;$D233&lt;=Settings!$B$20),"IN","OUT"))</f>
        <v/>
      </c>
      <c r="AS233" s="152">
        <f>IF($A233="","",IF($F233="Financial Results","financials",IF($F233="Outlook/Guidance","guidance",IF($F233="Transcript Q&amp;A","qanda",IF($F233="","unrecorded",IF($E233="All","full",IF($E233="","unrecorded",LOWER($E233)&amp;" only")))))))</f>
        <v/>
      </c>
      <c r="AT233" s="152">
        <f>IF(AND(OR($J233="BUY",$J233="SELL"),ISNUMBER($U233)),$U233,"")</f>
        <v/>
      </c>
      <c r="AU233" s="152">
        <f>IF(AND(OR($J233="BUY",$J233="SELL"),ISNUMBER($AK233)),$AK233,"")</f>
        <v/>
      </c>
      <c r="AV233" s="152">
        <f>IF(ISNUMBER($AT233),ABS(IF(ISNUMBER($I233),$I233,0)-Settings!$B$24),"")</f>
        <v/>
      </c>
      <c r="AW233" s="152">
        <f>IF(ISNUMBER($AV233),$AV233*$AT233,"")</f>
        <v/>
      </c>
      <c r="AX233" s="152">
        <f>IF(ISNUMBER($AU233),ABS(IF(ISNUMBER($I233),$I233,0)-Settings!$B$24),"")</f>
        <v/>
      </c>
      <c r="AY233" s="152" t="inlineStr">
        <is>
          <t>EXTENSION</t>
        </is>
      </c>
      <c r="AZ233" s="152">
        <f>IF($A233="","",IFERROR(INDEX(Company_List!$H$3:$H$207,MATCH($A233,Company_List!$A$3:$A$207,0)),"unassigned"))</f>
        <v/>
      </c>
      <c r="BA233" s="152" t="n"/>
      <c r="BB233" s="152" t="n"/>
      <c r="BC233" s="152">
        <f>IF($A233="","",IF(COUNTIFS($A$3:$A233,$A233,$C$3:$C233,$C233,$D$3:$D233,$D233,$G$3:$G233,$G233)=1,1,0))</f>
        <v/>
      </c>
      <c r="BD233" s="152" t="n"/>
      <c r="BE233" s="152" t="n"/>
      <c r="BF233" s="152" t="n"/>
      <c r="BG233" s="152" t="inlineStr">
        <is>
          <t>no</t>
        </is>
      </c>
      <c r="BH233" s="152" t="n"/>
      <c r="BI233" s="152" t="n"/>
      <c r="BJ233" s="152" t="n"/>
      <c r="BK233" s="152">
        <f>IF(OR($H233&lt;&gt;"Human",$S233="",$J233="",$Y233="",$Z233=""),"",IF(EXACT(UPPER($J233),UPPER($Y233)),1,0))</f>
        <v/>
      </c>
      <c r="BL233" s="152" t="inlineStr">
        <is>
          <t>assumed - no rater record</t>
        </is>
      </c>
      <c r="BM233" s="152" t="n">
        <v>1</v>
      </c>
      <c r="BN233" s="152" t="inlineStr">
        <is>
          <t>not publisher-identified</t>
        </is>
      </c>
      <c r="BO233" s="152" t="inlineStr">
        <is>
          <t>not publisher-identified</t>
        </is>
      </c>
      <c r="BP233" s="152" t="inlineStr">
        <is>
          <t>no</t>
        </is>
      </c>
      <c r="BQ233" s="152" t="inlineStr">
        <is>
          <t>no</t>
        </is>
      </c>
      <c r="BR233" s="152" t="n"/>
      <c r="BS233" s="152" t="inlineStr">
        <is>
          <t>YES</t>
        </is>
      </c>
      <c r="BT233" s="152" t="n"/>
    </row>
    <row r="234" ht="15" customHeight="1" s="241">
      <c r="A234" s="191" t="inlineStr">
        <is>
          <t>Hermès</t>
        </is>
      </c>
      <c r="B234" s="188">
        <f>IF(A234="","",_xlfn.XLOOKUP(A234, Company_List!$A:$A, Company_List!$B:$B, ""))</f>
        <v/>
      </c>
      <c r="C234" s="177" t="n">
        <v>2025</v>
      </c>
      <c r="D234" s="177" t="inlineStr">
        <is>
          <t>Q2</t>
        </is>
      </c>
      <c r="E234" s="178" t="inlineStr">
        <is>
          <t>All</t>
        </is>
      </c>
      <c r="F234" s="178" t="inlineStr">
        <is>
          <t>Outlook/Guidance</t>
        </is>
      </c>
      <c r="G234" s="177" t="inlineStr">
        <is>
          <t>Nigel</t>
        </is>
      </c>
      <c r="H234" s="177" t="inlineStr">
        <is>
          <t>Human</t>
        </is>
      </c>
      <c r="I234" s="180" t="n">
        <v>0.2</v>
      </c>
      <c r="J234" s="180">
        <f>IF(OR(I234="",Settings!$B$6=""),"",IF(I234&gt;Settings!$B$6,"BUY",IF(I234&lt;-Settings!$B$6,"SELL","HOLD")))</f>
        <v/>
      </c>
      <c r="K234" s="180" t="n">
        <v>2</v>
      </c>
      <c r="L234" s="182" t="n">
        <v>45868</v>
      </c>
      <c r="M234" s="182" t="n">
        <v>45867</v>
      </c>
      <c r="N234" s="179" t="n">
        <v>2354.2771</v>
      </c>
      <c r="O234" s="182" t="n">
        <v>45868</v>
      </c>
      <c r="P234" s="180" t="n">
        <v>2300.8158</v>
      </c>
      <c r="Q234" s="184">
        <f>IF(OR(N234="",P234=""),"",ROUND((P234-N234)/N234,4))</f>
        <v/>
      </c>
      <c r="R234" s="177">
        <f>IF(OR(N234="",P234=""),"",IF(Q234&gt;Settings!$B$3/100,"UP",IF(Q234&lt;-Settings!$B$3/100,"DOWN","FLAT")))</f>
        <v/>
      </c>
      <c r="S234" s="177">
        <f>IF(OR(N234="",P234="",J234=""),"",IF(OR(AND(J234="BUY",R234="UP"),AND(J234="SELL",R234="DOWN"),AND(J234="HOLD",R234="FLAT")),"YES","NO"))</f>
        <v/>
      </c>
      <c r="T234" s="176">
        <f>IF(J234="","",IF(J234="BUY",1,IF(J234="SELL",-1,0)))</f>
        <v/>
      </c>
      <c r="U234" s="184">
        <f>IFERROR(IF(OR(J234="",N234="",P234=""),"",IF(T234=0,0,T234*Q234-Settings!$B$4/10000-IF(T234&lt;0,Settings!$B$5/10000,0))),"")</f>
        <v/>
      </c>
      <c r="V234" s="190" t="inlineStr">
        <is>
          <t>Confidence in growth despite uncertainties which will be expected</t>
        </is>
      </c>
      <c r="W234" s="176">
        <f>IF($K234="","",$K234*60)</f>
        <v/>
      </c>
      <c r="X234" s="186">
        <f>IF($A234="","",$A234&amp;"|"&amp;$C234&amp;"|"&amp;$D234)</f>
        <v/>
      </c>
      <c r="Y234" s="186">
        <f>IFERROR(IF($X234="","",INDEX(LLM_Data_Entry!$H$3:$H$548,MATCH($X234,INDEX(LLM_Data_Entry!$A$3:$A$548&amp;"|"&amp;LLM_Data_Entry!$C$3:$C$548&amp;"|"&amp;LLM_Data_Entry!$D$3:$D$548,0),0))),"")</f>
        <v/>
      </c>
      <c r="Z234" s="186">
        <f>IFERROR(IF($X234="","",INDEX(LLM_Data_Entry!$R$3:$R$548,MATCH($X234,INDEX(LLM_Data_Entry!$A$3:$A$548&amp;"|"&amp;LLM_Data_Entry!$C$3:$C$548&amp;"|"&amp;LLM_Data_Entry!$D$3:$D$548,0),0))),"")</f>
        <v/>
      </c>
      <c r="AA234" s="152" t="n"/>
      <c r="AB234" s="152" t="inlineStr">
        <is>
          <t>price signal — only this window shows an abnormal move</t>
        </is>
      </c>
      <c r="AC234" s="152" t="inlineStr">
        <is>
          <t>RMS.PA</t>
        </is>
      </c>
      <c r="AD234" s="152" t="inlineStr">
        <is>
          <t>2025-07-29</t>
        </is>
      </c>
      <c r="AE234" s="152" t="n">
        <v>2354.2771</v>
      </c>
      <c r="AF234" s="152" t="inlineStr">
        <is>
          <t>2025-07-30</t>
        </is>
      </c>
      <c r="AG234" s="152" t="n">
        <v>2300.8158</v>
      </c>
      <c r="AH234" s="152" t="n">
        <v>-0.02270816452087873</v>
      </c>
      <c r="AI234" s="152" t="inlineStr">
        <is>
          <t>DOWN</t>
        </is>
      </c>
      <c r="AJ234" s="152" t="inlineStr">
        <is>
          <t>NO</t>
        </is>
      </c>
      <c r="AK234" s="152" t="n">
        <v>0</v>
      </c>
      <c r="AL234" s="152">
        <f>IF($A234="","",IFERROR(INDEX(Company_List!$G$3:$G$207,MATCH($A234,Company_List!$A$3:$A$207,0)),"unassigned"))</f>
        <v/>
      </c>
      <c r="AM234" s="152" t="inlineStr">
        <is>
          <t>Phase 3/Readings/Hermes/Q2/hermes_20250730_rfs_en.pdf; Phase 3/Readings/Hermes/Q2/hermes_20250730_pr_firsthalfresults_va.pdf; Phase 3/Readings/Hermes/Q2/hermes-2025-first-half-results-presentation-en.pdf; Phase 3/Readings/Hermes/Q2/Transcript : Hermès International Société en commandite par actions, H1 2025 Earnings Call, Jul 30, .pdf</t>
        </is>
      </c>
      <c r="AN234" s="152" t="n"/>
      <c r="AO234" s="152" t="inlineStr">
        <is>
          <t>whole bundle (Document = All)</t>
        </is>
      </c>
      <c r="AP234" s="152">
        <f>IF($A234="","",IF(COUNTIFS(LLM_Data_Entry!$A$3:$A$548,$A234)&gt;0,"YES","NO"))</f>
        <v/>
      </c>
      <c r="AQ234" s="152">
        <f>IF($A234="","",IF(COUNTIFS($A$3:$A234,$A234,$C$3:$C234,$C234,$D$3:$D234,$D234)=1,"YES","NO"))</f>
        <v/>
      </c>
      <c r="AR234" s="152">
        <f>IF($A234="","",IF(AND($C234&amp;"-"&amp;$D234&gt;=Settings!$B$19,$C234&amp;"-"&amp;$D234&lt;=Settings!$B$20),"IN","OUT"))</f>
        <v/>
      </c>
      <c r="AS234" s="152">
        <f>IF($A234="","",IF($F234="Financial Results","financials",IF($F234="Outlook/Guidance","guidance",IF($F234="Transcript Q&amp;A","qanda",IF($F234="","unrecorded",IF($E234="All","full",IF($E234="","unrecorded",LOWER($E234)&amp;" only")))))))</f>
        <v/>
      </c>
      <c r="AT234" s="152">
        <f>IF(AND(OR($J234="BUY",$J234="SELL"),ISNUMBER($U234)),$U234,"")</f>
        <v/>
      </c>
      <c r="AU234" s="152">
        <f>IF(AND(OR($J234="BUY",$J234="SELL"),ISNUMBER($AK234)),$AK234,"")</f>
        <v/>
      </c>
      <c r="AV234" s="152">
        <f>IF(ISNUMBER($AT234),ABS(IF(ISNUMBER($I234),$I234,0)-Settings!$B$24),"")</f>
        <v/>
      </c>
      <c r="AW234" s="152">
        <f>IF(ISNUMBER($AV234),$AV234*$AT234,"")</f>
        <v/>
      </c>
      <c r="AX234" s="152">
        <f>IF(ISNUMBER($AU234),ABS(IF(ISNUMBER($I234),$I234,0)-Settings!$B$24),"")</f>
        <v/>
      </c>
      <c r="AY234" s="152" t="inlineStr">
        <is>
          <t>EXTENSION</t>
        </is>
      </c>
      <c r="AZ234" s="152">
        <f>IF($A234="","",IFERROR(INDEX(Company_List!$H$3:$H$207,MATCH($A234,Company_List!$A$3:$A$207,0)),"unassigned"))</f>
        <v/>
      </c>
      <c r="BA234" s="152" t="n"/>
      <c r="BB234" s="152" t="n"/>
      <c r="BC234" s="152">
        <f>IF($A234="","",IF(COUNTIFS($A$3:$A234,$A234,$C$3:$C234,$C234,$D$3:$D234,$D234,$G$3:$G234,$G234)=1,1,0))</f>
        <v/>
      </c>
      <c r="BD234" s="152" t="n"/>
      <c r="BE234" s="152" t="n"/>
      <c r="BF234" s="152" t="n"/>
      <c r="BG234" s="152" t="inlineStr">
        <is>
          <t>no</t>
        </is>
      </c>
      <c r="BH234" s="152" t="n"/>
      <c r="BI234" s="152" t="n"/>
      <c r="BJ234" s="152" t="n"/>
      <c r="BK234" s="152">
        <f>IF(OR($H234&lt;&gt;"Human",$S234="",$J234="",$Y234="",$Z234=""),"",IF(EXACT(UPPER($J234),UPPER($Y234)),1,0))</f>
        <v/>
      </c>
      <c r="BL234" s="152" t="inlineStr">
        <is>
          <t>assumed - no rater record</t>
        </is>
      </c>
      <c r="BM234" s="152" t="n">
        <v>4</v>
      </c>
      <c r="BN234" s="152" t="inlineStr">
        <is>
          <t>MarketScreener (Surperformance SAS)</t>
        </is>
      </c>
      <c r="BO234" s="152" t="inlineStr">
        <is>
          <t>licensed vendor</t>
        </is>
      </c>
      <c r="BP234" s="152" t="inlineStr">
        <is>
          <t>no</t>
        </is>
      </c>
      <c r="BQ234" s="152" t="inlineStr">
        <is>
          <t>no</t>
        </is>
      </c>
      <c r="BR234" s="152" t="n"/>
      <c r="BS234" s="152" t="inlineStr">
        <is>
          <t>YES</t>
        </is>
      </c>
      <c r="BT234" s="152" t="n"/>
    </row>
    <row r="235" ht="15" customHeight="1" s="241">
      <c r="A235" s="191" t="inlineStr">
        <is>
          <t>Hermès</t>
        </is>
      </c>
      <c r="B235" s="188">
        <f>IF(A235="","",_xlfn.XLOOKUP(A235, Company_List!$A:$A, Company_List!$B:$B, ""))</f>
        <v/>
      </c>
      <c r="C235" s="177" t="n">
        <v>2025</v>
      </c>
      <c r="D235" s="177" t="inlineStr">
        <is>
          <t>Q3</t>
        </is>
      </c>
      <c r="E235" s="178" t="inlineStr">
        <is>
          <t>Transcript</t>
        </is>
      </c>
      <c r="F235" s="178" t="inlineStr">
        <is>
          <t>Transcript Q&amp;A</t>
        </is>
      </c>
      <c r="G235" s="177" t="inlineStr">
        <is>
          <t>Nigel</t>
        </is>
      </c>
      <c r="H235" s="177" t="inlineStr">
        <is>
          <t>Human</t>
        </is>
      </c>
      <c r="I235" s="180" t="n">
        <v>0.7</v>
      </c>
      <c r="J235" s="180">
        <f>IF(OR(I235="",Settings!$B$6=""),"",IF(I235&gt;Settings!$B$6,"BUY",IF(I235&lt;-Settings!$B$6,"SELL","HOLD")))</f>
        <v/>
      </c>
      <c r="K235" s="180" t="n">
        <v>10</v>
      </c>
      <c r="L235" s="182" t="n">
        <v>45952</v>
      </c>
      <c r="M235" s="182" t="n">
        <v>45951</v>
      </c>
      <c r="N235" s="179" t="n">
        <v>2227.554</v>
      </c>
      <c r="O235" s="182" t="n">
        <v>45952</v>
      </c>
      <c r="P235" s="180" t="n">
        <v>2161.2221</v>
      </c>
      <c r="Q235" s="184">
        <f>IF(OR(N235="",P235=""),"",ROUND((P235-N235)/N235,4))</f>
        <v/>
      </c>
      <c r="R235" s="177">
        <f>IF(OR(N235="",P235=""),"",IF(Q235&gt;Settings!$B$3/100,"UP",IF(Q235&lt;-Settings!$B$3/100,"DOWN","FLAT")))</f>
        <v/>
      </c>
      <c r="S235" s="177">
        <f>IF(OR(N235="",P235="",J235=""),"",IF(OR(AND(J235="BUY",R235="UP"),AND(J235="SELL",R235="DOWN"),AND(J235="HOLD",R235="FLAT")),"YES","NO"))</f>
        <v/>
      </c>
      <c r="T235" s="176">
        <f>IF(J235="","",IF(J235="BUY",1,IF(J235="SELL",-1,0)))</f>
        <v/>
      </c>
      <c r="U235" s="184">
        <f>IFERROR(IF(OR(J235="",N235="",P235=""),"",IF(T235=0,0,T235*Q235-Settings!$B$4/10000-IF(T235&lt;0,Settings!$B$5/10000,0))),"")</f>
        <v/>
      </c>
      <c r="V235" s="190" t="inlineStr">
        <is>
          <t>Solid performance overall with impact from uncertatinties stabilising</t>
        </is>
      </c>
      <c r="W235" s="176">
        <f>IF($K235="","",$K235*60)</f>
        <v/>
      </c>
      <c r="X235" s="186">
        <f>IF($A235="","",$A235&amp;"|"&amp;$C235&amp;"|"&amp;$D235)</f>
        <v/>
      </c>
      <c r="Y235" s="186">
        <f>IFERROR(IF($X235="","",INDEX(LLM_Data_Entry!$H$3:$H$548,MATCH($X235,INDEX(LLM_Data_Entry!$A$3:$A$548&amp;"|"&amp;LLM_Data_Entry!$C$3:$C$548&amp;"|"&amp;LLM_Data_Entry!$D$3:$D$548,0),0))),"")</f>
        <v/>
      </c>
      <c r="Z235" s="186">
        <f>IFERROR(IF($X235="","",INDEX(LLM_Data_Entry!$R$3:$R$548,MATCH($X235,INDEX(LLM_Data_Entry!$A$3:$A$548&amp;"|"&amp;LLM_Data_Entry!$C$3:$C$548&amp;"|"&amp;LLM_Data_Entry!$D$3:$D$548,0),0))),"")</f>
        <v/>
      </c>
      <c r="AA235" s="152" t="n"/>
      <c r="AB235" s="152" t="inlineStr">
        <is>
          <t>price signal — only this window shows an abnormal move</t>
        </is>
      </c>
      <c r="AC235" s="152" t="inlineStr">
        <is>
          <t>RMS.PA</t>
        </is>
      </c>
      <c r="AD235" s="152" t="inlineStr">
        <is>
          <t>2025-10-21</t>
        </is>
      </c>
      <c r="AE235" s="152" t="n">
        <v>2227.554</v>
      </c>
      <c r="AF235" s="152" t="inlineStr">
        <is>
          <t>2025-10-22</t>
        </is>
      </c>
      <c r="AG235" s="152" t="n">
        <v>2161.2221</v>
      </c>
      <c r="AH235" s="152" t="n">
        <v>-0.02977788117900573</v>
      </c>
      <c r="AI235" s="152" t="inlineStr">
        <is>
          <t>DOWN</t>
        </is>
      </c>
      <c r="AJ235" s="152" t="inlineStr">
        <is>
          <t>NO</t>
        </is>
      </c>
      <c r="AK235" s="152" t="n">
        <v>-0.030778</v>
      </c>
      <c r="AL235" s="152">
        <f>IF($A235="","",IFERROR(INDEX(Company_List!$G$3:$G$207,MATCH($A235,Company_List!$A$3:$A$207,0)),"unassigned"))</f>
        <v/>
      </c>
      <c r="AM235" s="152" t="inlineStr">
        <is>
          <t>Phase 3/Readings/Hermes/Q3/Transcript : Hermès International Société en commandite par actions, Q3 2025 Sales: Trading Statemen.pdf</t>
        </is>
      </c>
      <c r="AN235" s="152" t="n"/>
      <c r="AO235" s="152" t="inlineStr">
        <is>
          <t>unique filename match</t>
        </is>
      </c>
      <c r="AP235" s="152">
        <f>IF($A235="","",IF(COUNTIFS(LLM_Data_Entry!$A$3:$A$548,$A235)&gt;0,"YES","NO"))</f>
        <v/>
      </c>
      <c r="AQ235" s="152">
        <f>IF($A235="","",IF(COUNTIFS($A$3:$A235,$A235,$C$3:$C235,$C235,$D$3:$D235,$D235)=1,"YES","NO"))</f>
        <v/>
      </c>
      <c r="AR235" s="152">
        <f>IF($A235="","",IF(AND($C235&amp;"-"&amp;$D235&gt;=Settings!$B$19,$C235&amp;"-"&amp;$D235&lt;=Settings!$B$20),"IN","OUT"))</f>
        <v/>
      </c>
      <c r="AS235" s="152">
        <f>IF($A235="","",IF($F235="Financial Results","financials",IF($F235="Outlook/Guidance","guidance",IF($F235="Transcript Q&amp;A","qanda",IF($F235="","unrecorded",IF($E235="All","full",IF($E235="","unrecorded",LOWER($E235)&amp;" only")))))))</f>
        <v/>
      </c>
      <c r="AT235" s="152">
        <f>IF(AND(OR($J235="BUY",$J235="SELL"),ISNUMBER($U235)),$U235,"")</f>
        <v/>
      </c>
      <c r="AU235" s="152">
        <f>IF(AND(OR($J235="BUY",$J235="SELL"),ISNUMBER($AK235)),$AK235,"")</f>
        <v/>
      </c>
      <c r="AV235" s="152">
        <f>IF(ISNUMBER($AT235),ABS(IF(ISNUMBER($I235),$I235,0)-Settings!$B$24),"")</f>
        <v/>
      </c>
      <c r="AW235" s="152">
        <f>IF(ISNUMBER($AV235),$AV235*$AT235,"")</f>
        <v/>
      </c>
      <c r="AX235" s="152">
        <f>IF(ISNUMBER($AU235),ABS(IF(ISNUMBER($I235),$I235,0)-Settings!$B$24),"")</f>
        <v/>
      </c>
      <c r="AY235" s="152" t="inlineStr">
        <is>
          <t>EXTENSION</t>
        </is>
      </c>
      <c r="AZ235" s="152">
        <f>IF($A235="","",IFERROR(INDEX(Company_List!$H$3:$H$207,MATCH($A235,Company_List!$A$3:$A$207,0)),"unassigned"))</f>
        <v/>
      </c>
      <c r="BA235" s="152" t="n"/>
      <c r="BB235" s="152" t="n"/>
      <c r="BC235" s="152">
        <f>IF($A235="","",IF(COUNTIFS($A$3:$A235,$A235,$C$3:$C235,$C235,$D$3:$D235,$D235,$G$3:$G235,$G235)=1,1,0))</f>
        <v/>
      </c>
      <c r="BD235" s="152" t="n"/>
      <c r="BE235" s="152" t="n"/>
      <c r="BF235" s="152" t="n"/>
      <c r="BG235" s="152" t="inlineStr">
        <is>
          <t>no</t>
        </is>
      </c>
      <c r="BH235" s="152" t="n"/>
      <c r="BI235" s="152" t="n"/>
      <c r="BJ235" s="152" t="n"/>
      <c r="BK235" s="152">
        <f>IF(OR($H235&lt;&gt;"Human",$S235="",$J235="",$Y235="",$Z235=""),"",IF(EXACT(UPPER($J235),UPPER($Y235)),1,0))</f>
        <v/>
      </c>
      <c r="BL235" s="152" t="inlineStr">
        <is>
          <t>assumed - no rater record</t>
        </is>
      </c>
      <c r="BM235" s="152" t="n">
        <v>1</v>
      </c>
      <c r="BN235" s="152" t="inlineStr">
        <is>
          <t>MarketScreener (Surperformance SAS)</t>
        </is>
      </c>
      <c r="BO235" s="152" t="inlineStr">
        <is>
          <t>licensed vendor</t>
        </is>
      </c>
      <c r="BP235" s="152" t="inlineStr">
        <is>
          <t>no</t>
        </is>
      </c>
      <c r="BQ235" s="152" t="inlineStr">
        <is>
          <t>no</t>
        </is>
      </c>
      <c r="BR235" s="152" t="n"/>
      <c r="BS235" s="152" t="inlineStr">
        <is>
          <t>YES</t>
        </is>
      </c>
      <c r="BT235" s="152" t="n"/>
    </row>
    <row r="236" ht="15" customHeight="1" s="241">
      <c r="A236" s="191" t="inlineStr">
        <is>
          <t>Hermès</t>
        </is>
      </c>
      <c r="B236" s="188">
        <f>IF(A236="","",_xlfn.XLOOKUP(A236, Company_List!$A:$A, Company_List!$B:$B, ""))</f>
        <v/>
      </c>
      <c r="C236" s="177" t="n">
        <v>2025</v>
      </c>
      <c r="D236" s="177" t="inlineStr">
        <is>
          <t>Q4</t>
        </is>
      </c>
      <c r="E236" s="178" t="inlineStr">
        <is>
          <t>All</t>
        </is>
      </c>
      <c r="F236" s="178" t="inlineStr">
        <is>
          <t>All</t>
        </is>
      </c>
      <c r="G236" s="177" t="inlineStr">
        <is>
          <t>Nigel</t>
        </is>
      </c>
      <c r="H236" s="177" t="inlineStr">
        <is>
          <t>Human</t>
        </is>
      </c>
      <c r="I236" s="180" t="n">
        <v>0.7</v>
      </c>
      <c r="J236" s="180">
        <f>IF(OR(I236="",Settings!$B$6=""),"",IF(I236&gt;Settings!$B$6,"BUY",IF(I236&lt;-Settings!$B$6,"SELL","HOLD")))</f>
        <v/>
      </c>
      <c r="K236" s="180" t="n">
        <v>21</v>
      </c>
      <c r="L236" s="182" t="n">
        <v>46065</v>
      </c>
      <c r="M236" s="182" t="n">
        <v>46064</v>
      </c>
      <c r="N236" s="179" t="n">
        <v>2098.8508</v>
      </c>
      <c r="O236" s="182" t="n">
        <v>46065</v>
      </c>
      <c r="P236" s="180" t="n">
        <v>2143.402</v>
      </c>
      <c r="Q236" s="184">
        <f>IF(OR(N236="",P236=""),"",ROUND((P236-N236)/N236,4))</f>
        <v/>
      </c>
      <c r="R236" s="177">
        <f>IF(OR(N236="",P236=""),"",IF(Q236&gt;Settings!$B$3/100,"UP",IF(Q236&lt;-Settings!$B$3/100,"DOWN","FLAT")))</f>
        <v/>
      </c>
      <c r="S236" s="177">
        <f>IF(OR(N236="",P236="",J236=""),"",IF(OR(AND(J236="BUY",R236="UP"),AND(J236="SELL",R236="DOWN"),AND(J236="HOLD",R236="FLAT")),"YES","NO"))</f>
        <v/>
      </c>
      <c r="T236" s="176">
        <f>IF(J236="","",IF(J236="BUY",1,IF(J236="SELL",-1,0)))</f>
        <v/>
      </c>
      <c r="U236" s="184">
        <f>IFERROR(IF(OR(J236="",N236="",P236=""),"",IF(T236=0,0,T236*Q236-Settings!$B$4/10000-IF(T236&lt;0,Settings!$B$5/10000,0))),"")</f>
        <v/>
      </c>
      <c r="V236" s="190" t="inlineStr">
        <is>
          <t>Strong growth and positive outlook for future year despite potential uncertainties. Confident tone throughout from management during transcript and Q&amp;A sessions</t>
        </is>
      </c>
      <c r="W236" s="176">
        <f>IF($K236="","",$K236*60)</f>
        <v/>
      </c>
      <c r="X236" s="186">
        <f>IF($A236="","",$A236&amp;"|"&amp;$C236&amp;"|"&amp;$D236)</f>
        <v/>
      </c>
      <c r="Y236" s="186">
        <f>IFERROR(IF($X236="","",INDEX(LLM_Data_Entry!$H$3:$H$548,MATCH($X236,INDEX(LLM_Data_Entry!$A$3:$A$548&amp;"|"&amp;LLM_Data_Entry!$C$3:$C$548&amp;"|"&amp;LLM_Data_Entry!$D$3:$D$548,0),0))),"")</f>
        <v/>
      </c>
      <c r="Z236" s="186">
        <f>IFERROR(IF($X236="","",INDEX(LLM_Data_Entry!$R$3:$R$548,MATCH($X236,INDEX(LLM_Data_Entry!$A$3:$A$548&amp;"|"&amp;LLM_Data_Entry!$C$3:$C$548&amp;"|"&amp;LLM_Data_Entry!$D$3:$D$548,0),0))),"")</f>
        <v/>
      </c>
      <c r="AA236" s="152" t="n"/>
      <c r="AB236" s="152" t="inlineStr">
        <is>
          <t>price signal, re-derived — only this window shows an abnormal move</t>
        </is>
      </c>
      <c r="AC236" s="152" t="inlineStr">
        <is>
          <t>RMS.PA</t>
        </is>
      </c>
      <c r="AD236" s="152" t="inlineStr">
        <is>
          <t>2026-02-11</t>
        </is>
      </c>
      <c r="AE236" s="152" t="n">
        <v>2098.8508</v>
      </c>
      <c r="AF236" s="152" t="inlineStr">
        <is>
          <t>2026-02-12</t>
        </is>
      </c>
      <c r="AG236" s="152" t="n">
        <v>2143.402</v>
      </c>
      <c r="AH236" s="152" t="n">
        <v>0.02122647738086918</v>
      </c>
      <c r="AI236" s="152" t="inlineStr">
        <is>
          <t>UP</t>
        </is>
      </c>
      <c r="AJ236" s="152" t="inlineStr">
        <is>
          <t>YES</t>
        </is>
      </c>
      <c r="AK236" s="152" t="n">
        <v>0.020226</v>
      </c>
      <c r="AL236" s="152">
        <f>IF($A236="","",IFERROR(INDEX(Company_List!$G$3:$G$207,MATCH($A236,Company_List!$A$3:$A$207,0)),"unassigned"))</f>
        <v/>
      </c>
      <c r="AM236" s="152" t="inlineStr">
        <is>
          <t>Phase 3/Readings/Hermes/Q4/hermes_20260401_2025activityreport-en.pdf; Phase 3/Readings/Hermes/Q4/hermes_20260212_pr_2025fullyearresults_va.pdf; Phase 3/Readings/Hermes/Q4/Transcript : Hermès International Société en commandite par actions, 2025 Earnings Call, Feb 12, 202.pdf; Phase 3/Readings/Hermes/Q4/260320_hermes_urd2025_en.pdf; Phase 3/Readings/Hermes/Q4/20250212_hermes-2025fullyearresultspresentation_en.pdf</t>
        </is>
      </c>
      <c r="AN236" s="152" t="n"/>
      <c r="AO236" s="152" t="inlineStr">
        <is>
          <t>whole bundle (Document = All)</t>
        </is>
      </c>
      <c r="AP236" s="152">
        <f>IF($A236="","",IF(COUNTIFS(LLM_Data_Entry!$A$3:$A$548,$A236)&gt;0,"YES","NO"))</f>
        <v/>
      </c>
      <c r="AQ236" s="152">
        <f>IF($A236="","",IF(COUNTIFS($A$3:$A236,$A236,$C$3:$C236,$C236,$D$3:$D236,$D236)=1,"YES","NO"))</f>
        <v/>
      </c>
      <c r="AR236" s="152">
        <f>IF($A236="","",IF(AND($C236&amp;"-"&amp;$D236&gt;=Settings!$B$19,$C236&amp;"-"&amp;$D236&lt;=Settings!$B$20),"IN","OUT"))</f>
        <v/>
      </c>
      <c r="AS236" s="152">
        <f>IF($A236="","",IF($F236="Financial Results","financials",IF($F236="Outlook/Guidance","guidance",IF($F236="Transcript Q&amp;A","qanda",IF($F236="","unrecorded",IF($E236="All","full",IF($E236="","unrecorded",LOWER($E236)&amp;" only")))))))</f>
        <v/>
      </c>
      <c r="AT236" s="152">
        <f>IF(AND(OR($J236="BUY",$J236="SELL"),ISNUMBER($U236)),$U236,"")</f>
        <v/>
      </c>
      <c r="AU236" s="152">
        <f>IF(AND(OR($J236="BUY",$J236="SELL"),ISNUMBER($AK236)),$AK236,"")</f>
        <v/>
      </c>
      <c r="AV236" s="152">
        <f>IF(ISNUMBER($AT236),ABS(IF(ISNUMBER($I236),$I236,0)-Settings!$B$24),"")</f>
        <v/>
      </c>
      <c r="AW236" s="152">
        <f>IF(ISNUMBER($AV236),$AV236*$AT236,"")</f>
        <v/>
      </c>
      <c r="AX236" s="152">
        <f>IF(ISNUMBER($AU236),ABS(IF(ISNUMBER($I236),$I236,0)-Settings!$B$24),"")</f>
        <v/>
      </c>
      <c r="AY236" s="152" t="inlineStr">
        <is>
          <t>EXTENSION</t>
        </is>
      </c>
      <c r="AZ236" s="152">
        <f>IF($A236="","",IFERROR(INDEX(Company_List!$H$3:$H$207,MATCH($A236,Company_List!$A$3:$A$207,0)),"unassigned"))</f>
        <v/>
      </c>
      <c r="BA236" s="152" t="n">
        <v>1</v>
      </c>
      <c r="BB236" s="152" t="n">
        <v>1</v>
      </c>
      <c r="BC236" s="152">
        <f>IF($A236="","",IF(COUNTIFS($A$3:$A236,$A236,$C$3:$C236,$C236,$D$3:$D236,$D236,$G$3:$G236,$G236)=1,1,0))</f>
        <v/>
      </c>
      <c r="BD236" s="152" t="n">
        <v>21</v>
      </c>
      <c r="BE236" s="152" t="n"/>
      <c r="BF236" s="152" t="n"/>
      <c r="BG236" s="152" t="inlineStr">
        <is>
          <t>no</t>
        </is>
      </c>
      <c r="BH236" s="152" t="n"/>
      <c r="BI236" s="152" t="n"/>
      <c r="BJ236" s="152" t="inlineStr">
        <is>
          <t>Nigel's Notes Phase 3.docx</t>
        </is>
      </c>
      <c r="BK236" s="152">
        <f>IF(OR($H236&lt;&gt;"Human",$S236="",$J236="",$Y236="",$Z236=""),"",IF(EXACT(UPPER($J236),UPPER($Y236)),1,0))</f>
        <v/>
      </c>
      <c r="BL236" s="152" t="inlineStr">
        <is>
          <t>assumed - rater record carries no blindness field</t>
        </is>
      </c>
      <c r="BM236" s="152" t="n">
        <v>5</v>
      </c>
      <c r="BN236" s="152" t="inlineStr">
        <is>
          <t>MarketScreener (Surperformance SAS)</t>
        </is>
      </c>
      <c r="BO236" s="152" t="inlineStr">
        <is>
          <t>licensed vendor</t>
        </is>
      </c>
      <c r="BP236" s="152" t="inlineStr">
        <is>
          <t>no</t>
        </is>
      </c>
      <c r="BQ236" s="152" t="inlineStr">
        <is>
          <t>no</t>
        </is>
      </c>
      <c r="BR236" s="152" t="n"/>
      <c r="BS236" s="152" t="inlineStr">
        <is>
          <t>YES</t>
        </is>
      </c>
      <c r="BT236" s="152" t="n"/>
    </row>
    <row r="237" ht="15" customHeight="1" s="241">
      <c r="A237" s="191" t="inlineStr">
        <is>
          <t>Delta Air Lines</t>
        </is>
      </c>
      <c r="B237" s="188">
        <f>IF(A237="","",_xlfn.XLOOKUP(A237, Company_List!$A:$A, Company_List!$B:$B, ""))</f>
        <v/>
      </c>
      <c r="C237" s="177" t="n">
        <v>2025</v>
      </c>
      <c r="D237" s="177" t="inlineStr">
        <is>
          <t>Q1</t>
        </is>
      </c>
      <c r="E237" s="178" t="inlineStr">
        <is>
          <t>Press Release Document</t>
        </is>
      </c>
      <c r="F237" s="178" t="inlineStr">
        <is>
          <t>Financial Results</t>
        </is>
      </c>
      <c r="G237" s="177" t="inlineStr">
        <is>
          <t>Nigel</t>
        </is>
      </c>
      <c r="H237" s="177" t="inlineStr">
        <is>
          <t>Human</t>
        </is>
      </c>
      <c r="I237" s="180" t="n">
        <v>0.2</v>
      </c>
      <c r="J237" s="180">
        <f>IF(OR(I237="",Settings!$B$6=""),"",IF(I237&gt;Settings!$B$6,"BUY",IF(I237&lt;-Settings!$B$6,"SELL","HOLD")))</f>
        <v/>
      </c>
      <c r="K237" s="180" t="n">
        <v>3</v>
      </c>
      <c r="L237" s="182" t="n">
        <v>45756</v>
      </c>
      <c r="M237" s="182" t="n">
        <v>45755</v>
      </c>
      <c r="N237" s="179" t="n">
        <v>35.88</v>
      </c>
      <c r="O237" s="182" t="n">
        <v>45756</v>
      </c>
      <c r="P237" s="180" t="n">
        <v>36.91</v>
      </c>
      <c r="Q237" s="184">
        <f>IF(OR(N237="",P237=""),"",ROUND((P237-N237)/N237,4))</f>
        <v/>
      </c>
      <c r="R237" s="177">
        <f>IF(OR(N237="",P237=""),"",IF(Q237&gt;Settings!$B$3/100,"UP",IF(Q237&lt;-Settings!$B$3/100,"DOWN","FLAT")))</f>
        <v/>
      </c>
      <c r="S237" s="177">
        <f>IF(OR(N237="",P237="",J237=""),"",IF(OR(AND(J237="BUY",R237="UP"),AND(J237="SELL",R237="DOWN"),AND(J237="HOLD",R237="FLAT")),"YES","NO"))</f>
        <v/>
      </c>
      <c r="T237" s="176">
        <f>IF(J237="","",IF(J237="BUY",1,IF(J237="SELL",-1,0)))</f>
        <v/>
      </c>
      <c r="U237" s="184">
        <f>IFERROR(IF(OR(J237="",N237="",P237=""),"",IF(T237=0,0,T237*Q237-Settings!$B$4/10000-IF(T237&lt;0,Settings!$B$5/10000,0))),"")</f>
        <v/>
      </c>
      <c r="V237" s="190" t="inlineStr">
        <is>
          <t>Growth is there but not too impressive, can't judge much by how much was said on performance alone</t>
        </is>
      </c>
      <c r="W237" s="176">
        <f>IF($K237="","",$K237*60)</f>
        <v/>
      </c>
      <c r="X237" s="186">
        <f>IF($A237="","",$A237&amp;"|"&amp;$C237&amp;"|"&amp;$D237)</f>
        <v/>
      </c>
      <c r="Y237" s="186">
        <f>IFERROR(IF($X237="","",INDEX(LLM_Data_Entry!$H$3:$H$548,MATCH($X237,INDEX(LLM_Data_Entry!$A$3:$A$548&amp;"|"&amp;LLM_Data_Entry!$C$3:$C$548&amp;"|"&amp;LLM_Data_Entry!$D$3:$D$548,0),0))),"")</f>
        <v/>
      </c>
      <c r="Z237" s="186">
        <f>IFERROR(IF($X237="","",INDEX(LLM_Data_Entry!$R$3:$R$548,MATCH($X237,INDEX(LLM_Data_Entry!$A$3:$A$548&amp;"|"&amp;LLM_Data_Entry!$C$3:$C$548&amp;"|"&amp;LLM_Data_Entry!$D$3:$D$548,0),0))),"")</f>
        <v/>
      </c>
      <c r="AA237" s="152" t="n"/>
      <c r="AB237" s="152" t="inlineStr">
        <is>
          <t>price signal, re-derived — both moved; this one dominates</t>
        </is>
      </c>
      <c r="AC237" s="152" t="inlineStr">
        <is>
          <t>DAL</t>
        </is>
      </c>
      <c r="AD237" s="152" t="inlineStr">
        <is>
          <t>2025-04-08</t>
        </is>
      </c>
      <c r="AE237" s="152" t="n">
        <v>35.2635</v>
      </c>
      <c r="AF237" s="152" t="inlineStr">
        <is>
          <t>2025-04-09</t>
        </is>
      </c>
      <c r="AG237" s="152" t="n">
        <v>36.2758</v>
      </c>
      <c r="AH237" s="152" t="n">
        <v>0.02870683073156623</v>
      </c>
      <c r="AI237" s="152" t="inlineStr">
        <is>
          <t>UP</t>
        </is>
      </c>
      <c r="AJ237" s="152" t="inlineStr">
        <is>
          <t>NO</t>
        </is>
      </c>
      <c r="AK237" s="152" t="n">
        <v>0</v>
      </c>
      <c r="AL237" s="152">
        <f>IF($A237="","",IFERROR(INDEX(Company_List!$G$3:$G$207,MATCH($A237,Company_List!$A$3:$A$207,0)),"unassigned"))</f>
        <v/>
      </c>
      <c r="AM237" s="152" t="inlineStr">
        <is>
          <t>Phase 3/Readings/Delta/2025-Q1/DAL-2025-Q1-press-release-SEC-EX-99-1.htm</t>
        </is>
      </c>
      <c r="AN237" s="152" t="inlineStr">
        <is>
          <t>https://www.sec.gov/Archives/edgar/data/27904/000168316825002353/delta_ex9901.htm</t>
        </is>
      </c>
      <c r="AO237" s="152" t="inlineStr">
        <is>
          <t>manifest</t>
        </is>
      </c>
      <c r="AP237" s="152">
        <f>IF($A237="","",IF(COUNTIFS(LLM_Data_Entry!$A$3:$A$548,$A237)&gt;0,"YES","NO"))</f>
        <v/>
      </c>
      <c r="AQ237" s="152">
        <f>IF($A237="","",IF(COUNTIFS($A$3:$A237,$A237,$C$3:$C237,$C237,$D$3:$D237,$D237)=1,"YES","NO"))</f>
        <v/>
      </c>
      <c r="AR237" s="152">
        <f>IF($A237="","",IF(AND($C237&amp;"-"&amp;$D237&gt;=Settings!$B$19,$C237&amp;"-"&amp;$D237&lt;=Settings!$B$20),"IN","OUT"))</f>
        <v/>
      </c>
      <c r="AS237" s="152">
        <f>IF($A237="","",IF($F237="Financial Results","financials",IF($F237="Outlook/Guidance","guidance",IF($F237="Transcript Q&amp;A","qanda",IF($F237="","unrecorded",IF($E237="All","full",IF($E237="","unrecorded",LOWER($E237)&amp;" only")))))))</f>
        <v/>
      </c>
      <c r="AT237" s="152">
        <f>IF(AND(OR($J237="BUY",$J237="SELL"),ISNUMBER($U237)),$U237,"")</f>
        <v/>
      </c>
      <c r="AU237" s="152">
        <f>IF(AND(OR($J237="BUY",$J237="SELL"),ISNUMBER($AK237)),$AK237,"")</f>
        <v/>
      </c>
      <c r="AV237" s="152">
        <f>IF(ISNUMBER($AT237),ABS(IF(ISNUMBER($I237),$I237,0)-Settings!$B$24),"")</f>
        <v/>
      </c>
      <c r="AW237" s="152">
        <f>IF(ISNUMBER($AV237),$AV237*$AT237,"")</f>
        <v/>
      </c>
      <c r="AX237" s="152">
        <f>IF(ISNUMBER($AU237),ABS(IF(ISNUMBER($I237),$I237,0)-Settings!$B$24),"")</f>
        <v/>
      </c>
      <c r="AY237" s="152" t="inlineStr">
        <is>
          <t>FROZEN</t>
        </is>
      </c>
      <c r="AZ237" s="152">
        <f>IF($A237="","",IFERROR(INDEX(Company_List!$H$3:$H$207,MATCH($A237,Company_List!$A$3:$A$207,0)),"unassigned"))</f>
        <v/>
      </c>
      <c r="BA237" s="152" t="n">
        <v>1</v>
      </c>
      <c r="BB237" s="152" t="n">
        <v>1</v>
      </c>
      <c r="BC237" s="152">
        <f>IF($A237="","",IF(COUNTIFS($A$3:$A237,$A237,$C$3:$C237,$C237,$D$3:$D237,$D237,$G$3:$G237,$G237)=1,1,0))</f>
        <v/>
      </c>
      <c r="BD237" s="152" t="n">
        <v>3</v>
      </c>
      <c r="BE237" s="152" t="n"/>
      <c r="BF237" s="152" t="n"/>
      <c r="BG237" s="152" t="inlineStr">
        <is>
          <t>no</t>
        </is>
      </c>
      <c r="BH237" s="152" t="n"/>
      <c r="BI237" s="152" t="n"/>
      <c r="BJ237" s="152" t="inlineStr">
        <is>
          <t>Nigel's Notes Phase 3.docx</t>
        </is>
      </c>
      <c r="BK237" s="152">
        <f>IF(OR($H237&lt;&gt;"Human",$S237="",$J237="",$Y237="",$Z237=""),"",IF(EXACT(UPPER($J237),UPPER($Y237)),1,0))</f>
        <v/>
      </c>
      <c r="BL237" s="152" t="inlineStr">
        <is>
          <t>assumed - rater record carries no blindness field</t>
        </is>
      </c>
      <c r="BM237" s="152" t="n">
        <v>1</v>
      </c>
      <c r="BN237" s="152" t="inlineStr">
        <is>
          <t>not publisher-identified</t>
        </is>
      </c>
      <c r="BO237" s="152" t="inlineStr">
        <is>
          <t>not publisher-identified</t>
        </is>
      </c>
      <c r="BP237" s="152" t="inlineStr">
        <is>
          <t>no</t>
        </is>
      </c>
      <c r="BQ237" s="152" t="inlineStr">
        <is>
          <t>yes</t>
        </is>
      </c>
      <c r="BR237" s="152" t="n"/>
      <c r="BS237" s="152" t="inlineStr">
        <is>
          <t>YES</t>
        </is>
      </c>
      <c r="BT237" s="152" t="n"/>
    </row>
    <row r="238" ht="15" customHeight="1" s="241">
      <c r="A238" s="191" t="inlineStr">
        <is>
          <t>Delta Air Lines</t>
        </is>
      </c>
      <c r="B238" s="188">
        <f>IF(A238="","",_xlfn.XLOOKUP(A238, Company_List!$A:$A, Company_List!$B:$B, ""))</f>
        <v/>
      </c>
      <c r="C238" s="177" t="n">
        <v>2025</v>
      </c>
      <c r="D238" s="177" t="inlineStr">
        <is>
          <t>Q2</t>
        </is>
      </c>
      <c r="E238" s="178" t="inlineStr">
        <is>
          <t>Press Release Document</t>
        </is>
      </c>
      <c r="F238" s="178" t="inlineStr">
        <is>
          <t>Outlook/Guidance</t>
        </is>
      </c>
      <c r="G238" s="177" t="inlineStr">
        <is>
          <t>Nigel</t>
        </is>
      </c>
      <c r="H238" s="177" t="inlineStr">
        <is>
          <t>Human</t>
        </is>
      </c>
      <c r="I238" s="180" t="n">
        <v>-0.3</v>
      </c>
      <c r="J238" s="180">
        <f>IF(OR(I238="",Settings!$B$6=""),"",IF(I238&gt;Settings!$B$6,"BUY",IF(I238&lt;-Settings!$B$6,"SELL","HOLD")))</f>
        <v/>
      </c>
      <c r="K238" s="180" t="n">
        <v>10</v>
      </c>
      <c r="L238" s="182" t="n">
        <v>45848</v>
      </c>
      <c r="M238" s="182" t="n">
        <v>45847</v>
      </c>
      <c r="N238" s="179" t="n">
        <v>50.7</v>
      </c>
      <c r="O238" s="182" t="n">
        <v>45848</v>
      </c>
      <c r="P238" s="180" t="n">
        <v>56.2</v>
      </c>
      <c r="Q238" s="184">
        <f>IF(OR(N238="",P238=""),"",ROUND((P238-N238)/N238,4))</f>
        <v/>
      </c>
      <c r="R238" s="177">
        <f>IF(OR(N238="",P238=""),"",IF(Q238&gt;Settings!$B$3/100,"UP",IF(Q238&lt;-Settings!$B$3/100,"DOWN","FLAT")))</f>
        <v/>
      </c>
      <c r="S238" s="177">
        <f>IF(OR(N238="",P238="",J238=""),"",IF(OR(AND(J238="BUY",R238="UP"),AND(J238="SELL",R238="DOWN"),AND(J238="HOLD",R238="FLAT")),"YES","NO"))</f>
        <v/>
      </c>
      <c r="T238" s="176">
        <f>IF(J238="","",IF(J238="BUY",1,IF(J238="SELL",-1,0)))</f>
        <v/>
      </c>
      <c r="U238" s="184">
        <f>IFERROR(IF(OR(J238="",N238="",P238=""),"",IF(T238=0,0,T238*Q238-Settings!$B$4/10000-IF(T238&lt;0,Settings!$B$5/10000,0))),"")</f>
        <v/>
      </c>
      <c r="V238" s="190" t="inlineStr">
        <is>
          <t>Figures showing slow growth and does not match confident tone of outlook</t>
        </is>
      </c>
      <c r="W238" s="176">
        <f>IF($K238="","",$K238*60)</f>
        <v/>
      </c>
      <c r="X238" s="186">
        <f>IF($A238="","",$A238&amp;"|"&amp;$C238&amp;"|"&amp;$D238)</f>
        <v/>
      </c>
      <c r="Y238" s="186">
        <f>IFERROR(IF($X238="","",INDEX(LLM_Data_Entry!$H$3:$H$548,MATCH($X238,INDEX(LLM_Data_Entry!$A$3:$A$548&amp;"|"&amp;LLM_Data_Entry!$C$3:$C$548&amp;"|"&amp;LLM_Data_Entry!$D$3:$D$548,0),0))),"")</f>
        <v/>
      </c>
      <c r="Z238" s="186">
        <f>IFERROR(IF($X238="","",INDEX(LLM_Data_Entry!$R$3:$R$548,MATCH($X238,INDEX(LLM_Data_Entry!$A$3:$A$548&amp;"|"&amp;LLM_Data_Entry!$C$3:$C$548&amp;"|"&amp;LLM_Data_Entry!$D$3:$D$548,0),0))),"")</f>
        <v/>
      </c>
      <c r="AA238" s="152" t="n"/>
      <c r="AB238" s="152" t="inlineStr">
        <is>
          <t>price signal, re-derived — only this window shows an abnormal move</t>
        </is>
      </c>
      <c r="AC238" s="152" t="inlineStr">
        <is>
          <t>DAL</t>
        </is>
      </c>
      <c r="AD238" s="152" t="inlineStr">
        <is>
          <t>2025-07-09</t>
        </is>
      </c>
      <c r="AE238" s="152" t="n">
        <v>49.9754</v>
      </c>
      <c r="AF238" s="152" t="inlineStr">
        <is>
          <t>2025-07-10</t>
        </is>
      </c>
      <c r="AG238" s="152" t="n">
        <v>55.3968</v>
      </c>
      <c r="AH238" s="152" t="n">
        <v>0.1084811517633692</v>
      </c>
      <c r="AI238" s="152" t="inlineStr">
        <is>
          <t>UP</t>
        </is>
      </c>
      <c r="AJ238" s="152" t="inlineStr">
        <is>
          <t>NO</t>
        </is>
      </c>
      <c r="AK238" s="152" t="n">
        <v>-0.109481</v>
      </c>
      <c r="AL238" s="152">
        <f>IF($A238="","",IFERROR(INDEX(Company_List!$G$3:$G$207,MATCH($A238,Company_List!$A$3:$A$207,0)),"unassigned"))</f>
        <v/>
      </c>
      <c r="AM238" s="152" t="inlineStr">
        <is>
          <t>Phase 3/Readings/Delta/Q2/Delta-Air-Lines-Announces-Second-Quarter-2025.pdf</t>
        </is>
      </c>
      <c r="AN238" s="152" t="n"/>
      <c r="AO238" s="152" t="inlineStr">
        <is>
          <t>unique filename match</t>
        </is>
      </c>
      <c r="AP238" s="152">
        <f>IF($A238="","",IF(COUNTIFS(LLM_Data_Entry!$A$3:$A$548,$A238)&gt;0,"YES","NO"))</f>
        <v/>
      </c>
      <c r="AQ238" s="152">
        <f>IF($A238="","",IF(COUNTIFS($A$3:$A238,$A238,$C$3:$C238,$C238,$D$3:$D238,$D238)=1,"YES","NO"))</f>
        <v/>
      </c>
      <c r="AR238" s="152">
        <f>IF($A238="","",IF(AND($C238&amp;"-"&amp;$D238&gt;=Settings!$B$19,$C238&amp;"-"&amp;$D238&lt;=Settings!$B$20),"IN","OUT"))</f>
        <v/>
      </c>
      <c r="AS238" s="152">
        <f>IF($A238="","",IF($F238="Financial Results","financials",IF($F238="Outlook/Guidance","guidance",IF($F238="Transcript Q&amp;A","qanda",IF($F238="","unrecorded",IF($E238="All","full",IF($E238="","unrecorded",LOWER($E238)&amp;" only")))))))</f>
        <v/>
      </c>
      <c r="AT238" s="152">
        <f>IF(AND(OR($J238="BUY",$J238="SELL"),ISNUMBER($U238)),$U238,"")</f>
        <v/>
      </c>
      <c r="AU238" s="152">
        <f>IF(AND(OR($J238="BUY",$J238="SELL"),ISNUMBER($AK238)),$AK238,"")</f>
        <v/>
      </c>
      <c r="AV238" s="152">
        <f>IF(ISNUMBER($AT238),ABS(IF(ISNUMBER($I238),$I238,0)-Settings!$B$24),"")</f>
        <v/>
      </c>
      <c r="AW238" s="152">
        <f>IF(ISNUMBER($AV238),$AV238*$AT238,"")</f>
        <v/>
      </c>
      <c r="AX238" s="152">
        <f>IF(ISNUMBER($AU238),ABS(IF(ISNUMBER($I238),$I238,0)-Settings!$B$24),"")</f>
        <v/>
      </c>
      <c r="AY238" s="152" t="inlineStr">
        <is>
          <t>FROZEN</t>
        </is>
      </c>
      <c r="AZ238" s="152">
        <f>IF($A238="","",IFERROR(INDEX(Company_List!$H$3:$H$207,MATCH($A238,Company_List!$A$3:$A$207,0)),"unassigned"))</f>
        <v/>
      </c>
      <c r="BA238" s="152" t="n">
        <v>1</v>
      </c>
      <c r="BB238" s="152" t="n">
        <v>1</v>
      </c>
      <c r="BC238" s="152">
        <f>IF($A238="","",IF(COUNTIFS($A$3:$A238,$A238,$C$3:$C238,$C238,$D$3:$D238,$D238,$G$3:$G238,$G238)=1,1,0))</f>
        <v/>
      </c>
      <c r="BD238" s="152" t="n">
        <v>10</v>
      </c>
      <c r="BE238" s="152" t="n"/>
      <c r="BF238" s="152" t="n"/>
      <c r="BG238" s="152" t="inlineStr">
        <is>
          <t>no</t>
        </is>
      </c>
      <c r="BH238" s="152" t="n"/>
      <c r="BI238" s="152" t="n"/>
      <c r="BJ238" s="152" t="inlineStr">
        <is>
          <t>Nigel's Notes Phase 3.docx</t>
        </is>
      </c>
      <c r="BK238" s="152">
        <f>IF(OR($H238&lt;&gt;"Human",$S238="",$J238="",$Y238="",$Z238=""),"",IF(EXACT(UPPER($J238),UPPER($Y238)),1,0))</f>
        <v/>
      </c>
      <c r="BL238" s="152" t="inlineStr">
        <is>
          <t>assumed - rater record carries no blindness field</t>
        </is>
      </c>
      <c r="BM238" s="152" t="n">
        <v>1</v>
      </c>
      <c r="BN238" s="152" t="inlineStr">
        <is>
          <t>not publisher-identified</t>
        </is>
      </c>
      <c r="BO238" s="152" t="inlineStr">
        <is>
          <t>not publisher-identified</t>
        </is>
      </c>
      <c r="BP238" s="152" t="inlineStr">
        <is>
          <t>no</t>
        </is>
      </c>
      <c r="BQ238" s="152" t="inlineStr">
        <is>
          <t>no</t>
        </is>
      </c>
      <c r="BR238" s="152" t="n"/>
      <c r="BS238" s="152" t="inlineStr">
        <is>
          <t>YES</t>
        </is>
      </c>
      <c r="BT238" s="152" t="n"/>
    </row>
    <row r="239" ht="15" customHeight="1" s="241">
      <c r="A239" s="191" t="inlineStr">
        <is>
          <t>Delta Air Lines</t>
        </is>
      </c>
      <c r="B239" s="188">
        <f>IF(A239="","",_xlfn.XLOOKUP(A239, Company_List!$A:$A, Company_List!$B:$B, ""))</f>
        <v/>
      </c>
      <c r="C239" s="177" t="n">
        <v>2025</v>
      </c>
      <c r="D239" s="177" t="inlineStr">
        <is>
          <t>Q3</t>
        </is>
      </c>
      <c r="E239" s="178" t="inlineStr">
        <is>
          <t>Transcript</t>
        </is>
      </c>
      <c r="F239" s="178" t="inlineStr">
        <is>
          <t>Transcript Q&amp;A</t>
        </is>
      </c>
      <c r="G239" s="177" t="inlineStr">
        <is>
          <t>Nigel</t>
        </is>
      </c>
      <c r="H239" s="177" t="inlineStr">
        <is>
          <t>Human</t>
        </is>
      </c>
      <c r="I239" s="180" t="n">
        <v>-0.4</v>
      </c>
      <c r="J239" s="180">
        <f>IF(OR(I239="",Settings!$B$6=""),"",IF(I239&gt;Settings!$B$6,"BUY",IF(I239&lt;-Settings!$B$6,"SELL","HOLD")))</f>
        <v/>
      </c>
      <c r="K239" s="180" t="n">
        <v>15</v>
      </c>
      <c r="L239" s="182" t="n">
        <v>45939</v>
      </c>
      <c r="M239" s="182" t="n">
        <v>45938</v>
      </c>
      <c r="N239" s="179" t="n">
        <v>57.12</v>
      </c>
      <c r="O239" s="182" t="n">
        <v>45939</v>
      </c>
      <c r="P239" s="180" t="n">
        <v>61.9</v>
      </c>
      <c r="Q239" s="184">
        <f>IF(OR(N239="",P239=""),"",ROUND((P239-N239)/N239,4))</f>
        <v/>
      </c>
      <c r="R239" s="177">
        <f>IF(OR(N239="",P239=""),"",IF(Q239&gt;Settings!$B$3/100,"UP",IF(Q239&lt;-Settings!$B$3/100,"DOWN","FLAT")))</f>
        <v/>
      </c>
      <c r="S239" s="177">
        <f>IF(OR(N239="",P239="",J239=""),"",IF(OR(AND(J239="BUY",R239="UP"),AND(J239="SELL",R239="DOWN"),AND(J239="HOLD",R239="FLAT")),"YES","NO"))</f>
        <v/>
      </c>
      <c r="T239" s="176">
        <f>IF(J239="","",IF(J239="BUY",1,IF(J239="SELL",-1,0)))</f>
        <v/>
      </c>
      <c r="U239" s="184">
        <f>IFERROR(IF(OR(J239="",N239="",P239=""),"",IF(T239=0,0,T239*Q239-Settings!$B$4/10000-IF(T239&lt;0,Settings!$B$5/10000,0))),"")</f>
        <v/>
      </c>
      <c r="V239" s="190" t="inlineStr">
        <is>
          <t>Dissapointing Q3 performance overall, new strategy planned</t>
        </is>
      </c>
      <c r="W239" s="176">
        <f>IF($K239="","",$K239*60)</f>
        <v/>
      </c>
      <c r="X239" s="186">
        <f>IF($A239="","",$A239&amp;"|"&amp;$C239&amp;"|"&amp;$D239)</f>
        <v/>
      </c>
      <c r="Y239" s="186">
        <f>IFERROR(IF($X239="","",INDEX(LLM_Data_Entry!$H$3:$H$548,MATCH($X239,INDEX(LLM_Data_Entry!$A$3:$A$548&amp;"|"&amp;LLM_Data_Entry!$C$3:$C$548&amp;"|"&amp;LLM_Data_Entry!$D$3:$D$548,0),0))),"")</f>
        <v/>
      </c>
      <c r="Z239" s="186">
        <f>IFERROR(IF($X239="","",INDEX(LLM_Data_Entry!$R$3:$R$548,MATCH($X239,INDEX(LLM_Data_Entry!$A$3:$A$548&amp;"|"&amp;LLM_Data_Entry!$C$3:$C$548&amp;"|"&amp;LLM_Data_Entry!$D$3:$D$548,0),0))),"")</f>
        <v/>
      </c>
      <c r="AA239" s="152" t="n"/>
      <c r="AB239" s="152" t="inlineStr">
        <is>
          <t>price signal, re-derived — only this window shows an abnormal move</t>
        </is>
      </c>
      <c r="AC239" s="152" t="inlineStr">
        <is>
          <t>DAL</t>
        </is>
      </c>
      <c r="AD239" s="152" t="inlineStr">
        <is>
          <t>2025-10-08</t>
        </is>
      </c>
      <c r="AE239" s="152" t="n">
        <v>56.5019</v>
      </c>
      <c r="AF239" s="152" t="inlineStr">
        <is>
          <t>2025-10-09</t>
        </is>
      </c>
      <c r="AG239" s="152" t="n">
        <v>61.2301</v>
      </c>
      <c r="AH239" s="152" t="n">
        <v>0.08368354782184646</v>
      </c>
      <c r="AI239" s="152" t="inlineStr">
        <is>
          <t>UP</t>
        </is>
      </c>
      <c r="AJ239" s="152" t="inlineStr">
        <is>
          <t>NO</t>
        </is>
      </c>
      <c r="AK239" s="152" t="n">
        <v>-0.084684</v>
      </c>
      <c r="AL239" s="152">
        <f>IF($A239="","",IFERROR(INDEX(Company_List!$G$3:$G$207,MATCH($A239,Company_List!$A$3:$A$207,0)),"unassigned"))</f>
        <v/>
      </c>
      <c r="AM239" s="152" t="inlineStr">
        <is>
          <t>Phase 3/Readings/Delta/Q3/CORRECTED-TRANSCRIPT-Delta-Air-Lines-Inc-DAL-US-Q3-2025-Earnings-Call.pdf</t>
        </is>
      </c>
      <c r="AN239" s="152" t="n"/>
      <c r="AO239" s="152" t="inlineStr">
        <is>
          <t>unique filename match</t>
        </is>
      </c>
      <c r="AP239" s="152">
        <f>IF($A239="","",IF(COUNTIFS(LLM_Data_Entry!$A$3:$A$548,$A239)&gt;0,"YES","NO"))</f>
        <v/>
      </c>
      <c r="AQ239" s="152">
        <f>IF($A239="","",IF(COUNTIFS($A$3:$A239,$A239,$C$3:$C239,$C239,$D$3:$D239,$D239)=1,"YES","NO"))</f>
        <v/>
      </c>
      <c r="AR239" s="152">
        <f>IF($A239="","",IF(AND($C239&amp;"-"&amp;$D239&gt;=Settings!$B$19,$C239&amp;"-"&amp;$D239&lt;=Settings!$B$20),"IN","OUT"))</f>
        <v/>
      </c>
      <c r="AS239" s="152">
        <f>IF($A239="","",IF($F239="Financial Results","financials",IF($F239="Outlook/Guidance","guidance",IF($F239="Transcript Q&amp;A","qanda",IF($F239="","unrecorded",IF($E239="All","full",IF($E239="","unrecorded",LOWER($E239)&amp;" only")))))))</f>
        <v/>
      </c>
      <c r="AT239" s="152">
        <f>IF(AND(OR($J239="BUY",$J239="SELL"),ISNUMBER($U239)),$U239,"")</f>
        <v/>
      </c>
      <c r="AU239" s="152">
        <f>IF(AND(OR($J239="BUY",$J239="SELL"),ISNUMBER($AK239)),$AK239,"")</f>
        <v/>
      </c>
      <c r="AV239" s="152">
        <f>IF(ISNUMBER($AT239),ABS(IF(ISNUMBER($I239),$I239,0)-Settings!$B$24),"")</f>
        <v/>
      </c>
      <c r="AW239" s="152">
        <f>IF(ISNUMBER($AV239),$AV239*$AT239,"")</f>
        <v/>
      </c>
      <c r="AX239" s="152">
        <f>IF(ISNUMBER($AU239),ABS(IF(ISNUMBER($I239),$I239,0)-Settings!$B$24),"")</f>
        <v/>
      </c>
      <c r="AY239" s="152" t="inlineStr">
        <is>
          <t>FROZEN</t>
        </is>
      </c>
      <c r="AZ239" s="152">
        <f>IF($A239="","",IFERROR(INDEX(Company_List!$H$3:$H$207,MATCH($A239,Company_List!$A$3:$A$207,0)),"unassigned"))</f>
        <v/>
      </c>
      <c r="BA239" s="152" t="n">
        <v>1</v>
      </c>
      <c r="BB239" s="152" t="n">
        <v>1</v>
      </c>
      <c r="BC239" s="152">
        <f>IF($A239="","",IF(COUNTIFS($A$3:$A239,$A239,$C$3:$C239,$C239,$D$3:$D239,$D239,$G$3:$G239,$G239)=1,1,0))</f>
        <v/>
      </c>
      <c r="BD239" s="152" t="n">
        <v>15</v>
      </c>
      <c r="BE239" s="152" t="n"/>
      <c r="BF239" s="152" t="n"/>
      <c r="BG239" s="152" t="inlineStr">
        <is>
          <t>no</t>
        </is>
      </c>
      <c r="BH239" s="152" t="n"/>
      <c r="BI239" s="152" t="n"/>
      <c r="BJ239" s="152" t="inlineStr">
        <is>
          <t>Nigel's Notes Phase 3.docx</t>
        </is>
      </c>
      <c r="BK239" s="152">
        <f>IF(OR($H239&lt;&gt;"Human",$S239="",$J239="",$Y239="",$Z239=""),"",IF(EXACT(UPPER($J239),UPPER($Y239)),1,0))</f>
        <v/>
      </c>
      <c r="BL239" s="152" t="inlineStr">
        <is>
          <t>assumed - rater record carries no blindness field</t>
        </is>
      </c>
      <c r="BM239" s="152" t="n">
        <v>1</v>
      </c>
      <c r="BN239" s="152" t="inlineStr">
        <is>
          <t>FactSet CallStreet</t>
        </is>
      </c>
      <c r="BO239" s="152" t="inlineStr">
        <is>
          <t>licensed vendor</t>
        </is>
      </c>
      <c r="BP239" s="152" t="inlineStr">
        <is>
          <t>no</t>
        </is>
      </c>
      <c r="BQ239" s="152" t="inlineStr">
        <is>
          <t>no</t>
        </is>
      </c>
      <c r="BR239" s="152" t="n"/>
      <c r="BS239" s="152" t="inlineStr">
        <is>
          <t>YES</t>
        </is>
      </c>
      <c r="BT239" s="152" t="n"/>
    </row>
    <row r="240" ht="15" customHeight="1" s="241">
      <c r="A240" s="191" t="inlineStr">
        <is>
          <t>Delta Air Lines</t>
        </is>
      </c>
      <c r="B240" s="188">
        <f>IF(A240="","",_xlfn.XLOOKUP(A240, Company_List!$A:$A, Company_List!$B:$B, ""))</f>
        <v/>
      </c>
      <c r="C240" s="177" t="n">
        <v>2025</v>
      </c>
      <c r="D240" s="177" t="inlineStr">
        <is>
          <t>Q4</t>
        </is>
      </c>
      <c r="E240" s="178" t="inlineStr">
        <is>
          <t>All</t>
        </is>
      </c>
      <c r="F240" s="178" t="inlineStr">
        <is>
          <t>All</t>
        </is>
      </c>
      <c r="G240" s="177" t="inlineStr">
        <is>
          <t>Nigel</t>
        </is>
      </c>
      <c r="H240" s="177" t="inlineStr">
        <is>
          <t>Human</t>
        </is>
      </c>
      <c r="I240" s="180" t="n">
        <v>0.5</v>
      </c>
      <c r="J240" s="180">
        <f>IF(OR(I240="",Settings!$B$6=""),"",IF(I240&gt;Settings!$B$6,"BUY",IF(I240&lt;-Settings!$B$6,"SELL","HOLD")))</f>
        <v/>
      </c>
      <c r="K240" s="180" t="n">
        <v>25</v>
      </c>
      <c r="L240" s="182" t="n">
        <v>46035</v>
      </c>
      <c r="M240" s="182" t="n">
        <v>46034</v>
      </c>
      <c r="N240" s="179" t="n">
        <v>71.03</v>
      </c>
      <c r="O240" s="182" t="n">
        <v>46035</v>
      </c>
      <c r="P240" s="180" t="n">
        <v>68.09999999999999</v>
      </c>
      <c r="Q240" s="184">
        <f>IF(OR(N240="",P240=""),"",ROUND((P240-N240)/N240,4))</f>
        <v/>
      </c>
      <c r="R240" s="177">
        <f>IF(OR(N240="",P240=""),"",IF(Q240&gt;Settings!$B$3/100,"UP",IF(Q240&lt;-Settings!$B$3/100,"DOWN","FLAT")))</f>
        <v/>
      </c>
      <c r="S240" s="177">
        <f>IF(OR(N240="",P240="",J240=""),"",IF(OR(AND(J240="BUY",R240="UP"),AND(J240="SELL",R240="DOWN"),AND(J240="HOLD",R240="FLAT")),"YES","NO"))</f>
        <v/>
      </c>
      <c r="T240" s="176">
        <f>IF(J240="","",IF(J240="BUY",1,IF(J240="SELL",-1,0)))</f>
        <v/>
      </c>
      <c r="U240" s="184">
        <f>IFERROR(IF(OR(J240="",N240="",P240=""),"",IF(T240=0,0,T240*Q240-Settings!$B$4/10000-IF(T240&lt;0,Settings!$B$5/10000,0))),"")</f>
        <v/>
      </c>
      <c r="V240" s="190" t="inlineStr">
        <is>
          <t>Record performance, confident tone for outlook ahead, strategy on premium focus seems to be working in their favour</t>
        </is>
      </c>
      <c r="W240" s="176">
        <f>IF($K240="","",$K240*60)</f>
        <v/>
      </c>
      <c r="X240" s="186">
        <f>IF($A240="","",$A240&amp;"|"&amp;$C240&amp;"|"&amp;$D240)</f>
        <v/>
      </c>
      <c r="Y240" s="186">
        <f>IFERROR(IF($X240="","",INDEX(LLM_Data_Entry!$H$3:$H$548,MATCH($X240,INDEX(LLM_Data_Entry!$A$3:$A$548&amp;"|"&amp;LLM_Data_Entry!$C$3:$C$548&amp;"|"&amp;LLM_Data_Entry!$D$3:$D$548,0),0))),"")</f>
        <v/>
      </c>
      <c r="Z240" s="186">
        <f>IFERROR(IF($X240="","",INDEX(LLM_Data_Entry!$R$3:$R$548,MATCH($X240,INDEX(LLM_Data_Entry!$A$3:$A$548&amp;"|"&amp;LLM_Data_Entry!$C$3:$C$548&amp;"|"&amp;LLM_Data_Entry!$D$3:$D$548,0),0))),"")</f>
        <v/>
      </c>
      <c r="AA240" s="152" t="n"/>
      <c r="AB240" s="152" t="inlineStr">
        <is>
          <t>price signal, re-derived — only this window shows an abnormal move</t>
        </is>
      </c>
      <c r="AC240" s="152" t="inlineStr">
        <is>
          <t>DAL</t>
        </is>
      </c>
      <c r="AD240" s="152" t="inlineStr">
        <is>
          <t>2026-01-12</t>
        </is>
      </c>
      <c r="AE240" s="152" t="n">
        <v>70.4761</v>
      </c>
      <c r="AF240" s="152" t="inlineStr">
        <is>
          <t>2026-01-13</t>
        </is>
      </c>
      <c r="AG240" s="152" t="n">
        <v>67.5689</v>
      </c>
      <c r="AH240" s="152" t="n">
        <v>-0.04125015395831894</v>
      </c>
      <c r="AI240" s="152" t="inlineStr">
        <is>
          <t>DOWN</t>
        </is>
      </c>
      <c r="AJ240" s="152" t="inlineStr">
        <is>
          <t>NO</t>
        </is>
      </c>
      <c r="AK240" s="152" t="n">
        <v>-0.04225</v>
      </c>
      <c r="AL240" s="152">
        <f>IF($A240="","",IFERROR(INDEX(Company_List!$G$3:$G$207,MATCH($A240,Company_List!$A$3:$A$207,0)),"unassigned"))</f>
        <v/>
      </c>
      <c r="AM240" s="152" t="inlineStr">
        <is>
          <t>Phase 3/Readings/Delta/Q4/Delta-Air-Lines-Announces-Fourth-Quarter-2025.pdf; Phase 3/Readings/Delta/Q4/DAL-12-31-2025-10K-2-10-26-Filed.pdf; Phase 3/Readings/Delta/Q4/CORRECTED-TRANSCRIPT-Delta-Air-Lines-Inc-DAL-US-Q4-2025-Earnings-Call.pdf</t>
        </is>
      </c>
      <c r="AN240" s="152" t="n"/>
      <c r="AO240" s="152" t="inlineStr">
        <is>
          <t>whole bundle (Document = All)</t>
        </is>
      </c>
      <c r="AP240" s="152">
        <f>IF($A240="","",IF(COUNTIFS(LLM_Data_Entry!$A$3:$A$548,$A240)&gt;0,"YES","NO"))</f>
        <v/>
      </c>
      <c r="AQ240" s="152">
        <f>IF($A240="","",IF(COUNTIFS($A$3:$A240,$A240,$C$3:$C240,$C240,$D$3:$D240,$D240)=1,"YES","NO"))</f>
        <v/>
      </c>
      <c r="AR240" s="152">
        <f>IF($A240="","",IF(AND($C240&amp;"-"&amp;$D240&gt;=Settings!$B$19,$C240&amp;"-"&amp;$D240&lt;=Settings!$B$20),"IN","OUT"))</f>
        <v/>
      </c>
      <c r="AS240" s="152">
        <f>IF($A240="","",IF($F240="Financial Results","financials",IF($F240="Outlook/Guidance","guidance",IF($F240="Transcript Q&amp;A","qanda",IF($F240="","unrecorded",IF($E240="All","full",IF($E240="","unrecorded",LOWER($E240)&amp;" only")))))))</f>
        <v/>
      </c>
      <c r="AT240" s="152">
        <f>IF(AND(OR($J240="BUY",$J240="SELL"),ISNUMBER($U240)),$U240,"")</f>
        <v/>
      </c>
      <c r="AU240" s="152">
        <f>IF(AND(OR($J240="BUY",$J240="SELL"),ISNUMBER($AK240)),$AK240,"")</f>
        <v/>
      </c>
      <c r="AV240" s="152">
        <f>IF(ISNUMBER($AT240),ABS(IF(ISNUMBER($I240),$I240,0)-Settings!$B$24),"")</f>
        <v/>
      </c>
      <c r="AW240" s="152">
        <f>IF(ISNUMBER($AV240),$AV240*$AT240,"")</f>
        <v/>
      </c>
      <c r="AX240" s="152">
        <f>IF(ISNUMBER($AU240),ABS(IF(ISNUMBER($I240),$I240,0)-Settings!$B$24),"")</f>
        <v/>
      </c>
      <c r="AY240" s="152" t="inlineStr">
        <is>
          <t>FROZEN</t>
        </is>
      </c>
      <c r="AZ240" s="152">
        <f>IF($A240="","",IFERROR(INDEX(Company_List!$H$3:$H$207,MATCH($A240,Company_List!$A$3:$A$207,0)),"unassigned"))</f>
        <v/>
      </c>
      <c r="BA240" s="152" t="n">
        <v>1</v>
      </c>
      <c r="BB240" s="152" t="n">
        <v>1</v>
      </c>
      <c r="BC240" s="152">
        <f>IF($A240="","",IF(COUNTIFS($A$3:$A240,$A240,$C$3:$C240,$C240,$D$3:$D240,$D240,$G$3:$G240,$G240)=1,1,0))</f>
        <v/>
      </c>
      <c r="BD240" s="152" t="n">
        <v>25</v>
      </c>
      <c r="BE240" s="152" t="n"/>
      <c r="BF240" s="152" t="n"/>
      <c r="BG240" s="152" t="inlineStr">
        <is>
          <t>no</t>
        </is>
      </c>
      <c r="BH240" s="152" t="n"/>
      <c r="BI240" s="152" t="n"/>
      <c r="BJ240" s="152" t="inlineStr">
        <is>
          <t>Nigel's Notes Phase 3.docx</t>
        </is>
      </c>
      <c r="BK240" s="152">
        <f>IF(OR($H240&lt;&gt;"Human",$S240="",$J240="",$Y240="",$Z240=""),"",IF(EXACT(UPPER($J240),UPPER($Y240)),1,0))</f>
        <v/>
      </c>
      <c r="BL240" s="152" t="inlineStr">
        <is>
          <t>assumed - rater record carries no blindness field</t>
        </is>
      </c>
      <c r="BM240" s="152" t="n">
        <v>3</v>
      </c>
      <c r="BN240" s="152" t="inlineStr">
        <is>
          <t>FactSet CallStreet</t>
        </is>
      </c>
      <c r="BO240" s="152" t="inlineStr">
        <is>
          <t>licensed vendor</t>
        </is>
      </c>
      <c r="BP240" s="152" t="inlineStr">
        <is>
          <t>one of several</t>
        </is>
      </c>
      <c r="BQ240" s="152" t="inlineStr">
        <is>
          <t>no</t>
        </is>
      </c>
      <c r="BR240" s="152" t="n"/>
      <c r="BS240" s="152" t="inlineStr">
        <is>
          <t>YES</t>
        </is>
      </c>
      <c r="BT240" s="152" t="n"/>
    </row>
    <row r="241" ht="15" customHeight="1" s="241">
      <c r="A241" s="191" t="inlineStr">
        <is>
          <t>Workday</t>
        </is>
      </c>
      <c r="B241" s="188">
        <f>IF(A241="","",_xlfn.XLOOKUP(A241, Company_List!$A:$A, Company_List!$B:$B, ""))</f>
        <v/>
      </c>
      <c r="C241" s="177" t="n">
        <v>2025</v>
      </c>
      <c r="D241" s="177" t="inlineStr">
        <is>
          <t>Q1</t>
        </is>
      </c>
      <c r="E241" s="178" t="inlineStr">
        <is>
          <t>Press Release Document</t>
        </is>
      </c>
      <c r="F241" s="178" t="inlineStr">
        <is>
          <t>Outlook/Guidance</t>
        </is>
      </c>
      <c r="G241" s="177" t="inlineStr">
        <is>
          <t>Nigel</t>
        </is>
      </c>
      <c r="H241" s="177" t="inlineStr">
        <is>
          <t>Human</t>
        </is>
      </c>
      <c r="I241" s="180" t="n">
        <v>0.8</v>
      </c>
      <c r="J241" s="180">
        <f>IF(OR(I241="",Settings!$B$6=""),"",IF(I241&gt;Settings!$B$6,"BUY",IF(I241&lt;-Settings!$B$6,"SELL","HOLD")))</f>
        <v/>
      </c>
      <c r="K241" s="180" t="n">
        <v>3</v>
      </c>
      <c r="L241" s="182" t="n">
        <v>45435</v>
      </c>
      <c r="M241" s="182" t="n">
        <v>45799</v>
      </c>
      <c r="N241" s="179" t="n">
        <v>272.07</v>
      </c>
      <c r="O241" s="182" t="n">
        <v>45800</v>
      </c>
      <c r="P241" s="180" t="n">
        <v>241.6</v>
      </c>
      <c r="Q241" s="184">
        <f>IF(OR(N241="",P241=""),"",ROUND((P241-N241)/N241,4))</f>
        <v/>
      </c>
      <c r="R241" s="177">
        <f>IF(OR(N241="",P241=""),"",IF(Q241&gt;Settings!$B$3/100,"UP",IF(Q241&lt;-Settings!$B$3/100,"DOWN","FLAT")))</f>
        <v/>
      </c>
      <c r="S241" s="177">
        <f>IF(OR(N241="",P241="",J241=""),"",IF(OR(AND(J241="BUY",R241="UP"),AND(J241="SELL",R241="DOWN"),AND(J241="HOLD",R241="FLAT")),"YES","NO"))</f>
        <v/>
      </c>
      <c r="T241" s="176">
        <f>IF(J241="","",IF(J241="BUY",1,IF(J241="SELL",-1,0)))</f>
        <v/>
      </c>
      <c r="U241" s="184">
        <f>IFERROR(IF(OR(J241="",N241="",P241=""),"",IF(T241=0,0,T241*Q241-Settings!$B$4/10000-IF(T241&lt;0,Settings!$B$5/10000,0))),"")</f>
        <v/>
      </c>
      <c r="V241" s="190" t="inlineStr">
        <is>
          <t>Workday fiscal year ends in Jan so all releases for FY2025 is released in 2024</t>
        </is>
      </c>
      <c r="W241" s="176">
        <f>IF($K241="","",$K241*60)</f>
        <v/>
      </c>
      <c r="X241" s="186">
        <f>IF($A241="","",$A241&amp;"|"&amp;$C241&amp;"|"&amp;$D241)</f>
        <v/>
      </c>
      <c r="Y241" s="186">
        <f>IFERROR(IF($X241="","",INDEX(LLM_Data_Entry!$H$3:$H$548,MATCH($X241,INDEX(LLM_Data_Entry!$A$3:$A$548&amp;"|"&amp;LLM_Data_Entry!$C$3:$C$548&amp;"|"&amp;LLM_Data_Entry!$D$3:$D$548,0),0))),"")</f>
        <v/>
      </c>
      <c r="Z241" s="186">
        <f>IFERROR(IF($X241="","",INDEX(LLM_Data_Entry!$R$3:$R$548,MATCH($X241,INDEX(LLM_Data_Entry!$A$3:$A$548&amp;"|"&amp;LLM_Data_Entry!$C$3:$C$548&amp;"|"&amp;LLM_Data_Entry!$D$3:$D$548,0),0))),"")</f>
        <v/>
      </c>
      <c r="AA241" s="152" t="n"/>
      <c r="AB241" s="152" t="n"/>
      <c r="AC241" s="152" t="n"/>
      <c r="AD241" s="152" t="n"/>
      <c r="AE241" s="152" t="n"/>
      <c r="AF241" s="152" t="n"/>
      <c r="AG241" s="152" t="n"/>
      <c r="AH241" s="152" t="n"/>
      <c r="AI241" s="152" t="n"/>
      <c r="AJ241" s="152" t="n"/>
      <c r="AK241" s="152" t="n"/>
      <c r="AL241" s="152">
        <f>IF($A241="","",IFERROR(INDEX(Company_List!$G$3:$G$207,MATCH($A241,Company_List!$A$3:$A$207,0)),"unassigned"))</f>
        <v/>
      </c>
      <c r="AM241" s="152" t="inlineStr">
        <is>
          <t>Phase 3/Readings/Workday/Q1/Workday-Announces-Fiscal-2025-First-Quarter-Financial-Results-05-23-2024-2024.pdf</t>
        </is>
      </c>
      <c r="AN241" s="152" t="n"/>
      <c r="AO241" s="152" t="inlineStr">
        <is>
          <t>unique filename match</t>
        </is>
      </c>
      <c r="AP241" s="152">
        <f>IF($A241="","",IF(COUNTIFS(LLM_Data_Entry!$A$3:$A$548,$A241)&gt;0,"YES","NO"))</f>
        <v/>
      </c>
      <c r="AQ241" s="152">
        <f>IF($A241="","",IF(COUNTIFS($A$3:$A241,$A241,$C$3:$C241,$C241,$D$3:$D241,$D241)=1,"YES","NO"))</f>
        <v/>
      </c>
      <c r="AR241" s="152">
        <f>IF($A241="","",IF(AND($C241&amp;"-"&amp;$D241&gt;=Settings!$B$19,$C241&amp;"-"&amp;$D241&lt;=Settings!$B$20),"IN","OUT"))</f>
        <v/>
      </c>
      <c r="AS241" s="152">
        <f>IF($A241="","",IF($F241="Financial Results","financials",IF($F241="Outlook/Guidance","guidance",IF($F241="Transcript Q&amp;A","qanda",IF($F241="","unrecorded",IF($E241="All","full",IF($E241="","unrecorded",LOWER($E241)&amp;" only")))))))</f>
        <v/>
      </c>
      <c r="AT241" s="152">
        <f>IF(AND(OR($J241="BUY",$J241="SELL"),ISNUMBER($U241)),$U241,"")</f>
        <v/>
      </c>
      <c r="AU241" s="152">
        <f>IF(AND(OR($J241="BUY",$J241="SELL"),ISNUMBER($AK241)),$AK241,"")</f>
        <v/>
      </c>
      <c r="AV241" s="152">
        <f>IF(ISNUMBER($AT241),ABS(IF(ISNUMBER($I241),$I241,0)-Settings!$B$24),"")</f>
        <v/>
      </c>
      <c r="AW241" s="152">
        <f>IF(ISNUMBER($AV241),$AV241*$AT241,"")</f>
        <v/>
      </c>
      <c r="AX241" s="152">
        <f>IF(ISNUMBER($AU241),ABS(IF(ISNUMBER($I241),$I241,0)-Settings!$B$24),"")</f>
        <v/>
      </c>
      <c r="AY241" s="152" t="inlineStr">
        <is>
          <t>FROZEN</t>
        </is>
      </c>
      <c r="AZ241" s="152">
        <f>IF($A241="","",IFERROR(INDEX(Company_List!$H$3:$H$207,MATCH($A241,Company_List!$A$3:$A$207,0)),"unassigned"))</f>
        <v/>
      </c>
      <c r="BA241" s="152" t="n">
        <v>1</v>
      </c>
      <c r="BB241" s="152" t="n">
        <v>1</v>
      </c>
      <c r="BC241" s="152">
        <f>IF($A241="","",IF(COUNTIFS($A$3:$A241,$A241,$C$3:$C241,$C241,$D$3:$D241,$D241,$G$3:$G241,$G241)=1,1,0))</f>
        <v/>
      </c>
      <c r="BD241" s="152" t="n">
        <v>3</v>
      </c>
      <c r="BE241" s="152" t="n"/>
      <c r="BF241" s="152" t="n"/>
      <c r="BG241" s="152" t="inlineStr">
        <is>
          <t>no</t>
        </is>
      </c>
      <c r="BH241" s="152" t="n"/>
      <c r="BI241" s="152" t="n"/>
      <c r="BJ241" s="152" t="inlineStr">
        <is>
          <t>Nigel's Notes Phase 3.docx</t>
        </is>
      </c>
      <c r="BK241" s="152">
        <f>IF(OR($H241&lt;&gt;"Human",$S241="",$J241="",$Y241="",$Z241=""),"",IF(EXACT(UPPER($J241),UPPER($Y241)),1,0))</f>
        <v/>
      </c>
      <c r="BL241" s="152" t="inlineStr">
        <is>
          <t>assumed - rater record carries no blindness field</t>
        </is>
      </c>
      <c r="BM241" s="152" t="n">
        <v>1</v>
      </c>
      <c r="BN241" s="152" t="inlineStr">
        <is>
          <t>not publisher-identified</t>
        </is>
      </c>
      <c r="BO241" s="152" t="inlineStr">
        <is>
          <t>not publisher-identified</t>
        </is>
      </c>
      <c r="BP241" s="152" t="inlineStr">
        <is>
          <t>no</t>
        </is>
      </c>
      <c r="BQ241" s="152" t="inlineStr">
        <is>
          <t>no</t>
        </is>
      </c>
      <c r="BR241" s="152" t="n"/>
      <c r="BS241" s="152" t="inlineStr">
        <is>
          <t>YES</t>
        </is>
      </c>
      <c r="BT241" s="152" t="n"/>
    </row>
    <row r="242" ht="15" customHeight="1" s="241">
      <c r="A242" s="191" t="inlineStr">
        <is>
          <t>Workday</t>
        </is>
      </c>
      <c r="B242" s="188">
        <f>IF(A242="","",_xlfn.XLOOKUP(A242, Company_List!$A:$A, Company_List!$B:$B, ""))</f>
        <v/>
      </c>
      <c r="C242" s="177" t="n">
        <v>2025</v>
      </c>
      <c r="D242" s="177" t="inlineStr">
        <is>
          <t>Q2</t>
        </is>
      </c>
      <c r="E242" s="178" t="inlineStr">
        <is>
          <t>Press Release Document</t>
        </is>
      </c>
      <c r="F242" s="178" t="inlineStr">
        <is>
          <t>Financial Results</t>
        </is>
      </c>
      <c r="G242" s="177" t="inlineStr">
        <is>
          <t>Nigel</t>
        </is>
      </c>
      <c r="H242" s="177" t="inlineStr">
        <is>
          <t>Human</t>
        </is>
      </c>
      <c r="I242" s="180" t="n">
        <v>0.8</v>
      </c>
      <c r="J242" s="180">
        <f>IF(OR(I242="",Settings!$B$6=""),"",IF(I242&gt;Settings!$B$6,"BUY",IF(I242&lt;-Settings!$B$6,"SELL","HOLD")))</f>
        <v/>
      </c>
      <c r="K242" s="180" t="n">
        <v>6</v>
      </c>
      <c r="L242" s="182" t="n">
        <v>45526</v>
      </c>
      <c r="M242" s="182" t="n">
        <v>45890</v>
      </c>
      <c r="N242" s="179" t="n">
        <v>227.58</v>
      </c>
      <c r="O242" s="182" t="n">
        <v>45891</v>
      </c>
      <c r="P242" s="180" t="n">
        <v>213.88</v>
      </c>
      <c r="Q242" s="184">
        <f>IF(OR(N242="",P242=""),"",ROUND((P242-N242)/N242,4))</f>
        <v/>
      </c>
      <c r="R242" s="177">
        <f>IF(OR(N242="",P242=""),"",IF(Q242&gt;Settings!$B$3/100,"UP",IF(Q242&lt;-Settings!$B$3/100,"DOWN","FLAT")))</f>
        <v/>
      </c>
      <c r="S242" s="177">
        <f>IF(OR(N242="",P242="",J242=""),"",IF(OR(AND(J242="BUY",R242="UP"),AND(J242="SELL",R242="DOWN"),AND(J242="HOLD",R242="FLAT")),"YES","NO"))</f>
        <v/>
      </c>
      <c r="T242" s="176">
        <f>IF(J242="","",IF(J242="BUY",1,IF(J242="SELL",-1,0)))</f>
        <v/>
      </c>
      <c r="U242" s="184">
        <f>IFERROR(IF(OR(J242="",N242="",P242=""),"",IF(T242=0,0,T242*Q242-Settings!$B$4/10000-IF(T242&lt;0,Settings!$B$5/10000,0))),"")</f>
        <v/>
      </c>
      <c r="V242" s="152" t="n"/>
      <c r="W242" s="176">
        <f>IF($K242="","",$K242*60)</f>
        <v/>
      </c>
      <c r="X242" s="186">
        <f>IF($A242="","",$A242&amp;"|"&amp;$C242&amp;"|"&amp;$D242)</f>
        <v/>
      </c>
      <c r="Y242" s="186">
        <f>IFERROR(IF($X242="","",INDEX(LLM_Data_Entry!$H$3:$H$548,MATCH($X242,INDEX(LLM_Data_Entry!$A$3:$A$548&amp;"|"&amp;LLM_Data_Entry!$C$3:$C$548&amp;"|"&amp;LLM_Data_Entry!$D$3:$D$548,0),0))),"")</f>
        <v/>
      </c>
      <c r="Z242" s="186">
        <f>IFERROR(IF($X242="","",INDEX(LLM_Data_Entry!$R$3:$R$548,MATCH($X242,INDEX(LLM_Data_Entry!$A$3:$A$548&amp;"|"&amp;LLM_Data_Entry!$C$3:$C$548&amp;"|"&amp;LLM_Data_Entry!$D$3:$D$548,0),0))),"")</f>
        <v/>
      </c>
      <c r="AA242" s="152" t="n"/>
      <c r="AB242" s="152" t="n"/>
      <c r="AC242" s="152" t="n"/>
      <c r="AD242" s="152" t="n"/>
      <c r="AE242" s="152" t="n"/>
      <c r="AF242" s="152" t="n"/>
      <c r="AG242" s="152" t="n"/>
      <c r="AH242" s="152" t="n"/>
      <c r="AI242" s="152" t="n"/>
      <c r="AJ242" s="152" t="n"/>
      <c r="AK242" s="152" t="n"/>
      <c r="AL242" s="152">
        <f>IF($A242="","",IFERROR(INDEX(Company_List!$G$3:$G$207,MATCH($A242,Company_List!$A$3:$A$207,0)),"unassigned"))</f>
        <v/>
      </c>
      <c r="AM242" s="152" t="inlineStr">
        <is>
          <t>Phase 3/Readings/Workday/Q2/Workday-Announces-Fiscal-2025-Second-Quarter-Financial-Results-08-22-2024-2024.pdf</t>
        </is>
      </c>
      <c r="AN242" s="152" t="n"/>
      <c r="AO242" s="152" t="inlineStr">
        <is>
          <t>unique filename match</t>
        </is>
      </c>
      <c r="AP242" s="152">
        <f>IF($A242="","",IF(COUNTIFS(LLM_Data_Entry!$A$3:$A$548,$A242)&gt;0,"YES","NO"))</f>
        <v/>
      </c>
      <c r="AQ242" s="152">
        <f>IF($A242="","",IF(COUNTIFS($A$3:$A242,$A242,$C$3:$C242,$C242,$D$3:$D242,$D242)=1,"YES","NO"))</f>
        <v/>
      </c>
      <c r="AR242" s="152">
        <f>IF($A242="","",IF(AND($C242&amp;"-"&amp;$D242&gt;=Settings!$B$19,$C242&amp;"-"&amp;$D242&lt;=Settings!$B$20),"IN","OUT"))</f>
        <v/>
      </c>
      <c r="AS242" s="152">
        <f>IF($A242="","",IF($F242="Financial Results","financials",IF($F242="Outlook/Guidance","guidance",IF($F242="Transcript Q&amp;A","qanda",IF($F242="","unrecorded",IF($E242="All","full",IF($E242="","unrecorded",LOWER($E242)&amp;" only")))))))</f>
        <v/>
      </c>
      <c r="AT242" s="152">
        <f>IF(AND(OR($J242="BUY",$J242="SELL"),ISNUMBER($U242)),$U242,"")</f>
        <v/>
      </c>
      <c r="AU242" s="152">
        <f>IF(AND(OR($J242="BUY",$J242="SELL"),ISNUMBER($AK242)),$AK242,"")</f>
        <v/>
      </c>
      <c r="AV242" s="152">
        <f>IF(ISNUMBER($AT242),ABS(IF(ISNUMBER($I242),$I242,0)-Settings!$B$24),"")</f>
        <v/>
      </c>
      <c r="AW242" s="152">
        <f>IF(ISNUMBER($AV242),$AV242*$AT242,"")</f>
        <v/>
      </c>
      <c r="AX242" s="152">
        <f>IF(ISNUMBER($AU242),ABS(IF(ISNUMBER($I242),$I242,0)-Settings!$B$24),"")</f>
        <v/>
      </c>
      <c r="AY242" s="152" t="inlineStr">
        <is>
          <t>FROZEN</t>
        </is>
      </c>
      <c r="AZ242" s="152">
        <f>IF($A242="","",IFERROR(INDEX(Company_List!$H$3:$H$207,MATCH($A242,Company_List!$A$3:$A$207,0)),"unassigned"))</f>
        <v/>
      </c>
      <c r="BA242" s="152" t="n">
        <v>1</v>
      </c>
      <c r="BB242" s="152" t="n">
        <v>1</v>
      </c>
      <c r="BC242" s="152">
        <f>IF($A242="","",IF(COUNTIFS($A$3:$A242,$A242,$C$3:$C242,$C242,$D$3:$D242,$D242,$G$3:$G242,$G242)=1,1,0))</f>
        <v/>
      </c>
      <c r="BD242" s="152" t="n">
        <v>6</v>
      </c>
      <c r="BE242" s="152" t="n"/>
      <c r="BF242" s="152" t="n"/>
      <c r="BG242" s="152" t="inlineStr">
        <is>
          <t>no</t>
        </is>
      </c>
      <c r="BH242" s="152" t="n"/>
      <c r="BI242" s="152" t="n"/>
      <c r="BJ242" s="152" t="inlineStr">
        <is>
          <t>Nigel's Notes Phase 3.docx</t>
        </is>
      </c>
      <c r="BK242" s="152">
        <f>IF(OR($H242&lt;&gt;"Human",$S242="",$J242="",$Y242="",$Z242=""),"",IF(EXACT(UPPER($J242),UPPER($Y242)),1,0))</f>
        <v/>
      </c>
      <c r="BL242" s="152" t="inlineStr">
        <is>
          <t>assumed - rater record carries no blindness field</t>
        </is>
      </c>
      <c r="BM242" s="152" t="n">
        <v>1</v>
      </c>
      <c r="BN242" s="152" t="inlineStr">
        <is>
          <t>not publisher-identified</t>
        </is>
      </c>
      <c r="BO242" s="152" t="inlineStr">
        <is>
          <t>not publisher-identified</t>
        </is>
      </c>
      <c r="BP242" s="152" t="inlineStr">
        <is>
          <t>no</t>
        </is>
      </c>
      <c r="BQ242" s="152" t="inlineStr">
        <is>
          <t>no</t>
        </is>
      </c>
      <c r="BR242" s="152" t="n"/>
      <c r="BS242" s="152" t="inlineStr">
        <is>
          <t>YES</t>
        </is>
      </c>
      <c r="BT242" s="152" t="n"/>
    </row>
    <row r="243" ht="15" customHeight="1" s="241">
      <c r="A243" s="191" t="inlineStr">
        <is>
          <t>Workday</t>
        </is>
      </c>
      <c r="B243" s="188">
        <f>IF(A243="","",_xlfn.XLOOKUP(A243, Company_List!$A:$A, Company_List!$B:$B, ""))</f>
        <v/>
      </c>
      <c r="C243" s="177" t="n">
        <v>2025</v>
      </c>
      <c r="D243" s="177" t="inlineStr">
        <is>
          <t>Q3</t>
        </is>
      </c>
      <c r="E243" s="178" t="inlineStr">
        <is>
          <t>Transcript</t>
        </is>
      </c>
      <c r="F243" s="178" t="inlineStr">
        <is>
          <t>Transcript Q&amp;A</t>
        </is>
      </c>
      <c r="G243" s="177" t="inlineStr">
        <is>
          <t>Nigel</t>
        </is>
      </c>
      <c r="H243" s="177" t="inlineStr">
        <is>
          <t>Human</t>
        </is>
      </c>
      <c r="I243" s="180" t="n">
        <v>0.9</v>
      </c>
      <c r="J243" s="180">
        <f>IF(OR(I243="",Settings!$B$6=""),"",IF(I243&gt;Settings!$B$6,"BUY",IF(I243&lt;-Settings!$B$6,"SELL","HOLD")))</f>
        <v/>
      </c>
      <c r="K243" s="180" t="n">
        <v>14</v>
      </c>
      <c r="L243" s="182" t="n">
        <v>45622</v>
      </c>
      <c r="M243" s="182" t="n">
        <v>45986</v>
      </c>
      <c r="N243" s="179" t="n">
        <v>233.69</v>
      </c>
      <c r="O243" s="182" t="n">
        <v>45987</v>
      </c>
      <c r="P243" s="180" t="n">
        <v>215.34</v>
      </c>
      <c r="Q243" s="184">
        <f>IF(OR(N243="",P243=""),"",ROUND((P243-N243)/N243,4))</f>
        <v/>
      </c>
      <c r="R243" s="177">
        <f>IF(OR(N243="",P243=""),"",IF(Q243&gt;Settings!$B$3/100,"UP",IF(Q243&lt;-Settings!$B$3/100,"DOWN","FLAT")))</f>
        <v/>
      </c>
      <c r="S243" s="177">
        <f>IF(OR(N243="",P243="",J243=""),"",IF(OR(AND(J243="BUY",R243="UP"),AND(J243="SELL",R243="DOWN"),AND(J243="HOLD",R243="FLAT")),"YES","NO"))</f>
        <v/>
      </c>
      <c r="T243" s="176">
        <f>IF(J243="","",IF(J243="BUY",1,IF(J243="SELL",-1,0)))</f>
        <v/>
      </c>
      <c r="U243" s="184">
        <f>IFERROR(IF(OR(J243="",N243="",P243=""),"",IF(T243=0,0,T243*Q243-Settings!$B$4/10000-IF(T243&lt;0,Settings!$B$5/10000,0))),"")</f>
        <v/>
      </c>
      <c r="V243" s="152" t="n"/>
      <c r="W243" s="176">
        <f>IF($K243="","",$K243*60)</f>
        <v/>
      </c>
      <c r="X243" s="186">
        <f>IF($A243="","",$A243&amp;"|"&amp;$C243&amp;"|"&amp;$D243)</f>
        <v/>
      </c>
      <c r="Y243" s="186">
        <f>IFERROR(IF($X243="","",INDEX(LLM_Data_Entry!$H$3:$H$548,MATCH($X243,INDEX(LLM_Data_Entry!$A$3:$A$548&amp;"|"&amp;LLM_Data_Entry!$C$3:$C$548&amp;"|"&amp;LLM_Data_Entry!$D$3:$D$548,0),0))),"")</f>
        <v/>
      </c>
      <c r="Z243" s="186">
        <f>IFERROR(IF($X243="","",INDEX(LLM_Data_Entry!$R$3:$R$548,MATCH($X243,INDEX(LLM_Data_Entry!$A$3:$A$548&amp;"|"&amp;LLM_Data_Entry!$C$3:$C$548&amp;"|"&amp;LLM_Data_Entry!$D$3:$D$548,0),0))),"")</f>
        <v/>
      </c>
      <c r="AA243" s="152" t="n"/>
      <c r="AB243" s="152" t="n"/>
      <c r="AC243" s="152" t="n"/>
      <c r="AD243" s="152" t="n"/>
      <c r="AE243" s="152" t="n"/>
      <c r="AF243" s="152" t="n"/>
      <c r="AG243" s="152" t="n"/>
      <c r="AH243" s="152" t="n"/>
      <c r="AI243" s="152" t="n"/>
      <c r="AJ243" s="152" t="n"/>
      <c r="AK243" s="152" t="n"/>
      <c r="AL243" s="152">
        <f>IF($A243="","",IFERROR(INDEX(Company_List!$G$3:$G$207,MATCH($A243,Company_List!$A$3:$A$207,0)),"unassigned"))</f>
        <v/>
      </c>
      <c r="AM243" s="152" t="inlineStr">
        <is>
          <t>Phase 3/Readings/Workday/Q3/Transcript : Workday, Inc., Q3 2025 Earnings Call, Nov 26, 2024 | MarketScreener UK.pdf</t>
        </is>
      </c>
      <c r="AN243" s="152" t="n"/>
      <c r="AO243" s="152" t="inlineStr">
        <is>
          <t>unique filename match</t>
        </is>
      </c>
      <c r="AP243" s="152">
        <f>IF($A243="","",IF(COUNTIFS(LLM_Data_Entry!$A$3:$A$548,$A243)&gt;0,"YES","NO"))</f>
        <v/>
      </c>
      <c r="AQ243" s="152">
        <f>IF($A243="","",IF(COUNTIFS($A$3:$A243,$A243,$C$3:$C243,$C243,$D$3:$D243,$D243)=1,"YES","NO"))</f>
        <v/>
      </c>
      <c r="AR243" s="152">
        <f>IF($A243="","",IF(AND($C243&amp;"-"&amp;$D243&gt;=Settings!$B$19,$C243&amp;"-"&amp;$D243&lt;=Settings!$B$20),"IN","OUT"))</f>
        <v/>
      </c>
      <c r="AS243" s="152">
        <f>IF($A243="","",IF($F243="Financial Results","financials",IF($F243="Outlook/Guidance","guidance",IF($F243="Transcript Q&amp;A","qanda",IF($F243="","unrecorded",IF($E243="All","full",IF($E243="","unrecorded",LOWER($E243)&amp;" only")))))))</f>
        <v/>
      </c>
      <c r="AT243" s="152">
        <f>IF(AND(OR($J243="BUY",$J243="SELL"),ISNUMBER($U243)),$U243,"")</f>
        <v/>
      </c>
      <c r="AU243" s="152">
        <f>IF(AND(OR($J243="BUY",$J243="SELL"),ISNUMBER($AK243)),$AK243,"")</f>
        <v/>
      </c>
      <c r="AV243" s="152">
        <f>IF(ISNUMBER($AT243),ABS(IF(ISNUMBER($I243),$I243,0)-Settings!$B$24),"")</f>
        <v/>
      </c>
      <c r="AW243" s="152">
        <f>IF(ISNUMBER($AV243),$AV243*$AT243,"")</f>
        <v/>
      </c>
      <c r="AX243" s="152">
        <f>IF(ISNUMBER($AU243),ABS(IF(ISNUMBER($I243),$I243,0)-Settings!$B$24),"")</f>
        <v/>
      </c>
      <c r="AY243" s="152" t="inlineStr">
        <is>
          <t>FROZEN</t>
        </is>
      </c>
      <c r="AZ243" s="152">
        <f>IF($A243="","",IFERROR(INDEX(Company_List!$H$3:$H$207,MATCH($A243,Company_List!$A$3:$A$207,0)),"unassigned"))</f>
        <v/>
      </c>
      <c r="BA243" s="152" t="n">
        <v>1</v>
      </c>
      <c r="BB243" s="152" t="n">
        <v>1</v>
      </c>
      <c r="BC243" s="152">
        <f>IF($A243="","",IF(COUNTIFS($A$3:$A243,$A243,$C$3:$C243,$C243,$D$3:$D243,$D243,$G$3:$G243,$G243)=1,1,0))</f>
        <v/>
      </c>
      <c r="BD243" s="152" t="n">
        <v>14</v>
      </c>
      <c r="BE243" s="152" t="n"/>
      <c r="BF243" s="152" t="n"/>
      <c r="BG243" s="152" t="inlineStr">
        <is>
          <t>no</t>
        </is>
      </c>
      <c r="BH243" s="152" t="n"/>
      <c r="BI243" s="152" t="n"/>
      <c r="BJ243" s="152" t="inlineStr">
        <is>
          <t>Nigel's Notes Phase 3.docx</t>
        </is>
      </c>
      <c r="BK243" s="152">
        <f>IF(OR($H243&lt;&gt;"Human",$S243="",$J243="",$Y243="",$Z243=""),"",IF(EXACT(UPPER($J243),UPPER($Y243)),1,0))</f>
        <v/>
      </c>
      <c r="BL243" s="152" t="inlineStr">
        <is>
          <t>assumed - rater record carries no blindness field</t>
        </is>
      </c>
      <c r="BM243" s="152" t="n">
        <v>1</v>
      </c>
      <c r="BN243" s="152" t="inlineStr">
        <is>
          <t>MarketScreener (Surperformance SAS)</t>
        </is>
      </c>
      <c r="BO243" s="152" t="inlineStr">
        <is>
          <t>licensed vendor</t>
        </is>
      </c>
      <c r="BP243" s="152" t="inlineStr">
        <is>
          <t>no</t>
        </is>
      </c>
      <c r="BQ243" s="152" t="inlineStr">
        <is>
          <t>no</t>
        </is>
      </c>
      <c r="BR243" s="152" t="n"/>
      <c r="BS243" s="152" t="inlineStr">
        <is>
          <t>YES</t>
        </is>
      </c>
      <c r="BT243" s="152" t="n"/>
    </row>
    <row r="244" ht="15" customHeight="1" s="241">
      <c r="A244" s="191" t="inlineStr">
        <is>
          <t>Workday</t>
        </is>
      </c>
      <c r="B244" s="188">
        <f>IF(A244="","",_xlfn.XLOOKUP(A244, Company_List!$A:$A, Company_List!$B:$B, ""))</f>
        <v/>
      </c>
      <c r="C244" s="177" t="n">
        <v>2025</v>
      </c>
      <c r="D244" s="177" t="inlineStr">
        <is>
          <t>Q4</t>
        </is>
      </c>
      <c r="E244" s="178" t="inlineStr">
        <is>
          <t>All</t>
        </is>
      </c>
      <c r="F244" s="178" t="inlineStr">
        <is>
          <t>All</t>
        </is>
      </c>
      <c r="G244" s="177" t="inlineStr">
        <is>
          <t>Nigel</t>
        </is>
      </c>
      <c r="H244" s="177" t="inlineStr">
        <is>
          <t>Human</t>
        </is>
      </c>
      <c r="I244" s="180" t="n">
        <v>0.8</v>
      </c>
      <c r="J244" s="180">
        <f>IF(OR(I244="",Settings!$B$6=""),"",IF(I244&gt;Settings!$B$6,"BUY",IF(I244&lt;-Settings!$B$6,"SELL","HOLD")))</f>
        <v/>
      </c>
      <c r="K244" s="180" t="n">
        <v>21</v>
      </c>
      <c r="L244" s="182" t="n">
        <v>45713</v>
      </c>
      <c r="M244" s="182" t="n">
        <v>46077</v>
      </c>
      <c r="N244" s="179" t="n">
        <v>130.23</v>
      </c>
      <c r="O244" s="182" t="n">
        <v>46078</v>
      </c>
      <c r="P244" s="180" t="n">
        <v>119.56</v>
      </c>
      <c r="Q244" s="184">
        <f>IF(OR(N244="",P244=""),"",ROUND((P244-N244)/N244,4))</f>
        <v/>
      </c>
      <c r="R244" s="177">
        <f>IF(OR(N244="",P244=""),"",IF(Q244&gt;Settings!$B$3/100,"UP",IF(Q244&lt;-Settings!$B$3/100,"DOWN","FLAT")))</f>
        <v/>
      </c>
      <c r="S244" s="177">
        <f>IF(OR(N244="",P244="",J244=""),"",IF(OR(AND(J244="BUY",R244="UP"),AND(J244="SELL",R244="DOWN"),AND(J244="HOLD",R244="FLAT")),"YES","NO"))</f>
        <v/>
      </c>
      <c r="T244" s="176">
        <f>IF(J244="","",IF(J244="BUY",1,IF(J244="SELL",-1,0)))</f>
        <v/>
      </c>
      <c r="U244" s="184">
        <f>IFERROR(IF(OR(J244="",N244="",P244=""),"",IF(T244=0,0,T244*Q244-Settings!$B$4/10000-IF(T244&lt;0,Settings!$B$5/10000,0))),"")</f>
        <v/>
      </c>
      <c r="V244" s="152" t="n"/>
      <c r="W244" s="176">
        <f>IF($K244="","",$K244*60)</f>
        <v/>
      </c>
      <c r="X244" s="186">
        <f>IF($A244="","",$A244&amp;"|"&amp;$C244&amp;"|"&amp;$D244)</f>
        <v/>
      </c>
      <c r="Y244" s="186">
        <f>IFERROR(IF($X244="","",INDEX(LLM_Data_Entry!$H$3:$H$548,MATCH($X244,INDEX(LLM_Data_Entry!$A$3:$A$548&amp;"|"&amp;LLM_Data_Entry!$C$3:$C$548&amp;"|"&amp;LLM_Data_Entry!$D$3:$D$548,0),0))),"")</f>
        <v/>
      </c>
      <c r="Z244" s="186">
        <f>IFERROR(IF($X244="","",INDEX(LLM_Data_Entry!$R$3:$R$548,MATCH($X244,INDEX(LLM_Data_Entry!$A$3:$A$548&amp;"|"&amp;LLM_Data_Entry!$C$3:$C$548&amp;"|"&amp;LLM_Data_Entry!$D$3:$D$548,0),0))),"")</f>
        <v/>
      </c>
      <c r="AA244" s="152" t="n"/>
      <c r="AB244" s="152" t="n"/>
      <c r="AC244" s="152" t="n"/>
      <c r="AD244" s="152" t="n"/>
      <c r="AE244" s="152" t="n"/>
      <c r="AF244" s="152" t="n"/>
      <c r="AG244" s="152" t="n"/>
      <c r="AH244" s="152" t="n"/>
      <c r="AI244" s="152" t="n"/>
      <c r="AJ244" s="152" t="n"/>
      <c r="AK244" s="152" t="n"/>
      <c r="AL244" s="152">
        <f>IF($A244="","",IFERROR(INDEX(Company_List!$G$3:$G$207,MATCH($A244,Company_List!$A$3:$A$207,0)),"unassigned"))</f>
        <v/>
      </c>
      <c r="AM244" s="152"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N244" s="152" t="n"/>
      <c r="AO244" s="152" t="inlineStr">
        <is>
          <t>whole bundle (Document = All)</t>
        </is>
      </c>
      <c r="AP244" s="152">
        <f>IF($A244="","",IF(COUNTIFS(LLM_Data_Entry!$A$3:$A$548,$A244)&gt;0,"YES","NO"))</f>
        <v/>
      </c>
      <c r="AQ244" s="152">
        <f>IF($A244="","",IF(COUNTIFS($A$3:$A244,$A244,$C$3:$C244,$C244,$D$3:$D244,$D244)=1,"YES","NO"))</f>
        <v/>
      </c>
      <c r="AR244" s="152">
        <f>IF($A244="","",IF(AND($C244&amp;"-"&amp;$D244&gt;=Settings!$B$19,$C244&amp;"-"&amp;$D244&lt;=Settings!$B$20),"IN","OUT"))</f>
        <v/>
      </c>
      <c r="AS244" s="152">
        <f>IF($A244="","",IF($F244="Financial Results","financials",IF($F244="Outlook/Guidance","guidance",IF($F244="Transcript Q&amp;A","qanda",IF($F244="","unrecorded",IF($E244="All","full",IF($E244="","unrecorded",LOWER($E244)&amp;" only")))))))</f>
        <v/>
      </c>
      <c r="AT244" s="152">
        <f>IF(AND(OR($J244="BUY",$J244="SELL"),ISNUMBER($U244)),$U244,"")</f>
        <v/>
      </c>
      <c r="AU244" s="152">
        <f>IF(AND(OR($J244="BUY",$J244="SELL"),ISNUMBER($AK244)),$AK244,"")</f>
        <v/>
      </c>
      <c r="AV244" s="152">
        <f>IF(ISNUMBER($AT244),ABS(IF(ISNUMBER($I244),$I244,0)-Settings!$B$24),"")</f>
        <v/>
      </c>
      <c r="AW244" s="152">
        <f>IF(ISNUMBER($AV244),$AV244*$AT244,"")</f>
        <v/>
      </c>
      <c r="AX244" s="152">
        <f>IF(ISNUMBER($AU244),ABS(IF(ISNUMBER($I244),$I244,0)-Settings!$B$24),"")</f>
        <v/>
      </c>
      <c r="AY244" s="152" t="inlineStr">
        <is>
          <t>FROZEN</t>
        </is>
      </c>
      <c r="AZ244" s="152">
        <f>IF($A244="","",IFERROR(INDEX(Company_List!$H$3:$H$207,MATCH($A244,Company_List!$A$3:$A$207,0)),"unassigned"))</f>
        <v/>
      </c>
      <c r="BA244" s="152" t="n">
        <v>1</v>
      </c>
      <c r="BB244" s="152" t="n">
        <v>1</v>
      </c>
      <c r="BC244" s="152">
        <f>IF($A244="","",IF(COUNTIFS($A$3:$A244,$A244,$C$3:$C244,$C244,$D$3:$D244,$D244,$G$3:$G244,$G244)=1,1,0))</f>
        <v/>
      </c>
      <c r="BD244" s="152" t="n">
        <v>21</v>
      </c>
      <c r="BE244" s="152" t="n"/>
      <c r="BF244" s="152" t="n"/>
      <c r="BG244" s="152" t="inlineStr">
        <is>
          <t>no</t>
        </is>
      </c>
      <c r="BH244" s="152" t="n"/>
      <c r="BI244" s="152" t="n"/>
      <c r="BJ244" s="152" t="inlineStr">
        <is>
          <t>Nigel's Notes Phase 3.docx</t>
        </is>
      </c>
      <c r="BK244" s="152">
        <f>IF(OR($H244&lt;&gt;"Human",$S244="",$J244="",$Y244="",$Z244=""),"",IF(EXACT(UPPER($J244),UPPER($Y244)),1,0))</f>
        <v/>
      </c>
      <c r="BL244" s="152" t="inlineStr">
        <is>
          <t>assumed - rater record carries no blindness field</t>
        </is>
      </c>
      <c r="BM244" s="152" t="n">
        <v>4</v>
      </c>
      <c r="BN244" s="152" t="inlineStr">
        <is>
          <t>MarketScreener (Surperformance SAS)</t>
        </is>
      </c>
      <c r="BO244" s="152" t="inlineStr">
        <is>
          <t>licensed vendor</t>
        </is>
      </c>
      <c r="BP244" s="152" t="inlineStr">
        <is>
          <t>no</t>
        </is>
      </c>
      <c r="BQ244" s="152" t="inlineStr">
        <is>
          <t>no</t>
        </is>
      </c>
      <c r="BR244" s="152" t="n"/>
      <c r="BS244" s="152" t="inlineStr">
        <is>
          <t>YES</t>
        </is>
      </c>
      <c r="BT244" s="152" t="n"/>
    </row>
    <row r="245" ht="15" customHeight="1" s="241">
      <c r="A245" s="191" t="inlineStr">
        <is>
          <t>Booking Holdings</t>
        </is>
      </c>
      <c r="B245" s="188">
        <f>IF(A245="","",_xlfn.XLOOKUP(A245, Company_List!$A:$A, Company_List!$B:$B, ""))</f>
        <v/>
      </c>
      <c r="C245" s="177" t="n">
        <v>2025</v>
      </c>
      <c r="D245" s="177" t="inlineStr">
        <is>
          <t>Q1</t>
        </is>
      </c>
      <c r="E245" s="178" t="inlineStr">
        <is>
          <t>Press Release Document</t>
        </is>
      </c>
      <c r="F245" s="178" t="inlineStr">
        <is>
          <t>Outlook/Guidance</t>
        </is>
      </c>
      <c r="G245" s="177" t="inlineStr">
        <is>
          <t>Nigel</t>
        </is>
      </c>
      <c r="H245" s="177" t="inlineStr">
        <is>
          <t>Human</t>
        </is>
      </c>
      <c r="I245" s="180" t="n">
        <v>0.3</v>
      </c>
      <c r="J245" s="180">
        <f>IF(OR(I245="",Settings!$B$6=""),"",IF(I245&gt;Settings!$B$6,"BUY",IF(I245&lt;-Settings!$B$6,"SELL","HOLD")))</f>
        <v/>
      </c>
      <c r="K245" s="180" t="n">
        <v>4</v>
      </c>
      <c r="L245" s="182" t="n">
        <v>45776</v>
      </c>
      <c r="M245" s="182" t="n">
        <v>45776</v>
      </c>
      <c r="N245" s="179" t="n">
        <v>196.37</v>
      </c>
      <c r="O245" s="182" t="n">
        <v>45777</v>
      </c>
      <c r="P245" s="180" t="n">
        <v>189.29</v>
      </c>
      <c r="Q245" s="184">
        <f>IF(OR(N245="",P245=""),"",ROUND((P245-N245)/N245,4))</f>
        <v/>
      </c>
      <c r="R245" s="177">
        <f>IF(OR(N245="",P245=""),"",IF(Q245&gt;Settings!$B$3/100,"UP",IF(Q245&lt;-Settings!$B$3/100,"DOWN","FLAT")))</f>
        <v/>
      </c>
      <c r="S245" s="177">
        <f>IF(OR(N245="",P245="",J245=""),"",IF(OR(AND(J245="BUY",R245="UP"),AND(J245="SELL",R245="DOWN"),AND(J245="HOLD",R245="FLAT")),"YES","NO"))</f>
        <v/>
      </c>
      <c r="T245" s="176">
        <f>IF(J245="","",IF(J245="BUY",1,IF(J245="SELL",-1,0)))</f>
        <v/>
      </c>
      <c r="U245" s="184">
        <f>IFERROR(IF(OR(J245="",N245="",P245=""),"",IF(T245=0,0,T245*Q245-Settings!$B$4/10000-IF(T245&lt;0,Settings!$B$5/10000,0))),"")</f>
        <v/>
      </c>
      <c r="V245" s="152" t="n"/>
      <c r="W245" s="176">
        <f>IF($K245="","",$K245*60)</f>
        <v/>
      </c>
      <c r="X245" s="186">
        <f>IF($A245="","",$A245&amp;"|"&amp;$C245&amp;"|"&amp;$D245)</f>
        <v/>
      </c>
      <c r="Y245" s="186">
        <f>IFERROR(IF($X245="","",INDEX(LLM_Data_Entry!$H$3:$H$548,MATCH($X245,INDEX(LLM_Data_Entry!$A$3:$A$548&amp;"|"&amp;LLM_Data_Entry!$C$3:$C$548&amp;"|"&amp;LLM_Data_Entry!$D$3:$D$548,0),0))),"")</f>
        <v/>
      </c>
      <c r="Z245" s="186">
        <f>IFERROR(IF($X245="","",INDEX(LLM_Data_Entry!$R$3:$R$548,MATCH($X245,INDEX(LLM_Data_Entry!$A$3:$A$548&amp;"|"&amp;LLM_Data_Entry!$C$3:$C$548&amp;"|"&amp;LLM_Data_Entry!$D$3:$D$548,0),0))),"")</f>
        <v/>
      </c>
      <c r="AA245" s="152" t="n"/>
      <c r="AB245" s="152" t="inlineStr">
        <is>
          <t>price signal, re-derived — only this window shows an abnormal move</t>
        </is>
      </c>
      <c r="AC245" s="152" t="inlineStr">
        <is>
          <t>BKNG</t>
        </is>
      </c>
      <c r="AD245" s="152" t="inlineStr">
        <is>
          <t>2025-04-29</t>
        </is>
      </c>
      <c r="AE245" s="152" t="n">
        <v>194.3869</v>
      </c>
      <c r="AF245" s="152" t="inlineStr">
        <is>
          <t>2025-04-30</t>
        </is>
      </c>
      <c r="AG245" s="152" t="n">
        <v>187.3784</v>
      </c>
      <c r="AH245" s="152" t="n">
        <v>-0.03605460762637903</v>
      </c>
      <c r="AI245" s="152" t="inlineStr">
        <is>
          <t>DOWN</t>
        </is>
      </c>
      <c r="AJ245" s="152" t="inlineStr">
        <is>
          <t>NO</t>
        </is>
      </c>
      <c r="AK245" s="152" t="n">
        <v>-0.037055</v>
      </c>
      <c r="AL245" s="152">
        <f>IF($A245="","",IFERROR(INDEX(Company_List!$G$3:$G$207,MATCH($A245,Company_List!$A$3:$A$207,0)),"unassigned"))</f>
        <v/>
      </c>
      <c r="AM245" s="152" t="inlineStr">
        <is>
          <t>Phase 3/Readings/Booking Holdings/Q1/CORRECTED-TRANSCRIPT_-Booking-Holdings-Inc-BKNG-US-Q1-2025-Earnings-Call-29-April-2025-4_30-PM-ET.pdf</t>
        </is>
      </c>
      <c r="AN245" s="152" t="n"/>
      <c r="AO245" s="152" t="inlineStr">
        <is>
          <t>unique filename match</t>
        </is>
      </c>
      <c r="AP245" s="152">
        <f>IF($A245="","",IF(COUNTIFS(LLM_Data_Entry!$A$3:$A$548,$A245)&gt;0,"YES","NO"))</f>
        <v/>
      </c>
      <c r="AQ245" s="152">
        <f>IF($A245="","",IF(COUNTIFS($A$3:$A245,$A245,$C$3:$C245,$C245,$D$3:$D245,$D245)=1,"YES","NO"))</f>
        <v/>
      </c>
      <c r="AR245" s="152">
        <f>IF($A245="","",IF(AND($C245&amp;"-"&amp;$D245&gt;=Settings!$B$19,$C245&amp;"-"&amp;$D245&lt;=Settings!$B$20),"IN","OUT"))</f>
        <v/>
      </c>
      <c r="AS245" s="152">
        <f>IF($A245="","",IF($F245="Financial Results","financials",IF($F245="Outlook/Guidance","guidance",IF($F245="Transcript Q&amp;A","qanda",IF($F245="","unrecorded",IF($E245="All","full",IF($E245="","unrecorded",LOWER($E245)&amp;" only")))))))</f>
        <v/>
      </c>
      <c r="AT245" s="152">
        <f>IF(AND(OR($J245="BUY",$J245="SELL"),ISNUMBER($U245)),$U245,"")</f>
        <v/>
      </c>
      <c r="AU245" s="152">
        <f>IF(AND(OR($J245="BUY",$J245="SELL"),ISNUMBER($AK245)),$AK245,"")</f>
        <v/>
      </c>
      <c r="AV245" s="152">
        <f>IF(ISNUMBER($AT245),ABS(IF(ISNUMBER($I245),$I245,0)-Settings!$B$24),"")</f>
        <v/>
      </c>
      <c r="AW245" s="152">
        <f>IF(ISNUMBER($AV245),$AV245*$AT245,"")</f>
        <v/>
      </c>
      <c r="AX245" s="152">
        <f>IF(ISNUMBER($AU245),ABS(IF(ISNUMBER($I245),$I245,0)-Settings!$B$24),"")</f>
        <v/>
      </c>
      <c r="AY245" s="152" t="inlineStr">
        <is>
          <t>FROZEN</t>
        </is>
      </c>
      <c r="AZ245" s="152">
        <f>IF($A245="","",IFERROR(INDEX(Company_List!$H$3:$H$207,MATCH($A245,Company_List!$A$3:$A$207,0)),"unassigned"))</f>
        <v/>
      </c>
      <c r="BA245" s="152" t="n">
        <v>1</v>
      </c>
      <c r="BB245" s="152" t="n">
        <v>1</v>
      </c>
      <c r="BC245" s="152">
        <f>IF($A245="","",IF(COUNTIFS($A$3:$A245,$A245,$C$3:$C245,$C245,$D$3:$D245,$D245,$G$3:$G245,$G245)=1,1,0))</f>
        <v/>
      </c>
      <c r="BD245" s="152" t="n">
        <v>4</v>
      </c>
      <c r="BE245" s="152" t="n"/>
      <c r="BF245" s="152" t="n"/>
      <c r="BG245" s="152" t="inlineStr">
        <is>
          <t>no</t>
        </is>
      </c>
      <c r="BH245" s="152" t="n"/>
      <c r="BI245" s="152" t="n"/>
      <c r="BJ245" s="152" t="inlineStr">
        <is>
          <t>Nigel's Notes Phase 3.docx</t>
        </is>
      </c>
      <c r="BK245" s="152">
        <f>IF(OR($H245&lt;&gt;"Human",$S245="",$J245="",$Y245="",$Z245=""),"",IF(EXACT(UPPER($J245),UPPER($Y245)),1,0))</f>
        <v/>
      </c>
      <c r="BL245" s="152" t="inlineStr">
        <is>
          <t>assumed - rater record carries no blindness field</t>
        </is>
      </c>
      <c r="BM245" s="152" t="n">
        <v>1</v>
      </c>
      <c r="BN245" s="152" t="inlineStr">
        <is>
          <t>FactSet CallStreet</t>
        </is>
      </c>
      <c r="BO245" s="152" t="inlineStr">
        <is>
          <t>licensed vendor</t>
        </is>
      </c>
      <c r="BP245" s="152" t="inlineStr">
        <is>
          <t>no</t>
        </is>
      </c>
      <c r="BQ245" s="152" t="inlineStr">
        <is>
          <t>no</t>
        </is>
      </c>
      <c r="BR245" s="152" t="n"/>
      <c r="BS245" s="152" t="inlineStr">
        <is>
          <t>NO</t>
        </is>
      </c>
      <c r="BT245" s="152" t="inlineStr">
        <is>
          <t>human-only event; not in LLM returns_matrix — EDGAR lookup deferred, manual verification required</t>
        </is>
      </c>
    </row>
    <row r="246" ht="15" customHeight="1" s="241">
      <c r="A246" s="191" t="inlineStr">
        <is>
          <t>Booking Holdings</t>
        </is>
      </c>
      <c r="B246" s="188">
        <f>IF(A246="","",_xlfn.XLOOKUP(A246, Company_List!$A:$A, Company_List!$B:$B, ""))</f>
        <v/>
      </c>
      <c r="C246" s="177" t="n">
        <v>2025</v>
      </c>
      <c r="D246" s="177" t="inlineStr">
        <is>
          <t>Q2</t>
        </is>
      </c>
      <c r="E246" s="178" t="inlineStr">
        <is>
          <t>Press Release Document</t>
        </is>
      </c>
      <c r="F246" s="178" t="inlineStr">
        <is>
          <t>Financial Results</t>
        </is>
      </c>
      <c r="G246" s="177" t="inlineStr">
        <is>
          <t>Nigel</t>
        </is>
      </c>
      <c r="H246" s="177" t="inlineStr">
        <is>
          <t>Human</t>
        </is>
      </c>
      <c r="I246" s="180" t="n">
        <v>0.8</v>
      </c>
      <c r="J246" s="180">
        <f>IF(OR(I246="",Settings!$B$6=""),"",IF(I246&gt;Settings!$B$6,"BUY",IF(I246&lt;-Settings!$B$6,"SELL","HOLD")))</f>
        <v/>
      </c>
      <c r="K246" s="180" t="n">
        <v>5</v>
      </c>
      <c r="L246" s="182" t="n">
        <v>45867</v>
      </c>
      <c r="M246" s="182" t="n">
        <v>45867</v>
      </c>
      <c r="N246" s="179" t="n">
        <v>223.6308</v>
      </c>
      <c r="O246" s="182" t="n">
        <v>45868</v>
      </c>
      <c r="P246" s="180" t="n">
        <v>219.6</v>
      </c>
      <c r="Q246" s="184">
        <f>IF(OR(N246="",P246=""),"",ROUND((P246-N246)/N246,4))</f>
        <v/>
      </c>
      <c r="R246" s="177">
        <f>IF(OR(N246="",P246=""),"",IF(Q246&gt;Settings!$B$3/100,"UP",IF(Q246&lt;-Settings!$B$3/100,"DOWN","FLAT")))</f>
        <v/>
      </c>
      <c r="S246" s="177">
        <f>IF(OR(N246="",P246="",J246=""),"",IF(OR(AND(J246="BUY",R246="UP"),AND(J246="SELL",R246="DOWN"),AND(J246="HOLD",R246="FLAT")),"YES","NO"))</f>
        <v/>
      </c>
      <c r="T246" s="176">
        <f>IF(J246="","",IF(J246="BUY",1,IF(J246="SELL",-1,0)))</f>
        <v/>
      </c>
      <c r="U246" s="184">
        <f>IFERROR(IF(OR(J246="",N246="",P246=""),"",IF(T246=0,0,T246*Q246-Settings!$B$4/10000-IF(T246&lt;0,Settings!$B$5/10000,0))),"")</f>
        <v/>
      </c>
      <c r="V246" s="152" t="n"/>
      <c r="W246" s="176">
        <f>IF($K246="","",$K246*60)</f>
        <v/>
      </c>
      <c r="X246" s="186">
        <f>IF($A246="","",$A246&amp;"|"&amp;$C246&amp;"|"&amp;$D246)</f>
        <v/>
      </c>
      <c r="Y246" s="186">
        <f>IFERROR(IF($X246="","",INDEX(LLM_Data_Entry!$H$3:$H$548,MATCH($X246,INDEX(LLM_Data_Entry!$A$3:$A$548&amp;"|"&amp;LLM_Data_Entry!$C$3:$C$548&amp;"|"&amp;LLM_Data_Entry!$D$3:$D$548,0),0))),"")</f>
        <v/>
      </c>
      <c r="Z246" s="186">
        <f>IFERROR(IF($X246="","",INDEX(LLM_Data_Entry!$R$3:$R$548,MATCH($X246,INDEX(LLM_Data_Entry!$A$3:$A$548&amp;"|"&amp;LLM_Data_Entry!$C$3:$C$548&amp;"|"&amp;LLM_Data_Entry!$D$3:$D$548,0),0))),"")</f>
        <v/>
      </c>
      <c r="AA246" s="152" t="n"/>
      <c r="AB246" s="152" t="inlineStr">
        <is>
          <t>release date + stated time in the document (rater worksheet)</t>
        </is>
      </c>
      <c r="AC246" s="152" t="inlineStr">
        <is>
          <t>BKNG</t>
        </is>
      </c>
      <c r="AD246" s="152" t="inlineStr">
        <is>
          <t>2025-07-29</t>
        </is>
      </c>
      <c r="AE246" s="152" t="n">
        <v>221.7555</v>
      </c>
      <c r="AF246" s="152" t="inlineStr">
        <is>
          <t>2025-07-30</t>
        </is>
      </c>
      <c r="AG246" s="152" t="n">
        <v>217.7585</v>
      </c>
      <c r="AH246" s="152" t="n">
        <v>-0.01802440648764589</v>
      </c>
      <c r="AI246" s="152" t="inlineStr">
        <is>
          <t>FLAT</t>
        </is>
      </c>
      <c r="AJ246" s="152" t="inlineStr">
        <is>
          <t>NO</t>
        </is>
      </c>
      <c r="AK246" s="152" t="n">
        <v>-0.019024</v>
      </c>
      <c r="AL246" s="152">
        <f>IF($A246="","",IFERROR(INDEX(Company_List!$G$3:$G$207,MATCH($A246,Company_List!$A$3:$A$207,0)),"unassigned"))</f>
        <v/>
      </c>
      <c r="AM246" s="152" t="inlineStr">
        <is>
          <t>Phase 3/Readings/Booking Holdings/Q2/Booking-Holdings-Inc-BKNG-US-Q2-2025-Earnings-Call-29-July-2025-4_30-PM-ET.pdf</t>
        </is>
      </c>
      <c r="AN246" s="152" t="n"/>
      <c r="AO246" s="152" t="inlineStr">
        <is>
          <t>unique filename match</t>
        </is>
      </c>
      <c r="AP246" s="152">
        <f>IF($A246="","",IF(COUNTIFS(LLM_Data_Entry!$A$3:$A$548,$A246)&gt;0,"YES","NO"))</f>
        <v/>
      </c>
      <c r="AQ246" s="152">
        <f>IF($A246="","",IF(COUNTIFS($A$3:$A246,$A246,$C$3:$C246,$C246,$D$3:$D246,$D246)=1,"YES","NO"))</f>
        <v/>
      </c>
      <c r="AR246" s="152">
        <f>IF($A246="","",IF(AND($C246&amp;"-"&amp;$D246&gt;=Settings!$B$19,$C246&amp;"-"&amp;$D246&lt;=Settings!$B$20),"IN","OUT"))</f>
        <v/>
      </c>
      <c r="AS246" s="152">
        <f>IF($A246="","",IF($F246="Financial Results","financials",IF($F246="Outlook/Guidance","guidance",IF($F246="Transcript Q&amp;A","qanda",IF($F246="","unrecorded",IF($E246="All","full",IF($E246="","unrecorded",LOWER($E246)&amp;" only")))))))</f>
        <v/>
      </c>
      <c r="AT246" s="152">
        <f>IF(AND(OR($J246="BUY",$J246="SELL"),ISNUMBER($U246)),$U246,"")</f>
        <v/>
      </c>
      <c r="AU246" s="152">
        <f>IF(AND(OR($J246="BUY",$J246="SELL"),ISNUMBER($AK246)),$AK246,"")</f>
        <v/>
      </c>
      <c r="AV246" s="152">
        <f>IF(ISNUMBER($AT246),ABS(IF(ISNUMBER($I246),$I246,0)-Settings!$B$24),"")</f>
        <v/>
      </c>
      <c r="AW246" s="152">
        <f>IF(ISNUMBER($AV246),$AV246*$AT246,"")</f>
        <v/>
      </c>
      <c r="AX246" s="152">
        <f>IF(ISNUMBER($AU246),ABS(IF(ISNUMBER($I246),$I246,0)-Settings!$B$24),"")</f>
        <v/>
      </c>
      <c r="AY246" s="152" t="inlineStr">
        <is>
          <t>FROZEN</t>
        </is>
      </c>
      <c r="AZ246" s="152">
        <f>IF($A246="","",IFERROR(INDEX(Company_List!$H$3:$H$207,MATCH($A246,Company_List!$A$3:$A$207,0)),"unassigned"))</f>
        <v/>
      </c>
      <c r="BA246" s="152" t="n">
        <v>1</v>
      </c>
      <c r="BB246" s="152" t="n">
        <v>1</v>
      </c>
      <c r="BC246" s="152">
        <f>IF($A246="","",IF(COUNTIFS($A$3:$A246,$A246,$C$3:$C246,$C246,$D$3:$D246,$D246,$G$3:$G246,$G246)=1,1,0))</f>
        <v/>
      </c>
      <c r="BD246" s="152" t="n">
        <v>5</v>
      </c>
      <c r="BE246" s="152" t="n"/>
      <c r="BF246" s="152" t="n"/>
      <c r="BG246" s="152" t="inlineStr">
        <is>
          <t>no</t>
        </is>
      </c>
      <c r="BH246" s="152" t="n"/>
      <c r="BI246" s="152" t="n"/>
      <c r="BJ246" s="152" t="inlineStr">
        <is>
          <t>Nigel's Notes Phase 3.docx</t>
        </is>
      </c>
      <c r="BK246" s="152">
        <f>IF(OR($H246&lt;&gt;"Human",$S246="",$J246="",$Y246="",$Z246=""),"",IF(EXACT(UPPER($J246),UPPER($Y246)),1,0))</f>
        <v/>
      </c>
      <c r="BL246" s="152" t="inlineStr">
        <is>
          <t>assumed - rater record carries no blindness field</t>
        </is>
      </c>
      <c r="BM246" s="152" t="n">
        <v>1</v>
      </c>
      <c r="BN246" s="152" t="inlineStr">
        <is>
          <t>FactSet CallStreet</t>
        </is>
      </c>
      <c r="BO246" s="152" t="inlineStr">
        <is>
          <t>licensed vendor</t>
        </is>
      </c>
      <c r="BP246" s="152" t="inlineStr">
        <is>
          <t>no</t>
        </is>
      </c>
      <c r="BQ246" s="152" t="inlineStr">
        <is>
          <t>no</t>
        </is>
      </c>
      <c r="BR246" s="152" t="n"/>
      <c r="BS246" s="152" t="inlineStr">
        <is>
          <t>YES</t>
        </is>
      </c>
      <c r="BT246" s="152" t="n"/>
    </row>
    <row r="247" ht="15" customHeight="1" s="241">
      <c r="A247" s="191" t="inlineStr">
        <is>
          <t>Booking Holdings</t>
        </is>
      </c>
      <c r="B247" s="188">
        <f>IF(A247="","",_xlfn.XLOOKUP(A247, Company_List!$A:$A, Company_List!$B:$B, ""))</f>
        <v/>
      </c>
      <c r="C247" s="177" t="n">
        <v>2025</v>
      </c>
      <c r="D247" s="177" t="inlineStr">
        <is>
          <t>Q3</t>
        </is>
      </c>
      <c r="E247" s="178" t="inlineStr">
        <is>
          <t>Transcript</t>
        </is>
      </c>
      <c r="F247" s="178" t="inlineStr">
        <is>
          <t>Transcript Q&amp;A</t>
        </is>
      </c>
      <c r="G247" s="177" t="inlineStr">
        <is>
          <t>Nigel</t>
        </is>
      </c>
      <c r="H247" s="177" t="inlineStr">
        <is>
          <t>Human</t>
        </is>
      </c>
      <c r="I247" s="180" t="n">
        <v>0.6</v>
      </c>
      <c r="J247" s="180">
        <f>IF(OR(I247="",Settings!$B$6=""),"",IF(I247&gt;Settings!$B$6,"BUY",IF(I247&lt;-Settings!$B$6,"SELL","HOLD")))</f>
        <v/>
      </c>
      <c r="K247" s="180" t="n">
        <v>15</v>
      </c>
      <c r="L247" s="182" t="n">
        <v>45958</v>
      </c>
      <c r="M247" s="182" t="n">
        <v>45958</v>
      </c>
      <c r="N247" s="179" t="n">
        <v>204.8228</v>
      </c>
      <c r="O247" s="182" t="n">
        <v>45959</v>
      </c>
      <c r="P247" s="180" t="n">
        <v>208</v>
      </c>
      <c r="Q247" s="184">
        <f>IF(OR(N247="",P247=""),"",ROUND((P247-N247)/N247,4))</f>
        <v/>
      </c>
      <c r="R247" s="177">
        <f>IF(OR(N247="",P247=""),"",IF(Q247&gt;Settings!$B$3/100,"UP",IF(Q247&lt;-Settings!$B$3/100,"DOWN","FLAT")))</f>
        <v/>
      </c>
      <c r="S247" s="177">
        <f>IF(OR(N247="",P247="",J247=""),"",IF(OR(AND(J247="BUY",R247="UP"),AND(J247="SELL",R247="DOWN"),AND(J247="HOLD",R247="FLAT")),"YES","NO"))</f>
        <v/>
      </c>
      <c r="T247" s="176">
        <f>IF(J247="","",IF(J247="BUY",1,IF(J247="SELL",-1,0)))</f>
        <v/>
      </c>
      <c r="U247" s="184">
        <f>IFERROR(IF(OR(J247="",N247="",P247=""),"",IF(T247=0,0,T247*Q247-Settings!$B$4/10000-IF(T247&lt;0,Settings!$B$5/10000,0))),"")</f>
        <v/>
      </c>
      <c r="V247" s="152" t="n"/>
      <c r="W247" s="176">
        <f>IF($K247="","",$K247*60)</f>
        <v/>
      </c>
      <c r="X247" s="186">
        <f>IF($A247="","",$A247&amp;"|"&amp;$C247&amp;"|"&amp;$D247)</f>
        <v/>
      </c>
      <c r="Y247" s="186">
        <f>IFERROR(IF($X247="","",INDEX(LLM_Data_Entry!$H$3:$H$548,MATCH($X247,INDEX(LLM_Data_Entry!$A$3:$A$548&amp;"|"&amp;LLM_Data_Entry!$C$3:$C$548&amp;"|"&amp;LLM_Data_Entry!$D$3:$D$548,0),0))),"")</f>
        <v/>
      </c>
      <c r="Z247" s="186">
        <f>IFERROR(IF($X247="","",INDEX(LLM_Data_Entry!$R$3:$R$548,MATCH($X247,INDEX(LLM_Data_Entry!$A$3:$A$548&amp;"|"&amp;LLM_Data_Entry!$C$3:$C$548&amp;"|"&amp;LLM_Data_Entry!$D$3:$D$548,0),0))),"")</f>
        <v/>
      </c>
      <c r="AA247" s="152" t="n"/>
      <c r="AB247" s="152" t="inlineStr">
        <is>
          <t>release date + stated time in the document (rater worksheet)</t>
        </is>
      </c>
      <c r="AC247" s="152" t="inlineStr">
        <is>
          <t>BKNG</t>
        </is>
      </c>
      <c r="AD247" s="152" t="inlineStr">
        <is>
          <t>2025-10-28</t>
        </is>
      </c>
      <c r="AE247" s="152" t="n">
        <v>203.4549</v>
      </c>
      <c r="AF247" s="152" t="inlineStr">
        <is>
          <t>2025-10-29</t>
        </is>
      </c>
      <c r="AG247" s="152" t="n">
        <v>206.6113</v>
      </c>
      <c r="AH247" s="152" t="n">
        <v>0.01551397903404391</v>
      </c>
      <c r="AI247" s="152" t="inlineStr">
        <is>
          <t>FLAT</t>
        </is>
      </c>
      <c r="AJ247" s="152" t="inlineStr">
        <is>
          <t>NO</t>
        </is>
      </c>
      <c r="AK247" s="152" t="n">
        <v>0.014514</v>
      </c>
      <c r="AL247" s="152">
        <f>IF($A247="","",IFERROR(INDEX(Company_List!$G$3:$G$207,MATCH($A247,Company_List!$A$3:$A$207,0)),"unassigned"))</f>
        <v/>
      </c>
      <c r="AM247" s="152" t="inlineStr">
        <is>
          <t>Phase 3/Readings/Booking Holdings/Q3/CORRECTED-TRANSCRIPT_-Booking-Holdings-Inc-BKNG-US-Q3-2025-Earnings-Call-28-October-2025-4_30-PM-ET.pdf</t>
        </is>
      </c>
      <c r="AN247" s="152" t="n"/>
      <c r="AO247" s="152" t="inlineStr">
        <is>
          <t>unique filename match</t>
        </is>
      </c>
      <c r="AP247" s="152">
        <f>IF($A247="","",IF(COUNTIFS(LLM_Data_Entry!$A$3:$A$548,$A247)&gt;0,"YES","NO"))</f>
        <v/>
      </c>
      <c r="AQ247" s="152">
        <f>IF($A247="","",IF(COUNTIFS($A$3:$A247,$A247,$C$3:$C247,$C247,$D$3:$D247,$D247)=1,"YES","NO"))</f>
        <v/>
      </c>
      <c r="AR247" s="152">
        <f>IF($A247="","",IF(AND($C247&amp;"-"&amp;$D247&gt;=Settings!$B$19,$C247&amp;"-"&amp;$D247&lt;=Settings!$B$20),"IN","OUT"))</f>
        <v/>
      </c>
      <c r="AS247" s="152">
        <f>IF($A247="","",IF($F247="Financial Results","financials",IF($F247="Outlook/Guidance","guidance",IF($F247="Transcript Q&amp;A","qanda",IF($F247="","unrecorded",IF($E247="All","full",IF($E247="","unrecorded",LOWER($E247)&amp;" only")))))))</f>
        <v/>
      </c>
      <c r="AT247" s="152">
        <f>IF(AND(OR($J247="BUY",$J247="SELL"),ISNUMBER($U247)),$U247,"")</f>
        <v/>
      </c>
      <c r="AU247" s="152">
        <f>IF(AND(OR($J247="BUY",$J247="SELL"),ISNUMBER($AK247)),$AK247,"")</f>
        <v/>
      </c>
      <c r="AV247" s="152">
        <f>IF(ISNUMBER($AT247),ABS(IF(ISNUMBER($I247),$I247,0)-Settings!$B$24),"")</f>
        <v/>
      </c>
      <c r="AW247" s="152">
        <f>IF(ISNUMBER($AV247),$AV247*$AT247,"")</f>
        <v/>
      </c>
      <c r="AX247" s="152">
        <f>IF(ISNUMBER($AU247),ABS(IF(ISNUMBER($I247),$I247,0)-Settings!$B$24),"")</f>
        <v/>
      </c>
      <c r="AY247" s="152" t="inlineStr">
        <is>
          <t>FROZEN</t>
        </is>
      </c>
      <c r="AZ247" s="152">
        <f>IF($A247="","",IFERROR(INDEX(Company_List!$H$3:$H$207,MATCH($A247,Company_List!$A$3:$A$207,0)),"unassigned"))</f>
        <v/>
      </c>
      <c r="BA247" s="152" t="n">
        <v>1</v>
      </c>
      <c r="BB247" s="152" t="n">
        <v>1</v>
      </c>
      <c r="BC247" s="152">
        <f>IF($A247="","",IF(COUNTIFS($A$3:$A247,$A247,$C$3:$C247,$C247,$D$3:$D247,$D247,$G$3:$G247,$G247)=1,1,0))</f>
        <v/>
      </c>
      <c r="BD247" s="152" t="n">
        <v>15</v>
      </c>
      <c r="BE247" s="152" t="n"/>
      <c r="BF247" s="152" t="n"/>
      <c r="BG247" s="152" t="inlineStr">
        <is>
          <t>no</t>
        </is>
      </c>
      <c r="BH247" s="152" t="n"/>
      <c r="BI247" s="152" t="n"/>
      <c r="BJ247" s="152" t="inlineStr">
        <is>
          <t>Nigel's Notes Phase 3.docx</t>
        </is>
      </c>
      <c r="BK247" s="152">
        <f>IF(OR($H247&lt;&gt;"Human",$S247="",$J247="",$Y247="",$Z247=""),"",IF(EXACT(UPPER($J247),UPPER($Y247)),1,0))</f>
        <v/>
      </c>
      <c r="BL247" s="152" t="inlineStr">
        <is>
          <t>assumed - rater record carries no blindness field</t>
        </is>
      </c>
      <c r="BM247" s="152" t="n">
        <v>1</v>
      </c>
      <c r="BN247" s="152" t="inlineStr">
        <is>
          <t>FactSet CallStreet</t>
        </is>
      </c>
      <c r="BO247" s="152" t="inlineStr">
        <is>
          <t>licensed vendor</t>
        </is>
      </c>
      <c r="BP247" s="152" t="inlineStr">
        <is>
          <t>no</t>
        </is>
      </c>
      <c r="BQ247" s="152" t="inlineStr">
        <is>
          <t>no</t>
        </is>
      </c>
      <c r="BR247" s="152" t="n"/>
      <c r="BS247" s="152" t="inlineStr">
        <is>
          <t>YES</t>
        </is>
      </c>
      <c r="BT247" s="152" t="n"/>
    </row>
    <row r="248" ht="15" customHeight="1" s="241">
      <c r="A248" s="191" t="inlineStr">
        <is>
          <t>Booking Holdings</t>
        </is>
      </c>
      <c r="B248" s="188">
        <f>IF(A248="","",_xlfn.XLOOKUP(A248, Company_List!$A:$A, Company_List!$B:$B, ""))</f>
        <v/>
      </c>
      <c r="C248" s="177" t="n">
        <v>2025</v>
      </c>
      <c r="D248" s="177" t="inlineStr">
        <is>
          <t>Q4</t>
        </is>
      </c>
      <c r="E248" s="178" t="inlineStr">
        <is>
          <t>All</t>
        </is>
      </c>
      <c r="F248" s="178" t="inlineStr">
        <is>
          <t>All</t>
        </is>
      </c>
      <c r="G248" s="177" t="inlineStr">
        <is>
          <t>Nigel</t>
        </is>
      </c>
      <c r="H248" s="177" t="inlineStr">
        <is>
          <t>Human</t>
        </is>
      </c>
      <c r="I248" s="180" t="n">
        <v>0.7</v>
      </c>
      <c r="J248" s="180">
        <f>IF(OR(I248="",Settings!$B$6=""),"",IF(I248&gt;Settings!$B$6,"BUY",IF(I248&lt;-Settings!$B$6,"SELL","HOLD")))</f>
        <v/>
      </c>
      <c r="K248" s="180" t="n">
        <v>24</v>
      </c>
      <c r="L248" s="182" t="n">
        <v>46071</v>
      </c>
      <c r="M248" s="182" t="n">
        <v>46071</v>
      </c>
      <c r="N248" s="179" t="n">
        <v>170.7996</v>
      </c>
      <c r="O248" s="182" t="n">
        <v>46072</v>
      </c>
      <c r="P248" s="180" t="n">
        <v>163.55</v>
      </c>
      <c r="Q248" s="184">
        <f>IF(OR(N248="",P248=""),"",ROUND((P248-N248)/N248,4))</f>
        <v/>
      </c>
      <c r="R248" s="177">
        <f>IF(OR(N248="",P248=""),"",IF(Q248&gt;Settings!$B$3/100,"UP",IF(Q248&lt;-Settings!$B$3/100,"DOWN","FLAT")))</f>
        <v/>
      </c>
      <c r="S248" s="177">
        <f>IF(OR(N248="",P248="",J248=""),"",IF(OR(AND(J248="BUY",R248="UP"),AND(J248="SELL",R248="DOWN"),AND(J248="HOLD",R248="FLAT")),"YES","NO"))</f>
        <v/>
      </c>
      <c r="T248" s="176">
        <f>IF(J248="","",IF(J248="BUY",1,IF(J248="SELL",-1,0)))</f>
        <v/>
      </c>
      <c r="U248" s="184">
        <f>IFERROR(IF(OR(J248="",N248="",P248=""),"",IF(T248=0,0,T248*Q248-Settings!$B$4/10000-IF(T248&lt;0,Settings!$B$5/10000,0))),"")</f>
        <v/>
      </c>
      <c r="V248" s="152" t="n"/>
      <c r="W248" s="176">
        <f>IF($K248="","",$K248*60)</f>
        <v/>
      </c>
      <c r="X248" s="186">
        <f>IF($A248="","",$A248&amp;"|"&amp;$C248&amp;"|"&amp;$D248)</f>
        <v/>
      </c>
      <c r="Y248" s="186">
        <f>IFERROR(IF($X248="","",INDEX(LLM_Data_Entry!$H$3:$H$548,MATCH($X248,INDEX(LLM_Data_Entry!$A$3:$A$548&amp;"|"&amp;LLM_Data_Entry!$C$3:$C$548&amp;"|"&amp;LLM_Data_Entry!$D$3:$D$548,0),0))),"")</f>
        <v/>
      </c>
      <c r="Z248" s="186">
        <f>IFERROR(IF($X248="","",INDEX(LLM_Data_Entry!$R$3:$R$548,MATCH($X248,INDEX(LLM_Data_Entry!$A$3:$A$548&amp;"|"&amp;LLM_Data_Entry!$C$3:$C$548&amp;"|"&amp;LLM_Data_Entry!$D$3:$D$548,0),0))),"")</f>
        <v/>
      </c>
      <c r="AA248" s="152" t="n"/>
      <c r="AB248" s="152" t="inlineStr">
        <is>
          <t>release date + stated time in the document (rater worksheet)</t>
        </is>
      </c>
      <c r="AC248" s="152" t="inlineStr">
        <is>
          <t>BKNG</t>
        </is>
      </c>
      <c r="AD248" s="152" t="inlineStr">
        <is>
          <t>2026-02-18</t>
        </is>
      </c>
      <c r="AE248" s="152" t="n">
        <v>169.9835</v>
      </c>
      <c r="AF248" s="152" t="inlineStr">
        <is>
          <t>2026-02-19</t>
        </is>
      </c>
      <c r="AG248" s="152" t="n">
        <v>162.7733</v>
      </c>
      <c r="AH248" s="152" t="n">
        <v>-0.04241706599239561</v>
      </c>
      <c r="AI248" s="152" t="inlineStr">
        <is>
          <t>DOWN</t>
        </is>
      </c>
      <c r="AJ248" s="152" t="inlineStr">
        <is>
          <t>NO</t>
        </is>
      </c>
      <c r="AK248" s="152" t="n">
        <v>-0.043417</v>
      </c>
      <c r="AL248" s="152">
        <f>IF($A248="","",IFERROR(INDEX(Company_List!$G$3:$G$207,MATCH($A248,Company_List!$A$3:$A$207,0)),"unassigned"))</f>
        <v/>
      </c>
      <c r="AM248" s="152" t="inlineStr">
        <is>
          <t>Phase 3/Readings/Booking Holdings/Q4/CORRECTED-TRANSCRIPT_-Booking-Holdings-Inc-BKNG-US-Q4-2025-Earnings-Call-18-February-2026-4_30-PM-ET.pdf</t>
        </is>
      </c>
      <c r="AN248" s="152" t="n"/>
      <c r="AO248" s="152" t="inlineStr">
        <is>
          <t>unique filename match</t>
        </is>
      </c>
      <c r="AP248" s="152">
        <f>IF($A248="","",IF(COUNTIFS(LLM_Data_Entry!$A$3:$A$548,$A248)&gt;0,"YES","NO"))</f>
        <v/>
      </c>
      <c r="AQ248" s="152">
        <f>IF($A248="","",IF(COUNTIFS($A$3:$A248,$A248,$C$3:$C248,$C248,$D$3:$D248,$D248)=1,"YES","NO"))</f>
        <v/>
      </c>
      <c r="AR248" s="152">
        <f>IF($A248="","",IF(AND($C248&amp;"-"&amp;$D248&gt;=Settings!$B$19,$C248&amp;"-"&amp;$D248&lt;=Settings!$B$20),"IN","OUT"))</f>
        <v/>
      </c>
      <c r="AS248" s="152">
        <f>IF($A248="","",IF($F248="Financial Results","financials",IF($F248="Outlook/Guidance","guidance",IF($F248="Transcript Q&amp;A","qanda",IF($F248="","unrecorded",IF($E248="All","full",IF($E248="","unrecorded",LOWER($E248)&amp;" only")))))))</f>
        <v/>
      </c>
      <c r="AT248" s="152">
        <f>IF(AND(OR($J248="BUY",$J248="SELL"),ISNUMBER($U248)),$U248,"")</f>
        <v/>
      </c>
      <c r="AU248" s="152">
        <f>IF(AND(OR($J248="BUY",$J248="SELL"),ISNUMBER($AK248)),$AK248,"")</f>
        <v/>
      </c>
      <c r="AV248" s="152">
        <f>IF(ISNUMBER($AT248),ABS(IF(ISNUMBER($I248),$I248,0)-Settings!$B$24),"")</f>
        <v/>
      </c>
      <c r="AW248" s="152">
        <f>IF(ISNUMBER($AV248),$AV248*$AT248,"")</f>
        <v/>
      </c>
      <c r="AX248" s="152">
        <f>IF(ISNUMBER($AU248),ABS(IF(ISNUMBER($I248),$I248,0)-Settings!$B$24),"")</f>
        <v/>
      </c>
      <c r="AY248" s="152" t="inlineStr">
        <is>
          <t>FROZEN</t>
        </is>
      </c>
      <c r="AZ248" s="152">
        <f>IF($A248="","",IFERROR(INDEX(Company_List!$H$3:$H$207,MATCH($A248,Company_List!$A$3:$A$207,0)),"unassigned"))</f>
        <v/>
      </c>
      <c r="BA248" s="152" t="n">
        <v>1</v>
      </c>
      <c r="BB248" s="152" t="n">
        <v>1</v>
      </c>
      <c r="BC248" s="152">
        <f>IF($A248="","",IF(COUNTIFS($A$3:$A248,$A248,$C$3:$C248,$C248,$D$3:$D248,$D248,$G$3:$G248,$G248)=1,1,0))</f>
        <v/>
      </c>
      <c r="BD248" s="152" t="n">
        <v>24</v>
      </c>
      <c r="BE248" s="152" t="n"/>
      <c r="BF248" s="152" t="n"/>
      <c r="BG248" s="152" t="inlineStr">
        <is>
          <t>no</t>
        </is>
      </c>
      <c r="BH248" s="152" t="n"/>
      <c r="BI248" s="152" t="n"/>
      <c r="BJ248" s="152" t="inlineStr">
        <is>
          <t>Nigel's Notes Phase 3.docx</t>
        </is>
      </c>
      <c r="BK248" s="152">
        <f>IF(OR($H248&lt;&gt;"Human",$S248="",$J248="",$Y248="",$Z248=""),"",IF(EXACT(UPPER($J248),UPPER($Y248)),1,0))</f>
        <v/>
      </c>
      <c r="BL248" s="152" t="inlineStr">
        <is>
          <t>assumed - rater record carries no blindness field</t>
        </is>
      </c>
      <c r="BM248" s="152" t="n">
        <v>1</v>
      </c>
      <c r="BN248" s="152" t="inlineStr">
        <is>
          <t>FactSet CallStreet</t>
        </is>
      </c>
      <c r="BO248" s="152" t="inlineStr">
        <is>
          <t>licensed vendor</t>
        </is>
      </c>
      <c r="BP248" s="152" t="inlineStr">
        <is>
          <t>no</t>
        </is>
      </c>
      <c r="BQ248" s="152" t="inlineStr">
        <is>
          <t>no</t>
        </is>
      </c>
      <c r="BR248" s="152" t="n"/>
      <c r="BS248" s="152" t="inlineStr">
        <is>
          <t>YES</t>
        </is>
      </c>
      <c r="BT248" s="152" t="n"/>
    </row>
    <row r="249" ht="15" customHeight="1" s="241">
      <c r="A249" s="191" t="inlineStr">
        <is>
          <t>Allianz</t>
        </is>
      </c>
      <c r="B249" s="188">
        <f>IF(A249="","",_xlfn.XLOOKUP(A249, Company_List!$A:$A, Company_List!$B:$B, ""))</f>
        <v/>
      </c>
      <c r="C249" s="177" t="n">
        <v>2025</v>
      </c>
      <c r="D249" s="177" t="inlineStr">
        <is>
          <t>Q1</t>
        </is>
      </c>
      <c r="E249" s="178" t="inlineStr">
        <is>
          <t>Transcript</t>
        </is>
      </c>
      <c r="F249" s="178" t="inlineStr">
        <is>
          <t>Transcript Q&amp;A</t>
        </is>
      </c>
      <c r="G249" s="177" t="inlineStr">
        <is>
          <t>Nigel</t>
        </is>
      </c>
      <c r="H249" s="177" t="inlineStr">
        <is>
          <t>Human</t>
        </is>
      </c>
      <c r="I249" s="180" t="n">
        <v>0.3</v>
      </c>
      <c r="J249" s="180">
        <f>IF(OR(I249="",Settings!$B$6=""),"",IF(I249&gt;Settings!$B$6,"BUY",IF(I249&lt;-Settings!$B$6,"SELL","HOLD")))</f>
        <v/>
      </c>
      <c r="K249" s="180" t="n">
        <v>12</v>
      </c>
      <c r="L249" s="182" t="n">
        <v>45792</v>
      </c>
      <c r="M249" s="182" t="n">
        <v>45792</v>
      </c>
      <c r="N249" s="179" t="n">
        <v>348.2</v>
      </c>
      <c r="O249" s="182" t="n">
        <v>45793</v>
      </c>
      <c r="P249" s="180" t="n">
        <v>348.5</v>
      </c>
      <c r="Q249" s="184">
        <f>IF(OR(N249="",P249=""),"",ROUND((P249-N249)/N249,4))</f>
        <v/>
      </c>
      <c r="R249" s="177">
        <f>IF(OR(N249="",P249=""),"",IF(Q249&gt;Settings!$B$3/100,"UP",IF(Q249&lt;-Settings!$B$3/100,"DOWN","FLAT")))</f>
        <v/>
      </c>
      <c r="S249" s="177">
        <f>IF(OR(N249="",P249="",J249=""),"",IF(OR(AND(J249="BUY",R249="UP"),AND(J249="SELL",R249="DOWN"),AND(J249="HOLD",R249="FLAT")),"YES","NO"))</f>
        <v/>
      </c>
      <c r="T249" s="176">
        <f>IF(J249="","",IF(J249="BUY",1,IF(J249="SELL",-1,0)))</f>
        <v/>
      </c>
      <c r="U249" s="184">
        <f>IFERROR(IF(OR(J249="",N249="",P249=""),"",IF(T249=0,0,T249*Q249-Settings!$B$4/10000-IF(T249&lt;0,Settings!$B$5/10000,0))),"")</f>
        <v/>
      </c>
      <c r="V249" s="152" t="n"/>
      <c r="W249" s="176">
        <f>IF($K249="","",$K249*60)</f>
        <v/>
      </c>
      <c r="X249" s="186">
        <f>IF($A249="","",$A249&amp;"|"&amp;$C249&amp;"|"&amp;$D249)</f>
        <v/>
      </c>
      <c r="Y249" s="186">
        <f>IFERROR(IF($X249="","",INDEX(LLM_Data_Entry!$H$3:$H$548,MATCH($X249,INDEX(LLM_Data_Entry!$A$3:$A$548&amp;"|"&amp;LLM_Data_Entry!$C$3:$C$548&amp;"|"&amp;LLM_Data_Entry!$D$3:$D$548,0),0))),"")</f>
        <v/>
      </c>
      <c r="Z249" s="186">
        <f>IFERROR(IF($X249="","",INDEX(LLM_Data_Entry!$R$3:$R$548,MATCH($X249,INDEX(LLM_Data_Entry!$A$3:$A$548&amp;"|"&amp;LLM_Data_Entry!$C$3:$C$548&amp;"|"&amp;LLM_Data_Entry!$D$3:$D$548,0),0))),"")</f>
        <v/>
      </c>
      <c r="AA249" s="152" t="n"/>
      <c r="AB249" s="152" t="n"/>
      <c r="AC249" s="152" t="n"/>
      <c r="AD249" s="152" t="n"/>
      <c r="AE249" s="152" t="n"/>
      <c r="AF249" s="152" t="n"/>
      <c r="AG249" s="152" t="n"/>
      <c r="AH249" s="152" t="n"/>
      <c r="AI249" s="152" t="n"/>
      <c r="AJ249" s="152" t="n"/>
      <c r="AK249" s="152" t="n"/>
      <c r="AL249" s="152">
        <f>IF($A249="","",IFERROR(INDEX(Company_List!$G$3:$G$207,MATCH($A249,Company_List!$A$3:$A$207,0)),"unassigned"))</f>
        <v/>
      </c>
      <c r="AM249" s="152" t="inlineStr">
        <is>
          <t>Phase 3/Readings/Allianz/Q1/en-allianz-financial-supplement-1q-2025.pdf; Phase 3/Readings/Allianz/Q1/en-allianz-analyst-presentation-1q-2025.pdf; Phase 3/Readings/Allianz/Q1/allianz-1q-2025-earnings-release.pdf; Phase 3/Readings/Allianz/Q1/Transcript : Allianz SE, Q1 2025 Earnings Call, May 15, 2025 | MarketScreener UK.pdf; Phase 3/Readings/Allianz/Q1/Allianz-keyfigures-1q-2025.pdf; Phase 3/Readings/Allianz/Q1/2025-1q-analyst-estimates.pdf</t>
        </is>
      </c>
      <c r="AN249" s="152" t="n"/>
      <c r="AO249" s="152" t="inlineStr">
        <is>
          <t>whole bundle (Document = All)</t>
        </is>
      </c>
      <c r="AP249" s="152">
        <f>IF($A249="","",IF(COUNTIFS(LLM_Data_Entry!$A$3:$A$548,$A249)&gt;0,"YES","NO"))</f>
        <v/>
      </c>
      <c r="AQ249" s="152">
        <f>IF($A249="","",IF(COUNTIFS($A$3:$A249,$A249,$C$3:$C249,$C249,$D$3:$D249,$D249)=1,"YES","NO"))</f>
        <v/>
      </c>
      <c r="AR249" s="152">
        <f>IF($A249="","",IF(AND($C249&amp;"-"&amp;$D249&gt;=Settings!$B$19,$C249&amp;"-"&amp;$D249&lt;=Settings!$B$20),"IN","OUT"))</f>
        <v/>
      </c>
      <c r="AS249" s="152">
        <f>IF($A249="","",IF($F249="Financial Results","financials",IF($F249="Outlook/Guidance","guidance",IF($F249="Transcript Q&amp;A","qanda",IF($F249="","unrecorded",IF($E249="All","full",IF($E249="","unrecorded",LOWER($E249)&amp;" only")))))))</f>
        <v/>
      </c>
      <c r="AT249" s="152">
        <f>IF(AND(OR($J249="BUY",$J249="SELL"),ISNUMBER($U249)),$U249,"")</f>
        <v/>
      </c>
      <c r="AU249" s="152">
        <f>IF(AND(OR($J249="BUY",$J249="SELL"),ISNUMBER($AK249)),$AK249,"")</f>
        <v/>
      </c>
      <c r="AV249" s="152">
        <f>IF(ISNUMBER($AT249),ABS(IF(ISNUMBER($I249),$I249,0)-Settings!$B$24),"")</f>
        <v/>
      </c>
      <c r="AW249" s="152">
        <f>IF(ISNUMBER($AV249),$AV249*$AT249,"")</f>
        <v/>
      </c>
      <c r="AX249" s="152">
        <f>IF(ISNUMBER($AU249),ABS(IF(ISNUMBER($I249),$I249,0)-Settings!$B$24),"")</f>
        <v/>
      </c>
      <c r="AY249" s="152" t="inlineStr">
        <is>
          <t>FROZEN</t>
        </is>
      </c>
      <c r="AZ249" s="152">
        <f>IF($A249="","",IFERROR(INDEX(Company_List!$H$3:$H$207,MATCH($A249,Company_List!$A$3:$A$207,0)),"unassigned"))</f>
        <v/>
      </c>
      <c r="BA249" s="152" t="n"/>
      <c r="BB249" s="152" t="n"/>
      <c r="BC249" s="152">
        <f>IF($A249="","",IF(COUNTIFS($A$3:$A249,$A249,$C$3:$C249,$C249,$D$3:$D249,$D249,$G$3:$G249,$G249)=1,1,0))</f>
        <v/>
      </c>
      <c r="BD249" s="152" t="n"/>
      <c r="BE249" s="152" t="n"/>
      <c r="BF249" s="152" t="n"/>
      <c r="BG249" s="152" t="inlineStr">
        <is>
          <t>no</t>
        </is>
      </c>
      <c r="BH249" s="152" t="n"/>
      <c r="BI249" s="152" t="n"/>
      <c r="BJ249" s="152" t="n"/>
      <c r="BK249" s="152">
        <f>IF(OR($H249&lt;&gt;"Human",$S249="",$J249="",$Y249="",$Z249=""),"",IF(EXACT(UPPER($J249),UPPER($Y249)),1,0))</f>
        <v/>
      </c>
      <c r="BL249" s="152" t="inlineStr">
        <is>
          <t>assumed - no rater record</t>
        </is>
      </c>
      <c r="BM249" s="152" t="n">
        <v>6</v>
      </c>
      <c r="BN249" s="152" t="inlineStr">
        <is>
          <t>MarketScreener (Surperformance SAS)</t>
        </is>
      </c>
      <c r="BO249" s="152" t="inlineStr">
        <is>
          <t>licensed vendor</t>
        </is>
      </c>
      <c r="BP249" s="152" t="inlineStr">
        <is>
          <t>no</t>
        </is>
      </c>
      <c r="BQ249" s="152" t="inlineStr">
        <is>
          <t>no</t>
        </is>
      </c>
      <c r="BR249" s="152" t="n"/>
      <c r="BS249" s="152" t="inlineStr">
        <is>
          <t>YES</t>
        </is>
      </c>
      <c r="BT249" s="152" t="n"/>
    </row>
    <row r="250" ht="15" customHeight="1" s="241">
      <c r="A250" s="191" t="inlineStr">
        <is>
          <t>Allianz</t>
        </is>
      </c>
      <c r="B250" s="188">
        <f>IF(A250="","",_xlfn.XLOOKUP(A250, Company_List!$A:$A, Company_List!$B:$B, ""))</f>
        <v/>
      </c>
      <c r="C250" s="177" t="n">
        <v>2025</v>
      </c>
      <c r="D250" s="177" t="inlineStr">
        <is>
          <t>Q2</t>
        </is>
      </c>
      <c r="E250" s="178" t="inlineStr">
        <is>
          <t>All</t>
        </is>
      </c>
      <c r="F250" s="178" t="inlineStr">
        <is>
          <t>All</t>
        </is>
      </c>
      <c r="G250" s="177" t="inlineStr">
        <is>
          <t>Nigel</t>
        </is>
      </c>
      <c r="H250" s="177" t="inlineStr">
        <is>
          <t>Human</t>
        </is>
      </c>
      <c r="I250" s="180" t="n">
        <v>0.7</v>
      </c>
      <c r="J250" s="180">
        <f>IF(OR(I250="",Settings!$B$6=""),"",IF(I250&gt;Settings!$B$6,"BUY",IF(I250&lt;-Settings!$B$6,"SELL","HOLD")))</f>
        <v/>
      </c>
      <c r="K250" s="180" t="n">
        <v>25</v>
      </c>
      <c r="L250" s="182" t="n">
        <v>45876</v>
      </c>
      <c r="M250" s="182" t="n">
        <v>45876</v>
      </c>
      <c r="N250" s="179" t="n">
        <v>366.9</v>
      </c>
      <c r="O250" s="182" t="n">
        <v>45877</v>
      </c>
      <c r="P250" s="180" t="n">
        <v>365</v>
      </c>
      <c r="Q250" s="184">
        <f>IF(OR(N250="",P250=""),"",ROUND((P250-N250)/N250,4))</f>
        <v/>
      </c>
      <c r="R250" s="177">
        <f>IF(OR(N250="",P250=""),"",IF(Q250&gt;Settings!$B$3/100,"UP",IF(Q250&lt;-Settings!$B$3/100,"DOWN","FLAT")))</f>
        <v/>
      </c>
      <c r="S250" s="177">
        <f>IF(OR(N250="",P250="",J250=""),"",IF(OR(AND(J250="BUY",R250="UP"),AND(J250="SELL",R250="DOWN"),AND(J250="HOLD",R250="FLAT")),"YES","NO"))</f>
        <v/>
      </c>
      <c r="T250" s="176">
        <f>IF(J250="","",IF(J250="BUY",1,IF(J250="SELL",-1,0)))</f>
        <v/>
      </c>
      <c r="U250" s="184">
        <f>IFERROR(IF(OR(J250="",N250="",P250=""),"",IF(T250=0,0,T250*Q250-Settings!$B$4/10000-IF(T250&lt;0,Settings!$B$5/10000,0))),"")</f>
        <v/>
      </c>
      <c r="V250" s="152" t="n"/>
      <c r="W250" s="176">
        <f>IF($K250="","",$K250*60)</f>
        <v/>
      </c>
      <c r="X250" s="186">
        <f>IF($A250="","",$A250&amp;"|"&amp;$C250&amp;"|"&amp;$D250)</f>
        <v/>
      </c>
      <c r="Y250" s="186">
        <f>IFERROR(IF($X250="","",INDEX(LLM_Data_Entry!$H$3:$H$548,MATCH($X250,INDEX(LLM_Data_Entry!$A$3:$A$548&amp;"|"&amp;LLM_Data_Entry!$C$3:$C$548&amp;"|"&amp;LLM_Data_Entry!$D$3:$D$548,0),0))),"")</f>
        <v/>
      </c>
      <c r="Z250" s="186">
        <f>IFERROR(IF($X250="","",INDEX(LLM_Data_Entry!$R$3:$R$548,MATCH($X250,INDEX(LLM_Data_Entry!$A$3:$A$548&amp;"|"&amp;LLM_Data_Entry!$C$3:$C$548&amp;"|"&amp;LLM_Data_Entry!$D$3:$D$548,0),0))),"")</f>
        <v/>
      </c>
      <c r="AA250" s="152" t="n"/>
      <c r="AB250" s="152" t="n"/>
      <c r="AC250" s="152" t="n"/>
      <c r="AD250" s="152" t="n"/>
      <c r="AE250" s="152" t="n"/>
      <c r="AF250" s="152" t="n"/>
      <c r="AG250" s="152" t="n"/>
      <c r="AH250" s="152" t="n"/>
      <c r="AI250" s="152" t="n"/>
      <c r="AJ250" s="152" t="n"/>
      <c r="AK250" s="152" t="n"/>
      <c r="AL250" s="152">
        <f>IF($A250="","",IFERROR(INDEX(Company_List!$G$3:$G$207,MATCH($A250,Company_List!$A$3:$A$207,0)),"unassigned"))</f>
        <v/>
      </c>
      <c r="AM250" s="152" t="inlineStr">
        <is>
          <t>Phase 3/Readings/Allianz/Q2/Transcript : Allianz SE, Q2 2025 Earnings Call, Aug 07, 2025 | MarketScreener UK.pdf; Phase 3/Readings/Allianz/Q2/2q-2025-keyfigures-allianz.pdf; Phase 3/Readings/Allianz/Q2/2q-2025-interim-report-allianz.pdf; Phase 3/Readings/Allianz/Q2/2q-2025-financial-supplement-allianz.pdf; Phase 3/Readings/Allianz/Q2/2q-2025-en-alternative-performance-measures-allianz.pdf; Phase 3/Readings/Allianz/Q2/2q-2025-earnings-release-allianz.pdf; Phase 3/Readings/Allianz/Q2/2q-2025-analyst-presentation-allianz.pdf; Phase 3/Readings/Allianz/Q2/2025-2q-analyst-estimates-allianz.pdf</t>
        </is>
      </c>
      <c r="AN250" s="152" t="n"/>
      <c r="AO250" s="152" t="inlineStr">
        <is>
          <t>whole bundle (Document = All)</t>
        </is>
      </c>
      <c r="AP250" s="152">
        <f>IF($A250="","",IF(COUNTIFS(LLM_Data_Entry!$A$3:$A$548,$A250)&gt;0,"YES","NO"))</f>
        <v/>
      </c>
      <c r="AQ250" s="152">
        <f>IF($A250="","",IF(COUNTIFS($A$3:$A250,$A250,$C$3:$C250,$C250,$D$3:$D250,$D250)=1,"YES","NO"))</f>
        <v/>
      </c>
      <c r="AR250" s="152">
        <f>IF($A250="","",IF(AND($C250&amp;"-"&amp;$D250&gt;=Settings!$B$19,$C250&amp;"-"&amp;$D250&lt;=Settings!$B$20),"IN","OUT"))</f>
        <v/>
      </c>
      <c r="AS250" s="152">
        <f>IF($A250="","",IF($F250="Financial Results","financials",IF($F250="Outlook/Guidance","guidance",IF($F250="Transcript Q&amp;A","qanda",IF($F250="","unrecorded",IF($E250="All","full",IF($E250="","unrecorded",LOWER($E250)&amp;" only")))))))</f>
        <v/>
      </c>
      <c r="AT250" s="152">
        <f>IF(AND(OR($J250="BUY",$J250="SELL"),ISNUMBER($U250)),$U250,"")</f>
        <v/>
      </c>
      <c r="AU250" s="152">
        <f>IF(AND(OR($J250="BUY",$J250="SELL"),ISNUMBER($AK250)),$AK250,"")</f>
        <v/>
      </c>
      <c r="AV250" s="152">
        <f>IF(ISNUMBER($AT250),ABS(IF(ISNUMBER($I250),$I250,0)-Settings!$B$24),"")</f>
        <v/>
      </c>
      <c r="AW250" s="152">
        <f>IF(ISNUMBER($AV250),$AV250*$AT250,"")</f>
        <v/>
      </c>
      <c r="AX250" s="152">
        <f>IF(ISNUMBER($AU250),ABS(IF(ISNUMBER($I250),$I250,0)-Settings!$B$24),"")</f>
        <v/>
      </c>
      <c r="AY250" s="152" t="inlineStr">
        <is>
          <t>FROZEN</t>
        </is>
      </c>
      <c r="AZ250" s="152">
        <f>IF($A250="","",IFERROR(INDEX(Company_List!$H$3:$H$207,MATCH($A250,Company_List!$A$3:$A$207,0)),"unassigned"))</f>
        <v/>
      </c>
      <c r="BA250" s="152" t="n"/>
      <c r="BB250" s="152" t="n"/>
      <c r="BC250" s="152">
        <f>IF($A250="","",IF(COUNTIFS($A$3:$A250,$A250,$C$3:$C250,$C250,$D$3:$D250,$D250,$G$3:$G250,$G250)=1,1,0))</f>
        <v/>
      </c>
      <c r="BD250" s="152" t="n"/>
      <c r="BE250" s="152" t="n"/>
      <c r="BF250" s="152" t="n"/>
      <c r="BG250" s="152" t="inlineStr">
        <is>
          <t>no</t>
        </is>
      </c>
      <c r="BH250" s="152" t="n"/>
      <c r="BI250" s="152" t="n"/>
      <c r="BJ250" s="152" t="n"/>
      <c r="BK250" s="152">
        <f>IF(OR($H250&lt;&gt;"Human",$S250="",$J250="",$Y250="",$Z250=""),"",IF(EXACT(UPPER($J250),UPPER($Y250)),1,0))</f>
        <v/>
      </c>
      <c r="BL250" s="152" t="inlineStr">
        <is>
          <t>assumed - no rater record</t>
        </is>
      </c>
      <c r="BM250" s="152" t="n">
        <v>8</v>
      </c>
      <c r="BN250" s="152" t="inlineStr">
        <is>
          <t>MarketScreener (Surperformance SAS)</t>
        </is>
      </c>
      <c r="BO250" s="152" t="inlineStr">
        <is>
          <t>licensed vendor</t>
        </is>
      </c>
      <c r="BP250" s="152" t="inlineStr">
        <is>
          <t>no</t>
        </is>
      </c>
      <c r="BQ250" s="152" t="inlineStr">
        <is>
          <t>no</t>
        </is>
      </c>
      <c r="BR250" s="152" t="n"/>
      <c r="BS250" s="152" t="inlineStr">
        <is>
          <t>NO</t>
        </is>
      </c>
      <c r="BT250" s="152" t="inlineStr">
        <is>
          <t>human-only event; not in LLM returns_matrix — EDGAR lookup deferred, manual verification required</t>
        </is>
      </c>
    </row>
    <row r="251" ht="15" customHeight="1" s="241">
      <c r="A251" s="191" t="inlineStr">
        <is>
          <t>Allianz</t>
        </is>
      </c>
      <c r="B251" s="188">
        <f>IF(A251="","",_xlfn.XLOOKUP(A251, Company_List!$A:$A, Company_List!$B:$B, ""))</f>
        <v/>
      </c>
      <c r="C251" s="177" t="n">
        <v>2025</v>
      </c>
      <c r="D251" s="177" t="inlineStr">
        <is>
          <t>Q3</t>
        </is>
      </c>
      <c r="E251" s="178" t="inlineStr">
        <is>
          <t>Press Release Document</t>
        </is>
      </c>
      <c r="F251" s="178" t="inlineStr">
        <is>
          <t>Outlook/Guidance</t>
        </is>
      </c>
      <c r="G251" s="177" t="inlineStr">
        <is>
          <t>Nigel</t>
        </is>
      </c>
      <c r="H251" s="177" t="inlineStr">
        <is>
          <t>Human</t>
        </is>
      </c>
      <c r="I251" s="180" t="n">
        <v>0.4</v>
      </c>
      <c r="J251" s="180">
        <f>IF(OR(I251="",Settings!$B$6=""),"",IF(I251&gt;Settings!$B$6,"BUY",IF(I251&lt;-Settings!$B$6,"SELL","HOLD")))</f>
        <v/>
      </c>
      <c r="K251" s="180" t="n">
        <v>4</v>
      </c>
      <c r="L251" s="182" t="n">
        <v>45975</v>
      </c>
      <c r="M251" s="182" t="n">
        <v>45975</v>
      </c>
      <c r="N251" s="179" t="n">
        <v>367.6</v>
      </c>
      <c r="O251" s="182" t="n">
        <v>45978</v>
      </c>
      <c r="P251" s="180" t="n">
        <v>365.4</v>
      </c>
      <c r="Q251" s="184">
        <f>IF(OR(N251="",P251=""),"",ROUND((P251-N251)/N251,4))</f>
        <v/>
      </c>
      <c r="R251" s="177">
        <f>IF(OR(N251="",P251=""),"",IF(Q251&gt;Settings!$B$3/100,"UP",IF(Q251&lt;-Settings!$B$3/100,"DOWN","FLAT")))</f>
        <v/>
      </c>
      <c r="S251" s="177">
        <f>IF(OR(N251="",P251="",J251=""),"",IF(OR(AND(J251="BUY",R251="UP"),AND(J251="SELL",R251="DOWN"),AND(J251="HOLD",R251="FLAT")),"YES","NO"))</f>
        <v/>
      </c>
      <c r="T251" s="176">
        <f>IF(J251="","",IF(J251="BUY",1,IF(J251="SELL",-1,0)))</f>
        <v/>
      </c>
      <c r="U251" s="184">
        <f>IFERROR(IF(OR(J251="",N251="",P251=""),"",IF(T251=0,0,T251*Q251-Settings!$B$4/10000-IF(T251&lt;0,Settings!$B$5/10000,0))),"")</f>
        <v/>
      </c>
      <c r="V251" s="152" t="n"/>
      <c r="W251" s="176">
        <f>IF($K251="","",$K251*60)</f>
        <v/>
      </c>
      <c r="X251" s="186">
        <f>IF($A251="","",$A251&amp;"|"&amp;$C251&amp;"|"&amp;$D251)</f>
        <v/>
      </c>
      <c r="Y251" s="186">
        <f>IFERROR(IF($X251="","",INDEX(LLM_Data_Entry!$H$3:$H$548,MATCH($X251,INDEX(LLM_Data_Entry!$A$3:$A$548&amp;"|"&amp;LLM_Data_Entry!$C$3:$C$548&amp;"|"&amp;LLM_Data_Entry!$D$3:$D$548,0),0))),"")</f>
        <v/>
      </c>
      <c r="Z251" s="186">
        <f>IFERROR(IF($X251="","",INDEX(LLM_Data_Entry!$R$3:$R$548,MATCH($X251,INDEX(LLM_Data_Entry!$A$3:$A$548&amp;"|"&amp;LLM_Data_Entry!$C$3:$C$548&amp;"|"&amp;LLM_Data_Entry!$D$3:$D$548,0),0))),"")</f>
        <v/>
      </c>
      <c r="AA251" s="152" t="n"/>
      <c r="AB251" s="152" t="n"/>
      <c r="AC251" s="152" t="n"/>
      <c r="AD251" s="152" t="n"/>
      <c r="AE251" s="152" t="n"/>
      <c r="AF251" s="152" t="n"/>
      <c r="AG251" s="152" t="n"/>
      <c r="AH251" s="152" t="n"/>
      <c r="AI251" s="152" t="n"/>
      <c r="AJ251" s="152" t="n"/>
      <c r="AK251" s="152" t="n"/>
      <c r="AL251" s="152">
        <f>IF($A251="","",IFERROR(INDEX(Company_List!$G$3:$G$207,MATCH($A251,Company_List!$A$3:$A$207,0)),"unassigned"))</f>
        <v/>
      </c>
      <c r="AM251" s="152" t="inlineStr">
        <is>
          <t>Phase 3/Readings/Allianz/Q3/Transcript : Allianz SE, Q3 2025 Earnings Call, Nov 14, 2025 | MarketScreener UK.pdf; Phase 3/Readings/Allianz/Q3/3q-2025-keyfigures-allianz.pdf; Phase 3/Readings/Allianz/Q3/3q-2025-financial-supplement-allianz.pdf; Phase 3/Readings/Allianz/Q3/3q-2025-earnings-release-allianz.pdf; Phase 3/Readings/Allianz/Q3/3q-2025-analyst-presentation-allianz.pdf; Phase 3/Readings/Allianz/Q3/2025-3q-analyst-estimates-allianz.pdf</t>
        </is>
      </c>
      <c r="AN251" s="152" t="n"/>
      <c r="AO251" s="152" t="inlineStr">
        <is>
          <t>whole bundle (Document = All)</t>
        </is>
      </c>
      <c r="AP251" s="152">
        <f>IF($A251="","",IF(COUNTIFS(LLM_Data_Entry!$A$3:$A$548,$A251)&gt;0,"YES","NO"))</f>
        <v/>
      </c>
      <c r="AQ251" s="152">
        <f>IF($A251="","",IF(COUNTIFS($A$3:$A251,$A251,$C$3:$C251,$C251,$D$3:$D251,$D251)=1,"YES","NO"))</f>
        <v/>
      </c>
      <c r="AR251" s="152">
        <f>IF($A251="","",IF(AND($C251&amp;"-"&amp;$D251&gt;=Settings!$B$19,$C251&amp;"-"&amp;$D251&lt;=Settings!$B$20),"IN","OUT"))</f>
        <v/>
      </c>
      <c r="AS251" s="152">
        <f>IF($A251="","",IF($F251="Financial Results","financials",IF($F251="Outlook/Guidance","guidance",IF($F251="Transcript Q&amp;A","qanda",IF($F251="","unrecorded",IF($E251="All","full",IF($E251="","unrecorded",LOWER($E251)&amp;" only")))))))</f>
        <v/>
      </c>
      <c r="AT251" s="152">
        <f>IF(AND(OR($J251="BUY",$J251="SELL"),ISNUMBER($U251)),$U251,"")</f>
        <v/>
      </c>
      <c r="AU251" s="152">
        <f>IF(AND(OR($J251="BUY",$J251="SELL"),ISNUMBER($AK251)),$AK251,"")</f>
        <v/>
      </c>
      <c r="AV251" s="152">
        <f>IF(ISNUMBER($AT251),ABS(IF(ISNUMBER($I251),$I251,0)-Settings!$B$24),"")</f>
        <v/>
      </c>
      <c r="AW251" s="152">
        <f>IF(ISNUMBER($AV251),$AV251*$AT251,"")</f>
        <v/>
      </c>
      <c r="AX251" s="152">
        <f>IF(ISNUMBER($AU251),ABS(IF(ISNUMBER($I251),$I251,0)-Settings!$B$24),"")</f>
        <v/>
      </c>
      <c r="AY251" s="152" t="inlineStr">
        <is>
          <t>FROZEN</t>
        </is>
      </c>
      <c r="AZ251" s="152">
        <f>IF($A251="","",IFERROR(INDEX(Company_List!$H$3:$H$207,MATCH($A251,Company_List!$A$3:$A$207,0)),"unassigned"))</f>
        <v/>
      </c>
      <c r="BA251" s="152" t="n"/>
      <c r="BB251" s="152" t="n"/>
      <c r="BC251" s="152">
        <f>IF($A251="","",IF(COUNTIFS($A$3:$A251,$A251,$C$3:$C251,$C251,$D$3:$D251,$D251,$G$3:$G251,$G251)=1,1,0))</f>
        <v/>
      </c>
      <c r="BD251" s="152" t="n"/>
      <c r="BE251" s="152" t="n"/>
      <c r="BF251" s="152" t="n"/>
      <c r="BG251" s="152" t="inlineStr">
        <is>
          <t>no</t>
        </is>
      </c>
      <c r="BH251" s="152" t="n"/>
      <c r="BI251" s="152" t="n"/>
      <c r="BJ251" s="152" t="n"/>
      <c r="BK251" s="152">
        <f>IF(OR($H251&lt;&gt;"Human",$S251="",$J251="",$Y251="",$Z251=""),"",IF(EXACT(UPPER($J251),UPPER($Y251)),1,0))</f>
        <v/>
      </c>
      <c r="BL251" s="152" t="inlineStr">
        <is>
          <t>assumed - no rater record</t>
        </is>
      </c>
      <c r="BM251" s="152" t="n">
        <v>6</v>
      </c>
      <c r="BN251" s="152" t="inlineStr">
        <is>
          <t>MarketScreener (Surperformance SAS)</t>
        </is>
      </c>
      <c r="BO251" s="152" t="inlineStr">
        <is>
          <t>licensed vendor</t>
        </is>
      </c>
      <c r="BP251" s="152" t="inlineStr">
        <is>
          <t>no</t>
        </is>
      </c>
      <c r="BQ251" s="152" t="inlineStr">
        <is>
          <t>no</t>
        </is>
      </c>
      <c r="BR251" s="152" t="n"/>
      <c r="BS251" s="152" t="inlineStr">
        <is>
          <t>NO</t>
        </is>
      </c>
      <c r="BT251" s="152" t="inlineStr">
        <is>
          <t>human-only event; not in LLM returns_matrix — EDGAR lookup deferred, manual verification required</t>
        </is>
      </c>
    </row>
    <row r="252" ht="15" customHeight="1" s="241">
      <c r="A252" s="191" t="inlineStr">
        <is>
          <t>Allianz</t>
        </is>
      </c>
      <c r="B252" s="188">
        <f>IF(A252="","",_xlfn.XLOOKUP(A252, Company_List!$A:$A, Company_List!$B:$B, ""))</f>
        <v/>
      </c>
      <c r="C252" s="177" t="n">
        <v>2025</v>
      </c>
      <c r="D252" s="177" t="inlineStr">
        <is>
          <t>Q4</t>
        </is>
      </c>
      <c r="E252" s="178" t="inlineStr">
        <is>
          <t>Press Release Document</t>
        </is>
      </c>
      <c r="F252" s="178" t="inlineStr">
        <is>
          <t>Financial Results</t>
        </is>
      </c>
      <c r="G252" s="177" t="inlineStr">
        <is>
          <t>Nigel</t>
        </is>
      </c>
      <c r="H252" s="177" t="inlineStr">
        <is>
          <t>Human</t>
        </is>
      </c>
      <c r="I252" s="180" t="n">
        <v>0.8</v>
      </c>
      <c r="J252" s="180">
        <f>IF(OR(I252="",Settings!$B$6=""),"",IF(I252&gt;Settings!$B$6,"BUY",IF(I252&lt;-Settings!$B$6,"SELL","HOLD")))</f>
        <v/>
      </c>
      <c r="K252" s="180" t="n">
        <v>15</v>
      </c>
      <c r="L252" s="182" t="n">
        <v>46079</v>
      </c>
      <c r="M252" s="182" t="n">
        <v>46079</v>
      </c>
      <c r="N252" s="179" t="n">
        <v>384.7</v>
      </c>
      <c r="O252" s="182" t="n">
        <v>46080</v>
      </c>
      <c r="P252" s="180" t="n">
        <v>384.5</v>
      </c>
      <c r="Q252" s="184">
        <f>IF(OR(N252="",P252=""),"",ROUND((P252-N252)/N252,4))</f>
        <v/>
      </c>
      <c r="R252" s="177">
        <f>IF(OR(N252="",P252=""),"",IF(Q252&gt;Settings!$B$3/100,"UP",IF(Q252&lt;-Settings!$B$3/100,"DOWN","FLAT")))</f>
        <v/>
      </c>
      <c r="S252" s="177">
        <f>IF(OR(N252="",P252="",J252=""),"",IF(OR(AND(J252="BUY",R252="UP"),AND(J252="SELL",R252="DOWN"),AND(J252="HOLD",R252="FLAT")),"YES","NO"))</f>
        <v/>
      </c>
      <c r="T252" s="176">
        <f>IF(J252="","",IF(J252="BUY",1,IF(J252="SELL",-1,0)))</f>
        <v/>
      </c>
      <c r="U252" s="184">
        <f>IFERROR(IF(OR(J252="",N252="",P252=""),"",IF(T252=0,0,T252*Q252-Settings!$B$4/10000-IF(T252&lt;0,Settings!$B$5/10000,0))),"")</f>
        <v/>
      </c>
      <c r="V252" s="152" t="n"/>
      <c r="W252" s="176">
        <f>IF($K252="","",$K252*60)</f>
        <v/>
      </c>
      <c r="X252" s="186">
        <f>IF($A252="","",$A252&amp;"|"&amp;$C252&amp;"|"&amp;$D252)</f>
        <v/>
      </c>
      <c r="Y252" s="186">
        <f>IFERROR(IF($X252="","",INDEX(LLM_Data_Entry!$H$3:$H$548,MATCH($X252,INDEX(LLM_Data_Entry!$A$3:$A$548&amp;"|"&amp;LLM_Data_Entry!$C$3:$C$548&amp;"|"&amp;LLM_Data_Entry!$D$3:$D$548,0),0))),"")</f>
        <v/>
      </c>
      <c r="Z252" s="186">
        <f>IFERROR(IF($X252="","",INDEX(LLM_Data_Entry!$R$3:$R$548,MATCH($X252,INDEX(LLM_Data_Entry!$A$3:$A$548&amp;"|"&amp;LLM_Data_Entry!$C$3:$C$548&amp;"|"&amp;LLM_Data_Entry!$D$3:$D$548,0),0))),"")</f>
        <v/>
      </c>
      <c r="AA252" s="152" t="n"/>
      <c r="AB252" s="152" t="n"/>
      <c r="AC252" s="152" t="n"/>
      <c r="AD252" s="152" t="n"/>
      <c r="AE252" s="152" t="n"/>
      <c r="AF252" s="152" t="n"/>
      <c r="AG252" s="152" t="n"/>
      <c r="AH252" s="152" t="n"/>
      <c r="AI252" s="152" t="n"/>
      <c r="AJ252" s="152" t="n"/>
      <c r="AK252" s="152" t="n"/>
      <c r="AL252" s="152">
        <f>IF($A252="","",IFERROR(INDEX(Company_List!$G$3:$G$207,MATCH($A252,Company_List!$A$3:$A$207,0)),"unassigned"))</f>
        <v/>
      </c>
      <c r="AM252" s="152" t="inlineStr">
        <is>
          <t>Phase 3/Readings/Allianz/Q4/fy-2025-keyfigures-allianz.pdf; Phase 3/Readings/Allianz/Q4/fy-2025-financial-supplement-allianz.pdf; Phase 3/Readings/Allianz/Q4/fy-2025-analyst-presentation-allianz.pdf; Phase 3/Readings/Allianz/Q4/en-alternative-performance-measures-2025.pdf; Phase 3/Readings/Allianz/Q4/en-allianz-se-annual-report-2025.pdf; Phase 3/Readings/Allianz/Q4/en-allianz-group-annual-report-2025.pdf; Phase 3/Readings/Allianz/Q4/Transcript : Allianz SE, 2025 Earnings Call, Feb 26, 2026 | MarketScreener UK.pdf; Phase 3/Readings/Allianz/Q4/4q-2025-earnings-release-allianz.pdf; Phase 3/Readings/Allianz/Q4/2025-4q-analyst-estimates.pdf</t>
        </is>
      </c>
      <c r="AN252" s="152" t="n"/>
      <c r="AO252" s="152" t="inlineStr">
        <is>
          <t>whole bundle (Document = All)</t>
        </is>
      </c>
      <c r="AP252" s="152">
        <f>IF($A252="","",IF(COUNTIFS(LLM_Data_Entry!$A$3:$A$548,$A252)&gt;0,"YES","NO"))</f>
        <v/>
      </c>
      <c r="AQ252" s="152">
        <f>IF($A252="","",IF(COUNTIFS($A$3:$A252,$A252,$C$3:$C252,$C252,$D$3:$D252,$D252)=1,"YES","NO"))</f>
        <v/>
      </c>
      <c r="AR252" s="152">
        <f>IF($A252="","",IF(AND($C252&amp;"-"&amp;$D252&gt;=Settings!$B$19,$C252&amp;"-"&amp;$D252&lt;=Settings!$B$20),"IN","OUT"))</f>
        <v/>
      </c>
      <c r="AS252" s="152">
        <f>IF($A252="","",IF($F252="Financial Results","financials",IF($F252="Outlook/Guidance","guidance",IF($F252="Transcript Q&amp;A","qanda",IF($F252="","unrecorded",IF($E252="All","full",IF($E252="","unrecorded",LOWER($E252)&amp;" only")))))))</f>
        <v/>
      </c>
      <c r="AT252" s="152">
        <f>IF(AND(OR($J252="BUY",$J252="SELL"),ISNUMBER($U252)),$U252,"")</f>
        <v/>
      </c>
      <c r="AU252" s="152">
        <f>IF(AND(OR($J252="BUY",$J252="SELL"),ISNUMBER($AK252)),$AK252,"")</f>
        <v/>
      </c>
      <c r="AV252" s="152">
        <f>IF(ISNUMBER($AT252),ABS(IF(ISNUMBER($I252),$I252,0)-Settings!$B$24),"")</f>
        <v/>
      </c>
      <c r="AW252" s="152">
        <f>IF(ISNUMBER($AV252),$AV252*$AT252,"")</f>
        <v/>
      </c>
      <c r="AX252" s="152">
        <f>IF(ISNUMBER($AU252),ABS(IF(ISNUMBER($I252),$I252,0)-Settings!$B$24),"")</f>
        <v/>
      </c>
      <c r="AY252" s="152" t="inlineStr">
        <is>
          <t>FROZEN</t>
        </is>
      </c>
      <c r="AZ252" s="152">
        <f>IF($A252="","",IFERROR(INDEX(Company_List!$H$3:$H$207,MATCH($A252,Company_List!$A$3:$A$207,0)),"unassigned"))</f>
        <v/>
      </c>
      <c r="BA252" s="152" t="n"/>
      <c r="BB252" s="152" t="n"/>
      <c r="BC252" s="152">
        <f>IF($A252="","",IF(COUNTIFS($A$3:$A252,$A252,$C$3:$C252,$C252,$D$3:$D252,$D252,$G$3:$G252,$G252)=1,1,0))</f>
        <v/>
      </c>
      <c r="BD252" s="152" t="n"/>
      <c r="BE252" s="152" t="n"/>
      <c r="BF252" s="152" t="n"/>
      <c r="BG252" s="152" t="inlineStr">
        <is>
          <t>no</t>
        </is>
      </c>
      <c r="BH252" s="152" t="n"/>
      <c r="BI252" s="152" t="n"/>
      <c r="BJ252" s="152" t="n"/>
      <c r="BK252" s="152">
        <f>IF(OR($H252&lt;&gt;"Human",$S252="",$J252="",$Y252="",$Z252=""),"",IF(EXACT(UPPER($J252),UPPER($Y252)),1,0))</f>
        <v/>
      </c>
      <c r="BL252" s="152" t="inlineStr">
        <is>
          <t>assumed - no rater record</t>
        </is>
      </c>
      <c r="BM252" s="152" t="n">
        <v>9</v>
      </c>
      <c r="BN252" s="152" t="inlineStr">
        <is>
          <t>MarketScreener (Surperformance SAS)</t>
        </is>
      </c>
      <c r="BO252" s="152" t="inlineStr">
        <is>
          <t>licensed vendor</t>
        </is>
      </c>
      <c r="BP252" s="152" t="inlineStr">
        <is>
          <t>no</t>
        </is>
      </c>
      <c r="BQ252" s="152" t="inlineStr">
        <is>
          <t>no</t>
        </is>
      </c>
      <c r="BR252" s="152" t="n"/>
      <c r="BS252" s="152" t="inlineStr">
        <is>
          <t>NO</t>
        </is>
      </c>
      <c r="BT252" s="152" t="inlineStr">
        <is>
          <t>human-only event; not in LLM returns_matrix — EDGAR lookup deferred, manual verification required</t>
        </is>
      </c>
    </row>
    <row r="253" ht="15" customHeight="1" s="241">
      <c r="A253" s="191" t="inlineStr">
        <is>
          <t>Dell</t>
        </is>
      </c>
      <c r="B253" s="188">
        <f>IF(A253="","",_xlfn.XLOOKUP(A253, Company_List!$A:$A, Company_List!$B:$B, ""))</f>
        <v/>
      </c>
      <c r="C253" s="177" t="n">
        <v>2025</v>
      </c>
      <c r="D253" s="177" t="inlineStr">
        <is>
          <t>Q1</t>
        </is>
      </c>
      <c r="E253" s="178" t="inlineStr">
        <is>
          <t>Transcript</t>
        </is>
      </c>
      <c r="F253" s="178" t="inlineStr">
        <is>
          <t>Transcript Q&amp;A</t>
        </is>
      </c>
      <c r="G253" s="177" t="inlineStr">
        <is>
          <t>Nigel</t>
        </is>
      </c>
      <c r="H253" s="177" t="inlineStr">
        <is>
          <t>Human</t>
        </is>
      </c>
      <c r="I253" s="180" t="n">
        <v>-0.4</v>
      </c>
      <c r="J253" s="180">
        <f>IF(OR(I253="",Settings!$B$6=""),"",IF(I253&gt;Settings!$B$6,"BUY",IF(I253&lt;-Settings!$B$6,"SELL","HOLD")))</f>
        <v/>
      </c>
      <c r="K253" s="180" t="n">
        <v>15</v>
      </c>
      <c r="L253" s="182" t="n">
        <v>45442</v>
      </c>
      <c r="M253" s="182" t="n">
        <v>45806</v>
      </c>
      <c r="N253" s="179" t="n">
        <v>113.63</v>
      </c>
      <c r="O253" s="182" t="n">
        <v>45807</v>
      </c>
      <c r="P253" s="180" t="n">
        <v>112.48</v>
      </c>
      <c r="Q253" s="184">
        <f>IF(OR(N253="",P253=""),"",ROUND((P253-N253)/N253,4))</f>
        <v/>
      </c>
      <c r="R253" s="177">
        <f>IF(OR(N253="",P253=""),"",IF(Q253&gt;Settings!$B$3/100,"UP",IF(Q253&lt;-Settings!$B$3/100,"DOWN","FLAT")))</f>
        <v/>
      </c>
      <c r="S253" s="177">
        <f>IF(OR(N253="",P253="",J253=""),"",IF(OR(AND(J253="BUY",R253="UP"),AND(J253="SELL",R253="DOWN"),AND(J253="HOLD",R253="FLAT")),"YES","NO"))</f>
        <v/>
      </c>
      <c r="T253" s="176">
        <f>IF(J253="","",IF(J253="BUY",1,IF(J253="SELL",-1,0)))</f>
        <v/>
      </c>
      <c r="U253" s="184">
        <f>IFERROR(IF(OR(J253="",N253="",P253=""),"",IF(T253=0,0,T253*Q253-Settings!$B$4/10000-IF(T253&lt;0,Settings!$B$5/10000,0))),"")</f>
        <v/>
      </c>
      <c r="V253" s="152" t="n"/>
      <c r="W253" s="176">
        <f>IF($K253="","",$K253*60)</f>
        <v/>
      </c>
      <c r="X253" s="186">
        <f>IF($A253="","",$A253&amp;"|"&amp;$C253&amp;"|"&amp;$D253)</f>
        <v/>
      </c>
      <c r="Y253" s="186">
        <f>IFERROR(IF($X253="","",INDEX(LLM_Data_Entry!$H$3:$H$548,MATCH($X253,INDEX(LLM_Data_Entry!$A$3:$A$548&amp;"|"&amp;LLM_Data_Entry!$C$3:$C$548&amp;"|"&amp;LLM_Data_Entry!$D$3:$D$548,0),0))),"")</f>
        <v/>
      </c>
      <c r="Z253" s="186">
        <f>IFERROR(IF($X253="","",INDEX(LLM_Data_Entry!$R$3:$R$548,MATCH($X253,INDEX(LLM_Data_Entry!$A$3:$A$548&amp;"|"&amp;LLM_Data_Entry!$C$3:$C$548&amp;"|"&amp;LLM_Data_Entry!$D$3:$D$548,0),0))),"")</f>
        <v/>
      </c>
      <c r="AA253" s="152" t="n"/>
      <c r="AB253" s="152" t="n"/>
      <c r="AC253" s="152" t="n"/>
      <c r="AD253" s="152" t="n"/>
      <c r="AE253" s="152" t="n"/>
      <c r="AF253" s="152" t="n"/>
      <c r="AG253" s="152" t="n"/>
      <c r="AH253" s="152" t="n"/>
      <c r="AI253" s="152" t="n"/>
      <c r="AJ253" s="152" t="n"/>
      <c r="AK253" s="152" t="n"/>
      <c r="AL253" s="152">
        <f>IF($A253="","",IFERROR(INDEX(Company_List!$G$3:$G$207,MATCH($A253,Company_List!$A$3:$A$207,0)),"unassigned"))</f>
        <v/>
      </c>
      <c r="AM253" s="152" t="inlineStr">
        <is>
          <t>Phase 3/Readings/Dell/Q1/Q1 FY25 Performance Review (2).pdf; Phase 3/Readings/Dell/Q1/Q1 FY25 Financial Tables.pdf; Phase 3/Readings/Dell/Q1/Q1 FY25 Financial Results Press Release.pdf; Phase 3/Readings/Dell/Q1/DELL Q1FY25 Earnings Transcript.pdf</t>
        </is>
      </c>
      <c r="AN253" s="152" t="n"/>
      <c r="AO253" s="152" t="inlineStr">
        <is>
          <t>whole bundle (Document = All)</t>
        </is>
      </c>
      <c r="AP253" s="152">
        <f>IF($A253="","",IF(COUNTIFS(LLM_Data_Entry!$A$3:$A$548,$A253)&gt;0,"YES","NO"))</f>
        <v/>
      </c>
      <c r="AQ253" s="152">
        <f>IF($A253="","",IF(COUNTIFS($A$3:$A253,$A253,$C$3:$C253,$C253,$D$3:$D253,$D253)=1,"YES","NO"))</f>
        <v/>
      </c>
      <c r="AR253" s="152">
        <f>IF($A253="","",IF(AND($C253&amp;"-"&amp;$D253&gt;=Settings!$B$19,$C253&amp;"-"&amp;$D253&lt;=Settings!$B$20),"IN","OUT"))</f>
        <v/>
      </c>
      <c r="AS253" s="152">
        <f>IF($A253="","",IF($F253="Financial Results","financials",IF($F253="Outlook/Guidance","guidance",IF($F253="Transcript Q&amp;A","qanda",IF($F253="","unrecorded",IF($E253="All","full",IF($E253="","unrecorded",LOWER($E253)&amp;" only")))))))</f>
        <v/>
      </c>
      <c r="AT253" s="152">
        <f>IF(AND(OR($J253="BUY",$J253="SELL"),ISNUMBER($U253)),$U253,"")</f>
        <v/>
      </c>
      <c r="AU253" s="152">
        <f>IF(AND(OR($J253="BUY",$J253="SELL"),ISNUMBER($AK253)),$AK253,"")</f>
        <v/>
      </c>
      <c r="AV253" s="152">
        <f>IF(ISNUMBER($AT253),ABS(IF(ISNUMBER($I253),$I253,0)-Settings!$B$24),"")</f>
        <v/>
      </c>
      <c r="AW253" s="152">
        <f>IF(ISNUMBER($AV253),$AV253*$AT253,"")</f>
        <v/>
      </c>
      <c r="AX253" s="152">
        <f>IF(ISNUMBER($AU253),ABS(IF(ISNUMBER($I253),$I253,0)-Settings!$B$24),"")</f>
        <v/>
      </c>
      <c r="AY253" s="152" t="inlineStr">
        <is>
          <t>FROZEN</t>
        </is>
      </c>
      <c r="AZ253" s="152">
        <f>IF($A253="","",IFERROR(INDEX(Company_List!$H$3:$H$207,MATCH($A253,Company_List!$A$3:$A$207,0)),"unassigned"))</f>
        <v/>
      </c>
      <c r="BA253" s="152" t="n"/>
      <c r="BB253" s="152" t="n"/>
      <c r="BC253" s="152">
        <f>IF($A253="","",IF(COUNTIFS($A$3:$A253,$A253,$C$3:$C253,$C253,$D$3:$D253,$D253,$G$3:$G253,$G253)=1,1,0))</f>
        <v/>
      </c>
      <c r="BD253" s="152" t="n"/>
      <c r="BE253" s="152" t="n"/>
      <c r="BF253" s="152" t="n"/>
      <c r="BG253" s="152" t="inlineStr">
        <is>
          <t>no</t>
        </is>
      </c>
      <c r="BH253" s="152" t="n"/>
      <c r="BI253" s="152" t="n"/>
      <c r="BJ253" s="152" t="n"/>
      <c r="BK253" s="152">
        <f>IF(OR($H253&lt;&gt;"Human",$S253="",$J253="",$Y253="",$Z253=""),"",IF(EXACT(UPPER($J253),UPPER($Y253)),1,0))</f>
        <v/>
      </c>
      <c r="BL253" s="152" t="inlineStr">
        <is>
          <t>assumed - no rater record</t>
        </is>
      </c>
      <c r="BM253" s="152" t="n">
        <v>4</v>
      </c>
      <c r="BN253" s="152" t="inlineStr">
        <is>
          <t>not publisher-identified</t>
        </is>
      </c>
      <c r="BO253" s="152" t="inlineStr">
        <is>
          <t>not publisher-identified</t>
        </is>
      </c>
      <c r="BP253" s="152" t="inlineStr">
        <is>
          <t>no</t>
        </is>
      </c>
      <c r="BQ253" s="152" t="inlineStr">
        <is>
          <t>no</t>
        </is>
      </c>
      <c r="BR253" s="152" t="n"/>
      <c r="BS253" s="152" t="inlineStr">
        <is>
          <t>YES</t>
        </is>
      </c>
      <c r="BT253" s="152" t="n"/>
    </row>
    <row r="254" ht="15" customHeight="1" s="241">
      <c r="A254" s="191" t="inlineStr">
        <is>
          <t>Dell</t>
        </is>
      </c>
      <c r="B254" s="188">
        <f>IF(A254="","",_xlfn.XLOOKUP(A254, Company_List!$A:$A, Company_List!$B:$B, ""))</f>
        <v/>
      </c>
      <c r="C254" s="177" t="n">
        <v>2025</v>
      </c>
      <c r="D254" s="177" t="inlineStr">
        <is>
          <t>Q2</t>
        </is>
      </c>
      <c r="E254" s="178" t="inlineStr">
        <is>
          <t>All</t>
        </is>
      </c>
      <c r="F254" s="178" t="inlineStr">
        <is>
          <t>All</t>
        </is>
      </c>
      <c r="G254" s="177" t="inlineStr">
        <is>
          <t>Nigel</t>
        </is>
      </c>
      <c r="H254" s="177" t="inlineStr">
        <is>
          <t>Human</t>
        </is>
      </c>
      <c r="I254" s="180" t="n">
        <v>0.6</v>
      </c>
      <c r="J254" s="180">
        <f>IF(OR(I254="",Settings!$B$6=""),"",IF(I254&gt;Settings!$B$6,"BUY",IF(I254&lt;-Settings!$B$6,"SELL","HOLD")))</f>
        <v/>
      </c>
      <c r="K254" s="180" t="n">
        <v>24</v>
      </c>
      <c r="L254" s="182" t="n">
        <v>45533</v>
      </c>
      <c r="M254" s="182" t="n">
        <v>45533</v>
      </c>
      <c r="N254" s="179" t="n">
        <v>110.74</v>
      </c>
      <c r="O254" s="182" t="n">
        <v>45534</v>
      </c>
      <c r="P254" s="180" t="n">
        <v>115.36</v>
      </c>
      <c r="Q254" s="184">
        <f>IF(OR(N254="",P254=""),"",ROUND((P254-N254)/N254,4))</f>
        <v/>
      </c>
      <c r="R254" s="177">
        <f>IF(OR(N254="",P254=""),"",IF(Q254&gt;Settings!$B$3/100,"UP",IF(Q254&lt;-Settings!$B$3/100,"DOWN","FLAT")))</f>
        <v/>
      </c>
      <c r="S254" s="177">
        <f>IF(OR(N254="",P254="",J254=""),"",IF(OR(AND(J254="BUY",R254="UP"),AND(J254="SELL",R254="DOWN"),AND(J254="HOLD",R254="FLAT")),"YES","NO"))</f>
        <v/>
      </c>
      <c r="T254" s="176">
        <f>IF(J254="","",IF(J254="BUY",1,IF(J254="SELL",-1,0)))</f>
        <v/>
      </c>
      <c r="U254" s="184">
        <f>IFERROR(IF(OR(J254="",N254="",P254=""),"",IF(T254=0,0,T254*Q254-Settings!$B$4/10000-IF(T254&lt;0,Settings!$B$5/10000,0))),"")</f>
        <v/>
      </c>
      <c r="V254" s="152" t="n"/>
      <c r="W254" s="176">
        <f>IF($K254="","",$K254*60)</f>
        <v/>
      </c>
      <c r="X254" s="186">
        <f>IF($A254="","",$A254&amp;"|"&amp;$C254&amp;"|"&amp;$D254)</f>
        <v/>
      </c>
      <c r="Y254" s="186">
        <f>IFERROR(IF($X254="","",INDEX(LLM_Data_Entry!$H$3:$H$548,MATCH($X254,INDEX(LLM_Data_Entry!$A$3:$A$548&amp;"|"&amp;LLM_Data_Entry!$C$3:$C$548&amp;"|"&amp;LLM_Data_Entry!$D$3:$D$548,0),0))),"")</f>
        <v/>
      </c>
      <c r="Z254" s="186">
        <f>IFERROR(IF($X254="","",INDEX(LLM_Data_Entry!$R$3:$R$548,MATCH($X254,INDEX(LLM_Data_Entry!$A$3:$A$548&amp;"|"&amp;LLM_Data_Entry!$C$3:$C$548&amp;"|"&amp;LLM_Data_Entry!$D$3:$D$548,0),0))),"")</f>
        <v/>
      </c>
      <c r="AA254" s="152" t="n"/>
      <c r="AB254" s="152" t="n"/>
      <c r="AC254" s="152" t="n"/>
      <c r="AD254" s="152" t="n"/>
      <c r="AE254" s="152" t="n"/>
      <c r="AF254" s="152" t="n"/>
      <c r="AG254" s="152" t="n"/>
      <c r="AH254" s="152" t="n"/>
      <c r="AI254" s="152" t="n"/>
      <c r="AJ254" s="152" t="n"/>
      <c r="AK254" s="152" t="n"/>
      <c r="AL254" s="152">
        <f>IF($A254="","",IFERROR(INDEX(Company_List!$G$3:$G$207,MATCH($A254,Company_List!$A$3:$A$207,0)),"unassigned"))</f>
        <v/>
      </c>
      <c r="AM254" s="152" t="inlineStr">
        <is>
          <t>Phase 3/Readings/Dell/Q2/Q2 FY25 Performance Review (2).pdf; Phase 3/Readings/Dell/Q2/Q2 FY25 Financial Tables.pdf; Phase 3/Readings/Dell/Q2/Q2 FY25 Financial Results Press Release.pdf; Phase 3/Readings/Dell/Q2/DELL Q2FY25 Earnings Transcript (1).pdf</t>
        </is>
      </c>
      <c r="AN254" s="152" t="n"/>
      <c r="AO254" s="152" t="inlineStr">
        <is>
          <t>whole bundle (Document = All)</t>
        </is>
      </c>
      <c r="AP254" s="152">
        <f>IF($A254="","",IF(COUNTIFS(LLM_Data_Entry!$A$3:$A$548,$A254)&gt;0,"YES","NO"))</f>
        <v/>
      </c>
      <c r="AQ254" s="152">
        <f>IF($A254="","",IF(COUNTIFS($A$3:$A254,$A254,$C$3:$C254,$C254,$D$3:$D254,$D254)=1,"YES","NO"))</f>
        <v/>
      </c>
      <c r="AR254" s="152">
        <f>IF($A254="","",IF(AND($C254&amp;"-"&amp;$D254&gt;=Settings!$B$19,$C254&amp;"-"&amp;$D254&lt;=Settings!$B$20),"IN","OUT"))</f>
        <v/>
      </c>
      <c r="AS254" s="152">
        <f>IF($A254="","",IF($F254="Financial Results","financials",IF($F254="Outlook/Guidance","guidance",IF($F254="Transcript Q&amp;A","qanda",IF($F254="","unrecorded",IF($E254="All","full",IF($E254="","unrecorded",LOWER($E254)&amp;" only")))))))</f>
        <v/>
      </c>
      <c r="AT254" s="152">
        <f>IF(AND(OR($J254="BUY",$J254="SELL"),ISNUMBER($U254)),$U254,"")</f>
        <v/>
      </c>
      <c r="AU254" s="152">
        <f>IF(AND(OR($J254="BUY",$J254="SELL"),ISNUMBER($AK254)),$AK254,"")</f>
        <v/>
      </c>
      <c r="AV254" s="152">
        <f>IF(ISNUMBER($AT254),ABS(IF(ISNUMBER($I254),$I254,0)-Settings!$B$24),"")</f>
        <v/>
      </c>
      <c r="AW254" s="152">
        <f>IF(ISNUMBER($AV254),$AV254*$AT254,"")</f>
        <v/>
      </c>
      <c r="AX254" s="152">
        <f>IF(ISNUMBER($AU254),ABS(IF(ISNUMBER($I254),$I254,0)-Settings!$B$24),"")</f>
        <v/>
      </c>
      <c r="AY254" s="152" t="inlineStr">
        <is>
          <t>FROZEN</t>
        </is>
      </c>
      <c r="AZ254" s="152">
        <f>IF($A254="","",IFERROR(INDEX(Company_List!$H$3:$H$207,MATCH($A254,Company_List!$A$3:$A$207,0)),"unassigned"))</f>
        <v/>
      </c>
      <c r="BA254" s="152" t="n"/>
      <c r="BB254" s="152" t="n"/>
      <c r="BC254" s="152">
        <f>IF($A254="","",IF(COUNTIFS($A$3:$A254,$A254,$C$3:$C254,$C254,$D$3:$D254,$D254,$G$3:$G254,$G254)=1,1,0))</f>
        <v/>
      </c>
      <c r="BD254" s="152" t="n"/>
      <c r="BE254" s="152" t="n"/>
      <c r="BF254" s="152" t="n"/>
      <c r="BG254" s="152" t="inlineStr">
        <is>
          <t>no</t>
        </is>
      </c>
      <c r="BH254" s="152" t="n"/>
      <c r="BI254" s="152" t="n"/>
      <c r="BJ254" s="152" t="n"/>
      <c r="BK254" s="152">
        <f>IF(OR($H254&lt;&gt;"Human",$S254="",$J254="",$Y254="",$Z254=""),"",IF(EXACT(UPPER($J254),UPPER($Y254)),1,0))</f>
        <v/>
      </c>
      <c r="BL254" s="152" t="inlineStr">
        <is>
          <t>assumed - no rater record</t>
        </is>
      </c>
      <c r="BM254" s="152" t="n">
        <v>4</v>
      </c>
      <c r="BN254" s="152" t="inlineStr">
        <is>
          <t>not publisher-identified</t>
        </is>
      </c>
      <c r="BO254" s="152" t="inlineStr">
        <is>
          <t>not publisher-identified</t>
        </is>
      </c>
      <c r="BP254" s="152" t="inlineStr">
        <is>
          <t>no</t>
        </is>
      </c>
      <c r="BQ254" s="152" t="inlineStr">
        <is>
          <t>no</t>
        </is>
      </c>
      <c r="BR254" s="152" t="n"/>
      <c r="BS254" s="152" t="inlineStr">
        <is>
          <t>NO</t>
        </is>
      </c>
      <c r="BT254" s="152" t="inlineStr">
        <is>
          <t>human-only event; not in LLM returns_matrix — EDGAR lookup deferred, manual verification required</t>
        </is>
      </c>
    </row>
    <row r="255" ht="15" customHeight="1" s="241">
      <c r="A255" s="191" t="inlineStr">
        <is>
          <t>Dell</t>
        </is>
      </c>
      <c r="B255" s="188">
        <f>IF(A255="","",_xlfn.XLOOKUP(A255, Company_List!$A:$A, Company_List!$B:$B, ""))</f>
        <v/>
      </c>
      <c r="C255" s="177" t="n">
        <v>2025</v>
      </c>
      <c r="D255" s="177" t="inlineStr">
        <is>
          <t>Q3</t>
        </is>
      </c>
      <c r="E255" s="178" t="inlineStr">
        <is>
          <t>Press Release Document</t>
        </is>
      </c>
      <c r="F255" s="178" t="inlineStr">
        <is>
          <t>Outlook/Guidance</t>
        </is>
      </c>
      <c r="G255" s="177" t="inlineStr">
        <is>
          <t>Nigel</t>
        </is>
      </c>
      <c r="H255" s="177" t="inlineStr">
        <is>
          <t>Human</t>
        </is>
      </c>
      <c r="I255" s="180" t="n">
        <v>0.7</v>
      </c>
      <c r="J255" s="180">
        <f>IF(OR(I255="",Settings!$B$6=""),"",IF(I255&gt;Settings!$B$6,"BUY",IF(I255&lt;-Settings!$B$6,"SELL","HOLD")))</f>
        <v/>
      </c>
      <c r="K255" s="180" t="n">
        <v>4</v>
      </c>
      <c r="L255" s="182" t="n">
        <v>45622</v>
      </c>
      <c r="M255" s="182" t="n">
        <v>45986</v>
      </c>
      <c r="N255" s="179" t="n">
        <v>125.92</v>
      </c>
      <c r="O255" s="182" t="n">
        <v>45987</v>
      </c>
      <c r="P255" s="180" t="n">
        <v>133.58</v>
      </c>
      <c r="Q255" s="184">
        <f>IF(OR(N255="",P255=""),"",ROUND((P255-N255)/N255,4))</f>
        <v/>
      </c>
      <c r="R255" s="177">
        <f>IF(OR(N255="",P255=""),"",IF(Q255&gt;Settings!$B$3/100,"UP",IF(Q255&lt;-Settings!$B$3/100,"DOWN","FLAT")))</f>
        <v/>
      </c>
      <c r="S255" s="177">
        <f>IF(OR(N255="",P255="",J255=""),"",IF(OR(AND(J255="BUY",R255="UP"),AND(J255="SELL",R255="DOWN"),AND(J255="HOLD",R255="FLAT")),"YES","NO"))</f>
        <v/>
      </c>
      <c r="T255" s="176">
        <f>IF(J255="","",IF(J255="BUY",1,IF(J255="SELL",-1,0)))</f>
        <v/>
      </c>
      <c r="U255" s="184">
        <f>IFERROR(IF(OR(J255="",N255="",P255=""),"",IF(T255=0,0,T255*Q255-Settings!$B$4/10000-IF(T255&lt;0,Settings!$B$5/10000,0))),"")</f>
        <v/>
      </c>
      <c r="V255" s="152" t="n"/>
      <c r="W255" s="176">
        <f>IF($K255="","",$K255*60)</f>
        <v/>
      </c>
      <c r="X255" s="186">
        <f>IF($A255="","",$A255&amp;"|"&amp;$C255&amp;"|"&amp;$D255)</f>
        <v/>
      </c>
      <c r="Y255" s="186">
        <f>IFERROR(IF($X255="","",INDEX(LLM_Data_Entry!$H$3:$H$548,MATCH($X255,INDEX(LLM_Data_Entry!$A$3:$A$548&amp;"|"&amp;LLM_Data_Entry!$C$3:$C$548&amp;"|"&amp;LLM_Data_Entry!$D$3:$D$548,0),0))),"")</f>
        <v/>
      </c>
      <c r="Z255" s="186">
        <f>IFERROR(IF($X255="","",INDEX(LLM_Data_Entry!$R$3:$R$548,MATCH($X255,INDEX(LLM_Data_Entry!$A$3:$A$548&amp;"|"&amp;LLM_Data_Entry!$C$3:$C$548&amp;"|"&amp;LLM_Data_Entry!$D$3:$D$548,0),0))),"")</f>
        <v/>
      </c>
      <c r="AA255" s="152" t="n"/>
      <c r="AB255" s="152" t="n"/>
      <c r="AC255" s="152" t="n"/>
      <c r="AD255" s="152" t="n"/>
      <c r="AE255" s="152" t="n"/>
      <c r="AF255" s="152" t="n"/>
      <c r="AG255" s="152" t="n"/>
      <c r="AH255" s="152" t="n"/>
      <c r="AI255" s="152" t="n"/>
      <c r="AJ255" s="152" t="n"/>
      <c r="AK255" s="152" t="n"/>
      <c r="AL255" s="152">
        <f>IF($A255="","",IFERROR(INDEX(Company_List!$G$3:$G$207,MATCH($A255,Company_List!$A$3:$A$207,0)),"unassigned"))</f>
        <v/>
      </c>
      <c r="AM255" s="152" t="inlineStr">
        <is>
          <t>Phase 3/Readings/Dell/Q3/Q3 FY25 Performance Review.pdf; Phase 3/Readings/Dell/Q3/Q3 FY25 Financial Tables.pdf; Phase 3/Readings/Dell/Q3/Q3 FY25 Financial Results Press Release.pdf; Phase 3/Readings/Dell/Q3/DELL Q3FY25 Earnings Transcript.pdf</t>
        </is>
      </c>
      <c r="AN255" s="152" t="n"/>
      <c r="AO255" s="152" t="inlineStr">
        <is>
          <t>whole bundle (Document = All)</t>
        </is>
      </c>
      <c r="AP255" s="152">
        <f>IF($A255="","",IF(COUNTIFS(LLM_Data_Entry!$A$3:$A$548,$A255)&gt;0,"YES","NO"))</f>
        <v/>
      </c>
      <c r="AQ255" s="152">
        <f>IF($A255="","",IF(COUNTIFS($A$3:$A255,$A255,$C$3:$C255,$C255,$D$3:$D255,$D255)=1,"YES","NO"))</f>
        <v/>
      </c>
      <c r="AR255" s="152">
        <f>IF($A255="","",IF(AND($C255&amp;"-"&amp;$D255&gt;=Settings!$B$19,$C255&amp;"-"&amp;$D255&lt;=Settings!$B$20),"IN","OUT"))</f>
        <v/>
      </c>
      <c r="AS255" s="152">
        <f>IF($A255="","",IF($F255="Financial Results","financials",IF($F255="Outlook/Guidance","guidance",IF($F255="Transcript Q&amp;A","qanda",IF($F255="","unrecorded",IF($E255="All","full",IF($E255="","unrecorded",LOWER($E255)&amp;" only")))))))</f>
        <v/>
      </c>
      <c r="AT255" s="152">
        <f>IF(AND(OR($J255="BUY",$J255="SELL"),ISNUMBER($U255)),$U255,"")</f>
        <v/>
      </c>
      <c r="AU255" s="152">
        <f>IF(AND(OR($J255="BUY",$J255="SELL"),ISNUMBER($AK255)),$AK255,"")</f>
        <v/>
      </c>
      <c r="AV255" s="152">
        <f>IF(ISNUMBER($AT255),ABS(IF(ISNUMBER($I255),$I255,0)-Settings!$B$24),"")</f>
        <v/>
      </c>
      <c r="AW255" s="152">
        <f>IF(ISNUMBER($AV255),$AV255*$AT255,"")</f>
        <v/>
      </c>
      <c r="AX255" s="152">
        <f>IF(ISNUMBER($AU255),ABS(IF(ISNUMBER($I255),$I255,0)-Settings!$B$24),"")</f>
        <v/>
      </c>
      <c r="AY255" s="152" t="inlineStr">
        <is>
          <t>FROZEN</t>
        </is>
      </c>
      <c r="AZ255" s="152">
        <f>IF($A255="","",IFERROR(INDEX(Company_List!$H$3:$H$207,MATCH($A255,Company_List!$A$3:$A$207,0)),"unassigned"))</f>
        <v/>
      </c>
      <c r="BA255" s="152" t="n"/>
      <c r="BB255" s="152" t="n"/>
      <c r="BC255" s="152">
        <f>IF($A255="","",IF(COUNTIFS($A$3:$A255,$A255,$C$3:$C255,$C255,$D$3:$D255,$D255,$G$3:$G255,$G255)=1,1,0))</f>
        <v/>
      </c>
      <c r="BD255" s="152" t="n"/>
      <c r="BE255" s="152" t="n"/>
      <c r="BF255" s="152" t="n"/>
      <c r="BG255" s="152" t="inlineStr">
        <is>
          <t>no</t>
        </is>
      </c>
      <c r="BH255" s="152" t="n"/>
      <c r="BI255" s="152" t="n"/>
      <c r="BJ255" s="152" t="n"/>
      <c r="BK255" s="152">
        <f>IF(OR($H255&lt;&gt;"Human",$S255="",$J255="",$Y255="",$Z255=""),"",IF(EXACT(UPPER($J255),UPPER($Y255)),1,0))</f>
        <v/>
      </c>
      <c r="BL255" s="152" t="inlineStr">
        <is>
          <t>assumed - no rater record</t>
        </is>
      </c>
      <c r="BM255" s="152" t="n">
        <v>4</v>
      </c>
      <c r="BN255" s="152" t="inlineStr">
        <is>
          <t>not publisher-identified</t>
        </is>
      </c>
      <c r="BO255" s="152" t="inlineStr">
        <is>
          <t>not publisher-identified</t>
        </is>
      </c>
      <c r="BP255" s="152" t="inlineStr">
        <is>
          <t>no</t>
        </is>
      </c>
      <c r="BQ255" s="152" t="inlineStr">
        <is>
          <t>no</t>
        </is>
      </c>
      <c r="BR255" s="152" t="n"/>
      <c r="BS255" s="152" t="inlineStr">
        <is>
          <t>YES</t>
        </is>
      </c>
      <c r="BT255" s="152" t="n"/>
    </row>
    <row r="256" ht="15" customHeight="1" s="241">
      <c r="A256" s="191" t="inlineStr">
        <is>
          <t>Dell</t>
        </is>
      </c>
      <c r="B256" s="188">
        <f>IF(A256="","",_xlfn.XLOOKUP(A256, Company_List!$A:$A, Company_List!$B:$B, ""))</f>
        <v/>
      </c>
      <c r="C256" s="177" t="n">
        <v>2025</v>
      </c>
      <c r="D256" s="177" t="inlineStr">
        <is>
          <t>Q4</t>
        </is>
      </c>
      <c r="E256" s="178" t="inlineStr">
        <is>
          <t>Press Release Document</t>
        </is>
      </c>
      <c r="F256" s="178" t="inlineStr">
        <is>
          <t>Financial Results</t>
        </is>
      </c>
      <c r="G256" s="177" t="inlineStr">
        <is>
          <t>Nigel</t>
        </is>
      </c>
      <c r="H256" s="177" t="inlineStr">
        <is>
          <t>Human</t>
        </is>
      </c>
      <c r="I256" s="180" t="n">
        <v>0.5</v>
      </c>
      <c r="J256" s="180">
        <f>IF(OR(I256="",Settings!$B$6=""),"",IF(I256&gt;Settings!$B$6,"BUY",IF(I256&lt;-Settings!$B$6,"SELL","HOLD")))</f>
        <v/>
      </c>
      <c r="K256" s="180" t="n">
        <v>12</v>
      </c>
      <c r="L256" s="182" t="n">
        <v>45715</v>
      </c>
      <c r="M256" s="182" t="n">
        <v>46079</v>
      </c>
      <c r="N256" s="179" t="n">
        <v>121.45</v>
      </c>
      <c r="O256" s="182" t="n">
        <v>46080</v>
      </c>
      <c r="P256" s="180" t="n">
        <v>137.37</v>
      </c>
      <c r="Q256" s="184">
        <f>IF(OR(N256="",P256=""),"",ROUND((P256-N256)/N256,4))</f>
        <v/>
      </c>
      <c r="R256" s="177">
        <f>IF(OR(N256="",P256=""),"",IF(Q256&gt;Settings!$B$3/100,"UP",IF(Q256&lt;-Settings!$B$3/100,"DOWN","FLAT")))</f>
        <v/>
      </c>
      <c r="S256" s="177">
        <f>IF(OR(N256="",P256="",J256=""),"",IF(OR(AND(J256="BUY",R256="UP"),AND(J256="SELL",R256="DOWN"),AND(J256="HOLD",R256="FLAT")),"YES","NO"))</f>
        <v/>
      </c>
      <c r="T256" s="176">
        <f>IF(J256="","",IF(J256="BUY",1,IF(J256="SELL",-1,0)))</f>
        <v/>
      </c>
      <c r="U256" s="184">
        <f>IFERROR(IF(OR(J256="",N256="",P256=""),"",IF(T256=0,0,T256*Q256-Settings!$B$4/10000-IF(T256&lt;0,Settings!$B$5/10000,0))),"")</f>
        <v/>
      </c>
      <c r="V256" s="152" t="n"/>
      <c r="W256" s="176">
        <f>IF($K256="","",$K256*60)</f>
        <v/>
      </c>
      <c r="X256" s="186">
        <f>IF($A256="","",$A256&amp;"|"&amp;$C256&amp;"|"&amp;$D256)</f>
        <v/>
      </c>
      <c r="Y256" s="186">
        <f>IFERROR(IF($X256="","",INDEX(LLM_Data_Entry!$H$3:$H$548,MATCH($X256,INDEX(LLM_Data_Entry!$A$3:$A$548&amp;"|"&amp;LLM_Data_Entry!$C$3:$C$548&amp;"|"&amp;LLM_Data_Entry!$D$3:$D$548,0),0))),"")</f>
        <v/>
      </c>
      <c r="Z256" s="186">
        <f>IFERROR(IF($X256="","",INDEX(LLM_Data_Entry!$R$3:$R$548,MATCH($X256,INDEX(LLM_Data_Entry!$A$3:$A$548&amp;"|"&amp;LLM_Data_Entry!$C$3:$C$548&amp;"|"&amp;LLM_Data_Entry!$D$3:$D$548,0),0))),"")</f>
        <v/>
      </c>
      <c r="AA256" s="152" t="n"/>
      <c r="AB256" s="152" t="n"/>
      <c r="AC256" s="152" t="n"/>
      <c r="AD256" s="152" t="n"/>
      <c r="AE256" s="152" t="n"/>
      <c r="AF256" s="152" t="n"/>
      <c r="AG256" s="152" t="n"/>
      <c r="AH256" s="152" t="n"/>
      <c r="AI256" s="152" t="n"/>
      <c r="AJ256" s="152" t="n"/>
      <c r="AK256" s="152" t="n"/>
      <c r="AL256" s="152">
        <f>IF($A256="","",IFERROR(INDEX(Company_List!$G$3:$G$207,MATCH($A256,Company_List!$A$3:$A$207,0)),"unassigned"))</f>
        <v/>
      </c>
      <c r="AM256" s="152" t="inlineStr">
        <is>
          <t>Phase 3/Readings/Dell/Q4/Q4 FY25 Financial Tables.pdf; Phase 3/Readings/Dell/Q4/Q4 FY25 Financial Results Press Release.pdf; Phase 3/Readings/Dell/Q4/DELL Q4FY25 Earnings Transcript.pdf</t>
        </is>
      </c>
      <c r="AN256" s="152" t="n"/>
      <c r="AO256" s="152" t="inlineStr">
        <is>
          <t>whole bundle (Document = All)</t>
        </is>
      </c>
      <c r="AP256" s="152">
        <f>IF($A256="","",IF(COUNTIFS(LLM_Data_Entry!$A$3:$A$548,$A256)&gt;0,"YES","NO"))</f>
        <v/>
      </c>
      <c r="AQ256" s="152">
        <f>IF($A256="","",IF(COUNTIFS($A$3:$A256,$A256,$C$3:$C256,$C256,$D$3:$D256,$D256)=1,"YES","NO"))</f>
        <v/>
      </c>
      <c r="AR256" s="152">
        <f>IF($A256="","",IF(AND($C256&amp;"-"&amp;$D256&gt;=Settings!$B$19,$C256&amp;"-"&amp;$D256&lt;=Settings!$B$20),"IN","OUT"))</f>
        <v/>
      </c>
      <c r="AS256" s="152">
        <f>IF($A256="","",IF($F256="Financial Results","financials",IF($F256="Outlook/Guidance","guidance",IF($F256="Transcript Q&amp;A","qanda",IF($F256="","unrecorded",IF($E256="All","full",IF($E256="","unrecorded",LOWER($E256)&amp;" only")))))))</f>
        <v/>
      </c>
      <c r="AT256" s="152">
        <f>IF(AND(OR($J256="BUY",$J256="SELL"),ISNUMBER($U256)),$U256,"")</f>
        <v/>
      </c>
      <c r="AU256" s="152">
        <f>IF(AND(OR($J256="BUY",$J256="SELL"),ISNUMBER($AK256)),$AK256,"")</f>
        <v/>
      </c>
      <c r="AV256" s="152">
        <f>IF(ISNUMBER($AT256),ABS(IF(ISNUMBER($I256),$I256,0)-Settings!$B$24),"")</f>
        <v/>
      </c>
      <c r="AW256" s="152">
        <f>IF(ISNUMBER($AV256),$AV256*$AT256,"")</f>
        <v/>
      </c>
      <c r="AX256" s="152">
        <f>IF(ISNUMBER($AU256),ABS(IF(ISNUMBER($I256),$I256,0)-Settings!$B$24),"")</f>
        <v/>
      </c>
      <c r="AY256" s="152" t="inlineStr">
        <is>
          <t>FROZEN</t>
        </is>
      </c>
      <c r="AZ256" s="152">
        <f>IF($A256="","",IFERROR(INDEX(Company_List!$H$3:$H$207,MATCH($A256,Company_List!$A$3:$A$207,0)),"unassigned"))</f>
        <v/>
      </c>
      <c r="BA256" s="152" t="n"/>
      <c r="BB256" s="152" t="n"/>
      <c r="BC256" s="152">
        <f>IF($A256="","",IF(COUNTIFS($A$3:$A256,$A256,$C$3:$C256,$C256,$D$3:$D256,$D256,$G$3:$G256,$G256)=1,1,0))</f>
        <v/>
      </c>
      <c r="BD256" s="152" t="n"/>
      <c r="BE256" s="152" t="n"/>
      <c r="BF256" s="152" t="n"/>
      <c r="BG256" s="152" t="inlineStr">
        <is>
          <t>no</t>
        </is>
      </c>
      <c r="BH256" s="152" t="n"/>
      <c r="BI256" s="152" t="n"/>
      <c r="BJ256" s="152" t="n"/>
      <c r="BK256" s="152">
        <f>IF(OR($H256&lt;&gt;"Human",$S256="",$J256="",$Y256="",$Z256=""),"",IF(EXACT(UPPER($J256),UPPER($Y256)),1,0))</f>
        <v/>
      </c>
      <c r="BL256" s="152" t="inlineStr">
        <is>
          <t>assumed - no rater record</t>
        </is>
      </c>
      <c r="BM256" s="152" t="n">
        <v>3</v>
      </c>
      <c r="BN256" s="152" t="inlineStr">
        <is>
          <t>not publisher-identified</t>
        </is>
      </c>
      <c r="BO256" s="152" t="inlineStr">
        <is>
          <t>not publisher-identified</t>
        </is>
      </c>
      <c r="BP256" s="152" t="inlineStr">
        <is>
          <t>no</t>
        </is>
      </c>
      <c r="BQ256" s="152" t="inlineStr">
        <is>
          <t>no</t>
        </is>
      </c>
      <c r="BR256" s="152" t="n"/>
      <c r="BS256" s="152" t="inlineStr">
        <is>
          <t>YES</t>
        </is>
      </c>
      <c r="BT256" s="152" t="n"/>
    </row>
    <row r="257" ht="15" customHeight="1" s="241">
      <c r="A257" s="191" t="inlineStr">
        <is>
          <t>Standard Chartered</t>
        </is>
      </c>
      <c r="B257" s="188">
        <f>IF(A257="","",_xlfn.XLOOKUP(A257, Company_List!$A:$A, Company_List!$B:$B, ""))</f>
        <v/>
      </c>
      <c r="C257" s="177" t="n">
        <v>2025</v>
      </c>
      <c r="D257" s="177" t="inlineStr">
        <is>
          <t>Q1</t>
        </is>
      </c>
      <c r="E257" s="178" t="inlineStr">
        <is>
          <t>Press Release Document</t>
        </is>
      </c>
      <c r="F257" s="178" t="inlineStr">
        <is>
          <t>Outlook/Guidance</t>
        </is>
      </c>
      <c r="G257" s="177" t="inlineStr">
        <is>
          <t>Nigel</t>
        </is>
      </c>
      <c r="H257" s="177" t="inlineStr">
        <is>
          <t>Human</t>
        </is>
      </c>
      <c r="I257" s="180" t="n">
        <v>0.1</v>
      </c>
      <c r="J257" s="180">
        <f>IF(OR(I257="",Settings!$B$6=""),"",IF(I257&gt;Settings!$B$6,"BUY",IF(I257&lt;-Settings!$B$6,"SELL","HOLD")))</f>
        <v/>
      </c>
      <c r="K257" s="180" t="n">
        <v>4</v>
      </c>
      <c r="L257" s="182" t="n">
        <v>45779</v>
      </c>
      <c r="M257" s="182" t="n">
        <v>45778</v>
      </c>
      <c r="N257" s="179" t="n">
        <v>1097</v>
      </c>
      <c r="O257" s="182" t="n">
        <v>45779</v>
      </c>
      <c r="P257" s="180" t="n">
        <v>1130</v>
      </c>
      <c r="Q257" s="184">
        <f>IF(OR(N257="",P257=""),"",ROUND((P257-N257)/N257,4))</f>
        <v/>
      </c>
      <c r="R257" s="177">
        <f>IF(OR(N257="",P257=""),"",IF(Q257&gt;Settings!$B$3/100,"UP",IF(Q257&lt;-Settings!$B$3/100,"DOWN","FLAT")))</f>
        <v/>
      </c>
      <c r="S257" s="177">
        <f>IF(OR(N257="",P257="",J257=""),"",IF(OR(AND(J257="BUY",R257="UP"),AND(J257="SELL",R257="DOWN"),AND(J257="HOLD",R257="FLAT")),"YES","NO"))</f>
        <v/>
      </c>
      <c r="T257" s="176">
        <f>IF(J257="","",IF(J257="BUY",1,IF(J257="SELL",-1,0)))</f>
        <v/>
      </c>
      <c r="U257" s="184">
        <f>IFERROR(IF(OR(J257="",N257="",P257=""),"",IF(T257=0,0,T257*Q257-Settings!$B$4/10000-IF(T257&lt;0,Settings!$B$5/10000,0))),"")</f>
        <v/>
      </c>
      <c r="V257" s="152" t="n"/>
      <c r="W257" s="176">
        <f>IF($K257="","",$K257*60)</f>
        <v/>
      </c>
      <c r="X257" s="186">
        <f>IF($A257="","",$A257&amp;"|"&amp;$C257&amp;"|"&amp;$D257)</f>
        <v/>
      </c>
      <c r="Y257" s="186">
        <f>IFERROR(IF($X257="","",INDEX(LLM_Data_Entry!$H$3:$H$548,MATCH($X257,INDEX(LLM_Data_Entry!$A$3:$A$548&amp;"|"&amp;LLM_Data_Entry!$C$3:$C$548&amp;"|"&amp;LLM_Data_Entry!$D$3:$D$548,0),0))),"")</f>
        <v/>
      </c>
      <c r="Z257" s="186">
        <f>IFERROR(IF($X257="","",INDEX(LLM_Data_Entry!$R$3:$R$548,MATCH($X257,INDEX(LLM_Data_Entry!$A$3:$A$548&amp;"|"&amp;LLM_Data_Entry!$C$3:$C$548&amp;"|"&amp;LLM_Data_Entry!$D$3:$D$548,0),0))),"")</f>
        <v/>
      </c>
      <c r="AA257" s="152" t="n"/>
      <c r="AB257" s="152" t="n"/>
      <c r="AC257" s="152" t="n"/>
      <c r="AD257" s="152" t="n"/>
      <c r="AE257" s="152" t="n"/>
      <c r="AF257" s="152" t="n"/>
      <c r="AG257" s="152" t="n"/>
      <c r="AH257" s="152" t="n"/>
      <c r="AI257" s="152" t="n"/>
      <c r="AJ257" s="152" t="n"/>
      <c r="AK257" s="152" t="n"/>
      <c r="AL257" s="152">
        <f>IF($A257="","",IFERROR(INDEX(Company_List!$G$3:$G$207,MATCH($A257,Company_List!$A$3:$A$207,0)),"unassigned"))</f>
        <v/>
      </c>
      <c r="AM257" s="152"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N257" s="152" t="n"/>
      <c r="AO257" s="152" t="inlineStr">
        <is>
          <t>whole bundle (Document = All)</t>
        </is>
      </c>
      <c r="AP257" s="152">
        <f>IF($A257="","",IF(COUNTIFS(LLM_Data_Entry!$A$3:$A$548,$A257)&gt;0,"YES","NO"))</f>
        <v/>
      </c>
      <c r="AQ257" s="152">
        <f>IF($A257="","",IF(COUNTIFS($A$3:$A257,$A257,$C$3:$C257,$C257,$D$3:$D257,$D257)=1,"YES","NO"))</f>
        <v/>
      </c>
      <c r="AR257" s="152">
        <f>IF($A257="","",IF(AND($C257&amp;"-"&amp;$D257&gt;=Settings!$B$19,$C257&amp;"-"&amp;$D257&lt;=Settings!$B$20),"IN","OUT"))</f>
        <v/>
      </c>
      <c r="AS257" s="152">
        <f>IF($A257="","",IF($F257="Financial Results","financials",IF($F257="Outlook/Guidance","guidance",IF($F257="Transcript Q&amp;A","qanda",IF($F257="","unrecorded",IF($E257="All","full",IF($E257="","unrecorded",LOWER($E257)&amp;" only")))))))</f>
        <v/>
      </c>
      <c r="AT257" s="152">
        <f>IF(AND(OR($J257="BUY",$J257="SELL"),ISNUMBER($U257)),$U257,"")</f>
        <v/>
      </c>
      <c r="AU257" s="152">
        <f>IF(AND(OR($J257="BUY",$J257="SELL"),ISNUMBER($AK257)),$AK257,"")</f>
        <v/>
      </c>
      <c r="AV257" s="152">
        <f>IF(ISNUMBER($AT257),ABS(IF(ISNUMBER($I257),$I257,0)-Settings!$B$24),"")</f>
        <v/>
      </c>
      <c r="AW257" s="152">
        <f>IF(ISNUMBER($AV257),$AV257*$AT257,"")</f>
        <v/>
      </c>
      <c r="AX257" s="152">
        <f>IF(ISNUMBER($AU257),ABS(IF(ISNUMBER($I257),$I257,0)-Settings!$B$24),"")</f>
        <v/>
      </c>
      <c r="AY257" s="152" t="inlineStr">
        <is>
          <t>FROZEN</t>
        </is>
      </c>
      <c r="AZ257" s="152">
        <f>IF($A257="","",IFERROR(INDEX(Company_List!$H$3:$H$207,MATCH($A257,Company_List!$A$3:$A$207,0)),"unassigned"))</f>
        <v/>
      </c>
      <c r="BA257" s="152" t="n"/>
      <c r="BB257" s="152" t="n"/>
      <c r="BC257" s="152">
        <f>IF($A257="","",IF(COUNTIFS($A$3:$A257,$A257,$C$3:$C257,$C257,$D$3:$D257,$D257,$G$3:$G257,$G257)=1,1,0))</f>
        <v/>
      </c>
      <c r="BD257" s="152" t="n"/>
      <c r="BE257" s="152" t="n"/>
      <c r="BF257" s="152" t="n"/>
      <c r="BG257" s="152" t="inlineStr">
        <is>
          <t>no</t>
        </is>
      </c>
      <c r="BH257" s="152" t="n"/>
      <c r="BI257" s="152" t="n"/>
      <c r="BJ257" s="152" t="n"/>
      <c r="BK257" s="152">
        <f>IF(OR($H257&lt;&gt;"Human",$S257="",$J257="",$Y257="",$Z257=""),"",IF(EXACT(UPPER($J257),UPPER($Y257)),1,0))</f>
        <v/>
      </c>
      <c r="BL257" s="152" t="inlineStr">
        <is>
          <t>assumed - no rater record</t>
        </is>
      </c>
      <c r="BM257" s="152" t="n">
        <v>4</v>
      </c>
      <c r="BN257" s="152" t="inlineStr">
        <is>
          <t>not publisher-identified</t>
        </is>
      </c>
      <c r="BO257" s="152" t="inlineStr">
        <is>
          <t>not publisher-identified</t>
        </is>
      </c>
      <c r="BP257" s="152" t="inlineStr">
        <is>
          <t>no</t>
        </is>
      </c>
      <c r="BQ257" s="152" t="inlineStr">
        <is>
          <t>no</t>
        </is>
      </c>
      <c r="BR257" s="152" t="n"/>
      <c r="BS257" s="152" t="inlineStr">
        <is>
          <t>YES</t>
        </is>
      </c>
      <c r="BT257" s="152" t="n"/>
    </row>
    <row r="258" ht="15" customHeight="1" s="241">
      <c r="A258" s="191" t="inlineStr">
        <is>
          <t>Standard Chartered</t>
        </is>
      </c>
      <c r="B258" s="188">
        <f>IF(A258="","",_xlfn.XLOOKUP(A258, Company_List!$A:$A, Company_List!$B:$B, ""))</f>
        <v/>
      </c>
      <c r="C258" s="177" t="n">
        <v>2025</v>
      </c>
      <c r="D258" s="177" t="inlineStr">
        <is>
          <t>Q2</t>
        </is>
      </c>
      <c r="E258" s="178" t="inlineStr">
        <is>
          <t>Press Release Document</t>
        </is>
      </c>
      <c r="F258" s="178" t="inlineStr">
        <is>
          <t>Financial Results</t>
        </is>
      </c>
      <c r="G258" s="177" t="inlineStr">
        <is>
          <t>Nigel</t>
        </is>
      </c>
      <c r="H258" s="177" t="inlineStr">
        <is>
          <t>Human</t>
        </is>
      </c>
      <c r="I258" s="180" t="n">
        <v>0.5</v>
      </c>
      <c r="J258" s="180">
        <f>IF(OR(I258="",Settings!$B$6=""),"",IF(I258&gt;Settings!$B$6,"BUY",IF(I258&lt;-Settings!$B$6,"SELL","HOLD")))</f>
        <v/>
      </c>
      <c r="K258" s="180" t="n">
        <v>9</v>
      </c>
      <c r="L258" s="182" t="n">
        <v>45869</v>
      </c>
      <c r="M258" s="182" t="n">
        <v>45868</v>
      </c>
      <c r="N258" s="179" t="n">
        <v>1370</v>
      </c>
      <c r="O258" s="182" t="n">
        <v>45869</v>
      </c>
      <c r="P258" s="180" t="n">
        <v>1382</v>
      </c>
      <c r="Q258" s="184">
        <f>IF(OR(N258="",P258=""),"",ROUND((P258-N258)/N258,4))</f>
        <v/>
      </c>
      <c r="R258" s="177">
        <f>IF(OR(N258="",P258=""),"",IF(Q258&gt;Settings!$B$3/100,"UP",IF(Q258&lt;-Settings!$B$3/100,"DOWN","FLAT")))</f>
        <v/>
      </c>
      <c r="S258" s="177">
        <f>IF(OR(N258="",P258="",J258=""),"",IF(OR(AND(J258="BUY",R258="UP"),AND(J258="SELL",R258="DOWN"),AND(J258="HOLD",R258="FLAT")),"YES","NO"))</f>
        <v/>
      </c>
      <c r="T258" s="176">
        <f>IF(J258="","",IF(J258="BUY",1,IF(J258="SELL",-1,0)))</f>
        <v/>
      </c>
      <c r="U258" s="184">
        <f>IFERROR(IF(OR(J258="",N258="",P258=""),"",IF(T258=0,0,T258*Q258-Settings!$B$4/10000-IF(T258&lt;0,Settings!$B$5/10000,0))),"")</f>
        <v/>
      </c>
      <c r="V258" s="152" t="n"/>
      <c r="W258" s="176">
        <f>IF($K258="","",$K258*60)</f>
        <v/>
      </c>
      <c r="X258" s="186">
        <f>IF($A258="","",$A258&amp;"|"&amp;$C258&amp;"|"&amp;$D258)</f>
        <v/>
      </c>
      <c r="Y258" s="186">
        <f>IFERROR(IF($X258="","",INDEX(LLM_Data_Entry!$H$3:$H$548,MATCH($X258,INDEX(LLM_Data_Entry!$A$3:$A$548&amp;"|"&amp;LLM_Data_Entry!$C$3:$C$548&amp;"|"&amp;LLM_Data_Entry!$D$3:$D$548,0),0))),"")</f>
        <v/>
      </c>
      <c r="Z258" s="186">
        <f>IFERROR(IF($X258="","",INDEX(LLM_Data_Entry!$R$3:$R$548,MATCH($X258,INDEX(LLM_Data_Entry!$A$3:$A$548&amp;"|"&amp;LLM_Data_Entry!$C$3:$C$548&amp;"|"&amp;LLM_Data_Entry!$D$3:$D$548,0),0))),"")</f>
        <v/>
      </c>
      <c r="AA258" s="152" t="n"/>
      <c r="AB258" s="152" t="n"/>
      <c r="AC258" s="152" t="n"/>
      <c r="AD258" s="152" t="n"/>
      <c r="AE258" s="152" t="n"/>
      <c r="AF258" s="152" t="n"/>
      <c r="AG258" s="152" t="n"/>
      <c r="AH258" s="152" t="n"/>
      <c r="AI258" s="152" t="n"/>
      <c r="AJ258" s="152" t="n"/>
      <c r="AK258" s="152" t="n"/>
      <c r="AL258" s="152">
        <f>IF($A258="","",IFERROR(INDEX(Company_List!$G$3:$G$207,MATCH($A258,Company_List!$A$3:$A$207,0)),"unassigned"))</f>
        <v/>
      </c>
      <c r="AM258" s="152"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N258" s="152" t="n"/>
      <c r="AO258" s="152" t="inlineStr">
        <is>
          <t>whole bundle (Document = All)</t>
        </is>
      </c>
      <c r="AP258" s="152">
        <f>IF($A258="","",IF(COUNTIFS(LLM_Data_Entry!$A$3:$A$548,$A258)&gt;0,"YES","NO"))</f>
        <v/>
      </c>
      <c r="AQ258" s="152">
        <f>IF($A258="","",IF(COUNTIFS($A$3:$A258,$A258,$C$3:$C258,$C258,$D$3:$D258,$D258)=1,"YES","NO"))</f>
        <v/>
      </c>
      <c r="AR258" s="152">
        <f>IF($A258="","",IF(AND($C258&amp;"-"&amp;$D258&gt;=Settings!$B$19,$C258&amp;"-"&amp;$D258&lt;=Settings!$B$20),"IN","OUT"))</f>
        <v/>
      </c>
      <c r="AS258" s="152">
        <f>IF($A258="","",IF($F258="Financial Results","financials",IF($F258="Outlook/Guidance","guidance",IF($F258="Transcript Q&amp;A","qanda",IF($F258="","unrecorded",IF($E258="All","full",IF($E258="","unrecorded",LOWER($E258)&amp;" only")))))))</f>
        <v/>
      </c>
      <c r="AT258" s="152">
        <f>IF(AND(OR($J258="BUY",$J258="SELL"),ISNUMBER($U258)),$U258,"")</f>
        <v/>
      </c>
      <c r="AU258" s="152">
        <f>IF(AND(OR($J258="BUY",$J258="SELL"),ISNUMBER($AK258)),$AK258,"")</f>
        <v/>
      </c>
      <c r="AV258" s="152">
        <f>IF(ISNUMBER($AT258),ABS(IF(ISNUMBER($I258),$I258,0)-Settings!$B$24),"")</f>
        <v/>
      </c>
      <c r="AW258" s="152">
        <f>IF(ISNUMBER($AV258),$AV258*$AT258,"")</f>
        <v/>
      </c>
      <c r="AX258" s="152">
        <f>IF(ISNUMBER($AU258),ABS(IF(ISNUMBER($I258),$I258,0)-Settings!$B$24),"")</f>
        <v/>
      </c>
      <c r="AY258" s="152" t="inlineStr">
        <is>
          <t>FROZEN</t>
        </is>
      </c>
      <c r="AZ258" s="152">
        <f>IF($A258="","",IFERROR(INDEX(Company_List!$H$3:$H$207,MATCH($A258,Company_List!$A$3:$A$207,0)),"unassigned"))</f>
        <v/>
      </c>
      <c r="BA258" s="152" t="n"/>
      <c r="BB258" s="152" t="n"/>
      <c r="BC258" s="152">
        <f>IF($A258="","",IF(COUNTIFS($A$3:$A258,$A258,$C$3:$C258,$C258,$D$3:$D258,$D258,$G$3:$G258,$G258)=1,1,0))</f>
        <v/>
      </c>
      <c r="BD258" s="152" t="n"/>
      <c r="BE258" s="152" t="n"/>
      <c r="BF258" s="152" t="n"/>
      <c r="BG258" s="152" t="inlineStr">
        <is>
          <t>no</t>
        </is>
      </c>
      <c r="BH258" s="152" t="n"/>
      <c r="BI258" s="152" t="n"/>
      <c r="BJ258" s="152" t="n"/>
      <c r="BK258" s="152">
        <f>IF(OR($H258&lt;&gt;"Human",$S258="",$J258="",$Y258="",$Z258=""),"",IF(EXACT(UPPER($J258),UPPER($Y258)),1,0))</f>
        <v/>
      </c>
      <c r="BL258" s="152" t="inlineStr">
        <is>
          <t>assumed - no rater record</t>
        </is>
      </c>
      <c r="BM258" s="152" t="n">
        <v>6</v>
      </c>
      <c r="BN258" s="152" t="inlineStr">
        <is>
          <t>not publisher-identified</t>
        </is>
      </c>
      <c r="BO258" s="152" t="inlineStr">
        <is>
          <t>not publisher-identified</t>
        </is>
      </c>
      <c r="BP258" s="152" t="inlineStr">
        <is>
          <t>no</t>
        </is>
      </c>
      <c r="BQ258" s="152" t="inlineStr">
        <is>
          <t>no</t>
        </is>
      </c>
      <c r="BR258" s="152" t="n"/>
      <c r="BS258" s="152" t="inlineStr">
        <is>
          <t>YES</t>
        </is>
      </c>
      <c r="BT258" s="152" t="n"/>
    </row>
    <row r="259" ht="15" customHeight="1" s="241">
      <c r="A259" s="191" t="inlineStr">
        <is>
          <t>Standard Chartered</t>
        </is>
      </c>
      <c r="B259" s="188">
        <f>IF(A259="","",_xlfn.XLOOKUP(A259, Company_List!$A:$A, Company_List!$B:$B, ""))</f>
        <v/>
      </c>
      <c r="C259" s="177" t="n">
        <v>2025</v>
      </c>
      <c r="D259" s="177" t="inlineStr">
        <is>
          <t>Q3</t>
        </is>
      </c>
      <c r="E259" s="178" t="inlineStr">
        <is>
          <t>All</t>
        </is>
      </c>
      <c r="F259" s="178" t="inlineStr">
        <is>
          <t>All</t>
        </is>
      </c>
      <c r="G259" s="177" t="inlineStr">
        <is>
          <t>Nigel</t>
        </is>
      </c>
      <c r="H259" s="177" t="inlineStr">
        <is>
          <t>Human</t>
        </is>
      </c>
      <c r="I259" s="180" t="n">
        <v>0.7</v>
      </c>
      <c r="J259" s="180">
        <f>IF(OR(I259="",Settings!$B$6=""),"",IF(I259&gt;Settings!$B$6,"BUY",IF(I259&lt;-Settings!$B$6,"SELL","HOLD")))</f>
        <v/>
      </c>
      <c r="K259" s="180" t="n">
        <v>24</v>
      </c>
      <c r="L259" s="182" t="n">
        <v>45960</v>
      </c>
      <c r="M259" s="182" t="n">
        <v>45959</v>
      </c>
      <c r="N259" s="179" t="n">
        <v>1516</v>
      </c>
      <c r="O259" s="182" t="n">
        <v>45960</v>
      </c>
      <c r="P259" s="180" t="n">
        <v>1545</v>
      </c>
      <c r="Q259" s="184">
        <f>IF(OR(N259="",P259=""),"",ROUND((P259-N259)/N259,4))</f>
        <v/>
      </c>
      <c r="R259" s="177">
        <f>IF(OR(N259="",P259=""),"",IF(Q259&gt;Settings!$B$3/100,"UP",IF(Q259&lt;-Settings!$B$3/100,"DOWN","FLAT")))</f>
        <v/>
      </c>
      <c r="S259" s="177">
        <f>IF(OR(N259="",P259="",J259=""),"",IF(OR(AND(J259="BUY",R259="UP"),AND(J259="SELL",R259="DOWN"),AND(J259="HOLD",R259="FLAT")),"YES","NO"))</f>
        <v/>
      </c>
      <c r="T259" s="176">
        <f>IF(J259="","",IF(J259="BUY",1,IF(J259="SELL",-1,0)))</f>
        <v/>
      </c>
      <c r="U259" s="184">
        <f>IFERROR(IF(OR(J259="",N259="",P259=""),"",IF(T259=0,0,T259*Q259-Settings!$B$4/10000-IF(T259&lt;0,Settings!$B$5/10000,0))),"")</f>
        <v/>
      </c>
      <c r="V259" s="152" t="n"/>
      <c r="W259" s="176">
        <f>IF($K259="","",$K259*60)</f>
        <v/>
      </c>
      <c r="X259" s="186">
        <f>IF($A259="","",$A259&amp;"|"&amp;$C259&amp;"|"&amp;$D259)</f>
        <v/>
      </c>
      <c r="Y259" s="186">
        <f>IFERROR(IF($X259="","",INDEX(LLM_Data_Entry!$H$3:$H$548,MATCH($X259,INDEX(LLM_Data_Entry!$A$3:$A$548&amp;"|"&amp;LLM_Data_Entry!$C$3:$C$548&amp;"|"&amp;LLM_Data_Entry!$D$3:$D$548,0),0))),"")</f>
        <v/>
      </c>
      <c r="Z259" s="186">
        <f>IFERROR(IF($X259="","",INDEX(LLM_Data_Entry!$R$3:$R$548,MATCH($X259,INDEX(LLM_Data_Entry!$A$3:$A$548&amp;"|"&amp;LLM_Data_Entry!$C$3:$C$548&amp;"|"&amp;LLM_Data_Entry!$D$3:$D$548,0),0))),"")</f>
        <v/>
      </c>
      <c r="AA259" s="152" t="n"/>
      <c r="AB259" s="152" t="n"/>
      <c r="AC259" s="152" t="n"/>
      <c r="AD259" s="152" t="n"/>
      <c r="AE259" s="152" t="n"/>
      <c r="AF259" s="152" t="n"/>
      <c r="AG259" s="152" t="n"/>
      <c r="AH259" s="152" t="n"/>
      <c r="AI259" s="152" t="n"/>
      <c r="AJ259" s="152" t="n"/>
      <c r="AK259" s="152" t="n"/>
      <c r="AL259" s="152">
        <f>IF($A259="","",IFERROR(INDEX(Company_List!$G$3:$G$207,MATCH($A259,Company_List!$A$3:$A$207,0)),"unassigned"))</f>
        <v/>
      </c>
      <c r="AM259" s="152"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N259" s="152" t="n"/>
      <c r="AO259" s="152" t="inlineStr">
        <is>
          <t>whole bundle (Document = All)</t>
        </is>
      </c>
      <c r="AP259" s="152">
        <f>IF($A259="","",IF(COUNTIFS(LLM_Data_Entry!$A$3:$A$548,$A259)&gt;0,"YES","NO"))</f>
        <v/>
      </c>
      <c r="AQ259" s="152">
        <f>IF($A259="","",IF(COUNTIFS($A$3:$A259,$A259,$C$3:$C259,$C259,$D$3:$D259,$D259)=1,"YES","NO"))</f>
        <v/>
      </c>
      <c r="AR259" s="152">
        <f>IF($A259="","",IF(AND($C259&amp;"-"&amp;$D259&gt;=Settings!$B$19,$C259&amp;"-"&amp;$D259&lt;=Settings!$B$20),"IN","OUT"))</f>
        <v/>
      </c>
      <c r="AS259" s="152">
        <f>IF($A259="","",IF($F259="Financial Results","financials",IF($F259="Outlook/Guidance","guidance",IF($F259="Transcript Q&amp;A","qanda",IF($F259="","unrecorded",IF($E259="All","full",IF($E259="","unrecorded",LOWER($E259)&amp;" only")))))))</f>
        <v/>
      </c>
      <c r="AT259" s="152">
        <f>IF(AND(OR($J259="BUY",$J259="SELL"),ISNUMBER($U259)),$U259,"")</f>
        <v/>
      </c>
      <c r="AU259" s="152">
        <f>IF(AND(OR($J259="BUY",$J259="SELL"),ISNUMBER($AK259)),$AK259,"")</f>
        <v/>
      </c>
      <c r="AV259" s="152">
        <f>IF(ISNUMBER($AT259),ABS(IF(ISNUMBER($I259),$I259,0)-Settings!$B$24),"")</f>
        <v/>
      </c>
      <c r="AW259" s="152">
        <f>IF(ISNUMBER($AV259),$AV259*$AT259,"")</f>
        <v/>
      </c>
      <c r="AX259" s="152">
        <f>IF(ISNUMBER($AU259),ABS(IF(ISNUMBER($I259),$I259,0)-Settings!$B$24),"")</f>
        <v/>
      </c>
      <c r="AY259" s="152" t="inlineStr">
        <is>
          <t>FROZEN</t>
        </is>
      </c>
      <c r="AZ259" s="152">
        <f>IF($A259="","",IFERROR(INDEX(Company_List!$H$3:$H$207,MATCH($A259,Company_List!$A$3:$A$207,0)),"unassigned"))</f>
        <v/>
      </c>
      <c r="BA259" s="152" t="n"/>
      <c r="BB259" s="152" t="n"/>
      <c r="BC259" s="152">
        <f>IF($A259="","",IF(COUNTIFS($A$3:$A259,$A259,$C$3:$C259,$C259,$D$3:$D259,$D259,$G$3:$G259,$G259)=1,1,0))</f>
        <v/>
      </c>
      <c r="BD259" s="152" t="n"/>
      <c r="BE259" s="152" t="n"/>
      <c r="BF259" s="152" t="n"/>
      <c r="BG259" s="152" t="inlineStr">
        <is>
          <t>no</t>
        </is>
      </c>
      <c r="BH259" s="152" t="n"/>
      <c r="BI259" s="152" t="n"/>
      <c r="BJ259" s="152" t="n"/>
      <c r="BK259" s="152">
        <f>IF(OR($H259&lt;&gt;"Human",$S259="",$J259="",$Y259="",$Z259=""),"",IF(EXACT(UPPER($J259),UPPER($Y259)),1,0))</f>
        <v/>
      </c>
      <c r="BL259" s="152" t="inlineStr">
        <is>
          <t>assumed - no rater record</t>
        </is>
      </c>
      <c r="BM259" s="152" t="n">
        <v>4</v>
      </c>
      <c r="BN259" s="152" t="inlineStr">
        <is>
          <t>not publisher-identified</t>
        </is>
      </c>
      <c r="BO259" s="152" t="inlineStr">
        <is>
          <t>not publisher-identified</t>
        </is>
      </c>
      <c r="BP259" s="152" t="inlineStr">
        <is>
          <t>no</t>
        </is>
      </c>
      <c r="BQ259" s="152" t="inlineStr">
        <is>
          <t>no</t>
        </is>
      </c>
      <c r="BR259" s="152" t="n"/>
      <c r="BS259" s="152" t="inlineStr">
        <is>
          <t>YES</t>
        </is>
      </c>
      <c r="BT259" s="152" t="n"/>
    </row>
    <row r="260" ht="15" customHeight="1" s="241">
      <c r="A260" s="191" t="inlineStr">
        <is>
          <t>Standard Chartered</t>
        </is>
      </c>
      <c r="B260" s="188">
        <f>IF(A260="","",_xlfn.XLOOKUP(A260, Company_List!$A:$A, Company_List!$B:$B, ""))</f>
        <v/>
      </c>
      <c r="C260" s="177" t="n">
        <v>2025</v>
      </c>
      <c r="D260" s="177" t="inlineStr">
        <is>
          <t>Q4</t>
        </is>
      </c>
      <c r="E260" s="178" t="inlineStr">
        <is>
          <t>Transcript</t>
        </is>
      </c>
      <c r="F260" s="178" t="inlineStr">
        <is>
          <t>Transcript Q&amp;A</t>
        </is>
      </c>
      <c r="G260" s="177" t="inlineStr">
        <is>
          <t>Nigel</t>
        </is>
      </c>
      <c r="H260" s="177" t="inlineStr">
        <is>
          <t>Human</t>
        </is>
      </c>
      <c r="I260" s="180" t="n">
        <v>-0.2</v>
      </c>
      <c r="J260" s="180">
        <f>IF(OR(I260="",Settings!$B$6=""),"",IF(I260&gt;Settings!$B$6,"BUY",IF(I260&lt;-Settings!$B$6,"SELL","HOLD")))</f>
        <v/>
      </c>
      <c r="K260" s="180" t="n">
        <v>15</v>
      </c>
      <c r="L260" s="182" t="n">
        <v>46076</v>
      </c>
      <c r="M260" s="182" t="n">
        <v>46073</v>
      </c>
      <c r="N260" s="179" t="n">
        <v>1802</v>
      </c>
      <c r="O260" s="182" t="n">
        <v>46076</v>
      </c>
      <c r="P260" s="180" t="n">
        <v>1811.5</v>
      </c>
      <c r="Q260" s="184">
        <f>IF(OR(N260="",P260=""),"",ROUND((P260-N260)/N260,4))</f>
        <v/>
      </c>
      <c r="R260" s="177">
        <f>IF(OR(N260="",P260=""),"",IF(Q260&gt;Settings!$B$3/100,"UP",IF(Q260&lt;-Settings!$B$3/100,"DOWN","FLAT")))</f>
        <v/>
      </c>
      <c r="S260" s="177">
        <f>IF(OR(N260="",P260="",J260=""),"",IF(OR(AND(J260="BUY",R260="UP"),AND(J260="SELL",R260="DOWN"),AND(J260="HOLD",R260="FLAT")),"YES","NO"))</f>
        <v/>
      </c>
      <c r="T260" s="176">
        <f>IF(J260="","",IF(J260="BUY",1,IF(J260="SELL",-1,0)))</f>
        <v/>
      </c>
      <c r="U260" s="184">
        <f>IFERROR(IF(OR(J260="",N260="",P260=""),"",IF(T260=0,0,T260*Q260-Settings!$B$4/10000-IF(T260&lt;0,Settings!$B$5/10000,0))),"")</f>
        <v/>
      </c>
      <c r="V260" s="152" t="n"/>
      <c r="W260" s="176">
        <f>IF($K260="","",$K260*60)</f>
        <v/>
      </c>
      <c r="X260" s="186">
        <f>IF($A260="","",$A260&amp;"|"&amp;$C260&amp;"|"&amp;$D260)</f>
        <v/>
      </c>
      <c r="Y260" s="186">
        <f>IFERROR(IF($X260="","",INDEX(LLM_Data_Entry!$H$3:$H$548,MATCH($X260,INDEX(LLM_Data_Entry!$A$3:$A$548&amp;"|"&amp;LLM_Data_Entry!$C$3:$C$548&amp;"|"&amp;LLM_Data_Entry!$D$3:$D$548,0),0))),"")</f>
        <v/>
      </c>
      <c r="Z260" s="186">
        <f>IFERROR(IF($X260="","",INDEX(LLM_Data_Entry!$R$3:$R$548,MATCH($X260,INDEX(LLM_Data_Entry!$A$3:$A$548&amp;"|"&amp;LLM_Data_Entry!$C$3:$C$548&amp;"|"&amp;LLM_Data_Entry!$D$3:$D$548,0),0))),"")</f>
        <v/>
      </c>
      <c r="AA260" s="152" t="n"/>
      <c r="AB260" s="152" t="n"/>
      <c r="AC260" s="152" t="n"/>
      <c r="AD260" s="152" t="n"/>
      <c r="AE260" s="152" t="n"/>
      <c r="AF260" s="152" t="n"/>
      <c r="AG260" s="152" t="n"/>
      <c r="AH260" s="152" t="n"/>
      <c r="AI260" s="152" t="n"/>
      <c r="AJ260" s="152" t="n"/>
      <c r="AK260" s="152" t="n"/>
      <c r="AL260" s="152">
        <f>IF($A260="","",IFERROR(INDEX(Company_List!$G$3:$G$207,MATCH($A260,Company_List!$A$3:$A$207,0)),"unassigned"))</f>
        <v/>
      </c>
      <c r="AM260" s="152"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N260" s="152" t="n"/>
      <c r="AO260" s="152" t="inlineStr">
        <is>
          <t>whole bundle (Document = All)</t>
        </is>
      </c>
      <c r="AP260" s="152">
        <f>IF($A260="","",IF(COUNTIFS(LLM_Data_Entry!$A$3:$A$548,$A260)&gt;0,"YES","NO"))</f>
        <v/>
      </c>
      <c r="AQ260" s="152">
        <f>IF($A260="","",IF(COUNTIFS($A$3:$A260,$A260,$C$3:$C260,$C260,$D$3:$D260,$D260)=1,"YES","NO"))</f>
        <v/>
      </c>
      <c r="AR260" s="152">
        <f>IF($A260="","",IF(AND($C260&amp;"-"&amp;$D260&gt;=Settings!$B$19,$C260&amp;"-"&amp;$D260&lt;=Settings!$B$20),"IN","OUT"))</f>
        <v/>
      </c>
      <c r="AS260" s="152">
        <f>IF($A260="","",IF($F260="Financial Results","financials",IF($F260="Outlook/Guidance","guidance",IF($F260="Transcript Q&amp;A","qanda",IF($F260="","unrecorded",IF($E260="All","full",IF($E260="","unrecorded",LOWER($E260)&amp;" only")))))))</f>
        <v/>
      </c>
      <c r="AT260" s="152">
        <f>IF(AND(OR($J260="BUY",$J260="SELL"),ISNUMBER($U260)),$U260,"")</f>
        <v/>
      </c>
      <c r="AU260" s="152">
        <f>IF(AND(OR($J260="BUY",$J260="SELL"),ISNUMBER($AK260)),$AK260,"")</f>
        <v/>
      </c>
      <c r="AV260" s="152">
        <f>IF(ISNUMBER($AT260),ABS(IF(ISNUMBER($I260),$I260,0)-Settings!$B$24),"")</f>
        <v/>
      </c>
      <c r="AW260" s="152">
        <f>IF(ISNUMBER($AV260),$AV260*$AT260,"")</f>
        <v/>
      </c>
      <c r="AX260" s="152">
        <f>IF(ISNUMBER($AU260),ABS(IF(ISNUMBER($I260),$I260,0)-Settings!$B$24),"")</f>
        <v/>
      </c>
      <c r="AY260" s="152" t="inlineStr">
        <is>
          <t>FROZEN</t>
        </is>
      </c>
      <c r="AZ260" s="152">
        <f>IF($A260="","",IFERROR(INDEX(Company_List!$H$3:$H$207,MATCH($A260,Company_List!$A$3:$A$207,0)),"unassigned"))</f>
        <v/>
      </c>
      <c r="BA260" s="152" t="n"/>
      <c r="BB260" s="152" t="n"/>
      <c r="BC260" s="152">
        <f>IF($A260="","",IF(COUNTIFS($A$3:$A260,$A260,$C$3:$C260,$C260,$D$3:$D260,$D260,$G$3:$G260,$G260)=1,1,0))</f>
        <v/>
      </c>
      <c r="BD260" s="152" t="n"/>
      <c r="BE260" s="152" t="n"/>
      <c r="BF260" s="152" t="n"/>
      <c r="BG260" s="152" t="inlineStr">
        <is>
          <t>no</t>
        </is>
      </c>
      <c r="BH260" s="152" t="n"/>
      <c r="BI260" s="152" t="n"/>
      <c r="BJ260" s="152" t="n"/>
      <c r="BK260" s="152">
        <f>IF(OR($H260&lt;&gt;"Human",$S260="",$J260="",$Y260="",$Z260=""),"",IF(EXACT(UPPER($J260),UPPER($Y260)),1,0))</f>
        <v/>
      </c>
      <c r="BL260" s="152" t="inlineStr">
        <is>
          <t>assumed - no rater record</t>
        </is>
      </c>
      <c r="BM260" s="152" t="n">
        <v>8</v>
      </c>
      <c r="BN260" s="152" t="inlineStr">
        <is>
          <t>not publisher-identified</t>
        </is>
      </c>
      <c r="BO260" s="152" t="inlineStr">
        <is>
          <t>not publisher-identified</t>
        </is>
      </c>
      <c r="BP260" s="152" t="inlineStr">
        <is>
          <t>no</t>
        </is>
      </c>
      <c r="BQ260" s="152" t="inlineStr">
        <is>
          <t>no</t>
        </is>
      </c>
      <c r="BR260" s="152" t="n"/>
      <c r="BS260" s="152" t="inlineStr">
        <is>
          <t>YES</t>
        </is>
      </c>
      <c r="BT260" s="152" t="n"/>
    </row>
    <row r="261" ht="15" customHeight="1" s="241">
      <c r="A261" s="191" t="inlineStr">
        <is>
          <t>Palantir</t>
        </is>
      </c>
      <c r="B261" s="188">
        <f>IF(A261="","",_xlfn.XLOOKUP(A261, Company_List!$A:$A, Company_List!$B:$B, ""))</f>
        <v/>
      </c>
      <c r="C261" s="177" t="n">
        <v>2025</v>
      </c>
      <c r="D261" s="177" t="inlineStr">
        <is>
          <t>Q1</t>
        </is>
      </c>
      <c r="E261" s="178" t="inlineStr">
        <is>
          <t>Press Release Document</t>
        </is>
      </c>
      <c r="F261" s="178" t="inlineStr">
        <is>
          <t>Outlook/Guidance</t>
        </is>
      </c>
      <c r="G261" s="177" t="inlineStr">
        <is>
          <t>Nigel</t>
        </is>
      </c>
      <c r="H261" s="177" t="inlineStr">
        <is>
          <t>Human</t>
        </is>
      </c>
      <c r="I261" s="180" t="n">
        <v>0.5</v>
      </c>
      <c r="J261" s="180">
        <f>IF(OR(I261="",Settings!$B$6=""),"",IF(I261&gt;Settings!$B$6,"BUY",IF(I261&lt;-Settings!$B$6,"SELL","HOLD")))</f>
        <v/>
      </c>
      <c r="K261" s="180" t="n">
        <v>3</v>
      </c>
      <c r="L261" s="182" t="n">
        <v>45782</v>
      </c>
      <c r="M261" s="182" t="n">
        <v>45782</v>
      </c>
      <c r="N261" s="179" t="n">
        <v>123.77</v>
      </c>
      <c r="O261" s="182" t="n">
        <v>45783</v>
      </c>
      <c r="P261" s="180" t="n">
        <v>112.71</v>
      </c>
      <c r="Q261" s="184">
        <f>IF(OR(N261="",P261=""),"",ROUND((P261-N261)/N261,4))</f>
        <v/>
      </c>
      <c r="R261" s="177">
        <f>IF(OR(N261="",P261=""),"",IF(Q261&gt;Settings!$B$3/100,"UP",IF(Q261&lt;-Settings!$B$3/100,"DOWN","FLAT")))</f>
        <v/>
      </c>
      <c r="S261" s="177">
        <f>IF(OR(N261="",P261="",J261=""),"",IF(OR(AND(J261="BUY",R261="UP"),AND(J261="SELL",R261="DOWN"),AND(J261="HOLD",R261="FLAT")),"YES","NO"))</f>
        <v/>
      </c>
      <c r="T261" s="176">
        <f>IF(J261="","",IF(J261="BUY",1,IF(J261="SELL",-1,0)))</f>
        <v/>
      </c>
      <c r="U261" s="184">
        <f>IFERROR(IF(OR(J261="",N261="",P261=""),"",IF(T261=0,0,T261*Q261-Settings!$B$4/10000-IF(T261&lt;0,Settings!$B$5/10000,0))),"")</f>
        <v/>
      </c>
      <c r="V261" s="152" t="n"/>
      <c r="W261" s="176">
        <f>IF($K261="","",$K261*60)</f>
        <v/>
      </c>
      <c r="X261" s="186">
        <f>IF($A261="","",$A261&amp;"|"&amp;$C261&amp;"|"&amp;$D261)</f>
        <v/>
      </c>
      <c r="Y261" s="186">
        <f>IFERROR(IF($X261="","",INDEX(LLM_Data_Entry!$H$3:$H$548,MATCH($X261,INDEX(LLM_Data_Entry!$A$3:$A$548&amp;"|"&amp;LLM_Data_Entry!$C$3:$C$548&amp;"|"&amp;LLM_Data_Entry!$D$3:$D$548,0),0))),"")</f>
        <v/>
      </c>
      <c r="Z261" s="186">
        <f>IFERROR(IF($X261="","",INDEX(LLM_Data_Entry!$R$3:$R$548,MATCH($X261,INDEX(LLM_Data_Entry!$A$3:$A$548&amp;"|"&amp;LLM_Data_Entry!$C$3:$C$548&amp;"|"&amp;LLM_Data_Entry!$D$3:$D$548,0),0))),"")</f>
        <v/>
      </c>
      <c r="AA261" s="152" t="n"/>
      <c r="AB261" s="152" t="n"/>
      <c r="AC261" s="152" t="n"/>
      <c r="AD261" s="152" t="n"/>
      <c r="AE261" s="152" t="n"/>
      <c r="AF261" s="152" t="n"/>
      <c r="AG261" s="152" t="n"/>
      <c r="AH261" s="152" t="n"/>
      <c r="AI261" s="152" t="n"/>
      <c r="AJ261" s="152" t="n"/>
      <c r="AK261" s="152" t="n"/>
      <c r="AL261" s="152">
        <f>IF($A261="","",IFERROR(INDEX(Company_List!$G$3:$G$207,MATCH($A261,Company_List!$A$3:$A$207,0)),"unassigned"))</f>
        <v/>
      </c>
      <c r="AM261" s="152" t="inlineStr">
        <is>
          <t>Phase 3/Readings/Palantir/Q1/Transcript : Palantir Technologies Inc., Q1 2025 Earnings Call, May 05, 2025 | MarketScreener UK.pdf; Phase 3/Readings/Palantir/Q1/Q1 2025 | Letter to the Shareholders.pdf; Phase 3/Readings/Palantir/Q1/Palantir - Q1 2025 Investor Presentation.pdf</t>
        </is>
      </c>
      <c r="AN261" s="152" t="n"/>
      <c r="AO261" s="152" t="inlineStr">
        <is>
          <t>whole bundle (Document = All)</t>
        </is>
      </c>
      <c r="AP261" s="152">
        <f>IF($A261="","",IF(COUNTIFS(LLM_Data_Entry!$A$3:$A$548,$A261)&gt;0,"YES","NO"))</f>
        <v/>
      </c>
      <c r="AQ261" s="152">
        <f>IF($A261="","",IF(COUNTIFS($A$3:$A261,$A261,$C$3:$C261,$C261,$D$3:$D261,$D261)=1,"YES","NO"))</f>
        <v/>
      </c>
      <c r="AR261" s="152">
        <f>IF($A261="","",IF(AND($C261&amp;"-"&amp;$D261&gt;=Settings!$B$19,$C261&amp;"-"&amp;$D261&lt;=Settings!$B$20),"IN","OUT"))</f>
        <v/>
      </c>
      <c r="AS261" s="152">
        <f>IF($A261="","",IF($F261="Financial Results","financials",IF($F261="Outlook/Guidance","guidance",IF($F261="Transcript Q&amp;A","qanda",IF($F261="","unrecorded",IF($E261="All","full",IF($E261="","unrecorded",LOWER($E261)&amp;" only")))))))</f>
        <v/>
      </c>
      <c r="AT261" s="152">
        <f>IF(AND(OR($J261="BUY",$J261="SELL"),ISNUMBER($U261)),$U261,"")</f>
        <v/>
      </c>
      <c r="AU261" s="152">
        <f>IF(AND(OR($J261="BUY",$J261="SELL"),ISNUMBER($AK261)),$AK261,"")</f>
        <v/>
      </c>
      <c r="AV261" s="152">
        <f>IF(ISNUMBER($AT261),ABS(IF(ISNUMBER($I261),$I261,0)-Settings!$B$24),"")</f>
        <v/>
      </c>
      <c r="AW261" s="152">
        <f>IF(ISNUMBER($AV261),$AV261*$AT261,"")</f>
        <v/>
      </c>
      <c r="AX261" s="152">
        <f>IF(ISNUMBER($AU261),ABS(IF(ISNUMBER($I261),$I261,0)-Settings!$B$24),"")</f>
        <v/>
      </c>
      <c r="AY261" s="152" t="inlineStr">
        <is>
          <t>FROZEN</t>
        </is>
      </c>
      <c r="AZ261" s="152">
        <f>IF($A261="","",IFERROR(INDEX(Company_List!$H$3:$H$207,MATCH($A261,Company_List!$A$3:$A$207,0)),"unassigned"))</f>
        <v/>
      </c>
      <c r="BA261" s="152" t="n"/>
      <c r="BB261" s="152" t="n"/>
      <c r="BC261" s="152">
        <f>IF($A261="","",IF(COUNTIFS($A$3:$A261,$A261,$C$3:$C261,$C261,$D$3:$D261,$D261,$G$3:$G261,$G261)=1,1,0))</f>
        <v/>
      </c>
      <c r="BD261" s="152" t="n"/>
      <c r="BE261" s="152" t="n"/>
      <c r="BF261" s="152" t="n"/>
      <c r="BG261" s="152" t="inlineStr">
        <is>
          <t>no</t>
        </is>
      </c>
      <c r="BH261" s="152" t="n"/>
      <c r="BI261" s="152" t="n"/>
      <c r="BJ261" s="152" t="n"/>
      <c r="BK261" s="152">
        <f>IF(OR($H261&lt;&gt;"Human",$S261="",$J261="",$Y261="",$Z261=""),"",IF(EXACT(UPPER($J261),UPPER($Y261)),1,0))</f>
        <v/>
      </c>
      <c r="BL261" s="152" t="inlineStr">
        <is>
          <t>assumed - no rater record</t>
        </is>
      </c>
      <c r="BM261" s="152" t="n">
        <v>3</v>
      </c>
      <c r="BN261" s="152" t="inlineStr">
        <is>
          <t>MarketScreener (Surperformance SAS)</t>
        </is>
      </c>
      <c r="BO261" s="152" t="inlineStr">
        <is>
          <t>licensed vendor</t>
        </is>
      </c>
      <c r="BP261" s="152" t="inlineStr">
        <is>
          <t>no</t>
        </is>
      </c>
      <c r="BQ261" s="152" t="inlineStr">
        <is>
          <t>no</t>
        </is>
      </c>
      <c r="BR261" s="152" t="n"/>
      <c r="BS261" s="152" t="inlineStr">
        <is>
          <t>YES</t>
        </is>
      </c>
      <c r="BT261" s="152" t="n"/>
    </row>
    <row r="262" ht="15" customHeight="1" s="241">
      <c r="A262" s="191" t="inlineStr">
        <is>
          <t>Palantir</t>
        </is>
      </c>
      <c r="B262" s="188">
        <f>IF(A262="","",_xlfn.XLOOKUP(A262, Company_List!$A:$A, Company_List!$B:$B, ""))</f>
        <v/>
      </c>
      <c r="C262" s="177" t="n">
        <v>2025</v>
      </c>
      <c r="D262" s="177" t="inlineStr">
        <is>
          <t>Q2</t>
        </is>
      </c>
      <c r="E262" s="178" t="inlineStr">
        <is>
          <t>Press Release Document</t>
        </is>
      </c>
      <c r="F262" s="178" t="inlineStr">
        <is>
          <t>Financial Results</t>
        </is>
      </c>
      <c r="G262" s="177" t="inlineStr">
        <is>
          <t>Nigel</t>
        </is>
      </c>
      <c r="H262" s="177" t="inlineStr">
        <is>
          <t>Human</t>
        </is>
      </c>
      <c r="I262" s="180" t="n">
        <v>0.9</v>
      </c>
      <c r="J262" s="180">
        <f>IF(OR(I262="",Settings!$B$6=""),"",IF(I262&gt;Settings!$B$6,"BUY",IF(I262&lt;-Settings!$B$6,"SELL","HOLD")))</f>
        <v/>
      </c>
      <c r="K262" s="180" t="n">
        <v>10</v>
      </c>
      <c r="L262" s="182" t="n">
        <v>45873</v>
      </c>
      <c r="M262" s="182" t="n">
        <v>45873</v>
      </c>
      <c r="N262" s="179" t="n">
        <v>160.66</v>
      </c>
      <c r="O262" s="182" t="n">
        <v>45874</v>
      </c>
      <c r="P262" s="180" t="n">
        <v>171.81</v>
      </c>
      <c r="Q262" s="184">
        <f>IF(OR(N262="",P262=""),"",ROUND((P262-N262)/N262,4))</f>
        <v/>
      </c>
      <c r="R262" s="177">
        <f>IF(OR(N262="",P262=""),"",IF(Q262&gt;Settings!$B$3/100,"UP",IF(Q262&lt;-Settings!$B$3/100,"DOWN","FLAT")))</f>
        <v/>
      </c>
      <c r="S262" s="177">
        <f>IF(OR(N262="",P262="",J262=""),"",IF(OR(AND(J262="BUY",R262="UP"),AND(J262="SELL",R262="DOWN"),AND(J262="HOLD",R262="FLAT")),"YES","NO"))</f>
        <v/>
      </c>
      <c r="T262" s="176">
        <f>IF(J262="","",IF(J262="BUY",1,IF(J262="SELL",-1,0)))</f>
        <v/>
      </c>
      <c r="U262" s="184">
        <f>IFERROR(IF(OR(J262="",N262="",P262=""),"",IF(T262=0,0,T262*Q262-Settings!$B$4/10000-IF(T262&lt;0,Settings!$B$5/10000,0))),"")</f>
        <v/>
      </c>
      <c r="V262" s="152" t="n"/>
      <c r="W262" s="176">
        <f>IF($K262="","",$K262*60)</f>
        <v/>
      </c>
      <c r="X262" s="186">
        <f>IF($A262="","",$A262&amp;"|"&amp;$C262&amp;"|"&amp;$D262)</f>
        <v/>
      </c>
      <c r="Y262" s="186">
        <f>IFERROR(IF($X262="","",INDEX(LLM_Data_Entry!$H$3:$H$548,MATCH($X262,INDEX(LLM_Data_Entry!$A$3:$A$548&amp;"|"&amp;LLM_Data_Entry!$C$3:$C$548&amp;"|"&amp;LLM_Data_Entry!$D$3:$D$548,0),0))),"")</f>
        <v/>
      </c>
      <c r="Z262" s="186">
        <f>IFERROR(IF($X262="","",INDEX(LLM_Data_Entry!$R$3:$R$548,MATCH($X262,INDEX(LLM_Data_Entry!$A$3:$A$548&amp;"|"&amp;LLM_Data_Entry!$C$3:$C$548&amp;"|"&amp;LLM_Data_Entry!$D$3:$D$548,0),0))),"")</f>
        <v/>
      </c>
      <c r="AA262" s="152" t="n"/>
      <c r="AB262" s="152" t="n"/>
      <c r="AC262" s="152" t="n"/>
      <c r="AD262" s="152" t="n"/>
      <c r="AE262" s="152" t="n"/>
      <c r="AF262" s="152" t="n"/>
      <c r="AG262" s="152" t="n"/>
      <c r="AH262" s="152" t="n"/>
      <c r="AI262" s="152" t="n"/>
      <c r="AJ262" s="152" t="n"/>
      <c r="AK262" s="152" t="n"/>
      <c r="AL262" s="152">
        <f>IF($A262="","",IFERROR(INDEX(Company_List!$G$3:$G$207,MATCH($A262,Company_List!$A$3:$A$207,0)),"unassigned"))</f>
        <v/>
      </c>
      <c r="AM262" s="152" t="inlineStr">
        <is>
          <t>Phase 3/Readings/Palantir/Q2/Transcript : Palantir Technologies Inc., Q2 2025 Earnings Call, Aug 04, 2025 | MarketScreener UK.pdf; Phase 3/Readings/Palantir/Q2/Q2 2025 | Letter to Shareholders.pdf; Phase 3/Readings/Palantir/Q2/Palantir Q2 2025 Business Update.pdf</t>
        </is>
      </c>
      <c r="AN262" s="152" t="n"/>
      <c r="AO262" s="152" t="inlineStr">
        <is>
          <t>whole bundle (Document = All)</t>
        </is>
      </c>
      <c r="AP262" s="152">
        <f>IF($A262="","",IF(COUNTIFS(LLM_Data_Entry!$A$3:$A$548,$A262)&gt;0,"YES","NO"))</f>
        <v/>
      </c>
      <c r="AQ262" s="152">
        <f>IF($A262="","",IF(COUNTIFS($A$3:$A262,$A262,$C$3:$C262,$C262,$D$3:$D262,$D262)=1,"YES","NO"))</f>
        <v/>
      </c>
      <c r="AR262" s="152">
        <f>IF($A262="","",IF(AND($C262&amp;"-"&amp;$D262&gt;=Settings!$B$19,$C262&amp;"-"&amp;$D262&lt;=Settings!$B$20),"IN","OUT"))</f>
        <v/>
      </c>
      <c r="AS262" s="152">
        <f>IF($A262="","",IF($F262="Financial Results","financials",IF($F262="Outlook/Guidance","guidance",IF($F262="Transcript Q&amp;A","qanda",IF($F262="","unrecorded",IF($E262="All","full",IF($E262="","unrecorded",LOWER($E262)&amp;" only")))))))</f>
        <v/>
      </c>
      <c r="AT262" s="152">
        <f>IF(AND(OR($J262="BUY",$J262="SELL"),ISNUMBER($U262)),$U262,"")</f>
        <v/>
      </c>
      <c r="AU262" s="152">
        <f>IF(AND(OR($J262="BUY",$J262="SELL"),ISNUMBER($AK262)),$AK262,"")</f>
        <v/>
      </c>
      <c r="AV262" s="152">
        <f>IF(ISNUMBER($AT262),ABS(IF(ISNUMBER($I262),$I262,0)-Settings!$B$24),"")</f>
        <v/>
      </c>
      <c r="AW262" s="152">
        <f>IF(ISNUMBER($AV262),$AV262*$AT262,"")</f>
        <v/>
      </c>
      <c r="AX262" s="152">
        <f>IF(ISNUMBER($AU262),ABS(IF(ISNUMBER($I262),$I262,0)-Settings!$B$24),"")</f>
        <v/>
      </c>
      <c r="AY262" s="152" t="inlineStr">
        <is>
          <t>FROZEN</t>
        </is>
      </c>
      <c r="AZ262" s="152">
        <f>IF($A262="","",IFERROR(INDEX(Company_List!$H$3:$H$207,MATCH($A262,Company_List!$A$3:$A$207,0)),"unassigned"))</f>
        <v/>
      </c>
      <c r="BA262" s="152" t="n"/>
      <c r="BB262" s="152" t="n"/>
      <c r="BC262" s="152">
        <f>IF($A262="","",IF(COUNTIFS($A$3:$A262,$A262,$C$3:$C262,$C262,$D$3:$D262,$D262,$G$3:$G262,$G262)=1,1,0))</f>
        <v/>
      </c>
      <c r="BD262" s="152" t="n"/>
      <c r="BE262" s="152" t="n"/>
      <c r="BF262" s="152" t="n"/>
      <c r="BG262" s="152" t="inlineStr">
        <is>
          <t>no</t>
        </is>
      </c>
      <c r="BH262" s="152" t="n"/>
      <c r="BI262" s="152" t="n"/>
      <c r="BJ262" s="152" t="n"/>
      <c r="BK262" s="152">
        <f>IF(OR($H262&lt;&gt;"Human",$S262="",$J262="",$Y262="",$Z262=""),"",IF(EXACT(UPPER($J262),UPPER($Y262)),1,0))</f>
        <v/>
      </c>
      <c r="BL262" s="152" t="inlineStr">
        <is>
          <t>assumed - no rater record</t>
        </is>
      </c>
      <c r="BM262" s="152" t="n">
        <v>3</v>
      </c>
      <c r="BN262" s="152" t="inlineStr">
        <is>
          <t>MarketScreener (Surperformance SAS)</t>
        </is>
      </c>
      <c r="BO262" s="152" t="inlineStr">
        <is>
          <t>licensed vendor</t>
        </is>
      </c>
      <c r="BP262" s="152" t="inlineStr">
        <is>
          <t>no</t>
        </is>
      </c>
      <c r="BQ262" s="152" t="inlineStr">
        <is>
          <t>no</t>
        </is>
      </c>
      <c r="BR262" s="152" t="n"/>
      <c r="BS262" s="152" t="inlineStr">
        <is>
          <t>YES</t>
        </is>
      </c>
      <c r="BT262" s="152" t="n"/>
    </row>
    <row r="263" ht="15" customHeight="1" s="241">
      <c r="A263" s="191" t="inlineStr">
        <is>
          <t>Palantir</t>
        </is>
      </c>
      <c r="B263" s="188">
        <f>IF(A263="","",_xlfn.XLOOKUP(A263, Company_List!$A:$A, Company_List!$B:$B, ""))</f>
        <v/>
      </c>
      <c r="C263" s="177" t="n">
        <v>2025</v>
      </c>
      <c r="D263" s="177" t="inlineStr">
        <is>
          <t>Q3</t>
        </is>
      </c>
      <c r="E263" s="178" t="inlineStr">
        <is>
          <t>All</t>
        </is>
      </c>
      <c r="F263" s="178" t="inlineStr">
        <is>
          <t>All</t>
        </is>
      </c>
      <c r="G263" s="177" t="inlineStr">
        <is>
          <t>Nigel</t>
        </is>
      </c>
      <c r="H263" s="177" t="inlineStr">
        <is>
          <t>Human</t>
        </is>
      </c>
      <c r="I263" s="180" t="n">
        <v>0.9</v>
      </c>
      <c r="J263" s="180">
        <f>IF(OR(I263="",Settings!$B$6=""),"",IF(I263&gt;Settings!$B$6,"BUY",IF(I263&lt;-Settings!$B$6,"SELL","HOLD")))</f>
        <v/>
      </c>
      <c r="K263" s="180" t="n">
        <v>21</v>
      </c>
      <c r="L263" s="182" t="n">
        <v>45964</v>
      </c>
      <c r="M263" s="182" t="n">
        <v>45964</v>
      </c>
      <c r="N263" s="179" t="n">
        <v>207.18</v>
      </c>
      <c r="O263" s="182" t="n">
        <v>45965</v>
      </c>
      <c r="P263" s="180" t="n">
        <v>192.07</v>
      </c>
      <c r="Q263" s="184">
        <f>IF(OR(N263="",P263=""),"",ROUND((P263-N263)/N263,4))</f>
        <v/>
      </c>
      <c r="R263" s="177">
        <f>IF(OR(N263="",P263=""),"",IF(Q263&gt;Settings!$B$3/100,"UP",IF(Q263&lt;-Settings!$B$3/100,"DOWN","FLAT")))</f>
        <v/>
      </c>
      <c r="S263" s="177">
        <f>IF(OR(N263="",P263="",J263=""),"",IF(OR(AND(J263="BUY",R263="UP"),AND(J263="SELL",R263="DOWN"),AND(J263="HOLD",R263="FLAT")),"YES","NO"))</f>
        <v/>
      </c>
      <c r="T263" s="176">
        <f>IF(J263="","",IF(J263="BUY",1,IF(J263="SELL",-1,0)))</f>
        <v/>
      </c>
      <c r="U263" s="184">
        <f>IFERROR(IF(OR(J263="",N263="",P263=""),"",IF(T263=0,0,T263*Q263-Settings!$B$4/10000-IF(T263&lt;0,Settings!$B$5/10000,0))),"")</f>
        <v/>
      </c>
      <c r="V263" s="152" t="n"/>
      <c r="W263" s="176">
        <f>IF($K263="","",$K263*60)</f>
        <v/>
      </c>
      <c r="X263" s="186">
        <f>IF($A263="","",$A263&amp;"|"&amp;$C263&amp;"|"&amp;$D263)</f>
        <v/>
      </c>
      <c r="Y263" s="186">
        <f>IFERROR(IF($X263="","",INDEX(LLM_Data_Entry!$H$3:$H$548,MATCH($X263,INDEX(LLM_Data_Entry!$A$3:$A$548&amp;"|"&amp;LLM_Data_Entry!$C$3:$C$548&amp;"|"&amp;LLM_Data_Entry!$D$3:$D$548,0),0))),"")</f>
        <v/>
      </c>
      <c r="Z263" s="186">
        <f>IFERROR(IF($X263="","",INDEX(LLM_Data_Entry!$R$3:$R$548,MATCH($X263,INDEX(LLM_Data_Entry!$A$3:$A$548&amp;"|"&amp;LLM_Data_Entry!$C$3:$C$548&amp;"|"&amp;LLM_Data_Entry!$D$3:$D$548,0),0))),"")</f>
        <v/>
      </c>
      <c r="AA263" s="152" t="n"/>
      <c r="AB263" s="152" t="n"/>
      <c r="AC263" s="152" t="n"/>
      <c r="AD263" s="152" t="n"/>
      <c r="AE263" s="152" t="n"/>
      <c r="AF263" s="152" t="n"/>
      <c r="AG263" s="152" t="n"/>
      <c r="AH263" s="152" t="n"/>
      <c r="AI263" s="152" t="n"/>
      <c r="AJ263" s="152" t="n"/>
      <c r="AK263" s="152" t="n"/>
      <c r="AL263" s="152">
        <f>IF($A263="","",IFERROR(INDEX(Company_List!$G$3:$G$207,MATCH($A263,Company_List!$A$3:$A$207,0)),"unassigned"))</f>
        <v/>
      </c>
      <c r="AM263" s="152" t="inlineStr">
        <is>
          <t>Phase 3/Readings/Palantir/Q3/Transcript : Palantir Technologies Inc., Q3 2025 Earnings Call, Nov 03, 2025 | MarketScreener UK.pdf; Phase 3/Readings/Palantir/Q3/Q3 2025 | Letter to Shareholders.pdf; Phase 3/Readings/Palantir/Q3/Palantir - Q3 2025 Investor Presentation.pdf</t>
        </is>
      </c>
      <c r="AN263" s="152" t="n"/>
      <c r="AO263" s="152" t="inlineStr">
        <is>
          <t>whole bundle (Document = All)</t>
        </is>
      </c>
      <c r="AP263" s="152">
        <f>IF($A263="","",IF(COUNTIFS(LLM_Data_Entry!$A$3:$A$548,$A263)&gt;0,"YES","NO"))</f>
        <v/>
      </c>
      <c r="AQ263" s="152">
        <f>IF($A263="","",IF(COUNTIFS($A$3:$A263,$A263,$C$3:$C263,$C263,$D$3:$D263,$D263)=1,"YES","NO"))</f>
        <v/>
      </c>
      <c r="AR263" s="152">
        <f>IF($A263="","",IF(AND($C263&amp;"-"&amp;$D263&gt;=Settings!$B$19,$C263&amp;"-"&amp;$D263&lt;=Settings!$B$20),"IN","OUT"))</f>
        <v/>
      </c>
      <c r="AS263" s="152">
        <f>IF($A263="","",IF($F263="Financial Results","financials",IF($F263="Outlook/Guidance","guidance",IF($F263="Transcript Q&amp;A","qanda",IF($F263="","unrecorded",IF($E263="All","full",IF($E263="","unrecorded",LOWER($E263)&amp;" only")))))))</f>
        <v/>
      </c>
      <c r="AT263" s="152">
        <f>IF(AND(OR($J263="BUY",$J263="SELL"),ISNUMBER($U263)),$U263,"")</f>
        <v/>
      </c>
      <c r="AU263" s="152">
        <f>IF(AND(OR($J263="BUY",$J263="SELL"),ISNUMBER($AK263)),$AK263,"")</f>
        <v/>
      </c>
      <c r="AV263" s="152">
        <f>IF(ISNUMBER($AT263),ABS(IF(ISNUMBER($I263),$I263,0)-Settings!$B$24),"")</f>
        <v/>
      </c>
      <c r="AW263" s="152">
        <f>IF(ISNUMBER($AV263),$AV263*$AT263,"")</f>
        <v/>
      </c>
      <c r="AX263" s="152">
        <f>IF(ISNUMBER($AU263),ABS(IF(ISNUMBER($I263),$I263,0)-Settings!$B$24),"")</f>
        <v/>
      </c>
      <c r="AY263" s="152" t="inlineStr">
        <is>
          <t>FROZEN</t>
        </is>
      </c>
      <c r="AZ263" s="152">
        <f>IF($A263="","",IFERROR(INDEX(Company_List!$H$3:$H$207,MATCH($A263,Company_List!$A$3:$A$207,0)),"unassigned"))</f>
        <v/>
      </c>
      <c r="BA263" s="152" t="n"/>
      <c r="BB263" s="152" t="n"/>
      <c r="BC263" s="152">
        <f>IF($A263="","",IF(COUNTIFS($A$3:$A263,$A263,$C$3:$C263,$C263,$D$3:$D263,$D263,$G$3:$G263,$G263)=1,1,0))</f>
        <v/>
      </c>
      <c r="BD263" s="152" t="n"/>
      <c r="BE263" s="152" t="n"/>
      <c r="BF263" s="152" t="n"/>
      <c r="BG263" s="152" t="inlineStr">
        <is>
          <t>no</t>
        </is>
      </c>
      <c r="BH263" s="152" t="n"/>
      <c r="BI263" s="152" t="n"/>
      <c r="BJ263" s="152" t="n"/>
      <c r="BK263" s="152">
        <f>IF(OR($H263&lt;&gt;"Human",$S263="",$J263="",$Y263="",$Z263=""),"",IF(EXACT(UPPER($J263),UPPER($Y263)),1,0))</f>
        <v/>
      </c>
      <c r="BL263" s="152" t="inlineStr">
        <is>
          <t>assumed - no rater record</t>
        </is>
      </c>
      <c r="BM263" s="152" t="n">
        <v>3</v>
      </c>
      <c r="BN263" s="152" t="inlineStr">
        <is>
          <t>MarketScreener (Surperformance SAS)</t>
        </is>
      </c>
      <c r="BO263" s="152" t="inlineStr">
        <is>
          <t>licensed vendor</t>
        </is>
      </c>
      <c r="BP263" s="152" t="inlineStr">
        <is>
          <t>no</t>
        </is>
      </c>
      <c r="BQ263" s="152" t="inlineStr">
        <is>
          <t>no</t>
        </is>
      </c>
      <c r="BR263" s="152" t="n"/>
      <c r="BS263" s="152" t="inlineStr">
        <is>
          <t>YES</t>
        </is>
      </c>
      <c r="BT263" s="152" t="n"/>
    </row>
    <row r="264" ht="15" customHeight="1" s="241">
      <c r="A264" s="191" t="inlineStr">
        <is>
          <t>Palantir</t>
        </is>
      </c>
      <c r="B264" s="188">
        <f>IF(A264="","",_xlfn.XLOOKUP(A264, Company_List!$A:$A, Company_List!$B:$B, ""))</f>
        <v/>
      </c>
      <c r="C264" s="177" t="n">
        <v>2025</v>
      </c>
      <c r="D264" s="177" t="inlineStr">
        <is>
          <t>Q4</t>
        </is>
      </c>
      <c r="E264" s="178" t="inlineStr">
        <is>
          <t>Transcript</t>
        </is>
      </c>
      <c r="F264" s="178" t="inlineStr">
        <is>
          <t>Transcript Q&amp;A</t>
        </is>
      </c>
      <c r="G264" s="177" t="inlineStr">
        <is>
          <t>Nigel</t>
        </is>
      </c>
      <c r="H264" s="177" t="inlineStr">
        <is>
          <t>Human</t>
        </is>
      </c>
      <c r="I264" s="180" t="n">
        <v>0.5</v>
      </c>
      <c r="J264" s="180">
        <f>IF(OR(I264="",Settings!$B$6=""),"",IF(I264&gt;Settings!$B$6,"BUY",IF(I264&lt;-Settings!$B$6,"SELL","HOLD")))</f>
        <v/>
      </c>
      <c r="K264" s="180" t="n">
        <v>15</v>
      </c>
      <c r="L264" s="182" t="n">
        <v>46055</v>
      </c>
      <c r="M264" s="182" t="n">
        <v>46055</v>
      </c>
      <c r="N264" s="179" t="n">
        <v>147.76</v>
      </c>
      <c r="O264" s="182" t="n">
        <v>46056</v>
      </c>
      <c r="P264" s="180" t="n">
        <v>165.05</v>
      </c>
      <c r="Q264" s="184">
        <f>IF(OR(N264="",P264=""),"",ROUND((P264-N264)/N264,4))</f>
        <v/>
      </c>
      <c r="R264" s="177">
        <f>IF(OR(N264="",P264=""),"",IF(Q264&gt;Settings!$B$3/100,"UP",IF(Q264&lt;-Settings!$B$3/100,"DOWN","FLAT")))</f>
        <v/>
      </c>
      <c r="S264" s="177">
        <f>IF(OR(N264="",P264="",J264=""),"",IF(OR(AND(J264="BUY",R264="UP"),AND(J264="SELL",R264="DOWN"),AND(J264="HOLD",R264="FLAT")),"YES","NO"))</f>
        <v/>
      </c>
      <c r="T264" s="176">
        <f>IF(J264="","",IF(J264="BUY",1,IF(J264="SELL",-1,0)))</f>
        <v/>
      </c>
      <c r="U264" s="184">
        <f>IFERROR(IF(OR(J264="",N264="",P264=""),"",IF(T264=0,0,T264*Q264-Settings!$B$4/10000-IF(T264&lt;0,Settings!$B$5/10000,0))),"")</f>
        <v/>
      </c>
      <c r="V264" s="152" t="n"/>
      <c r="W264" s="176">
        <f>IF($K264="","",$K264*60)</f>
        <v/>
      </c>
      <c r="X264" s="186">
        <f>IF($A264="","",$A264&amp;"|"&amp;$C264&amp;"|"&amp;$D264)</f>
        <v/>
      </c>
      <c r="Y264" s="186">
        <f>IFERROR(IF($X264="","",INDEX(LLM_Data_Entry!$H$3:$H$548,MATCH($X264,INDEX(LLM_Data_Entry!$A$3:$A$548&amp;"|"&amp;LLM_Data_Entry!$C$3:$C$548&amp;"|"&amp;LLM_Data_Entry!$D$3:$D$548,0),0))),"")</f>
        <v/>
      </c>
      <c r="Z264" s="186">
        <f>IFERROR(IF($X264="","",INDEX(LLM_Data_Entry!$R$3:$R$548,MATCH($X264,INDEX(LLM_Data_Entry!$A$3:$A$548&amp;"|"&amp;LLM_Data_Entry!$C$3:$C$548&amp;"|"&amp;LLM_Data_Entry!$D$3:$D$548,0),0))),"")</f>
        <v/>
      </c>
      <c r="AA264" s="152" t="n"/>
      <c r="AB264" s="152" t="n"/>
      <c r="AC264" s="152" t="n"/>
      <c r="AD264" s="152" t="n"/>
      <c r="AE264" s="152" t="n"/>
      <c r="AF264" s="152" t="n"/>
      <c r="AG264" s="152" t="n"/>
      <c r="AH264" s="152" t="n"/>
      <c r="AI264" s="152" t="n"/>
      <c r="AJ264" s="152" t="n"/>
      <c r="AK264" s="152" t="n"/>
      <c r="AL264" s="152">
        <f>IF($A264="","",IFERROR(INDEX(Company_List!$G$3:$G$207,MATCH($A264,Company_List!$A$3:$A$207,0)),"unassigned"))</f>
        <v/>
      </c>
      <c r="AM264" s="152"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N264" s="152" t="n"/>
      <c r="AO264" s="152" t="inlineStr">
        <is>
          <t>whole bundle (Document = All)</t>
        </is>
      </c>
      <c r="AP264" s="152">
        <f>IF($A264="","",IF(COUNTIFS(LLM_Data_Entry!$A$3:$A$548,$A264)&gt;0,"YES","NO"))</f>
        <v/>
      </c>
      <c r="AQ264" s="152">
        <f>IF($A264="","",IF(COUNTIFS($A$3:$A264,$A264,$C$3:$C264,$C264,$D$3:$D264,$D264)=1,"YES","NO"))</f>
        <v/>
      </c>
      <c r="AR264" s="152">
        <f>IF($A264="","",IF(AND($C264&amp;"-"&amp;$D264&gt;=Settings!$B$19,$C264&amp;"-"&amp;$D264&lt;=Settings!$B$20),"IN","OUT"))</f>
        <v/>
      </c>
      <c r="AS264" s="152">
        <f>IF($A264="","",IF($F264="Financial Results","financials",IF($F264="Outlook/Guidance","guidance",IF($F264="Transcript Q&amp;A","qanda",IF($F264="","unrecorded",IF($E264="All","full",IF($E264="","unrecorded",LOWER($E264)&amp;" only")))))))</f>
        <v/>
      </c>
      <c r="AT264" s="152">
        <f>IF(AND(OR($J264="BUY",$J264="SELL"),ISNUMBER($U264)),$U264,"")</f>
        <v/>
      </c>
      <c r="AU264" s="152">
        <f>IF(AND(OR($J264="BUY",$J264="SELL"),ISNUMBER($AK264)),$AK264,"")</f>
        <v/>
      </c>
      <c r="AV264" s="152">
        <f>IF(ISNUMBER($AT264),ABS(IF(ISNUMBER($I264),$I264,0)-Settings!$B$24),"")</f>
        <v/>
      </c>
      <c r="AW264" s="152">
        <f>IF(ISNUMBER($AV264),$AV264*$AT264,"")</f>
        <v/>
      </c>
      <c r="AX264" s="152">
        <f>IF(ISNUMBER($AU264),ABS(IF(ISNUMBER($I264),$I264,0)-Settings!$B$24),"")</f>
        <v/>
      </c>
      <c r="AY264" s="152" t="inlineStr">
        <is>
          <t>FROZEN</t>
        </is>
      </c>
      <c r="AZ264" s="152">
        <f>IF($A264="","",IFERROR(INDEX(Company_List!$H$3:$H$207,MATCH($A264,Company_List!$A$3:$A$207,0)),"unassigned"))</f>
        <v/>
      </c>
      <c r="BA264" s="152" t="n"/>
      <c r="BB264" s="152" t="n"/>
      <c r="BC264" s="152">
        <f>IF($A264="","",IF(COUNTIFS($A$3:$A264,$A264,$C$3:$C264,$C264,$D$3:$D264,$D264,$G$3:$G264,$G264)=1,1,0))</f>
        <v/>
      </c>
      <c r="BD264" s="152" t="n"/>
      <c r="BE264" s="152" t="n"/>
      <c r="BF264" s="152" t="n"/>
      <c r="BG264" s="152" t="inlineStr">
        <is>
          <t>no</t>
        </is>
      </c>
      <c r="BH264" s="152" t="n"/>
      <c r="BI264" s="152" t="n"/>
      <c r="BJ264" s="152" t="n"/>
      <c r="BK264" s="152">
        <f>IF(OR($H264&lt;&gt;"Human",$S264="",$J264="",$Y264="",$Z264=""),"",IF(EXACT(UPPER($J264),UPPER($Y264)),1,0))</f>
        <v/>
      </c>
      <c r="BL264" s="152" t="inlineStr">
        <is>
          <t>assumed - no rater record</t>
        </is>
      </c>
      <c r="BM264" s="152" t="n">
        <v>4</v>
      </c>
      <c r="BN264" s="152" t="inlineStr">
        <is>
          <t>MarketScreener (Surperformance SAS)</t>
        </is>
      </c>
      <c r="BO264" s="152" t="inlineStr">
        <is>
          <t>licensed vendor</t>
        </is>
      </c>
      <c r="BP264" s="152" t="inlineStr">
        <is>
          <t>one of several</t>
        </is>
      </c>
      <c r="BQ264" s="152" t="inlineStr">
        <is>
          <t>no</t>
        </is>
      </c>
      <c r="BR264" s="152" t="n"/>
      <c r="BS264" s="152" t="inlineStr">
        <is>
          <t>YES</t>
        </is>
      </c>
      <c r="BT264" s="152" t="n"/>
    </row>
    <row r="265" ht="15" customHeight="1" s="241">
      <c r="A265" s="191" t="inlineStr">
        <is>
          <t>MetLife</t>
        </is>
      </c>
      <c r="B265" s="188">
        <f>IF(A265="","",_xlfn.XLOOKUP(A265, Company_List!$A:$A, Company_List!$B:$B, ""))</f>
        <v/>
      </c>
      <c r="C265" s="177" t="n">
        <v>2025</v>
      </c>
      <c r="D265" s="177" t="inlineStr">
        <is>
          <t>Q1</t>
        </is>
      </c>
      <c r="E265" s="178" t="inlineStr">
        <is>
          <t>All</t>
        </is>
      </c>
      <c r="F265" s="178" t="inlineStr">
        <is>
          <t>All</t>
        </is>
      </c>
      <c r="G265" s="177" t="inlineStr">
        <is>
          <t>Dragos</t>
        </is>
      </c>
      <c r="H265" s="177" t="inlineStr">
        <is>
          <t>Human</t>
        </is>
      </c>
      <c r="I265" s="180" t="n">
        <v>0.3</v>
      </c>
      <c r="J265" s="180">
        <f>IF(OR(I265="",Settings!$B$6=""),"",IF(I265&gt;Settings!$B$6,"BUY",IF(I265&lt;-Settings!$B$6,"SELL","HOLD")))</f>
        <v/>
      </c>
      <c r="K265" s="180" t="n">
        <v>25</v>
      </c>
      <c r="L265" s="182" t="n">
        <v>45777</v>
      </c>
      <c r="M265" s="182" t="n">
        <v>45777</v>
      </c>
      <c r="N265" s="179" t="n">
        <v>75.37</v>
      </c>
      <c r="O265" s="182" t="n">
        <v>45778</v>
      </c>
      <c r="P265" s="180" t="n">
        <v>76.36</v>
      </c>
      <c r="Q265" s="184">
        <f>IF(OR(N265="",P265=""),"",ROUND((P265-N265)/N265,4))</f>
        <v/>
      </c>
      <c r="R265" s="177">
        <f>IF(OR(N265="",P265=""),"",IF(Q265&gt;Settings!$B$3/100,"UP",IF(Q265&lt;-Settings!$B$3/100,"DOWN","FLAT")))</f>
        <v/>
      </c>
      <c r="S265" s="177">
        <f>IF(OR(N265="",P265="",J265=""),"",IF(OR(AND(J265="BUY",R265="UP"),AND(J265="SELL",R265="DOWN"),AND(J265="HOLD",R265="FLAT")),"YES","NO"))</f>
        <v/>
      </c>
      <c r="T265" s="176">
        <f>IF(J265="","",IF(J265="BUY",1,IF(J265="SELL",-1,0)))</f>
        <v/>
      </c>
      <c r="U265" s="184">
        <f>IFERROR(IF(OR(J265="",N265="",P265=""),"",IF(T265=0,0,T265*Q265-Settings!$B$4/10000-IF(T265&lt;0,Settings!$B$5/10000,0))),"")</f>
        <v/>
      </c>
      <c r="V265" s="152" t="n"/>
      <c r="W265" s="176">
        <f>IF($K265="","",$K265*60)</f>
        <v/>
      </c>
      <c r="X265" s="186">
        <f>IF($A265="","",$A265&amp;"|"&amp;$C265&amp;"|"&amp;$D265)</f>
        <v/>
      </c>
      <c r="Y265" s="186">
        <f>IFERROR(IF($X265="","",INDEX(LLM_Data_Entry!$H$3:$H$548,MATCH($X265,INDEX(LLM_Data_Entry!$A$3:$A$548&amp;"|"&amp;LLM_Data_Entry!$C$3:$C$548&amp;"|"&amp;LLM_Data_Entry!$D$3:$D$548,0),0))),"")</f>
        <v/>
      </c>
      <c r="Z265" s="186">
        <f>IFERROR(IF($X265="","",INDEX(LLM_Data_Entry!$R$3:$R$548,MATCH($X265,INDEX(LLM_Data_Entry!$A$3:$A$548&amp;"|"&amp;LLM_Data_Entry!$C$3:$C$548&amp;"|"&amp;LLM_Data_Entry!$D$3:$D$548,0),0))),"")</f>
        <v/>
      </c>
      <c r="AA265" s="152" t="n"/>
      <c r="AB265" s="152" t="inlineStr">
        <is>
          <t>release date + stated time</t>
        </is>
      </c>
      <c r="AC265" s="152" t="inlineStr">
        <is>
          <t>MET</t>
        </is>
      </c>
      <c r="AD265" s="152" t="inlineStr">
        <is>
          <t>2025-04-30</t>
        </is>
      </c>
      <c r="AE265" s="152" t="n">
        <v>72.1883</v>
      </c>
      <c r="AF265" s="152" t="inlineStr">
        <is>
          <t>2025-05-01</t>
        </is>
      </c>
      <c r="AG265" s="152" t="n">
        <v>73.1365</v>
      </c>
      <c r="AH265" s="152" t="n">
        <v>0.01313519273474064</v>
      </c>
      <c r="AI265" s="152" t="inlineStr">
        <is>
          <t>FLAT</t>
        </is>
      </c>
      <c r="AJ265" s="152" t="inlineStr">
        <is>
          <t>NO</t>
        </is>
      </c>
      <c r="AK265" s="152" t="n">
        <v>0.012135</v>
      </c>
      <c r="AL265" s="152">
        <f>IF($A265="","",IFERROR(INDEX(Company_List!$G$3:$G$207,MATCH($A265,Company_List!$A$3:$A$207,0)),"unassigned"))</f>
        <v/>
      </c>
      <c r="AM265" s="152" t="inlineStr">
        <is>
          <t>Phase 2/MetLife/Q1 2025/MET-Q1-2025-press-release-SEC-EX99-1.htm; Phase 2/MetLife/Q1 2025/MET-Q1-2025-exhibit-SEC-EX99-2.htm; Phase 2/MetLife/Q1 2025/MET-Q1-2025-earnings-call-transcript-InsiderMonkey.html</t>
        </is>
      </c>
      <c r="AN265" s="152" t="inlineStr">
        <is>
          <t>https://www.insidermonkey.com/blog/metlife-inc-nysemet-q1-2025-earnings-call-transcript-1523164/; https://www.sec.gov/Archives/edgar/data/1099219/000109921925000133/ex991earningsreleasetables.htm; https://www.sec.gov/Archives/edgar/data/1099219/000109921925000133/ex992qfsq125.htm</t>
        </is>
      </c>
      <c r="AO265" s="152" t="inlineStr">
        <is>
          <t>manifest (whole bundle)</t>
        </is>
      </c>
      <c r="AP265" s="152">
        <f>IF($A265="","",IF(COUNTIFS(LLM_Data_Entry!$A$3:$A$548,$A265)&gt;0,"YES","NO"))</f>
        <v/>
      </c>
      <c r="AQ265" s="152">
        <f>IF($A265="","",IF(COUNTIFS($A$3:$A265,$A265,$C$3:$C265,$C265,$D$3:$D265,$D265)=1,"YES","NO"))</f>
        <v/>
      </c>
      <c r="AR265" s="152">
        <f>IF($A265="","",IF(AND($C265&amp;"-"&amp;$D265&gt;=Settings!$B$19,$C265&amp;"-"&amp;$D265&lt;=Settings!$B$20),"IN","OUT"))</f>
        <v/>
      </c>
      <c r="AS265" s="152">
        <f>IF($A265="","",IF($F265="Financial Results","financials",IF($F265="Outlook/Guidance","guidance",IF($F265="Transcript Q&amp;A","qanda",IF($F265="","unrecorded",IF($E265="All","full",IF($E265="","unrecorded",LOWER($E265)&amp;" only")))))))</f>
        <v/>
      </c>
      <c r="AT265" s="152">
        <f>IF(AND(OR($J265="BUY",$J265="SELL"),ISNUMBER($U265)),$U265,"")</f>
        <v/>
      </c>
      <c r="AU265" s="152">
        <f>IF(AND(OR($J265="BUY",$J265="SELL"),ISNUMBER($AK265)),$AK265,"")</f>
        <v/>
      </c>
      <c r="AV265" s="152">
        <f>IF(ISNUMBER($AT265),ABS(IF(ISNUMBER($I265),$I265,0)-Settings!$B$24),"")</f>
        <v/>
      </c>
      <c r="AW265" s="152">
        <f>IF(ISNUMBER($AV265),$AV265*$AT265,"")</f>
        <v/>
      </c>
      <c r="AX265" s="152">
        <f>IF(ISNUMBER($AU265),ABS(IF(ISNUMBER($I265),$I265,0)-Settings!$B$24),"")</f>
        <v/>
      </c>
      <c r="AY265" s="152" t="inlineStr">
        <is>
          <t>FROZEN</t>
        </is>
      </c>
      <c r="AZ265" s="152">
        <f>IF($A265="","",IFERROR(INDEX(Company_List!$H$3:$H$207,MATCH($A265,Company_List!$A$3:$A$207,0)),"unassigned"))</f>
        <v/>
      </c>
      <c r="BA265" s="152" t="n"/>
      <c r="BB265" s="152" t="n"/>
      <c r="BC265" s="152">
        <f>IF($A265="","",IF(COUNTIFS($A$3:$A265,$A265,$C$3:$C265,$C265,$D$3:$D265,$D265,$G$3:$G265,$G265)=1,1,0))</f>
        <v/>
      </c>
      <c r="BD265" s="152" t="n"/>
      <c r="BE265" s="152" t="n"/>
      <c r="BF265" s="152" t="n"/>
      <c r="BG265" s="152" t="inlineStr">
        <is>
          <t>no</t>
        </is>
      </c>
      <c r="BH265" s="152" t="n"/>
      <c r="BI265" s="152" t="n"/>
      <c r="BJ265" s="152" t="n"/>
      <c r="BK265" s="152">
        <f>IF(OR($H265&lt;&gt;"Human",$S265="",$J265="",$Y265="",$Z265=""),"",IF(EXACT(UPPER($J265),UPPER($Y265)),1,0))</f>
        <v/>
      </c>
      <c r="BL265" s="152" t="inlineStr">
        <is>
          <t>assumed - no rater record</t>
        </is>
      </c>
      <c r="BM265" s="152" t="n">
        <v>3</v>
      </c>
      <c r="BN265" s="152" t="inlineStr">
        <is>
          <t>Insider Monkey (Koala Guide LLC)</t>
        </is>
      </c>
      <c r="BO265" s="152" t="inlineStr">
        <is>
          <t>free to read, copyright asserted</t>
        </is>
      </c>
      <c r="BP265" s="152" t="inlineStr">
        <is>
          <t>no</t>
        </is>
      </c>
      <c r="BQ265" s="152" t="inlineStr">
        <is>
          <t>yes</t>
        </is>
      </c>
      <c r="BR265" s="152" t="n"/>
      <c r="BS265" s="152" t="inlineStr">
        <is>
          <t>NO</t>
        </is>
      </c>
      <c r="BT265" s="152" t="inlineStr">
        <is>
          <t>human-only event; not in LLM returns_matrix — EDGAR lookup deferred, manual verification required</t>
        </is>
      </c>
    </row>
    <row r="266" ht="15" customHeight="1" s="241">
      <c r="A266" s="191" t="inlineStr">
        <is>
          <t>MetLife</t>
        </is>
      </c>
      <c r="B266" s="188">
        <f>IF(A266="","",_xlfn.XLOOKUP(A266, Company_List!$A:$A, Company_List!$B:$B, ""))</f>
        <v/>
      </c>
      <c r="C266" s="177" t="n">
        <v>2025</v>
      </c>
      <c r="D266" s="177" t="inlineStr">
        <is>
          <t>Q2</t>
        </is>
      </c>
      <c r="E266" s="178" t="inlineStr">
        <is>
          <t>All</t>
        </is>
      </c>
      <c r="F266" s="178" t="inlineStr">
        <is>
          <t>All</t>
        </is>
      </c>
      <c r="G266" s="177" t="inlineStr">
        <is>
          <t>Dragos</t>
        </is>
      </c>
      <c r="H266" s="177" t="inlineStr">
        <is>
          <t>Human</t>
        </is>
      </c>
      <c r="I266" s="180" t="n">
        <v>-0.2</v>
      </c>
      <c r="J266" s="180">
        <f>IF(OR(I266="",Settings!$B$6=""),"",IF(I266&gt;Settings!$B$6,"BUY",IF(I266&lt;-Settings!$B$6,"SELL","HOLD")))</f>
        <v/>
      </c>
      <c r="K266" s="180" t="n">
        <v>23</v>
      </c>
      <c r="L266" s="182" t="n">
        <v>45875</v>
      </c>
      <c r="M266" s="182" t="n">
        <v>45875</v>
      </c>
      <c r="N266" s="179" t="n">
        <v>75.95</v>
      </c>
      <c r="O266" s="182" t="n">
        <v>45876</v>
      </c>
      <c r="P266" s="180" t="n">
        <v>72.09999999999999</v>
      </c>
      <c r="Q266" s="184">
        <f>IF(OR(N266="",P266=""),"",ROUND((P266-N266)/N266,4))</f>
        <v/>
      </c>
      <c r="R266" s="177">
        <f>IF(OR(N266="",P266=""),"",IF(Q266&gt;Settings!$B$3/100,"UP",IF(Q266&lt;-Settings!$B$3/100,"DOWN","FLAT")))</f>
        <v/>
      </c>
      <c r="S266" s="177">
        <f>IF(OR(N266="",P266="",J266=""),"",IF(OR(AND(J266="BUY",R266="UP"),AND(J266="SELL",R266="DOWN"),AND(J266="HOLD",R266="FLAT")),"YES","NO"))</f>
        <v/>
      </c>
      <c r="T266" s="176">
        <f>IF(J266="","",IF(J266="BUY",1,IF(J266="SELL",-1,0)))</f>
        <v/>
      </c>
      <c r="U266" s="184">
        <f>IFERROR(IF(OR(J266="",N266="",P266=""),"",IF(T266=0,0,T266*Q266-Settings!$B$4/10000-IF(T266&lt;0,Settings!$B$5/10000,0))),"")</f>
        <v/>
      </c>
      <c r="V266" s="152" t="n"/>
      <c r="W266" s="176">
        <f>IF($K266="","",$K266*60)</f>
        <v/>
      </c>
      <c r="X266" s="186">
        <f>IF($A266="","",$A266&amp;"|"&amp;$C266&amp;"|"&amp;$D266)</f>
        <v/>
      </c>
      <c r="Y266" s="186">
        <f>IFERROR(IF($X266="","",INDEX(LLM_Data_Entry!$H$3:$H$548,MATCH($X266,INDEX(LLM_Data_Entry!$A$3:$A$548&amp;"|"&amp;LLM_Data_Entry!$C$3:$C$548&amp;"|"&amp;LLM_Data_Entry!$D$3:$D$548,0),0))),"")</f>
        <v/>
      </c>
      <c r="Z266" s="186">
        <f>IFERROR(IF($X266="","",INDEX(LLM_Data_Entry!$R$3:$R$548,MATCH($X266,INDEX(LLM_Data_Entry!$A$3:$A$548&amp;"|"&amp;LLM_Data_Entry!$C$3:$C$548&amp;"|"&amp;LLM_Data_Entry!$D$3:$D$548,0),0))),"")</f>
        <v/>
      </c>
      <c r="AA266" s="152" t="n"/>
      <c r="AB266" s="152" t="inlineStr">
        <is>
          <t>release date + stated time in the document (document)</t>
        </is>
      </c>
      <c r="AC266" s="152" t="inlineStr">
        <is>
          <t>MET</t>
        </is>
      </c>
      <c r="AD266" s="152" t="inlineStr">
        <is>
          <t>2025-08-06</t>
        </is>
      </c>
      <c r="AE266" s="152" t="n">
        <v>73.842</v>
      </c>
      <c r="AF266" s="152" t="inlineStr">
        <is>
          <t>2025-08-07</t>
        </is>
      </c>
      <c r="AG266" s="152" t="n">
        <v>70.0989</v>
      </c>
      <c r="AH266" s="152" t="n">
        <v>-0.0506913954592661</v>
      </c>
      <c r="AI266" s="152" t="inlineStr">
        <is>
          <t>DOWN</t>
        </is>
      </c>
      <c r="AJ266" s="152" t="inlineStr">
        <is>
          <t>NO</t>
        </is>
      </c>
      <c r="AK266" s="152" t="n">
        <v>0</v>
      </c>
      <c r="AL266" s="152">
        <f>IF($A266="","",IFERROR(INDEX(Company_List!$G$3:$G$207,MATCH($A266,Company_List!$A$3:$A$207,0)),"unassigned"))</f>
        <v/>
      </c>
      <c r="AM266" s="152" t="inlineStr">
        <is>
          <t>Phase 2/MetLife/Q2 2025/MET-Q2-2025-press-release-SEC-EX99-1.htm; Phase 2/MetLife/Q2 2025/MET-Q2-2025-exhibit-SEC-EX99-2.htm; Phase 2/MetLife/Q2 2025/MET-Q2-2025-earnings-call-transcript-InsiderMonkey.html</t>
        </is>
      </c>
      <c r="AN266" s="152" t="inlineStr">
        <is>
          <t>https://www.insidermonkey.com/blog/metlife-inc-nysemet-q2-2025-earnings-call-transcript-1587127/; https://www.sec.gov/Archives/edgar/data/1099219/000109921925000191/ex991earningsreleasetables.htm; https://www.sec.gov/Archives/edgar/data/1099219/000109921925000191/ex992qfsq225.htm</t>
        </is>
      </c>
      <c r="AO266" s="152" t="inlineStr">
        <is>
          <t>manifest (whole bundle)</t>
        </is>
      </c>
      <c r="AP266" s="152">
        <f>IF($A266="","",IF(COUNTIFS(LLM_Data_Entry!$A$3:$A$548,$A266)&gt;0,"YES","NO"))</f>
        <v/>
      </c>
      <c r="AQ266" s="152">
        <f>IF($A266="","",IF(COUNTIFS($A$3:$A266,$A266,$C$3:$C266,$C266,$D$3:$D266,$D266)=1,"YES","NO"))</f>
        <v/>
      </c>
      <c r="AR266" s="152">
        <f>IF($A266="","",IF(AND($C266&amp;"-"&amp;$D266&gt;=Settings!$B$19,$C266&amp;"-"&amp;$D266&lt;=Settings!$B$20),"IN","OUT"))</f>
        <v/>
      </c>
      <c r="AS266" s="152">
        <f>IF($A266="","",IF($F266="Financial Results","financials",IF($F266="Outlook/Guidance","guidance",IF($F266="Transcript Q&amp;A","qanda",IF($F266="","unrecorded",IF($E266="All","full",IF($E266="","unrecorded",LOWER($E266)&amp;" only")))))))</f>
        <v/>
      </c>
      <c r="AT266" s="152">
        <f>IF(AND(OR($J266="BUY",$J266="SELL"),ISNUMBER($U266)),$U266,"")</f>
        <v/>
      </c>
      <c r="AU266" s="152">
        <f>IF(AND(OR($J266="BUY",$J266="SELL"),ISNUMBER($AK266)),$AK266,"")</f>
        <v/>
      </c>
      <c r="AV266" s="152">
        <f>IF(ISNUMBER($AT266),ABS(IF(ISNUMBER($I266),$I266,0)-Settings!$B$24),"")</f>
        <v/>
      </c>
      <c r="AW266" s="152">
        <f>IF(ISNUMBER($AV266),$AV266*$AT266,"")</f>
        <v/>
      </c>
      <c r="AX266" s="152">
        <f>IF(ISNUMBER($AU266),ABS(IF(ISNUMBER($I266),$I266,0)-Settings!$B$24),"")</f>
        <v/>
      </c>
      <c r="AY266" s="152" t="inlineStr">
        <is>
          <t>FROZEN</t>
        </is>
      </c>
      <c r="AZ266" s="152">
        <f>IF($A266="","",IFERROR(INDEX(Company_List!$H$3:$H$207,MATCH($A266,Company_List!$A$3:$A$207,0)),"unassigned"))</f>
        <v/>
      </c>
      <c r="BA266" s="152" t="n"/>
      <c r="BB266" s="152" t="n"/>
      <c r="BC266" s="152">
        <f>IF($A266="","",IF(COUNTIFS($A$3:$A266,$A266,$C$3:$C266,$C266,$D$3:$D266,$D266,$G$3:$G266,$G266)=1,1,0))</f>
        <v/>
      </c>
      <c r="BD266" s="152" t="n"/>
      <c r="BE266" s="152" t="n"/>
      <c r="BF266" s="152" t="n"/>
      <c r="BG266" s="152" t="inlineStr">
        <is>
          <t>no</t>
        </is>
      </c>
      <c r="BH266" s="152" t="n"/>
      <c r="BI266" s="152" t="n"/>
      <c r="BJ266" s="152" t="n"/>
      <c r="BK266" s="152">
        <f>IF(OR($H266&lt;&gt;"Human",$S266="",$J266="",$Y266="",$Z266=""),"",IF(EXACT(UPPER($J266),UPPER($Y266)),1,0))</f>
        <v/>
      </c>
      <c r="BL266" s="152" t="inlineStr">
        <is>
          <t>assumed - no rater record</t>
        </is>
      </c>
      <c r="BM266" s="152" t="n">
        <v>3</v>
      </c>
      <c r="BN266" s="152" t="inlineStr">
        <is>
          <t>Insider Monkey (Koala Guide LLC)</t>
        </is>
      </c>
      <c r="BO266" s="152" t="inlineStr">
        <is>
          <t>free to read, copyright asserted</t>
        </is>
      </c>
      <c r="BP266" s="152" t="inlineStr">
        <is>
          <t>no</t>
        </is>
      </c>
      <c r="BQ266" s="152" t="inlineStr">
        <is>
          <t>yes</t>
        </is>
      </c>
      <c r="BR266" s="152" t="n"/>
      <c r="BS266" s="152" t="inlineStr">
        <is>
          <t>YES</t>
        </is>
      </c>
      <c r="BT266" s="152" t="n"/>
    </row>
    <row r="267" ht="15" customHeight="1" s="241">
      <c r="A267" s="191" t="inlineStr">
        <is>
          <t>MetLife</t>
        </is>
      </c>
      <c r="B267" s="188">
        <f>IF(A267="","",_xlfn.XLOOKUP(A267, Company_List!$A:$A, Company_List!$B:$B, ""))</f>
        <v/>
      </c>
      <c r="C267" s="177" t="n">
        <v>2025</v>
      </c>
      <c r="D267" s="177" t="inlineStr">
        <is>
          <t>Q3</t>
        </is>
      </c>
      <c r="E267" s="178" t="inlineStr">
        <is>
          <t>All</t>
        </is>
      </c>
      <c r="F267" s="178" t="inlineStr">
        <is>
          <t>All</t>
        </is>
      </c>
      <c r="G267" s="177" t="inlineStr">
        <is>
          <t>Dragos</t>
        </is>
      </c>
      <c r="H267" s="177" t="inlineStr">
        <is>
          <t>Human</t>
        </is>
      </c>
      <c r="I267" s="180" t="n">
        <v>0.5</v>
      </c>
      <c r="J267" s="180">
        <f>IF(OR(I267="",Settings!$B$6=""),"",IF(I267&gt;Settings!$B$6,"BUY",IF(I267&lt;-Settings!$B$6,"SELL","HOLD")))</f>
        <v/>
      </c>
      <c r="K267" s="180" t="n">
        <v>20</v>
      </c>
      <c r="L267" s="182" t="n">
        <v>45966</v>
      </c>
      <c r="M267" s="182" t="n">
        <v>45966</v>
      </c>
      <c r="N267" s="179" t="n">
        <v>78.68000000000001</v>
      </c>
      <c r="O267" s="182" t="n">
        <v>45967</v>
      </c>
      <c r="P267" s="180" t="n">
        <v>79.5</v>
      </c>
      <c r="Q267" s="184">
        <f>IF(OR(N267="",P267=""),"",ROUND((P267-N267)/N267,4))</f>
        <v/>
      </c>
      <c r="R267" s="177">
        <f>IF(OR(N267="",P267=""),"",IF(Q267&gt;Settings!$B$3/100,"UP",IF(Q267&lt;-Settings!$B$3/100,"DOWN","FLAT")))</f>
        <v/>
      </c>
      <c r="S267" s="177">
        <f>IF(OR(N267="",P267="",J267=""),"",IF(OR(AND(J267="BUY",R267="UP"),AND(J267="SELL",R267="DOWN"),AND(J267="HOLD",R267="FLAT")),"YES","NO"))</f>
        <v/>
      </c>
      <c r="T267" s="176">
        <f>IF(J267="","",IF(J267="BUY",1,IF(J267="SELL",-1,0)))</f>
        <v/>
      </c>
      <c r="U267" s="184">
        <f>IFERROR(IF(OR(J267="",N267="",P267=""),"",IF(T267=0,0,T267*Q267-Settings!$B$4/10000-IF(T267&lt;0,Settings!$B$5/10000,0))),"")</f>
        <v/>
      </c>
      <c r="V267" s="152" t="n"/>
      <c r="W267" s="176">
        <f>IF($K267="","",$K267*60)</f>
        <v/>
      </c>
      <c r="X267" s="186">
        <f>IF($A267="","",$A267&amp;"|"&amp;$C267&amp;"|"&amp;$D267)</f>
        <v/>
      </c>
      <c r="Y267" s="186">
        <f>IFERROR(IF($X267="","",INDEX(LLM_Data_Entry!$H$3:$H$548,MATCH($X267,INDEX(LLM_Data_Entry!$A$3:$A$548&amp;"|"&amp;LLM_Data_Entry!$C$3:$C$548&amp;"|"&amp;LLM_Data_Entry!$D$3:$D$548,0),0))),"")</f>
        <v/>
      </c>
      <c r="Z267" s="186">
        <f>IFERROR(IF($X267="","",INDEX(LLM_Data_Entry!$R$3:$R$548,MATCH($X267,INDEX(LLM_Data_Entry!$A$3:$A$548&amp;"|"&amp;LLM_Data_Entry!$C$3:$C$548&amp;"|"&amp;LLM_Data_Entry!$D$3:$D$548,0),0))),"")</f>
        <v/>
      </c>
      <c r="AA267" s="152" t="n"/>
      <c r="AB267" s="152" t="inlineStr">
        <is>
          <t>release date + stated time in the document (document)</t>
        </is>
      </c>
      <c r="AC267" s="152" t="inlineStr">
        <is>
          <t>MET</t>
        </is>
      </c>
      <c r="AD267" s="152" t="inlineStr">
        <is>
          <t>2025-11-05</t>
        </is>
      </c>
      <c r="AE267" s="152" t="n">
        <v>77.0488</v>
      </c>
      <c r="AF267" s="152" t="inlineStr">
        <is>
          <t>2025-11-06</t>
        </is>
      </c>
      <c r="AG267" s="152" t="n">
        <v>77.8518</v>
      </c>
      <c r="AH267" s="152" t="n">
        <v>0.01042193452526113</v>
      </c>
      <c r="AI267" s="152" t="inlineStr">
        <is>
          <t>FLAT</t>
        </is>
      </c>
      <c r="AJ267" s="152" t="inlineStr">
        <is>
          <t>NO</t>
        </is>
      </c>
      <c r="AK267" s="152" t="n">
        <v>0.009422</v>
      </c>
      <c r="AL267" s="152">
        <f>IF($A267="","",IFERROR(INDEX(Company_List!$G$3:$G$207,MATCH($A267,Company_List!$A$3:$A$207,0)),"unassigned"))</f>
        <v/>
      </c>
      <c r="AM267" s="152" t="inlineStr">
        <is>
          <t>Phase 2/MetLife/Q3 2025/MET-Q3-2025-press-release-SEC-EX99-1.htm; Phase 2/MetLife/Q3 2025/MET-Q3-2025-exhibit-SEC-EX99-2.htm; Phase 2/MetLife/Q3 2025/MET-Q3-2025-earnings-call-transcript-news-alphastreet-com.html</t>
        </is>
      </c>
      <c r="AN267" s="152" t="inlineStr">
        <is>
          <t>https://news.alphastreet.com/metlife-inc-met-q3-2025-earnings-call-transcript/; https://www.sec.gov/Archives/edgar/data/1099219/000109921925000227/ex991earningsreleasetables.htm; https://www.sec.gov/Archives/edgar/data/1099219/000109921925000227/ex992qfsq325.htm</t>
        </is>
      </c>
      <c r="AO267" s="152" t="inlineStr">
        <is>
          <t>manifest (whole bundle)</t>
        </is>
      </c>
      <c r="AP267" s="152">
        <f>IF($A267="","",IF(COUNTIFS(LLM_Data_Entry!$A$3:$A$548,$A267)&gt;0,"YES","NO"))</f>
        <v/>
      </c>
      <c r="AQ267" s="152">
        <f>IF($A267="","",IF(COUNTIFS($A$3:$A267,$A267,$C$3:$C267,$C267,$D$3:$D267,$D267)=1,"YES","NO"))</f>
        <v/>
      </c>
      <c r="AR267" s="152">
        <f>IF($A267="","",IF(AND($C267&amp;"-"&amp;$D267&gt;=Settings!$B$19,$C267&amp;"-"&amp;$D267&lt;=Settings!$B$20),"IN","OUT"))</f>
        <v/>
      </c>
      <c r="AS267" s="152">
        <f>IF($A267="","",IF($F267="Financial Results","financials",IF($F267="Outlook/Guidance","guidance",IF($F267="Transcript Q&amp;A","qanda",IF($F267="","unrecorded",IF($E267="All","full",IF($E267="","unrecorded",LOWER($E267)&amp;" only")))))))</f>
        <v/>
      </c>
      <c r="AT267" s="152">
        <f>IF(AND(OR($J267="BUY",$J267="SELL"),ISNUMBER($U267)),$U267,"")</f>
        <v/>
      </c>
      <c r="AU267" s="152">
        <f>IF(AND(OR($J267="BUY",$J267="SELL"),ISNUMBER($AK267)),$AK267,"")</f>
        <v/>
      </c>
      <c r="AV267" s="152">
        <f>IF(ISNUMBER($AT267),ABS(IF(ISNUMBER($I267),$I267,0)-Settings!$B$24),"")</f>
        <v/>
      </c>
      <c r="AW267" s="152">
        <f>IF(ISNUMBER($AV267),$AV267*$AT267,"")</f>
        <v/>
      </c>
      <c r="AX267" s="152">
        <f>IF(ISNUMBER($AU267),ABS(IF(ISNUMBER($I267),$I267,0)-Settings!$B$24),"")</f>
        <v/>
      </c>
      <c r="AY267" s="152" t="inlineStr">
        <is>
          <t>FROZEN</t>
        </is>
      </c>
      <c r="AZ267" s="152">
        <f>IF($A267="","",IFERROR(INDEX(Company_List!$H$3:$H$207,MATCH($A267,Company_List!$A$3:$A$207,0)),"unassigned"))</f>
        <v/>
      </c>
      <c r="BA267" s="152" t="n"/>
      <c r="BB267" s="152" t="n"/>
      <c r="BC267" s="152">
        <f>IF($A267="","",IF(COUNTIFS($A$3:$A267,$A267,$C$3:$C267,$C267,$D$3:$D267,$D267,$G$3:$G267,$G267)=1,1,0))</f>
        <v/>
      </c>
      <c r="BD267" s="152" t="n"/>
      <c r="BE267" s="152" t="n"/>
      <c r="BF267" s="152" t="n"/>
      <c r="BG267" s="152" t="inlineStr">
        <is>
          <t>no</t>
        </is>
      </c>
      <c r="BH267" s="152" t="n"/>
      <c r="BI267" s="152" t="n"/>
      <c r="BJ267" s="152" t="n"/>
      <c r="BK267" s="152">
        <f>IF(OR($H267&lt;&gt;"Human",$S267="",$J267="",$Y267="",$Z267=""),"",IF(EXACT(UPPER($J267),UPPER($Y267)),1,0))</f>
        <v/>
      </c>
      <c r="BL267" s="152" t="inlineStr">
        <is>
          <t>assumed - no rater record</t>
        </is>
      </c>
      <c r="BM267" s="152" t="n">
        <v>3</v>
      </c>
      <c r="BN267" s="152" t="inlineStr">
        <is>
          <t>not publisher-identified</t>
        </is>
      </c>
      <c r="BO267" s="152" t="inlineStr">
        <is>
          <t>not publisher-identified</t>
        </is>
      </c>
      <c r="BP267" s="152" t="inlineStr">
        <is>
          <t>no</t>
        </is>
      </c>
      <c r="BQ267" s="152" t="inlineStr">
        <is>
          <t>yes</t>
        </is>
      </c>
      <c r="BR267" s="152" t="n"/>
      <c r="BS267" s="152" t="inlineStr">
        <is>
          <t>YES</t>
        </is>
      </c>
      <c r="BT267" s="152" t="n"/>
    </row>
    <row r="268" ht="15" customHeight="1" s="241">
      <c r="A268" s="191" t="inlineStr">
        <is>
          <t>MetLife</t>
        </is>
      </c>
      <c r="B268" s="188">
        <f>IF(A268="","",_xlfn.XLOOKUP(A268, Company_List!$A:$A, Company_List!$B:$B, ""))</f>
        <v/>
      </c>
      <c r="C268" s="177" t="n">
        <v>2025</v>
      </c>
      <c r="D268" s="177" t="inlineStr">
        <is>
          <t>Q4</t>
        </is>
      </c>
      <c r="E268" s="178" t="inlineStr">
        <is>
          <t>All</t>
        </is>
      </c>
      <c r="F268" s="178" t="inlineStr">
        <is>
          <t>All</t>
        </is>
      </c>
      <c r="G268" s="177" t="inlineStr">
        <is>
          <t>Dragos</t>
        </is>
      </c>
      <c r="H268" s="177" t="inlineStr">
        <is>
          <t>Human</t>
        </is>
      </c>
      <c r="I268" s="180" t="n">
        <v>0.5</v>
      </c>
      <c r="J268" s="180">
        <f>IF(OR(I268="",Settings!$B$6=""),"",IF(I268&gt;Settings!$B$6,"BUY",IF(I268&lt;-Settings!$B$6,"SELL","HOLD")))</f>
        <v/>
      </c>
      <c r="K268" s="180" t="n">
        <v>19</v>
      </c>
      <c r="L268" s="182" t="n">
        <v>46057</v>
      </c>
      <c r="M268" s="182" t="n">
        <v>46057</v>
      </c>
      <c r="N268" s="179" t="n">
        <v>78.01000000000001</v>
      </c>
      <c r="O268" s="182" t="n">
        <v>46058</v>
      </c>
      <c r="P268" s="180" t="n">
        <v>79.5</v>
      </c>
      <c r="Q268" s="184">
        <f>IF(OR(N268="",P268=""),"",ROUND((P268-N268)/N268,4))</f>
        <v/>
      </c>
      <c r="R268" s="177">
        <f>IF(OR(N268="",P268=""),"",IF(Q268&gt;Settings!$B$3/100,"UP",IF(Q268&lt;-Settings!$B$3/100,"DOWN","FLAT")))</f>
        <v/>
      </c>
      <c r="S268" s="177">
        <f>IF(OR(N268="",P268="",J268=""),"",IF(OR(AND(J268="BUY",R268="UP"),AND(J268="SELL",R268="DOWN"),AND(J268="HOLD",R268="FLAT")),"YES","NO"))</f>
        <v/>
      </c>
      <c r="T268" s="176">
        <f>IF(J268="","",IF(J268="BUY",1,IF(J268="SELL",-1,0)))</f>
        <v/>
      </c>
      <c r="U268" s="184">
        <f>IFERROR(IF(OR(J268="",N268="",P268=""),"",IF(T268=0,0,T268*Q268-Settings!$B$4/10000-IF(T268&lt;0,Settings!$B$5/10000,0))),"")</f>
        <v/>
      </c>
      <c r="V268" s="152" t="n"/>
      <c r="W268" s="176">
        <f>IF($K268="","",$K268*60)</f>
        <v/>
      </c>
      <c r="X268" s="186">
        <f>IF($A268="","",$A268&amp;"|"&amp;$C268&amp;"|"&amp;$D268)</f>
        <v/>
      </c>
      <c r="Y268" s="186">
        <f>IFERROR(IF($X268="","",INDEX(LLM_Data_Entry!$H$3:$H$548,MATCH($X268,INDEX(LLM_Data_Entry!$A$3:$A$548&amp;"|"&amp;LLM_Data_Entry!$C$3:$C$548&amp;"|"&amp;LLM_Data_Entry!$D$3:$D$548,0),0))),"")</f>
        <v/>
      </c>
      <c r="Z268" s="186">
        <f>IFERROR(IF($X268="","",INDEX(LLM_Data_Entry!$R$3:$R$548,MATCH($X268,INDEX(LLM_Data_Entry!$A$3:$A$548&amp;"|"&amp;LLM_Data_Entry!$C$3:$C$548&amp;"|"&amp;LLM_Data_Entry!$D$3:$D$548,0),0))),"")</f>
        <v/>
      </c>
      <c r="AA268" s="152" t="n"/>
      <c r="AB268" s="152" t="inlineStr">
        <is>
          <t>release date + stated time in the document (document)</t>
        </is>
      </c>
      <c r="AC268" s="152" t="inlineStr">
        <is>
          <t>MET</t>
        </is>
      </c>
      <c r="AD268" s="152" t="inlineStr">
        <is>
          <t>2026-02-04</t>
        </is>
      </c>
      <c r="AE268" s="152" t="n">
        <v>76.9401</v>
      </c>
      <c r="AF268" s="152" t="inlineStr">
        <is>
          <t>2026-02-05</t>
        </is>
      </c>
      <c r="AG268" s="152" t="n">
        <v>78.4097</v>
      </c>
      <c r="AH268" s="152" t="n">
        <v>0.01910011489677565</v>
      </c>
      <c r="AI268" s="152" t="inlineStr">
        <is>
          <t>FLAT</t>
        </is>
      </c>
      <c r="AJ268" s="152" t="inlineStr">
        <is>
          <t>NO</t>
        </is>
      </c>
      <c r="AK268" s="152" t="n">
        <v>0.0181</v>
      </c>
      <c r="AL268" s="152">
        <f>IF($A268="","",IFERROR(INDEX(Company_List!$G$3:$G$207,MATCH($A268,Company_List!$A$3:$A$207,0)),"unassigned"))</f>
        <v/>
      </c>
      <c r="AM268" s="152" t="inlineStr">
        <is>
          <t>Phase 2/MetLife/Q4 2025/MET-Q4-2025-press-release-SEC-EX99-1.htm; Phase 2/MetLife/Q4 2025/MET-Q4-2025-exhibit-SEC-EX99-2.htm; Phase 2/MetLife/Q4 2025/MET-Q4-2025-earnings-call-transcript-InsiderMonkey.html</t>
        </is>
      </c>
      <c r="AN268" s="152" t="inlineStr">
        <is>
          <t>https://www.insidermonkey.com/blog/metlife-inc-nysemet-q4-2025-earnings-call-transcript-1690172/; https://www.sec.gov/Archives/edgar/data/1099219/000109921926000008/ex991earningsreleasetables.htm; https://www.sec.gov/Archives/edgar/data/1099219/000109921926000008/ex992qfsq425.htm</t>
        </is>
      </c>
      <c r="AO268" s="152" t="inlineStr">
        <is>
          <t>manifest (whole bundle)</t>
        </is>
      </c>
      <c r="AP268" s="152">
        <f>IF($A268="","",IF(COUNTIFS(LLM_Data_Entry!$A$3:$A$548,$A268)&gt;0,"YES","NO"))</f>
        <v/>
      </c>
      <c r="AQ268" s="152">
        <f>IF($A268="","",IF(COUNTIFS($A$3:$A268,$A268,$C$3:$C268,$C268,$D$3:$D268,$D268)=1,"YES","NO"))</f>
        <v/>
      </c>
      <c r="AR268" s="152">
        <f>IF($A268="","",IF(AND($C268&amp;"-"&amp;$D268&gt;=Settings!$B$19,$C268&amp;"-"&amp;$D268&lt;=Settings!$B$20),"IN","OUT"))</f>
        <v/>
      </c>
      <c r="AS268" s="152">
        <f>IF($A268="","",IF($F268="Financial Results","financials",IF($F268="Outlook/Guidance","guidance",IF($F268="Transcript Q&amp;A","qanda",IF($F268="","unrecorded",IF($E268="All","full",IF($E268="","unrecorded",LOWER($E268)&amp;" only")))))))</f>
        <v/>
      </c>
      <c r="AT268" s="152">
        <f>IF(AND(OR($J268="BUY",$J268="SELL"),ISNUMBER($U268)),$U268,"")</f>
        <v/>
      </c>
      <c r="AU268" s="152">
        <f>IF(AND(OR($J268="BUY",$J268="SELL"),ISNUMBER($AK268)),$AK268,"")</f>
        <v/>
      </c>
      <c r="AV268" s="152">
        <f>IF(ISNUMBER($AT268),ABS(IF(ISNUMBER($I268),$I268,0)-Settings!$B$24),"")</f>
        <v/>
      </c>
      <c r="AW268" s="152">
        <f>IF(ISNUMBER($AV268),$AV268*$AT268,"")</f>
        <v/>
      </c>
      <c r="AX268" s="152">
        <f>IF(ISNUMBER($AU268),ABS(IF(ISNUMBER($I268),$I268,0)-Settings!$B$24),"")</f>
        <v/>
      </c>
      <c r="AY268" s="152" t="inlineStr">
        <is>
          <t>FROZEN</t>
        </is>
      </c>
      <c r="AZ268" s="152">
        <f>IF($A268="","",IFERROR(INDEX(Company_List!$H$3:$H$207,MATCH($A268,Company_List!$A$3:$A$207,0)),"unassigned"))</f>
        <v/>
      </c>
      <c r="BA268" s="152" t="n"/>
      <c r="BB268" s="152" t="n"/>
      <c r="BC268" s="152">
        <f>IF($A268="","",IF(COUNTIFS($A$3:$A268,$A268,$C$3:$C268,$C268,$D$3:$D268,$D268,$G$3:$G268,$G268)=1,1,0))</f>
        <v/>
      </c>
      <c r="BD268" s="152" t="n"/>
      <c r="BE268" s="152" t="n"/>
      <c r="BF268" s="152" t="n"/>
      <c r="BG268" s="152" t="inlineStr">
        <is>
          <t>no</t>
        </is>
      </c>
      <c r="BH268" s="152" t="n"/>
      <c r="BI268" s="152" t="n"/>
      <c r="BJ268" s="152" t="n"/>
      <c r="BK268" s="152">
        <f>IF(OR($H268&lt;&gt;"Human",$S268="",$J268="",$Y268="",$Z268=""),"",IF(EXACT(UPPER($J268),UPPER($Y268)),1,0))</f>
        <v/>
      </c>
      <c r="BL268" s="152" t="inlineStr">
        <is>
          <t>assumed - no rater record</t>
        </is>
      </c>
      <c r="BM268" s="152" t="n">
        <v>3</v>
      </c>
      <c r="BN268" s="152" t="inlineStr">
        <is>
          <t>Insider Monkey (Koala Guide LLC)</t>
        </is>
      </c>
      <c r="BO268" s="152" t="inlineStr">
        <is>
          <t>free to read, copyright asserted</t>
        </is>
      </c>
      <c r="BP268" s="152" t="inlineStr">
        <is>
          <t>no</t>
        </is>
      </c>
      <c r="BQ268" s="152" t="inlineStr">
        <is>
          <t>yes</t>
        </is>
      </c>
      <c r="BR268" s="152" t="n"/>
      <c r="BS268" s="152" t="inlineStr">
        <is>
          <t>YES</t>
        </is>
      </c>
      <c r="BT268" s="152" t="n"/>
    </row>
    <row r="269" ht="15" customHeight="1" s="241">
      <c r="A269" s="191" t="inlineStr">
        <is>
          <t>MetLife</t>
        </is>
      </c>
      <c r="B269" s="188">
        <f>IF(A269="","",_xlfn.XLOOKUP(A269, Company_List!$A:$A, Company_List!$B:$B, ""))</f>
        <v/>
      </c>
      <c r="C269" s="177" t="n">
        <v>2026</v>
      </c>
      <c r="D269" s="177" t="inlineStr">
        <is>
          <t>Q1</t>
        </is>
      </c>
      <c r="E269" s="178" t="inlineStr">
        <is>
          <t>All</t>
        </is>
      </c>
      <c r="F269" s="178" t="inlineStr">
        <is>
          <t>All</t>
        </is>
      </c>
      <c r="G269" s="177" t="inlineStr">
        <is>
          <t>Dragos</t>
        </is>
      </c>
      <c r="H269" s="177" t="inlineStr">
        <is>
          <t>Human</t>
        </is>
      </c>
      <c r="I269" s="180" t="n">
        <v>0.5</v>
      </c>
      <c r="J269" s="180">
        <f>IF(OR(I269="",Settings!$B$6=""),"",IF(I269&gt;Settings!$B$6,"BUY",IF(I269&lt;-Settings!$B$6,"SELL","HOLD")))</f>
        <v/>
      </c>
      <c r="K269" s="180" t="n">
        <v>25</v>
      </c>
      <c r="L269" s="182" t="n">
        <v>46148</v>
      </c>
      <c r="M269" s="182" t="n">
        <v>46148</v>
      </c>
      <c r="N269" s="179" t="n">
        <v>80.16</v>
      </c>
      <c r="O269" s="182" t="n">
        <v>46149</v>
      </c>
      <c r="P269" s="180" t="n">
        <v>80.56</v>
      </c>
      <c r="Q269" s="184">
        <f>IF(OR(N269="",P269=""),"",ROUND((P269-N269)/N269,4))</f>
        <v/>
      </c>
      <c r="R269" s="177">
        <f>IF(OR(N269="",P269=""),"",IF(Q269&gt;Settings!$B$3/100,"UP",IF(Q269&lt;-Settings!$B$3/100,"DOWN","FLAT")))</f>
        <v/>
      </c>
      <c r="S269" s="177">
        <f>IF(OR(N269="",P269="",J269=""),"",IF(OR(AND(J269="BUY",R269="UP"),AND(J269="SELL",R269="DOWN"),AND(J269="HOLD",R269="FLAT")),"YES","NO"))</f>
        <v/>
      </c>
      <c r="T269" s="176">
        <f>IF(J269="","",IF(J269="BUY",1,IF(J269="SELL",-1,0)))</f>
        <v/>
      </c>
      <c r="U269" s="184">
        <f>IFERROR(IF(OR(J269="",N269="",P269=""),"",IF(T269=0,0,T269*Q269-Settings!$B$4/10000-IF(T269&lt;0,Settings!$B$5/10000,0))),"")</f>
        <v/>
      </c>
      <c r="V269" s="152" t="n"/>
      <c r="W269" s="176">
        <f>IF($K269="","",$K269*60)</f>
        <v/>
      </c>
      <c r="X269" s="186">
        <f>IF($A269="","",$A269&amp;"|"&amp;$C269&amp;"|"&amp;$D269)</f>
        <v/>
      </c>
      <c r="Y269" s="186">
        <f>IFERROR(IF($X269="","",INDEX(LLM_Data_Entry!$H$3:$H$548,MATCH($X269,INDEX(LLM_Data_Entry!$A$3:$A$548&amp;"|"&amp;LLM_Data_Entry!$C$3:$C$548&amp;"|"&amp;LLM_Data_Entry!$D$3:$D$548,0),0))),"")</f>
        <v/>
      </c>
      <c r="Z269" s="186">
        <f>IFERROR(IF($X269="","",INDEX(LLM_Data_Entry!$R$3:$R$548,MATCH($X269,INDEX(LLM_Data_Entry!$A$3:$A$548&amp;"|"&amp;LLM_Data_Entry!$C$3:$C$548&amp;"|"&amp;LLM_Data_Entry!$D$3:$D$548,0),0))),"")</f>
        <v/>
      </c>
      <c r="AA269" s="152" t="n"/>
      <c r="AB269" s="152" t="inlineStr">
        <is>
          <t>release date + stated time</t>
        </is>
      </c>
      <c r="AC269" s="152" t="inlineStr">
        <is>
          <t>MET</t>
        </is>
      </c>
      <c r="AD269" s="152" t="inlineStr">
        <is>
          <t>2026-05-06</t>
        </is>
      </c>
      <c r="AE269" s="152" t="n">
        <v>79.06059999999999</v>
      </c>
      <c r="AF269" s="152" t="inlineStr">
        <is>
          <t>2026-05-07</t>
        </is>
      </c>
      <c r="AG269" s="152" t="n">
        <v>79.4551</v>
      </c>
      <c r="AH269" s="152" t="n">
        <v>0.004989957181484815</v>
      </c>
      <c r="AI269" s="152" t="inlineStr">
        <is>
          <t>FLAT</t>
        </is>
      </c>
      <c r="AJ269" s="152" t="inlineStr">
        <is>
          <t>NO</t>
        </is>
      </c>
      <c r="AK269" s="152" t="n">
        <v>0.00399</v>
      </c>
      <c r="AL269" s="152">
        <f>IF($A269="","",IFERROR(INDEX(Company_List!$G$3:$G$207,MATCH($A269,Company_List!$A$3:$A$207,0)),"unassigned"))</f>
        <v/>
      </c>
      <c r="AM269" s="152" t="inlineStr">
        <is>
          <t>Phase 2/MetLife/Q1 2026/MET-Q1-2026-press-release-SEC-EX99-1.htm; Phase 2/MetLife/Q1 2026/MET-Q1-2026-exhibit-SEC-EX99-2.htm; Phase 2/MetLife/Q1 2026/MET-Q1-2026-earnings-call-transcript-InsiderMonkey.html</t>
        </is>
      </c>
      <c r="AN269" s="152" t="inlineStr">
        <is>
          <t>https://www.insidermonkey.com/blog/metlife-inc-nysemet-q1-2026-earnings-call-transcript-1756889/; https://www.sec.gov/Archives/edgar/data/1099219/000109921926000032/ex991earningsreleasetables.htm; https://www.sec.gov/Archives/edgar/data/1099219/000109921926000032/ex992qfsq126.htm</t>
        </is>
      </c>
      <c r="AO269" s="152" t="inlineStr">
        <is>
          <t>manifest (whole bundle)</t>
        </is>
      </c>
      <c r="AP269" s="152">
        <f>IF($A269="","",IF(COUNTIFS(LLM_Data_Entry!$A$3:$A$548,$A269)&gt;0,"YES","NO"))</f>
        <v/>
      </c>
      <c r="AQ269" s="152">
        <f>IF($A269="","",IF(COUNTIFS($A$3:$A269,$A269,$C$3:$C269,$C269,$D$3:$D269,$D269)=1,"YES","NO"))</f>
        <v/>
      </c>
      <c r="AR269" s="152">
        <f>IF($A269="","",IF(AND($C269&amp;"-"&amp;$D269&gt;=Settings!$B$19,$C269&amp;"-"&amp;$D269&lt;=Settings!$B$20),"IN","OUT"))</f>
        <v/>
      </c>
      <c r="AS269" s="152">
        <f>IF($A269="","",IF($F269="Financial Results","financials",IF($F269="Outlook/Guidance","guidance",IF($F269="Transcript Q&amp;A","qanda",IF($F269="","unrecorded",IF($E269="All","full",IF($E269="","unrecorded",LOWER($E269)&amp;" only")))))))</f>
        <v/>
      </c>
      <c r="AT269" s="152">
        <f>IF(AND(OR($J269="BUY",$J269="SELL"),ISNUMBER($U269)),$U269,"")</f>
        <v/>
      </c>
      <c r="AU269" s="152">
        <f>IF(AND(OR($J269="BUY",$J269="SELL"),ISNUMBER($AK269)),$AK269,"")</f>
        <v/>
      </c>
      <c r="AV269" s="152">
        <f>IF(ISNUMBER($AT269),ABS(IF(ISNUMBER($I269),$I269,0)-Settings!$B$24),"")</f>
        <v/>
      </c>
      <c r="AW269" s="152">
        <f>IF(ISNUMBER($AV269),$AV269*$AT269,"")</f>
        <v/>
      </c>
      <c r="AX269" s="152">
        <f>IF(ISNUMBER($AU269),ABS(IF(ISNUMBER($I269),$I269,0)-Settings!$B$24),"")</f>
        <v/>
      </c>
      <c r="AY269" s="152" t="inlineStr">
        <is>
          <t>FROZEN</t>
        </is>
      </c>
      <c r="AZ269" s="152">
        <f>IF($A269="","",IFERROR(INDEX(Company_List!$H$3:$H$207,MATCH($A269,Company_List!$A$3:$A$207,0)),"unassigned"))</f>
        <v/>
      </c>
      <c r="BA269" s="152" t="n"/>
      <c r="BB269" s="152" t="n"/>
      <c r="BC269" s="152">
        <f>IF($A269="","",IF(COUNTIFS($A$3:$A269,$A269,$C$3:$C269,$C269,$D$3:$D269,$D269,$G$3:$G269,$G269)=1,1,0))</f>
        <v/>
      </c>
      <c r="BD269" s="152" t="n"/>
      <c r="BE269" s="152" t="n"/>
      <c r="BF269" s="152" t="n"/>
      <c r="BG269" s="152" t="inlineStr">
        <is>
          <t>no</t>
        </is>
      </c>
      <c r="BH269" s="152" t="n"/>
      <c r="BI269" s="152" t="n"/>
      <c r="BJ269" s="152" t="n"/>
      <c r="BK269" s="152">
        <f>IF(OR($H269&lt;&gt;"Human",$S269="",$J269="",$Y269="",$Z269=""),"",IF(EXACT(UPPER($J269),UPPER($Y269)),1,0))</f>
        <v/>
      </c>
      <c r="BL269" s="152" t="inlineStr">
        <is>
          <t>assumed - no rater record</t>
        </is>
      </c>
      <c r="BM269" s="152" t="n">
        <v>3</v>
      </c>
      <c r="BN269" s="152" t="inlineStr">
        <is>
          <t>Insider Monkey (Koala Guide LLC)</t>
        </is>
      </c>
      <c r="BO269" s="152" t="inlineStr">
        <is>
          <t>free to read, copyright asserted</t>
        </is>
      </c>
      <c r="BP269" s="152" t="inlineStr">
        <is>
          <t>no</t>
        </is>
      </c>
      <c r="BQ269" s="152" t="inlineStr">
        <is>
          <t>yes</t>
        </is>
      </c>
      <c r="BR269" s="152" t="n"/>
      <c r="BS269" s="152" t="inlineStr">
        <is>
          <t>YES</t>
        </is>
      </c>
      <c r="BT269" s="152" t="n"/>
    </row>
    <row r="270" ht="15" customHeight="1" s="241">
      <c r="A270" s="191" t="inlineStr">
        <is>
          <t>MetLife</t>
        </is>
      </c>
      <c r="B270" s="188">
        <f>IF(A270="","",_xlfn.XLOOKUP(A270, Company_List!$A:$A, Company_List!$B:$B, ""))</f>
        <v/>
      </c>
      <c r="C270" s="177" t="n">
        <v>2023</v>
      </c>
      <c r="D270" s="177" t="inlineStr">
        <is>
          <t>Q1</t>
        </is>
      </c>
      <c r="E270" s="178" t="inlineStr">
        <is>
          <t>All</t>
        </is>
      </c>
      <c r="F270" s="178" t="inlineStr">
        <is>
          <t>All</t>
        </is>
      </c>
      <c r="G270" s="177" t="inlineStr">
        <is>
          <t>Dragos</t>
        </is>
      </c>
      <c r="H270" s="177" t="inlineStr">
        <is>
          <t>Human</t>
        </is>
      </c>
      <c r="I270" s="180" t="n">
        <v>-0.4</v>
      </c>
      <c r="J270" s="180">
        <f>IF(OR(I270="",Settings!$B$6=""),"",IF(I270&gt;Settings!$B$6,"BUY",IF(I270&lt;-Settings!$B$6,"SELL","HOLD")))</f>
        <v/>
      </c>
      <c r="K270" s="180" t="n">
        <v>31</v>
      </c>
      <c r="L270" s="182" t="n">
        <v>45049</v>
      </c>
      <c r="M270" s="182" t="n">
        <v>45049</v>
      </c>
      <c r="N270" s="179" t="n">
        <v>58.71</v>
      </c>
      <c r="O270" s="182" t="n">
        <v>45050</v>
      </c>
      <c r="P270" s="180" t="n">
        <v>58.06</v>
      </c>
      <c r="Q270" s="184">
        <f>IF(OR(N270="",P270=""),"",ROUND((P270-N270)/N270,4))</f>
        <v/>
      </c>
      <c r="R270" s="177">
        <f>IF(OR(N270="",P270=""),"",IF(Q270&gt;Settings!$B$3/100,"UP",IF(Q270&lt;-Settings!$B$3/100,"DOWN","FLAT")))</f>
        <v/>
      </c>
      <c r="S270" s="177">
        <f>IF(OR(N270="",P270="",J270=""),"",IF(OR(AND(J270="BUY",R270="UP"),AND(J270="SELL",R270="DOWN"),AND(J270="HOLD",R270="FLAT")),"YES","NO"))</f>
        <v/>
      </c>
      <c r="T270" s="176">
        <f>IF(J270="","",IF(J270="BUY",1,IF(J270="SELL",-1,0)))</f>
        <v/>
      </c>
      <c r="U270" s="184">
        <f>IFERROR(IF(OR(J270="",N270="",P270=""),"",IF(T270=0,0,T270*Q270-Settings!$B$4/10000-IF(T270&lt;0,Settings!$B$5/10000,0))),"")</f>
        <v/>
      </c>
      <c r="V270" s="152" t="n"/>
      <c r="W270" s="176">
        <f>IF($K270="","",$K270*60)</f>
        <v/>
      </c>
      <c r="X270" s="186">
        <f>IF($A270="","",$A270&amp;"|"&amp;$C270&amp;"|"&amp;$D270)</f>
        <v/>
      </c>
      <c r="Y270" s="186">
        <f>IFERROR(IF($X270="","",INDEX(LLM_Data_Entry!$H$3:$H$548,MATCH($X270,INDEX(LLM_Data_Entry!$A$3:$A$548&amp;"|"&amp;LLM_Data_Entry!$C$3:$C$548&amp;"|"&amp;LLM_Data_Entry!$D$3:$D$548,0),0))),"")</f>
        <v/>
      </c>
      <c r="Z270" s="186">
        <f>IFERROR(IF($X270="","",INDEX(LLM_Data_Entry!$R$3:$R$548,MATCH($X270,INDEX(LLM_Data_Entry!$A$3:$A$548&amp;"|"&amp;LLM_Data_Entry!$C$3:$C$548&amp;"|"&amp;LLM_Data_Entry!$D$3:$D$548,0),0))),"")</f>
        <v/>
      </c>
      <c r="AA270" s="152" t="n"/>
      <c r="AB270" s="152" t="inlineStr">
        <is>
          <t>release date + stated time in the document (document)</t>
        </is>
      </c>
      <c r="AC270" s="152" t="inlineStr">
        <is>
          <t>MET</t>
        </is>
      </c>
      <c r="AD270" s="152" t="inlineStr">
        <is>
          <t>2023-05-03</t>
        </is>
      </c>
      <c r="AE270" s="152" t="n">
        <v>52.7689</v>
      </c>
      <c r="AF270" s="152" t="inlineStr">
        <is>
          <t>2023-05-04</t>
        </is>
      </c>
      <c r="AG270" s="152" t="n">
        <v>52.1846</v>
      </c>
      <c r="AH270" s="152" t="n">
        <v>-0.01107133200033667</v>
      </c>
      <c r="AI270" s="152" t="inlineStr">
        <is>
          <t>FLAT</t>
        </is>
      </c>
      <c r="AJ270" s="152" t="inlineStr">
        <is>
          <t>NO</t>
        </is>
      </c>
      <c r="AK270" s="152" t="n">
        <v>0.010071</v>
      </c>
      <c r="AL270" s="152">
        <f>IF($A270="","",IFERROR(INDEX(Company_List!$G$3:$G$207,MATCH($A270,Company_List!$A$3:$A$207,0)),"unassigned"))</f>
        <v/>
      </c>
      <c r="AM270" s="152" t="inlineStr">
        <is>
          <t>Phase 2/MetLife/Q1 2023/MET-Q1-2023-press-release-SEC-EX99-1.htm; Phase 2/MetLife/Q1 2023/MET-Q1-2023-exhibit-SEC-EX99-2.htm; Phase 2/MetLife/Q1 2023/MET-Q1-2023-earnings-call-transcript-news-alphastreet-com.html</t>
        </is>
      </c>
      <c r="AN270" s="152" t="inlineStr">
        <is>
          <t>https://news.alphastreet.com/metlife-inc-met-q1-2023-earnings-call-transcript/; https://www.sec.gov/Archives/edgar/data/1099219/000109921923000156/ex991earningsreleasetables.htm; https://www.sec.gov/Archives/edgar/data/1099219/000109921923000156/ex992qfsq123doc-ldti.htm</t>
        </is>
      </c>
      <c r="AO270" s="152" t="inlineStr">
        <is>
          <t>manifest (whole bundle)</t>
        </is>
      </c>
      <c r="AP270" s="152">
        <f>IF($A270="","",IF(COUNTIFS(LLM_Data_Entry!$A$3:$A$548,$A270)&gt;0,"YES","NO"))</f>
        <v/>
      </c>
      <c r="AQ270" s="152">
        <f>IF($A270="","",IF(COUNTIFS($A$3:$A270,$A270,$C$3:$C270,$C270,$D$3:$D270,$D270)=1,"YES","NO"))</f>
        <v/>
      </c>
      <c r="AR270" s="152">
        <f>IF($A270="","",IF(AND($C270&amp;"-"&amp;$D270&gt;=Settings!$B$19,$C270&amp;"-"&amp;$D270&lt;=Settings!$B$20),"IN","OUT"))</f>
        <v/>
      </c>
      <c r="AS270" s="152">
        <f>IF($A270="","",IF($F270="Financial Results","financials",IF($F270="Outlook/Guidance","guidance",IF($F270="Transcript Q&amp;A","qanda",IF($F270="","unrecorded",IF($E270="All","full",IF($E270="","unrecorded",LOWER($E270)&amp;" only")))))))</f>
        <v/>
      </c>
      <c r="AT270" s="152">
        <f>IF(AND(OR($J270="BUY",$J270="SELL"),ISNUMBER($U270)),$U270,"")</f>
        <v/>
      </c>
      <c r="AU270" s="152">
        <f>IF(AND(OR($J270="BUY",$J270="SELL"),ISNUMBER($AK270)),$AK270,"")</f>
        <v/>
      </c>
      <c r="AV270" s="152">
        <f>IF(ISNUMBER($AT270),ABS(IF(ISNUMBER($I270),$I270,0)-Settings!$B$24),"")</f>
        <v/>
      </c>
      <c r="AW270" s="152">
        <f>IF(ISNUMBER($AV270),$AV270*$AT270,"")</f>
        <v/>
      </c>
      <c r="AX270" s="152">
        <f>IF(ISNUMBER($AU270),ABS(IF(ISNUMBER($I270),$I270,0)-Settings!$B$24),"")</f>
        <v/>
      </c>
      <c r="AY270" s="152" t="inlineStr">
        <is>
          <t>FROZEN</t>
        </is>
      </c>
      <c r="AZ270" s="152">
        <f>IF($A270="","",IFERROR(INDEX(Company_List!$H$3:$H$207,MATCH($A270,Company_List!$A$3:$A$207,0)),"unassigned"))</f>
        <v/>
      </c>
      <c r="BA270" s="152" t="n"/>
      <c r="BB270" s="152" t="n"/>
      <c r="BC270" s="152">
        <f>IF($A270="","",IF(COUNTIFS($A$3:$A270,$A270,$C$3:$C270,$C270,$D$3:$D270,$D270,$G$3:$G270,$G270)=1,1,0))</f>
        <v/>
      </c>
      <c r="BD270" s="152" t="n"/>
      <c r="BE270" s="152" t="n"/>
      <c r="BF270" s="152" t="n"/>
      <c r="BG270" s="152" t="inlineStr">
        <is>
          <t>no</t>
        </is>
      </c>
      <c r="BH270" s="152" t="n"/>
      <c r="BI270" s="152" t="n"/>
      <c r="BJ270" s="152" t="n"/>
      <c r="BK270" s="152">
        <f>IF(OR($H270&lt;&gt;"Human",$S270="",$J270="",$Y270="",$Z270=""),"",IF(EXACT(UPPER($J270),UPPER($Y270)),1,0))</f>
        <v/>
      </c>
      <c r="BL270" s="152" t="inlineStr">
        <is>
          <t>assumed - no rater record</t>
        </is>
      </c>
      <c r="BM270" s="152" t="n">
        <v>3</v>
      </c>
      <c r="BN270" s="152" t="inlineStr">
        <is>
          <t>not publisher-identified</t>
        </is>
      </c>
      <c r="BO270" s="152" t="inlineStr">
        <is>
          <t>not publisher-identified</t>
        </is>
      </c>
      <c r="BP270" s="152" t="inlineStr">
        <is>
          <t>no</t>
        </is>
      </c>
      <c r="BQ270" s="152" t="inlineStr">
        <is>
          <t>yes</t>
        </is>
      </c>
      <c r="BR270" s="152" t="n"/>
      <c r="BS270" s="152" t="inlineStr">
        <is>
          <t>NO</t>
        </is>
      </c>
      <c r="BT270" s="152" t="inlineStr">
        <is>
          <t>human-only event; not in LLM returns_matrix — EDGAR lookup deferred, manual verification required</t>
        </is>
      </c>
    </row>
    <row r="271" ht="15" customHeight="1" s="241">
      <c r="A271" s="191" t="inlineStr">
        <is>
          <t>MetLife</t>
        </is>
      </c>
      <c r="B271" s="188">
        <f>IF(A271="","",_xlfn.XLOOKUP(A271, Company_List!$A:$A, Company_List!$B:$B, ""))</f>
        <v/>
      </c>
      <c r="C271" s="177" t="n">
        <v>2023</v>
      </c>
      <c r="D271" s="177" t="inlineStr">
        <is>
          <t>Q2</t>
        </is>
      </c>
      <c r="E271" s="178" t="inlineStr">
        <is>
          <t>All</t>
        </is>
      </c>
      <c r="F271" s="178" t="inlineStr">
        <is>
          <t>All</t>
        </is>
      </c>
      <c r="G271" s="177" t="inlineStr">
        <is>
          <t>Dragos</t>
        </is>
      </c>
      <c r="H271" s="177" t="inlineStr">
        <is>
          <t>Human</t>
        </is>
      </c>
      <c r="I271" s="180" t="n">
        <v>0.1</v>
      </c>
      <c r="J271" s="180">
        <f>IF(OR(I271="",Settings!$B$6=""),"",IF(I271&gt;Settings!$B$6,"BUY",IF(I271&lt;-Settings!$B$6,"SELL","HOLD")))</f>
        <v/>
      </c>
      <c r="K271" s="180" t="n">
        <v>32</v>
      </c>
      <c r="L271" s="182" t="n">
        <v>45140</v>
      </c>
      <c r="M271" s="182" t="n">
        <v>45140</v>
      </c>
      <c r="N271" s="179" t="n">
        <v>62.75</v>
      </c>
      <c r="O271" s="182" t="n">
        <v>45141</v>
      </c>
      <c r="P271" s="180" t="n">
        <v>63.53</v>
      </c>
      <c r="Q271" s="184">
        <f>IF(OR(N271="",P271=""),"",ROUND((P271-N271)/N271,4))</f>
        <v/>
      </c>
      <c r="R271" s="177">
        <f>IF(OR(N271="",P271=""),"",IF(Q271&gt;Settings!$B$3/100,"UP",IF(Q271&lt;-Settings!$B$3/100,"DOWN","FLAT")))</f>
        <v/>
      </c>
      <c r="S271" s="177">
        <f>IF(OR(N271="",P271="",J271=""),"",IF(OR(AND(J271="BUY",R271="UP"),AND(J271="SELL",R271="DOWN"),AND(J271="HOLD",R271="FLAT")),"YES","NO"))</f>
        <v/>
      </c>
      <c r="T271" s="176">
        <f>IF(J271="","",IF(J271="BUY",1,IF(J271="SELL",-1,0)))</f>
        <v/>
      </c>
      <c r="U271" s="184">
        <f>IFERROR(IF(OR(J271="",N271="",P271=""),"",IF(T271=0,0,T271*Q271-Settings!$B$4/10000-IF(T271&lt;0,Settings!$B$5/10000,0))),"")</f>
        <v/>
      </c>
      <c r="V271" s="152" t="n"/>
      <c r="W271" s="176">
        <f>IF($K271="","",$K271*60)</f>
        <v/>
      </c>
      <c r="X271" s="186">
        <f>IF($A271="","",$A271&amp;"|"&amp;$C271&amp;"|"&amp;$D271)</f>
        <v/>
      </c>
      <c r="Y271" s="186">
        <f>IFERROR(IF($X271="","",INDEX(LLM_Data_Entry!$H$3:$H$548,MATCH($X271,INDEX(LLM_Data_Entry!$A$3:$A$548&amp;"|"&amp;LLM_Data_Entry!$C$3:$C$548&amp;"|"&amp;LLM_Data_Entry!$D$3:$D$548,0),0))),"")</f>
        <v/>
      </c>
      <c r="Z271" s="186">
        <f>IFERROR(IF($X271="","",INDEX(LLM_Data_Entry!$R$3:$R$548,MATCH($X271,INDEX(LLM_Data_Entry!$A$3:$A$548&amp;"|"&amp;LLM_Data_Entry!$C$3:$C$548&amp;"|"&amp;LLM_Data_Entry!$D$3:$D$548,0),0))),"")</f>
        <v/>
      </c>
      <c r="AA271" s="152" t="n"/>
      <c r="AB271" s="152" t="inlineStr">
        <is>
          <t>release date + stated time in the document (document)</t>
        </is>
      </c>
      <c r="AC271" s="152" t="inlineStr">
        <is>
          <t>MET</t>
        </is>
      </c>
      <c r="AD271" s="152" t="inlineStr">
        <is>
          <t>2023-08-02</t>
        </is>
      </c>
      <c r="AE271" s="152" t="n">
        <v>56.9417</v>
      </c>
      <c r="AF271" s="152" t="inlineStr">
        <is>
          <t>2023-08-03</t>
        </is>
      </c>
      <c r="AG271" s="152" t="n">
        <v>57.6495</v>
      </c>
      <c r="AH271" s="152" t="n">
        <v>0.0124302520056473</v>
      </c>
      <c r="AI271" s="152" t="inlineStr">
        <is>
          <t>FLAT</t>
        </is>
      </c>
      <c r="AJ271" s="152" t="inlineStr">
        <is>
          <t>YES</t>
        </is>
      </c>
      <c r="AK271" s="152" t="n">
        <v>0</v>
      </c>
      <c r="AL271" s="152">
        <f>IF($A271="","",IFERROR(INDEX(Company_List!$G$3:$G$207,MATCH($A271,Company_List!$A$3:$A$207,0)),"unassigned"))</f>
        <v/>
      </c>
      <c r="AM271" s="152" t="inlineStr">
        <is>
          <t>Phase 2/MetLife/Q2 2023/MET-Q2-2023-press-release-SEC-EX99-1.htm; Phase 2/MetLife/Q2 2023/MET-Q2-2023-exhibit-SEC-EX99-2.htm; Phase 2/MetLife/Q2 2023/MET-Q2-2023-earnings-call-transcript-InsiderMonkey.html</t>
        </is>
      </c>
      <c r="AN271" s="152" t="inlineStr">
        <is>
          <t>https://www.insidermonkey.com/blog/metlife-inc-nysemet-q2-2023-earnings-call-transcript-1176871/; https://www.sec.gov/Archives/edgar/data/1099219/000109921923000207/ex991earningsreleasetables.htm; https://www.sec.gov/Archives/edgar/data/1099219/000109921923000207/ex992qfsq223doc.htm</t>
        </is>
      </c>
      <c r="AO271" s="152" t="inlineStr">
        <is>
          <t>manifest (whole bundle)</t>
        </is>
      </c>
      <c r="AP271" s="152">
        <f>IF($A271="","",IF(COUNTIFS(LLM_Data_Entry!$A$3:$A$548,$A271)&gt;0,"YES","NO"))</f>
        <v/>
      </c>
      <c r="AQ271" s="152">
        <f>IF($A271="","",IF(COUNTIFS($A$3:$A271,$A271,$C$3:$C271,$C271,$D$3:$D271,$D271)=1,"YES","NO"))</f>
        <v/>
      </c>
      <c r="AR271" s="152">
        <f>IF($A271="","",IF(AND($C271&amp;"-"&amp;$D271&gt;=Settings!$B$19,$C271&amp;"-"&amp;$D271&lt;=Settings!$B$20),"IN","OUT"))</f>
        <v/>
      </c>
      <c r="AS271" s="152">
        <f>IF($A271="","",IF($F271="Financial Results","financials",IF($F271="Outlook/Guidance","guidance",IF($F271="Transcript Q&amp;A","qanda",IF($F271="","unrecorded",IF($E271="All","full",IF($E271="","unrecorded",LOWER($E271)&amp;" only")))))))</f>
        <v/>
      </c>
      <c r="AT271" s="152">
        <f>IF(AND(OR($J271="BUY",$J271="SELL"),ISNUMBER($U271)),$U271,"")</f>
        <v/>
      </c>
      <c r="AU271" s="152">
        <f>IF(AND(OR($J271="BUY",$J271="SELL"),ISNUMBER($AK271)),$AK271,"")</f>
        <v/>
      </c>
      <c r="AV271" s="152">
        <f>IF(ISNUMBER($AT271),ABS(IF(ISNUMBER($I271),$I271,0)-Settings!$B$24),"")</f>
        <v/>
      </c>
      <c r="AW271" s="152">
        <f>IF(ISNUMBER($AV271),$AV271*$AT271,"")</f>
        <v/>
      </c>
      <c r="AX271" s="152">
        <f>IF(ISNUMBER($AU271),ABS(IF(ISNUMBER($I271),$I271,0)-Settings!$B$24),"")</f>
        <v/>
      </c>
      <c r="AY271" s="152" t="inlineStr">
        <is>
          <t>FROZEN</t>
        </is>
      </c>
      <c r="AZ271" s="152">
        <f>IF($A271="","",IFERROR(INDEX(Company_List!$H$3:$H$207,MATCH($A271,Company_List!$A$3:$A$207,0)),"unassigned"))</f>
        <v/>
      </c>
      <c r="BA271" s="152" t="n"/>
      <c r="BB271" s="152" t="n"/>
      <c r="BC271" s="152">
        <f>IF($A271="","",IF(COUNTIFS($A$3:$A271,$A271,$C$3:$C271,$C271,$D$3:$D271,$D271,$G$3:$G271,$G271)=1,1,0))</f>
        <v/>
      </c>
      <c r="BD271" s="152" t="n"/>
      <c r="BE271" s="152" t="n"/>
      <c r="BF271" s="152" t="n"/>
      <c r="BG271" s="152" t="inlineStr">
        <is>
          <t>no</t>
        </is>
      </c>
      <c r="BH271" s="152" t="n"/>
      <c r="BI271" s="152" t="n"/>
      <c r="BJ271" s="152" t="n"/>
      <c r="BK271" s="152">
        <f>IF(OR($H271&lt;&gt;"Human",$S271="",$J271="",$Y271="",$Z271=""),"",IF(EXACT(UPPER($J271),UPPER($Y271)),1,0))</f>
        <v/>
      </c>
      <c r="BL271" s="152" t="inlineStr">
        <is>
          <t>assumed - no rater record</t>
        </is>
      </c>
      <c r="BM271" s="152" t="n">
        <v>3</v>
      </c>
      <c r="BN271" s="152" t="inlineStr">
        <is>
          <t>Insider Monkey (Koala Guide LLC)</t>
        </is>
      </c>
      <c r="BO271" s="152" t="inlineStr">
        <is>
          <t>free to read, copyright asserted</t>
        </is>
      </c>
      <c r="BP271" s="152" t="inlineStr">
        <is>
          <t>no</t>
        </is>
      </c>
      <c r="BQ271" s="152" t="inlineStr">
        <is>
          <t>yes</t>
        </is>
      </c>
      <c r="BR271" s="152" t="n"/>
      <c r="BS271" s="152" t="inlineStr">
        <is>
          <t>NO</t>
        </is>
      </c>
      <c r="BT271" s="152" t="inlineStr">
        <is>
          <t>human-only event; not in LLM returns_matrix — EDGAR lookup deferred, manual verification required</t>
        </is>
      </c>
    </row>
    <row r="272" ht="15" customHeight="1" s="241">
      <c r="A272" s="191" t="inlineStr">
        <is>
          <t>MetLife</t>
        </is>
      </c>
      <c r="B272" s="188">
        <f>IF(A272="","",_xlfn.XLOOKUP(A272, Company_List!$A:$A, Company_List!$B:$B, ""))</f>
        <v/>
      </c>
      <c r="C272" s="177" t="n">
        <v>2023</v>
      </c>
      <c r="D272" s="177" t="inlineStr">
        <is>
          <t>Q3</t>
        </is>
      </c>
      <c r="E272" s="178" t="inlineStr">
        <is>
          <t>All</t>
        </is>
      </c>
      <c r="F272" s="178" t="inlineStr">
        <is>
          <t>All</t>
        </is>
      </c>
      <c r="G272" s="177" t="inlineStr">
        <is>
          <t>Dragos</t>
        </is>
      </c>
      <c r="H272" s="177" t="inlineStr">
        <is>
          <t>Human</t>
        </is>
      </c>
      <c r="I272" s="180" t="n">
        <v>0.4</v>
      </c>
      <c r="J272" s="180">
        <f>IF(OR(I272="",Settings!$B$6=""),"",IF(I272&gt;Settings!$B$6,"BUY",IF(I272&lt;-Settings!$B$6,"SELL","HOLD")))</f>
        <v/>
      </c>
      <c r="K272" s="180" t="n">
        <v>21</v>
      </c>
      <c r="L272" s="182" t="n">
        <v>45231</v>
      </c>
      <c r="M272" s="182" t="n">
        <v>45231</v>
      </c>
      <c r="N272" s="179" t="n">
        <v>59.98</v>
      </c>
      <c r="O272" s="182" t="n">
        <v>45232</v>
      </c>
      <c r="P272" s="180" t="n">
        <v>59.99</v>
      </c>
      <c r="Q272" s="184">
        <f>IF(OR(N272="",P272=""),"",ROUND((P272-N272)/N272,4))</f>
        <v/>
      </c>
      <c r="R272" s="177">
        <f>IF(OR(N272="",P272=""),"",IF(Q272&gt;Settings!$B$3/100,"UP",IF(Q272&lt;-Settings!$B$3/100,"DOWN","FLAT")))</f>
        <v/>
      </c>
      <c r="S272" s="177">
        <f>IF(OR(N272="",P272="",J272=""),"",IF(OR(AND(J272="BUY",R272="UP"),AND(J272="SELL",R272="DOWN"),AND(J272="HOLD",R272="FLAT")),"YES","NO"))</f>
        <v/>
      </c>
      <c r="T272" s="176">
        <f>IF(J272="","",IF(J272="BUY",1,IF(J272="SELL",-1,0)))</f>
        <v/>
      </c>
      <c r="U272" s="184">
        <f>IFERROR(IF(OR(J272="",N272="",P272=""),"",IF(T272=0,0,T272*Q272-Settings!$B$4/10000-IF(T272&lt;0,Settings!$B$5/10000,0))),"")</f>
        <v/>
      </c>
      <c r="V272" s="152" t="n"/>
      <c r="W272" s="176">
        <f>IF($K272="","",$K272*60)</f>
        <v/>
      </c>
      <c r="X272" s="186">
        <f>IF($A272="","",$A272&amp;"|"&amp;$C272&amp;"|"&amp;$D272)</f>
        <v/>
      </c>
      <c r="Y272" s="186">
        <f>IFERROR(IF($X272="","",INDEX(LLM_Data_Entry!$H$3:$H$548,MATCH($X272,INDEX(LLM_Data_Entry!$A$3:$A$548&amp;"|"&amp;LLM_Data_Entry!$C$3:$C$548&amp;"|"&amp;LLM_Data_Entry!$D$3:$D$548,0),0))),"")</f>
        <v/>
      </c>
      <c r="Z272" s="186">
        <f>IFERROR(IF($X272="","",INDEX(LLM_Data_Entry!$R$3:$R$548,MATCH($X272,INDEX(LLM_Data_Entry!$A$3:$A$548&amp;"|"&amp;LLM_Data_Entry!$C$3:$C$548&amp;"|"&amp;LLM_Data_Entry!$D$3:$D$548,0),0))),"")</f>
        <v/>
      </c>
      <c r="AA272" s="152" t="n"/>
      <c r="AB272" s="152" t="inlineStr">
        <is>
          <t>release date + stated time in the document (document)</t>
        </is>
      </c>
      <c r="AC272" s="152" t="inlineStr">
        <is>
          <t>MET</t>
        </is>
      </c>
      <c r="AD272" s="152" t="inlineStr">
        <is>
          <t>2023-11-01</t>
        </is>
      </c>
      <c r="AE272" s="152" t="n">
        <v>54.8773</v>
      </c>
      <c r="AF272" s="152" t="inlineStr">
        <is>
          <t>2023-11-02</t>
        </is>
      </c>
      <c r="AG272" s="152" t="n">
        <v>54.8865</v>
      </c>
      <c r="AH272" s="152" t="n">
        <v>0.0001667743223324939</v>
      </c>
      <c r="AI272" s="152" t="inlineStr">
        <is>
          <t>FLAT</t>
        </is>
      </c>
      <c r="AJ272" s="152" t="inlineStr">
        <is>
          <t>NO</t>
        </is>
      </c>
      <c r="AK272" s="152" t="n">
        <v>-0.000833</v>
      </c>
      <c r="AL272" s="152">
        <f>IF($A272="","",IFERROR(INDEX(Company_List!$G$3:$G$207,MATCH($A272,Company_List!$A$3:$A$207,0)),"unassigned"))</f>
        <v/>
      </c>
      <c r="AM272" s="152" t="inlineStr">
        <is>
          <t>Phase 2/MetLife/Q3 2023/MET-Q3-2023-press-release-SEC-EX99-1.htm; Phase 2/MetLife/Q3 2023/MET-Q3-2023-exhibit-SEC-EX99-2.htm; Phase 2/MetLife/Q3 2023/MET-Q3-2023-earnings-call-transcript-InsiderMonkey.html</t>
        </is>
      </c>
      <c r="AN272" s="152" t="inlineStr">
        <is>
          <t>https://www.insidermonkey.com/blog/metlife-inc-nysemet-q3-2023-earnings-call-transcript-1216220/; https://www.sec.gov/Archives/edgar/data/1099219/000109921923000266/ex991earningsreleasetables.htm; https://www.sec.gov/Archives/edgar/data/1099219/000109921923000266/ex992qfsq323doc.htm</t>
        </is>
      </c>
      <c r="AO272" s="152" t="inlineStr">
        <is>
          <t>manifest (whole bundle)</t>
        </is>
      </c>
      <c r="AP272" s="152">
        <f>IF($A272="","",IF(COUNTIFS(LLM_Data_Entry!$A$3:$A$548,$A272)&gt;0,"YES","NO"))</f>
        <v/>
      </c>
      <c r="AQ272" s="152">
        <f>IF($A272="","",IF(COUNTIFS($A$3:$A272,$A272,$C$3:$C272,$C272,$D$3:$D272,$D272)=1,"YES","NO"))</f>
        <v/>
      </c>
      <c r="AR272" s="152">
        <f>IF($A272="","",IF(AND($C272&amp;"-"&amp;$D272&gt;=Settings!$B$19,$C272&amp;"-"&amp;$D272&lt;=Settings!$B$20),"IN","OUT"))</f>
        <v/>
      </c>
      <c r="AS272" s="152">
        <f>IF($A272="","",IF($F272="Financial Results","financials",IF($F272="Outlook/Guidance","guidance",IF($F272="Transcript Q&amp;A","qanda",IF($F272="","unrecorded",IF($E272="All","full",IF($E272="","unrecorded",LOWER($E272)&amp;" only")))))))</f>
        <v/>
      </c>
      <c r="AT272" s="152">
        <f>IF(AND(OR($J272="BUY",$J272="SELL"),ISNUMBER($U272)),$U272,"")</f>
        <v/>
      </c>
      <c r="AU272" s="152">
        <f>IF(AND(OR($J272="BUY",$J272="SELL"),ISNUMBER($AK272)),$AK272,"")</f>
        <v/>
      </c>
      <c r="AV272" s="152">
        <f>IF(ISNUMBER($AT272),ABS(IF(ISNUMBER($I272),$I272,0)-Settings!$B$24),"")</f>
        <v/>
      </c>
      <c r="AW272" s="152">
        <f>IF(ISNUMBER($AV272),$AV272*$AT272,"")</f>
        <v/>
      </c>
      <c r="AX272" s="152">
        <f>IF(ISNUMBER($AU272),ABS(IF(ISNUMBER($I272),$I272,0)-Settings!$B$24),"")</f>
        <v/>
      </c>
      <c r="AY272" s="152" t="inlineStr">
        <is>
          <t>FROZEN</t>
        </is>
      </c>
      <c r="AZ272" s="152">
        <f>IF($A272="","",IFERROR(INDEX(Company_List!$H$3:$H$207,MATCH($A272,Company_List!$A$3:$A$207,0)),"unassigned"))</f>
        <v/>
      </c>
      <c r="BA272" s="152" t="n"/>
      <c r="BB272" s="152" t="n"/>
      <c r="BC272" s="152">
        <f>IF($A272="","",IF(COUNTIFS($A$3:$A272,$A272,$C$3:$C272,$C272,$D$3:$D272,$D272,$G$3:$G272,$G272)=1,1,0))</f>
        <v/>
      </c>
      <c r="BD272" s="152" t="n"/>
      <c r="BE272" s="152" t="n"/>
      <c r="BF272" s="152" t="n"/>
      <c r="BG272" s="152" t="inlineStr">
        <is>
          <t>no</t>
        </is>
      </c>
      <c r="BH272" s="152" t="n"/>
      <c r="BI272" s="152" t="n"/>
      <c r="BJ272" s="152" t="n"/>
      <c r="BK272" s="152">
        <f>IF(OR($H272&lt;&gt;"Human",$S272="",$J272="",$Y272="",$Z272=""),"",IF(EXACT(UPPER($J272),UPPER($Y272)),1,0))</f>
        <v/>
      </c>
      <c r="BL272" s="152" t="inlineStr">
        <is>
          <t>assumed - no rater record</t>
        </is>
      </c>
      <c r="BM272" s="152" t="n">
        <v>3</v>
      </c>
      <c r="BN272" s="152" t="inlineStr">
        <is>
          <t>Insider Monkey (Koala Guide LLC)</t>
        </is>
      </c>
      <c r="BO272" s="152" t="inlineStr">
        <is>
          <t>free to read, copyright asserted</t>
        </is>
      </c>
      <c r="BP272" s="152" t="inlineStr">
        <is>
          <t>no</t>
        </is>
      </c>
      <c r="BQ272" s="152" t="inlineStr">
        <is>
          <t>yes</t>
        </is>
      </c>
      <c r="BR272" s="152" t="n"/>
      <c r="BS272" s="152" t="inlineStr">
        <is>
          <t>NO</t>
        </is>
      </c>
      <c r="BT272" s="152" t="inlineStr">
        <is>
          <t>human-only event; not in LLM returns_matrix — EDGAR lookup deferred, manual verification required</t>
        </is>
      </c>
    </row>
    <row r="273" ht="15" customHeight="1" s="241">
      <c r="A273" s="191" t="inlineStr">
        <is>
          <t>MetLife</t>
        </is>
      </c>
      <c r="B273" s="188">
        <f>IF(A273="","",_xlfn.XLOOKUP(A273, Company_List!$A:$A, Company_List!$B:$B, ""))</f>
        <v/>
      </c>
      <c r="C273" s="177" t="n">
        <v>2023</v>
      </c>
      <c r="D273" s="177" t="inlineStr">
        <is>
          <t>Q4</t>
        </is>
      </c>
      <c r="E273" s="178" t="inlineStr">
        <is>
          <t>All</t>
        </is>
      </c>
      <c r="F273" s="178" t="inlineStr">
        <is>
          <t>All</t>
        </is>
      </c>
      <c r="G273" s="177" t="inlineStr">
        <is>
          <t>Dragos</t>
        </is>
      </c>
      <c r="H273" s="177" t="inlineStr">
        <is>
          <t>Human</t>
        </is>
      </c>
      <c r="I273" s="180" t="n">
        <v>0.3</v>
      </c>
      <c r="J273" s="180">
        <f>IF(OR(I273="",Settings!$B$6=""),"",IF(I273&gt;Settings!$B$6,"BUY",IF(I273&lt;-Settings!$B$6,"SELL","HOLD")))</f>
        <v/>
      </c>
      <c r="K273" s="180" t="n">
        <v>39</v>
      </c>
      <c r="L273" s="182" t="n">
        <v>45322</v>
      </c>
      <c r="M273" s="182" t="n">
        <v>45322</v>
      </c>
      <c r="N273" s="179" t="n">
        <v>69.31999999999999</v>
      </c>
      <c r="O273" s="182" t="n">
        <v>45323</v>
      </c>
      <c r="P273" s="180" t="n">
        <v>66.15000000000001</v>
      </c>
      <c r="Q273" s="184">
        <f>IF(OR(N273="",P273=""),"",ROUND((P273-N273)/N273,4))</f>
        <v/>
      </c>
      <c r="R273" s="177">
        <f>IF(OR(N273="",P273=""),"",IF(Q273&gt;Settings!$B$3/100,"UP",IF(Q273&lt;-Settings!$B$3/100,"DOWN","FLAT")))</f>
        <v/>
      </c>
      <c r="S273" s="177">
        <f>IF(OR(N273="",P273="",J273=""),"",IF(OR(AND(J273="BUY",R273="UP"),AND(J273="SELL",R273="DOWN"),AND(J273="HOLD",R273="FLAT")),"YES","NO"))</f>
        <v/>
      </c>
      <c r="T273" s="176">
        <f>IF(J273="","",IF(J273="BUY",1,IF(J273="SELL",-1,0)))</f>
        <v/>
      </c>
      <c r="U273" s="184">
        <f>IFERROR(IF(OR(J273="",N273="",P273=""),"",IF(T273=0,0,T273*Q273-Settings!$B$4/10000-IF(T273&lt;0,Settings!$B$5/10000,0))),"")</f>
        <v/>
      </c>
      <c r="V273" s="152" t="n"/>
      <c r="W273" s="176">
        <f>IF($K273="","",$K273*60)</f>
        <v/>
      </c>
      <c r="X273" s="186">
        <f>IF($A273="","",$A273&amp;"|"&amp;$C273&amp;"|"&amp;$D273)</f>
        <v/>
      </c>
      <c r="Y273" s="186">
        <f>IFERROR(IF($X273="","",INDEX(LLM_Data_Entry!$H$3:$H$548,MATCH($X273,INDEX(LLM_Data_Entry!$A$3:$A$548&amp;"|"&amp;LLM_Data_Entry!$C$3:$C$548&amp;"|"&amp;LLM_Data_Entry!$D$3:$D$548,0),0))),"")</f>
        <v/>
      </c>
      <c r="Z273" s="186">
        <f>IFERROR(IF($X273="","",INDEX(LLM_Data_Entry!$R$3:$R$548,MATCH($X273,INDEX(LLM_Data_Entry!$A$3:$A$548&amp;"|"&amp;LLM_Data_Entry!$C$3:$C$548&amp;"|"&amp;LLM_Data_Entry!$D$3:$D$548,0),0))),"")</f>
        <v/>
      </c>
      <c r="AA273" s="152" t="n"/>
      <c r="AB273" s="152" t="inlineStr">
        <is>
          <t>release date + stated time in the document (document)</t>
        </is>
      </c>
      <c r="AC273" s="152" t="inlineStr">
        <is>
          <t>MET</t>
        </is>
      </c>
      <c r="AD273" s="152" t="inlineStr">
        <is>
          <t>2024-01-31</t>
        </is>
      </c>
      <c r="AE273" s="152" t="n">
        <v>63.9767</v>
      </c>
      <c r="AF273" s="152" t="inlineStr">
        <is>
          <t>2024-02-01</t>
        </is>
      </c>
      <c r="AG273" s="152" t="n">
        <v>61.0511</v>
      </c>
      <c r="AH273" s="152" t="n">
        <v>-0.04573010255782602</v>
      </c>
      <c r="AI273" s="152" t="inlineStr">
        <is>
          <t>DOWN</t>
        </is>
      </c>
      <c r="AJ273" s="152" t="inlineStr">
        <is>
          <t>NO</t>
        </is>
      </c>
      <c r="AK273" s="152" t="n">
        <v>-0.04673</v>
      </c>
      <c r="AL273" s="152">
        <f>IF($A273="","",IFERROR(INDEX(Company_List!$G$3:$G$207,MATCH($A273,Company_List!$A$3:$A$207,0)),"unassigned"))</f>
        <v/>
      </c>
      <c r="AM273" s="152" t="inlineStr">
        <is>
          <t>Phase 2/MetLife/Q4 2023/MET-Q4-2023-press-release-SEC-EX99-1.htm; Phase 2/MetLife/Q4 2023/MET-Q4-2023-exhibit-SEC-EX99-2.htm; Phase 2/MetLife/Q4 2023/MET-Q4-2023-earnings-call-transcript-InsiderMonkey.html</t>
        </is>
      </c>
      <c r="AN273" s="152" t="inlineStr">
        <is>
          <t>https://www.insidermonkey.com/blog/metlife-inc-nysemet-q4-2023-earnings-call-transcript-1252835/; https://www.sec.gov/Archives/edgar/data/1099219/000109921924000028/ex991earningsreleasetables.htm; https://www.sec.gov/Archives/edgar/data/1099219/000109921924000028/ex992qfsq423doc.htm</t>
        </is>
      </c>
      <c r="AO273" s="152" t="inlineStr">
        <is>
          <t>manifest (whole bundle)</t>
        </is>
      </c>
      <c r="AP273" s="152">
        <f>IF($A273="","",IF(COUNTIFS(LLM_Data_Entry!$A$3:$A$548,$A273)&gt;0,"YES","NO"))</f>
        <v/>
      </c>
      <c r="AQ273" s="152">
        <f>IF($A273="","",IF(COUNTIFS($A$3:$A273,$A273,$C$3:$C273,$C273,$D$3:$D273,$D273)=1,"YES","NO"))</f>
        <v/>
      </c>
      <c r="AR273" s="152">
        <f>IF($A273="","",IF(AND($C273&amp;"-"&amp;$D273&gt;=Settings!$B$19,$C273&amp;"-"&amp;$D273&lt;=Settings!$B$20),"IN","OUT"))</f>
        <v/>
      </c>
      <c r="AS273" s="152">
        <f>IF($A273="","",IF($F273="Financial Results","financials",IF($F273="Outlook/Guidance","guidance",IF($F273="Transcript Q&amp;A","qanda",IF($F273="","unrecorded",IF($E273="All","full",IF($E273="","unrecorded",LOWER($E273)&amp;" only")))))))</f>
        <v/>
      </c>
      <c r="AT273" s="152">
        <f>IF(AND(OR($J273="BUY",$J273="SELL"),ISNUMBER($U273)),$U273,"")</f>
        <v/>
      </c>
      <c r="AU273" s="152">
        <f>IF(AND(OR($J273="BUY",$J273="SELL"),ISNUMBER($AK273)),$AK273,"")</f>
        <v/>
      </c>
      <c r="AV273" s="152">
        <f>IF(ISNUMBER($AT273),ABS(IF(ISNUMBER($I273),$I273,0)-Settings!$B$24),"")</f>
        <v/>
      </c>
      <c r="AW273" s="152">
        <f>IF(ISNUMBER($AV273),$AV273*$AT273,"")</f>
        <v/>
      </c>
      <c r="AX273" s="152">
        <f>IF(ISNUMBER($AU273),ABS(IF(ISNUMBER($I273),$I273,0)-Settings!$B$24),"")</f>
        <v/>
      </c>
      <c r="AY273" s="152" t="inlineStr">
        <is>
          <t>FROZEN</t>
        </is>
      </c>
      <c r="AZ273" s="152">
        <f>IF($A273="","",IFERROR(INDEX(Company_List!$H$3:$H$207,MATCH($A273,Company_List!$A$3:$A$207,0)),"unassigned"))</f>
        <v/>
      </c>
      <c r="BA273" s="152" t="n"/>
      <c r="BB273" s="152" t="n"/>
      <c r="BC273" s="152">
        <f>IF($A273="","",IF(COUNTIFS($A$3:$A273,$A273,$C$3:$C273,$C273,$D$3:$D273,$D273,$G$3:$G273,$G273)=1,1,0))</f>
        <v/>
      </c>
      <c r="BD273" s="152" t="n"/>
      <c r="BE273" s="152" t="n"/>
      <c r="BF273" s="152" t="n"/>
      <c r="BG273" s="152" t="inlineStr">
        <is>
          <t>no</t>
        </is>
      </c>
      <c r="BH273" s="152" t="n"/>
      <c r="BI273" s="152" t="n"/>
      <c r="BJ273" s="152" t="n"/>
      <c r="BK273" s="152">
        <f>IF(OR($H273&lt;&gt;"Human",$S273="",$J273="",$Y273="",$Z273=""),"",IF(EXACT(UPPER($J273),UPPER($Y273)),1,0))</f>
        <v/>
      </c>
      <c r="BL273" s="152" t="inlineStr">
        <is>
          <t>assumed - no rater record</t>
        </is>
      </c>
      <c r="BM273" s="152" t="n">
        <v>3</v>
      </c>
      <c r="BN273" s="152" t="inlineStr">
        <is>
          <t>Insider Monkey (Koala Guide LLC)</t>
        </is>
      </c>
      <c r="BO273" s="152" t="inlineStr">
        <is>
          <t>free to read, copyright asserted</t>
        </is>
      </c>
      <c r="BP273" s="152" t="inlineStr">
        <is>
          <t>no</t>
        </is>
      </c>
      <c r="BQ273" s="152" t="inlineStr">
        <is>
          <t>yes</t>
        </is>
      </c>
      <c r="BR273" s="152" t="n"/>
      <c r="BS273" s="152" t="inlineStr">
        <is>
          <t>NO</t>
        </is>
      </c>
      <c r="BT273" s="152" t="inlineStr">
        <is>
          <t>human-only event; not in LLM returns_matrix — EDGAR lookup deferred, manual verification required</t>
        </is>
      </c>
    </row>
    <row r="274" ht="15" customHeight="1" s="241">
      <c r="A274" s="191" t="inlineStr">
        <is>
          <t>MetLife</t>
        </is>
      </c>
      <c r="B274" s="188">
        <f>IF(A274="","",_xlfn.XLOOKUP(A274, Company_List!$A:$A, Company_List!$B:$B, ""))</f>
        <v/>
      </c>
      <c r="C274" s="177" t="n">
        <v>2024</v>
      </c>
      <c r="D274" s="177" t="inlineStr">
        <is>
          <t>Q1</t>
        </is>
      </c>
      <c r="E274" s="178" t="inlineStr">
        <is>
          <t>All</t>
        </is>
      </c>
      <c r="F274" s="178" t="inlineStr">
        <is>
          <t>All</t>
        </is>
      </c>
      <c r="G274" s="177" t="inlineStr">
        <is>
          <t>Dragos</t>
        </is>
      </c>
      <c r="H274" s="177" t="inlineStr">
        <is>
          <t>Human</t>
        </is>
      </c>
      <c r="I274" s="180" t="n">
        <v>0.1</v>
      </c>
      <c r="J274" s="180">
        <f>IF(OR(I274="",Settings!$B$6=""),"",IF(I274&gt;Settings!$B$6,"BUY",IF(I274&lt;-Settings!$B$6,"SELL","HOLD")))</f>
        <v/>
      </c>
      <c r="K274" s="180" t="n">
        <v>24</v>
      </c>
      <c r="L274" s="182" t="n">
        <v>45413</v>
      </c>
      <c r="M274" s="182" t="n">
        <v>45413</v>
      </c>
      <c r="N274" s="179" t="n">
        <v>71.88</v>
      </c>
      <c r="O274" s="182" t="n">
        <v>45414</v>
      </c>
      <c r="P274" s="180" t="n">
        <v>72.40000000000001</v>
      </c>
      <c r="Q274" s="184">
        <f>IF(OR(N274="",P274=""),"",ROUND((P274-N274)/N274,4))</f>
        <v/>
      </c>
      <c r="R274" s="177">
        <f>IF(OR(N274="",P274=""),"",IF(Q274&gt;Settings!$B$3/100,"UP",IF(Q274&lt;-Settings!$B$3/100,"DOWN","FLAT")))</f>
        <v/>
      </c>
      <c r="S274" s="177">
        <f>IF(OR(N274="",P274="",J274=""),"",IF(OR(AND(J274="BUY",R274="UP"),AND(J274="SELL",R274="DOWN"),AND(J274="HOLD",R274="FLAT")),"YES","NO"))</f>
        <v/>
      </c>
      <c r="T274" s="176">
        <f>IF(J274="","",IF(J274="BUY",1,IF(J274="SELL",-1,0)))</f>
        <v/>
      </c>
      <c r="U274" s="184">
        <f>IFERROR(IF(OR(J274="",N274="",P274=""),"",IF(T274=0,0,T274*Q274-Settings!$B$4/10000-IF(T274&lt;0,Settings!$B$5/10000,0))),"")</f>
        <v/>
      </c>
      <c r="V274" s="152" t="n"/>
      <c r="W274" s="176">
        <f>IF($K274="","",$K274*60)</f>
        <v/>
      </c>
      <c r="X274" s="186">
        <f>IF($A274="","",$A274&amp;"|"&amp;$C274&amp;"|"&amp;$D274)</f>
        <v/>
      </c>
      <c r="Y274" s="186">
        <f>IFERROR(IF($X274="","",INDEX(LLM_Data_Entry!$H$3:$H$548,MATCH($X274,INDEX(LLM_Data_Entry!$A$3:$A$548&amp;"|"&amp;LLM_Data_Entry!$C$3:$C$548&amp;"|"&amp;LLM_Data_Entry!$D$3:$D$548,0),0))),"")</f>
        <v/>
      </c>
      <c r="Z274" s="186">
        <f>IFERROR(IF($X274="","",INDEX(LLM_Data_Entry!$R$3:$R$548,MATCH($X274,INDEX(LLM_Data_Entry!$A$3:$A$548&amp;"|"&amp;LLM_Data_Entry!$C$3:$C$548&amp;"|"&amp;LLM_Data_Entry!$D$3:$D$548,0),0))),"")</f>
        <v/>
      </c>
      <c r="AA274" s="152" t="n"/>
      <c r="AB274" s="152" t="inlineStr">
        <is>
          <t>release date + stated time in the document (document)</t>
        </is>
      </c>
      <c r="AC274" s="152" t="inlineStr">
        <is>
          <t>MET</t>
        </is>
      </c>
      <c r="AD274" s="152" t="inlineStr">
        <is>
          <t>2024-05-01</t>
        </is>
      </c>
      <c r="AE274" s="152" t="n">
        <v>66.86660000000001</v>
      </c>
      <c r="AF274" s="152" t="inlineStr">
        <is>
          <t>2024-05-02</t>
        </is>
      </c>
      <c r="AG274" s="152" t="n">
        <v>67.35039999999999</v>
      </c>
      <c r="AH274" s="152" t="n">
        <v>0.007234619960189945</v>
      </c>
      <c r="AI274" s="152" t="inlineStr">
        <is>
          <t>FLAT</t>
        </is>
      </c>
      <c r="AJ274" s="152" t="inlineStr">
        <is>
          <t>YES</t>
        </is>
      </c>
      <c r="AK274" s="152" t="n">
        <v>0</v>
      </c>
      <c r="AL274" s="152">
        <f>IF($A274="","",IFERROR(INDEX(Company_List!$G$3:$G$207,MATCH($A274,Company_List!$A$3:$A$207,0)),"unassigned"))</f>
        <v/>
      </c>
      <c r="AM274" s="152" t="inlineStr">
        <is>
          <t>Phase 2/MetLife/Q1 2024/MET-Q1-2024-press-release-SEC-EX99-1.htm; Phase 2/MetLife/Q1 2024/MET-Q1-2024-exhibit-SEC-EX99-2.htm; Phase 2/MetLife/Q1 2024/MET-Q1-2024-earnings-call-transcript-InsiderMonkey.html</t>
        </is>
      </c>
      <c r="AN274" s="152" t="inlineStr">
        <is>
          <t>https://www.insidermonkey.com/blog/metlife-inc-nysemet-q1-2024-earnings-call-transcript-1296279/; https://www.sec.gov/Archives/edgar/data/1099219/000109921924000139/ex991earningsreleasetables.htm; https://www.sec.gov/Archives/edgar/data/1099219/000109921924000139/ex992qfsq124.htm</t>
        </is>
      </c>
      <c r="AO274" s="152" t="inlineStr">
        <is>
          <t>manifest (whole bundle)</t>
        </is>
      </c>
      <c r="AP274" s="152">
        <f>IF($A274="","",IF(COUNTIFS(LLM_Data_Entry!$A$3:$A$548,$A274)&gt;0,"YES","NO"))</f>
        <v/>
      </c>
      <c r="AQ274" s="152">
        <f>IF($A274="","",IF(COUNTIFS($A$3:$A274,$A274,$C$3:$C274,$C274,$D$3:$D274,$D274)=1,"YES","NO"))</f>
        <v/>
      </c>
      <c r="AR274" s="152">
        <f>IF($A274="","",IF(AND($C274&amp;"-"&amp;$D274&gt;=Settings!$B$19,$C274&amp;"-"&amp;$D274&lt;=Settings!$B$20),"IN","OUT"))</f>
        <v/>
      </c>
      <c r="AS274" s="152">
        <f>IF($A274="","",IF($F274="Financial Results","financials",IF($F274="Outlook/Guidance","guidance",IF($F274="Transcript Q&amp;A","qanda",IF($F274="","unrecorded",IF($E274="All","full",IF($E274="","unrecorded",LOWER($E274)&amp;" only")))))))</f>
        <v/>
      </c>
      <c r="AT274" s="152">
        <f>IF(AND(OR($J274="BUY",$J274="SELL"),ISNUMBER($U274)),$U274,"")</f>
        <v/>
      </c>
      <c r="AU274" s="152">
        <f>IF(AND(OR($J274="BUY",$J274="SELL"),ISNUMBER($AK274)),$AK274,"")</f>
        <v/>
      </c>
      <c r="AV274" s="152">
        <f>IF(ISNUMBER($AT274),ABS(IF(ISNUMBER($I274),$I274,0)-Settings!$B$24),"")</f>
        <v/>
      </c>
      <c r="AW274" s="152">
        <f>IF(ISNUMBER($AV274),$AV274*$AT274,"")</f>
        <v/>
      </c>
      <c r="AX274" s="152">
        <f>IF(ISNUMBER($AU274),ABS(IF(ISNUMBER($I274),$I274,0)-Settings!$B$24),"")</f>
        <v/>
      </c>
      <c r="AY274" s="152" t="inlineStr">
        <is>
          <t>FROZEN</t>
        </is>
      </c>
      <c r="AZ274" s="152">
        <f>IF($A274="","",IFERROR(INDEX(Company_List!$H$3:$H$207,MATCH($A274,Company_List!$A$3:$A$207,0)),"unassigned"))</f>
        <v/>
      </c>
      <c r="BA274" s="152" t="n"/>
      <c r="BB274" s="152" t="n"/>
      <c r="BC274" s="152">
        <f>IF($A274="","",IF(COUNTIFS($A$3:$A274,$A274,$C$3:$C274,$C274,$D$3:$D274,$D274,$G$3:$G274,$G274)=1,1,0))</f>
        <v/>
      </c>
      <c r="BD274" s="152" t="n"/>
      <c r="BE274" s="152" t="n"/>
      <c r="BF274" s="152" t="n"/>
      <c r="BG274" s="152" t="inlineStr">
        <is>
          <t>no</t>
        </is>
      </c>
      <c r="BH274" s="152" t="n"/>
      <c r="BI274" s="152" t="n"/>
      <c r="BJ274" s="152" t="n"/>
      <c r="BK274" s="152">
        <f>IF(OR($H274&lt;&gt;"Human",$S274="",$J274="",$Y274="",$Z274=""),"",IF(EXACT(UPPER($J274),UPPER($Y274)),1,0))</f>
        <v/>
      </c>
      <c r="BL274" s="152" t="inlineStr">
        <is>
          <t>assumed - no rater record</t>
        </is>
      </c>
      <c r="BM274" s="152" t="n">
        <v>3</v>
      </c>
      <c r="BN274" s="152" t="inlineStr">
        <is>
          <t>Insider Monkey (Koala Guide LLC)</t>
        </is>
      </c>
      <c r="BO274" s="152" t="inlineStr">
        <is>
          <t>free to read, copyright asserted</t>
        </is>
      </c>
      <c r="BP274" s="152" t="inlineStr">
        <is>
          <t>no</t>
        </is>
      </c>
      <c r="BQ274" s="152" t="inlineStr">
        <is>
          <t>yes</t>
        </is>
      </c>
      <c r="BR274" s="152" t="n"/>
      <c r="BS274" s="152" t="inlineStr">
        <is>
          <t>NO</t>
        </is>
      </c>
      <c r="BT274" s="152" t="inlineStr">
        <is>
          <t>human-only event; not in LLM returns_matrix — EDGAR lookup deferred, manual verification required</t>
        </is>
      </c>
    </row>
    <row r="275" ht="15" customHeight="1" s="241">
      <c r="A275" s="191" t="inlineStr">
        <is>
          <t>MetLife</t>
        </is>
      </c>
      <c r="B275" s="188">
        <f>IF(A275="","",_xlfn.XLOOKUP(A275, Company_List!$A:$A, Company_List!$B:$B, ""))</f>
        <v/>
      </c>
      <c r="C275" s="177" t="n">
        <v>2024</v>
      </c>
      <c r="D275" s="177" t="inlineStr">
        <is>
          <t>Q2</t>
        </is>
      </c>
      <c r="E275" s="178" t="inlineStr">
        <is>
          <t>All</t>
        </is>
      </c>
      <c r="F275" s="178" t="inlineStr">
        <is>
          <t>All</t>
        </is>
      </c>
      <c r="G275" s="177" t="inlineStr">
        <is>
          <t>Dragos</t>
        </is>
      </c>
      <c r="H275" s="177" t="inlineStr">
        <is>
          <t>Human</t>
        </is>
      </c>
      <c r="I275" s="180" t="n">
        <v>0.5</v>
      </c>
      <c r="J275" s="180">
        <f>IF(OR(I275="",Settings!$B$6=""),"",IF(I275&gt;Settings!$B$6,"BUY",IF(I275&lt;-Settings!$B$6,"SELL","HOLD")))</f>
        <v/>
      </c>
      <c r="K275" s="180" t="n">
        <v>20</v>
      </c>
      <c r="L275" s="182" t="n">
        <v>45504</v>
      </c>
      <c r="M275" s="182" t="n">
        <v>45504</v>
      </c>
      <c r="N275" s="179" t="n">
        <v>76.84999999999999</v>
      </c>
      <c r="O275" s="182" t="n">
        <v>45505</v>
      </c>
      <c r="P275" s="180" t="n">
        <v>78.61</v>
      </c>
      <c r="Q275" s="184">
        <f>IF(OR(N275="",P275=""),"",ROUND((P275-N275)/N275,4))</f>
        <v/>
      </c>
      <c r="R275" s="177">
        <f>IF(OR(N275="",P275=""),"",IF(Q275&gt;Settings!$B$3/100,"UP",IF(Q275&lt;-Settings!$B$3/100,"DOWN","FLAT")))</f>
        <v/>
      </c>
      <c r="S275" s="177">
        <f>IF(OR(N275="",P275="",J275=""),"",IF(OR(AND(J275="BUY",R275="UP"),AND(J275="SELL",R275="DOWN"),AND(J275="HOLD",R275="FLAT")),"YES","NO"))</f>
        <v/>
      </c>
      <c r="T275" s="176">
        <f>IF(J275="","",IF(J275="BUY",1,IF(J275="SELL",-1,0)))</f>
        <v/>
      </c>
      <c r="U275" s="184">
        <f>IFERROR(IF(OR(J275="",N275="",P275=""),"",IF(T275=0,0,T275*Q275-Settings!$B$4/10000-IF(T275&lt;0,Settings!$B$5/10000,0))),"")</f>
        <v/>
      </c>
      <c r="V275" s="152" t="n"/>
      <c r="W275" s="176">
        <f>IF($K275="","",$K275*60)</f>
        <v/>
      </c>
      <c r="X275" s="186">
        <f>IF($A275="","",$A275&amp;"|"&amp;$C275&amp;"|"&amp;$D275)</f>
        <v/>
      </c>
      <c r="Y275" s="186">
        <f>IFERROR(IF($X275="","",INDEX(LLM_Data_Entry!$H$3:$H$548,MATCH($X275,INDEX(LLM_Data_Entry!$A$3:$A$548&amp;"|"&amp;LLM_Data_Entry!$C$3:$C$548&amp;"|"&amp;LLM_Data_Entry!$D$3:$D$548,0),0))),"")</f>
        <v/>
      </c>
      <c r="Z275" s="186">
        <f>IFERROR(IF($X275="","",INDEX(LLM_Data_Entry!$R$3:$R$548,MATCH($X275,INDEX(LLM_Data_Entry!$A$3:$A$548&amp;"|"&amp;LLM_Data_Entry!$C$3:$C$548&amp;"|"&amp;LLM_Data_Entry!$D$3:$D$548,0),0))),"")</f>
        <v/>
      </c>
      <c r="AA275" s="152" t="n"/>
      <c r="AB275" s="152" t="inlineStr">
        <is>
          <t>release date + stated time in the document (document)</t>
        </is>
      </c>
      <c r="AC275" s="152" t="inlineStr">
        <is>
          <t>MET</t>
        </is>
      </c>
      <c r="AD275" s="152" t="inlineStr">
        <is>
          <t>2024-07-31</t>
        </is>
      </c>
      <c r="AE275" s="152" t="n">
        <v>72.0468</v>
      </c>
      <c r="AF275" s="152" t="inlineStr">
        <is>
          <t>2024-08-01</t>
        </is>
      </c>
      <c r="AG275" s="152" t="n">
        <v>73.6968</v>
      </c>
      <c r="AH275" s="152" t="n">
        <v>0.02290193450785315</v>
      </c>
      <c r="AI275" s="152" t="inlineStr">
        <is>
          <t>UP</t>
        </is>
      </c>
      <c r="AJ275" s="152" t="inlineStr">
        <is>
          <t>YES</t>
        </is>
      </c>
      <c r="AK275" s="152" t="n">
        <v>0.021902</v>
      </c>
      <c r="AL275" s="152">
        <f>IF($A275="","",IFERROR(INDEX(Company_List!$G$3:$G$207,MATCH($A275,Company_List!$A$3:$A$207,0)),"unassigned"))</f>
        <v/>
      </c>
      <c r="AM275" s="152" t="inlineStr">
        <is>
          <t>Phase 2/MetLife/Q2 2024/MET-Q2-2024-press-release-SEC-EX99-1.htm; Phase 2/MetLife/Q2 2024/MET-Q2-2024-exhibit-SEC-EX99-2.htm; Phase 2/MetLife/Q2 2024/MET-Q2-2024-earnings-call-transcript-stockanalysis-com.html</t>
        </is>
      </c>
      <c r="AN275" s="152" t="inlineStr">
        <is>
          <t>https://stockanalysis.com/stocks/met/transcripts/190195-q2-2024/; https://www.sec.gov/Archives/edgar/data/1099219/000109921924000196/ex991earningsreleasetables.htm; https://www.sec.gov/Archives/edgar/data/1099219/000109921924000196/ex992qfsq224.htm</t>
        </is>
      </c>
      <c r="AO275" s="152" t="inlineStr">
        <is>
          <t>manifest (whole bundle)</t>
        </is>
      </c>
      <c r="AP275" s="152">
        <f>IF($A275="","",IF(COUNTIFS(LLM_Data_Entry!$A$3:$A$548,$A275)&gt;0,"YES","NO"))</f>
        <v/>
      </c>
      <c r="AQ275" s="152">
        <f>IF($A275="","",IF(COUNTIFS($A$3:$A275,$A275,$C$3:$C275,$C275,$D$3:$D275,$D275)=1,"YES","NO"))</f>
        <v/>
      </c>
      <c r="AR275" s="152">
        <f>IF($A275="","",IF(AND($C275&amp;"-"&amp;$D275&gt;=Settings!$B$19,$C275&amp;"-"&amp;$D275&lt;=Settings!$B$20),"IN","OUT"))</f>
        <v/>
      </c>
      <c r="AS275" s="152">
        <f>IF($A275="","",IF($F275="Financial Results","financials",IF($F275="Outlook/Guidance","guidance",IF($F275="Transcript Q&amp;A","qanda",IF($F275="","unrecorded",IF($E275="All","full",IF($E275="","unrecorded",LOWER($E275)&amp;" only")))))))</f>
        <v/>
      </c>
      <c r="AT275" s="152">
        <f>IF(AND(OR($J275="BUY",$J275="SELL"),ISNUMBER($U275)),$U275,"")</f>
        <v/>
      </c>
      <c r="AU275" s="152">
        <f>IF(AND(OR($J275="BUY",$J275="SELL"),ISNUMBER($AK275)),$AK275,"")</f>
        <v/>
      </c>
      <c r="AV275" s="152">
        <f>IF(ISNUMBER($AT275),ABS(IF(ISNUMBER($I275),$I275,0)-Settings!$B$24),"")</f>
        <v/>
      </c>
      <c r="AW275" s="152">
        <f>IF(ISNUMBER($AV275),$AV275*$AT275,"")</f>
        <v/>
      </c>
      <c r="AX275" s="152">
        <f>IF(ISNUMBER($AU275),ABS(IF(ISNUMBER($I275),$I275,0)-Settings!$B$24),"")</f>
        <v/>
      </c>
      <c r="AY275" s="152" t="inlineStr">
        <is>
          <t>FROZEN</t>
        </is>
      </c>
      <c r="AZ275" s="152">
        <f>IF($A275="","",IFERROR(INDEX(Company_List!$H$3:$H$207,MATCH($A275,Company_List!$A$3:$A$207,0)),"unassigned"))</f>
        <v/>
      </c>
      <c r="BA275" s="152" t="n"/>
      <c r="BB275" s="152" t="n"/>
      <c r="BC275" s="152">
        <f>IF($A275="","",IF(COUNTIFS($A$3:$A275,$A275,$C$3:$C275,$C275,$D$3:$D275,$D275,$G$3:$G275,$G275)=1,1,0))</f>
        <v/>
      </c>
      <c r="BD275" s="152" t="n"/>
      <c r="BE275" s="152" t="n"/>
      <c r="BF275" s="152" t="n"/>
      <c r="BG275" s="152" t="inlineStr">
        <is>
          <t>no</t>
        </is>
      </c>
      <c r="BH275" s="152" t="n"/>
      <c r="BI275" s="152" t="n"/>
      <c r="BJ275" s="152" t="n"/>
      <c r="BK275" s="152">
        <f>IF(OR($H275&lt;&gt;"Human",$S275="",$J275="",$Y275="",$Z275=""),"",IF(EXACT(UPPER($J275),UPPER($Y275)),1,0))</f>
        <v/>
      </c>
      <c r="BL275" s="152" t="inlineStr">
        <is>
          <t>assumed - no rater record</t>
        </is>
      </c>
      <c r="BM275" s="152" t="n">
        <v>3</v>
      </c>
      <c r="BN275" s="152" t="inlineStr">
        <is>
          <t>not publisher-identified</t>
        </is>
      </c>
      <c r="BO275" s="152" t="inlineStr">
        <is>
          <t>not publisher-identified</t>
        </is>
      </c>
      <c r="BP275" s="152" t="inlineStr">
        <is>
          <t>no</t>
        </is>
      </c>
      <c r="BQ275" s="152" t="inlineStr">
        <is>
          <t>yes</t>
        </is>
      </c>
      <c r="BR275" s="152" t="n"/>
      <c r="BS275" s="152" t="inlineStr">
        <is>
          <t>YES</t>
        </is>
      </c>
      <c r="BT275" s="152" t="n"/>
    </row>
    <row r="276" ht="15" customHeight="1" s="241">
      <c r="A276" s="191" t="inlineStr">
        <is>
          <t>MetLife</t>
        </is>
      </c>
      <c r="B276" s="188">
        <f>IF(A276="","",_xlfn.XLOOKUP(A276, Company_List!$A:$A, Company_List!$B:$B, ""))</f>
        <v/>
      </c>
      <c r="C276" s="177" t="n">
        <v>2024</v>
      </c>
      <c r="D276" s="177" t="inlineStr">
        <is>
          <t>Q3</t>
        </is>
      </c>
      <c r="E276" s="178" t="inlineStr">
        <is>
          <t>All</t>
        </is>
      </c>
      <c r="F276" s="178" t="inlineStr">
        <is>
          <t>All</t>
        </is>
      </c>
      <c r="G276" s="177" t="inlineStr">
        <is>
          <t>Dragos</t>
        </is>
      </c>
      <c r="H276" s="177" t="inlineStr">
        <is>
          <t>Human</t>
        </is>
      </c>
      <c r="I276" s="180" t="n">
        <v>-0.2</v>
      </c>
      <c r="J276" s="180">
        <f>IF(OR(I276="",Settings!$B$6=""),"",IF(I276&gt;Settings!$B$6,"BUY",IF(I276&lt;-Settings!$B$6,"SELL","HOLD")))</f>
        <v/>
      </c>
      <c r="K276" s="180" t="n">
        <v>23</v>
      </c>
      <c r="L276" s="182" t="n">
        <v>45595</v>
      </c>
      <c r="M276" s="182" t="n">
        <v>45595</v>
      </c>
      <c r="N276" s="179" t="n">
        <v>83.18000000000001</v>
      </c>
      <c r="O276" s="182" t="n">
        <v>45596</v>
      </c>
      <c r="P276" s="180" t="n">
        <v>76.56999999999999</v>
      </c>
      <c r="Q276" s="184">
        <f>IF(OR(N276="",P276=""),"",ROUND((P276-N276)/N276,4))</f>
        <v/>
      </c>
      <c r="R276" s="177">
        <f>IF(OR(N276="",P276=""),"",IF(Q276&gt;Settings!$B$3/100,"UP",IF(Q276&lt;-Settings!$B$3/100,"DOWN","FLAT")))</f>
        <v/>
      </c>
      <c r="S276" s="177">
        <f>IF(OR(N276="",P276="",J276=""),"",IF(OR(AND(J276="BUY",R276="UP"),AND(J276="SELL",R276="DOWN"),AND(J276="HOLD",R276="FLAT")),"YES","NO"))</f>
        <v/>
      </c>
      <c r="T276" s="176">
        <f>IF(J276="","",IF(J276="BUY",1,IF(J276="SELL",-1,0)))</f>
        <v/>
      </c>
      <c r="U276" s="184">
        <f>IFERROR(IF(OR(J276="",N276="",P276=""),"",IF(T276=0,0,T276*Q276-Settings!$B$4/10000-IF(T276&lt;0,Settings!$B$5/10000,0))),"")</f>
        <v/>
      </c>
      <c r="V276" s="152" t="n"/>
      <c r="W276" s="176">
        <f>IF($K276="","",$K276*60)</f>
        <v/>
      </c>
      <c r="X276" s="186">
        <f>IF($A276="","",$A276&amp;"|"&amp;$C276&amp;"|"&amp;$D276)</f>
        <v/>
      </c>
      <c r="Y276" s="186">
        <f>IFERROR(IF($X276="","",INDEX(LLM_Data_Entry!$H$3:$H$548,MATCH($X276,INDEX(LLM_Data_Entry!$A$3:$A$548&amp;"|"&amp;LLM_Data_Entry!$C$3:$C$548&amp;"|"&amp;LLM_Data_Entry!$D$3:$D$548,0),0))),"")</f>
        <v/>
      </c>
      <c r="Z276" s="186">
        <f>IFERROR(IF($X276="","",INDEX(LLM_Data_Entry!$R$3:$R$548,MATCH($X276,INDEX(LLM_Data_Entry!$A$3:$A$548&amp;"|"&amp;LLM_Data_Entry!$C$3:$C$548&amp;"|"&amp;LLM_Data_Entry!$D$3:$D$548,0),0))),"")</f>
        <v/>
      </c>
      <c r="AA276" s="152" t="n"/>
      <c r="AB276" s="152" t="inlineStr">
        <is>
          <t>release date + stated time in the document (document)</t>
        </is>
      </c>
      <c r="AC276" s="152" t="inlineStr">
        <is>
          <t>MET</t>
        </is>
      </c>
      <c r="AD276" s="152" t="inlineStr">
        <is>
          <t>2024-10-30</t>
        </is>
      </c>
      <c r="AE276" s="152" t="n">
        <v>78.6116</v>
      </c>
      <c r="AF276" s="152" t="inlineStr">
        <is>
          <t>2024-10-31</t>
        </is>
      </c>
      <c r="AG276" s="152" t="n">
        <v>72.3646</v>
      </c>
      <c r="AH276" s="152" t="n">
        <v>-0.07946624452436507</v>
      </c>
      <c r="AI276" s="152" t="inlineStr">
        <is>
          <t>DOWN</t>
        </is>
      </c>
      <c r="AJ276" s="152" t="inlineStr">
        <is>
          <t>NO</t>
        </is>
      </c>
      <c r="AK276" s="152" t="n">
        <v>0</v>
      </c>
      <c r="AL276" s="152">
        <f>IF($A276="","",IFERROR(INDEX(Company_List!$G$3:$G$207,MATCH($A276,Company_List!$A$3:$A$207,0)),"unassigned"))</f>
        <v/>
      </c>
      <c r="AM276" s="152" t="inlineStr">
        <is>
          <t>Phase 2/MetLife/Q3 2024/MET-Q3-2024-press-release-SEC-EX99-1.htm; Phase 2/MetLife/Q3 2024/MET-Q3-2024-exhibit-SEC-EX99-2.htm; Phase 2/MetLife/Q3 2024/MET-Q3-2024-earnings-call-transcript-InsiderMonkey.html</t>
        </is>
      </c>
      <c r="AN276" s="152" t="inlineStr">
        <is>
          <t>https://www.insidermonkey.com/blog/metlife-inc-nysemet-q3-2024-earnings-call-transcript-1383939/; https://www.sec.gov/Archives/edgar/data/1099219/000109921924000255/ex991earningsreleasetables.htm; https://www.sec.gov/Archives/edgar/data/1099219/000109921924000255/ex992qfsq324.htm</t>
        </is>
      </c>
      <c r="AO276" s="152" t="inlineStr">
        <is>
          <t>manifest (whole bundle)</t>
        </is>
      </c>
      <c r="AP276" s="152">
        <f>IF($A276="","",IF(COUNTIFS(LLM_Data_Entry!$A$3:$A$548,$A276)&gt;0,"YES","NO"))</f>
        <v/>
      </c>
      <c r="AQ276" s="152">
        <f>IF($A276="","",IF(COUNTIFS($A$3:$A276,$A276,$C$3:$C276,$C276,$D$3:$D276,$D276)=1,"YES","NO"))</f>
        <v/>
      </c>
      <c r="AR276" s="152">
        <f>IF($A276="","",IF(AND($C276&amp;"-"&amp;$D276&gt;=Settings!$B$19,$C276&amp;"-"&amp;$D276&lt;=Settings!$B$20),"IN","OUT"))</f>
        <v/>
      </c>
      <c r="AS276" s="152">
        <f>IF($A276="","",IF($F276="Financial Results","financials",IF($F276="Outlook/Guidance","guidance",IF($F276="Transcript Q&amp;A","qanda",IF($F276="","unrecorded",IF($E276="All","full",IF($E276="","unrecorded",LOWER($E276)&amp;" only")))))))</f>
        <v/>
      </c>
      <c r="AT276" s="152">
        <f>IF(AND(OR($J276="BUY",$J276="SELL"),ISNUMBER($U276)),$U276,"")</f>
        <v/>
      </c>
      <c r="AU276" s="152">
        <f>IF(AND(OR($J276="BUY",$J276="SELL"),ISNUMBER($AK276)),$AK276,"")</f>
        <v/>
      </c>
      <c r="AV276" s="152">
        <f>IF(ISNUMBER($AT276),ABS(IF(ISNUMBER($I276),$I276,0)-Settings!$B$24),"")</f>
        <v/>
      </c>
      <c r="AW276" s="152">
        <f>IF(ISNUMBER($AV276),$AV276*$AT276,"")</f>
        <v/>
      </c>
      <c r="AX276" s="152">
        <f>IF(ISNUMBER($AU276),ABS(IF(ISNUMBER($I276),$I276,0)-Settings!$B$24),"")</f>
        <v/>
      </c>
      <c r="AY276" s="152" t="inlineStr">
        <is>
          <t>FROZEN</t>
        </is>
      </c>
      <c r="AZ276" s="152">
        <f>IF($A276="","",IFERROR(INDEX(Company_List!$H$3:$H$207,MATCH($A276,Company_List!$A$3:$A$207,0)),"unassigned"))</f>
        <v/>
      </c>
      <c r="BA276" s="152" t="n"/>
      <c r="BB276" s="152" t="n"/>
      <c r="BC276" s="152">
        <f>IF($A276="","",IF(COUNTIFS($A$3:$A276,$A276,$C$3:$C276,$C276,$D$3:$D276,$D276,$G$3:$G276,$G276)=1,1,0))</f>
        <v/>
      </c>
      <c r="BD276" s="152" t="n"/>
      <c r="BE276" s="152" t="n"/>
      <c r="BF276" s="152" t="n"/>
      <c r="BG276" s="152" t="inlineStr">
        <is>
          <t>no</t>
        </is>
      </c>
      <c r="BH276" s="152" t="n"/>
      <c r="BI276" s="152" t="n"/>
      <c r="BJ276" s="152" t="n"/>
      <c r="BK276" s="152">
        <f>IF(OR($H276&lt;&gt;"Human",$S276="",$J276="",$Y276="",$Z276=""),"",IF(EXACT(UPPER($J276),UPPER($Y276)),1,0))</f>
        <v/>
      </c>
      <c r="BL276" s="152" t="inlineStr">
        <is>
          <t>assumed - no rater record</t>
        </is>
      </c>
      <c r="BM276" s="152" t="n">
        <v>3</v>
      </c>
      <c r="BN276" s="152" t="inlineStr">
        <is>
          <t>Insider Monkey (Koala Guide LLC)</t>
        </is>
      </c>
      <c r="BO276" s="152" t="inlineStr">
        <is>
          <t>free to read, copyright asserted</t>
        </is>
      </c>
      <c r="BP276" s="152" t="inlineStr">
        <is>
          <t>no</t>
        </is>
      </c>
      <c r="BQ276" s="152" t="inlineStr">
        <is>
          <t>yes</t>
        </is>
      </c>
      <c r="BR276" s="152" t="n"/>
      <c r="BS276" s="152" t="inlineStr">
        <is>
          <t>YES</t>
        </is>
      </c>
      <c r="BT276" s="152" t="n"/>
    </row>
    <row r="277" ht="15" customHeight="1" s="241">
      <c r="A277" s="191" t="inlineStr">
        <is>
          <t>MetLife</t>
        </is>
      </c>
      <c r="B277" s="188">
        <f>IF(A277="","",_xlfn.XLOOKUP(A277, Company_List!$A:$A, Company_List!$B:$B, ""))</f>
        <v/>
      </c>
      <c r="C277" s="177" t="n">
        <v>2024</v>
      </c>
      <c r="D277" s="177" t="inlineStr">
        <is>
          <t>Q4</t>
        </is>
      </c>
      <c r="E277" s="178" t="inlineStr">
        <is>
          <t>All</t>
        </is>
      </c>
      <c r="F277" s="178" t="inlineStr">
        <is>
          <t>All</t>
        </is>
      </c>
      <c r="G277" s="177" t="inlineStr">
        <is>
          <t>Dragos</t>
        </is>
      </c>
      <c r="H277" s="177" t="inlineStr">
        <is>
          <t>Human</t>
        </is>
      </c>
      <c r="I277" s="180" t="n">
        <v>0.1</v>
      </c>
      <c r="J277" s="180">
        <f>IF(OR(I277="",Settings!$B$6=""),"",IF(I277&gt;Settings!$B$6,"BUY",IF(I277&lt;-Settings!$B$6,"SELL","HOLD")))</f>
        <v/>
      </c>
      <c r="K277" s="180" t="n">
        <v>22</v>
      </c>
      <c r="L277" s="182" t="n">
        <v>45693</v>
      </c>
      <c r="M277" s="182" t="n">
        <v>45693</v>
      </c>
      <c r="N277" s="179" t="n">
        <v>85</v>
      </c>
      <c r="O277" s="182" t="n">
        <v>45694</v>
      </c>
      <c r="P277" s="180" t="n">
        <v>83.26000000000001</v>
      </c>
      <c r="Q277" s="184">
        <f>IF(OR(N277="",P277=""),"",ROUND((P277-N277)/N277,4))</f>
        <v/>
      </c>
      <c r="R277" s="177">
        <f>IF(OR(N277="",P277=""),"",IF(Q277&gt;Settings!$B$3/100,"UP",IF(Q277&lt;-Settings!$B$3/100,"DOWN","FLAT")))</f>
        <v/>
      </c>
      <c r="S277" s="177">
        <f>IF(OR(N277="",P277="",J277=""),"",IF(OR(AND(J277="BUY",R277="UP"),AND(J277="SELL",R277="DOWN"),AND(J277="HOLD",R277="FLAT")),"YES","NO"))</f>
        <v/>
      </c>
      <c r="T277" s="176">
        <f>IF(J277="","",IF(J277="BUY",1,IF(J277="SELL",-1,0)))</f>
        <v/>
      </c>
      <c r="U277" s="184">
        <f>IFERROR(IF(OR(J277="",N277="",P277=""),"",IF(T277=0,0,T277*Q277-Settings!$B$4/10000-IF(T277&lt;0,Settings!$B$5/10000,0))),"")</f>
        <v/>
      </c>
      <c r="V277" s="152" t="n"/>
      <c r="W277" s="176">
        <f>IF($K277="","",$K277*60)</f>
        <v/>
      </c>
      <c r="X277" s="186">
        <f>IF($A277="","",$A277&amp;"|"&amp;$C277&amp;"|"&amp;$D277)</f>
        <v/>
      </c>
      <c r="Y277" s="186">
        <f>IFERROR(IF($X277="","",INDEX(LLM_Data_Entry!$H$3:$H$548,MATCH($X277,INDEX(LLM_Data_Entry!$A$3:$A$548&amp;"|"&amp;LLM_Data_Entry!$C$3:$C$548&amp;"|"&amp;LLM_Data_Entry!$D$3:$D$548,0),0))),"")</f>
        <v/>
      </c>
      <c r="Z277" s="186">
        <f>IFERROR(IF($X277="","",INDEX(LLM_Data_Entry!$R$3:$R$548,MATCH($X277,INDEX(LLM_Data_Entry!$A$3:$A$548&amp;"|"&amp;LLM_Data_Entry!$C$3:$C$548&amp;"|"&amp;LLM_Data_Entry!$D$3:$D$548,0),0))),"")</f>
        <v/>
      </c>
      <c r="AA277" s="152" t="n"/>
      <c r="AB277" s="152" t="inlineStr">
        <is>
          <t>release date + stated time in the document (document)</t>
        </is>
      </c>
      <c r="AC277" s="152" t="inlineStr">
        <is>
          <t>MET</t>
        </is>
      </c>
      <c r="AD277" s="152" t="inlineStr">
        <is>
          <t>2025-02-05</t>
        </is>
      </c>
      <c r="AE277" s="152" t="n">
        <v>81.4118</v>
      </c>
      <c r="AF277" s="152" t="inlineStr">
        <is>
          <t>2025-02-06</t>
        </is>
      </c>
      <c r="AG277" s="152" t="n">
        <v>79.7452</v>
      </c>
      <c r="AH277" s="152" t="n">
        <v>-0.0204706613637467</v>
      </c>
      <c r="AI277" s="152" t="inlineStr">
        <is>
          <t>DOWN</t>
        </is>
      </c>
      <c r="AJ277" s="152" t="inlineStr">
        <is>
          <t>NO</t>
        </is>
      </c>
      <c r="AK277" s="152" t="n">
        <v>0</v>
      </c>
      <c r="AL277" s="152">
        <f>IF($A277="","",IFERROR(INDEX(Company_List!$G$3:$G$207,MATCH($A277,Company_List!$A$3:$A$207,0)),"unassigned"))</f>
        <v/>
      </c>
      <c r="AM277" s="152" t="inlineStr">
        <is>
          <t>Phase 2/MetLife/Q4 2024/MET-Q4-2024-press-release-SEC-EX99-1.htm; Phase 2/MetLife/Q4 2024/MET-Q4-2024-exhibit-SEC-EX99-2.htm; Phase 2/MetLife/Q4 2024/MET-Q4-2024-earnings-call-transcript-InsiderMonkey.html</t>
        </is>
      </c>
      <c r="AN277" s="152" t="inlineStr">
        <is>
          <t>https://www.insidermonkey.com/blog/metlife-inc-nysemet-q4-2024-earnings-call-transcript-1445993/; https://www.sec.gov/Archives/edgar/data/1099219/000109921925000039/ex991earningsreleasetables.htm; https://www.sec.gov/Archives/edgar/data/1099219/000109921925000039/ex992qfsq424.htm</t>
        </is>
      </c>
      <c r="AO277" s="152" t="inlineStr">
        <is>
          <t>manifest (whole bundle)</t>
        </is>
      </c>
      <c r="AP277" s="152">
        <f>IF($A277="","",IF(COUNTIFS(LLM_Data_Entry!$A$3:$A$548,$A277)&gt;0,"YES","NO"))</f>
        <v/>
      </c>
      <c r="AQ277" s="152">
        <f>IF($A277="","",IF(COUNTIFS($A$3:$A277,$A277,$C$3:$C277,$C277,$D$3:$D277,$D277)=1,"YES","NO"))</f>
        <v/>
      </c>
      <c r="AR277" s="152">
        <f>IF($A277="","",IF(AND($C277&amp;"-"&amp;$D277&gt;=Settings!$B$19,$C277&amp;"-"&amp;$D277&lt;=Settings!$B$20),"IN","OUT"))</f>
        <v/>
      </c>
      <c r="AS277" s="152">
        <f>IF($A277="","",IF($F277="Financial Results","financials",IF($F277="Outlook/Guidance","guidance",IF($F277="Transcript Q&amp;A","qanda",IF($F277="","unrecorded",IF($E277="All","full",IF($E277="","unrecorded",LOWER($E277)&amp;" only")))))))</f>
        <v/>
      </c>
      <c r="AT277" s="152">
        <f>IF(AND(OR($J277="BUY",$J277="SELL"),ISNUMBER($U277)),$U277,"")</f>
        <v/>
      </c>
      <c r="AU277" s="152">
        <f>IF(AND(OR($J277="BUY",$J277="SELL"),ISNUMBER($AK277)),$AK277,"")</f>
        <v/>
      </c>
      <c r="AV277" s="152">
        <f>IF(ISNUMBER($AT277),ABS(IF(ISNUMBER($I277),$I277,0)-Settings!$B$24),"")</f>
        <v/>
      </c>
      <c r="AW277" s="152">
        <f>IF(ISNUMBER($AV277),$AV277*$AT277,"")</f>
        <v/>
      </c>
      <c r="AX277" s="152">
        <f>IF(ISNUMBER($AU277),ABS(IF(ISNUMBER($I277),$I277,0)-Settings!$B$24),"")</f>
        <v/>
      </c>
      <c r="AY277" s="152" t="inlineStr">
        <is>
          <t>FROZEN</t>
        </is>
      </c>
      <c r="AZ277" s="152">
        <f>IF($A277="","",IFERROR(INDEX(Company_List!$H$3:$H$207,MATCH($A277,Company_List!$A$3:$A$207,0)),"unassigned"))</f>
        <v/>
      </c>
      <c r="BA277" s="152" t="n"/>
      <c r="BB277" s="152" t="n"/>
      <c r="BC277" s="152">
        <f>IF($A277="","",IF(COUNTIFS($A$3:$A277,$A277,$C$3:$C277,$C277,$D$3:$D277,$D277,$G$3:$G277,$G277)=1,1,0))</f>
        <v/>
      </c>
      <c r="BD277" s="152" t="n"/>
      <c r="BE277" s="152" t="n"/>
      <c r="BF277" s="152" t="n"/>
      <c r="BG277" s="152" t="inlineStr">
        <is>
          <t>no</t>
        </is>
      </c>
      <c r="BH277" s="152" t="n"/>
      <c r="BI277" s="152" t="n"/>
      <c r="BJ277" s="152" t="n"/>
      <c r="BK277" s="152">
        <f>IF(OR($H277&lt;&gt;"Human",$S277="",$J277="",$Y277="",$Z277=""),"",IF(EXACT(UPPER($J277),UPPER($Y277)),1,0))</f>
        <v/>
      </c>
      <c r="BL277" s="152" t="inlineStr">
        <is>
          <t>assumed - no rater record</t>
        </is>
      </c>
      <c r="BM277" s="152" t="n">
        <v>3</v>
      </c>
      <c r="BN277" s="152" t="inlineStr">
        <is>
          <t>Insider Monkey (Koala Guide LLC)</t>
        </is>
      </c>
      <c r="BO277" s="152" t="inlineStr">
        <is>
          <t>free to read, copyright asserted</t>
        </is>
      </c>
      <c r="BP277" s="152" t="inlineStr">
        <is>
          <t>no</t>
        </is>
      </c>
      <c r="BQ277" s="152" t="inlineStr">
        <is>
          <t>yes</t>
        </is>
      </c>
      <c r="BR277" s="152" t="n"/>
      <c r="BS277" s="152" t="inlineStr">
        <is>
          <t>NO</t>
        </is>
      </c>
      <c r="BT277" s="152" t="inlineStr">
        <is>
          <t>human-only event; not in LLM returns_matrix — EDGAR lookup deferred, manual verification required</t>
        </is>
      </c>
    </row>
    <row r="278" ht="15" customHeight="1" s="241">
      <c r="A278" s="192" t="inlineStr">
        <is>
          <t>General Mills</t>
        </is>
      </c>
      <c r="B278" s="188">
        <f>IF(A278="","",_xlfn.XLOOKUP(A278, Company_List!$A:$A, Company_List!$B:$B, ""))</f>
        <v/>
      </c>
      <c r="C278" s="177" t="n">
        <v>2026</v>
      </c>
      <c r="D278" s="177" t="inlineStr">
        <is>
          <t>Q2</t>
        </is>
      </c>
      <c r="E278" s="178" t="inlineStr">
        <is>
          <t>Transcript</t>
        </is>
      </c>
      <c r="F278" s="178" t="inlineStr">
        <is>
          <t>Transcript Q&amp;A</t>
        </is>
      </c>
      <c r="G278" s="177" t="inlineStr">
        <is>
          <t>Meriem</t>
        </is>
      </c>
      <c r="H278" s="177" t="inlineStr">
        <is>
          <t>Human</t>
        </is>
      </c>
      <c r="I278" s="180" t="n">
        <v>0.3</v>
      </c>
      <c r="J278" s="180">
        <f>IF(OR(I278="",Settings!$B$6=""),"",IF(I278&gt;Settings!$B$6,"BUY",IF(I278&lt;-Settings!$B$6,"SELL","HOLD")))</f>
        <v/>
      </c>
      <c r="K278" s="180" t="n">
        <v>45</v>
      </c>
      <c r="L278" s="182" t="n">
        <v>46008</v>
      </c>
      <c r="M278" s="182" t="n">
        <v>46007</v>
      </c>
      <c r="N278" s="179" t="n">
        <v>47.02</v>
      </c>
      <c r="O278" s="182" t="n">
        <v>46008</v>
      </c>
      <c r="P278" s="180" t="n">
        <v>48</v>
      </c>
      <c r="Q278" s="184">
        <f>IF(OR(N278="",P278=""),"",ROUND((P278-N278)/N278,4))</f>
        <v/>
      </c>
      <c r="R278" s="177">
        <f>IF(OR(N278="",P278=""),"",IF(Q278&gt;Settings!$B$3/100,"UP",IF(Q278&lt;-Settings!$B$3/100,"DOWN","FLAT")))</f>
        <v/>
      </c>
      <c r="S278" s="177">
        <f>IF(OR(N278="",P278="",J278=""),"",IF(OR(AND(J278="BUY",R278="UP"),AND(J278="SELL",R278="DOWN"),AND(J278="HOLD",R278="FLAT")),"YES","NO"))</f>
        <v/>
      </c>
      <c r="T278" s="176">
        <f>IF(J278="","",IF(J278="BUY",1,IF(J278="SELL",-1,0)))</f>
        <v/>
      </c>
      <c r="U278" s="184">
        <f>IFERROR(IF(OR(J278="",N278="",P278=""),"",IF(T278=0,0,T278*Q278-Settings!$B$4/10000-IF(T278&lt;0,Settings!$B$5/10000,0))),"")</f>
        <v/>
      </c>
      <c r="V278" s="190" t="inlineStr">
        <is>
          <t>Despite a volatile environment, improving volumes, stronger North American performance, and management's confident outlook suggest the business is gaining momentum.</t>
        </is>
      </c>
      <c r="W278" s="176">
        <f>IF($K278="","",$K278*60)</f>
        <v/>
      </c>
      <c r="X278" s="186">
        <f>IF($A278="","",$A278&amp;"|"&amp;$C278&amp;"|"&amp;$D278)</f>
        <v/>
      </c>
      <c r="Y278" s="186">
        <f>IFERROR(IF($X278="","",INDEX(LLM_Data_Entry!$H$3:$H$548,MATCH($X278,INDEX(LLM_Data_Entry!$A$3:$A$548&amp;"|"&amp;LLM_Data_Entry!$C$3:$C$548&amp;"|"&amp;LLM_Data_Entry!$D$3:$D$548,0),0))),"")</f>
        <v/>
      </c>
      <c r="Z278" s="186">
        <f>IFERROR(IF($X278="","",INDEX(LLM_Data_Entry!$R$3:$R$548,MATCH($X278,INDEX(LLM_Data_Entry!$A$3:$A$548&amp;"|"&amp;LLM_Data_Entry!$C$3:$C$548&amp;"|"&amp;LLM_Data_Entry!$D$3:$D$548,0),0))),"")</f>
        <v/>
      </c>
      <c r="AA278" s="152" t="n"/>
      <c r="AB278" s="152" t="inlineStr">
        <is>
          <t>release date + stated time</t>
        </is>
      </c>
      <c r="AC278" s="152" t="inlineStr">
        <is>
          <t>GIS</t>
        </is>
      </c>
      <c r="AD278" s="152" t="inlineStr">
        <is>
          <t>2025-12-16</t>
        </is>
      </c>
      <c r="AE278" s="152" t="n">
        <v>44.8215</v>
      </c>
      <c r="AF278" s="152" t="inlineStr">
        <is>
          <t>2025-12-17</t>
        </is>
      </c>
      <c r="AG278" s="152" t="n">
        <v>45.7556</v>
      </c>
      <c r="AH278" s="152" t="n">
        <v>0.02084207104511671</v>
      </c>
      <c r="AI278" s="152" t="inlineStr">
        <is>
          <t>UP</t>
        </is>
      </c>
      <c r="AJ278" s="152" t="inlineStr">
        <is>
          <t>YES</t>
        </is>
      </c>
      <c r="AK278" s="152" t="n">
        <v>0.019842</v>
      </c>
      <c r="AL278" s="152">
        <f>IF($A278="","",IFERROR(INDEX(Company_List!$G$3:$G$207,MATCH($A278,Company_List!$A$3:$A$207,0)),"unassigned"))</f>
        <v/>
      </c>
      <c r="AM278" s="152" t="inlineStr">
        <is>
          <t>Phase 3/Readings/General Mills/GIS Q2 2026 Earnings Transcript.pdf</t>
        </is>
      </c>
      <c r="AN278" s="152" t="n"/>
      <c r="AO278" s="152" t="inlineStr">
        <is>
          <t>unique filename match</t>
        </is>
      </c>
      <c r="AP278" s="152">
        <f>IF($A278="","",IF(COUNTIFS(LLM_Data_Entry!$A$3:$A$548,$A278)&gt;0,"YES","NO"))</f>
        <v/>
      </c>
      <c r="AQ278" s="152">
        <f>IF($A278="","",IF(COUNTIFS($A$3:$A278,$A278,$C$3:$C278,$C278,$D$3:$D278,$D278)=1,"YES","NO"))</f>
        <v/>
      </c>
      <c r="AR278" s="152">
        <f>IF($A278="","",IF(AND($C278&amp;"-"&amp;$D278&gt;=Settings!$B$19,$C278&amp;"-"&amp;$D278&lt;=Settings!$B$20),"IN","OUT"))</f>
        <v/>
      </c>
      <c r="AS278" s="152">
        <f>IF($A278="","",IF($F278="Financial Results","financials",IF($F278="Outlook/Guidance","guidance",IF($F278="Transcript Q&amp;A","qanda",IF($F278="","unrecorded",IF($E278="All","full",IF($E278="","unrecorded",LOWER($E278)&amp;" only")))))))</f>
        <v/>
      </c>
      <c r="AT278" s="152">
        <f>IF(AND(OR($J278="BUY",$J278="SELL"),ISNUMBER($U278)),$U278,"")</f>
        <v/>
      </c>
      <c r="AU278" s="152">
        <f>IF(AND(OR($J278="BUY",$J278="SELL"),ISNUMBER($AK278)),$AK278,"")</f>
        <v/>
      </c>
      <c r="AV278" s="152">
        <f>IF(ISNUMBER($AT278),ABS(IF(ISNUMBER($I278),$I278,0)-Settings!$B$24),"")</f>
        <v/>
      </c>
      <c r="AW278" s="152">
        <f>IF(ISNUMBER($AV278),$AV278*$AT278,"")</f>
        <v/>
      </c>
      <c r="AX278" s="152">
        <f>IF(ISNUMBER($AU278),ABS(IF(ISNUMBER($I278),$I278,0)-Settings!$B$24),"")</f>
        <v/>
      </c>
      <c r="AY278" s="152" t="inlineStr">
        <is>
          <t>FROZEN</t>
        </is>
      </c>
      <c r="AZ278" s="152">
        <f>IF($A278="","",IFERROR(INDEX(Company_List!$H$3:$H$207,MATCH($A278,Company_List!$A$3:$A$207,0)),"unassigned"))</f>
        <v/>
      </c>
      <c r="BA278" s="152" t="n"/>
      <c r="BB278" s="152" t="n"/>
      <c r="BC278" s="152">
        <f>IF($A278="","",IF(COUNTIFS($A$3:$A278,$A278,$C$3:$C278,$C278,$D$3:$D278,$D278,$G$3:$G278,$G278)=1,1,0))</f>
        <v/>
      </c>
      <c r="BD278" s="152" t="n"/>
      <c r="BE278" s="152" t="n"/>
      <c r="BF278" s="152" t="n"/>
      <c r="BG278" s="152" t="inlineStr">
        <is>
          <t>no</t>
        </is>
      </c>
      <c r="BH278" s="152" t="n"/>
      <c r="BI278" s="152" t="n"/>
      <c r="BJ278" s="152" t="n"/>
      <c r="BK278" s="152">
        <f>IF(OR($H278&lt;&gt;"Human",$S278="",$J278="",$Y278="",$Z278=""),"",IF(EXACT(UPPER($J278),UPPER($Y278)),1,0))</f>
        <v/>
      </c>
      <c r="BL278" s="152" t="inlineStr">
        <is>
          <t>assumed - no rater record</t>
        </is>
      </c>
      <c r="BM278" s="152" t="n">
        <v>1</v>
      </c>
      <c r="BN278" s="152" t="inlineStr">
        <is>
          <t>The Motley Fool</t>
        </is>
      </c>
      <c r="BO278" s="152" t="inlineStr">
        <is>
          <t>free to read, copyright asserted</t>
        </is>
      </c>
      <c r="BP278" s="152" t="inlineStr">
        <is>
          <t>no</t>
        </is>
      </c>
      <c r="BQ278" s="152" t="inlineStr">
        <is>
          <t>no</t>
        </is>
      </c>
      <c r="BR278" s="152" t="n"/>
      <c r="BS278" s="152" t="inlineStr">
        <is>
          <t>YES</t>
        </is>
      </c>
      <c r="BT278" s="152" t="n"/>
    </row>
    <row r="279" ht="15" customHeight="1" s="241">
      <c r="A279" s="192" t="inlineStr">
        <is>
          <t>General Mills</t>
        </is>
      </c>
      <c r="B279" s="188">
        <f>IF(A279="","",_xlfn.XLOOKUP(A279, Company_List!$A:$A, Company_List!$B:$B, ""))</f>
        <v/>
      </c>
      <c r="C279" s="177" t="n">
        <v>2026</v>
      </c>
      <c r="D279" s="177" t="inlineStr">
        <is>
          <t>Q3</t>
        </is>
      </c>
      <c r="E279" s="178" t="inlineStr">
        <is>
          <t>Press Release Document</t>
        </is>
      </c>
      <c r="F279" s="178" t="inlineStr">
        <is>
          <t>All</t>
        </is>
      </c>
      <c r="G279" s="177" t="inlineStr">
        <is>
          <t>Meriem</t>
        </is>
      </c>
      <c r="H279" s="177" t="inlineStr">
        <is>
          <t>Human</t>
        </is>
      </c>
      <c r="I279" s="180" t="n">
        <v>-0.5</v>
      </c>
      <c r="J279" s="180">
        <f>IF(OR(I279="",Settings!$B$6=""),"",IF(I279&gt;Settings!$B$6,"BUY",IF(I279&lt;-Settings!$B$6,"SELL","HOLD")))</f>
        <v/>
      </c>
      <c r="K279" s="180" t="n">
        <v>15</v>
      </c>
      <c r="L279" s="182" t="n">
        <v>46099</v>
      </c>
      <c r="M279" s="182" t="n">
        <v>46098</v>
      </c>
      <c r="N279" s="179" t="n">
        <v>38.74</v>
      </c>
      <c r="O279" s="182" t="n">
        <v>46099</v>
      </c>
      <c r="P279" s="180" t="n">
        <v>38.65</v>
      </c>
      <c r="Q279" s="184">
        <f>IF(OR(N279="",P279=""),"",ROUND((P279-N279)/N279,4))</f>
        <v/>
      </c>
      <c r="R279" s="177">
        <f>IF(OR(N279="",P279=""),"",IF(Q279&gt;Settings!$B$3/100,"UP",IF(Q279&lt;-Settings!$B$3/100,"DOWN","FLAT")))</f>
        <v/>
      </c>
      <c r="S279" s="177">
        <f>IF(OR(N279="",P279="",J279=""),"",IF(OR(AND(J279="BUY",R279="UP"),AND(J279="SELL",R279="DOWN"),AND(J279="HOLD",R279="FLAT")),"YES","NO"))</f>
        <v/>
      </c>
      <c r="T279" s="176">
        <f>IF(J279="","",IF(J279="BUY",1,IF(J279="SELL",-1,0)))</f>
        <v/>
      </c>
      <c r="U279" s="184">
        <f>IFERROR(IF(OR(J279="",N279="",P279=""),"",IF(T279=0,0,T279*Q279-Settings!$B$4/10000-IF(T279&lt;0,Settings!$B$5/10000,0))),"")</f>
        <v/>
      </c>
      <c r="V279" s="190" t="inlineStr">
        <is>
          <t>Sharp declines in sales, operating profit, and EPS indicate significant operational weakness that outweighs the company's long-term investment strategy.</t>
        </is>
      </c>
      <c r="W279" s="176">
        <f>IF($K279="","",$K279*60)</f>
        <v/>
      </c>
      <c r="X279" s="186">
        <f>IF($A279="","",$A279&amp;"|"&amp;$C279&amp;"|"&amp;$D279)</f>
        <v/>
      </c>
      <c r="Y279" s="186">
        <f>IFERROR(IF($X279="","",INDEX(LLM_Data_Entry!$H$3:$H$548,MATCH($X279,INDEX(LLM_Data_Entry!$A$3:$A$548&amp;"|"&amp;LLM_Data_Entry!$C$3:$C$548&amp;"|"&amp;LLM_Data_Entry!$D$3:$D$548,0),0))),"")</f>
        <v/>
      </c>
      <c r="Z279" s="186">
        <f>IFERROR(IF($X279="","",INDEX(LLM_Data_Entry!$R$3:$R$548,MATCH($X279,INDEX(LLM_Data_Entry!$A$3:$A$548&amp;"|"&amp;LLM_Data_Entry!$C$3:$C$548&amp;"|"&amp;LLM_Data_Entry!$D$3:$D$548,0),0))),"")</f>
        <v/>
      </c>
      <c r="AA279" s="152" t="n"/>
      <c r="AB279" s="152" t="inlineStr">
        <is>
          <t>release date + stated time</t>
        </is>
      </c>
      <c r="AC279" s="152" t="inlineStr">
        <is>
          <t>GIS</t>
        </is>
      </c>
      <c r="AD279" s="152" t="inlineStr">
        <is>
          <t>2026-03-17</t>
        </is>
      </c>
      <c r="AE279" s="152" t="n">
        <v>37.4487</v>
      </c>
      <c r="AF279" s="152" t="inlineStr">
        <is>
          <t>2026-03-18</t>
        </is>
      </c>
      <c r="AG279" s="152" t="n">
        <v>37.3617</v>
      </c>
      <c r="AH279" s="152" t="n">
        <v>-0.00232318938662682</v>
      </c>
      <c r="AI279" s="152" t="inlineStr">
        <is>
          <t>FLAT</t>
        </is>
      </c>
      <c r="AJ279" s="152" t="inlineStr">
        <is>
          <t>NO</t>
        </is>
      </c>
      <c r="AK279" s="152" t="n">
        <v>0.001323</v>
      </c>
      <c r="AL279" s="152">
        <f>IF($A279="","",IFERROR(INDEX(Company_List!$G$3:$G$207,MATCH($A279,Company_List!$A$3:$A$207,0)),"unassigned"))</f>
        <v/>
      </c>
      <c r="AM279" s="152" t="inlineStr">
        <is>
          <t>Phase 3/Readings/General Mills/General Millss 2026 Q3.pdf</t>
        </is>
      </c>
      <c r="AN279" s="152" t="n"/>
      <c r="AO279" s="152" t="inlineStr">
        <is>
          <t>unique filename match</t>
        </is>
      </c>
      <c r="AP279" s="152">
        <f>IF($A279="","",IF(COUNTIFS(LLM_Data_Entry!$A$3:$A$548,$A279)&gt;0,"YES","NO"))</f>
        <v/>
      </c>
      <c r="AQ279" s="152">
        <f>IF($A279="","",IF(COUNTIFS($A$3:$A279,$A279,$C$3:$C279,$C279,$D$3:$D279,$D279)=1,"YES","NO"))</f>
        <v/>
      </c>
      <c r="AR279" s="152">
        <f>IF($A279="","",IF(AND($C279&amp;"-"&amp;$D279&gt;=Settings!$B$19,$C279&amp;"-"&amp;$D279&lt;=Settings!$B$20),"IN","OUT"))</f>
        <v/>
      </c>
      <c r="AS279" s="152">
        <f>IF($A279="","",IF($F279="Financial Results","financials",IF($F279="Outlook/Guidance","guidance",IF($F279="Transcript Q&amp;A","qanda",IF($F279="","unrecorded",IF($E279="All","full",IF($E279="","unrecorded",LOWER($E279)&amp;" only")))))))</f>
        <v/>
      </c>
      <c r="AT279" s="152">
        <f>IF(AND(OR($J279="BUY",$J279="SELL"),ISNUMBER($U279)),$U279,"")</f>
        <v/>
      </c>
      <c r="AU279" s="152">
        <f>IF(AND(OR($J279="BUY",$J279="SELL"),ISNUMBER($AK279)),$AK279,"")</f>
        <v/>
      </c>
      <c r="AV279" s="152">
        <f>IF(ISNUMBER($AT279),ABS(IF(ISNUMBER($I279),$I279,0)-Settings!$B$24),"")</f>
        <v/>
      </c>
      <c r="AW279" s="152">
        <f>IF(ISNUMBER($AV279),$AV279*$AT279,"")</f>
        <v/>
      </c>
      <c r="AX279" s="152">
        <f>IF(ISNUMBER($AU279),ABS(IF(ISNUMBER($I279),$I279,0)-Settings!$B$24),"")</f>
        <v/>
      </c>
      <c r="AY279" s="152" t="inlineStr">
        <is>
          <t>FROZEN</t>
        </is>
      </c>
      <c r="AZ279" s="152">
        <f>IF($A279="","",IFERROR(INDEX(Company_List!$H$3:$H$207,MATCH($A279,Company_List!$A$3:$A$207,0)),"unassigned"))</f>
        <v/>
      </c>
      <c r="BA279" s="152" t="n"/>
      <c r="BB279" s="152" t="n"/>
      <c r="BC279" s="152">
        <f>IF($A279="","",IF(COUNTIFS($A$3:$A279,$A279,$C$3:$C279,$C279,$D$3:$D279,$D279,$G$3:$G279,$G279)=1,1,0))</f>
        <v/>
      </c>
      <c r="BD279" s="152" t="n"/>
      <c r="BE279" s="152" t="n"/>
      <c r="BF279" s="152" t="n"/>
      <c r="BG279" s="152" t="inlineStr">
        <is>
          <t>no</t>
        </is>
      </c>
      <c r="BH279" s="152" t="n"/>
      <c r="BI279" s="152" t="n"/>
      <c r="BJ279" s="152" t="n"/>
      <c r="BK279" s="152">
        <f>IF(OR($H279&lt;&gt;"Human",$S279="",$J279="",$Y279="",$Z279=""),"",IF(EXACT(UPPER($J279),UPPER($Y279)),1,0))</f>
        <v/>
      </c>
      <c r="BL279" s="152" t="inlineStr">
        <is>
          <t>assumed - no rater record</t>
        </is>
      </c>
      <c r="BM279" s="152" t="n">
        <v>1</v>
      </c>
      <c r="BN279" s="152" t="inlineStr">
        <is>
          <t>not publisher-identified</t>
        </is>
      </c>
      <c r="BO279" s="152" t="inlineStr">
        <is>
          <t>not publisher-identified</t>
        </is>
      </c>
      <c r="BP279" s="152" t="inlineStr">
        <is>
          <t>no</t>
        </is>
      </c>
      <c r="BQ279" s="152" t="inlineStr">
        <is>
          <t>no</t>
        </is>
      </c>
      <c r="BR279" s="152" t="n"/>
      <c r="BS279" s="152" t="inlineStr">
        <is>
          <t>YES</t>
        </is>
      </c>
      <c r="BT279" s="152" t="n"/>
    </row>
    <row r="280" ht="15" customHeight="1" s="241">
      <c r="A280" s="192" t="inlineStr">
        <is>
          <t>General Mills</t>
        </is>
      </c>
      <c r="B280" s="188">
        <f>IF(A280="","",_xlfn.XLOOKUP(A280, Company_List!$A:$A, Company_List!$B:$B, ""))</f>
        <v/>
      </c>
      <c r="C280" s="177" t="n">
        <v>2026</v>
      </c>
      <c r="D280" s="177" t="inlineStr">
        <is>
          <t>Q4</t>
        </is>
      </c>
      <c r="E280" s="178" t="inlineStr">
        <is>
          <t>Transcript</t>
        </is>
      </c>
      <c r="F280" s="178" t="inlineStr">
        <is>
          <t>Financial Results</t>
        </is>
      </c>
      <c r="G280" s="177" t="inlineStr">
        <is>
          <t>Meriem</t>
        </is>
      </c>
      <c r="H280" s="177" t="inlineStr">
        <is>
          <t>Human</t>
        </is>
      </c>
      <c r="I280" s="180" t="n">
        <v>-0.1</v>
      </c>
      <c r="J280" s="180">
        <f>IF(OR(I280="",Settings!$B$6=""),"",IF(I280&gt;Settings!$B$6,"BUY",IF(I280&lt;-Settings!$B$6,"SELL","HOLD")))</f>
        <v/>
      </c>
      <c r="K280" s="180" t="n">
        <v>13</v>
      </c>
      <c r="L280" s="182" t="n">
        <v>46204</v>
      </c>
      <c r="M280" s="182" t="n">
        <v>46203</v>
      </c>
      <c r="N280" s="179" t="n">
        <v>34.8</v>
      </c>
      <c r="O280" s="182" t="n">
        <v>46204</v>
      </c>
      <c r="P280" s="180" t="n">
        <v>37.72</v>
      </c>
      <c r="Q280" s="184">
        <f>IF(OR(N280="",P280=""),"",ROUND((P280-N280)/N280,4))</f>
        <v/>
      </c>
      <c r="R280" s="177">
        <f>IF(OR(N280="",P280=""),"",IF(Q280&gt;Settings!$B$3/100,"UP",IF(Q280&lt;-Settings!$B$3/100,"DOWN","FLAT")))</f>
        <v/>
      </c>
      <c r="S280" s="177">
        <f>IF(OR(N280="",P280="",J280=""),"",IF(OR(AND(J280="BUY",R280="UP"),AND(J280="SELL",R280="DOWN"),AND(J280="HOLD",R280="FLAT")),"YES","NO"))</f>
        <v/>
      </c>
      <c r="T280" s="176">
        <f>IF(J280="","",IF(J280="BUY",1,IF(J280="SELL",-1,0)))</f>
        <v/>
      </c>
      <c r="U280" s="184">
        <f>IFERROR(IF(OR(J280="",N280="",P280=""),"",IF(T280=0,0,T280*Q280-Settings!$B$4/10000-IF(T280&lt;0,Settings!$B$5/10000,0))),"")</f>
        <v/>
      </c>
      <c r="V280" s="190" t="inlineStr">
        <is>
          <t>Early signs of recovery and improved profitability are encouraging, but ongoing operating losses and expected inflation pressures warrant a cautious hold.</t>
        </is>
      </c>
      <c r="W280" s="176">
        <f>IF($K280="","",$K280*60)</f>
        <v/>
      </c>
      <c r="X280" s="186">
        <f>IF($A280="","",$A280&amp;"|"&amp;$C280&amp;"|"&amp;$D280)</f>
        <v/>
      </c>
      <c r="Y280" s="186">
        <f>IFERROR(IF($X280="","",INDEX(LLM_Data_Entry!$H$3:$H$548,MATCH($X280,INDEX(LLM_Data_Entry!$A$3:$A$548&amp;"|"&amp;LLM_Data_Entry!$C$3:$C$548&amp;"|"&amp;LLM_Data_Entry!$D$3:$D$548,0),0))),"")</f>
        <v/>
      </c>
      <c r="Z280" s="186">
        <f>IFERROR(IF($X280="","",INDEX(LLM_Data_Entry!$R$3:$R$548,MATCH($X280,INDEX(LLM_Data_Entry!$A$3:$A$548&amp;"|"&amp;LLM_Data_Entry!$C$3:$C$548&amp;"|"&amp;LLM_Data_Entry!$D$3:$D$548,0),0))),"")</f>
        <v/>
      </c>
      <c r="AA280" s="152" t="n"/>
      <c r="AB280" s="152" t="inlineStr">
        <is>
          <t>release date + stated time</t>
        </is>
      </c>
      <c r="AC280" s="152" t="inlineStr">
        <is>
          <t>GIS</t>
        </is>
      </c>
      <c r="AD280" s="152" t="inlineStr">
        <is>
          <t>2026-06-30</t>
        </is>
      </c>
      <c r="AE280" s="152" t="n">
        <v>34.2079</v>
      </c>
      <c r="AF280" s="152" t="inlineStr">
        <is>
          <t>2026-07-01</t>
        </is>
      </c>
      <c r="AG280" s="152" t="n">
        <v>37.0782</v>
      </c>
      <c r="AH280" s="152" t="n">
        <v>0.08390805978829378</v>
      </c>
      <c r="AI280" s="152" t="inlineStr">
        <is>
          <t>UP</t>
        </is>
      </c>
      <c r="AJ280" s="152" t="inlineStr">
        <is>
          <t>NO</t>
        </is>
      </c>
      <c r="AK280" s="152" t="n">
        <v>0</v>
      </c>
      <c r="AL280" s="152">
        <f>IF($A280="","",IFERROR(INDEX(Company_List!$G$3:$G$207,MATCH($A280,Company_List!$A$3:$A$207,0)),"unassigned"))</f>
        <v/>
      </c>
      <c r="AM280" s="152" t="inlineStr">
        <is>
          <t>Phase 3/Readings/General Mills/GIS Q4 2026 Earnings Call Transcript.pdf</t>
        </is>
      </c>
      <c r="AN280" s="152" t="n"/>
      <c r="AO280" s="152" t="inlineStr">
        <is>
          <t>unique filename match</t>
        </is>
      </c>
      <c r="AP280" s="152">
        <f>IF($A280="","",IF(COUNTIFS(LLM_Data_Entry!$A$3:$A$548,$A280)&gt;0,"YES","NO"))</f>
        <v/>
      </c>
      <c r="AQ280" s="152">
        <f>IF($A280="","",IF(COUNTIFS($A$3:$A280,$A280,$C$3:$C280,$C280,$D$3:$D280,$D280)=1,"YES","NO"))</f>
        <v/>
      </c>
      <c r="AR280" s="152">
        <f>IF($A280="","",IF(AND($C280&amp;"-"&amp;$D280&gt;=Settings!$B$19,$C280&amp;"-"&amp;$D280&lt;=Settings!$B$20),"IN","OUT"))</f>
        <v/>
      </c>
      <c r="AS280" s="152">
        <f>IF($A280="","",IF($F280="Financial Results","financials",IF($F280="Outlook/Guidance","guidance",IF($F280="Transcript Q&amp;A","qanda",IF($F280="","unrecorded",IF($E280="All","full",IF($E280="","unrecorded",LOWER($E280)&amp;" only")))))))</f>
        <v/>
      </c>
      <c r="AT280" s="152">
        <f>IF(AND(OR($J280="BUY",$J280="SELL"),ISNUMBER($U280)),$U280,"")</f>
        <v/>
      </c>
      <c r="AU280" s="152">
        <f>IF(AND(OR($J280="BUY",$J280="SELL"),ISNUMBER($AK280)),$AK280,"")</f>
        <v/>
      </c>
      <c r="AV280" s="152">
        <f>IF(ISNUMBER($AT280),ABS(IF(ISNUMBER($I280),$I280,0)-Settings!$B$24),"")</f>
        <v/>
      </c>
      <c r="AW280" s="152">
        <f>IF(ISNUMBER($AV280),$AV280*$AT280,"")</f>
        <v/>
      </c>
      <c r="AX280" s="152">
        <f>IF(ISNUMBER($AU280),ABS(IF(ISNUMBER($I280),$I280,0)-Settings!$B$24),"")</f>
        <v/>
      </c>
      <c r="AY280" s="152" t="inlineStr">
        <is>
          <t>FROZEN</t>
        </is>
      </c>
      <c r="AZ280" s="152">
        <f>IF($A280="","",IFERROR(INDEX(Company_List!$H$3:$H$207,MATCH($A280,Company_List!$A$3:$A$207,0)),"unassigned"))</f>
        <v/>
      </c>
      <c r="BA280" s="152" t="n"/>
      <c r="BB280" s="152" t="n"/>
      <c r="BC280" s="152">
        <f>IF($A280="","",IF(COUNTIFS($A$3:$A280,$A280,$C$3:$C280,$C280,$D$3:$D280,$D280,$G$3:$G280,$G280)=1,1,0))</f>
        <v/>
      </c>
      <c r="BD280" s="152" t="n"/>
      <c r="BE280" s="152" t="n"/>
      <c r="BF280" s="152" t="n"/>
      <c r="BG280" s="152" t="inlineStr">
        <is>
          <t>no</t>
        </is>
      </c>
      <c r="BH280" s="152" t="n"/>
      <c r="BI280" s="152" t="n"/>
      <c r="BJ280" s="152" t="n"/>
      <c r="BK280" s="152">
        <f>IF(OR($H280&lt;&gt;"Human",$S280="",$J280="",$Y280="",$Z280=""),"",IF(EXACT(UPPER($J280),UPPER($Y280)),1,0))</f>
        <v/>
      </c>
      <c r="BL280" s="152" t="inlineStr">
        <is>
          <t>assumed - no rater record</t>
        </is>
      </c>
      <c r="BM280" s="152" t="n">
        <v>1</v>
      </c>
      <c r="BN280" s="152" t="inlineStr">
        <is>
          <t>The Motley Fool</t>
        </is>
      </c>
      <c r="BO280" s="152" t="inlineStr">
        <is>
          <t>free to read, copyright asserted</t>
        </is>
      </c>
      <c r="BP280" s="152" t="inlineStr">
        <is>
          <t>no</t>
        </is>
      </c>
      <c r="BQ280" s="152" t="inlineStr">
        <is>
          <t>no</t>
        </is>
      </c>
      <c r="BR280" s="152" t="n"/>
      <c r="BS280" s="152" t="inlineStr">
        <is>
          <t>YES</t>
        </is>
      </c>
      <c r="BT280" s="152" t="n"/>
    </row>
    <row r="281" ht="15" customHeight="1" s="241">
      <c r="A281" s="192" t="inlineStr">
        <is>
          <t>Siemens</t>
        </is>
      </c>
      <c r="B281" s="188">
        <f>IF(A281="","",_xlfn.XLOOKUP(A281, Company_List!$A:$A, Company_List!$B:$B, ""))</f>
        <v/>
      </c>
      <c r="C281" s="177" t="n">
        <v>2025</v>
      </c>
      <c r="D281" s="177" t="inlineStr">
        <is>
          <t>Q4</t>
        </is>
      </c>
      <c r="E281" s="178" t="inlineStr">
        <is>
          <t>Press Release Document</t>
        </is>
      </c>
      <c r="F281" s="178" t="inlineStr">
        <is>
          <t>All</t>
        </is>
      </c>
      <c r="G281" s="177" t="inlineStr">
        <is>
          <t>Meriem</t>
        </is>
      </c>
      <c r="H281" s="177" t="inlineStr">
        <is>
          <t>Human</t>
        </is>
      </c>
      <c r="I281" s="180" t="n">
        <v>-0.5</v>
      </c>
      <c r="J281" s="180">
        <f>IF(OR(I281="",Settings!$B$6=""),"",IF(I281&gt;Settings!$B$6,"BUY",IF(I281&lt;-Settings!$B$6,"SELL","HOLD")))</f>
        <v/>
      </c>
      <c r="K281" s="180" t="n">
        <v>25</v>
      </c>
      <c r="L281" s="182" t="n">
        <v>45974</v>
      </c>
      <c r="M281" s="182" t="n">
        <v>45973</v>
      </c>
      <c r="N281" s="179" t="n">
        <v>250.4</v>
      </c>
      <c r="O281" s="182" t="n">
        <v>45974</v>
      </c>
      <c r="P281" s="180" t="n">
        <v>243.55</v>
      </c>
      <c r="Q281" s="184">
        <f>IF(OR(N281="",P281=""),"",ROUND((P281-N281)/N281,4))</f>
        <v/>
      </c>
      <c r="R281" s="177">
        <f>IF(OR(N281="",P281=""),"",IF(Q281&gt;Settings!$B$3/100,"UP",IF(Q281&lt;-Settings!$B$3/100,"DOWN","FLAT")))</f>
        <v/>
      </c>
      <c r="S281" s="177">
        <f>IF(OR(N281="",P281="",J281=""),"",IF(OR(AND(J281="BUY",R281="UP"),AND(J281="SELL",R281="DOWN"),AND(J281="HOLD",R281="FLAT")),"YES","NO"))</f>
        <v/>
      </c>
      <c r="T281" s="176">
        <f>IF(J281="","",IF(J281="BUY",1,IF(J281="SELL",-1,0)))</f>
        <v/>
      </c>
      <c r="U281" s="184">
        <f>IFERROR(IF(OR(J281="",N281="",P281=""),"",IF(T281=0,0,T281*Q281-Settings!$B$4/10000-IF(T281&lt;0,Settings!$B$5/10000,0))),"")</f>
        <v/>
      </c>
      <c r="V281" s="190" t="inlineStr">
        <is>
          <t>Missed earnings expectations, weaker profitability, and continued currency headwinds point to deteriorating near-term performance despite a stabilising economic outlook.</t>
        </is>
      </c>
      <c r="W281" s="176">
        <f>IF($K281="","",$K281*60)</f>
        <v/>
      </c>
      <c r="X281" s="186">
        <f>IF($A281="","",$A281&amp;"|"&amp;$C281&amp;"|"&amp;$D281)</f>
        <v/>
      </c>
      <c r="Y281" s="186">
        <f>IFERROR(IF($X281="","",INDEX(LLM_Data_Entry!$H$3:$H$548,MATCH($X281,INDEX(LLM_Data_Entry!$A$3:$A$548&amp;"|"&amp;LLM_Data_Entry!$C$3:$C$548&amp;"|"&amp;LLM_Data_Entry!$D$3:$D$548,0),0))),"")</f>
        <v/>
      </c>
      <c r="Z281" s="186">
        <f>IFERROR(IF($X281="","",INDEX(LLM_Data_Entry!$R$3:$R$548,MATCH($X281,INDEX(LLM_Data_Entry!$A$3:$A$548&amp;"|"&amp;LLM_Data_Entry!$C$3:$C$548&amp;"|"&amp;LLM_Data_Entry!$D$3:$D$548,0),0))),"")</f>
        <v/>
      </c>
      <c r="AA281" s="152" t="n"/>
      <c r="AB281" s="152" t="inlineStr">
        <is>
          <t>release date + stated time</t>
        </is>
      </c>
      <c r="AC281" s="152" t="inlineStr">
        <is>
          <t>SIE.DE</t>
        </is>
      </c>
      <c r="AD281" s="152" t="inlineStr">
        <is>
          <t>2025-11-12</t>
        </is>
      </c>
      <c r="AE281" s="152" t="n">
        <v>245.1874</v>
      </c>
      <c r="AF281" s="152" t="inlineStr">
        <is>
          <t>2025-11-13</t>
        </is>
      </c>
      <c r="AG281" s="152" t="n">
        <v>238.48</v>
      </c>
      <c r="AH281" s="152" t="n">
        <v>-0.02735618576686381</v>
      </c>
      <c r="AI281" s="152" t="inlineStr">
        <is>
          <t>DOWN</t>
        </is>
      </c>
      <c r="AJ281" s="152" t="inlineStr">
        <is>
          <t>YES</t>
        </is>
      </c>
      <c r="AK281" s="152" t="n">
        <v>0.026356</v>
      </c>
      <c r="AL281" s="152">
        <f>IF($A281="","",IFERROR(INDEX(Company_List!$G$3:$G$207,MATCH($A281,Company_List!$A$3:$A$207,0)),"unassigned"))</f>
        <v/>
      </c>
      <c r="AM281" s="152" t="inlineStr">
        <is>
          <t>Phase 3/Readings/Siemens/Siemens Q4 2025 earnings release.pdf</t>
        </is>
      </c>
      <c r="AN281" s="152" t="n"/>
      <c r="AO281" s="152" t="inlineStr">
        <is>
          <t>unique filename match</t>
        </is>
      </c>
      <c r="AP281" s="152">
        <f>IF($A281="","",IF(COUNTIFS(LLM_Data_Entry!$A$3:$A$548,$A281)&gt;0,"YES","NO"))</f>
        <v/>
      </c>
      <c r="AQ281" s="152">
        <f>IF($A281="","",IF(COUNTIFS($A$3:$A281,$A281,$C$3:$C281,$C281,$D$3:$D281,$D281)=1,"YES","NO"))</f>
        <v/>
      </c>
      <c r="AR281" s="152">
        <f>IF($A281="","",IF(AND($C281&amp;"-"&amp;$D281&gt;=Settings!$B$19,$C281&amp;"-"&amp;$D281&lt;=Settings!$B$20),"IN","OUT"))</f>
        <v/>
      </c>
      <c r="AS281" s="152">
        <f>IF($A281="","",IF($F281="Financial Results","financials",IF($F281="Outlook/Guidance","guidance",IF($F281="Transcript Q&amp;A","qanda",IF($F281="","unrecorded",IF($E281="All","full",IF($E281="","unrecorded",LOWER($E281)&amp;" only")))))))</f>
        <v/>
      </c>
      <c r="AT281" s="152">
        <f>IF(AND(OR($J281="BUY",$J281="SELL"),ISNUMBER($U281)),$U281,"")</f>
        <v/>
      </c>
      <c r="AU281" s="152">
        <f>IF(AND(OR($J281="BUY",$J281="SELL"),ISNUMBER($AK281)),$AK281,"")</f>
        <v/>
      </c>
      <c r="AV281" s="152">
        <f>IF(ISNUMBER($AT281),ABS(IF(ISNUMBER($I281),$I281,0)-Settings!$B$24),"")</f>
        <v/>
      </c>
      <c r="AW281" s="152">
        <f>IF(ISNUMBER($AV281),$AV281*$AT281,"")</f>
        <v/>
      </c>
      <c r="AX281" s="152">
        <f>IF(ISNUMBER($AU281),ABS(IF(ISNUMBER($I281),$I281,0)-Settings!$B$24),"")</f>
        <v/>
      </c>
      <c r="AY281" s="152" t="inlineStr">
        <is>
          <t>FROZEN</t>
        </is>
      </c>
      <c r="AZ281" s="152">
        <f>IF($A281="","",IFERROR(INDEX(Company_List!$H$3:$H$207,MATCH($A281,Company_List!$A$3:$A$207,0)),"unassigned"))</f>
        <v/>
      </c>
      <c r="BA281" s="152" t="n"/>
      <c r="BB281" s="152" t="n"/>
      <c r="BC281" s="152">
        <f>IF($A281="","",IF(COUNTIFS($A$3:$A281,$A281,$C$3:$C281,$C281,$D$3:$D281,$D281,$G$3:$G281,$G281)=1,1,0))</f>
        <v/>
      </c>
      <c r="BD281" s="152" t="n"/>
      <c r="BE281" s="152" t="n"/>
      <c r="BF281" s="152" t="n"/>
      <c r="BG281" s="152" t="inlineStr">
        <is>
          <t>no</t>
        </is>
      </c>
      <c r="BH281" s="152" t="n"/>
      <c r="BI281" s="152" t="n"/>
      <c r="BJ281" s="152" t="n"/>
      <c r="BK281" s="152">
        <f>IF(OR($H281&lt;&gt;"Human",$S281="",$J281="",$Y281="",$Z281=""),"",IF(EXACT(UPPER($J281),UPPER($Y281)),1,0))</f>
        <v/>
      </c>
      <c r="BL281" s="152" t="inlineStr">
        <is>
          <t>assumed - no rater record</t>
        </is>
      </c>
      <c r="BM281" s="152" t="n">
        <v>1</v>
      </c>
      <c r="BN281" s="152" t="inlineStr">
        <is>
          <t>not publisher-identified</t>
        </is>
      </c>
      <c r="BO281" s="152" t="inlineStr">
        <is>
          <t>not publisher-identified</t>
        </is>
      </c>
      <c r="BP281" s="152" t="inlineStr">
        <is>
          <t>no</t>
        </is>
      </c>
      <c r="BQ281" s="152" t="inlineStr">
        <is>
          <t>no</t>
        </is>
      </c>
      <c r="BR281" s="152" t="n"/>
      <c r="BS281" s="152" t="inlineStr">
        <is>
          <t>YES</t>
        </is>
      </c>
      <c r="BT281" s="152" t="n"/>
    </row>
    <row r="282" ht="15" customHeight="1" s="241">
      <c r="A282" s="192" t="inlineStr">
        <is>
          <t>Siemens</t>
        </is>
      </c>
      <c r="B282" s="188">
        <f>IF(A282="","",_xlfn.XLOOKUP(A282, Company_List!$A:$A, Company_List!$B:$B, ""))</f>
        <v/>
      </c>
      <c r="C282" s="177" t="n">
        <v>2026</v>
      </c>
      <c r="D282" s="177" t="inlineStr">
        <is>
          <t>Q1</t>
        </is>
      </c>
      <c r="E282" s="178" t="inlineStr">
        <is>
          <t>Press Release Document</t>
        </is>
      </c>
      <c r="F282" s="178" t="inlineStr">
        <is>
          <t>All</t>
        </is>
      </c>
      <c r="G282" s="177" t="inlineStr">
        <is>
          <t>Meriem</t>
        </is>
      </c>
      <c r="H282" s="177" t="inlineStr">
        <is>
          <t>Human</t>
        </is>
      </c>
      <c r="I282" s="180" t="n">
        <v>0.2</v>
      </c>
      <c r="J282" s="180">
        <f>IF(OR(I282="",Settings!$B$6=""),"",IF(I282&gt;Settings!$B$6,"BUY",IF(I282&lt;-Settings!$B$6,"SELL","HOLD")))</f>
        <v/>
      </c>
      <c r="K282" s="180" t="n">
        <v>28</v>
      </c>
      <c r="L282" s="182" t="n">
        <v>46065</v>
      </c>
      <c r="M282" s="182" t="n">
        <v>46064</v>
      </c>
      <c r="N282" s="179" t="n">
        <v>256.25</v>
      </c>
      <c r="O282" s="182" t="n">
        <v>46065</v>
      </c>
      <c r="P282" s="180" t="n">
        <v>271.6</v>
      </c>
      <c r="Q282" s="184">
        <f>IF(OR(N282="",P282=""),"",ROUND((P282-N282)/N282,4))</f>
        <v/>
      </c>
      <c r="R282" s="177">
        <f>IF(OR(N282="",P282=""),"",IF(Q282&gt;Settings!$B$3/100,"UP",IF(Q282&lt;-Settings!$B$3/100,"DOWN","FLAT")))</f>
        <v/>
      </c>
      <c r="S282" s="177">
        <f>IF(OR(N282="",P282="",J282=""),"",IF(OR(AND(J282="BUY",R282="UP"),AND(J282="SELL",R282="DOWN"),AND(J282="HOLD",R282="FLAT")),"YES","NO"))</f>
        <v/>
      </c>
      <c r="T282" s="176">
        <f>IF(J282="","",IF(J282="BUY",1,IF(J282="SELL",-1,0)))</f>
        <v/>
      </c>
      <c r="U282" s="184">
        <f>IFERROR(IF(OR(J282="",N282="",P282=""),"",IF(T282=0,0,T282*Q282-Settings!$B$4/10000-IF(T282&lt;0,Settings!$B$5/10000,0))),"")</f>
        <v/>
      </c>
      <c r="V282" s="190" t="inlineStr">
        <is>
          <t>Revenue and operating margins improved across most businesses, but the sharp decline in EPS and continued currency impacts temper the positive results.</t>
        </is>
      </c>
      <c r="W282" s="176">
        <f>IF($K282="","",$K282*60)</f>
        <v/>
      </c>
      <c r="X282" s="186">
        <f>IF($A282="","",$A282&amp;"|"&amp;$C282&amp;"|"&amp;$D282)</f>
        <v/>
      </c>
      <c r="Y282" s="186">
        <f>IFERROR(IF($X282="","",INDEX(LLM_Data_Entry!$H$3:$H$548,MATCH($X282,INDEX(LLM_Data_Entry!$A$3:$A$548&amp;"|"&amp;LLM_Data_Entry!$C$3:$C$548&amp;"|"&amp;LLM_Data_Entry!$D$3:$D$548,0),0))),"")</f>
        <v/>
      </c>
      <c r="Z282" s="186">
        <f>IFERROR(IF($X282="","",INDEX(LLM_Data_Entry!$R$3:$R$548,MATCH($X282,INDEX(LLM_Data_Entry!$A$3:$A$548&amp;"|"&amp;LLM_Data_Entry!$C$3:$C$548&amp;"|"&amp;LLM_Data_Entry!$D$3:$D$548,0),0))),"")</f>
        <v/>
      </c>
      <c r="AA282" s="152" t="n"/>
      <c r="AB282" s="152" t="inlineStr">
        <is>
          <t>release date + stated time</t>
        </is>
      </c>
      <c r="AC282" s="152" t="inlineStr">
        <is>
          <t>SIE.DE</t>
        </is>
      </c>
      <c r="AD282" s="152" t="inlineStr">
        <is>
          <t>2026-02-11</t>
        </is>
      </c>
      <c r="AE282" s="152" t="n">
        <v>250.9156</v>
      </c>
      <c r="AF282" s="152" t="inlineStr">
        <is>
          <t>2026-02-12</t>
        </is>
      </c>
      <c r="AG282" s="152" t="n">
        <v>265.9461</v>
      </c>
      <c r="AH282" s="152" t="n">
        <v>0.05990247432660638</v>
      </c>
      <c r="AI282" s="152" t="inlineStr">
        <is>
          <t>UP</t>
        </is>
      </c>
      <c r="AJ282" s="152" t="inlineStr">
        <is>
          <t>NO</t>
        </is>
      </c>
      <c r="AK282" s="152" t="n">
        <v>0</v>
      </c>
      <c r="AL282" s="152">
        <f>IF($A282="","",IFERROR(INDEX(Company_List!$G$3:$G$207,MATCH($A282,Company_List!$A$3:$A$207,0)),"unassigned"))</f>
        <v/>
      </c>
      <c r="AM282" s="152" t="inlineStr">
        <is>
          <t>Phase 3/Readings/Siemens/Siemens Q1 2026 earnings release.pdf</t>
        </is>
      </c>
      <c r="AN282" s="152" t="n"/>
      <c r="AO282" s="152" t="inlineStr">
        <is>
          <t>unique filename match</t>
        </is>
      </c>
      <c r="AP282" s="152">
        <f>IF($A282="","",IF(COUNTIFS(LLM_Data_Entry!$A$3:$A$548,$A282)&gt;0,"YES","NO"))</f>
        <v/>
      </c>
      <c r="AQ282" s="152">
        <f>IF($A282="","",IF(COUNTIFS($A$3:$A282,$A282,$C$3:$C282,$C282,$D$3:$D282,$D282)=1,"YES","NO"))</f>
        <v/>
      </c>
      <c r="AR282" s="152">
        <f>IF($A282="","",IF(AND($C282&amp;"-"&amp;$D282&gt;=Settings!$B$19,$C282&amp;"-"&amp;$D282&lt;=Settings!$B$20),"IN","OUT"))</f>
        <v/>
      </c>
      <c r="AS282" s="152">
        <f>IF($A282="","",IF($F282="Financial Results","financials",IF($F282="Outlook/Guidance","guidance",IF($F282="Transcript Q&amp;A","qanda",IF($F282="","unrecorded",IF($E282="All","full",IF($E282="","unrecorded",LOWER($E282)&amp;" only")))))))</f>
        <v/>
      </c>
      <c r="AT282" s="152">
        <f>IF(AND(OR($J282="BUY",$J282="SELL"),ISNUMBER($U282)),$U282,"")</f>
        <v/>
      </c>
      <c r="AU282" s="152">
        <f>IF(AND(OR($J282="BUY",$J282="SELL"),ISNUMBER($AK282)),$AK282,"")</f>
        <v/>
      </c>
      <c r="AV282" s="152">
        <f>IF(ISNUMBER($AT282),ABS(IF(ISNUMBER($I282),$I282,0)-Settings!$B$24),"")</f>
        <v/>
      </c>
      <c r="AW282" s="152">
        <f>IF(ISNUMBER($AV282),$AV282*$AT282,"")</f>
        <v/>
      </c>
      <c r="AX282" s="152">
        <f>IF(ISNUMBER($AU282),ABS(IF(ISNUMBER($I282),$I282,0)-Settings!$B$24),"")</f>
        <v/>
      </c>
      <c r="AY282" s="152" t="inlineStr">
        <is>
          <t>FROZEN</t>
        </is>
      </c>
      <c r="AZ282" s="152">
        <f>IF($A282="","",IFERROR(INDEX(Company_List!$H$3:$H$207,MATCH($A282,Company_List!$A$3:$A$207,0)),"unassigned"))</f>
        <v/>
      </c>
      <c r="BA282" s="152" t="n"/>
      <c r="BB282" s="152" t="n"/>
      <c r="BC282" s="152">
        <f>IF($A282="","",IF(COUNTIFS($A$3:$A282,$A282,$C$3:$C282,$C282,$D$3:$D282,$D282,$G$3:$G282,$G282)=1,1,0))</f>
        <v/>
      </c>
      <c r="BD282" s="152" t="n"/>
      <c r="BE282" s="152" t="n"/>
      <c r="BF282" s="152" t="n"/>
      <c r="BG282" s="152" t="inlineStr">
        <is>
          <t>no</t>
        </is>
      </c>
      <c r="BH282" s="152" t="n"/>
      <c r="BI282" s="152" t="n"/>
      <c r="BJ282" s="152" t="n"/>
      <c r="BK282" s="152">
        <f>IF(OR($H282&lt;&gt;"Human",$S282="",$J282="",$Y282="",$Z282=""),"",IF(EXACT(UPPER($J282),UPPER($Y282)),1,0))</f>
        <v/>
      </c>
      <c r="BL282" s="152" t="inlineStr">
        <is>
          <t>assumed - no rater record</t>
        </is>
      </c>
      <c r="BM282" s="152" t="n">
        <v>1</v>
      </c>
      <c r="BN282" s="152" t="inlineStr">
        <is>
          <t>not publisher-identified</t>
        </is>
      </c>
      <c r="BO282" s="152" t="inlineStr">
        <is>
          <t>not publisher-identified</t>
        </is>
      </c>
      <c r="BP282" s="152" t="inlineStr">
        <is>
          <t>no</t>
        </is>
      </c>
      <c r="BQ282" s="152" t="inlineStr">
        <is>
          <t>no</t>
        </is>
      </c>
      <c r="BR282" s="152" t="n"/>
      <c r="BS282" s="152" t="inlineStr">
        <is>
          <t>YES</t>
        </is>
      </c>
      <c r="BT282" s="152" t="n"/>
    </row>
    <row r="283" ht="15" customHeight="1" s="241">
      <c r="A283" s="192" t="inlineStr">
        <is>
          <t>Siemens</t>
        </is>
      </c>
      <c r="B283" s="188">
        <f>IF(A283="","",_xlfn.XLOOKUP(A283, Company_List!$A:$A, Company_List!$B:$B, ""))</f>
        <v/>
      </c>
      <c r="C283" s="177" t="n">
        <v>2026</v>
      </c>
      <c r="D283" s="177" t="inlineStr">
        <is>
          <t>Q2</t>
        </is>
      </c>
      <c r="E283" s="178" t="inlineStr">
        <is>
          <t>Press Release Document</t>
        </is>
      </c>
      <c r="F283" s="178" t="inlineStr">
        <is>
          <t>All</t>
        </is>
      </c>
      <c r="G283" s="177" t="inlineStr">
        <is>
          <t>Meriem</t>
        </is>
      </c>
      <c r="H283" s="177" t="inlineStr">
        <is>
          <t>Human</t>
        </is>
      </c>
      <c r="I283" s="180" t="n">
        <v>0.1</v>
      </c>
      <c r="J283" s="180">
        <f>IF(OR(I283="",Settings!$B$6=""),"",IF(I283&gt;Settings!$B$6,"BUY",IF(I283&lt;-Settings!$B$6,"SELL","HOLD")))</f>
        <v/>
      </c>
      <c r="K283" s="180" t="n">
        <v>23</v>
      </c>
      <c r="L283" s="182" t="n">
        <v>46155</v>
      </c>
      <c r="M283" s="182" t="n">
        <v>46154</v>
      </c>
      <c r="N283" s="179" t="n">
        <v>264.6</v>
      </c>
      <c r="O283" s="182" t="n">
        <v>46155</v>
      </c>
      <c r="P283" s="180" t="n">
        <v>267.15</v>
      </c>
      <c r="Q283" s="184">
        <f>IF(OR(N283="",P283=""),"",ROUND((P283-N283)/N283,4))</f>
        <v/>
      </c>
      <c r="R283" s="177">
        <f>IF(OR(N283="",P283=""),"",IF(Q283&gt;Settings!$B$3/100,"UP",IF(Q283&lt;-Settings!$B$3/100,"DOWN","FLAT")))</f>
        <v/>
      </c>
      <c r="S283" s="177">
        <f>IF(OR(N283="",P283="",J283=""),"",IF(OR(AND(J283="BUY",R283="UP"),AND(J283="SELL",R283="DOWN"),AND(J283="HOLD",R283="FLAT")),"YES","NO"))</f>
        <v/>
      </c>
      <c r="T283" s="176">
        <f>IF(J283="","",IF(J283="BUY",1,IF(J283="SELL",-1,0)))</f>
        <v/>
      </c>
      <c r="U283" s="184">
        <f>IFERROR(IF(OR(J283="",N283="",P283=""),"",IF(T283=0,0,T283*Q283-Settings!$B$4/10000-IF(T283&lt;0,Settings!$B$5/10000,0))),"")</f>
        <v/>
      </c>
      <c r="V283" s="190" t="inlineStr">
        <is>
          <t>Financial performance remained relatively stable despite modest declines in revenue and EPS, while unchanged guidance provides little catalyst for either a buy or sell decision.</t>
        </is>
      </c>
      <c r="W283" s="176">
        <f>IF($K283="","",$K283*60)</f>
        <v/>
      </c>
      <c r="X283" s="186">
        <f>IF($A283="","",$A283&amp;"|"&amp;$C283&amp;"|"&amp;$D283)</f>
        <v/>
      </c>
      <c r="Y283" s="186">
        <f>IFERROR(IF($X283="","",INDEX(LLM_Data_Entry!$H$3:$H$548,MATCH($X283,INDEX(LLM_Data_Entry!$A$3:$A$548&amp;"|"&amp;LLM_Data_Entry!$C$3:$C$548&amp;"|"&amp;LLM_Data_Entry!$D$3:$D$548,0),0))),"")</f>
        <v/>
      </c>
      <c r="Z283" s="186">
        <f>IFERROR(IF($X283="","",INDEX(LLM_Data_Entry!$R$3:$R$548,MATCH($X283,INDEX(LLM_Data_Entry!$A$3:$A$548&amp;"|"&amp;LLM_Data_Entry!$C$3:$C$548&amp;"|"&amp;LLM_Data_Entry!$D$3:$D$548,0),0))),"")</f>
        <v/>
      </c>
      <c r="AA283" s="152" t="n"/>
      <c r="AB283" s="152" t="inlineStr">
        <is>
          <t>release date + stated time</t>
        </is>
      </c>
      <c r="AC283" s="152" t="inlineStr">
        <is>
          <t>SIE.DE</t>
        </is>
      </c>
      <c r="AD283" s="152" t="inlineStr">
        <is>
          <t>2026-05-12</t>
        </is>
      </c>
      <c r="AE283" s="152" t="n">
        <v>264.6</v>
      </c>
      <c r="AF283" s="152" t="inlineStr">
        <is>
          <t>2026-05-13</t>
        </is>
      </c>
      <c r="AG283" s="152" t="n">
        <v>267.15</v>
      </c>
      <c r="AH283" s="152" t="n">
        <v>0.009637142638613488</v>
      </c>
      <c r="AI283" s="152" t="inlineStr">
        <is>
          <t>FLAT</t>
        </is>
      </c>
      <c r="AJ283" s="152" t="inlineStr">
        <is>
          <t>YES</t>
        </is>
      </c>
      <c r="AK283" s="152" t="n">
        <v>0</v>
      </c>
      <c r="AL283" s="152">
        <f>IF($A283="","",IFERROR(INDEX(Company_List!$G$3:$G$207,MATCH($A283,Company_List!$A$3:$A$207,0)),"unassigned"))</f>
        <v/>
      </c>
      <c r="AM283" s="152" t="inlineStr">
        <is>
          <t>Phase 3/Readings/Siemens/Siemens Q2 2026 earnings release.pdf</t>
        </is>
      </c>
      <c r="AN283" s="152" t="n"/>
      <c r="AO283" s="152" t="inlineStr">
        <is>
          <t>unique filename match</t>
        </is>
      </c>
      <c r="AP283" s="152">
        <f>IF($A283="","",IF(COUNTIFS(LLM_Data_Entry!$A$3:$A$548,$A283)&gt;0,"YES","NO"))</f>
        <v/>
      </c>
      <c r="AQ283" s="152">
        <f>IF($A283="","",IF(COUNTIFS($A$3:$A283,$A283,$C$3:$C283,$C283,$D$3:$D283,$D283)=1,"YES","NO"))</f>
        <v/>
      </c>
      <c r="AR283" s="152">
        <f>IF($A283="","",IF(AND($C283&amp;"-"&amp;$D283&gt;=Settings!$B$19,$C283&amp;"-"&amp;$D283&lt;=Settings!$B$20),"IN","OUT"))</f>
        <v/>
      </c>
      <c r="AS283" s="152">
        <f>IF($A283="","",IF($F283="Financial Results","financials",IF($F283="Outlook/Guidance","guidance",IF($F283="Transcript Q&amp;A","qanda",IF($F283="","unrecorded",IF($E283="All","full",IF($E283="","unrecorded",LOWER($E283)&amp;" only")))))))</f>
        <v/>
      </c>
      <c r="AT283" s="152">
        <f>IF(AND(OR($J283="BUY",$J283="SELL"),ISNUMBER($U283)),$U283,"")</f>
        <v/>
      </c>
      <c r="AU283" s="152">
        <f>IF(AND(OR($J283="BUY",$J283="SELL"),ISNUMBER($AK283)),$AK283,"")</f>
        <v/>
      </c>
      <c r="AV283" s="152">
        <f>IF(ISNUMBER($AT283),ABS(IF(ISNUMBER($I283),$I283,0)-Settings!$B$24),"")</f>
        <v/>
      </c>
      <c r="AW283" s="152">
        <f>IF(ISNUMBER($AV283),$AV283*$AT283,"")</f>
        <v/>
      </c>
      <c r="AX283" s="152">
        <f>IF(ISNUMBER($AU283),ABS(IF(ISNUMBER($I283),$I283,0)-Settings!$B$24),"")</f>
        <v/>
      </c>
      <c r="AY283" s="152" t="inlineStr">
        <is>
          <t>FROZEN</t>
        </is>
      </c>
      <c r="AZ283" s="152">
        <f>IF($A283="","",IFERROR(INDEX(Company_List!$H$3:$H$207,MATCH($A283,Company_List!$A$3:$A$207,0)),"unassigned"))</f>
        <v/>
      </c>
      <c r="BA283" s="152" t="n"/>
      <c r="BB283" s="152" t="n"/>
      <c r="BC283" s="152">
        <f>IF($A283="","",IF(COUNTIFS($A$3:$A283,$A283,$C$3:$C283,$C283,$D$3:$D283,$D283,$G$3:$G283,$G283)=1,1,0))</f>
        <v/>
      </c>
      <c r="BD283" s="152" t="n"/>
      <c r="BE283" s="152" t="n"/>
      <c r="BF283" s="152" t="n"/>
      <c r="BG283" s="152" t="inlineStr">
        <is>
          <t>no</t>
        </is>
      </c>
      <c r="BH283" s="152" t="n"/>
      <c r="BI283" s="152" t="n"/>
      <c r="BJ283" s="152" t="n"/>
      <c r="BK283" s="152">
        <f>IF(OR($H283&lt;&gt;"Human",$S283="",$J283="",$Y283="",$Z283=""),"",IF(EXACT(UPPER($J283),UPPER($Y283)),1,0))</f>
        <v/>
      </c>
      <c r="BL283" s="152" t="inlineStr">
        <is>
          <t>assumed - no rater record</t>
        </is>
      </c>
      <c r="BM283" s="152" t="n">
        <v>1</v>
      </c>
      <c r="BN283" s="152" t="inlineStr">
        <is>
          <t>not publisher-identified</t>
        </is>
      </c>
      <c r="BO283" s="152" t="inlineStr">
        <is>
          <t>not publisher-identified</t>
        </is>
      </c>
      <c r="BP283" s="152" t="inlineStr">
        <is>
          <t>no</t>
        </is>
      </c>
      <c r="BQ283" s="152" t="inlineStr">
        <is>
          <t>no</t>
        </is>
      </c>
      <c r="BR283" s="152" t="n"/>
      <c r="BS283" s="152" t="inlineStr">
        <is>
          <t>YES</t>
        </is>
      </c>
      <c r="BT283" s="152" t="n"/>
    </row>
    <row r="284" ht="15" customHeight="1" s="241">
      <c r="A284" s="192" t="inlineStr">
        <is>
          <t>Costco</t>
        </is>
      </c>
      <c r="B284" s="188">
        <f>IF(A284="","",_xlfn.XLOOKUP(A284, Company_List!$A:$A, Company_List!$B:$B, ""))</f>
        <v/>
      </c>
      <c r="C284" s="177" t="n">
        <v>2026</v>
      </c>
      <c r="D284" s="177" t="inlineStr">
        <is>
          <t>Q1</t>
        </is>
      </c>
      <c r="E284" s="178" t="inlineStr">
        <is>
          <t>All</t>
        </is>
      </c>
      <c r="F284" s="178" t="inlineStr">
        <is>
          <t>All</t>
        </is>
      </c>
      <c r="G284" s="177" t="inlineStr">
        <is>
          <t>Meriem</t>
        </is>
      </c>
      <c r="H284" s="177" t="inlineStr">
        <is>
          <t>Human</t>
        </is>
      </c>
      <c r="I284" s="180" t="n">
        <v>0.4</v>
      </c>
      <c r="J284" s="180">
        <f>IF(OR(I284="",Settings!$B$6=""),"",IF(I284&gt;Settings!$B$6,"BUY",IF(I284&lt;-Settings!$B$6,"SELL","HOLD")))</f>
        <v/>
      </c>
      <c r="K284" s="180" t="n">
        <v>40</v>
      </c>
      <c r="L284" s="182" t="n">
        <v>46002</v>
      </c>
      <c r="M284" s="182" t="n">
        <v>46002</v>
      </c>
      <c r="N284" s="179" t="n">
        <v>880.5934</v>
      </c>
      <c r="O284" s="182" t="n">
        <v>46003</v>
      </c>
      <c r="P284" s="180" t="n">
        <v>879.4186999999999</v>
      </c>
      <c r="Q284" s="184">
        <f>IF(OR(N284="",P284=""),"",ROUND((P284-N284)/N284,4))</f>
        <v/>
      </c>
      <c r="R284" s="177">
        <f>IF(OR(N284="",P284=""),"",IF(Q284&gt;Settings!$B$3/100,"UP",IF(Q284&lt;-Settings!$B$3/100,"DOWN","FLAT")))</f>
        <v/>
      </c>
      <c r="S284" s="177">
        <f>IF(OR(N284="",P284="",J284=""),"",IF(OR(AND(J284="BUY",R284="UP"),AND(J284="SELL",R284="DOWN"),AND(J284="HOLD",R284="FLAT")),"YES","NO"))</f>
        <v/>
      </c>
      <c r="T284" s="176">
        <f>IF(J284="","",IF(J284="BUY",1,IF(J284="SELL",-1,0)))</f>
        <v/>
      </c>
      <c r="U284" s="184">
        <f>IFERROR(IF(OR(J284="",N284="",P284=""),"",IF(T284=0,0,T284*Q284-Settings!$B$4/10000-IF(T284&lt;0,Settings!$B$5/10000,0))),"")</f>
        <v/>
      </c>
      <c r="V284" s="190" t="inlineStr">
        <is>
          <t>Strong sales, earnings and membership growth outweighed modest renewal rate declines and tariff-related uncertainty, supporting a BUY.</t>
        </is>
      </c>
      <c r="W284" s="176">
        <f>IF($K284="","",$K284*60)</f>
        <v/>
      </c>
      <c r="X284" s="186">
        <f>IF($A284="","",$A284&amp;"|"&amp;$C284&amp;"|"&amp;$D284)</f>
        <v/>
      </c>
      <c r="Y284" s="186">
        <f>IFERROR(IF($X284="","",INDEX(LLM_Data_Entry!$H$3:$H$548,MATCH($X284,INDEX(LLM_Data_Entry!$A$3:$A$548&amp;"|"&amp;LLM_Data_Entry!$C$3:$C$548&amp;"|"&amp;LLM_Data_Entry!$D$3:$D$548,0),0))),"")</f>
        <v/>
      </c>
      <c r="Z284" s="186">
        <f>IFERROR(IF($X284="","",INDEX(LLM_Data_Entry!$R$3:$R$548,MATCH($X284,INDEX(LLM_Data_Entry!$A$3:$A$548&amp;"|"&amp;LLM_Data_Entry!$C$3:$C$548&amp;"|"&amp;LLM_Data_Entry!$D$3:$D$548,0),0))),"")</f>
        <v/>
      </c>
      <c r="AA284" s="152" t="n"/>
      <c r="AB284" s="152" t="inlineStr">
        <is>
          <t>release date + stated time in the document (rater worksheet)</t>
        </is>
      </c>
      <c r="AC284" s="152" t="inlineStr">
        <is>
          <t>COST</t>
        </is>
      </c>
      <c r="AD284" s="152" t="inlineStr">
        <is>
          <t>2025-12-11</t>
        </is>
      </c>
      <c r="AE284" s="152" t="n">
        <v>880.5934</v>
      </c>
      <c r="AF284" s="152" t="inlineStr">
        <is>
          <t>2025-12-12</t>
        </is>
      </c>
      <c r="AG284" s="152" t="n">
        <v>879.4186999999999</v>
      </c>
      <c r="AH284" s="152" t="n">
        <v>-0.001334090039663578</v>
      </c>
      <c r="AI284" s="152" t="inlineStr">
        <is>
          <t>FLAT</t>
        </is>
      </c>
      <c r="AJ284" s="152" t="inlineStr">
        <is>
          <t>NO</t>
        </is>
      </c>
      <c r="AK284" s="152" t="n">
        <v>-0.002334</v>
      </c>
      <c r="AL284" s="152">
        <f>IF($A284="","",IFERROR(INDEX(Company_List!$G$3:$G$207,MATCH($A284,Company_List!$A$3:$A$207,0)),"unassigned"))</f>
        <v/>
      </c>
      <c r="AM284" s="152" t="inlineStr">
        <is>
          <t>Phase 3/Readings/Costco/Q1 26/Costco Wholesale Q1 26 - Costco Wholesale Corporation Reports First Quarter Fiscal Year 2026 O.pdf; Phase 3/Readings/Costco/Q1 26/Costco (COST) Q1 2026 Earnings Call Transcript.pdf</t>
        </is>
      </c>
      <c r="AN284" s="152" t="n"/>
      <c r="AO284" s="152" t="inlineStr">
        <is>
          <t>whole bundle (Document = All)</t>
        </is>
      </c>
      <c r="AP284" s="152">
        <f>IF($A284="","",IF(COUNTIFS(LLM_Data_Entry!$A$3:$A$548,$A284)&gt;0,"YES","NO"))</f>
        <v/>
      </c>
      <c r="AQ284" s="152">
        <f>IF($A284="","",IF(COUNTIFS($A$3:$A284,$A284,$C$3:$C284,$C284,$D$3:$D284,$D284)=1,"YES","NO"))</f>
        <v/>
      </c>
      <c r="AR284" s="152">
        <f>IF($A284="","",IF(AND($C284&amp;"-"&amp;$D284&gt;=Settings!$B$19,$C284&amp;"-"&amp;$D284&lt;=Settings!$B$20),"IN","OUT"))</f>
        <v/>
      </c>
      <c r="AS284" s="152">
        <f>IF($A284="","",IF($F284="Financial Results","financials",IF($F284="Outlook/Guidance","guidance",IF($F284="Transcript Q&amp;A","qanda",IF($F284="","unrecorded",IF($E284="All","full",IF($E284="","unrecorded",LOWER($E284)&amp;" only")))))))</f>
        <v/>
      </c>
      <c r="AT284" s="152">
        <f>IF(AND(OR($J284="BUY",$J284="SELL"),ISNUMBER($U284)),$U284,"")</f>
        <v/>
      </c>
      <c r="AU284" s="152">
        <f>IF(AND(OR($J284="BUY",$J284="SELL"),ISNUMBER($AK284)),$AK284,"")</f>
        <v/>
      </c>
      <c r="AV284" s="152">
        <f>IF(ISNUMBER($AT284),ABS(IF(ISNUMBER($I284),$I284,0)-Settings!$B$24),"")</f>
        <v/>
      </c>
      <c r="AW284" s="152">
        <f>IF(ISNUMBER($AV284),$AV284*$AT284,"")</f>
        <v/>
      </c>
      <c r="AX284" s="152">
        <f>IF(ISNUMBER($AU284),ABS(IF(ISNUMBER($I284),$I284,0)-Settings!$B$24),"")</f>
        <v/>
      </c>
      <c r="AY284" s="152" t="inlineStr">
        <is>
          <t>EXTENSION</t>
        </is>
      </c>
      <c r="AZ284" s="152">
        <f>IF($A284="","",IFERROR(INDEX(Company_List!$H$3:$H$207,MATCH($A284,Company_List!$A$3:$A$207,0)),"unassigned"))</f>
        <v/>
      </c>
      <c r="BA284" s="152" t="n"/>
      <c r="BB284" s="152" t="n"/>
      <c r="BC284" s="152">
        <f>IF($A284="","",IF(COUNTIFS($A$3:$A284,$A284,$C$3:$C284,$C284,$D$3:$D284,$D284,$G$3:$G284,$G284)=1,1,0))</f>
        <v/>
      </c>
      <c r="BD284" s="152" t="n"/>
      <c r="BE284" s="152" t="n"/>
      <c r="BF284" s="152" t="n"/>
      <c r="BG284" s="152" t="inlineStr">
        <is>
          <t>no</t>
        </is>
      </c>
      <c r="BH284" s="152" t="n"/>
      <c r="BI284" s="152" t="n"/>
      <c r="BJ284" s="152" t="n"/>
      <c r="BK284" s="152">
        <f>IF(OR($H284&lt;&gt;"Human",$S284="",$J284="",$Y284="",$Z284=""),"",IF(EXACT(UPPER($J284),UPPER($Y284)),1,0))</f>
        <v/>
      </c>
      <c r="BL284" s="152" t="inlineStr">
        <is>
          <t>assumed - no rater record</t>
        </is>
      </c>
      <c r="BM284" s="152" t="n">
        <v>2</v>
      </c>
      <c r="BN284" s="152" t="inlineStr">
        <is>
          <t>The Motley Fool</t>
        </is>
      </c>
      <c r="BO284" s="152" t="inlineStr">
        <is>
          <t>free to read, copyright asserted</t>
        </is>
      </c>
      <c r="BP284" s="152" t="inlineStr">
        <is>
          <t>no</t>
        </is>
      </c>
      <c r="BQ284" s="152" t="inlineStr">
        <is>
          <t>no</t>
        </is>
      </c>
      <c r="BR284" s="152" t="n"/>
      <c r="BS284" s="152" t="inlineStr">
        <is>
          <t>YES</t>
        </is>
      </c>
      <c r="BT284" s="152" t="n"/>
    </row>
    <row r="285" ht="15" customHeight="1" s="241">
      <c r="A285" s="192" t="inlineStr">
        <is>
          <t>Costco</t>
        </is>
      </c>
      <c r="B285" s="188">
        <f>IF(A285="","",_xlfn.XLOOKUP(A285, Company_List!$A:$A, Company_List!$B:$B, ""))</f>
        <v/>
      </c>
      <c r="C285" s="177" t="n">
        <v>2026</v>
      </c>
      <c r="D285" s="177" t="inlineStr">
        <is>
          <t>Q2</t>
        </is>
      </c>
      <c r="E285" s="178" t="inlineStr">
        <is>
          <t>All</t>
        </is>
      </c>
      <c r="F285" s="178" t="inlineStr">
        <is>
          <t>All</t>
        </is>
      </c>
      <c r="G285" s="177" t="inlineStr">
        <is>
          <t>Meriem</t>
        </is>
      </c>
      <c r="H285" s="177" t="inlineStr">
        <is>
          <t>Human</t>
        </is>
      </c>
      <c r="I285" s="180" t="n">
        <v>0.3</v>
      </c>
      <c r="J285" s="180">
        <f>IF(OR(I285="",Settings!$B$6=""),"",IF(I285&gt;Settings!$B$6,"BUY",IF(I285&lt;-Settings!$B$6,"SELL","HOLD")))</f>
        <v/>
      </c>
      <c r="K285" s="180" t="n">
        <v>46</v>
      </c>
      <c r="L285" s="182" t="n">
        <v>46086</v>
      </c>
      <c r="M285" s="182" t="n">
        <v>46086</v>
      </c>
      <c r="N285" s="179" t="n">
        <v>979.5889</v>
      </c>
      <c r="O285" s="182" t="n">
        <v>46087</v>
      </c>
      <c r="P285" s="180" t="n">
        <v>964.0761</v>
      </c>
      <c r="Q285" s="184">
        <f>IF(OR(N285="",P285=""),"",ROUND((P285-N285)/N285,4))</f>
        <v/>
      </c>
      <c r="R285" s="177">
        <f>IF(OR(N285="",P285=""),"",IF(Q285&gt;Settings!$B$3/100,"UP",IF(Q285&lt;-Settings!$B$3/100,"DOWN","FLAT")))</f>
        <v/>
      </c>
      <c r="S285" s="177">
        <f>IF(OR(N285="",P285="",J285=""),"",IF(OR(AND(J285="BUY",R285="UP"),AND(J285="SELL",R285="DOWN"),AND(J285="HOLD",R285="FLAT")),"YES","NO"))</f>
        <v/>
      </c>
      <c r="T285" s="176">
        <f>IF(J285="","",IF(J285="BUY",1,IF(J285="SELL",-1,0)))</f>
        <v/>
      </c>
      <c r="U285" s="184">
        <f>IFERROR(IF(OR(J285="",N285="",P285=""),"",IF(T285=0,0,T285*Q285-Settings!$B$4/10000-IF(T285&lt;0,Settings!$B$5/10000,0))),"")</f>
        <v/>
      </c>
      <c r="V285" s="190" t="inlineStr">
        <is>
          <t>Continued revenue growth, warehouse expansion and positive long-term plans offset sourcing and geopolitical risks, leading to a BUY.</t>
        </is>
      </c>
      <c r="W285" s="176">
        <f>IF($K285="","",$K285*60)</f>
        <v/>
      </c>
      <c r="X285" s="186">
        <f>IF($A285="","",$A285&amp;"|"&amp;$C285&amp;"|"&amp;$D285)</f>
        <v/>
      </c>
      <c r="Y285" s="186">
        <f>IFERROR(IF($X285="","",INDEX(LLM_Data_Entry!$H$3:$H$548,MATCH($X285,INDEX(LLM_Data_Entry!$A$3:$A$548&amp;"|"&amp;LLM_Data_Entry!$C$3:$C$548&amp;"|"&amp;LLM_Data_Entry!$D$3:$D$548,0),0))),"")</f>
        <v/>
      </c>
      <c r="Z285" s="186">
        <f>IFERROR(IF($X285="","",INDEX(LLM_Data_Entry!$R$3:$R$548,MATCH($X285,INDEX(LLM_Data_Entry!$A$3:$A$548&amp;"|"&amp;LLM_Data_Entry!$C$3:$C$548&amp;"|"&amp;LLM_Data_Entry!$D$3:$D$548,0),0))),"")</f>
        <v/>
      </c>
      <c r="AA285" s="152" t="n"/>
      <c r="AB285" s="152" t="inlineStr">
        <is>
          <t>release date + stated time in the document (rater worksheet)</t>
        </is>
      </c>
      <c r="AC285" s="152" t="inlineStr">
        <is>
          <t>COST</t>
        </is>
      </c>
      <c r="AD285" s="152" t="inlineStr">
        <is>
          <t>2026-03-05</t>
        </is>
      </c>
      <c r="AE285" s="152" t="n">
        <v>979.5889</v>
      </c>
      <c r="AF285" s="152" t="inlineStr">
        <is>
          <t>2026-03-06</t>
        </is>
      </c>
      <c r="AG285" s="152" t="n">
        <v>964.0761</v>
      </c>
      <c r="AH285" s="152" t="n">
        <v>-0.01583608167794512</v>
      </c>
      <c r="AI285" s="152" t="inlineStr">
        <is>
          <t>FLAT</t>
        </is>
      </c>
      <c r="AJ285" s="152" t="inlineStr">
        <is>
          <t>NO</t>
        </is>
      </c>
      <c r="AK285" s="152" t="n">
        <v>-0.016836</v>
      </c>
      <c r="AL285" s="152">
        <f>IF($A285="","",IFERROR(INDEX(Company_List!$G$3:$G$207,MATCH($A285,Company_List!$A$3:$A$207,0)),"unassigned"))</f>
        <v/>
      </c>
      <c r="AM285" s="152" t="inlineStr">
        <is>
          <t>Phase 2/Costco/2026-Q2/COST-2026-Q2-press-release-SEC-EX-99-1.htm</t>
        </is>
      </c>
      <c r="AN285" s="152" t="inlineStr">
        <is>
          <t>https://www.sec.gov/Archives/edgar/data/909832/000090983226000025/costex9918-k3526.htm</t>
        </is>
      </c>
      <c r="AO285" s="152" t="inlineStr">
        <is>
          <t>manifest</t>
        </is>
      </c>
      <c r="AP285" s="152">
        <f>IF($A285="","",IF(COUNTIFS(LLM_Data_Entry!$A$3:$A$548,$A285)&gt;0,"YES","NO"))</f>
        <v/>
      </c>
      <c r="AQ285" s="152">
        <f>IF($A285="","",IF(COUNTIFS($A$3:$A285,$A285,$C$3:$C285,$C285,$D$3:$D285,$D285)=1,"YES","NO"))</f>
        <v/>
      </c>
      <c r="AR285" s="152">
        <f>IF($A285="","",IF(AND($C285&amp;"-"&amp;$D285&gt;=Settings!$B$19,$C285&amp;"-"&amp;$D285&lt;=Settings!$B$20),"IN","OUT"))</f>
        <v/>
      </c>
      <c r="AS285" s="152">
        <f>IF($A285="","",IF($F285="Financial Results","financials",IF($F285="Outlook/Guidance","guidance",IF($F285="Transcript Q&amp;A","qanda",IF($F285="","unrecorded",IF($E285="All","full",IF($E285="","unrecorded",LOWER($E285)&amp;" only")))))))</f>
        <v/>
      </c>
      <c r="AT285" s="152">
        <f>IF(AND(OR($J285="BUY",$J285="SELL"),ISNUMBER($U285)),$U285,"")</f>
        <v/>
      </c>
      <c r="AU285" s="152">
        <f>IF(AND(OR($J285="BUY",$J285="SELL"),ISNUMBER($AK285)),$AK285,"")</f>
        <v/>
      </c>
      <c r="AV285" s="152">
        <f>IF(ISNUMBER($AT285),ABS(IF(ISNUMBER($I285),$I285,0)-Settings!$B$24),"")</f>
        <v/>
      </c>
      <c r="AW285" s="152">
        <f>IF(ISNUMBER($AV285),$AV285*$AT285,"")</f>
        <v/>
      </c>
      <c r="AX285" s="152">
        <f>IF(ISNUMBER($AU285),ABS(IF(ISNUMBER($I285),$I285,0)-Settings!$B$24),"")</f>
        <v/>
      </c>
      <c r="AY285" s="152" t="inlineStr">
        <is>
          <t>EXTENSION</t>
        </is>
      </c>
      <c r="AZ285" s="152">
        <f>IF($A285="","",IFERROR(INDEX(Company_List!$H$3:$H$207,MATCH($A285,Company_List!$A$3:$A$207,0)),"unassigned"))</f>
        <v/>
      </c>
      <c r="BA285" s="152" t="n"/>
      <c r="BB285" s="152" t="n"/>
      <c r="BC285" s="152">
        <f>IF($A285="","",IF(COUNTIFS($A$3:$A285,$A285,$C$3:$C285,$C285,$D$3:$D285,$D285,$G$3:$G285,$G285)=1,1,0))</f>
        <v/>
      </c>
      <c r="BD285" s="152" t="n"/>
      <c r="BE285" s="152" t="n"/>
      <c r="BF285" s="152" t="n"/>
      <c r="BG285" s="152" t="inlineStr">
        <is>
          <t>no</t>
        </is>
      </c>
      <c r="BH285" s="152" t="n"/>
      <c r="BI285" s="152" t="n"/>
      <c r="BJ285" s="152" t="n"/>
      <c r="BK285" s="152">
        <f>IF(OR($H285&lt;&gt;"Human",$S285="",$J285="",$Y285="",$Z285=""),"",IF(EXACT(UPPER($J285),UPPER($Y285)),1,0))</f>
        <v/>
      </c>
      <c r="BL285" s="152" t="inlineStr">
        <is>
          <t>assumed - no rater record</t>
        </is>
      </c>
      <c r="BM285" s="152" t="n">
        <v>1</v>
      </c>
      <c r="BN285" s="152" t="inlineStr">
        <is>
          <t>not publisher-identified</t>
        </is>
      </c>
      <c r="BO285" s="152" t="inlineStr">
        <is>
          <t>not publisher-identified</t>
        </is>
      </c>
      <c r="BP285" s="152" t="inlineStr">
        <is>
          <t>no</t>
        </is>
      </c>
      <c r="BQ285" s="152" t="inlineStr">
        <is>
          <t>yes</t>
        </is>
      </c>
      <c r="BR285" s="152" t="n"/>
      <c r="BS285" s="152" t="inlineStr">
        <is>
          <t>YES</t>
        </is>
      </c>
      <c r="BT285" s="152" t="n"/>
    </row>
    <row r="286" ht="15" customHeight="1" s="241">
      <c r="A286" s="192" t="inlineStr">
        <is>
          <t>Costco</t>
        </is>
      </c>
      <c r="B286" s="188">
        <f>IF(A286="","",_xlfn.XLOOKUP(A286, Company_List!$A:$A, Company_List!$B:$B, ""))</f>
        <v/>
      </c>
      <c r="C286" s="177" t="n">
        <v>2026</v>
      </c>
      <c r="D286" s="177" t="inlineStr">
        <is>
          <t>Q3</t>
        </is>
      </c>
      <c r="E286" s="178" t="inlineStr">
        <is>
          <t>All</t>
        </is>
      </c>
      <c r="F286" s="178" t="inlineStr">
        <is>
          <t>All</t>
        </is>
      </c>
      <c r="G286" s="177" t="inlineStr">
        <is>
          <t>Meriem</t>
        </is>
      </c>
      <c r="H286" s="177" t="inlineStr">
        <is>
          <t>Human</t>
        </is>
      </c>
      <c r="I286" s="180" t="n">
        <v>0.5</v>
      </c>
      <c r="J286" s="180">
        <f>IF(OR(I286="",Settings!$B$6=""),"",IF(I286&gt;Settings!$B$6,"BUY",IF(I286&lt;-Settings!$B$6,"SELL","HOLD")))</f>
        <v/>
      </c>
      <c r="K286" s="180" t="n">
        <v>50</v>
      </c>
      <c r="L286" s="182" t="n">
        <v>46170</v>
      </c>
      <c r="M286" s="182" t="n">
        <v>46170</v>
      </c>
      <c r="N286" s="179" t="n">
        <v>993.6202</v>
      </c>
      <c r="O286" s="182" t="n">
        <v>46171</v>
      </c>
      <c r="P286" s="180" t="n">
        <v>985.0039</v>
      </c>
      <c r="Q286" s="184">
        <f>IF(OR(N286="",P286=""),"",ROUND((P286-N286)/N286,4))</f>
        <v/>
      </c>
      <c r="R286" s="177">
        <f>IF(OR(N286="",P286=""),"",IF(Q286&gt;Settings!$B$3/100,"UP",IF(Q286&lt;-Settings!$B$3/100,"DOWN","FLAT")))</f>
        <v/>
      </c>
      <c r="S286" s="177">
        <f>IF(OR(N286="",P286="",J286=""),"",IF(OR(AND(J286="BUY",R286="UP"),AND(J286="SELL",R286="DOWN"),AND(J286="HOLD",R286="FLAT")),"YES","NO"))</f>
        <v/>
      </c>
      <c r="T286" s="176">
        <f>IF(J286="","",IF(J286="BUY",1,IF(J286="SELL",-1,0)))</f>
        <v/>
      </c>
      <c r="U286" s="184">
        <f>IFERROR(IF(OR(J286="",N286="",P286=""),"",IF(T286=0,0,T286*Q286-Settings!$B$4/10000-IF(T286&lt;0,Settings!$B$5/10000,0))),"")</f>
        <v/>
      </c>
      <c r="V286" s="190" t="inlineStr">
        <is>
          <t>Strong sales, earnings and digital engagement more than compensated for margin pressure and slower membership growth, supporting a confident BUY.</t>
        </is>
      </c>
      <c r="W286" s="176">
        <f>IF($K286="","",$K286*60)</f>
        <v/>
      </c>
      <c r="X286" s="186">
        <f>IF($A286="","",$A286&amp;"|"&amp;$C286&amp;"|"&amp;$D286)</f>
        <v/>
      </c>
      <c r="Y286" s="186">
        <f>IFERROR(IF($X286="","",INDEX(LLM_Data_Entry!$H$3:$H$548,MATCH($X286,INDEX(LLM_Data_Entry!$A$3:$A$548&amp;"|"&amp;LLM_Data_Entry!$C$3:$C$548&amp;"|"&amp;LLM_Data_Entry!$D$3:$D$548,0),0))),"")</f>
        <v/>
      </c>
      <c r="Z286" s="186">
        <f>IFERROR(IF($X286="","",INDEX(LLM_Data_Entry!$R$3:$R$548,MATCH($X286,INDEX(LLM_Data_Entry!$A$3:$A$548&amp;"|"&amp;LLM_Data_Entry!$C$3:$C$548&amp;"|"&amp;LLM_Data_Entry!$D$3:$D$548,0),0))),"")</f>
        <v/>
      </c>
      <c r="AA286" s="152" t="n"/>
      <c r="AB286" s="152" t="inlineStr">
        <is>
          <t>earnings calendar, seconded independently</t>
        </is>
      </c>
      <c r="AC286" s="152" t="inlineStr">
        <is>
          <t>COST</t>
        </is>
      </c>
      <c r="AD286" s="152" t="inlineStr">
        <is>
          <t>2026-05-28</t>
        </is>
      </c>
      <c r="AE286" s="152" t="n">
        <v>993.6202</v>
      </c>
      <c r="AF286" s="152" t="inlineStr">
        <is>
          <t>2026-05-29</t>
        </is>
      </c>
      <c r="AG286" s="152" t="n">
        <v>985.0039</v>
      </c>
      <c r="AH286" s="152" t="n">
        <v>-0.008671639954925163</v>
      </c>
      <c r="AI286" s="152" t="inlineStr">
        <is>
          <t>FLAT</t>
        </is>
      </c>
      <c r="AJ286" s="152" t="inlineStr">
        <is>
          <t>NO</t>
        </is>
      </c>
      <c r="AK286" s="152" t="n">
        <v>-0.009672</v>
      </c>
      <c r="AL286" s="152">
        <f>IF($A286="","",IFERROR(INDEX(Company_List!$G$3:$G$207,MATCH($A286,Company_List!$A$3:$A$207,0)),"unassigned"))</f>
        <v/>
      </c>
      <c r="AM286" s="152" t="inlineStr">
        <is>
          <t>Phase 3/Readings/Costco/Q3 26/Costco (COST) Q3 2026 Earnings Transcript.pdf</t>
        </is>
      </c>
      <c r="AN286" s="152" t="n"/>
      <c r="AO286" s="152" t="inlineStr">
        <is>
          <t>unique filename match</t>
        </is>
      </c>
      <c r="AP286" s="152">
        <f>IF($A286="","",IF(COUNTIFS(LLM_Data_Entry!$A$3:$A$548,$A286)&gt;0,"YES","NO"))</f>
        <v/>
      </c>
      <c r="AQ286" s="152">
        <f>IF($A286="","",IF(COUNTIFS($A$3:$A286,$A286,$C$3:$C286,$C286,$D$3:$D286,$D286)=1,"YES","NO"))</f>
        <v/>
      </c>
      <c r="AR286" s="152">
        <f>IF($A286="","",IF(AND($C286&amp;"-"&amp;$D286&gt;=Settings!$B$19,$C286&amp;"-"&amp;$D286&lt;=Settings!$B$20),"IN","OUT"))</f>
        <v/>
      </c>
      <c r="AS286" s="152">
        <f>IF($A286="","",IF($F286="Financial Results","financials",IF($F286="Outlook/Guidance","guidance",IF($F286="Transcript Q&amp;A","qanda",IF($F286="","unrecorded",IF($E286="All","full",IF($E286="","unrecorded",LOWER($E286)&amp;" only")))))))</f>
        <v/>
      </c>
      <c r="AT286" s="152">
        <f>IF(AND(OR($J286="BUY",$J286="SELL"),ISNUMBER($U286)),$U286,"")</f>
        <v/>
      </c>
      <c r="AU286" s="152">
        <f>IF(AND(OR($J286="BUY",$J286="SELL"),ISNUMBER($AK286)),$AK286,"")</f>
        <v/>
      </c>
      <c r="AV286" s="152">
        <f>IF(ISNUMBER($AT286),ABS(IF(ISNUMBER($I286),$I286,0)-Settings!$B$24),"")</f>
        <v/>
      </c>
      <c r="AW286" s="152">
        <f>IF(ISNUMBER($AV286),$AV286*$AT286,"")</f>
        <v/>
      </c>
      <c r="AX286" s="152">
        <f>IF(ISNUMBER($AU286),ABS(IF(ISNUMBER($I286),$I286,0)-Settings!$B$24),"")</f>
        <v/>
      </c>
      <c r="AY286" s="152" t="inlineStr">
        <is>
          <t>EXTENSION</t>
        </is>
      </c>
      <c r="AZ286" s="152">
        <f>IF($A286="","",IFERROR(INDEX(Company_List!$H$3:$H$207,MATCH($A286,Company_List!$A$3:$A$207,0)),"unassigned"))</f>
        <v/>
      </c>
      <c r="BA286" s="152" t="n"/>
      <c r="BB286" s="152" t="n"/>
      <c r="BC286" s="152">
        <f>IF($A286="","",IF(COUNTIFS($A$3:$A286,$A286,$C$3:$C286,$C286,$D$3:$D286,$D286,$G$3:$G286,$G286)=1,1,0))</f>
        <v/>
      </c>
      <c r="BD286" s="152" t="n"/>
      <c r="BE286" s="152" t="n"/>
      <c r="BF286" s="152" t="n"/>
      <c r="BG286" s="152" t="inlineStr">
        <is>
          <t>no</t>
        </is>
      </c>
      <c r="BH286" s="152" t="n"/>
      <c r="BI286" s="152" t="n"/>
      <c r="BJ286" s="152" t="n"/>
      <c r="BK286" s="152">
        <f>IF(OR($H286&lt;&gt;"Human",$S286="",$J286="",$Y286="",$Z286=""),"",IF(EXACT(UPPER($J286),UPPER($Y286)),1,0))</f>
        <v/>
      </c>
      <c r="BL286" s="152" t="inlineStr">
        <is>
          <t>assumed - no rater record</t>
        </is>
      </c>
      <c r="BM286" s="152" t="n">
        <v>1</v>
      </c>
      <c r="BN286" s="152" t="inlineStr">
        <is>
          <t>The Motley Fool</t>
        </is>
      </c>
      <c r="BO286" s="152" t="inlineStr">
        <is>
          <t>free to read, copyright asserted</t>
        </is>
      </c>
      <c r="BP286" s="152" t="inlineStr">
        <is>
          <t>no</t>
        </is>
      </c>
      <c r="BQ286" s="152" t="inlineStr">
        <is>
          <t>no</t>
        </is>
      </c>
      <c r="BR286" s="152" t="n"/>
      <c r="BS286" s="152" t="inlineStr">
        <is>
          <t>YES</t>
        </is>
      </c>
      <c r="BT286" s="152" t="n"/>
    </row>
    <row r="287" ht="15" customHeight="1" s="241">
      <c r="A287" s="192" t="inlineStr">
        <is>
          <t>Shopify</t>
        </is>
      </c>
      <c r="B287" s="188">
        <f>IF(A287="","",_xlfn.XLOOKUP(A287, Company_List!$A:$A, Company_List!$B:$B, ""))</f>
        <v/>
      </c>
      <c r="C287" s="177" t="n">
        <v>2025</v>
      </c>
      <c r="D287" s="177" t="inlineStr">
        <is>
          <t>Q3</t>
        </is>
      </c>
      <c r="E287" s="178" t="inlineStr">
        <is>
          <t>All</t>
        </is>
      </c>
      <c r="F287" s="178" t="inlineStr">
        <is>
          <t>All</t>
        </is>
      </c>
      <c r="G287" s="177" t="inlineStr">
        <is>
          <t>Meriem</t>
        </is>
      </c>
      <c r="H287" s="177" t="inlineStr">
        <is>
          <t>Human</t>
        </is>
      </c>
      <c r="I287" s="180" t="n">
        <v>0.4</v>
      </c>
      <c r="J287" s="180">
        <f>IF(OR(I287="",Settings!$B$6=""),"",IF(I287&gt;Settings!$B$6,"BUY",IF(I287&lt;-Settings!$B$6,"SELL","HOLD")))</f>
        <v/>
      </c>
      <c r="K287" s="180" t="n">
        <v>45</v>
      </c>
      <c r="L287" s="182" t="n">
        <v>45965</v>
      </c>
      <c r="M287" s="182" t="n">
        <v>45964</v>
      </c>
      <c r="N287" s="179" t="n">
        <v>172.94</v>
      </c>
      <c r="O287" s="182" t="n">
        <v>45965</v>
      </c>
      <c r="P287" s="180" t="n">
        <v>163.065</v>
      </c>
      <c r="Q287" s="184">
        <f>IF(OR(N287="",P287=""),"",ROUND((P287-N287)/N287,4))</f>
        <v/>
      </c>
      <c r="R287" s="177">
        <f>IF(OR(N287="",P287=""),"",IF(Q287&gt;Settings!$B$3/100,"UP",IF(Q287&lt;-Settings!$B$3/100,"DOWN","FLAT")))</f>
        <v/>
      </c>
      <c r="S287" s="177">
        <f>IF(OR(N287="",P287="",J287=""),"",IF(OR(AND(J287="BUY",R287="UP"),AND(J287="SELL",R287="DOWN"),AND(J287="HOLD",R287="FLAT")),"YES","NO"))</f>
        <v/>
      </c>
      <c r="T287" s="176">
        <f>IF(J287="","",IF(J287="BUY",1,IF(J287="SELL",-1,0)))</f>
        <v/>
      </c>
      <c r="U287" s="184">
        <f>IFERROR(IF(OR(J287="",N287="",P287=""),"",IF(T287=0,0,T287*Q287-Settings!$B$4/10000-IF(T287&lt;0,Settings!$B$5/10000,0))),"")</f>
        <v/>
      </c>
      <c r="V287" s="190" t="inlineStr">
        <is>
          <t>Solid financial results and major customer wins offset lower gross margins and a more moderate growth outlook, supporting a BUY.</t>
        </is>
      </c>
      <c r="W287" s="176">
        <f>IF($K287="","",$K287*60)</f>
        <v/>
      </c>
      <c r="X287" s="186">
        <f>IF($A287="","",$A287&amp;"|"&amp;$C287&amp;"|"&amp;$D287)</f>
        <v/>
      </c>
      <c r="Y287" s="186">
        <f>IFERROR(IF($X287="","",INDEX(LLM_Data_Entry!$H$3:$H$548,MATCH($X287,INDEX(LLM_Data_Entry!$A$3:$A$548&amp;"|"&amp;LLM_Data_Entry!$C$3:$C$548&amp;"|"&amp;LLM_Data_Entry!$D$3:$D$548,0),0))),"")</f>
        <v/>
      </c>
      <c r="Z287" s="186">
        <f>IFERROR(IF($X287="","",INDEX(LLM_Data_Entry!$R$3:$R$548,MATCH($X287,INDEX(LLM_Data_Entry!$A$3:$A$548&amp;"|"&amp;LLM_Data_Entry!$C$3:$C$548&amp;"|"&amp;LLM_Data_Entry!$D$3:$D$548,0),0))),"")</f>
        <v/>
      </c>
      <c r="AA287" s="152" t="n"/>
      <c r="AB287" s="152" t="inlineStr">
        <is>
          <t>release date + stated time</t>
        </is>
      </c>
      <c r="AC287" s="152" t="inlineStr">
        <is>
          <t>SHOP</t>
        </is>
      </c>
      <c r="AD287" s="152" t="inlineStr">
        <is>
          <t>2025-11-03</t>
        </is>
      </c>
      <c r="AE287" s="152" t="n">
        <v>172.94</v>
      </c>
      <c r="AF287" s="152" t="inlineStr">
        <is>
          <t>2025-11-04</t>
        </is>
      </c>
      <c r="AG287" s="152" t="n">
        <v>163.065</v>
      </c>
      <c r="AH287" s="152" t="n">
        <v>-0.05710072791603183</v>
      </c>
      <c r="AI287" s="152" t="inlineStr">
        <is>
          <t>DOWN</t>
        </is>
      </c>
      <c r="AJ287" s="152" t="inlineStr">
        <is>
          <t>NO</t>
        </is>
      </c>
      <c r="AK287" s="152" t="n">
        <v>-0.058101</v>
      </c>
      <c r="AL287" s="152">
        <f>IF($A287="","",IFERROR(INDEX(Company_List!$G$3:$G$207,MATCH($A287,Company_List!$A$3:$A$207,0)),"unassigned"))</f>
        <v/>
      </c>
      <c r="AM287" s="152" t="inlineStr">
        <is>
          <t>Phase 3/Readings/Shopify/Q3 25/Website-Financials-Q3-2025.pdf; Phase 3/Readings/Shopify/Q3 25/Q3-2025-Press-Release.pdf; Phase 3/Readings/Shopify/Q3 25/Q3 2025 Press Release.pdf</t>
        </is>
      </c>
      <c r="AN287" s="152" t="n"/>
      <c r="AO287" s="152" t="inlineStr">
        <is>
          <t>whole bundle (Document = All)</t>
        </is>
      </c>
      <c r="AP287" s="152">
        <f>IF($A287="","",IF(COUNTIFS(LLM_Data_Entry!$A$3:$A$548,$A287)&gt;0,"YES","NO"))</f>
        <v/>
      </c>
      <c r="AQ287" s="152">
        <f>IF($A287="","",IF(COUNTIFS($A$3:$A287,$A287,$C$3:$C287,$C287,$D$3:$D287,$D287)=1,"YES","NO"))</f>
        <v/>
      </c>
      <c r="AR287" s="152">
        <f>IF($A287="","",IF(AND($C287&amp;"-"&amp;$D287&gt;=Settings!$B$19,$C287&amp;"-"&amp;$D287&lt;=Settings!$B$20),"IN","OUT"))</f>
        <v/>
      </c>
      <c r="AS287" s="152">
        <f>IF($A287="","",IF($F287="Financial Results","financials",IF($F287="Outlook/Guidance","guidance",IF($F287="Transcript Q&amp;A","qanda",IF($F287="","unrecorded",IF($E287="All","full",IF($E287="","unrecorded",LOWER($E287)&amp;" only")))))))</f>
        <v/>
      </c>
      <c r="AT287" s="152">
        <f>IF(AND(OR($J287="BUY",$J287="SELL"),ISNUMBER($U287)),$U287,"")</f>
        <v/>
      </c>
      <c r="AU287" s="152">
        <f>IF(AND(OR($J287="BUY",$J287="SELL"),ISNUMBER($AK287)),$AK287,"")</f>
        <v/>
      </c>
      <c r="AV287" s="152">
        <f>IF(ISNUMBER($AT287),ABS(IF(ISNUMBER($I287),$I287,0)-Settings!$B$24),"")</f>
        <v/>
      </c>
      <c r="AW287" s="152">
        <f>IF(ISNUMBER($AV287),$AV287*$AT287,"")</f>
        <v/>
      </c>
      <c r="AX287" s="152">
        <f>IF(ISNUMBER($AU287),ABS(IF(ISNUMBER($I287),$I287,0)-Settings!$B$24),"")</f>
        <v/>
      </c>
      <c r="AY287" s="152" t="inlineStr">
        <is>
          <t>EXTENSION</t>
        </is>
      </c>
      <c r="AZ287" s="152">
        <f>IF($A287="","",IFERROR(INDEX(Company_List!$H$3:$H$207,MATCH($A287,Company_List!$A$3:$A$207,0)),"unassigned"))</f>
        <v/>
      </c>
      <c r="BA287" s="152" t="n"/>
      <c r="BB287" s="152" t="n"/>
      <c r="BC287" s="152">
        <f>IF($A287="","",IF(COUNTIFS($A$3:$A287,$A287,$C$3:$C287,$C287,$D$3:$D287,$D287,$G$3:$G287,$G287)=1,1,0))</f>
        <v/>
      </c>
      <c r="BD287" s="152" t="n"/>
      <c r="BE287" s="152" t="n"/>
      <c r="BF287" s="152" t="n"/>
      <c r="BG287" s="152" t="inlineStr">
        <is>
          <t>no</t>
        </is>
      </c>
      <c r="BH287" s="152" t="n"/>
      <c r="BI287" s="152" t="n"/>
      <c r="BJ287" s="152" t="n"/>
      <c r="BK287" s="152">
        <f>IF(OR($H287&lt;&gt;"Human",$S287="",$J287="",$Y287="",$Z287=""),"",IF(EXACT(UPPER($J287),UPPER($Y287)),1,0))</f>
        <v/>
      </c>
      <c r="BL287" s="152" t="inlineStr">
        <is>
          <t>assumed - no rater record</t>
        </is>
      </c>
      <c r="BM287" s="152" t="n">
        <v>3</v>
      </c>
      <c r="BN287" s="152" t="inlineStr">
        <is>
          <t>not publisher-identified</t>
        </is>
      </c>
      <c r="BO287" s="152" t="inlineStr">
        <is>
          <t>not publisher-identified</t>
        </is>
      </c>
      <c r="BP287" s="152" t="inlineStr">
        <is>
          <t>no</t>
        </is>
      </c>
      <c r="BQ287" s="152" t="inlineStr">
        <is>
          <t>no</t>
        </is>
      </c>
      <c r="BR287" s="152" t="n"/>
      <c r="BS287" s="152" t="inlineStr">
        <is>
          <t>YES</t>
        </is>
      </c>
      <c r="BT287" s="152" t="n"/>
    </row>
    <row r="288" ht="15" customHeight="1" s="241">
      <c r="A288" s="192" t="inlineStr">
        <is>
          <t>Shopify</t>
        </is>
      </c>
      <c r="B288" s="188">
        <f>IF(A288="","",_xlfn.XLOOKUP(A288, Company_List!$A:$A, Company_List!$B:$B, ""))</f>
        <v/>
      </c>
      <c r="C288" s="177" t="n">
        <v>2025</v>
      </c>
      <c r="D288" s="177" t="inlineStr">
        <is>
          <t>Q4</t>
        </is>
      </c>
      <c r="E288" s="178" t="inlineStr">
        <is>
          <t>All</t>
        </is>
      </c>
      <c r="F288" s="178" t="inlineStr">
        <is>
          <t>All</t>
        </is>
      </c>
      <c r="G288" s="177" t="inlineStr">
        <is>
          <t>Meriem</t>
        </is>
      </c>
      <c r="H288" s="177" t="inlineStr">
        <is>
          <t>Human</t>
        </is>
      </c>
      <c r="I288" s="180" t="n">
        <v>0.5</v>
      </c>
      <c r="J288" s="180">
        <f>IF(OR(I288="",Settings!$B$6=""),"",IF(I288&gt;Settings!$B$6,"BUY",IF(I288&lt;-Settings!$B$6,"SELL","HOLD")))</f>
        <v/>
      </c>
      <c r="K288" s="180" t="n">
        <v>43</v>
      </c>
      <c r="L288" s="182" t="n">
        <v>46064</v>
      </c>
      <c r="M288" s="182" t="n">
        <v>46063</v>
      </c>
      <c r="N288" s="179" t="n">
        <v>127.24</v>
      </c>
      <c r="O288" s="182" t="n">
        <v>46064</v>
      </c>
      <c r="P288" s="180" t="n">
        <v>138.9</v>
      </c>
      <c r="Q288" s="184">
        <f>IF(OR(N288="",P288=""),"",ROUND((P288-N288)/N288,4))</f>
        <v/>
      </c>
      <c r="R288" s="177">
        <f>IF(OR(N288="",P288=""),"",IF(Q288&gt;Settings!$B$3/100,"UP",IF(Q288&lt;-Settings!$B$3/100,"DOWN","FLAT")))</f>
        <v/>
      </c>
      <c r="S288" s="177">
        <f>IF(OR(N288="",P288="",J288=""),"",IF(OR(AND(J288="BUY",R288="UP"),AND(J288="SELL",R288="DOWN"),AND(J288="HOLD",R288="FLAT")),"YES","NO"))</f>
        <v/>
      </c>
      <c r="T288" s="176">
        <f>IF(J288="","",IF(J288="BUY",1,IF(J288="SELL",-1,0)))</f>
        <v/>
      </c>
      <c r="U288" s="184">
        <f>IFERROR(IF(OR(J288="",N288="",P288=""),"",IF(T288=0,0,T288*Q288-Settings!$B$4/10000-IF(T288&lt;0,Settings!$B$5/10000,0))),"")</f>
        <v/>
      </c>
      <c r="V288" s="190" t="inlineStr">
        <is>
          <t>Excellent financial performance, international expansion, and optimistic guidance outweighed a slight decline in free cash flow margin, leading to a BUY.</t>
        </is>
      </c>
      <c r="W288" s="176">
        <f>IF($K288="","",$K288*60)</f>
        <v/>
      </c>
      <c r="X288" s="186">
        <f>IF($A288="","",$A288&amp;"|"&amp;$C288&amp;"|"&amp;$D288)</f>
        <v/>
      </c>
      <c r="Y288" s="186">
        <f>IFERROR(IF($X288="","",INDEX(LLM_Data_Entry!$H$3:$H$548,MATCH($X288,INDEX(LLM_Data_Entry!$A$3:$A$548&amp;"|"&amp;LLM_Data_Entry!$C$3:$C$548&amp;"|"&amp;LLM_Data_Entry!$D$3:$D$548,0),0))),"")</f>
        <v/>
      </c>
      <c r="Z288" s="186">
        <f>IFERROR(IF($X288="","",INDEX(LLM_Data_Entry!$R$3:$R$548,MATCH($X288,INDEX(LLM_Data_Entry!$A$3:$A$548&amp;"|"&amp;LLM_Data_Entry!$C$3:$C$548&amp;"|"&amp;LLM_Data_Entry!$D$3:$D$548,0),0))),"")</f>
        <v/>
      </c>
      <c r="AA288" s="152" t="n"/>
      <c r="AB288" s="152" t="inlineStr">
        <is>
          <t>release date + stated time</t>
        </is>
      </c>
      <c r="AC288" s="152" t="inlineStr">
        <is>
          <t>SHOP</t>
        </is>
      </c>
      <c r="AD288" s="152" t="inlineStr">
        <is>
          <t>2026-02-10</t>
        </is>
      </c>
      <c r="AE288" s="152" t="n">
        <v>127.24</v>
      </c>
      <c r="AF288" s="152" t="inlineStr">
        <is>
          <t>2026-02-11</t>
        </is>
      </c>
      <c r="AG288" s="152" t="n">
        <v>138.9</v>
      </c>
      <c r="AH288" s="152" t="n">
        <v>0.0916378197365265</v>
      </c>
      <c r="AI288" s="152" t="inlineStr">
        <is>
          <t>UP</t>
        </is>
      </c>
      <c r="AJ288" s="152" t="inlineStr">
        <is>
          <t>YES</t>
        </is>
      </c>
      <c r="AK288" s="152" t="n">
        <v>0.090638</v>
      </c>
      <c r="AL288" s="152">
        <f>IF($A288="","",IFERROR(INDEX(Company_List!$G$3:$G$207,MATCH($A288,Company_List!$A$3:$A$207,0)),"unassigned"))</f>
        <v/>
      </c>
      <c r="AM288" s="152" t="inlineStr">
        <is>
          <t>Phase 3/Readings/Shopify/Q4 25/Website-Financials-Q4-2025.pdf; Phase 3/Readings/Shopify/Q4 25/Shopify (SHOP) Q4 2025 Earnings Call Transcript.pdf</t>
        </is>
      </c>
      <c r="AN288" s="152" t="n"/>
      <c r="AO288" s="152" t="inlineStr">
        <is>
          <t>whole bundle (Document = All)</t>
        </is>
      </c>
      <c r="AP288" s="152">
        <f>IF($A288="","",IF(COUNTIFS(LLM_Data_Entry!$A$3:$A$548,$A288)&gt;0,"YES","NO"))</f>
        <v/>
      </c>
      <c r="AQ288" s="152">
        <f>IF($A288="","",IF(COUNTIFS($A$3:$A288,$A288,$C$3:$C288,$C288,$D$3:$D288,$D288)=1,"YES","NO"))</f>
        <v/>
      </c>
      <c r="AR288" s="152">
        <f>IF($A288="","",IF(AND($C288&amp;"-"&amp;$D288&gt;=Settings!$B$19,$C288&amp;"-"&amp;$D288&lt;=Settings!$B$20),"IN","OUT"))</f>
        <v/>
      </c>
      <c r="AS288" s="152">
        <f>IF($A288="","",IF($F288="Financial Results","financials",IF($F288="Outlook/Guidance","guidance",IF($F288="Transcript Q&amp;A","qanda",IF($F288="","unrecorded",IF($E288="All","full",IF($E288="","unrecorded",LOWER($E288)&amp;" only")))))))</f>
        <v/>
      </c>
      <c r="AT288" s="152">
        <f>IF(AND(OR($J288="BUY",$J288="SELL"),ISNUMBER($U288)),$U288,"")</f>
        <v/>
      </c>
      <c r="AU288" s="152">
        <f>IF(AND(OR($J288="BUY",$J288="SELL"),ISNUMBER($AK288)),$AK288,"")</f>
        <v/>
      </c>
      <c r="AV288" s="152">
        <f>IF(ISNUMBER($AT288),ABS(IF(ISNUMBER($I288),$I288,0)-Settings!$B$24),"")</f>
        <v/>
      </c>
      <c r="AW288" s="152">
        <f>IF(ISNUMBER($AV288),$AV288*$AT288,"")</f>
        <v/>
      </c>
      <c r="AX288" s="152">
        <f>IF(ISNUMBER($AU288),ABS(IF(ISNUMBER($I288),$I288,0)-Settings!$B$24),"")</f>
        <v/>
      </c>
      <c r="AY288" s="152" t="inlineStr">
        <is>
          <t>EXTENSION</t>
        </is>
      </c>
      <c r="AZ288" s="152">
        <f>IF($A288="","",IFERROR(INDEX(Company_List!$H$3:$H$207,MATCH($A288,Company_List!$A$3:$A$207,0)),"unassigned"))</f>
        <v/>
      </c>
      <c r="BA288" s="152" t="n"/>
      <c r="BB288" s="152" t="n"/>
      <c r="BC288" s="152">
        <f>IF($A288="","",IF(COUNTIFS($A$3:$A288,$A288,$C$3:$C288,$C288,$D$3:$D288,$D288,$G$3:$G288,$G288)=1,1,0))</f>
        <v/>
      </c>
      <c r="BD288" s="152" t="n"/>
      <c r="BE288" s="152" t="n"/>
      <c r="BF288" s="152" t="n"/>
      <c r="BG288" s="152" t="inlineStr">
        <is>
          <t>no</t>
        </is>
      </c>
      <c r="BH288" s="152" t="n"/>
      <c r="BI288" s="152" t="n"/>
      <c r="BJ288" s="152" t="n"/>
      <c r="BK288" s="152">
        <f>IF(OR($H288&lt;&gt;"Human",$S288="",$J288="",$Y288="",$Z288=""),"",IF(EXACT(UPPER($J288),UPPER($Y288)),1,0))</f>
        <v/>
      </c>
      <c r="BL288" s="152" t="inlineStr">
        <is>
          <t>assumed - no rater record</t>
        </is>
      </c>
      <c r="BM288" s="152" t="n">
        <v>2</v>
      </c>
      <c r="BN288" s="152" t="inlineStr">
        <is>
          <t>The Motley Fool</t>
        </is>
      </c>
      <c r="BO288" s="152" t="inlineStr">
        <is>
          <t>free to read, copyright asserted</t>
        </is>
      </c>
      <c r="BP288" s="152" t="inlineStr">
        <is>
          <t>no</t>
        </is>
      </c>
      <c r="BQ288" s="152" t="inlineStr">
        <is>
          <t>no</t>
        </is>
      </c>
      <c r="BR288" s="152" t="n"/>
      <c r="BS288" s="152" t="inlineStr">
        <is>
          <t>YES</t>
        </is>
      </c>
      <c r="BT288" s="152" t="n"/>
    </row>
    <row r="289" ht="15" customHeight="1" s="241">
      <c r="A289" s="192" t="inlineStr">
        <is>
          <t>Shopify</t>
        </is>
      </c>
      <c r="B289" s="188">
        <f>IF(A289="","",_xlfn.XLOOKUP(A289, Company_List!$A:$A, Company_List!$B:$B, ""))</f>
        <v/>
      </c>
      <c r="C289" s="177" t="n">
        <v>2026</v>
      </c>
      <c r="D289" s="177" t="inlineStr">
        <is>
          <t>Q1</t>
        </is>
      </c>
      <c r="E289" s="178" t="inlineStr">
        <is>
          <t>All</t>
        </is>
      </c>
      <c r="F289" s="178" t="inlineStr">
        <is>
          <t>All</t>
        </is>
      </c>
      <c r="G289" s="177" t="inlineStr">
        <is>
          <t>Meriem</t>
        </is>
      </c>
      <c r="H289" s="177" t="inlineStr">
        <is>
          <t>Human</t>
        </is>
      </c>
      <c r="I289" s="180" t="n">
        <v>0.5</v>
      </c>
      <c r="J289" s="180">
        <f>IF(OR(I289="",Settings!$B$6=""),"",IF(I289&gt;Settings!$B$6,"BUY",IF(I289&lt;-Settings!$B$6,"SELL","HOLD")))</f>
        <v/>
      </c>
      <c r="K289" s="180" t="n">
        <v>50</v>
      </c>
      <c r="L289" s="182" t="n">
        <v>46147</v>
      </c>
      <c r="M289" s="182" t="n">
        <v>46146</v>
      </c>
      <c r="N289" s="179" t="n">
        <v>127.55</v>
      </c>
      <c r="O289" s="182" t="n">
        <v>46147</v>
      </c>
      <c r="P289" s="180" t="n">
        <v>116.05</v>
      </c>
      <c r="Q289" s="184">
        <f>IF(OR(N289="",P289=""),"",ROUND((P289-N289)/N289,4))</f>
        <v/>
      </c>
      <c r="R289" s="177">
        <f>IF(OR(N289="",P289=""),"",IF(Q289&gt;Settings!$B$3/100,"UP",IF(Q289&lt;-Settings!$B$3/100,"DOWN","FLAT")))</f>
        <v/>
      </c>
      <c r="S289" s="177">
        <f>IF(OR(N289="",P289="",J289=""),"",IF(OR(AND(J289="BUY",R289="UP"),AND(J289="SELL",R289="DOWN"),AND(J289="HOLD",R289="FLAT")),"YES","NO"))</f>
        <v/>
      </c>
      <c r="T289" s="176">
        <f>IF(J289="","",IF(J289="BUY",1,IF(J289="SELL",-1,0)))</f>
        <v/>
      </c>
      <c r="U289" s="184">
        <f>IFERROR(IF(OR(J289="",N289="",P289=""),"",IF(T289=0,0,T289*Q289-Settings!$B$4/10000-IF(T289&lt;0,Settings!$B$5/10000,0))),"")</f>
        <v/>
      </c>
      <c r="V289" s="190" t="inlineStr">
        <is>
          <t>Strong revenue growth, expanding cash generation, and accelerating AI adoption supported a confident outlook and justified a BUY decision</t>
        </is>
      </c>
      <c r="W289" s="176">
        <f>IF($K289="","",$K289*60)</f>
        <v/>
      </c>
      <c r="X289" s="186">
        <f>IF($A289="","",$A289&amp;"|"&amp;$C289&amp;"|"&amp;$D289)</f>
        <v/>
      </c>
      <c r="Y289" s="186">
        <f>IFERROR(IF($X289="","",INDEX(LLM_Data_Entry!$H$3:$H$548,MATCH($X289,INDEX(LLM_Data_Entry!$A$3:$A$548&amp;"|"&amp;LLM_Data_Entry!$C$3:$C$548&amp;"|"&amp;LLM_Data_Entry!$D$3:$D$548,0),0))),"")</f>
        <v/>
      </c>
      <c r="Z289" s="186">
        <f>IFERROR(IF($X289="","",INDEX(LLM_Data_Entry!$R$3:$R$548,MATCH($X289,INDEX(LLM_Data_Entry!$A$3:$A$548&amp;"|"&amp;LLM_Data_Entry!$C$3:$C$548&amp;"|"&amp;LLM_Data_Entry!$D$3:$D$548,0),0))),"")</f>
        <v/>
      </c>
      <c r="AA289" s="152" t="n"/>
      <c r="AB289" s="152" t="inlineStr">
        <is>
          <t>release date + stated time</t>
        </is>
      </c>
      <c r="AC289" s="152" t="inlineStr">
        <is>
          <t>SHOP</t>
        </is>
      </c>
      <c r="AD289" s="152" t="inlineStr">
        <is>
          <t>2026-05-04</t>
        </is>
      </c>
      <c r="AE289" s="152" t="n">
        <v>127.55</v>
      </c>
      <c r="AF289" s="152" t="inlineStr">
        <is>
          <t>2026-05-05</t>
        </is>
      </c>
      <c r="AG289" s="152" t="n">
        <v>116.05</v>
      </c>
      <c r="AH289" s="152" t="n">
        <v>-0.09016071916517321</v>
      </c>
      <c r="AI289" s="152" t="inlineStr">
        <is>
          <t>DOWN</t>
        </is>
      </c>
      <c r="AJ289" s="152" t="inlineStr">
        <is>
          <t>NO</t>
        </is>
      </c>
      <c r="AK289" s="152" t="n">
        <v>-0.09116100000000001</v>
      </c>
      <c r="AL289" s="152">
        <f>IF($A289="","",IFERROR(INDEX(Company_List!$G$3:$G$207,MATCH($A289,Company_List!$A$3:$A$207,0)),"unassigned"))</f>
        <v/>
      </c>
      <c r="AM289" s="152" t="inlineStr">
        <is>
          <t>Phase 3/Readings/Shopify/Q1 26/Shopify (SHOP) Q1 2026 Earnings Transcript.pdf</t>
        </is>
      </c>
      <c r="AN289" s="152" t="n"/>
      <c r="AO289" s="152" t="inlineStr">
        <is>
          <t>unique filename match</t>
        </is>
      </c>
      <c r="AP289" s="152">
        <f>IF($A289="","",IF(COUNTIFS(LLM_Data_Entry!$A$3:$A$548,$A289)&gt;0,"YES","NO"))</f>
        <v/>
      </c>
      <c r="AQ289" s="152">
        <f>IF($A289="","",IF(COUNTIFS($A$3:$A289,$A289,$C$3:$C289,$C289,$D$3:$D289,$D289)=1,"YES","NO"))</f>
        <v/>
      </c>
      <c r="AR289" s="152">
        <f>IF($A289="","",IF(AND($C289&amp;"-"&amp;$D289&gt;=Settings!$B$19,$C289&amp;"-"&amp;$D289&lt;=Settings!$B$20),"IN","OUT"))</f>
        <v/>
      </c>
      <c r="AS289" s="152">
        <f>IF($A289="","",IF($F289="Financial Results","financials",IF($F289="Outlook/Guidance","guidance",IF($F289="Transcript Q&amp;A","qanda",IF($F289="","unrecorded",IF($E289="All","full",IF($E289="","unrecorded",LOWER($E289)&amp;" only")))))))</f>
        <v/>
      </c>
      <c r="AT289" s="152">
        <f>IF(AND(OR($J289="BUY",$J289="SELL"),ISNUMBER($U289)),$U289,"")</f>
        <v/>
      </c>
      <c r="AU289" s="152">
        <f>IF(AND(OR($J289="BUY",$J289="SELL"),ISNUMBER($AK289)),$AK289,"")</f>
        <v/>
      </c>
      <c r="AV289" s="152">
        <f>IF(ISNUMBER($AT289),ABS(IF(ISNUMBER($I289),$I289,0)-Settings!$B$24),"")</f>
        <v/>
      </c>
      <c r="AW289" s="152">
        <f>IF(ISNUMBER($AV289),$AV289*$AT289,"")</f>
        <v/>
      </c>
      <c r="AX289" s="152">
        <f>IF(ISNUMBER($AU289),ABS(IF(ISNUMBER($I289),$I289,0)-Settings!$B$24),"")</f>
        <v/>
      </c>
      <c r="AY289" s="152" t="inlineStr">
        <is>
          <t>EXTENSION</t>
        </is>
      </c>
      <c r="AZ289" s="152">
        <f>IF($A289="","",IFERROR(INDEX(Company_List!$H$3:$H$207,MATCH($A289,Company_List!$A$3:$A$207,0)),"unassigned"))</f>
        <v/>
      </c>
      <c r="BA289" s="152" t="n"/>
      <c r="BB289" s="152" t="n"/>
      <c r="BC289" s="152">
        <f>IF($A289="","",IF(COUNTIFS($A$3:$A289,$A289,$C$3:$C289,$C289,$D$3:$D289,$D289,$G$3:$G289,$G289)=1,1,0))</f>
        <v/>
      </c>
      <c r="BD289" s="152" t="n"/>
      <c r="BE289" s="152" t="n"/>
      <c r="BF289" s="152" t="n"/>
      <c r="BG289" s="152" t="inlineStr">
        <is>
          <t>no</t>
        </is>
      </c>
      <c r="BH289" s="152" t="n"/>
      <c r="BI289" s="152" t="n"/>
      <c r="BJ289" s="152" t="n"/>
      <c r="BK289" s="152">
        <f>IF(OR($H289&lt;&gt;"Human",$S289="",$J289="",$Y289="",$Z289=""),"",IF(EXACT(UPPER($J289),UPPER($Y289)),1,0))</f>
        <v/>
      </c>
      <c r="BL289" s="152" t="inlineStr">
        <is>
          <t>assumed - no rater record</t>
        </is>
      </c>
      <c r="BM289" s="152" t="n">
        <v>1</v>
      </c>
      <c r="BN289" s="152" t="inlineStr">
        <is>
          <t>The Motley Fool</t>
        </is>
      </c>
      <c r="BO289" s="152" t="inlineStr">
        <is>
          <t>free to read, copyright asserted</t>
        </is>
      </c>
      <c r="BP289" s="152" t="inlineStr">
        <is>
          <t>no</t>
        </is>
      </c>
      <c r="BQ289" s="152" t="inlineStr">
        <is>
          <t>no</t>
        </is>
      </c>
      <c r="BR289" s="152" t="n"/>
      <c r="BS289" s="152" t="inlineStr">
        <is>
          <t>YES</t>
        </is>
      </c>
      <c r="BT289" s="152" t="n"/>
    </row>
    <row r="290" ht="15" customHeight="1" s="241">
      <c r="A290" s="192" t="inlineStr">
        <is>
          <t>Sony</t>
        </is>
      </c>
      <c r="B290" s="188">
        <f>IF(A290="","",_xlfn.XLOOKUP(A290, Company_List!$A:$A, Company_List!$B:$B, ""))</f>
        <v/>
      </c>
      <c r="C290" s="177" t="n">
        <v>2025</v>
      </c>
      <c r="D290" s="177" t="inlineStr">
        <is>
          <t>Q2</t>
        </is>
      </c>
      <c r="E290" s="178" t="inlineStr">
        <is>
          <t>All</t>
        </is>
      </c>
      <c r="F290" s="178" t="inlineStr">
        <is>
          <t>All</t>
        </is>
      </c>
      <c r="G290" s="177" t="inlineStr">
        <is>
          <t>Meriem</t>
        </is>
      </c>
      <c r="H290" s="177" t="inlineStr">
        <is>
          <t>Human</t>
        </is>
      </c>
      <c r="I290" s="180" t="n">
        <v>0.1</v>
      </c>
      <c r="J290" s="180">
        <f>IF(OR(I290="",Settings!$B$6=""),"",IF(I290&gt;Settings!$B$6,"BUY",IF(I290&lt;-Settings!$B$6,"SELL","HOLD")))</f>
        <v/>
      </c>
      <c r="K290" s="180" t="n">
        <v>37</v>
      </c>
      <c r="L290" s="182" t="n">
        <v>45972</v>
      </c>
      <c r="M290" s="182" t="n">
        <v>45972</v>
      </c>
      <c r="N290" s="179" t="n">
        <v>4502.3936</v>
      </c>
      <c r="O290" s="182" t="n">
        <v>45973</v>
      </c>
      <c r="P290" s="180" t="n">
        <v>4625.9102</v>
      </c>
      <c r="Q290" s="184">
        <f>IF(OR(N290="",P290=""),"",ROUND((P290-N290)/N290,4))</f>
        <v/>
      </c>
      <c r="R290" s="177">
        <f>IF(OR(N290="",P290=""),"",IF(Q290&gt;Settings!$B$3/100,"UP",IF(Q290&lt;-Settings!$B$3/100,"DOWN","FLAT")))</f>
        <v/>
      </c>
      <c r="S290" s="177">
        <f>IF(OR(N290="",P290="",J290=""),"",IF(OR(AND(J290="BUY",R290="UP"),AND(J290="SELL",R290="DOWN"),AND(J290="HOLD",R290="FLAT")),"YES","NO"))</f>
        <v/>
      </c>
      <c r="T290" s="176">
        <f>IF(J290="","",IF(J290="BUY",1,IF(J290="SELL",-1,0)))</f>
        <v/>
      </c>
      <c r="U290" s="184">
        <f>IFERROR(IF(OR(J290="",N290="",P290=""),"",IF(T290=0,0,T290*Q290-Settings!$B$4/10000-IF(T290&lt;0,Settings!$B$5/10000,0))),"")</f>
        <v/>
      </c>
      <c r="V290" s="190" t="inlineStr">
        <is>
          <t>Improving sales were balanced by weaker forecasts, supply chain risks and tariff uncertainty, resulting in a cautious HOLD.</t>
        </is>
      </c>
      <c r="W290" s="176">
        <f>IF($K290="","",$K290*60)</f>
        <v/>
      </c>
      <c r="X290" s="186">
        <f>IF($A290="","",$A290&amp;"|"&amp;$C290&amp;"|"&amp;$D290)</f>
        <v/>
      </c>
      <c r="Y290" s="186">
        <f>IFERROR(IF($X290="","",INDEX(LLM_Data_Entry!$H$3:$H$548,MATCH($X290,INDEX(LLM_Data_Entry!$A$3:$A$548&amp;"|"&amp;LLM_Data_Entry!$C$3:$C$548&amp;"|"&amp;LLM_Data_Entry!$D$3:$D$548,0),0))),"")</f>
        <v/>
      </c>
      <c r="Z290" s="186">
        <f>IFERROR(IF($X290="","",INDEX(LLM_Data_Entry!$R$3:$R$548,MATCH($X290,INDEX(LLM_Data_Entry!$A$3:$A$548&amp;"|"&amp;LLM_Data_Entry!$C$3:$C$548&amp;"|"&amp;LLM_Data_Entry!$D$3:$D$548,0),0))),"")</f>
        <v/>
      </c>
      <c r="AA290" s="152" t="n"/>
      <c r="AB290" s="152" t="inlineStr">
        <is>
          <t>repriced on the issuer's primary listing</t>
        </is>
      </c>
      <c r="AC290" s="152" t="inlineStr">
        <is>
          <t>6758.T</t>
        </is>
      </c>
      <c r="AD290" s="152" t="inlineStr">
        <is>
          <t>2025-11-11</t>
        </is>
      </c>
      <c r="AE290" s="152" t="n">
        <v>4502.3936</v>
      </c>
      <c r="AF290" s="152" t="inlineStr">
        <is>
          <t>2025-11-12</t>
        </is>
      </c>
      <c r="AG290" s="152" t="n">
        <v>4625.9102</v>
      </c>
      <c r="AH290" s="152" t="n">
        <v>0.02743354806046784</v>
      </c>
      <c r="AI290" s="152" t="inlineStr">
        <is>
          <t>UP</t>
        </is>
      </c>
      <c r="AJ290" s="152" t="inlineStr">
        <is>
          <t>NO</t>
        </is>
      </c>
      <c r="AK290" s="152" t="n">
        <v>0</v>
      </c>
      <c r="AL290" s="152">
        <f>IF($A290="","",IFERROR(INDEX(Company_List!$G$3:$G$207,MATCH($A290,Company_List!$A$3:$A$207,0)),"unassigned"))</f>
        <v/>
      </c>
      <c r="AM290" s="152" t="inlineStr">
        <is>
          <t>Phase 3/Readings/Sony/2025-Q2/SONY-2025-Q2-results-SEC-6-K.htm</t>
        </is>
      </c>
      <c r="AN290" s="152" t="inlineStr">
        <is>
          <t>https://www.sec.gov/Archives/edgar/data/313838/000110465925109537/tm2530473d2_6k.htm</t>
        </is>
      </c>
      <c r="AO290" s="152" t="inlineStr">
        <is>
          <t>manifest</t>
        </is>
      </c>
      <c r="AP290" s="152">
        <f>IF($A290="","",IF(COUNTIFS(LLM_Data_Entry!$A$3:$A$548,$A290)&gt;0,"YES","NO"))</f>
        <v/>
      </c>
      <c r="AQ290" s="152">
        <f>IF($A290="","",IF(COUNTIFS($A$3:$A290,$A290,$C$3:$C290,$C290,$D$3:$D290,$D290)=1,"YES","NO"))</f>
        <v/>
      </c>
      <c r="AR290" s="152">
        <f>IF($A290="","",IF(AND($C290&amp;"-"&amp;$D290&gt;=Settings!$B$19,$C290&amp;"-"&amp;$D290&lt;=Settings!$B$20),"IN","OUT"))</f>
        <v/>
      </c>
      <c r="AS290" s="152">
        <f>IF($A290="","",IF($F290="Financial Results","financials",IF($F290="Outlook/Guidance","guidance",IF($F290="Transcript Q&amp;A","qanda",IF($F290="","unrecorded",IF($E290="All","full",IF($E290="","unrecorded",LOWER($E290)&amp;" only")))))))</f>
        <v/>
      </c>
      <c r="AT290" s="152">
        <f>IF(AND(OR($J290="BUY",$J290="SELL"),ISNUMBER($U290)),$U290,"")</f>
        <v/>
      </c>
      <c r="AU290" s="152">
        <f>IF(AND(OR($J290="BUY",$J290="SELL"),ISNUMBER($AK290)),$AK290,"")</f>
        <v/>
      </c>
      <c r="AV290" s="152">
        <f>IF(ISNUMBER($AT290),ABS(IF(ISNUMBER($I290),$I290,0)-Settings!$B$24),"")</f>
        <v/>
      </c>
      <c r="AW290" s="152">
        <f>IF(ISNUMBER($AV290),$AV290*$AT290,"")</f>
        <v/>
      </c>
      <c r="AX290" s="152">
        <f>IF(ISNUMBER($AU290),ABS(IF(ISNUMBER($I290),$I290,0)-Settings!$B$24),"")</f>
        <v/>
      </c>
      <c r="AY290" s="152" t="inlineStr">
        <is>
          <t>EXTENSION</t>
        </is>
      </c>
      <c r="AZ290" s="152">
        <f>IF($A290="","",IFERROR(INDEX(Company_List!$H$3:$H$207,MATCH($A290,Company_List!$A$3:$A$207,0)),"unassigned"))</f>
        <v/>
      </c>
      <c r="BA290" s="152" t="n"/>
      <c r="BB290" s="152" t="n"/>
      <c r="BC290" s="152">
        <f>IF($A290="","",IF(COUNTIFS($A$3:$A290,$A290,$C$3:$C290,$C290,$D$3:$D290,$D290,$G$3:$G290,$G290)=1,1,0))</f>
        <v/>
      </c>
      <c r="BD290" s="152" t="n"/>
      <c r="BE290" s="152" t="n"/>
      <c r="BF290" s="152" t="n"/>
      <c r="BG290" s="152" t="inlineStr">
        <is>
          <t>no</t>
        </is>
      </c>
      <c r="BH290" s="152" t="n"/>
      <c r="BI290" s="152" t="n"/>
      <c r="BJ290" s="152" t="n"/>
      <c r="BK290" s="152">
        <f>IF(OR($H290&lt;&gt;"Human",$S290="",$J290="",$Y290="",$Z290=""),"",IF(EXACT(UPPER($J290),UPPER($Y290)),1,0))</f>
        <v/>
      </c>
      <c r="BL290" s="152" t="inlineStr">
        <is>
          <t>assumed - no rater record</t>
        </is>
      </c>
      <c r="BM290" s="152" t="n">
        <v>1</v>
      </c>
      <c r="BN290" s="152" t="inlineStr">
        <is>
          <t>not publisher-identified</t>
        </is>
      </c>
      <c r="BO290" s="152" t="inlineStr">
        <is>
          <t>not publisher-identified</t>
        </is>
      </c>
      <c r="BP290" s="152" t="inlineStr">
        <is>
          <t>no</t>
        </is>
      </c>
      <c r="BQ290" s="152" t="inlineStr">
        <is>
          <t>yes</t>
        </is>
      </c>
      <c r="BR290" s="152" t="n"/>
      <c r="BS290" s="152" t="inlineStr">
        <is>
          <t>YES</t>
        </is>
      </c>
      <c r="BT290" s="152" t="n"/>
    </row>
    <row r="291" ht="15" customHeight="1" s="241">
      <c r="A291" s="192" t="inlineStr">
        <is>
          <t>Sony</t>
        </is>
      </c>
      <c r="B291" s="188">
        <f>IF(A291="","",_xlfn.XLOOKUP(A291, Company_List!$A:$A, Company_List!$B:$B, ""))</f>
        <v/>
      </c>
      <c r="C291" s="177" t="n">
        <v>2025</v>
      </c>
      <c r="D291" s="177" t="inlineStr">
        <is>
          <t>Q3</t>
        </is>
      </c>
      <c r="E291" s="178" t="inlineStr">
        <is>
          <t>All</t>
        </is>
      </c>
      <c r="F291" s="178" t="inlineStr">
        <is>
          <t>All</t>
        </is>
      </c>
      <c r="G291" s="177" t="inlineStr">
        <is>
          <t>Meriem</t>
        </is>
      </c>
      <c r="H291" s="177" t="inlineStr">
        <is>
          <t>Human</t>
        </is>
      </c>
      <c r="I291" s="180" t="n">
        <v>0.2</v>
      </c>
      <c r="J291" s="180">
        <f>IF(OR(I291="",Settings!$B$6=""),"",IF(I291&gt;Settings!$B$6,"BUY",IF(I291&lt;-Settings!$B$6,"SELL","HOLD")))</f>
        <v/>
      </c>
      <c r="K291" s="180" t="n">
        <v>30</v>
      </c>
      <c r="L291" s="182" t="n">
        <v>46058</v>
      </c>
      <c r="M291" s="182" t="n">
        <v>46058</v>
      </c>
      <c r="N291" s="179" t="n">
        <v>3334.9585</v>
      </c>
      <c r="O291" s="182" t="n">
        <v>46059</v>
      </c>
      <c r="P291" s="180" t="n">
        <v>3404.686</v>
      </c>
      <c r="Q291" s="184">
        <f>IF(OR(N291="",P291=""),"",ROUND((P291-N291)/N291,4))</f>
        <v/>
      </c>
      <c r="R291" s="177">
        <f>IF(OR(N291="",P291=""),"",IF(Q291&gt;Settings!$B$3/100,"UP",IF(Q291&lt;-Settings!$B$3/100,"DOWN","FLAT")))</f>
        <v/>
      </c>
      <c r="S291" s="177">
        <f>IF(OR(N291="",P291="",J291=""),"",IF(OR(AND(J291="BUY",R291="UP"),AND(J291="SELL",R291="DOWN"),AND(J291="HOLD",R291="FLAT")),"YES","NO"))</f>
        <v/>
      </c>
      <c r="T291" s="176">
        <f>IF(J291="","",IF(J291="BUY",1,IF(J291="SELL",-1,0)))</f>
        <v/>
      </c>
      <c r="U291" s="184">
        <f>IFERROR(IF(OR(J291="",N291="",P291=""),"",IF(T291=0,0,T291*Q291-Settings!$B$4/10000-IF(T291&lt;0,Settings!$B$5/10000,0))),"")</f>
        <v/>
      </c>
      <c r="V291" s="190" t="inlineStr">
        <is>
          <t>Good overall financial performance and strategic partnerships were offset by mixed segment performance and industry concerns, supporting a HOLD.</t>
        </is>
      </c>
      <c r="W291" s="176">
        <f>IF($K291="","",$K291*60)</f>
        <v/>
      </c>
      <c r="X291" s="186">
        <f>IF($A291="","",$A291&amp;"|"&amp;$C291&amp;"|"&amp;$D291)</f>
        <v/>
      </c>
      <c r="Y291" s="186">
        <f>IFERROR(IF($X291="","",INDEX(LLM_Data_Entry!$H$3:$H$548,MATCH($X291,INDEX(LLM_Data_Entry!$A$3:$A$548&amp;"|"&amp;LLM_Data_Entry!$C$3:$C$548&amp;"|"&amp;LLM_Data_Entry!$D$3:$D$548,0),0))),"")</f>
        <v/>
      </c>
      <c r="Z291" s="186">
        <f>IFERROR(IF($X291="","",INDEX(LLM_Data_Entry!$R$3:$R$548,MATCH($X291,INDEX(LLM_Data_Entry!$A$3:$A$548&amp;"|"&amp;LLM_Data_Entry!$C$3:$C$548&amp;"|"&amp;LLM_Data_Entry!$D$3:$D$548,0),0))),"")</f>
        <v/>
      </c>
      <c r="AA291" s="152" t="n"/>
      <c r="AB291" s="152" t="inlineStr">
        <is>
          <t>repriced on the issuer's primary listing</t>
        </is>
      </c>
      <c r="AC291" s="152" t="inlineStr">
        <is>
          <t>6758.T</t>
        </is>
      </c>
      <c r="AD291" s="152" t="inlineStr">
        <is>
          <t>2026-02-05</t>
        </is>
      </c>
      <c r="AE291" s="152" t="n">
        <v>3334.9585</v>
      </c>
      <c r="AF291" s="152" t="inlineStr">
        <is>
          <t>2026-02-06</t>
        </is>
      </c>
      <c r="AG291" s="152" t="n">
        <v>3404.686</v>
      </c>
      <c r="AH291" s="152" t="n">
        <v>0.02090806719667119</v>
      </c>
      <c r="AI291" s="152" t="inlineStr">
        <is>
          <t>UP</t>
        </is>
      </c>
      <c r="AJ291" s="152" t="inlineStr">
        <is>
          <t>NO</t>
        </is>
      </c>
      <c r="AK291" s="152" t="n">
        <v>0</v>
      </c>
      <c r="AL291" s="152">
        <f>IF($A291="","",IFERROR(INDEX(Company_List!$G$3:$G$207,MATCH($A291,Company_List!$A$3:$A$207,0)),"unassigned"))</f>
        <v/>
      </c>
      <c r="AM291" s="152" t="inlineStr">
        <is>
          <t>Phase 3/Readings/Sony/2025-Q3/SONY-2025-Q3-results-SEC-6-K.htm</t>
        </is>
      </c>
      <c r="AN291" s="152" t="inlineStr">
        <is>
          <t>https://www.sec.gov/Archives/edgar/data/313838/000110465926010560/tm264796d5_6k.htm</t>
        </is>
      </c>
      <c r="AO291" s="152" t="inlineStr">
        <is>
          <t>manifest</t>
        </is>
      </c>
      <c r="AP291" s="152">
        <f>IF($A291="","",IF(COUNTIFS(LLM_Data_Entry!$A$3:$A$548,$A291)&gt;0,"YES","NO"))</f>
        <v/>
      </c>
      <c r="AQ291" s="152">
        <f>IF($A291="","",IF(COUNTIFS($A$3:$A291,$A291,$C$3:$C291,$C291,$D$3:$D291,$D291)=1,"YES","NO"))</f>
        <v/>
      </c>
      <c r="AR291" s="152">
        <f>IF($A291="","",IF(AND($C291&amp;"-"&amp;$D291&gt;=Settings!$B$19,$C291&amp;"-"&amp;$D291&lt;=Settings!$B$20),"IN","OUT"))</f>
        <v/>
      </c>
      <c r="AS291" s="152">
        <f>IF($A291="","",IF($F291="Financial Results","financials",IF($F291="Outlook/Guidance","guidance",IF($F291="Transcript Q&amp;A","qanda",IF($F291="","unrecorded",IF($E291="All","full",IF($E291="","unrecorded",LOWER($E291)&amp;" only")))))))</f>
        <v/>
      </c>
      <c r="AT291" s="152">
        <f>IF(AND(OR($J291="BUY",$J291="SELL"),ISNUMBER($U291)),$U291,"")</f>
        <v/>
      </c>
      <c r="AU291" s="152">
        <f>IF(AND(OR($J291="BUY",$J291="SELL"),ISNUMBER($AK291)),$AK291,"")</f>
        <v/>
      </c>
      <c r="AV291" s="152">
        <f>IF(ISNUMBER($AT291),ABS(IF(ISNUMBER($I291),$I291,0)-Settings!$B$24),"")</f>
        <v/>
      </c>
      <c r="AW291" s="152">
        <f>IF(ISNUMBER($AV291),$AV291*$AT291,"")</f>
        <v/>
      </c>
      <c r="AX291" s="152">
        <f>IF(ISNUMBER($AU291),ABS(IF(ISNUMBER($I291),$I291,0)-Settings!$B$24),"")</f>
        <v/>
      </c>
      <c r="AY291" s="152" t="inlineStr">
        <is>
          <t>EXTENSION</t>
        </is>
      </c>
      <c r="AZ291" s="152">
        <f>IF($A291="","",IFERROR(INDEX(Company_List!$H$3:$H$207,MATCH($A291,Company_List!$A$3:$A$207,0)),"unassigned"))</f>
        <v/>
      </c>
      <c r="BA291" s="152" t="n"/>
      <c r="BB291" s="152" t="n"/>
      <c r="BC291" s="152">
        <f>IF($A291="","",IF(COUNTIFS($A$3:$A291,$A291,$C$3:$C291,$C291,$D$3:$D291,$D291,$G$3:$G291,$G291)=1,1,0))</f>
        <v/>
      </c>
      <c r="BD291" s="152" t="n"/>
      <c r="BE291" s="152" t="n"/>
      <c r="BF291" s="152" t="n"/>
      <c r="BG291" s="152" t="inlineStr">
        <is>
          <t>no</t>
        </is>
      </c>
      <c r="BH291" s="152" t="n"/>
      <c r="BI291" s="152" t="n"/>
      <c r="BJ291" s="152" t="n"/>
      <c r="BK291" s="152">
        <f>IF(OR($H291&lt;&gt;"Human",$S291="",$J291="",$Y291="",$Z291=""),"",IF(EXACT(UPPER($J291),UPPER($Y291)),1,0))</f>
        <v/>
      </c>
      <c r="BL291" s="152" t="inlineStr">
        <is>
          <t>assumed - no rater record</t>
        </is>
      </c>
      <c r="BM291" s="152" t="n">
        <v>1</v>
      </c>
      <c r="BN291" s="152" t="inlineStr">
        <is>
          <t>not publisher-identified</t>
        </is>
      </c>
      <c r="BO291" s="152" t="inlineStr">
        <is>
          <t>not publisher-identified</t>
        </is>
      </c>
      <c r="BP291" s="152" t="inlineStr">
        <is>
          <t>no</t>
        </is>
      </c>
      <c r="BQ291" s="152" t="inlineStr">
        <is>
          <t>yes</t>
        </is>
      </c>
      <c r="BR291" s="152" t="n"/>
      <c r="BS291" s="152" t="inlineStr">
        <is>
          <t>YES</t>
        </is>
      </c>
      <c r="BT291" s="152" t="n"/>
    </row>
    <row r="292" ht="15" customHeight="1" s="241">
      <c r="A292" s="192" t="inlineStr">
        <is>
          <t>Sony</t>
        </is>
      </c>
      <c r="B292" s="188">
        <f>IF(A292="","",_xlfn.XLOOKUP(A292, Company_List!$A:$A, Company_List!$B:$B, ""))</f>
        <v/>
      </c>
      <c r="C292" s="177" t="n">
        <v>2026</v>
      </c>
      <c r="D292" s="177" t="inlineStr">
        <is>
          <t>Q1</t>
        </is>
      </c>
      <c r="E292" s="178" t="inlineStr">
        <is>
          <t>All</t>
        </is>
      </c>
      <c r="F292" s="178" t="inlineStr">
        <is>
          <t>All</t>
        </is>
      </c>
      <c r="G292" s="177" t="inlineStr">
        <is>
          <t>Meriem</t>
        </is>
      </c>
      <c r="H292" s="177" t="inlineStr">
        <is>
          <t>Human</t>
        </is>
      </c>
      <c r="I292" s="180" t="n">
        <v>0.3</v>
      </c>
      <c r="J292" s="180">
        <f>IF(OR(I292="",Settings!$B$6=""),"",IF(I292&gt;Settings!$B$6,"BUY",IF(I292&lt;-Settings!$B$6,"SELL","HOLD")))</f>
        <v/>
      </c>
      <c r="K292" s="180" t="n">
        <v>44</v>
      </c>
      <c r="L292" s="182" t="n">
        <v>46234</v>
      </c>
      <c r="M292" s="182" t="n">
        <v>46234</v>
      </c>
      <c r="N292" s="179" t="n">
        <v>3787</v>
      </c>
      <c r="O292" s="182" t="n">
        <v>46237</v>
      </c>
      <c r="P292" s="180" t="n">
        <v>3598</v>
      </c>
      <c r="Q292" s="184">
        <f>IF(OR(N292="",P292=""),"",ROUND((P292-N292)/N292,4))</f>
        <v/>
      </c>
      <c r="R292" s="177">
        <f>IF(OR(N292="",P292=""),"",IF(Q292&gt;Settings!$B$3/100,"UP",IF(Q292&lt;-Settings!$B$3/100,"DOWN","FLAT")))</f>
        <v/>
      </c>
      <c r="S292" s="177">
        <f>IF(OR(N292="",P292="",J292=""),"",IF(OR(AND(J292="BUY",R292="UP"),AND(J292="SELL",R292="DOWN"),AND(J292="HOLD",R292="FLAT")),"YES","NO"))</f>
        <v/>
      </c>
      <c r="T292" s="176">
        <f>IF(J292="","",IF(J292="BUY",1,IF(J292="SELL",-1,0)))</f>
        <v/>
      </c>
      <c r="U292" s="184">
        <f>IFERROR(IF(OR(J292="",N292="",P292=""),"",IF(T292=0,0,T292*Q292-Settings!$B$4/10000-IF(T292&lt;0,Settings!$B$5/10000,0))),"")</f>
        <v/>
      </c>
      <c r="V292" s="190" t="inlineStr">
        <is>
          <t>Strong earnings growth and improved profitability, together with limited expected impact from the earthquake, justified a moderate BUY.</t>
        </is>
      </c>
      <c r="W292" s="176">
        <f>IF($K292="","",$K292*60)</f>
        <v/>
      </c>
      <c r="X292" s="186">
        <f>IF($A292="","",$A292&amp;"|"&amp;$C292&amp;"|"&amp;$D292)</f>
        <v/>
      </c>
      <c r="Y292" s="186">
        <f>IFERROR(IF($X292="","",INDEX(LLM_Data_Entry!$H$3:$H$548,MATCH($X292,INDEX(LLM_Data_Entry!$A$3:$A$548&amp;"|"&amp;LLM_Data_Entry!$C$3:$C$548&amp;"|"&amp;LLM_Data_Entry!$D$3:$D$548,0),0))),"")</f>
        <v/>
      </c>
      <c r="Z292" s="186">
        <f>IFERROR(IF($X292="","",INDEX(LLM_Data_Entry!$R$3:$R$548,MATCH($X292,INDEX(LLM_Data_Entry!$A$3:$A$548&amp;"|"&amp;LLM_Data_Entry!$C$3:$C$548&amp;"|"&amp;LLM_Data_Entry!$D$3:$D$548,0),0))),"")</f>
        <v/>
      </c>
      <c r="AA292" s="152" t="n"/>
      <c r="AB292" s="152" t="inlineStr">
        <is>
          <t>repriced on the issuer's primary listing</t>
        </is>
      </c>
      <c r="AC292" s="152" t="inlineStr">
        <is>
          <t>6758.T</t>
        </is>
      </c>
      <c r="AD292" s="152" t="inlineStr">
        <is>
          <t>2026-07-31</t>
        </is>
      </c>
      <c r="AE292" s="152" t="n">
        <v>3787</v>
      </c>
      <c r="AF292" s="152" t="inlineStr">
        <is>
          <t>2026-08-03</t>
        </is>
      </c>
      <c r="AG292" s="152" t="n">
        <v>3598</v>
      </c>
      <c r="AH292" s="152" t="n">
        <v>-0.04990757855822551</v>
      </c>
      <c r="AI292" s="152" t="inlineStr">
        <is>
          <t>DOWN</t>
        </is>
      </c>
      <c r="AJ292" s="152" t="inlineStr">
        <is>
          <t>NO</t>
        </is>
      </c>
      <c r="AK292" s="152" t="n">
        <v>-0.050908</v>
      </c>
      <c r="AL292" s="152">
        <f>IF($A292="","",IFERROR(INDEX(Company_List!$G$3:$G$207,MATCH($A292,Company_List!$A$3:$A$207,0)),"unassigned"))</f>
        <v/>
      </c>
      <c r="AM292" s="152" t="inlineStr">
        <is>
          <t>Phase 3/Readings/Sony/2026-Q1/SONY-2026-Q1-results-SEC-6-K.htm</t>
        </is>
      </c>
      <c r="AN292" s="152" t="inlineStr">
        <is>
          <t>https://www.sec.gov/Archives/edgar/data/313838/000110465926088922/tm2621477d2_6k.htm</t>
        </is>
      </c>
      <c r="AO292" s="152" t="inlineStr">
        <is>
          <t>manifest</t>
        </is>
      </c>
      <c r="AP292" s="152">
        <f>IF($A292="","",IF(COUNTIFS(LLM_Data_Entry!$A$3:$A$548,$A292)&gt;0,"YES","NO"))</f>
        <v/>
      </c>
      <c r="AQ292" s="152">
        <f>IF($A292="","",IF(COUNTIFS($A$3:$A292,$A292,$C$3:$C292,$C292,$D$3:$D292,$D292)=1,"YES","NO"))</f>
        <v/>
      </c>
      <c r="AR292" s="152">
        <f>IF($A292="","",IF(AND($C292&amp;"-"&amp;$D292&gt;=Settings!$B$19,$C292&amp;"-"&amp;$D292&lt;=Settings!$B$20),"IN","OUT"))</f>
        <v/>
      </c>
      <c r="AS292" s="152">
        <f>IF($A292="","",IF($F292="Financial Results","financials",IF($F292="Outlook/Guidance","guidance",IF($F292="Transcript Q&amp;A","qanda",IF($F292="","unrecorded",IF($E292="All","full",IF($E292="","unrecorded",LOWER($E292)&amp;" only")))))))</f>
        <v/>
      </c>
      <c r="AT292" s="152">
        <f>IF(AND(OR($J292="BUY",$J292="SELL"),ISNUMBER($U292)),$U292,"")</f>
        <v/>
      </c>
      <c r="AU292" s="152">
        <f>IF(AND(OR($J292="BUY",$J292="SELL"),ISNUMBER($AK292)),$AK292,"")</f>
        <v/>
      </c>
      <c r="AV292" s="152">
        <f>IF(ISNUMBER($AT292),ABS(IF(ISNUMBER($I292),$I292,0)-Settings!$B$24),"")</f>
        <v/>
      </c>
      <c r="AW292" s="152">
        <f>IF(ISNUMBER($AV292),$AV292*$AT292,"")</f>
        <v/>
      </c>
      <c r="AX292" s="152">
        <f>IF(ISNUMBER($AU292),ABS(IF(ISNUMBER($I292),$I292,0)-Settings!$B$24),"")</f>
        <v/>
      </c>
      <c r="AY292" s="152" t="inlineStr">
        <is>
          <t>EXTENSION</t>
        </is>
      </c>
      <c r="AZ292" s="152">
        <f>IF($A292="","",IFERROR(INDEX(Company_List!$H$3:$H$207,MATCH($A292,Company_List!$A$3:$A$207,0)),"unassigned"))</f>
        <v/>
      </c>
      <c r="BA292" s="152" t="n"/>
      <c r="BB292" s="152" t="n"/>
      <c r="BC292" s="152">
        <f>IF($A292="","",IF(COUNTIFS($A$3:$A292,$A292,$C$3:$C292,$C292,$D$3:$D292,$D292,$G$3:$G292,$G292)=1,1,0))</f>
        <v/>
      </c>
      <c r="BD292" s="152" t="n"/>
      <c r="BE292" s="152" t="n"/>
      <c r="BF292" s="152" t="n"/>
      <c r="BG292" s="152" t="inlineStr">
        <is>
          <t>no</t>
        </is>
      </c>
      <c r="BH292" s="152" t="n"/>
      <c r="BI292" s="152" t="n"/>
      <c r="BJ292" s="152" t="n"/>
      <c r="BK292" s="152">
        <f>IF(OR($H292&lt;&gt;"Human",$S292="",$J292="",$Y292="",$Z292=""),"",IF(EXACT(UPPER($J292),UPPER($Y292)),1,0))</f>
        <v/>
      </c>
      <c r="BL292" s="152" t="inlineStr">
        <is>
          <t>assumed - no rater record</t>
        </is>
      </c>
      <c r="BM292" s="152" t="n">
        <v>1</v>
      </c>
      <c r="BN292" s="152" t="inlineStr">
        <is>
          <t>not publisher-identified</t>
        </is>
      </c>
      <c r="BO292" s="152" t="inlineStr">
        <is>
          <t>not publisher-identified</t>
        </is>
      </c>
      <c r="BP292" s="152" t="inlineStr">
        <is>
          <t>no</t>
        </is>
      </c>
      <c r="BQ292" s="152" t="inlineStr">
        <is>
          <t>yes</t>
        </is>
      </c>
      <c r="BR292" s="152" t="n"/>
      <c r="BS292" s="152" t="inlineStr">
        <is>
          <t>YES</t>
        </is>
      </c>
      <c r="BT292" s="152" t="n"/>
    </row>
    <row r="293" ht="15" customHeight="1" s="241">
      <c r="A293" s="192" t="inlineStr">
        <is>
          <t>Nestlé</t>
        </is>
      </c>
      <c r="B293" s="188">
        <f>IF(A293="","",_xlfn.XLOOKUP(A293, Company_List!$A:$A, Company_List!$B:$B, ""))</f>
        <v/>
      </c>
      <c r="C293" s="177" t="n">
        <v>2024</v>
      </c>
      <c r="D293" s="177" t="inlineStr">
        <is>
          <t>Q3</t>
        </is>
      </c>
      <c r="E293" s="178" t="inlineStr">
        <is>
          <t>All</t>
        </is>
      </c>
      <c r="F293" s="178" t="inlineStr">
        <is>
          <t>All</t>
        </is>
      </c>
      <c r="G293" s="177" t="inlineStr">
        <is>
          <t>Meriem</t>
        </is>
      </c>
      <c r="H293" s="177" t="inlineStr">
        <is>
          <t>Human</t>
        </is>
      </c>
      <c r="I293" s="180" t="n">
        <v>0.3</v>
      </c>
      <c r="J293" s="180">
        <f>IF(OR(I293="",Settings!$B$6=""),"",IF(I293&gt;Settings!$B$6,"BUY",IF(I293&lt;-Settings!$B$6,"SELL","HOLD")))</f>
        <v/>
      </c>
      <c r="K293" s="180" t="n">
        <v>40</v>
      </c>
      <c r="L293" s="182" t="n">
        <v>45582</v>
      </c>
      <c r="M293" s="182" t="n">
        <v>45581</v>
      </c>
      <c r="N293" s="179" t="n">
        <v>77.7955</v>
      </c>
      <c r="O293" s="182" t="n">
        <v>45582</v>
      </c>
      <c r="P293" s="180" t="n">
        <v>76.79389999999999</v>
      </c>
      <c r="Q293" s="184">
        <f>IF(OR(N293="",P293=""),"",ROUND((P293-N293)/N293,4))</f>
        <v/>
      </c>
      <c r="R293" s="177">
        <f>IF(OR(N293="",P293=""),"",IF(Q293&gt;Settings!$B$3/100,"UP",IF(Q293&lt;-Settings!$B$3/100,"DOWN","FLAT")))</f>
        <v/>
      </c>
      <c r="S293" s="177">
        <f>IF(OR(N293="",P293="",J293=""),"",IF(OR(AND(J293="BUY",R293="UP"),AND(J293="SELL",R293="DOWN"),AND(J293="HOLD",R293="FLAT")),"YES","NO"))</f>
        <v/>
      </c>
      <c r="T293" s="176">
        <f>IF(J293="","",IF(J293="BUY",1,IF(J293="SELL",-1,0)))</f>
        <v/>
      </c>
      <c r="U293" s="184">
        <f>IFERROR(IF(OR(J293="",N293="",P293=""),"",IF(T293=0,0,T293*Q293-Settings!$B$4/10000-IF(T293&lt;0,Settings!$B$5/10000,0))),"")</f>
        <v/>
      </c>
      <c r="V293" s="190" t="inlineStr">
        <is>
          <t>Steady organic growth and strong coffee performance were tempered by weaker consumer demand, lower guidance and market share concerns, resulting in a HOLD.</t>
        </is>
      </c>
      <c r="W293" s="176">
        <f>IF($K293="","",$K293*60)</f>
        <v/>
      </c>
      <c r="X293" s="186">
        <f>IF($A293="","",$A293&amp;"|"&amp;$C293&amp;"|"&amp;$D293)</f>
        <v/>
      </c>
      <c r="Y293" s="186">
        <f>IFERROR(IF($X293="","",INDEX(LLM_Data_Entry!$H$3:$H$548,MATCH($X293,INDEX(LLM_Data_Entry!$A$3:$A$548&amp;"|"&amp;LLM_Data_Entry!$C$3:$C$548&amp;"|"&amp;LLM_Data_Entry!$D$3:$D$548,0),0))),"")</f>
        <v/>
      </c>
      <c r="Z293" s="186">
        <f>IFERROR(IF($X293="","",INDEX(LLM_Data_Entry!$R$3:$R$548,MATCH($X293,INDEX(LLM_Data_Entry!$A$3:$A$548&amp;"|"&amp;LLM_Data_Entry!$C$3:$C$548&amp;"|"&amp;LLM_Data_Entry!$D$3:$D$548,0),0))),"")</f>
        <v/>
      </c>
      <c r="AA293" s="152" t="n"/>
      <c r="AB293" s="152" t="inlineStr">
        <is>
          <t>release date + stated time</t>
        </is>
      </c>
      <c r="AC293" s="152" t="inlineStr">
        <is>
          <t>NESN.SW</t>
        </is>
      </c>
      <c r="AD293" s="152" t="inlineStr">
        <is>
          <t>2024-10-16</t>
        </is>
      </c>
      <c r="AE293" s="152" t="n">
        <v>77.7955</v>
      </c>
      <c r="AF293" s="152" t="inlineStr">
        <is>
          <t>2024-10-17</t>
        </is>
      </c>
      <c r="AG293" s="152" t="n">
        <v>76.79389999999999</v>
      </c>
      <c r="AH293" s="152" t="n">
        <v>-0.01287544267777568</v>
      </c>
      <c r="AI293" s="152" t="inlineStr">
        <is>
          <t>FLAT</t>
        </is>
      </c>
      <c r="AJ293" s="152" t="inlineStr">
        <is>
          <t>NO</t>
        </is>
      </c>
      <c r="AK293" s="152" t="n">
        <v>-0.013875</v>
      </c>
      <c r="AL293" s="152">
        <f>IF($A293="","",IFERROR(INDEX(Company_List!$G$3:$G$207,MATCH($A293,Company_List!$A$3:$A$207,0)),"unassigned"))</f>
        <v/>
      </c>
      <c r="AM293" s="152" t="inlineStr">
        <is>
          <t>Phase 3/Readings/Nestlé/Q3 24/Nestlé Q3 FY2024 Earnings Call Transcript.pdf; Phase 3/Readings/Nestlé/Q3 24/2024-Q3.pdf</t>
        </is>
      </c>
      <c r="AN293" s="152" t="n"/>
      <c r="AO293" s="152" t="inlineStr">
        <is>
          <t>whole bundle (Document = All)</t>
        </is>
      </c>
      <c r="AP293" s="152">
        <f>IF($A293="","",IF(COUNTIFS(LLM_Data_Entry!$A$3:$A$548,$A293)&gt;0,"YES","NO"))</f>
        <v/>
      </c>
      <c r="AQ293" s="152">
        <f>IF($A293="","",IF(COUNTIFS($A$3:$A293,$A293,$C$3:$C293,$C293,$D$3:$D293,$D293)=1,"YES","NO"))</f>
        <v/>
      </c>
      <c r="AR293" s="152">
        <f>IF($A293="","",IF(AND($C293&amp;"-"&amp;$D293&gt;=Settings!$B$19,$C293&amp;"-"&amp;$D293&lt;=Settings!$B$20),"IN","OUT"))</f>
        <v/>
      </c>
      <c r="AS293" s="152">
        <f>IF($A293="","",IF($F293="Financial Results","financials",IF($F293="Outlook/Guidance","guidance",IF($F293="Transcript Q&amp;A","qanda",IF($F293="","unrecorded",IF($E293="All","full",IF($E293="","unrecorded",LOWER($E293)&amp;" only")))))))</f>
        <v/>
      </c>
      <c r="AT293" s="152">
        <f>IF(AND(OR($J293="BUY",$J293="SELL"),ISNUMBER($U293)),$U293,"")</f>
        <v/>
      </c>
      <c r="AU293" s="152">
        <f>IF(AND(OR($J293="BUY",$J293="SELL"),ISNUMBER($AK293)),$AK293,"")</f>
        <v/>
      </c>
      <c r="AV293" s="152">
        <f>IF(ISNUMBER($AT293),ABS(IF(ISNUMBER($I293),$I293,0)-Settings!$B$24),"")</f>
        <v/>
      </c>
      <c r="AW293" s="152">
        <f>IF(ISNUMBER($AV293),$AV293*$AT293,"")</f>
        <v/>
      </c>
      <c r="AX293" s="152">
        <f>IF(ISNUMBER($AU293),ABS(IF(ISNUMBER($I293),$I293,0)-Settings!$B$24),"")</f>
        <v/>
      </c>
      <c r="AY293" s="152" t="inlineStr">
        <is>
          <t>EXTENSION</t>
        </is>
      </c>
      <c r="AZ293" s="152">
        <f>IF($A293="","",IFERROR(INDEX(Company_List!$H$3:$H$207,MATCH($A293,Company_List!$A$3:$A$207,0)),"unassigned"))</f>
        <v/>
      </c>
      <c r="BA293" s="152" t="n"/>
      <c r="BB293" s="152" t="n"/>
      <c r="BC293" s="152">
        <f>IF($A293="","",IF(COUNTIFS($A$3:$A293,$A293,$C$3:$C293,$C293,$D$3:$D293,$D293,$G$3:$G293,$G293)=1,1,0))</f>
        <v/>
      </c>
      <c r="BD293" s="152" t="n"/>
      <c r="BE293" s="152" t="n"/>
      <c r="BF293" s="152" t="n"/>
      <c r="BG293" s="152" t="inlineStr">
        <is>
          <t>no</t>
        </is>
      </c>
      <c r="BH293" s="152" t="n"/>
      <c r="BI293" s="152" t="n"/>
      <c r="BJ293" s="152" t="n"/>
      <c r="BK293" s="152">
        <f>IF(OR($H293&lt;&gt;"Human",$S293="",$J293="",$Y293="",$Z293=""),"",IF(EXACT(UPPER($J293),UPPER($Y293)),1,0))</f>
        <v/>
      </c>
      <c r="BL293" s="152" t="inlineStr">
        <is>
          <t>assumed - no rater record</t>
        </is>
      </c>
      <c r="BM293" s="152" t="n">
        <v>2</v>
      </c>
      <c r="BN293" s="152" t="inlineStr">
        <is>
          <t>not publisher-identified</t>
        </is>
      </c>
      <c r="BO293" s="152" t="inlineStr">
        <is>
          <t>not publisher-identified</t>
        </is>
      </c>
      <c r="BP293" s="152" t="inlineStr">
        <is>
          <t>no</t>
        </is>
      </c>
      <c r="BQ293" s="152" t="inlineStr">
        <is>
          <t>no</t>
        </is>
      </c>
      <c r="BR293" s="152" t="n"/>
      <c r="BS293" s="152" t="inlineStr">
        <is>
          <t>YES</t>
        </is>
      </c>
      <c r="BT293" s="152" t="n"/>
    </row>
    <row r="294" ht="15" customHeight="1" s="241">
      <c r="A294" s="192" t="inlineStr">
        <is>
          <t>Nestlé</t>
        </is>
      </c>
      <c r="B294" s="188">
        <f>IF(A294="","",_xlfn.XLOOKUP(A294, Company_List!$A:$A, Company_List!$B:$B, ""))</f>
        <v/>
      </c>
      <c r="C294" s="177" t="n">
        <v>2026</v>
      </c>
      <c r="D294" s="177" t="inlineStr">
        <is>
          <t>Q1</t>
        </is>
      </c>
      <c r="E294" s="178" t="inlineStr">
        <is>
          <t>All</t>
        </is>
      </c>
      <c r="F294" s="178" t="inlineStr">
        <is>
          <t>All</t>
        </is>
      </c>
      <c r="G294" s="177" t="inlineStr">
        <is>
          <t>Meriem</t>
        </is>
      </c>
      <c r="H294" s="177" t="inlineStr">
        <is>
          <t>Human</t>
        </is>
      </c>
      <c r="I294" s="180" t="n">
        <v>0.2</v>
      </c>
      <c r="J294" s="180">
        <f>IF(OR(I294="",Settings!$B$6=""),"",IF(I294&gt;Settings!$B$6,"BUY",IF(I294&lt;-Settings!$B$6,"SELL","HOLD")))</f>
        <v/>
      </c>
      <c r="K294" s="180" t="n">
        <v>38</v>
      </c>
      <c r="L294" s="182" t="n">
        <v>46135</v>
      </c>
      <c r="M294" s="182" t="n">
        <v>46134</v>
      </c>
      <c r="N294" s="179" t="n">
        <v>75.54000000000001</v>
      </c>
      <c r="O294" s="182" t="n">
        <v>46135</v>
      </c>
      <c r="P294" s="180" t="n">
        <v>79.55</v>
      </c>
      <c r="Q294" s="184">
        <f>IF(OR(N294="",P294=""),"",ROUND((P294-N294)/N294,4))</f>
        <v/>
      </c>
      <c r="R294" s="177">
        <f>IF(OR(N294="",P294=""),"",IF(Q294&gt;Settings!$B$3/100,"UP",IF(Q294&lt;-Settings!$B$3/100,"DOWN","FLAT")))</f>
        <v/>
      </c>
      <c r="S294" s="177">
        <f>IF(OR(N294="",P294="",J294=""),"",IF(OR(AND(J294="BUY",R294="UP"),AND(J294="SELL",R294="DOWN"),AND(J294="HOLD",R294="FLAT")),"YES","NO"))</f>
        <v/>
      </c>
      <c r="T294" s="176">
        <f>IF(J294="","",IF(J294="BUY",1,IF(J294="SELL",-1,0)))</f>
        <v/>
      </c>
      <c r="U294" s="184">
        <f>IFERROR(IF(OR(J294="",N294="",P294=""),"",IF(T294=0,0,T294*Q294-Settings!$B$4/10000-IF(T294&lt;0,Settings!$B$5/10000,0))),"")</f>
        <v/>
      </c>
      <c r="V294" s="190" t="inlineStr">
        <is>
          <t>Solid organic growth and a resilient full-year outlook outweighed foreign exchange, recall and geopolitical headwinds, supporting a BUY.</t>
        </is>
      </c>
      <c r="W294" s="176">
        <f>IF($K294="","",$K294*60)</f>
        <v/>
      </c>
      <c r="X294" s="186">
        <f>IF($A294="","",$A294&amp;"|"&amp;$C294&amp;"|"&amp;$D294)</f>
        <v/>
      </c>
      <c r="Y294" s="186">
        <f>IFERROR(IF($X294="","",INDEX(LLM_Data_Entry!$H$3:$H$548,MATCH($X294,INDEX(LLM_Data_Entry!$A$3:$A$548&amp;"|"&amp;LLM_Data_Entry!$C$3:$C$548&amp;"|"&amp;LLM_Data_Entry!$D$3:$D$548,0),0))),"")</f>
        <v/>
      </c>
      <c r="Z294" s="186">
        <f>IFERROR(IF($X294="","",INDEX(LLM_Data_Entry!$R$3:$R$548,MATCH($X294,INDEX(LLM_Data_Entry!$A$3:$A$548&amp;"|"&amp;LLM_Data_Entry!$C$3:$C$548&amp;"|"&amp;LLM_Data_Entry!$D$3:$D$548,0),0))),"")</f>
        <v/>
      </c>
      <c r="AA294" s="152" t="n"/>
      <c r="AB294" s="152" t="inlineStr">
        <is>
          <t>release date + stated time</t>
        </is>
      </c>
      <c r="AC294" s="152" t="inlineStr">
        <is>
          <t>NESN.SW</t>
        </is>
      </c>
      <c r="AD294" s="152" t="inlineStr">
        <is>
          <t>2026-04-22</t>
        </is>
      </c>
      <c r="AE294" s="152" t="n">
        <v>75.54000000000001</v>
      </c>
      <c r="AF294" s="152" t="inlineStr">
        <is>
          <t>2026-04-23</t>
        </is>
      </c>
      <c r="AG294" s="152" t="n">
        <v>79.55</v>
      </c>
      <c r="AH294" s="152" t="n">
        <v>0.05308448433830441</v>
      </c>
      <c r="AI294" s="152" t="inlineStr">
        <is>
          <t>UP</t>
        </is>
      </c>
      <c r="AJ294" s="152" t="inlineStr">
        <is>
          <t>NO</t>
        </is>
      </c>
      <c r="AK294" s="152" t="n">
        <v>0</v>
      </c>
      <c r="AL294" s="152">
        <f>IF($A294="","",IFERROR(INDEX(Company_List!$G$3:$G$207,MATCH($A294,Company_List!$A$3:$A$207,0)),"unassigned"))</f>
        <v/>
      </c>
      <c r="AM294" s="152" t="inlineStr">
        <is>
          <t>Phase 3/Readings/Nestlé/Q1 26/Q1-2026-en.pdf; Phase 3/Readings/Nestlé/Q1 26/NESR Q1 2026 Earnings Call Transcript.pdf</t>
        </is>
      </c>
      <c r="AN294" s="152" t="n"/>
      <c r="AO294" s="152" t="inlineStr">
        <is>
          <t>whole bundle (Document = All)</t>
        </is>
      </c>
      <c r="AP294" s="152">
        <f>IF($A294="","",IF(COUNTIFS(LLM_Data_Entry!$A$3:$A$548,$A294)&gt;0,"YES","NO"))</f>
        <v/>
      </c>
      <c r="AQ294" s="152">
        <f>IF($A294="","",IF(COUNTIFS($A$3:$A294,$A294,$C$3:$C294,$C294,$D$3:$D294,$D294)=1,"YES","NO"))</f>
        <v/>
      </c>
      <c r="AR294" s="152">
        <f>IF($A294="","",IF(AND($C294&amp;"-"&amp;$D294&gt;=Settings!$B$19,$C294&amp;"-"&amp;$D294&lt;=Settings!$B$20),"IN","OUT"))</f>
        <v/>
      </c>
      <c r="AS294" s="152">
        <f>IF($A294="","",IF($F294="Financial Results","financials",IF($F294="Outlook/Guidance","guidance",IF($F294="Transcript Q&amp;A","qanda",IF($F294="","unrecorded",IF($E294="All","full",IF($E294="","unrecorded",LOWER($E294)&amp;" only")))))))</f>
        <v/>
      </c>
      <c r="AT294" s="152">
        <f>IF(AND(OR($J294="BUY",$J294="SELL"),ISNUMBER($U294)),$U294,"")</f>
        <v/>
      </c>
      <c r="AU294" s="152">
        <f>IF(AND(OR($J294="BUY",$J294="SELL"),ISNUMBER($AK294)),$AK294,"")</f>
        <v/>
      </c>
      <c r="AV294" s="152">
        <f>IF(ISNUMBER($AT294),ABS(IF(ISNUMBER($I294),$I294,0)-Settings!$B$24),"")</f>
        <v/>
      </c>
      <c r="AW294" s="152">
        <f>IF(ISNUMBER($AV294),$AV294*$AT294,"")</f>
        <v/>
      </c>
      <c r="AX294" s="152">
        <f>IF(ISNUMBER($AU294),ABS(IF(ISNUMBER($I294),$I294,0)-Settings!$B$24),"")</f>
        <v/>
      </c>
      <c r="AY294" s="152" t="inlineStr">
        <is>
          <t>EXTENSION</t>
        </is>
      </c>
      <c r="AZ294" s="152">
        <f>IF($A294="","",IFERROR(INDEX(Company_List!$H$3:$H$207,MATCH($A294,Company_List!$A$3:$A$207,0)),"unassigned"))</f>
        <v/>
      </c>
      <c r="BA294" s="152" t="n"/>
      <c r="BB294" s="152" t="n"/>
      <c r="BC294" s="152">
        <f>IF($A294="","",IF(COUNTIFS($A$3:$A294,$A294,$C$3:$C294,$C294,$D$3:$D294,$D294,$G$3:$G294,$G294)=1,1,0))</f>
        <v/>
      </c>
      <c r="BD294" s="152" t="n"/>
      <c r="BE294" s="152" t="n"/>
      <c r="BF294" s="152" t="n"/>
      <c r="BG294" s="152" t="inlineStr">
        <is>
          <t>no</t>
        </is>
      </c>
      <c r="BH294" s="152" t="n"/>
      <c r="BI294" s="152" t="n"/>
      <c r="BJ294" s="152" t="n"/>
      <c r="BK294" s="152">
        <f>IF(OR($H294&lt;&gt;"Human",$S294="",$J294="",$Y294="",$Z294=""),"",IF(EXACT(UPPER($J294),UPPER($Y294)),1,0))</f>
        <v/>
      </c>
      <c r="BL294" s="152" t="inlineStr">
        <is>
          <t>assumed - no rater record</t>
        </is>
      </c>
      <c r="BM294" s="152" t="n">
        <v>2</v>
      </c>
      <c r="BN294" s="152" t="inlineStr">
        <is>
          <t>The Motley Fool</t>
        </is>
      </c>
      <c r="BO294" s="152" t="inlineStr">
        <is>
          <t>free to read, copyright asserted</t>
        </is>
      </c>
      <c r="BP294" s="152" t="inlineStr">
        <is>
          <t>no</t>
        </is>
      </c>
      <c r="BQ294" s="152" t="inlineStr">
        <is>
          <t>no</t>
        </is>
      </c>
      <c r="BR294" s="152" t="n"/>
      <c r="BS294" s="152" t="inlineStr">
        <is>
          <t>YES</t>
        </is>
      </c>
      <c r="BT294" s="152" t="n"/>
    </row>
    <row r="295" ht="15" customHeight="1" s="241">
      <c r="A295" s="193" t="inlineStr">
        <is>
          <t>Alphabet</t>
        </is>
      </c>
      <c r="B295" s="188">
        <f>IF(A295="","",_xlfn.XLOOKUP(A295, Company_List!$A:$A, Company_List!$B:$B, ""))</f>
        <v/>
      </c>
      <c r="C295" s="177" t="n">
        <v>2026</v>
      </c>
      <c r="D295" s="177" t="inlineStr">
        <is>
          <t>Q1</t>
        </is>
      </c>
      <c r="E295" s="178" t="inlineStr">
        <is>
          <t>Transcript</t>
        </is>
      </c>
      <c r="F295" s="178" t="inlineStr">
        <is>
          <t>Outlook/Guidance</t>
        </is>
      </c>
      <c r="G295" s="177" t="inlineStr">
        <is>
          <t>David</t>
        </is>
      </c>
      <c r="H295" s="177" t="inlineStr">
        <is>
          <t>Human</t>
        </is>
      </c>
      <c r="I295" s="180" t="n">
        <v>-0.4</v>
      </c>
      <c r="J295" s="180">
        <f>IF(OR(I295="",Settings!$B$6=""),"",IF(I295&gt;Settings!$B$6,"BUY",IF(I295&lt;-Settings!$B$6,"SELL","HOLD")))</f>
        <v/>
      </c>
      <c r="K295" s="180" t="n">
        <v>34</v>
      </c>
      <c r="L295" s="182" t="n">
        <v>46141</v>
      </c>
      <c r="M295" s="182" t="n">
        <v>46141</v>
      </c>
      <c r="N295" s="179" t="n">
        <v>349.94</v>
      </c>
      <c r="O295" s="182" t="n">
        <v>46142</v>
      </c>
      <c r="P295" s="180" t="n">
        <v>374.07</v>
      </c>
      <c r="Q295" s="184">
        <f>IF(OR(N295="",P295=""),"",ROUND((P295-N295)/N295,4))</f>
        <v/>
      </c>
      <c r="R295" s="177">
        <f>IF(OR(N295="",P295=""),"",IF(Q295&gt;Settings!$B$3/100,"UP",IF(Q295&lt;-Settings!$B$3/100,"DOWN","FLAT")))</f>
        <v/>
      </c>
      <c r="S295" s="177">
        <f>IF(OR(N295="",P295="",J295=""),"",IF(OR(AND(J295="BUY",R295="UP"),AND(J295="SELL",R295="DOWN"),AND(J295="HOLD",R295="FLAT")),"YES","NO"))</f>
        <v/>
      </c>
      <c r="T295" s="176">
        <f>IF(J295="","",IF(J295="BUY",1,IF(J295="SELL",-1,0)))</f>
        <v/>
      </c>
      <c r="U295" s="184">
        <f>IFERROR(IF(OR(J295="",N295="",P295=""),"",IF(T295=0,0,T295*Q295-Settings!$B$4/10000-IF(T295&lt;0,Settings!$B$5/10000,0))),"")</f>
        <v/>
      </c>
      <c r="V295" s="152" t="n"/>
      <c r="W295" s="176">
        <f>IF($K295="","",$K295*60)</f>
        <v/>
      </c>
      <c r="X295" s="186">
        <f>IF($A295="","",$A295&amp;"|"&amp;$C295&amp;"|"&amp;$D295)</f>
        <v/>
      </c>
      <c r="Y295" s="186">
        <f>IFERROR(IF($X295="","",INDEX(LLM_Data_Entry!$H$3:$H$548,MATCH($X295,INDEX(LLM_Data_Entry!$A$3:$A$548&amp;"|"&amp;LLM_Data_Entry!$C$3:$C$548&amp;"|"&amp;LLM_Data_Entry!$D$3:$D$548,0),0))),"")</f>
        <v/>
      </c>
      <c r="Z295" s="186">
        <f>IFERROR(IF($X295="","",INDEX(LLM_Data_Entry!$R$3:$R$548,MATCH($X295,INDEX(LLM_Data_Entry!$A$3:$A$548&amp;"|"&amp;LLM_Data_Entry!$C$3:$C$548&amp;"|"&amp;LLM_Data_Entry!$D$3:$D$548,0),0))),"")</f>
        <v/>
      </c>
      <c r="AA295" s="152" t="n"/>
      <c r="AB295" s="152" t="inlineStr">
        <is>
          <t>release date + stated time in the document (rater worksheet)</t>
        </is>
      </c>
      <c r="AC295" s="152" t="inlineStr">
        <is>
          <t>GOOGL</t>
        </is>
      </c>
      <c r="AD295" s="152" t="inlineStr">
        <is>
          <t>2026-04-29</t>
        </is>
      </c>
      <c r="AE295" s="152" t="n">
        <v>349.7311</v>
      </c>
      <c r="AF295" s="152" t="inlineStr">
        <is>
          <t>2026-04-30</t>
        </is>
      </c>
      <c r="AG295" s="152" t="n">
        <v>373.8467</v>
      </c>
      <c r="AH295" s="152" t="n">
        <v>0.06895467850234777</v>
      </c>
      <c r="AI295" s="152" t="inlineStr">
        <is>
          <t>UP</t>
        </is>
      </c>
      <c r="AJ295" s="152" t="inlineStr">
        <is>
          <t>NO</t>
        </is>
      </c>
      <c r="AK295" s="152" t="n">
        <v>-0.069955</v>
      </c>
      <c r="AL295" s="152">
        <f>IF($A295="","",IFERROR(INDEX(Company_List!$G$3:$G$207,MATCH($A295,Company_List!$A$3:$A$207,0)),"unassigned"))</f>
        <v/>
      </c>
      <c r="AM295" s="152" t="inlineStr">
        <is>
          <t>Phase 2/Alphabet/2026-Q1/GOOGL-2026-Q1-earnings-call-transcript-fool-com.html</t>
        </is>
      </c>
      <c r="AN295" s="152" t="inlineStr">
        <is>
          <t>https://www.fool.com/earnings/call-transcripts/2026/04/29/alphabet-googl-q1-2026-earnings-call-transcript/</t>
        </is>
      </c>
      <c r="AO295" s="152" t="inlineStr">
        <is>
          <t>manifest</t>
        </is>
      </c>
      <c r="AP295" s="152">
        <f>IF($A295="","",IF(COUNTIFS(LLM_Data_Entry!$A$3:$A$548,$A295)&gt;0,"YES","NO"))</f>
        <v/>
      </c>
      <c r="AQ295" s="152">
        <f>IF($A295="","",IF(COUNTIFS($A$3:$A295,$A295,$C$3:$C295,$C295,$D$3:$D295,$D295)=1,"YES","NO"))</f>
        <v/>
      </c>
      <c r="AR295" s="152">
        <f>IF($A295="","",IF(AND($C295&amp;"-"&amp;$D295&gt;=Settings!$B$19,$C295&amp;"-"&amp;$D295&lt;=Settings!$B$20),"IN","OUT"))</f>
        <v/>
      </c>
      <c r="AS295" s="152">
        <f>IF($A295="","",IF($F295="Financial Results","financials",IF($F295="Outlook/Guidance","guidance",IF($F295="Transcript Q&amp;A","qanda",IF($F295="","unrecorded",IF($E295="All","full",IF($E295="","unrecorded",LOWER($E295)&amp;" only")))))))</f>
        <v/>
      </c>
      <c r="AT295" s="152">
        <f>IF(AND(OR($J295="BUY",$J295="SELL"),ISNUMBER($U295)),$U295,"")</f>
        <v/>
      </c>
      <c r="AU295" s="152">
        <f>IF(AND(OR($J295="BUY",$J295="SELL"),ISNUMBER($AK295)),$AK295,"")</f>
        <v/>
      </c>
      <c r="AV295" s="152">
        <f>IF(ISNUMBER($AT295),ABS(IF(ISNUMBER($I295),$I295,0)-Settings!$B$24),"")</f>
        <v/>
      </c>
      <c r="AW295" s="152">
        <f>IF(ISNUMBER($AV295),$AV295*$AT295,"")</f>
        <v/>
      </c>
      <c r="AX295" s="152">
        <f>IF(ISNUMBER($AU295),ABS(IF(ISNUMBER($I295),$I295,0)-Settings!$B$24),"")</f>
        <v/>
      </c>
      <c r="AY295" s="152" t="inlineStr">
        <is>
          <t>FROZEN</t>
        </is>
      </c>
      <c r="AZ295" s="152">
        <f>IF($A295="","",IFERROR(INDEX(Company_List!$H$3:$H$207,MATCH($A295,Company_List!$A$3:$A$207,0)),"unassigned"))</f>
        <v/>
      </c>
      <c r="BA295" s="152" t="n"/>
      <c r="BB295" s="152" t="n"/>
      <c r="BC295" s="152">
        <f>IF($A295="","",IF(COUNTIFS($A$3:$A295,$A295,$C$3:$C295,$C295,$D$3:$D295,$D295,$G$3:$G295,$G295)=1,1,0))</f>
        <v/>
      </c>
      <c r="BD295" s="152" t="n"/>
      <c r="BE295" s="152" t="n"/>
      <c r="BF295" s="152" t="n"/>
      <c r="BG295" s="152" t="inlineStr">
        <is>
          <t>no</t>
        </is>
      </c>
      <c r="BH295" s="152" t="n"/>
      <c r="BI295" s="152" t="n"/>
      <c r="BJ295" s="152" t="n"/>
      <c r="BK295" s="152">
        <f>IF(OR($H295&lt;&gt;"Human",$S295="",$J295="",$Y295="",$Z295=""),"",IF(EXACT(UPPER($J295),UPPER($Y295)),1,0))</f>
        <v/>
      </c>
      <c r="BL295" s="152" t="inlineStr">
        <is>
          <t>assumed - no rater record</t>
        </is>
      </c>
      <c r="BM295" s="152" t="n">
        <v>1</v>
      </c>
      <c r="BN295" s="152" t="inlineStr">
        <is>
          <t>The Motley Fool</t>
        </is>
      </c>
      <c r="BO295" s="152" t="inlineStr">
        <is>
          <t>free to read, copyright asserted</t>
        </is>
      </c>
      <c r="BP295" s="152" t="inlineStr">
        <is>
          <t>no</t>
        </is>
      </c>
      <c r="BQ295" s="152" t="inlineStr">
        <is>
          <t>yes</t>
        </is>
      </c>
      <c r="BR295" s="152" t="n"/>
      <c r="BS295" s="152" t="inlineStr">
        <is>
          <t>YES</t>
        </is>
      </c>
      <c r="BT295" s="152" t="n"/>
    </row>
    <row r="296" ht="15" customHeight="1" s="241">
      <c r="A296" s="193" t="inlineStr">
        <is>
          <t>Alphabet</t>
        </is>
      </c>
      <c r="B296" s="194">
        <f>IF(A296="","",_xlfn.XLOOKUP(A296, Company_List!$A:$A, Company_List!$B:$B, ""))</f>
        <v/>
      </c>
      <c r="C296" s="177" t="n">
        <v>2025</v>
      </c>
      <c r="D296" s="177" t="inlineStr">
        <is>
          <t>Q3</t>
        </is>
      </c>
      <c r="E296" s="178" t="inlineStr">
        <is>
          <t>Transcript</t>
        </is>
      </c>
      <c r="F296" s="178" t="inlineStr">
        <is>
          <t>Transcript Q&amp;A</t>
        </is>
      </c>
      <c r="G296" s="177" t="inlineStr">
        <is>
          <t>David</t>
        </is>
      </c>
      <c r="H296" s="177" t="inlineStr">
        <is>
          <t>Human</t>
        </is>
      </c>
      <c r="I296" s="180" t="n">
        <v>-0.35</v>
      </c>
      <c r="J296" s="180">
        <f>IF(OR(I296="",Settings!$B$6=""),"",IF(I296&gt;Settings!$B$6,"BUY",IF(I296&lt;-Settings!$B$6,"SELL","HOLD")))</f>
        <v/>
      </c>
      <c r="K296" s="180" t="n">
        <v>43</v>
      </c>
      <c r="L296" s="182" t="n">
        <v>45959</v>
      </c>
      <c r="M296" s="182" t="n">
        <v>45959</v>
      </c>
      <c r="N296" s="179" t="n">
        <v>274.57</v>
      </c>
      <c r="O296" s="182" t="n">
        <v>45960</v>
      </c>
      <c r="P296" s="180" t="n">
        <v>291.59</v>
      </c>
      <c r="Q296" s="184">
        <f>IF(OR(N296="",P296=""),"",ROUND((P296-N296)/N296,4))</f>
        <v/>
      </c>
      <c r="R296" s="177">
        <f>IF(OR(N296="",P296=""),"",IF(Q296&gt;Settings!$B$3/100,"UP",IF(Q296&lt;-Settings!$B$3/100,"DOWN","FLAT")))</f>
        <v/>
      </c>
      <c r="S296" s="177">
        <f>IF(OR(N296="",P296="",J296=""),"",IF(OR(AND(J296="BUY",R296="UP"),AND(J296="SELL",R296="DOWN"),AND(J296="HOLD",R296="FLAT")),"YES","NO"))</f>
        <v/>
      </c>
      <c r="T296" s="176">
        <f>IF(J296="","",IF(J296="BUY",1,IF(J296="SELL",-1,0)))</f>
        <v/>
      </c>
      <c r="U296" s="184">
        <f>IFERROR(IF(OR(J296="",N296="",P296=""),"",IF(T296=0,0,T296*Q296-Settings!$B$4/10000-IF(T296&lt;0,Settings!$B$5/10000,0))),"")</f>
        <v/>
      </c>
      <c r="V296" s="152" t="n"/>
      <c r="W296" s="176">
        <f>IF($K296="","",$K296*60)</f>
        <v/>
      </c>
      <c r="X296" s="186">
        <f>IF($A296="","",$A296&amp;"|"&amp;$C296&amp;"|"&amp;$D296)</f>
        <v/>
      </c>
      <c r="Y296" s="186">
        <f>IFERROR(IF($X296="","",INDEX(LLM_Data_Entry!$H$3:$H$548,MATCH($X296,INDEX(LLM_Data_Entry!$A$3:$A$548&amp;"|"&amp;LLM_Data_Entry!$C$3:$C$548&amp;"|"&amp;LLM_Data_Entry!$D$3:$D$548,0),0))),"")</f>
        <v/>
      </c>
      <c r="Z296" s="186">
        <f>IFERROR(IF($X296="","",INDEX(LLM_Data_Entry!$R$3:$R$548,MATCH($X296,INDEX(LLM_Data_Entry!$A$3:$A$548&amp;"|"&amp;LLM_Data_Entry!$C$3:$C$548&amp;"|"&amp;LLM_Data_Entry!$D$3:$D$548,0),0))),"")</f>
        <v/>
      </c>
      <c r="AA296" s="152" t="n"/>
      <c r="AB296" s="152" t="inlineStr">
        <is>
          <t>release date + stated time in the document (rater worksheet)</t>
        </is>
      </c>
      <c r="AC296" s="152" t="inlineStr">
        <is>
          <t>GOOGL</t>
        </is>
      </c>
      <c r="AD296" s="152" t="inlineStr">
        <is>
          <t>2025-10-29</t>
        </is>
      </c>
      <c r="AE296" s="152" t="n">
        <v>274.0338</v>
      </c>
      <c r="AF296" s="152" t="inlineStr">
        <is>
          <t>2025-10-30</t>
        </is>
      </c>
      <c r="AG296" s="152" t="n">
        <v>291.0206</v>
      </c>
      <c r="AH296" s="152" t="n">
        <v>0.06198793072815025</v>
      </c>
      <c r="AI296" s="152" t="inlineStr">
        <is>
          <t>UP</t>
        </is>
      </c>
      <c r="AJ296" s="152" t="inlineStr">
        <is>
          <t>NO</t>
        </is>
      </c>
      <c r="AK296" s="152" t="n">
        <v>-0.062988</v>
      </c>
      <c r="AL296" s="152">
        <f>IF($A296="","",IFERROR(INDEX(Company_List!$G$3:$G$207,MATCH($A296,Company_List!$A$3:$A$207,0)),"unassigned"))</f>
        <v/>
      </c>
      <c r="AM296" s="152" t="inlineStr">
        <is>
          <t>Phase 2/Alphabet/2025-Q3/GOOGL-2025-Q3-earnings-call-transcript-fool-com.html</t>
        </is>
      </c>
      <c r="AN296" s="152" t="inlineStr">
        <is>
          <t>https://www.fool.com/earnings/call-transcripts/2025/10/30/alphabet-goog-q3-2025-earnings-call-transcript/</t>
        </is>
      </c>
      <c r="AO296" s="152" t="inlineStr">
        <is>
          <t>manifest</t>
        </is>
      </c>
      <c r="AP296" s="152">
        <f>IF($A296="","",IF(COUNTIFS(LLM_Data_Entry!$A$3:$A$548,$A296)&gt;0,"YES","NO"))</f>
        <v/>
      </c>
      <c r="AQ296" s="152">
        <f>IF($A296="","",IF(COUNTIFS($A$3:$A296,$A296,$C$3:$C296,$C296,$D$3:$D296,$D296)=1,"YES","NO"))</f>
        <v/>
      </c>
      <c r="AR296" s="152">
        <f>IF($A296="","",IF(AND($C296&amp;"-"&amp;$D296&gt;=Settings!$B$19,$C296&amp;"-"&amp;$D296&lt;=Settings!$B$20),"IN","OUT"))</f>
        <v/>
      </c>
      <c r="AS296" s="152">
        <f>IF($A296="","",IF($F296="Financial Results","financials",IF($F296="Outlook/Guidance","guidance",IF($F296="Transcript Q&amp;A","qanda",IF($F296="","unrecorded",IF($E296="All","full",IF($E296="","unrecorded",LOWER($E296)&amp;" only")))))))</f>
        <v/>
      </c>
      <c r="AT296" s="152">
        <f>IF(AND(OR($J296="BUY",$J296="SELL"),ISNUMBER($U296)),$U296,"")</f>
        <v/>
      </c>
      <c r="AU296" s="152">
        <f>IF(AND(OR($J296="BUY",$J296="SELL"),ISNUMBER($AK296)),$AK296,"")</f>
        <v/>
      </c>
      <c r="AV296" s="152">
        <f>IF(ISNUMBER($AT296),ABS(IF(ISNUMBER($I296),$I296,0)-Settings!$B$24),"")</f>
        <v/>
      </c>
      <c r="AW296" s="152">
        <f>IF(ISNUMBER($AV296),$AV296*$AT296,"")</f>
        <v/>
      </c>
      <c r="AX296" s="152">
        <f>IF(ISNUMBER($AU296),ABS(IF(ISNUMBER($I296),$I296,0)-Settings!$B$24),"")</f>
        <v/>
      </c>
      <c r="AY296" s="152" t="inlineStr">
        <is>
          <t>FROZEN</t>
        </is>
      </c>
      <c r="AZ296" s="152">
        <f>IF($A296="","",IFERROR(INDEX(Company_List!$H$3:$H$207,MATCH($A296,Company_List!$A$3:$A$207,0)),"unassigned"))</f>
        <v/>
      </c>
      <c r="BA296" s="152" t="n"/>
      <c r="BB296" s="152" t="n"/>
      <c r="BC296" s="152">
        <f>IF($A296="","",IF(COUNTIFS($A$3:$A296,$A296,$C$3:$C296,$C296,$D$3:$D296,$D296,$G$3:$G296,$G296)=1,1,0))</f>
        <v/>
      </c>
      <c r="BD296" s="152" t="n"/>
      <c r="BE296" s="152" t="n"/>
      <c r="BF296" s="152" t="n"/>
      <c r="BG296" s="152" t="inlineStr">
        <is>
          <t>no</t>
        </is>
      </c>
      <c r="BH296" s="152" t="n"/>
      <c r="BI296" s="152" t="n"/>
      <c r="BJ296" s="152" t="n"/>
      <c r="BK296" s="152">
        <f>IF(OR($H296&lt;&gt;"Human",$S296="",$J296="",$Y296="",$Z296=""),"",IF(EXACT(UPPER($J296),UPPER($Y296)),1,0))</f>
        <v/>
      </c>
      <c r="BL296" s="152" t="inlineStr">
        <is>
          <t>assumed - no rater record</t>
        </is>
      </c>
      <c r="BM296" s="152" t="n">
        <v>1</v>
      </c>
      <c r="BN296" s="152" t="inlineStr">
        <is>
          <t>The Motley Fool</t>
        </is>
      </c>
      <c r="BO296" s="152" t="inlineStr">
        <is>
          <t>free to read, copyright asserted</t>
        </is>
      </c>
      <c r="BP296" s="152" t="inlineStr">
        <is>
          <t>no</t>
        </is>
      </c>
      <c r="BQ296" s="152" t="inlineStr">
        <is>
          <t>yes</t>
        </is>
      </c>
      <c r="BR296" s="152" t="n"/>
      <c r="BS296" s="152" t="inlineStr">
        <is>
          <t>YES</t>
        </is>
      </c>
      <c r="BT296" s="152" t="n"/>
    </row>
    <row r="297" ht="15" customHeight="1" s="241">
      <c r="A297" s="193" t="inlineStr">
        <is>
          <t>Alphabet</t>
        </is>
      </c>
      <c r="B297" s="194">
        <f>IF(A297="","",_xlfn.XLOOKUP(A297, Company_List!$A:$A, Company_List!$B:$B, ""))</f>
        <v/>
      </c>
      <c r="C297" s="177" t="n">
        <v>2025</v>
      </c>
      <c r="D297" s="177" t="inlineStr">
        <is>
          <t>Q4</t>
        </is>
      </c>
      <c r="E297" s="178" t="inlineStr">
        <is>
          <t>Press Release Document</t>
        </is>
      </c>
      <c r="F297" s="178" t="inlineStr">
        <is>
          <t>Financial Results</t>
        </is>
      </c>
      <c r="G297" s="177" t="inlineStr">
        <is>
          <t>David</t>
        </is>
      </c>
      <c r="H297" s="177" t="inlineStr">
        <is>
          <t>Human</t>
        </is>
      </c>
      <c r="I297" s="180" t="n">
        <v>0.75</v>
      </c>
      <c r="J297" s="180">
        <f>IF(OR(I297="",Settings!$B$6=""),"",IF(I297&gt;Settings!$B$6,"BUY",IF(I297&lt;-Settings!$B$6,"SELL","HOLD")))</f>
        <v/>
      </c>
      <c r="K297" s="180" t="n">
        <v>36</v>
      </c>
      <c r="L297" s="182" t="n">
        <v>46057</v>
      </c>
      <c r="M297" s="182" t="n">
        <v>46057</v>
      </c>
      <c r="N297" s="179" t="n">
        <v>333.04</v>
      </c>
      <c r="O297" s="182" t="n">
        <v>46058</v>
      </c>
      <c r="P297" s="180" t="n">
        <v>312.22</v>
      </c>
      <c r="Q297" s="184">
        <f>IF(OR(N297="",P297=""),"",ROUND((P297-N297)/N297,4))</f>
        <v/>
      </c>
      <c r="R297" s="177">
        <f>IF(OR(N297="",P297=""),"",IF(Q297&gt;Settings!$B$3/100,"UP",IF(Q297&lt;-Settings!$B$3/100,"DOWN","FLAT")))</f>
        <v/>
      </c>
      <c r="S297" s="177">
        <f>IF(OR(N297="",P297="",J297=""),"",IF(OR(AND(J297="BUY",R297="UP"),AND(J297="SELL",R297="DOWN"),AND(J297="HOLD",R297="FLAT")),"YES","NO"))</f>
        <v/>
      </c>
      <c r="T297" s="176">
        <f>IF(J297="","",IF(J297="BUY",1,IF(J297="SELL",-1,0)))</f>
        <v/>
      </c>
      <c r="U297" s="184">
        <f>IFERROR(IF(OR(J297="",N297="",P297=""),"",IF(T297=0,0,T297*Q297-Settings!$B$4/10000-IF(T297&lt;0,Settings!$B$5/10000,0))),"")</f>
        <v/>
      </c>
      <c r="V297" s="152" t="n"/>
      <c r="W297" s="176">
        <f>IF($K297="","",$K297*60)</f>
        <v/>
      </c>
      <c r="X297" s="186">
        <f>IF($A297="","",$A297&amp;"|"&amp;$C297&amp;"|"&amp;$D297)</f>
        <v/>
      </c>
      <c r="Y297" s="186">
        <f>IFERROR(IF($X297="","",INDEX(LLM_Data_Entry!$H$3:$H$548,MATCH($X297,INDEX(LLM_Data_Entry!$A$3:$A$548&amp;"|"&amp;LLM_Data_Entry!$C$3:$C$548&amp;"|"&amp;LLM_Data_Entry!$D$3:$D$548,0),0))),"")</f>
        <v/>
      </c>
      <c r="Z297" s="186">
        <f>IFERROR(IF($X297="","",INDEX(LLM_Data_Entry!$R$3:$R$548,MATCH($X297,INDEX(LLM_Data_Entry!$A$3:$A$548&amp;"|"&amp;LLM_Data_Entry!$C$3:$C$548&amp;"|"&amp;LLM_Data_Entry!$D$3:$D$548,0),0))),"")</f>
        <v/>
      </c>
      <c r="AA297" s="152" t="n"/>
      <c r="AB297" s="152" t="inlineStr">
        <is>
          <t>price signal — only this window shows an abnormal move</t>
        </is>
      </c>
      <c r="AC297" s="152" t="inlineStr">
        <is>
          <t>GOOGL</t>
        </is>
      </c>
      <c r="AD297" s="152" t="inlineStr">
        <is>
          <t>2026-02-04</t>
        </is>
      </c>
      <c r="AE297" s="152" t="n">
        <v>332.6071</v>
      </c>
      <c r="AF297" s="152" t="inlineStr">
        <is>
          <t>2026-02-05</t>
        </is>
      </c>
      <c r="AG297" s="152" t="n">
        <v>311.8141</v>
      </c>
      <c r="AH297" s="152" t="n">
        <v>-0.0625150549714361</v>
      </c>
      <c r="AI297" s="152" t="inlineStr">
        <is>
          <t>DOWN</t>
        </is>
      </c>
      <c r="AJ297" s="152" t="inlineStr">
        <is>
          <t>NO</t>
        </is>
      </c>
      <c r="AK297" s="152" t="n">
        <v>-0.063515</v>
      </c>
      <c r="AL297" s="152">
        <f>IF($A297="","",IFERROR(INDEX(Company_List!$G$3:$G$207,MATCH($A297,Company_List!$A$3:$A$207,0)),"unassigned"))</f>
        <v/>
      </c>
      <c r="AM297" s="152" t="inlineStr">
        <is>
          <t>Phase 2/Alphabet/2025-Q4/GOOGL-2025-Q4-press-release-SEC-EX-99-1.htm</t>
        </is>
      </c>
      <c r="AN297" s="152" t="inlineStr">
        <is>
          <t>https://www.sec.gov/Archives/edgar/data/1652044/000165204426000012/googexhibit991q42025.htm</t>
        </is>
      </c>
      <c r="AO297" s="152" t="inlineStr">
        <is>
          <t>manifest</t>
        </is>
      </c>
      <c r="AP297" s="152">
        <f>IF($A297="","",IF(COUNTIFS(LLM_Data_Entry!$A$3:$A$548,$A297)&gt;0,"YES","NO"))</f>
        <v/>
      </c>
      <c r="AQ297" s="152">
        <f>IF($A297="","",IF(COUNTIFS($A$3:$A297,$A297,$C$3:$C297,$C297,$D$3:$D297,$D297)=1,"YES","NO"))</f>
        <v/>
      </c>
      <c r="AR297" s="152">
        <f>IF($A297="","",IF(AND($C297&amp;"-"&amp;$D297&gt;=Settings!$B$19,$C297&amp;"-"&amp;$D297&lt;=Settings!$B$20),"IN","OUT"))</f>
        <v/>
      </c>
      <c r="AS297" s="152">
        <f>IF($A297="","",IF($F297="Financial Results","financials",IF($F297="Outlook/Guidance","guidance",IF($F297="Transcript Q&amp;A","qanda",IF($F297="","unrecorded",IF($E297="All","full",IF($E297="","unrecorded",LOWER($E297)&amp;" only")))))))</f>
        <v/>
      </c>
      <c r="AT297" s="152">
        <f>IF(AND(OR($J297="BUY",$J297="SELL"),ISNUMBER($U297)),$U297,"")</f>
        <v/>
      </c>
      <c r="AU297" s="152">
        <f>IF(AND(OR($J297="BUY",$J297="SELL"),ISNUMBER($AK297)),$AK297,"")</f>
        <v/>
      </c>
      <c r="AV297" s="152">
        <f>IF(ISNUMBER($AT297),ABS(IF(ISNUMBER($I297),$I297,0)-Settings!$B$24),"")</f>
        <v/>
      </c>
      <c r="AW297" s="152">
        <f>IF(ISNUMBER($AV297),$AV297*$AT297,"")</f>
        <v/>
      </c>
      <c r="AX297" s="152">
        <f>IF(ISNUMBER($AU297),ABS(IF(ISNUMBER($I297),$I297,0)-Settings!$B$24),"")</f>
        <v/>
      </c>
      <c r="AY297" s="152" t="inlineStr">
        <is>
          <t>FROZEN</t>
        </is>
      </c>
      <c r="AZ297" s="152">
        <f>IF($A297="","",IFERROR(INDEX(Company_List!$H$3:$H$207,MATCH($A297,Company_List!$A$3:$A$207,0)),"unassigned"))</f>
        <v/>
      </c>
      <c r="BA297" s="152" t="n"/>
      <c r="BB297" s="152" t="n"/>
      <c r="BC297" s="152">
        <f>IF($A297="","",IF(COUNTIFS($A$3:$A297,$A297,$C$3:$C297,$C297,$D$3:$D297,$D297,$G$3:$G297,$G297)=1,1,0))</f>
        <v/>
      </c>
      <c r="BD297" s="152" t="n"/>
      <c r="BE297" s="152" t="n"/>
      <c r="BF297" s="152" t="n"/>
      <c r="BG297" s="152" t="inlineStr">
        <is>
          <t>no</t>
        </is>
      </c>
      <c r="BH297" s="152" t="n"/>
      <c r="BI297" s="152" t="n"/>
      <c r="BJ297" s="152" t="n"/>
      <c r="BK297" s="152">
        <f>IF(OR($H297&lt;&gt;"Human",$S297="",$J297="",$Y297="",$Z297=""),"",IF(EXACT(UPPER($J297),UPPER($Y297)),1,0))</f>
        <v/>
      </c>
      <c r="BL297" s="152" t="inlineStr">
        <is>
          <t>assumed - no rater record</t>
        </is>
      </c>
      <c r="BM297" s="152" t="n">
        <v>1</v>
      </c>
      <c r="BN297" s="152" t="inlineStr">
        <is>
          <t>not publisher-identified</t>
        </is>
      </c>
      <c r="BO297" s="152" t="inlineStr">
        <is>
          <t>not publisher-identified</t>
        </is>
      </c>
      <c r="BP297" s="152" t="inlineStr">
        <is>
          <t>no</t>
        </is>
      </c>
      <c r="BQ297" s="152" t="inlineStr">
        <is>
          <t>yes</t>
        </is>
      </c>
      <c r="BR297" s="152" t="n"/>
      <c r="BS297" s="152" t="inlineStr">
        <is>
          <t>YES</t>
        </is>
      </c>
      <c r="BT297" s="152" t="n"/>
    </row>
    <row r="298" ht="15" customHeight="1" s="241">
      <c r="A298" s="193" t="inlineStr">
        <is>
          <t>Booking Holdings</t>
        </is>
      </c>
      <c r="B298" s="194">
        <f>IF(A298="","",_xlfn.XLOOKUP(A298, Company_List!$A:$A, Company_List!$B:$B, ""))</f>
        <v/>
      </c>
      <c r="C298" s="177" t="n">
        <v>2025</v>
      </c>
      <c r="D298" s="177" t="inlineStr">
        <is>
          <t>Q2</t>
        </is>
      </c>
      <c r="E298" s="178" t="inlineStr">
        <is>
          <t>Press Release Document</t>
        </is>
      </c>
      <c r="F298" s="178" t="inlineStr">
        <is>
          <t>Financial Results</t>
        </is>
      </c>
      <c r="G298" s="177" t="inlineStr">
        <is>
          <t>David</t>
        </is>
      </c>
      <c r="H298" s="177" t="inlineStr">
        <is>
          <t>Human</t>
        </is>
      </c>
      <c r="I298" s="180" t="n">
        <v>0.3</v>
      </c>
      <c r="J298" s="180">
        <f>IF(OR(I298="",Settings!$B$6=""),"",IF(I298&gt;Settings!$B$6,"BUY",IF(I298&lt;-Settings!$B$6,"SELL","HOLD")))</f>
        <v/>
      </c>
      <c r="K298" s="180" t="n">
        <v>31</v>
      </c>
      <c r="L298" s="182" t="n">
        <v>45867</v>
      </c>
      <c r="M298" s="182" t="n">
        <v>45867</v>
      </c>
      <c r="N298" s="179" t="n">
        <v>223.6308</v>
      </c>
      <c r="O298" s="182" t="n">
        <v>45868</v>
      </c>
      <c r="P298" s="180" t="n">
        <v>219.6</v>
      </c>
      <c r="Q298" s="184">
        <f>IF(OR(N298="",P298=""),"",ROUND((P298-N298)/N298,4))</f>
        <v/>
      </c>
      <c r="R298" s="177">
        <f>IF(OR(N298="",P298=""),"",IF(Q298&gt;Settings!$B$3/100,"UP",IF(Q298&lt;-Settings!$B$3/100,"DOWN","FLAT")))</f>
        <v/>
      </c>
      <c r="S298" s="177">
        <f>IF(OR(N298="",P298="",J298=""),"",IF(OR(AND(J298="BUY",R298="UP"),AND(J298="SELL",R298="DOWN"),AND(J298="HOLD",R298="FLAT")),"YES","NO"))</f>
        <v/>
      </c>
      <c r="T298" s="176">
        <f>IF(J298="","",IF(J298="BUY",1,IF(J298="SELL",-1,0)))</f>
        <v/>
      </c>
      <c r="U298" s="184">
        <f>IFERROR(IF(OR(J298="",N298="",P298=""),"",IF(T298=0,0,T298*Q298-Settings!$B$4/10000-IF(T298&lt;0,Settings!$B$5/10000,0))),"")</f>
        <v/>
      </c>
      <c r="V298" s="152" t="n"/>
      <c r="W298" s="176">
        <f>IF($K298="","",$K298*60)</f>
        <v/>
      </c>
      <c r="X298" s="186">
        <f>IF($A298="","",$A298&amp;"|"&amp;$C298&amp;"|"&amp;$D298)</f>
        <v/>
      </c>
      <c r="Y298" s="186">
        <f>IFERROR(IF($X298="","",INDEX(LLM_Data_Entry!$H$3:$H$548,MATCH($X298,INDEX(LLM_Data_Entry!$A$3:$A$548&amp;"|"&amp;LLM_Data_Entry!$C$3:$C$548&amp;"|"&amp;LLM_Data_Entry!$D$3:$D$548,0),0))),"")</f>
        <v/>
      </c>
      <c r="Z298" s="186">
        <f>IFERROR(IF($X298="","",INDEX(LLM_Data_Entry!$R$3:$R$548,MATCH($X298,INDEX(LLM_Data_Entry!$A$3:$A$548&amp;"|"&amp;LLM_Data_Entry!$C$3:$C$548&amp;"|"&amp;LLM_Data_Entry!$D$3:$D$548,0),0))),"")</f>
        <v/>
      </c>
      <c r="AA298" s="152" t="n"/>
      <c r="AB298" s="152" t="inlineStr">
        <is>
          <t>release date + stated time in the document (rater worksheet)</t>
        </is>
      </c>
      <c r="AC298" s="152" t="inlineStr">
        <is>
          <t>BKNG</t>
        </is>
      </c>
      <c r="AD298" s="152" t="inlineStr">
        <is>
          <t>2025-07-29</t>
        </is>
      </c>
      <c r="AE298" s="152" t="n">
        <v>221.7555</v>
      </c>
      <c r="AF298" s="152" t="inlineStr">
        <is>
          <t>2025-07-30</t>
        </is>
      </c>
      <c r="AG298" s="152" t="n">
        <v>217.7585</v>
      </c>
      <c r="AH298" s="152" t="n">
        <v>-0.01802440648764589</v>
      </c>
      <c r="AI298" s="152" t="inlineStr">
        <is>
          <t>FLAT</t>
        </is>
      </c>
      <c r="AJ298" s="152" t="inlineStr">
        <is>
          <t>NO</t>
        </is>
      </c>
      <c r="AK298" s="152" t="n">
        <v>-0.019024</v>
      </c>
      <c r="AL298" s="152">
        <f>IF($A298="","",IFERROR(INDEX(Company_List!$G$3:$G$207,MATCH($A298,Company_List!$A$3:$A$207,0)),"unassigned"))</f>
        <v/>
      </c>
      <c r="AM298" s="152" t="inlineStr">
        <is>
          <t>Phase 3/Readings/Booking Holdings/Q2/Booking-Holdings-Inc-BKNG-US-Q2-2025-Earnings-Call-29-July-2025-4_30-PM-ET.pdf</t>
        </is>
      </c>
      <c r="AN298" s="152" t="n"/>
      <c r="AO298" s="152" t="inlineStr">
        <is>
          <t>unique filename match</t>
        </is>
      </c>
      <c r="AP298" s="152">
        <f>IF($A298="","",IF(COUNTIFS(LLM_Data_Entry!$A$3:$A$548,$A298)&gt;0,"YES","NO"))</f>
        <v/>
      </c>
      <c r="AQ298" s="152">
        <f>IF($A298="","",IF(COUNTIFS($A$3:$A298,$A298,$C$3:$C298,$C298,$D$3:$D298,$D298)=1,"YES","NO"))</f>
        <v/>
      </c>
      <c r="AR298" s="152">
        <f>IF($A298="","",IF(AND($C298&amp;"-"&amp;$D298&gt;=Settings!$B$19,$C298&amp;"-"&amp;$D298&lt;=Settings!$B$20),"IN","OUT"))</f>
        <v/>
      </c>
      <c r="AS298" s="152">
        <f>IF($A298="","",IF($F298="Financial Results","financials",IF($F298="Outlook/Guidance","guidance",IF($F298="Transcript Q&amp;A","qanda",IF($F298="","unrecorded",IF($E298="All","full",IF($E298="","unrecorded",LOWER($E298)&amp;" only")))))))</f>
        <v/>
      </c>
      <c r="AT298" s="152">
        <f>IF(AND(OR($J298="BUY",$J298="SELL"),ISNUMBER($U298)),$U298,"")</f>
        <v/>
      </c>
      <c r="AU298" s="152">
        <f>IF(AND(OR($J298="BUY",$J298="SELL"),ISNUMBER($AK298)),$AK298,"")</f>
        <v/>
      </c>
      <c r="AV298" s="152">
        <f>IF(ISNUMBER($AT298),ABS(IF(ISNUMBER($I298),$I298,0)-Settings!$B$24),"")</f>
        <v/>
      </c>
      <c r="AW298" s="152">
        <f>IF(ISNUMBER($AV298),$AV298*$AT298,"")</f>
        <v/>
      </c>
      <c r="AX298" s="152">
        <f>IF(ISNUMBER($AU298),ABS(IF(ISNUMBER($I298),$I298,0)-Settings!$B$24),"")</f>
        <v/>
      </c>
      <c r="AY298" s="152" t="inlineStr">
        <is>
          <t>FROZEN</t>
        </is>
      </c>
      <c r="AZ298" s="152">
        <f>IF($A298="","",IFERROR(INDEX(Company_List!$H$3:$H$207,MATCH($A298,Company_List!$A$3:$A$207,0)),"unassigned"))</f>
        <v/>
      </c>
      <c r="BA298" s="152" t="n"/>
      <c r="BB298" s="152" t="n"/>
      <c r="BC298" s="152">
        <f>IF($A298="","",IF(COUNTIFS($A$3:$A298,$A298,$C$3:$C298,$C298,$D$3:$D298,$D298,$G$3:$G298,$G298)=1,1,0))</f>
        <v/>
      </c>
      <c r="BD298" s="152" t="n"/>
      <c r="BE298" s="152" t="n"/>
      <c r="BF298" s="152" t="n"/>
      <c r="BG298" s="152" t="inlineStr">
        <is>
          <t>no</t>
        </is>
      </c>
      <c r="BH298" s="152" t="n"/>
      <c r="BI298" s="152" t="n"/>
      <c r="BJ298" s="152" t="n"/>
      <c r="BK298" s="152">
        <f>IF(OR($H298&lt;&gt;"Human",$S298="",$J298="",$Y298="",$Z298=""),"",IF(EXACT(UPPER($J298),UPPER($Y298)),1,0))</f>
        <v/>
      </c>
      <c r="BL298" s="152" t="inlineStr">
        <is>
          <t>assumed - no rater record</t>
        </is>
      </c>
      <c r="BM298" s="152" t="n">
        <v>1</v>
      </c>
      <c r="BN298" s="152" t="inlineStr">
        <is>
          <t>FactSet CallStreet</t>
        </is>
      </c>
      <c r="BO298" s="152" t="inlineStr">
        <is>
          <t>licensed vendor</t>
        </is>
      </c>
      <c r="BP298" s="152" t="inlineStr">
        <is>
          <t>no</t>
        </is>
      </c>
      <c r="BQ298" s="152" t="inlineStr">
        <is>
          <t>no</t>
        </is>
      </c>
      <c r="BR298" s="152" t="n"/>
      <c r="BS298" s="152" t="inlineStr">
        <is>
          <t>YES</t>
        </is>
      </c>
      <c r="BT298" s="152" t="n"/>
    </row>
    <row r="299" ht="15" customHeight="1" s="241">
      <c r="A299" s="193" t="inlineStr">
        <is>
          <t>Booking Holdings</t>
        </is>
      </c>
      <c r="B299" s="194">
        <f>IF(A299="","",_xlfn.XLOOKUP(A299, Company_List!$A:$A, Company_List!$B:$B, ""))</f>
        <v/>
      </c>
      <c r="C299" s="177" t="n">
        <v>2025</v>
      </c>
      <c r="D299" s="177" t="inlineStr">
        <is>
          <t>Q3</t>
        </is>
      </c>
      <c r="E299" s="178" t="inlineStr">
        <is>
          <t>Transcript</t>
        </is>
      </c>
      <c r="F299" s="178" t="inlineStr">
        <is>
          <t>Outlook/Guidance</t>
        </is>
      </c>
      <c r="G299" s="177" t="inlineStr">
        <is>
          <t>David</t>
        </is>
      </c>
      <c r="H299" s="177" t="inlineStr">
        <is>
          <t>Human</t>
        </is>
      </c>
      <c r="I299" s="180" t="n">
        <v>0.2</v>
      </c>
      <c r="J299" s="180">
        <f>IF(OR(I299="",Settings!$B$6=""),"",IF(I299&gt;Settings!$B$6,"BUY",IF(I299&lt;-Settings!$B$6,"SELL","HOLD")))</f>
        <v/>
      </c>
      <c r="K299" s="180" t="n">
        <v>33</v>
      </c>
      <c r="L299" s="182" t="n">
        <v>45958</v>
      </c>
      <c r="M299" s="182" t="n">
        <v>45958</v>
      </c>
      <c r="N299" s="179" t="n">
        <v>204.8228</v>
      </c>
      <c r="O299" s="182" t="n">
        <v>45959</v>
      </c>
      <c r="P299" s="180" t="n">
        <v>208</v>
      </c>
      <c r="Q299" s="184">
        <f>IF(OR(N299="",P299=""),"",ROUND((P299-N299)/N299,4))</f>
        <v/>
      </c>
      <c r="R299" s="177">
        <f>IF(OR(N299="",P299=""),"",IF(Q299&gt;Settings!$B$3/100,"UP",IF(Q299&lt;-Settings!$B$3/100,"DOWN","FLAT")))</f>
        <v/>
      </c>
      <c r="S299" s="177">
        <f>IF(OR(N299="",P299="",J299=""),"",IF(OR(AND(J299="BUY",R299="UP"),AND(J299="SELL",R299="DOWN"),AND(J299="HOLD",R299="FLAT")),"YES","NO"))</f>
        <v/>
      </c>
      <c r="T299" s="176">
        <f>IF(J299="","",IF(J299="BUY",1,IF(J299="SELL",-1,0)))</f>
        <v/>
      </c>
      <c r="U299" s="184">
        <f>IFERROR(IF(OR(J299="",N299="",P299=""),"",IF(T299=0,0,T299*Q299-Settings!$B$4/10000-IF(T299&lt;0,Settings!$B$5/10000,0))),"")</f>
        <v/>
      </c>
      <c r="V299" s="152" t="n"/>
      <c r="W299" s="176">
        <f>IF($K299="","",$K299*60)</f>
        <v/>
      </c>
      <c r="X299" s="186">
        <f>IF($A299="","",$A299&amp;"|"&amp;$C299&amp;"|"&amp;$D299)</f>
        <v/>
      </c>
      <c r="Y299" s="186">
        <f>IFERROR(IF($X299="","",INDEX(LLM_Data_Entry!$H$3:$H$548,MATCH($X299,INDEX(LLM_Data_Entry!$A$3:$A$548&amp;"|"&amp;LLM_Data_Entry!$C$3:$C$548&amp;"|"&amp;LLM_Data_Entry!$D$3:$D$548,0),0))),"")</f>
        <v/>
      </c>
      <c r="Z299" s="186">
        <f>IFERROR(IF($X299="","",INDEX(LLM_Data_Entry!$R$3:$R$548,MATCH($X299,INDEX(LLM_Data_Entry!$A$3:$A$548&amp;"|"&amp;LLM_Data_Entry!$C$3:$C$548&amp;"|"&amp;LLM_Data_Entry!$D$3:$D$548,0),0))),"")</f>
        <v/>
      </c>
      <c r="AA299" s="152" t="n"/>
      <c r="AB299" s="152" t="inlineStr">
        <is>
          <t>release date + stated time in the document (rater worksheet)</t>
        </is>
      </c>
      <c r="AC299" s="152" t="inlineStr">
        <is>
          <t>BKNG</t>
        </is>
      </c>
      <c r="AD299" s="152" t="inlineStr">
        <is>
          <t>2025-10-28</t>
        </is>
      </c>
      <c r="AE299" s="152" t="n">
        <v>203.4549</v>
      </c>
      <c r="AF299" s="152" t="inlineStr">
        <is>
          <t>2025-10-29</t>
        </is>
      </c>
      <c r="AG299" s="152" t="n">
        <v>206.6113</v>
      </c>
      <c r="AH299" s="152" t="n">
        <v>0.01551397903404391</v>
      </c>
      <c r="AI299" s="152" t="inlineStr">
        <is>
          <t>FLAT</t>
        </is>
      </c>
      <c r="AJ299" s="152" t="inlineStr">
        <is>
          <t>YES</t>
        </is>
      </c>
      <c r="AK299" s="152" t="n">
        <v>0</v>
      </c>
      <c r="AL299" s="152">
        <f>IF($A299="","",IFERROR(INDEX(Company_List!$G$3:$G$207,MATCH($A299,Company_List!$A$3:$A$207,0)),"unassigned"))</f>
        <v/>
      </c>
      <c r="AM299" s="152" t="inlineStr">
        <is>
          <t>Phase 3/Readings/Booking Holdings/Q3/CORRECTED-TRANSCRIPT_-Booking-Holdings-Inc-BKNG-US-Q3-2025-Earnings-Call-28-October-2025-4_30-PM-ET.pdf</t>
        </is>
      </c>
      <c r="AN299" s="152" t="n"/>
      <c r="AO299" s="152" t="inlineStr">
        <is>
          <t>unique filename match</t>
        </is>
      </c>
      <c r="AP299" s="152">
        <f>IF($A299="","",IF(COUNTIFS(LLM_Data_Entry!$A$3:$A$548,$A299)&gt;0,"YES","NO"))</f>
        <v/>
      </c>
      <c r="AQ299" s="152">
        <f>IF($A299="","",IF(COUNTIFS($A$3:$A299,$A299,$C$3:$C299,$C299,$D$3:$D299,$D299)=1,"YES","NO"))</f>
        <v/>
      </c>
      <c r="AR299" s="152">
        <f>IF($A299="","",IF(AND($C299&amp;"-"&amp;$D299&gt;=Settings!$B$19,$C299&amp;"-"&amp;$D299&lt;=Settings!$B$20),"IN","OUT"))</f>
        <v/>
      </c>
      <c r="AS299" s="152">
        <f>IF($A299="","",IF($F299="Financial Results","financials",IF($F299="Outlook/Guidance","guidance",IF($F299="Transcript Q&amp;A","qanda",IF($F299="","unrecorded",IF($E299="All","full",IF($E299="","unrecorded",LOWER($E299)&amp;" only")))))))</f>
        <v/>
      </c>
      <c r="AT299" s="152">
        <f>IF(AND(OR($J299="BUY",$J299="SELL"),ISNUMBER($U299)),$U299,"")</f>
        <v/>
      </c>
      <c r="AU299" s="152">
        <f>IF(AND(OR($J299="BUY",$J299="SELL"),ISNUMBER($AK299)),$AK299,"")</f>
        <v/>
      </c>
      <c r="AV299" s="152">
        <f>IF(ISNUMBER($AT299),ABS(IF(ISNUMBER($I299),$I299,0)-Settings!$B$24),"")</f>
        <v/>
      </c>
      <c r="AW299" s="152">
        <f>IF(ISNUMBER($AV299),$AV299*$AT299,"")</f>
        <v/>
      </c>
      <c r="AX299" s="152">
        <f>IF(ISNUMBER($AU299),ABS(IF(ISNUMBER($I299),$I299,0)-Settings!$B$24),"")</f>
        <v/>
      </c>
      <c r="AY299" s="152" t="inlineStr">
        <is>
          <t>FROZEN</t>
        </is>
      </c>
      <c r="AZ299" s="152">
        <f>IF($A299="","",IFERROR(INDEX(Company_List!$H$3:$H$207,MATCH($A299,Company_List!$A$3:$A$207,0)),"unassigned"))</f>
        <v/>
      </c>
      <c r="BA299" s="152" t="n"/>
      <c r="BB299" s="152" t="n"/>
      <c r="BC299" s="152">
        <f>IF($A299="","",IF(COUNTIFS($A$3:$A299,$A299,$C$3:$C299,$C299,$D$3:$D299,$D299,$G$3:$G299,$G299)=1,1,0))</f>
        <v/>
      </c>
      <c r="BD299" s="152" t="n"/>
      <c r="BE299" s="152" t="n"/>
      <c r="BF299" s="152" t="n"/>
      <c r="BG299" s="152" t="inlineStr">
        <is>
          <t>no</t>
        </is>
      </c>
      <c r="BH299" s="152" t="n"/>
      <c r="BI299" s="152" t="n"/>
      <c r="BJ299" s="152" t="n"/>
      <c r="BK299" s="152">
        <f>IF(OR($H299&lt;&gt;"Human",$S299="",$J299="",$Y299="",$Z299=""),"",IF(EXACT(UPPER($J299),UPPER($Y299)),1,0))</f>
        <v/>
      </c>
      <c r="BL299" s="152" t="inlineStr">
        <is>
          <t>assumed - no rater record</t>
        </is>
      </c>
      <c r="BM299" s="152" t="n">
        <v>1</v>
      </c>
      <c r="BN299" s="152" t="inlineStr">
        <is>
          <t>FactSet CallStreet</t>
        </is>
      </c>
      <c r="BO299" s="152" t="inlineStr">
        <is>
          <t>licensed vendor</t>
        </is>
      </c>
      <c r="BP299" s="152" t="inlineStr">
        <is>
          <t>no</t>
        </is>
      </c>
      <c r="BQ299" s="152" t="inlineStr">
        <is>
          <t>no</t>
        </is>
      </c>
      <c r="BR299" s="152" t="n"/>
      <c r="BS299" s="152" t="inlineStr">
        <is>
          <t>YES</t>
        </is>
      </c>
      <c r="BT299" s="152" t="n"/>
    </row>
    <row r="300" ht="15" customHeight="1" s="241">
      <c r="A300" s="193" t="inlineStr">
        <is>
          <t>Booking Holdings</t>
        </is>
      </c>
      <c r="B300" s="194">
        <f>IF(A300="","",_xlfn.XLOOKUP(A300, Company_List!$A:$A, Company_List!$B:$B, ""))</f>
        <v/>
      </c>
      <c r="C300" s="177" t="n">
        <v>2025</v>
      </c>
      <c r="D300" s="177" t="inlineStr">
        <is>
          <t>Q4</t>
        </is>
      </c>
      <c r="E300" s="178" t="inlineStr">
        <is>
          <t>Transcript</t>
        </is>
      </c>
      <c r="F300" s="178" t="inlineStr">
        <is>
          <t>Transcript Q&amp;A</t>
        </is>
      </c>
      <c r="G300" s="177" t="inlineStr">
        <is>
          <t>David</t>
        </is>
      </c>
      <c r="H300" s="177" t="inlineStr">
        <is>
          <t>Human</t>
        </is>
      </c>
      <c r="I300" s="180" t="n">
        <v>-0.35</v>
      </c>
      <c r="J300" s="180">
        <f>IF(OR(I300="",Settings!$B$6=""),"",IF(I300&gt;Settings!$B$6,"BUY",IF(I300&lt;-Settings!$B$6,"SELL","HOLD")))</f>
        <v/>
      </c>
      <c r="K300" s="180" t="n">
        <v>45</v>
      </c>
      <c r="L300" s="182" t="n">
        <v>46071</v>
      </c>
      <c r="M300" s="182" t="n">
        <v>46071</v>
      </c>
      <c r="N300" s="179" t="n">
        <v>170.7996</v>
      </c>
      <c r="O300" s="182" t="n">
        <v>46072</v>
      </c>
      <c r="P300" s="180" t="n">
        <v>163.55</v>
      </c>
      <c r="Q300" s="184">
        <f>IF(OR(N300="",P300=""),"",ROUND((P300-N300)/N300,4))</f>
        <v/>
      </c>
      <c r="R300" s="177">
        <f>IF(OR(N300="",P300=""),"",IF(Q300&gt;Settings!$B$3/100,"UP",IF(Q300&lt;-Settings!$B$3/100,"DOWN","FLAT")))</f>
        <v/>
      </c>
      <c r="S300" s="177">
        <f>IF(OR(N300="",P300="",J300=""),"",IF(OR(AND(J300="BUY",R300="UP"),AND(J300="SELL",R300="DOWN"),AND(J300="HOLD",R300="FLAT")),"YES","NO"))</f>
        <v/>
      </c>
      <c r="T300" s="176">
        <f>IF(J300="","",IF(J300="BUY",1,IF(J300="SELL",-1,0)))</f>
        <v/>
      </c>
      <c r="U300" s="184">
        <f>IFERROR(IF(OR(J300="",N300="",P300=""),"",IF(T300=0,0,T300*Q300-Settings!$B$4/10000-IF(T300&lt;0,Settings!$B$5/10000,0))),"")</f>
        <v/>
      </c>
      <c r="V300" s="152" t="n"/>
      <c r="W300" s="176">
        <f>IF($K300="","",$K300*60)</f>
        <v/>
      </c>
      <c r="X300" s="186">
        <f>IF($A300="","",$A300&amp;"|"&amp;$C300&amp;"|"&amp;$D300)</f>
        <v/>
      </c>
      <c r="Y300" s="186">
        <f>IFERROR(IF($X300="","",INDEX(LLM_Data_Entry!$H$3:$H$548,MATCH($X300,INDEX(LLM_Data_Entry!$A$3:$A$548&amp;"|"&amp;LLM_Data_Entry!$C$3:$C$548&amp;"|"&amp;LLM_Data_Entry!$D$3:$D$548,0),0))),"")</f>
        <v/>
      </c>
      <c r="Z300" s="186">
        <f>IFERROR(IF($X300="","",INDEX(LLM_Data_Entry!$R$3:$R$548,MATCH($X300,INDEX(LLM_Data_Entry!$A$3:$A$548&amp;"|"&amp;LLM_Data_Entry!$C$3:$C$548&amp;"|"&amp;LLM_Data_Entry!$D$3:$D$548,0),0))),"")</f>
        <v/>
      </c>
      <c r="AA300" s="152" t="n"/>
      <c r="AB300" s="152" t="inlineStr">
        <is>
          <t>release date + stated time in the document (rater worksheet)</t>
        </is>
      </c>
      <c r="AC300" s="152" t="inlineStr">
        <is>
          <t>BKNG</t>
        </is>
      </c>
      <c r="AD300" s="152" t="inlineStr">
        <is>
          <t>2026-02-18</t>
        </is>
      </c>
      <c r="AE300" s="152" t="n">
        <v>169.9835</v>
      </c>
      <c r="AF300" s="152" t="inlineStr">
        <is>
          <t>2026-02-19</t>
        </is>
      </c>
      <c r="AG300" s="152" t="n">
        <v>162.7733</v>
      </c>
      <c r="AH300" s="152" t="n">
        <v>-0.04241706599239561</v>
      </c>
      <c r="AI300" s="152" t="inlineStr">
        <is>
          <t>DOWN</t>
        </is>
      </c>
      <c r="AJ300" s="152" t="inlineStr">
        <is>
          <t>YES</t>
        </is>
      </c>
      <c r="AK300" s="152" t="n">
        <v>0.041417</v>
      </c>
      <c r="AL300" s="152">
        <f>IF($A300="","",IFERROR(INDEX(Company_List!$G$3:$G$207,MATCH($A300,Company_List!$A$3:$A$207,0)),"unassigned"))</f>
        <v/>
      </c>
      <c r="AM300" s="152" t="inlineStr">
        <is>
          <t>Phase 3/Readings/Booking Holdings/Q4/CORRECTED-TRANSCRIPT_-Booking-Holdings-Inc-BKNG-US-Q4-2025-Earnings-Call-18-February-2026-4_30-PM-ET.pdf</t>
        </is>
      </c>
      <c r="AN300" s="152" t="n"/>
      <c r="AO300" s="152" t="inlineStr">
        <is>
          <t>unique filename match</t>
        </is>
      </c>
      <c r="AP300" s="152">
        <f>IF($A300="","",IF(COUNTIFS(LLM_Data_Entry!$A$3:$A$548,$A300)&gt;0,"YES","NO"))</f>
        <v/>
      </c>
      <c r="AQ300" s="152">
        <f>IF($A300="","",IF(COUNTIFS($A$3:$A300,$A300,$C$3:$C300,$C300,$D$3:$D300,$D300)=1,"YES","NO"))</f>
        <v/>
      </c>
      <c r="AR300" s="152">
        <f>IF($A300="","",IF(AND($C300&amp;"-"&amp;$D300&gt;=Settings!$B$19,$C300&amp;"-"&amp;$D300&lt;=Settings!$B$20),"IN","OUT"))</f>
        <v/>
      </c>
      <c r="AS300" s="152">
        <f>IF($A300="","",IF($F300="Financial Results","financials",IF($F300="Outlook/Guidance","guidance",IF($F300="Transcript Q&amp;A","qanda",IF($F300="","unrecorded",IF($E300="All","full",IF($E300="","unrecorded",LOWER($E300)&amp;" only")))))))</f>
        <v/>
      </c>
      <c r="AT300" s="152">
        <f>IF(AND(OR($J300="BUY",$J300="SELL"),ISNUMBER($U300)),$U300,"")</f>
        <v/>
      </c>
      <c r="AU300" s="152">
        <f>IF(AND(OR($J300="BUY",$J300="SELL"),ISNUMBER($AK300)),$AK300,"")</f>
        <v/>
      </c>
      <c r="AV300" s="152">
        <f>IF(ISNUMBER($AT300),ABS(IF(ISNUMBER($I300),$I300,0)-Settings!$B$24),"")</f>
        <v/>
      </c>
      <c r="AW300" s="152">
        <f>IF(ISNUMBER($AV300),$AV300*$AT300,"")</f>
        <v/>
      </c>
      <c r="AX300" s="152">
        <f>IF(ISNUMBER($AU300),ABS(IF(ISNUMBER($I300),$I300,0)-Settings!$B$24),"")</f>
        <v/>
      </c>
      <c r="AY300" s="152" t="inlineStr">
        <is>
          <t>FROZEN</t>
        </is>
      </c>
      <c r="AZ300" s="152">
        <f>IF($A300="","",IFERROR(INDEX(Company_List!$H$3:$H$207,MATCH($A300,Company_List!$A$3:$A$207,0)),"unassigned"))</f>
        <v/>
      </c>
      <c r="BA300" s="152" t="n"/>
      <c r="BB300" s="152" t="n"/>
      <c r="BC300" s="152">
        <f>IF($A300="","",IF(COUNTIFS($A$3:$A300,$A300,$C$3:$C300,$C300,$D$3:$D300,$D300,$G$3:$G300,$G300)=1,1,0))</f>
        <v/>
      </c>
      <c r="BD300" s="152" t="n"/>
      <c r="BE300" s="152" t="n"/>
      <c r="BF300" s="152" t="n"/>
      <c r="BG300" s="152" t="inlineStr">
        <is>
          <t>no</t>
        </is>
      </c>
      <c r="BH300" s="152" t="n"/>
      <c r="BI300" s="152" t="n"/>
      <c r="BJ300" s="152" t="n"/>
      <c r="BK300" s="152">
        <f>IF(OR($H300&lt;&gt;"Human",$S300="",$J300="",$Y300="",$Z300=""),"",IF(EXACT(UPPER($J300),UPPER($Y300)),1,0))</f>
        <v/>
      </c>
      <c r="BL300" s="152" t="inlineStr">
        <is>
          <t>assumed - no rater record</t>
        </is>
      </c>
      <c r="BM300" s="152" t="n">
        <v>1</v>
      </c>
      <c r="BN300" s="152" t="inlineStr">
        <is>
          <t>FactSet CallStreet</t>
        </is>
      </c>
      <c r="BO300" s="152" t="inlineStr">
        <is>
          <t>licensed vendor</t>
        </is>
      </c>
      <c r="BP300" s="152" t="inlineStr">
        <is>
          <t>no</t>
        </is>
      </c>
      <c r="BQ300" s="152" t="inlineStr">
        <is>
          <t>no</t>
        </is>
      </c>
      <c r="BR300" s="152" t="n"/>
      <c r="BS300" s="152" t="inlineStr">
        <is>
          <t>YES</t>
        </is>
      </c>
      <c r="BT300" s="152" t="n"/>
    </row>
    <row r="301" ht="15" customHeight="1" s="241">
      <c r="A301" s="193" t="inlineStr">
        <is>
          <t>Broadcom</t>
        </is>
      </c>
      <c r="B301" s="194">
        <f>IF(A301="","",_xlfn.XLOOKUP(A301, Company_List!$A:$A, Company_List!$B:$B, ""))</f>
        <v/>
      </c>
      <c r="C301" s="177" t="n">
        <v>2026</v>
      </c>
      <c r="D301" s="177" t="inlineStr">
        <is>
          <t>Q1</t>
        </is>
      </c>
      <c r="E301" s="178" t="inlineStr">
        <is>
          <t>Transcript</t>
        </is>
      </c>
      <c r="F301" s="178" t="inlineStr">
        <is>
          <t>Transcript Q&amp;A</t>
        </is>
      </c>
      <c r="G301" s="177" t="inlineStr">
        <is>
          <t>David</t>
        </is>
      </c>
      <c r="H301" s="177" t="inlineStr">
        <is>
          <t>Human</t>
        </is>
      </c>
      <c r="I301" s="180" t="n">
        <v>-0.2</v>
      </c>
      <c r="J301" s="180">
        <f>IF(OR(I301="",Settings!$B$6=""),"",IF(I301&gt;Settings!$B$6,"BUY",IF(I301&lt;-Settings!$B$6,"SELL","HOLD")))</f>
        <v/>
      </c>
      <c r="K301" s="180" t="n">
        <v>47</v>
      </c>
      <c r="L301" s="182" t="n">
        <v>46085</v>
      </c>
      <c r="M301" s="182" t="n">
        <v>46085</v>
      </c>
      <c r="N301" s="179" t="n">
        <v>317.53</v>
      </c>
      <c r="O301" s="182" t="n">
        <v>46086</v>
      </c>
      <c r="P301" s="180" t="n">
        <v>330.18</v>
      </c>
      <c r="Q301" s="184">
        <f>IF(OR(N301="",P301=""),"",ROUND((P301-N301)/N301,4))</f>
        <v/>
      </c>
      <c r="R301" s="177">
        <f>IF(OR(N301="",P301=""),"",IF(Q301&gt;Settings!$B$3/100,"UP",IF(Q301&lt;-Settings!$B$3/100,"DOWN","FLAT")))</f>
        <v/>
      </c>
      <c r="S301" s="177">
        <f>IF(OR(N301="",P301="",J301=""),"",IF(OR(AND(J301="BUY",R301="UP"),AND(J301="SELL",R301="DOWN"),AND(J301="HOLD",R301="FLAT")),"YES","NO"))</f>
        <v/>
      </c>
      <c r="T301" s="176">
        <f>IF(J301="","",IF(J301="BUY",1,IF(J301="SELL",-1,0)))</f>
        <v/>
      </c>
      <c r="U301" s="184">
        <f>IFERROR(IF(OR(J301="",N301="",P301=""),"",IF(T301=0,0,T301*Q301-Settings!$B$4/10000-IF(T301&lt;0,Settings!$B$5/10000,0))),"")</f>
        <v/>
      </c>
      <c r="V301" s="152" t="n"/>
      <c r="W301" s="176">
        <f>IF($K301="","",$K301*60)</f>
        <v/>
      </c>
      <c r="X301" s="186">
        <f>IF($A301="","",$A301&amp;"|"&amp;$C301&amp;"|"&amp;$D301)</f>
        <v/>
      </c>
      <c r="Y301" s="186">
        <f>IFERROR(IF($X301="","",INDEX(LLM_Data_Entry!$H$3:$H$548,MATCH($X301,INDEX(LLM_Data_Entry!$A$3:$A$548&amp;"|"&amp;LLM_Data_Entry!$C$3:$C$548&amp;"|"&amp;LLM_Data_Entry!$D$3:$D$548,0),0))),"")</f>
        <v/>
      </c>
      <c r="Z301" s="186">
        <f>IFERROR(IF($X301="","",INDEX(LLM_Data_Entry!$R$3:$R$548,MATCH($X301,INDEX(LLM_Data_Entry!$A$3:$A$548&amp;"|"&amp;LLM_Data_Entry!$C$3:$C$548&amp;"|"&amp;LLM_Data_Entry!$D$3:$D$548,0),0))),"")</f>
        <v/>
      </c>
      <c r="AA301" s="152" t="n"/>
      <c r="AB301" s="152" t="inlineStr">
        <is>
          <t>release date + stated time in the document (rater worksheet)</t>
        </is>
      </c>
      <c r="AC301" s="152" t="inlineStr">
        <is>
          <t>AVGO</t>
        </is>
      </c>
      <c r="AD301" s="152" t="inlineStr">
        <is>
          <t>2026-03-04</t>
        </is>
      </c>
      <c r="AE301" s="152" t="n">
        <v>316.3646</v>
      </c>
      <c r="AF301" s="152" t="inlineStr">
        <is>
          <t>2026-03-05</t>
        </is>
      </c>
      <c r="AG301" s="152" t="n">
        <v>328.9682</v>
      </c>
      <c r="AH301" s="152" t="n">
        <v>0.03983872131246651</v>
      </c>
      <c r="AI301" s="152" t="inlineStr">
        <is>
          <t>UP</t>
        </is>
      </c>
      <c r="AJ301" s="152" t="inlineStr">
        <is>
          <t>NO</t>
        </is>
      </c>
      <c r="AK301" s="152" t="n">
        <v>0</v>
      </c>
      <c r="AL301" s="152">
        <f>IF($A301="","",IFERROR(INDEX(Company_List!$G$3:$G$207,MATCH($A301,Company_List!$A$3:$A$207,0)),"unassigned"))</f>
        <v/>
      </c>
      <c r="AM301" s="152" t="inlineStr">
        <is>
          <t>Phase 2/Broadcom/2026-Q1/AVGO-2026-Q1-earnings-call-transcript-fool-com.html</t>
        </is>
      </c>
      <c r="AN301" s="152" t="inlineStr">
        <is>
          <t>https://www.fool.com/earnings/call-transcripts/2026/03/04/broadcom-avgo-q1-2026-earnings-call-transcript/</t>
        </is>
      </c>
      <c r="AO301" s="152" t="inlineStr">
        <is>
          <t>manifest</t>
        </is>
      </c>
      <c r="AP301" s="152">
        <f>IF($A301="","",IF(COUNTIFS(LLM_Data_Entry!$A$3:$A$548,$A301)&gt;0,"YES","NO"))</f>
        <v/>
      </c>
      <c r="AQ301" s="152">
        <f>IF($A301="","",IF(COUNTIFS($A$3:$A301,$A301,$C$3:$C301,$C301,$D$3:$D301,$D301)=1,"YES","NO"))</f>
        <v/>
      </c>
      <c r="AR301" s="152">
        <f>IF($A301="","",IF(AND($C301&amp;"-"&amp;$D301&gt;=Settings!$B$19,$C301&amp;"-"&amp;$D301&lt;=Settings!$B$20),"IN","OUT"))</f>
        <v/>
      </c>
      <c r="AS301" s="152">
        <f>IF($A301="","",IF($F301="Financial Results","financials",IF($F301="Outlook/Guidance","guidance",IF($F301="Transcript Q&amp;A","qanda",IF($F301="","unrecorded",IF($E301="All","full",IF($E301="","unrecorded",LOWER($E301)&amp;" only")))))))</f>
        <v/>
      </c>
      <c r="AT301" s="152">
        <f>IF(AND(OR($J301="BUY",$J301="SELL"),ISNUMBER($U301)),$U301,"")</f>
        <v/>
      </c>
      <c r="AU301" s="152">
        <f>IF(AND(OR($J301="BUY",$J301="SELL"),ISNUMBER($AK301)),$AK301,"")</f>
        <v/>
      </c>
      <c r="AV301" s="152">
        <f>IF(ISNUMBER($AT301),ABS(IF(ISNUMBER($I301),$I301,0)-Settings!$B$24),"")</f>
        <v/>
      </c>
      <c r="AW301" s="152">
        <f>IF(ISNUMBER($AV301),$AV301*$AT301,"")</f>
        <v/>
      </c>
      <c r="AX301" s="152">
        <f>IF(ISNUMBER($AU301),ABS(IF(ISNUMBER($I301),$I301,0)-Settings!$B$24),"")</f>
        <v/>
      </c>
      <c r="AY301" s="152" t="inlineStr">
        <is>
          <t>FROZEN</t>
        </is>
      </c>
      <c r="AZ301" s="152">
        <f>IF($A301="","",IFERROR(INDEX(Company_List!$H$3:$H$207,MATCH($A301,Company_List!$A$3:$A$207,0)),"unassigned"))</f>
        <v/>
      </c>
      <c r="BA301" s="152" t="n"/>
      <c r="BB301" s="152" t="n"/>
      <c r="BC301" s="152">
        <f>IF($A301="","",IF(COUNTIFS($A$3:$A301,$A301,$C$3:$C301,$C301,$D$3:$D301,$D301,$G$3:$G301,$G301)=1,1,0))</f>
        <v/>
      </c>
      <c r="BD301" s="152" t="n"/>
      <c r="BE301" s="152" t="n"/>
      <c r="BF301" s="152" t="n"/>
      <c r="BG301" s="152" t="inlineStr">
        <is>
          <t>no</t>
        </is>
      </c>
      <c r="BH301" s="152" t="n"/>
      <c r="BI301" s="152" t="n"/>
      <c r="BJ301" s="152" t="n"/>
      <c r="BK301" s="152">
        <f>IF(OR($H301&lt;&gt;"Human",$S301="",$J301="",$Y301="",$Z301=""),"",IF(EXACT(UPPER($J301),UPPER($Y301)),1,0))</f>
        <v/>
      </c>
      <c r="BL301" s="152" t="inlineStr">
        <is>
          <t>assumed - no rater record</t>
        </is>
      </c>
      <c r="BM301" s="152" t="n">
        <v>1</v>
      </c>
      <c r="BN301" s="152" t="inlineStr">
        <is>
          <t>The Motley Fool</t>
        </is>
      </c>
      <c r="BO301" s="152" t="inlineStr">
        <is>
          <t>free to read, copyright asserted</t>
        </is>
      </c>
      <c r="BP301" s="152" t="inlineStr">
        <is>
          <t>no</t>
        </is>
      </c>
      <c r="BQ301" s="152" t="inlineStr">
        <is>
          <t>yes</t>
        </is>
      </c>
      <c r="BR301" s="152" t="n"/>
      <c r="BS301" s="152" t="inlineStr">
        <is>
          <t>YES</t>
        </is>
      </c>
      <c r="BT301" s="152" t="n"/>
    </row>
    <row r="302" ht="15" customHeight="1" s="241">
      <c r="A302" s="193" t="inlineStr">
        <is>
          <t>Broadcom</t>
        </is>
      </c>
      <c r="B302" s="194">
        <f>IF(A302="","",_xlfn.XLOOKUP(A302, Company_List!$A:$A, Company_List!$B:$B, ""))</f>
        <v/>
      </c>
      <c r="C302" s="177" t="n">
        <v>2025</v>
      </c>
      <c r="D302" s="177" t="inlineStr">
        <is>
          <t>Q3</t>
        </is>
      </c>
      <c r="E302" s="178" t="inlineStr">
        <is>
          <t>Press Release Document</t>
        </is>
      </c>
      <c r="F302" s="178" t="inlineStr">
        <is>
          <t>Financial Results</t>
        </is>
      </c>
      <c r="G302" s="177" t="inlineStr">
        <is>
          <t>David</t>
        </is>
      </c>
      <c r="H302" s="177" t="inlineStr">
        <is>
          <t>Human</t>
        </is>
      </c>
      <c r="I302" s="180" t="n">
        <v>-0.25</v>
      </c>
      <c r="J302" s="180">
        <f>IF(OR(I302="",Settings!$B$6=""),"",IF(I302&gt;Settings!$B$6,"BUY",IF(I302&lt;-Settings!$B$6,"SELL","HOLD")))</f>
        <v/>
      </c>
      <c r="K302" s="180" t="n">
        <v>32</v>
      </c>
      <c r="L302" s="182" t="n">
        <v>45904</v>
      </c>
      <c r="M302" s="182" t="n">
        <v>45904</v>
      </c>
      <c r="N302" s="179" t="n">
        <v>306.1</v>
      </c>
      <c r="O302" s="182" t="n">
        <v>45905</v>
      </c>
      <c r="P302" s="180" t="n">
        <v>355.78</v>
      </c>
      <c r="Q302" s="184">
        <f>IF(OR(N302="",P302=""),"",ROUND((P302-N302)/N302,4))</f>
        <v/>
      </c>
      <c r="R302" s="177">
        <f>IF(OR(N302="",P302=""),"",IF(Q302&gt;Settings!$B$3/100,"UP",IF(Q302&lt;-Settings!$B$3/100,"DOWN","FLAT")))</f>
        <v/>
      </c>
      <c r="S302" s="177">
        <f>IF(OR(N302="",P302="",J302=""),"",IF(OR(AND(J302="BUY",R302="UP"),AND(J302="SELL",R302="DOWN"),AND(J302="HOLD",R302="FLAT")),"YES","NO"))</f>
        <v/>
      </c>
      <c r="T302" s="176">
        <f>IF(J302="","",IF(J302="BUY",1,IF(J302="SELL",-1,0)))</f>
        <v/>
      </c>
      <c r="U302" s="184">
        <f>IFERROR(IF(OR(J302="",N302="",P302=""),"",IF(T302=0,0,T302*Q302-Settings!$B$4/10000-IF(T302&lt;0,Settings!$B$5/10000,0))),"")</f>
        <v/>
      </c>
      <c r="V302" s="152" t="n"/>
      <c r="W302" s="176">
        <f>IF($K302="","",$K302*60)</f>
        <v/>
      </c>
      <c r="X302" s="186">
        <f>IF($A302="","",$A302&amp;"|"&amp;$C302&amp;"|"&amp;$D302)</f>
        <v/>
      </c>
      <c r="Y302" s="186">
        <f>IFERROR(IF($X302="","",INDEX(LLM_Data_Entry!$H$3:$H$548,MATCH($X302,INDEX(LLM_Data_Entry!$A$3:$A$548&amp;"|"&amp;LLM_Data_Entry!$C$3:$C$548&amp;"|"&amp;LLM_Data_Entry!$D$3:$D$548,0),0))),"")</f>
        <v/>
      </c>
      <c r="Z302" s="186">
        <f>IFERROR(IF($X302="","",INDEX(LLM_Data_Entry!$R$3:$R$548,MATCH($X302,INDEX(LLM_Data_Entry!$A$3:$A$548&amp;"|"&amp;LLM_Data_Entry!$C$3:$C$548&amp;"|"&amp;LLM_Data_Entry!$D$3:$D$548,0),0))),"")</f>
        <v/>
      </c>
      <c r="AA302" s="152" t="n"/>
      <c r="AB302" s="152" t="inlineStr">
        <is>
          <t>price signal — only this window shows an abnormal move</t>
        </is>
      </c>
      <c r="AC302" s="152" t="inlineStr">
        <is>
          <t>AVGO</t>
        </is>
      </c>
      <c r="AD302" s="152" t="inlineStr">
        <is>
          <t>2025-09-04</t>
        </is>
      </c>
      <c r="AE302" s="152" t="n">
        <v>303.8735</v>
      </c>
      <c r="AF302" s="152" t="inlineStr">
        <is>
          <t>2025-09-05</t>
        </is>
      </c>
      <c r="AG302" s="152" t="n">
        <v>353.1921</v>
      </c>
      <c r="AH302" s="152" t="n">
        <v>0.1622998755933408</v>
      </c>
      <c r="AI302" s="152" t="inlineStr">
        <is>
          <t>UP</t>
        </is>
      </c>
      <c r="AJ302" s="152" t="inlineStr">
        <is>
          <t>NO</t>
        </is>
      </c>
      <c r="AK302" s="152" t="n">
        <v>-0.1633</v>
      </c>
      <c r="AL302" s="152">
        <f>IF($A302="","",IFERROR(INDEX(Company_List!$G$3:$G$207,MATCH($A302,Company_List!$A$3:$A$207,0)),"unassigned"))</f>
        <v/>
      </c>
      <c r="AM302" s="152" t="inlineStr">
        <is>
          <t>Phase 2/Broadcom/2025-Q3/AVGO-2025-Q3-press-release-SEC-EX-99-1.htm</t>
        </is>
      </c>
      <c r="AN302" s="152" t="inlineStr">
        <is>
          <t>https://www.sec.gov/Archives/edgar/data/1730168/000173016825000094/avgo-08032025x8kxex99.htm</t>
        </is>
      </c>
      <c r="AO302" s="152" t="inlineStr">
        <is>
          <t>manifest</t>
        </is>
      </c>
      <c r="AP302" s="152">
        <f>IF($A302="","",IF(COUNTIFS(LLM_Data_Entry!$A$3:$A$548,$A302)&gt;0,"YES","NO"))</f>
        <v/>
      </c>
      <c r="AQ302" s="152">
        <f>IF($A302="","",IF(COUNTIFS($A$3:$A302,$A302,$C$3:$C302,$C302,$D$3:$D302,$D302)=1,"YES","NO"))</f>
        <v/>
      </c>
      <c r="AR302" s="152">
        <f>IF($A302="","",IF(AND($C302&amp;"-"&amp;$D302&gt;=Settings!$B$19,$C302&amp;"-"&amp;$D302&lt;=Settings!$B$20),"IN","OUT"))</f>
        <v/>
      </c>
      <c r="AS302" s="152">
        <f>IF($A302="","",IF($F302="Financial Results","financials",IF($F302="Outlook/Guidance","guidance",IF($F302="Transcript Q&amp;A","qanda",IF($F302="","unrecorded",IF($E302="All","full",IF($E302="","unrecorded",LOWER($E302)&amp;" only")))))))</f>
        <v/>
      </c>
      <c r="AT302" s="152">
        <f>IF(AND(OR($J302="BUY",$J302="SELL"),ISNUMBER($U302)),$U302,"")</f>
        <v/>
      </c>
      <c r="AU302" s="152">
        <f>IF(AND(OR($J302="BUY",$J302="SELL"),ISNUMBER($AK302)),$AK302,"")</f>
        <v/>
      </c>
      <c r="AV302" s="152">
        <f>IF(ISNUMBER($AT302),ABS(IF(ISNUMBER($I302),$I302,0)-Settings!$B$24),"")</f>
        <v/>
      </c>
      <c r="AW302" s="152">
        <f>IF(ISNUMBER($AV302),$AV302*$AT302,"")</f>
        <v/>
      </c>
      <c r="AX302" s="152">
        <f>IF(ISNUMBER($AU302),ABS(IF(ISNUMBER($I302),$I302,0)-Settings!$B$24),"")</f>
        <v/>
      </c>
      <c r="AY302" s="152" t="inlineStr">
        <is>
          <t>FROZEN</t>
        </is>
      </c>
      <c r="AZ302" s="152">
        <f>IF($A302="","",IFERROR(INDEX(Company_List!$H$3:$H$207,MATCH($A302,Company_List!$A$3:$A$207,0)),"unassigned"))</f>
        <v/>
      </c>
      <c r="BA302" s="152" t="n"/>
      <c r="BB302" s="152" t="n"/>
      <c r="BC302" s="152">
        <f>IF($A302="","",IF(COUNTIFS($A$3:$A302,$A302,$C$3:$C302,$C302,$D$3:$D302,$D302,$G$3:$G302,$G302)=1,1,0))</f>
        <v/>
      </c>
      <c r="BD302" s="152" t="n"/>
      <c r="BE302" s="152" t="n"/>
      <c r="BF302" s="152" t="n"/>
      <c r="BG302" s="152" t="inlineStr">
        <is>
          <t>no</t>
        </is>
      </c>
      <c r="BH302" s="152" t="n"/>
      <c r="BI302" s="152" t="n"/>
      <c r="BJ302" s="152" t="n"/>
      <c r="BK302" s="152">
        <f>IF(OR($H302&lt;&gt;"Human",$S302="",$J302="",$Y302="",$Z302=""),"",IF(EXACT(UPPER($J302),UPPER($Y302)),1,0))</f>
        <v/>
      </c>
      <c r="BL302" s="152" t="inlineStr">
        <is>
          <t>assumed - no rater record</t>
        </is>
      </c>
      <c r="BM302" s="152" t="n">
        <v>1</v>
      </c>
      <c r="BN302" s="152" t="inlineStr">
        <is>
          <t>not publisher-identified</t>
        </is>
      </c>
      <c r="BO302" s="152" t="inlineStr">
        <is>
          <t>not publisher-identified</t>
        </is>
      </c>
      <c r="BP302" s="152" t="inlineStr">
        <is>
          <t>no</t>
        </is>
      </c>
      <c r="BQ302" s="152" t="inlineStr">
        <is>
          <t>yes</t>
        </is>
      </c>
      <c r="BR302" s="152" t="n"/>
      <c r="BS302" s="152" t="inlineStr">
        <is>
          <t>YES</t>
        </is>
      </c>
      <c r="BT302" s="152" t="n"/>
    </row>
    <row r="303" ht="15" customHeight="1" s="241">
      <c r="A303" s="193" t="inlineStr">
        <is>
          <t>Broadcom</t>
        </is>
      </c>
      <c r="B303" s="194">
        <f>IF(A303="","",_xlfn.XLOOKUP(A303, Company_List!$A:$A, Company_List!$B:$B, ""))</f>
        <v/>
      </c>
      <c r="C303" s="177" t="n">
        <v>2025</v>
      </c>
      <c r="D303" s="177" t="inlineStr">
        <is>
          <t>Q4</t>
        </is>
      </c>
      <c r="E303" s="178" t="inlineStr">
        <is>
          <t>Transcript</t>
        </is>
      </c>
      <c r="F303" s="178" t="inlineStr">
        <is>
          <t>Outlook/Guidance</t>
        </is>
      </c>
      <c r="G303" s="177" t="inlineStr">
        <is>
          <t>David</t>
        </is>
      </c>
      <c r="H303" s="177" t="inlineStr">
        <is>
          <t>Human</t>
        </is>
      </c>
      <c r="I303" s="180" t="n">
        <v>0.8</v>
      </c>
      <c r="J303" s="180">
        <f>IF(OR(I303="",Settings!$B$6=""),"",IF(I303&gt;Settings!$B$6,"BUY",IF(I303&lt;-Settings!$B$6,"SELL","HOLD")))</f>
        <v/>
      </c>
      <c r="K303" s="180" t="n">
        <v>35</v>
      </c>
      <c r="L303" s="182" t="n">
        <v>46002</v>
      </c>
      <c r="M303" s="182" t="n">
        <v>46002</v>
      </c>
      <c r="N303" s="179" t="n">
        <v>406.37</v>
      </c>
      <c r="O303" s="182" t="n">
        <v>46003</v>
      </c>
      <c r="P303" s="180" t="n">
        <v>379.96</v>
      </c>
      <c r="Q303" s="184">
        <f>IF(OR(N303="",P303=""),"",ROUND((P303-N303)/N303,4))</f>
        <v/>
      </c>
      <c r="R303" s="177">
        <f>IF(OR(N303="",P303=""),"",IF(Q303&gt;Settings!$B$3/100,"UP",IF(Q303&lt;-Settings!$B$3/100,"DOWN","FLAT")))</f>
        <v/>
      </c>
      <c r="S303" s="177">
        <f>IF(OR(N303="",P303="",J303=""),"",IF(OR(AND(J303="BUY",R303="UP"),AND(J303="SELL",R303="DOWN"),AND(J303="HOLD",R303="FLAT")),"YES","NO"))</f>
        <v/>
      </c>
      <c r="T303" s="176">
        <f>IF(J303="","",IF(J303="BUY",1,IF(J303="SELL",-1,0)))</f>
        <v/>
      </c>
      <c r="U303" s="184">
        <f>IFERROR(IF(OR(J303="",N303="",P303=""),"",IF(T303=0,0,T303*Q303-Settings!$B$4/10000-IF(T303&lt;0,Settings!$B$5/10000,0))),"")</f>
        <v/>
      </c>
      <c r="V303" s="152" t="n"/>
      <c r="W303" s="176">
        <f>IF($K303="","",$K303*60)</f>
        <v/>
      </c>
      <c r="X303" s="186">
        <f>IF($A303="","",$A303&amp;"|"&amp;$C303&amp;"|"&amp;$D303)</f>
        <v/>
      </c>
      <c r="Y303" s="186">
        <f>IFERROR(IF($X303="","",INDEX(LLM_Data_Entry!$H$3:$H$548,MATCH($X303,INDEX(LLM_Data_Entry!$A$3:$A$548&amp;"|"&amp;LLM_Data_Entry!$C$3:$C$548&amp;"|"&amp;LLM_Data_Entry!$D$3:$D$548,0),0))),"")</f>
        <v/>
      </c>
      <c r="Z303" s="186">
        <f>IFERROR(IF($X303="","",INDEX(LLM_Data_Entry!$R$3:$R$548,MATCH($X303,INDEX(LLM_Data_Entry!$A$3:$A$548&amp;"|"&amp;LLM_Data_Entry!$C$3:$C$548&amp;"|"&amp;LLM_Data_Entry!$D$3:$D$548,0),0))),"")</f>
        <v/>
      </c>
      <c r="AA303" s="152" t="n"/>
      <c r="AB303" s="152" t="inlineStr">
        <is>
          <t>release date + stated time in the document (rater worksheet)</t>
        </is>
      </c>
      <c r="AC303" s="152" t="inlineStr">
        <is>
          <t>AVGO</t>
        </is>
      </c>
      <c r="AD303" s="152" t="inlineStr">
        <is>
          <t>2025-12-11</t>
        </is>
      </c>
      <c r="AE303" s="152" t="n">
        <v>404.1053</v>
      </c>
      <c r="AF303" s="152" t="inlineStr">
        <is>
          <t>2025-12-12</t>
        </is>
      </c>
      <c r="AG303" s="152" t="n">
        <v>377.8425</v>
      </c>
      <c r="AH303" s="152" t="n">
        <v>-0.06499001492387034</v>
      </c>
      <c r="AI303" s="152" t="inlineStr">
        <is>
          <t>DOWN</t>
        </is>
      </c>
      <c r="AJ303" s="152" t="inlineStr">
        <is>
          <t>NO</t>
        </is>
      </c>
      <c r="AK303" s="152" t="n">
        <v>-0.06598999999999999</v>
      </c>
      <c r="AL303" s="152">
        <f>IF($A303="","",IFERROR(INDEX(Company_List!$G$3:$G$207,MATCH($A303,Company_List!$A$3:$A$207,0)),"unassigned"))</f>
        <v/>
      </c>
      <c r="AM303" s="152" t="inlineStr">
        <is>
          <t>Phase 2/Broadcom/2025-Q4/AVGO-2025-Q4-earnings-call-transcript-fool-com.html</t>
        </is>
      </c>
      <c r="AN303" s="152" t="inlineStr">
        <is>
          <t>https://www.fool.com/earnings/call-transcripts/2025/12/12/broadcom-avgo-q4-2025-earnings-call-transcript/</t>
        </is>
      </c>
      <c r="AO303" s="152" t="inlineStr">
        <is>
          <t>manifest</t>
        </is>
      </c>
      <c r="AP303" s="152">
        <f>IF($A303="","",IF(COUNTIFS(LLM_Data_Entry!$A$3:$A$548,$A303)&gt;0,"YES","NO"))</f>
        <v/>
      </c>
      <c r="AQ303" s="152">
        <f>IF($A303="","",IF(COUNTIFS($A$3:$A303,$A303,$C$3:$C303,$C303,$D$3:$D303,$D303)=1,"YES","NO"))</f>
        <v/>
      </c>
      <c r="AR303" s="152">
        <f>IF($A303="","",IF(AND($C303&amp;"-"&amp;$D303&gt;=Settings!$B$19,$C303&amp;"-"&amp;$D303&lt;=Settings!$B$20),"IN","OUT"))</f>
        <v/>
      </c>
      <c r="AS303" s="152">
        <f>IF($A303="","",IF($F303="Financial Results","financials",IF($F303="Outlook/Guidance","guidance",IF($F303="Transcript Q&amp;A","qanda",IF($F303="","unrecorded",IF($E303="All","full",IF($E303="","unrecorded",LOWER($E303)&amp;" only")))))))</f>
        <v/>
      </c>
      <c r="AT303" s="152">
        <f>IF(AND(OR($J303="BUY",$J303="SELL"),ISNUMBER($U303)),$U303,"")</f>
        <v/>
      </c>
      <c r="AU303" s="152">
        <f>IF(AND(OR($J303="BUY",$J303="SELL"),ISNUMBER($AK303)),$AK303,"")</f>
        <v/>
      </c>
      <c r="AV303" s="152">
        <f>IF(ISNUMBER($AT303),ABS(IF(ISNUMBER($I303),$I303,0)-Settings!$B$24),"")</f>
        <v/>
      </c>
      <c r="AW303" s="152">
        <f>IF(ISNUMBER($AV303),$AV303*$AT303,"")</f>
        <v/>
      </c>
      <c r="AX303" s="152">
        <f>IF(ISNUMBER($AU303),ABS(IF(ISNUMBER($I303),$I303,0)-Settings!$B$24),"")</f>
        <v/>
      </c>
      <c r="AY303" s="152" t="inlineStr">
        <is>
          <t>FROZEN</t>
        </is>
      </c>
      <c r="AZ303" s="152">
        <f>IF($A303="","",IFERROR(INDEX(Company_List!$H$3:$H$207,MATCH($A303,Company_List!$A$3:$A$207,0)),"unassigned"))</f>
        <v/>
      </c>
      <c r="BA303" s="152" t="n"/>
      <c r="BB303" s="152" t="n"/>
      <c r="BC303" s="152">
        <f>IF($A303="","",IF(COUNTIFS($A$3:$A303,$A303,$C$3:$C303,$C303,$D$3:$D303,$D303,$G$3:$G303,$G303)=1,1,0))</f>
        <v/>
      </c>
      <c r="BD303" s="152" t="n"/>
      <c r="BE303" s="152" t="n"/>
      <c r="BF303" s="152" t="n"/>
      <c r="BG303" s="152" t="inlineStr">
        <is>
          <t>no</t>
        </is>
      </c>
      <c r="BH303" s="152" t="n"/>
      <c r="BI303" s="152" t="n"/>
      <c r="BJ303" s="152" t="n"/>
      <c r="BK303" s="152">
        <f>IF(OR($H303&lt;&gt;"Human",$S303="",$J303="",$Y303="",$Z303=""),"",IF(EXACT(UPPER($J303),UPPER($Y303)),1,0))</f>
        <v/>
      </c>
      <c r="BL303" s="152" t="inlineStr">
        <is>
          <t>assumed - no rater record</t>
        </is>
      </c>
      <c r="BM303" s="152" t="n">
        <v>1</v>
      </c>
      <c r="BN303" s="152" t="inlineStr">
        <is>
          <t>The Motley Fool</t>
        </is>
      </c>
      <c r="BO303" s="152" t="inlineStr">
        <is>
          <t>free to read, copyright asserted</t>
        </is>
      </c>
      <c r="BP303" s="152" t="inlineStr">
        <is>
          <t>no</t>
        </is>
      </c>
      <c r="BQ303" s="152" t="inlineStr">
        <is>
          <t>yes</t>
        </is>
      </c>
      <c r="BR303" s="152" t="n"/>
      <c r="BS303" s="152" t="inlineStr">
        <is>
          <t>YES</t>
        </is>
      </c>
      <c r="BT303" s="152" t="n"/>
    </row>
    <row r="304" ht="15" customHeight="1" s="241">
      <c r="A304" s="193" t="inlineStr">
        <is>
          <t>Costco</t>
        </is>
      </c>
      <c r="B304" s="194">
        <f>IF(A304="","",_xlfn.XLOOKUP(A304, Company_List!$A:$A, Company_List!$B:$B, ""))</f>
        <v/>
      </c>
      <c r="C304" s="177" t="n">
        <v>2026</v>
      </c>
      <c r="D304" s="177" t="inlineStr">
        <is>
          <t>Q1</t>
        </is>
      </c>
      <c r="E304" s="178" t="inlineStr">
        <is>
          <t>Transcript</t>
        </is>
      </c>
      <c r="F304" s="178" t="inlineStr">
        <is>
          <t>Transcript Q&amp;A</t>
        </is>
      </c>
      <c r="G304" s="177" t="inlineStr">
        <is>
          <t>David</t>
        </is>
      </c>
      <c r="H304" s="177" t="inlineStr">
        <is>
          <t>Human</t>
        </is>
      </c>
      <c r="I304" s="180" t="n">
        <v>0.05</v>
      </c>
      <c r="J304" s="180">
        <f>IF(OR(I304="",Settings!$B$6=""),"",IF(I304&gt;Settings!$B$6,"BUY",IF(I304&lt;-Settings!$B$6,"SELL","HOLD")))</f>
        <v/>
      </c>
      <c r="K304" s="180" t="n">
        <v>41</v>
      </c>
      <c r="L304" s="182" t="n">
        <v>46002</v>
      </c>
      <c r="M304" s="182" t="n">
        <v>46002</v>
      </c>
      <c r="N304" s="179" t="n">
        <v>880.5934</v>
      </c>
      <c r="O304" s="182" t="n">
        <v>46003</v>
      </c>
      <c r="P304" s="180" t="n">
        <v>879.4186999999999</v>
      </c>
      <c r="Q304" s="184">
        <f>IF(OR(N304="",P304=""),"",ROUND((P304-N304)/N304,4))</f>
        <v/>
      </c>
      <c r="R304" s="177">
        <f>IF(OR(N304="",P304=""),"",IF(Q304&gt;Settings!$B$3/100,"UP",IF(Q304&lt;-Settings!$B$3/100,"DOWN","FLAT")))</f>
        <v/>
      </c>
      <c r="S304" s="177">
        <f>IF(OR(N304="",P304="",J304=""),"",IF(OR(AND(J304="BUY",R304="UP"),AND(J304="SELL",R304="DOWN"),AND(J304="HOLD",R304="FLAT")),"YES","NO"))</f>
        <v/>
      </c>
      <c r="T304" s="176">
        <f>IF(J304="","",IF(J304="BUY",1,IF(J304="SELL",-1,0)))</f>
        <v/>
      </c>
      <c r="U304" s="184">
        <f>IFERROR(IF(OR(J304="",N304="",P304=""),"",IF(T304=0,0,T304*Q304-Settings!$B$4/10000-IF(T304&lt;0,Settings!$B$5/10000,0))),"")</f>
        <v/>
      </c>
      <c r="V304" s="152" t="n"/>
      <c r="W304" s="176">
        <f>IF($K304="","",$K304*60)</f>
        <v/>
      </c>
      <c r="X304" s="186">
        <f>IF($A304="","",$A304&amp;"|"&amp;$C304&amp;"|"&amp;$D304)</f>
        <v/>
      </c>
      <c r="Y304" s="186">
        <f>IFERROR(IF($X304="","",INDEX(LLM_Data_Entry!$H$3:$H$548,MATCH($X304,INDEX(LLM_Data_Entry!$A$3:$A$548&amp;"|"&amp;LLM_Data_Entry!$C$3:$C$548&amp;"|"&amp;LLM_Data_Entry!$D$3:$D$548,0),0))),"")</f>
        <v/>
      </c>
      <c r="Z304" s="186">
        <f>IFERROR(IF($X304="","",INDEX(LLM_Data_Entry!$R$3:$R$548,MATCH($X304,INDEX(LLM_Data_Entry!$A$3:$A$548&amp;"|"&amp;LLM_Data_Entry!$C$3:$C$548&amp;"|"&amp;LLM_Data_Entry!$D$3:$D$548,0),0))),"")</f>
        <v/>
      </c>
      <c r="AA304" s="152" t="n"/>
      <c r="AB304" s="152" t="inlineStr">
        <is>
          <t>release date + stated time in the document (rater worksheet)</t>
        </is>
      </c>
      <c r="AC304" s="152" t="inlineStr">
        <is>
          <t>COST</t>
        </is>
      </c>
      <c r="AD304" s="152" t="inlineStr">
        <is>
          <t>2025-12-11</t>
        </is>
      </c>
      <c r="AE304" s="152" t="n">
        <v>880.5934</v>
      </c>
      <c r="AF304" s="152" t="inlineStr">
        <is>
          <t>2025-12-12</t>
        </is>
      </c>
      <c r="AG304" s="152" t="n">
        <v>879.4186999999999</v>
      </c>
      <c r="AH304" s="152" t="n">
        <v>-0.001334090039663578</v>
      </c>
      <c r="AI304" s="152" t="inlineStr">
        <is>
          <t>FLAT</t>
        </is>
      </c>
      <c r="AJ304" s="152" t="inlineStr">
        <is>
          <t>YES</t>
        </is>
      </c>
      <c r="AK304" s="152" t="n">
        <v>0</v>
      </c>
      <c r="AL304" s="152">
        <f>IF($A304="","",IFERROR(INDEX(Company_List!$G$3:$G$207,MATCH($A304,Company_List!$A$3:$A$207,0)),"unassigned"))</f>
        <v/>
      </c>
      <c r="AM304" s="152" t="inlineStr">
        <is>
          <t>Phase 3/Readings/Costco/Q1 26/Costco (COST) Q1 2026 Earnings Call Transcript.pdf</t>
        </is>
      </c>
      <c r="AN304" s="152" t="n"/>
      <c r="AO304" s="152" t="inlineStr">
        <is>
          <t>unique filename match</t>
        </is>
      </c>
      <c r="AP304" s="152">
        <f>IF($A304="","",IF(COUNTIFS(LLM_Data_Entry!$A$3:$A$548,$A304)&gt;0,"YES","NO"))</f>
        <v/>
      </c>
      <c r="AQ304" s="152">
        <f>IF($A304="","",IF(COUNTIFS($A$3:$A304,$A304,$C$3:$C304,$C304,$D$3:$D304,$D304)=1,"YES","NO"))</f>
        <v/>
      </c>
      <c r="AR304" s="152">
        <f>IF($A304="","",IF(AND($C304&amp;"-"&amp;$D304&gt;=Settings!$B$19,$C304&amp;"-"&amp;$D304&lt;=Settings!$B$20),"IN","OUT"))</f>
        <v/>
      </c>
      <c r="AS304" s="152">
        <f>IF($A304="","",IF($F304="Financial Results","financials",IF($F304="Outlook/Guidance","guidance",IF($F304="Transcript Q&amp;A","qanda",IF($F304="","unrecorded",IF($E304="All","full",IF($E304="","unrecorded",LOWER($E304)&amp;" only")))))))</f>
        <v/>
      </c>
      <c r="AT304" s="152">
        <f>IF(AND(OR($J304="BUY",$J304="SELL"),ISNUMBER($U304)),$U304,"")</f>
        <v/>
      </c>
      <c r="AU304" s="152">
        <f>IF(AND(OR($J304="BUY",$J304="SELL"),ISNUMBER($AK304)),$AK304,"")</f>
        <v/>
      </c>
      <c r="AV304" s="152">
        <f>IF(ISNUMBER($AT304),ABS(IF(ISNUMBER($I304),$I304,0)-Settings!$B$24),"")</f>
        <v/>
      </c>
      <c r="AW304" s="152">
        <f>IF(ISNUMBER($AV304),$AV304*$AT304,"")</f>
        <v/>
      </c>
      <c r="AX304" s="152">
        <f>IF(ISNUMBER($AU304),ABS(IF(ISNUMBER($I304),$I304,0)-Settings!$B$24),"")</f>
        <v/>
      </c>
      <c r="AY304" s="152" t="inlineStr">
        <is>
          <t>EXTENSION</t>
        </is>
      </c>
      <c r="AZ304" s="152">
        <f>IF($A304="","",IFERROR(INDEX(Company_List!$H$3:$H$207,MATCH($A304,Company_List!$A$3:$A$207,0)),"unassigned"))</f>
        <v/>
      </c>
      <c r="BA304" s="152" t="n"/>
      <c r="BB304" s="152" t="n"/>
      <c r="BC304" s="152">
        <f>IF($A304="","",IF(COUNTIFS($A$3:$A304,$A304,$C$3:$C304,$C304,$D$3:$D304,$D304,$G$3:$G304,$G304)=1,1,0))</f>
        <v/>
      </c>
      <c r="BD304" s="152" t="n"/>
      <c r="BE304" s="152" t="n"/>
      <c r="BF304" s="152" t="n"/>
      <c r="BG304" s="152" t="inlineStr">
        <is>
          <t>no</t>
        </is>
      </c>
      <c r="BH304" s="152" t="n"/>
      <c r="BI304" s="152" t="n"/>
      <c r="BJ304" s="152" t="n"/>
      <c r="BK304" s="152">
        <f>IF(OR($H304&lt;&gt;"Human",$S304="",$J304="",$Y304="",$Z304=""),"",IF(EXACT(UPPER($J304),UPPER($Y304)),1,0))</f>
        <v/>
      </c>
      <c r="BL304" s="152" t="inlineStr">
        <is>
          <t>assumed - no rater record</t>
        </is>
      </c>
      <c r="BM304" s="152" t="n">
        <v>1</v>
      </c>
      <c r="BN304" s="152" t="inlineStr">
        <is>
          <t>The Motley Fool</t>
        </is>
      </c>
      <c r="BO304" s="152" t="inlineStr">
        <is>
          <t>free to read, copyright asserted</t>
        </is>
      </c>
      <c r="BP304" s="152" t="inlineStr">
        <is>
          <t>no</t>
        </is>
      </c>
      <c r="BQ304" s="152" t="inlineStr">
        <is>
          <t>no</t>
        </is>
      </c>
      <c r="BR304" s="152" t="n"/>
      <c r="BS304" s="152" t="inlineStr">
        <is>
          <t>YES</t>
        </is>
      </c>
      <c r="BT304" s="152" t="n"/>
    </row>
    <row r="305" ht="15" customHeight="1" s="241">
      <c r="A305" s="193" t="inlineStr">
        <is>
          <t>Costco</t>
        </is>
      </c>
      <c r="B305" s="194">
        <f>IF(A305="","",_xlfn.XLOOKUP(A305, Company_List!$A:$A, Company_List!$B:$B, ""))</f>
        <v/>
      </c>
      <c r="C305" s="177" t="n">
        <v>2026</v>
      </c>
      <c r="D305" s="177" t="inlineStr">
        <is>
          <t>Q2</t>
        </is>
      </c>
      <c r="E305" s="178" t="inlineStr">
        <is>
          <t>Press Release Document</t>
        </is>
      </c>
      <c r="F305" s="178" t="inlineStr">
        <is>
          <t>Financial Results</t>
        </is>
      </c>
      <c r="G305" s="177" t="inlineStr">
        <is>
          <t>David</t>
        </is>
      </c>
      <c r="H305" s="177" t="inlineStr">
        <is>
          <t>Human</t>
        </is>
      </c>
      <c r="I305" s="180" t="n">
        <v>0.25</v>
      </c>
      <c r="J305" s="180">
        <f>IF(OR(I305="",Settings!$B$6=""),"",IF(I305&gt;Settings!$B$6,"BUY",IF(I305&lt;-Settings!$B$6,"SELL","HOLD")))</f>
        <v/>
      </c>
      <c r="K305" s="180" t="n">
        <v>33</v>
      </c>
      <c r="L305" s="182" t="n">
        <v>46086</v>
      </c>
      <c r="M305" s="182" t="n">
        <v>46086</v>
      </c>
      <c r="N305" s="179" t="n">
        <v>979.5889</v>
      </c>
      <c r="O305" s="182" t="n">
        <v>46087</v>
      </c>
      <c r="P305" s="180" t="n">
        <v>964.0761</v>
      </c>
      <c r="Q305" s="184">
        <f>IF(OR(N305="",P305=""),"",ROUND((P305-N305)/N305,4))</f>
        <v/>
      </c>
      <c r="R305" s="177">
        <f>IF(OR(N305="",P305=""),"",IF(Q305&gt;Settings!$B$3/100,"UP",IF(Q305&lt;-Settings!$B$3/100,"DOWN","FLAT")))</f>
        <v/>
      </c>
      <c r="S305" s="177">
        <f>IF(OR(N305="",P305="",J305=""),"",IF(OR(AND(J305="BUY",R305="UP"),AND(J305="SELL",R305="DOWN"),AND(J305="HOLD",R305="FLAT")),"YES","NO"))</f>
        <v/>
      </c>
      <c r="T305" s="176">
        <f>IF(J305="","",IF(J305="BUY",1,IF(J305="SELL",-1,0)))</f>
        <v/>
      </c>
      <c r="U305" s="184">
        <f>IFERROR(IF(OR(J305="",N305="",P305=""),"",IF(T305=0,0,T305*Q305-Settings!$B$4/10000-IF(T305&lt;0,Settings!$B$5/10000,0))),"")</f>
        <v/>
      </c>
      <c r="V305" s="152" t="n"/>
      <c r="W305" s="176">
        <f>IF($K305="","",$K305*60)</f>
        <v/>
      </c>
      <c r="X305" s="186">
        <f>IF($A305="","",$A305&amp;"|"&amp;$C305&amp;"|"&amp;$D305)</f>
        <v/>
      </c>
      <c r="Y305" s="186">
        <f>IFERROR(IF($X305="","",INDEX(LLM_Data_Entry!$H$3:$H$548,MATCH($X305,INDEX(LLM_Data_Entry!$A$3:$A$548&amp;"|"&amp;LLM_Data_Entry!$C$3:$C$548&amp;"|"&amp;LLM_Data_Entry!$D$3:$D$548,0),0))),"")</f>
        <v/>
      </c>
      <c r="Z305" s="186">
        <f>IFERROR(IF($X305="","",INDEX(LLM_Data_Entry!$R$3:$R$548,MATCH($X305,INDEX(LLM_Data_Entry!$A$3:$A$548&amp;"|"&amp;LLM_Data_Entry!$C$3:$C$548&amp;"|"&amp;LLM_Data_Entry!$D$3:$D$548,0),0))),"")</f>
        <v/>
      </c>
      <c r="AA305" s="152" t="n"/>
      <c r="AB305" s="152" t="inlineStr">
        <is>
          <t>release date + stated time in the document (rater worksheet)</t>
        </is>
      </c>
      <c r="AC305" s="152" t="inlineStr">
        <is>
          <t>COST</t>
        </is>
      </c>
      <c r="AD305" s="152" t="inlineStr">
        <is>
          <t>2026-03-05</t>
        </is>
      </c>
      <c r="AE305" s="152" t="n">
        <v>979.5889</v>
      </c>
      <c r="AF305" s="152" t="inlineStr">
        <is>
          <t>2026-03-06</t>
        </is>
      </c>
      <c r="AG305" s="152" t="n">
        <v>964.0761</v>
      </c>
      <c r="AH305" s="152" t="n">
        <v>-0.01583608167794512</v>
      </c>
      <c r="AI305" s="152" t="inlineStr">
        <is>
          <t>FLAT</t>
        </is>
      </c>
      <c r="AJ305" s="152" t="inlineStr">
        <is>
          <t>NO</t>
        </is>
      </c>
      <c r="AK305" s="152" t="n">
        <v>-0.016836</v>
      </c>
      <c r="AL305" s="152">
        <f>IF($A305="","",IFERROR(INDEX(Company_List!$G$3:$G$207,MATCH($A305,Company_List!$A$3:$A$207,0)),"unassigned"))</f>
        <v/>
      </c>
      <c r="AM305" s="152" t="inlineStr">
        <is>
          <t>Phase 2/Costco/2026-Q2/COST-2026-Q2-press-release-SEC-EX-99-1.htm</t>
        </is>
      </c>
      <c r="AN305" s="152" t="inlineStr">
        <is>
          <t>https://www.sec.gov/Archives/edgar/data/909832/000090983226000025/costex9918-k3526.htm</t>
        </is>
      </c>
      <c r="AO305" s="152" t="inlineStr">
        <is>
          <t>manifest</t>
        </is>
      </c>
      <c r="AP305" s="152">
        <f>IF($A305="","",IF(COUNTIFS(LLM_Data_Entry!$A$3:$A$548,$A305)&gt;0,"YES","NO"))</f>
        <v/>
      </c>
      <c r="AQ305" s="152">
        <f>IF($A305="","",IF(COUNTIFS($A$3:$A305,$A305,$C$3:$C305,$C305,$D$3:$D305,$D305)=1,"YES","NO"))</f>
        <v/>
      </c>
      <c r="AR305" s="152">
        <f>IF($A305="","",IF(AND($C305&amp;"-"&amp;$D305&gt;=Settings!$B$19,$C305&amp;"-"&amp;$D305&lt;=Settings!$B$20),"IN","OUT"))</f>
        <v/>
      </c>
      <c r="AS305" s="152">
        <f>IF($A305="","",IF($F305="Financial Results","financials",IF($F305="Outlook/Guidance","guidance",IF($F305="Transcript Q&amp;A","qanda",IF($F305="","unrecorded",IF($E305="All","full",IF($E305="","unrecorded",LOWER($E305)&amp;" only")))))))</f>
        <v/>
      </c>
      <c r="AT305" s="152">
        <f>IF(AND(OR($J305="BUY",$J305="SELL"),ISNUMBER($U305)),$U305,"")</f>
        <v/>
      </c>
      <c r="AU305" s="152">
        <f>IF(AND(OR($J305="BUY",$J305="SELL"),ISNUMBER($AK305)),$AK305,"")</f>
        <v/>
      </c>
      <c r="AV305" s="152">
        <f>IF(ISNUMBER($AT305),ABS(IF(ISNUMBER($I305),$I305,0)-Settings!$B$24),"")</f>
        <v/>
      </c>
      <c r="AW305" s="152">
        <f>IF(ISNUMBER($AV305),$AV305*$AT305,"")</f>
        <v/>
      </c>
      <c r="AX305" s="152">
        <f>IF(ISNUMBER($AU305),ABS(IF(ISNUMBER($I305),$I305,0)-Settings!$B$24),"")</f>
        <v/>
      </c>
      <c r="AY305" s="152" t="inlineStr">
        <is>
          <t>EXTENSION</t>
        </is>
      </c>
      <c r="AZ305" s="152">
        <f>IF($A305="","",IFERROR(INDEX(Company_List!$H$3:$H$207,MATCH($A305,Company_List!$A$3:$A$207,0)),"unassigned"))</f>
        <v/>
      </c>
      <c r="BA305" s="152" t="n"/>
      <c r="BB305" s="152" t="n"/>
      <c r="BC305" s="152">
        <f>IF($A305="","",IF(COUNTIFS($A$3:$A305,$A305,$C$3:$C305,$C305,$D$3:$D305,$D305,$G$3:$G305,$G305)=1,1,0))</f>
        <v/>
      </c>
      <c r="BD305" s="152" t="n"/>
      <c r="BE305" s="152" t="n"/>
      <c r="BF305" s="152" t="n"/>
      <c r="BG305" s="152" t="inlineStr">
        <is>
          <t>no</t>
        </is>
      </c>
      <c r="BH305" s="152" t="n"/>
      <c r="BI305" s="152" t="n"/>
      <c r="BJ305" s="152" t="n"/>
      <c r="BK305" s="152">
        <f>IF(OR($H305&lt;&gt;"Human",$S305="",$J305="",$Y305="",$Z305=""),"",IF(EXACT(UPPER($J305),UPPER($Y305)),1,0))</f>
        <v/>
      </c>
      <c r="BL305" s="152" t="inlineStr">
        <is>
          <t>assumed - no rater record</t>
        </is>
      </c>
      <c r="BM305" s="152" t="n">
        <v>1</v>
      </c>
      <c r="BN305" s="152" t="inlineStr">
        <is>
          <t>not publisher-identified</t>
        </is>
      </c>
      <c r="BO305" s="152" t="inlineStr">
        <is>
          <t>not publisher-identified</t>
        </is>
      </c>
      <c r="BP305" s="152" t="inlineStr">
        <is>
          <t>no</t>
        </is>
      </c>
      <c r="BQ305" s="152" t="inlineStr">
        <is>
          <t>yes</t>
        </is>
      </c>
      <c r="BR305" s="152" t="n"/>
      <c r="BS305" s="152" t="inlineStr">
        <is>
          <t>YES</t>
        </is>
      </c>
      <c r="BT305" s="152" t="n"/>
    </row>
    <row r="306" ht="15" customHeight="1" s="241">
      <c r="A306" s="193" t="inlineStr">
        <is>
          <t>Costco</t>
        </is>
      </c>
      <c r="B306" s="194">
        <f>IF(A306="","",_xlfn.XLOOKUP(A306, Company_List!$A:$A, Company_List!$B:$B, ""))</f>
        <v/>
      </c>
      <c r="C306" s="177" t="n">
        <v>2025</v>
      </c>
      <c r="D306" s="177" t="inlineStr">
        <is>
          <t>Q4</t>
        </is>
      </c>
      <c r="E306" s="178" t="inlineStr">
        <is>
          <t>Transcript</t>
        </is>
      </c>
      <c r="F306" s="178" t="inlineStr">
        <is>
          <t>Outlook/Guidance</t>
        </is>
      </c>
      <c r="G306" s="177" t="inlineStr">
        <is>
          <t>David</t>
        </is>
      </c>
      <c r="H306" s="177" t="inlineStr">
        <is>
          <t>Human</t>
        </is>
      </c>
      <c r="I306" s="180" t="n">
        <v>0.1</v>
      </c>
      <c r="J306" s="180">
        <f>IF(OR(I306="",Settings!$B$6=""),"",IF(I306&gt;Settings!$B$6,"BUY",IF(I306&lt;-Settings!$B$6,"SELL","HOLD")))</f>
        <v/>
      </c>
      <c r="K306" s="180" t="n">
        <v>30</v>
      </c>
      <c r="L306" s="182" t="n">
        <v>45925</v>
      </c>
      <c r="M306" s="182" t="n">
        <v>45925</v>
      </c>
      <c r="N306" s="179" t="n">
        <v>937.8382</v>
      </c>
      <c r="O306" s="182" t="n">
        <v>45926</v>
      </c>
      <c r="P306" s="180" t="n">
        <v>920.1811</v>
      </c>
      <c r="Q306" s="184">
        <f>IF(OR(N306="",P306=""),"",ROUND((P306-N306)/N306,4))</f>
        <v/>
      </c>
      <c r="R306" s="177">
        <f>IF(OR(N306="",P306=""),"",IF(Q306&gt;Settings!$B$3/100,"UP",IF(Q306&lt;-Settings!$B$3/100,"DOWN","FLAT")))</f>
        <v/>
      </c>
      <c r="S306" s="177">
        <f>IF(OR(N306="",P306="",J306=""),"",IF(OR(AND(J306="BUY",R306="UP"),AND(J306="SELL",R306="DOWN"),AND(J306="HOLD",R306="FLAT")),"YES","NO"))</f>
        <v/>
      </c>
      <c r="T306" s="176">
        <f>IF(J306="","",IF(J306="BUY",1,IF(J306="SELL",-1,0)))</f>
        <v/>
      </c>
      <c r="U306" s="184">
        <f>IFERROR(IF(OR(J306="",N306="",P306=""),"",IF(T306=0,0,T306*Q306-Settings!$B$4/10000-IF(T306&lt;0,Settings!$B$5/10000,0))),"")</f>
        <v/>
      </c>
      <c r="V306" s="152" t="n"/>
      <c r="W306" s="176">
        <f>IF($K306="","",$K306*60)</f>
        <v/>
      </c>
      <c r="X306" s="186">
        <f>IF($A306="","",$A306&amp;"|"&amp;$C306&amp;"|"&amp;$D306)</f>
        <v/>
      </c>
      <c r="Y306" s="186">
        <f>IFERROR(IF($X306="","",INDEX(LLM_Data_Entry!$H$3:$H$548,MATCH($X306,INDEX(LLM_Data_Entry!$A$3:$A$548&amp;"|"&amp;LLM_Data_Entry!$C$3:$C$548&amp;"|"&amp;LLM_Data_Entry!$D$3:$D$548,0),0))),"")</f>
        <v/>
      </c>
      <c r="Z306" s="186">
        <f>IFERROR(IF($X306="","",INDEX(LLM_Data_Entry!$R$3:$R$548,MATCH($X306,INDEX(LLM_Data_Entry!$A$3:$A$548&amp;"|"&amp;LLM_Data_Entry!$C$3:$C$548&amp;"|"&amp;LLM_Data_Entry!$D$3:$D$548,0),0))),"")</f>
        <v/>
      </c>
      <c r="AA306" s="152" t="n"/>
      <c r="AB306" s="152" t="inlineStr">
        <is>
          <t>release date + stated time in the document (rater worksheet)</t>
        </is>
      </c>
      <c r="AC306" s="152" t="inlineStr">
        <is>
          <t>COST</t>
        </is>
      </c>
      <c r="AD306" s="152" t="inlineStr">
        <is>
          <t>2025-09-25</t>
        </is>
      </c>
      <c r="AE306" s="152" t="n">
        <v>937.8382</v>
      </c>
      <c r="AF306" s="152" t="inlineStr">
        <is>
          <t>2025-09-26</t>
        </is>
      </c>
      <c r="AG306" s="152" t="n">
        <v>920.1811</v>
      </c>
      <c r="AH306" s="152" t="n">
        <v>-0.0188274116614698</v>
      </c>
      <c r="AI306" s="152" t="inlineStr">
        <is>
          <t>FLAT</t>
        </is>
      </c>
      <c r="AJ306" s="152" t="inlineStr">
        <is>
          <t>YES</t>
        </is>
      </c>
      <c r="AK306" s="152" t="n">
        <v>0</v>
      </c>
      <c r="AL306" s="152">
        <f>IF($A306="","",IFERROR(INDEX(Company_List!$G$3:$G$207,MATCH($A306,Company_List!$A$3:$A$207,0)),"unassigned"))</f>
        <v/>
      </c>
      <c r="AM306" s="152" t="inlineStr">
        <is>
          <t>Phase 2/Costco/2025-Q4/COST-2025-Q4-earnings-call-transcript-news-alphastreet-com.html</t>
        </is>
      </c>
      <c r="AN306" s="152" t="inlineStr">
        <is>
          <t>https://news.alphastreet.com/costco-wholesale-corporation-cost-q4-2025-earnings-call-transcript/</t>
        </is>
      </c>
      <c r="AO306" s="152" t="inlineStr">
        <is>
          <t>manifest</t>
        </is>
      </c>
      <c r="AP306" s="152">
        <f>IF($A306="","",IF(COUNTIFS(LLM_Data_Entry!$A$3:$A$548,$A306)&gt;0,"YES","NO"))</f>
        <v/>
      </c>
      <c r="AQ306" s="152">
        <f>IF($A306="","",IF(COUNTIFS($A$3:$A306,$A306,$C$3:$C306,$C306,$D$3:$D306,$D306)=1,"YES","NO"))</f>
        <v/>
      </c>
      <c r="AR306" s="152">
        <f>IF($A306="","",IF(AND($C306&amp;"-"&amp;$D306&gt;=Settings!$B$19,$C306&amp;"-"&amp;$D306&lt;=Settings!$B$20),"IN","OUT"))</f>
        <v/>
      </c>
      <c r="AS306" s="152">
        <f>IF($A306="","",IF($F306="Financial Results","financials",IF($F306="Outlook/Guidance","guidance",IF($F306="Transcript Q&amp;A","qanda",IF($F306="","unrecorded",IF($E306="All","full",IF($E306="","unrecorded",LOWER($E306)&amp;" only")))))))</f>
        <v/>
      </c>
      <c r="AT306" s="152">
        <f>IF(AND(OR($J306="BUY",$J306="SELL"),ISNUMBER($U306)),$U306,"")</f>
        <v/>
      </c>
      <c r="AU306" s="152">
        <f>IF(AND(OR($J306="BUY",$J306="SELL"),ISNUMBER($AK306)),$AK306,"")</f>
        <v/>
      </c>
      <c r="AV306" s="152">
        <f>IF(ISNUMBER($AT306),ABS(IF(ISNUMBER($I306),$I306,0)-Settings!$B$24),"")</f>
        <v/>
      </c>
      <c r="AW306" s="152">
        <f>IF(ISNUMBER($AV306),$AV306*$AT306,"")</f>
        <v/>
      </c>
      <c r="AX306" s="152">
        <f>IF(ISNUMBER($AU306),ABS(IF(ISNUMBER($I306),$I306,0)-Settings!$B$24),"")</f>
        <v/>
      </c>
      <c r="AY306" s="152" t="inlineStr">
        <is>
          <t>EXTENSION</t>
        </is>
      </c>
      <c r="AZ306" s="152">
        <f>IF($A306="","",IFERROR(INDEX(Company_List!$H$3:$H$207,MATCH($A306,Company_List!$A$3:$A$207,0)),"unassigned"))</f>
        <v/>
      </c>
      <c r="BA306" s="152" t="n"/>
      <c r="BB306" s="152" t="n"/>
      <c r="BC306" s="152">
        <f>IF($A306="","",IF(COUNTIFS($A$3:$A306,$A306,$C$3:$C306,$C306,$D$3:$D306,$D306,$G$3:$G306,$G306)=1,1,0))</f>
        <v/>
      </c>
      <c r="BD306" s="152" t="n"/>
      <c r="BE306" s="152" t="n"/>
      <c r="BF306" s="152" t="n"/>
      <c r="BG306" s="152" t="inlineStr">
        <is>
          <t>no</t>
        </is>
      </c>
      <c r="BH306" s="152" t="n"/>
      <c r="BI306" s="152" t="n"/>
      <c r="BJ306" s="152" t="n"/>
      <c r="BK306" s="152">
        <f>IF(OR($H306&lt;&gt;"Human",$S306="",$J306="",$Y306="",$Z306=""),"",IF(EXACT(UPPER($J306),UPPER($Y306)),1,0))</f>
        <v/>
      </c>
      <c r="BL306" s="152" t="inlineStr">
        <is>
          <t>assumed - no rater record</t>
        </is>
      </c>
      <c r="BM306" s="152" t="n">
        <v>1</v>
      </c>
      <c r="BN306" s="152" t="inlineStr">
        <is>
          <t>not publisher-identified</t>
        </is>
      </c>
      <c r="BO306" s="152" t="inlineStr">
        <is>
          <t>not publisher-identified</t>
        </is>
      </c>
      <c r="BP306" s="152" t="inlineStr">
        <is>
          <t>no</t>
        </is>
      </c>
      <c r="BQ306" s="152" t="inlineStr">
        <is>
          <t>yes</t>
        </is>
      </c>
      <c r="BR306" s="152" t="n"/>
      <c r="BS306" s="152" t="inlineStr">
        <is>
          <t>YES</t>
        </is>
      </c>
      <c r="BT306" s="152" t="n"/>
    </row>
    <row r="307" ht="15" customHeight="1" s="241">
      <c r="A307" s="193" t="inlineStr">
        <is>
          <t>Oracle</t>
        </is>
      </c>
      <c r="B307" s="194">
        <f>IF(A307="","",_xlfn.XLOOKUP(A307, Company_List!$A:$A, Company_List!$B:$B, ""))</f>
        <v/>
      </c>
      <c r="C307" s="177" t="n">
        <v>2026</v>
      </c>
      <c r="D307" s="177" t="inlineStr">
        <is>
          <t>Q1</t>
        </is>
      </c>
      <c r="E307" s="178" t="inlineStr">
        <is>
          <t>Transcript</t>
        </is>
      </c>
      <c r="F307" s="178" t="inlineStr">
        <is>
          <t>Transcript Q&amp;A</t>
        </is>
      </c>
      <c r="G307" s="177" t="inlineStr">
        <is>
          <t>David</t>
        </is>
      </c>
      <c r="H307" s="177" t="inlineStr">
        <is>
          <t>Human</t>
        </is>
      </c>
      <c r="I307" s="180" t="n">
        <v>-0.25</v>
      </c>
      <c r="J307" s="180">
        <f>IF(OR(I307="",Settings!$B$6=""),"",IF(I307&gt;Settings!$B$6,"BUY",IF(I307&lt;-Settings!$B$6,"SELL","HOLD")))</f>
        <v/>
      </c>
      <c r="K307" s="180" t="n">
        <v>44</v>
      </c>
      <c r="L307" s="182" t="n">
        <v>45909</v>
      </c>
      <c r="M307" s="182" t="n">
        <v>45909</v>
      </c>
      <c r="N307" s="179" t="n">
        <v>241.51</v>
      </c>
      <c r="O307" s="182" t="n">
        <v>45910</v>
      </c>
      <c r="P307" s="180" t="n">
        <v>319.19</v>
      </c>
      <c r="Q307" s="184">
        <f>IF(OR(N307="",P307=""),"",ROUND((P307-N307)/N307,4))</f>
        <v/>
      </c>
      <c r="R307" s="177">
        <f>IF(OR(N307="",P307=""),"",IF(Q307&gt;Settings!$B$3/100,"UP",IF(Q307&lt;-Settings!$B$3/100,"DOWN","FLAT")))</f>
        <v/>
      </c>
      <c r="S307" s="177">
        <f>IF(OR(N307="",P307="",J307=""),"",IF(OR(AND(J307="BUY",R307="UP"),AND(J307="SELL",R307="DOWN"),AND(J307="HOLD",R307="FLAT")),"YES","NO"))</f>
        <v/>
      </c>
      <c r="T307" s="176">
        <f>IF(J307="","",IF(J307="BUY",1,IF(J307="SELL",-1,0)))</f>
        <v/>
      </c>
      <c r="U307" s="184">
        <f>IFERROR(IF(OR(J307="",N307="",P307=""),"",IF(T307=0,0,T307*Q307-Settings!$B$4/10000-IF(T307&lt;0,Settings!$B$5/10000,0))),"")</f>
        <v/>
      </c>
      <c r="V307" s="152" t="n"/>
      <c r="W307" s="176">
        <f>IF($K307="","",$K307*60)</f>
        <v/>
      </c>
      <c r="X307" s="186">
        <f>IF($A307="","",$A307&amp;"|"&amp;$C307&amp;"|"&amp;$D307)</f>
        <v/>
      </c>
      <c r="Y307" s="186">
        <f>IFERROR(IF($X307="","",INDEX(LLM_Data_Entry!$H$3:$H$548,MATCH($X307,INDEX(LLM_Data_Entry!$A$3:$A$548&amp;"|"&amp;LLM_Data_Entry!$C$3:$C$548&amp;"|"&amp;LLM_Data_Entry!$D$3:$D$548,0),0))),"")</f>
        <v/>
      </c>
      <c r="Z307" s="186">
        <f>IFERROR(IF($X307="","",INDEX(LLM_Data_Entry!$R$3:$R$548,MATCH($X307,INDEX(LLM_Data_Entry!$A$3:$A$548&amp;"|"&amp;LLM_Data_Entry!$C$3:$C$548&amp;"|"&amp;LLM_Data_Entry!$D$3:$D$548,0),0))),"")</f>
        <v/>
      </c>
      <c r="AA307" s="152" t="n"/>
      <c r="AB307" s="152" t="inlineStr">
        <is>
          <t>release date + stated time in the document (rater worksheet)</t>
        </is>
      </c>
      <c r="AC307" s="152" t="inlineStr">
        <is>
          <t>ORCL</t>
        </is>
      </c>
      <c r="AD307" s="152" t="inlineStr">
        <is>
          <t>2025-09-09</t>
        </is>
      </c>
      <c r="AE307" s="152" t="n">
        <v>238.7884</v>
      </c>
      <c r="AF307" s="152" t="inlineStr">
        <is>
          <t>2025-09-10</t>
        </is>
      </c>
      <c r="AG307" s="152" t="n">
        <v>315.593</v>
      </c>
      <c r="AH307" s="152" t="n">
        <v>0.3216432243295881</v>
      </c>
      <c r="AI307" s="152" t="inlineStr">
        <is>
          <t>UP</t>
        </is>
      </c>
      <c r="AJ307" s="152" t="inlineStr">
        <is>
          <t>NO</t>
        </is>
      </c>
      <c r="AK307" s="152" t="n">
        <v>-0.322643</v>
      </c>
      <c r="AL307" s="152">
        <f>IF($A307="","",IFERROR(INDEX(Company_List!$G$3:$G$207,MATCH($A307,Company_List!$A$3:$A$207,0)),"unassigned"))</f>
        <v/>
      </c>
      <c r="AM307" s="152" t="inlineStr">
        <is>
          <t>Phase 2/Oracle/2026-Q1/ORCL-2026-Q1-earnings-call-transcript-news-alphastreet-com.html</t>
        </is>
      </c>
      <c r="AN307" s="152" t="inlineStr">
        <is>
          <t>https://news.alphastreet.com/oracle-corporation-orcl-q1-2026-earnings-call-transcript/</t>
        </is>
      </c>
      <c r="AO307" s="152" t="inlineStr">
        <is>
          <t>manifest</t>
        </is>
      </c>
      <c r="AP307" s="152">
        <f>IF($A307="","",IF(COUNTIFS(LLM_Data_Entry!$A$3:$A$548,$A307)&gt;0,"YES","NO"))</f>
        <v/>
      </c>
      <c r="AQ307" s="152">
        <f>IF($A307="","",IF(COUNTIFS($A$3:$A307,$A307,$C$3:$C307,$C307,$D$3:$D307,$D307)=1,"YES","NO"))</f>
        <v/>
      </c>
      <c r="AR307" s="152">
        <f>IF($A307="","",IF(AND($C307&amp;"-"&amp;$D307&gt;=Settings!$B$19,$C307&amp;"-"&amp;$D307&lt;=Settings!$B$20),"IN","OUT"))</f>
        <v/>
      </c>
      <c r="AS307" s="152">
        <f>IF($A307="","",IF($F307="Financial Results","financials",IF($F307="Outlook/Guidance","guidance",IF($F307="Transcript Q&amp;A","qanda",IF($F307="","unrecorded",IF($E307="All","full",IF($E307="","unrecorded",LOWER($E307)&amp;" only")))))))</f>
        <v/>
      </c>
      <c r="AT307" s="152">
        <f>IF(AND(OR($J307="BUY",$J307="SELL"),ISNUMBER($U307)),$U307,"")</f>
        <v/>
      </c>
      <c r="AU307" s="152">
        <f>IF(AND(OR($J307="BUY",$J307="SELL"),ISNUMBER($AK307)),$AK307,"")</f>
        <v/>
      </c>
      <c r="AV307" s="152">
        <f>IF(ISNUMBER($AT307),ABS(IF(ISNUMBER($I307),$I307,0)-Settings!$B$24),"")</f>
        <v/>
      </c>
      <c r="AW307" s="152">
        <f>IF(ISNUMBER($AV307),$AV307*$AT307,"")</f>
        <v/>
      </c>
      <c r="AX307" s="152">
        <f>IF(ISNUMBER($AU307),ABS(IF(ISNUMBER($I307),$I307,0)-Settings!$B$24),"")</f>
        <v/>
      </c>
      <c r="AY307" s="152" t="inlineStr">
        <is>
          <t>FROZEN</t>
        </is>
      </c>
      <c r="AZ307" s="152">
        <f>IF($A307="","",IFERROR(INDEX(Company_List!$H$3:$H$207,MATCH($A307,Company_List!$A$3:$A$207,0)),"unassigned"))</f>
        <v/>
      </c>
      <c r="BA307" s="152" t="n"/>
      <c r="BB307" s="152" t="n"/>
      <c r="BC307" s="152">
        <f>IF($A307="","",IF(COUNTIFS($A$3:$A307,$A307,$C$3:$C307,$C307,$D$3:$D307,$D307,$G$3:$G307,$G307)=1,1,0))</f>
        <v/>
      </c>
      <c r="BD307" s="152" t="n"/>
      <c r="BE307" s="152" t="n"/>
      <c r="BF307" s="152" t="n"/>
      <c r="BG307" s="152" t="inlineStr">
        <is>
          <t>no</t>
        </is>
      </c>
      <c r="BH307" s="152" t="n"/>
      <c r="BI307" s="152" t="n"/>
      <c r="BJ307" s="152" t="n"/>
      <c r="BK307" s="152">
        <f>IF(OR($H307&lt;&gt;"Human",$S307="",$J307="",$Y307="",$Z307=""),"",IF(EXACT(UPPER($J307),UPPER($Y307)),1,0))</f>
        <v/>
      </c>
      <c r="BL307" s="152" t="inlineStr">
        <is>
          <t>assumed - no rater record</t>
        </is>
      </c>
      <c r="BM307" s="152" t="n">
        <v>1</v>
      </c>
      <c r="BN307" s="152" t="inlineStr">
        <is>
          <t>not publisher-identified</t>
        </is>
      </c>
      <c r="BO307" s="152" t="inlineStr">
        <is>
          <t>not publisher-identified</t>
        </is>
      </c>
      <c r="BP307" s="152" t="inlineStr">
        <is>
          <t>no</t>
        </is>
      </c>
      <c r="BQ307" s="152" t="inlineStr">
        <is>
          <t>yes</t>
        </is>
      </c>
      <c r="BR307" s="152" t="n"/>
      <c r="BS307" s="152" t="inlineStr">
        <is>
          <t>YES</t>
        </is>
      </c>
      <c r="BT307" s="152" t="n"/>
    </row>
    <row r="308" ht="15" customHeight="1" s="241">
      <c r="A308" s="193" t="inlineStr">
        <is>
          <t>Oracle</t>
        </is>
      </c>
      <c r="B308" s="194">
        <f>IF(A308="","",_xlfn.XLOOKUP(A308, Company_List!$A:$A, Company_List!$B:$B, ""))</f>
        <v/>
      </c>
      <c r="C308" s="177" t="n">
        <v>2026</v>
      </c>
      <c r="D308" s="177" t="inlineStr">
        <is>
          <t>Q2</t>
        </is>
      </c>
      <c r="E308" s="178" t="inlineStr">
        <is>
          <t>Press Release Document</t>
        </is>
      </c>
      <c r="F308" s="178" t="inlineStr">
        <is>
          <t>Financial Results</t>
        </is>
      </c>
      <c r="G308" s="177" t="inlineStr">
        <is>
          <t>David</t>
        </is>
      </c>
      <c r="H308" s="177" t="inlineStr">
        <is>
          <t>Human</t>
        </is>
      </c>
      <c r="I308" s="180" t="n">
        <v>0.7</v>
      </c>
      <c r="J308" s="180">
        <f>IF(OR(I308="",Settings!$B$6=""),"",IF(I308&gt;Settings!$B$6,"BUY",IF(I308&lt;-Settings!$B$6,"SELL","HOLD")))</f>
        <v/>
      </c>
      <c r="K308" s="180" t="n">
        <v>38</v>
      </c>
      <c r="L308" s="182" t="n">
        <v>46001</v>
      </c>
      <c r="M308" s="182" t="n">
        <v>46001</v>
      </c>
      <c r="N308" s="179" t="n">
        <v>223.01</v>
      </c>
      <c r="O308" s="182" t="n">
        <v>46002</v>
      </c>
      <c r="P308" s="180" t="n">
        <v>190.62</v>
      </c>
      <c r="Q308" s="184">
        <f>IF(OR(N308="",P308=""),"",ROUND((P308-N308)/N308,4))</f>
        <v/>
      </c>
      <c r="R308" s="177">
        <f>IF(OR(N308="",P308=""),"",IF(Q308&gt;Settings!$B$3/100,"UP",IF(Q308&lt;-Settings!$B$3/100,"DOWN","FLAT")))</f>
        <v/>
      </c>
      <c r="S308" s="177">
        <f>IF(OR(N308="",P308="",J308=""),"",IF(OR(AND(J308="BUY",R308="UP"),AND(J308="SELL",R308="DOWN"),AND(J308="HOLD",R308="FLAT")),"YES","NO"))</f>
        <v/>
      </c>
      <c r="T308" s="176">
        <f>IF(J308="","",IF(J308="BUY",1,IF(J308="SELL",-1,0)))</f>
        <v/>
      </c>
      <c r="U308" s="184">
        <f>IFERROR(IF(OR(J308="",N308="",P308=""),"",IF(T308=0,0,T308*Q308-Settings!$B$4/10000-IF(T308&lt;0,Settings!$B$5/10000,0))),"")</f>
        <v/>
      </c>
      <c r="V308" s="152" t="n"/>
      <c r="W308" s="176">
        <f>IF($K308="","",$K308*60)</f>
        <v/>
      </c>
      <c r="X308" s="186">
        <f>IF($A308="","",$A308&amp;"|"&amp;$C308&amp;"|"&amp;$D308)</f>
        <v/>
      </c>
      <c r="Y308" s="186">
        <f>IFERROR(IF($X308="","",INDEX(LLM_Data_Entry!$H$3:$H$548,MATCH($X308,INDEX(LLM_Data_Entry!$A$3:$A$548&amp;"|"&amp;LLM_Data_Entry!$C$3:$C$548&amp;"|"&amp;LLM_Data_Entry!$D$3:$D$548,0),0))),"")</f>
        <v/>
      </c>
      <c r="Z308" s="186">
        <f>IFERROR(IF($X308="","",INDEX(LLM_Data_Entry!$R$3:$R$548,MATCH($X308,INDEX(LLM_Data_Entry!$A$3:$A$548&amp;"|"&amp;LLM_Data_Entry!$C$3:$C$548&amp;"|"&amp;LLM_Data_Entry!$D$3:$D$548,0),0))),"")</f>
        <v/>
      </c>
      <c r="AA308" s="152" t="n"/>
      <c r="AB308" s="152" t="inlineStr">
        <is>
          <t>price signal — only this window shows an abnormal move</t>
        </is>
      </c>
      <c r="AC308" s="152" t="inlineStr">
        <is>
          <t>ORCL</t>
        </is>
      </c>
      <c r="AD308" s="152" t="inlineStr">
        <is>
          <t>2025-12-10</t>
        </is>
      </c>
      <c r="AE308" s="152" t="n">
        <v>220.8795</v>
      </c>
      <c r="AF308" s="152" t="inlineStr">
        <is>
          <t>2025-12-11</t>
        </is>
      </c>
      <c r="AG308" s="152" t="n">
        <v>188.7989</v>
      </c>
      <c r="AH308" s="152" t="n">
        <v>-0.1452401443321627</v>
      </c>
      <c r="AI308" s="152" t="inlineStr">
        <is>
          <t>DOWN</t>
        </is>
      </c>
      <c r="AJ308" s="152" t="inlineStr">
        <is>
          <t>NO</t>
        </is>
      </c>
      <c r="AK308" s="152" t="n">
        <v>-0.14624</v>
      </c>
      <c r="AL308" s="152">
        <f>IF($A308="","",IFERROR(INDEX(Company_List!$G$3:$G$207,MATCH($A308,Company_List!$A$3:$A$207,0)),"unassigned"))</f>
        <v/>
      </c>
      <c r="AM308" s="152" t="inlineStr">
        <is>
          <t>Phase 2/Oracle/2026-Q2/ORCL-2026-Q2-press-release-SEC-EX-99-1.htm</t>
        </is>
      </c>
      <c r="AN308" s="152" t="inlineStr">
        <is>
          <t>https://www.sec.gov/Archives/edgar/data/1341439/000119312525314207/orcl-ex99_1.htm</t>
        </is>
      </c>
      <c r="AO308" s="152" t="inlineStr">
        <is>
          <t>manifest</t>
        </is>
      </c>
      <c r="AP308" s="152">
        <f>IF($A308="","",IF(COUNTIFS(LLM_Data_Entry!$A$3:$A$548,$A308)&gt;0,"YES","NO"))</f>
        <v/>
      </c>
      <c r="AQ308" s="152">
        <f>IF($A308="","",IF(COUNTIFS($A$3:$A308,$A308,$C$3:$C308,$C308,$D$3:$D308,$D308)=1,"YES","NO"))</f>
        <v/>
      </c>
      <c r="AR308" s="152">
        <f>IF($A308="","",IF(AND($C308&amp;"-"&amp;$D308&gt;=Settings!$B$19,$C308&amp;"-"&amp;$D308&lt;=Settings!$B$20),"IN","OUT"))</f>
        <v/>
      </c>
      <c r="AS308" s="152">
        <f>IF($A308="","",IF($F308="Financial Results","financials",IF($F308="Outlook/Guidance","guidance",IF($F308="Transcript Q&amp;A","qanda",IF($F308="","unrecorded",IF($E308="All","full",IF($E308="","unrecorded",LOWER($E308)&amp;" only")))))))</f>
        <v/>
      </c>
      <c r="AT308" s="152">
        <f>IF(AND(OR($J308="BUY",$J308="SELL"),ISNUMBER($U308)),$U308,"")</f>
        <v/>
      </c>
      <c r="AU308" s="152">
        <f>IF(AND(OR($J308="BUY",$J308="SELL"),ISNUMBER($AK308)),$AK308,"")</f>
        <v/>
      </c>
      <c r="AV308" s="152">
        <f>IF(ISNUMBER($AT308),ABS(IF(ISNUMBER($I308),$I308,0)-Settings!$B$24),"")</f>
        <v/>
      </c>
      <c r="AW308" s="152">
        <f>IF(ISNUMBER($AV308),$AV308*$AT308,"")</f>
        <v/>
      </c>
      <c r="AX308" s="152">
        <f>IF(ISNUMBER($AU308),ABS(IF(ISNUMBER($I308),$I308,0)-Settings!$B$24),"")</f>
        <v/>
      </c>
      <c r="AY308" s="152" t="inlineStr">
        <is>
          <t>FROZEN</t>
        </is>
      </c>
      <c r="AZ308" s="152">
        <f>IF($A308="","",IFERROR(INDEX(Company_List!$H$3:$H$207,MATCH($A308,Company_List!$A$3:$A$207,0)),"unassigned"))</f>
        <v/>
      </c>
      <c r="BA308" s="152" t="n"/>
      <c r="BB308" s="152" t="n"/>
      <c r="BC308" s="152">
        <f>IF($A308="","",IF(COUNTIFS($A$3:$A308,$A308,$C$3:$C308,$C308,$D$3:$D308,$D308,$G$3:$G308,$G308)=1,1,0))</f>
        <v/>
      </c>
      <c r="BD308" s="152" t="n"/>
      <c r="BE308" s="152" t="n"/>
      <c r="BF308" s="152" t="n"/>
      <c r="BG308" s="152" t="inlineStr">
        <is>
          <t>no</t>
        </is>
      </c>
      <c r="BH308" s="152" t="n"/>
      <c r="BI308" s="152" t="n"/>
      <c r="BJ308" s="152" t="n"/>
      <c r="BK308" s="152">
        <f>IF(OR($H308&lt;&gt;"Human",$S308="",$J308="",$Y308="",$Z308=""),"",IF(EXACT(UPPER($J308),UPPER($Y308)),1,0))</f>
        <v/>
      </c>
      <c r="BL308" s="152" t="inlineStr">
        <is>
          <t>assumed - no rater record</t>
        </is>
      </c>
      <c r="BM308" s="152" t="n">
        <v>1</v>
      </c>
      <c r="BN308" s="152" t="inlineStr">
        <is>
          <t>not publisher-identified</t>
        </is>
      </c>
      <c r="BO308" s="152" t="inlineStr">
        <is>
          <t>not publisher-identified</t>
        </is>
      </c>
      <c r="BP308" s="152" t="inlineStr">
        <is>
          <t>no</t>
        </is>
      </c>
      <c r="BQ308" s="152" t="inlineStr">
        <is>
          <t>yes</t>
        </is>
      </c>
      <c r="BR308" s="152" t="n"/>
      <c r="BS308" s="152" t="inlineStr">
        <is>
          <t>YES</t>
        </is>
      </c>
      <c r="BT308" s="152" t="n"/>
    </row>
    <row r="309" ht="15" customHeight="1" s="241">
      <c r="A309" s="193" t="inlineStr">
        <is>
          <t>Oracle</t>
        </is>
      </c>
      <c r="B309" s="194">
        <f>IF(A309="","",_xlfn.XLOOKUP(A309, Company_List!$A:$A, Company_List!$B:$B, ""))</f>
        <v/>
      </c>
      <c r="C309" s="177" t="n">
        <v>2026</v>
      </c>
      <c r="D309" s="177" t="inlineStr">
        <is>
          <t>Q3</t>
        </is>
      </c>
      <c r="E309" s="178" t="inlineStr">
        <is>
          <t>Transcript</t>
        </is>
      </c>
      <c r="F309" s="178" t="inlineStr">
        <is>
          <t>Outlook/Guidance</t>
        </is>
      </c>
      <c r="G309" s="177" t="inlineStr">
        <is>
          <t>David</t>
        </is>
      </c>
      <c r="H309" s="177" t="inlineStr">
        <is>
          <t>Human</t>
        </is>
      </c>
      <c r="I309" s="180" t="n">
        <v>-0.45</v>
      </c>
      <c r="J309" s="180">
        <f>IF(OR(I309="",Settings!$B$6=""),"",IF(I309&gt;Settings!$B$6,"BUY",IF(I309&lt;-Settings!$B$6,"SELL","HOLD")))</f>
        <v/>
      </c>
      <c r="K309" s="180" t="n">
        <v>37</v>
      </c>
      <c r="L309" s="182" t="n">
        <v>46091</v>
      </c>
      <c r="M309" s="182" t="n">
        <v>46091</v>
      </c>
      <c r="N309" s="179" t="n">
        <v>149.4</v>
      </c>
      <c r="O309" s="182" t="n">
        <v>46092</v>
      </c>
      <c r="P309" s="180" t="n">
        <v>166.38</v>
      </c>
      <c r="Q309" s="184">
        <f>IF(OR(N309="",P309=""),"",ROUND((P309-N309)/N309,4))</f>
        <v/>
      </c>
      <c r="R309" s="177">
        <f>IF(OR(N309="",P309=""),"",IF(Q309&gt;Settings!$B$3/100,"UP",IF(Q309&lt;-Settings!$B$3/100,"DOWN","FLAT")))</f>
        <v/>
      </c>
      <c r="S309" s="177">
        <f>IF(OR(N309="",P309="",J309=""),"",IF(OR(AND(J309="BUY",R309="UP"),AND(J309="SELL",R309="DOWN"),AND(J309="HOLD",R309="FLAT")),"YES","NO"))</f>
        <v/>
      </c>
      <c r="T309" s="176">
        <f>IF(J309="","",IF(J309="BUY",1,IF(J309="SELL",-1,0)))</f>
        <v/>
      </c>
      <c r="U309" s="184">
        <f>IFERROR(IF(OR(J309="",N309="",P309=""),"",IF(T309=0,0,T309*Q309-Settings!$B$4/10000-IF(T309&lt;0,Settings!$B$5/10000,0))),"")</f>
        <v/>
      </c>
      <c r="V309" s="152" t="n"/>
      <c r="W309" s="176">
        <f>IF($K309="","",$K309*60)</f>
        <v/>
      </c>
      <c r="X309" s="186">
        <f>IF($A309="","",$A309&amp;"|"&amp;$C309&amp;"|"&amp;$D309)</f>
        <v/>
      </c>
      <c r="Y309" s="186">
        <f>IFERROR(IF($X309="","",INDEX(LLM_Data_Entry!$H$3:$H$548,MATCH($X309,INDEX(LLM_Data_Entry!$A$3:$A$548&amp;"|"&amp;LLM_Data_Entry!$C$3:$C$548&amp;"|"&amp;LLM_Data_Entry!$D$3:$D$548,0),0))),"")</f>
        <v/>
      </c>
      <c r="Z309" s="186">
        <f>IFERROR(IF($X309="","",INDEX(LLM_Data_Entry!$R$3:$R$548,MATCH($X309,INDEX(LLM_Data_Entry!$A$3:$A$548&amp;"|"&amp;LLM_Data_Entry!$C$3:$C$548&amp;"|"&amp;LLM_Data_Entry!$D$3:$D$548,0),0))),"")</f>
        <v/>
      </c>
      <c r="AA309" s="152" t="n"/>
      <c r="AB309" s="152" t="inlineStr">
        <is>
          <t>release date + stated time in the document (rater worksheet)</t>
        </is>
      </c>
      <c r="AC309" s="152" t="inlineStr">
        <is>
          <t>ORCL</t>
        </is>
      </c>
      <c r="AD309" s="152" t="inlineStr">
        <is>
          <t>2026-03-10</t>
        </is>
      </c>
      <c r="AE309" s="152" t="n">
        <v>148.3639</v>
      </c>
      <c r="AF309" s="152" t="inlineStr">
        <is>
          <t>2026-03-11</t>
        </is>
      </c>
      <c r="AG309" s="152" t="n">
        <v>165.2261</v>
      </c>
      <c r="AH309" s="152" t="n">
        <v>0.1136546846451149</v>
      </c>
      <c r="AI309" s="152" t="inlineStr">
        <is>
          <t>UP</t>
        </is>
      </c>
      <c r="AJ309" s="152" t="inlineStr">
        <is>
          <t>NO</t>
        </is>
      </c>
      <c r="AK309" s="152" t="n">
        <v>-0.114655</v>
      </c>
      <c r="AL309" s="152">
        <f>IF($A309="","",IFERROR(INDEX(Company_List!$G$3:$G$207,MATCH($A309,Company_List!$A$3:$A$207,0)),"unassigned"))</f>
        <v/>
      </c>
      <c r="AM309" s="152" t="inlineStr">
        <is>
          <t>Phase 2/Oracle/2026-Q3/ORCL-2026-Q3-earnings-call-transcript-fool-com.html</t>
        </is>
      </c>
      <c r="AN309" s="152" t="inlineStr">
        <is>
          <t>https://www.fool.com/earnings/call-transcripts/2026/03/10/oracle-orcl-q3-2026-earnings-call-transcript/</t>
        </is>
      </c>
      <c r="AO309" s="152" t="inlineStr">
        <is>
          <t>manifest</t>
        </is>
      </c>
      <c r="AP309" s="152">
        <f>IF($A309="","",IF(COUNTIFS(LLM_Data_Entry!$A$3:$A$548,$A309)&gt;0,"YES","NO"))</f>
        <v/>
      </c>
      <c r="AQ309" s="152">
        <f>IF($A309="","",IF(COUNTIFS($A$3:$A309,$A309,$C$3:$C309,$C309,$D$3:$D309,$D309)=1,"YES","NO"))</f>
        <v/>
      </c>
      <c r="AR309" s="152">
        <f>IF($A309="","",IF(AND($C309&amp;"-"&amp;$D309&gt;=Settings!$B$19,$C309&amp;"-"&amp;$D309&lt;=Settings!$B$20),"IN","OUT"))</f>
        <v/>
      </c>
      <c r="AS309" s="152">
        <f>IF($A309="","",IF($F309="Financial Results","financials",IF($F309="Outlook/Guidance","guidance",IF($F309="Transcript Q&amp;A","qanda",IF($F309="","unrecorded",IF($E309="All","full",IF($E309="","unrecorded",LOWER($E309)&amp;" only")))))))</f>
        <v/>
      </c>
      <c r="AT309" s="152">
        <f>IF(AND(OR($J309="BUY",$J309="SELL"),ISNUMBER($U309)),$U309,"")</f>
        <v/>
      </c>
      <c r="AU309" s="152">
        <f>IF(AND(OR($J309="BUY",$J309="SELL"),ISNUMBER($AK309)),$AK309,"")</f>
        <v/>
      </c>
      <c r="AV309" s="152">
        <f>IF(ISNUMBER($AT309),ABS(IF(ISNUMBER($I309),$I309,0)-Settings!$B$24),"")</f>
        <v/>
      </c>
      <c r="AW309" s="152">
        <f>IF(ISNUMBER($AV309),$AV309*$AT309,"")</f>
        <v/>
      </c>
      <c r="AX309" s="152">
        <f>IF(ISNUMBER($AU309),ABS(IF(ISNUMBER($I309),$I309,0)-Settings!$B$24),"")</f>
        <v/>
      </c>
      <c r="AY309" s="152" t="inlineStr">
        <is>
          <t>FROZEN</t>
        </is>
      </c>
      <c r="AZ309" s="152">
        <f>IF($A309="","",IFERROR(INDEX(Company_List!$H$3:$H$207,MATCH($A309,Company_List!$A$3:$A$207,0)),"unassigned"))</f>
        <v/>
      </c>
      <c r="BA309" s="152" t="n"/>
      <c r="BB309" s="152" t="n"/>
      <c r="BC309" s="152">
        <f>IF($A309="","",IF(COUNTIFS($A$3:$A309,$A309,$C$3:$C309,$C309,$D$3:$D309,$D309,$G$3:$G309,$G309)=1,1,0))</f>
        <v/>
      </c>
      <c r="BD309" s="152" t="n"/>
      <c r="BE309" s="152" t="n"/>
      <c r="BF309" s="152" t="n"/>
      <c r="BG309" s="152" t="inlineStr">
        <is>
          <t>no</t>
        </is>
      </c>
      <c r="BH309" s="152" t="n"/>
      <c r="BI309" s="152" t="n"/>
      <c r="BJ309" s="152" t="n"/>
      <c r="BK309" s="152">
        <f>IF(OR($H309&lt;&gt;"Human",$S309="",$J309="",$Y309="",$Z309=""),"",IF(EXACT(UPPER($J309),UPPER($Y309)),1,0))</f>
        <v/>
      </c>
      <c r="BL309" s="152" t="inlineStr">
        <is>
          <t>assumed - no rater record</t>
        </is>
      </c>
      <c r="BM309" s="152" t="n">
        <v>1</v>
      </c>
      <c r="BN309" s="152" t="inlineStr">
        <is>
          <t>The Motley Fool</t>
        </is>
      </c>
      <c r="BO309" s="152" t="inlineStr">
        <is>
          <t>free to read, copyright asserted</t>
        </is>
      </c>
      <c r="BP309" s="152" t="inlineStr">
        <is>
          <t>no</t>
        </is>
      </c>
      <c r="BQ309" s="152" t="inlineStr">
        <is>
          <t>yes</t>
        </is>
      </c>
      <c r="BR309" s="152" t="n"/>
      <c r="BS309" s="152" t="inlineStr">
        <is>
          <t>YES</t>
        </is>
      </c>
      <c r="BT309" s="152" t="n"/>
    </row>
    <row r="310" ht="15" customHeight="1" s="241">
      <c r="A310" s="193" t="inlineStr">
        <is>
          <t>Starbucks</t>
        </is>
      </c>
      <c r="B310" s="194">
        <f>IF(A310="","",_xlfn.XLOOKUP(A310, Company_List!$A:$A, Company_List!$B:$B, ""))</f>
        <v/>
      </c>
      <c r="C310" s="177" t="n">
        <v>2026</v>
      </c>
      <c r="D310" s="177" t="inlineStr">
        <is>
          <t>Q1</t>
        </is>
      </c>
      <c r="E310" s="178" t="inlineStr">
        <is>
          <t>Press Release Document</t>
        </is>
      </c>
      <c r="F310" s="178" t="inlineStr">
        <is>
          <t>Financial Results</t>
        </is>
      </c>
      <c r="G310" s="177" t="inlineStr">
        <is>
          <t>David</t>
        </is>
      </c>
      <c r="H310" s="177" t="inlineStr">
        <is>
          <t>Human</t>
        </is>
      </c>
      <c r="I310" s="180" t="n">
        <v>-0.45</v>
      </c>
      <c r="J310" s="180">
        <f>IF(OR(I310="",Settings!$B$6=""),"",IF(I310&gt;Settings!$B$6,"BUY",IF(I310&lt;-Settings!$B$6,"SELL","HOLD")))</f>
        <v/>
      </c>
      <c r="K310" s="180" t="n">
        <v>35</v>
      </c>
      <c r="L310" s="182" t="n">
        <v>46050</v>
      </c>
      <c r="M310" s="182" t="n">
        <v>46050</v>
      </c>
      <c r="N310" s="179" t="n">
        <v>95.16</v>
      </c>
      <c r="O310" s="182" t="n">
        <v>46051</v>
      </c>
      <c r="P310" s="180" t="n">
        <v>96.76000000000001</v>
      </c>
      <c r="Q310" s="184">
        <f>IF(OR(N310="",P310=""),"",ROUND((P310-N310)/N310,4))</f>
        <v/>
      </c>
      <c r="R310" s="177">
        <f>IF(OR(N310="",P310=""),"",IF(Q310&gt;Settings!$B$3/100,"UP",IF(Q310&lt;-Settings!$B$3/100,"DOWN","FLAT")))</f>
        <v/>
      </c>
      <c r="S310" s="177">
        <f>IF(OR(N310="",P310="",J310=""),"",IF(OR(AND(J310="BUY",R310="UP"),AND(J310="SELL",R310="DOWN"),AND(J310="HOLD",R310="FLAT")),"YES","NO"))</f>
        <v/>
      </c>
      <c r="T310" s="176">
        <f>IF(J310="","",IF(J310="BUY",1,IF(J310="SELL",-1,0)))</f>
        <v/>
      </c>
      <c r="U310" s="184">
        <f>IFERROR(IF(OR(J310="",N310="",P310=""),"",IF(T310=0,0,T310*Q310-Settings!$B$4/10000-IF(T310&lt;0,Settings!$B$5/10000,0))),"")</f>
        <v/>
      </c>
      <c r="V310" s="152" t="n"/>
      <c r="W310" s="176">
        <f>IF($K310="","",$K310*60)</f>
        <v/>
      </c>
      <c r="X310" s="186">
        <f>IF($A310="","",$A310&amp;"|"&amp;$C310&amp;"|"&amp;$D310)</f>
        <v/>
      </c>
      <c r="Y310" s="186">
        <f>IFERROR(IF($X310="","",INDEX(LLM_Data_Entry!$H$3:$H$548,MATCH($X310,INDEX(LLM_Data_Entry!$A$3:$A$548&amp;"|"&amp;LLM_Data_Entry!$C$3:$C$548&amp;"|"&amp;LLM_Data_Entry!$D$3:$D$548,0),0))),"")</f>
        <v/>
      </c>
      <c r="Z310" s="186">
        <f>IFERROR(IF($X310="","",INDEX(LLM_Data_Entry!$R$3:$R$548,MATCH($X310,INDEX(LLM_Data_Entry!$A$3:$A$548&amp;"|"&amp;LLM_Data_Entry!$C$3:$C$548&amp;"|"&amp;LLM_Data_Entry!$D$3:$D$548,0),0))),"")</f>
        <v/>
      </c>
      <c r="AA310" s="152" t="n"/>
      <c r="AB310" s="152" t="inlineStr">
        <is>
          <t>price signal — both moved; this one dominates</t>
        </is>
      </c>
      <c r="AC310" s="152" t="inlineStr">
        <is>
          <t>SBUX</t>
        </is>
      </c>
      <c r="AD310" s="152" t="inlineStr">
        <is>
          <t>2026-01-27</t>
        </is>
      </c>
      <c r="AE310" s="152" t="n">
        <v>94.55249999999999</v>
      </c>
      <c r="AF310" s="152" t="inlineStr">
        <is>
          <t>2026-01-28</t>
        </is>
      </c>
      <c r="AG310" s="152" t="n">
        <v>101.0522</v>
      </c>
      <c r="AH310" s="152" t="n">
        <v>0.06874215692255159</v>
      </c>
      <c r="AI310" s="152" t="inlineStr">
        <is>
          <t>UP</t>
        </is>
      </c>
      <c r="AJ310" s="152" t="inlineStr">
        <is>
          <t>NO</t>
        </is>
      </c>
      <c r="AK310" s="152" t="n">
        <v>-0.069742</v>
      </c>
      <c r="AL310" s="152">
        <f>IF($A310="","",IFERROR(INDEX(Company_List!$G$3:$G$207,MATCH($A310,Company_List!$A$3:$A$207,0)),"unassigned"))</f>
        <v/>
      </c>
      <c r="AM310" s="152" t="inlineStr">
        <is>
          <t>Phase 2/Starbucks/2026-Q1/SBUX-2026-Q1-press-release-SEC-EX-99-1.htm</t>
        </is>
      </c>
      <c r="AN310" s="152" t="inlineStr">
        <is>
          <t>https://www.sec.gov/Archives/edgar/data/829224/000082922426000010/sbux-12282025xearningsrele.htm</t>
        </is>
      </c>
      <c r="AO310" s="152" t="inlineStr">
        <is>
          <t>manifest</t>
        </is>
      </c>
      <c r="AP310" s="152">
        <f>IF($A310="","",IF(COUNTIFS(LLM_Data_Entry!$A$3:$A$548,$A310)&gt;0,"YES","NO"))</f>
        <v/>
      </c>
      <c r="AQ310" s="152">
        <f>IF($A310="","",IF(COUNTIFS($A$3:$A310,$A310,$C$3:$C310,$C310,$D$3:$D310,$D310)=1,"YES","NO"))</f>
        <v/>
      </c>
      <c r="AR310" s="152">
        <f>IF($A310="","",IF(AND($C310&amp;"-"&amp;$D310&gt;=Settings!$B$19,$C310&amp;"-"&amp;$D310&lt;=Settings!$B$20),"IN","OUT"))</f>
        <v/>
      </c>
      <c r="AS310" s="152">
        <f>IF($A310="","",IF($F310="Financial Results","financials",IF($F310="Outlook/Guidance","guidance",IF($F310="Transcript Q&amp;A","qanda",IF($F310="","unrecorded",IF($E310="All","full",IF($E310="","unrecorded",LOWER($E310)&amp;" only")))))))</f>
        <v/>
      </c>
      <c r="AT310" s="152">
        <f>IF(AND(OR($J310="BUY",$J310="SELL"),ISNUMBER($U310)),$U310,"")</f>
        <v/>
      </c>
      <c r="AU310" s="152">
        <f>IF(AND(OR($J310="BUY",$J310="SELL"),ISNUMBER($AK310)),$AK310,"")</f>
        <v/>
      </c>
      <c r="AV310" s="152">
        <f>IF(ISNUMBER($AT310),ABS(IF(ISNUMBER($I310),$I310,0)-Settings!$B$24),"")</f>
        <v/>
      </c>
      <c r="AW310" s="152">
        <f>IF(ISNUMBER($AV310),$AV310*$AT310,"")</f>
        <v/>
      </c>
      <c r="AX310" s="152">
        <f>IF(ISNUMBER($AU310),ABS(IF(ISNUMBER($I310),$I310,0)-Settings!$B$24),"")</f>
        <v/>
      </c>
      <c r="AY310" s="152" t="inlineStr">
        <is>
          <t>FROZEN</t>
        </is>
      </c>
      <c r="AZ310" s="152">
        <f>IF($A310="","",IFERROR(INDEX(Company_List!$H$3:$H$207,MATCH($A310,Company_List!$A$3:$A$207,0)),"unassigned"))</f>
        <v/>
      </c>
      <c r="BA310" s="152" t="n"/>
      <c r="BB310" s="152" t="n"/>
      <c r="BC310" s="152">
        <f>IF($A310="","",IF(COUNTIFS($A$3:$A310,$A310,$C$3:$C310,$C310,$D$3:$D310,$D310,$G$3:$G310,$G310)=1,1,0))</f>
        <v/>
      </c>
      <c r="BD310" s="152" t="n"/>
      <c r="BE310" s="152" t="n"/>
      <c r="BF310" s="152" t="n"/>
      <c r="BG310" s="152" t="inlineStr">
        <is>
          <t>no</t>
        </is>
      </c>
      <c r="BH310" s="152" t="n"/>
      <c r="BI310" s="152" t="n"/>
      <c r="BJ310" s="152" t="n"/>
      <c r="BK310" s="152">
        <f>IF(OR($H310&lt;&gt;"Human",$S310="",$J310="",$Y310="",$Z310=""),"",IF(EXACT(UPPER($J310),UPPER($Y310)),1,0))</f>
        <v/>
      </c>
      <c r="BL310" s="152" t="inlineStr">
        <is>
          <t>assumed - no rater record</t>
        </is>
      </c>
      <c r="BM310" s="152" t="n">
        <v>1</v>
      </c>
      <c r="BN310" s="152" t="inlineStr">
        <is>
          <t>not publisher-identified</t>
        </is>
      </c>
      <c r="BO310" s="152" t="inlineStr">
        <is>
          <t>not publisher-identified</t>
        </is>
      </c>
      <c r="BP310" s="152" t="inlineStr">
        <is>
          <t>no</t>
        </is>
      </c>
      <c r="BQ310" s="152" t="inlineStr">
        <is>
          <t>yes</t>
        </is>
      </c>
      <c r="BR310" s="152" t="n"/>
      <c r="BS310" s="152" t="inlineStr">
        <is>
          <t>YES</t>
        </is>
      </c>
      <c r="BT310" s="152" t="n"/>
    </row>
    <row r="311" ht="15" customHeight="1" s="241">
      <c r="A311" s="193" t="inlineStr">
        <is>
          <t>Starbucks</t>
        </is>
      </c>
      <c r="B311" s="194">
        <f>IF(A311="","",_xlfn.XLOOKUP(A311, Company_List!$A:$A, Company_List!$B:$B, ""))</f>
        <v/>
      </c>
      <c r="C311" s="177" t="n">
        <v>2025</v>
      </c>
      <c r="D311" s="177" t="inlineStr">
        <is>
          <t>Q3</t>
        </is>
      </c>
      <c r="E311" s="178" t="inlineStr">
        <is>
          <t>Transcript</t>
        </is>
      </c>
      <c r="F311" s="178" t="inlineStr">
        <is>
          <t>Outlook/Guidance</t>
        </is>
      </c>
      <c r="G311" s="177" t="inlineStr">
        <is>
          <t>David</t>
        </is>
      </c>
      <c r="H311" s="177" t="inlineStr">
        <is>
          <t>Human</t>
        </is>
      </c>
      <c r="I311" s="180" t="n">
        <v>-0.3</v>
      </c>
      <c r="J311" s="180">
        <f>IF(OR(I311="",Settings!$B$6=""),"",IF(I311&gt;Settings!$B$6,"BUY",IF(I311&lt;-Settings!$B$6,"SELL","HOLD")))</f>
        <v/>
      </c>
      <c r="K311" s="180" t="n">
        <v>39</v>
      </c>
      <c r="L311" s="182" t="n">
        <v>45867</v>
      </c>
      <c r="M311" s="182" t="n">
        <v>45867</v>
      </c>
      <c r="N311" s="179" t="n">
        <v>92.95999999999999</v>
      </c>
      <c r="O311" s="182" t="n">
        <v>45868</v>
      </c>
      <c r="P311" s="180" t="n">
        <v>97.83</v>
      </c>
      <c r="Q311" s="184">
        <f>IF(OR(N311="",P311=""),"",ROUND((P311-N311)/N311,4))</f>
        <v/>
      </c>
      <c r="R311" s="177">
        <f>IF(OR(N311="",P311=""),"",IF(Q311&gt;Settings!$B$3/100,"UP",IF(Q311&lt;-Settings!$B$3/100,"DOWN","FLAT")))</f>
        <v/>
      </c>
      <c r="S311" s="177">
        <f>IF(OR(N311="",P311="",J311=""),"",IF(OR(AND(J311="BUY",R311="UP"),AND(J311="SELL",R311="DOWN"),AND(J311="HOLD",R311="FLAT")),"YES","NO"))</f>
        <v/>
      </c>
      <c r="T311" s="176">
        <f>IF(J311="","",IF(J311="BUY",1,IF(J311="SELL",-1,0)))</f>
        <v/>
      </c>
      <c r="U311" s="184">
        <f>IFERROR(IF(OR(J311="",N311="",P311=""),"",IF(T311=0,0,T311*Q311-Settings!$B$4/10000-IF(T311&lt;0,Settings!$B$5/10000,0))),"")</f>
        <v/>
      </c>
      <c r="V311" s="152" t="n"/>
      <c r="W311" s="176">
        <f>IF($K311="","",$K311*60)</f>
        <v/>
      </c>
      <c r="X311" s="186">
        <f>IF($A311="","",$A311&amp;"|"&amp;$C311&amp;"|"&amp;$D311)</f>
        <v/>
      </c>
      <c r="Y311" s="186">
        <f>IFERROR(IF($X311="","",INDEX(LLM_Data_Entry!$H$3:$H$548,MATCH($X311,INDEX(LLM_Data_Entry!$A$3:$A$548&amp;"|"&amp;LLM_Data_Entry!$C$3:$C$548&amp;"|"&amp;LLM_Data_Entry!$D$3:$D$548,0),0))),"")</f>
        <v/>
      </c>
      <c r="Z311" s="186">
        <f>IFERROR(IF($X311="","",INDEX(LLM_Data_Entry!$R$3:$R$548,MATCH($X311,INDEX(LLM_Data_Entry!$A$3:$A$548&amp;"|"&amp;LLM_Data_Entry!$C$3:$C$548&amp;"|"&amp;LLM_Data_Entry!$D$3:$D$548,0),0))),"")</f>
        <v/>
      </c>
      <c r="AA311" s="152" t="n"/>
      <c r="AB311" s="152" t="inlineStr">
        <is>
          <t>release date + stated time in the document (rater worksheet)</t>
        </is>
      </c>
      <c r="AC311" s="152" t="inlineStr">
        <is>
          <t>SBUX</t>
        </is>
      </c>
      <c r="AD311" s="152" t="inlineStr">
        <is>
          <t>2025-07-29</t>
        </is>
      </c>
      <c r="AE311" s="152" t="n">
        <v>90.5699</v>
      </c>
      <c r="AF311" s="152" t="inlineStr">
        <is>
          <t>2025-07-30</t>
        </is>
      </c>
      <c r="AG311" s="152" t="n">
        <v>95.3147</v>
      </c>
      <c r="AH311" s="152" t="n">
        <v>0.05238815541756649</v>
      </c>
      <c r="AI311" s="152" t="inlineStr">
        <is>
          <t>UP</t>
        </is>
      </c>
      <c r="AJ311" s="152" t="inlineStr">
        <is>
          <t>NO</t>
        </is>
      </c>
      <c r="AK311" s="152" t="n">
        <v>-0.053388</v>
      </c>
      <c r="AL311" s="152">
        <f>IF($A311="","",IFERROR(INDEX(Company_List!$G$3:$G$207,MATCH($A311,Company_List!$A$3:$A$207,0)),"unassigned"))</f>
        <v/>
      </c>
      <c r="AM311" s="152" t="inlineStr">
        <is>
          <t>Phase 2/Starbucks/2025-Q3/SBUX-2025-Q3-earnings-call-transcript-fool-com.html</t>
        </is>
      </c>
      <c r="AN311" s="152" t="inlineStr">
        <is>
          <t>https://www.fool.com/earnings/call-transcripts/2025/08/05/starbucks-sbux-q3-2025-earnings-call-transcript/</t>
        </is>
      </c>
      <c r="AO311" s="152" t="inlineStr">
        <is>
          <t>manifest</t>
        </is>
      </c>
      <c r="AP311" s="152">
        <f>IF($A311="","",IF(COUNTIFS(LLM_Data_Entry!$A$3:$A$548,$A311)&gt;0,"YES","NO"))</f>
        <v/>
      </c>
      <c r="AQ311" s="152">
        <f>IF($A311="","",IF(COUNTIFS($A$3:$A311,$A311,$C$3:$C311,$C311,$D$3:$D311,$D311)=1,"YES","NO"))</f>
        <v/>
      </c>
      <c r="AR311" s="152">
        <f>IF($A311="","",IF(AND($C311&amp;"-"&amp;$D311&gt;=Settings!$B$19,$C311&amp;"-"&amp;$D311&lt;=Settings!$B$20),"IN","OUT"))</f>
        <v/>
      </c>
      <c r="AS311" s="152">
        <f>IF($A311="","",IF($F311="Financial Results","financials",IF($F311="Outlook/Guidance","guidance",IF($F311="Transcript Q&amp;A","qanda",IF($F311="","unrecorded",IF($E311="All","full",IF($E311="","unrecorded",LOWER($E311)&amp;" only")))))))</f>
        <v/>
      </c>
      <c r="AT311" s="152">
        <f>IF(AND(OR($J311="BUY",$J311="SELL"),ISNUMBER($U311)),$U311,"")</f>
        <v/>
      </c>
      <c r="AU311" s="152">
        <f>IF(AND(OR($J311="BUY",$J311="SELL"),ISNUMBER($AK311)),$AK311,"")</f>
        <v/>
      </c>
      <c r="AV311" s="152">
        <f>IF(ISNUMBER($AT311),ABS(IF(ISNUMBER($I311),$I311,0)-Settings!$B$24),"")</f>
        <v/>
      </c>
      <c r="AW311" s="152">
        <f>IF(ISNUMBER($AV311),$AV311*$AT311,"")</f>
        <v/>
      </c>
      <c r="AX311" s="152">
        <f>IF(ISNUMBER($AU311),ABS(IF(ISNUMBER($I311),$I311,0)-Settings!$B$24),"")</f>
        <v/>
      </c>
      <c r="AY311" s="152" t="inlineStr">
        <is>
          <t>FROZEN</t>
        </is>
      </c>
      <c r="AZ311" s="152">
        <f>IF($A311="","",IFERROR(INDEX(Company_List!$H$3:$H$207,MATCH($A311,Company_List!$A$3:$A$207,0)),"unassigned"))</f>
        <v/>
      </c>
      <c r="BA311" s="152" t="n"/>
      <c r="BB311" s="152" t="n"/>
      <c r="BC311" s="152">
        <f>IF($A311="","",IF(COUNTIFS($A$3:$A311,$A311,$C$3:$C311,$C311,$D$3:$D311,$D311,$G$3:$G311,$G311)=1,1,0))</f>
        <v/>
      </c>
      <c r="BD311" s="152" t="n"/>
      <c r="BE311" s="152" t="n"/>
      <c r="BF311" s="152" t="n"/>
      <c r="BG311" s="152" t="inlineStr">
        <is>
          <t>no</t>
        </is>
      </c>
      <c r="BH311" s="152" t="n"/>
      <c r="BI311" s="152" t="n"/>
      <c r="BJ311" s="152" t="n"/>
      <c r="BK311" s="152">
        <f>IF(OR($H311&lt;&gt;"Human",$S311="",$J311="",$Y311="",$Z311=""),"",IF(EXACT(UPPER($J311),UPPER($Y311)),1,0))</f>
        <v/>
      </c>
      <c r="BL311" s="152" t="inlineStr">
        <is>
          <t>assumed - no rater record</t>
        </is>
      </c>
      <c r="BM311" s="152" t="n">
        <v>1</v>
      </c>
      <c r="BN311" s="152" t="inlineStr">
        <is>
          <t>The Motley Fool</t>
        </is>
      </c>
      <c r="BO311" s="152" t="inlineStr">
        <is>
          <t>free to read, copyright asserted</t>
        </is>
      </c>
      <c r="BP311" s="152" t="inlineStr">
        <is>
          <t>no</t>
        </is>
      </c>
      <c r="BQ311" s="152" t="inlineStr">
        <is>
          <t>yes</t>
        </is>
      </c>
      <c r="BR311" s="152" t="n"/>
      <c r="BS311" s="152" t="inlineStr">
        <is>
          <t>YES</t>
        </is>
      </c>
      <c r="BT311" s="152" t="n"/>
    </row>
    <row r="312" ht="15" customHeight="1" s="241">
      <c r="A312" s="193" t="inlineStr">
        <is>
          <t>Starbucks</t>
        </is>
      </c>
      <c r="B312" s="194">
        <f>IF(A312="","",_xlfn.XLOOKUP(A312, Company_List!$A:$A, Company_List!$B:$B, ""))</f>
        <v/>
      </c>
      <c r="C312" s="177" t="n">
        <v>2025</v>
      </c>
      <c r="D312" s="177" t="inlineStr">
        <is>
          <t>Q4</t>
        </is>
      </c>
      <c r="E312" s="178" t="inlineStr">
        <is>
          <t>Transcript</t>
        </is>
      </c>
      <c r="F312" s="178" t="inlineStr">
        <is>
          <t>Transcript Q&amp;A</t>
        </is>
      </c>
      <c r="G312" s="177" t="inlineStr">
        <is>
          <t>David</t>
        </is>
      </c>
      <c r="H312" s="177" t="inlineStr">
        <is>
          <t>Human</t>
        </is>
      </c>
      <c r="I312" s="180" t="n">
        <v>0.45</v>
      </c>
      <c r="J312" s="180">
        <f>IF(OR(I312="",Settings!$B$6=""),"",IF(I312&gt;Settings!$B$6,"BUY",IF(I312&lt;-Settings!$B$6,"SELL","HOLD")))</f>
        <v/>
      </c>
      <c r="K312" s="180" t="n">
        <v>42</v>
      </c>
      <c r="L312" s="182" t="n">
        <v>45959</v>
      </c>
      <c r="M312" s="182" t="n">
        <v>45959</v>
      </c>
      <c r="N312" s="179" t="n">
        <v>84.17</v>
      </c>
      <c r="O312" s="182" t="n">
        <v>45960</v>
      </c>
      <c r="P312" s="180" t="n">
        <v>82.23</v>
      </c>
      <c r="Q312" s="184">
        <f>IF(OR(N312="",P312=""),"",ROUND((P312-N312)/N312,4))</f>
        <v/>
      </c>
      <c r="R312" s="177">
        <f>IF(OR(N312="",P312=""),"",IF(Q312&gt;Settings!$B$3/100,"UP",IF(Q312&lt;-Settings!$B$3/100,"DOWN","FLAT")))</f>
        <v/>
      </c>
      <c r="S312" s="177">
        <f>IF(OR(N312="",P312="",J312=""),"",IF(OR(AND(J312="BUY",R312="UP"),AND(J312="SELL",R312="DOWN"),AND(J312="HOLD",R312="FLAT")),"YES","NO"))</f>
        <v/>
      </c>
      <c r="T312" s="176">
        <f>IF(J312="","",IF(J312="BUY",1,IF(J312="SELL",-1,0)))</f>
        <v/>
      </c>
      <c r="U312" s="184">
        <f>IFERROR(IF(OR(J312="",N312="",P312=""),"",IF(T312=0,0,T312*Q312-Settings!$B$4/10000-IF(T312&lt;0,Settings!$B$5/10000,0))),"")</f>
        <v/>
      </c>
      <c r="V312" s="152" t="n"/>
      <c r="W312" s="176">
        <f>IF($K312="","",$K312*60)</f>
        <v/>
      </c>
      <c r="X312" s="186">
        <f>IF($A312="","",$A312&amp;"|"&amp;$C312&amp;"|"&amp;$D312)</f>
        <v/>
      </c>
      <c r="Y312" s="186">
        <f>IFERROR(IF($X312="","",INDEX(LLM_Data_Entry!$H$3:$H$548,MATCH($X312,INDEX(LLM_Data_Entry!$A$3:$A$548&amp;"|"&amp;LLM_Data_Entry!$C$3:$C$548&amp;"|"&amp;LLM_Data_Entry!$D$3:$D$548,0),0))),"")</f>
        <v/>
      </c>
      <c r="Z312" s="186">
        <f>IFERROR(IF($X312="","",INDEX(LLM_Data_Entry!$R$3:$R$548,MATCH($X312,INDEX(LLM_Data_Entry!$A$3:$A$548&amp;"|"&amp;LLM_Data_Entry!$C$3:$C$548&amp;"|"&amp;LLM_Data_Entry!$D$3:$D$548,0),0))),"")</f>
        <v/>
      </c>
      <c r="AA312" s="152" t="n"/>
      <c r="AB312" s="152" t="inlineStr">
        <is>
          <t>release date + stated time in the document (rater worksheet)</t>
        </is>
      </c>
      <c r="AC312" s="152" t="inlineStr">
        <is>
          <t>SBUX</t>
        </is>
      </c>
      <c r="AD312" s="152" t="inlineStr">
        <is>
          <t>2025-10-29</t>
        </is>
      </c>
      <c r="AE312" s="152" t="n">
        <v>82.547</v>
      </c>
      <c r="AF312" s="152" t="inlineStr">
        <is>
          <t>2025-10-30</t>
        </is>
      </c>
      <c r="AG312" s="152" t="n">
        <v>80.6444</v>
      </c>
      <c r="AH312" s="152" t="n">
        <v>-0.02304853313775274</v>
      </c>
      <c r="AI312" s="152" t="inlineStr">
        <is>
          <t>DOWN</t>
        </is>
      </c>
      <c r="AJ312" s="152" t="inlineStr">
        <is>
          <t>NO</t>
        </is>
      </c>
      <c r="AK312" s="152" t="n">
        <v>-0.024049</v>
      </c>
      <c r="AL312" s="152">
        <f>IF($A312="","",IFERROR(INDEX(Company_List!$G$3:$G$207,MATCH($A312,Company_List!$A$3:$A$207,0)),"unassigned"))</f>
        <v/>
      </c>
      <c r="AM312" s="152" t="inlineStr">
        <is>
          <t>Phase 2/Starbucks/2025-Q4/SBUX-2025-Q4-earnings-call-transcript-fool-com.html</t>
        </is>
      </c>
      <c r="AN312" s="152" t="inlineStr">
        <is>
          <t>https://www.fool.com/earnings/call-transcripts/2025/10/29/starbucks-sbux-q4-2025-earnings-call-transcript/</t>
        </is>
      </c>
      <c r="AO312" s="152" t="inlineStr">
        <is>
          <t>manifest</t>
        </is>
      </c>
      <c r="AP312" s="152">
        <f>IF($A312="","",IF(COUNTIFS(LLM_Data_Entry!$A$3:$A$548,$A312)&gt;0,"YES","NO"))</f>
        <v/>
      </c>
      <c r="AQ312" s="152">
        <f>IF($A312="","",IF(COUNTIFS($A$3:$A312,$A312,$C$3:$C312,$C312,$D$3:$D312,$D312)=1,"YES","NO"))</f>
        <v/>
      </c>
      <c r="AR312" s="152">
        <f>IF($A312="","",IF(AND($C312&amp;"-"&amp;$D312&gt;=Settings!$B$19,$C312&amp;"-"&amp;$D312&lt;=Settings!$B$20),"IN","OUT"))</f>
        <v/>
      </c>
      <c r="AS312" s="152">
        <f>IF($A312="","",IF($F312="Financial Results","financials",IF($F312="Outlook/Guidance","guidance",IF($F312="Transcript Q&amp;A","qanda",IF($F312="","unrecorded",IF($E312="All","full",IF($E312="","unrecorded",LOWER($E312)&amp;" only")))))))</f>
        <v/>
      </c>
      <c r="AT312" s="152">
        <f>IF(AND(OR($J312="BUY",$J312="SELL"),ISNUMBER($U312)),$U312,"")</f>
        <v/>
      </c>
      <c r="AU312" s="152">
        <f>IF(AND(OR($J312="BUY",$J312="SELL"),ISNUMBER($AK312)),$AK312,"")</f>
        <v/>
      </c>
      <c r="AV312" s="152">
        <f>IF(ISNUMBER($AT312),ABS(IF(ISNUMBER($I312),$I312,0)-Settings!$B$24),"")</f>
        <v/>
      </c>
      <c r="AW312" s="152">
        <f>IF(ISNUMBER($AV312),$AV312*$AT312,"")</f>
        <v/>
      </c>
      <c r="AX312" s="152">
        <f>IF(ISNUMBER($AU312),ABS(IF(ISNUMBER($I312),$I312,0)-Settings!$B$24),"")</f>
        <v/>
      </c>
      <c r="AY312" s="152" t="inlineStr">
        <is>
          <t>FROZEN</t>
        </is>
      </c>
      <c r="AZ312" s="152">
        <f>IF($A312="","",IFERROR(INDEX(Company_List!$H$3:$H$207,MATCH($A312,Company_List!$A$3:$A$207,0)),"unassigned"))</f>
        <v/>
      </c>
      <c r="BA312" s="152" t="n"/>
      <c r="BB312" s="152" t="n"/>
      <c r="BC312" s="152">
        <f>IF($A312="","",IF(COUNTIFS($A$3:$A312,$A312,$C$3:$C312,$C312,$D$3:$D312,$D312,$G$3:$G312,$G312)=1,1,0))</f>
        <v/>
      </c>
      <c r="BD312" s="152" t="n"/>
      <c r="BE312" s="152" t="n"/>
      <c r="BF312" s="152" t="n"/>
      <c r="BG312" s="152" t="inlineStr">
        <is>
          <t>no</t>
        </is>
      </c>
      <c r="BH312" s="152" t="n"/>
      <c r="BI312" s="152" t="n"/>
      <c r="BJ312" s="152" t="n"/>
      <c r="BK312" s="152">
        <f>IF(OR($H312&lt;&gt;"Human",$S312="",$J312="",$Y312="",$Z312=""),"",IF(EXACT(UPPER($J312),UPPER($Y312)),1,0))</f>
        <v/>
      </c>
      <c r="BL312" s="152" t="inlineStr">
        <is>
          <t>assumed - no rater record</t>
        </is>
      </c>
      <c r="BM312" s="152" t="n">
        <v>1</v>
      </c>
      <c r="BN312" s="152" t="inlineStr">
        <is>
          <t>The Motley Fool</t>
        </is>
      </c>
      <c r="BO312" s="152" t="inlineStr">
        <is>
          <t>free to read, copyright asserted</t>
        </is>
      </c>
      <c r="BP312" s="152" t="inlineStr">
        <is>
          <t>no</t>
        </is>
      </c>
      <c r="BQ312" s="152" t="inlineStr">
        <is>
          <t>yes</t>
        </is>
      </c>
      <c r="BR312" s="152" t="n"/>
      <c r="BS312" s="152" t="inlineStr">
        <is>
          <t>YES</t>
        </is>
      </c>
      <c r="BT312" s="152" t="n"/>
    </row>
    <row r="313" ht="15" customHeight="1" s="241">
      <c r="A313" s="193" t="inlineStr">
        <is>
          <t>Caterpillar</t>
        </is>
      </c>
      <c r="B313" s="194">
        <f>IF(A313="","",_xlfn.XLOOKUP(A313, Company_List!$A:$A, Company_List!$B:$B, ""))</f>
        <v/>
      </c>
      <c r="C313" s="177" t="n">
        <v>2025</v>
      </c>
      <c r="D313" s="177" t="inlineStr">
        <is>
          <t>Q2</t>
        </is>
      </c>
      <c r="E313" s="178" t="inlineStr">
        <is>
          <t>Financial Statement</t>
        </is>
      </c>
      <c r="F313" s="178" t="inlineStr">
        <is>
          <t>Financial Results</t>
        </is>
      </c>
      <c r="G313" s="177" t="inlineStr">
        <is>
          <t>David</t>
        </is>
      </c>
      <c r="H313" s="177" t="inlineStr">
        <is>
          <t>Human</t>
        </is>
      </c>
      <c r="I313" s="180" t="n">
        <v>-0.15</v>
      </c>
      <c r="J313" s="180">
        <f>IF(OR(I313="",Settings!$B$6=""),"",IF(I313&gt;Settings!$B$6,"BUY",IF(I313&lt;-Settings!$B$6,"SELL","HOLD")))</f>
        <v/>
      </c>
      <c r="K313" s="180" t="n">
        <v>32</v>
      </c>
      <c r="L313" s="182" t="n">
        <v>45874</v>
      </c>
      <c r="M313" s="182" t="n">
        <v>45873</v>
      </c>
      <c r="N313" s="179" t="n">
        <v>433.7</v>
      </c>
      <c r="O313" s="182" t="n">
        <v>45874</v>
      </c>
      <c r="P313" s="180" t="n">
        <v>427.65</v>
      </c>
      <c r="Q313" s="184">
        <f>IF(OR(N313="",P313=""),"",ROUND((P313-N313)/N313,4))</f>
        <v/>
      </c>
      <c r="R313" s="177">
        <f>IF(OR(N313="",P313=""),"",IF(Q313&gt;Settings!$B$3/100,"UP",IF(Q313&lt;-Settings!$B$3/100,"DOWN","FLAT")))</f>
        <v/>
      </c>
      <c r="S313" s="177">
        <f>IF(OR(N313="",P313="",J313=""),"",IF(OR(AND(J313="BUY",R313="UP"),AND(J313="SELL",R313="DOWN"),AND(J313="HOLD",R313="FLAT")),"YES","NO"))</f>
        <v/>
      </c>
      <c r="T313" s="176">
        <f>IF(J313="","",IF(J313="BUY",1,IF(J313="SELL",-1,0)))</f>
        <v/>
      </c>
      <c r="U313" s="184">
        <f>IFERROR(IF(OR(J313="",N313="",P313=""),"",IF(T313=0,0,T313*Q313-Settings!$B$4/10000-IF(T313&lt;0,Settings!$B$5/10000,0))),"")</f>
        <v/>
      </c>
      <c r="V313" s="152" t="n"/>
      <c r="W313" s="176">
        <f>IF($K313="","",$K313*60)</f>
        <v/>
      </c>
      <c r="X313" s="186">
        <f>IF($A313="","",$A313&amp;"|"&amp;$C313&amp;"|"&amp;$D313)</f>
        <v/>
      </c>
      <c r="Y313" s="186">
        <f>IFERROR(IF($X313="","",INDEX(LLM_Data_Entry!$H$3:$H$548,MATCH($X313,INDEX(LLM_Data_Entry!$A$3:$A$548&amp;"|"&amp;LLM_Data_Entry!$C$3:$C$548&amp;"|"&amp;LLM_Data_Entry!$D$3:$D$548,0),0))),"")</f>
        <v/>
      </c>
      <c r="Z313" s="186">
        <f>IFERROR(IF($X313="","",INDEX(LLM_Data_Entry!$R$3:$R$548,MATCH($X313,INDEX(LLM_Data_Entry!$A$3:$A$548&amp;"|"&amp;LLM_Data_Entry!$C$3:$C$548&amp;"|"&amp;LLM_Data_Entry!$D$3:$D$548,0),0))),"")</f>
        <v/>
      </c>
      <c r="AA313" s="152" t="n"/>
      <c r="AB313" s="152" t="inlineStr">
        <is>
          <t>release date + stated time in the document (rater worksheet)</t>
        </is>
      </c>
      <c r="AC313" s="152" t="inlineStr">
        <is>
          <t>CAT</t>
        </is>
      </c>
      <c r="AD313" s="152" t="inlineStr">
        <is>
          <t>2025-08-04</t>
        </is>
      </c>
      <c r="AE313" s="152" t="n">
        <v>429.8309</v>
      </c>
      <c r="AF313" s="152" t="inlineStr">
        <is>
          <t>2025-08-05</t>
        </is>
      </c>
      <c r="AG313" s="152" t="n">
        <v>423.8348</v>
      </c>
      <c r="AH313" s="152" t="n">
        <v>-0.01394978226728581</v>
      </c>
      <c r="AI313" s="152" t="inlineStr">
        <is>
          <t>FLAT</t>
        </is>
      </c>
      <c r="AJ313" s="152" t="inlineStr">
        <is>
          <t>YES</t>
        </is>
      </c>
      <c r="AK313" s="152" t="n">
        <v>0</v>
      </c>
      <c r="AL313" s="152">
        <f>IF($A313="","",IFERROR(INDEX(Company_List!$G$3:$G$207,MATCH($A313,Company_List!$A$3:$A$207,0)),"unassigned"))</f>
        <v/>
      </c>
      <c r="AM313" s="152" t="inlineStr">
        <is>
          <t>Phase 2/Caterpillar/2025-Q2/CAT-2025-Q2-quarterly-financial-statements-SEC-10-Q.htm</t>
        </is>
      </c>
      <c r="AN313" s="152" t="inlineStr">
        <is>
          <t>https://www.sec.gov/Archives/edgar/data/18230/000001823025000040/cat-20250630.htm</t>
        </is>
      </c>
      <c r="AO313" s="152" t="inlineStr">
        <is>
          <t>manifest</t>
        </is>
      </c>
      <c r="AP313" s="152">
        <f>IF($A313="","",IF(COUNTIFS(LLM_Data_Entry!$A$3:$A$548,$A313)&gt;0,"YES","NO"))</f>
        <v/>
      </c>
      <c r="AQ313" s="152">
        <f>IF($A313="","",IF(COUNTIFS($A$3:$A313,$A313,$C$3:$C313,$C313,$D$3:$D313,$D313)=1,"YES","NO"))</f>
        <v/>
      </c>
      <c r="AR313" s="152">
        <f>IF($A313="","",IF(AND($C313&amp;"-"&amp;$D313&gt;=Settings!$B$19,$C313&amp;"-"&amp;$D313&lt;=Settings!$B$20),"IN","OUT"))</f>
        <v/>
      </c>
      <c r="AS313" s="152">
        <f>IF($A313="","",IF($F313="Financial Results","financials",IF($F313="Outlook/Guidance","guidance",IF($F313="Transcript Q&amp;A","qanda",IF($F313="","unrecorded",IF($E313="All","full",IF($E313="","unrecorded",LOWER($E313)&amp;" only")))))))</f>
        <v/>
      </c>
      <c r="AT313" s="152">
        <f>IF(AND(OR($J313="BUY",$J313="SELL"),ISNUMBER($U313)),$U313,"")</f>
        <v/>
      </c>
      <c r="AU313" s="152">
        <f>IF(AND(OR($J313="BUY",$J313="SELL"),ISNUMBER($AK313)),$AK313,"")</f>
        <v/>
      </c>
      <c r="AV313" s="152">
        <f>IF(ISNUMBER($AT313),ABS(IF(ISNUMBER($I313),$I313,0)-Settings!$B$24),"")</f>
        <v/>
      </c>
      <c r="AW313" s="152">
        <f>IF(ISNUMBER($AV313),$AV313*$AT313,"")</f>
        <v/>
      </c>
      <c r="AX313" s="152">
        <f>IF(ISNUMBER($AU313),ABS(IF(ISNUMBER($I313),$I313,0)-Settings!$B$24),"")</f>
        <v/>
      </c>
      <c r="AY313" s="152" t="inlineStr">
        <is>
          <t>FROZEN</t>
        </is>
      </c>
      <c r="AZ313" s="152">
        <f>IF($A313="","",IFERROR(INDEX(Company_List!$H$3:$H$207,MATCH($A313,Company_List!$A$3:$A$207,0)),"unassigned"))</f>
        <v/>
      </c>
      <c r="BA313" s="152" t="n"/>
      <c r="BB313" s="152" t="n"/>
      <c r="BC313" s="152">
        <f>IF($A313="","",IF(COUNTIFS($A$3:$A313,$A313,$C$3:$C313,$C313,$D$3:$D313,$D313,$G$3:$G313,$G313)=1,1,0))</f>
        <v/>
      </c>
      <c r="BD313" s="152" t="n"/>
      <c r="BE313" s="152" t="n"/>
      <c r="BF313" s="152" t="n"/>
      <c r="BG313" s="152" t="inlineStr">
        <is>
          <t>no</t>
        </is>
      </c>
      <c r="BH313" s="152" t="n"/>
      <c r="BI313" s="152" t="n"/>
      <c r="BJ313" s="152" t="n"/>
      <c r="BK313" s="152">
        <f>IF(OR($H313&lt;&gt;"Human",$S313="",$J313="",$Y313="",$Z313=""),"",IF(EXACT(UPPER($J313),UPPER($Y313)),1,0))</f>
        <v/>
      </c>
      <c r="BL313" s="152" t="inlineStr">
        <is>
          <t>assumed - no rater record</t>
        </is>
      </c>
      <c r="BM313" s="152" t="n">
        <v>1</v>
      </c>
      <c r="BN313" s="152" t="inlineStr">
        <is>
          <t>not publisher-identified</t>
        </is>
      </c>
      <c r="BO313" s="152" t="inlineStr">
        <is>
          <t>not publisher-identified</t>
        </is>
      </c>
      <c r="BP313" s="152" t="inlineStr">
        <is>
          <t>sole source</t>
        </is>
      </c>
      <c r="BQ313" s="152" t="inlineStr">
        <is>
          <t>yes</t>
        </is>
      </c>
      <c r="BR313" s="152" t="n"/>
      <c r="BS313" s="152" t="inlineStr">
        <is>
          <t>YES</t>
        </is>
      </c>
      <c r="BT313" s="152" t="n"/>
    </row>
    <row r="314" ht="15" customHeight="1" s="241">
      <c r="A314" s="193" t="inlineStr">
        <is>
          <t>Caterpillar</t>
        </is>
      </c>
      <c r="B314" s="194">
        <f>IF(A314="","",_xlfn.XLOOKUP(A314, Company_List!$A:$A, Company_List!$B:$B, ""))</f>
        <v/>
      </c>
      <c r="C314" s="177" t="n">
        <v>2025</v>
      </c>
      <c r="D314" s="177" t="inlineStr">
        <is>
          <t>Q3</t>
        </is>
      </c>
      <c r="E314" s="178" t="inlineStr">
        <is>
          <t>Transcript</t>
        </is>
      </c>
      <c r="F314" s="178" t="inlineStr">
        <is>
          <t>Outlook/Guidance</t>
        </is>
      </c>
      <c r="G314" s="177" t="inlineStr">
        <is>
          <t>David</t>
        </is>
      </c>
      <c r="H314" s="177" t="inlineStr">
        <is>
          <t>Human</t>
        </is>
      </c>
      <c r="I314" s="180" t="n">
        <v>0.6</v>
      </c>
      <c r="J314" s="180">
        <f>IF(OR(I314="",Settings!$B$6=""),"",IF(I314&gt;Settings!$B$6,"BUY",IF(I314&lt;-Settings!$B$6,"SELL","HOLD")))</f>
        <v/>
      </c>
      <c r="K314" s="180" t="n">
        <v>30</v>
      </c>
      <c r="L314" s="182" t="n">
        <v>45959</v>
      </c>
      <c r="M314" s="182" t="n">
        <v>45958</v>
      </c>
      <c r="N314" s="179" t="n">
        <v>524.47</v>
      </c>
      <c r="O314" s="182" t="n">
        <v>45959</v>
      </c>
      <c r="P314" s="180" t="n">
        <v>558.1799999999999</v>
      </c>
      <c r="Q314" s="184">
        <f>IF(OR(N314="",P314=""),"",ROUND((P314-N314)/N314,4))</f>
        <v/>
      </c>
      <c r="R314" s="177">
        <f>IF(OR(N314="",P314=""),"",IF(Q314&gt;Settings!$B$3/100,"UP",IF(Q314&lt;-Settings!$B$3/100,"DOWN","FLAT")))</f>
        <v/>
      </c>
      <c r="S314" s="177">
        <f>IF(OR(N314="",P314="",J314=""),"",IF(OR(AND(J314="BUY",R314="UP"),AND(J314="SELL",R314="DOWN"),AND(J314="HOLD",R314="FLAT")),"YES","NO"))</f>
        <v/>
      </c>
      <c r="T314" s="176">
        <f>IF(J314="","",IF(J314="BUY",1,IF(J314="SELL",-1,0)))</f>
        <v/>
      </c>
      <c r="U314" s="184">
        <f>IFERROR(IF(OR(J314="",N314="",P314=""),"",IF(T314=0,0,T314*Q314-Settings!$B$4/10000-IF(T314&lt;0,Settings!$B$5/10000,0))),"")</f>
        <v/>
      </c>
      <c r="V314" s="152" t="n"/>
      <c r="W314" s="176">
        <f>IF($K314="","",$K314*60)</f>
        <v/>
      </c>
      <c r="X314" s="186">
        <f>IF($A314="","",$A314&amp;"|"&amp;$C314&amp;"|"&amp;$D314)</f>
        <v/>
      </c>
      <c r="Y314" s="186">
        <f>IFERROR(IF($X314="","",INDEX(LLM_Data_Entry!$H$3:$H$548,MATCH($X314,INDEX(LLM_Data_Entry!$A$3:$A$548&amp;"|"&amp;LLM_Data_Entry!$C$3:$C$548&amp;"|"&amp;LLM_Data_Entry!$D$3:$D$548,0),0))),"")</f>
        <v/>
      </c>
      <c r="Z314" s="186">
        <f>IFERROR(IF($X314="","",INDEX(LLM_Data_Entry!$R$3:$R$548,MATCH($X314,INDEX(LLM_Data_Entry!$A$3:$A$548&amp;"|"&amp;LLM_Data_Entry!$C$3:$C$548&amp;"|"&amp;LLM_Data_Entry!$D$3:$D$548,0),0))),"")</f>
        <v/>
      </c>
      <c r="AA314" s="152" t="n"/>
      <c r="AB314" s="152" t="inlineStr">
        <is>
          <t>price signal — only this window shows an abnormal move</t>
        </is>
      </c>
      <c r="AC314" s="152" t="inlineStr">
        <is>
          <t>CAT</t>
        </is>
      </c>
      <c r="AD314" s="152" t="inlineStr">
        <is>
          <t>2025-10-28</t>
        </is>
      </c>
      <c r="AE314" s="152" t="n">
        <v>521.2844</v>
      </c>
      <c r="AF314" s="152" t="inlineStr">
        <is>
          <t>2025-10-29</t>
        </is>
      </c>
      <c r="AG314" s="152" t="n">
        <v>554.7897</v>
      </c>
      <c r="AH314" s="152" t="n">
        <v>0.06427438246325795</v>
      </c>
      <c r="AI314" s="152" t="inlineStr">
        <is>
          <t>UP</t>
        </is>
      </c>
      <c r="AJ314" s="152" t="inlineStr">
        <is>
          <t>YES</t>
        </is>
      </c>
      <c r="AK314" s="152" t="n">
        <v>0.063274</v>
      </c>
      <c r="AL314" s="152">
        <f>IF($A314="","",IFERROR(INDEX(Company_List!$G$3:$G$207,MATCH($A314,Company_List!$A$3:$A$207,0)),"unassigned"))</f>
        <v/>
      </c>
      <c r="AM314" s="152" t="inlineStr">
        <is>
          <t>Phase 2/Caterpillar/2025-Q3/CAT-2025-Q3-earnings-call-transcript-caterpillar-q4cdn.pdf</t>
        </is>
      </c>
      <c r="AN314" s="152" t="inlineStr">
        <is>
          <t>https://s25.q4cdn.com/358376879/files/doc_financials/2025/q3/3Q-2025-Caterpillar-Inc-Earnings-Call-Transcript_-10-29-2025.pdf</t>
        </is>
      </c>
      <c r="AO314" s="152" t="inlineStr">
        <is>
          <t>manifest</t>
        </is>
      </c>
      <c r="AP314" s="152">
        <f>IF($A314="","",IF(COUNTIFS(LLM_Data_Entry!$A$3:$A$548,$A314)&gt;0,"YES","NO"))</f>
        <v/>
      </c>
      <c r="AQ314" s="152">
        <f>IF($A314="","",IF(COUNTIFS($A$3:$A314,$A314,$C$3:$C314,$C314,$D$3:$D314,$D314)=1,"YES","NO"))</f>
        <v/>
      </c>
      <c r="AR314" s="152">
        <f>IF($A314="","",IF(AND($C314&amp;"-"&amp;$D314&gt;=Settings!$B$19,$C314&amp;"-"&amp;$D314&lt;=Settings!$B$20),"IN","OUT"))</f>
        <v/>
      </c>
      <c r="AS314" s="152">
        <f>IF($A314="","",IF($F314="Financial Results","financials",IF($F314="Outlook/Guidance","guidance",IF($F314="Transcript Q&amp;A","qanda",IF($F314="","unrecorded",IF($E314="All","full",IF($E314="","unrecorded",LOWER($E314)&amp;" only")))))))</f>
        <v/>
      </c>
      <c r="AT314" s="152">
        <f>IF(AND(OR($J314="BUY",$J314="SELL"),ISNUMBER($U314)),$U314,"")</f>
        <v/>
      </c>
      <c r="AU314" s="152">
        <f>IF(AND(OR($J314="BUY",$J314="SELL"),ISNUMBER($AK314)),$AK314,"")</f>
        <v/>
      </c>
      <c r="AV314" s="152">
        <f>IF(ISNUMBER($AT314),ABS(IF(ISNUMBER($I314),$I314,0)-Settings!$B$24),"")</f>
        <v/>
      </c>
      <c r="AW314" s="152">
        <f>IF(ISNUMBER($AV314),$AV314*$AT314,"")</f>
        <v/>
      </c>
      <c r="AX314" s="152">
        <f>IF(ISNUMBER($AU314),ABS(IF(ISNUMBER($I314),$I314,0)-Settings!$B$24),"")</f>
        <v/>
      </c>
      <c r="AY314" s="152" t="inlineStr">
        <is>
          <t>FROZEN</t>
        </is>
      </c>
      <c r="AZ314" s="152">
        <f>IF($A314="","",IFERROR(INDEX(Company_List!$H$3:$H$207,MATCH($A314,Company_List!$A$3:$A$207,0)),"unassigned"))</f>
        <v/>
      </c>
      <c r="BA314" s="152" t="n"/>
      <c r="BB314" s="152" t="n"/>
      <c r="BC314" s="152">
        <f>IF($A314="","",IF(COUNTIFS($A$3:$A314,$A314,$C$3:$C314,$C314,$D$3:$D314,$D314,$G$3:$G314,$G314)=1,1,0))</f>
        <v/>
      </c>
      <c r="BD314" s="152" t="n"/>
      <c r="BE314" s="152" t="n"/>
      <c r="BF314" s="152" t="n"/>
      <c r="BG314" s="152" t="inlineStr">
        <is>
          <t>no</t>
        </is>
      </c>
      <c r="BH314" s="152" t="n"/>
      <c r="BI314" s="152" t="n"/>
      <c r="BJ314" s="152" t="n"/>
      <c r="BK314" s="152">
        <f>IF(OR($H314&lt;&gt;"Human",$S314="",$J314="",$Y314="",$Z314=""),"",IF(EXACT(UPPER($J314),UPPER($Y314)),1,0))</f>
        <v/>
      </c>
      <c r="BL314" s="152" t="inlineStr">
        <is>
          <t>assumed - no rater record</t>
        </is>
      </c>
      <c r="BM314" s="152" t="n">
        <v>1</v>
      </c>
      <c r="BN314" s="152" t="inlineStr">
        <is>
          <t>not publisher-identified</t>
        </is>
      </c>
      <c r="BO314" s="152" t="inlineStr">
        <is>
          <t>not publisher-identified</t>
        </is>
      </c>
      <c r="BP314" s="152" t="inlineStr">
        <is>
          <t>no</t>
        </is>
      </c>
      <c r="BQ314" s="152" t="inlineStr">
        <is>
          <t>yes</t>
        </is>
      </c>
      <c r="BR314" s="152" t="n"/>
      <c r="BS314" s="152" t="inlineStr">
        <is>
          <t>YES</t>
        </is>
      </c>
      <c r="BT314" s="152" t="n"/>
    </row>
    <row r="315" ht="15" customHeight="1" s="241">
      <c r="A315" s="193" t="inlineStr">
        <is>
          <t>Caterpillar</t>
        </is>
      </c>
      <c r="B315" s="194">
        <f>IF(A315="","",_xlfn.XLOOKUP(A315, Company_List!$A:$A, Company_List!$B:$B, ""))</f>
        <v/>
      </c>
      <c r="C315" s="177" t="n">
        <v>2025</v>
      </c>
      <c r="D315" s="177" t="inlineStr">
        <is>
          <t>Q4</t>
        </is>
      </c>
      <c r="E315" s="178" t="inlineStr">
        <is>
          <t>Transcript</t>
        </is>
      </c>
      <c r="F315" s="178" t="inlineStr">
        <is>
          <t>Transcript Q&amp;A</t>
        </is>
      </c>
      <c r="G315" s="177" t="inlineStr">
        <is>
          <t>David</t>
        </is>
      </c>
      <c r="H315" s="177" t="inlineStr">
        <is>
          <t>Human</t>
        </is>
      </c>
      <c r="I315" s="180" t="n">
        <v>0.2</v>
      </c>
      <c r="J315" s="180">
        <f>IF(OR(I315="",Settings!$B$6=""),"",IF(I315&gt;Settings!$B$6,"BUY",IF(I315&lt;-Settings!$B$6,"SELL","HOLD")))</f>
        <v/>
      </c>
      <c r="K315" s="180" t="n">
        <v>30</v>
      </c>
      <c r="L315" s="182" t="n">
        <v>46051</v>
      </c>
      <c r="M315" s="182" t="n">
        <v>46050</v>
      </c>
      <c r="N315" s="179" t="n">
        <v>643.28</v>
      </c>
      <c r="O315" s="182" t="n">
        <v>46051</v>
      </c>
      <c r="P315" s="180" t="n">
        <v>655.17</v>
      </c>
      <c r="Q315" s="184">
        <f>IF(OR(N315="",P315=""),"",ROUND((P315-N315)/N315,4))</f>
        <v/>
      </c>
      <c r="R315" s="177">
        <f>IF(OR(N315="",P315=""),"",IF(Q315&gt;Settings!$B$3/100,"UP",IF(Q315&lt;-Settings!$B$3/100,"DOWN","FLAT")))</f>
        <v/>
      </c>
      <c r="S315" s="177">
        <f>IF(OR(N315="",P315="",J315=""),"",IF(OR(AND(J315="BUY",R315="UP"),AND(J315="SELL",R315="DOWN"),AND(J315="HOLD",R315="FLAT")),"YES","NO"))</f>
        <v/>
      </c>
      <c r="T315" s="176">
        <f>IF(J315="","",IF(J315="BUY",1,IF(J315="SELL",-1,0)))</f>
        <v/>
      </c>
      <c r="U315" s="184">
        <f>IFERROR(IF(OR(J315="",N315="",P315=""),"",IF(T315=0,0,T315*Q315-Settings!$B$4/10000-IF(T315&lt;0,Settings!$B$5/10000,0))),"")</f>
        <v/>
      </c>
      <c r="V315" s="152" t="n"/>
      <c r="W315" s="176">
        <f>IF($K315="","",$K315*60)</f>
        <v/>
      </c>
      <c r="X315" s="186">
        <f>IF($A315="","",$A315&amp;"|"&amp;$C315&amp;"|"&amp;$D315)</f>
        <v/>
      </c>
      <c r="Y315" s="186">
        <f>IFERROR(IF($X315="","",INDEX(LLM_Data_Entry!$H$3:$H$548,MATCH($X315,INDEX(LLM_Data_Entry!$A$3:$A$548&amp;"|"&amp;LLM_Data_Entry!$C$3:$C$548&amp;"|"&amp;LLM_Data_Entry!$D$3:$D$548,0),0))),"")</f>
        <v/>
      </c>
      <c r="Z315" s="186">
        <f>IFERROR(IF($X315="","",INDEX(LLM_Data_Entry!$R$3:$R$548,MATCH($X315,INDEX(LLM_Data_Entry!$A$3:$A$548&amp;"|"&amp;LLM_Data_Entry!$C$3:$C$548&amp;"|"&amp;LLM_Data_Entry!$D$3:$D$548,0),0))),"")</f>
        <v/>
      </c>
      <c r="AA315" s="152" t="n"/>
      <c r="AB315" s="152" t="inlineStr">
        <is>
          <t>earnings calendar, seconded independently</t>
        </is>
      </c>
      <c r="AC315" s="152" t="inlineStr">
        <is>
          <t>CAT</t>
        </is>
      </c>
      <c r="AD315" s="152" t="inlineStr">
        <is>
          <t>2026-01-28</t>
        </is>
      </c>
      <c r="AE315" s="152" t="n">
        <v>640.8688</v>
      </c>
      <c r="AF315" s="152" t="inlineStr">
        <is>
          <t>2026-01-29</t>
        </is>
      </c>
      <c r="AG315" s="152" t="n">
        <v>652.7142</v>
      </c>
      <c r="AH315" s="152" t="n">
        <v>0.01848338545033264</v>
      </c>
      <c r="AI315" s="152" t="inlineStr">
        <is>
          <t>FLAT</t>
        </is>
      </c>
      <c r="AJ315" s="152" t="inlineStr">
        <is>
          <t>YES</t>
        </is>
      </c>
      <c r="AK315" s="152" t="n">
        <v>0</v>
      </c>
      <c r="AL315" s="152">
        <f>IF($A315="","",IFERROR(INDEX(Company_List!$G$3:$G$207,MATCH($A315,Company_List!$A$3:$A$207,0)),"unassigned"))</f>
        <v/>
      </c>
      <c r="AM315" s="152" t="inlineStr">
        <is>
          <t>Phase 2/Caterpillar/2025-Q4/CAT-2025-Q4-earnings-call-transcript-fool-com.html</t>
        </is>
      </c>
      <c r="AN315" s="152" t="inlineStr">
        <is>
          <t>https://www.fool.com/earnings/call-transcripts/2026/01/29/caterpillar-cat-q4-2025-earnings-call-transcript/</t>
        </is>
      </c>
      <c r="AO315" s="152" t="inlineStr">
        <is>
          <t>manifest</t>
        </is>
      </c>
      <c r="AP315" s="152">
        <f>IF($A315="","",IF(COUNTIFS(LLM_Data_Entry!$A$3:$A$548,$A315)&gt;0,"YES","NO"))</f>
        <v/>
      </c>
      <c r="AQ315" s="152">
        <f>IF($A315="","",IF(COUNTIFS($A$3:$A315,$A315,$C$3:$C315,$C315,$D$3:$D315,$D315)=1,"YES","NO"))</f>
        <v/>
      </c>
      <c r="AR315" s="152">
        <f>IF($A315="","",IF(AND($C315&amp;"-"&amp;$D315&gt;=Settings!$B$19,$C315&amp;"-"&amp;$D315&lt;=Settings!$B$20),"IN","OUT"))</f>
        <v/>
      </c>
      <c r="AS315" s="152">
        <f>IF($A315="","",IF($F315="Financial Results","financials",IF($F315="Outlook/Guidance","guidance",IF($F315="Transcript Q&amp;A","qanda",IF($F315="","unrecorded",IF($E315="All","full",IF($E315="","unrecorded",LOWER($E315)&amp;" only")))))))</f>
        <v/>
      </c>
      <c r="AT315" s="152">
        <f>IF(AND(OR($J315="BUY",$J315="SELL"),ISNUMBER($U315)),$U315,"")</f>
        <v/>
      </c>
      <c r="AU315" s="152">
        <f>IF(AND(OR($J315="BUY",$J315="SELL"),ISNUMBER($AK315)),$AK315,"")</f>
        <v/>
      </c>
      <c r="AV315" s="152">
        <f>IF(ISNUMBER($AT315),ABS(IF(ISNUMBER($I315),$I315,0)-Settings!$B$24),"")</f>
        <v/>
      </c>
      <c r="AW315" s="152">
        <f>IF(ISNUMBER($AV315),$AV315*$AT315,"")</f>
        <v/>
      </c>
      <c r="AX315" s="152">
        <f>IF(ISNUMBER($AU315),ABS(IF(ISNUMBER($I315),$I315,0)-Settings!$B$24),"")</f>
        <v/>
      </c>
      <c r="AY315" s="152" t="inlineStr">
        <is>
          <t>FROZEN</t>
        </is>
      </c>
      <c r="AZ315" s="152">
        <f>IF($A315="","",IFERROR(INDEX(Company_List!$H$3:$H$207,MATCH($A315,Company_List!$A$3:$A$207,0)),"unassigned"))</f>
        <v/>
      </c>
      <c r="BA315" s="152" t="n"/>
      <c r="BB315" s="152" t="n"/>
      <c r="BC315" s="152">
        <f>IF($A315="","",IF(COUNTIFS($A$3:$A315,$A315,$C$3:$C315,$C315,$D$3:$D315,$D315,$G$3:$G315,$G315)=1,1,0))</f>
        <v/>
      </c>
      <c r="BD315" s="152" t="n"/>
      <c r="BE315" s="152" t="n"/>
      <c r="BF315" s="152" t="n"/>
      <c r="BG315" s="152" t="inlineStr">
        <is>
          <t>no</t>
        </is>
      </c>
      <c r="BH315" s="152" t="n"/>
      <c r="BI315" s="152" t="n"/>
      <c r="BJ315" s="152" t="n"/>
      <c r="BK315" s="152">
        <f>IF(OR($H315&lt;&gt;"Human",$S315="",$J315="",$Y315="",$Z315=""),"",IF(EXACT(UPPER($J315),UPPER($Y315)),1,0))</f>
        <v/>
      </c>
      <c r="BL315" s="152" t="inlineStr">
        <is>
          <t>assumed - no rater record</t>
        </is>
      </c>
      <c r="BM315" s="152" t="n">
        <v>1</v>
      </c>
      <c r="BN315" s="152" t="inlineStr">
        <is>
          <t>The Motley Fool</t>
        </is>
      </c>
      <c r="BO315" s="152" t="inlineStr">
        <is>
          <t>free to read, copyright asserted</t>
        </is>
      </c>
      <c r="BP315" s="152" t="inlineStr">
        <is>
          <t>no</t>
        </is>
      </c>
      <c r="BQ315" s="152" t="inlineStr">
        <is>
          <t>yes</t>
        </is>
      </c>
      <c r="BR315" s="152" t="n"/>
      <c r="BS315" s="152" t="inlineStr">
        <is>
          <t>YES</t>
        </is>
      </c>
      <c r="BT315" s="152" t="n"/>
    </row>
    <row r="316" ht="15" customHeight="1" s="241">
      <c r="A316" s="193" t="inlineStr">
        <is>
          <t>Micron</t>
        </is>
      </c>
      <c r="B316" s="194">
        <f>IF(A316="","",_xlfn.XLOOKUP(A316, Company_List!$A:$A, Company_List!$B:$B, ""))</f>
        <v/>
      </c>
      <c r="C316" s="177" t="n">
        <v>2026</v>
      </c>
      <c r="D316" s="177" t="inlineStr">
        <is>
          <t>Q1</t>
        </is>
      </c>
      <c r="E316" s="178" t="inlineStr">
        <is>
          <t>Transcript</t>
        </is>
      </c>
      <c r="F316" s="178" t="inlineStr">
        <is>
          <t>Transcript Q&amp;A</t>
        </is>
      </c>
      <c r="G316" s="177" t="inlineStr">
        <is>
          <t>David</t>
        </is>
      </c>
      <c r="H316" s="177" t="inlineStr">
        <is>
          <t>Human</t>
        </is>
      </c>
      <c r="I316" s="180" t="n">
        <v>-0.2</v>
      </c>
      <c r="J316" s="180">
        <f>IF(OR(I316="",Settings!$B$6=""),"",IF(I316&gt;Settings!$B$6,"BUY",IF(I316&lt;-Settings!$B$6,"SELL","HOLD")))</f>
        <v/>
      </c>
      <c r="K316" s="180" t="n">
        <v>26</v>
      </c>
      <c r="L316" s="182" t="n">
        <v>46008</v>
      </c>
      <c r="M316" s="182" t="n">
        <v>46008</v>
      </c>
      <c r="N316" s="179" t="n">
        <v>225.52</v>
      </c>
      <c r="O316" s="182" t="n">
        <v>46009</v>
      </c>
      <c r="P316" s="180" t="n">
        <v>256.53</v>
      </c>
      <c r="Q316" s="184">
        <f>IF(OR(N316="",P316=""),"",ROUND((P316-N316)/N316,4))</f>
        <v/>
      </c>
      <c r="R316" s="177">
        <f>IF(OR(N316="",P316=""),"",IF(Q316&gt;Settings!$B$3/100,"UP",IF(Q316&lt;-Settings!$B$3/100,"DOWN","FLAT")))</f>
        <v/>
      </c>
      <c r="S316" s="177">
        <f>IF(OR(N316="",P316="",J316=""),"",IF(OR(AND(J316="BUY",R316="UP"),AND(J316="SELL",R316="DOWN"),AND(J316="HOLD",R316="FLAT")),"YES","NO"))</f>
        <v/>
      </c>
      <c r="T316" s="176">
        <f>IF(J316="","",IF(J316="BUY",1,IF(J316="SELL",-1,0)))</f>
        <v/>
      </c>
      <c r="U316" s="184">
        <f>IFERROR(IF(OR(J316="",N316="",P316=""),"",IF(T316=0,0,T316*Q316-Settings!$B$4/10000-IF(T316&lt;0,Settings!$B$5/10000,0))),"")</f>
        <v/>
      </c>
      <c r="V316" s="152" t="n"/>
      <c r="W316" s="176">
        <f>IF($K316="","",$K316*60)</f>
        <v/>
      </c>
      <c r="X316" s="186">
        <f>IF($A316="","",$A316&amp;"|"&amp;$C316&amp;"|"&amp;$D316)</f>
        <v/>
      </c>
      <c r="Y316" s="186">
        <f>IFERROR(IF($X316="","",INDEX(LLM_Data_Entry!$H$3:$H$548,MATCH($X316,INDEX(LLM_Data_Entry!$A$3:$A$548&amp;"|"&amp;LLM_Data_Entry!$C$3:$C$548&amp;"|"&amp;LLM_Data_Entry!$D$3:$D$548,0),0))),"")</f>
        <v/>
      </c>
      <c r="Z316" s="186">
        <f>IFERROR(IF($X316="","",INDEX(LLM_Data_Entry!$R$3:$R$548,MATCH($X316,INDEX(LLM_Data_Entry!$A$3:$A$548&amp;"|"&amp;LLM_Data_Entry!$C$3:$C$548&amp;"|"&amp;LLM_Data_Entry!$D$3:$D$548,0),0))),"")</f>
        <v/>
      </c>
      <c r="AA316" s="152" t="n"/>
      <c r="AB316" s="152" t="inlineStr">
        <is>
          <t>release date + stated time in the document (rater worksheet)</t>
        </is>
      </c>
      <c r="AC316" s="152" t="inlineStr">
        <is>
          <t>MU</t>
        </is>
      </c>
      <c r="AD316" s="152" t="inlineStr">
        <is>
          <t>2025-12-17</t>
        </is>
      </c>
      <c r="AE316" s="152" t="n">
        <v>225.2996</v>
      </c>
      <c r="AF316" s="152" t="inlineStr">
        <is>
          <t>2025-12-18</t>
        </is>
      </c>
      <c r="AG316" s="152" t="n">
        <v>256.2793</v>
      </c>
      <c r="AH316" s="152" t="n">
        <v>0.1375044018373545</v>
      </c>
      <c r="AI316" s="152" t="inlineStr">
        <is>
          <t>UP</t>
        </is>
      </c>
      <c r="AJ316" s="152" t="inlineStr">
        <is>
          <t>NO</t>
        </is>
      </c>
      <c r="AK316" s="152" t="n">
        <v>0</v>
      </c>
      <c r="AL316" s="152">
        <f>IF($A316="","",IFERROR(INDEX(Company_List!$G$3:$G$207,MATCH($A316,Company_List!$A$3:$A$207,0)),"unassigned"))</f>
        <v/>
      </c>
      <c r="AM316" s="152" t="inlineStr">
        <is>
          <t>Phase 2/Micron/2026-Q1/MU-2026-Q1-earnings-call-transcript-news-alphastreet-com.html</t>
        </is>
      </c>
      <c r="AN316" s="152" t="inlineStr">
        <is>
          <t>https://news.alphastreet.com/micron-technology-inc-mu-q1-2026-earnings-call-transcript/</t>
        </is>
      </c>
      <c r="AO316" s="152" t="inlineStr">
        <is>
          <t>manifest</t>
        </is>
      </c>
      <c r="AP316" s="152">
        <f>IF($A316="","",IF(COUNTIFS(LLM_Data_Entry!$A$3:$A$548,$A316)&gt;0,"YES","NO"))</f>
        <v/>
      </c>
      <c r="AQ316" s="152">
        <f>IF($A316="","",IF(COUNTIFS($A$3:$A316,$A316,$C$3:$C316,$C316,$D$3:$D316,$D316)=1,"YES","NO"))</f>
        <v/>
      </c>
      <c r="AR316" s="152">
        <f>IF($A316="","",IF(AND($C316&amp;"-"&amp;$D316&gt;=Settings!$B$19,$C316&amp;"-"&amp;$D316&lt;=Settings!$B$20),"IN","OUT"))</f>
        <v/>
      </c>
      <c r="AS316" s="152">
        <f>IF($A316="","",IF($F316="Financial Results","financials",IF($F316="Outlook/Guidance","guidance",IF($F316="Transcript Q&amp;A","qanda",IF($F316="","unrecorded",IF($E316="All","full",IF($E316="","unrecorded",LOWER($E316)&amp;" only")))))))</f>
        <v/>
      </c>
      <c r="AT316" s="152">
        <f>IF(AND(OR($J316="BUY",$J316="SELL"),ISNUMBER($U316)),$U316,"")</f>
        <v/>
      </c>
      <c r="AU316" s="152">
        <f>IF(AND(OR($J316="BUY",$J316="SELL"),ISNUMBER($AK316)),$AK316,"")</f>
        <v/>
      </c>
      <c r="AV316" s="152">
        <f>IF(ISNUMBER($AT316),ABS(IF(ISNUMBER($I316),$I316,0)-Settings!$B$24),"")</f>
        <v/>
      </c>
      <c r="AW316" s="152">
        <f>IF(ISNUMBER($AV316),$AV316*$AT316,"")</f>
        <v/>
      </c>
      <c r="AX316" s="152">
        <f>IF(ISNUMBER($AU316),ABS(IF(ISNUMBER($I316),$I316,0)-Settings!$B$24),"")</f>
        <v/>
      </c>
      <c r="AY316" s="152" t="inlineStr">
        <is>
          <t>FROZEN</t>
        </is>
      </c>
      <c r="AZ316" s="152">
        <f>IF($A316="","",IFERROR(INDEX(Company_List!$H$3:$H$207,MATCH($A316,Company_List!$A$3:$A$207,0)),"unassigned"))</f>
        <v/>
      </c>
      <c r="BA316" s="152" t="n"/>
      <c r="BB316" s="152" t="n"/>
      <c r="BC316" s="152">
        <f>IF($A316="","",IF(COUNTIFS($A$3:$A316,$A316,$C$3:$C316,$C316,$D$3:$D316,$D316,$G$3:$G316,$G316)=1,1,0))</f>
        <v/>
      </c>
      <c r="BD316" s="152" t="n"/>
      <c r="BE316" s="152" t="n"/>
      <c r="BF316" s="152" t="n"/>
      <c r="BG316" s="152" t="inlineStr">
        <is>
          <t>no</t>
        </is>
      </c>
      <c r="BH316" s="152" t="n"/>
      <c r="BI316" s="152" t="n"/>
      <c r="BJ316" s="152" t="n"/>
      <c r="BK316" s="152">
        <f>IF(OR($H316&lt;&gt;"Human",$S316="",$J316="",$Y316="",$Z316=""),"",IF(EXACT(UPPER($J316),UPPER($Y316)),1,0))</f>
        <v/>
      </c>
      <c r="BL316" s="152" t="inlineStr">
        <is>
          <t>assumed - no rater record</t>
        </is>
      </c>
      <c r="BM316" s="152" t="n">
        <v>1</v>
      </c>
      <c r="BN316" s="152" t="inlineStr">
        <is>
          <t>not publisher-identified</t>
        </is>
      </c>
      <c r="BO316" s="152" t="inlineStr">
        <is>
          <t>not publisher-identified</t>
        </is>
      </c>
      <c r="BP316" s="152" t="inlineStr">
        <is>
          <t>no</t>
        </is>
      </c>
      <c r="BQ316" s="152" t="inlineStr">
        <is>
          <t>yes</t>
        </is>
      </c>
      <c r="BR316" s="152" t="n"/>
      <c r="BS316" s="152" t="inlineStr">
        <is>
          <t>YES</t>
        </is>
      </c>
      <c r="BT316" s="152" t="n"/>
    </row>
    <row r="317" ht="15" customHeight="1" s="241">
      <c r="A317" s="193" t="inlineStr">
        <is>
          <t>Micron</t>
        </is>
      </c>
      <c r="B317" s="194">
        <f>IF(A317="","",_xlfn.XLOOKUP(A317, Company_List!$A:$A, Company_List!$B:$B, ""))</f>
        <v/>
      </c>
      <c r="C317" s="177" t="n">
        <v>2026</v>
      </c>
      <c r="D317" s="177" t="inlineStr">
        <is>
          <t>Q2</t>
        </is>
      </c>
      <c r="E317" s="178" t="inlineStr">
        <is>
          <t>Financial Statement</t>
        </is>
      </c>
      <c r="F317" s="178" t="inlineStr">
        <is>
          <t>Financial Results</t>
        </is>
      </c>
      <c r="G317" s="177" t="inlineStr">
        <is>
          <t>David</t>
        </is>
      </c>
      <c r="H317" s="177" t="inlineStr">
        <is>
          <t>Human</t>
        </is>
      </c>
      <c r="I317" s="180" t="n">
        <v>0.85</v>
      </c>
      <c r="J317" s="180">
        <f>IF(OR(I317="",Settings!$B$6=""),"",IF(I317&gt;Settings!$B$6,"BUY",IF(I317&lt;-Settings!$B$6,"SELL","HOLD")))</f>
        <v/>
      </c>
      <c r="K317" s="180" t="n">
        <v>24</v>
      </c>
      <c r="L317" s="182" t="n">
        <v>46099</v>
      </c>
      <c r="M317" s="182" t="n">
        <v>46099</v>
      </c>
      <c r="N317" s="179" t="n">
        <v>461.73</v>
      </c>
      <c r="O317" s="182" t="n">
        <v>46100</v>
      </c>
      <c r="P317" s="180" t="n">
        <v>424.97</v>
      </c>
      <c r="Q317" s="184">
        <f>IF(OR(N317="",P317=""),"",ROUND((P317-N317)/N317,4))</f>
        <v/>
      </c>
      <c r="R317" s="177">
        <f>IF(OR(N317="",P317=""),"",IF(Q317&gt;Settings!$B$3/100,"UP",IF(Q317&lt;-Settings!$B$3/100,"DOWN","FLAT")))</f>
        <v/>
      </c>
      <c r="S317" s="177">
        <f>IF(OR(N317="",P317="",J317=""),"",IF(OR(AND(J317="BUY",R317="UP"),AND(J317="SELL",R317="DOWN"),AND(J317="HOLD",R317="FLAT")),"YES","NO"))</f>
        <v/>
      </c>
      <c r="T317" s="176">
        <f>IF(J317="","",IF(J317="BUY",1,IF(J317="SELL",-1,0)))</f>
        <v/>
      </c>
      <c r="U317" s="184">
        <f>IFERROR(IF(OR(J317="",N317="",P317=""),"",IF(T317=0,0,T317*Q317-Settings!$B$4/10000-IF(T317&lt;0,Settings!$B$5/10000,0))),"")</f>
        <v/>
      </c>
      <c r="V317" s="152" t="n"/>
      <c r="W317" s="176">
        <f>IF($K317="","",$K317*60)</f>
        <v/>
      </c>
      <c r="X317" s="186">
        <f>IF($A317="","",$A317&amp;"|"&amp;$C317&amp;"|"&amp;$D317)</f>
        <v/>
      </c>
      <c r="Y317" s="186">
        <f>IFERROR(IF($X317="","",INDEX(LLM_Data_Entry!$H$3:$H$548,MATCH($X317,INDEX(LLM_Data_Entry!$A$3:$A$548&amp;"|"&amp;LLM_Data_Entry!$C$3:$C$548&amp;"|"&amp;LLM_Data_Entry!$D$3:$D$548,0),0))),"")</f>
        <v/>
      </c>
      <c r="Z317" s="186">
        <f>IFERROR(IF($X317="","",INDEX(LLM_Data_Entry!$R$3:$R$548,MATCH($X317,INDEX(LLM_Data_Entry!$A$3:$A$548&amp;"|"&amp;LLM_Data_Entry!$C$3:$C$548&amp;"|"&amp;LLM_Data_Entry!$D$3:$D$548,0),0))),"")</f>
        <v/>
      </c>
      <c r="AA317" s="152" t="n"/>
      <c r="AB317" s="152" t="inlineStr">
        <is>
          <t>release date + stated time in the document (rater worksheet)</t>
        </is>
      </c>
      <c r="AC317" s="152" t="inlineStr">
        <is>
          <t>MU</t>
        </is>
      </c>
      <c r="AD317" s="152" t="inlineStr">
        <is>
          <t>2026-03-18</t>
        </is>
      </c>
      <c r="AE317" s="152" t="n">
        <v>461.4651</v>
      </c>
      <c r="AF317" s="152" t="inlineStr">
        <is>
          <t>2026-03-19</t>
        </is>
      </c>
      <c r="AG317" s="152" t="n">
        <v>424.7262</v>
      </c>
      <c r="AH317" s="152" t="n">
        <v>-0.07961365835023619</v>
      </c>
      <c r="AI317" s="152" t="inlineStr">
        <is>
          <t>DOWN</t>
        </is>
      </c>
      <c r="AJ317" s="152" t="inlineStr">
        <is>
          <t>NO</t>
        </is>
      </c>
      <c r="AK317" s="152" t="n">
        <v>-0.08061400000000001</v>
      </c>
      <c r="AL317" s="152">
        <f>IF($A317="","",IFERROR(INDEX(Company_List!$G$3:$G$207,MATCH($A317,Company_List!$A$3:$A$207,0)),"unassigned"))</f>
        <v/>
      </c>
      <c r="AM317" s="152" t="inlineStr">
        <is>
          <t>Phase 2/Micron/2026-Q2/MU-2026-Q2-quarterly-financial-statements-SEC-10-Q.htm</t>
        </is>
      </c>
      <c r="AN317" s="152" t="inlineStr">
        <is>
          <t>https://www.sec.gov/Archives/edgar/data/723125/000072312526000006/mu-20260226.htm</t>
        </is>
      </c>
      <c r="AO317" s="152" t="inlineStr">
        <is>
          <t>manifest</t>
        </is>
      </c>
      <c r="AP317" s="152">
        <f>IF($A317="","",IF(COUNTIFS(LLM_Data_Entry!$A$3:$A$548,$A317)&gt;0,"YES","NO"))</f>
        <v/>
      </c>
      <c r="AQ317" s="152">
        <f>IF($A317="","",IF(COUNTIFS($A$3:$A317,$A317,$C$3:$C317,$C317,$D$3:$D317,$D317)=1,"YES","NO"))</f>
        <v/>
      </c>
      <c r="AR317" s="152">
        <f>IF($A317="","",IF(AND($C317&amp;"-"&amp;$D317&gt;=Settings!$B$19,$C317&amp;"-"&amp;$D317&lt;=Settings!$B$20),"IN","OUT"))</f>
        <v/>
      </c>
      <c r="AS317" s="152">
        <f>IF($A317="","",IF($F317="Financial Results","financials",IF($F317="Outlook/Guidance","guidance",IF($F317="Transcript Q&amp;A","qanda",IF($F317="","unrecorded",IF($E317="All","full",IF($E317="","unrecorded",LOWER($E317)&amp;" only")))))))</f>
        <v/>
      </c>
      <c r="AT317" s="152">
        <f>IF(AND(OR($J317="BUY",$J317="SELL"),ISNUMBER($U317)),$U317,"")</f>
        <v/>
      </c>
      <c r="AU317" s="152">
        <f>IF(AND(OR($J317="BUY",$J317="SELL"),ISNUMBER($AK317)),$AK317,"")</f>
        <v/>
      </c>
      <c r="AV317" s="152">
        <f>IF(ISNUMBER($AT317),ABS(IF(ISNUMBER($I317),$I317,0)-Settings!$B$24),"")</f>
        <v/>
      </c>
      <c r="AW317" s="152">
        <f>IF(ISNUMBER($AV317),$AV317*$AT317,"")</f>
        <v/>
      </c>
      <c r="AX317" s="152">
        <f>IF(ISNUMBER($AU317),ABS(IF(ISNUMBER($I317),$I317,0)-Settings!$B$24),"")</f>
        <v/>
      </c>
      <c r="AY317" s="152" t="inlineStr">
        <is>
          <t>FROZEN</t>
        </is>
      </c>
      <c r="AZ317" s="152">
        <f>IF($A317="","",IFERROR(INDEX(Company_List!$H$3:$H$207,MATCH($A317,Company_List!$A$3:$A$207,0)),"unassigned"))</f>
        <v/>
      </c>
      <c r="BA317" s="152" t="n"/>
      <c r="BB317" s="152" t="n"/>
      <c r="BC317" s="152">
        <f>IF($A317="","",IF(COUNTIFS($A$3:$A317,$A317,$C$3:$C317,$C317,$D$3:$D317,$D317,$G$3:$G317,$G317)=1,1,0))</f>
        <v/>
      </c>
      <c r="BD317" s="152" t="n"/>
      <c r="BE317" s="152" t="n"/>
      <c r="BF317" s="152" t="n"/>
      <c r="BG317" s="152" t="inlineStr">
        <is>
          <t>no</t>
        </is>
      </c>
      <c r="BH317" s="152" t="n"/>
      <c r="BI317" s="152" t="n"/>
      <c r="BJ317" s="152" t="n"/>
      <c r="BK317" s="152">
        <f>IF(OR($H317&lt;&gt;"Human",$S317="",$J317="",$Y317="",$Z317=""),"",IF(EXACT(UPPER($J317),UPPER($Y317)),1,0))</f>
        <v/>
      </c>
      <c r="BL317" s="152" t="inlineStr">
        <is>
          <t>assumed - no rater record</t>
        </is>
      </c>
      <c r="BM317" s="152" t="n">
        <v>1</v>
      </c>
      <c r="BN317" s="152" t="inlineStr">
        <is>
          <t>not publisher-identified</t>
        </is>
      </c>
      <c r="BO317" s="152" t="inlineStr">
        <is>
          <t>not publisher-identified</t>
        </is>
      </c>
      <c r="BP317" s="152" t="inlineStr">
        <is>
          <t>sole source</t>
        </is>
      </c>
      <c r="BQ317" s="152" t="inlineStr">
        <is>
          <t>yes</t>
        </is>
      </c>
      <c r="BR317" s="152" t="n"/>
      <c r="BS317" s="152" t="inlineStr">
        <is>
          <t>YES</t>
        </is>
      </c>
      <c r="BT317" s="152" t="n"/>
    </row>
    <row r="318" ht="15" customHeight="1" s="241">
      <c r="A318" s="193" t="inlineStr">
        <is>
          <t>Micron</t>
        </is>
      </c>
      <c r="B318" s="194">
        <f>IF(A318="","",_xlfn.XLOOKUP(A318, Company_List!$A:$A, Company_List!$B:$B, ""))</f>
        <v/>
      </c>
      <c r="C318" s="177" t="n">
        <v>2025</v>
      </c>
      <c r="D318" s="177" t="inlineStr">
        <is>
          <t>Q4</t>
        </is>
      </c>
      <c r="E318" s="178" t="inlineStr">
        <is>
          <t>Transcript</t>
        </is>
      </c>
      <c r="F318" s="178" t="inlineStr">
        <is>
          <t>Outlook/Guidance</t>
        </is>
      </c>
      <c r="G318" s="177" t="inlineStr">
        <is>
          <t>David</t>
        </is>
      </c>
      <c r="H318" s="177" t="inlineStr">
        <is>
          <t>Human</t>
        </is>
      </c>
      <c r="I318" s="180" t="n">
        <v>0.55</v>
      </c>
      <c r="J318" s="180">
        <f>IF(OR(I318="",Settings!$B$6=""),"",IF(I318&gt;Settings!$B$6,"BUY",IF(I318&lt;-Settings!$B$6,"SELL","HOLD")))</f>
        <v/>
      </c>
      <c r="K318" s="180" t="n">
        <v>29</v>
      </c>
      <c r="L318" s="182" t="n">
        <v>45923</v>
      </c>
      <c r="M318" s="182" t="n">
        <v>45923</v>
      </c>
      <c r="N318" s="179" t="n">
        <v>166.41</v>
      </c>
      <c r="O318" s="182" t="n">
        <v>45924</v>
      </c>
      <c r="P318" s="180" t="n">
        <v>165.08</v>
      </c>
      <c r="Q318" s="184">
        <f>IF(OR(N318="",P318=""),"",ROUND((P318-N318)/N318,4))</f>
        <v/>
      </c>
      <c r="R318" s="177">
        <f>IF(OR(N318="",P318=""),"",IF(Q318&gt;Settings!$B$3/100,"UP",IF(Q318&lt;-Settings!$B$3/100,"DOWN","FLAT")))</f>
        <v/>
      </c>
      <c r="S318" s="177">
        <f>IF(OR(N318="",P318="",J318=""),"",IF(OR(AND(J318="BUY",R318="UP"),AND(J318="SELL",R318="DOWN"),AND(J318="HOLD",R318="FLAT")),"YES","NO"))</f>
        <v/>
      </c>
      <c r="T318" s="176">
        <f>IF(J318="","",IF(J318="BUY",1,IF(J318="SELL",-1,0)))</f>
        <v/>
      </c>
      <c r="U318" s="184">
        <f>IFERROR(IF(OR(J318="",N318="",P318=""),"",IF(T318=0,0,T318*Q318-Settings!$B$4/10000-IF(T318&lt;0,Settings!$B$5/10000,0))),"")</f>
        <v/>
      </c>
      <c r="V318" s="152" t="n"/>
      <c r="W318" s="176">
        <f>IF($K318="","",$K318*60)</f>
        <v/>
      </c>
      <c r="X318" s="186">
        <f>IF($A318="","",$A318&amp;"|"&amp;$C318&amp;"|"&amp;$D318)</f>
        <v/>
      </c>
      <c r="Y318" s="186">
        <f>IFERROR(IF($X318="","",INDEX(LLM_Data_Entry!$H$3:$H$548,MATCH($X318,INDEX(LLM_Data_Entry!$A$3:$A$548&amp;"|"&amp;LLM_Data_Entry!$C$3:$C$548&amp;"|"&amp;LLM_Data_Entry!$D$3:$D$548,0),0))),"")</f>
        <v/>
      </c>
      <c r="Z318" s="186">
        <f>IFERROR(IF($X318="","",INDEX(LLM_Data_Entry!$R$3:$R$548,MATCH($X318,INDEX(LLM_Data_Entry!$A$3:$A$548&amp;"|"&amp;LLM_Data_Entry!$C$3:$C$548&amp;"|"&amp;LLM_Data_Entry!$D$3:$D$548,0),0))),"")</f>
        <v/>
      </c>
      <c r="AA318" s="152" t="n"/>
      <c r="AB318" s="152" t="inlineStr">
        <is>
          <t>release date + stated time in the document (rater worksheet)</t>
        </is>
      </c>
      <c r="AC318" s="152" t="inlineStr">
        <is>
          <t>MU</t>
        </is>
      </c>
      <c r="AD318" s="152" t="inlineStr">
        <is>
          <t>2025-09-23</t>
        </is>
      </c>
      <c r="AE318" s="152" t="n">
        <v>166.1433</v>
      </c>
      <c r="AF318" s="152" t="inlineStr">
        <is>
          <t>2025-09-24</t>
        </is>
      </c>
      <c r="AG318" s="152" t="n">
        <v>164.8155</v>
      </c>
      <c r="AH318" s="152" t="n">
        <v>-0.007992372147029306</v>
      </c>
      <c r="AI318" s="152" t="inlineStr">
        <is>
          <t>FLAT</t>
        </is>
      </c>
      <c r="AJ318" s="152" t="inlineStr">
        <is>
          <t>NO</t>
        </is>
      </c>
      <c r="AK318" s="152" t="n">
        <v>-0.008992</v>
      </c>
      <c r="AL318" s="152">
        <f>IF($A318="","",IFERROR(INDEX(Company_List!$G$3:$G$207,MATCH($A318,Company_List!$A$3:$A$207,0)),"unassigned"))</f>
        <v/>
      </c>
      <c r="AM318" s="152" t="inlineStr">
        <is>
          <t>Phase 2/Micron/2025-Q4/MU-2025-Q4-earnings-call-transcript-news-alphastreet-com.html</t>
        </is>
      </c>
      <c r="AN318" s="152" t="inlineStr">
        <is>
          <t>https://news.alphastreet.com/micron-technology-inc-mu-q4-2025-earnings-call-transcript/</t>
        </is>
      </c>
      <c r="AO318" s="152" t="inlineStr">
        <is>
          <t>manifest</t>
        </is>
      </c>
      <c r="AP318" s="152">
        <f>IF($A318="","",IF(COUNTIFS(LLM_Data_Entry!$A$3:$A$548,$A318)&gt;0,"YES","NO"))</f>
        <v/>
      </c>
      <c r="AQ318" s="152">
        <f>IF($A318="","",IF(COUNTIFS($A$3:$A318,$A318,$C$3:$C318,$C318,$D$3:$D318,$D318)=1,"YES","NO"))</f>
        <v/>
      </c>
      <c r="AR318" s="152">
        <f>IF($A318="","",IF(AND($C318&amp;"-"&amp;$D318&gt;=Settings!$B$19,$C318&amp;"-"&amp;$D318&lt;=Settings!$B$20),"IN","OUT"))</f>
        <v/>
      </c>
      <c r="AS318" s="152">
        <f>IF($A318="","",IF($F318="Financial Results","financials",IF($F318="Outlook/Guidance","guidance",IF($F318="Transcript Q&amp;A","qanda",IF($F318="","unrecorded",IF($E318="All","full",IF($E318="","unrecorded",LOWER($E318)&amp;" only")))))))</f>
        <v/>
      </c>
      <c r="AT318" s="152">
        <f>IF(AND(OR($J318="BUY",$J318="SELL"),ISNUMBER($U318)),$U318,"")</f>
        <v/>
      </c>
      <c r="AU318" s="152">
        <f>IF(AND(OR($J318="BUY",$J318="SELL"),ISNUMBER($AK318)),$AK318,"")</f>
        <v/>
      </c>
      <c r="AV318" s="152">
        <f>IF(ISNUMBER($AT318),ABS(IF(ISNUMBER($I318),$I318,0)-Settings!$B$24),"")</f>
        <v/>
      </c>
      <c r="AW318" s="152">
        <f>IF(ISNUMBER($AV318),$AV318*$AT318,"")</f>
        <v/>
      </c>
      <c r="AX318" s="152">
        <f>IF(ISNUMBER($AU318),ABS(IF(ISNUMBER($I318),$I318,0)-Settings!$B$24),"")</f>
        <v/>
      </c>
      <c r="AY318" s="152" t="inlineStr">
        <is>
          <t>FROZEN</t>
        </is>
      </c>
      <c r="AZ318" s="152">
        <f>IF($A318="","",IFERROR(INDEX(Company_List!$H$3:$H$207,MATCH($A318,Company_List!$A$3:$A$207,0)),"unassigned"))</f>
        <v/>
      </c>
      <c r="BA318" s="152" t="n"/>
      <c r="BB318" s="152" t="n"/>
      <c r="BC318" s="152">
        <f>IF($A318="","",IF(COUNTIFS($A$3:$A318,$A318,$C$3:$C318,$C318,$D$3:$D318,$D318,$G$3:$G318,$G318)=1,1,0))</f>
        <v/>
      </c>
      <c r="BD318" s="152" t="n"/>
      <c r="BE318" s="152" t="n"/>
      <c r="BF318" s="152" t="n"/>
      <c r="BG318" s="152" t="inlineStr">
        <is>
          <t>no</t>
        </is>
      </c>
      <c r="BH318" s="152" t="n"/>
      <c r="BI318" s="152" t="n"/>
      <c r="BJ318" s="152" t="n"/>
      <c r="BK318" s="152">
        <f>IF(OR($H318&lt;&gt;"Human",$S318="",$J318="",$Y318="",$Z318=""),"",IF(EXACT(UPPER($J318),UPPER($Y318)),1,0))</f>
        <v/>
      </c>
      <c r="BL318" s="152" t="inlineStr">
        <is>
          <t>assumed - no rater record</t>
        </is>
      </c>
      <c r="BM318" s="152" t="n">
        <v>1</v>
      </c>
      <c r="BN318" s="152" t="inlineStr">
        <is>
          <t>not publisher-identified</t>
        </is>
      </c>
      <c r="BO318" s="152" t="inlineStr">
        <is>
          <t>not publisher-identified</t>
        </is>
      </c>
      <c r="BP318" s="152" t="inlineStr">
        <is>
          <t>no</t>
        </is>
      </c>
      <c r="BQ318" s="152" t="inlineStr">
        <is>
          <t>yes</t>
        </is>
      </c>
      <c r="BR318" s="152" t="n"/>
      <c r="BS318" s="152" t="inlineStr">
        <is>
          <t>YES</t>
        </is>
      </c>
      <c r="BT318" s="152" t="n"/>
    </row>
    <row r="319" ht="15" customHeight="1" s="241">
      <c r="A319" s="193" t="inlineStr">
        <is>
          <t>Salesforce</t>
        </is>
      </c>
      <c r="B319" s="194">
        <f>IF(A319="","",_xlfn.XLOOKUP(A319, Company_List!$A:$A, Company_List!$B:$B, ""))</f>
        <v/>
      </c>
      <c r="C319" s="177" t="n">
        <v>2026</v>
      </c>
      <c r="D319" s="177" t="inlineStr">
        <is>
          <t>Q2</t>
        </is>
      </c>
      <c r="E319" s="178" t="inlineStr">
        <is>
          <t>Financial Statement</t>
        </is>
      </c>
      <c r="F319" s="178" t="inlineStr">
        <is>
          <t>Financial Results</t>
        </is>
      </c>
      <c r="G319" s="177" t="inlineStr">
        <is>
          <t>David</t>
        </is>
      </c>
      <c r="H319" s="177" t="inlineStr">
        <is>
          <t>Human</t>
        </is>
      </c>
      <c r="I319" s="180" t="n">
        <v>0.45</v>
      </c>
      <c r="J319" s="180">
        <f>IF(OR(I319="",Settings!$B$6=""),"",IF(I319&gt;Settings!$B$6,"BUY",IF(I319&lt;-Settings!$B$6,"SELL","HOLD")))</f>
        <v/>
      </c>
      <c r="K319" s="180" t="n">
        <v>21</v>
      </c>
      <c r="L319" s="182" t="n">
        <v>45903</v>
      </c>
      <c r="M319" s="182" t="n">
        <v>45903</v>
      </c>
      <c r="N319" s="179" t="n">
        <v>256.45</v>
      </c>
      <c r="O319" s="182" t="n">
        <v>45904</v>
      </c>
      <c r="P319" s="180" t="n">
        <v>240.06</v>
      </c>
      <c r="Q319" s="184">
        <f>IF(OR(N319="",P319=""),"",ROUND((P319-N319)/N319,4))</f>
        <v/>
      </c>
      <c r="R319" s="177">
        <f>IF(OR(N319="",P319=""),"",IF(Q319&gt;Settings!$B$3/100,"UP",IF(Q319&lt;-Settings!$B$3/100,"DOWN","FLAT")))</f>
        <v/>
      </c>
      <c r="S319" s="177">
        <f>IF(OR(N319="",P319="",J319=""),"",IF(OR(AND(J319="BUY",R319="UP"),AND(J319="SELL",R319="DOWN"),AND(J319="HOLD",R319="FLAT")),"YES","NO"))</f>
        <v/>
      </c>
      <c r="T319" s="176">
        <f>IF(J319="","",IF(J319="BUY",1,IF(J319="SELL",-1,0)))</f>
        <v/>
      </c>
      <c r="U319" s="184">
        <f>IFERROR(IF(OR(J319="",N319="",P319=""),"",IF(T319=0,0,T319*Q319-Settings!$B$4/10000-IF(T319&lt;0,Settings!$B$5/10000,0))),"")</f>
        <v/>
      </c>
      <c r="V319" s="152" t="n"/>
      <c r="W319" s="176">
        <f>IF($K319="","",$K319*60)</f>
        <v/>
      </c>
      <c r="X319" s="186">
        <f>IF($A319="","",$A319&amp;"|"&amp;$C319&amp;"|"&amp;$D319)</f>
        <v/>
      </c>
      <c r="Y319" s="186">
        <f>IFERROR(IF($X319="","",INDEX(LLM_Data_Entry!$H$3:$H$548,MATCH($X319,INDEX(LLM_Data_Entry!$A$3:$A$548&amp;"|"&amp;LLM_Data_Entry!$C$3:$C$548&amp;"|"&amp;LLM_Data_Entry!$D$3:$D$548,0),0))),"")</f>
        <v/>
      </c>
      <c r="Z319" s="186">
        <f>IFERROR(IF($X319="","",INDEX(LLM_Data_Entry!$R$3:$R$548,MATCH($X319,INDEX(LLM_Data_Entry!$A$3:$A$548&amp;"|"&amp;LLM_Data_Entry!$C$3:$C$548&amp;"|"&amp;LLM_Data_Entry!$D$3:$D$548,0),0))),"")</f>
        <v/>
      </c>
      <c r="AA319" s="152" t="n"/>
      <c r="AB319" s="152" t="inlineStr">
        <is>
          <t>release date + stated time in the document (rater worksheet)</t>
        </is>
      </c>
      <c r="AC319" s="152" t="inlineStr">
        <is>
          <t>CRM</t>
        </is>
      </c>
      <c r="AD319" s="152" t="inlineStr">
        <is>
          <t>2025-09-03</t>
        </is>
      </c>
      <c r="AE319" s="152" t="n">
        <v>254.2977</v>
      </c>
      <c r="AF319" s="152" t="inlineStr">
        <is>
          <t>2025-09-04</t>
        </is>
      </c>
      <c r="AG319" s="152" t="n">
        <v>238.0452</v>
      </c>
      <c r="AH319" s="152" t="n">
        <v>-0.06391111172369553</v>
      </c>
      <c r="AI319" s="152" t="inlineStr">
        <is>
          <t>DOWN</t>
        </is>
      </c>
      <c r="AJ319" s="152" t="inlineStr">
        <is>
          <t>NO</t>
        </is>
      </c>
      <c r="AK319" s="152" t="n">
        <v>-0.064911</v>
      </c>
      <c r="AL319" s="152">
        <f>IF($A319="","",IFERROR(INDEX(Company_List!$G$3:$G$207,MATCH($A319,Company_List!$A$3:$A$207,0)),"unassigned"))</f>
        <v/>
      </c>
      <c r="AM319" s="152" t="inlineStr">
        <is>
          <t>Phase 2/SalesForce/2026-Q2/CRM-2026-Q2-quarterly-financial-statements-SEC-10-Q.htm</t>
        </is>
      </c>
      <c r="AN319" s="152" t="inlineStr">
        <is>
          <t>https://www.sec.gov/Archives/edgar/data/1108524/000110852425000088/crm-20250731.htm</t>
        </is>
      </c>
      <c r="AO319" s="152" t="inlineStr">
        <is>
          <t>manifest</t>
        </is>
      </c>
      <c r="AP319" s="152">
        <f>IF($A319="","",IF(COUNTIFS(LLM_Data_Entry!$A$3:$A$548,$A319)&gt;0,"YES","NO"))</f>
        <v/>
      </c>
      <c r="AQ319" s="152">
        <f>IF($A319="","",IF(COUNTIFS($A$3:$A319,$A319,$C$3:$C319,$C319,$D$3:$D319,$D319)=1,"YES","NO"))</f>
        <v/>
      </c>
      <c r="AR319" s="152">
        <f>IF($A319="","",IF(AND($C319&amp;"-"&amp;$D319&gt;=Settings!$B$19,$C319&amp;"-"&amp;$D319&lt;=Settings!$B$20),"IN","OUT"))</f>
        <v/>
      </c>
      <c r="AS319" s="152">
        <f>IF($A319="","",IF($F319="Financial Results","financials",IF($F319="Outlook/Guidance","guidance",IF($F319="Transcript Q&amp;A","qanda",IF($F319="","unrecorded",IF($E319="All","full",IF($E319="","unrecorded",LOWER($E319)&amp;" only")))))))</f>
        <v/>
      </c>
      <c r="AT319" s="152">
        <f>IF(AND(OR($J319="BUY",$J319="SELL"),ISNUMBER($U319)),$U319,"")</f>
        <v/>
      </c>
      <c r="AU319" s="152">
        <f>IF(AND(OR($J319="BUY",$J319="SELL"),ISNUMBER($AK319)),$AK319,"")</f>
        <v/>
      </c>
      <c r="AV319" s="152">
        <f>IF(ISNUMBER($AT319),ABS(IF(ISNUMBER($I319),$I319,0)-Settings!$B$24),"")</f>
        <v/>
      </c>
      <c r="AW319" s="152">
        <f>IF(ISNUMBER($AV319),$AV319*$AT319,"")</f>
        <v/>
      </c>
      <c r="AX319" s="152">
        <f>IF(ISNUMBER($AU319),ABS(IF(ISNUMBER($I319),$I319,0)-Settings!$B$24),"")</f>
        <v/>
      </c>
      <c r="AY319" s="152" t="inlineStr">
        <is>
          <t>FROZEN</t>
        </is>
      </c>
      <c r="AZ319" s="152">
        <f>IF($A319="","",IFERROR(INDEX(Company_List!$H$3:$H$207,MATCH($A319,Company_List!$A$3:$A$207,0)),"unassigned"))</f>
        <v/>
      </c>
      <c r="BA319" s="152" t="n"/>
      <c r="BB319" s="152" t="n"/>
      <c r="BC319" s="152">
        <f>IF($A319="","",IF(COUNTIFS($A$3:$A319,$A319,$C$3:$C319,$C319,$D$3:$D319,$D319,$G$3:$G319,$G319)=1,1,0))</f>
        <v/>
      </c>
      <c r="BD319" s="152" t="n"/>
      <c r="BE319" s="152" t="n"/>
      <c r="BF319" s="152" t="n"/>
      <c r="BG319" s="152" t="inlineStr">
        <is>
          <t>no</t>
        </is>
      </c>
      <c r="BH319" s="152" t="n"/>
      <c r="BI319" s="152" t="n"/>
      <c r="BJ319" s="152" t="n"/>
      <c r="BK319" s="152">
        <f>IF(OR($H319&lt;&gt;"Human",$S319="",$J319="",$Y319="",$Z319=""),"",IF(EXACT(UPPER($J319),UPPER($Y319)),1,0))</f>
        <v/>
      </c>
      <c r="BL319" s="152" t="inlineStr">
        <is>
          <t>assumed - no rater record</t>
        </is>
      </c>
      <c r="BM319" s="152" t="n">
        <v>1</v>
      </c>
      <c r="BN319" s="152" t="inlineStr">
        <is>
          <t>not publisher-identified</t>
        </is>
      </c>
      <c r="BO319" s="152" t="inlineStr">
        <is>
          <t>not publisher-identified</t>
        </is>
      </c>
      <c r="BP319" s="152" t="inlineStr">
        <is>
          <t>sole source</t>
        </is>
      </c>
      <c r="BQ319" s="152" t="inlineStr">
        <is>
          <t>yes</t>
        </is>
      </c>
      <c r="BR319" s="152" t="n"/>
      <c r="BS319" s="152" t="inlineStr">
        <is>
          <t>YES</t>
        </is>
      </c>
      <c r="BT319" s="152" t="n"/>
    </row>
    <row r="320" ht="15" customHeight="1" s="241">
      <c r="A320" s="193" t="inlineStr">
        <is>
          <t>Salesforce</t>
        </is>
      </c>
      <c r="B320" s="194">
        <f>IF(A320="","",_xlfn.XLOOKUP(A320, Company_List!$A:$A, Company_List!$B:$B, ""))</f>
        <v/>
      </c>
      <c r="C320" s="177" t="n">
        <v>2026</v>
      </c>
      <c r="D320" s="177" t="inlineStr">
        <is>
          <t>Q3</t>
        </is>
      </c>
      <c r="E320" s="178" t="inlineStr">
        <is>
          <t>Transcript</t>
        </is>
      </c>
      <c r="F320" s="178" t="inlineStr">
        <is>
          <t>Outlook/Guidance</t>
        </is>
      </c>
      <c r="G320" s="177" t="inlineStr">
        <is>
          <t>David</t>
        </is>
      </c>
      <c r="H320" s="177" t="inlineStr">
        <is>
          <t>Human</t>
        </is>
      </c>
      <c r="I320" s="180" t="n">
        <v>-0.3</v>
      </c>
      <c r="J320" s="180">
        <f>IF(OR(I320="",Settings!$B$6=""),"",IF(I320&gt;Settings!$B$6,"BUY",IF(I320&lt;-Settings!$B$6,"SELL","HOLD")))</f>
        <v/>
      </c>
      <c r="K320" s="180" t="n">
        <v>30</v>
      </c>
      <c r="L320" s="182" t="n">
        <v>45994</v>
      </c>
      <c r="M320" s="182" t="n">
        <v>45994</v>
      </c>
      <c r="N320" s="179" t="n">
        <v>238.72</v>
      </c>
      <c r="O320" s="182" t="n">
        <v>45995</v>
      </c>
      <c r="P320" s="180" t="n">
        <v>243.69</v>
      </c>
      <c r="Q320" s="184">
        <f>IF(OR(N320="",P320=""),"",ROUND((P320-N320)/N320,4))</f>
        <v/>
      </c>
      <c r="R320" s="177">
        <f>IF(OR(N320="",P320=""),"",IF(Q320&gt;Settings!$B$3/100,"UP",IF(Q320&lt;-Settings!$B$3/100,"DOWN","FLAT")))</f>
        <v/>
      </c>
      <c r="S320" s="177">
        <f>IF(OR(N320="",P320="",J320=""),"",IF(OR(AND(J320="BUY",R320="UP"),AND(J320="SELL",R320="DOWN"),AND(J320="HOLD",R320="FLAT")),"YES","NO"))</f>
        <v/>
      </c>
      <c r="T320" s="176">
        <f>IF(J320="","",IF(J320="BUY",1,IF(J320="SELL",-1,0)))</f>
        <v/>
      </c>
      <c r="U320" s="184">
        <f>IFERROR(IF(OR(J320="",N320="",P320=""),"",IF(T320=0,0,T320*Q320-Settings!$B$4/10000-IF(T320&lt;0,Settings!$B$5/10000,0))),"")</f>
        <v/>
      </c>
      <c r="V320" s="152" t="n"/>
      <c r="W320" s="176">
        <f>IF($K320="","",$K320*60)</f>
        <v/>
      </c>
      <c r="X320" s="186">
        <f>IF($A320="","",$A320&amp;"|"&amp;$C320&amp;"|"&amp;$D320)</f>
        <v/>
      </c>
      <c r="Y320" s="186">
        <f>IFERROR(IF($X320="","",INDEX(LLM_Data_Entry!$H$3:$H$548,MATCH($X320,INDEX(LLM_Data_Entry!$A$3:$A$548&amp;"|"&amp;LLM_Data_Entry!$C$3:$C$548&amp;"|"&amp;LLM_Data_Entry!$D$3:$D$548,0),0))),"")</f>
        <v/>
      </c>
      <c r="Z320" s="186">
        <f>IFERROR(IF($X320="","",INDEX(LLM_Data_Entry!$R$3:$R$548,MATCH($X320,INDEX(LLM_Data_Entry!$A$3:$A$548&amp;"|"&amp;LLM_Data_Entry!$C$3:$C$548&amp;"|"&amp;LLM_Data_Entry!$D$3:$D$548,0),0))),"")</f>
        <v/>
      </c>
      <c r="AA320" s="152" t="n"/>
      <c r="AB320" s="152" t="inlineStr">
        <is>
          <t>release date + stated time in the document (rater worksheet)</t>
        </is>
      </c>
      <c r="AC320" s="152" t="inlineStr">
        <is>
          <t>CRM</t>
        </is>
      </c>
      <c r="AD320" s="152" t="inlineStr">
        <is>
          <t>2025-12-03</t>
        </is>
      </c>
      <c r="AE320" s="152" t="n">
        <v>237.1287</v>
      </c>
      <c r="AF320" s="152" t="inlineStr">
        <is>
          <t>2025-12-04</t>
        </is>
      </c>
      <c r="AG320" s="152" t="n">
        <v>242.0656</v>
      </c>
      <c r="AH320" s="152" t="n">
        <v>0.02081931966125198</v>
      </c>
      <c r="AI320" s="152" t="inlineStr">
        <is>
          <t>UP</t>
        </is>
      </c>
      <c r="AJ320" s="152" t="inlineStr">
        <is>
          <t>NO</t>
        </is>
      </c>
      <c r="AK320" s="152" t="n">
        <v>-0.021819</v>
      </c>
      <c r="AL320" s="152">
        <f>IF($A320="","",IFERROR(INDEX(Company_List!$G$3:$G$207,MATCH($A320,Company_List!$A$3:$A$207,0)),"unassigned"))</f>
        <v/>
      </c>
      <c r="AM320" s="152" t="inlineStr">
        <is>
          <t>Phase 2/SalesForce/2026-Q3/CRM-2026-Q3-earnings-call-transcript-salesforce-q4cdn.pdf</t>
        </is>
      </c>
      <c r="AN320" s="152" t="inlineStr">
        <is>
          <t>https://s205.q4cdn.com/626266368/files/doc_financials/2026/q3/Transcript-Salesforce-Inc-Q3-FY26-Earnings-Conference-Call-12-3-25.pdf</t>
        </is>
      </c>
      <c r="AO320" s="152" t="inlineStr">
        <is>
          <t>manifest</t>
        </is>
      </c>
      <c r="AP320" s="152">
        <f>IF($A320="","",IF(COUNTIFS(LLM_Data_Entry!$A$3:$A$548,$A320)&gt;0,"YES","NO"))</f>
        <v/>
      </c>
      <c r="AQ320" s="152">
        <f>IF($A320="","",IF(COUNTIFS($A$3:$A320,$A320,$C$3:$C320,$C320,$D$3:$D320,$D320)=1,"YES","NO"))</f>
        <v/>
      </c>
      <c r="AR320" s="152">
        <f>IF($A320="","",IF(AND($C320&amp;"-"&amp;$D320&gt;=Settings!$B$19,$C320&amp;"-"&amp;$D320&lt;=Settings!$B$20),"IN","OUT"))</f>
        <v/>
      </c>
      <c r="AS320" s="152">
        <f>IF($A320="","",IF($F320="Financial Results","financials",IF($F320="Outlook/Guidance","guidance",IF($F320="Transcript Q&amp;A","qanda",IF($F320="","unrecorded",IF($E320="All","full",IF($E320="","unrecorded",LOWER($E320)&amp;" only")))))))</f>
        <v/>
      </c>
      <c r="AT320" s="152">
        <f>IF(AND(OR($J320="BUY",$J320="SELL"),ISNUMBER($U320)),$U320,"")</f>
        <v/>
      </c>
      <c r="AU320" s="152">
        <f>IF(AND(OR($J320="BUY",$J320="SELL"),ISNUMBER($AK320)),$AK320,"")</f>
        <v/>
      </c>
      <c r="AV320" s="152">
        <f>IF(ISNUMBER($AT320),ABS(IF(ISNUMBER($I320),$I320,0)-Settings!$B$24),"")</f>
        <v/>
      </c>
      <c r="AW320" s="152">
        <f>IF(ISNUMBER($AV320),$AV320*$AT320,"")</f>
        <v/>
      </c>
      <c r="AX320" s="152">
        <f>IF(ISNUMBER($AU320),ABS(IF(ISNUMBER($I320),$I320,0)-Settings!$B$24),"")</f>
        <v/>
      </c>
      <c r="AY320" s="152" t="inlineStr">
        <is>
          <t>FROZEN</t>
        </is>
      </c>
      <c r="AZ320" s="152">
        <f>IF($A320="","",IFERROR(INDEX(Company_List!$H$3:$H$207,MATCH($A320,Company_List!$A$3:$A$207,0)),"unassigned"))</f>
        <v/>
      </c>
      <c r="BA320" s="152" t="n"/>
      <c r="BB320" s="152" t="n"/>
      <c r="BC320" s="152">
        <f>IF($A320="","",IF(COUNTIFS($A$3:$A320,$A320,$C$3:$C320,$C320,$D$3:$D320,$D320,$G$3:$G320,$G320)=1,1,0))</f>
        <v/>
      </c>
      <c r="BD320" s="152" t="n"/>
      <c r="BE320" s="152" t="n"/>
      <c r="BF320" s="152" t="n"/>
      <c r="BG320" s="152" t="inlineStr">
        <is>
          <t>no</t>
        </is>
      </c>
      <c r="BH320" s="152" t="n"/>
      <c r="BI320" s="152" t="n"/>
      <c r="BJ320" s="152" t="n"/>
      <c r="BK320" s="152">
        <f>IF(OR($H320&lt;&gt;"Human",$S320="",$J320="",$Y320="",$Z320=""),"",IF(EXACT(UPPER($J320),UPPER($Y320)),1,0))</f>
        <v/>
      </c>
      <c r="BL320" s="152" t="inlineStr">
        <is>
          <t>assumed - no rater record</t>
        </is>
      </c>
      <c r="BM320" s="152" t="n">
        <v>1</v>
      </c>
      <c r="BN320" s="152" t="inlineStr">
        <is>
          <t>not publisher-identified</t>
        </is>
      </c>
      <c r="BO320" s="152" t="inlineStr">
        <is>
          <t>not publisher-identified</t>
        </is>
      </c>
      <c r="BP320" s="152" t="inlineStr">
        <is>
          <t>no</t>
        </is>
      </c>
      <c r="BQ320" s="152" t="inlineStr">
        <is>
          <t>yes</t>
        </is>
      </c>
      <c r="BR320" s="152" t="n"/>
      <c r="BS320" s="152" t="inlineStr">
        <is>
          <t>YES</t>
        </is>
      </c>
      <c r="BT320" s="152" t="n"/>
    </row>
    <row r="321" ht="15" customHeight="1" s="241">
      <c r="A321" s="193" t="inlineStr">
        <is>
          <t>Salesforce</t>
        </is>
      </c>
      <c r="B321" s="194">
        <f>IF(A321="","",_xlfn.XLOOKUP(A321, Company_List!$A:$A, Company_List!$B:$B, ""))</f>
        <v/>
      </c>
      <c r="C321" s="177" t="n">
        <v>2026</v>
      </c>
      <c r="D321" s="177" t="inlineStr">
        <is>
          <t>Q4</t>
        </is>
      </c>
      <c r="E321" s="178" t="inlineStr">
        <is>
          <t>Transcript</t>
        </is>
      </c>
      <c r="F321" s="178" t="inlineStr">
        <is>
          <t>Transcript Q&amp;A</t>
        </is>
      </c>
      <c r="G321" s="177" t="inlineStr">
        <is>
          <t>David</t>
        </is>
      </c>
      <c r="H321" s="177" t="inlineStr">
        <is>
          <t>Human</t>
        </is>
      </c>
      <c r="I321" s="180" t="n">
        <v>-0.25</v>
      </c>
      <c r="J321" s="180">
        <f>IF(OR(I321="",Settings!$B$6=""),"",IF(I321&gt;Settings!$B$6,"BUY",IF(I321&lt;-Settings!$B$6,"SELL","HOLD")))</f>
        <v/>
      </c>
      <c r="K321" s="180" t="n">
        <v>32</v>
      </c>
      <c r="L321" s="182" t="n">
        <v>46078</v>
      </c>
      <c r="M321" s="182" t="n">
        <v>46078</v>
      </c>
      <c r="N321" s="179" t="n">
        <v>191.75</v>
      </c>
      <c r="O321" s="182" t="n">
        <v>46079</v>
      </c>
      <c r="P321" s="180" t="n">
        <v>196.76</v>
      </c>
      <c r="Q321" s="184">
        <f>IF(OR(N321="",P321=""),"",ROUND((P321-N321)/N321,4))</f>
        <v/>
      </c>
      <c r="R321" s="177">
        <f>IF(OR(N321="",P321=""),"",IF(Q321&gt;Settings!$B$3/100,"UP",IF(Q321&lt;-Settings!$B$3/100,"DOWN","FLAT")))</f>
        <v/>
      </c>
      <c r="S321" s="177">
        <f>IF(OR(N321="",P321="",J321=""),"",IF(OR(AND(J321="BUY",R321="UP"),AND(J321="SELL",R321="DOWN"),AND(J321="HOLD",R321="FLAT")),"YES","NO"))</f>
        <v/>
      </c>
      <c r="T321" s="176">
        <f>IF(J321="","",IF(J321="BUY",1,IF(J321="SELL",-1,0)))</f>
        <v/>
      </c>
      <c r="U321" s="184">
        <f>IFERROR(IF(OR(J321="",N321="",P321=""),"",IF(T321=0,0,T321*Q321-Settings!$B$4/10000-IF(T321&lt;0,Settings!$B$5/10000,0))),"")</f>
        <v/>
      </c>
      <c r="V321" s="152" t="n"/>
      <c r="W321" s="176">
        <f>IF($K321="","",$K321*60)</f>
        <v/>
      </c>
      <c r="X321" s="186">
        <f>IF($A321="","",$A321&amp;"|"&amp;$C321&amp;"|"&amp;$D321)</f>
        <v/>
      </c>
      <c r="Y321" s="186">
        <f>IFERROR(IF($X321="","",INDEX(LLM_Data_Entry!$H$3:$H$548,MATCH($X321,INDEX(LLM_Data_Entry!$A$3:$A$548&amp;"|"&amp;LLM_Data_Entry!$C$3:$C$548&amp;"|"&amp;LLM_Data_Entry!$D$3:$D$548,0),0))),"")</f>
        <v/>
      </c>
      <c r="Z321" s="186">
        <f>IFERROR(IF($X321="","",INDEX(LLM_Data_Entry!$R$3:$R$548,MATCH($X321,INDEX(LLM_Data_Entry!$A$3:$A$548&amp;"|"&amp;LLM_Data_Entry!$C$3:$C$548&amp;"|"&amp;LLM_Data_Entry!$D$3:$D$548,0),0))),"")</f>
        <v/>
      </c>
      <c r="AA321" s="152" t="n"/>
      <c r="AB321" s="152" t="inlineStr">
        <is>
          <t>release date + stated time in the document (rater worksheet)</t>
        </is>
      </c>
      <c r="AC321" s="152" t="inlineStr">
        <is>
          <t>CRM</t>
        </is>
      </c>
      <c r="AD321" s="152" t="inlineStr">
        <is>
          <t>2026-02-25</t>
        </is>
      </c>
      <c r="AE321" s="152" t="n">
        <v>190.7792</v>
      </c>
      <c r="AF321" s="152" t="inlineStr">
        <is>
          <t>2026-02-26</t>
        </is>
      </c>
      <c r="AG321" s="152" t="n">
        <v>195.7639</v>
      </c>
      <c r="AH321" s="152" t="n">
        <v>0.02612769636233271</v>
      </c>
      <c r="AI321" s="152" t="inlineStr">
        <is>
          <t>UP</t>
        </is>
      </c>
      <c r="AJ321" s="152" t="inlineStr">
        <is>
          <t>NO</t>
        </is>
      </c>
      <c r="AK321" s="152" t="n">
        <v>-0.027128</v>
      </c>
      <c r="AL321" s="152">
        <f>IF($A321="","",IFERROR(INDEX(Company_List!$G$3:$G$207,MATCH($A321,Company_List!$A$3:$A$207,0)),"unassigned"))</f>
        <v/>
      </c>
      <c r="AM321" s="152" t="inlineStr">
        <is>
          <t>Phase 2/SalesForce/2026-Q4/CRM-2026-Q4-earnings-call-transcript-news-alphastreet-com.html</t>
        </is>
      </c>
      <c r="AN321" s="152" t="inlineStr">
        <is>
          <t>https://news.alphastreet.com/salesforce-inc-crm-q4-2026-earnings-call-transcript/</t>
        </is>
      </c>
      <c r="AO321" s="152" t="inlineStr">
        <is>
          <t>manifest</t>
        </is>
      </c>
      <c r="AP321" s="152">
        <f>IF($A321="","",IF(COUNTIFS(LLM_Data_Entry!$A$3:$A$548,$A321)&gt;0,"YES","NO"))</f>
        <v/>
      </c>
      <c r="AQ321" s="152">
        <f>IF($A321="","",IF(COUNTIFS($A$3:$A321,$A321,$C$3:$C321,$C321,$D$3:$D321,$D321)=1,"YES","NO"))</f>
        <v/>
      </c>
      <c r="AR321" s="152">
        <f>IF($A321="","",IF(AND($C321&amp;"-"&amp;$D321&gt;=Settings!$B$19,$C321&amp;"-"&amp;$D321&lt;=Settings!$B$20),"IN","OUT"))</f>
        <v/>
      </c>
      <c r="AS321" s="152">
        <f>IF($A321="","",IF($F321="Financial Results","financials",IF($F321="Outlook/Guidance","guidance",IF($F321="Transcript Q&amp;A","qanda",IF($F321="","unrecorded",IF($E321="All","full",IF($E321="","unrecorded",LOWER($E321)&amp;" only")))))))</f>
        <v/>
      </c>
      <c r="AT321" s="152">
        <f>IF(AND(OR($J321="BUY",$J321="SELL"),ISNUMBER($U321)),$U321,"")</f>
        <v/>
      </c>
      <c r="AU321" s="152">
        <f>IF(AND(OR($J321="BUY",$J321="SELL"),ISNUMBER($AK321)),$AK321,"")</f>
        <v/>
      </c>
      <c r="AV321" s="152">
        <f>IF(ISNUMBER($AT321),ABS(IF(ISNUMBER($I321),$I321,0)-Settings!$B$24),"")</f>
        <v/>
      </c>
      <c r="AW321" s="152">
        <f>IF(ISNUMBER($AV321),$AV321*$AT321,"")</f>
        <v/>
      </c>
      <c r="AX321" s="152">
        <f>IF(ISNUMBER($AU321),ABS(IF(ISNUMBER($I321),$I321,0)-Settings!$B$24),"")</f>
        <v/>
      </c>
      <c r="AY321" s="152" t="inlineStr">
        <is>
          <t>FROZEN</t>
        </is>
      </c>
      <c r="AZ321" s="152">
        <f>IF($A321="","",IFERROR(INDEX(Company_List!$H$3:$H$207,MATCH($A321,Company_List!$A$3:$A$207,0)),"unassigned"))</f>
        <v/>
      </c>
      <c r="BA321" s="152" t="n"/>
      <c r="BB321" s="152" t="n"/>
      <c r="BC321" s="152">
        <f>IF($A321="","",IF(COUNTIFS($A$3:$A321,$A321,$C$3:$C321,$C321,$D$3:$D321,$D321,$G$3:$G321,$G321)=1,1,0))</f>
        <v/>
      </c>
      <c r="BD321" s="152" t="n"/>
      <c r="BE321" s="152" t="n"/>
      <c r="BF321" s="152" t="n"/>
      <c r="BG321" s="152" t="inlineStr">
        <is>
          <t>no</t>
        </is>
      </c>
      <c r="BH321" s="152" t="n"/>
      <c r="BI321" s="152" t="n"/>
      <c r="BJ321" s="152" t="n"/>
      <c r="BK321" s="152">
        <f>IF(OR($H321&lt;&gt;"Human",$S321="",$J321="",$Y321="",$Z321=""),"",IF(EXACT(UPPER($J321),UPPER($Y321)),1,0))</f>
        <v/>
      </c>
      <c r="BL321" s="152" t="inlineStr">
        <is>
          <t>assumed - no rater record</t>
        </is>
      </c>
      <c r="BM321" s="152" t="n">
        <v>1</v>
      </c>
      <c r="BN321" s="152" t="inlineStr">
        <is>
          <t>not publisher-identified</t>
        </is>
      </c>
      <c r="BO321" s="152" t="inlineStr">
        <is>
          <t>not publisher-identified</t>
        </is>
      </c>
      <c r="BP321" s="152" t="inlineStr">
        <is>
          <t>no</t>
        </is>
      </c>
      <c r="BQ321" s="152" t="inlineStr">
        <is>
          <t>yes</t>
        </is>
      </c>
      <c r="BR321" s="152" t="n"/>
      <c r="BS321" s="152" t="inlineStr">
        <is>
          <t>YES</t>
        </is>
      </c>
      <c r="BT321" s="152" t="n"/>
    </row>
    <row r="322" ht="15" customHeight="1" s="241">
      <c r="A322" s="193" t="inlineStr">
        <is>
          <t>UnitedHealth</t>
        </is>
      </c>
      <c r="B322" s="194">
        <f>IF(A322="","",_xlfn.XLOOKUP(A322, Company_List!$A:$A, Company_List!$B:$B, ""))</f>
        <v/>
      </c>
      <c r="C322" s="177" t="n">
        <v>2025</v>
      </c>
      <c r="D322" s="177" t="inlineStr">
        <is>
          <t>Q2</t>
        </is>
      </c>
      <c r="E322" s="178" t="inlineStr">
        <is>
          <t>Transcript</t>
        </is>
      </c>
      <c r="F322" s="178" t="inlineStr">
        <is>
          <t>Transcript Q&amp;A</t>
        </is>
      </c>
      <c r="G322" s="177" t="inlineStr">
        <is>
          <t>David</t>
        </is>
      </c>
      <c r="H322" s="177" t="inlineStr">
        <is>
          <t>Human</t>
        </is>
      </c>
      <c r="I322" s="180" t="n">
        <v>0.3</v>
      </c>
      <c r="J322" s="180">
        <f>IF(OR(I322="",Settings!$B$6=""),"",IF(I322&gt;Settings!$B$6,"BUY",IF(I322&lt;-Settings!$B$6,"SELL","HOLD")))</f>
        <v/>
      </c>
      <c r="K322" s="180" t="n">
        <v>27</v>
      </c>
      <c r="L322" s="182" t="n">
        <v>45867</v>
      </c>
      <c r="M322" s="182" t="n">
        <v>45866</v>
      </c>
      <c r="N322" s="179" t="n">
        <v>282.12</v>
      </c>
      <c r="O322" s="182" t="n">
        <v>45867</v>
      </c>
      <c r="P322" s="180" t="n">
        <v>265.7</v>
      </c>
      <c r="Q322" s="184">
        <f>IF(OR(N322="",P322=""),"",ROUND((P322-N322)/N322,4))</f>
        <v/>
      </c>
      <c r="R322" s="177">
        <f>IF(OR(N322="",P322=""),"",IF(Q322&gt;Settings!$B$3/100,"UP",IF(Q322&lt;-Settings!$B$3/100,"DOWN","FLAT")))</f>
        <v/>
      </c>
      <c r="S322" s="177">
        <f>IF(OR(N322="",P322="",J322=""),"",IF(OR(AND(J322="BUY",R322="UP"),AND(J322="SELL",R322="DOWN"),AND(J322="HOLD",R322="FLAT")),"YES","NO"))</f>
        <v/>
      </c>
      <c r="T322" s="176">
        <f>IF(J322="","",IF(J322="BUY",1,IF(J322="SELL",-1,0)))</f>
        <v/>
      </c>
      <c r="U322" s="184">
        <f>IFERROR(IF(OR(J322="",N322="",P322=""),"",IF(T322=0,0,T322*Q322-Settings!$B$4/10000-IF(T322&lt;0,Settings!$B$5/10000,0))),"")</f>
        <v/>
      </c>
      <c r="V322" s="152" t="n"/>
      <c r="W322" s="176">
        <f>IF($K322="","",$K322*60)</f>
        <v/>
      </c>
      <c r="X322" s="186">
        <f>IF($A322="","",$A322&amp;"|"&amp;$C322&amp;"|"&amp;$D322)</f>
        <v/>
      </c>
      <c r="Y322" s="186">
        <f>IFERROR(IF($X322="","",INDEX(LLM_Data_Entry!$H$3:$H$548,MATCH($X322,INDEX(LLM_Data_Entry!$A$3:$A$548&amp;"|"&amp;LLM_Data_Entry!$C$3:$C$548&amp;"|"&amp;LLM_Data_Entry!$D$3:$D$548,0),0))),"")</f>
        <v/>
      </c>
      <c r="Z322" s="186">
        <f>IFERROR(IF($X322="","",INDEX(LLM_Data_Entry!$R$3:$R$548,MATCH($X322,INDEX(LLM_Data_Entry!$A$3:$A$548&amp;"|"&amp;LLM_Data_Entry!$C$3:$C$548&amp;"|"&amp;LLM_Data_Entry!$D$3:$D$548,0),0))),"")</f>
        <v/>
      </c>
      <c r="AA322" s="152" t="n"/>
      <c r="AB322" s="152" t="inlineStr">
        <is>
          <t>price signal — both moved; this one dominates</t>
        </is>
      </c>
      <c r="AC322" s="152" t="inlineStr">
        <is>
          <t>UNH</t>
        </is>
      </c>
      <c r="AD322" s="152" t="inlineStr">
        <is>
          <t>2025-07-28</t>
        </is>
      </c>
      <c r="AE322" s="152" t="n">
        <v>274.7614</v>
      </c>
      <c r="AF322" s="152" t="inlineStr">
        <is>
          <t>2025-07-29</t>
        </is>
      </c>
      <c r="AG322" s="152" t="n">
        <v>258.7697</v>
      </c>
      <c r="AH322" s="152" t="n">
        <v>-0.05820210764857895</v>
      </c>
      <c r="AI322" s="152" t="inlineStr">
        <is>
          <t>DOWN</t>
        </is>
      </c>
      <c r="AJ322" s="152" t="inlineStr">
        <is>
          <t>NO</t>
        </is>
      </c>
      <c r="AK322" s="152" t="n">
        <v>-0.059202</v>
      </c>
      <c r="AL322" s="152">
        <f>IF($A322="","",IFERROR(INDEX(Company_List!$G$3:$G$207,MATCH($A322,Company_List!$A$3:$A$207,0)),"unassigned"))</f>
        <v/>
      </c>
      <c r="AM322" s="152" t="inlineStr">
        <is>
          <t>Phase 2/Unitedhealth/2025-Q2/UNH-2025-Q2-earnings-call-transcript-unitedhealthgroup-com.pdf</t>
        </is>
      </c>
      <c r="AN322" s="152" t="inlineStr">
        <is>
          <t>https://www.unitedhealthgroup.com/content/dam/UHG/PDF/investors/2025/UNH-Q2-2025-Remarks.pdf</t>
        </is>
      </c>
      <c r="AO322" s="152" t="inlineStr">
        <is>
          <t>manifest</t>
        </is>
      </c>
      <c r="AP322" s="152">
        <f>IF($A322="","",IF(COUNTIFS(LLM_Data_Entry!$A$3:$A$548,$A322)&gt;0,"YES","NO"))</f>
        <v/>
      </c>
      <c r="AQ322" s="152">
        <f>IF($A322="","",IF(COUNTIFS($A$3:$A322,$A322,$C$3:$C322,$C322,$D$3:$D322,$D322)=1,"YES","NO"))</f>
        <v/>
      </c>
      <c r="AR322" s="152">
        <f>IF($A322="","",IF(AND($C322&amp;"-"&amp;$D322&gt;=Settings!$B$19,$C322&amp;"-"&amp;$D322&lt;=Settings!$B$20),"IN","OUT"))</f>
        <v/>
      </c>
      <c r="AS322" s="152">
        <f>IF($A322="","",IF($F322="Financial Results","financials",IF($F322="Outlook/Guidance","guidance",IF($F322="Transcript Q&amp;A","qanda",IF($F322="","unrecorded",IF($E322="All","full",IF($E322="","unrecorded",LOWER($E322)&amp;" only")))))))</f>
        <v/>
      </c>
      <c r="AT322" s="152">
        <f>IF(AND(OR($J322="BUY",$J322="SELL"),ISNUMBER($U322)),$U322,"")</f>
        <v/>
      </c>
      <c r="AU322" s="152">
        <f>IF(AND(OR($J322="BUY",$J322="SELL"),ISNUMBER($AK322)),$AK322,"")</f>
        <v/>
      </c>
      <c r="AV322" s="152">
        <f>IF(ISNUMBER($AT322),ABS(IF(ISNUMBER($I322),$I322,0)-Settings!$B$24),"")</f>
        <v/>
      </c>
      <c r="AW322" s="152">
        <f>IF(ISNUMBER($AV322),$AV322*$AT322,"")</f>
        <v/>
      </c>
      <c r="AX322" s="152">
        <f>IF(ISNUMBER($AU322),ABS(IF(ISNUMBER($I322),$I322,0)-Settings!$B$24),"")</f>
        <v/>
      </c>
      <c r="AY322" s="152" t="inlineStr">
        <is>
          <t>FROZEN</t>
        </is>
      </c>
      <c r="AZ322" s="152">
        <f>IF($A322="","",IFERROR(INDEX(Company_List!$H$3:$H$207,MATCH($A322,Company_List!$A$3:$A$207,0)),"unassigned"))</f>
        <v/>
      </c>
      <c r="BA322" s="152" t="n"/>
      <c r="BB322" s="152" t="n"/>
      <c r="BC322" s="152">
        <f>IF($A322="","",IF(COUNTIFS($A$3:$A322,$A322,$C$3:$C322,$C322,$D$3:$D322,$D322,$G$3:$G322,$G322)=1,1,0))</f>
        <v/>
      </c>
      <c r="BD322" s="152" t="n"/>
      <c r="BE322" s="152" t="n"/>
      <c r="BF322" s="152" t="n"/>
      <c r="BG322" s="152" t="inlineStr">
        <is>
          <t>no</t>
        </is>
      </c>
      <c r="BH322" s="152" t="n"/>
      <c r="BI322" s="152" t="n"/>
      <c r="BJ322" s="152" t="n"/>
      <c r="BK322" s="152">
        <f>IF(OR($H322&lt;&gt;"Human",$S322="",$J322="",$Y322="",$Z322=""),"",IF(EXACT(UPPER($J322),UPPER($Y322)),1,0))</f>
        <v/>
      </c>
      <c r="BL322" s="152" t="inlineStr">
        <is>
          <t>assumed - no rater record</t>
        </is>
      </c>
      <c r="BM322" s="152" t="n">
        <v>1</v>
      </c>
      <c r="BN322" s="152" t="inlineStr">
        <is>
          <t>not publisher-identified</t>
        </is>
      </c>
      <c r="BO322" s="152" t="inlineStr">
        <is>
          <t>not publisher-identified</t>
        </is>
      </c>
      <c r="BP322" s="152" t="inlineStr">
        <is>
          <t>no</t>
        </is>
      </c>
      <c r="BQ322" s="152" t="inlineStr">
        <is>
          <t>yes</t>
        </is>
      </c>
      <c r="BR322" s="152" t="n"/>
      <c r="BS322" s="152" t="inlineStr">
        <is>
          <t>YES</t>
        </is>
      </c>
      <c r="BT322" s="152" t="n"/>
    </row>
    <row r="323" ht="15" customHeight="1" s="241">
      <c r="A323" s="193" t="inlineStr">
        <is>
          <t>UnitedHealth</t>
        </is>
      </c>
      <c r="B323" s="194">
        <f>IF(A323="","",_xlfn.XLOOKUP(A323, Company_List!$A:$A, Company_List!$B:$B, ""))</f>
        <v/>
      </c>
      <c r="C323" s="177" t="n">
        <v>2025</v>
      </c>
      <c r="D323" s="177" t="inlineStr">
        <is>
          <t>Q3</t>
        </is>
      </c>
      <c r="E323" s="178" t="inlineStr">
        <is>
          <t>Financial Statement</t>
        </is>
      </c>
      <c r="F323" s="178" t="inlineStr">
        <is>
          <t>Financial Results</t>
        </is>
      </c>
      <c r="G323" s="177" t="inlineStr">
        <is>
          <t>David</t>
        </is>
      </c>
      <c r="H323" s="177" t="inlineStr">
        <is>
          <t>Human</t>
        </is>
      </c>
      <c r="I323" s="180" t="n">
        <v>-0.55</v>
      </c>
      <c r="J323" s="180">
        <f>IF(OR(I323="",Settings!$B$6=""),"",IF(I323&gt;Settings!$B$6,"BUY",IF(I323&lt;-Settings!$B$6,"SELL","HOLD")))</f>
        <v/>
      </c>
      <c r="K323" s="180" t="n">
        <v>24</v>
      </c>
      <c r="L323" s="182" t="n">
        <v>45958</v>
      </c>
      <c r="M323" s="182" t="n">
        <v>45957</v>
      </c>
      <c r="N323" s="179" t="n">
        <v>365.98</v>
      </c>
      <c r="O323" s="182" t="n">
        <v>45958</v>
      </c>
      <c r="P323" s="180" t="n">
        <v>380.68</v>
      </c>
      <c r="Q323" s="184">
        <f>IF(OR(N323="",P323=""),"",ROUND((P323-N323)/N323,4))</f>
        <v/>
      </c>
      <c r="R323" s="177">
        <f>IF(OR(N323="",P323=""),"",IF(Q323&gt;Settings!$B$3/100,"UP",IF(Q323&lt;-Settings!$B$3/100,"DOWN","FLAT")))</f>
        <v/>
      </c>
      <c r="S323" s="177">
        <f>IF(OR(N323="",P323="",J323=""),"",IF(OR(AND(J323="BUY",R323="UP"),AND(J323="SELL",R323="DOWN"),AND(J323="HOLD",R323="FLAT")),"YES","NO"))</f>
        <v/>
      </c>
      <c r="T323" s="176">
        <f>IF(J323="","",IF(J323="BUY",1,IF(J323="SELL",-1,0)))</f>
        <v/>
      </c>
      <c r="U323" s="184">
        <f>IFERROR(IF(OR(J323="",N323="",P323=""),"",IF(T323=0,0,T323*Q323-Settings!$B$4/10000-IF(T323&lt;0,Settings!$B$5/10000,0))),"")</f>
        <v/>
      </c>
      <c r="V323" s="152" t="n"/>
      <c r="W323" s="176">
        <f>IF($K323="","",$K323*60)</f>
        <v/>
      </c>
      <c r="X323" s="186">
        <f>IF($A323="","",$A323&amp;"|"&amp;$C323&amp;"|"&amp;$D323)</f>
        <v/>
      </c>
      <c r="Y323" s="186">
        <f>IFERROR(IF($X323="","",INDEX(LLM_Data_Entry!$H$3:$H$548,MATCH($X323,INDEX(LLM_Data_Entry!$A$3:$A$548&amp;"|"&amp;LLM_Data_Entry!$C$3:$C$548&amp;"|"&amp;LLM_Data_Entry!$D$3:$D$548,0),0))),"")</f>
        <v/>
      </c>
      <c r="Z323" s="186">
        <f>IFERROR(IF($X323="","",INDEX(LLM_Data_Entry!$R$3:$R$548,MATCH($X323,INDEX(LLM_Data_Entry!$A$3:$A$548&amp;"|"&amp;LLM_Data_Entry!$C$3:$C$548&amp;"|"&amp;LLM_Data_Entry!$D$3:$D$548,0),0))),"")</f>
        <v/>
      </c>
      <c r="AA323" s="152" t="n"/>
      <c r="AB323" s="152" t="inlineStr">
        <is>
          <t>release date + stated time in the document (rater worksheet)</t>
        </is>
      </c>
      <c r="AC323" s="152" t="inlineStr">
        <is>
          <t>UNH</t>
        </is>
      </c>
      <c r="AD323" s="152" t="inlineStr">
        <is>
          <t>2025-10-27</t>
        </is>
      </c>
      <c r="AE323" s="152" t="n">
        <v>358.6828</v>
      </c>
      <c r="AF323" s="152" t="inlineStr">
        <is>
          <t>2025-10-28</t>
        </is>
      </c>
      <c r="AG323" s="152" t="n">
        <v>373.0897</v>
      </c>
      <c r="AH323" s="152" t="n">
        <v>0.04016609929361072</v>
      </c>
      <c r="AI323" s="152" t="inlineStr">
        <is>
          <t>UP</t>
        </is>
      </c>
      <c r="AJ323" s="152" t="inlineStr">
        <is>
          <t>NO</t>
        </is>
      </c>
      <c r="AK323" s="152" t="n">
        <v>-0.041166</v>
      </c>
      <c r="AL323" s="152">
        <f>IF($A323="","",IFERROR(INDEX(Company_List!$G$3:$G$207,MATCH($A323,Company_List!$A$3:$A$207,0)),"unassigned"))</f>
        <v/>
      </c>
      <c r="AM323" s="152" t="inlineStr">
        <is>
          <t>Phase 2/Unitedhealth/2025-Q3/UNH-2025-Q3-quarterly-financial-statements-SEC-10-Q.htm</t>
        </is>
      </c>
      <c r="AN323" s="152" t="inlineStr">
        <is>
          <t>https://www.sec.gov/Archives/edgar/data/731766/000073176625000305/unh-20250930.htm</t>
        </is>
      </c>
      <c r="AO323" s="152" t="inlineStr">
        <is>
          <t>manifest</t>
        </is>
      </c>
      <c r="AP323" s="152">
        <f>IF($A323="","",IF(COUNTIFS(LLM_Data_Entry!$A$3:$A$548,$A323)&gt;0,"YES","NO"))</f>
        <v/>
      </c>
      <c r="AQ323" s="152">
        <f>IF($A323="","",IF(COUNTIFS($A$3:$A323,$A323,$C$3:$C323,$C323,$D$3:$D323,$D323)=1,"YES","NO"))</f>
        <v/>
      </c>
      <c r="AR323" s="152">
        <f>IF($A323="","",IF(AND($C323&amp;"-"&amp;$D323&gt;=Settings!$B$19,$C323&amp;"-"&amp;$D323&lt;=Settings!$B$20),"IN","OUT"))</f>
        <v/>
      </c>
      <c r="AS323" s="152">
        <f>IF($A323="","",IF($F323="Financial Results","financials",IF($F323="Outlook/Guidance","guidance",IF($F323="Transcript Q&amp;A","qanda",IF($F323="","unrecorded",IF($E323="All","full",IF($E323="","unrecorded",LOWER($E323)&amp;" only")))))))</f>
        <v/>
      </c>
      <c r="AT323" s="152">
        <f>IF(AND(OR($J323="BUY",$J323="SELL"),ISNUMBER($U323)),$U323,"")</f>
        <v/>
      </c>
      <c r="AU323" s="152">
        <f>IF(AND(OR($J323="BUY",$J323="SELL"),ISNUMBER($AK323)),$AK323,"")</f>
        <v/>
      </c>
      <c r="AV323" s="152">
        <f>IF(ISNUMBER($AT323),ABS(IF(ISNUMBER($I323),$I323,0)-Settings!$B$24),"")</f>
        <v/>
      </c>
      <c r="AW323" s="152">
        <f>IF(ISNUMBER($AV323),$AV323*$AT323,"")</f>
        <v/>
      </c>
      <c r="AX323" s="152">
        <f>IF(ISNUMBER($AU323),ABS(IF(ISNUMBER($I323),$I323,0)-Settings!$B$24),"")</f>
        <v/>
      </c>
      <c r="AY323" s="152" t="inlineStr">
        <is>
          <t>FROZEN</t>
        </is>
      </c>
      <c r="AZ323" s="152">
        <f>IF($A323="","",IFERROR(INDEX(Company_List!$H$3:$H$207,MATCH($A323,Company_List!$A$3:$A$207,0)),"unassigned"))</f>
        <v/>
      </c>
      <c r="BA323" s="152" t="n"/>
      <c r="BB323" s="152" t="n"/>
      <c r="BC323" s="152">
        <f>IF($A323="","",IF(COUNTIFS($A$3:$A323,$A323,$C$3:$C323,$C323,$D$3:$D323,$D323,$G$3:$G323,$G323)=1,1,0))</f>
        <v/>
      </c>
      <c r="BD323" s="152" t="n"/>
      <c r="BE323" s="152" t="n"/>
      <c r="BF323" s="152" t="n"/>
      <c r="BG323" s="152" t="inlineStr">
        <is>
          <t>no</t>
        </is>
      </c>
      <c r="BH323" s="152" t="n"/>
      <c r="BI323" s="152" t="n"/>
      <c r="BJ323" s="152" t="n"/>
      <c r="BK323" s="152">
        <f>IF(OR($H323&lt;&gt;"Human",$S323="",$J323="",$Y323="",$Z323=""),"",IF(EXACT(UPPER($J323),UPPER($Y323)),1,0))</f>
        <v/>
      </c>
      <c r="BL323" s="152" t="inlineStr">
        <is>
          <t>assumed - no rater record</t>
        </is>
      </c>
      <c r="BM323" s="152" t="n">
        <v>1</v>
      </c>
      <c r="BN323" s="152" t="inlineStr">
        <is>
          <t>not publisher-identified</t>
        </is>
      </c>
      <c r="BO323" s="152" t="inlineStr">
        <is>
          <t>not publisher-identified</t>
        </is>
      </c>
      <c r="BP323" s="152" t="inlineStr">
        <is>
          <t>sole source</t>
        </is>
      </c>
      <c r="BQ323" s="152" t="inlineStr">
        <is>
          <t>yes</t>
        </is>
      </c>
      <c r="BR323" s="152" t="n"/>
      <c r="BS323" s="152" t="inlineStr">
        <is>
          <t>YES</t>
        </is>
      </c>
      <c r="BT323" s="152" t="n"/>
    </row>
    <row r="324" ht="15" customHeight="1" s="241">
      <c r="A324" s="193" t="inlineStr">
        <is>
          <t>UnitedHealth</t>
        </is>
      </c>
      <c r="B324" s="194">
        <f>IF(A324="","",_xlfn.XLOOKUP(A324, Company_List!$A:$A, Company_List!$B:$B, ""))</f>
        <v/>
      </c>
      <c r="C324" s="177" t="n">
        <v>2025</v>
      </c>
      <c r="D324" s="177" t="inlineStr">
        <is>
          <t>Q4</t>
        </is>
      </c>
      <c r="E324" s="178" t="inlineStr">
        <is>
          <t>Transcript</t>
        </is>
      </c>
      <c r="F324" s="178" t="inlineStr">
        <is>
          <t>Outlook/Guidance</t>
        </is>
      </c>
      <c r="G324" s="177" t="inlineStr">
        <is>
          <t>David</t>
        </is>
      </c>
      <c r="H324" s="177" t="inlineStr">
        <is>
          <t>Human</t>
        </is>
      </c>
      <c r="I324" s="180" t="n">
        <v>0.5</v>
      </c>
      <c r="J324" s="180">
        <f>IF(OR(I324="",Settings!$B$6=""),"",IF(I324&gt;Settings!$B$6,"BUY",IF(I324&lt;-Settings!$B$6,"SELL","HOLD")))</f>
        <v/>
      </c>
      <c r="K324" s="180" t="n">
        <v>29</v>
      </c>
      <c r="L324" s="182" t="n">
        <v>46049</v>
      </c>
      <c r="M324" s="182" t="n">
        <v>46048</v>
      </c>
      <c r="N324" s="179" t="n">
        <v>351.64</v>
      </c>
      <c r="O324" s="182" t="n">
        <v>46049</v>
      </c>
      <c r="P324" s="180" t="n">
        <v>293.97</v>
      </c>
      <c r="Q324" s="184">
        <f>IF(OR(N324="",P324=""),"",ROUND((P324-N324)/N324,4))</f>
        <v/>
      </c>
      <c r="R324" s="177">
        <f>IF(OR(N324="",P324=""),"",IF(Q324&gt;Settings!$B$3/100,"UP",IF(Q324&lt;-Settings!$B$3/100,"DOWN","FLAT")))</f>
        <v/>
      </c>
      <c r="S324" s="177">
        <f>IF(OR(N324="",P324="",J324=""),"",IF(OR(AND(J324="BUY",R324="UP"),AND(J324="SELL",R324="DOWN"),AND(J324="HOLD",R324="FLAT")),"YES","NO"))</f>
        <v/>
      </c>
      <c r="T324" s="176">
        <f>IF(J324="","",IF(J324="BUY",1,IF(J324="SELL",-1,0)))</f>
        <v/>
      </c>
      <c r="U324" s="184">
        <f>IFERROR(IF(OR(J324="",N324="",P324=""),"",IF(T324=0,0,T324*Q324-Settings!$B$4/10000-IF(T324&lt;0,Settings!$B$5/10000,0))),"")</f>
        <v/>
      </c>
      <c r="V324" s="152" t="n"/>
      <c r="W324" s="176">
        <f>IF($K324="","",$K324*60)</f>
        <v/>
      </c>
      <c r="X324" s="186">
        <f>IF($A324="","",$A324&amp;"|"&amp;$C324&amp;"|"&amp;$D324)</f>
        <v/>
      </c>
      <c r="Y324" s="186">
        <f>IFERROR(IF($X324="","",INDEX(LLM_Data_Entry!$H$3:$H$548,MATCH($X324,INDEX(LLM_Data_Entry!$A$3:$A$548&amp;"|"&amp;LLM_Data_Entry!$C$3:$C$548&amp;"|"&amp;LLM_Data_Entry!$D$3:$D$548,0),0))),"")</f>
        <v/>
      </c>
      <c r="Z324" s="186">
        <f>IFERROR(IF($X324="","",INDEX(LLM_Data_Entry!$R$3:$R$548,MATCH($X324,INDEX(LLM_Data_Entry!$A$3:$A$548&amp;"|"&amp;LLM_Data_Entry!$C$3:$C$548&amp;"|"&amp;LLM_Data_Entry!$D$3:$D$548,0),0))),"")</f>
        <v/>
      </c>
      <c r="AA324" s="152" t="n"/>
      <c r="AB324" s="152" t="inlineStr">
        <is>
          <t>price signal — only this window shows an abnormal move</t>
        </is>
      </c>
      <c r="AC324" s="152" t="inlineStr">
        <is>
          <t>UNH</t>
        </is>
      </c>
      <c r="AD324" s="152" t="inlineStr">
        <is>
          <t>2026-01-26</t>
        </is>
      </c>
      <c r="AE324" s="152" t="n">
        <v>346.9458</v>
      </c>
      <c r="AF324" s="152" t="inlineStr">
        <is>
          <t>2026-01-27</t>
        </is>
      </c>
      <c r="AG324" s="152" t="n">
        <v>290.0456</v>
      </c>
      <c r="AH324" s="152" t="n">
        <v>-0.1640029927523373</v>
      </c>
      <c r="AI324" s="152" t="inlineStr">
        <is>
          <t>DOWN</t>
        </is>
      </c>
      <c r="AJ324" s="152" t="inlineStr">
        <is>
          <t>NO</t>
        </is>
      </c>
      <c r="AK324" s="152" t="n">
        <v>-0.165003</v>
      </c>
      <c r="AL324" s="152">
        <f>IF($A324="","",IFERROR(INDEX(Company_List!$G$3:$G$207,MATCH($A324,Company_List!$A$3:$A$207,0)),"unassigned"))</f>
        <v/>
      </c>
      <c r="AM324" s="152" t="inlineStr">
        <is>
          <t>Phase 2/Unitedhealth/2025-Q4/UNH-2025-Q4-earnings-call-transcript-unitedhealthgroup-com.pdf</t>
        </is>
      </c>
      <c r="AN324" s="152" t="inlineStr">
        <is>
          <t>https://www.unitedhealthgroup.com/content/dam/UHG/PDF/investors/2025/unh-q4-2025-remarks.pdf</t>
        </is>
      </c>
      <c r="AO324" s="152" t="inlineStr">
        <is>
          <t>manifest</t>
        </is>
      </c>
      <c r="AP324" s="152">
        <f>IF($A324="","",IF(COUNTIFS(LLM_Data_Entry!$A$3:$A$548,$A324)&gt;0,"YES","NO"))</f>
        <v/>
      </c>
      <c r="AQ324" s="152">
        <f>IF($A324="","",IF(COUNTIFS($A$3:$A324,$A324,$C$3:$C324,$C324,$D$3:$D324,$D324)=1,"YES","NO"))</f>
        <v/>
      </c>
      <c r="AR324" s="152">
        <f>IF($A324="","",IF(AND($C324&amp;"-"&amp;$D324&gt;=Settings!$B$19,$C324&amp;"-"&amp;$D324&lt;=Settings!$B$20),"IN","OUT"))</f>
        <v/>
      </c>
      <c r="AS324" s="152">
        <f>IF($A324="","",IF($F324="Financial Results","financials",IF($F324="Outlook/Guidance","guidance",IF($F324="Transcript Q&amp;A","qanda",IF($F324="","unrecorded",IF($E324="All","full",IF($E324="","unrecorded",LOWER($E324)&amp;" only")))))))</f>
        <v/>
      </c>
      <c r="AT324" s="152">
        <f>IF(AND(OR($J324="BUY",$J324="SELL"),ISNUMBER($U324)),$U324,"")</f>
        <v/>
      </c>
      <c r="AU324" s="152">
        <f>IF(AND(OR($J324="BUY",$J324="SELL"),ISNUMBER($AK324)),$AK324,"")</f>
        <v/>
      </c>
      <c r="AV324" s="152">
        <f>IF(ISNUMBER($AT324),ABS(IF(ISNUMBER($I324),$I324,0)-Settings!$B$24),"")</f>
        <v/>
      </c>
      <c r="AW324" s="152">
        <f>IF(ISNUMBER($AV324),$AV324*$AT324,"")</f>
        <v/>
      </c>
      <c r="AX324" s="152">
        <f>IF(ISNUMBER($AU324),ABS(IF(ISNUMBER($I324),$I324,0)-Settings!$B$24),"")</f>
        <v/>
      </c>
      <c r="AY324" s="152" t="inlineStr">
        <is>
          <t>FROZEN</t>
        </is>
      </c>
      <c r="AZ324" s="152">
        <f>IF($A324="","",IFERROR(INDEX(Company_List!$H$3:$H$207,MATCH($A324,Company_List!$A$3:$A$207,0)),"unassigned"))</f>
        <v/>
      </c>
      <c r="BA324" s="152" t="n"/>
      <c r="BB324" s="152" t="n"/>
      <c r="BC324" s="152">
        <f>IF($A324="","",IF(COUNTIFS($A$3:$A324,$A324,$C$3:$C324,$C324,$D$3:$D324,$D324,$G$3:$G324,$G324)=1,1,0))</f>
        <v/>
      </c>
      <c r="BD324" s="152" t="n"/>
      <c r="BE324" s="152" t="n"/>
      <c r="BF324" s="152" t="n"/>
      <c r="BG324" s="152" t="inlineStr">
        <is>
          <t>no</t>
        </is>
      </c>
      <c r="BH324" s="152" t="n"/>
      <c r="BI324" s="152" t="n"/>
      <c r="BJ324" s="152" t="n"/>
      <c r="BK324" s="152">
        <f>IF(OR($H324&lt;&gt;"Human",$S324="",$J324="",$Y324="",$Z324=""),"",IF(EXACT(UPPER($J324),UPPER($Y324)),1,0))</f>
        <v/>
      </c>
      <c r="BL324" s="152" t="inlineStr">
        <is>
          <t>assumed - no rater record</t>
        </is>
      </c>
      <c r="BM324" s="152" t="n">
        <v>1</v>
      </c>
      <c r="BN324" s="152" t="inlineStr">
        <is>
          <t>not publisher-identified</t>
        </is>
      </c>
      <c r="BO324" s="152" t="inlineStr">
        <is>
          <t>not publisher-identified</t>
        </is>
      </c>
      <c r="BP324" s="152" t="inlineStr">
        <is>
          <t>no</t>
        </is>
      </c>
      <c r="BQ324" s="152" t="inlineStr">
        <is>
          <t>yes</t>
        </is>
      </c>
      <c r="BR324" s="152" t="n"/>
      <c r="BS324" s="152" t="inlineStr">
        <is>
          <t>YES</t>
        </is>
      </c>
      <c r="BT324" s="152" t="n"/>
    </row>
    <row r="325" ht="15" customHeight="1" s="241">
      <c r="A325" s="193" t="inlineStr">
        <is>
          <t>Freeport-McMoRan</t>
        </is>
      </c>
      <c r="B325" s="194">
        <f>IF(A325="","",_xlfn.XLOOKUP(A325, Company_List!$A:$A, Company_List!$B:$B, ""))</f>
        <v/>
      </c>
      <c r="C325" s="177" t="n">
        <v>2025</v>
      </c>
      <c r="D325" s="177" t="inlineStr">
        <is>
          <t>Q2</t>
        </is>
      </c>
      <c r="E325" s="178" t="inlineStr">
        <is>
          <t>Transcript</t>
        </is>
      </c>
      <c r="F325" s="178" t="inlineStr">
        <is>
          <t>All</t>
        </is>
      </c>
      <c r="G325" s="177" t="inlineStr">
        <is>
          <t>Dragos</t>
        </is>
      </c>
      <c r="H325" s="177" t="inlineStr">
        <is>
          <t>Human</t>
        </is>
      </c>
      <c r="I325" s="180" t="n">
        <v>0.5</v>
      </c>
      <c r="J325" s="180">
        <f>IF(OR(I325="",Settings!$B$6=""),"",IF(I325&gt;Settings!$B$6,"BUY",IF(I325&lt;-Settings!$B$6,"SELL","HOLD")))</f>
        <v/>
      </c>
      <c r="K325" s="180" t="n">
        <v>40</v>
      </c>
      <c r="L325" s="182" t="n">
        <v>45861</v>
      </c>
      <c r="M325" s="182" t="n">
        <v>45860</v>
      </c>
      <c r="N325" s="179" t="n">
        <v>45.3129</v>
      </c>
      <c r="O325" s="182" t="n">
        <v>45861</v>
      </c>
      <c r="P325" s="180" t="n">
        <v>44.185</v>
      </c>
      <c r="Q325" s="184">
        <f>IF(OR(N325="",P325=""),"",ROUND((P325-N325)/N325,4))</f>
        <v/>
      </c>
      <c r="R325" s="177">
        <f>IF(OR(N325="",P325=""),"",IF(Q325&gt;Settings!$B$3/100,"UP",IF(Q325&lt;-Settings!$B$3/100,"DOWN","FLAT")))</f>
        <v/>
      </c>
      <c r="S325" s="177">
        <f>IF(OR(N325="",P325="",J325=""),"",IF(OR(AND(J325="BUY",R325="UP"),AND(J325="SELL",R325="DOWN"),AND(J325="HOLD",R325="FLAT")),"YES","NO"))</f>
        <v/>
      </c>
      <c r="T325" s="176">
        <f>IF(J325="","",IF(J325="BUY",1,IF(J325="SELL",-1,0)))</f>
        <v/>
      </c>
      <c r="U325" s="184">
        <f>IFERROR(IF(OR(J325="",N325="",P325=""),"",IF(T325=0,0,T325*Q325-Settings!$B$4/10000-IF(T325&lt;0,Settings!$B$5/10000,0))),"")</f>
        <v/>
      </c>
      <c r="V325" s="152" t="inlineStr">
        <is>
          <t>guidance +0.3 in 15 min, then full document +0.5 in 25 min (+0.2). Full document adds the hard numbers behind the section - COMEX prices up more than 40% year to date; Achieving our targeted run rate to 300 million pounds per annum will benefit; second half of the year are nearly 10% higher than the first half. Against that: resulted in an approximate 15% reduction in expected 2025. 7 forward claims flagged hypothetical (El Abra) and discounted, but the concrete numbers carry it.</t>
        </is>
      </c>
      <c r="W325" s="176">
        <f>IF($K325="","",$K325*60)</f>
        <v/>
      </c>
      <c r="X325" s="186">
        <f>IF($A325="","",$A325&amp;"|"&amp;$C325&amp;"|"&amp;$D325)</f>
        <v/>
      </c>
      <c r="Y325" s="186">
        <f>IFERROR(IF($X325="","",INDEX(LLM_Data_Entry!$H$3:$H$548,MATCH($X325,INDEX(LLM_Data_Entry!$A$3:$A$548&amp;"|"&amp;LLM_Data_Entry!$C$3:$C$548&amp;"|"&amp;LLM_Data_Entry!$D$3:$D$548,0),0))),"")</f>
        <v/>
      </c>
      <c r="Z325" s="186">
        <f>IFERROR(IF($X325="","",INDEX(LLM_Data_Entry!$R$3:$R$548,MATCH($X325,INDEX(LLM_Data_Entry!$A$3:$A$548&amp;"|"&amp;LLM_Data_Entry!$C$3:$C$548&amp;"|"&amp;LLM_Data_Entry!$D$3:$D$548,0),0))),"")</f>
        <v/>
      </c>
      <c r="AA325" s="152" t="n"/>
      <c r="AB325" s="152" t="inlineStr">
        <is>
          <t>price signal — only this window shows an abnormal move</t>
        </is>
      </c>
      <c r="AC325" s="152" t="inlineStr">
        <is>
          <t>FCX</t>
        </is>
      </c>
      <c r="AD325" s="152" t="inlineStr">
        <is>
          <t>2025-07-22</t>
        </is>
      </c>
      <c r="AE325" s="152" t="n">
        <v>45.3129</v>
      </c>
      <c r="AF325" s="152" t="inlineStr">
        <is>
          <t>2025-07-23</t>
        </is>
      </c>
      <c r="AG325" s="152" t="n">
        <v>44.185</v>
      </c>
      <c r="AH325" s="152" t="n">
        <v>-0.0248908374881723</v>
      </c>
      <c r="AI325" s="152" t="inlineStr">
        <is>
          <t>DOWN</t>
        </is>
      </c>
      <c r="AJ325" s="152" t="inlineStr">
        <is>
          <t>NO</t>
        </is>
      </c>
      <c r="AK325" s="152" t="n">
        <v>-0.025891</v>
      </c>
      <c r="AL325" s="152">
        <f>IF($A325="","",IFERROR(INDEX(Company_List!$G$3:$G$207,MATCH($A325,Company_List!$A$3:$A$207,0)),"unassigned"))</f>
        <v/>
      </c>
      <c r="AM325" s="152" t="inlineStr">
        <is>
          <t>Phase 3/Readings/Freeport-McMoRan/2025-Q2/FCX-2025-Q2-earnings-call-transcript-fool-com.html</t>
        </is>
      </c>
      <c r="AN325" s="152" t="inlineStr">
        <is>
          <t>https://www.fool.com/earnings/call-transcripts/2025/07/23/freeport-fcx-q2-2025-earnings-call-transcript/</t>
        </is>
      </c>
      <c r="AO325" s="152" t="inlineStr">
        <is>
          <t>manifest</t>
        </is>
      </c>
      <c r="AP325" s="152">
        <f>IF($A325="","",IF(COUNTIFS(LLM_Data_Entry!$A$3:$A$548,$A325)&gt;0,"YES","NO"))</f>
        <v/>
      </c>
      <c r="AQ325" s="152">
        <f>IF($A325="","",IF(COUNTIFS($A$3:$A325,$A325,$C$3:$C325,$C325,$D$3:$D325,$D325)=1,"YES","NO"))</f>
        <v/>
      </c>
      <c r="AR325" s="152">
        <f>IF($A325="","",IF(AND($C325&amp;"-"&amp;$D325&gt;=Settings!$B$19,$C325&amp;"-"&amp;$D325&lt;=Settings!$B$20),"IN","OUT"))</f>
        <v/>
      </c>
      <c r="AS325" s="152">
        <f>IF($A325="","",IF($F325="Financial Results","financials",IF($F325="Outlook/Guidance","guidance",IF($F325="Transcript Q&amp;A","qanda",IF($F325="","unrecorded",IF($E325="All","full",IF($E325="","unrecorded",LOWER($E325)&amp;" only")))))))</f>
        <v/>
      </c>
      <c r="AT325" s="152">
        <f>IF(AND(OR($J325="BUY",$J325="SELL"),ISNUMBER($U325)),$U325,"")</f>
        <v/>
      </c>
      <c r="AU325" s="152">
        <f>IF(AND(OR($J325="BUY",$J325="SELL"),ISNUMBER($AK325)),$AK325,"")</f>
        <v/>
      </c>
      <c r="AV325" s="152">
        <f>IF(ISNUMBER($AT325),ABS(IF(ISNUMBER($I325),$I325,0)-Settings!$B$24),"")</f>
        <v/>
      </c>
      <c r="AW325" s="152">
        <f>IF(ISNUMBER($AV325),$AV325*$AT325,"")</f>
        <v/>
      </c>
      <c r="AX325" s="152">
        <f>IF(ISNUMBER($AU325),ABS(IF(ISNUMBER($I325),$I325,0)-Settings!$B$24),"")</f>
        <v/>
      </c>
      <c r="AY325" s="152" t="inlineStr">
        <is>
          <t>EXTENSION</t>
        </is>
      </c>
      <c r="AZ325" s="152">
        <f>IF($A325="","",IFERROR(INDEX(Company_List!$H$3:$H$207,MATCH($A325,Company_List!$A$3:$A$207,0)),"unassigned"))</f>
        <v/>
      </c>
      <c r="BA325" s="152" t="n">
        <v>2</v>
      </c>
      <c r="BB325" s="152" t="n">
        <v>2</v>
      </c>
      <c r="BC325" s="152">
        <f>IF($A325="","",IF(COUNTIFS($A$3:$A325,$A325,$C$3:$C325,$C325,$D$3:$D325,$D325,$G$3:$G325,$G325)=1,1,0))</f>
        <v/>
      </c>
      <c r="BD325" s="152" t="n">
        <v>15</v>
      </c>
      <c r="BE325" s="152" t="n">
        <v>25</v>
      </c>
      <c r="BF325" s="152" t="n">
        <v>0.3</v>
      </c>
      <c r="BG325" s="152" t="inlineStr">
        <is>
          <t>no</t>
        </is>
      </c>
      <c r="BH325" s="152" t="n"/>
      <c r="BI325" s="152" t="n"/>
      <c r="BJ325" s="152" t="inlineStr">
        <is>
          <t>Dragos - Phase 3 scoring_rows.csv</t>
        </is>
      </c>
      <c r="BK325" s="152">
        <f>IF(OR($H325&lt;&gt;"Human",$S325="",$J325="",$Y325="",$Z325=""),"",IF(EXACT(UPPER($J325),UPPER($Y325)),1,0))</f>
        <v/>
      </c>
      <c r="BL325" s="152" t="inlineStr">
        <is>
          <t>attested - rater record</t>
        </is>
      </c>
      <c r="BM325" s="152" t="n">
        <v>1</v>
      </c>
      <c r="BN325" s="152" t="inlineStr">
        <is>
          <t>The Motley Fool</t>
        </is>
      </c>
      <c r="BO325" s="152" t="inlineStr">
        <is>
          <t>free to read, copyright asserted</t>
        </is>
      </c>
      <c r="BP325" s="152" t="inlineStr">
        <is>
          <t>no</t>
        </is>
      </c>
      <c r="BQ325" s="152" t="inlineStr">
        <is>
          <t>yes</t>
        </is>
      </c>
      <c r="BR325" s="152" t="n"/>
      <c r="BS325" s="152" t="inlineStr">
        <is>
          <t>YES</t>
        </is>
      </c>
      <c r="BT325" s="152" t="n"/>
    </row>
    <row r="326" ht="15" customHeight="1" s="241">
      <c r="A326" s="193" t="inlineStr">
        <is>
          <t>Union Pacific</t>
        </is>
      </c>
      <c r="B326" s="194">
        <f>IF(A326="","",_xlfn.XLOOKUP(A326, Company_List!$A:$A, Company_List!$B:$B, ""))</f>
        <v/>
      </c>
      <c r="C326" s="177" t="n">
        <v>2025</v>
      </c>
      <c r="D326" s="177" t="inlineStr">
        <is>
          <t>Q2</t>
        </is>
      </c>
      <c r="E326" s="178" t="inlineStr">
        <is>
          <t>Transcript</t>
        </is>
      </c>
      <c r="F326" s="178" t="inlineStr">
        <is>
          <t>All</t>
        </is>
      </c>
      <c r="G326" s="177" t="inlineStr">
        <is>
          <t>Dragos</t>
        </is>
      </c>
      <c r="H326" s="177" t="inlineStr">
        <is>
          <t>Human</t>
        </is>
      </c>
      <c r="I326" s="180" t="n">
        <v>0.6</v>
      </c>
      <c r="J326" s="180">
        <f>IF(OR(I326="",Settings!$B$6=""),"",IF(I326&gt;Settings!$B$6,"BUY",IF(I326&lt;-Settings!$B$6,"SELL","HOLD")))</f>
        <v/>
      </c>
      <c r="K326" s="180" t="n">
        <v>41</v>
      </c>
      <c r="L326" s="182" t="n">
        <v>45862</v>
      </c>
      <c r="M326" s="182" t="n">
        <v>45861</v>
      </c>
      <c r="N326" s="179" t="n">
        <v>225.8712</v>
      </c>
      <c r="O326" s="182" t="n">
        <v>45862</v>
      </c>
      <c r="P326" s="180" t="n">
        <v>220.9822</v>
      </c>
      <c r="Q326" s="184">
        <f>IF(OR(N326="",P326=""),"",ROUND((P326-N326)/N326,4))</f>
        <v/>
      </c>
      <c r="R326" s="177">
        <f>IF(OR(N326="",P326=""),"",IF(Q326&gt;Settings!$B$3/100,"UP",IF(Q326&lt;-Settings!$B$3/100,"DOWN","FLAT")))</f>
        <v/>
      </c>
      <c r="S326" s="177">
        <f>IF(OR(N326="",P326="",J326=""),"",IF(OR(AND(J326="BUY",R326="UP"),AND(J326="SELL",R326="DOWN"),AND(J326="HOLD",R326="FLAT")),"YES","NO"))</f>
        <v/>
      </c>
      <c r="T326" s="176">
        <f>IF(J326="","",IF(J326="BUY",1,IF(J326="SELL",-1,0)))</f>
        <v/>
      </c>
      <c r="U326" s="184">
        <f>IFERROR(IF(OR(J326="",N326="",P326=""),"",IF(T326=0,0,T326*Q326-Settings!$B$4/10000-IF(T326&lt;0,Settings!$B$5/10000,0))),"")</f>
        <v/>
      </c>
      <c r="V326" s="152" t="inlineStr">
        <is>
          <t>guidance +0.7 in 18 min, then full document +0.6 in 23 min (-0.1). Full document adds the hard numbers behind the section - second quarter cash from operations totaled $4.5 billion, up more than $500 million; adjusted second quarter operating ratio was 58.1%, improving 230 basis points; manifest service performance improved year- over-year to 99% and 97%, respectively. Against that: Fuel expense declined 8% on an 11% decrease. 6 forward claims flagged hypothetical and discounted, but the concrete numbers carry it.</t>
        </is>
      </c>
      <c r="W326" s="176">
        <f>IF($K326="","",$K326*60)</f>
        <v/>
      </c>
      <c r="X326" s="186">
        <f>IF($A326="","",$A326&amp;"|"&amp;$C326&amp;"|"&amp;$D326)</f>
        <v/>
      </c>
      <c r="Y326" s="186">
        <f>IFERROR(IF($X326="","",INDEX(LLM_Data_Entry!$H$3:$H$548,MATCH($X326,INDEX(LLM_Data_Entry!$A$3:$A$548&amp;"|"&amp;LLM_Data_Entry!$C$3:$C$548&amp;"|"&amp;LLM_Data_Entry!$D$3:$D$548,0),0))),"")</f>
        <v/>
      </c>
      <c r="Z326" s="186">
        <f>IFERROR(IF($X326="","",INDEX(LLM_Data_Entry!$R$3:$R$548,MATCH($X326,INDEX(LLM_Data_Entry!$A$3:$A$548&amp;"|"&amp;LLM_Data_Entry!$C$3:$C$548&amp;"|"&amp;LLM_Data_Entry!$D$3:$D$548,0),0))),"")</f>
        <v/>
      </c>
      <c r="AA326" s="152" t="n"/>
      <c r="AB326" s="152" t="inlineStr">
        <is>
          <t>price signal — both moved; this one dominates</t>
        </is>
      </c>
      <c r="AC326" s="152" t="inlineStr">
        <is>
          <t>UNP</t>
        </is>
      </c>
      <c r="AD326" s="152" t="inlineStr">
        <is>
          <t>2025-07-23</t>
        </is>
      </c>
      <c r="AE326" s="152" t="n">
        <v>225.8712</v>
      </c>
      <c r="AF326" s="152" t="inlineStr">
        <is>
          <t>2025-07-24</t>
        </is>
      </c>
      <c r="AG326" s="152" t="n">
        <v>220.9822</v>
      </c>
      <c r="AH326" s="152" t="n">
        <v>-0.02164502039981029</v>
      </c>
      <c r="AI326" s="152" t="inlineStr">
        <is>
          <t>DOWN</t>
        </is>
      </c>
      <c r="AJ326" s="152" t="inlineStr">
        <is>
          <t>NO</t>
        </is>
      </c>
      <c r="AK326" s="152" t="n">
        <v>-0.022645</v>
      </c>
      <c r="AL326" s="152">
        <f>IF($A326="","",IFERROR(INDEX(Company_List!$G$3:$G$207,MATCH($A326,Company_List!$A$3:$A$207,0)),"unassigned"))</f>
        <v/>
      </c>
      <c r="AM326" s="152" t="inlineStr">
        <is>
          <t>Phase 3/Readings/Union Pacific/2025-Q2/UNP-2025-Q2-earnings-call-transcript-fool-com.html</t>
        </is>
      </c>
      <c r="AN326" s="152" t="inlineStr">
        <is>
          <t>https://www.fool.com/earnings/call-transcripts/2026/01/26/union-pacific-unp-q2-2025-earnings-transcript/</t>
        </is>
      </c>
      <c r="AO326" s="152" t="inlineStr">
        <is>
          <t>manifest</t>
        </is>
      </c>
      <c r="AP326" s="152">
        <f>IF($A326="","",IF(COUNTIFS(LLM_Data_Entry!$A$3:$A$548,$A326)&gt;0,"YES","NO"))</f>
        <v/>
      </c>
      <c r="AQ326" s="152">
        <f>IF($A326="","",IF(COUNTIFS($A$3:$A326,$A326,$C$3:$C326,$C326,$D$3:$D326,$D326)=1,"YES","NO"))</f>
        <v/>
      </c>
      <c r="AR326" s="152">
        <f>IF($A326="","",IF(AND($C326&amp;"-"&amp;$D326&gt;=Settings!$B$19,$C326&amp;"-"&amp;$D326&lt;=Settings!$B$20),"IN","OUT"))</f>
        <v/>
      </c>
      <c r="AS326" s="152">
        <f>IF($A326="","",IF($F326="Financial Results","financials",IF($F326="Outlook/Guidance","guidance",IF($F326="Transcript Q&amp;A","qanda",IF($F326="","unrecorded",IF($E326="All","full",IF($E326="","unrecorded",LOWER($E326)&amp;" only")))))))</f>
        <v/>
      </c>
      <c r="AT326" s="152">
        <f>IF(AND(OR($J326="BUY",$J326="SELL"),ISNUMBER($U326)),$U326,"")</f>
        <v/>
      </c>
      <c r="AU326" s="152">
        <f>IF(AND(OR($J326="BUY",$J326="SELL"),ISNUMBER($AK326)),$AK326,"")</f>
        <v/>
      </c>
      <c r="AV326" s="152">
        <f>IF(ISNUMBER($AT326),ABS(IF(ISNUMBER($I326),$I326,0)-Settings!$B$24),"")</f>
        <v/>
      </c>
      <c r="AW326" s="152">
        <f>IF(ISNUMBER($AV326),$AV326*$AT326,"")</f>
        <v/>
      </c>
      <c r="AX326" s="152">
        <f>IF(ISNUMBER($AU326),ABS(IF(ISNUMBER($I326),$I326,0)-Settings!$B$24),"")</f>
        <v/>
      </c>
      <c r="AY326" s="152" t="inlineStr">
        <is>
          <t>EXTENSION</t>
        </is>
      </c>
      <c r="AZ326" s="152">
        <f>IF($A326="","",IFERROR(INDEX(Company_List!$H$3:$H$207,MATCH($A326,Company_List!$A$3:$A$207,0)),"unassigned"))</f>
        <v/>
      </c>
      <c r="BA326" s="152" t="n">
        <v>2</v>
      </c>
      <c r="BB326" s="152" t="n">
        <v>2</v>
      </c>
      <c r="BC326" s="152">
        <f>IF($A326="","",IF(COUNTIFS($A$3:$A326,$A326,$C$3:$C326,$C326,$D$3:$D326,$D326,$G$3:$G326,$G326)=1,1,0))</f>
        <v/>
      </c>
      <c r="BD326" s="152" t="n">
        <v>18</v>
      </c>
      <c r="BE326" s="152" t="n">
        <v>23</v>
      </c>
      <c r="BF326" s="152" t="n">
        <v>0.7</v>
      </c>
      <c r="BG326" s="152" t="inlineStr">
        <is>
          <t>no</t>
        </is>
      </c>
      <c r="BH326" s="152" t="n"/>
      <c r="BI326" s="152" t="n"/>
      <c r="BJ326" s="152" t="inlineStr">
        <is>
          <t>Dragos - Phase 3 scoring_rows.csv</t>
        </is>
      </c>
      <c r="BK326" s="152">
        <f>IF(OR($H326&lt;&gt;"Human",$S326="",$J326="",$Y326="",$Z326=""),"",IF(EXACT(UPPER($J326),UPPER($Y326)),1,0))</f>
        <v/>
      </c>
      <c r="BL326" s="152" t="inlineStr">
        <is>
          <t>attested - rater record</t>
        </is>
      </c>
      <c r="BM326" s="152" t="n">
        <v>1</v>
      </c>
      <c r="BN326" s="152" t="inlineStr">
        <is>
          <t>The Motley Fool</t>
        </is>
      </c>
      <c r="BO326" s="152" t="inlineStr">
        <is>
          <t>free to read, copyright asserted</t>
        </is>
      </c>
      <c r="BP326" s="152" t="inlineStr">
        <is>
          <t>no</t>
        </is>
      </c>
      <c r="BQ326" s="152" t="inlineStr">
        <is>
          <t>yes</t>
        </is>
      </c>
      <c r="BR326" s="152" t="n"/>
      <c r="BS326" s="152" t="inlineStr">
        <is>
          <t>YES</t>
        </is>
      </c>
      <c r="BT326" s="152" t="n"/>
    </row>
    <row r="327" ht="15" customHeight="1" s="241">
      <c r="A327" s="193" t="inlineStr">
        <is>
          <t>UnitedHealth</t>
        </is>
      </c>
      <c r="B327" s="194">
        <f>IF(A327="","",_xlfn.XLOOKUP(A327, Company_List!$A:$A, Company_List!$B:$B, ""))</f>
        <v/>
      </c>
      <c r="C327" s="177" t="n">
        <v>2025</v>
      </c>
      <c r="D327" s="177" t="inlineStr">
        <is>
          <t>Q2</t>
        </is>
      </c>
      <c r="E327" s="178" t="inlineStr">
        <is>
          <t>Transcript</t>
        </is>
      </c>
      <c r="F327" s="178" t="inlineStr">
        <is>
          <t>All</t>
        </is>
      </c>
      <c r="G327" s="177" t="inlineStr">
        <is>
          <t>Dragos</t>
        </is>
      </c>
      <c r="H327" s="177" t="inlineStr">
        <is>
          <t>Human</t>
        </is>
      </c>
      <c r="I327" s="180" t="n">
        <v>-0.3</v>
      </c>
      <c r="J327" s="180">
        <f>IF(OR(I327="",Settings!$B$6=""),"",IF(I327&gt;Settings!$B$6,"BUY",IF(I327&lt;-Settings!$B$6,"SELL","HOLD")))</f>
        <v/>
      </c>
      <c r="K327" s="180" t="n">
        <v>36</v>
      </c>
      <c r="L327" s="182" t="n">
        <v>45867</v>
      </c>
      <c r="M327" s="182" t="n">
        <v>45866</v>
      </c>
      <c r="N327" s="179" t="n">
        <v>282.12</v>
      </c>
      <c r="O327" s="182" t="n">
        <v>45867</v>
      </c>
      <c r="P327" s="180" t="n">
        <v>265.7</v>
      </c>
      <c r="Q327" s="184">
        <f>IF(OR(N327="",P327=""),"",ROUND((P327-N327)/N327,4))</f>
        <v/>
      </c>
      <c r="R327" s="177">
        <f>IF(OR(N327="",P327=""),"",IF(Q327&gt;Settings!$B$3/100,"UP",IF(Q327&lt;-Settings!$B$3/100,"DOWN","FLAT")))</f>
        <v/>
      </c>
      <c r="S327" s="177">
        <f>IF(OR(N327="",P327="",J327=""),"",IF(OR(AND(J327="BUY",R327="UP"),AND(J327="SELL",R327="DOWN"),AND(J327="HOLD",R327="FLAT")),"YES","NO"))</f>
        <v/>
      </c>
      <c r="T327" s="176">
        <f>IF(J327="","",IF(J327="BUY",1,IF(J327="SELL",-1,0)))</f>
        <v/>
      </c>
      <c r="U327" s="184">
        <f>IFERROR(IF(OR(J327="",N327="",P327=""),"",IF(T327=0,0,T327*Q327-Settings!$B$4/10000-IF(T327&lt;0,Settings!$B$5/10000,0))),"")</f>
        <v/>
      </c>
      <c r="V327" s="152" t="inlineStr">
        <is>
          <t>guidance -0.4 in 16 min, then full document -0.3 in 20 min (+0.1). Full document negative on balance - Adjusted earnings per share of $4.08 was below the same period; end of the second quarter was $32.1 billion; actions from our plan is roughly a $150 million headwind. Against that: expect revenue growth of $18 billion or thirteen percent. 5 hypothetical claims discounted; they do not offset the concrete negatives.</t>
        </is>
      </c>
      <c r="W327" s="176">
        <f>IF($K327="","",$K327*60)</f>
        <v/>
      </c>
      <c r="X327" s="186">
        <f>IF($A327="","",$A327&amp;"|"&amp;$C327&amp;"|"&amp;$D327)</f>
        <v/>
      </c>
      <c r="Y327" s="186">
        <f>IFERROR(IF($X327="","",INDEX(LLM_Data_Entry!$H$3:$H$548,MATCH($X327,INDEX(LLM_Data_Entry!$A$3:$A$548&amp;"|"&amp;LLM_Data_Entry!$C$3:$C$548&amp;"|"&amp;LLM_Data_Entry!$D$3:$D$548,0),0))),"")</f>
        <v/>
      </c>
      <c r="Z327" s="186">
        <f>IFERROR(IF($X327="","",INDEX(LLM_Data_Entry!$R$3:$R$548,MATCH($X327,INDEX(LLM_Data_Entry!$A$3:$A$548&amp;"|"&amp;LLM_Data_Entry!$C$3:$C$548&amp;"|"&amp;LLM_Data_Entry!$D$3:$D$548,0),0))),"")</f>
        <v/>
      </c>
      <c r="AA327" s="152" t="n"/>
      <c r="AB327" s="152" t="inlineStr">
        <is>
          <t>price signal — both moved; this one dominates</t>
        </is>
      </c>
      <c r="AC327" s="152" t="inlineStr">
        <is>
          <t>UNH</t>
        </is>
      </c>
      <c r="AD327" s="152" t="inlineStr">
        <is>
          <t>2025-07-28</t>
        </is>
      </c>
      <c r="AE327" s="152" t="n">
        <v>274.7614</v>
      </c>
      <c r="AF327" s="152" t="inlineStr">
        <is>
          <t>2025-07-29</t>
        </is>
      </c>
      <c r="AG327" s="152" t="n">
        <v>258.7697</v>
      </c>
      <c r="AH327" s="152" t="n">
        <v>-0.05820210764857895</v>
      </c>
      <c r="AI327" s="152" t="inlineStr">
        <is>
          <t>DOWN</t>
        </is>
      </c>
      <c r="AJ327" s="152" t="inlineStr">
        <is>
          <t>YES</t>
        </is>
      </c>
      <c r="AK327" s="152" t="n">
        <v>0.057202</v>
      </c>
      <c r="AL327" s="152">
        <f>IF($A327="","",IFERROR(INDEX(Company_List!$G$3:$G$207,MATCH($A327,Company_List!$A$3:$A$207,0)),"unassigned"))</f>
        <v/>
      </c>
      <c r="AM327" s="152" t="inlineStr">
        <is>
          <t>Phase 2/Unitedhealth/2025-Q2/UNH-2025-Q2-earnings-call-transcript-unitedhealthgroup-com.pdf</t>
        </is>
      </c>
      <c r="AN327" s="152" t="inlineStr">
        <is>
          <t>https://www.unitedhealthgroup.com/content/dam/UHG/PDF/investors/2025/UNH-Q2-2025-Remarks.pdf</t>
        </is>
      </c>
      <c r="AO327" s="152" t="inlineStr">
        <is>
          <t>manifest</t>
        </is>
      </c>
      <c r="AP327" s="152">
        <f>IF($A327="","",IF(COUNTIFS(LLM_Data_Entry!$A$3:$A$548,$A327)&gt;0,"YES","NO"))</f>
        <v/>
      </c>
      <c r="AQ327" s="152">
        <f>IF($A327="","",IF(COUNTIFS($A$3:$A327,$A327,$C$3:$C327,$C327,$D$3:$D327,$D327)=1,"YES","NO"))</f>
        <v/>
      </c>
      <c r="AR327" s="152">
        <f>IF($A327="","",IF(AND($C327&amp;"-"&amp;$D327&gt;=Settings!$B$19,$C327&amp;"-"&amp;$D327&lt;=Settings!$B$20),"IN","OUT"))</f>
        <v/>
      </c>
      <c r="AS327" s="152">
        <f>IF($A327="","",IF($F327="Financial Results","financials",IF($F327="Outlook/Guidance","guidance",IF($F327="Transcript Q&amp;A","qanda",IF($F327="","unrecorded",IF($E327="All","full",IF($E327="","unrecorded",LOWER($E327)&amp;" only")))))))</f>
        <v/>
      </c>
      <c r="AT327" s="152">
        <f>IF(AND(OR($J327="BUY",$J327="SELL"),ISNUMBER($U327)),$U327,"")</f>
        <v/>
      </c>
      <c r="AU327" s="152">
        <f>IF(AND(OR($J327="BUY",$J327="SELL"),ISNUMBER($AK327)),$AK327,"")</f>
        <v/>
      </c>
      <c r="AV327" s="152">
        <f>IF(ISNUMBER($AT327),ABS(IF(ISNUMBER($I327),$I327,0)-Settings!$B$24),"")</f>
        <v/>
      </c>
      <c r="AW327" s="152">
        <f>IF(ISNUMBER($AV327),$AV327*$AT327,"")</f>
        <v/>
      </c>
      <c r="AX327" s="152">
        <f>IF(ISNUMBER($AU327),ABS(IF(ISNUMBER($I327),$I327,0)-Settings!$B$24),"")</f>
        <v/>
      </c>
      <c r="AY327" s="152" t="inlineStr">
        <is>
          <t>FROZEN</t>
        </is>
      </c>
      <c r="AZ327" s="152">
        <f>IF($A327="","",IFERROR(INDEX(Company_List!$H$3:$H$207,MATCH($A327,Company_List!$A$3:$A$207,0)),"unassigned"))</f>
        <v/>
      </c>
      <c r="BA327" s="152" t="n">
        <v>2</v>
      </c>
      <c r="BB327" s="152" t="n">
        <v>2</v>
      </c>
      <c r="BC327" s="152">
        <f>IF($A327="","",IF(COUNTIFS($A$3:$A327,$A327,$C$3:$C327,$C327,$D$3:$D327,$D327,$G$3:$G327,$G327)=1,1,0))</f>
        <v/>
      </c>
      <c r="BD327" s="152" t="n">
        <v>16</v>
      </c>
      <c r="BE327" s="152" t="n">
        <v>20</v>
      </c>
      <c r="BF327" s="152" t="n">
        <v>-0.4</v>
      </c>
      <c r="BG327" s="152" t="inlineStr">
        <is>
          <t>no</t>
        </is>
      </c>
      <c r="BH327" s="152" t="n"/>
      <c r="BI327" s="152" t="n"/>
      <c r="BJ327" s="152" t="inlineStr">
        <is>
          <t>Dragos - Phase 3 scoring_rows.csv</t>
        </is>
      </c>
      <c r="BK327" s="152">
        <f>IF(OR($H327&lt;&gt;"Human",$S327="",$J327="",$Y327="",$Z327=""),"",IF(EXACT(UPPER($J327),UPPER($Y327)),1,0))</f>
        <v/>
      </c>
      <c r="BL327" s="152" t="inlineStr">
        <is>
          <t>attested - rater record</t>
        </is>
      </c>
      <c r="BM327" s="152" t="n">
        <v>1</v>
      </c>
      <c r="BN327" s="152" t="inlineStr">
        <is>
          <t>not publisher-identified</t>
        </is>
      </c>
      <c r="BO327" s="152" t="inlineStr">
        <is>
          <t>not publisher-identified</t>
        </is>
      </c>
      <c r="BP327" s="152" t="inlineStr">
        <is>
          <t>no</t>
        </is>
      </c>
      <c r="BQ327" s="152" t="inlineStr">
        <is>
          <t>yes</t>
        </is>
      </c>
      <c r="BR327" s="152" t="n"/>
      <c r="BS327" s="152" t="inlineStr">
        <is>
          <t>YES</t>
        </is>
      </c>
      <c r="BT327" s="152" t="n"/>
    </row>
    <row r="328" ht="15" customHeight="1" s="241">
      <c r="A328" s="193" t="inlineStr">
        <is>
          <t>Caterpillar</t>
        </is>
      </c>
      <c r="B328" s="194">
        <f>IF(A328="","",_xlfn.XLOOKUP(A328, Company_List!$A:$A, Company_List!$B:$B, ""))</f>
        <v/>
      </c>
      <c r="C328" s="177" t="n">
        <v>2025</v>
      </c>
      <c r="D328" s="177" t="inlineStr">
        <is>
          <t>Q2</t>
        </is>
      </c>
      <c r="E328" s="178" t="inlineStr">
        <is>
          <t>Transcript</t>
        </is>
      </c>
      <c r="F328" s="178" t="inlineStr">
        <is>
          <t>All</t>
        </is>
      </c>
      <c r="G328" s="177" t="inlineStr">
        <is>
          <t>Dragos</t>
        </is>
      </c>
      <c r="H328" s="177" t="inlineStr">
        <is>
          <t>Human</t>
        </is>
      </c>
      <c r="I328" s="180" t="n">
        <v>0</v>
      </c>
      <c r="J328" s="180">
        <f>IF(OR(I328="",Settings!$B$6=""),"",IF(I328&gt;Settings!$B$6,"BUY",IF(I328&lt;-Settings!$B$6,"SELL","HOLD")))</f>
        <v/>
      </c>
      <c r="K328" s="180" t="n">
        <v>33</v>
      </c>
      <c r="L328" s="182" t="n">
        <v>45874</v>
      </c>
      <c r="M328" s="182" t="n">
        <v>45873</v>
      </c>
      <c r="N328" s="179" t="n">
        <v>433.7</v>
      </c>
      <c r="O328" s="182" t="n">
        <v>45874</v>
      </c>
      <c r="P328" s="180" t="n">
        <v>427.65</v>
      </c>
      <c r="Q328" s="184">
        <f>IF(OR(N328="",P328=""),"",ROUND((P328-N328)/N328,4))</f>
        <v/>
      </c>
      <c r="R328" s="177">
        <f>IF(OR(N328="",P328=""),"",IF(Q328&gt;Settings!$B$3/100,"UP",IF(Q328&lt;-Settings!$B$3/100,"DOWN","FLAT")))</f>
        <v/>
      </c>
      <c r="S328" s="177">
        <f>IF(OR(N328="",P328="",J328=""),"",IF(OR(AND(J328="BUY",R328="UP"),AND(J328="SELL",R328="DOWN"),AND(J328="HOLD",R328="FLAT")),"YES","NO"))</f>
        <v/>
      </c>
      <c r="T328" s="176">
        <f>IF(J328="","",IF(J328="BUY",1,IF(J328="SELL",-1,0)))</f>
        <v/>
      </c>
      <c r="U328" s="184">
        <f>IFERROR(IF(OR(J328="",N328="",P328=""),"",IF(T328=0,0,T328*Q328-Settings!$B$4/10000-IF(T328&lt;0,Settings!$B$5/10000,0))),"")</f>
        <v/>
      </c>
      <c r="V328" s="152" t="inlineStr">
        <is>
          <t>guidance +0.2 in 14 min, then full document +0.0 in 19 min (-0.2). Full document broadly neutral - Segment profit increased by 9% to $248 million; Energy &amp; Transportation sales of $7.8 billion, increased by 7%; profit for Energy &amp; Transportation increased by 4%. Against that: Sales and revenues were $16.6 billion, a 1% decrease. 6 forward claims flagged hypothetical and discounted, but the concrete numbers carry it.</t>
        </is>
      </c>
      <c r="W328" s="176">
        <f>IF($K328="","",$K328*60)</f>
        <v/>
      </c>
      <c r="X328" s="186">
        <f>IF($A328="","",$A328&amp;"|"&amp;$C328&amp;"|"&amp;$D328)</f>
        <v/>
      </c>
      <c r="Y328" s="186">
        <f>IFERROR(IF($X328="","",INDEX(LLM_Data_Entry!$H$3:$H$548,MATCH($X328,INDEX(LLM_Data_Entry!$A$3:$A$548&amp;"|"&amp;LLM_Data_Entry!$C$3:$C$548&amp;"|"&amp;LLM_Data_Entry!$D$3:$D$548,0),0))),"")</f>
        <v/>
      </c>
      <c r="Z328" s="186">
        <f>IFERROR(IF($X328="","",INDEX(LLM_Data_Entry!$R$3:$R$548,MATCH($X328,INDEX(LLM_Data_Entry!$A$3:$A$548&amp;"|"&amp;LLM_Data_Entry!$C$3:$C$548&amp;"|"&amp;LLM_Data_Entry!$D$3:$D$548,0),0))),"")</f>
        <v/>
      </c>
      <c r="AA328" s="152" t="n"/>
      <c r="AB328" s="152" t="inlineStr">
        <is>
          <t>release date + stated time in the document (rater worksheet)</t>
        </is>
      </c>
      <c r="AC328" s="152" t="inlineStr">
        <is>
          <t>CAT</t>
        </is>
      </c>
      <c r="AD328" s="152" t="inlineStr">
        <is>
          <t>2025-08-04</t>
        </is>
      </c>
      <c r="AE328" s="152" t="n">
        <v>429.8309</v>
      </c>
      <c r="AF328" s="152" t="inlineStr">
        <is>
          <t>2025-08-05</t>
        </is>
      </c>
      <c r="AG328" s="152" t="n">
        <v>423.8348</v>
      </c>
      <c r="AH328" s="152" t="n">
        <v>-0.01394978226728581</v>
      </c>
      <c r="AI328" s="152" t="inlineStr">
        <is>
          <t>FLAT</t>
        </is>
      </c>
      <c r="AJ328" s="152" t="inlineStr">
        <is>
          <t>YES</t>
        </is>
      </c>
      <c r="AK328" s="152" t="n">
        <v>0</v>
      </c>
      <c r="AL328" s="152">
        <f>IF($A328="","",IFERROR(INDEX(Company_List!$G$3:$G$207,MATCH($A328,Company_List!$A$3:$A$207,0)),"unassigned"))</f>
        <v/>
      </c>
      <c r="AM328" s="152" t="inlineStr">
        <is>
          <t>Phase 2/Caterpillar/2025-Q2/CAT-2025-Q2-earnings-call-transcript-news-alphastreet-com.html</t>
        </is>
      </c>
      <c r="AN328" s="152" t="inlineStr">
        <is>
          <t>https://news.alphastreet.com/caterpillar-inc-cat-q2-2025-earnings-call-transcript/</t>
        </is>
      </c>
      <c r="AO328" s="152" t="inlineStr">
        <is>
          <t>manifest</t>
        </is>
      </c>
      <c r="AP328" s="152">
        <f>IF($A328="","",IF(COUNTIFS(LLM_Data_Entry!$A$3:$A$548,$A328)&gt;0,"YES","NO"))</f>
        <v/>
      </c>
      <c r="AQ328" s="152">
        <f>IF($A328="","",IF(COUNTIFS($A$3:$A328,$A328,$C$3:$C328,$C328,$D$3:$D328,$D328)=1,"YES","NO"))</f>
        <v/>
      </c>
      <c r="AR328" s="152">
        <f>IF($A328="","",IF(AND($C328&amp;"-"&amp;$D328&gt;=Settings!$B$19,$C328&amp;"-"&amp;$D328&lt;=Settings!$B$20),"IN","OUT"))</f>
        <v/>
      </c>
      <c r="AS328" s="152">
        <f>IF($A328="","",IF($F328="Financial Results","financials",IF($F328="Outlook/Guidance","guidance",IF($F328="Transcript Q&amp;A","qanda",IF($F328="","unrecorded",IF($E328="All","full",IF($E328="","unrecorded",LOWER($E328)&amp;" only")))))))</f>
        <v/>
      </c>
      <c r="AT328" s="152">
        <f>IF(AND(OR($J328="BUY",$J328="SELL"),ISNUMBER($U328)),$U328,"")</f>
        <v/>
      </c>
      <c r="AU328" s="152">
        <f>IF(AND(OR($J328="BUY",$J328="SELL"),ISNUMBER($AK328)),$AK328,"")</f>
        <v/>
      </c>
      <c r="AV328" s="152">
        <f>IF(ISNUMBER($AT328),ABS(IF(ISNUMBER($I328),$I328,0)-Settings!$B$24),"")</f>
        <v/>
      </c>
      <c r="AW328" s="152">
        <f>IF(ISNUMBER($AV328),$AV328*$AT328,"")</f>
        <v/>
      </c>
      <c r="AX328" s="152">
        <f>IF(ISNUMBER($AU328),ABS(IF(ISNUMBER($I328),$I328,0)-Settings!$B$24),"")</f>
        <v/>
      </c>
      <c r="AY328" s="152" t="inlineStr">
        <is>
          <t>FROZEN</t>
        </is>
      </c>
      <c r="AZ328" s="152">
        <f>IF($A328="","",IFERROR(INDEX(Company_List!$H$3:$H$207,MATCH($A328,Company_List!$A$3:$A$207,0)),"unassigned"))</f>
        <v/>
      </c>
      <c r="BA328" s="152" t="n">
        <v>2</v>
      </c>
      <c r="BB328" s="152" t="n">
        <v>2</v>
      </c>
      <c r="BC328" s="152">
        <f>IF($A328="","",IF(COUNTIFS($A$3:$A328,$A328,$C$3:$C328,$C328,$D$3:$D328,$D328,$G$3:$G328,$G328)=1,1,0))</f>
        <v/>
      </c>
      <c r="BD328" s="152" t="n">
        <v>14</v>
      </c>
      <c r="BE328" s="152" t="n">
        <v>19</v>
      </c>
      <c r="BF328" s="152" t="n">
        <v>0.2</v>
      </c>
      <c r="BG328" s="152" t="inlineStr">
        <is>
          <t>no</t>
        </is>
      </c>
      <c r="BH328" s="152" t="n"/>
      <c r="BI328" s="152" t="n"/>
      <c r="BJ328" s="152" t="inlineStr">
        <is>
          <t>Dragos - Phase 3 scoring_rows.csv</t>
        </is>
      </c>
      <c r="BK328" s="152">
        <f>IF(OR($H328&lt;&gt;"Human",$S328="",$J328="",$Y328="",$Z328=""),"",IF(EXACT(UPPER($J328),UPPER($Y328)),1,0))</f>
        <v/>
      </c>
      <c r="BL328" s="152" t="inlineStr">
        <is>
          <t>attested - rater record</t>
        </is>
      </c>
      <c r="BM328" s="152" t="n">
        <v>1</v>
      </c>
      <c r="BN328" s="152" t="inlineStr">
        <is>
          <t>not publisher-identified</t>
        </is>
      </c>
      <c r="BO328" s="152" t="inlineStr">
        <is>
          <t>not publisher-identified</t>
        </is>
      </c>
      <c r="BP328" s="152" t="inlineStr">
        <is>
          <t>no</t>
        </is>
      </c>
      <c r="BQ328" s="152" t="inlineStr">
        <is>
          <t>yes</t>
        </is>
      </c>
      <c r="BR328" s="152" t="n"/>
      <c r="BS328" s="152" t="inlineStr">
        <is>
          <t>YES</t>
        </is>
      </c>
      <c r="BT328" s="152" t="n"/>
    </row>
    <row r="329" ht="15" customHeight="1" s="241">
      <c r="A329" s="193" t="inlineStr">
        <is>
          <t>Home Depot</t>
        </is>
      </c>
      <c r="B329" s="194">
        <f>IF(A329="","",_xlfn.XLOOKUP(A329, Company_List!$A:$A, Company_List!$B:$B, ""))</f>
        <v/>
      </c>
      <c r="C329" s="177" t="n">
        <v>2025</v>
      </c>
      <c r="D329" s="177" t="inlineStr">
        <is>
          <t>Q2</t>
        </is>
      </c>
      <c r="E329" s="178" t="inlineStr">
        <is>
          <t>Transcript</t>
        </is>
      </c>
      <c r="F329" s="178" t="inlineStr">
        <is>
          <t>All</t>
        </is>
      </c>
      <c r="G329" s="177" t="inlineStr">
        <is>
          <t>Dragos</t>
        </is>
      </c>
      <c r="H329" s="177" t="inlineStr">
        <is>
          <t>Human</t>
        </is>
      </c>
      <c r="I329" s="180" t="n">
        <v>0.3</v>
      </c>
      <c r="J329" s="180">
        <f>IF(OR(I329="",Settings!$B$6=""),"",IF(I329&gt;Settings!$B$6,"BUY",IF(I329&lt;-Settings!$B$6,"SELL","HOLD")))</f>
        <v/>
      </c>
      <c r="K329" s="180" t="n">
        <v>30</v>
      </c>
      <c r="L329" s="182" t="n">
        <v>45888</v>
      </c>
      <c r="M329" s="182" t="n">
        <v>45887</v>
      </c>
      <c r="N329" s="179" t="n">
        <v>384.4777</v>
      </c>
      <c r="O329" s="182" t="n">
        <v>45888</v>
      </c>
      <c r="P329" s="180" t="n">
        <v>390.634</v>
      </c>
      <c r="Q329" s="184">
        <f>IF(OR(N329="",P329=""),"",ROUND((P329-N329)/N329,4))</f>
        <v/>
      </c>
      <c r="R329" s="177">
        <f>IF(OR(N329="",P329=""),"",IF(Q329&gt;Settings!$B$3/100,"UP",IF(Q329&lt;-Settings!$B$3/100,"DOWN","FLAT")))</f>
        <v/>
      </c>
      <c r="S329" s="177">
        <f>IF(OR(N329="",P329="",J329=""),"",IF(OR(AND(J329="BUY",R329="UP"),AND(J329="SELL",R329="DOWN"),AND(J329="HOLD",R329="FLAT")),"YES","NO"))</f>
        <v/>
      </c>
      <c r="T329" s="176">
        <f>IF(J329="","",IF(J329="BUY",1,IF(J329="SELL",-1,0)))</f>
        <v/>
      </c>
      <c r="U329" s="184">
        <f>IFERROR(IF(OR(J329="",N329="",P329=""),"",IF(T329=0,0,T329*Q329-Settings!$B$4/10000-IF(T329&lt;0,Settings!$B$5/10000,0))),"")</f>
        <v/>
      </c>
      <c r="V329" s="152" t="inlineStr">
        <is>
          <t>guidance -0.1 in 12 min, then full document +0.3 in 18 min (+0.4). Full document adds the hard numbers behind the section - second quarter, total sales were $45.3 billion, an increase of $2.1 billion; we're just under 1% in the first half; Sales for the second quarter were $45.3 billion, up 4.9% from the same. Against that: months, return on invested capital was 27.2%, down from 31.9%. 6 forward claims flagged hypothetical and discounted, but the concrete numbers carry it.</t>
        </is>
      </c>
      <c r="W329" s="176">
        <f>IF($K329="","",$K329*60)</f>
        <v/>
      </c>
      <c r="X329" s="186">
        <f>IF($A329="","",$A329&amp;"|"&amp;$C329&amp;"|"&amp;$D329)</f>
        <v/>
      </c>
      <c r="Y329" s="186">
        <f>IFERROR(IF($X329="","",INDEX(LLM_Data_Entry!$H$3:$H$548,MATCH($X329,INDEX(LLM_Data_Entry!$A$3:$A$548&amp;"|"&amp;LLM_Data_Entry!$C$3:$C$548&amp;"|"&amp;LLM_Data_Entry!$D$3:$D$548,0),0))),"")</f>
        <v/>
      </c>
      <c r="Z329" s="186">
        <f>IFERROR(IF($X329="","",INDEX(LLM_Data_Entry!$R$3:$R$548,MATCH($X329,INDEX(LLM_Data_Entry!$A$3:$A$548&amp;"|"&amp;LLM_Data_Entry!$C$3:$C$548&amp;"|"&amp;LLM_Data_Entry!$D$3:$D$548,0),0))),"")</f>
        <v/>
      </c>
      <c r="AA329" s="152" t="n"/>
      <c r="AB329" s="152" t="inlineStr">
        <is>
          <t>price signal — only this window shows an abnormal move</t>
        </is>
      </c>
      <c r="AC329" s="152" t="inlineStr">
        <is>
          <t>HD</t>
        </is>
      </c>
      <c r="AD329" s="152" t="inlineStr">
        <is>
          <t>2025-08-18</t>
        </is>
      </c>
      <c r="AE329" s="152" t="n">
        <v>384.4777</v>
      </c>
      <c r="AF329" s="152" t="inlineStr">
        <is>
          <t>2025-08-19</t>
        </is>
      </c>
      <c r="AG329" s="152" t="n">
        <v>390.634</v>
      </c>
      <c r="AH329" s="152" t="n">
        <v>0.01601211775923882</v>
      </c>
      <c r="AI329" s="152" t="inlineStr">
        <is>
          <t>FLAT</t>
        </is>
      </c>
      <c r="AJ329" s="152" t="inlineStr">
        <is>
          <t>NO</t>
        </is>
      </c>
      <c r="AK329" s="152" t="n">
        <v>0.015012</v>
      </c>
      <c r="AL329" s="152">
        <f>IF($A329="","",IFERROR(INDEX(Company_List!$G$3:$G$207,MATCH($A329,Company_List!$A$3:$A$207,0)),"unassigned"))</f>
        <v/>
      </c>
      <c r="AM329" s="152" t="inlineStr">
        <is>
          <t>Phase 3/Readings/Home Depot/2025-Q2/HD-2025-Q2-earnings-call-transcript-ir-homedepot-com.pdf</t>
        </is>
      </c>
      <c r="AN329" s="152" t="inlineStr">
        <is>
          <t>https://ir.homedepot.com/~/media/Files/H/HomeDepot-IR/reports-and-presentations/quarterly-earnings/2025/hd-2q25-transcript-vf.pdf</t>
        </is>
      </c>
      <c r="AO329" s="152" t="inlineStr">
        <is>
          <t>manifest</t>
        </is>
      </c>
      <c r="AP329" s="152">
        <f>IF($A329="","",IF(COUNTIFS(LLM_Data_Entry!$A$3:$A$548,$A329)&gt;0,"YES","NO"))</f>
        <v/>
      </c>
      <c r="AQ329" s="152">
        <f>IF($A329="","",IF(COUNTIFS($A$3:$A329,$A329,$C$3:$C329,$C329,$D$3:$D329,$D329)=1,"YES","NO"))</f>
        <v/>
      </c>
      <c r="AR329" s="152">
        <f>IF($A329="","",IF(AND($C329&amp;"-"&amp;$D329&gt;=Settings!$B$19,$C329&amp;"-"&amp;$D329&lt;=Settings!$B$20),"IN","OUT"))</f>
        <v/>
      </c>
      <c r="AS329" s="152">
        <f>IF($A329="","",IF($F329="Financial Results","financials",IF($F329="Outlook/Guidance","guidance",IF($F329="Transcript Q&amp;A","qanda",IF($F329="","unrecorded",IF($E329="All","full",IF($E329="","unrecorded",LOWER($E329)&amp;" only")))))))</f>
        <v/>
      </c>
      <c r="AT329" s="152">
        <f>IF(AND(OR($J329="BUY",$J329="SELL"),ISNUMBER($U329)),$U329,"")</f>
        <v/>
      </c>
      <c r="AU329" s="152">
        <f>IF(AND(OR($J329="BUY",$J329="SELL"),ISNUMBER($AK329)),$AK329,"")</f>
        <v/>
      </c>
      <c r="AV329" s="152">
        <f>IF(ISNUMBER($AT329),ABS(IF(ISNUMBER($I329),$I329,0)-Settings!$B$24),"")</f>
        <v/>
      </c>
      <c r="AW329" s="152">
        <f>IF(ISNUMBER($AV329),$AV329*$AT329,"")</f>
        <v/>
      </c>
      <c r="AX329" s="152">
        <f>IF(ISNUMBER($AU329),ABS(IF(ISNUMBER($I329),$I329,0)-Settings!$B$24),"")</f>
        <v/>
      </c>
      <c r="AY329" s="152" t="inlineStr">
        <is>
          <t>EXTENSION</t>
        </is>
      </c>
      <c r="AZ329" s="152">
        <f>IF($A329="","",IFERROR(INDEX(Company_List!$H$3:$H$207,MATCH($A329,Company_List!$A$3:$A$207,0)),"unassigned"))</f>
        <v/>
      </c>
      <c r="BA329" s="152" t="n">
        <v>2</v>
      </c>
      <c r="BB329" s="152" t="n">
        <v>2</v>
      </c>
      <c r="BC329" s="152">
        <f>IF($A329="","",IF(COUNTIFS($A$3:$A329,$A329,$C$3:$C329,$C329,$D$3:$D329,$D329,$G$3:$G329,$G329)=1,1,0))</f>
        <v/>
      </c>
      <c r="BD329" s="152" t="n">
        <v>12</v>
      </c>
      <c r="BE329" s="152" t="n">
        <v>18</v>
      </c>
      <c r="BF329" s="152" t="n">
        <v>-0.1</v>
      </c>
      <c r="BG329" s="152" t="inlineStr">
        <is>
          <t>no</t>
        </is>
      </c>
      <c r="BH329" s="152" t="n"/>
      <c r="BI329" s="152" t="n"/>
      <c r="BJ329" s="152" t="inlineStr">
        <is>
          <t>Dragos - Phase 3 scoring_rows.csv</t>
        </is>
      </c>
      <c r="BK329" s="152">
        <f>IF(OR($H329&lt;&gt;"Human",$S329="",$J329="",$Y329="",$Z329=""),"",IF(EXACT(UPPER($J329),UPPER($Y329)),1,0))</f>
        <v/>
      </c>
      <c r="BL329" s="152" t="inlineStr">
        <is>
          <t>attested - rater record</t>
        </is>
      </c>
      <c r="BM329" s="152" t="n">
        <v>1</v>
      </c>
      <c r="BN329" s="152" t="inlineStr">
        <is>
          <t>not publisher-identified</t>
        </is>
      </c>
      <c r="BO329" s="152" t="inlineStr">
        <is>
          <t>not publisher-identified</t>
        </is>
      </c>
      <c r="BP329" s="152" t="inlineStr">
        <is>
          <t>no</t>
        </is>
      </c>
      <c r="BQ329" s="152" t="inlineStr">
        <is>
          <t>yes</t>
        </is>
      </c>
      <c r="BR329" s="152" t="n"/>
      <c r="BS329" s="152" t="inlineStr">
        <is>
          <t>YES</t>
        </is>
      </c>
      <c r="BT329" s="152" t="n"/>
    </row>
    <row r="330" ht="15" customHeight="1" s="241">
      <c r="A330" s="193" t="inlineStr">
        <is>
          <t>Adobe</t>
        </is>
      </c>
      <c r="B330" s="194">
        <f>IF(A330="","",_xlfn.XLOOKUP(A330, Company_List!$A:$A, Company_List!$B:$B, ""))</f>
        <v/>
      </c>
      <c r="C330" s="177" t="n">
        <v>2025</v>
      </c>
      <c r="D330" s="177" t="inlineStr">
        <is>
          <t>Q3</t>
        </is>
      </c>
      <c r="E330" s="178" t="inlineStr">
        <is>
          <t>Transcript</t>
        </is>
      </c>
      <c r="F330" s="178" t="inlineStr">
        <is>
          <t>All</t>
        </is>
      </c>
      <c r="G330" s="177" t="inlineStr">
        <is>
          <t>Dragos</t>
        </is>
      </c>
      <c r="H330" s="177" t="inlineStr">
        <is>
          <t>Human</t>
        </is>
      </c>
      <c r="I330" s="180" t="n">
        <v>0.9</v>
      </c>
      <c r="J330" s="180">
        <f>IF(OR(I330="",Settings!$B$6=""),"",IF(I330&gt;Settings!$B$6,"BUY",IF(I330&lt;-Settings!$B$6,"SELL","HOLD")))</f>
        <v/>
      </c>
      <c r="K330" s="180" t="n">
        <v>34</v>
      </c>
      <c r="L330" s="182" t="n">
        <v>45911</v>
      </c>
      <c r="M330" s="182" t="n">
        <v>45911</v>
      </c>
      <c r="N330" s="179" t="n">
        <v>350.55</v>
      </c>
      <c r="O330" s="182" t="n">
        <v>45912</v>
      </c>
      <c r="P330" s="180" t="n">
        <v>361.1</v>
      </c>
      <c r="Q330" s="184">
        <f>IF(OR(N330="",P330=""),"",ROUND((P330-N330)/N330,4))</f>
        <v/>
      </c>
      <c r="R330" s="177">
        <f>IF(OR(N330="",P330=""),"",IF(Q330&gt;Settings!$B$3/100,"UP",IF(Q330&lt;-Settings!$B$3/100,"DOWN","FLAT")))</f>
        <v/>
      </c>
      <c r="S330" s="177">
        <f>IF(OR(N330="",P330="",J330=""),"",IF(OR(AND(J330="BUY",R330="UP"),AND(J330="SELL",R330="DOWN"),AND(J330="HOLD",R330="FLAT")),"YES","NO"))</f>
        <v/>
      </c>
      <c r="T330" s="176">
        <f>IF(J330="","",IF(J330="BUY",1,IF(J330="SELL",-1,0)))</f>
        <v/>
      </c>
      <c r="U330" s="184">
        <f>IFERROR(IF(OR(J330="",N330="",P330=""),"",IF(T330=0,0,T330*Q330-Settings!$B$4/10000-IF(T330&lt;0,Settings!$B$5/10000,0))),"")</f>
        <v/>
      </c>
      <c r="V330" s="152" t="inlineStr">
        <is>
          <t>qanda +0.6 in 13 min, then full document +0.9 in 21 min (+0.3). Full document adds the hard numbers behind the section - diluted earnings per share in Q3 was $4.18 and non-GAAP diluted earnings per; exiting quarter remaining performance obligations were $20.44 billion, growing 13% year-over-year or 12%; Adobe achieved revenue of $5.99 billion. Against that: shows management has actually surgically cut $100 million in waste to focus. 8 forward claims flagged hypothetical and discounted, but the concrete numbers carry it.</t>
        </is>
      </c>
      <c r="W330" s="176">
        <f>IF($K330="","",$K330*60)</f>
        <v/>
      </c>
      <c r="X330" s="186">
        <f>IF($A330="","",$A330&amp;"|"&amp;$C330&amp;"|"&amp;$D330)</f>
        <v/>
      </c>
      <c r="Y330" s="186">
        <f>IFERROR(IF($X330="","",INDEX(LLM_Data_Entry!$H$3:$H$548,MATCH($X330,INDEX(LLM_Data_Entry!$A$3:$A$548&amp;"|"&amp;LLM_Data_Entry!$C$3:$C$548&amp;"|"&amp;LLM_Data_Entry!$D$3:$D$548,0),0))),"")</f>
        <v/>
      </c>
      <c r="Z330" s="186">
        <f>IFERROR(IF($X330="","",INDEX(LLM_Data_Entry!$R$3:$R$548,MATCH($X330,INDEX(LLM_Data_Entry!$A$3:$A$548&amp;"|"&amp;LLM_Data_Entry!$C$3:$C$548&amp;"|"&amp;LLM_Data_Entry!$D$3:$D$548,0),0))),"")</f>
        <v/>
      </c>
      <c r="AA330" s="152" t="n"/>
      <c r="AB330" s="152" t="inlineStr">
        <is>
          <t>price signal — both moved; this one dominates</t>
        </is>
      </c>
      <c r="AC330" s="152" t="inlineStr">
        <is>
          <t>ADBE</t>
        </is>
      </c>
      <c r="AD330" s="152" t="inlineStr">
        <is>
          <t>2025-09-11</t>
        </is>
      </c>
      <c r="AE330" s="152" t="n">
        <v>350.55</v>
      </c>
      <c r="AF330" s="152" t="inlineStr">
        <is>
          <t>2025-09-12</t>
        </is>
      </c>
      <c r="AG330" s="152" t="n">
        <v>361.1</v>
      </c>
      <c r="AH330" s="152" t="n">
        <v>0.03009561649164861</v>
      </c>
      <c r="AI330" s="152" t="inlineStr">
        <is>
          <t>UP</t>
        </is>
      </c>
      <c r="AJ330" s="152" t="inlineStr">
        <is>
          <t>YES</t>
        </is>
      </c>
      <c r="AK330" s="152" t="n">
        <v>0.029096</v>
      </c>
      <c r="AL330" s="152">
        <f>IF($A330="","",IFERROR(INDEX(Company_List!$G$3:$G$207,MATCH($A330,Company_List!$A$3:$A$207,0)),"unassigned"))</f>
        <v/>
      </c>
      <c r="AM330" s="152" t="inlineStr">
        <is>
          <t>Phase 3/Readings/Adobe/2025-Q3/ADBE-2025-Q3-earnings-call-transcript-news-alphastreet-com.html</t>
        </is>
      </c>
      <c r="AN330" s="152" t="inlineStr">
        <is>
          <t>https://news.alphastreet.com/adobe-inc-adbe-q3-2025-earnings-call-transcript/</t>
        </is>
      </c>
      <c r="AO330" s="152" t="inlineStr">
        <is>
          <t>manifest</t>
        </is>
      </c>
      <c r="AP330" s="152">
        <f>IF($A330="","",IF(COUNTIFS(LLM_Data_Entry!$A$3:$A$548,$A330)&gt;0,"YES","NO"))</f>
        <v/>
      </c>
      <c r="AQ330" s="152">
        <f>IF($A330="","",IF(COUNTIFS($A$3:$A330,$A330,$C$3:$C330,$C330,$D$3:$D330,$D330)=1,"YES","NO"))</f>
        <v/>
      </c>
      <c r="AR330" s="152">
        <f>IF($A330="","",IF(AND($C330&amp;"-"&amp;$D330&gt;=Settings!$B$19,$C330&amp;"-"&amp;$D330&lt;=Settings!$B$20),"IN","OUT"))</f>
        <v/>
      </c>
      <c r="AS330" s="152">
        <f>IF($A330="","",IF($F330="Financial Results","financials",IF($F330="Outlook/Guidance","guidance",IF($F330="Transcript Q&amp;A","qanda",IF($F330="","unrecorded",IF($E330="All","full",IF($E330="","unrecorded",LOWER($E330)&amp;" only")))))))</f>
        <v/>
      </c>
      <c r="AT330" s="152">
        <f>IF(AND(OR($J330="BUY",$J330="SELL"),ISNUMBER($U330)),$U330,"")</f>
        <v/>
      </c>
      <c r="AU330" s="152">
        <f>IF(AND(OR($J330="BUY",$J330="SELL"),ISNUMBER($AK330)),$AK330,"")</f>
        <v/>
      </c>
      <c r="AV330" s="152">
        <f>IF(ISNUMBER($AT330),ABS(IF(ISNUMBER($I330),$I330,0)-Settings!$B$24),"")</f>
        <v/>
      </c>
      <c r="AW330" s="152">
        <f>IF(ISNUMBER($AV330),$AV330*$AT330,"")</f>
        <v/>
      </c>
      <c r="AX330" s="152">
        <f>IF(ISNUMBER($AU330),ABS(IF(ISNUMBER($I330),$I330,0)-Settings!$B$24),"")</f>
        <v/>
      </c>
      <c r="AY330" s="152" t="inlineStr">
        <is>
          <t>EXTENSION</t>
        </is>
      </c>
      <c r="AZ330" s="152">
        <f>IF($A330="","",IFERROR(INDEX(Company_List!$H$3:$H$207,MATCH($A330,Company_List!$A$3:$A$207,0)),"unassigned"))</f>
        <v/>
      </c>
      <c r="BA330" s="152" t="n">
        <v>2</v>
      </c>
      <c r="BB330" s="152" t="n">
        <v>2</v>
      </c>
      <c r="BC330" s="152">
        <f>IF($A330="","",IF(COUNTIFS($A$3:$A330,$A330,$C$3:$C330,$C330,$D$3:$D330,$D330,$G$3:$G330,$G330)=1,1,0))</f>
        <v/>
      </c>
      <c r="BD330" s="152" t="n">
        <v>13</v>
      </c>
      <c r="BE330" s="152" t="n">
        <v>21</v>
      </c>
      <c r="BF330" s="152" t="n">
        <v>0.6</v>
      </c>
      <c r="BG330" s="152" t="inlineStr">
        <is>
          <t>no</t>
        </is>
      </c>
      <c r="BH330" s="152" t="n"/>
      <c r="BI330" s="152" t="n"/>
      <c r="BJ330" s="152" t="inlineStr">
        <is>
          <t>Dragos - Phase 3 scoring_rows.csv</t>
        </is>
      </c>
      <c r="BK330" s="152">
        <f>IF(OR($H330&lt;&gt;"Human",$S330="",$J330="",$Y330="",$Z330=""),"",IF(EXACT(UPPER($J330),UPPER($Y330)),1,0))</f>
        <v/>
      </c>
      <c r="BL330" s="152" t="inlineStr">
        <is>
          <t>attested - rater record</t>
        </is>
      </c>
      <c r="BM330" s="152" t="n">
        <v>1</v>
      </c>
      <c r="BN330" s="152" t="inlineStr">
        <is>
          <t>not publisher-identified</t>
        </is>
      </c>
      <c r="BO330" s="152" t="inlineStr">
        <is>
          <t>not publisher-identified</t>
        </is>
      </c>
      <c r="BP330" s="152" t="inlineStr">
        <is>
          <t>no</t>
        </is>
      </c>
      <c r="BQ330" s="152" t="inlineStr">
        <is>
          <t>yes</t>
        </is>
      </c>
      <c r="BR330" s="152" t="n"/>
      <c r="BS330" s="152" t="inlineStr">
        <is>
          <t>YES</t>
        </is>
      </c>
      <c r="BT330" s="152" t="n"/>
    </row>
    <row r="331" ht="15" customHeight="1" s="241">
      <c r="A331" s="193" t="inlineStr">
        <is>
          <t>Union Pacific</t>
        </is>
      </c>
      <c r="B331" s="194">
        <f>IF(A331="","",_xlfn.XLOOKUP(A331, Company_List!$A:$A, Company_List!$B:$B, ""))</f>
        <v/>
      </c>
      <c r="C331" s="177" t="n">
        <v>2025</v>
      </c>
      <c r="D331" s="177" t="inlineStr">
        <is>
          <t>Q3</t>
        </is>
      </c>
      <c r="E331" s="178" t="inlineStr">
        <is>
          <t>Transcript</t>
        </is>
      </c>
      <c r="F331" s="178" t="inlineStr">
        <is>
          <t>All</t>
        </is>
      </c>
      <c r="G331" s="177" t="inlineStr">
        <is>
          <t>Dragos</t>
        </is>
      </c>
      <c r="H331" s="177" t="inlineStr">
        <is>
          <t>Human</t>
        </is>
      </c>
      <c r="I331" s="180" t="n">
        <v>0.2</v>
      </c>
      <c r="J331" s="180">
        <f>IF(OR(I331="",Settings!$B$6=""),"",IF(I331&gt;Settings!$B$6,"BUY",IF(I331&lt;-Settings!$B$6,"SELL","HOLD")))</f>
        <v/>
      </c>
      <c r="K331" s="180" t="n">
        <v>29</v>
      </c>
      <c r="L331" s="182" t="n">
        <v>45953</v>
      </c>
      <c r="M331" s="182" t="n">
        <v>45952</v>
      </c>
      <c r="N331" s="179" t="n">
        <v>221.6145</v>
      </c>
      <c r="O331" s="182" t="n">
        <v>45953</v>
      </c>
      <c r="P331" s="180" t="n">
        <v>219.6861</v>
      </c>
      <c r="Q331" s="184">
        <f>IF(OR(N331="",P331=""),"",ROUND((P331-N331)/N331,4))</f>
        <v/>
      </c>
      <c r="R331" s="177">
        <f>IF(OR(N331="",P331=""),"",IF(Q331&gt;Settings!$B$3/100,"UP",IF(Q331&lt;-Settings!$B$3/100,"DOWN","FLAT")))</f>
        <v/>
      </c>
      <c r="S331" s="177">
        <f>IF(OR(N331="",P331="",J331=""),"",IF(OR(AND(J331="BUY",R331="UP"),AND(J331="SELL",R331="DOWN"),AND(J331="HOLD",R331="FLAT")),"YES","NO"))</f>
        <v/>
      </c>
      <c r="T331" s="176">
        <f>IF(J331="","",IF(J331="BUY",1,IF(J331="SELL",-1,0)))</f>
        <v/>
      </c>
      <c r="U331" s="184">
        <f>IFERROR(IF(OR(J331="",N331="",P331=""),"",IF(T331=0,0,T331*Q331-Settings!$B$4/10000-IF(T331&lt;0,Settings!$B$5/10000,0))),"")</f>
        <v/>
      </c>
      <c r="V331" s="152" t="inlineStr">
        <is>
          <t>qanda +0.1 in 14 min, then full document +0.2 in 15 min (+0.1). Full document adds the hard numbers behind the section - Third quarter cash from operations totaled $7.1 billion, up 6% or $381 million; Revenue was up [ 3% ] for the quarter; Fuel expense grew 1%. Against that: third quarter earnings per share of $3.01, excluding $41 million. 1 forward claim flagged hypothetical and discounted, but the concrete numbers carry it.</t>
        </is>
      </c>
      <c r="W331" s="176">
        <f>IF($K331="","",$K331*60)</f>
        <v/>
      </c>
      <c r="X331" s="186">
        <f>IF($A331="","",$A331&amp;"|"&amp;$C331&amp;"|"&amp;$D331)</f>
        <v/>
      </c>
      <c r="Y331" s="186">
        <f>IFERROR(IF($X331="","",INDEX(LLM_Data_Entry!$H$3:$H$548,MATCH($X331,INDEX(LLM_Data_Entry!$A$3:$A$548&amp;"|"&amp;LLM_Data_Entry!$C$3:$C$548&amp;"|"&amp;LLM_Data_Entry!$D$3:$D$548,0),0))),"")</f>
        <v/>
      </c>
      <c r="Z331" s="186">
        <f>IFERROR(IF($X331="","",INDEX(LLM_Data_Entry!$R$3:$R$548,MATCH($X331,INDEX(LLM_Data_Entry!$A$3:$A$548&amp;"|"&amp;LLM_Data_Entry!$C$3:$C$548&amp;"|"&amp;LLM_Data_Entry!$D$3:$D$548,0),0))),"")</f>
        <v/>
      </c>
      <c r="AA331" s="152" t="n"/>
      <c r="AB331" s="152" t="inlineStr">
        <is>
          <t>price signal — only this window shows an abnormal move</t>
        </is>
      </c>
      <c r="AC331" s="152" t="inlineStr">
        <is>
          <t>UNP</t>
        </is>
      </c>
      <c r="AD331" s="152" t="inlineStr">
        <is>
          <t>2025-10-22</t>
        </is>
      </c>
      <c r="AE331" s="152" t="n">
        <v>221.6145</v>
      </c>
      <c r="AF331" s="152" t="inlineStr">
        <is>
          <t>2025-10-23</t>
        </is>
      </c>
      <c r="AG331" s="152" t="n">
        <v>219.6861</v>
      </c>
      <c r="AH331" s="152" t="n">
        <v>-0.008701810970447017</v>
      </c>
      <c r="AI331" s="152" t="inlineStr">
        <is>
          <t>FLAT</t>
        </is>
      </c>
      <c r="AJ331" s="152" t="inlineStr">
        <is>
          <t>YES</t>
        </is>
      </c>
      <c r="AK331" s="152" t="n">
        <v>0</v>
      </c>
      <c r="AL331" s="152">
        <f>IF($A331="","",IFERROR(INDEX(Company_List!$G$3:$G$207,MATCH($A331,Company_List!$A$3:$A$207,0)),"unassigned"))</f>
        <v/>
      </c>
      <c r="AM331" s="152" t="inlineStr">
        <is>
          <t>Phase 3/Readings/Union Pacific/2025-Q3/UNP-2025-Q3-earnings-call-transcript-fool-com.html</t>
        </is>
      </c>
      <c r="AN331" s="152" t="inlineStr">
        <is>
          <t>https://www.fool.com/earnings/call-transcripts/2026/01/26/union-pacific-unp-q3-2025-earnings-transcript/</t>
        </is>
      </c>
      <c r="AO331" s="152" t="inlineStr">
        <is>
          <t>manifest</t>
        </is>
      </c>
      <c r="AP331" s="152">
        <f>IF($A331="","",IF(COUNTIFS(LLM_Data_Entry!$A$3:$A$548,$A331)&gt;0,"YES","NO"))</f>
        <v/>
      </c>
      <c r="AQ331" s="152">
        <f>IF($A331="","",IF(COUNTIFS($A$3:$A331,$A331,$C$3:$C331,$C331,$D$3:$D331,$D331)=1,"YES","NO"))</f>
        <v/>
      </c>
      <c r="AR331" s="152">
        <f>IF($A331="","",IF(AND($C331&amp;"-"&amp;$D331&gt;=Settings!$B$19,$C331&amp;"-"&amp;$D331&lt;=Settings!$B$20),"IN","OUT"))</f>
        <v/>
      </c>
      <c r="AS331" s="152">
        <f>IF($A331="","",IF($F331="Financial Results","financials",IF($F331="Outlook/Guidance","guidance",IF($F331="Transcript Q&amp;A","qanda",IF($F331="","unrecorded",IF($E331="All","full",IF($E331="","unrecorded",LOWER($E331)&amp;" only")))))))</f>
        <v/>
      </c>
      <c r="AT331" s="152">
        <f>IF(AND(OR($J331="BUY",$J331="SELL"),ISNUMBER($U331)),$U331,"")</f>
        <v/>
      </c>
      <c r="AU331" s="152">
        <f>IF(AND(OR($J331="BUY",$J331="SELL"),ISNUMBER($AK331)),$AK331,"")</f>
        <v/>
      </c>
      <c r="AV331" s="152">
        <f>IF(ISNUMBER($AT331),ABS(IF(ISNUMBER($I331),$I331,0)-Settings!$B$24),"")</f>
        <v/>
      </c>
      <c r="AW331" s="152">
        <f>IF(ISNUMBER($AV331),$AV331*$AT331,"")</f>
        <v/>
      </c>
      <c r="AX331" s="152">
        <f>IF(ISNUMBER($AU331),ABS(IF(ISNUMBER($I331),$I331,0)-Settings!$B$24),"")</f>
        <v/>
      </c>
      <c r="AY331" s="152" t="inlineStr">
        <is>
          <t>EXTENSION</t>
        </is>
      </c>
      <c r="AZ331" s="152">
        <f>IF($A331="","",IFERROR(INDEX(Company_List!$H$3:$H$207,MATCH($A331,Company_List!$A$3:$A$207,0)),"unassigned"))</f>
        <v/>
      </c>
      <c r="BA331" s="152" t="n">
        <v>2</v>
      </c>
      <c r="BB331" s="152" t="n">
        <v>2</v>
      </c>
      <c r="BC331" s="152">
        <f>IF($A331="","",IF(COUNTIFS($A$3:$A331,$A331,$C$3:$C331,$C331,$D$3:$D331,$D331,$G$3:$G331,$G331)=1,1,0))</f>
        <v/>
      </c>
      <c r="BD331" s="152" t="n">
        <v>14</v>
      </c>
      <c r="BE331" s="152" t="n">
        <v>15</v>
      </c>
      <c r="BF331" s="152" t="n">
        <v>0.1</v>
      </c>
      <c r="BG331" s="152" t="inlineStr">
        <is>
          <t>no</t>
        </is>
      </c>
      <c r="BH331" s="152" t="n"/>
      <c r="BI331" s="152" t="n"/>
      <c r="BJ331" s="152" t="inlineStr">
        <is>
          <t>Dragos - Phase 3 scoring_rows.csv</t>
        </is>
      </c>
      <c r="BK331" s="152">
        <f>IF(OR($H331&lt;&gt;"Human",$S331="",$J331="",$Y331="",$Z331=""),"",IF(EXACT(UPPER($J331),UPPER($Y331)),1,0))</f>
        <v/>
      </c>
      <c r="BL331" s="152" t="inlineStr">
        <is>
          <t>attested - rater record</t>
        </is>
      </c>
      <c r="BM331" s="152" t="n">
        <v>1</v>
      </c>
      <c r="BN331" s="152" t="inlineStr">
        <is>
          <t>The Motley Fool</t>
        </is>
      </c>
      <c r="BO331" s="152" t="inlineStr">
        <is>
          <t>free to read, copyright asserted</t>
        </is>
      </c>
      <c r="BP331" s="152" t="inlineStr">
        <is>
          <t>no</t>
        </is>
      </c>
      <c r="BQ331" s="152" t="inlineStr">
        <is>
          <t>yes</t>
        </is>
      </c>
      <c r="BR331" s="152" t="n"/>
      <c r="BS331" s="152" t="inlineStr">
        <is>
          <t>YES</t>
        </is>
      </c>
      <c r="BT331" s="152" t="n"/>
    </row>
    <row r="332" ht="15" customHeight="1" s="241">
      <c r="A332" s="193" t="inlineStr">
        <is>
          <t>UnitedHealth</t>
        </is>
      </c>
      <c r="B332" s="194">
        <f>IF(A332="","",_xlfn.XLOOKUP(A332, Company_List!$A:$A, Company_List!$B:$B, ""))</f>
        <v/>
      </c>
      <c r="C332" s="177" t="n">
        <v>2025</v>
      </c>
      <c r="D332" s="177" t="inlineStr">
        <is>
          <t>Q3</t>
        </is>
      </c>
      <c r="E332" s="178" t="inlineStr">
        <is>
          <t>Transcript</t>
        </is>
      </c>
      <c r="F332" s="178" t="inlineStr">
        <is>
          <t>All</t>
        </is>
      </c>
      <c r="G332" s="177" t="inlineStr">
        <is>
          <t>Dragos</t>
        </is>
      </c>
      <c r="H332" s="177" t="inlineStr">
        <is>
          <t>Human</t>
        </is>
      </c>
      <c r="I332" s="180" t="n">
        <v>0</v>
      </c>
      <c r="J332" s="180">
        <f>IF(OR(I332="",Settings!$B$6=""),"",IF(I332&gt;Settings!$B$6,"BUY",IF(I332&lt;-Settings!$B$6,"SELL","HOLD")))</f>
        <v/>
      </c>
      <c r="K332" s="180" t="n">
        <v>29</v>
      </c>
      <c r="L332" s="182" t="n">
        <v>45958</v>
      </c>
      <c r="M332" s="182" t="n">
        <v>45957</v>
      </c>
      <c r="N332" s="179" t="n">
        <v>365.98</v>
      </c>
      <c r="O332" s="182" t="n">
        <v>45958</v>
      </c>
      <c r="P332" s="180" t="n">
        <v>380.68</v>
      </c>
      <c r="Q332" s="184">
        <f>IF(OR(N332="",P332=""),"",ROUND((P332-N332)/N332,4))</f>
        <v/>
      </c>
      <c r="R332" s="177">
        <f>IF(OR(N332="",P332=""),"",IF(Q332&gt;Settings!$B$3/100,"UP",IF(Q332&lt;-Settings!$B$3/100,"DOWN","FLAT")))</f>
        <v/>
      </c>
      <c r="S332" s="177">
        <f>IF(OR(N332="",P332="",J332=""),"",IF(OR(AND(J332="BUY",R332="UP"),AND(J332="SELL",R332="DOWN"),AND(J332="HOLD",R332="FLAT")),"YES","NO"))</f>
        <v/>
      </c>
      <c r="T332" s="176">
        <f>IF(J332="","",IF(J332="BUY",1,IF(J332="SELL",-1,0)))</f>
        <v/>
      </c>
      <c r="U332" s="184">
        <f>IFERROR(IF(OR(J332="",N332="",P332=""),"",IF(T332=0,0,T332*Q332-Settings!$B$4/10000-IF(T332&lt;0,Settings!$B$5/10000,0))),"")</f>
        <v/>
      </c>
      <c r="V332" s="152" t="inlineStr">
        <is>
          <t>qanda -0.2 in 11 min, then full document +0.0 in 18 min (+0.2). Full document broadly neutral - Trends are approximately 11%; delivered revenues of over $113 billion; These include average rate increases of over 25%. 8 forward claims flagged hypothetical and discounted, but the concrete numbers carry it.</t>
        </is>
      </c>
      <c r="W332" s="176">
        <f>IF($K332="","",$K332*60)</f>
        <v/>
      </c>
      <c r="X332" s="186">
        <f>IF($A332="","",$A332&amp;"|"&amp;$C332&amp;"|"&amp;$D332)</f>
        <v/>
      </c>
      <c r="Y332" s="186">
        <f>IFERROR(IF($X332="","",INDEX(LLM_Data_Entry!$H$3:$H$548,MATCH($X332,INDEX(LLM_Data_Entry!$A$3:$A$548&amp;"|"&amp;LLM_Data_Entry!$C$3:$C$548&amp;"|"&amp;LLM_Data_Entry!$D$3:$D$548,0),0))),"")</f>
        <v/>
      </c>
      <c r="Z332" s="186">
        <f>IFERROR(IF($X332="","",INDEX(LLM_Data_Entry!$R$3:$R$548,MATCH($X332,INDEX(LLM_Data_Entry!$A$3:$A$548&amp;"|"&amp;LLM_Data_Entry!$C$3:$C$548&amp;"|"&amp;LLM_Data_Entry!$D$3:$D$548,0),0))),"")</f>
        <v/>
      </c>
      <c r="AA332" s="152" t="n"/>
      <c r="AB332" s="152" t="inlineStr">
        <is>
          <t>release date + stated time in the document (rater worksheet)</t>
        </is>
      </c>
      <c r="AC332" s="152" t="inlineStr">
        <is>
          <t>UNH</t>
        </is>
      </c>
      <c r="AD332" s="152" t="inlineStr">
        <is>
          <t>2025-10-27</t>
        </is>
      </c>
      <c r="AE332" s="152" t="n">
        <v>358.6828</v>
      </c>
      <c r="AF332" s="152" t="inlineStr">
        <is>
          <t>2025-10-28</t>
        </is>
      </c>
      <c r="AG332" s="152" t="n">
        <v>373.0897</v>
      </c>
      <c r="AH332" s="152" t="n">
        <v>0.04016609929361072</v>
      </c>
      <c r="AI332" s="152" t="inlineStr">
        <is>
          <t>UP</t>
        </is>
      </c>
      <c r="AJ332" s="152" t="inlineStr">
        <is>
          <t>NO</t>
        </is>
      </c>
      <c r="AK332" s="152" t="n">
        <v>0</v>
      </c>
      <c r="AL332" s="152">
        <f>IF($A332="","",IFERROR(INDEX(Company_List!$G$3:$G$207,MATCH($A332,Company_List!$A$3:$A$207,0)),"unassigned"))</f>
        <v/>
      </c>
      <c r="AM332" s="152" t="inlineStr">
        <is>
          <t>Phase 2/Unitedhealth/2025-Q3/UNH-2025-Q3-earnings-call-transcript-news-alphastreet-com.html</t>
        </is>
      </c>
      <c r="AN332" s="152" t="inlineStr">
        <is>
          <t>https://news.alphastreet.com/unitedhealth-group-incorporated-unh-q3-2025-earnings-call-transcript/</t>
        </is>
      </c>
      <c r="AO332" s="152" t="inlineStr">
        <is>
          <t>manifest</t>
        </is>
      </c>
      <c r="AP332" s="152">
        <f>IF($A332="","",IF(COUNTIFS(LLM_Data_Entry!$A$3:$A$548,$A332)&gt;0,"YES","NO"))</f>
        <v/>
      </c>
      <c r="AQ332" s="152">
        <f>IF($A332="","",IF(COUNTIFS($A$3:$A332,$A332,$C$3:$C332,$C332,$D$3:$D332,$D332)=1,"YES","NO"))</f>
        <v/>
      </c>
      <c r="AR332" s="152">
        <f>IF($A332="","",IF(AND($C332&amp;"-"&amp;$D332&gt;=Settings!$B$19,$C332&amp;"-"&amp;$D332&lt;=Settings!$B$20),"IN","OUT"))</f>
        <v/>
      </c>
      <c r="AS332" s="152">
        <f>IF($A332="","",IF($F332="Financial Results","financials",IF($F332="Outlook/Guidance","guidance",IF($F332="Transcript Q&amp;A","qanda",IF($F332="","unrecorded",IF($E332="All","full",IF($E332="","unrecorded",LOWER($E332)&amp;" only")))))))</f>
        <v/>
      </c>
      <c r="AT332" s="152">
        <f>IF(AND(OR($J332="BUY",$J332="SELL"),ISNUMBER($U332)),$U332,"")</f>
        <v/>
      </c>
      <c r="AU332" s="152">
        <f>IF(AND(OR($J332="BUY",$J332="SELL"),ISNUMBER($AK332)),$AK332,"")</f>
        <v/>
      </c>
      <c r="AV332" s="152">
        <f>IF(ISNUMBER($AT332),ABS(IF(ISNUMBER($I332),$I332,0)-Settings!$B$24),"")</f>
        <v/>
      </c>
      <c r="AW332" s="152">
        <f>IF(ISNUMBER($AV332),$AV332*$AT332,"")</f>
        <v/>
      </c>
      <c r="AX332" s="152">
        <f>IF(ISNUMBER($AU332),ABS(IF(ISNUMBER($I332),$I332,0)-Settings!$B$24),"")</f>
        <v/>
      </c>
      <c r="AY332" s="152" t="inlineStr">
        <is>
          <t>FROZEN</t>
        </is>
      </c>
      <c r="AZ332" s="152">
        <f>IF($A332="","",IFERROR(INDEX(Company_List!$H$3:$H$207,MATCH($A332,Company_List!$A$3:$A$207,0)),"unassigned"))</f>
        <v/>
      </c>
      <c r="BA332" s="152" t="n">
        <v>2</v>
      </c>
      <c r="BB332" s="152" t="n">
        <v>2</v>
      </c>
      <c r="BC332" s="152">
        <f>IF($A332="","",IF(COUNTIFS($A$3:$A332,$A332,$C$3:$C332,$C332,$D$3:$D332,$D332,$G$3:$G332,$G332)=1,1,0))</f>
        <v/>
      </c>
      <c r="BD332" s="152" t="n">
        <v>11</v>
      </c>
      <c r="BE332" s="152" t="n">
        <v>18</v>
      </c>
      <c r="BF332" s="152" t="n">
        <v>-0.2</v>
      </c>
      <c r="BG332" s="152" t="inlineStr">
        <is>
          <t>no</t>
        </is>
      </c>
      <c r="BH332" s="152" t="n"/>
      <c r="BI332" s="152" t="n"/>
      <c r="BJ332" s="152" t="inlineStr">
        <is>
          <t>Dragos - Phase 3 scoring_rows.csv</t>
        </is>
      </c>
      <c r="BK332" s="152">
        <f>IF(OR($H332&lt;&gt;"Human",$S332="",$J332="",$Y332="",$Z332=""),"",IF(EXACT(UPPER($J332),UPPER($Y332)),1,0))</f>
        <v/>
      </c>
      <c r="BL332" s="152" t="inlineStr">
        <is>
          <t>attested - rater record</t>
        </is>
      </c>
      <c r="BM332" s="152" t="n">
        <v>1</v>
      </c>
      <c r="BN332" s="152" t="inlineStr">
        <is>
          <t>not publisher-identified</t>
        </is>
      </c>
      <c r="BO332" s="152" t="inlineStr">
        <is>
          <t>not publisher-identified</t>
        </is>
      </c>
      <c r="BP332" s="152" t="inlineStr">
        <is>
          <t>no</t>
        </is>
      </c>
      <c r="BQ332" s="152" t="inlineStr">
        <is>
          <t>yes</t>
        </is>
      </c>
      <c r="BR332" s="152" t="n"/>
      <c r="BS332" s="152" t="inlineStr">
        <is>
          <t>YES</t>
        </is>
      </c>
      <c r="BT332" s="152" t="n"/>
    </row>
    <row r="333" ht="15" customHeight="1" s="241">
      <c r="A333" s="193" t="inlineStr">
        <is>
          <t>Caterpillar</t>
        </is>
      </c>
      <c r="B333" s="194">
        <f>IF(A333="","",_xlfn.XLOOKUP(A333, Company_List!$A:$A, Company_List!$B:$B, ""))</f>
        <v/>
      </c>
      <c r="C333" s="177" t="n">
        <v>2025</v>
      </c>
      <c r="D333" s="177" t="inlineStr">
        <is>
          <t>Q3</t>
        </is>
      </c>
      <c r="E333" s="178" t="inlineStr">
        <is>
          <t>Transcript</t>
        </is>
      </c>
      <c r="F333" s="178" t="inlineStr">
        <is>
          <t>All</t>
        </is>
      </c>
      <c r="G333" s="177" t="inlineStr">
        <is>
          <t>Dragos</t>
        </is>
      </c>
      <c r="H333" s="177" t="inlineStr">
        <is>
          <t>Human</t>
        </is>
      </c>
      <c r="I333" s="180" t="n">
        <v>0.5</v>
      </c>
      <c r="J333" s="180">
        <f>IF(OR(I333="",Settings!$B$6=""),"",IF(I333&gt;Settings!$B$6,"BUY",IF(I333&lt;-Settings!$B$6,"SELL","HOLD")))</f>
        <v/>
      </c>
      <c r="K333" s="180" t="n">
        <v>27</v>
      </c>
      <c r="L333" s="182" t="n">
        <v>45959</v>
      </c>
      <c r="M333" s="182" t="n">
        <v>45958</v>
      </c>
      <c r="N333" s="179" t="n">
        <v>524.47</v>
      </c>
      <c r="O333" s="182" t="n">
        <v>45959</v>
      </c>
      <c r="P333" s="180" t="n">
        <v>558.1799999999999</v>
      </c>
      <c r="Q333" s="184">
        <f>IF(OR(N333="",P333=""),"",ROUND((P333-N333)/N333,4))</f>
        <v/>
      </c>
      <c r="R333" s="177">
        <f>IF(OR(N333="",P333=""),"",IF(Q333&gt;Settings!$B$3/100,"UP",IF(Q333&lt;-Settings!$B$3/100,"DOWN","FLAT")))</f>
        <v/>
      </c>
      <c r="S333" s="177">
        <f>IF(OR(N333="",P333="",J333=""),"",IF(OR(AND(J333="BUY",R333="UP"),AND(J333="SELL",R333="DOWN"),AND(J333="HOLD",R333="FLAT")),"YES","NO"))</f>
        <v/>
      </c>
      <c r="T333" s="176">
        <f>IF(J333="","",IF(J333="BUY",1,IF(J333="SELL",-1,0)))</f>
        <v/>
      </c>
      <c r="U333" s="184">
        <f>IFERROR(IF(OR(J333="",N333="",P333=""),"",IF(T333=0,0,T333*Q333-Settings!$B$4/10000-IF(T333&lt;0,Settings!$B$5/10000,0))),"")</f>
        <v/>
      </c>
      <c r="V333" s="152" t="inlineStr">
        <is>
          <t>qanda +0.5 in 10 min, then full document +0.5 in 17 min (no change). Full document adds the hard numbers behind the section - Sales increased by 7% in the third quarter; Sales and revenues were $17.6 billion, a 10% increase; Resource Industries sales increased by 2% in the third quarter. Against that: third quarter actually decreased by 3% to $3.1 billion compared. 8 forward claims flagged hypothetical and discounted, but the concrete numbers carry it.</t>
        </is>
      </c>
      <c r="W333" s="176">
        <f>IF($K333="","",$K333*60)</f>
        <v/>
      </c>
      <c r="X333" s="186">
        <f>IF($A333="","",$A333&amp;"|"&amp;$C333&amp;"|"&amp;$D333)</f>
        <v/>
      </c>
      <c r="Y333" s="186">
        <f>IFERROR(IF($X333="","",INDEX(LLM_Data_Entry!$H$3:$H$548,MATCH($X333,INDEX(LLM_Data_Entry!$A$3:$A$548&amp;"|"&amp;LLM_Data_Entry!$C$3:$C$548&amp;"|"&amp;LLM_Data_Entry!$D$3:$D$548,0),0))),"")</f>
        <v/>
      </c>
      <c r="Z333" s="186">
        <f>IFERROR(IF($X333="","",INDEX(LLM_Data_Entry!$R$3:$R$548,MATCH($X333,INDEX(LLM_Data_Entry!$A$3:$A$548&amp;"|"&amp;LLM_Data_Entry!$C$3:$C$548&amp;"|"&amp;LLM_Data_Entry!$D$3:$D$548,0),0))),"")</f>
        <v/>
      </c>
      <c r="AA333" s="152" t="n"/>
      <c r="AB333" s="152" t="inlineStr">
        <is>
          <t>price signal — only this window shows an abnormal move</t>
        </is>
      </c>
      <c r="AC333" s="152" t="inlineStr">
        <is>
          <t>CAT</t>
        </is>
      </c>
      <c r="AD333" s="152" t="inlineStr">
        <is>
          <t>2025-10-28</t>
        </is>
      </c>
      <c r="AE333" s="152" t="n">
        <v>521.2844</v>
      </c>
      <c r="AF333" s="152" t="inlineStr">
        <is>
          <t>2025-10-29</t>
        </is>
      </c>
      <c r="AG333" s="152" t="n">
        <v>554.7897</v>
      </c>
      <c r="AH333" s="152" t="n">
        <v>0.06427438246325795</v>
      </c>
      <c r="AI333" s="152" t="inlineStr">
        <is>
          <t>UP</t>
        </is>
      </c>
      <c r="AJ333" s="152" t="inlineStr">
        <is>
          <t>YES</t>
        </is>
      </c>
      <c r="AK333" s="152" t="n">
        <v>0.063274</v>
      </c>
      <c r="AL333" s="152">
        <f>IF($A333="","",IFERROR(INDEX(Company_List!$G$3:$G$207,MATCH($A333,Company_List!$A$3:$A$207,0)),"unassigned"))</f>
        <v/>
      </c>
      <c r="AM333" s="152" t="inlineStr">
        <is>
          <t>Phase 2/Caterpillar/2025-Q3/CAT-2025-Q3-earnings-call-transcript-caterpillar-q4cdn.pdf</t>
        </is>
      </c>
      <c r="AN333" s="152" t="inlineStr">
        <is>
          <t>https://s25.q4cdn.com/358376879/files/doc_financials/2025/q3/3Q-2025-Caterpillar-Inc-Earnings-Call-Transcript_-10-29-2025.pdf</t>
        </is>
      </c>
      <c r="AO333" s="152" t="inlineStr">
        <is>
          <t>manifest</t>
        </is>
      </c>
      <c r="AP333" s="152">
        <f>IF($A333="","",IF(COUNTIFS(LLM_Data_Entry!$A$3:$A$548,$A333)&gt;0,"YES","NO"))</f>
        <v/>
      </c>
      <c r="AQ333" s="152">
        <f>IF($A333="","",IF(COUNTIFS($A$3:$A333,$A333,$C$3:$C333,$C333,$D$3:$D333,$D333)=1,"YES","NO"))</f>
        <v/>
      </c>
      <c r="AR333" s="152">
        <f>IF($A333="","",IF(AND($C333&amp;"-"&amp;$D333&gt;=Settings!$B$19,$C333&amp;"-"&amp;$D333&lt;=Settings!$B$20),"IN","OUT"))</f>
        <v/>
      </c>
      <c r="AS333" s="152">
        <f>IF($A333="","",IF($F333="Financial Results","financials",IF($F333="Outlook/Guidance","guidance",IF($F333="Transcript Q&amp;A","qanda",IF($F333="","unrecorded",IF($E333="All","full",IF($E333="","unrecorded",LOWER($E333)&amp;" only")))))))</f>
        <v/>
      </c>
      <c r="AT333" s="152">
        <f>IF(AND(OR($J333="BUY",$J333="SELL"),ISNUMBER($U333)),$U333,"")</f>
        <v/>
      </c>
      <c r="AU333" s="152">
        <f>IF(AND(OR($J333="BUY",$J333="SELL"),ISNUMBER($AK333)),$AK333,"")</f>
        <v/>
      </c>
      <c r="AV333" s="152">
        <f>IF(ISNUMBER($AT333),ABS(IF(ISNUMBER($I333),$I333,0)-Settings!$B$24),"")</f>
        <v/>
      </c>
      <c r="AW333" s="152">
        <f>IF(ISNUMBER($AV333),$AV333*$AT333,"")</f>
        <v/>
      </c>
      <c r="AX333" s="152">
        <f>IF(ISNUMBER($AU333),ABS(IF(ISNUMBER($I333),$I333,0)-Settings!$B$24),"")</f>
        <v/>
      </c>
      <c r="AY333" s="152" t="inlineStr">
        <is>
          <t>FROZEN</t>
        </is>
      </c>
      <c r="AZ333" s="152">
        <f>IF($A333="","",IFERROR(INDEX(Company_List!$H$3:$H$207,MATCH($A333,Company_List!$A$3:$A$207,0)),"unassigned"))</f>
        <v/>
      </c>
      <c r="BA333" s="152" t="n">
        <v>2</v>
      </c>
      <c r="BB333" s="152" t="n">
        <v>2</v>
      </c>
      <c r="BC333" s="152">
        <f>IF($A333="","",IF(COUNTIFS($A$3:$A333,$A333,$C$3:$C333,$C333,$D$3:$D333,$D333,$G$3:$G333,$G333)=1,1,0))</f>
        <v/>
      </c>
      <c r="BD333" s="152" t="n">
        <v>10</v>
      </c>
      <c r="BE333" s="152" t="n">
        <v>17</v>
      </c>
      <c r="BF333" s="152" t="n">
        <v>0.5</v>
      </c>
      <c r="BG333" s="152" t="inlineStr">
        <is>
          <t>no</t>
        </is>
      </c>
      <c r="BH333" s="152" t="n"/>
      <c r="BI333" s="152" t="n"/>
      <c r="BJ333" s="152" t="inlineStr">
        <is>
          <t>Dragos - Phase 3 scoring_rows.csv</t>
        </is>
      </c>
      <c r="BK333" s="152">
        <f>IF(OR($H333&lt;&gt;"Human",$S333="",$J333="",$Y333="",$Z333=""),"",IF(EXACT(UPPER($J333),UPPER($Y333)),1,0))</f>
        <v/>
      </c>
      <c r="BL333" s="152" t="inlineStr">
        <is>
          <t>attested - rater record</t>
        </is>
      </c>
      <c r="BM333" s="152" t="n">
        <v>1</v>
      </c>
      <c r="BN333" s="152" t="inlineStr">
        <is>
          <t>not publisher-identified</t>
        </is>
      </c>
      <c r="BO333" s="152" t="inlineStr">
        <is>
          <t>not publisher-identified</t>
        </is>
      </c>
      <c r="BP333" s="152" t="inlineStr">
        <is>
          <t>no</t>
        </is>
      </c>
      <c r="BQ333" s="152" t="inlineStr">
        <is>
          <t>yes</t>
        </is>
      </c>
      <c r="BR333" s="152" t="n"/>
      <c r="BS333" s="152" t="inlineStr">
        <is>
          <t>YES</t>
        </is>
      </c>
      <c r="BT333" s="152" t="n"/>
    </row>
    <row r="334" ht="15" customHeight="1" s="241">
      <c r="A334" s="193" t="inlineStr">
        <is>
          <t>Home Depot</t>
        </is>
      </c>
      <c r="B334" s="194">
        <f>IF(A334="","",_xlfn.XLOOKUP(A334, Company_List!$A:$A, Company_List!$B:$B, ""))</f>
        <v/>
      </c>
      <c r="C334" s="177" t="n">
        <v>2025</v>
      </c>
      <c r="D334" s="177" t="inlineStr">
        <is>
          <t>Q3</t>
        </is>
      </c>
      <c r="E334" s="178" t="inlineStr">
        <is>
          <t>Transcript</t>
        </is>
      </c>
      <c r="F334" s="178" t="inlineStr">
        <is>
          <t>All</t>
        </is>
      </c>
      <c r="G334" s="177" t="inlineStr">
        <is>
          <t>Dragos</t>
        </is>
      </c>
      <c r="H334" s="177" t="inlineStr">
        <is>
          <t>Human</t>
        </is>
      </c>
      <c r="I334" s="180" t="n">
        <v>0.2</v>
      </c>
      <c r="J334" s="180">
        <f>IF(OR(I334="",Settings!$B$6=""),"",IF(I334&gt;Settings!$B$6,"BUY",IF(I334&lt;-Settings!$B$6,"SELL","HOLD")))</f>
        <v/>
      </c>
      <c r="K334" s="180" t="n">
        <v>24</v>
      </c>
      <c r="L334" s="182" t="n">
        <v>45979</v>
      </c>
      <c r="M334" s="182" t="n">
        <v>45978</v>
      </c>
      <c r="N334" s="179" t="n">
        <v>350.736</v>
      </c>
      <c r="O334" s="182" t="n">
        <v>45979</v>
      </c>
      <c r="P334" s="180" t="n">
        <v>333.0537</v>
      </c>
      <c r="Q334" s="184">
        <f>IF(OR(N334="",P334=""),"",ROUND((P334-N334)/N334,4))</f>
        <v/>
      </c>
      <c r="R334" s="177">
        <f>IF(OR(N334="",P334=""),"",IF(Q334&gt;Settings!$B$3/100,"UP",IF(Q334&lt;-Settings!$B$3/100,"DOWN","FLAT")))</f>
        <v/>
      </c>
      <c r="S334" s="177">
        <f>IF(OR(N334="",P334="",J334=""),"",IF(OR(AND(J334="BUY",R334="UP"),AND(J334="SELL",R334="DOWN"),AND(J334="HOLD",R334="FLAT")),"YES","NO"))</f>
        <v/>
      </c>
      <c r="T334" s="176">
        <f>IF(J334="","",IF(J334="BUY",1,IF(J334="SELL",-1,0)))</f>
        <v/>
      </c>
      <c r="U334" s="184">
        <f>IFERROR(IF(OR(J334="",N334="",P334=""),"",IF(T334=0,0,T334*Q334-Settings!$B$4/10000-IF(T334&lt;0,Settings!$B$5/10000,0))),"")</f>
        <v/>
      </c>
      <c r="V334" s="152" t="inlineStr">
        <is>
          <t>qanda +0.3 in 10 min, then full document +0.2 in 14 min (-0.1). Full document adds the hard numbers behind the section - third quarter, total sales were $41.4 billion, an increase of $1.1 billion; Sales for the third quarter were $41.4 billion, up 2.8% from the same; percent of sales increased approximately 55 basis points to 20.5% compared. Against that: total company comps were positive 0.2%, with comps of positive. 2 forward claims flagged hypothetical and discounted, but the concrete numbers carry it.</t>
        </is>
      </c>
      <c r="W334" s="176">
        <f>IF($K334="","",$K334*60)</f>
        <v/>
      </c>
      <c r="X334" s="186">
        <f>IF($A334="","",$A334&amp;"|"&amp;$C334&amp;"|"&amp;$D334)</f>
        <v/>
      </c>
      <c r="Y334" s="186">
        <f>IFERROR(IF($X334="","",INDEX(LLM_Data_Entry!$H$3:$H$548,MATCH($X334,INDEX(LLM_Data_Entry!$A$3:$A$548&amp;"|"&amp;LLM_Data_Entry!$C$3:$C$548&amp;"|"&amp;LLM_Data_Entry!$D$3:$D$548,0),0))),"")</f>
        <v/>
      </c>
      <c r="Z334" s="186">
        <f>IFERROR(IF($X334="","",INDEX(LLM_Data_Entry!$R$3:$R$548,MATCH($X334,INDEX(LLM_Data_Entry!$A$3:$A$548&amp;"|"&amp;LLM_Data_Entry!$C$3:$C$548&amp;"|"&amp;LLM_Data_Entry!$D$3:$D$548,0),0))),"")</f>
        <v/>
      </c>
      <c r="AA334" s="152" t="n"/>
      <c r="AB334" s="152" t="inlineStr">
        <is>
          <t>price signal — both moved; this one dominates</t>
        </is>
      </c>
      <c r="AC334" s="152" t="inlineStr">
        <is>
          <t>HD</t>
        </is>
      </c>
      <c r="AD334" s="152" t="inlineStr">
        <is>
          <t>2025-11-17</t>
        </is>
      </c>
      <c r="AE334" s="152" t="n">
        <v>350.736</v>
      </c>
      <c r="AF334" s="152" t="inlineStr">
        <is>
          <t>2025-11-18</t>
        </is>
      </c>
      <c r="AG334" s="152" t="n">
        <v>333.0537</v>
      </c>
      <c r="AH334" s="152" t="n">
        <v>-0.05041482772422101</v>
      </c>
      <c r="AI334" s="152" t="inlineStr">
        <is>
          <t>DOWN</t>
        </is>
      </c>
      <c r="AJ334" s="152" t="inlineStr">
        <is>
          <t>NO</t>
        </is>
      </c>
      <c r="AK334" s="152" t="n">
        <v>0</v>
      </c>
      <c r="AL334" s="152">
        <f>IF($A334="","",IFERROR(INDEX(Company_List!$G$3:$G$207,MATCH($A334,Company_List!$A$3:$A$207,0)),"unassigned"))</f>
        <v/>
      </c>
      <c r="AM334" s="152" t="inlineStr">
        <is>
          <t>Phase 3/Readings/Home Depot/2025-Q3/HD-2025-Q3-earnings-call-transcript-ir-homedepot-com.pdf</t>
        </is>
      </c>
      <c r="AN334" s="152" t="inlineStr">
        <is>
          <t>https://ir.homedepot.com/~/media/Files/H/HomeDepot-IR/2025/the-home-depot-inc-hd-us-q3-2025-earnings-call-v1.pdf</t>
        </is>
      </c>
      <c r="AO334" s="152" t="inlineStr">
        <is>
          <t>manifest</t>
        </is>
      </c>
      <c r="AP334" s="152">
        <f>IF($A334="","",IF(COUNTIFS(LLM_Data_Entry!$A$3:$A$548,$A334)&gt;0,"YES","NO"))</f>
        <v/>
      </c>
      <c r="AQ334" s="152">
        <f>IF($A334="","",IF(COUNTIFS($A$3:$A334,$A334,$C$3:$C334,$C334,$D$3:$D334,$D334)=1,"YES","NO"))</f>
        <v/>
      </c>
      <c r="AR334" s="152">
        <f>IF($A334="","",IF(AND($C334&amp;"-"&amp;$D334&gt;=Settings!$B$19,$C334&amp;"-"&amp;$D334&lt;=Settings!$B$20),"IN","OUT"))</f>
        <v/>
      </c>
      <c r="AS334" s="152">
        <f>IF($A334="","",IF($F334="Financial Results","financials",IF($F334="Outlook/Guidance","guidance",IF($F334="Transcript Q&amp;A","qanda",IF($F334="","unrecorded",IF($E334="All","full",IF($E334="","unrecorded",LOWER($E334)&amp;" only")))))))</f>
        <v/>
      </c>
      <c r="AT334" s="152">
        <f>IF(AND(OR($J334="BUY",$J334="SELL"),ISNUMBER($U334)),$U334,"")</f>
        <v/>
      </c>
      <c r="AU334" s="152">
        <f>IF(AND(OR($J334="BUY",$J334="SELL"),ISNUMBER($AK334)),$AK334,"")</f>
        <v/>
      </c>
      <c r="AV334" s="152">
        <f>IF(ISNUMBER($AT334),ABS(IF(ISNUMBER($I334),$I334,0)-Settings!$B$24),"")</f>
        <v/>
      </c>
      <c r="AW334" s="152">
        <f>IF(ISNUMBER($AV334),$AV334*$AT334,"")</f>
        <v/>
      </c>
      <c r="AX334" s="152">
        <f>IF(ISNUMBER($AU334),ABS(IF(ISNUMBER($I334),$I334,0)-Settings!$B$24),"")</f>
        <v/>
      </c>
      <c r="AY334" s="152" t="inlineStr">
        <is>
          <t>EXTENSION</t>
        </is>
      </c>
      <c r="AZ334" s="152">
        <f>IF($A334="","",IFERROR(INDEX(Company_List!$H$3:$H$207,MATCH($A334,Company_List!$A$3:$A$207,0)),"unassigned"))</f>
        <v/>
      </c>
      <c r="BA334" s="152" t="n">
        <v>2</v>
      </c>
      <c r="BB334" s="152" t="n">
        <v>2</v>
      </c>
      <c r="BC334" s="152">
        <f>IF($A334="","",IF(COUNTIFS($A$3:$A334,$A334,$C$3:$C334,$C334,$D$3:$D334,$D334,$G$3:$G334,$G334)=1,1,0))</f>
        <v/>
      </c>
      <c r="BD334" s="152" t="n">
        <v>10</v>
      </c>
      <c r="BE334" s="152" t="n">
        <v>14</v>
      </c>
      <c r="BF334" s="152" t="n">
        <v>0.3</v>
      </c>
      <c r="BG334" s="152" t="inlineStr">
        <is>
          <t>no</t>
        </is>
      </c>
      <c r="BH334" s="152" t="n"/>
      <c r="BI334" s="152" t="n"/>
      <c r="BJ334" s="152" t="inlineStr">
        <is>
          <t>Dragos - Phase 3 scoring_rows.csv</t>
        </is>
      </c>
      <c r="BK334" s="152">
        <f>IF(OR($H334&lt;&gt;"Human",$S334="",$J334="",$Y334="",$Z334=""),"",IF(EXACT(UPPER($J334),UPPER($Y334)),1,0))</f>
        <v/>
      </c>
      <c r="BL334" s="152" t="inlineStr">
        <is>
          <t>attested - rater record</t>
        </is>
      </c>
      <c r="BM334" s="152" t="n">
        <v>1</v>
      </c>
      <c r="BN334" s="152" t="inlineStr">
        <is>
          <t>FactSet CallStreet</t>
        </is>
      </c>
      <c r="BO334" s="152" t="inlineStr">
        <is>
          <t>licensed vendor</t>
        </is>
      </c>
      <c r="BP334" s="152" t="inlineStr">
        <is>
          <t>no</t>
        </is>
      </c>
      <c r="BQ334" s="152" t="inlineStr">
        <is>
          <t>yes</t>
        </is>
      </c>
      <c r="BR334" s="152" t="n"/>
      <c r="BS334" s="152" t="inlineStr">
        <is>
          <t>YES</t>
        </is>
      </c>
      <c r="BT334" s="152" t="n"/>
    </row>
    <row r="335" ht="15" customHeight="1" s="241">
      <c r="A335" s="193" t="inlineStr">
        <is>
          <t>Adobe</t>
        </is>
      </c>
      <c r="B335" s="194">
        <f>IF(A335="","",_xlfn.XLOOKUP(A335, Company_List!$A:$A, Company_List!$B:$B, ""))</f>
        <v/>
      </c>
      <c r="C335" s="177" t="n">
        <v>2025</v>
      </c>
      <c r="D335" s="177" t="inlineStr">
        <is>
          <t>Q4</t>
        </is>
      </c>
      <c r="E335" s="178" t="inlineStr">
        <is>
          <t>Transcript</t>
        </is>
      </c>
      <c r="F335" s="178" t="inlineStr">
        <is>
          <t>All</t>
        </is>
      </c>
      <c r="G335" s="177" t="inlineStr">
        <is>
          <t>Dragos</t>
        </is>
      </c>
      <c r="H335" s="177" t="inlineStr">
        <is>
          <t>Human</t>
        </is>
      </c>
      <c r="I335" s="180" t="n">
        <v>0.9</v>
      </c>
      <c r="J335" s="180">
        <f>IF(OR(I335="",Settings!$B$6=""),"",IF(I335&gt;Settings!$B$6,"BUY",IF(I335&lt;-Settings!$B$6,"SELL","HOLD")))</f>
        <v/>
      </c>
      <c r="K335" s="180" t="n">
        <v>15</v>
      </c>
      <c r="L335" s="182" t="n">
        <v>46001</v>
      </c>
      <c r="M335" s="182" t="n">
        <v>46001</v>
      </c>
      <c r="N335" s="179" t="n">
        <v>343.13</v>
      </c>
      <c r="O335" s="182" t="n">
        <v>46002</v>
      </c>
      <c r="P335" s="180" t="n">
        <v>341.65</v>
      </c>
      <c r="Q335" s="184">
        <f>IF(OR(N335="",P335=""),"",ROUND((P335-N335)/N335,4))</f>
        <v/>
      </c>
      <c r="R335" s="177">
        <f>IF(OR(N335="",P335=""),"",IF(Q335&gt;Settings!$B$3/100,"UP",IF(Q335&lt;-Settings!$B$3/100,"DOWN","FLAT")))</f>
        <v/>
      </c>
      <c r="S335" s="177">
        <f>IF(OR(N335="",P335="",J335=""),"",IF(OR(AND(J335="BUY",R335="UP"),AND(J335="SELL",R335="DOWN"),AND(J335="HOLD",R335="FLAT")),"YES","NO"))</f>
        <v/>
      </c>
      <c r="T335" s="176">
        <f>IF(J335="","",IF(J335="BUY",1,IF(J335="SELL",-1,0)))</f>
        <v/>
      </c>
      <c r="U335" s="184">
        <f>IFERROR(IF(OR(J335="",N335="",P335=""),"",IF(T335=0,0,T335*Q335-Settings!$B$4/10000-IF(T335&lt;0,Settings!$B$5/10000,0))),"")</f>
        <v/>
      </c>
      <c r="V335" s="152" t="inlineStr">
        <is>
          <t>Full document strong across the board - RPO of $22.52 billion exiting the year, growing 13%; GAAP EPS in Q4 was $4.45 and non-GAAP EPS was $5.5; GAAP EPS for the year was $16.7 and non-GAAP EPS was $20.94. Against that: Cash flows from operations of $10.03 billion and ending cash. 7 forward claims flagged hypothetical and discounted, but the concrete numbers carry it.</t>
        </is>
      </c>
      <c r="W335" s="176">
        <f>IF($K335="","",$K335*60)</f>
        <v/>
      </c>
      <c r="X335" s="186">
        <f>IF($A335="","",$A335&amp;"|"&amp;$C335&amp;"|"&amp;$D335)</f>
        <v/>
      </c>
      <c r="Y335" s="186">
        <f>IFERROR(IF($X335="","",INDEX(LLM_Data_Entry!$H$3:$H$548,MATCH($X335,INDEX(LLM_Data_Entry!$A$3:$A$548&amp;"|"&amp;LLM_Data_Entry!$C$3:$C$548&amp;"|"&amp;LLM_Data_Entry!$D$3:$D$548,0),0))),"")</f>
        <v/>
      </c>
      <c r="Z335" s="186">
        <f>IFERROR(IF($X335="","",INDEX(LLM_Data_Entry!$R$3:$R$548,MATCH($X335,INDEX(LLM_Data_Entry!$A$3:$A$548&amp;"|"&amp;LLM_Data_Entry!$C$3:$C$548&amp;"|"&amp;LLM_Data_Entry!$D$3:$D$548,0),0))),"")</f>
        <v/>
      </c>
      <c r="AA335" s="152" t="n"/>
      <c r="AB335" s="152" t="inlineStr">
        <is>
          <t>release time published by the issuer</t>
        </is>
      </c>
      <c r="AC335" s="152" t="inlineStr">
        <is>
          <t>ADBE</t>
        </is>
      </c>
      <c r="AD335" s="152" t="inlineStr">
        <is>
          <t>2025-12-10</t>
        </is>
      </c>
      <c r="AE335" s="152" t="n">
        <v>343.13</v>
      </c>
      <c r="AF335" s="152" t="inlineStr">
        <is>
          <t>2025-12-11</t>
        </is>
      </c>
      <c r="AG335" s="152" t="n">
        <v>341.65</v>
      </c>
      <c r="AH335" s="152" t="n">
        <v>-0.004313266046203072</v>
      </c>
      <c r="AI335" s="152" t="inlineStr">
        <is>
          <t>FLAT</t>
        </is>
      </c>
      <c r="AJ335" s="152" t="inlineStr">
        <is>
          <t>NO</t>
        </is>
      </c>
      <c r="AK335" s="152" t="n">
        <v>-0.005313</v>
      </c>
      <c r="AL335" s="152">
        <f>IF($A335="","",IFERROR(INDEX(Company_List!$G$3:$G$207,MATCH($A335,Company_List!$A$3:$A$207,0)),"unassigned"))</f>
        <v/>
      </c>
      <c r="AM335" s="152" t="inlineStr">
        <is>
          <t>Phase 3/Readings/Adobe/2025-Q4/ADBE-2025-Q4-earnings-call-transcript-fool-com.html</t>
        </is>
      </c>
      <c r="AN335" s="152" t="inlineStr">
        <is>
          <t>https://www.fool.com/earnings/call-transcripts/2025/12/10/adobe-adbe-q4-2025-earnings-call-transcript/</t>
        </is>
      </c>
      <c r="AO335" s="152" t="inlineStr">
        <is>
          <t>manifest</t>
        </is>
      </c>
      <c r="AP335" s="152">
        <f>IF($A335="","",IF(COUNTIFS(LLM_Data_Entry!$A$3:$A$548,$A335)&gt;0,"YES","NO"))</f>
        <v/>
      </c>
      <c r="AQ335" s="152">
        <f>IF($A335="","",IF(COUNTIFS($A$3:$A335,$A335,$C$3:$C335,$C335,$D$3:$D335,$D335)=1,"YES","NO"))</f>
        <v/>
      </c>
      <c r="AR335" s="152">
        <f>IF($A335="","",IF(AND($C335&amp;"-"&amp;$D335&gt;=Settings!$B$19,$C335&amp;"-"&amp;$D335&lt;=Settings!$B$20),"IN","OUT"))</f>
        <v/>
      </c>
      <c r="AS335" s="152">
        <f>IF($A335="","",IF($F335="Financial Results","financials",IF($F335="Outlook/Guidance","guidance",IF($F335="Transcript Q&amp;A","qanda",IF($F335="","unrecorded",IF($E335="All","full",IF($E335="","unrecorded",LOWER($E335)&amp;" only")))))))</f>
        <v/>
      </c>
      <c r="AT335" s="152">
        <f>IF(AND(OR($J335="BUY",$J335="SELL"),ISNUMBER($U335)),$U335,"")</f>
        <v/>
      </c>
      <c r="AU335" s="152">
        <f>IF(AND(OR($J335="BUY",$J335="SELL"),ISNUMBER($AK335)),$AK335,"")</f>
        <v/>
      </c>
      <c r="AV335" s="152">
        <f>IF(ISNUMBER($AT335),ABS(IF(ISNUMBER($I335),$I335,0)-Settings!$B$24),"")</f>
        <v/>
      </c>
      <c r="AW335" s="152">
        <f>IF(ISNUMBER($AV335),$AV335*$AT335,"")</f>
        <v/>
      </c>
      <c r="AX335" s="152">
        <f>IF(ISNUMBER($AU335),ABS(IF(ISNUMBER($I335),$I335,0)-Settings!$B$24),"")</f>
        <v/>
      </c>
      <c r="AY335" s="152" t="inlineStr">
        <is>
          <t>EXTENSION</t>
        </is>
      </c>
      <c r="AZ335" s="152">
        <f>IF($A335="","",IFERROR(INDEX(Company_List!$H$3:$H$207,MATCH($A335,Company_List!$A$3:$A$207,0)),"unassigned"))</f>
        <v/>
      </c>
      <c r="BA335" s="152" t="n">
        <v>1</v>
      </c>
      <c r="BB335" s="152" t="n">
        <v>1</v>
      </c>
      <c r="BC335" s="152">
        <f>IF($A335="","",IF(COUNTIFS($A$3:$A335,$A335,$C$3:$C335,$C335,$D$3:$D335,$D335,$G$3:$G335,$G335)=1,1,0))</f>
        <v/>
      </c>
      <c r="BD335" s="152" t="n">
        <v>15</v>
      </c>
      <c r="BE335" s="152" t="n"/>
      <c r="BF335" s="152" t="n"/>
      <c r="BG335" s="152" t="inlineStr">
        <is>
          <t>no</t>
        </is>
      </c>
      <c r="BH335" s="152" t="n"/>
      <c r="BI335" s="152" t="n"/>
      <c r="BJ335" s="152" t="inlineStr">
        <is>
          <t>Dragos - Phase 3 scoring_rows.csv</t>
        </is>
      </c>
      <c r="BK335" s="152">
        <f>IF(OR($H335&lt;&gt;"Human",$S335="",$J335="",$Y335="",$Z335=""),"",IF(EXACT(UPPER($J335),UPPER($Y335)),1,0))</f>
        <v/>
      </c>
      <c r="BL335" s="152" t="inlineStr">
        <is>
          <t>attested - rater record</t>
        </is>
      </c>
      <c r="BM335" s="152" t="n">
        <v>1</v>
      </c>
      <c r="BN335" s="152" t="inlineStr">
        <is>
          <t>The Motley Fool</t>
        </is>
      </c>
      <c r="BO335" s="152" t="inlineStr">
        <is>
          <t>free to read, copyright asserted</t>
        </is>
      </c>
      <c r="BP335" s="152" t="inlineStr">
        <is>
          <t>no</t>
        </is>
      </c>
      <c r="BQ335" s="152" t="inlineStr">
        <is>
          <t>yes</t>
        </is>
      </c>
      <c r="BR335" s="152" t="n"/>
      <c r="BS335" s="152" t="inlineStr">
        <is>
          <t>YES</t>
        </is>
      </c>
      <c r="BT335" s="152" t="n"/>
    </row>
    <row r="336" ht="15" customHeight="1" s="241">
      <c r="A336" s="193" t="inlineStr">
        <is>
          <t>Freeport-McMoRan</t>
        </is>
      </c>
      <c r="B336" s="194">
        <f>IF(A336="","",_xlfn.XLOOKUP(A336, Company_List!$A:$A, Company_List!$B:$B, ""))</f>
        <v/>
      </c>
      <c r="C336" s="177" t="n">
        <v>2025</v>
      </c>
      <c r="D336" s="177" t="inlineStr">
        <is>
          <t>Q4</t>
        </is>
      </c>
      <c r="E336" s="178" t="inlineStr">
        <is>
          <t>Transcript</t>
        </is>
      </c>
      <c r="F336" s="178" t="inlineStr">
        <is>
          <t>All</t>
        </is>
      </c>
      <c r="G336" s="177" t="inlineStr">
        <is>
          <t>Dragos</t>
        </is>
      </c>
      <c r="H336" s="177" t="inlineStr">
        <is>
          <t>Human</t>
        </is>
      </c>
      <c r="I336" s="180" t="n">
        <v>0.6</v>
      </c>
      <c r="J336" s="180">
        <f>IF(OR(I336="",Settings!$B$6=""),"",IF(I336&gt;Settings!$B$6,"BUY",IF(I336&lt;-Settings!$B$6,"SELL","HOLD")))</f>
        <v/>
      </c>
      <c r="K336" s="180" t="n">
        <v>16</v>
      </c>
      <c r="L336" s="182" t="n">
        <v>46044</v>
      </c>
      <c r="M336" s="182" t="n">
        <v>46043</v>
      </c>
      <c r="N336" s="179" t="n">
        <v>60.3005</v>
      </c>
      <c r="O336" s="182" t="n">
        <v>46044</v>
      </c>
      <c r="P336" s="180" t="n">
        <v>60.4996</v>
      </c>
      <c r="Q336" s="184">
        <f>IF(OR(N336="",P336=""),"",ROUND((P336-N336)/N336,4))</f>
        <v/>
      </c>
      <c r="R336" s="177">
        <f>IF(OR(N336="",P336=""),"",IF(Q336&gt;Settings!$B$3/100,"UP",IF(Q336&lt;-Settings!$B$3/100,"DOWN","FLAT")))</f>
        <v/>
      </c>
      <c r="S336" s="177">
        <f>IF(OR(N336="",P336="",J336=""),"",IF(OR(AND(J336="BUY",R336="UP"),AND(J336="SELL",R336="DOWN"),AND(J336="HOLD",R336="FLAT")),"YES","NO"))</f>
        <v/>
      </c>
      <c r="T336" s="176">
        <f>IF(J336="","",IF(J336="BUY",1,IF(J336="SELL",-1,0)))</f>
        <v/>
      </c>
      <c r="U336" s="184">
        <f>IFERROR(IF(OR(J336="",N336="",P336=""),"",IF(T336=0,0,T336*Q336-Settings!$B$4/10000-IF(T336&lt;0,Settings!$B$5/10000,0))),"")</f>
        <v/>
      </c>
      <c r="V336" s="152" t="inlineStr">
        <is>
          <t>Full document strong across the board - benefit from improving gold prices with each $100 per ounce change in price; focus really is getting the 85% up and running; we're 97% of what we need. Against that: Capital expenditures for 2025 totaled $3.9 billion, half a billion dollars. 8 forward claims flagged hypothetical (leach scaling) and discounted, but the concrete numbers carry it.</t>
        </is>
      </c>
      <c r="W336" s="176">
        <f>IF($K336="","",$K336*60)</f>
        <v/>
      </c>
      <c r="X336" s="186">
        <f>IF($A336="","",$A336&amp;"|"&amp;$C336&amp;"|"&amp;$D336)</f>
        <v/>
      </c>
      <c r="Y336" s="186">
        <f>IFERROR(IF($X336="","",INDEX(LLM_Data_Entry!$H$3:$H$548,MATCH($X336,INDEX(LLM_Data_Entry!$A$3:$A$548&amp;"|"&amp;LLM_Data_Entry!$C$3:$C$548&amp;"|"&amp;LLM_Data_Entry!$D$3:$D$548,0),0))),"")</f>
        <v/>
      </c>
      <c r="Z336" s="186">
        <f>IFERROR(IF($X336="","",INDEX(LLM_Data_Entry!$R$3:$R$548,MATCH($X336,INDEX(LLM_Data_Entry!$A$3:$A$548&amp;"|"&amp;LLM_Data_Entry!$C$3:$C$548&amp;"|"&amp;LLM_Data_Entry!$D$3:$D$548,0),0))),"")</f>
        <v/>
      </c>
      <c r="AA336" s="152" t="n"/>
      <c r="AB336" s="152" t="inlineStr">
        <is>
          <t>earnings calendar, seconded independently</t>
        </is>
      </c>
      <c r="AC336" s="152" t="inlineStr">
        <is>
          <t>FCX</t>
        </is>
      </c>
      <c r="AD336" s="152" t="inlineStr">
        <is>
          <t>2026-01-21</t>
        </is>
      </c>
      <c r="AE336" s="152" t="n">
        <v>60.3005</v>
      </c>
      <c r="AF336" s="152" t="inlineStr">
        <is>
          <t>2026-01-22</t>
        </is>
      </c>
      <c r="AG336" s="152" t="n">
        <v>60.4996</v>
      </c>
      <c r="AH336" s="152" t="n">
        <v>0.003301373776602521</v>
      </c>
      <c r="AI336" s="152" t="inlineStr">
        <is>
          <t>FLAT</t>
        </is>
      </c>
      <c r="AJ336" s="152" t="inlineStr">
        <is>
          <t>NO</t>
        </is>
      </c>
      <c r="AK336" s="152" t="n">
        <v>0.002301</v>
      </c>
      <c r="AL336" s="152">
        <f>IF($A336="","",IFERROR(INDEX(Company_List!$G$3:$G$207,MATCH($A336,Company_List!$A$3:$A$207,0)),"unassigned"))</f>
        <v/>
      </c>
      <c r="AM336" s="152" t="inlineStr">
        <is>
          <t>Phase 3/Readings/Freeport-McMoRan/2025-Q4/FCX-2025-Q4-earnings-call-transcript-fool-com.html</t>
        </is>
      </c>
      <c r="AN336" s="152" t="inlineStr">
        <is>
          <t>https://www.fool.com/earnings/call-transcripts/2026/01/22/freeport-mcmoran-fcx-q4-2025-earnings-transcript/</t>
        </is>
      </c>
      <c r="AO336" s="152" t="inlineStr">
        <is>
          <t>manifest</t>
        </is>
      </c>
      <c r="AP336" s="152">
        <f>IF($A336="","",IF(COUNTIFS(LLM_Data_Entry!$A$3:$A$548,$A336)&gt;0,"YES","NO"))</f>
        <v/>
      </c>
      <c r="AQ336" s="152">
        <f>IF($A336="","",IF(COUNTIFS($A$3:$A336,$A336,$C$3:$C336,$C336,$D$3:$D336,$D336)=1,"YES","NO"))</f>
        <v/>
      </c>
      <c r="AR336" s="152">
        <f>IF($A336="","",IF(AND($C336&amp;"-"&amp;$D336&gt;=Settings!$B$19,$C336&amp;"-"&amp;$D336&lt;=Settings!$B$20),"IN","OUT"))</f>
        <v/>
      </c>
      <c r="AS336" s="152">
        <f>IF($A336="","",IF($F336="Financial Results","financials",IF($F336="Outlook/Guidance","guidance",IF($F336="Transcript Q&amp;A","qanda",IF($F336="","unrecorded",IF($E336="All","full",IF($E336="","unrecorded",LOWER($E336)&amp;" only")))))))</f>
        <v/>
      </c>
      <c r="AT336" s="152">
        <f>IF(AND(OR($J336="BUY",$J336="SELL"),ISNUMBER($U336)),$U336,"")</f>
        <v/>
      </c>
      <c r="AU336" s="152">
        <f>IF(AND(OR($J336="BUY",$J336="SELL"),ISNUMBER($AK336)),$AK336,"")</f>
        <v/>
      </c>
      <c r="AV336" s="152">
        <f>IF(ISNUMBER($AT336),ABS(IF(ISNUMBER($I336),$I336,0)-Settings!$B$24),"")</f>
        <v/>
      </c>
      <c r="AW336" s="152">
        <f>IF(ISNUMBER($AV336),$AV336*$AT336,"")</f>
        <v/>
      </c>
      <c r="AX336" s="152">
        <f>IF(ISNUMBER($AU336),ABS(IF(ISNUMBER($I336),$I336,0)-Settings!$B$24),"")</f>
        <v/>
      </c>
      <c r="AY336" s="152" t="inlineStr">
        <is>
          <t>EXTENSION</t>
        </is>
      </c>
      <c r="AZ336" s="152">
        <f>IF($A336="","",IFERROR(INDEX(Company_List!$H$3:$H$207,MATCH($A336,Company_List!$A$3:$A$207,0)),"unassigned"))</f>
        <v/>
      </c>
      <c r="BA336" s="152" t="n">
        <v>1</v>
      </c>
      <c r="BB336" s="152" t="n">
        <v>1</v>
      </c>
      <c r="BC336" s="152">
        <f>IF($A336="","",IF(COUNTIFS($A$3:$A336,$A336,$C$3:$C336,$C336,$D$3:$D336,$D336,$G$3:$G336,$G336)=1,1,0))</f>
        <v/>
      </c>
      <c r="BD336" s="152" t="n">
        <v>16</v>
      </c>
      <c r="BE336" s="152" t="n"/>
      <c r="BF336" s="152" t="n"/>
      <c r="BG336" s="152" t="inlineStr">
        <is>
          <t>no</t>
        </is>
      </c>
      <c r="BH336" s="152" t="n"/>
      <c r="BI336" s="152" t="n"/>
      <c r="BJ336" s="152" t="inlineStr">
        <is>
          <t>Dragos - Phase 3 scoring_rows.csv</t>
        </is>
      </c>
      <c r="BK336" s="152">
        <f>IF(OR($H336&lt;&gt;"Human",$S336="",$J336="",$Y336="",$Z336=""),"",IF(EXACT(UPPER($J336),UPPER($Y336)),1,0))</f>
        <v/>
      </c>
      <c r="BL336" s="152" t="inlineStr">
        <is>
          <t>attested - rater record</t>
        </is>
      </c>
      <c r="BM336" s="152" t="n">
        <v>1</v>
      </c>
      <c r="BN336" s="152" t="inlineStr">
        <is>
          <t>The Motley Fool</t>
        </is>
      </c>
      <c r="BO336" s="152" t="inlineStr">
        <is>
          <t>free to read, copyright asserted</t>
        </is>
      </c>
      <c r="BP336" s="152" t="inlineStr">
        <is>
          <t>no</t>
        </is>
      </c>
      <c r="BQ336" s="152" t="inlineStr">
        <is>
          <t>yes</t>
        </is>
      </c>
      <c r="BR336" s="152" t="n"/>
      <c r="BS336" s="152" t="inlineStr">
        <is>
          <t>YES</t>
        </is>
      </c>
      <c r="BT336" s="152" t="n"/>
    </row>
    <row r="337" ht="15" customHeight="1" s="241">
      <c r="A337" s="193" t="inlineStr">
        <is>
          <t>UnitedHealth</t>
        </is>
      </c>
      <c r="B337" s="194">
        <f>IF(A337="","",_xlfn.XLOOKUP(A337, Company_List!$A:$A, Company_List!$B:$B, ""))</f>
        <v/>
      </c>
      <c r="C337" s="177" t="n">
        <v>2025</v>
      </c>
      <c r="D337" s="177" t="inlineStr">
        <is>
          <t>Q4</t>
        </is>
      </c>
      <c r="E337" s="178" t="inlineStr">
        <is>
          <t>Transcript</t>
        </is>
      </c>
      <c r="F337" s="178" t="inlineStr">
        <is>
          <t>All</t>
        </is>
      </c>
      <c r="G337" s="177" t="inlineStr">
        <is>
          <t>Dragos</t>
        </is>
      </c>
      <c r="H337" s="177" t="inlineStr">
        <is>
          <t>Human</t>
        </is>
      </c>
      <c r="I337" s="180" t="n">
        <v>0.5</v>
      </c>
      <c r="J337" s="180">
        <f>IF(OR(I337="",Settings!$B$6=""),"",IF(I337&gt;Settings!$B$6,"BUY",IF(I337&lt;-Settings!$B$6,"SELL","HOLD")))</f>
        <v/>
      </c>
      <c r="K337" s="180" t="n">
        <v>12</v>
      </c>
      <c r="L337" s="182" t="n">
        <v>46049</v>
      </c>
      <c r="M337" s="182" t="n">
        <v>46048</v>
      </c>
      <c r="N337" s="179" t="n">
        <v>351.64</v>
      </c>
      <c r="O337" s="182" t="n">
        <v>46049</v>
      </c>
      <c r="P337" s="180" t="n">
        <v>293.97</v>
      </c>
      <c r="Q337" s="184">
        <f>IF(OR(N337="",P337=""),"",ROUND((P337-N337)/N337,4))</f>
        <v/>
      </c>
      <c r="R337" s="177">
        <f>IF(OR(N337="",P337=""),"",IF(Q337&gt;Settings!$B$3/100,"UP",IF(Q337&lt;-Settings!$B$3/100,"DOWN","FLAT")))</f>
        <v/>
      </c>
      <c r="S337" s="177">
        <f>IF(OR(N337="",P337="",J337=""),"",IF(OR(AND(J337="BUY",R337="UP"),AND(J337="SELL",R337="DOWN"),AND(J337="HOLD",R337="FLAT")),"YES","NO"))</f>
        <v/>
      </c>
      <c r="T337" s="176">
        <f>IF(J337="","",IF(J337="BUY",1,IF(J337="SELL",-1,0)))</f>
        <v/>
      </c>
      <c r="U337" s="184">
        <f>IFERROR(IF(OR(J337="",N337="",P337=""),"",IF(T337=0,0,T337*Q337-Settings!$B$4/10000-IF(T337&lt;0,Settings!$B$5/10000,0))),"")</f>
        <v/>
      </c>
      <c r="V337" s="152" t="inlineStr">
        <is>
          <t>Full document strong across the board - delivered revenues of nearly $448 billion; adjusted earnings per share of greater than $17.75 for growth of at least; expect earning growth of greater than 4%. Against that: anticipate operating cost reductions of nearly $1 billion in 2026 many AI. 5 forward claims flagged hypothetical and discounted, but the concrete numbers carry it.</t>
        </is>
      </c>
      <c r="W337" s="176">
        <f>IF($K337="","",$K337*60)</f>
        <v/>
      </c>
      <c r="X337" s="186">
        <f>IF($A337="","",$A337&amp;"|"&amp;$C337&amp;"|"&amp;$D337)</f>
        <v/>
      </c>
      <c r="Y337" s="186">
        <f>IFERROR(IF($X337="","",INDEX(LLM_Data_Entry!$H$3:$H$548,MATCH($X337,INDEX(LLM_Data_Entry!$A$3:$A$548&amp;"|"&amp;LLM_Data_Entry!$C$3:$C$548&amp;"|"&amp;LLM_Data_Entry!$D$3:$D$548,0),0))),"")</f>
        <v/>
      </c>
      <c r="Z337" s="186">
        <f>IFERROR(IF($X337="","",INDEX(LLM_Data_Entry!$R$3:$R$548,MATCH($X337,INDEX(LLM_Data_Entry!$A$3:$A$548&amp;"|"&amp;LLM_Data_Entry!$C$3:$C$548&amp;"|"&amp;LLM_Data_Entry!$D$3:$D$548,0),0))),"")</f>
        <v/>
      </c>
      <c r="AA337" s="152" t="n"/>
      <c r="AB337" s="152" t="inlineStr">
        <is>
          <t>price signal — only this window shows an abnormal move</t>
        </is>
      </c>
      <c r="AC337" s="152" t="inlineStr">
        <is>
          <t>UNH</t>
        </is>
      </c>
      <c r="AD337" s="152" t="inlineStr">
        <is>
          <t>2026-01-26</t>
        </is>
      </c>
      <c r="AE337" s="152" t="n">
        <v>346.9458</v>
      </c>
      <c r="AF337" s="152" t="inlineStr">
        <is>
          <t>2026-01-27</t>
        </is>
      </c>
      <c r="AG337" s="152" t="n">
        <v>290.0456</v>
      </c>
      <c r="AH337" s="152" t="n">
        <v>-0.1640029927523373</v>
      </c>
      <c r="AI337" s="152" t="inlineStr">
        <is>
          <t>DOWN</t>
        </is>
      </c>
      <c r="AJ337" s="152" t="inlineStr">
        <is>
          <t>NO</t>
        </is>
      </c>
      <c r="AK337" s="152" t="n">
        <v>-0.165003</v>
      </c>
      <c r="AL337" s="152">
        <f>IF($A337="","",IFERROR(INDEX(Company_List!$G$3:$G$207,MATCH($A337,Company_List!$A$3:$A$207,0)),"unassigned"))</f>
        <v/>
      </c>
      <c r="AM337" s="152" t="inlineStr">
        <is>
          <t>Phase 2/Unitedhealth/2025-Q4/UNH-2025-Q4-earnings-call-transcript-unitedhealthgroup-com.pdf</t>
        </is>
      </c>
      <c r="AN337" s="152" t="inlineStr">
        <is>
          <t>https://www.unitedhealthgroup.com/content/dam/UHG/PDF/investors/2025/unh-q4-2025-remarks.pdf</t>
        </is>
      </c>
      <c r="AO337" s="152" t="inlineStr">
        <is>
          <t>manifest</t>
        </is>
      </c>
      <c r="AP337" s="152">
        <f>IF($A337="","",IF(COUNTIFS(LLM_Data_Entry!$A$3:$A$548,$A337)&gt;0,"YES","NO"))</f>
        <v/>
      </c>
      <c r="AQ337" s="152">
        <f>IF($A337="","",IF(COUNTIFS($A$3:$A337,$A337,$C$3:$C337,$C337,$D$3:$D337,$D337)=1,"YES","NO"))</f>
        <v/>
      </c>
      <c r="AR337" s="152">
        <f>IF($A337="","",IF(AND($C337&amp;"-"&amp;$D337&gt;=Settings!$B$19,$C337&amp;"-"&amp;$D337&lt;=Settings!$B$20),"IN","OUT"))</f>
        <v/>
      </c>
      <c r="AS337" s="152">
        <f>IF($A337="","",IF($F337="Financial Results","financials",IF($F337="Outlook/Guidance","guidance",IF($F337="Transcript Q&amp;A","qanda",IF($F337="","unrecorded",IF($E337="All","full",IF($E337="","unrecorded",LOWER($E337)&amp;" only")))))))</f>
        <v/>
      </c>
      <c r="AT337" s="152">
        <f>IF(AND(OR($J337="BUY",$J337="SELL"),ISNUMBER($U337)),$U337,"")</f>
        <v/>
      </c>
      <c r="AU337" s="152">
        <f>IF(AND(OR($J337="BUY",$J337="SELL"),ISNUMBER($AK337)),$AK337,"")</f>
        <v/>
      </c>
      <c r="AV337" s="152">
        <f>IF(ISNUMBER($AT337),ABS(IF(ISNUMBER($I337),$I337,0)-Settings!$B$24),"")</f>
        <v/>
      </c>
      <c r="AW337" s="152">
        <f>IF(ISNUMBER($AV337),$AV337*$AT337,"")</f>
        <v/>
      </c>
      <c r="AX337" s="152">
        <f>IF(ISNUMBER($AU337),ABS(IF(ISNUMBER($I337),$I337,0)-Settings!$B$24),"")</f>
        <v/>
      </c>
      <c r="AY337" s="152" t="inlineStr">
        <is>
          <t>FROZEN</t>
        </is>
      </c>
      <c r="AZ337" s="152">
        <f>IF($A337="","",IFERROR(INDEX(Company_List!$H$3:$H$207,MATCH($A337,Company_List!$A$3:$A$207,0)),"unassigned"))</f>
        <v/>
      </c>
      <c r="BA337" s="152" t="n">
        <v>1</v>
      </c>
      <c r="BB337" s="152" t="n">
        <v>1</v>
      </c>
      <c r="BC337" s="152">
        <f>IF($A337="","",IF(COUNTIFS($A$3:$A337,$A337,$C$3:$C337,$C337,$D$3:$D337,$D337,$G$3:$G337,$G337)=1,1,0))</f>
        <v/>
      </c>
      <c r="BD337" s="152" t="n">
        <v>12</v>
      </c>
      <c r="BE337" s="152" t="n"/>
      <c r="BF337" s="152" t="n"/>
      <c r="BG337" s="152" t="inlineStr">
        <is>
          <t>no</t>
        </is>
      </c>
      <c r="BH337" s="152" t="n"/>
      <c r="BI337" s="152" t="n"/>
      <c r="BJ337" s="152" t="inlineStr">
        <is>
          <t>Dragos - Phase 3 scoring_rows.csv</t>
        </is>
      </c>
      <c r="BK337" s="152">
        <f>IF(OR($H337&lt;&gt;"Human",$S337="",$J337="",$Y337="",$Z337=""),"",IF(EXACT(UPPER($J337),UPPER($Y337)),1,0))</f>
        <v/>
      </c>
      <c r="BL337" s="152" t="inlineStr">
        <is>
          <t>attested - rater record</t>
        </is>
      </c>
      <c r="BM337" s="152" t="n">
        <v>1</v>
      </c>
      <c r="BN337" s="152" t="inlineStr">
        <is>
          <t>not publisher-identified</t>
        </is>
      </c>
      <c r="BO337" s="152" t="inlineStr">
        <is>
          <t>not publisher-identified</t>
        </is>
      </c>
      <c r="BP337" s="152" t="inlineStr">
        <is>
          <t>no</t>
        </is>
      </c>
      <c r="BQ337" s="152" t="inlineStr">
        <is>
          <t>yes</t>
        </is>
      </c>
      <c r="BR337" s="152" t="n"/>
      <c r="BS337" s="152" t="inlineStr">
        <is>
          <t>YES</t>
        </is>
      </c>
      <c r="BT337" s="152" t="n"/>
    </row>
    <row r="338" ht="15" customHeight="1" s="241">
      <c r="A338" s="193" t="inlineStr">
        <is>
          <t>Union Pacific</t>
        </is>
      </c>
      <c r="B338" s="194">
        <f>IF(A338="","",_xlfn.XLOOKUP(A338, Company_List!$A:$A, Company_List!$B:$B, ""))</f>
        <v/>
      </c>
      <c r="C338" s="177" t="n">
        <v>2025</v>
      </c>
      <c r="D338" s="177" t="inlineStr">
        <is>
          <t>Q4</t>
        </is>
      </c>
      <c r="E338" s="178" t="inlineStr">
        <is>
          <t>Transcript</t>
        </is>
      </c>
      <c r="F338" s="178" t="inlineStr">
        <is>
          <t>All</t>
        </is>
      </c>
      <c r="G338" s="177" t="inlineStr">
        <is>
          <t>Dragos</t>
        </is>
      </c>
      <c r="H338" s="177" t="inlineStr">
        <is>
          <t>Human</t>
        </is>
      </c>
      <c r="I338" s="180" t="n">
        <v>0.5</v>
      </c>
      <c r="J338" s="180">
        <f>IF(OR(I338="",Settings!$B$6=""),"",IF(I338&gt;Settings!$B$6,"BUY",IF(I338&lt;-Settings!$B$6,"SELL","HOLD")))</f>
        <v/>
      </c>
      <c r="K338" s="180" t="n">
        <v>12</v>
      </c>
      <c r="L338" s="182" t="n">
        <v>46049</v>
      </c>
      <c r="M338" s="182" t="n">
        <v>46048</v>
      </c>
      <c r="N338" s="179" t="n">
        <v>228.5025</v>
      </c>
      <c r="O338" s="182" t="n">
        <v>46049</v>
      </c>
      <c r="P338" s="180" t="n">
        <v>232.57</v>
      </c>
      <c r="Q338" s="184">
        <f>IF(OR(N338="",P338=""),"",ROUND((P338-N338)/N338,4))</f>
        <v/>
      </c>
      <c r="R338" s="177">
        <f>IF(OR(N338="",P338=""),"",IF(Q338&gt;Settings!$B$3/100,"UP",IF(Q338&lt;-Settings!$B$3/100,"DOWN","FLAT")))</f>
        <v/>
      </c>
      <c r="S338" s="177">
        <f>IF(OR(N338="",P338="",J338=""),"",IF(OR(AND(J338="BUY",R338="UP"),AND(J338="SELL",R338="DOWN"),AND(J338="HOLD",R338="FLAT")),"YES","NO"))</f>
        <v/>
      </c>
      <c r="T338" s="176">
        <f>IF(J338="","",IF(J338="BUY",1,IF(J338="SELL",-1,0)))</f>
        <v/>
      </c>
      <c r="U338" s="184">
        <f>IFERROR(IF(OR(J338="",N338="",P338=""),"",IF(T338=0,0,T338*Q338-Settings!$B$4/10000-IF(T338&lt;0,Settings!$B$5/10000,0))),"")</f>
        <v/>
      </c>
      <c r="V338" s="152" t="inlineStr">
        <is>
          <t>Full document strong across the board - full year reported net income of $7.1 billion, up 6% and earnings per; Driven by a 3% increase in fuel prices; Premium revenue for the quarter declined 6% on a 10% increase. Against that: Where operating revenue of $6.1 billion decreased 1%. 5 forward claims flagged hypothetical and discounted, but the concrete numbers carry it.</t>
        </is>
      </c>
      <c r="W338" s="176">
        <f>IF($K338="","",$K338*60)</f>
        <v/>
      </c>
      <c r="X338" s="186">
        <f>IF($A338="","",$A338&amp;"|"&amp;$C338&amp;"|"&amp;$D338)</f>
        <v/>
      </c>
      <c r="Y338" s="186">
        <f>IFERROR(IF($X338="","",INDEX(LLM_Data_Entry!$H$3:$H$548,MATCH($X338,INDEX(LLM_Data_Entry!$A$3:$A$548&amp;"|"&amp;LLM_Data_Entry!$C$3:$C$548&amp;"|"&amp;LLM_Data_Entry!$D$3:$D$548,0),0))),"")</f>
        <v/>
      </c>
      <c r="Z338" s="186">
        <f>IFERROR(IF($X338="","",INDEX(LLM_Data_Entry!$R$3:$R$548,MATCH($X338,INDEX(LLM_Data_Entry!$A$3:$A$548&amp;"|"&amp;LLM_Data_Entry!$C$3:$C$548&amp;"|"&amp;LLM_Data_Entry!$D$3:$D$548,0),0))),"")</f>
        <v/>
      </c>
      <c r="AA338" s="152" t="n"/>
      <c r="AB338" s="152" t="inlineStr">
        <is>
          <t>price signal — only this window shows an abnormal move</t>
        </is>
      </c>
      <c r="AC338" s="152" t="inlineStr">
        <is>
          <t>UNP</t>
        </is>
      </c>
      <c r="AD338" s="152" t="inlineStr">
        <is>
          <t>2026-01-26</t>
        </is>
      </c>
      <c r="AE338" s="152" t="n">
        <v>228.5025</v>
      </c>
      <c r="AF338" s="152" t="inlineStr">
        <is>
          <t>2026-01-27</t>
        </is>
      </c>
      <c r="AG338" s="152" t="n">
        <v>232.57</v>
      </c>
      <c r="AH338" s="152" t="n">
        <v>0.01780068482555459</v>
      </c>
      <c r="AI338" s="152" t="inlineStr">
        <is>
          <t>FLAT</t>
        </is>
      </c>
      <c r="AJ338" s="152" t="inlineStr">
        <is>
          <t>NO</t>
        </is>
      </c>
      <c r="AK338" s="152" t="n">
        <v>0.016801</v>
      </c>
      <c r="AL338" s="152">
        <f>IF($A338="","",IFERROR(INDEX(Company_List!$G$3:$G$207,MATCH($A338,Company_List!$A$3:$A$207,0)),"unassigned"))</f>
        <v/>
      </c>
      <c r="AM338" s="152" t="inlineStr">
        <is>
          <t>Phase 3/Readings/Union Pacific/2025-Q4/UNP-2025-Q4-earnings-call-transcript-fool-com.html</t>
        </is>
      </c>
      <c r="AN338" s="152" t="inlineStr">
        <is>
          <t>https://www.fool.com/earnings/call-transcripts/2026/01/27/union-pacific-unp-q4-2025-earnings-transcript/</t>
        </is>
      </c>
      <c r="AO338" s="152" t="inlineStr">
        <is>
          <t>manifest</t>
        </is>
      </c>
      <c r="AP338" s="152">
        <f>IF($A338="","",IF(COUNTIFS(LLM_Data_Entry!$A$3:$A$548,$A338)&gt;0,"YES","NO"))</f>
        <v/>
      </c>
      <c r="AQ338" s="152">
        <f>IF($A338="","",IF(COUNTIFS($A$3:$A338,$A338,$C$3:$C338,$C338,$D$3:$D338,$D338)=1,"YES","NO"))</f>
        <v/>
      </c>
      <c r="AR338" s="152">
        <f>IF($A338="","",IF(AND($C338&amp;"-"&amp;$D338&gt;=Settings!$B$19,$C338&amp;"-"&amp;$D338&lt;=Settings!$B$20),"IN","OUT"))</f>
        <v/>
      </c>
      <c r="AS338" s="152">
        <f>IF($A338="","",IF($F338="Financial Results","financials",IF($F338="Outlook/Guidance","guidance",IF($F338="Transcript Q&amp;A","qanda",IF($F338="","unrecorded",IF($E338="All","full",IF($E338="","unrecorded",LOWER($E338)&amp;" only")))))))</f>
        <v/>
      </c>
      <c r="AT338" s="152">
        <f>IF(AND(OR($J338="BUY",$J338="SELL"),ISNUMBER($U338)),$U338,"")</f>
        <v/>
      </c>
      <c r="AU338" s="152">
        <f>IF(AND(OR($J338="BUY",$J338="SELL"),ISNUMBER($AK338)),$AK338,"")</f>
        <v/>
      </c>
      <c r="AV338" s="152">
        <f>IF(ISNUMBER($AT338),ABS(IF(ISNUMBER($I338),$I338,0)-Settings!$B$24),"")</f>
        <v/>
      </c>
      <c r="AW338" s="152">
        <f>IF(ISNUMBER($AV338),$AV338*$AT338,"")</f>
        <v/>
      </c>
      <c r="AX338" s="152">
        <f>IF(ISNUMBER($AU338),ABS(IF(ISNUMBER($I338),$I338,0)-Settings!$B$24),"")</f>
        <v/>
      </c>
      <c r="AY338" s="152" t="inlineStr">
        <is>
          <t>EXTENSION</t>
        </is>
      </c>
      <c r="AZ338" s="152">
        <f>IF($A338="","",IFERROR(INDEX(Company_List!$H$3:$H$207,MATCH($A338,Company_List!$A$3:$A$207,0)),"unassigned"))</f>
        <v/>
      </c>
      <c r="BA338" s="152" t="n">
        <v>1</v>
      </c>
      <c r="BB338" s="152" t="n">
        <v>1</v>
      </c>
      <c r="BC338" s="152">
        <f>IF($A338="","",IF(COUNTIFS($A$3:$A338,$A338,$C$3:$C338,$C338,$D$3:$D338,$D338,$G$3:$G338,$G338)=1,1,0))</f>
        <v/>
      </c>
      <c r="BD338" s="152" t="n">
        <v>12</v>
      </c>
      <c r="BE338" s="152" t="n"/>
      <c r="BF338" s="152" t="n"/>
      <c r="BG338" s="152" t="inlineStr">
        <is>
          <t>no</t>
        </is>
      </c>
      <c r="BH338" s="152" t="n"/>
      <c r="BI338" s="152" t="n"/>
      <c r="BJ338" s="152" t="inlineStr">
        <is>
          <t>Dragos - Phase 3 scoring_rows.csv</t>
        </is>
      </c>
      <c r="BK338" s="152">
        <f>IF(OR($H338&lt;&gt;"Human",$S338="",$J338="",$Y338="",$Z338=""),"",IF(EXACT(UPPER($J338),UPPER($Y338)),1,0))</f>
        <v/>
      </c>
      <c r="BL338" s="152" t="inlineStr">
        <is>
          <t>attested - rater record</t>
        </is>
      </c>
      <c r="BM338" s="152" t="n">
        <v>1</v>
      </c>
      <c r="BN338" s="152" t="inlineStr">
        <is>
          <t>The Motley Fool</t>
        </is>
      </c>
      <c r="BO338" s="152" t="inlineStr">
        <is>
          <t>free to read, copyright asserted</t>
        </is>
      </c>
      <c r="BP338" s="152" t="inlineStr">
        <is>
          <t>no</t>
        </is>
      </c>
      <c r="BQ338" s="152" t="inlineStr">
        <is>
          <t>yes</t>
        </is>
      </c>
      <c r="BR338" s="152" t="n"/>
      <c r="BS338" s="152" t="inlineStr">
        <is>
          <t>YES</t>
        </is>
      </c>
      <c r="BT338" s="152" t="n"/>
    </row>
    <row r="339" ht="15" customHeight="1" s="241">
      <c r="A339" s="193" t="inlineStr">
        <is>
          <t>Caterpillar</t>
        </is>
      </c>
      <c r="B339" s="194">
        <f>IF(A339="","",_xlfn.XLOOKUP(A339, Company_List!$A:$A, Company_List!$B:$B, ""))</f>
        <v/>
      </c>
      <c r="C339" s="177" t="n">
        <v>2025</v>
      </c>
      <c r="D339" s="177" t="inlineStr">
        <is>
          <t>Q4</t>
        </is>
      </c>
      <c r="E339" s="178" t="inlineStr">
        <is>
          <t>Transcript</t>
        </is>
      </c>
      <c r="F339" s="178" t="inlineStr">
        <is>
          <t>All</t>
        </is>
      </c>
      <c r="G339" s="177" t="inlineStr">
        <is>
          <t>Dragos</t>
        </is>
      </c>
      <c r="H339" s="177" t="inlineStr">
        <is>
          <t>Human</t>
        </is>
      </c>
      <c r="I339" s="180" t="n">
        <v>0.5</v>
      </c>
      <c r="J339" s="180">
        <f>IF(OR(I339="",Settings!$B$6=""),"",IF(I339&gt;Settings!$B$6,"BUY",IF(I339&lt;-Settings!$B$6,"SELL","HOLD")))</f>
        <v/>
      </c>
      <c r="K339" s="180" t="n">
        <v>11</v>
      </c>
      <c r="L339" s="182" t="n">
        <v>46051</v>
      </c>
      <c r="M339" s="182" t="n">
        <v>46050</v>
      </c>
      <c r="N339" s="179" t="n">
        <v>643.28</v>
      </c>
      <c r="O339" s="182" t="n">
        <v>46051</v>
      </c>
      <c r="P339" s="180" t="n">
        <v>655.17</v>
      </c>
      <c r="Q339" s="184">
        <f>IF(OR(N339="",P339=""),"",ROUND((P339-N339)/N339,4))</f>
        <v/>
      </c>
      <c r="R339" s="177">
        <f>IF(OR(N339="",P339=""),"",IF(Q339&gt;Settings!$B$3/100,"UP",IF(Q339&lt;-Settings!$B$3/100,"DOWN","FLAT")))</f>
        <v/>
      </c>
      <c r="S339" s="177">
        <f>IF(OR(N339="",P339="",J339=""),"",IF(OR(AND(J339="BUY",R339="UP"),AND(J339="SELL",R339="DOWN"),AND(J339="HOLD",R339="FLAT")),"YES","NO"))</f>
        <v/>
      </c>
      <c r="T339" s="176">
        <f>IF(J339="","",IF(J339="BUY",1,IF(J339="SELL",-1,0)))</f>
        <v/>
      </c>
      <c r="U339" s="184">
        <f>IFERROR(IF(OR(J339="",N339="",P339=""),"",IF(T339=0,0,T339*Q339-Settings!$B$4/10000-IF(T339&lt;0,Settings!$B$5/10000,0))),"")</f>
        <v/>
      </c>
      <c r="V339" s="152" t="inlineStr">
        <is>
          <t>Full document strong across the board - backlog grew to a record level of $51 billion, an increase of $21 billion; better than we had anticipated at $5.16, excluding restructuring costs of 52¢; finished the year with our backlog at $51 billion, you know, at 70% higher. Against that: machine dealer inventory decreased by about $500 million in the quarter compared. 8 forward claims flagged hypothetical and discounted, but the concrete numbers carry it.</t>
        </is>
      </c>
      <c r="W339" s="176">
        <f>IF($K339="","",$K339*60)</f>
        <v/>
      </c>
      <c r="X339" s="186">
        <f>IF($A339="","",$A339&amp;"|"&amp;$C339&amp;"|"&amp;$D339)</f>
        <v/>
      </c>
      <c r="Y339" s="186">
        <f>IFERROR(IF($X339="","",INDEX(LLM_Data_Entry!$H$3:$H$548,MATCH($X339,INDEX(LLM_Data_Entry!$A$3:$A$548&amp;"|"&amp;LLM_Data_Entry!$C$3:$C$548&amp;"|"&amp;LLM_Data_Entry!$D$3:$D$548,0),0))),"")</f>
        <v/>
      </c>
      <c r="Z339" s="186">
        <f>IFERROR(IF($X339="","",INDEX(LLM_Data_Entry!$R$3:$R$548,MATCH($X339,INDEX(LLM_Data_Entry!$A$3:$A$548&amp;"|"&amp;LLM_Data_Entry!$C$3:$C$548&amp;"|"&amp;LLM_Data_Entry!$D$3:$D$548,0),0))),"")</f>
        <v/>
      </c>
      <c r="AA339" s="152" t="n"/>
      <c r="AB339" s="152" t="inlineStr">
        <is>
          <t>earnings calendar, seconded independently</t>
        </is>
      </c>
      <c r="AC339" s="152" t="inlineStr">
        <is>
          <t>CAT</t>
        </is>
      </c>
      <c r="AD339" s="152" t="inlineStr">
        <is>
          <t>2026-01-28</t>
        </is>
      </c>
      <c r="AE339" s="152" t="n">
        <v>640.8688</v>
      </c>
      <c r="AF339" s="152" t="inlineStr">
        <is>
          <t>2026-01-29</t>
        </is>
      </c>
      <c r="AG339" s="152" t="n">
        <v>652.7142</v>
      </c>
      <c r="AH339" s="152" t="n">
        <v>0.01848338545033264</v>
      </c>
      <c r="AI339" s="152" t="inlineStr">
        <is>
          <t>FLAT</t>
        </is>
      </c>
      <c r="AJ339" s="152" t="inlineStr">
        <is>
          <t>NO</t>
        </is>
      </c>
      <c r="AK339" s="152" t="n">
        <v>0.017483</v>
      </c>
      <c r="AL339" s="152">
        <f>IF($A339="","",IFERROR(INDEX(Company_List!$G$3:$G$207,MATCH($A339,Company_List!$A$3:$A$207,0)),"unassigned"))</f>
        <v/>
      </c>
      <c r="AM339" s="152" t="inlineStr">
        <is>
          <t>Phase 2/Caterpillar/2025-Q4/CAT-2025-Q4-earnings-call-transcript-fool-com.html</t>
        </is>
      </c>
      <c r="AN339" s="152" t="inlineStr">
        <is>
          <t>https://www.fool.com/earnings/call-transcripts/2026/01/29/caterpillar-cat-q4-2025-earnings-call-transcript/</t>
        </is>
      </c>
      <c r="AO339" s="152" t="inlineStr">
        <is>
          <t>manifest</t>
        </is>
      </c>
      <c r="AP339" s="152">
        <f>IF($A339="","",IF(COUNTIFS(LLM_Data_Entry!$A$3:$A$548,$A339)&gt;0,"YES","NO"))</f>
        <v/>
      </c>
      <c r="AQ339" s="152">
        <f>IF($A339="","",IF(COUNTIFS($A$3:$A339,$A339,$C$3:$C339,$C339,$D$3:$D339,$D339)=1,"YES","NO"))</f>
        <v/>
      </c>
      <c r="AR339" s="152">
        <f>IF($A339="","",IF(AND($C339&amp;"-"&amp;$D339&gt;=Settings!$B$19,$C339&amp;"-"&amp;$D339&lt;=Settings!$B$20),"IN","OUT"))</f>
        <v/>
      </c>
      <c r="AS339" s="152">
        <f>IF($A339="","",IF($F339="Financial Results","financials",IF($F339="Outlook/Guidance","guidance",IF($F339="Transcript Q&amp;A","qanda",IF($F339="","unrecorded",IF($E339="All","full",IF($E339="","unrecorded",LOWER($E339)&amp;" only")))))))</f>
        <v/>
      </c>
      <c r="AT339" s="152">
        <f>IF(AND(OR($J339="BUY",$J339="SELL"),ISNUMBER($U339)),$U339,"")</f>
        <v/>
      </c>
      <c r="AU339" s="152">
        <f>IF(AND(OR($J339="BUY",$J339="SELL"),ISNUMBER($AK339)),$AK339,"")</f>
        <v/>
      </c>
      <c r="AV339" s="152">
        <f>IF(ISNUMBER($AT339),ABS(IF(ISNUMBER($I339),$I339,0)-Settings!$B$24),"")</f>
        <v/>
      </c>
      <c r="AW339" s="152">
        <f>IF(ISNUMBER($AV339),$AV339*$AT339,"")</f>
        <v/>
      </c>
      <c r="AX339" s="152">
        <f>IF(ISNUMBER($AU339),ABS(IF(ISNUMBER($I339),$I339,0)-Settings!$B$24),"")</f>
        <v/>
      </c>
      <c r="AY339" s="152" t="inlineStr">
        <is>
          <t>FROZEN</t>
        </is>
      </c>
      <c r="AZ339" s="152">
        <f>IF($A339="","",IFERROR(INDEX(Company_List!$H$3:$H$207,MATCH($A339,Company_List!$A$3:$A$207,0)),"unassigned"))</f>
        <v/>
      </c>
      <c r="BA339" s="152" t="n">
        <v>1</v>
      </c>
      <c r="BB339" s="152" t="n">
        <v>1</v>
      </c>
      <c r="BC339" s="152">
        <f>IF($A339="","",IF(COUNTIFS($A$3:$A339,$A339,$C$3:$C339,$C339,$D$3:$D339,$D339,$G$3:$G339,$G339)=1,1,0))</f>
        <v/>
      </c>
      <c r="BD339" s="152" t="n">
        <v>11</v>
      </c>
      <c r="BE339" s="152" t="n"/>
      <c r="BF339" s="152" t="n"/>
      <c r="BG339" s="152" t="inlineStr">
        <is>
          <t>no</t>
        </is>
      </c>
      <c r="BH339" s="152" t="n"/>
      <c r="BI339" s="152" t="n"/>
      <c r="BJ339" s="152" t="inlineStr">
        <is>
          <t>Dragos - Phase 3 scoring_rows.csv</t>
        </is>
      </c>
      <c r="BK339" s="152">
        <f>IF(OR($H339&lt;&gt;"Human",$S339="",$J339="",$Y339="",$Z339=""),"",IF(EXACT(UPPER($J339),UPPER($Y339)),1,0))</f>
        <v/>
      </c>
      <c r="BL339" s="152" t="inlineStr">
        <is>
          <t>attested - rater record</t>
        </is>
      </c>
      <c r="BM339" s="152" t="n">
        <v>1</v>
      </c>
      <c r="BN339" s="152" t="inlineStr">
        <is>
          <t>The Motley Fool</t>
        </is>
      </c>
      <c r="BO339" s="152" t="inlineStr">
        <is>
          <t>free to read, copyright asserted</t>
        </is>
      </c>
      <c r="BP339" s="152" t="inlineStr">
        <is>
          <t>no</t>
        </is>
      </c>
      <c r="BQ339" s="152" t="inlineStr">
        <is>
          <t>yes</t>
        </is>
      </c>
      <c r="BR339" s="152" t="n"/>
      <c r="BS339" s="152" t="inlineStr">
        <is>
          <t>YES</t>
        </is>
      </c>
      <c r="BT339" s="152" t="n"/>
    </row>
    <row r="340" ht="15" customHeight="1" s="241">
      <c r="A340" s="193" t="inlineStr">
        <is>
          <t>Home Depot</t>
        </is>
      </c>
      <c r="B340" s="194">
        <f>IF(A340="","",_xlfn.XLOOKUP(A340, Company_List!$A:$A, Company_List!$B:$B, ""))</f>
        <v/>
      </c>
      <c r="C340" s="177" t="n">
        <v>2025</v>
      </c>
      <c r="D340" s="177" t="inlineStr">
        <is>
          <t>Q4</t>
        </is>
      </c>
      <c r="E340" s="178" t="inlineStr">
        <is>
          <t>Transcript</t>
        </is>
      </c>
      <c r="F340" s="178" t="inlineStr">
        <is>
          <t>All</t>
        </is>
      </c>
      <c r="G340" s="177" t="inlineStr">
        <is>
          <t>Dragos</t>
        </is>
      </c>
      <c r="H340" s="177" t="inlineStr">
        <is>
          <t>Human</t>
        </is>
      </c>
      <c r="I340" s="180" t="n">
        <v>0.2</v>
      </c>
      <c r="J340" s="180">
        <f>IF(OR(I340="",Settings!$B$6=""),"",IF(I340&gt;Settings!$B$6,"BUY",IF(I340&lt;-Settings!$B$6,"SELL","HOLD")))</f>
        <v/>
      </c>
      <c r="K340" s="180" t="n">
        <v>10</v>
      </c>
      <c r="L340" s="182" t="n">
        <v>46077</v>
      </c>
      <c r="M340" s="182" t="n">
        <v>46076</v>
      </c>
      <c r="N340" s="179" t="n">
        <v>371.6984</v>
      </c>
      <c r="O340" s="182" t="n">
        <v>46077</v>
      </c>
      <c r="P340" s="180" t="n">
        <v>383.6482</v>
      </c>
      <c r="Q340" s="184">
        <f>IF(OR(N340="",P340=""),"",ROUND((P340-N340)/N340,4))</f>
        <v/>
      </c>
      <c r="R340" s="177">
        <f>IF(OR(N340="",P340=""),"",IF(Q340&gt;Settings!$B$3/100,"UP",IF(Q340&lt;-Settings!$B$3/100,"DOWN","FLAT")))</f>
        <v/>
      </c>
      <c r="S340" s="177">
        <f>IF(OR(N340="",P340="",J340=""),"",IF(OR(AND(J340="BUY",R340="UP"),AND(J340="SELL",R340="DOWN"),AND(J340="HOLD",R340="FLAT")),"YES","NO"))</f>
        <v/>
      </c>
      <c r="T340" s="176">
        <f>IF(J340="","",IF(J340="BUY",1,IF(J340="SELL",-1,0)))</f>
        <v/>
      </c>
      <c r="U340" s="184">
        <f>IFERROR(IF(OR(J340="",N340="",P340=""),"",IF(T340=0,0,T340*Q340-Settings!$B$4/10000-IF(T340&lt;0,Settings!$B$5/10000,0))),"")</f>
        <v/>
      </c>
      <c r="V340" s="152" t="inlineStr">
        <is>
          <t>Full document positive on balance - expect total sales growth of approximately 2.5% to 4.5%, comparable sales growth; year, our sales totaled $164.7 billion, an increase of $5.2 billion; Directors increased our quarterly dividend by 1.3% to $2.33 per share. Against that: total company comps were positive 0.4% with comps of negative. 7 forward claims flagged hypothetical and discounted, but the concrete numbers carry it.</t>
        </is>
      </c>
      <c r="W340" s="176">
        <f>IF($K340="","",$K340*60)</f>
        <v/>
      </c>
      <c r="X340" s="186">
        <f>IF($A340="","",$A340&amp;"|"&amp;$C340&amp;"|"&amp;$D340)</f>
        <v/>
      </c>
      <c r="Y340" s="186">
        <f>IFERROR(IF($X340="","",INDEX(LLM_Data_Entry!$H$3:$H$548,MATCH($X340,INDEX(LLM_Data_Entry!$A$3:$A$548&amp;"|"&amp;LLM_Data_Entry!$C$3:$C$548&amp;"|"&amp;LLM_Data_Entry!$D$3:$D$548,0),0))),"")</f>
        <v/>
      </c>
      <c r="Z340" s="186">
        <f>IFERROR(IF($X340="","",INDEX(LLM_Data_Entry!$R$3:$R$548,MATCH($X340,INDEX(LLM_Data_Entry!$A$3:$A$548&amp;"|"&amp;LLM_Data_Entry!$C$3:$C$548&amp;"|"&amp;LLM_Data_Entry!$D$3:$D$548,0),0))),"")</f>
        <v/>
      </c>
      <c r="AA340" s="152" t="n"/>
      <c r="AB340" s="152" t="inlineStr">
        <is>
          <t>price signal — both moved; this one dominates</t>
        </is>
      </c>
      <c r="AC340" s="152" t="inlineStr">
        <is>
          <t>HD</t>
        </is>
      </c>
      <c r="AD340" s="152" t="inlineStr">
        <is>
          <t>2026-02-23</t>
        </is>
      </c>
      <c r="AE340" s="152" t="n">
        <v>371.6984</v>
      </c>
      <c r="AF340" s="152" t="inlineStr">
        <is>
          <t>2026-02-24</t>
        </is>
      </c>
      <c r="AG340" s="152" t="n">
        <v>383.6482</v>
      </c>
      <c r="AH340" s="152" t="n">
        <v>0.03214938364866524</v>
      </c>
      <c r="AI340" s="152" t="inlineStr">
        <is>
          <t>UP</t>
        </is>
      </c>
      <c r="AJ340" s="152" t="inlineStr">
        <is>
          <t>NO</t>
        </is>
      </c>
      <c r="AK340" s="152" t="n">
        <v>0</v>
      </c>
      <c r="AL340" s="152">
        <f>IF($A340="","",IFERROR(INDEX(Company_List!$G$3:$G$207,MATCH($A340,Company_List!$A$3:$A$207,0)),"unassigned"))</f>
        <v/>
      </c>
      <c r="AM340" s="152" t="inlineStr">
        <is>
          <t>Phase 3/Readings/Home Depot/2025-Q4/HD-2025-Q4-earnings-call-transcript-ir-homedepot-com.pdf</t>
        </is>
      </c>
      <c r="AN340" s="152" t="inlineStr">
        <is>
          <t>https://ir.homedepot.com/~/media/Files/H/HomeDepot-IR/reports-and-presentations/quarterly-earnings/hd-4q25-transcript.pdf</t>
        </is>
      </c>
      <c r="AO340" s="152" t="inlineStr">
        <is>
          <t>manifest</t>
        </is>
      </c>
      <c r="AP340" s="152">
        <f>IF($A340="","",IF(COUNTIFS(LLM_Data_Entry!$A$3:$A$548,$A340)&gt;0,"YES","NO"))</f>
        <v/>
      </c>
      <c r="AQ340" s="152">
        <f>IF($A340="","",IF(COUNTIFS($A$3:$A340,$A340,$C$3:$C340,$C340,$D$3:$D340,$D340)=1,"YES","NO"))</f>
        <v/>
      </c>
      <c r="AR340" s="152">
        <f>IF($A340="","",IF(AND($C340&amp;"-"&amp;$D340&gt;=Settings!$B$19,$C340&amp;"-"&amp;$D340&lt;=Settings!$B$20),"IN","OUT"))</f>
        <v/>
      </c>
      <c r="AS340" s="152">
        <f>IF($A340="","",IF($F340="Financial Results","financials",IF($F340="Outlook/Guidance","guidance",IF($F340="Transcript Q&amp;A","qanda",IF($F340="","unrecorded",IF($E340="All","full",IF($E340="","unrecorded",LOWER($E340)&amp;" only")))))))</f>
        <v/>
      </c>
      <c r="AT340" s="152">
        <f>IF(AND(OR($J340="BUY",$J340="SELL"),ISNUMBER($U340)),$U340,"")</f>
        <v/>
      </c>
      <c r="AU340" s="152">
        <f>IF(AND(OR($J340="BUY",$J340="SELL"),ISNUMBER($AK340)),$AK340,"")</f>
        <v/>
      </c>
      <c r="AV340" s="152">
        <f>IF(ISNUMBER($AT340),ABS(IF(ISNUMBER($I340),$I340,0)-Settings!$B$24),"")</f>
        <v/>
      </c>
      <c r="AW340" s="152">
        <f>IF(ISNUMBER($AV340),$AV340*$AT340,"")</f>
        <v/>
      </c>
      <c r="AX340" s="152">
        <f>IF(ISNUMBER($AU340),ABS(IF(ISNUMBER($I340),$I340,0)-Settings!$B$24),"")</f>
        <v/>
      </c>
      <c r="AY340" s="152" t="inlineStr">
        <is>
          <t>EXTENSION</t>
        </is>
      </c>
      <c r="AZ340" s="152">
        <f>IF($A340="","",IFERROR(INDEX(Company_List!$H$3:$H$207,MATCH($A340,Company_List!$A$3:$A$207,0)),"unassigned"))</f>
        <v/>
      </c>
      <c r="BA340" s="152" t="n">
        <v>1</v>
      </c>
      <c r="BB340" s="152" t="n">
        <v>1</v>
      </c>
      <c r="BC340" s="152">
        <f>IF($A340="","",IF(COUNTIFS($A$3:$A340,$A340,$C$3:$C340,$C340,$D$3:$D340,$D340,$G$3:$G340,$G340)=1,1,0))</f>
        <v/>
      </c>
      <c r="BD340" s="152" t="n">
        <v>10</v>
      </c>
      <c r="BE340" s="152" t="n"/>
      <c r="BF340" s="152" t="n"/>
      <c r="BG340" s="152" t="inlineStr">
        <is>
          <t>no</t>
        </is>
      </c>
      <c r="BH340" s="152" t="n"/>
      <c r="BI340" s="152" t="n"/>
      <c r="BJ340" s="152" t="inlineStr">
        <is>
          <t>Dragos - Phase 3 scoring_rows.csv</t>
        </is>
      </c>
      <c r="BK340" s="152">
        <f>IF(OR($H340&lt;&gt;"Human",$S340="",$J340="",$Y340="",$Z340=""),"",IF(EXACT(UPPER($J340),UPPER($Y340)),1,0))</f>
        <v/>
      </c>
      <c r="BL340" s="152" t="inlineStr">
        <is>
          <t>attested - rater record</t>
        </is>
      </c>
      <c r="BM340" s="152" t="n">
        <v>1</v>
      </c>
      <c r="BN340" s="152" t="inlineStr">
        <is>
          <t>not publisher-identified</t>
        </is>
      </c>
      <c r="BO340" s="152" t="inlineStr">
        <is>
          <t>not publisher-identified</t>
        </is>
      </c>
      <c r="BP340" s="152" t="inlineStr">
        <is>
          <t>no</t>
        </is>
      </c>
      <c r="BQ340" s="152" t="inlineStr">
        <is>
          <t>yes</t>
        </is>
      </c>
      <c r="BR340" s="152" t="n"/>
      <c r="BS340" s="152" t="inlineStr">
        <is>
          <t>YES</t>
        </is>
      </c>
      <c r="BT340" s="152" t="n"/>
    </row>
    <row r="341" ht="15" customHeight="1" s="241">
      <c r="A341" s="193" t="inlineStr">
        <is>
          <t>Adobe</t>
        </is>
      </c>
      <c r="B341" s="194">
        <f>IF(A341="","",_xlfn.XLOOKUP(A341, Company_List!$A:$A, Company_List!$B:$B, ""))</f>
        <v/>
      </c>
      <c r="C341" s="177" t="n">
        <v>2026</v>
      </c>
      <c r="D341" s="177" t="inlineStr">
        <is>
          <t>Q1</t>
        </is>
      </c>
      <c r="E341" s="178" t="inlineStr">
        <is>
          <t>Transcript</t>
        </is>
      </c>
      <c r="F341" s="178" t="inlineStr">
        <is>
          <t>All</t>
        </is>
      </c>
      <c r="G341" s="177" t="inlineStr">
        <is>
          <t>Dragos</t>
        </is>
      </c>
      <c r="H341" s="177" t="inlineStr">
        <is>
          <t>Human</t>
        </is>
      </c>
      <c r="I341" s="180" t="n">
        <v>0.9</v>
      </c>
      <c r="J341" s="180">
        <f>IF(OR(I341="",Settings!$B$6=""),"",IF(I341&gt;Settings!$B$6,"BUY",IF(I341&lt;-Settings!$B$6,"SELL","HOLD")))</f>
        <v/>
      </c>
      <c r="K341" s="180" t="n">
        <v>27</v>
      </c>
      <c r="L341" s="182" t="n">
        <v>46093</v>
      </c>
      <c r="M341" s="182" t="n">
        <v>46093</v>
      </c>
      <c r="N341" s="179" t="n">
        <v>269.78</v>
      </c>
      <c r="O341" s="182" t="n">
        <v>46094</v>
      </c>
      <c r="P341" s="180" t="n">
        <v>249</v>
      </c>
      <c r="Q341" s="184">
        <f>IF(OR(N341="",P341=""),"",ROUND((P341-N341)/N341,4))</f>
        <v/>
      </c>
      <c r="R341" s="177">
        <f>IF(OR(N341="",P341=""),"",IF(Q341&gt;Settings!$B$3/100,"UP",IF(Q341&lt;-Settings!$B$3/100,"DOWN","FLAT")))</f>
        <v/>
      </c>
      <c r="S341" s="177">
        <f>IF(OR(N341="",P341="",J341=""),"",IF(OR(AND(J341="BUY",R341="UP"),AND(J341="SELL",R341="DOWN"),AND(J341="HOLD",R341="FLAT")),"YES","NO"))</f>
        <v/>
      </c>
      <c r="T341" s="176">
        <f>IF(J341="","",IF(J341="BUY",1,IF(J341="SELL",-1,0)))</f>
        <v/>
      </c>
      <c r="U341" s="184">
        <f>IFERROR(IF(OR(J341="",N341="",P341=""),"",IF(T341=0,0,T341*Q341-Settings!$B$4/10000-IF(T341&lt;0,Settings!$B$5/10000,0))),"")</f>
        <v/>
      </c>
      <c r="V341" s="152" t="inlineStr">
        <is>
          <t>financials +0.9 in 15 min, then full document +0.9 in 12 min (no change). Full document adds the hard numbers behind the section - Total customer group subscription revenue of $6.17 billion, growing 13% year-over-year or 12%; Q1, Adobe achieved revenue of $6.40 billion, growing 12% year-over-year as reported; Creative &amp; Marketing Professionals subscription revenue was $4.39 billion, increasing 12% year-over-year or 11%. 1 forward claim flagged hypothetical and discounted, but the concrete numbers carry it.</t>
        </is>
      </c>
      <c r="W341" s="176">
        <f>IF($K341="","",$K341*60)</f>
        <v/>
      </c>
      <c r="X341" s="186">
        <f>IF($A341="","",$A341&amp;"|"&amp;$C341&amp;"|"&amp;$D341)</f>
        <v/>
      </c>
      <c r="Y341" s="186">
        <f>IFERROR(IF($X341="","",INDEX(LLM_Data_Entry!$H$3:$H$548,MATCH($X341,INDEX(LLM_Data_Entry!$A$3:$A$548&amp;"|"&amp;LLM_Data_Entry!$C$3:$C$548&amp;"|"&amp;LLM_Data_Entry!$D$3:$D$548,0),0))),"")</f>
        <v/>
      </c>
      <c r="Z341" s="186">
        <f>IFERROR(IF($X341="","",INDEX(LLM_Data_Entry!$R$3:$R$548,MATCH($X341,INDEX(LLM_Data_Entry!$A$3:$A$548&amp;"|"&amp;LLM_Data_Entry!$C$3:$C$548&amp;"|"&amp;LLM_Data_Entry!$D$3:$D$548,0),0))),"")</f>
        <v/>
      </c>
      <c r="AA341" s="152" t="n"/>
      <c r="AB341" s="152" t="inlineStr">
        <is>
          <t>price signal — only this window shows an abnormal move</t>
        </is>
      </c>
      <c r="AC341" s="152" t="inlineStr">
        <is>
          <t>ADBE</t>
        </is>
      </c>
      <c r="AD341" s="152" t="inlineStr">
        <is>
          <t>2026-03-12</t>
        </is>
      </c>
      <c r="AE341" s="152" t="n">
        <v>269.78</v>
      </c>
      <c r="AF341" s="152" t="inlineStr">
        <is>
          <t>2026-03-13</t>
        </is>
      </c>
      <c r="AG341" s="152" t="n">
        <v>249</v>
      </c>
      <c r="AH341" s="152" t="n">
        <v>-0.07702572124333049</v>
      </c>
      <c r="AI341" s="152" t="inlineStr">
        <is>
          <t>DOWN</t>
        </is>
      </c>
      <c r="AJ341" s="152" t="inlineStr">
        <is>
          <t>NO</t>
        </is>
      </c>
      <c r="AK341" s="152" t="n">
        <v>-0.078026</v>
      </c>
      <c r="AL341" s="152">
        <f>IF($A341="","",IFERROR(INDEX(Company_List!$G$3:$G$207,MATCH($A341,Company_List!$A$3:$A$207,0)),"unassigned"))</f>
        <v/>
      </c>
      <c r="AM341" s="152" t="inlineStr">
        <is>
          <t>Phase 3/Readings/Adobe/2026-Q1/ADBE-2026-Q1-earnings-call-transcript-fool-com.html</t>
        </is>
      </c>
      <c r="AN341" s="152" t="inlineStr">
        <is>
          <t>https://www.fool.com/earnings/call-transcripts/2026/03/12/adobe-adbe-q1-2026-earnings-call-transcript/</t>
        </is>
      </c>
      <c r="AO341" s="152" t="inlineStr">
        <is>
          <t>manifest</t>
        </is>
      </c>
      <c r="AP341" s="152">
        <f>IF($A341="","",IF(COUNTIFS(LLM_Data_Entry!$A$3:$A$548,$A341)&gt;0,"YES","NO"))</f>
        <v/>
      </c>
      <c r="AQ341" s="152">
        <f>IF($A341="","",IF(COUNTIFS($A$3:$A341,$A341,$C$3:$C341,$C341,$D$3:$D341,$D341)=1,"YES","NO"))</f>
        <v/>
      </c>
      <c r="AR341" s="152">
        <f>IF($A341="","",IF(AND($C341&amp;"-"&amp;$D341&gt;=Settings!$B$19,$C341&amp;"-"&amp;$D341&lt;=Settings!$B$20),"IN","OUT"))</f>
        <v/>
      </c>
      <c r="AS341" s="152">
        <f>IF($A341="","",IF($F341="Financial Results","financials",IF($F341="Outlook/Guidance","guidance",IF($F341="Transcript Q&amp;A","qanda",IF($F341="","unrecorded",IF($E341="All","full",IF($E341="","unrecorded",LOWER($E341)&amp;" only")))))))</f>
        <v/>
      </c>
      <c r="AT341" s="152">
        <f>IF(AND(OR($J341="BUY",$J341="SELL"),ISNUMBER($U341)),$U341,"")</f>
        <v/>
      </c>
      <c r="AU341" s="152">
        <f>IF(AND(OR($J341="BUY",$J341="SELL"),ISNUMBER($AK341)),$AK341,"")</f>
        <v/>
      </c>
      <c r="AV341" s="152">
        <f>IF(ISNUMBER($AT341),ABS(IF(ISNUMBER($I341),$I341,0)-Settings!$B$24),"")</f>
        <v/>
      </c>
      <c r="AW341" s="152">
        <f>IF(ISNUMBER($AV341),$AV341*$AT341,"")</f>
        <v/>
      </c>
      <c r="AX341" s="152">
        <f>IF(ISNUMBER($AU341),ABS(IF(ISNUMBER($I341),$I341,0)-Settings!$B$24),"")</f>
        <v/>
      </c>
      <c r="AY341" s="152" t="inlineStr">
        <is>
          <t>EXTENSION</t>
        </is>
      </c>
      <c r="AZ341" s="152">
        <f>IF($A341="","",IFERROR(INDEX(Company_List!$H$3:$H$207,MATCH($A341,Company_List!$A$3:$A$207,0)),"unassigned"))</f>
        <v/>
      </c>
      <c r="BA341" s="152" t="n">
        <v>2</v>
      </c>
      <c r="BB341" s="152" t="n">
        <v>2</v>
      </c>
      <c r="BC341" s="152">
        <f>IF($A341="","",IF(COUNTIFS($A$3:$A341,$A341,$C$3:$C341,$C341,$D$3:$D341,$D341,$G$3:$G341,$G341)=1,1,0))</f>
        <v/>
      </c>
      <c r="BD341" s="152" t="n">
        <v>15</v>
      </c>
      <c r="BE341" s="152" t="n">
        <v>12</v>
      </c>
      <c r="BF341" s="152" t="n">
        <v>0.9</v>
      </c>
      <c r="BG341" s="152" t="inlineStr">
        <is>
          <t>no</t>
        </is>
      </c>
      <c r="BH341" s="152" t="n"/>
      <c r="BI341" s="152" t="n"/>
      <c r="BJ341" s="152" t="inlineStr">
        <is>
          <t>Dragos - Phase 3 scoring_rows.csv</t>
        </is>
      </c>
      <c r="BK341" s="152">
        <f>IF(OR($H341&lt;&gt;"Human",$S341="",$J341="",$Y341="",$Z341=""),"",IF(EXACT(UPPER($J341),UPPER($Y341)),1,0))</f>
        <v/>
      </c>
      <c r="BL341" s="152" t="inlineStr">
        <is>
          <t>attested - rater record</t>
        </is>
      </c>
      <c r="BM341" s="152" t="n">
        <v>1</v>
      </c>
      <c r="BN341" s="152" t="inlineStr">
        <is>
          <t>The Motley Fool</t>
        </is>
      </c>
      <c r="BO341" s="152" t="inlineStr">
        <is>
          <t>free to read, copyright asserted</t>
        </is>
      </c>
      <c r="BP341" s="152" t="inlineStr">
        <is>
          <t>no</t>
        </is>
      </c>
      <c r="BQ341" s="152" t="inlineStr">
        <is>
          <t>yes</t>
        </is>
      </c>
      <c r="BR341" s="152" t="n"/>
      <c r="BS341" s="152" t="inlineStr">
        <is>
          <t>YES</t>
        </is>
      </c>
      <c r="BT341" s="152" t="n"/>
    </row>
    <row r="342" ht="15" customHeight="1" s="241">
      <c r="A342" s="193" t="inlineStr">
        <is>
          <t>UnitedHealth</t>
        </is>
      </c>
      <c r="B342" s="194">
        <f>IF(A342="","",_xlfn.XLOOKUP(A342, Company_List!$A:$A, Company_List!$B:$B, ""))</f>
        <v/>
      </c>
      <c r="C342" s="177" t="n">
        <v>2026</v>
      </c>
      <c r="D342" s="177" t="inlineStr">
        <is>
          <t>Q1</t>
        </is>
      </c>
      <c r="E342" s="178" t="inlineStr">
        <is>
          <t>Transcript</t>
        </is>
      </c>
      <c r="F342" s="178" t="inlineStr">
        <is>
          <t>All</t>
        </is>
      </c>
      <c r="G342" s="177" t="inlineStr">
        <is>
          <t>Dragos</t>
        </is>
      </c>
      <c r="H342" s="177" t="inlineStr">
        <is>
          <t>Human</t>
        </is>
      </c>
      <c r="I342" s="180" t="n">
        <v>0.3</v>
      </c>
      <c r="J342" s="180">
        <f>IF(OR(I342="",Settings!$B$6=""),"",IF(I342&gt;Settings!$B$6,"BUY",IF(I342&lt;-Settings!$B$6,"SELL","HOLD")))</f>
        <v/>
      </c>
      <c r="K342" s="180" t="n">
        <v>29</v>
      </c>
      <c r="L342" s="182" t="n">
        <v>46133</v>
      </c>
      <c r="M342" s="182" t="n">
        <v>46132</v>
      </c>
      <c r="N342" s="179" t="n">
        <v>323.48</v>
      </c>
      <c r="O342" s="182" t="n">
        <v>46133</v>
      </c>
      <c r="P342" s="180" t="n">
        <v>353.01</v>
      </c>
      <c r="Q342" s="184">
        <f>IF(OR(N342="",P342=""),"",ROUND((P342-N342)/N342,4))</f>
        <v/>
      </c>
      <c r="R342" s="177">
        <f>IF(OR(N342="",P342=""),"",IF(Q342&gt;Settings!$B$3/100,"UP",IF(Q342&lt;-Settings!$B$3/100,"DOWN","FLAT")))</f>
        <v/>
      </c>
      <c r="S342" s="177">
        <f>IF(OR(N342="",P342="",J342=""),"",IF(OR(AND(J342="BUY",R342="UP"),AND(J342="SELL",R342="DOWN"),AND(J342="HOLD",R342="FLAT")),"YES","NO"))</f>
        <v/>
      </c>
      <c r="T342" s="176">
        <f>IF(J342="","",IF(J342="BUY",1,IF(J342="SELL",-1,0)))</f>
        <v/>
      </c>
      <c r="U342" s="184">
        <f>IFERROR(IF(OR(J342="",N342="",P342=""),"",IF(T342=0,0,T342*Q342-Settings!$B$4/10000-IF(T342&lt;0,Settings!$B$5/10000,0))),"")</f>
        <v/>
      </c>
      <c r="V342" s="152" t="inlineStr">
        <is>
          <t>financials +0.2 in 15 min, then full document +0.3 in 14 min (+0.1). Full document adds the hard numbers behind the section - vibrant pharmacy network for more than 80% of the claims; costs, a reported medical care ratio of 83.9% compares to 84.8% in 2025; impact includes, among other things, a $525 million gain on the sale. 1 forward claim flagged hypothetical and discounted, but the concrete numbers carry it.</t>
        </is>
      </c>
      <c r="W342" s="176">
        <f>IF($K342="","",$K342*60)</f>
        <v/>
      </c>
      <c r="X342" s="186">
        <f>IF($A342="","",$A342&amp;"|"&amp;$C342&amp;"|"&amp;$D342)</f>
        <v/>
      </c>
      <c r="Y342" s="186">
        <f>IFERROR(IF($X342="","",INDEX(LLM_Data_Entry!$H$3:$H$548,MATCH($X342,INDEX(LLM_Data_Entry!$A$3:$A$548&amp;"|"&amp;LLM_Data_Entry!$C$3:$C$548&amp;"|"&amp;LLM_Data_Entry!$D$3:$D$548,0),0))),"")</f>
        <v/>
      </c>
      <c r="Z342" s="186">
        <f>IFERROR(IF($X342="","",INDEX(LLM_Data_Entry!$R$3:$R$548,MATCH($X342,INDEX(LLM_Data_Entry!$A$3:$A$548&amp;"|"&amp;LLM_Data_Entry!$C$3:$C$548&amp;"|"&amp;LLM_Data_Entry!$D$3:$D$548,0),0))),"")</f>
        <v/>
      </c>
      <c r="AA342" s="152" t="n"/>
      <c r="AB342" s="152" t="inlineStr">
        <is>
          <t>price signal — only this window shows an abnormal move</t>
        </is>
      </c>
      <c r="AC342" s="152" t="inlineStr">
        <is>
          <t>UNH</t>
        </is>
      </c>
      <c r="AD342" s="152" t="inlineStr">
        <is>
          <t>2026-04-20</t>
        </is>
      </c>
      <c r="AE342" s="152" t="n">
        <v>321.643</v>
      </c>
      <c r="AF342" s="152" t="inlineStr">
        <is>
          <t>2026-04-21</t>
        </is>
      </c>
      <c r="AG342" s="152" t="n">
        <v>351.0053</v>
      </c>
      <c r="AH342" s="152" t="n">
        <v>0.0912884382925407</v>
      </c>
      <c r="AI342" s="152" t="inlineStr">
        <is>
          <t>UP</t>
        </is>
      </c>
      <c r="AJ342" s="152" t="inlineStr">
        <is>
          <t>YES</t>
        </is>
      </c>
      <c r="AK342" s="152" t="n">
        <v>0.09028799999999999</v>
      </c>
      <c r="AL342" s="152">
        <f>IF($A342="","",IFERROR(INDEX(Company_List!$G$3:$G$207,MATCH($A342,Company_List!$A$3:$A$207,0)),"unassigned"))</f>
        <v/>
      </c>
      <c r="AM342" s="152" t="inlineStr">
        <is>
          <t>Phase 2/Unitedhealth/2026-Q1/UNH-2026-Q1-earnings-call-transcript-unitedhealthgroup-com.pdf</t>
        </is>
      </c>
      <c r="AN342" s="152" t="inlineStr">
        <is>
          <t>https://www.unitedhealthgroup.com/content/dam/UHG/PDF/investors/2026/unh-q1-2026-remarks.pdf</t>
        </is>
      </c>
      <c r="AO342" s="152" t="inlineStr">
        <is>
          <t>manifest</t>
        </is>
      </c>
      <c r="AP342" s="152">
        <f>IF($A342="","",IF(COUNTIFS(LLM_Data_Entry!$A$3:$A$548,$A342)&gt;0,"YES","NO"))</f>
        <v/>
      </c>
      <c r="AQ342" s="152">
        <f>IF($A342="","",IF(COUNTIFS($A$3:$A342,$A342,$C$3:$C342,$C342,$D$3:$D342,$D342)=1,"YES","NO"))</f>
        <v/>
      </c>
      <c r="AR342" s="152">
        <f>IF($A342="","",IF(AND($C342&amp;"-"&amp;$D342&gt;=Settings!$B$19,$C342&amp;"-"&amp;$D342&lt;=Settings!$B$20),"IN","OUT"))</f>
        <v/>
      </c>
      <c r="AS342" s="152">
        <f>IF($A342="","",IF($F342="Financial Results","financials",IF($F342="Outlook/Guidance","guidance",IF($F342="Transcript Q&amp;A","qanda",IF($F342="","unrecorded",IF($E342="All","full",IF($E342="","unrecorded",LOWER($E342)&amp;" only")))))))</f>
        <v/>
      </c>
      <c r="AT342" s="152">
        <f>IF(AND(OR($J342="BUY",$J342="SELL"),ISNUMBER($U342)),$U342,"")</f>
        <v/>
      </c>
      <c r="AU342" s="152">
        <f>IF(AND(OR($J342="BUY",$J342="SELL"),ISNUMBER($AK342)),$AK342,"")</f>
        <v/>
      </c>
      <c r="AV342" s="152">
        <f>IF(ISNUMBER($AT342),ABS(IF(ISNUMBER($I342),$I342,0)-Settings!$B$24),"")</f>
        <v/>
      </c>
      <c r="AW342" s="152">
        <f>IF(ISNUMBER($AV342),$AV342*$AT342,"")</f>
        <v/>
      </c>
      <c r="AX342" s="152">
        <f>IF(ISNUMBER($AU342),ABS(IF(ISNUMBER($I342),$I342,0)-Settings!$B$24),"")</f>
        <v/>
      </c>
      <c r="AY342" s="152" t="inlineStr">
        <is>
          <t>FROZEN</t>
        </is>
      </c>
      <c r="AZ342" s="152">
        <f>IF($A342="","",IFERROR(INDEX(Company_List!$H$3:$H$207,MATCH($A342,Company_List!$A$3:$A$207,0)),"unassigned"))</f>
        <v/>
      </c>
      <c r="BA342" s="152" t="n">
        <v>2</v>
      </c>
      <c r="BB342" s="152" t="n">
        <v>2</v>
      </c>
      <c r="BC342" s="152">
        <f>IF($A342="","",IF(COUNTIFS($A$3:$A342,$A342,$C$3:$C342,$C342,$D$3:$D342,$D342,$G$3:$G342,$G342)=1,1,0))</f>
        <v/>
      </c>
      <c r="BD342" s="152" t="n">
        <v>15</v>
      </c>
      <c r="BE342" s="152" t="n">
        <v>14</v>
      </c>
      <c r="BF342" s="152" t="n">
        <v>0.2</v>
      </c>
      <c r="BG342" s="152" t="inlineStr">
        <is>
          <t>no</t>
        </is>
      </c>
      <c r="BH342" s="152" t="n"/>
      <c r="BI342" s="152" t="n"/>
      <c r="BJ342" s="152" t="inlineStr">
        <is>
          <t>Dragos - Phase 3 scoring_rows.csv</t>
        </is>
      </c>
      <c r="BK342" s="152">
        <f>IF(OR($H342&lt;&gt;"Human",$S342="",$J342="",$Y342="",$Z342=""),"",IF(EXACT(UPPER($J342),UPPER($Y342)),1,0))</f>
        <v/>
      </c>
      <c r="BL342" s="152" t="inlineStr">
        <is>
          <t>attested - rater record</t>
        </is>
      </c>
      <c r="BM342" s="152" t="n">
        <v>1</v>
      </c>
      <c r="BN342" s="152" t="inlineStr">
        <is>
          <t>not publisher-identified</t>
        </is>
      </c>
      <c r="BO342" s="152" t="inlineStr">
        <is>
          <t>not publisher-identified</t>
        </is>
      </c>
      <c r="BP342" s="152" t="inlineStr">
        <is>
          <t>no</t>
        </is>
      </c>
      <c r="BQ342" s="152" t="inlineStr">
        <is>
          <t>yes</t>
        </is>
      </c>
      <c r="BR342" s="152" t="n"/>
      <c r="BS342" s="152" t="inlineStr">
        <is>
          <t>NO</t>
        </is>
      </c>
      <c r="BT342" s="152" t="inlineStr">
        <is>
          <t>human-only event; not in LLM returns_matrix — EDGAR lookup deferred, manual verification required</t>
        </is>
      </c>
    </row>
    <row r="343" ht="15" customHeight="1" s="241">
      <c r="A343" s="193" t="inlineStr">
        <is>
          <t>Freeport-McMoRan</t>
        </is>
      </c>
      <c r="B343" s="194">
        <f>IF(A343="","",_xlfn.XLOOKUP(A343, Company_List!$A:$A, Company_List!$B:$B, ""))</f>
        <v/>
      </c>
      <c r="C343" s="177" t="n">
        <v>2026</v>
      </c>
      <c r="D343" s="177" t="inlineStr">
        <is>
          <t>Q1</t>
        </is>
      </c>
      <c r="E343" s="178" t="inlineStr">
        <is>
          <t>Transcript</t>
        </is>
      </c>
      <c r="F343" s="178" t="inlineStr">
        <is>
          <t>All</t>
        </is>
      </c>
      <c r="G343" s="177" t="inlineStr">
        <is>
          <t>Dragos</t>
        </is>
      </c>
      <c r="H343" s="177" t="inlineStr">
        <is>
          <t>Human</t>
        </is>
      </c>
      <c r="I343" s="180" t="n">
        <v>0.8</v>
      </c>
      <c r="J343" s="180">
        <f>IF(OR(I343="",Settings!$B$6=""),"",IF(I343&gt;Settings!$B$6,"BUY",IF(I343&lt;-Settings!$B$6,"SELL","HOLD")))</f>
        <v/>
      </c>
      <c r="K343" s="180" t="n">
        <v>21</v>
      </c>
      <c r="L343" s="182" t="n">
        <v>46135</v>
      </c>
      <c r="M343" s="182" t="n">
        <v>46134</v>
      </c>
      <c r="N343" s="179" t="n">
        <v>70.1896</v>
      </c>
      <c r="O343" s="182" t="n">
        <v>46135</v>
      </c>
      <c r="P343" s="180" t="n">
        <v>62.1192</v>
      </c>
      <c r="Q343" s="184">
        <f>IF(OR(N343="",P343=""),"",ROUND((P343-N343)/N343,4))</f>
        <v/>
      </c>
      <c r="R343" s="177">
        <f>IF(OR(N343="",P343=""),"",IF(Q343&gt;Settings!$B$3/100,"UP",IF(Q343&lt;-Settings!$B$3/100,"DOWN","FLAT")))</f>
        <v/>
      </c>
      <c r="S343" s="177">
        <f>IF(OR(N343="",P343="",J343=""),"",IF(OR(AND(J343="BUY",R343="UP"),AND(J343="SELL",R343="DOWN"),AND(J343="HOLD",R343="FLAT")),"YES","NO"))</f>
        <v/>
      </c>
      <c r="T343" s="176">
        <f>IF(J343="","",IF(J343="BUY",1,IF(J343="SELL",-1,0)))</f>
        <v/>
      </c>
      <c r="U343" s="184">
        <f>IFERROR(IF(OR(J343="",N343="",P343=""),"",IF(T343=0,0,T343*Q343-Settings!$B$4/10000-IF(T343&lt;0,Settings!$B$5/10000,0))),"")</f>
        <v/>
      </c>
      <c r="V343" s="152" t="inlineStr">
        <is>
          <t>financials +0.8 in 10 min, then full document +0.8 in 11 min (no change). Full document adds the hard numbers behind the section - cost recovery at Grasberg went up to $1.3 billion from $900 million previously; half volumes are expected to be approximately 30% higher for copper and approximately; prices in March equates to an approximate $500 million cost increase on an annualized. 3 forward claims flagged hypothetical and discounted, but the concrete numbers carry it.</t>
        </is>
      </c>
      <c r="W343" s="176">
        <f>IF($K343="","",$K343*60)</f>
        <v/>
      </c>
      <c r="X343" s="186">
        <f>IF($A343="","",$A343&amp;"|"&amp;$C343&amp;"|"&amp;$D343)</f>
        <v/>
      </c>
      <c r="Y343" s="186">
        <f>IFERROR(IF($X343="","",INDEX(LLM_Data_Entry!$H$3:$H$548,MATCH($X343,INDEX(LLM_Data_Entry!$A$3:$A$548&amp;"|"&amp;LLM_Data_Entry!$C$3:$C$548&amp;"|"&amp;LLM_Data_Entry!$D$3:$D$548,0),0))),"")</f>
        <v/>
      </c>
      <c r="Z343" s="186">
        <f>IFERROR(IF($X343="","",INDEX(LLM_Data_Entry!$R$3:$R$548,MATCH($X343,INDEX(LLM_Data_Entry!$A$3:$A$548&amp;"|"&amp;LLM_Data_Entry!$C$3:$C$548&amp;"|"&amp;LLM_Data_Entry!$D$3:$D$548,0),0))),"")</f>
        <v/>
      </c>
      <c r="AA343" s="152" t="n"/>
      <c r="AB343" s="152" t="inlineStr">
        <is>
          <t>price signal — only this window shows an abnormal move</t>
        </is>
      </c>
      <c r="AC343" s="152" t="inlineStr">
        <is>
          <t>FCX</t>
        </is>
      </c>
      <c r="AD343" s="152" t="inlineStr">
        <is>
          <t>2026-04-22</t>
        </is>
      </c>
      <c r="AE343" s="152" t="n">
        <v>70.1896</v>
      </c>
      <c r="AF343" s="152" t="inlineStr">
        <is>
          <t>2026-04-23</t>
        </is>
      </c>
      <c r="AG343" s="152" t="n">
        <v>62.1192</v>
      </c>
      <c r="AH343" s="152" t="n">
        <v>-0.1149800779742858</v>
      </c>
      <c r="AI343" s="152" t="inlineStr">
        <is>
          <t>DOWN</t>
        </is>
      </c>
      <c r="AJ343" s="152" t="inlineStr">
        <is>
          <t>NO</t>
        </is>
      </c>
      <c r="AK343" s="152" t="n">
        <v>-0.11598</v>
      </c>
      <c r="AL343" s="152">
        <f>IF($A343="","",IFERROR(INDEX(Company_List!$G$3:$G$207,MATCH($A343,Company_List!$A$3:$A$207,0)),"unassigned"))</f>
        <v/>
      </c>
      <c r="AM343" s="152" t="inlineStr">
        <is>
          <t>Phase 3/Readings/Freeport-McMoRan/2026-Q1/FCX-2026-Q1-earnings-call-transcript-fool-com.html</t>
        </is>
      </c>
      <c r="AN343" s="152" t="inlineStr">
        <is>
          <t>https://www.fool.com/earnings/call-transcripts/2026/04/23/freeport-fcx-q1-2026-earnings-transcript/</t>
        </is>
      </c>
      <c r="AO343" s="152" t="inlineStr">
        <is>
          <t>manifest</t>
        </is>
      </c>
      <c r="AP343" s="152">
        <f>IF($A343="","",IF(COUNTIFS(LLM_Data_Entry!$A$3:$A$548,$A343)&gt;0,"YES","NO"))</f>
        <v/>
      </c>
      <c r="AQ343" s="152">
        <f>IF($A343="","",IF(COUNTIFS($A$3:$A343,$A343,$C$3:$C343,$C343,$D$3:$D343,$D343)=1,"YES","NO"))</f>
        <v/>
      </c>
      <c r="AR343" s="152">
        <f>IF($A343="","",IF(AND($C343&amp;"-"&amp;$D343&gt;=Settings!$B$19,$C343&amp;"-"&amp;$D343&lt;=Settings!$B$20),"IN","OUT"))</f>
        <v/>
      </c>
      <c r="AS343" s="152">
        <f>IF($A343="","",IF($F343="Financial Results","financials",IF($F343="Outlook/Guidance","guidance",IF($F343="Transcript Q&amp;A","qanda",IF($F343="","unrecorded",IF($E343="All","full",IF($E343="","unrecorded",LOWER($E343)&amp;" only")))))))</f>
        <v/>
      </c>
      <c r="AT343" s="152">
        <f>IF(AND(OR($J343="BUY",$J343="SELL"),ISNUMBER($U343)),$U343,"")</f>
        <v/>
      </c>
      <c r="AU343" s="152">
        <f>IF(AND(OR($J343="BUY",$J343="SELL"),ISNUMBER($AK343)),$AK343,"")</f>
        <v/>
      </c>
      <c r="AV343" s="152">
        <f>IF(ISNUMBER($AT343),ABS(IF(ISNUMBER($I343),$I343,0)-Settings!$B$24),"")</f>
        <v/>
      </c>
      <c r="AW343" s="152">
        <f>IF(ISNUMBER($AV343),$AV343*$AT343,"")</f>
        <v/>
      </c>
      <c r="AX343" s="152">
        <f>IF(ISNUMBER($AU343),ABS(IF(ISNUMBER($I343),$I343,0)-Settings!$B$24),"")</f>
        <v/>
      </c>
      <c r="AY343" s="152" t="inlineStr">
        <is>
          <t>EXTENSION</t>
        </is>
      </c>
      <c r="AZ343" s="152">
        <f>IF($A343="","",IFERROR(INDEX(Company_List!$H$3:$H$207,MATCH($A343,Company_List!$A$3:$A$207,0)),"unassigned"))</f>
        <v/>
      </c>
      <c r="BA343" s="152" t="n">
        <v>2</v>
      </c>
      <c r="BB343" s="152" t="n">
        <v>2</v>
      </c>
      <c r="BC343" s="152">
        <f>IF($A343="","",IF(COUNTIFS($A$3:$A343,$A343,$C$3:$C343,$C343,$D$3:$D343,$D343,$G$3:$G343,$G343)=1,1,0))</f>
        <v/>
      </c>
      <c r="BD343" s="152" t="n">
        <v>10</v>
      </c>
      <c r="BE343" s="152" t="n">
        <v>11</v>
      </c>
      <c r="BF343" s="152" t="n">
        <v>0.8</v>
      </c>
      <c r="BG343" s="152" t="inlineStr">
        <is>
          <t>no</t>
        </is>
      </c>
      <c r="BH343" s="152" t="n"/>
      <c r="BI343" s="152" t="n"/>
      <c r="BJ343" s="152" t="inlineStr">
        <is>
          <t>Dragos - Phase 3 scoring_rows.csv</t>
        </is>
      </c>
      <c r="BK343" s="152">
        <f>IF(OR($H343&lt;&gt;"Human",$S343="",$J343="",$Y343="",$Z343=""),"",IF(EXACT(UPPER($J343),UPPER($Y343)),1,0))</f>
        <v/>
      </c>
      <c r="BL343" s="152" t="inlineStr">
        <is>
          <t>attested - rater record</t>
        </is>
      </c>
      <c r="BM343" s="152" t="n">
        <v>1</v>
      </c>
      <c r="BN343" s="152" t="inlineStr">
        <is>
          <t>The Motley Fool</t>
        </is>
      </c>
      <c r="BO343" s="152" t="inlineStr">
        <is>
          <t>free to read, copyright asserted</t>
        </is>
      </c>
      <c r="BP343" s="152" t="inlineStr">
        <is>
          <t>no</t>
        </is>
      </c>
      <c r="BQ343" s="152" t="inlineStr">
        <is>
          <t>yes</t>
        </is>
      </c>
      <c r="BR343" s="152" t="n"/>
      <c r="BS343" s="152" t="inlineStr">
        <is>
          <t>YES</t>
        </is>
      </c>
      <c r="BT343" s="152" t="n"/>
    </row>
    <row r="344" ht="15" customHeight="1" s="241">
      <c r="A344" s="193" t="inlineStr">
        <is>
          <t>Union Pacific</t>
        </is>
      </c>
      <c r="B344" s="194">
        <f>IF(A344="","",_xlfn.XLOOKUP(A344, Company_List!$A:$A, Company_List!$B:$B, ""))</f>
        <v/>
      </c>
      <c r="C344" s="177" t="n">
        <v>2026</v>
      </c>
      <c r="D344" s="177" t="inlineStr">
        <is>
          <t>Q1</t>
        </is>
      </c>
      <c r="E344" s="178" t="inlineStr">
        <is>
          <t>Transcript</t>
        </is>
      </c>
      <c r="F344" s="178" t="inlineStr">
        <is>
          <t>All</t>
        </is>
      </c>
      <c r="G344" s="177" t="inlineStr">
        <is>
          <t>Dragos</t>
        </is>
      </c>
      <c r="H344" s="177" t="inlineStr">
        <is>
          <t>Human</t>
        </is>
      </c>
      <c r="I344" s="180" t="n">
        <v>0.5</v>
      </c>
      <c r="J344" s="180">
        <f>IF(OR(I344="",Settings!$B$6=""),"",IF(I344&gt;Settings!$B$6,"BUY",IF(I344&lt;-Settings!$B$6,"SELL","HOLD")))</f>
        <v/>
      </c>
      <c r="K344" s="180" t="n">
        <v>30</v>
      </c>
      <c r="L344" s="182" t="n">
        <v>46135</v>
      </c>
      <c r="M344" s="182" t="n">
        <v>46134</v>
      </c>
      <c r="N344" s="179" t="n">
        <v>248.111</v>
      </c>
      <c r="O344" s="182" t="n">
        <v>46135</v>
      </c>
      <c r="P344" s="180" t="n">
        <v>261.4019</v>
      </c>
      <c r="Q344" s="184">
        <f>IF(OR(N344="",P344=""),"",ROUND((P344-N344)/N344,4))</f>
        <v/>
      </c>
      <c r="R344" s="177">
        <f>IF(OR(N344="",P344=""),"",IF(Q344&gt;Settings!$B$3/100,"UP",IF(Q344&lt;-Settings!$B$3/100,"DOWN","FLAT")))</f>
        <v/>
      </c>
      <c r="S344" s="177">
        <f>IF(OR(N344="",P344="",J344=""),"",IF(OR(AND(J344="BUY",R344="UP"),AND(J344="SELL",R344="DOWN"),AND(J344="HOLD",R344="FLAT")),"YES","NO"))</f>
        <v/>
      </c>
      <c r="T344" s="176">
        <f>IF(J344="","",IF(J344="BUY",1,IF(J344="SELL",-1,0)))</f>
        <v/>
      </c>
      <c r="U344" s="184">
        <f>IFERROR(IF(OR(J344="",N344="",P344=""),"",IF(T344=0,0,T344*Q344-Settings!$B$4/10000-IF(T344&lt;0,Settings!$B$5/10000,0))),"")</f>
        <v/>
      </c>
      <c r="V344" s="152" t="inlineStr">
        <is>
          <t>financials +0.5 in 12 min, then full document +0.5 in 18 min (no change). Full document adds the hard numbers behind the section - seeing new projects grow in excess of 15%, adding maybe 1% to 2%; Slide 7, first-quarter cash from operations totaled $2.4 billion, up 10%; key drivers as total operating expense increased 3% to $3.8 billion. Against that: Slide 6, where operating revenue of $6.2 billion increased 3%. 2 forward claims flagged hypothetical and discounted, but the concrete numbers carry it.</t>
        </is>
      </c>
      <c r="W344" s="176">
        <f>IF($K344="","",$K344*60)</f>
        <v/>
      </c>
      <c r="X344" s="186">
        <f>IF($A344="","",$A344&amp;"|"&amp;$C344&amp;"|"&amp;$D344)</f>
        <v/>
      </c>
      <c r="Y344" s="186">
        <f>IFERROR(IF($X344="","",INDEX(LLM_Data_Entry!$H$3:$H$548,MATCH($X344,INDEX(LLM_Data_Entry!$A$3:$A$548&amp;"|"&amp;LLM_Data_Entry!$C$3:$C$548&amp;"|"&amp;LLM_Data_Entry!$D$3:$D$548,0),0))),"")</f>
        <v/>
      </c>
      <c r="Z344" s="186">
        <f>IFERROR(IF($X344="","",INDEX(LLM_Data_Entry!$R$3:$R$548,MATCH($X344,INDEX(LLM_Data_Entry!$A$3:$A$548&amp;"|"&amp;LLM_Data_Entry!$C$3:$C$548&amp;"|"&amp;LLM_Data_Entry!$D$3:$D$548,0),0))),"")</f>
        <v/>
      </c>
      <c r="AA344" s="152" t="n"/>
      <c r="AB344" s="152" t="inlineStr">
        <is>
          <t>price signal — only this window shows an abnormal move</t>
        </is>
      </c>
      <c r="AC344" s="152" t="inlineStr">
        <is>
          <t>UNP</t>
        </is>
      </c>
      <c r="AD344" s="152" t="inlineStr">
        <is>
          <t>2026-04-22</t>
        </is>
      </c>
      <c r="AE344" s="152" t="n">
        <v>248.111</v>
      </c>
      <c r="AF344" s="152" t="inlineStr">
        <is>
          <t>2026-04-23</t>
        </is>
      </c>
      <c r="AG344" s="152" t="n">
        <v>261.4019</v>
      </c>
      <c r="AH344" s="152" t="n">
        <v>0.05356866203276311</v>
      </c>
      <c r="AI344" s="152" t="inlineStr">
        <is>
          <t>UP</t>
        </is>
      </c>
      <c r="AJ344" s="152" t="inlineStr">
        <is>
          <t>YES</t>
        </is>
      </c>
      <c r="AK344" s="152" t="n">
        <v>0.052569</v>
      </c>
      <c r="AL344" s="152">
        <f>IF($A344="","",IFERROR(INDEX(Company_List!$G$3:$G$207,MATCH($A344,Company_List!$A$3:$A$207,0)),"unassigned"))</f>
        <v/>
      </c>
      <c r="AM344" s="152" t="inlineStr">
        <is>
          <t>Phase 3/Readings/Union Pacific/2026-Q1/UNP-2026-Q1-earnings-call-transcript-fool-com.html</t>
        </is>
      </c>
      <c r="AN344" s="152" t="inlineStr">
        <is>
          <t>https://www.fool.com/earnings/call-transcripts/2026/04/23/union-pacific-unp-q1-2026-earnings-transcript/</t>
        </is>
      </c>
      <c r="AO344" s="152" t="inlineStr">
        <is>
          <t>manifest</t>
        </is>
      </c>
      <c r="AP344" s="152">
        <f>IF($A344="","",IF(COUNTIFS(LLM_Data_Entry!$A$3:$A$548,$A344)&gt;0,"YES","NO"))</f>
        <v/>
      </c>
      <c r="AQ344" s="152">
        <f>IF($A344="","",IF(COUNTIFS($A$3:$A344,$A344,$C$3:$C344,$C344,$D$3:$D344,$D344)=1,"YES","NO"))</f>
        <v/>
      </c>
      <c r="AR344" s="152">
        <f>IF($A344="","",IF(AND($C344&amp;"-"&amp;$D344&gt;=Settings!$B$19,$C344&amp;"-"&amp;$D344&lt;=Settings!$B$20),"IN","OUT"))</f>
        <v/>
      </c>
      <c r="AS344" s="152">
        <f>IF($A344="","",IF($F344="Financial Results","financials",IF($F344="Outlook/Guidance","guidance",IF($F344="Transcript Q&amp;A","qanda",IF($F344="","unrecorded",IF($E344="All","full",IF($E344="","unrecorded",LOWER($E344)&amp;" only")))))))</f>
        <v/>
      </c>
      <c r="AT344" s="152">
        <f>IF(AND(OR($J344="BUY",$J344="SELL"),ISNUMBER($U344)),$U344,"")</f>
        <v/>
      </c>
      <c r="AU344" s="152">
        <f>IF(AND(OR($J344="BUY",$J344="SELL"),ISNUMBER($AK344)),$AK344,"")</f>
        <v/>
      </c>
      <c r="AV344" s="152">
        <f>IF(ISNUMBER($AT344),ABS(IF(ISNUMBER($I344),$I344,0)-Settings!$B$24),"")</f>
        <v/>
      </c>
      <c r="AW344" s="152">
        <f>IF(ISNUMBER($AV344),$AV344*$AT344,"")</f>
        <v/>
      </c>
      <c r="AX344" s="152">
        <f>IF(ISNUMBER($AU344),ABS(IF(ISNUMBER($I344),$I344,0)-Settings!$B$24),"")</f>
        <v/>
      </c>
      <c r="AY344" s="152" t="inlineStr">
        <is>
          <t>EXTENSION</t>
        </is>
      </c>
      <c r="AZ344" s="152">
        <f>IF($A344="","",IFERROR(INDEX(Company_List!$H$3:$H$207,MATCH($A344,Company_List!$A$3:$A$207,0)),"unassigned"))</f>
        <v/>
      </c>
      <c r="BA344" s="152" t="n">
        <v>2</v>
      </c>
      <c r="BB344" s="152" t="n">
        <v>2</v>
      </c>
      <c r="BC344" s="152">
        <f>IF($A344="","",IF(COUNTIFS($A$3:$A344,$A344,$C$3:$C344,$C344,$D$3:$D344,$D344,$G$3:$G344,$G344)=1,1,0))</f>
        <v/>
      </c>
      <c r="BD344" s="152" t="n">
        <v>12</v>
      </c>
      <c r="BE344" s="152" t="n">
        <v>18</v>
      </c>
      <c r="BF344" s="152" t="n">
        <v>0.5</v>
      </c>
      <c r="BG344" s="152" t="inlineStr">
        <is>
          <t>no</t>
        </is>
      </c>
      <c r="BH344" s="152" t="n"/>
      <c r="BI344" s="152" t="n"/>
      <c r="BJ344" s="152" t="inlineStr">
        <is>
          <t>Dragos - Phase 3 scoring_rows.csv</t>
        </is>
      </c>
      <c r="BK344" s="152">
        <f>IF(OR($H344&lt;&gt;"Human",$S344="",$J344="",$Y344="",$Z344=""),"",IF(EXACT(UPPER($J344),UPPER($Y344)),1,0))</f>
        <v/>
      </c>
      <c r="BL344" s="152" t="inlineStr">
        <is>
          <t>attested - rater record</t>
        </is>
      </c>
      <c r="BM344" s="152" t="n">
        <v>1</v>
      </c>
      <c r="BN344" s="152" t="inlineStr">
        <is>
          <t>The Motley Fool</t>
        </is>
      </c>
      <c r="BO344" s="152" t="inlineStr">
        <is>
          <t>free to read, copyright asserted</t>
        </is>
      </c>
      <c r="BP344" s="152" t="inlineStr">
        <is>
          <t>no</t>
        </is>
      </c>
      <c r="BQ344" s="152" t="inlineStr">
        <is>
          <t>yes</t>
        </is>
      </c>
      <c r="BR344" s="152" t="n"/>
      <c r="BS344" s="152" t="inlineStr">
        <is>
          <t>YES</t>
        </is>
      </c>
      <c r="BT344" s="152" t="n"/>
    </row>
    <row r="345" ht="15" customHeight="1" s="241">
      <c r="A345" s="193" t="inlineStr">
        <is>
          <t>Caterpillar</t>
        </is>
      </c>
      <c r="B345" s="194">
        <f>IF(A345="","",_xlfn.XLOOKUP(A345, Company_List!$A:$A, Company_List!$B:$B, ""))</f>
        <v/>
      </c>
      <c r="C345" s="177" t="n">
        <v>2026</v>
      </c>
      <c r="D345" s="177" t="inlineStr">
        <is>
          <t>Q1</t>
        </is>
      </c>
      <c r="E345" s="178" t="inlineStr">
        <is>
          <t>Transcript</t>
        </is>
      </c>
      <c r="F345" s="178" t="inlineStr">
        <is>
          <t>All</t>
        </is>
      </c>
      <c r="G345" s="177" t="inlineStr">
        <is>
          <t>Dragos</t>
        </is>
      </c>
      <c r="H345" s="177" t="inlineStr">
        <is>
          <t>Human</t>
        </is>
      </c>
      <c r="I345" s="180" t="n">
        <v>0.6</v>
      </c>
      <c r="J345" s="180">
        <f>IF(OR(I345="",Settings!$B$6=""),"",IF(I345&gt;Settings!$B$6,"BUY",IF(I345&lt;-Settings!$B$6,"SELL","HOLD")))</f>
        <v/>
      </c>
      <c r="K345" s="180" t="n">
        <v>30</v>
      </c>
      <c r="L345" s="182" t="n">
        <v>46142</v>
      </c>
      <c r="M345" s="182" t="n">
        <v>46141</v>
      </c>
      <c r="N345" s="179" t="n">
        <v>810.05</v>
      </c>
      <c r="O345" s="182" t="n">
        <v>46142</v>
      </c>
      <c r="P345" s="180" t="n">
        <v>856.63</v>
      </c>
      <c r="Q345" s="184">
        <f>IF(OR(N345="",P345=""),"",ROUND((P345-N345)/N345,4))</f>
        <v/>
      </c>
      <c r="R345" s="177">
        <f>IF(OR(N345="",P345=""),"",IF(Q345&gt;Settings!$B$3/100,"UP",IF(Q345&lt;-Settings!$B$3/100,"DOWN","FLAT")))</f>
        <v/>
      </c>
      <c r="S345" s="177">
        <f>IF(OR(N345="",P345="",J345=""),"",IF(OR(AND(J345="BUY",R345="UP"),AND(J345="SELL",R345="DOWN"),AND(J345="HOLD",R345="FLAT")),"YES","NO"))</f>
        <v/>
      </c>
      <c r="T345" s="176">
        <f>IF(J345="","",IF(J345="BUY",1,IF(J345="SELL",-1,0)))</f>
        <v/>
      </c>
      <c r="U345" s="184">
        <f>IFERROR(IF(OR(J345="",N345="",P345=""),"",IF(T345=0,0,T345*Q345-Settings!$B$4/10000-IF(T345&lt;0,Settings!$B$5/10000,0))),"")</f>
        <v/>
      </c>
      <c r="V345" s="152" t="inlineStr">
        <is>
          <t>inancials +0.6 in 16 min, then full document +0.6 in 14 min (no change). Full document adds the hard numbers behind the section - Power and Energy, sales of $7.0 billion increased by 22%; Construction Industries sales increased by 30% in the first quarter; profit for Power and Energy increased by 13%. Against that: higher than we had anticipated at $5.54, excluding restructuring costs. 2 forward claims flagged hypothetical and discounted, but the concrete numbers carry it.</t>
        </is>
      </c>
      <c r="W345" s="176">
        <f>IF($K345="","",$K345*60)</f>
        <v/>
      </c>
      <c r="X345" s="186">
        <f>IF($A345="","",$A345&amp;"|"&amp;$C345&amp;"|"&amp;$D345)</f>
        <v/>
      </c>
      <c r="Y345" s="186">
        <f>IFERROR(IF($X345="","",INDEX(LLM_Data_Entry!$H$3:$H$548,MATCH($X345,INDEX(LLM_Data_Entry!$A$3:$A$548&amp;"|"&amp;LLM_Data_Entry!$C$3:$C$548&amp;"|"&amp;LLM_Data_Entry!$D$3:$D$548,0),0))),"")</f>
        <v/>
      </c>
      <c r="Z345" s="186">
        <f>IFERROR(IF($X345="","",INDEX(LLM_Data_Entry!$R$3:$R$548,MATCH($X345,INDEX(LLM_Data_Entry!$A$3:$A$548&amp;"|"&amp;LLM_Data_Entry!$C$3:$C$548&amp;"|"&amp;LLM_Data_Entry!$D$3:$D$548,0),0))),"")</f>
        <v/>
      </c>
      <c r="AA345" s="152" t="n"/>
      <c r="AB345" s="152" t="inlineStr">
        <is>
          <t>price signal — only this window shows an abnormal move</t>
        </is>
      </c>
      <c r="AC345" s="152" t="inlineStr">
        <is>
          <t>CAT</t>
        </is>
      </c>
      <c r="AD345" s="152" t="inlineStr">
        <is>
          <t>2026-04-29</t>
        </is>
      </c>
      <c r="AE345" s="152" t="n">
        <v>808.55</v>
      </c>
      <c r="AF345" s="152" t="inlineStr">
        <is>
          <t>2026-04-30</t>
        </is>
      </c>
      <c r="AG345" s="152" t="n">
        <v>855.0438</v>
      </c>
      <c r="AH345" s="152" t="n">
        <v>0.05750263332067934</v>
      </c>
      <c r="AI345" s="152" t="inlineStr">
        <is>
          <t>UP</t>
        </is>
      </c>
      <c r="AJ345" s="152" t="inlineStr">
        <is>
          <t>YES</t>
        </is>
      </c>
      <c r="AK345" s="152" t="n">
        <v>0.056503</v>
      </c>
      <c r="AL345" s="152">
        <f>IF($A345="","",IFERROR(INDEX(Company_List!$G$3:$G$207,MATCH($A345,Company_List!$A$3:$A$207,0)),"unassigned"))</f>
        <v/>
      </c>
      <c r="AM345" s="152" t="inlineStr">
        <is>
          <t>Phase 2/Caterpillar/2026-Q1/CAT-2026-Q1-earnings-call-transcript-fool-com.html</t>
        </is>
      </c>
      <c r="AN345" s="152" t="inlineStr">
        <is>
          <t>https://www.fool.com/earnings/call-transcripts/2026/04/30/caterpillar-cat-q1-2026-earnings-transcript/</t>
        </is>
      </c>
      <c r="AO345" s="152" t="inlineStr">
        <is>
          <t>manifest</t>
        </is>
      </c>
      <c r="AP345" s="152">
        <f>IF($A345="","",IF(COUNTIFS(LLM_Data_Entry!$A$3:$A$548,$A345)&gt;0,"YES","NO"))</f>
        <v/>
      </c>
      <c r="AQ345" s="152">
        <f>IF($A345="","",IF(COUNTIFS($A$3:$A345,$A345,$C$3:$C345,$C345,$D$3:$D345,$D345)=1,"YES","NO"))</f>
        <v/>
      </c>
      <c r="AR345" s="152">
        <f>IF($A345="","",IF(AND($C345&amp;"-"&amp;$D345&gt;=Settings!$B$19,$C345&amp;"-"&amp;$D345&lt;=Settings!$B$20),"IN","OUT"))</f>
        <v/>
      </c>
      <c r="AS345" s="152">
        <f>IF($A345="","",IF($F345="Financial Results","financials",IF($F345="Outlook/Guidance","guidance",IF($F345="Transcript Q&amp;A","qanda",IF($F345="","unrecorded",IF($E345="All","full",IF($E345="","unrecorded",LOWER($E345)&amp;" only")))))))</f>
        <v/>
      </c>
      <c r="AT345" s="152">
        <f>IF(AND(OR($J345="BUY",$J345="SELL"),ISNUMBER($U345)),$U345,"")</f>
        <v/>
      </c>
      <c r="AU345" s="152">
        <f>IF(AND(OR($J345="BUY",$J345="SELL"),ISNUMBER($AK345)),$AK345,"")</f>
        <v/>
      </c>
      <c r="AV345" s="152">
        <f>IF(ISNUMBER($AT345),ABS(IF(ISNUMBER($I345),$I345,0)-Settings!$B$24),"")</f>
        <v/>
      </c>
      <c r="AW345" s="152">
        <f>IF(ISNUMBER($AV345),$AV345*$AT345,"")</f>
        <v/>
      </c>
      <c r="AX345" s="152">
        <f>IF(ISNUMBER($AU345),ABS(IF(ISNUMBER($I345),$I345,0)-Settings!$B$24),"")</f>
        <v/>
      </c>
      <c r="AY345" s="152" t="inlineStr">
        <is>
          <t>FROZEN</t>
        </is>
      </c>
      <c r="AZ345" s="152">
        <f>IF($A345="","",IFERROR(INDEX(Company_List!$H$3:$H$207,MATCH($A345,Company_List!$A$3:$A$207,0)),"unassigned"))</f>
        <v/>
      </c>
      <c r="BA345" s="152" t="n">
        <v>2</v>
      </c>
      <c r="BB345" s="152" t="n">
        <v>2</v>
      </c>
      <c r="BC345" s="152">
        <f>IF($A345="","",IF(COUNTIFS($A$3:$A345,$A345,$C$3:$C345,$C345,$D$3:$D345,$D345,$G$3:$G345,$G345)=1,1,0))</f>
        <v/>
      </c>
      <c r="BD345" s="152" t="n">
        <v>16</v>
      </c>
      <c r="BE345" s="152" t="n">
        <v>14</v>
      </c>
      <c r="BF345" s="152" t="n">
        <v>0.6</v>
      </c>
      <c r="BG345" s="152" t="inlineStr">
        <is>
          <t>no</t>
        </is>
      </c>
      <c r="BH345" s="152" t="n"/>
      <c r="BI345" s="152" t="n"/>
      <c r="BJ345" s="152" t="inlineStr">
        <is>
          <t>Dragos - Phase 3 scoring_rows.csv</t>
        </is>
      </c>
      <c r="BK345" s="152">
        <f>IF(OR($H345&lt;&gt;"Human",$S345="",$J345="",$Y345="",$Z345=""),"",IF(EXACT(UPPER($J345),UPPER($Y345)),1,0))</f>
        <v/>
      </c>
      <c r="BL345" s="152" t="inlineStr">
        <is>
          <t>attested - rater record</t>
        </is>
      </c>
      <c r="BM345" s="152" t="n">
        <v>1</v>
      </c>
      <c r="BN345" s="152" t="inlineStr">
        <is>
          <t>The Motley Fool</t>
        </is>
      </c>
      <c r="BO345" s="152" t="inlineStr">
        <is>
          <t>free to read, copyright asserted</t>
        </is>
      </c>
      <c r="BP345" s="152" t="inlineStr">
        <is>
          <t>no</t>
        </is>
      </c>
      <c r="BQ345" s="152" t="inlineStr">
        <is>
          <t>yes</t>
        </is>
      </c>
      <c r="BR345" s="152" t="n"/>
      <c r="BS345" s="152" t="inlineStr">
        <is>
          <t>NO</t>
        </is>
      </c>
      <c r="BT345" s="152" t="inlineStr">
        <is>
          <t>human-only event; not in LLM returns_matrix — EDGAR lookup deferred, manual verification required</t>
        </is>
      </c>
    </row>
    <row r="346" ht="15" customHeight="1" s="241">
      <c r="A346" s="193" t="inlineStr">
        <is>
          <t>Home Depot</t>
        </is>
      </c>
      <c r="B346" s="194">
        <f>IF(A346="","",_xlfn.XLOOKUP(A346, Company_List!$A:$A, Company_List!$B:$B, ""))</f>
        <v/>
      </c>
      <c r="C346" s="177" t="n">
        <v>2026</v>
      </c>
      <c r="D346" s="177" t="inlineStr">
        <is>
          <t>Q1</t>
        </is>
      </c>
      <c r="E346" s="178" t="inlineStr">
        <is>
          <t>Transcript</t>
        </is>
      </c>
      <c r="F346" s="178" t="inlineStr">
        <is>
          <t>All</t>
        </is>
      </c>
      <c r="G346" s="177" t="inlineStr">
        <is>
          <t>Dragos</t>
        </is>
      </c>
      <c r="H346" s="177" t="inlineStr">
        <is>
          <t>Human</t>
        </is>
      </c>
      <c r="I346" s="180" t="n">
        <v>0.4</v>
      </c>
      <c r="J346" s="180">
        <f>IF(OR(I346="",Settings!$B$6=""),"",IF(I346&gt;Settings!$B$6,"BUY",IF(I346&lt;-Settings!$B$6,"SELL","HOLD")))</f>
        <v/>
      </c>
      <c r="K346" s="180" t="n">
        <v>25</v>
      </c>
      <c r="L346" s="182" t="n">
        <v>46161</v>
      </c>
      <c r="M346" s="182" t="n">
        <v>46160</v>
      </c>
      <c r="N346" s="179" t="n">
        <v>297.578</v>
      </c>
      <c r="O346" s="182" t="n">
        <v>46161</v>
      </c>
      <c r="P346" s="180" t="n">
        <v>289.6971</v>
      </c>
      <c r="Q346" s="184">
        <f>IF(OR(N346="",P346=""),"",ROUND((P346-N346)/N346,4))</f>
        <v/>
      </c>
      <c r="R346" s="177">
        <f>IF(OR(N346="",P346=""),"",IF(Q346&gt;Settings!$B$3/100,"UP",IF(Q346&lt;-Settings!$B$3/100,"DOWN","FLAT")))</f>
        <v/>
      </c>
      <c r="S346" s="177">
        <f>IF(OR(N346="",P346="",J346=""),"",IF(OR(AND(J346="BUY",R346="UP"),AND(J346="SELL",R346="DOWN"),AND(J346="HOLD",R346="FLAT")),"YES","NO"))</f>
        <v/>
      </c>
      <c r="T346" s="176">
        <f>IF(J346="","",IF(J346="BUY",1,IF(J346="SELL",-1,0)))</f>
        <v/>
      </c>
      <c r="U346" s="184">
        <f>IFERROR(IF(OR(J346="",N346="",P346=""),"",IF(T346=0,0,T346*Q346-Settings!$B$4/10000-IF(T346&lt;0,Settings!$B$5/10000,0))),"")</f>
        <v/>
      </c>
      <c r="V346" s="152" t="inlineStr">
        <is>
          <t>financials +0.4 in 13 min, then full document +0.4 in 12 min (no change). Full document adds the hard numbers behind the section - transactions in sales by ticket size, $0 to $20, $20 to $50; Sales for the first quarter were $41.8 billion, an increase of 4.8%; distribution represents an addressable market of approximately $100 billion, and increases our total addressable. Against that: total company comps were positive 0.6% with comps of positive. 1 forward claim flagged hypothetical and discounted, but the concrete numbers carry it.</t>
        </is>
      </c>
      <c r="W346" s="176">
        <f>IF($K346="","",$K346*60)</f>
        <v/>
      </c>
      <c r="X346" s="186">
        <f>IF($A346="","",$A346&amp;"|"&amp;$C346&amp;"|"&amp;$D346)</f>
        <v/>
      </c>
      <c r="Y346" s="186">
        <f>IFERROR(IF($X346="","",INDEX(LLM_Data_Entry!$H$3:$H$548,MATCH($X346,INDEX(LLM_Data_Entry!$A$3:$A$548&amp;"|"&amp;LLM_Data_Entry!$C$3:$C$548&amp;"|"&amp;LLM_Data_Entry!$D$3:$D$548,0),0))),"")</f>
        <v/>
      </c>
      <c r="Z346" s="186">
        <f>IFERROR(IF($X346="","",INDEX(LLM_Data_Entry!$R$3:$R$548,MATCH($X346,INDEX(LLM_Data_Entry!$A$3:$A$548&amp;"|"&amp;LLM_Data_Entry!$C$3:$C$548&amp;"|"&amp;LLM_Data_Entry!$D$3:$D$548,0),0))),"")</f>
        <v/>
      </c>
      <c r="AA346" s="152" t="n"/>
      <c r="AB346" s="152" t="inlineStr">
        <is>
          <t>price signal — only this window shows an abnormal move</t>
        </is>
      </c>
      <c r="AC346" s="152" t="inlineStr">
        <is>
          <t>HD</t>
        </is>
      </c>
      <c r="AD346" s="152" t="inlineStr">
        <is>
          <t>2026-05-18</t>
        </is>
      </c>
      <c r="AE346" s="152" t="n">
        <v>297.578</v>
      </c>
      <c r="AF346" s="152" t="inlineStr">
        <is>
          <t>2026-05-19</t>
        </is>
      </c>
      <c r="AG346" s="152" t="n">
        <v>289.6971</v>
      </c>
      <c r="AH346" s="152" t="n">
        <v>-0.02648348582710826</v>
      </c>
      <c r="AI346" s="152" t="inlineStr">
        <is>
          <t>DOWN</t>
        </is>
      </c>
      <c r="AJ346" s="152" t="inlineStr">
        <is>
          <t>NO</t>
        </is>
      </c>
      <c r="AK346" s="152" t="n">
        <v>-0.027483</v>
      </c>
      <c r="AL346" s="152">
        <f>IF($A346="","",IFERROR(INDEX(Company_List!$G$3:$G$207,MATCH($A346,Company_List!$A$3:$A$207,0)),"unassigned"))</f>
        <v/>
      </c>
      <c r="AM346" s="152" t="inlineStr">
        <is>
          <t>Phase 3/Readings/Home Depot/2026-Q1/HD-2026-Q1-earnings-call-transcript-ir-homedepot-com.pdf</t>
        </is>
      </c>
      <c r="AN346" s="152" t="inlineStr">
        <is>
          <t>https://ir.homedepot.com/~/media/Files/H/HomeDepot-IR/2026/hd-1q26-transcript.pdf</t>
        </is>
      </c>
      <c r="AO346" s="152" t="inlineStr">
        <is>
          <t>manifest</t>
        </is>
      </c>
      <c r="AP346" s="152">
        <f>IF($A346="","",IF(COUNTIFS(LLM_Data_Entry!$A$3:$A$548,$A346)&gt;0,"YES","NO"))</f>
        <v/>
      </c>
      <c r="AQ346" s="152">
        <f>IF($A346="","",IF(COUNTIFS($A$3:$A346,$A346,$C$3:$C346,$C346,$D$3:$D346,$D346)=1,"YES","NO"))</f>
        <v/>
      </c>
      <c r="AR346" s="152">
        <f>IF($A346="","",IF(AND($C346&amp;"-"&amp;$D346&gt;=Settings!$B$19,$C346&amp;"-"&amp;$D346&lt;=Settings!$B$20),"IN","OUT"))</f>
        <v/>
      </c>
      <c r="AS346" s="152">
        <f>IF($A346="","",IF($F346="Financial Results","financials",IF($F346="Outlook/Guidance","guidance",IF($F346="Transcript Q&amp;A","qanda",IF($F346="","unrecorded",IF($E346="All","full",IF($E346="","unrecorded",LOWER($E346)&amp;" only")))))))</f>
        <v/>
      </c>
      <c r="AT346" s="152">
        <f>IF(AND(OR($J346="BUY",$J346="SELL"),ISNUMBER($U346)),$U346,"")</f>
        <v/>
      </c>
      <c r="AU346" s="152">
        <f>IF(AND(OR($J346="BUY",$J346="SELL"),ISNUMBER($AK346)),$AK346,"")</f>
        <v/>
      </c>
      <c r="AV346" s="152">
        <f>IF(ISNUMBER($AT346),ABS(IF(ISNUMBER($I346),$I346,0)-Settings!$B$24),"")</f>
        <v/>
      </c>
      <c r="AW346" s="152">
        <f>IF(ISNUMBER($AV346),$AV346*$AT346,"")</f>
        <v/>
      </c>
      <c r="AX346" s="152">
        <f>IF(ISNUMBER($AU346),ABS(IF(ISNUMBER($I346),$I346,0)-Settings!$B$24),"")</f>
        <v/>
      </c>
      <c r="AY346" s="152" t="inlineStr">
        <is>
          <t>EXTENSION</t>
        </is>
      </c>
      <c r="AZ346" s="152">
        <f>IF($A346="","",IFERROR(INDEX(Company_List!$H$3:$H$207,MATCH($A346,Company_List!$A$3:$A$207,0)),"unassigned"))</f>
        <v/>
      </c>
      <c r="BA346" s="152" t="n">
        <v>2</v>
      </c>
      <c r="BB346" s="152" t="n">
        <v>2</v>
      </c>
      <c r="BC346" s="152">
        <f>IF($A346="","",IF(COUNTIFS($A$3:$A346,$A346,$C$3:$C346,$C346,$D$3:$D346,$D346,$G$3:$G346,$G346)=1,1,0))</f>
        <v/>
      </c>
      <c r="BD346" s="152" t="n">
        <v>13</v>
      </c>
      <c r="BE346" s="152" t="n">
        <v>12</v>
      </c>
      <c r="BF346" s="152" t="n">
        <v>0.4</v>
      </c>
      <c r="BG346" s="152" t="inlineStr">
        <is>
          <t>no</t>
        </is>
      </c>
      <c r="BH346" s="152" t="n"/>
      <c r="BI346" s="152" t="n"/>
      <c r="BJ346" s="152" t="inlineStr">
        <is>
          <t>Dragos - Phase 3 scoring_rows.csv</t>
        </is>
      </c>
      <c r="BK346" s="152">
        <f>IF(OR($H346&lt;&gt;"Human",$S346="",$J346="",$Y346="",$Z346=""),"",IF(EXACT(UPPER($J346),UPPER($Y346)),1,0))</f>
        <v/>
      </c>
      <c r="BL346" s="152" t="inlineStr">
        <is>
          <t>attested - rater record</t>
        </is>
      </c>
      <c r="BM346" s="152" t="n">
        <v>1</v>
      </c>
      <c r="BN346" s="152" t="inlineStr">
        <is>
          <t>not publisher-identified</t>
        </is>
      </c>
      <c r="BO346" s="152" t="inlineStr">
        <is>
          <t>not publisher-identified</t>
        </is>
      </c>
      <c r="BP346" s="152" t="inlineStr">
        <is>
          <t>no</t>
        </is>
      </c>
      <c r="BQ346" s="152" t="inlineStr">
        <is>
          <t>yes</t>
        </is>
      </c>
      <c r="BR346" s="152" t="n"/>
      <c r="BS346" s="152" t="inlineStr">
        <is>
          <t>YES</t>
        </is>
      </c>
      <c r="BT346" s="152" t="n"/>
    </row>
    <row r="347" ht="15" customHeight="1" s="241">
      <c r="A347" s="193" t="inlineStr">
        <is>
          <t>Adobe</t>
        </is>
      </c>
      <c r="B347" s="194">
        <f>IF(A347="","",_xlfn.XLOOKUP(A347, Company_List!$A:$A, Company_List!$B:$B, ""))</f>
        <v/>
      </c>
      <c r="C347" s="177" t="n">
        <v>2026</v>
      </c>
      <c r="D347" s="177" t="inlineStr">
        <is>
          <t>Q2</t>
        </is>
      </c>
      <c r="E347" s="178" t="inlineStr">
        <is>
          <t>Transcript</t>
        </is>
      </c>
      <c r="F347" s="178" t="inlineStr">
        <is>
          <t>All</t>
        </is>
      </c>
      <c r="G347" s="177" t="inlineStr">
        <is>
          <t>Dragos</t>
        </is>
      </c>
      <c r="H347" s="177" t="inlineStr">
        <is>
          <t>Human</t>
        </is>
      </c>
      <c r="I347" s="180" t="n">
        <v>0.9</v>
      </c>
      <c r="J347" s="180">
        <f>IF(OR(I347="",Settings!$B$6=""),"",IF(I347&gt;Settings!$B$6,"BUY",IF(I347&lt;-Settings!$B$6,"SELL","HOLD")))</f>
        <v/>
      </c>
      <c r="K347" s="180" t="n">
        <v>33</v>
      </c>
      <c r="L347" s="182" t="n">
        <v>46184</v>
      </c>
      <c r="M347" s="182" t="n">
        <v>46184</v>
      </c>
      <c r="N347" s="179" t="n">
        <v>218.8</v>
      </c>
      <c r="O347" s="182" t="n">
        <v>46185</v>
      </c>
      <c r="P347" s="180" t="n">
        <v>202.4</v>
      </c>
      <c r="Q347" s="184">
        <f>IF(OR(N347="",P347=""),"",ROUND((P347-N347)/N347,4))</f>
        <v/>
      </c>
      <c r="R347" s="177">
        <f>IF(OR(N347="",P347=""),"",IF(Q347&gt;Settings!$B$3/100,"UP",IF(Q347&lt;-Settings!$B$3/100,"DOWN","FLAT")))</f>
        <v/>
      </c>
      <c r="S347" s="177">
        <f>IF(OR(N347="",P347="",J347=""),"",IF(OR(AND(J347="BUY",R347="UP"),AND(J347="SELL",R347="DOWN"),AND(J347="HOLD",R347="FLAT")),"YES","NO"))</f>
        <v/>
      </c>
      <c r="T347" s="176">
        <f>IF(J347="","",IF(J347="BUY",1,IF(J347="SELL",-1,0)))</f>
        <v/>
      </c>
      <c r="U347" s="184">
        <f>IFERROR(IF(OR(J347="",N347="",P347=""),"",IF(T347=0,0,T347*Q347-Settings!$B$4/10000-IF(T347&lt;0,Settings!$B$5/10000,0))),"")</f>
        <v/>
      </c>
      <c r="V347" s="152" t="inlineStr">
        <is>
          <t>guidance +0.8 in 15 min, then full document +0.9 in 18 min (+0.1). Full document adds the hard numbers behind the section - Q2, Adobe achieved record revenue of $6.62 billion growing 13% year-over-year as reported; earnings per share for the quarter was $4.25 representing 8% year over year; Total customer group subscription revenue of $6.39 billion growing 14% year over year. Against that: operations in the quarter were $2.17 billion and ending cash. 3 forward claims flagged hypothetical and discounted, but the concrete numbers carry it.</t>
        </is>
      </c>
      <c r="W347" s="176">
        <f>IF($K347="","",$K347*60)</f>
        <v/>
      </c>
      <c r="X347" s="186">
        <f>IF($A347="","",$A347&amp;"|"&amp;$C347&amp;"|"&amp;$D347)</f>
        <v/>
      </c>
      <c r="Y347" s="186">
        <f>IFERROR(IF($X347="","",INDEX(LLM_Data_Entry!$H$3:$H$548,MATCH($X347,INDEX(LLM_Data_Entry!$A$3:$A$548&amp;"|"&amp;LLM_Data_Entry!$C$3:$C$548&amp;"|"&amp;LLM_Data_Entry!$D$3:$D$548,0),0))),"")</f>
        <v/>
      </c>
      <c r="Z347" s="186">
        <f>IFERROR(IF($X347="","",INDEX(LLM_Data_Entry!$R$3:$R$548,MATCH($X347,INDEX(LLM_Data_Entry!$A$3:$A$548&amp;"|"&amp;LLM_Data_Entry!$C$3:$C$548&amp;"|"&amp;LLM_Data_Entry!$D$3:$D$548,0),0))),"")</f>
        <v/>
      </c>
      <c r="AA347" s="152" t="n"/>
      <c r="AB347" s="152" t="inlineStr">
        <is>
          <t>price signal — both moved; this one dominates</t>
        </is>
      </c>
      <c r="AC347" s="152" t="inlineStr">
        <is>
          <t>ADBE</t>
        </is>
      </c>
      <c r="AD347" s="152" t="inlineStr">
        <is>
          <t>2026-06-11</t>
        </is>
      </c>
      <c r="AE347" s="152" t="n">
        <v>218.8</v>
      </c>
      <c r="AF347" s="152" t="inlineStr">
        <is>
          <t>2026-06-12</t>
        </is>
      </c>
      <c r="AG347" s="152" t="n">
        <v>202.4</v>
      </c>
      <c r="AH347" s="152" t="n">
        <v>-0.0749543362666225</v>
      </c>
      <c r="AI347" s="152" t="inlineStr">
        <is>
          <t>DOWN</t>
        </is>
      </c>
      <c r="AJ347" s="152" t="inlineStr">
        <is>
          <t>NO</t>
        </is>
      </c>
      <c r="AK347" s="152" t="n">
        <v>-0.07595399999999999</v>
      </c>
      <c r="AL347" s="152">
        <f>IF($A347="","",IFERROR(INDEX(Company_List!$G$3:$G$207,MATCH($A347,Company_List!$A$3:$A$207,0)),"unassigned"))</f>
        <v/>
      </c>
      <c r="AM347" s="152" t="inlineStr">
        <is>
          <t>Phase 3/Readings/Adobe/2026-Q2/ADBE-2026-Q2-earnings-call-transcript-fool-com.html</t>
        </is>
      </c>
      <c r="AN347" s="152" t="inlineStr">
        <is>
          <t>https://www.fool.com/earnings/call-transcripts/2026/06/11/adobe-adbe-q2-2026-earnings-transcript/</t>
        </is>
      </c>
      <c r="AO347" s="152" t="inlineStr">
        <is>
          <t>manifest</t>
        </is>
      </c>
      <c r="AP347" s="152">
        <f>IF($A347="","",IF(COUNTIFS(LLM_Data_Entry!$A$3:$A$548,$A347)&gt;0,"YES","NO"))</f>
        <v/>
      </c>
      <c r="AQ347" s="152">
        <f>IF($A347="","",IF(COUNTIFS($A$3:$A347,$A347,$C$3:$C347,$C347,$D$3:$D347,$D347)=1,"YES","NO"))</f>
        <v/>
      </c>
      <c r="AR347" s="152">
        <f>IF($A347="","",IF(AND($C347&amp;"-"&amp;$D347&gt;=Settings!$B$19,$C347&amp;"-"&amp;$D347&lt;=Settings!$B$20),"IN","OUT"))</f>
        <v/>
      </c>
      <c r="AS347" s="152">
        <f>IF($A347="","",IF($F347="Financial Results","financials",IF($F347="Outlook/Guidance","guidance",IF($F347="Transcript Q&amp;A","qanda",IF($F347="","unrecorded",IF($E347="All","full",IF($E347="","unrecorded",LOWER($E347)&amp;" only")))))))</f>
        <v/>
      </c>
      <c r="AT347" s="152">
        <f>IF(AND(OR($J347="BUY",$J347="SELL"),ISNUMBER($U347)),$U347,"")</f>
        <v/>
      </c>
      <c r="AU347" s="152">
        <f>IF(AND(OR($J347="BUY",$J347="SELL"),ISNUMBER($AK347)),$AK347,"")</f>
        <v/>
      </c>
      <c r="AV347" s="152">
        <f>IF(ISNUMBER($AT347),ABS(IF(ISNUMBER($I347),$I347,0)-Settings!$B$24),"")</f>
        <v/>
      </c>
      <c r="AW347" s="152">
        <f>IF(ISNUMBER($AV347),$AV347*$AT347,"")</f>
        <v/>
      </c>
      <c r="AX347" s="152">
        <f>IF(ISNUMBER($AU347),ABS(IF(ISNUMBER($I347),$I347,0)-Settings!$B$24),"")</f>
        <v/>
      </c>
      <c r="AY347" s="152" t="inlineStr">
        <is>
          <t>EXTENSION</t>
        </is>
      </c>
      <c r="AZ347" s="152">
        <f>IF($A347="","",IFERROR(INDEX(Company_List!$H$3:$H$207,MATCH($A347,Company_List!$A$3:$A$207,0)),"unassigned"))</f>
        <v/>
      </c>
      <c r="BA347" s="152" t="n">
        <v>2</v>
      </c>
      <c r="BB347" s="152" t="n">
        <v>2</v>
      </c>
      <c r="BC347" s="152">
        <f>IF($A347="","",IF(COUNTIFS($A$3:$A347,$A347,$C$3:$C347,$C347,$D$3:$D347,$D347,$G$3:$G347,$G347)=1,1,0))</f>
        <v/>
      </c>
      <c r="BD347" s="152" t="n">
        <v>15</v>
      </c>
      <c r="BE347" s="152" t="n">
        <v>18</v>
      </c>
      <c r="BF347" s="152" t="n">
        <v>0.8</v>
      </c>
      <c r="BG347" s="152" t="inlineStr">
        <is>
          <t>no</t>
        </is>
      </c>
      <c r="BH347" s="152" t="n"/>
      <c r="BI347" s="152" t="n"/>
      <c r="BJ347" s="152" t="inlineStr">
        <is>
          <t>Dragos - Phase 3 scoring_rows.csv</t>
        </is>
      </c>
      <c r="BK347" s="152">
        <f>IF(OR($H347&lt;&gt;"Human",$S347="",$J347="",$Y347="",$Z347=""),"",IF(EXACT(UPPER($J347),UPPER($Y347)),1,0))</f>
        <v/>
      </c>
      <c r="BL347" s="152" t="inlineStr">
        <is>
          <t>attested - rater record</t>
        </is>
      </c>
      <c r="BM347" s="152" t="n">
        <v>1</v>
      </c>
      <c r="BN347" s="152" t="inlineStr">
        <is>
          <t>The Motley Fool</t>
        </is>
      </c>
      <c r="BO347" s="152" t="inlineStr">
        <is>
          <t>free to read, copyright asserted</t>
        </is>
      </c>
      <c r="BP347" s="152" t="inlineStr">
        <is>
          <t>no</t>
        </is>
      </c>
      <c r="BQ347" s="152" t="inlineStr">
        <is>
          <t>yes</t>
        </is>
      </c>
      <c r="BR347" s="152" t="n"/>
      <c r="BS347" s="152" t="inlineStr">
        <is>
          <t>YES</t>
        </is>
      </c>
      <c r="BT347" s="152" t="n"/>
    </row>
    <row r="348" ht="15" customHeight="1" s="241">
      <c r="A348" s="193" t="inlineStr">
        <is>
          <t>PepsiCo</t>
        </is>
      </c>
      <c r="B348" s="194">
        <f>IF(A348="","",_xlfn.XLOOKUP(A348, Company_List!$A:$A, Company_List!$B:$B, ""))</f>
        <v/>
      </c>
      <c r="C348" s="177" t="n">
        <v>2023</v>
      </c>
      <c r="D348" s="177" t="inlineStr">
        <is>
          <t>Q1</t>
        </is>
      </c>
      <c r="E348" s="178" t="inlineStr">
        <is>
          <t>All</t>
        </is>
      </c>
      <c r="F348" s="178" t="inlineStr">
        <is>
          <t>All</t>
        </is>
      </c>
      <c r="G348" s="177" t="inlineStr">
        <is>
          <t>Dragos</t>
        </is>
      </c>
      <c r="H348" s="177" t="inlineStr">
        <is>
          <t>Human</t>
        </is>
      </c>
      <c r="I348" s="180" t="n">
        <v>0.2</v>
      </c>
      <c r="J348" s="180">
        <f>IF(OR(I348="",Settings!$B$6=""),"",IF(I348&gt;Settings!$B$6,"BUY",IF(I348&lt;-Settings!$B$6,"SELL","HOLD")))</f>
        <v/>
      </c>
      <c r="K348" s="180" t="n">
        <v>22</v>
      </c>
      <c r="L348" s="182" t="n">
        <v>45041</v>
      </c>
      <c r="M348" s="182" t="n">
        <v>45040</v>
      </c>
      <c r="N348" s="179" t="n">
        <v>185.5</v>
      </c>
      <c r="O348" s="182" t="n">
        <v>45041</v>
      </c>
      <c r="P348" s="180" t="n">
        <v>186.56</v>
      </c>
      <c r="Q348" s="184">
        <f>IF(OR(N348="",P348=""),"",ROUND((P348-N348)/N348,4))</f>
        <v/>
      </c>
      <c r="R348" s="177">
        <f>IF(OR(N348="",P348=""),"",IF(Q348&gt;Settings!$B$3/100,"UP",IF(Q348&lt;-Settings!$B$3/100,"DOWN","FLAT")))</f>
        <v/>
      </c>
      <c r="S348" s="177">
        <f>IF(OR(N348="",P348="",J348=""),"",IF(OR(AND(J348="BUY",R348="UP"),AND(J348="SELL",R348="DOWN"),AND(J348="HOLD",R348="FLAT")),"YES","NO"))</f>
        <v/>
      </c>
      <c r="T348" s="176">
        <f>IF(J348="","",IF(J348="BUY",1,IF(J348="SELL",-1,0)))</f>
        <v/>
      </c>
      <c r="U348" s="184">
        <f>IFERROR(IF(OR(J348="",N348="",P348=""),"",IF(T348=0,0,T348*Q348-Settings!$B$4/10000-IF(T348&lt;0,Settings!$B$5/10000,0))),"")</f>
        <v/>
      </c>
      <c r="V348" s="152" t="inlineStr">
        <is>
          <t>Full document set mildly positive - 2023 organic revenue to increase 8 percent (previously 6 percent) and core; the Company now expects to deliver 8 percent organic revenue growth (previously 6; Net revenue growth 10.2%. Against that: Foreign exchange impact on net revenue (2.5)%. 2 forward claims flagged hypothetical and discounted, but the concrete numbers carry it.</t>
        </is>
      </c>
      <c r="W348" s="176">
        <f>IF($K348="","",$K348*60)</f>
        <v/>
      </c>
      <c r="X348" s="186">
        <f>IF($A348="","",$A348&amp;"|"&amp;$C348&amp;"|"&amp;$D348)</f>
        <v/>
      </c>
      <c r="Y348" s="186">
        <f>IFERROR(IF($X348="","",INDEX(LLM_Data_Entry!$H$3:$H$548,MATCH($X348,INDEX(LLM_Data_Entry!$A$3:$A$548&amp;"|"&amp;LLM_Data_Entry!$C$3:$C$548&amp;"|"&amp;LLM_Data_Entry!$D$3:$D$548,0),0))),"")</f>
        <v/>
      </c>
      <c r="Z348" s="186">
        <f>IFERROR(IF($X348="","",INDEX(LLM_Data_Entry!$R$3:$R$548,MATCH($X348,INDEX(LLM_Data_Entry!$A$3:$A$548&amp;"|"&amp;LLM_Data_Entry!$C$3:$C$548&amp;"|"&amp;LLM_Data_Entry!$D$3:$D$548,0),0))),"")</f>
        <v/>
      </c>
      <c r="AA348" s="152" t="n"/>
      <c r="AB348" s="152" t="inlineStr">
        <is>
          <t>release date + stated time</t>
        </is>
      </c>
      <c r="AC348" s="152" t="inlineStr">
        <is>
          <t>PEP</t>
        </is>
      </c>
      <c r="AD348" s="152" t="inlineStr">
        <is>
          <t>2023-04-24</t>
        </is>
      </c>
      <c r="AE348" s="152" t="n">
        <v>165.906</v>
      </c>
      <c r="AF348" s="152" t="inlineStr">
        <is>
          <t>2023-04-25</t>
        </is>
      </c>
      <c r="AG348" s="152" t="n">
        <v>166.8541</v>
      </c>
      <c r="AH348" s="152" t="n">
        <v>0.005714316060247813</v>
      </c>
      <c r="AI348" s="152" t="inlineStr">
        <is>
          <t>FLAT</t>
        </is>
      </c>
      <c r="AJ348" s="152" t="inlineStr">
        <is>
          <t>YES</t>
        </is>
      </c>
      <c r="AK348" s="152" t="n">
        <v>0</v>
      </c>
      <c r="AL348" s="152">
        <f>IF($A348="","",IFERROR(INDEX(Company_List!$G$3:$G$207,MATCH($A348,Company_List!$A$3:$A$207,0)),"unassigned"))</f>
        <v/>
      </c>
      <c r="AM348" s="152" t="inlineStr">
        <is>
          <t>Phase 2/PepsiCo/Q1 2023/PEP-Q1-2023-press-release-SEC-EX99-1.htm; Phase 2/PepsiCo/Q1 2023/PEP-Q1-2023-earnings-call-transcript-InsiderMonkey.html</t>
        </is>
      </c>
      <c r="AN348" s="152" t="inlineStr">
        <is>
          <t>https://www.insidermonkey.com/blog/pepsico-inc-nasdaqpep-q1-2023-earnings-call-transcript-1143519/; https://www.sec.gov/Archives/edgar/data/77476/000007747623000025/q120238-kxexhibit991.htm</t>
        </is>
      </c>
      <c r="AO348" s="152" t="inlineStr">
        <is>
          <t>manifest (whole bundle)</t>
        </is>
      </c>
      <c r="AP348" s="152">
        <f>IF($A348="","",IF(COUNTIFS(LLM_Data_Entry!$A$3:$A$548,$A348)&gt;0,"YES","NO"))</f>
        <v/>
      </c>
      <c r="AQ348" s="152">
        <f>IF($A348="","",IF(COUNTIFS($A$3:$A348,$A348,$C$3:$C348,$C348,$D$3:$D348,$D348)=1,"YES","NO"))</f>
        <v/>
      </c>
      <c r="AR348" s="152">
        <f>IF($A348="","",IF(AND($C348&amp;"-"&amp;$D348&gt;=Settings!$B$19,$C348&amp;"-"&amp;$D348&lt;=Settings!$B$20),"IN","OUT"))</f>
        <v/>
      </c>
      <c r="AS348" s="152">
        <f>IF($A348="","",IF($F348="Financial Results","financials",IF($F348="Outlook/Guidance","guidance",IF($F348="Transcript Q&amp;A","qanda",IF($F348="","unrecorded",IF($E348="All","full",IF($E348="","unrecorded",LOWER($E348)&amp;" only")))))))</f>
        <v/>
      </c>
      <c r="AT348" s="152">
        <f>IF(AND(OR($J348="BUY",$J348="SELL"),ISNUMBER($U348)),$U348,"")</f>
        <v/>
      </c>
      <c r="AU348" s="152">
        <f>IF(AND(OR($J348="BUY",$J348="SELL"),ISNUMBER($AK348)),$AK348,"")</f>
        <v/>
      </c>
      <c r="AV348" s="152">
        <f>IF(ISNUMBER($AT348),ABS(IF(ISNUMBER($I348),$I348,0)-Settings!$B$24),"")</f>
        <v/>
      </c>
      <c r="AW348" s="152">
        <f>IF(ISNUMBER($AV348),$AV348*$AT348,"")</f>
        <v/>
      </c>
      <c r="AX348" s="152">
        <f>IF(ISNUMBER($AU348),ABS(IF(ISNUMBER($I348),$I348,0)-Settings!$B$24),"")</f>
        <v/>
      </c>
      <c r="AY348" s="152" t="inlineStr">
        <is>
          <t>FROZEN</t>
        </is>
      </c>
      <c r="AZ348" s="152">
        <f>IF($A348="","",IFERROR(INDEX(Company_List!$H$3:$H$207,MATCH($A348,Company_List!$A$3:$A$207,0)),"unassigned"))</f>
        <v/>
      </c>
      <c r="BA348" s="152" t="n"/>
      <c r="BB348" s="152" t="n"/>
      <c r="BC348" s="152">
        <f>IF($A348="","",IF(COUNTIFS($A$3:$A348,$A348,$C$3:$C348,$C348,$D$3:$D348,$D348,$G$3:$G348,$G348)=1,1,0))</f>
        <v/>
      </c>
      <c r="BD348" s="152" t="n"/>
      <c r="BE348" s="152" t="n"/>
      <c r="BF348" s="152" t="n"/>
      <c r="BG348" s="152" t="inlineStr">
        <is>
          <t>no</t>
        </is>
      </c>
      <c r="BH348" s="152" t="n"/>
      <c r="BI348" s="152" t="n"/>
      <c r="BJ348" s="152" t="n"/>
      <c r="BK348" s="152">
        <f>IF(OR($H348&lt;&gt;"Human",$S348="",$J348="",$Y348="",$Z348=""),"",IF(EXACT(UPPER($J348),UPPER($Y348)),1,0))</f>
        <v/>
      </c>
      <c r="BL348" s="152" t="inlineStr">
        <is>
          <t>assumed - no rater record</t>
        </is>
      </c>
      <c r="BM348" s="152" t="n">
        <v>2</v>
      </c>
      <c r="BN348" s="152" t="inlineStr">
        <is>
          <t>Insider Monkey (Koala Guide LLC)</t>
        </is>
      </c>
      <c r="BO348" s="152" t="inlineStr">
        <is>
          <t>free to read, copyright asserted</t>
        </is>
      </c>
      <c r="BP348" s="152" t="inlineStr">
        <is>
          <t>no</t>
        </is>
      </c>
      <c r="BQ348" s="152" t="inlineStr">
        <is>
          <t>yes</t>
        </is>
      </c>
      <c r="BR348" s="152" t="n"/>
      <c r="BS348" s="152" t="inlineStr">
        <is>
          <t>YES</t>
        </is>
      </c>
      <c r="BT348" s="152" t="n"/>
    </row>
    <row r="349" ht="15" customHeight="1" s="241">
      <c r="A349" s="193" t="inlineStr">
        <is>
          <t>PepsiCo</t>
        </is>
      </c>
      <c r="B349" s="194">
        <f>IF(A349="","",_xlfn.XLOOKUP(A349, Company_List!$A:$A, Company_List!$B:$B, ""))</f>
        <v/>
      </c>
      <c r="C349" s="177" t="n">
        <v>2023</v>
      </c>
      <c r="D349" s="177" t="inlineStr">
        <is>
          <t>Q2</t>
        </is>
      </c>
      <c r="E349" s="178" t="inlineStr">
        <is>
          <t>All</t>
        </is>
      </c>
      <c r="F349" s="178" t="inlineStr">
        <is>
          <t>All</t>
        </is>
      </c>
      <c r="G349" s="177" t="inlineStr">
        <is>
          <t>Dragos</t>
        </is>
      </c>
      <c r="H349" s="177" t="inlineStr">
        <is>
          <t>Human</t>
        </is>
      </c>
      <c r="I349" s="180" t="n">
        <v>0.2</v>
      </c>
      <c r="J349" s="180">
        <f>IF(OR(I349="",Settings!$B$6=""),"",IF(I349&gt;Settings!$B$6,"BUY",IF(I349&lt;-Settings!$B$6,"SELL","HOLD")))</f>
        <v/>
      </c>
      <c r="K349" s="180" t="n">
        <v>21</v>
      </c>
      <c r="L349" s="182" t="n">
        <v>45120</v>
      </c>
      <c r="M349" s="182" t="n">
        <v>45119</v>
      </c>
      <c r="N349" s="179" t="n">
        <v>183.17</v>
      </c>
      <c r="O349" s="182" t="n">
        <v>45120</v>
      </c>
      <c r="P349" s="180" t="n">
        <v>185.8</v>
      </c>
      <c r="Q349" s="184">
        <f>IF(OR(N349="",P349=""),"",ROUND((P349-N349)/N349,4))</f>
        <v/>
      </c>
      <c r="R349" s="177">
        <f>IF(OR(N349="",P349=""),"",IF(Q349&gt;Settings!$B$3/100,"UP",IF(Q349&lt;-Settings!$B$3/100,"DOWN","FLAT")))</f>
        <v/>
      </c>
      <c r="S349" s="177">
        <f>IF(OR(N349="",P349="",J349=""),"",IF(OR(AND(J349="BUY",R349="UP"),AND(J349="SELL",R349="DOWN"),AND(J349="HOLD",R349="FLAT")),"YES","NO"))</f>
        <v/>
      </c>
      <c r="T349" s="176">
        <f>IF(J349="","",IF(J349="BUY",1,IF(J349="SELL",-1,0)))</f>
        <v/>
      </c>
      <c r="U349" s="184">
        <f>IFERROR(IF(OR(J349="",N349="",P349=""),"",IF(T349=0,0,T349*Q349-Settings!$B$4/10000-IF(T349&lt;0,Settings!$B$5/10000,0))),"")</f>
        <v/>
      </c>
      <c r="V349" s="152" t="inlineStr">
        <is>
          <t>Full document set mildly positive - full-year organic revenue to increase 10 percent (previously 8 percent) and our core; the Company now expects to deliver 10 percent organic revenue growth (previously 8; Net revenue growth 10.4%. Against that: recorded pre-tax impairment charges of $1.4 billion and $1.6 billion, respectively. 3 forward claims flagged hypothetical and discounted, but the concrete numbers carry it.</t>
        </is>
      </c>
      <c r="W349" s="176">
        <f>IF($K349="","",$K349*60)</f>
        <v/>
      </c>
      <c r="X349" s="186">
        <f>IF($A349="","",$A349&amp;"|"&amp;$C349&amp;"|"&amp;$D349)</f>
        <v/>
      </c>
      <c r="Y349" s="186">
        <f>IFERROR(IF($X349="","",INDEX(LLM_Data_Entry!$H$3:$H$548,MATCH($X349,INDEX(LLM_Data_Entry!$A$3:$A$548&amp;"|"&amp;LLM_Data_Entry!$C$3:$C$548&amp;"|"&amp;LLM_Data_Entry!$D$3:$D$548,0),0))),"")</f>
        <v/>
      </c>
      <c r="Z349" s="186">
        <f>IFERROR(IF($X349="","",INDEX(LLM_Data_Entry!$R$3:$R$548,MATCH($X349,INDEX(LLM_Data_Entry!$A$3:$A$548&amp;"|"&amp;LLM_Data_Entry!$C$3:$C$548&amp;"|"&amp;LLM_Data_Entry!$D$3:$D$548,0),0))),"")</f>
        <v/>
      </c>
      <c r="AA349" s="152" t="n"/>
      <c r="AB349" s="152" t="inlineStr">
        <is>
          <t>release date + stated time</t>
        </is>
      </c>
      <c r="AC349" s="152" t="inlineStr">
        <is>
          <t>PEP</t>
        </is>
      </c>
      <c r="AD349" s="152" t="inlineStr">
        <is>
          <t>2023-07-12</t>
        </is>
      </c>
      <c r="AE349" s="152" t="n">
        <v>164.9666</v>
      </c>
      <c r="AF349" s="152" t="inlineStr">
        <is>
          <t>2023-07-13</t>
        </is>
      </c>
      <c r="AG349" s="152" t="n">
        <v>167.3352</v>
      </c>
      <c r="AH349" s="152" t="n">
        <v>0.01435832284973708</v>
      </c>
      <c r="AI349" s="152" t="inlineStr">
        <is>
          <t>FLAT</t>
        </is>
      </c>
      <c r="AJ349" s="152" t="inlineStr">
        <is>
          <t>YES</t>
        </is>
      </c>
      <c r="AK349" s="152" t="n">
        <v>0</v>
      </c>
      <c r="AL349" s="152">
        <f>IF($A349="","",IFERROR(INDEX(Company_List!$G$3:$G$207,MATCH($A349,Company_List!$A$3:$A$207,0)),"unassigned"))</f>
        <v/>
      </c>
      <c r="AM349" s="152" t="inlineStr">
        <is>
          <t>Phase 2/PepsiCo/Q2 2023/PEP-Q2-2023-press-release-SEC-EX99-1.htm; Phase 2/PepsiCo/Q2 2023/PEP-Q2-2023-earnings-call-transcript-InsiderMonkey.html</t>
        </is>
      </c>
      <c r="AN349" s="152" t="inlineStr">
        <is>
          <t>https://www.insidermonkey.com/blog/pepsico-inc-nasdaqpep-q2-2023-earnings-call-transcript-1168148/; https://www.sec.gov/Archives/edgar/data/77476/000007747623000048/q220238-kxexhibit991.htm</t>
        </is>
      </c>
      <c r="AO349" s="152" t="inlineStr">
        <is>
          <t>manifest (whole bundle)</t>
        </is>
      </c>
      <c r="AP349" s="152">
        <f>IF($A349="","",IF(COUNTIFS(LLM_Data_Entry!$A$3:$A$548,$A349)&gt;0,"YES","NO"))</f>
        <v/>
      </c>
      <c r="AQ349" s="152">
        <f>IF($A349="","",IF(COUNTIFS($A$3:$A349,$A349,$C$3:$C349,$C349,$D$3:$D349,$D349)=1,"YES","NO"))</f>
        <v/>
      </c>
      <c r="AR349" s="152">
        <f>IF($A349="","",IF(AND($C349&amp;"-"&amp;$D349&gt;=Settings!$B$19,$C349&amp;"-"&amp;$D349&lt;=Settings!$B$20),"IN","OUT"))</f>
        <v/>
      </c>
      <c r="AS349" s="152">
        <f>IF($A349="","",IF($F349="Financial Results","financials",IF($F349="Outlook/Guidance","guidance",IF($F349="Transcript Q&amp;A","qanda",IF($F349="","unrecorded",IF($E349="All","full",IF($E349="","unrecorded",LOWER($E349)&amp;" only")))))))</f>
        <v/>
      </c>
      <c r="AT349" s="152">
        <f>IF(AND(OR($J349="BUY",$J349="SELL"),ISNUMBER($U349)),$U349,"")</f>
        <v/>
      </c>
      <c r="AU349" s="152">
        <f>IF(AND(OR($J349="BUY",$J349="SELL"),ISNUMBER($AK349)),$AK349,"")</f>
        <v/>
      </c>
      <c r="AV349" s="152">
        <f>IF(ISNUMBER($AT349),ABS(IF(ISNUMBER($I349),$I349,0)-Settings!$B$24),"")</f>
        <v/>
      </c>
      <c r="AW349" s="152">
        <f>IF(ISNUMBER($AV349),$AV349*$AT349,"")</f>
        <v/>
      </c>
      <c r="AX349" s="152">
        <f>IF(ISNUMBER($AU349),ABS(IF(ISNUMBER($I349),$I349,0)-Settings!$B$24),"")</f>
        <v/>
      </c>
      <c r="AY349" s="152" t="inlineStr">
        <is>
          <t>FROZEN</t>
        </is>
      </c>
      <c r="AZ349" s="152">
        <f>IF($A349="","",IFERROR(INDEX(Company_List!$H$3:$H$207,MATCH($A349,Company_List!$A$3:$A$207,0)),"unassigned"))</f>
        <v/>
      </c>
      <c r="BA349" s="152" t="n"/>
      <c r="BB349" s="152" t="n"/>
      <c r="BC349" s="152">
        <f>IF($A349="","",IF(COUNTIFS($A$3:$A349,$A349,$C$3:$C349,$C349,$D$3:$D349,$D349,$G$3:$G349,$G349)=1,1,0))</f>
        <v/>
      </c>
      <c r="BD349" s="152" t="n"/>
      <c r="BE349" s="152" t="n"/>
      <c r="BF349" s="152" t="n"/>
      <c r="BG349" s="152" t="inlineStr">
        <is>
          <t>no</t>
        </is>
      </c>
      <c r="BH349" s="152" t="n"/>
      <c r="BI349" s="152" t="n"/>
      <c r="BJ349" s="152" t="n"/>
      <c r="BK349" s="152">
        <f>IF(OR($H349&lt;&gt;"Human",$S349="",$J349="",$Y349="",$Z349=""),"",IF(EXACT(UPPER($J349),UPPER($Y349)),1,0))</f>
        <v/>
      </c>
      <c r="BL349" s="152" t="inlineStr">
        <is>
          <t>assumed - no rater record</t>
        </is>
      </c>
      <c r="BM349" s="152" t="n">
        <v>2</v>
      </c>
      <c r="BN349" s="152" t="inlineStr">
        <is>
          <t>Insider Monkey (Koala Guide LLC)</t>
        </is>
      </c>
      <c r="BO349" s="152" t="inlineStr">
        <is>
          <t>free to read, copyright asserted</t>
        </is>
      </c>
      <c r="BP349" s="152" t="inlineStr">
        <is>
          <t>no</t>
        </is>
      </c>
      <c r="BQ349" s="152" t="inlineStr">
        <is>
          <t>yes</t>
        </is>
      </c>
      <c r="BR349" s="152" t="n"/>
      <c r="BS349" s="152" t="inlineStr">
        <is>
          <t>YES</t>
        </is>
      </c>
      <c r="BT349" s="152" t="n"/>
    </row>
    <row r="350" ht="15" customHeight="1" s="241">
      <c r="A350" s="193" t="inlineStr">
        <is>
          <t>PepsiCo</t>
        </is>
      </c>
      <c r="B350" s="194">
        <f>IF(A350="","",_xlfn.XLOOKUP(A350, Company_List!$A:$A, Company_List!$B:$B, ""))</f>
        <v/>
      </c>
      <c r="C350" s="177" t="n">
        <v>2023</v>
      </c>
      <c r="D350" s="177" t="inlineStr">
        <is>
          <t>Q3</t>
        </is>
      </c>
      <c r="E350" s="178" t="inlineStr">
        <is>
          <t>All</t>
        </is>
      </c>
      <c r="F350" s="178" t="inlineStr">
        <is>
          <t>All</t>
        </is>
      </c>
      <c r="G350" s="177" t="inlineStr">
        <is>
          <t>Dragos</t>
        </is>
      </c>
      <c r="H350" s="177" t="inlineStr">
        <is>
          <t>Human</t>
        </is>
      </c>
      <c r="I350" s="180" t="n">
        <v>0.2</v>
      </c>
      <c r="J350" s="180">
        <f>IF(OR(I350="",Settings!$B$6=""),"",IF(I350&gt;Settings!$B$6,"BUY",IF(I350&lt;-Settings!$B$6,"SELL","HOLD")))</f>
        <v/>
      </c>
      <c r="K350" s="180" t="n">
        <v>20</v>
      </c>
      <c r="L350" s="182" t="n">
        <v>45209</v>
      </c>
      <c r="M350" s="182" t="n">
        <v>45208</v>
      </c>
      <c r="N350" s="179" t="n">
        <v>161.36</v>
      </c>
      <c r="O350" s="182" t="n">
        <v>45209</v>
      </c>
      <c r="P350" s="180" t="n">
        <v>164.25</v>
      </c>
      <c r="Q350" s="184">
        <f>IF(OR(N350="",P350=""),"",ROUND((P350-N350)/N350,4))</f>
        <v/>
      </c>
      <c r="R350" s="177">
        <f>IF(OR(N350="",P350=""),"",IF(Q350&gt;Settings!$B$3/100,"UP",IF(Q350&lt;-Settings!$B$3/100,"DOWN","FLAT")))</f>
        <v/>
      </c>
      <c r="S350" s="177">
        <f>IF(OR(N350="",P350="",J350=""),"",IF(OR(AND(J350="BUY",R350="UP"),AND(J350="SELL",R350="DOWN"),AND(J350="HOLD",R350="FLAT")),"YES","NO"))</f>
        <v/>
      </c>
      <c r="T350" s="176">
        <f>IF(J350="","",IF(J350="BUY",1,IF(J350="SELL",-1,0)))</f>
        <v/>
      </c>
      <c r="U350" s="184">
        <f>IFERROR(IF(OR(J350="",N350="",P350=""),"",IF(T350=0,0,T350*Q350-Settings!$B$4/10000-IF(T350&lt;0,Settings!$B$5/10000,0))),"")</f>
        <v/>
      </c>
      <c r="V350" s="152" t="inlineStr">
        <is>
          <t>Full document set positive on balance - core constant currency EPS to increase 13 percent (previously 12 percent) and continue; the Company now expects to deliver 13 percent core constant currency EPS growth; For Q3, we saw revenue up 5% in beverages and 8% in foods in the. Against that: Foreign exchange impact on net revenue (2)%. 2 forward claims flagged hypothetical and discounted, but the concrete numbers carry it.</t>
        </is>
      </c>
      <c r="W350" s="176">
        <f>IF($K350="","",$K350*60)</f>
        <v/>
      </c>
      <c r="X350" s="186">
        <f>IF($A350="","",$A350&amp;"|"&amp;$C350&amp;"|"&amp;$D350)</f>
        <v/>
      </c>
      <c r="Y350" s="186">
        <f>IFERROR(IF($X350="","",INDEX(LLM_Data_Entry!$H$3:$H$548,MATCH($X350,INDEX(LLM_Data_Entry!$A$3:$A$548&amp;"|"&amp;LLM_Data_Entry!$C$3:$C$548&amp;"|"&amp;LLM_Data_Entry!$D$3:$D$548,0),0))),"")</f>
        <v/>
      </c>
      <c r="Z350" s="186">
        <f>IFERROR(IF($X350="","",INDEX(LLM_Data_Entry!$R$3:$R$548,MATCH($X350,INDEX(LLM_Data_Entry!$A$3:$A$548&amp;"|"&amp;LLM_Data_Entry!$C$3:$C$548&amp;"|"&amp;LLM_Data_Entry!$D$3:$D$548,0),0))),"")</f>
        <v/>
      </c>
      <c r="AA350" s="152" t="n"/>
      <c r="AB350" s="152" t="inlineStr">
        <is>
          <t>release date + stated time</t>
        </is>
      </c>
      <c r="AC350" s="152" t="inlineStr">
        <is>
          <t>PEP</t>
        </is>
      </c>
      <c r="AD350" s="152" t="inlineStr">
        <is>
          <t>2023-10-09</t>
        </is>
      </c>
      <c r="AE350" s="152" t="n">
        <v>146.3464</v>
      </c>
      <c r="AF350" s="152" t="inlineStr">
        <is>
          <t>2023-10-10</t>
        </is>
      </c>
      <c r="AG350" s="152" t="n">
        <v>148.9675</v>
      </c>
      <c r="AH350" s="152" t="n">
        <v>0.01790995695524838</v>
      </c>
      <c r="AI350" s="152" t="inlineStr">
        <is>
          <t>FLAT</t>
        </is>
      </c>
      <c r="AJ350" s="152" t="inlineStr">
        <is>
          <t>YES</t>
        </is>
      </c>
      <c r="AK350" s="152" t="n">
        <v>0</v>
      </c>
      <c r="AL350" s="152">
        <f>IF($A350="","",IFERROR(INDEX(Company_List!$G$3:$G$207,MATCH($A350,Company_List!$A$3:$A$207,0)),"unassigned"))</f>
        <v/>
      </c>
      <c r="AM350" s="152" t="inlineStr">
        <is>
          <t>Phase 2/PepsiCo/Q3 2023/PEP-Q3-2023-press-release-SEC-EX99-1.htm; Phase 2/PepsiCo/Q3 2023/PEP-Q3-2023-earnings-call-transcript-InsiderMonkey.html</t>
        </is>
      </c>
      <c r="AN350" s="152" t="inlineStr">
        <is>
          <t>https://www.insidermonkey.com/blog/pepsico-inc-nasdaqpep-q3-2023-earnings-call-transcript-1203808/; https://www.sec.gov/Archives/edgar/data/77476/000007747623000060/q320238-kxexhibit991.htm</t>
        </is>
      </c>
      <c r="AO350" s="152" t="inlineStr">
        <is>
          <t>manifest (whole bundle)</t>
        </is>
      </c>
      <c r="AP350" s="152">
        <f>IF($A350="","",IF(COUNTIFS(LLM_Data_Entry!$A$3:$A$548,$A350)&gt;0,"YES","NO"))</f>
        <v/>
      </c>
      <c r="AQ350" s="152">
        <f>IF($A350="","",IF(COUNTIFS($A$3:$A350,$A350,$C$3:$C350,$C350,$D$3:$D350,$D350)=1,"YES","NO"))</f>
        <v/>
      </c>
      <c r="AR350" s="152">
        <f>IF($A350="","",IF(AND($C350&amp;"-"&amp;$D350&gt;=Settings!$B$19,$C350&amp;"-"&amp;$D350&lt;=Settings!$B$20),"IN","OUT"))</f>
        <v/>
      </c>
      <c r="AS350" s="152">
        <f>IF($A350="","",IF($F350="Financial Results","financials",IF($F350="Outlook/Guidance","guidance",IF($F350="Transcript Q&amp;A","qanda",IF($F350="","unrecorded",IF($E350="All","full",IF($E350="","unrecorded",LOWER($E350)&amp;" only")))))))</f>
        <v/>
      </c>
      <c r="AT350" s="152">
        <f>IF(AND(OR($J350="BUY",$J350="SELL"),ISNUMBER($U350)),$U350,"")</f>
        <v/>
      </c>
      <c r="AU350" s="152">
        <f>IF(AND(OR($J350="BUY",$J350="SELL"),ISNUMBER($AK350)),$AK350,"")</f>
        <v/>
      </c>
      <c r="AV350" s="152">
        <f>IF(ISNUMBER($AT350),ABS(IF(ISNUMBER($I350),$I350,0)-Settings!$B$24),"")</f>
        <v/>
      </c>
      <c r="AW350" s="152">
        <f>IF(ISNUMBER($AV350),$AV350*$AT350,"")</f>
        <v/>
      </c>
      <c r="AX350" s="152">
        <f>IF(ISNUMBER($AU350),ABS(IF(ISNUMBER($I350),$I350,0)-Settings!$B$24),"")</f>
        <v/>
      </c>
      <c r="AY350" s="152" t="inlineStr">
        <is>
          <t>FROZEN</t>
        </is>
      </c>
      <c r="AZ350" s="152">
        <f>IF($A350="","",IFERROR(INDEX(Company_List!$H$3:$H$207,MATCH($A350,Company_List!$A$3:$A$207,0)),"unassigned"))</f>
        <v/>
      </c>
      <c r="BA350" s="152" t="n"/>
      <c r="BB350" s="152" t="n"/>
      <c r="BC350" s="152">
        <f>IF($A350="","",IF(COUNTIFS($A$3:$A350,$A350,$C$3:$C350,$C350,$D$3:$D350,$D350,$G$3:$G350,$G350)=1,1,0))</f>
        <v/>
      </c>
      <c r="BD350" s="152" t="n"/>
      <c r="BE350" s="152" t="n"/>
      <c r="BF350" s="152" t="n"/>
      <c r="BG350" s="152" t="inlineStr">
        <is>
          <t>no</t>
        </is>
      </c>
      <c r="BH350" s="152" t="n"/>
      <c r="BI350" s="152" t="n"/>
      <c r="BJ350" s="152" t="n"/>
      <c r="BK350" s="152">
        <f>IF(OR($H350&lt;&gt;"Human",$S350="",$J350="",$Y350="",$Z350=""),"",IF(EXACT(UPPER($J350),UPPER($Y350)),1,0))</f>
        <v/>
      </c>
      <c r="BL350" s="152" t="inlineStr">
        <is>
          <t>assumed - no rater record</t>
        </is>
      </c>
      <c r="BM350" s="152" t="n">
        <v>2</v>
      </c>
      <c r="BN350" s="152" t="inlineStr">
        <is>
          <t>Insider Monkey (Koala Guide LLC)</t>
        </is>
      </c>
      <c r="BO350" s="152" t="inlineStr">
        <is>
          <t>free to read, copyright asserted</t>
        </is>
      </c>
      <c r="BP350" s="152" t="inlineStr">
        <is>
          <t>no</t>
        </is>
      </c>
      <c r="BQ350" s="152" t="inlineStr">
        <is>
          <t>yes</t>
        </is>
      </c>
      <c r="BR350" s="152" t="n"/>
      <c r="BS350" s="152" t="inlineStr">
        <is>
          <t>YES</t>
        </is>
      </c>
      <c r="BT350" s="152" t="n"/>
    </row>
    <row r="351" ht="15" customHeight="1" s="241">
      <c r="A351" s="193" t="inlineStr">
        <is>
          <t>PepsiCo</t>
        </is>
      </c>
      <c r="B351" s="194">
        <f>IF(A351="","",_xlfn.XLOOKUP(A351, Company_List!$A:$A, Company_List!$B:$B, ""))</f>
        <v/>
      </c>
      <c r="C351" s="177" t="n">
        <v>2023</v>
      </c>
      <c r="D351" s="177" t="inlineStr">
        <is>
          <t>Q4</t>
        </is>
      </c>
      <c r="E351" s="178" t="inlineStr">
        <is>
          <t>All</t>
        </is>
      </c>
      <c r="F351" s="178" t="inlineStr">
        <is>
          <t>All</t>
        </is>
      </c>
      <c r="G351" s="177" t="inlineStr">
        <is>
          <t>Dragos</t>
        </is>
      </c>
      <c r="H351" s="177" t="inlineStr">
        <is>
          <t>Human</t>
        </is>
      </c>
      <c r="I351" s="180" t="n">
        <v>0.2</v>
      </c>
      <c r="J351" s="180">
        <f>IF(OR(I351="",Settings!$B$6=""),"",IF(I351&gt;Settings!$B$6,"BUY",IF(I351&lt;-Settings!$B$6,"SELL","HOLD")))</f>
        <v/>
      </c>
      <c r="K351" s="180" t="n">
        <v>18</v>
      </c>
      <c r="L351" s="182" t="n">
        <v>45331</v>
      </c>
      <c r="M351" s="182" t="n">
        <v>45330</v>
      </c>
      <c r="N351" s="179" t="n">
        <v>173.85</v>
      </c>
      <c r="O351" s="182" t="n">
        <v>45331</v>
      </c>
      <c r="P351" s="180" t="n">
        <v>171.2</v>
      </c>
      <c r="Q351" s="184">
        <f>IF(OR(N351="",P351=""),"",ROUND((P351-N351)/N351,4))</f>
        <v/>
      </c>
      <c r="R351" s="177">
        <f>IF(OR(N351="",P351=""),"",IF(Q351&gt;Settings!$B$3/100,"UP",IF(Q351&lt;-Settings!$B$3/100,"DOWN","FLAT")))</f>
        <v/>
      </c>
      <c r="S351" s="177">
        <f>IF(OR(N351="",P351="",J351=""),"",IF(OR(AND(J351="BUY",R351="UP"),AND(J351="SELL",R351="DOWN"),AND(J351="HOLD",R351="FLAT")),"YES","NO"))</f>
        <v/>
      </c>
      <c r="T351" s="176">
        <f>IF(J351="","",IF(J351="BUY",1,IF(J351="SELL",-1,0)))</f>
        <v/>
      </c>
      <c r="U351" s="184">
        <f>IFERROR(IF(OR(J351="",N351="",P351=""),"",IF(T351=0,0,T351*Q351-Settings!$B$4/10000-IF(T351&lt;0,Settings!$B$5/10000,0))),"")</f>
        <v/>
      </c>
      <c r="V351" s="152" t="inlineStr">
        <is>
          <t>Full document set mildly positive - The Company today announced a 7 percent increase in its annualized dividend to; we now expect to deliver at least 4 percent organic revenue growth and at least 8; We also announced a 7 percent increase in our annualized dividend. Against that: related to the Quaker Recall, by 5 percentage points in the quarter ended. 3 forward claims flagged hypothetical and discounted, but the concrete numbers carry it.</t>
        </is>
      </c>
      <c r="W351" s="176">
        <f>IF($K351="","",$K351*60)</f>
        <v/>
      </c>
      <c r="X351" s="186">
        <f>IF($A351="","",$A351&amp;"|"&amp;$C351&amp;"|"&amp;$D351)</f>
        <v/>
      </c>
      <c r="Y351" s="186">
        <f>IFERROR(IF($X351="","",INDEX(LLM_Data_Entry!$H$3:$H$548,MATCH($X351,INDEX(LLM_Data_Entry!$A$3:$A$548&amp;"|"&amp;LLM_Data_Entry!$C$3:$C$548&amp;"|"&amp;LLM_Data_Entry!$D$3:$D$548,0),0))),"")</f>
        <v/>
      </c>
      <c r="Z351" s="186">
        <f>IFERROR(IF($X351="","",INDEX(LLM_Data_Entry!$R$3:$R$548,MATCH($X351,INDEX(LLM_Data_Entry!$A$3:$A$548&amp;"|"&amp;LLM_Data_Entry!$C$3:$C$548&amp;"|"&amp;LLM_Data_Entry!$D$3:$D$548,0),0))),"")</f>
        <v/>
      </c>
      <c r="AA351" s="152" t="n"/>
      <c r="AB351" s="152" t="inlineStr">
        <is>
          <t>release date + stated time</t>
        </is>
      </c>
      <c r="AC351" s="152" t="inlineStr">
        <is>
          <t>PEP</t>
        </is>
      </c>
      <c r="AD351" s="152" t="inlineStr">
        <is>
          <t>2024-02-08</t>
        </is>
      </c>
      <c r="AE351" s="152" t="n">
        <v>158.8766</v>
      </c>
      <c r="AF351" s="152" t="inlineStr">
        <is>
          <t>2024-02-09</t>
        </is>
      </c>
      <c r="AG351" s="152" t="n">
        <v>156.4548</v>
      </c>
      <c r="AH351" s="152" t="n">
        <v>-0.01524309010372187</v>
      </c>
      <c r="AI351" s="152" t="inlineStr">
        <is>
          <t>FLAT</t>
        </is>
      </c>
      <c r="AJ351" s="152" t="inlineStr">
        <is>
          <t>YES</t>
        </is>
      </c>
      <c r="AK351" s="152" t="n">
        <v>0</v>
      </c>
      <c r="AL351" s="152">
        <f>IF($A351="","",IFERROR(INDEX(Company_List!$G$3:$G$207,MATCH($A351,Company_List!$A$3:$A$207,0)),"unassigned"))</f>
        <v/>
      </c>
      <c r="AM351" s="152" t="inlineStr">
        <is>
          <t>Phase 2/PepsiCo/Q4 2023/PEP-Q4-2023-press-release-SEC-EX99-1.htm; Phase 2/PepsiCo/Q4 2023/PEP-Q4-2023-earnings-call-transcript-InsiderMonkey.html</t>
        </is>
      </c>
      <c r="AN351" s="152" t="inlineStr">
        <is>
          <t>https://www.insidermonkey.com/blog/pepsico-inc-nasdaqpep-q4-2023-earnings-call-transcript-1256907/; https://www.sec.gov/Archives/edgar/data/77476/000007747624000010/q420238-kxexhibit991.htm</t>
        </is>
      </c>
      <c r="AO351" s="152" t="inlineStr">
        <is>
          <t>manifest (whole bundle)</t>
        </is>
      </c>
      <c r="AP351" s="152">
        <f>IF($A351="","",IF(COUNTIFS(LLM_Data_Entry!$A$3:$A$548,$A351)&gt;0,"YES","NO"))</f>
        <v/>
      </c>
      <c r="AQ351" s="152">
        <f>IF($A351="","",IF(COUNTIFS($A$3:$A351,$A351,$C$3:$C351,$C351,$D$3:$D351,$D351)=1,"YES","NO"))</f>
        <v/>
      </c>
      <c r="AR351" s="152">
        <f>IF($A351="","",IF(AND($C351&amp;"-"&amp;$D351&gt;=Settings!$B$19,$C351&amp;"-"&amp;$D351&lt;=Settings!$B$20),"IN","OUT"))</f>
        <v/>
      </c>
      <c r="AS351" s="152">
        <f>IF($A351="","",IF($F351="Financial Results","financials",IF($F351="Outlook/Guidance","guidance",IF($F351="Transcript Q&amp;A","qanda",IF($F351="","unrecorded",IF($E351="All","full",IF($E351="","unrecorded",LOWER($E351)&amp;" only")))))))</f>
        <v/>
      </c>
      <c r="AT351" s="152">
        <f>IF(AND(OR($J351="BUY",$J351="SELL"),ISNUMBER($U351)),$U351,"")</f>
        <v/>
      </c>
      <c r="AU351" s="152">
        <f>IF(AND(OR($J351="BUY",$J351="SELL"),ISNUMBER($AK351)),$AK351,"")</f>
        <v/>
      </c>
      <c r="AV351" s="152">
        <f>IF(ISNUMBER($AT351),ABS(IF(ISNUMBER($I351),$I351,0)-Settings!$B$24),"")</f>
        <v/>
      </c>
      <c r="AW351" s="152">
        <f>IF(ISNUMBER($AV351),$AV351*$AT351,"")</f>
        <v/>
      </c>
      <c r="AX351" s="152">
        <f>IF(ISNUMBER($AU351),ABS(IF(ISNUMBER($I351),$I351,0)-Settings!$B$24),"")</f>
        <v/>
      </c>
      <c r="AY351" s="152" t="inlineStr">
        <is>
          <t>FROZEN</t>
        </is>
      </c>
      <c r="AZ351" s="152">
        <f>IF($A351="","",IFERROR(INDEX(Company_List!$H$3:$H$207,MATCH($A351,Company_List!$A$3:$A$207,0)),"unassigned"))</f>
        <v/>
      </c>
      <c r="BA351" s="152" t="n"/>
      <c r="BB351" s="152" t="n"/>
      <c r="BC351" s="152">
        <f>IF($A351="","",IF(COUNTIFS($A$3:$A351,$A351,$C$3:$C351,$C351,$D$3:$D351,$D351,$G$3:$G351,$G351)=1,1,0))</f>
        <v/>
      </c>
      <c r="BD351" s="152" t="n"/>
      <c r="BE351" s="152" t="n"/>
      <c r="BF351" s="152" t="n"/>
      <c r="BG351" s="152" t="inlineStr">
        <is>
          <t>no</t>
        </is>
      </c>
      <c r="BH351" s="152" t="n"/>
      <c r="BI351" s="152" t="n"/>
      <c r="BJ351" s="152" t="n"/>
      <c r="BK351" s="152">
        <f>IF(OR($H351&lt;&gt;"Human",$S351="",$J351="",$Y351="",$Z351=""),"",IF(EXACT(UPPER($J351),UPPER($Y351)),1,0))</f>
        <v/>
      </c>
      <c r="BL351" s="152" t="inlineStr">
        <is>
          <t>assumed - no rater record</t>
        </is>
      </c>
      <c r="BM351" s="152" t="n">
        <v>2</v>
      </c>
      <c r="BN351" s="152" t="inlineStr">
        <is>
          <t>Insider Monkey (Koala Guide LLC)</t>
        </is>
      </c>
      <c r="BO351" s="152" t="inlineStr">
        <is>
          <t>free to read, copyright asserted</t>
        </is>
      </c>
      <c r="BP351" s="152" t="inlineStr">
        <is>
          <t>no</t>
        </is>
      </c>
      <c r="BQ351" s="152" t="inlineStr">
        <is>
          <t>yes</t>
        </is>
      </c>
      <c r="BR351" s="152" t="n"/>
      <c r="BS351" s="152" t="inlineStr">
        <is>
          <t>YES</t>
        </is>
      </c>
      <c r="BT351" s="152" t="n"/>
    </row>
    <row r="352" ht="15" customHeight="1" s="241">
      <c r="A352" s="193" t="inlineStr">
        <is>
          <t>PepsiCo</t>
        </is>
      </c>
      <c r="B352" s="194">
        <f>IF(A352="","",_xlfn.XLOOKUP(A352, Company_List!$A:$A, Company_List!$B:$B, ""))</f>
        <v/>
      </c>
      <c r="C352" s="177" t="n">
        <v>2024</v>
      </c>
      <c r="D352" s="177" t="inlineStr">
        <is>
          <t>Q1</t>
        </is>
      </c>
      <c r="E352" s="178" t="inlineStr">
        <is>
          <t>All</t>
        </is>
      </c>
      <c r="F352" s="178" t="inlineStr">
        <is>
          <t>All</t>
        </is>
      </c>
      <c r="G352" s="177" t="inlineStr">
        <is>
          <t>Dragos</t>
        </is>
      </c>
      <c r="H352" s="177" t="inlineStr">
        <is>
          <t>Human</t>
        </is>
      </c>
      <c r="I352" s="180" t="n">
        <v>0.5</v>
      </c>
      <c r="J352" s="180">
        <f>IF(OR(I352="",Settings!$B$6=""),"",IF(I352&gt;Settings!$B$6,"BUY",IF(I352&lt;-Settings!$B$6,"SELL","HOLD")))</f>
        <v/>
      </c>
      <c r="K352" s="180" t="n">
        <v>15</v>
      </c>
      <c r="L352" s="182" t="n">
        <v>45405</v>
      </c>
      <c r="M352" s="182" t="n">
        <v>45404</v>
      </c>
      <c r="N352" s="179" t="n">
        <v>176.46</v>
      </c>
      <c r="O352" s="182" t="n">
        <v>45405</v>
      </c>
      <c r="P352" s="180" t="n">
        <v>174.7</v>
      </c>
      <c r="Q352" s="184">
        <f>IF(OR(N352="",P352=""),"",ROUND((P352-N352)/N352,4))</f>
        <v/>
      </c>
      <c r="R352" s="177">
        <f>IF(OR(N352="",P352=""),"",IF(Q352&gt;Settings!$B$3/100,"UP",IF(Q352&lt;-Settings!$B$3/100,"DOWN","FLAT")))</f>
        <v/>
      </c>
      <c r="S352" s="177">
        <f>IF(OR(N352="",P352="",J352=""),"",IF(OR(AND(J352="BUY",R352="UP"),AND(J352="SELL",R352="DOWN"),AND(J352="HOLD",R352="FLAT")),"YES","NO"))</f>
        <v/>
      </c>
      <c r="T352" s="176">
        <f>IF(J352="","",IF(J352="BUY",1,IF(J352="SELL",-1,0)))</f>
        <v/>
      </c>
      <c r="U352" s="184">
        <f>IFERROR(IF(OR(J352="",N352="",P352=""),"",IF(T352=0,0,T352*Q352-Settings!$B$4/10000-IF(T352&lt;0,Settings!$B$5/10000,0))),"")</f>
        <v/>
      </c>
      <c r="V352" s="152" t="inlineStr">
        <is>
          <t>Full document set strong across the board - continue to expect to deliver at least 4 percent organic revenue growth and at least 8; Net revenue growth 2.3%; EPS change 6%. Against that: Foreign exchange impact on net revenue (0.5)%. 1 forward claim flagged hypothetical and discounted, but the concrete numbers carry it. Scored on the press release alone - transcript not collected for this quarter.</t>
        </is>
      </c>
      <c r="W352" s="176">
        <f>IF($K352="","",$K352*60)</f>
        <v/>
      </c>
      <c r="X352" s="186">
        <f>IF($A352="","",$A352&amp;"|"&amp;$C352&amp;"|"&amp;$D352)</f>
        <v/>
      </c>
      <c r="Y352" s="186">
        <f>IFERROR(IF($X352="","",INDEX(LLM_Data_Entry!$H$3:$H$548,MATCH($X352,INDEX(LLM_Data_Entry!$A$3:$A$548&amp;"|"&amp;LLM_Data_Entry!$C$3:$C$548&amp;"|"&amp;LLM_Data_Entry!$D$3:$D$548,0),0))),"")</f>
        <v/>
      </c>
      <c r="Z352" s="186">
        <f>IFERROR(IF($X352="","",INDEX(LLM_Data_Entry!$R$3:$R$548,MATCH($X352,INDEX(LLM_Data_Entry!$A$3:$A$548&amp;"|"&amp;LLM_Data_Entry!$C$3:$C$548&amp;"|"&amp;LLM_Data_Entry!$D$3:$D$548,0),0))),"")</f>
        <v/>
      </c>
      <c r="AA352" s="152" t="n"/>
      <c r="AB352" s="152" t="inlineStr">
        <is>
          <t>release date + stated time</t>
        </is>
      </c>
      <c r="AC352" s="152" t="inlineStr">
        <is>
          <t>PEP</t>
        </is>
      </c>
      <c r="AD352" s="152" t="inlineStr">
        <is>
          <t>2024-04-22</t>
        </is>
      </c>
      <c r="AE352" s="152" t="n">
        <v>162.4924</v>
      </c>
      <c r="AF352" s="152" t="inlineStr">
        <is>
          <t>2024-04-23</t>
        </is>
      </c>
      <c r="AG352" s="152" t="n">
        <v>160.8717</v>
      </c>
      <c r="AH352" s="152" t="n">
        <v>-0.009973822775059944</v>
      </c>
      <c r="AI352" s="152" t="inlineStr">
        <is>
          <t>FLAT</t>
        </is>
      </c>
      <c r="AJ352" s="152" t="inlineStr">
        <is>
          <t>NO</t>
        </is>
      </c>
      <c r="AK352" s="152" t="n">
        <v>-0.010974</v>
      </c>
      <c r="AL352" s="152">
        <f>IF($A352="","",IFERROR(INDEX(Company_List!$G$3:$G$207,MATCH($A352,Company_List!$A$3:$A$207,0)),"unassigned"))</f>
        <v/>
      </c>
      <c r="AM352" s="152" t="inlineStr">
        <is>
          <t>Phase 2/PepsiCo/Q1 2024/PEP-Q1-2024-press-release-SEC-EX99-1.htm; Phase 2/PepsiCo/Q1 2024/PEP-Q1-2024-earnings-call-transcript-InsiderMonkey.html</t>
        </is>
      </c>
      <c r="AN352" s="152" t="inlineStr">
        <is>
          <t>https://www.insidermonkey.com/blog/pepsico-inc-nasdaqpep-q1-2024-earnings-call-transcript-1291655/; https://www.sec.gov/Archives/edgar/data/77476/000007747624000019/q120248-kxexhibit991.htm</t>
        </is>
      </c>
      <c r="AO352" s="152" t="inlineStr">
        <is>
          <t>manifest (whole bundle)</t>
        </is>
      </c>
      <c r="AP352" s="152">
        <f>IF($A352="","",IF(COUNTIFS(LLM_Data_Entry!$A$3:$A$548,$A352)&gt;0,"YES","NO"))</f>
        <v/>
      </c>
      <c r="AQ352" s="152">
        <f>IF($A352="","",IF(COUNTIFS($A$3:$A352,$A352,$C$3:$C352,$C352,$D$3:$D352,$D352)=1,"YES","NO"))</f>
        <v/>
      </c>
      <c r="AR352" s="152">
        <f>IF($A352="","",IF(AND($C352&amp;"-"&amp;$D352&gt;=Settings!$B$19,$C352&amp;"-"&amp;$D352&lt;=Settings!$B$20),"IN","OUT"))</f>
        <v/>
      </c>
      <c r="AS352" s="152">
        <f>IF($A352="","",IF($F352="Financial Results","financials",IF($F352="Outlook/Guidance","guidance",IF($F352="Transcript Q&amp;A","qanda",IF($F352="","unrecorded",IF($E352="All","full",IF($E352="","unrecorded",LOWER($E352)&amp;" only")))))))</f>
        <v/>
      </c>
      <c r="AT352" s="152">
        <f>IF(AND(OR($J352="BUY",$J352="SELL"),ISNUMBER($U352)),$U352,"")</f>
        <v/>
      </c>
      <c r="AU352" s="152">
        <f>IF(AND(OR($J352="BUY",$J352="SELL"),ISNUMBER($AK352)),$AK352,"")</f>
        <v/>
      </c>
      <c r="AV352" s="152">
        <f>IF(ISNUMBER($AT352),ABS(IF(ISNUMBER($I352),$I352,0)-Settings!$B$24),"")</f>
        <v/>
      </c>
      <c r="AW352" s="152">
        <f>IF(ISNUMBER($AV352),$AV352*$AT352,"")</f>
        <v/>
      </c>
      <c r="AX352" s="152">
        <f>IF(ISNUMBER($AU352),ABS(IF(ISNUMBER($I352),$I352,0)-Settings!$B$24),"")</f>
        <v/>
      </c>
      <c r="AY352" s="152" t="inlineStr">
        <is>
          <t>FROZEN</t>
        </is>
      </c>
      <c r="AZ352" s="152">
        <f>IF($A352="","",IFERROR(INDEX(Company_List!$H$3:$H$207,MATCH($A352,Company_List!$A$3:$A$207,0)),"unassigned"))</f>
        <v/>
      </c>
      <c r="BA352" s="152" t="n"/>
      <c r="BB352" s="152" t="n"/>
      <c r="BC352" s="152">
        <f>IF($A352="","",IF(COUNTIFS($A$3:$A352,$A352,$C$3:$C352,$C352,$D$3:$D352,$D352,$G$3:$G352,$G352)=1,1,0))</f>
        <v/>
      </c>
      <c r="BD352" s="152" t="n"/>
      <c r="BE352" s="152" t="n"/>
      <c r="BF352" s="152" t="n"/>
      <c r="BG352" s="152" t="inlineStr">
        <is>
          <t>no</t>
        </is>
      </c>
      <c r="BH352" s="152" t="n"/>
      <c r="BI352" s="152" t="n"/>
      <c r="BJ352" s="152" t="n"/>
      <c r="BK352" s="152">
        <f>IF(OR($H352&lt;&gt;"Human",$S352="",$J352="",$Y352="",$Z352=""),"",IF(EXACT(UPPER($J352),UPPER($Y352)),1,0))</f>
        <v/>
      </c>
      <c r="BL352" s="152" t="inlineStr">
        <is>
          <t>assumed - no rater record</t>
        </is>
      </c>
      <c r="BM352" s="152" t="n">
        <v>2</v>
      </c>
      <c r="BN352" s="152" t="inlineStr">
        <is>
          <t>Insider Monkey (Koala Guide LLC)</t>
        </is>
      </c>
      <c r="BO352" s="152" t="inlineStr">
        <is>
          <t>free to read, copyright asserted</t>
        </is>
      </c>
      <c r="BP352" s="152" t="inlineStr">
        <is>
          <t>no</t>
        </is>
      </c>
      <c r="BQ352" s="152" t="inlineStr">
        <is>
          <t>yes</t>
        </is>
      </c>
      <c r="BR352" s="152" t="n"/>
      <c r="BS352" s="152" t="inlineStr">
        <is>
          <t>YES</t>
        </is>
      </c>
      <c r="BT352" s="152" t="n"/>
    </row>
    <row r="353" ht="15" customHeight="1" s="241">
      <c r="A353" s="193" t="inlineStr">
        <is>
          <t>PepsiCo</t>
        </is>
      </c>
      <c r="B353" s="194">
        <f>IF(A353="","",_xlfn.XLOOKUP(A353, Company_List!$A:$A, Company_List!$B:$B, ""))</f>
        <v/>
      </c>
      <c r="C353" s="177" t="n">
        <v>2024</v>
      </c>
      <c r="D353" s="177" t="inlineStr">
        <is>
          <t>Q2</t>
        </is>
      </c>
      <c r="E353" s="178" t="inlineStr">
        <is>
          <t>All</t>
        </is>
      </c>
      <c r="F353" s="178" t="inlineStr">
        <is>
          <t>All</t>
        </is>
      </c>
      <c r="G353" s="177" t="inlineStr">
        <is>
          <t>Dragos</t>
        </is>
      </c>
      <c r="H353" s="177" t="inlineStr">
        <is>
          <t>Human</t>
        </is>
      </c>
      <c r="I353" s="180" t="n">
        <v>0.6</v>
      </c>
      <c r="J353" s="180">
        <f>IF(OR(I353="",Settings!$B$6=""),"",IF(I353&gt;Settings!$B$6,"BUY",IF(I353&lt;-Settings!$B$6,"SELL","HOLD")))</f>
        <v/>
      </c>
      <c r="K353" s="180" t="n">
        <v>19</v>
      </c>
      <c r="L353" s="182" t="n">
        <v>45484</v>
      </c>
      <c r="M353" s="182" t="n">
        <v>45483</v>
      </c>
      <c r="N353" s="179" t="n">
        <v>163.59</v>
      </c>
      <c r="O353" s="182" t="n">
        <v>45484</v>
      </c>
      <c r="P353" s="180" t="n">
        <v>159.1</v>
      </c>
      <c r="Q353" s="184">
        <f>IF(OR(N353="",P353=""),"",ROUND((P353-N353)/N353,4))</f>
        <v/>
      </c>
      <c r="R353" s="177">
        <f>IF(OR(N353="",P353=""),"",IF(Q353&gt;Settings!$B$3/100,"UP",IF(Q353&lt;-Settings!$B$3/100,"DOWN","FLAT")))</f>
        <v/>
      </c>
      <c r="S353" s="177">
        <f>IF(OR(N353="",P353="",J353=""),"",IF(OR(AND(J353="BUY",R353="UP"),AND(J353="SELL",R353="DOWN"),AND(J353="HOLD",R353="FLAT")),"YES","NO"))</f>
        <v/>
      </c>
      <c r="T353" s="176">
        <f>IF(J353="","",IF(J353="BUY",1,IF(J353="SELL",-1,0)))</f>
        <v/>
      </c>
      <c r="U353" s="184">
        <f>IFERROR(IF(OR(J353="",N353="",P353=""),"",IF(T353=0,0,T353*Q353-Settings!$B$4/10000-IF(T353&lt;0,Settings!$B$5/10000,0))),"")</f>
        <v/>
      </c>
      <c r="V353" s="152" t="inlineStr">
        <is>
          <t>Full document set strong across the board - we now expect to deliver approximately 4 percent organic revenue growth (previously at; • Approximately 4 percent organic revenue growth (previously at; is to make sure that it grows at a 4% or 5% levels, and that is going to be. Against that: Foreign exchange impact on net revenue (1)%. 2 forward claims flagged hypothetical and discounted, but the concrete numbers carry it.</t>
        </is>
      </c>
      <c r="W353" s="176">
        <f>IF($K353="","",$K353*60)</f>
        <v/>
      </c>
      <c r="X353" s="186">
        <f>IF($A353="","",$A353&amp;"|"&amp;$C353&amp;"|"&amp;$D353)</f>
        <v/>
      </c>
      <c r="Y353" s="186">
        <f>IFERROR(IF($X353="","",INDEX(LLM_Data_Entry!$H$3:$H$548,MATCH($X353,INDEX(LLM_Data_Entry!$A$3:$A$548&amp;"|"&amp;LLM_Data_Entry!$C$3:$C$548&amp;"|"&amp;LLM_Data_Entry!$D$3:$D$548,0),0))),"")</f>
        <v/>
      </c>
      <c r="Z353" s="186">
        <f>IFERROR(IF($X353="","",INDEX(LLM_Data_Entry!$R$3:$R$548,MATCH($X353,INDEX(LLM_Data_Entry!$A$3:$A$548&amp;"|"&amp;LLM_Data_Entry!$C$3:$C$548&amp;"|"&amp;LLM_Data_Entry!$D$3:$D$548,0),0))),"")</f>
        <v/>
      </c>
      <c r="AA353" s="152" t="n"/>
      <c r="AB353" s="152" t="inlineStr">
        <is>
          <t>release date + stated time</t>
        </is>
      </c>
      <c r="AC353" s="152" t="inlineStr">
        <is>
          <t>PEP</t>
        </is>
      </c>
      <c r="AD353" s="152" t="inlineStr">
        <is>
          <t>2024-07-10</t>
        </is>
      </c>
      <c r="AE353" s="152" t="n">
        <v>151.8289</v>
      </c>
      <c r="AF353" s="152" t="inlineStr">
        <is>
          <t>2024-07-11</t>
        </is>
      </c>
      <c r="AG353" s="152" t="n">
        <v>147.6617</v>
      </c>
      <c r="AH353" s="152" t="n">
        <v>-0.02744678580892352</v>
      </c>
      <c r="AI353" s="152" t="inlineStr">
        <is>
          <t>DOWN</t>
        </is>
      </c>
      <c r="AJ353" s="152" t="inlineStr">
        <is>
          <t>NO</t>
        </is>
      </c>
      <c r="AK353" s="152" t="n">
        <v>-0.028447</v>
      </c>
      <c r="AL353" s="152">
        <f>IF($A353="","",IFERROR(INDEX(Company_List!$G$3:$G$207,MATCH($A353,Company_List!$A$3:$A$207,0)),"unassigned"))</f>
        <v/>
      </c>
      <c r="AM353" s="152" t="inlineStr">
        <is>
          <t>Phase 2/PepsiCo/Q2 2024/PEP-Q2-2024-press-release-SEC-EX99-1.htm; Phase 2/PepsiCo/Q2 2024/PEP-Q2-2024-earnings-call-transcript-InsiderMonkey.html</t>
        </is>
      </c>
      <c r="AN353" s="152" t="inlineStr">
        <is>
          <t>https://www.insidermonkey.com/blog/pepsico-inc-nasdaqpep-q2-2024-earnings-call-transcript-1322618/; https://www.sec.gov/Archives/edgar/data/77476/000007747624000043/q220248-kxexhibit991.htm</t>
        </is>
      </c>
      <c r="AO353" s="152" t="inlineStr">
        <is>
          <t>manifest (whole bundle)</t>
        </is>
      </c>
      <c r="AP353" s="152">
        <f>IF($A353="","",IF(COUNTIFS(LLM_Data_Entry!$A$3:$A$548,$A353)&gt;0,"YES","NO"))</f>
        <v/>
      </c>
      <c r="AQ353" s="152">
        <f>IF($A353="","",IF(COUNTIFS($A$3:$A353,$A353,$C$3:$C353,$C353,$D$3:$D353,$D353)=1,"YES","NO"))</f>
        <v/>
      </c>
      <c r="AR353" s="152">
        <f>IF($A353="","",IF(AND($C353&amp;"-"&amp;$D353&gt;=Settings!$B$19,$C353&amp;"-"&amp;$D353&lt;=Settings!$B$20),"IN","OUT"))</f>
        <v/>
      </c>
      <c r="AS353" s="152">
        <f>IF($A353="","",IF($F353="Financial Results","financials",IF($F353="Outlook/Guidance","guidance",IF($F353="Transcript Q&amp;A","qanda",IF($F353="","unrecorded",IF($E353="All","full",IF($E353="","unrecorded",LOWER($E353)&amp;" only")))))))</f>
        <v/>
      </c>
      <c r="AT353" s="152">
        <f>IF(AND(OR($J353="BUY",$J353="SELL"),ISNUMBER($U353)),$U353,"")</f>
        <v/>
      </c>
      <c r="AU353" s="152">
        <f>IF(AND(OR($J353="BUY",$J353="SELL"),ISNUMBER($AK353)),$AK353,"")</f>
        <v/>
      </c>
      <c r="AV353" s="152">
        <f>IF(ISNUMBER($AT353),ABS(IF(ISNUMBER($I353),$I353,0)-Settings!$B$24),"")</f>
        <v/>
      </c>
      <c r="AW353" s="152">
        <f>IF(ISNUMBER($AV353),$AV353*$AT353,"")</f>
        <v/>
      </c>
      <c r="AX353" s="152">
        <f>IF(ISNUMBER($AU353),ABS(IF(ISNUMBER($I353),$I353,0)-Settings!$B$24),"")</f>
        <v/>
      </c>
      <c r="AY353" s="152" t="inlineStr">
        <is>
          <t>FROZEN</t>
        </is>
      </c>
      <c r="AZ353" s="152">
        <f>IF($A353="","",IFERROR(INDEX(Company_List!$H$3:$H$207,MATCH($A353,Company_List!$A$3:$A$207,0)),"unassigned"))</f>
        <v/>
      </c>
      <c r="BA353" s="152" t="n"/>
      <c r="BB353" s="152" t="n"/>
      <c r="BC353" s="152">
        <f>IF($A353="","",IF(COUNTIFS($A$3:$A353,$A353,$C$3:$C353,$C353,$D$3:$D353,$D353,$G$3:$G353,$G353)=1,1,0))</f>
        <v/>
      </c>
      <c r="BD353" s="152" t="n"/>
      <c r="BE353" s="152" t="n"/>
      <c r="BF353" s="152" t="n"/>
      <c r="BG353" s="152" t="inlineStr">
        <is>
          <t>no</t>
        </is>
      </c>
      <c r="BH353" s="152" t="n"/>
      <c r="BI353" s="152" t="n"/>
      <c r="BJ353" s="152" t="n"/>
      <c r="BK353" s="152">
        <f>IF(OR($H353&lt;&gt;"Human",$S353="",$J353="",$Y353="",$Z353=""),"",IF(EXACT(UPPER($J353),UPPER($Y353)),1,0))</f>
        <v/>
      </c>
      <c r="BL353" s="152" t="inlineStr">
        <is>
          <t>assumed - no rater record</t>
        </is>
      </c>
      <c r="BM353" s="152" t="n">
        <v>2</v>
      </c>
      <c r="BN353" s="152" t="inlineStr">
        <is>
          <t>Insider Monkey (Koala Guide LLC)</t>
        </is>
      </c>
      <c r="BO353" s="152" t="inlineStr">
        <is>
          <t>free to read, copyright asserted</t>
        </is>
      </c>
      <c r="BP353" s="152" t="inlineStr">
        <is>
          <t>no</t>
        </is>
      </c>
      <c r="BQ353" s="152" t="inlineStr">
        <is>
          <t>yes</t>
        </is>
      </c>
      <c r="BR353" s="152" t="n"/>
      <c r="BS353" s="152" t="inlineStr">
        <is>
          <t>YES</t>
        </is>
      </c>
      <c r="BT353" s="152" t="n"/>
    </row>
    <row r="354" ht="15" customHeight="1" s="241">
      <c r="A354" s="193" t="inlineStr">
        <is>
          <t>PepsiCo</t>
        </is>
      </c>
      <c r="B354" s="194">
        <f>IF(A354="","",_xlfn.XLOOKUP(A354, Company_List!$A:$A, Company_List!$B:$B, ""))</f>
        <v/>
      </c>
      <c r="C354" s="177" t="n">
        <v>2024</v>
      </c>
      <c r="D354" s="177" t="inlineStr">
        <is>
          <t>Q3</t>
        </is>
      </c>
      <c r="E354" s="178" t="inlineStr">
        <is>
          <t>All</t>
        </is>
      </c>
      <c r="F354" s="178" t="inlineStr">
        <is>
          <t>All</t>
        </is>
      </c>
      <c r="G354" s="177" t="inlineStr">
        <is>
          <t>Dragos</t>
        </is>
      </c>
      <c r="H354" s="177" t="inlineStr">
        <is>
          <t>Human</t>
        </is>
      </c>
      <c r="I354" s="180" t="n">
        <v>0.2</v>
      </c>
      <c r="J354" s="180">
        <f>IF(OR(I354="",Settings!$B$6=""),"",IF(I354&gt;Settings!$B$6,"BUY",IF(I354&lt;-Settings!$B$6,"SELL","HOLD")))</f>
        <v/>
      </c>
      <c r="K354" s="180" t="n">
        <v>22</v>
      </c>
      <c r="L354" s="182" t="n">
        <v>45573</v>
      </c>
      <c r="M354" s="182" t="n">
        <v>45572</v>
      </c>
      <c r="N354" s="179" t="n">
        <v>167.21</v>
      </c>
      <c r="O354" s="182" t="n">
        <v>45573</v>
      </c>
      <c r="P354" s="180" t="n">
        <v>167.72</v>
      </c>
      <c r="Q354" s="184">
        <f>IF(OR(N354="",P354=""),"",ROUND((P354-N354)/N354,4))</f>
        <v/>
      </c>
      <c r="R354" s="177">
        <f>IF(OR(N354="",P354=""),"",IF(Q354&gt;Settings!$B$3/100,"UP",IF(Q354&lt;-Settings!$B$3/100,"DOWN","FLAT")))</f>
        <v/>
      </c>
      <c r="S354" s="177">
        <f>IF(OR(N354="",P354="",J354=""),"",IF(OR(AND(J354="BUY",R354="UP"),AND(J354="SELL",R354="DOWN"),AND(J354="HOLD",R354="FLAT")),"YES","NO"))</f>
        <v/>
      </c>
      <c r="T354" s="176">
        <f>IF(J354="","",IF(J354="BUY",1,IF(J354="SELL",-1,0)))</f>
        <v/>
      </c>
      <c r="U354" s="184">
        <f>IFERROR(IF(OR(J354="",N354="",P354=""),"",IF(T354=0,0,T354*Q354-Settings!$B$4/10000-IF(T354&lt;0,Settings!$B$5/10000,0))),"")</f>
        <v/>
      </c>
      <c r="V354" s="152" t="inlineStr">
        <is>
          <t>Full document set positive on balance - Net revenue performance 0.7%; EPS change 4%; Organic revenue growth 1.3%. Against that: Net revenue performance (0.6)%. 3 forward claims flagged hypothetical and discounted, but the concrete numbers carry it.</t>
        </is>
      </c>
      <c r="W354" s="176">
        <f>IF($K354="","",$K354*60)</f>
        <v/>
      </c>
      <c r="X354" s="186">
        <f>IF($A354="","",$A354&amp;"|"&amp;$C354&amp;"|"&amp;$D354)</f>
        <v/>
      </c>
      <c r="Y354" s="186">
        <f>IFERROR(IF($X354="","",INDEX(LLM_Data_Entry!$H$3:$H$548,MATCH($X354,INDEX(LLM_Data_Entry!$A$3:$A$548&amp;"|"&amp;LLM_Data_Entry!$C$3:$C$548&amp;"|"&amp;LLM_Data_Entry!$D$3:$D$548,0),0))),"")</f>
        <v/>
      </c>
      <c r="Z354" s="186">
        <f>IFERROR(IF($X354="","",INDEX(LLM_Data_Entry!$R$3:$R$548,MATCH($X354,INDEX(LLM_Data_Entry!$A$3:$A$548&amp;"|"&amp;LLM_Data_Entry!$C$3:$C$548&amp;"|"&amp;LLM_Data_Entry!$D$3:$D$548,0),0))),"")</f>
        <v/>
      </c>
      <c r="AA354" s="152" t="n"/>
      <c r="AB354" s="152" t="inlineStr">
        <is>
          <t>release date + stated time</t>
        </is>
      </c>
      <c r="AC354" s="152" t="inlineStr">
        <is>
          <t>PEP</t>
        </is>
      </c>
      <c r="AD354" s="152" t="inlineStr">
        <is>
          <t>2024-10-07</t>
        </is>
      </c>
      <c r="AE354" s="152" t="n">
        <v>156.3704</v>
      </c>
      <c r="AF354" s="152" t="inlineStr">
        <is>
          <t>2024-10-08</t>
        </is>
      </c>
      <c r="AG354" s="152" t="n">
        <v>156.8473</v>
      </c>
      <c r="AH354" s="152" t="n">
        <v>0.0030499750038358</v>
      </c>
      <c r="AI354" s="152" t="inlineStr">
        <is>
          <t>FLAT</t>
        </is>
      </c>
      <c r="AJ354" s="152" t="inlineStr">
        <is>
          <t>YES</t>
        </is>
      </c>
      <c r="AK354" s="152" t="n">
        <v>0</v>
      </c>
      <c r="AL354" s="152">
        <f>IF($A354="","",IFERROR(INDEX(Company_List!$G$3:$G$207,MATCH($A354,Company_List!$A$3:$A$207,0)),"unassigned"))</f>
        <v/>
      </c>
      <c r="AM354" s="152" t="inlineStr">
        <is>
          <t>Phase 2/PepsiCo/Q3 2024/PEP-Q3-2024-press-release-SEC-EX99-1.htm; Phase 2/PepsiCo/Q3 2024/PEP-Q3-2024-earnings-call-transcript-InsiderMonkey.html</t>
        </is>
      </c>
      <c r="AN354" s="152" t="inlineStr">
        <is>
          <t>https://www.insidermonkey.com/blog/pepsico-inc-nasdaqpep-q3-2024-earnings-call-transcript-1369843/; https://www.sec.gov/Archives/edgar/data/77476/000007747624000054/q320248-kxexhibit991.htm</t>
        </is>
      </c>
      <c r="AO354" s="152" t="inlineStr">
        <is>
          <t>manifest (whole bundle)</t>
        </is>
      </c>
      <c r="AP354" s="152">
        <f>IF($A354="","",IF(COUNTIFS(LLM_Data_Entry!$A$3:$A$548,$A354)&gt;0,"YES","NO"))</f>
        <v/>
      </c>
      <c r="AQ354" s="152">
        <f>IF($A354="","",IF(COUNTIFS($A$3:$A354,$A354,$C$3:$C354,$C354,$D$3:$D354,$D354)=1,"YES","NO"))</f>
        <v/>
      </c>
      <c r="AR354" s="152">
        <f>IF($A354="","",IF(AND($C354&amp;"-"&amp;$D354&gt;=Settings!$B$19,$C354&amp;"-"&amp;$D354&lt;=Settings!$B$20),"IN","OUT"))</f>
        <v/>
      </c>
      <c r="AS354" s="152">
        <f>IF($A354="","",IF($F354="Financial Results","financials",IF($F354="Outlook/Guidance","guidance",IF($F354="Transcript Q&amp;A","qanda",IF($F354="","unrecorded",IF($E354="All","full",IF($E354="","unrecorded",LOWER($E354)&amp;" only")))))))</f>
        <v/>
      </c>
      <c r="AT354" s="152">
        <f>IF(AND(OR($J354="BUY",$J354="SELL"),ISNUMBER($U354)),$U354,"")</f>
        <v/>
      </c>
      <c r="AU354" s="152">
        <f>IF(AND(OR($J354="BUY",$J354="SELL"),ISNUMBER($AK354)),$AK354,"")</f>
        <v/>
      </c>
      <c r="AV354" s="152">
        <f>IF(ISNUMBER($AT354),ABS(IF(ISNUMBER($I354),$I354,0)-Settings!$B$24),"")</f>
        <v/>
      </c>
      <c r="AW354" s="152">
        <f>IF(ISNUMBER($AV354),$AV354*$AT354,"")</f>
        <v/>
      </c>
      <c r="AX354" s="152">
        <f>IF(ISNUMBER($AU354),ABS(IF(ISNUMBER($I354),$I354,0)-Settings!$B$24),"")</f>
        <v/>
      </c>
      <c r="AY354" s="152" t="inlineStr">
        <is>
          <t>FROZEN</t>
        </is>
      </c>
      <c r="AZ354" s="152">
        <f>IF($A354="","",IFERROR(INDEX(Company_List!$H$3:$H$207,MATCH($A354,Company_List!$A$3:$A$207,0)),"unassigned"))</f>
        <v/>
      </c>
      <c r="BA354" s="152" t="n"/>
      <c r="BB354" s="152" t="n"/>
      <c r="BC354" s="152">
        <f>IF($A354="","",IF(COUNTIFS($A$3:$A354,$A354,$C$3:$C354,$C354,$D$3:$D354,$D354,$G$3:$G354,$G354)=1,1,0))</f>
        <v/>
      </c>
      <c r="BD354" s="152" t="n"/>
      <c r="BE354" s="152" t="n"/>
      <c r="BF354" s="152" t="n"/>
      <c r="BG354" s="152" t="inlineStr">
        <is>
          <t>no</t>
        </is>
      </c>
      <c r="BH354" s="152" t="n"/>
      <c r="BI354" s="152" t="n"/>
      <c r="BJ354" s="152" t="n"/>
      <c r="BK354" s="152">
        <f>IF(OR($H354&lt;&gt;"Human",$S354="",$J354="",$Y354="",$Z354=""),"",IF(EXACT(UPPER($J354),UPPER($Y354)),1,0))</f>
        <v/>
      </c>
      <c r="BL354" s="152" t="inlineStr">
        <is>
          <t>assumed - no rater record</t>
        </is>
      </c>
      <c r="BM354" s="152" t="n">
        <v>2</v>
      </c>
      <c r="BN354" s="152" t="inlineStr">
        <is>
          <t>Insider Monkey (Koala Guide LLC)</t>
        </is>
      </c>
      <c r="BO354" s="152" t="inlineStr">
        <is>
          <t>free to read, copyright asserted</t>
        </is>
      </c>
      <c r="BP354" s="152" t="inlineStr">
        <is>
          <t>no</t>
        </is>
      </c>
      <c r="BQ354" s="152" t="inlineStr">
        <is>
          <t>yes</t>
        </is>
      </c>
      <c r="BR354" s="152" t="n"/>
      <c r="BS354" s="152" t="inlineStr">
        <is>
          <t>YES</t>
        </is>
      </c>
      <c r="BT354" s="152" t="n"/>
    </row>
    <row r="355" ht="15" customHeight="1" s="241">
      <c r="A355" s="193" t="inlineStr">
        <is>
          <t>PepsiCo</t>
        </is>
      </c>
      <c r="B355" s="194">
        <f>IF(A355="","",_xlfn.XLOOKUP(A355, Company_List!$A:$A, Company_List!$B:$B, ""))</f>
        <v/>
      </c>
      <c r="C355" s="177" t="n">
        <v>2024</v>
      </c>
      <c r="D355" s="177" t="inlineStr">
        <is>
          <t>Q4</t>
        </is>
      </c>
      <c r="E355" s="178" t="inlineStr">
        <is>
          <t>All</t>
        </is>
      </c>
      <c r="F355" s="178" t="inlineStr">
        <is>
          <t>All</t>
        </is>
      </c>
      <c r="G355" s="177" t="inlineStr">
        <is>
          <t>Dragos</t>
        </is>
      </c>
      <c r="H355" s="177" t="inlineStr">
        <is>
          <t>Human</t>
        </is>
      </c>
      <c r="I355" s="180" t="n">
        <v>0.4</v>
      </c>
      <c r="J355" s="180">
        <f>IF(OR(I355="",Settings!$B$6=""),"",IF(I355&gt;Settings!$B$6,"BUY",IF(I355&lt;-Settings!$B$6,"SELL","HOLD")))</f>
        <v/>
      </c>
      <c r="K355" s="180" t="n">
        <v>23</v>
      </c>
      <c r="L355" s="182" t="n">
        <v>45692</v>
      </c>
      <c r="M355" s="182" t="n">
        <v>45691</v>
      </c>
      <c r="N355" s="179" t="n">
        <v>150.27</v>
      </c>
      <c r="O355" s="182" t="n">
        <v>45692</v>
      </c>
      <c r="P355" s="180" t="n">
        <v>146.1</v>
      </c>
      <c r="Q355" s="184">
        <f>IF(OR(N355="",P355=""),"",ROUND((P355-N355)/N355,4))</f>
        <v/>
      </c>
      <c r="R355" s="177">
        <f>IF(OR(N355="",P355=""),"",IF(Q355&gt;Settings!$B$3/100,"UP",IF(Q355&lt;-Settings!$B$3/100,"DOWN","FLAT")))</f>
        <v/>
      </c>
      <c r="S355" s="177">
        <f>IF(OR(N355="",P355="",J355=""),"",IF(OR(AND(J355="BUY",R355="UP"),AND(J355="SELL",R355="DOWN"),AND(J355="HOLD",R355="FLAT")),"YES","NO"))</f>
        <v/>
      </c>
      <c r="T355" s="176">
        <f>IF(J355="","",IF(J355="BUY",1,IF(J355="SELL",-1,0)))</f>
        <v/>
      </c>
      <c r="U355" s="184">
        <f>IFERROR(IF(OR(J355="",N355="",P355=""),"",IF(T355=0,0,T355*Q355-Settings!$B$4/10000-IF(T355&lt;0,Settings!$B$5/10000,0))),"")</f>
        <v/>
      </c>
      <c r="V355" s="152" t="inlineStr">
        <is>
          <t>Full document set positive on balance - The Company today announced a 5 percent increase in its annualized dividend to; growth of the business in those levels 4% to 6%, and we're obviously going to; Net revenue performance 0.4%. Against that: Net revenue performance (0.2)%. 1 forward claim flagged hypothetical and discounted, but the concrete numbers carry it.</t>
        </is>
      </c>
      <c r="W355" s="176">
        <f>IF($K355="","",$K355*60)</f>
        <v/>
      </c>
      <c r="X355" s="186">
        <f>IF($A355="","",$A355&amp;"|"&amp;$C355&amp;"|"&amp;$D355)</f>
        <v/>
      </c>
      <c r="Y355" s="186">
        <f>IFERROR(IF($X355="","",INDEX(LLM_Data_Entry!$H$3:$H$548,MATCH($X355,INDEX(LLM_Data_Entry!$A$3:$A$548&amp;"|"&amp;LLM_Data_Entry!$C$3:$C$548&amp;"|"&amp;LLM_Data_Entry!$D$3:$D$548,0),0))),"")</f>
        <v/>
      </c>
      <c r="Z355" s="186">
        <f>IFERROR(IF($X355="","",INDEX(LLM_Data_Entry!$R$3:$R$548,MATCH($X355,INDEX(LLM_Data_Entry!$A$3:$A$548&amp;"|"&amp;LLM_Data_Entry!$C$3:$C$548&amp;"|"&amp;LLM_Data_Entry!$D$3:$D$548,0),0))),"")</f>
        <v/>
      </c>
      <c r="AA355" s="152" t="n"/>
      <c r="AB355" s="152" t="inlineStr">
        <is>
          <t>release date + stated time</t>
        </is>
      </c>
      <c r="AC355" s="152" t="inlineStr">
        <is>
          <t>PEP</t>
        </is>
      </c>
      <c r="AD355" s="152" t="inlineStr">
        <is>
          <t>2025-02-03</t>
        </is>
      </c>
      <c r="AE355" s="152" t="n">
        <v>141.7251</v>
      </c>
      <c r="AF355" s="152" t="inlineStr">
        <is>
          <t>2025-02-04</t>
        </is>
      </c>
      <c r="AG355" s="152" t="n">
        <v>137.7923</v>
      </c>
      <c r="AH355" s="152" t="n">
        <v>-0.02775006955132695</v>
      </c>
      <c r="AI355" s="152" t="inlineStr">
        <is>
          <t>DOWN</t>
        </is>
      </c>
      <c r="AJ355" s="152" t="inlineStr">
        <is>
          <t>NO</t>
        </is>
      </c>
      <c r="AK355" s="152" t="n">
        <v>-0.02875</v>
      </c>
      <c r="AL355" s="152">
        <f>IF($A355="","",IFERROR(INDEX(Company_List!$G$3:$G$207,MATCH($A355,Company_List!$A$3:$A$207,0)),"unassigned"))</f>
        <v/>
      </c>
      <c r="AM355" s="152" t="inlineStr">
        <is>
          <t>Phase 2/PepsiCo/Q4 2024/PEP-Q4-2024-press-release-SEC-EX99-1.htm; Phase 2/PepsiCo/Q4 2024/PEP-Q4-2024-earnings-call-transcript-InsiderMonkey.html</t>
        </is>
      </c>
      <c r="AN355" s="152" t="inlineStr">
        <is>
          <t>https://www.insidermonkey.com/blog/pepsico-inc-nasdaqpep-q4-2024-earnings-call-transcript-1443383/; https://www.sec.gov/Archives/edgar/data/77476/000007747625000008/q420248-kxexhibit991.htm</t>
        </is>
      </c>
      <c r="AO355" s="152" t="inlineStr">
        <is>
          <t>manifest (whole bundle)</t>
        </is>
      </c>
      <c r="AP355" s="152">
        <f>IF($A355="","",IF(COUNTIFS(LLM_Data_Entry!$A$3:$A$548,$A355)&gt;0,"YES","NO"))</f>
        <v/>
      </c>
      <c r="AQ355" s="152">
        <f>IF($A355="","",IF(COUNTIFS($A$3:$A355,$A355,$C$3:$C355,$C355,$D$3:$D355,$D355)=1,"YES","NO"))</f>
        <v/>
      </c>
      <c r="AR355" s="152">
        <f>IF($A355="","",IF(AND($C355&amp;"-"&amp;$D355&gt;=Settings!$B$19,$C355&amp;"-"&amp;$D355&lt;=Settings!$B$20),"IN","OUT"))</f>
        <v/>
      </c>
      <c r="AS355" s="152">
        <f>IF($A355="","",IF($F355="Financial Results","financials",IF($F355="Outlook/Guidance","guidance",IF($F355="Transcript Q&amp;A","qanda",IF($F355="","unrecorded",IF($E355="All","full",IF($E355="","unrecorded",LOWER($E355)&amp;" only")))))))</f>
        <v/>
      </c>
      <c r="AT355" s="152">
        <f>IF(AND(OR($J355="BUY",$J355="SELL"),ISNUMBER($U355)),$U355,"")</f>
        <v/>
      </c>
      <c r="AU355" s="152">
        <f>IF(AND(OR($J355="BUY",$J355="SELL"),ISNUMBER($AK355)),$AK355,"")</f>
        <v/>
      </c>
      <c r="AV355" s="152">
        <f>IF(ISNUMBER($AT355),ABS(IF(ISNUMBER($I355),$I355,0)-Settings!$B$24),"")</f>
        <v/>
      </c>
      <c r="AW355" s="152">
        <f>IF(ISNUMBER($AV355),$AV355*$AT355,"")</f>
        <v/>
      </c>
      <c r="AX355" s="152">
        <f>IF(ISNUMBER($AU355),ABS(IF(ISNUMBER($I355),$I355,0)-Settings!$B$24),"")</f>
        <v/>
      </c>
      <c r="AY355" s="152" t="inlineStr">
        <is>
          <t>FROZEN</t>
        </is>
      </c>
      <c r="AZ355" s="152">
        <f>IF($A355="","",IFERROR(INDEX(Company_List!$H$3:$H$207,MATCH($A355,Company_List!$A$3:$A$207,0)),"unassigned"))</f>
        <v/>
      </c>
      <c r="BA355" s="152" t="n"/>
      <c r="BB355" s="152" t="n"/>
      <c r="BC355" s="152">
        <f>IF($A355="","",IF(COUNTIFS($A$3:$A355,$A355,$C$3:$C355,$C355,$D$3:$D355,$D355,$G$3:$G355,$G355)=1,1,0))</f>
        <v/>
      </c>
      <c r="BD355" s="152" t="n"/>
      <c r="BE355" s="152" t="n"/>
      <c r="BF355" s="152" t="n"/>
      <c r="BG355" s="152" t="inlineStr">
        <is>
          <t>no</t>
        </is>
      </c>
      <c r="BH355" s="152" t="n"/>
      <c r="BI355" s="152" t="n"/>
      <c r="BJ355" s="152" t="n"/>
      <c r="BK355" s="152">
        <f>IF(OR($H355&lt;&gt;"Human",$S355="",$J355="",$Y355="",$Z355=""),"",IF(EXACT(UPPER($J355),UPPER($Y355)),1,0))</f>
        <v/>
      </c>
      <c r="BL355" s="152" t="inlineStr">
        <is>
          <t>assumed - no rater record</t>
        </is>
      </c>
      <c r="BM355" s="152" t="n">
        <v>2</v>
      </c>
      <c r="BN355" s="152" t="inlineStr">
        <is>
          <t>Insider Monkey (Koala Guide LLC)</t>
        </is>
      </c>
      <c r="BO355" s="152" t="inlineStr">
        <is>
          <t>free to read, copyright asserted</t>
        </is>
      </c>
      <c r="BP355" s="152" t="inlineStr">
        <is>
          <t>no</t>
        </is>
      </c>
      <c r="BQ355" s="152" t="inlineStr">
        <is>
          <t>yes</t>
        </is>
      </c>
      <c r="BR355" s="152" t="n"/>
      <c r="BS355" s="152" t="inlineStr">
        <is>
          <t>YES</t>
        </is>
      </c>
      <c r="BT355" s="152" t="n"/>
    </row>
    <row r="356" ht="15" customHeight="1" s="241">
      <c r="A356" s="193" t="inlineStr">
        <is>
          <t>PepsiCo</t>
        </is>
      </c>
      <c r="B356" s="194">
        <f>IF(A356="","",_xlfn.XLOOKUP(A356, Company_List!$A:$A, Company_List!$B:$B, ""))</f>
        <v/>
      </c>
      <c r="C356" s="177" t="n">
        <v>2025</v>
      </c>
      <c r="D356" s="177" t="inlineStr">
        <is>
          <t>Q1</t>
        </is>
      </c>
      <c r="E356" s="178" t="inlineStr">
        <is>
          <t>All</t>
        </is>
      </c>
      <c r="F356" s="178" t="inlineStr">
        <is>
          <t>All</t>
        </is>
      </c>
      <c r="G356" s="177" t="inlineStr">
        <is>
          <t>Dragos</t>
        </is>
      </c>
      <c r="H356" s="177" t="inlineStr">
        <is>
          <t>Human</t>
        </is>
      </c>
      <c r="I356" s="180" t="n">
        <v>0</v>
      </c>
      <c r="J356" s="180">
        <f>IF(OR(I356="",Settings!$B$6=""),"",IF(I356&gt;Settings!$B$6,"BUY",IF(I356&lt;-Settings!$B$6,"SELL","HOLD")))</f>
        <v/>
      </c>
      <c r="K356" s="180" t="n">
        <v>25</v>
      </c>
      <c r="L356" s="182" t="n">
        <v>45771</v>
      </c>
      <c r="M356" s="182" t="n">
        <v>45770</v>
      </c>
      <c r="N356" s="179" t="n">
        <v>142.26</v>
      </c>
      <c r="O356" s="182" t="n">
        <v>45771</v>
      </c>
      <c r="P356" s="180" t="n">
        <v>141.45</v>
      </c>
      <c r="Q356" s="184">
        <f>IF(OR(N356="",P356=""),"",ROUND((P356-N356)/N356,4))</f>
        <v/>
      </c>
      <c r="R356" s="177">
        <f>IF(OR(N356="",P356=""),"",IF(Q356&gt;Settings!$B$3/100,"UP",IF(Q356&lt;-Settings!$B$3/100,"DOWN","FLAT")))</f>
        <v/>
      </c>
      <c r="S356" s="177">
        <f>IF(OR(N356="",P356="",J356=""),"",IF(OR(AND(J356="BUY",R356="UP"),AND(J356="SELL",R356="DOWN"),AND(J356="HOLD",R356="FLAT")),"YES","NO"))</f>
        <v/>
      </c>
      <c r="T356" s="176">
        <f>IF(J356="","",IF(J356="BUY",1,IF(J356="SELL",-1,0)))</f>
        <v/>
      </c>
      <c r="U356" s="184">
        <f>IFERROR(IF(OR(J356="",N356="",P356=""),"",IF(T356=0,0,T356*Q356-Settings!$B$4/10000-IF(T356&lt;0,Settings!$B$5/10000,0))),"")</f>
        <v/>
      </c>
      <c r="V356" s="152" t="inlineStr">
        <is>
          <t>Full document set broadly neutral - Organic revenue performance 1.2%; We also previously announced a 5 percent increase in our annualized dividend; Reported Net Revenue % Change, GAAP measure 3. Against that: Net revenue performance (1.8)%. 2 forward claims flagged hypothetical and discounted, but the concrete numbers carry it.</t>
        </is>
      </c>
      <c r="W356" s="176">
        <f>IF($K356="","",$K356*60)</f>
        <v/>
      </c>
      <c r="X356" s="186">
        <f>IF($A356="","",$A356&amp;"|"&amp;$C356&amp;"|"&amp;$D356)</f>
        <v/>
      </c>
      <c r="Y356" s="186">
        <f>IFERROR(IF($X356="","",INDEX(LLM_Data_Entry!$H$3:$H$548,MATCH($X356,INDEX(LLM_Data_Entry!$A$3:$A$548&amp;"|"&amp;LLM_Data_Entry!$C$3:$C$548&amp;"|"&amp;LLM_Data_Entry!$D$3:$D$548,0),0))),"")</f>
        <v/>
      </c>
      <c r="Z356" s="186">
        <f>IFERROR(IF($X356="","",INDEX(LLM_Data_Entry!$R$3:$R$548,MATCH($X356,INDEX(LLM_Data_Entry!$A$3:$A$548&amp;"|"&amp;LLM_Data_Entry!$C$3:$C$548&amp;"|"&amp;LLM_Data_Entry!$D$3:$D$548,0),0))),"")</f>
        <v/>
      </c>
      <c r="AA356" s="152" t="n"/>
      <c r="AB356" s="152" t="inlineStr">
        <is>
          <t>release date + stated time</t>
        </is>
      </c>
      <c r="AC356" s="152" t="inlineStr">
        <is>
          <t>PEP</t>
        </is>
      </c>
      <c r="AD356" s="152" t="inlineStr">
        <is>
          <t>2025-04-23</t>
        </is>
      </c>
      <c r="AE356" s="152" t="n">
        <v>135.3569</v>
      </c>
      <c r="AF356" s="152" t="inlineStr">
        <is>
          <t>2025-04-24</t>
        </is>
      </c>
      <c r="AG356" s="152" t="n">
        <v>134.5862</v>
      </c>
      <c r="AH356" s="152" t="n">
        <v>-0.005693766472027005</v>
      </c>
      <c r="AI356" s="152" t="inlineStr">
        <is>
          <t>FLAT</t>
        </is>
      </c>
      <c r="AJ356" s="152" t="inlineStr">
        <is>
          <t>YES</t>
        </is>
      </c>
      <c r="AK356" s="152" t="n">
        <v>0</v>
      </c>
      <c r="AL356" s="152">
        <f>IF($A356="","",IFERROR(INDEX(Company_List!$G$3:$G$207,MATCH($A356,Company_List!$A$3:$A$207,0)),"unassigned"))</f>
        <v/>
      </c>
      <c r="AM356" s="152" t="inlineStr">
        <is>
          <t>Phase 2/PepsiCo/Q1 2025/PEP-Q1-2025-press-release-SEC-EX99-1.htm; Phase 2/PepsiCo/Q1 2025/PEP-Q1-2025-earnings-call-transcript-InsiderMonkey.html</t>
        </is>
      </c>
      <c r="AN356" s="152" t="inlineStr">
        <is>
          <t>https://www.insidermonkey.com/blog/pepsico-inc-nasdaqpep-q1-2025-earnings-call-transcript-1519470/; https://www.sec.gov/Archives/edgar/data/77476/000007747625000022/q120258-kxexhibit991.htm</t>
        </is>
      </c>
      <c r="AO356" s="152" t="inlineStr">
        <is>
          <t>manifest (whole bundle)</t>
        </is>
      </c>
      <c r="AP356" s="152">
        <f>IF($A356="","",IF(COUNTIFS(LLM_Data_Entry!$A$3:$A$548,$A356)&gt;0,"YES","NO"))</f>
        <v/>
      </c>
      <c r="AQ356" s="152">
        <f>IF($A356="","",IF(COUNTIFS($A$3:$A356,$A356,$C$3:$C356,$C356,$D$3:$D356,$D356)=1,"YES","NO"))</f>
        <v/>
      </c>
      <c r="AR356" s="152">
        <f>IF($A356="","",IF(AND($C356&amp;"-"&amp;$D356&gt;=Settings!$B$19,$C356&amp;"-"&amp;$D356&lt;=Settings!$B$20),"IN","OUT"))</f>
        <v/>
      </c>
      <c r="AS356" s="152">
        <f>IF($A356="","",IF($F356="Financial Results","financials",IF($F356="Outlook/Guidance","guidance",IF($F356="Transcript Q&amp;A","qanda",IF($F356="","unrecorded",IF($E356="All","full",IF($E356="","unrecorded",LOWER($E356)&amp;" only")))))))</f>
        <v/>
      </c>
      <c r="AT356" s="152">
        <f>IF(AND(OR($J356="BUY",$J356="SELL"),ISNUMBER($U356)),$U356,"")</f>
        <v/>
      </c>
      <c r="AU356" s="152">
        <f>IF(AND(OR($J356="BUY",$J356="SELL"),ISNUMBER($AK356)),$AK356,"")</f>
        <v/>
      </c>
      <c r="AV356" s="152">
        <f>IF(ISNUMBER($AT356),ABS(IF(ISNUMBER($I356),$I356,0)-Settings!$B$24),"")</f>
        <v/>
      </c>
      <c r="AW356" s="152">
        <f>IF(ISNUMBER($AV356),$AV356*$AT356,"")</f>
        <v/>
      </c>
      <c r="AX356" s="152">
        <f>IF(ISNUMBER($AU356),ABS(IF(ISNUMBER($I356),$I356,0)-Settings!$B$24),"")</f>
        <v/>
      </c>
      <c r="AY356" s="152" t="inlineStr">
        <is>
          <t>FROZEN</t>
        </is>
      </c>
      <c r="AZ356" s="152">
        <f>IF($A356="","",IFERROR(INDEX(Company_List!$H$3:$H$207,MATCH($A356,Company_List!$A$3:$A$207,0)),"unassigned"))</f>
        <v/>
      </c>
      <c r="BA356" s="152" t="n"/>
      <c r="BB356" s="152" t="n"/>
      <c r="BC356" s="152">
        <f>IF($A356="","",IF(COUNTIFS($A$3:$A356,$A356,$C$3:$C356,$C356,$D$3:$D356,$D356,$G$3:$G356,$G356)=1,1,0))</f>
        <v/>
      </c>
      <c r="BD356" s="152" t="n"/>
      <c r="BE356" s="152" t="n"/>
      <c r="BF356" s="152" t="n"/>
      <c r="BG356" s="152" t="inlineStr">
        <is>
          <t>no</t>
        </is>
      </c>
      <c r="BH356" s="152" t="n"/>
      <c r="BI356" s="152" t="n"/>
      <c r="BJ356" s="152" t="n"/>
      <c r="BK356" s="152">
        <f>IF(OR($H356&lt;&gt;"Human",$S356="",$J356="",$Y356="",$Z356=""),"",IF(EXACT(UPPER($J356),UPPER($Y356)),1,0))</f>
        <v/>
      </c>
      <c r="BL356" s="152" t="inlineStr">
        <is>
          <t>assumed - no rater record</t>
        </is>
      </c>
      <c r="BM356" s="152" t="n">
        <v>2</v>
      </c>
      <c r="BN356" s="152" t="inlineStr">
        <is>
          <t>Insider Monkey (Koala Guide LLC)</t>
        </is>
      </c>
      <c r="BO356" s="152" t="inlineStr">
        <is>
          <t>free to read, copyright asserted</t>
        </is>
      </c>
      <c r="BP356" s="152" t="inlineStr">
        <is>
          <t>no</t>
        </is>
      </c>
      <c r="BQ356" s="152" t="inlineStr">
        <is>
          <t>yes</t>
        </is>
      </c>
      <c r="BR356" s="152" t="n"/>
      <c r="BS356" s="152" t="inlineStr">
        <is>
          <t>YES</t>
        </is>
      </c>
      <c r="BT356" s="152" t="n"/>
    </row>
    <row r="357" ht="15" customHeight="1" s="241">
      <c r="A357" s="193" t="inlineStr">
        <is>
          <t>PepsiCo</t>
        </is>
      </c>
      <c r="B357" s="194">
        <f>IF(A357="","",_xlfn.XLOOKUP(A357, Company_List!$A:$A, Company_List!$B:$B, ""))</f>
        <v/>
      </c>
      <c r="C357" s="177" t="n">
        <v>2025</v>
      </c>
      <c r="D357" s="177" t="inlineStr">
        <is>
          <t>Q2</t>
        </is>
      </c>
      <c r="E357" s="178" t="inlineStr">
        <is>
          <t>All</t>
        </is>
      </c>
      <c r="F357" s="178" t="inlineStr">
        <is>
          <t>All</t>
        </is>
      </c>
      <c r="G357" s="177" t="inlineStr">
        <is>
          <t>Dragos</t>
        </is>
      </c>
      <c r="H357" s="177" t="inlineStr">
        <is>
          <t>Human</t>
        </is>
      </c>
      <c r="I357" s="180" t="n">
        <v>-0.2</v>
      </c>
      <c r="J357" s="180">
        <f>IF(OR(I357="",Settings!$B$6=""),"",IF(I357&gt;Settings!$B$6,"BUY",IF(I357&lt;-Settings!$B$6,"SELL","HOLD")))</f>
        <v/>
      </c>
      <c r="K357" s="180" t="n">
        <v>20</v>
      </c>
      <c r="L357" s="182" t="n">
        <v>45855</v>
      </c>
      <c r="M357" s="182" t="n">
        <v>45854</v>
      </c>
      <c r="N357" s="179" t="n">
        <v>135.35</v>
      </c>
      <c r="O357" s="182" t="n">
        <v>45855</v>
      </c>
      <c r="P357" s="180" t="n">
        <v>141.7</v>
      </c>
      <c r="Q357" s="184">
        <f>IF(OR(N357="",P357=""),"",ROUND((P357-N357)/N357,4))</f>
        <v/>
      </c>
      <c r="R357" s="177">
        <f>IF(OR(N357="",P357=""),"",IF(Q357&gt;Settings!$B$3/100,"UP",IF(Q357&lt;-Settings!$B$3/100,"DOWN","FLAT")))</f>
        <v/>
      </c>
      <c r="S357" s="177">
        <f>IF(OR(N357="",P357="",J357=""),"",IF(OR(AND(J357="BUY",R357="UP"),AND(J357="SELL",R357="DOWN"),AND(J357="HOLD",R357="FLAT")),"YES","NO"))</f>
        <v/>
      </c>
      <c r="T357" s="176">
        <f>IF(J357="","",IF(J357="BUY",1,IF(J357="SELL",-1,0)))</f>
        <v/>
      </c>
      <c r="U357" s="184">
        <f>IFERROR(IF(OR(J357="",N357="",P357=""),"",IF(T357=0,0,T357*Q357-Settings!$B$4/10000-IF(T357&lt;0,Settings!$B$5/10000,0))),"")</f>
        <v/>
      </c>
      <c r="V357" s="152" t="inlineStr">
        <is>
          <t>Full document set mildly negative - Net revenue performance 1.0%; Organic revenue performance 2.1%; Organic revenue performance 1.7%. Against that: Net revenue performance (0.3)%. 1 hypothetical claim discounted; they do not offset the concrete negatives.</t>
        </is>
      </c>
      <c r="W357" s="176">
        <f>IF($K357="","",$K357*60)</f>
        <v/>
      </c>
      <c r="X357" s="186">
        <f>IF($A357="","",$A357&amp;"|"&amp;$C357&amp;"|"&amp;$D357)</f>
        <v/>
      </c>
      <c r="Y357" s="186">
        <f>IFERROR(IF($X357="","",INDEX(LLM_Data_Entry!$H$3:$H$548,MATCH($X357,INDEX(LLM_Data_Entry!$A$3:$A$548&amp;"|"&amp;LLM_Data_Entry!$C$3:$C$548&amp;"|"&amp;LLM_Data_Entry!$D$3:$D$548,0),0))),"")</f>
        <v/>
      </c>
      <c r="Z357" s="186">
        <f>IFERROR(IF($X357="","",INDEX(LLM_Data_Entry!$R$3:$R$548,MATCH($X357,INDEX(LLM_Data_Entry!$A$3:$A$548&amp;"|"&amp;LLM_Data_Entry!$C$3:$C$548&amp;"|"&amp;LLM_Data_Entry!$D$3:$D$548,0),0))),"")</f>
        <v/>
      </c>
      <c r="AA357" s="152" t="n"/>
      <c r="AB357" s="152" t="inlineStr">
        <is>
          <t>release date + stated time</t>
        </is>
      </c>
      <c r="AC357" s="152" t="inlineStr">
        <is>
          <t>PEP</t>
        </is>
      </c>
      <c r="AD357" s="152" t="inlineStr">
        <is>
          <t>2025-07-16</t>
        </is>
      </c>
      <c r="AE357" s="152" t="n">
        <v>130.1953</v>
      </c>
      <c r="AF357" s="152" t="inlineStr">
        <is>
          <t>2025-07-17</t>
        </is>
      </c>
      <c r="AG357" s="152" t="n">
        <v>136.3034</v>
      </c>
      <c r="AH357" s="152" t="n">
        <v>0.04691531177604139</v>
      </c>
      <c r="AI357" s="152" t="inlineStr">
        <is>
          <t>UP</t>
        </is>
      </c>
      <c r="AJ357" s="152" t="inlineStr">
        <is>
          <t>NO</t>
        </is>
      </c>
      <c r="AK357" s="152" t="n">
        <v>0</v>
      </c>
      <c r="AL357" s="152">
        <f>IF($A357="","",IFERROR(INDEX(Company_List!$G$3:$G$207,MATCH($A357,Company_List!$A$3:$A$207,0)),"unassigned"))</f>
        <v/>
      </c>
      <c r="AM357" s="152" t="inlineStr">
        <is>
          <t>Phase 2/PepsiCo/Q2 2025/PEP-Q2-2025-press-release-SEC-EX99-1.htm; Phase 2/PepsiCo/Q2 2025/PEP-Q2-2025-earnings-call-transcript-InsiderMonkey.html</t>
        </is>
      </c>
      <c r="AN357" s="152" t="inlineStr">
        <is>
          <t>https://www.insidermonkey.com/blog/pepsico-inc-nasdaqpep-q2-2025-earnings-call-transcript-1571054/; https://www.sec.gov/Archives/edgar/data/77476/000007747625000046/q220258-kxexhibit991.htm</t>
        </is>
      </c>
      <c r="AO357" s="152" t="inlineStr">
        <is>
          <t>manifest (whole bundle)</t>
        </is>
      </c>
      <c r="AP357" s="152">
        <f>IF($A357="","",IF(COUNTIFS(LLM_Data_Entry!$A$3:$A$548,$A357)&gt;0,"YES","NO"))</f>
        <v/>
      </c>
      <c r="AQ357" s="152">
        <f>IF($A357="","",IF(COUNTIFS($A$3:$A357,$A357,$C$3:$C357,$C357,$D$3:$D357,$D357)=1,"YES","NO"))</f>
        <v/>
      </c>
      <c r="AR357" s="152">
        <f>IF($A357="","",IF(AND($C357&amp;"-"&amp;$D357&gt;=Settings!$B$19,$C357&amp;"-"&amp;$D357&lt;=Settings!$B$20),"IN","OUT"))</f>
        <v/>
      </c>
      <c r="AS357" s="152">
        <f>IF($A357="","",IF($F357="Financial Results","financials",IF($F357="Outlook/Guidance","guidance",IF($F357="Transcript Q&amp;A","qanda",IF($F357="","unrecorded",IF($E357="All","full",IF($E357="","unrecorded",LOWER($E357)&amp;" only")))))))</f>
        <v/>
      </c>
      <c r="AT357" s="152">
        <f>IF(AND(OR($J357="BUY",$J357="SELL"),ISNUMBER($U357)),$U357,"")</f>
        <v/>
      </c>
      <c r="AU357" s="152">
        <f>IF(AND(OR($J357="BUY",$J357="SELL"),ISNUMBER($AK357)),$AK357,"")</f>
        <v/>
      </c>
      <c r="AV357" s="152">
        <f>IF(ISNUMBER($AT357),ABS(IF(ISNUMBER($I357),$I357,0)-Settings!$B$24),"")</f>
        <v/>
      </c>
      <c r="AW357" s="152">
        <f>IF(ISNUMBER($AV357),$AV357*$AT357,"")</f>
        <v/>
      </c>
      <c r="AX357" s="152">
        <f>IF(ISNUMBER($AU357),ABS(IF(ISNUMBER($I357),$I357,0)-Settings!$B$24),"")</f>
        <v/>
      </c>
      <c r="AY357" s="152" t="inlineStr">
        <is>
          <t>FROZEN</t>
        </is>
      </c>
      <c r="AZ357" s="152">
        <f>IF($A357="","",IFERROR(INDEX(Company_List!$H$3:$H$207,MATCH($A357,Company_List!$A$3:$A$207,0)),"unassigned"))</f>
        <v/>
      </c>
      <c r="BA357" s="152" t="n"/>
      <c r="BB357" s="152" t="n"/>
      <c r="BC357" s="152">
        <f>IF($A357="","",IF(COUNTIFS($A$3:$A357,$A357,$C$3:$C357,$C357,$D$3:$D357,$D357,$G$3:$G357,$G357)=1,1,0))</f>
        <v/>
      </c>
      <c r="BD357" s="152" t="n"/>
      <c r="BE357" s="152" t="n"/>
      <c r="BF357" s="152" t="n"/>
      <c r="BG357" s="152" t="inlineStr">
        <is>
          <t>no</t>
        </is>
      </c>
      <c r="BH357" s="152" t="n"/>
      <c r="BI357" s="152" t="n"/>
      <c r="BJ357" s="152" t="n"/>
      <c r="BK357" s="152">
        <f>IF(OR($H357&lt;&gt;"Human",$S357="",$J357="",$Y357="",$Z357=""),"",IF(EXACT(UPPER($J357),UPPER($Y357)),1,0))</f>
        <v/>
      </c>
      <c r="BL357" s="152" t="inlineStr">
        <is>
          <t>assumed - no rater record</t>
        </is>
      </c>
      <c r="BM357" s="152" t="n">
        <v>2</v>
      </c>
      <c r="BN357" s="152" t="inlineStr">
        <is>
          <t>Insider Monkey (Koala Guide LLC)</t>
        </is>
      </c>
      <c r="BO357" s="152" t="inlineStr">
        <is>
          <t>free to read, copyright asserted</t>
        </is>
      </c>
      <c r="BP357" s="152" t="inlineStr">
        <is>
          <t>no</t>
        </is>
      </c>
      <c r="BQ357" s="152" t="inlineStr">
        <is>
          <t>yes</t>
        </is>
      </c>
      <c r="BR357" s="152" t="n"/>
      <c r="BS357" s="152" t="inlineStr">
        <is>
          <t>YES</t>
        </is>
      </c>
      <c r="BT357" s="152" t="n"/>
    </row>
    <row r="358" ht="15" customHeight="1" s="241">
      <c r="A358" s="193" t="inlineStr">
        <is>
          <t>PepsiCo</t>
        </is>
      </c>
      <c r="B358" s="194">
        <f>IF(A358="","",_xlfn.XLOOKUP(A358, Company_List!$A:$A, Company_List!$B:$B, ""))</f>
        <v/>
      </c>
      <c r="C358" s="177" t="n">
        <v>2025</v>
      </c>
      <c r="D358" s="177" t="inlineStr">
        <is>
          <t>Q3</t>
        </is>
      </c>
      <c r="E358" s="178" t="inlineStr">
        <is>
          <t>All</t>
        </is>
      </c>
      <c r="F358" s="178" t="inlineStr">
        <is>
          <t>All</t>
        </is>
      </c>
      <c r="G358" s="177" t="inlineStr">
        <is>
          <t>Dragos</t>
        </is>
      </c>
      <c r="H358" s="177" t="inlineStr">
        <is>
          <t>Human</t>
        </is>
      </c>
      <c r="I358" s="180" t="n">
        <v>0.1</v>
      </c>
      <c r="J358" s="180">
        <f>IF(OR(I358="",Settings!$B$6=""),"",IF(I358&gt;Settings!$B$6,"BUY",IF(I358&lt;-Settings!$B$6,"SELL","HOLD")))</f>
        <v/>
      </c>
      <c r="K358" s="180" t="n">
        <v>18</v>
      </c>
      <c r="L358" s="182" t="n">
        <v>45939</v>
      </c>
      <c r="M358" s="182" t="n">
        <v>45938</v>
      </c>
      <c r="N358" s="179" t="n">
        <v>138.84</v>
      </c>
      <c r="O358" s="182" t="n">
        <v>45939</v>
      </c>
      <c r="P358" s="180" t="n">
        <v>140.46</v>
      </c>
      <c r="Q358" s="184">
        <f>IF(OR(N358="",P358=""),"",ROUND((P358-N358)/N358,4))</f>
        <v/>
      </c>
      <c r="R358" s="177">
        <f>IF(OR(N358="",P358=""),"",IF(Q358&gt;Settings!$B$3/100,"UP",IF(Q358&lt;-Settings!$B$3/100,"DOWN","FLAT")))</f>
        <v/>
      </c>
      <c r="S358" s="177">
        <f>IF(OR(N358="",P358="",J358=""),"",IF(OR(AND(J358="BUY",R358="UP"),AND(J358="SELL",R358="DOWN"),AND(J358="HOLD",R358="FLAT")),"YES","NO"))</f>
        <v/>
      </c>
      <c r="T358" s="176">
        <f>IF(J358="","",IF(J358="BUY",1,IF(J358="SELL",-1,0)))</f>
        <v/>
      </c>
      <c r="U358" s="184">
        <f>IFERROR(IF(OR(J358="",N358="",P358=""),"",IF(T358=0,0,T358*Q358-Settings!$B$4/10000-IF(T358&lt;0,Settings!$B$5/10000,0))),"")</f>
        <v/>
      </c>
      <c r="V358" s="152" t="inlineStr">
        <is>
          <t>Full document set mildly positive - Net revenue performance 2.6%; Net revenue performance 0.8%; Foreign exchange impact on net revenue 0.5%. Against that: Foreign exchange impact on net revenue (1)%. 1 forward claim flagged hypothetical and discounted, but the concrete numbers carry it.</t>
        </is>
      </c>
      <c r="W358" s="176">
        <f>IF($K358="","",$K358*60)</f>
        <v/>
      </c>
      <c r="X358" s="186">
        <f>IF($A358="","",$A358&amp;"|"&amp;$C358&amp;"|"&amp;$D358)</f>
        <v/>
      </c>
      <c r="Y358" s="186">
        <f>IFERROR(IF($X358="","",INDEX(LLM_Data_Entry!$H$3:$H$548,MATCH($X358,INDEX(LLM_Data_Entry!$A$3:$A$548&amp;"|"&amp;LLM_Data_Entry!$C$3:$C$548&amp;"|"&amp;LLM_Data_Entry!$D$3:$D$548,0),0))),"")</f>
        <v/>
      </c>
      <c r="Z358" s="186">
        <f>IFERROR(IF($X358="","",INDEX(LLM_Data_Entry!$R$3:$R$548,MATCH($X358,INDEX(LLM_Data_Entry!$A$3:$A$548&amp;"|"&amp;LLM_Data_Entry!$C$3:$C$548&amp;"|"&amp;LLM_Data_Entry!$D$3:$D$548,0),0))),"")</f>
        <v/>
      </c>
      <c r="AA358" s="152" t="n"/>
      <c r="AB358" s="152" t="inlineStr">
        <is>
          <t>release date + stated time</t>
        </is>
      </c>
      <c r="AC358" s="152" t="inlineStr">
        <is>
          <t>PEP</t>
        </is>
      </c>
      <c r="AD358" s="152" t="inlineStr">
        <is>
          <t>2025-10-08</t>
        </is>
      </c>
      <c r="AE358" s="152" t="n">
        <v>134.8588</v>
      </c>
      <c r="AF358" s="152" t="inlineStr">
        <is>
          <t>2025-10-09</t>
        </is>
      </c>
      <c r="AG358" s="152" t="n">
        <v>136.4323</v>
      </c>
      <c r="AH358" s="152" t="n">
        <v>0.01166819884677702</v>
      </c>
      <c r="AI358" s="152" t="inlineStr">
        <is>
          <t>FLAT</t>
        </is>
      </c>
      <c r="AJ358" s="152" t="inlineStr">
        <is>
          <t>YES</t>
        </is>
      </c>
      <c r="AK358" s="152" t="n">
        <v>0</v>
      </c>
      <c r="AL358" s="152">
        <f>IF($A358="","",IFERROR(INDEX(Company_List!$G$3:$G$207,MATCH($A358,Company_List!$A$3:$A$207,0)),"unassigned"))</f>
        <v/>
      </c>
      <c r="AM358" s="152" t="inlineStr">
        <is>
          <t>Phase 2/PepsiCo/Q3 2025/PEP-Q3-2025-press-release-SEC-EX99-1.htm; Phase 2/PepsiCo/Q3 2025/PEP-Q3-2025-earnings-call-transcript-InsiderMonkey.html</t>
        </is>
      </c>
      <c r="AN358" s="152" t="inlineStr">
        <is>
          <t>https://www.insidermonkey.com/blog/pepsico-inc-nasdaqpep-q3-2025-earnings-call-transcript-1625709/; https://www.sec.gov/Archives/edgar/data/77476/000007747625000055/q320258-kxexhibit991.htm</t>
        </is>
      </c>
      <c r="AO358" s="152" t="inlineStr">
        <is>
          <t>manifest (whole bundle)</t>
        </is>
      </c>
      <c r="AP358" s="152">
        <f>IF($A358="","",IF(COUNTIFS(LLM_Data_Entry!$A$3:$A$548,$A358)&gt;0,"YES","NO"))</f>
        <v/>
      </c>
      <c r="AQ358" s="152">
        <f>IF($A358="","",IF(COUNTIFS($A$3:$A358,$A358,$C$3:$C358,$C358,$D$3:$D358,$D358)=1,"YES","NO"))</f>
        <v/>
      </c>
      <c r="AR358" s="152">
        <f>IF($A358="","",IF(AND($C358&amp;"-"&amp;$D358&gt;=Settings!$B$19,$C358&amp;"-"&amp;$D358&lt;=Settings!$B$20),"IN","OUT"))</f>
        <v/>
      </c>
      <c r="AS358" s="152">
        <f>IF($A358="","",IF($F358="Financial Results","financials",IF($F358="Outlook/Guidance","guidance",IF($F358="Transcript Q&amp;A","qanda",IF($F358="","unrecorded",IF($E358="All","full",IF($E358="","unrecorded",LOWER($E358)&amp;" only")))))))</f>
        <v/>
      </c>
      <c r="AT358" s="152">
        <f>IF(AND(OR($J358="BUY",$J358="SELL"),ISNUMBER($U358)),$U358,"")</f>
        <v/>
      </c>
      <c r="AU358" s="152">
        <f>IF(AND(OR($J358="BUY",$J358="SELL"),ISNUMBER($AK358)),$AK358,"")</f>
        <v/>
      </c>
      <c r="AV358" s="152">
        <f>IF(ISNUMBER($AT358),ABS(IF(ISNUMBER($I358),$I358,0)-Settings!$B$24),"")</f>
        <v/>
      </c>
      <c r="AW358" s="152">
        <f>IF(ISNUMBER($AV358),$AV358*$AT358,"")</f>
        <v/>
      </c>
      <c r="AX358" s="152">
        <f>IF(ISNUMBER($AU358),ABS(IF(ISNUMBER($I358),$I358,0)-Settings!$B$24),"")</f>
        <v/>
      </c>
      <c r="AY358" s="152" t="inlineStr">
        <is>
          <t>FROZEN</t>
        </is>
      </c>
      <c r="AZ358" s="152">
        <f>IF($A358="","",IFERROR(INDEX(Company_List!$H$3:$H$207,MATCH($A358,Company_List!$A$3:$A$207,0)),"unassigned"))</f>
        <v/>
      </c>
      <c r="BA358" s="152" t="n"/>
      <c r="BB358" s="152" t="n"/>
      <c r="BC358" s="152">
        <f>IF($A358="","",IF(COUNTIFS($A$3:$A358,$A358,$C$3:$C358,$C358,$D$3:$D358,$D358,$G$3:$G358,$G358)=1,1,0))</f>
        <v/>
      </c>
      <c r="BD358" s="152" t="n"/>
      <c r="BE358" s="152" t="n"/>
      <c r="BF358" s="152" t="n"/>
      <c r="BG358" s="152" t="inlineStr">
        <is>
          <t>no</t>
        </is>
      </c>
      <c r="BH358" s="152" t="n"/>
      <c r="BI358" s="152" t="n"/>
      <c r="BJ358" s="152" t="n"/>
      <c r="BK358" s="152">
        <f>IF(OR($H358&lt;&gt;"Human",$S358="",$J358="",$Y358="",$Z358=""),"",IF(EXACT(UPPER($J358),UPPER($Y358)),1,0))</f>
        <v/>
      </c>
      <c r="BL358" s="152" t="inlineStr">
        <is>
          <t>assumed - no rater record</t>
        </is>
      </c>
      <c r="BM358" s="152" t="n">
        <v>2</v>
      </c>
      <c r="BN358" s="152" t="inlineStr">
        <is>
          <t>Insider Monkey (Koala Guide LLC)</t>
        </is>
      </c>
      <c r="BO358" s="152" t="inlineStr">
        <is>
          <t>free to read, copyright asserted</t>
        </is>
      </c>
      <c r="BP358" s="152" t="inlineStr">
        <is>
          <t>no</t>
        </is>
      </c>
      <c r="BQ358" s="152" t="inlineStr">
        <is>
          <t>yes</t>
        </is>
      </c>
      <c r="BR358" s="152" t="n"/>
      <c r="BS358" s="152" t="inlineStr">
        <is>
          <t>YES</t>
        </is>
      </c>
      <c r="BT358" s="152" t="n"/>
    </row>
    <row r="359" ht="15" customHeight="1" s="241">
      <c r="A359" s="193" t="inlineStr">
        <is>
          <t>PepsiCo</t>
        </is>
      </c>
      <c r="B359" s="194">
        <f>IF(A359="","",_xlfn.XLOOKUP(A359, Company_List!$A:$A, Company_List!$B:$B, ""))</f>
        <v/>
      </c>
      <c r="C359" s="177" t="n">
        <v>2025</v>
      </c>
      <c r="D359" s="177" t="inlineStr">
        <is>
          <t>Q4</t>
        </is>
      </c>
      <c r="E359" s="178" t="inlineStr">
        <is>
          <t>All</t>
        </is>
      </c>
      <c r="F359" s="178" t="inlineStr">
        <is>
          <t>All</t>
        </is>
      </c>
      <c r="G359" s="177" t="inlineStr">
        <is>
          <t>Dragos</t>
        </is>
      </c>
      <c r="H359" s="177" t="inlineStr">
        <is>
          <t>Human</t>
        </is>
      </c>
      <c r="I359" s="180" t="n">
        <v>0.4</v>
      </c>
      <c r="J359" s="180">
        <f>IF(OR(I359="",Settings!$B$6=""),"",IF(I359&gt;Settings!$B$6,"BUY",IF(I359&lt;-Settings!$B$6,"SELL","HOLD")))</f>
        <v/>
      </c>
      <c r="K359" s="180" t="n">
        <v>15</v>
      </c>
      <c r="L359" s="182" t="n">
        <v>46056</v>
      </c>
      <c r="M359" s="182" t="n">
        <v>46055</v>
      </c>
      <c r="N359" s="179" t="n">
        <v>155.2</v>
      </c>
      <c r="O359" s="182" t="n">
        <v>46056</v>
      </c>
      <c r="P359" s="180" t="n">
        <v>156.6</v>
      </c>
      <c r="Q359" s="184">
        <f>IF(OR(N359="",P359=""),"",ROUND((P359-N359)/N359,4))</f>
        <v/>
      </c>
      <c r="R359" s="177">
        <f>IF(OR(N359="",P359=""),"",IF(Q359&gt;Settings!$B$3/100,"UP",IF(Q359&lt;-Settings!$B$3/100,"DOWN","FLAT")))</f>
        <v/>
      </c>
      <c r="S359" s="177">
        <f>IF(OR(N359="",P359="",J359=""),"",IF(OR(AND(J359="BUY",R359="UP"),AND(J359="SELL",R359="DOWN"),AND(J359="HOLD",R359="FLAT")),"YES","NO"))</f>
        <v/>
      </c>
      <c r="T359" s="176">
        <f>IF(J359="","",IF(J359="BUY",1,IF(J359="SELL",-1,0)))</f>
        <v/>
      </c>
      <c r="U359" s="184">
        <f>IFERROR(IF(OR(J359="",N359="",P359=""),"",IF(T359=0,0,T359*Q359-Settings!$B$4/10000-IF(T359&lt;0,Settings!$B$5/10000,0))),"")</f>
        <v/>
      </c>
      <c r="V359" s="152" t="inlineStr">
        <is>
          <t>Full document set positive on balance - revenue growth within a range of 4 to 6 percent and core EPS growth of approximately 5; The Company today announced a 4 percent increase in its annualized dividend to; Operating profit decreased 6%, primarily reflecting certain. Against that: EPS change (14)%. No hypothetical claims to discount - all cited evidence is concrete.</t>
        </is>
      </c>
      <c r="W359" s="176">
        <f>IF($K359="","",$K359*60)</f>
        <v/>
      </c>
      <c r="X359" s="186">
        <f>IF($A359="","",$A359&amp;"|"&amp;$C359&amp;"|"&amp;$D359)</f>
        <v/>
      </c>
      <c r="Y359" s="186">
        <f>IFERROR(IF($X359="","",INDEX(LLM_Data_Entry!$H$3:$H$548,MATCH($X359,INDEX(LLM_Data_Entry!$A$3:$A$548&amp;"|"&amp;LLM_Data_Entry!$C$3:$C$548&amp;"|"&amp;LLM_Data_Entry!$D$3:$D$548,0),0))),"")</f>
        <v/>
      </c>
      <c r="Z359" s="186">
        <f>IFERROR(IF($X359="","",INDEX(LLM_Data_Entry!$R$3:$R$548,MATCH($X359,INDEX(LLM_Data_Entry!$A$3:$A$548&amp;"|"&amp;LLM_Data_Entry!$C$3:$C$548&amp;"|"&amp;LLM_Data_Entry!$D$3:$D$548,0),0))),"")</f>
        <v/>
      </c>
      <c r="AA359" s="152" t="n"/>
      <c r="AB359" s="152" t="inlineStr">
        <is>
          <t>release date + stated time</t>
        </is>
      </c>
      <c r="AC359" s="152" t="inlineStr">
        <is>
          <t>PEP</t>
        </is>
      </c>
      <c r="AD359" s="152" t="inlineStr">
        <is>
          <t>2026-02-02</t>
        </is>
      </c>
      <c r="AE359" s="152" t="n">
        <v>152.2241</v>
      </c>
      <c r="AF359" s="152" t="inlineStr">
        <is>
          <t>2026-02-03</t>
        </is>
      </c>
      <c r="AG359" s="152" t="n">
        <v>153.5973</v>
      </c>
      <c r="AH359" s="152" t="n">
        <v>0.009020689642925685</v>
      </c>
      <c r="AI359" s="152" t="inlineStr">
        <is>
          <t>FLAT</t>
        </is>
      </c>
      <c r="AJ359" s="152" t="inlineStr">
        <is>
          <t>NO</t>
        </is>
      </c>
      <c r="AK359" s="152" t="n">
        <v>0.008021</v>
      </c>
      <c r="AL359" s="152">
        <f>IF($A359="","",IFERROR(INDEX(Company_List!$G$3:$G$207,MATCH($A359,Company_List!$A$3:$A$207,0)),"unassigned"))</f>
        <v/>
      </c>
      <c r="AM359" s="152" t="inlineStr">
        <is>
          <t>Phase 2/PepsiCo/Q4 2025/PEP-Q4-2025-press-release-SEC-EX99-1.htm; Phase 2/PepsiCo/Q4 2025/PEP-Q4-2025-earnings-call-transcript-InsiderMonkey.html</t>
        </is>
      </c>
      <c r="AN359" s="152" t="inlineStr">
        <is>
          <t>https://www.insidermonkey.com/blog/pepsico-inc-nasdaqpep-q4-2025-earnings-call-transcript-1688541/; https://www.sec.gov/Archives/edgar/data/77476/000007747626000009/q420258-kxexhibit991.htm</t>
        </is>
      </c>
      <c r="AO359" s="152" t="inlineStr">
        <is>
          <t>manifest (whole bundle)</t>
        </is>
      </c>
      <c r="AP359" s="152">
        <f>IF($A359="","",IF(COUNTIFS(LLM_Data_Entry!$A$3:$A$548,$A359)&gt;0,"YES","NO"))</f>
        <v/>
      </c>
      <c r="AQ359" s="152">
        <f>IF($A359="","",IF(COUNTIFS($A$3:$A359,$A359,$C$3:$C359,$C359,$D$3:$D359,$D359)=1,"YES","NO"))</f>
        <v/>
      </c>
      <c r="AR359" s="152">
        <f>IF($A359="","",IF(AND($C359&amp;"-"&amp;$D359&gt;=Settings!$B$19,$C359&amp;"-"&amp;$D359&lt;=Settings!$B$20),"IN","OUT"))</f>
        <v/>
      </c>
      <c r="AS359" s="152">
        <f>IF($A359="","",IF($F359="Financial Results","financials",IF($F359="Outlook/Guidance","guidance",IF($F359="Transcript Q&amp;A","qanda",IF($F359="","unrecorded",IF($E359="All","full",IF($E359="","unrecorded",LOWER($E359)&amp;" only")))))))</f>
        <v/>
      </c>
      <c r="AT359" s="152">
        <f>IF(AND(OR($J359="BUY",$J359="SELL"),ISNUMBER($U359)),$U359,"")</f>
        <v/>
      </c>
      <c r="AU359" s="152">
        <f>IF(AND(OR($J359="BUY",$J359="SELL"),ISNUMBER($AK359)),$AK359,"")</f>
        <v/>
      </c>
      <c r="AV359" s="152">
        <f>IF(ISNUMBER($AT359),ABS(IF(ISNUMBER($I359),$I359,0)-Settings!$B$24),"")</f>
        <v/>
      </c>
      <c r="AW359" s="152">
        <f>IF(ISNUMBER($AV359),$AV359*$AT359,"")</f>
        <v/>
      </c>
      <c r="AX359" s="152">
        <f>IF(ISNUMBER($AU359),ABS(IF(ISNUMBER($I359),$I359,0)-Settings!$B$24),"")</f>
        <v/>
      </c>
      <c r="AY359" s="152" t="inlineStr">
        <is>
          <t>FROZEN</t>
        </is>
      </c>
      <c r="AZ359" s="152">
        <f>IF($A359="","",IFERROR(INDEX(Company_List!$H$3:$H$207,MATCH($A359,Company_List!$A$3:$A$207,0)),"unassigned"))</f>
        <v/>
      </c>
      <c r="BA359" s="152" t="n"/>
      <c r="BB359" s="152" t="n"/>
      <c r="BC359" s="152">
        <f>IF($A359="","",IF(COUNTIFS($A$3:$A359,$A359,$C$3:$C359,$C359,$D$3:$D359,$D359,$G$3:$G359,$G359)=1,1,0))</f>
        <v/>
      </c>
      <c r="BD359" s="152" t="n"/>
      <c r="BE359" s="152" t="n"/>
      <c r="BF359" s="152" t="n"/>
      <c r="BG359" s="152" t="inlineStr">
        <is>
          <t>no</t>
        </is>
      </c>
      <c r="BH359" s="152" t="n"/>
      <c r="BI359" s="152" t="n"/>
      <c r="BJ359" s="152" t="n"/>
      <c r="BK359" s="152">
        <f>IF(OR($H359&lt;&gt;"Human",$S359="",$J359="",$Y359="",$Z359=""),"",IF(EXACT(UPPER($J359),UPPER($Y359)),1,0))</f>
        <v/>
      </c>
      <c r="BL359" s="152" t="inlineStr">
        <is>
          <t>assumed - no rater record</t>
        </is>
      </c>
      <c r="BM359" s="152" t="n">
        <v>2</v>
      </c>
      <c r="BN359" s="152" t="inlineStr">
        <is>
          <t>Insider Monkey (Koala Guide LLC)</t>
        </is>
      </c>
      <c r="BO359" s="152" t="inlineStr">
        <is>
          <t>free to read, copyright asserted</t>
        </is>
      </c>
      <c r="BP359" s="152" t="inlineStr">
        <is>
          <t>no</t>
        </is>
      </c>
      <c r="BQ359" s="152" t="inlineStr">
        <is>
          <t>yes</t>
        </is>
      </c>
      <c r="BR359" s="152" t="n"/>
      <c r="BS359" s="152" t="inlineStr">
        <is>
          <t>YES</t>
        </is>
      </c>
      <c r="BT359" s="152" t="n"/>
    </row>
    <row r="360" ht="15" customHeight="1" s="241">
      <c r="A360" s="193" t="inlineStr">
        <is>
          <t>PepsiCo</t>
        </is>
      </c>
      <c r="B360" s="194">
        <f>IF(A360="","",_xlfn.XLOOKUP(A360, Company_List!$A:$A, Company_List!$B:$B, ""))</f>
        <v/>
      </c>
      <c r="C360" s="177" t="n">
        <v>2026</v>
      </c>
      <c r="D360" s="177" t="inlineStr">
        <is>
          <t>Q1</t>
        </is>
      </c>
      <c r="E360" s="178" t="inlineStr">
        <is>
          <t>All</t>
        </is>
      </c>
      <c r="F360" s="178" t="inlineStr">
        <is>
          <t>All</t>
        </is>
      </c>
      <c r="G360" s="177" t="inlineStr">
        <is>
          <t>Dragos</t>
        </is>
      </c>
      <c r="H360" s="177" t="inlineStr">
        <is>
          <t>Human</t>
        </is>
      </c>
      <c r="I360" s="180" t="n">
        <v>0.7</v>
      </c>
      <c r="J360" s="180">
        <f>IF(OR(I360="",Settings!$B$6=""),"",IF(I360&gt;Settings!$B$6,"BUY",IF(I360&lt;-Settings!$B$6,"SELL","HOLD")))</f>
        <v/>
      </c>
      <c r="K360" s="180" t="n">
        <v>19</v>
      </c>
      <c r="L360" s="182" t="n">
        <v>46128</v>
      </c>
      <c r="M360" s="182" t="n">
        <v>46127</v>
      </c>
      <c r="N360" s="179" t="n">
        <v>154.85</v>
      </c>
      <c r="O360" s="182" t="n">
        <v>46128</v>
      </c>
      <c r="P360" s="180" t="n">
        <v>155.54</v>
      </c>
      <c r="Q360" s="184">
        <f>IF(OR(N360="",P360=""),"",ROUND((P360-N360)/N360,4))</f>
        <v/>
      </c>
      <c r="R360" s="177">
        <f>IF(OR(N360="",P360=""),"",IF(Q360&gt;Settings!$B$3/100,"UP",IF(Q360&lt;-Settings!$B$3/100,"DOWN","FLAT")))</f>
        <v/>
      </c>
      <c r="S360" s="177">
        <f>IF(OR(N360="",P360="",J360=""),"",IF(OR(AND(J360="BUY",R360="UP"),AND(J360="SELL",R360="DOWN"),AND(J360="HOLD",R360="FLAT")),"YES","NO"))</f>
        <v/>
      </c>
      <c r="T360" s="176">
        <f>IF(J360="","",IF(J360="BUY",1,IF(J360="SELL",-1,0)))</f>
        <v/>
      </c>
      <c r="U360" s="184">
        <f>IFERROR(IF(OR(J360="",N360="",P360=""),"",IF(T360=0,0,T360*Q360-Settings!$B$4/10000-IF(T360&lt;0,Settings!$B$5/10000,0))),"")</f>
        <v/>
      </c>
      <c r="V360" s="152" t="inlineStr">
        <is>
          <t>Full document set strong across the board - • Net revenue increased 8.5% and organic revenue 2 increased 2.6%; • Net revenue increased 8.5% due to a 3.4-percentage-point benefit; • Operating profit increased 24% and operating margin expanded 210. Against that: Even with Gold Below $4,150 and Bitcoin Under $64,000, I'd Still. 6 forward claims flagged hypothetical and discounted, but the concrete numbers carry it.</t>
        </is>
      </c>
      <c r="W360" s="176">
        <f>IF($K360="","",$K360*60)</f>
        <v/>
      </c>
      <c r="X360" s="186">
        <f>IF($A360="","",$A360&amp;"|"&amp;$C360&amp;"|"&amp;$D360)</f>
        <v/>
      </c>
      <c r="Y360" s="186">
        <f>IFERROR(IF($X360="","",INDEX(LLM_Data_Entry!$H$3:$H$548,MATCH($X360,INDEX(LLM_Data_Entry!$A$3:$A$548&amp;"|"&amp;LLM_Data_Entry!$C$3:$C$548&amp;"|"&amp;LLM_Data_Entry!$D$3:$D$548,0),0))),"")</f>
        <v/>
      </c>
      <c r="Z360" s="186">
        <f>IFERROR(IF($X360="","",INDEX(LLM_Data_Entry!$R$3:$R$548,MATCH($X360,INDEX(LLM_Data_Entry!$A$3:$A$548&amp;"|"&amp;LLM_Data_Entry!$C$3:$C$548&amp;"|"&amp;LLM_Data_Entry!$D$3:$D$548,0),0))),"")</f>
        <v/>
      </c>
      <c r="AA360" s="152" t="n"/>
      <c r="AB360" s="152" t="inlineStr">
        <is>
          <t>release date + stated time</t>
        </is>
      </c>
      <c r="AC360" s="152" t="inlineStr">
        <is>
          <t>PEP</t>
        </is>
      </c>
      <c r="AD360" s="152" t="inlineStr">
        <is>
          <t>2026-04-15</t>
        </is>
      </c>
      <c r="AE360" s="152" t="n">
        <v>153.2378</v>
      </c>
      <c r="AF360" s="152" t="inlineStr">
        <is>
          <t>2026-04-16</t>
        </is>
      </c>
      <c r="AG360" s="152" t="n">
        <v>153.9206</v>
      </c>
      <c r="AH360" s="152" t="n">
        <v>0.004455800895342488</v>
      </c>
      <c r="AI360" s="152" t="inlineStr">
        <is>
          <t>FLAT</t>
        </is>
      </c>
      <c r="AJ360" s="152" t="inlineStr">
        <is>
          <t>NO</t>
        </is>
      </c>
      <c r="AK360" s="152" t="n">
        <v>0.003456</v>
      </c>
      <c r="AL360" s="152">
        <f>IF($A360="","",IFERROR(INDEX(Company_List!$G$3:$G$207,MATCH($A360,Company_List!$A$3:$A$207,0)),"unassigned"))</f>
        <v/>
      </c>
      <c r="AM360" s="152" t="inlineStr">
        <is>
          <t>Phase 2/PepsiCo/Q1 2026/PEP-Q1-2026-press-release-SEC-EX99-1.htm; Phase 2/PepsiCo/Q1 2026/PEP-Q1-2026-earnings-call-transcript-MotleyFool.html</t>
        </is>
      </c>
      <c r="AN360" s="152" t="inlineStr">
        <is>
          <t>https://www.fool.com/earnings/call-transcripts/2026/04/16/pepsico-pep-q1-2026-earnings-call-transcript/; https://www.sec.gov/Archives/edgar/data/77476/000007747626000019/q120268-kxexhibit991.htm</t>
        </is>
      </c>
      <c r="AO360" s="152" t="inlineStr">
        <is>
          <t>manifest (whole bundle)</t>
        </is>
      </c>
      <c r="AP360" s="152">
        <f>IF($A360="","",IF(COUNTIFS(LLM_Data_Entry!$A$3:$A$548,$A360)&gt;0,"YES","NO"))</f>
        <v/>
      </c>
      <c r="AQ360" s="152">
        <f>IF($A360="","",IF(COUNTIFS($A$3:$A360,$A360,$C$3:$C360,$C360,$D$3:$D360,$D360)=1,"YES","NO"))</f>
        <v/>
      </c>
      <c r="AR360" s="152">
        <f>IF($A360="","",IF(AND($C360&amp;"-"&amp;$D360&gt;=Settings!$B$19,$C360&amp;"-"&amp;$D360&lt;=Settings!$B$20),"IN","OUT"))</f>
        <v/>
      </c>
      <c r="AS360" s="152">
        <f>IF($A360="","",IF($F360="Financial Results","financials",IF($F360="Outlook/Guidance","guidance",IF($F360="Transcript Q&amp;A","qanda",IF($F360="","unrecorded",IF($E360="All","full",IF($E360="","unrecorded",LOWER($E360)&amp;" only")))))))</f>
        <v/>
      </c>
      <c r="AT360" s="152">
        <f>IF(AND(OR($J360="BUY",$J360="SELL"),ISNUMBER($U360)),$U360,"")</f>
        <v/>
      </c>
      <c r="AU360" s="152">
        <f>IF(AND(OR($J360="BUY",$J360="SELL"),ISNUMBER($AK360)),$AK360,"")</f>
        <v/>
      </c>
      <c r="AV360" s="152">
        <f>IF(ISNUMBER($AT360),ABS(IF(ISNUMBER($I360),$I360,0)-Settings!$B$24),"")</f>
        <v/>
      </c>
      <c r="AW360" s="152">
        <f>IF(ISNUMBER($AV360),$AV360*$AT360,"")</f>
        <v/>
      </c>
      <c r="AX360" s="152">
        <f>IF(ISNUMBER($AU360),ABS(IF(ISNUMBER($I360),$I360,0)-Settings!$B$24),"")</f>
        <v/>
      </c>
      <c r="AY360" s="152" t="inlineStr">
        <is>
          <t>FROZEN</t>
        </is>
      </c>
      <c r="AZ360" s="152">
        <f>IF($A360="","",IFERROR(INDEX(Company_List!$H$3:$H$207,MATCH($A360,Company_List!$A$3:$A$207,0)),"unassigned"))</f>
        <v/>
      </c>
      <c r="BA360" s="152" t="n"/>
      <c r="BB360" s="152" t="n"/>
      <c r="BC360" s="152">
        <f>IF($A360="","",IF(COUNTIFS($A$3:$A360,$A360,$C$3:$C360,$C360,$D$3:$D360,$D360,$G$3:$G360,$G360)=1,1,0))</f>
        <v/>
      </c>
      <c r="BD360" s="152" t="n"/>
      <c r="BE360" s="152" t="n"/>
      <c r="BF360" s="152" t="n"/>
      <c r="BG360" s="152" t="inlineStr">
        <is>
          <t>no</t>
        </is>
      </c>
      <c r="BH360" s="152" t="n"/>
      <c r="BI360" s="152" t="n"/>
      <c r="BJ360" s="152" t="n"/>
      <c r="BK360" s="152">
        <f>IF(OR($H360&lt;&gt;"Human",$S360="",$J360="",$Y360="",$Z360=""),"",IF(EXACT(UPPER($J360),UPPER($Y360)),1,0))</f>
        <v/>
      </c>
      <c r="BL360" s="152" t="inlineStr">
        <is>
          <t>assumed - no rater record</t>
        </is>
      </c>
      <c r="BM360" s="152" t="n">
        <v>2</v>
      </c>
      <c r="BN360" s="152" t="inlineStr">
        <is>
          <t>The Motley Fool</t>
        </is>
      </c>
      <c r="BO360" s="152" t="inlineStr">
        <is>
          <t>free to read, copyright asserted</t>
        </is>
      </c>
      <c r="BP360" s="152" t="inlineStr">
        <is>
          <t>no</t>
        </is>
      </c>
      <c r="BQ360" s="152" t="inlineStr">
        <is>
          <t>yes</t>
        </is>
      </c>
      <c r="BR360" s="152" t="n"/>
      <c r="BS360" s="152" t="inlineStr">
        <is>
          <t>YES</t>
        </is>
      </c>
      <c r="BT360" s="152" t="n"/>
    </row>
    <row r="361" ht="15" customHeight="1" s="241">
      <c r="A361" s="193" t="inlineStr">
        <is>
          <t>PepsiCo</t>
        </is>
      </c>
      <c r="B361" s="194">
        <f>IF(A361="","",_xlfn.XLOOKUP(A361, Company_List!$A:$A, Company_List!$B:$B, ""))</f>
        <v/>
      </c>
      <c r="C361" s="177" t="n">
        <v>2026</v>
      </c>
      <c r="D361" s="177" t="inlineStr">
        <is>
          <t>Q2</t>
        </is>
      </c>
      <c r="E361" s="178" t="inlineStr">
        <is>
          <t>All</t>
        </is>
      </c>
      <c r="F361" s="178" t="inlineStr">
        <is>
          <t>All</t>
        </is>
      </c>
      <c r="G361" s="177" t="inlineStr">
        <is>
          <t>Dragos</t>
        </is>
      </c>
      <c r="H361" s="177" t="inlineStr">
        <is>
          <t>Human</t>
        </is>
      </c>
      <c r="I361" s="180" t="n">
        <v>0.6</v>
      </c>
      <c r="J361" s="180">
        <f>IF(OR(I361="",Settings!$B$6=""),"",IF(I361&gt;Settings!$B$6,"BUY",IF(I361&lt;-Settings!$B$6,"SELL","HOLD")))</f>
        <v/>
      </c>
      <c r="K361" s="180" t="n">
        <v>16</v>
      </c>
      <c r="L361" s="182" t="n">
        <v>46212</v>
      </c>
      <c r="M361" s="182" t="n">
        <v>46211</v>
      </c>
      <c r="N361" s="179" t="n">
        <v>142.51</v>
      </c>
      <c r="O361" s="182" t="n">
        <v>46212</v>
      </c>
      <c r="P361" s="180" t="n">
        <v>137.09</v>
      </c>
      <c r="Q361" s="184">
        <f>IF(OR(N361="",P361=""),"",ROUND((P361-N361)/N361,4))</f>
        <v/>
      </c>
      <c r="R361" s="177">
        <f>IF(OR(N361="",P361=""),"",IF(Q361&gt;Settings!$B$3/100,"UP",IF(Q361&lt;-Settings!$B$3/100,"DOWN","FLAT")))</f>
        <v/>
      </c>
      <c r="S361" s="177">
        <f>IF(OR(N361="",P361="",J361=""),"",IF(OR(AND(J361="BUY",R361="UP"),AND(J361="SELL",R361="DOWN"),AND(J361="HOLD",R361="FLAT")),"YES","NO"))</f>
        <v/>
      </c>
      <c r="T361" s="176">
        <f>IF(J361="","",IF(J361="BUY",1,IF(J361="SELL",-1,0)))</f>
        <v/>
      </c>
      <c r="U361" s="184">
        <f>IFERROR(IF(OR(J361="",N361="",P361=""),"",IF(T361=0,0,T361*Q361-Settings!$B$4/10000-IF(T361&lt;0,Settings!$B$5/10000,0))),"")</f>
        <v/>
      </c>
      <c r="V361" s="152" t="inlineStr">
        <is>
          <t>Full document set strong across the board - • Net revenue increased 6.4% and 7.3%, respectively; • Organic revenue 2 increased 2.4% and 2.5%, respectively; • Earnings per share (EPS) increased 137% and 72%, respectively. Against that: • Capital spending to be below 5 percent of net revenue. 3 forward claims flagged hypothetical and discounted, but the concrete numbers carry it.</t>
        </is>
      </c>
      <c r="W361" s="176">
        <f>IF($K361="","",$K361*60)</f>
        <v/>
      </c>
      <c r="X361" s="186">
        <f>IF($A361="","",$A361&amp;"|"&amp;$C361&amp;"|"&amp;$D361)</f>
        <v/>
      </c>
      <c r="Y361" s="186">
        <f>IFERROR(IF($X361="","",INDEX(LLM_Data_Entry!$H$3:$H$548,MATCH($X361,INDEX(LLM_Data_Entry!$A$3:$A$548&amp;"|"&amp;LLM_Data_Entry!$C$3:$C$548&amp;"|"&amp;LLM_Data_Entry!$D$3:$D$548,0),0))),"")</f>
        <v/>
      </c>
      <c r="Z361" s="186">
        <f>IFERROR(IF($X361="","",INDEX(LLM_Data_Entry!$R$3:$R$548,MATCH($X361,INDEX(LLM_Data_Entry!$A$3:$A$548&amp;"|"&amp;LLM_Data_Entry!$C$3:$C$548&amp;"|"&amp;LLM_Data_Entry!$D$3:$D$548,0),0))),"")</f>
        <v/>
      </c>
      <c r="AA361" s="152" t="n"/>
      <c r="AB361" s="152" t="inlineStr">
        <is>
          <t>release date + stated time</t>
        </is>
      </c>
      <c r="AC361" s="152" t="inlineStr">
        <is>
          <t>PEP</t>
        </is>
      </c>
      <c r="AD361" s="152" t="inlineStr">
        <is>
          <t>2026-07-08</t>
        </is>
      </c>
      <c r="AE361" s="152" t="n">
        <v>142.51</v>
      </c>
      <c r="AF361" s="152" t="inlineStr">
        <is>
          <t>2026-07-09</t>
        </is>
      </c>
      <c r="AG361" s="152" t="n">
        <v>137.09</v>
      </c>
      <c r="AH361" s="152" t="n">
        <v>-0.03803241309495513</v>
      </c>
      <c r="AI361" s="152" t="inlineStr">
        <is>
          <t>DOWN</t>
        </is>
      </c>
      <c r="AJ361" s="152" t="inlineStr">
        <is>
          <t>NO</t>
        </is>
      </c>
      <c r="AK361" s="152" t="n">
        <v>-0.039032</v>
      </c>
      <c r="AL361" s="152">
        <f>IF($A361="","",IFERROR(INDEX(Company_List!$G$3:$G$207,MATCH($A361,Company_List!$A$3:$A$207,0)),"unassigned"))</f>
        <v/>
      </c>
      <c r="AM361" s="152" t="inlineStr">
        <is>
          <t>Phase 2/PepsiCo/Q2 2026/PEP-Q2-2026-press-release-SEC-EX99-1.htm; Phase 2/PepsiCo/Q2 2026/PEP-Q2-2026-earnings-call-transcript-AlphaStreet.html</t>
        </is>
      </c>
      <c r="AN361" s="152" t="inlineStr">
        <is>
          <t>https://news.alphastreet.com/pepsico-inc-pep-q2-2026-earnings-call-transcript/; https://www.sec.gov/Archives/edgar/data/77476/000007747626000037/q220268-kxexhibit991.htm</t>
        </is>
      </c>
      <c r="AO361" s="152" t="inlineStr">
        <is>
          <t>manifest (whole bundle)</t>
        </is>
      </c>
      <c r="AP361" s="152">
        <f>IF($A361="","",IF(COUNTIFS(LLM_Data_Entry!$A$3:$A$548,$A361)&gt;0,"YES","NO"))</f>
        <v/>
      </c>
      <c r="AQ361" s="152">
        <f>IF($A361="","",IF(COUNTIFS($A$3:$A361,$A361,$C$3:$C361,$C361,$D$3:$D361,$D361)=1,"YES","NO"))</f>
        <v/>
      </c>
      <c r="AR361" s="152">
        <f>IF($A361="","",IF(AND($C361&amp;"-"&amp;$D361&gt;=Settings!$B$19,$C361&amp;"-"&amp;$D361&lt;=Settings!$B$20),"IN","OUT"))</f>
        <v/>
      </c>
      <c r="AS361" s="152">
        <f>IF($A361="","",IF($F361="Financial Results","financials",IF($F361="Outlook/Guidance","guidance",IF($F361="Transcript Q&amp;A","qanda",IF($F361="","unrecorded",IF($E361="All","full",IF($E361="","unrecorded",LOWER($E361)&amp;" only")))))))</f>
        <v/>
      </c>
      <c r="AT361" s="152">
        <f>IF(AND(OR($J361="BUY",$J361="SELL"),ISNUMBER($U361)),$U361,"")</f>
        <v/>
      </c>
      <c r="AU361" s="152">
        <f>IF(AND(OR($J361="BUY",$J361="SELL"),ISNUMBER($AK361)),$AK361,"")</f>
        <v/>
      </c>
      <c r="AV361" s="152">
        <f>IF(ISNUMBER($AT361),ABS(IF(ISNUMBER($I361),$I361,0)-Settings!$B$24),"")</f>
        <v/>
      </c>
      <c r="AW361" s="152">
        <f>IF(ISNUMBER($AV361),$AV361*$AT361,"")</f>
        <v/>
      </c>
      <c r="AX361" s="152">
        <f>IF(ISNUMBER($AU361),ABS(IF(ISNUMBER($I361),$I361,0)-Settings!$B$24),"")</f>
        <v/>
      </c>
      <c r="AY361" s="152" t="inlineStr">
        <is>
          <t>FROZEN</t>
        </is>
      </c>
      <c r="AZ361" s="152">
        <f>IF($A361="","",IFERROR(INDEX(Company_List!$H$3:$H$207,MATCH($A361,Company_List!$A$3:$A$207,0)),"unassigned"))</f>
        <v/>
      </c>
      <c r="BA361" s="152" t="n"/>
      <c r="BB361" s="152" t="n"/>
      <c r="BC361" s="152">
        <f>IF($A361="","",IF(COUNTIFS($A$3:$A361,$A361,$C$3:$C361,$C361,$D$3:$D361,$D361,$G$3:$G361,$G361)=1,1,0))</f>
        <v/>
      </c>
      <c r="BD361" s="152" t="n"/>
      <c r="BE361" s="152" t="n"/>
      <c r="BF361" s="152" t="n"/>
      <c r="BG361" s="152" t="inlineStr">
        <is>
          <t>no</t>
        </is>
      </c>
      <c r="BH361" s="152" t="n"/>
      <c r="BI361" s="152" t="n"/>
      <c r="BJ361" s="152" t="n"/>
      <c r="BK361" s="152">
        <f>IF(OR($H361&lt;&gt;"Human",$S361="",$J361="",$Y361="",$Z361=""),"",IF(EXACT(UPPER($J361),UPPER($Y361)),1,0))</f>
        <v/>
      </c>
      <c r="BL361" s="152" t="inlineStr">
        <is>
          <t>assumed - no rater record</t>
        </is>
      </c>
      <c r="BM361" s="152" t="n">
        <v>2</v>
      </c>
      <c r="BN361" s="152" t="inlineStr">
        <is>
          <t>not publisher-identified</t>
        </is>
      </c>
      <c r="BO361" s="152" t="inlineStr">
        <is>
          <t>not publisher-identified</t>
        </is>
      </c>
      <c r="BP361" s="152" t="inlineStr">
        <is>
          <t>no</t>
        </is>
      </c>
      <c r="BQ361" s="152" t="inlineStr">
        <is>
          <t>yes</t>
        </is>
      </c>
      <c r="BR361" s="152" t="n"/>
      <c r="BS361" s="152" t="inlineStr">
        <is>
          <t>YES</t>
        </is>
      </c>
      <c r="BT361" s="152" t="n"/>
    </row>
    <row r="362" ht="15" customHeight="1" s="241">
      <c r="A362" s="193" t="inlineStr">
        <is>
          <t>Duke Energy</t>
        </is>
      </c>
      <c r="B362" s="194">
        <f>IF(A362="","",_xlfn.XLOOKUP(A362, Company_List!$A:$A, Company_List!$B:$B, ""))</f>
        <v/>
      </c>
      <c r="C362" s="177" t="n">
        <v>2023</v>
      </c>
      <c r="D362" s="177" t="inlineStr">
        <is>
          <t>Q1</t>
        </is>
      </c>
      <c r="E362" s="178" t="inlineStr">
        <is>
          <t>All</t>
        </is>
      </c>
      <c r="F362" s="178" t="inlineStr">
        <is>
          <t>All</t>
        </is>
      </c>
      <c r="G362" s="177" t="inlineStr">
        <is>
          <t>Dragos</t>
        </is>
      </c>
      <c r="H362" s="177" t="inlineStr">
        <is>
          <t>Human</t>
        </is>
      </c>
      <c r="I362" s="180" t="n">
        <v>0.1</v>
      </c>
      <c r="J362" s="180">
        <f>IF(OR(I362="",Settings!$B$6=""),"",IF(I362&gt;Settings!$B$6,"BUY",IF(I362&lt;-Settings!$B$6,"SELL","HOLD")))</f>
        <v/>
      </c>
      <c r="K362" s="180" t="n">
        <v>21</v>
      </c>
      <c r="L362" s="182" t="n">
        <v>45055</v>
      </c>
      <c r="M362" s="182" t="n">
        <v>45054</v>
      </c>
      <c r="N362" s="179" t="n">
        <v>87.22929999999999</v>
      </c>
      <c r="O362" s="182" t="n">
        <v>45055</v>
      </c>
      <c r="P362" s="180" t="n">
        <v>86.1885</v>
      </c>
      <c r="Q362" s="184">
        <f>IF(OR(N362="",P362=""),"",ROUND((P362-N362)/N362,4))</f>
        <v/>
      </c>
      <c r="R362" s="177">
        <f>IF(OR(N362="",P362=""),"",IF(Q362&gt;Settings!$B$3/100,"UP",IF(Q362&lt;-Settings!$B$3/100,"DOWN","FLAT")))</f>
        <v/>
      </c>
      <c r="S362" s="177">
        <f>IF(OR(N362="",P362="",J362=""),"",IF(OR(AND(J362="BUY",R362="UP"),AND(J362="SELL",R362="DOWN"),AND(J362="HOLD",R362="FLAT")),"YES","NO"))</f>
        <v/>
      </c>
      <c r="T362" s="176">
        <f>IF(J362="","",IF(J362="BUY",1,IF(J362="SELL",-1,0)))</f>
        <v/>
      </c>
      <c r="U362" s="184">
        <f>IFERROR(IF(OR(J362="",N362="",P362=""),"",IF(T362=0,0,T362*Q362-Settings!$B$4/10000-IF(T362&lt;0,Settings!$B$5/10000,0))),"")</f>
        <v/>
      </c>
      <c r="V362" s="152" t="inlineStr">
        <is>
          <t>Full document set mildly positive - adjusted 2023 EPS guidance range of $5.55 to $5.75, and long-term adjusted EPS; basis, this represents an increase of $0.04 per share; basis, this represents an increase of $0.01 per share. Against that: carbon emission targets of at least 50% reduction from electric generation by. 1 forward claim flagged hypothetical and discounted, but the concrete numbers carry it. Scored on the press release alone - transcript not collected for this quarter.</t>
        </is>
      </c>
      <c r="W362" s="176">
        <f>IF($K362="","",$K362*60)</f>
        <v/>
      </c>
      <c r="X362" s="186">
        <f>IF($A362="","",$A362&amp;"|"&amp;$C362&amp;"|"&amp;$D362)</f>
        <v/>
      </c>
      <c r="Y362" s="186">
        <f>IFERROR(IF($X362="","",INDEX(LLM_Data_Entry!$H$3:$H$548,MATCH($X362,INDEX(LLM_Data_Entry!$A$3:$A$548&amp;"|"&amp;LLM_Data_Entry!$C$3:$C$548&amp;"|"&amp;LLM_Data_Entry!$D$3:$D$548,0),0))),"")</f>
        <v/>
      </c>
      <c r="Z362" s="186">
        <f>IFERROR(IF($X362="","",INDEX(LLM_Data_Entry!$R$3:$R$548,MATCH($X362,INDEX(LLM_Data_Entry!$A$3:$A$548&amp;"|"&amp;LLM_Data_Entry!$C$3:$C$548&amp;"|"&amp;LLM_Data_Entry!$D$3:$D$548,0),0))),"")</f>
        <v/>
      </c>
      <c r="AA362" s="152" t="n"/>
      <c r="AB362" s="152" t="inlineStr">
        <is>
          <t>earnings calendar, seconded by the issuer's habit</t>
        </is>
      </c>
      <c r="AC362" s="152" t="inlineStr">
        <is>
          <t>DUK</t>
        </is>
      </c>
      <c r="AD362" s="152" t="inlineStr">
        <is>
          <t>2023-05-08</t>
        </is>
      </c>
      <c r="AE362" s="152" t="n">
        <v>87.22929999999999</v>
      </c>
      <c r="AF362" s="152" t="inlineStr">
        <is>
          <t>2023-05-09</t>
        </is>
      </c>
      <c r="AG362" s="152" t="n">
        <v>86.1885</v>
      </c>
      <c r="AH362" s="152" t="n">
        <v>-0.01193117785575892</v>
      </c>
      <c r="AI362" s="152" t="inlineStr">
        <is>
          <t>FLAT</t>
        </is>
      </c>
      <c r="AJ362" s="152" t="inlineStr">
        <is>
          <t>YES</t>
        </is>
      </c>
      <c r="AK362" s="152" t="n">
        <v>0</v>
      </c>
      <c r="AL362" s="152">
        <f>IF($A362="","",IFERROR(INDEX(Company_List!$G$3:$G$207,MATCH($A362,Company_List!$A$3:$A$207,0)),"unassigned"))</f>
        <v/>
      </c>
      <c r="AM362" s="152" t="inlineStr">
        <is>
          <t>Phase 2/Duke Energy/Q1 2023/DUK-Q1-2023-press-release-SEC-EX99-1.htm; Phase 2/Duke Energy/Q1 2023/DUK-Q1-2023-earnings-call-transcript-stockanalysis-com.html</t>
        </is>
      </c>
      <c r="AN362" s="152" t="inlineStr">
        <is>
          <t>https://stockanalysis.com/stocks/duk/transcripts/53031-q1-2023/; https://www.sec.gov/Archives/edgar/data/1326160/000132616023000146/er-20230331xearningsreleas.htm</t>
        </is>
      </c>
      <c r="AO362" s="152" t="inlineStr">
        <is>
          <t>manifest (whole bundle)</t>
        </is>
      </c>
      <c r="AP362" s="152">
        <f>IF($A362="","",IF(COUNTIFS(LLM_Data_Entry!$A$3:$A$548,$A362)&gt;0,"YES","NO"))</f>
        <v/>
      </c>
      <c r="AQ362" s="152">
        <f>IF($A362="","",IF(COUNTIFS($A$3:$A362,$A362,$C$3:$C362,$C362,$D$3:$D362,$D362)=1,"YES","NO"))</f>
        <v/>
      </c>
      <c r="AR362" s="152">
        <f>IF($A362="","",IF(AND($C362&amp;"-"&amp;$D362&gt;=Settings!$B$19,$C362&amp;"-"&amp;$D362&lt;=Settings!$B$20),"IN","OUT"))</f>
        <v/>
      </c>
      <c r="AS362" s="152">
        <f>IF($A362="","",IF($F362="Financial Results","financials",IF($F362="Outlook/Guidance","guidance",IF($F362="Transcript Q&amp;A","qanda",IF($F362="","unrecorded",IF($E362="All","full",IF($E362="","unrecorded",LOWER($E362)&amp;" only")))))))</f>
        <v/>
      </c>
      <c r="AT362" s="152">
        <f>IF(AND(OR($J362="BUY",$J362="SELL"),ISNUMBER($U362)),$U362,"")</f>
        <v/>
      </c>
      <c r="AU362" s="152">
        <f>IF(AND(OR($J362="BUY",$J362="SELL"),ISNUMBER($AK362)),$AK362,"")</f>
        <v/>
      </c>
      <c r="AV362" s="152">
        <f>IF(ISNUMBER($AT362),ABS(IF(ISNUMBER($I362),$I362,0)-Settings!$B$24),"")</f>
        <v/>
      </c>
      <c r="AW362" s="152">
        <f>IF(ISNUMBER($AV362),$AV362*$AT362,"")</f>
        <v/>
      </c>
      <c r="AX362" s="152">
        <f>IF(ISNUMBER($AU362),ABS(IF(ISNUMBER($I362),$I362,0)-Settings!$B$24),"")</f>
        <v/>
      </c>
      <c r="AY362" s="152" t="inlineStr">
        <is>
          <t>EXTENSION</t>
        </is>
      </c>
      <c r="AZ362" s="152">
        <f>IF($A362="","",IFERROR(INDEX(Company_List!$H$3:$H$207,MATCH($A362,Company_List!$A$3:$A$207,0)),"unassigned"))</f>
        <v/>
      </c>
      <c r="BA362" s="152" t="n"/>
      <c r="BB362" s="152" t="n"/>
      <c r="BC362" s="152">
        <f>IF($A362="","",IF(COUNTIFS($A$3:$A362,$A362,$C$3:$C362,$C362,$D$3:$D362,$D362,$G$3:$G362,$G362)=1,1,0))</f>
        <v/>
      </c>
      <c r="BD362" s="152" t="n"/>
      <c r="BE362" s="152" t="n"/>
      <c r="BF362" s="152" t="n"/>
      <c r="BG362" s="152" t="inlineStr">
        <is>
          <t>no</t>
        </is>
      </c>
      <c r="BH362" s="152" t="n"/>
      <c r="BI362" s="152" t="n"/>
      <c r="BJ362" s="152" t="n"/>
      <c r="BK362" s="152">
        <f>IF(OR($H362&lt;&gt;"Human",$S362="",$J362="",$Y362="",$Z362=""),"",IF(EXACT(UPPER($J362),UPPER($Y362)),1,0))</f>
        <v/>
      </c>
      <c r="BL362" s="152" t="inlineStr">
        <is>
          <t>assumed - no rater record</t>
        </is>
      </c>
      <c r="BM362" s="152" t="n">
        <v>2</v>
      </c>
      <c r="BN362" s="152" t="inlineStr">
        <is>
          <t>not publisher-identified</t>
        </is>
      </c>
      <c r="BO362" s="152" t="inlineStr">
        <is>
          <t>not publisher-identified</t>
        </is>
      </c>
      <c r="BP362" s="152" t="inlineStr">
        <is>
          <t>no</t>
        </is>
      </c>
      <c r="BQ362" s="152" t="inlineStr">
        <is>
          <t>yes</t>
        </is>
      </c>
      <c r="BR362" s="152" t="n"/>
      <c r="BS362" s="152" t="inlineStr">
        <is>
          <t>YES</t>
        </is>
      </c>
      <c r="BT362" s="152" t="n"/>
    </row>
    <row r="363" ht="15" customHeight="1" s="241">
      <c r="A363" s="193" t="inlineStr">
        <is>
          <t>Duke Energy</t>
        </is>
      </c>
      <c r="B363" s="194">
        <f>IF(A363="","",_xlfn.XLOOKUP(A363, Company_List!$A:$A, Company_List!$B:$B, ""))</f>
        <v/>
      </c>
      <c r="C363" s="177" t="n">
        <v>2023</v>
      </c>
      <c r="D363" s="177" t="inlineStr">
        <is>
          <t>Q2</t>
        </is>
      </c>
      <c r="E363" s="178" t="inlineStr">
        <is>
          <t>All</t>
        </is>
      </c>
      <c r="F363" s="178" t="inlineStr">
        <is>
          <t>All</t>
        </is>
      </c>
      <c r="G363" s="177" t="inlineStr">
        <is>
          <t>Dragos</t>
        </is>
      </c>
      <c r="H363" s="177" t="inlineStr">
        <is>
          <t>Human</t>
        </is>
      </c>
      <c r="I363" s="180" t="n">
        <v>0</v>
      </c>
      <c r="J363" s="180">
        <f>IF(OR(I363="",Settings!$B$6=""),"",IF(I363&gt;Settings!$B$6,"BUY",IF(I363&lt;-Settings!$B$6,"SELL","HOLD")))</f>
        <v/>
      </c>
      <c r="K363" s="180" t="n">
        <v>24</v>
      </c>
      <c r="L363" s="182" t="n">
        <v>45146</v>
      </c>
      <c r="M363" s="182" t="n">
        <v>45145</v>
      </c>
      <c r="N363" s="179" t="n">
        <v>79.8895</v>
      </c>
      <c r="O363" s="182" t="n">
        <v>45146</v>
      </c>
      <c r="P363" s="180" t="n">
        <v>80.4419</v>
      </c>
      <c r="Q363" s="184">
        <f>IF(OR(N363="",P363=""),"",ROUND((P363-N363)/N363,4))</f>
        <v/>
      </c>
      <c r="R363" s="177">
        <f>IF(OR(N363="",P363=""),"",IF(Q363&gt;Settings!$B$3/100,"UP",IF(Q363&lt;-Settings!$B$3/100,"DOWN","FLAT")))</f>
        <v/>
      </c>
      <c r="S363" s="177">
        <f>IF(OR(N363="",P363="",J363=""),"",IF(OR(AND(J363="BUY",R363="UP"),AND(J363="SELL",R363="DOWN"),AND(J363="HOLD",R363="FLAT")),"YES","NO"))</f>
        <v/>
      </c>
      <c r="T363" s="176">
        <f>IF(J363="","",IF(J363="BUY",1,IF(J363="SELL",-1,0)))</f>
        <v/>
      </c>
      <c r="U363" s="184">
        <f>IFERROR(IF(OR(J363="",N363="",P363=""),"",IF(T363=0,0,T363*Q363-Settings!$B$4/10000-IF(T363&lt;0,Settings!$B$5/10000,0))),"")</f>
        <v/>
      </c>
      <c r="V363" s="152" t="inlineStr">
        <is>
          <t>Full document set broadly neutral - adjusted 2023 EPS guidance range of $5.55 to $5.75, and long-term adjusted EPS; jurisdictions, which combined with our $65 billion five-year capital plan give us; shares outstanding increased from 770 million shares to 771 million. Against that: carbon emission targets of at least 50% reduction from electric generation by. 6 forward claims flagged hypothetical and discounted, but the concrete numbers carry it.</t>
        </is>
      </c>
      <c r="W363" s="176">
        <f>IF($K363="","",$K363*60)</f>
        <v/>
      </c>
      <c r="X363" s="186">
        <f>IF($A363="","",$A363&amp;"|"&amp;$C363&amp;"|"&amp;$D363)</f>
        <v/>
      </c>
      <c r="Y363" s="186">
        <f>IFERROR(IF($X363="","",INDEX(LLM_Data_Entry!$H$3:$H$548,MATCH($X363,INDEX(LLM_Data_Entry!$A$3:$A$548&amp;"|"&amp;LLM_Data_Entry!$C$3:$C$548&amp;"|"&amp;LLM_Data_Entry!$D$3:$D$548,0),0))),"")</f>
        <v/>
      </c>
      <c r="Z363" s="186">
        <f>IFERROR(IF($X363="","",INDEX(LLM_Data_Entry!$R$3:$R$548,MATCH($X363,INDEX(LLM_Data_Entry!$A$3:$A$548&amp;"|"&amp;LLM_Data_Entry!$C$3:$C$548&amp;"|"&amp;LLM_Data_Entry!$D$3:$D$548,0),0))),"")</f>
        <v/>
      </c>
      <c r="AA363" s="152" t="n"/>
      <c r="AB363" s="152" t="inlineStr">
        <is>
          <t>document date + price signal</t>
        </is>
      </c>
      <c r="AC363" s="152" t="inlineStr">
        <is>
          <t>DUK</t>
        </is>
      </c>
      <c r="AD363" s="152" t="inlineStr">
        <is>
          <t>2023-08-07</t>
        </is>
      </c>
      <c r="AE363" s="152" t="n">
        <v>79.8895</v>
      </c>
      <c r="AF363" s="152" t="inlineStr">
        <is>
          <t>2023-08-08</t>
        </is>
      </c>
      <c r="AG363" s="152" t="n">
        <v>80.4419</v>
      </c>
      <c r="AH363" s="152" t="n">
        <v>0.006914932083307425</v>
      </c>
      <c r="AI363" s="152" t="inlineStr">
        <is>
          <t>FLAT</t>
        </is>
      </c>
      <c r="AJ363" s="152" t="inlineStr">
        <is>
          <t>YES</t>
        </is>
      </c>
      <c r="AK363" s="152" t="n">
        <v>0</v>
      </c>
      <c r="AL363" s="152">
        <f>IF($A363="","",IFERROR(INDEX(Company_List!$G$3:$G$207,MATCH($A363,Company_List!$A$3:$A$207,0)),"unassigned"))</f>
        <v/>
      </c>
      <c r="AM363" s="152" t="inlineStr">
        <is>
          <t>Phase 2/Duke Energy/Q2 2023/DUK-Q2-2023-press-release-SEC-EX99-1.htm; Phase 2/Duke Energy/Q2 2023/DUK-Q2-2023-earnings-call-transcript-InsiderMonkey.html</t>
        </is>
      </c>
      <c r="AN363" s="152" t="inlineStr">
        <is>
          <t>https://www.insidermonkey.com/blog/duke-energy-corporation-nyseduk-q2-2023-earnings-call-transcript-1181159/; https://www.sec.gov/Archives/edgar/data/1326160/000132616023000171/er-20230630xearningsreleas.htm</t>
        </is>
      </c>
      <c r="AO363" s="152" t="inlineStr">
        <is>
          <t>manifest (whole bundle)</t>
        </is>
      </c>
      <c r="AP363" s="152">
        <f>IF($A363="","",IF(COUNTIFS(LLM_Data_Entry!$A$3:$A$548,$A363)&gt;0,"YES","NO"))</f>
        <v/>
      </c>
      <c r="AQ363" s="152">
        <f>IF($A363="","",IF(COUNTIFS($A$3:$A363,$A363,$C$3:$C363,$C363,$D$3:$D363,$D363)=1,"YES","NO"))</f>
        <v/>
      </c>
      <c r="AR363" s="152">
        <f>IF($A363="","",IF(AND($C363&amp;"-"&amp;$D363&gt;=Settings!$B$19,$C363&amp;"-"&amp;$D363&lt;=Settings!$B$20),"IN","OUT"))</f>
        <v/>
      </c>
      <c r="AS363" s="152">
        <f>IF($A363="","",IF($F363="Financial Results","financials",IF($F363="Outlook/Guidance","guidance",IF($F363="Transcript Q&amp;A","qanda",IF($F363="","unrecorded",IF($E363="All","full",IF($E363="","unrecorded",LOWER($E363)&amp;" only")))))))</f>
        <v/>
      </c>
      <c r="AT363" s="152">
        <f>IF(AND(OR($J363="BUY",$J363="SELL"),ISNUMBER($U363)),$U363,"")</f>
        <v/>
      </c>
      <c r="AU363" s="152">
        <f>IF(AND(OR($J363="BUY",$J363="SELL"),ISNUMBER($AK363)),$AK363,"")</f>
        <v/>
      </c>
      <c r="AV363" s="152">
        <f>IF(ISNUMBER($AT363),ABS(IF(ISNUMBER($I363),$I363,0)-Settings!$B$24),"")</f>
        <v/>
      </c>
      <c r="AW363" s="152">
        <f>IF(ISNUMBER($AV363),$AV363*$AT363,"")</f>
        <v/>
      </c>
      <c r="AX363" s="152">
        <f>IF(ISNUMBER($AU363),ABS(IF(ISNUMBER($I363),$I363,0)-Settings!$B$24),"")</f>
        <v/>
      </c>
      <c r="AY363" s="152" t="inlineStr">
        <is>
          <t>EXTENSION</t>
        </is>
      </c>
      <c r="AZ363" s="152">
        <f>IF($A363="","",IFERROR(INDEX(Company_List!$H$3:$H$207,MATCH($A363,Company_List!$A$3:$A$207,0)),"unassigned"))</f>
        <v/>
      </c>
      <c r="BA363" s="152" t="n"/>
      <c r="BB363" s="152" t="n"/>
      <c r="BC363" s="152">
        <f>IF($A363="","",IF(COUNTIFS($A$3:$A363,$A363,$C$3:$C363,$C363,$D$3:$D363,$D363,$G$3:$G363,$G363)=1,1,0))</f>
        <v/>
      </c>
      <c r="BD363" s="152" t="n"/>
      <c r="BE363" s="152" t="n"/>
      <c r="BF363" s="152" t="n"/>
      <c r="BG363" s="152" t="inlineStr">
        <is>
          <t>no</t>
        </is>
      </c>
      <c r="BH363" s="152" t="n"/>
      <c r="BI363" s="152" t="n"/>
      <c r="BJ363" s="152" t="n"/>
      <c r="BK363" s="152">
        <f>IF(OR($H363&lt;&gt;"Human",$S363="",$J363="",$Y363="",$Z363=""),"",IF(EXACT(UPPER($J363),UPPER($Y363)),1,0))</f>
        <v/>
      </c>
      <c r="BL363" s="152" t="inlineStr">
        <is>
          <t>assumed - no rater record</t>
        </is>
      </c>
      <c r="BM363" s="152" t="n">
        <v>2</v>
      </c>
      <c r="BN363" s="152" t="inlineStr">
        <is>
          <t>Insider Monkey (Koala Guide LLC)</t>
        </is>
      </c>
      <c r="BO363" s="152" t="inlineStr">
        <is>
          <t>free to read, copyright asserted</t>
        </is>
      </c>
      <c r="BP363" s="152" t="inlineStr">
        <is>
          <t>no</t>
        </is>
      </c>
      <c r="BQ363" s="152" t="inlineStr">
        <is>
          <t>yes</t>
        </is>
      </c>
      <c r="BR363" s="152" t="n"/>
      <c r="BS363" s="152" t="inlineStr">
        <is>
          <t>YES</t>
        </is>
      </c>
      <c r="BT363" s="152" t="n"/>
    </row>
    <row r="364" ht="15" customHeight="1" s="241">
      <c r="A364" s="193" t="inlineStr">
        <is>
          <t>Duke Energy</t>
        </is>
      </c>
      <c r="B364" s="194">
        <f>IF(A364="","",_xlfn.XLOOKUP(A364, Company_List!$A:$A, Company_List!$B:$B, ""))</f>
        <v/>
      </c>
      <c r="C364" s="177" t="n">
        <v>2023</v>
      </c>
      <c r="D364" s="177" t="inlineStr">
        <is>
          <t>Q3</t>
        </is>
      </c>
      <c r="E364" s="178" t="inlineStr">
        <is>
          <t>All</t>
        </is>
      </c>
      <c r="F364" s="178" t="inlineStr">
        <is>
          <t>All</t>
        </is>
      </c>
      <c r="G364" s="177" t="inlineStr">
        <is>
          <t>Dragos</t>
        </is>
      </c>
      <c r="H364" s="177" t="inlineStr">
        <is>
          <t>Human</t>
        </is>
      </c>
      <c r="I364" s="180" t="n">
        <v>0.3</v>
      </c>
      <c r="J364" s="180">
        <f>IF(OR(I364="",Settings!$B$6=""),"",IF(I364&gt;Settings!$B$6,"BUY",IF(I364&lt;-Settings!$B$6,"SELL","HOLD")))</f>
        <v/>
      </c>
      <c r="K364" s="180" t="n">
        <v>22</v>
      </c>
      <c r="L364" s="182" t="n">
        <v>45232</v>
      </c>
      <c r="M364" s="182" t="n">
        <v>45232</v>
      </c>
      <c r="N364" s="179" t="n">
        <v>80.99979999999999</v>
      </c>
      <c r="O364" s="182" t="n">
        <v>45233</v>
      </c>
      <c r="P364" s="180" t="n">
        <v>82.1442</v>
      </c>
      <c r="Q364" s="184">
        <f>IF(OR(N364="",P364=""),"",ROUND((P364-N364)/N364,4))</f>
        <v/>
      </c>
      <c r="R364" s="177">
        <f>IF(OR(N364="",P364=""),"",IF(Q364&gt;Settings!$B$3/100,"UP",IF(Q364&lt;-Settings!$B$3/100,"DOWN","FLAT")))</f>
        <v/>
      </c>
      <c r="S364" s="177">
        <f>IF(OR(N364="",P364="",J364=""),"",IF(OR(AND(J364="BUY",R364="UP"),AND(J364="SELL",R364="DOWN"),AND(J364="HOLD",R364="FLAT")),"YES","NO"))</f>
        <v/>
      </c>
      <c r="T364" s="176">
        <f>IF(J364="","",IF(J364="BUY",1,IF(J364="SELL",-1,0)))</f>
        <v/>
      </c>
      <c r="U364" s="184">
        <f>IFERROR(IF(OR(J364="",N364="",P364=""),"",IF(T364=0,0,T364*Q364-Settings!$B$4/10000-IF(T364&lt;0,Settings!$B$5/10000,0))),"")</f>
        <v/>
      </c>
      <c r="V364" s="152" t="inlineStr">
        <is>
          <t>Full document set positive on balance - adjusted 2023 EPS guidance range to $5.55 to $5.65 and reaffirming the long-term; riders and transmission revenues (+$0.09), favorable fuel and purchased power; order approved a retail rate base of $12.2 billion, a $1.6 billion increase from our last. Against that: carbon emission targets of at least 50% reduction from electric generation by. 6 forward claims flagged hypothetical and discounted, but the concrete numbers carry it.</t>
        </is>
      </c>
      <c r="W364" s="176">
        <f>IF($K364="","",$K364*60)</f>
        <v/>
      </c>
      <c r="X364" s="186">
        <f>IF($A364="","",$A364&amp;"|"&amp;$C364&amp;"|"&amp;$D364)</f>
        <v/>
      </c>
      <c r="Y364" s="186">
        <f>IFERROR(IF($X364="","",INDEX(LLM_Data_Entry!$H$3:$H$548,MATCH($X364,INDEX(LLM_Data_Entry!$A$3:$A$548&amp;"|"&amp;LLM_Data_Entry!$C$3:$C$548&amp;"|"&amp;LLM_Data_Entry!$D$3:$D$548,0),0))),"")</f>
        <v/>
      </c>
      <c r="Z364" s="186">
        <f>IFERROR(IF($X364="","",INDEX(LLM_Data_Entry!$R$3:$R$548,MATCH($X364,INDEX(LLM_Data_Entry!$A$3:$A$548&amp;"|"&amp;LLM_Data_Entry!$C$3:$C$548&amp;"|"&amp;LLM_Data_Entry!$D$3:$D$548,0),0))),"")</f>
        <v/>
      </c>
      <c r="AA364" s="152" t="n"/>
      <c r="AB364" s="152" t="inlineStr">
        <is>
          <t>document date + price signal</t>
        </is>
      </c>
      <c r="AC364" s="152" t="inlineStr">
        <is>
          <t>DUK</t>
        </is>
      </c>
      <c r="AD364" s="152" t="inlineStr">
        <is>
          <t>2023-11-02</t>
        </is>
      </c>
      <c r="AE364" s="152" t="n">
        <v>80.99979999999999</v>
      </c>
      <c r="AF364" s="152" t="inlineStr">
        <is>
          <t>2023-11-03</t>
        </is>
      </c>
      <c r="AG364" s="152" t="n">
        <v>82.1442</v>
      </c>
      <c r="AH364" s="152" t="n">
        <v>0.01412838710719222</v>
      </c>
      <c r="AI364" s="152" t="inlineStr">
        <is>
          <t>FLAT</t>
        </is>
      </c>
      <c r="AJ364" s="152" t="inlineStr">
        <is>
          <t>NO</t>
        </is>
      </c>
      <c r="AK364" s="152" t="n">
        <v>0.013128</v>
      </c>
      <c r="AL364" s="152">
        <f>IF($A364="","",IFERROR(INDEX(Company_List!$G$3:$G$207,MATCH($A364,Company_List!$A$3:$A$207,0)),"unassigned"))</f>
        <v/>
      </c>
      <c r="AM364" s="152" t="inlineStr">
        <is>
          <t>Phase 2/Duke Energy/Q3 2023/DUK-Q3-2023-press-release-SEC-EX99-1.htm; Phase 2/Duke Energy/Q3 2023/DUK-Q3-2023-earnings-call-transcript-InsiderMonkey.html</t>
        </is>
      </c>
      <c r="AN364" s="152" t="inlineStr">
        <is>
          <t>https://www.insidermonkey.com/blog/duke-energy-corporation-nyseduk-q3-2023-earnings-call-transcript-1216310/; https://www.sec.gov/Archives/edgar/data/1326160/000132616023000188/er-20230930xearningsreleas.htm</t>
        </is>
      </c>
      <c r="AO364" s="152" t="inlineStr">
        <is>
          <t>manifest (whole bundle)</t>
        </is>
      </c>
      <c r="AP364" s="152">
        <f>IF($A364="","",IF(COUNTIFS(LLM_Data_Entry!$A$3:$A$548,$A364)&gt;0,"YES","NO"))</f>
        <v/>
      </c>
      <c r="AQ364" s="152">
        <f>IF($A364="","",IF(COUNTIFS($A$3:$A364,$A364,$C$3:$C364,$C364,$D$3:$D364,$D364)=1,"YES","NO"))</f>
        <v/>
      </c>
      <c r="AR364" s="152">
        <f>IF($A364="","",IF(AND($C364&amp;"-"&amp;$D364&gt;=Settings!$B$19,$C364&amp;"-"&amp;$D364&lt;=Settings!$B$20),"IN","OUT"))</f>
        <v/>
      </c>
      <c r="AS364" s="152">
        <f>IF($A364="","",IF($F364="Financial Results","financials",IF($F364="Outlook/Guidance","guidance",IF($F364="Transcript Q&amp;A","qanda",IF($F364="","unrecorded",IF($E364="All","full",IF($E364="","unrecorded",LOWER($E364)&amp;" only")))))))</f>
        <v/>
      </c>
      <c r="AT364" s="152">
        <f>IF(AND(OR($J364="BUY",$J364="SELL"),ISNUMBER($U364)),$U364,"")</f>
        <v/>
      </c>
      <c r="AU364" s="152">
        <f>IF(AND(OR($J364="BUY",$J364="SELL"),ISNUMBER($AK364)),$AK364,"")</f>
        <v/>
      </c>
      <c r="AV364" s="152">
        <f>IF(ISNUMBER($AT364),ABS(IF(ISNUMBER($I364),$I364,0)-Settings!$B$24),"")</f>
        <v/>
      </c>
      <c r="AW364" s="152">
        <f>IF(ISNUMBER($AV364),$AV364*$AT364,"")</f>
        <v/>
      </c>
      <c r="AX364" s="152">
        <f>IF(ISNUMBER($AU364),ABS(IF(ISNUMBER($I364),$I364,0)-Settings!$B$24),"")</f>
        <v/>
      </c>
      <c r="AY364" s="152" t="inlineStr">
        <is>
          <t>EXTENSION</t>
        </is>
      </c>
      <c r="AZ364" s="152">
        <f>IF($A364="","",IFERROR(INDEX(Company_List!$H$3:$H$207,MATCH($A364,Company_List!$A$3:$A$207,0)),"unassigned"))</f>
        <v/>
      </c>
      <c r="BA364" s="152" t="n"/>
      <c r="BB364" s="152" t="n"/>
      <c r="BC364" s="152">
        <f>IF($A364="","",IF(COUNTIFS($A$3:$A364,$A364,$C$3:$C364,$C364,$D$3:$D364,$D364,$G$3:$G364,$G364)=1,1,0))</f>
        <v/>
      </c>
      <c r="BD364" s="152" t="n"/>
      <c r="BE364" s="152" t="n"/>
      <c r="BF364" s="152" t="n"/>
      <c r="BG364" s="152" t="inlineStr">
        <is>
          <t>no</t>
        </is>
      </c>
      <c r="BH364" s="152" t="n"/>
      <c r="BI364" s="152" t="n"/>
      <c r="BJ364" s="152" t="n"/>
      <c r="BK364" s="152">
        <f>IF(OR($H364&lt;&gt;"Human",$S364="",$J364="",$Y364="",$Z364=""),"",IF(EXACT(UPPER($J364),UPPER($Y364)),1,0))</f>
        <v/>
      </c>
      <c r="BL364" s="152" t="inlineStr">
        <is>
          <t>assumed - no rater record</t>
        </is>
      </c>
      <c r="BM364" s="152" t="n">
        <v>2</v>
      </c>
      <c r="BN364" s="152" t="inlineStr">
        <is>
          <t>Insider Monkey (Koala Guide LLC)</t>
        </is>
      </c>
      <c r="BO364" s="152" t="inlineStr">
        <is>
          <t>free to read, copyright asserted</t>
        </is>
      </c>
      <c r="BP364" s="152" t="inlineStr">
        <is>
          <t>no</t>
        </is>
      </c>
      <c r="BQ364" s="152" t="inlineStr">
        <is>
          <t>yes</t>
        </is>
      </c>
      <c r="BR364" s="152" t="n"/>
      <c r="BS364" s="152" t="inlineStr">
        <is>
          <t>YES</t>
        </is>
      </c>
      <c r="BT364" s="152" t="n"/>
    </row>
    <row r="365" ht="15" customHeight="1" s="241">
      <c r="A365" s="193" t="inlineStr">
        <is>
          <t>Duke Energy</t>
        </is>
      </c>
      <c r="B365" s="194">
        <f>IF(A365="","",_xlfn.XLOOKUP(A365, Company_List!$A:$A, Company_List!$B:$B, ""))</f>
        <v/>
      </c>
      <c r="C365" s="177" t="n">
        <v>2023</v>
      </c>
      <c r="D365" s="177" t="inlineStr">
        <is>
          <t>Q4</t>
        </is>
      </c>
      <c r="E365" s="178" t="inlineStr">
        <is>
          <t>All</t>
        </is>
      </c>
      <c r="F365" s="178" t="inlineStr">
        <is>
          <t>All</t>
        </is>
      </c>
      <c r="G365" s="177" t="inlineStr">
        <is>
          <t>Dragos</t>
        </is>
      </c>
      <c r="H365" s="177" t="inlineStr">
        <is>
          <t>Human</t>
        </is>
      </c>
      <c r="I365" s="180" t="n">
        <v>0.2</v>
      </c>
      <c r="J365" s="180">
        <f>IF(OR(I365="",Settings!$B$6=""),"",IF(I365&gt;Settings!$B$6,"BUY",IF(I365&lt;-Settings!$B$6,"SELL","HOLD")))</f>
        <v/>
      </c>
      <c r="K365" s="180" t="n">
        <v>21</v>
      </c>
      <c r="L365" s="182" t="n">
        <v>45330</v>
      </c>
      <c r="M365" s="182" t="n">
        <v>45329</v>
      </c>
      <c r="N365" s="179" t="n">
        <v>87.05070000000001</v>
      </c>
      <c r="O365" s="182" t="n">
        <v>45330</v>
      </c>
      <c r="P365" s="180" t="n">
        <v>86.358</v>
      </c>
      <c r="Q365" s="184">
        <f>IF(OR(N365="",P365=""),"",ROUND((P365-N365)/N365,4))</f>
        <v/>
      </c>
      <c r="R365" s="177">
        <f>IF(OR(N365="",P365=""),"",IF(Q365&gt;Settings!$B$3/100,"UP",IF(Q365&lt;-Settings!$B$3/100,"DOWN","FLAT")))</f>
        <v/>
      </c>
      <c r="S365" s="177">
        <f>IF(OR(N365="",P365="",J365=""),"",IF(OR(AND(J365="BUY",R365="UP"),AND(J365="SELL",R365="DOWN"),AND(J365="HOLD",R365="FLAT")),"YES","NO"))</f>
        <v/>
      </c>
      <c r="T365" s="176">
        <f>IF(J365="","",IF(J365="BUY",1,IF(J365="SELL",-1,0)))</f>
        <v/>
      </c>
      <c r="U365" s="184">
        <f>IFERROR(IF(OR(J365="",N365="",P365=""),"",IF(T365=0,0,T365*Q365-Settings!$B$4/10000-IF(T365&lt;0,Settings!$B$5/10000,0))),"")</f>
        <v/>
      </c>
      <c r="V365" s="152" t="inlineStr">
        <is>
          <t>Full document set mildly positive - 2024 adjusted EPS guidance of $5.85 to $6.10, and reaffirming its long-term; $72 million recorded within Impairment of assets; riders and transmission revenues (+$0.13), favorable fuel and purchased power. Against that: carbon emission targets of at least 50% reduction from electric generation by. No hypothetical claims to discount - all cited evidence is concrete. Scored on the press release alone - transcript not collected for this quarter.</t>
        </is>
      </c>
      <c r="W365" s="176">
        <f>IF($K365="","",$K365*60)</f>
        <v/>
      </c>
      <c r="X365" s="186">
        <f>IF($A365="","",$A365&amp;"|"&amp;$C365&amp;"|"&amp;$D365)</f>
        <v/>
      </c>
      <c r="Y365" s="186">
        <f>IFERROR(IF($X365="","",INDEX(LLM_Data_Entry!$H$3:$H$548,MATCH($X365,INDEX(LLM_Data_Entry!$A$3:$A$548&amp;"|"&amp;LLM_Data_Entry!$C$3:$C$548&amp;"|"&amp;LLM_Data_Entry!$D$3:$D$548,0),0))),"")</f>
        <v/>
      </c>
      <c r="Z365" s="186">
        <f>IFERROR(IF($X365="","",INDEX(LLM_Data_Entry!$R$3:$R$548,MATCH($X365,INDEX(LLM_Data_Entry!$A$3:$A$548&amp;"|"&amp;LLM_Data_Entry!$C$3:$C$548&amp;"|"&amp;LLM_Data_Entry!$D$3:$D$548,0),0))),"")</f>
        <v/>
      </c>
      <c r="AA365" s="152" t="n"/>
      <c r="AB365" s="152" t="inlineStr">
        <is>
          <t>earnings calendar, seconded by the issuer's habit</t>
        </is>
      </c>
      <c r="AC365" s="152" t="inlineStr">
        <is>
          <t>DUK</t>
        </is>
      </c>
      <c r="AD365" s="152" t="inlineStr">
        <is>
          <t>2024-02-07</t>
        </is>
      </c>
      <c r="AE365" s="152" t="n">
        <v>87.05070000000001</v>
      </c>
      <c r="AF365" s="152" t="inlineStr">
        <is>
          <t>2024-02-08</t>
        </is>
      </c>
      <c r="AG365" s="152" t="n">
        <v>86.358</v>
      </c>
      <c r="AH365" s="152" t="n">
        <v>-0.007958052398374856</v>
      </c>
      <c r="AI365" s="152" t="inlineStr">
        <is>
          <t>FLAT</t>
        </is>
      </c>
      <c r="AJ365" s="152" t="inlineStr">
        <is>
          <t>YES</t>
        </is>
      </c>
      <c r="AK365" s="152" t="n">
        <v>0</v>
      </c>
      <c r="AL365" s="152">
        <f>IF($A365="","",IFERROR(INDEX(Company_List!$G$3:$G$207,MATCH($A365,Company_List!$A$3:$A$207,0)),"unassigned"))</f>
        <v/>
      </c>
      <c r="AM365" s="152" t="inlineStr">
        <is>
          <t>Phase 2/Duke Energy/Q4 2023/DUK-Q4-2023-press-release-SEC-EX99-1.htm; Phase 2/Duke Energy/Q4 2023/DUK-Q4-2023-earnings-call-transcript-InsiderMonkey.html</t>
        </is>
      </c>
      <c r="AN365" s="152" t="inlineStr">
        <is>
          <t>https://www.insidermonkey.com/blog/duke-energy-corporation-nyseduk-q4-2023-earnings-call-transcript-1256282/; https://www.sec.gov/Archives/edgar/data/1326160/000132616024000031/er-20231231xearningsreleas.htm</t>
        </is>
      </c>
      <c r="AO365" s="152" t="inlineStr">
        <is>
          <t>manifest (whole bundle)</t>
        </is>
      </c>
      <c r="AP365" s="152">
        <f>IF($A365="","",IF(COUNTIFS(LLM_Data_Entry!$A$3:$A$548,$A365)&gt;0,"YES","NO"))</f>
        <v/>
      </c>
      <c r="AQ365" s="152">
        <f>IF($A365="","",IF(COUNTIFS($A$3:$A365,$A365,$C$3:$C365,$C365,$D$3:$D365,$D365)=1,"YES","NO"))</f>
        <v/>
      </c>
      <c r="AR365" s="152">
        <f>IF($A365="","",IF(AND($C365&amp;"-"&amp;$D365&gt;=Settings!$B$19,$C365&amp;"-"&amp;$D365&lt;=Settings!$B$20),"IN","OUT"))</f>
        <v/>
      </c>
      <c r="AS365" s="152">
        <f>IF($A365="","",IF($F365="Financial Results","financials",IF($F365="Outlook/Guidance","guidance",IF($F365="Transcript Q&amp;A","qanda",IF($F365="","unrecorded",IF($E365="All","full",IF($E365="","unrecorded",LOWER($E365)&amp;" only")))))))</f>
        <v/>
      </c>
      <c r="AT365" s="152">
        <f>IF(AND(OR($J365="BUY",$J365="SELL"),ISNUMBER($U365)),$U365,"")</f>
        <v/>
      </c>
      <c r="AU365" s="152">
        <f>IF(AND(OR($J365="BUY",$J365="SELL"),ISNUMBER($AK365)),$AK365,"")</f>
        <v/>
      </c>
      <c r="AV365" s="152">
        <f>IF(ISNUMBER($AT365),ABS(IF(ISNUMBER($I365),$I365,0)-Settings!$B$24),"")</f>
        <v/>
      </c>
      <c r="AW365" s="152">
        <f>IF(ISNUMBER($AV365),$AV365*$AT365,"")</f>
        <v/>
      </c>
      <c r="AX365" s="152">
        <f>IF(ISNUMBER($AU365),ABS(IF(ISNUMBER($I365),$I365,0)-Settings!$B$24),"")</f>
        <v/>
      </c>
      <c r="AY365" s="152" t="inlineStr">
        <is>
          <t>EXTENSION</t>
        </is>
      </c>
      <c r="AZ365" s="152">
        <f>IF($A365="","",IFERROR(INDEX(Company_List!$H$3:$H$207,MATCH($A365,Company_List!$A$3:$A$207,0)),"unassigned"))</f>
        <v/>
      </c>
      <c r="BA365" s="152" t="n"/>
      <c r="BB365" s="152" t="n"/>
      <c r="BC365" s="152">
        <f>IF($A365="","",IF(COUNTIFS($A$3:$A365,$A365,$C$3:$C365,$C365,$D$3:$D365,$D365,$G$3:$G365,$G365)=1,1,0))</f>
        <v/>
      </c>
      <c r="BD365" s="152" t="n"/>
      <c r="BE365" s="152" t="n"/>
      <c r="BF365" s="152" t="n"/>
      <c r="BG365" s="152" t="inlineStr">
        <is>
          <t>no</t>
        </is>
      </c>
      <c r="BH365" s="152" t="n"/>
      <c r="BI365" s="152" t="n"/>
      <c r="BJ365" s="152" t="n"/>
      <c r="BK365" s="152">
        <f>IF(OR($H365&lt;&gt;"Human",$S365="",$J365="",$Y365="",$Z365=""),"",IF(EXACT(UPPER($J365),UPPER($Y365)),1,0))</f>
        <v/>
      </c>
      <c r="BL365" s="152" t="inlineStr">
        <is>
          <t>assumed - no rater record</t>
        </is>
      </c>
      <c r="BM365" s="152" t="n">
        <v>2</v>
      </c>
      <c r="BN365" s="152" t="inlineStr">
        <is>
          <t>Insider Monkey (Koala Guide LLC)</t>
        </is>
      </c>
      <c r="BO365" s="152" t="inlineStr">
        <is>
          <t>free to read, copyright asserted</t>
        </is>
      </c>
      <c r="BP365" s="152" t="inlineStr">
        <is>
          <t>no</t>
        </is>
      </c>
      <c r="BQ365" s="152" t="inlineStr">
        <is>
          <t>yes</t>
        </is>
      </c>
      <c r="BR365" s="152" t="n"/>
      <c r="BS365" s="152" t="inlineStr">
        <is>
          <t>YES</t>
        </is>
      </c>
      <c r="BT365" s="152" t="n"/>
    </row>
    <row r="366" ht="15" customHeight="1" s="241">
      <c r="A366" s="193" t="inlineStr">
        <is>
          <t>Duke Energy</t>
        </is>
      </c>
      <c r="B366" s="194">
        <f>IF(A366="","",_xlfn.XLOOKUP(A366, Company_List!$A:$A, Company_List!$B:$B, ""))</f>
        <v/>
      </c>
      <c r="C366" s="177" t="n">
        <v>2024</v>
      </c>
      <c r="D366" s="177" t="inlineStr">
        <is>
          <t>Q1</t>
        </is>
      </c>
      <c r="E366" s="178" t="inlineStr">
        <is>
          <t>All</t>
        </is>
      </c>
      <c r="F366" s="178" t="inlineStr">
        <is>
          <t>All</t>
        </is>
      </c>
      <c r="G366" s="177" t="inlineStr">
        <is>
          <t>Dragos</t>
        </is>
      </c>
      <c r="H366" s="177" t="inlineStr">
        <is>
          <t>Human</t>
        </is>
      </c>
      <c r="I366" s="180" t="n">
        <v>0.7</v>
      </c>
      <c r="J366" s="180">
        <f>IF(OR(I366="",Settings!$B$6=""),"",IF(I366&gt;Settings!$B$6,"BUY",IF(I366&lt;-Settings!$B$6,"SELL","HOLD")))</f>
        <v/>
      </c>
      <c r="K366" s="180" t="n">
        <v>17</v>
      </c>
      <c r="L366" s="182" t="n">
        <v>45419</v>
      </c>
      <c r="M366" s="182" t="n">
        <v>45418</v>
      </c>
      <c r="N366" s="179" t="n">
        <v>92.57429999999999</v>
      </c>
      <c r="O366" s="182" t="n">
        <v>45419</v>
      </c>
      <c r="P366" s="180" t="n">
        <v>93.10899999999999</v>
      </c>
      <c r="Q366" s="184">
        <f>IF(OR(N366="",P366=""),"",ROUND((P366-N366)/N366,4))</f>
        <v/>
      </c>
      <c r="R366" s="177">
        <f>IF(OR(N366="",P366=""),"",IF(Q366&gt;Settings!$B$3/100,"UP",IF(Q366&lt;-Settings!$B$3/100,"DOWN","FLAT")))</f>
        <v/>
      </c>
      <c r="S366" s="177">
        <f>IF(OR(N366="",P366="",J366=""),"",IF(OR(AND(J366="BUY",R366="UP"),AND(J366="SELL",R366="DOWN"),AND(J366="HOLD",R366="FLAT")),"YES","NO"))</f>
        <v/>
      </c>
      <c r="T366" s="176">
        <f>IF(J366="","",IF(J366="BUY",1,IF(J366="SELL",-1,0)))</f>
        <v/>
      </c>
      <c r="U366" s="184">
        <f>IFERROR(IF(OR(J366="",N366="",P366=""),"",IF(T366=0,0,T366*Q366-Settings!$B$4/10000-IF(T366&lt;0,Settings!$B$5/10000,0))),"")</f>
        <v/>
      </c>
      <c r="V366" s="152" t="inlineStr">
        <is>
          <t>Full document set strong across the board - 2024 adjusted EPS guidance range of $5.85 to $6.10, and long-term adjusted EPS; reaffirming our 2024 guidance range of $5.85 to $6.10 and our long-term EPS growth; our 2024 earnings guidance range of $5.85 to $6.10 and growth of 5% to 7% through. Against that: a first-quarter 2024 segment loss of $203 million, compared to reported and adjusted. 2 forward claims flagged hypothetical and discounted, but the concrete numbers carry it.</t>
        </is>
      </c>
      <c r="W366" s="176">
        <f>IF($K366="","",$K366*60)</f>
        <v/>
      </c>
      <c r="X366" s="186">
        <f>IF($A366="","",$A366&amp;"|"&amp;$C366&amp;"|"&amp;$D366)</f>
        <v/>
      </c>
      <c r="Y366" s="186">
        <f>IFERROR(IF($X366="","",INDEX(LLM_Data_Entry!$H$3:$H$548,MATCH($X366,INDEX(LLM_Data_Entry!$A$3:$A$548&amp;"|"&amp;LLM_Data_Entry!$C$3:$C$548&amp;"|"&amp;LLM_Data_Entry!$D$3:$D$548,0),0))),"")</f>
        <v/>
      </c>
      <c r="Z366" s="186">
        <f>IFERROR(IF($X366="","",INDEX(LLM_Data_Entry!$R$3:$R$548,MATCH($X366,INDEX(LLM_Data_Entry!$A$3:$A$548&amp;"|"&amp;LLM_Data_Entry!$C$3:$C$548&amp;"|"&amp;LLM_Data_Entry!$D$3:$D$548,0),0))),"")</f>
        <v/>
      </c>
      <c r="AA366" s="152" t="n"/>
      <c r="AB366" s="152" t="inlineStr">
        <is>
          <t>earnings calendar, seconded by the issuer's habit</t>
        </is>
      </c>
      <c r="AC366" s="152" t="inlineStr">
        <is>
          <t>DUK</t>
        </is>
      </c>
      <c r="AD366" s="152" t="inlineStr">
        <is>
          <t>2024-05-06</t>
        </is>
      </c>
      <c r="AE366" s="152" t="n">
        <v>92.57429999999999</v>
      </c>
      <c r="AF366" s="152" t="inlineStr">
        <is>
          <t>2024-05-07</t>
        </is>
      </c>
      <c r="AG366" s="152" t="n">
        <v>93.10899999999999</v>
      </c>
      <c r="AH366" s="152" t="n">
        <v>0.005775736492348381</v>
      </c>
      <c r="AI366" s="152" t="inlineStr">
        <is>
          <t>FLAT</t>
        </is>
      </c>
      <c r="AJ366" s="152" t="inlineStr">
        <is>
          <t>NO</t>
        </is>
      </c>
      <c r="AK366" s="152" t="n">
        <v>0.004776</v>
      </c>
      <c r="AL366" s="152">
        <f>IF($A366="","",IFERROR(INDEX(Company_List!$G$3:$G$207,MATCH($A366,Company_List!$A$3:$A$207,0)),"unassigned"))</f>
        <v/>
      </c>
      <c r="AM366" s="152" t="inlineStr">
        <is>
          <t>Phase 2/Duke Energy/Q1 2024/DUK-Q1-2024-press-release-SEC-EX99-1.htm; Phase 2/Duke Energy/Q1 2024/DUK-Q1-2024-earnings-call-transcript-InsiderMonkey.html</t>
        </is>
      </c>
      <c r="AN366" s="152" t="inlineStr">
        <is>
          <t>https://www.insidermonkey.com/blog/duke-energy-corporation-nyseduk-q1-2024-earnings-call-transcript-1298999/; https://www.sec.gov/Archives/edgar/data/1326160/000132616024000103/er-20240331xearningsreleas.htm</t>
        </is>
      </c>
      <c r="AO366" s="152" t="inlineStr">
        <is>
          <t>manifest (whole bundle)</t>
        </is>
      </c>
      <c r="AP366" s="152">
        <f>IF($A366="","",IF(COUNTIFS(LLM_Data_Entry!$A$3:$A$548,$A366)&gt;0,"YES","NO"))</f>
        <v/>
      </c>
      <c r="AQ366" s="152">
        <f>IF($A366="","",IF(COUNTIFS($A$3:$A366,$A366,$C$3:$C366,$C366,$D$3:$D366,$D366)=1,"YES","NO"))</f>
        <v/>
      </c>
      <c r="AR366" s="152">
        <f>IF($A366="","",IF(AND($C366&amp;"-"&amp;$D366&gt;=Settings!$B$19,$C366&amp;"-"&amp;$D366&lt;=Settings!$B$20),"IN","OUT"))</f>
        <v/>
      </c>
      <c r="AS366" s="152">
        <f>IF($A366="","",IF($F366="Financial Results","financials",IF($F366="Outlook/Guidance","guidance",IF($F366="Transcript Q&amp;A","qanda",IF($F366="","unrecorded",IF($E366="All","full",IF($E366="","unrecorded",LOWER($E366)&amp;" only")))))))</f>
        <v/>
      </c>
      <c r="AT366" s="152">
        <f>IF(AND(OR($J366="BUY",$J366="SELL"),ISNUMBER($U366)),$U366,"")</f>
        <v/>
      </c>
      <c r="AU366" s="152">
        <f>IF(AND(OR($J366="BUY",$J366="SELL"),ISNUMBER($AK366)),$AK366,"")</f>
        <v/>
      </c>
      <c r="AV366" s="152">
        <f>IF(ISNUMBER($AT366),ABS(IF(ISNUMBER($I366),$I366,0)-Settings!$B$24),"")</f>
        <v/>
      </c>
      <c r="AW366" s="152">
        <f>IF(ISNUMBER($AV366),$AV366*$AT366,"")</f>
        <v/>
      </c>
      <c r="AX366" s="152">
        <f>IF(ISNUMBER($AU366),ABS(IF(ISNUMBER($I366),$I366,0)-Settings!$B$24),"")</f>
        <v/>
      </c>
      <c r="AY366" s="152" t="inlineStr">
        <is>
          <t>EXTENSION</t>
        </is>
      </c>
      <c r="AZ366" s="152">
        <f>IF($A366="","",IFERROR(INDEX(Company_List!$H$3:$H$207,MATCH($A366,Company_List!$A$3:$A$207,0)),"unassigned"))</f>
        <v/>
      </c>
      <c r="BA366" s="152" t="n"/>
      <c r="BB366" s="152" t="n"/>
      <c r="BC366" s="152">
        <f>IF($A366="","",IF(COUNTIFS($A$3:$A366,$A366,$C$3:$C366,$C366,$D$3:$D366,$D366,$G$3:$G366,$G366)=1,1,0))</f>
        <v/>
      </c>
      <c r="BD366" s="152" t="n"/>
      <c r="BE366" s="152" t="n"/>
      <c r="BF366" s="152" t="n"/>
      <c r="BG366" s="152" t="inlineStr">
        <is>
          <t>no</t>
        </is>
      </c>
      <c r="BH366" s="152" t="n"/>
      <c r="BI366" s="152" t="n"/>
      <c r="BJ366" s="152" t="n"/>
      <c r="BK366" s="152">
        <f>IF(OR($H366&lt;&gt;"Human",$S366="",$J366="",$Y366="",$Z366=""),"",IF(EXACT(UPPER($J366),UPPER($Y366)),1,0))</f>
        <v/>
      </c>
      <c r="BL366" s="152" t="inlineStr">
        <is>
          <t>assumed - no rater record</t>
        </is>
      </c>
      <c r="BM366" s="152" t="n">
        <v>2</v>
      </c>
      <c r="BN366" s="152" t="inlineStr">
        <is>
          <t>Insider Monkey (Koala Guide LLC)</t>
        </is>
      </c>
      <c r="BO366" s="152" t="inlineStr">
        <is>
          <t>free to read, copyright asserted</t>
        </is>
      </c>
      <c r="BP366" s="152" t="inlineStr">
        <is>
          <t>no</t>
        </is>
      </c>
      <c r="BQ366" s="152" t="inlineStr">
        <is>
          <t>yes</t>
        </is>
      </c>
      <c r="BR366" s="152" t="n"/>
      <c r="BS366" s="152" t="inlineStr">
        <is>
          <t>YES</t>
        </is>
      </c>
      <c r="BT366" s="152" t="n"/>
    </row>
    <row r="367" ht="15" customHeight="1" s="241">
      <c r="A367" s="193" t="inlineStr">
        <is>
          <t>Duke Energy</t>
        </is>
      </c>
      <c r="B367" s="194">
        <f>IF(A367="","",_xlfn.XLOOKUP(A367, Company_List!$A:$A, Company_List!$B:$B, ""))</f>
        <v/>
      </c>
      <c r="C367" s="177" t="n">
        <v>2024</v>
      </c>
      <c r="D367" s="177" t="inlineStr">
        <is>
          <t>Q2</t>
        </is>
      </c>
      <c r="E367" s="178" t="inlineStr">
        <is>
          <t>All</t>
        </is>
      </c>
      <c r="F367" s="178" t="inlineStr">
        <is>
          <t>All</t>
        </is>
      </c>
      <c r="G367" s="177" t="inlineStr">
        <is>
          <t>Dragos</t>
        </is>
      </c>
      <c r="H367" s="177" t="inlineStr">
        <is>
          <t>Human</t>
        </is>
      </c>
      <c r="I367" s="180" t="n">
        <v>0.1</v>
      </c>
      <c r="J367" s="180">
        <f>IF(OR(I367="",Settings!$B$6=""),"",IF(I367&gt;Settings!$B$6,"BUY",IF(I367&lt;-Settings!$B$6,"SELL","HOLD")))</f>
        <v/>
      </c>
      <c r="K367" s="180" t="n">
        <v>19</v>
      </c>
      <c r="L367" s="182" t="n">
        <v>45510</v>
      </c>
      <c r="M367" s="182" t="n">
        <v>45509</v>
      </c>
      <c r="N367" s="179" t="n">
        <v>103.362</v>
      </c>
      <c r="O367" s="182" t="n">
        <v>45510</v>
      </c>
      <c r="P367" s="180" t="n">
        <v>104.7401</v>
      </c>
      <c r="Q367" s="184">
        <f>IF(OR(N367="",P367=""),"",ROUND((P367-N367)/N367,4))</f>
        <v/>
      </c>
      <c r="R367" s="177">
        <f>IF(OR(N367="",P367=""),"",IF(Q367&gt;Settings!$B$3/100,"UP",IF(Q367&lt;-Settings!$B$3/100,"DOWN","FLAT")))</f>
        <v/>
      </c>
      <c r="S367" s="177">
        <f>IF(OR(N367="",P367="",J367=""),"",IF(OR(AND(J367="BUY",R367="UP"),AND(J367="SELL",R367="DOWN"),AND(J367="HOLD",R367="FLAT")),"YES","NO"))</f>
        <v/>
      </c>
      <c r="T367" s="176">
        <f>IF(J367="","",IF(J367="BUY",1,IF(J367="SELL",-1,0)))</f>
        <v/>
      </c>
      <c r="U367" s="184">
        <f>IFERROR(IF(OR(J367="",N367="",P367=""),"",IF(T367=0,0,T367*Q367-Settings!$B$4/10000-IF(T367&lt;0,Settings!$B$5/10000,0))),"")</f>
        <v/>
      </c>
      <c r="V367" s="152" t="inlineStr">
        <is>
          <t>Full document set mildly positive - 2024 adjusted EPS guidance range of $5.85 to $6.10, and long-term adjusted EPS; rates, effective January 2024, (+$0.07), DEP North Carolina rates, effective; A – Net of $6 million tax benefit at Duke Energy Carolinas. Against that: • $33 million recorded within Impairment of assets. No hypothetical claims to discount - all cited evidence is concrete. Scored on the press release alone - transcript not collected for this quarter.</t>
        </is>
      </c>
      <c r="W367" s="176">
        <f>IF($K367="","",$K367*60)</f>
        <v/>
      </c>
      <c r="X367" s="186">
        <f>IF($A367="","",$A367&amp;"|"&amp;$C367&amp;"|"&amp;$D367)</f>
        <v/>
      </c>
      <c r="Y367" s="186">
        <f>IFERROR(IF($X367="","",INDEX(LLM_Data_Entry!$H$3:$H$548,MATCH($X367,INDEX(LLM_Data_Entry!$A$3:$A$548&amp;"|"&amp;LLM_Data_Entry!$C$3:$C$548&amp;"|"&amp;LLM_Data_Entry!$D$3:$D$548,0),0))),"")</f>
        <v/>
      </c>
      <c r="Z367" s="186">
        <f>IFERROR(IF($X367="","",INDEX(LLM_Data_Entry!$R$3:$R$548,MATCH($X367,INDEX(LLM_Data_Entry!$A$3:$A$548&amp;"|"&amp;LLM_Data_Entry!$C$3:$C$548&amp;"|"&amp;LLM_Data_Entry!$D$3:$D$548,0),0))),"")</f>
        <v/>
      </c>
      <c r="AA367" s="152" t="n"/>
      <c r="AB367" s="152" t="inlineStr">
        <is>
          <t>document date + price signal</t>
        </is>
      </c>
      <c r="AC367" s="152" t="inlineStr">
        <is>
          <t>DUK</t>
        </is>
      </c>
      <c r="AD367" s="152" t="inlineStr">
        <is>
          <t>2024-08-05</t>
        </is>
      </c>
      <c r="AE367" s="152" t="n">
        <v>103.362</v>
      </c>
      <c r="AF367" s="152" t="inlineStr">
        <is>
          <t>2024-08-06</t>
        </is>
      </c>
      <c r="AG367" s="152" t="n">
        <v>104.7401</v>
      </c>
      <c r="AH367" s="152" t="n">
        <v>0.01333206940345277</v>
      </c>
      <c r="AI367" s="152" t="inlineStr">
        <is>
          <t>FLAT</t>
        </is>
      </c>
      <c r="AJ367" s="152" t="inlineStr">
        <is>
          <t>YES</t>
        </is>
      </c>
      <c r="AK367" s="152" t="n">
        <v>0</v>
      </c>
      <c r="AL367" s="152">
        <f>IF($A367="","",IFERROR(INDEX(Company_List!$G$3:$G$207,MATCH($A367,Company_List!$A$3:$A$207,0)),"unassigned"))</f>
        <v/>
      </c>
      <c r="AM367" s="152" t="inlineStr">
        <is>
          <t>Phase 2/Duke Energy/Q2 2024/DUK-Q2-2024-press-release-SEC-EX99-1.htm; Phase 2/Duke Energy/Q2 2024/DUK-Q2-2024-earnings-call-transcript-stockanalysis-com.html</t>
        </is>
      </c>
      <c r="AN367" s="152" t="inlineStr">
        <is>
          <t>https://stockanalysis.com/stocks/duk/transcripts/166263-q2-2024/; https://www.sec.gov/Archives/edgar/data/1326160/000132616024000164/er-20240630xearningsreleas.htm</t>
        </is>
      </c>
      <c r="AO367" s="152" t="inlineStr">
        <is>
          <t>manifest (whole bundle)</t>
        </is>
      </c>
      <c r="AP367" s="152">
        <f>IF($A367="","",IF(COUNTIFS(LLM_Data_Entry!$A$3:$A$548,$A367)&gt;0,"YES","NO"))</f>
        <v/>
      </c>
      <c r="AQ367" s="152">
        <f>IF($A367="","",IF(COUNTIFS($A$3:$A367,$A367,$C$3:$C367,$C367,$D$3:$D367,$D367)=1,"YES","NO"))</f>
        <v/>
      </c>
      <c r="AR367" s="152">
        <f>IF($A367="","",IF(AND($C367&amp;"-"&amp;$D367&gt;=Settings!$B$19,$C367&amp;"-"&amp;$D367&lt;=Settings!$B$20),"IN","OUT"))</f>
        <v/>
      </c>
      <c r="AS367" s="152">
        <f>IF($A367="","",IF($F367="Financial Results","financials",IF($F367="Outlook/Guidance","guidance",IF($F367="Transcript Q&amp;A","qanda",IF($F367="","unrecorded",IF($E367="All","full",IF($E367="","unrecorded",LOWER($E367)&amp;" only")))))))</f>
        <v/>
      </c>
      <c r="AT367" s="152">
        <f>IF(AND(OR($J367="BUY",$J367="SELL"),ISNUMBER($U367)),$U367,"")</f>
        <v/>
      </c>
      <c r="AU367" s="152">
        <f>IF(AND(OR($J367="BUY",$J367="SELL"),ISNUMBER($AK367)),$AK367,"")</f>
        <v/>
      </c>
      <c r="AV367" s="152">
        <f>IF(ISNUMBER($AT367),ABS(IF(ISNUMBER($I367),$I367,0)-Settings!$B$24),"")</f>
        <v/>
      </c>
      <c r="AW367" s="152">
        <f>IF(ISNUMBER($AV367),$AV367*$AT367,"")</f>
        <v/>
      </c>
      <c r="AX367" s="152">
        <f>IF(ISNUMBER($AU367),ABS(IF(ISNUMBER($I367),$I367,0)-Settings!$B$24),"")</f>
        <v/>
      </c>
      <c r="AY367" s="152" t="inlineStr">
        <is>
          <t>EXTENSION</t>
        </is>
      </c>
      <c r="AZ367" s="152">
        <f>IF($A367="","",IFERROR(INDEX(Company_List!$H$3:$H$207,MATCH($A367,Company_List!$A$3:$A$207,0)),"unassigned"))</f>
        <v/>
      </c>
      <c r="BA367" s="152" t="n"/>
      <c r="BB367" s="152" t="n"/>
      <c r="BC367" s="152">
        <f>IF($A367="","",IF(COUNTIFS($A$3:$A367,$A367,$C$3:$C367,$C367,$D$3:$D367,$D367,$G$3:$G367,$G367)=1,1,0))</f>
        <v/>
      </c>
      <c r="BD367" s="152" t="n"/>
      <c r="BE367" s="152" t="n"/>
      <c r="BF367" s="152" t="n"/>
      <c r="BG367" s="152" t="inlineStr">
        <is>
          <t>no</t>
        </is>
      </c>
      <c r="BH367" s="152" t="n"/>
      <c r="BI367" s="152" t="n"/>
      <c r="BJ367" s="152" t="n"/>
      <c r="BK367" s="152">
        <f>IF(OR($H367&lt;&gt;"Human",$S367="",$J367="",$Y367="",$Z367=""),"",IF(EXACT(UPPER($J367),UPPER($Y367)),1,0))</f>
        <v/>
      </c>
      <c r="BL367" s="152" t="inlineStr">
        <is>
          <t>assumed - no rater record</t>
        </is>
      </c>
      <c r="BM367" s="152" t="n">
        <v>2</v>
      </c>
      <c r="BN367" s="152" t="inlineStr">
        <is>
          <t>not publisher-identified</t>
        </is>
      </c>
      <c r="BO367" s="152" t="inlineStr">
        <is>
          <t>not publisher-identified</t>
        </is>
      </c>
      <c r="BP367" s="152" t="inlineStr">
        <is>
          <t>no</t>
        </is>
      </c>
      <c r="BQ367" s="152" t="inlineStr">
        <is>
          <t>yes</t>
        </is>
      </c>
      <c r="BR367" s="152" t="n"/>
      <c r="BS367" s="152" t="inlineStr">
        <is>
          <t>YES</t>
        </is>
      </c>
      <c r="BT367" s="152" t="n"/>
    </row>
    <row r="368" ht="15" customHeight="1" s="241">
      <c r="A368" s="193" t="inlineStr">
        <is>
          <t>Duke Energy</t>
        </is>
      </c>
      <c r="B368" s="194">
        <f>IF(A368="","",_xlfn.XLOOKUP(A368, Company_List!$A:$A, Company_List!$B:$B, ""))</f>
        <v/>
      </c>
      <c r="C368" s="177" t="n">
        <v>2024</v>
      </c>
      <c r="D368" s="177" t="inlineStr">
        <is>
          <t>Q3</t>
        </is>
      </c>
      <c r="E368" s="178" t="inlineStr">
        <is>
          <t>All</t>
        </is>
      </c>
      <c r="F368" s="178" t="inlineStr">
        <is>
          <t>All</t>
        </is>
      </c>
      <c r="G368" s="177" t="inlineStr">
        <is>
          <t>Dragos</t>
        </is>
      </c>
      <c r="H368" s="177" t="inlineStr">
        <is>
          <t>Human</t>
        </is>
      </c>
      <c r="I368" s="180" t="n">
        <v>0.3</v>
      </c>
      <c r="J368" s="180">
        <f>IF(OR(I368="",Settings!$B$6=""),"",IF(I368&gt;Settings!$B$6,"BUY",IF(I368&lt;-Settings!$B$6,"SELL","HOLD")))</f>
        <v/>
      </c>
      <c r="K368" s="180" t="n">
        <v>22</v>
      </c>
      <c r="L368" s="182" t="n">
        <v>45603</v>
      </c>
      <c r="M368" s="182" t="n">
        <v>45602</v>
      </c>
      <c r="N368" s="179" t="n">
        <v>106.7881</v>
      </c>
      <c r="O368" s="182" t="n">
        <v>45603</v>
      </c>
      <c r="P368" s="180" t="n">
        <v>105.8577</v>
      </c>
      <c r="Q368" s="184">
        <f>IF(OR(N368="",P368=""),"",ROUND((P368-N368)/N368,4))</f>
        <v/>
      </c>
      <c r="R368" s="177">
        <f>IF(OR(N368="",P368=""),"",IF(Q368&gt;Settings!$B$3/100,"UP",IF(Q368&lt;-Settings!$B$3/100,"DOWN","FLAT")))</f>
        <v/>
      </c>
      <c r="S368" s="177">
        <f>IF(OR(N368="",P368="",J368=""),"",IF(OR(AND(J368="BUY",R368="UP"),AND(J368="SELL",R368="DOWN"),AND(J368="HOLD",R368="FLAT")),"YES","NO"))</f>
        <v/>
      </c>
      <c r="T368" s="176">
        <f>IF(J368="","",IF(J368="BUY",1,IF(J368="SELL",-1,0)))</f>
        <v/>
      </c>
      <c r="U368" s="184">
        <f>IFERROR(IF(OR(J368="",N368="",P368=""),"",IF(T368=0,0,T368*Q368-Settings!$B$4/10000-IF(T368&lt;0,Settings!$B$5/10000,0))),"")</f>
        <v/>
      </c>
      <c r="V368" s="152" t="inlineStr">
        <is>
          <t>Full document set positive on balance - Brian Savoy: We signaled 40 basis points to 60 basis points of FFO to debt; long-term adjusted EPS growth rate of 5% to 7% through 2028 off the 2024; rates, effective August 2024, (+$0.05), DEF multiyear rate plan revenue. Against that: • $33 million recorded within Impairment of assets. 2 forward claims flagged hypothetical and discounted, but the concrete numbers carry it.</t>
        </is>
      </c>
      <c r="W368" s="176">
        <f>IF($K368="","",$K368*60)</f>
        <v/>
      </c>
      <c r="X368" s="186">
        <f>IF($A368="","",$A368&amp;"|"&amp;$C368&amp;"|"&amp;$D368)</f>
        <v/>
      </c>
      <c r="Y368" s="186">
        <f>IFERROR(IF($X368="","",INDEX(LLM_Data_Entry!$H$3:$H$548,MATCH($X368,INDEX(LLM_Data_Entry!$A$3:$A$548&amp;"|"&amp;LLM_Data_Entry!$C$3:$C$548&amp;"|"&amp;LLM_Data_Entry!$D$3:$D$548,0),0))),"")</f>
        <v/>
      </c>
      <c r="Z368" s="186">
        <f>IFERROR(IF($X368="","",INDEX(LLM_Data_Entry!$R$3:$R$548,MATCH($X368,INDEX(LLM_Data_Entry!$A$3:$A$548&amp;"|"&amp;LLM_Data_Entry!$C$3:$C$548&amp;"|"&amp;LLM_Data_Entry!$D$3:$D$548,0),0))),"")</f>
        <v/>
      </c>
      <c r="AA368" s="152" t="n"/>
      <c r="AB368" s="152" t="inlineStr">
        <is>
          <t>price signal</t>
        </is>
      </c>
      <c r="AC368" s="152" t="inlineStr">
        <is>
          <t>DUK</t>
        </is>
      </c>
      <c r="AD368" s="152" t="inlineStr">
        <is>
          <t>2024-11-06</t>
        </is>
      </c>
      <c r="AE368" s="152" t="n">
        <v>106.7881</v>
      </c>
      <c r="AF368" s="152" t="inlineStr">
        <is>
          <t>2024-11-07</t>
        </is>
      </c>
      <c r="AG368" s="152" t="n">
        <v>105.8577</v>
      </c>
      <c r="AH368" s="152" t="n">
        <v>-0.00871246357725761</v>
      </c>
      <c r="AI368" s="152" t="inlineStr">
        <is>
          <t>FLAT</t>
        </is>
      </c>
      <c r="AJ368" s="152" t="inlineStr">
        <is>
          <t>NO</t>
        </is>
      </c>
      <c r="AK368" s="152" t="n">
        <v>-0.009712</v>
      </c>
      <c r="AL368" s="152">
        <f>IF($A368="","",IFERROR(INDEX(Company_List!$G$3:$G$207,MATCH($A368,Company_List!$A$3:$A$207,0)),"unassigned"))</f>
        <v/>
      </c>
      <c r="AM368" s="152" t="inlineStr">
        <is>
          <t>Phase 2/Duke Energy/Q3 2024/DUK-Q3-2024-press-release-SEC-EX99-1.htm; Phase 2/Duke Energy/Q3 2024/DUK-Q3-2024-earnings-call-transcript-InsiderMonkey.html</t>
        </is>
      </c>
      <c r="AN368" s="152" t="inlineStr">
        <is>
          <t>https://www.insidermonkey.com/blog/duke-energy-corporation-nyseduk-q3-2024-earnings-call-transcript-1388047/; https://www.sec.gov/Archives/edgar/data/1326160/000132616024000179/er-20240930xearningsreleas.htm</t>
        </is>
      </c>
      <c r="AO368" s="152" t="inlineStr">
        <is>
          <t>manifest (whole bundle)</t>
        </is>
      </c>
      <c r="AP368" s="152">
        <f>IF($A368="","",IF(COUNTIFS(LLM_Data_Entry!$A$3:$A$548,$A368)&gt;0,"YES","NO"))</f>
        <v/>
      </c>
      <c r="AQ368" s="152">
        <f>IF($A368="","",IF(COUNTIFS($A$3:$A368,$A368,$C$3:$C368,$C368,$D$3:$D368,$D368)=1,"YES","NO"))</f>
        <v/>
      </c>
      <c r="AR368" s="152">
        <f>IF($A368="","",IF(AND($C368&amp;"-"&amp;$D368&gt;=Settings!$B$19,$C368&amp;"-"&amp;$D368&lt;=Settings!$B$20),"IN","OUT"))</f>
        <v/>
      </c>
      <c r="AS368" s="152">
        <f>IF($A368="","",IF($F368="Financial Results","financials",IF($F368="Outlook/Guidance","guidance",IF($F368="Transcript Q&amp;A","qanda",IF($F368="","unrecorded",IF($E368="All","full",IF($E368="","unrecorded",LOWER($E368)&amp;" only")))))))</f>
        <v/>
      </c>
      <c r="AT368" s="152">
        <f>IF(AND(OR($J368="BUY",$J368="SELL"),ISNUMBER($U368)),$U368,"")</f>
        <v/>
      </c>
      <c r="AU368" s="152">
        <f>IF(AND(OR($J368="BUY",$J368="SELL"),ISNUMBER($AK368)),$AK368,"")</f>
        <v/>
      </c>
      <c r="AV368" s="152">
        <f>IF(ISNUMBER($AT368),ABS(IF(ISNUMBER($I368),$I368,0)-Settings!$B$24),"")</f>
        <v/>
      </c>
      <c r="AW368" s="152">
        <f>IF(ISNUMBER($AV368),$AV368*$AT368,"")</f>
        <v/>
      </c>
      <c r="AX368" s="152">
        <f>IF(ISNUMBER($AU368),ABS(IF(ISNUMBER($I368),$I368,0)-Settings!$B$24),"")</f>
        <v/>
      </c>
      <c r="AY368" s="152" t="inlineStr">
        <is>
          <t>EXTENSION</t>
        </is>
      </c>
      <c r="AZ368" s="152">
        <f>IF($A368="","",IFERROR(INDEX(Company_List!$H$3:$H$207,MATCH($A368,Company_List!$A$3:$A$207,0)),"unassigned"))</f>
        <v/>
      </c>
      <c r="BA368" s="152" t="n"/>
      <c r="BB368" s="152" t="n"/>
      <c r="BC368" s="152">
        <f>IF($A368="","",IF(COUNTIFS($A$3:$A368,$A368,$C$3:$C368,$C368,$D$3:$D368,$D368,$G$3:$G368,$G368)=1,1,0))</f>
        <v/>
      </c>
      <c r="BD368" s="152" t="n"/>
      <c r="BE368" s="152" t="n"/>
      <c r="BF368" s="152" t="n"/>
      <c r="BG368" s="152" t="inlineStr">
        <is>
          <t>no</t>
        </is>
      </c>
      <c r="BH368" s="152" t="n"/>
      <c r="BI368" s="152" t="n"/>
      <c r="BJ368" s="152" t="n"/>
      <c r="BK368" s="152">
        <f>IF(OR($H368&lt;&gt;"Human",$S368="",$J368="",$Y368="",$Z368=""),"",IF(EXACT(UPPER($J368),UPPER($Y368)),1,0))</f>
        <v/>
      </c>
      <c r="BL368" s="152" t="inlineStr">
        <is>
          <t>assumed - no rater record</t>
        </is>
      </c>
      <c r="BM368" s="152" t="n">
        <v>2</v>
      </c>
      <c r="BN368" s="152" t="inlineStr">
        <is>
          <t>Insider Monkey (Koala Guide LLC)</t>
        </is>
      </c>
      <c r="BO368" s="152" t="inlineStr">
        <is>
          <t>free to read, copyright asserted</t>
        </is>
      </c>
      <c r="BP368" s="152" t="inlineStr">
        <is>
          <t>no</t>
        </is>
      </c>
      <c r="BQ368" s="152" t="inlineStr">
        <is>
          <t>yes</t>
        </is>
      </c>
      <c r="BR368" s="152" t="n"/>
      <c r="BS368" s="152" t="inlineStr">
        <is>
          <t>YES</t>
        </is>
      </c>
      <c r="BT368" s="152" t="n"/>
    </row>
    <row r="369" ht="15" customHeight="1" s="241">
      <c r="A369" s="193" t="inlineStr">
        <is>
          <t>Duke Energy</t>
        </is>
      </c>
      <c r="B369" s="194">
        <f>IF(A369="","",_xlfn.XLOOKUP(A369, Company_List!$A:$A, Company_List!$B:$B, ""))</f>
        <v/>
      </c>
      <c r="C369" s="177" t="n">
        <v>2024</v>
      </c>
      <c r="D369" s="177" t="inlineStr">
        <is>
          <t>Q4</t>
        </is>
      </c>
      <c r="E369" s="178" t="inlineStr">
        <is>
          <t>All</t>
        </is>
      </c>
      <c r="F369" s="178" t="inlineStr">
        <is>
          <t>All</t>
        </is>
      </c>
      <c r="G369" s="177" t="inlineStr">
        <is>
          <t>Dragos</t>
        </is>
      </c>
      <c r="H369" s="177" t="inlineStr">
        <is>
          <t>Human</t>
        </is>
      </c>
      <c r="I369" s="180" t="n">
        <v>0.2</v>
      </c>
      <c r="J369" s="180">
        <f>IF(OR(I369="",Settings!$B$6=""),"",IF(I369&gt;Settings!$B$6,"BUY",IF(I369&lt;-Settings!$B$6,"SELL","HOLD")))</f>
        <v/>
      </c>
      <c r="K369" s="180" t="n">
        <v>24</v>
      </c>
      <c r="L369" s="182" t="n">
        <v>45701</v>
      </c>
      <c r="M369" s="182" t="n">
        <v>45700</v>
      </c>
      <c r="N369" s="179" t="n">
        <v>110.4055</v>
      </c>
      <c r="O369" s="182" t="n">
        <v>45701</v>
      </c>
      <c r="P369" s="180" t="n">
        <v>109.3904</v>
      </c>
      <c r="Q369" s="184">
        <f>IF(OR(N369="",P369=""),"",ROUND((P369-N369)/N369,4))</f>
        <v/>
      </c>
      <c r="R369" s="177">
        <f>IF(OR(N369="",P369=""),"",IF(Q369&gt;Settings!$B$3/100,"UP",IF(Q369&lt;-Settings!$B$3/100,"DOWN","FLAT")))</f>
        <v/>
      </c>
      <c r="S369" s="177">
        <f>IF(OR(N369="",P369="",J369=""),"",IF(OR(AND(J369="BUY",R369="UP"),AND(J369="SELL",R369="DOWN"),AND(J369="HOLD",R369="FLAT")),"YES","NO"))</f>
        <v/>
      </c>
      <c r="T369" s="176">
        <f>IF(J369="","",IF(J369="BUY",1,IF(J369="SELL",-1,0)))</f>
        <v/>
      </c>
      <c r="U369" s="184">
        <f>IFERROR(IF(OR(J369="",N369="",P369=""),"",IF(T369=0,0,T369*Q369-Settings!$B$4/10000-IF(T369&lt;0,Settings!$B$5/10000,0))),"")</f>
        <v/>
      </c>
      <c r="V369" s="152" t="inlineStr">
        <is>
          <t>Full document set mildly positive - 2025 adjusted EPS guidance of $6.17 to $6.42 and extending its long-term; It moves up from the 1.5% to 2% we're seeing in 2025 and 2026 to; for our customers and growing EPS 5% to 7% through 2029.". Against that: • $33 million recorded within Impairment of assets. 4 forward claims flagged hypothetical and discounted, but the concrete numbers carry it.</t>
        </is>
      </c>
      <c r="W369" s="176">
        <f>IF($K369="","",$K369*60)</f>
        <v/>
      </c>
      <c r="X369" s="186">
        <f>IF($A369="","",$A369&amp;"|"&amp;$C369&amp;"|"&amp;$D369)</f>
        <v/>
      </c>
      <c r="Y369" s="186">
        <f>IFERROR(IF($X369="","",INDEX(LLM_Data_Entry!$H$3:$H$548,MATCH($X369,INDEX(LLM_Data_Entry!$A$3:$A$548&amp;"|"&amp;LLM_Data_Entry!$C$3:$C$548&amp;"|"&amp;LLM_Data_Entry!$D$3:$D$548,0),0))),"")</f>
        <v/>
      </c>
      <c r="Z369" s="186">
        <f>IFERROR(IF($X369="","",INDEX(LLM_Data_Entry!$R$3:$R$548,MATCH($X369,INDEX(LLM_Data_Entry!$A$3:$A$548&amp;"|"&amp;LLM_Data_Entry!$C$3:$C$548&amp;"|"&amp;LLM_Data_Entry!$D$3:$D$548,0),0))),"")</f>
        <v/>
      </c>
      <c r="AA369" s="152" t="n"/>
      <c r="AB369" s="152" t="inlineStr">
        <is>
          <t>document date + price signal</t>
        </is>
      </c>
      <c r="AC369" s="152" t="inlineStr">
        <is>
          <t>DUK</t>
        </is>
      </c>
      <c r="AD369" s="152" t="inlineStr">
        <is>
          <t>2025-02-12</t>
        </is>
      </c>
      <c r="AE369" s="152" t="n">
        <v>110.4055</v>
      </c>
      <c r="AF369" s="152" t="inlineStr">
        <is>
          <t>2025-02-13</t>
        </is>
      </c>
      <c r="AG369" s="152" t="n">
        <v>109.3904</v>
      </c>
      <c r="AH369" s="152" t="n">
        <v>-0.009194851087188498</v>
      </c>
      <c r="AI369" s="152" t="inlineStr">
        <is>
          <t>FLAT</t>
        </is>
      </c>
      <c r="AJ369" s="152" t="inlineStr">
        <is>
          <t>YES</t>
        </is>
      </c>
      <c r="AK369" s="152" t="n">
        <v>0</v>
      </c>
      <c r="AL369" s="152">
        <f>IF($A369="","",IFERROR(INDEX(Company_List!$G$3:$G$207,MATCH($A369,Company_List!$A$3:$A$207,0)),"unassigned"))</f>
        <v/>
      </c>
      <c r="AM369" s="152" t="inlineStr">
        <is>
          <t>Phase 2/Duke Energy/Q4 2024/DUK-Q4-2024-press-release-SEC-EX99-1.htm; Phase 2/Duke Energy/Q4 2024/DUK-Q4-2024-earnings-call-transcript-InsiderMonkey.html</t>
        </is>
      </c>
      <c r="AN369" s="152" t="inlineStr">
        <is>
          <t>https://www.insidermonkey.com/blog/duke-energy-corporation-nyseduk-q4-2024-earnings-call-transcript-1452880/; https://www.sec.gov/Archives/edgar/data/1326160/000132616025000040/er-20241231xearningsreleas.htm</t>
        </is>
      </c>
      <c r="AO369" s="152" t="inlineStr">
        <is>
          <t>manifest (whole bundle)</t>
        </is>
      </c>
      <c r="AP369" s="152">
        <f>IF($A369="","",IF(COUNTIFS(LLM_Data_Entry!$A$3:$A$548,$A369)&gt;0,"YES","NO"))</f>
        <v/>
      </c>
      <c r="AQ369" s="152">
        <f>IF($A369="","",IF(COUNTIFS($A$3:$A369,$A369,$C$3:$C369,$C369,$D$3:$D369,$D369)=1,"YES","NO"))</f>
        <v/>
      </c>
      <c r="AR369" s="152">
        <f>IF($A369="","",IF(AND($C369&amp;"-"&amp;$D369&gt;=Settings!$B$19,$C369&amp;"-"&amp;$D369&lt;=Settings!$B$20),"IN","OUT"))</f>
        <v/>
      </c>
      <c r="AS369" s="152">
        <f>IF($A369="","",IF($F369="Financial Results","financials",IF($F369="Outlook/Guidance","guidance",IF($F369="Transcript Q&amp;A","qanda",IF($F369="","unrecorded",IF($E369="All","full",IF($E369="","unrecorded",LOWER($E369)&amp;" only")))))))</f>
        <v/>
      </c>
      <c r="AT369" s="152">
        <f>IF(AND(OR($J369="BUY",$J369="SELL"),ISNUMBER($U369)),$U369,"")</f>
        <v/>
      </c>
      <c r="AU369" s="152">
        <f>IF(AND(OR($J369="BUY",$J369="SELL"),ISNUMBER($AK369)),$AK369,"")</f>
        <v/>
      </c>
      <c r="AV369" s="152">
        <f>IF(ISNUMBER($AT369),ABS(IF(ISNUMBER($I369),$I369,0)-Settings!$B$24),"")</f>
        <v/>
      </c>
      <c r="AW369" s="152">
        <f>IF(ISNUMBER($AV369),$AV369*$AT369,"")</f>
        <v/>
      </c>
      <c r="AX369" s="152">
        <f>IF(ISNUMBER($AU369),ABS(IF(ISNUMBER($I369),$I369,0)-Settings!$B$24),"")</f>
        <v/>
      </c>
      <c r="AY369" s="152" t="inlineStr">
        <is>
          <t>EXTENSION</t>
        </is>
      </c>
      <c r="AZ369" s="152">
        <f>IF($A369="","",IFERROR(INDEX(Company_List!$H$3:$H$207,MATCH($A369,Company_List!$A$3:$A$207,0)),"unassigned"))</f>
        <v/>
      </c>
      <c r="BA369" s="152" t="n"/>
      <c r="BB369" s="152" t="n"/>
      <c r="BC369" s="152">
        <f>IF($A369="","",IF(COUNTIFS($A$3:$A369,$A369,$C$3:$C369,$C369,$D$3:$D369,$D369,$G$3:$G369,$G369)=1,1,0))</f>
        <v/>
      </c>
      <c r="BD369" s="152" t="n"/>
      <c r="BE369" s="152" t="n"/>
      <c r="BF369" s="152" t="n"/>
      <c r="BG369" s="152" t="inlineStr">
        <is>
          <t>no</t>
        </is>
      </c>
      <c r="BH369" s="152" t="n"/>
      <c r="BI369" s="152" t="n"/>
      <c r="BJ369" s="152" t="n"/>
      <c r="BK369" s="152">
        <f>IF(OR($H369&lt;&gt;"Human",$S369="",$J369="",$Y369="",$Z369=""),"",IF(EXACT(UPPER($J369),UPPER($Y369)),1,0))</f>
        <v/>
      </c>
      <c r="BL369" s="152" t="inlineStr">
        <is>
          <t>assumed - no rater record</t>
        </is>
      </c>
      <c r="BM369" s="152" t="n">
        <v>2</v>
      </c>
      <c r="BN369" s="152" t="inlineStr">
        <is>
          <t>Insider Monkey (Koala Guide LLC)</t>
        </is>
      </c>
      <c r="BO369" s="152" t="inlineStr">
        <is>
          <t>free to read, copyright asserted</t>
        </is>
      </c>
      <c r="BP369" s="152" t="inlineStr">
        <is>
          <t>no</t>
        </is>
      </c>
      <c r="BQ369" s="152" t="inlineStr">
        <is>
          <t>yes</t>
        </is>
      </c>
      <c r="BR369" s="152" t="n"/>
      <c r="BS369" s="152" t="inlineStr">
        <is>
          <t>YES</t>
        </is>
      </c>
      <c r="BT369" s="152" t="n"/>
    </row>
    <row r="370" ht="15" customHeight="1" s="241">
      <c r="A370" s="193" t="inlineStr">
        <is>
          <t>Duke Energy</t>
        </is>
      </c>
      <c r="B370" s="194">
        <f>IF(A370="","",_xlfn.XLOOKUP(A370, Company_List!$A:$A, Company_List!$B:$B, ""))</f>
        <v/>
      </c>
      <c r="C370" s="177" t="n">
        <v>2025</v>
      </c>
      <c r="D370" s="177" t="inlineStr">
        <is>
          <t>Q1</t>
        </is>
      </c>
      <c r="E370" s="178" t="inlineStr">
        <is>
          <t>All</t>
        </is>
      </c>
      <c r="F370" s="178" t="inlineStr">
        <is>
          <t>All</t>
        </is>
      </c>
      <c r="G370" s="177" t="inlineStr">
        <is>
          <t>Dragos</t>
        </is>
      </c>
      <c r="H370" s="177" t="inlineStr">
        <is>
          <t>Human</t>
        </is>
      </c>
      <c r="I370" s="180" t="n">
        <v>0.7</v>
      </c>
      <c r="J370" s="180">
        <f>IF(OR(I370="",Settings!$B$6=""),"",IF(I370&gt;Settings!$B$6,"BUY",IF(I370&lt;-Settings!$B$6,"SELL","HOLD")))</f>
        <v/>
      </c>
      <c r="K370" s="180" t="n">
        <v>20</v>
      </c>
      <c r="L370" s="182" t="n">
        <v>45783</v>
      </c>
      <c r="M370" s="182" t="n">
        <v>45782</v>
      </c>
      <c r="N370" s="179" t="n">
        <v>115.6214</v>
      </c>
      <c r="O370" s="182" t="n">
        <v>45783</v>
      </c>
      <c r="P370" s="180" t="n">
        <v>116.8279</v>
      </c>
      <c r="Q370" s="184">
        <f>IF(OR(N370="",P370=""),"",ROUND((P370-N370)/N370,4))</f>
        <v/>
      </c>
      <c r="R370" s="177">
        <f>IF(OR(N370="",P370=""),"",IF(Q370&gt;Settings!$B$3/100,"UP",IF(Q370&lt;-Settings!$B$3/100,"DOWN","FLAT")))</f>
        <v/>
      </c>
      <c r="S370" s="177">
        <f>IF(OR(N370="",P370="",J370=""),"",IF(OR(AND(J370="BUY",R370="UP"),AND(J370="SELL",R370="DOWN"),AND(J370="HOLD",R370="FLAT")),"YES","NO"))</f>
        <v/>
      </c>
      <c r="T370" s="176">
        <f>IF(J370="","",IF(J370="BUY",1,IF(J370="SELL",-1,0)))</f>
        <v/>
      </c>
      <c r="U370" s="184">
        <f>IFERROR(IF(OR(J370="",N370="",P370=""),"",IF(T370=0,0,T370*Q370-Settings!$B$4/10000-IF(T370&lt;0,Settings!$B$5/10000,0))),"")</f>
        <v/>
      </c>
      <c r="V370" s="152" t="inlineStr">
        <is>
          <t>Full document set strong across the board - 2025 adjusted EPS guidance range of $6.17 to $6.42 and long-term adjusted EPS; reaffirming our 2025 guidance range of $6.17 to $6.42 and our long-term EPS growth; rates, effective August 2024 (+$0.07), DEF multiyear rate plan revenue. Against that: a first-quarter 2025 segment loss of $260 million, compared to segment loss of $203. 2 forward claims flagged hypothetical and discounted, but the concrete numbers carry it.</t>
        </is>
      </c>
      <c r="W370" s="176">
        <f>IF($K370="","",$K370*60)</f>
        <v/>
      </c>
      <c r="X370" s="186">
        <f>IF($A370="","",$A370&amp;"|"&amp;$C370&amp;"|"&amp;$D370)</f>
        <v/>
      </c>
      <c r="Y370" s="186">
        <f>IFERROR(IF($X370="","",INDEX(LLM_Data_Entry!$H$3:$H$548,MATCH($X370,INDEX(LLM_Data_Entry!$A$3:$A$548&amp;"|"&amp;LLM_Data_Entry!$C$3:$C$548&amp;"|"&amp;LLM_Data_Entry!$D$3:$D$548,0),0))),"")</f>
        <v/>
      </c>
      <c r="Z370" s="186">
        <f>IFERROR(IF($X370="","",INDEX(LLM_Data_Entry!$R$3:$R$548,MATCH($X370,INDEX(LLM_Data_Entry!$A$3:$A$548&amp;"|"&amp;LLM_Data_Entry!$C$3:$C$548&amp;"|"&amp;LLM_Data_Entry!$D$3:$D$548,0),0))),"")</f>
        <v/>
      </c>
      <c r="AA370" s="152" t="n"/>
      <c r="AB370" s="152" t="inlineStr">
        <is>
          <t>document date + price signal</t>
        </is>
      </c>
      <c r="AC370" s="152" t="inlineStr">
        <is>
          <t>DUK</t>
        </is>
      </c>
      <c r="AD370" s="152" t="inlineStr">
        <is>
          <t>2025-05-05</t>
        </is>
      </c>
      <c r="AE370" s="152" t="n">
        <v>115.6214</v>
      </c>
      <c r="AF370" s="152" t="inlineStr">
        <is>
          <t>2025-05-06</t>
        </is>
      </c>
      <c r="AG370" s="152" t="n">
        <v>116.8279</v>
      </c>
      <c r="AH370" s="152" t="n">
        <v>0.01043486155499069</v>
      </c>
      <c r="AI370" s="152" t="inlineStr">
        <is>
          <t>FLAT</t>
        </is>
      </c>
      <c r="AJ370" s="152" t="inlineStr">
        <is>
          <t>NO</t>
        </is>
      </c>
      <c r="AK370" s="152" t="n">
        <v>0.009435000000000001</v>
      </c>
      <c r="AL370" s="152">
        <f>IF($A370="","",IFERROR(INDEX(Company_List!$G$3:$G$207,MATCH($A370,Company_List!$A$3:$A$207,0)),"unassigned"))</f>
        <v/>
      </c>
      <c r="AM370" s="152" t="inlineStr">
        <is>
          <t>Phase 2/Duke Energy/Q1 2025/DUK-Q1-2025-press-release-SEC-EX99-1.htm; Phase 2/Duke Energy/Q1 2025/DUK-Q1-2025-earnings-call-transcript-InsiderMonkey.html</t>
        </is>
      </c>
      <c r="AN370" s="152" t="inlineStr">
        <is>
          <t>https://www.insidermonkey.com/blog/duke-energy-corporation-nyseduk-q1-2025-earnings-call-transcript-1526857/; https://www.sec.gov/Archives/edgar/data/1326160/000132616025000148/er-20250331xearningsreleas.htm</t>
        </is>
      </c>
      <c r="AO370" s="152" t="inlineStr">
        <is>
          <t>manifest (whole bundle)</t>
        </is>
      </c>
      <c r="AP370" s="152">
        <f>IF($A370="","",IF(COUNTIFS(LLM_Data_Entry!$A$3:$A$548,$A370)&gt;0,"YES","NO"))</f>
        <v/>
      </c>
      <c r="AQ370" s="152">
        <f>IF($A370="","",IF(COUNTIFS($A$3:$A370,$A370,$C$3:$C370,$C370,$D$3:$D370,$D370)=1,"YES","NO"))</f>
        <v/>
      </c>
      <c r="AR370" s="152">
        <f>IF($A370="","",IF(AND($C370&amp;"-"&amp;$D370&gt;=Settings!$B$19,$C370&amp;"-"&amp;$D370&lt;=Settings!$B$20),"IN","OUT"))</f>
        <v/>
      </c>
      <c r="AS370" s="152">
        <f>IF($A370="","",IF($F370="Financial Results","financials",IF($F370="Outlook/Guidance","guidance",IF($F370="Transcript Q&amp;A","qanda",IF($F370="","unrecorded",IF($E370="All","full",IF($E370="","unrecorded",LOWER($E370)&amp;" only")))))))</f>
        <v/>
      </c>
      <c r="AT370" s="152">
        <f>IF(AND(OR($J370="BUY",$J370="SELL"),ISNUMBER($U370)),$U370,"")</f>
        <v/>
      </c>
      <c r="AU370" s="152">
        <f>IF(AND(OR($J370="BUY",$J370="SELL"),ISNUMBER($AK370)),$AK370,"")</f>
        <v/>
      </c>
      <c r="AV370" s="152">
        <f>IF(ISNUMBER($AT370),ABS(IF(ISNUMBER($I370),$I370,0)-Settings!$B$24),"")</f>
        <v/>
      </c>
      <c r="AW370" s="152">
        <f>IF(ISNUMBER($AV370),$AV370*$AT370,"")</f>
        <v/>
      </c>
      <c r="AX370" s="152">
        <f>IF(ISNUMBER($AU370),ABS(IF(ISNUMBER($I370),$I370,0)-Settings!$B$24),"")</f>
        <v/>
      </c>
      <c r="AY370" s="152" t="inlineStr">
        <is>
          <t>EXTENSION</t>
        </is>
      </c>
      <c r="AZ370" s="152">
        <f>IF($A370="","",IFERROR(INDEX(Company_List!$H$3:$H$207,MATCH($A370,Company_List!$A$3:$A$207,0)),"unassigned"))</f>
        <v/>
      </c>
      <c r="BA370" s="152" t="n"/>
      <c r="BB370" s="152" t="n"/>
      <c r="BC370" s="152">
        <f>IF($A370="","",IF(COUNTIFS($A$3:$A370,$A370,$C$3:$C370,$C370,$D$3:$D370,$D370,$G$3:$G370,$G370)=1,1,0))</f>
        <v/>
      </c>
      <c r="BD370" s="152" t="n"/>
      <c r="BE370" s="152" t="n"/>
      <c r="BF370" s="152" t="n"/>
      <c r="BG370" s="152" t="inlineStr">
        <is>
          <t>no</t>
        </is>
      </c>
      <c r="BH370" s="152" t="n"/>
      <c r="BI370" s="152" t="n"/>
      <c r="BJ370" s="152" t="n"/>
      <c r="BK370" s="152">
        <f>IF(OR($H370&lt;&gt;"Human",$S370="",$J370="",$Y370="",$Z370=""),"",IF(EXACT(UPPER($J370),UPPER($Y370)),1,0))</f>
        <v/>
      </c>
      <c r="BL370" s="152" t="inlineStr">
        <is>
          <t>assumed - no rater record</t>
        </is>
      </c>
      <c r="BM370" s="152" t="n">
        <v>2</v>
      </c>
      <c r="BN370" s="152" t="inlineStr">
        <is>
          <t>Insider Monkey (Koala Guide LLC)</t>
        </is>
      </c>
      <c r="BO370" s="152" t="inlineStr">
        <is>
          <t>free to read, copyright asserted</t>
        </is>
      </c>
      <c r="BP370" s="152" t="inlineStr">
        <is>
          <t>no</t>
        </is>
      </c>
      <c r="BQ370" s="152" t="inlineStr">
        <is>
          <t>yes</t>
        </is>
      </c>
      <c r="BR370" s="152" t="n"/>
      <c r="BS370" s="152" t="inlineStr">
        <is>
          <t>YES</t>
        </is>
      </c>
      <c r="BT370" s="152" t="n"/>
    </row>
    <row r="371" ht="15" customHeight="1" s="241">
      <c r="A371" s="193" t="inlineStr">
        <is>
          <t>Duke Energy</t>
        </is>
      </c>
      <c r="B371" s="194">
        <f>IF(A371="","",_xlfn.XLOOKUP(A371, Company_List!$A:$A, Company_List!$B:$B, ""))</f>
        <v/>
      </c>
      <c r="C371" s="177" t="n">
        <v>2025</v>
      </c>
      <c r="D371" s="177" t="inlineStr">
        <is>
          <t>Q2</t>
        </is>
      </c>
      <c r="E371" s="178" t="inlineStr">
        <is>
          <t>All</t>
        </is>
      </c>
      <c r="F371" s="178" t="inlineStr">
        <is>
          <t>All</t>
        </is>
      </c>
      <c r="G371" s="177" t="inlineStr">
        <is>
          <t>Dragos</t>
        </is>
      </c>
      <c r="H371" s="177" t="inlineStr">
        <is>
          <t>Human</t>
        </is>
      </c>
      <c r="I371" s="180" t="n">
        <v>0.5</v>
      </c>
      <c r="J371" s="180">
        <f>IF(OR(I371="",Settings!$B$6=""),"",IF(I371&gt;Settings!$B$6,"BUY",IF(I371&lt;-Settings!$B$6,"SELL","HOLD")))</f>
        <v/>
      </c>
      <c r="K371" s="180" t="n">
        <v>26</v>
      </c>
      <c r="L371" s="182" t="n">
        <v>45874</v>
      </c>
      <c r="M371" s="182" t="n">
        <v>45873</v>
      </c>
      <c r="N371" s="179" t="n">
        <v>119.9775</v>
      </c>
      <c r="O371" s="182" t="n">
        <v>45874</v>
      </c>
      <c r="P371" s="180" t="n">
        <v>122.683</v>
      </c>
      <c r="Q371" s="184">
        <f>IF(OR(N371="",P371=""),"",ROUND((P371-N371)/N371,4))</f>
        <v/>
      </c>
      <c r="R371" s="177">
        <f>IF(OR(N371="",P371=""),"",IF(Q371&gt;Settings!$B$3/100,"UP",IF(Q371&lt;-Settings!$B$3/100,"DOWN","FLAT")))</f>
        <v/>
      </c>
      <c r="S371" s="177">
        <f>IF(OR(N371="",P371="",J371=""),"",IF(OR(AND(J371="BUY",R371="UP"),AND(J371="SELL",R371="DOWN"),AND(J371="HOLD",R371="FLAT")),"YES","NO"))</f>
        <v/>
      </c>
      <c r="T371" s="176">
        <f>IF(J371="","",IF(J371="BUY",1,IF(J371="SELL",-1,0)))</f>
        <v/>
      </c>
      <c r="U371" s="184">
        <f>IFERROR(IF(OR(J371="",N371="",P371=""),"",IF(T371=0,0,T371*Q371-Settings!$B$4/10000-IF(T371&lt;0,Settings!$B$5/10000,0))),"")</f>
        <v/>
      </c>
      <c r="V371" s="152" t="inlineStr">
        <is>
          <t>Full document set strong across the board - 2025 adjusted EPS guidance range of $6.17 to $6.42 and long-term adjusted EPS; reaffirming our 2025 guidance range of $6.17 to $6.42 and our long-term EPS growth; our 2025 earnings guidance range of $6.17 to $6.42 and 5% to 7% earnings growth. Against that: • $33 million recorded within Impairment of assets. 4 forward claims flagged hypothetical (Florida) and discounted, but the concrete numbers carry it.</t>
        </is>
      </c>
      <c r="W371" s="176">
        <f>IF($K371="","",$K371*60)</f>
        <v/>
      </c>
      <c r="X371" s="186">
        <f>IF($A371="","",$A371&amp;"|"&amp;$C371&amp;"|"&amp;$D371)</f>
        <v/>
      </c>
      <c r="Y371" s="186">
        <f>IFERROR(IF($X371="","",INDEX(LLM_Data_Entry!$H$3:$H$548,MATCH($X371,INDEX(LLM_Data_Entry!$A$3:$A$548&amp;"|"&amp;LLM_Data_Entry!$C$3:$C$548&amp;"|"&amp;LLM_Data_Entry!$D$3:$D$548,0),0))),"")</f>
        <v/>
      </c>
      <c r="Z371" s="186">
        <f>IFERROR(IF($X371="","",INDEX(LLM_Data_Entry!$R$3:$R$548,MATCH($X371,INDEX(LLM_Data_Entry!$A$3:$A$548&amp;"|"&amp;LLM_Data_Entry!$C$3:$C$548&amp;"|"&amp;LLM_Data_Entry!$D$3:$D$548,0),0))),"")</f>
        <v/>
      </c>
      <c r="AA371" s="152" t="n"/>
      <c r="AB371" s="152" t="inlineStr">
        <is>
          <t>document date + price signal</t>
        </is>
      </c>
      <c r="AC371" s="152" t="inlineStr">
        <is>
          <t>DUK</t>
        </is>
      </c>
      <c r="AD371" s="152" t="inlineStr">
        <is>
          <t>2025-08-04</t>
        </is>
      </c>
      <c r="AE371" s="152" t="n">
        <v>119.9775</v>
      </c>
      <c r="AF371" s="152" t="inlineStr">
        <is>
          <t>2025-08-05</t>
        </is>
      </c>
      <c r="AG371" s="152" t="n">
        <v>122.683</v>
      </c>
      <c r="AH371" s="152" t="n">
        <v>0.0225497987577692</v>
      </c>
      <c r="AI371" s="152" t="inlineStr">
        <is>
          <t>UP</t>
        </is>
      </c>
      <c r="AJ371" s="152" t="inlineStr">
        <is>
          <t>YES</t>
        </is>
      </c>
      <c r="AK371" s="152" t="n">
        <v>0.02155</v>
      </c>
      <c r="AL371" s="152">
        <f>IF($A371="","",IFERROR(INDEX(Company_List!$G$3:$G$207,MATCH($A371,Company_List!$A$3:$A$207,0)),"unassigned"))</f>
        <v/>
      </c>
      <c r="AM371" s="152" t="inlineStr">
        <is>
          <t>Phase 2/Duke Energy/Q2 2025/DUK-Q2-2025-press-release-SEC-EX99-1.htm; Phase 2/Duke Energy/Q2 2025/DUK-Q2-2025-earnings-call-transcript-InsiderMonkey.html</t>
        </is>
      </c>
      <c r="AN371" s="152" t="inlineStr">
        <is>
          <t>https://www.insidermonkey.com/blog/duke-energy-corporation-nyseduk-q2-2025-earnings-call-transcript-1584673/; https://www.sec.gov/Archives/edgar/data/1326160/000132616025000165/er-20250630xearningsreleas.htm</t>
        </is>
      </c>
      <c r="AO371" s="152" t="inlineStr">
        <is>
          <t>manifest (whole bundle)</t>
        </is>
      </c>
      <c r="AP371" s="152">
        <f>IF($A371="","",IF(COUNTIFS(LLM_Data_Entry!$A$3:$A$548,$A371)&gt;0,"YES","NO"))</f>
        <v/>
      </c>
      <c r="AQ371" s="152">
        <f>IF($A371="","",IF(COUNTIFS($A$3:$A371,$A371,$C$3:$C371,$C371,$D$3:$D371,$D371)=1,"YES","NO"))</f>
        <v/>
      </c>
      <c r="AR371" s="152">
        <f>IF($A371="","",IF(AND($C371&amp;"-"&amp;$D371&gt;=Settings!$B$19,$C371&amp;"-"&amp;$D371&lt;=Settings!$B$20),"IN","OUT"))</f>
        <v/>
      </c>
      <c r="AS371" s="152">
        <f>IF($A371="","",IF($F371="Financial Results","financials",IF($F371="Outlook/Guidance","guidance",IF($F371="Transcript Q&amp;A","qanda",IF($F371="","unrecorded",IF($E371="All","full",IF($E371="","unrecorded",LOWER($E371)&amp;" only")))))))</f>
        <v/>
      </c>
      <c r="AT371" s="152">
        <f>IF(AND(OR($J371="BUY",$J371="SELL"),ISNUMBER($U371)),$U371,"")</f>
        <v/>
      </c>
      <c r="AU371" s="152">
        <f>IF(AND(OR($J371="BUY",$J371="SELL"),ISNUMBER($AK371)),$AK371,"")</f>
        <v/>
      </c>
      <c r="AV371" s="152">
        <f>IF(ISNUMBER($AT371),ABS(IF(ISNUMBER($I371),$I371,0)-Settings!$B$24),"")</f>
        <v/>
      </c>
      <c r="AW371" s="152">
        <f>IF(ISNUMBER($AV371),$AV371*$AT371,"")</f>
        <v/>
      </c>
      <c r="AX371" s="152">
        <f>IF(ISNUMBER($AU371),ABS(IF(ISNUMBER($I371),$I371,0)-Settings!$B$24),"")</f>
        <v/>
      </c>
      <c r="AY371" s="152" t="inlineStr">
        <is>
          <t>EXTENSION</t>
        </is>
      </c>
      <c r="AZ371" s="152">
        <f>IF($A371="","",IFERROR(INDEX(Company_List!$H$3:$H$207,MATCH($A371,Company_List!$A$3:$A$207,0)),"unassigned"))</f>
        <v/>
      </c>
      <c r="BA371" s="152" t="n"/>
      <c r="BB371" s="152" t="n"/>
      <c r="BC371" s="152">
        <f>IF($A371="","",IF(COUNTIFS($A$3:$A371,$A371,$C$3:$C371,$C371,$D$3:$D371,$D371,$G$3:$G371,$G371)=1,1,0))</f>
        <v/>
      </c>
      <c r="BD371" s="152" t="n"/>
      <c r="BE371" s="152" t="n"/>
      <c r="BF371" s="152" t="n"/>
      <c r="BG371" s="152" t="inlineStr">
        <is>
          <t>no</t>
        </is>
      </c>
      <c r="BH371" s="152" t="n"/>
      <c r="BI371" s="152" t="n"/>
      <c r="BJ371" s="152" t="n"/>
      <c r="BK371" s="152">
        <f>IF(OR($H371&lt;&gt;"Human",$S371="",$J371="",$Y371="",$Z371=""),"",IF(EXACT(UPPER($J371),UPPER($Y371)),1,0))</f>
        <v/>
      </c>
      <c r="BL371" s="152" t="inlineStr">
        <is>
          <t>assumed - no rater record</t>
        </is>
      </c>
      <c r="BM371" s="152" t="n">
        <v>2</v>
      </c>
      <c r="BN371" s="152" t="inlineStr">
        <is>
          <t>Insider Monkey (Koala Guide LLC)</t>
        </is>
      </c>
      <c r="BO371" s="152" t="inlineStr">
        <is>
          <t>free to read, copyright asserted</t>
        </is>
      </c>
      <c r="BP371" s="152" t="inlineStr">
        <is>
          <t>no</t>
        </is>
      </c>
      <c r="BQ371" s="152" t="inlineStr">
        <is>
          <t>yes</t>
        </is>
      </c>
      <c r="BR371" s="152" t="n"/>
      <c r="BS371" s="152" t="inlineStr">
        <is>
          <t>YES</t>
        </is>
      </c>
      <c r="BT371" s="152" t="n"/>
    </row>
    <row r="372" ht="15" customHeight="1" s="241">
      <c r="A372" s="193" t="inlineStr">
        <is>
          <t>Duke Energy</t>
        </is>
      </c>
      <c r="B372" s="194">
        <f>IF(A372="","",_xlfn.XLOOKUP(A372, Company_List!$A:$A, Company_List!$B:$B, ""))</f>
        <v/>
      </c>
      <c r="C372" s="177" t="n">
        <v>2025</v>
      </c>
      <c r="D372" s="177" t="inlineStr">
        <is>
          <t>Q3</t>
        </is>
      </c>
      <c r="E372" s="178" t="inlineStr">
        <is>
          <t>All</t>
        </is>
      </c>
      <c r="F372" s="178" t="inlineStr">
        <is>
          <t>All</t>
        </is>
      </c>
      <c r="G372" s="177" t="inlineStr">
        <is>
          <t>Dragos</t>
        </is>
      </c>
      <c r="H372" s="177" t="inlineStr">
        <is>
          <t>Human</t>
        </is>
      </c>
      <c r="I372" s="180" t="n">
        <v>0.5</v>
      </c>
      <c r="J372" s="180">
        <f>IF(OR(I372="",Settings!$B$6=""),"",IF(I372&gt;Settings!$B$6,"BUY",IF(I372&lt;-Settings!$B$6,"SELL","HOLD")))</f>
        <v/>
      </c>
      <c r="K372" s="180" t="n">
        <v>18</v>
      </c>
      <c r="L372" s="182" t="n">
        <v>45968</v>
      </c>
      <c r="M372" s="182" t="n">
        <v>45968</v>
      </c>
      <c r="N372" s="179" t="n">
        <v>120.5177</v>
      </c>
      <c r="O372" s="182" t="n">
        <v>45971</v>
      </c>
      <c r="P372" s="180" t="n">
        <v>119.9232</v>
      </c>
      <c r="Q372" s="184">
        <f>IF(OR(N372="",P372=""),"",ROUND((P372-N372)/N372,4))</f>
        <v/>
      </c>
      <c r="R372" s="177">
        <f>IF(OR(N372="",P372=""),"",IF(Q372&gt;Settings!$B$3/100,"UP",IF(Q372&lt;-Settings!$B$3/100,"DOWN","FLAT")))</f>
        <v/>
      </c>
      <c r="S372" s="177">
        <f>IF(OR(N372="",P372="",J372=""),"",IF(OR(AND(J372="BUY",R372="UP"),AND(J372="SELL",R372="DOWN"),AND(J372="HOLD",R372="FLAT")),"YES","NO"))</f>
        <v/>
      </c>
      <c r="T372" s="176">
        <f>IF(J372="","",IF(J372="BUY",1,IF(J372="SELL",-1,0)))</f>
        <v/>
      </c>
      <c r="U372" s="184">
        <f>IFERROR(IF(OR(J372="",N372="",P372=""),"",IF(T372=0,0,T372*Q372-Settings!$B$4/10000-IF(T372&lt;0,Settings!$B$5/10000,0))),"")</f>
        <v/>
      </c>
      <c r="V372" s="152" t="inlineStr">
        <is>
          <t>Full document set strong across the board - 2025 adjusted EPS guidance range to $6.25 to $6.35 and reaffirming its long-term; increases, effective January 2025 (+$0.06), DEC North Carolina Year 2 rates; rates, effective August 2024 (+$0.18), DEF multiyear rate plan revenue. Against that: • $33 million recorded within Impairment of assets. 9 forward claims flagged hypothetical and discounted, but the concrete numbers carry it.</t>
        </is>
      </c>
      <c r="W372" s="176">
        <f>IF($K372="","",$K372*60)</f>
        <v/>
      </c>
      <c r="X372" s="186">
        <f>IF($A372="","",$A372&amp;"|"&amp;$C372&amp;"|"&amp;$D372)</f>
        <v/>
      </c>
      <c r="Y372" s="186">
        <f>IFERROR(IF($X372="","",INDEX(LLM_Data_Entry!$H$3:$H$548,MATCH($X372,INDEX(LLM_Data_Entry!$A$3:$A$548&amp;"|"&amp;LLM_Data_Entry!$C$3:$C$548&amp;"|"&amp;LLM_Data_Entry!$D$3:$D$548,0),0))),"")</f>
        <v/>
      </c>
      <c r="Z372" s="186">
        <f>IFERROR(IF($X372="","",INDEX(LLM_Data_Entry!$R$3:$R$548,MATCH($X372,INDEX(LLM_Data_Entry!$A$3:$A$548&amp;"|"&amp;LLM_Data_Entry!$C$3:$C$548&amp;"|"&amp;LLM_Data_Entry!$D$3:$D$548,0),0))),"")</f>
        <v/>
      </c>
      <c r="AA372" s="152" t="n"/>
      <c r="AB372" s="152" t="inlineStr">
        <is>
          <t>price signal — only this window shows an abnormal move</t>
        </is>
      </c>
      <c r="AC372" s="152" t="inlineStr">
        <is>
          <t>DUK</t>
        </is>
      </c>
      <c r="AD372" s="152" t="inlineStr">
        <is>
          <t>2025-11-07</t>
        </is>
      </c>
      <c r="AE372" s="152" t="n">
        <v>120.5177</v>
      </c>
      <c r="AF372" s="152" t="inlineStr">
        <is>
          <t>2025-11-10</t>
        </is>
      </c>
      <c r="AG372" s="152" t="n">
        <v>119.9232</v>
      </c>
      <c r="AH372" s="152" t="n">
        <v>-0.004932973420458506</v>
      </c>
      <c r="AI372" s="152" t="inlineStr">
        <is>
          <t>FLAT</t>
        </is>
      </c>
      <c r="AJ372" s="152" t="inlineStr">
        <is>
          <t>NO</t>
        </is>
      </c>
      <c r="AK372" s="152" t="n">
        <v>-0.005933</v>
      </c>
      <c r="AL372" s="152">
        <f>IF($A372="","",IFERROR(INDEX(Company_List!$G$3:$G$207,MATCH($A372,Company_List!$A$3:$A$207,0)),"unassigned"))</f>
        <v/>
      </c>
      <c r="AM372" s="152" t="inlineStr">
        <is>
          <t>Phase 2/Duke Energy/Q3 2025/DUK-Q3-2025-press-release-SEC-EX99-1.htm; Phase 2/Duke Energy/Q3 2025/DUK-Q3-2025-earnings-call-transcript-InsiderMonkey.html</t>
        </is>
      </c>
      <c r="AN372" s="152" t="inlineStr">
        <is>
          <t>https://www.insidermonkey.com/blog/duke-energy-corporation-nyseduk-q3-2025-earnings-call-transcript-1642437/; https://www.sec.gov/Archives/edgar/data/1326160/000132616025000190/er-20250930xearningsreleas.htm</t>
        </is>
      </c>
      <c r="AO372" s="152" t="inlineStr">
        <is>
          <t>manifest (whole bundle)</t>
        </is>
      </c>
      <c r="AP372" s="152">
        <f>IF($A372="","",IF(COUNTIFS(LLM_Data_Entry!$A$3:$A$548,$A372)&gt;0,"YES","NO"))</f>
        <v/>
      </c>
      <c r="AQ372" s="152">
        <f>IF($A372="","",IF(COUNTIFS($A$3:$A372,$A372,$C$3:$C372,$C372,$D$3:$D372,$D372)=1,"YES","NO"))</f>
        <v/>
      </c>
      <c r="AR372" s="152">
        <f>IF($A372="","",IF(AND($C372&amp;"-"&amp;$D372&gt;=Settings!$B$19,$C372&amp;"-"&amp;$D372&lt;=Settings!$B$20),"IN","OUT"))</f>
        <v/>
      </c>
      <c r="AS372" s="152">
        <f>IF($A372="","",IF($F372="Financial Results","financials",IF($F372="Outlook/Guidance","guidance",IF($F372="Transcript Q&amp;A","qanda",IF($F372="","unrecorded",IF($E372="All","full",IF($E372="","unrecorded",LOWER($E372)&amp;" only")))))))</f>
        <v/>
      </c>
      <c r="AT372" s="152">
        <f>IF(AND(OR($J372="BUY",$J372="SELL"),ISNUMBER($U372)),$U372,"")</f>
        <v/>
      </c>
      <c r="AU372" s="152">
        <f>IF(AND(OR($J372="BUY",$J372="SELL"),ISNUMBER($AK372)),$AK372,"")</f>
        <v/>
      </c>
      <c r="AV372" s="152">
        <f>IF(ISNUMBER($AT372),ABS(IF(ISNUMBER($I372),$I372,0)-Settings!$B$24),"")</f>
        <v/>
      </c>
      <c r="AW372" s="152">
        <f>IF(ISNUMBER($AV372),$AV372*$AT372,"")</f>
        <v/>
      </c>
      <c r="AX372" s="152">
        <f>IF(ISNUMBER($AU372),ABS(IF(ISNUMBER($I372),$I372,0)-Settings!$B$24),"")</f>
        <v/>
      </c>
      <c r="AY372" s="152" t="inlineStr">
        <is>
          <t>EXTENSION</t>
        </is>
      </c>
      <c r="AZ372" s="152">
        <f>IF($A372="","",IFERROR(INDEX(Company_List!$H$3:$H$207,MATCH($A372,Company_List!$A$3:$A$207,0)),"unassigned"))</f>
        <v/>
      </c>
      <c r="BA372" s="152" t="n"/>
      <c r="BB372" s="152" t="n"/>
      <c r="BC372" s="152">
        <f>IF($A372="","",IF(COUNTIFS($A$3:$A372,$A372,$C$3:$C372,$C372,$D$3:$D372,$D372,$G$3:$G372,$G372)=1,1,0))</f>
        <v/>
      </c>
      <c r="BD372" s="152" t="n"/>
      <c r="BE372" s="152" t="n"/>
      <c r="BF372" s="152" t="n"/>
      <c r="BG372" s="152" t="inlineStr">
        <is>
          <t>no</t>
        </is>
      </c>
      <c r="BH372" s="152" t="n"/>
      <c r="BI372" s="152" t="n"/>
      <c r="BJ372" s="152" t="n"/>
      <c r="BK372" s="152">
        <f>IF(OR($H372&lt;&gt;"Human",$S372="",$J372="",$Y372="",$Z372=""),"",IF(EXACT(UPPER($J372),UPPER($Y372)),1,0))</f>
        <v/>
      </c>
      <c r="BL372" s="152" t="inlineStr">
        <is>
          <t>assumed - no rater record</t>
        </is>
      </c>
      <c r="BM372" s="152" t="n">
        <v>2</v>
      </c>
      <c r="BN372" s="152" t="inlineStr">
        <is>
          <t>Insider Monkey (Koala Guide LLC)</t>
        </is>
      </c>
      <c r="BO372" s="152" t="inlineStr">
        <is>
          <t>free to read, copyright asserted</t>
        </is>
      </c>
      <c r="BP372" s="152" t="inlineStr">
        <is>
          <t>no</t>
        </is>
      </c>
      <c r="BQ372" s="152" t="inlineStr">
        <is>
          <t>yes</t>
        </is>
      </c>
      <c r="BR372" s="152" t="n"/>
      <c r="BS372" s="152" t="inlineStr">
        <is>
          <t>YES</t>
        </is>
      </c>
      <c r="BT372" s="152" t="n"/>
    </row>
    <row r="373" ht="15" customHeight="1" s="241">
      <c r="A373" s="193" t="inlineStr">
        <is>
          <t>Duke Energy</t>
        </is>
      </c>
      <c r="B373" s="194">
        <f>IF(A373="","",_xlfn.XLOOKUP(A373, Company_List!$A:$A, Company_List!$B:$B, ""))</f>
        <v/>
      </c>
      <c r="C373" s="177" t="n">
        <v>2025</v>
      </c>
      <c r="D373" s="177" t="inlineStr">
        <is>
          <t>Q4</t>
        </is>
      </c>
      <c r="E373" s="178" t="inlineStr">
        <is>
          <t>All</t>
        </is>
      </c>
      <c r="F373" s="178" t="inlineStr">
        <is>
          <t>All</t>
        </is>
      </c>
      <c r="G373" s="177" t="inlineStr">
        <is>
          <t>Dragos</t>
        </is>
      </c>
      <c r="H373" s="177" t="inlineStr">
        <is>
          <t>Human</t>
        </is>
      </c>
      <c r="I373" s="180" t="n">
        <v>0.3</v>
      </c>
      <c r="J373" s="180">
        <f>IF(OR(I373="",Settings!$B$6=""),"",IF(I373&gt;Settings!$B$6,"BUY",IF(I373&lt;-Settings!$B$6,"SELL","HOLD")))</f>
        <v/>
      </c>
      <c r="K373" s="180" t="n">
        <v>17</v>
      </c>
      <c r="L373" s="182" t="n">
        <v>46063</v>
      </c>
      <c r="M373" s="182" t="n">
        <v>46062</v>
      </c>
      <c r="N373" s="179" t="n">
        <v>119.6581</v>
      </c>
      <c r="O373" s="182" t="n">
        <v>46063</v>
      </c>
      <c r="P373" s="180" t="n">
        <v>120.1299</v>
      </c>
      <c r="Q373" s="184">
        <f>IF(OR(N373="",P373=""),"",ROUND((P373-N373)/N373,4))</f>
        <v/>
      </c>
      <c r="R373" s="177">
        <f>IF(OR(N373="",P373=""),"",IF(Q373&gt;Settings!$B$3/100,"UP",IF(Q373&lt;-Settings!$B$3/100,"DOWN","FLAT")))</f>
        <v/>
      </c>
      <c r="S373" s="177">
        <f>IF(OR(N373="",P373="",J373=""),"",IF(OR(AND(J373="BUY",R373="UP"),AND(J373="SELL",R373="DOWN"),AND(J373="HOLD",R373="FLAT")),"YES","NO"))</f>
        <v/>
      </c>
      <c r="T373" s="176">
        <f>IF(J373="","",IF(J373="BUY",1,IF(J373="SELL",-1,0)))</f>
        <v/>
      </c>
      <c r="U373" s="184">
        <f>IFERROR(IF(OR(J373="",N373="",P373=""),"",IF(T373=0,0,T373*Q373-Settings!$B$4/10000-IF(T373&lt;0,Settings!$B$5/10000,0))),"")</f>
        <v/>
      </c>
      <c r="V373" s="152" t="inlineStr">
        <is>
          <t>Full document set positive on balance - 2026 adjusted EPS guidance of $6.55 to $6.80 and extending its long-term; rate plan revenue increases (+$0.05) DEC North Carolina Year 2 rates; rates, effective August 2024 (+$0.22), DEF multiyear rate plan revenue. Against that: • $33 million recorded within Impairment of assets. 2 forward claims flagged hypothetical and discounted, but the concrete numbers carry it.</t>
        </is>
      </c>
      <c r="W373" s="176">
        <f>IF($K373="","",$K373*60)</f>
        <v/>
      </c>
      <c r="X373" s="186">
        <f>IF($A373="","",$A373&amp;"|"&amp;$C373&amp;"|"&amp;$D373)</f>
        <v/>
      </c>
      <c r="Y373" s="186">
        <f>IFERROR(IF($X373="","",INDEX(LLM_Data_Entry!$H$3:$H$548,MATCH($X373,INDEX(LLM_Data_Entry!$A$3:$A$548&amp;"|"&amp;LLM_Data_Entry!$C$3:$C$548&amp;"|"&amp;LLM_Data_Entry!$D$3:$D$548,0),0))),"")</f>
        <v/>
      </c>
      <c r="Z373" s="186">
        <f>IFERROR(IF($X373="","",INDEX(LLM_Data_Entry!$R$3:$R$548,MATCH($X373,INDEX(LLM_Data_Entry!$A$3:$A$548&amp;"|"&amp;LLM_Data_Entry!$C$3:$C$548&amp;"|"&amp;LLM_Data_Entry!$D$3:$D$548,0),0))),"")</f>
        <v/>
      </c>
      <c r="AA373" s="152" t="n"/>
      <c r="AB373" s="152" t="inlineStr">
        <is>
          <t>earnings calendar, seconded by the issuer's habit</t>
        </is>
      </c>
      <c r="AC373" s="152" t="inlineStr">
        <is>
          <t>DUK</t>
        </is>
      </c>
      <c r="AD373" s="152" t="inlineStr">
        <is>
          <t>2026-02-09</t>
        </is>
      </c>
      <c r="AE373" s="152" t="n">
        <v>119.6581</v>
      </c>
      <c r="AF373" s="152" t="inlineStr">
        <is>
          <t>2026-02-10</t>
        </is>
      </c>
      <c r="AG373" s="152" t="n">
        <v>120.1299</v>
      </c>
      <c r="AH373" s="152" t="n">
        <v>0.003943449116622979</v>
      </c>
      <c r="AI373" s="152" t="inlineStr">
        <is>
          <t>FLAT</t>
        </is>
      </c>
      <c r="AJ373" s="152" t="inlineStr">
        <is>
          <t>NO</t>
        </is>
      </c>
      <c r="AK373" s="152" t="n">
        <v>0.002943</v>
      </c>
      <c r="AL373" s="152">
        <f>IF($A373="","",IFERROR(INDEX(Company_List!$G$3:$G$207,MATCH($A373,Company_List!$A$3:$A$207,0)),"unassigned"))</f>
        <v/>
      </c>
      <c r="AM373" s="152" t="inlineStr">
        <is>
          <t>Phase 2/Duke Energy/Q4 2025/DUK-Q4-2025-press-release-SEC-EX99-1.htm; Phase 2/Duke Energy/Q4 2025/DUK-Q4-2025-earnings-call-transcript-InsiderMonkey.html</t>
        </is>
      </c>
      <c r="AN373" s="152" t="inlineStr">
        <is>
          <t>https://www.insidermonkey.com/blog/duke-energy-corporation-nyseduk-q4-2025-earnings-call-transcript-1693381/; https://www.sec.gov/Archives/edgar/data/1326160/000132616026000007/er-20251231xearningsreleas.htm</t>
        </is>
      </c>
      <c r="AO373" s="152" t="inlineStr">
        <is>
          <t>manifest (whole bundle)</t>
        </is>
      </c>
      <c r="AP373" s="152">
        <f>IF($A373="","",IF(COUNTIFS(LLM_Data_Entry!$A$3:$A$548,$A373)&gt;0,"YES","NO"))</f>
        <v/>
      </c>
      <c r="AQ373" s="152">
        <f>IF($A373="","",IF(COUNTIFS($A$3:$A373,$A373,$C$3:$C373,$C373,$D$3:$D373,$D373)=1,"YES","NO"))</f>
        <v/>
      </c>
      <c r="AR373" s="152">
        <f>IF($A373="","",IF(AND($C373&amp;"-"&amp;$D373&gt;=Settings!$B$19,$C373&amp;"-"&amp;$D373&lt;=Settings!$B$20),"IN","OUT"))</f>
        <v/>
      </c>
      <c r="AS373" s="152">
        <f>IF($A373="","",IF($F373="Financial Results","financials",IF($F373="Outlook/Guidance","guidance",IF($F373="Transcript Q&amp;A","qanda",IF($F373="","unrecorded",IF($E373="All","full",IF($E373="","unrecorded",LOWER($E373)&amp;" only")))))))</f>
        <v/>
      </c>
      <c r="AT373" s="152">
        <f>IF(AND(OR($J373="BUY",$J373="SELL"),ISNUMBER($U373)),$U373,"")</f>
        <v/>
      </c>
      <c r="AU373" s="152">
        <f>IF(AND(OR($J373="BUY",$J373="SELL"),ISNUMBER($AK373)),$AK373,"")</f>
        <v/>
      </c>
      <c r="AV373" s="152">
        <f>IF(ISNUMBER($AT373),ABS(IF(ISNUMBER($I373),$I373,0)-Settings!$B$24),"")</f>
        <v/>
      </c>
      <c r="AW373" s="152">
        <f>IF(ISNUMBER($AV373),$AV373*$AT373,"")</f>
        <v/>
      </c>
      <c r="AX373" s="152">
        <f>IF(ISNUMBER($AU373),ABS(IF(ISNUMBER($I373),$I373,0)-Settings!$B$24),"")</f>
        <v/>
      </c>
      <c r="AY373" s="152" t="inlineStr">
        <is>
          <t>EXTENSION</t>
        </is>
      </c>
      <c r="AZ373" s="152">
        <f>IF($A373="","",IFERROR(INDEX(Company_List!$H$3:$H$207,MATCH($A373,Company_List!$A$3:$A$207,0)),"unassigned"))</f>
        <v/>
      </c>
      <c r="BA373" s="152" t="n"/>
      <c r="BB373" s="152" t="n"/>
      <c r="BC373" s="152">
        <f>IF($A373="","",IF(COUNTIFS($A$3:$A373,$A373,$C$3:$C373,$C373,$D$3:$D373,$D373,$G$3:$G373,$G373)=1,1,0))</f>
        <v/>
      </c>
      <c r="BD373" s="152" t="n"/>
      <c r="BE373" s="152" t="n"/>
      <c r="BF373" s="152" t="n"/>
      <c r="BG373" s="152" t="inlineStr">
        <is>
          <t>no</t>
        </is>
      </c>
      <c r="BH373" s="152" t="n"/>
      <c r="BI373" s="152" t="n"/>
      <c r="BJ373" s="152" t="n"/>
      <c r="BK373" s="152">
        <f>IF(OR($H373&lt;&gt;"Human",$S373="",$J373="",$Y373="",$Z373=""),"",IF(EXACT(UPPER($J373),UPPER($Y373)),1,0))</f>
        <v/>
      </c>
      <c r="BL373" s="152" t="inlineStr">
        <is>
          <t>assumed - no rater record</t>
        </is>
      </c>
      <c r="BM373" s="152" t="n">
        <v>2</v>
      </c>
      <c r="BN373" s="152" t="inlineStr">
        <is>
          <t>Insider Monkey (Koala Guide LLC)</t>
        </is>
      </c>
      <c r="BO373" s="152" t="inlineStr">
        <is>
          <t>free to read, copyright asserted</t>
        </is>
      </c>
      <c r="BP373" s="152" t="inlineStr">
        <is>
          <t>no</t>
        </is>
      </c>
      <c r="BQ373" s="152" t="inlineStr">
        <is>
          <t>yes</t>
        </is>
      </c>
      <c r="BR373" s="152" t="n"/>
      <c r="BS373" s="152" t="inlineStr">
        <is>
          <t>YES</t>
        </is>
      </c>
      <c r="BT373" s="152" t="n"/>
    </row>
    <row r="374" ht="15" customHeight="1" s="241">
      <c r="A374" s="193" t="inlineStr">
        <is>
          <t>Duke Energy</t>
        </is>
      </c>
      <c r="B374" s="194">
        <f>IF(A374="","",_xlfn.XLOOKUP(A374, Company_List!$A:$A, Company_List!$B:$B, ""))</f>
        <v/>
      </c>
      <c r="C374" s="177" t="n">
        <v>2026</v>
      </c>
      <c r="D374" s="177" t="inlineStr">
        <is>
          <t>Q1</t>
        </is>
      </c>
      <c r="E374" s="178" t="inlineStr">
        <is>
          <t>All</t>
        </is>
      </c>
      <c r="F374" s="178" t="inlineStr">
        <is>
          <t>All</t>
        </is>
      </c>
      <c r="G374" s="177" t="inlineStr">
        <is>
          <t>Dragos</t>
        </is>
      </c>
      <c r="H374" s="177" t="inlineStr">
        <is>
          <t>Human</t>
        </is>
      </c>
      <c r="I374" s="180" t="n">
        <v>0.8</v>
      </c>
      <c r="J374" s="180">
        <f>IF(OR(I374="",Settings!$B$6=""),"",IF(I374&gt;Settings!$B$6,"BUY",IF(I374&lt;-Settings!$B$6,"SELL","HOLD")))</f>
        <v/>
      </c>
      <c r="K374" s="180" t="n">
        <v>15</v>
      </c>
      <c r="L374" s="182" t="n">
        <v>46147</v>
      </c>
      <c r="M374" s="182" t="n">
        <v>46147</v>
      </c>
      <c r="N374" s="179" t="n">
        <v>126.487</v>
      </c>
      <c r="O374" s="182" t="n">
        <v>46148</v>
      </c>
      <c r="P374" s="180" t="n">
        <v>125.9516</v>
      </c>
      <c r="Q374" s="184">
        <f>IF(OR(N374="",P374=""),"",ROUND((P374-N374)/N374,4))</f>
        <v/>
      </c>
      <c r="R374" s="177">
        <f>IF(OR(N374="",P374=""),"",IF(Q374&gt;Settings!$B$3/100,"UP",IF(Q374&lt;-Settings!$B$3/100,"DOWN","FLAT")))</f>
        <v/>
      </c>
      <c r="S374" s="177">
        <f>IF(OR(N374="",P374="",J374=""),"",IF(OR(AND(J374="BUY",R374="UP"),AND(J374="SELL",R374="DOWN"),AND(J374="HOLD",R374="FLAT")),"YES","NO"))</f>
        <v/>
      </c>
      <c r="T374" s="176">
        <f>IF(J374="","",IF(J374="BUY",1,IF(J374="SELL",-1,0)))</f>
        <v/>
      </c>
      <c r="U374" s="184">
        <f>IFERROR(IF(OR(J374="",N374="",P374=""),"",IF(T374=0,0,T374*Q374-Settings!$B$4/10000-IF(T374&lt;0,Settings!$B$5/10000,0))),"")</f>
        <v/>
      </c>
      <c r="V374" s="152" t="inlineStr">
        <is>
          <t>Full document set strong across the board - its 2026 adjusted EPS guidance of $6.55 to $6.80 and long-term adjusted EPS; • $368 million recorded within Gains on Sales of; shares outstanding increased from 777 million to 778 million. Against that: a first-quarter 2026 segment loss of $263 million, compared to segment loss of $260. 3 forward claims flagged hypothetical and discounted, but the concrete numbers carry it.</t>
        </is>
      </c>
      <c r="W374" s="176">
        <f>IF($K374="","",$K374*60)</f>
        <v/>
      </c>
      <c r="X374" s="186">
        <f>IF($A374="","",$A374&amp;"|"&amp;$C374&amp;"|"&amp;$D374)</f>
        <v/>
      </c>
      <c r="Y374" s="186">
        <f>IFERROR(IF($X374="","",INDEX(LLM_Data_Entry!$H$3:$H$548,MATCH($X374,INDEX(LLM_Data_Entry!$A$3:$A$548&amp;"|"&amp;LLM_Data_Entry!$C$3:$C$548&amp;"|"&amp;LLM_Data_Entry!$D$3:$D$548,0),0))),"")</f>
        <v/>
      </c>
      <c r="Z374" s="186">
        <f>IFERROR(IF($X374="","",INDEX(LLM_Data_Entry!$R$3:$R$548,MATCH($X374,INDEX(LLM_Data_Entry!$A$3:$A$548&amp;"|"&amp;LLM_Data_Entry!$C$3:$C$548&amp;"|"&amp;LLM_Data_Entry!$D$3:$D$548,0),0))),"")</f>
        <v/>
      </c>
      <c r="AA374" s="152" t="n"/>
      <c r="AB374" s="152" t="inlineStr">
        <is>
          <t>price signal — only this window shows an abnormal move</t>
        </is>
      </c>
      <c r="AC374" s="152" t="inlineStr">
        <is>
          <t>DUK</t>
        </is>
      </c>
      <c r="AD374" s="152" t="inlineStr">
        <is>
          <t>2026-05-05</t>
        </is>
      </c>
      <c r="AE374" s="152" t="n">
        <v>126.487</v>
      </c>
      <c r="AF374" s="152" t="inlineStr">
        <is>
          <t>2026-05-06</t>
        </is>
      </c>
      <c r="AG374" s="152" t="n">
        <v>125.9516</v>
      </c>
      <c r="AH374" s="152" t="n">
        <v>-0.004232695736692704</v>
      </c>
      <c r="AI374" s="152" t="inlineStr">
        <is>
          <t>FLAT</t>
        </is>
      </c>
      <c r="AJ374" s="152" t="inlineStr">
        <is>
          <t>NO</t>
        </is>
      </c>
      <c r="AK374" s="152" t="n">
        <v>-0.005233</v>
      </c>
      <c r="AL374" s="152">
        <f>IF($A374="","",IFERROR(INDEX(Company_List!$G$3:$G$207,MATCH($A374,Company_List!$A$3:$A$207,0)),"unassigned"))</f>
        <v/>
      </c>
      <c r="AM374" s="152" t="inlineStr">
        <is>
          <t>Phase 2/Duke Energy/Q1 2026/DUK-Q1-2026-press-release-SEC-EX99-1.htm; Phase 2/Duke Energy/Q1 2026/DUK-Q1-2026-earnings-call-transcript-MotleyFool.html</t>
        </is>
      </c>
      <c r="AN374" s="152" t="inlineStr">
        <is>
          <t>https://www.fool.com/earnings/call-transcripts/2026/05/05/duke-energy-duk-q1-2026-earnings-transcript/; https://www.sec.gov/Archives/edgar/data/1326160/000132616026000022/er-20260331xearningsreleas.htm</t>
        </is>
      </c>
      <c r="AO374" s="152" t="inlineStr">
        <is>
          <t>manifest (whole bundle)</t>
        </is>
      </c>
      <c r="AP374" s="152">
        <f>IF($A374="","",IF(COUNTIFS(LLM_Data_Entry!$A$3:$A$548,$A374)&gt;0,"YES","NO"))</f>
        <v/>
      </c>
      <c r="AQ374" s="152">
        <f>IF($A374="","",IF(COUNTIFS($A$3:$A374,$A374,$C$3:$C374,$C374,$D$3:$D374,$D374)=1,"YES","NO"))</f>
        <v/>
      </c>
      <c r="AR374" s="152">
        <f>IF($A374="","",IF(AND($C374&amp;"-"&amp;$D374&gt;=Settings!$B$19,$C374&amp;"-"&amp;$D374&lt;=Settings!$B$20),"IN","OUT"))</f>
        <v/>
      </c>
      <c r="AS374" s="152">
        <f>IF($A374="","",IF($F374="Financial Results","financials",IF($F374="Outlook/Guidance","guidance",IF($F374="Transcript Q&amp;A","qanda",IF($F374="","unrecorded",IF($E374="All","full",IF($E374="","unrecorded",LOWER($E374)&amp;" only")))))))</f>
        <v/>
      </c>
      <c r="AT374" s="152">
        <f>IF(AND(OR($J374="BUY",$J374="SELL"),ISNUMBER($U374)),$U374,"")</f>
        <v/>
      </c>
      <c r="AU374" s="152">
        <f>IF(AND(OR($J374="BUY",$J374="SELL"),ISNUMBER($AK374)),$AK374,"")</f>
        <v/>
      </c>
      <c r="AV374" s="152">
        <f>IF(ISNUMBER($AT374),ABS(IF(ISNUMBER($I374),$I374,0)-Settings!$B$24),"")</f>
        <v/>
      </c>
      <c r="AW374" s="152">
        <f>IF(ISNUMBER($AV374),$AV374*$AT374,"")</f>
        <v/>
      </c>
      <c r="AX374" s="152">
        <f>IF(ISNUMBER($AU374),ABS(IF(ISNUMBER($I374),$I374,0)-Settings!$B$24),"")</f>
        <v/>
      </c>
      <c r="AY374" s="152" t="inlineStr">
        <is>
          <t>EXTENSION</t>
        </is>
      </c>
      <c r="AZ374" s="152">
        <f>IF($A374="","",IFERROR(INDEX(Company_List!$H$3:$H$207,MATCH($A374,Company_List!$A$3:$A$207,0)),"unassigned"))</f>
        <v/>
      </c>
      <c r="BA374" s="152" t="n"/>
      <c r="BB374" s="152" t="n"/>
      <c r="BC374" s="152">
        <f>IF($A374="","",IF(COUNTIFS($A$3:$A374,$A374,$C$3:$C374,$C374,$D$3:$D374,$D374,$G$3:$G374,$G374)=1,1,0))</f>
        <v/>
      </c>
      <c r="BD374" s="152" t="n"/>
      <c r="BE374" s="152" t="n"/>
      <c r="BF374" s="152" t="n"/>
      <c r="BG374" s="152" t="inlineStr">
        <is>
          <t>no</t>
        </is>
      </c>
      <c r="BH374" s="152" t="n"/>
      <c r="BI374" s="152" t="n"/>
      <c r="BJ374" s="152" t="n"/>
      <c r="BK374" s="152">
        <f>IF(OR($H374&lt;&gt;"Human",$S374="",$J374="",$Y374="",$Z374=""),"",IF(EXACT(UPPER($J374),UPPER($Y374)),1,0))</f>
        <v/>
      </c>
      <c r="BL374" s="152" t="inlineStr">
        <is>
          <t>assumed - no rater record</t>
        </is>
      </c>
      <c r="BM374" s="152" t="n">
        <v>2</v>
      </c>
      <c r="BN374" s="152" t="inlineStr">
        <is>
          <t>The Motley Fool</t>
        </is>
      </c>
      <c r="BO374" s="152" t="inlineStr">
        <is>
          <t>free to read, copyright asserted</t>
        </is>
      </c>
      <c r="BP374" s="152" t="inlineStr">
        <is>
          <t>no</t>
        </is>
      </c>
      <c r="BQ374" s="152" t="inlineStr">
        <is>
          <t>yes</t>
        </is>
      </c>
      <c r="BR374" s="152" t="n"/>
      <c r="BS374" s="152" t="inlineStr">
        <is>
          <t>YES</t>
        </is>
      </c>
      <c r="BT374" s="152" t="n"/>
    </row>
    <row r="375" ht="15" customHeight="1" s="241">
      <c r="A375" s="193" t="inlineStr">
        <is>
          <t>ExxonMobil</t>
        </is>
      </c>
      <c r="B375" s="194">
        <f>IF(A375="","",_xlfn.XLOOKUP(A375, Company_List!$A:$A, Company_List!$B:$B, ""))</f>
        <v/>
      </c>
      <c r="C375" s="177" t="n">
        <v>2023</v>
      </c>
      <c r="D375" s="177" t="inlineStr">
        <is>
          <t>Q1</t>
        </is>
      </c>
      <c r="E375" s="178" t="inlineStr">
        <is>
          <t>All</t>
        </is>
      </c>
      <c r="F375" s="178" t="inlineStr">
        <is>
          <t>All</t>
        </is>
      </c>
      <c r="G375" s="177" t="inlineStr">
        <is>
          <t>Dragos</t>
        </is>
      </c>
      <c r="H375" s="177" t="inlineStr">
        <is>
          <t>Human</t>
        </is>
      </c>
      <c r="I375" s="180" t="n">
        <v>-0.1</v>
      </c>
      <c r="J375" s="180">
        <f>IF(OR(I375="",Settings!$B$6=""),"",IF(I375&gt;Settings!$B$6,"BUY",IF(I375&lt;-Settings!$B$6,"SELL","HOLD")))</f>
        <v/>
      </c>
      <c r="K375" s="180" t="n">
        <v>19</v>
      </c>
      <c r="L375" s="182" t="n">
        <v>45044</v>
      </c>
      <c r="M375" s="182" t="n">
        <v>45043</v>
      </c>
      <c r="N375" s="179" t="n">
        <v>104.7754</v>
      </c>
      <c r="O375" s="182" t="n">
        <v>45044</v>
      </c>
      <c r="P375" s="180" t="n">
        <v>105.152</v>
      </c>
      <c r="Q375" s="184">
        <f>IF(OR(N375="",P375=""),"",ROUND((P375-N375)/N375,4))</f>
        <v/>
      </c>
      <c r="R375" s="177">
        <f>IF(OR(N375="",P375=""),"",IF(Q375&gt;Settings!$B$3/100,"UP",IF(Q375&lt;-Settings!$B$3/100,"DOWN","FLAT")))</f>
        <v/>
      </c>
      <c r="S375" s="177">
        <f>IF(OR(N375="",P375="",J375=""),"",IF(OR(AND(J375="BUY",R375="UP"),AND(J375="SELL",R375="DOWN"),AND(J375="HOLD",R375="FLAT")),"YES","NO"))</f>
        <v/>
      </c>
      <c r="T375" s="176">
        <f>IF(J375="","",IF(J375="BUY",1,IF(J375="SELL",-1,0)))</f>
        <v/>
      </c>
      <c r="U375" s="184">
        <f>IFERROR(IF(OR(J375="",N375="",P375=""),"",IF(T375=0,0,T375*Q375-Settings!$B$4/10000-IF(T375&lt;0,Settings!$B$5/10000,0))),"")</f>
        <v/>
      </c>
      <c r="V375" s="152" t="inlineStr">
        <is>
          <t>Full document set mildly negative - • Shareholder distributions of $8.1 billion included $4.3 billion of share; record first quarter earnings of $11.4 billion, demonstrating structural earnings; quarter last year, earnings increased $2 billion. Against that: debt-to-capital ratio remained at 17% and the net-debt-to-capital ratio. 4 hypothetical claims discounted; they do not offset the concrete negatives.</t>
        </is>
      </c>
      <c r="W375" s="176">
        <f>IF($K375="","",$K375*60)</f>
        <v/>
      </c>
      <c r="X375" s="186">
        <f>IF($A375="","",$A375&amp;"|"&amp;$C375&amp;"|"&amp;$D375)</f>
        <v/>
      </c>
      <c r="Y375" s="186">
        <f>IFERROR(IF($X375="","",INDEX(LLM_Data_Entry!$H$3:$H$548,MATCH($X375,INDEX(LLM_Data_Entry!$A$3:$A$548&amp;"|"&amp;LLM_Data_Entry!$C$3:$C$548&amp;"|"&amp;LLM_Data_Entry!$D$3:$D$548,0),0))),"")</f>
        <v/>
      </c>
      <c r="Z375" s="186">
        <f>IFERROR(IF($X375="","",INDEX(LLM_Data_Entry!$R$3:$R$548,MATCH($X375,INDEX(LLM_Data_Entry!$A$3:$A$548&amp;"|"&amp;LLM_Data_Entry!$C$3:$C$548&amp;"|"&amp;LLM_Data_Entry!$D$3:$D$548,0),0))),"")</f>
        <v/>
      </c>
      <c r="AA375" s="152" t="n"/>
      <c r="AB375" s="152" t="inlineStr">
        <is>
          <t>release date + stated time</t>
        </is>
      </c>
      <c r="AC375" s="152" t="inlineStr">
        <is>
          <t>XOM</t>
        </is>
      </c>
      <c r="AD375" s="152" t="inlineStr">
        <is>
          <t>2023-04-27</t>
        </is>
      </c>
      <c r="AE375" s="152" t="n">
        <v>104.7754</v>
      </c>
      <c r="AF375" s="152" t="inlineStr">
        <is>
          <t>2023-04-28</t>
        </is>
      </c>
      <c r="AG375" s="152" t="n">
        <v>105.152</v>
      </c>
      <c r="AH375" s="152" t="n">
        <v>0.003594906008784724</v>
      </c>
      <c r="AI375" s="152" t="inlineStr">
        <is>
          <t>FLAT</t>
        </is>
      </c>
      <c r="AJ375" s="152" t="inlineStr">
        <is>
          <t>YES</t>
        </is>
      </c>
      <c r="AK375" s="152" t="n">
        <v>0</v>
      </c>
      <c r="AL375" s="152">
        <f>IF($A375="","",IFERROR(INDEX(Company_List!$G$3:$G$207,MATCH($A375,Company_List!$A$3:$A$207,0)),"unassigned"))</f>
        <v/>
      </c>
      <c r="AM375" s="152" t="inlineStr">
        <is>
          <t>Phase 2/ExxonMobil/Q1 2023/XOM-Q1-2023-press-release-SEC-EX99-1.htm; Phase 2/ExxonMobil/Q1 2023/XOM-Q1-2023-exhibit-SEC-EX99-2.htm; Phase 2/ExxonMobil/Q1 2023/XOM-Q1-2023-earnings-call-transcript-MotleyFool.html</t>
        </is>
      </c>
      <c r="AN375" s="152" t="inlineStr">
        <is>
          <t>https://www.fool.com/earnings/call-transcripts/2023/04/28/exxonmobil-xom-q1-2023-earnings-call-transcript/; https://www.sec.gov/Archives/edgar/data/34088/000003408823000028/f8k1q23991.htm; https://www.sec.gov/Archives/edgar/data/34088/000003408823000028/f8k1q23992.htm</t>
        </is>
      </c>
      <c r="AO375" s="152" t="inlineStr">
        <is>
          <t>manifest (whole bundle)</t>
        </is>
      </c>
      <c r="AP375" s="152">
        <f>IF($A375="","",IF(COUNTIFS(LLM_Data_Entry!$A$3:$A$548,$A375)&gt;0,"YES","NO"))</f>
        <v/>
      </c>
      <c r="AQ375" s="152">
        <f>IF($A375="","",IF(COUNTIFS($A$3:$A375,$A375,$C$3:$C375,$C375,$D$3:$D375,$D375)=1,"YES","NO"))</f>
        <v/>
      </c>
      <c r="AR375" s="152">
        <f>IF($A375="","",IF(AND($C375&amp;"-"&amp;$D375&gt;=Settings!$B$19,$C375&amp;"-"&amp;$D375&lt;=Settings!$B$20),"IN","OUT"))</f>
        <v/>
      </c>
      <c r="AS375" s="152">
        <f>IF($A375="","",IF($F375="Financial Results","financials",IF($F375="Outlook/Guidance","guidance",IF($F375="Transcript Q&amp;A","qanda",IF($F375="","unrecorded",IF($E375="All","full",IF($E375="","unrecorded",LOWER($E375)&amp;" only")))))))</f>
        <v/>
      </c>
      <c r="AT375" s="152">
        <f>IF(AND(OR($J375="BUY",$J375="SELL"),ISNUMBER($U375)),$U375,"")</f>
        <v/>
      </c>
      <c r="AU375" s="152">
        <f>IF(AND(OR($J375="BUY",$J375="SELL"),ISNUMBER($AK375)),$AK375,"")</f>
        <v/>
      </c>
      <c r="AV375" s="152">
        <f>IF(ISNUMBER($AT375),ABS(IF(ISNUMBER($I375),$I375,0)-Settings!$B$24),"")</f>
        <v/>
      </c>
      <c r="AW375" s="152">
        <f>IF(ISNUMBER($AV375),$AV375*$AT375,"")</f>
        <v/>
      </c>
      <c r="AX375" s="152">
        <f>IF(ISNUMBER($AU375),ABS(IF(ISNUMBER($I375),$I375,0)-Settings!$B$24),"")</f>
        <v/>
      </c>
      <c r="AY375" s="152" t="inlineStr">
        <is>
          <t>EXTENSION</t>
        </is>
      </c>
      <c r="AZ375" s="152">
        <f>IF($A375="","",IFERROR(INDEX(Company_List!$H$3:$H$207,MATCH($A375,Company_List!$A$3:$A$207,0)),"unassigned"))</f>
        <v/>
      </c>
      <c r="BA375" s="152" t="n"/>
      <c r="BB375" s="152" t="n"/>
      <c r="BC375" s="152">
        <f>IF($A375="","",IF(COUNTIFS($A$3:$A375,$A375,$C$3:$C375,$C375,$D$3:$D375,$D375,$G$3:$G375,$G375)=1,1,0))</f>
        <v/>
      </c>
      <c r="BD375" s="152" t="n"/>
      <c r="BE375" s="152" t="n"/>
      <c r="BF375" s="152" t="n"/>
      <c r="BG375" s="152" t="inlineStr">
        <is>
          <t>no</t>
        </is>
      </c>
      <c r="BH375" s="152" t="n"/>
      <c r="BI375" s="152" t="n"/>
      <c r="BJ375" s="152" t="n"/>
      <c r="BK375" s="152">
        <f>IF(OR($H375&lt;&gt;"Human",$S375="",$J375="",$Y375="",$Z375=""),"",IF(EXACT(UPPER($J375),UPPER($Y375)),1,0))</f>
        <v/>
      </c>
      <c r="BL375" s="152" t="inlineStr">
        <is>
          <t>assumed - no rater record</t>
        </is>
      </c>
      <c r="BM375" s="152" t="n">
        <v>3</v>
      </c>
      <c r="BN375" s="152" t="inlineStr">
        <is>
          <t>The Motley Fool</t>
        </is>
      </c>
      <c r="BO375" s="152" t="inlineStr">
        <is>
          <t>free to read, copyright asserted</t>
        </is>
      </c>
      <c r="BP375" s="152" t="inlineStr">
        <is>
          <t>no</t>
        </is>
      </c>
      <c r="BQ375" s="152" t="inlineStr">
        <is>
          <t>yes</t>
        </is>
      </c>
      <c r="BR375" s="152" t="n"/>
      <c r="BS375" s="152" t="inlineStr">
        <is>
          <t>YES</t>
        </is>
      </c>
      <c r="BT375" s="152" t="n"/>
    </row>
    <row r="376" ht="15" customHeight="1" s="241">
      <c r="A376" s="193" t="inlineStr">
        <is>
          <t>ExxonMobil</t>
        </is>
      </c>
      <c r="B376" s="194">
        <f>IF(A376="","",_xlfn.XLOOKUP(A376, Company_List!$A:$A, Company_List!$B:$B, ""))</f>
        <v/>
      </c>
      <c r="C376" s="177" t="n">
        <v>2023</v>
      </c>
      <c r="D376" s="177" t="inlineStr">
        <is>
          <t>Q2</t>
        </is>
      </c>
      <c r="E376" s="178" t="inlineStr">
        <is>
          <t>All</t>
        </is>
      </c>
      <c r="F376" s="178" t="inlineStr">
        <is>
          <t>All</t>
        </is>
      </c>
      <c r="G376" s="177" t="inlineStr">
        <is>
          <t>Dragos</t>
        </is>
      </c>
      <c r="H376" s="177" t="inlineStr">
        <is>
          <t>Human</t>
        </is>
      </c>
      <c r="I376" s="180" t="n">
        <v>-0.1</v>
      </c>
      <c r="J376" s="180">
        <f>IF(OR(I376="",Settings!$B$6=""),"",IF(I376&gt;Settings!$B$6,"BUY",IF(I376&lt;-Settings!$B$6,"SELL","HOLD")))</f>
        <v/>
      </c>
      <c r="K376" s="180" t="n">
        <v>22</v>
      </c>
      <c r="L376" s="182" t="n">
        <v>45135</v>
      </c>
      <c r="M376" s="182" t="n">
        <v>45134</v>
      </c>
      <c r="N376" s="179" t="n">
        <v>95.3631</v>
      </c>
      <c r="O376" s="182" t="n">
        <v>45135</v>
      </c>
      <c r="P376" s="180" t="n">
        <v>95.0827</v>
      </c>
      <c r="Q376" s="184">
        <f>IF(OR(N376="",P376=""),"",ROUND((P376-N376)/N376,4))</f>
        <v/>
      </c>
      <c r="R376" s="177">
        <f>IF(OR(N376="",P376=""),"",IF(Q376&gt;Settings!$B$3/100,"UP",IF(Q376&lt;-Settings!$B$3/100,"DOWN","FLAT")))</f>
        <v/>
      </c>
      <c r="S376" s="177">
        <f>IF(OR(N376="",P376="",J376=""),"",IF(OR(AND(J376="BUY",R376="UP"),AND(J376="SELL",R376="DOWN"),AND(J376="HOLD",R376="FLAT")),"YES","NO"))</f>
        <v/>
      </c>
      <c r="T376" s="176">
        <f>IF(J376="","",IF(J376="BUY",1,IF(J376="SELL",-1,0)))</f>
        <v/>
      </c>
      <c r="U376" s="184">
        <f>IFERROR(IF(OR(J376="",N376="",P376=""),"",IF(T376=0,0,T376*Q376-Settings!$B$4/10000-IF(T376&lt;0,Settings!$B$5/10000,0))),"")</f>
        <v/>
      </c>
      <c r="V376" s="152" t="inlineStr">
        <is>
          <t>Full document set mildly negative - • Cash flow from operations totaled $9.4 billion and free cash flow was $5.0 billion; • Year-to-date earnings were $6.5 billion, an increase of $1.4 billion versus; • Year-to-date earnings were $1.4 billion, an increase of $552 million versus. Against that: items unfavorably impacted earnings by $12 million this quarter, down from $158 million. 8 hypothetical claims discounted; they do not offset the concrete negatives.</t>
        </is>
      </c>
      <c r="W376" s="176">
        <f>IF($K376="","",$K376*60)</f>
        <v/>
      </c>
      <c r="X376" s="186">
        <f>IF($A376="","",$A376&amp;"|"&amp;$C376&amp;"|"&amp;$D376)</f>
        <v/>
      </c>
      <c r="Y376" s="186">
        <f>IFERROR(IF($X376="","",INDEX(LLM_Data_Entry!$H$3:$H$548,MATCH($X376,INDEX(LLM_Data_Entry!$A$3:$A$548&amp;"|"&amp;LLM_Data_Entry!$C$3:$C$548&amp;"|"&amp;LLM_Data_Entry!$D$3:$D$548,0),0))),"")</f>
        <v/>
      </c>
      <c r="Z376" s="186">
        <f>IFERROR(IF($X376="","",INDEX(LLM_Data_Entry!$R$3:$R$548,MATCH($X376,INDEX(LLM_Data_Entry!$A$3:$A$548&amp;"|"&amp;LLM_Data_Entry!$C$3:$C$548&amp;"|"&amp;LLM_Data_Entry!$D$3:$D$548,0),0))),"")</f>
        <v/>
      </c>
      <c r="AA376" s="152" t="n"/>
      <c r="AB376" s="152" t="inlineStr">
        <is>
          <t>earnings calendar, seconded by the issuer's habit</t>
        </is>
      </c>
      <c r="AC376" s="152" t="inlineStr">
        <is>
          <t>XOM</t>
        </is>
      </c>
      <c r="AD376" s="152" t="inlineStr">
        <is>
          <t>2023-07-27</t>
        </is>
      </c>
      <c r="AE376" s="152" t="n">
        <v>95.3631</v>
      </c>
      <c r="AF376" s="152" t="inlineStr">
        <is>
          <t>2023-07-28</t>
        </is>
      </c>
      <c r="AG376" s="152" t="n">
        <v>95.0827</v>
      </c>
      <c r="AH376" s="152" t="n">
        <v>-0.002940524262504416</v>
      </c>
      <c r="AI376" s="152" t="inlineStr">
        <is>
          <t>FLAT</t>
        </is>
      </c>
      <c r="AJ376" s="152" t="inlineStr">
        <is>
          <t>YES</t>
        </is>
      </c>
      <c r="AK376" s="152" t="n">
        <v>0</v>
      </c>
      <c r="AL376" s="152">
        <f>IF($A376="","",IFERROR(INDEX(Company_List!$G$3:$G$207,MATCH($A376,Company_List!$A$3:$A$207,0)),"unassigned"))</f>
        <v/>
      </c>
      <c r="AM376" s="152" t="inlineStr">
        <is>
          <t>Phase 2/ExxonMobil/Q2 2023/XOM-Q2-2023-press-release-SEC-EX99-1.htm; Phase 2/ExxonMobil/Q2 2023/XOM-Q2-2023-exhibit-SEC-EX99-2.htm; Phase 2/ExxonMobil/Q2 2023/XOM-Q2-2023-earnings-call-transcript-InsiderMonkey.html</t>
        </is>
      </c>
      <c r="AN376" s="152" t="inlineStr">
        <is>
          <t>https://www.insidermonkey.com/blog/exxon-mobil-corporation-nysexom-q2-2023-earnings-call-transcript-1173871/; https://www.sec.gov/Archives/edgar/data/34088/000003408823000046/f8k2q23991.htm; https://www.sec.gov/Archives/edgar/data/34088/000003408823000046/f8k2q23992.htm</t>
        </is>
      </c>
      <c r="AO376" s="152" t="inlineStr">
        <is>
          <t>manifest (whole bundle)</t>
        </is>
      </c>
      <c r="AP376" s="152">
        <f>IF($A376="","",IF(COUNTIFS(LLM_Data_Entry!$A$3:$A$548,$A376)&gt;0,"YES","NO"))</f>
        <v/>
      </c>
      <c r="AQ376" s="152">
        <f>IF($A376="","",IF(COUNTIFS($A$3:$A376,$A376,$C$3:$C376,$C376,$D$3:$D376,$D376)=1,"YES","NO"))</f>
        <v/>
      </c>
      <c r="AR376" s="152">
        <f>IF($A376="","",IF(AND($C376&amp;"-"&amp;$D376&gt;=Settings!$B$19,$C376&amp;"-"&amp;$D376&lt;=Settings!$B$20),"IN","OUT"))</f>
        <v/>
      </c>
      <c r="AS376" s="152">
        <f>IF($A376="","",IF($F376="Financial Results","financials",IF($F376="Outlook/Guidance","guidance",IF($F376="Transcript Q&amp;A","qanda",IF($F376="","unrecorded",IF($E376="All","full",IF($E376="","unrecorded",LOWER($E376)&amp;" only")))))))</f>
        <v/>
      </c>
      <c r="AT376" s="152">
        <f>IF(AND(OR($J376="BUY",$J376="SELL"),ISNUMBER($U376)),$U376,"")</f>
        <v/>
      </c>
      <c r="AU376" s="152">
        <f>IF(AND(OR($J376="BUY",$J376="SELL"),ISNUMBER($AK376)),$AK376,"")</f>
        <v/>
      </c>
      <c r="AV376" s="152">
        <f>IF(ISNUMBER($AT376),ABS(IF(ISNUMBER($I376),$I376,0)-Settings!$B$24),"")</f>
        <v/>
      </c>
      <c r="AW376" s="152">
        <f>IF(ISNUMBER($AV376),$AV376*$AT376,"")</f>
        <v/>
      </c>
      <c r="AX376" s="152">
        <f>IF(ISNUMBER($AU376),ABS(IF(ISNUMBER($I376),$I376,0)-Settings!$B$24),"")</f>
        <v/>
      </c>
      <c r="AY376" s="152" t="inlineStr">
        <is>
          <t>EXTENSION</t>
        </is>
      </c>
      <c r="AZ376" s="152">
        <f>IF($A376="","",IFERROR(INDEX(Company_List!$H$3:$H$207,MATCH($A376,Company_List!$A$3:$A$207,0)),"unassigned"))</f>
        <v/>
      </c>
      <c r="BA376" s="152" t="n"/>
      <c r="BB376" s="152" t="n"/>
      <c r="BC376" s="152">
        <f>IF($A376="","",IF(COUNTIFS($A$3:$A376,$A376,$C$3:$C376,$C376,$D$3:$D376,$D376,$G$3:$G376,$G376)=1,1,0))</f>
        <v/>
      </c>
      <c r="BD376" s="152" t="n"/>
      <c r="BE376" s="152" t="n"/>
      <c r="BF376" s="152" t="n"/>
      <c r="BG376" s="152" t="inlineStr">
        <is>
          <t>no</t>
        </is>
      </c>
      <c r="BH376" s="152" t="n"/>
      <c r="BI376" s="152" t="n"/>
      <c r="BJ376" s="152" t="n"/>
      <c r="BK376" s="152">
        <f>IF(OR($H376&lt;&gt;"Human",$S376="",$J376="",$Y376="",$Z376=""),"",IF(EXACT(UPPER($J376),UPPER($Y376)),1,0))</f>
        <v/>
      </c>
      <c r="BL376" s="152" t="inlineStr">
        <is>
          <t>assumed - no rater record</t>
        </is>
      </c>
      <c r="BM376" s="152" t="n">
        <v>3</v>
      </c>
      <c r="BN376" s="152" t="inlineStr">
        <is>
          <t>Insider Monkey (Koala Guide LLC)</t>
        </is>
      </c>
      <c r="BO376" s="152" t="inlineStr">
        <is>
          <t>free to read, copyright asserted</t>
        </is>
      </c>
      <c r="BP376" s="152" t="inlineStr">
        <is>
          <t>no</t>
        </is>
      </c>
      <c r="BQ376" s="152" t="inlineStr">
        <is>
          <t>yes</t>
        </is>
      </c>
      <c r="BR376" s="152" t="n"/>
      <c r="BS376" s="152" t="inlineStr">
        <is>
          <t>YES</t>
        </is>
      </c>
      <c r="BT376" s="152" t="n"/>
    </row>
    <row r="377" ht="15" customHeight="1" s="241">
      <c r="A377" s="193" t="inlineStr">
        <is>
          <t>ExxonMobil</t>
        </is>
      </c>
      <c r="B377" s="194">
        <f>IF(A377="","",_xlfn.XLOOKUP(A377, Company_List!$A:$A, Company_List!$B:$B, ""))</f>
        <v/>
      </c>
      <c r="C377" s="177" t="n">
        <v>2023</v>
      </c>
      <c r="D377" s="177" t="inlineStr">
        <is>
          <t>Q3</t>
        </is>
      </c>
      <c r="E377" s="178" t="inlineStr">
        <is>
          <t>All</t>
        </is>
      </c>
      <c r="F377" s="178" t="inlineStr">
        <is>
          <t>All</t>
        </is>
      </c>
      <c r="G377" s="177" t="inlineStr">
        <is>
          <t>Dragos</t>
        </is>
      </c>
      <c r="H377" s="177" t="inlineStr">
        <is>
          <t>Human</t>
        </is>
      </c>
      <c r="I377" s="180" t="n">
        <v>0.1</v>
      </c>
      <c r="J377" s="180">
        <f>IF(OR(I377="",Settings!$B$6=""),"",IF(I377&gt;Settings!$B$6,"BUY",IF(I377&lt;-Settings!$B$6,"SELL","HOLD")))</f>
        <v/>
      </c>
      <c r="K377" s="180" t="n">
        <v>21</v>
      </c>
      <c r="L377" s="182" t="n">
        <v>45226</v>
      </c>
      <c r="M377" s="182" t="n">
        <v>45225</v>
      </c>
      <c r="N377" s="179" t="n">
        <v>98.133</v>
      </c>
      <c r="O377" s="182" t="n">
        <v>45226</v>
      </c>
      <c r="P377" s="180" t="n">
        <v>99.3095</v>
      </c>
      <c r="Q377" s="184">
        <f>IF(OR(N377="",P377=""),"",ROUND((P377-N377)/N377,4))</f>
        <v/>
      </c>
      <c r="R377" s="177">
        <f>IF(OR(N377="",P377=""),"",IF(Q377&gt;Settings!$B$3/100,"UP",IF(Q377&lt;-Settings!$B$3/100,"DOWN","FLAT")))</f>
        <v/>
      </c>
      <c r="S377" s="177">
        <f>IF(OR(N377="",P377="",J377=""),"",IF(OR(AND(J377="BUY",R377="UP"),AND(J377="SELL",R377="DOWN"),AND(J377="HOLD",R377="FLAT")),"YES","NO"))</f>
        <v/>
      </c>
      <c r="T377" s="176">
        <f>IF(J377="","",IF(J377="BUY",1,IF(J377="SELL",-1,0)))</f>
        <v/>
      </c>
      <c r="U377" s="184">
        <f>IFERROR(IF(OR(J377="",N377="",P377=""),"",IF(T377=0,0,T377*Q377-Settings!$B$4/10000-IF(T377&lt;0,Settings!$B$5/10000,0))),"")</f>
        <v/>
      </c>
      <c r="V377" s="152" t="inlineStr">
        <is>
          <t>Full document set mildly positive - drove cash flow from operations of $16.0 billion and free cash flow of $11.7 billion; strong third-quarter earnings of $9.1 billion, or $2.25 per share, reflecting; • Produced $16.0 billion of operating cash flow and increased. Against that: identified items, earnings declined $5.7 billion, driven by a nearly 60% decrease in. 4 forward claims flagged hypothetical and discounted, but the concrete numbers carry it.</t>
        </is>
      </c>
      <c r="W377" s="176">
        <f>IF($K377="","",$K377*60)</f>
        <v/>
      </c>
      <c r="X377" s="186">
        <f>IF($A377="","",$A377&amp;"|"&amp;$C377&amp;"|"&amp;$D377)</f>
        <v/>
      </c>
      <c r="Y377" s="186">
        <f>IFERROR(IF($X377="","",INDEX(LLM_Data_Entry!$H$3:$H$548,MATCH($X377,INDEX(LLM_Data_Entry!$A$3:$A$548&amp;"|"&amp;LLM_Data_Entry!$C$3:$C$548&amp;"|"&amp;LLM_Data_Entry!$D$3:$D$548,0),0))),"")</f>
        <v/>
      </c>
      <c r="Z377" s="186">
        <f>IFERROR(IF($X377="","",INDEX(LLM_Data_Entry!$R$3:$R$548,MATCH($X377,INDEX(LLM_Data_Entry!$A$3:$A$548&amp;"|"&amp;LLM_Data_Entry!$C$3:$C$548&amp;"|"&amp;LLM_Data_Entry!$D$3:$D$548,0),0))),"")</f>
        <v/>
      </c>
      <c r="AA377" s="152" t="n"/>
      <c r="AB377" s="152" t="inlineStr">
        <is>
          <t>release date + stated time</t>
        </is>
      </c>
      <c r="AC377" s="152" t="inlineStr">
        <is>
          <t>XOM</t>
        </is>
      </c>
      <c r="AD377" s="152" t="inlineStr">
        <is>
          <t>2023-10-26</t>
        </is>
      </c>
      <c r="AE377" s="152" t="n">
        <v>98.133</v>
      </c>
      <c r="AF377" s="152" t="inlineStr">
        <is>
          <t>2023-10-27</t>
        </is>
      </c>
      <c r="AG377" s="152" t="n">
        <v>99.3095</v>
      </c>
      <c r="AH377" s="152" t="n">
        <v>0.01198902046479213</v>
      </c>
      <c r="AI377" s="152" t="inlineStr">
        <is>
          <t>FLAT</t>
        </is>
      </c>
      <c r="AJ377" s="152" t="inlineStr">
        <is>
          <t>YES</t>
        </is>
      </c>
      <c r="AK377" s="152" t="n">
        <v>0</v>
      </c>
      <c r="AL377" s="152">
        <f>IF($A377="","",IFERROR(INDEX(Company_List!$G$3:$G$207,MATCH($A377,Company_List!$A$3:$A$207,0)),"unassigned"))</f>
        <v/>
      </c>
      <c r="AM377" s="152" t="inlineStr">
        <is>
          <t>Phase 2/ExxonMobil/Q3 2023/XOM-Q3-2023-press-release-SEC-EX99-1.htm; Phase 2/ExxonMobil/Q3 2023/XOM-Q3-2023-exhibit-SEC-EX99-2.htm; Phase 2/ExxonMobil/Q3 2023/XOM-Q3-2023-earnings-call-transcript-MotleyFool.html</t>
        </is>
      </c>
      <c r="AN377" s="152" t="inlineStr">
        <is>
          <t>https://www.fool.com/earnings/call-transcripts/2023/10/27/exxonmobil-xom-q3-2023-earnings-call-transcript/; https://www.sec.gov/Archives/edgar/data/34088/000003408823000054/f8k3q23991.htm; https://www.sec.gov/Archives/edgar/data/34088/000003408823000054/f8k3q23992.htm</t>
        </is>
      </c>
      <c r="AO377" s="152" t="inlineStr">
        <is>
          <t>manifest (whole bundle)</t>
        </is>
      </c>
      <c r="AP377" s="152">
        <f>IF($A377="","",IF(COUNTIFS(LLM_Data_Entry!$A$3:$A$548,$A377)&gt;0,"YES","NO"))</f>
        <v/>
      </c>
      <c r="AQ377" s="152">
        <f>IF($A377="","",IF(COUNTIFS($A$3:$A377,$A377,$C$3:$C377,$C377,$D$3:$D377,$D377)=1,"YES","NO"))</f>
        <v/>
      </c>
      <c r="AR377" s="152">
        <f>IF($A377="","",IF(AND($C377&amp;"-"&amp;$D377&gt;=Settings!$B$19,$C377&amp;"-"&amp;$D377&lt;=Settings!$B$20),"IN","OUT"))</f>
        <v/>
      </c>
      <c r="AS377" s="152">
        <f>IF($A377="","",IF($F377="Financial Results","financials",IF($F377="Outlook/Guidance","guidance",IF($F377="Transcript Q&amp;A","qanda",IF($F377="","unrecorded",IF($E377="All","full",IF($E377="","unrecorded",LOWER($E377)&amp;" only")))))))</f>
        <v/>
      </c>
      <c r="AT377" s="152">
        <f>IF(AND(OR($J377="BUY",$J377="SELL"),ISNUMBER($U377)),$U377,"")</f>
        <v/>
      </c>
      <c r="AU377" s="152">
        <f>IF(AND(OR($J377="BUY",$J377="SELL"),ISNUMBER($AK377)),$AK377,"")</f>
        <v/>
      </c>
      <c r="AV377" s="152">
        <f>IF(ISNUMBER($AT377),ABS(IF(ISNUMBER($I377),$I377,0)-Settings!$B$24),"")</f>
        <v/>
      </c>
      <c r="AW377" s="152">
        <f>IF(ISNUMBER($AV377),$AV377*$AT377,"")</f>
        <v/>
      </c>
      <c r="AX377" s="152">
        <f>IF(ISNUMBER($AU377),ABS(IF(ISNUMBER($I377),$I377,0)-Settings!$B$24),"")</f>
        <v/>
      </c>
      <c r="AY377" s="152" t="inlineStr">
        <is>
          <t>EXTENSION</t>
        </is>
      </c>
      <c r="AZ377" s="152">
        <f>IF($A377="","",IFERROR(INDEX(Company_List!$H$3:$H$207,MATCH($A377,Company_List!$A$3:$A$207,0)),"unassigned"))</f>
        <v/>
      </c>
      <c r="BA377" s="152" t="n"/>
      <c r="BB377" s="152" t="n"/>
      <c r="BC377" s="152">
        <f>IF($A377="","",IF(COUNTIFS($A$3:$A377,$A377,$C$3:$C377,$C377,$D$3:$D377,$D377,$G$3:$G377,$G377)=1,1,0))</f>
        <v/>
      </c>
      <c r="BD377" s="152" t="n"/>
      <c r="BE377" s="152" t="n"/>
      <c r="BF377" s="152" t="n"/>
      <c r="BG377" s="152" t="inlineStr">
        <is>
          <t>no</t>
        </is>
      </c>
      <c r="BH377" s="152" t="n"/>
      <c r="BI377" s="152" t="n"/>
      <c r="BJ377" s="152" t="n"/>
      <c r="BK377" s="152">
        <f>IF(OR($H377&lt;&gt;"Human",$S377="",$J377="",$Y377="",$Z377=""),"",IF(EXACT(UPPER($J377),UPPER($Y377)),1,0))</f>
        <v/>
      </c>
      <c r="BL377" s="152" t="inlineStr">
        <is>
          <t>assumed - no rater record</t>
        </is>
      </c>
      <c r="BM377" s="152" t="n">
        <v>3</v>
      </c>
      <c r="BN377" s="152" t="inlineStr">
        <is>
          <t>The Motley Fool</t>
        </is>
      </c>
      <c r="BO377" s="152" t="inlineStr">
        <is>
          <t>free to read, copyright asserted</t>
        </is>
      </c>
      <c r="BP377" s="152" t="inlineStr">
        <is>
          <t>no</t>
        </is>
      </c>
      <c r="BQ377" s="152" t="inlineStr">
        <is>
          <t>yes</t>
        </is>
      </c>
      <c r="BR377" s="152" t="n"/>
      <c r="BS377" s="152" t="inlineStr">
        <is>
          <t>YES</t>
        </is>
      </c>
      <c r="BT377" s="152" t="n"/>
    </row>
    <row r="378" ht="15" customHeight="1" s="241">
      <c r="A378" s="193" t="inlineStr">
        <is>
          <t>ExxonMobil</t>
        </is>
      </c>
      <c r="B378" s="194">
        <f>IF(A378="","",_xlfn.XLOOKUP(A378, Company_List!$A:$A, Company_List!$B:$B, ""))</f>
        <v/>
      </c>
      <c r="C378" s="177" t="n">
        <v>2023</v>
      </c>
      <c r="D378" s="177" t="inlineStr">
        <is>
          <t>Q4</t>
        </is>
      </c>
      <c r="E378" s="178" t="inlineStr">
        <is>
          <t>All</t>
        </is>
      </c>
      <c r="F378" s="178" t="inlineStr">
        <is>
          <t>All</t>
        </is>
      </c>
      <c r="G378" s="177" t="inlineStr">
        <is>
          <t>Dragos</t>
        </is>
      </c>
      <c r="H378" s="177" t="inlineStr">
        <is>
          <t>Human</t>
        </is>
      </c>
      <c r="I378" s="180" t="n">
        <v>-0.1</v>
      </c>
      <c r="J378" s="180">
        <f>IF(OR(I378="",Settings!$B$6=""),"",IF(I378&gt;Settings!$B$6,"BUY",IF(I378&lt;-Settings!$B$6,"SELL","HOLD")))</f>
        <v/>
      </c>
      <c r="K378" s="180" t="n">
        <v>23</v>
      </c>
      <c r="L378" s="182" t="n">
        <v>45324</v>
      </c>
      <c r="M378" s="182" t="n">
        <v>45323</v>
      </c>
      <c r="N378" s="179" t="n">
        <v>94.2353</v>
      </c>
      <c r="O378" s="182" t="n">
        <v>45324</v>
      </c>
      <c r="P378" s="180" t="n">
        <v>95.48699999999999</v>
      </c>
      <c r="Q378" s="184">
        <f>IF(OR(N378="",P378=""),"",ROUND((P378-N378)/N378,4))</f>
        <v/>
      </c>
      <c r="R378" s="177">
        <f>IF(OR(N378="",P378=""),"",IF(Q378&gt;Settings!$B$3/100,"UP",IF(Q378&lt;-Settings!$B$3/100,"DOWN","FLAT")))</f>
        <v/>
      </c>
      <c r="S378" s="177">
        <f>IF(OR(N378="",P378="",J378=""),"",IF(OR(AND(J378="BUY",R378="UP"),AND(J378="SELL",R378="DOWN"),AND(J378="HOLD",R378="FLAT")),"YES","NO"))</f>
        <v/>
      </c>
      <c r="T378" s="176">
        <f>IF(J378="","",IF(J378="BUY",1,IF(J378="SELL",-1,0)))</f>
        <v/>
      </c>
      <c r="U378" s="184">
        <f>IFERROR(IF(OR(J378="",N378="",P378=""),"",IF(T378=0,0,T378*Q378-Settings!$B$4/10000-IF(T378&lt;0,Settings!$B$5/10000,0))),"")</f>
        <v/>
      </c>
      <c r="V378" s="152" t="inlineStr">
        <is>
          <t>Full document set mildly negative - • Achieved $9.7 billion of cumulative structural cost savings; excluding identified items were $10.0 billion, an increase of $0.8 billion from the; strong cash flow from operations of $13.7 billion and free cash flow of $8.0 billion in. Against that: unfavorable identified items of $2.3 billion including a $2.0 billion impairment as. 1 hypothetical claim discounted; they do not offset the concrete negatives.</t>
        </is>
      </c>
      <c r="W378" s="176">
        <f>IF($K378="","",$K378*60)</f>
        <v/>
      </c>
      <c r="X378" s="186">
        <f>IF($A378="","",$A378&amp;"|"&amp;$C378&amp;"|"&amp;$D378)</f>
        <v/>
      </c>
      <c r="Y378" s="186">
        <f>IFERROR(IF($X378="","",INDEX(LLM_Data_Entry!$H$3:$H$548,MATCH($X378,INDEX(LLM_Data_Entry!$A$3:$A$548&amp;"|"&amp;LLM_Data_Entry!$C$3:$C$548&amp;"|"&amp;LLM_Data_Entry!$D$3:$D$548,0),0))),"")</f>
        <v/>
      </c>
      <c r="Z378" s="186">
        <f>IFERROR(IF($X378="","",INDEX(LLM_Data_Entry!$R$3:$R$548,MATCH($X378,INDEX(LLM_Data_Entry!$A$3:$A$548&amp;"|"&amp;LLM_Data_Entry!$C$3:$C$548&amp;"|"&amp;LLM_Data_Entry!$D$3:$D$548,0),0))),"")</f>
        <v/>
      </c>
      <c r="AA378" s="152" t="n"/>
      <c r="AB378" s="152" t="inlineStr">
        <is>
          <t>document date + price signal</t>
        </is>
      </c>
      <c r="AC378" s="152" t="inlineStr">
        <is>
          <t>XOM</t>
        </is>
      </c>
      <c r="AD378" s="152" t="inlineStr">
        <is>
          <t>2024-02-01</t>
        </is>
      </c>
      <c r="AE378" s="152" t="n">
        <v>94.2353</v>
      </c>
      <c r="AF378" s="152" t="inlineStr">
        <is>
          <t>2024-02-02</t>
        </is>
      </c>
      <c r="AG378" s="152" t="n">
        <v>95.48699999999999</v>
      </c>
      <c r="AH378" s="152" t="n">
        <v>0.01328252329581465</v>
      </c>
      <c r="AI378" s="152" t="inlineStr">
        <is>
          <t>FLAT</t>
        </is>
      </c>
      <c r="AJ378" s="152" t="inlineStr">
        <is>
          <t>YES</t>
        </is>
      </c>
      <c r="AK378" s="152" t="n">
        <v>0</v>
      </c>
      <c r="AL378" s="152">
        <f>IF($A378="","",IFERROR(INDEX(Company_List!$G$3:$G$207,MATCH($A378,Company_List!$A$3:$A$207,0)),"unassigned"))</f>
        <v/>
      </c>
      <c r="AM378" s="152" t="inlineStr">
        <is>
          <t>Phase 2/ExxonMobil/Q4 2023/XOM-Q4-2023-press-release-SEC-EX99-1.htm; Phase 2/ExxonMobil/Q4 2023/XOM-Q4-2023-exhibit-SEC-EX99-2.htm; Phase 2/ExxonMobil/Q4 2023/XOM-Q4-2023-earnings-call-transcript-InsiderMonkey.html</t>
        </is>
      </c>
      <c r="AN378" s="152" t="inlineStr">
        <is>
          <t>https://www.insidermonkey.com/blog/exxon-mobil-corporation-nysexom-q4-2023-earnings-call-transcript-1253330/; https://www.sec.gov/Archives/edgar/data/34088/000003408824000007/f8k4q23991.htm; https://www.sec.gov/Archives/edgar/data/34088/000003408824000007/f8k4q23992.htm</t>
        </is>
      </c>
      <c r="AO378" s="152" t="inlineStr">
        <is>
          <t>manifest (whole bundle)</t>
        </is>
      </c>
      <c r="AP378" s="152">
        <f>IF($A378="","",IF(COUNTIFS(LLM_Data_Entry!$A$3:$A$548,$A378)&gt;0,"YES","NO"))</f>
        <v/>
      </c>
      <c r="AQ378" s="152">
        <f>IF($A378="","",IF(COUNTIFS($A$3:$A378,$A378,$C$3:$C378,$C378,$D$3:$D378,$D378)=1,"YES","NO"))</f>
        <v/>
      </c>
      <c r="AR378" s="152">
        <f>IF($A378="","",IF(AND($C378&amp;"-"&amp;$D378&gt;=Settings!$B$19,$C378&amp;"-"&amp;$D378&lt;=Settings!$B$20),"IN","OUT"))</f>
        <v/>
      </c>
      <c r="AS378" s="152">
        <f>IF($A378="","",IF($F378="Financial Results","financials",IF($F378="Outlook/Guidance","guidance",IF($F378="Transcript Q&amp;A","qanda",IF($F378="","unrecorded",IF($E378="All","full",IF($E378="","unrecorded",LOWER($E378)&amp;" only")))))))</f>
        <v/>
      </c>
      <c r="AT378" s="152">
        <f>IF(AND(OR($J378="BUY",$J378="SELL"),ISNUMBER($U378)),$U378,"")</f>
        <v/>
      </c>
      <c r="AU378" s="152">
        <f>IF(AND(OR($J378="BUY",$J378="SELL"),ISNUMBER($AK378)),$AK378,"")</f>
        <v/>
      </c>
      <c r="AV378" s="152">
        <f>IF(ISNUMBER($AT378),ABS(IF(ISNUMBER($I378),$I378,0)-Settings!$B$24),"")</f>
        <v/>
      </c>
      <c r="AW378" s="152">
        <f>IF(ISNUMBER($AV378),$AV378*$AT378,"")</f>
        <v/>
      </c>
      <c r="AX378" s="152">
        <f>IF(ISNUMBER($AU378),ABS(IF(ISNUMBER($I378),$I378,0)-Settings!$B$24),"")</f>
        <v/>
      </c>
      <c r="AY378" s="152" t="inlineStr">
        <is>
          <t>EXTENSION</t>
        </is>
      </c>
      <c r="AZ378" s="152">
        <f>IF($A378="","",IFERROR(INDEX(Company_List!$H$3:$H$207,MATCH($A378,Company_List!$A$3:$A$207,0)),"unassigned"))</f>
        <v/>
      </c>
      <c r="BA378" s="152" t="n"/>
      <c r="BB378" s="152" t="n"/>
      <c r="BC378" s="152">
        <f>IF($A378="","",IF(COUNTIFS($A$3:$A378,$A378,$C$3:$C378,$C378,$D$3:$D378,$D378,$G$3:$G378,$G378)=1,1,0))</f>
        <v/>
      </c>
      <c r="BD378" s="152" t="n"/>
      <c r="BE378" s="152" t="n"/>
      <c r="BF378" s="152" t="n"/>
      <c r="BG378" s="152" t="inlineStr">
        <is>
          <t>no</t>
        </is>
      </c>
      <c r="BH378" s="152" t="n"/>
      <c r="BI378" s="152" t="n"/>
      <c r="BJ378" s="152" t="n"/>
      <c r="BK378" s="152">
        <f>IF(OR($H378&lt;&gt;"Human",$S378="",$J378="",$Y378="",$Z378=""),"",IF(EXACT(UPPER($J378),UPPER($Y378)),1,0))</f>
        <v/>
      </c>
      <c r="BL378" s="152" t="inlineStr">
        <is>
          <t>assumed - no rater record</t>
        </is>
      </c>
      <c r="BM378" s="152" t="n">
        <v>3</v>
      </c>
      <c r="BN378" s="152" t="inlineStr">
        <is>
          <t>Insider Monkey (Koala Guide LLC)</t>
        </is>
      </c>
      <c r="BO378" s="152" t="inlineStr">
        <is>
          <t>free to read, copyright asserted</t>
        </is>
      </c>
      <c r="BP378" s="152" t="inlineStr">
        <is>
          <t>no</t>
        </is>
      </c>
      <c r="BQ378" s="152" t="inlineStr">
        <is>
          <t>yes</t>
        </is>
      </c>
      <c r="BR378" s="152" t="n"/>
      <c r="BS378" s="152" t="inlineStr">
        <is>
          <t>YES</t>
        </is>
      </c>
      <c r="BT378" s="152" t="n"/>
    </row>
    <row r="379" ht="15" customHeight="1" s="241">
      <c r="A379" s="193" t="inlineStr">
        <is>
          <t>ExxonMobil</t>
        </is>
      </c>
      <c r="B379" s="194">
        <f>IF(A379="","",_xlfn.XLOOKUP(A379, Company_List!$A:$A, Company_List!$B:$B, ""))</f>
        <v/>
      </c>
      <c r="C379" s="177" t="n">
        <v>2024</v>
      </c>
      <c r="D379" s="177" t="inlineStr">
        <is>
          <t>Q1</t>
        </is>
      </c>
      <c r="E379" s="178" t="inlineStr">
        <is>
          <t>All</t>
        </is>
      </c>
      <c r="F379" s="178" t="inlineStr">
        <is>
          <t>All</t>
        </is>
      </c>
      <c r="G379" s="177" t="inlineStr">
        <is>
          <t>Dragos</t>
        </is>
      </c>
      <c r="H379" s="177" t="inlineStr">
        <is>
          <t>Human</t>
        </is>
      </c>
      <c r="I379" s="180" t="n">
        <v>0.2</v>
      </c>
      <c r="J379" s="180">
        <f>IF(OR(I379="",Settings!$B$6=""),"",IF(I379&gt;Settings!$B$6,"BUY",IF(I379&lt;-Settings!$B$6,"SELL","HOLD")))</f>
        <v/>
      </c>
      <c r="K379" s="180" t="n">
        <v>21</v>
      </c>
      <c r="L379" s="182" t="n">
        <v>45408</v>
      </c>
      <c r="M379" s="182" t="n">
        <v>45407</v>
      </c>
      <c r="N379" s="179" t="n">
        <v>112.7047</v>
      </c>
      <c r="O379" s="182" t="n">
        <v>45408</v>
      </c>
      <c r="P379" s="180" t="n">
        <v>110.5403</v>
      </c>
      <c r="Q379" s="184">
        <f>IF(OR(N379="",P379=""),"",ROUND((P379-N379)/N379,4))</f>
        <v/>
      </c>
      <c r="R379" s="177">
        <f>IF(OR(N379="",P379=""),"",IF(Q379&gt;Settings!$B$3/100,"UP",IF(Q379&lt;-Settings!$B$3/100,"DOWN","FLAT")))</f>
        <v/>
      </c>
      <c r="S379" s="177">
        <f>IF(OR(N379="",P379="",J379=""),"",IF(OR(AND(J379="BUY",R379="UP"),AND(J379="SELL",R379="DOWN"),AND(J379="HOLD",R379="FLAT")),"YES","NO"))</f>
        <v/>
      </c>
      <c r="T379" s="176">
        <f>IF(J379="","",IF(J379="BUY",1,IF(J379="SELL",-1,0)))</f>
        <v/>
      </c>
      <c r="U379" s="184">
        <f>IFERROR(IF(OR(J379="",N379="",P379=""),"",IF(T379=0,0,T379*Q379-Settings!$B$4/10000-IF(T379&lt;0,Settings!$B$5/10000,0))),"")</f>
        <v/>
      </c>
      <c r="V379" s="152" t="inlineStr">
        <is>
          <t>Full document set positive on balance - strong first-quarter earnings of $8.2 billion and $14.7 billion of cash flow from; strong cash flow from operations of $14.7 billion and free cash flow of $10.1 billion in; structural cost savings, which reached $10.1 billion in the quarter versus 2019, furthering. Against that: identified items, earnings decreased $955 million driven by a 32% decrease in natural. 8 forward claims flagged hypothetical and discounted, but the concrete numbers carry it.</t>
        </is>
      </c>
      <c r="W379" s="176">
        <f>IF($K379="","",$K379*60)</f>
        <v/>
      </c>
      <c r="X379" s="186">
        <f>IF($A379="","",$A379&amp;"|"&amp;$C379&amp;"|"&amp;$D379)</f>
        <v/>
      </c>
      <c r="Y379" s="186">
        <f>IFERROR(IF($X379="","",INDEX(LLM_Data_Entry!$H$3:$H$548,MATCH($X379,INDEX(LLM_Data_Entry!$A$3:$A$548&amp;"|"&amp;LLM_Data_Entry!$C$3:$C$548&amp;"|"&amp;LLM_Data_Entry!$D$3:$D$548,0),0))),"")</f>
        <v/>
      </c>
      <c r="Z379" s="186">
        <f>IFERROR(IF($X379="","",INDEX(LLM_Data_Entry!$R$3:$R$548,MATCH($X379,INDEX(LLM_Data_Entry!$A$3:$A$548&amp;"|"&amp;LLM_Data_Entry!$C$3:$C$548&amp;"|"&amp;LLM_Data_Entry!$D$3:$D$548,0),0))),"")</f>
        <v/>
      </c>
      <c r="AA379" s="152" t="n"/>
      <c r="AB379" s="152" t="inlineStr">
        <is>
          <t>release date + stated time</t>
        </is>
      </c>
      <c r="AC379" s="152" t="inlineStr">
        <is>
          <t>XOM</t>
        </is>
      </c>
      <c r="AD379" s="152" t="inlineStr">
        <is>
          <t>2024-04-25</t>
        </is>
      </c>
      <c r="AE379" s="152" t="n">
        <v>112.7047</v>
      </c>
      <c r="AF379" s="152" t="inlineStr">
        <is>
          <t>2024-04-26</t>
        </is>
      </c>
      <c r="AG379" s="152" t="n">
        <v>110.5403</v>
      </c>
      <c r="AH379" s="152" t="n">
        <v>-0.01920386323237336</v>
      </c>
      <c r="AI379" s="152" t="inlineStr">
        <is>
          <t>FLAT</t>
        </is>
      </c>
      <c r="AJ379" s="152" t="inlineStr">
        <is>
          <t>YES</t>
        </is>
      </c>
      <c r="AK379" s="152" t="n">
        <v>0</v>
      </c>
      <c r="AL379" s="152">
        <f>IF($A379="","",IFERROR(INDEX(Company_List!$G$3:$G$207,MATCH($A379,Company_List!$A$3:$A$207,0)),"unassigned"))</f>
        <v/>
      </c>
      <c r="AM379" s="152" t="inlineStr">
        <is>
          <t>Phase 2/ExxonMobil/Q1 2024/XOM-Q1-2024-press-release-SEC-EX99-1.htm; Phase 2/ExxonMobil/Q1 2024/XOM-Q1-2024-exhibit-SEC-EX99-2.htm; Phase 2/ExxonMobil/Q1 2024/XOM-Q1-2024-earnings-call-transcript-MotleyFool.html</t>
        </is>
      </c>
      <c r="AN379" s="152" t="inlineStr">
        <is>
          <t>https://www.fool.com/earnings/call-transcripts/2024/04/26/exxonmobil-xom-q1-2024-earnings-call-transcript/; https://www.sec.gov/Archives/edgar/data/34088/000003408824000025/f8k1q24991.htm; https://www.sec.gov/Archives/edgar/data/34088/000003408824000025/f8k1q24992.htm</t>
        </is>
      </c>
      <c r="AO379" s="152" t="inlineStr">
        <is>
          <t>manifest (whole bundle)</t>
        </is>
      </c>
      <c r="AP379" s="152">
        <f>IF($A379="","",IF(COUNTIFS(LLM_Data_Entry!$A$3:$A$548,$A379)&gt;0,"YES","NO"))</f>
        <v/>
      </c>
      <c r="AQ379" s="152">
        <f>IF($A379="","",IF(COUNTIFS($A$3:$A379,$A379,$C$3:$C379,$C379,$D$3:$D379,$D379)=1,"YES","NO"))</f>
        <v/>
      </c>
      <c r="AR379" s="152">
        <f>IF($A379="","",IF(AND($C379&amp;"-"&amp;$D379&gt;=Settings!$B$19,$C379&amp;"-"&amp;$D379&lt;=Settings!$B$20),"IN","OUT"))</f>
        <v/>
      </c>
      <c r="AS379" s="152">
        <f>IF($A379="","",IF($F379="Financial Results","financials",IF($F379="Outlook/Guidance","guidance",IF($F379="Transcript Q&amp;A","qanda",IF($F379="","unrecorded",IF($E379="All","full",IF($E379="","unrecorded",LOWER($E379)&amp;" only")))))))</f>
        <v/>
      </c>
      <c r="AT379" s="152">
        <f>IF(AND(OR($J379="BUY",$J379="SELL"),ISNUMBER($U379)),$U379,"")</f>
        <v/>
      </c>
      <c r="AU379" s="152">
        <f>IF(AND(OR($J379="BUY",$J379="SELL"),ISNUMBER($AK379)),$AK379,"")</f>
        <v/>
      </c>
      <c r="AV379" s="152">
        <f>IF(ISNUMBER($AT379),ABS(IF(ISNUMBER($I379),$I379,0)-Settings!$B$24),"")</f>
        <v/>
      </c>
      <c r="AW379" s="152">
        <f>IF(ISNUMBER($AV379),$AV379*$AT379,"")</f>
        <v/>
      </c>
      <c r="AX379" s="152">
        <f>IF(ISNUMBER($AU379),ABS(IF(ISNUMBER($I379),$I379,0)-Settings!$B$24),"")</f>
        <v/>
      </c>
      <c r="AY379" s="152" t="inlineStr">
        <is>
          <t>EXTENSION</t>
        </is>
      </c>
      <c r="AZ379" s="152">
        <f>IF($A379="","",IFERROR(INDEX(Company_List!$H$3:$H$207,MATCH($A379,Company_List!$A$3:$A$207,0)),"unassigned"))</f>
        <v/>
      </c>
      <c r="BA379" s="152" t="n"/>
      <c r="BB379" s="152" t="n"/>
      <c r="BC379" s="152">
        <f>IF($A379="","",IF(COUNTIFS($A$3:$A379,$A379,$C$3:$C379,$C379,$D$3:$D379,$D379,$G$3:$G379,$G379)=1,1,0))</f>
        <v/>
      </c>
      <c r="BD379" s="152" t="n"/>
      <c r="BE379" s="152" t="n"/>
      <c r="BF379" s="152" t="n"/>
      <c r="BG379" s="152" t="inlineStr">
        <is>
          <t>no</t>
        </is>
      </c>
      <c r="BH379" s="152" t="n"/>
      <c r="BI379" s="152" t="n"/>
      <c r="BJ379" s="152" t="n"/>
      <c r="BK379" s="152">
        <f>IF(OR($H379&lt;&gt;"Human",$S379="",$J379="",$Y379="",$Z379=""),"",IF(EXACT(UPPER($J379),UPPER($Y379)),1,0))</f>
        <v/>
      </c>
      <c r="BL379" s="152" t="inlineStr">
        <is>
          <t>assumed - no rater record</t>
        </is>
      </c>
      <c r="BM379" s="152" t="n">
        <v>3</v>
      </c>
      <c r="BN379" s="152" t="inlineStr">
        <is>
          <t>The Motley Fool</t>
        </is>
      </c>
      <c r="BO379" s="152" t="inlineStr">
        <is>
          <t>free to read, copyright asserted</t>
        </is>
      </c>
      <c r="BP379" s="152" t="inlineStr">
        <is>
          <t>no</t>
        </is>
      </c>
      <c r="BQ379" s="152" t="inlineStr">
        <is>
          <t>yes</t>
        </is>
      </c>
      <c r="BR379" s="152" t="n"/>
      <c r="BS379" s="152" t="inlineStr">
        <is>
          <t>YES</t>
        </is>
      </c>
      <c r="BT379" s="152" t="n"/>
    </row>
    <row r="380" ht="15" customHeight="1" s="241">
      <c r="A380" s="193" t="inlineStr">
        <is>
          <t>ExxonMobil</t>
        </is>
      </c>
      <c r="B380" s="194">
        <f>IF(A380="","",_xlfn.XLOOKUP(A380, Company_List!$A:$A, Company_List!$B:$B, ""))</f>
        <v/>
      </c>
      <c r="C380" s="177" t="n">
        <v>2024</v>
      </c>
      <c r="D380" s="177" t="inlineStr">
        <is>
          <t>Q2</t>
        </is>
      </c>
      <c r="E380" s="178" t="inlineStr">
        <is>
          <t>All</t>
        </is>
      </c>
      <c r="F380" s="178" t="inlineStr">
        <is>
          <t>All</t>
        </is>
      </c>
      <c r="G380" s="177" t="inlineStr">
        <is>
          <t>Dragos</t>
        </is>
      </c>
      <c r="H380" s="177" t="inlineStr">
        <is>
          <t>Human</t>
        </is>
      </c>
      <c r="I380" s="180" t="n">
        <v>0.6</v>
      </c>
      <c r="J380" s="180">
        <f>IF(OR(I380="",Settings!$B$6=""),"",IF(I380&gt;Settings!$B$6,"BUY",IF(I380&lt;-Settings!$B$6,"SELL","HOLD")))</f>
        <v/>
      </c>
      <c r="K380" s="180" t="n">
        <v>19</v>
      </c>
      <c r="L380" s="182" t="n">
        <v>45506</v>
      </c>
      <c r="M380" s="182" t="n">
        <v>45506</v>
      </c>
      <c r="N380" s="179" t="n">
        <v>109.4529</v>
      </c>
      <c r="O380" s="182" t="n">
        <v>45509</v>
      </c>
      <c r="P380" s="180" t="n">
        <v>108.198</v>
      </c>
      <c r="Q380" s="184">
        <f>IF(OR(N380="",P380=""),"",ROUND((P380-N380)/N380,4))</f>
        <v/>
      </c>
      <c r="R380" s="177">
        <f>IF(OR(N380="",P380=""),"",IF(Q380&gt;Settings!$B$3/100,"UP",IF(Q380&lt;-Settings!$B$3/100,"DOWN","FLAT")))</f>
        <v/>
      </c>
      <c r="S380" s="177">
        <f>IF(OR(N380="",P380="",J380=""),"",IF(OR(AND(J380="BUY",R380="UP"),AND(J380="SELL",R380="DOWN"),AND(J380="HOLD",R380="FLAT")),"YES","NO"))</f>
        <v/>
      </c>
      <c r="T380" s="176">
        <f>IF(J380="","",IF(J380="BUY",1,IF(J380="SELL",-1,0)))</f>
        <v/>
      </c>
      <c r="U380" s="184">
        <f>IFERROR(IF(OR(J380="",N380="",P380=""),"",IF(T380=0,0,T380*Q380-Settings!$B$4/10000-IF(T380&lt;0,Settings!$B$5/10000,0))),"")</f>
        <v/>
      </c>
      <c r="V380" s="152" t="inlineStr">
        <is>
          <t>Full document set strong across the board - strong cash flow from operations of $25.2 billion and free cash flow of $15.0 billion in; addressable market for Proxxima at 5 million tons and $30 billion by 2030, with; Year-to-date net production was 4.1 million oil-equivalent barrels per day, an. Against that: second-quarter net charges of $310 million decreased $52 million versus the first. 5 forward claims flagged hypothetical and discounted, but the concrete numbers carry it.</t>
        </is>
      </c>
      <c r="W380" s="176">
        <f>IF($K380="","",$K380*60)</f>
        <v/>
      </c>
      <c r="X380" s="186">
        <f>IF($A380="","",$A380&amp;"|"&amp;$C380&amp;"|"&amp;$D380)</f>
        <v/>
      </c>
      <c r="Y380" s="186">
        <f>IFERROR(IF($X380="","",INDEX(LLM_Data_Entry!$H$3:$H$548,MATCH($X380,INDEX(LLM_Data_Entry!$A$3:$A$548&amp;"|"&amp;LLM_Data_Entry!$C$3:$C$548&amp;"|"&amp;LLM_Data_Entry!$D$3:$D$548,0),0))),"")</f>
        <v/>
      </c>
      <c r="Z380" s="186">
        <f>IFERROR(IF($X380="","",INDEX(LLM_Data_Entry!$R$3:$R$548,MATCH($X380,INDEX(LLM_Data_Entry!$A$3:$A$548&amp;"|"&amp;LLM_Data_Entry!$C$3:$C$548&amp;"|"&amp;LLM_Data_Entry!$D$3:$D$548,0),0))),"")</f>
        <v/>
      </c>
      <c r="AA380" s="152" t="n"/>
      <c r="AB380" s="152" t="inlineStr">
        <is>
          <t>price signal — only this window shows an abnormal move</t>
        </is>
      </c>
      <c r="AC380" s="152" t="inlineStr">
        <is>
          <t>XOM</t>
        </is>
      </c>
      <c r="AD380" s="152" t="inlineStr">
        <is>
          <t>2024-08-02</t>
        </is>
      </c>
      <c r="AE380" s="152" t="n">
        <v>109.4529</v>
      </c>
      <c r="AF380" s="152" t="inlineStr">
        <is>
          <t>2024-08-05</t>
        </is>
      </c>
      <c r="AG380" s="152" t="n">
        <v>108.198</v>
      </c>
      <c r="AH380" s="152" t="n">
        <v>-0.01146473410969592</v>
      </c>
      <c r="AI380" s="152" t="inlineStr">
        <is>
          <t>FLAT</t>
        </is>
      </c>
      <c r="AJ380" s="152" t="inlineStr">
        <is>
          <t>NO</t>
        </is>
      </c>
      <c r="AK380" s="152" t="n">
        <v>-0.012465</v>
      </c>
      <c r="AL380" s="152">
        <f>IF($A380="","",IFERROR(INDEX(Company_List!$G$3:$G$207,MATCH($A380,Company_List!$A$3:$A$207,0)),"unassigned"))</f>
        <v/>
      </c>
      <c r="AM380" s="152" t="inlineStr">
        <is>
          <t>Phase 2/ExxonMobil/Q2 2024/XOM-Q2-2024-press-release-SEC-EX99-1.htm; Phase 2/ExxonMobil/Q2 2024/XOM-Q2-2024-exhibit-SEC-EX99-2.htm; Phase 2/ExxonMobil/Q2 2024/XOM-Q2-2024-earnings-call-transcript-AlphaStreet.html</t>
        </is>
      </c>
      <c r="AN380" s="152" t="inlineStr">
        <is>
          <t>https://news.alphastreet.com/exxon-mobil-corporation-xom-q2-2024-earnings-call-transcript/; https://www.sec.gov/Archives/edgar/data/34088/000003408824000048/f8k2q24991.htm; https://www.sec.gov/Archives/edgar/data/34088/000003408824000048/f8k2q24992.htm</t>
        </is>
      </c>
      <c r="AO380" s="152" t="inlineStr">
        <is>
          <t>manifest (whole bundle)</t>
        </is>
      </c>
      <c r="AP380" s="152">
        <f>IF($A380="","",IF(COUNTIFS(LLM_Data_Entry!$A$3:$A$548,$A380)&gt;0,"YES","NO"))</f>
        <v/>
      </c>
      <c r="AQ380" s="152">
        <f>IF($A380="","",IF(COUNTIFS($A$3:$A380,$A380,$C$3:$C380,$C380,$D$3:$D380,$D380)=1,"YES","NO"))</f>
        <v/>
      </c>
      <c r="AR380" s="152">
        <f>IF($A380="","",IF(AND($C380&amp;"-"&amp;$D380&gt;=Settings!$B$19,$C380&amp;"-"&amp;$D380&lt;=Settings!$B$20),"IN","OUT"))</f>
        <v/>
      </c>
      <c r="AS380" s="152">
        <f>IF($A380="","",IF($F380="Financial Results","financials",IF($F380="Outlook/Guidance","guidance",IF($F380="Transcript Q&amp;A","qanda",IF($F380="","unrecorded",IF($E380="All","full",IF($E380="","unrecorded",LOWER($E380)&amp;" only")))))))</f>
        <v/>
      </c>
      <c r="AT380" s="152">
        <f>IF(AND(OR($J380="BUY",$J380="SELL"),ISNUMBER($U380)),$U380,"")</f>
        <v/>
      </c>
      <c r="AU380" s="152">
        <f>IF(AND(OR($J380="BUY",$J380="SELL"),ISNUMBER($AK380)),$AK380,"")</f>
        <v/>
      </c>
      <c r="AV380" s="152">
        <f>IF(ISNUMBER($AT380),ABS(IF(ISNUMBER($I380),$I380,0)-Settings!$B$24),"")</f>
        <v/>
      </c>
      <c r="AW380" s="152">
        <f>IF(ISNUMBER($AV380),$AV380*$AT380,"")</f>
        <v/>
      </c>
      <c r="AX380" s="152">
        <f>IF(ISNUMBER($AU380),ABS(IF(ISNUMBER($I380),$I380,0)-Settings!$B$24),"")</f>
        <v/>
      </c>
      <c r="AY380" s="152" t="inlineStr">
        <is>
          <t>EXTENSION</t>
        </is>
      </c>
      <c r="AZ380" s="152">
        <f>IF($A380="","",IFERROR(INDEX(Company_List!$H$3:$H$207,MATCH($A380,Company_List!$A$3:$A$207,0)),"unassigned"))</f>
        <v/>
      </c>
      <c r="BA380" s="152" t="n"/>
      <c r="BB380" s="152" t="n"/>
      <c r="BC380" s="152">
        <f>IF($A380="","",IF(COUNTIFS($A$3:$A380,$A380,$C$3:$C380,$C380,$D$3:$D380,$D380,$G$3:$G380,$G380)=1,1,0))</f>
        <v/>
      </c>
      <c r="BD380" s="152" t="n"/>
      <c r="BE380" s="152" t="n"/>
      <c r="BF380" s="152" t="n"/>
      <c r="BG380" s="152" t="inlineStr">
        <is>
          <t>no</t>
        </is>
      </c>
      <c r="BH380" s="152" t="n"/>
      <c r="BI380" s="152" t="n"/>
      <c r="BJ380" s="152" t="n"/>
      <c r="BK380" s="152">
        <f>IF(OR($H380&lt;&gt;"Human",$S380="",$J380="",$Y380="",$Z380=""),"",IF(EXACT(UPPER($J380),UPPER($Y380)),1,0))</f>
        <v/>
      </c>
      <c r="BL380" s="152" t="inlineStr">
        <is>
          <t>assumed - no rater record</t>
        </is>
      </c>
      <c r="BM380" s="152" t="n">
        <v>3</v>
      </c>
      <c r="BN380" s="152" t="inlineStr">
        <is>
          <t>not publisher-identified</t>
        </is>
      </c>
      <c r="BO380" s="152" t="inlineStr">
        <is>
          <t>not publisher-identified</t>
        </is>
      </c>
      <c r="BP380" s="152" t="inlineStr">
        <is>
          <t>no</t>
        </is>
      </c>
      <c r="BQ380" s="152" t="inlineStr">
        <is>
          <t>yes</t>
        </is>
      </c>
      <c r="BR380" s="152" t="n"/>
      <c r="BS380" s="152" t="inlineStr">
        <is>
          <t>YES</t>
        </is>
      </c>
      <c r="BT380" s="152" t="n"/>
    </row>
    <row r="381" ht="15" customHeight="1" s="241">
      <c r="A381" s="193" t="inlineStr">
        <is>
          <t>ExxonMobil</t>
        </is>
      </c>
      <c r="B381" s="194">
        <f>IF(A381="","",_xlfn.XLOOKUP(A381, Company_List!$A:$A, Company_List!$B:$B, ""))</f>
        <v/>
      </c>
      <c r="C381" s="177" t="n">
        <v>2024</v>
      </c>
      <c r="D381" s="177" t="inlineStr">
        <is>
          <t>Q3</t>
        </is>
      </c>
      <c r="E381" s="178" t="inlineStr">
        <is>
          <t>All</t>
        </is>
      </c>
      <c r="F381" s="178" t="inlineStr">
        <is>
          <t>All</t>
        </is>
      </c>
      <c r="G381" s="177" t="inlineStr">
        <is>
          <t>Dragos</t>
        </is>
      </c>
      <c r="H381" s="177" t="inlineStr">
        <is>
          <t>Human</t>
        </is>
      </c>
      <c r="I381" s="180" t="n">
        <v>0.6</v>
      </c>
      <c r="J381" s="180">
        <f>IF(OR(I381="",Settings!$B$6=""),"",IF(I381&gt;Settings!$B$6,"BUY",IF(I381&lt;-Settings!$B$6,"SELL","HOLD")))</f>
        <v/>
      </c>
      <c r="K381" s="180" t="n">
        <v>15</v>
      </c>
      <c r="L381" s="182" t="n">
        <v>45597</v>
      </c>
      <c r="M381" s="182" t="n">
        <v>45596</v>
      </c>
      <c r="N381" s="179" t="n">
        <v>110.2396</v>
      </c>
      <c r="O381" s="182" t="n">
        <v>45597</v>
      </c>
      <c r="P381" s="180" t="n">
        <v>113.2132</v>
      </c>
      <c r="Q381" s="184">
        <f>IF(OR(N381="",P381=""),"",ROUND((P381-N381)/N381,4))</f>
        <v/>
      </c>
      <c r="R381" s="177">
        <f>IF(OR(N381="",P381=""),"",IF(Q381&gt;Settings!$B$3/100,"UP",IF(Q381&lt;-Settings!$B$3/100,"DOWN","FLAT")))</f>
        <v/>
      </c>
      <c r="S381" s="177">
        <f>IF(OR(N381="",P381="",J381=""),"",IF(OR(AND(J381="BUY",R381="UP"),AND(J381="SELL",R381="DOWN"),AND(J381="HOLD",R381="FLAT")),"YES","NO"))</f>
        <v/>
      </c>
      <c r="T381" s="176">
        <f>IF(J381="","",IF(J381="BUY",1,IF(J381="SELL",-1,0)))</f>
        <v/>
      </c>
      <c r="U381" s="184">
        <f>IFERROR(IF(OR(J381="",N381="",P381=""),"",IF(T381=0,0,T381*Q381-Settings!$B$4/10000-IF(T381&lt;0,Settings!$B$5/10000,0))),"")</f>
        <v/>
      </c>
      <c r="V381" s="152" t="inlineStr">
        <is>
          <t>Full document set strong across the board - • Returned $9.8 billion to shareholders in the quarter and; is delivering leading returns of 20% so far this year for our shareholders; strong cash flow from operations of $42.8 billion and free cash flow of $26.4 billion in. Against that: • Third-quarter earnings were $6.2 billion, a decrease of $916 million from the. 6 forward claims flagged hypothetical and discounted, but the concrete numbers carry it.</t>
        </is>
      </c>
      <c r="W381" s="176">
        <f>IF($K381="","",$K381*60)</f>
        <v/>
      </c>
      <c r="X381" s="186">
        <f>IF($A381="","",$A381&amp;"|"&amp;$C381&amp;"|"&amp;$D381)</f>
        <v/>
      </c>
      <c r="Y381" s="186">
        <f>IFERROR(IF($X381="","",INDEX(LLM_Data_Entry!$H$3:$H$548,MATCH($X381,INDEX(LLM_Data_Entry!$A$3:$A$548&amp;"|"&amp;LLM_Data_Entry!$C$3:$C$548&amp;"|"&amp;LLM_Data_Entry!$D$3:$D$548,0),0))),"")</f>
        <v/>
      </c>
      <c r="Z381" s="186">
        <f>IFERROR(IF($X381="","",INDEX(LLM_Data_Entry!$R$3:$R$548,MATCH($X381,INDEX(LLM_Data_Entry!$A$3:$A$548&amp;"|"&amp;LLM_Data_Entry!$C$3:$C$548&amp;"|"&amp;LLM_Data_Entry!$D$3:$D$548,0),0))),"")</f>
        <v/>
      </c>
      <c r="AA381" s="152" t="n"/>
      <c r="AB381" s="152" t="inlineStr">
        <is>
          <t>document date + price signal</t>
        </is>
      </c>
      <c r="AC381" s="152" t="inlineStr">
        <is>
          <t>XOM</t>
        </is>
      </c>
      <c r="AD381" s="152" t="inlineStr">
        <is>
          <t>2024-10-31</t>
        </is>
      </c>
      <c r="AE381" s="152" t="n">
        <v>110.2396</v>
      </c>
      <c r="AF381" s="152" t="inlineStr">
        <is>
          <t>2024-11-01</t>
        </is>
      </c>
      <c r="AG381" s="152" t="n">
        <v>113.2132</v>
      </c>
      <c r="AH381" s="152" t="n">
        <v>0.02697383625741938</v>
      </c>
      <c r="AI381" s="152" t="inlineStr">
        <is>
          <t>UP</t>
        </is>
      </c>
      <c r="AJ381" s="152" t="inlineStr">
        <is>
          <t>YES</t>
        </is>
      </c>
      <c r="AK381" s="152" t="n">
        <v>0.025974</v>
      </c>
      <c r="AL381" s="152">
        <f>IF($A381="","",IFERROR(INDEX(Company_List!$G$3:$G$207,MATCH($A381,Company_List!$A$3:$A$207,0)),"unassigned"))</f>
        <v/>
      </c>
      <c r="AM381" s="152" t="inlineStr">
        <is>
          <t>Phase 2/ExxonMobil/Q3 2024/XOM-Q3-2024-press-release-SEC-EX99-1.htm; Phase 2/ExxonMobil/Q3 2024/XOM-Q3-2024-exhibit-SEC-EX99-2.htm; Phase 2/ExxonMobil/Q3 2024/XOM-Q3-2024-earnings-call-transcript-InsiderMonkey.html</t>
        </is>
      </c>
      <c r="AN381" s="152" t="inlineStr">
        <is>
          <t>https://www.insidermonkey.com/blog/exxon-mobil-corporation-nysexom-q3-2024-earnings-call-transcript-1384592/; https://www.sec.gov/Archives/edgar/data/34088/000003408824000066/f8k3q24991.htm; https://www.sec.gov/Archives/edgar/data/34088/000003408824000066/f8k3q24992.htm</t>
        </is>
      </c>
      <c r="AO381" s="152" t="inlineStr">
        <is>
          <t>manifest (whole bundle)</t>
        </is>
      </c>
      <c r="AP381" s="152">
        <f>IF($A381="","",IF(COUNTIFS(LLM_Data_Entry!$A$3:$A$548,$A381)&gt;0,"YES","NO"))</f>
        <v/>
      </c>
      <c r="AQ381" s="152">
        <f>IF($A381="","",IF(COUNTIFS($A$3:$A381,$A381,$C$3:$C381,$C381,$D$3:$D381,$D381)=1,"YES","NO"))</f>
        <v/>
      </c>
      <c r="AR381" s="152">
        <f>IF($A381="","",IF(AND($C381&amp;"-"&amp;$D381&gt;=Settings!$B$19,$C381&amp;"-"&amp;$D381&lt;=Settings!$B$20),"IN","OUT"))</f>
        <v/>
      </c>
      <c r="AS381" s="152">
        <f>IF($A381="","",IF($F381="Financial Results","financials",IF($F381="Outlook/Guidance","guidance",IF($F381="Transcript Q&amp;A","qanda",IF($F381="","unrecorded",IF($E381="All","full",IF($E381="","unrecorded",LOWER($E381)&amp;" only")))))))</f>
        <v/>
      </c>
      <c r="AT381" s="152">
        <f>IF(AND(OR($J381="BUY",$J381="SELL"),ISNUMBER($U381)),$U381,"")</f>
        <v/>
      </c>
      <c r="AU381" s="152">
        <f>IF(AND(OR($J381="BUY",$J381="SELL"),ISNUMBER($AK381)),$AK381,"")</f>
        <v/>
      </c>
      <c r="AV381" s="152">
        <f>IF(ISNUMBER($AT381),ABS(IF(ISNUMBER($I381),$I381,0)-Settings!$B$24),"")</f>
        <v/>
      </c>
      <c r="AW381" s="152">
        <f>IF(ISNUMBER($AV381),$AV381*$AT381,"")</f>
        <v/>
      </c>
      <c r="AX381" s="152">
        <f>IF(ISNUMBER($AU381),ABS(IF(ISNUMBER($I381),$I381,0)-Settings!$B$24),"")</f>
        <v/>
      </c>
      <c r="AY381" s="152" t="inlineStr">
        <is>
          <t>EXTENSION</t>
        </is>
      </c>
      <c r="AZ381" s="152">
        <f>IF($A381="","",IFERROR(INDEX(Company_List!$H$3:$H$207,MATCH($A381,Company_List!$A$3:$A$207,0)),"unassigned"))</f>
        <v/>
      </c>
      <c r="BA381" s="152" t="n"/>
      <c r="BB381" s="152" t="n"/>
      <c r="BC381" s="152">
        <f>IF($A381="","",IF(COUNTIFS($A$3:$A381,$A381,$C$3:$C381,$C381,$D$3:$D381,$D381,$G$3:$G381,$G381)=1,1,0))</f>
        <v/>
      </c>
      <c r="BD381" s="152" t="n"/>
      <c r="BE381" s="152" t="n"/>
      <c r="BF381" s="152" t="n"/>
      <c r="BG381" s="152" t="inlineStr">
        <is>
          <t>no</t>
        </is>
      </c>
      <c r="BH381" s="152" t="n"/>
      <c r="BI381" s="152" t="n"/>
      <c r="BJ381" s="152" t="n"/>
      <c r="BK381" s="152">
        <f>IF(OR($H381&lt;&gt;"Human",$S381="",$J381="",$Y381="",$Z381=""),"",IF(EXACT(UPPER($J381),UPPER($Y381)),1,0))</f>
        <v/>
      </c>
      <c r="BL381" s="152" t="inlineStr">
        <is>
          <t>assumed - no rater record</t>
        </is>
      </c>
      <c r="BM381" s="152" t="n">
        <v>3</v>
      </c>
      <c r="BN381" s="152" t="inlineStr">
        <is>
          <t>Insider Monkey (Koala Guide LLC)</t>
        </is>
      </c>
      <c r="BO381" s="152" t="inlineStr">
        <is>
          <t>free to read, copyright asserted</t>
        </is>
      </c>
      <c r="BP381" s="152" t="inlineStr">
        <is>
          <t>no</t>
        </is>
      </c>
      <c r="BQ381" s="152" t="inlineStr">
        <is>
          <t>yes</t>
        </is>
      </c>
      <c r="BR381" s="152" t="n"/>
      <c r="BS381" s="152" t="inlineStr">
        <is>
          <t>YES</t>
        </is>
      </c>
      <c r="BT381" s="152" t="n"/>
    </row>
    <row r="382" ht="15" customHeight="1" s="241">
      <c r="A382" s="193" t="inlineStr">
        <is>
          <t>ExxonMobil</t>
        </is>
      </c>
      <c r="B382" s="194">
        <f>IF(A382="","",_xlfn.XLOOKUP(A382, Company_List!$A:$A, Company_List!$B:$B, ""))</f>
        <v/>
      </c>
      <c r="C382" s="177" t="n">
        <v>2024</v>
      </c>
      <c r="D382" s="177" t="inlineStr">
        <is>
          <t>Q4</t>
        </is>
      </c>
      <c r="E382" s="178" t="inlineStr">
        <is>
          <t>All</t>
        </is>
      </c>
      <c r="F382" s="178" t="inlineStr">
        <is>
          <t>All</t>
        </is>
      </c>
      <c r="G382" s="177" t="inlineStr">
        <is>
          <t>Dragos</t>
        </is>
      </c>
      <c r="H382" s="177" t="inlineStr">
        <is>
          <t>Human</t>
        </is>
      </c>
      <c r="I382" s="180" t="n">
        <v>0.4</v>
      </c>
      <c r="J382" s="180">
        <f>IF(OR(I382="",Settings!$B$6=""),"",IF(I382&gt;Settings!$B$6,"BUY",IF(I382&lt;-Settings!$B$6,"SELL","HOLD")))</f>
        <v/>
      </c>
      <c r="K382" s="180" t="n">
        <v>18</v>
      </c>
      <c r="L382" s="182" t="n">
        <v>45688</v>
      </c>
      <c r="M382" s="182" t="n">
        <v>45688</v>
      </c>
      <c r="N382" s="179" t="n">
        <v>101.6756</v>
      </c>
      <c r="O382" s="182" t="n">
        <v>45691</v>
      </c>
      <c r="P382" s="180" t="n">
        <v>101.4947</v>
      </c>
      <c r="Q382" s="184">
        <f>IF(OR(N382="",P382=""),"",ROUND((P382-N382)/N382,4))</f>
        <v/>
      </c>
      <c r="R382" s="177">
        <f>IF(OR(N382="",P382=""),"",IF(Q382&gt;Settings!$B$3/100,"UP",IF(Q382&lt;-Settings!$B$3/100,"DOWN","FLAT")))</f>
        <v/>
      </c>
      <c r="S382" s="177">
        <f>IF(OR(N382="",P382="",J382=""),"",IF(OR(AND(J382="BUY",R382="UP"),AND(J382="SELL",R382="DOWN"),AND(J382="HOLD",R382="FLAT")),"YES","NO"))</f>
        <v/>
      </c>
      <c r="T382" s="176">
        <f>IF(J382="","",IF(J382="BUY",1,IF(J382="SELL",-1,0)))</f>
        <v/>
      </c>
      <c r="U382" s="184">
        <f>IFERROR(IF(OR(J382="",N382="",P382=""),"",IF(T382=0,0,T382*Q382-Settings!$B$4/10000-IF(T382&lt;0,Settings!$B$5/10000,0))),"")</f>
        <v/>
      </c>
      <c r="V382" s="152" t="inlineStr">
        <is>
          <t>Full document set positive on balance - a working capital increase of $1.8 billion was $36.2 billion, which covered; strong cash flow from operations of $55.0 billion and free cash flow of $34.4 billion in; the highest level in over ten years at 4.3 million oil-equivalent barrels per day, an. Against that: for the year improved earnings by $0.2 billion versus the unfavorable $2.3 billion. 4 forward claims flagged hypothetical and discounted, but the concrete numbers carry it.</t>
        </is>
      </c>
      <c r="W382" s="176">
        <f>IF($K382="","",$K382*60)</f>
        <v/>
      </c>
      <c r="X382" s="186">
        <f>IF($A382="","",$A382&amp;"|"&amp;$C382&amp;"|"&amp;$D382)</f>
        <v/>
      </c>
      <c r="Y382" s="186">
        <f>IFERROR(IF($X382="","",INDEX(LLM_Data_Entry!$H$3:$H$548,MATCH($X382,INDEX(LLM_Data_Entry!$A$3:$A$548&amp;"|"&amp;LLM_Data_Entry!$C$3:$C$548&amp;"|"&amp;LLM_Data_Entry!$D$3:$D$548,0),0))),"")</f>
        <v/>
      </c>
      <c r="Z382" s="186">
        <f>IFERROR(IF($X382="","",INDEX(LLM_Data_Entry!$R$3:$R$548,MATCH($X382,INDEX(LLM_Data_Entry!$A$3:$A$548&amp;"|"&amp;LLM_Data_Entry!$C$3:$C$548&amp;"|"&amp;LLM_Data_Entry!$D$3:$D$548,0),0))),"")</f>
        <v/>
      </c>
      <c r="AA382" s="152" t="n"/>
      <c r="AB382" s="152" t="inlineStr">
        <is>
          <t>price signal — only this window shows an abnormal move</t>
        </is>
      </c>
      <c r="AC382" s="152" t="inlineStr">
        <is>
          <t>XOM</t>
        </is>
      </c>
      <c r="AD382" s="152" t="inlineStr">
        <is>
          <t>2025-01-31</t>
        </is>
      </c>
      <c r="AE382" s="152" t="n">
        <v>101.6756</v>
      </c>
      <c r="AF382" s="152" t="inlineStr">
        <is>
          <t>2025-02-03</t>
        </is>
      </c>
      <c r="AG382" s="152" t="n">
        <v>101.4947</v>
      </c>
      <c r="AH382" s="152" t="n">
        <v>-0.001778687900665696</v>
      </c>
      <c r="AI382" s="152" t="inlineStr">
        <is>
          <t>FLAT</t>
        </is>
      </c>
      <c r="AJ382" s="152" t="inlineStr">
        <is>
          <t>NO</t>
        </is>
      </c>
      <c r="AK382" s="152" t="n">
        <v>-0.002779</v>
      </c>
      <c r="AL382" s="152">
        <f>IF($A382="","",IFERROR(INDEX(Company_List!$G$3:$G$207,MATCH($A382,Company_List!$A$3:$A$207,0)),"unassigned"))</f>
        <v/>
      </c>
      <c r="AM382" s="152" t="inlineStr">
        <is>
          <t>Phase 2/ExxonMobil/Q4 2024/XOM-Q4-2024-press-release-SEC-EX99-1.htm; Phase 2/ExxonMobil/Q4 2024/XOM-Q4-2024-exhibit-SEC-EX99-2.htm; Phase 2/ExxonMobil/Q4 2024/XOM-Q4-2024-earnings-call-transcript-InsiderMonkey.html</t>
        </is>
      </c>
      <c r="AN382" s="152" t="inlineStr">
        <is>
          <t>https://www.insidermonkey.com/blog/exxon-mobil-corporation-nysexom-q4-2024-earnings-call-transcript-1440191/; https://www.sec.gov/Archives/edgar/data/34088/000003408825000006/f8k4q24991.htm; https://www.sec.gov/Archives/edgar/data/34088/000003408825000006/f8k4q24992.htm</t>
        </is>
      </c>
      <c r="AO382" s="152" t="inlineStr">
        <is>
          <t>manifest (whole bundle)</t>
        </is>
      </c>
      <c r="AP382" s="152">
        <f>IF($A382="","",IF(COUNTIFS(LLM_Data_Entry!$A$3:$A$548,$A382)&gt;0,"YES","NO"))</f>
        <v/>
      </c>
      <c r="AQ382" s="152">
        <f>IF($A382="","",IF(COUNTIFS($A$3:$A382,$A382,$C$3:$C382,$C382,$D$3:$D382,$D382)=1,"YES","NO"))</f>
        <v/>
      </c>
      <c r="AR382" s="152">
        <f>IF($A382="","",IF(AND($C382&amp;"-"&amp;$D382&gt;=Settings!$B$19,$C382&amp;"-"&amp;$D382&lt;=Settings!$B$20),"IN","OUT"))</f>
        <v/>
      </c>
      <c r="AS382" s="152">
        <f>IF($A382="","",IF($F382="Financial Results","financials",IF($F382="Outlook/Guidance","guidance",IF($F382="Transcript Q&amp;A","qanda",IF($F382="","unrecorded",IF($E382="All","full",IF($E382="","unrecorded",LOWER($E382)&amp;" only")))))))</f>
        <v/>
      </c>
      <c r="AT382" s="152">
        <f>IF(AND(OR($J382="BUY",$J382="SELL"),ISNUMBER($U382)),$U382,"")</f>
        <v/>
      </c>
      <c r="AU382" s="152">
        <f>IF(AND(OR($J382="BUY",$J382="SELL"),ISNUMBER($AK382)),$AK382,"")</f>
        <v/>
      </c>
      <c r="AV382" s="152">
        <f>IF(ISNUMBER($AT382),ABS(IF(ISNUMBER($I382),$I382,0)-Settings!$B$24),"")</f>
        <v/>
      </c>
      <c r="AW382" s="152">
        <f>IF(ISNUMBER($AV382),$AV382*$AT382,"")</f>
        <v/>
      </c>
      <c r="AX382" s="152">
        <f>IF(ISNUMBER($AU382),ABS(IF(ISNUMBER($I382),$I382,0)-Settings!$B$24),"")</f>
        <v/>
      </c>
      <c r="AY382" s="152" t="inlineStr">
        <is>
          <t>EXTENSION</t>
        </is>
      </c>
      <c r="AZ382" s="152">
        <f>IF($A382="","",IFERROR(INDEX(Company_List!$H$3:$H$207,MATCH($A382,Company_List!$A$3:$A$207,0)),"unassigned"))</f>
        <v/>
      </c>
      <c r="BA382" s="152" t="n"/>
      <c r="BB382" s="152" t="n"/>
      <c r="BC382" s="152">
        <f>IF($A382="","",IF(COUNTIFS($A$3:$A382,$A382,$C$3:$C382,$C382,$D$3:$D382,$D382,$G$3:$G382,$G382)=1,1,0))</f>
        <v/>
      </c>
      <c r="BD382" s="152" t="n"/>
      <c r="BE382" s="152" t="n"/>
      <c r="BF382" s="152" t="n"/>
      <c r="BG382" s="152" t="inlineStr">
        <is>
          <t>no</t>
        </is>
      </c>
      <c r="BH382" s="152" t="n"/>
      <c r="BI382" s="152" t="n"/>
      <c r="BJ382" s="152" t="n"/>
      <c r="BK382" s="152">
        <f>IF(OR($H382&lt;&gt;"Human",$S382="",$J382="",$Y382="",$Z382=""),"",IF(EXACT(UPPER($J382),UPPER($Y382)),1,0))</f>
        <v/>
      </c>
      <c r="BL382" s="152" t="inlineStr">
        <is>
          <t>assumed - no rater record</t>
        </is>
      </c>
      <c r="BM382" s="152" t="n">
        <v>3</v>
      </c>
      <c r="BN382" s="152" t="inlineStr">
        <is>
          <t>Insider Monkey (Koala Guide LLC)</t>
        </is>
      </c>
      <c r="BO382" s="152" t="inlineStr">
        <is>
          <t>free to read, copyright asserted</t>
        </is>
      </c>
      <c r="BP382" s="152" t="inlineStr">
        <is>
          <t>no</t>
        </is>
      </c>
      <c r="BQ382" s="152" t="inlineStr">
        <is>
          <t>yes</t>
        </is>
      </c>
      <c r="BR382" s="152" t="n"/>
      <c r="BS382" s="152" t="inlineStr">
        <is>
          <t>YES</t>
        </is>
      </c>
      <c r="BT382" s="152" t="n"/>
    </row>
    <row r="383" ht="15" customHeight="1" s="241">
      <c r="A383" s="193" t="inlineStr">
        <is>
          <t>ExxonMobil</t>
        </is>
      </c>
      <c r="B383" s="194">
        <f>IF(A383="","",_xlfn.XLOOKUP(A383, Company_List!$A:$A, Company_List!$B:$B, ""))</f>
        <v/>
      </c>
      <c r="C383" s="177" t="n">
        <v>2025</v>
      </c>
      <c r="D383" s="177" t="inlineStr">
        <is>
          <t>Q1</t>
        </is>
      </c>
      <c r="E383" s="178" t="inlineStr">
        <is>
          <t>All</t>
        </is>
      </c>
      <c r="F383" s="178" t="inlineStr">
        <is>
          <t>All</t>
        </is>
      </c>
      <c r="G383" s="177" t="inlineStr">
        <is>
          <t>Dragos</t>
        </is>
      </c>
      <c r="H383" s="177" t="inlineStr">
        <is>
          <t>Human</t>
        </is>
      </c>
      <c r="I383" s="180" t="n">
        <v>0.3</v>
      </c>
      <c r="J383" s="180">
        <f>IF(OR(I383="",Settings!$B$6=""),"",IF(I383&gt;Settings!$B$6,"BUY",IF(I383&lt;-Settings!$B$6,"SELL","HOLD")))</f>
        <v/>
      </c>
      <c r="K383" s="180" t="n">
        <v>20</v>
      </c>
      <c r="L383" s="182" t="n">
        <v>45779</v>
      </c>
      <c r="M383" s="182" t="n">
        <v>45778</v>
      </c>
      <c r="N383" s="179" t="n">
        <v>101.5768</v>
      </c>
      <c r="O383" s="182" t="n">
        <v>45779</v>
      </c>
      <c r="P383" s="180" t="n">
        <v>103.4397</v>
      </c>
      <c r="Q383" s="184">
        <f>IF(OR(N383="",P383=""),"",ROUND((P383-N383)/N383,4))</f>
        <v/>
      </c>
      <c r="R383" s="177">
        <f>IF(OR(N383="",P383=""),"",IF(Q383&gt;Settings!$B$3/100,"UP",IF(Q383&lt;-Settings!$B$3/100,"DOWN","FLAT")))</f>
        <v/>
      </c>
      <c r="S383" s="177">
        <f>IF(OR(N383="",P383="",J383=""),"",IF(OR(AND(J383="BUY",R383="UP"),AND(J383="SELL",R383="DOWN"),AND(J383="HOLD",R383="FLAT")),"YES","NO"))</f>
        <v/>
      </c>
      <c r="T383" s="176">
        <f>IF(J383="","",IF(J383="BUY",1,IF(J383="SELL",-1,0)))</f>
        <v/>
      </c>
      <c r="U383" s="184">
        <f>IFERROR(IF(OR(J383="",N383="",P383=""),"",IF(T383=0,0,T383*Q383-Settings!$B$4/10000-IF(T383&lt;0,Settings!$B$5/10000,0))),"")</f>
        <v/>
      </c>
      <c r="V383" s="152" t="inlineStr">
        <is>
          <t>Full document set positive on balance - strong cash flow from operations of $13.0 billion and free cash flow of $8.8 billion in; Net production increased 20%, or 767,000 oil-equivalent barrels per; quarterly earnings power by about $4 billion at current prices and margins. Against that: First-quarter earnings of $655 million were down from $761 million in the. 4 forward claims flagged hypothetical (December) and discounted, but the concrete numbers carry it.</t>
        </is>
      </c>
      <c r="W383" s="176">
        <f>IF($K383="","",$K383*60)</f>
        <v/>
      </c>
      <c r="X383" s="186">
        <f>IF($A383="","",$A383&amp;"|"&amp;$C383&amp;"|"&amp;$D383)</f>
        <v/>
      </c>
      <c r="Y383" s="186">
        <f>IFERROR(IF($X383="","",INDEX(LLM_Data_Entry!$H$3:$H$548,MATCH($X383,INDEX(LLM_Data_Entry!$A$3:$A$548&amp;"|"&amp;LLM_Data_Entry!$C$3:$C$548&amp;"|"&amp;LLM_Data_Entry!$D$3:$D$548,0),0))),"")</f>
        <v/>
      </c>
      <c r="Z383" s="186">
        <f>IFERROR(IF($X383="","",INDEX(LLM_Data_Entry!$R$3:$R$548,MATCH($X383,INDEX(LLM_Data_Entry!$A$3:$A$548&amp;"|"&amp;LLM_Data_Entry!$C$3:$C$548&amp;"|"&amp;LLM_Data_Entry!$D$3:$D$548,0),0))),"")</f>
        <v/>
      </c>
      <c r="AA383" s="152" t="n"/>
      <c r="AB383" s="152" t="inlineStr">
        <is>
          <t>earnings calendar, seconded by the issuer's habit</t>
        </is>
      </c>
      <c r="AC383" s="152" t="inlineStr">
        <is>
          <t>XOM</t>
        </is>
      </c>
      <c r="AD383" s="152" t="inlineStr">
        <is>
          <t>2025-05-01</t>
        </is>
      </c>
      <c r="AE383" s="152" t="n">
        <v>101.5768</v>
      </c>
      <c r="AF383" s="152" t="inlineStr">
        <is>
          <t>2025-05-02</t>
        </is>
      </c>
      <c r="AG383" s="152" t="n">
        <v>103.4397</v>
      </c>
      <c r="AH383" s="152" t="n">
        <v>0.01834008344917179</v>
      </c>
      <c r="AI383" s="152" t="inlineStr">
        <is>
          <t>FLAT</t>
        </is>
      </c>
      <c r="AJ383" s="152" t="inlineStr">
        <is>
          <t>NO</t>
        </is>
      </c>
      <c r="AK383" s="152" t="n">
        <v>0.01734</v>
      </c>
      <c r="AL383" s="152">
        <f>IF($A383="","",IFERROR(INDEX(Company_List!$G$3:$G$207,MATCH($A383,Company_List!$A$3:$A$207,0)),"unassigned"))</f>
        <v/>
      </c>
      <c r="AM383" s="152" t="inlineStr">
        <is>
          <t>Phase 2/ExxonMobil/Q1 2025/XOM-Q1-2025-press-release-SEC-EX99-1.htm; Phase 2/ExxonMobil/Q1 2025/XOM-Q1-2025-exhibit-SEC-EX99-2.htm; Phase 2/ExxonMobil/Q1 2025/XOM-Q1-2025-earnings-call-transcript-InsiderMonkey.html</t>
        </is>
      </c>
      <c r="AN383" s="152" t="inlineStr">
        <is>
          <t>https://www.insidermonkey.com/blog/exxon-mobil-corporation-nysexom-q1-2025-earnings-call-transcript-1523928/; https://www.sec.gov/Archives/edgar/data/34088/000003408825000022/livef8k1q25991.htm; https://www.sec.gov/Archives/edgar/data/34088/000003408825000022/livef8k1q25992.htm</t>
        </is>
      </c>
      <c r="AO383" s="152" t="inlineStr">
        <is>
          <t>manifest (whole bundle)</t>
        </is>
      </c>
      <c r="AP383" s="152">
        <f>IF($A383="","",IF(COUNTIFS(LLM_Data_Entry!$A$3:$A$548,$A383)&gt;0,"YES","NO"))</f>
        <v/>
      </c>
      <c r="AQ383" s="152">
        <f>IF($A383="","",IF(COUNTIFS($A$3:$A383,$A383,$C$3:$C383,$C383,$D$3:$D383,$D383)=1,"YES","NO"))</f>
        <v/>
      </c>
      <c r="AR383" s="152">
        <f>IF($A383="","",IF(AND($C383&amp;"-"&amp;$D383&gt;=Settings!$B$19,$C383&amp;"-"&amp;$D383&lt;=Settings!$B$20),"IN","OUT"))</f>
        <v/>
      </c>
      <c r="AS383" s="152">
        <f>IF($A383="","",IF($F383="Financial Results","financials",IF($F383="Outlook/Guidance","guidance",IF($F383="Transcript Q&amp;A","qanda",IF($F383="","unrecorded",IF($E383="All","full",IF($E383="","unrecorded",LOWER($E383)&amp;" only")))))))</f>
        <v/>
      </c>
      <c r="AT383" s="152">
        <f>IF(AND(OR($J383="BUY",$J383="SELL"),ISNUMBER($U383)),$U383,"")</f>
        <v/>
      </c>
      <c r="AU383" s="152">
        <f>IF(AND(OR($J383="BUY",$J383="SELL"),ISNUMBER($AK383)),$AK383,"")</f>
        <v/>
      </c>
      <c r="AV383" s="152">
        <f>IF(ISNUMBER($AT383),ABS(IF(ISNUMBER($I383),$I383,0)-Settings!$B$24),"")</f>
        <v/>
      </c>
      <c r="AW383" s="152">
        <f>IF(ISNUMBER($AV383),$AV383*$AT383,"")</f>
        <v/>
      </c>
      <c r="AX383" s="152">
        <f>IF(ISNUMBER($AU383),ABS(IF(ISNUMBER($I383),$I383,0)-Settings!$B$24),"")</f>
        <v/>
      </c>
      <c r="AY383" s="152" t="inlineStr">
        <is>
          <t>EXTENSION</t>
        </is>
      </c>
      <c r="AZ383" s="152">
        <f>IF($A383="","",IFERROR(INDEX(Company_List!$H$3:$H$207,MATCH($A383,Company_List!$A$3:$A$207,0)),"unassigned"))</f>
        <v/>
      </c>
      <c r="BA383" s="152" t="n"/>
      <c r="BB383" s="152" t="n"/>
      <c r="BC383" s="152">
        <f>IF($A383="","",IF(COUNTIFS($A$3:$A383,$A383,$C$3:$C383,$C383,$D$3:$D383,$D383,$G$3:$G383,$G383)=1,1,0))</f>
        <v/>
      </c>
      <c r="BD383" s="152" t="n"/>
      <c r="BE383" s="152" t="n"/>
      <c r="BF383" s="152" t="n"/>
      <c r="BG383" s="152" t="inlineStr">
        <is>
          <t>no</t>
        </is>
      </c>
      <c r="BH383" s="152" t="n"/>
      <c r="BI383" s="152" t="n"/>
      <c r="BJ383" s="152" t="n"/>
      <c r="BK383" s="152">
        <f>IF(OR($H383&lt;&gt;"Human",$S383="",$J383="",$Y383="",$Z383=""),"",IF(EXACT(UPPER($J383),UPPER($Y383)),1,0))</f>
        <v/>
      </c>
      <c r="BL383" s="152" t="inlineStr">
        <is>
          <t>assumed - no rater record</t>
        </is>
      </c>
      <c r="BM383" s="152" t="n">
        <v>3</v>
      </c>
      <c r="BN383" s="152" t="inlineStr">
        <is>
          <t>Insider Monkey (Koala Guide LLC)</t>
        </is>
      </c>
      <c r="BO383" s="152" t="inlineStr">
        <is>
          <t>free to read, copyright asserted</t>
        </is>
      </c>
      <c r="BP383" s="152" t="inlineStr">
        <is>
          <t>no</t>
        </is>
      </c>
      <c r="BQ383" s="152" t="inlineStr">
        <is>
          <t>yes</t>
        </is>
      </c>
      <c r="BR383" s="152" t="n"/>
      <c r="BS383" s="152" t="inlineStr">
        <is>
          <t>YES</t>
        </is>
      </c>
      <c r="BT383" s="152" t="n"/>
    </row>
    <row r="384" ht="15" customHeight="1" s="241">
      <c r="A384" s="193" t="inlineStr">
        <is>
          <t>ExxonMobil</t>
        </is>
      </c>
      <c r="B384" s="194">
        <f>IF(A384="","",_xlfn.XLOOKUP(A384, Company_List!$A:$A, Company_List!$B:$B, ""))</f>
        <v/>
      </c>
      <c r="C384" s="177" t="n">
        <v>2025</v>
      </c>
      <c r="D384" s="177" t="inlineStr">
        <is>
          <t>Q2</t>
        </is>
      </c>
      <c r="E384" s="178" t="inlineStr">
        <is>
          <t>All</t>
        </is>
      </c>
      <c r="F384" s="178" t="inlineStr">
        <is>
          <t>All</t>
        </is>
      </c>
      <c r="G384" s="177" t="inlineStr">
        <is>
          <t>Dragos</t>
        </is>
      </c>
      <c r="H384" s="177" t="inlineStr">
        <is>
          <t>Human</t>
        </is>
      </c>
      <c r="I384" s="180" t="n">
        <v>0.3</v>
      </c>
      <c r="J384" s="180">
        <f>IF(OR(I384="",Settings!$B$6=""),"",IF(I384&gt;Settings!$B$6,"BUY",IF(I384&lt;-Settings!$B$6,"SELL","HOLD")))</f>
        <v/>
      </c>
      <c r="K384" s="180" t="n">
        <v>17</v>
      </c>
      <c r="L384" s="182" t="n">
        <v>45870</v>
      </c>
      <c r="M384" s="182" t="n">
        <v>45868</v>
      </c>
      <c r="N384" s="179" t="n">
        <v>108.4432</v>
      </c>
      <c r="O384" s="182" t="n">
        <v>45869</v>
      </c>
      <c r="P384" s="180" t="n">
        <v>106.9508</v>
      </c>
      <c r="Q384" s="184">
        <f>IF(OR(N384="",P384=""),"",ROUND((P384-N384)/N384,4))</f>
        <v/>
      </c>
      <c r="R384" s="177">
        <f>IF(OR(N384="",P384=""),"",IF(Q384&gt;Settings!$B$3/100,"UP",IF(Q384&lt;-Settings!$B$3/100,"DOWN","FLAT")))</f>
        <v/>
      </c>
      <c r="S384" s="177">
        <f>IF(OR(N384="",P384="",J384=""),"",IF(OR(AND(J384="BUY",R384="UP"),AND(J384="SELL",R384="DOWN"),AND(J384="HOLD",R384="FLAT")),"YES","NO"))</f>
        <v/>
      </c>
      <c r="T384" s="176">
        <f>IF(J384="","",IF(J384="BUY",1,IF(J384="SELL",-1,0)))</f>
        <v/>
      </c>
      <c r="U384" s="184">
        <f>IFERROR(IF(OR(J384="",N384="",P384=""),"",IF(T384=0,0,T384*Q384-Settings!$B$4/10000-IF(T384&lt;0,Settings!$B$5/10000,0))),"")</f>
        <v/>
      </c>
      <c r="V384" s="152" t="inlineStr">
        <is>
          <t>Full document set positive on balance - strong cash flow from operations of $24.5 billion and free cash flow of $14.2 billion in; Year-to-date net production increased 13%, or 520,000 oil-equivalent barrels per; We started off with $2 billion, we announced we're up to $3 billion. Against that: • Second-quarter earnings were $5.4 billion, a decrease of $1.4 billion from the. 2 forward claims flagged hypothetical and discounted, but the concrete numbers carry it.</t>
        </is>
      </c>
      <c r="W384" s="176">
        <f>IF($K384="","",$K384*60)</f>
        <v/>
      </c>
      <c r="X384" s="186">
        <f>IF($A384="","",$A384&amp;"|"&amp;$C384&amp;"|"&amp;$D384)</f>
        <v/>
      </c>
      <c r="Y384" s="186">
        <f>IFERROR(IF($X384="","",INDEX(LLM_Data_Entry!$H$3:$H$548,MATCH($X384,INDEX(LLM_Data_Entry!$A$3:$A$548&amp;"|"&amp;LLM_Data_Entry!$C$3:$C$548&amp;"|"&amp;LLM_Data_Entry!$D$3:$D$548,0),0))),"")</f>
        <v/>
      </c>
      <c r="Z384" s="186">
        <f>IFERROR(IF($X384="","",INDEX(LLM_Data_Entry!$R$3:$R$548,MATCH($X384,INDEX(LLM_Data_Entry!$A$3:$A$548&amp;"|"&amp;LLM_Data_Entry!$C$3:$C$548&amp;"|"&amp;LLM_Data_Entry!$D$3:$D$548,0),0))),"")</f>
        <v/>
      </c>
      <c r="AA384" s="152" t="n"/>
      <c r="AB384" s="152" t="inlineStr">
        <is>
          <t>document date + price signal</t>
        </is>
      </c>
      <c r="AC384" s="152" t="inlineStr">
        <is>
          <t>XOM</t>
        </is>
      </c>
      <c r="AD384" s="152" t="inlineStr">
        <is>
          <t>2025-07-30</t>
        </is>
      </c>
      <c r="AE384" s="152" t="n">
        <v>108.4432</v>
      </c>
      <c r="AF384" s="152" t="inlineStr">
        <is>
          <t>2025-07-31</t>
        </is>
      </c>
      <c r="AG384" s="152" t="n">
        <v>106.9508</v>
      </c>
      <c r="AH384" s="152" t="n">
        <v>-0.0137623409159373</v>
      </c>
      <c r="AI384" s="152" t="inlineStr">
        <is>
          <t>FLAT</t>
        </is>
      </c>
      <c r="AJ384" s="152" t="inlineStr">
        <is>
          <t>NO</t>
        </is>
      </c>
      <c r="AK384" s="152" t="n">
        <v>-0.014762</v>
      </c>
      <c r="AL384" s="152">
        <f>IF($A384="","",IFERROR(INDEX(Company_List!$G$3:$G$207,MATCH($A384,Company_List!$A$3:$A$207,0)),"unassigned"))</f>
        <v/>
      </c>
      <c r="AM384" s="152" t="inlineStr">
        <is>
          <t>Phase 2/ExxonMobil/Q2 2025/XOM-Q2-2025-press-release-SEC-EX99-1.htm; Phase 2/ExxonMobil/Q2 2025/XOM-Q2-2025-exhibit-SEC-EX99-2.htm; Phase 2/ExxonMobil/Q2 2025/XOM-Q2-2025-earnings-call-transcript-InsiderMonkey.html</t>
        </is>
      </c>
      <c r="AN384" s="152" t="inlineStr">
        <is>
          <t>https://www.insidermonkey.com/blog/exxon-mobil-corporation-nysexom-q2-2025-earnings-call-transcript-1582775/; https://www.sec.gov/Archives/edgar/data/34088/000003408825000040/livef8k2q25991.htm; https://www.sec.gov/Archives/edgar/data/34088/000003408825000040/livef8k2q25992.htm</t>
        </is>
      </c>
      <c r="AO384" s="152" t="inlineStr">
        <is>
          <t>manifest (whole bundle)</t>
        </is>
      </c>
      <c r="AP384" s="152">
        <f>IF($A384="","",IF(COUNTIFS(LLM_Data_Entry!$A$3:$A$548,$A384)&gt;0,"YES","NO"))</f>
        <v/>
      </c>
      <c r="AQ384" s="152">
        <f>IF($A384="","",IF(COUNTIFS($A$3:$A384,$A384,$C$3:$C384,$C384,$D$3:$D384,$D384)=1,"YES","NO"))</f>
        <v/>
      </c>
      <c r="AR384" s="152">
        <f>IF($A384="","",IF(AND($C384&amp;"-"&amp;$D384&gt;=Settings!$B$19,$C384&amp;"-"&amp;$D384&lt;=Settings!$B$20),"IN","OUT"))</f>
        <v/>
      </c>
      <c r="AS384" s="152">
        <f>IF($A384="","",IF($F384="Financial Results","financials",IF($F384="Outlook/Guidance","guidance",IF($F384="Transcript Q&amp;A","qanda",IF($F384="","unrecorded",IF($E384="All","full",IF($E384="","unrecorded",LOWER($E384)&amp;" only")))))))</f>
        <v/>
      </c>
      <c r="AT384" s="152">
        <f>IF(AND(OR($J384="BUY",$J384="SELL"),ISNUMBER($U384)),$U384,"")</f>
        <v/>
      </c>
      <c r="AU384" s="152">
        <f>IF(AND(OR($J384="BUY",$J384="SELL"),ISNUMBER($AK384)),$AK384,"")</f>
        <v/>
      </c>
      <c r="AV384" s="152">
        <f>IF(ISNUMBER($AT384),ABS(IF(ISNUMBER($I384),$I384,0)-Settings!$B$24),"")</f>
        <v/>
      </c>
      <c r="AW384" s="152">
        <f>IF(ISNUMBER($AV384),$AV384*$AT384,"")</f>
        <v/>
      </c>
      <c r="AX384" s="152">
        <f>IF(ISNUMBER($AU384),ABS(IF(ISNUMBER($I384),$I384,0)-Settings!$B$24),"")</f>
        <v/>
      </c>
      <c r="AY384" s="152" t="inlineStr">
        <is>
          <t>EXTENSION</t>
        </is>
      </c>
      <c r="AZ384" s="152">
        <f>IF($A384="","",IFERROR(INDEX(Company_List!$H$3:$H$207,MATCH($A384,Company_List!$A$3:$A$207,0)),"unassigned"))</f>
        <v/>
      </c>
      <c r="BA384" s="152" t="n"/>
      <c r="BB384" s="152" t="n"/>
      <c r="BC384" s="152">
        <f>IF($A384="","",IF(COUNTIFS($A$3:$A384,$A384,$C$3:$C384,$C384,$D$3:$D384,$D384,$G$3:$G384,$G384)=1,1,0))</f>
        <v/>
      </c>
      <c r="BD384" s="152" t="n"/>
      <c r="BE384" s="152" t="n"/>
      <c r="BF384" s="152" t="n"/>
      <c r="BG384" s="152" t="inlineStr">
        <is>
          <t>no</t>
        </is>
      </c>
      <c r="BH384" s="152" t="n"/>
      <c r="BI384" s="152" t="n"/>
      <c r="BJ384" s="152" t="n"/>
      <c r="BK384" s="152">
        <f>IF(OR($H384&lt;&gt;"Human",$S384="",$J384="",$Y384="",$Z384=""),"",IF(EXACT(UPPER($J384),UPPER($Y384)),1,0))</f>
        <v/>
      </c>
      <c r="BL384" s="152" t="inlineStr">
        <is>
          <t>assumed - no rater record</t>
        </is>
      </c>
      <c r="BM384" s="152" t="n">
        <v>3</v>
      </c>
      <c r="BN384" s="152" t="inlineStr">
        <is>
          <t>Insider Monkey (Koala Guide LLC)</t>
        </is>
      </c>
      <c r="BO384" s="152" t="inlineStr">
        <is>
          <t>free to read, copyright asserted</t>
        </is>
      </c>
      <c r="BP384" s="152" t="inlineStr">
        <is>
          <t>no</t>
        </is>
      </c>
      <c r="BQ384" s="152" t="inlineStr">
        <is>
          <t>yes</t>
        </is>
      </c>
      <c r="BR384" s="152" t="n"/>
      <c r="BS384" s="152" t="inlineStr">
        <is>
          <t>YES</t>
        </is>
      </c>
      <c r="BT384" s="152" t="n"/>
    </row>
    <row r="385" ht="15" customHeight="1" s="241">
      <c r="A385" s="193" t="inlineStr">
        <is>
          <t>ExxonMobil</t>
        </is>
      </c>
      <c r="B385" s="194">
        <f>IF(A385="","",_xlfn.XLOOKUP(A385, Company_List!$A:$A, Company_List!$B:$B, ""))</f>
        <v/>
      </c>
      <c r="C385" s="177" t="n">
        <v>2025</v>
      </c>
      <c r="D385" s="177" t="inlineStr">
        <is>
          <t>Q3</t>
        </is>
      </c>
      <c r="E385" s="178" t="inlineStr">
        <is>
          <t>All</t>
        </is>
      </c>
      <c r="F385" s="178" t="inlineStr">
        <is>
          <t>All</t>
        </is>
      </c>
      <c r="G385" s="177" t="inlineStr">
        <is>
          <t>Dragos</t>
        </is>
      </c>
      <c r="H385" s="177" t="inlineStr">
        <is>
          <t>Human</t>
        </is>
      </c>
      <c r="I385" s="180" t="n">
        <v>0.3</v>
      </c>
      <c r="J385" s="180">
        <f>IF(OR(I385="",Settings!$B$6=""),"",IF(I385&gt;Settings!$B$6,"BUY",IF(I385&lt;-Settings!$B$6,"SELL","HOLD")))</f>
        <v/>
      </c>
      <c r="K385" s="180" t="n">
        <v>23</v>
      </c>
      <c r="L385" s="182" t="n">
        <v>45961</v>
      </c>
      <c r="M385" s="182" t="n">
        <v>45960</v>
      </c>
      <c r="N385" s="179" t="n">
        <v>112.1813</v>
      </c>
      <c r="O385" s="182" t="n">
        <v>45961</v>
      </c>
      <c r="P385" s="180" t="n">
        <v>111.4869</v>
      </c>
      <c r="Q385" s="184">
        <f>IF(OR(N385="",P385=""),"",ROUND((P385-N385)/N385,4))</f>
        <v/>
      </c>
      <c r="R385" s="177">
        <f>IF(OR(N385="",P385=""),"",IF(Q385&gt;Settings!$B$3/100,"UP",IF(Q385&lt;-Settings!$B$3/100,"DOWN","FLAT")))</f>
        <v/>
      </c>
      <c r="S385" s="177">
        <f>IF(OR(N385="",P385="",J385=""),"",IF(OR(AND(J385="BUY",R385="UP"),AND(J385="SELL",R385="DOWN"),AND(J385="HOLD",R385="FLAT")),"YES","NO"))</f>
        <v/>
      </c>
      <c r="T385" s="176">
        <f>IF(J385="","",IF(J385="BUY",1,IF(J385="SELL",-1,0)))</f>
        <v/>
      </c>
      <c r="U385" s="184">
        <f>IFERROR(IF(OR(J385="",N385="",P385=""),"",IF(T385=0,0,T385*Q385-Settings!$B$4/10000-IF(T385&lt;0,Settings!$B$5/10000,0))),"")</f>
        <v/>
      </c>
      <c r="V385" s="152" t="inlineStr">
        <is>
          <t>Full document set positive on balance - strong third-quarter earnings of $7.5 billion and cash flow from operations of $14.8; • Returned $9.4 billion to shareholders in the quarter and; another production record of nearly 1.7 million oil-equivalent barrels per day, while. Against that: Year-to-date earnings were $2.2 billion, a decrease of $131 million compared. 4 forward claims flagged hypothetical and discounted, but the concrete numbers carry it.</t>
        </is>
      </c>
      <c r="W385" s="176">
        <f>IF($K385="","",$K385*60)</f>
        <v/>
      </c>
      <c r="X385" s="186">
        <f>IF($A385="","",$A385&amp;"|"&amp;$C385&amp;"|"&amp;$D385)</f>
        <v/>
      </c>
      <c r="Y385" s="186">
        <f>IFERROR(IF($X385="","",INDEX(LLM_Data_Entry!$H$3:$H$548,MATCH($X385,INDEX(LLM_Data_Entry!$A$3:$A$548&amp;"|"&amp;LLM_Data_Entry!$C$3:$C$548&amp;"|"&amp;LLM_Data_Entry!$D$3:$D$548,0),0))),"")</f>
        <v/>
      </c>
      <c r="Z385" s="186">
        <f>IFERROR(IF($X385="","",INDEX(LLM_Data_Entry!$R$3:$R$548,MATCH($X385,INDEX(LLM_Data_Entry!$A$3:$A$548&amp;"|"&amp;LLM_Data_Entry!$C$3:$C$548&amp;"|"&amp;LLM_Data_Entry!$D$3:$D$548,0),0))),"")</f>
        <v/>
      </c>
      <c r="AA385" s="152" t="n"/>
      <c r="AB385" s="152" t="inlineStr">
        <is>
          <t>document date + price signal</t>
        </is>
      </c>
      <c r="AC385" s="152" t="inlineStr">
        <is>
          <t>XOM</t>
        </is>
      </c>
      <c r="AD385" s="152" t="inlineStr">
        <is>
          <t>2025-10-30</t>
        </is>
      </c>
      <c r="AE385" s="152" t="n">
        <v>112.1813</v>
      </c>
      <c r="AF385" s="152" t="inlineStr">
        <is>
          <t>2025-10-31</t>
        </is>
      </c>
      <c r="AG385" s="152" t="n">
        <v>111.4869</v>
      </c>
      <c r="AH385" s="152" t="n">
        <v>-0.006190541337310667</v>
      </c>
      <c r="AI385" s="152" t="inlineStr">
        <is>
          <t>FLAT</t>
        </is>
      </c>
      <c r="AJ385" s="152" t="inlineStr">
        <is>
          <t>NO</t>
        </is>
      </c>
      <c r="AK385" s="152" t="n">
        <v>-0.007191</v>
      </c>
      <c r="AL385" s="152">
        <f>IF($A385="","",IFERROR(INDEX(Company_List!$G$3:$G$207,MATCH($A385,Company_List!$A$3:$A$207,0)),"unassigned"))</f>
        <v/>
      </c>
      <c r="AM385" s="152" t="inlineStr">
        <is>
          <t>Phase 2/ExxonMobil/Q3 2025/XOM-Q3-2025-press-release-SEC-EX99-1.htm; Phase 2/ExxonMobil/Q3 2025/XOM-Q3-2025-exhibit-SEC-EX99-2.htm; Phase 2/ExxonMobil/Q3 2025/XOM-Q3-2025-earnings-call-transcript-InsiderMonkey.html</t>
        </is>
      </c>
      <c r="AN385" s="152" t="inlineStr">
        <is>
          <t>https://www.insidermonkey.com/blog/exxon-mobil-corporation-nysexom-q3-2025-earnings-call-transcript-1638821/; https://www.sec.gov/Archives/edgar/data/34088/000003408825000059/livef8k3q25991.htm; https://www.sec.gov/Archives/edgar/data/34088/000003408825000059/livef8k3q25992.htm</t>
        </is>
      </c>
      <c r="AO385" s="152" t="inlineStr">
        <is>
          <t>manifest (whole bundle)</t>
        </is>
      </c>
      <c r="AP385" s="152">
        <f>IF($A385="","",IF(COUNTIFS(LLM_Data_Entry!$A$3:$A$548,$A385)&gt;0,"YES","NO"))</f>
        <v/>
      </c>
      <c r="AQ385" s="152">
        <f>IF($A385="","",IF(COUNTIFS($A$3:$A385,$A385,$C$3:$C385,$C385,$D$3:$D385,$D385)=1,"YES","NO"))</f>
        <v/>
      </c>
      <c r="AR385" s="152">
        <f>IF($A385="","",IF(AND($C385&amp;"-"&amp;$D385&gt;=Settings!$B$19,$C385&amp;"-"&amp;$D385&lt;=Settings!$B$20),"IN","OUT"))</f>
        <v/>
      </c>
      <c r="AS385" s="152">
        <f>IF($A385="","",IF($F385="Financial Results","financials",IF($F385="Outlook/Guidance","guidance",IF($F385="Transcript Q&amp;A","qanda",IF($F385="","unrecorded",IF($E385="All","full",IF($E385="","unrecorded",LOWER($E385)&amp;" only")))))))</f>
        <v/>
      </c>
      <c r="AT385" s="152">
        <f>IF(AND(OR($J385="BUY",$J385="SELL"),ISNUMBER($U385)),$U385,"")</f>
        <v/>
      </c>
      <c r="AU385" s="152">
        <f>IF(AND(OR($J385="BUY",$J385="SELL"),ISNUMBER($AK385)),$AK385,"")</f>
        <v/>
      </c>
      <c r="AV385" s="152">
        <f>IF(ISNUMBER($AT385),ABS(IF(ISNUMBER($I385),$I385,0)-Settings!$B$24),"")</f>
        <v/>
      </c>
      <c r="AW385" s="152">
        <f>IF(ISNUMBER($AV385),$AV385*$AT385,"")</f>
        <v/>
      </c>
      <c r="AX385" s="152">
        <f>IF(ISNUMBER($AU385),ABS(IF(ISNUMBER($I385),$I385,0)-Settings!$B$24),"")</f>
        <v/>
      </c>
      <c r="AY385" s="152" t="inlineStr">
        <is>
          <t>EXTENSION</t>
        </is>
      </c>
      <c r="AZ385" s="152">
        <f>IF($A385="","",IFERROR(INDEX(Company_List!$H$3:$H$207,MATCH($A385,Company_List!$A$3:$A$207,0)),"unassigned"))</f>
        <v/>
      </c>
      <c r="BA385" s="152" t="n"/>
      <c r="BB385" s="152" t="n"/>
      <c r="BC385" s="152">
        <f>IF($A385="","",IF(COUNTIFS($A$3:$A385,$A385,$C$3:$C385,$C385,$D$3:$D385,$D385,$G$3:$G385,$G385)=1,1,0))</f>
        <v/>
      </c>
      <c r="BD385" s="152" t="n"/>
      <c r="BE385" s="152" t="n"/>
      <c r="BF385" s="152" t="n"/>
      <c r="BG385" s="152" t="inlineStr">
        <is>
          <t>no</t>
        </is>
      </c>
      <c r="BH385" s="152" t="n"/>
      <c r="BI385" s="152" t="n"/>
      <c r="BJ385" s="152" t="n"/>
      <c r="BK385" s="152">
        <f>IF(OR($H385&lt;&gt;"Human",$S385="",$J385="",$Y385="",$Z385=""),"",IF(EXACT(UPPER($J385),UPPER($Y385)),1,0))</f>
        <v/>
      </c>
      <c r="BL385" s="152" t="inlineStr">
        <is>
          <t>assumed - no rater record</t>
        </is>
      </c>
      <c r="BM385" s="152" t="n">
        <v>3</v>
      </c>
      <c r="BN385" s="152" t="inlineStr">
        <is>
          <t>Insider Monkey (Koala Guide LLC)</t>
        </is>
      </c>
      <c r="BO385" s="152" t="inlineStr">
        <is>
          <t>free to read, copyright asserted</t>
        </is>
      </c>
      <c r="BP385" s="152" t="inlineStr">
        <is>
          <t>no</t>
        </is>
      </c>
      <c r="BQ385" s="152" t="inlineStr">
        <is>
          <t>yes</t>
        </is>
      </c>
      <c r="BR385" s="152" t="n"/>
      <c r="BS385" s="152" t="inlineStr">
        <is>
          <t>YES</t>
        </is>
      </c>
      <c r="BT385" s="152" t="n"/>
    </row>
    <row r="386" ht="15" customHeight="1" s="241">
      <c r="A386" s="193" t="inlineStr">
        <is>
          <t>ExxonMobil</t>
        </is>
      </c>
      <c r="B386" s="194">
        <f>IF(A386="","",_xlfn.XLOOKUP(A386, Company_List!$A:$A, Company_List!$B:$B, ""))</f>
        <v/>
      </c>
      <c r="C386" s="177" t="n">
        <v>2025</v>
      </c>
      <c r="D386" s="177" t="inlineStr">
        <is>
          <t>Q4</t>
        </is>
      </c>
      <c r="E386" s="178" t="inlineStr">
        <is>
          <t>All</t>
        </is>
      </c>
      <c r="F386" s="178" t="inlineStr">
        <is>
          <t>All</t>
        </is>
      </c>
      <c r="G386" s="177" t="inlineStr">
        <is>
          <t>Dragos</t>
        </is>
      </c>
      <c r="H386" s="177" t="inlineStr">
        <is>
          <t>Human</t>
        </is>
      </c>
      <c r="I386" s="180" t="n">
        <v>0</v>
      </c>
      <c r="J386" s="180">
        <f>IF(OR(I386="",Settings!$B$6=""),"",IF(I386&gt;Settings!$B$6,"BUY",IF(I386&lt;-Settings!$B$6,"SELL","HOLD")))</f>
        <v/>
      </c>
      <c r="K386" s="180" t="n">
        <v>20</v>
      </c>
      <c r="L386" s="182" t="n">
        <v>46052</v>
      </c>
      <c r="M386" s="182" t="n">
        <v>46051</v>
      </c>
      <c r="N386" s="179" t="n">
        <v>138.6386</v>
      </c>
      <c r="O386" s="182" t="n">
        <v>46052</v>
      </c>
      <c r="P386" s="180" t="n">
        <v>136.8922</v>
      </c>
      <c r="Q386" s="184">
        <f>IF(OR(N386="",P386=""),"",ROUND((P386-N386)/N386,4))</f>
        <v/>
      </c>
      <c r="R386" s="177">
        <f>IF(OR(N386="",P386=""),"",IF(Q386&gt;Settings!$B$3/100,"UP",IF(Q386&lt;-Settings!$B$3/100,"DOWN","FLAT")))</f>
        <v/>
      </c>
      <c r="S386" s="177">
        <f>IF(OR(N386="",P386="",J386=""),"",IF(OR(AND(J386="BUY",R386="UP"),AND(J386="SELL",R386="DOWN"),AND(J386="HOLD",R386="FLAT")),"YES","NO"))</f>
        <v/>
      </c>
      <c r="T386" s="176">
        <f>IF(J386="","",IF(J386="BUY",1,IF(J386="SELL",-1,0)))</f>
        <v/>
      </c>
      <c r="U386" s="184">
        <f>IFERROR(IF(OR(J386="",N386="",P386=""),"",IF(T386=0,0,T386*Q386-Settings!$B$4/10000-IF(T386&lt;0,Settings!$B$5/10000,0))),"")</f>
        <v/>
      </c>
      <c r="V386" s="152" t="inlineStr">
        <is>
          <t>Full document set broadly neutral - full-year cash flow from operations of $52.0 billion, with a ~10% CAGR since 2019 -- both; • Fourth-quarter earnings totaled $3.4 billion, an increase of more than 80%, or $1.6; • Since 2019, the company has achieved $15.1 billion in cumulative Structural Cost Savings. Against that: • Fourth-quarter earnings decreased $796 million versus the third quarter to a loss of. 1 forward claim flagged hypothetical and discounted, but the concrete numbers carry it.</t>
        </is>
      </c>
      <c r="W386" s="176">
        <f>IF($K386="","",$K386*60)</f>
        <v/>
      </c>
      <c r="X386" s="186">
        <f>IF($A386="","",$A386&amp;"|"&amp;$C386&amp;"|"&amp;$D386)</f>
        <v/>
      </c>
      <c r="Y386" s="186">
        <f>IFERROR(IF($X386="","",INDEX(LLM_Data_Entry!$H$3:$H$548,MATCH($X386,INDEX(LLM_Data_Entry!$A$3:$A$548&amp;"|"&amp;LLM_Data_Entry!$C$3:$C$548&amp;"|"&amp;LLM_Data_Entry!$D$3:$D$548,0),0))),"")</f>
        <v/>
      </c>
      <c r="Z386" s="186">
        <f>IFERROR(IF($X386="","",INDEX(LLM_Data_Entry!$R$3:$R$548,MATCH($X386,INDEX(LLM_Data_Entry!$A$3:$A$548&amp;"|"&amp;LLM_Data_Entry!$C$3:$C$548&amp;"|"&amp;LLM_Data_Entry!$D$3:$D$548,0),0))),"")</f>
        <v/>
      </c>
      <c r="AA386" s="152" t="n"/>
      <c r="AB386" s="152" t="inlineStr">
        <is>
          <t>earnings calendar, seconded by the issuer's habit</t>
        </is>
      </c>
      <c r="AC386" s="152" t="inlineStr">
        <is>
          <t>XOM</t>
        </is>
      </c>
      <c r="AD386" s="152" t="inlineStr">
        <is>
          <t>2026-01-29</t>
        </is>
      </c>
      <c r="AE386" s="152" t="n">
        <v>138.6386</v>
      </c>
      <c r="AF386" s="152" t="inlineStr">
        <is>
          <t>2026-01-30</t>
        </is>
      </c>
      <c r="AG386" s="152" t="n">
        <v>136.8922</v>
      </c>
      <c r="AH386" s="152" t="n">
        <v>-0.01259690969588901</v>
      </c>
      <c r="AI386" s="152" t="inlineStr">
        <is>
          <t>FLAT</t>
        </is>
      </c>
      <c r="AJ386" s="152" t="inlineStr">
        <is>
          <t>YES</t>
        </is>
      </c>
      <c r="AK386" s="152" t="n">
        <v>0</v>
      </c>
      <c r="AL386" s="152">
        <f>IF($A386="","",IFERROR(INDEX(Company_List!$G$3:$G$207,MATCH($A386,Company_List!$A$3:$A$207,0)),"unassigned"))</f>
        <v/>
      </c>
      <c r="AM386" s="152" t="inlineStr">
        <is>
          <t>Phase 2/ExxonMobil/Q4 2025/XOM-Q4-2025-press-release-SEC-EX99-1.htm; Phase 2/ExxonMobil/Q4 2025/XOM-Q4-2025-exhibit-SEC-EX99-2.htm; Phase 2/ExxonMobil/Q4 2025/XOM-Q4-2025-earnings-call-transcript-InsiderMonkey.html</t>
        </is>
      </c>
      <c r="AN386" s="152" t="inlineStr">
        <is>
          <t>https://www.insidermonkey.com/blog/exxon-mobil-corporation-nysexom-q4-2025-earnings-call-transcript-1686033/; https://www.sec.gov/Archives/edgar/data/34088/000003408826000033/livef8k4q25991.htm; https://www.sec.gov/Archives/edgar/data/34088/000003408826000033/livef8k4q25992.htm</t>
        </is>
      </c>
      <c r="AO386" s="152" t="inlineStr">
        <is>
          <t>manifest (whole bundle)</t>
        </is>
      </c>
      <c r="AP386" s="152">
        <f>IF($A386="","",IF(COUNTIFS(LLM_Data_Entry!$A$3:$A$548,$A386)&gt;0,"YES","NO"))</f>
        <v/>
      </c>
      <c r="AQ386" s="152">
        <f>IF($A386="","",IF(COUNTIFS($A$3:$A386,$A386,$C$3:$C386,$C386,$D$3:$D386,$D386)=1,"YES","NO"))</f>
        <v/>
      </c>
      <c r="AR386" s="152">
        <f>IF($A386="","",IF(AND($C386&amp;"-"&amp;$D386&gt;=Settings!$B$19,$C386&amp;"-"&amp;$D386&lt;=Settings!$B$20),"IN","OUT"))</f>
        <v/>
      </c>
      <c r="AS386" s="152">
        <f>IF($A386="","",IF($F386="Financial Results","financials",IF($F386="Outlook/Guidance","guidance",IF($F386="Transcript Q&amp;A","qanda",IF($F386="","unrecorded",IF($E386="All","full",IF($E386="","unrecorded",LOWER($E386)&amp;" only")))))))</f>
        <v/>
      </c>
      <c r="AT386" s="152">
        <f>IF(AND(OR($J386="BUY",$J386="SELL"),ISNUMBER($U386)),$U386,"")</f>
        <v/>
      </c>
      <c r="AU386" s="152">
        <f>IF(AND(OR($J386="BUY",$J386="SELL"),ISNUMBER($AK386)),$AK386,"")</f>
        <v/>
      </c>
      <c r="AV386" s="152">
        <f>IF(ISNUMBER($AT386),ABS(IF(ISNUMBER($I386),$I386,0)-Settings!$B$24),"")</f>
        <v/>
      </c>
      <c r="AW386" s="152">
        <f>IF(ISNUMBER($AV386),$AV386*$AT386,"")</f>
        <v/>
      </c>
      <c r="AX386" s="152">
        <f>IF(ISNUMBER($AU386),ABS(IF(ISNUMBER($I386),$I386,0)-Settings!$B$24),"")</f>
        <v/>
      </c>
      <c r="AY386" s="152" t="inlineStr">
        <is>
          <t>EXTENSION</t>
        </is>
      </c>
      <c r="AZ386" s="152">
        <f>IF($A386="","",IFERROR(INDEX(Company_List!$H$3:$H$207,MATCH($A386,Company_List!$A$3:$A$207,0)),"unassigned"))</f>
        <v/>
      </c>
      <c r="BA386" s="152" t="n"/>
      <c r="BB386" s="152" t="n"/>
      <c r="BC386" s="152">
        <f>IF($A386="","",IF(COUNTIFS($A$3:$A386,$A386,$C$3:$C386,$C386,$D$3:$D386,$D386,$G$3:$G386,$G386)=1,1,0))</f>
        <v/>
      </c>
      <c r="BD386" s="152" t="n"/>
      <c r="BE386" s="152" t="n"/>
      <c r="BF386" s="152" t="n"/>
      <c r="BG386" s="152" t="inlineStr">
        <is>
          <t>no</t>
        </is>
      </c>
      <c r="BH386" s="152" t="n"/>
      <c r="BI386" s="152" t="n"/>
      <c r="BJ386" s="152" t="n"/>
      <c r="BK386" s="152">
        <f>IF(OR($H386&lt;&gt;"Human",$S386="",$J386="",$Y386="",$Z386=""),"",IF(EXACT(UPPER($J386),UPPER($Y386)),1,0))</f>
        <v/>
      </c>
      <c r="BL386" s="152" t="inlineStr">
        <is>
          <t>assumed - no rater record</t>
        </is>
      </c>
      <c r="BM386" s="152" t="n">
        <v>3</v>
      </c>
      <c r="BN386" s="152" t="inlineStr">
        <is>
          <t>Insider Monkey (Koala Guide LLC)</t>
        </is>
      </c>
      <c r="BO386" s="152" t="inlineStr">
        <is>
          <t>free to read, copyright asserted</t>
        </is>
      </c>
      <c r="BP386" s="152" t="inlineStr">
        <is>
          <t>no</t>
        </is>
      </c>
      <c r="BQ386" s="152" t="inlineStr">
        <is>
          <t>yes</t>
        </is>
      </c>
      <c r="BR386" s="152" t="n"/>
      <c r="BS386" s="152" t="inlineStr">
        <is>
          <t>YES</t>
        </is>
      </c>
      <c r="BT386" s="152" t="n"/>
    </row>
    <row r="387" ht="15" customHeight="1" s="241">
      <c r="A387" s="193" t="inlineStr">
        <is>
          <t>ExxonMobil</t>
        </is>
      </c>
      <c r="B387" s="194">
        <f>IF(A387="","",_xlfn.XLOOKUP(A387, Company_List!$A:$A, Company_List!$B:$B, ""))</f>
        <v/>
      </c>
      <c r="C387" s="177" t="n">
        <v>2026</v>
      </c>
      <c r="D387" s="177" t="inlineStr">
        <is>
          <t>Q1</t>
        </is>
      </c>
      <c r="E387" s="178" t="inlineStr">
        <is>
          <t>All</t>
        </is>
      </c>
      <c r="F387" s="178" t="inlineStr">
        <is>
          <t>All</t>
        </is>
      </c>
      <c r="G387" s="177" t="inlineStr">
        <is>
          <t>Dragos</t>
        </is>
      </c>
      <c r="H387" s="177" t="inlineStr">
        <is>
          <t>Human</t>
        </is>
      </c>
      <c r="I387" s="180" t="n">
        <v>0.2</v>
      </c>
      <c r="J387" s="180">
        <f>IF(OR(I387="",Settings!$B$6=""),"",IF(I387&gt;Settings!$B$6,"BUY",IF(I387&lt;-Settings!$B$6,"SELL","HOLD")))</f>
        <v/>
      </c>
      <c r="K387" s="180" t="n">
        <v>18</v>
      </c>
      <c r="L387" s="182" t="n">
        <v>46143</v>
      </c>
      <c r="M387" s="182" t="n">
        <v>46142</v>
      </c>
      <c r="N387" s="179" t="n">
        <v>153.2896</v>
      </c>
      <c r="O387" s="182" t="n">
        <v>46143</v>
      </c>
      <c r="P387" s="180" t="n">
        <v>151.5811</v>
      </c>
      <c r="Q387" s="184">
        <f>IF(OR(N387="",P387=""),"",ROUND((P387-N387)/N387,4))</f>
        <v/>
      </c>
      <c r="R387" s="177">
        <f>IF(OR(N387="",P387=""),"",IF(Q387&gt;Settings!$B$3/100,"UP",IF(Q387&lt;-Settings!$B$3/100,"DOWN","FLAT")))</f>
        <v/>
      </c>
      <c r="S387" s="177">
        <f>IF(OR(N387="",P387="",J387=""),"",IF(OR(AND(J387="BUY",R387="UP"),AND(J387="SELL",R387="DOWN"),AND(J387="HOLD",R387="FLAT")),"YES","NO"))</f>
        <v/>
      </c>
      <c r="T387" s="176">
        <f>IF(J387="","",IF(J387="BUY",1,IF(J387="SELL",-1,0)))</f>
        <v/>
      </c>
      <c r="U387" s="184">
        <f>IFERROR(IF(OR(J387="",N387="",P387=""),"",IF(T387=0,0,T387*Q387-Settings!$B$4/10000-IF(T387&lt;0,Settings!$B$5/10000,0))),"")</f>
        <v/>
      </c>
      <c r="V387" s="152" t="inlineStr">
        <is>
          <t>Full document set mildly positive - items and estimated timing effects of $6.3 billion increased $1.8 billion versus the; in the first quarter reached 4.6 million oil-equivalent barrels per day, with; and estimated timing effects were $2.8 billion, an increase of $1.9 billion versus. Against that: • Delivered first-quarter earnings of $4.2 billion , or $8.8 billion excluding. 6 forward claims flagged hypothetical and discounted, but the concrete numbers carry it.</t>
        </is>
      </c>
      <c r="W387" s="176">
        <f>IF($K387="","",$K387*60)</f>
        <v/>
      </c>
      <c r="X387" s="186">
        <f>IF($A387="","",$A387&amp;"|"&amp;$C387&amp;"|"&amp;$D387)</f>
        <v/>
      </c>
      <c r="Y387" s="186">
        <f>IFERROR(IF($X387="","",INDEX(LLM_Data_Entry!$H$3:$H$548,MATCH($X387,INDEX(LLM_Data_Entry!$A$3:$A$548&amp;"|"&amp;LLM_Data_Entry!$C$3:$C$548&amp;"|"&amp;LLM_Data_Entry!$D$3:$D$548,0),0))),"")</f>
        <v/>
      </c>
      <c r="Z387" s="186">
        <f>IFERROR(IF($X387="","",INDEX(LLM_Data_Entry!$R$3:$R$548,MATCH($X387,INDEX(LLM_Data_Entry!$A$3:$A$548&amp;"|"&amp;LLM_Data_Entry!$C$3:$C$548&amp;"|"&amp;LLM_Data_Entry!$D$3:$D$548,0),0))),"")</f>
        <v/>
      </c>
      <c r="AA387" s="152" t="n"/>
      <c r="AB387" s="152" t="inlineStr">
        <is>
          <t>document date + price signal</t>
        </is>
      </c>
      <c r="AC387" s="152" t="inlineStr">
        <is>
          <t>XOM</t>
        </is>
      </c>
      <c r="AD387" s="152" t="inlineStr">
        <is>
          <t>2026-04-30</t>
        </is>
      </c>
      <c r="AE387" s="152" t="n">
        <v>153.2896</v>
      </c>
      <c r="AF387" s="152" t="inlineStr">
        <is>
          <t>2026-05-01</t>
        </is>
      </c>
      <c r="AG387" s="152" t="n">
        <v>151.5811</v>
      </c>
      <c r="AH387" s="152" t="n">
        <v>-0.01114496162795326</v>
      </c>
      <c r="AI387" s="152" t="inlineStr">
        <is>
          <t>FLAT</t>
        </is>
      </c>
      <c r="AJ387" s="152" t="inlineStr">
        <is>
          <t>YES</t>
        </is>
      </c>
      <c r="AK387" s="152" t="n">
        <v>0</v>
      </c>
      <c r="AL387" s="152">
        <f>IF($A387="","",IFERROR(INDEX(Company_List!$G$3:$G$207,MATCH($A387,Company_List!$A$3:$A$207,0)),"unassigned"))</f>
        <v/>
      </c>
      <c r="AM387" s="152" t="inlineStr">
        <is>
          <t>Phase 2/ExxonMobil/Q1 2026/XOM-Q1-2026-press-release-SEC-EX99-1.htm; Phase 2/ExxonMobil/Q1 2026/XOM-Q1-2026-exhibit-SEC-EX99-2.htm; Phase 2/ExxonMobil/Q1 2026/XOM-Q1-2026-earnings-call-transcript-InsiderMonkey.html</t>
        </is>
      </c>
      <c r="AN387" s="152" t="inlineStr">
        <is>
          <t>https://www.insidermonkey.com/blog/exxon-mobil-corporation-nysexom-q1-2026-earnings-call-transcript-1752603/; https://www.sec.gov/Archives/edgar/data/34088/000003408826000065/livef8k1q26991.htm; https://www.sec.gov/Archives/edgar/data/34088/000003408826000065/livef8k1q26992.htm</t>
        </is>
      </c>
      <c r="AO387" s="152" t="inlineStr">
        <is>
          <t>manifest (whole bundle)</t>
        </is>
      </c>
      <c r="AP387" s="152">
        <f>IF($A387="","",IF(COUNTIFS(LLM_Data_Entry!$A$3:$A$548,$A387)&gt;0,"YES","NO"))</f>
        <v/>
      </c>
      <c r="AQ387" s="152">
        <f>IF($A387="","",IF(COUNTIFS($A$3:$A387,$A387,$C$3:$C387,$C387,$D$3:$D387,$D387)=1,"YES","NO"))</f>
        <v/>
      </c>
      <c r="AR387" s="152">
        <f>IF($A387="","",IF(AND($C387&amp;"-"&amp;$D387&gt;=Settings!$B$19,$C387&amp;"-"&amp;$D387&lt;=Settings!$B$20),"IN","OUT"))</f>
        <v/>
      </c>
      <c r="AS387" s="152">
        <f>IF($A387="","",IF($F387="Financial Results","financials",IF($F387="Outlook/Guidance","guidance",IF($F387="Transcript Q&amp;A","qanda",IF($F387="","unrecorded",IF($E387="All","full",IF($E387="","unrecorded",LOWER($E387)&amp;" only")))))))</f>
        <v/>
      </c>
      <c r="AT387" s="152">
        <f>IF(AND(OR($J387="BUY",$J387="SELL"),ISNUMBER($U387)),$U387,"")</f>
        <v/>
      </c>
      <c r="AU387" s="152">
        <f>IF(AND(OR($J387="BUY",$J387="SELL"),ISNUMBER($AK387)),$AK387,"")</f>
        <v/>
      </c>
      <c r="AV387" s="152">
        <f>IF(ISNUMBER($AT387),ABS(IF(ISNUMBER($I387),$I387,0)-Settings!$B$24),"")</f>
        <v/>
      </c>
      <c r="AW387" s="152">
        <f>IF(ISNUMBER($AV387),$AV387*$AT387,"")</f>
        <v/>
      </c>
      <c r="AX387" s="152">
        <f>IF(ISNUMBER($AU387),ABS(IF(ISNUMBER($I387),$I387,0)-Settings!$B$24),"")</f>
        <v/>
      </c>
      <c r="AY387" s="152" t="inlineStr">
        <is>
          <t>EXTENSION</t>
        </is>
      </c>
      <c r="AZ387" s="152">
        <f>IF($A387="","",IFERROR(INDEX(Company_List!$H$3:$H$207,MATCH($A387,Company_List!$A$3:$A$207,0)),"unassigned"))</f>
        <v/>
      </c>
      <c r="BA387" s="152" t="n"/>
      <c r="BB387" s="152" t="n"/>
      <c r="BC387" s="152">
        <f>IF($A387="","",IF(COUNTIFS($A$3:$A387,$A387,$C$3:$C387,$C387,$D$3:$D387,$D387,$G$3:$G387,$G387)=1,1,0))</f>
        <v/>
      </c>
      <c r="BD387" s="152" t="n"/>
      <c r="BE387" s="152" t="n"/>
      <c r="BF387" s="152" t="n"/>
      <c r="BG387" s="152" t="inlineStr">
        <is>
          <t>no</t>
        </is>
      </c>
      <c r="BH387" s="152" t="n"/>
      <c r="BI387" s="152" t="n"/>
      <c r="BJ387" s="152" t="n"/>
      <c r="BK387" s="152">
        <f>IF(OR($H387&lt;&gt;"Human",$S387="",$J387="",$Y387="",$Z387=""),"",IF(EXACT(UPPER($J387),UPPER($Y387)),1,0))</f>
        <v/>
      </c>
      <c r="BL387" s="152" t="inlineStr">
        <is>
          <t>assumed - no rater record</t>
        </is>
      </c>
      <c r="BM387" s="152" t="n">
        <v>3</v>
      </c>
      <c r="BN387" s="152" t="inlineStr">
        <is>
          <t>Insider Monkey (Koala Guide LLC)</t>
        </is>
      </c>
      <c r="BO387" s="152" t="inlineStr">
        <is>
          <t>free to read, copyright asserted</t>
        </is>
      </c>
      <c r="BP387" s="152" t="inlineStr">
        <is>
          <t>no</t>
        </is>
      </c>
      <c r="BQ387" s="152" t="inlineStr">
        <is>
          <t>yes</t>
        </is>
      </c>
      <c r="BR387" s="152" t="n"/>
      <c r="BS387" s="152" t="inlineStr">
        <is>
          <t>YES</t>
        </is>
      </c>
      <c r="BT387" s="152" t="n"/>
    </row>
    <row r="388" ht="15" customHeight="1" s="241">
      <c r="A388" s="193" t="inlineStr">
        <is>
          <t>American Express</t>
        </is>
      </c>
      <c r="B388" s="194">
        <f>IF(A388="","",_xlfn.XLOOKUP(A388, Company_List!$A:$A, Company_List!$B:$B, ""))</f>
        <v/>
      </c>
      <c r="C388" s="177" t="n">
        <v>2025</v>
      </c>
      <c r="D388" s="177" t="inlineStr">
        <is>
          <t>Q2</t>
        </is>
      </c>
      <c r="E388" s="178" t="inlineStr">
        <is>
          <t>Financial Statement</t>
        </is>
      </c>
      <c r="F388" s="178" t="inlineStr">
        <is>
          <t>Financial Results</t>
        </is>
      </c>
      <c r="G388" s="177" t="inlineStr">
        <is>
          <t>David</t>
        </is>
      </c>
      <c r="H388" s="177" t="inlineStr">
        <is>
          <t>Human</t>
        </is>
      </c>
      <c r="I388" s="180" t="n">
        <v>0.25</v>
      </c>
      <c r="J388" s="180">
        <f>IF(OR(I388="",Settings!$B$6=""),"",IF(I388&gt;Settings!$B$6,"BUY",IF(I388&lt;-Settings!$B$6,"SELL","HOLD")))</f>
        <v/>
      </c>
      <c r="K388" s="180" t="n">
        <v>22</v>
      </c>
      <c r="L388" s="182" t="n">
        <v>45856</v>
      </c>
      <c r="M388" s="182" t="n">
        <v>45855</v>
      </c>
      <c r="N388" s="179" t="n">
        <v>312.0126</v>
      </c>
      <c r="O388" s="182" t="n">
        <v>45856</v>
      </c>
      <c r="P388" s="180" t="n">
        <v>308.5595</v>
      </c>
      <c r="Q388" s="184">
        <f>IF(OR(N388="",P388=""),"",ROUND((P388-N388)/N388,4))</f>
        <v/>
      </c>
      <c r="R388" s="177">
        <f>IF(OR(N388="",P388=""),"",IF(Q388&gt;Settings!$B$3/100,"UP",IF(Q388&lt;-Settings!$B$3/100,"DOWN","FLAT")))</f>
        <v/>
      </c>
      <c r="S388" s="177">
        <f>IF(OR(N388="",P388="",J388=""),"",IF(OR(AND(J388="BUY",R388="UP"),AND(J388="SELL",R388="DOWN"),AND(J388="HOLD",R388="FLAT")),"YES","NO"))</f>
        <v/>
      </c>
      <c r="T388" s="176">
        <f>IF(J388="","",IF(J388="BUY",1,IF(J388="SELL",-1,0)))</f>
        <v/>
      </c>
      <c r="U388" s="184">
        <f>IFERROR(IF(OR(J388="",N388="",P388=""),"",IF(T388=0,0,T388*Q388-Settings!$B$4/10000-IF(T388&lt;0,Settings!$B$5/10000,0))),"")</f>
        <v/>
      </c>
      <c r="V388" s="152" t="n"/>
      <c r="W388" s="176">
        <f>IF($K388="","",$K388*60)</f>
        <v/>
      </c>
      <c r="X388" s="186">
        <f>IF($A388="","",$A388&amp;"|"&amp;$C388&amp;"|"&amp;$D388)</f>
        <v/>
      </c>
      <c r="Y388" s="186">
        <f>IFERROR(IF($X388="","",INDEX(LLM_Data_Entry!$H$3:$H$548,MATCH($X388,INDEX(LLM_Data_Entry!$A$3:$A$548&amp;"|"&amp;LLM_Data_Entry!$C$3:$C$548&amp;"|"&amp;LLM_Data_Entry!$D$3:$D$548,0),0))),"")</f>
        <v/>
      </c>
      <c r="Z388" s="186">
        <f>IFERROR(IF($X388="","",INDEX(LLM_Data_Entry!$R$3:$R$548,MATCH($X388,INDEX(LLM_Data_Entry!$A$3:$A$548&amp;"|"&amp;LLM_Data_Entry!$C$3:$C$548&amp;"|"&amp;LLM_Data_Entry!$D$3:$D$548,0),0))),"")</f>
        <v/>
      </c>
      <c r="AA388" s="152" t="n"/>
      <c r="AB388" s="152" t="inlineStr">
        <is>
          <t>price signal, re-derived — only this window shows an abnormal move</t>
        </is>
      </c>
      <c r="AC388" s="152" t="inlineStr">
        <is>
          <t>AXP</t>
        </is>
      </c>
      <c r="AD388" s="152" t="inlineStr">
        <is>
          <t>2025-07-17</t>
        </is>
      </c>
      <c r="AE388" s="152" t="n">
        <v>312.0126</v>
      </c>
      <c r="AF388" s="152" t="inlineStr">
        <is>
          <t>2025-07-18</t>
        </is>
      </c>
      <c r="AG388" s="152" t="n">
        <v>308.5595</v>
      </c>
      <c r="AH388" s="152" t="n">
        <v>-0.01106716102514595</v>
      </c>
      <c r="AI388" s="152" t="inlineStr">
        <is>
          <t>FLAT</t>
        </is>
      </c>
      <c r="AJ388" s="152" t="inlineStr">
        <is>
          <t>NO</t>
        </is>
      </c>
      <c r="AK388" s="152" t="n">
        <v>-0.012067</v>
      </c>
      <c r="AL388" s="152">
        <f>IF($A388="","",IFERROR(INDEX(Company_List!$G$3:$G$207,MATCH($A388,Company_List!$A$3:$A$207,0)),"unassigned"))</f>
        <v/>
      </c>
      <c r="AM388" s="152" t="inlineStr">
        <is>
          <t>Phase 2/American Express/2025-Q2/AXP-2025-Q2-quarterly-financial-statements-SEC-10-Q.htm</t>
        </is>
      </c>
      <c r="AN388" s="152" t="inlineStr">
        <is>
          <t>https://www.sec.gov/Archives/edgar/data/4962/ (10-Q, Q2 2025)</t>
        </is>
      </c>
      <c r="AO388" s="152" t="inlineStr">
        <is>
          <t>manifest</t>
        </is>
      </c>
      <c r="AP388" s="152">
        <f>IF($A388="","",IF(COUNTIFS(LLM_Data_Entry!$A$3:$A$548,$A388)&gt;0,"YES","NO"))</f>
        <v/>
      </c>
      <c r="AQ388" s="152">
        <f>IF($A388="","",IF(COUNTIFS($A$3:$A388,$A388,$C$3:$C388,$C388,$D$3:$D388,$D388)=1,"YES","NO"))</f>
        <v/>
      </c>
      <c r="AR388" s="152">
        <f>IF($A388="","",IF(AND($C388&amp;"-"&amp;$D388&gt;=Settings!$B$19,$C388&amp;"-"&amp;$D388&lt;=Settings!$B$20),"IN","OUT"))</f>
        <v/>
      </c>
      <c r="AS388" s="152">
        <f>IF($A388="","",IF($F388="Financial Results","financials",IF($F388="Outlook/Guidance","guidance",IF($F388="Transcript Q&amp;A","qanda",IF($F388="","unrecorded",IF($E388="All","full",IF($E388="","unrecorded",LOWER($E388)&amp;" only")))))))</f>
        <v/>
      </c>
      <c r="AT388" s="152">
        <f>IF(AND(OR($J388="BUY",$J388="SELL"),ISNUMBER($U388)),$U388,"")</f>
        <v/>
      </c>
      <c r="AU388" s="152">
        <f>IF(AND(OR($J388="BUY",$J388="SELL"),ISNUMBER($AK388)),$AK388,"")</f>
        <v/>
      </c>
      <c r="AV388" s="152">
        <f>IF(ISNUMBER($AT388),ABS(IF(ISNUMBER($I388),$I388,0)-Settings!$B$24),"")</f>
        <v/>
      </c>
      <c r="AW388" s="152">
        <f>IF(ISNUMBER($AV388),$AV388*$AT388,"")</f>
        <v/>
      </c>
      <c r="AX388" s="152">
        <f>IF(ISNUMBER($AU388),ABS(IF(ISNUMBER($I388),$I388,0)-Settings!$B$24),"")</f>
        <v/>
      </c>
      <c r="AY388" s="152" t="inlineStr">
        <is>
          <t>EXTENSION</t>
        </is>
      </c>
      <c r="AZ388" s="152">
        <f>IF($A388="","",IFERROR(INDEX(Company_List!$H$3:$H$207,MATCH($A388,Company_List!$A$3:$A$207,0)),"unassigned"))</f>
        <v/>
      </c>
      <c r="BA388" s="152" t="n"/>
      <c r="BB388" s="152" t="n"/>
      <c r="BC388" s="152">
        <f>IF($A388="","",IF(COUNTIFS($A$3:$A388,$A388,$C$3:$C388,$C388,$D$3:$D388,$D388,$G$3:$G388,$G388)=1,1,0))</f>
        <v/>
      </c>
      <c r="BD388" s="152" t="n"/>
      <c r="BE388" s="152" t="n"/>
      <c r="BF388" s="152" t="n"/>
      <c r="BG388" s="152" t="inlineStr">
        <is>
          <t>no</t>
        </is>
      </c>
      <c r="BH388" s="152" t="n"/>
      <c r="BI388" s="152" t="n"/>
      <c r="BJ388" s="152" t="n"/>
      <c r="BK388" s="152">
        <f>IF(OR($H388&lt;&gt;"Human",$S388="",$J388="",$Y388="",$Z388=""),"",IF(EXACT(UPPER($J388),UPPER($Y388)),1,0))</f>
        <v/>
      </c>
      <c r="BL388" s="152" t="inlineStr">
        <is>
          <t>assumed - no rater record</t>
        </is>
      </c>
      <c r="BM388" s="152" t="n">
        <v>1</v>
      </c>
      <c r="BN388" s="152" t="inlineStr">
        <is>
          <t>not publisher-identified</t>
        </is>
      </c>
      <c r="BO388" s="152" t="inlineStr">
        <is>
          <t>not publisher-identified</t>
        </is>
      </c>
      <c r="BP388" s="152" t="inlineStr">
        <is>
          <t>sole source</t>
        </is>
      </c>
      <c r="BQ388" s="152" t="inlineStr">
        <is>
          <t>yes</t>
        </is>
      </c>
      <c r="BR388" s="152" t="n"/>
      <c r="BS388" s="152" t="inlineStr">
        <is>
          <t>YES</t>
        </is>
      </c>
      <c r="BT388" s="152" t="n"/>
    </row>
    <row r="389" ht="15" customHeight="1" s="241">
      <c r="A389" s="193" t="inlineStr">
        <is>
          <t>American Express</t>
        </is>
      </c>
      <c r="B389" s="194">
        <f>IF(A389="","",_xlfn.XLOOKUP(A389, Company_List!$A:$A, Company_List!$B:$B, ""))</f>
        <v/>
      </c>
      <c r="C389" s="177" t="n">
        <v>2025</v>
      </c>
      <c r="D389" s="177" t="inlineStr">
        <is>
          <t>Q2</t>
        </is>
      </c>
      <c r="E389" s="178" t="inlineStr">
        <is>
          <t>All</t>
        </is>
      </c>
      <c r="F389" s="178" t="inlineStr">
        <is>
          <t>All</t>
        </is>
      </c>
      <c r="G389" s="177" t="inlineStr">
        <is>
          <t>David</t>
        </is>
      </c>
      <c r="H389" s="177" t="inlineStr">
        <is>
          <t>Human</t>
        </is>
      </c>
      <c r="I389" s="180" t="n">
        <v>0.22</v>
      </c>
      <c r="J389" s="180">
        <f>IF(OR(I389="",Settings!$B$6=""),"",IF(I389&gt;Settings!$B$6,"BUY",IF(I389&lt;-Settings!$B$6,"SELL","HOLD")))</f>
        <v/>
      </c>
      <c r="K389" s="180" t="n">
        <v>29</v>
      </c>
      <c r="L389" s="182" t="n">
        <v>45856</v>
      </c>
      <c r="M389" s="182" t="n">
        <v>45855</v>
      </c>
      <c r="N389" s="179" t="n">
        <v>312.0126</v>
      </c>
      <c r="O389" s="182" t="n">
        <v>45856</v>
      </c>
      <c r="P389" s="180" t="n">
        <v>308.5595</v>
      </c>
      <c r="Q389" s="184">
        <f>IF(OR(N389="",P389=""),"",ROUND((P389-N389)/N389,4))</f>
        <v/>
      </c>
      <c r="R389" s="177">
        <f>IF(OR(N389="",P389=""),"",IF(Q389&gt;Settings!$B$3/100,"UP",IF(Q389&lt;-Settings!$B$3/100,"DOWN","FLAT")))</f>
        <v/>
      </c>
      <c r="S389" s="177">
        <f>IF(OR(N389="",P389="",J389=""),"",IF(OR(AND(J389="BUY",R389="UP"),AND(J389="SELL",R389="DOWN"),AND(J389="HOLD",R389="FLAT")),"YES","NO"))</f>
        <v/>
      </c>
      <c r="T389" s="176">
        <f>IF(J389="","",IF(J389="BUY",1,IF(J389="SELL",-1,0)))</f>
        <v/>
      </c>
      <c r="U389" s="184">
        <f>IFERROR(IF(OR(J389="",N389="",P389=""),"",IF(T389=0,0,T389*Q389-Settings!$B$4/10000-IF(T389&lt;0,Settings!$B$5/10000,0))),"")</f>
        <v/>
      </c>
      <c r="V389" s="152" t="n"/>
      <c r="W389" s="176">
        <f>IF($K389="","",$K389*60)</f>
        <v/>
      </c>
      <c r="X389" s="186">
        <f>IF($A389="","",$A389&amp;"|"&amp;$C389&amp;"|"&amp;$D389)</f>
        <v/>
      </c>
      <c r="Y389" s="186">
        <f>IFERROR(IF($X389="","",INDEX(LLM_Data_Entry!$H$3:$H$548,MATCH($X389,INDEX(LLM_Data_Entry!$A$3:$A$548&amp;"|"&amp;LLM_Data_Entry!$C$3:$C$548&amp;"|"&amp;LLM_Data_Entry!$D$3:$D$548,0),0))),"")</f>
        <v/>
      </c>
      <c r="Z389" s="186">
        <f>IFERROR(IF($X389="","",INDEX(LLM_Data_Entry!$R$3:$R$548,MATCH($X389,INDEX(LLM_Data_Entry!$A$3:$A$548&amp;"|"&amp;LLM_Data_Entry!$C$3:$C$548&amp;"|"&amp;LLM_Data_Entry!$D$3:$D$548,0),0))),"")</f>
        <v/>
      </c>
      <c r="AA389" s="152" t="n"/>
      <c r="AB389" s="152" t="inlineStr">
        <is>
          <t>price signal, re-derived — only this window shows an abnormal move</t>
        </is>
      </c>
      <c r="AC389" s="152" t="inlineStr">
        <is>
          <t>AXP</t>
        </is>
      </c>
      <c r="AD389" s="152" t="inlineStr">
        <is>
          <t>2025-07-17</t>
        </is>
      </c>
      <c r="AE389" s="152" t="n">
        <v>312.0126</v>
      </c>
      <c r="AF389" s="152" t="inlineStr">
        <is>
          <t>2025-07-18</t>
        </is>
      </c>
      <c r="AG389" s="152" t="n">
        <v>308.5595</v>
      </c>
      <c r="AH389" s="152" t="n">
        <v>-0.01106716102514595</v>
      </c>
      <c r="AI389" s="152" t="inlineStr">
        <is>
          <t>FLAT</t>
        </is>
      </c>
      <c r="AJ389" s="152" t="inlineStr">
        <is>
          <t>NO</t>
        </is>
      </c>
      <c r="AK389" s="152" t="n">
        <v>-0.012067</v>
      </c>
      <c r="AL389" s="152">
        <f>IF($A389="","",IFERROR(INDEX(Company_List!$G$3:$G$207,MATCH($A389,Company_List!$A$3:$A$207,0)),"unassigned"))</f>
        <v/>
      </c>
      <c r="AM389" s="152" t="inlineStr">
        <is>
          <t>Phase 2/American Express/2025-Q2/AXP-2025-Q2-press-release-SEC-EX-99-1.htm; Phase 2/American Express/2025-Q2/AXP-2025-Q2-quarterly-financial-statements-SEC-10-Q.htm</t>
        </is>
      </c>
      <c r="AN389" s="152" t="inlineStr">
        <is>
          <t>https://www.sec.gov/Archives/edgar/data/4962/ (10-Q, Q2 2025); https://www.sec.gov/Archives/edgar/data/4962/000000496225000082/q225exhibit991.htm</t>
        </is>
      </c>
      <c r="AO389" s="152" t="inlineStr">
        <is>
          <t>manifest (whole bundle)</t>
        </is>
      </c>
      <c r="AP389" s="152">
        <f>IF($A389="","",IF(COUNTIFS(LLM_Data_Entry!$A$3:$A$548,$A389)&gt;0,"YES","NO"))</f>
        <v/>
      </c>
      <c r="AQ389" s="152">
        <f>IF($A389="","",IF(COUNTIFS($A$3:$A389,$A389,$C$3:$C389,$C389,$D$3:$D389,$D389)=1,"YES","NO"))</f>
        <v/>
      </c>
      <c r="AR389" s="152">
        <f>IF($A389="","",IF(AND($C389&amp;"-"&amp;$D389&gt;=Settings!$B$19,$C389&amp;"-"&amp;$D389&lt;=Settings!$B$20),"IN","OUT"))</f>
        <v/>
      </c>
      <c r="AS389" s="152">
        <f>IF($A389="","",IF($F389="Financial Results","financials",IF($F389="Outlook/Guidance","guidance",IF($F389="Transcript Q&amp;A","qanda",IF($F389="","unrecorded",IF($E389="All","full",IF($E389="","unrecorded",LOWER($E389)&amp;" only")))))))</f>
        <v/>
      </c>
      <c r="AT389" s="152">
        <f>IF(AND(OR($J389="BUY",$J389="SELL"),ISNUMBER($U389)),$U389,"")</f>
        <v/>
      </c>
      <c r="AU389" s="152">
        <f>IF(AND(OR($J389="BUY",$J389="SELL"),ISNUMBER($AK389)),$AK389,"")</f>
        <v/>
      </c>
      <c r="AV389" s="152">
        <f>IF(ISNUMBER($AT389),ABS(IF(ISNUMBER($I389),$I389,0)-Settings!$B$24),"")</f>
        <v/>
      </c>
      <c r="AW389" s="152">
        <f>IF(ISNUMBER($AV389),$AV389*$AT389,"")</f>
        <v/>
      </c>
      <c r="AX389" s="152">
        <f>IF(ISNUMBER($AU389),ABS(IF(ISNUMBER($I389),$I389,0)-Settings!$B$24),"")</f>
        <v/>
      </c>
      <c r="AY389" s="152" t="inlineStr">
        <is>
          <t>EXTENSION</t>
        </is>
      </c>
      <c r="AZ389" s="152">
        <f>IF($A389="","",IFERROR(INDEX(Company_List!$H$3:$H$207,MATCH($A389,Company_List!$A$3:$A$207,0)),"unassigned"))</f>
        <v/>
      </c>
      <c r="BA389" s="152" t="n"/>
      <c r="BB389" s="152" t="n"/>
      <c r="BC389" s="152">
        <f>IF($A389="","",IF(COUNTIFS($A$3:$A389,$A389,$C$3:$C389,$C389,$D$3:$D389,$D389,$G$3:$G389,$G389)=1,1,0))</f>
        <v/>
      </c>
      <c r="BD389" s="152" t="n"/>
      <c r="BE389" s="152" t="n"/>
      <c r="BF389" s="152" t="n"/>
      <c r="BG389" s="152" t="inlineStr">
        <is>
          <t>no</t>
        </is>
      </c>
      <c r="BH389" s="152" t="n"/>
      <c r="BI389" s="152" t="n"/>
      <c r="BJ389" s="152" t="n"/>
      <c r="BK389" s="152">
        <f>IF(OR($H389&lt;&gt;"Human",$S389="",$J389="",$Y389="",$Z389=""),"",IF(EXACT(UPPER($J389),UPPER($Y389)),1,0))</f>
        <v/>
      </c>
      <c r="BL389" s="152" t="inlineStr">
        <is>
          <t>assumed - no rater record</t>
        </is>
      </c>
      <c r="BM389" s="152" t="n">
        <v>2</v>
      </c>
      <c r="BN389" s="152" t="inlineStr">
        <is>
          <t>not publisher-identified</t>
        </is>
      </c>
      <c r="BO389" s="152" t="inlineStr">
        <is>
          <t>not publisher-identified</t>
        </is>
      </c>
      <c r="BP389" s="152" t="inlineStr">
        <is>
          <t>one of several</t>
        </is>
      </c>
      <c r="BQ389" s="152" t="inlineStr">
        <is>
          <t>yes</t>
        </is>
      </c>
      <c r="BR389" s="152" t="n"/>
      <c r="BS389" s="152" t="inlineStr">
        <is>
          <t>YES</t>
        </is>
      </c>
      <c r="BT389" s="152" t="n"/>
    </row>
    <row r="390" ht="15" customHeight="1" s="241">
      <c r="A390" s="193" t="inlineStr">
        <is>
          <t>American Express</t>
        </is>
      </c>
      <c r="B390" s="194">
        <f>IF(A390="","",_xlfn.XLOOKUP(A390, Company_List!$A:$A, Company_List!$B:$B, ""))</f>
        <v/>
      </c>
      <c r="C390" s="177" t="n">
        <v>2025</v>
      </c>
      <c r="D390" s="177" t="inlineStr">
        <is>
          <t>Q3</t>
        </is>
      </c>
      <c r="E390" s="178" t="inlineStr">
        <is>
          <t>Transcript</t>
        </is>
      </c>
      <c r="F390" s="178" t="inlineStr">
        <is>
          <t>Outlook/Guidance</t>
        </is>
      </c>
      <c r="G390" s="177" t="inlineStr">
        <is>
          <t>David</t>
        </is>
      </c>
      <c r="H390" s="177" t="inlineStr">
        <is>
          <t>Human</t>
        </is>
      </c>
      <c r="I390" s="180" t="n">
        <v>0.1</v>
      </c>
      <c r="J390" s="180">
        <f>IF(OR(I390="",Settings!$B$6=""),"",IF(I390&gt;Settings!$B$6,"BUY",IF(I390&lt;-Settings!$B$6,"SELL","HOLD")))</f>
        <v/>
      </c>
      <c r="K390" s="180" t="n">
        <v>24</v>
      </c>
      <c r="L390" s="182" t="n">
        <v>45947</v>
      </c>
      <c r="M390" s="182" t="n">
        <v>45946</v>
      </c>
      <c r="N390" s="179" t="n">
        <v>320.5104</v>
      </c>
      <c r="O390" s="182" t="n">
        <v>45947</v>
      </c>
      <c r="P390" s="180" t="n">
        <v>329.6956</v>
      </c>
      <c r="Q390" s="184">
        <f>IF(OR(N390="",P390=""),"",ROUND((P390-N390)/N390,4))</f>
        <v/>
      </c>
      <c r="R390" s="177">
        <f>IF(OR(N390="",P390=""),"",IF(Q390&gt;Settings!$B$3/100,"UP",IF(Q390&lt;-Settings!$B$3/100,"DOWN","FLAT")))</f>
        <v/>
      </c>
      <c r="S390" s="177">
        <f>IF(OR(N390="",P390="",J390=""),"",IF(OR(AND(J390="BUY",R390="UP"),AND(J390="SELL",R390="DOWN"),AND(J390="HOLD",R390="FLAT")),"YES","NO"))</f>
        <v/>
      </c>
      <c r="T390" s="176">
        <f>IF(J390="","",IF(J390="BUY",1,IF(J390="SELL",-1,0)))</f>
        <v/>
      </c>
      <c r="U390" s="184">
        <f>IFERROR(IF(OR(J390="",N390="",P390=""),"",IF(T390=0,0,T390*Q390-Settings!$B$4/10000-IF(T390&lt;0,Settings!$B$5/10000,0))),"")</f>
        <v/>
      </c>
      <c r="V390" s="152" t="n"/>
      <c r="W390" s="176">
        <f>IF($K390="","",$K390*60)</f>
        <v/>
      </c>
      <c r="X390" s="186">
        <f>IF($A390="","",$A390&amp;"|"&amp;$C390&amp;"|"&amp;$D390)</f>
        <v/>
      </c>
      <c r="Y390" s="186">
        <f>IFERROR(IF($X390="","",INDEX(LLM_Data_Entry!$H$3:$H$548,MATCH($X390,INDEX(LLM_Data_Entry!$A$3:$A$548&amp;"|"&amp;LLM_Data_Entry!$C$3:$C$548&amp;"|"&amp;LLM_Data_Entry!$D$3:$D$548,0),0))),"")</f>
        <v/>
      </c>
      <c r="Z390" s="186">
        <f>IFERROR(IF($X390="","",INDEX(LLM_Data_Entry!$R$3:$R$548,MATCH($X390,INDEX(LLM_Data_Entry!$A$3:$A$548&amp;"|"&amp;LLM_Data_Entry!$C$3:$C$548&amp;"|"&amp;LLM_Data_Entry!$D$3:$D$548,0),0))),"")</f>
        <v/>
      </c>
      <c r="AA390" s="152" t="n"/>
      <c r="AB390" s="152" t="inlineStr">
        <is>
          <t>price signal, re-derived — only this window shows an abnormal move</t>
        </is>
      </c>
      <c r="AC390" s="152" t="inlineStr">
        <is>
          <t>AXP</t>
        </is>
      </c>
      <c r="AD390" s="152" t="inlineStr">
        <is>
          <t>2025-10-16</t>
        </is>
      </c>
      <c r="AE390" s="152" t="n">
        <v>320.5104</v>
      </c>
      <c r="AF390" s="152" t="inlineStr">
        <is>
          <t>2025-10-17</t>
        </is>
      </c>
      <c r="AG390" s="152" t="n">
        <v>329.6956</v>
      </c>
      <c r="AH390" s="152" t="n">
        <v>0.02865802524885775</v>
      </c>
      <c r="AI390" s="152" t="inlineStr">
        <is>
          <t>UP</t>
        </is>
      </c>
      <c r="AJ390" s="152" t="inlineStr">
        <is>
          <t>NO</t>
        </is>
      </c>
      <c r="AK390" s="152" t="n">
        <v>0</v>
      </c>
      <c r="AL390" s="152">
        <f>IF($A390="","",IFERROR(INDEX(Company_List!$G$3:$G$207,MATCH($A390,Company_List!$A$3:$A$207,0)),"unassigned"))</f>
        <v/>
      </c>
      <c r="AM390" s="152" t="inlineStr">
        <is>
          <t>Phase 2/American Express/2025-Q3/AXP-2025-Q3-earnings-call-transcript-fool-com.html</t>
        </is>
      </c>
      <c r="AN390" s="152" t="inlineStr">
        <is>
          <t>https://www.fool.com/earnings/call-transcripts/2025/10/17/amex-axp-q3-2025-earnings-call-transcript/</t>
        </is>
      </c>
      <c r="AO390" s="152" t="inlineStr">
        <is>
          <t>manifest</t>
        </is>
      </c>
      <c r="AP390" s="152">
        <f>IF($A390="","",IF(COUNTIFS(LLM_Data_Entry!$A$3:$A$548,$A390)&gt;0,"YES","NO"))</f>
        <v/>
      </c>
      <c r="AQ390" s="152">
        <f>IF($A390="","",IF(COUNTIFS($A$3:$A390,$A390,$C$3:$C390,$C390,$D$3:$D390,$D390)=1,"YES","NO"))</f>
        <v/>
      </c>
      <c r="AR390" s="152">
        <f>IF($A390="","",IF(AND($C390&amp;"-"&amp;$D390&gt;=Settings!$B$19,$C390&amp;"-"&amp;$D390&lt;=Settings!$B$20),"IN","OUT"))</f>
        <v/>
      </c>
      <c r="AS390" s="152">
        <f>IF($A390="","",IF($F390="Financial Results","financials",IF($F390="Outlook/Guidance","guidance",IF($F390="Transcript Q&amp;A","qanda",IF($F390="","unrecorded",IF($E390="All","full",IF($E390="","unrecorded",LOWER($E390)&amp;" only")))))))</f>
        <v/>
      </c>
      <c r="AT390" s="152">
        <f>IF(AND(OR($J390="BUY",$J390="SELL"),ISNUMBER($U390)),$U390,"")</f>
        <v/>
      </c>
      <c r="AU390" s="152">
        <f>IF(AND(OR($J390="BUY",$J390="SELL"),ISNUMBER($AK390)),$AK390,"")</f>
        <v/>
      </c>
      <c r="AV390" s="152">
        <f>IF(ISNUMBER($AT390),ABS(IF(ISNUMBER($I390),$I390,0)-Settings!$B$24),"")</f>
        <v/>
      </c>
      <c r="AW390" s="152">
        <f>IF(ISNUMBER($AV390),$AV390*$AT390,"")</f>
        <v/>
      </c>
      <c r="AX390" s="152">
        <f>IF(ISNUMBER($AU390),ABS(IF(ISNUMBER($I390),$I390,0)-Settings!$B$24),"")</f>
        <v/>
      </c>
      <c r="AY390" s="152" t="inlineStr">
        <is>
          <t>EXTENSION</t>
        </is>
      </c>
      <c r="AZ390" s="152">
        <f>IF($A390="","",IFERROR(INDEX(Company_List!$H$3:$H$207,MATCH($A390,Company_List!$A$3:$A$207,0)),"unassigned"))</f>
        <v/>
      </c>
      <c r="BA390" s="152" t="n"/>
      <c r="BB390" s="152" t="n"/>
      <c r="BC390" s="152">
        <f>IF($A390="","",IF(COUNTIFS($A$3:$A390,$A390,$C$3:$C390,$C390,$D$3:$D390,$D390,$G$3:$G390,$G390)=1,1,0))</f>
        <v/>
      </c>
      <c r="BD390" s="152" t="n"/>
      <c r="BE390" s="152" t="n"/>
      <c r="BF390" s="152" t="n"/>
      <c r="BG390" s="152" t="inlineStr">
        <is>
          <t>no</t>
        </is>
      </c>
      <c r="BH390" s="152" t="n"/>
      <c r="BI390" s="152" t="n"/>
      <c r="BJ390" s="152" t="n"/>
      <c r="BK390" s="152">
        <f>IF(OR($H390&lt;&gt;"Human",$S390="",$J390="",$Y390="",$Z390=""),"",IF(EXACT(UPPER($J390),UPPER($Y390)),1,0))</f>
        <v/>
      </c>
      <c r="BL390" s="152" t="inlineStr">
        <is>
          <t>assumed - no rater record</t>
        </is>
      </c>
      <c r="BM390" s="152" t="n">
        <v>1</v>
      </c>
      <c r="BN390" s="152" t="inlineStr">
        <is>
          <t>The Motley Fool</t>
        </is>
      </c>
      <c r="BO390" s="152" t="inlineStr">
        <is>
          <t>free to read, copyright asserted</t>
        </is>
      </c>
      <c r="BP390" s="152" t="inlineStr">
        <is>
          <t>no</t>
        </is>
      </c>
      <c r="BQ390" s="152" t="inlineStr">
        <is>
          <t>yes</t>
        </is>
      </c>
      <c r="BR390" s="152" t="n"/>
      <c r="BS390" s="152" t="inlineStr">
        <is>
          <t>YES</t>
        </is>
      </c>
      <c r="BT390" s="152" t="n"/>
    </row>
    <row r="391" ht="15" customHeight="1" s="241">
      <c r="A391" s="193" t="inlineStr">
        <is>
          <t>American Express</t>
        </is>
      </c>
      <c r="B391" s="194">
        <f>IF(A391="","",_xlfn.XLOOKUP(A391, Company_List!$A:$A, Company_List!$B:$B, ""))</f>
        <v/>
      </c>
      <c r="C391" s="177" t="n">
        <v>2025</v>
      </c>
      <c r="D391" s="177" t="inlineStr">
        <is>
          <t>Q3</t>
        </is>
      </c>
      <c r="E391" s="178" t="inlineStr">
        <is>
          <t>All</t>
        </is>
      </c>
      <c r="F391" s="178" t="inlineStr">
        <is>
          <t>All</t>
        </is>
      </c>
      <c r="G391" s="177" t="inlineStr">
        <is>
          <t>David</t>
        </is>
      </c>
      <c r="H391" s="177" t="inlineStr">
        <is>
          <t>Human</t>
        </is>
      </c>
      <c r="I391" s="180" t="n">
        <v>0.3</v>
      </c>
      <c r="J391" s="180">
        <f>IF(OR(I391="",Settings!$B$6=""),"",IF(I391&gt;Settings!$B$6,"BUY",IF(I391&lt;-Settings!$B$6,"SELL","HOLD")))</f>
        <v/>
      </c>
      <c r="K391" s="180" t="n">
        <v>31</v>
      </c>
      <c r="L391" s="182" t="n">
        <v>45947</v>
      </c>
      <c r="M391" s="182" t="n">
        <v>45946</v>
      </c>
      <c r="N391" s="179" t="n">
        <v>320.5104</v>
      </c>
      <c r="O391" s="182" t="n">
        <v>45947</v>
      </c>
      <c r="P391" s="180" t="n">
        <v>329.6956</v>
      </c>
      <c r="Q391" s="184">
        <f>IF(OR(N391="",P391=""),"",ROUND((P391-N391)/N391,4))</f>
        <v/>
      </c>
      <c r="R391" s="177">
        <f>IF(OR(N391="",P391=""),"",IF(Q391&gt;Settings!$B$3/100,"UP",IF(Q391&lt;-Settings!$B$3/100,"DOWN","FLAT")))</f>
        <v/>
      </c>
      <c r="S391" s="177">
        <f>IF(OR(N391="",P391="",J391=""),"",IF(OR(AND(J391="BUY",R391="UP"),AND(J391="SELL",R391="DOWN"),AND(J391="HOLD",R391="FLAT")),"YES","NO"))</f>
        <v/>
      </c>
      <c r="T391" s="176">
        <f>IF(J391="","",IF(J391="BUY",1,IF(J391="SELL",-1,0)))</f>
        <v/>
      </c>
      <c r="U391" s="184">
        <f>IFERROR(IF(OR(J391="",N391="",P391=""),"",IF(T391=0,0,T391*Q391-Settings!$B$4/10000-IF(T391&lt;0,Settings!$B$5/10000,0))),"")</f>
        <v/>
      </c>
      <c r="V391" s="152" t="n"/>
      <c r="W391" s="176">
        <f>IF($K391="","",$K391*60)</f>
        <v/>
      </c>
      <c r="X391" s="186">
        <f>IF($A391="","",$A391&amp;"|"&amp;$C391&amp;"|"&amp;$D391)</f>
        <v/>
      </c>
      <c r="Y391" s="186">
        <f>IFERROR(IF($X391="","",INDEX(LLM_Data_Entry!$H$3:$H$548,MATCH($X391,INDEX(LLM_Data_Entry!$A$3:$A$548&amp;"|"&amp;LLM_Data_Entry!$C$3:$C$548&amp;"|"&amp;LLM_Data_Entry!$D$3:$D$548,0),0))),"")</f>
        <v/>
      </c>
      <c r="Z391" s="186">
        <f>IFERROR(IF($X391="","",INDEX(LLM_Data_Entry!$R$3:$R$548,MATCH($X391,INDEX(LLM_Data_Entry!$A$3:$A$548&amp;"|"&amp;LLM_Data_Entry!$C$3:$C$548&amp;"|"&amp;LLM_Data_Entry!$D$3:$D$548,0),0))),"")</f>
        <v/>
      </c>
      <c r="AA391" s="152" t="n"/>
      <c r="AB391" s="152" t="inlineStr">
        <is>
          <t>price signal, re-derived — only this window shows an abnormal move</t>
        </is>
      </c>
      <c r="AC391" s="152" t="inlineStr">
        <is>
          <t>AXP</t>
        </is>
      </c>
      <c r="AD391" s="152" t="inlineStr">
        <is>
          <t>2025-10-16</t>
        </is>
      </c>
      <c r="AE391" s="152" t="n">
        <v>320.5104</v>
      </c>
      <c r="AF391" s="152" t="inlineStr">
        <is>
          <t>2025-10-17</t>
        </is>
      </c>
      <c r="AG391" s="152" t="n">
        <v>329.6956</v>
      </c>
      <c r="AH391" s="152" t="n">
        <v>0.02865802524885775</v>
      </c>
      <c r="AI391" s="152" t="inlineStr">
        <is>
          <t>UP</t>
        </is>
      </c>
      <c r="AJ391" s="152" t="inlineStr">
        <is>
          <t>YES</t>
        </is>
      </c>
      <c r="AK391" s="152" t="n">
        <v>0.027658</v>
      </c>
      <c r="AL391" s="152">
        <f>IF($A391="","",IFERROR(INDEX(Company_List!$G$3:$G$207,MATCH($A391,Company_List!$A$3:$A$207,0)),"unassigned"))</f>
        <v/>
      </c>
      <c r="AM391" s="152" t="inlineStr">
        <is>
          <t>Phase 2/American Express/2025-Q3/AXP-2025-Q3-press-release-SEC-EX-99-1.htm; Phase 2/American Express/2025-Q3/AXP-2025-Q3-earnings-call-transcript-fool-com.html</t>
        </is>
      </c>
      <c r="AN391" s="152" t="inlineStr">
        <is>
          <t>https://www.fool.com/earnings/call-transcripts/2025/10/17/amex-axp-q3-2025-earnings-call-transcript/; https://www.sec.gov/Archives/edgar/data/4962/000000496225000218/q325exhibit991v2.htm</t>
        </is>
      </c>
      <c r="AO391" s="152" t="inlineStr">
        <is>
          <t>manifest (whole bundle)</t>
        </is>
      </c>
      <c r="AP391" s="152">
        <f>IF($A391="","",IF(COUNTIFS(LLM_Data_Entry!$A$3:$A$548,$A391)&gt;0,"YES","NO"))</f>
        <v/>
      </c>
      <c r="AQ391" s="152">
        <f>IF($A391="","",IF(COUNTIFS($A$3:$A391,$A391,$C$3:$C391,$C391,$D$3:$D391,$D391)=1,"YES","NO"))</f>
        <v/>
      </c>
      <c r="AR391" s="152">
        <f>IF($A391="","",IF(AND($C391&amp;"-"&amp;$D391&gt;=Settings!$B$19,$C391&amp;"-"&amp;$D391&lt;=Settings!$B$20),"IN","OUT"))</f>
        <v/>
      </c>
      <c r="AS391" s="152">
        <f>IF($A391="","",IF($F391="Financial Results","financials",IF($F391="Outlook/Guidance","guidance",IF($F391="Transcript Q&amp;A","qanda",IF($F391="","unrecorded",IF($E391="All","full",IF($E391="","unrecorded",LOWER($E391)&amp;" only")))))))</f>
        <v/>
      </c>
      <c r="AT391" s="152">
        <f>IF(AND(OR($J391="BUY",$J391="SELL"),ISNUMBER($U391)),$U391,"")</f>
        <v/>
      </c>
      <c r="AU391" s="152">
        <f>IF(AND(OR($J391="BUY",$J391="SELL"),ISNUMBER($AK391)),$AK391,"")</f>
        <v/>
      </c>
      <c r="AV391" s="152">
        <f>IF(ISNUMBER($AT391),ABS(IF(ISNUMBER($I391),$I391,0)-Settings!$B$24),"")</f>
        <v/>
      </c>
      <c r="AW391" s="152">
        <f>IF(ISNUMBER($AV391),$AV391*$AT391,"")</f>
        <v/>
      </c>
      <c r="AX391" s="152">
        <f>IF(ISNUMBER($AU391),ABS(IF(ISNUMBER($I391),$I391,0)-Settings!$B$24),"")</f>
        <v/>
      </c>
      <c r="AY391" s="152" t="inlineStr">
        <is>
          <t>EXTENSION</t>
        </is>
      </c>
      <c r="AZ391" s="152">
        <f>IF($A391="","",IFERROR(INDEX(Company_List!$H$3:$H$207,MATCH($A391,Company_List!$A$3:$A$207,0)),"unassigned"))</f>
        <v/>
      </c>
      <c r="BA391" s="152" t="n"/>
      <c r="BB391" s="152" t="n"/>
      <c r="BC391" s="152">
        <f>IF($A391="","",IF(COUNTIFS($A$3:$A391,$A391,$C$3:$C391,$C391,$D$3:$D391,$D391,$G$3:$G391,$G391)=1,1,0))</f>
        <v/>
      </c>
      <c r="BD391" s="152" t="n"/>
      <c r="BE391" s="152" t="n"/>
      <c r="BF391" s="152" t="n"/>
      <c r="BG391" s="152" t="inlineStr">
        <is>
          <t>no</t>
        </is>
      </c>
      <c r="BH391" s="152" t="n"/>
      <c r="BI391" s="152" t="n"/>
      <c r="BJ391" s="152" t="n"/>
      <c r="BK391" s="152">
        <f>IF(OR($H391&lt;&gt;"Human",$S391="",$J391="",$Y391="",$Z391=""),"",IF(EXACT(UPPER($J391),UPPER($Y391)),1,0))</f>
        <v/>
      </c>
      <c r="BL391" s="152" t="inlineStr">
        <is>
          <t>assumed - no rater record</t>
        </is>
      </c>
      <c r="BM391" s="152" t="n">
        <v>2</v>
      </c>
      <c r="BN391" s="152" t="inlineStr">
        <is>
          <t>The Motley Fool</t>
        </is>
      </c>
      <c r="BO391" s="152" t="inlineStr">
        <is>
          <t>free to read, copyright asserted</t>
        </is>
      </c>
      <c r="BP391" s="152" t="inlineStr">
        <is>
          <t>no</t>
        </is>
      </c>
      <c r="BQ391" s="152" t="inlineStr">
        <is>
          <t>yes</t>
        </is>
      </c>
      <c r="BR391" s="152" t="n"/>
      <c r="BS391" s="152" t="inlineStr">
        <is>
          <t>YES</t>
        </is>
      </c>
      <c r="BT391" s="152" t="n"/>
    </row>
    <row r="392" ht="15" customHeight="1" s="241">
      <c r="A392" s="193" t="inlineStr">
        <is>
          <t>American Express</t>
        </is>
      </c>
      <c r="B392" s="194">
        <f>IF(A392="","",_xlfn.XLOOKUP(A392, Company_List!$A:$A, Company_List!$B:$B, ""))</f>
        <v/>
      </c>
      <c r="C392" s="177" t="n">
        <v>2025</v>
      </c>
      <c r="D392" s="177" t="inlineStr">
        <is>
          <t>Q4</t>
        </is>
      </c>
      <c r="E392" s="178" t="inlineStr">
        <is>
          <t>Transcript</t>
        </is>
      </c>
      <c r="F392" s="178" t="inlineStr">
        <is>
          <t>Transcript Q&amp;A</t>
        </is>
      </c>
      <c r="G392" s="177" t="inlineStr">
        <is>
          <t>David</t>
        </is>
      </c>
      <c r="H392" s="177" t="inlineStr">
        <is>
          <t>Human</t>
        </is>
      </c>
      <c r="I392" s="180" t="n">
        <v>-0.05</v>
      </c>
      <c r="J392" s="180">
        <f>IF(OR(I392="",Settings!$B$6=""),"",IF(I392&gt;Settings!$B$6,"BUY",IF(I392&lt;-Settings!$B$6,"SELL","HOLD")))</f>
        <v/>
      </c>
      <c r="K392" s="180" t="n">
        <v>26</v>
      </c>
      <c r="L392" s="182" t="n">
        <v>46052</v>
      </c>
      <c r="M392" s="182" t="n">
        <v>46051</v>
      </c>
      <c r="N392" s="179" t="n">
        <v>356.3946</v>
      </c>
      <c r="O392" s="182" t="n">
        <v>46052</v>
      </c>
      <c r="P392" s="180" t="n">
        <v>352.9152</v>
      </c>
      <c r="Q392" s="184">
        <f>IF(OR(N392="",P392=""),"",ROUND((P392-N392)/N392,4))</f>
        <v/>
      </c>
      <c r="R392" s="177">
        <f>IF(OR(N392="",P392=""),"",IF(Q392&gt;Settings!$B$3/100,"UP",IF(Q392&lt;-Settings!$B$3/100,"DOWN","FLAT")))</f>
        <v/>
      </c>
      <c r="S392" s="177">
        <f>IF(OR(N392="",P392="",J392=""),"",IF(OR(AND(J392="BUY",R392="UP"),AND(J392="SELL",R392="DOWN"),AND(J392="HOLD",R392="FLAT")),"YES","NO"))</f>
        <v/>
      </c>
      <c r="T392" s="176">
        <f>IF(J392="","",IF(J392="BUY",1,IF(J392="SELL",-1,0)))</f>
        <v/>
      </c>
      <c r="U392" s="184">
        <f>IFERROR(IF(OR(J392="",N392="",P392=""),"",IF(T392=0,0,T392*Q392-Settings!$B$4/10000-IF(T392&lt;0,Settings!$B$5/10000,0))),"")</f>
        <v/>
      </c>
      <c r="V392" s="152" t="n"/>
      <c r="W392" s="176">
        <f>IF($K392="","",$K392*60)</f>
        <v/>
      </c>
      <c r="X392" s="186">
        <f>IF($A392="","",$A392&amp;"|"&amp;$C392&amp;"|"&amp;$D392)</f>
        <v/>
      </c>
      <c r="Y392" s="186">
        <f>IFERROR(IF($X392="","",INDEX(LLM_Data_Entry!$H$3:$H$548,MATCH($X392,INDEX(LLM_Data_Entry!$A$3:$A$548&amp;"|"&amp;LLM_Data_Entry!$C$3:$C$548&amp;"|"&amp;LLM_Data_Entry!$D$3:$D$548,0),0))),"")</f>
        <v/>
      </c>
      <c r="Z392" s="186">
        <f>IFERROR(IF($X392="","",INDEX(LLM_Data_Entry!$R$3:$R$548,MATCH($X392,INDEX(LLM_Data_Entry!$A$3:$A$548&amp;"|"&amp;LLM_Data_Entry!$C$3:$C$548&amp;"|"&amp;LLM_Data_Entry!$D$3:$D$548,0),0))),"")</f>
        <v/>
      </c>
      <c r="AA392" s="152" t="n"/>
      <c r="AB392" s="152" t="inlineStr">
        <is>
          <t>release time published by the issuer (section C)</t>
        </is>
      </c>
      <c r="AC392" s="152" t="inlineStr">
        <is>
          <t>AXP</t>
        </is>
      </c>
      <c r="AD392" s="152" t="inlineStr">
        <is>
          <t>2026-01-29</t>
        </is>
      </c>
      <c r="AE392" s="152" t="n">
        <v>356.3946</v>
      </c>
      <c r="AF392" s="152" t="inlineStr">
        <is>
          <t>2026-01-30</t>
        </is>
      </c>
      <c r="AG392" s="152" t="n">
        <v>352.9152</v>
      </c>
      <c r="AH392" s="152" t="n">
        <v>-0.009762910487534401</v>
      </c>
      <c r="AI392" s="152" t="inlineStr">
        <is>
          <t>FLAT</t>
        </is>
      </c>
      <c r="AJ392" s="152" t="inlineStr">
        <is>
          <t>YES</t>
        </is>
      </c>
      <c r="AK392" s="152" t="n">
        <v>0</v>
      </c>
      <c r="AL392" s="152">
        <f>IF($A392="","",IFERROR(INDEX(Company_List!$G$3:$G$207,MATCH($A392,Company_List!$A$3:$A$207,0)),"unassigned"))</f>
        <v/>
      </c>
      <c r="AM392" s="152" t="inlineStr">
        <is>
          <t>Phase 2/American Express/2025-Q4/AXP-2025-Q4-earnings-call-transcript-fool-com.html</t>
        </is>
      </c>
      <c r="AN392" s="152" t="inlineStr">
        <is>
          <t>https://www.fool.com/earnings/call-transcripts/2026/01/30/american-express-axp-q4-2025-earnings-call-transcript/</t>
        </is>
      </c>
      <c r="AO392" s="152" t="inlineStr">
        <is>
          <t>manifest</t>
        </is>
      </c>
      <c r="AP392" s="152">
        <f>IF($A392="","",IF(COUNTIFS(LLM_Data_Entry!$A$3:$A$548,$A392)&gt;0,"YES","NO"))</f>
        <v/>
      </c>
      <c r="AQ392" s="152">
        <f>IF($A392="","",IF(COUNTIFS($A$3:$A392,$A392,$C$3:$C392,$C392,$D$3:$D392,$D392)=1,"YES","NO"))</f>
        <v/>
      </c>
      <c r="AR392" s="152">
        <f>IF($A392="","",IF(AND($C392&amp;"-"&amp;$D392&gt;=Settings!$B$19,$C392&amp;"-"&amp;$D392&lt;=Settings!$B$20),"IN","OUT"))</f>
        <v/>
      </c>
      <c r="AS392" s="152">
        <f>IF($A392="","",IF($F392="Financial Results","financials",IF($F392="Outlook/Guidance","guidance",IF($F392="Transcript Q&amp;A","qanda",IF($F392="","unrecorded",IF($E392="All","full",IF($E392="","unrecorded",LOWER($E392)&amp;" only")))))))</f>
        <v/>
      </c>
      <c r="AT392" s="152">
        <f>IF(AND(OR($J392="BUY",$J392="SELL"),ISNUMBER($U392)),$U392,"")</f>
        <v/>
      </c>
      <c r="AU392" s="152">
        <f>IF(AND(OR($J392="BUY",$J392="SELL"),ISNUMBER($AK392)),$AK392,"")</f>
        <v/>
      </c>
      <c r="AV392" s="152">
        <f>IF(ISNUMBER($AT392),ABS(IF(ISNUMBER($I392),$I392,0)-Settings!$B$24),"")</f>
        <v/>
      </c>
      <c r="AW392" s="152">
        <f>IF(ISNUMBER($AV392),$AV392*$AT392,"")</f>
        <v/>
      </c>
      <c r="AX392" s="152">
        <f>IF(ISNUMBER($AU392),ABS(IF(ISNUMBER($I392),$I392,0)-Settings!$B$24),"")</f>
        <v/>
      </c>
      <c r="AY392" s="152" t="inlineStr">
        <is>
          <t>EXTENSION</t>
        </is>
      </c>
      <c r="AZ392" s="152">
        <f>IF($A392="","",IFERROR(INDEX(Company_List!$H$3:$H$207,MATCH($A392,Company_List!$A$3:$A$207,0)),"unassigned"))</f>
        <v/>
      </c>
      <c r="BA392" s="152" t="n"/>
      <c r="BB392" s="152" t="n"/>
      <c r="BC392" s="152">
        <f>IF($A392="","",IF(COUNTIFS($A$3:$A392,$A392,$C$3:$C392,$C392,$D$3:$D392,$D392,$G$3:$G392,$G392)=1,1,0))</f>
        <v/>
      </c>
      <c r="BD392" s="152" t="n"/>
      <c r="BE392" s="152" t="n"/>
      <c r="BF392" s="152" t="n"/>
      <c r="BG392" s="152" t="inlineStr">
        <is>
          <t>no</t>
        </is>
      </c>
      <c r="BH392" s="152" t="n"/>
      <c r="BI392" s="152" t="n"/>
      <c r="BJ392" s="152" t="n"/>
      <c r="BK392" s="152">
        <f>IF(OR($H392&lt;&gt;"Human",$S392="",$J392="",$Y392="",$Z392=""),"",IF(EXACT(UPPER($J392),UPPER($Y392)),1,0))</f>
        <v/>
      </c>
      <c r="BL392" s="152" t="inlineStr">
        <is>
          <t>assumed - no rater record</t>
        </is>
      </c>
      <c r="BM392" s="152" t="n">
        <v>1</v>
      </c>
      <c r="BN392" s="152" t="inlineStr">
        <is>
          <t>The Motley Fool</t>
        </is>
      </c>
      <c r="BO392" s="152" t="inlineStr">
        <is>
          <t>free to read, copyright asserted</t>
        </is>
      </c>
      <c r="BP392" s="152" t="inlineStr">
        <is>
          <t>no</t>
        </is>
      </c>
      <c r="BQ392" s="152" t="inlineStr">
        <is>
          <t>yes</t>
        </is>
      </c>
      <c r="BR392" s="152" t="n"/>
      <c r="BS392" s="152" t="inlineStr">
        <is>
          <t>YES</t>
        </is>
      </c>
      <c r="BT392" s="152" t="n"/>
    </row>
    <row r="393" ht="15" customHeight="1" s="241">
      <c r="A393" s="193" t="inlineStr">
        <is>
          <t>American Express</t>
        </is>
      </c>
      <c r="B393" s="194">
        <f>IF(A393="","",_xlfn.XLOOKUP(A393, Company_List!$A:$A, Company_List!$B:$B, ""))</f>
        <v/>
      </c>
      <c r="C393" s="177" t="n">
        <v>2025</v>
      </c>
      <c r="D393" s="177" t="inlineStr">
        <is>
          <t>Q4</t>
        </is>
      </c>
      <c r="E393" s="178" t="inlineStr">
        <is>
          <t>All</t>
        </is>
      </c>
      <c r="F393" s="178" t="inlineStr">
        <is>
          <t>All</t>
        </is>
      </c>
      <c r="G393" s="177" t="inlineStr">
        <is>
          <t>David</t>
        </is>
      </c>
      <c r="H393" s="177" t="inlineStr">
        <is>
          <t>Human</t>
        </is>
      </c>
      <c r="I393" s="180" t="n">
        <v>0</v>
      </c>
      <c r="J393" s="180">
        <f>IF(OR(I393="",Settings!$B$6=""),"",IF(I393&gt;Settings!$B$6,"BUY",IF(I393&lt;-Settings!$B$6,"SELL","HOLD")))</f>
        <v/>
      </c>
      <c r="K393" s="180" t="n">
        <v>30</v>
      </c>
      <c r="L393" s="182" t="n">
        <v>46052</v>
      </c>
      <c r="M393" s="182" t="n">
        <v>46051</v>
      </c>
      <c r="N393" s="179" t="n">
        <v>356.3946</v>
      </c>
      <c r="O393" s="182" t="n">
        <v>46052</v>
      </c>
      <c r="P393" s="180" t="n">
        <v>352.9152</v>
      </c>
      <c r="Q393" s="184">
        <f>IF(OR(N393="",P393=""),"",ROUND((P393-N393)/N393,4))</f>
        <v/>
      </c>
      <c r="R393" s="177">
        <f>IF(OR(N393="",P393=""),"",IF(Q393&gt;Settings!$B$3/100,"UP",IF(Q393&lt;-Settings!$B$3/100,"DOWN","FLAT")))</f>
        <v/>
      </c>
      <c r="S393" s="177">
        <f>IF(OR(N393="",P393="",J393=""),"",IF(OR(AND(J393="BUY",R393="UP"),AND(J393="SELL",R393="DOWN"),AND(J393="HOLD",R393="FLAT")),"YES","NO"))</f>
        <v/>
      </c>
      <c r="T393" s="176">
        <f>IF(J393="","",IF(J393="BUY",1,IF(J393="SELL",-1,0)))</f>
        <v/>
      </c>
      <c r="U393" s="184">
        <f>IFERROR(IF(OR(J393="",N393="",P393=""),"",IF(T393=0,0,T393*Q393-Settings!$B$4/10000-IF(T393&lt;0,Settings!$B$5/10000,0))),"")</f>
        <v/>
      </c>
      <c r="V393" s="152" t="n"/>
      <c r="W393" s="176">
        <f>IF($K393="","",$K393*60)</f>
        <v/>
      </c>
      <c r="X393" s="186">
        <f>IF($A393="","",$A393&amp;"|"&amp;$C393&amp;"|"&amp;$D393)</f>
        <v/>
      </c>
      <c r="Y393" s="186">
        <f>IFERROR(IF($X393="","",INDEX(LLM_Data_Entry!$H$3:$H$548,MATCH($X393,INDEX(LLM_Data_Entry!$A$3:$A$548&amp;"|"&amp;LLM_Data_Entry!$C$3:$C$548&amp;"|"&amp;LLM_Data_Entry!$D$3:$D$548,0),0))),"")</f>
        <v/>
      </c>
      <c r="Z393" s="186">
        <f>IFERROR(IF($X393="","",INDEX(LLM_Data_Entry!$R$3:$R$548,MATCH($X393,INDEX(LLM_Data_Entry!$A$3:$A$548&amp;"|"&amp;LLM_Data_Entry!$C$3:$C$548&amp;"|"&amp;LLM_Data_Entry!$D$3:$D$548,0),0))),"")</f>
        <v/>
      </c>
      <c r="AA393" s="152" t="n"/>
      <c r="AB393" s="152" t="inlineStr">
        <is>
          <t>release time published by the issuer (section C)</t>
        </is>
      </c>
      <c r="AC393" s="152" t="inlineStr">
        <is>
          <t>AXP</t>
        </is>
      </c>
      <c r="AD393" s="152" t="inlineStr">
        <is>
          <t>2026-01-29</t>
        </is>
      </c>
      <c r="AE393" s="152" t="n">
        <v>356.3946</v>
      </c>
      <c r="AF393" s="152" t="inlineStr">
        <is>
          <t>2026-01-30</t>
        </is>
      </c>
      <c r="AG393" s="152" t="n">
        <v>352.9152</v>
      </c>
      <c r="AH393" s="152" t="n">
        <v>-0.009762910487534401</v>
      </c>
      <c r="AI393" s="152" t="inlineStr">
        <is>
          <t>FLAT</t>
        </is>
      </c>
      <c r="AJ393" s="152" t="inlineStr">
        <is>
          <t>YES</t>
        </is>
      </c>
      <c r="AK393" s="152" t="n">
        <v>0</v>
      </c>
      <c r="AL393" s="152">
        <f>IF($A393="","",IFERROR(INDEX(Company_List!$G$3:$G$207,MATCH($A393,Company_List!$A$3:$A$207,0)),"unassigned"))</f>
        <v/>
      </c>
      <c r="AM393" s="152" t="inlineStr">
        <is>
          <t>Phase 2/American Express/2025-Q4/AXP-2025-Q4-press-release-SEC-EX-99-1.htm; Phase 2/American Express/2025-Q4/AXP-2025-Q4-earnings-call-transcript-fool-com.html</t>
        </is>
      </c>
      <c r="AN393" s="152" t="inlineStr">
        <is>
          <t>https://www.fool.com/earnings/call-transcripts/2026/01/30/american-express-axp-q4-2025-earnings-call-transcript/; https://www.sec.gov/Archives/edgar/data/4962/000000496226000037/q425exhibit991.htm</t>
        </is>
      </c>
      <c r="AO393" s="152" t="inlineStr">
        <is>
          <t>manifest (whole bundle)</t>
        </is>
      </c>
      <c r="AP393" s="152">
        <f>IF($A393="","",IF(COUNTIFS(LLM_Data_Entry!$A$3:$A$548,$A393)&gt;0,"YES","NO"))</f>
        <v/>
      </c>
      <c r="AQ393" s="152">
        <f>IF($A393="","",IF(COUNTIFS($A$3:$A393,$A393,$C$3:$C393,$C393,$D$3:$D393,$D393)=1,"YES","NO"))</f>
        <v/>
      </c>
      <c r="AR393" s="152">
        <f>IF($A393="","",IF(AND($C393&amp;"-"&amp;$D393&gt;=Settings!$B$19,$C393&amp;"-"&amp;$D393&lt;=Settings!$B$20),"IN","OUT"))</f>
        <v/>
      </c>
      <c r="AS393" s="152">
        <f>IF($A393="","",IF($F393="Financial Results","financials",IF($F393="Outlook/Guidance","guidance",IF($F393="Transcript Q&amp;A","qanda",IF($F393="","unrecorded",IF($E393="All","full",IF($E393="","unrecorded",LOWER($E393)&amp;" only")))))))</f>
        <v/>
      </c>
      <c r="AT393" s="152">
        <f>IF(AND(OR($J393="BUY",$J393="SELL"),ISNUMBER($U393)),$U393,"")</f>
        <v/>
      </c>
      <c r="AU393" s="152">
        <f>IF(AND(OR($J393="BUY",$J393="SELL"),ISNUMBER($AK393)),$AK393,"")</f>
        <v/>
      </c>
      <c r="AV393" s="152">
        <f>IF(ISNUMBER($AT393),ABS(IF(ISNUMBER($I393),$I393,0)-Settings!$B$24),"")</f>
        <v/>
      </c>
      <c r="AW393" s="152">
        <f>IF(ISNUMBER($AV393),$AV393*$AT393,"")</f>
        <v/>
      </c>
      <c r="AX393" s="152">
        <f>IF(ISNUMBER($AU393),ABS(IF(ISNUMBER($I393),$I393,0)-Settings!$B$24),"")</f>
        <v/>
      </c>
      <c r="AY393" s="152" t="inlineStr">
        <is>
          <t>EXTENSION</t>
        </is>
      </c>
      <c r="AZ393" s="152">
        <f>IF($A393="","",IFERROR(INDEX(Company_List!$H$3:$H$207,MATCH($A393,Company_List!$A$3:$A$207,0)),"unassigned"))</f>
        <v/>
      </c>
      <c r="BA393" s="152" t="n"/>
      <c r="BB393" s="152" t="n"/>
      <c r="BC393" s="152">
        <f>IF($A393="","",IF(COUNTIFS($A$3:$A393,$A393,$C$3:$C393,$C393,$D$3:$D393,$D393,$G$3:$G393,$G393)=1,1,0))</f>
        <v/>
      </c>
      <c r="BD393" s="152" t="n"/>
      <c r="BE393" s="152" t="n"/>
      <c r="BF393" s="152" t="n"/>
      <c r="BG393" s="152" t="inlineStr">
        <is>
          <t>no</t>
        </is>
      </c>
      <c r="BH393" s="152" t="n"/>
      <c r="BI393" s="152" t="n"/>
      <c r="BJ393" s="152" t="n"/>
      <c r="BK393" s="152">
        <f>IF(OR($H393&lt;&gt;"Human",$S393="",$J393="",$Y393="",$Z393=""),"",IF(EXACT(UPPER($J393),UPPER($Y393)),1,0))</f>
        <v/>
      </c>
      <c r="BL393" s="152" t="inlineStr">
        <is>
          <t>assumed - no rater record</t>
        </is>
      </c>
      <c r="BM393" s="152" t="n">
        <v>2</v>
      </c>
      <c r="BN393" s="152" t="inlineStr">
        <is>
          <t>The Motley Fool</t>
        </is>
      </c>
      <c r="BO393" s="152" t="inlineStr">
        <is>
          <t>free to read, copyright asserted</t>
        </is>
      </c>
      <c r="BP393" s="152" t="inlineStr">
        <is>
          <t>no</t>
        </is>
      </c>
      <c r="BQ393" s="152" t="inlineStr">
        <is>
          <t>yes</t>
        </is>
      </c>
      <c r="BR393" s="152" t="n"/>
      <c r="BS393" s="152" t="inlineStr">
        <is>
          <t>YES</t>
        </is>
      </c>
      <c r="BT393" s="152" t="n"/>
    </row>
    <row r="394" ht="15" customHeight="1" s="241">
      <c r="A394" s="193" t="inlineStr">
        <is>
          <t>American Express</t>
        </is>
      </c>
      <c r="B394" s="194">
        <f>IF(A394="","",_xlfn.XLOOKUP(A394, Company_List!$A:$A, Company_List!$B:$B, ""))</f>
        <v/>
      </c>
      <c r="C394" s="177" t="n">
        <v>2026</v>
      </c>
      <c r="D394" s="177" t="inlineStr">
        <is>
          <t>Q1</t>
        </is>
      </c>
      <c r="E394" s="178" t="inlineStr">
        <is>
          <t>All</t>
        </is>
      </c>
      <c r="F394" s="178" t="inlineStr">
        <is>
          <t>All</t>
        </is>
      </c>
      <c r="G394" s="177" t="inlineStr">
        <is>
          <t>David</t>
        </is>
      </c>
      <c r="H394" s="177" t="inlineStr">
        <is>
          <t>Human</t>
        </is>
      </c>
      <c r="I394" s="180" t="n">
        <v>0.1</v>
      </c>
      <c r="J394" s="180">
        <f>IF(OR(I394="",Settings!$B$6=""),"",IF(I394&gt;Settings!$B$6,"BUY",IF(I394&lt;-Settings!$B$6,"SELL","HOLD")))</f>
        <v/>
      </c>
      <c r="K394" s="180" t="n">
        <v>33</v>
      </c>
      <c r="L394" s="182" t="n">
        <v>46135</v>
      </c>
      <c r="M394" s="182" t="n">
        <v>46135</v>
      </c>
      <c r="N394" s="179" t="n">
        <v>317.6804</v>
      </c>
      <c r="O394" s="182" t="n">
        <v>46136</v>
      </c>
      <c r="P394" s="180" t="n">
        <v>315.646</v>
      </c>
      <c r="Q394" s="184">
        <f>IF(OR(N394="",P394=""),"",ROUND((P394-N394)/N394,4))</f>
        <v/>
      </c>
      <c r="R394" s="177">
        <f>IF(OR(N394="",P394=""),"",IF(Q394&gt;Settings!$B$3/100,"UP",IF(Q394&lt;-Settings!$B$3/100,"DOWN","FLAT")))</f>
        <v/>
      </c>
      <c r="S394" s="177">
        <f>IF(OR(N394="",P394="",J394=""),"",IF(OR(AND(J394="BUY",R394="UP"),AND(J394="SELL",R394="DOWN"),AND(J394="HOLD",R394="FLAT")),"YES","NO"))</f>
        <v/>
      </c>
      <c r="T394" s="176">
        <f>IF(J394="","",IF(J394="BUY",1,IF(J394="SELL",-1,0)))</f>
        <v/>
      </c>
      <c r="U394" s="184">
        <f>IFERROR(IF(OR(J394="",N394="",P394=""),"",IF(T394=0,0,T394*Q394-Settings!$B$4/10000-IF(T394&lt;0,Settings!$B$5/10000,0))),"")</f>
        <v/>
      </c>
      <c r="V394" s="152" t="n"/>
      <c r="W394" s="176">
        <f>IF($K394="","",$K394*60)</f>
        <v/>
      </c>
      <c r="X394" s="186">
        <f>IF($A394="","",$A394&amp;"|"&amp;$C394&amp;"|"&amp;$D394)</f>
        <v/>
      </c>
      <c r="Y394" s="186">
        <f>IFERROR(IF($X394="","",INDEX(LLM_Data_Entry!$H$3:$H$548,MATCH($X394,INDEX(LLM_Data_Entry!$A$3:$A$548&amp;"|"&amp;LLM_Data_Entry!$C$3:$C$548&amp;"|"&amp;LLM_Data_Entry!$D$3:$D$548,0),0))),"")</f>
        <v/>
      </c>
      <c r="Z394" s="186">
        <f>IFERROR(IF($X394="","",INDEX(LLM_Data_Entry!$R$3:$R$548,MATCH($X394,INDEX(LLM_Data_Entry!$A$3:$A$548&amp;"|"&amp;LLM_Data_Entry!$C$3:$C$548&amp;"|"&amp;LLM_Data_Entry!$D$3:$D$548,0),0))),"")</f>
        <v/>
      </c>
      <c r="AA394" s="152" t="n"/>
      <c r="AB394" s="152" t="inlineStr">
        <is>
          <t>price signal, re-derived — only this window shows an abnormal move</t>
        </is>
      </c>
      <c r="AC394" s="152" t="inlineStr">
        <is>
          <t>AXP</t>
        </is>
      </c>
      <c r="AD394" s="152" t="inlineStr">
        <is>
          <t>2026-04-23</t>
        </is>
      </c>
      <c r="AE394" s="152" t="n">
        <v>317.6804</v>
      </c>
      <c r="AF394" s="152" t="inlineStr">
        <is>
          <t>2026-04-24</t>
        </is>
      </c>
      <c r="AG394" s="152" t="n">
        <v>315.646</v>
      </c>
      <c r="AH394" s="152" t="n">
        <v>-0.006403935132646094</v>
      </c>
      <c r="AI394" s="152" t="inlineStr">
        <is>
          <t>FLAT</t>
        </is>
      </c>
      <c r="AJ394" s="152" t="inlineStr">
        <is>
          <t>YES</t>
        </is>
      </c>
      <c r="AK394" s="152" t="n">
        <v>0</v>
      </c>
      <c r="AL394" s="152">
        <f>IF($A394="","",IFERROR(INDEX(Company_List!$G$3:$G$207,MATCH($A394,Company_List!$A$3:$A$207,0)),"unassigned"))</f>
        <v/>
      </c>
      <c r="AM394" s="152" t="inlineStr">
        <is>
          <t>Phase 2/American Express/2026-Q1/AXP-2026-Q1-press-release-SEC-EX-99-1.htm</t>
        </is>
      </c>
      <c r="AN394" s="152" t="inlineStr">
        <is>
          <t>https://www.sec.gov/Archives/edgar/data/4962/000000496226000188/q126exhibit991.htm</t>
        </is>
      </c>
      <c r="AO394" s="152" t="inlineStr">
        <is>
          <t>manifest</t>
        </is>
      </c>
      <c r="AP394" s="152">
        <f>IF($A394="","",IF(COUNTIFS(LLM_Data_Entry!$A$3:$A$548,$A394)&gt;0,"YES","NO"))</f>
        <v/>
      </c>
      <c r="AQ394" s="152">
        <f>IF($A394="","",IF(COUNTIFS($A$3:$A394,$A394,$C$3:$C394,$C394,$D$3:$D394,$D394)=1,"YES","NO"))</f>
        <v/>
      </c>
      <c r="AR394" s="152">
        <f>IF($A394="","",IF(AND($C394&amp;"-"&amp;$D394&gt;=Settings!$B$19,$C394&amp;"-"&amp;$D394&lt;=Settings!$B$20),"IN","OUT"))</f>
        <v/>
      </c>
      <c r="AS394" s="152">
        <f>IF($A394="","",IF($F394="Financial Results","financials",IF($F394="Outlook/Guidance","guidance",IF($F394="Transcript Q&amp;A","qanda",IF($F394="","unrecorded",IF($E394="All","full",IF($E394="","unrecorded",LOWER($E394)&amp;" only")))))))</f>
        <v/>
      </c>
      <c r="AT394" s="152">
        <f>IF(AND(OR($J394="BUY",$J394="SELL"),ISNUMBER($U394)),$U394,"")</f>
        <v/>
      </c>
      <c r="AU394" s="152">
        <f>IF(AND(OR($J394="BUY",$J394="SELL"),ISNUMBER($AK394)),$AK394,"")</f>
        <v/>
      </c>
      <c r="AV394" s="152">
        <f>IF(ISNUMBER($AT394),ABS(IF(ISNUMBER($I394),$I394,0)-Settings!$B$24),"")</f>
        <v/>
      </c>
      <c r="AW394" s="152">
        <f>IF(ISNUMBER($AV394),$AV394*$AT394,"")</f>
        <v/>
      </c>
      <c r="AX394" s="152">
        <f>IF(ISNUMBER($AU394),ABS(IF(ISNUMBER($I394),$I394,0)-Settings!$B$24),"")</f>
        <v/>
      </c>
      <c r="AY394" s="152" t="inlineStr">
        <is>
          <t>EXTENSION</t>
        </is>
      </c>
      <c r="AZ394" s="152">
        <f>IF($A394="","",IFERROR(INDEX(Company_List!$H$3:$H$207,MATCH($A394,Company_List!$A$3:$A$207,0)),"unassigned"))</f>
        <v/>
      </c>
      <c r="BA394" s="152" t="n"/>
      <c r="BB394" s="152" t="n"/>
      <c r="BC394" s="152">
        <f>IF($A394="","",IF(COUNTIFS($A$3:$A394,$A394,$C$3:$C394,$C394,$D$3:$D394,$D394,$G$3:$G394,$G394)=1,1,0))</f>
        <v/>
      </c>
      <c r="BD394" s="152" t="n"/>
      <c r="BE394" s="152" t="n"/>
      <c r="BF394" s="152" t="n"/>
      <c r="BG394" s="152" t="inlineStr">
        <is>
          <t>no</t>
        </is>
      </c>
      <c r="BH394" s="152" t="n"/>
      <c r="BI394" s="152" t="n"/>
      <c r="BJ394" s="152" t="n"/>
      <c r="BK394" s="152">
        <f>IF(OR($H394&lt;&gt;"Human",$S394="",$J394="",$Y394="",$Z394=""),"",IF(EXACT(UPPER($J394),UPPER($Y394)),1,0))</f>
        <v/>
      </c>
      <c r="BL394" s="152" t="inlineStr">
        <is>
          <t>assumed - no rater record</t>
        </is>
      </c>
      <c r="BM394" s="152" t="n">
        <v>1</v>
      </c>
      <c r="BN394" s="152" t="inlineStr">
        <is>
          <t>not publisher-identified</t>
        </is>
      </c>
      <c r="BO394" s="152" t="inlineStr">
        <is>
          <t>not publisher-identified</t>
        </is>
      </c>
      <c r="BP394" s="152" t="inlineStr">
        <is>
          <t>no</t>
        </is>
      </c>
      <c r="BQ394" s="152" t="inlineStr">
        <is>
          <t>yes</t>
        </is>
      </c>
      <c r="BR394" s="152" t="n"/>
      <c r="BS394" s="152" t="inlineStr">
        <is>
          <t>YES</t>
        </is>
      </c>
      <c r="BT394" s="152" t="n"/>
    </row>
    <row r="395" ht="15" customHeight="1" s="241">
      <c r="A395" s="193" t="inlineStr">
        <is>
          <t>Chevron</t>
        </is>
      </c>
      <c r="B395" s="194">
        <f>IF(A395="","",_xlfn.XLOOKUP(A395, Company_List!$A:$A, Company_List!$B:$B, ""))</f>
        <v/>
      </c>
      <c r="C395" s="177" t="n">
        <v>2025</v>
      </c>
      <c r="D395" s="177" t="inlineStr">
        <is>
          <t>Q2</t>
        </is>
      </c>
      <c r="E395" s="178" t="inlineStr">
        <is>
          <t>Financial Statement</t>
        </is>
      </c>
      <c r="F395" s="178" t="inlineStr">
        <is>
          <t>Financial Results</t>
        </is>
      </c>
      <c r="G395" s="177" t="inlineStr">
        <is>
          <t>David</t>
        </is>
      </c>
      <c r="H395" s="177" t="inlineStr">
        <is>
          <t>Human</t>
        </is>
      </c>
      <c r="I395" s="180" t="n">
        <v>-0.2</v>
      </c>
      <c r="J395" s="180">
        <f>IF(OR(I395="",Settings!$B$6=""),"",IF(I395&gt;Settings!$B$6,"BUY",IF(I395&lt;-Settings!$B$6,"SELL","HOLD")))</f>
        <v/>
      </c>
      <c r="K395" s="180" t="n">
        <v>25</v>
      </c>
      <c r="L395" s="182" t="n">
        <v>45870</v>
      </c>
      <c r="M395" s="182" t="n">
        <v>45869</v>
      </c>
      <c r="N395" s="179" t="n">
        <v>145.5442</v>
      </c>
      <c r="O395" s="182" t="n">
        <v>45870</v>
      </c>
      <c r="P395" s="180" t="n">
        <v>146.408</v>
      </c>
      <c r="Q395" s="184">
        <f>IF(OR(N395="",P395=""),"",ROUND((P395-N395)/N395,4))</f>
        <v/>
      </c>
      <c r="R395" s="177">
        <f>IF(OR(N395="",P395=""),"",IF(Q395&gt;Settings!$B$3/100,"UP",IF(Q395&lt;-Settings!$B$3/100,"DOWN","FLAT")))</f>
        <v/>
      </c>
      <c r="S395" s="177">
        <f>IF(OR(N395="",P395="",J395=""),"",IF(OR(AND(J395="BUY",R395="UP"),AND(J395="SELL",R395="DOWN"),AND(J395="HOLD",R395="FLAT")),"YES","NO"))</f>
        <v/>
      </c>
      <c r="T395" s="176">
        <f>IF(J395="","",IF(J395="BUY",1,IF(J395="SELL",-1,0)))</f>
        <v/>
      </c>
      <c r="U395" s="184">
        <f>IFERROR(IF(OR(J395="",N395="",P395=""),"",IF(T395=0,0,T395*Q395-Settings!$B$4/10000-IF(T395&lt;0,Settings!$B$5/10000,0))),"")</f>
        <v/>
      </c>
      <c r="V395" s="152" t="n"/>
      <c r="W395" s="176">
        <f>IF($K395="","",$K395*60)</f>
        <v/>
      </c>
      <c r="X395" s="186">
        <f>IF($A395="","",$A395&amp;"|"&amp;$C395&amp;"|"&amp;$D395)</f>
        <v/>
      </c>
      <c r="Y395" s="186">
        <f>IFERROR(IF($X395="","",INDEX(LLM_Data_Entry!$H$3:$H$548,MATCH($X395,INDEX(LLM_Data_Entry!$A$3:$A$548&amp;"|"&amp;LLM_Data_Entry!$C$3:$C$548&amp;"|"&amp;LLM_Data_Entry!$D$3:$D$548,0),0))),"")</f>
        <v/>
      </c>
      <c r="Z395" s="186">
        <f>IFERROR(IF($X395="","",INDEX(LLM_Data_Entry!$R$3:$R$548,MATCH($X395,INDEX(LLM_Data_Entry!$A$3:$A$548&amp;"|"&amp;LLM_Data_Entry!$C$3:$C$548&amp;"|"&amp;LLM_Data_Entry!$D$3:$D$548,0),0))),"")</f>
        <v/>
      </c>
      <c r="AA395" s="152" t="n"/>
      <c r="AB395" s="152" t="inlineStr">
        <is>
          <t>price signal, re-derived — only this window shows an abnormal move</t>
        </is>
      </c>
      <c r="AC395" s="152" t="inlineStr">
        <is>
          <t>CVX</t>
        </is>
      </c>
      <c r="AD395" s="152" t="inlineStr">
        <is>
          <t>2025-07-31</t>
        </is>
      </c>
      <c r="AE395" s="152" t="n">
        <v>145.5442</v>
      </c>
      <c r="AF395" s="152" t="inlineStr">
        <is>
          <t>2025-08-01</t>
        </is>
      </c>
      <c r="AG395" s="152" t="n">
        <v>146.408</v>
      </c>
      <c r="AH395" s="152" t="n">
        <v>0.005935145990041951</v>
      </c>
      <c r="AI395" s="152" t="inlineStr">
        <is>
          <t>FLAT</t>
        </is>
      </c>
      <c r="AJ395" s="152" t="inlineStr">
        <is>
          <t>YES</t>
        </is>
      </c>
      <c r="AK395" s="152" t="n">
        <v>0</v>
      </c>
      <c r="AL395" s="152">
        <f>IF($A395="","",IFERROR(INDEX(Company_List!$G$3:$G$207,MATCH($A395,Company_List!$A$3:$A$207,0)),"unassigned"))</f>
        <v/>
      </c>
      <c r="AM395" s="152" t="inlineStr">
        <is>
          <t>Phase 2/Chevron/2025-Q2/CVX-2025-Q2-quarterly-financial-statements-SEC-10-Q.htm</t>
        </is>
      </c>
      <c r="AN395" s="152" t="inlineStr">
        <is>
          <t>https://www.sec.gov/Archives/edgar/data/93410/ (10-Q, Q2 2025)</t>
        </is>
      </c>
      <c r="AO395" s="152" t="inlineStr">
        <is>
          <t>manifest</t>
        </is>
      </c>
      <c r="AP395" s="152">
        <f>IF($A395="","",IF(COUNTIFS(LLM_Data_Entry!$A$3:$A$548,$A395)&gt;0,"YES","NO"))</f>
        <v/>
      </c>
      <c r="AQ395" s="152">
        <f>IF($A395="","",IF(COUNTIFS($A$3:$A395,$A395,$C$3:$C395,$C395,$D$3:$D395,$D395)=1,"YES","NO"))</f>
        <v/>
      </c>
      <c r="AR395" s="152">
        <f>IF($A395="","",IF(AND($C395&amp;"-"&amp;$D395&gt;=Settings!$B$19,$C395&amp;"-"&amp;$D395&lt;=Settings!$B$20),"IN","OUT"))</f>
        <v/>
      </c>
      <c r="AS395" s="152">
        <f>IF($A395="","",IF($F395="Financial Results","financials",IF($F395="Outlook/Guidance","guidance",IF($F395="Transcript Q&amp;A","qanda",IF($F395="","unrecorded",IF($E395="All","full",IF($E395="","unrecorded",LOWER($E395)&amp;" only")))))))</f>
        <v/>
      </c>
      <c r="AT395" s="152">
        <f>IF(AND(OR($J395="BUY",$J395="SELL"),ISNUMBER($U395)),$U395,"")</f>
        <v/>
      </c>
      <c r="AU395" s="152">
        <f>IF(AND(OR($J395="BUY",$J395="SELL"),ISNUMBER($AK395)),$AK395,"")</f>
        <v/>
      </c>
      <c r="AV395" s="152">
        <f>IF(ISNUMBER($AT395),ABS(IF(ISNUMBER($I395),$I395,0)-Settings!$B$24),"")</f>
        <v/>
      </c>
      <c r="AW395" s="152">
        <f>IF(ISNUMBER($AV395),$AV395*$AT395,"")</f>
        <v/>
      </c>
      <c r="AX395" s="152">
        <f>IF(ISNUMBER($AU395),ABS(IF(ISNUMBER($I395),$I395,0)-Settings!$B$24),"")</f>
        <v/>
      </c>
      <c r="AY395" s="152" t="inlineStr">
        <is>
          <t>EXTENSION</t>
        </is>
      </c>
      <c r="AZ395" s="152">
        <f>IF($A395="","",IFERROR(INDEX(Company_List!$H$3:$H$207,MATCH($A395,Company_List!$A$3:$A$207,0)),"unassigned"))</f>
        <v/>
      </c>
      <c r="BA395" s="152" t="n">
        <v>1</v>
      </c>
      <c r="BB395" s="152" t="n">
        <v>2</v>
      </c>
      <c r="BC395" s="152">
        <f>IF($A395="","",IF(COUNTIFS($A$3:$A395,$A395,$C$3:$C395,$C395,$D$3:$D395,$D395,$G$3:$G395,$G395)=1,1,0))</f>
        <v/>
      </c>
      <c r="BD395" s="152" t="n">
        <v>25</v>
      </c>
      <c r="BE395" s="152" t="n">
        <v>30</v>
      </c>
      <c r="BF395" s="152" t="n">
        <v>-0.2</v>
      </c>
      <c r="BG395" s="152" t="inlineStr">
        <is>
          <t>no</t>
        </is>
      </c>
      <c r="BH395" s="152" t="inlineStr">
        <is>
          <t>no</t>
        </is>
      </c>
      <c r="BI395" s="152" t="inlineStr">
        <is>
          <t>Driven by realisations and the shareholder return commitment</t>
        </is>
      </c>
      <c r="BJ395" s="152" t="inlineStr">
        <is>
          <t>56 chevron q22025 financials.pdf</t>
        </is>
      </c>
      <c r="BK395" s="152">
        <f>IF(OR($H395&lt;&gt;"Human",$S395="",$J395="",$Y395="",$Z395=""),"",IF(EXACT(UPPER($J395),UPPER($Y395)),1,0))</f>
        <v/>
      </c>
      <c r="BL395" s="152" t="inlineStr">
        <is>
          <t>attested - rater record</t>
        </is>
      </c>
      <c r="BM395" s="152" t="n">
        <v>1</v>
      </c>
      <c r="BN395" s="152" t="inlineStr">
        <is>
          <t>not publisher-identified</t>
        </is>
      </c>
      <c r="BO395" s="152" t="inlineStr">
        <is>
          <t>not publisher-identified</t>
        </is>
      </c>
      <c r="BP395" s="152" t="inlineStr">
        <is>
          <t>sole source</t>
        </is>
      </c>
      <c r="BQ395" s="152" t="inlineStr">
        <is>
          <t>yes</t>
        </is>
      </c>
      <c r="BR395" s="152" t="n"/>
      <c r="BS395" s="152" t="inlineStr">
        <is>
          <t>YES</t>
        </is>
      </c>
      <c r="BT395" s="152" t="n"/>
    </row>
    <row r="396" ht="15" customHeight="1" s="241">
      <c r="A396" s="193" t="inlineStr">
        <is>
          <t>Chevron</t>
        </is>
      </c>
      <c r="B396" s="194">
        <f>IF(A396="","",_xlfn.XLOOKUP(A396, Company_List!$A:$A, Company_List!$B:$B, ""))</f>
        <v/>
      </c>
      <c r="C396" s="177" t="n">
        <v>2025</v>
      </c>
      <c r="D396" s="177" t="inlineStr">
        <is>
          <t>Q2</t>
        </is>
      </c>
      <c r="E396" s="178" t="inlineStr">
        <is>
          <t>All</t>
        </is>
      </c>
      <c r="F396" s="178" t="inlineStr">
        <is>
          <t>All</t>
        </is>
      </c>
      <c r="G396" s="177" t="inlineStr">
        <is>
          <t>David</t>
        </is>
      </c>
      <c r="H396" s="177" t="inlineStr">
        <is>
          <t>Human</t>
        </is>
      </c>
      <c r="I396" s="180" t="n">
        <v>-0.22</v>
      </c>
      <c r="J396" s="180">
        <f>IF(OR(I396="",Settings!$B$6=""),"",IF(I396&gt;Settings!$B$6,"BUY",IF(I396&lt;-Settings!$B$6,"SELL","HOLD")))</f>
        <v/>
      </c>
      <c r="K396" s="180" t="n">
        <v>30</v>
      </c>
      <c r="L396" s="182" t="n">
        <v>45870</v>
      </c>
      <c r="M396" s="182" t="n">
        <v>45869</v>
      </c>
      <c r="N396" s="179" t="n">
        <v>145.5442</v>
      </c>
      <c r="O396" s="182" t="n">
        <v>45870</v>
      </c>
      <c r="P396" s="180" t="n">
        <v>146.408</v>
      </c>
      <c r="Q396" s="184">
        <f>IF(OR(N396="",P396=""),"",ROUND((P396-N396)/N396,4))</f>
        <v/>
      </c>
      <c r="R396" s="177">
        <f>IF(OR(N396="",P396=""),"",IF(Q396&gt;Settings!$B$3/100,"UP",IF(Q396&lt;-Settings!$B$3/100,"DOWN","FLAT")))</f>
        <v/>
      </c>
      <c r="S396" s="177">
        <f>IF(OR(N396="",P396="",J396=""),"",IF(OR(AND(J396="BUY",R396="UP"),AND(J396="SELL",R396="DOWN"),AND(J396="HOLD",R396="FLAT")),"YES","NO"))</f>
        <v/>
      </c>
      <c r="T396" s="176">
        <f>IF(J396="","",IF(J396="BUY",1,IF(J396="SELL",-1,0)))</f>
        <v/>
      </c>
      <c r="U396" s="184">
        <f>IFERROR(IF(OR(J396="",N396="",P396=""),"",IF(T396=0,0,T396*Q396-Settings!$B$4/10000-IF(T396&lt;0,Settings!$B$5/10000,0))),"")</f>
        <v/>
      </c>
      <c r="V396" s="152" t="n"/>
      <c r="W396" s="176">
        <f>IF($K396="","",$K396*60)</f>
        <v/>
      </c>
      <c r="X396" s="186">
        <f>IF($A396="","",$A396&amp;"|"&amp;$C396&amp;"|"&amp;$D396)</f>
        <v/>
      </c>
      <c r="Y396" s="186">
        <f>IFERROR(IF($X396="","",INDEX(LLM_Data_Entry!$H$3:$H$548,MATCH($X396,INDEX(LLM_Data_Entry!$A$3:$A$548&amp;"|"&amp;LLM_Data_Entry!$C$3:$C$548&amp;"|"&amp;LLM_Data_Entry!$D$3:$D$548,0),0))),"")</f>
        <v/>
      </c>
      <c r="Z396" s="186">
        <f>IFERROR(IF($X396="","",INDEX(LLM_Data_Entry!$R$3:$R$548,MATCH($X396,INDEX(LLM_Data_Entry!$A$3:$A$548&amp;"|"&amp;LLM_Data_Entry!$C$3:$C$548&amp;"|"&amp;LLM_Data_Entry!$D$3:$D$548,0),0))),"")</f>
        <v/>
      </c>
      <c r="AA396" s="152" t="n"/>
      <c r="AB396" s="152" t="inlineStr">
        <is>
          <t>price signal, re-derived — only this window shows an abnormal move</t>
        </is>
      </c>
      <c r="AC396" s="152" t="inlineStr">
        <is>
          <t>CVX</t>
        </is>
      </c>
      <c r="AD396" s="152" t="inlineStr">
        <is>
          <t>2025-07-31</t>
        </is>
      </c>
      <c r="AE396" s="152" t="n">
        <v>145.5442</v>
      </c>
      <c r="AF396" s="152" t="inlineStr">
        <is>
          <t>2025-08-01</t>
        </is>
      </c>
      <c r="AG396" s="152" t="n">
        <v>146.408</v>
      </c>
      <c r="AH396" s="152" t="n">
        <v>0.005935145990041951</v>
      </c>
      <c r="AI396" s="152" t="inlineStr">
        <is>
          <t>FLAT</t>
        </is>
      </c>
      <c r="AJ396" s="152" t="inlineStr">
        <is>
          <t>NO</t>
        </is>
      </c>
      <c r="AK396" s="152" t="n">
        <v>-0.006935</v>
      </c>
      <c r="AL396" s="152">
        <f>IF($A396="","",IFERROR(INDEX(Company_List!$G$3:$G$207,MATCH($A396,Company_List!$A$3:$A$207,0)),"unassigned"))</f>
        <v/>
      </c>
      <c r="AM396" s="152" t="inlineStr">
        <is>
          <t>Phase 2/Chevron/2025-Q2/CVX-2025-Q2-press-release-SEC-EX-99-1.htm; Phase 2/Chevron/2025-Q2/CVX-2025-Q2-quarterly-financial-statements-SEC-10-Q.htm</t>
        </is>
      </c>
      <c r="AN396" s="152" t="inlineStr">
        <is>
          <t>https://www.sec.gov/Archives/edgar/data/93410/ (10-Q, Q2 2025); https://www.sec.gov/Archives/edgar/data/93410/000009341025000058/a06302025ex9918-k.htm</t>
        </is>
      </c>
      <c r="AO396" s="152" t="inlineStr">
        <is>
          <t>manifest (whole bundle)</t>
        </is>
      </c>
      <c r="AP396" s="152">
        <f>IF($A396="","",IF(COUNTIFS(LLM_Data_Entry!$A$3:$A$548,$A396)&gt;0,"YES","NO"))</f>
        <v/>
      </c>
      <c r="AQ396" s="152">
        <f>IF($A396="","",IF(COUNTIFS($A$3:$A396,$A396,$C$3:$C396,$C396,$D$3:$D396,$D396)=1,"YES","NO"))</f>
        <v/>
      </c>
      <c r="AR396" s="152">
        <f>IF($A396="","",IF(AND($C396&amp;"-"&amp;$D396&gt;=Settings!$B$19,$C396&amp;"-"&amp;$D396&lt;=Settings!$B$20),"IN","OUT"))</f>
        <v/>
      </c>
      <c r="AS396" s="152">
        <f>IF($A396="","",IF($F396="Financial Results","financials",IF($F396="Outlook/Guidance","guidance",IF($F396="Transcript Q&amp;A","qanda",IF($F396="","unrecorded",IF($E396="All","full",IF($E396="","unrecorded",LOWER($E396)&amp;" only")))))))</f>
        <v/>
      </c>
      <c r="AT396" s="152">
        <f>IF(AND(OR($J396="BUY",$J396="SELL"),ISNUMBER($U396)),$U396,"")</f>
        <v/>
      </c>
      <c r="AU396" s="152">
        <f>IF(AND(OR($J396="BUY",$J396="SELL"),ISNUMBER($AK396)),$AK396,"")</f>
        <v/>
      </c>
      <c r="AV396" s="152">
        <f>IF(ISNUMBER($AT396),ABS(IF(ISNUMBER($I396),$I396,0)-Settings!$B$24),"")</f>
        <v/>
      </c>
      <c r="AW396" s="152">
        <f>IF(ISNUMBER($AV396),$AV396*$AT396,"")</f>
        <v/>
      </c>
      <c r="AX396" s="152">
        <f>IF(ISNUMBER($AU396),ABS(IF(ISNUMBER($I396),$I396,0)-Settings!$B$24),"")</f>
        <v/>
      </c>
      <c r="AY396" s="152" t="inlineStr">
        <is>
          <t>EXTENSION</t>
        </is>
      </c>
      <c r="AZ396" s="152">
        <f>IF($A396="","",IFERROR(INDEX(Company_List!$H$3:$H$207,MATCH($A396,Company_List!$A$3:$A$207,0)),"unassigned"))</f>
        <v/>
      </c>
      <c r="BA396" s="152" t="n">
        <v>2</v>
      </c>
      <c r="BB396" s="152" t="n">
        <v>2</v>
      </c>
      <c r="BC396" s="152">
        <f>IF($A396="","",IF(COUNTIFS($A$3:$A396,$A396,$C$3:$C396,$C396,$D$3:$D396,$D396,$G$3:$G396,$G396)=1,1,0))</f>
        <v/>
      </c>
      <c r="BD396" s="152" t="n">
        <v>25</v>
      </c>
      <c r="BE396" s="152" t="n">
        <v>30</v>
      </c>
      <c r="BF396" s="152" t="n">
        <v>-0.2</v>
      </c>
      <c r="BG396" s="152" t="inlineStr">
        <is>
          <t>no</t>
        </is>
      </c>
      <c r="BH396" s="152" t="inlineStr">
        <is>
          <t>no</t>
        </is>
      </c>
      <c r="BI396" s="152" t="inlineStr">
        <is>
          <t>Driven by realisations and the shareholder return commitment</t>
        </is>
      </c>
      <c r="BJ396" s="152" t="inlineStr">
        <is>
          <t>56 chevron q22025 financials.pdf</t>
        </is>
      </c>
      <c r="BK396" s="152">
        <f>IF(OR($H396&lt;&gt;"Human",$S396="",$J396="",$Y396="",$Z396=""),"",IF(EXACT(UPPER($J396),UPPER($Y396)),1,0))</f>
        <v/>
      </c>
      <c r="BL396" s="152" t="inlineStr">
        <is>
          <t>attested - rater record</t>
        </is>
      </c>
      <c r="BM396" s="152" t="n">
        <v>2</v>
      </c>
      <c r="BN396" s="152" t="inlineStr">
        <is>
          <t>not publisher-identified</t>
        </is>
      </c>
      <c r="BO396" s="152" t="inlineStr">
        <is>
          <t>not publisher-identified</t>
        </is>
      </c>
      <c r="BP396" s="152" t="inlineStr">
        <is>
          <t>one of several</t>
        </is>
      </c>
      <c r="BQ396" s="152" t="inlineStr">
        <is>
          <t>yes</t>
        </is>
      </c>
      <c r="BR396" s="152" t="n"/>
      <c r="BS396" s="152" t="inlineStr">
        <is>
          <t>YES</t>
        </is>
      </c>
      <c r="BT396" s="152" t="n"/>
    </row>
    <row r="397" ht="15" customHeight="1" s="241">
      <c r="A397" s="193" t="inlineStr">
        <is>
          <t>Chevron</t>
        </is>
      </c>
      <c r="B397" s="194">
        <f>IF(A397="","",_xlfn.XLOOKUP(A397, Company_List!$A:$A, Company_List!$B:$B, ""))</f>
        <v/>
      </c>
      <c r="C397" s="177" t="n">
        <v>2025</v>
      </c>
      <c r="D397" s="177" t="inlineStr">
        <is>
          <t>Q3</t>
        </is>
      </c>
      <c r="E397" s="178" t="inlineStr">
        <is>
          <t>Transcript</t>
        </is>
      </c>
      <c r="F397" s="178" t="inlineStr">
        <is>
          <t>Outlook/Guidance</t>
        </is>
      </c>
      <c r="G397" s="177" t="inlineStr">
        <is>
          <t>David</t>
        </is>
      </c>
      <c r="H397" s="177" t="inlineStr">
        <is>
          <t>Human</t>
        </is>
      </c>
      <c r="I397" s="180" t="n">
        <v>0.05</v>
      </c>
      <c r="J397" s="180">
        <f>IF(OR(I397="",Settings!$B$6=""),"",IF(I397&gt;Settings!$B$6,"BUY",IF(I397&lt;-Settings!$B$6,"SELL","HOLD")))</f>
        <v/>
      </c>
      <c r="K397" s="180" t="n">
        <v>20</v>
      </c>
      <c r="L397" s="182" t="n">
        <v>45961</v>
      </c>
      <c r="M397" s="182" t="n">
        <v>45960</v>
      </c>
      <c r="N397" s="179" t="n">
        <v>148.9889</v>
      </c>
      <c r="O397" s="182" t="n">
        <v>45961</v>
      </c>
      <c r="P397" s="180" t="n">
        <v>151.1337</v>
      </c>
      <c r="Q397" s="184">
        <f>IF(OR(N397="",P397=""),"",ROUND((P397-N397)/N397,4))</f>
        <v/>
      </c>
      <c r="R397" s="177">
        <f>IF(OR(N397="",P397=""),"",IF(Q397&gt;Settings!$B$3/100,"UP",IF(Q397&lt;-Settings!$B$3/100,"DOWN","FLAT")))</f>
        <v/>
      </c>
      <c r="S397" s="177">
        <f>IF(OR(N397="",P397="",J397=""),"",IF(OR(AND(J397="BUY",R397="UP"),AND(J397="SELL",R397="DOWN"),AND(J397="HOLD",R397="FLAT")),"YES","NO"))</f>
        <v/>
      </c>
      <c r="T397" s="176">
        <f>IF(J397="","",IF(J397="BUY",1,IF(J397="SELL",-1,0)))</f>
        <v/>
      </c>
      <c r="U397" s="184">
        <f>IFERROR(IF(OR(J397="",N397="",P397=""),"",IF(T397=0,0,T397*Q397-Settings!$B$4/10000-IF(T397&lt;0,Settings!$B$5/10000,0))),"")</f>
        <v/>
      </c>
      <c r="V397" s="152" t="n"/>
      <c r="W397" s="176">
        <f>IF($K397="","",$K397*60)</f>
        <v/>
      </c>
      <c r="X397" s="186">
        <f>IF($A397="","",$A397&amp;"|"&amp;$C397&amp;"|"&amp;$D397)</f>
        <v/>
      </c>
      <c r="Y397" s="186">
        <f>IFERROR(IF($X397="","",INDEX(LLM_Data_Entry!$H$3:$H$548,MATCH($X397,INDEX(LLM_Data_Entry!$A$3:$A$548&amp;"|"&amp;LLM_Data_Entry!$C$3:$C$548&amp;"|"&amp;LLM_Data_Entry!$D$3:$D$548,0),0))),"")</f>
        <v/>
      </c>
      <c r="Z397" s="186">
        <f>IFERROR(IF($X397="","",INDEX(LLM_Data_Entry!$R$3:$R$548,MATCH($X397,INDEX(LLM_Data_Entry!$A$3:$A$548&amp;"|"&amp;LLM_Data_Entry!$C$3:$C$548&amp;"|"&amp;LLM_Data_Entry!$D$3:$D$548,0),0))),"")</f>
        <v/>
      </c>
      <c r="AA397" s="152" t="n"/>
      <c r="AB397" s="152" t="inlineStr">
        <is>
          <t>release time published by the issuer (section C)</t>
        </is>
      </c>
      <c r="AC397" s="152" t="inlineStr">
        <is>
          <t>CVX</t>
        </is>
      </c>
      <c r="AD397" s="152" t="inlineStr">
        <is>
          <t>2025-10-30</t>
        </is>
      </c>
      <c r="AE397" s="152" t="n">
        <v>148.9889</v>
      </c>
      <c r="AF397" s="152" t="inlineStr">
        <is>
          <t>2025-10-31</t>
        </is>
      </c>
      <c r="AG397" s="152" t="n">
        <v>151.1337</v>
      </c>
      <c r="AH397" s="152" t="n">
        <v>0.01439556041751753</v>
      </c>
      <c r="AI397" s="152" t="inlineStr">
        <is>
          <t>FLAT</t>
        </is>
      </c>
      <c r="AJ397" s="152" t="inlineStr">
        <is>
          <t>YES</t>
        </is>
      </c>
      <c r="AK397" s="152" t="n">
        <v>0</v>
      </c>
      <c r="AL397" s="152">
        <f>IF($A397="","",IFERROR(INDEX(Company_List!$G$3:$G$207,MATCH($A397,Company_List!$A$3:$A$207,0)),"unassigned"))</f>
        <v/>
      </c>
      <c r="AM397" s="152" t="inlineStr">
        <is>
          <t>Phase 2/Chevron/2025-Q3/CVX-2025-Q3-earnings-call-transcript-fool-com.html</t>
        </is>
      </c>
      <c r="AN397" s="152" t="inlineStr">
        <is>
          <t>https://www.fool.com/earnings/call-transcripts/2025/10/31/chevron-cvx-q3-2025-earnings-call-transcript/</t>
        </is>
      </c>
      <c r="AO397" s="152" t="inlineStr">
        <is>
          <t>manifest</t>
        </is>
      </c>
      <c r="AP397" s="152">
        <f>IF($A397="","",IF(COUNTIFS(LLM_Data_Entry!$A$3:$A$548,$A397)&gt;0,"YES","NO"))</f>
        <v/>
      </c>
      <c r="AQ397" s="152">
        <f>IF($A397="","",IF(COUNTIFS($A$3:$A397,$A397,$C$3:$C397,$C397,$D$3:$D397,$D397)=1,"YES","NO"))</f>
        <v/>
      </c>
      <c r="AR397" s="152">
        <f>IF($A397="","",IF(AND($C397&amp;"-"&amp;$D397&gt;=Settings!$B$19,$C397&amp;"-"&amp;$D397&lt;=Settings!$B$20),"IN","OUT"))</f>
        <v/>
      </c>
      <c r="AS397" s="152">
        <f>IF($A397="","",IF($F397="Financial Results","financials",IF($F397="Outlook/Guidance","guidance",IF($F397="Transcript Q&amp;A","qanda",IF($F397="","unrecorded",IF($E397="All","full",IF($E397="","unrecorded",LOWER($E397)&amp;" only")))))))</f>
        <v/>
      </c>
      <c r="AT397" s="152">
        <f>IF(AND(OR($J397="BUY",$J397="SELL"),ISNUMBER($U397)),$U397,"")</f>
        <v/>
      </c>
      <c r="AU397" s="152">
        <f>IF(AND(OR($J397="BUY",$J397="SELL"),ISNUMBER($AK397)),$AK397,"")</f>
        <v/>
      </c>
      <c r="AV397" s="152">
        <f>IF(ISNUMBER($AT397),ABS(IF(ISNUMBER($I397),$I397,0)-Settings!$B$24),"")</f>
        <v/>
      </c>
      <c r="AW397" s="152">
        <f>IF(ISNUMBER($AV397),$AV397*$AT397,"")</f>
        <v/>
      </c>
      <c r="AX397" s="152">
        <f>IF(ISNUMBER($AU397),ABS(IF(ISNUMBER($I397),$I397,0)-Settings!$B$24),"")</f>
        <v/>
      </c>
      <c r="AY397" s="152" t="inlineStr">
        <is>
          <t>EXTENSION</t>
        </is>
      </c>
      <c r="AZ397" s="152">
        <f>IF($A397="","",IFERROR(INDEX(Company_List!$H$3:$H$207,MATCH($A397,Company_List!$A$3:$A$207,0)),"unassigned"))</f>
        <v/>
      </c>
      <c r="BA397" s="152" t="n">
        <v>1</v>
      </c>
      <c r="BB397" s="152" t="n">
        <v>2</v>
      </c>
      <c r="BC397" s="152">
        <f>IF($A397="","",IF(COUNTIFS($A$3:$A397,$A397,$C$3:$C397,$C397,$D$3:$D397,$D397,$G$3:$G397,$G397)=1,1,0))</f>
        <v/>
      </c>
      <c r="BD397" s="152" t="n">
        <v>20</v>
      </c>
      <c r="BE397" s="152" t="n">
        <v>27</v>
      </c>
      <c r="BF397" s="152" t="n">
        <v>0.05</v>
      </c>
      <c r="BG397" s="152" t="inlineStr">
        <is>
          <t>no</t>
        </is>
      </c>
      <c r="BH397" s="152" t="inlineStr">
        <is>
          <t>no</t>
        </is>
      </c>
      <c r="BI397" s="152" t="inlineStr">
        <is>
          <t>Driven by realisations and the shareholder return commitment</t>
        </is>
      </c>
      <c r="BJ397" s="152" t="inlineStr">
        <is>
          <t>57 chevron q32025 guidance.pdf</t>
        </is>
      </c>
      <c r="BK397" s="152">
        <f>IF(OR($H397&lt;&gt;"Human",$S397="",$J397="",$Y397="",$Z397=""),"",IF(EXACT(UPPER($J397),UPPER($Y397)),1,0))</f>
        <v/>
      </c>
      <c r="BL397" s="152" t="inlineStr">
        <is>
          <t>attested - rater record</t>
        </is>
      </c>
      <c r="BM397" s="152" t="n">
        <v>1</v>
      </c>
      <c r="BN397" s="152" t="inlineStr">
        <is>
          <t>The Motley Fool</t>
        </is>
      </c>
      <c r="BO397" s="152" t="inlineStr">
        <is>
          <t>free to read, copyright asserted</t>
        </is>
      </c>
      <c r="BP397" s="152" t="inlineStr">
        <is>
          <t>no</t>
        </is>
      </c>
      <c r="BQ397" s="152" t="inlineStr">
        <is>
          <t>yes</t>
        </is>
      </c>
      <c r="BR397" s="152" t="n"/>
      <c r="BS397" s="152" t="inlineStr">
        <is>
          <t>YES</t>
        </is>
      </c>
      <c r="BT397" s="152" t="n"/>
    </row>
    <row r="398" ht="15" customHeight="1" s="241">
      <c r="A398" s="193" t="inlineStr">
        <is>
          <t>Chevron</t>
        </is>
      </c>
      <c r="B398" s="194">
        <f>IF(A398="","",_xlfn.XLOOKUP(A398, Company_List!$A:$A, Company_List!$B:$B, ""))</f>
        <v/>
      </c>
      <c r="C398" s="177" t="n">
        <v>2025</v>
      </c>
      <c r="D398" s="177" t="inlineStr">
        <is>
          <t>Q3</t>
        </is>
      </c>
      <c r="E398" s="178" t="inlineStr">
        <is>
          <t>All</t>
        </is>
      </c>
      <c r="F398" s="178" t="inlineStr">
        <is>
          <t>All</t>
        </is>
      </c>
      <c r="G398" s="177" t="inlineStr">
        <is>
          <t>David</t>
        </is>
      </c>
      <c r="H398" s="177" t="inlineStr">
        <is>
          <t>Human</t>
        </is>
      </c>
      <c r="I398" s="180" t="n">
        <v>0.1</v>
      </c>
      <c r="J398" s="180">
        <f>IF(OR(I398="",Settings!$B$6=""),"",IF(I398&gt;Settings!$B$6,"BUY",IF(I398&lt;-Settings!$B$6,"SELL","HOLD")))</f>
        <v/>
      </c>
      <c r="K398" s="180" t="n">
        <v>27</v>
      </c>
      <c r="L398" s="182" t="n">
        <v>45961</v>
      </c>
      <c r="M398" s="182" t="n">
        <v>45960</v>
      </c>
      <c r="N398" s="179" t="n">
        <v>148.9889</v>
      </c>
      <c r="O398" s="182" t="n">
        <v>45961</v>
      </c>
      <c r="P398" s="180" t="n">
        <v>151.1337</v>
      </c>
      <c r="Q398" s="184">
        <f>IF(OR(N398="",P398=""),"",ROUND((P398-N398)/N398,4))</f>
        <v/>
      </c>
      <c r="R398" s="177">
        <f>IF(OR(N398="",P398=""),"",IF(Q398&gt;Settings!$B$3/100,"UP",IF(Q398&lt;-Settings!$B$3/100,"DOWN","FLAT")))</f>
        <v/>
      </c>
      <c r="S398" s="177">
        <f>IF(OR(N398="",P398="",J398=""),"",IF(OR(AND(J398="BUY",R398="UP"),AND(J398="SELL",R398="DOWN"),AND(J398="HOLD",R398="FLAT")),"YES","NO"))</f>
        <v/>
      </c>
      <c r="T398" s="176">
        <f>IF(J398="","",IF(J398="BUY",1,IF(J398="SELL",-1,0)))</f>
        <v/>
      </c>
      <c r="U398" s="184">
        <f>IFERROR(IF(OR(J398="",N398="",P398=""),"",IF(T398=0,0,T398*Q398-Settings!$B$4/10000-IF(T398&lt;0,Settings!$B$5/10000,0))),"")</f>
        <v/>
      </c>
      <c r="V398" s="152" t="n"/>
      <c r="W398" s="176">
        <f>IF($K398="","",$K398*60)</f>
        <v/>
      </c>
      <c r="X398" s="186">
        <f>IF($A398="","",$A398&amp;"|"&amp;$C398&amp;"|"&amp;$D398)</f>
        <v/>
      </c>
      <c r="Y398" s="186">
        <f>IFERROR(IF($X398="","",INDEX(LLM_Data_Entry!$H$3:$H$548,MATCH($X398,INDEX(LLM_Data_Entry!$A$3:$A$548&amp;"|"&amp;LLM_Data_Entry!$C$3:$C$548&amp;"|"&amp;LLM_Data_Entry!$D$3:$D$548,0),0))),"")</f>
        <v/>
      </c>
      <c r="Z398" s="186">
        <f>IFERROR(IF($X398="","",INDEX(LLM_Data_Entry!$R$3:$R$548,MATCH($X398,INDEX(LLM_Data_Entry!$A$3:$A$548&amp;"|"&amp;LLM_Data_Entry!$C$3:$C$548&amp;"|"&amp;LLM_Data_Entry!$D$3:$D$548,0),0))),"")</f>
        <v/>
      </c>
      <c r="AA398" s="152" t="n"/>
      <c r="AB398" s="152" t="inlineStr">
        <is>
          <t>release time published by the issuer (section C)</t>
        </is>
      </c>
      <c r="AC398" s="152" t="inlineStr">
        <is>
          <t>CVX</t>
        </is>
      </c>
      <c r="AD398" s="152" t="inlineStr">
        <is>
          <t>2025-10-30</t>
        </is>
      </c>
      <c r="AE398" s="152" t="n">
        <v>148.9889</v>
      </c>
      <c r="AF398" s="152" t="inlineStr">
        <is>
          <t>2025-10-31</t>
        </is>
      </c>
      <c r="AG398" s="152" t="n">
        <v>151.1337</v>
      </c>
      <c r="AH398" s="152" t="n">
        <v>0.01439556041751753</v>
      </c>
      <c r="AI398" s="152" t="inlineStr">
        <is>
          <t>FLAT</t>
        </is>
      </c>
      <c r="AJ398" s="152" t="inlineStr">
        <is>
          <t>YES</t>
        </is>
      </c>
      <c r="AK398" s="152" t="n">
        <v>0</v>
      </c>
      <c r="AL398" s="152">
        <f>IF($A398="","",IFERROR(INDEX(Company_List!$G$3:$G$207,MATCH($A398,Company_List!$A$3:$A$207,0)),"unassigned"))</f>
        <v/>
      </c>
      <c r="AM398" s="152" t="inlineStr">
        <is>
          <t>Phase 2/Chevron/2025-Q3/CVX-2025-Q3-press-release-SEC-EX-99-1.htm; Phase 2/Chevron/2025-Q3/CVX-2025-Q3-earnings-call-transcript-fool-com.html</t>
        </is>
      </c>
      <c r="AN398" s="152" t="inlineStr">
        <is>
          <t>https://www.fool.com/earnings/call-transcripts/2025/10/31/chevron-cvx-q3-2025-earnings-call-transcript/; https://www.sec.gov/Archives/edgar/data/93410/000009341025000103/a09302025ex9918-k.htm</t>
        </is>
      </c>
      <c r="AO398" s="152" t="inlineStr">
        <is>
          <t>manifest (whole bundle)</t>
        </is>
      </c>
      <c r="AP398" s="152">
        <f>IF($A398="","",IF(COUNTIFS(LLM_Data_Entry!$A$3:$A$548,$A398)&gt;0,"YES","NO"))</f>
        <v/>
      </c>
      <c r="AQ398" s="152">
        <f>IF($A398="","",IF(COUNTIFS($A$3:$A398,$A398,$C$3:$C398,$C398,$D$3:$D398,$D398)=1,"YES","NO"))</f>
        <v/>
      </c>
      <c r="AR398" s="152">
        <f>IF($A398="","",IF(AND($C398&amp;"-"&amp;$D398&gt;=Settings!$B$19,$C398&amp;"-"&amp;$D398&lt;=Settings!$B$20),"IN","OUT"))</f>
        <v/>
      </c>
      <c r="AS398" s="152">
        <f>IF($A398="","",IF($F398="Financial Results","financials",IF($F398="Outlook/Guidance","guidance",IF($F398="Transcript Q&amp;A","qanda",IF($F398="","unrecorded",IF($E398="All","full",IF($E398="","unrecorded",LOWER($E398)&amp;" only")))))))</f>
        <v/>
      </c>
      <c r="AT398" s="152">
        <f>IF(AND(OR($J398="BUY",$J398="SELL"),ISNUMBER($U398)),$U398,"")</f>
        <v/>
      </c>
      <c r="AU398" s="152">
        <f>IF(AND(OR($J398="BUY",$J398="SELL"),ISNUMBER($AK398)),$AK398,"")</f>
        <v/>
      </c>
      <c r="AV398" s="152">
        <f>IF(ISNUMBER($AT398),ABS(IF(ISNUMBER($I398),$I398,0)-Settings!$B$24),"")</f>
        <v/>
      </c>
      <c r="AW398" s="152">
        <f>IF(ISNUMBER($AV398),$AV398*$AT398,"")</f>
        <v/>
      </c>
      <c r="AX398" s="152">
        <f>IF(ISNUMBER($AU398),ABS(IF(ISNUMBER($I398),$I398,0)-Settings!$B$24),"")</f>
        <v/>
      </c>
      <c r="AY398" s="152" t="inlineStr">
        <is>
          <t>EXTENSION</t>
        </is>
      </c>
      <c r="AZ398" s="152">
        <f>IF($A398="","",IFERROR(INDEX(Company_List!$H$3:$H$207,MATCH($A398,Company_List!$A$3:$A$207,0)),"unassigned"))</f>
        <v/>
      </c>
      <c r="BA398" s="152" t="n">
        <v>2</v>
      </c>
      <c r="BB398" s="152" t="n">
        <v>2</v>
      </c>
      <c r="BC398" s="152">
        <f>IF($A398="","",IF(COUNTIFS($A$3:$A398,$A398,$C$3:$C398,$C398,$D$3:$D398,$D398,$G$3:$G398,$G398)=1,1,0))</f>
        <v/>
      </c>
      <c r="BD398" s="152" t="n">
        <v>20</v>
      </c>
      <c r="BE398" s="152" t="n">
        <v>27</v>
      </c>
      <c r="BF398" s="152" t="n">
        <v>0.05</v>
      </c>
      <c r="BG398" s="152" t="inlineStr">
        <is>
          <t>no</t>
        </is>
      </c>
      <c r="BH398" s="152" t="inlineStr">
        <is>
          <t>no</t>
        </is>
      </c>
      <c r="BI398" s="152" t="inlineStr">
        <is>
          <t>Driven by realisations and the shareholder return commitment</t>
        </is>
      </c>
      <c r="BJ398" s="152" t="inlineStr">
        <is>
          <t>57 chevron q32025 guidance.pdf</t>
        </is>
      </c>
      <c r="BK398" s="152">
        <f>IF(OR($H398&lt;&gt;"Human",$S398="",$J398="",$Y398="",$Z398=""),"",IF(EXACT(UPPER($J398),UPPER($Y398)),1,0))</f>
        <v/>
      </c>
      <c r="BL398" s="152" t="inlineStr">
        <is>
          <t>attested - rater record</t>
        </is>
      </c>
      <c r="BM398" s="152" t="n">
        <v>2</v>
      </c>
      <c r="BN398" s="152" t="inlineStr">
        <is>
          <t>The Motley Fool</t>
        </is>
      </c>
      <c r="BO398" s="152" t="inlineStr">
        <is>
          <t>free to read, copyright asserted</t>
        </is>
      </c>
      <c r="BP398" s="152" t="inlineStr">
        <is>
          <t>no</t>
        </is>
      </c>
      <c r="BQ398" s="152" t="inlineStr">
        <is>
          <t>yes</t>
        </is>
      </c>
      <c r="BR398" s="152" t="n"/>
      <c r="BS398" s="152" t="inlineStr">
        <is>
          <t>YES</t>
        </is>
      </c>
      <c r="BT398" s="152" t="n"/>
    </row>
    <row r="399" ht="15" customHeight="1" s="241">
      <c r="A399" s="193" t="inlineStr">
        <is>
          <t>Chevron</t>
        </is>
      </c>
      <c r="B399" s="194">
        <f>IF(A399="","",_xlfn.XLOOKUP(A399, Company_List!$A:$A, Company_List!$B:$B, ""))</f>
        <v/>
      </c>
      <c r="C399" s="177" t="n">
        <v>2025</v>
      </c>
      <c r="D399" s="177" t="inlineStr">
        <is>
          <t>Q4</t>
        </is>
      </c>
      <c r="E399" s="178" t="inlineStr">
        <is>
          <t>Transcript</t>
        </is>
      </c>
      <c r="F399" s="178" t="inlineStr">
        <is>
          <t>Transcript Q&amp;A</t>
        </is>
      </c>
      <c r="G399" s="177" t="inlineStr">
        <is>
          <t>David</t>
        </is>
      </c>
      <c r="H399" s="177" t="inlineStr">
        <is>
          <t>Human</t>
        </is>
      </c>
      <c r="I399" s="180" t="n">
        <v>0.15</v>
      </c>
      <c r="J399" s="180">
        <f>IF(OR(I399="",Settings!$B$6=""),"",IF(I399&gt;Settings!$B$6,"BUY",IF(I399&lt;-Settings!$B$6,"SELL","HOLD")))</f>
        <v/>
      </c>
      <c r="K399" s="180" t="n">
        <v>27</v>
      </c>
      <c r="L399" s="182" t="n">
        <v>46052</v>
      </c>
      <c r="M399" s="182" t="n">
        <v>46052</v>
      </c>
      <c r="N399" s="179" t="n">
        <v>173.5963</v>
      </c>
      <c r="O399" s="182" t="n">
        <v>46055</v>
      </c>
      <c r="P399" s="180" t="n">
        <v>170.2009</v>
      </c>
      <c r="Q399" s="184">
        <f>IF(OR(N399="",P399=""),"",ROUND((P399-N399)/N399,4))</f>
        <v/>
      </c>
      <c r="R399" s="177">
        <f>IF(OR(N399="",P399=""),"",IF(Q399&gt;Settings!$B$3/100,"UP",IF(Q399&lt;-Settings!$B$3/100,"DOWN","FLAT")))</f>
        <v/>
      </c>
      <c r="S399" s="177">
        <f>IF(OR(N399="",P399="",J399=""),"",IF(OR(AND(J399="BUY",R399="UP"),AND(J399="SELL",R399="DOWN"),AND(J399="HOLD",R399="FLAT")),"YES","NO"))</f>
        <v/>
      </c>
      <c r="T399" s="176">
        <f>IF(J399="","",IF(J399="BUY",1,IF(J399="SELL",-1,0)))</f>
        <v/>
      </c>
      <c r="U399" s="184">
        <f>IFERROR(IF(OR(J399="",N399="",P399=""),"",IF(T399=0,0,T399*Q399-Settings!$B$4/10000-IF(T399&lt;0,Settings!$B$5/10000,0))),"")</f>
        <v/>
      </c>
      <c r="V399" s="152" t="n"/>
      <c r="W399" s="176">
        <f>IF($K399="","",$K399*60)</f>
        <v/>
      </c>
      <c r="X399" s="186">
        <f>IF($A399="","",$A399&amp;"|"&amp;$C399&amp;"|"&amp;$D399)</f>
        <v/>
      </c>
      <c r="Y399" s="186">
        <f>IFERROR(IF($X399="","",INDEX(LLM_Data_Entry!$H$3:$H$548,MATCH($X399,INDEX(LLM_Data_Entry!$A$3:$A$548&amp;"|"&amp;LLM_Data_Entry!$C$3:$C$548&amp;"|"&amp;LLM_Data_Entry!$D$3:$D$548,0),0))),"")</f>
        <v/>
      </c>
      <c r="Z399" s="186">
        <f>IFERROR(IF($X399="","",INDEX(LLM_Data_Entry!$R$3:$R$548,MATCH($X399,INDEX(LLM_Data_Entry!$A$3:$A$548&amp;"|"&amp;LLM_Data_Entry!$C$3:$C$548&amp;"|"&amp;LLM_Data_Entry!$D$3:$D$548,0),0))),"")</f>
        <v/>
      </c>
      <c r="AA399" s="152" t="n"/>
      <c r="AB399" s="152" t="inlineStr">
        <is>
          <t>price signal, re-derived — only this window shows an abnormal move</t>
        </is>
      </c>
      <c r="AC399" s="152" t="inlineStr">
        <is>
          <t>CVX</t>
        </is>
      </c>
      <c r="AD399" s="152" t="inlineStr">
        <is>
          <t>2026-01-30</t>
        </is>
      </c>
      <c r="AE399" s="152" t="n">
        <v>173.5963</v>
      </c>
      <c r="AF399" s="152" t="inlineStr">
        <is>
          <t>2026-02-02</t>
        </is>
      </c>
      <c r="AG399" s="152" t="n">
        <v>170.2009</v>
      </c>
      <c r="AH399" s="152" t="n">
        <v>-0.01955909197807928</v>
      </c>
      <c r="AI399" s="152" t="inlineStr">
        <is>
          <t>FLAT</t>
        </is>
      </c>
      <c r="AJ399" s="152" t="inlineStr">
        <is>
          <t>YES</t>
        </is>
      </c>
      <c r="AK399" s="152" t="n">
        <v>0</v>
      </c>
      <c r="AL399" s="152">
        <f>IF($A399="","",IFERROR(INDEX(Company_List!$G$3:$G$207,MATCH($A399,Company_List!$A$3:$A$207,0)),"unassigned"))</f>
        <v/>
      </c>
      <c r="AM399" s="152" t="inlineStr">
        <is>
          <t>Phase 2/Chevron/2025-Q4/CVX-2025-Q4-earnings-call-transcript-fool-com.html</t>
        </is>
      </c>
      <c r="AN399" s="152" t="inlineStr">
        <is>
          <t>https://www.fool.com/earnings/call-transcripts/2026/01/30/chevron-cvx-q4-2025-earnings-call-transcript/</t>
        </is>
      </c>
      <c r="AO399" s="152" t="inlineStr">
        <is>
          <t>manifest</t>
        </is>
      </c>
      <c r="AP399" s="152">
        <f>IF($A399="","",IF(COUNTIFS(LLM_Data_Entry!$A$3:$A$548,$A399)&gt;0,"YES","NO"))</f>
        <v/>
      </c>
      <c r="AQ399" s="152">
        <f>IF($A399="","",IF(COUNTIFS($A$3:$A399,$A399,$C$3:$C399,$C399,$D$3:$D399,$D399)=1,"YES","NO"))</f>
        <v/>
      </c>
      <c r="AR399" s="152">
        <f>IF($A399="","",IF(AND($C399&amp;"-"&amp;$D399&gt;=Settings!$B$19,$C399&amp;"-"&amp;$D399&lt;=Settings!$B$20),"IN","OUT"))</f>
        <v/>
      </c>
      <c r="AS399" s="152">
        <f>IF($A399="","",IF($F399="Financial Results","financials",IF($F399="Outlook/Guidance","guidance",IF($F399="Transcript Q&amp;A","qanda",IF($F399="","unrecorded",IF($E399="All","full",IF($E399="","unrecorded",LOWER($E399)&amp;" only")))))))</f>
        <v/>
      </c>
      <c r="AT399" s="152">
        <f>IF(AND(OR($J399="BUY",$J399="SELL"),ISNUMBER($U399)),$U399,"")</f>
        <v/>
      </c>
      <c r="AU399" s="152">
        <f>IF(AND(OR($J399="BUY",$J399="SELL"),ISNUMBER($AK399)),$AK399,"")</f>
        <v/>
      </c>
      <c r="AV399" s="152">
        <f>IF(ISNUMBER($AT399),ABS(IF(ISNUMBER($I399),$I399,0)-Settings!$B$24),"")</f>
        <v/>
      </c>
      <c r="AW399" s="152">
        <f>IF(ISNUMBER($AV399),$AV399*$AT399,"")</f>
        <v/>
      </c>
      <c r="AX399" s="152">
        <f>IF(ISNUMBER($AU399),ABS(IF(ISNUMBER($I399),$I399,0)-Settings!$B$24),"")</f>
        <v/>
      </c>
      <c r="AY399" s="152" t="inlineStr">
        <is>
          <t>EXTENSION</t>
        </is>
      </c>
      <c r="AZ399" s="152">
        <f>IF($A399="","",IFERROR(INDEX(Company_List!$H$3:$H$207,MATCH($A399,Company_List!$A$3:$A$207,0)),"unassigned"))</f>
        <v/>
      </c>
      <c r="BA399" s="152" t="n">
        <v>1</v>
      </c>
      <c r="BB399" s="152" t="n">
        <v>2</v>
      </c>
      <c r="BC399" s="152">
        <f>IF($A399="","",IF(COUNTIFS($A$3:$A399,$A399,$C$3:$C399,$C399,$D$3:$D399,$D399,$G$3:$G399,$G399)=1,1,0))</f>
        <v/>
      </c>
      <c r="BD399" s="152" t="n">
        <v>27</v>
      </c>
      <c r="BE399" s="152" t="n">
        <v>29</v>
      </c>
      <c r="BF399" s="152" t="n">
        <v>0.15</v>
      </c>
      <c r="BG399" s="152" t="inlineStr">
        <is>
          <t>no</t>
        </is>
      </c>
      <c r="BH399" s="152" t="inlineStr">
        <is>
          <t>no</t>
        </is>
      </c>
      <c r="BI399" s="152" t="inlineStr">
        <is>
          <t>Driven by realisations and the shareholder return commitment</t>
        </is>
      </c>
      <c r="BJ399" s="152" t="inlineStr">
        <is>
          <t>58 chevron q42025 qanda.pdf</t>
        </is>
      </c>
      <c r="BK399" s="152">
        <f>IF(OR($H399&lt;&gt;"Human",$S399="",$J399="",$Y399="",$Z399=""),"",IF(EXACT(UPPER($J399),UPPER($Y399)),1,0))</f>
        <v/>
      </c>
      <c r="BL399" s="152" t="inlineStr">
        <is>
          <t>attested - rater record</t>
        </is>
      </c>
      <c r="BM399" s="152" t="n">
        <v>1</v>
      </c>
      <c r="BN399" s="152" t="inlineStr">
        <is>
          <t>The Motley Fool</t>
        </is>
      </c>
      <c r="BO399" s="152" t="inlineStr">
        <is>
          <t>free to read, copyright asserted</t>
        </is>
      </c>
      <c r="BP399" s="152" t="inlineStr">
        <is>
          <t>no</t>
        </is>
      </c>
      <c r="BQ399" s="152" t="inlineStr">
        <is>
          <t>yes</t>
        </is>
      </c>
      <c r="BR399" s="152" t="n"/>
      <c r="BS399" s="152" t="inlineStr">
        <is>
          <t>YES</t>
        </is>
      </c>
      <c r="BT399" s="152" t="n"/>
    </row>
    <row r="400" ht="15" customHeight="1" s="241">
      <c r="A400" s="193" t="inlineStr">
        <is>
          <t>Chevron</t>
        </is>
      </c>
      <c r="B400" s="194">
        <f>IF(A400="","",_xlfn.XLOOKUP(A400, Company_List!$A:$A, Company_List!$B:$B, ""))</f>
        <v/>
      </c>
      <c r="C400" s="177" t="n">
        <v>2025</v>
      </c>
      <c r="D400" s="177" t="inlineStr">
        <is>
          <t>Q4</t>
        </is>
      </c>
      <c r="E400" s="178" t="inlineStr">
        <is>
          <t>All</t>
        </is>
      </c>
      <c r="F400" s="178" t="inlineStr">
        <is>
          <t>All</t>
        </is>
      </c>
      <c r="G400" s="177" t="inlineStr">
        <is>
          <t>David</t>
        </is>
      </c>
      <c r="H400" s="177" t="inlineStr">
        <is>
          <t>Human</t>
        </is>
      </c>
      <c r="I400" s="180" t="n">
        <v>0.1</v>
      </c>
      <c r="J400" s="180">
        <f>IF(OR(I400="",Settings!$B$6=""),"",IF(I400&gt;Settings!$B$6,"BUY",IF(I400&lt;-Settings!$B$6,"SELL","HOLD")))</f>
        <v/>
      </c>
      <c r="K400" s="180" t="n">
        <v>29</v>
      </c>
      <c r="L400" s="182" t="n">
        <v>46052</v>
      </c>
      <c r="M400" s="182" t="n">
        <v>46052</v>
      </c>
      <c r="N400" s="179" t="n">
        <v>173.5963</v>
      </c>
      <c r="O400" s="182" t="n">
        <v>46055</v>
      </c>
      <c r="P400" s="180" t="n">
        <v>170.2009</v>
      </c>
      <c r="Q400" s="184">
        <f>IF(OR(N400="",P400=""),"",ROUND((P400-N400)/N400,4))</f>
        <v/>
      </c>
      <c r="R400" s="177">
        <f>IF(OR(N400="",P400=""),"",IF(Q400&gt;Settings!$B$3/100,"UP",IF(Q400&lt;-Settings!$B$3/100,"DOWN","FLAT")))</f>
        <v/>
      </c>
      <c r="S400" s="177">
        <f>IF(OR(N400="",P400="",J400=""),"",IF(OR(AND(J400="BUY",R400="UP"),AND(J400="SELL",R400="DOWN"),AND(J400="HOLD",R400="FLAT")),"YES","NO"))</f>
        <v/>
      </c>
      <c r="T400" s="176">
        <f>IF(J400="","",IF(J400="BUY",1,IF(J400="SELL",-1,0)))</f>
        <v/>
      </c>
      <c r="U400" s="184">
        <f>IFERROR(IF(OR(J400="",N400="",P400=""),"",IF(T400=0,0,T400*Q400-Settings!$B$4/10000-IF(T400&lt;0,Settings!$B$5/10000,0))),"")</f>
        <v/>
      </c>
      <c r="V400" s="152" t="n"/>
      <c r="W400" s="176">
        <f>IF($K400="","",$K400*60)</f>
        <v/>
      </c>
      <c r="X400" s="186">
        <f>IF($A400="","",$A400&amp;"|"&amp;$C400&amp;"|"&amp;$D400)</f>
        <v/>
      </c>
      <c r="Y400" s="186">
        <f>IFERROR(IF($X400="","",INDEX(LLM_Data_Entry!$H$3:$H$548,MATCH($X400,INDEX(LLM_Data_Entry!$A$3:$A$548&amp;"|"&amp;LLM_Data_Entry!$C$3:$C$548&amp;"|"&amp;LLM_Data_Entry!$D$3:$D$548,0),0))),"")</f>
        <v/>
      </c>
      <c r="Z400" s="186">
        <f>IFERROR(IF($X400="","",INDEX(LLM_Data_Entry!$R$3:$R$548,MATCH($X400,INDEX(LLM_Data_Entry!$A$3:$A$548&amp;"|"&amp;LLM_Data_Entry!$C$3:$C$548&amp;"|"&amp;LLM_Data_Entry!$D$3:$D$548,0),0))),"")</f>
        <v/>
      </c>
      <c r="AA400" s="152" t="n"/>
      <c r="AB400" s="152" t="inlineStr">
        <is>
          <t>price signal, re-derived — only this window shows an abnormal move</t>
        </is>
      </c>
      <c r="AC400" s="152" t="inlineStr">
        <is>
          <t>CVX</t>
        </is>
      </c>
      <c r="AD400" s="152" t="inlineStr">
        <is>
          <t>2026-01-30</t>
        </is>
      </c>
      <c r="AE400" s="152" t="n">
        <v>173.5963</v>
      </c>
      <c r="AF400" s="152" t="inlineStr">
        <is>
          <t>2026-02-02</t>
        </is>
      </c>
      <c r="AG400" s="152" t="n">
        <v>170.2009</v>
      </c>
      <c r="AH400" s="152" t="n">
        <v>-0.01955909197807928</v>
      </c>
      <c r="AI400" s="152" t="inlineStr">
        <is>
          <t>FLAT</t>
        </is>
      </c>
      <c r="AJ400" s="152" t="inlineStr">
        <is>
          <t>YES</t>
        </is>
      </c>
      <c r="AK400" s="152" t="n">
        <v>0</v>
      </c>
      <c r="AL400" s="152">
        <f>IF($A400="","",IFERROR(INDEX(Company_List!$G$3:$G$207,MATCH($A400,Company_List!$A$3:$A$207,0)),"unassigned"))</f>
        <v/>
      </c>
      <c r="AM400" s="152" t="inlineStr">
        <is>
          <t>Phase 2/Chevron/2025-Q4/CVX-2025-Q4-press-release-SEC-EX-99-1.htm; Phase 2/Chevron/2025-Q4/CVX-2025-Q4-earnings-call-transcript-fool-com.html</t>
        </is>
      </c>
      <c r="AN400" s="152" t="inlineStr">
        <is>
          <t>https://www.fool.com/earnings/call-transcripts/2026/01/30/chevron-cvx-q4-2025-earnings-call-transcript/; https://www.sec.gov/Archives/edgar/data/93410/000009341026000019/a12312025ex9918-k.htm</t>
        </is>
      </c>
      <c r="AO400" s="152" t="inlineStr">
        <is>
          <t>manifest (whole bundle)</t>
        </is>
      </c>
      <c r="AP400" s="152">
        <f>IF($A400="","",IF(COUNTIFS(LLM_Data_Entry!$A$3:$A$548,$A400)&gt;0,"YES","NO"))</f>
        <v/>
      </c>
      <c r="AQ400" s="152">
        <f>IF($A400="","",IF(COUNTIFS($A$3:$A400,$A400,$C$3:$C400,$C400,$D$3:$D400,$D400)=1,"YES","NO"))</f>
        <v/>
      </c>
      <c r="AR400" s="152">
        <f>IF($A400="","",IF(AND($C400&amp;"-"&amp;$D400&gt;=Settings!$B$19,$C400&amp;"-"&amp;$D400&lt;=Settings!$B$20),"IN","OUT"))</f>
        <v/>
      </c>
      <c r="AS400" s="152">
        <f>IF($A400="","",IF($F400="Financial Results","financials",IF($F400="Outlook/Guidance","guidance",IF($F400="Transcript Q&amp;A","qanda",IF($F400="","unrecorded",IF($E400="All","full",IF($E400="","unrecorded",LOWER($E400)&amp;" only")))))))</f>
        <v/>
      </c>
      <c r="AT400" s="152">
        <f>IF(AND(OR($J400="BUY",$J400="SELL"),ISNUMBER($U400)),$U400,"")</f>
        <v/>
      </c>
      <c r="AU400" s="152">
        <f>IF(AND(OR($J400="BUY",$J400="SELL"),ISNUMBER($AK400)),$AK400,"")</f>
        <v/>
      </c>
      <c r="AV400" s="152">
        <f>IF(ISNUMBER($AT400),ABS(IF(ISNUMBER($I400),$I400,0)-Settings!$B$24),"")</f>
        <v/>
      </c>
      <c r="AW400" s="152">
        <f>IF(ISNUMBER($AV400),$AV400*$AT400,"")</f>
        <v/>
      </c>
      <c r="AX400" s="152">
        <f>IF(ISNUMBER($AU400),ABS(IF(ISNUMBER($I400),$I400,0)-Settings!$B$24),"")</f>
        <v/>
      </c>
      <c r="AY400" s="152" t="inlineStr">
        <is>
          <t>EXTENSION</t>
        </is>
      </c>
      <c r="AZ400" s="152">
        <f>IF($A400="","",IFERROR(INDEX(Company_List!$H$3:$H$207,MATCH($A400,Company_List!$A$3:$A$207,0)),"unassigned"))</f>
        <v/>
      </c>
      <c r="BA400" s="152" t="n">
        <v>2</v>
      </c>
      <c r="BB400" s="152" t="n">
        <v>2</v>
      </c>
      <c r="BC400" s="152">
        <f>IF($A400="","",IF(COUNTIFS($A$3:$A400,$A400,$C$3:$C400,$C400,$D$3:$D400,$D400,$G$3:$G400,$G400)=1,1,0))</f>
        <v/>
      </c>
      <c r="BD400" s="152" t="n">
        <v>27</v>
      </c>
      <c r="BE400" s="152" t="n">
        <v>29</v>
      </c>
      <c r="BF400" s="152" t="n">
        <v>0.15</v>
      </c>
      <c r="BG400" s="152" t="inlineStr">
        <is>
          <t>no</t>
        </is>
      </c>
      <c r="BH400" s="152" t="inlineStr">
        <is>
          <t>no</t>
        </is>
      </c>
      <c r="BI400" s="152" t="inlineStr">
        <is>
          <t>Driven by realisations and the shareholder return commitment</t>
        </is>
      </c>
      <c r="BJ400" s="152" t="inlineStr">
        <is>
          <t>58 chevron q42025 qanda.pdf</t>
        </is>
      </c>
      <c r="BK400" s="152">
        <f>IF(OR($H400&lt;&gt;"Human",$S400="",$J400="",$Y400="",$Z400=""),"",IF(EXACT(UPPER($J400),UPPER($Y400)),1,0))</f>
        <v/>
      </c>
      <c r="BL400" s="152" t="inlineStr">
        <is>
          <t>attested - rater record</t>
        </is>
      </c>
      <c r="BM400" s="152" t="n">
        <v>2</v>
      </c>
      <c r="BN400" s="152" t="inlineStr">
        <is>
          <t>The Motley Fool</t>
        </is>
      </c>
      <c r="BO400" s="152" t="inlineStr">
        <is>
          <t>free to read, copyright asserted</t>
        </is>
      </c>
      <c r="BP400" s="152" t="inlineStr">
        <is>
          <t>no</t>
        </is>
      </c>
      <c r="BQ400" s="152" t="inlineStr">
        <is>
          <t>yes</t>
        </is>
      </c>
      <c r="BR400" s="152" t="n"/>
      <c r="BS400" s="152" t="inlineStr">
        <is>
          <t>YES</t>
        </is>
      </c>
      <c r="BT400" s="152" t="n"/>
    </row>
    <row r="401" ht="15" customHeight="1" s="241">
      <c r="A401" s="193" t="inlineStr">
        <is>
          <t>Chevron</t>
        </is>
      </c>
      <c r="B401" s="194">
        <f>IF(A401="","",_xlfn.XLOOKUP(A401, Company_List!$A:$A, Company_List!$B:$B, ""))</f>
        <v/>
      </c>
      <c r="C401" s="177" t="n">
        <v>2026</v>
      </c>
      <c r="D401" s="177" t="inlineStr">
        <is>
          <t>Q1</t>
        </is>
      </c>
      <c r="E401" s="178" t="inlineStr">
        <is>
          <t>All</t>
        </is>
      </c>
      <c r="F401" s="178" t="inlineStr">
        <is>
          <t>All</t>
        </is>
      </c>
      <c r="G401" s="177" t="inlineStr">
        <is>
          <t>David</t>
        </is>
      </c>
      <c r="H401" s="177" t="inlineStr">
        <is>
          <t>Human</t>
        </is>
      </c>
      <c r="I401" s="180" t="n">
        <v>-0.05</v>
      </c>
      <c r="J401" s="180">
        <f>IF(OR(I401="",Settings!$B$6=""),"",IF(I401&gt;Settings!$B$6,"BUY",IF(I401&lt;-Settings!$B$6,"SELL","HOLD")))</f>
        <v/>
      </c>
      <c r="K401" s="180" t="n">
        <v>32</v>
      </c>
      <c r="L401" s="182" t="n">
        <v>46143</v>
      </c>
      <c r="M401" s="182" t="n">
        <v>46142</v>
      </c>
      <c r="N401" s="179" t="n">
        <v>191.5555</v>
      </c>
      <c r="O401" s="182" t="n">
        <v>46143</v>
      </c>
      <c r="P401" s="180" t="n">
        <v>189.5638</v>
      </c>
      <c r="Q401" s="184">
        <f>IF(OR(N401="",P401=""),"",ROUND((P401-N401)/N401,4))</f>
        <v/>
      </c>
      <c r="R401" s="177">
        <f>IF(OR(N401="",P401=""),"",IF(Q401&gt;Settings!$B$3/100,"UP",IF(Q401&lt;-Settings!$B$3/100,"DOWN","FLAT")))</f>
        <v/>
      </c>
      <c r="S401" s="177">
        <f>IF(OR(N401="",P401="",J401=""),"",IF(OR(AND(J401="BUY",R401="UP"),AND(J401="SELL",R401="DOWN"),AND(J401="HOLD",R401="FLAT")),"YES","NO"))</f>
        <v/>
      </c>
      <c r="T401" s="176">
        <f>IF(J401="","",IF(J401="BUY",1,IF(J401="SELL",-1,0)))</f>
        <v/>
      </c>
      <c r="U401" s="184">
        <f>IFERROR(IF(OR(J401="",N401="",P401=""),"",IF(T401=0,0,T401*Q401-Settings!$B$4/10000-IF(T401&lt;0,Settings!$B$5/10000,0))),"")</f>
        <v/>
      </c>
      <c r="V401" s="152" t="n"/>
      <c r="W401" s="176">
        <f>IF($K401="","",$K401*60)</f>
        <v/>
      </c>
      <c r="X401" s="186">
        <f>IF($A401="","",$A401&amp;"|"&amp;$C401&amp;"|"&amp;$D401)</f>
        <v/>
      </c>
      <c r="Y401" s="186">
        <f>IFERROR(IF($X401="","",INDEX(LLM_Data_Entry!$H$3:$H$548,MATCH($X401,INDEX(LLM_Data_Entry!$A$3:$A$548&amp;"|"&amp;LLM_Data_Entry!$C$3:$C$548&amp;"|"&amp;LLM_Data_Entry!$D$3:$D$548,0),0))),"")</f>
        <v/>
      </c>
      <c r="Z401" s="186">
        <f>IFERROR(IF($X401="","",INDEX(LLM_Data_Entry!$R$3:$R$548,MATCH($X401,INDEX(LLM_Data_Entry!$A$3:$A$548&amp;"|"&amp;LLM_Data_Entry!$C$3:$C$548&amp;"|"&amp;LLM_Data_Entry!$D$3:$D$548,0),0))),"")</f>
        <v/>
      </c>
      <c r="AA401" s="152" t="n"/>
      <c r="AB401" s="152" t="inlineStr">
        <is>
          <t>price signal, re-derived — only this window shows an abnormal move</t>
        </is>
      </c>
      <c r="AC401" s="152" t="inlineStr">
        <is>
          <t>CVX</t>
        </is>
      </c>
      <c r="AD401" s="152" t="inlineStr">
        <is>
          <t>2026-04-30</t>
        </is>
      </c>
      <c r="AE401" s="152" t="n">
        <v>191.5555</v>
      </c>
      <c r="AF401" s="152" t="inlineStr">
        <is>
          <t>2026-05-01</t>
        </is>
      </c>
      <c r="AG401" s="152" t="n">
        <v>189.5638</v>
      </c>
      <c r="AH401" s="152" t="n">
        <v>-0.01039778450017114</v>
      </c>
      <c r="AI401" s="152" t="inlineStr">
        <is>
          <t>FLAT</t>
        </is>
      </c>
      <c r="AJ401" s="152" t="inlineStr">
        <is>
          <t>YES</t>
        </is>
      </c>
      <c r="AK401" s="152" t="n">
        <v>0</v>
      </c>
      <c r="AL401" s="152">
        <f>IF($A401="","",IFERROR(INDEX(Company_List!$G$3:$G$207,MATCH($A401,Company_List!$A$3:$A$207,0)),"unassigned"))</f>
        <v/>
      </c>
      <c r="AM401" s="152" t="inlineStr">
        <is>
          <t>Phase 2/Chevron/2026-Q1/CVX-2026-Q1-press-release-SEC-EX-99-1.htm</t>
        </is>
      </c>
      <c r="AN401" s="152" t="inlineStr">
        <is>
          <t>https://www.sec.gov/Archives/edgar/data/93410/000009341026000110/a03312026ex9918-k.htm</t>
        </is>
      </c>
      <c r="AO401" s="152" t="inlineStr">
        <is>
          <t>manifest</t>
        </is>
      </c>
      <c r="AP401" s="152">
        <f>IF($A401="","",IF(COUNTIFS(LLM_Data_Entry!$A$3:$A$548,$A401)&gt;0,"YES","NO"))</f>
        <v/>
      </c>
      <c r="AQ401" s="152">
        <f>IF($A401="","",IF(COUNTIFS($A$3:$A401,$A401,$C$3:$C401,$C401,$D$3:$D401,$D401)=1,"YES","NO"))</f>
        <v/>
      </c>
      <c r="AR401" s="152">
        <f>IF($A401="","",IF(AND($C401&amp;"-"&amp;$D401&gt;=Settings!$B$19,$C401&amp;"-"&amp;$D401&lt;=Settings!$B$20),"IN","OUT"))</f>
        <v/>
      </c>
      <c r="AS401" s="152">
        <f>IF($A401="","",IF($F401="Financial Results","financials",IF($F401="Outlook/Guidance","guidance",IF($F401="Transcript Q&amp;A","qanda",IF($F401="","unrecorded",IF($E401="All","full",IF($E401="","unrecorded",LOWER($E401)&amp;" only")))))))</f>
        <v/>
      </c>
      <c r="AT401" s="152">
        <f>IF(AND(OR($J401="BUY",$J401="SELL"),ISNUMBER($U401)),$U401,"")</f>
        <v/>
      </c>
      <c r="AU401" s="152">
        <f>IF(AND(OR($J401="BUY",$J401="SELL"),ISNUMBER($AK401)),$AK401,"")</f>
        <v/>
      </c>
      <c r="AV401" s="152">
        <f>IF(ISNUMBER($AT401),ABS(IF(ISNUMBER($I401),$I401,0)-Settings!$B$24),"")</f>
        <v/>
      </c>
      <c r="AW401" s="152">
        <f>IF(ISNUMBER($AV401),$AV401*$AT401,"")</f>
        <v/>
      </c>
      <c r="AX401" s="152">
        <f>IF(ISNUMBER($AU401),ABS(IF(ISNUMBER($I401),$I401,0)-Settings!$B$24),"")</f>
        <v/>
      </c>
      <c r="AY401" s="152" t="inlineStr">
        <is>
          <t>EXTENSION</t>
        </is>
      </c>
      <c r="AZ401" s="152">
        <f>IF($A401="","",IFERROR(INDEX(Company_List!$H$3:$H$207,MATCH($A401,Company_List!$A$3:$A$207,0)),"unassigned"))</f>
        <v/>
      </c>
      <c r="BA401" s="152" t="n">
        <v>1</v>
      </c>
      <c r="BB401" s="152" t="n">
        <v>1</v>
      </c>
      <c r="BC401" s="152">
        <f>IF($A401="","",IF(COUNTIFS($A$3:$A401,$A401,$C$3:$C401,$C401,$D$3:$D401,$D401,$G$3:$G401,$G401)=1,1,0))</f>
        <v/>
      </c>
      <c r="BD401" s="152" t="n">
        <v>32</v>
      </c>
      <c r="BE401" s="152" t="n"/>
      <c r="BF401" s="152" t="n"/>
      <c r="BG401" s="152" t="inlineStr">
        <is>
          <t>no</t>
        </is>
      </c>
      <c r="BH401" s="152" t="inlineStr">
        <is>
          <t>no</t>
        </is>
      </c>
      <c r="BI401" s="152" t="inlineStr">
        <is>
          <t>Driven by realisations and the shareholder return commitment</t>
        </is>
      </c>
      <c r="BJ401" s="152" t="inlineStr">
        <is>
          <t>59 chevron q12026 full.pdf</t>
        </is>
      </c>
      <c r="BK401" s="152">
        <f>IF(OR($H401&lt;&gt;"Human",$S401="",$J401="",$Y401="",$Z401=""),"",IF(EXACT(UPPER($J401),UPPER($Y401)),1,0))</f>
        <v/>
      </c>
      <c r="BL401" s="152" t="inlineStr">
        <is>
          <t>attested - rater record</t>
        </is>
      </c>
      <c r="BM401" s="152" t="n">
        <v>1</v>
      </c>
      <c r="BN401" s="152" t="inlineStr">
        <is>
          <t>not publisher-identified</t>
        </is>
      </c>
      <c r="BO401" s="152" t="inlineStr">
        <is>
          <t>not publisher-identified</t>
        </is>
      </c>
      <c r="BP401" s="152" t="inlineStr">
        <is>
          <t>no</t>
        </is>
      </c>
      <c r="BQ401" s="152" t="inlineStr">
        <is>
          <t>yes</t>
        </is>
      </c>
      <c r="BR401" s="152" t="n"/>
      <c r="BS401" s="152" t="inlineStr">
        <is>
          <t>YES</t>
        </is>
      </c>
      <c r="BT401" s="152" t="n"/>
    </row>
    <row r="402" ht="15" customHeight="1" s="241">
      <c r="A402" s="193" t="inlineStr">
        <is>
          <t>Intel</t>
        </is>
      </c>
      <c r="B402" s="194">
        <f>IF(A402="","",_xlfn.XLOOKUP(A402, Company_List!$A:$A, Company_List!$B:$B, ""))</f>
        <v/>
      </c>
      <c r="C402" s="177" t="n">
        <v>2025</v>
      </c>
      <c r="D402" s="177" t="inlineStr">
        <is>
          <t>Q2</t>
        </is>
      </c>
      <c r="E402" s="178" t="inlineStr">
        <is>
          <t>Financial Statement</t>
        </is>
      </c>
      <c r="F402" s="178" t="inlineStr">
        <is>
          <t>Financial Results</t>
        </is>
      </c>
      <c r="G402" s="177" t="inlineStr">
        <is>
          <t>David</t>
        </is>
      </c>
      <c r="H402" s="177" t="inlineStr">
        <is>
          <t>Human</t>
        </is>
      </c>
      <c r="I402" s="180" t="n">
        <v>-0.25</v>
      </c>
      <c r="J402" s="180">
        <f>IF(OR(I402="",Settings!$B$6=""),"",IF(I402&gt;Settings!$B$6,"BUY",IF(I402&lt;-Settings!$B$6,"SELL","HOLD")))</f>
        <v/>
      </c>
      <c r="K402" s="180" t="n">
        <v>26</v>
      </c>
      <c r="L402" s="182" t="n">
        <v>45862</v>
      </c>
      <c r="M402" s="182" t="n">
        <v>45862</v>
      </c>
      <c r="N402" s="179" t="n">
        <v>22.63</v>
      </c>
      <c r="O402" s="182" t="n">
        <v>45863</v>
      </c>
      <c r="P402" s="180" t="n">
        <v>20.68</v>
      </c>
      <c r="Q402" s="184">
        <f>IF(OR(N402="",P402=""),"",ROUND((P402-N402)/N402,4))</f>
        <v/>
      </c>
      <c r="R402" s="177">
        <f>IF(OR(N402="",P402=""),"",IF(Q402&gt;Settings!$B$3/100,"UP",IF(Q402&lt;-Settings!$B$3/100,"DOWN","FLAT")))</f>
        <v/>
      </c>
      <c r="S402" s="177">
        <f>IF(OR(N402="",P402="",J402=""),"",IF(OR(AND(J402="BUY",R402="UP"),AND(J402="SELL",R402="DOWN"),AND(J402="HOLD",R402="FLAT")),"YES","NO"))</f>
        <v/>
      </c>
      <c r="T402" s="176">
        <f>IF(J402="","",IF(J402="BUY",1,IF(J402="SELL",-1,0)))</f>
        <v/>
      </c>
      <c r="U402" s="184">
        <f>IFERROR(IF(OR(J402="",N402="",P402=""),"",IF(T402=0,0,T402*Q402-Settings!$B$4/10000-IF(T402&lt;0,Settings!$B$5/10000,0))),"")</f>
        <v/>
      </c>
      <c r="V402" s="152" t="n"/>
      <c r="W402" s="176">
        <f>IF($K402="","",$K402*60)</f>
        <v/>
      </c>
      <c r="X402" s="186">
        <f>IF($A402="","",$A402&amp;"|"&amp;$C402&amp;"|"&amp;$D402)</f>
        <v/>
      </c>
      <c r="Y402" s="186">
        <f>IFERROR(IF($X402="","",INDEX(LLM_Data_Entry!$H$3:$H$548,MATCH($X402,INDEX(LLM_Data_Entry!$A$3:$A$548&amp;"|"&amp;LLM_Data_Entry!$C$3:$C$548&amp;"|"&amp;LLM_Data_Entry!$D$3:$D$548,0),0))),"")</f>
        <v/>
      </c>
      <c r="Z402" s="186">
        <f>IFERROR(IF($X402="","",INDEX(LLM_Data_Entry!$R$3:$R$548,MATCH($X402,INDEX(LLM_Data_Entry!$A$3:$A$548&amp;"|"&amp;LLM_Data_Entry!$C$3:$C$548&amp;"|"&amp;LLM_Data_Entry!$D$3:$D$548,0),0))),"")</f>
        <v/>
      </c>
      <c r="AA402" s="152" t="n"/>
      <c r="AB402" s="152" t="inlineStr">
        <is>
          <t>price signal, re-derived — only this window shows an abnormal move</t>
        </is>
      </c>
      <c r="AC402" s="152" t="inlineStr">
        <is>
          <t>INTC</t>
        </is>
      </c>
      <c r="AD402" s="152" t="inlineStr">
        <is>
          <t>2025-07-24</t>
        </is>
      </c>
      <c r="AE402" s="152" t="n">
        <v>22.63</v>
      </c>
      <c r="AF402" s="152" t="inlineStr">
        <is>
          <t>2025-07-25</t>
        </is>
      </c>
      <c r="AG402" s="152" t="n">
        <v>20.68</v>
      </c>
      <c r="AH402" s="152" t="n">
        <v>-0.08616876209318444</v>
      </c>
      <c r="AI402" s="152" t="inlineStr">
        <is>
          <t>DOWN</t>
        </is>
      </c>
      <c r="AJ402" s="152" t="inlineStr">
        <is>
          <t>YES</t>
        </is>
      </c>
      <c r="AK402" s="152" t="n">
        <v>0.08516899999999999</v>
      </c>
      <c r="AL402" s="152">
        <f>IF($A402="","",IFERROR(INDEX(Company_List!$G$3:$G$207,MATCH($A402,Company_List!$A$3:$A$207,0)),"unassigned"))</f>
        <v/>
      </c>
      <c r="AM402" s="152" t="inlineStr">
        <is>
          <t>Phase 2/Intel/2025-Q2/INTC-2025-Q2-quarterly-financial-statements-SEC-10-Q.htm</t>
        </is>
      </c>
      <c r="AN402" s="152" t="inlineStr">
        <is>
          <t>https://www.sec.gov/Archives/edgar/data/50863/ (10-Q, Q2 2025)</t>
        </is>
      </c>
      <c r="AO402" s="152" t="inlineStr">
        <is>
          <t>manifest</t>
        </is>
      </c>
      <c r="AP402" s="152">
        <f>IF($A402="","",IF(COUNTIFS(LLM_Data_Entry!$A$3:$A$548,$A402)&gt;0,"YES","NO"))</f>
        <v/>
      </c>
      <c r="AQ402" s="152">
        <f>IF($A402="","",IF(COUNTIFS($A$3:$A402,$A402,$C$3:$C402,$C402,$D$3:$D402,$D402)=1,"YES","NO"))</f>
        <v/>
      </c>
      <c r="AR402" s="152">
        <f>IF($A402="","",IF(AND($C402&amp;"-"&amp;$D402&gt;=Settings!$B$19,$C402&amp;"-"&amp;$D402&lt;=Settings!$B$20),"IN","OUT"))</f>
        <v/>
      </c>
      <c r="AS402" s="152">
        <f>IF($A402="","",IF($F402="Financial Results","financials",IF($F402="Outlook/Guidance","guidance",IF($F402="Transcript Q&amp;A","qanda",IF($F402="","unrecorded",IF($E402="All","full",IF($E402="","unrecorded",LOWER($E402)&amp;" only")))))))</f>
        <v/>
      </c>
      <c r="AT402" s="152">
        <f>IF(AND(OR($J402="BUY",$J402="SELL"),ISNUMBER($U402)),$U402,"")</f>
        <v/>
      </c>
      <c r="AU402" s="152">
        <f>IF(AND(OR($J402="BUY",$J402="SELL"),ISNUMBER($AK402)),$AK402,"")</f>
        <v/>
      </c>
      <c r="AV402" s="152">
        <f>IF(ISNUMBER($AT402),ABS(IF(ISNUMBER($I402),$I402,0)-Settings!$B$24),"")</f>
        <v/>
      </c>
      <c r="AW402" s="152">
        <f>IF(ISNUMBER($AV402),$AV402*$AT402,"")</f>
        <v/>
      </c>
      <c r="AX402" s="152">
        <f>IF(ISNUMBER($AU402),ABS(IF(ISNUMBER($I402),$I402,0)-Settings!$B$24),"")</f>
        <v/>
      </c>
      <c r="AY402" s="152" t="inlineStr">
        <is>
          <t>EXTENSION</t>
        </is>
      </c>
      <c r="AZ402" s="152">
        <f>IF($A402="","",IFERROR(INDEX(Company_List!$H$3:$H$207,MATCH($A402,Company_List!$A$3:$A$207,0)),"unassigned"))</f>
        <v/>
      </c>
      <c r="BA402" s="152" t="n">
        <v>1</v>
      </c>
      <c r="BB402" s="152" t="n">
        <v>2</v>
      </c>
      <c r="BC402" s="152">
        <f>IF($A402="","",IF(COUNTIFS($A$3:$A402,$A402,$C$3:$C402,$C402,$D$3:$D402,$D402,$G$3:$G402,$G402)=1,1,0))</f>
        <v/>
      </c>
      <c r="BD402" s="152" t="n">
        <v>26</v>
      </c>
      <c r="BE402" s="152" t="n">
        <v>31</v>
      </c>
      <c r="BF402" s="152" t="n">
        <v>-0.25</v>
      </c>
      <c r="BG402" s="152" t="inlineStr">
        <is>
          <t>no</t>
        </is>
      </c>
      <c r="BH402" s="152" t="inlineStr">
        <is>
          <t>no</t>
        </is>
      </c>
      <c r="BI402" s="152" t="inlineStr">
        <is>
          <t>This name lives on the foundry losses and the cash burn, not</t>
        </is>
      </c>
      <c r="BJ402" s="152" t="inlineStr">
        <is>
          <t>60 intel q22025 financials.pdf</t>
        </is>
      </c>
      <c r="BK402" s="152">
        <f>IF(OR($H402&lt;&gt;"Human",$S402="",$J402="",$Y402="",$Z402=""),"",IF(EXACT(UPPER($J402),UPPER($Y402)),1,0))</f>
        <v/>
      </c>
      <c r="BL402" s="152" t="inlineStr">
        <is>
          <t>attested - rater record</t>
        </is>
      </c>
      <c r="BM402" s="152" t="n">
        <v>1</v>
      </c>
      <c r="BN402" s="152" t="inlineStr">
        <is>
          <t>not publisher-identified</t>
        </is>
      </c>
      <c r="BO402" s="152" t="inlineStr">
        <is>
          <t>not publisher-identified</t>
        </is>
      </c>
      <c r="BP402" s="152" t="inlineStr">
        <is>
          <t>sole source</t>
        </is>
      </c>
      <c r="BQ402" s="152" t="inlineStr">
        <is>
          <t>yes</t>
        </is>
      </c>
      <c r="BR402" s="152" t="n"/>
      <c r="BS402" s="152" t="inlineStr">
        <is>
          <t>YES</t>
        </is>
      </c>
      <c r="BT402" s="152" t="n"/>
    </row>
    <row r="403" ht="15" customHeight="1" s="241">
      <c r="A403" s="193" t="inlineStr">
        <is>
          <t>Intel</t>
        </is>
      </c>
      <c r="B403" s="194">
        <f>IF(A403="","",_xlfn.XLOOKUP(A403, Company_List!$A:$A, Company_List!$B:$B, ""))</f>
        <v/>
      </c>
      <c r="C403" s="177" t="n">
        <v>2025</v>
      </c>
      <c r="D403" s="177" t="inlineStr">
        <is>
          <t>Q2</t>
        </is>
      </c>
      <c r="E403" s="178" t="inlineStr">
        <is>
          <t>All</t>
        </is>
      </c>
      <c r="F403" s="178" t="inlineStr">
        <is>
          <t>All</t>
        </is>
      </c>
      <c r="G403" s="177" t="inlineStr">
        <is>
          <t>David</t>
        </is>
      </c>
      <c r="H403" s="177" t="inlineStr">
        <is>
          <t>Human</t>
        </is>
      </c>
      <c r="I403" s="180" t="n">
        <v>-0.3</v>
      </c>
      <c r="J403" s="180">
        <f>IF(OR(I403="",Settings!$B$6=""),"",IF(I403&gt;Settings!$B$6,"BUY",IF(I403&lt;-Settings!$B$6,"SELL","HOLD")))</f>
        <v/>
      </c>
      <c r="K403" s="180" t="n">
        <v>31</v>
      </c>
      <c r="L403" s="182" t="n">
        <v>45862</v>
      </c>
      <c r="M403" s="182" t="n">
        <v>45862</v>
      </c>
      <c r="N403" s="179" t="n">
        <v>22.63</v>
      </c>
      <c r="O403" s="182" t="n">
        <v>45863</v>
      </c>
      <c r="P403" s="180" t="n">
        <v>20.68</v>
      </c>
      <c r="Q403" s="184">
        <f>IF(OR(N403="",P403=""),"",ROUND((P403-N403)/N403,4))</f>
        <v/>
      </c>
      <c r="R403" s="177">
        <f>IF(OR(N403="",P403=""),"",IF(Q403&gt;Settings!$B$3/100,"UP",IF(Q403&lt;-Settings!$B$3/100,"DOWN","FLAT")))</f>
        <v/>
      </c>
      <c r="S403" s="177">
        <f>IF(OR(N403="",P403="",J403=""),"",IF(OR(AND(J403="BUY",R403="UP"),AND(J403="SELL",R403="DOWN"),AND(J403="HOLD",R403="FLAT")),"YES","NO"))</f>
        <v/>
      </c>
      <c r="T403" s="176">
        <f>IF(J403="","",IF(J403="BUY",1,IF(J403="SELL",-1,0)))</f>
        <v/>
      </c>
      <c r="U403" s="184">
        <f>IFERROR(IF(OR(J403="",N403="",P403=""),"",IF(T403=0,0,T403*Q403-Settings!$B$4/10000-IF(T403&lt;0,Settings!$B$5/10000,0))),"")</f>
        <v/>
      </c>
      <c r="V403" s="152" t="n"/>
      <c r="W403" s="176">
        <f>IF($K403="","",$K403*60)</f>
        <v/>
      </c>
      <c r="X403" s="186">
        <f>IF($A403="","",$A403&amp;"|"&amp;$C403&amp;"|"&amp;$D403)</f>
        <v/>
      </c>
      <c r="Y403" s="186">
        <f>IFERROR(IF($X403="","",INDEX(LLM_Data_Entry!$H$3:$H$548,MATCH($X403,INDEX(LLM_Data_Entry!$A$3:$A$548&amp;"|"&amp;LLM_Data_Entry!$C$3:$C$548&amp;"|"&amp;LLM_Data_Entry!$D$3:$D$548,0),0))),"")</f>
        <v/>
      </c>
      <c r="Z403" s="186">
        <f>IFERROR(IF($X403="","",INDEX(LLM_Data_Entry!$R$3:$R$548,MATCH($X403,INDEX(LLM_Data_Entry!$A$3:$A$548&amp;"|"&amp;LLM_Data_Entry!$C$3:$C$548&amp;"|"&amp;LLM_Data_Entry!$D$3:$D$548,0),0))),"")</f>
        <v/>
      </c>
      <c r="AA403" s="152" t="n"/>
      <c r="AB403" s="152" t="inlineStr">
        <is>
          <t>price signal, re-derived — only this window shows an abnormal move</t>
        </is>
      </c>
      <c r="AC403" s="152" t="inlineStr">
        <is>
          <t>INTC</t>
        </is>
      </c>
      <c r="AD403" s="152" t="inlineStr">
        <is>
          <t>2025-07-24</t>
        </is>
      </c>
      <c r="AE403" s="152" t="n">
        <v>22.63</v>
      </c>
      <c r="AF403" s="152" t="inlineStr">
        <is>
          <t>2025-07-25</t>
        </is>
      </c>
      <c r="AG403" s="152" t="n">
        <v>20.68</v>
      </c>
      <c r="AH403" s="152" t="n">
        <v>-0.08616876209318444</v>
      </c>
      <c r="AI403" s="152" t="inlineStr">
        <is>
          <t>DOWN</t>
        </is>
      </c>
      <c r="AJ403" s="152" t="inlineStr">
        <is>
          <t>YES</t>
        </is>
      </c>
      <c r="AK403" s="152" t="n">
        <v>0.08516899999999999</v>
      </c>
      <c r="AL403" s="152">
        <f>IF($A403="","",IFERROR(INDEX(Company_List!$G$3:$G$207,MATCH($A403,Company_List!$A$3:$A$207,0)),"unassigned"))</f>
        <v/>
      </c>
      <c r="AM403" s="152" t="inlineStr">
        <is>
          <t>Phase 2/Intel/2025-Q2/INTC-2025-Q2-press-release-SEC-EX-99-1.htm; Phase 2/Intel/2025-Q2/INTC-2025-Q2-quarterly-financial-statements-SEC-10-Q.htm</t>
        </is>
      </c>
      <c r="AN403" s="152" t="inlineStr">
        <is>
          <t>https://www.sec.gov/Archives/edgar/data/50863/ (10-Q, Q2 2025); https://www.sec.gov/Archives/edgar/data/50863/000005086325000107/q225_earningsrelease.htm</t>
        </is>
      </c>
      <c r="AO403" s="152" t="inlineStr">
        <is>
          <t>manifest (whole bundle)</t>
        </is>
      </c>
      <c r="AP403" s="152">
        <f>IF($A403="","",IF(COUNTIFS(LLM_Data_Entry!$A$3:$A$548,$A403)&gt;0,"YES","NO"))</f>
        <v/>
      </c>
      <c r="AQ403" s="152">
        <f>IF($A403="","",IF(COUNTIFS($A$3:$A403,$A403,$C$3:$C403,$C403,$D$3:$D403,$D403)=1,"YES","NO"))</f>
        <v/>
      </c>
      <c r="AR403" s="152">
        <f>IF($A403="","",IF(AND($C403&amp;"-"&amp;$D403&gt;=Settings!$B$19,$C403&amp;"-"&amp;$D403&lt;=Settings!$B$20),"IN","OUT"))</f>
        <v/>
      </c>
      <c r="AS403" s="152">
        <f>IF($A403="","",IF($F403="Financial Results","financials",IF($F403="Outlook/Guidance","guidance",IF($F403="Transcript Q&amp;A","qanda",IF($F403="","unrecorded",IF($E403="All","full",IF($E403="","unrecorded",LOWER($E403)&amp;" only")))))))</f>
        <v/>
      </c>
      <c r="AT403" s="152">
        <f>IF(AND(OR($J403="BUY",$J403="SELL"),ISNUMBER($U403)),$U403,"")</f>
        <v/>
      </c>
      <c r="AU403" s="152">
        <f>IF(AND(OR($J403="BUY",$J403="SELL"),ISNUMBER($AK403)),$AK403,"")</f>
        <v/>
      </c>
      <c r="AV403" s="152">
        <f>IF(ISNUMBER($AT403),ABS(IF(ISNUMBER($I403),$I403,0)-Settings!$B$24),"")</f>
        <v/>
      </c>
      <c r="AW403" s="152">
        <f>IF(ISNUMBER($AV403),$AV403*$AT403,"")</f>
        <v/>
      </c>
      <c r="AX403" s="152">
        <f>IF(ISNUMBER($AU403),ABS(IF(ISNUMBER($I403),$I403,0)-Settings!$B$24),"")</f>
        <v/>
      </c>
      <c r="AY403" s="152" t="inlineStr">
        <is>
          <t>EXTENSION</t>
        </is>
      </c>
      <c r="AZ403" s="152">
        <f>IF($A403="","",IFERROR(INDEX(Company_List!$H$3:$H$207,MATCH($A403,Company_List!$A$3:$A$207,0)),"unassigned"))</f>
        <v/>
      </c>
      <c r="BA403" s="152" t="n">
        <v>2</v>
      </c>
      <c r="BB403" s="152" t="n">
        <v>2</v>
      </c>
      <c r="BC403" s="152">
        <f>IF($A403="","",IF(COUNTIFS($A$3:$A403,$A403,$C$3:$C403,$C403,$D$3:$D403,$D403,$G$3:$G403,$G403)=1,1,0))</f>
        <v/>
      </c>
      <c r="BD403" s="152" t="n">
        <v>26</v>
      </c>
      <c r="BE403" s="152" t="n">
        <v>31</v>
      </c>
      <c r="BF403" s="152" t="n">
        <v>-0.25</v>
      </c>
      <c r="BG403" s="152" t="inlineStr">
        <is>
          <t>no</t>
        </is>
      </c>
      <c r="BH403" s="152" t="inlineStr">
        <is>
          <t>no</t>
        </is>
      </c>
      <c r="BI403" s="152" t="inlineStr">
        <is>
          <t>This name lives on the foundry losses and the cash burn, not</t>
        </is>
      </c>
      <c r="BJ403" s="152" t="inlineStr">
        <is>
          <t>60 intel q22025 financials.pdf</t>
        </is>
      </c>
      <c r="BK403" s="152">
        <f>IF(OR($H403&lt;&gt;"Human",$S403="",$J403="",$Y403="",$Z403=""),"",IF(EXACT(UPPER($J403),UPPER($Y403)),1,0))</f>
        <v/>
      </c>
      <c r="BL403" s="152" t="inlineStr">
        <is>
          <t>attested - rater record</t>
        </is>
      </c>
      <c r="BM403" s="152" t="n">
        <v>2</v>
      </c>
      <c r="BN403" s="152" t="inlineStr">
        <is>
          <t>not publisher-identified</t>
        </is>
      </c>
      <c r="BO403" s="152" t="inlineStr">
        <is>
          <t>not publisher-identified</t>
        </is>
      </c>
      <c r="BP403" s="152" t="inlineStr">
        <is>
          <t>one of several</t>
        </is>
      </c>
      <c r="BQ403" s="152" t="inlineStr">
        <is>
          <t>yes</t>
        </is>
      </c>
      <c r="BR403" s="152" t="n"/>
      <c r="BS403" s="152" t="inlineStr">
        <is>
          <t>YES</t>
        </is>
      </c>
      <c r="BT403" s="152" t="n"/>
    </row>
    <row r="404" ht="15" customHeight="1" s="241">
      <c r="A404" s="193" t="inlineStr">
        <is>
          <t>Intel</t>
        </is>
      </c>
      <c r="B404" s="194">
        <f>IF(A404="","",_xlfn.XLOOKUP(A404, Company_List!$A:$A, Company_List!$B:$B, ""))</f>
        <v/>
      </c>
      <c r="C404" s="177" t="n">
        <v>2025</v>
      </c>
      <c r="D404" s="177" t="inlineStr">
        <is>
          <t>Q3</t>
        </is>
      </c>
      <c r="E404" s="178" t="inlineStr">
        <is>
          <t>Transcript</t>
        </is>
      </c>
      <c r="F404" s="178" t="inlineStr">
        <is>
          <t>Outlook/Guidance</t>
        </is>
      </c>
      <c r="G404" s="177" t="inlineStr">
        <is>
          <t>David</t>
        </is>
      </c>
      <c r="H404" s="177" t="inlineStr">
        <is>
          <t>Human</t>
        </is>
      </c>
      <c r="I404" s="180" t="n">
        <v>-0.3</v>
      </c>
      <c r="J404" s="180">
        <f>IF(OR(I404="",Settings!$B$6=""),"",IF(I404&gt;Settings!$B$6,"BUY",IF(I404&lt;-Settings!$B$6,"SELL","HOLD")))</f>
        <v/>
      </c>
      <c r="K404" s="180" t="n">
        <v>24</v>
      </c>
      <c r="L404" s="182" t="n">
        <v>45953</v>
      </c>
      <c r="M404" s="182" t="n">
        <v>45953</v>
      </c>
      <c r="N404" s="179" t="n">
        <v>38.16</v>
      </c>
      <c r="O404" s="182" t="n">
        <v>45954</v>
      </c>
      <c r="P404" s="180" t="n">
        <v>40.02</v>
      </c>
      <c r="Q404" s="184">
        <f>IF(OR(N404="",P404=""),"",ROUND((P404-N404)/N404,4))</f>
        <v/>
      </c>
      <c r="R404" s="177">
        <f>IF(OR(N404="",P404=""),"",IF(Q404&gt;Settings!$B$3/100,"UP",IF(Q404&lt;-Settings!$B$3/100,"DOWN","FLAT")))</f>
        <v/>
      </c>
      <c r="S404" s="177">
        <f>IF(OR(N404="",P404="",J404=""),"",IF(OR(AND(J404="BUY",R404="UP"),AND(J404="SELL",R404="DOWN"),AND(J404="HOLD",R404="FLAT")),"YES","NO"))</f>
        <v/>
      </c>
      <c r="T404" s="176">
        <f>IF(J404="","",IF(J404="BUY",1,IF(J404="SELL",-1,0)))</f>
        <v/>
      </c>
      <c r="U404" s="184">
        <f>IFERROR(IF(OR(J404="",N404="",P404=""),"",IF(T404=0,0,T404*Q404-Settings!$B$4/10000-IF(T404&lt;0,Settings!$B$5/10000,0))),"")</f>
        <v/>
      </c>
      <c r="V404" s="152" t="n"/>
      <c r="W404" s="176">
        <f>IF($K404="","",$K404*60)</f>
        <v/>
      </c>
      <c r="X404" s="186">
        <f>IF($A404="","",$A404&amp;"|"&amp;$C404&amp;"|"&amp;$D404)</f>
        <v/>
      </c>
      <c r="Y404" s="186">
        <f>IFERROR(IF($X404="","",INDEX(LLM_Data_Entry!$H$3:$H$548,MATCH($X404,INDEX(LLM_Data_Entry!$A$3:$A$548&amp;"|"&amp;LLM_Data_Entry!$C$3:$C$548&amp;"|"&amp;LLM_Data_Entry!$D$3:$D$548,0),0))),"")</f>
        <v/>
      </c>
      <c r="Z404" s="186">
        <f>IFERROR(IF($X404="","",INDEX(LLM_Data_Entry!$R$3:$R$548,MATCH($X404,INDEX(LLM_Data_Entry!$A$3:$A$548&amp;"|"&amp;LLM_Data_Entry!$C$3:$C$548&amp;"|"&amp;LLM_Data_Entry!$D$3:$D$548,0),0))),"")</f>
        <v/>
      </c>
      <c r="AA404" s="152" t="n"/>
      <c r="AB404" s="152" t="inlineStr">
        <is>
          <t>price signal, re-derived — only this window shows an abnormal move</t>
        </is>
      </c>
      <c r="AC404" s="152" t="inlineStr">
        <is>
          <t>INTC</t>
        </is>
      </c>
      <c r="AD404" s="152" t="inlineStr">
        <is>
          <t>2025-10-23</t>
        </is>
      </c>
      <c r="AE404" s="152" t="n">
        <v>38.16</v>
      </c>
      <c r="AF404" s="152" t="inlineStr">
        <is>
          <t>2025-10-24</t>
        </is>
      </c>
      <c r="AG404" s="152" t="n">
        <v>40.02</v>
      </c>
      <c r="AH404" s="152" t="n">
        <v>0.04874213836478005</v>
      </c>
      <c r="AI404" s="152" t="inlineStr">
        <is>
          <t>UP</t>
        </is>
      </c>
      <c r="AJ404" s="152" t="inlineStr">
        <is>
          <t>NO</t>
        </is>
      </c>
      <c r="AK404" s="152" t="n">
        <v>-0.049742</v>
      </c>
      <c r="AL404" s="152">
        <f>IF($A404="","",IFERROR(INDEX(Company_List!$G$3:$G$207,MATCH($A404,Company_List!$A$3:$A$207,0)),"unassigned"))</f>
        <v/>
      </c>
      <c r="AM404" s="152" t="inlineStr">
        <is>
          <t>Phase 2/Intel/2025-Q3/INTC-2025-Q3-earnings-call-transcript-fool-com.html</t>
        </is>
      </c>
      <c r="AN404" s="152" t="inlineStr">
        <is>
          <t>https://www.fool.com/earnings/call-transcripts/2025/10/24/intel-intc-q3-2025-earnings-call-transcript/</t>
        </is>
      </c>
      <c r="AO404" s="152" t="inlineStr">
        <is>
          <t>manifest</t>
        </is>
      </c>
      <c r="AP404" s="152">
        <f>IF($A404="","",IF(COUNTIFS(LLM_Data_Entry!$A$3:$A$548,$A404)&gt;0,"YES","NO"))</f>
        <v/>
      </c>
      <c r="AQ404" s="152">
        <f>IF($A404="","",IF(COUNTIFS($A$3:$A404,$A404,$C$3:$C404,$C404,$D$3:$D404,$D404)=1,"YES","NO"))</f>
        <v/>
      </c>
      <c r="AR404" s="152">
        <f>IF($A404="","",IF(AND($C404&amp;"-"&amp;$D404&gt;=Settings!$B$19,$C404&amp;"-"&amp;$D404&lt;=Settings!$B$20),"IN","OUT"))</f>
        <v/>
      </c>
      <c r="AS404" s="152">
        <f>IF($A404="","",IF($F404="Financial Results","financials",IF($F404="Outlook/Guidance","guidance",IF($F404="Transcript Q&amp;A","qanda",IF($F404="","unrecorded",IF($E404="All","full",IF($E404="","unrecorded",LOWER($E404)&amp;" only")))))))</f>
        <v/>
      </c>
      <c r="AT404" s="152">
        <f>IF(AND(OR($J404="BUY",$J404="SELL"),ISNUMBER($U404)),$U404,"")</f>
        <v/>
      </c>
      <c r="AU404" s="152">
        <f>IF(AND(OR($J404="BUY",$J404="SELL"),ISNUMBER($AK404)),$AK404,"")</f>
        <v/>
      </c>
      <c r="AV404" s="152">
        <f>IF(ISNUMBER($AT404),ABS(IF(ISNUMBER($I404),$I404,0)-Settings!$B$24),"")</f>
        <v/>
      </c>
      <c r="AW404" s="152">
        <f>IF(ISNUMBER($AV404),$AV404*$AT404,"")</f>
        <v/>
      </c>
      <c r="AX404" s="152">
        <f>IF(ISNUMBER($AU404),ABS(IF(ISNUMBER($I404),$I404,0)-Settings!$B$24),"")</f>
        <v/>
      </c>
      <c r="AY404" s="152" t="inlineStr">
        <is>
          <t>EXTENSION</t>
        </is>
      </c>
      <c r="AZ404" s="152">
        <f>IF($A404="","",IFERROR(INDEX(Company_List!$H$3:$H$207,MATCH($A404,Company_List!$A$3:$A$207,0)),"unassigned"))</f>
        <v/>
      </c>
      <c r="BA404" s="152" t="n">
        <v>1</v>
      </c>
      <c r="BB404" s="152" t="n">
        <v>2</v>
      </c>
      <c r="BC404" s="152">
        <f>IF($A404="","",IF(COUNTIFS($A$3:$A404,$A404,$C$3:$C404,$C404,$D$3:$D404,$D404,$G$3:$G404,$G404)=1,1,0))</f>
        <v/>
      </c>
      <c r="BD404" s="152" t="n">
        <v>24</v>
      </c>
      <c r="BE404" s="152" t="n">
        <v>33</v>
      </c>
      <c r="BF404" s="152" t="n">
        <v>-0.3</v>
      </c>
      <c r="BG404" s="152" t="inlineStr">
        <is>
          <t>no</t>
        </is>
      </c>
      <c r="BH404" s="152" t="inlineStr">
        <is>
          <t>no</t>
        </is>
      </c>
      <c r="BI404" s="152" t="inlineStr">
        <is>
          <t>This name lives on the foundry losses and the cash burn, not</t>
        </is>
      </c>
      <c r="BJ404" s="152" t="inlineStr">
        <is>
          <t>61 intel q32025 guidance.pdf</t>
        </is>
      </c>
      <c r="BK404" s="152">
        <f>IF(OR($H404&lt;&gt;"Human",$S404="",$J404="",$Y404="",$Z404=""),"",IF(EXACT(UPPER($J404),UPPER($Y404)),1,0))</f>
        <v/>
      </c>
      <c r="BL404" s="152" t="inlineStr">
        <is>
          <t>attested - rater record</t>
        </is>
      </c>
      <c r="BM404" s="152" t="n">
        <v>1</v>
      </c>
      <c r="BN404" s="152" t="inlineStr">
        <is>
          <t>The Motley Fool</t>
        </is>
      </c>
      <c r="BO404" s="152" t="inlineStr">
        <is>
          <t>free to read, copyright asserted</t>
        </is>
      </c>
      <c r="BP404" s="152" t="inlineStr">
        <is>
          <t>no</t>
        </is>
      </c>
      <c r="BQ404" s="152" t="inlineStr">
        <is>
          <t>yes</t>
        </is>
      </c>
      <c r="BR404" s="152" t="n"/>
      <c r="BS404" s="152" t="inlineStr">
        <is>
          <t>YES</t>
        </is>
      </c>
      <c r="BT404" s="152" t="n"/>
    </row>
    <row r="405" ht="15" customHeight="1" s="241">
      <c r="A405" s="193" t="inlineStr">
        <is>
          <t>Intel</t>
        </is>
      </c>
      <c r="B405" s="194">
        <f>IF(A405="","",_xlfn.XLOOKUP(A405, Company_List!$A:$A, Company_List!$B:$B, ""))</f>
        <v/>
      </c>
      <c r="C405" s="177" t="n">
        <v>2025</v>
      </c>
      <c r="D405" s="177" t="inlineStr">
        <is>
          <t>Q3</t>
        </is>
      </c>
      <c r="E405" s="178" t="inlineStr">
        <is>
          <t>All</t>
        </is>
      </c>
      <c r="F405" s="178" t="inlineStr">
        <is>
          <t>All</t>
        </is>
      </c>
      <c r="G405" s="177" t="inlineStr">
        <is>
          <t>David</t>
        </is>
      </c>
      <c r="H405" s="177" t="inlineStr">
        <is>
          <t>Human</t>
        </is>
      </c>
      <c r="I405" s="180" t="n">
        <v>0.15</v>
      </c>
      <c r="J405" s="180">
        <f>IF(OR(I405="",Settings!$B$6=""),"",IF(I405&gt;Settings!$B$6,"BUY",IF(I405&lt;-Settings!$B$6,"SELL","HOLD")))</f>
        <v/>
      </c>
      <c r="K405" s="180" t="n">
        <v>33</v>
      </c>
      <c r="L405" s="182" t="n">
        <v>45953</v>
      </c>
      <c r="M405" s="182" t="n">
        <v>45953</v>
      </c>
      <c r="N405" s="179" t="n">
        <v>38.16</v>
      </c>
      <c r="O405" s="182" t="n">
        <v>45954</v>
      </c>
      <c r="P405" s="180" t="n">
        <v>40.02</v>
      </c>
      <c r="Q405" s="184">
        <f>IF(OR(N405="",P405=""),"",ROUND((P405-N405)/N405,4))</f>
        <v/>
      </c>
      <c r="R405" s="177">
        <f>IF(OR(N405="",P405=""),"",IF(Q405&gt;Settings!$B$3/100,"UP",IF(Q405&lt;-Settings!$B$3/100,"DOWN","FLAT")))</f>
        <v/>
      </c>
      <c r="S405" s="177">
        <f>IF(OR(N405="",P405="",J405=""),"",IF(OR(AND(J405="BUY",R405="UP"),AND(J405="SELL",R405="DOWN"),AND(J405="HOLD",R405="FLAT")),"YES","NO"))</f>
        <v/>
      </c>
      <c r="T405" s="176">
        <f>IF(J405="","",IF(J405="BUY",1,IF(J405="SELL",-1,0)))</f>
        <v/>
      </c>
      <c r="U405" s="184">
        <f>IFERROR(IF(OR(J405="",N405="",P405=""),"",IF(T405=0,0,T405*Q405-Settings!$B$4/10000-IF(T405&lt;0,Settings!$B$5/10000,0))),"")</f>
        <v/>
      </c>
      <c r="V405" s="152" t="n"/>
      <c r="W405" s="176">
        <f>IF($K405="","",$K405*60)</f>
        <v/>
      </c>
      <c r="X405" s="186">
        <f>IF($A405="","",$A405&amp;"|"&amp;$C405&amp;"|"&amp;$D405)</f>
        <v/>
      </c>
      <c r="Y405" s="186">
        <f>IFERROR(IF($X405="","",INDEX(LLM_Data_Entry!$H$3:$H$548,MATCH($X405,INDEX(LLM_Data_Entry!$A$3:$A$548&amp;"|"&amp;LLM_Data_Entry!$C$3:$C$548&amp;"|"&amp;LLM_Data_Entry!$D$3:$D$548,0),0))),"")</f>
        <v/>
      </c>
      <c r="Z405" s="186">
        <f>IFERROR(IF($X405="","",INDEX(LLM_Data_Entry!$R$3:$R$548,MATCH($X405,INDEX(LLM_Data_Entry!$A$3:$A$548&amp;"|"&amp;LLM_Data_Entry!$C$3:$C$548&amp;"|"&amp;LLM_Data_Entry!$D$3:$D$548,0),0))),"")</f>
        <v/>
      </c>
      <c r="AA405" s="152" t="n"/>
      <c r="AB405" s="152" t="inlineStr">
        <is>
          <t>price signal, re-derived — only this window shows an abnormal move</t>
        </is>
      </c>
      <c r="AC405" s="152" t="inlineStr">
        <is>
          <t>INTC</t>
        </is>
      </c>
      <c r="AD405" s="152" t="inlineStr">
        <is>
          <t>2025-10-23</t>
        </is>
      </c>
      <c r="AE405" s="152" t="n">
        <v>38.16</v>
      </c>
      <c r="AF405" s="152" t="inlineStr">
        <is>
          <t>2025-10-24</t>
        </is>
      </c>
      <c r="AG405" s="152" t="n">
        <v>40.02</v>
      </c>
      <c r="AH405" s="152" t="n">
        <v>0.04874213836478005</v>
      </c>
      <c r="AI405" s="152" t="inlineStr">
        <is>
          <t>UP</t>
        </is>
      </c>
      <c r="AJ405" s="152" t="inlineStr">
        <is>
          <t>NO</t>
        </is>
      </c>
      <c r="AK405" s="152" t="n">
        <v>0</v>
      </c>
      <c r="AL405" s="152">
        <f>IF($A405="","",IFERROR(INDEX(Company_List!$G$3:$G$207,MATCH($A405,Company_List!$A$3:$A$207,0)),"unassigned"))</f>
        <v/>
      </c>
      <c r="AM405" s="152" t="inlineStr">
        <is>
          <t>Phase 2/Intel/2025-Q3/INTC-2025-Q3-press-release-SEC-EX-99-1.htm; Phase 2/Intel/2025-Q3/INTC-2025-Q3-earnings-call-transcript-fool-com.html</t>
        </is>
      </c>
      <c r="AN405" s="152" t="inlineStr">
        <is>
          <t>https://www.fool.com/earnings/call-transcripts/2025/10/24/intel-intc-q3-2025-earnings-call-transcript/; https://www.sec.gov/Archives/edgar/data/50863/000005086325000169/q325earningsrelease.htm</t>
        </is>
      </c>
      <c r="AO405" s="152" t="inlineStr">
        <is>
          <t>manifest (whole bundle)</t>
        </is>
      </c>
      <c r="AP405" s="152">
        <f>IF($A405="","",IF(COUNTIFS(LLM_Data_Entry!$A$3:$A$548,$A405)&gt;0,"YES","NO"))</f>
        <v/>
      </c>
      <c r="AQ405" s="152">
        <f>IF($A405="","",IF(COUNTIFS($A$3:$A405,$A405,$C$3:$C405,$C405,$D$3:$D405,$D405)=1,"YES","NO"))</f>
        <v/>
      </c>
      <c r="AR405" s="152">
        <f>IF($A405="","",IF(AND($C405&amp;"-"&amp;$D405&gt;=Settings!$B$19,$C405&amp;"-"&amp;$D405&lt;=Settings!$B$20),"IN","OUT"))</f>
        <v/>
      </c>
      <c r="AS405" s="152">
        <f>IF($A405="","",IF($F405="Financial Results","financials",IF($F405="Outlook/Guidance","guidance",IF($F405="Transcript Q&amp;A","qanda",IF($F405="","unrecorded",IF($E405="All","full",IF($E405="","unrecorded",LOWER($E405)&amp;" only")))))))</f>
        <v/>
      </c>
      <c r="AT405" s="152">
        <f>IF(AND(OR($J405="BUY",$J405="SELL"),ISNUMBER($U405)),$U405,"")</f>
        <v/>
      </c>
      <c r="AU405" s="152">
        <f>IF(AND(OR($J405="BUY",$J405="SELL"),ISNUMBER($AK405)),$AK405,"")</f>
        <v/>
      </c>
      <c r="AV405" s="152">
        <f>IF(ISNUMBER($AT405),ABS(IF(ISNUMBER($I405),$I405,0)-Settings!$B$24),"")</f>
        <v/>
      </c>
      <c r="AW405" s="152">
        <f>IF(ISNUMBER($AV405),$AV405*$AT405,"")</f>
        <v/>
      </c>
      <c r="AX405" s="152">
        <f>IF(ISNUMBER($AU405),ABS(IF(ISNUMBER($I405),$I405,0)-Settings!$B$24),"")</f>
        <v/>
      </c>
      <c r="AY405" s="152" t="inlineStr">
        <is>
          <t>EXTENSION</t>
        </is>
      </c>
      <c r="AZ405" s="152">
        <f>IF($A405="","",IFERROR(INDEX(Company_List!$H$3:$H$207,MATCH($A405,Company_List!$A$3:$A$207,0)),"unassigned"))</f>
        <v/>
      </c>
      <c r="BA405" s="152" t="n">
        <v>2</v>
      </c>
      <c r="BB405" s="152" t="n">
        <v>2</v>
      </c>
      <c r="BC405" s="152">
        <f>IF($A405="","",IF(COUNTIFS($A$3:$A405,$A405,$C$3:$C405,$C405,$D$3:$D405,$D405,$G$3:$G405,$G405)=1,1,0))</f>
        <v/>
      </c>
      <c r="BD405" s="152" t="n">
        <v>24</v>
      </c>
      <c r="BE405" s="152" t="n">
        <v>33</v>
      </c>
      <c r="BF405" s="152" t="n">
        <v>-0.3</v>
      </c>
      <c r="BG405" s="152" t="inlineStr">
        <is>
          <t>no</t>
        </is>
      </c>
      <c r="BH405" s="152" t="inlineStr">
        <is>
          <t>no</t>
        </is>
      </c>
      <c r="BI405" s="152" t="inlineStr">
        <is>
          <t>This name lives on the foundry losses and the cash burn, not</t>
        </is>
      </c>
      <c r="BJ405" s="152" t="inlineStr">
        <is>
          <t>61 intel q32025 guidance.pdf</t>
        </is>
      </c>
      <c r="BK405" s="152">
        <f>IF(OR($H405&lt;&gt;"Human",$S405="",$J405="",$Y405="",$Z405=""),"",IF(EXACT(UPPER($J405),UPPER($Y405)),1,0))</f>
        <v/>
      </c>
      <c r="BL405" s="152" t="inlineStr">
        <is>
          <t>attested - rater record</t>
        </is>
      </c>
      <c r="BM405" s="152" t="n">
        <v>2</v>
      </c>
      <c r="BN405" s="152" t="inlineStr">
        <is>
          <t>The Motley Fool</t>
        </is>
      </c>
      <c r="BO405" s="152" t="inlineStr">
        <is>
          <t>free to read, copyright asserted</t>
        </is>
      </c>
      <c r="BP405" s="152" t="inlineStr">
        <is>
          <t>no</t>
        </is>
      </c>
      <c r="BQ405" s="152" t="inlineStr">
        <is>
          <t>yes</t>
        </is>
      </c>
      <c r="BR405" s="152" t="n"/>
      <c r="BS405" s="152" t="inlineStr">
        <is>
          <t>YES</t>
        </is>
      </c>
      <c r="BT405" s="152" t="n"/>
    </row>
    <row r="406" ht="15" customHeight="1" s="241">
      <c r="A406" s="193" t="inlineStr">
        <is>
          <t>Intel</t>
        </is>
      </c>
      <c r="B406" s="194">
        <f>IF(A406="","",_xlfn.XLOOKUP(A406, Company_List!$A:$A, Company_List!$B:$B, ""))</f>
        <v/>
      </c>
      <c r="C406" s="177" t="n">
        <v>2025</v>
      </c>
      <c r="D406" s="177" t="inlineStr">
        <is>
          <t>Q4</t>
        </is>
      </c>
      <c r="E406" s="178" t="inlineStr">
        <is>
          <t>Transcript</t>
        </is>
      </c>
      <c r="F406" s="178" t="inlineStr">
        <is>
          <t>Transcript Q&amp;A</t>
        </is>
      </c>
      <c r="G406" s="177" t="inlineStr">
        <is>
          <t>David</t>
        </is>
      </c>
      <c r="H406" s="177" t="inlineStr">
        <is>
          <t>Human</t>
        </is>
      </c>
      <c r="I406" s="180" t="n">
        <v>0.2</v>
      </c>
      <c r="J406" s="180">
        <f>IF(OR(I406="",Settings!$B$6=""),"",IF(I406&gt;Settings!$B$6,"BUY",IF(I406&lt;-Settings!$B$6,"SELL","HOLD")))</f>
        <v/>
      </c>
      <c r="K406" s="180" t="n">
        <v>22</v>
      </c>
      <c r="L406" s="182" t="n">
        <v>46044</v>
      </c>
      <c r="M406" s="182" t="n">
        <v>46044</v>
      </c>
      <c r="N406" s="179" t="n">
        <v>54.32</v>
      </c>
      <c r="O406" s="182" t="n">
        <v>46045</v>
      </c>
      <c r="P406" s="180" t="n">
        <v>46.86</v>
      </c>
      <c r="Q406" s="184">
        <f>IF(OR(N406="",P406=""),"",ROUND((P406-N406)/N406,4))</f>
        <v/>
      </c>
      <c r="R406" s="177">
        <f>IF(OR(N406="",P406=""),"",IF(Q406&gt;Settings!$B$3/100,"UP",IF(Q406&lt;-Settings!$B$3/100,"DOWN","FLAT")))</f>
        <v/>
      </c>
      <c r="S406" s="177">
        <f>IF(OR(N406="",P406="",J406=""),"",IF(OR(AND(J406="BUY",R406="UP"),AND(J406="SELL",R406="DOWN"),AND(J406="HOLD",R406="FLAT")),"YES","NO"))</f>
        <v/>
      </c>
      <c r="T406" s="176">
        <f>IF(J406="","",IF(J406="BUY",1,IF(J406="SELL",-1,0)))</f>
        <v/>
      </c>
      <c r="U406" s="184">
        <f>IFERROR(IF(OR(J406="",N406="",P406=""),"",IF(T406=0,0,T406*Q406-Settings!$B$4/10000-IF(T406&lt;0,Settings!$B$5/10000,0))),"")</f>
        <v/>
      </c>
      <c r="V406" s="152" t="n"/>
      <c r="W406" s="176">
        <f>IF($K406="","",$K406*60)</f>
        <v/>
      </c>
      <c r="X406" s="186">
        <f>IF($A406="","",$A406&amp;"|"&amp;$C406&amp;"|"&amp;$D406)</f>
        <v/>
      </c>
      <c r="Y406" s="186">
        <f>IFERROR(IF($X406="","",INDEX(LLM_Data_Entry!$H$3:$H$548,MATCH($X406,INDEX(LLM_Data_Entry!$A$3:$A$548&amp;"|"&amp;LLM_Data_Entry!$C$3:$C$548&amp;"|"&amp;LLM_Data_Entry!$D$3:$D$548,0),0))),"")</f>
        <v/>
      </c>
      <c r="Z406" s="186">
        <f>IFERROR(IF($X406="","",INDEX(LLM_Data_Entry!$R$3:$R$548,MATCH($X406,INDEX(LLM_Data_Entry!$A$3:$A$548&amp;"|"&amp;LLM_Data_Entry!$C$3:$C$548&amp;"|"&amp;LLM_Data_Entry!$D$3:$D$548,0),0))),"")</f>
        <v/>
      </c>
      <c r="AA406" s="152" t="n"/>
      <c r="AB406" s="152" t="inlineStr">
        <is>
          <t>price signal, re-derived — only this window shows an abnormal move</t>
        </is>
      </c>
      <c r="AC406" s="152" t="inlineStr">
        <is>
          <t>INTC</t>
        </is>
      </c>
      <c r="AD406" s="152" t="inlineStr">
        <is>
          <t>2026-01-22</t>
        </is>
      </c>
      <c r="AE406" s="152" t="n">
        <v>54.32</v>
      </c>
      <c r="AF406" s="152" t="inlineStr">
        <is>
          <t>2026-01-23</t>
        </is>
      </c>
      <c r="AG406" s="152" t="n">
        <v>46.86</v>
      </c>
      <c r="AH406" s="152" t="n">
        <v>-0.1373342967599412</v>
      </c>
      <c r="AI406" s="152" t="inlineStr">
        <is>
          <t>DOWN</t>
        </is>
      </c>
      <c r="AJ406" s="152" t="inlineStr">
        <is>
          <t>NO</t>
        </is>
      </c>
      <c r="AK406" s="152" t="n">
        <v>0</v>
      </c>
      <c r="AL406" s="152">
        <f>IF($A406="","",IFERROR(INDEX(Company_List!$G$3:$G$207,MATCH($A406,Company_List!$A$3:$A$207,0)),"unassigned"))</f>
        <v/>
      </c>
      <c r="AM406" s="152" t="inlineStr">
        <is>
          <t>Phase 2/Intel/2025-Q4/INTC-2025-Q4-earnings-call-transcript-fool-com.html</t>
        </is>
      </c>
      <c r="AN406" s="152" t="inlineStr">
        <is>
          <t>https://www.fool.com/earnings/call-transcripts/2026/01/23/intel-intc-q4-2025-earnings-call-transcript/</t>
        </is>
      </c>
      <c r="AO406" s="152" t="inlineStr">
        <is>
          <t>manifest</t>
        </is>
      </c>
      <c r="AP406" s="152">
        <f>IF($A406="","",IF(COUNTIFS(LLM_Data_Entry!$A$3:$A$548,$A406)&gt;0,"YES","NO"))</f>
        <v/>
      </c>
      <c r="AQ406" s="152">
        <f>IF($A406="","",IF(COUNTIFS($A$3:$A406,$A406,$C$3:$C406,$C406,$D$3:$D406,$D406)=1,"YES","NO"))</f>
        <v/>
      </c>
      <c r="AR406" s="152">
        <f>IF($A406="","",IF(AND($C406&amp;"-"&amp;$D406&gt;=Settings!$B$19,$C406&amp;"-"&amp;$D406&lt;=Settings!$B$20),"IN","OUT"))</f>
        <v/>
      </c>
      <c r="AS406" s="152">
        <f>IF($A406="","",IF($F406="Financial Results","financials",IF($F406="Outlook/Guidance","guidance",IF($F406="Transcript Q&amp;A","qanda",IF($F406="","unrecorded",IF($E406="All","full",IF($E406="","unrecorded",LOWER($E406)&amp;" only")))))))</f>
        <v/>
      </c>
      <c r="AT406" s="152">
        <f>IF(AND(OR($J406="BUY",$J406="SELL"),ISNUMBER($U406)),$U406,"")</f>
        <v/>
      </c>
      <c r="AU406" s="152">
        <f>IF(AND(OR($J406="BUY",$J406="SELL"),ISNUMBER($AK406)),$AK406,"")</f>
        <v/>
      </c>
      <c r="AV406" s="152">
        <f>IF(ISNUMBER($AT406),ABS(IF(ISNUMBER($I406),$I406,0)-Settings!$B$24),"")</f>
        <v/>
      </c>
      <c r="AW406" s="152">
        <f>IF(ISNUMBER($AV406),$AV406*$AT406,"")</f>
        <v/>
      </c>
      <c r="AX406" s="152">
        <f>IF(ISNUMBER($AU406),ABS(IF(ISNUMBER($I406),$I406,0)-Settings!$B$24),"")</f>
        <v/>
      </c>
      <c r="AY406" s="152" t="inlineStr">
        <is>
          <t>EXTENSION</t>
        </is>
      </c>
      <c r="AZ406" s="152">
        <f>IF($A406="","",IFERROR(INDEX(Company_List!$H$3:$H$207,MATCH($A406,Company_List!$A$3:$A$207,0)),"unassigned"))</f>
        <v/>
      </c>
      <c r="BA406" s="152" t="n">
        <v>1</v>
      </c>
      <c r="BB406" s="152" t="n">
        <v>2</v>
      </c>
      <c r="BC406" s="152">
        <f>IF($A406="","",IF(COUNTIFS($A$3:$A406,$A406,$C$3:$C406,$C406,$D$3:$D406,$D406,$G$3:$G406,$G406)=1,1,0))</f>
        <v/>
      </c>
      <c r="BD406" s="152" t="n">
        <v>22</v>
      </c>
      <c r="BE406" s="152" t="n">
        <v>29</v>
      </c>
      <c r="BF406" s="152" t="n">
        <v>0.2</v>
      </c>
      <c r="BG406" s="152" t="inlineStr">
        <is>
          <t>no</t>
        </is>
      </c>
      <c r="BH406" s="152" t="inlineStr">
        <is>
          <t>no</t>
        </is>
      </c>
      <c r="BI406" s="152" t="inlineStr">
        <is>
          <t>This name lives on the foundry losses and the cash burn, not</t>
        </is>
      </c>
      <c r="BJ406" s="152" t="inlineStr">
        <is>
          <t>62 intel q42025 qanda.pdf</t>
        </is>
      </c>
      <c r="BK406" s="152">
        <f>IF(OR($H406&lt;&gt;"Human",$S406="",$J406="",$Y406="",$Z406=""),"",IF(EXACT(UPPER($J406),UPPER($Y406)),1,0))</f>
        <v/>
      </c>
      <c r="BL406" s="152" t="inlineStr">
        <is>
          <t>attested - rater record</t>
        </is>
      </c>
      <c r="BM406" s="152" t="n">
        <v>1</v>
      </c>
      <c r="BN406" s="152" t="inlineStr">
        <is>
          <t>The Motley Fool</t>
        </is>
      </c>
      <c r="BO406" s="152" t="inlineStr">
        <is>
          <t>free to read, copyright asserted</t>
        </is>
      </c>
      <c r="BP406" s="152" t="inlineStr">
        <is>
          <t>no</t>
        </is>
      </c>
      <c r="BQ406" s="152" t="inlineStr">
        <is>
          <t>yes</t>
        </is>
      </c>
      <c r="BR406" s="152" t="n"/>
      <c r="BS406" s="152" t="inlineStr">
        <is>
          <t>YES</t>
        </is>
      </c>
      <c r="BT406" s="152" t="n"/>
    </row>
    <row r="407" ht="15" customHeight="1" s="241">
      <c r="A407" s="193" t="inlineStr">
        <is>
          <t>Intel</t>
        </is>
      </c>
      <c r="B407" s="194">
        <f>IF(A407="","",_xlfn.XLOOKUP(A407, Company_List!$A:$A, Company_List!$B:$B, ""))</f>
        <v/>
      </c>
      <c r="C407" s="177" t="n">
        <v>2025</v>
      </c>
      <c r="D407" s="177" t="inlineStr">
        <is>
          <t>Q4</t>
        </is>
      </c>
      <c r="E407" s="178" t="inlineStr">
        <is>
          <t>All</t>
        </is>
      </c>
      <c r="F407" s="178" t="inlineStr">
        <is>
          <t>All</t>
        </is>
      </c>
      <c r="G407" s="177" t="inlineStr">
        <is>
          <t>David</t>
        </is>
      </c>
      <c r="H407" s="177" t="inlineStr">
        <is>
          <t>Human</t>
        </is>
      </c>
      <c r="I407" s="180" t="n">
        <v>-0.1</v>
      </c>
      <c r="J407" s="180">
        <f>IF(OR(I407="",Settings!$B$6=""),"",IF(I407&gt;Settings!$B$6,"BUY",IF(I407&lt;-Settings!$B$6,"SELL","HOLD")))</f>
        <v/>
      </c>
      <c r="K407" s="180" t="n">
        <v>29</v>
      </c>
      <c r="L407" s="182" t="n">
        <v>46044</v>
      </c>
      <c r="M407" s="182" t="n">
        <v>46044</v>
      </c>
      <c r="N407" s="179" t="n">
        <v>54.32</v>
      </c>
      <c r="O407" s="182" t="n">
        <v>46045</v>
      </c>
      <c r="P407" s="180" t="n">
        <v>46.86</v>
      </c>
      <c r="Q407" s="184">
        <f>IF(OR(N407="",P407=""),"",ROUND((P407-N407)/N407,4))</f>
        <v/>
      </c>
      <c r="R407" s="177">
        <f>IF(OR(N407="",P407=""),"",IF(Q407&gt;Settings!$B$3/100,"UP",IF(Q407&lt;-Settings!$B$3/100,"DOWN","FLAT")))</f>
        <v/>
      </c>
      <c r="S407" s="177">
        <f>IF(OR(N407="",P407="",J407=""),"",IF(OR(AND(J407="BUY",R407="UP"),AND(J407="SELL",R407="DOWN"),AND(J407="HOLD",R407="FLAT")),"YES","NO"))</f>
        <v/>
      </c>
      <c r="T407" s="176">
        <f>IF(J407="","",IF(J407="BUY",1,IF(J407="SELL",-1,0)))</f>
        <v/>
      </c>
      <c r="U407" s="184">
        <f>IFERROR(IF(OR(J407="",N407="",P407=""),"",IF(T407=0,0,T407*Q407-Settings!$B$4/10000-IF(T407&lt;0,Settings!$B$5/10000,0))),"")</f>
        <v/>
      </c>
      <c r="V407" s="152" t="n"/>
      <c r="W407" s="176">
        <f>IF($K407="","",$K407*60)</f>
        <v/>
      </c>
      <c r="X407" s="186">
        <f>IF($A407="","",$A407&amp;"|"&amp;$C407&amp;"|"&amp;$D407)</f>
        <v/>
      </c>
      <c r="Y407" s="186">
        <f>IFERROR(IF($X407="","",INDEX(LLM_Data_Entry!$H$3:$H$548,MATCH($X407,INDEX(LLM_Data_Entry!$A$3:$A$548&amp;"|"&amp;LLM_Data_Entry!$C$3:$C$548&amp;"|"&amp;LLM_Data_Entry!$D$3:$D$548,0),0))),"")</f>
        <v/>
      </c>
      <c r="Z407" s="186">
        <f>IFERROR(IF($X407="","",INDEX(LLM_Data_Entry!$R$3:$R$548,MATCH($X407,INDEX(LLM_Data_Entry!$A$3:$A$548&amp;"|"&amp;LLM_Data_Entry!$C$3:$C$548&amp;"|"&amp;LLM_Data_Entry!$D$3:$D$548,0),0))),"")</f>
        <v/>
      </c>
      <c r="AA407" s="152" t="n"/>
      <c r="AB407" s="152" t="inlineStr">
        <is>
          <t>price signal, re-derived — only this window shows an abnormal move</t>
        </is>
      </c>
      <c r="AC407" s="152" t="inlineStr">
        <is>
          <t>INTC</t>
        </is>
      </c>
      <c r="AD407" s="152" t="inlineStr">
        <is>
          <t>2026-01-22</t>
        </is>
      </c>
      <c r="AE407" s="152" t="n">
        <v>54.32</v>
      </c>
      <c r="AF407" s="152" t="inlineStr">
        <is>
          <t>2026-01-23</t>
        </is>
      </c>
      <c r="AG407" s="152" t="n">
        <v>46.86</v>
      </c>
      <c r="AH407" s="152" t="n">
        <v>-0.1373342967599412</v>
      </c>
      <c r="AI407" s="152" t="inlineStr">
        <is>
          <t>DOWN</t>
        </is>
      </c>
      <c r="AJ407" s="152" t="inlineStr">
        <is>
          <t>NO</t>
        </is>
      </c>
      <c r="AK407" s="152" t="n">
        <v>0</v>
      </c>
      <c r="AL407" s="152">
        <f>IF($A407="","",IFERROR(INDEX(Company_List!$G$3:$G$207,MATCH($A407,Company_List!$A$3:$A$207,0)),"unassigned"))</f>
        <v/>
      </c>
      <c r="AM407" s="152" t="inlineStr">
        <is>
          <t>Phase 2/Intel/2025-Q4/INTC-2025-Q4-press-release-SEC-EX-99-1.htm; Phase 2/Intel/2025-Q4/INTC-2025-Q4-earnings-call-transcript-fool-com.html</t>
        </is>
      </c>
      <c r="AN407" s="152" t="inlineStr">
        <is>
          <t>https://www.fool.com/earnings/call-transcripts/2026/01/23/intel-intc-q4-2025-earnings-call-transcript/; https://www.sec.gov/Archives/edgar/data/50863/000005086326000009/q425earningsrelease.htm</t>
        </is>
      </c>
      <c r="AO407" s="152" t="inlineStr">
        <is>
          <t>manifest (whole bundle)</t>
        </is>
      </c>
      <c r="AP407" s="152">
        <f>IF($A407="","",IF(COUNTIFS(LLM_Data_Entry!$A$3:$A$548,$A407)&gt;0,"YES","NO"))</f>
        <v/>
      </c>
      <c r="AQ407" s="152">
        <f>IF($A407="","",IF(COUNTIFS($A$3:$A407,$A407,$C$3:$C407,$C407,$D$3:$D407,$D407)=1,"YES","NO"))</f>
        <v/>
      </c>
      <c r="AR407" s="152">
        <f>IF($A407="","",IF(AND($C407&amp;"-"&amp;$D407&gt;=Settings!$B$19,$C407&amp;"-"&amp;$D407&lt;=Settings!$B$20),"IN","OUT"))</f>
        <v/>
      </c>
      <c r="AS407" s="152">
        <f>IF($A407="","",IF($F407="Financial Results","financials",IF($F407="Outlook/Guidance","guidance",IF($F407="Transcript Q&amp;A","qanda",IF($F407="","unrecorded",IF($E407="All","full",IF($E407="","unrecorded",LOWER($E407)&amp;" only")))))))</f>
        <v/>
      </c>
      <c r="AT407" s="152">
        <f>IF(AND(OR($J407="BUY",$J407="SELL"),ISNUMBER($U407)),$U407,"")</f>
        <v/>
      </c>
      <c r="AU407" s="152">
        <f>IF(AND(OR($J407="BUY",$J407="SELL"),ISNUMBER($AK407)),$AK407,"")</f>
        <v/>
      </c>
      <c r="AV407" s="152">
        <f>IF(ISNUMBER($AT407),ABS(IF(ISNUMBER($I407),$I407,0)-Settings!$B$24),"")</f>
        <v/>
      </c>
      <c r="AW407" s="152">
        <f>IF(ISNUMBER($AV407),$AV407*$AT407,"")</f>
        <v/>
      </c>
      <c r="AX407" s="152">
        <f>IF(ISNUMBER($AU407),ABS(IF(ISNUMBER($I407),$I407,0)-Settings!$B$24),"")</f>
        <v/>
      </c>
      <c r="AY407" s="152" t="inlineStr">
        <is>
          <t>EXTENSION</t>
        </is>
      </c>
      <c r="AZ407" s="152">
        <f>IF($A407="","",IFERROR(INDEX(Company_List!$H$3:$H$207,MATCH($A407,Company_List!$A$3:$A$207,0)),"unassigned"))</f>
        <v/>
      </c>
      <c r="BA407" s="152" t="n">
        <v>2</v>
      </c>
      <c r="BB407" s="152" t="n">
        <v>2</v>
      </c>
      <c r="BC407" s="152">
        <f>IF($A407="","",IF(COUNTIFS($A$3:$A407,$A407,$C$3:$C407,$C407,$D$3:$D407,$D407,$G$3:$G407,$G407)=1,1,0))</f>
        <v/>
      </c>
      <c r="BD407" s="152" t="n">
        <v>22</v>
      </c>
      <c r="BE407" s="152" t="n">
        <v>29</v>
      </c>
      <c r="BF407" s="152" t="n">
        <v>0.2</v>
      </c>
      <c r="BG407" s="152" t="inlineStr">
        <is>
          <t>no</t>
        </is>
      </c>
      <c r="BH407" s="152" t="inlineStr">
        <is>
          <t>no</t>
        </is>
      </c>
      <c r="BI407" s="152" t="inlineStr">
        <is>
          <t>This name lives on the foundry losses and the cash burn, not</t>
        </is>
      </c>
      <c r="BJ407" s="152" t="inlineStr">
        <is>
          <t>62 intel q42025 qanda.pdf</t>
        </is>
      </c>
      <c r="BK407" s="152">
        <f>IF(OR($H407&lt;&gt;"Human",$S407="",$J407="",$Y407="",$Z407=""),"",IF(EXACT(UPPER($J407),UPPER($Y407)),1,0))</f>
        <v/>
      </c>
      <c r="BL407" s="152" t="inlineStr">
        <is>
          <t>attested - rater record</t>
        </is>
      </c>
      <c r="BM407" s="152" t="n">
        <v>2</v>
      </c>
      <c r="BN407" s="152" t="inlineStr">
        <is>
          <t>The Motley Fool</t>
        </is>
      </c>
      <c r="BO407" s="152" t="inlineStr">
        <is>
          <t>free to read, copyright asserted</t>
        </is>
      </c>
      <c r="BP407" s="152" t="inlineStr">
        <is>
          <t>no</t>
        </is>
      </c>
      <c r="BQ407" s="152" t="inlineStr">
        <is>
          <t>yes</t>
        </is>
      </c>
      <c r="BR407" s="152" t="n"/>
      <c r="BS407" s="152" t="inlineStr">
        <is>
          <t>YES</t>
        </is>
      </c>
      <c r="BT407" s="152" t="n"/>
    </row>
    <row r="408" ht="15" customHeight="1" s="241">
      <c r="A408" s="193" t="inlineStr">
        <is>
          <t>Intel</t>
        </is>
      </c>
      <c r="B408" s="194">
        <f>IF(A408="","",_xlfn.XLOOKUP(A408, Company_List!$A:$A, Company_List!$B:$B, ""))</f>
        <v/>
      </c>
      <c r="C408" s="177" t="n">
        <v>2026</v>
      </c>
      <c r="D408" s="177" t="inlineStr">
        <is>
          <t>Q1</t>
        </is>
      </c>
      <c r="E408" s="178" t="inlineStr">
        <is>
          <t>All</t>
        </is>
      </c>
      <c r="F408" s="178" t="inlineStr">
        <is>
          <t>All</t>
        </is>
      </c>
      <c r="G408" s="177" t="inlineStr">
        <is>
          <t>David</t>
        </is>
      </c>
      <c r="H408" s="177" t="inlineStr">
        <is>
          <t>Human</t>
        </is>
      </c>
      <c r="I408" s="180" t="n">
        <v>0.35</v>
      </c>
      <c r="J408" s="180">
        <f>IF(OR(I408="",Settings!$B$6=""),"",IF(I408&gt;Settings!$B$6,"BUY",IF(I408&lt;-Settings!$B$6,"SELL","HOLD")))</f>
        <v/>
      </c>
      <c r="K408" s="180" t="n">
        <v>38</v>
      </c>
      <c r="L408" s="182" t="n">
        <v>46135</v>
      </c>
      <c r="M408" s="182" t="n">
        <v>46135</v>
      </c>
      <c r="N408" s="179" t="n">
        <v>66.78</v>
      </c>
      <c r="O408" s="182" t="n">
        <v>46136</v>
      </c>
      <c r="P408" s="180" t="n">
        <v>82.2</v>
      </c>
      <c r="Q408" s="184">
        <f>IF(OR(N408="",P408=""),"",ROUND((P408-N408)/N408,4))</f>
        <v/>
      </c>
      <c r="R408" s="177">
        <f>IF(OR(N408="",P408=""),"",IF(Q408&gt;Settings!$B$3/100,"UP",IF(Q408&lt;-Settings!$B$3/100,"DOWN","FLAT")))</f>
        <v/>
      </c>
      <c r="S408" s="177">
        <f>IF(OR(N408="",P408="",J408=""),"",IF(OR(AND(J408="BUY",R408="UP"),AND(J408="SELL",R408="DOWN"),AND(J408="HOLD",R408="FLAT")),"YES","NO"))</f>
        <v/>
      </c>
      <c r="T408" s="176">
        <f>IF(J408="","",IF(J408="BUY",1,IF(J408="SELL",-1,0)))</f>
        <v/>
      </c>
      <c r="U408" s="184">
        <f>IFERROR(IF(OR(J408="",N408="",P408=""),"",IF(T408=0,0,T408*Q408-Settings!$B$4/10000-IF(T408&lt;0,Settings!$B$5/10000,0))),"")</f>
        <v/>
      </c>
      <c r="V408" s="152" t="n"/>
      <c r="W408" s="176">
        <f>IF($K408="","",$K408*60)</f>
        <v/>
      </c>
      <c r="X408" s="186">
        <f>IF($A408="","",$A408&amp;"|"&amp;$C408&amp;"|"&amp;$D408)</f>
        <v/>
      </c>
      <c r="Y408" s="186">
        <f>IFERROR(IF($X408="","",INDEX(LLM_Data_Entry!$H$3:$H$548,MATCH($X408,INDEX(LLM_Data_Entry!$A$3:$A$548&amp;"|"&amp;LLM_Data_Entry!$C$3:$C$548&amp;"|"&amp;LLM_Data_Entry!$D$3:$D$548,0),0))),"")</f>
        <v/>
      </c>
      <c r="Z408" s="186">
        <f>IFERROR(IF($X408="","",INDEX(LLM_Data_Entry!$R$3:$R$548,MATCH($X408,INDEX(LLM_Data_Entry!$A$3:$A$548&amp;"|"&amp;LLM_Data_Entry!$C$3:$C$548&amp;"|"&amp;LLM_Data_Entry!$D$3:$D$548,0),0))),"")</f>
        <v/>
      </c>
      <c r="AA408" s="152" t="n"/>
      <c r="AB408" s="152" t="inlineStr">
        <is>
          <t>price signal, re-derived — both moved; this one dominates</t>
        </is>
      </c>
      <c r="AC408" s="152" t="inlineStr">
        <is>
          <t>INTC</t>
        </is>
      </c>
      <c r="AD408" s="152" t="inlineStr">
        <is>
          <t>2026-04-23</t>
        </is>
      </c>
      <c r="AE408" s="152" t="n">
        <v>66.78</v>
      </c>
      <c r="AF408" s="152" t="inlineStr">
        <is>
          <t>2026-04-24</t>
        </is>
      </c>
      <c r="AG408" s="152" t="n">
        <v>82.2</v>
      </c>
      <c r="AH408" s="152" t="n">
        <v>0.2309074308311983</v>
      </c>
      <c r="AI408" s="152" t="inlineStr">
        <is>
          <t>UP</t>
        </is>
      </c>
      <c r="AJ408" s="152" t="inlineStr">
        <is>
          <t>YES</t>
        </is>
      </c>
      <c r="AK408" s="152" t="n">
        <v>0.229907</v>
      </c>
      <c r="AL408" s="152">
        <f>IF($A408="","",IFERROR(INDEX(Company_List!$G$3:$G$207,MATCH($A408,Company_List!$A$3:$A$207,0)),"unassigned"))</f>
        <v/>
      </c>
      <c r="AM408" s="152" t="inlineStr">
        <is>
          <t>Phase 2/Intel/2026-Q1/INTC-2026-Q1-press-release-SEC-EX-99-1.htm</t>
        </is>
      </c>
      <c r="AN408" s="152" t="inlineStr">
        <is>
          <t>https://www.sec.gov/Archives/edgar/data/50863/000005086326000077/q126earningsrelease.htm</t>
        </is>
      </c>
      <c r="AO408" s="152" t="inlineStr">
        <is>
          <t>manifest</t>
        </is>
      </c>
      <c r="AP408" s="152">
        <f>IF($A408="","",IF(COUNTIFS(LLM_Data_Entry!$A$3:$A$548,$A408)&gt;0,"YES","NO"))</f>
        <v/>
      </c>
      <c r="AQ408" s="152">
        <f>IF($A408="","",IF(COUNTIFS($A$3:$A408,$A408,$C$3:$C408,$C408,$D$3:$D408,$D408)=1,"YES","NO"))</f>
        <v/>
      </c>
      <c r="AR408" s="152">
        <f>IF($A408="","",IF(AND($C408&amp;"-"&amp;$D408&gt;=Settings!$B$19,$C408&amp;"-"&amp;$D408&lt;=Settings!$B$20),"IN","OUT"))</f>
        <v/>
      </c>
      <c r="AS408" s="152">
        <f>IF($A408="","",IF($F408="Financial Results","financials",IF($F408="Outlook/Guidance","guidance",IF($F408="Transcript Q&amp;A","qanda",IF($F408="","unrecorded",IF($E408="All","full",IF($E408="","unrecorded",LOWER($E408)&amp;" only")))))))</f>
        <v/>
      </c>
      <c r="AT408" s="152">
        <f>IF(AND(OR($J408="BUY",$J408="SELL"),ISNUMBER($U408)),$U408,"")</f>
        <v/>
      </c>
      <c r="AU408" s="152">
        <f>IF(AND(OR($J408="BUY",$J408="SELL"),ISNUMBER($AK408)),$AK408,"")</f>
        <v/>
      </c>
      <c r="AV408" s="152">
        <f>IF(ISNUMBER($AT408),ABS(IF(ISNUMBER($I408),$I408,0)-Settings!$B$24),"")</f>
        <v/>
      </c>
      <c r="AW408" s="152">
        <f>IF(ISNUMBER($AV408),$AV408*$AT408,"")</f>
        <v/>
      </c>
      <c r="AX408" s="152">
        <f>IF(ISNUMBER($AU408),ABS(IF(ISNUMBER($I408),$I408,0)-Settings!$B$24),"")</f>
        <v/>
      </c>
      <c r="AY408" s="152" t="inlineStr">
        <is>
          <t>EXTENSION</t>
        </is>
      </c>
      <c r="AZ408" s="152">
        <f>IF($A408="","",IFERROR(INDEX(Company_List!$H$3:$H$207,MATCH($A408,Company_List!$A$3:$A$207,0)),"unassigned"))</f>
        <v/>
      </c>
      <c r="BA408" s="152" t="n">
        <v>1</v>
      </c>
      <c r="BB408" s="152" t="n">
        <v>1</v>
      </c>
      <c r="BC408" s="152">
        <f>IF($A408="","",IF(COUNTIFS($A$3:$A408,$A408,$C$3:$C408,$C408,$D$3:$D408,$D408,$G$3:$G408,$G408)=1,1,0))</f>
        <v/>
      </c>
      <c r="BD408" s="152" t="n">
        <v>38</v>
      </c>
      <c r="BE408" s="152" t="n"/>
      <c r="BF408" s="152" t="n"/>
      <c r="BG408" s="152" t="inlineStr">
        <is>
          <t>no</t>
        </is>
      </c>
      <c r="BH408" s="152" t="inlineStr">
        <is>
          <t>no</t>
        </is>
      </c>
      <c r="BI408" s="152" t="inlineStr">
        <is>
          <t>This name lives on the foundry losses and the cash burn, not</t>
        </is>
      </c>
      <c r="BJ408" s="152" t="inlineStr">
        <is>
          <t>63 intel q12026 full.pdf</t>
        </is>
      </c>
      <c r="BK408" s="152">
        <f>IF(OR($H408&lt;&gt;"Human",$S408="",$J408="",$Y408="",$Z408=""),"",IF(EXACT(UPPER($J408),UPPER($Y408)),1,0))</f>
        <v/>
      </c>
      <c r="BL408" s="152" t="inlineStr">
        <is>
          <t>attested - rater record</t>
        </is>
      </c>
      <c r="BM408" s="152" t="n">
        <v>1</v>
      </c>
      <c r="BN408" s="152" t="inlineStr">
        <is>
          <t>not publisher-identified</t>
        </is>
      </c>
      <c r="BO408" s="152" t="inlineStr">
        <is>
          <t>not publisher-identified</t>
        </is>
      </c>
      <c r="BP408" s="152" t="inlineStr">
        <is>
          <t>no</t>
        </is>
      </c>
      <c r="BQ408" s="152" t="inlineStr">
        <is>
          <t>yes</t>
        </is>
      </c>
      <c r="BR408" s="152" t="n"/>
      <c r="BS408" s="152" t="inlineStr">
        <is>
          <t>YES</t>
        </is>
      </c>
      <c r="BT408" s="152" t="n"/>
    </row>
    <row r="409" ht="15" customHeight="1" s="241">
      <c r="A409" s="193" t="inlineStr">
        <is>
          <t>Mastercard</t>
        </is>
      </c>
      <c r="B409" s="194">
        <f>IF(A409="","",_xlfn.XLOOKUP(A409, Company_List!$A:$A, Company_List!$B:$B, ""))</f>
        <v/>
      </c>
      <c r="C409" s="177" t="n">
        <v>2025</v>
      </c>
      <c r="D409" s="177" t="inlineStr">
        <is>
          <t>Q2</t>
        </is>
      </c>
      <c r="E409" s="178" t="inlineStr">
        <is>
          <t>Financial Statement</t>
        </is>
      </c>
      <c r="F409" s="178" t="inlineStr">
        <is>
          <t>Financial Results</t>
        </is>
      </c>
      <c r="G409" s="177" t="inlineStr">
        <is>
          <t>David</t>
        </is>
      </c>
      <c r="H409" s="177" t="inlineStr">
        <is>
          <t>Human</t>
        </is>
      </c>
      <c r="I409" s="180" t="n">
        <v>0.4</v>
      </c>
      <c r="J409" s="180">
        <f>IF(OR(I409="",Settings!$B$6=""),"",IF(I409&gt;Settings!$B$6,"BUY",IF(I409&lt;-Settings!$B$6,"SELL","HOLD")))</f>
        <v/>
      </c>
      <c r="K409" s="180" t="n">
        <v>23</v>
      </c>
      <c r="L409" s="182" t="n">
        <v>45869</v>
      </c>
      <c r="M409" s="182" t="n">
        <v>45868</v>
      </c>
      <c r="N409" s="179" t="n">
        <v>555.6475</v>
      </c>
      <c r="O409" s="182" t="n">
        <v>45869</v>
      </c>
      <c r="P409" s="180" t="n">
        <v>565.0488</v>
      </c>
      <c r="Q409" s="184">
        <f>IF(OR(N409="",P409=""),"",ROUND((P409-N409)/N409,4))</f>
        <v/>
      </c>
      <c r="R409" s="177">
        <f>IF(OR(N409="",P409=""),"",IF(Q409&gt;Settings!$B$3/100,"UP",IF(Q409&lt;-Settings!$B$3/100,"DOWN","FLAT")))</f>
        <v/>
      </c>
      <c r="S409" s="177">
        <f>IF(OR(N409="",P409="",J409=""),"",IF(OR(AND(J409="BUY",R409="UP"),AND(J409="SELL",R409="DOWN"),AND(J409="HOLD",R409="FLAT")),"YES","NO"))</f>
        <v/>
      </c>
      <c r="T409" s="176">
        <f>IF(J409="","",IF(J409="BUY",1,IF(J409="SELL",-1,0)))</f>
        <v/>
      </c>
      <c r="U409" s="184">
        <f>IFERROR(IF(OR(J409="",N409="",P409=""),"",IF(T409=0,0,T409*Q409-Settings!$B$4/10000-IF(T409&lt;0,Settings!$B$5/10000,0))),"")</f>
        <v/>
      </c>
      <c r="V409" s="152" t="n"/>
      <c r="W409" s="176">
        <f>IF($K409="","",$K409*60)</f>
        <v/>
      </c>
      <c r="X409" s="186">
        <f>IF($A409="","",$A409&amp;"|"&amp;$C409&amp;"|"&amp;$D409)</f>
        <v/>
      </c>
      <c r="Y409" s="186">
        <f>IFERROR(IF($X409="","",INDEX(LLM_Data_Entry!$H$3:$H$548,MATCH($X409,INDEX(LLM_Data_Entry!$A$3:$A$548&amp;"|"&amp;LLM_Data_Entry!$C$3:$C$548&amp;"|"&amp;LLM_Data_Entry!$D$3:$D$548,0),0))),"")</f>
        <v/>
      </c>
      <c r="Z409" s="186">
        <f>IFERROR(IF($X409="","",INDEX(LLM_Data_Entry!$R$3:$R$548,MATCH($X409,INDEX(LLM_Data_Entry!$A$3:$A$548&amp;"|"&amp;LLM_Data_Entry!$C$3:$C$548&amp;"|"&amp;LLM_Data_Entry!$D$3:$D$548,0),0))),"")</f>
        <v/>
      </c>
      <c r="AA409" s="152" t="n"/>
      <c r="AB409" s="152" t="inlineStr">
        <is>
          <t>price signal, re-derived — only this window shows an abnormal move</t>
        </is>
      </c>
      <c r="AC409" s="152" t="inlineStr">
        <is>
          <t>MA</t>
        </is>
      </c>
      <c r="AD409" s="152" t="inlineStr">
        <is>
          <t>2025-07-30</t>
        </is>
      </c>
      <c r="AE409" s="152" t="n">
        <v>555.6475</v>
      </c>
      <c r="AF409" s="152" t="inlineStr">
        <is>
          <t>2025-07-31</t>
        </is>
      </c>
      <c r="AG409" s="152" t="n">
        <v>565.0488</v>
      </c>
      <c r="AH409" s="152" t="n">
        <v>0.01691965144081545</v>
      </c>
      <c r="AI409" s="152" t="inlineStr">
        <is>
          <t>FLAT</t>
        </is>
      </c>
      <c r="AJ409" s="152" t="inlineStr">
        <is>
          <t>NO</t>
        </is>
      </c>
      <c r="AK409" s="152" t="n">
        <v>0.01592</v>
      </c>
      <c r="AL409" s="152">
        <f>IF($A409="","",IFERROR(INDEX(Company_List!$G$3:$G$207,MATCH($A409,Company_List!$A$3:$A$207,0)),"unassigned"))</f>
        <v/>
      </c>
      <c r="AM409" s="152" t="inlineStr">
        <is>
          <t>Phase 2/Mastercard/2025-Q2/MA-2025-Q2-quarterly-financial-statements-SEC-10-Q.htm</t>
        </is>
      </c>
      <c r="AN409" s="152" t="inlineStr">
        <is>
          <t>https://www.sec.gov/Archives/edgar/data/1141391/ (10-Q, Q2 2025)</t>
        </is>
      </c>
      <c r="AO409" s="152" t="inlineStr">
        <is>
          <t>manifest</t>
        </is>
      </c>
      <c r="AP409" s="152">
        <f>IF($A409="","",IF(COUNTIFS(LLM_Data_Entry!$A$3:$A$548,$A409)&gt;0,"YES","NO"))</f>
        <v/>
      </c>
      <c r="AQ409" s="152">
        <f>IF($A409="","",IF(COUNTIFS($A$3:$A409,$A409,$C$3:$C409,$C409,$D$3:$D409,$D409)=1,"YES","NO"))</f>
        <v/>
      </c>
      <c r="AR409" s="152">
        <f>IF($A409="","",IF(AND($C409&amp;"-"&amp;$D409&gt;=Settings!$B$19,$C409&amp;"-"&amp;$D409&lt;=Settings!$B$20),"IN","OUT"))</f>
        <v/>
      </c>
      <c r="AS409" s="152">
        <f>IF($A409="","",IF($F409="Financial Results","financials",IF($F409="Outlook/Guidance","guidance",IF($F409="Transcript Q&amp;A","qanda",IF($F409="","unrecorded",IF($E409="All","full",IF($E409="","unrecorded",LOWER($E409)&amp;" only")))))))</f>
        <v/>
      </c>
      <c r="AT409" s="152">
        <f>IF(AND(OR($J409="BUY",$J409="SELL"),ISNUMBER($U409)),$U409,"")</f>
        <v/>
      </c>
      <c r="AU409" s="152">
        <f>IF(AND(OR($J409="BUY",$J409="SELL"),ISNUMBER($AK409)),$AK409,"")</f>
        <v/>
      </c>
      <c r="AV409" s="152">
        <f>IF(ISNUMBER($AT409),ABS(IF(ISNUMBER($I409),$I409,0)-Settings!$B$24),"")</f>
        <v/>
      </c>
      <c r="AW409" s="152">
        <f>IF(ISNUMBER($AV409),$AV409*$AT409,"")</f>
        <v/>
      </c>
      <c r="AX409" s="152">
        <f>IF(ISNUMBER($AU409),ABS(IF(ISNUMBER($I409),$I409,0)-Settings!$B$24),"")</f>
        <v/>
      </c>
      <c r="AY409" s="152" t="inlineStr">
        <is>
          <t>EXTENSION</t>
        </is>
      </c>
      <c r="AZ409" s="152">
        <f>IF($A409="","",IFERROR(INDEX(Company_List!$H$3:$H$207,MATCH($A409,Company_List!$A$3:$A$207,0)),"unassigned"))</f>
        <v/>
      </c>
      <c r="BA409" s="152" t="n">
        <v>1</v>
      </c>
      <c r="BB409" s="152" t="n">
        <v>2</v>
      </c>
      <c r="BC409" s="152">
        <f>IF($A409="","",IF(COUNTIFS($A$3:$A409,$A409,$C$3:$C409,$C409,$D$3:$D409,$D409,$G$3:$G409,$G409)=1,1,0))</f>
        <v/>
      </c>
      <c r="BD409" s="152" t="n">
        <v>23</v>
      </c>
      <c r="BE409" s="152" t="n">
        <v>28</v>
      </c>
      <c r="BF409" s="152" t="n">
        <v>0.4</v>
      </c>
      <c r="BG409" s="152" t="inlineStr">
        <is>
          <t>no</t>
        </is>
      </c>
      <c r="BH409" s="152" t="inlineStr">
        <is>
          <t>no</t>
        </is>
      </c>
      <c r="BI409" s="152" t="inlineStr">
        <is>
          <t>Volume growth is never the surprise here; the surprise is al</t>
        </is>
      </c>
      <c r="BJ409" s="152" t="inlineStr">
        <is>
          <t>64 mastercard q22025 financials.pdf</t>
        </is>
      </c>
      <c r="BK409" s="152">
        <f>IF(OR($H409&lt;&gt;"Human",$S409="",$J409="",$Y409="",$Z409=""),"",IF(EXACT(UPPER($J409),UPPER($Y409)),1,0))</f>
        <v/>
      </c>
      <c r="BL409" s="152" t="inlineStr">
        <is>
          <t>attested - rater record</t>
        </is>
      </c>
      <c r="BM409" s="152" t="n">
        <v>1</v>
      </c>
      <c r="BN409" s="152" t="inlineStr">
        <is>
          <t>not publisher-identified</t>
        </is>
      </c>
      <c r="BO409" s="152" t="inlineStr">
        <is>
          <t>not publisher-identified</t>
        </is>
      </c>
      <c r="BP409" s="152" t="inlineStr">
        <is>
          <t>sole source</t>
        </is>
      </c>
      <c r="BQ409" s="152" t="inlineStr">
        <is>
          <t>yes</t>
        </is>
      </c>
      <c r="BR409" s="152" t="n"/>
      <c r="BS409" s="152" t="inlineStr">
        <is>
          <t>YES</t>
        </is>
      </c>
      <c r="BT409" s="152" t="n"/>
    </row>
    <row r="410" ht="15" customHeight="1" s="241">
      <c r="A410" s="193" t="inlineStr">
        <is>
          <t>Mastercard</t>
        </is>
      </c>
      <c r="B410" s="194">
        <f>IF(A410="","",_xlfn.XLOOKUP(A410, Company_List!$A:$A, Company_List!$B:$B, ""))</f>
        <v/>
      </c>
      <c r="C410" s="177" t="n">
        <v>2025</v>
      </c>
      <c r="D410" s="177" t="inlineStr">
        <is>
          <t>Q2</t>
        </is>
      </c>
      <c r="E410" s="178" t="inlineStr">
        <is>
          <t>All</t>
        </is>
      </c>
      <c r="F410" s="178" t="inlineStr">
        <is>
          <t>All</t>
        </is>
      </c>
      <c r="G410" s="177" t="inlineStr">
        <is>
          <t>David</t>
        </is>
      </c>
      <c r="H410" s="177" t="inlineStr">
        <is>
          <t>Human</t>
        </is>
      </c>
      <c r="I410" s="180" t="n">
        <v>0.35</v>
      </c>
      <c r="J410" s="180">
        <f>IF(OR(I410="",Settings!$B$6=""),"",IF(I410&gt;Settings!$B$6,"BUY",IF(I410&lt;-Settings!$B$6,"SELL","HOLD")))</f>
        <v/>
      </c>
      <c r="K410" s="180" t="n">
        <v>28</v>
      </c>
      <c r="L410" s="182" t="n">
        <v>45869</v>
      </c>
      <c r="M410" s="182" t="n">
        <v>45868</v>
      </c>
      <c r="N410" s="179" t="n">
        <v>555.6475</v>
      </c>
      <c r="O410" s="182" t="n">
        <v>45869</v>
      </c>
      <c r="P410" s="180" t="n">
        <v>565.0488</v>
      </c>
      <c r="Q410" s="184">
        <f>IF(OR(N410="",P410=""),"",ROUND((P410-N410)/N410,4))</f>
        <v/>
      </c>
      <c r="R410" s="177">
        <f>IF(OR(N410="",P410=""),"",IF(Q410&gt;Settings!$B$3/100,"UP",IF(Q410&lt;-Settings!$B$3/100,"DOWN","FLAT")))</f>
        <v/>
      </c>
      <c r="S410" s="177">
        <f>IF(OR(N410="",P410="",J410=""),"",IF(OR(AND(J410="BUY",R410="UP"),AND(J410="SELL",R410="DOWN"),AND(J410="HOLD",R410="FLAT")),"YES","NO"))</f>
        <v/>
      </c>
      <c r="T410" s="176">
        <f>IF(J410="","",IF(J410="BUY",1,IF(J410="SELL",-1,0)))</f>
        <v/>
      </c>
      <c r="U410" s="184">
        <f>IFERROR(IF(OR(J410="",N410="",P410=""),"",IF(T410=0,0,T410*Q410-Settings!$B$4/10000-IF(T410&lt;0,Settings!$B$5/10000,0))),"")</f>
        <v/>
      </c>
      <c r="V410" s="152" t="n"/>
      <c r="W410" s="176">
        <f>IF($K410="","",$K410*60)</f>
        <v/>
      </c>
      <c r="X410" s="186">
        <f>IF($A410="","",$A410&amp;"|"&amp;$C410&amp;"|"&amp;$D410)</f>
        <v/>
      </c>
      <c r="Y410" s="186">
        <f>IFERROR(IF($X410="","",INDEX(LLM_Data_Entry!$H$3:$H$548,MATCH($X410,INDEX(LLM_Data_Entry!$A$3:$A$548&amp;"|"&amp;LLM_Data_Entry!$C$3:$C$548&amp;"|"&amp;LLM_Data_Entry!$D$3:$D$548,0),0))),"")</f>
        <v/>
      </c>
      <c r="Z410" s="186">
        <f>IFERROR(IF($X410="","",INDEX(LLM_Data_Entry!$R$3:$R$548,MATCH($X410,INDEX(LLM_Data_Entry!$A$3:$A$548&amp;"|"&amp;LLM_Data_Entry!$C$3:$C$548&amp;"|"&amp;LLM_Data_Entry!$D$3:$D$548,0),0))),"")</f>
        <v/>
      </c>
      <c r="AA410" s="152" t="n"/>
      <c r="AB410" s="152" t="inlineStr">
        <is>
          <t>price signal, re-derived — only this window shows an abnormal move</t>
        </is>
      </c>
      <c r="AC410" s="152" t="inlineStr">
        <is>
          <t>MA</t>
        </is>
      </c>
      <c r="AD410" s="152" t="inlineStr">
        <is>
          <t>2025-07-30</t>
        </is>
      </c>
      <c r="AE410" s="152" t="n">
        <v>555.6475</v>
      </c>
      <c r="AF410" s="152" t="inlineStr">
        <is>
          <t>2025-07-31</t>
        </is>
      </c>
      <c r="AG410" s="152" t="n">
        <v>565.0488</v>
      </c>
      <c r="AH410" s="152" t="n">
        <v>0.01691965144081545</v>
      </c>
      <c r="AI410" s="152" t="inlineStr">
        <is>
          <t>FLAT</t>
        </is>
      </c>
      <c r="AJ410" s="152" t="inlineStr">
        <is>
          <t>NO</t>
        </is>
      </c>
      <c r="AK410" s="152" t="n">
        <v>0.01592</v>
      </c>
      <c r="AL410" s="152">
        <f>IF($A410="","",IFERROR(INDEX(Company_List!$G$3:$G$207,MATCH($A410,Company_List!$A$3:$A$207,0)),"unassigned"))</f>
        <v/>
      </c>
      <c r="AM410" s="152" t="inlineStr">
        <is>
          <t>Phase 2/Mastercard/2025-Q2/MA-2025-Q2-press-release-SEC-EX-99-1.htm; Phase 2/Mastercard/2025-Q2/MA-2025-Q2-quarterly-financial-statements-SEC-10-Q.htm</t>
        </is>
      </c>
      <c r="AN410" s="152" t="inlineStr">
        <is>
          <t>https://www.sec.gov/Archives/edgar/data/1141391/ (10-Q, Q2 2025); https://www.sec.gov/Archives/edgar/data/1141391/000114139125000170/ma06302025-exx991xearnings.htm</t>
        </is>
      </c>
      <c r="AO410" s="152" t="inlineStr">
        <is>
          <t>manifest (whole bundle)</t>
        </is>
      </c>
      <c r="AP410" s="152">
        <f>IF($A410="","",IF(COUNTIFS(LLM_Data_Entry!$A$3:$A$548,$A410)&gt;0,"YES","NO"))</f>
        <v/>
      </c>
      <c r="AQ410" s="152">
        <f>IF($A410="","",IF(COUNTIFS($A$3:$A410,$A410,$C$3:$C410,$C410,$D$3:$D410,$D410)=1,"YES","NO"))</f>
        <v/>
      </c>
      <c r="AR410" s="152">
        <f>IF($A410="","",IF(AND($C410&amp;"-"&amp;$D410&gt;=Settings!$B$19,$C410&amp;"-"&amp;$D410&lt;=Settings!$B$20),"IN","OUT"))</f>
        <v/>
      </c>
      <c r="AS410" s="152">
        <f>IF($A410="","",IF($F410="Financial Results","financials",IF($F410="Outlook/Guidance","guidance",IF($F410="Transcript Q&amp;A","qanda",IF($F410="","unrecorded",IF($E410="All","full",IF($E410="","unrecorded",LOWER($E410)&amp;" only")))))))</f>
        <v/>
      </c>
      <c r="AT410" s="152">
        <f>IF(AND(OR($J410="BUY",$J410="SELL"),ISNUMBER($U410)),$U410,"")</f>
        <v/>
      </c>
      <c r="AU410" s="152">
        <f>IF(AND(OR($J410="BUY",$J410="SELL"),ISNUMBER($AK410)),$AK410,"")</f>
        <v/>
      </c>
      <c r="AV410" s="152">
        <f>IF(ISNUMBER($AT410),ABS(IF(ISNUMBER($I410),$I410,0)-Settings!$B$24),"")</f>
        <v/>
      </c>
      <c r="AW410" s="152">
        <f>IF(ISNUMBER($AV410),$AV410*$AT410,"")</f>
        <v/>
      </c>
      <c r="AX410" s="152">
        <f>IF(ISNUMBER($AU410),ABS(IF(ISNUMBER($I410),$I410,0)-Settings!$B$24),"")</f>
        <v/>
      </c>
      <c r="AY410" s="152" t="inlineStr">
        <is>
          <t>EXTENSION</t>
        </is>
      </c>
      <c r="AZ410" s="152">
        <f>IF($A410="","",IFERROR(INDEX(Company_List!$H$3:$H$207,MATCH($A410,Company_List!$A$3:$A$207,0)),"unassigned"))</f>
        <v/>
      </c>
      <c r="BA410" s="152" t="n">
        <v>2</v>
      </c>
      <c r="BB410" s="152" t="n">
        <v>2</v>
      </c>
      <c r="BC410" s="152">
        <f>IF($A410="","",IF(COUNTIFS($A$3:$A410,$A410,$C$3:$C410,$C410,$D$3:$D410,$D410,$G$3:$G410,$G410)=1,1,0))</f>
        <v/>
      </c>
      <c r="BD410" s="152" t="n">
        <v>23</v>
      </c>
      <c r="BE410" s="152" t="n">
        <v>28</v>
      </c>
      <c r="BF410" s="152" t="n">
        <v>0.4</v>
      </c>
      <c r="BG410" s="152" t="inlineStr">
        <is>
          <t>no</t>
        </is>
      </c>
      <c r="BH410" s="152" t="inlineStr">
        <is>
          <t>no</t>
        </is>
      </c>
      <c r="BI410" s="152" t="inlineStr">
        <is>
          <t>Volume growth is never the surprise here; the surprise is al</t>
        </is>
      </c>
      <c r="BJ410" s="152" t="inlineStr">
        <is>
          <t>64 mastercard q22025 financials.pdf</t>
        </is>
      </c>
      <c r="BK410" s="152">
        <f>IF(OR($H410&lt;&gt;"Human",$S410="",$J410="",$Y410="",$Z410=""),"",IF(EXACT(UPPER($J410),UPPER($Y410)),1,0))</f>
        <v/>
      </c>
      <c r="BL410" s="152" t="inlineStr">
        <is>
          <t>attested - rater record</t>
        </is>
      </c>
      <c r="BM410" s="152" t="n">
        <v>2</v>
      </c>
      <c r="BN410" s="152" t="inlineStr">
        <is>
          <t>not publisher-identified</t>
        </is>
      </c>
      <c r="BO410" s="152" t="inlineStr">
        <is>
          <t>not publisher-identified</t>
        </is>
      </c>
      <c r="BP410" s="152" t="inlineStr">
        <is>
          <t>one of several</t>
        </is>
      </c>
      <c r="BQ410" s="152" t="inlineStr">
        <is>
          <t>yes</t>
        </is>
      </c>
      <c r="BR410" s="152" t="n"/>
      <c r="BS410" s="152" t="inlineStr">
        <is>
          <t>YES</t>
        </is>
      </c>
      <c r="BT410" s="152" t="n"/>
    </row>
    <row r="411" ht="15" customHeight="1" s="241">
      <c r="A411" s="193" t="inlineStr">
        <is>
          <t>Mastercard</t>
        </is>
      </c>
      <c r="B411" s="194">
        <f>IF(A411="","",_xlfn.XLOOKUP(A411, Company_List!$A:$A, Company_List!$B:$B, ""))</f>
        <v/>
      </c>
      <c r="C411" s="177" t="n">
        <v>2025</v>
      </c>
      <c r="D411" s="177" t="inlineStr">
        <is>
          <t>Q3</t>
        </is>
      </c>
      <c r="E411" s="178" t="inlineStr">
        <is>
          <t>Transcript</t>
        </is>
      </c>
      <c r="F411" s="178" t="inlineStr">
        <is>
          <t>Outlook/Guidance</t>
        </is>
      </c>
      <c r="G411" s="177" t="inlineStr">
        <is>
          <t>David</t>
        </is>
      </c>
      <c r="H411" s="177" t="inlineStr">
        <is>
          <t>Human</t>
        </is>
      </c>
      <c r="I411" s="180" t="n">
        <v>0.1</v>
      </c>
      <c r="J411" s="180">
        <f>IF(OR(I411="",Settings!$B$6=""),"",IF(I411&gt;Settings!$B$6,"BUY",IF(I411&lt;-Settings!$B$6,"SELL","HOLD")))</f>
        <v/>
      </c>
      <c r="K411" s="180" t="n">
        <v>21</v>
      </c>
      <c r="L411" s="182" t="n">
        <v>45960</v>
      </c>
      <c r="M411" s="182" t="n">
        <v>45960</v>
      </c>
      <c r="N411" s="179" t="n">
        <v>550.9775</v>
      </c>
      <c r="O411" s="182" t="n">
        <v>45961</v>
      </c>
      <c r="P411" s="180" t="n">
        <v>546.2109</v>
      </c>
      <c r="Q411" s="184">
        <f>IF(OR(N411="",P411=""),"",ROUND((P411-N411)/N411,4))</f>
        <v/>
      </c>
      <c r="R411" s="177">
        <f>IF(OR(N411="",P411=""),"",IF(Q411&gt;Settings!$B$3/100,"UP",IF(Q411&lt;-Settings!$B$3/100,"DOWN","FLAT")))</f>
        <v/>
      </c>
      <c r="S411" s="177">
        <f>IF(OR(N411="",P411="",J411=""),"",IF(OR(AND(J411="BUY",R411="UP"),AND(J411="SELL",R411="DOWN"),AND(J411="HOLD",R411="FLAT")),"YES","NO"))</f>
        <v/>
      </c>
      <c r="T411" s="176">
        <f>IF(J411="","",IF(J411="BUY",1,IF(J411="SELL",-1,0)))</f>
        <v/>
      </c>
      <c r="U411" s="184">
        <f>IFERROR(IF(OR(J411="",N411="",P411=""),"",IF(T411=0,0,T411*Q411-Settings!$B$4/10000-IF(T411&lt;0,Settings!$B$5/10000,0))),"")</f>
        <v/>
      </c>
      <c r="V411" s="152" t="n"/>
      <c r="W411" s="176">
        <f>IF($K411="","",$K411*60)</f>
        <v/>
      </c>
      <c r="X411" s="186">
        <f>IF($A411="","",$A411&amp;"|"&amp;$C411&amp;"|"&amp;$D411)</f>
        <v/>
      </c>
      <c r="Y411" s="186">
        <f>IFERROR(IF($X411="","",INDEX(LLM_Data_Entry!$H$3:$H$548,MATCH($X411,INDEX(LLM_Data_Entry!$A$3:$A$548&amp;"|"&amp;LLM_Data_Entry!$C$3:$C$548&amp;"|"&amp;LLM_Data_Entry!$D$3:$D$548,0),0))),"")</f>
        <v/>
      </c>
      <c r="Z411" s="186">
        <f>IFERROR(IF($X411="","",INDEX(LLM_Data_Entry!$R$3:$R$548,MATCH($X411,INDEX(LLM_Data_Entry!$A$3:$A$548&amp;"|"&amp;LLM_Data_Entry!$C$3:$C$548&amp;"|"&amp;LLM_Data_Entry!$D$3:$D$548,0),0))),"")</f>
        <v/>
      </c>
      <c r="AA411" s="152" t="n"/>
      <c r="AB411" s="152" t="inlineStr">
        <is>
          <t>price signal, re-derived — only this window shows an abnormal move</t>
        </is>
      </c>
      <c r="AC411" s="152" t="inlineStr">
        <is>
          <t>MA</t>
        </is>
      </c>
      <c r="AD411" s="152" t="inlineStr">
        <is>
          <t>2025-10-30</t>
        </is>
      </c>
      <c r="AE411" s="152" t="n">
        <v>550.9775</v>
      </c>
      <c r="AF411" s="152" t="inlineStr">
        <is>
          <t>2025-10-31</t>
        </is>
      </c>
      <c r="AG411" s="152" t="n">
        <v>546.2109</v>
      </c>
      <c r="AH411" s="152" t="n">
        <v>-0.008651072844763198</v>
      </c>
      <c r="AI411" s="152" t="inlineStr">
        <is>
          <t>FLAT</t>
        </is>
      </c>
      <c r="AJ411" s="152" t="inlineStr">
        <is>
          <t>YES</t>
        </is>
      </c>
      <c r="AK411" s="152" t="n">
        <v>0</v>
      </c>
      <c r="AL411" s="152">
        <f>IF($A411="","",IFERROR(INDEX(Company_List!$G$3:$G$207,MATCH($A411,Company_List!$A$3:$A$207,0)),"unassigned"))</f>
        <v/>
      </c>
      <c r="AM411" s="152" t="inlineStr">
        <is>
          <t>Phase 2/Mastercard/2025-Q3/MA-2025-Q3-earnings-call-transcript-fool-com.html</t>
        </is>
      </c>
      <c r="AN411" s="152" t="inlineStr">
        <is>
          <t>https://www.fool.com/earnings/call-transcripts/2025/10/30/mastercard-q3-2025-earnings-call-transcript/</t>
        </is>
      </c>
      <c r="AO411" s="152" t="inlineStr">
        <is>
          <t>manifest</t>
        </is>
      </c>
      <c r="AP411" s="152">
        <f>IF($A411="","",IF(COUNTIFS(LLM_Data_Entry!$A$3:$A$548,$A411)&gt;0,"YES","NO"))</f>
        <v/>
      </c>
      <c r="AQ411" s="152">
        <f>IF($A411="","",IF(COUNTIFS($A$3:$A411,$A411,$C$3:$C411,$C411,$D$3:$D411,$D411)=1,"YES","NO"))</f>
        <v/>
      </c>
      <c r="AR411" s="152">
        <f>IF($A411="","",IF(AND($C411&amp;"-"&amp;$D411&gt;=Settings!$B$19,$C411&amp;"-"&amp;$D411&lt;=Settings!$B$20),"IN","OUT"))</f>
        <v/>
      </c>
      <c r="AS411" s="152">
        <f>IF($A411="","",IF($F411="Financial Results","financials",IF($F411="Outlook/Guidance","guidance",IF($F411="Transcript Q&amp;A","qanda",IF($F411="","unrecorded",IF($E411="All","full",IF($E411="","unrecorded",LOWER($E411)&amp;" only")))))))</f>
        <v/>
      </c>
      <c r="AT411" s="152">
        <f>IF(AND(OR($J411="BUY",$J411="SELL"),ISNUMBER($U411)),$U411,"")</f>
        <v/>
      </c>
      <c r="AU411" s="152">
        <f>IF(AND(OR($J411="BUY",$J411="SELL"),ISNUMBER($AK411)),$AK411,"")</f>
        <v/>
      </c>
      <c r="AV411" s="152">
        <f>IF(ISNUMBER($AT411),ABS(IF(ISNUMBER($I411),$I411,0)-Settings!$B$24),"")</f>
        <v/>
      </c>
      <c r="AW411" s="152">
        <f>IF(ISNUMBER($AV411),$AV411*$AT411,"")</f>
        <v/>
      </c>
      <c r="AX411" s="152">
        <f>IF(ISNUMBER($AU411),ABS(IF(ISNUMBER($I411),$I411,0)-Settings!$B$24),"")</f>
        <v/>
      </c>
      <c r="AY411" s="152" t="inlineStr">
        <is>
          <t>EXTENSION</t>
        </is>
      </c>
      <c r="AZ411" s="152">
        <f>IF($A411="","",IFERROR(INDEX(Company_List!$H$3:$H$207,MATCH($A411,Company_List!$A$3:$A$207,0)),"unassigned"))</f>
        <v/>
      </c>
      <c r="BA411" s="152" t="n">
        <v>1</v>
      </c>
      <c r="BB411" s="152" t="n">
        <v>2</v>
      </c>
      <c r="BC411" s="152">
        <f>IF($A411="","",IF(COUNTIFS($A$3:$A411,$A411,$C$3:$C411,$C411,$D$3:$D411,$D411,$G$3:$G411,$G411)=1,1,0))</f>
        <v/>
      </c>
      <c r="BD411" s="152" t="n">
        <v>21</v>
      </c>
      <c r="BE411" s="152" t="n">
        <v>30</v>
      </c>
      <c r="BF411" s="152" t="n">
        <v>0.1</v>
      </c>
      <c r="BG411" s="152" t="inlineStr">
        <is>
          <t>no</t>
        </is>
      </c>
      <c r="BH411" s="152" t="inlineStr">
        <is>
          <t>no</t>
        </is>
      </c>
      <c r="BI411" s="152" t="inlineStr">
        <is>
          <t>Volume growth is never the surprise here; the surprise is al</t>
        </is>
      </c>
      <c r="BJ411" s="152" t="inlineStr">
        <is>
          <t>65 mastercard q32025 guidance.pdf</t>
        </is>
      </c>
      <c r="BK411" s="152">
        <f>IF(OR($H411&lt;&gt;"Human",$S411="",$J411="",$Y411="",$Z411=""),"",IF(EXACT(UPPER($J411),UPPER($Y411)),1,0))</f>
        <v/>
      </c>
      <c r="BL411" s="152" t="inlineStr">
        <is>
          <t>attested - rater record</t>
        </is>
      </c>
      <c r="BM411" s="152" t="n">
        <v>1</v>
      </c>
      <c r="BN411" s="152" t="inlineStr">
        <is>
          <t>The Motley Fool</t>
        </is>
      </c>
      <c r="BO411" s="152" t="inlineStr">
        <is>
          <t>free to read, copyright asserted</t>
        </is>
      </c>
      <c r="BP411" s="152" t="inlineStr">
        <is>
          <t>no</t>
        </is>
      </c>
      <c r="BQ411" s="152" t="inlineStr">
        <is>
          <t>yes</t>
        </is>
      </c>
      <c r="BR411" s="152" t="n"/>
      <c r="BS411" s="152" t="inlineStr">
        <is>
          <t>YES</t>
        </is>
      </c>
      <c r="BT411" s="152" t="n"/>
    </row>
    <row r="412" ht="15" customHeight="1" s="241">
      <c r="A412" s="193" t="inlineStr">
        <is>
          <t>Mastercard</t>
        </is>
      </c>
      <c r="B412" s="194">
        <f>IF(A412="","",_xlfn.XLOOKUP(A412, Company_List!$A:$A, Company_List!$B:$B, ""))</f>
        <v/>
      </c>
      <c r="C412" s="177" t="n">
        <v>2025</v>
      </c>
      <c r="D412" s="177" t="inlineStr">
        <is>
          <t>Q3</t>
        </is>
      </c>
      <c r="E412" s="178" t="inlineStr">
        <is>
          <t>All</t>
        </is>
      </c>
      <c r="F412" s="178" t="inlineStr">
        <is>
          <t>All</t>
        </is>
      </c>
      <c r="G412" s="177" t="inlineStr">
        <is>
          <t>David</t>
        </is>
      </c>
      <c r="H412" s="177" t="inlineStr">
        <is>
          <t>Human</t>
        </is>
      </c>
      <c r="I412" s="180" t="n">
        <v>0.25</v>
      </c>
      <c r="J412" s="180">
        <f>IF(OR(I412="",Settings!$B$6=""),"",IF(I412&gt;Settings!$B$6,"BUY",IF(I412&lt;-Settings!$B$6,"SELL","HOLD")))</f>
        <v/>
      </c>
      <c r="K412" s="180" t="n">
        <v>30</v>
      </c>
      <c r="L412" s="182" t="n">
        <v>45960</v>
      </c>
      <c r="M412" s="182" t="n">
        <v>45960</v>
      </c>
      <c r="N412" s="179" t="n">
        <v>550.9775</v>
      </c>
      <c r="O412" s="182" t="n">
        <v>45961</v>
      </c>
      <c r="P412" s="180" t="n">
        <v>546.2109</v>
      </c>
      <c r="Q412" s="184">
        <f>IF(OR(N412="",P412=""),"",ROUND((P412-N412)/N412,4))</f>
        <v/>
      </c>
      <c r="R412" s="177">
        <f>IF(OR(N412="",P412=""),"",IF(Q412&gt;Settings!$B$3/100,"UP",IF(Q412&lt;-Settings!$B$3/100,"DOWN","FLAT")))</f>
        <v/>
      </c>
      <c r="S412" s="177">
        <f>IF(OR(N412="",P412="",J412=""),"",IF(OR(AND(J412="BUY",R412="UP"),AND(J412="SELL",R412="DOWN"),AND(J412="HOLD",R412="FLAT")),"YES","NO"))</f>
        <v/>
      </c>
      <c r="T412" s="176">
        <f>IF(J412="","",IF(J412="BUY",1,IF(J412="SELL",-1,0)))</f>
        <v/>
      </c>
      <c r="U412" s="184">
        <f>IFERROR(IF(OR(J412="",N412="",P412=""),"",IF(T412=0,0,T412*Q412-Settings!$B$4/10000-IF(T412&lt;0,Settings!$B$5/10000,0))),"")</f>
        <v/>
      </c>
      <c r="V412" s="152" t="n"/>
      <c r="W412" s="176">
        <f>IF($K412="","",$K412*60)</f>
        <v/>
      </c>
      <c r="X412" s="186">
        <f>IF($A412="","",$A412&amp;"|"&amp;$C412&amp;"|"&amp;$D412)</f>
        <v/>
      </c>
      <c r="Y412" s="186">
        <f>IFERROR(IF($X412="","",INDEX(LLM_Data_Entry!$H$3:$H$548,MATCH($X412,INDEX(LLM_Data_Entry!$A$3:$A$548&amp;"|"&amp;LLM_Data_Entry!$C$3:$C$548&amp;"|"&amp;LLM_Data_Entry!$D$3:$D$548,0),0))),"")</f>
        <v/>
      </c>
      <c r="Z412" s="186">
        <f>IFERROR(IF($X412="","",INDEX(LLM_Data_Entry!$R$3:$R$548,MATCH($X412,INDEX(LLM_Data_Entry!$A$3:$A$548&amp;"|"&amp;LLM_Data_Entry!$C$3:$C$548&amp;"|"&amp;LLM_Data_Entry!$D$3:$D$548,0),0))),"")</f>
        <v/>
      </c>
      <c r="AA412" s="152" t="n"/>
      <c r="AB412" s="152" t="inlineStr">
        <is>
          <t>price signal, re-derived — only this window shows an abnormal move</t>
        </is>
      </c>
      <c r="AC412" s="152" t="inlineStr">
        <is>
          <t>MA</t>
        </is>
      </c>
      <c r="AD412" s="152" t="inlineStr">
        <is>
          <t>2025-10-30</t>
        </is>
      </c>
      <c r="AE412" s="152" t="n">
        <v>550.9775</v>
      </c>
      <c r="AF412" s="152" t="inlineStr">
        <is>
          <t>2025-10-31</t>
        </is>
      </c>
      <c r="AG412" s="152" t="n">
        <v>546.2109</v>
      </c>
      <c r="AH412" s="152" t="n">
        <v>-0.008651072844763198</v>
      </c>
      <c r="AI412" s="152" t="inlineStr">
        <is>
          <t>FLAT</t>
        </is>
      </c>
      <c r="AJ412" s="152" t="inlineStr">
        <is>
          <t>NO</t>
        </is>
      </c>
      <c r="AK412" s="152" t="n">
        <v>-0.009651</v>
      </c>
      <c r="AL412" s="152">
        <f>IF($A412="","",IFERROR(INDEX(Company_List!$G$3:$G$207,MATCH($A412,Company_List!$A$3:$A$207,0)),"unassigned"))</f>
        <v/>
      </c>
      <c r="AM412" s="152" t="inlineStr">
        <is>
          <t>Phase 2/Mastercard/2025-Q3/MA-2025-Q3-press-release-SEC-EX-99-1.htm; Phase 2/Mastercard/2025-Q3/MA-2025-Q3-earnings-call-transcript-fool-com.html</t>
        </is>
      </c>
      <c r="AN412" s="152" t="inlineStr">
        <is>
          <t>https://www.fool.com/earnings/call-transcripts/2025/10/30/mastercard-q3-2025-earnings-call-transcript/; https://www.sec.gov/Archives/edgar/data/1141391/000114139125000191/ma09302025-exx991xearnings.htm</t>
        </is>
      </c>
      <c r="AO412" s="152" t="inlineStr">
        <is>
          <t>manifest (whole bundle)</t>
        </is>
      </c>
      <c r="AP412" s="152">
        <f>IF($A412="","",IF(COUNTIFS(LLM_Data_Entry!$A$3:$A$548,$A412)&gt;0,"YES","NO"))</f>
        <v/>
      </c>
      <c r="AQ412" s="152">
        <f>IF($A412="","",IF(COUNTIFS($A$3:$A412,$A412,$C$3:$C412,$C412,$D$3:$D412,$D412)=1,"YES","NO"))</f>
        <v/>
      </c>
      <c r="AR412" s="152">
        <f>IF($A412="","",IF(AND($C412&amp;"-"&amp;$D412&gt;=Settings!$B$19,$C412&amp;"-"&amp;$D412&lt;=Settings!$B$20),"IN","OUT"))</f>
        <v/>
      </c>
      <c r="AS412" s="152">
        <f>IF($A412="","",IF($F412="Financial Results","financials",IF($F412="Outlook/Guidance","guidance",IF($F412="Transcript Q&amp;A","qanda",IF($F412="","unrecorded",IF($E412="All","full",IF($E412="","unrecorded",LOWER($E412)&amp;" only")))))))</f>
        <v/>
      </c>
      <c r="AT412" s="152">
        <f>IF(AND(OR($J412="BUY",$J412="SELL"),ISNUMBER($U412)),$U412,"")</f>
        <v/>
      </c>
      <c r="AU412" s="152">
        <f>IF(AND(OR($J412="BUY",$J412="SELL"),ISNUMBER($AK412)),$AK412,"")</f>
        <v/>
      </c>
      <c r="AV412" s="152">
        <f>IF(ISNUMBER($AT412),ABS(IF(ISNUMBER($I412),$I412,0)-Settings!$B$24),"")</f>
        <v/>
      </c>
      <c r="AW412" s="152">
        <f>IF(ISNUMBER($AV412),$AV412*$AT412,"")</f>
        <v/>
      </c>
      <c r="AX412" s="152">
        <f>IF(ISNUMBER($AU412),ABS(IF(ISNUMBER($I412),$I412,0)-Settings!$B$24),"")</f>
        <v/>
      </c>
      <c r="AY412" s="152" t="inlineStr">
        <is>
          <t>EXTENSION</t>
        </is>
      </c>
      <c r="AZ412" s="152">
        <f>IF($A412="","",IFERROR(INDEX(Company_List!$H$3:$H$207,MATCH($A412,Company_List!$A$3:$A$207,0)),"unassigned"))</f>
        <v/>
      </c>
      <c r="BA412" s="152" t="n">
        <v>2</v>
      </c>
      <c r="BB412" s="152" t="n">
        <v>2</v>
      </c>
      <c r="BC412" s="152">
        <f>IF($A412="","",IF(COUNTIFS($A$3:$A412,$A412,$C$3:$C412,$C412,$D$3:$D412,$D412,$G$3:$G412,$G412)=1,1,0))</f>
        <v/>
      </c>
      <c r="BD412" s="152" t="n">
        <v>21</v>
      </c>
      <c r="BE412" s="152" t="n">
        <v>30</v>
      </c>
      <c r="BF412" s="152" t="n">
        <v>0.1</v>
      </c>
      <c r="BG412" s="152" t="inlineStr">
        <is>
          <t>no</t>
        </is>
      </c>
      <c r="BH412" s="152" t="inlineStr">
        <is>
          <t>no</t>
        </is>
      </c>
      <c r="BI412" s="152" t="inlineStr">
        <is>
          <t>Volume growth is never the surprise here; the surprise is al</t>
        </is>
      </c>
      <c r="BJ412" s="152" t="inlineStr">
        <is>
          <t>65 mastercard q32025 guidance.pdf</t>
        </is>
      </c>
      <c r="BK412" s="152">
        <f>IF(OR($H412&lt;&gt;"Human",$S412="",$J412="",$Y412="",$Z412=""),"",IF(EXACT(UPPER($J412),UPPER($Y412)),1,0))</f>
        <v/>
      </c>
      <c r="BL412" s="152" t="inlineStr">
        <is>
          <t>attested - rater record</t>
        </is>
      </c>
      <c r="BM412" s="152" t="n">
        <v>2</v>
      </c>
      <c r="BN412" s="152" t="inlineStr">
        <is>
          <t>The Motley Fool</t>
        </is>
      </c>
      <c r="BO412" s="152" t="inlineStr">
        <is>
          <t>free to read, copyright asserted</t>
        </is>
      </c>
      <c r="BP412" s="152" t="inlineStr">
        <is>
          <t>no</t>
        </is>
      </c>
      <c r="BQ412" s="152" t="inlineStr">
        <is>
          <t>yes</t>
        </is>
      </c>
      <c r="BR412" s="152" t="n"/>
      <c r="BS412" s="152" t="inlineStr">
        <is>
          <t>YES</t>
        </is>
      </c>
      <c r="BT412" s="152" t="n"/>
    </row>
    <row r="413" ht="15" customHeight="1" s="241">
      <c r="A413" s="193" t="inlineStr">
        <is>
          <t>Mastercard</t>
        </is>
      </c>
      <c r="B413" s="194">
        <f>IF(A413="","",_xlfn.XLOOKUP(A413, Company_List!$A:$A, Company_List!$B:$B, ""))</f>
        <v/>
      </c>
      <c r="C413" s="177" t="n">
        <v>2025</v>
      </c>
      <c r="D413" s="177" t="inlineStr">
        <is>
          <t>Q4</t>
        </is>
      </c>
      <c r="E413" s="178" t="inlineStr">
        <is>
          <t>Transcript</t>
        </is>
      </c>
      <c r="F413" s="178" t="inlineStr">
        <is>
          <t>Transcript Q&amp;A</t>
        </is>
      </c>
      <c r="G413" s="177" t="inlineStr">
        <is>
          <t>David</t>
        </is>
      </c>
      <c r="H413" s="177" t="inlineStr">
        <is>
          <t>Human</t>
        </is>
      </c>
      <c r="I413" s="180" t="n">
        <v>0.15</v>
      </c>
      <c r="J413" s="180">
        <f>IF(OR(I413="",Settings!$B$6=""),"",IF(I413&gt;Settings!$B$6,"BUY",IF(I413&lt;-Settings!$B$6,"SELL","HOLD")))</f>
        <v/>
      </c>
      <c r="K413" s="180" t="n">
        <v>25</v>
      </c>
      <c r="L413" s="182" t="n">
        <v>46051</v>
      </c>
      <c r="M413" s="182" t="n">
        <v>46050</v>
      </c>
      <c r="N413" s="179" t="n">
        <v>519.6046</v>
      </c>
      <c r="O413" s="182" t="n">
        <v>46051</v>
      </c>
      <c r="P413" s="180" t="n">
        <v>529.9892</v>
      </c>
      <c r="Q413" s="184">
        <f>IF(OR(N413="",P413=""),"",ROUND((P413-N413)/N413,4))</f>
        <v/>
      </c>
      <c r="R413" s="177">
        <f>IF(OR(N413="",P413=""),"",IF(Q413&gt;Settings!$B$3/100,"UP",IF(Q413&lt;-Settings!$B$3/100,"DOWN","FLAT")))</f>
        <v/>
      </c>
      <c r="S413" s="177">
        <f>IF(OR(N413="",P413="",J413=""),"",IF(OR(AND(J413="BUY",R413="UP"),AND(J413="SELL",R413="DOWN"),AND(J413="HOLD",R413="FLAT")),"YES","NO"))</f>
        <v/>
      </c>
      <c r="T413" s="176">
        <f>IF(J413="","",IF(J413="BUY",1,IF(J413="SELL",-1,0)))</f>
        <v/>
      </c>
      <c r="U413" s="184">
        <f>IFERROR(IF(OR(J413="",N413="",P413=""),"",IF(T413=0,0,T413*Q413-Settings!$B$4/10000-IF(T413&lt;0,Settings!$B$5/10000,0))),"")</f>
        <v/>
      </c>
      <c r="V413" s="152" t="n"/>
      <c r="W413" s="176">
        <f>IF($K413="","",$K413*60)</f>
        <v/>
      </c>
      <c r="X413" s="186">
        <f>IF($A413="","",$A413&amp;"|"&amp;$C413&amp;"|"&amp;$D413)</f>
        <v/>
      </c>
      <c r="Y413" s="186">
        <f>IFERROR(IF($X413="","",INDEX(LLM_Data_Entry!$H$3:$H$548,MATCH($X413,INDEX(LLM_Data_Entry!$A$3:$A$548&amp;"|"&amp;LLM_Data_Entry!$C$3:$C$548&amp;"|"&amp;LLM_Data_Entry!$D$3:$D$548,0),0))),"")</f>
        <v/>
      </c>
      <c r="Z413" s="186">
        <f>IFERROR(IF($X413="","",INDEX(LLM_Data_Entry!$R$3:$R$548,MATCH($X413,INDEX(LLM_Data_Entry!$A$3:$A$548&amp;"|"&amp;LLM_Data_Entry!$C$3:$C$548&amp;"|"&amp;LLM_Data_Entry!$D$3:$D$548,0),0))),"")</f>
        <v/>
      </c>
      <c r="AA413" s="152" t="n"/>
      <c r="AB413" s="152" t="inlineStr">
        <is>
          <t>price signal, re-derived — only this window shows an abnormal move</t>
        </is>
      </c>
      <c r="AC413" s="152" t="inlineStr">
        <is>
          <t>MA</t>
        </is>
      </c>
      <c r="AD413" s="152" t="inlineStr">
        <is>
          <t>2026-01-28</t>
        </is>
      </c>
      <c r="AE413" s="152" t="n">
        <v>519.6046</v>
      </c>
      <c r="AF413" s="152" t="inlineStr">
        <is>
          <t>2026-01-29</t>
        </is>
      </c>
      <c r="AG413" s="152" t="n">
        <v>529.9892</v>
      </c>
      <c r="AH413" s="152" t="n">
        <v>0.01998571864012226</v>
      </c>
      <c r="AI413" s="152" t="inlineStr">
        <is>
          <t>FLAT</t>
        </is>
      </c>
      <c r="AJ413" s="152" t="inlineStr">
        <is>
          <t>YES</t>
        </is>
      </c>
      <c r="AK413" s="152" t="n">
        <v>0</v>
      </c>
      <c r="AL413" s="152">
        <f>IF($A413="","",IFERROR(INDEX(Company_List!$G$3:$G$207,MATCH($A413,Company_List!$A$3:$A$207,0)),"unassigned"))</f>
        <v/>
      </c>
      <c r="AM413" s="152" t="inlineStr">
        <is>
          <t>Phase 2/Mastercard/2025-Q4/MA-2025-Q4-earnings-call-transcript-fool-com.html</t>
        </is>
      </c>
      <c r="AN413" s="152" t="inlineStr">
        <is>
          <t>https://www.fool.com/earnings/call-transcripts/2026/01/29/mastercard-ma-q4-2025-earnings-call-transcript/</t>
        </is>
      </c>
      <c r="AO413" s="152" t="inlineStr">
        <is>
          <t>manifest</t>
        </is>
      </c>
      <c r="AP413" s="152">
        <f>IF($A413="","",IF(COUNTIFS(LLM_Data_Entry!$A$3:$A$548,$A413)&gt;0,"YES","NO"))</f>
        <v/>
      </c>
      <c r="AQ413" s="152">
        <f>IF($A413="","",IF(COUNTIFS($A$3:$A413,$A413,$C$3:$C413,$C413,$D$3:$D413,$D413)=1,"YES","NO"))</f>
        <v/>
      </c>
      <c r="AR413" s="152">
        <f>IF($A413="","",IF(AND($C413&amp;"-"&amp;$D413&gt;=Settings!$B$19,$C413&amp;"-"&amp;$D413&lt;=Settings!$B$20),"IN","OUT"))</f>
        <v/>
      </c>
      <c r="AS413" s="152">
        <f>IF($A413="","",IF($F413="Financial Results","financials",IF($F413="Outlook/Guidance","guidance",IF($F413="Transcript Q&amp;A","qanda",IF($F413="","unrecorded",IF($E413="All","full",IF($E413="","unrecorded",LOWER($E413)&amp;" only")))))))</f>
        <v/>
      </c>
      <c r="AT413" s="152">
        <f>IF(AND(OR($J413="BUY",$J413="SELL"),ISNUMBER($U413)),$U413,"")</f>
        <v/>
      </c>
      <c r="AU413" s="152">
        <f>IF(AND(OR($J413="BUY",$J413="SELL"),ISNUMBER($AK413)),$AK413,"")</f>
        <v/>
      </c>
      <c r="AV413" s="152">
        <f>IF(ISNUMBER($AT413),ABS(IF(ISNUMBER($I413),$I413,0)-Settings!$B$24),"")</f>
        <v/>
      </c>
      <c r="AW413" s="152">
        <f>IF(ISNUMBER($AV413),$AV413*$AT413,"")</f>
        <v/>
      </c>
      <c r="AX413" s="152">
        <f>IF(ISNUMBER($AU413),ABS(IF(ISNUMBER($I413),$I413,0)-Settings!$B$24),"")</f>
        <v/>
      </c>
      <c r="AY413" s="152" t="inlineStr">
        <is>
          <t>EXTENSION</t>
        </is>
      </c>
      <c r="AZ413" s="152">
        <f>IF($A413="","",IFERROR(INDEX(Company_List!$H$3:$H$207,MATCH($A413,Company_List!$A$3:$A$207,0)),"unassigned"))</f>
        <v/>
      </c>
      <c r="BA413" s="152" t="n">
        <v>1</v>
      </c>
      <c r="BB413" s="152" t="n">
        <v>2</v>
      </c>
      <c r="BC413" s="152">
        <f>IF($A413="","",IF(COUNTIFS($A$3:$A413,$A413,$C$3:$C413,$C413,$D$3:$D413,$D413,$G$3:$G413,$G413)=1,1,0))</f>
        <v/>
      </c>
      <c r="BD413" s="152" t="n">
        <v>25</v>
      </c>
      <c r="BE413" s="152" t="n">
        <v>27</v>
      </c>
      <c r="BF413" s="152" t="n">
        <v>0.15</v>
      </c>
      <c r="BG413" s="152" t="inlineStr">
        <is>
          <t>no</t>
        </is>
      </c>
      <c r="BH413" s="152" t="inlineStr">
        <is>
          <t>no</t>
        </is>
      </c>
      <c r="BI413" s="152" t="inlineStr">
        <is>
          <t>Volume growth is never the surprise here; the surprise is al</t>
        </is>
      </c>
      <c r="BJ413" s="152" t="inlineStr">
        <is>
          <t>66 mastercard q42025 qanda.pdf</t>
        </is>
      </c>
      <c r="BK413" s="152">
        <f>IF(OR($H413&lt;&gt;"Human",$S413="",$J413="",$Y413="",$Z413=""),"",IF(EXACT(UPPER($J413),UPPER($Y413)),1,0))</f>
        <v/>
      </c>
      <c r="BL413" s="152" t="inlineStr">
        <is>
          <t>attested - rater record</t>
        </is>
      </c>
      <c r="BM413" s="152" t="n">
        <v>1</v>
      </c>
      <c r="BN413" s="152" t="inlineStr">
        <is>
          <t>The Motley Fool</t>
        </is>
      </c>
      <c r="BO413" s="152" t="inlineStr">
        <is>
          <t>free to read, copyright asserted</t>
        </is>
      </c>
      <c r="BP413" s="152" t="inlineStr">
        <is>
          <t>no</t>
        </is>
      </c>
      <c r="BQ413" s="152" t="inlineStr">
        <is>
          <t>yes</t>
        </is>
      </c>
      <c r="BR413" s="152" t="n"/>
      <c r="BS413" s="152" t="inlineStr">
        <is>
          <t>YES</t>
        </is>
      </c>
      <c r="BT413" s="152" t="n"/>
    </row>
    <row r="414" ht="15" customHeight="1" s="241">
      <c r="A414" s="193" t="inlineStr">
        <is>
          <t>Mastercard</t>
        </is>
      </c>
      <c r="B414" s="194">
        <f>IF(A414="","",_xlfn.XLOOKUP(A414, Company_List!$A:$A, Company_List!$B:$B, ""))</f>
        <v/>
      </c>
      <c r="C414" s="177" t="n">
        <v>2025</v>
      </c>
      <c r="D414" s="177" t="inlineStr">
        <is>
          <t>Q4</t>
        </is>
      </c>
      <c r="E414" s="178" t="inlineStr">
        <is>
          <t>All</t>
        </is>
      </c>
      <c r="F414" s="178" t="inlineStr">
        <is>
          <t>All</t>
        </is>
      </c>
      <c r="G414" s="177" t="inlineStr">
        <is>
          <t>David</t>
        </is>
      </c>
      <c r="H414" s="177" t="inlineStr">
        <is>
          <t>Human</t>
        </is>
      </c>
      <c r="I414" s="180" t="n">
        <v>0.2</v>
      </c>
      <c r="J414" s="180">
        <f>IF(OR(I414="",Settings!$B$6=""),"",IF(I414&gt;Settings!$B$6,"BUY",IF(I414&lt;-Settings!$B$6,"SELL","HOLD")))</f>
        <v/>
      </c>
      <c r="K414" s="180" t="n">
        <v>27</v>
      </c>
      <c r="L414" s="182" t="n">
        <v>46051</v>
      </c>
      <c r="M414" s="182" t="n">
        <v>46050</v>
      </c>
      <c r="N414" s="179" t="n">
        <v>519.6046</v>
      </c>
      <c r="O414" s="182" t="n">
        <v>46051</v>
      </c>
      <c r="P414" s="180" t="n">
        <v>529.9892</v>
      </c>
      <c r="Q414" s="184">
        <f>IF(OR(N414="",P414=""),"",ROUND((P414-N414)/N414,4))</f>
        <v/>
      </c>
      <c r="R414" s="177">
        <f>IF(OR(N414="",P414=""),"",IF(Q414&gt;Settings!$B$3/100,"UP",IF(Q414&lt;-Settings!$B$3/100,"DOWN","FLAT")))</f>
        <v/>
      </c>
      <c r="S414" s="177">
        <f>IF(OR(N414="",P414="",J414=""),"",IF(OR(AND(J414="BUY",R414="UP"),AND(J414="SELL",R414="DOWN"),AND(J414="HOLD",R414="FLAT")),"YES","NO"))</f>
        <v/>
      </c>
      <c r="T414" s="176">
        <f>IF(J414="","",IF(J414="BUY",1,IF(J414="SELL",-1,0)))</f>
        <v/>
      </c>
      <c r="U414" s="184">
        <f>IFERROR(IF(OR(J414="",N414="",P414=""),"",IF(T414=0,0,T414*Q414-Settings!$B$4/10000-IF(T414&lt;0,Settings!$B$5/10000,0))),"")</f>
        <v/>
      </c>
      <c r="V414" s="152" t="n"/>
      <c r="W414" s="176">
        <f>IF($K414="","",$K414*60)</f>
        <v/>
      </c>
      <c r="X414" s="186">
        <f>IF($A414="","",$A414&amp;"|"&amp;$C414&amp;"|"&amp;$D414)</f>
        <v/>
      </c>
      <c r="Y414" s="186">
        <f>IFERROR(IF($X414="","",INDEX(LLM_Data_Entry!$H$3:$H$548,MATCH($X414,INDEX(LLM_Data_Entry!$A$3:$A$548&amp;"|"&amp;LLM_Data_Entry!$C$3:$C$548&amp;"|"&amp;LLM_Data_Entry!$D$3:$D$548,0),0))),"")</f>
        <v/>
      </c>
      <c r="Z414" s="186">
        <f>IFERROR(IF($X414="","",INDEX(LLM_Data_Entry!$R$3:$R$548,MATCH($X414,INDEX(LLM_Data_Entry!$A$3:$A$548&amp;"|"&amp;LLM_Data_Entry!$C$3:$C$548&amp;"|"&amp;LLM_Data_Entry!$D$3:$D$548,0),0))),"")</f>
        <v/>
      </c>
      <c r="AA414" s="152" t="n"/>
      <c r="AB414" s="152" t="inlineStr">
        <is>
          <t>price signal, re-derived — only this window shows an abnormal move</t>
        </is>
      </c>
      <c r="AC414" s="152" t="inlineStr">
        <is>
          <t>MA</t>
        </is>
      </c>
      <c r="AD414" s="152" t="inlineStr">
        <is>
          <t>2026-01-28</t>
        </is>
      </c>
      <c r="AE414" s="152" t="n">
        <v>519.6046</v>
      </c>
      <c r="AF414" s="152" t="inlineStr">
        <is>
          <t>2026-01-29</t>
        </is>
      </c>
      <c r="AG414" s="152" t="n">
        <v>529.9892</v>
      </c>
      <c r="AH414" s="152" t="n">
        <v>0.01998571864012226</v>
      </c>
      <c r="AI414" s="152" t="inlineStr">
        <is>
          <t>FLAT</t>
        </is>
      </c>
      <c r="AJ414" s="152" t="inlineStr">
        <is>
          <t>YES</t>
        </is>
      </c>
      <c r="AK414" s="152" t="n">
        <v>0</v>
      </c>
      <c r="AL414" s="152">
        <f>IF($A414="","",IFERROR(INDEX(Company_List!$G$3:$G$207,MATCH($A414,Company_List!$A$3:$A$207,0)),"unassigned"))</f>
        <v/>
      </c>
      <c r="AM414" s="152" t="inlineStr">
        <is>
          <t>Phase 2/Mastercard/2025-Q4/MA-2025-Q4-press-release-SEC-EX-99-1.htm; Phase 2/Mastercard/2025-Q4/MA-2025-Q4-earnings-call-transcript-fool-com.html</t>
        </is>
      </c>
      <c r="AN414" s="152" t="inlineStr">
        <is>
          <t>https://www.fool.com/earnings/call-transcripts/2026/01/29/mastercard-ma-q4-2025-earnings-call-transcript/; https://www.sec.gov/Archives/edgar/data/1141391/000114139126000003/ma12312025-exx991xearnings.htm</t>
        </is>
      </c>
      <c r="AO414" s="152" t="inlineStr">
        <is>
          <t>manifest (whole bundle)</t>
        </is>
      </c>
      <c r="AP414" s="152">
        <f>IF($A414="","",IF(COUNTIFS(LLM_Data_Entry!$A$3:$A$548,$A414)&gt;0,"YES","NO"))</f>
        <v/>
      </c>
      <c r="AQ414" s="152">
        <f>IF($A414="","",IF(COUNTIFS($A$3:$A414,$A414,$C$3:$C414,$C414,$D$3:$D414,$D414)=1,"YES","NO"))</f>
        <v/>
      </c>
      <c r="AR414" s="152">
        <f>IF($A414="","",IF(AND($C414&amp;"-"&amp;$D414&gt;=Settings!$B$19,$C414&amp;"-"&amp;$D414&lt;=Settings!$B$20),"IN","OUT"))</f>
        <v/>
      </c>
      <c r="AS414" s="152">
        <f>IF($A414="","",IF($F414="Financial Results","financials",IF($F414="Outlook/Guidance","guidance",IF($F414="Transcript Q&amp;A","qanda",IF($F414="","unrecorded",IF($E414="All","full",IF($E414="","unrecorded",LOWER($E414)&amp;" only")))))))</f>
        <v/>
      </c>
      <c r="AT414" s="152">
        <f>IF(AND(OR($J414="BUY",$J414="SELL"),ISNUMBER($U414)),$U414,"")</f>
        <v/>
      </c>
      <c r="AU414" s="152">
        <f>IF(AND(OR($J414="BUY",$J414="SELL"),ISNUMBER($AK414)),$AK414,"")</f>
        <v/>
      </c>
      <c r="AV414" s="152">
        <f>IF(ISNUMBER($AT414),ABS(IF(ISNUMBER($I414),$I414,0)-Settings!$B$24),"")</f>
        <v/>
      </c>
      <c r="AW414" s="152">
        <f>IF(ISNUMBER($AV414),$AV414*$AT414,"")</f>
        <v/>
      </c>
      <c r="AX414" s="152">
        <f>IF(ISNUMBER($AU414),ABS(IF(ISNUMBER($I414),$I414,0)-Settings!$B$24),"")</f>
        <v/>
      </c>
      <c r="AY414" s="152" t="inlineStr">
        <is>
          <t>EXTENSION</t>
        </is>
      </c>
      <c r="AZ414" s="152">
        <f>IF($A414="","",IFERROR(INDEX(Company_List!$H$3:$H$207,MATCH($A414,Company_List!$A$3:$A$207,0)),"unassigned"))</f>
        <v/>
      </c>
      <c r="BA414" s="152" t="n">
        <v>2</v>
      </c>
      <c r="BB414" s="152" t="n">
        <v>2</v>
      </c>
      <c r="BC414" s="152">
        <f>IF($A414="","",IF(COUNTIFS($A$3:$A414,$A414,$C$3:$C414,$C414,$D$3:$D414,$D414,$G$3:$G414,$G414)=1,1,0))</f>
        <v/>
      </c>
      <c r="BD414" s="152" t="n">
        <v>25</v>
      </c>
      <c r="BE414" s="152" t="n">
        <v>27</v>
      </c>
      <c r="BF414" s="152" t="n">
        <v>0.15</v>
      </c>
      <c r="BG414" s="152" t="inlineStr">
        <is>
          <t>no</t>
        </is>
      </c>
      <c r="BH414" s="152" t="inlineStr">
        <is>
          <t>no</t>
        </is>
      </c>
      <c r="BI414" s="152" t="inlineStr">
        <is>
          <t>Volume growth is never the surprise here; the surprise is al</t>
        </is>
      </c>
      <c r="BJ414" s="152" t="inlineStr">
        <is>
          <t>66 mastercard q42025 qanda.pdf</t>
        </is>
      </c>
      <c r="BK414" s="152">
        <f>IF(OR($H414&lt;&gt;"Human",$S414="",$J414="",$Y414="",$Z414=""),"",IF(EXACT(UPPER($J414),UPPER($Y414)),1,0))</f>
        <v/>
      </c>
      <c r="BL414" s="152" t="inlineStr">
        <is>
          <t>attested - rater record</t>
        </is>
      </c>
      <c r="BM414" s="152" t="n">
        <v>2</v>
      </c>
      <c r="BN414" s="152" t="inlineStr">
        <is>
          <t>The Motley Fool</t>
        </is>
      </c>
      <c r="BO414" s="152" t="inlineStr">
        <is>
          <t>free to read, copyright asserted</t>
        </is>
      </c>
      <c r="BP414" s="152" t="inlineStr">
        <is>
          <t>no</t>
        </is>
      </c>
      <c r="BQ414" s="152" t="inlineStr">
        <is>
          <t>yes</t>
        </is>
      </c>
      <c r="BR414" s="152" t="n"/>
      <c r="BS414" s="152" t="inlineStr">
        <is>
          <t>YES</t>
        </is>
      </c>
      <c r="BT414" s="152" t="n"/>
    </row>
    <row r="415" ht="15" customHeight="1" s="241">
      <c r="A415" s="193" t="inlineStr">
        <is>
          <t>Mastercard</t>
        </is>
      </c>
      <c r="B415" s="194">
        <f>IF(A415="","",_xlfn.XLOOKUP(A415, Company_List!$A:$A, Company_List!$B:$B, ""))</f>
        <v/>
      </c>
      <c r="C415" s="177" t="n">
        <v>2026</v>
      </c>
      <c r="D415" s="177" t="inlineStr">
        <is>
          <t>Q1</t>
        </is>
      </c>
      <c r="E415" s="178" t="inlineStr">
        <is>
          <t>All</t>
        </is>
      </c>
      <c r="F415" s="178" t="inlineStr">
        <is>
          <t>All</t>
        </is>
      </c>
      <c r="G415" s="177" t="inlineStr">
        <is>
          <t>David</t>
        </is>
      </c>
      <c r="H415" s="177" t="inlineStr">
        <is>
          <t>Human</t>
        </is>
      </c>
      <c r="I415" s="180" t="n">
        <v>0.15</v>
      </c>
      <c r="J415" s="180">
        <f>IF(OR(I415="",Settings!$B$6=""),"",IF(I415&gt;Settings!$B$6,"BUY",IF(I415&lt;-Settings!$B$6,"SELL","HOLD")))</f>
        <v/>
      </c>
      <c r="K415" s="180" t="n">
        <v>34</v>
      </c>
      <c r="L415" s="182" t="n">
        <v>46142</v>
      </c>
      <c r="M415" s="182" t="n">
        <v>46141</v>
      </c>
      <c r="N415" s="179" t="n">
        <v>524.351</v>
      </c>
      <c r="O415" s="182" t="n">
        <v>46142</v>
      </c>
      <c r="P415" s="180" t="n">
        <v>503.6557</v>
      </c>
      <c r="Q415" s="184">
        <f>IF(OR(N415="",P415=""),"",ROUND((P415-N415)/N415,4))</f>
        <v/>
      </c>
      <c r="R415" s="177">
        <f>IF(OR(N415="",P415=""),"",IF(Q415&gt;Settings!$B$3/100,"UP",IF(Q415&lt;-Settings!$B$3/100,"DOWN","FLAT")))</f>
        <v/>
      </c>
      <c r="S415" s="177">
        <f>IF(OR(N415="",P415="",J415=""),"",IF(OR(AND(J415="BUY",R415="UP"),AND(J415="SELL",R415="DOWN"),AND(J415="HOLD",R415="FLAT")),"YES","NO"))</f>
        <v/>
      </c>
      <c r="T415" s="176">
        <f>IF(J415="","",IF(J415="BUY",1,IF(J415="SELL",-1,0)))</f>
        <v/>
      </c>
      <c r="U415" s="184">
        <f>IFERROR(IF(OR(J415="",N415="",P415=""),"",IF(T415=0,0,T415*Q415-Settings!$B$4/10000-IF(T415&lt;0,Settings!$B$5/10000,0))),"")</f>
        <v/>
      </c>
      <c r="V415" s="152" t="n"/>
      <c r="W415" s="176">
        <f>IF($K415="","",$K415*60)</f>
        <v/>
      </c>
      <c r="X415" s="186">
        <f>IF($A415="","",$A415&amp;"|"&amp;$C415&amp;"|"&amp;$D415)</f>
        <v/>
      </c>
      <c r="Y415" s="186">
        <f>IFERROR(IF($X415="","",INDEX(LLM_Data_Entry!$H$3:$H$548,MATCH($X415,INDEX(LLM_Data_Entry!$A$3:$A$548&amp;"|"&amp;LLM_Data_Entry!$C$3:$C$548&amp;"|"&amp;LLM_Data_Entry!$D$3:$D$548,0),0))),"")</f>
        <v/>
      </c>
      <c r="Z415" s="186">
        <f>IFERROR(IF($X415="","",INDEX(LLM_Data_Entry!$R$3:$R$548,MATCH($X415,INDEX(LLM_Data_Entry!$A$3:$A$548&amp;"|"&amp;LLM_Data_Entry!$C$3:$C$548&amp;"|"&amp;LLM_Data_Entry!$D$3:$D$548,0),0))),"")</f>
        <v/>
      </c>
      <c r="AA415" s="152" t="n"/>
      <c r="AB415" s="152" t="inlineStr">
        <is>
          <t>price signal, re-derived — only this window shows an abnormal move</t>
        </is>
      </c>
      <c r="AC415" s="152" t="inlineStr">
        <is>
          <t>MA</t>
        </is>
      </c>
      <c r="AD415" s="152" t="inlineStr">
        <is>
          <t>2026-04-29</t>
        </is>
      </c>
      <c r="AE415" s="152" t="n">
        <v>524.351</v>
      </c>
      <c r="AF415" s="152" t="inlineStr">
        <is>
          <t>2026-04-30</t>
        </is>
      </c>
      <c r="AG415" s="152" t="n">
        <v>503.6557</v>
      </c>
      <c r="AH415" s="152" t="n">
        <v>-0.03946841069869604</v>
      </c>
      <c r="AI415" s="152" t="inlineStr">
        <is>
          <t>DOWN</t>
        </is>
      </c>
      <c r="AJ415" s="152" t="inlineStr">
        <is>
          <t>NO</t>
        </is>
      </c>
      <c r="AK415" s="152" t="n">
        <v>0</v>
      </c>
      <c r="AL415" s="152">
        <f>IF($A415="","",IFERROR(INDEX(Company_List!$G$3:$G$207,MATCH($A415,Company_List!$A$3:$A$207,0)),"unassigned"))</f>
        <v/>
      </c>
      <c r="AM415" s="152" t="inlineStr">
        <is>
          <t>Phase 2/Mastercard/2026-Q1/MA-2026-Q1-press-release-SEC-EX-99-1.htm</t>
        </is>
      </c>
      <c r="AN415" s="152" t="inlineStr">
        <is>
          <t>https://www.sec.gov/Archives/edgar/data/1141391/000114139126000029/ma03312026-exx991xearnings.htm</t>
        </is>
      </c>
      <c r="AO415" s="152" t="inlineStr">
        <is>
          <t>manifest</t>
        </is>
      </c>
      <c r="AP415" s="152">
        <f>IF($A415="","",IF(COUNTIFS(LLM_Data_Entry!$A$3:$A$548,$A415)&gt;0,"YES","NO"))</f>
        <v/>
      </c>
      <c r="AQ415" s="152">
        <f>IF($A415="","",IF(COUNTIFS($A$3:$A415,$A415,$C$3:$C415,$C415,$D$3:$D415,$D415)=1,"YES","NO"))</f>
        <v/>
      </c>
      <c r="AR415" s="152">
        <f>IF($A415="","",IF(AND($C415&amp;"-"&amp;$D415&gt;=Settings!$B$19,$C415&amp;"-"&amp;$D415&lt;=Settings!$B$20),"IN","OUT"))</f>
        <v/>
      </c>
      <c r="AS415" s="152">
        <f>IF($A415="","",IF($F415="Financial Results","financials",IF($F415="Outlook/Guidance","guidance",IF($F415="Transcript Q&amp;A","qanda",IF($F415="","unrecorded",IF($E415="All","full",IF($E415="","unrecorded",LOWER($E415)&amp;" only")))))))</f>
        <v/>
      </c>
      <c r="AT415" s="152">
        <f>IF(AND(OR($J415="BUY",$J415="SELL"),ISNUMBER($U415)),$U415,"")</f>
        <v/>
      </c>
      <c r="AU415" s="152">
        <f>IF(AND(OR($J415="BUY",$J415="SELL"),ISNUMBER($AK415)),$AK415,"")</f>
        <v/>
      </c>
      <c r="AV415" s="152">
        <f>IF(ISNUMBER($AT415),ABS(IF(ISNUMBER($I415),$I415,0)-Settings!$B$24),"")</f>
        <v/>
      </c>
      <c r="AW415" s="152">
        <f>IF(ISNUMBER($AV415),$AV415*$AT415,"")</f>
        <v/>
      </c>
      <c r="AX415" s="152">
        <f>IF(ISNUMBER($AU415),ABS(IF(ISNUMBER($I415),$I415,0)-Settings!$B$24),"")</f>
        <v/>
      </c>
      <c r="AY415" s="152" t="inlineStr">
        <is>
          <t>EXTENSION</t>
        </is>
      </c>
      <c r="AZ415" s="152">
        <f>IF($A415="","",IFERROR(INDEX(Company_List!$H$3:$H$207,MATCH($A415,Company_List!$A$3:$A$207,0)),"unassigned"))</f>
        <v/>
      </c>
      <c r="BA415" s="152" t="n">
        <v>1</v>
      </c>
      <c r="BB415" s="152" t="n">
        <v>1</v>
      </c>
      <c r="BC415" s="152">
        <f>IF($A415="","",IF(COUNTIFS($A$3:$A415,$A415,$C$3:$C415,$C415,$D$3:$D415,$D415,$G$3:$G415,$G415)=1,1,0))</f>
        <v/>
      </c>
      <c r="BD415" s="152" t="n">
        <v>34</v>
      </c>
      <c r="BE415" s="152" t="n"/>
      <c r="BF415" s="152" t="n"/>
      <c r="BG415" s="152" t="inlineStr">
        <is>
          <t>no</t>
        </is>
      </c>
      <c r="BH415" s="152" t="inlineStr">
        <is>
          <t>no</t>
        </is>
      </c>
      <c r="BI415" s="152" t="inlineStr">
        <is>
          <t>Volume growth is never the surprise here; the surprise is al</t>
        </is>
      </c>
      <c r="BJ415" s="152" t="inlineStr">
        <is>
          <t>67 mastercard q12026 full.pdf</t>
        </is>
      </c>
      <c r="BK415" s="152">
        <f>IF(OR($H415&lt;&gt;"Human",$S415="",$J415="",$Y415="",$Z415=""),"",IF(EXACT(UPPER($J415),UPPER($Y415)),1,0))</f>
        <v/>
      </c>
      <c r="BL415" s="152" t="inlineStr">
        <is>
          <t>attested - rater record</t>
        </is>
      </c>
      <c r="BM415" s="152" t="n">
        <v>1</v>
      </c>
      <c r="BN415" s="152" t="inlineStr">
        <is>
          <t>not publisher-identified</t>
        </is>
      </c>
      <c r="BO415" s="152" t="inlineStr">
        <is>
          <t>not publisher-identified</t>
        </is>
      </c>
      <c r="BP415" s="152" t="inlineStr">
        <is>
          <t>no</t>
        </is>
      </c>
      <c r="BQ415" s="152" t="inlineStr">
        <is>
          <t>yes</t>
        </is>
      </c>
      <c r="BR415" s="152" t="n"/>
      <c r="BS415" s="152" t="inlineStr">
        <is>
          <t>YES</t>
        </is>
      </c>
      <c r="BT415" s="152" t="n"/>
    </row>
    <row r="416" ht="15" customHeight="1" s="241">
      <c r="A416" s="193" t="inlineStr">
        <is>
          <t>Shell</t>
        </is>
      </c>
      <c r="B416" s="194">
        <f>IF(A416="","",_xlfn.XLOOKUP(A416, Company_List!$A:$A, Company_List!$B:$B, ""))</f>
        <v/>
      </c>
      <c r="C416" s="177" t="n">
        <v>2025</v>
      </c>
      <c r="D416" s="177" t="inlineStr">
        <is>
          <t>Q2</t>
        </is>
      </c>
      <c r="E416" s="178" t="inlineStr">
        <is>
          <t>Financial Statement</t>
        </is>
      </c>
      <c r="F416" s="178" t="inlineStr">
        <is>
          <t>Financial Results</t>
        </is>
      </c>
      <c r="G416" s="177" t="inlineStr">
        <is>
          <t>David</t>
        </is>
      </c>
      <c r="H416" s="177" t="inlineStr">
        <is>
          <t>Human</t>
        </is>
      </c>
      <c r="I416" s="180" t="n">
        <v>0.3</v>
      </c>
      <c r="J416" s="180">
        <f>IF(OR(I416="",Settings!$B$6=""),"",IF(I416&gt;Settings!$B$6,"BUY",IF(I416&lt;-Settings!$B$6,"SELL","HOLD")))</f>
        <v/>
      </c>
      <c r="K416" s="180" t="n">
        <v>24</v>
      </c>
      <c r="L416" s="182" t="n">
        <v>45869</v>
      </c>
      <c r="M416" s="182" t="n">
        <v>45868</v>
      </c>
      <c r="N416" s="179" t="n">
        <v>2677.9905</v>
      </c>
      <c r="O416" s="182" t="n">
        <v>45869</v>
      </c>
      <c r="P416" s="180" t="n">
        <v>2719.4749</v>
      </c>
      <c r="Q416" s="184">
        <f>IF(OR(N416="",P416=""),"",ROUND((P416-N416)/N416,4))</f>
        <v/>
      </c>
      <c r="R416" s="177">
        <f>IF(OR(N416="",P416=""),"",IF(Q416&gt;Settings!$B$3/100,"UP",IF(Q416&lt;-Settings!$B$3/100,"DOWN","FLAT")))</f>
        <v/>
      </c>
      <c r="S416" s="177">
        <f>IF(OR(N416="",P416="",J416=""),"",IF(OR(AND(J416="BUY",R416="UP"),AND(J416="SELL",R416="DOWN"),AND(J416="HOLD",R416="FLAT")),"YES","NO"))</f>
        <v/>
      </c>
      <c r="T416" s="176">
        <f>IF(J416="","",IF(J416="BUY",1,IF(J416="SELL",-1,0)))</f>
        <v/>
      </c>
      <c r="U416" s="184">
        <f>IFERROR(IF(OR(J416="",N416="",P416=""),"",IF(T416=0,0,T416*Q416-Settings!$B$4/10000-IF(T416&lt;0,Settings!$B$5/10000,0))),"")</f>
        <v/>
      </c>
      <c r="V416" s="152" t="n"/>
      <c r="W416" s="176">
        <f>IF($K416="","",$K416*60)</f>
        <v/>
      </c>
      <c r="X416" s="186">
        <f>IF($A416="","",$A416&amp;"|"&amp;$C416&amp;"|"&amp;$D416)</f>
        <v/>
      </c>
      <c r="Y416" s="186">
        <f>IFERROR(IF($X416="","",INDEX(LLM_Data_Entry!$H$3:$H$548,MATCH($X416,INDEX(LLM_Data_Entry!$A$3:$A$548&amp;"|"&amp;LLM_Data_Entry!$C$3:$C$548&amp;"|"&amp;LLM_Data_Entry!$D$3:$D$548,0),0))),"")</f>
        <v/>
      </c>
      <c r="Z416" s="186">
        <f>IFERROR(IF($X416="","",INDEX(LLM_Data_Entry!$R$3:$R$548,MATCH($X416,INDEX(LLM_Data_Entry!$A$3:$A$548&amp;"|"&amp;LLM_Data_Entry!$C$3:$C$548&amp;"|"&amp;LLM_Data_Entry!$D$3:$D$548,0),0))),"")</f>
        <v/>
      </c>
      <c r="AA416" s="152" t="n"/>
      <c r="AB416" s="152" t="inlineStr">
        <is>
          <t>release time published by the issuer (section C)</t>
        </is>
      </c>
      <c r="AC416" s="152" t="inlineStr">
        <is>
          <t>SHEL.L</t>
        </is>
      </c>
      <c r="AD416" s="152" t="inlineStr">
        <is>
          <t>2025-07-30</t>
        </is>
      </c>
      <c r="AE416" s="152" t="n">
        <v>2677.9905</v>
      </c>
      <c r="AF416" s="152" t="inlineStr">
        <is>
          <t>2025-07-31</t>
        </is>
      </c>
      <c r="AG416" s="152" t="n">
        <v>2719.4749</v>
      </c>
      <c r="AH416" s="152" t="n">
        <v>0.01549089057567488</v>
      </c>
      <c r="AI416" s="152" t="inlineStr">
        <is>
          <t>FLAT</t>
        </is>
      </c>
      <c r="AJ416" s="152" t="inlineStr">
        <is>
          <t>NO</t>
        </is>
      </c>
      <c r="AK416" s="152" t="n">
        <v>0.014491</v>
      </c>
      <c r="AL416" s="152">
        <f>IF($A416="","",IFERROR(INDEX(Company_List!$G$3:$G$207,MATCH($A416,Company_List!$A$3:$A$207,0)),"unassigned"))</f>
        <v/>
      </c>
      <c r="AM416" s="152" t="inlineStr">
        <is>
          <t>Phase 2/SHELL/2025-Q2/SHEL-2025-Q2-quarterly-financial-statements-shell-com.pdf</t>
        </is>
      </c>
      <c r="AN416" s="152" t="inlineStr">
        <is>
          <t>https://www.shell.com/ (Q2 2025 quarterly results announcement)</t>
        </is>
      </c>
      <c r="AO416" s="152" t="inlineStr">
        <is>
          <t>manifest</t>
        </is>
      </c>
      <c r="AP416" s="152">
        <f>IF($A416="","",IF(COUNTIFS(LLM_Data_Entry!$A$3:$A$548,$A416)&gt;0,"YES","NO"))</f>
        <v/>
      </c>
      <c r="AQ416" s="152">
        <f>IF($A416="","",IF(COUNTIFS($A$3:$A416,$A416,$C$3:$C416,$C416,$D$3:$D416,$D416)=1,"YES","NO"))</f>
        <v/>
      </c>
      <c r="AR416" s="152">
        <f>IF($A416="","",IF(AND($C416&amp;"-"&amp;$D416&gt;=Settings!$B$19,$C416&amp;"-"&amp;$D416&lt;=Settings!$B$20),"IN","OUT"))</f>
        <v/>
      </c>
      <c r="AS416" s="152">
        <f>IF($A416="","",IF($F416="Financial Results","financials",IF($F416="Outlook/Guidance","guidance",IF($F416="Transcript Q&amp;A","qanda",IF($F416="","unrecorded",IF($E416="All","full",IF($E416="","unrecorded",LOWER($E416)&amp;" only")))))))</f>
        <v/>
      </c>
      <c r="AT416" s="152">
        <f>IF(AND(OR($J416="BUY",$J416="SELL"),ISNUMBER($U416)),$U416,"")</f>
        <v/>
      </c>
      <c r="AU416" s="152">
        <f>IF(AND(OR($J416="BUY",$J416="SELL"),ISNUMBER($AK416)),$AK416,"")</f>
        <v/>
      </c>
      <c r="AV416" s="152">
        <f>IF(ISNUMBER($AT416),ABS(IF(ISNUMBER($I416),$I416,0)-Settings!$B$24),"")</f>
        <v/>
      </c>
      <c r="AW416" s="152">
        <f>IF(ISNUMBER($AV416),$AV416*$AT416,"")</f>
        <v/>
      </c>
      <c r="AX416" s="152">
        <f>IF(ISNUMBER($AU416),ABS(IF(ISNUMBER($I416),$I416,0)-Settings!$B$24),"")</f>
        <v/>
      </c>
      <c r="AY416" s="152" t="inlineStr">
        <is>
          <t>EXTENSION</t>
        </is>
      </c>
      <c r="AZ416" s="152">
        <f>IF($A416="","",IFERROR(INDEX(Company_List!$H$3:$H$207,MATCH($A416,Company_List!$A$3:$A$207,0)),"unassigned"))</f>
        <v/>
      </c>
      <c r="BA416" s="152" t="n">
        <v>1</v>
      </c>
      <c r="BB416" s="152" t="n">
        <v>2</v>
      </c>
      <c r="BC416" s="152">
        <f>IF($A416="","",IF(COUNTIFS($A$3:$A416,$A416,$C$3:$C416,$C416,$D$3:$D416,$D416,$G$3:$G416,$G416)=1,1,0))</f>
        <v/>
      </c>
      <c r="BD416" s="152" t="n">
        <v>24</v>
      </c>
      <c r="BE416" s="152" t="n">
        <v>28</v>
      </c>
      <c r="BF416" s="152" t="n">
        <v>0.3</v>
      </c>
      <c r="BG416" s="152" t="inlineStr">
        <is>
          <t>no</t>
        </is>
      </c>
      <c r="BH416" s="152" t="inlineStr">
        <is>
          <t>no</t>
        </is>
      </c>
      <c r="BI416" s="152" t="inlineStr">
        <is>
          <t>Trading and the buyback pace move this more than the upstrea</t>
        </is>
      </c>
      <c r="BJ416" s="152" t="inlineStr">
        <is>
          <t>68 shell q22025 financials.pdf</t>
        </is>
      </c>
      <c r="BK416" s="152">
        <f>IF(OR($H416&lt;&gt;"Human",$S416="",$J416="",$Y416="",$Z416=""),"",IF(EXACT(UPPER($J416),UPPER($Y416)),1,0))</f>
        <v/>
      </c>
      <c r="BL416" s="152" t="inlineStr">
        <is>
          <t>attested - rater record</t>
        </is>
      </c>
      <c r="BM416" s="152" t="n">
        <v>1</v>
      </c>
      <c r="BN416" s="152" t="inlineStr">
        <is>
          <t>not publisher-identified</t>
        </is>
      </c>
      <c r="BO416" s="152" t="inlineStr">
        <is>
          <t>not publisher-identified</t>
        </is>
      </c>
      <c r="BP416" s="152" t="inlineStr">
        <is>
          <t>no</t>
        </is>
      </c>
      <c r="BQ416" s="152" t="inlineStr">
        <is>
          <t>yes</t>
        </is>
      </c>
      <c r="BR416" s="152" t="n"/>
      <c r="BS416" s="152" t="inlineStr">
        <is>
          <t>YES</t>
        </is>
      </c>
      <c r="BT416" s="152" t="n"/>
    </row>
    <row r="417" ht="15" customHeight="1" s="241">
      <c r="A417" s="193" t="inlineStr">
        <is>
          <t>Shell</t>
        </is>
      </c>
      <c r="B417" s="194">
        <f>IF(A417="","",_xlfn.XLOOKUP(A417, Company_List!$A:$A, Company_List!$B:$B, ""))</f>
        <v/>
      </c>
      <c r="C417" s="177" t="n">
        <v>2025</v>
      </c>
      <c r="D417" s="177" t="inlineStr">
        <is>
          <t>Q2</t>
        </is>
      </c>
      <c r="E417" s="178" t="inlineStr">
        <is>
          <t>All</t>
        </is>
      </c>
      <c r="F417" s="178" t="inlineStr">
        <is>
          <t>All</t>
        </is>
      </c>
      <c r="G417" s="177" t="inlineStr">
        <is>
          <t>David</t>
        </is>
      </c>
      <c r="H417" s="177" t="inlineStr">
        <is>
          <t>Human</t>
        </is>
      </c>
      <c r="I417" s="180" t="n">
        <v>0.15</v>
      </c>
      <c r="J417" s="180">
        <f>IF(OR(I417="",Settings!$B$6=""),"",IF(I417&gt;Settings!$B$6,"BUY",IF(I417&lt;-Settings!$B$6,"SELL","HOLD")))</f>
        <v/>
      </c>
      <c r="K417" s="180" t="n">
        <v>28</v>
      </c>
      <c r="L417" s="182" t="n">
        <v>45869</v>
      </c>
      <c r="M417" s="182" t="n">
        <v>45868</v>
      </c>
      <c r="N417" s="179" t="n">
        <v>2677.9905</v>
      </c>
      <c r="O417" s="182" t="n">
        <v>45869</v>
      </c>
      <c r="P417" s="180" t="n">
        <v>2719.4749</v>
      </c>
      <c r="Q417" s="184">
        <f>IF(OR(N417="",P417=""),"",ROUND((P417-N417)/N417,4))</f>
        <v/>
      </c>
      <c r="R417" s="177">
        <f>IF(OR(N417="",P417=""),"",IF(Q417&gt;Settings!$B$3/100,"UP",IF(Q417&lt;-Settings!$B$3/100,"DOWN","FLAT")))</f>
        <v/>
      </c>
      <c r="S417" s="177">
        <f>IF(OR(N417="",P417="",J417=""),"",IF(OR(AND(J417="BUY",R417="UP"),AND(J417="SELL",R417="DOWN"),AND(J417="HOLD",R417="FLAT")),"YES","NO"))</f>
        <v/>
      </c>
      <c r="T417" s="176">
        <f>IF(J417="","",IF(J417="BUY",1,IF(J417="SELL",-1,0)))</f>
        <v/>
      </c>
      <c r="U417" s="184">
        <f>IFERROR(IF(OR(J417="",N417="",P417=""),"",IF(T417=0,0,T417*Q417-Settings!$B$4/10000-IF(T417&lt;0,Settings!$B$5/10000,0))),"")</f>
        <v/>
      </c>
      <c r="V417" s="152" t="n"/>
      <c r="W417" s="176">
        <f>IF($K417="","",$K417*60)</f>
        <v/>
      </c>
      <c r="X417" s="186">
        <f>IF($A417="","",$A417&amp;"|"&amp;$C417&amp;"|"&amp;$D417)</f>
        <v/>
      </c>
      <c r="Y417" s="186">
        <f>IFERROR(IF($X417="","",INDEX(LLM_Data_Entry!$H$3:$H$548,MATCH($X417,INDEX(LLM_Data_Entry!$A$3:$A$548&amp;"|"&amp;LLM_Data_Entry!$C$3:$C$548&amp;"|"&amp;LLM_Data_Entry!$D$3:$D$548,0),0))),"")</f>
        <v/>
      </c>
      <c r="Z417" s="186">
        <f>IFERROR(IF($X417="","",INDEX(LLM_Data_Entry!$R$3:$R$548,MATCH($X417,INDEX(LLM_Data_Entry!$A$3:$A$548&amp;"|"&amp;LLM_Data_Entry!$C$3:$C$548&amp;"|"&amp;LLM_Data_Entry!$D$3:$D$548,0),0))),"")</f>
        <v/>
      </c>
      <c r="AA417" s="152" t="n"/>
      <c r="AB417" s="152" t="inlineStr">
        <is>
          <t>release time published by the issuer (section C)</t>
        </is>
      </c>
      <c r="AC417" s="152" t="inlineStr">
        <is>
          <t>SHEL.L</t>
        </is>
      </c>
      <c r="AD417" s="152" t="inlineStr">
        <is>
          <t>2025-07-30</t>
        </is>
      </c>
      <c r="AE417" s="152" t="n">
        <v>2677.9905</v>
      </c>
      <c r="AF417" s="152" t="inlineStr">
        <is>
          <t>2025-07-31</t>
        </is>
      </c>
      <c r="AG417" s="152" t="n">
        <v>2719.4749</v>
      </c>
      <c r="AH417" s="152" t="n">
        <v>0.01549089057567488</v>
      </c>
      <c r="AI417" s="152" t="inlineStr">
        <is>
          <t>FLAT</t>
        </is>
      </c>
      <c r="AJ417" s="152" t="inlineStr">
        <is>
          <t>YES</t>
        </is>
      </c>
      <c r="AK417" s="152" t="n">
        <v>0</v>
      </c>
      <c r="AL417" s="152">
        <f>IF($A417="","",IFERROR(INDEX(Company_List!$G$3:$G$207,MATCH($A417,Company_List!$A$3:$A$207,0)),"unassigned"))</f>
        <v/>
      </c>
      <c r="AM417" s="152" t="inlineStr">
        <is>
          <t>Phase 2/SHELL/2025-Q2/SHEL-2025-Q2-press-release-SEC-EX-99-1.htm; Phase 2/SHELL/2025-Q2/SHEL-2025-Q2-quarterly-financial-statements-shell-com.pdf</t>
        </is>
      </c>
      <c r="AN417" s="152" t="inlineStr">
        <is>
          <t>https://www.sec.gov/Archives/edgar/data/1306965/000130696525000031/q22025exhibit991.htm; https://www.shell.com/ (Q2 2025 quarterly results announcement)</t>
        </is>
      </c>
      <c r="AO417" s="152" t="inlineStr">
        <is>
          <t>manifest (whole bundle)</t>
        </is>
      </c>
      <c r="AP417" s="152">
        <f>IF($A417="","",IF(COUNTIFS(LLM_Data_Entry!$A$3:$A$548,$A417)&gt;0,"YES","NO"))</f>
        <v/>
      </c>
      <c r="AQ417" s="152">
        <f>IF($A417="","",IF(COUNTIFS($A$3:$A417,$A417,$C$3:$C417,$C417,$D$3:$D417,$D417)=1,"YES","NO"))</f>
        <v/>
      </c>
      <c r="AR417" s="152">
        <f>IF($A417="","",IF(AND($C417&amp;"-"&amp;$D417&gt;=Settings!$B$19,$C417&amp;"-"&amp;$D417&lt;=Settings!$B$20),"IN","OUT"))</f>
        <v/>
      </c>
      <c r="AS417" s="152">
        <f>IF($A417="","",IF($F417="Financial Results","financials",IF($F417="Outlook/Guidance","guidance",IF($F417="Transcript Q&amp;A","qanda",IF($F417="","unrecorded",IF($E417="All","full",IF($E417="","unrecorded",LOWER($E417)&amp;" only")))))))</f>
        <v/>
      </c>
      <c r="AT417" s="152">
        <f>IF(AND(OR($J417="BUY",$J417="SELL"),ISNUMBER($U417)),$U417,"")</f>
        <v/>
      </c>
      <c r="AU417" s="152">
        <f>IF(AND(OR($J417="BUY",$J417="SELL"),ISNUMBER($AK417)),$AK417,"")</f>
        <v/>
      </c>
      <c r="AV417" s="152">
        <f>IF(ISNUMBER($AT417),ABS(IF(ISNUMBER($I417),$I417,0)-Settings!$B$24),"")</f>
        <v/>
      </c>
      <c r="AW417" s="152">
        <f>IF(ISNUMBER($AV417),$AV417*$AT417,"")</f>
        <v/>
      </c>
      <c r="AX417" s="152">
        <f>IF(ISNUMBER($AU417),ABS(IF(ISNUMBER($I417),$I417,0)-Settings!$B$24),"")</f>
        <v/>
      </c>
      <c r="AY417" s="152" t="inlineStr">
        <is>
          <t>EXTENSION</t>
        </is>
      </c>
      <c r="AZ417" s="152">
        <f>IF($A417="","",IFERROR(INDEX(Company_List!$H$3:$H$207,MATCH($A417,Company_List!$A$3:$A$207,0)),"unassigned"))</f>
        <v/>
      </c>
      <c r="BA417" s="152" t="n">
        <v>2</v>
      </c>
      <c r="BB417" s="152" t="n">
        <v>2</v>
      </c>
      <c r="BC417" s="152">
        <f>IF($A417="","",IF(COUNTIFS($A$3:$A417,$A417,$C$3:$C417,$C417,$D$3:$D417,$D417,$G$3:$G417,$G417)=1,1,0))</f>
        <v/>
      </c>
      <c r="BD417" s="152" t="n">
        <v>24</v>
      </c>
      <c r="BE417" s="152" t="n">
        <v>28</v>
      </c>
      <c r="BF417" s="152" t="n">
        <v>0.3</v>
      </c>
      <c r="BG417" s="152" t="inlineStr">
        <is>
          <t>no</t>
        </is>
      </c>
      <c r="BH417" s="152" t="inlineStr">
        <is>
          <t>no</t>
        </is>
      </c>
      <c r="BI417" s="152" t="inlineStr">
        <is>
          <t>Trading and the buyback pace move this more than the upstrea</t>
        </is>
      </c>
      <c r="BJ417" s="152" t="inlineStr">
        <is>
          <t>68 shell q22025 financials.pdf</t>
        </is>
      </c>
      <c r="BK417" s="152">
        <f>IF(OR($H417&lt;&gt;"Human",$S417="",$J417="",$Y417="",$Z417=""),"",IF(EXACT(UPPER($J417),UPPER($Y417)),1,0))</f>
        <v/>
      </c>
      <c r="BL417" s="152" t="inlineStr">
        <is>
          <t>attested - rater record</t>
        </is>
      </c>
      <c r="BM417" s="152" t="n">
        <v>2</v>
      </c>
      <c r="BN417" s="152" t="inlineStr">
        <is>
          <t>not publisher-identified</t>
        </is>
      </c>
      <c r="BO417" s="152" t="inlineStr">
        <is>
          <t>not publisher-identified</t>
        </is>
      </c>
      <c r="BP417" s="152" t="inlineStr">
        <is>
          <t>no</t>
        </is>
      </c>
      <c r="BQ417" s="152" t="inlineStr">
        <is>
          <t>yes</t>
        </is>
      </c>
      <c r="BR417" s="152" t="n"/>
      <c r="BS417" s="152" t="inlineStr">
        <is>
          <t>YES</t>
        </is>
      </c>
      <c r="BT417" s="152" t="n"/>
    </row>
    <row r="418" ht="15" customHeight="1" s="241">
      <c r="A418" s="193" t="inlineStr">
        <is>
          <t>Shell</t>
        </is>
      </c>
      <c r="B418" s="194">
        <f>IF(A418="","",_xlfn.XLOOKUP(A418, Company_List!$A:$A, Company_List!$B:$B, ""))</f>
        <v/>
      </c>
      <c r="C418" s="177" t="n">
        <v>2025</v>
      </c>
      <c r="D418" s="177" t="inlineStr">
        <is>
          <t>Q3</t>
        </is>
      </c>
      <c r="E418" s="178" t="inlineStr">
        <is>
          <t>Transcript</t>
        </is>
      </c>
      <c r="F418" s="178" t="inlineStr">
        <is>
          <t>Outlook/Guidance</t>
        </is>
      </c>
      <c r="G418" s="177" t="inlineStr">
        <is>
          <t>David</t>
        </is>
      </c>
      <c r="H418" s="177" t="inlineStr">
        <is>
          <t>Human</t>
        </is>
      </c>
      <c r="I418" s="180" t="n">
        <v>0.05</v>
      </c>
      <c r="J418" s="180">
        <f>IF(OR(I418="",Settings!$B$6=""),"",IF(I418&gt;Settings!$B$6,"BUY",IF(I418&lt;-Settings!$B$6,"SELL","HOLD")))</f>
        <v/>
      </c>
      <c r="K418" s="180" t="n">
        <v>21</v>
      </c>
      <c r="L418" s="182" t="n">
        <v>45960</v>
      </c>
      <c r="M418" s="182" t="n">
        <v>45959</v>
      </c>
      <c r="N418" s="179" t="n">
        <v>2874.7031</v>
      </c>
      <c r="O418" s="182" t="n">
        <v>45960</v>
      </c>
      <c r="P418" s="180" t="n">
        <v>2902.1956</v>
      </c>
      <c r="Q418" s="184">
        <f>IF(OR(N418="",P418=""),"",ROUND((P418-N418)/N418,4))</f>
        <v/>
      </c>
      <c r="R418" s="177">
        <f>IF(OR(N418="",P418=""),"",IF(Q418&gt;Settings!$B$3/100,"UP",IF(Q418&lt;-Settings!$B$3/100,"DOWN","FLAT")))</f>
        <v/>
      </c>
      <c r="S418" s="177">
        <f>IF(OR(N418="",P418="",J418=""),"",IF(OR(AND(J418="BUY",R418="UP"),AND(J418="SELL",R418="DOWN"),AND(J418="HOLD",R418="FLAT")),"YES","NO"))</f>
        <v/>
      </c>
      <c r="T418" s="176">
        <f>IF(J418="","",IF(J418="BUY",1,IF(J418="SELL",-1,0)))</f>
        <v/>
      </c>
      <c r="U418" s="184">
        <f>IFERROR(IF(OR(J418="",N418="",P418=""),"",IF(T418=0,0,T418*Q418-Settings!$B$4/10000-IF(T418&lt;0,Settings!$B$5/10000,0))),"")</f>
        <v/>
      </c>
      <c r="V418" s="152" t="n"/>
      <c r="W418" s="176">
        <f>IF($K418="","",$K418*60)</f>
        <v/>
      </c>
      <c r="X418" s="186">
        <f>IF($A418="","",$A418&amp;"|"&amp;$C418&amp;"|"&amp;$D418)</f>
        <v/>
      </c>
      <c r="Y418" s="186">
        <f>IFERROR(IF($X418="","",INDEX(LLM_Data_Entry!$H$3:$H$548,MATCH($X418,INDEX(LLM_Data_Entry!$A$3:$A$548&amp;"|"&amp;LLM_Data_Entry!$C$3:$C$548&amp;"|"&amp;LLM_Data_Entry!$D$3:$D$548,0),0))),"")</f>
        <v/>
      </c>
      <c r="Z418" s="186">
        <f>IFERROR(IF($X418="","",INDEX(LLM_Data_Entry!$R$3:$R$548,MATCH($X418,INDEX(LLM_Data_Entry!$A$3:$A$548&amp;"|"&amp;LLM_Data_Entry!$C$3:$C$548&amp;"|"&amp;LLM_Data_Entry!$D$3:$D$548,0),0))),"")</f>
        <v/>
      </c>
      <c r="AA418" s="152" t="n"/>
      <c r="AB418" s="152" t="inlineStr">
        <is>
          <t>release time published by the issuer (section C)</t>
        </is>
      </c>
      <c r="AC418" s="152" t="inlineStr">
        <is>
          <t>SHEL.L</t>
        </is>
      </c>
      <c r="AD418" s="152" t="inlineStr">
        <is>
          <t>2025-10-29</t>
        </is>
      </c>
      <c r="AE418" s="152" t="n">
        <v>2874.7031</v>
      </c>
      <c r="AF418" s="152" t="inlineStr">
        <is>
          <t>2025-10-30</t>
        </is>
      </c>
      <c r="AG418" s="152" t="n">
        <v>2902.1956</v>
      </c>
      <c r="AH418" s="152" t="n">
        <v>0.009563598104023029</v>
      </c>
      <c r="AI418" s="152" t="inlineStr">
        <is>
          <t>FLAT</t>
        </is>
      </c>
      <c r="AJ418" s="152" t="inlineStr">
        <is>
          <t>YES</t>
        </is>
      </c>
      <c r="AK418" s="152" t="n">
        <v>0</v>
      </c>
      <c r="AL418" s="152">
        <f>IF($A418="","",IFERROR(INDEX(Company_List!$G$3:$G$207,MATCH($A418,Company_List!$A$3:$A$207,0)),"unassigned"))</f>
        <v/>
      </c>
      <c r="AM418" s="152" t="inlineStr">
        <is>
          <t>Phase 2/SHELL/2025-Q3/SHEL-2025-Q3-earnings-call-transcript-shell-com.pdf</t>
        </is>
      </c>
      <c r="AN418" s="152" t="inlineStr">
        <is>
          <t>https://www.shell.com/.../q3-2025-speech-transcript.pdf</t>
        </is>
      </c>
      <c r="AO418" s="152" t="inlineStr">
        <is>
          <t>manifest</t>
        </is>
      </c>
      <c r="AP418" s="152">
        <f>IF($A418="","",IF(COUNTIFS(LLM_Data_Entry!$A$3:$A$548,$A418)&gt;0,"YES","NO"))</f>
        <v/>
      </c>
      <c r="AQ418" s="152">
        <f>IF($A418="","",IF(COUNTIFS($A$3:$A418,$A418,$C$3:$C418,$C418,$D$3:$D418,$D418)=1,"YES","NO"))</f>
        <v/>
      </c>
      <c r="AR418" s="152">
        <f>IF($A418="","",IF(AND($C418&amp;"-"&amp;$D418&gt;=Settings!$B$19,$C418&amp;"-"&amp;$D418&lt;=Settings!$B$20),"IN","OUT"))</f>
        <v/>
      </c>
      <c r="AS418" s="152">
        <f>IF($A418="","",IF($F418="Financial Results","financials",IF($F418="Outlook/Guidance","guidance",IF($F418="Transcript Q&amp;A","qanda",IF($F418="","unrecorded",IF($E418="All","full",IF($E418="","unrecorded",LOWER($E418)&amp;" only")))))))</f>
        <v/>
      </c>
      <c r="AT418" s="152">
        <f>IF(AND(OR($J418="BUY",$J418="SELL"),ISNUMBER($U418)),$U418,"")</f>
        <v/>
      </c>
      <c r="AU418" s="152">
        <f>IF(AND(OR($J418="BUY",$J418="SELL"),ISNUMBER($AK418)),$AK418,"")</f>
        <v/>
      </c>
      <c r="AV418" s="152">
        <f>IF(ISNUMBER($AT418),ABS(IF(ISNUMBER($I418),$I418,0)-Settings!$B$24),"")</f>
        <v/>
      </c>
      <c r="AW418" s="152">
        <f>IF(ISNUMBER($AV418),$AV418*$AT418,"")</f>
        <v/>
      </c>
      <c r="AX418" s="152">
        <f>IF(ISNUMBER($AU418),ABS(IF(ISNUMBER($I418),$I418,0)-Settings!$B$24),"")</f>
        <v/>
      </c>
      <c r="AY418" s="152" t="inlineStr">
        <is>
          <t>EXTENSION</t>
        </is>
      </c>
      <c r="AZ418" s="152">
        <f>IF($A418="","",IFERROR(INDEX(Company_List!$H$3:$H$207,MATCH($A418,Company_List!$A$3:$A$207,0)),"unassigned"))</f>
        <v/>
      </c>
      <c r="BA418" s="152" t="n">
        <v>1</v>
      </c>
      <c r="BB418" s="152" t="n">
        <v>2</v>
      </c>
      <c r="BC418" s="152">
        <f>IF($A418="","",IF(COUNTIFS($A$3:$A418,$A418,$C$3:$C418,$C418,$D$3:$D418,$D418,$G$3:$G418,$G418)=1,1,0))</f>
        <v/>
      </c>
      <c r="BD418" s="152" t="n">
        <v>21</v>
      </c>
      <c r="BE418" s="152" t="n">
        <v>26</v>
      </c>
      <c r="BF418" s="152" t="n">
        <v>0.05</v>
      </c>
      <c r="BG418" s="152" t="inlineStr">
        <is>
          <t>no</t>
        </is>
      </c>
      <c r="BH418" s="152" t="inlineStr">
        <is>
          <t>no</t>
        </is>
      </c>
      <c r="BI418" s="152" t="inlineStr">
        <is>
          <t>Trading and the buyback pace move this more than the upstrea</t>
        </is>
      </c>
      <c r="BJ418" s="152" t="inlineStr">
        <is>
          <t>69 shell q32025 guidance.pdf</t>
        </is>
      </c>
      <c r="BK418" s="152">
        <f>IF(OR($H418&lt;&gt;"Human",$S418="",$J418="",$Y418="",$Z418=""),"",IF(EXACT(UPPER($J418),UPPER($Y418)),1,0))</f>
        <v/>
      </c>
      <c r="BL418" s="152" t="inlineStr">
        <is>
          <t>attested - rater record</t>
        </is>
      </c>
      <c r="BM418" s="152" t="n">
        <v>1</v>
      </c>
      <c r="BN418" s="152" t="inlineStr">
        <is>
          <t>not publisher-identified</t>
        </is>
      </c>
      <c r="BO418" s="152" t="inlineStr">
        <is>
          <t>not publisher-identified</t>
        </is>
      </c>
      <c r="BP418" s="152" t="inlineStr">
        <is>
          <t>no</t>
        </is>
      </c>
      <c r="BQ418" s="152" t="inlineStr">
        <is>
          <t>yes</t>
        </is>
      </c>
      <c r="BR418" s="152" t="n"/>
      <c r="BS418" s="152" t="inlineStr">
        <is>
          <t>YES</t>
        </is>
      </c>
      <c r="BT418" s="152" t="n"/>
    </row>
    <row r="419" ht="15" customHeight="1" s="241">
      <c r="A419" s="193" t="inlineStr">
        <is>
          <t>Shell</t>
        </is>
      </c>
      <c r="B419" s="194">
        <f>IF(A419="","",_xlfn.XLOOKUP(A419, Company_List!$A:$A, Company_List!$B:$B, ""))</f>
        <v/>
      </c>
      <c r="C419" s="177" t="n">
        <v>2025</v>
      </c>
      <c r="D419" s="177" t="inlineStr">
        <is>
          <t>Q3</t>
        </is>
      </c>
      <c r="E419" s="178" t="inlineStr">
        <is>
          <t>All</t>
        </is>
      </c>
      <c r="F419" s="178" t="inlineStr">
        <is>
          <t>All</t>
        </is>
      </c>
      <c r="G419" s="177" t="inlineStr">
        <is>
          <t>David</t>
        </is>
      </c>
      <c r="H419" s="177" t="inlineStr">
        <is>
          <t>Human</t>
        </is>
      </c>
      <c r="I419" s="180" t="n">
        <v>0</v>
      </c>
      <c r="J419" s="180">
        <f>IF(OR(I419="",Settings!$B$6=""),"",IF(I419&gt;Settings!$B$6,"BUY",IF(I419&lt;-Settings!$B$6,"SELL","HOLD")))</f>
        <v/>
      </c>
      <c r="K419" s="180" t="n">
        <v>26</v>
      </c>
      <c r="L419" s="182" t="n">
        <v>45960</v>
      </c>
      <c r="M419" s="182" t="n">
        <v>45959</v>
      </c>
      <c r="N419" s="179" t="n">
        <v>2874.7031</v>
      </c>
      <c r="O419" s="182" t="n">
        <v>45960</v>
      </c>
      <c r="P419" s="180" t="n">
        <v>2902.1956</v>
      </c>
      <c r="Q419" s="184">
        <f>IF(OR(N419="",P419=""),"",ROUND((P419-N419)/N419,4))</f>
        <v/>
      </c>
      <c r="R419" s="177">
        <f>IF(OR(N419="",P419=""),"",IF(Q419&gt;Settings!$B$3/100,"UP",IF(Q419&lt;-Settings!$B$3/100,"DOWN","FLAT")))</f>
        <v/>
      </c>
      <c r="S419" s="177">
        <f>IF(OR(N419="",P419="",J419=""),"",IF(OR(AND(J419="BUY",R419="UP"),AND(J419="SELL",R419="DOWN"),AND(J419="HOLD",R419="FLAT")),"YES","NO"))</f>
        <v/>
      </c>
      <c r="T419" s="176">
        <f>IF(J419="","",IF(J419="BUY",1,IF(J419="SELL",-1,0)))</f>
        <v/>
      </c>
      <c r="U419" s="184">
        <f>IFERROR(IF(OR(J419="",N419="",P419=""),"",IF(T419=0,0,T419*Q419-Settings!$B$4/10000-IF(T419&lt;0,Settings!$B$5/10000,0))),"")</f>
        <v/>
      </c>
      <c r="V419" s="152" t="n"/>
      <c r="W419" s="176">
        <f>IF($K419="","",$K419*60)</f>
        <v/>
      </c>
      <c r="X419" s="186">
        <f>IF($A419="","",$A419&amp;"|"&amp;$C419&amp;"|"&amp;$D419)</f>
        <v/>
      </c>
      <c r="Y419" s="186">
        <f>IFERROR(IF($X419="","",INDEX(LLM_Data_Entry!$H$3:$H$548,MATCH($X419,INDEX(LLM_Data_Entry!$A$3:$A$548&amp;"|"&amp;LLM_Data_Entry!$C$3:$C$548&amp;"|"&amp;LLM_Data_Entry!$D$3:$D$548,0),0))),"")</f>
        <v/>
      </c>
      <c r="Z419" s="186">
        <f>IFERROR(IF($X419="","",INDEX(LLM_Data_Entry!$R$3:$R$548,MATCH($X419,INDEX(LLM_Data_Entry!$A$3:$A$548&amp;"|"&amp;LLM_Data_Entry!$C$3:$C$548&amp;"|"&amp;LLM_Data_Entry!$D$3:$D$548,0),0))),"")</f>
        <v/>
      </c>
      <c r="AA419" s="152" t="n"/>
      <c r="AB419" s="152" t="inlineStr">
        <is>
          <t>release time published by the issuer (section C)</t>
        </is>
      </c>
      <c r="AC419" s="152" t="inlineStr">
        <is>
          <t>SHEL.L</t>
        </is>
      </c>
      <c r="AD419" s="152" t="inlineStr">
        <is>
          <t>2025-10-29</t>
        </is>
      </c>
      <c r="AE419" s="152" t="n">
        <v>2874.7031</v>
      </c>
      <c r="AF419" s="152" t="inlineStr">
        <is>
          <t>2025-10-30</t>
        </is>
      </c>
      <c r="AG419" s="152" t="n">
        <v>2902.1956</v>
      </c>
      <c r="AH419" s="152" t="n">
        <v>0.009563598104023029</v>
      </c>
      <c r="AI419" s="152" t="inlineStr">
        <is>
          <t>FLAT</t>
        </is>
      </c>
      <c r="AJ419" s="152" t="inlineStr">
        <is>
          <t>YES</t>
        </is>
      </c>
      <c r="AK419" s="152" t="n">
        <v>0</v>
      </c>
      <c r="AL419" s="152">
        <f>IF($A419="","",IFERROR(INDEX(Company_List!$G$3:$G$207,MATCH($A419,Company_List!$A$3:$A$207,0)),"unassigned"))</f>
        <v/>
      </c>
      <c r="AM419" s="152" t="inlineStr">
        <is>
          <t>Phase 2/SHELL/2025-Q3/SHEL-2025-Q3-press-release-SEC-EX-99-1.htm; Phase 2/SHELL/2025-Q3/SHEL-2025-Q3-earnings-call-transcript-shell-com.pdf</t>
        </is>
      </c>
      <c r="AN419" s="152" t="inlineStr">
        <is>
          <t>https://www.sec.gov/Archives/edgar/data/1306965/000162828025047312/q32025exhibit991.htm; https://www.shell.com/.../q3-2025-speech-transcript.pdf</t>
        </is>
      </c>
      <c r="AO419" s="152" t="inlineStr">
        <is>
          <t>manifest (whole bundle)</t>
        </is>
      </c>
      <c r="AP419" s="152">
        <f>IF($A419="","",IF(COUNTIFS(LLM_Data_Entry!$A$3:$A$548,$A419)&gt;0,"YES","NO"))</f>
        <v/>
      </c>
      <c r="AQ419" s="152">
        <f>IF($A419="","",IF(COUNTIFS($A$3:$A419,$A419,$C$3:$C419,$C419,$D$3:$D419,$D419)=1,"YES","NO"))</f>
        <v/>
      </c>
      <c r="AR419" s="152">
        <f>IF($A419="","",IF(AND($C419&amp;"-"&amp;$D419&gt;=Settings!$B$19,$C419&amp;"-"&amp;$D419&lt;=Settings!$B$20),"IN","OUT"))</f>
        <v/>
      </c>
      <c r="AS419" s="152">
        <f>IF($A419="","",IF($F419="Financial Results","financials",IF($F419="Outlook/Guidance","guidance",IF($F419="Transcript Q&amp;A","qanda",IF($F419="","unrecorded",IF($E419="All","full",IF($E419="","unrecorded",LOWER($E419)&amp;" only")))))))</f>
        <v/>
      </c>
      <c r="AT419" s="152">
        <f>IF(AND(OR($J419="BUY",$J419="SELL"),ISNUMBER($U419)),$U419,"")</f>
        <v/>
      </c>
      <c r="AU419" s="152">
        <f>IF(AND(OR($J419="BUY",$J419="SELL"),ISNUMBER($AK419)),$AK419,"")</f>
        <v/>
      </c>
      <c r="AV419" s="152">
        <f>IF(ISNUMBER($AT419),ABS(IF(ISNUMBER($I419),$I419,0)-Settings!$B$24),"")</f>
        <v/>
      </c>
      <c r="AW419" s="152">
        <f>IF(ISNUMBER($AV419),$AV419*$AT419,"")</f>
        <v/>
      </c>
      <c r="AX419" s="152">
        <f>IF(ISNUMBER($AU419),ABS(IF(ISNUMBER($I419),$I419,0)-Settings!$B$24),"")</f>
        <v/>
      </c>
      <c r="AY419" s="152" t="inlineStr">
        <is>
          <t>EXTENSION</t>
        </is>
      </c>
      <c r="AZ419" s="152">
        <f>IF($A419="","",IFERROR(INDEX(Company_List!$H$3:$H$207,MATCH($A419,Company_List!$A$3:$A$207,0)),"unassigned"))</f>
        <v/>
      </c>
      <c r="BA419" s="152" t="n">
        <v>2</v>
      </c>
      <c r="BB419" s="152" t="n">
        <v>2</v>
      </c>
      <c r="BC419" s="152">
        <f>IF($A419="","",IF(COUNTIFS($A$3:$A419,$A419,$C$3:$C419,$C419,$D$3:$D419,$D419,$G$3:$G419,$G419)=1,1,0))</f>
        <v/>
      </c>
      <c r="BD419" s="152" t="n">
        <v>21</v>
      </c>
      <c r="BE419" s="152" t="n">
        <v>26</v>
      </c>
      <c r="BF419" s="152" t="n">
        <v>0.05</v>
      </c>
      <c r="BG419" s="152" t="inlineStr">
        <is>
          <t>no</t>
        </is>
      </c>
      <c r="BH419" s="152" t="inlineStr">
        <is>
          <t>no</t>
        </is>
      </c>
      <c r="BI419" s="152" t="inlineStr">
        <is>
          <t>Trading and the buyback pace move this more than the upstrea</t>
        </is>
      </c>
      <c r="BJ419" s="152" t="inlineStr">
        <is>
          <t>69 shell q32025 guidance.pdf</t>
        </is>
      </c>
      <c r="BK419" s="152">
        <f>IF(OR($H419&lt;&gt;"Human",$S419="",$J419="",$Y419="",$Z419=""),"",IF(EXACT(UPPER($J419),UPPER($Y419)),1,0))</f>
        <v/>
      </c>
      <c r="BL419" s="152" t="inlineStr">
        <is>
          <t>attested - rater record</t>
        </is>
      </c>
      <c r="BM419" s="152" t="n">
        <v>2</v>
      </c>
      <c r="BN419" s="152" t="inlineStr">
        <is>
          <t>not publisher-identified</t>
        </is>
      </c>
      <c r="BO419" s="152" t="inlineStr">
        <is>
          <t>not publisher-identified</t>
        </is>
      </c>
      <c r="BP419" s="152" t="inlineStr">
        <is>
          <t>no</t>
        </is>
      </c>
      <c r="BQ419" s="152" t="inlineStr">
        <is>
          <t>yes</t>
        </is>
      </c>
      <c r="BR419" s="152" t="n"/>
      <c r="BS419" s="152" t="inlineStr">
        <is>
          <t>YES</t>
        </is>
      </c>
      <c r="BT419" s="152" t="n"/>
    </row>
    <row r="420" ht="15" customHeight="1" s="241">
      <c r="A420" s="193" t="inlineStr">
        <is>
          <t>Shell</t>
        </is>
      </c>
      <c r="B420" s="194">
        <f>IF(A420="","",_xlfn.XLOOKUP(A420, Company_List!$A:$A, Company_List!$B:$B, ""))</f>
        <v/>
      </c>
      <c r="C420" s="177" t="n">
        <v>2025</v>
      </c>
      <c r="D420" s="177" t="inlineStr">
        <is>
          <t>Q4</t>
        </is>
      </c>
      <c r="E420" s="178" t="inlineStr">
        <is>
          <t>Transcript</t>
        </is>
      </c>
      <c r="F420" s="178" t="inlineStr">
        <is>
          <t>Transcript Q&amp;A</t>
        </is>
      </c>
      <c r="G420" s="177" t="inlineStr">
        <is>
          <t>David</t>
        </is>
      </c>
      <c r="H420" s="177" t="inlineStr">
        <is>
          <t>Human</t>
        </is>
      </c>
      <c r="I420" s="180" t="n">
        <v>-0.1</v>
      </c>
      <c r="J420" s="180">
        <f>IF(OR(I420="",Settings!$B$6=""),"",IF(I420&gt;Settings!$B$6,"BUY",IF(I420&lt;-Settings!$B$6,"SELL","HOLD")))</f>
        <v/>
      </c>
      <c r="K420" s="180" t="n">
        <v>25</v>
      </c>
      <c r="L420" s="182" t="n">
        <v>46058</v>
      </c>
      <c r="M420" s="182" t="n">
        <v>46057</v>
      </c>
      <c r="N420" s="179" t="n">
        <v>2866.4702</v>
      </c>
      <c r="O420" s="182" t="n">
        <v>46058</v>
      </c>
      <c r="P420" s="180" t="n">
        <v>2837.4754</v>
      </c>
      <c r="Q420" s="184">
        <f>IF(OR(N420="",P420=""),"",ROUND((P420-N420)/N420,4))</f>
        <v/>
      </c>
      <c r="R420" s="177">
        <f>IF(OR(N420="",P420=""),"",IF(Q420&gt;Settings!$B$3/100,"UP",IF(Q420&lt;-Settings!$B$3/100,"DOWN","FLAT")))</f>
        <v/>
      </c>
      <c r="S420" s="177">
        <f>IF(OR(N420="",P420="",J420=""),"",IF(OR(AND(J420="BUY",R420="UP"),AND(J420="SELL",R420="DOWN"),AND(J420="HOLD",R420="FLAT")),"YES","NO"))</f>
        <v/>
      </c>
      <c r="T420" s="176">
        <f>IF(J420="","",IF(J420="BUY",1,IF(J420="SELL",-1,0)))</f>
        <v/>
      </c>
      <c r="U420" s="184">
        <f>IFERROR(IF(OR(J420="",N420="",P420=""),"",IF(T420=0,0,T420*Q420-Settings!$B$4/10000-IF(T420&lt;0,Settings!$B$5/10000,0))),"")</f>
        <v/>
      </c>
      <c r="V420" s="152" t="n"/>
      <c r="W420" s="176">
        <f>IF($K420="","",$K420*60)</f>
        <v/>
      </c>
      <c r="X420" s="186">
        <f>IF($A420="","",$A420&amp;"|"&amp;$C420&amp;"|"&amp;$D420)</f>
        <v/>
      </c>
      <c r="Y420" s="186">
        <f>IFERROR(IF($X420="","",INDEX(LLM_Data_Entry!$H$3:$H$548,MATCH($X420,INDEX(LLM_Data_Entry!$A$3:$A$548&amp;"|"&amp;LLM_Data_Entry!$C$3:$C$548&amp;"|"&amp;LLM_Data_Entry!$D$3:$D$548,0),0))),"")</f>
        <v/>
      </c>
      <c r="Z420" s="186">
        <f>IFERROR(IF($X420="","",INDEX(LLM_Data_Entry!$R$3:$R$548,MATCH($X420,INDEX(LLM_Data_Entry!$A$3:$A$548&amp;"|"&amp;LLM_Data_Entry!$C$3:$C$548&amp;"|"&amp;LLM_Data_Entry!$D$3:$D$548,0),0))),"")</f>
        <v/>
      </c>
      <c r="AA420" s="152" t="n"/>
      <c r="AB420" s="152" t="inlineStr">
        <is>
          <t>price signal, re-derived — only this window shows an abnormal move</t>
        </is>
      </c>
      <c r="AC420" s="152" t="inlineStr">
        <is>
          <t>SHEL.L</t>
        </is>
      </c>
      <c r="AD420" s="152" t="inlineStr">
        <is>
          <t>2026-02-04</t>
        </is>
      </c>
      <c r="AE420" s="152" t="n">
        <v>2866.4702</v>
      </c>
      <c r="AF420" s="152" t="inlineStr">
        <is>
          <t>2026-02-05</t>
        </is>
      </c>
      <c r="AG420" s="152" t="n">
        <v>2837.4754</v>
      </c>
      <c r="AH420" s="152" t="n">
        <v>-0.01011517251804156</v>
      </c>
      <c r="AI420" s="152" t="inlineStr">
        <is>
          <t>FLAT</t>
        </is>
      </c>
      <c r="AJ420" s="152" t="inlineStr">
        <is>
          <t>YES</t>
        </is>
      </c>
      <c r="AK420" s="152" t="n">
        <v>0</v>
      </c>
      <c r="AL420" s="152">
        <f>IF($A420="","",IFERROR(INDEX(Company_List!$G$3:$G$207,MATCH($A420,Company_List!$A$3:$A$207,0)),"unassigned"))</f>
        <v/>
      </c>
      <c r="AM420" s="152" t="inlineStr">
        <is>
          <t>Phase 2/SHELL/2025-Q4/SHEL-2025-Q4-earnings-call-transcript-shell-com.pdf</t>
        </is>
      </c>
      <c r="AN420" s="152" t="inlineStr">
        <is>
          <t>https://www.shell.com/.../q4-2025-speech-transcript.pdf</t>
        </is>
      </c>
      <c r="AO420" s="152" t="inlineStr">
        <is>
          <t>manifest</t>
        </is>
      </c>
      <c r="AP420" s="152">
        <f>IF($A420="","",IF(COUNTIFS(LLM_Data_Entry!$A$3:$A$548,$A420)&gt;0,"YES","NO"))</f>
        <v/>
      </c>
      <c r="AQ420" s="152">
        <f>IF($A420="","",IF(COUNTIFS($A$3:$A420,$A420,$C$3:$C420,$C420,$D$3:$D420,$D420)=1,"YES","NO"))</f>
        <v/>
      </c>
      <c r="AR420" s="152">
        <f>IF($A420="","",IF(AND($C420&amp;"-"&amp;$D420&gt;=Settings!$B$19,$C420&amp;"-"&amp;$D420&lt;=Settings!$B$20),"IN","OUT"))</f>
        <v/>
      </c>
      <c r="AS420" s="152">
        <f>IF($A420="","",IF($F420="Financial Results","financials",IF($F420="Outlook/Guidance","guidance",IF($F420="Transcript Q&amp;A","qanda",IF($F420="","unrecorded",IF($E420="All","full",IF($E420="","unrecorded",LOWER($E420)&amp;" only")))))))</f>
        <v/>
      </c>
      <c r="AT420" s="152">
        <f>IF(AND(OR($J420="BUY",$J420="SELL"),ISNUMBER($U420)),$U420,"")</f>
        <v/>
      </c>
      <c r="AU420" s="152">
        <f>IF(AND(OR($J420="BUY",$J420="SELL"),ISNUMBER($AK420)),$AK420,"")</f>
        <v/>
      </c>
      <c r="AV420" s="152">
        <f>IF(ISNUMBER($AT420),ABS(IF(ISNUMBER($I420),$I420,0)-Settings!$B$24),"")</f>
        <v/>
      </c>
      <c r="AW420" s="152">
        <f>IF(ISNUMBER($AV420),$AV420*$AT420,"")</f>
        <v/>
      </c>
      <c r="AX420" s="152">
        <f>IF(ISNUMBER($AU420),ABS(IF(ISNUMBER($I420),$I420,0)-Settings!$B$24),"")</f>
        <v/>
      </c>
      <c r="AY420" s="152" t="inlineStr">
        <is>
          <t>EXTENSION</t>
        </is>
      </c>
      <c r="AZ420" s="152">
        <f>IF($A420="","",IFERROR(INDEX(Company_List!$H$3:$H$207,MATCH($A420,Company_List!$A$3:$A$207,0)),"unassigned"))</f>
        <v/>
      </c>
      <c r="BA420" s="152" t="n">
        <v>1</v>
      </c>
      <c r="BB420" s="152" t="n">
        <v>2</v>
      </c>
      <c r="BC420" s="152">
        <f>IF($A420="","",IF(COUNTIFS($A$3:$A420,$A420,$C$3:$C420,$C420,$D$3:$D420,$D420,$G$3:$G420,$G420)=1,1,0))</f>
        <v/>
      </c>
      <c r="BD420" s="152" t="n">
        <v>25</v>
      </c>
      <c r="BE420" s="152" t="n">
        <v>30</v>
      </c>
      <c r="BF420" s="152" t="n">
        <v>-0.1</v>
      </c>
      <c r="BG420" s="152" t="inlineStr">
        <is>
          <t>no</t>
        </is>
      </c>
      <c r="BH420" s="152" t="inlineStr">
        <is>
          <t>no</t>
        </is>
      </c>
      <c r="BI420" s="152" t="inlineStr">
        <is>
          <t>Trading and the buyback pace move this more than the upstrea</t>
        </is>
      </c>
      <c r="BJ420" s="152" t="inlineStr">
        <is>
          <t>70 shell q42025 qanda.pdf</t>
        </is>
      </c>
      <c r="BK420" s="152">
        <f>IF(OR($H420&lt;&gt;"Human",$S420="",$J420="",$Y420="",$Z420=""),"",IF(EXACT(UPPER($J420),UPPER($Y420)),1,0))</f>
        <v/>
      </c>
      <c r="BL420" s="152" t="inlineStr">
        <is>
          <t>attested - rater record</t>
        </is>
      </c>
      <c r="BM420" s="152" t="n">
        <v>1</v>
      </c>
      <c r="BN420" s="152" t="inlineStr">
        <is>
          <t>not publisher-identified</t>
        </is>
      </c>
      <c r="BO420" s="152" t="inlineStr">
        <is>
          <t>not publisher-identified</t>
        </is>
      </c>
      <c r="BP420" s="152" t="inlineStr">
        <is>
          <t>no</t>
        </is>
      </c>
      <c r="BQ420" s="152" t="inlineStr">
        <is>
          <t>yes</t>
        </is>
      </c>
      <c r="BR420" s="152" t="n"/>
      <c r="BS420" s="152" t="inlineStr">
        <is>
          <t>YES</t>
        </is>
      </c>
      <c r="BT420" s="152" t="n"/>
    </row>
    <row r="421" ht="15" customHeight="1" s="241">
      <c r="A421" s="193" t="inlineStr">
        <is>
          <t>Shell</t>
        </is>
      </c>
      <c r="B421" s="194">
        <f>IF(A421="","",_xlfn.XLOOKUP(A421, Company_List!$A:$A, Company_List!$B:$B, ""))</f>
        <v/>
      </c>
      <c r="C421" s="177" t="n">
        <v>2025</v>
      </c>
      <c r="D421" s="177" t="inlineStr">
        <is>
          <t>Q4</t>
        </is>
      </c>
      <c r="E421" s="178" t="inlineStr">
        <is>
          <t>All</t>
        </is>
      </c>
      <c r="F421" s="178" t="inlineStr">
        <is>
          <t>All</t>
        </is>
      </c>
      <c r="G421" s="177" t="inlineStr">
        <is>
          <t>David</t>
        </is>
      </c>
      <c r="H421" s="177" t="inlineStr">
        <is>
          <t>Human</t>
        </is>
      </c>
      <c r="I421" s="180" t="n">
        <v>-0.25</v>
      </c>
      <c r="J421" s="180">
        <f>IF(OR(I421="",Settings!$B$6=""),"",IF(I421&gt;Settings!$B$6,"BUY",IF(I421&lt;-Settings!$B$6,"SELL","HOLD")))</f>
        <v/>
      </c>
      <c r="K421" s="180" t="n">
        <v>30</v>
      </c>
      <c r="L421" s="182" t="n">
        <v>46058</v>
      </c>
      <c r="M421" s="182" t="n">
        <v>46057</v>
      </c>
      <c r="N421" s="179" t="n">
        <v>2866.4702</v>
      </c>
      <c r="O421" s="182" t="n">
        <v>46058</v>
      </c>
      <c r="P421" s="180" t="n">
        <v>2837.4754</v>
      </c>
      <c r="Q421" s="184">
        <f>IF(OR(N421="",P421=""),"",ROUND((P421-N421)/N421,4))</f>
        <v/>
      </c>
      <c r="R421" s="177">
        <f>IF(OR(N421="",P421=""),"",IF(Q421&gt;Settings!$B$3/100,"UP",IF(Q421&lt;-Settings!$B$3/100,"DOWN","FLAT")))</f>
        <v/>
      </c>
      <c r="S421" s="177">
        <f>IF(OR(N421="",P421="",J421=""),"",IF(OR(AND(J421="BUY",R421="UP"),AND(J421="SELL",R421="DOWN"),AND(J421="HOLD",R421="FLAT")),"YES","NO"))</f>
        <v/>
      </c>
      <c r="T421" s="176">
        <f>IF(J421="","",IF(J421="BUY",1,IF(J421="SELL",-1,0)))</f>
        <v/>
      </c>
      <c r="U421" s="184">
        <f>IFERROR(IF(OR(J421="",N421="",P421=""),"",IF(T421=0,0,T421*Q421-Settings!$B$4/10000-IF(T421&lt;0,Settings!$B$5/10000,0))),"")</f>
        <v/>
      </c>
      <c r="V421" s="152" t="n"/>
      <c r="W421" s="176">
        <f>IF($K421="","",$K421*60)</f>
        <v/>
      </c>
      <c r="X421" s="186">
        <f>IF($A421="","",$A421&amp;"|"&amp;$C421&amp;"|"&amp;$D421)</f>
        <v/>
      </c>
      <c r="Y421" s="186">
        <f>IFERROR(IF($X421="","",INDEX(LLM_Data_Entry!$H$3:$H$548,MATCH($X421,INDEX(LLM_Data_Entry!$A$3:$A$548&amp;"|"&amp;LLM_Data_Entry!$C$3:$C$548&amp;"|"&amp;LLM_Data_Entry!$D$3:$D$548,0),0))),"")</f>
        <v/>
      </c>
      <c r="Z421" s="186">
        <f>IFERROR(IF($X421="","",INDEX(LLM_Data_Entry!$R$3:$R$548,MATCH($X421,INDEX(LLM_Data_Entry!$A$3:$A$548&amp;"|"&amp;LLM_Data_Entry!$C$3:$C$548&amp;"|"&amp;LLM_Data_Entry!$D$3:$D$548,0),0))),"")</f>
        <v/>
      </c>
      <c r="AA421" s="152" t="n"/>
      <c r="AB421" s="152" t="inlineStr">
        <is>
          <t>price signal, re-derived — only this window shows an abnormal move</t>
        </is>
      </c>
      <c r="AC421" s="152" t="inlineStr">
        <is>
          <t>SHEL.L</t>
        </is>
      </c>
      <c r="AD421" s="152" t="inlineStr">
        <is>
          <t>2026-02-04</t>
        </is>
      </c>
      <c r="AE421" s="152" t="n">
        <v>2866.4702</v>
      </c>
      <c r="AF421" s="152" t="inlineStr">
        <is>
          <t>2026-02-05</t>
        </is>
      </c>
      <c r="AG421" s="152" t="n">
        <v>2837.4754</v>
      </c>
      <c r="AH421" s="152" t="n">
        <v>-0.01011517251804156</v>
      </c>
      <c r="AI421" s="152" t="inlineStr">
        <is>
          <t>FLAT</t>
        </is>
      </c>
      <c r="AJ421" s="152" t="inlineStr">
        <is>
          <t>NO</t>
        </is>
      </c>
      <c r="AK421" s="152" t="n">
        <v>0.009115</v>
      </c>
      <c r="AL421" s="152">
        <f>IF($A421="","",IFERROR(INDEX(Company_List!$G$3:$G$207,MATCH($A421,Company_List!$A$3:$A$207,0)),"unassigned"))</f>
        <v/>
      </c>
      <c r="AM421" s="152" t="inlineStr">
        <is>
          <t>Phase 2/SHELL/2025-Q4/SHEL-2025-Q4-press-release-SEC-EX-99-1.htm; Phase 2/SHELL/2025-Q4/SHEL-2025-Q4-earnings-call-transcript-shell-com.pdf</t>
        </is>
      </c>
      <c r="AN421" s="152" t="inlineStr">
        <is>
          <t>https://www.sec.gov/Archives/edgar/data/1306965/000162828026005600/q42025exhibit991.htm; https://www.shell.com/.../q4-2025-speech-transcript.pdf</t>
        </is>
      </c>
      <c r="AO421" s="152" t="inlineStr">
        <is>
          <t>manifest (whole bundle)</t>
        </is>
      </c>
      <c r="AP421" s="152">
        <f>IF($A421="","",IF(COUNTIFS(LLM_Data_Entry!$A$3:$A$548,$A421)&gt;0,"YES","NO"))</f>
        <v/>
      </c>
      <c r="AQ421" s="152">
        <f>IF($A421="","",IF(COUNTIFS($A$3:$A421,$A421,$C$3:$C421,$C421,$D$3:$D421,$D421)=1,"YES","NO"))</f>
        <v/>
      </c>
      <c r="AR421" s="152">
        <f>IF($A421="","",IF(AND($C421&amp;"-"&amp;$D421&gt;=Settings!$B$19,$C421&amp;"-"&amp;$D421&lt;=Settings!$B$20),"IN","OUT"))</f>
        <v/>
      </c>
      <c r="AS421" s="152">
        <f>IF($A421="","",IF($F421="Financial Results","financials",IF($F421="Outlook/Guidance","guidance",IF($F421="Transcript Q&amp;A","qanda",IF($F421="","unrecorded",IF($E421="All","full",IF($E421="","unrecorded",LOWER($E421)&amp;" only")))))))</f>
        <v/>
      </c>
      <c r="AT421" s="152">
        <f>IF(AND(OR($J421="BUY",$J421="SELL"),ISNUMBER($U421)),$U421,"")</f>
        <v/>
      </c>
      <c r="AU421" s="152">
        <f>IF(AND(OR($J421="BUY",$J421="SELL"),ISNUMBER($AK421)),$AK421,"")</f>
        <v/>
      </c>
      <c r="AV421" s="152">
        <f>IF(ISNUMBER($AT421),ABS(IF(ISNUMBER($I421),$I421,0)-Settings!$B$24),"")</f>
        <v/>
      </c>
      <c r="AW421" s="152">
        <f>IF(ISNUMBER($AV421),$AV421*$AT421,"")</f>
        <v/>
      </c>
      <c r="AX421" s="152">
        <f>IF(ISNUMBER($AU421),ABS(IF(ISNUMBER($I421),$I421,0)-Settings!$B$24),"")</f>
        <v/>
      </c>
      <c r="AY421" s="152" t="inlineStr">
        <is>
          <t>EXTENSION</t>
        </is>
      </c>
      <c r="AZ421" s="152">
        <f>IF($A421="","",IFERROR(INDEX(Company_List!$H$3:$H$207,MATCH($A421,Company_List!$A$3:$A$207,0)),"unassigned"))</f>
        <v/>
      </c>
      <c r="BA421" s="152" t="n">
        <v>2</v>
      </c>
      <c r="BB421" s="152" t="n">
        <v>2</v>
      </c>
      <c r="BC421" s="152">
        <f>IF($A421="","",IF(COUNTIFS($A$3:$A421,$A421,$C$3:$C421,$C421,$D$3:$D421,$D421,$G$3:$G421,$G421)=1,1,0))</f>
        <v/>
      </c>
      <c r="BD421" s="152" t="n">
        <v>25</v>
      </c>
      <c r="BE421" s="152" t="n">
        <v>30</v>
      </c>
      <c r="BF421" s="152" t="n">
        <v>-0.1</v>
      </c>
      <c r="BG421" s="152" t="inlineStr">
        <is>
          <t>no</t>
        </is>
      </c>
      <c r="BH421" s="152" t="inlineStr">
        <is>
          <t>no</t>
        </is>
      </c>
      <c r="BI421" s="152" t="inlineStr">
        <is>
          <t>Trading and the buyback pace move this more than the upstrea</t>
        </is>
      </c>
      <c r="BJ421" s="152" t="inlineStr">
        <is>
          <t>70 shell q42025 qanda.pdf</t>
        </is>
      </c>
      <c r="BK421" s="152">
        <f>IF(OR($H421&lt;&gt;"Human",$S421="",$J421="",$Y421="",$Z421=""),"",IF(EXACT(UPPER($J421),UPPER($Y421)),1,0))</f>
        <v/>
      </c>
      <c r="BL421" s="152" t="inlineStr">
        <is>
          <t>attested - rater record</t>
        </is>
      </c>
      <c r="BM421" s="152" t="n">
        <v>2</v>
      </c>
      <c r="BN421" s="152" t="inlineStr">
        <is>
          <t>not publisher-identified</t>
        </is>
      </c>
      <c r="BO421" s="152" t="inlineStr">
        <is>
          <t>not publisher-identified</t>
        </is>
      </c>
      <c r="BP421" s="152" t="inlineStr">
        <is>
          <t>no</t>
        </is>
      </c>
      <c r="BQ421" s="152" t="inlineStr">
        <is>
          <t>yes</t>
        </is>
      </c>
      <c r="BR421" s="152" t="n"/>
      <c r="BS421" s="152" t="inlineStr">
        <is>
          <t>YES</t>
        </is>
      </c>
      <c r="BT421" s="152" t="n"/>
    </row>
    <row r="422" ht="15" customHeight="1" s="241">
      <c r="A422" s="193" t="inlineStr">
        <is>
          <t>Shell</t>
        </is>
      </c>
      <c r="B422" s="194">
        <f>IF(A422="","",_xlfn.XLOOKUP(A422, Company_List!$A:$A, Company_List!$B:$B, ""))</f>
        <v/>
      </c>
      <c r="C422" s="177" t="n">
        <v>2026</v>
      </c>
      <c r="D422" s="177" t="inlineStr">
        <is>
          <t>Q1</t>
        </is>
      </c>
      <c r="E422" s="178" t="inlineStr">
        <is>
          <t>All</t>
        </is>
      </c>
      <c r="F422" s="178" t="inlineStr">
        <is>
          <t>All</t>
        </is>
      </c>
      <c r="G422" s="177" t="inlineStr">
        <is>
          <t>David</t>
        </is>
      </c>
      <c r="H422" s="177" t="inlineStr">
        <is>
          <t>Human</t>
        </is>
      </c>
      <c r="I422" s="180" t="n">
        <v>-0.05</v>
      </c>
      <c r="J422" s="180">
        <f>IF(OR(I422="",Settings!$B$6=""),"",IF(I422&gt;Settings!$B$6,"BUY",IF(I422&lt;-Settings!$B$6,"SELL","HOLD")))</f>
        <v/>
      </c>
      <c r="K422" s="180" t="n">
        <v>31</v>
      </c>
      <c r="L422" s="182" t="n">
        <v>46149</v>
      </c>
      <c r="M422" s="182" t="n">
        <v>46148</v>
      </c>
      <c r="N422" s="179" t="n">
        <v>3211.2119</v>
      </c>
      <c r="O422" s="182" t="n">
        <v>46149</v>
      </c>
      <c r="P422" s="180" t="n">
        <v>3178.7147</v>
      </c>
      <c r="Q422" s="184">
        <f>IF(OR(N422="",P422=""),"",ROUND((P422-N422)/N422,4))</f>
        <v/>
      </c>
      <c r="R422" s="177">
        <f>IF(OR(N422="",P422=""),"",IF(Q422&gt;Settings!$B$3/100,"UP",IF(Q422&lt;-Settings!$B$3/100,"DOWN","FLAT")))</f>
        <v/>
      </c>
      <c r="S422" s="177">
        <f>IF(OR(N422="",P422="",J422=""),"",IF(OR(AND(J422="BUY",R422="UP"),AND(J422="SELL",R422="DOWN"),AND(J422="HOLD",R422="FLAT")),"YES","NO"))</f>
        <v/>
      </c>
      <c r="T422" s="176">
        <f>IF(J422="","",IF(J422="BUY",1,IF(J422="SELL",-1,0)))</f>
        <v/>
      </c>
      <c r="U422" s="184">
        <f>IFERROR(IF(OR(J422="",N422="",P422=""),"",IF(T422=0,0,T422*Q422-Settings!$B$4/10000-IF(T422&lt;0,Settings!$B$5/10000,0))),"")</f>
        <v/>
      </c>
      <c r="V422" s="152" t="n"/>
      <c r="W422" s="176">
        <f>IF($K422="","",$K422*60)</f>
        <v/>
      </c>
      <c r="X422" s="186">
        <f>IF($A422="","",$A422&amp;"|"&amp;$C422&amp;"|"&amp;$D422)</f>
        <v/>
      </c>
      <c r="Y422" s="186">
        <f>IFERROR(IF($X422="","",INDEX(LLM_Data_Entry!$H$3:$H$548,MATCH($X422,INDEX(LLM_Data_Entry!$A$3:$A$548&amp;"|"&amp;LLM_Data_Entry!$C$3:$C$548&amp;"|"&amp;LLM_Data_Entry!$D$3:$D$548,0),0))),"")</f>
        <v/>
      </c>
      <c r="Z422" s="186">
        <f>IFERROR(IF($X422="","",INDEX(LLM_Data_Entry!$R$3:$R$548,MATCH($X422,INDEX(LLM_Data_Entry!$A$3:$A$548&amp;"|"&amp;LLM_Data_Entry!$C$3:$C$548&amp;"|"&amp;LLM_Data_Entry!$D$3:$D$548,0),0))),"")</f>
        <v/>
      </c>
      <c r="AA422" s="152" t="n"/>
      <c r="AB422" s="152" t="inlineStr">
        <is>
          <t>price signal, re-derived — only this window shows an abnormal move</t>
        </is>
      </c>
      <c r="AC422" s="152" t="inlineStr">
        <is>
          <t>SHEL.L</t>
        </is>
      </c>
      <c r="AD422" s="152" t="inlineStr">
        <is>
          <t>2026-05-06</t>
        </is>
      </c>
      <c r="AE422" s="152" t="n">
        <v>3211.2119</v>
      </c>
      <c r="AF422" s="152" t="inlineStr">
        <is>
          <t>2026-05-07</t>
        </is>
      </c>
      <c r="AG422" s="152" t="n">
        <v>3178.7147</v>
      </c>
      <c r="AH422" s="152" t="n">
        <v>-0.01011991038818126</v>
      </c>
      <c r="AI422" s="152" t="inlineStr">
        <is>
          <t>FLAT</t>
        </is>
      </c>
      <c r="AJ422" s="152" t="inlineStr">
        <is>
          <t>YES</t>
        </is>
      </c>
      <c r="AK422" s="152" t="n">
        <v>0</v>
      </c>
      <c r="AL422" s="152">
        <f>IF($A422="","",IFERROR(INDEX(Company_List!$G$3:$G$207,MATCH($A422,Company_List!$A$3:$A$207,0)),"unassigned"))</f>
        <v/>
      </c>
      <c r="AM422" s="152" t="inlineStr">
        <is>
          <t>Phase 2/SHELL/2026-Q1/SHEL-2026-Q1-press-release-SEC-EX-99-1.htm</t>
        </is>
      </c>
      <c r="AN422" s="152" t="inlineStr">
        <is>
          <t>https://www.sec.gov/Archives/edgar/data/1306965/000162828026031628/q12026exhibit991.htm</t>
        </is>
      </c>
      <c r="AO422" s="152" t="inlineStr">
        <is>
          <t>manifest</t>
        </is>
      </c>
      <c r="AP422" s="152">
        <f>IF($A422="","",IF(COUNTIFS(LLM_Data_Entry!$A$3:$A$548,$A422)&gt;0,"YES","NO"))</f>
        <v/>
      </c>
      <c r="AQ422" s="152">
        <f>IF($A422="","",IF(COUNTIFS($A$3:$A422,$A422,$C$3:$C422,$C422,$D$3:$D422,$D422)=1,"YES","NO"))</f>
        <v/>
      </c>
      <c r="AR422" s="152">
        <f>IF($A422="","",IF(AND($C422&amp;"-"&amp;$D422&gt;=Settings!$B$19,$C422&amp;"-"&amp;$D422&lt;=Settings!$B$20),"IN","OUT"))</f>
        <v/>
      </c>
      <c r="AS422" s="152">
        <f>IF($A422="","",IF($F422="Financial Results","financials",IF($F422="Outlook/Guidance","guidance",IF($F422="Transcript Q&amp;A","qanda",IF($F422="","unrecorded",IF($E422="All","full",IF($E422="","unrecorded",LOWER($E422)&amp;" only")))))))</f>
        <v/>
      </c>
      <c r="AT422" s="152">
        <f>IF(AND(OR($J422="BUY",$J422="SELL"),ISNUMBER($U422)),$U422,"")</f>
        <v/>
      </c>
      <c r="AU422" s="152">
        <f>IF(AND(OR($J422="BUY",$J422="SELL"),ISNUMBER($AK422)),$AK422,"")</f>
        <v/>
      </c>
      <c r="AV422" s="152">
        <f>IF(ISNUMBER($AT422),ABS(IF(ISNUMBER($I422),$I422,0)-Settings!$B$24),"")</f>
        <v/>
      </c>
      <c r="AW422" s="152">
        <f>IF(ISNUMBER($AV422),$AV422*$AT422,"")</f>
        <v/>
      </c>
      <c r="AX422" s="152">
        <f>IF(ISNUMBER($AU422),ABS(IF(ISNUMBER($I422),$I422,0)-Settings!$B$24),"")</f>
        <v/>
      </c>
      <c r="AY422" s="152" t="inlineStr">
        <is>
          <t>EXTENSION</t>
        </is>
      </c>
      <c r="AZ422" s="152">
        <f>IF($A422="","",IFERROR(INDEX(Company_List!$H$3:$H$207,MATCH($A422,Company_List!$A$3:$A$207,0)),"unassigned"))</f>
        <v/>
      </c>
      <c r="BA422" s="152" t="n">
        <v>1</v>
      </c>
      <c r="BB422" s="152" t="n">
        <v>1</v>
      </c>
      <c r="BC422" s="152">
        <f>IF($A422="","",IF(COUNTIFS($A$3:$A422,$A422,$C$3:$C422,$C422,$D$3:$D422,$D422,$G$3:$G422,$G422)=1,1,0))</f>
        <v/>
      </c>
      <c r="BD422" s="152" t="n">
        <v>31</v>
      </c>
      <c r="BE422" s="152" t="n"/>
      <c r="BF422" s="152" t="n"/>
      <c r="BG422" s="152" t="inlineStr">
        <is>
          <t>no</t>
        </is>
      </c>
      <c r="BH422" s="152" t="inlineStr">
        <is>
          <t>no</t>
        </is>
      </c>
      <c r="BI422" s="152" t="inlineStr">
        <is>
          <t>Trading and the buyback pace move this more than the upstrea</t>
        </is>
      </c>
      <c r="BJ422" s="152" t="inlineStr">
        <is>
          <t>71 shell q12026 full.pdf</t>
        </is>
      </c>
      <c r="BK422" s="152">
        <f>IF(OR($H422&lt;&gt;"Human",$S422="",$J422="",$Y422="",$Z422=""),"",IF(EXACT(UPPER($J422),UPPER($Y422)),1,0))</f>
        <v/>
      </c>
      <c r="BL422" s="152" t="inlineStr">
        <is>
          <t>attested - rater record</t>
        </is>
      </c>
      <c r="BM422" s="152" t="n">
        <v>1</v>
      </c>
      <c r="BN422" s="152" t="inlineStr">
        <is>
          <t>not publisher-identified</t>
        </is>
      </c>
      <c r="BO422" s="152" t="inlineStr">
        <is>
          <t>not publisher-identified</t>
        </is>
      </c>
      <c r="BP422" s="152" t="inlineStr">
        <is>
          <t>no</t>
        </is>
      </c>
      <c r="BQ422" s="152" t="inlineStr">
        <is>
          <t>yes</t>
        </is>
      </c>
      <c r="BR422" s="152" t="n"/>
      <c r="BS422" s="152" t="inlineStr">
        <is>
          <t>YES</t>
        </is>
      </c>
      <c r="BT422" s="152" t="n"/>
    </row>
    <row r="423">
      <c r="B423" s="89">
        <f>IF(A423="","",_xlfn.XLOOKUP(A423, Company_List!$A:$A, Company_List!$B:$B, ""))</f>
        <v/>
      </c>
      <c r="J423" s="92">
        <f>IF(OR(I423="",Settings!$B$6=""),"",IF(I423&gt;Settings!$B$6,"BUY",IF(I423&lt;-Settings!$B$6,"SELL","HOLD")))</f>
        <v/>
      </c>
      <c r="Q423" s="95">
        <f>IF(OR(N423="",P423=""),"",ROUND((P423-N423)/N423,4))</f>
        <v/>
      </c>
      <c r="R423" s="84">
        <f>IF(OR(N423="",P423=""),"",IF(Q423&gt;Settings!$B$3/100,"UP",IF(Q423&lt;-Settings!$B$3/100,"DOWN","FLAT")))</f>
        <v/>
      </c>
      <c r="S423" s="84">
        <f>IF(OR(N423="",P423="",J423=""),"",IF(OR(AND(J423="BUY",R423="UP"),AND(J423="SELL",R423="DOWN"),AND(J423="HOLD",R423="FLAT")),"YES","NO"))</f>
        <v/>
      </c>
      <c r="T423" s="85">
        <f>IF(J423="","",IF(J423="BUY",1,IF(J423="SELL",-1,0)))</f>
        <v/>
      </c>
      <c r="U423" s="94">
        <f>IFERROR(IF(OR(J423="",N423="",P423=""),"",IF(T423=0,0,T423*Q423-Settings!$B$4/10000-IF(T423&lt;0,Settings!$B$5/10000,0))),"")</f>
        <v/>
      </c>
      <c r="W423" s="18">
        <f>IF($K423="","",$K423*60)</f>
        <v/>
      </c>
      <c r="X423" s="73">
        <f>IF($A423="","",$A423&amp;"|"&amp;$C423&amp;"|"&amp;$D423)</f>
        <v/>
      </c>
      <c r="Y423" s="73">
        <f>IFERROR(IF($X423="","",INDEX(LLM_Data_Entry!$H$3:$H$548,MATCH($X423,INDEX(LLM_Data_Entry!$A$3:$A$548&amp;"|"&amp;LLM_Data_Entry!$C$3:$C$548&amp;"|"&amp;LLM_Data_Entry!$D$3:$D$548,0),0))),"")</f>
        <v/>
      </c>
      <c r="Z423" s="73">
        <f>IFERROR(IF($X423="","",INDEX(LLM_Data_Entry!$R$3:$R$548,MATCH($X423,INDEX(LLM_Data_Entry!$A$3:$A$548&amp;"|"&amp;LLM_Data_Entry!$C$3:$C$548&amp;"|"&amp;LLM_Data_Entry!$D$3:$D$548,0),0))),"")</f>
        <v/>
      </c>
      <c r="AL423">
        <f>IF($A423="","",IFERROR(INDEX(Company_List!$G$3:$G$207,MATCH($A423,Company_List!$A$3:$A$207,0)),"unassigned"))</f>
        <v/>
      </c>
      <c r="AP423">
        <f>IF($A423="","",IF(COUNTIFS(LLM_Data_Entry!$A$3:$A$548,$A423)&gt;0,"YES","NO"))</f>
        <v/>
      </c>
      <c r="AQ423">
        <f>IF($A423="","",IF(COUNTIFS($A$3:$A423,$A423,$C$3:$C423,$C423,$D$3:$D423,$D423)=1,"YES","NO"))</f>
        <v/>
      </c>
      <c r="AR423">
        <f>IF($A423="","",IF(AND($C423&amp;"-"&amp;$D423&gt;=Settings!$B$19,$C423&amp;"-"&amp;$D423&lt;=Settings!$B$20),"IN","OUT"))</f>
        <v/>
      </c>
      <c r="AS423">
        <f>IF($A423="","",IF($F423="Financial Results","financials",IF($F423="Outlook/Guidance","guidance",IF($F423="Transcript Q&amp;A","qanda",IF($F423="","unrecorded",IF($E423="All","full",IF($E423="","unrecorded",LOWER($E423)&amp;" only")))))))</f>
        <v/>
      </c>
      <c r="AT423">
        <f>IF(AND(OR($J423="BUY",$J423="SELL"),ISNUMBER($U423)),$U423,"")</f>
        <v/>
      </c>
      <c r="AU423">
        <f>IF(AND(OR($J423="BUY",$J423="SELL"),ISNUMBER($AK423)),$AK423,"")</f>
        <v/>
      </c>
      <c r="AV423">
        <f>IF(ISNUMBER($AT423),ABS(IF(ISNUMBER($I423),$I423,0)-Settings!$B$24),"")</f>
        <v/>
      </c>
      <c r="AW423">
        <f>IF(ISNUMBER($AV423),$AV423*$AT423,"")</f>
        <v/>
      </c>
      <c r="AX423">
        <f>IF(ISNUMBER($AU423),ABS(IF(ISNUMBER($I423),$I423,0)-Settings!$B$24),"")</f>
        <v/>
      </c>
      <c r="AZ423">
        <f>IF($A423="","",IFERROR(INDEX(Company_List!$H$3:$H$207,MATCH($A423,Company_List!$A$3:$A$207,0)),"unassigned"))</f>
        <v/>
      </c>
      <c r="BC423">
        <f>IF($A423="","",IF(COUNTIFS($A$3:$A423,$A423,$C$3:$C423,$C423,$D$3:$D423,$D423,$G$3:$G423,$G423)=1,1,0))</f>
        <v/>
      </c>
      <c r="BK423">
        <f>IF(OR($H423&lt;&gt;"Human",$S423="",$J423="",$Y423="",$Z423=""),"",IF(EXACT(UPPER($J423),UPPER($Y423)),1,0))</f>
        <v/>
      </c>
    </row>
    <row r="424">
      <c r="B424" s="89">
        <f>IF(A424="","",_xlfn.XLOOKUP(A424, Company_List!$A:$A, Company_List!$B:$B, ""))</f>
        <v/>
      </c>
      <c r="J424" s="92">
        <f>IF(OR(I424="",Settings!$B$6=""),"",IF(I424&gt;Settings!$B$6,"BUY",IF(I424&lt;-Settings!$B$6,"SELL","HOLD")))</f>
        <v/>
      </c>
      <c r="Q424" s="95">
        <f>IF(OR(N424="",P424=""),"",ROUND((P424-N424)/N424,4))</f>
        <v/>
      </c>
      <c r="R424" s="84">
        <f>IF(OR(N424="",P424=""),"",IF(Q424&gt;Settings!$B$3/100,"UP",IF(Q424&lt;-Settings!$B$3/100,"DOWN","FLAT")))</f>
        <v/>
      </c>
      <c r="S424" s="84">
        <f>IF(OR(N424="",P424="",J424=""),"",IF(OR(AND(J424="BUY",R424="UP"),AND(J424="SELL",R424="DOWN"),AND(J424="HOLD",R424="FLAT")),"YES","NO"))</f>
        <v/>
      </c>
      <c r="T424" s="85">
        <f>IF(J424="","",IF(J424="BUY",1,IF(J424="SELL",-1,0)))</f>
        <v/>
      </c>
      <c r="U424" s="94">
        <f>IFERROR(IF(OR(J424="",N424="",P424=""),"",IF(T424=0,0,T424*Q424-Settings!$B$4/10000-IF(T424&lt;0,Settings!$B$5/10000,0))),"")</f>
        <v/>
      </c>
      <c r="W424" s="18">
        <f>IF($K424="","",$K424*60)</f>
        <v/>
      </c>
      <c r="X424" s="73">
        <f>IF($A424="","",$A424&amp;"|"&amp;$C424&amp;"|"&amp;$D424)</f>
        <v/>
      </c>
      <c r="Y424" s="73">
        <f>IFERROR(IF($X424="","",INDEX(LLM_Data_Entry!$H$3:$H$548,MATCH($X424,INDEX(LLM_Data_Entry!$A$3:$A$548&amp;"|"&amp;LLM_Data_Entry!$C$3:$C$548&amp;"|"&amp;LLM_Data_Entry!$D$3:$D$548,0),0))),"")</f>
        <v/>
      </c>
      <c r="Z424" s="73">
        <f>IFERROR(IF($X424="","",INDEX(LLM_Data_Entry!$R$3:$R$548,MATCH($X424,INDEX(LLM_Data_Entry!$A$3:$A$548&amp;"|"&amp;LLM_Data_Entry!$C$3:$C$548&amp;"|"&amp;LLM_Data_Entry!$D$3:$D$548,0),0))),"")</f>
        <v/>
      </c>
      <c r="AL424">
        <f>IF($A424="","",IFERROR(INDEX(Company_List!$G$3:$G$207,MATCH($A424,Company_List!$A$3:$A$207,0)),"unassigned"))</f>
        <v/>
      </c>
      <c r="AP424">
        <f>IF($A424="","",IF(COUNTIFS(LLM_Data_Entry!$A$3:$A$548,$A424)&gt;0,"YES","NO"))</f>
        <v/>
      </c>
      <c r="AQ424">
        <f>IF($A424="","",IF(COUNTIFS($A$3:$A424,$A424,$C$3:$C424,$C424,$D$3:$D424,$D424)=1,"YES","NO"))</f>
        <v/>
      </c>
      <c r="AR424">
        <f>IF($A424="","",IF(AND($C424&amp;"-"&amp;$D424&gt;=Settings!$B$19,$C424&amp;"-"&amp;$D424&lt;=Settings!$B$20),"IN","OUT"))</f>
        <v/>
      </c>
      <c r="AS424">
        <f>IF($A424="","",IF($F424="Financial Results","financials",IF($F424="Outlook/Guidance","guidance",IF($F424="Transcript Q&amp;A","qanda",IF($F424="","unrecorded",IF($E424="All","full",IF($E424="","unrecorded",LOWER($E424)&amp;" only")))))))</f>
        <v/>
      </c>
      <c r="AT424">
        <f>IF(AND(OR($J424="BUY",$J424="SELL"),ISNUMBER($U424)),$U424,"")</f>
        <v/>
      </c>
      <c r="AU424">
        <f>IF(AND(OR($J424="BUY",$J424="SELL"),ISNUMBER($AK424)),$AK424,"")</f>
        <v/>
      </c>
      <c r="AV424">
        <f>IF(ISNUMBER($AT424),ABS(IF(ISNUMBER($I424),$I424,0)-Settings!$B$24),"")</f>
        <v/>
      </c>
      <c r="AW424">
        <f>IF(ISNUMBER($AV424),$AV424*$AT424,"")</f>
        <v/>
      </c>
      <c r="AX424">
        <f>IF(ISNUMBER($AU424),ABS(IF(ISNUMBER($I424),$I424,0)-Settings!$B$24),"")</f>
        <v/>
      </c>
      <c r="AZ424">
        <f>IF($A424="","",IFERROR(INDEX(Company_List!$H$3:$H$207,MATCH($A424,Company_List!$A$3:$A$207,0)),"unassigned"))</f>
        <v/>
      </c>
      <c r="BC424">
        <f>IF($A424="","",IF(COUNTIFS($A$3:$A424,$A424,$C$3:$C424,$C424,$D$3:$D424,$D424,$G$3:$G424,$G424)=1,1,0))</f>
        <v/>
      </c>
      <c r="BK424">
        <f>IF(OR($H424&lt;&gt;"Human",$S424="",$J424="",$Y424="",$Z424=""),"",IF(EXACT(UPPER($J424),UPPER($Y424)),1,0))</f>
        <v/>
      </c>
    </row>
    <row r="425">
      <c r="B425" s="89">
        <f>IF(A425="","",_xlfn.XLOOKUP(A425, Company_List!$A:$A, Company_List!$B:$B, ""))</f>
        <v/>
      </c>
      <c r="J425" s="92">
        <f>IF(OR(I425="",Settings!$B$6=""),"",IF(I425&gt;Settings!$B$6,"BUY",IF(I425&lt;-Settings!$B$6,"SELL","HOLD")))</f>
        <v/>
      </c>
      <c r="Q425" s="95">
        <f>IF(OR(N425="",P425=""),"",ROUND((P425-N425)/N425,4))</f>
        <v/>
      </c>
      <c r="R425" s="84">
        <f>IF(OR(N425="",P425=""),"",IF(Q425&gt;Settings!$B$3/100,"UP",IF(Q425&lt;-Settings!$B$3/100,"DOWN","FLAT")))</f>
        <v/>
      </c>
      <c r="S425" s="84">
        <f>IF(OR(N425="",P425="",J425=""),"",IF(OR(AND(J425="BUY",R425="UP"),AND(J425="SELL",R425="DOWN"),AND(J425="HOLD",R425="FLAT")),"YES","NO"))</f>
        <v/>
      </c>
      <c r="T425" s="85">
        <f>IF(J425="","",IF(J425="BUY",1,IF(J425="SELL",-1,0)))</f>
        <v/>
      </c>
      <c r="U425" s="94">
        <f>IFERROR(IF(OR(J425="",N425="",P425=""),"",IF(T425=0,0,T425*Q425-Settings!$B$4/10000-IF(T425&lt;0,Settings!$B$5/10000,0))),"")</f>
        <v/>
      </c>
      <c r="W425" s="18">
        <f>IF($K425="","",$K425*60)</f>
        <v/>
      </c>
      <c r="X425" s="73">
        <f>IF($A425="","",$A425&amp;"|"&amp;$C425&amp;"|"&amp;$D425)</f>
        <v/>
      </c>
      <c r="Y425" s="73">
        <f>IFERROR(IF($X425="","",INDEX(LLM_Data_Entry!$H$3:$H$548,MATCH($X425,INDEX(LLM_Data_Entry!$A$3:$A$548&amp;"|"&amp;LLM_Data_Entry!$C$3:$C$548&amp;"|"&amp;LLM_Data_Entry!$D$3:$D$548,0),0))),"")</f>
        <v/>
      </c>
      <c r="Z425" s="73">
        <f>IFERROR(IF($X425="","",INDEX(LLM_Data_Entry!$R$3:$R$548,MATCH($X425,INDEX(LLM_Data_Entry!$A$3:$A$548&amp;"|"&amp;LLM_Data_Entry!$C$3:$C$548&amp;"|"&amp;LLM_Data_Entry!$D$3:$D$548,0),0))),"")</f>
        <v/>
      </c>
      <c r="AL425">
        <f>IF($A425="","",IFERROR(INDEX(Company_List!$G$3:$G$207,MATCH($A425,Company_List!$A$3:$A$207,0)),"unassigned"))</f>
        <v/>
      </c>
      <c r="AP425">
        <f>IF($A425="","",IF(COUNTIFS(LLM_Data_Entry!$A$3:$A$548,$A425)&gt;0,"YES","NO"))</f>
        <v/>
      </c>
      <c r="AQ425">
        <f>IF($A425="","",IF(COUNTIFS($A$3:$A425,$A425,$C$3:$C425,$C425,$D$3:$D425,$D425)=1,"YES","NO"))</f>
        <v/>
      </c>
      <c r="AR425">
        <f>IF($A425="","",IF(AND($C425&amp;"-"&amp;$D425&gt;=Settings!$B$19,$C425&amp;"-"&amp;$D425&lt;=Settings!$B$20),"IN","OUT"))</f>
        <v/>
      </c>
      <c r="AS425">
        <f>IF($A425="","",IF($F425="Financial Results","financials",IF($F425="Outlook/Guidance","guidance",IF($F425="Transcript Q&amp;A","qanda",IF($F425="","unrecorded",IF($E425="All","full",IF($E425="","unrecorded",LOWER($E425)&amp;" only")))))))</f>
        <v/>
      </c>
      <c r="AT425">
        <f>IF(AND(OR($J425="BUY",$J425="SELL"),ISNUMBER($U425)),$U425,"")</f>
        <v/>
      </c>
      <c r="AU425">
        <f>IF(AND(OR($J425="BUY",$J425="SELL"),ISNUMBER($AK425)),$AK425,"")</f>
        <v/>
      </c>
      <c r="AV425">
        <f>IF(ISNUMBER($AT425),ABS(IF(ISNUMBER($I425),$I425,0)-Settings!$B$24),"")</f>
        <v/>
      </c>
      <c r="AW425">
        <f>IF(ISNUMBER($AV425),$AV425*$AT425,"")</f>
        <v/>
      </c>
      <c r="AX425">
        <f>IF(ISNUMBER($AU425),ABS(IF(ISNUMBER($I425),$I425,0)-Settings!$B$24),"")</f>
        <v/>
      </c>
      <c r="AZ425">
        <f>IF($A425="","",IFERROR(INDEX(Company_List!$H$3:$H$207,MATCH($A425,Company_List!$A$3:$A$207,0)),"unassigned"))</f>
        <v/>
      </c>
      <c r="BC425">
        <f>IF($A425="","",IF(COUNTIFS($A$3:$A425,$A425,$C$3:$C425,$C425,$D$3:$D425,$D425,$G$3:$G425,$G425)=1,1,0))</f>
        <v/>
      </c>
      <c r="BK425">
        <f>IF(OR($H425&lt;&gt;"Human",$S425="",$J425="",$Y425="",$Z425=""),"",IF(EXACT(UPPER($J425),UPPER($Y425)),1,0))</f>
        <v/>
      </c>
    </row>
    <row r="426">
      <c r="B426" s="89">
        <f>IF(A426="","",_xlfn.XLOOKUP(A426, Company_List!$A:$A, Company_List!$B:$B, ""))</f>
        <v/>
      </c>
      <c r="J426" s="92">
        <f>IF(OR(I426="",Settings!$B$6=""),"",IF(I426&gt;Settings!$B$6,"BUY",IF(I426&lt;-Settings!$B$6,"SELL","HOLD")))</f>
        <v/>
      </c>
      <c r="Q426" s="95">
        <f>IF(OR(N426="",P426=""),"",ROUND((P426-N426)/N426,4))</f>
        <v/>
      </c>
      <c r="R426" s="84">
        <f>IF(OR(N426="",P426=""),"",IF(Q426&gt;Settings!$B$3/100,"UP",IF(Q426&lt;-Settings!$B$3/100,"DOWN","FLAT")))</f>
        <v/>
      </c>
      <c r="S426" s="84">
        <f>IF(OR(N426="",P426="",J426=""),"",IF(OR(AND(J426="BUY",R426="UP"),AND(J426="SELL",R426="DOWN"),AND(J426="HOLD",R426="FLAT")),"YES","NO"))</f>
        <v/>
      </c>
      <c r="T426" s="85">
        <f>IF(J426="","",IF(J426="BUY",1,IF(J426="SELL",-1,0)))</f>
        <v/>
      </c>
      <c r="U426" s="94">
        <f>IFERROR(IF(OR(J426="",N426="",P426=""),"",IF(T426=0,0,T426*Q426-Settings!$B$4/10000-IF(T426&lt;0,Settings!$B$5/10000,0))),"")</f>
        <v/>
      </c>
      <c r="W426" s="18">
        <f>IF($K426="","",$K426*60)</f>
        <v/>
      </c>
      <c r="X426" s="73">
        <f>IF($A426="","",$A426&amp;"|"&amp;$C426&amp;"|"&amp;$D426)</f>
        <v/>
      </c>
      <c r="Y426" s="73">
        <f>IFERROR(IF($X426="","",INDEX(LLM_Data_Entry!$H$3:$H$548,MATCH($X426,INDEX(LLM_Data_Entry!$A$3:$A$548&amp;"|"&amp;LLM_Data_Entry!$C$3:$C$548&amp;"|"&amp;LLM_Data_Entry!$D$3:$D$548,0),0))),"")</f>
        <v/>
      </c>
      <c r="Z426" s="73">
        <f>IFERROR(IF($X426="","",INDEX(LLM_Data_Entry!$R$3:$R$548,MATCH($X426,INDEX(LLM_Data_Entry!$A$3:$A$548&amp;"|"&amp;LLM_Data_Entry!$C$3:$C$548&amp;"|"&amp;LLM_Data_Entry!$D$3:$D$548,0),0))),"")</f>
        <v/>
      </c>
      <c r="AL426">
        <f>IF($A426="","",IFERROR(INDEX(Company_List!$G$3:$G$207,MATCH($A426,Company_List!$A$3:$A$207,0)),"unassigned"))</f>
        <v/>
      </c>
      <c r="AP426">
        <f>IF($A426="","",IF(COUNTIFS(LLM_Data_Entry!$A$3:$A$548,$A426)&gt;0,"YES","NO"))</f>
        <v/>
      </c>
      <c r="AQ426">
        <f>IF($A426="","",IF(COUNTIFS($A$3:$A426,$A426,$C$3:$C426,$C426,$D$3:$D426,$D426)=1,"YES","NO"))</f>
        <v/>
      </c>
      <c r="AR426">
        <f>IF($A426="","",IF(AND($C426&amp;"-"&amp;$D426&gt;=Settings!$B$19,$C426&amp;"-"&amp;$D426&lt;=Settings!$B$20),"IN","OUT"))</f>
        <v/>
      </c>
      <c r="AS426">
        <f>IF($A426="","",IF($F426="Financial Results","financials",IF($F426="Outlook/Guidance","guidance",IF($F426="Transcript Q&amp;A","qanda",IF($F426="","unrecorded",IF($E426="All","full",IF($E426="","unrecorded",LOWER($E426)&amp;" only")))))))</f>
        <v/>
      </c>
      <c r="AT426">
        <f>IF(AND(OR($J426="BUY",$J426="SELL"),ISNUMBER($U426)),$U426,"")</f>
        <v/>
      </c>
      <c r="AU426">
        <f>IF(AND(OR($J426="BUY",$J426="SELL"),ISNUMBER($AK426)),$AK426,"")</f>
        <v/>
      </c>
      <c r="AV426">
        <f>IF(ISNUMBER($AT426),ABS(IF(ISNUMBER($I426),$I426,0)-Settings!$B$24),"")</f>
        <v/>
      </c>
      <c r="AW426">
        <f>IF(ISNUMBER($AV426),$AV426*$AT426,"")</f>
        <v/>
      </c>
      <c r="AX426">
        <f>IF(ISNUMBER($AU426),ABS(IF(ISNUMBER($I426),$I426,0)-Settings!$B$24),"")</f>
        <v/>
      </c>
      <c r="AZ426">
        <f>IF($A426="","",IFERROR(INDEX(Company_List!$H$3:$H$207,MATCH($A426,Company_List!$A$3:$A$207,0)),"unassigned"))</f>
        <v/>
      </c>
      <c r="BC426">
        <f>IF($A426="","",IF(COUNTIFS($A$3:$A426,$A426,$C$3:$C426,$C426,$D$3:$D426,$D426,$G$3:$G426,$G426)=1,1,0))</f>
        <v/>
      </c>
      <c r="BK426">
        <f>IF(OR($H426&lt;&gt;"Human",$S426="",$J426="",$Y426="",$Z426=""),"",IF(EXACT(UPPER($J426),UPPER($Y426)),1,0))</f>
        <v/>
      </c>
    </row>
    <row r="427">
      <c r="B427" s="89">
        <f>IF(A427="","",_xlfn.XLOOKUP(A427, Company_List!$A:$A, Company_List!$B:$B, ""))</f>
        <v/>
      </c>
      <c r="J427" s="92">
        <f>IF(OR(I427="",Settings!$B$6=""),"",IF(I427&gt;Settings!$B$6,"BUY",IF(I427&lt;-Settings!$B$6,"SELL","HOLD")))</f>
        <v/>
      </c>
      <c r="Q427" s="95">
        <f>IF(OR(N427="",P427=""),"",ROUND((P427-N427)/N427,4))</f>
        <v/>
      </c>
      <c r="R427" s="84">
        <f>IF(OR(N427="",P427=""),"",IF(Q427&gt;Settings!$B$3/100,"UP",IF(Q427&lt;-Settings!$B$3/100,"DOWN","FLAT")))</f>
        <v/>
      </c>
      <c r="S427" s="84">
        <f>IF(OR(N427="",P427="",J427=""),"",IF(OR(AND(J427="BUY",R427="UP"),AND(J427="SELL",R427="DOWN"),AND(J427="HOLD",R427="FLAT")),"YES","NO"))</f>
        <v/>
      </c>
      <c r="T427" s="85">
        <f>IF(J427="","",IF(J427="BUY",1,IF(J427="SELL",-1,0)))</f>
        <v/>
      </c>
      <c r="U427" s="94">
        <f>IFERROR(IF(OR(J427="",N427="",P427=""),"",IF(T427=0,0,T427*Q427-Settings!$B$4/10000-IF(T427&lt;0,Settings!$B$5/10000,0))),"")</f>
        <v/>
      </c>
      <c r="W427" s="18">
        <f>IF($K427="","",$K427*60)</f>
        <v/>
      </c>
      <c r="X427" s="73">
        <f>IF($A427="","",$A427&amp;"|"&amp;$C427&amp;"|"&amp;$D427)</f>
        <v/>
      </c>
      <c r="Y427" s="73">
        <f>IFERROR(IF($X427="","",INDEX(LLM_Data_Entry!$H$3:$H$548,MATCH($X427,INDEX(LLM_Data_Entry!$A$3:$A$548&amp;"|"&amp;LLM_Data_Entry!$C$3:$C$548&amp;"|"&amp;LLM_Data_Entry!$D$3:$D$548,0),0))),"")</f>
        <v/>
      </c>
      <c r="Z427" s="73">
        <f>IFERROR(IF($X427="","",INDEX(LLM_Data_Entry!$R$3:$R$548,MATCH($X427,INDEX(LLM_Data_Entry!$A$3:$A$548&amp;"|"&amp;LLM_Data_Entry!$C$3:$C$548&amp;"|"&amp;LLM_Data_Entry!$D$3:$D$548,0),0))),"")</f>
        <v/>
      </c>
      <c r="AL427">
        <f>IF($A427="","",IFERROR(INDEX(Company_List!$G$3:$G$207,MATCH($A427,Company_List!$A$3:$A$207,0)),"unassigned"))</f>
        <v/>
      </c>
      <c r="AP427">
        <f>IF($A427="","",IF(COUNTIFS(LLM_Data_Entry!$A$3:$A$548,$A427)&gt;0,"YES","NO"))</f>
        <v/>
      </c>
      <c r="AQ427">
        <f>IF($A427="","",IF(COUNTIFS($A$3:$A427,$A427,$C$3:$C427,$C427,$D$3:$D427,$D427)=1,"YES","NO"))</f>
        <v/>
      </c>
      <c r="AR427">
        <f>IF($A427="","",IF(AND($C427&amp;"-"&amp;$D427&gt;=Settings!$B$19,$C427&amp;"-"&amp;$D427&lt;=Settings!$B$20),"IN","OUT"))</f>
        <v/>
      </c>
      <c r="AS427">
        <f>IF($A427="","",IF($F427="Financial Results","financials",IF($F427="Outlook/Guidance","guidance",IF($F427="Transcript Q&amp;A","qanda",IF($F427="","unrecorded",IF($E427="All","full",IF($E427="","unrecorded",LOWER($E427)&amp;" only")))))))</f>
        <v/>
      </c>
      <c r="AT427">
        <f>IF(AND(OR($J427="BUY",$J427="SELL"),ISNUMBER($U427)),$U427,"")</f>
        <v/>
      </c>
      <c r="AU427">
        <f>IF(AND(OR($J427="BUY",$J427="SELL"),ISNUMBER($AK427)),$AK427,"")</f>
        <v/>
      </c>
      <c r="AV427">
        <f>IF(ISNUMBER($AT427),ABS(IF(ISNUMBER($I427),$I427,0)-Settings!$B$24),"")</f>
        <v/>
      </c>
      <c r="AW427">
        <f>IF(ISNUMBER($AV427),$AV427*$AT427,"")</f>
        <v/>
      </c>
      <c r="AX427">
        <f>IF(ISNUMBER($AU427),ABS(IF(ISNUMBER($I427),$I427,0)-Settings!$B$24),"")</f>
        <v/>
      </c>
      <c r="AZ427">
        <f>IF($A427="","",IFERROR(INDEX(Company_List!$H$3:$H$207,MATCH($A427,Company_List!$A$3:$A$207,0)),"unassigned"))</f>
        <v/>
      </c>
      <c r="BC427">
        <f>IF($A427="","",IF(COUNTIFS($A$3:$A427,$A427,$C$3:$C427,$C427,$D$3:$D427,$D427,$G$3:$G427,$G427)=1,1,0))</f>
        <v/>
      </c>
      <c r="BK427">
        <f>IF(OR($H427&lt;&gt;"Human",$S427="",$J427="",$Y427="",$Z427=""),"",IF(EXACT(UPPER($J427),UPPER($Y427)),1,0))</f>
        <v/>
      </c>
    </row>
    <row r="428">
      <c r="B428" s="89">
        <f>IF(A428="","",_xlfn.XLOOKUP(A428, Company_List!$A:$A, Company_List!$B:$B, ""))</f>
        <v/>
      </c>
      <c r="J428" s="92">
        <f>IF(OR(I428="",Settings!$B$6=""),"",IF(I428&gt;Settings!$B$6,"BUY",IF(I428&lt;-Settings!$B$6,"SELL","HOLD")))</f>
        <v/>
      </c>
      <c r="Q428" s="95">
        <f>IF(OR(N428="",P428=""),"",ROUND((P428-N428)/N428,4))</f>
        <v/>
      </c>
      <c r="R428" s="84">
        <f>IF(OR(N428="",P428=""),"",IF(Q428&gt;Settings!$B$3/100,"UP",IF(Q428&lt;-Settings!$B$3/100,"DOWN","FLAT")))</f>
        <v/>
      </c>
      <c r="S428" s="84">
        <f>IF(OR(N428="",P428="",J428=""),"",IF(OR(AND(J428="BUY",R428="UP"),AND(J428="SELL",R428="DOWN"),AND(J428="HOLD",R428="FLAT")),"YES","NO"))</f>
        <v/>
      </c>
      <c r="T428" s="85">
        <f>IF(J428="","",IF(J428="BUY",1,IF(J428="SELL",-1,0)))</f>
        <v/>
      </c>
      <c r="U428" s="94">
        <f>IFERROR(IF(OR(J428="",N428="",P428=""),"",IF(T428=0,0,T428*Q428-Settings!$B$4/10000-IF(T428&lt;0,Settings!$B$5/10000,0))),"")</f>
        <v/>
      </c>
      <c r="W428" s="18">
        <f>IF($K428="","",$K428*60)</f>
        <v/>
      </c>
      <c r="X428" s="73">
        <f>IF($A428="","",$A428&amp;"|"&amp;$C428&amp;"|"&amp;$D428)</f>
        <v/>
      </c>
      <c r="Y428" s="73">
        <f>IFERROR(IF($X428="","",INDEX(LLM_Data_Entry!$H$3:$H$548,MATCH($X428,INDEX(LLM_Data_Entry!$A$3:$A$548&amp;"|"&amp;LLM_Data_Entry!$C$3:$C$548&amp;"|"&amp;LLM_Data_Entry!$D$3:$D$548,0),0))),"")</f>
        <v/>
      </c>
      <c r="Z428" s="73">
        <f>IFERROR(IF($X428="","",INDEX(LLM_Data_Entry!$R$3:$R$548,MATCH($X428,INDEX(LLM_Data_Entry!$A$3:$A$548&amp;"|"&amp;LLM_Data_Entry!$C$3:$C$548&amp;"|"&amp;LLM_Data_Entry!$D$3:$D$548,0),0))),"")</f>
        <v/>
      </c>
      <c r="AL428">
        <f>IF($A428="","",IFERROR(INDEX(Company_List!$G$3:$G$207,MATCH($A428,Company_List!$A$3:$A$207,0)),"unassigned"))</f>
        <v/>
      </c>
      <c r="AP428">
        <f>IF($A428="","",IF(COUNTIFS(LLM_Data_Entry!$A$3:$A$548,$A428)&gt;0,"YES","NO"))</f>
        <v/>
      </c>
      <c r="AQ428">
        <f>IF($A428="","",IF(COUNTIFS($A$3:$A428,$A428,$C$3:$C428,$C428,$D$3:$D428,$D428)=1,"YES","NO"))</f>
        <v/>
      </c>
      <c r="AR428">
        <f>IF($A428="","",IF(AND($C428&amp;"-"&amp;$D428&gt;=Settings!$B$19,$C428&amp;"-"&amp;$D428&lt;=Settings!$B$20),"IN","OUT"))</f>
        <v/>
      </c>
      <c r="AS428">
        <f>IF($A428="","",IF($F428="Financial Results","financials",IF($F428="Outlook/Guidance","guidance",IF($F428="Transcript Q&amp;A","qanda",IF($F428="","unrecorded",IF($E428="All","full",IF($E428="","unrecorded",LOWER($E428)&amp;" only")))))))</f>
        <v/>
      </c>
      <c r="AT428">
        <f>IF(AND(OR($J428="BUY",$J428="SELL"),ISNUMBER($U428)),$U428,"")</f>
        <v/>
      </c>
      <c r="AU428">
        <f>IF(AND(OR($J428="BUY",$J428="SELL"),ISNUMBER($AK428)),$AK428,"")</f>
        <v/>
      </c>
      <c r="AV428">
        <f>IF(ISNUMBER($AT428),ABS(IF(ISNUMBER($I428),$I428,0)-Settings!$B$24),"")</f>
        <v/>
      </c>
      <c r="AW428">
        <f>IF(ISNUMBER($AV428),$AV428*$AT428,"")</f>
        <v/>
      </c>
      <c r="AX428">
        <f>IF(ISNUMBER($AU428),ABS(IF(ISNUMBER($I428),$I428,0)-Settings!$B$24),"")</f>
        <v/>
      </c>
      <c r="AZ428">
        <f>IF($A428="","",IFERROR(INDEX(Company_List!$H$3:$H$207,MATCH($A428,Company_List!$A$3:$A$207,0)),"unassigned"))</f>
        <v/>
      </c>
      <c r="BC428">
        <f>IF($A428="","",IF(COUNTIFS($A$3:$A428,$A428,$C$3:$C428,$C428,$D$3:$D428,$D428,$G$3:$G428,$G428)=1,1,0))</f>
        <v/>
      </c>
      <c r="BK428">
        <f>IF(OR($H428&lt;&gt;"Human",$S428="",$J428="",$Y428="",$Z428=""),"",IF(EXACT(UPPER($J428),UPPER($Y428)),1,0))</f>
        <v/>
      </c>
    </row>
    <row r="429">
      <c r="B429" s="89">
        <f>IF(A429="","",_xlfn.XLOOKUP(A429, Company_List!$A:$A, Company_List!$B:$B, ""))</f>
        <v/>
      </c>
      <c r="J429" s="92">
        <f>IF(OR(I429="",Settings!$B$6=""),"",IF(I429&gt;Settings!$B$6,"BUY",IF(I429&lt;-Settings!$B$6,"SELL","HOLD")))</f>
        <v/>
      </c>
      <c r="Q429" s="95">
        <f>IF(OR(N429="",P429=""),"",ROUND((P429-N429)/N429,4))</f>
        <v/>
      </c>
      <c r="R429" s="84">
        <f>IF(OR(N429="",P429=""),"",IF(Q429&gt;Settings!$B$3/100,"UP",IF(Q429&lt;-Settings!$B$3/100,"DOWN","FLAT")))</f>
        <v/>
      </c>
      <c r="S429" s="84">
        <f>IF(OR(N429="",P429="",J429=""),"",IF(OR(AND(J429="BUY",R429="UP"),AND(J429="SELL",R429="DOWN"),AND(J429="HOLD",R429="FLAT")),"YES","NO"))</f>
        <v/>
      </c>
      <c r="T429" s="85">
        <f>IF(J429="","",IF(J429="BUY",1,IF(J429="SELL",-1,0)))</f>
        <v/>
      </c>
      <c r="U429" s="94">
        <f>IFERROR(IF(OR(J429="",N429="",P429=""),"",IF(T429=0,0,T429*Q429-Settings!$B$4/10000-IF(T429&lt;0,Settings!$B$5/10000,0))),"")</f>
        <v/>
      </c>
      <c r="W429" s="18">
        <f>IF($K429="","",$K429*60)</f>
        <v/>
      </c>
      <c r="X429" s="73">
        <f>IF($A429="","",$A429&amp;"|"&amp;$C429&amp;"|"&amp;$D429)</f>
        <v/>
      </c>
      <c r="Y429" s="73">
        <f>IFERROR(IF($X429="","",INDEX(LLM_Data_Entry!$H$3:$H$548,MATCH($X429,INDEX(LLM_Data_Entry!$A$3:$A$548&amp;"|"&amp;LLM_Data_Entry!$C$3:$C$548&amp;"|"&amp;LLM_Data_Entry!$D$3:$D$548,0),0))),"")</f>
        <v/>
      </c>
      <c r="Z429" s="73">
        <f>IFERROR(IF($X429="","",INDEX(LLM_Data_Entry!$R$3:$R$548,MATCH($X429,INDEX(LLM_Data_Entry!$A$3:$A$548&amp;"|"&amp;LLM_Data_Entry!$C$3:$C$548&amp;"|"&amp;LLM_Data_Entry!$D$3:$D$548,0),0))),"")</f>
        <v/>
      </c>
      <c r="AL429">
        <f>IF($A429="","",IFERROR(INDEX(Company_List!$G$3:$G$207,MATCH($A429,Company_List!$A$3:$A$207,0)),"unassigned"))</f>
        <v/>
      </c>
      <c r="AP429">
        <f>IF($A429="","",IF(COUNTIFS(LLM_Data_Entry!$A$3:$A$548,$A429)&gt;0,"YES","NO"))</f>
        <v/>
      </c>
      <c r="AQ429">
        <f>IF($A429="","",IF(COUNTIFS($A$3:$A429,$A429,$C$3:$C429,$C429,$D$3:$D429,$D429)=1,"YES","NO"))</f>
        <v/>
      </c>
      <c r="AR429">
        <f>IF($A429="","",IF(AND($C429&amp;"-"&amp;$D429&gt;=Settings!$B$19,$C429&amp;"-"&amp;$D429&lt;=Settings!$B$20),"IN","OUT"))</f>
        <v/>
      </c>
      <c r="AS429">
        <f>IF($A429="","",IF($F429="Financial Results","financials",IF($F429="Outlook/Guidance","guidance",IF($F429="Transcript Q&amp;A","qanda",IF($F429="","unrecorded",IF($E429="All","full",IF($E429="","unrecorded",LOWER($E429)&amp;" only")))))))</f>
        <v/>
      </c>
      <c r="AT429">
        <f>IF(AND(OR($J429="BUY",$J429="SELL"),ISNUMBER($U429)),$U429,"")</f>
        <v/>
      </c>
      <c r="AU429">
        <f>IF(AND(OR($J429="BUY",$J429="SELL"),ISNUMBER($AK429)),$AK429,"")</f>
        <v/>
      </c>
      <c r="AV429">
        <f>IF(ISNUMBER($AT429),ABS(IF(ISNUMBER($I429),$I429,0)-Settings!$B$24),"")</f>
        <v/>
      </c>
      <c r="AW429">
        <f>IF(ISNUMBER($AV429),$AV429*$AT429,"")</f>
        <v/>
      </c>
      <c r="AX429">
        <f>IF(ISNUMBER($AU429),ABS(IF(ISNUMBER($I429),$I429,0)-Settings!$B$24),"")</f>
        <v/>
      </c>
      <c r="AZ429">
        <f>IF($A429="","",IFERROR(INDEX(Company_List!$H$3:$H$207,MATCH($A429,Company_List!$A$3:$A$207,0)),"unassigned"))</f>
        <v/>
      </c>
      <c r="BC429">
        <f>IF($A429="","",IF(COUNTIFS($A$3:$A429,$A429,$C$3:$C429,$C429,$D$3:$D429,$D429,$G$3:$G429,$G429)=1,1,0))</f>
        <v/>
      </c>
      <c r="BK429">
        <f>IF(OR($H429&lt;&gt;"Human",$S429="",$J429="",$Y429="",$Z429=""),"",IF(EXACT(UPPER($J429),UPPER($Y429)),1,0))</f>
        <v/>
      </c>
    </row>
    <row r="430">
      <c r="B430" s="89">
        <f>IF(A430="","",_xlfn.XLOOKUP(A430, Company_List!$A:$A, Company_List!$B:$B, ""))</f>
        <v/>
      </c>
      <c r="J430" s="92">
        <f>IF(OR(I430="",Settings!$B$6=""),"",IF(I430&gt;Settings!$B$6,"BUY",IF(I430&lt;-Settings!$B$6,"SELL","HOLD")))</f>
        <v/>
      </c>
      <c r="Q430" s="95">
        <f>IF(OR(N430="",P430=""),"",ROUND((P430-N430)/N430,4))</f>
        <v/>
      </c>
      <c r="R430" s="84">
        <f>IF(OR(N430="",P430=""),"",IF(Q430&gt;Settings!$B$3/100,"UP",IF(Q430&lt;-Settings!$B$3/100,"DOWN","FLAT")))</f>
        <v/>
      </c>
      <c r="S430" s="84">
        <f>IF(OR(N430="",P430="",J430=""),"",IF(OR(AND(J430="BUY",R430="UP"),AND(J430="SELL",R430="DOWN"),AND(J430="HOLD",R430="FLAT")),"YES","NO"))</f>
        <v/>
      </c>
      <c r="T430" s="85">
        <f>IF(J430="","",IF(J430="BUY",1,IF(J430="SELL",-1,0)))</f>
        <v/>
      </c>
      <c r="U430" s="94">
        <f>IFERROR(IF(OR(J430="",N430="",P430=""),"",IF(T430=0,0,T430*Q430-Settings!$B$4/10000-IF(T430&lt;0,Settings!$B$5/10000,0))),"")</f>
        <v/>
      </c>
      <c r="W430" s="18">
        <f>IF($K430="","",$K430*60)</f>
        <v/>
      </c>
      <c r="X430" s="73">
        <f>IF($A430="","",$A430&amp;"|"&amp;$C430&amp;"|"&amp;$D430)</f>
        <v/>
      </c>
      <c r="Y430" s="73">
        <f>IFERROR(IF($X430="","",INDEX(LLM_Data_Entry!$H$3:$H$548,MATCH($X430,INDEX(LLM_Data_Entry!$A$3:$A$548&amp;"|"&amp;LLM_Data_Entry!$C$3:$C$548&amp;"|"&amp;LLM_Data_Entry!$D$3:$D$548,0),0))),"")</f>
        <v/>
      </c>
      <c r="Z430" s="73">
        <f>IFERROR(IF($X430="","",INDEX(LLM_Data_Entry!$R$3:$R$548,MATCH($X430,INDEX(LLM_Data_Entry!$A$3:$A$548&amp;"|"&amp;LLM_Data_Entry!$C$3:$C$548&amp;"|"&amp;LLM_Data_Entry!$D$3:$D$548,0),0))),"")</f>
        <v/>
      </c>
      <c r="AL430">
        <f>IF($A430="","",IFERROR(INDEX(Company_List!$G$3:$G$207,MATCH($A430,Company_List!$A$3:$A$207,0)),"unassigned"))</f>
        <v/>
      </c>
      <c r="AP430">
        <f>IF($A430="","",IF(COUNTIFS(LLM_Data_Entry!$A$3:$A$548,$A430)&gt;0,"YES","NO"))</f>
        <v/>
      </c>
      <c r="AQ430">
        <f>IF($A430="","",IF(COUNTIFS($A$3:$A430,$A430,$C$3:$C430,$C430,$D$3:$D430,$D430)=1,"YES","NO"))</f>
        <v/>
      </c>
      <c r="AR430">
        <f>IF($A430="","",IF(AND($C430&amp;"-"&amp;$D430&gt;=Settings!$B$19,$C430&amp;"-"&amp;$D430&lt;=Settings!$B$20),"IN","OUT"))</f>
        <v/>
      </c>
      <c r="AS430">
        <f>IF($A430="","",IF($F430="Financial Results","financials",IF($F430="Outlook/Guidance","guidance",IF($F430="Transcript Q&amp;A","qanda",IF($F430="","unrecorded",IF($E430="All","full",IF($E430="","unrecorded",LOWER($E430)&amp;" only")))))))</f>
        <v/>
      </c>
      <c r="AT430">
        <f>IF(AND(OR($J430="BUY",$J430="SELL"),ISNUMBER($U430)),$U430,"")</f>
        <v/>
      </c>
      <c r="AU430">
        <f>IF(AND(OR($J430="BUY",$J430="SELL"),ISNUMBER($AK430)),$AK430,"")</f>
        <v/>
      </c>
      <c r="AV430">
        <f>IF(ISNUMBER($AT430),ABS(IF(ISNUMBER($I430),$I430,0)-Settings!$B$24),"")</f>
        <v/>
      </c>
      <c r="AW430">
        <f>IF(ISNUMBER($AV430),$AV430*$AT430,"")</f>
        <v/>
      </c>
      <c r="AX430">
        <f>IF(ISNUMBER($AU430),ABS(IF(ISNUMBER($I430),$I430,0)-Settings!$B$24),"")</f>
        <v/>
      </c>
      <c r="AZ430">
        <f>IF($A430="","",IFERROR(INDEX(Company_List!$H$3:$H$207,MATCH($A430,Company_List!$A$3:$A$207,0)),"unassigned"))</f>
        <v/>
      </c>
      <c r="BC430">
        <f>IF($A430="","",IF(COUNTIFS($A$3:$A430,$A430,$C$3:$C430,$C430,$D$3:$D430,$D430,$G$3:$G430,$G430)=1,1,0))</f>
        <v/>
      </c>
      <c r="BK430">
        <f>IF(OR($H430&lt;&gt;"Human",$S430="",$J430="",$Y430="",$Z430=""),"",IF(EXACT(UPPER($J430),UPPER($Y430)),1,0))</f>
        <v/>
      </c>
    </row>
    <row r="431">
      <c r="B431" s="89">
        <f>IF(A431="","",_xlfn.XLOOKUP(A431, Company_List!$A:$A, Company_List!$B:$B, ""))</f>
        <v/>
      </c>
      <c r="J431" s="92">
        <f>IF(OR(I431="",Settings!$B$6=""),"",IF(I431&gt;Settings!$B$6,"BUY",IF(I431&lt;-Settings!$B$6,"SELL","HOLD")))</f>
        <v/>
      </c>
      <c r="Q431" s="95">
        <f>IF(OR(N431="",P431=""),"",ROUND((P431-N431)/N431,4))</f>
        <v/>
      </c>
      <c r="R431" s="84">
        <f>IF(OR(N431="",P431=""),"",IF(Q431&gt;Settings!$B$3/100,"UP",IF(Q431&lt;-Settings!$B$3/100,"DOWN","FLAT")))</f>
        <v/>
      </c>
      <c r="S431" s="84">
        <f>IF(OR(N431="",P431="",J431=""),"",IF(OR(AND(J431="BUY",R431="UP"),AND(J431="SELL",R431="DOWN"),AND(J431="HOLD",R431="FLAT")),"YES","NO"))</f>
        <v/>
      </c>
      <c r="T431" s="85">
        <f>IF(J431="","",IF(J431="BUY",1,IF(J431="SELL",-1,0)))</f>
        <v/>
      </c>
      <c r="U431" s="94">
        <f>IFERROR(IF(OR(J431="",N431="",P431=""),"",IF(T431=0,0,T431*Q431-Settings!$B$4/10000-IF(T431&lt;0,Settings!$B$5/10000,0))),"")</f>
        <v/>
      </c>
      <c r="W431" s="18">
        <f>IF($K431="","",$K431*60)</f>
        <v/>
      </c>
      <c r="X431" s="73">
        <f>IF($A431="","",$A431&amp;"|"&amp;$C431&amp;"|"&amp;$D431)</f>
        <v/>
      </c>
      <c r="Y431" s="73">
        <f>IFERROR(IF($X431="","",INDEX(LLM_Data_Entry!$H$3:$H$548,MATCH($X431,INDEX(LLM_Data_Entry!$A$3:$A$548&amp;"|"&amp;LLM_Data_Entry!$C$3:$C$548&amp;"|"&amp;LLM_Data_Entry!$D$3:$D$548,0),0))),"")</f>
        <v/>
      </c>
      <c r="Z431" s="73">
        <f>IFERROR(IF($X431="","",INDEX(LLM_Data_Entry!$R$3:$R$548,MATCH($X431,INDEX(LLM_Data_Entry!$A$3:$A$548&amp;"|"&amp;LLM_Data_Entry!$C$3:$C$548&amp;"|"&amp;LLM_Data_Entry!$D$3:$D$548,0),0))),"")</f>
        <v/>
      </c>
      <c r="AL431">
        <f>IF($A431="","",IFERROR(INDEX(Company_List!$G$3:$G$207,MATCH($A431,Company_List!$A$3:$A$207,0)),"unassigned"))</f>
        <v/>
      </c>
      <c r="AP431">
        <f>IF($A431="","",IF(COUNTIFS(LLM_Data_Entry!$A$3:$A$548,$A431)&gt;0,"YES","NO"))</f>
        <v/>
      </c>
      <c r="AQ431">
        <f>IF($A431="","",IF(COUNTIFS($A$3:$A431,$A431,$C$3:$C431,$C431,$D$3:$D431,$D431)=1,"YES","NO"))</f>
        <v/>
      </c>
      <c r="AR431">
        <f>IF($A431="","",IF(AND($C431&amp;"-"&amp;$D431&gt;=Settings!$B$19,$C431&amp;"-"&amp;$D431&lt;=Settings!$B$20),"IN","OUT"))</f>
        <v/>
      </c>
      <c r="AS431">
        <f>IF($A431="","",IF($F431="Financial Results","financials",IF($F431="Outlook/Guidance","guidance",IF($F431="Transcript Q&amp;A","qanda",IF($F431="","unrecorded",IF($E431="All","full",IF($E431="","unrecorded",LOWER($E431)&amp;" only")))))))</f>
        <v/>
      </c>
      <c r="AT431">
        <f>IF(AND(OR($J431="BUY",$J431="SELL"),ISNUMBER($U431)),$U431,"")</f>
        <v/>
      </c>
      <c r="AU431">
        <f>IF(AND(OR($J431="BUY",$J431="SELL"),ISNUMBER($AK431)),$AK431,"")</f>
        <v/>
      </c>
      <c r="AV431">
        <f>IF(ISNUMBER($AT431),ABS(IF(ISNUMBER($I431),$I431,0)-Settings!$B$24),"")</f>
        <v/>
      </c>
      <c r="AW431">
        <f>IF(ISNUMBER($AV431),$AV431*$AT431,"")</f>
        <v/>
      </c>
      <c r="AX431">
        <f>IF(ISNUMBER($AU431),ABS(IF(ISNUMBER($I431),$I431,0)-Settings!$B$24),"")</f>
        <v/>
      </c>
      <c r="AZ431">
        <f>IF($A431="","",IFERROR(INDEX(Company_List!$H$3:$H$207,MATCH($A431,Company_List!$A$3:$A$207,0)),"unassigned"))</f>
        <v/>
      </c>
      <c r="BC431">
        <f>IF($A431="","",IF(COUNTIFS($A$3:$A431,$A431,$C$3:$C431,$C431,$D$3:$D431,$D431,$G$3:$G431,$G431)=1,1,0))</f>
        <v/>
      </c>
      <c r="BK431">
        <f>IF(OR($H431&lt;&gt;"Human",$S431="",$J431="",$Y431="",$Z431=""),"",IF(EXACT(UPPER($J431),UPPER($Y431)),1,0))</f>
        <v/>
      </c>
    </row>
    <row r="432">
      <c r="B432" s="89">
        <f>IF(A432="","",_xlfn.XLOOKUP(A432, Company_List!$A:$A, Company_List!$B:$B, ""))</f>
        <v/>
      </c>
      <c r="J432" s="92">
        <f>IF(OR(I432="",Settings!$B$6=""),"",IF(I432&gt;Settings!$B$6,"BUY",IF(I432&lt;-Settings!$B$6,"SELL","HOLD")))</f>
        <v/>
      </c>
      <c r="Q432" s="95">
        <f>IF(OR(N432="",P432=""),"",ROUND((P432-N432)/N432,4))</f>
        <v/>
      </c>
      <c r="R432" s="84">
        <f>IF(OR(N432="",P432=""),"",IF(Q432&gt;Settings!$B$3/100,"UP",IF(Q432&lt;-Settings!$B$3/100,"DOWN","FLAT")))</f>
        <v/>
      </c>
      <c r="S432" s="84">
        <f>IF(OR(N432="",P432="",J432=""),"",IF(OR(AND(J432="BUY",R432="UP"),AND(J432="SELL",R432="DOWN"),AND(J432="HOLD",R432="FLAT")),"YES","NO"))</f>
        <v/>
      </c>
      <c r="T432" s="85">
        <f>IF(J432="","",IF(J432="BUY",1,IF(J432="SELL",-1,0)))</f>
        <v/>
      </c>
      <c r="U432" s="94">
        <f>IFERROR(IF(OR(J432="",N432="",P432=""),"",IF(T432=0,0,T432*Q432-Settings!$B$4/10000-IF(T432&lt;0,Settings!$B$5/10000,0))),"")</f>
        <v/>
      </c>
      <c r="W432" s="18">
        <f>IF($K432="","",$K432*60)</f>
        <v/>
      </c>
      <c r="X432" s="73">
        <f>IF($A432="","",$A432&amp;"|"&amp;$C432&amp;"|"&amp;$D432)</f>
        <v/>
      </c>
      <c r="Y432" s="73">
        <f>IFERROR(IF($X432="","",INDEX(LLM_Data_Entry!$H$3:$H$548,MATCH($X432,INDEX(LLM_Data_Entry!$A$3:$A$548&amp;"|"&amp;LLM_Data_Entry!$C$3:$C$548&amp;"|"&amp;LLM_Data_Entry!$D$3:$D$548,0),0))),"")</f>
        <v/>
      </c>
      <c r="Z432" s="73">
        <f>IFERROR(IF($X432="","",INDEX(LLM_Data_Entry!$R$3:$R$548,MATCH($X432,INDEX(LLM_Data_Entry!$A$3:$A$548&amp;"|"&amp;LLM_Data_Entry!$C$3:$C$548&amp;"|"&amp;LLM_Data_Entry!$D$3:$D$548,0),0))),"")</f>
        <v/>
      </c>
      <c r="AL432">
        <f>IF($A432="","",IFERROR(INDEX(Company_List!$G$3:$G$207,MATCH($A432,Company_List!$A$3:$A$207,0)),"unassigned"))</f>
        <v/>
      </c>
      <c r="AP432">
        <f>IF($A432="","",IF(COUNTIFS(LLM_Data_Entry!$A$3:$A$548,$A432)&gt;0,"YES","NO"))</f>
        <v/>
      </c>
      <c r="AQ432">
        <f>IF($A432="","",IF(COUNTIFS($A$3:$A432,$A432,$C$3:$C432,$C432,$D$3:$D432,$D432)=1,"YES","NO"))</f>
        <v/>
      </c>
      <c r="AR432">
        <f>IF($A432="","",IF(AND($C432&amp;"-"&amp;$D432&gt;=Settings!$B$19,$C432&amp;"-"&amp;$D432&lt;=Settings!$B$20),"IN","OUT"))</f>
        <v/>
      </c>
      <c r="AS432">
        <f>IF($A432="","",IF($F432="Financial Results","financials",IF($F432="Outlook/Guidance","guidance",IF($F432="Transcript Q&amp;A","qanda",IF($F432="","unrecorded",IF($E432="All","full",IF($E432="","unrecorded",LOWER($E432)&amp;" only")))))))</f>
        <v/>
      </c>
      <c r="AT432">
        <f>IF(AND(OR($J432="BUY",$J432="SELL"),ISNUMBER($U432)),$U432,"")</f>
        <v/>
      </c>
      <c r="AU432">
        <f>IF(AND(OR($J432="BUY",$J432="SELL"),ISNUMBER($AK432)),$AK432,"")</f>
        <v/>
      </c>
      <c r="AV432">
        <f>IF(ISNUMBER($AT432),ABS(IF(ISNUMBER($I432),$I432,0)-Settings!$B$24),"")</f>
        <v/>
      </c>
      <c r="AW432">
        <f>IF(ISNUMBER($AV432),$AV432*$AT432,"")</f>
        <v/>
      </c>
      <c r="AX432">
        <f>IF(ISNUMBER($AU432),ABS(IF(ISNUMBER($I432),$I432,0)-Settings!$B$24),"")</f>
        <v/>
      </c>
      <c r="AZ432">
        <f>IF($A432="","",IFERROR(INDEX(Company_List!$H$3:$H$207,MATCH($A432,Company_List!$A$3:$A$207,0)),"unassigned"))</f>
        <v/>
      </c>
      <c r="BC432">
        <f>IF($A432="","",IF(COUNTIFS($A$3:$A432,$A432,$C$3:$C432,$C432,$D$3:$D432,$D432,$G$3:$G432,$G432)=1,1,0))</f>
        <v/>
      </c>
      <c r="BK432">
        <f>IF(OR($H432&lt;&gt;"Human",$S432="",$J432="",$Y432="",$Z432=""),"",IF(EXACT(UPPER($J432),UPPER($Y432)),1,0))</f>
        <v/>
      </c>
    </row>
    <row r="433">
      <c r="B433" s="89">
        <f>IF(A433="","",_xlfn.XLOOKUP(A433, Company_List!$A:$A, Company_List!$B:$B, ""))</f>
        <v/>
      </c>
      <c r="J433" s="92">
        <f>IF(OR(I433="",Settings!$B$6=""),"",IF(I433&gt;Settings!$B$6,"BUY",IF(I433&lt;-Settings!$B$6,"SELL","HOLD")))</f>
        <v/>
      </c>
      <c r="Q433" s="95">
        <f>IF(OR(N433="",P433=""),"",ROUND((P433-N433)/N433,4))</f>
        <v/>
      </c>
      <c r="R433" s="84">
        <f>IF(OR(N433="",P433=""),"",IF(Q433&gt;Settings!$B$3/100,"UP",IF(Q433&lt;-Settings!$B$3/100,"DOWN","FLAT")))</f>
        <v/>
      </c>
      <c r="S433" s="84">
        <f>IF(OR(N433="",P433="",J433=""),"",IF(OR(AND(J433="BUY",R433="UP"),AND(J433="SELL",R433="DOWN"),AND(J433="HOLD",R433="FLAT")),"YES","NO"))</f>
        <v/>
      </c>
      <c r="T433" s="85">
        <f>IF(J433="","",IF(J433="BUY",1,IF(J433="SELL",-1,0)))</f>
        <v/>
      </c>
      <c r="U433" s="94">
        <f>IFERROR(IF(OR(J433="",N433="",P433=""),"",IF(T433=0,0,T433*Q433-Settings!$B$4/10000-IF(T433&lt;0,Settings!$B$5/10000,0))),"")</f>
        <v/>
      </c>
      <c r="W433" s="18">
        <f>IF($K433="","",$K433*60)</f>
        <v/>
      </c>
      <c r="X433" s="73">
        <f>IF($A433="","",$A433&amp;"|"&amp;$C433&amp;"|"&amp;$D433)</f>
        <v/>
      </c>
      <c r="Y433" s="73">
        <f>IFERROR(IF($X433="","",INDEX(LLM_Data_Entry!$H$3:$H$548,MATCH($X433,INDEX(LLM_Data_Entry!$A$3:$A$548&amp;"|"&amp;LLM_Data_Entry!$C$3:$C$548&amp;"|"&amp;LLM_Data_Entry!$D$3:$D$548,0),0))),"")</f>
        <v/>
      </c>
      <c r="Z433" s="73">
        <f>IFERROR(IF($X433="","",INDEX(LLM_Data_Entry!$R$3:$R$548,MATCH($X433,INDEX(LLM_Data_Entry!$A$3:$A$548&amp;"|"&amp;LLM_Data_Entry!$C$3:$C$548&amp;"|"&amp;LLM_Data_Entry!$D$3:$D$548,0),0))),"")</f>
        <v/>
      </c>
      <c r="AL433">
        <f>IF($A433="","",IFERROR(INDEX(Company_List!$G$3:$G$207,MATCH($A433,Company_List!$A$3:$A$207,0)),"unassigned"))</f>
        <v/>
      </c>
      <c r="AP433">
        <f>IF($A433="","",IF(COUNTIFS(LLM_Data_Entry!$A$3:$A$548,$A433)&gt;0,"YES","NO"))</f>
        <v/>
      </c>
      <c r="AQ433">
        <f>IF($A433="","",IF(COUNTIFS($A$3:$A433,$A433,$C$3:$C433,$C433,$D$3:$D433,$D433)=1,"YES","NO"))</f>
        <v/>
      </c>
      <c r="AR433">
        <f>IF($A433="","",IF(AND($C433&amp;"-"&amp;$D433&gt;=Settings!$B$19,$C433&amp;"-"&amp;$D433&lt;=Settings!$B$20),"IN","OUT"))</f>
        <v/>
      </c>
      <c r="AS433">
        <f>IF($A433="","",IF($F433="Financial Results","financials",IF($F433="Outlook/Guidance","guidance",IF($F433="Transcript Q&amp;A","qanda",IF($F433="","unrecorded",IF($E433="All","full",IF($E433="","unrecorded",LOWER($E433)&amp;" only")))))))</f>
        <v/>
      </c>
      <c r="AT433">
        <f>IF(AND(OR($J433="BUY",$J433="SELL"),ISNUMBER($U433)),$U433,"")</f>
        <v/>
      </c>
      <c r="AU433">
        <f>IF(AND(OR($J433="BUY",$J433="SELL"),ISNUMBER($AK433)),$AK433,"")</f>
        <v/>
      </c>
      <c r="AV433">
        <f>IF(ISNUMBER($AT433),ABS(IF(ISNUMBER($I433),$I433,0)-Settings!$B$24),"")</f>
        <v/>
      </c>
      <c r="AW433">
        <f>IF(ISNUMBER($AV433),$AV433*$AT433,"")</f>
        <v/>
      </c>
      <c r="AX433">
        <f>IF(ISNUMBER($AU433),ABS(IF(ISNUMBER($I433),$I433,0)-Settings!$B$24),"")</f>
        <v/>
      </c>
      <c r="AZ433">
        <f>IF($A433="","",IFERROR(INDEX(Company_List!$H$3:$H$207,MATCH($A433,Company_List!$A$3:$A$207,0)),"unassigned"))</f>
        <v/>
      </c>
      <c r="BC433">
        <f>IF($A433="","",IF(COUNTIFS($A$3:$A433,$A433,$C$3:$C433,$C433,$D$3:$D433,$D433,$G$3:$G433,$G433)=1,1,0))</f>
        <v/>
      </c>
      <c r="BK433">
        <f>IF(OR($H433&lt;&gt;"Human",$S433="",$J433="",$Y433="",$Z433=""),"",IF(EXACT(UPPER($J433),UPPER($Y433)),1,0))</f>
        <v/>
      </c>
    </row>
    <row r="434">
      <c r="B434" s="89">
        <f>IF(A434="","",_xlfn.XLOOKUP(A434, Company_List!$A:$A, Company_List!$B:$B, ""))</f>
        <v/>
      </c>
      <c r="J434" s="92">
        <f>IF(OR(I434="",Settings!$B$6=""),"",IF(I434&gt;Settings!$B$6,"BUY",IF(I434&lt;-Settings!$B$6,"SELL","HOLD")))</f>
        <v/>
      </c>
      <c r="Q434" s="95">
        <f>IF(OR(N434="",P434=""),"",ROUND((P434-N434)/N434,4))</f>
        <v/>
      </c>
      <c r="R434" s="84">
        <f>IF(OR(N434="",P434=""),"",IF(Q434&gt;Settings!$B$3/100,"UP",IF(Q434&lt;-Settings!$B$3/100,"DOWN","FLAT")))</f>
        <v/>
      </c>
      <c r="S434" s="84">
        <f>IF(OR(N434="",P434="",J434=""),"",IF(OR(AND(J434="BUY",R434="UP"),AND(J434="SELL",R434="DOWN"),AND(J434="HOLD",R434="FLAT")),"YES","NO"))</f>
        <v/>
      </c>
      <c r="T434" s="85">
        <f>IF(J434="","",IF(J434="BUY",1,IF(J434="SELL",-1,0)))</f>
        <v/>
      </c>
      <c r="U434" s="94">
        <f>IFERROR(IF(OR(J434="",N434="",P434=""),"",IF(T434=0,0,T434*Q434-Settings!$B$4/10000-IF(T434&lt;0,Settings!$B$5/10000,0))),"")</f>
        <v/>
      </c>
      <c r="W434" s="18">
        <f>IF($K434="","",$K434*60)</f>
        <v/>
      </c>
      <c r="X434" s="73">
        <f>IF($A434="","",$A434&amp;"|"&amp;$C434&amp;"|"&amp;$D434)</f>
        <v/>
      </c>
      <c r="Y434" s="73">
        <f>IFERROR(IF($X434="","",INDEX(LLM_Data_Entry!$H$3:$H$548,MATCH($X434,INDEX(LLM_Data_Entry!$A$3:$A$548&amp;"|"&amp;LLM_Data_Entry!$C$3:$C$548&amp;"|"&amp;LLM_Data_Entry!$D$3:$D$548,0),0))),"")</f>
        <v/>
      </c>
      <c r="Z434" s="73">
        <f>IFERROR(IF($X434="","",INDEX(LLM_Data_Entry!$R$3:$R$548,MATCH($X434,INDEX(LLM_Data_Entry!$A$3:$A$548&amp;"|"&amp;LLM_Data_Entry!$C$3:$C$548&amp;"|"&amp;LLM_Data_Entry!$D$3:$D$548,0),0))),"")</f>
        <v/>
      </c>
      <c r="AL434">
        <f>IF($A434="","",IFERROR(INDEX(Company_List!$G$3:$G$207,MATCH($A434,Company_List!$A$3:$A$207,0)),"unassigned"))</f>
        <v/>
      </c>
      <c r="AP434">
        <f>IF($A434="","",IF(COUNTIFS(LLM_Data_Entry!$A$3:$A$548,$A434)&gt;0,"YES","NO"))</f>
        <v/>
      </c>
      <c r="AQ434">
        <f>IF($A434="","",IF(COUNTIFS($A$3:$A434,$A434,$C$3:$C434,$C434,$D$3:$D434,$D434)=1,"YES","NO"))</f>
        <v/>
      </c>
      <c r="AR434">
        <f>IF($A434="","",IF(AND($C434&amp;"-"&amp;$D434&gt;=Settings!$B$19,$C434&amp;"-"&amp;$D434&lt;=Settings!$B$20),"IN","OUT"))</f>
        <v/>
      </c>
      <c r="AS434">
        <f>IF($A434="","",IF($F434="Financial Results","financials",IF($F434="Outlook/Guidance","guidance",IF($F434="Transcript Q&amp;A","qanda",IF($F434="","unrecorded",IF($E434="All","full",IF($E434="","unrecorded",LOWER($E434)&amp;" only")))))))</f>
        <v/>
      </c>
      <c r="AT434">
        <f>IF(AND(OR($J434="BUY",$J434="SELL"),ISNUMBER($U434)),$U434,"")</f>
        <v/>
      </c>
      <c r="AU434">
        <f>IF(AND(OR($J434="BUY",$J434="SELL"),ISNUMBER($AK434)),$AK434,"")</f>
        <v/>
      </c>
      <c r="AV434">
        <f>IF(ISNUMBER($AT434),ABS(IF(ISNUMBER($I434),$I434,0)-Settings!$B$24),"")</f>
        <v/>
      </c>
      <c r="AW434">
        <f>IF(ISNUMBER($AV434),$AV434*$AT434,"")</f>
        <v/>
      </c>
      <c r="AX434">
        <f>IF(ISNUMBER($AU434),ABS(IF(ISNUMBER($I434),$I434,0)-Settings!$B$24),"")</f>
        <v/>
      </c>
      <c r="AZ434">
        <f>IF($A434="","",IFERROR(INDEX(Company_List!$H$3:$H$207,MATCH($A434,Company_List!$A$3:$A$207,0)),"unassigned"))</f>
        <v/>
      </c>
      <c r="BC434">
        <f>IF($A434="","",IF(COUNTIFS($A$3:$A434,$A434,$C$3:$C434,$C434,$D$3:$D434,$D434,$G$3:$G434,$G434)=1,1,0))</f>
        <v/>
      </c>
      <c r="BK434">
        <f>IF(OR($H434&lt;&gt;"Human",$S434="",$J434="",$Y434="",$Z434=""),"",IF(EXACT(UPPER($J434),UPPER($Y434)),1,0))</f>
        <v/>
      </c>
    </row>
    <row r="435">
      <c r="B435" s="89">
        <f>IF(A435="","",_xlfn.XLOOKUP(A435, Company_List!$A:$A, Company_List!$B:$B, ""))</f>
        <v/>
      </c>
      <c r="J435" s="92">
        <f>IF(OR(I435="",Settings!$B$6=""),"",IF(I435&gt;Settings!$B$6,"BUY",IF(I435&lt;-Settings!$B$6,"SELL","HOLD")))</f>
        <v/>
      </c>
      <c r="Q435" s="95">
        <f>IF(OR(N435="",P435=""),"",ROUND((P435-N435)/N435,4))</f>
        <v/>
      </c>
      <c r="R435" s="84">
        <f>IF(OR(N435="",P435=""),"",IF(Q435&gt;Settings!$B$3/100,"UP",IF(Q435&lt;-Settings!$B$3/100,"DOWN","FLAT")))</f>
        <v/>
      </c>
      <c r="S435" s="84">
        <f>IF(OR(N435="",P435="",J435=""),"",IF(OR(AND(J435="BUY",R435="UP"),AND(J435="SELL",R435="DOWN"),AND(J435="HOLD",R435="FLAT")),"YES","NO"))</f>
        <v/>
      </c>
      <c r="T435" s="85">
        <f>IF(J435="","",IF(J435="BUY",1,IF(J435="SELL",-1,0)))</f>
        <v/>
      </c>
      <c r="U435" s="94">
        <f>IFERROR(IF(OR(J435="",N435="",P435=""),"",IF(T435=0,0,T435*Q435-Settings!$B$4/10000-IF(T435&lt;0,Settings!$B$5/10000,0))),"")</f>
        <v/>
      </c>
      <c r="W435" s="18">
        <f>IF($K435="","",$K435*60)</f>
        <v/>
      </c>
      <c r="X435" s="73">
        <f>IF($A435="","",$A435&amp;"|"&amp;$C435&amp;"|"&amp;$D435)</f>
        <v/>
      </c>
      <c r="Y435" s="73">
        <f>IFERROR(IF($X435="","",INDEX(LLM_Data_Entry!$H$3:$H$548,MATCH($X435,INDEX(LLM_Data_Entry!$A$3:$A$548&amp;"|"&amp;LLM_Data_Entry!$C$3:$C$548&amp;"|"&amp;LLM_Data_Entry!$D$3:$D$548,0),0))),"")</f>
        <v/>
      </c>
      <c r="Z435" s="73">
        <f>IFERROR(IF($X435="","",INDEX(LLM_Data_Entry!$R$3:$R$548,MATCH($X435,INDEX(LLM_Data_Entry!$A$3:$A$548&amp;"|"&amp;LLM_Data_Entry!$C$3:$C$548&amp;"|"&amp;LLM_Data_Entry!$D$3:$D$548,0),0))),"")</f>
        <v/>
      </c>
      <c r="AL435">
        <f>IF($A435="","",IFERROR(INDEX(Company_List!$G$3:$G$207,MATCH($A435,Company_List!$A$3:$A$207,0)),"unassigned"))</f>
        <v/>
      </c>
      <c r="AP435">
        <f>IF($A435="","",IF(COUNTIFS(LLM_Data_Entry!$A$3:$A$548,$A435)&gt;0,"YES","NO"))</f>
        <v/>
      </c>
      <c r="AQ435">
        <f>IF($A435="","",IF(COUNTIFS($A$3:$A435,$A435,$C$3:$C435,$C435,$D$3:$D435,$D435)=1,"YES","NO"))</f>
        <v/>
      </c>
      <c r="AR435">
        <f>IF($A435="","",IF(AND($C435&amp;"-"&amp;$D435&gt;=Settings!$B$19,$C435&amp;"-"&amp;$D435&lt;=Settings!$B$20),"IN","OUT"))</f>
        <v/>
      </c>
      <c r="AS435">
        <f>IF($A435="","",IF($F435="Financial Results","financials",IF($F435="Outlook/Guidance","guidance",IF($F435="Transcript Q&amp;A","qanda",IF($F435="","unrecorded",IF($E435="All","full",IF($E435="","unrecorded",LOWER($E435)&amp;" only")))))))</f>
        <v/>
      </c>
      <c r="AT435">
        <f>IF(AND(OR($J435="BUY",$J435="SELL"),ISNUMBER($U435)),$U435,"")</f>
        <v/>
      </c>
      <c r="AU435">
        <f>IF(AND(OR($J435="BUY",$J435="SELL"),ISNUMBER($AK435)),$AK435,"")</f>
        <v/>
      </c>
      <c r="AV435">
        <f>IF(ISNUMBER($AT435),ABS(IF(ISNUMBER($I435),$I435,0)-Settings!$B$24),"")</f>
        <v/>
      </c>
      <c r="AW435">
        <f>IF(ISNUMBER($AV435),$AV435*$AT435,"")</f>
        <v/>
      </c>
      <c r="AX435">
        <f>IF(ISNUMBER($AU435),ABS(IF(ISNUMBER($I435),$I435,0)-Settings!$B$24),"")</f>
        <v/>
      </c>
      <c r="AZ435">
        <f>IF($A435="","",IFERROR(INDEX(Company_List!$H$3:$H$207,MATCH($A435,Company_List!$A$3:$A$207,0)),"unassigned"))</f>
        <v/>
      </c>
      <c r="BC435">
        <f>IF($A435="","",IF(COUNTIFS($A$3:$A435,$A435,$C$3:$C435,$C435,$D$3:$D435,$D435,$G$3:$G435,$G435)=1,1,0))</f>
        <v/>
      </c>
      <c r="BK435">
        <f>IF(OR($H435&lt;&gt;"Human",$S435="",$J435="",$Y435="",$Z435=""),"",IF(EXACT(UPPER($J435),UPPER($Y435)),1,0))</f>
        <v/>
      </c>
    </row>
    <row r="436">
      <c r="B436" s="89">
        <f>IF(A436="","",_xlfn.XLOOKUP(A436, Company_List!$A:$A, Company_List!$B:$B, ""))</f>
        <v/>
      </c>
      <c r="J436" s="92">
        <f>IF(OR(I436="",Settings!$B$6=""),"",IF(I436&gt;Settings!$B$6,"BUY",IF(I436&lt;-Settings!$B$6,"SELL","HOLD")))</f>
        <v/>
      </c>
      <c r="Q436" s="95">
        <f>IF(OR(N436="",P436=""),"",ROUND((P436-N436)/N436,4))</f>
        <v/>
      </c>
      <c r="R436" s="84">
        <f>IF(OR(N436="",P436=""),"",IF(Q436&gt;Settings!$B$3/100,"UP",IF(Q436&lt;-Settings!$B$3/100,"DOWN","FLAT")))</f>
        <v/>
      </c>
      <c r="S436" s="84">
        <f>IF(OR(N436="",P436="",J436=""),"",IF(OR(AND(J436="BUY",R436="UP"),AND(J436="SELL",R436="DOWN"),AND(J436="HOLD",R436="FLAT")),"YES","NO"))</f>
        <v/>
      </c>
      <c r="T436" s="85">
        <f>IF(J436="","",IF(J436="BUY",1,IF(J436="SELL",-1,0)))</f>
        <v/>
      </c>
      <c r="U436" s="94">
        <f>IFERROR(IF(OR(J436="",N436="",P436=""),"",IF(T436=0,0,T436*Q436-Settings!$B$4/10000-IF(T436&lt;0,Settings!$B$5/10000,0))),"")</f>
        <v/>
      </c>
      <c r="W436" s="18">
        <f>IF($K436="","",$K436*60)</f>
        <v/>
      </c>
      <c r="X436" s="73">
        <f>IF($A436="","",$A436&amp;"|"&amp;$C436&amp;"|"&amp;$D436)</f>
        <v/>
      </c>
      <c r="Y436" s="73">
        <f>IFERROR(IF($X436="","",INDEX(LLM_Data_Entry!$H$3:$H$548,MATCH($X436,INDEX(LLM_Data_Entry!$A$3:$A$548&amp;"|"&amp;LLM_Data_Entry!$C$3:$C$548&amp;"|"&amp;LLM_Data_Entry!$D$3:$D$548,0),0))),"")</f>
        <v/>
      </c>
      <c r="Z436" s="73">
        <f>IFERROR(IF($X436="","",INDEX(LLM_Data_Entry!$R$3:$R$548,MATCH($X436,INDEX(LLM_Data_Entry!$A$3:$A$548&amp;"|"&amp;LLM_Data_Entry!$C$3:$C$548&amp;"|"&amp;LLM_Data_Entry!$D$3:$D$548,0),0))),"")</f>
        <v/>
      </c>
      <c r="AL436">
        <f>IF($A436="","",IFERROR(INDEX(Company_List!$G$3:$G$207,MATCH($A436,Company_List!$A$3:$A$207,0)),"unassigned"))</f>
        <v/>
      </c>
      <c r="AP436">
        <f>IF($A436="","",IF(COUNTIFS(LLM_Data_Entry!$A$3:$A$548,$A436)&gt;0,"YES","NO"))</f>
        <v/>
      </c>
      <c r="AQ436">
        <f>IF($A436="","",IF(COUNTIFS($A$3:$A436,$A436,$C$3:$C436,$C436,$D$3:$D436,$D436)=1,"YES","NO"))</f>
        <v/>
      </c>
      <c r="AR436">
        <f>IF($A436="","",IF(AND($C436&amp;"-"&amp;$D436&gt;=Settings!$B$19,$C436&amp;"-"&amp;$D436&lt;=Settings!$B$20),"IN","OUT"))</f>
        <v/>
      </c>
      <c r="AS436">
        <f>IF($A436="","",IF($F436="Financial Results","financials",IF($F436="Outlook/Guidance","guidance",IF($F436="Transcript Q&amp;A","qanda",IF($F436="","unrecorded",IF($E436="All","full",IF($E436="","unrecorded",LOWER($E436)&amp;" only")))))))</f>
        <v/>
      </c>
      <c r="AT436">
        <f>IF(AND(OR($J436="BUY",$J436="SELL"),ISNUMBER($U436)),$U436,"")</f>
        <v/>
      </c>
      <c r="AU436">
        <f>IF(AND(OR($J436="BUY",$J436="SELL"),ISNUMBER($AK436)),$AK436,"")</f>
        <v/>
      </c>
      <c r="AV436">
        <f>IF(ISNUMBER($AT436),ABS(IF(ISNUMBER($I436),$I436,0)-Settings!$B$24),"")</f>
        <v/>
      </c>
      <c r="AW436">
        <f>IF(ISNUMBER($AV436),$AV436*$AT436,"")</f>
        <v/>
      </c>
      <c r="AX436">
        <f>IF(ISNUMBER($AU436),ABS(IF(ISNUMBER($I436),$I436,0)-Settings!$B$24),"")</f>
        <v/>
      </c>
      <c r="AZ436">
        <f>IF($A436="","",IFERROR(INDEX(Company_List!$H$3:$H$207,MATCH($A436,Company_List!$A$3:$A$207,0)),"unassigned"))</f>
        <v/>
      </c>
      <c r="BC436">
        <f>IF($A436="","",IF(COUNTIFS($A$3:$A436,$A436,$C$3:$C436,$C436,$D$3:$D436,$D436,$G$3:$G436,$G436)=1,1,0))</f>
        <v/>
      </c>
      <c r="BK436">
        <f>IF(OR($H436&lt;&gt;"Human",$S436="",$J436="",$Y436="",$Z436=""),"",IF(EXACT(UPPER($J436),UPPER($Y436)),1,0))</f>
        <v/>
      </c>
    </row>
    <row r="437">
      <c r="B437" s="89">
        <f>IF(A437="","",_xlfn.XLOOKUP(A437, Company_List!$A:$A, Company_List!$B:$B, ""))</f>
        <v/>
      </c>
      <c r="J437" s="92">
        <f>IF(OR(I437="",Settings!$B$6=""),"",IF(I437&gt;Settings!$B$6,"BUY",IF(I437&lt;-Settings!$B$6,"SELL","HOLD")))</f>
        <v/>
      </c>
      <c r="Q437" s="95">
        <f>IF(OR(N437="",P437=""),"",ROUND((P437-N437)/N437,4))</f>
        <v/>
      </c>
      <c r="R437" s="84">
        <f>IF(OR(N437="",P437=""),"",IF(Q437&gt;Settings!$B$3/100,"UP",IF(Q437&lt;-Settings!$B$3/100,"DOWN","FLAT")))</f>
        <v/>
      </c>
      <c r="S437" s="84">
        <f>IF(OR(N437="",P437="",J437=""),"",IF(OR(AND(J437="BUY",R437="UP"),AND(J437="SELL",R437="DOWN"),AND(J437="HOLD",R437="FLAT")),"YES","NO"))</f>
        <v/>
      </c>
      <c r="T437" s="85">
        <f>IF(J437="","",IF(J437="BUY",1,IF(J437="SELL",-1,0)))</f>
        <v/>
      </c>
      <c r="U437" s="94">
        <f>IFERROR(IF(OR(J437="",N437="",P437=""),"",IF(T437=0,0,T437*Q437-Settings!$B$4/10000-IF(T437&lt;0,Settings!$B$5/10000,0))),"")</f>
        <v/>
      </c>
      <c r="W437" s="18">
        <f>IF($K437="","",$K437*60)</f>
        <v/>
      </c>
      <c r="X437" s="73">
        <f>IF($A437="","",$A437&amp;"|"&amp;$C437&amp;"|"&amp;$D437)</f>
        <v/>
      </c>
      <c r="Y437" s="73">
        <f>IFERROR(IF($X437="","",INDEX(LLM_Data_Entry!$H$3:$H$548,MATCH($X437,INDEX(LLM_Data_Entry!$A$3:$A$548&amp;"|"&amp;LLM_Data_Entry!$C$3:$C$548&amp;"|"&amp;LLM_Data_Entry!$D$3:$D$548,0),0))),"")</f>
        <v/>
      </c>
      <c r="Z437" s="73">
        <f>IFERROR(IF($X437="","",INDEX(LLM_Data_Entry!$R$3:$R$548,MATCH($X437,INDEX(LLM_Data_Entry!$A$3:$A$548&amp;"|"&amp;LLM_Data_Entry!$C$3:$C$548&amp;"|"&amp;LLM_Data_Entry!$D$3:$D$548,0),0))),"")</f>
        <v/>
      </c>
      <c r="AL437">
        <f>IF($A437="","",IFERROR(INDEX(Company_List!$G$3:$G$207,MATCH($A437,Company_List!$A$3:$A$207,0)),"unassigned"))</f>
        <v/>
      </c>
      <c r="AP437">
        <f>IF($A437="","",IF(COUNTIFS(LLM_Data_Entry!$A$3:$A$548,$A437)&gt;0,"YES","NO"))</f>
        <v/>
      </c>
      <c r="AQ437">
        <f>IF($A437="","",IF(COUNTIFS($A$3:$A437,$A437,$C$3:$C437,$C437,$D$3:$D437,$D437)=1,"YES","NO"))</f>
        <v/>
      </c>
      <c r="AR437">
        <f>IF($A437="","",IF(AND($C437&amp;"-"&amp;$D437&gt;=Settings!$B$19,$C437&amp;"-"&amp;$D437&lt;=Settings!$B$20),"IN","OUT"))</f>
        <v/>
      </c>
      <c r="AS437">
        <f>IF($A437="","",IF($F437="Financial Results","financials",IF($F437="Outlook/Guidance","guidance",IF($F437="Transcript Q&amp;A","qanda",IF($F437="","unrecorded",IF($E437="All","full",IF($E437="","unrecorded",LOWER($E437)&amp;" only")))))))</f>
        <v/>
      </c>
      <c r="AT437">
        <f>IF(AND(OR($J437="BUY",$J437="SELL"),ISNUMBER($U437)),$U437,"")</f>
        <v/>
      </c>
      <c r="AU437">
        <f>IF(AND(OR($J437="BUY",$J437="SELL"),ISNUMBER($AK437)),$AK437,"")</f>
        <v/>
      </c>
      <c r="AV437">
        <f>IF(ISNUMBER($AT437),ABS(IF(ISNUMBER($I437),$I437,0)-Settings!$B$24),"")</f>
        <v/>
      </c>
      <c r="AW437">
        <f>IF(ISNUMBER($AV437),$AV437*$AT437,"")</f>
        <v/>
      </c>
      <c r="AX437">
        <f>IF(ISNUMBER($AU437),ABS(IF(ISNUMBER($I437),$I437,0)-Settings!$B$24),"")</f>
        <v/>
      </c>
      <c r="AZ437">
        <f>IF($A437="","",IFERROR(INDEX(Company_List!$H$3:$H$207,MATCH($A437,Company_List!$A$3:$A$207,0)),"unassigned"))</f>
        <v/>
      </c>
      <c r="BC437">
        <f>IF($A437="","",IF(COUNTIFS($A$3:$A437,$A437,$C$3:$C437,$C437,$D$3:$D437,$D437,$G$3:$G437,$G437)=1,1,0))</f>
        <v/>
      </c>
      <c r="BK437">
        <f>IF(OR($H437&lt;&gt;"Human",$S437="",$J437="",$Y437="",$Z437=""),"",IF(EXACT(UPPER($J437),UPPER($Y437)),1,0))</f>
        <v/>
      </c>
    </row>
    <row r="438">
      <c r="B438" s="89">
        <f>IF(A438="","",_xlfn.XLOOKUP(A438, Company_List!$A:$A, Company_List!$B:$B, ""))</f>
        <v/>
      </c>
      <c r="J438" s="92">
        <f>IF(OR(I438="",Settings!$B$6=""),"",IF(I438&gt;Settings!$B$6,"BUY",IF(I438&lt;-Settings!$B$6,"SELL","HOLD")))</f>
        <v/>
      </c>
      <c r="Q438" s="95">
        <f>IF(OR(N438="",P438=""),"",ROUND((P438-N438)/N438,4))</f>
        <v/>
      </c>
      <c r="R438" s="84">
        <f>IF(OR(N438="",P438=""),"",IF(Q438&gt;Settings!$B$3/100,"UP",IF(Q438&lt;-Settings!$B$3/100,"DOWN","FLAT")))</f>
        <v/>
      </c>
      <c r="S438" s="84">
        <f>IF(OR(N438="",P438="",J438=""),"",IF(OR(AND(J438="BUY",R438="UP"),AND(J438="SELL",R438="DOWN"),AND(J438="HOLD",R438="FLAT")),"YES","NO"))</f>
        <v/>
      </c>
      <c r="T438" s="85">
        <f>IF(J438="","",IF(J438="BUY",1,IF(J438="SELL",-1,0)))</f>
        <v/>
      </c>
      <c r="U438" s="94">
        <f>IFERROR(IF(OR(J438="",N438="",P438=""),"",IF(T438=0,0,T438*Q438-Settings!$B$4/10000-IF(T438&lt;0,Settings!$B$5/10000,0))),"")</f>
        <v/>
      </c>
      <c r="W438" s="18">
        <f>IF($K438="","",$K438*60)</f>
        <v/>
      </c>
      <c r="X438" s="73">
        <f>IF($A438="","",$A438&amp;"|"&amp;$C438&amp;"|"&amp;$D438)</f>
        <v/>
      </c>
      <c r="Y438" s="73">
        <f>IFERROR(IF($X438="","",INDEX(LLM_Data_Entry!$H$3:$H$548,MATCH($X438,INDEX(LLM_Data_Entry!$A$3:$A$548&amp;"|"&amp;LLM_Data_Entry!$C$3:$C$548&amp;"|"&amp;LLM_Data_Entry!$D$3:$D$548,0),0))),"")</f>
        <v/>
      </c>
      <c r="Z438" s="73">
        <f>IFERROR(IF($X438="","",INDEX(LLM_Data_Entry!$R$3:$R$548,MATCH($X438,INDEX(LLM_Data_Entry!$A$3:$A$548&amp;"|"&amp;LLM_Data_Entry!$C$3:$C$548&amp;"|"&amp;LLM_Data_Entry!$D$3:$D$548,0),0))),"")</f>
        <v/>
      </c>
      <c r="AL438">
        <f>IF($A438="","",IFERROR(INDEX(Company_List!$G$3:$G$207,MATCH($A438,Company_List!$A$3:$A$207,0)),"unassigned"))</f>
        <v/>
      </c>
      <c r="AP438">
        <f>IF($A438="","",IF(COUNTIFS(LLM_Data_Entry!$A$3:$A$548,$A438)&gt;0,"YES","NO"))</f>
        <v/>
      </c>
      <c r="AQ438">
        <f>IF($A438="","",IF(COUNTIFS($A$3:$A438,$A438,$C$3:$C438,$C438,$D$3:$D438,$D438)=1,"YES","NO"))</f>
        <v/>
      </c>
      <c r="AR438">
        <f>IF($A438="","",IF(AND($C438&amp;"-"&amp;$D438&gt;=Settings!$B$19,$C438&amp;"-"&amp;$D438&lt;=Settings!$B$20),"IN","OUT"))</f>
        <v/>
      </c>
      <c r="AS438">
        <f>IF($A438="","",IF($F438="Financial Results","financials",IF($F438="Outlook/Guidance","guidance",IF($F438="Transcript Q&amp;A","qanda",IF($F438="","unrecorded",IF($E438="All","full",IF($E438="","unrecorded",LOWER($E438)&amp;" only")))))))</f>
        <v/>
      </c>
      <c r="AT438">
        <f>IF(AND(OR($J438="BUY",$J438="SELL"),ISNUMBER($U438)),$U438,"")</f>
        <v/>
      </c>
      <c r="AU438">
        <f>IF(AND(OR($J438="BUY",$J438="SELL"),ISNUMBER($AK438)),$AK438,"")</f>
        <v/>
      </c>
      <c r="AV438">
        <f>IF(ISNUMBER($AT438),ABS(IF(ISNUMBER($I438),$I438,0)-Settings!$B$24),"")</f>
        <v/>
      </c>
      <c r="AW438">
        <f>IF(ISNUMBER($AV438),$AV438*$AT438,"")</f>
        <v/>
      </c>
      <c r="AX438">
        <f>IF(ISNUMBER($AU438),ABS(IF(ISNUMBER($I438),$I438,0)-Settings!$B$24),"")</f>
        <v/>
      </c>
      <c r="AZ438">
        <f>IF($A438="","",IFERROR(INDEX(Company_List!$H$3:$H$207,MATCH($A438,Company_List!$A$3:$A$207,0)),"unassigned"))</f>
        <v/>
      </c>
      <c r="BC438">
        <f>IF($A438="","",IF(COUNTIFS($A$3:$A438,$A438,$C$3:$C438,$C438,$D$3:$D438,$D438,$G$3:$G438,$G438)=1,1,0))</f>
        <v/>
      </c>
      <c r="BK438">
        <f>IF(OR($H438&lt;&gt;"Human",$S438="",$J438="",$Y438="",$Z438=""),"",IF(EXACT(UPPER($J438),UPPER($Y438)),1,0))</f>
        <v/>
      </c>
    </row>
    <row r="439">
      <c r="B439" s="89">
        <f>IF(A439="","",_xlfn.XLOOKUP(A439, Company_List!$A:$A, Company_List!$B:$B, ""))</f>
        <v/>
      </c>
      <c r="J439" s="92">
        <f>IF(OR(I439="",Settings!$B$6=""),"",IF(I439&gt;Settings!$B$6,"BUY",IF(I439&lt;-Settings!$B$6,"SELL","HOLD")))</f>
        <v/>
      </c>
      <c r="Q439" s="95">
        <f>IF(OR(N439="",P439=""),"",ROUND((P439-N439)/N439,4))</f>
        <v/>
      </c>
      <c r="R439" s="84">
        <f>IF(OR(N439="",P439=""),"",IF(Q439&gt;Settings!$B$3/100,"UP",IF(Q439&lt;-Settings!$B$3/100,"DOWN","FLAT")))</f>
        <v/>
      </c>
      <c r="S439" s="84">
        <f>IF(OR(N439="",P439="",J439=""),"",IF(OR(AND(J439="BUY",R439="UP"),AND(J439="SELL",R439="DOWN"),AND(J439="HOLD",R439="FLAT")),"YES","NO"))</f>
        <v/>
      </c>
      <c r="T439" s="85">
        <f>IF(J439="","",IF(J439="BUY",1,IF(J439="SELL",-1,0)))</f>
        <v/>
      </c>
      <c r="U439" s="94">
        <f>IFERROR(IF(OR(J439="",N439="",P439=""),"",IF(T439=0,0,T439*Q439-Settings!$B$4/10000-IF(T439&lt;0,Settings!$B$5/10000,0))),"")</f>
        <v/>
      </c>
      <c r="W439" s="18">
        <f>IF($K439="","",$K439*60)</f>
        <v/>
      </c>
      <c r="X439" s="73">
        <f>IF($A439="","",$A439&amp;"|"&amp;$C439&amp;"|"&amp;$D439)</f>
        <v/>
      </c>
      <c r="Y439" s="73">
        <f>IFERROR(IF($X439="","",INDEX(LLM_Data_Entry!$H$3:$H$548,MATCH($X439,INDEX(LLM_Data_Entry!$A$3:$A$548&amp;"|"&amp;LLM_Data_Entry!$C$3:$C$548&amp;"|"&amp;LLM_Data_Entry!$D$3:$D$548,0),0))),"")</f>
        <v/>
      </c>
      <c r="Z439" s="73">
        <f>IFERROR(IF($X439="","",INDEX(LLM_Data_Entry!$R$3:$R$548,MATCH($X439,INDEX(LLM_Data_Entry!$A$3:$A$548&amp;"|"&amp;LLM_Data_Entry!$C$3:$C$548&amp;"|"&amp;LLM_Data_Entry!$D$3:$D$548,0),0))),"")</f>
        <v/>
      </c>
      <c r="AL439">
        <f>IF($A439="","",IFERROR(INDEX(Company_List!$G$3:$G$207,MATCH($A439,Company_List!$A$3:$A$207,0)),"unassigned"))</f>
        <v/>
      </c>
      <c r="AP439">
        <f>IF($A439="","",IF(COUNTIFS(LLM_Data_Entry!$A$3:$A$548,$A439)&gt;0,"YES","NO"))</f>
        <v/>
      </c>
      <c r="AQ439">
        <f>IF($A439="","",IF(COUNTIFS($A$3:$A439,$A439,$C$3:$C439,$C439,$D$3:$D439,$D439)=1,"YES","NO"))</f>
        <v/>
      </c>
      <c r="AR439">
        <f>IF($A439="","",IF(AND($C439&amp;"-"&amp;$D439&gt;=Settings!$B$19,$C439&amp;"-"&amp;$D439&lt;=Settings!$B$20),"IN","OUT"))</f>
        <v/>
      </c>
      <c r="AS439">
        <f>IF($A439="","",IF($F439="Financial Results","financials",IF($F439="Outlook/Guidance","guidance",IF($F439="Transcript Q&amp;A","qanda",IF($F439="","unrecorded",IF($E439="All","full",IF($E439="","unrecorded",LOWER($E439)&amp;" only")))))))</f>
        <v/>
      </c>
      <c r="AT439">
        <f>IF(AND(OR($J439="BUY",$J439="SELL"),ISNUMBER($U439)),$U439,"")</f>
        <v/>
      </c>
      <c r="AU439">
        <f>IF(AND(OR($J439="BUY",$J439="SELL"),ISNUMBER($AK439)),$AK439,"")</f>
        <v/>
      </c>
      <c r="AV439">
        <f>IF(ISNUMBER($AT439),ABS(IF(ISNUMBER($I439),$I439,0)-Settings!$B$24),"")</f>
        <v/>
      </c>
      <c r="AW439">
        <f>IF(ISNUMBER($AV439),$AV439*$AT439,"")</f>
        <v/>
      </c>
      <c r="AX439">
        <f>IF(ISNUMBER($AU439),ABS(IF(ISNUMBER($I439),$I439,0)-Settings!$B$24),"")</f>
        <v/>
      </c>
      <c r="AZ439">
        <f>IF($A439="","",IFERROR(INDEX(Company_List!$H$3:$H$207,MATCH($A439,Company_List!$A$3:$A$207,0)),"unassigned"))</f>
        <v/>
      </c>
      <c r="BC439">
        <f>IF($A439="","",IF(COUNTIFS($A$3:$A439,$A439,$C$3:$C439,$C439,$D$3:$D439,$D439,$G$3:$G439,$G439)=1,1,0))</f>
        <v/>
      </c>
      <c r="BK439">
        <f>IF(OR($H439&lt;&gt;"Human",$S439="",$J439="",$Y439="",$Z439=""),"",IF(EXACT(UPPER($J439),UPPER($Y439)),1,0))</f>
        <v/>
      </c>
    </row>
    <row r="440">
      <c r="B440" s="89">
        <f>IF(A440="","",_xlfn.XLOOKUP(A440, Company_List!$A:$A, Company_List!$B:$B, ""))</f>
        <v/>
      </c>
      <c r="J440" s="92">
        <f>IF(OR(I440="",Settings!$B$6=""),"",IF(I440&gt;Settings!$B$6,"BUY",IF(I440&lt;-Settings!$B$6,"SELL","HOLD")))</f>
        <v/>
      </c>
      <c r="Q440" s="95">
        <f>IF(OR(N440="",P440=""),"",ROUND((P440-N440)/N440,4))</f>
        <v/>
      </c>
      <c r="R440" s="84">
        <f>IF(OR(N440="",P440=""),"",IF(Q440&gt;Settings!$B$3/100,"UP",IF(Q440&lt;-Settings!$B$3/100,"DOWN","FLAT")))</f>
        <v/>
      </c>
      <c r="S440" s="84">
        <f>IF(OR(N440="",P440="",J440=""),"",IF(OR(AND(J440="BUY",R440="UP"),AND(J440="SELL",R440="DOWN"),AND(J440="HOLD",R440="FLAT")),"YES","NO"))</f>
        <v/>
      </c>
      <c r="T440" s="85">
        <f>IF(J440="","",IF(J440="BUY",1,IF(J440="SELL",-1,0)))</f>
        <v/>
      </c>
      <c r="U440" s="94">
        <f>IFERROR(IF(OR(J440="",N440="",P440=""),"",IF(T440=0,0,T440*Q440-Settings!$B$4/10000-IF(T440&lt;0,Settings!$B$5/10000,0))),"")</f>
        <v/>
      </c>
      <c r="W440" s="18">
        <f>IF($K440="","",$K440*60)</f>
        <v/>
      </c>
      <c r="X440" s="73">
        <f>IF($A440="","",$A440&amp;"|"&amp;$C440&amp;"|"&amp;$D440)</f>
        <v/>
      </c>
      <c r="Y440" s="73">
        <f>IFERROR(IF($X440="","",INDEX(LLM_Data_Entry!$H$3:$H$548,MATCH($X440,INDEX(LLM_Data_Entry!$A$3:$A$548&amp;"|"&amp;LLM_Data_Entry!$C$3:$C$548&amp;"|"&amp;LLM_Data_Entry!$D$3:$D$548,0),0))),"")</f>
        <v/>
      </c>
      <c r="Z440" s="73">
        <f>IFERROR(IF($X440="","",INDEX(LLM_Data_Entry!$R$3:$R$548,MATCH($X440,INDEX(LLM_Data_Entry!$A$3:$A$548&amp;"|"&amp;LLM_Data_Entry!$C$3:$C$548&amp;"|"&amp;LLM_Data_Entry!$D$3:$D$548,0),0))),"")</f>
        <v/>
      </c>
      <c r="AL440">
        <f>IF($A440="","",IFERROR(INDEX(Company_List!$G$3:$G$207,MATCH($A440,Company_List!$A$3:$A$207,0)),"unassigned"))</f>
        <v/>
      </c>
      <c r="AP440">
        <f>IF($A440="","",IF(COUNTIFS(LLM_Data_Entry!$A$3:$A$548,$A440)&gt;0,"YES","NO"))</f>
        <v/>
      </c>
      <c r="AQ440">
        <f>IF($A440="","",IF(COUNTIFS($A$3:$A440,$A440,$C$3:$C440,$C440,$D$3:$D440,$D440)=1,"YES","NO"))</f>
        <v/>
      </c>
      <c r="AR440">
        <f>IF($A440="","",IF(AND($C440&amp;"-"&amp;$D440&gt;=Settings!$B$19,$C440&amp;"-"&amp;$D440&lt;=Settings!$B$20),"IN","OUT"))</f>
        <v/>
      </c>
      <c r="AS440">
        <f>IF($A440="","",IF($F440="Financial Results","financials",IF($F440="Outlook/Guidance","guidance",IF($F440="Transcript Q&amp;A","qanda",IF($F440="","unrecorded",IF($E440="All","full",IF($E440="","unrecorded",LOWER($E440)&amp;" only")))))))</f>
        <v/>
      </c>
      <c r="AT440">
        <f>IF(AND(OR($J440="BUY",$J440="SELL"),ISNUMBER($U440)),$U440,"")</f>
        <v/>
      </c>
      <c r="AU440">
        <f>IF(AND(OR($J440="BUY",$J440="SELL"),ISNUMBER($AK440)),$AK440,"")</f>
        <v/>
      </c>
      <c r="AV440">
        <f>IF(ISNUMBER($AT440),ABS(IF(ISNUMBER($I440),$I440,0)-Settings!$B$24),"")</f>
        <v/>
      </c>
      <c r="AW440">
        <f>IF(ISNUMBER($AV440),$AV440*$AT440,"")</f>
        <v/>
      </c>
      <c r="AX440">
        <f>IF(ISNUMBER($AU440),ABS(IF(ISNUMBER($I440),$I440,0)-Settings!$B$24),"")</f>
        <v/>
      </c>
      <c r="AZ440">
        <f>IF($A440="","",IFERROR(INDEX(Company_List!$H$3:$H$207,MATCH($A440,Company_List!$A$3:$A$207,0)),"unassigned"))</f>
        <v/>
      </c>
      <c r="BC440">
        <f>IF($A440="","",IF(COUNTIFS($A$3:$A440,$A440,$C$3:$C440,$C440,$D$3:$D440,$D440,$G$3:$G440,$G440)=1,1,0))</f>
        <v/>
      </c>
      <c r="BK440">
        <f>IF(OR($H440&lt;&gt;"Human",$S440="",$J440="",$Y440="",$Z440=""),"",IF(EXACT(UPPER($J440),UPPER($Y440)),1,0))</f>
        <v/>
      </c>
    </row>
    <row r="441">
      <c r="B441" s="89">
        <f>IF(A441="","",_xlfn.XLOOKUP(A441, Company_List!$A:$A, Company_List!$B:$B, ""))</f>
        <v/>
      </c>
      <c r="J441" s="92">
        <f>IF(OR(I441="",Settings!$B$6=""),"",IF(I441&gt;Settings!$B$6,"BUY",IF(I441&lt;-Settings!$B$6,"SELL","HOLD")))</f>
        <v/>
      </c>
      <c r="Q441" s="95">
        <f>IF(OR(N441="",P441=""),"",ROUND((P441-N441)/N441,4))</f>
        <v/>
      </c>
      <c r="R441" s="84">
        <f>IF(OR(N441="",P441=""),"",IF(Q441&gt;Settings!$B$3/100,"UP",IF(Q441&lt;-Settings!$B$3/100,"DOWN","FLAT")))</f>
        <v/>
      </c>
      <c r="S441" s="84">
        <f>IF(OR(N441="",P441="",J441=""),"",IF(OR(AND(J441="BUY",R441="UP"),AND(J441="SELL",R441="DOWN"),AND(J441="HOLD",R441="FLAT")),"YES","NO"))</f>
        <v/>
      </c>
      <c r="T441" s="85">
        <f>IF(J441="","",IF(J441="BUY",1,IF(J441="SELL",-1,0)))</f>
        <v/>
      </c>
      <c r="U441" s="94">
        <f>IFERROR(IF(OR(J441="",N441="",P441=""),"",IF(T441=0,0,T441*Q441-Settings!$B$4/10000-IF(T441&lt;0,Settings!$B$5/10000,0))),"")</f>
        <v/>
      </c>
      <c r="W441" s="18">
        <f>IF($K441="","",$K441*60)</f>
        <v/>
      </c>
      <c r="X441" s="73">
        <f>IF($A441="","",$A441&amp;"|"&amp;$C441&amp;"|"&amp;$D441)</f>
        <v/>
      </c>
      <c r="Y441" s="73">
        <f>IFERROR(IF($X441="","",INDEX(LLM_Data_Entry!$H$3:$H$548,MATCH($X441,INDEX(LLM_Data_Entry!$A$3:$A$548&amp;"|"&amp;LLM_Data_Entry!$C$3:$C$548&amp;"|"&amp;LLM_Data_Entry!$D$3:$D$548,0),0))),"")</f>
        <v/>
      </c>
      <c r="Z441" s="73">
        <f>IFERROR(IF($X441="","",INDEX(LLM_Data_Entry!$R$3:$R$548,MATCH($X441,INDEX(LLM_Data_Entry!$A$3:$A$548&amp;"|"&amp;LLM_Data_Entry!$C$3:$C$548&amp;"|"&amp;LLM_Data_Entry!$D$3:$D$548,0),0))),"")</f>
        <v/>
      </c>
      <c r="AL441">
        <f>IF($A441="","",IFERROR(INDEX(Company_List!$G$3:$G$207,MATCH($A441,Company_List!$A$3:$A$207,0)),"unassigned"))</f>
        <v/>
      </c>
      <c r="AP441">
        <f>IF($A441="","",IF(COUNTIFS(LLM_Data_Entry!$A$3:$A$548,$A441)&gt;0,"YES","NO"))</f>
        <v/>
      </c>
      <c r="AQ441">
        <f>IF($A441="","",IF(COUNTIFS($A$3:$A441,$A441,$C$3:$C441,$C441,$D$3:$D441,$D441)=1,"YES","NO"))</f>
        <v/>
      </c>
      <c r="AR441">
        <f>IF($A441="","",IF(AND($C441&amp;"-"&amp;$D441&gt;=Settings!$B$19,$C441&amp;"-"&amp;$D441&lt;=Settings!$B$20),"IN","OUT"))</f>
        <v/>
      </c>
      <c r="AS441">
        <f>IF($A441="","",IF($F441="Financial Results","financials",IF($F441="Outlook/Guidance","guidance",IF($F441="Transcript Q&amp;A","qanda",IF($F441="","unrecorded",IF($E441="All","full",IF($E441="","unrecorded",LOWER($E441)&amp;" only")))))))</f>
        <v/>
      </c>
      <c r="AT441">
        <f>IF(AND(OR($J441="BUY",$J441="SELL"),ISNUMBER($U441)),$U441,"")</f>
        <v/>
      </c>
      <c r="AU441">
        <f>IF(AND(OR($J441="BUY",$J441="SELL"),ISNUMBER($AK441)),$AK441,"")</f>
        <v/>
      </c>
      <c r="AV441">
        <f>IF(ISNUMBER($AT441),ABS(IF(ISNUMBER($I441),$I441,0)-Settings!$B$24),"")</f>
        <v/>
      </c>
      <c r="AW441">
        <f>IF(ISNUMBER($AV441),$AV441*$AT441,"")</f>
        <v/>
      </c>
      <c r="AX441">
        <f>IF(ISNUMBER($AU441),ABS(IF(ISNUMBER($I441),$I441,0)-Settings!$B$24),"")</f>
        <v/>
      </c>
      <c r="AZ441">
        <f>IF($A441="","",IFERROR(INDEX(Company_List!$H$3:$H$207,MATCH($A441,Company_List!$A$3:$A$207,0)),"unassigned"))</f>
        <v/>
      </c>
      <c r="BC441">
        <f>IF($A441="","",IF(COUNTIFS($A$3:$A441,$A441,$C$3:$C441,$C441,$D$3:$D441,$D441,$G$3:$G441,$G441)=1,1,0))</f>
        <v/>
      </c>
      <c r="BK441">
        <f>IF(OR($H441&lt;&gt;"Human",$S441="",$J441="",$Y441="",$Z441=""),"",IF(EXACT(UPPER($J441),UPPER($Y441)),1,0))</f>
        <v/>
      </c>
    </row>
    <row r="442">
      <c r="B442" s="89">
        <f>IF(A442="","",_xlfn.XLOOKUP(A442, Company_List!$A:$A, Company_List!$B:$B, ""))</f>
        <v/>
      </c>
      <c r="J442" s="92">
        <f>IF(OR(I442="",Settings!$B$6=""),"",IF(I442&gt;Settings!$B$6,"BUY",IF(I442&lt;-Settings!$B$6,"SELL","HOLD")))</f>
        <v/>
      </c>
      <c r="Q442" s="95">
        <f>IF(OR(N442="",P442=""),"",ROUND((P442-N442)/N442,4))</f>
        <v/>
      </c>
      <c r="R442" s="84">
        <f>IF(OR(N442="",P442=""),"",IF(Q442&gt;Settings!$B$3/100,"UP",IF(Q442&lt;-Settings!$B$3/100,"DOWN","FLAT")))</f>
        <v/>
      </c>
      <c r="S442" s="84">
        <f>IF(OR(N442="",P442="",J442=""),"",IF(OR(AND(J442="BUY",R442="UP"),AND(J442="SELL",R442="DOWN"),AND(J442="HOLD",R442="FLAT")),"YES","NO"))</f>
        <v/>
      </c>
      <c r="T442" s="85">
        <f>IF(J442="","",IF(J442="BUY",1,IF(J442="SELL",-1,0)))</f>
        <v/>
      </c>
      <c r="U442" s="94">
        <f>IFERROR(IF(OR(J442="",N442="",P442=""),"",IF(T442=0,0,T442*Q442-Settings!$B$4/10000-IF(T442&lt;0,Settings!$B$5/10000,0))),"")</f>
        <v/>
      </c>
      <c r="W442" s="18">
        <f>IF($K442="","",$K442*60)</f>
        <v/>
      </c>
      <c r="X442" s="73">
        <f>IF($A442="","",$A442&amp;"|"&amp;$C442&amp;"|"&amp;$D442)</f>
        <v/>
      </c>
      <c r="Y442" s="73">
        <f>IFERROR(IF($X442="","",INDEX(LLM_Data_Entry!$H$3:$H$548,MATCH($X442,INDEX(LLM_Data_Entry!$A$3:$A$548&amp;"|"&amp;LLM_Data_Entry!$C$3:$C$548&amp;"|"&amp;LLM_Data_Entry!$D$3:$D$548,0),0))),"")</f>
        <v/>
      </c>
      <c r="Z442" s="73">
        <f>IFERROR(IF($X442="","",INDEX(LLM_Data_Entry!$R$3:$R$548,MATCH($X442,INDEX(LLM_Data_Entry!$A$3:$A$548&amp;"|"&amp;LLM_Data_Entry!$C$3:$C$548&amp;"|"&amp;LLM_Data_Entry!$D$3:$D$548,0),0))),"")</f>
        <v/>
      </c>
      <c r="AL442">
        <f>IF($A442="","",IFERROR(INDEX(Company_List!$G$3:$G$207,MATCH($A442,Company_List!$A$3:$A$207,0)),"unassigned"))</f>
        <v/>
      </c>
      <c r="AP442">
        <f>IF($A442="","",IF(COUNTIFS(LLM_Data_Entry!$A$3:$A$548,$A442)&gt;0,"YES","NO"))</f>
        <v/>
      </c>
      <c r="AQ442">
        <f>IF($A442="","",IF(COUNTIFS($A$3:$A442,$A442,$C$3:$C442,$C442,$D$3:$D442,$D442)=1,"YES","NO"))</f>
        <v/>
      </c>
      <c r="AR442">
        <f>IF($A442="","",IF(AND($C442&amp;"-"&amp;$D442&gt;=Settings!$B$19,$C442&amp;"-"&amp;$D442&lt;=Settings!$B$20),"IN","OUT"))</f>
        <v/>
      </c>
      <c r="AS442">
        <f>IF($A442="","",IF($F442="Financial Results","financials",IF($F442="Outlook/Guidance","guidance",IF($F442="Transcript Q&amp;A","qanda",IF($F442="","unrecorded",IF($E442="All","full",IF($E442="","unrecorded",LOWER($E442)&amp;" only")))))))</f>
        <v/>
      </c>
      <c r="AT442">
        <f>IF(AND(OR($J442="BUY",$J442="SELL"),ISNUMBER($U442)),$U442,"")</f>
        <v/>
      </c>
      <c r="AU442">
        <f>IF(AND(OR($J442="BUY",$J442="SELL"),ISNUMBER($AK442)),$AK442,"")</f>
        <v/>
      </c>
      <c r="AV442">
        <f>IF(ISNUMBER($AT442),ABS(IF(ISNUMBER($I442),$I442,0)-Settings!$B$24),"")</f>
        <v/>
      </c>
      <c r="AW442">
        <f>IF(ISNUMBER($AV442),$AV442*$AT442,"")</f>
        <v/>
      </c>
      <c r="AX442">
        <f>IF(ISNUMBER($AU442),ABS(IF(ISNUMBER($I442),$I442,0)-Settings!$B$24),"")</f>
        <v/>
      </c>
      <c r="AZ442">
        <f>IF($A442="","",IFERROR(INDEX(Company_List!$H$3:$H$207,MATCH($A442,Company_List!$A$3:$A$207,0)),"unassigned"))</f>
        <v/>
      </c>
      <c r="BC442">
        <f>IF($A442="","",IF(COUNTIFS($A$3:$A442,$A442,$C$3:$C442,$C442,$D$3:$D442,$D442,$G$3:$G442,$G442)=1,1,0))</f>
        <v/>
      </c>
      <c r="BK442">
        <f>IF(OR($H442&lt;&gt;"Human",$S442="",$J442="",$Y442="",$Z442=""),"",IF(EXACT(UPPER($J442),UPPER($Y442)),1,0))</f>
        <v/>
      </c>
    </row>
    <row r="443">
      <c r="B443" s="89">
        <f>IF(A443="","",_xlfn.XLOOKUP(A443, Company_List!$A:$A, Company_List!$B:$B, ""))</f>
        <v/>
      </c>
      <c r="J443" s="92">
        <f>IF(OR(I443="",Settings!$B$6=""),"",IF(I443&gt;Settings!$B$6,"BUY",IF(I443&lt;-Settings!$B$6,"SELL","HOLD")))</f>
        <v/>
      </c>
      <c r="Q443" s="95">
        <f>IF(OR(N443="",P443=""),"",ROUND((P443-N443)/N443,4))</f>
        <v/>
      </c>
      <c r="R443" s="84">
        <f>IF(OR(N443="",P443=""),"",IF(Q443&gt;Settings!$B$3/100,"UP",IF(Q443&lt;-Settings!$B$3/100,"DOWN","FLAT")))</f>
        <v/>
      </c>
      <c r="S443" s="84">
        <f>IF(OR(N443="",P443="",J443=""),"",IF(OR(AND(J443="BUY",R443="UP"),AND(J443="SELL",R443="DOWN"),AND(J443="HOLD",R443="FLAT")),"YES","NO"))</f>
        <v/>
      </c>
      <c r="T443" s="85">
        <f>IF(J443="","",IF(J443="BUY",1,IF(J443="SELL",-1,0)))</f>
        <v/>
      </c>
      <c r="U443" s="94">
        <f>IFERROR(IF(OR(J443="",N443="",P443=""),"",IF(T443=0,0,T443*Q443-Settings!$B$4/10000-IF(T443&lt;0,Settings!$B$5/10000,0))),"")</f>
        <v/>
      </c>
      <c r="W443" s="18">
        <f>IF($K443="","",$K443*60)</f>
        <v/>
      </c>
      <c r="X443" s="73">
        <f>IF($A443="","",$A443&amp;"|"&amp;$C443&amp;"|"&amp;$D443)</f>
        <v/>
      </c>
      <c r="Y443" s="73">
        <f>IFERROR(IF($X443="","",INDEX(LLM_Data_Entry!$H$3:$H$548,MATCH($X443,INDEX(LLM_Data_Entry!$A$3:$A$548&amp;"|"&amp;LLM_Data_Entry!$C$3:$C$548&amp;"|"&amp;LLM_Data_Entry!$D$3:$D$548,0),0))),"")</f>
        <v/>
      </c>
      <c r="Z443" s="73">
        <f>IFERROR(IF($X443="","",INDEX(LLM_Data_Entry!$R$3:$R$548,MATCH($X443,INDEX(LLM_Data_Entry!$A$3:$A$548&amp;"|"&amp;LLM_Data_Entry!$C$3:$C$548&amp;"|"&amp;LLM_Data_Entry!$D$3:$D$548,0),0))),"")</f>
        <v/>
      </c>
      <c r="AL443">
        <f>IF($A443="","",IFERROR(INDEX(Company_List!$G$3:$G$207,MATCH($A443,Company_List!$A$3:$A$207,0)),"unassigned"))</f>
        <v/>
      </c>
      <c r="AP443">
        <f>IF($A443="","",IF(COUNTIFS(LLM_Data_Entry!$A$3:$A$548,$A443)&gt;0,"YES","NO"))</f>
        <v/>
      </c>
      <c r="AQ443">
        <f>IF($A443="","",IF(COUNTIFS($A$3:$A443,$A443,$C$3:$C443,$C443,$D$3:$D443,$D443)=1,"YES","NO"))</f>
        <v/>
      </c>
      <c r="AR443">
        <f>IF($A443="","",IF(AND($C443&amp;"-"&amp;$D443&gt;=Settings!$B$19,$C443&amp;"-"&amp;$D443&lt;=Settings!$B$20),"IN","OUT"))</f>
        <v/>
      </c>
      <c r="AS443">
        <f>IF($A443="","",IF($F443="Financial Results","financials",IF($F443="Outlook/Guidance","guidance",IF($F443="Transcript Q&amp;A","qanda",IF($F443="","unrecorded",IF($E443="All","full",IF($E443="","unrecorded",LOWER($E443)&amp;" only")))))))</f>
        <v/>
      </c>
      <c r="AT443">
        <f>IF(AND(OR($J443="BUY",$J443="SELL"),ISNUMBER($U443)),$U443,"")</f>
        <v/>
      </c>
      <c r="AU443">
        <f>IF(AND(OR($J443="BUY",$J443="SELL"),ISNUMBER($AK443)),$AK443,"")</f>
        <v/>
      </c>
      <c r="AV443">
        <f>IF(ISNUMBER($AT443),ABS(IF(ISNUMBER($I443),$I443,0)-Settings!$B$24),"")</f>
        <v/>
      </c>
      <c r="AW443">
        <f>IF(ISNUMBER($AV443),$AV443*$AT443,"")</f>
        <v/>
      </c>
      <c r="AX443">
        <f>IF(ISNUMBER($AU443),ABS(IF(ISNUMBER($I443),$I443,0)-Settings!$B$24),"")</f>
        <v/>
      </c>
      <c r="AZ443">
        <f>IF($A443="","",IFERROR(INDEX(Company_List!$H$3:$H$207,MATCH($A443,Company_List!$A$3:$A$207,0)),"unassigned"))</f>
        <v/>
      </c>
      <c r="BC443">
        <f>IF($A443="","",IF(COUNTIFS($A$3:$A443,$A443,$C$3:$C443,$C443,$D$3:$D443,$D443,$G$3:$G443,$G443)=1,1,0))</f>
        <v/>
      </c>
      <c r="BK443">
        <f>IF(OR($H443&lt;&gt;"Human",$S443="",$J443="",$Y443="",$Z443=""),"",IF(EXACT(UPPER($J443),UPPER($Y443)),1,0))</f>
        <v/>
      </c>
    </row>
    <row r="444">
      <c r="B444" s="89">
        <f>IF(A444="","",_xlfn.XLOOKUP(A444, Company_List!$A:$A, Company_List!$B:$B, ""))</f>
        <v/>
      </c>
      <c r="J444" s="92">
        <f>IF(OR(I444="",Settings!$B$6=""),"",IF(I444&gt;Settings!$B$6,"BUY",IF(I444&lt;-Settings!$B$6,"SELL","HOLD")))</f>
        <v/>
      </c>
      <c r="Q444" s="95">
        <f>IF(OR(N444="",P444=""),"",ROUND((P444-N444)/N444,4))</f>
        <v/>
      </c>
      <c r="R444" s="84">
        <f>IF(OR(N444="",P444=""),"",IF(Q444&gt;Settings!$B$3/100,"UP",IF(Q444&lt;-Settings!$B$3/100,"DOWN","FLAT")))</f>
        <v/>
      </c>
      <c r="S444" s="84">
        <f>IF(OR(N444="",P444="",J444=""),"",IF(OR(AND(J444="BUY",R444="UP"),AND(J444="SELL",R444="DOWN"),AND(J444="HOLD",R444="FLAT")),"YES","NO"))</f>
        <v/>
      </c>
      <c r="T444" s="85">
        <f>IF(J444="","",IF(J444="BUY",1,IF(J444="SELL",-1,0)))</f>
        <v/>
      </c>
      <c r="U444" s="94">
        <f>IFERROR(IF(OR(J444="",N444="",P444=""),"",IF(T444=0,0,T444*Q444-Settings!$B$4/10000-IF(T444&lt;0,Settings!$B$5/10000,0))),"")</f>
        <v/>
      </c>
      <c r="W444" s="18">
        <f>IF($K444="","",$K444*60)</f>
        <v/>
      </c>
      <c r="X444" s="73">
        <f>IF($A444="","",$A444&amp;"|"&amp;$C444&amp;"|"&amp;$D444)</f>
        <v/>
      </c>
      <c r="Y444" s="73">
        <f>IFERROR(IF($X444="","",INDEX(LLM_Data_Entry!$H$3:$H$548,MATCH($X444,INDEX(LLM_Data_Entry!$A$3:$A$548&amp;"|"&amp;LLM_Data_Entry!$C$3:$C$548&amp;"|"&amp;LLM_Data_Entry!$D$3:$D$548,0),0))),"")</f>
        <v/>
      </c>
      <c r="Z444" s="73">
        <f>IFERROR(IF($X444="","",INDEX(LLM_Data_Entry!$R$3:$R$548,MATCH($X444,INDEX(LLM_Data_Entry!$A$3:$A$548&amp;"|"&amp;LLM_Data_Entry!$C$3:$C$548&amp;"|"&amp;LLM_Data_Entry!$D$3:$D$548,0),0))),"")</f>
        <v/>
      </c>
      <c r="AL444">
        <f>IF($A444="","",IFERROR(INDEX(Company_List!$G$3:$G$207,MATCH($A444,Company_List!$A$3:$A$207,0)),"unassigned"))</f>
        <v/>
      </c>
      <c r="AP444">
        <f>IF($A444="","",IF(COUNTIFS(LLM_Data_Entry!$A$3:$A$548,$A444)&gt;0,"YES","NO"))</f>
        <v/>
      </c>
      <c r="AQ444">
        <f>IF($A444="","",IF(COUNTIFS($A$3:$A444,$A444,$C$3:$C444,$C444,$D$3:$D444,$D444)=1,"YES","NO"))</f>
        <v/>
      </c>
      <c r="AR444">
        <f>IF($A444="","",IF(AND($C444&amp;"-"&amp;$D444&gt;=Settings!$B$19,$C444&amp;"-"&amp;$D444&lt;=Settings!$B$20),"IN","OUT"))</f>
        <v/>
      </c>
      <c r="AS444">
        <f>IF($A444="","",IF($F444="Financial Results","financials",IF($F444="Outlook/Guidance","guidance",IF($F444="Transcript Q&amp;A","qanda",IF($F444="","unrecorded",IF($E444="All","full",IF($E444="","unrecorded",LOWER($E444)&amp;" only")))))))</f>
        <v/>
      </c>
      <c r="AT444">
        <f>IF(AND(OR($J444="BUY",$J444="SELL"),ISNUMBER($U444)),$U444,"")</f>
        <v/>
      </c>
      <c r="AU444">
        <f>IF(AND(OR($J444="BUY",$J444="SELL"),ISNUMBER($AK444)),$AK444,"")</f>
        <v/>
      </c>
      <c r="AV444">
        <f>IF(ISNUMBER($AT444),ABS(IF(ISNUMBER($I444),$I444,0)-Settings!$B$24),"")</f>
        <v/>
      </c>
      <c r="AW444">
        <f>IF(ISNUMBER($AV444),$AV444*$AT444,"")</f>
        <v/>
      </c>
      <c r="AX444">
        <f>IF(ISNUMBER($AU444),ABS(IF(ISNUMBER($I444),$I444,0)-Settings!$B$24),"")</f>
        <v/>
      </c>
      <c r="AZ444">
        <f>IF($A444="","",IFERROR(INDEX(Company_List!$H$3:$H$207,MATCH($A444,Company_List!$A$3:$A$207,0)),"unassigned"))</f>
        <v/>
      </c>
      <c r="BC444">
        <f>IF($A444="","",IF(COUNTIFS($A$3:$A444,$A444,$C$3:$C444,$C444,$D$3:$D444,$D444,$G$3:$G444,$G444)=1,1,0))</f>
        <v/>
      </c>
      <c r="BK444">
        <f>IF(OR($H444&lt;&gt;"Human",$S444="",$J444="",$Y444="",$Z444=""),"",IF(EXACT(UPPER($J444),UPPER($Y444)),1,0))</f>
        <v/>
      </c>
    </row>
    <row r="445">
      <c r="B445" s="89">
        <f>IF(A445="","",_xlfn.XLOOKUP(A445, Company_List!$A:$A, Company_List!$B:$B, ""))</f>
        <v/>
      </c>
      <c r="J445" s="92">
        <f>IF(OR(I445="",Settings!$B$6=""),"",IF(I445&gt;Settings!$B$6,"BUY",IF(I445&lt;-Settings!$B$6,"SELL","HOLD")))</f>
        <v/>
      </c>
      <c r="Q445" s="95">
        <f>IF(OR(N445="",P445=""),"",ROUND((P445-N445)/N445,4))</f>
        <v/>
      </c>
      <c r="R445" s="84">
        <f>IF(OR(N445="",P445=""),"",IF(Q445&gt;Settings!$B$3/100,"UP",IF(Q445&lt;-Settings!$B$3/100,"DOWN","FLAT")))</f>
        <v/>
      </c>
      <c r="S445" s="84">
        <f>IF(OR(N445="",P445="",J445=""),"",IF(OR(AND(J445="BUY",R445="UP"),AND(J445="SELL",R445="DOWN"),AND(J445="HOLD",R445="FLAT")),"YES","NO"))</f>
        <v/>
      </c>
      <c r="T445" s="85">
        <f>IF(J445="","",IF(J445="BUY",1,IF(J445="SELL",-1,0)))</f>
        <v/>
      </c>
      <c r="U445" s="94">
        <f>IFERROR(IF(OR(J445="",N445="",P445=""),"",IF(T445=0,0,T445*Q445-Settings!$B$4/10000-IF(T445&lt;0,Settings!$B$5/10000,0))),"")</f>
        <v/>
      </c>
      <c r="W445" s="18">
        <f>IF($K445="","",$K445*60)</f>
        <v/>
      </c>
      <c r="X445" s="73">
        <f>IF($A445="","",$A445&amp;"|"&amp;$C445&amp;"|"&amp;$D445)</f>
        <v/>
      </c>
      <c r="Y445" s="73">
        <f>IFERROR(IF($X445="","",INDEX(LLM_Data_Entry!$H$3:$H$548,MATCH($X445,INDEX(LLM_Data_Entry!$A$3:$A$548&amp;"|"&amp;LLM_Data_Entry!$C$3:$C$548&amp;"|"&amp;LLM_Data_Entry!$D$3:$D$548,0),0))),"")</f>
        <v/>
      </c>
      <c r="Z445" s="73">
        <f>IFERROR(IF($X445="","",INDEX(LLM_Data_Entry!$R$3:$R$548,MATCH($X445,INDEX(LLM_Data_Entry!$A$3:$A$548&amp;"|"&amp;LLM_Data_Entry!$C$3:$C$548&amp;"|"&amp;LLM_Data_Entry!$D$3:$D$548,0),0))),"")</f>
        <v/>
      </c>
      <c r="AL445">
        <f>IF($A445="","",IFERROR(INDEX(Company_List!$G$3:$G$207,MATCH($A445,Company_List!$A$3:$A$207,0)),"unassigned"))</f>
        <v/>
      </c>
      <c r="AP445">
        <f>IF($A445="","",IF(COUNTIFS(LLM_Data_Entry!$A$3:$A$548,$A445)&gt;0,"YES","NO"))</f>
        <v/>
      </c>
      <c r="AQ445">
        <f>IF($A445="","",IF(COUNTIFS($A$3:$A445,$A445,$C$3:$C445,$C445,$D$3:$D445,$D445)=1,"YES","NO"))</f>
        <v/>
      </c>
      <c r="AR445">
        <f>IF($A445="","",IF(AND($C445&amp;"-"&amp;$D445&gt;=Settings!$B$19,$C445&amp;"-"&amp;$D445&lt;=Settings!$B$20),"IN","OUT"))</f>
        <v/>
      </c>
      <c r="AS445">
        <f>IF($A445="","",IF($F445="Financial Results","financials",IF($F445="Outlook/Guidance","guidance",IF($F445="Transcript Q&amp;A","qanda",IF($F445="","unrecorded",IF($E445="All","full",IF($E445="","unrecorded",LOWER($E445)&amp;" only")))))))</f>
        <v/>
      </c>
      <c r="AT445">
        <f>IF(AND(OR($J445="BUY",$J445="SELL"),ISNUMBER($U445)),$U445,"")</f>
        <v/>
      </c>
      <c r="AU445">
        <f>IF(AND(OR($J445="BUY",$J445="SELL"),ISNUMBER($AK445)),$AK445,"")</f>
        <v/>
      </c>
      <c r="AV445">
        <f>IF(ISNUMBER($AT445),ABS(IF(ISNUMBER($I445),$I445,0)-Settings!$B$24),"")</f>
        <v/>
      </c>
      <c r="AW445">
        <f>IF(ISNUMBER($AV445),$AV445*$AT445,"")</f>
        <v/>
      </c>
      <c r="AX445">
        <f>IF(ISNUMBER($AU445),ABS(IF(ISNUMBER($I445),$I445,0)-Settings!$B$24),"")</f>
        <v/>
      </c>
      <c r="AZ445">
        <f>IF($A445="","",IFERROR(INDEX(Company_List!$H$3:$H$207,MATCH($A445,Company_List!$A$3:$A$207,0)),"unassigned"))</f>
        <v/>
      </c>
      <c r="BC445">
        <f>IF($A445="","",IF(COUNTIFS($A$3:$A445,$A445,$C$3:$C445,$C445,$D$3:$D445,$D445,$G$3:$G445,$G445)=1,1,0))</f>
        <v/>
      </c>
      <c r="BK445">
        <f>IF(OR($H445&lt;&gt;"Human",$S445="",$J445="",$Y445="",$Z445=""),"",IF(EXACT(UPPER($J445),UPPER($Y445)),1,0))</f>
        <v/>
      </c>
    </row>
    <row r="446">
      <c r="B446" s="89">
        <f>IF(A446="","",_xlfn.XLOOKUP(A446, Company_List!$A:$A, Company_List!$B:$B, ""))</f>
        <v/>
      </c>
      <c r="J446" s="92">
        <f>IF(OR(I446="",Settings!$B$6=""),"",IF(I446&gt;Settings!$B$6,"BUY",IF(I446&lt;-Settings!$B$6,"SELL","HOLD")))</f>
        <v/>
      </c>
      <c r="Q446" s="95">
        <f>IF(OR(N446="",P446=""),"",ROUND((P446-N446)/N446,4))</f>
        <v/>
      </c>
      <c r="R446" s="84">
        <f>IF(OR(N446="",P446=""),"",IF(Q446&gt;Settings!$B$3/100,"UP",IF(Q446&lt;-Settings!$B$3/100,"DOWN","FLAT")))</f>
        <v/>
      </c>
      <c r="S446" s="84">
        <f>IF(OR(N446="",P446="",J446=""),"",IF(OR(AND(J446="BUY",R446="UP"),AND(J446="SELL",R446="DOWN"),AND(J446="HOLD",R446="FLAT")),"YES","NO"))</f>
        <v/>
      </c>
      <c r="T446" s="85">
        <f>IF(J446="","",IF(J446="BUY",1,IF(J446="SELL",-1,0)))</f>
        <v/>
      </c>
      <c r="U446" s="94">
        <f>IFERROR(IF(OR(J446="",N446="",P446=""),"",IF(T446=0,0,T446*Q446-Settings!$B$4/10000-IF(T446&lt;0,Settings!$B$5/10000,0))),"")</f>
        <v/>
      </c>
      <c r="W446" s="18">
        <f>IF($K446="","",$K446*60)</f>
        <v/>
      </c>
      <c r="X446" s="73">
        <f>IF($A446="","",$A446&amp;"|"&amp;$C446&amp;"|"&amp;$D446)</f>
        <v/>
      </c>
      <c r="Y446" s="73">
        <f>IFERROR(IF($X446="","",INDEX(LLM_Data_Entry!$H$3:$H$548,MATCH($X446,INDEX(LLM_Data_Entry!$A$3:$A$548&amp;"|"&amp;LLM_Data_Entry!$C$3:$C$548&amp;"|"&amp;LLM_Data_Entry!$D$3:$D$548,0),0))),"")</f>
        <v/>
      </c>
      <c r="Z446" s="73">
        <f>IFERROR(IF($X446="","",INDEX(LLM_Data_Entry!$R$3:$R$548,MATCH($X446,INDEX(LLM_Data_Entry!$A$3:$A$548&amp;"|"&amp;LLM_Data_Entry!$C$3:$C$548&amp;"|"&amp;LLM_Data_Entry!$D$3:$D$548,0),0))),"")</f>
        <v/>
      </c>
      <c r="AL446">
        <f>IF($A446="","",IFERROR(INDEX(Company_List!$G$3:$G$207,MATCH($A446,Company_List!$A$3:$A$207,0)),"unassigned"))</f>
        <v/>
      </c>
      <c r="AP446">
        <f>IF($A446="","",IF(COUNTIFS(LLM_Data_Entry!$A$3:$A$548,$A446)&gt;0,"YES","NO"))</f>
        <v/>
      </c>
      <c r="AQ446">
        <f>IF($A446="","",IF(COUNTIFS($A$3:$A446,$A446,$C$3:$C446,$C446,$D$3:$D446,$D446)=1,"YES","NO"))</f>
        <v/>
      </c>
      <c r="AR446">
        <f>IF($A446="","",IF(AND($C446&amp;"-"&amp;$D446&gt;=Settings!$B$19,$C446&amp;"-"&amp;$D446&lt;=Settings!$B$20),"IN","OUT"))</f>
        <v/>
      </c>
      <c r="AS446">
        <f>IF($A446="","",IF($F446="Financial Results","financials",IF($F446="Outlook/Guidance","guidance",IF($F446="Transcript Q&amp;A","qanda",IF($F446="","unrecorded",IF($E446="All","full",IF($E446="","unrecorded",LOWER($E446)&amp;" only")))))))</f>
        <v/>
      </c>
      <c r="AT446">
        <f>IF(AND(OR($J446="BUY",$J446="SELL"),ISNUMBER($U446)),$U446,"")</f>
        <v/>
      </c>
      <c r="AU446">
        <f>IF(AND(OR($J446="BUY",$J446="SELL"),ISNUMBER($AK446)),$AK446,"")</f>
        <v/>
      </c>
      <c r="AV446">
        <f>IF(ISNUMBER($AT446),ABS(IF(ISNUMBER($I446),$I446,0)-Settings!$B$24),"")</f>
        <v/>
      </c>
      <c r="AW446">
        <f>IF(ISNUMBER($AV446),$AV446*$AT446,"")</f>
        <v/>
      </c>
      <c r="AX446">
        <f>IF(ISNUMBER($AU446),ABS(IF(ISNUMBER($I446),$I446,0)-Settings!$B$24),"")</f>
        <v/>
      </c>
      <c r="AZ446">
        <f>IF($A446="","",IFERROR(INDEX(Company_List!$H$3:$H$207,MATCH($A446,Company_List!$A$3:$A$207,0)),"unassigned"))</f>
        <v/>
      </c>
      <c r="BC446">
        <f>IF($A446="","",IF(COUNTIFS($A$3:$A446,$A446,$C$3:$C446,$C446,$D$3:$D446,$D446,$G$3:$G446,$G446)=1,1,0))</f>
        <v/>
      </c>
      <c r="BK446">
        <f>IF(OR($H446&lt;&gt;"Human",$S446="",$J446="",$Y446="",$Z446=""),"",IF(EXACT(UPPER($J446),UPPER($Y446)),1,0))</f>
        <v/>
      </c>
    </row>
    <row r="447">
      <c r="B447" s="89">
        <f>IF(A447="","",_xlfn.XLOOKUP(A447, Company_List!$A:$A, Company_List!$B:$B, ""))</f>
        <v/>
      </c>
      <c r="J447" s="92">
        <f>IF(OR(I447="",Settings!$B$6=""),"",IF(I447&gt;Settings!$B$6,"BUY",IF(I447&lt;-Settings!$B$6,"SELL","HOLD")))</f>
        <v/>
      </c>
      <c r="Q447" s="95">
        <f>IF(OR(N447="",P447=""),"",ROUND((P447-N447)/N447,4))</f>
        <v/>
      </c>
      <c r="R447" s="84">
        <f>IF(OR(N447="",P447=""),"",IF(Q447&gt;Settings!$B$3/100,"UP",IF(Q447&lt;-Settings!$B$3/100,"DOWN","FLAT")))</f>
        <v/>
      </c>
      <c r="S447" s="84">
        <f>IF(OR(N447="",P447="",J447=""),"",IF(OR(AND(J447="BUY",R447="UP"),AND(J447="SELL",R447="DOWN"),AND(J447="HOLD",R447="FLAT")),"YES","NO"))</f>
        <v/>
      </c>
      <c r="T447" s="85">
        <f>IF(J447="","",IF(J447="BUY",1,IF(J447="SELL",-1,0)))</f>
        <v/>
      </c>
      <c r="U447" s="94">
        <f>IFERROR(IF(OR(J447="",N447="",P447=""),"",IF(T447=0,0,T447*Q447-Settings!$B$4/10000-IF(T447&lt;0,Settings!$B$5/10000,0))),"")</f>
        <v/>
      </c>
      <c r="W447" s="18">
        <f>IF($K447="","",$K447*60)</f>
        <v/>
      </c>
      <c r="X447" s="73">
        <f>IF($A447="","",$A447&amp;"|"&amp;$C447&amp;"|"&amp;$D447)</f>
        <v/>
      </c>
      <c r="Y447" s="73">
        <f>IFERROR(IF($X447="","",INDEX(LLM_Data_Entry!$H$3:$H$548,MATCH($X447,INDEX(LLM_Data_Entry!$A$3:$A$548&amp;"|"&amp;LLM_Data_Entry!$C$3:$C$548&amp;"|"&amp;LLM_Data_Entry!$D$3:$D$548,0),0))),"")</f>
        <v/>
      </c>
      <c r="Z447" s="73">
        <f>IFERROR(IF($X447="","",INDEX(LLM_Data_Entry!$R$3:$R$548,MATCH($X447,INDEX(LLM_Data_Entry!$A$3:$A$548&amp;"|"&amp;LLM_Data_Entry!$C$3:$C$548&amp;"|"&amp;LLM_Data_Entry!$D$3:$D$548,0),0))),"")</f>
        <v/>
      </c>
      <c r="AL447">
        <f>IF($A447="","",IFERROR(INDEX(Company_List!$G$3:$G$207,MATCH($A447,Company_List!$A$3:$A$207,0)),"unassigned"))</f>
        <v/>
      </c>
      <c r="AP447">
        <f>IF($A447="","",IF(COUNTIFS(LLM_Data_Entry!$A$3:$A$548,$A447)&gt;0,"YES","NO"))</f>
        <v/>
      </c>
      <c r="AQ447">
        <f>IF($A447="","",IF(COUNTIFS($A$3:$A447,$A447,$C$3:$C447,$C447,$D$3:$D447,$D447)=1,"YES","NO"))</f>
        <v/>
      </c>
      <c r="AR447">
        <f>IF($A447="","",IF(AND($C447&amp;"-"&amp;$D447&gt;=Settings!$B$19,$C447&amp;"-"&amp;$D447&lt;=Settings!$B$20),"IN","OUT"))</f>
        <v/>
      </c>
      <c r="AS447">
        <f>IF($A447="","",IF($F447="Financial Results","financials",IF($F447="Outlook/Guidance","guidance",IF($F447="Transcript Q&amp;A","qanda",IF($F447="","unrecorded",IF($E447="All","full",IF($E447="","unrecorded",LOWER($E447)&amp;" only")))))))</f>
        <v/>
      </c>
      <c r="AT447">
        <f>IF(AND(OR($J447="BUY",$J447="SELL"),ISNUMBER($U447)),$U447,"")</f>
        <v/>
      </c>
      <c r="AU447">
        <f>IF(AND(OR($J447="BUY",$J447="SELL"),ISNUMBER($AK447)),$AK447,"")</f>
        <v/>
      </c>
      <c r="AV447">
        <f>IF(ISNUMBER($AT447),ABS(IF(ISNUMBER($I447),$I447,0)-Settings!$B$24),"")</f>
        <v/>
      </c>
      <c r="AW447">
        <f>IF(ISNUMBER($AV447),$AV447*$AT447,"")</f>
        <v/>
      </c>
      <c r="AX447">
        <f>IF(ISNUMBER($AU447),ABS(IF(ISNUMBER($I447),$I447,0)-Settings!$B$24),"")</f>
        <v/>
      </c>
      <c r="AZ447">
        <f>IF($A447="","",IFERROR(INDEX(Company_List!$H$3:$H$207,MATCH($A447,Company_List!$A$3:$A$207,0)),"unassigned"))</f>
        <v/>
      </c>
      <c r="BC447">
        <f>IF($A447="","",IF(COUNTIFS($A$3:$A447,$A447,$C$3:$C447,$C447,$D$3:$D447,$D447,$G$3:$G447,$G447)=1,1,0))</f>
        <v/>
      </c>
      <c r="BK447">
        <f>IF(OR($H447&lt;&gt;"Human",$S447="",$J447="",$Y447="",$Z447=""),"",IF(EXACT(UPPER($J447),UPPER($Y447)),1,0))</f>
        <v/>
      </c>
    </row>
    <row r="448">
      <c r="B448" s="89">
        <f>IF(A448="","",_xlfn.XLOOKUP(A448, Company_List!$A:$A, Company_List!$B:$B, ""))</f>
        <v/>
      </c>
      <c r="J448" s="92">
        <f>IF(OR(I448="",Settings!$B$6=""),"",IF(I448&gt;Settings!$B$6,"BUY",IF(I448&lt;-Settings!$B$6,"SELL","HOLD")))</f>
        <v/>
      </c>
      <c r="Q448" s="95">
        <f>IF(OR(N448="",P448=""),"",ROUND((P448-N448)/N448,4))</f>
        <v/>
      </c>
      <c r="R448" s="84">
        <f>IF(OR(N448="",P448=""),"",IF(Q448&gt;Settings!$B$3/100,"UP",IF(Q448&lt;-Settings!$B$3/100,"DOWN","FLAT")))</f>
        <v/>
      </c>
      <c r="S448" s="84">
        <f>IF(OR(N448="",P448="",J448=""),"",IF(OR(AND(J448="BUY",R448="UP"),AND(J448="SELL",R448="DOWN"),AND(J448="HOLD",R448="FLAT")),"YES","NO"))</f>
        <v/>
      </c>
      <c r="T448" s="85">
        <f>IF(J448="","",IF(J448="BUY",1,IF(J448="SELL",-1,0)))</f>
        <v/>
      </c>
      <c r="U448" s="94">
        <f>IFERROR(IF(OR(J448="",N448="",P448=""),"",IF(T448=0,0,T448*Q448-Settings!$B$4/10000-IF(T448&lt;0,Settings!$B$5/10000,0))),"")</f>
        <v/>
      </c>
      <c r="W448" s="18">
        <f>IF($K448="","",$K448*60)</f>
        <v/>
      </c>
      <c r="X448" s="73">
        <f>IF($A448="","",$A448&amp;"|"&amp;$C448&amp;"|"&amp;$D448)</f>
        <v/>
      </c>
      <c r="Y448" s="73">
        <f>IFERROR(IF($X448="","",INDEX(LLM_Data_Entry!$H$3:$H$548,MATCH($X448,INDEX(LLM_Data_Entry!$A$3:$A$548&amp;"|"&amp;LLM_Data_Entry!$C$3:$C$548&amp;"|"&amp;LLM_Data_Entry!$D$3:$D$548,0),0))),"")</f>
        <v/>
      </c>
      <c r="Z448" s="73">
        <f>IFERROR(IF($X448="","",INDEX(LLM_Data_Entry!$R$3:$R$548,MATCH($X448,INDEX(LLM_Data_Entry!$A$3:$A$548&amp;"|"&amp;LLM_Data_Entry!$C$3:$C$548&amp;"|"&amp;LLM_Data_Entry!$D$3:$D$548,0),0))),"")</f>
        <v/>
      </c>
      <c r="AL448">
        <f>IF($A448="","",IFERROR(INDEX(Company_List!$G$3:$G$207,MATCH($A448,Company_List!$A$3:$A$207,0)),"unassigned"))</f>
        <v/>
      </c>
      <c r="AP448">
        <f>IF($A448="","",IF(COUNTIFS(LLM_Data_Entry!$A$3:$A$548,$A448)&gt;0,"YES","NO"))</f>
        <v/>
      </c>
      <c r="AQ448">
        <f>IF($A448="","",IF(COUNTIFS($A$3:$A448,$A448,$C$3:$C448,$C448,$D$3:$D448,$D448)=1,"YES","NO"))</f>
        <v/>
      </c>
      <c r="AR448">
        <f>IF($A448="","",IF(AND($C448&amp;"-"&amp;$D448&gt;=Settings!$B$19,$C448&amp;"-"&amp;$D448&lt;=Settings!$B$20),"IN","OUT"))</f>
        <v/>
      </c>
      <c r="AS448">
        <f>IF($A448="","",IF($F448="Financial Results","financials",IF($F448="Outlook/Guidance","guidance",IF($F448="Transcript Q&amp;A","qanda",IF($F448="","unrecorded",IF($E448="All","full",IF($E448="","unrecorded",LOWER($E448)&amp;" only")))))))</f>
        <v/>
      </c>
      <c r="AT448">
        <f>IF(AND(OR($J448="BUY",$J448="SELL"),ISNUMBER($U448)),$U448,"")</f>
        <v/>
      </c>
      <c r="AU448">
        <f>IF(AND(OR($J448="BUY",$J448="SELL"),ISNUMBER($AK448)),$AK448,"")</f>
        <v/>
      </c>
      <c r="AV448">
        <f>IF(ISNUMBER($AT448),ABS(IF(ISNUMBER($I448),$I448,0)-Settings!$B$24),"")</f>
        <v/>
      </c>
      <c r="AW448">
        <f>IF(ISNUMBER($AV448),$AV448*$AT448,"")</f>
        <v/>
      </c>
      <c r="AX448">
        <f>IF(ISNUMBER($AU448),ABS(IF(ISNUMBER($I448),$I448,0)-Settings!$B$24),"")</f>
        <v/>
      </c>
      <c r="AZ448">
        <f>IF($A448="","",IFERROR(INDEX(Company_List!$H$3:$H$207,MATCH($A448,Company_List!$A$3:$A$207,0)),"unassigned"))</f>
        <v/>
      </c>
      <c r="BC448">
        <f>IF($A448="","",IF(COUNTIFS($A$3:$A448,$A448,$C$3:$C448,$C448,$D$3:$D448,$D448,$G$3:$G448,$G448)=1,1,0))</f>
        <v/>
      </c>
      <c r="BK448">
        <f>IF(OR($H448&lt;&gt;"Human",$S448="",$J448="",$Y448="",$Z448=""),"",IF(EXACT(UPPER($J448),UPPER($Y448)),1,0))</f>
        <v/>
      </c>
    </row>
    <row r="449">
      <c r="B449" s="89">
        <f>IF(A449="","",_xlfn.XLOOKUP(A449, Company_List!$A:$A, Company_List!$B:$B, ""))</f>
        <v/>
      </c>
      <c r="J449" s="92">
        <f>IF(OR(I449="",Settings!$B$6=""),"",IF(I449&gt;Settings!$B$6,"BUY",IF(I449&lt;-Settings!$B$6,"SELL","HOLD")))</f>
        <v/>
      </c>
      <c r="Q449" s="95">
        <f>IF(OR(N449="",P449=""),"",ROUND((P449-N449)/N449,4))</f>
        <v/>
      </c>
      <c r="R449" s="84">
        <f>IF(OR(N449="",P449=""),"",IF(Q449&gt;Settings!$B$3/100,"UP",IF(Q449&lt;-Settings!$B$3/100,"DOWN","FLAT")))</f>
        <v/>
      </c>
      <c r="S449" s="84">
        <f>IF(OR(N449="",P449="",J449=""),"",IF(OR(AND(J449="BUY",R449="UP"),AND(J449="SELL",R449="DOWN"),AND(J449="HOLD",R449="FLAT")),"YES","NO"))</f>
        <v/>
      </c>
      <c r="T449" s="85">
        <f>IF(J449="","",IF(J449="BUY",1,IF(J449="SELL",-1,0)))</f>
        <v/>
      </c>
      <c r="U449" s="94">
        <f>IFERROR(IF(OR(J449="",N449="",P449=""),"",IF(T449=0,0,T449*Q449-Settings!$B$4/10000-IF(T449&lt;0,Settings!$B$5/10000,0))),"")</f>
        <v/>
      </c>
      <c r="W449" s="18">
        <f>IF($K449="","",$K449*60)</f>
        <v/>
      </c>
      <c r="X449" s="73">
        <f>IF($A449="","",$A449&amp;"|"&amp;$C449&amp;"|"&amp;$D449)</f>
        <v/>
      </c>
      <c r="Y449" s="73">
        <f>IFERROR(IF($X449="","",INDEX(LLM_Data_Entry!$H$3:$H$548,MATCH($X449,INDEX(LLM_Data_Entry!$A$3:$A$548&amp;"|"&amp;LLM_Data_Entry!$C$3:$C$548&amp;"|"&amp;LLM_Data_Entry!$D$3:$D$548,0),0))),"")</f>
        <v/>
      </c>
      <c r="Z449" s="73">
        <f>IFERROR(IF($X449="","",INDEX(LLM_Data_Entry!$R$3:$R$548,MATCH($X449,INDEX(LLM_Data_Entry!$A$3:$A$548&amp;"|"&amp;LLM_Data_Entry!$C$3:$C$548&amp;"|"&amp;LLM_Data_Entry!$D$3:$D$548,0),0))),"")</f>
        <v/>
      </c>
      <c r="AL449">
        <f>IF($A449="","",IFERROR(INDEX(Company_List!$G$3:$G$207,MATCH($A449,Company_List!$A$3:$A$207,0)),"unassigned"))</f>
        <v/>
      </c>
      <c r="AP449">
        <f>IF($A449="","",IF(COUNTIFS(LLM_Data_Entry!$A$3:$A$548,$A449)&gt;0,"YES","NO"))</f>
        <v/>
      </c>
      <c r="AQ449">
        <f>IF($A449="","",IF(COUNTIFS($A$3:$A449,$A449,$C$3:$C449,$C449,$D$3:$D449,$D449)=1,"YES","NO"))</f>
        <v/>
      </c>
      <c r="AR449">
        <f>IF($A449="","",IF(AND($C449&amp;"-"&amp;$D449&gt;=Settings!$B$19,$C449&amp;"-"&amp;$D449&lt;=Settings!$B$20),"IN","OUT"))</f>
        <v/>
      </c>
      <c r="AS449">
        <f>IF($A449="","",IF($F449="Financial Results","financials",IF($F449="Outlook/Guidance","guidance",IF($F449="Transcript Q&amp;A","qanda",IF($F449="","unrecorded",IF($E449="All","full",IF($E449="","unrecorded",LOWER($E449)&amp;" only")))))))</f>
        <v/>
      </c>
      <c r="AT449">
        <f>IF(AND(OR($J449="BUY",$J449="SELL"),ISNUMBER($U449)),$U449,"")</f>
        <v/>
      </c>
      <c r="AU449">
        <f>IF(AND(OR($J449="BUY",$J449="SELL"),ISNUMBER($AK449)),$AK449,"")</f>
        <v/>
      </c>
      <c r="AV449">
        <f>IF(ISNUMBER($AT449),ABS(IF(ISNUMBER($I449),$I449,0)-Settings!$B$24),"")</f>
        <v/>
      </c>
      <c r="AW449">
        <f>IF(ISNUMBER($AV449),$AV449*$AT449,"")</f>
        <v/>
      </c>
      <c r="AX449">
        <f>IF(ISNUMBER($AU449),ABS(IF(ISNUMBER($I449),$I449,0)-Settings!$B$24),"")</f>
        <v/>
      </c>
      <c r="AZ449">
        <f>IF($A449="","",IFERROR(INDEX(Company_List!$H$3:$H$207,MATCH($A449,Company_List!$A$3:$A$207,0)),"unassigned"))</f>
        <v/>
      </c>
      <c r="BC449">
        <f>IF($A449="","",IF(COUNTIFS($A$3:$A449,$A449,$C$3:$C449,$C449,$D$3:$D449,$D449,$G$3:$G449,$G449)=1,1,0))</f>
        <v/>
      </c>
      <c r="BK449">
        <f>IF(OR($H449&lt;&gt;"Human",$S449="",$J449="",$Y449="",$Z449=""),"",IF(EXACT(UPPER($J449),UPPER($Y449)),1,0))</f>
        <v/>
      </c>
    </row>
    <row r="450">
      <c r="B450" s="89">
        <f>IF(A450="","",_xlfn.XLOOKUP(A450, Company_List!$A:$A, Company_List!$B:$B, ""))</f>
        <v/>
      </c>
      <c r="J450" s="92">
        <f>IF(OR(I450="",Settings!$B$6=""),"",IF(I450&gt;Settings!$B$6,"BUY",IF(I450&lt;-Settings!$B$6,"SELL","HOLD")))</f>
        <v/>
      </c>
      <c r="Q450" s="95">
        <f>IF(OR(N450="",P450=""),"",ROUND((P450-N450)/N450,4))</f>
        <v/>
      </c>
      <c r="R450" s="84">
        <f>IF(OR(N450="",P450=""),"",IF(Q450&gt;Settings!$B$3/100,"UP",IF(Q450&lt;-Settings!$B$3/100,"DOWN","FLAT")))</f>
        <v/>
      </c>
      <c r="S450" s="84">
        <f>IF(OR(N450="",P450="",J450=""),"",IF(OR(AND(J450="BUY",R450="UP"),AND(J450="SELL",R450="DOWN"),AND(J450="HOLD",R450="FLAT")),"YES","NO"))</f>
        <v/>
      </c>
      <c r="T450" s="85">
        <f>IF(J450="","",IF(J450="BUY",1,IF(J450="SELL",-1,0)))</f>
        <v/>
      </c>
      <c r="U450" s="94">
        <f>IFERROR(IF(OR(J450="",N450="",P450=""),"",IF(T450=0,0,T450*Q450-Settings!$B$4/10000-IF(T450&lt;0,Settings!$B$5/10000,0))),"")</f>
        <v/>
      </c>
      <c r="W450" s="18">
        <f>IF($K450="","",$K450*60)</f>
        <v/>
      </c>
      <c r="X450" s="73">
        <f>IF($A450="","",$A450&amp;"|"&amp;$C450&amp;"|"&amp;$D450)</f>
        <v/>
      </c>
      <c r="Y450" s="73">
        <f>IFERROR(IF($X450="","",INDEX(LLM_Data_Entry!$H$3:$H$548,MATCH($X450,INDEX(LLM_Data_Entry!$A$3:$A$548&amp;"|"&amp;LLM_Data_Entry!$C$3:$C$548&amp;"|"&amp;LLM_Data_Entry!$D$3:$D$548,0),0))),"")</f>
        <v/>
      </c>
      <c r="Z450" s="73">
        <f>IFERROR(IF($X450="","",INDEX(LLM_Data_Entry!$R$3:$R$548,MATCH($X450,INDEX(LLM_Data_Entry!$A$3:$A$548&amp;"|"&amp;LLM_Data_Entry!$C$3:$C$548&amp;"|"&amp;LLM_Data_Entry!$D$3:$D$548,0),0))),"")</f>
        <v/>
      </c>
      <c r="AL450">
        <f>IF($A450="","",IFERROR(INDEX(Company_List!$G$3:$G$207,MATCH($A450,Company_List!$A$3:$A$207,0)),"unassigned"))</f>
        <v/>
      </c>
      <c r="AP450">
        <f>IF($A450="","",IF(COUNTIFS(LLM_Data_Entry!$A$3:$A$548,$A450)&gt;0,"YES","NO"))</f>
        <v/>
      </c>
      <c r="AQ450">
        <f>IF($A450="","",IF(COUNTIFS($A$3:$A450,$A450,$C$3:$C450,$C450,$D$3:$D450,$D450)=1,"YES","NO"))</f>
        <v/>
      </c>
      <c r="AR450">
        <f>IF($A450="","",IF(AND($C450&amp;"-"&amp;$D450&gt;=Settings!$B$19,$C450&amp;"-"&amp;$D450&lt;=Settings!$B$20),"IN","OUT"))</f>
        <v/>
      </c>
      <c r="AS450">
        <f>IF($A450="","",IF($F450="Financial Results","financials",IF($F450="Outlook/Guidance","guidance",IF($F450="Transcript Q&amp;A","qanda",IF($F450="","unrecorded",IF($E450="All","full",IF($E450="","unrecorded",LOWER($E450)&amp;" only")))))))</f>
        <v/>
      </c>
      <c r="AT450">
        <f>IF(AND(OR($J450="BUY",$J450="SELL"),ISNUMBER($U450)),$U450,"")</f>
        <v/>
      </c>
      <c r="AU450">
        <f>IF(AND(OR($J450="BUY",$J450="SELL"),ISNUMBER($AK450)),$AK450,"")</f>
        <v/>
      </c>
      <c r="AV450">
        <f>IF(ISNUMBER($AT450),ABS(IF(ISNUMBER($I450),$I450,0)-Settings!$B$24),"")</f>
        <v/>
      </c>
      <c r="AW450">
        <f>IF(ISNUMBER($AV450),$AV450*$AT450,"")</f>
        <v/>
      </c>
      <c r="AX450">
        <f>IF(ISNUMBER($AU450),ABS(IF(ISNUMBER($I450),$I450,0)-Settings!$B$24),"")</f>
        <v/>
      </c>
      <c r="AZ450">
        <f>IF($A450="","",IFERROR(INDEX(Company_List!$H$3:$H$207,MATCH($A450,Company_List!$A$3:$A$207,0)),"unassigned"))</f>
        <v/>
      </c>
      <c r="BC450">
        <f>IF($A450="","",IF(COUNTIFS($A$3:$A450,$A450,$C$3:$C450,$C450,$D$3:$D450,$D450,$G$3:$G450,$G450)=1,1,0))</f>
        <v/>
      </c>
      <c r="BK450">
        <f>IF(OR($H450&lt;&gt;"Human",$S450="",$J450="",$Y450="",$Z450=""),"",IF(EXACT(UPPER($J450),UPPER($Y450)),1,0))</f>
        <v/>
      </c>
    </row>
    <row r="451">
      <c r="B451" s="89">
        <f>IF(A451="","",_xlfn.XLOOKUP(A451, Company_List!$A:$A, Company_List!$B:$B, ""))</f>
        <v/>
      </c>
      <c r="J451" s="92">
        <f>IF(OR(I451="",Settings!$B$6=""),"",IF(I451&gt;Settings!$B$6,"BUY",IF(I451&lt;-Settings!$B$6,"SELL","HOLD")))</f>
        <v/>
      </c>
      <c r="Q451" s="95">
        <f>IF(OR(N451="",P451=""),"",ROUND((P451-N451)/N451,4))</f>
        <v/>
      </c>
      <c r="R451" s="84">
        <f>IF(OR(N451="",P451=""),"",IF(Q451&gt;Settings!$B$3/100,"UP",IF(Q451&lt;-Settings!$B$3/100,"DOWN","FLAT")))</f>
        <v/>
      </c>
      <c r="S451" s="84">
        <f>IF(OR(N451="",P451="",J451=""),"",IF(OR(AND(J451="BUY",R451="UP"),AND(J451="SELL",R451="DOWN"),AND(J451="HOLD",R451="FLAT")),"YES","NO"))</f>
        <v/>
      </c>
      <c r="T451" s="85">
        <f>IF(J451="","",IF(J451="BUY",1,IF(J451="SELL",-1,0)))</f>
        <v/>
      </c>
      <c r="U451" s="94">
        <f>IFERROR(IF(OR(J451="",N451="",P451=""),"",IF(T451=0,0,T451*Q451-Settings!$B$4/10000-IF(T451&lt;0,Settings!$B$5/10000,0))),"")</f>
        <v/>
      </c>
      <c r="W451" s="18">
        <f>IF($K451="","",$K451*60)</f>
        <v/>
      </c>
      <c r="X451" s="73">
        <f>IF($A451="","",$A451&amp;"|"&amp;$C451&amp;"|"&amp;$D451)</f>
        <v/>
      </c>
      <c r="Y451" s="73">
        <f>IFERROR(IF($X451="","",INDEX(LLM_Data_Entry!$H$3:$H$548,MATCH($X451,INDEX(LLM_Data_Entry!$A$3:$A$548&amp;"|"&amp;LLM_Data_Entry!$C$3:$C$548&amp;"|"&amp;LLM_Data_Entry!$D$3:$D$548,0),0))),"")</f>
        <v/>
      </c>
      <c r="Z451" s="73">
        <f>IFERROR(IF($X451="","",INDEX(LLM_Data_Entry!$R$3:$R$548,MATCH($X451,INDEX(LLM_Data_Entry!$A$3:$A$548&amp;"|"&amp;LLM_Data_Entry!$C$3:$C$548&amp;"|"&amp;LLM_Data_Entry!$D$3:$D$548,0),0))),"")</f>
        <v/>
      </c>
      <c r="AL451">
        <f>IF($A451="","",IFERROR(INDEX(Company_List!$G$3:$G$207,MATCH($A451,Company_List!$A$3:$A$207,0)),"unassigned"))</f>
        <v/>
      </c>
      <c r="AP451">
        <f>IF($A451="","",IF(COUNTIFS(LLM_Data_Entry!$A$3:$A$548,$A451)&gt;0,"YES","NO"))</f>
        <v/>
      </c>
      <c r="AQ451">
        <f>IF($A451="","",IF(COUNTIFS($A$3:$A451,$A451,$C$3:$C451,$C451,$D$3:$D451,$D451)=1,"YES","NO"))</f>
        <v/>
      </c>
      <c r="AR451">
        <f>IF($A451="","",IF(AND($C451&amp;"-"&amp;$D451&gt;=Settings!$B$19,$C451&amp;"-"&amp;$D451&lt;=Settings!$B$20),"IN","OUT"))</f>
        <v/>
      </c>
      <c r="AS451">
        <f>IF($A451="","",IF($F451="Financial Results","financials",IF($F451="Outlook/Guidance","guidance",IF($F451="Transcript Q&amp;A","qanda",IF($F451="","unrecorded",IF($E451="All","full",IF($E451="","unrecorded",LOWER($E451)&amp;" only")))))))</f>
        <v/>
      </c>
      <c r="AT451">
        <f>IF(AND(OR($J451="BUY",$J451="SELL"),ISNUMBER($U451)),$U451,"")</f>
        <v/>
      </c>
      <c r="AU451">
        <f>IF(AND(OR($J451="BUY",$J451="SELL"),ISNUMBER($AK451)),$AK451,"")</f>
        <v/>
      </c>
      <c r="AV451">
        <f>IF(ISNUMBER($AT451),ABS(IF(ISNUMBER($I451),$I451,0)-Settings!$B$24),"")</f>
        <v/>
      </c>
      <c r="AW451">
        <f>IF(ISNUMBER($AV451),$AV451*$AT451,"")</f>
        <v/>
      </c>
      <c r="AX451">
        <f>IF(ISNUMBER($AU451),ABS(IF(ISNUMBER($I451),$I451,0)-Settings!$B$24),"")</f>
        <v/>
      </c>
      <c r="AZ451">
        <f>IF($A451="","",IFERROR(INDEX(Company_List!$H$3:$H$207,MATCH($A451,Company_List!$A$3:$A$207,0)),"unassigned"))</f>
        <v/>
      </c>
      <c r="BC451">
        <f>IF($A451="","",IF(COUNTIFS($A$3:$A451,$A451,$C$3:$C451,$C451,$D$3:$D451,$D451,$G$3:$G451,$G451)=1,1,0))</f>
        <v/>
      </c>
      <c r="BK451">
        <f>IF(OR($H451&lt;&gt;"Human",$S451="",$J451="",$Y451="",$Z451=""),"",IF(EXACT(UPPER($J451),UPPER($Y451)),1,0))</f>
        <v/>
      </c>
    </row>
    <row r="452">
      <c r="B452" s="89">
        <f>IF(A452="","",_xlfn.XLOOKUP(A452, Company_List!$A:$A, Company_List!$B:$B, ""))</f>
        <v/>
      </c>
      <c r="J452" s="92">
        <f>IF(OR(I452="",Settings!$B$6=""),"",IF(I452&gt;Settings!$B$6,"BUY",IF(I452&lt;-Settings!$B$6,"SELL","HOLD")))</f>
        <v/>
      </c>
      <c r="Q452" s="95">
        <f>IF(OR(N452="",P452=""),"",ROUND((P452-N452)/N452,4))</f>
        <v/>
      </c>
      <c r="R452" s="84">
        <f>IF(OR(N452="",P452=""),"",IF(Q452&gt;Settings!$B$3/100,"UP",IF(Q452&lt;-Settings!$B$3/100,"DOWN","FLAT")))</f>
        <v/>
      </c>
      <c r="S452" s="84">
        <f>IF(OR(N452="",P452="",J452=""),"",IF(OR(AND(J452="BUY",R452="UP"),AND(J452="SELL",R452="DOWN"),AND(J452="HOLD",R452="FLAT")),"YES","NO"))</f>
        <v/>
      </c>
      <c r="T452" s="85">
        <f>IF(J452="","",IF(J452="BUY",1,IF(J452="SELL",-1,0)))</f>
        <v/>
      </c>
      <c r="U452" s="94">
        <f>IFERROR(IF(OR(J452="",N452="",P452=""),"",IF(T452=0,0,T452*Q452-Settings!$B$4/10000-IF(T452&lt;0,Settings!$B$5/10000,0))),"")</f>
        <v/>
      </c>
      <c r="W452" s="18">
        <f>IF($K452="","",$K452*60)</f>
        <v/>
      </c>
      <c r="X452" s="73">
        <f>IF($A452="","",$A452&amp;"|"&amp;$C452&amp;"|"&amp;$D452)</f>
        <v/>
      </c>
      <c r="Y452" s="73">
        <f>IFERROR(IF($X452="","",INDEX(LLM_Data_Entry!$H$3:$H$548,MATCH($X452,INDEX(LLM_Data_Entry!$A$3:$A$548&amp;"|"&amp;LLM_Data_Entry!$C$3:$C$548&amp;"|"&amp;LLM_Data_Entry!$D$3:$D$548,0),0))),"")</f>
        <v/>
      </c>
      <c r="Z452" s="73">
        <f>IFERROR(IF($X452="","",INDEX(LLM_Data_Entry!$R$3:$R$548,MATCH($X452,INDEX(LLM_Data_Entry!$A$3:$A$548&amp;"|"&amp;LLM_Data_Entry!$C$3:$C$548&amp;"|"&amp;LLM_Data_Entry!$D$3:$D$548,0),0))),"")</f>
        <v/>
      </c>
      <c r="AL452">
        <f>IF($A452="","",IFERROR(INDEX(Company_List!$G$3:$G$207,MATCH($A452,Company_List!$A$3:$A$207,0)),"unassigned"))</f>
        <v/>
      </c>
      <c r="AP452">
        <f>IF($A452="","",IF(COUNTIFS(LLM_Data_Entry!$A$3:$A$548,$A452)&gt;0,"YES","NO"))</f>
        <v/>
      </c>
      <c r="AQ452">
        <f>IF($A452="","",IF(COUNTIFS($A$3:$A452,$A452,$C$3:$C452,$C452,$D$3:$D452,$D452)=1,"YES","NO"))</f>
        <v/>
      </c>
      <c r="AR452">
        <f>IF($A452="","",IF(AND($C452&amp;"-"&amp;$D452&gt;=Settings!$B$19,$C452&amp;"-"&amp;$D452&lt;=Settings!$B$20),"IN","OUT"))</f>
        <v/>
      </c>
      <c r="AS452">
        <f>IF($A452="","",IF($F452="Financial Results","financials",IF($F452="Outlook/Guidance","guidance",IF($F452="Transcript Q&amp;A","qanda",IF($F452="","unrecorded",IF($E452="All","full",IF($E452="","unrecorded",LOWER($E452)&amp;" only")))))))</f>
        <v/>
      </c>
      <c r="AT452">
        <f>IF(AND(OR($J452="BUY",$J452="SELL"),ISNUMBER($U452)),$U452,"")</f>
        <v/>
      </c>
      <c r="AU452">
        <f>IF(AND(OR($J452="BUY",$J452="SELL"),ISNUMBER($AK452)),$AK452,"")</f>
        <v/>
      </c>
      <c r="AV452">
        <f>IF(ISNUMBER($AT452),ABS(IF(ISNUMBER($I452),$I452,0)-Settings!$B$24),"")</f>
        <v/>
      </c>
      <c r="AW452">
        <f>IF(ISNUMBER($AV452),$AV452*$AT452,"")</f>
        <v/>
      </c>
      <c r="AX452">
        <f>IF(ISNUMBER($AU452),ABS(IF(ISNUMBER($I452),$I452,0)-Settings!$B$24),"")</f>
        <v/>
      </c>
      <c r="AZ452">
        <f>IF($A452="","",IFERROR(INDEX(Company_List!$H$3:$H$207,MATCH($A452,Company_List!$A$3:$A$207,0)),"unassigned"))</f>
        <v/>
      </c>
      <c r="BC452">
        <f>IF($A452="","",IF(COUNTIFS($A$3:$A452,$A452,$C$3:$C452,$C452,$D$3:$D452,$D452,$G$3:$G452,$G452)=1,1,0))</f>
        <v/>
      </c>
      <c r="BK452">
        <f>IF(OR($H452&lt;&gt;"Human",$S452="",$J452="",$Y452="",$Z452=""),"",IF(EXACT(UPPER($J452),UPPER($Y452)),1,0))</f>
        <v/>
      </c>
    </row>
    <row r="453">
      <c r="B453" s="89">
        <f>IF(A453="","",_xlfn.XLOOKUP(A453, Company_List!$A:$A, Company_List!$B:$B, ""))</f>
        <v/>
      </c>
      <c r="J453" s="92">
        <f>IF(OR(I453="",Settings!$B$6=""),"",IF(I453&gt;Settings!$B$6,"BUY",IF(I453&lt;-Settings!$B$6,"SELL","HOLD")))</f>
        <v/>
      </c>
      <c r="Q453" s="95">
        <f>IF(OR(N453="",P453=""),"",ROUND((P453-N453)/N453,4))</f>
        <v/>
      </c>
      <c r="R453" s="84">
        <f>IF(OR(N453="",P453=""),"",IF(Q453&gt;Settings!$B$3/100,"UP",IF(Q453&lt;-Settings!$B$3/100,"DOWN","FLAT")))</f>
        <v/>
      </c>
      <c r="S453" s="84">
        <f>IF(OR(N453="",P453="",J453=""),"",IF(OR(AND(J453="BUY",R453="UP"),AND(J453="SELL",R453="DOWN"),AND(J453="HOLD",R453="FLAT")),"YES","NO"))</f>
        <v/>
      </c>
      <c r="T453" s="85">
        <f>IF(J453="","",IF(J453="BUY",1,IF(J453="SELL",-1,0)))</f>
        <v/>
      </c>
      <c r="U453" s="94">
        <f>IFERROR(IF(OR(J453="",N453="",P453=""),"",IF(T453=0,0,T453*Q453-Settings!$B$4/10000-IF(T453&lt;0,Settings!$B$5/10000,0))),"")</f>
        <v/>
      </c>
      <c r="W453" s="18">
        <f>IF($K453="","",$K453*60)</f>
        <v/>
      </c>
      <c r="X453" s="73">
        <f>IF($A453="","",$A453&amp;"|"&amp;$C453&amp;"|"&amp;$D453)</f>
        <v/>
      </c>
      <c r="Y453" s="73">
        <f>IFERROR(IF($X453="","",INDEX(LLM_Data_Entry!$H$3:$H$548,MATCH($X453,INDEX(LLM_Data_Entry!$A$3:$A$548&amp;"|"&amp;LLM_Data_Entry!$C$3:$C$548&amp;"|"&amp;LLM_Data_Entry!$D$3:$D$548,0),0))),"")</f>
        <v/>
      </c>
      <c r="Z453" s="73">
        <f>IFERROR(IF($X453="","",INDEX(LLM_Data_Entry!$R$3:$R$548,MATCH($X453,INDEX(LLM_Data_Entry!$A$3:$A$548&amp;"|"&amp;LLM_Data_Entry!$C$3:$C$548&amp;"|"&amp;LLM_Data_Entry!$D$3:$D$548,0),0))),"")</f>
        <v/>
      </c>
      <c r="AL453">
        <f>IF($A453="","",IFERROR(INDEX(Company_List!$G$3:$G$207,MATCH($A453,Company_List!$A$3:$A$207,0)),"unassigned"))</f>
        <v/>
      </c>
      <c r="AP453">
        <f>IF($A453="","",IF(COUNTIFS(LLM_Data_Entry!$A$3:$A$548,$A453)&gt;0,"YES","NO"))</f>
        <v/>
      </c>
      <c r="AQ453">
        <f>IF($A453="","",IF(COUNTIFS($A$3:$A453,$A453,$C$3:$C453,$C453,$D$3:$D453,$D453)=1,"YES","NO"))</f>
        <v/>
      </c>
      <c r="AR453">
        <f>IF($A453="","",IF(AND($C453&amp;"-"&amp;$D453&gt;=Settings!$B$19,$C453&amp;"-"&amp;$D453&lt;=Settings!$B$20),"IN","OUT"))</f>
        <v/>
      </c>
      <c r="AS453">
        <f>IF($A453="","",IF($F453="Financial Results","financials",IF($F453="Outlook/Guidance","guidance",IF($F453="Transcript Q&amp;A","qanda",IF($F453="","unrecorded",IF($E453="All","full",IF($E453="","unrecorded",LOWER($E453)&amp;" only")))))))</f>
        <v/>
      </c>
      <c r="AT453">
        <f>IF(AND(OR($J453="BUY",$J453="SELL"),ISNUMBER($U453)),$U453,"")</f>
        <v/>
      </c>
      <c r="AU453">
        <f>IF(AND(OR($J453="BUY",$J453="SELL"),ISNUMBER($AK453)),$AK453,"")</f>
        <v/>
      </c>
      <c r="AV453">
        <f>IF(ISNUMBER($AT453),ABS(IF(ISNUMBER($I453),$I453,0)-Settings!$B$24),"")</f>
        <v/>
      </c>
      <c r="AW453">
        <f>IF(ISNUMBER($AV453),$AV453*$AT453,"")</f>
        <v/>
      </c>
      <c r="AX453">
        <f>IF(ISNUMBER($AU453),ABS(IF(ISNUMBER($I453),$I453,0)-Settings!$B$24),"")</f>
        <v/>
      </c>
      <c r="AZ453">
        <f>IF($A453="","",IFERROR(INDEX(Company_List!$H$3:$H$207,MATCH($A453,Company_List!$A$3:$A$207,0)),"unassigned"))</f>
        <v/>
      </c>
      <c r="BC453">
        <f>IF($A453="","",IF(COUNTIFS($A$3:$A453,$A453,$C$3:$C453,$C453,$D$3:$D453,$D453,$G$3:$G453,$G453)=1,1,0))</f>
        <v/>
      </c>
      <c r="BK453">
        <f>IF(OR($H453&lt;&gt;"Human",$S453="",$J453="",$Y453="",$Z453=""),"",IF(EXACT(UPPER($J453),UPPER($Y453)),1,0))</f>
        <v/>
      </c>
    </row>
    <row r="454">
      <c r="B454" s="89">
        <f>IF(A454="","",_xlfn.XLOOKUP(A454, Company_List!$A:$A, Company_List!$B:$B, ""))</f>
        <v/>
      </c>
      <c r="J454" s="92">
        <f>IF(OR(I454="",Settings!$B$6=""),"",IF(I454&gt;Settings!$B$6,"BUY",IF(I454&lt;-Settings!$B$6,"SELL","HOLD")))</f>
        <v/>
      </c>
      <c r="Q454" s="95">
        <f>IF(OR(N454="",P454=""),"",ROUND((P454-N454)/N454,4))</f>
        <v/>
      </c>
      <c r="R454" s="84">
        <f>IF(OR(N454="",P454=""),"",IF(Q454&gt;Settings!$B$3/100,"UP",IF(Q454&lt;-Settings!$B$3/100,"DOWN","FLAT")))</f>
        <v/>
      </c>
      <c r="S454" s="84">
        <f>IF(OR(N454="",P454="",J454=""),"",IF(OR(AND(J454="BUY",R454="UP"),AND(J454="SELL",R454="DOWN"),AND(J454="HOLD",R454="FLAT")),"YES","NO"))</f>
        <v/>
      </c>
      <c r="T454" s="85">
        <f>IF(J454="","",IF(J454="BUY",1,IF(J454="SELL",-1,0)))</f>
        <v/>
      </c>
      <c r="U454" s="94">
        <f>IFERROR(IF(OR(J454="",N454="",P454=""),"",IF(T454=0,0,T454*Q454-Settings!$B$4/10000-IF(T454&lt;0,Settings!$B$5/10000,0))),"")</f>
        <v/>
      </c>
      <c r="W454" s="18">
        <f>IF($K454="","",$K454*60)</f>
        <v/>
      </c>
      <c r="X454" s="73">
        <f>IF($A454="","",$A454&amp;"|"&amp;$C454&amp;"|"&amp;$D454)</f>
        <v/>
      </c>
      <c r="Y454" s="73">
        <f>IFERROR(IF($X454="","",INDEX(LLM_Data_Entry!$H$3:$H$548,MATCH($X454,INDEX(LLM_Data_Entry!$A$3:$A$548&amp;"|"&amp;LLM_Data_Entry!$C$3:$C$548&amp;"|"&amp;LLM_Data_Entry!$D$3:$D$548,0),0))),"")</f>
        <v/>
      </c>
      <c r="Z454" s="73">
        <f>IFERROR(IF($X454="","",INDEX(LLM_Data_Entry!$R$3:$R$548,MATCH($X454,INDEX(LLM_Data_Entry!$A$3:$A$548&amp;"|"&amp;LLM_Data_Entry!$C$3:$C$548&amp;"|"&amp;LLM_Data_Entry!$D$3:$D$548,0),0))),"")</f>
        <v/>
      </c>
      <c r="AL454">
        <f>IF($A454="","",IFERROR(INDEX(Company_List!$G$3:$G$207,MATCH($A454,Company_List!$A$3:$A$207,0)),"unassigned"))</f>
        <v/>
      </c>
      <c r="AP454">
        <f>IF($A454="","",IF(COUNTIFS(LLM_Data_Entry!$A$3:$A$548,$A454)&gt;0,"YES","NO"))</f>
        <v/>
      </c>
      <c r="AQ454">
        <f>IF($A454="","",IF(COUNTIFS($A$3:$A454,$A454,$C$3:$C454,$C454,$D$3:$D454,$D454)=1,"YES","NO"))</f>
        <v/>
      </c>
      <c r="AR454">
        <f>IF($A454="","",IF(AND($C454&amp;"-"&amp;$D454&gt;=Settings!$B$19,$C454&amp;"-"&amp;$D454&lt;=Settings!$B$20),"IN","OUT"))</f>
        <v/>
      </c>
      <c r="AS454">
        <f>IF($A454="","",IF($F454="Financial Results","financials",IF($F454="Outlook/Guidance","guidance",IF($F454="Transcript Q&amp;A","qanda",IF($F454="","unrecorded",IF($E454="All","full",IF($E454="","unrecorded",LOWER($E454)&amp;" only")))))))</f>
        <v/>
      </c>
      <c r="AT454">
        <f>IF(AND(OR($J454="BUY",$J454="SELL"),ISNUMBER($U454)),$U454,"")</f>
        <v/>
      </c>
      <c r="AU454">
        <f>IF(AND(OR($J454="BUY",$J454="SELL"),ISNUMBER($AK454)),$AK454,"")</f>
        <v/>
      </c>
      <c r="AV454">
        <f>IF(ISNUMBER($AT454),ABS(IF(ISNUMBER($I454),$I454,0)-Settings!$B$24),"")</f>
        <v/>
      </c>
      <c r="AW454">
        <f>IF(ISNUMBER($AV454),$AV454*$AT454,"")</f>
        <v/>
      </c>
      <c r="AX454">
        <f>IF(ISNUMBER($AU454),ABS(IF(ISNUMBER($I454),$I454,0)-Settings!$B$24),"")</f>
        <v/>
      </c>
      <c r="AZ454">
        <f>IF($A454="","",IFERROR(INDEX(Company_List!$H$3:$H$207,MATCH($A454,Company_List!$A$3:$A$207,0)),"unassigned"))</f>
        <v/>
      </c>
      <c r="BC454">
        <f>IF($A454="","",IF(COUNTIFS($A$3:$A454,$A454,$C$3:$C454,$C454,$D$3:$D454,$D454,$G$3:$G454,$G454)=1,1,0))</f>
        <v/>
      </c>
      <c r="BK454">
        <f>IF(OR($H454&lt;&gt;"Human",$S454="",$J454="",$Y454="",$Z454=""),"",IF(EXACT(UPPER($J454),UPPER($Y454)),1,0))</f>
        <v/>
      </c>
    </row>
    <row r="455">
      <c r="B455" s="89">
        <f>IF(A455="","",_xlfn.XLOOKUP(A455, Company_List!$A:$A, Company_List!$B:$B, ""))</f>
        <v/>
      </c>
      <c r="J455" s="92">
        <f>IF(OR(I455="",Settings!$B$6=""),"",IF(I455&gt;Settings!$B$6,"BUY",IF(I455&lt;-Settings!$B$6,"SELL","HOLD")))</f>
        <v/>
      </c>
      <c r="Q455" s="95">
        <f>IF(OR(N455="",P455=""),"",ROUND((P455-N455)/N455,4))</f>
        <v/>
      </c>
      <c r="R455" s="84">
        <f>IF(OR(N455="",P455=""),"",IF(Q455&gt;Settings!$B$3/100,"UP",IF(Q455&lt;-Settings!$B$3/100,"DOWN","FLAT")))</f>
        <v/>
      </c>
      <c r="S455" s="84">
        <f>IF(OR(N455="",P455="",J455=""),"",IF(OR(AND(J455="BUY",R455="UP"),AND(J455="SELL",R455="DOWN"),AND(J455="HOLD",R455="FLAT")),"YES","NO"))</f>
        <v/>
      </c>
      <c r="T455" s="85">
        <f>IF(J455="","",IF(J455="BUY",1,IF(J455="SELL",-1,0)))</f>
        <v/>
      </c>
      <c r="U455" s="94">
        <f>IFERROR(IF(OR(J455="",N455="",P455=""),"",IF(T455=0,0,T455*Q455-Settings!$B$4/10000-IF(T455&lt;0,Settings!$B$5/10000,0))),"")</f>
        <v/>
      </c>
      <c r="W455" s="18">
        <f>IF($K455="","",$K455*60)</f>
        <v/>
      </c>
      <c r="X455" s="73">
        <f>IF($A455="","",$A455&amp;"|"&amp;$C455&amp;"|"&amp;$D455)</f>
        <v/>
      </c>
      <c r="Y455" s="73">
        <f>IFERROR(IF($X455="","",INDEX(LLM_Data_Entry!$H$3:$H$548,MATCH($X455,INDEX(LLM_Data_Entry!$A$3:$A$548&amp;"|"&amp;LLM_Data_Entry!$C$3:$C$548&amp;"|"&amp;LLM_Data_Entry!$D$3:$D$548,0),0))),"")</f>
        <v/>
      </c>
      <c r="Z455" s="73">
        <f>IFERROR(IF($X455="","",INDEX(LLM_Data_Entry!$R$3:$R$548,MATCH($X455,INDEX(LLM_Data_Entry!$A$3:$A$548&amp;"|"&amp;LLM_Data_Entry!$C$3:$C$548&amp;"|"&amp;LLM_Data_Entry!$D$3:$D$548,0),0))),"")</f>
        <v/>
      </c>
      <c r="AL455">
        <f>IF($A455="","",IFERROR(INDEX(Company_List!$G$3:$G$207,MATCH($A455,Company_List!$A$3:$A$207,0)),"unassigned"))</f>
        <v/>
      </c>
      <c r="AP455">
        <f>IF($A455="","",IF(COUNTIFS(LLM_Data_Entry!$A$3:$A$548,$A455)&gt;0,"YES","NO"))</f>
        <v/>
      </c>
      <c r="AQ455">
        <f>IF($A455="","",IF(COUNTIFS($A$3:$A455,$A455,$C$3:$C455,$C455,$D$3:$D455,$D455)=1,"YES","NO"))</f>
        <v/>
      </c>
      <c r="AR455">
        <f>IF($A455="","",IF(AND($C455&amp;"-"&amp;$D455&gt;=Settings!$B$19,$C455&amp;"-"&amp;$D455&lt;=Settings!$B$20),"IN","OUT"))</f>
        <v/>
      </c>
      <c r="AS455">
        <f>IF($A455="","",IF($F455="Financial Results","financials",IF($F455="Outlook/Guidance","guidance",IF($F455="Transcript Q&amp;A","qanda",IF($F455="","unrecorded",IF($E455="All","full",IF($E455="","unrecorded",LOWER($E455)&amp;" only")))))))</f>
        <v/>
      </c>
      <c r="AT455">
        <f>IF(AND(OR($J455="BUY",$J455="SELL"),ISNUMBER($U455)),$U455,"")</f>
        <v/>
      </c>
      <c r="AU455">
        <f>IF(AND(OR($J455="BUY",$J455="SELL"),ISNUMBER($AK455)),$AK455,"")</f>
        <v/>
      </c>
      <c r="AV455">
        <f>IF(ISNUMBER($AT455),ABS(IF(ISNUMBER($I455),$I455,0)-Settings!$B$24),"")</f>
        <v/>
      </c>
      <c r="AW455">
        <f>IF(ISNUMBER($AV455),$AV455*$AT455,"")</f>
        <v/>
      </c>
      <c r="AX455">
        <f>IF(ISNUMBER($AU455),ABS(IF(ISNUMBER($I455),$I455,0)-Settings!$B$24),"")</f>
        <v/>
      </c>
      <c r="AZ455">
        <f>IF($A455="","",IFERROR(INDEX(Company_List!$H$3:$H$207,MATCH($A455,Company_List!$A$3:$A$207,0)),"unassigned"))</f>
        <v/>
      </c>
      <c r="BC455">
        <f>IF($A455="","",IF(COUNTIFS($A$3:$A455,$A455,$C$3:$C455,$C455,$D$3:$D455,$D455,$G$3:$G455,$G455)=1,1,0))</f>
        <v/>
      </c>
      <c r="BK455">
        <f>IF(OR($H455&lt;&gt;"Human",$S455="",$J455="",$Y455="",$Z455=""),"",IF(EXACT(UPPER($J455),UPPER($Y455)),1,0))</f>
        <v/>
      </c>
    </row>
    <row r="456">
      <c r="B456" s="89">
        <f>IF(A456="","",_xlfn.XLOOKUP(A456, Company_List!$A:$A, Company_List!$B:$B, ""))</f>
        <v/>
      </c>
      <c r="J456" s="92">
        <f>IF(OR(I456="",Settings!$B$6=""),"",IF(I456&gt;Settings!$B$6,"BUY",IF(I456&lt;-Settings!$B$6,"SELL","HOLD")))</f>
        <v/>
      </c>
      <c r="Q456" s="95">
        <f>IF(OR(N456="",P456=""),"",ROUND((P456-N456)/N456,4))</f>
        <v/>
      </c>
      <c r="R456" s="84">
        <f>IF(OR(N456="",P456=""),"",IF(Q456&gt;Settings!$B$3/100,"UP",IF(Q456&lt;-Settings!$B$3/100,"DOWN","FLAT")))</f>
        <v/>
      </c>
      <c r="S456" s="84">
        <f>IF(OR(N456="",P456="",J456=""),"",IF(OR(AND(J456="BUY",R456="UP"),AND(J456="SELL",R456="DOWN"),AND(J456="HOLD",R456="FLAT")),"YES","NO"))</f>
        <v/>
      </c>
      <c r="T456" s="85">
        <f>IF(J456="","",IF(J456="BUY",1,IF(J456="SELL",-1,0)))</f>
        <v/>
      </c>
      <c r="U456" s="94">
        <f>IFERROR(IF(OR(J456="",N456="",P456=""),"",IF(T456=0,0,T456*Q456-Settings!$B$4/10000-IF(T456&lt;0,Settings!$B$5/10000,0))),"")</f>
        <v/>
      </c>
      <c r="W456" s="18">
        <f>IF($K456="","",$K456*60)</f>
        <v/>
      </c>
      <c r="X456" s="73">
        <f>IF($A456="","",$A456&amp;"|"&amp;$C456&amp;"|"&amp;$D456)</f>
        <v/>
      </c>
      <c r="Y456" s="73">
        <f>IFERROR(IF($X456="","",INDEX(LLM_Data_Entry!$H$3:$H$548,MATCH($X456,INDEX(LLM_Data_Entry!$A$3:$A$548&amp;"|"&amp;LLM_Data_Entry!$C$3:$C$548&amp;"|"&amp;LLM_Data_Entry!$D$3:$D$548,0),0))),"")</f>
        <v/>
      </c>
      <c r="Z456" s="73">
        <f>IFERROR(IF($X456="","",INDEX(LLM_Data_Entry!$R$3:$R$548,MATCH($X456,INDEX(LLM_Data_Entry!$A$3:$A$548&amp;"|"&amp;LLM_Data_Entry!$C$3:$C$548&amp;"|"&amp;LLM_Data_Entry!$D$3:$D$548,0),0))),"")</f>
        <v/>
      </c>
      <c r="AL456">
        <f>IF($A456="","",IFERROR(INDEX(Company_List!$G$3:$G$207,MATCH($A456,Company_List!$A$3:$A$207,0)),"unassigned"))</f>
        <v/>
      </c>
      <c r="AP456">
        <f>IF($A456="","",IF(COUNTIFS(LLM_Data_Entry!$A$3:$A$548,$A456)&gt;0,"YES","NO"))</f>
        <v/>
      </c>
      <c r="AQ456">
        <f>IF($A456="","",IF(COUNTIFS($A$3:$A456,$A456,$C$3:$C456,$C456,$D$3:$D456,$D456)=1,"YES","NO"))</f>
        <v/>
      </c>
      <c r="AR456">
        <f>IF($A456="","",IF(AND($C456&amp;"-"&amp;$D456&gt;=Settings!$B$19,$C456&amp;"-"&amp;$D456&lt;=Settings!$B$20),"IN","OUT"))</f>
        <v/>
      </c>
      <c r="AS456">
        <f>IF($A456="","",IF($F456="Financial Results","financials",IF($F456="Outlook/Guidance","guidance",IF($F456="Transcript Q&amp;A","qanda",IF($F456="","unrecorded",IF($E456="All","full",IF($E456="","unrecorded",LOWER($E456)&amp;" only")))))))</f>
        <v/>
      </c>
      <c r="AT456">
        <f>IF(AND(OR($J456="BUY",$J456="SELL"),ISNUMBER($U456)),$U456,"")</f>
        <v/>
      </c>
      <c r="AU456">
        <f>IF(AND(OR($J456="BUY",$J456="SELL"),ISNUMBER($AK456)),$AK456,"")</f>
        <v/>
      </c>
      <c r="AV456">
        <f>IF(ISNUMBER($AT456),ABS(IF(ISNUMBER($I456),$I456,0)-Settings!$B$24),"")</f>
        <v/>
      </c>
      <c r="AW456">
        <f>IF(ISNUMBER($AV456),$AV456*$AT456,"")</f>
        <v/>
      </c>
      <c r="AX456">
        <f>IF(ISNUMBER($AU456),ABS(IF(ISNUMBER($I456),$I456,0)-Settings!$B$24),"")</f>
        <v/>
      </c>
      <c r="AZ456">
        <f>IF($A456="","",IFERROR(INDEX(Company_List!$H$3:$H$207,MATCH($A456,Company_List!$A$3:$A$207,0)),"unassigned"))</f>
        <v/>
      </c>
      <c r="BC456">
        <f>IF($A456="","",IF(COUNTIFS($A$3:$A456,$A456,$C$3:$C456,$C456,$D$3:$D456,$D456,$G$3:$G456,$G456)=1,1,0))</f>
        <v/>
      </c>
      <c r="BK456">
        <f>IF(OR($H456&lt;&gt;"Human",$S456="",$J456="",$Y456="",$Z456=""),"",IF(EXACT(UPPER($J456),UPPER($Y456)),1,0))</f>
        <v/>
      </c>
    </row>
    <row r="457">
      <c r="B457" s="89">
        <f>IF(A457="","",_xlfn.XLOOKUP(A457, Company_List!$A:$A, Company_List!$B:$B, ""))</f>
        <v/>
      </c>
      <c r="J457" s="92">
        <f>IF(OR(I457="",Settings!$B$6=""),"",IF(I457&gt;Settings!$B$6,"BUY",IF(I457&lt;-Settings!$B$6,"SELL","HOLD")))</f>
        <v/>
      </c>
      <c r="Q457" s="95">
        <f>IF(OR(N457="",P457=""),"",ROUND((P457-N457)/N457,4))</f>
        <v/>
      </c>
      <c r="R457" s="84">
        <f>IF(OR(N457="",P457=""),"",IF(Q457&gt;Settings!$B$3/100,"UP",IF(Q457&lt;-Settings!$B$3/100,"DOWN","FLAT")))</f>
        <v/>
      </c>
      <c r="S457" s="84">
        <f>IF(OR(N457="",P457="",J457=""),"",IF(OR(AND(J457="BUY",R457="UP"),AND(J457="SELL",R457="DOWN"),AND(J457="HOLD",R457="FLAT")),"YES","NO"))</f>
        <v/>
      </c>
      <c r="T457" s="85">
        <f>IF(J457="","",IF(J457="BUY",1,IF(J457="SELL",-1,0)))</f>
        <v/>
      </c>
      <c r="U457" s="94">
        <f>IFERROR(IF(OR(J457="",N457="",P457=""),"",IF(T457=0,0,T457*Q457-Settings!$B$4/10000-IF(T457&lt;0,Settings!$B$5/10000,0))),"")</f>
        <v/>
      </c>
      <c r="W457" s="18">
        <f>IF($K457="","",$K457*60)</f>
        <v/>
      </c>
      <c r="X457" s="73">
        <f>IF($A457="","",$A457&amp;"|"&amp;$C457&amp;"|"&amp;$D457)</f>
        <v/>
      </c>
      <c r="Y457" s="73">
        <f>IFERROR(IF($X457="","",INDEX(LLM_Data_Entry!$H$3:$H$548,MATCH($X457,INDEX(LLM_Data_Entry!$A$3:$A$548&amp;"|"&amp;LLM_Data_Entry!$C$3:$C$548&amp;"|"&amp;LLM_Data_Entry!$D$3:$D$548,0),0))),"")</f>
        <v/>
      </c>
      <c r="Z457" s="73">
        <f>IFERROR(IF($X457="","",INDEX(LLM_Data_Entry!$R$3:$R$548,MATCH($X457,INDEX(LLM_Data_Entry!$A$3:$A$548&amp;"|"&amp;LLM_Data_Entry!$C$3:$C$548&amp;"|"&amp;LLM_Data_Entry!$D$3:$D$548,0),0))),"")</f>
        <v/>
      </c>
      <c r="AL457">
        <f>IF($A457="","",IFERROR(INDEX(Company_List!$G$3:$G$207,MATCH($A457,Company_List!$A$3:$A$207,0)),"unassigned"))</f>
        <v/>
      </c>
      <c r="AP457">
        <f>IF($A457="","",IF(COUNTIFS(LLM_Data_Entry!$A$3:$A$548,$A457)&gt;0,"YES","NO"))</f>
        <v/>
      </c>
      <c r="AQ457">
        <f>IF($A457="","",IF(COUNTIFS($A$3:$A457,$A457,$C$3:$C457,$C457,$D$3:$D457,$D457)=1,"YES","NO"))</f>
        <v/>
      </c>
      <c r="AR457">
        <f>IF($A457="","",IF(AND($C457&amp;"-"&amp;$D457&gt;=Settings!$B$19,$C457&amp;"-"&amp;$D457&lt;=Settings!$B$20),"IN","OUT"))</f>
        <v/>
      </c>
      <c r="AS457">
        <f>IF($A457="","",IF($F457="Financial Results","financials",IF($F457="Outlook/Guidance","guidance",IF($F457="Transcript Q&amp;A","qanda",IF($F457="","unrecorded",IF($E457="All","full",IF($E457="","unrecorded",LOWER($E457)&amp;" only")))))))</f>
        <v/>
      </c>
      <c r="AT457">
        <f>IF(AND(OR($J457="BUY",$J457="SELL"),ISNUMBER($U457)),$U457,"")</f>
        <v/>
      </c>
      <c r="AU457">
        <f>IF(AND(OR($J457="BUY",$J457="SELL"),ISNUMBER($AK457)),$AK457,"")</f>
        <v/>
      </c>
      <c r="AV457">
        <f>IF(ISNUMBER($AT457),ABS(IF(ISNUMBER($I457),$I457,0)-Settings!$B$24),"")</f>
        <v/>
      </c>
      <c r="AW457">
        <f>IF(ISNUMBER($AV457),$AV457*$AT457,"")</f>
        <v/>
      </c>
      <c r="AX457">
        <f>IF(ISNUMBER($AU457),ABS(IF(ISNUMBER($I457),$I457,0)-Settings!$B$24),"")</f>
        <v/>
      </c>
      <c r="AZ457">
        <f>IF($A457="","",IFERROR(INDEX(Company_List!$H$3:$H$207,MATCH($A457,Company_List!$A$3:$A$207,0)),"unassigned"))</f>
        <v/>
      </c>
      <c r="BC457">
        <f>IF($A457="","",IF(COUNTIFS($A$3:$A457,$A457,$C$3:$C457,$C457,$D$3:$D457,$D457,$G$3:$G457,$G457)=1,1,0))</f>
        <v/>
      </c>
      <c r="BK457">
        <f>IF(OR($H457&lt;&gt;"Human",$S457="",$J457="",$Y457="",$Z457=""),"",IF(EXACT(UPPER($J457),UPPER($Y457)),1,0))</f>
        <v/>
      </c>
    </row>
    <row r="458">
      <c r="B458" s="89">
        <f>IF(A458="","",_xlfn.XLOOKUP(A458, Company_List!$A:$A, Company_List!$B:$B, ""))</f>
        <v/>
      </c>
      <c r="J458" s="92">
        <f>IF(OR(I458="",Settings!$B$6=""),"",IF(I458&gt;Settings!$B$6,"BUY",IF(I458&lt;-Settings!$B$6,"SELL","HOLD")))</f>
        <v/>
      </c>
      <c r="Q458" s="95">
        <f>IF(OR(N458="",P458=""),"",ROUND((P458-N458)/N458,4))</f>
        <v/>
      </c>
      <c r="R458" s="84">
        <f>IF(OR(N458="",P458=""),"",IF(Q458&gt;Settings!$B$3/100,"UP",IF(Q458&lt;-Settings!$B$3/100,"DOWN","FLAT")))</f>
        <v/>
      </c>
      <c r="S458" s="84">
        <f>IF(OR(N458="",P458="",J458=""),"",IF(OR(AND(J458="BUY",R458="UP"),AND(J458="SELL",R458="DOWN"),AND(J458="HOLD",R458="FLAT")),"YES","NO"))</f>
        <v/>
      </c>
      <c r="T458" s="85">
        <f>IF(J458="","",IF(J458="BUY",1,IF(J458="SELL",-1,0)))</f>
        <v/>
      </c>
      <c r="U458" s="94">
        <f>IFERROR(IF(OR(J458="",N458="",P458=""),"",IF(T458=0,0,T458*Q458-Settings!$B$4/10000-IF(T458&lt;0,Settings!$B$5/10000,0))),"")</f>
        <v/>
      </c>
      <c r="W458" s="18">
        <f>IF($K458="","",$K458*60)</f>
        <v/>
      </c>
      <c r="X458" s="73">
        <f>IF($A458="","",$A458&amp;"|"&amp;$C458&amp;"|"&amp;$D458)</f>
        <v/>
      </c>
      <c r="Y458" s="73">
        <f>IFERROR(IF($X458="","",INDEX(LLM_Data_Entry!$H$3:$H$548,MATCH($X458,INDEX(LLM_Data_Entry!$A$3:$A$548&amp;"|"&amp;LLM_Data_Entry!$C$3:$C$548&amp;"|"&amp;LLM_Data_Entry!$D$3:$D$548,0),0))),"")</f>
        <v/>
      </c>
      <c r="Z458" s="73">
        <f>IFERROR(IF($X458="","",INDEX(LLM_Data_Entry!$R$3:$R$548,MATCH($X458,INDEX(LLM_Data_Entry!$A$3:$A$548&amp;"|"&amp;LLM_Data_Entry!$C$3:$C$548&amp;"|"&amp;LLM_Data_Entry!$D$3:$D$548,0),0))),"")</f>
        <v/>
      </c>
      <c r="AL458">
        <f>IF($A458="","",IFERROR(INDEX(Company_List!$G$3:$G$207,MATCH($A458,Company_List!$A$3:$A$207,0)),"unassigned"))</f>
        <v/>
      </c>
      <c r="AP458">
        <f>IF($A458="","",IF(COUNTIFS(LLM_Data_Entry!$A$3:$A$548,$A458)&gt;0,"YES","NO"))</f>
        <v/>
      </c>
      <c r="AQ458">
        <f>IF($A458="","",IF(COUNTIFS($A$3:$A458,$A458,$C$3:$C458,$C458,$D$3:$D458,$D458)=1,"YES","NO"))</f>
        <v/>
      </c>
      <c r="AR458">
        <f>IF($A458="","",IF(AND($C458&amp;"-"&amp;$D458&gt;=Settings!$B$19,$C458&amp;"-"&amp;$D458&lt;=Settings!$B$20),"IN","OUT"))</f>
        <v/>
      </c>
      <c r="AS458">
        <f>IF($A458="","",IF($F458="Financial Results","financials",IF($F458="Outlook/Guidance","guidance",IF($F458="Transcript Q&amp;A","qanda",IF($F458="","unrecorded",IF($E458="All","full",IF($E458="","unrecorded",LOWER($E458)&amp;" only")))))))</f>
        <v/>
      </c>
      <c r="AT458">
        <f>IF(AND(OR($J458="BUY",$J458="SELL"),ISNUMBER($U458)),$U458,"")</f>
        <v/>
      </c>
      <c r="AU458">
        <f>IF(AND(OR($J458="BUY",$J458="SELL"),ISNUMBER($AK458)),$AK458,"")</f>
        <v/>
      </c>
      <c r="AV458">
        <f>IF(ISNUMBER($AT458),ABS(IF(ISNUMBER($I458),$I458,0)-Settings!$B$24),"")</f>
        <v/>
      </c>
      <c r="AW458">
        <f>IF(ISNUMBER($AV458),$AV458*$AT458,"")</f>
        <v/>
      </c>
      <c r="AX458">
        <f>IF(ISNUMBER($AU458),ABS(IF(ISNUMBER($I458),$I458,0)-Settings!$B$24),"")</f>
        <v/>
      </c>
      <c r="AZ458">
        <f>IF($A458="","",IFERROR(INDEX(Company_List!$H$3:$H$207,MATCH($A458,Company_List!$A$3:$A$207,0)),"unassigned"))</f>
        <v/>
      </c>
      <c r="BC458">
        <f>IF($A458="","",IF(COUNTIFS($A$3:$A458,$A458,$C$3:$C458,$C458,$D$3:$D458,$D458,$G$3:$G458,$G458)=1,1,0))</f>
        <v/>
      </c>
      <c r="BK458">
        <f>IF(OR($H458&lt;&gt;"Human",$S458="",$J458="",$Y458="",$Z458=""),"",IF(EXACT(UPPER($J458),UPPER($Y458)),1,0))</f>
        <v/>
      </c>
    </row>
    <row r="459">
      <c r="B459" s="89">
        <f>IF(A459="","",_xlfn.XLOOKUP(A459, Company_List!$A:$A, Company_List!$B:$B, ""))</f>
        <v/>
      </c>
      <c r="J459" s="92">
        <f>IF(OR(I459="",Settings!$B$6=""),"",IF(I459&gt;Settings!$B$6,"BUY",IF(I459&lt;-Settings!$B$6,"SELL","HOLD")))</f>
        <v/>
      </c>
      <c r="Q459" s="95">
        <f>IF(OR(N459="",P459=""),"",ROUND((P459-N459)/N459,4))</f>
        <v/>
      </c>
      <c r="R459" s="84">
        <f>IF(OR(N459="",P459=""),"",IF(Q459&gt;Settings!$B$3/100,"UP",IF(Q459&lt;-Settings!$B$3/100,"DOWN","FLAT")))</f>
        <v/>
      </c>
      <c r="S459" s="84">
        <f>IF(OR(N459="",P459="",J459=""),"",IF(OR(AND(J459="BUY",R459="UP"),AND(J459="SELL",R459="DOWN"),AND(J459="HOLD",R459="FLAT")),"YES","NO"))</f>
        <v/>
      </c>
      <c r="T459" s="85">
        <f>IF(J459="","",IF(J459="BUY",1,IF(J459="SELL",-1,0)))</f>
        <v/>
      </c>
      <c r="U459" s="94">
        <f>IFERROR(IF(OR(J459="",N459="",P459=""),"",IF(T459=0,0,T459*Q459-Settings!$B$4/10000-IF(T459&lt;0,Settings!$B$5/10000,0))),"")</f>
        <v/>
      </c>
      <c r="W459" s="18">
        <f>IF($K459="","",$K459*60)</f>
        <v/>
      </c>
      <c r="X459" s="73">
        <f>IF($A459="","",$A459&amp;"|"&amp;$C459&amp;"|"&amp;$D459)</f>
        <v/>
      </c>
      <c r="Y459" s="73">
        <f>IFERROR(IF($X459="","",INDEX(LLM_Data_Entry!$H$3:$H$548,MATCH($X459,INDEX(LLM_Data_Entry!$A$3:$A$548&amp;"|"&amp;LLM_Data_Entry!$C$3:$C$548&amp;"|"&amp;LLM_Data_Entry!$D$3:$D$548,0),0))),"")</f>
        <v/>
      </c>
      <c r="Z459" s="73">
        <f>IFERROR(IF($X459="","",INDEX(LLM_Data_Entry!$R$3:$R$548,MATCH($X459,INDEX(LLM_Data_Entry!$A$3:$A$548&amp;"|"&amp;LLM_Data_Entry!$C$3:$C$548&amp;"|"&amp;LLM_Data_Entry!$D$3:$D$548,0),0))),"")</f>
        <v/>
      </c>
      <c r="AL459">
        <f>IF($A459="","",IFERROR(INDEX(Company_List!$G$3:$G$207,MATCH($A459,Company_List!$A$3:$A$207,0)),"unassigned"))</f>
        <v/>
      </c>
      <c r="AP459">
        <f>IF($A459="","",IF(COUNTIFS(LLM_Data_Entry!$A$3:$A$548,$A459)&gt;0,"YES","NO"))</f>
        <v/>
      </c>
      <c r="AQ459">
        <f>IF($A459="","",IF(COUNTIFS($A$3:$A459,$A459,$C$3:$C459,$C459,$D$3:$D459,$D459)=1,"YES","NO"))</f>
        <v/>
      </c>
      <c r="AR459">
        <f>IF($A459="","",IF(AND($C459&amp;"-"&amp;$D459&gt;=Settings!$B$19,$C459&amp;"-"&amp;$D459&lt;=Settings!$B$20),"IN","OUT"))</f>
        <v/>
      </c>
      <c r="AS459">
        <f>IF($A459="","",IF($F459="Financial Results","financials",IF($F459="Outlook/Guidance","guidance",IF($F459="Transcript Q&amp;A","qanda",IF($F459="","unrecorded",IF($E459="All","full",IF($E459="","unrecorded",LOWER($E459)&amp;" only")))))))</f>
        <v/>
      </c>
      <c r="AT459">
        <f>IF(AND(OR($J459="BUY",$J459="SELL"),ISNUMBER($U459)),$U459,"")</f>
        <v/>
      </c>
      <c r="AU459">
        <f>IF(AND(OR($J459="BUY",$J459="SELL"),ISNUMBER($AK459)),$AK459,"")</f>
        <v/>
      </c>
      <c r="AV459">
        <f>IF(ISNUMBER($AT459),ABS(IF(ISNUMBER($I459),$I459,0)-Settings!$B$24),"")</f>
        <v/>
      </c>
      <c r="AW459">
        <f>IF(ISNUMBER($AV459),$AV459*$AT459,"")</f>
        <v/>
      </c>
      <c r="AX459">
        <f>IF(ISNUMBER($AU459),ABS(IF(ISNUMBER($I459),$I459,0)-Settings!$B$24),"")</f>
        <v/>
      </c>
      <c r="AZ459">
        <f>IF($A459="","",IFERROR(INDEX(Company_List!$H$3:$H$207,MATCH($A459,Company_List!$A$3:$A$207,0)),"unassigned"))</f>
        <v/>
      </c>
      <c r="BC459">
        <f>IF($A459="","",IF(COUNTIFS($A$3:$A459,$A459,$C$3:$C459,$C459,$D$3:$D459,$D459,$G$3:$G459,$G459)=1,1,0))</f>
        <v/>
      </c>
      <c r="BK459">
        <f>IF(OR($H459&lt;&gt;"Human",$S459="",$J459="",$Y459="",$Z459=""),"",IF(EXACT(UPPER($J459),UPPER($Y459)),1,0))</f>
        <v/>
      </c>
    </row>
    <row r="460">
      <c r="B460" s="89">
        <f>IF(A460="","",_xlfn.XLOOKUP(A460, Company_List!$A:$A, Company_List!$B:$B, ""))</f>
        <v/>
      </c>
      <c r="J460" s="92">
        <f>IF(OR(I460="",Settings!$B$6=""),"",IF(I460&gt;Settings!$B$6,"BUY",IF(I460&lt;-Settings!$B$6,"SELL","HOLD")))</f>
        <v/>
      </c>
      <c r="Q460" s="95">
        <f>IF(OR(N460="",P460=""),"",ROUND((P460-N460)/N460,4))</f>
        <v/>
      </c>
      <c r="R460" s="84">
        <f>IF(OR(N460="",P460=""),"",IF(Q460&gt;Settings!$B$3/100,"UP",IF(Q460&lt;-Settings!$B$3/100,"DOWN","FLAT")))</f>
        <v/>
      </c>
      <c r="S460" s="84">
        <f>IF(OR(N460="",P460="",J460=""),"",IF(OR(AND(J460="BUY",R460="UP"),AND(J460="SELL",R460="DOWN"),AND(J460="HOLD",R460="FLAT")),"YES","NO"))</f>
        <v/>
      </c>
      <c r="T460" s="85">
        <f>IF(J460="","",IF(J460="BUY",1,IF(J460="SELL",-1,0)))</f>
        <v/>
      </c>
      <c r="U460" s="94">
        <f>IFERROR(IF(OR(J460="",N460="",P460=""),"",IF(T460=0,0,T460*Q460-Settings!$B$4/10000-IF(T460&lt;0,Settings!$B$5/10000,0))),"")</f>
        <v/>
      </c>
      <c r="W460" s="18">
        <f>IF($K460="","",$K460*60)</f>
        <v/>
      </c>
      <c r="X460" s="73">
        <f>IF($A460="","",$A460&amp;"|"&amp;$C460&amp;"|"&amp;$D460)</f>
        <v/>
      </c>
      <c r="Y460" s="73">
        <f>IFERROR(IF($X460="","",INDEX(LLM_Data_Entry!$H$3:$H$548,MATCH($X460,INDEX(LLM_Data_Entry!$A$3:$A$548&amp;"|"&amp;LLM_Data_Entry!$C$3:$C$548&amp;"|"&amp;LLM_Data_Entry!$D$3:$D$548,0),0))),"")</f>
        <v/>
      </c>
      <c r="Z460" s="73">
        <f>IFERROR(IF($X460="","",INDEX(LLM_Data_Entry!$R$3:$R$548,MATCH($X460,INDEX(LLM_Data_Entry!$A$3:$A$548&amp;"|"&amp;LLM_Data_Entry!$C$3:$C$548&amp;"|"&amp;LLM_Data_Entry!$D$3:$D$548,0),0))),"")</f>
        <v/>
      </c>
      <c r="AL460">
        <f>IF($A460="","",IFERROR(INDEX(Company_List!$G$3:$G$207,MATCH($A460,Company_List!$A$3:$A$207,0)),"unassigned"))</f>
        <v/>
      </c>
      <c r="AP460">
        <f>IF($A460="","",IF(COUNTIFS(LLM_Data_Entry!$A$3:$A$548,$A460)&gt;0,"YES","NO"))</f>
        <v/>
      </c>
      <c r="AQ460">
        <f>IF($A460="","",IF(COUNTIFS($A$3:$A460,$A460,$C$3:$C460,$C460,$D$3:$D460,$D460)=1,"YES","NO"))</f>
        <v/>
      </c>
      <c r="AR460">
        <f>IF($A460="","",IF(AND($C460&amp;"-"&amp;$D460&gt;=Settings!$B$19,$C460&amp;"-"&amp;$D460&lt;=Settings!$B$20),"IN","OUT"))</f>
        <v/>
      </c>
      <c r="AS460">
        <f>IF($A460="","",IF($F460="Financial Results","financials",IF($F460="Outlook/Guidance","guidance",IF($F460="Transcript Q&amp;A","qanda",IF($F460="","unrecorded",IF($E460="All","full",IF($E460="","unrecorded",LOWER($E460)&amp;" only")))))))</f>
        <v/>
      </c>
      <c r="AT460">
        <f>IF(AND(OR($J460="BUY",$J460="SELL"),ISNUMBER($U460)),$U460,"")</f>
        <v/>
      </c>
      <c r="AU460">
        <f>IF(AND(OR($J460="BUY",$J460="SELL"),ISNUMBER($AK460)),$AK460,"")</f>
        <v/>
      </c>
      <c r="AV460">
        <f>IF(ISNUMBER($AT460),ABS(IF(ISNUMBER($I460),$I460,0)-Settings!$B$24),"")</f>
        <v/>
      </c>
      <c r="AW460">
        <f>IF(ISNUMBER($AV460),$AV460*$AT460,"")</f>
        <v/>
      </c>
      <c r="AX460">
        <f>IF(ISNUMBER($AU460),ABS(IF(ISNUMBER($I460),$I460,0)-Settings!$B$24),"")</f>
        <v/>
      </c>
      <c r="AZ460">
        <f>IF($A460="","",IFERROR(INDEX(Company_List!$H$3:$H$207,MATCH($A460,Company_List!$A$3:$A$207,0)),"unassigned"))</f>
        <v/>
      </c>
      <c r="BC460">
        <f>IF($A460="","",IF(COUNTIFS($A$3:$A460,$A460,$C$3:$C460,$C460,$D$3:$D460,$D460,$G$3:$G460,$G460)=1,1,0))</f>
        <v/>
      </c>
      <c r="BK460">
        <f>IF(OR($H460&lt;&gt;"Human",$S460="",$J460="",$Y460="",$Z460=""),"",IF(EXACT(UPPER($J460),UPPER($Y460)),1,0))</f>
        <v/>
      </c>
    </row>
    <row r="461">
      <c r="B461" s="89">
        <f>IF(A461="","",_xlfn.XLOOKUP(A461, Company_List!$A:$A, Company_List!$B:$B, ""))</f>
        <v/>
      </c>
      <c r="J461" s="92">
        <f>IF(OR(I461="",Settings!$B$6=""),"",IF(I461&gt;Settings!$B$6,"BUY",IF(I461&lt;-Settings!$B$6,"SELL","HOLD")))</f>
        <v/>
      </c>
      <c r="Q461" s="95">
        <f>IF(OR(N461="",P461=""),"",ROUND((P461-N461)/N461,4))</f>
        <v/>
      </c>
      <c r="R461" s="84">
        <f>IF(OR(N461="",P461=""),"",IF(Q461&gt;Settings!$B$3/100,"UP",IF(Q461&lt;-Settings!$B$3/100,"DOWN","FLAT")))</f>
        <v/>
      </c>
      <c r="S461" s="84">
        <f>IF(OR(N461="",P461="",J461=""),"",IF(OR(AND(J461="BUY",R461="UP"),AND(J461="SELL",R461="DOWN"),AND(J461="HOLD",R461="FLAT")),"YES","NO"))</f>
        <v/>
      </c>
      <c r="T461" s="85">
        <f>IF(J461="","",IF(J461="BUY",1,IF(J461="SELL",-1,0)))</f>
        <v/>
      </c>
      <c r="U461" s="94">
        <f>IFERROR(IF(OR(J461="",N461="",P461=""),"",IF(T461=0,0,T461*Q461-Settings!$B$4/10000-IF(T461&lt;0,Settings!$B$5/10000,0))),"")</f>
        <v/>
      </c>
      <c r="W461" s="18">
        <f>IF($K461="","",$K461*60)</f>
        <v/>
      </c>
      <c r="X461" s="73">
        <f>IF($A461="","",$A461&amp;"|"&amp;$C461&amp;"|"&amp;$D461)</f>
        <v/>
      </c>
      <c r="Y461" s="73">
        <f>IFERROR(IF($X461="","",INDEX(LLM_Data_Entry!$H$3:$H$548,MATCH($X461,INDEX(LLM_Data_Entry!$A$3:$A$548&amp;"|"&amp;LLM_Data_Entry!$C$3:$C$548&amp;"|"&amp;LLM_Data_Entry!$D$3:$D$548,0),0))),"")</f>
        <v/>
      </c>
      <c r="Z461" s="73">
        <f>IFERROR(IF($X461="","",INDEX(LLM_Data_Entry!$R$3:$R$548,MATCH($X461,INDEX(LLM_Data_Entry!$A$3:$A$548&amp;"|"&amp;LLM_Data_Entry!$C$3:$C$548&amp;"|"&amp;LLM_Data_Entry!$D$3:$D$548,0),0))),"")</f>
        <v/>
      </c>
      <c r="AL461">
        <f>IF($A461="","",IFERROR(INDEX(Company_List!$G$3:$G$207,MATCH($A461,Company_List!$A$3:$A$207,0)),"unassigned"))</f>
        <v/>
      </c>
      <c r="AP461">
        <f>IF($A461="","",IF(COUNTIFS(LLM_Data_Entry!$A$3:$A$548,$A461)&gt;0,"YES","NO"))</f>
        <v/>
      </c>
      <c r="AQ461">
        <f>IF($A461="","",IF(COUNTIFS($A$3:$A461,$A461,$C$3:$C461,$C461,$D$3:$D461,$D461)=1,"YES","NO"))</f>
        <v/>
      </c>
      <c r="AR461">
        <f>IF($A461="","",IF(AND($C461&amp;"-"&amp;$D461&gt;=Settings!$B$19,$C461&amp;"-"&amp;$D461&lt;=Settings!$B$20),"IN","OUT"))</f>
        <v/>
      </c>
      <c r="AS461">
        <f>IF($A461="","",IF($F461="Financial Results","financials",IF($F461="Outlook/Guidance","guidance",IF($F461="Transcript Q&amp;A","qanda",IF($F461="","unrecorded",IF($E461="All","full",IF($E461="","unrecorded",LOWER($E461)&amp;" only")))))))</f>
        <v/>
      </c>
      <c r="AT461">
        <f>IF(AND(OR($J461="BUY",$J461="SELL"),ISNUMBER($U461)),$U461,"")</f>
        <v/>
      </c>
      <c r="AU461">
        <f>IF(AND(OR($J461="BUY",$J461="SELL"),ISNUMBER($AK461)),$AK461,"")</f>
        <v/>
      </c>
      <c r="AV461">
        <f>IF(ISNUMBER($AT461),ABS(IF(ISNUMBER($I461),$I461,0)-Settings!$B$24),"")</f>
        <v/>
      </c>
      <c r="AW461">
        <f>IF(ISNUMBER($AV461),$AV461*$AT461,"")</f>
        <v/>
      </c>
      <c r="AX461">
        <f>IF(ISNUMBER($AU461),ABS(IF(ISNUMBER($I461),$I461,0)-Settings!$B$24),"")</f>
        <v/>
      </c>
      <c r="AZ461">
        <f>IF($A461="","",IFERROR(INDEX(Company_List!$H$3:$H$207,MATCH($A461,Company_List!$A$3:$A$207,0)),"unassigned"))</f>
        <v/>
      </c>
      <c r="BC461">
        <f>IF($A461="","",IF(COUNTIFS($A$3:$A461,$A461,$C$3:$C461,$C461,$D$3:$D461,$D461,$G$3:$G461,$G461)=1,1,0))</f>
        <v/>
      </c>
      <c r="BK461">
        <f>IF(OR($H461&lt;&gt;"Human",$S461="",$J461="",$Y461="",$Z461=""),"",IF(EXACT(UPPER($J461),UPPER($Y461)),1,0))</f>
        <v/>
      </c>
    </row>
    <row r="462">
      <c r="B462" s="89">
        <f>IF(A462="","",_xlfn.XLOOKUP(A462, Company_List!$A:$A, Company_List!$B:$B, ""))</f>
        <v/>
      </c>
      <c r="J462" s="92">
        <f>IF(OR(I462="",Settings!$B$6=""),"",IF(I462&gt;Settings!$B$6,"BUY",IF(I462&lt;-Settings!$B$6,"SELL","HOLD")))</f>
        <v/>
      </c>
      <c r="Q462" s="95">
        <f>IF(OR(N462="",P462=""),"",ROUND((P462-N462)/N462,4))</f>
        <v/>
      </c>
      <c r="R462" s="84">
        <f>IF(OR(N462="",P462=""),"",IF(Q462&gt;Settings!$B$3/100,"UP",IF(Q462&lt;-Settings!$B$3/100,"DOWN","FLAT")))</f>
        <v/>
      </c>
      <c r="S462" s="84">
        <f>IF(OR(N462="",P462="",J462=""),"",IF(OR(AND(J462="BUY",R462="UP"),AND(J462="SELL",R462="DOWN"),AND(J462="HOLD",R462="FLAT")),"YES","NO"))</f>
        <v/>
      </c>
      <c r="T462" s="85">
        <f>IF(J462="","",IF(J462="BUY",1,IF(J462="SELL",-1,0)))</f>
        <v/>
      </c>
      <c r="U462" s="94">
        <f>IFERROR(IF(OR(J462="",N462="",P462=""),"",IF(T462=0,0,T462*Q462-Settings!$B$4/10000-IF(T462&lt;0,Settings!$B$5/10000,0))),"")</f>
        <v/>
      </c>
      <c r="W462" s="18">
        <f>IF($K462="","",$K462*60)</f>
        <v/>
      </c>
      <c r="X462" s="73">
        <f>IF($A462="","",$A462&amp;"|"&amp;$C462&amp;"|"&amp;$D462)</f>
        <v/>
      </c>
      <c r="Y462" s="73">
        <f>IFERROR(IF($X462="","",INDEX(LLM_Data_Entry!$H$3:$H$548,MATCH($X462,INDEX(LLM_Data_Entry!$A$3:$A$548&amp;"|"&amp;LLM_Data_Entry!$C$3:$C$548&amp;"|"&amp;LLM_Data_Entry!$D$3:$D$548,0),0))),"")</f>
        <v/>
      </c>
      <c r="Z462" s="73">
        <f>IFERROR(IF($X462="","",INDEX(LLM_Data_Entry!$R$3:$R$548,MATCH($X462,INDEX(LLM_Data_Entry!$A$3:$A$548&amp;"|"&amp;LLM_Data_Entry!$C$3:$C$548&amp;"|"&amp;LLM_Data_Entry!$D$3:$D$548,0),0))),"")</f>
        <v/>
      </c>
      <c r="AL462">
        <f>IF($A462="","",IFERROR(INDEX(Company_List!$G$3:$G$207,MATCH($A462,Company_List!$A$3:$A$207,0)),"unassigned"))</f>
        <v/>
      </c>
      <c r="AP462">
        <f>IF($A462="","",IF(COUNTIFS(LLM_Data_Entry!$A$3:$A$548,$A462)&gt;0,"YES","NO"))</f>
        <v/>
      </c>
      <c r="AQ462">
        <f>IF($A462="","",IF(COUNTIFS($A$3:$A462,$A462,$C$3:$C462,$C462,$D$3:$D462,$D462)=1,"YES","NO"))</f>
        <v/>
      </c>
      <c r="AR462">
        <f>IF($A462="","",IF(AND($C462&amp;"-"&amp;$D462&gt;=Settings!$B$19,$C462&amp;"-"&amp;$D462&lt;=Settings!$B$20),"IN","OUT"))</f>
        <v/>
      </c>
      <c r="AS462">
        <f>IF($A462="","",IF($F462="Financial Results","financials",IF($F462="Outlook/Guidance","guidance",IF($F462="Transcript Q&amp;A","qanda",IF($F462="","unrecorded",IF($E462="All","full",IF($E462="","unrecorded",LOWER($E462)&amp;" only")))))))</f>
        <v/>
      </c>
      <c r="AT462">
        <f>IF(AND(OR($J462="BUY",$J462="SELL"),ISNUMBER($U462)),$U462,"")</f>
        <v/>
      </c>
      <c r="AU462">
        <f>IF(AND(OR($J462="BUY",$J462="SELL"),ISNUMBER($AK462)),$AK462,"")</f>
        <v/>
      </c>
      <c r="AV462">
        <f>IF(ISNUMBER($AT462),ABS(IF(ISNUMBER($I462),$I462,0)-Settings!$B$24),"")</f>
        <v/>
      </c>
      <c r="AW462">
        <f>IF(ISNUMBER($AV462),$AV462*$AT462,"")</f>
        <v/>
      </c>
      <c r="AX462">
        <f>IF(ISNUMBER($AU462),ABS(IF(ISNUMBER($I462),$I462,0)-Settings!$B$24),"")</f>
        <v/>
      </c>
      <c r="AZ462">
        <f>IF($A462="","",IFERROR(INDEX(Company_List!$H$3:$H$207,MATCH($A462,Company_List!$A$3:$A$207,0)),"unassigned"))</f>
        <v/>
      </c>
      <c r="BC462">
        <f>IF($A462="","",IF(COUNTIFS($A$3:$A462,$A462,$C$3:$C462,$C462,$D$3:$D462,$D462,$G$3:$G462,$G462)=1,1,0))</f>
        <v/>
      </c>
      <c r="BK462">
        <f>IF(OR($H462&lt;&gt;"Human",$S462="",$J462="",$Y462="",$Z462=""),"",IF(EXACT(UPPER($J462),UPPER($Y462)),1,0))</f>
        <v/>
      </c>
    </row>
    <row r="463">
      <c r="B463" s="89">
        <f>IF(A463="","",_xlfn.XLOOKUP(A463, Company_List!$A:$A, Company_List!$B:$B, ""))</f>
        <v/>
      </c>
      <c r="J463" s="92">
        <f>IF(OR(I463="",Settings!$B$6=""),"",IF(I463&gt;Settings!$B$6,"BUY",IF(I463&lt;-Settings!$B$6,"SELL","HOLD")))</f>
        <v/>
      </c>
      <c r="Q463" s="95">
        <f>IF(OR(N463="",P463=""),"",ROUND((P463-N463)/N463,4))</f>
        <v/>
      </c>
      <c r="R463" s="84">
        <f>IF(OR(N463="",P463=""),"",IF(Q463&gt;Settings!$B$3/100,"UP",IF(Q463&lt;-Settings!$B$3/100,"DOWN","FLAT")))</f>
        <v/>
      </c>
      <c r="S463" s="84">
        <f>IF(OR(N463="",P463="",J463=""),"",IF(OR(AND(J463="BUY",R463="UP"),AND(J463="SELL",R463="DOWN"),AND(J463="HOLD",R463="FLAT")),"YES","NO"))</f>
        <v/>
      </c>
      <c r="T463" s="85">
        <f>IF(J463="","",IF(J463="BUY",1,IF(J463="SELL",-1,0)))</f>
        <v/>
      </c>
      <c r="U463" s="94">
        <f>IFERROR(IF(OR(J463="",N463="",P463=""),"",IF(T463=0,0,T463*Q463-Settings!$B$4/10000-IF(T463&lt;0,Settings!$B$5/10000,0))),"")</f>
        <v/>
      </c>
      <c r="W463" s="18">
        <f>IF($K463="","",$K463*60)</f>
        <v/>
      </c>
      <c r="X463" s="73">
        <f>IF($A463="","",$A463&amp;"|"&amp;$C463&amp;"|"&amp;$D463)</f>
        <v/>
      </c>
      <c r="Y463" s="73">
        <f>IFERROR(IF($X463="","",INDEX(LLM_Data_Entry!$H$3:$H$548,MATCH($X463,INDEX(LLM_Data_Entry!$A$3:$A$548&amp;"|"&amp;LLM_Data_Entry!$C$3:$C$548&amp;"|"&amp;LLM_Data_Entry!$D$3:$D$548,0),0))),"")</f>
        <v/>
      </c>
      <c r="Z463" s="73">
        <f>IFERROR(IF($X463="","",INDEX(LLM_Data_Entry!$R$3:$R$548,MATCH($X463,INDEX(LLM_Data_Entry!$A$3:$A$548&amp;"|"&amp;LLM_Data_Entry!$C$3:$C$548&amp;"|"&amp;LLM_Data_Entry!$D$3:$D$548,0),0))),"")</f>
        <v/>
      </c>
      <c r="AL463">
        <f>IF($A463="","",IFERROR(INDEX(Company_List!$G$3:$G$207,MATCH($A463,Company_List!$A$3:$A$207,0)),"unassigned"))</f>
        <v/>
      </c>
      <c r="AP463">
        <f>IF($A463="","",IF(COUNTIFS(LLM_Data_Entry!$A$3:$A$548,$A463)&gt;0,"YES","NO"))</f>
        <v/>
      </c>
      <c r="AQ463">
        <f>IF($A463="","",IF(COUNTIFS($A$3:$A463,$A463,$C$3:$C463,$C463,$D$3:$D463,$D463)=1,"YES","NO"))</f>
        <v/>
      </c>
      <c r="AR463">
        <f>IF($A463="","",IF(AND($C463&amp;"-"&amp;$D463&gt;=Settings!$B$19,$C463&amp;"-"&amp;$D463&lt;=Settings!$B$20),"IN","OUT"))</f>
        <v/>
      </c>
      <c r="AS463">
        <f>IF($A463="","",IF($F463="Financial Results","financials",IF($F463="Outlook/Guidance","guidance",IF($F463="Transcript Q&amp;A","qanda",IF($F463="","unrecorded",IF($E463="All","full",IF($E463="","unrecorded",LOWER($E463)&amp;" only")))))))</f>
        <v/>
      </c>
      <c r="AT463">
        <f>IF(AND(OR($J463="BUY",$J463="SELL"),ISNUMBER($U463)),$U463,"")</f>
        <v/>
      </c>
      <c r="AU463">
        <f>IF(AND(OR($J463="BUY",$J463="SELL"),ISNUMBER($AK463)),$AK463,"")</f>
        <v/>
      </c>
      <c r="AV463">
        <f>IF(ISNUMBER($AT463),ABS(IF(ISNUMBER($I463),$I463,0)-Settings!$B$24),"")</f>
        <v/>
      </c>
      <c r="AW463">
        <f>IF(ISNUMBER($AV463),$AV463*$AT463,"")</f>
        <v/>
      </c>
      <c r="AX463">
        <f>IF(ISNUMBER($AU463),ABS(IF(ISNUMBER($I463),$I463,0)-Settings!$B$24),"")</f>
        <v/>
      </c>
      <c r="AZ463">
        <f>IF($A463="","",IFERROR(INDEX(Company_List!$H$3:$H$207,MATCH($A463,Company_List!$A$3:$A$207,0)),"unassigned"))</f>
        <v/>
      </c>
      <c r="BC463">
        <f>IF($A463="","",IF(COUNTIFS($A$3:$A463,$A463,$C$3:$C463,$C463,$D$3:$D463,$D463,$G$3:$G463,$G463)=1,1,0))</f>
        <v/>
      </c>
      <c r="BK463">
        <f>IF(OR($H463&lt;&gt;"Human",$S463="",$J463="",$Y463="",$Z463=""),"",IF(EXACT(UPPER($J463),UPPER($Y463)),1,0))</f>
        <v/>
      </c>
    </row>
    <row r="464">
      <c r="B464" s="89">
        <f>IF(A464="","",_xlfn.XLOOKUP(A464, Company_List!$A:$A, Company_List!$B:$B, ""))</f>
        <v/>
      </c>
      <c r="J464" s="92">
        <f>IF(OR(I464="",Settings!$B$6=""),"",IF(I464&gt;Settings!$B$6,"BUY",IF(I464&lt;-Settings!$B$6,"SELL","HOLD")))</f>
        <v/>
      </c>
      <c r="Q464" s="95">
        <f>IF(OR(N464="",P464=""),"",ROUND((P464-N464)/N464,4))</f>
        <v/>
      </c>
      <c r="R464" s="84">
        <f>IF(OR(N464="",P464=""),"",IF(Q464&gt;Settings!$B$3/100,"UP",IF(Q464&lt;-Settings!$B$3/100,"DOWN","FLAT")))</f>
        <v/>
      </c>
      <c r="S464" s="84">
        <f>IF(OR(N464="",P464="",J464=""),"",IF(OR(AND(J464="BUY",R464="UP"),AND(J464="SELL",R464="DOWN"),AND(J464="HOLD",R464="FLAT")),"YES","NO"))</f>
        <v/>
      </c>
      <c r="T464" s="85">
        <f>IF(J464="","",IF(J464="BUY",1,IF(J464="SELL",-1,0)))</f>
        <v/>
      </c>
      <c r="U464" s="94">
        <f>IFERROR(IF(OR(J464="",N464="",P464=""),"",IF(T464=0,0,T464*Q464-Settings!$B$4/10000-IF(T464&lt;0,Settings!$B$5/10000,0))),"")</f>
        <v/>
      </c>
      <c r="W464" s="18">
        <f>IF($K464="","",$K464*60)</f>
        <v/>
      </c>
      <c r="X464" s="73">
        <f>IF($A464="","",$A464&amp;"|"&amp;$C464&amp;"|"&amp;$D464)</f>
        <v/>
      </c>
      <c r="Y464" s="73">
        <f>IFERROR(IF($X464="","",INDEX(LLM_Data_Entry!$H$3:$H$548,MATCH($X464,INDEX(LLM_Data_Entry!$A$3:$A$548&amp;"|"&amp;LLM_Data_Entry!$C$3:$C$548&amp;"|"&amp;LLM_Data_Entry!$D$3:$D$548,0),0))),"")</f>
        <v/>
      </c>
      <c r="Z464" s="73">
        <f>IFERROR(IF($X464="","",INDEX(LLM_Data_Entry!$R$3:$R$548,MATCH($X464,INDEX(LLM_Data_Entry!$A$3:$A$548&amp;"|"&amp;LLM_Data_Entry!$C$3:$C$548&amp;"|"&amp;LLM_Data_Entry!$D$3:$D$548,0),0))),"")</f>
        <v/>
      </c>
      <c r="AL464">
        <f>IF($A464="","",IFERROR(INDEX(Company_List!$G$3:$G$207,MATCH($A464,Company_List!$A$3:$A$207,0)),"unassigned"))</f>
        <v/>
      </c>
      <c r="AP464">
        <f>IF($A464="","",IF(COUNTIFS(LLM_Data_Entry!$A$3:$A$548,$A464)&gt;0,"YES","NO"))</f>
        <v/>
      </c>
      <c r="AQ464">
        <f>IF($A464="","",IF(COUNTIFS($A$3:$A464,$A464,$C$3:$C464,$C464,$D$3:$D464,$D464)=1,"YES","NO"))</f>
        <v/>
      </c>
      <c r="AR464">
        <f>IF($A464="","",IF(AND($C464&amp;"-"&amp;$D464&gt;=Settings!$B$19,$C464&amp;"-"&amp;$D464&lt;=Settings!$B$20),"IN","OUT"))</f>
        <v/>
      </c>
      <c r="AS464">
        <f>IF($A464="","",IF($F464="Financial Results","financials",IF($F464="Outlook/Guidance","guidance",IF($F464="Transcript Q&amp;A","qanda",IF($F464="","unrecorded",IF($E464="All","full",IF($E464="","unrecorded",LOWER($E464)&amp;" only")))))))</f>
        <v/>
      </c>
      <c r="AT464">
        <f>IF(AND(OR($J464="BUY",$J464="SELL"),ISNUMBER($U464)),$U464,"")</f>
        <v/>
      </c>
      <c r="AU464">
        <f>IF(AND(OR($J464="BUY",$J464="SELL"),ISNUMBER($AK464)),$AK464,"")</f>
        <v/>
      </c>
      <c r="AV464">
        <f>IF(ISNUMBER($AT464),ABS(IF(ISNUMBER($I464),$I464,0)-Settings!$B$24),"")</f>
        <v/>
      </c>
      <c r="AW464">
        <f>IF(ISNUMBER($AV464),$AV464*$AT464,"")</f>
        <v/>
      </c>
      <c r="AX464">
        <f>IF(ISNUMBER($AU464),ABS(IF(ISNUMBER($I464),$I464,0)-Settings!$B$24),"")</f>
        <v/>
      </c>
      <c r="AZ464">
        <f>IF($A464="","",IFERROR(INDEX(Company_List!$H$3:$H$207,MATCH($A464,Company_List!$A$3:$A$207,0)),"unassigned"))</f>
        <v/>
      </c>
      <c r="BC464">
        <f>IF($A464="","",IF(COUNTIFS($A$3:$A464,$A464,$C$3:$C464,$C464,$D$3:$D464,$D464,$G$3:$G464,$G464)=1,1,0))</f>
        <v/>
      </c>
      <c r="BK464">
        <f>IF(OR($H464&lt;&gt;"Human",$S464="",$J464="",$Y464="",$Z464=""),"",IF(EXACT(UPPER($J464),UPPER($Y464)),1,0))</f>
        <v/>
      </c>
    </row>
    <row r="465">
      <c r="B465" s="89">
        <f>IF(A465="","",_xlfn.XLOOKUP(A465, Company_List!$A:$A, Company_List!$B:$B, ""))</f>
        <v/>
      </c>
      <c r="J465" s="92">
        <f>IF(OR(I465="",Settings!$B$6=""),"",IF(I465&gt;Settings!$B$6,"BUY",IF(I465&lt;-Settings!$B$6,"SELL","HOLD")))</f>
        <v/>
      </c>
      <c r="Q465" s="95">
        <f>IF(OR(N465="",P465=""),"",ROUND((P465-N465)/N465,4))</f>
        <v/>
      </c>
      <c r="R465" s="84">
        <f>IF(OR(N465="",P465=""),"",IF(Q465&gt;Settings!$B$3/100,"UP",IF(Q465&lt;-Settings!$B$3/100,"DOWN","FLAT")))</f>
        <v/>
      </c>
      <c r="S465" s="84">
        <f>IF(OR(N465="",P465="",J465=""),"",IF(OR(AND(J465="BUY",R465="UP"),AND(J465="SELL",R465="DOWN"),AND(J465="HOLD",R465="FLAT")),"YES","NO"))</f>
        <v/>
      </c>
      <c r="T465" s="85">
        <f>IF(J465="","",IF(J465="BUY",1,IF(J465="SELL",-1,0)))</f>
        <v/>
      </c>
      <c r="U465" s="94">
        <f>IFERROR(IF(OR(J465="",N465="",P465=""),"",IF(T465=0,0,T465*Q465-Settings!$B$4/10000-IF(T465&lt;0,Settings!$B$5/10000,0))),"")</f>
        <v/>
      </c>
      <c r="W465" s="18">
        <f>IF($K465="","",$K465*60)</f>
        <v/>
      </c>
      <c r="X465" s="73">
        <f>IF($A465="","",$A465&amp;"|"&amp;$C465&amp;"|"&amp;$D465)</f>
        <v/>
      </c>
      <c r="Y465" s="73">
        <f>IFERROR(IF($X465="","",INDEX(LLM_Data_Entry!$H$3:$H$548,MATCH($X465,INDEX(LLM_Data_Entry!$A$3:$A$548&amp;"|"&amp;LLM_Data_Entry!$C$3:$C$548&amp;"|"&amp;LLM_Data_Entry!$D$3:$D$548,0),0))),"")</f>
        <v/>
      </c>
      <c r="Z465" s="73">
        <f>IFERROR(IF($X465="","",INDEX(LLM_Data_Entry!$R$3:$R$548,MATCH($X465,INDEX(LLM_Data_Entry!$A$3:$A$548&amp;"|"&amp;LLM_Data_Entry!$C$3:$C$548&amp;"|"&amp;LLM_Data_Entry!$D$3:$D$548,0),0))),"")</f>
        <v/>
      </c>
      <c r="AL465">
        <f>IF($A465="","",IFERROR(INDEX(Company_List!$G$3:$G$207,MATCH($A465,Company_List!$A$3:$A$207,0)),"unassigned"))</f>
        <v/>
      </c>
      <c r="AP465">
        <f>IF($A465="","",IF(COUNTIFS(LLM_Data_Entry!$A$3:$A$548,$A465)&gt;0,"YES","NO"))</f>
        <v/>
      </c>
      <c r="AQ465">
        <f>IF($A465="","",IF(COUNTIFS($A$3:$A465,$A465,$C$3:$C465,$C465,$D$3:$D465,$D465)=1,"YES","NO"))</f>
        <v/>
      </c>
      <c r="AR465">
        <f>IF($A465="","",IF(AND($C465&amp;"-"&amp;$D465&gt;=Settings!$B$19,$C465&amp;"-"&amp;$D465&lt;=Settings!$B$20),"IN","OUT"))</f>
        <v/>
      </c>
      <c r="AS465">
        <f>IF($A465="","",IF($F465="Financial Results","financials",IF($F465="Outlook/Guidance","guidance",IF($F465="Transcript Q&amp;A","qanda",IF($F465="","unrecorded",IF($E465="All","full",IF($E465="","unrecorded",LOWER($E465)&amp;" only")))))))</f>
        <v/>
      </c>
      <c r="AT465">
        <f>IF(AND(OR($J465="BUY",$J465="SELL"),ISNUMBER($U465)),$U465,"")</f>
        <v/>
      </c>
      <c r="AU465">
        <f>IF(AND(OR($J465="BUY",$J465="SELL"),ISNUMBER($AK465)),$AK465,"")</f>
        <v/>
      </c>
      <c r="AV465">
        <f>IF(ISNUMBER($AT465),ABS(IF(ISNUMBER($I465),$I465,0)-Settings!$B$24),"")</f>
        <v/>
      </c>
      <c r="AW465">
        <f>IF(ISNUMBER($AV465),$AV465*$AT465,"")</f>
        <v/>
      </c>
      <c r="AX465">
        <f>IF(ISNUMBER($AU465),ABS(IF(ISNUMBER($I465),$I465,0)-Settings!$B$24),"")</f>
        <v/>
      </c>
      <c r="AZ465">
        <f>IF($A465="","",IFERROR(INDEX(Company_List!$H$3:$H$207,MATCH($A465,Company_List!$A$3:$A$207,0)),"unassigned"))</f>
        <v/>
      </c>
      <c r="BC465">
        <f>IF($A465="","",IF(COUNTIFS($A$3:$A465,$A465,$C$3:$C465,$C465,$D$3:$D465,$D465,$G$3:$G465,$G465)=1,1,0))</f>
        <v/>
      </c>
      <c r="BK465">
        <f>IF(OR($H465&lt;&gt;"Human",$S465="",$J465="",$Y465="",$Z465=""),"",IF(EXACT(UPPER($J465),UPPER($Y465)),1,0))</f>
        <v/>
      </c>
    </row>
    <row r="466">
      <c r="B466" s="89">
        <f>IF(A466="","",_xlfn.XLOOKUP(A466, Company_List!$A:$A, Company_List!$B:$B, ""))</f>
        <v/>
      </c>
      <c r="J466" s="92">
        <f>IF(OR(I466="",Settings!$B$6=""),"",IF(I466&gt;Settings!$B$6,"BUY",IF(I466&lt;-Settings!$B$6,"SELL","HOLD")))</f>
        <v/>
      </c>
      <c r="Q466" s="95">
        <f>IF(OR(N466="",P466=""),"",ROUND((P466-N466)/N466,4))</f>
        <v/>
      </c>
      <c r="R466" s="84">
        <f>IF(OR(N466="",P466=""),"",IF(Q466&gt;Settings!$B$3/100,"UP",IF(Q466&lt;-Settings!$B$3/100,"DOWN","FLAT")))</f>
        <v/>
      </c>
      <c r="S466" s="84">
        <f>IF(OR(N466="",P466="",J466=""),"",IF(OR(AND(J466="BUY",R466="UP"),AND(J466="SELL",R466="DOWN"),AND(J466="HOLD",R466="FLAT")),"YES","NO"))</f>
        <v/>
      </c>
      <c r="T466" s="85">
        <f>IF(J466="","",IF(J466="BUY",1,IF(J466="SELL",-1,0)))</f>
        <v/>
      </c>
      <c r="U466" s="94">
        <f>IFERROR(IF(OR(J466="",N466="",P466=""),"",IF(T466=0,0,T466*Q466-Settings!$B$4/10000-IF(T466&lt;0,Settings!$B$5/10000,0))),"")</f>
        <v/>
      </c>
      <c r="W466" s="18">
        <f>IF($K466="","",$K466*60)</f>
        <v/>
      </c>
      <c r="X466" s="73">
        <f>IF($A466="","",$A466&amp;"|"&amp;$C466&amp;"|"&amp;$D466)</f>
        <v/>
      </c>
      <c r="Y466" s="73">
        <f>IFERROR(IF($X466="","",INDEX(LLM_Data_Entry!$H$3:$H$548,MATCH($X466,INDEX(LLM_Data_Entry!$A$3:$A$548&amp;"|"&amp;LLM_Data_Entry!$C$3:$C$548&amp;"|"&amp;LLM_Data_Entry!$D$3:$D$548,0),0))),"")</f>
        <v/>
      </c>
      <c r="Z466" s="73">
        <f>IFERROR(IF($X466="","",INDEX(LLM_Data_Entry!$R$3:$R$548,MATCH($X466,INDEX(LLM_Data_Entry!$A$3:$A$548&amp;"|"&amp;LLM_Data_Entry!$C$3:$C$548&amp;"|"&amp;LLM_Data_Entry!$D$3:$D$548,0),0))),"")</f>
        <v/>
      </c>
      <c r="AL466">
        <f>IF($A466="","",IFERROR(INDEX(Company_List!$G$3:$G$207,MATCH($A466,Company_List!$A$3:$A$207,0)),"unassigned"))</f>
        <v/>
      </c>
      <c r="AP466">
        <f>IF($A466="","",IF(COUNTIFS(LLM_Data_Entry!$A$3:$A$548,$A466)&gt;0,"YES","NO"))</f>
        <v/>
      </c>
      <c r="AQ466">
        <f>IF($A466="","",IF(COUNTIFS($A$3:$A466,$A466,$C$3:$C466,$C466,$D$3:$D466,$D466)=1,"YES","NO"))</f>
        <v/>
      </c>
      <c r="AR466">
        <f>IF($A466="","",IF(AND($C466&amp;"-"&amp;$D466&gt;=Settings!$B$19,$C466&amp;"-"&amp;$D466&lt;=Settings!$B$20),"IN","OUT"))</f>
        <v/>
      </c>
      <c r="AS466">
        <f>IF($A466="","",IF($F466="Financial Results","financials",IF($F466="Outlook/Guidance","guidance",IF($F466="Transcript Q&amp;A","qanda",IF($F466="","unrecorded",IF($E466="All","full",IF($E466="","unrecorded",LOWER($E466)&amp;" only")))))))</f>
        <v/>
      </c>
      <c r="AT466">
        <f>IF(AND(OR($J466="BUY",$J466="SELL"),ISNUMBER($U466)),$U466,"")</f>
        <v/>
      </c>
      <c r="AU466">
        <f>IF(AND(OR($J466="BUY",$J466="SELL"),ISNUMBER($AK466)),$AK466,"")</f>
        <v/>
      </c>
      <c r="AV466">
        <f>IF(ISNUMBER($AT466),ABS(IF(ISNUMBER($I466),$I466,0)-Settings!$B$24),"")</f>
        <v/>
      </c>
      <c r="AW466">
        <f>IF(ISNUMBER($AV466),$AV466*$AT466,"")</f>
        <v/>
      </c>
      <c r="AX466">
        <f>IF(ISNUMBER($AU466),ABS(IF(ISNUMBER($I466),$I466,0)-Settings!$B$24),"")</f>
        <v/>
      </c>
      <c r="AZ466">
        <f>IF($A466="","",IFERROR(INDEX(Company_List!$H$3:$H$207,MATCH($A466,Company_List!$A$3:$A$207,0)),"unassigned"))</f>
        <v/>
      </c>
      <c r="BC466">
        <f>IF($A466="","",IF(COUNTIFS($A$3:$A466,$A466,$C$3:$C466,$C466,$D$3:$D466,$D466,$G$3:$G466,$G466)=1,1,0))</f>
        <v/>
      </c>
      <c r="BK466">
        <f>IF(OR($H466&lt;&gt;"Human",$S466="",$J466="",$Y466="",$Z466=""),"",IF(EXACT(UPPER($J466),UPPER($Y466)),1,0))</f>
        <v/>
      </c>
    </row>
    <row r="467">
      <c r="B467" s="89">
        <f>IF(A467="","",_xlfn.XLOOKUP(A467, Company_List!$A:$A, Company_List!$B:$B, ""))</f>
        <v/>
      </c>
      <c r="J467" s="92">
        <f>IF(OR(I467="",Settings!$B$6=""),"",IF(I467&gt;Settings!$B$6,"BUY",IF(I467&lt;-Settings!$B$6,"SELL","HOLD")))</f>
        <v/>
      </c>
      <c r="Q467" s="95">
        <f>IF(OR(N467="",P467=""),"",ROUND((P467-N467)/N467,4))</f>
        <v/>
      </c>
      <c r="R467" s="84">
        <f>IF(OR(N467="",P467=""),"",IF(Q467&gt;Settings!$B$3/100,"UP",IF(Q467&lt;-Settings!$B$3/100,"DOWN","FLAT")))</f>
        <v/>
      </c>
      <c r="S467" s="84">
        <f>IF(OR(N467="",P467="",J467=""),"",IF(OR(AND(J467="BUY",R467="UP"),AND(J467="SELL",R467="DOWN"),AND(J467="HOLD",R467="FLAT")),"YES","NO"))</f>
        <v/>
      </c>
      <c r="T467" s="85">
        <f>IF(J467="","",IF(J467="BUY",1,IF(J467="SELL",-1,0)))</f>
        <v/>
      </c>
      <c r="U467" s="94">
        <f>IFERROR(IF(OR(J467="",N467="",P467=""),"",IF(T467=0,0,T467*Q467-Settings!$B$4/10000-IF(T467&lt;0,Settings!$B$5/10000,0))),"")</f>
        <v/>
      </c>
      <c r="W467" s="18">
        <f>IF($K467="","",$K467*60)</f>
        <v/>
      </c>
      <c r="X467" s="73">
        <f>IF($A467="","",$A467&amp;"|"&amp;$C467&amp;"|"&amp;$D467)</f>
        <v/>
      </c>
      <c r="Y467" s="73">
        <f>IFERROR(IF($X467="","",INDEX(LLM_Data_Entry!$H$3:$H$548,MATCH($X467,INDEX(LLM_Data_Entry!$A$3:$A$548&amp;"|"&amp;LLM_Data_Entry!$C$3:$C$548&amp;"|"&amp;LLM_Data_Entry!$D$3:$D$548,0),0))),"")</f>
        <v/>
      </c>
      <c r="Z467" s="73">
        <f>IFERROR(IF($X467="","",INDEX(LLM_Data_Entry!$R$3:$R$548,MATCH($X467,INDEX(LLM_Data_Entry!$A$3:$A$548&amp;"|"&amp;LLM_Data_Entry!$C$3:$C$548&amp;"|"&amp;LLM_Data_Entry!$D$3:$D$548,0),0))),"")</f>
        <v/>
      </c>
      <c r="AL467">
        <f>IF($A467="","",IFERROR(INDEX(Company_List!$G$3:$G$207,MATCH($A467,Company_List!$A$3:$A$207,0)),"unassigned"))</f>
        <v/>
      </c>
      <c r="AP467">
        <f>IF($A467="","",IF(COUNTIFS(LLM_Data_Entry!$A$3:$A$548,$A467)&gt;0,"YES","NO"))</f>
        <v/>
      </c>
      <c r="AQ467">
        <f>IF($A467="","",IF(COUNTIFS($A$3:$A467,$A467,$C$3:$C467,$C467,$D$3:$D467,$D467)=1,"YES","NO"))</f>
        <v/>
      </c>
      <c r="AR467">
        <f>IF($A467="","",IF(AND($C467&amp;"-"&amp;$D467&gt;=Settings!$B$19,$C467&amp;"-"&amp;$D467&lt;=Settings!$B$20),"IN","OUT"))</f>
        <v/>
      </c>
      <c r="AS467">
        <f>IF($A467="","",IF($F467="Financial Results","financials",IF($F467="Outlook/Guidance","guidance",IF($F467="Transcript Q&amp;A","qanda",IF($F467="","unrecorded",IF($E467="All","full",IF($E467="","unrecorded",LOWER($E467)&amp;" only")))))))</f>
        <v/>
      </c>
      <c r="AT467">
        <f>IF(AND(OR($J467="BUY",$J467="SELL"),ISNUMBER($U467)),$U467,"")</f>
        <v/>
      </c>
      <c r="AU467">
        <f>IF(AND(OR($J467="BUY",$J467="SELL"),ISNUMBER($AK467)),$AK467,"")</f>
        <v/>
      </c>
      <c r="AV467">
        <f>IF(ISNUMBER($AT467),ABS(IF(ISNUMBER($I467),$I467,0)-Settings!$B$24),"")</f>
        <v/>
      </c>
      <c r="AW467">
        <f>IF(ISNUMBER($AV467),$AV467*$AT467,"")</f>
        <v/>
      </c>
      <c r="AX467">
        <f>IF(ISNUMBER($AU467),ABS(IF(ISNUMBER($I467),$I467,0)-Settings!$B$24),"")</f>
        <v/>
      </c>
      <c r="AZ467">
        <f>IF($A467="","",IFERROR(INDEX(Company_List!$H$3:$H$207,MATCH($A467,Company_List!$A$3:$A$207,0)),"unassigned"))</f>
        <v/>
      </c>
      <c r="BC467">
        <f>IF($A467="","",IF(COUNTIFS($A$3:$A467,$A467,$C$3:$C467,$C467,$D$3:$D467,$D467,$G$3:$G467,$G467)=1,1,0))</f>
        <v/>
      </c>
      <c r="BK467">
        <f>IF(OR($H467&lt;&gt;"Human",$S467="",$J467="",$Y467="",$Z467=""),"",IF(EXACT(UPPER($J467),UPPER($Y467)),1,0))</f>
        <v/>
      </c>
    </row>
    <row r="468">
      <c r="B468" s="89">
        <f>IF(A468="","",_xlfn.XLOOKUP(A468, Company_List!$A:$A, Company_List!$B:$B, ""))</f>
        <v/>
      </c>
      <c r="J468" s="92">
        <f>IF(OR(I468="",Settings!$B$6=""),"",IF(I468&gt;Settings!$B$6,"BUY",IF(I468&lt;-Settings!$B$6,"SELL","HOLD")))</f>
        <v/>
      </c>
      <c r="Q468" s="95">
        <f>IF(OR(N468="",P468=""),"",ROUND((P468-N468)/N468,4))</f>
        <v/>
      </c>
      <c r="R468" s="84">
        <f>IF(OR(N468="",P468=""),"",IF(Q468&gt;Settings!$B$3/100,"UP",IF(Q468&lt;-Settings!$B$3/100,"DOWN","FLAT")))</f>
        <v/>
      </c>
      <c r="S468" s="84">
        <f>IF(OR(N468="",P468="",J468=""),"",IF(OR(AND(J468="BUY",R468="UP"),AND(J468="SELL",R468="DOWN"),AND(J468="HOLD",R468="FLAT")),"YES","NO"))</f>
        <v/>
      </c>
      <c r="T468" s="85">
        <f>IF(J468="","",IF(J468="BUY",1,IF(J468="SELL",-1,0)))</f>
        <v/>
      </c>
      <c r="U468" s="94">
        <f>IFERROR(IF(OR(J468="",N468="",P468=""),"",IF(T468=0,0,T468*Q468-Settings!$B$4/10000-IF(T468&lt;0,Settings!$B$5/10000,0))),"")</f>
        <v/>
      </c>
      <c r="W468" s="18">
        <f>IF($K468="","",$K468*60)</f>
        <v/>
      </c>
      <c r="X468" s="73">
        <f>IF($A468="","",$A468&amp;"|"&amp;$C468&amp;"|"&amp;$D468)</f>
        <v/>
      </c>
      <c r="Y468" s="73">
        <f>IFERROR(IF($X468="","",INDEX(LLM_Data_Entry!$H$3:$H$548,MATCH($X468,INDEX(LLM_Data_Entry!$A$3:$A$548&amp;"|"&amp;LLM_Data_Entry!$C$3:$C$548&amp;"|"&amp;LLM_Data_Entry!$D$3:$D$548,0),0))),"")</f>
        <v/>
      </c>
      <c r="Z468" s="73">
        <f>IFERROR(IF($X468="","",INDEX(LLM_Data_Entry!$R$3:$R$548,MATCH($X468,INDEX(LLM_Data_Entry!$A$3:$A$548&amp;"|"&amp;LLM_Data_Entry!$C$3:$C$548&amp;"|"&amp;LLM_Data_Entry!$D$3:$D$548,0),0))),"")</f>
        <v/>
      </c>
      <c r="AL468">
        <f>IF($A468="","",IFERROR(INDEX(Company_List!$G$3:$G$207,MATCH($A468,Company_List!$A$3:$A$207,0)),"unassigned"))</f>
        <v/>
      </c>
      <c r="AP468">
        <f>IF($A468="","",IF(COUNTIFS(LLM_Data_Entry!$A$3:$A$548,$A468)&gt;0,"YES","NO"))</f>
        <v/>
      </c>
      <c r="AQ468">
        <f>IF($A468="","",IF(COUNTIFS($A$3:$A468,$A468,$C$3:$C468,$C468,$D$3:$D468,$D468)=1,"YES","NO"))</f>
        <v/>
      </c>
      <c r="AR468">
        <f>IF($A468="","",IF(AND($C468&amp;"-"&amp;$D468&gt;=Settings!$B$19,$C468&amp;"-"&amp;$D468&lt;=Settings!$B$20),"IN","OUT"))</f>
        <v/>
      </c>
      <c r="AS468">
        <f>IF($A468="","",IF($F468="Financial Results","financials",IF($F468="Outlook/Guidance","guidance",IF($F468="Transcript Q&amp;A","qanda",IF($F468="","unrecorded",IF($E468="All","full",IF($E468="","unrecorded",LOWER($E468)&amp;" only")))))))</f>
        <v/>
      </c>
      <c r="AT468">
        <f>IF(AND(OR($J468="BUY",$J468="SELL"),ISNUMBER($U468)),$U468,"")</f>
        <v/>
      </c>
      <c r="AU468">
        <f>IF(AND(OR($J468="BUY",$J468="SELL"),ISNUMBER($AK468)),$AK468,"")</f>
        <v/>
      </c>
      <c r="AV468">
        <f>IF(ISNUMBER($AT468),ABS(IF(ISNUMBER($I468),$I468,0)-Settings!$B$24),"")</f>
        <v/>
      </c>
      <c r="AW468">
        <f>IF(ISNUMBER($AV468),$AV468*$AT468,"")</f>
        <v/>
      </c>
      <c r="AX468">
        <f>IF(ISNUMBER($AU468),ABS(IF(ISNUMBER($I468),$I468,0)-Settings!$B$24),"")</f>
        <v/>
      </c>
      <c r="AZ468">
        <f>IF($A468="","",IFERROR(INDEX(Company_List!$H$3:$H$207,MATCH($A468,Company_List!$A$3:$A$207,0)),"unassigned"))</f>
        <v/>
      </c>
      <c r="BC468">
        <f>IF($A468="","",IF(COUNTIFS($A$3:$A468,$A468,$C$3:$C468,$C468,$D$3:$D468,$D468,$G$3:$G468,$G468)=1,1,0))</f>
        <v/>
      </c>
      <c r="BK468">
        <f>IF(OR($H468&lt;&gt;"Human",$S468="",$J468="",$Y468="",$Z468=""),"",IF(EXACT(UPPER($J468),UPPER($Y468)),1,0))</f>
        <v/>
      </c>
    </row>
    <row r="469">
      <c r="B469" s="89">
        <f>IF(A469="","",_xlfn.XLOOKUP(A469, Company_List!$A:$A, Company_List!$B:$B, ""))</f>
        <v/>
      </c>
      <c r="J469" s="92">
        <f>IF(OR(I469="",Settings!$B$6=""),"",IF(I469&gt;Settings!$B$6,"BUY",IF(I469&lt;-Settings!$B$6,"SELL","HOLD")))</f>
        <v/>
      </c>
      <c r="Q469" s="95">
        <f>IF(OR(N469="",P469=""),"",ROUND((P469-N469)/N469,4))</f>
        <v/>
      </c>
      <c r="R469" s="84">
        <f>IF(OR(N469="",P469=""),"",IF(Q469&gt;Settings!$B$3/100,"UP",IF(Q469&lt;-Settings!$B$3/100,"DOWN","FLAT")))</f>
        <v/>
      </c>
      <c r="S469" s="84">
        <f>IF(OR(N469="",P469="",J469=""),"",IF(OR(AND(J469="BUY",R469="UP"),AND(J469="SELL",R469="DOWN"),AND(J469="HOLD",R469="FLAT")),"YES","NO"))</f>
        <v/>
      </c>
      <c r="T469" s="85">
        <f>IF(J469="","",IF(J469="BUY",1,IF(J469="SELL",-1,0)))</f>
        <v/>
      </c>
      <c r="U469" s="94">
        <f>IFERROR(IF(OR(J469="",N469="",P469=""),"",IF(T469=0,0,T469*Q469-Settings!$B$4/10000-IF(T469&lt;0,Settings!$B$5/10000,0))),"")</f>
        <v/>
      </c>
      <c r="W469" s="18">
        <f>IF($K469="","",$K469*60)</f>
        <v/>
      </c>
      <c r="X469" s="73">
        <f>IF($A469="","",$A469&amp;"|"&amp;$C469&amp;"|"&amp;$D469)</f>
        <v/>
      </c>
      <c r="Y469" s="73">
        <f>IFERROR(IF($X469="","",INDEX(LLM_Data_Entry!$H$3:$H$548,MATCH($X469,INDEX(LLM_Data_Entry!$A$3:$A$548&amp;"|"&amp;LLM_Data_Entry!$C$3:$C$548&amp;"|"&amp;LLM_Data_Entry!$D$3:$D$548,0),0))),"")</f>
        <v/>
      </c>
      <c r="Z469" s="73">
        <f>IFERROR(IF($X469="","",INDEX(LLM_Data_Entry!$R$3:$R$548,MATCH($X469,INDEX(LLM_Data_Entry!$A$3:$A$548&amp;"|"&amp;LLM_Data_Entry!$C$3:$C$548&amp;"|"&amp;LLM_Data_Entry!$D$3:$D$548,0),0))),"")</f>
        <v/>
      </c>
      <c r="AL469">
        <f>IF($A469="","",IFERROR(INDEX(Company_List!$G$3:$G$207,MATCH($A469,Company_List!$A$3:$A$207,0)),"unassigned"))</f>
        <v/>
      </c>
      <c r="AP469">
        <f>IF($A469="","",IF(COUNTIFS(LLM_Data_Entry!$A$3:$A$548,$A469)&gt;0,"YES","NO"))</f>
        <v/>
      </c>
      <c r="AQ469">
        <f>IF($A469="","",IF(COUNTIFS($A$3:$A469,$A469,$C$3:$C469,$C469,$D$3:$D469,$D469)=1,"YES","NO"))</f>
        <v/>
      </c>
      <c r="AR469">
        <f>IF($A469="","",IF(AND($C469&amp;"-"&amp;$D469&gt;=Settings!$B$19,$C469&amp;"-"&amp;$D469&lt;=Settings!$B$20),"IN","OUT"))</f>
        <v/>
      </c>
      <c r="AS469">
        <f>IF($A469="","",IF($F469="Financial Results","financials",IF($F469="Outlook/Guidance","guidance",IF($F469="Transcript Q&amp;A","qanda",IF($F469="","unrecorded",IF($E469="All","full",IF($E469="","unrecorded",LOWER($E469)&amp;" only")))))))</f>
        <v/>
      </c>
      <c r="AT469">
        <f>IF(AND(OR($J469="BUY",$J469="SELL"),ISNUMBER($U469)),$U469,"")</f>
        <v/>
      </c>
      <c r="AU469">
        <f>IF(AND(OR($J469="BUY",$J469="SELL"),ISNUMBER($AK469)),$AK469,"")</f>
        <v/>
      </c>
      <c r="AV469">
        <f>IF(ISNUMBER($AT469),ABS(IF(ISNUMBER($I469),$I469,0)-Settings!$B$24),"")</f>
        <v/>
      </c>
      <c r="AW469">
        <f>IF(ISNUMBER($AV469),$AV469*$AT469,"")</f>
        <v/>
      </c>
      <c r="AX469">
        <f>IF(ISNUMBER($AU469),ABS(IF(ISNUMBER($I469),$I469,0)-Settings!$B$24),"")</f>
        <v/>
      </c>
      <c r="AZ469">
        <f>IF($A469="","",IFERROR(INDEX(Company_List!$H$3:$H$207,MATCH($A469,Company_List!$A$3:$A$207,0)),"unassigned"))</f>
        <v/>
      </c>
      <c r="BC469">
        <f>IF($A469="","",IF(COUNTIFS($A$3:$A469,$A469,$C$3:$C469,$C469,$D$3:$D469,$D469,$G$3:$G469,$G469)=1,1,0))</f>
        <v/>
      </c>
      <c r="BK469">
        <f>IF(OR($H469&lt;&gt;"Human",$S469="",$J469="",$Y469="",$Z469=""),"",IF(EXACT(UPPER($J469),UPPER($Y469)),1,0))</f>
        <v/>
      </c>
    </row>
    <row r="470">
      <c r="B470" s="89">
        <f>IF(A470="","",_xlfn.XLOOKUP(A470, Company_List!$A:$A, Company_List!$B:$B, ""))</f>
        <v/>
      </c>
      <c r="J470" s="92">
        <f>IF(OR(I470="",Settings!$B$6=""),"",IF(I470&gt;Settings!$B$6,"BUY",IF(I470&lt;-Settings!$B$6,"SELL","HOLD")))</f>
        <v/>
      </c>
      <c r="Q470" s="95">
        <f>IF(OR(N470="",P470=""),"",ROUND((P470-N470)/N470,4))</f>
        <v/>
      </c>
      <c r="R470" s="84">
        <f>IF(OR(N470="",P470=""),"",IF(Q470&gt;Settings!$B$3/100,"UP",IF(Q470&lt;-Settings!$B$3/100,"DOWN","FLAT")))</f>
        <v/>
      </c>
      <c r="S470" s="84">
        <f>IF(OR(N470="",P470="",J470=""),"",IF(OR(AND(J470="BUY",R470="UP"),AND(J470="SELL",R470="DOWN"),AND(J470="HOLD",R470="FLAT")),"YES","NO"))</f>
        <v/>
      </c>
      <c r="T470" s="85">
        <f>IF(J470="","",IF(J470="BUY",1,IF(J470="SELL",-1,0)))</f>
        <v/>
      </c>
      <c r="U470" s="94">
        <f>IFERROR(IF(OR(J470="",N470="",P470=""),"",IF(T470=0,0,T470*Q470-Settings!$B$4/10000-IF(T470&lt;0,Settings!$B$5/10000,0))),"")</f>
        <v/>
      </c>
      <c r="W470" s="18">
        <f>IF($K470="","",$K470*60)</f>
        <v/>
      </c>
      <c r="X470" s="73">
        <f>IF($A470="","",$A470&amp;"|"&amp;$C470&amp;"|"&amp;$D470)</f>
        <v/>
      </c>
      <c r="Y470" s="73">
        <f>IFERROR(IF($X470="","",INDEX(LLM_Data_Entry!$H$3:$H$548,MATCH($X470,INDEX(LLM_Data_Entry!$A$3:$A$548&amp;"|"&amp;LLM_Data_Entry!$C$3:$C$548&amp;"|"&amp;LLM_Data_Entry!$D$3:$D$548,0),0))),"")</f>
        <v/>
      </c>
      <c r="Z470" s="73">
        <f>IFERROR(IF($X470="","",INDEX(LLM_Data_Entry!$R$3:$R$548,MATCH($X470,INDEX(LLM_Data_Entry!$A$3:$A$548&amp;"|"&amp;LLM_Data_Entry!$C$3:$C$548&amp;"|"&amp;LLM_Data_Entry!$D$3:$D$548,0),0))),"")</f>
        <v/>
      </c>
      <c r="AL470">
        <f>IF($A470="","",IFERROR(INDEX(Company_List!$G$3:$G$207,MATCH($A470,Company_List!$A$3:$A$207,0)),"unassigned"))</f>
        <v/>
      </c>
      <c r="AP470">
        <f>IF($A470="","",IF(COUNTIFS(LLM_Data_Entry!$A$3:$A$548,$A470)&gt;0,"YES","NO"))</f>
        <v/>
      </c>
      <c r="AQ470">
        <f>IF($A470="","",IF(COUNTIFS($A$3:$A470,$A470,$C$3:$C470,$C470,$D$3:$D470,$D470)=1,"YES","NO"))</f>
        <v/>
      </c>
      <c r="AR470">
        <f>IF($A470="","",IF(AND($C470&amp;"-"&amp;$D470&gt;=Settings!$B$19,$C470&amp;"-"&amp;$D470&lt;=Settings!$B$20),"IN","OUT"))</f>
        <v/>
      </c>
      <c r="AS470">
        <f>IF($A470="","",IF($F470="Financial Results","financials",IF($F470="Outlook/Guidance","guidance",IF($F470="Transcript Q&amp;A","qanda",IF($F470="","unrecorded",IF($E470="All","full",IF($E470="","unrecorded",LOWER($E470)&amp;" only")))))))</f>
        <v/>
      </c>
      <c r="AT470">
        <f>IF(AND(OR($J470="BUY",$J470="SELL"),ISNUMBER($U470)),$U470,"")</f>
        <v/>
      </c>
      <c r="AU470">
        <f>IF(AND(OR($J470="BUY",$J470="SELL"),ISNUMBER($AK470)),$AK470,"")</f>
        <v/>
      </c>
      <c r="AV470">
        <f>IF(ISNUMBER($AT470),ABS(IF(ISNUMBER($I470),$I470,0)-Settings!$B$24),"")</f>
        <v/>
      </c>
      <c r="AW470">
        <f>IF(ISNUMBER($AV470),$AV470*$AT470,"")</f>
        <v/>
      </c>
      <c r="AX470">
        <f>IF(ISNUMBER($AU470),ABS(IF(ISNUMBER($I470),$I470,0)-Settings!$B$24),"")</f>
        <v/>
      </c>
      <c r="AZ470">
        <f>IF($A470="","",IFERROR(INDEX(Company_List!$H$3:$H$207,MATCH($A470,Company_List!$A$3:$A$207,0)),"unassigned"))</f>
        <v/>
      </c>
      <c r="BC470">
        <f>IF($A470="","",IF(COUNTIFS($A$3:$A470,$A470,$C$3:$C470,$C470,$D$3:$D470,$D470,$G$3:$G470,$G470)=1,1,0))</f>
        <v/>
      </c>
      <c r="BK470">
        <f>IF(OR($H470&lt;&gt;"Human",$S470="",$J470="",$Y470="",$Z470=""),"",IF(EXACT(UPPER($J470),UPPER($Y470)),1,0))</f>
        <v/>
      </c>
    </row>
    <row r="471">
      <c r="B471" s="89">
        <f>IF(A471="","",_xlfn.XLOOKUP(A471, Company_List!$A:$A, Company_List!$B:$B, ""))</f>
        <v/>
      </c>
      <c r="J471" s="92">
        <f>IF(OR(I471="",Settings!$B$6=""),"",IF(I471&gt;Settings!$B$6,"BUY",IF(I471&lt;-Settings!$B$6,"SELL","HOLD")))</f>
        <v/>
      </c>
      <c r="Q471" s="95">
        <f>IF(OR(N471="",P471=""),"",ROUND((P471-N471)/N471,4))</f>
        <v/>
      </c>
      <c r="R471" s="84">
        <f>IF(OR(N471="",P471=""),"",IF(Q471&gt;Settings!$B$3/100,"UP",IF(Q471&lt;-Settings!$B$3/100,"DOWN","FLAT")))</f>
        <v/>
      </c>
      <c r="S471" s="84">
        <f>IF(OR(N471="",P471="",J471=""),"",IF(OR(AND(J471="BUY",R471="UP"),AND(J471="SELL",R471="DOWN"),AND(J471="HOLD",R471="FLAT")),"YES","NO"))</f>
        <v/>
      </c>
      <c r="T471" s="85">
        <f>IF(J471="","",IF(J471="BUY",1,IF(J471="SELL",-1,0)))</f>
        <v/>
      </c>
      <c r="U471" s="94">
        <f>IFERROR(IF(OR(J471="",N471="",P471=""),"",IF(T471=0,0,T471*Q471-Settings!$B$4/10000-IF(T471&lt;0,Settings!$B$5/10000,0))),"")</f>
        <v/>
      </c>
      <c r="W471" s="18">
        <f>IF($K471="","",$K471*60)</f>
        <v/>
      </c>
      <c r="X471" s="73">
        <f>IF($A471="","",$A471&amp;"|"&amp;$C471&amp;"|"&amp;$D471)</f>
        <v/>
      </c>
      <c r="Y471" s="73">
        <f>IFERROR(IF($X471="","",INDEX(LLM_Data_Entry!$H$3:$H$548,MATCH($X471,INDEX(LLM_Data_Entry!$A$3:$A$548&amp;"|"&amp;LLM_Data_Entry!$C$3:$C$548&amp;"|"&amp;LLM_Data_Entry!$D$3:$D$548,0),0))),"")</f>
        <v/>
      </c>
      <c r="Z471" s="73">
        <f>IFERROR(IF($X471="","",INDEX(LLM_Data_Entry!$R$3:$R$548,MATCH($X471,INDEX(LLM_Data_Entry!$A$3:$A$548&amp;"|"&amp;LLM_Data_Entry!$C$3:$C$548&amp;"|"&amp;LLM_Data_Entry!$D$3:$D$548,0),0))),"")</f>
        <v/>
      </c>
      <c r="AL471">
        <f>IF($A471="","",IFERROR(INDEX(Company_List!$G$3:$G$207,MATCH($A471,Company_List!$A$3:$A$207,0)),"unassigned"))</f>
        <v/>
      </c>
      <c r="AP471">
        <f>IF($A471="","",IF(COUNTIFS(LLM_Data_Entry!$A$3:$A$548,$A471)&gt;0,"YES","NO"))</f>
        <v/>
      </c>
      <c r="AQ471">
        <f>IF($A471="","",IF(COUNTIFS($A$3:$A471,$A471,$C$3:$C471,$C471,$D$3:$D471,$D471)=1,"YES","NO"))</f>
        <v/>
      </c>
      <c r="AR471">
        <f>IF($A471="","",IF(AND($C471&amp;"-"&amp;$D471&gt;=Settings!$B$19,$C471&amp;"-"&amp;$D471&lt;=Settings!$B$20),"IN","OUT"))</f>
        <v/>
      </c>
      <c r="AS471">
        <f>IF($A471="","",IF($F471="Financial Results","financials",IF($F471="Outlook/Guidance","guidance",IF($F471="Transcript Q&amp;A","qanda",IF($F471="","unrecorded",IF($E471="All","full",IF($E471="","unrecorded",LOWER($E471)&amp;" only")))))))</f>
        <v/>
      </c>
      <c r="AT471">
        <f>IF(AND(OR($J471="BUY",$J471="SELL"),ISNUMBER($U471)),$U471,"")</f>
        <v/>
      </c>
      <c r="AU471">
        <f>IF(AND(OR($J471="BUY",$J471="SELL"),ISNUMBER($AK471)),$AK471,"")</f>
        <v/>
      </c>
      <c r="AV471">
        <f>IF(ISNUMBER($AT471),ABS(IF(ISNUMBER($I471),$I471,0)-Settings!$B$24),"")</f>
        <v/>
      </c>
      <c r="AW471">
        <f>IF(ISNUMBER($AV471),$AV471*$AT471,"")</f>
        <v/>
      </c>
      <c r="AX471">
        <f>IF(ISNUMBER($AU471),ABS(IF(ISNUMBER($I471),$I471,0)-Settings!$B$24),"")</f>
        <v/>
      </c>
      <c r="AZ471">
        <f>IF($A471="","",IFERROR(INDEX(Company_List!$H$3:$H$207,MATCH($A471,Company_List!$A$3:$A$207,0)),"unassigned"))</f>
        <v/>
      </c>
      <c r="BC471">
        <f>IF($A471="","",IF(COUNTIFS($A$3:$A471,$A471,$C$3:$C471,$C471,$D$3:$D471,$D471,$G$3:$G471,$G471)=1,1,0))</f>
        <v/>
      </c>
      <c r="BK471">
        <f>IF(OR($H471&lt;&gt;"Human",$S471="",$J471="",$Y471="",$Z471=""),"",IF(EXACT(UPPER($J471),UPPER($Y471)),1,0))</f>
        <v/>
      </c>
    </row>
    <row r="472">
      <c r="B472" s="89">
        <f>IF(A472="","",_xlfn.XLOOKUP(A472, Company_List!$A:$A, Company_List!$B:$B, ""))</f>
        <v/>
      </c>
      <c r="J472" s="92">
        <f>IF(OR(I472="",Settings!$B$6=""),"",IF(I472&gt;Settings!$B$6,"BUY",IF(I472&lt;-Settings!$B$6,"SELL","HOLD")))</f>
        <v/>
      </c>
      <c r="Q472" s="95">
        <f>IF(OR(N472="",P472=""),"",ROUND((P472-N472)/N472,4))</f>
        <v/>
      </c>
      <c r="R472" s="84">
        <f>IF(OR(N472="",P472=""),"",IF(Q472&gt;Settings!$B$3/100,"UP",IF(Q472&lt;-Settings!$B$3/100,"DOWN","FLAT")))</f>
        <v/>
      </c>
      <c r="S472" s="84">
        <f>IF(OR(N472="",P472="",J472=""),"",IF(OR(AND(J472="BUY",R472="UP"),AND(J472="SELL",R472="DOWN"),AND(J472="HOLD",R472="FLAT")),"YES","NO"))</f>
        <v/>
      </c>
      <c r="T472" s="85">
        <f>IF(J472="","",IF(J472="BUY",1,IF(J472="SELL",-1,0)))</f>
        <v/>
      </c>
      <c r="U472" s="94">
        <f>IFERROR(IF(OR(J472="",N472="",P472=""),"",IF(T472=0,0,T472*Q472-Settings!$B$4/10000-IF(T472&lt;0,Settings!$B$5/10000,0))),"")</f>
        <v/>
      </c>
      <c r="W472" s="18">
        <f>IF($K472="","",$K472*60)</f>
        <v/>
      </c>
      <c r="X472" s="73">
        <f>IF($A472="","",$A472&amp;"|"&amp;$C472&amp;"|"&amp;$D472)</f>
        <v/>
      </c>
      <c r="Y472" s="73">
        <f>IFERROR(IF($X472="","",INDEX(LLM_Data_Entry!$H$3:$H$548,MATCH($X472,INDEX(LLM_Data_Entry!$A$3:$A$548&amp;"|"&amp;LLM_Data_Entry!$C$3:$C$548&amp;"|"&amp;LLM_Data_Entry!$D$3:$D$548,0),0))),"")</f>
        <v/>
      </c>
      <c r="Z472" s="73">
        <f>IFERROR(IF($X472="","",INDEX(LLM_Data_Entry!$R$3:$R$548,MATCH($X472,INDEX(LLM_Data_Entry!$A$3:$A$548&amp;"|"&amp;LLM_Data_Entry!$C$3:$C$548&amp;"|"&amp;LLM_Data_Entry!$D$3:$D$548,0),0))),"")</f>
        <v/>
      </c>
      <c r="AL472">
        <f>IF($A472="","",IFERROR(INDEX(Company_List!$G$3:$G$207,MATCH($A472,Company_List!$A$3:$A$207,0)),"unassigned"))</f>
        <v/>
      </c>
      <c r="AP472">
        <f>IF($A472="","",IF(COUNTIFS(LLM_Data_Entry!$A$3:$A$548,$A472)&gt;0,"YES","NO"))</f>
        <v/>
      </c>
      <c r="AQ472">
        <f>IF($A472="","",IF(COUNTIFS($A$3:$A472,$A472,$C$3:$C472,$C472,$D$3:$D472,$D472)=1,"YES","NO"))</f>
        <v/>
      </c>
      <c r="AR472">
        <f>IF($A472="","",IF(AND($C472&amp;"-"&amp;$D472&gt;=Settings!$B$19,$C472&amp;"-"&amp;$D472&lt;=Settings!$B$20),"IN","OUT"))</f>
        <v/>
      </c>
      <c r="AS472">
        <f>IF($A472="","",IF($F472="Financial Results","financials",IF($F472="Outlook/Guidance","guidance",IF($F472="Transcript Q&amp;A","qanda",IF($F472="","unrecorded",IF($E472="All","full",IF($E472="","unrecorded",LOWER($E472)&amp;" only")))))))</f>
        <v/>
      </c>
      <c r="AT472">
        <f>IF(AND(OR($J472="BUY",$J472="SELL"),ISNUMBER($U472)),$U472,"")</f>
        <v/>
      </c>
      <c r="AU472">
        <f>IF(AND(OR($J472="BUY",$J472="SELL"),ISNUMBER($AK472)),$AK472,"")</f>
        <v/>
      </c>
      <c r="AV472">
        <f>IF(ISNUMBER($AT472),ABS(IF(ISNUMBER($I472),$I472,0)-Settings!$B$24),"")</f>
        <v/>
      </c>
      <c r="AW472">
        <f>IF(ISNUMBER($AV472),$AV472*$AT472,"")</f>
        <v/>
      </c>
      <c r="AX472">
        <f>IF(ISNUMBER($AU472),ABS(IF(ISNUMBER($I472),$I472,0)-Settings!$B$24),"")</f>
        <v/>
      </c>
      <c r="AZ472">
        <f>IF($A472="","",IFERROR(INDEX(Company_List!$H$3:$H$207,MATCH($A472,Company_List!$A$3:$A$207,0)),"unassigned"))</f>
        <v/>
      </c>
      <c r="BC472">
        <f>IF($A472="","",IF(COUNTIFS($A$3:$A472,$A472,$C$3:$C472,$C472,$D$3:$D472,$D472,$G$3:$G472,$G472)=1,1,0))</f>
        <v/>
      </c>
      <c r="BK472">
        <f>IF(OR($H472&lt;&gt;"Human",$S472="",$J472="",$Y472="",$Z472=""),"",IF(EXACT(UPPER($J472),UPPER($Y472)),1,0))</f>
        <v/>
      </c>
    </row>
    <row r="473">
      <c r="B473" s="89">
        <f>IF(A473="","",_xlfn.XLOOKUP(A473, Company_List!$A:$A, Company_List!$B:$B, ""))</f>
        <v/>
      </c>
      <c r="J473" s="92">
        <f>IF(OR(I473="",Settings!$B$6=""),"",IF(I473&gt;Settings!$B$6,"BUY",IF(I473&lt;-Settings!$B$6,"SELL","HOLD")))</f>
        <v/>
      </c>
      <c r="Q473" s="95">
        <f>IF(OR(N473="",P473=""),"",ROUND((P473-N473)/N473,4))</f>
        <v/>
      </c>
      <c r="R473" s="84">
        <f>IF(OR(N473="",P473=""),"",IF(Q473&gt;Settings!$B$3/100,"UP",IF(Q473&lt;-Settings!$B$3/100,"DOWN","FLAT")))</f>
        <v/>
      </c>
      <c r="S473" s="84">
        <f>IF(OR(N473="",P473="",J473=""),"",IF(OR(AND(J473="BUY",R473="UP"),AND(J473="SELL",R473="DOWN"),AND(J473="HOLD",R473="FLAT")),"YES","NO"))</f>
        <v/>
      </c>
      <c r="T473" s="85">
        <f>IF(J473="","",IF(J473="BUY",1,IF(J473="SELL",-1,0)))</f>
        <v/>
      </c>
      <c r="U473" s="94">
        <f>IFERROR(IF(OR(J473="",N473="",P473=""),"",IF(T473=0,0,T473*Q473-Settings!$B$4/10000-IF(T473&lt;0,Settings!$B$5/10000,0))),"")</f>
        <v/>
      </c>
      <c r="W473" s="18">
        <f>IF($K473="","",$K473*60)</f>
        <v/>
      </c>
      <c r="X473" s="73">
        <f>IF($A473="","",$A473&amp;"|"&amp;$C473&amp;"|"&amp;$D473)</f>
        <v/>
      </c>
      <c r="Y473" s="73">
        <f>IFERROR(IF($X473="","",INDEX(LLM_Data_Entry!$H$3:$H$548,MATCH($X473,INDEX(LLM_Data_Entry!$A$3:$A$548&amp;"|"&amp;LLM_Data_Entry!$C$3:$C$548&amp;"|"&amp;LLM_Data_Entry!$D$3:$D$548,0),0))),"")</f>
        <v/>
      </c>
      <c r="Z473" s="73">
        <f>IFERROR(IF($X473="","",INDEX(LLM_Data_Entry!$R$3:$R$548,MATCH($X473,INDEX(LLM_Data_Entry!$A$3:$A$548&amp;"|"&amp;LLM_Data_Entry!$C$3:$C$548&amp;"|"&amp;LLM_Data_Entry!$D$3:$D$548,0),0))),"")</f>
        <v/>
      </c>
      <c r="AL473">
        <f>IF($A473="","",IFERROR(INDEX(Company_List!$G$3:$G$207,MATCH($A473,Company_List!$A$3:$A$207,0)),"unassigned"))</f>
        <v/>
      </c>
      <c r="AP473">
        <f>IF($A473="","",IF(COUNTIFS(LLM_Data_Entry!$A$3:$A$548,$A473)&gt;0,"YES","NO"))</f>
        <v/>
      </c>
      <c r="AQ473">
        <f>IF($A473="","",IF(COUNTIFS($A$3:$A473,$A473,$C$3:$C473,$C473,$D$3:$D473,$D473)=1,"YES","NO"))</f>
        <v/>
      </c>
      <c r="AR473">
        <f>IF($A473="","",IF(AND($C473&amp;"-"&amp;$D473&gt;=Settings!$B$19,$C473&amp;"-"&amp;$D473&lt;=Settings!$B$20),"IN","OUT"))</f>
        <v/>
      </c>
      <c r="AS473">
        <f>IF($A473="","",IF($F473="Financial Results","financials",IF($F473="Outlook/Guidance","guidance",IF($F473="Transcript Q&amp;A","qanda",IF($F473="","unrecorded",IF($E473="All","full",IF($E473="","unrecorded",LOWER($E473)&amp;" only")))))))</f>
        <v/>
      </c>
      <c r="AT473">
        <f>IF(AND(OR($J473="BUY",$J473="SELL"),ISNUMBER($U473)),$U473,"")</f>
        <v/>
      </c>
      <c r="AU473">
        <f>IF(AND(OR($J473="BUY",$J473="SELL"),ISNUMBER($AK473)),$AK473,"")</f>
        <v/>
      </c>
      <c r="AV473">
        <f>IF(ISNUMBER($AT473),ABS(IF(ISNUMBER($I473),$I473,0)-Settings!$B$24),"")</f>
        <v/>
      </c>
      <c r="AW473">
        <f>IF(ISNUMBER($AV473),$AV473*$AT473,"")</f>
        <v/>
      </c>
      <c r="AX473">
        <f>IF(ISNUMBER($AU473),ABS(IF(ISNUMBER($I473),$I473,0)-Settings!$B$24),"")</f>
        <v/>
      </c>
      <c r="AZ473">
        <f>IF($A473="","",IFERROR(INDEX(Company_List!$H$3:$H$207,MATCH($A473,Company_List!$A$3:$A$207,0)),"unassigned"))</f>
        <v/>
      </c>
      <c r="BC473">
        <f>IF($A473="","",IF(COUNTIFS($A$3:$A473,$A473,$C$3:$C473,$C473,$D$3:$D473,$D473,$G$3:$G473,$G473)=1,1,0))</f>
        <v/>
      </c>
      <c r="BK473">
        <f>IF(OR($H473&lt;&gt;"Human",$S473="",$J473="",$Y473="",$Z473=""),"",IF(EXACT(UPPER($J473),UPPER($Y473)),1,0))</f>
        <v/>
      </c>
    </row>
    <row r="474">
      <c r="B474" s="89">
        <f>IF(A474="","",_xlfn.XLOOKUP(A474, Company_List!$A:$A, Company_List!$B:$B, ""))</f>
        <v/>
      </c>
      <c r="J474" s="92">
        <f>IF(OR(I474="",Settings!$B$6=""),"",IF(I474&gt;Settings!$B$6,"BUY",IF(I474&lt;-Settings!$B$6,"SELL","HOLD")))</f>
        <v/>
      </c>
      <c r="Q474" s="95">
        <f>IF(OR(N474="",P474=""),"",ROUND((P474-N474)/N474,4))</f>
        <v/>
      </c>
      <c r="R474" s="84">
        <f>IF(OR(N474="",P474=""),"",IF(Q474&gt;Settings!$B$3/100,"UP",IF(Q474&lt;-Settings!$B$3/100,"DOWN","FLAT")))</f>
        <v/>
      </c>
      <c r="S474" s="84">
        <f>IF(OR(N474="",P474="",J474=""),"",IF(OR(AND(J474="BUY",R474="UP"),AND(J474="SELL",R474="DOWN"),AND(J474="HOLD",R474="FLAT")),"YES","NO"))</f>
        <v/>
      </c>
      <c r="T474" s="85">
        <f>IF(J474="","",IF(J474="BUY",1,IF(J474="SELL",-1,0)))</f>
        <v/>
      </c>
      <c r="U474" s="94">
        <f>IFERROR(IF(OR(J474="",N474="",P474=""),"",IF(T474=0,0,T474*Q474-Settings!$B$4/10000-IF(T474&lt;0,Settings!$B$5/10000,0))),"")</f>
        <v/>
      </c>
      <c r="W474" s="18">
        <f>IF($K474="","",$K474*60)</f>
        <v/>
      </c>
      <c r="X474" s="73">
        <f>IF($A474="","",$A474&amp;"|"&amp;$C474&amp;"|"&amp;$D474)</f>
        <v/>
      </c>
      <c r="Y474" s="73">
        <f>IFERROR(IF($X474="","",INDEX(LLM_Data_Entry!$H$3:$H$548,MATCH($X474,INDEX(LLM_Data_Entry!$A$3:$A$548&amp;"|"&amp;LLM_Data_Entry!$C$3:$C$548&amp;"|"&amp;LLM_Data_Entry!$D$3:$D$548,0),0))),"")</f>
        <v/>
      </c>
      <c r="Z474" s="73">
        <f>IFERROR(IF($X474="","",INDEX(LLM_Data_Entry!$R$3:$R$548,MATCH($X474,INDEX(LLM_Data_Entry!$A$3:$A$548&amp;"|"&amp;LLM_Data_Entry!$C$3:$C$548&amp;"|"&amp;LLM_Data_Entry!$D$3:$D$548,0),0))),"")</f>
        <v/>
      </c>
      <c r="AL474">
        <f>IF($A474="","",IFERROR(INDEX(Company_List!$G$3:$G$207,MATCH($A474,Company_List!$A$3:$A$207,0)),"unassigned"))</f>
        <v/>
      </c>
      <c r="AP474">
        <f>IF($A474="","",IF(COUNTIFS(LLM_Data_Entry!$A$3:$A$548,$A474)&gt;0,"YES","NO"))</f>
        <v/>
      </c>
      <c r="AQ474">
        <f>IF($A474="","",IF(COUNTIFS($A$3:$A474,$A474,$C$3:$C474,$C474,$D$3:$D474,$D474)=1,"YES","NO"))</f>
        <v/>
      </c>
      <c r="AR474">
        <f>IF($A474="","",IF(AND($C474&amp;"-"&amp;$D474&gt;=Settings!$B$19,$C474&amp;"-"&amp;$D474&lt;=Settings!$B$20),"IN","OUT"))</f>
        <v/>
      </c>
      <c r="AS474">
        <f>IF($A474="","",IF($F474="Financial Results","financials",IF($F474="Outlook/Guidance","guidance",IF($F474="Transcript Q&amp;A","qanda",IF($F474="","unrecorded",IF($E474="All","full",IF($E474="","unrecorded",LOWER($E474)&amp;" only")))))))</f>
        <v/>
      </c>
      <c r="AT474">
        <f>IF(AND(OR($J474="BUY",$J474="SELL"),ISNUMBER($U474)),$U474,"")</f>
        <v/>
      </c>
      <c r="AU474">
        <f>IF(AND(OR($J474="BUY",$J474="SELL"),ISNUMBER($AK474)),$AK474,"")</f>
        <v/>
      </c>
      <c r="AV474">
        <f>IF(ISNUMBER($AT474),ABS(IF(ISNUMBER($I474),$I474,0)-Settings!$B$24),"")</f>
        <v/>
      </c>
      <c r="AW474">
        <f>IF(ISNUMBER($AV474),$AV474*$AT474,"")</f>
        <v/>
      </c>
      <c r="AX474">
        <f>IF(ISNUMBER($AU474),ABS(IF(ISNUMBER($I474),$I474,0)-Settings!$B$24),"")</f>
        <v/>
      </c>
      <c r="AZ474">
        <f>IF($A474="","",IFERROR(INDEX(Company_List!$H$3:$H$207,MATCH($A474,Company_List!$A$3:$A$207,0)),"unassigned"))</f>
        <v/>
      </c>
      <c r="BC474">
        <f>IF($A474="","",IF(COUNTIFS($A$3:$A474,$A474,$C$3:$C474,$C474,$D$3:$D474,$D474,$G$3:$G474,$G474)=1,1,0))</f>
        <v/>
      </c>
      <c r="BK474">
        <f>IF(OR($H474&lt;&gt;"Human",$S474="",$J474="",$Y474="",$Z474=""),"",IF(EXACT(UPPER($J474),UPPER($Y474)),1,0))</f>
        <v/>
      </c>
    </row>
    <row r="475">
      <c r="B475" s="89">
        <f>IF(A475="","",_xlfn.XLOOKUP(A475, Company_List!$A:$A, Company_List!$B:$B, ""))</f>
        <v/>
      </c>
      <c r="J475" s="92">
        <f>IF(OR(I475="",Settings!$B$6=""),"",IF(I475&gt;Settings!$B$6,"BUY",IF(I475&lt;-Settings!$B$6,"SELL","HOLD")))</f>
        <v/>
      </c>
      <c r="Q475" s="95">
        <f>IF(OR(N475="",P475=""),"",ROUND((P475-N475)/N475,4))</f>
        <v/>
      </c>
      <c r="R475" s="84">
        <f>IF(OR(N475="",P475=""),"",IF(Q475&gt;Settings!$B$3/100,"UP",IF(Q475&lt;-Settings!$B$3/100,"DOWN","FLAT")))</f>
        <v/>
      </c>
      <c r="S475" s="84">
        <f>IF(OR(N475="",P475="",J475=""),"",IF(OR(AND(J475="BUY",R475="UP"),AND(J475="SELL",R475="DOWN"),AND(J475="HOLD",R475="FLAT")),"YES","NO"))</f>
        <v/>
      </c>
      <c r="T475" s="85">
        <f>IF(J475="","",IF(J475="BUY",1,IF(J475="SELL",-1,0)))</f>
        <v/>
      </c>
      <c r="U475" s="94">
        <f>IFERROR(IF(OR(J475="",N475="",P475=""),"",IF(T475=0,0,T475*Q475-Settings!$B$4/10000-IF(T475&lt;0,Settings!$B$5/10000,0))),"")</f>
        <v/>
      </c>
      <c r="W475" s="18">
        <f>IF($K475="","",$K475*60)</f>
        <v/>
      </c>
      <c r="X475" s="73">
        <f>IF($A475="","",$A475&amp;"|"&amp;$C475&amp;"|"&amp;$D475)</f>
        <v/>
      </c>
      <c r="Y475" s="73">
        <f>IFERROR(IF($X475="","",INDEX(LLM_Data_Entry!$H$3:$H$548,MATCH($X475,INDEX(LLM_Data_Entry!$A$3:$A$548&amp;"|"&amp;LLM_Data_Entry!$C$3:$C$548&amp;"|"&amp;LLM_Data_Entry!$D$3:$D$548,0),0))),"")</f>
        <v/>
      </c>
      <c r="Z475" s="73">
        <f>IFERROR(IF($X475="","",INDEX(LLM_Data_Entry!$R$3:$R$548,MATCH($X475,INDEX(LLM_Data_Entry!$A$3:$A$548&amp;"|"&amp;LLM_Data_Entry!$C$3:$C$548&amp;"|"&amp;LLM_Data_Entry!$D$3:$D$548,0),0))),"")</f>
        <v/>
      </c>
      <c r="AL475">
        <f>IF($A475="","",IFERROR(INDEX(Company_List!$G$3:$G$207,MATCH($A475,Company_List!$A$3:$A$207,0)),"unassigned"))</f>
        <v/>
      </c>
      <c r="AP475">
        <f>IF($A475="","",IF(COUNTIFS(LLM_Data_Entry!$A$3:$A$548,$A475)&gt;0,"YES","NO"))</f>
        <v/>
      </c>
      <c r="AQ475">
        <f>IF($A475="","",IF(COUNTIFS($A$3:$A475,$A475,$C$3:$C475,$C475,$D$3:$D475,$D475)=1,"YES","NO"))</f>
        <v/>
      </c>
      <c r="AR475">
        <f>IF($A475="","",IF(AND($C475&amp;"-"&amp;$D475&gt;=Settings!$B$19,$C475&amp;"-"&amp;$D475&lt;=Settings!$B$20),"IN","OUT"))</f>
        <v/>
      </c>
      <c r="AS475">
        <f>IF($A475="","",IF($F475="Financial Results","financials",IF($F475="Outlook/Guidance","guidance",IF($F475="Transcript Q&amp;A","qanda",IF($F475="","unrecorded",IF($E475="All","full",IF($E475="","unrecorded",LOWER($E475)&amp;" only")))))))</f>
        <v/>
      </c>
      <c r="AT475">
        <f>IF(AND(OR($J475="BUY",$J475="SELL"),ISNUMBER($U475)),$U475,"")</f>
        <v/>
      </c>
      <c r="AU475">
        <f>IF(AND(OR($J475="BUY",$J475="SELL"),ISNUMBER($AK475)),$AK475,"")</f>
        <v/>
      </c>
      <c r="AV475">
        <f>IF(ISNUMBER($AT475),ABS(IF(ISNUMBER($I475),$I475,0)-Settings!$B$24),"")</f>
        <v/>
      </c>
      <c r="AW475">
        <f>IF(ISNUMBER($AV475),$AV475*$AT475,"")</f>
        <v/>
      </c>
      <c r="AX475">
        <f>IF(ISNUMBER($AU475),ABS(IF(ISNUMBER($I475),$I475,0)-Settings!$B$24),"")</f>
        <v/>
      </c>
      <c r="AZ475">
        <f>IF($A475="","",IFERROR(INDEX(Company_List!$H$3:$H$207,MATCH($A475,Company_List!$A$3:$A$207,0)),"unassigned"))</f>
        <v/>
      </c>
      <c r="BC475">
        <f>IF($A475="","",IF(COUNTIFS($A$3:$A475,$A475,$C$3:$C475,$C475,$D$3:$D475,$D475,$G$3:$G475,$G475)=1,1,0))</f>
        <v/>
      </c>
      <c r="BK475">
        <f>IF(OR($H475&lt;&gt;"Human",$S475="",$J475="",$Y475="",$Z475=""),"",IF(EXACT(UPPER($J475),UPPER($Y475)),1,0))</f>
        <v/>
      </c>
    </row>
    <row r="476">
      <c r="B476" s="89">
        <f>IF(A476="","",_xlfn.XLOOKUP(A476, Company_List!$A:$A, Company_List!$B:$B, ""))</f>
        <v/>
      </c>
      <c r="J476" s="92">
        <f>IF(OR(I476="",Settings!$B$6=""),"",IF(I476&gt;Settings!$B$6,"BUY",IF(I476&lt;-Settings!$B$6,"SELL","HOLD")))</f>
        <v/>
      </c>
      <c r="Q476" s="95">
        <f>IF(OR(N476="",P476=""),"",ROUND((P476-N476)/N476,4))</f>
        <v/>
      </c>
      <c r="R476" s="84">
        <f>IF(OR(N476="",P476=""),"",IF(Q476&gt;Settings!$B$3/100,"UP",IF(Q476&lt;-Settings!$B$3/100,"DOWN","FLAT")))</f>
        <v/>
      </c>
      <c r="S476" s="84">
        <f>IF(OR(N476="",P476="",J476=""),"",IF(OR(AND(J476="BUY",R476="UP"),AND(J476="SELL",R476="DOWN"),AND(J476="HOLD",R476="FLAT")),"YES","NO"))</f>
        <v/>
      </c>
      <c r="T476" s="85">
        <f>IF(J476="","",IF(J476="BUY",1,IF(J476="SELL",-1,0)))</f>
        <v/>
      </c>
      <c r="U476" s="94">
        <f>IFERROR(IF(OR(J476="",N476="",P476=""),"",IF(T476=0,0,T476*Q476-Settings!$B$4/10000-IF(T476&lt;0,Settings!$B$5/10000,0))),"")</f>
        <v/>
      </c>
      <c r="W476" s="18">
        <f>IF($K476="","",$K476*60)</f>
        <v/>
      </c>
      <c r="X476" s="73">
        <f>IF($A476="","",$A476&amp;"|"&amp;$C476&amp;"|"&amp;$D476)</f>
        <v/>
      </c>
      <c r="Y476" s="73">
        <f>IFERROR(IF($X476="","",INDEX(LLM_Data_Entry!$H$3:$H$548,MATCH($X476,INDEX(LLM_Data_Entry!$A$3:$A$548&amp;"|"&amp;LLM_Data_Entry!$C$3:$C$548&amp;"|"&amp;LLM_Data_Entry!$D$3:$D$548,0),0))),"")</f>
        <v/>
      </c>
      <c r="Z476" s="73">
        <f>IFERROR(IF($X476="","",INDEX(LLM_Data_Entry!$R$3:$R$548,MATCH($X476,INDEX(LLM_Data_Entry!$A$3:$A$548&amp;"|"&amp;LLM_Data_Entry!$C$3:$C$548&amp;"|"&amp;LLM_Data_Entry!$D$3:$D$548,0),0))),"")</f>
        <v/>
      </c>
      <c r="AL476">
        <f>IF($A476="","",IFERROR(INDEX(Company_List!$G$3:$G$207,MATCH($A476,Company_List!$A$3:$A$207,0)),"unassigned"))</f>
        <v/>
      </c>
      <c r="AP476">
        <f>IF($A476="","",IF(COUNTIFS(LLM_Data_Entry!$A$3:$A$548,$A476)&gt;0,"YES","NO"))</f>
        <v/>
      </c>
      <c r="AQ476">
        <f>IF($A476="","",IF(COUNTIFS($A$3:$A476,$A476,$C$3:$C476,$C476,$D$3:$D476,$D476)=1,"YES","NO"))</f>
        <v/>
      </c>
      <c r="AR476">
        <f>IF($A476="","",IF(AND($C476&amp;"-"&amp;$D476&gt;=Settings!$B$19,$C476&amp;"-"&amp;$D476&lt;=Settings!$B$20),"IN","OUT"))</f>
        <v/>
      </c>
      <c r="AS476">
        <f>IF($A476="","",IF($F476="Financial Results","financials",IF($F476="Outlook/Guidance","guidance",IF($F476="Transcript Q&amp;A","qanda",IF($F476="","unrecorded",IF($E476="All","full",IF($E476="","unrecorded",LOWER($E476)&amp;" only")))))))</f>
        <v/>
      </c>
      <c r="AT476">
        <f>IF(AND(OR($J476="BUY",$J476="SELL"),ISNUMBER($U476)),$U476,"")</f>
        <v/>
      </c>
      <c r="AU476">
        <f>IF(AND(OR($J476="BUY",$J476="SELL"),ISNUMBER($AK476)),$AK476,"")</f>
        <v/>
      </c>
      <c r="AV476">
        <f>IF(ISNUMBER($AT476),ABS(IF(ISNUMBER($I476),$I476,0)-Settings!$B$24),"")</f>
        <v/>
      </c>
      <c r="AW476">
        <f>IF(ISNUMBER($AV476),$AV476*$AT476,"")</f>
        <v/>
      </c>
      <c r="AX476">
        <f>IF(ISNUMBER($AU476),ABS(IF(ISNUMBER($I476),$I476,0)-Settings!$B$24),"")</f>
        <v/>
      </c>
      <c r="AZ476">
        <f>IF($A476="","",IFERROR(INDEX(Company_List!$H$3:$H$207,MATCH($A476,Company_List!$A$3:$A$207,0)),"unassigned"))</f>
        <v/>
      </c>
      <c r="BC476">
        <f>IF($A476="","",IF(COUNTIFS($A$3:$A476,$A476,$C$3:$C476,$C476,$D$3:$D476,$D476,$G$3:$G476,$G476)=1,1,0))</f>
        <v/>
      </c>
      <c r="BK476">
        <f>IF(OR($H476&lt;&gt;"Human",$S476="",$J476="",$Y476="",$Z476=""),"",IF(EXACT(UPPER($J476),UPPER($Y476)),1,0))</f>
        <v/>
      </c>
    </row>
    <row r="477">
      <c r="B477" s="89">
        <f>IF(A477="","",_xlfn.XLOOKUP(A477, Company_List!$A:$A, Company_List!$B:$B, ""))</f>
        <v/>
      </c>
      <c r="J477" s="92">
        <f>IF(OR(I477="",Settings!$B$6=""),"",IF(I477&gt;Settings!$B$6,"BUY",IF(I477&lt;-Settings!$B$6,"SELL","HOLD")))</f>
        <v/>
      </c>
      <c r="Q477" s="95">
        <f>IF(OR(N477="",P477=""),"",ROUND((P477-N477)/N477,4))</f>
        <v/>
      </c>
      <c r="R477" s="84">
        <f>IF(OR(N477="",P477=""),"",IF(Q477&gt;Settings!$B$3/100,"UP",IF(Q477&lt;-Settings!$B$3/100,"DOWN","FLAT")))</f>
        <v/>
      </c>
      <c r="S477" s="84">
        <f>IF(OR(N477="",P477="",J477=""),"",IF(OR(AND(J477="BUY",R477="UP"),AND(J477="SELL",R477="DOWN"),AND(J477="HOLD",R477="FLAT")),"YES","NO"))</f>
        <v/>
      </c>
      <c r="T477" s="85">
        <f>IF(J477="","",IF(J477="BUY",1,IF(J477="SELL",-1,0)))</f>
        <v/>
      </c>
      <c r="U477" s="94">
        <f>IFERROR(IF(OR(J477="",N477="",P477=""),"",IF(T477=0,0,T477*Q477-Settings!$B$4/10000-IF(T477&lt;0,Settings!$B$5/10000,0))),"")</f>
        <v/>
      </c>
      <c r="W477" s="18">
        <f>IF($K477="","",$K477*60)</f>
        <v/>
      </c>
      <c r="X477" s="73">
        <f>IF($A477="","",$A477&amp;"|"&amp;$C477&amp;"|"&amp;$D477)</f>
        <v/>
      </c>
      <c r="Y477" s="73">
        <f>IFERROR(IF($X477="","",INDEX(LLM_Data_Entry!$H$3:$H$548,MATCH($X477,INDEX(LLM_Data_Entry!$A$3:$A$548&amp;"|"&amp;LLM_Data_Entry!$C$3:$C$548&amp;"|"&amp;LLM_Data_Entry!$D$3:$D$548,0),0))),"")</f>
        <v/>
      </c>
      <c r="Z477" s="73">
        <f>IFERROR(IF($X477="","",INDEX(LLM_Data_Entry!$R$3:$R$548,MATCH($X477,INDEX(LLM_Data_Entry!$A$3:$A$548&amp;"|"&amp;LLM_Data_Entry!$C$3:$C$548&amp;"|"&amp;LLM_Data_Entry!$D$3:$D$548,0),0))),"")</f>
        <v/>
      </c>
      <c r="AL477">
        <f>IF($A477="","",IFERROR(INDEX(Company_List!$G$3:$G$207,MATCH($A477,Company_List!$A$3:$A$207,0)),"unassigned"))</f>
        <v/>
      </c>
      <c r="AP477">
        <f>IF($A477="","",IF(COUNTIFS(LLM_Data_Entry!$A$3:$A$548,$A477)&gt;0,"YES","NO"))</f>
        <v/>
      </c>
      <c r="AQ477">
        <f>IF($A477="","",IF(COUNTIFS($A$3:$A477,$A477,$C$3:$C477,$C477,$D$3:$D477,$D477)=1,"YES","NO"))</f>
        <v/>
      </c>
      <c r="AR477">
        <f>IF($A477="","",IF(AND($C477&amp;"-"&amp;$D477&gt;=Settings!$B$19,$C477&amp;"-"&amp;$D477&lt;=Settings!$B$20),"IN","OUT"))</f>
        <v/>
      </c>
      <c r="AS477">
        <f>IF($A477="","",IF($F477="Financial Results","financials",IF($F477="Outlook/Guidance","guidance",IF($F477="Transcript Q&amp;A","qanda",IF($F477="","unrecorded",IF($E477="All","full",IF($E477="","unrecorded",LOWER($E477)&amp;" only")))))))</f>
        <v/>
      </c>
      <c r="AT477">
        <f>IF(AND(OR($J477="BUY",$J477="SELL"),ISNUMBER($U477)),$U477,"")</f>
        <v/>
      </c>
      <c r="AU477">
        <f>IF(AND(OR($J477="BUY",$J477="SELL"),ISNUMBER($AK477)),$AK477,"")</f>
        <v/>
      </c>
      <c r="AV477">
        <f>IF(ISNUMBER($AT477),ABS(IF(ISNUMBER($I477),$I477,0)-Settings!$B$24),"")</f>
        <v/>
      </c>
      <c r="AW477">
        <f>IF(ISNUMBER($AV477),$AV477*$AT477,"")</f>
        <v/>
      </c>
      <c r="AX477">
        <f>IF(ISNUMBER($AU477),ABS(IF(ISNUMBER($I477),$I477,0)-Settings!$B$24),"")</f>
        <v/>
      </c>
      <c r="AZ477">
        <f>IF($A477="","",IFERROR(INDEX(Company_List!$H$3:$H$207,MATCH($A477,Company_List!$A$3:$A$207,0)),"unassigned"))</f>
        <v/>
      </c>
      <c r="BC477">
        <f>IF($A477="","",IF(COUNTIFS($A$3:$A477,$A477,$C$3:$C477,$C477,$D$3:$D477,$D477,$G$3:$G477,$G477)=1,1,0))</f>
        <v/>
      </c>
      <c r="BK477">
        <f>IF(OR($H477&lt;&gt;"Human",$S477="",$J477="",$Y477="",$Z477=""),"",IF(EXACT(UPPER($J477),UPPER($Y477)),1,0))</f>
        <v/>
      </c>
    </row>
    <row r="478">
      <c r="B478" s="89">
        <f>IF(A478="","",_xlfn.XLOOKUP(A478, Company_List!$A:$A, Company_List!$B:$B, ""))</f>
        <v/>
      </c>
      <c r="J478" s="92">
        <f>IF(OR(I478="",Settings!$B$6=""),"",IF(I478&gt;Settings!$B$6,"BUY",IF(I478&lt;-Settings!$B$6,"SELL","HOLD")))</f>
        <v/>
      </c>
      <c r="Q478" s="95">
        <f>IF(OR(N478="",P478=""),"",ROUND((P478-N478)/N478,4))</f>
        <v/>
      </c>
      <c r="R478" s="84">
        <f>IF(OR(N478="",P478=""),"",IF(Q478&gt;Settings!$B$3/100,"UP",IF(Q478&lt;-Settings!$B$3/100,"DOWN","FLAT")))</f>
        <v/>
      </c>
      <c r="S478" s="84">
        <f>IF(OR(N478="",P478="",J478=""),"",IF(OR(AND(J478="BUY",R478="UP"),AND(J478="SELL",R478="DOWN"),AND(J478="HOLD",R478="FLAT")),"YES","NO"))</f>
        <v/>
      </c>
      <c r="T478" s="85">
        <f>IF(J478="","",IF(J478="BUY",1,IF(J478="SELL",-1,0)))</f>
        <v/>
      </c>
      <c r="U478" s="94">
        <f>IFERROR(IF(OR(J478="",N478="",P478=""),"",IF(T478=0,0,T478*Q478-Settings!$B$4/10000-IF(T478&lt;0,Settings!$B$5/10000,0))),"")</f>
        <v/>
      </c>
      <c r="W478" s="18">
        <f>IF($K478="","",$K478*60)</f>
        <v/>
      </c>
      <c r="X478" s="73">
        <f>IF($A478="","",$A478&amp;"|"&amp;$C478&amp;"|"&amp;$D478)</f>
        <v/>
      </c>
      <c r="Y478" s="73">
        <f>IFERROR(IF($X478="","",INDEX(LLM_Data_Entry!$H$3:$H$548,MATCH($X478,INDEX(LLM_Data_Entry!$A$3:$A$548&amp;"|"&amp;LLM_Data_Entry!$C$3:$C$548&amp;"|"&amp;LLM_Data_Entry!$D$3:$D$548,0),0))),"")</f>
        <v/>
      </c>
      <c r="Z478" s="73">
        <f>IFERROR(IF($X478="","",INDEX(LLM_Data_Entry!$R$3:$R$548,MATCH($X478,INDEX(LLM_Data_Entry!$A$3:$A$548&amp;"|"&amp;LLM_Data_Entry!$C$3:$C$548&amp;"|"&amp;LLM_Data_Entry!$D$3:$D$548,0),0))),"")</f>
        <v/>
      </c>
      <c r="AL478">
        <f>IF($A478="","",IFERROR(INDEX(Company_List!$G$3:$G$207,MATCH($A478,Company_List!$A$3:$A$207,0)),"unassigned"))</f>
        <v/>
      </c>
      <c r="AP478">
        <f>IF($A478="","",IF(COUNTIFS(LLM_Data_Entry!$A$3:$A$548,$A478)&gt;0,"YES","NO"))</f>
        <v/>
      </c>
      <c r="AQ478">
        <f>IF($A478="","",IF(COUNTIFS($A$3:$A478,$A478,$C$3:$C478,$C478,$D$3:$D478,$D478)=1,"YES","NO"))</f>
        <v/>
      </c>
      <c r="AR478">
        <f>IF($A478="","",IF(AND($C478&amp;"-"&amp;$D478&gt;=Settings!$B$19,$C478&amp;"-"&amp;$D478&lt;=Settings!$B$20),"IN","OUT"))</f>
        <v/>
      </c>
      <c r="AS478">
        <f>IF($A478="","",IF($F478="Financial Results","financials",IF($F478="Outlook/Guidance","guidance",IF($F478="Transcript Q&amp;A","qanda",IF($F478="","unrecorded",IF($E478="All","full",IF($E478="","unrecorded",LOWER($E478)&amp;" only")))))))</f>
        <v/>
      </c>
      <c r="AT478">
        <f>IF(AND(OR($J478="BUY",$J478="SELL"),ISNUMBER($U478)),$U478,"")</f>
        <v/>
      </c>
      <c r="AU478">
        <f>IF(AND(OR($J478="BUY",$J478="SELL"),ISNUMBER($AK478)),$AK478,"")</f>
        <v/>
      </c>
      <c r="AV478">
        <f>IF(ISNUMBER($AT478),ABS(IF(ISNUMBER($I478),$I478,0)-Settings!$B$24),"")</f>
        <v/>
      </c>
      <c r="AW478">
        <f>IF(ISNUMBER($AV478),$AV478*$AT478,"")</f>
        <v/>
      </c>
      <c r="AX478">
        <f>IF(ISNUMBER($AU478),ABS(IF(ISNUMBER($I478),$I478,0)-Settings!$B$24),"")</f>
        <v/>
      </c>
      <c r="AZ478">
        <f>IF($A478="","",IFERROR(INDEX(Company_List!$H$3:$H$207,MATCH($A478,Company_List!$A$3:$A$207,0)),"unassigned"))</f>
        <v/>
      </c>
      <c r="BC478">
        <f>IF($A478="","",IF(COUNTIFS($A$3:$A478,$A478,$C$3:$C478,$C478,$D$3:$D478,$D478,$G$3:$G478,$G478)=1,1,0))</f>
        <v/>
      </c>
      <c r="BK478">
        <f>IF(OR($H478&lt;&gt;"Human",$S478="",$J478="",$Y478="",$Z478=""),"",IF(EXACT(UPPER($J478),UPPER($Y478)),1,0))</f>
        <v/>
      </c>
    </row>
    <row r="479">
      <c r="B479" s="89">
        <f>IF(A479="","",_xlfn.XLOOKUP(A479, Company_List!$A:$A, Company_List!$B:$B, ""))</f>
        <v/>
      </c>
      <c r="J479" s="92">
        <f>IF(OR(I479="",Settings!$B$6=""),"",IF(I479&gt;Settings!$B$6,"BUY",IF(I479&lt;-Settings!$B$6,"SELL","HOLD")))</f>
        <v/>
      </c>
      <c r="Q479" s="95">
        <f>IF(OR(N479="",P479=""),"",ROUND((P479-N479)/N479,4))</f>
        <v/>
      </c>
      <c r="R479" s="84">
        <f>IF(OR(N479="",P479=""),"",IF(Q479&gt;Settings!$B$3/100,"UP",IF(Q479&lt;-Settings!$B$3/100,"DOWN","FLAT")))</f>
        <v/>
      </c>
      <c r="S479" s="84">
        <f>IF(OR(N479="",P479="",J479=""),"",IF(OR(AND(J479="BUY",R479="UP"),AND(J479="SELL",R479="DOWN"),AND(J479="HOLD",R479="FLAT")),"YES","NO"))</f>
        <v/>
      </c>
      <c r="T479" s="85">
        <f>IF(J479="","",IF(J479="BUY",1,IF(J479="SELL",-1,0)))</f>
        <v/>
      </c>
      <c r="U479" s="94">
        <f>IFERROR(IF(OR(J479="",N479="",P479=""),"",IF(T479=0,0,T479*Q479-Settings!$B$4/10000-IF(T479&lt;0,Settings!$B$5/10000,0))),"")</f>
        <v/>
      </c>
      <c r="W479" s="18">
        <f>IF($K479="","",$K479*60)</f>
        <v/>
      </c>
      <c r="X479" s="73">
        <f>IF($A479="","",$A479&amp;"|"&amp;$C479&amp;"|"&amp;$D479)</f>
        <v/>
      </c>
      <c r="Y479" s="73">
        <f>IFERROR(IF($X479="","",INDEX(LLM_Data_Entry!$H$3:$H$548,MATCH($X479,INDEX(LLM_Data_Entry!$A$3:$A$548&amp;"|"&amp;LLM_Data_Entry!$C$3:$C$548&amp;"|"&amp;LLM_Data_Entry!$D$3:$D$548,0),0))),"")</f>
        <v/>
      </c>
      <c r="Z479" s="73">
        <f>IFERROR(IF($X479="","",INDEX(LLM_Data_Entry!$R$3:$R$548,MATCH($X479,INDEX(LLM_Data_Entry!$A$3:$A$548&amp;"|"&amp;LLM_Data_Entry!$C$3:$C$548&amp;"|"&amp;LLM_Data_Entry!$D$3:$D$548,0),0))),"")</f>
        <v/>
      </c>
      <c r="AL479">
        <f>IF($A479="","",IFERROR(INDEX(Company_List!$G$3:$G$207,MATCH($A479,Company_List!$A$3:$A$207,0)),"unassigned"))</f>
        <v/>
      </c>
      <c r="AP479">
        <f>IF($A479="","",IF(COUNTIFS(LLM_Data_Entry!$A$3:$A$548,$A479)&gt;0,"YES","NO"))</f>
        <v/>
      </c>
      <c r="AQ479">
        <f>IF($A479="","",IF(COUNTIFS($A$3:$A479,$A479,$C$3:$C479,$C479,$D$3:$D479,$D479)=1,"YES","NO"))</f>
        <v/>
      </c>
      <c r="AR479">
        <f>IF($A479="","",IF(AND($C479&amp;"-"&amp;$D479&gt;=Settings!$B$19,$C479&amp;"-"&amp;$D479&lt;=Settings!$B$20),"IN","OUT"))</f>
        <v/>
      </c>
      <c r="AS479">
        <f>IF($A479="","",IF($F479="Financial Results","financials",IF($F479="Outlook/Guidance","guidance",IF($F479="Transcript Q&amp;A","qanda",IF($F479="","unrecorded",IF($E479="All","full",IF($E479="","unrecorded",LOWER($E479)&amp;" only")))))))</f>
        <v/>
      </c>
      <c r="AT479">
        <f>IF(AND(OR($J479="BUY",$J479="SELL"),ISNUMBER($U479)),$U479,"")</f>
        <v/>
      </c>
      <c r="AU479">
        <f>IF(AND(OR($J479="BUY",$J479="SELL"),ISNUMBER($AK479)),$AK479,"")</f>
        <v/>
      </c>
      <c r="AV479">
        <f>IF(ISNUMBER($AT479),ABS(IF(ISNUMBER($I479),$I479,0)-Settings!$B$24),"")</f>
        <v/>
      </c>
      <c r="AW479">
        <f>IF(ISNUMBER($AV479),$AV479*$AT479,"")</f>
        <v/>
      </c>
      <c r="AX479">
        <f>IF(ISNUMBER($AU479),ABS(IF(ISNUMBER($I479),$I479,0)-Settings!$B$24),"")</f>
        <v/>
      </c>
      <c r="AZ479">
        <f>IF($A479="","",IFERROR(INDEX(Company_List!$H$3:$H$207,MATCH($A479,Company_List!$A$3:$A$207,0)),"unassigned"))</f>
        <v/>
      </c>
      <c r="BC479">
        <f>IF($A479="","",IF(COUNTIFS($A$3:$A479,$A479,$C$3:$C479,$C479,$D$3:$D479,$D479,$G$3:$G479,$G479)=1,1,0))</f>
        <v/>
      </c>
      <c r="BK479">
        <f>IF(OR($H479&lt;&gt;"Human",$S479="",$J479="",$Y479="",$Z479=""),"",IF(EXACT(UPPER($J479),UPPER($Y479)),1,0))</f>
        <v/>
      </c>
    </row>
    <row r="480">
      <c r="B480" s="89">
        <f>IF(A480="","",_xlfn.XLOOKUP(A480, Company_List!$A:$A, Company_List!$B:$B, ""))</f>
        <v/>
      </c>
      <c r="J480" s="92">
        <f>IF(OR(I480="",Settings!$B$6=""),"",IF(I480&gt;Settings!$B$6,"BUY",IF(I480&lt;-Settings!$B$6,"SELL","HOLD")))</f>
        <v/>
      </c>
      <c r="Q480" s="95">
        <f>IF(OR(N480="",P480=""),"",ROUND((P480-N480)/N480,4))</f>
        <v/>
      </c>
      <c r="R480" s="84">
        <f>IF(OR(N480="",P480=""),"",IF(Q480&gt;Settings!$B$3/100,"UP",IF(Q480&lt;-Settings!$B$3/100,"DOWN","FLAT")))</f>
        <v/>
      </c>
      <c r="S480" s="84">
        <f>IF(OR(N480="",P480="",J480=""),"",IF(OR(AND(J480="BUY",R480="UP"),AND(J480="SELL",R480="DOWN"),AND(J480="HOLD",R480="FLAT")),"YES","NO"))</f>
        <v/>
      </c>
      <c r="T480" s="85">
        <f>IF(J480="","",IF(J480="BUY",1,IF(J480="SELL",-1,0)))</f>
        <v/>
      </c>
      <c r="U480" s="94">
        <f>IFERROR(IF(OR(J480="",N480="",P480=""),"",IF(T480=0,0,T480*Q480-Settings!$B$4/10000-IF(T480&lt;0,Settings!$B$5/10000,0))),"")</f>
        <v/>
      </c>
      <c r="W480" s="18">
        <f>IF($K480="","",$K480*60)</f>
        <v/>
      </c>
      <c r="X480" s="73">
        <f>IF($A480="","",$A480&amp;"|"&amp;$C480&amp;"|"&amp;$D480)</f>
        <v/>
      </c>
      <c r="Y480" s="73">
        <f>IFERROR(IF($X480="","",INDEX(LLM_Data_Entry!$H$3:$H$548,MATCH($X480,INDEX(LLM_Data_Entry!$A$3:$A$548&amp;"|"&amp;LLM_Data_Entry!$C$3:$C$548&amp;"|"&amp;LLM_Data_Entry!$D$3:$D$548,0),0))),"")</f>
        <v/>
      </c>
      <c r="Z480" s="73">
        <f>IFERROR(IF($X480="","",INDEX(LLM_Data_Entry!$R$3:$R$548,MATCH($X480,INDEX(LLM_Data_Entry!$A$3:$A$548&amp;"|"&amp;LLM_Data_Entry!$C$3:$C$548&amp;"|"&amp;LLM_Data_Entry!$D$3:$D$548,0),0))),"")</f>
        <v/>
      </c>
      <c r="AL480">
        <f>IF($A480="","",IFERROR(INDEX(Company_List!$G$3:$G$207,MATCH($A480,Company_List!$A$3:$A$207,0)),"unassigned"))</f>
        <v/>
      </c>
      <c r="AP480">
        <f>IF($A480="","",IF(COUNTIFS(LLM_Data_Entry!$A$3:$A$548,$A480)&gt;0,"YES","NO"))</f>
        <v/>
      </c>
      <c r="AQ480">
        <f>IF($A480="","",IF(COUNTIFS($A$3:$A480,$A480,$C$3:$C480,$C480,$D$3:$D480,$D480)=1,"YES","NO"))</f>
        <v/>
      </c>
      <c r="AR480">
        <f>IF($A480="","",IF(AND($C480&amp;"-"&amp;$D480&gt;=Settings!$B$19,$C480&amp;"-"&amp;$D480&lt;=Settings!$B$20),"IN","OUT"))</f>
        <v/>
      </c>
      <c r="AS480">
        <f>IF($A480="","",IF($F480="Financial Results","financials",IF($F480="Outlook/Guidance","guidance",IF($F480="Transcript Q&amp;A","qanda",IF($F480="","unrecorded",IF($E480="All","full",IF($E480="","unrecorded",LOWER($E480)&amp;" only")))))))</f>
        <v/>
      </c>
      <c r="AT480">
        <f>IF(AND(OR($J480="BUY",$J480="SELL"),ISNUMBER($U480)),$U480,"")</f>
        <v/>
      </c>
      <c r="AU480">
        <f>IF(AND(OR($J480="BUY",$J480="SELL"),ISNUMBER($AK480)),$AK480,"")</f>
        <v/>
      </c>
      <c r="AV480">
        <f>IF(ISNUMBER($AT480),ABS(IF(ISNUMBER($I480),$I480,0)-Settings!$B$24),"")</f>
        <v/>
      </c>
      <c r="AW480">
        <f>IF(ISNUMBER($AV480),$AV480*$AT480,"")</f>
        <v/>
      </c>
      <c r="AX480">
        <f>IF(ISNUMBER($AU480),ABS(IF(ISNUMBER($I480),$I480,0)-Settings!$B$24),"")</f>
        <v/>
      </c>
      <c r="AZ480">
        <f>IF($A480="","",IFERROR(INDEX(Company_List!$H$3:$H$207,MATCH($A480,Company_List!$A$3:$A$207,0)),"unassigned"))</f>
        <v/>
      </c>
      <c r="BC480">
        <f>IF($A480="","",IF(COUNTIFS($A$3:$A480,$A480,$C$3:$C480,$C480,$D$3:$D480,$D480,$G$3:$G480,$G480)=1,1,0))</f>
        <v/>
      </c>
      <c r="BK480">
        <f>IF(OR($H480&lt;&gt;"Human",$S480="",$J480="",$Y480="",$Z480=""),"",IF(EXACT(UPPER($J480),UPPER($Y480)),1,0))</f>
        <v/>
      </c>
    </row>
    <row r="481">
      <c r="B481" s="89">
        <f>IF(A481="","",_xlfn.XLOOKUP(A481, Company_List!$A:$A, Company_List!$B:$B, ""))</f>
        <v/>
      </c>
      <c r="J481" s="92">
        <f>IF(OR(I481="",Settings!$B$6=""),"",IF(I481&gt;Settings!$B$6,"BUY",IF(I481&lt;-Settings!$B$6,"SELL","HOLD")))</f>
        <v/>
      </c>
      <c r="Q481" s="95">
        <f>IF(OR(N481="",P481=""),"",ROUND((P481-N481)/N481,4))</f>
        <v/>
      </c>
      <c r="R481" s="84">
        <f>IF(OR(N481="",P481=""),"",IF(Q481&gt;Settings!$B$3/100,"UP",IF(Q481&lt;-Settings!$B$3/100,"DOWN","FLAT")))</f>
        <v/>
      </c>
      <c r="S481" s="84">
        <f>IF(OR(N481="",P481="",J481=""),"",IF(OR(AND(J481="BUY",R481="UP"),AND(J481="SELL",R481="DOWN"),AND(J481="HOLD",R481="FLAT")),"YES","NO"))</f>
        <v/>
      </c>
      <c r="T481" s="85">
        <f>IF(J481="","",IF(J481="BUY",1,IF(J481="SELL",-1,0)))</f>
        <v/>
      </c>
      <c r="U481" s="94">
        <f>IFERROR(IF(OR(J481="",N481="",P481=""),"",IF(T481=0,0,T481*Q481-Settings!$B$4/10000-IF(T481&lt;0,Settings!$B$5/10000,0))),"")</f>
        <v/>
      </c>
      <c r="W481" s="18">
        <f>IF($K481="","",$K481*60)</f>
        <v/>
      </c>
      <c r="X481" s="73">
        <f>IF($A481="","",$A481&amp;"|"&amp;$C481&amp;"|"&amp;$D481)</f>
        <v/>
      </c>
      <c r="Y481" s="73">
        <f>IFERROR(IF($X481="","",INDEX(LLM_Data_Entry!$H$3:$H$548,MATCH($X481,INDEX(LLM_Data_Entry!$A$3:$A$548&amp;"|"&amp;LLM_Data_Entry!$C$3:$C$548&amp;"|"&amp;LLM_Data_Entry!$D$3:$D$548,0),0))),"")</f>
        <v/>
      </c>
      <c r="Z481" s="73">
        <f>IFERROR(IF($X481="","",INDEX(LLM_Data_Entry!$R$3:$R$548,MATCH($X481,INDEX(LLM_Data_Entry!$A$3:$A$548&amp;"|"&amp;LLM_Data_Entry!$C$3:$C$548&amp;"|"&amp;LLM_Data_Entry!$D$3:$D$548,0),0))),"")</f>
        <v/>
      </c>
      <c r="AL481">
        <f>IF($A481="","",IFERROR(INDEX(Company_List!$G$3:$G$207,MATCH($A481,Company_List!$A$3:$A$207,0)),"unassigned"))</f>
        <v/>
      </c>
      <c r="AP481">
        <f>IF($A481="","",IF(COUNTIFS(LLM_Data_Entry!$A$3:$A$548,$A481)&gt;0,"YES","NO"))</f>
        <v/>
      </c>
      <c r="AQ481">
        <f>IF($A481="","",IF(COUNTIFS($A$3:$A481,$A481,$C$3:$C481,$C481,$D$3:$D481,$D481)=1,"YES","NO"))</f>
        <v/>
      </c>
      <c r="AR481">
        <f>IF($A481="","",IF(AND($C481&amp;"-"&amp;$D481&gt;=Settings!$B$19,$C481&amp;"-"&amp;$D481&lt;=Settings!$B$20),"IN","OUT"))</f>
        <v/>
      </c>
      <c r="AS481">
        <f>IF($A481="","",IF($F481="Financial Results","financials",IF($F481="Outlook/Guidance","guidance",IF($F481="Transcript Q&amp;A","qanda",IF($F481="","unrecorded",IF($E481="All","full",IF($E481="","unrecorded",LOWER($E481)&amp;" only")))))))</f>
        <v/>
      </c>
      <c r="AT481">
        <f>IF(AND(OR($J481="BUY",$J481="SELL"),ISNUMBER($U481)),$U481,"")</f>
        <v/>
      </c>
      <c r="AU481">
        <f>IF(AND(OR($J481="BUY",$J481="SELL"),ISNUMBER($AK481)),$AK481,"")</f>
        <v/>
      </c>
      <c r="AV481">
        <f>IF(ISNUMBER($AT481),ABS(IF(ISNUMBER($I481),$I481,0)-Settings!$B$24),"")</f>
        <v/>
      </c>
      <c r="AW481">
        <f>IF(ISNUMBER($AV481),$AV481*$AT481,"")</f>
        <v/>
      </c>
      <c r="AX481">
        <f>IF(ISNUMBER($AU481),ABS(IF(ISNUMBER($I481),$I481,0)-Settings!$B$24),"")</f>
        <v/>
      </c>
      <c r="AZ481">
        <f>IF($A481="","",IFERROR(INDEX(Company_List!$H$3:$H$207,MATCH($A481,Company_List!$A$3:$A$207,0)),"unassigned"))</f>
        <v/>
      </c>
      <c r="BC481">
        <f>IF($A481="","",IF(COUNTIFS($A$3:$A481,$A481,$C$3:$C481,$C481,$D$3:$D481,$D481,$G$3:$G481,$G481)=1,1,0))</f>
        <v/>
      </c>
      <c r="BK481">
        <f>IF(OR($H481&lt;&gt;"Human",$S481="",$J481="",$Y481="",$Z481=""),"",IF(EXACT(UPPER($J481),UPPER($Y481)),1,0))</f>
        <v/>
      </c>
    </row>
    <row r="482">
      <c r="B482" s="89">
        <f>IF(A482="","",_xlfn.XLOOKUP(A482, Company_List!$A:$A, Company_List!$B:$B, ""))</f>
        <v/>
      </c>
      <c r="J482" s="92">
        <f>IF(OR(I482="",Settings!$B$6=""),"",IF(I482&gt;Settings!$B$6,"BUY",IF(I482&lt;-Settings!$B$6,"SELL","HOLD")))</f>
        <v/>
      </c>
      <c r="Q482" s="95">
        <f>IF(OR(N482="",P482=""),"",ROUND((P482-N482)/N482,4))</f>
        <v/>
      </c>
      <c r="R482" s="84">
        <f>IF(OR(N482="",P482=""),"",IF(Q482&gt;Settings!$B$3/100,"UP",IF(Q482&lt;-Settings!$B$3/100,"DOWN","FLAT")))</f>
        <v/>
      </c>
      <c r="S482" s="84">
        <f>IF(OR(N482="",P482="",J482=""),"",IF(OR(AND(J482="BUY",R482="UP"),AND(J482="SELL",R482="DOWN"),AND(J482="HOLD",R482="FLAT")),"YES","NO"))</f>
        <v/>
      </c>
      <c r="T482" s="85">
        <f>IF(J482="","",IF(J482="BUY",1,IF(J482="SELL",-1,0)))</f>
        <v/>
      </c>
      <c r="U482" s="94">
        <f>IFERROR(IF(OR(J482="",N482="",P482=""),"",IF(T482=0,0,T482*Q482-Settings!$B$4/10000-IF(T482&lt;0,Settings!$B$5/10000,0))),"")</f>
        <v/>
      </c>
      <c r="W482" s="18">
        <f>IF($K482="","",$K482*60)</f>
        <v/>
      </c>
      <c r="X482" s="73">
        <f>IF($A482="","",$A482&amp;"|"&amp;$C482&amp;"|"&amp;$D482)</f>
        <v/>
      </c>
      <c r="Y482" s="73">
        <f>IFERROR(IF($X482="","",INDEX(LLM_Data_Entry!$H$3:$H$548,MATCH($X482,INDEX(LLM_Data_Entry!$A$3:$A$548&amp;"|"&amp;LLM_Data_Entry!$C$3:$C$548&amp;"|"&amp;LLM_Data_Entry!$D$3:$D$548,0),0))),"")</f>
        <v/>
      </c>
      <c r="Z482" s="73">
        <f>IFERROR(IF($X482="","",INDEX(LLM_Data_Entry!$R$3:$R$548,MATCH($X482,INDEX(LLM_Data_Entry!$A$3:$A$548&amp;"|"&amp;LLM_Data_Entry!$C$3:$C$548&amp;"|"&amp;LLM_Data_Entry!$D$3:$D$548,0),0))),"")</f>
        <v/>
      </c>
      <c r="AL482">
        <f>IF($A482="","",IFERROR(INDEX(Company_List!$G$3:$G$207,MATCH($A482,Company_List!$A$3:$A$207,0)),"unassigned"))</f>
        <v/>
      </c>
      <c r="AP482">
        <f>IF($A482="","",IF(COUNTIFS(LLM_Data_Entry!$A$3:$A$548,$A482)&gt;0,"YES","NO"))</f>
        <v/>
      </c>
      <c r="AQ482">
        <f>IF($A482="","",IF(COUNTIFS($A$3:$A482,$A482,$C$3:$C482,$C482,$D$3:$D482,$D482)=1,"YES","NO"))</f>
        <v/>
      </c>
      <c r="AR482">
        <f>IF($A482="","",IF(AND($C482&amp;"-"&amp;$D482&gt;=Settings!$B$19,$C482&amp;"-"&amp;$D482&lt;=Settings!$B$20),"IN","OUT"))</f>
        <v/>
      </c>
      <c r="AS482">
        <f>IF($A482="","",IF($F482="Financial Results","financials",IF($F482="Outlook/Guidance","guidance",IF($F482="Transcript Q&amp;A","qanda",IF($F482="","unrecorded",IF($E482="All","full",IF($E482="","unrecorded",LOWER($E482)&amp;" only")))))))</f>
        <v/>
      </c>
      <c r="AT482">
        <f>IF(AND(OR($J482="BUY",$J482="SELL"),ISNUMBER($U482)),$U482,"")</f>
        <v/>
      </c>
      <c r="AU482">
        <f>IF(AND(OR($J482="BUY",$J482="SELL"),ISNUMBER($AK482)),$AK482,"")</f>
        <v/>
      </c>
      <c r="AV482">
        <f>IF(ISNUMBER($AT482),ABS(IF(ISNUMBER($I482),$I482,0)-Settings!$B$24),"")</f>
        <v/>
      </c>
      <c r="AW482">
        <f>IF(ISNUMBER($AV482),$AV482*$AT482,"")</f>
        <v/>
      </c>
      <c r="AX482">
        <f>IF(ISNUMBER($AU482),ABS(IF(ISNUMBER($I482),$I482,0)-Settings!$B$24),"")</f>
        <v/>
      </c>
      <c r="AZ482">
        <f>IF($A482="","",IFERROR(INDEX(Company_List!$H$3:$H$207,MATCH($A482,Company_List!$A$3:$A$207,0)),"unassigned"))</f>
        <v/>
      </c>
      <c r="BC482">
        <f>IF($A482="","",IF(COUNTIFS($A$3:$A482,$A482,$C$3:$C482,$C482,$D$3:$D482,$D482,$G$3:$G482,$G482)=1,1,0))</f>
        <v/>
      </c>
      <c r="BK482">
        <f>IF(OR($H482&lt;&gt;"Human",$S482="",$J482="",$Y482="",$Z482=""),"",IF(EXACT(UPPER($J482),UPPER($Y482)),1,0))</f>
        <v/>
      </c>
    </row>
    <row r="483">
      <c r="B483" s="89">
        <f>IF(A483="","",_xlfn.XLOOKUP(A483, Company_List!$A:$A, Company_List!$B:$B, ""))</f>
        <v/>
      </c>
      <c r="J483" s="92">
        <f>IF(OR(I483="",Settings!$B$6=""),"",IF(I483&gt;Settings!$B$6,"BUY",IF(I483&lt;-Settings!$B$6,"SELL","HOLD")))</f>
        <v/>
      </c>
      <c r="Q483" s="95">
        <f>IF(OR(N483="",P483=""),"",ROUND((P483-N483)/N483,4))</f>
        <v/>
      </c>
      <c r="R483" s="84">
        <f>IF(OR(N483="",P483=""),"",IF(Q483&gt;Settings!$B$3/100,"UP",IF(Q483&lt;-Settings!$B$3/100,"DOWN","FLAT")))</f>
        <v/>
      </c>
      <c r="S483" s="84">
        <f>IF(OR(N483="",P483="",J483=""),"",IF(OR(AND(J483="BUY",R483="UP"),AND(J483="SELL",R483="DOWN"),AND(J483="HOLD",R483="FLAT")),"YES","NO"))</f>
        <v/>
      </c>
      <c r="T483" s="85">
        <f>IF(J483="","",IF(J483="BUY",1,IF(J483="SELL",-1,0)))</f>
        <v/>
      </c>
      <c r="U483" s="94">
        <f>IFERROR(IF(OR(J483="",N483="",P483=""),"",IF(T483=0,0,T483*Q483-Settings!$B$4/10000-IF(T483&lt;0,Settings!$B$5/10000,0))),"")</f>
        <v/>
      </c>
      <c r="W483" s="18">
        <f>IF($K483="","",$K483*60)</f>
        <v/>
      </c>
      <c r="X483" s="73">
        <f>IF($A483="","",$A483&amp;"|"&amp;$C483&amp;"|"&amp;$D483)</f>
        <v/>
      </c>
      <c r="Y483" s="73">
        <f>IFERROR(IF($X483="","",INDEX(LLM_Data_Entry!$H$3:$H$548,MATCH($X483,INDEX(LLM_Data_Entry!$A$3:$A$548&amp;"|"&amp;LLM_Data_Entry!$C$3:$C$548&amp;"|"&amp;LLM_Data_Entry!$D$3:$D$548,0),0))),"")</f>
        <v/>
      </c>
      <c r="Z483" s="73">
        <f>IFERROR(IF($X483="","",INDEX(LLM_Data_Entry!$R$3:$R$548,MATCH($X483,INDEX(LLM_Data_Entry!$A$3:$A$548&amp;"|"&amp;LLM_Data_Entry!$C$3:$C$548&amp;"|"&amp;LLM_Data_Entry!$D$3:$D$548,0),0))),"")</f>
        <v/>
      </c>
      <c r="AL483">
        <f>IF($A483="","",IFERROR(INDEX(Company_List!$G$3:$G$207,MATCH($A483,Company_List!$A$3:$A$207,0)),"unassigned"))</f>
        <v/>
      </c>
      <c r="AP483">
        <f>IF($A483="","",IF(COUNTIFS(LLM_Data_Entry!$A$3:$A$548,$A483)&gt;0,"YES","NO"))</f>
        <v/>
      </c>
      <c r="AQ483">
        <f>IF($A483="","",IF(COUNTIFS($A$3:$A483,$A483,$C$3:$C483,$C483,$D$3:$D483,$D483)=1,"YES","NO"))</f>
        <v/>
      </c>
      <c r="AR483">
        <f>IF($A483="","",IF(AND($C483&amp;"-"&amp;$D483&gt;=Settings!$B$19,$C483&amp;"-"&amp;$D483&lt;=Settings!$B$20),"IN","OUT"))</f>
        <v/>
      </c>
      <c r="AS483">
        <f>IF($A483="","",IF($F483="Financial Results","financials",IF($F483="Outlook/Guidance","guidance",IF($F483="Transcript Q&amp;A","qanda",IF($F483="","unrecorded",IF($E483="All","full",IF($E483="","unrecorded",LOWER($E483)&amp;" only")))))))</f>
        <v/>
      </c>
      <c r="AT483">
        <f>IF(AND(OR($J483="BUY",$J483="SELL"),ISNUMBER($U483)),$U483,"")</f>
        <v/>
      </c>
      <c r="AU483">
        <f>IF(AND(OR($J483="BUY",$J483="SELL"),ISNUMBER($AK483)),$AK483,"")</f>
        <v/>
      </c>
      <c r="AV483">
        <f>IF(ISNUMBER($AT483),ABS(IF(ISNUMBER($I483),$I483,0)-Settings!$B$24),"")</f>
        <v/>
      </c>
      <c r="AW483">
        <f>IF(ISNUMBER($AV483),$AV483*$AT483,"")</f>
        <v/>
      </c>
      <c r="AX483">
        <f>IF(ISNUMBER($AU483),ABS(IF(ISNUMBER($I483),$I483,0)-Settings!$B$24),"")</f>
        <v/>
      </c>
      <c r="AZ483">
        <f>IF($A483="","",IFERROR(INDEX(Company_List!$H$3:$H$207,MATCH($A483,Company_List!$A$3:$A$207,0)),"unassigned"))</f>
        <v/>
      </c>
      <c r="BC483">
        <f>IF($A483="","",IF(COUNTIFS($A$3:$A483,$A483,$C$3:$C483,$C483,$D$3:$D483,$D483,$G$3:$G483,$G483)=1,1,0))</f>
        <v/>
      </c>
      <c r="BK483">
        <f>IF(OR($H483&lt;&gt;"Human",$S483="",$J483="",$Y483="",$Z483=""),"",IF(EXACT(UPPER($J483),UPPER($Y483)),1,0))</f>
        <v/>
      </c>
    </row>
    <row r="484">
      <c r="B484" s="89">
        <f>IF(A484="","",_xlfn.XLOOKUP(A484, Company_List!$A:$A, Company_List!$B:$B, ""))</f>
        <v/>
      </c>
      <c r="J484" s="92">
        <f>IF(OR(I484="",Settings!$B$6=""),"",IF(I484&gt;Settings!$B$6,"BUY",IF(I484&lt;-Settings!$B$6,"SELL","HOLD")))</f>
        <v/>
      </c>
      <c r="Q484" s="95">
        <f>IF(OR(N484="",P484=""),"",ROUND((P484-N484)/N484,4))</f>
        <v/>
      </c>
      <c r="R484" s="84">
        <f>IF(OR(N484="",P484=""),"",IF(Q484&gt;Settings!$B$3/100,"UP",IF(Q484&lt;-Settings!$B$3/100,"DOWN","FLAT")))</f>
        <v/>
      </c>
      <c r="S484" s="84">
        <f>IF(OR(N484="",P484="",J484=""),"",IF(OR(AND(J484="BUY",R484="UP"),AND(J484="SELL",R484="DOWN"),AND(J484="HOLD",R484="FLAT")),"YES","NO"))</f>
        <v/>
      </c>
      <c r="T484" s="85">
        <f>IF(J484="","",IF(J484="BUY",1,IF(J484="SELL",-1,0)))</f>
        <v/>
      </c>
      <c r="U484" s="94">
        <f>IFERROR(IF(OR(J484="",N484="",P484=""),"",IF(T484=0,0,T484*Q484-Settings!$B$4/10000-IF(T484&lt;0,Settings!$B$5/10000,0))),"")</f>
        <v/>
      </c>
      <c r="W484" s="18">
        <f>IF($K484="","",$K484*60)</f>
        <v/>
      </c>
      <c r="X484" s="73">
        <f>IF($A484="","",$A484&amp;"|"&amp;$C484&amp;"|"&amp;$D484)</f>
        <v/>
      </c>
      <c r="Y484" s="73">
        <f>IFERROR(IF($X484="","",INDEX(LLM_Data_Entry!$H$3:$H$548,MATCH($X484,INDEX(LLM_Data_Entry!$A$3:$A$548&amp;"|"&amp;LLM_Data_Entry!$C$3:$C$548&amp;"|"&amp;LLM_Data_Entry!$D$3:$D$548,0),0))),"")</f>
        <v/>
      </c>
      <c r="Z484" s="73">
        <f>IFERROR(IF($X484="","",INDEX(LLM_Data_Entry!$R$3:$R$548,MATCH($X484,INDEX(LLM_Data_Entry!$A$3:$A$548&amp;"|"&amp;LLM_Data_Entry!$C$3:$C$548&amp;"|"&amp;LLM_Data_Entry!$D$3:$D$548,0),0))),"")</f>
        <v/>
      </c>
      <c r="AL484">
        <f>IF($A484="","",IFERROR(INDEX(Company_List!$G$3:$G$207,MATCH($A484,Company_List!$A$3:$A$207,0)),"unassigned"))</f>
        <v/>
      </c>
      <c r="AP484">
        <f>IF($A484="","",IF(COUNTIFS(LLM_Data_Entry!$A$3:$A$548,$A484)&gt;0,"YES","NO"))</f>
        <v/>
      </c>
      <c r="AQ484">
        <f>IF($A484="","",IF(COUNTIFS($A$3:$A484,$A484,$C$3:$C484,$C484,$D$3:$D484,$D484)=1,"YES","NO"))</f>
        <v/>
      </c>
      <c r="AR484">
        <f>IF($A484="","",IF(AND($C484&amp;"-"&amp;$D484&gt;=Settings!$B$19,$C484&amp;"-"&amp;$D484&lt;=Settings!$B$20),"IN","OUT"))</f>
        <v/>
      </c>
      <c r="AS484">
        <f>IF($A484="","",IF($F484="Financial Results","financials",IF($F484="Outlook/Guidance","guidance",IF($F484="Transcript Q&amp;A","qanda",IF($F484="","unrecorded",IF($E484="All","full",IF($E484="","unrecorded",LOWER($E484)&amp;" only")))))))</f>
        <v/>
      </c>
      <c r="AT484">
        <f>IF(AND(OR($J484="BUY",$J484="SELL"),ISNUMBER($U484)),$U484,"")</f>
        <v/>
      </c>
      <c r="AU484">
        <f>IF(AND(OR($J484="BUY",$J484="SELL"),ISNUMBER($AK484)),$AK484,"")</f>
        <v/>
      </c>
      <c r="AV484">
        <f>IF(ISNUMBER($AT484),ABS(IF(ISNUMBER($I484),$I484,0)-Settings!$B$24),"")</f>
        <v/>
      </c>
      <c r="AW484">
        <f>IF(ISNUMBER($AV484),$AV484*$AT484,"")</f>
        <v/>
      </c>
      <c r="AX484">
        <f>IF(ISNUMBER($AU484),ABS(IF(ISNUMBER($I484),$I484,0)-Settings!$B$24),"")</f>
        <v/>
      </c>
      <c r="AZ484">
        <f>IF($A484="","",IFERROR(INDEX(Company_List!$H$3:$H$207,MATCH($A484,Company_List!$A$3:$A$207,0)),"unassigned"))</f>
        <v/>
      </c>
      <c r="BC484">
        <f>IF($A484="","",IF(COUNTIFS($A$3:$A484,$A484,$C$3:$C484,$C484,$D$3:$D484,$D484,$G$3:$G484,$G484)=1,1,0))</f>
        <v/>
      </c>
      <c r="BK484">
        <f>IF(OR($H484&lt;&gt;"Human",$S484="",$J484="",$Y484="",$Z484=""),"",IF(EXACT(UPPER($J484),UPPER($Y484)),1,0))</f>
        <v/>
      </c>
    </row>
    <row r="485">
      <c r="B485" s="89">
        <f>IF(A485="","",_xlfn.XLOOKUP(A485, Company_List!$A:$A, Company_List!$B:$B, ""))</f>
        <v/>
      </c>
      <c r="J485" s="92">
        <f>IF(OR(I485="",Settings!$B$6=""),"",IF(I485&gt;Settings!$B$6,"BUY",IF(I485&lt;-Settings!$B$6,"SELL","HOLD")))</f>
        <v/>
      </c>
      <c r="Q485" s="95">
        <f>IF(OR(N485="",P485=""),"",ROUND((P485-N485)/N485,4))</f>
        <v/>
      </c>
      <c r="R485" s="84">
        <f>IF(OR(N485="",P485=""),"",IF(Q485&gt;Settings!$B$3/100,"UP",IF(Q485&lt;-Settings!$B$3/100,"DOWN","FLAT")))</f>
        <v/>
      </c>
      <c r="S485" s="84">
        <f>IF(OR(N485="",P485="",J485=""),"",IF(OR(AND(J485="BUY",R485="UP"),AND(J485="SELL",R485="DOWN"),AND(J485="HOLD",R485="FLAT")),"YES","NO"))</f>
        <v/>
      </c>
      <c r="T485" s="85">
        <f>IF(J485="","",IF(J485="BUY",1,IF(J485="SELL",-1,0)))</f>
        <v/>
      </c>
      <c r="U485" s="94">
        <f>IFERROR(IF(OR(J485="",N485="",P485=""),"",IF(T485=0,0,T485*Q485-Settings!$B$4/10000-IF(T485&lt;0,Settings!$B$5/10000,0))),"")</f>
        <v/>
      </c>
      <c r="W485" s="18">
        <f>IF($K485="","",$K485*60)</f>
        <v/>
      </c>
      <c r="X485" s="73">
        <f>IF($A485="","",$A485&amp;"|"&amp;$C485&amp;"|"&amp;$D485)</f>
        <v/>
      </c>
      <c r="Y485" s="73">
        <f>IFERROR(IF($X485="","",INDEX(LLM_Data_Entry!$H$3:$H$548,MATCH($X485,INDEX(LLM_Data_Entry!$A$3:$A$548&amp;"|"&amp;LLM_Data_Entry!$C$3:$C$548&amp;"|"&amp;LLM_Data_Entry!$D$3:$D$548,0),0))),"")</f>
        <v/>
      </c>
      <c r="Z485" s="73">
        <f>IFERROR(IF($X485="","",INDEX(LLM_Data_Entry!$R$3:$R$548,MATCH($X485,INDEX(LLM_Data_Entry!$A$3:$A$548&amp;"|"&amp;LLM_Data_Entry!$C$3:$C$548&amp;"|"&amp;LLM_Data_Entry!$D$3:$D$548,0),0))),"")</f>
        <v/>
      </c>
      <c r="AL485">
        <f>IF($A485="","",IFERROR(INDEX(Company_List!$G$3:$G$207,MATCH($A485,Company_List!$A$3:$A$207,0)),"unassigned"))</f>
        <v/>
      </c>
      <c r="AP485">
        <f>IF($A485="","",IF(COUNTIFS(LLM_Data_Entry!$A$3:$A$548,$A485)&gt;0,"YES","NO"))</f>
        <v/>
      </c>
      <c r="AQ485">
        <f>IF($A485="","",IF(COUNTIFS($A$3:$A485,$A485,$C$3:$C485,$C485,$D$3:$D485,$D485)=1,"YES","NO"))</f>
        <v/>
      </c>
      <c r="AR485">
        <f>IF($A485="","",IF(AND($C485&amp;"-"&amp;$D485&gt;=Settings!$B$19,$C485&amp;"-"&amp;$D485&lt;=Settings!$B$20),"IN","OUT"))</f>
        <v/>
      </c>
      <c r="AS485">
        <f>IF($A485="","",IF($F485="Financial Results","financials",IF($F485="Outlook/Guidance","guidance",IF($F485="Transcript Q&amp;A","qanda",IF($F485="","unrecorded",IF($E485="All","full",IF($E485="","unrecorded",LOWER($E485)&amp;" only")))))))</f>
        <v/>
      </c>
      <c r="AT485">
        <f>IF(AND(OR($J485="BUY",$J485="SELL"),ISNUMBER($U485)),$U485,"")</f>
        <v/>
      </c>
      <c r="AU485">
        <f>IF(AND(OR($J485="BUY",$J485="SELL"),ISNUMBER($AK485)),$AK485,"")</f>
        <v/>
      </c>
      <c r="AV485">
        <f>IF(ISNUMBER($AT485),ABS(IF(ISNUMBER($I485),$I485,0)-Settings!$B$24),"")</f>
        <v/>
      </c>
      <c r="AW485">
        <f>IF(ISNUMBER($AV485),$AV485*$AT485,"")</f>
        <v/>
      </c>
      <c r="AX485">
        <f>IF(ISNUMBER($AU485),ABS(IF(ISNUMBER($I485),$I485,0)-Settings!$B$24),"")</f>
        <v/>
      </c>
      <c r="AZ485">
        <f>IF($A485="","",IFERROR(INDEX(Company_List!$H$3:$H$207,MATCH($A485,Company_List!$A$3:$A$207,0)),"unassigned"))</f>
        <v/>
      </c>
      <c r="BC485">
        <f>IF($A485="","",IF(COUNTIFS($A$3:$A485,$A485,$C$3:$C485,$C485,$D$3:$D485,$D485,$G$3:$G485,$G485)=1,1,0))</f>
        <v/>
      </c>
      <c r="BK485">
        <f>IF(OR($H485&lt;&gt;"Human",$S485="",$J485="",$Y485="",$Z485=""),"",IF(EXACT(UPPER($J485),UPPER($Y485)),1,0))</f>
        <v/>
      </c>
    </row>
    <row r="486">
      <c r="B486" s="89">
        <f>IF(A486="","",_xlfn.XLOOKUP(A486, Company_List!$A:$A, Company_List!$B:$B, ""))</f>
        <v/>
      </c>
      <c r="J486" s="92">
        <f>IF(OR(I486="",Settings!$B$6=""),"",IF(I486&gt;Settings!$B$6,"BUY",IF(I486&lt;-Settings!$B$6,"SELL","HOLD")))</f>
        <v/>
      </c>
      <c r="Q486" s="95">
        <f>IF(OR(N486="",P486=""),"",ROUND((P486-N486)/N486,4))</f>
        <v/>
      </c>
      <c r="R486" s="84">
        <f>IF(OR(N486="",P486=""),"",IF(Q486&gt;Settings!$B$3/100,"UP",IF(Q486&lt;-Settings!$B$3/100,"DOWN","FLAT")))</f>
        <v/>
      </c>
      <c r="S486" s="84">
        <f>IF(OR(N486="",P486="",J486=""),"",IF(OR(AND(J486="BUY",R486="UP"),AND(J486="SELL",R486="DOWN"),AND(J486="HOLD",R486="FLAT")),"YES","NO"))</f>
        <v/>
      </c>
      <c r="T486" s="85">
        <f>IF(J486="","",IF(J486="BUY",1,IF(J486="SELL",-1,0)))</f>
        <v/>
      </c>
      <c r="U486" s="94">
        <f>IFERROR(IF(OR(J486="",N486="",P486=""),"",IF(T486=0,0,T486*Q486-Settings!$B$4/10000-IF(T486&lt;0,Settings!$B$5/10000,0))),"")</f>
        <v/>
      </c>
      <c r="W486" s="18">
        <f>IF($K486="","",$K486*60)</f>
        <v/>
      </c>
      <c r="X486" s="73">
        <f>IF($A486="","",$A486&amp;"|"&amp;$C486&amp;"|"&amp;$D486)</f>
        <v/>
      </c>
      <c r="Y486" s="73">
        <f>IFERROR(IF($X486="","",INDEX(LLM_Data_Entry!$H$3:$H$548,MATCH($X486,INDEX(LLM_Data_Entry!$A$3:$A$548&amp;"|"&amp;LLM_Data_Entry!$C$3:$C$548&amp;"|"&amp;LLM_Data_Entry!$D$3:$D$548,0),0))),"")</f>
        <v/>
      </c>
      <c r="Z486" s="73">
        <f>IFERROR(IF($X486="","",INDEX(LLM_Data_Entry!$R$3:$R$548,MATCH($X486,INDEX(LLM_Data_Entry!$A$3:$A$548&amp;"|"&amp;LLM_Data_Entry!$C$3:$C$548&amp;"|"&amp;LLM_Data_Entry!$D$3:$D$548,0),0))),"")</f>
        <v/>
      </c>
      <c r="AL486">
        <f>IF($A486="","",IFERROR(INDEX(Company_List!$G$3:$G$207,MATCH($A486,Company_List!$A$3:$A$207,0)),"unassigned"))</f>
        <v/>
      </c>
      <c r="AP486">
        <f>IF($A486="","",IF(COUNTIFS(LLM_Data_Entry!$A$3:$A$548,$A486)&gt;0,"YES","NO"))</f>
        <v/>
      </c>
      <c r="AQ486">
        <f>IF($A486="","",IF(COUNTIFS($A$3:$A486,$A486,$C$3:$C486,$C486,$D$3:$D486,$D486)=1,"YES","NO"))</f>
        <v/>
      </c>
      <c r="AR486">
        <f>IF($A486="","",IF(AND($C486&amp;"-"&amp;$D486&gt;=Settings!$B$19,$C486&amp;"-"&amp;$D486&lt;=Settings!$B$20),"IN","OUT"))</f>
        <v/>
      </c>
      <c r="AS486">
        <f>IF($A486="","",IF($F486="Financial Results","financials",IF($F486="Outlook/Guidance","guidance",IF($F486="Transcript Q&amp;A","qanda",IF($F486="","unrecorded",IF($E486="All","full",IF($E486="","unrecorded",LOWER($E486)&amp;" only")))))))</f>
        <v/>
      </c>
      <c r="AT486">
        <f>IF(AND(OR($J486="BUY",$J486="SELL"),ISNUMBER($U486)),$U486,"")</f>
        <v/>
      </c>
      <c r="AU486">
        <f>IF(AND(OR($J486="BUY",$J486="SELL"),ISNUMBER($AK486)),$AK486,"")</f>
        <v/>
      </c>
      <c r="AV486">
        <f>IF(ISNUMBER($AT486),ABS(IF(ISNUMBER($I486),$I486,0)-Settings!$B$24),"")</f>
        <v/>
      </c>
      <c r="AW486">
        <f>IF(ISNUMBER($AV486),$AV486*$AT486,"")</f>
        <v/>
      </c>
      <c r="AX486">
        <f>IF(ISNUMBER($AU486),ABS(IF(ISNUMBER($I486),$I486,0)-Settings!$B$24),"")</f>
        <v/>
      </c>
      <c r="AZ486">
        <f>IF($A486="","",IFERROR(INDEX(Company_List!$H$3:$H$207,MATCH($A486,Company_List!$A$3:$A$207,0)),"unassigned"))</f>
        <v/>
      </c>
      <c r="BC486">
        <f>IF($A486="","",IF(COUNTIFS($A$3:$A486,$A486,$C$3:$C486,$C486,$D$3:$D486,$D486,$G$3:$G486,$G486)=1,1,0))</f>
        <v/>
      </c>
      <c r="BK486">
        <f>IF(OR($H486&lt;&gt;"Human",$S486="",$J486="",$Y486="",$Z486=""),"",IF(EXACT(UPPER($J486),UPPER($Y486)),1,0))</f>
        <v/>
      </c>
    </row>
    <row r="487">
      <c r="B487" s="89">
        <f>IF(A487="","",_xlfn.XLOOKUP(A487, Company_List!$A:$A, Company_List!$B:$B, ""))</f>
        <v/>
      </c>
      <c r="J487" s="92">
        <f>IF(OR(I487="",Settings!$B$6=""),"",IF(I487&gt;Settings!$B$6,"BUY",IF(I487&lt;-Settings!$B$6,"SELL","HOLD")))</f>
        <v/>
      </c>
      <c r="Q487" s="95">
        <f>IF(OR(N487="",P487=""),"",ROUND((P487-N487)/N487,4))</f>
        <v/>
      </c>
      <c r="R487" s="84">
        <f>IF(OR(N487="",P487=""),"",IF(Q487&gt;Settings!$B$3/100,"UP",IF(Q487&lt;-Settings!$B$3/100,"DOWN","FLAT")))</f>
        <v/>
      </c>
      <c r="S487" s="84">
        <f>IF(OR(N487="",P487="",J487=""),"",IF(OR(AND(J487="BUY",R487="UP"),AND(J487="SELL",R487="DOWN"),AND(J487="HOLD",R487="FLAT")),"YES","NO"))</f>
        <v/>
      </c>
      <c r="T487" s="85">
        <f>IF(J487="","",IF(J487="BUY",1,IF(J487="SELL",-1,0)))</f>
        <v/>
      </c>
      <c r="U487" s="94">
        <f>IFERROR(IF(OR(J487="",N487="",P487=""),"",IF(T487=0,0,T487*Q487-Settings!$B$4/10000-IF(T487&lt;0,Settings!$B$5/10000,0))),"")</f>
        <v/>
      </c>
      <c r="W487" s="18">
        <f>IF($K487="","",$K487*60)</f>
        <v/>
      </c>
      <c r="X487" s="73">
        <f>IF($A487="","",$A487&amp;"|"&amp;$C487&amp;"|"&amp;$D487)</f>
        <v/>
      </c>
      <c r="Y487" s="73">
        <f>IFERROR(IF($X487="","",INDEX(LLM_Data_Entry!$H$3:$H$548,MATCH($X487,INDEX(LLM_Data_Entry!$A$3:$A$548&amp;"|"&amp;LLM_Data_Entry!$C$3:$C$548&amp;"|"&amp;LLM_Data_Entry!$D$3:$D$548,0),0))),"")</f>
        <v/>
      </c>
      <c r="Z487" s="73">
        <f>IFERROR(IF($X487="","",INDEX(LLM_Data_Entry!$R$3:$R$548,MATCH($X487,INDEX(LLM_Data_Entry!$A$3:$A$548&amp;"|"&amp;LLM_Data_Entry!$C$3:$C$548&amp;"|"&amp;LLM_Data_Entry!$D$3:$D$548,0),0))),"")</f>
        <v/>
      </c>
      <c r="AL487">
        <f>IF($A487="","",IFERROR(INDEX(Company_List!$G$3:$G$207,MATCH($A487,Company_List!$A$3:$A$207,0)),"unassigned"))</f>
        <v/>
      </c>
      <c r="AP487">
        <f>IF($A487="","",IF(COUNTIFS(LLM_Data_Entry!$A$3:$A$548,$A487)&gt;0,"YES","NO"))</f>
        <v/>
      </c>
      <c r="AQ487">
        <f>IF($A487="","",IF(COUNTIFS($A$3:$A487,$A487,$C$3:$C487,$C487,$D$3:$D487,$D487)=1,"YES","NO"))</f>
        <v/>
      </c>
      <c r="AR487">
        <f>IF($A487="","",IF(AND($C487&amp;"-"&amp;$D487&gt;=Settings!$B$19,$C487&amp;"-"&amp;$D487&lt;=Settings!$B$20),"IN","OUT"))</f>
        <v/>
      </c>
      <c r="AS487">
        <f>IF($A487="","",IF($F487="Financial Results","financials",IF($F487="Outlook/Guidance","guidance",IF($F487="Transcript Q&amp;A","qanda",IF($F487="","unrecorded",IF($E487="All","full",IF($E487="","unrecorded",LOWER($E487)&amp;" only")))))))</f>
        <v/>
      </c>
      <c r="AT487">
        <f>IF(AND(OR($J487="BUY",$J487="SELL"),ISNUMBER($U487)),$U487,"")</f>
        <v/>
      </c>
      <c r="AU487">
        <f>IF(AND(OR($J487="BUY",$J487="SELL"),ISNUMBER($AK487)),$AK487,"")</f>
        <v/>
      </c>
      <c r="AV487">
        <f>IF(ISNUMBER($AT487),ABS(IF(ISNUMBER($I487),$I487,0)-Settings!$B$24),"")</f>
        <v/>
      </c>
      <c r="AW487">
        <f>IF(ISNUMBER($AV487),$AV487*$AT487,"")</f>
        <v/>
      </c>
      <c r="AX487">
        <f>IF(ISNUMBER($AU487),ABS(IF(ISNUMBER($I487),$I487,0)-Settings!$B$24),"")</f>
        <v/>
      </c>
      <c r="AZ487">
        <f>IF($A487="","",IFERROR(INDEX(Company_List!$H$3:$H$207,MATCH($A487,Company_List!$A$3:$A$207,0)),"unassigned"))</f>
        <v/>
      </c>
      <c r="BC487">
        <f>IF($A487="","",IF(COUNTIFS($A$3:$A487,$A487,$C$3:$C487,$C487,$D$3:$D487,$D487,$G$3:$G487,$G487)=1,1,0))</f>
        <v/>
      </c>
      <c r="BK487">
        <f>IF(OR($H487&lt;&gt;"Human",$S487="",$J487="",$Y487="",$Z487=""),"",IF(EXACT(UPPER($J487),UPPER($Y487)),1,0))</f>
        <v/>
      </c>
    </row>
    <row r="488">
      <c r="B488" s="89">
        <f>IF(A488="","",_xlfn.XLOOKUP(A488, Company_List!$A:$A, Company_List!$B:$B, ""))</f>
        <v/>
      </c>
      <c r="J488" s="92">
        <f>IF(OR(I488="",Settings!$B$6=""),"",IF(I488&gt;Settings!$B$6,"BUY",IF(I488&lt;-Settings!$B$6,"SELL","HOLD")))</f>
        <v/>
      </c>
      <c r="Q488" s="95">
        <f>IF(OR(N488="",P488=""),"",ROUND((P488-N488)/N488,4))</f>
        <v/>
      </c>
      <c r="R488" s="84">
        <f>IF(OR(N488="",P488=""),"",IF(Q488&gt;Settings!$B$3/100,"UP",IF(Q488&lt;-Settings!$B$3/100,"DOWN","FLAT")))</f>
        <v/>
      </c>
      <c r="S488" s="84">
        <f>IF(OR(N488="",P488="",J488=""),"",IF(OR(AND(J488="BUY",R488="UP"),AND(J488="SELL",R488="DOWN"),AND(J488="HOLD",R488="FLAT")),"YES","NO"))</f>
        <v/>
      </c>
      <c r="T488" s="85">
        <f>IF(J488="","",IF(J488="BUY",1,IF(J488="SELL",-1,0)))</f>
        <v/>
      </c>
      <c r="U488" s="94">
        <f>IFERROR(IF(OR(J488="",N488="",P488=""),"",IF(T488=0,0,T488*Q488-Settings!$B$4/10000-IF(T488&lt;0,Settings!$B$5/10000,0))),"")</f>
        <v/>
      </c>
      <c r="W488" s="18">
        <f>IF($K488="","",$K488*60)</f>
        <v/>
      </c>
      <c r="X488" s="73">
        <f>IF($A488="","",$A488&amp;"|"&amp;$C488&amp;"|"&amp;$D488)</f>
        <v/>
      </c>
      <c r="Y488" s="73">
        <f>IFERROR(IF($X488="","",INDEX(LLM_Data_Entry!$H$3:$H$548,MATCH($X488,INDEX(LLM_Data_Entry!$A$3:$A$548&amp;"|"&amp;LLM_Data_Entry!$C$3:$C$548&amp;"|"&amp;LLM_Data_Entry!$D$3:$D$548,0),0))),"")</f>
        <v/>
      </c>
      <c r="Z488" s="73">
        <f>IFERROR(IF($X488="","",INDEX(LLM_Data_Entry!$R$3:$R$548,MATCH($X488,INDEX(LLM_Data_Entry!$A$3:$A$548&amp;"|"&amp;LLM_Data_Entry!$C$3:$C$548&amp;"|"&amp;LLM_Data_Entry!$D$3:$D$548,0),0))),"")</f>
        <v/>
      </c>
      <c r="AL488">
        <f>IF($A488="","",IFERROR(INDEX(Company_List!$G$3:$G$207,MATCH($A488,Company_List!$A$3:$A$207,0)),"unassigned"))</f>
        <v/>
      </c>
      <c r="AP488">
        <f>IF($A488="","",IF(COUNTIFS(LLM_Data_Entry!$A$3:$A$548,$A488)&gt;0,"YES","NO"))</f>
        <v/>
      </c>
      <c r="AQ488">
        <f>IF($A488="","",IF(COUNTIFS($A$3:$A488,$A488,$C$3:$C488,$C488,$D$3:$D488,$D488)=1,"YES","NO"))</f>
        <v/>
      </c>
      <c r="AR488">
        <f>IF($A488="","",IF(AND($C488&amp;"-"&amp;$D488&gt;=Settings!$B$19,$C488&amp;"-"&amp;$D488&lt;=Settings!$B$20),"IN","OUT"))</f>
        <v/>
      </c>
      <c r="AS488">
        <f>IF($A488="","",IF($F488="Financial Results","financials",IF($F488="Outlook/Guidance","guidance",IF($F488="Transcript Q&amp;A","qanda",IF($F488="","unrecorded",IF($E488="All","full",IF($E488="","unrecorded",LOWER($E488)&amp;" only")))))))</f>
        <v/>
      </c>
      <c r="AT488">
        <f>IF(AND(OR($J488="BUY",$J488="SELL"),ISNUMBER($U488)),$U488,"")</f>
        <v/>
      </c>
      <c r="AU488">
        <f>IF(AND(OR($J488="BUY",$J488="SELL"),ISNUMBER($AK488)),$AK488,"")</f>
        <v/>
      </c>
      <c r="AV488">
        <f>IF(ISNUMBER($AT488),ABS(IF(ISNUMBER($I488),$I488,0)-Settings!$B$24),"")</f>
        <v/>
      </c>
      <c r="AW488">
        <f>IF(ISNUMBER($AV488),$AV488*$AT488,"")</f>
        <v/>
      </c>
      <c r="AX488">
        <f>IF(ISNUMBER($AU488),ABS(IF(ISNUMBER($I488),$I488,0)-Settings!$B$24),"")</f>
        <v/>
      </c>
      <c r="AZ488">
        <f>IF($A488="","",IFERROR(INDEX(Company_List!$H$3:$H$207,MATCH($A488,Company_List!$A$3:$A$207,0)),"unassigned"))</f>
        <v/>
      </c>
      <c r="BC488">
        <f>IF($A488="","",IF(COUNTIFS($A$3:$A488,$A488,$C$3:$C488,$C488,$D$3:$D488,$D488,$G$3:$G488,$G488)=1,1,0))</f>
        <v/>
      </c>
      <c r="BK488">
        <f>IF(OR($H488&lt;&gt;"Human",$S488="",$J488="",$Y488="",$Z488=""),"",IF(EXACT(UPPER($J488),UPPER($Y488)),1,0))</f>
        <v/>
      </c>
    </row>
    <row r="489">
      <c r="B489" s="89">
        <f>IF(A489="","",_xlfn.XLOOKUP(A489, Company_List!$A:$A, Company_List!$B:$B, ""))</f>
        <v/>
      </c>
      <c r="J489" s="92">
        <f>IF(OR(I489="",Settings!$B$6=""),"",IF(I489&gt;Settings!$B$6,"BUY",IF(I489&lt;-Settings!$B$6,"SELL","HOLD")))</f>
        <v/>
      </c>
      <c r="Q489" s="95">
        <f>IF(OR(N489="",P489=""),"",ROUND((P489-N489)/N489,4))</f>
        <v/>
      </c>
      <c r="R489" s="84">
        <f>IF(OR(N489="",P489=""),"",IF(Q489&gt;Settings!$B$3/100,"UP",IF(Q489&lt;-Settings!$B$3/100,"DOWN","FLAT")))</f>
        <v/>
      </c>
      <c r="S489" s="84">
        <f>IF(OR(N489="",P489="",J489=""),"",IF(OR(AND(J489="BUY",R489="UP"),AND(J489="SELL",R489="DOWN"),AND(J489="HOLD",R489="FLAT")),"YES","NO"))</f>
        <v/>
      </c>
      <c r="T489" s="85">
        <f>IF(J489="","",IF(J489="BUY",1,IF(J489="SELL",-1,0)))</f>
        <v/>
      </c>
      <c r="U489" s="94">
        <f>IFERROR(IF(OR(J489="",N489="",P489=""),"",IF(T489=0,0,T489*Q489-Settings!$B$4/10000-IF(T489&lt;0,Settings!$B$5/10000,0))),"")</f>
        <v/>
      </c>
      <c r="W489" s="18">
        <f>IF($K489="","",$K489*60)</f>
        <v/>
      </c>
      <c r="X489" s="73">
        <f>IF($A489="","",$A489&amp;"|"&amp;$C489&amp;"|"&amp;$D489)</f>
        <v/>
      </c>
      <c r="Y489" s="73">
        <f>IFERROR(IF($X489="","",INDEX(LLM_Data_Entry!$H$3:$H$548,MATCH($X489,INDEX(LLM_Data_Entry!$A$3:$A$548&amp;"|"&amp;LLM_Data_Entry!$C$3:$C$548&amp;"|"&amp;LLM_Data_Entry!$D$3:$D$548,0),0))),"")</f>
        <v/>
      </c>
      <c r="Z489" s="73">
        <f>IFERROR(IF($X489="","",INDEX(LLM_Data_Entry!$R$3:$R$548,MATCH($X489,INDEX(LLM_Data_Entry!$A$3:$A$548&amp;"|"&amp;LLM_Data_Entry!$C$3:$C$548&amp;"|"&amp;LLM_Data_Entry!$D$3:$D$548,0),0))),"")</f>
        <v/>
      </c>
      <c r="AL489">
        <f>IF($A489="","",IFERROR(INDEX(Company_List!$G$3:$G$207,MATCH($A489,Company_List!$A$3:$A$207,0)),"unassigned"))</f>
        <v/>
      </c>
      <c r="AP489">
        <f>IF($A489="","",IF(COUNTIFS(LLM_Data_Entry!$A$3:$A$548,$A489)&gt;0,"YES","NO"))</f>
        <v/>
      </c>
      <c r="AQ489">
        <f>IF($A489="","",IF(COUNTIFS($A$3:$A489,$A489,$C$3:$C489,$C489,$D$3:$D489,$D489)=1,"YES","NO"))</f>
        <v/>
      </c>
      <c r="AR489">
        <f>IF($A489="","",IF(AND($C489&amp;"-"&amp;$D489&gt;=Settings!$B$19,$C489&amp;"-"&amp;$D489&lt;=Settings!$B$20),"IN","OUT"))</f>
        <v/>
      </c>
      <c r="AS489">
        <f>IF($A489="","",IF($F489="Financial Results","financials",IF($F489="Outlook/Guidance","guidance",IF($F489="Transcript Q&amp;A","qanda",IF($F489="","unrecorded",IF($E489="All","full",IF($E489="","unrecorded",LOWER($E489)&amp;" only")))))))</f>
        <v/>
      </c>
      <c r="AT489">
        <f>IF(AND(OR($J489="BUY",$J489="SELL"),ISNUMBER($U489)),$U489,"")</f>
        <v/>
      </c>
      <c r="AU489">
        <f>IF(AND(OR($J489="BUY",$J489="SELL"),ISNUMBER($AK489)),$AK489,"")</f>
        <v/>
      </c>
      <c r="AV489">
        <f>IF(ISNUMBER($AT489),ABS(IF(ISNUMBER($I489),$I489,0)-Settings!$B$24),"")</f>
        <v/>
      </c>
      <c r="AW489">
        <f>IF(ISNUMBER($AV489),$AV489*$AT489,"")</f>
        <v/>
      </c>
      <c r="AX489">
        <f>IF(ISNUMBER($AU489),ABS(IF(ISNUMBER($I489),$I489,0)-Settings!$B$24),"")</f>
        <v/>
      </c>
      <c r="AZ489">
        <f>IF($A489="","",IFERROR(INDEX(Company_List!$H$3:$H$207,MATCH($A489,Company_List!$A$3:$A$207,0)),"unassigned"))</f>
        <v/>
      </c>
      <c r="BC489">
        <f>IF($A489="","",IF(COUNTIFS($A$3:$A489,$A489,$C$3:$C489,$C489,$D$3:$D489,$D489,$G$3:$G489,$G489)=1,1,0))</f>
        <v/>
      </c>
      <c r="BK489">
        <f>IF(OR($H489&lt;&gt;"Human",$S489="",$J489="",$Y489="",$Z489=""),"",IF(EXACT(UPPER($J489),UPPER($Y489)),1,0))</f>
        <v/>
      </c>
    </row>
    <row r="490">
      <c r="B490" s="89">
        <f>IF(A490="","",_xlfn.XLOOKUP(A490, Company_List!$A:$A, Company_List!$B:$B, ""))</f>
        <v/>
      </c>
      <c r="J490" s="92">
        <f>IF(OR(I490="",Settings!$B$6=""),"",IF(I490&gt;Settings!$B$6,"BUY",IF(I490&lt;-Settings!$B$6,"SELL","HOLD")))</f>
        <v/>
      </c>
      <c r="Q490" s="95">
        <f>IF(OR(N490="",P490=""),"",ROUND((P490-N490)/N490,4))</f>
        <v/>
      </c>
      <c r="R490" s="84">
        <f>IF(OR(N490="",P490=""),"",IF(Q490&gt;Settings!$B$3/100,"UP",IF(Q490&lt;-Settings!$B$3/100,"DOWN","FLAT")))</f>
        <v/>
      </c>
      <c r="S490" s="84">
        <f>IF(OR(N490="",P490="",J490=""),"",IF(OR(AND(J490="BUY",R490="UP"),AND(J490="SELL",R490="DOWN"),AND(J490="HOLD",R490="FLAT")),"YES","NO"))</f>
        <v/>
      </c>
      <c r="T490" s="85">
        <f>IF(J490="","",IF(J490="BUY",1,IF(J490="SELL",-1,0)))</f>
        <v/>
      </c>
      <c r="U490" s="94">
        <f>IFERROR(IF(OR(J490="",N490="",P490=""),"",IF(T490=0,0,T490*Q490-Settings!$B$4/10000-IF(T490&lt;0,Settings!$B$5/10000,0))),"")</f>
        <v/>
      </c>
      <c r="W490" s="18">
        <f>IF($K490="","",$K490*60)</f>
        <v/>
      </c>
      <c r="X490" s="73">
        <f>IF($A490="","",$A490&amp;"|"&amp;$C490&amp;"|"&amp;$D490)</f>
        <v/>
      </c>
      <c r="Y490" s="73">
        <f>IFERROR(IF($X490="","",INDEX(LLM_Data_Entry!$H$3:$H$548,MATCH($X490,INDEX(LLM_Data_Entry!$A$3:$A$548&amp;"|"&amp;LLM_Data_Entry!$C$3:$C$548&amp;"|"&amp;LLM_Data_Entry!$D$3:$D$548,0),0))),"")</f>
        <v/>
      </c>
      <c r="Z490" s="73">
        <f>IFERROR(IF($X490="","",INDEX(LLM_Data_Entry!$R$3:$R$548,MATCH($X490,INDEX(LLM_Data_Entry!$A$3:$A$548&amp;"|"&amp;LLM_Data_Entry!$C$3:$C$548&amp;"|"&amp;LLM_Data_Entry!$D$3:$D$548,0),0))),"")</f>
        <v/>
      </c>
      <c r="AL490">
        <f>IF($A490="","",IFERROR(INDEX(Company_List!$G$3:$G$207,MATCH($A490,Company_List!$A$3:$A$207,0)),"unassigned"))</f>
        <v/>
      </c>
      <c r="AP490">
        <f>IF($A490="","",IF(COUNTIFS(LLM_Data_Entry!$A$3:$A$548,$A490)&gt;0,"YES","NO"))</f>
        <v/>
      </c>
      <c r="AQ490">
        <f>IF($A490="","",IF(COUNTIFS($A$3:$A490,$A490,$C$3:$C490,$C490,$D$3:$D490,$D490)=1,"YES","NO"))</f>
        <v/>
      </c>
      <c r="AR490">
        <f>IF($A490="","",IF(AND($C490&amp;"-"&amp;$D490&gt;=Settings!$B$19,$C490&amp;"-"&amp;$D490&lt;=Settings!$B$20),"IN","OUT"))</f>
        <v/>
      </c>
      <c r="AS490">
        <f>IF($A490="","",IF($F490="Financial Results","financials",IF($F490="Outlook/Guidance","guidance",IF($F490="Transcript Q&amp;A","qanda",IF($F490="","unrecorded",IF($E490="All","full",IF($E490="","unrecorded",LOWER($E490)&amp;" only")))))))</f>
        <v/>
      </c>
      <c r="AT490">
        <f>IF(AND(OR($J490="BUY",$J490="SELL"),ISNUMBER($U490)),$U490,"")</f>
        <v/>
      </c>
      <c r="AU490">
        <f>IF(AND(OR($J490="BUY",$J490="SELL"),ISNUMBER($AK490)),$AK490,"")</f>
        <v/>
      </c>
      <c r="AV490">
        <f>IF(ISNUMBER($AT490),ABS(IF(ISNUMBER($I490),$I490,0)-Settings!$B$24),"")</f>
        <v/>
      </c>
      <c r="AW490">
        <f>IF(ISNUMBER($AV490),$AV490*$AT490,"")</f>
        <v/>
      </c>
      <c r="AX490">
        <f>IF(ISNUMBER($AU490),ABS(IF(ISNUMBER($I490),$I490,0)-Settings!$B$24),"")</f>
        <v/>
      </c>
      <c r="AZ490">
        <f>IF($A490="","",IFERROR(INDEX(Company_List!$H$3:$H$207,MATCH($A490,Company_List!$A$3:$A$207,0)),"unassigned"))</f>
        <v/>
      </c>
      <c r="BC490">
        <f>IF($A490="","",IF(COUNTIFS($A$3:$A490,$A490,$C$3:$C490,$C490,$D$3:$D490,$D490,$G$3:$G490,$G490)=1,1,0))</f>
        <v/>
      </c>
      <c r="BK490">
        <f>IF(OR($H490&lt;&gt;"Human",$S490="",$J490="",$Y490="",$Z490=""),"",IF(EXACT(UPPER($J490),UPPER($Y490)),1,0))</f>
        <v/>
      </c>
    </row>
    <row r="491">
      <c r="B491" s="89">
        <f>IF(A491="","",_xlfn.XLOOKUP(A491, Company_List!$A:$A, Company_List!$B:$B, ""))</f>
        <v/>
      </c>
      <c r="J491" s="92">
        <f>IF(OR(I491="",Settings!$B$6=""),"",IF(I491&gt;Settings!$B$6,"BUY",IF(I491&lt;-Settings!$B$6,"SELL","HOLD")))</f>
        <v/>
      </c>
      <c r="Q491" s="95">
        <f>IF(OR(N491="",P491=""),"",ROUND((P491-N491)/N491,4))</f>
        <v/>
      </c>
      <c r="R491" s="84">
        <f>IF(OR(N491="",P491=""),"",IF(Q491&gt;Settings!$B$3/100,"UP",IF(Q491&lt;-Settings!$B$3/100,"DOWN","FLAT")))</f>
        <v/>
      </c>
      <c r="S491" s="84">
        <f>IF(OR(N491="",P491="",J491=""),"",IF(OR(AND(J491="BUY",R491="UP"),AND(J491="SELL",R491="DOWN"),AND(J491="HOLD",R491="FLAT")),"YES","NO"))</f>
        <v/>
      </c>
      <c r="T491" s="85">
        <f>IF(J491="","",IF(J491="BUY",1,IF(J491="SELL",-1,0)))</f>
        <v/>
      </c>
      <c r="U491" s="94">
        <f>IFERROR(IF(OR(J491="",N491="",P491=""),"",IF(T491=0,0,T491*Q491-Settings!$B$4/10000-IF(T491&lt;0,Settings!$B$5/10000,0))),"")</f>
        <v/>
      </c>
      <c r="W491" s="18">
        <f>IF($K491="","",$K491*60)</f>
        <v/>
      </c>
      <c r="X491" s="73">
        <f>IF($A491="","",$A491&amp;"|"&amp;$C491&amp;"|"&amp;$D491)</f>
        <v/>
      </c>
      <c r="Y491" s="73">
        <f>IFERROR(IF($X491="","",INDEX(LLM_Data_Entry!$H$3:$H$548,MATCH($X491,INDEX(LLM_Data_Entry!$A$3:$A$548&amp;"|"&amp;LLM_Data_Entry!$C$3:$C$548&amp;"|"&amp;LLM_Data_Entry!$D$3:$D$548,0),0))),"")</f>
        <v/>
      </c>
      <c r="Z491" s="73">
        <f>IFERROR(IF($X491="","",INDEX(LLM_Data_Entry!$R$3:$R$548,MATCH($X491,INDEX(LLM_Data_Entry!$A$3:$A$548&amp;"|"&amp;LLM_Data_Entry!$C$3:$C$548&amp;"|"&amp;LLM_Data_Entry!$D$3:$D$548,0),0))),"")</f>
        <v/>
      </c>
      <c r="AL491">
        <f>IF($A491="","",IFERROR(INDEX(Company_List!$G$3:$G$207,MATCH($A491,Company_List!$A$3:$A$207,0)),"unassigned"))</f>
        <v/>
      </c>
      <c r="AP491">
        <f>IF($A491="","",IF(COUNTIFS(LLM_Data_Entry!$A$3:$A$548,$A491)&gt;0,"YES","NO"))</f>
        <v/>
      </c>
      <c r="AQ491">
        <f>IF($A491="","",IF(COUNTIFS($A$3:$A491,$A491,$C$3:$C491,$C491,$D$3:$D491,$D491)=1,"YES","NO"))</f>
        <v/>
      </c>
      <c r="AR491">
        <f>IF($A491="","",IF(AND($C491&amp;"-"&amp;$D491&gt;=Settings!$B$19,$C491&amp;"-"&amp;$D491&lt;=Settings!$B$20),"IN","OUT"))</f>
        <v/>
      </c>
      <c r="AS491">
        <f>IF($A491="","",IF($F491="Financial Results","financials",IF($F491="Outlook/Guidance","guidance",IF($F491="Transcript Q&amp;A","qanda",IF($F491="","unrecorded",IF($E491="All","full",IF($E491="","unrecorded",LOWER($E491)&amp;" only")))))))</f>
        <v/>
      </c>
      <c r="AT491">
        <f>IF(AND(OR($J491="BUY",$J491="SELL"),ISNUMBER($U491)),$U491,"")</f>
        <v/>
      </c>
      <c r="AU491">
        <f>IF(AND(OR($J491="BUY",$J491="SELL"),ISNUMBER($AK491)),$AK491,"")</f>
        <v/>
      </c>
      <c r="AV491">
        <f>IF(ISNUMBER($AT491),ABS(IF(ISNUMBER($I491),$I491,0)-Settings!$B$24),"")</f>
        <v/>
      </c>
      <c r="AW491">
        <f>IF(ISNUMBER($AV491),$AV491*$AT491,"")</f>
        <v/>
      </c>
      <c r="AX491">
        <f>IF(ISNUMBER($AU491),ABS(IF(ISNUMBER($I491),$I491,0)-Settings!$B$24),"")</f>
        <v/>
      </c>
      <c r="AZ491">
        <f>IF($A491="","",IFERROR(INDEX(Company_List!$H$3:$H$207,MATCH($A491,Company_List!$A$3:$A$207,0)),"unassigned"))</f>
        <v/>
      </c>
      <c r="BC491">
        <f>IF($A491="","",IF(COUNTIFS($A$3:$A491,$A491,$C$3:$C491,$C491,$D$3:$D491,$D491,$G$3:$G491,$G491)=1,1,0))</f>
        <v/>
      </c>
      <c r="BK491">
        <f>IF(OR($H491&lt;&gt;"Human",$S491="",$J491="",$Y491="",$Z491=""),"",IF(EXACT(UPPER($J491),UPPER($Y491)),1,0))</f>
        <v/>
      </c>
    </row>
    <row r="492">
      <c r="B492" s="89">
        <f>IF(A492="","",_xlfn.XLOOKUP(A492, Company_List!$A:$A, Company_List!$B:$B, ""))</f>
        <v/>
      </c>
      <c r="J492" s="92">
        <f>IF(OR(I492="",Settings!$B$6=""),"",IF(I492&gt;Settings!$B$6,"BUY",IF(I492&lt;-Settings!$B$6,"SELL","HOLD")))</f>
        <v/>
      </c>
      <c r="Q492" s="95">
        <f>IF(OR(N492="",P492=""),"",ROUND((P492-N492)/N492,4))</f>
        <v/>
      </c>
      <c r="R492" s="84">
        <f>IF(OR(N492="",P492=""),"",IF(Q492&gt;Settings!$B$3/100,"UP",IF(Q492&lt;-Settings!$B$3/100,"DOWN","FLAT")))</f>
        <v/>
      </c>
      <c r="S492" s="84">
        <f>IF(OR(N492="",P492="",J492=""),"",IF(OR(AND(J492="BUY",R492="UP"),AND(J492="SELL",R492="DOWN"),AND(J492="HOLD",R492="FLAT")),"YES","NO"))</f>
        <v/>
      </c>
      <c r="T492" s="85">
        <f>IF(J492="","",IF(J492="BUY",1,IF(J492="SELL",-1,0)))</f>
        <v/>
      </c>
      <c r="U492" s="94">
        <f>IFERROR(IF(OR(J492="",N492="",P492=""),"",IF(T492=0,0,T492*Q492-Settings!$B$4/10000-IF(T492&lt;0,Settings!$B$5/10000,0))),"")</f>
        <v/>
      </c>
      <c r="W492" s="18">
        <f>IF($K492="","",$K492*60)</f>
        <v/>
      </c>
      <c r="X492" s="73">
        <f>IF($A492="","",$A492&amp;"|"&amp;$C492&amp;"|"&amp;$D492)</f>
        <v/>
      </c>
      <c r="Y492" s="73">
        <f>IFERROR(IF($X492="","",INDEX(LLM_Data_Entry!$H$3:$H$548,MATCH($X492,INDEX(LLM_Data_Entry!$A$3:$A$548&amp;"|"&amp;LLM_Data_Entry!$C$3:$C$548&amp;"|"&amp;LLM_Data_Entry!$D$3:$D$548,0),0))),"")</f>
        <v/>
      </c>
      <c r="Z492" s="73">
        <f>IFERROR(IF($X492="","",INDEX(LLM_Data_Entry!$R$3:$R$548,MATCH($X492,INDEX(LLM_Data_Entry!$A$3:$A$548&amp;"|"&amp;LLM_Data_Entry!$C$3:$C$548&amp;"|"&amp;LLM_Data_Entry!$D$3:$D$548,0),0))),"")</f>
        <v/>
      </c>
      <c r="AL492">
        <f>IF($A492="","",IFERROR(INDEX(Company_List!$G$3:$G$207,MATCH($A492,Company_List!$A$3:$A$207,0)),"unassigned"))</f>
        <v/>
      </c>
      <c r="AP492">
        <f>IF($A492="","",IF(COUNTIFS(LLM_Data_Entry!$A$3:$A$548,$A492)&gt;0,"YES","NO"))</f>
        <v/>
      </c>
      <c r="AQ492">
        <f>IF($A492="","",IF(COUNTIFS($A$3:$A492,$A492,$C$3:$C492,$C492,$D$3:$D492,$D492)=1,"YES","NO"))</f>
        <v/>
      </c>
      <c r="AR492">
        <f>IF($A492="","",IF(AND($C492&amp;"-"&amp;$D492&gt;=Settings!$B$19,$C492&amp;"-"&amp;$D492&lt;=Settings!$B$20),"IN","OUT"))</f>
        <v/>
      </c>
      <c r="AS492">
        <f>IF($A492="","",IF($F492="Financial Results","financials",IF($F492="Outlook/Guidance","guidance",IF($F492="Transcript Q&amp;A","qanda",IF($F492="","unrecorded",IF($E492="All","full",IF($E492="","unrecorded",LOWER($E492)&amp;" only")))))))</f>
        <v/>
      </c>
      <c r="AT492">
        <f>IF(AND(OR($J492="BUY",$J492="SELL"),ISNUMBER($U492)),$U492,"")</f>
        <v/>
      </c>
      <c r="AU492">
        <f>IF(AND(OR($J492="BUY",$J492="SELL"),ISNUMBER($AK492)),$AK492,"")</f>
        <v/>
      </c>
      <c r="AV492">
        <f>IF(ISNUMBER($AT492),ABS(IF(ISNUMBER($I492),$I492,0)-Settings!$B$24),"")</f>
        <v/>
      </c>
      <c r="AW492">
        <f>IF(ISNUMBER($AV492),$AV492*$AT492,"")</f>
        <v/>
      </c>
      <c r="AX492">
        <f>IF(ISNUMBER($AU492),ABS(IF(ISNUMBER($I492),$I492,0)-Settings!$B$24),"")</f>
        <v/>
      </c>
      <c r="AZ492">
        <f>IF($A492="","",IFERROR(INDEX(Company_List!$H$3:$H$207,MATCH($A492,Company_List!$A$3:$A$207,0)),"unassigned"))</f>
        <v/>
      </c>
      <c r="BC492">
        <f>IF($A492="","",IF(COUNTIFS($A$3:$A492,$A492,$C$3:$C492,$C492,$D$3:$D492,$D492,$G$3:$G492,$G492)=1,1,0))</f>
        <v/>
      </c>
      <c r="BK492">
        <f>IF(OR($H492&lt;&gt;"Human",$S492="",$J492="",$Y492="",$Z492=""),"",IF(EXACT(UPPER($J492),UPPER($Y492)),1,0))</f>
        <v/>
      </c>
    </row>
    <row r="493">
      <c r="B493" s="89">
        <f>IF(A493="","",_xlfn.XLOOKUP(A493, Company_List!$A:$A, Company_List!$B:$B, ""))</f>
        <v/>
      </c>
      <c r="J493" s="92">
        <f>IF(OR(I493="",Settings!$B$6=""),"",IF(I493&gt;Settings!$B$6,"BUY",IF(I493&lt;-Settings!$B$6,"SELL","HOLD")))</f>
        <v/>
      </c>
      <c r="Q493" s="95">
        <f>IF(OR(N493="",P493=""),"",ROUND((P493-N493)/N493,4))</f>
        <v/>
      </c>
      <c r="R493" s="84">
        <f>IF(OR(N493="",P493=""),"",IF(Q493&gt;Settings!$B$3/100,"UP",IF(Q493&lt;-Settings!$B$3/100,"DOWN","FLAT")))</f>
        <v/>
      </c>
      <c r="S493" s="84">
        <f>IF(OR(N493="",P493="",J493=""),"",IF(OR(AND(J493="BUY",R493="UP"),AND(J493="SELL",R493="DOWN"),AND(J493="HOLD",R493="FLAT")),"YES","NO"))</f>
        <v/>
      </c>
      <c r="T493" s="85">
        <f>IF(J493="","",IF(J493="BUY",1,IF(J493="SELL",-1,0)))</f>
        <v/>
      </c>
      <c r="U493" s="94">
        <f>IFERROR(IF(OR(J493="",N493="",P493=""),"",IF(T493=0,0,T493*Q493-Settings!$B$4/10000-IF(T493&lt;0,Settings!$B$5/10000,0))),"")</f>
        <v/>
      </c>
      <c r="W493" s="18">
        <f>IF($K493="","",$K493*60)</f>
        <v/>
      </c>
      <c r="X493" s="73">
        <f>IF($A493="","",$A493&amp;"|"&amp;$C493&amp;"|"&amp;$D493)</f>
        <v/>
      </c>
      <c r="Y493" s="73">
        <f>IFERROR(IF($X493="","",INDEX(LLM_Data_Entry!$H$3:$H$548,MATCH($X493,INDEX(LLM_Data_Entry!$A$3:$A$548&amp;"|"&amp;LLM_Data_Entry!$C$3:$C$548&amp;"|"&amp;LLM_Data_Entry!$D$3:$D$548,0),0))),"")</f>
        <v/>
      </c>
      <c r="Z493" s="73">
        <f>IFERROR(IF($X493="","",INDEX(LLM_Data_Entry!$R$3:$R$548,MATCH($X493,INDEX(LLM_Data_Entry!$A$3:$A$548&amp;"|"&amp;LLM_Data_Entry!$C$3:$C$548&amp;"|"&amp;LLM_Data_Entry!$D$3:$D$548,0),0))),"")</f>
        <v/>
      </c>
      <c r="AL493">
        <f>IF($A493="","",IFERROR(INDEX(Company_List!$G$3:$G$207,MATCH($A493,Company_List!$A$3:$A$207,0)),"unassigned"))</f>
        <v/>
      </c>
      <c r="AP493">
        <f>IF($A493="","",IF(COUNTIFS(LLM_Data_Entry!$A$3:$A$548,$A493)&gt;0,"YES","NO"))</f>
        <v/>
      </c>
      <c r="AQ493">
        <f>IF($A493="","",IF(COUNTIFS($A$3:$A493,$A493,$C$3:$C493,$C493,$D$3:$D493,$D493)=1,"YES","NO"))</f>
        <v/>
      </c>
      <c r="AR493">
        <f>IF($A493="","",IF(AND($C493&amp;"-"&amp;$D493&gt;=Settings!$B$19,$C493&amp;"-"&amp;$D493&lt;=Settings!$B$20),"IN","OUT"))</f>
        <v/>
      </c>
      <c r="AS493">
        <f>IF($A493="","",IF($F493="Financial Results","financials",IF($F493="Outlook/Guidance","guidance",IF($F493="Transcript Q&amp;A","qanda",IF($F493="","unrecorded",IF($E493="All","full",IF($E493="","unrecorded",LOWER($E493)&amp;" only")))))))</f>
        <v/>
      </c>
      <c r="AT493">
        <f>IF(AND(OR($J493="BUY",$J493="SELL"),ISNUMBER($U493)),$U493,"")</f>
        <v/>
      </c>
      <c r="AU493">
        <f>IF(AND(OR($J493="BUY",$J493="SELL"),ISNUMBER($AK493)),$AK493,"")</f>
        <v/>
      </c>
      <c r="AV493">
        <f>IF(ISNUMBER($AT493),ABS(IF(ISNUMBER($I493),$I493,0)-Settings!$B$24),"")</f>
        <v/>
      </c>
      <c r="AW493">
        <f>IF(ISNUMBER($AV493),$AV493*$AT493,"")</f>
        <v/>
      </c>
      <c r="AX493">
        <f>IF(ISNUMBER($AU493),ABS(IF(ISNUMBER($I493),$I493,0)-Settings!$B$24),"")</f>
        <v/>
      </c>
      <c r="AZ493">
        <f>IF($A493="","",IFERROR(INDEX(Company_List!$H$3:$H$207,MATCH($A493,Company_List!$A$3:$A$207,0)),"unassigned"))</f>
        <v/>
      </c>
      <c r="BC493">
        <f>IF($A493="","",IF(COUNTIFS($A$3:$A493,$A493,$C$3:$C493,$C493,$D$3:$D493,$D493,$G$3:$G493,$G493)=1,1,0))</f>
        <v/>
      </c>
      <c r="BK493">
        <f>IF(OR($H493&lt;&gt;"Human",$S493="",$J493="",$Y493="",$Z493=""),"",IF(EXACT(UPPER($J493),UPPER($Y493)),1,0))</f>
        <v/>
      </c>
    </row>
    <row r="494">
      <c r="B494" s="89">
        <f>IF(A494="","",_xlfn.XLOOKUP(A494, Company_List!$A:$A, Company_List!$B:$B, ""))</f>
        <v/>
      </c>
      <c r="J494" s="92">
        <f>IF(OR(I494="",Settings!$B$6=""),"",IF(I494&gt;Settings!$B$6,"BUY",IF(I494&lt;-Settings!$B$6,"SELL","HOLD")))</f>
        <v/>
      </c>
      <c r="Q494" s="95">
        <f>IF(OR(N494="",P494=""),"",ROUND((P494-N494)/N494,4))</f>
        <v/>
      </c>
      <c r="R494" s="84">
        <f>IF(OR(N494="",P494=""),"",IF(Q494&gt;Settings!$B$3/100,"UP",IF(Q494&lt;-Settings!$B$3/100,"DOWN","FLAT")))</f>
        <v/>
      </c>
      <c r="S494" s="84">
        <f>IF(OR(N494="",P494="",J494=""),"",IF(OR(AND(J494="BUY",R494="UP"),AND(J494="SELL",R494="DOWN"),AND(J494="HOLD",R494="FLAT")),"YES","NO"))</f>
        <v/>
      </c>
      <c r="T494" s="85">
        <f>IF(J494="","",IF(J494="BUY",1,IF(J494="SELL",-1,0)))</f>
        <v/>
      </c>
      <c r="U494" s="94">
        <f>IFERROR(IF(OR(J494="",N494="",P494=""),"",IF(T494=0,0,T494*Q494-Settings!$B$4/10000-IF(T494&lt;0,Settings!$B$5/10000,0))),"")</f>
        <v/>
      </c>
      <c r="W494" s="18">
        <f>IF($K494="","",$K494*60)</f>
        <v/>
      </c>
      <c r="X494" s="73">
        <f>IF($A494="","",$A494&amp;"|"&amp;$C494&amp;"|"&amp;$D494)</f>
        <v/>
      </c>
      <c r="Y494" s="73">
        <f>IFERROR(IF($X494="","",INDEX(LLM_Data_Entry!$H$3:$H$548,MATCH($X494,INDEX(LLM_Data_Entry!$A$3:$A$548&amp;"|"&amp;LLM_Data_Entry!$C$3:$C$548&amp;"|"&amp;LLM_Data_Entry!$D$3:$D$548,0),0))),"")</f>
        <v/>
      </c>
      <c r="Z494" s="73">
        <f>IFERROR(IF($X494="","",INDEX(LLM_Data_Entry!$R$3:$R$548,MATCH($X494,INDEX(LLM_Data_Entry!$A$3:$A$548&amp;"|"&amp;LLM_Data_Entry!$C$3:$C$548&amp;"|"&amp;LLM_Data_Entry!$D$3:$D$548,0),0))),"")</f>
        <v/>
      </c>
      <c r="AL494">
        <f>IF($A494="","",IFERROR(INDEX(Company_List!$G$3:$G$207,MATCH($A494,Company_List!$A$3:$A$207,0)),"unassigned"))</f>
        <v/>
      </c>
      <c r="AP494">
        <f>IF($A494="","",IF(COUNTIFS(LLM_Data_Entry!$A$3:$A$548,$A494)&gt;0,"YES","NO"))</f>
        <v/>
      </c>
      <c r="AQ494">
        <f>IF($A494="","",IF(COUNTIFS($A$3:$A494,$A494,$C$3:$C494,$C494,$D$3:$D494,$D494)=1,"YES","NO"))</f>
        <v/>
      </c>
      <c r="AR494">
        <f>IF($A494="","",IF(AND($C494&amp;"-"&amp;$D494&gt;=Settings!$B$19,$C494&amp;"-"&amp;$D494&lt;=Settings!$B$20),"IN","OUT"))</f>
        <v/>
      </c>
      <c r="AS494">
        <f>IF($A494="","",IF($F494="Financial Results","financials",IF($F494="Outlook/Guidance","guidance",IF($F494="Transcript Q&amp;A","qanda",IF($F494="","unrecorded",IF($E494="All","full",IF($E494="","unrecorded",LOWER($E494)&amp;" only")))))))</f>
        <v/>
      </c>
      <c r="AT494">
        <f>IF(AND(OR($J494="BUY",$J494="SELL"),ISNUMBER($U494)),$U494,"")</f>
        <v/>
      </c>
      <c r="AU494">
        <f>IF(AND(OR($J494="BUY",$J494="SELL"),ISNUMBER($AK494)),$AK494,"")</f>
        <v/>
      </c>
      <c r="AV494">
        <f>IF(ISNUMBER($AT494),ABS(IF(ISNUMBER($I494),$I494,0)-Settings!$B$24),"")</f>
        <v/>
      </c>
      <c r="AW494">
        <f>IF(ISNUMBER($AV494),$AV494*$AT494,"")</f>
        <v/>
      </c>
      <c r="AX494">
        <f>IF(ISNUMBER($AU494),ABS(IF(ISNUMBER($I494),$I494,0)-Settings!$B$24),"")</f>
        <v/>
      </c>
      <c r="AZ494">
        <f>IF($A494="","",IFERROR(INDEX(Company_List!$H$3:$H$207,MATCH($A494,Company_List!$A$3:$A$207,0)),"unassigned"))</f>
        <v/>
      </c>
      <c r="BC494">
        <f>IF($A494="","",IF(COUNTIFS($A$3:$A494,$A494,$C$3:$C494,$C494,$D$3:$D494,$D494,$G$3:$G494,$G494)=1,1,0))</f>
        <v/>
      </c>
      <c r="BK494">
        <f>IF(OR($H494&lt;&gt;"Human",$S494="",$J494="",$Y494="",$Z494=""),"",IF(EXACT(UPPER($J494),UPPER($Y494)),1,0))</f>
        <v/>
      </c>
    </row>
    <row r="495">
      <c r="B495" s="89">
        <f>IF(A495="","",_xlfn.XLOOKUP(A495, Company_List!$A:$A, Company_List!$B:$B, ""))</f>
        <v/>
      </c>
      <c r="J495" s="92">
        <f>IF(OR(I495="",Settings!$B$6=""),"",IF(I495&gt;Settings!$B$6,"BUY",IF(I495&lt;-Settings!$B$6,"SELL","HOLD")))</f>
        <v/>
      </c>
      <c r="Q495" s="95">
        <f>IF(OR(N495="",P495=""),"",ROUND((P495-N495)/N495,4))</f>
        <v/>
      </c>
      <c r="R495" s="84">
        <f>IF(OR(N495="",P495=""),"",IF(Q495&gt;Settings!$B$3/100,"UP",IF(Q495&lt;-Settings!$B$3/100,"DOWN","FLAT")))</f>
        <v/>
      </c>
      <c r="S495" s="84">
        <f>IF(OR(N495="",P495="",J495=""),"",IF(OR(AND(J495="BUY",R495="UP"),AND(J495="SELL",R495="DOWN"),AND(J495="HOLD",R495="FLAT")),"YES","NO"))</f>
        <v/>
      </c>
      <c r="T495" s="85">
        <f>IF(J495="","",IF(J495="BUY",1,IF(J495="SELL",-1,0)))</f>
        <v/>
      </c>
      <c r="U495" s="94">
        <f>IFERROR(IF(OR(J495="",N495="",P495=""),"",IF(T495=0,0,T495*Q495-Settings!$B$4/10000-IF(T495&lt;0,Settings!$B$5/10000,0))),"")</f>
        <v/>
      </c>
      <c r="W495" s="18">
        <f>IF($K495="","",$K495*60)</f>
        <v/>
      </c>
      <c r="X495" s="73">
        <f>IF($A495="","",$A495&amp;"|"&amp;$C495&amp;"|"&amp;$D495)</f>
        <v/>
      </c>
      <c r="Y495" s="73">
        <f>IFERROR(IF($X495="","",INDEX(LLM_Data_Entry!$H$3:$H$548,MATCH($X495,INDEX(LLM_Data_Entry!$A$3:$A$548&amp;"|"&amp;LLM_Data_Entry!$C$3:$C$548&amp;"|"&amp;LLM_Data_Entry!$D$3:$D$548,0),0))),"")</f>
        <v/>
      </c>
      <c r="Z495" s="73">
        <f>IFERROR(IF($X495="","",INDEX(LLM_Data_Entry!$R$3:$R$548,MATCH($X495,INDEX(LLM_Data_Entry!$A$3:$A$548&amp;"|"&amp;LLM_Data_Entry!$C$3:$C$548&amp;"|"&amp;LLM_Data_Entry!$D$3:$D$548,0),0))),"")</f>
        <v/>
      </c>
      <c r="AL495">
        <f>IF($A495="","",IFERROR(INDEX(Company_List!$G$3:$G$207,MATCH($A495,Company_List!$A$3:$A$207,0)),"unassigned"))</f>
        <v/>
      </c>
      <c r="AP495">
        <f>IF($A495="","",IF(COUNTIFS(LLM_Data_Entry!$A$3:$A$548,$A495)&gt;0,"YES","NO"))</f>
        <v/>
      </c>
      <c r="AQ495">
        <f>IF($A495="","",IF(COUNTIFS($A$3:$A495,$A495,$C$3:$C495,$C495,$D$3:$D495,$D495)=1,"YES","NO"))</f>
        <v/>
      </c>
      <c r="AR495">
        <f>IF($A495="","",IF(AND($C495&amp;"-"&amp;$D495&gt;=Settings!$B$19,$C495&amp;"-"&amp;$D495&lt;=Settings!$B$20),"IN","OUT"))</f>
        <v/>
      </c>
      <c r="AS495">
        <f>IF($A495="","",IF($F495="Financial Results","financials",IF($F495="Outlook/Guidance","guidance",IF($F495="Transcript Q&amp;A","qanda",IF($F495="","unrecorded",IF($E495="All","full",IF($E495="","unrecorded",LOWER($E495)&amp;" only")))))))</f>
        <v/>
      </c>
      <c r="AT495">
        <f>IF(AND(OR($J495="BUY",$J495="SELL"),ISNUMBER($U495)),$U495,"")</f>
        <v/>
      </c>
      <c r="AU495">
        <f>IF(AND(OR($J495="BUY",$J495="SELL"),ISNUMBER($AK495)),$AK495,"")</f>
        <v/>
      </c>
      <c r="AV495">
        <f>IF(ISNUMBER($AT495),ABS(IF(ISNUMBER($I495),$I495,0)-Settings!$B$24),"")</f>
        <v/>
      </c>
      <c r="AW495">
        <f>IF(ISNUMBER($AV495),$AV495*$AT495,"")</f>
        <v/>
      </c>
      <c r="AX495">
        <f>IF(ISNUMBER($AU495),ABS(IF(ISNUMBER($I495),$I495,0)-Settings!$B$24),"")</f>
        <v/>
      </c>
      <c r="AZ495">
        <f>IF($A495="","",IFERROR(INDEX(Company_List!$H$3:$H$207,MATCH($A495,Company_List!$A$3:$A$207,0)),"unassigned"))</f>
        <v/>
      </c>
      <c r="BC495">
        <f>IF($A495="","",IF(COUNTIFS($A$3:$A495,$A495,$C$3:$C495,$C495,$D$3:$D495,$D495,$G$3:$G495,$G495)=1,1,0))</f>
        <v/>
      </c>
      <c r="BK495">
        <f>IF(OR($H495&lt;&gt;"Human",$S495="",$J495="",$Y495="",$Z495=""),"",IF(EXACT(UPPER($J495),UPPER($Y495)),1,0))</f>
        <v/>
      </c>
    </row>
    <row r="496">
      <c r="B496" s="89">
        <f>IF(A496="","",_xlfn.XLOOKUP(A496, Company_List!$A:$A, Company_List!$B:$B, ""))</f>
        <v/>
      </c>
      <c r="J496" s="92">
        <f>IF(OR(I496="",Settings!$B$6=""),"",IF(I496&gt;Settings!$B$6,"BUY",IF(I496&lt;-Settings!$B$6,"SELL","HOLD")))</f>
        <v/>
      </c>
      <c r="Q496" s="95">
        <f>IF(OR(N496="",P496=""),"",ROUND((P496-N496)/N496,4))</f>
        <v/>
      </c>
      <c r="R496" s="84">
        <f>IF(OR(N496="",P496=""),"",IF(Q496&gt;Settings!$B$3/100,"UP",IF(Q496&lt;-Settings!$B$3/100,"DOWN","FLAT")))</f>
        <v/>
      </c>
      <c r="S496" s="84">
        <f>IF(OR(N496="",P496="",J496=""),"",IF(OR(AND(J496="BUY",R496="UP"),AND(J496="SELL",R496="DOWN"),AND(J496="HOLD",R496="FLAT")),"YES","NO"))</f>
        <v/>
      </c>
      <c r="T496" s="85">
        <f>IF(J496="","",IF(J496="BUY",1,IF(J496="SELL",-1,0)))</f>
        <v/>
      </c>
      <c r="U496" s="94">
        <f>IFERROR(IF(OR(J496="",N496="",P496=""),"",IF(T496=0,0,T496*Q496-Settings!$B$4/10000-IF(T496&lt;0,Settings!$B$5/10000,0))),"")</f>
        <v/>
      </c>
      <c r="W496" s="18">
        <f>IF($K496="","",$K496*60)</f>
        <v/>
      </c>
      <c r="X496" s="73">
        <f>IF($A496="","",$A496&amp;"|"&amp;$C496&amp;"|"&amp;$D496)</f>
        <v/>
      </c>
      <c r="Y496" s="73">
        <f>IFERROR(IF($X496="","",INDEX(LLM_Data_Entry!$H$3:$H$548,MATCH($X496,INDEX(LLM_Data_Entry!$A$3:$A$548&amp;"|"&amp;LLM_Data_Entry!$C$3:$C$548&amp;"|"&amp;LLM_Data_Entry!$D$3:$D$548,0),0))),"")</f>
        <v/>
      </c>
      <c r="Z496" s="73">
        <f>IFERROR(IF($X496="","",INDEX(LLM_Data_Entry!$R$3:$R$548,MATCH($X496,INDEX(LLM_Data_Entry!$A$3:$A$548&amp;"|"&amp;LLM_Data_Entry!$C$3:$C$548&amp;"|"&amp;LLM_Data_Entry!$D$3:$D$548,0),0))),"")</f>
        <v/>
      </c>
      <c r="AL496">
        <f>IF($A496="","",IFERROR(INDEX(Company_List!$G$3:$G$207,MATCH($A496,Company_List!$A$3:$A$207,0)),"unassigned"))</f>
        <v/>
      </c>
      <c r="AP496">
        <f>IF($A496="","",IF(COUNTIFS(LLM_Data_Entry!$A$3:$A$548,$A496)&gt;0,"YES","NO"))</f>
        <v/>
      </c>
      <c r="AQ496">
        <f>IF($A496="","",IF(COUNTIFS($A$3:$A496,$A496,$C$3:$C496,$C496,$D$3:$D496,$D496)=1,"YES","NO"))</f>
        <v/>
      </c>
      <c r="AR496">
        <f>IF($A496="","",IF(AND($C496&amp;"-"&amp;$D496&gt;=Settings!$B$19,$C496&amp;"-"&amp;$D496&lt;=Settings!$B$20),"IN","OUT"))</f>
        <v/>
      </c>
      <c r="AS496">
        <f>IF($A496="","",IF($F496="Financial Results","financials",IF($F496="Outlook/Guidance","guidance",IF($F496="Transcript Q&amp;A","qanda",IF($F496="","unrecorded",IF($E496="All","full",IF($E496="","unrecorded",LOWER($E496)&amp;" only")))))))</f>
        <v/>
      </c>
      <c r="AT496">
        <f>IF(AND(OR($J496="BUY",$J496="SELL"),ISNUMBER($U496)),$U496,"")</f>
        <v/>
      </c>
      <c r="AU496">
        <f>IF(AND(OR($J496="BUY",$J496="SELL"),ISNUMBER($AK496)),$AK496,"")</f>
        <v/>
      </c>
      <c r="AV496">
        <f>IF(ISNUMBER($AT496),ABS(IF(ISNUMBER($I496),$I496,0)-Settings!$B$24),"")</f>
        <v/>
      </c>
      <c r="AW496">
        <f>IF(ISNUMBER($AV496),$AV496*$AT496,"")</f>
        <v/>
      </c>
      <c r="AX496">
        <f>IF(ISNUMBER($AU496),ABS(IF(ISNUMBER($I496),$I496,0)-Settings!$B$24),"")</f>
        <v/>
      </c>
      <c r="AZ496">
        <f>IF($A496="","",IFERROR(INDEX(Company_List!$H$3:$H$207,MATCH($A496,Company_List!$A$3:$A$207,0)),"unassigned"))</f>
        <v/>
      </c>
      <c r="BC496">
        <f>IF($A496="","",IF(COUNTIFS($A$3:$A496,$A496,$C$3:$C496,$C496,$D$3:$D496,$D496,$G$3:$G496,$G496)=1,1,0))</f>
        <v/>
      </c>
      <c r="BK496">
        <f>IF(OR($H496&lt;&gt;"Human",$S496="",$J496="",$Y496="",$Z496=""),"",IF(EXACT(UPPER($J496),UPPER($Y496)),1,0))</f>
        <v/>
      </c>
    </row>
    <row r="497">
      <c r="B497" s="89">
        <f>IF(A497="","",_xlfn.XLOOKUP(A497, Company_List!$A:$A, Company_List!$B:$B, ""))</f>
        <v/>
      </c>
      <c r="J497" s="92">
        <f>IF(OR(I497="",Settings!$B$6=""),"",IF(I497&gt;Settings!$B$6,"BUY",IF(I497&lt;-Settings!$B$6,"SELL","HOLD")))</f>
        <v/>
      </c>
      <c r="Q497" s="95">
        <f>IF(OR(N497="",P497=""),"",ROUND((P497-N497)/N497,4))</f>
        <v/>
      </c>
      <c r="R497" s="84">
        <f>IF(OR(N497="",P497=""),"",IF(Q497&gt;Settings!$B$3/100,"UP",IF(Q497&lt;-Settings!$B$3/100,"DOWN","FLAT")))</f>
        <v/>
      </c>
      <c r="S497" s="84">
        <f>IF(OR(N497="",P497="",J497=""),"",IF(OR(AND(J497="BUY",R497="UP"),AND(J497="SELL",R497="DOWN"),AND(J497="HOLD",R497="FLAT")),"YES","NO"))</f>
        <v/>
      </c>
      <c r="T497" s="85">
        <f>IF(J497="","",IF(J497="BUY",1,IF(J497="SELL",-1,0)))</f>
        <v/>
      </c>
      <c r="U497" s="94">
        <f>IFERROR(IF(OR(J497="",N497="",P497=""),"",IF(T497=0,0,T497*Q497-Settings!$B$4/10000-IF(T497&lt;0,Settings!$B$5/10000,0))),"")</f>
        <v/>
      </c>
      <c r="W497" s="18">
        <f>IF($K497="","",$K497*60)</f>
        <v/>
      </c>
      <c r="X497" s="73">
        <f>IF($A497="","",$A497&amp;"|"&amp;$C497&amp;"|"&amp;$D497)</f>
        <v/>
      </c>
      <c r="Y497" s="73">
        <f>IFERROR(IF($X497="","",INDEX(LLM_Data_Entry!$H$3:$H$548,MATCH($X497,INDEX(LLM_Data_Entry!$A$3:$A$548&amp;"|"&amp;LLM_Data_Entry!$C$3:$C$548&amp;"|"&amp;LLM_Data_Entry!$D$3:$D$548,0),0))),"")</f>
        <v/>
      </c>
      <c r="Z497" s="73">
        <f>IFERROR(IF($X497="","",INDEX(LLM_Data_Entry!$R$3:$R$548,MATCH($X497,INDEX(LLM_Data_Entry!$A$3:$A$548&amp;"|"&amp;LLM_Data_Entry!$C$3:$C$548&amp;"|"&amp;LLM_Data_Entry!$D$3:$D$548,0),0))),"")</f>
        <v/>
      </c>
      <c r="AL497">
        <f>IF($A497="","",IFERROR(INDEX(Company_List!$G$3:$G$207,MATCH($A497,Company_List!$A$3:$A$207,0)),"unassigned"))</f>
        <v/>
      </c>
      <c r="AP497">
        <f>IF($A497="","",IF(COUNTIFS(LLM_Data_Entry!$A$3:$A$548,$A497)&gt;0,"YES","NO"))</f>
        <v/>
      </c>
      <c r="AQ497">
        <f>IF($A497="","",IF(COUNTIFS($A$3:$A497,$A497,$C$3:$C497,$C497,$D$3:$D497,$D497)=1,"YES","NO"))</f>
        <v/>
      </c>
      <c r="AR497">
        <f>IF($A497="","",IF(AND($C497&amp;"-"&amp;$D497&gt;=Settings!$B$19,$C497&amp;"-"&amp;$D497&lt;=Settings!$B$20),"IN","OUT"))</f>
        <v/>
      </c>
      <c r="AS497">
        <f>IF($A497="","",IF($F497="Financial Results","financials",IF($F497="Outlook/Guidance","guidance",IF($F497="Transcript Q&amp;A","qanda",IF($F497="","unrecorded",IF($E497="All","full",IF($E497="","unrecorded",LOWER($E497)&amp;" only")))))))</f>
        <v/>
      </c>
      <c r="AT497">
        <f>IF(AND(OR($J497="BUY",$J497="SELL"),ISNUMBER($U497)),$U497,"")</f>
        <v/>
      </c>
      <c r="AU497">
        <f>IF(AND(OR($J497="BUY",$J497="SELL"),ISNUMBER($AK497)),$AK497,"")</f>
        <v/>
      </c>
      <c r="AV497">
        <f>IF(ISNUMBER($AT497),ABS(IF(ISNUMBER($I497),$I497,0)-Settings!$B$24),"")</f>
        <v/>
      </c>
      <c r="AW497">
        <f>IF(ISNUMBER($AV497),$AV497*$AT497,"")</f>
        <v/>
      </c>
      <c r="AX497">
        <f>IF(ISNUMBER($AU497),ABS(IF(ISNUMBER($I497),$I497,0)-Settings!$B$24),"")</f>
        <v/>
      </c>
      <c r="AZ497">
        <f>IF($A497="","",IFERROR(INDEX(Company_List!$H$3:$H$207,MATCH($A497,Company_List!$A$3:$A$207,0)),"unassigned"))</f>
        <v/>
      </c>
      <c r="BC497">
        <f>IF($A497="","",IF(COUNTIFS($A$3:$A497,$A497,$C$3:$C497,$C497,$D$3:$D497,$D497,$G$3:$G497,$G497)=1,1,0))</f>
        <v/>
      </c>
      <c r="BK497">
        <f>IF(OR($H497&lt;&gt;"Human",$S497="",$J497="",$Y497="",$Z497=""),"",IF(EXACT(UPPER($J497),UPPER($Y497)),1,0))</f>
        <v/>
      </c>
    </row>
    <row r="498">
      <c r="B498" s="89">
        <f>IF(A498="","",_xlfn.XLOOKUP(A498, Company_List!$A:$A, Company_List!$B:$B, ""))</f>
        <v/>
      </c>
      <c r="J498" s="92">
        <f>IF(OR(I498="",Settings!$B$6=""),"",IF(I498&gt;Settings!$B$6,"BUY",IF(I498&lt;-Settings!$B$6,"SELL","HOLD")))</f>
        <v/>
      </c>
      <c r="Q498" s="95">
        <f>IF(OR(N498="",P498=""),"",ROUND((P498-N498)/N498,4))</f>
        <v/>
      </c>
      <c r="R498" s="84">
        <f>IF(OR(N498="",P498=""),"",IF(Q498&gt;Settings!$B$3/100,"UP",IF(Q498&lt;-Settings!$B$3/100,"DOWN","FLAT")))</f>
        <v/>
      </c>
      <c r="S498" s="84">
        <f>IF(OR(N498="",P498="",J498=""),"",IF(OR(AND(J498="BUY",R498="UP"),AND(J498="SELL",R498="DOWN"),AND(J498="HOLD",R498="FLAT")),"YES","NO"))</f>
        <v/>
      </c>
      <c r="T498" s="85">
        <f>IF(J498="","",IF(J498="BUY",1,IF(J498="SELL",-1,0)))</f>
        <v/>
      </c>
      <c r="U498" s="94">
        <f>IFERROR(IF(OR(J498="",N498="",P498=""),"",IF(T498=0,0,T498*Q498-Settings!$B$4/10000-IF(T498&lt;0,Settings!$B$5/10000,0))),"")</f>
        <v/>
      </c>
      <c r="W498" s="18">
        <f>IF($K498="","",$K498*60)</f>
        <v/>
      </c>
      <c r="X498" s="73">
        <f>IF($A498="","",$A498&amp;"|"&amp;$C498&amp;"|"&amp;$D498)</f>
        <v/>
      </c>
      <c r="Y498" s="73">
        <f>IFERROR(IF($X498="","",INDEX(LLM_Data_Entry!$H$3:$H$548,MATCH($X498,INDEX(LLM_Data_Entry!$A$3:$A$548&amp;"|"&amp;LLM_Data_Entry!$C$3:$C$548&amp;"|"&amp;LLM_Data_Entry!$D$3:$D$548,0),0))),"")</f>
        <v/>
      </c>
      <c r="Z498" s="73">
        <f>IFERROR(IF($X498="","",INDEX(LLM_Data_Entry!$R$3:$R$548,MATCH($X498,INDEX(LLM_Data_Entry!$A$3:$A$548&amp;"|"&amp;LLM_Data_Entry!$C$3:$C$548&amp;"|"&amp;LLM_Data_Entry!$D$3:$D$548,0),0))),"")</f>
        <v/>
      </c>
      <c r="AL498">
        <f>IF($A498="","",IFERROR(INDEX(Company_List!$G$3:$G$207,MATCH($A498,Company_List!$A$3:$A$207,0)),"unassigned"))</f>
        <v/>
      </c>
      <c r="AP498">
        <f>IF($A498="","",IF(COUNTIFS(LLM_Data_Entry!$A$3:$A$548,$A498)&gt;0,"YES","NO"))</f>
        <v/>
      </c>
      <c r="AQ498">
        <f>IF($A498="","",IF(COUNTIFS($A$3:$A498,$A498,$C$3:$C498,$C498,$D$3:$D498,$D498)=1,"YES","NO"))</f>
        <v/>
      </c>
      <c r="AR498">
        <f>IF($A498="","",IF(AND($C498&amp;"-"&amp;$D498&gt;=Settings!$B$19,$C498&amp;"-"&amp;$D498&lt;=Settings!$B$20),"IN","OUT"))</f>
        <v/>
      </c>
      <c r="AS498">
        <f>IF($A498="","",IF($F498="Financial Results","financials",IF($F498="Outlook/Guidance","guidance",IF($F498="Transcript Q&amp;A","qanda",IF($F498="","unrecorded",IF($E498="All","full",IF($E498="","unrecorded",LOWER($E498)&amp;" only")))))))</f>
        <v/>
      </c>
      <c r="AT498">
        <f>IF(AND(OR($J498="BUY",$J498="SELL"),ISNUMBER($U498)),$U498,"")</f>
        <v/>
      </c>
      <c r="AU498">
        <f>IF(AND(OR($J498="BUY",$J498="SELL"),ISNUMBER($AK498)),$AK498,"")</f>
        <v/>
      </c>
      <c r="AV498">
        <f>IF(ISNUMBER($AT498),ABS(IF(ISNUMBER($I498),$I498,0)-Settings!$B$24),"")</f>
        <v/>
      </c>
      <c r="AW498">
        <f>IF(ISNUMBER($AV498),$AV498*$AT498,"")</f>
        <v/>
      </c>
      <c r="AX498">
        <f>IF(ISNUMBER($AU498),ABS(IF(ISNUMBER($I498),$I498,0)-Settings!$B$24),"")</f>
        <v/>
      </c>
      <c r="AZ498">
        <f>IF($A498="","",IFERROR(INDEX(Company_List!$H$3:$H$207,MATCH($A498,Company_List!$A$3:$A$207,0)),"unassigned"))</f>
        <v/>
      </c>
      <c r="BC498">
        <f>IF($A498="","",IF(COUNTIFS($A$3:$A498,$A498,$C$3:$C498,$C498,$D$3:$D498,$D498,$G$3:$G498,$G498)=1,1,0))</f>
        <v/>
      </c>
      <c r="BK498">
        <f>IF(OR($H498&lt;&gt;"Human",$S498="",$J498="",$Y498="",$Z498=""),"",IF(EXACT(UPPER($J498),UPPER($Y498)),1,0))</f>
        <v/>
      </c>
    </row>
    <row r="499">
      <c r="B499" s="89">
        <f>IF(A499="","",_xlfn.XLOOKUP(A499, Company_List!$A:$A, Company_List!$B:$B, ""))</f>
        <v/>
      </c>
      <c r="J499" s="92">
        <f>IF(OR(I499="",Settings!$B$6=""),"",IF(I499&gt;Settings!$B$6,"BUY",IF(I499&lt;-Settings!$B$6,"SELL","HOLD")))</f>
        <v/>
      </c>
      <c r="Q499" s="95">
        <f>IF(OR(N499="",P499=""),"",ROUND((P499-N499)/N499,4))</f>
        <v/>
      </c>
      <c r="R499" s="84">
        <f>IF(OR(N499="",P499=""),"",IF(Q499&gt;Settings!$B$3/100,"UP",IF(Q499&lt;-Settings!$B$3/100,"DOWN","FLAT")))</f>
        <v/>
      </c>
      <c r="S499" s="84">
        <f>IF(OR(N499="",P499="",J499=""),"",IF(OR(AND(J499="BUY",R499="UP"),AND(J499="SELL",R499="DOWN"),AND(J499="HOLD",R499="FLAT")),"YES","NO"))</f>
        <v/>
      </c>
      <c r="T499" s="85">
        <f>IF(J499="","",IF(J499="BUY",1,IF(J499="SELL",-1,0)))</f>
        <v/>
      </c>
      <c r="U499" s="94">
        <f>IFERROR(IF(OR(J499="",N499="",P499=""),"",IF(T499=0,0,T499*Q499-Settings!$B$4/10000-IF(T499&lt;0,Settings!$B$5/10000,0))),"")</f>
        <v/>
      </c>
      <c r="W499" s="18">
        <f>IF($K499="","",$K499*60)</f>
        <v/>
      </c>
      <c r="X499" s="73">
        <f>IF($A499="","",$A499&amp;"|"&amp;$C499&amp;"|"&amp;$D499)</f>
        <v/>
      </c>
      <c r="Y499" s="73">
        <f>IFERROR(IF($X499="","",INDEX(LLM_Data_Entry!$H$3:$H$548,MATCH($X499,INDEX(LLM_Data_Entry!$A$3:$A$548&amp;"|"&amp;LLM_Data_Entry!$C$3:$C$548&amp;"|"&amp;LLM_Data_Entry!$D$3:$D$548,0),0))),"")</f>
        <v/>
      </c>
      <c r="Z499" s="73">
        <f>IFERROR(IF($X499="","",INDEX(LLM_Data_Entry!$R$3:$R$548,MATCH($X499,INDEX(LLM_Data_Entry!$A$3:$A$548&amp;"|"&amp;LLM_Data_Entry!$C$3:$C$548&amp;"|"&amp;LLM_Data_Entry!$D$3:$D$548,0),0))),"")</f>
        <v/>
      </c>
      <c r="AL499">
        <f>IF($A499="","",IFERROR(INDEX(Company_List!$G$3:$G$207,MATCH($A499,Company_List!$A$3:$A$207,0)),"unassigned"))</f>
        <v/>
      </c>
      <c r="AP499">
        <f>IF($A499="","",IF(COUNTIFS(LLM_Data_Entry!$A$3:$A$548,$A499)&gt;0,"YES","NO"))</f>
        <v/>
      </c>
      <c r="AQ499">
        <f>IF($A499="","",IF(COUNTIFS($A$3:$A499,$A499,$C$3:$C499,$C499,$D$3:$D499,$D499)=1,"YES","NO"))</f>
        <v/>
      </c>
      <c r="AR499">
        <f>IF($A499="","",IF(AND($C499&amp;"-"&amp;$D499&gt;=Settings!$B$19,$C499&amp;"-"&amp;$D499&lt;=Settings!$B$20),"IN","OUT"))</f>
        <v/>
      </c>
      <c r="AS499">
        <f>IF($A499="","",IF($F499="Financial Results","financials",IF($F499="Outlook/Guidance","guidance",IF($F499="Transcript Q&amp;A","qanda",IF($F499="","unrecorded",IF($E499="All","full",IF($E499="","unrecorded",LOWER($E499)&amp;" only")))))))</f>
        <v/>
      </c>
      <c r="AT499">
        <f>IF(AND(OR($J499="BUY",$J499="SELL"),ISNUMBER($U499)),$U499,"")</f>
        <v/>
      </c>
      <c r="AU499">
        <f>IF(AND(OR($J499="BUY",$J499="SELL"),ISNUMBER($AK499)),$AK499,"")</f>
        <v/>
      </c>
      <c r="AV499">
        <f>IF(ISNUMBER($AT499),ABS(IF(ISNUMBER($I499),$I499,0)-Settings!$B$24),"")</f>
        <v/>
      </c>
      <c r="AW499">
        <f>IF(ISNUMBER($AV499),$AV499*$AT499,"")</f>
        <v/>
      </c>
      <c r="AX499">
        <f>IF(ISNUMBER($AU499),ABS(IF(ISNUMBER($I499),$I499,0)-Settings!$B$24),"")</f>
        <v/>
      </c>
      <c r="AZ499">
        <f>IF($A499="","",IFERROR(INDEX(Company_List!$H$3:$H$207,MATCH($A499,Company_List!$A$3:$A$207,0)),"unassigned"))</f>
        <v/>
      </c>
      <c r="BC499">
        <f>IF($A499="","",IF(COUNTIFS($A$3:$A499,$A499,$C$3:$C499,$C499,$D$3:$D499,$D499,$G$3:$G499,$G499)=1,1,0))</f>
        <v/>
      </c>
      <c r="BK499">
        <f>IF(OR($H499&lt;&gt;"Human",$S499="",$J499="",$Y499="",$Z499=""),"",IF(EXACT(UPPER($J499),UPPER($Y499)),1,0))</f>
        <v/>
      </c>
    </row>
    <row r="500">
      <c r="B500" s="89">
        <f>IF(A500="","",_xlfn.XLOOKUP(A500, Company_List!$A:$A, Company_List!$B:$B, ""))</f>
        <v/>
      </c>
      <c r="J500" s="92">
        <f>IF(OR(I500="",Settings!$B$6=""),"",IF(I500&gt;Settings!$B$6,"BUY",IF(I500&lt;-Settings!$B$6,"SELL","HOLD")))</f>
        <v/>
      </c>
      <c r="Q500" s="95">
        <f>IF(OR(N500="",P500=""),"",ROUND((P500-N500)/N500,4))</f>
        <v/>
      </c>
      <c r="R500" s="84">
        <f>IF(OR(N500="",P500=""),"",IF(Q500&gt;Settings!$B$3/100,"UP",IF(Q500&lt;-Settings!$B$3/100,"DOWN","FLAT")))</f>
        <v/>
      </c>
      <c r="S500" s="84">
        <f>IF(OR(N500="",P500="",J500=""),"",IF(OR(AND(J500="BUY",R500="UP"),AND(J500="SELL",R500="DOWN"),AND(J500="HOLD",R500="FLAT")),"YES","NO"))</f>
        <v/>
      </c>
      <c r="T500" s="85">
        <f>IF(J500="","",IF(J500="BUY",1,IF(J500="SELL",-1,0)))</f>
        <v/>
      </c>
      <c r="U500" s="94">
        <f>IFERROR(IF(OR(J500="",N500="",P500=""),"",IF(T500=0,0,T500*Q500-Settings!$B$4/10000-IF(T500&lt;0,Settings!$B$5/10000,0))),"")</f>
        <v/>
      </c>
      <c r="W500" s="18">
        <f>IF($K500="","",$K500*60)</f>
        <v/>
      </c>
      <c r="X500" s="73">
        <f>IF($A500="","",$A500&amp;"|"&amp;$C500&amp;"|"&amp;$D500)</f>
        <v/>
      </c>
      <c r="Y500" s="73">
        <f>IFERROR(IF($X500="","",INDEX(LLM_Data_Entry!$H$3:$H$548,MATCH($X500,INDEX(LLM_Data_Entry!$A$3:$A$548&amp;"|"&amp;LLM_Data_Entry!$C$3:$C$548&amp;"|"&amp;LLM_Data_Entry!$D$3:$D$548,0),0))),"")</f>
        <v/>
      </c>
      <c r="Z500" s="73">
        <f>IFERROR(IF($X500="","",INDEX(LLM_Data_Entry!$R$3:$R$548,MATCH($X500,INDEX(LLM_Data_Entry!$A$3:$A$548&amp;"|"&amp;LLM_Data_Entry!$C$3:$C$548&amp;"|"&amp;LLM_Data_Entry!$D$3:$D$548,0),0))),"")</f>
        <v/>
      </c>
      <c r="AL500">
        <f>IF($A500="","",IFERROR(INDEX(Company_List!$G$3:$G$207,MATCH($A500,Company_List!$A$3:$A$207,0)),"unassigned"))</f>
        <v/>
      </c>
      <c r="AP500">
        <f>IF($A500="","",IF(COUNTIFS(LLM_Data_Entry!$A$3:$A$548,$A500)&gt;0,"YES","NO"))</f>
        <v/>
      </c>
      <c r="AQ500">
        <f>IF($A500="","",IF(COUNTIFS($A$3:$A500,$A500,$C$3:$C500,$C500,$D$3:$D500,$D500)=1,"YES","NO"))</f>
        <v/>
      </c>
      <c r="AR500">
        <f>IF($A500="","",IF(AND($C500&amp;"-"&amp;$D500&gt;=Settings!$B$19,$C500&amp;"-"&amp;$D500&lt;=Settings!$B$20),"IN","OUT"))</f>
        <v/>
      </c>
      <c r="AS500">
        <f>IF($A500="","",IF($F500="Financial Results","financials",IF($F500="Outlook/Guidance","guidance",IF($F500="Transcript Q&amp;A","qanda",IF($F500="","unrecorded",IF($E500="All","full",IF($E500="","unrecorded",LOWER($E500)&amp;" only")))))))</f>
        <v/>
      </c>
      <c r="AT500">
        <f>IF(AND(OR($J500="BUY",$J500="SELL"),ISNUMBER($U500)),$U500,"")</f>
        <v/>
      </c>
      <c r="AU500">
        <f>IF(AND(OR($J500="BUY",$J500="SELL"),ISNUMBER($AK500)),$AK500,"")</f>
        <v/>
      </c>
      <c r="AV500">
        <f>IF(ISNUMBER($AT500),ABS(IF(ISNUMBER($I500),$I500,0)-Settings!$B$24),"")</f>
        <v/>
      </c>
      <c r="AW500">
        <f>IF(ISNUMBER($AV500),$AV500*$AT500,"")</f>
        <v/>
      </c>
      <c r="AX500">
        <f>IF(ISNUMBER($AU500),ABS(IF(ISNUMBER($I500),$I500,0)-Settings!$B$24),"")</f>
        <v/>
      </c>
      <c r="AZ500">
        <f>IF($A500="","",IFERROR(INDEX(Company_List!$H$3:$H$207,MATCH($A500,Company_List!$A$3:$A$207,0)),"unassigned"))</f>
        <v/>
      </c>
      <c r="BC500">
        <f>IF($A500="","",IF(COUNTIFS($A$3:$A500,$A500,$C$3:$C500,$C500,$D$3:$D500,$D500,$G$3:$G500,$G500)=1,1,0))</f>
        <v/>
      </c>
      <c r="BK500">
        <f>IF(OR($H500&lt;&gt;"Human",$S500="",$J500="",$Y500="",$Z500=""),"",IF(EXACT(UPPER($J500),UPPER($Y500)),1,0))</f>
        <v/>
      </c>
    </row>
    <row r="501">
      <c r="B501" s="89">
        <f>IF(A501="","",_xlfn.XLOOKUP(A501, Company_List!$A:$A, Company_List!$B:$B, ""))</f>
        <v/>
      </c>
      <c r="J501" s="92">
        <f>IF(OR(I501="",Settings!$B$6=""),"",IF(I501&gt;Settings!$B$6,"BUY",IF(I501&lt;-Settings!$B$6,"SELL","HOLD")))</f>
        <v/>
      </c>
      <c r="Q501" s="95">
        <f>IF(OR(N501="",P501=""),"",ROUND((P501-N501)/N501,4))</f>
        <v/>
      </c>
      <c r="R501" s="84">
        <f>IF(OR(N501="",P501=""),"",IF(Q501&gt;Settings!$B$3/100,"UP",IF(Q501&lt;-Settings!$B$3/100,"DOWN","FLAT")))</f>
        <v/>
      </c>
      <c r="S501" s="84">
        <f>IF(OR(N501="",P501="",J501=""),"",IF(OR(AND(J501="BUY",R501="UP"),AND(J501="SELL",R501="DOWN"),AND(J501="HOLD",R501="FLAT")),"YES","NO"))</f>
        <v/>
      </c>
      <c r="T501" s="85">
        <f>IF(J501="","",IF(J501="BUY",1,IF(J501="SELL",-1,0)))</f>
        <v/>
      </c>
      <c r="U501" s="94">
        <f>IFERROR(IF(OR(J501="",N501="",P501=""),"",IF(T501=0,0,T501*Q501-Settings!$B$4/10000-IF(T501&lt;0,Settings!$B$5/10000,0))),"")</f>
        <v/>
      </c>
      <c r="W501" s="18">
        <f>IF($K501="","",$K501*60)</f>
        <v/>
      </c>
      <c r="X501" s="73">
        <f>IF($A501="","",$A501&amp;"|"&amp;$C501&amp;"|"&amp;$D501)</f>
        <v/>
      </c>
      <c r="Y501" s="73">
        <f>IFERROR(IF($X501="","",INDEX(LLM_Data_Entry!$H$3:$H$548,MATCH($X501,INDEX(LLM_Data_Entry!$A$3:$A$548&amp;"|"&amp;LLM_Data_Entry!$C$3:$C$548&amp;"|"&amp;LLM_Data_Entry!$D$3:$D$548,0),0))),"")</f>
        <v/>
      </c>
      <c r="Z501" s="73">
        <f>IFERROR(IF($X501="","",INDEX(LLM_Data_Entry!$R$3:$R$548,MATCH($X501,INDEX(LLM_Data_Entry!$A$3:$A$548&amp;"|"&amp;LLM_Data_Entry!$C$3:$C$548&amp;"|"&amp;LLM_Data_Entry!$D$3:$D$548,0),0))),"")</f>
        <v/>
      </c>
      <c r="AL501">
        <f>IF($A501="","",IFERROR(INDEX(Company_List!$G$3:$G$207,MATCH($A501,Company_List!$A$3:$A$207,0)),"unassigned"))</f>
        <v/>
      </c>
      <c r="AP501">
        <f>IF($A501="","",IF(COUNTIFS(LLM_Data_Entry!$A$3:$A$548,$A501)&gt;0,"YES","NO"))</f>
        <v/>
      </c>
      <c r="AQ501">
        <f>IF($A501="","",IF(COUNTIFS($A$3:$A501,$A501,$C$3:$C501,$C501,$D$3:$D501,$D501)=1,"YES","NO"))</f>
        <v/>
      </c>
      <c r="AR501">
        <f>IF($A501="","",IF(AND($C501&amp;"-"&amp;$D501&gt;=Settings!$B$19,$C501&amp;"-"&amp;$D501&lt;=Settings!$B$20),"IN","OUT"))</f>
        <v/>
      </c>
      <c r="AS501">
        <f>IF($A501="","",IF($F501="Financial Results","financials",IF($F501="Outlook/Guidance","guidance",IF($F501="Transcript Q&amp;A","qanda",IF($F501="","unrecorded",IF($E501="All","full",IF($E501="","unrecorded",LOWER($E501)&amp;" only")))))))</f>
        <v/>
      </c>
      <c r="AT501">
        <f>IF(AND(OR($J501="BUY",$J501="SELL"),ISNUMBER($U501)),$U501,"")</f>
        <v/>
      </c>
      <c r="AU501">
        <f>IF(AND(OR($J501="BUY",$J501="SELL"),ISNUMBER($AK501)),$AK501,"")</f>
        <v/>
      </c>
      <c r="AV501">
        <f>IF(ISNUMBER($AT501),ABS(IF(ISNUMBER($I501),$I501,0)-Settings!$B$24),"")</f>
        <v/>
      </c>
      <c r="AW501">
        <f>IF(ISNUMBER($AV501),$AV501*$AT501,"")</f>
        <v/>
      </c>
      <c r="AX501">
        <f>IF(ISNUMBER($AU501),ABS(IF(ISNUMBER($I501),$I501,0)-Settings!$B$24),"")</f>
        <v/>
      </c>
      <c r="AZ501">
        <f>IF($A501="","",IFERROR(INDEX(Company_List!$H$3:$H$207,MATCH($A501,Company_List!$A$3:$A$207,0)),"unassigned"))</f>
        <v/>
      </c>
      <c r="BC501">
        <f>IF($A501="","",IF(COUNTIFS($A$3:$A501,$A501,$C$3:$C501,$C501,$D$3:$D501,$D501,$G$3:$G501,$G501)=1,1,0))</f>
        <v/>
      </c>
      <c r="BK501">
        <f>IF(OR($H501&lt;&gt;"Human",$S501="",$J501="",$Y501="",$Z501=""),"",IF(EXACT(UPPER($J501),UPPER($Y501)),1,0))</f>
        <v/>
      </c>
    </row>
    <row r="502">
      <c r="B502" s="89">
        <f>IF(A502="","",_xlfn.XLOOKUP(A502, Company_List!$A:$A, Company_List!$B:$B, ""))</f>
        <v/>
      </c>
      <c r="J502" s="92">
        <f>IF(OR(I502="",Settings!$B$6=""),"",IF(I502&gt;Settings!$B$6,"BUY",IF(I502&lt;-Settings!$B$6,"SELL","HOLD")))</f>
        <v/>
      </c>
      <c r="Q502" s="95">
        <f>IF(OR(N502="",P502=""),"",ROUND((P502-N502)/N502,4))</f>
        <v/>
      </c>
      <c r="R502" s="84">
        <f>IF(OR(N502="",P502=""),"",IF(Q502&gt;Settings!$B$3/100,"UP",IF(Q502&lt;-Settings!$B$3/100,"DOWN","FLAT")))</f>
        <v/>
      </c>
      <c r="S502" s="84">
        <f>IF(OR(N502="",P502="",J502=""),"",IF(OR(AND(J502="BUY",R502="UP"),AND(J502="SELL",R502="DOWN"),AND(J502="HOLD",R502="FLAT")),"YES","NO"))</f>
        <v/>
      </c>
      <c r="T502" s="85">
        <f>IF(J502="","",IF(J502="BUY",1,IF(J502="SELL",-1,0)))</f>
        <v/>
      </c>
      <c r="U502" s="94">
        <f>IFERROR(IF(OR(J502="",N502="",P502=""),"",IF(T502=0,0,T502*Q502-Settings!$B$4/10000-IF(T502&lt;0,Settings!$B$5/10000,0))),"")</f>
        <v/>
      </c>
      <c r="W502" s="18">
        <f>IF($K502="","",$K502*60)</f>
        <v/>
      </c>
      <c r="X502" s="73">
        <f>IF($A502="","",$A502&amp;"|"&amp;$C502&amp;"|"&amp;$D502)</f>
        <v/>
      </c>
      <c r="Y502" s="73">
        <f>IFERROR(IF($X502="","",INDEX(LLM_Data_Entry!$H$3:$H$548,MATCH($X502,INDEX(LLM_Data_Entry!$A$3:$A$548&amp;"|"&amp;LLM_Data_Entry!$C$3:$C$548&amp;"|"&amp;LLM_Data_Entry!$D$3:$D$548,0),0))),"")</f>
        <v/>
      </c>
      <c r="Z502" s="73">
        <f>IFERROR(IF($X502="","",INDEX(LLM_Data_Entry!$R$3:$R$548,MATCH($X502,INDEX(LLM_Data_Entry!$A$3:$A$548&amp;"|"&amp;LLM_Data_Entry!$C$3:$C$548&amp;"|"&amp;LLM_Data_Entry!$D$3:$D$548,0),0))),"")</f>
        <v/>
      </c>
      <c r="AL502">
        <f>IF($A502="","",IFERROR(INDEX(Company_List!$G$3:$G$207,MATCH($A502,Company_List!$A$3:$A$207,0)),"unassigned"))</f>
        <v/>
      </c>
      <c r="AP502">
        <f>IF($A502="","",IF(COUNTIFS(LLM_Data_Entry!$A$3:$A$548,$A502)&gt;0,"YES","NO"))</f>
        <v/>
      </c>
      <c r="AQ502">
        <f>IF($A502="","",IF(COUNTIFS($A$3:$A502,$A502,$C$3:$C502,$C502,$D$3:$D502,$D502)=1,"YES","NO"))</f>
        <v/>
      </c>
      <c r="AR502">
        <f>IF($A502="","",IF(AND($C502&amp;"-"&amp;$D502&gt;=Settings!$B$19,$C502&amp;"-"&amp;$D502&lt;=Settings!$B$20),"IN","OUT"))</f>
        <v/>
      </c>
      <c r="AS502">
        <f>IF($A502="","",IF($F502="Financial Results","financials",IF($F502="Outlook/Guidance","guidance",IF($F502="Transcript Q&amp;A","qanda",IF($F502="","unrecorded",IF($E502="All","full",IF($E502="","unrecorded",LOWER($E502)&amp;" only")))))))</f>
        <v/>
      </c>
      <c r="AT502">
        <f>IF(AND(OR($J502="BUY",$J502="SELL"),ISNUMBER($U502)),$U502,"")</f>
        <v/>
      </c>
      <c r="AU502">
        <f>IF(AND(OR($J502="BUY",$J502="SELL"),ISNUMBER($AK502)),$AK502,"")</f>
        <v/>
      </c>
      <c r="AV502">
        <f>IF(ISNUMBER($AT502),ABS(IF(ISNUMBER($I502),$I502,0)-Settings!$B$24),"")</f>
        <v/>
      </c>
      <c r="AW502">
        <f>IF(ISNUMBER($AV502),$AV502*$AT502,"")</f>
        <v/>
      </c>
      <c r="AX502">
        <f>IF(ISNUMBER($AU502),ABS(IF(ISNUMBER($I502),$I502,0)-Settings!$B$24),"")</f>
        <v/>
      </c>
      <c r="AZ502">
        <f>IF($A502="","",IFERROR(INDEX(Company_List!$H$3:$H$207,MATCH($A502,Company_List!$A$3:$A$207,0)),"unassigned"))</f>
        <v/>
      </c>
      <c r="BC502">
        <f>IF($A502="","",IF(COUNTIFS($A$3:$A502,$A502,$C$3:$C502,$C502,$D$3:$D502,$D502,$G$3:$G502,$G502)=1,1,0))</f>
        <v/>
      </c>
      <c r="BK502">
        <f>IF(OR($H502&lt;&gt;"Human",$S502="",$J502="",$Y502="",$Z502=""),"",IF(EXACT(UPPER($J502),UPPER($Y502)),1,0))</f>
        <v/>
      </c>
    </row>
    <row r="503">
      <c r="B503" s="89">
        <f>IF(A503="","",_xlfn.XLOOKUP(A503, Company_List!$A:$A, Company_List!$B:$B, ""))</f>
        <v/>
      </c>
      <c r="J503" s="92">
        <f>IF(OR(I503="",Settings!$B$6=""),"",IF(I503&gt;Settings!$B$6,"BUY",IF(I503&lt;-Settings!$B$6,"SELL","HOLD")))</f>
        <v/>
      </c>
      <c r="Q503" s="95">
        <f>IF(OR(N503="",P503=""),"",ROUND((P503-N503)/N503,4))</f>
        <v/>
      </c>
      <c r="R503" s="84">
        <f>IF(OR(N503="",P503=""),"",IF(Q503&gt;Settings!$B$3/100,"UP",IF(Q503&lt;-Settings!$B$3/100,"DOWN","FLAT")))</f>
        <v/>
      </c>
      <c r="S503" s="84">
        <f>IF(OR(N503="",P503="",J503=""),"",IF(OR(AND(J503="BUY",R503="UP"),AND(J503="SELL",R503="DOWN"),AND(J503="HOLD",R503="FLAT")),"YES","NO"))</f>
        <v/>
      </c>
      <c r="T503" s="85">
        <f>IF(J503="","",IF(J503="BUY",1,IF(J503="SELL",-1,0)))</f>
        <v/>
      </c>
      <c r="U503" s="94">
        <f>IFERROR(IF(OR(J503="",N503="",P503=""),"",IF(T503=0,0,T503*Q503-Settings!$B$4/10000-IF(T503&lt;0,Settings!$B$5/10000,0))),"")</f>
        <v/>
      </c>
      <c r="W503" s="18">
        <f>IF($K503="","",$K503*60)</f>
        <v/>
      </c>
      <c r="X503" s="73">
        <f>IF($A503="","",$A503&amp;"|"&amp;$C503&amp;"|"&amp;$D503)</f>
        <v/>
      </c>
      <c r="Y503" s="73">
        <f>IFERROR(IF($X503="","",INDEX(LLM_Data_Entry!$H$3:$H$548,MATCH($X503,INDEX(LLM_Data_Entry!$A$3:$A$548&amp;"|"&amp;LLM_Data_Entry!$C$3:$C$548&amp;"|"&amp;LLM_Data_Entry!$D$3:$D$548,0),0))),"")</f>
        <v/>
      </c>
      <c r="Z503" s="73">
        <f>IFERROR(IF($X503="","",INDEX(LLM_Data_Entry!$R$3:$R$548,MATCH($X503,INDEX(LLM_Data_Entry!$A$3:$A$548&amp;"|"&amp;LLM_Data_Entry!$C$3:$C$548&amp;"|"&amp;LLM_Data_Entry!$D$3:$D$548,0),0))),"")</f>
        <v/>
      </c>
      <c r="AL503">
        <f>IF($A503="","",IFERROR(INDEX(Company_List!$G$3:$G$207,MATCH($A503,Company_List!$A$3:$A$207,0)),"unassigned"))</f>
        <v/>
      </c>
      <c r="AP503">
        <f>IF($A503="","",IF(COUNTIFS(LLM_Data_Entry!$A$3:$A$548,$A503)&gt;0,"YES","NO"))</f>
        <v/>
      </c>
      <c r="AQ503">
        <f>IF($A503="","",IF(COUNTIFS($A$3:$A503,$A503,$C$3:$C503,$C503,$D$3:$D503,$D503)=1,"YES","NO"))</f>
        <v/>
      </c>
      <c r="AR503">
        <f>IF($A503="","",IF(AND($C503&amp;"-"&amp;$D503&gt;=Settings!$B$19,$C503&amp;"-"&amp;$D503&lt;=Settings!$B$20),"IN","OUT"))</f>
        <v/>
      </c>
      <c r="AS503">
        <f>IF($A503="","",IF($F503="Financial Results","financials",IF($F503="Outlook/Guidance","guidance",IF($F503="Transcript Q&amp;A","qanda",IF($F503="","unrecorded",IF($E503="All","full",IF($E503="","unrecorded",LOWER($E503)&amp;" only")))))))</f>
        <v/>
      </c>
      <c r="AT503">
        <f>IF(AND(OR($J503="BUY",$J503="SELL"),ISNUMBER($U503)),$U503,"")</f>
        <v/>
      </c>
      <c r="AU503">
        <f>IF(AND(OR($J503="BUY",$J503="SELL"),ISNUMBER($AK503)),$AK503,"")</f>
        <v/>
      </c>
      <c r="AV503">
        <f>IF(ISNUMBER($AT503),ABS(IF(ISNUMBER($I503),$I503,0)-Settings!$B$24),"")</f>
        <v/>
      </c>
      <c r="AW503">
        <f>IF(ISNUMBER($AV503),$AV503*$AT503,"")</f>
        <v/>
      </c>
      <c r="AX503">
        <f>IF(ISNUMBER($AU503),ABS(IF(ISNUMBER($I503),$I503,0)-Settings!$B$24),"")</f>
        <v/>
      </c>
      <c r="AZ503">
        <f>IF($A503="","",IFERROR(INDEX(Company_List!$H$3:$H$207,MATCH($A503,Company_List!$A$3:$A$207,0)),"unassigned"))</f>
        <v/>
      </c>
      <c r="BC503">
        <f>IF($A503="","",IF(COUNTIFS($A$3:$A503,$A503,$C$3:$C503,$C503,$D$3:$D503,$D503,$G$3:$G503,$G503)=1,1,0))</f>
        <v/>
      </c>
      <c r="BK503">
        <f>IF(OR($H503&lt;&gt;"Human",$S503="",$J503="",$Y503="",$Z503=""),"",IF(EXACT(UPPER($J503),UPPER($Y503)),1,0))</f>
        <v/>
      </c>
    </row>
    <row r="504">
      <c r="B504" s="89">
        <f>IF(A504="","",_xlfn.XLOOKUP(A504, Company_List!$A:$A, Company_List!$B:$B, ""))</f>
        <v/>
      </c>
      <c r="J504" s="92">
        <f>IF(OR(I504="",Settings!$B$6=""),"",IF(I504&gt;Settings!$B$6,"BUY",IF(I504&lt;-Settings!$B$6,"SELL","HOLD")))</f>
        <v/>
      </c>
      <c r="Q504" s="95">
        <f>IF(OR(N504="",P504=""),"",ROUND((P504-N504)/N504,4))</f>
        <v/>
      </c>
      <c r="R504" s="84">
        <f>IF(OR(N504="",P504=""),"",IF(Q504&gt;Settings!$B$3/100,"UP",IF(Q504&lt;-Settings!$B$3/100,"DOWN","FLAT")))</f>
        <v/>
      </c>
      <c r="S504" s="84">
        <f>IF(OR(N504="",P504="",J504=""),"",IF(OR(AND(J504="BUY",R504="UP"),AND(J504="SELL",R504="DOWN"),AND(J504="HOLD",R504="FLAT")),"YES","NO"))</f>
        <v/>
      </c>
      <c r="T504" s="85">
        <f>IF(J504="","",IF(J504="BUY",1,IF(J504="SELL",-1,0)))</f>
        <v/>
      </c>
      <c r="U504" s="94">
        <f>IFERROR(IF(OR(J504="",N504="",P504=""),"",IF(T504=0,0,T504*Q504-Settings!$B$4/10000-IF(T504&lt;0,Settings!$B$5/10000,0))),"")</f>
        <v/>
      </c>
      <c r="W504" s="18">
        <f>IF($K504="","",$K504*60)</f>
        <v/>
      </c>
      <c r="X504" s="73">
        <f>IF($A504="","",$A504&amp;"|"&amp;$C504&amp;"|"&amp;$D504)</f>
        <v/>
      </c>
      <c r="Y504" s="73">
        <f>IFERROR(IF($X504="","",INDEX(LLM_Data_Entry!$H$3:$H$548,MATCH($X504,INDEX(LLM_Data_Entry!$A$3:$A$548&amp;"|"&amp;LLM_Data_Entry!$C$3:$C$548&amp;"|"&amp;LLM_Data_Entry!$D$3:$D$548,0),0))),"")</f>
        <v/>
      </c>
      <c r="Z504" s="73">
        <f>IFERROR(IF($X504="","",INDEX(LLM_Data_Entry!$R$3:$R$548,MATCH($X504,INDEX(LLM_Data_Entry!$A$3:$A$548&amp;"|"&amp;LLM_Data_Entry!$C$3:$C$548&amp;"|"&amp;LLM_Data_Entry!$D$3:$D$548,0),0))),"")</f>
        <v/>
      </c>
      <c r="AL504">
        <f>IF($A504="","",IFERROR(INDEX(Company_List!$G$3:$G$207,MATCH($A504,Company_List!$A$3:$A$207,0)),"unassigned"))</f>
        <v/>
      </c>
      <c r="AP504">
        <f>IF($A504="","",IF(COUNTIFS(LLM_Data_Entry!$A$3:$A$548,$A504)&gt;0,"YES","NO"))</f>
        <v/>
      </c>
      <c r="AQ504">
        <f>IF($A504="","",IF(COUNTIFS($A$3:$A504,$A504,$C$3:$C504,$C504,$D$3:$D504,$D504)=1,"YES","NO"))</f>
        <v/>
      </c>
      <c r="AR504">
        <f>IF($A504="","",IF(AND($C504&amp;"-"&amp;$D504&gt;=Settings!$B$19,$C504&amp;"-"&amp;$D504&lt;=Settings!$B$20),"IN","OUT"))</f>
        <v/>
      </c>
      <c r="AS504">
        <f>IF($A504="","",IF($F504="Financial Results","financials",IF($F504="Outlook/Guidance","guidance",IF($F504="Transcript Q&amp;A","qanda",IF($F504="","unrecorded",IF($E504="All","full",IF($E504="","unrecorded",LOWER($E504)&amp;" only")))))))</f>
        <v/>
      </c>
      <c r="AT504">
        <f>IF(AND(OR($J504="BUY",$J504="SELL"),ISNUMBER($U504)),$U504,"")</f>
        <v/>
      </c>
      <c r="AU504">
        <f>IF(AND(OR($J504="BUY",$J504="SELL"),ISNUMBER($AK504)),$AK504,"")</f>
        <v/>
      </c>
      <c r="AV504">
        <f>IF(ISNUMBER($AT504),ABS(IF(ISNUMBER($I504),$I504,0)-Settings!$B$24),"")</f>
        <v/>
      </c>
      <c r="AW504">
        <f>IF(ISNUMBER($AV504),$AV504*$AT504,"")</f>
        <v/>
      </c>
      <c r="AX504">
        <f>IF(ISNUMBER($AU504),ABS(IF(ISNUMBER($I504),$I504,0)-Settings!$B$24),"")</f>
        <v/>
      </c>
      <c r="AZ504">
        <f>IF($A504="","",IFERROR(INDEX(Company_List!$H$3:$H$207,MATCH($A504,Company_List!$A$3:$A$207,0)),"unassigned"))</f>
        <v/>
      </c>
      <c r="BC504">
        <f>IF($A504="","",IF(COUNTIFS($A$3:$A504,$A504,$C$3:$C504,$C504,$D$3:$D504,$D504,$G$3:$G504,$G504)=1,1,0))</f>
        <v/>
      </c>
      <c r="BK504">
        <f>IF(OR($H504&lt;&gt;"Human",$S504="",$J504="",$Y504="",$Z504=""),"",IF(EXACT(UPPER($J504),UPPER($Y504)),1,0))</f>
        <v/>
      </c>
    </row>
    <row r="505">
      <c r="B505" s="89">
        <f>IF(A505="","",_xlfn.XLOOKUP(A505, Company_List!$A:$A, Company_List!$B:$B, ""))</f>
        <v/>
      </c>
      <c r="J505" s="92">
        <f>IF(OR(I505="",Settings!$B$6=""),"",IF(I505&gt;Settings!$B$6,"BUY",IF(I505&lt;-Settings!$B$6,"SELL","HOLD")))</f>
        <v/>
      </c>
      <c r="Q505" s="95">
        <f>IF(OR(N505="",P505=""),"",ROUND((P505-N505)/N505,4))</f>
        <v/>
      </c>
      <c r="R505" s="84">
        <f>IF(OR(N505="",P505=""),"",IF(Q505&gt;Settings!$B$3/100,"UP",IF(Q505&lt;-Settings!$B$3/100,"DOWN","FLAT")))</f>
        <v/>
      </c>
      <c r="S505" s="84">
        <f>IF(OR(N505="",P505="",J505=""),"",IF(OR(AND(J505="BUY",R505="UP"),AND(J505="SELL",R505="DOWN"),AND(J505="HOLD",R505="FLAT")),"YES","NO"))</f>
        <v/>
      </c>
      <c r="T505" s="85">
        <f>IF(J505="","",IF(J505="BUY",1,IF(J505="SELL",-1,0)))</f>
        <v/>
      </c>
      <c r="U505" s="94">
        <f>IFERROR(IF(OR(J505="",N505="",P505=""),"",IF(T505=0,0,T505*Q505-Settings!$B$4/10000-IF(T505&lt;0,Settings!$B$5/10000,0))),"")</f>
        <v/>
      </c>
      <c r="W505" s="18">
        <f>IF($K505="","",$K505*60)</f>
        <v/>
      </c>
      <c r="X505" s="73">
        <f>IF($A505="","",$A505&amp;"|"&amp;$C505&amp;"|"&amp;$D505)</f>
        <v/>
      </c>
      <c r="Y505" s="73">
        <f>IFERROR(IF($X505="","",INDEX(LLM_Data_Entry!$H$3:$H$548,MATCH($X505,INDEX(LLM_Data_Entry!$A$3:$A$548&amp;"|"&amp;LLM_Data_Entry!$C$3:$C$548&amp;"|"&amp;LLM_Data_Entry!$D$3:$D$548,0),0))),"")</f>
        <v/>
      </c>
      <c r="Z505" s="73">
        <f>IFERROR(IF($X505="","",INDEX(LLM_Data_Entry!$R$3:$R$548,MATCH($X505,INDEX(LLM_Data_Entry!$A$3:$A$548&amp;"|"&amp;LLM_Data_Entry!$C$3:$C$548&amp;"|"&amp;LLM_Data_Entry!$D$3:$D$548,0),0))),"")</f>
        <v/>
      </c>
      <c r="AL505">
        <f>IF($A505="","",IFERROR(INDEX(Company_List!$G$3:$G$207,MATCH($A505,Company_List!$A$3:$A$207,0)),"unassigned"))</f>
        <v/>
      </c>
      <c r="AP505">
        <f>IF($A505="","",IF(COUNTIFS(LLM_Data_Entry!$A$3:$A$548,$A505)&gt;0,"YES","NO"))</f>
        <v/>
      </c>
      <c r="AQ505">
        <f>IF($A505="","",IF(COUNTIFS($A$3:$A505,$A505,$C$3:$C505,$C505,$D$3:$D505,$D505)=1,"YES","NO"))</f>
        <v/>
      </c>
      <c r="AR505">
        <f>IF($A505="","",IF(AND($C505&amp;"-"&amp;$D505&gt;=Settings!$B$19,$C505&amp;"-"&amp;$D505&lt;=Settings!$B$20),"IN","OUT"))</f>
        <v/>
      </c>
      <c r="AS505">
        <f>IF($A505="","",IF($F505="Financial Results","financials",IF($F505="Outlook/Guidance","guidance",IF($F505="Transcript Q&amp;A","qanda",IF($F505="","unrecorded",IF($E505="All","full",IF($E505="","unrecorded",LOWER($E505)&amp;" only")))))))</f>
        <v/>
      </c>
      <c r="AT505">
        <f>IF(AND(OR($J505="BUY",$J505="SELL"),ISNUMBER($U505)),$U505,"")</f>
        <v/>
      </c>
      <c r="AU505">
        <f>IF(AND(OR($J505="BUY",$J505="SELL"),ISNUMBER($AK505)),$AK505,"")</f>
        <v/>
      </c>
      <c r="AV505">
        <f>IF(ISNUMBER($AT505),ABS(IF(ISNUMBER($I505),$I505,0)-Settings!$B$24),"")</f>
        <v/>
      </c>
      <c r="AW505">
        <f>IF(ISNUMBER($AV505),$AV505*$AT505,"")</f>
        <v/>
      </c>
      <c r="AX505">
        <f>IF(ISNUMBER($AU505),ABS(IF(ISNUMBER($I505),$I505,0)-Settings!$B$24),"")</f>
        <v/>
      </c>
      <c r="AZ505">
        <f>IF($A505="","",IFERROR(INDEX(Company_List!$H$3:$H$207,MATCH($A505,Company_List!$A$3:$A$207,0)),"unassigned"))</f>
        <v/>
      </c>
      <c r="BC505">
        <f>IF($A505="","",IF(COUNTIFS($A$3:$A505,$A505,$C$3:$C505,$C505,$D$3:$D505,$D505,$G$3:$G505,$G505)=1,1,0))</f>
        <v/>
      </c>
      <c r="BK505">
        <f>IF(OR($H505&lt;&gt;"Human",$S505="",$J505="",$Y505="",$Z505=""),"",IF(EXACT(UPPER($J505),UPPER($Y505)),1,0))</f>
        <v/>
      </c>
    </row>
    <row r="506">
      <c r="B506" s="89">
        <f>IF(A506="","",_xlfn.XLOOKUP(A506, Company_List!$A:$A, Company_List!$B:$B, ""))</f>
        <v/>
      </c>
      <c r="J506" s="92">
        <f>IF(OR(I506="",Settings!$B$6=""),"",IF(I506&gt;Settings!$B$6,"BUY",IF(I506&lt;-Settings!$B$6,"SELL","HOLD")))</f>
        <v/>
      </c>
      <c r="Q506" s="95">
        <f>IF(OR(N506="",P506=""),"",ROUND((P506-N506)/N506,4))</f>
        <v/>
      </c>
      <c r="R506" s="84">
        <f>IF(OR(N506="",P506=""),"",IF(Q506&gt;Settings!$B$3/100,"UP",IF(Q506&lt;-Settings!$B$3/100,"DOWN","FLAT")))</f>
        <v/>
      </c>
      <c r="S506" s="84">
        <f>IF(OR(N506="",P506="",J506=""),"",IF(OR(AND(J506="BUY",R506="UP"),AND(J506="SELL",R506="DOWN"),AND(J506="HOLD",R506="FLAT")),"YES","NO"))</f>
        <v/>
      </c>
      <c r="T506" s="85">
        <f>IF(J506="","",IF(J506="BUY",1,IF(J506="SELL",-1,0)))</f>
        <v/>
      </c>
      <c r="U506" s="94">
        <f>IFERROR(IF(OR(J506="",N506="",P506=""),"",IF(T506=0,0,T506*Q506-Settings!$B$4/10000-IF(T506&lt;0,Settings!$B$5/10000,0))),"")</f>
        <v/>
      </c>
      <c r="W506" s="18">
        <f>IF($K506="","",$K506*60)</f>
        <v/>
      </c>
      <c r="X506" s="73">
        <f>IF($A506="","",$A506&amp;"|"&amp;$C506&amp;"|"&amp;$D506)</f>
        <v/>
      </c>
      <c r="Y506" s="73">
        <f>IFERROR(IF($X506="","",INDEX(LLM_Data_Entry!$H$3:$H$548,MATCH($X506,INDEX(LLM_Data_Entry!$A$3:$A$548&amp;"|"&amp;LLM_Data_Entry!$C$3:$C$548&amp;"|"&amp;LLM_Data_Entry!$D$3:$D$548,0),0))),"")</f>
        <v/>
      </c>
      <c r="Z506" s="73">
        <f>IFERROR(IF($X506="","",INDEX(LLM_Data_Entry!$R$3:$R$548,MATCH($X506,INDEX(LLM_Data_Entry!$A$3:$A$548&amp;"|"&amp;LLM_Data_Entry!$C$3:$C$548&amp;"|"&amp;LLM_Data_Entry!$D$3:$D$548,0),0))),"")</f>
        <v/>
      </c>
      <c r="AL506">
        <f>IF($A506="","",IFERROR(INDEX(Company_List!$G$3:$G$207,MATCH($A506,Company_List!$A$3:$A$207,0)),"unassigned"))</f>
        <v/>
      </c>
      <c r="AP506">
        <f>IF($A506="","",IF(COUNTIFS(LLM_Data_Entry!$A$3:$A$548,$A506)&gt;0,"YES","NO"))</f>
        <v/>
      </c>
      <c r="AQ506">
        <f>IF($A506="","",IF(COUNTIFS($A$3:$A506,$A506,$C$3:$C506,$C506,$D$3:$D506,$D506)=1,"YES","NO"))</f>
        <v/>
      </c>
      <c r="AR506">
        <f>IF($A506="","",IF(AND($C506&amp;"-"&amp;$D506&gt;=Settings!$B$19,$C506&amp;"-"&amp;$D506&lt;=Settings!$B$20),"IN","OUT"))</f>
        <v/>
      </c>
      <c r="AS506">
        <f>IF($A506="","",IF($F506="Financial Results","financials",IF($F506="Outlook/Guidance","guidance",IF($F506="Transcript Q&amp;A","qanda",IF($F506="","unrecorded",IF($E506="All","full",IF($E506="","unrecorded",LOWER($E506)&amp;" only")))))))</f>
        <v/>
      </c>
      <c r="AT506">
        <f>IF(AND(OR($J506="BUY",$J506="SELL"),ISNUMBER($U506)),$U506,"")</f>
        <v/>
      </c>
      <c r="AU506">
        <f>IF(AND(OR($J506="BUY",$J506="SELL"),ISNUMBER($AK506)),$AK506,"")</f>
        <v/>
      </c>
      <c r="AV506">
        <f>IF(ISNUMBER($AT506),ABS(IF(ISNUMBER($I506),$I506,0)-Settings!$B$24),"")</f>
        <v/>
      </c>
      <c r="AW506">
        <f>IF(ISNUMBER($AV506),$AV506*$AT506,"")</f>
        <v/>
      </c>
      <c r="AX506">
        <f>IF(ISNUMBER($AU506),ABS(IF(ISNUMBER($I506),$I506,0)-Settings!$B$24),"")</f>
        <v/>
      </c>
      <c r="AZ506">
        <f>IF($A506="","",IFERROR(INDEX(Company_List!$H$3:$H$207,MATCH($A506,Company_List!$A$3:$A$207,0)),"unassigned"))</f>
        <v/>
      </c>
      <c r="BC506">
        <f>IF($A506="","",IF(COUNTIFS($A$3:$A506,$A506,$C$3:$C506,$C506,$D$3:$D506,$D506,$G$3:$G506,$G506)=1,1,0))</f>
        <v/>
      </c>
      <c r="BK506">
        <f>IF(OR($H506&lt;&gt;"Human",$S506="",$J506="",$Y506="",$Z506=""),"",IF(EXACT(UPPER($J506),UPPER($Y506)),1,0))</f>
        <v/>
      </c>
    </row>
    <row r="507">
      <c r="B507" s="89">
        <f>IF(A507="","",_xlfn.XLOOKUP(A507, Company_List!$A:$A, Company_List!$B:$B, ""))</f>
        <v/>
      </c>
      <c r="J507" s="92">
        <f>IF(OR(I507="",Settings!$B$6=""),"",IF(I507&gt;Settings!$B$6,"BUY",IF(I507&lt;-Settings!$B$6,"SELL","HOLD")))</f>
        <v/>
      </c>
      <c r="Q507" s="95">
        <f>IF(OR(N507="",P507=""),"",ROUND((P507-N507)/N507,4))</f>
        <v/>
      </c>
      <c r="R507" s="84">
        <f>IF(OR(N507="",P507=""),"",IF(Q507&gt;Settings!$B$3/100,"UP",IF(Q507&lt;-Settings!$B$3/100,"DOWN","FLAT")))</f>
        <v/>
      </c>
      <c r="S507" s="84">
        <f>IF(OR(N507="",P507="",J507=""),"",IF(OR(AND(J507="BUY",R507="UP"),AND(J507="SELL",R507="DOWN"),AND(J507="HOLD",R507="FLAT")),"YES","NO"))</f>
        <v/>
      </c>
      <c r="T507" s="85">
        <f>IF(J507="","",IF(J507="BUY",1,IF(J507="SELL",-1,0)))</f>
        <v/>
      </c>
      <c r="U507" s="94">
        <f>IFERROR(IF(OR(J507="",N507="",P507=""),"",IF(T507=0,0,T507*Q507-Settings!$B$4/10000-IF(T507&lt;0,Settings!$B$5/10000,0))),"")</f>
        <v/>
      </c>
      <c r="W507" s="18">
        <f>IF($K507="","",$K507*60)</f>
        <v/>
      </c>
      <c r="X507" s="73">
        <f>IF($A507="","",$A507&amp;"|"&amp;$C507&amp;"|"&amp;$D507)</f>
        <v/>
      </c>
      <c r="Y507" s="73">
        <f>IFERROR(IF($X507="","",INDEX(LLM_Data_Entry!$H$3:$H$548,MATCH($X507,INDEX(LLM_Data_Entry!$A$3:$A$548&amp;"|"&amp;LLM_Data_Entry!$C$3:$C$548&amp;"|"&amp;LLM_Data_Entry!$D$3:$D$548,0),0))),"")</f>
        <v/>
      </c>
      <c r="Z507" s="73">
        <f>IFERROR(IF($X507="","",INDEX(LLM_Data_Entry!$R$3:$R$548,MATCH($X507,INDEX(LLM_Data_Entry!$A$3:$A$548&amp;"|"&amp;LLM_Data_Entry!$C$3:$C$548&amp;"|"&amp;LLM_Data_Entry!$D$3:$D$548,0),0))),"")</f>
        <v/>
      </c>
      <c r="AL507">
        <f>IF($A507="","",IFERROR(INDEX(Company_List!$G$3:$G$207,MATCH($A507,Company_List!$A$3:$A$207,0)),"unassigned"))</f>
        <v/>
      </c>
      <c r="AP507">
        <f>IF($A507="","",IF(COUNTIFS(LLM_Data_Entry!$A$3:$A$548,$A507)&gt;0,"YES","NO"))</f>
        <v/>
      </c>
      <c r="AQ507">
        <f>IF($A507="","",IF(COUNTIFS($A$3:$A507,$A507,$C$3:$C507,$C507,$D$3:$D507,$D507)=1,"YES","NO"))</f>
        <v/>
      </c>
      <c r="AR507">
        <f>IF($A507="","",IF(AND($C507&amp;"-"&amp;$D507&gt;=Settings!$B$19,$C507&amp;"-"&amp;$D507&lt;=Settings!$B$20),"IN","OUT"))</f>
        <v/>
      </c>
      <c r="AS507">
        <f>IF($A507="","",IF($F507="Financial Results","financials",IF($F507="Outlook/Guidance","guidance",IF($F507="Transcript Q&amp;A","qanda",IF($F507="","unrecorded",IF($E507="All","full",IF($E507="","unrecorded",LOWER($E507)&amp;" only")))))))</f>
        <v/>
      </c>
      <c r="AT507">
        <f>IF(AND(OR($J507="BUY",$J507="SELL"),ISNUMBER($U507)),$U507,"")</f>
        <v/>
      </c>
      <c r="AU507">
        <f>IF(AND(OR($J507="BUY",$J507="SELL"),ISNUMBER($AK507)),$AK507,"")</f>
        <v/>
      </c>
      <c r="AV507">
        <f>IF(ISNUMBER($AT507),ABS(IF(ISNUMBER($I507),$I507,0)-Settings!$B$24),"")</f>
        <v/>
      </c>
      <c r="AW507">
        <f>IF(ISNUMBER($AV507),$AV507*$AT507,"")</f>
        <v/>
      </c>
      <c r="AX507">
        <f>IF(ISNUMBER($AU507),ABS(IF(ISNUMBER($I507),$I507,0)-Settings!$B$24),"")</f>
        <v/>
      </c>
      <c r="AZ507">
        <f>IF($A507="","",IFERROR(INDEX(Company_List!$H$3:$H$207,MATCH($A507,Company_List!$A$3:$A$207,0)),"unassigned"))</f>
        <v/>
      </c>
      <c r="BC507">
        <f>IF($A507="","",IF(COUNTIFS($A$3:$A507,$A507,$C$3:$C507,$C507,$D$3:$D507,$D507,$G$3:$G507,$G507)=1,1,0))</f>
        <v/>
      </c>
      <c r="BK507">
        <f>IF(OR($H507&lt;&gt;"Human",$S507="",$J507="",$Y507="",$Z507=""),"",IF(EXACT(UPPER($J507),UPPER($Y507)),1,0))</f>
        <v/>
      </c>
    </row>
    <row r="508">
      <c r="B508" s="89">
        <f>IF(A508="","",_xlfn.XLOOKUP(A508, Company_List!$A:$A, Company_List!$B:$B, ""))</f>
        <v/>
      </c>
      <c r="J508" s="92">
        <f>IF(OR(I508="",Settings!$B$6=""),"",IF(I508&gt;Settings!$B$6,"BUY",IF(I508&lt;-Settings!$B$6,"SELL","HOLD")))</f>
        <v/>
      </c>
      <c r="Q508" s="95">
        <f>IF(OR(N508="",P508=""),"",ROUND((P508-N508)/N508,4))</f>
        <v/>
      </c>
      <c r="R508" s="84">
        <f>IF(OR(N508="",P508=""),"",IF(Q508&gt;Settings!$B$3/100,"UP",IF(Q508&lt;-Settings!$B$3/100,"DOWN","FLAT")))</f>
        <v/>
      </c>
      <c r="S508" s="84">
        <f>IF(OR(N508="",P508="",J508=""),"",IF(OR(AND(J508="BUY",R508="UP"),AND(J508="SELL",R508="DOWN"),AND(J508="HOLD",R508="FLAT")),"YES","NO"))</f>
        <v/>
      </c>
      <c r="T508" s="85">
        <f>IF(J508="","",IF(J508="BUY",1,IF(J508="SELL",-1,0)))</f>
        <v/>
      </c>
      <c r="U508" s="94">
        <f>IFERROR(IF(OR(J508="",N508="",P508=""),"",IF(T508=0,0,T508*Q508-Settings!$B$4/10000-IF(T508&lt;0,Settings!$B$5/10000,0))),"")</f>
        <v/>
      </c>
      <c r="W508" s="18">
        <f>IF($K508="","",$K508*60)</f>
        <v/>
      </c>
      <c r="X508" s="73">
        <f>IF($A508="","",$A508&amp;"|"&amp;$C508&amp;"|"&amp;$D508)</f>
        <v/>
      </c>
      <c r="Y508" s="73">
        <f>IFERROR(IF($X508="","",INDEX(LLM_Data_Entry!$H$3:$H$548,MATCH($X508,INDEX(LLM_Data_Entry!$A$3:$A$548&amp;"|"&amp;LLM_Data_Entry!$C$3:$C$548&amp;"|"&amp;LLM_Data_Entry!$D$3:$D$548,0),0))),"")</f>
        <v/>
      </c>
      <c r="Z508" s="73">
        <f>IFERROR(IF($X508="","",INDEX(LLM_Data_Entry!$R$3:$R$548,MATCH($X508,INDEX(LLM_Data_Entry!$A$3:$A$548&amp;"|"&amp;LLM_Data_Entry!$C$3:$C$548&amp;"|"&amp;LLM_Data_Entry!$D$3:$D$548,0),0))),"")</f>
        <v/>
      </c>
      <c r="AL508">
        <f>IF($A508="","",IFERROR(INDEX(Company_List!$G$3:$G$207,MATCH($A508,Company_List!$A$3:$A$207,0)),"unassigned"))</f>
        <v/>
      </c>
      <c r="AP508">
        <f>IF($A508="","",IF(COUNTIFS(LLM_Data_Entry!$A$3:$A$548,$A508)&gt;0,"YES","NO"))</f>
        <v/>
      </c>
      <c r="AQ508">
        <f>IF($A508="","",IF(COUNTIFS($A$3:$A508,$A508,$C$3:$C508,$C508,$D$3:$D508,$D508)=1,"YES","NO"))</f>
        <v/>
      </c>
      <c r="AR508">
        <f>IF($A508="","",IF(AND($C508&amp;"-"&amp;$D508&gt;=Settings!$B$19,$C508&amp;"-"&amp;$D508&lt;=Settings!$B$20),"IN","OUT"))</f>
        <v/>
      </c>
      <c r="AS508">
        <f>IF($A508="","",IF($F508="Financial Results","financials",IF($F508="Outlook/Guidance","guidance",IF($F508="Transcript Q&amp;A","qanda",IF($F508="","unrecorded",IF($E508="All","full",IF($E508="","unrecorded",LOWER($E508)&amp;" only")))))))</f>
        <v/>
      </c>
      <c r="AT508">
        <f>IF(AND(OR($J508="BUY",$J508="SELL"),ISNUMBER($U508)),$U508,"")</f>
        <v/>
      </c>
      <c r="AU508">
        <f>IF(AND(OR($J508="BUY",$J508="SELL"),ISNUMBER($AK508)),$AK508,"")</f>
        <v/>
      </c>
      <c r="AV508">
        <f>IF(ISNUMBER($AT508),ABS(IF(ISNUMBER($I508),$I508,0)-Settings!$B$24),"")</f>
        <v/>
      </c>
      <c r="AW508">
        <f>IF(ISNUMBER($AV508),$AV508*$AT508,"")</f>
        <v/>
      </c>
      <c r="AX508">
        <f>IF(ISNUMBER($AU508),ABS(IF(ISNUMBER($I508),$I508,0)-Settings!$B$24),"")</f>
        <v/>
      </c>
      <c r="AZ508">
        <f>IF($A508="","",IFERROR(INDEX(Company_List!$H$3:$H$207,MATCH($A508,Company_List!$A$3:$A$207,0)),"unassigned"))</f>
        <v/>
      </c>
      <c r="BC508">
        <f>IF($A508="","",IF(COUNTIFS($A$3:$A508,$A508,$C$3:$C508,$C508,$D$3:$D508,$D508,$G$3:$G508,$G508)=1,1,0))</f>
        <v/>
      </c>
      <c r="BK508">
        <f>IF(OR($H508&lt;&gt;"Human",$S508="",$J508="",$Y508="",$Z508=""),"",IF(EXACT(UPPER($J508),UPPER($Y508)),1,0))</f>
        <v/>
      </c>
    </row>
    <row r="509">
      <c r="B509" s="89">
        <f>IF(A509="","",_xlfn.XLOOKUP(A509, Company_List!$A:$A, Company_List!$B:$B, ""))</f>
        <v/>
      </c>
      <c r="J509" s="92">
        <f>IF(OR(I509="",Settings!$B$6=""),"",IF(I509&gt;Settings!$B$6,"BUY",IF(I509&lt;-Settings!$B$6,"SELL","HOLD")))</f>
        <v/>
      </c>
      <c r="Q509" s="95">
        <f>IF(OR(N509="",P509=""),"",ROUND((P509-N509)/N509,4))</f>
        <v/>
      </c>
      <c r="R509" s="84">
        <f>IF(OR(N509="",P509=""),"",IF(Q509&gt;Settings!$B$3/100,"UP",IF(Q509&lt;-Settings!$B$3/100,"DOWN","FLAT")))</f>
        <v/>
      </c>
      <c r="S509" s="84">
        <f>IF(OR(N509="",P509="",J509=""),"",IF(OR(AND(J509="BUY",R509="UP"),AND(J509="SELL",R509="DOWN"),AND(J509="HOLD",R509="FLAT")),"YES","NO"))</f>
        <v/>
      </c>
      <c r="T509" s="85">
        <f>IF(J509="","",IF(J509="BUY",1,IF(J509="SELL",-1,0)))</f>
        <v/>
      </c>
      <c r="U509" s="94">
        <f>IFERROR(IF(OR(J509="",N509="",P509=""),"",IF(T509=0,0,T509*Q509-Settings!$B$4/10000-IF(T509&lt;0,Settings!$B$5/10000,0))),"")</f>
        <v/>
      </c>
      <c r="W509" s="18">
        <f>IF($K509="","",$K509*60)</f>
        <v/>
      </c>
      <c r="X509" s="73">
        <f>IF($A509="","",$A509&amp;"|"&amp;$C509&amp;"|"&amp;$D509)</f>
        <v/>
      </c>
      <c r="Y509" s="73">
        <f>IFERROR(IF($X509="","",INDEX(LLM_Data_Entry!$H$3:$H$548,MATCH($X509,INDEX(LLM_Data_Entry!$A$3:$A$548&amp;"|"&amp;LLM_Data_Entry!$C$3:$C$548&amp;"|"&amp;LLM_Data_Entry!$D$3:$D$548,0),0))),"")</f>
        <v/>
      </c>
      <c r="Z509" s="73">
        <f>IFERROR(IF($X509="","",INDEX(LLM_Data_Entry!$R$3:$R$548,MATCH($X509,INDEX(LLM_Data_Entry!$A$3:$A$548&amp;"|"&amp;LLM_Data_Entry!$C$3:$C$548&amp;"|"&amp;LLM_Data_Entry!$D$3:$D$548,0),0))),"")</f>
        <v/>
      </c>
      <c r="AL509">
        <f>IF($A509="","",IFERROR(INDEX(Company_List!$G$3:$G$207,MATCH($A509,Company_List!$A$3:$A$207,0)),"unassigned"))</f>
        <v/>
      </c>
      <c r="AP509">
        <f>IF($A509="","",IF(COUNTIFS(LLM_Data_Entry!$A$3:$A$548,$A509)&gt;0,"YES","NO"))</f>
        <v/>
      </c>
      <c r="AQ509">
        <f>IF($A509="","",IF(COUNTIFS($A$3:$A509,$A509,$C$3:$C509,$C509,$D$3:$D509,$D509)=1,"YES","NO"))</f>
        <v/>
      </c>
      <c r="AR509">
        <f>IF($A509="","",IF(AND($C509&amp;"-"&amp;$D509&gt;=Settings!$B$19,$C509&amp;"-"&amp;$D509&lt;=Settings!$B$20),"IN","OUT"))</f>
        <v/>
      </c>
      <c r="AS509">
        <f>IF($A509="","",IF($F509="Financial Results","financials",IF($F509="Outlook/Guidance","guidance",IF($F509="Transcript Q&amp;A","qanda",IF($F509="","unrecorded",IF($E509="All","full",IF($E509="","unrecorded",LOWER($E509)&amp;" only")))))))</f>
        <v/>
      </c>
      <c r="AT509">
        <f>IF(AND(OR($J509="BUY",$J509="SELL"),ISNUMBER($U509)),$U509,"")</f>
        <v/>
      </c>
      <c r="AU509">
        <f>IF(AND(OR($J509="BUY",$J509="SELL"),ISNUMBER($AK509)),$AK509,"")</f>
        <v/>
      </c>
      <c r="AV509">
        <f>IF(ISNUMBER($AT509),ABS(IF(ISNUMBER($I509),$I509,0)-Settings!$B$24),"")</f>
        <v/>
      </c>
      <c r="AW509">
        <f>IF(ISNUMBER($AV509),$AV509*$AT509,"")</f>
        <v/>
      </c>
      <c r="AX509">
        <f>IF(ISNUMBER($AU509),ABS(IF(ISNUMBER($I509),$I509,0)-Settings!$B$24),"")</f>
        <v/>
      </c>
      <c r="AZ509">
        <f>IF($A509="","",IFERROR(INDEX(Company_List!$H$3:$H$207,MATCH($A509,Company_List!$A$3:$A$207,0)),"unassigned"))</f>
        <v/>
      </c>
      <c r="BC509">
        <f>IF($A509="","",IF(COUNTIFS($A$3:$A509,$A509,$C$3:$C509,$C509,$D$3:$D509,$D509,$G$3:$G509,$G509)=1,1,0))</f>
        <v/>
      </c>
      <c r="BK509">
        <f>IF(OR($H509&lt;&gt;"Human",$S509="",$J509="",$Y509="",$Z509=""),"",IF(EXACT(UPPER($J509),UPPER($Y509)),1,0))</f>
        <v/>
      </c>
    </row>
    <row r="510">
      <c r="B510" s="89">
        <f>IF(A510="","",_xlfn.XLOOKUP(A510, Company_List!$A:$A, Company_List!$B:$B, ""))</f>
        <v/>
      </c>
      <c r="J510" s="92">
        <f>IF(OR(I510="",Settings!$B$6=""),"",IF(I510&gt;Settings!$B$6,"BUY",IF(I510&lt;-Settings!$B$6,"SELL","HOLD")))</f>
        <v/>
      </c>
      <c r="Q510" s="95">
        <f>IF(OR(N510="",P510=""),"",ROUND((P510-N510)/N510,4))</f>
        <v/>
      </c>
      <c r="R510" s="84">
        <f>IF(OR(N510="",P510=""),"",IF(Q510&gt;Settings!$B$3/100,"UP",IF(Q510&lt;-Settings!$B$3/100,"DOWN","FLAT")))</f>
        <v/>
      </c>
      <c r="S510" s="84">
        <f>IF(OR(N510="",P510="",J510=""),"",IF(OR(AND(J510="BUY",R510="UP"),AND(J510="SELL",R510="DOWN"),AND(J510="HOLD",R510="FLAT")),"YES","NO"))</f>
        <v/>
      </c>
      <c r="T510" s="85">
        <f>IF(J510="","",IF(J510="BUY",1,IF(J510="SELL",-1,0)))</f>
        <v/>
      </c>
      <c r="U510" s="94">
        <f>IFERROR(IF(OR(J510="",N510="",P510=""),"",IF(T510=0,0,T510*Q510-Settings!$B$4/10000-IF(T510&lt;0,Settings!$B$5/10000,0))),"")</f>
        <v/>
      </c>
      <c r="W510" s="18">
        <f>IF($K510="","",$K510*60)</f>
        <v/>
      </c>
      <c r="X510" s="73">
        <f>IF($A510="","",$A510&amp;"|"&amp;$C510&amp;"|"&amp;$D510)</f>
        <v/>
      </c>
      <c r="Y510" s="73">
        <f>IFERROR(IF($X510="","",INDEX(LLM_Data_Entry!$H$3:$H$548,MATCH($X510,INDEX(LLM_Data_Entry!$A$3:$A$548&amp;"|"&amp;LLM_Data_Entry!$C$3:$C$548&amp;"|"&amp;LLM_Data_Entry!$D$3:$D$548,0),0))),"")</f>
        <v/>
      </c>
      <c r="Z510" s="73">
        <f>IFERROR(IF($X510="","",INDEX(LLM_Data_Entry!$R$3:$R$548,MATCH($X510,INDEX(LLM_Data_Entry!$A$3:$A$548&amp;"|"&amp;LLM_Data_Entry!$C$3:$C$548&amp;"|"&amp;LLM_Data_Entry!$D$3:$D$548,0),0))),"")</f>
        <v/>
      </c>
      <c r="AL510">
        <f>IF($A510="","",IFERROR(INDEX(Company_List!$G$3:$G$207,MATCH($A510,Company_List!$A$3:$A$207,0)),"unassigned"))</f>
        <v/>
      </c>
      <c r="AP510">
        <f>IF($A510="","",IF(COUNTIFS(LLM_Data_Entry!$A$3:$A$548,$A510)&gt;0,"YES","NO"))</f>
        <v/>
      </c>
      <c r="AQ510">
        <f>IF($A510="","",IF(COUNTIFS($A$3:$A510,$A510,$C$3:$C510,$C510,$D$3:$D510,$D510)=1,"YES","NO"))</f>
        <v/>
      </c>
      <c r="AR510">
        <f>IF($A510="","",IF(AND($C510&amp;"-"&amp;$D510&gt;=Settings!$B$19,$C510&amp;"-"&amp;$D510&lt;=Settings!$B$20),"IN","OUT"))</f>
        <v/>
      </c>
      <c r="AS510">
        <f>IF($A510="","",IF($F510="Financial Results","financials",IF($F510="Outlook/Guidance","guidance",IF($F510="Transcript Q&amp;A","qanda",IF($F510="","unrecorded",IF($E510="All","full",IF($E510="","unrecorded",LOWER($E510)&amp;" only")))))))</f>
        <v/>
      </c>
      <c r="AT510">
        <f>IF(AND(OR($J510="BUY",$J510="SELL"),ISNUMBER($U510)),$U510,"")</f>
        <v/>
      </c>
      <c r="AU510">
        <f>IF(AND(OR($J510="BUY",$J510="SELL"),ISNUMBER($AK510)),$AK510,"")</f>
        <v/>
      </c>
      <c r="AV510">
        <f>IF(ISNUMBER($AT510),ABS(IF(ISNUMBER($I510),$I510,0)-Settings!$B$24),"")</f>
        <v/>
      </c>
      <c r="AW510">
        <f>IF(ISNUMBER($AV510),$AV510*$AT510,"")</f>
        <v/>
      </c>
      <c r="AX510">
        <f>IF(ISNUMBER($AU510),ABS(IF(ISNUMBER($I510),$I510,0)-Settings!$B$24),"")</f>
        <v/>
      </c>
      <c r="AZ510">
        <f>IF($A510="","",IFERROR(INDEX(Company_List!$H$3:$H$207,MATCH($A510,Company_List!$A$3:$A$207,0)),"unassigned"))</f>
        <v/>
      </c>
      <c r="BC510">
        <f>IF($A510="","",IF(COUNTIFS($A$3:$A510,$A510,$C$3:$C510,$C510,$D$3:$D510,$D510,$G$3:$G510,$G510)=1,1,0))</f>
        <v/>
      </c>
      <c r="BK510">
        <f>IF(OR($H510&lt;&gt;"Human",$S510="",$J510="",$Y510="",$Z510=""),"",IF(EXACT(UPPER($J510),UPPER($Y510)),1,0))</f>
        <v/>
      </c>
    </row>
    <row r="511">
      <c r="B511" s="89">
        <f>IF(A511="","",_xlfn.XLOOKUP(A511, Company_List!$A:$A, Company_List!$B:$B, ""))</f>
        <v/>
      </c>
      <c r="J511" s="92">
        <f>IF(OR(I511="",Settings!$B$6=""),"",IF(I511&gt;Settings!$B$6,"BUY",IF(I511&lt;-Settings!$B$6,"SELL","HOLD")))</f>
        <v/>
      </c>
      <c r="Q511" s="95">
        <f>IF(OR(N511="",P511=""),"",ROUND((P511-N511)/N511,4))</f>
        <v/>
      </c>
      <c r="R511" s="84">
        <f>IF(OR(N511="",P511=""),"",IF(Q511&gt;Settings!$B$3/100,"UP",IF(Q511&lt;-Settings!$B$3/100,"DOWN","FLAT")))</f>
        <v/>
      </c>
      <c r="S511" s="84">
        <f>IF(OR(N511="",P511="",J511=""),"",IF(OR(AND(J511="BUY",R511="UP"),AND(J511="SELL",R511="DOWN"),AND(J511="HOLD",R511="FLAT")),"YES","NO"))</f>
        <v/>
      </c>
      <c r="T511" s="85">
        <f>IF(J511="","",IF(J511="BUY",1,IF(J511="SELL",-1,0)))</f>
        <v/>
      </c>
      <c r="U511" s="94">
        <f>IFERROR(IF(OR(J511="",N511="",P511=""),"",IF(T511=0,0,T511*Q511-Settings!$B$4/10000-IF(T511&lt;0,Settings!$B$5/10000,0))),"")</f>
        <v/>
      </c>
      <c r="W511" s="18">
        <f>IF($K511="","",$K511*60)</f>
        <v/>
      </c>
      <c r="X511" s="73">
        <f>IF($A511="","",$A511&amp;"|"&amp;$C511&amp;"|"&amp;$D511)</f>
        <v/>
      </c>
      <c r="Y511" s="73">
        <f>IFERROR(IF($X511="","",INDEX(LLM_Data_Entry!$H$3:$H$548,MATCH($X511,INDEX(LLM_Data_Entry!$A$3:$A$548&amp;"|"&amp;LLM_Data_Entry!$C$3:$C$548&amp;"|"&amp;LLM_Data_Entry!$D$3:$D$548,0),0))),"")</f>
        <v/>
      </c>
      <c r="Z511" s="73">
        <f>IFERROR(IF($X511="","",INDEX(LLM_Data_Entry!$R$3:$R$548,MATCH($X511,INDEX(LLM_Data_Entry!$A$3:$A$548&amp;"|"&amp;LLM_Data_Entry!$C$3:$C$548&amp;"|"&amp;LLM_Data_Entry!$D$3:$D$548,0),0))),"")</f>
        <v/>
      </c>
      <c r="AL511">
        <f>IF($A511="","",IFERROR(INDEX(Company_List!$G$3:$G$207,MATCH($A511,Company_List!$A$3:$A$207,0)),"unassigned"))</f>
        <v/>
      </c>
      <c r="AP511">
        <f>IF($A511="","",IF(COUNTIFS(LLM_Data_Entry!$A$3:$A$548,$A511)&gt;0,"YES","NO"))</f>
        <v/>
      </c>
      <c r="AQ511">
        <f>IF($A511="","",IF(COUNTIFS($A$3:$A511,$A511,$C$3:$C511,$C511,$D$3:$D511,$D511)=1,"YES","NO"))</f>
        <v/>
      </c>
      <c r="AR511">
        <f>IF($A511="","",IF(AND($C511&amp;"-"&amp;$D511&gt;=Settings!$B$19,$C511&amp;"-"&amp;$D511&lt;=Settings!$B$20),"IN","OUT"))</f>
        <v/>
      </c>
      <c r="AS511">
        <f>IF($A511="","",IF($F511="Financial Results","financials",IF($F511="Outlook/Guidance","guidance",IF($F511="Transcript Q&amp;A","qanda",IF($F511="","unrecorded",IF($E511="All","full",IF($E511="","unrecorded",LOWER($E511)&amp;" only")))))))</f>
        <v/>
      </c>
      <c r="AT511">
        <f>IF(AND(OR($J511="BUY",$J511="SELL"),ISNUMBER($U511)),$U511,"")</f>
        <v/>
      </c>
      <c r="AU511">
        <f>IF(AND(OR($J511="BUY",$J511="SELL"),ISNUMBER($AK511)),$AK511,"")</f>
        <v/>
      </c>
      <c r="AV511">
        <f>IF(ISNUMBER($AT511),ABS(IF(ISNUMBER($I511),$I511,0)-Settings!$B$24),"")</f>
        <v/>
      </c>
      <c r="AW511">
        <f>IF(ISNUMBER($AV511),$AV511*$AT511,"")</f>
        <v/>
      </c>
      <c r="AX511">
        <f>IF(ISNUMBER($AU511),ABS(IF(ISNUMBER($I511),$I511,0)-Settings!$B$24),"")</f>
        <v/>
      </c>
      <c r="AZ511">
        <f>IF($A511="","",IFERROR(INDEX(Company_List!$H$3:$H$207,MATCH($A511,Company_List!$A$3:$A$207,0)),"unassigned"))</f>
        <v/>
      </c>
      <c r="BC511">
        <f>IF($A511="","",IF(COUNTIFS($A$3:$A511,$A511,$C$3:$C511,$C511,$D$3:$D511,$D511,$G$3:$G511,$G511)=1,1,0))</f>
        <v/>
      </c>
      <c r="BK511">
        <f>IF(OR($H511&lt;&gt;"Human",$S511="",$J511="",$Y511="",$Z511=""),"",IF(EXACT(UPPER($J511),UPPER($Y511)),1,0))</f>
        <v/>
      </c>
    </row>
    <row r="512">
      <c r="B512" s="89">
        <f>IF(A512="","",_xlfn.XLOOKUP(A512, Company_List!$A:$A, Company_List!$B:$B, ""))</f>
        <v/>
      </c>
      <c r="J512" s="92">
        <f>IF(OR(I512="",Settings!$B$6=""),"",IF(I512&gt;Settings!$B$6,"BUY",IF(I512&lt;-Settings!$B$6,"SELL","HOLD")))</f>
        <v/>
      </c>
      <c r="Q512" s="95">
        <f>IF(OR(N512="",P512=""),"",ROUND((P512-N512)/N512,4))</f>
        <v/>
      </c>
      <c r="R512" s="84">
        <f>IF(OR(N512="",P512=""),"",IF(Q512&gt;Settings!$B$3/100,"UP",IF(Q512&lt;-Settings!$B$3/100,"DOWN","FLAT")))</f>
        <v/>
      </c>
      <c r="S512" s="84">
        <f>IF(OR(N512="",P512="",J512=""),"",IF(OR(AND(J512="BUY",R512="UP"),AND(J512="SELL",R512="DOWN"),AND(J512="HOLD",R512="FLAT")),"YES","NO"))</f>
        <v/>
      </c>
      <c r="T512" s="85">
        <f>IF(J512="","",IF(J512="BUY",1,IF(J512="SELL",-1,0)))</f>
        <v/>
      </c>
      <c r="U512" s="94">
        <f>IFERROR(IF(OR(J512="",N512="",P512=""),"",IF(T512=0,0,T512*Q512-Settings!$B$4/10000-IF(T512&lt;0,Settings!$B$5/10000,0))),"")</f>
        <v/>
      </c>
      <c r="W512" s="18">
        <f>IF($K512="","",$K512*60)</f>
        <v/>
      </c>
      <c r="X512" s="73">
        <f>IF($A512="","",$A512&amp;"|"&amp;$C512&amp;"|"&amp;$D512)</f>
        <v/>
      </c>
      <c r="Y512" s="73">
        <f>IFERROR(IF($X512="","",INDEX(LLM_Data_Entry!$H$3:$H$548,MATCH($X512,INDEX(LLM_Data_Entry!$A$3:$A$548&amp;"|"&amp;LLM_Data_Entry!$C$3:$C$548&amp;"|"&amp;LLM_Data_Entry!$D$3:$D$548,0),0))),"")</f>
        <v/>
      </c>
      <c r="Z512" s="73">
        <f>IFERROR(IF($X512="","",INDEX(LLM_Data_Entry!$R$3:$R$548,MATCH($X512,INDEX(LLM_Data_Entry!$A$3:$A$548&amp;"|"&amp;LLM_Data_Entry!$C$3:$C$548&amp;"|"&amp;LLM_Data_Entry!$D$3:$D$548,0),0))),"")</f>
        <v/>
      </c>
      <c r="AL512">
        <f>IF($A512="","",IFERROR(INDEX(Company_List!$G$3:$G$207,MATCH($A512,Company_List!$A$3:$A$207,0)),"unassigned"))</f>
        <v/>
      </c>
      <c r="AP512">
        <f>IF($A512="","",IF(COUNTIFS(LLM_Data_Entry!$A$3:$A$548,$A512)&gt;0,"YES","NO"))</f>
        <v/>
      </c>
      <c r="AQ512">
        <f>IF($A512="","",IF(COUNTIFS($A$3:$A512,$A512,$C$3:$C512,$C512,$D$3:$D512,$D512)=1,"YES","NO"))</f>
        <v/>
      </c>
      <c r="AR512">
        <f>IF($A512="","",IF(AND($C512&amp;"-"&amp;$D512&gt;=Settings!$B$19,$C512&amp;"-"&amp;$D512&lt;=Settings!$B$20),"IN","OUT"))</f>
        <v/>
      </c>
      <c r="AS512">
        <f>IF($A512="","",IF($F512="Financial Results","financials",IF($F512="Outlook/Guidance","guidance",IF($F512="Transcript Q&amp;A","qanda",IF($F512="","unrecorded",IF($E512="All","full",IF($E512="","unrecorded",LOWER($E512)&amp;" only")))))))</f>
        <v/>
      </c>
      <c r="AT512">
        <f>IF(AND(OR($J512="BUY",$J512="SELL"),ISNUMBER($U512)),$U512,"")</f>
        <v/>
      </c>
      <c r="AU512">
        <f>IF(AND(OR($J512="BUY",$J512="SELL"),ISNUMBER($AK512)),$AK512,"")</f>
        <v/>
      </c>
      <c r="AV512">
        <f>IF(ISNUMBER($AT512),ABS(IF(ISNUMBER($I512),$I512,0)-Settings!$B$24),"")</f>
        <v/>
      </c>
      <c r="AW512">
        <f>IF(ISNUMBER($AV512),$AV512*$AT512,"")</f>
        <v/>
      </c>
      <c r="AX512">
        <f>IF(ISNUMBER($AU512),ABS(IF(ISNUMBER($I512),$I512,0)-Settings!$B$24),"")</f>
        <v/>
      </c>
      <c r="AZ512">
        <f>IF($A512="","",IFERROR(INDEX(Company_List!$H$3:$H$207,MATCH($A512,Company_List!$A$3:$A$207,0)),"unassigned"))</f>
        <v/>
      </c>
      <c r="BC512">
        <f>IF($A512="","",IF(COUNTIFS($A$3:$A512,$A512,$C$3:$C512,$C512,$D$3:$D512,$D512,$G$3:$G512,$G512)=1,1,0))</f>
        <v/>
      </c>
      <c r="BK512">
        <f>IF(OR($H512&lt;&gt;"Human",$S512="",$J512="",$Y512="",$Z512=""),"",IF(EXACT(UPPER($J512),UPPER($Y512)),1,0))</f>
        <v/>
      </c>
    </row>
    <row r="513">
      <c r="B513" s="89">
        <f>IF(A513="","",_xlfn.XLOOKUP(A513, Company_List!$A:$A, Company_List!$B:$B, ""))</f>
        <v/>
      </c>
      <c r="J513" s="92">
        <f>IF(OR(I513="",Settings!$B$6=""),"",IF(I513&gt;Settings!$B$6,"BUY",IF(I513&lt;-Settings!$B$6,"SELL","HOLD")))</f>
        <v/>
      </c>
      <c r="Q513" s="95">
        <f>IF(OR(N513="",P513=""),"",ROUND((P513-N513)/N513,4))</f>
        <v/>
      </c>
      <c r="R513" s="84">
        <f>IF(OR(N513="",P513=""),"",IF(Q513&gt;Settings!$B$3/100,"UP",IF(Q513&lt;-Settings!$B$3/100,"DOWN","FLAT")))</f>
        <v/>
      </c>
      <c r="S513" s="84">
        <f>IF(OR(N513="",P513="",J513=""),"",IF(OR(AND(J513="BUY",R513="UP"),AND(J513="SELL",R513="DOWN"),AND(J513="HOLD",R513="FLAT")),"YES","NO"))</f>
        <v/>
      </c>
      <c r="T513" s="85">
        <f>IF(J513="","",IF(J513="BUY",1,IF(J513="SELL",-1,0)))</f>
        <v/>
      </c>
      <c r="U513" s="94">
        <f>IFERROR(IF(OR(J513="",N513="",P513=""),"",IF(T513=0,0,T513*Q513-Settings!$B$4/10000-IF(T513&lt;0,Settings!$B$5/10000,0))),"")</f>
        <v/>
      </c>
      <c r="W513" s="18">
        <f>IF($K513="","",$K513*60)</f>
        <v/>
      </c>
      <c r="X513" s="73">
        <f>IF($A513="","",$A513&amp;"|"&amp;$C513&amp;"|"&amp;$D513)</f>
        <v/>
      </c>
      <c r="Y513" s="73">
        <f>IFERROR(IF($X513="","",INDEX(LLM_Data_Entry!$H$3:$H$548,MATCH($X513,INDEX(LLM_Data_Entry!$A$3:$A$548&amp;"|"&amp;LLM_Data_Entry!$C$3:$C$548&amp;"|"&amp;LLM_Data_Entry!$D$3:$D$548,0),0))),"")</f>
        <v/>
      </c>
      <c r="Z513" s="73">
        <f>IFERROR(IF($X513="","",INDEX(LLM_Data_Entry!$R$3:$R$548,MATCH($X513,INDEX(LLM_Data_Entry!$A$3:$A$548&amp;"|"&amp;LLM_Data_Entry!$C$3:$C$548&amp;"|"&amp;LLM_Data_Entry!$D$3:$D$548,0),0))),"")</f>
        <v/>
      </c>
      <c r="AL513">
        <f>IF($A513="","",IFERROR(INDEX(Company_List!$G$3:$G$207,MATCH($A513,Company_List!$A$3:$A$207,0)),"unassigned"))</f>
        <v/>
      </c>
      <c r="AP513">
        <f>IF($A513="","",IF(COUNTIFS(LLM_Data_Entry!$A$3:$A$548,$A513)&gt;0,"YES","NO"))</f>
        <v/>
      </c>
      <c r="AQ513">
        <f>IF($A513="","",IF(COUNTIFS($A$3:$A513,$A513,$C$3:$C513,$C513,$D$3:$D513,$D513)=1,"YES","NO"))</f>
        <v/>
      </c>
      <c r="AR513">
        <f>IF($A513="","",IF(AND($C513&amp;"-"&amp;$D513&gt;=Settings!$B$19,$C513&amp;"-"&amp;$D513&lt;=Settings!$B$20),"IN","OUT"))</f>
        <v/>
      </c>
      <c r="AS513">
        <f>IF($A513="","",IF($F513="Financial Results","financials",IF($F513="Outlook/Guidance","guidance",IF($F513="Transcript Q&amp;A","qanda",IF($F513="","unrecorded",IF($E513="All","full",IF($E513="","unrecorded",LOWER($E513)&amp;" only")))))))</f>
        <v/>
      </c>
      <c r="AT513">
        <f>IF(AND(OR($J513="BUY",$J513="SELL"),ISNUMBER($U513)),$U513,"")</f>
        <v/>
      </c>
      <c r="AU513">
        <f>IF(AND(OR($J513="BUY",$J513="SELL"),ISNUMBER($AK513)),$AK513,"")</f>
        <v/>
      </c>
      <c r="AV513">
        <f>IF(ISNUMBER($AT513),ABS(IF(ISNUMBER($I513),$I513,0)-Settings!$B$24),"")</f>
        <v/>
      </c>
      <c r="AW513">
        <f>IF(ISNUMBER($AV513),$AV513*$AT513,"")</f>
        <v/>
      </c>
      <c r="AX513">
        <f>IF(ISNUMBER($AU513),ABS(IF(ISNUMBER($I513),$I513,0)-Settings!$B$24),"")</f>
        <v/>
      </c>
      <c r="AZ513">
        <f>IF($A513="","",IFERROR(INDEX(Company_List!$H$3:$H$207,MATCH($A513,Company_List!$A$3:$A$207,0)),"unassigned"))</f>
        <v/>
      </c>
      <c r="BC513">
        <f>IF($A513="","",IF(COUNTIFS($A$3:$A513,$A513,$C$3:$C513,$C513,$D$3:$D513,$D513,$G$3:$G513,$G513)=1,1,0))</f>
        <v/>
      </c>
      <c r="BK513">
        <f>IF(OR($H513&lt;&gt;"Human",$S513="",$J513="",$Y513="",$Z513=""),"",IF(EXACT(UPPER($J513),UPPER($Y513)),1,0))</f>
        <v/>
      </c>
    </row>
    <row r="514">
      <c r="B514" s="89">
        <f>IF(A514="","",_xlfn.XLOOKUP(A514, Company_List!$A:$A, Company_List!$B:$B, ""))</f>
        <v/>
      </c>
      <c r="J514" s="92">
        <f>IF(OR(I514="",Settings!$B$6=""),"",IF(I514&gt;Settings!$B$6,"BUY",IF(I514&lt;-Settings!$B$6,"SELL","HOLD")))</f>
        <v/>
      </c>
      <c r="Q514" s="95">
        <f>IF(OR(N514="",P514=""),"",ROUND((P514-N514)/N514,4))</f>
        <v/>
      </c>
      <c r="R514" s="84">
        <f>IF(OR(N514="",P514=""),"",IF(Q514&gt;Settings!$B$3/100,"UP",IF(Q514&lt;-Settings!$B$3/100,"DOWN","FLAT")))</f>
        <v/>
      </c>
      <c r="S514" s="84">
        <f>IF(OR(N514="",P514="",J514=""),"",IF(OR(AND(J514="BUY",R514="UP"),AND(J514="SELL",R514="DOWN"),AND(J514="HOLD",R514="FLAT")),"YES","NO"))</f>
        <v/>
      </c>
      <c r="T514" s="85">
        <f>IF(J514="","",IF(J514="BUY",1,IF(J514="SELL",-1,0)))</f>
        <v/>
      </c>
      <c r="U514" s="94">
        <f>IFERROR(IF(OR(J514="",N514="",P514=""),"",IF(T514=0,0,T514*Q514-Settings!$B$4/10000-IF(T514&lt;0,Settings!$B$5/10000,0))),"")</f>
        <v/>
      </c>
      <c r="W514" s="18">
        <f>IF($K514="","",$K514*60)</f>
        <v/>
      </c>
      <c r="X514" s="73">
        <f>IF($A514="","",$A514&amp;"|"&amp;$C514&amp;"|"&amp;$D514)</f>
        <v/>
      </c>
      <c r="Y514" s="73">
        <f>IFERROR(IF($X514="","",INDEX(LLM_Data_Entry!$H$3:$H$548,MATCH($X514,INDEX(LLM_Data_Entry!$A$3:$A$548&amp;"|"&amp;LLM_Data_Entry!$C$3:$C$548&amp;"|"&amp;LLM_Data_Entry!$D$3:$D$548,0),0))),"")</f>
        <v/>
      </c>
      <c r="Z514" s="73">
        <f>IFERROR(IF($X514="","",INDEX(LLM_Data_Entry!$R$3:$R$548,MATCH($X514,INDEX(LLM_Data_Entry!$A$3:$A$548&amp;"|"&amp;LLM_Data_Entry!$C$3:$C$548&amp;"|"&amp;LLM_Data_Entry!$D$3:$D$548,0),0))),"")</f>
        <v/>
      </c>
      <c r="AL514">
        <f>IF($A514="","",IFERROR(INDEX(Company_List!$G$3:$G$207,MATCH($A514,Company_List!$A$3:$A$207,0)),"unassigned"))</f>
        <v/>
      </c>
      <c r="AP514">
        <f>IF($A514="","",IF(COUNTIFS(LLM_Data_Entry!$A$3:$A$548,$A514)&gt;0,"YES","NO"))</f>
        <v/>
      </c>
      <c r="AQ514">
        <f>IF($A514="","",IF(COUNTIFS($A$3:$A514,$A514,$C$3:$C514,$C514,$D$3:$D514,$D514)=1,"YES","NO"))</f>
        <v/>
      </c>
      <c r="AR514">
        <f>IF($A514="","",IF(AND($C514&amp;"-"&amp;$D514&gt;=Settings!$B$19,$C514&amp;"-"&amp;$D514&lt;=Settings!$B$20),"IN","OUT"))</f>
        <v/>
      </c>
      <c r="AS514">
        <f>IF($A514="","",IF($F514="Financial Results","financials",IF($F514="Outlook/Guidance","guidance",IF($F514="Transcript Q&amp;A","qanda",IF($F514="","unrecorded",IF($E514="All","full",IF($E514="","unrecorded",LOWER($E514)&amp;" only")))))))</f>
        <v/>
      </c>
      <c r="AT514">
        <f>IF(AND(OR($J514="BUY",$J514="SELL"),ISNUMBER($U514)),$U514,"")</f>
        <v/>
      </c>
      <c r="AU514">
        <f>IF(AND(OR($J514="BUY",$J514="SELL"),ISNUMBER($AK514)),$AK514,"")</f>
        <v/>
      </c>
      <c r="AV514">
        <f>IF(ISNUMBER($AT514),ABS(IF(ISNUMBER($I514),$I514,0)-Settings!$B$24),"")</f>
        <v/>
      </c>
      <c r="AW514">
        <f>IF(ISNUMBER($AV514),$AV514*$AT514,"")</f>
        <v/>
      </c>
      <c r="AX514">
        <f>IF(ISNUMBER($AU514),ABS(IF(ISNUMBER($I514),$I514,0)-Settings!$B$24),"")</f>
        <v/>
      </c>
      <c r="AZ514">
        <f>IF($A514="","",IFERROR(INDEX(Company_List!$H$3:$H$207,MATCH($A514,Company_List!$A$3:$A$207,0)),"unassigned"))</f>
        <v/>
      </c>
      <c r="BC514">
        <f>IF($A514="","",IF(COUNTIFS($A$3:$A514,$A514,$C$3:$C514,$C514,$D$3:$D514,$D514,$G$3:$G514,$G514)=1,1,0))</f>
        <v/>
      </c>
      <c r="BK514">
        <f>IF(OR($H514&lt;&gt;"Human",$S514="",$J514="",$Y514="",$Z514=""),"",IF(EXACT(UPPER($J514),UPPER($Y514)),1,0))</f>
        <v/>
      </c>
    </row>
    <row r="515">
      <c r="B515" s="89">
        <f>IF(A515="","",_xlfn.XLOOKUP(A515, Company_List!$A:$A, Company_List!$B:$B, ""))</f>
        <v/>
      </c>
      <c r="J515" s="92">
        <f>IF(OR(I515="",Settings!$B$6=""),"",IF(I515&gt;Settings!$B$6,"BUY",IF(I515&lt;-Settings!$B$6,"SELL","HOLD")))</f>
        <v/>
      </c>
      <c r="Q515" s="95">
        <f>IF(OR(N515="",P515=""),"",ROUND((P515-N515)/N515,4))</f>
        <v/>
      </c>
      <c r="R515" s="84">
        <f>IF(OR(N515="",P515=""),"",IF(Q515&gt;Settings!$B$3/100,"UP",IF(Q515&lt;-Settings!$B$3/100,"DOWN","FLAT")))</f>
        <v/>
      </c>
      <c r="S515" s="84">
        <f>IF(OR(N515="",P515="",J515=""),"",IF(OR(AND(J515="BUY",R515="UP"),AND(J515="SELL",R515="DOWN"),AND(J515="HOLD",R515="FLAT")),"YES","NO"))</f>
        <v/>
      </c>
      <c r="T515" s="85">
        <f>IF(J515="","",IF(J515="BUY",1,IF(J515="SELL",-1,0)))</f>
        <v/>
      </c>
      <c r="U515" s="94">
        <f>IFERROR(IF(OR(J515="",N515="",P515=""),"",IF(T515=0,0,T515*Q515-Settings!$B$4/10000-IF(T515&lt;0,Settings!$B$5/10000,0))),"")</f>
        <v/>
      </c>
      <c r="W515" s="18">
        <f>IF($K515="","",$K515*60)</f>
        <v/>
      </c>
      <c r="X515" s="73">
        <f>IF($A515="","",$A515&amp;"|"&amp;$C515&amp;"|"&amp;$D515)</f>
        <v/>
      </c>
      <c r="Y515" s="73">
        <f>IFERROR(IF($X515="","",INDEX(LLM_Data_Entry!$H$3:$H$548,MATCH($X515,INDEX(LLM_Data_Entry!$A$3:$A$548&amp;"|"&amp;LLM_Data_Entry!$C$3:$C$548&amp;"|"&amp;LLM_Data_Entry!$D$3:$D$548,0),0))),"")</f>
        <v/>
      </c>
      <c r="Z515" s="73">
        <f>IFERROR(IF($X515="","",INDEX(LLM_Data_Entry!$R$3:$R$548,MATCH($X515,INDEX(LLM_Data_Entry!$A$3:$A$548&amp;"|"&amp;LLM_Data_Entry!$C$3:$C$548&amp;"|"&amp;LLM_Data_Entry!$D$3:$D$548,0),0))),"")</f>
        <v/>
      </c>
      <c r="AL515">
        <f>IF($A515="","",IFERROR(INDEX(Company_List!$G$3:$G$207,MATCH($A515,Company_List!$A$3:$A$207,0)),"unassigned"))</f>
        <v/>
      </c>
      <c r="AP515">
        <f>IF($A515="","",IF(COUNTIFS(LLM_Data_Entry!$A$3:$A$548,$A515)&gt;0,"YES","NO"))</f>
        <v/>
      </c>
      <c r="AQ515">
        <f>IF($A515="","",IF(COUNTIFS($A$3:$A515,$A515,$C$3:$C515,$C515,$D$3:$D515,$D515)=1,"YES","NO"))</f>
        <v/>
      </c>
      <c r="AR515">
        <f>IF($A515="","",IF(AND($C515&amp;"-"&amp;$D515&gt;=Settings!$B$19,$C515&amp;"-"&amp;$D515&lt;=Settings!$B$20),"IN","OUT"))</f>
        <v/>
      </c>
      <c r="AS515">
        <f>IF($A515="","",IF($F515="Financial Results","financials",IF($F515="Outlook/Guidance","guidance",IF($F515="Transcript Q&amp;A","qanda",IF($F515="","unrecorded",IF($E515="All","full",IF($E515="","unrecorded",LOWER($E515)&amp;" only")))))))</f>
        <v/>
      </c>
      <c r="AT515">
        <f>IF(AND(OR($J515="BUY",$J515="SELL"),ISNUMBER($U515)),$U515,"")</f>
        <v/>
      </c>
      <c r="AU515">
        <f>IF(AND(OR($J515="BUY",$J515="SELL"),ISNUMBER($AK515)),$AK515,"")</f>
        <v/>
      </c>
      <c r="AV515">
        <f>IF(ISNUMBER($AT515),ABS(IF(ISNUMBER($I515),$I515,0)-Settings!$B$24),"")</f>
        <v/>
      </c>
      <c r="AW515">
        <f>IF(ISNUMBER($AV515),$AV515*$AT515,"")</f>
        <v/>
      </c>
      <c r="AX515">
        <f>IF(ISNUMBER($AU515),ABS(IF(ISNUMBER($I515),$I515,0)-Settings!$B$24),"")</f>
        <v/>
      </c>
      <c r="AZ515">
        <f>IF($A515="","",IFERROR(INDEX(Company_List!$H$3:$H$207,MATCH($A515,Company_List!$A$3:$A$207,0)),"unassigned"))</f>
        <v/>
      </c>
      <c r="BC515">
        <f>IF($A515="","",IF(COUNTIFS($A$3:$A515,$A515,$C$3:$C515,$C515,$D$3:$D515,$D515,$G$3:$G515,$G515)=1,1,0))</f>
        <v/>
      </c>
      <c r="BK515">
        <f>IF(OR($H515&lt;&gt;"Human",$S515="",$J515="",$Y515="",$Z515=""),"",IF(EXACT(UPPER($J515),UPPER($Y515)),1,0))</f>
        <v/>
      </c>
    </row>
    <row r="516">
      <c r="B516" s="89">
        <f>IF(A516="","",_xlfn.XLOOKUP(A516, Company_List!$A:$A, Company_List!$B:$B, ""))</f>
        <v/>
      </c>
      <c r="J516" s="92">
        <f>IF(OR(I516="",Settings!$B$6=""),"",IF(I516&gt;Settings!$B$6,"BUY",IF(I516&lt;-Settings!$B$6,"SELL","HOLD")))</f>
        <v/>
      </c>
      <c r="Q516" s="95">
        <f>IF(OR(N516="",P516=""),"",ROUND((P516-N516)/N516,4))</f>
        <v/>
      </c>
      <c r="R516" s="84">
        <f>IF(OR(N516="",P516=""),"",IF(Q516&gt;Settings!$B$3/100,"UP",IF(Q516&lt;-Settings!$B$3/100,"DOWN","FLAT")))</f>
        <v/>
      </c>
      <c r="S516" s="84">
        <f>IF(OR(N516="",P516="",J516=""),"",IF(OR(AND(J516="BUY",R516="UP"),AND(J516="SELL",R516="DOWN"),AND(J516="HOLD",R516="FLAT")),"YES","NO"))</f>
        <v/>
      </c>
      <c r="T516" s="85">
        <f>IF(J516="","",IF(J516="BUY",1,IF(J516="SELL",-1,0)))</f>
        <v/>
      </c>
      <c r="U516" s="94">
        <f>IFERROR(IF(OR(J516="",N516="",P516=""),"",IF(T516=0,0,T516*Q516-Settings!$B$4/10000-IF(T516&lt;0,Settings!$B$5/10000,0))),"")</f>
        <v/>
      </c>
      <c r="W516" s="18">
        <f>IF($K516="","",$K516*60)</f>
        <v/>
      </c>
      <c r="X516" s="73">
        <f>IF($A516="","",$A516&amp;"|"&amp;$C516&amp;"|"&amp;$D516)</f>
        <v/>
      </c>
      <c r="Y516" s="73">
        <f>IFERROR(IF($X516="","",INDEX(LLM_Data_Entry!$H$3:$H$548,MATCH($X516,INDEX(LLM_Data_Entry!$A$3:$A$548&amp;"|"&amp;LLM_Data_Entry!$C$3:$C$548&amp;"|"&amp;LLM_Data_Entry!$D$3:$D$548,0),0))),"")</f>
        <v/>
      </c>
      <c r="Z516" s="73">
        <f>IFERROR(IF($X516="","",INDEX(LLM_Data_Entry!$R$3:$R$548,MATCH($X516,INDEX(LLM_Data_Entry!$A$3:$A$548&amp;"|"&amp;LLM_Data_Entry!$C$3:$C$548&amp;"|"&amp;LLM_Data_Entry!$D$3:$D$548,0),0))),"")</f>
        <v/>
      </c>
      <c r="AL516">
        <f>IF($A516="","",IFERROR(INDEX(Company_List!$G$3:$G$207,MATCH($A516,Company_List!$A$3:$A$207,0)),"unassigned"))</f>
        <v/>
      </c>
      <c r="AP516">
        <f>IF($A516="","",IF(COUNTIFS(LLM_Data_Entry!$A$3:$A$548,$A516)&gt;0,"YES","NO"))</f>
        <v/>
      </c>
      <c r="AQ516">
        <f>IF($A516="","",IF(COUNTIFS($A$3:$A516,$A516,$C$3:$C516,$C516,$D$3:$D516,$D516)=1,"YES","NO"))</f>
        <v/>
      </c>
      <c r="AR516">
        <f>IF($A516="","",IF(AND($C516&amp;"-"&amp;$D516&gt;=Settings!$B$19,$C516&amp;"-"&amp;$D516&lt;=Settings!$B$20),"IN","OUT"))</f>
        <v/>
      </c>
      <c r="AS516">
        <f>IF($A516="","",IF($F516="Financial Results","financials",IF($F516="Outlook/Guidance","guidance",IF($F516="Transcript Q&amp;A","qanda",IF($F516="","unrecorded",IF($E516="All","full",IF($E516="","unrecorded",LOWER($E516)&amp;" only")))))))</f>
        <v/>
      </c>
      <c r="AT516">
        <f>IF(AND(OR($J516="BUY",$J516="SELL"),ISNUMBER($U516)),$U516,"")</f>
        <v/>
      </c>
      <c r="AU516">
        <f>IF(AND(OR($J516="BUY",$J516="SELL"),ISNUMBER($AK516)),$AK516,"")</f>
        <v/>
      </c>
      <c r="AV516">
        <f>IF(ISNUMBER($AT516),ABS(IF(ISNUMBER($I516),$I516,0)-Settings!$B$24),"")</f>
        <v/>
      </c>
      <c r="AW516">
        <f>IF(ISNUMBER($AV516),$AV516*$AT516,"")</f>
        <v/>
      </c>
      <c r="AX516">
        <f>IF(ISNUMBER($AU516),ABS(IF(ISNUMBER($I516),$I516,0)-Settings!$B$24),"")</f>
        <v/>
      </c>
      <c r="AZ516">
        <f>IF($A516="","",IFERROR(INDEX(Company_List!$H$3:$H$207,MATCH($A516,Company_List!$A$3:$A$207,0)),"unassigned"))</f>
        <v/>
      </c>
      <c r="BC516">
        <f>IF($A516="","",IF(COUNTIFS($A$3:$A516,$A516,$C$3:$C516,$C516,$D$3:$D516,$D516,$G$3:$G516,$G516)=1,1,0))</f>
        <v/>
      </c>
      <c r="BK516">
        <f>IF(OR($H516&lt;&gt;"Human",$S516="",$J516="",$Y516="",$Z516=""),"",IF(EXACT(UPPER($J516),UPPER($Y516)),1,0))</f>
        <v/>
      </c>
    </row>
    <row r="517">
      <c r="B517" s="89">
        <f>IF(A517="","",_xlfn.XLOOKUP(A517, Company_List!$A:$A, Company_List!$B:$B, ""))</f>
        <v/>
      </c>
      <c r="J517" s="92">
        <f>IF(OR(I517="",Settings!$B$6=""),"",IF(I517&gt;Settings!$B$6,"BUY",IF(I517&lt;-Settings!$B$6,"SELL","HOLD")))</f>
        <v/>
      </c>
      <c r="Q517" s="95">
        <f>IF(OR(N517="",P517=""),"",ROUND((P517-N517)/N517,4))</f>
        <v/>
      </c>
      <c r="R517" s="84">
        <f>IF(OR(N517="",P517=""),"",IF(Q517&gt;Settings!$B$3/100,"UP",IF(Q517&lt;-Settings!$B$3/100,"DOWN","FLAT")))</f>
        <v/>
      </c>
      <c r="S517" s="84">
        <f>IF(OR(N517="",P517="",J517=""),"",IF(OR(AND(J517="BUY",R517="UP"),AND(J517="SELL",R517="DOWN"),AND(J517="HOLD",R517="FLAT")),"YES","NO"))</f>
        <v/>
      </c>
      <c r="T517" s="85">
        <f>IF(J517="","",IF(J517="BUY",1,IF(J517="SELL",-1,0)))</f>
        <v/>
      </c>
      <c r="U517" s="94">
        <f>IFERROR(IF(OR(J517="",N517="",P517=""),"",IF(T517=0,0,T517*Q517-Settings!$B$4/10000-IF(T517&lt;0,Settings!$B$5/10000,0))),"")</f>
        <v/>
      </c>
      <c r="W517" s="18">
        <f>IF($K517="","",$K517*60)</f>
        <v/>
      </c>
      <c r="X517" s="73">
        <f>IF($A517="","",$A517&amp;"|"&amp;$C517&amp;"|"&amp;$D517)</f>
        <v/>
      </c>
      <c r="Y517" s="73">
        <f>IFERROR(IF($X517="","",INDEX(LLM_Data_Entry!$H$3:$H$548,MATCH($X517,INDEX(LLM_Data_Entry!$A$3:$A$548&amp;"|"&amp;LLM_Data_Entry!$C$3:$C$548&amp;"|"&amp;LLM_Data_Entry!$D$3:$D$548,0),0))),"")</f>
        <v/>
      </c>
      <c r="Z517" s="73">
        <f>IFERROR(IF($X517="","",INDEX(LLM_Data_Entry!$R$3:$R$548,MATCH($X517,INDEX(LLM_Data_Entry!$A$3:$A$548&amp;"|"&amp;LLM_Data_Entry!$C$3:$C$548&amp;"|"&amp;LLM_Data_Entry!$D$3:$D$548,0),0))),"")</f>
        <v/>
      </c>
      <c r="AL517">
        <f>IF($A517="","",IFERROR(INDEX(Company_List!$G$3:$G$207,MATCH($A517,Company_List!$A$3:$A$207,0)),"unassigned"))</f>
        <v/>
      </c>
      <c r="AP517">
        <f>IF($A517="","",IF(COUNTIFS(LLM_Data_Entry!$A$3:$A$548,$A517)&gt;0,"YES","NO"))</f>
        <v/>
      </c>
      <c r="AQ517">
        <f>IF($A517="","",IF(COUNTIFS($A$3:$A517,$A517,$C$3:$C517,$C517,$D$3:$D517,$D517)=1,"YES","NO"))</f>
        <v/>
      </c>
      <c r="AR517">
        <f>IF($A517="","",IF(AND($C517&amp;"-"&amp;$D517&gt;=Settings!$B$19,$C517&amp;"-"&amp;$D517&lt;=Settings!$B$20),"IN","OUT"))</f>
        <v/>
      </c>
      <c r="AS517">
        <f>IF($A517="","",IF($F517="Financial Results","financials",IF($F517="Outlook/Guidance","guidance",IF($F517="Transcript Q&amp;A","qanda",IF($F517="","unrecorded",IF($E517="All","full",IF($E517="","unrecorded",LOWER($E517)&amp;" only")))))))</f>
        <v/>
      </c>
      <c r="AT517">
        <f>IF(AND(OR($J517="BUY",$J517="SELL"),ISNUMBER($U517)),$U517,"")</f>
        <v/>
      </c>
      <c r="AU517">
        <f>IF(AND(OR($J517="BUY",$J517="SELL"),ISNUMBER($AK517)),$AK517,"")</f>
        <v/>
      </c>
      <c r="AV517">
        <f>IF(ISNUMBER($AT517),ABS(IF(ISNUMBER($I517),$I517,0)-Settings!$B$24),"")</f>
        <v/>
      </c>
      <c r="AW517">
        <f>IF(ISNUMBER($AV517),$AV517*$AT517,"")</f>
        <v/>
      </c>
      <c r="AX517">
        <f>IF(ISNUMBER($AU517),ABS(IF(ISNUMBER($I517),$I517,0)-Settings!$B$24),"")</f>
        <v/>
      </c>
      <c r="AZ517">
        <f>IF($A517="","",IFERROR(INDEX(Company_List!$H$3:$H$207,MATCH($A517,Company_List!$A$3:$A$207,0)),"unassigned"))</f>
        <v/>
      </c>
      <c r="BC517">
        <f>IF($A517="","",IF(COUNTIFS($A$3:$A517,$A517,$C$3:$C517,$C517,$D$3:$D517,$D517,$G$3:$G517,$G517)=1,1,0))</f>
        <v/>
      </c>
      <c r="BK517">
        <f>IF(OR($H517&lt;&gt;"Human",$S517="",$J517="",$Y517="",$Z517=""),"",IF(EXACT(UPPER($J517),UPPER($Y517)),1,0))</f>
        <v/>
      </c>
    </row>
    <row r="518">
      <c r="B518" s="89">
        <f>IF(A518="","",_xlfn.XLOOKUP(A518, Company_List!$A:$A, Company_List!$B:$B, ""))</f>
        <v/>
      </c>
      <c r="J518" s="92">
        <f>IF(OR(I518="",Settings!$B$6=""),"",IF(I518&gt;Settings!$B$6,"BUY",IF(I518&lt;-Settings!$B$6,"SELL","HOLD")))</f>
        <v/>
      </c>
      <c r="Q518" s="95">
        <f>IF(OR(N518="",P518=""),"",ROUND((P518-N518)/N518,4))</f>
        <v/>
      </c>
      <c r="R518" s="84">
        <f>IF(OR(N518="",P518=""),"",IF(Q518&gt;Settings!$B$3/100,"UP",IF(Q518&lt;-Settings!$B$3/100,"DOWN","FLAT")))</f>
        <v/>
      </c>
      <c r="S518" s="84">
        <f>IF(OR(N518="",P518="",J518=""),"",IF(OR(AND(J518="BUY",R518="UP"),AND(J518="SELL",R518="DOWN"),AND(J518="HOLD",R518="FLAT")),"YES","NO"))</f>
        <v/>
      </c>
      <c r="T518" s="85">
        <f>IF(J518="","",IF(J518="BUY",1,IF(J518="SELL",-1,0)))</f>
        <v/>
      </c>
      <c r="U518" s="94">
        <f>IFERROR(IF(OR(J518="",N518="",P518=""),"",IF(T518=0,0,T518*Q518-Settings!$B$4/10000-IF(T518&lt;0,Settings!$B$5/10000,0))),"")</f>
        <v/>
      </c>
      <c r="W518" s="18">
        <f>IF($K518="","",$K518*60)</f>
        <v/>
      </c>
      <c r="X518" s="73">
        <f>IF($A518="","",$A518&amp;"|"&amp;$C518&amp;"|"&amp;$D518)</f>
        <v/>
      </c>
      <c r="Y518" s="73">
        <f>IFERROR(IF($X518="","",INDEX(LLM_Data_Entry!$H$3:$H$548,MATCH($X518,INDEX(LLM_Data_Entry!$A$3:$A$548&amp;"|"&amp;LLM_Data_Entry!$C$3:$C$548&amp;"|"&amp;LLM_Data_Entry!$D$3:$D$548,0),0))),"")</f>
        <v/>
      </c>
      <c r="Z518" s="73">
        <f>IFERROR(IF($X518="","",INDEX(LLM_Data_Entry!$R$3:$R$548,MATCH($X518,INDEX(LLM_Data_Entry!$A$3:$A$548&amp;"|"&amp;LLM_Data_Entry!$C$3:$C$548&amp;"|"&amp;LLM_Data_Entry!$D$3:$D$548,0),0))),"")</f>
        <v/>
      </c>
      <c r="AL518">
        <f>IF($A518="","",IFERROR(INDEX(Company_List!$G$3:$G$207,MATCH($A518,Company_List!$A$3:$A$207,0)),"unassigned"))</f>
        <v/>
      </c>
      <c r="AP518">
        <f>IF($A518="","",IF(COUNTIFS(LLM_Data_Entry!$A$3:$A$548,$A518)&gt;0,"YES","NO"))</f>
        <v/>
      </c>
      <c r="AQ518">
        <f>IF($A518="","",IF(COUNTIFS($A$3:$A518,$A518,$C$3:$C518,$C518,$D$3:$D518,$D518)=1,"YES","NO"))</f>
        <v/>
      </c>
      <c r="AR518">
        <f>IF($A518="","",IF(AND($C518&amp;"-"&amp;$D518&gt;=Settings!$B$19,$C518&amp;"-"&amp;$D518&lt;=Settings!$B$20),"IN","OUT"))</f>
        <v/>
      </c>
      <c r="AS518">
        <f>IF($A518="","",IF($F518="Financial Results","financials",IF($F518="Outlook/Guidance","guidance",IF($F518="Transcript Q&amp;A","qanda",IF($F518="","unrecorded",IF($E518="All","full",IF($E518="","unrecorded",LOWER($E518)&amp;" only")))))))</f>
        <v/>
      </c>
      <c r="AT518">
        <f>IF(AND(OR($J518="BUY",$J518="SELL"),ISNUMBER($U518)),$U518,"")</f>
        <v/>
      </c>
      <c r="AU518">
        <f>IF(AND(OR($J518="BUY",$J518="SELL"),ISNUMBER($AK518)),$AK518,"")</f>
        <v/>
      </c>
      <c r="AV518">
        <f>IF(ISNUMBER($AT518),ABS(IF(ISNUMBER($I518),$I518,0)-Settings!$B$24),"")</f>
        <v/>
      </c>
      <c r="AW518">
        <f>IF(ISNUMBER($AV518),$AV518*$AT518,"")</f>
        <v/>
      </c>
      <c r="AX518">
        <f>IF(ISNUMBER($AU518),ABS(IF(ISNUMBER($I518),$I518,0)-Settings!$B$24),"")</f>
        <v/>
      </c>
      <c r="AZ518">
        <f>IF($A518="","",IFERROR(INDEX(Company_List!$H$3:$H$207,MATCH($A518,Company_List!$A$3:$A$207,0)),"unassigned"))</f>
        <v/>
      </c>
      <c r="BC518">
        <f>IF($A518="","",IF(COUNTIFS($A$3:$A518,$A518,$C$3:$C518,$C518,$D$3:$D518,$D518,$G$3:$G518,$G518)=1,1,0))</f>
        <v/>
      </c>
      <c r="BK518">
        <f>IF(OR($H518&lt;&gt;"Human",$S518="",$J518="",$Y518="",$Z518=""),"",IF(EXACT(UPPER($J518),UPPER($Y518)),1,0))</f>
        <v/>
      </c>
    </row>
    <row r="519">
      <c r="B519" s="89">
        <f>IF(A519="","",_xlfn.XLOOKUP(A519, Company_List!$A:$A, Company_List!$B:$B, ""))</f>
        <v/>
      </c>
      <c r="J519" s="92">
        <f>IF(OR(I519="",Settings!$B$6=""),"",IF(I519&gt;Settings!$B$6,"BUY",IF(I519&lt;-Settings!$B$6,"SELL","HOLD")))</f>
        <v/>
      </c>
      <c r="Q519" s="95">
        <f>IF(OR(N519="",P519=""),"",ROUND((P519-N519)/N519,4))</f>
        <v/>
      </c>
      <c r="R519" s="84">
        <f>IF(OR(N519="",P519=""),"",IF(Q519&gt;Settings!$B$3/100,"UP",IF(Q519&lt;-Settings!$B$3/100,"DOWN","FLAT")))</f>
        <v/>
      </c>
      <c r="S519" s="84">
        <f>IF(OR(N519="",P519="",J519=""),"",IF(OR(AND(J519="BUY",R519="UP"),AND(J519="SELL",R519="DOWN"),AND(J519="HOLD",R519="FLAT")),"YES","NO"))</f>
        <v/>
      </c>
      <c r="T519" s="85">
        <f>IF(J519="","",IF(J519="BUY",1,IF(J519="SELL",-1,0)))</f>
        <v/>
      </c>
      <c r="U519" s="94">
        <f>IFERROR(IF(OR(J519="",N519="",P519=""),"",IF(T519=0,0,T519*Q519-Settings!$B$4/10000-IF(T519&lt;0,Settings!$B$5/10000,0))),"")</f>
        <v/>
      </c>
      <c r="W519" s="18">
        <f>IF($K519="","",$K519*60)</f>
        <v/>
      </c>
      <c r="X519" s="73">
        <f>IF($A519="","",$A519&amp;"|"&amp;$C519&amp;"|"&amp;$D519)</f>
        <v/>
      </c>
      <c r="Y519" s="73">
        <f>IFERROR(IF($X519="","",INDEX(LLM_Data_Entry!$H$3:$H$548,MATCH($X519,INDEX(LLM_Data_Entry!$A$3:$A$548&amp;"|"&amp;LLM_Data_Entry!$C$3:$C$548&amp;"|"&amp;LLM_Data_Entry!$D$3:$D$548,0),0))),"")</f>
        <v/>
      </c>
      <c r="Z519" s="73">
        <f>IFERROR(IF($X519="","",INDEX(LLM_Data_Entry!$R$3:$R$548,MATCH($X519,INDEX(LLM_Data_Entry!$A$3:$A$548&amp;"|"&amp;LLM_Data_Entry!$C$3:$C$548&amp;"|"&amp;LLM_Data_Entry!$D$3:$D$548,0),0))),"")</f>
        <v/>
      </c>
      <c r="AL519">
        <f>IF($A519="","",IFERROR(INDEX(Company_List!$G$3:$G$207,MATCH($A519,Company_List!$A$3:$A$207,0)),"unassigned"))</f>
        <v/>
      </c>
      <c r="AP519">
        <f>IF($A519="","",IF(COUNTIFS(LLM_Data_Entry!$A$3:$A$548,$A519)&gt;0,"YES","NO"))</f>
        <v/>
      </c>
      <c r="AQ519">
        <f>IF($A519="","",IF(COUNTIFS($A$3:$A519,$A519,$C$3:$C519,$C519,$D$3:$D519,$D519)=1,"YES","NO"))</f>
        <v/>
      </c>
      <c r="AR519">
        <f>IF($A519="","",IF(AND($C519&amp;"-"&amp;$D519&gt;=Settings!$B$19,$C519&amp;"-"&amp;$D519&lt;=Settings!$B$20),"IN","OUT"))</f>
        <v/>
      </c>
      <c r="AS519">
        <f>IF($A519="","",IF($F519="Financial Results","financials",IF($F519="Outlook/Guidance","guidance",IF($F519="Transcript Q&amp;A","qanda",IF($F519="","unrecorded",IF($E519="All","full",IF($E519="","unrecorded",LOWER($E519)&amp;" only")))))))</f>
        <v/>
      </c>
      <c r="AT519">
        <f>IF(AND(OR($J519="BUY",$J519="SELL"),ISNUMBER($U519)),$U519,"")</f>
        <v/>
      </c>
      <c r="AU519">
        <f>IF(AND(OR($J519="BUY",$J519="SELL"),ISNUMBER($AK519)),$AK519,"")</f>
        <v/>
      </c>
      <c r="AV519">
        <f>IF(ISNUMBER($AT519),ABS(IF(ISNUMBER($I519),$I519,0)-Settings!$B$24),"")</f>
        <v/>
      </c>
      <c r="AW519">
        <f>IF(ISNUMBER($AV519),$AV519*$AT519,"")</f>
        <v/>
      </c>
      <c r="AX519">
        <f>IF(ISNUMBER($AU519),ABS(IF(ISNUMBER($I519),$I519,0)-Settings!$B$24),"")</f>
        <v/>
      </c>
      <c r="AZ519">
        <f>IF($A519="","",IFERROR(INDEX(Company_List!$H$3:$H$207,MATCH($A519,Company_List!$A$3:$A$207,0)),"unassigned"))</f>
        <v/>
      </c>
      <c r="BC519">
        <f>IF($A519="","",IF(COUNTIFS($A$3:$A519,$A519,$C$3:$C519,$C519,$D$3:$D519,$D519,$G$3:$G519,$G519)=1,1,0))</f>
        <v/>
      </c>
      <c r="BK519">
        <f>IF(OR($H519&lt;&gt;"Human",$S519="",$J519="",$Y519="",$Z519=""),"",IF(EXACT(UPPER($J519),UPPER($Y519)),1,0))</f>
        <v/>
      </c>
    </row>
    <row r="520">
      <c r="B520" s="89">
        <f>IF(A520="","",_xlfn.XLOOKUP(A520, Company_List!$A:$A, Company_List!$B:$B, ""))</f>
        <v/>
      </c>
      <c r="J520" s="92">
        <f>IF(OR(I520="",Settings!$B$6=""),"",IF(I520&gt;Settings!$B$6,"BUY",IF(I520&lt;-Settings!$B$6,"SELL","HOLD")))</f>
        <v/>
      </c>
      <c r="Q520" s="95">
        <f>IF(OR(N520="",P520=""),"",ROUND((P520-N520)/N520,4))</f>
        <v/>
      </c>
      <c r="R520" s="84">
        <f>IF(OR(N520="",P520=""),"",IF(Q520&gt;Settings!$B$3/100,"UP",IF(Q520&lt;-Settings!$B$3/100,"DOWN","FLAT")))</f>
        <v/>
      </c>
      <c r="S520" s="84">
        <f>IF(OR(N520="",P520="",J520=""),"",IF(OR(AND(J520="BUY",R520="UP"),AND(J520="SELL",R520="DOWN"),AND(J520="HOLD",R520="FLAT")),"YES","NO"))</f>
        <v/>
      </c>
      <c r="T520" s="85">
        <f>IF(J520="","",IF(J520="BUY",1,IF(J520="SELL",-1,0)))</f>
        <v/>
      </c>
      <c r="U520" s="94">
        <f>IFERROR(IF(OR(J520="",N520="",P520=""),"",IF(T520=0,0,T520*Q520-Settings!$B$4/10000-IF(T520&lt;0,Settings!$B$5/10000,0))),"")</f>
        <v/>
      </c>
      <c r="W520" s="18">
        <f>IF($K520="","",$K520*60)</f>
        <v/>
      </c>
      <c r="X520" s="73">
        <f>IF($A520="","",$A520&amp;"|"&amp;$C520&amp;"|"&amp;$D520)</f>
        <v/>
      </c>
      <c r="Y520" s="73">
        <f>IFERROR(IF($X520="","",INDEX(LLM_Data_Entry!$H$3:$H$548,MATCH($X520,INDEX(LLM_Data_Entry!$A$3:$A$548&amp;"|"&amp;LLM_Data_Entry!$C$3:$C$548&amp;"|"&amp;LLM_Data_Entry!$D$3:$D$548,0),0))),"")</f>
        <v/>
      </c>
      <c r="Z520" s="73">
        <f>IFERROR(IF($X520="","",INDEX(LLM_Data_Entry!$R$3:$R$548,MATCH($X520,INDEX(LLM_Data_Entry!$A$3:$A$548&amp;"|"&amp;LLM_Data_Entry!$C$3:$C$548&amp;"|"&amp;LLM_Data_Entry!$D$3:$D$548,0),0))),"")</f>
        <v/>
      </c>
      <c r="AL520">
        <f>IF($A520="","",IFERROR(INDEX(Company_List!$G$3:$G$207,MATCH($A520,Company_List!$A$3:$A$207,0)),"unassigned"))</f>
        <v/>
      </c>
      <c r="AP520">
        <f>IF($A520="","",IF(COUNTIFS(LLM_Data_Entry!$A$3:$A$548,$A520)&gt;0,"YES","NO"))</f>
        <v/>
      </c>
      <c r="AQ520">
        <f>IF($A520="","",IF(COUNTIFS($A$3:$A520,$A520,$C$3:$C520,$C520,$D$3:$D520,$D520)=1,"YES","NO"))</f>
        <v/>
      </c>
      <c r="AR520">
        <f>IF($A520="","",IF(AND($C520&amp;"-"&amp;$D520&gt;=Settings!$B$19,$C520&amp;"-"&amp;$D520&lt;=Settings!$B$20),"IN","OUT"))</f>
        <v/>
      </c>
      <c r="AS520">
        <f>IF($A520="","",IF($F520="Financial Results","financials",IF($F520="Outlook/Guidance","guidance",IF($F520="Transcript Q&amp;A","qanda",IF($F520="","unrecorded",IF($E520="All","full",IF($E520="","unrecorded",LOWER($E520)&amp;" only")))))))</f>
        <v/>
      </c>
      <c r="AT520">
        <f>IF(AND(OR($J520="BUY",$J520="SELL"),ISNUMBER($U520)),$U520,"")</f>
        <v/>
      </c>
      <c r="AU520">
        <f>IF(AND(OR($J520="BUY",$J520="SELL"),ISNUMBER($AK520)),$AK520,"")</f>
        <v/>
      </c>
      <c r="AV520">
        <f>IF(ISNUMBER($AT520),ABS(IF(ISNUMBER($I520),$I520,0)-Settings!$B$24),"")</f>
        <v/>
      </c>
      <c r="AW520">
        <f>IF(ISNUMBER($AV520),$AV520*$AT520,"")</f>
        <v/>
      </c>
      <c r="AX520">
        <f>IF(ISNUMBER($AU520),ABS(IF(ISNUMBER($I520),$I520,0)-Settings!$B$24),"")</f>
        <v/>
      </c>
      <c r="AZ520">
        <f>IF($A520="","",IFERROR(INDEX(Company_List!$H$3:$H$207,MATCH($A520,Company_List!$A$3:$A$207,0)),"unassigned"))</f>
        <v/>
      </c>
      <c r="BC520">
        <f>IF($A520="","",IF(COUNTIFS($A$3:$A520,$A520,$C$3:$C520,$C520,$D$3:$D520,$D520,$G$3:$G520,$G520)=1,1,0))</f>
        <v/>
      </c>
      <c r="BK520">
        <f>IF(OR($H520&lt;&gt;"Human",$S520="",$J520="",$Y520="",$Z520=""),"",IF(EXACT(UPPER($J520),UPPER($Y520)),1,0))</f>
        <v/>
      </c>
    </row>
    <row r="521">
      <c r="B521" s="89">
        <f>IF(A521="","",_xlfn.XLOOKUP(A521, Company_List!$A:$A, Company_List!$B:$B, ""))</f>
        <v/>
      </c>
      <c r="J521" s="92">
        <f>IF(OR(I521="",Settings!$B$6=""),"",IF(I521&gt;Settings!$B$6,"BUY",IF(I521&lt;-Settings!$B$6,"SELL","HOLD")))</f>
        <v/>
      </c>
      <c r="Q521" s="95">
        <f>IF(OR(N521="",P521=""),"",ROUND((P521-N521)/N521,4))</f>
        <v/>
      </c>
      <c r="R521" s="84">
        <f>IF(OR(N521="",P521=""),"",IF(Q521&gt;Settings!$B$3/100,"UP",IF(Q521&lt;-Settings!$B$3/100,"DOWN","FLAT")))</f>
        <v/>
      </c>
      <c r="S521" s="84">
        <f>IF(OR(N521="",P521="",J521=""),"",IF(OR(AND(J521="BUY",R521="UP"),AND(J521="SELL",R521="DOWN"),AND(J521="HOLD",R521="FLAT")),"YES","NO"))</f>
        <v/>
      </c>
      <c r="T521" s="85">
        <f>IF(J521="","",IF(J521="BUY",1,IF(J521="SELL",-1,0)))</f>
        <v/>
      </c>
      <c r="U521" s="94">
        <f>IFERROR(IF(OR(J521="",N521="",P521=""),"",IF(T521=0,0,T521*Q521-Settings!$B$4/10000-IF(T521&lt;0,Settings!$B$5/10000,0))),"")</f>
        <v/>
      </c>
      <c r="W521" s="18">
        <f>IF($K521="","",$K521*60)</f>
        <v/>
      </c>
      <c r="X521" s="73">
        <f>IF($A521="","",$A521&amp;"|"&amp;$C521&amp;"|"&amp;$D521)</f>
        <v/>
      </c>
      <c r="Y521" s="73">
        <f>IFERROR(IF($X521="","",INDEX(LLM_Data_Entry!$H$3:$H$548,MATCH($X521,INDEX(LLM_Data_Entry!$A$3:$A$548&amp;"|"&amp;LLM_Data_Entry!$C$3:$C$548&amp;"|"&amp;LLM_Data_Entry!$D$3:$D$548,0),0))),"")</f>
        <v/>
      </c>
      <c r="Z521" s="73">
        <f>IFERROR(IF($X521="","",INDEX(LLM_Data_Entry!$R$3:$R$548,MATCH($X521,INDEX(LLM_Data_Entry!$A$3:$A$548&amp;"|"&amp;LLM_Data_Entry!$C$3:$C$548&amp;"|"&amp;LLM_Data_Entry!$D$3:$D$548,0),0))),"")</f>
        <v/>
      </c>
      <c r="AL521">
        <f>IF($A521="","",IFERROR(INDEX(Company_List!$G$3:$G$207,MATCH($A521,Company_List!$A$3:$A$207,0)),"unassigned"))</f>
        <v/>
      </c>
      <c r="AP521">
        <f>IF($A521="","",IF(COUNTIFS(LLM_Data_Entry!$A$3:$A$548,$A521)&gt;0,"YES","NO"))</f>
        <v/>
      </c>
      <c r="AQ521">
        <f>IF($A521="","",IF(COUNTIFS($A$3:$A521,$A521,$C$3:$C521,$C521,$D$3:$D521,$D521)=1,"YES","NO"))</f>
        <v/>
      </c>
      <c r="AR521">
        <f>IF($A521="","",IF(AND($C521&amp;"-"&amp;$D521&gt;=Settings!$B$19,$C521&amp;"-"&amp;$D521&lt;=Settings!$B$20),"IN","OUT"))</f>
        <v/>
      </c>
      <c r="AS521">
        <f>IF($A521="","",IF($F521="Financial Results","financials",IF($F521="Outlook/Guidance","guidance",IF($F521="Transcript Q&amp;A","qanda",IF($F521="","unrecorded",IF($E521="All","full",IF($E521="","unrecorded",LOWER($E521)&amp;" only")))))))</f>
        <v/>
      </c>
      <c r="AT521">
        <f>IF(AND(OR($J521="BUY",$J521="SELL"),ISNUMBER($U521)),$U521,"")</f>
        <v/>
      </c>
      <c r="AU521">
        <f>IF(AND(OR($J521="BUY",$J521="SELL"),ISNUMBER($AK521)),$AK521,"")</f>
        <v/>
      </c>
      <c r="AV521">
        <f>IF(ISNUMBER($AT521),ABS(IF(ISNUMBER($I521),$I521,0)-Settings!$B$24),"")</f>
        <v/>
      </c>
      <c r="AW521">
        <f>IF(ISNUMBER($AV521),$AV521*$AT521,"")</f>
        <v/>
      </c>
      <c r="AX521">
        <f>IF(ISNUMBER($AU521),ABS(IF(ISNUMBER($I521),$I521,0)-Settings!$B$24),"")</f>
        <v/>
      </c>
      <c r="AZ521">
        <f>IF($A521="","",IFERROR(INDEX(Company_List!$H$3:$H$207,MATCH($A521,Company_List!$A$3:$A$207,0)),"unassigned"))</f>
        <v/>
      </c>
      <c r="BC521">
        <f>IF($A521="","",IF(COUNTIFS($A$3:$A521,$A521,$C$3:$C521,$C521,$D$3:$D521,$D521,$G$3:$G521,$G521)=1,1,0))</f>
        <v/>
      </c>
      <c r="BK521">
        <f>IF(OR($H521&lt;&gt;"Human",$S521="",$J521="",$Y521="",$Z521=""),"",IF(EXACT(UPPER($J521),UPPER($Y521)),1,0))</f>
        <v/>
      </c>
    </row>
    <row r="522">
      <c r="B522" s="89">
        <f>IF(A522="","",_xlfn.XLOOKUP(A522, Company_List!$A:$A, Company_List!$B:$B, ""))</f>
        <v/>
      </c>
      <c r="J522" s="92">
        <f>IF(OR(I522="",Settings!$B$6=""),"",IF(I522&gt;Settings!$B$6,"BUY",IF(I522&lt;-Settings!$B$6,"SELL","HOLD")))</f>
        <v/>
      </c>
      <c r="Q522" s="95">
        <f>IF(OR(N522="",P522=""),"",ROUND((P522-N522)/N522,4))</f>
        <v/>
      </c>
      <c r="R522" s="84">
        <f>IF(OR(N522="",P522=""),"",IF(Q522&gt;Settings!$B$3/100,"UP",IF(Q522&lt;-Settings!$B$3/100,"DOWN","FLAT")))</f>
        <v/>
      </c>
      <c r="S522" s="84">
        <f>IF(OR(N522="",P522="",J522=""),"",IF(OR(AND(J522="BUY",R522="UP"),AND(J522="SELL",R522="DOWN"),AND(J522="HOLD",R522="FLAT")),"YES","NO"))</f>
        <v/>
      </c>
      <c r="T522" s="85">
        <f>IF(J522="","",IF(J522="BUY",1,IF(J522="SELL",-1,0)))</f>
        <v/>
      </c>
      <c r="U522" s="94">
        <f>IFERROR(IF(OR(J522="",N522="",P522=""),"",IF(T522=0,0,T522*Q522-Settings!$B$4/10000-IF(T522&lt;0,Settings!$B$5/10000,0))),"")</f>
        <v/>
      </c>
      <c r="W522" s="18">
        <f>IF($K522="","",$K522*60)</f>
        <v/>
      </c>
      <c r="X522" s="73">
        <f>IF($A522="","",$A522&amp;"|"&amp;$C522&amp;"|"&amp;$D522)</f>
        <v/>
      </c>
      <c r="Y522" s="73">
        <f>IFERROR(IF($X522="","",INDEX(LLM_Data_Entry!$H$3:$H$548,MATCH($X522,INDEX(LLM_Data_Entry!$A$3:$A$548&amp;"|"&amp;LLM_Data_Entry!$C$3:$C$548&amp;"|"&amp;LLM_Data_Entry!$D$3:$D$548,0),0))),"")</f>
        <v/>
      </c>
      <c r="Z522" s="73">
        <f>IFERROR(IF($X522="","",INDEX(LLM_Data_Entry!$R$3:$R$548,MATCH($X522,INDEX(LLM_Data_Entry!$A$3:$A$548&amp;"|"&amp;LLM_Data_Entry!$C$3:$C$548&amp;"|"&amp;LLM_Data_Entry!$D$3:$D$548,0),0))),"")</f>
        <v/>
      </c>
      <c r="AL522">
        <f>IF($A522="","",IFERROR(INDEX(Company_List!$G$3:$G$207,MATCH($A522,Company_List!$A$3:$A$207,0)),"unassigned"))</f>
        <v/>
      </c>
      <c r="AP522">
        <f>IF($A522="","",IF(COUNTIFS(LLM_Data_Entry!$A$3:$A$548,$A522)&gt;0,"YES","NO"))</f>
        <v/>
      </c>
      <c r="AQ522">
        <f>IF($A522="","",IF(COUNTIFS($A$3:$A522,$A522,$C$3:$C522,$C522,$D$3:$D522,$D522)=1,"YES","NO"))</f>
        <v/>
      </c>
      <c r="AR522">
        <f>IF($A522="","",IF(AND($C522&amp;"-"&amp;$D522&gt;=Settings!$B$19,$C522&amp;"-"&amp;$D522&lt;=Settings!$B$20),"IN","OUT"))</f>
        <v/>
      </c>
      <c r="AS522">
        <f>IF($A522="","",IF($F522="Financial Results","financials",IF($F522="Outlook/Guidance","guidance",IF($F522="Transcript Q&amp;A","qanda",IF($F522="","unrecorded",IF($E522="All","full",IF($E522="","unrecorded",LOWER($E522)&amp;" only")))))))</f>
        <v/>
      </c>
      <c r="AT522">
        <f>IF(AND(OR($J522="BUY",$J522="SELL"),ISNUMBER($U522)),$U522,"")</f>
        <v/>
      </c>
      <c r="AU522">
        <f>IF(AND(OR($J522="BUY",$J522="SELL"),ISNUMBER($AK522)),$AK522,"")</f>
        <v/>
      </c>
      <c r="AV522">
        <f>IF(ISNUMBER($AT522),ABS(IF(ISNUMBER($I522),$I522,0)-Settings!$B$24),"")</f>
        <v/>
      </c>
      <c r="AW522">
        <f>IF(ISNUMBER($AV522),$AV522*$AT522,"")</f>
        <v/>
      </c>
      <c r="AX522">
        <f>IF(ISNUMBER($AU522),ABS(IF(ISNUMBER($I522),$I522,0)-Settings!$B$24),"")</f>
        <v/>
      </c>
      <c r="AZ522">
        <f>IF($A522="","",IFERROR(INDEX(Company_List!$H$3:$H$207,MATCH($A522,Company_List!$A$3:$A$207,0)),"unassigned"))</f>
        <v/>
      </c>
      <c r="BC522">
        <f>IF($A522="","",IF(COUNTIFS($A$3:$A522,$A522,$C$3:$C522,$C522,$D$3:$D522,$D522,$G$3:$G522,$G522)=1,1,0))</f>
        <v/>
      </c>
      <c r="BK522">
        <f>IF(OR($H522&lt;&gt;"Human",$S522="",$J522="",$Y522="",$Z522=""),"",IF(EXACT(UPPER($J522),UPPER($Y522)),1,0))</f>
        <v/>
      </c>
    </row>
    <row r="523">
      <c r="B523" s="89">
        <f>IF(A523="","",_xlfn.XLOOKUP(A523, Company_List!$A:$A, Company_List!$B:$B, ""))</f>
        <v/>
      </c>
      <c r="J523" s="92">
        <f>IF(OR(I523="",Settings!$B$6=""),"",IF(I523&gt;Settings!$B$6,"BUY",IF(I523&lt;-Settings!$B$6,"SELL","HOLD")))</f>
        <v/>
      </c>
      <c r="Q523" s="95">
        <f>IF(OR(N523="",P523=""),"",ROUND((P523-N523)/N523,4))</f>
        <v/>
      </c>
      <c r="R523" s="84">
        <f>IF(OR(N523="",P523=""),"",IF(Q523&gt;Settings!$B$3/100,"UP",IF(Q523&lt;-Settings!$B$3/100,"DOWN","FLAT")))</f>
        <v/>
      </c>
      <c r="S523" s="84">
        <f>IF(OR(N523="",P523="",J523=""),"",IF(OR(AND(J523="BUY",R523="UP"),AND(J523="SELL",R523="DOWN"),AND(J523="HOLD",R523="FLAT")),"YES","NO"))</f>
        <v/>
      </c>
      <c r="T523" s="85">
        <f>IF(J523="","",IF(J523="BUY",1,IF(J523="SELL",-1,0)))</f>
        <v/>
      </c>
      <c r="U523" s="94">
        <f>IFERROR(IF(OR(J523="",N523="",P523=""),"",IF(T523=0,0,T523*Q523-Settings!$B$4/10000-IF(T523&lt;0,Settings!$B$5/10000,0))),"")</f>
        <v/>
      </c>
      <c r="W523" s="18">
        <f>IF($K523="","",$K523*60)</f>
        <v/>
      </c>
      <c r="X523" s="73">
        <f>IF($A523="","",$A523&amp;"|"&amp;$C523&amp;"|"&amp;$D523)</f>
        <v/>
      </c>
      <c r="Y523" s="73">
        <f>IFERROR(IF($X523="","",INDEX(LLM_Data_Entry!$H$3:$H$548,MATCH($X523,INDEX(LLM_Data_Entry!$A$3:$A$548&amp;"|"&amp;LLM_Data_Entry!$C$3:$C$548&amp;"|"&amp;LLM_Data_Entry!$D$3:$D$548,0),0))),"")</f>
        <v/>
      </c>
      <c r="Z523" s="73">
        <f>IFERROR(IF($X523="","",INDEX(LLM_Data_Entry!$R$3:$R$548,MATCH($X523,INDEX(LLM_Data_Entry!$A$3:$A$548&amp;"|"&amp;LLM_Data_Entry!$C$3:$C$548&amp;"|"&amp;LLM_Data_Entry!$D$3:$D$548,0),0))),"")</f>
        <v/>
      </c>
      <c r="AL523">
        <f>IF($A523="","",IFERROR(INDEX(Company_List!$G$3:$G$207,MATCH($A523,Company_List!$A$3:$A$207,0)),"unassigned"))</f>
        <v/>
      </c>
      <c r="AP523">
        <f>IF($A523="","",IF(COUNTIFS(LLM_Data_Entry!$A$3:$A$548,$A523)&gt;0,"YES","NO"))</f>
        <v/>
      </c>
      <c r="AQ523">
        <f>IF($A523="","",IF(COUNTIFS($A$3:$A523,$A523,$C$3:$C523,$C523,$D$3:$D523,$D523)=1,"YES","NO"))</f>
        <v/>
      </c>
      <c r="AR523">
        <f>IF($A523="","",IF(AND($C523&amp;"-"&amp;$D523&gt;=Settings!$B$19,$C523&amp;"-"&amp;$D523&lt;=Settings!$B$20),"IN","OUT"))</f>
        <v/>
      </c>
      <c r="AS523">
        <f>IF($A523="","",IF($F523="Financial Results","financials",IF($F523="Outlook/Guidance","guidance",IF($F523="Transcript Q&amp;A","qanda",IF($F523="","unrecorded",IF($E523="All","full",IF($E523="","unrecorded",LOWER($E523)&amp;" only")))))))</f>
        <v/>
      </c>
      <c r="AT523">
        <f>IF(AND(OR($J523="BUY",$J523="SELL"),ISNUMBER($U523)),$U523,"")</f>
        <v/>
      </c>
      <c r="AU523">
        <f>IF(AND(OR($J523="BUY",$J523="SELL"),ISNUMBER($AK523)),$AK523,"")</f>
        <v/>
      </c>
      <c r="AV523">
        <f>IF(ISNUMBER($AT523),ABS(IF(ISNUMBER($I523),$I523,0)-Settings!$B$24),"")</f>
        <v/>
      </c>
      <c r="AW523">
        <f>IF(ISNUMBER($AV523),$AV523*$AT523,"")</f>
        <v/>
      </c>
      <c r="AX523">
        <f>IF(ISNUMBER($AU523),ABS(IF(ISNUMBER($I523),$I523,0)-Settings!$B$24),"")</f>
        <v/>
      </c>
      <c r="AZ523">
        <f>IF($A523="","",IFERROR(INDEX(Company_List!$H$3:$H$207,MATCH($A523,Company_List!$A$3:$A$207,0)),"unassigned"))</f>
        <v/>
      </c>
      <c r="BC523">
        <f>IF($A523="","",IF(COUNTIFS($A$3:$A523,$A523,$C$3:$C523,$C523,$D$3:$D523,$D523,$G$3:$G523,$G523)=1,1,0))</f>
        <v/>
      </c>
      <c r="BK523">
        <f>IF(OR($H523&lt;&gt;"Human",$S523="",$J523="",$Y523="",$Z523=""),"",IF(EXACT(UPPER($J523),UPPER($Y523)),1,0))</f>
        <v/>
      </c>
    </row>
    <row r="524">
      <c r="B524" s="89">
        <f>IF(A524="","",_xlfn.XLOOKUP(A524, Company_List!$A:$A, Company_List!$B:$B, ""))</f>
        <v/>
      </c>
      <c r="J524" s="92">
        <f>IF(OR(I524="",Settings!$B$6=""),"",IF(I524&gt;Settings!$B$6,"BUY",IF(I524&lt;-Settings!$B$6,"SELL","HOLD")))</f>
        <v/>
      </c>
      <c r="Q524" s="95">
        <f>IF(OR(N524="",P524=""),"",ROUND((P524-N524)/N524,4))</f>
        <v/>
      </c>
      <c r="R524" s="84">
        <f>IF(OR(N524="",P524=""),"",IF(Q524&gt;Settings!$B$3/100,"UP",IF(Q524&lt;-Settings!$B$3/100,"DOWN","FLAT")))</f>
        <v/>
      </c>
      <c r="S524" s="84">
        <f>IF(OR(N524="",P524="",J524=""),"",IF(OR(AND(J524="BUY",R524="UP"),AND(J524="SELL",R524="DOWN"),AND(J524="HOLD",R524="FLAT")),"YES","NO"))</f>
        <v/>
      </c>
      <c r="T524" s="85">
        <f>IF(J524="","",IF(J524="BUY",1,IF(J524="SELL",-1,0)))</f>
        <v/>
      </c>
      <c r="U524" s="94">
        <f>IFERROR(IF(OR(J524="",N524="",P524=""),"",IF(T524=0,0,T524*Q524-Settings!$B$4/10000-IF(T524&lt;0,Settings!$B$5/10000,0))),"")</f>
        <v/>
      </c>
      <c r="W524" s="18">
        <f>IF($K524="","",$K524*60)</f>
        <v/>
      </c>
      <c r="X524" s="73">
        <f>IF($A524="","",$A524&amp;"|"&amp;$C524&amp;"|"&amp;$D524)</f>
        <v/>
      </c>
      <c r="Y524" s="73">
        <f>IFERROR(IF($X524="","",INDEX(LLM_Data_Entry!$H$3:$H$548,MATCH($X524,INDEX(LLM_Data_Entry!$A$3:$A$548&amp;"|"&amp;LLM_Data_Entry!$C$3:$C$548&amp;"|"&amp;LLM_Data_Entry!$D$3:$D$548,0),0))),"")</f>
        <v/>
      </c>
      <c r="Z524" s="73">
        <f>IFERROR(IF($X524="","",INDEX(LLM_Data_Entry!$R$3:$R$548,MATCH($X524,INDEX(LLM_Data_Entry!$A$3:$A$548&amp;"|"&amp;LLM_Data_Entry!$C$3:$C$548&amp;"|"&amp;LLM_Data_Entry!$D$3:$D$548,0),0))),"")</f>
        <v/>
      </c>
      <c r="AL524">
        <f>IF($A524="","",IFERROR(INDEX(Company_List!$G$3:$G$207,MATCH($A524,Company_List!$A$3:$A$207,0)),"unassigned"))</f>
        <v/>
      </c>
      <c r="AP524">
        <f>IF($A524="","",IF(COUNTIFS(LLM_Data_Entry!$A$3:$A$548,$A524)&gt;0,"YES","NO"))</f>
        <v/>
      </c>
      <c r="AQ524">
        <f>IF($A524="","",IF(COUNTIFS($A$3:$A524,$A524,$C$3:$C524,$C524,$D$3:$D524,$D524)=1,"YES","NO"))</f>
        <v/>
      </c>
      <c r="AR524">
        <f>IF($A524="","",IF(AND($C524&amp;"-"&amp;$D524&gt;=Settings!$B$19,$C524&amp;"-"&amp;$D524&lt;=Settings!$B$20),"IN","OUT"))</f>
        <v/>
      </c>
      <c r="AS524">
        <f>IF($A524="","",IF($F524="Financial Results","financials",IF($F524="Outlook/Guidance","guidance",IF($F524="Transcript Q&amp;A","qanda",IF($F524="","unrecorded",IF($E524="All","full",IF($E524="","unrecorded",LOWER($E524)&amp;" only")))))))</f>
        <v/>
      </c>
      <c r="AT524">
        <f>IF(AND(OR($J524="BUY",$J524="SELL"),ISNUMBER($U524)),$U524,"")</f>
        <v/>
      </c>
      <c r="AU524">
        <f>IF(AND(OR($J524="BUY",$J524="SELL"),ISNUMBER($AK524)),$AK524,"")</f>
        <v/>
      </c>
      <c r="AV524">
        <f>IF(ISNUMBER($AT524),ABS(IF(ISNUMBER($I524),$I524,0)-Settings!$B$24),"")</f>
        <v/>
      </c>
      <c r="AW524">
        <f>IF(ISNUMBER($AV524),$AV524*$AT524,"")</f>
        <v/>
      </c>
      <c r="AX524">
        <f>IF(ISNUMBER($AU524),ABS(IF(ISNUMBER($I524),$I524,0)-Settings!$B$24),"")</f>
        <v/>
      </c>
      <c r="AZ524">
        <f>IF($A524="","",IFERROR(INDEX(Company_List!$H$3:$H$207,MATCH($A524,Company_List!$A$3:$A$207,0)),"unassigned"))</f>
        <v/>
      </c>
      <c r="BC524">
        <f>IF($A524="","",IF(COUNTIFS($A$3:$A524,$A524,$C$3:$C524,$C524,$D$3:$D524,$D524,$G$3:$G524,$G524)=1,1,0))</f>
        <v/>
      </c>
      <c r="BK524">
        <f>IF(OR($H524&lt;&gt;"Human",$S524="",$J524="",$Y524="",$Z524=""),"",IF(EXACT(UPPER($J524),UPPER($Y524)),1,0))</f>
        <v/>
      </c>
    </row>
  </sheetData>
  <mergeCells count="1">
    <mergeCell ref="X1:Z1"/>
  </mergeCells>
  <conditionalFormatting sqref="A3:BU422">
    <cfRule type="expression" priority="9" dxfId="51">
      <formula>$BS3="NO"</formula>
    </cfRule>
  </conditionalFormatting>
  <conditionalFormatting sqref="Q3:Q524 R295:S295 S296:S324 U3:U524">
    <cfRule type="cellIs" priority="5" operator="greaterThan" dxfId="21">
      <formula>0</formula>
    </cfRule>
    <cfRule type="cellIs" priority="6" operator="lessThan" dxfId="20">
      <formula>0</formula>
    </cfRule>
  </conditionalFormatting>
  <conditionalFormatting sqref="R3:R524">
    <cfRule type="cellIs" priority="7" operator="equal" dxfId="21">
      <formula>"UP"</formula>
    </cfRule>
    <cfRule type="cellIs" priority="8" operator="equal" dxfId="20">
      <formula>"DOWN"</formula>
    </cfRule>
  </conditionalFormatting>
  <conditionalFormatting sqref="S3:S524">
    <cfRule type="cellIs" priority="1" operator="equal" dxfId="19">
      <formula>"YES"</formula>
    </cfRule>
    <cfRule type="cellIs" priority="2" operator="equal" dxfId="18">
      <formula>"NO"</formula>
    </cfRule>
  </conditionalFormatting>
  <dataValidations count="8">
    <dataValidation sqref="D3:D524" showDropDown="0" showInputMessage="1" showErrorMessage="1" allowBlank="1" errorTitle="Not on the list" error="Use the dropdown. Free text here will break the Summary counts." promptTitle="Quarter" prompt="Pick Q1 to Q4." type="list">
      <formula1>QuarterList</formula1>
    </dataValidation>
    <dataValidation sqref="J3:J524 V242:V273" showDropDown="0" showInputMessage="1" showErrorMessage="1" allowBlank="1" errorTitle="Not on the list" error="Use the dropdown. Free text here will break the Summary counts." promptTitle="Decision" prompt="Pick BUY, HOLD or SELL." type="list">
      <formula1>DecisionList</formula1>
    </dataValidation>
    <dataValidation sqref="I3:I524" showDropDown="0" showInputMessage="0" showErrorMessage="1" allowBlank="1" errorTitle="Out of range" error="Sentiment must be between -1.00 and +1.00." type="decimal">
      <formula1>-1</formula1>
      <formula2>1</formula2>
    </dataValidation>
    <dataValidation sqref="G3:G524" showDropDown="0" showInputMessage="1" showErrorMessage="1" allowBlank="1" errorTitle="Not on the list" error="Use the dropdown. Free text here will break the Summary counts." promptTitle="Rater" prompt="Pick a rater from Settings." type="list">
      <formula1>RaterList</formula1>
    </dataValidation>
    <dataValidation sqref="C3:C524" showDropDown="0" showInputMessage="1" showErrorMessage="1" allowBlank="1" errorTitle="Not on the list" error="Use the dropdown. Free text here will break the Summary counts." promptTitle="Year" prompt="Pick a year." type="list">
      <formula1>YearList</formula1>
    </dataValidation>
    <dataValidation sqref="A3:A524" showDropDown="0" showInputMessage="1" showErrorMessage="1" allowBlank="1" type="list">
      <formula1>CompanyList</formula1>
    </dataValidation>
    <dataValidation sqref="E3:E44 E48:E105 E118:E524" showDropDown="0" showInputMessage="1" showErrorMessage="1" allowBlank="1" type="list">
      <formula1>DocumentList</formula1>
    </dataValidation>
    <dataValidation sqref="F3:F44 F48:F105 F118:F524" showDropDown="0" showInputMessage="1" showErrorMessage="1" allowBlank="1" type="list">
      <formula1>SectionList</formula1>
    </dataValidation>
  </dataValidations>
  <pageMargins left="0.75" right="0.75" top="1" bottom="1" header="0.511811023622047" footer="0.511811023622047"/>
  <pageSetup orientation="landscape" paperSize="9" fitToHeight="0" horizontalDpi="300" verticalDpi="300"/>
  <tableParts count="1">
    <tablePart xmlns:r="http://schemas.openxmlformats.org/officeDocument/2006/relationships" r:id="rId1"/>
  </tableParts>
</worksheet>
</file>

<file path=xl/worksheets/sheet13.xml><?xml version="1.0" encoding="utf-8"?>
<worksheet xmlns="http://schemas.openxmlformats.org/spreadsheetml/2006/main">
  <sheetPr>
    <tabColor rgb="FF404040"/>
    <outlinePr summaryBelow="1" summaryRight="1"/>
    <pageSetUpPr fitToPage="1"/>
  </sheetPr>
  <dimension ref="A1:BB354"/>
  <sheetViews>
    <sheetView showGridLines="0" zoomScale="86" zoomScaleNormal="100" workbookViewId="0">
      <pane xSplit="2" ySplit="2" topLeftCell="D258" activePane="bottomRight" state="frozen"/>
      <selection pane="bottomRight" activeCell="U246" sqref="U246"/>
      <selection pane="bottomLeft" activeCell="A4" sqref="A4"/>
      <selection pane="topRight" activeCell="A1" sqref="A1"/>
    </sheetView>
  </sheetViews>
  <sheetFormatPr baseColWidth="8" defaultColWidth="8.7109375" defaultRowHeight="15"/>
  <cols>
    <col width="20" customWidth="1" style="77" min="1" max="1"/>
    <col width="9" customWidth="1" style="76" min="2" max="2"/>
    <col width="7" customWidth="1" style="241" min="3" max="3"/>
    <col width="8" customWidth="1" style="241" min="4" max="4"/>
    <col width="14" customWidth="1" style="241" min="5" max="5"/>
    <col width="10" customWidth="1" style="241" min="6" max="6"/>
    <col width="11" customWidth="1" style="241" min="7" max="7"/>
    <col width="12" customWidth="1" style="241" min="8" max="8"/>
    <col width="11" customWidth="1" style="14" min="9" max="9"/>
    <col width="14" customWidth="1" style="86" min="10" max="10"/>
    <col width="12" customWidth="1" style="86" min="11" max="11"/>
    <col width="10" customWidth="1" style="241" min="12" max="12"/>
    <col width="13" customWidth="1" style="86" min="13" max="13"/>
    <col width="11" customWidth="1" style="241" min="14" max="15"/>
    <col width="12" customWidth="1" style="241" min="16" max="18"/>
    <col width="8" customWidth="1" style="241" min="19" max="19"/>
    <col width="10" customWidth="1" style="241" min="20" max="20"/>
    <col width="36" bestFit="1" customWidth="1" style="7" min="21" max="21"/>
    <col width="13" customWidth="1" style="241" min="22" max="22"/>
    <col hidden="1" outlineLevel="1" width="13" customWidth="1" style="241" min="23" max="52"/>
    <col collapsed="1" width="14" customWidth="1" style="241" min="53" max="53"/>
    <col width="34" customWidth="1" style="241" min="54" max="54"/>
  </cols>
  <sheetData>
    <row r="1" ht="15" customHeight="1" s="241">
      <c r="A1" s="195" t="inlineStr">
        <is>
          <t>LLM Readings — Data Entry | In Clean Universe column added 2026-08-13, corrected 2026-08-24: 232 YES (N=232 clean universe), 27 NO. The 9 timing-unresolved events have no rows on this sheet, so total exclusions from the 268 scored = 36. | EXTENSION PRICES PATCHED 2026-08-27: the 93 EXTENSION rows' Re-priced columns (W:AD) were unfilled prior to this date, meaning this arm's extension-set prices were never re-anchored to the release-date basis applied to Human_Data_Entry on 2026-08-14. They are now filled from Human_Data_Entry's Re-priced columns for the matching Company/Year/Quarter, since the underlying price move is the same real-world event for both arms. Re-priced correct?/net P&amp;L (AE:AF) are left blank pending confirmation of the exact scoring convention used elsewhere in this sheet; see report_draft.md and CLAUDE.md for the recomputed extension-set figures this correction produces.</t>
        </is>
      </c>
      <c r="W1" t="inlineStr">
        <is>
          <t>SECTION C — re-priced on the declared basis. Values, not formulas. Nothing to the left of here has been changed.</t>
        </is>
      </c>
      <c r="AG1" t="inlineStr">
        <is>
          <t>SECTION D - provenance and classification for the model arm. Same rules as Human_Data_Entry!AL:AY. Columns A:U are untouched pasted values and stay that way.</t>
        </is>
      </c>
    </row>
    <row r="2" ht="30" customHeight="1" s="241">
      <c r="A2" s="171" t="inlineStr">
        <is>
          <t>Company</t>
        </is>
      </c>
      <c r="B2" s="171" t="inlineStr">
        <is>
          <t>Ticker</t>
        </is>
      </c>
      <c r="C2" s="171" t="inlineStr">
        <is>
          <t>Year</t>
        </is>
      </c>
      <c r="D2" s="171" t="inlineStr">
        <is>
          <t>Quarter</t>
        </is>
      </c>
      <c r="E2" s="171" t="inlineStr">
        <is>
          <t>Rater</t>
        </is>
      </c>
      <c r="F2" s="171" t="inlineStr">
        <is>
          <t>Type (Human/LLM)</t>
        </is>
      </c>
      <c r="G2" s="171" t="inlineStr">
        <is>
          <t>Sentiment Score (−1 to +1)</t>
        </is>
      </c>
      <c r="H2" s="171" t="inlineStr">
        <is>
          <t>Decision (BUY/HOLD/SELL)</t>
        </is>
      </c>
      <c r="I2" s="173" t="inlineStr">
        <is>
          <t xml:space="preserve">Time (seconds)
</t>
        </is>
      </c>
      <c r="J2" s="172" t="inlineStr">
        <is>
          <t>Document Date</t>
        </is>
      </c>
      <c r="K2" s="172" t="inlineStr">
        <is>
          <t>Closing Date</t>
        </is>
      </c>
      <c r="L2" s="171" t="inlineStr">
        <is>
          <t>Prior
Close ($)</t>
        </is>
      </c>
      <c r="M2" s="172" t="inlineStr">
        <is>
          <t>Opening Date</t>
        </is>
      </c>
      <c r="N2" s="171" t="inlineStr">
        <is>
          <t>Next Day
Open ($)</t>
        </is>
      </c>
      <c r="O2" s="171" t="inlineStr">
        <is>
          <t>Token Cost ($)</t>
        </is>
      </c>
      <c r="P2" s="171" t="inlineStr">
        <is>
          <t>Actual % Change</t>
        </is>
      </c>
      <c r="Q2" s="171" t="inlineStr">
        <is>
          <t>Actual Direction</t>
        </is>
      </c>
      <c r="R2" s="171" t="inlineStr">
        <is>
          <t>Prediction Correct?</t>
        </is>
      </c>
      <c r="S2" s="171" t="inlineStr">
        <is>
          <t>Position</t>
        </is>
      </c>
      <c r="T2" s="171" t="inlineStr">
        <is>
          <t>Net P&amp;L</t>
        </is>
      </c>
      <c r="U2" s="171" t="inlineStr">
        <is>
          <t>Notes / Risks Flagged</t>
        </is>
      </c>
      <c r="V2" s="171" t="inlineStr">
        <is>
          <t>Event Set</t>
        </is>
      </c>
      <c r="W2" s="171" t="inlineStr">
        <is>
          <t>Re-priced basis</t>
        </is>
      </c>
      <c r="X2" s="171" t="inlineStr">
        <is>
          <t>Re-priced listing</t>
        </is>
      </c>
      <c r="Y2" s="171" t="inlineStr">
        <is>
          <t>Re-priced prior close date</t>
        </is>
      </c>
      <c r="Z2" s="171" t="inlineStr">
        <is>
          <t>Re-priced prior close</t>
        </is>
      </c>
      <c r="AA2" s="171" t="inlineStr">
        <is>
          <t>Re-priced next open date</t>
        </is>
      </c>
      <c r="AB2" s="171" t="inlineStr">
        <is>
          <t>Re-priced next open</t>
        </is>
      </c>
      <c r="AC2" s="171" t="inlineStr">
        <is>
          <t>Re-priced % change</t>
        </is>
      </c>
      <c r="AD2" s="171" t="inlineStr">
        <is>
          <t>Re-priced direction</t>
        </is>
      </c>
      <c r="AE2" s="171" t="inlineStr">
        <is>
          <t>Re-priced correct?</t>
        </is>
      </c>
      <c r="AF2" s="171" t="inlineStr">
        <is>
          <t>Re-priced net P&amp;L</t>
        </is>
      </c>
      <c r="AG2" s="171" t="inlineStr">
        <is>
          <t>Phase</t>
        </is>
      </c>
      <c r="AH2" s="171" t="inlineStr">
        <is>
          <t>Source File</t>
        </is>
      </c>
      <c r="AI2" s="171" t="inlineStr">
        <is>
          <t>Source URL</t>
        </is>
      </c>
      <c r="AJ2" s="171" t="inlineStr">
        <is>
          <t>Source Basis</t>
        </is>
      </c>
      <c r="AK2" s="171" t="inlineStr">
        <is>
          <t>In Human Universe</t>
        </is>
      </c>
      <c r="AL2" s="171" t="inlineStr">
        <is>
          <t>In Window</t>
        </is>
      </c>
      <c r="AM2" s="171" t="inlineStr">
        <is>
          <t>Net P&amp;L on trades (helper)</t>
        </is>
      </c>
      <c r="AN2" s="171" t="inlineStr">
        <is>
          <t>Net P&amp;L on trades, re-priced (helper)</t>
        </is>
      </c>
      <c r="AO2" s="171" t="inlineStr">
        <is>
          <t>Conviction weight (helper)</t>
        </is>
      </c>
      <c r="AP2" s="171" t="inlineStr">
        <is>
          <t>Conviction-weighted P&amp;L (helper)</t>
        </is>
      </c>
      <c r="AQ2" s="171" t="inlineStr">
        <is>
          <t>Conviction weight, re-priced (helper)</t>
        </is>
      </c>
      <c r="AR2" s="171" t="inlineStr">
        <is>
          <t>Conviction-weighted P&amp;L, re-priced (helper)</t>
        </is>
      </c>
      <c r="AS2" s="171" t="inlineStr">
        <is>
          <t>Sector</t>
        </is>
      </c>
      <c r="AT2" s="171" t="inlineStr">
        <is>
          <t>Run</t>
        </is>
      </c>
      <c r="AU2" s="171" t="inlineStr">
        <is>
          <t>Run Evidence</t>
        </is>
      </c>
      <c r="AV2" s="171" t="inlineStr">
        <is>
          <t>Source Documents Cited</t>
        </is>
      </c>
      <c r="AW2" s="171" t="inlineStr">
        <is>
          <t>Source Publisher</t>
        </is>
      </c>
      <c r="AX2" s="171" t="inlineStr">
        <is>
          <t>Source Licence Class</t>
        </is>
      </c>
      <c r="AY2" s="171" t="inlineStr">
        <is>
          <t>Source Is SEC Periodic Filing</t>
        </is>
      </c>
      <c r="AZ2" s="171" t="inlineStr">
        <is>
          <t>Source In Provenance Manifest</t>
        </is>
      </c>
      <c r="BA2" s="171" t="inlineStr">
        <is>
          <t>In Clean Universe</t>
        </is>
      </c>
      <c r="BB2" s="171" t="inlineStr">
        <is>
          <t>Exclusion Reason</t>
        </is>
      </c>
    </row>
    <row r="3" ht="15" customHeight="1" s="241">
      <c r="A3" s="191" t="inlineStr">
        <is>
          <t>Airbnb</t>
        </is>
      </c>
      <c r="B3" s="188" t="inlineStr">
        <is>
          <t>ABNB</t>
        </is>
      </c>
      <c r="C3" s="176" t="n">
        <v>2026</v>
      </c>
      <c r="D3" s="177" t="inlineStr">
        <is>
          <t>Q1</t>
        </is>
      </c>
      <c r="E3" s="178" t="inlineStr">
        <is>
          <t>Ben/DeepSeek</t>
        </is>
      </c>
      <c r="F3" s="177" t="inlineStr">
        <is>
          <t>LLM</t>
        </is>
      </c>
      <c r="G3" s="196" t="n">
        <v>0.34</v>
      </c>
      <c r="H3" s="177" t="inlineStr">
        <is>
          <t>BUY</t>
        </is>
      </c>
      <c r="I3" s="196" t="n"/>
      <c r="J3" s="182" t="n">
        <v>46149</v>
      </c>
      <c r="K3" s="182" t="n">
        <v>46149</v>
      </c>
      <c r="L3" s="183" t="n">
        <v>140.46</v>
      </c>
      <c r="M3" s="182" t="n">
        <v>46150</v>
      </c>
      <c r="N3" s="183" t="n">
        <v>138.12</v>
      </c>
      <c r="O3" s="180" t="n">
        <v>0.00783</v>
      </c>
      <c r="P3" s="197" t="n">
        <v>-0.016624</v>
      </c>
      <c r="Q3" s="177" t="inlineStr">
        <is>
          <t>FLAT</t>
        </is>
      </c>
      <c r="R3" s="177" t="inlineStr">
        <is>
          <t>NO</t>
        </is>
      </c>
      <c r="S3" s="176" t="n">
        <v>1</v>
      </c>
      <c r="T3" s="197" t="n">
        <v>-0.017624</v>
      </c>
      <c r="U3" s="185" t="inlineStr">
        <is>
          <t>w=[0.80,0.20,0,0] thr=(+0.20,-0.10), deployed default promoted 2026-08-18 (PSR=0.964, permutation p=0.0002 at N=233, restricted search - see blend.py)</t>
        </is>
      </c>
      <c r="V3" s="152" t="inlineStr">
        <is>
          <t>FROZEN</t>
        </is>
      </c>
      <c r="W3" s="152" t="inlineStr">
        <is>
          <t>price signal — only this window shows an abnormal move</t>
        </is>
      </c>
      <c r="X3" s="152" t="inlineStr">
        <is>
          <t>ABNB</t>
        </is>
      </c>
      <c r="Y3" s="152" t="inlineStr">
        <is>
          <t>2026-05-07</t>
        </is>
      </c>
      <c r="Z3" s="152" t="n">
        <v>140.46</v>
      </c>
      <c r="AA3" s="152" t="inlineStr">
        <is>
          <t>2026-05-08</t>
        </is>
      </c>
      <c r="AB3" s="152" t="n">
        <v>138.125</v>
      </c>
      <c r="AC3" s="152" t="n">
        <v>-0.01662399888674354</v>
      </c>
      <c r="AD3" s="152" t="inlineStr">
        <is>
          <t>FLAT</t>
        </is>
      </c>
      <c r="AE3" s="152" t="inlineStr">
        <is>
          <t>YES</t>
        </is>
      </c>
      <c r="AF3" s="152" t="n">
        <v>0</v>
      </c>
      <c r="AG3" s="152">
        <f>IF($A3="","",IFERROR(INDEX(Company_List!$G$3:$G$207,MATCH($A3,Company_List!$A$3:$A$207,0)),"unassigned"))</f>
        <v/>
      </c>
      <c r="AH3" s="152" t="inlineStr">
        <is>
          <t>Phase 2/Airbnb/2026-Q1/ABNB-2026-Q1-press-release-SEC-EX-99-1.htm</t>
        </is>
      </c>
      <c r="AI3" s="152" t="inlineStr">
        <is>
          <t>https://www.sec.gov/Archives/edgar/data/1559720/000119312526211816/d23351dex991.htm</t>
        </is>
      </c>
      <c r="AJ3" s="152" t="inlineStr">
        <is>
          <t>manifest</t>
        </is>
      </c>
      <c r="AK3" s="152">
        <f>IF($A3="","",IF(COUNTIFS(Human_Data_Entry!$A$3:$A$525,$A3)&gt;0,"YES","NO"))</f>
        <v/>
      </c>
      <c r="AL3" s="152">
        <f>IF($A3="","",IF(AND($C3&amp;"-"&amp;$D3&gt;=Settings!$B$19,$C3&amp;"-"&amp;$D3&lt;=Settings!$B$20),"IN","OUT"))</f>
        <v/>
      </c>
      <c r="AM3" s="152">
        <f>IF(AND(OR($H3="BUY",$H3="SELL"),ISNUMBER($T3)),$T3,"")</f>
        <v/>
      </c>
      <c r="AN3" s="152">
        <f>IF(AND(OR($H3="BUY",$H3="SELL"),ISNUMBER($AF3)),$AF3,"")</f>
        <v/>
      </c>
      <c r="AO3" s="152">
        <f>IF(ISNUMBER($AM3),ABS(IF(ISNUMBER($G3),$G3,0)-Settings!$B$25),"")</f>
        <v/>
      </c>
      <c r="AP3" s="152">
        <f>IF(ISNUMBER($AO3),$AO3*$AM3,"")</f>
        <v/>
      </c>
      <c r="AQ3" s="152">
        <f>IF(ISNUMBER($AN3),ABS(IF(ISNUMBER($G3),$G3,0)-Settings!$B$25),"")</f>
        <v/>
      </c>
      <c r="AR3" s="152">
        <f>IF(ISNUMBER($AQ3),$AQ3*$AN3,"")</f>
        <v/>
      </c>
      <c r="AS3" s="152">
        <f>IF($A3="","",IFERROR(INDEX(Company_List!$H$3:$H$207,MATCH($A3,Company_List!$A$3:$A$207,0)),"unassigned"))</f>
        <v/>
      </c>
      <c r="AT3" s="152" t="inlineStr">
        <is>
          <t>re-read since v1</t>
        </is>
      </c>
      <c r="AU3" s="152" t="inlineStr">
        <is>
          <t>Phase 2/Master_Data_v1.xlsx</t>
        </is>
      </c>
      <c r="AV3" s="152" t="n">
        <v>1</v>
      </c>
      <c r="AW3" s="152" t="inlineStr">
        <is>
          <t>not publisher-identified</t>
        </is>
      </c>
      <c r="AX3" s="152" t="inlineStr">
        <is>
          <t>not publisher-identified</t>
        </is>
      </c>
      <c r="AY3" s="152" t="inlineStr">
        <is>
          <t>no</t>
        </is>
      </c>
      <c r="AZ3" s="152" t="inlineStr">
        <is>
          <t>yes</t>
        </is>
      </c>
      <c r="BA3" s="152" t="inlineStr">
        <is>
          <t>YES</t>
        </is>
      </c>
      <c r="BB3" s="152" t="n"/>
    </row>
    <row r="4" ht="15" customHeight="1" s="241">
      <c r="A4" s="191" t="inlineStr">
        <is>
          <t>Airbnb</t>
        </is>
      </c>
      <c r="B4" s="188" t="inlineStr">
        <is>
          <t>ABNB</t>
        </is>
      </c>
      <c r="C4" s="176" t="n">
        <v>2025</v>
      </c>
      <c r="D4" s="177" t="inlineStr">
        <is>
          <t>Q2</t>
        </is>
      </c>
      <c r="E4" s="178" t="inlineStr">
        <is>
          <t>Ben/DeepSeek</t>
        </is>
      </c>
      <c r="F4" s="177" t="inlineStr">
        <is>
          <t>LLM</t>
        </is>
      </c>
      <c r="G4" s="196" t="n">
        <v>0.18</v>
      </c>
      <c r="H4" s="177" t="inlineStr">
        <is>
          <t>HOLD</t>
        </is>
      </c>
      <c r="I4" s="196" t="n"/>
      <c r="J4" s="182" t="n">
        <v>45875</v>
      </c>
      <c r="K4" s="182" t="n">
        <v>45875</v>
      </c>
      <c r="L4" s="183" t="n">
        <v>130.5</v>
      </c>
      <c r="M4" s="182" t="n">
        <v>45876</v>
      </c>
      <c r="N4" s="183" t="n">
        <v>120.38</v>
      </c>
      <c r="O4" s="180" t="n">
        <v>0.008082000000000001</v>
      </c>
      <c r="P4" s="197" t="n">
        <v>-0.07754800000000001</v>
      </c>
      <c r="Q4" s="177" t="inlineStr">
        <is>
          <t>DOWN</t>
        </is>
      </c>
      <c r="R4" s="177" t="inlineStr">
        <is>
          <t>NO</t>
        </is>
      </c>
      <c r="S4" s="176" t="n">
        <v>0</v>
      </c>
      <c r="T4" s="197" t="n">
        <v>0</v>
      </c>
      <c r="U4" s="185" t="inlineStr">
        <is>
          <t>w=[0.80,0.20,0,0] thr=(+0.20,-0.10), deployed default promoted 2026-08-18 (PSR=0.964, permutation p=0.0002 at N=233, restricted search - see blend.py)</t>
        </is>
      </c>
      <c r="V4" s="152" t="inlineStr">
        <is>
          <t>FROZEN</t>
        </is>
      </c>
      <c r="W4" s="152" t="inlineStr">
        <is>
          <t>price signal — only this window shows an abnormal move</t>
        </is>
      </c>
      <c r="X4" s="152" t="inlineStr">
        <is>
          <t>ABNB</t>
        </is>
      </c>
      <c r="Y4" s="152" t="inlineStr">
        <is>
          <t>2025-08-06</t>
        </is>
      </c>
      <c r="Z4" s="152" t="n">
        <v>130.5</v>
      </c>
      <c r="AA4" s="152" t="inlineStr">
        <is>
          <t>2025-08-07</t>
        </is>
      </c>
      <c r="AB4" s="152" t="n">
        <v>120.38</v>
      </c>
      <c r="AC4" s="152" t="n">
        <v>-0.07754791570881224</v>
      </c>
      <c r="AD4" s="152" t="inlineStr">
        <is>
          <t>DOWN</t>
        </is>
      </c>
      <c r="AE4" s="152" t="inlineStr">
        <is>
          <t>NO</t>
        </is>
      </c>
      <c r="AF4" s="152" t="n">
        <v>0</v>
      </c>
      <c r="AG4" s="152">
        <f>IF($A4="","",IFERROR(INDEX(Company_List!$G$3:$G$207,MATCH($A4,Company_List!$A$3:$A$207,0)),"unassigned"))</f>
        <v/>
      </c>
      <c r="AH4" s="152" t="inlineStr">
        <is>
          <t>Phase 2/Airbnb/2025-Q2/ABNB-2025-Q2-press-release-SEC-EX-99-1.htm</t>
        </is>
      </c>
      <c r="AI4" s="152" t="inlineStr">
        <is>
          <t>https://www.sec.gov/Archives/edgar/data/1559720/000119312525174438/d17531dex991.htm</t>
        </is>
      </c>
      <c r="AJ4" s="152" t="inlineStr">
        <is>
          <t>manifest</t>
        </is>
      </c>
      <c r="AK4" s="152">
        <f>IF($A4="","",IF(COUNTIFS(Human_Data_Entry!$A$3:$A$525,$A4)&gt;0,"YES","NO"))</f>
        <v/>
      </c>
      <c r="AL4" s="152">
        <f>IF($A4="","",IF(AND($C4&amp;"-"&amp;$D4&gt;=Settings!$B$19,$C4&amp;"-"&amp;$D4&lt;=Settings!$B$20),"IN","OUT"))</f>
        <v/>
      </c>
      <c r="AM4" s="152">
        <f>IF(AND(OR($H4="BUY",$H4="SELL"),ISNUMBER($T4)),$T4,"")</f>
        <v/>
      </c>
      <c r="AN4" s="152">
        <f>IF(AND(OR($H4="BUY",$H4="SELL"),ISNUMBER($AF4)),$AF4,"")</f>
        <v/>
      </c>
      <c r="AO4" s="152">
        <f>IF(ISNUMBER($AM4),ABS(IF(ISNUMBER($G4),$G4,0)-Settings!$B$25),"")</f>
        <v/>
      </c>
      <c r="AP4" s="152">
        <f>IF(ISNUMBER($AO4),$AO4*$AM4,"")</f>
        <v/>
      </c>
      <c r="AQ4" s="152">
        <f>IF(ISNUMBER($AN4),ABS(IF(ISNUMBER($G4),$G4,0)-Settings!$B$25),"")</f>
        <v/>
      </c>
      <c r="AR4" s="152">
        <f>IF(ISNUMBER($AQ4),$AQ4*$AN4,"")</f>
        <v/>
      </c>
      <c r="AS4" s="152">
        <f>IF($A4="","",IFERROR(INDEX(Company_List!$H$3:$H$207,MATCH($A4,Company_List!$A$3:$A$207,0)),"unassigned"))</f>
        <v/>
      </c>
      <c r="AT4" s="152" t="inlineStr">
        <is>
          <t>re-read since v1</t>
        </is>
      </c>
      <c r="AU4" s="152" t="inlineStr">
        <is>
          <t>Phase 2/Master_Data_v1.xlsx</t>
        </is>
      </c>
      <c r="AV4" s="152" t="n">
        <v>1</v>
      </c>
      <c r="AW4" s="152" t="inlineStr">
        <is>
          <t>not publisher-identified</t>
        </is>
      </c>
      <c r="AX4" s="152" t="inlineStr">
        <is>
          <t>not publisher-identified</t>
        </is>
      </c>
      <c r="AY4" s="152" t="inlineStr">
        <is>
          <t>no</t>
        </is>
      </c>
      <c r="AZ4" s="152" t="inlineStr">
        <is>
          <t>yes</t>
        </is>
      </c>
      <c r="BA4" s="152" t="inlineStr">
        <is>
          <t>YES</t>
        </is>
      </c>
      <c r="BB4" s="152" t="n"/>
    </row>
    <row r="5" ht="15" customHeight="1" s="241">
      <c r="A5" s="191" t="inlineStr">
        <is>
          <t>Airbnb</t>
        </is>
      </c>
      <c r="B5" s="188" t="inlineStr">
        <is>
          <t>ABNB</t>
        </is>
      </c>
      <c r="C5" s="176" t="n">
        <v>2025</v>
      </c>
      <c r="D5" s="177" t="inlineStr">
        <is>
          <t>Q3</t>
        </is>
      </c>
      <c r="E5" s="178" t="inlineStr">
        <is>
          <t>Ben/DeepSeek</t>
        </is>
      </c>
      <c r="F5" s="177" t="inlineStr">
        <is>
          <t>LLM</t>
        </is>
      </c>
      <c r="G5" s="196" t="n">
        <v>0.26</v>
      </c>
      <c r="H5" s="177" t="inlineStr">
        <is>
          <t>BUY</t>
        </is>
      </c>
      <c r="I5" s="196" t="n"/>
      <c r="J5" s="182" t="n">
        <v>45967</v>
      </c>
      <c r="K5" s="182" t="n">
        <v>45967</v>
      </c>
      <c r="L5" s="183" t="n">
        <v>120.53</v>
      </c>
      <c r="M5" s="182" t="n">
        <v>45968</v>
      </c>
      <c r="N5" s="183" t="n">
        <v>125.49</v>
      </c>
      <c r="O5" s="180" t="n">
        <v>0.007759</v>
      </c>
      <c r="P5" s="197" t="n">
        <v>0.041193</v>
      </c>
      <c r="Q5" s="177" t="inlineStr">
        <is>
          <t>UP</t>
        </is>
      </c>
      <c r="R5" s="177" t="inlineStr">
        <is>
          <t>YES</t>
        </is>
      </c>
      <c r="S5" s="176" t="n">
        <v>1</v>
      </c>
      <c r="T5" s="197" t="n">
        <v>0.040193</v>
      </c>
      <c r="U5" s="185" t="inlineStr">
        <is>
          <t>w=[0.80,0.20,0,0] thr=(+0.20,-0.10), deployed default promoted 2026-08-18 (PSR=0.964, permutation p=0.0002 at N=233, restricted search - see blend.py)</t>
        </is>
      </c>
      <c r="V5" s="152" t="inlineStr">
        <is>
          <t>FROZEN</t>
        </is>
      </c>
      <c r="W5" s="152" t="inlineStr">
        <is>
          <t>price signal — only this window shows an abnormal move</t>
        </is>
      </c>
      <c r="X5" s="152" t="inlineStr">
        <is>
          <t>ABNB</t>
        </is>
      </c>
      <c r="Y5" s="152" t="inlineStr">
        <is>
          <t>2025-11-06</t>
        </is>
      </c>
      <c r="Z5" s="152" t="n">
        <v>120.53</v>
      </c>
      <c r="AA5" s="152" t="inlineStr">
        <is>
          <t>2025-11-07</t>
        </is>
      </c>
      <c r="AB5" s="152" t="n">
        <v>125.495</v>
      </c>
      <c r="AC5" s="152" t="n">
        <v>0.04119309749600174</v>
      </c>
      <c r="AD5" s="152" t="inlineStr">
        <is>
          <t>UP</t>
        </is>
      </c>
      <c r="AE5" s="152" t="inlineStr">
        <is>
          <t>YES</t>
        </is>
      </c>
      <c r="AF5" s="152" t="n">
        <v>0.040193</v>
      </c>
      <c r="AG5" s="152">
        <f>IF($A5="","",IFERROR(INDEX(Company_List!$G$3:$G$207,MATCH($A5,Company_List!$A$3:$A$207,0)),"unassigned"))</f>
        <v/>
      </c>
      <c r="AH5" s="152" t="inlineStr">
        <is>
          <t>Phase 2/Airbnb/Airbnb-Q3-2025-Earnings-Call-6-November-2025-5_00-PM-ET.pdf</t>
        </is>
      </c>
      <c r="AI5" s="152" t="n"/>
      <c r="AJ5" s="152" t="inlineStr">
        <is>
          <t>unique filename match</t>
        </is>
      </c>
      <c r="AK5" s="152">
        <f>IF($A5="","",IF(COUNTIFS(Human_Data_Entry!$A$3:$A$525,$A5)&gt;0,"YES","NO"))</f>
        <v/>
      </c>
      <c r="AL5" s="152">
        <f>IF($A5="","",IF(AND($C5&amp;"-"&amp;$D5&gt;=Settings!$B$19,$C5&amp;"-"&amp;$D5&lt;=Settings!$B$20),"IN","OUT"))</f>
        <v/>
      </c>
      <c r="AM5" s="152">
        <f>IF(AND(OR($H5="BUY",$H5="SELL"),ISNUMBER($T5)),$T5,"")</f>
        <v/>
      </c>
      <c r="AN5" s="152">
        <f>IF(AND(OR($H5="BUY",$H5="SELL"),ISNUMBER($AF5)),$AF5,"")</f>
        <v/>
      </c>
      <c r="AO5" s="152">
        <f>IF(ISNUMBER($AM5),ABS(IF(ISNUMBER($G5),$G5,0)-Settings!$B$25),"")</f>
        <v/>
      </c>
      <c r="AP5" s="152">
        <f>IF(ISNUMBER($AO5),$AO5*$AM5,"")</f>
        <v/>
      </c>
      <c r="AQ5" s="152">
        <f>IF(ISNUMBER($AN5),ABS(IF(ISNUMBER($G5),$G5,0)-Settings!$B$25),"")</f>
        <v/>
      </c>
      <c r="AR5" s="152">
        <f>IF(ISNUMBER($AQ5),$AQ5*$AN5,"")</f>
        <v/>
      </c>
      <c r="AS5" s="152">
        <f>IF($A5="","",IFERROR(INDEX(Company_List!$H$3:$H$207,MATCH($A5,Company_List!$A$3:$A$207,0)),"unassigned"))</f>
        <v/>
      </c>
      <c r="AT5" s="152" t="inlineStr">
        <is>
          <t>re-read since v1</t>
        </is>
      </c>
      <c r="AU5" s="152" t="inlineStr">
        <is>
          <t>Phase 2/Master_Data_v1.xlsx</t>
        </is>
      </c>
      <c r="AV5" s="152" t="n">
        <v>1</v>
      </c>
      <c r="AW5" s="152" t="inlineStr">
        <is>
          <t>FactSet CallStreet</t>
        </is>
      </c>
      <c r="AX5" s="152" t="inlineStr">
        <is>
          <t>licensed vendor</t>
        </is>
      </c>
      <c r="AY5" s="152" t="inlineStr">
        <is>
          <t>no</t>
        </is>
      </c>
      <c r="AZ5" s="152" t="inlineStr">
        <is>
          <t>no</t>
        </is>
      </c>
      <c r="BA5" s="152" t="inlineStr">
        <is>
          <t>YES</t>
        </is>
      </c>
      <c r="BB5" s="152" t="n"/>
    </row>
    <row r="6" ht="15" customHeight="1" s="241">
      <c r="A6" s="191" t="inlineStr">
        <is>
          <t>Airbnb</t>
        </is>
      </c>
      <c r="B6" s="188" t="inlineStr">
        <is>
          <t>ABNB</t>
        </is>
      </c>
      <c r="C6" s="176" t="n">
        <v>2025</v>
      </c>
      <c r="D6" s="177" t="inlineStr">
        <is>
          <t>Q4</t>
        </is>
      </c>
      <c r="E6" s="178" t="inlineStr">
        <is>
          <t>Ben/DeepSeek</t>
        </is>
      </c>
      <c r="F6" s="177" t="inlineStr">
        <is>
          <t>LLM</t>
        </is>
      </c>
      <c r="G6" s="196" t="n">
        <v>0.49</v>
      </c>
      <c r="H6" s="177" t="inlineStr">
        <is>
          <t>BUY</t>
        </is>
      </c>
      <c r="I6" s="196" t="n"/>
      <c r="J6" s="182" t="n">
        <v>46065</v>
      </c>
      <c r="K6" s="182" t="n">
        <v>46065</v>
      </c>
      <c r="L6" s="183" t="n">
        <v>115.96</v>
      </c>
      <c r="M6" s="182" t="n">
        <v>46066</v>
      </c>
      <c r="N6" s="183" t="n">
        <v>126.47</v>
      </c>
      <c r="O6" s="180" t="n">
        <v>0.00738</v>
      </c>
      <c r="P6" s="197" t="n">
        <v>0.09059200000000001</v>
      </c>
      <c r="Q6" s="177" t="inlineStr">
        <is>
          <t>UP</t>
        </is>
      </c>
      <c r="R6" s="177" t="inlineStr">
        <is>
          <t>YES</t>
        </is>
      </c>
      <c r="S6" s="176" t="n">
        <v>1</v>
      </c>
      <c r="T6" s="197" t="n">
        <v>0.089592</v>
      </c>
      <c r="U6" s="185" t="inlineStr">
        <is>
          <t>w=[0.80,0.20,0,0] thr=(+0.20,-0.10), deployed default promoted 2026-08-18 (PSR=0.964, permutation p=0.0002 at N=233, restricted search - see blend.py)</t>
        </is>
      </c>
      <c r="V6" s="152" t="inlineStr">
        <is>
          <t>FROZEN</t>
        </is>
      </c>
      <c r="W6" s="152" t="inlineStr">
        <is>
          <t>price signal — only this window shows an abnormal move</t>
        </is>
      </c>
      <c r="X6" s="152" t="inlineStr">
        <is>
          <t>ABNB</t>
        </is>
      </c>
      <c r="Y6" s="152" t="inlineStr">
        <is>
          <t>2026-02-12</t>
        </is>
      </c>
      <c r="Z6" s="152" t="n">
        <v>115.96</v>
      </c>
      <c r="AA6" s="152" t="inlineStr">
        <is>
          <t>2026-02-13</t>
        </is>
      </c>
      <c r="AB6" s="152" t="n">
        <v>126.465</v>
      </c>
      <c r="AC6" s="152" t="n">
        <v>0.09059155821482892</v>
      </c>
      <c r="AD6" s="152" t="inlineStr">
        <is>
          <t>UP</t>
        </is>
      </c>
      <c r="AE6" s="152" t="inlineStr">
        <is>
          <t>YES</t>
        </is>
      </c>
      <c r="AF6" s="152" t="n">
        <v>0.089592</v>
      </c>
      <c r="AG6" s="152">
        <f>IF($A6="","",IFERROR(INDEX(Company_List!$G$3:$G$207,MATCH($A6,Company_List!$A$3:$A$207,0)),"unassigned"))</f>
        <v/>
      </c>
      <c r="AH6" s="152" t="inlineStr">
        <is>
          <t>Phase 2/Airbnb/2025-Q4/ABNB-2025-Q4-press-release-SEC-EX-99-1.htm</t>
        </is>
      </c>
      <c r="AI6" s="152" t="inlineStr">
        <is>
          <t>https://www.sec.gov/Archives/edgar/data/1559720/000119312526048670/d58192dex991.htm</t>
        </is>
      </c>
      <c r="AJ6" s="152" t="inlineStr">
        <is>
          <t>manifest</t>
        </is>
      </c>
      <c r="AK6" s="152">
        <f>IF($A6="","",IF(COUNTIFS(Human_Data_Entry!$A$3:$A$525,$A6)&gt;0,"YES","NO"))</f>
        <v/>
      </c>
      <c r="AL6" s="152">
        <f>IF($A6="","",IF(AND($C6&amp;"-"&amp;$D6&gt;=Settings!$B$19,$C6&amp;"-"&amp;$D6&lt;=Settings!$B$20),"IN","OUT"))</f>
        <v/>
      </c>
      <c r="AM6" s="152">
        <f>IF(AND(OR($H6="BUY",$H6="SELL"),ISNUMBER($T6)),$T6,"")</f>
        <v/>
      </c>
      <c r="AN6" s="152">
        <f>IF(AND(OR($H6="BUY",$H6="SELL"),ISNUMBER($AF6)),$AF6,"")</f>
        <v/>
      </c>
      <c r="AO6" s="152">
        <f>IF(ISNUMBER($AM6),ABS(IF(ISNUMBER($G6),$G6,0)-Settings!$B$25),"")</f>
        <v/>
      </c>
      <c r="AP6" s="152">
        <f>IF(ISNUMBER($AO6),$AO6*$AM6,"")</f>
        <v/>
      </c>
      <c r="AQ6" s="152">
        <f>IF(ISNUMBER($AN6),ABS(IF(ISNUMBER($G6),$G6,0)-Settings!$B$25),"")</f>
        <v/>
      </c>
      <c r="AR6" s="152">
        <f>IF(ISNUMBER($AQ6),$AQ6*$AN6,"")</f>
        <v/>
      </c>
      <c r="AS6" s="152">
        <f>IF($A6="","",IFERROR(INDEX(Company_List!$H$3:$H$207,MATCH($A6,Company_List!$A$3:$A$207,0)),"unassigned"))</f>
        <v/>
      </c>
      <c r="AT6" s="152" t="inlineStr">
        <is>
          <t>re-read since v1</t>
        </is>
      </c>
      <c r="AU6" s="152" t="inlineStr">
        <is>
          <t>Phase 2/Master_Data_v1.xlsx</t>
        </is>
      </c>
      <c r="AV6" s="152" t="n">
        <v>1</v>
      </c>
      <c r="AW6" s="152" t="inlineStr">
        <is>
          <t>not publisher-identified</t>
        </is>
      </c>
      <c r="AX6" s="152" t="inlineStr">
        <is>
          <t>not publisher-identified</t>
        </is>
      </c>
      <c r="AY6" s="152" t="inlineStr">
        <is>
          <t>no</t>
        </is>
      </c>
      <c r="AZ6" s="152" t="inlineStr">
        <is>
          <t>yes</t>
        </is>
      </c>
      <c r="BA6" s="152" t="inlineStr">
        <is>
          <t>YES</t>
        </is>
      </c>
      <c r="BB6" s="152" t="n"/>
    </row>
    <row r="7" ht="15" customHeight="1" s="241">
      <c r="A7" s="191" t="inlineStr">
        <is>
          <t>Amazon</t>
        </is>
      </c>
      <c r="B7" s="188" t="inlineStr">
        <is>
          <t>AMZN</t>
        </is>
      </c>
      <c r="C7" s="176" t="n">
        <v>2026</v>
      </c>
      <c r="D7" s="177" t="inlineStr">
        <is>
          <t>Q1</t>
        </is>
      </c>
      <c r="E7" s="178" t="inlineStr">
        <is>
          <t>Ben/DeepSeek</t>
        </is>
      </c>
      <c r="F7" s="177" t="inlineStr">
        <is>
          <t>LLM</t>
        </is>
      </c>
      <c r="G7" s="196" t="n">
        <v>0.58</v>
      </c>
      <c r="H7" s="177" t="inlineStr">
        <is>
          <t>BUY</t>
        </is>
      </c>
      <c r="I7" s="196" t="n"/>
      <c r="J7" s="182" t="n">
        <v>46141</v>
      </c>
      <c r="K7" s="182" t="n">
        <v>46141</v>
      </c>
      <c r="L7" s="183" t="n">
        <v>263.04</v>
      </c>
      <c r="M7" s="182" t="n">
        <v>46142</v>
      </c>
      <c r="N7" s="183" t="n">
        <v>273.17</v>
      </c>
      <c r="O7" s="180" t="n">
        <v>0.005951</v>
      </c>
      <c r="P7" s="197" t="n">
        <v>0.038511</v>
      </c>
      <c r="Q7" s="177" t="inlineStr">
        <is>
          <t>UP</t>
        </is>
      </c>
      <c r="R7" s="177" t="inlineStr">
        <is>
          <t>YES</t>
        </is>
      </c>
      <c r="S7" s="176" t="n">
        <v>1</v>
      </c>
      <c r="T7" s="197" t="n">
        <v>0.037511</v>
      </c>
      <c r="U7" s="185" t="inlineStr">
        <is>
          <t>w=[0.80,0.20,0,0] thr=(+0.20,-0.10), deployed default promoted 2026-08-18 (PSR=0.964, permutation p=0.0002 at N=233, restricted search - see blend.py)</t>
        </is>
      </c>
      <c r="V7" s="152" t="inlineStr">
        <is>
          <t>FROZEN</t>
        </is>
      </c>
      <c r="W7" s="152" t="inlineStr">
        <is>
          <t>release date + stated time in the document (rater worksheet)</t>
        </is>
      </c>
      <c r="X7" s="152" t="inlineStr">
        <is>
          <t>AMZN</t>
        </is>
      </c>
      <c r="Y7" s="152" t="inlineStr">
        <is>
          <t>2026-04-29</t>
        </is>
      </c>
      <c r="Z7" s="152" t="n">
        <v>263.04</v>
      </c>
      <c r="AA7" s="152" t="inlineStr">
        <is>
          <t>2026-04-30</t>
        </is>
      </c>
      <c r="AB7" s="152" t="n">
        <v>273.17</v>
      </c>
      <c r="AC7" s="152" t="n">
        <v>0.03851126693049948</v>
      </c>
      <c r="AD7" s="152" t="inlineStr">
        <is>
          <t>UP</t>
        </is>
      </c>
      <c r="AE7" s="152" t="inlineStr">
        <is>
          <t>YES</t>
        </is>
      </c>
      <c r="AF7" s="152" t="n">
        <v>0.037511</v>
      </c>
      <c r="AG7" s="152">
        <f>IF($A7="","",IFERROR(INDEX(Company_List!$G$3:$G$207,MATCH($A7,Company_List!$A$3:$A$207,0)),"unassigned"))</f>
        <v/>
      </c>
      <c r="AH7" s="152" t="inlineStr">
        <is>
          <t>Phase 2/Amazon/2026-Q1/AMZN-2026-Q1-press-release-SEC-EX-99-1.htm</t>
        </is>
      </c>
      <c r="AI7" s="152" t="inlineStr">
        <is>
          <t>https://www.sec.gov/Archives/edgar/data/1018724/000101872426000012/amzn-20260331xex991.htm</t>
        </is>
      </c>
      <c r="AJ7" s="152" t="inlineStr">
        <is>
          <t>manifest</t>
        </is>
      </c>
      <c r="AK7" s="152">
        <f>IF($A7="","",IF(COUNTIFS(Human_Data_Entry!$A$3:$A$525,$A7)&gt;0,"YES","NO"))</f>
        <v/>
      </c>
      <c r="AL7" s="152">
        <f>IF($A7="","",IF(AND($C7&amp;"-"&amp;$D7&gt;=Settings!$B$19,$C7&amp;"-"&amp;$D7&lt;=Settings!$B$20),"IN","OUT"))</f>
        <v/>
      </c>
      <c r="AM7" s="152">
        <f>IF(AND(OR($H7="BUY",$H7="SELL"),ISNUMBER($T7)),$T7,"")</f>
        <v/>
      </c>
      <c r="AN7" s="152">
        <f>IF(AND(OR($H7="BUY",$H7="SELL"),ISNUMBER($AF7)),$AF7,"")</f>
        <v/>
      </c>
      <c r="AO7" s="152">
        <f>IF(ISNUMBER($AM7),ABS(IF(ISNUMBER($G7),$G7,0)-Settings!$B$25),"")</f>
        <v/>
      </c>
      <c r="AP7" s="152">
        <f>IF(ISNUMBER($AO7),$AO7*$AM7,"")</f>
        <v/>
      </c>
      <c r="AQ7" s="152">
        <f>IF(ISNUMBER($AN7),ABS(IF(ISNUMBER($G7),$G7,0)-Settings!$B$25),"")</f>
        <v/>
      </c>
      <c r="AR7" s="152">
        <f>IF(ISNUMBER($AQ7),$AQ7*$AN7,"")</f>
        <v/>
      </c>
      <c r="AS7" s="152">
        <f>IF($A7="","",IFERROR(INDEX(Company_List!$H$3:$H$207,MATCH($A7,Company_List!$A$3:$A$207,0)),"unassigned"))</f>
        <v/>
      </c>
      <c r="AT7" s="152" t="inlineStr">
        <is>
          <t>re-read since v1</t>
        </is>
      </c>
      <c r="AU7" s="152" t="inlineStr">
        <is>
          <t>Phase 2/Master_Data_v1.xlsx</t>
        </is>
      </c>
      <c r="AV7" s="152" t="n">
        <v>1</v>
      </c>
      <c r="AW7" s="152" t="inlineStr">
        <is>
          <t>not publisher-identified</t>
        </is>
      </c>
      <c r="AX7" s="152" t="inlineStr">
        <is>
          <t>not publisher-identified</t>
        </is>
      </c>
      <c r="AY7" s="152" t="inlineStr">
        <is>
          <t>no</t>
        </is>
      </c>
      <c r="AZ7" s="152" t="inlineStr">
        <is>
          <t>yes</t>
        </is>
      </c>
      <c r="BA7" s="198" t="inlineStr">
        <is>
          <t>NO</t>
        </is>
      </c>
      <c r="BB7" s="198" t="inlineStr">
        <is>
          <t>worksheet contamination</t>
        </is>
      </c>
    </row>
    <row r="8" ht="15" customHeight="1" s="241">
      <c r="A8" s="191" t="inlineStr">
        <is>
          <t>Amazon</t>
        </is>
      </c>
      <c r="B8" s="188" t="inlineStr">
        <is>
          <t>AMZN</t>
        </is>
      </c>
      <c r="C8" s="176" t="n">
        <v>2025</v>
      </c>
      <c r="D8" s="177" t="inlineStr">
        <is>
          <t>Q3</t>
        </is>
      </c>
      <c r="E8" s="178" t="inlineStr">
        <is>
          <t>Ben/DeepSeek</t>
        </is>
      </c>
      <c r="F8" s="177" t="inlineStr">
        <is>
          <t>LLM</t>
        </is>
      </c>
      <c r="G8" s="196" t="n">
        <v>-0.38</v>
      </c>
      <c r="H8" s="177" t="inlineStr">
        <is>
          <t>SELL</t>
        </is>
      </c>
      <c r="I8" s="196" t="n"/>
      <c r="J8" s="182" t="n">
        <v>45960</v>
      </c>
      <c r="K8" s="182" t="n">
        <v>45960</v>
      </c>
      <c r="L8" s="183" t="n">
        <v>222.86</v>
      </c>
      <c r="M8" s="182" t="n">
        <v>45961</v>
      </c>
      <c r="N8" s="183" t="n">
        <v>250.1</v>
      </c>
      <c r="O8" s="180" t="n">
        <v>0.006521</v>
      </c>
      <c r="P8" s="197" t="n">
        <v>0.122229</v>
      </c>
      <c r="Q8" s="177" t="inlineStr">
        <is>
          <t>UP</t>
        </is>
      </c>
      <c r="R8" s="177" t="inlineStr">
        <is>
          <t>NO</t>
        </is>
      </c>
      <c r="S8" s="176" t="n">
        <v>-1</v>
      </c>
      <c r="T8" s="197" t="n">
        <v>-0.123229</v>
      </c>
      <c r="U8" s="185" t="inlineStr">
        <is>
          <t>w=[0.80,0.20,0,0] thr=(+0.20,-0.10), deployed default promoted 2026-08-18 (PSR=0.964, permutation p=0.0002 at N=233, restricted search - see blend.py)</t>
        </is>
      </c>
      <c r="V8" s="152" t="inlineStr">
        <is>
          <t>FROZEN</t>
        </is>
      </c>
      <c r="W8" s="152" t="inlineStr">
        <is>
          <t>release date + stated time in the document (rater worksheet)</t>
        </is>
      </c>
      <c r="X8" s="152" t="inlineStr">
        <is>
          <t>AMZN</t>
        </is>
      </c>
      <c r="Y8" s="152" t="inlineStr">
        <is>
          <t>2025-10-30</t>
        </is>
      </c>
      <c r="Z8" s="152" t="n">
        <v>222.86</v>
      </c>
      <c r="AA8" s="152" t="inlineStr">
        <is>
          <t>2025-10-31</t>
        </is>
      </c>
      <c r="AB8" s="152" t="n">
        <v>250.1</v>
      </c>
      <c r="AC8" s="152" t="n">
        <v>0.1222292240768679</v>
      </c>
      <c r="AD8" s="152" t="inlineStr">
        <is>
          <t>UP</t>
        </is>
      </c>
      <c r="AE8" s="152" t="inlineStr">
        <is>
          <t>NO</t>
        </is>
      </c>
      <c r="AF8" s="152" t="n">
        <v>-0.123229</v>
      </c>
      <c r="AG8" s="152">
        <f>IF($A8="","",IFERROR(INDEX(Company_List!$G$3:$G$207,MATCH($A8,Company_List!$A$3:$A$207,0)),"unassigned"))</f>
        <v/>
      </c>
      <c r="AH8" s="152" t="inlineStr">
        <is>
          <t>Phase 2/Amazon/2025-Q3/AMZN-2025-Q3-press-release-SEC-EX-99-1.htm</t>
        </is>
      </c>
      <c r="AI8" s="152" t="inlineStr">
        <is>
          <t>https://www.sec.gov/Archives/edgar/data/1018724/000101872425000121/amzn-20250930xex991.htm</t>
        </is>
      </c>
      <c r="AJ8" s="152" t="inlineStr">
        <is>
          <t>manifest</t>
        </is>
      </c>
      <c r="AK8" s="152">
        <f>IF($A8="","",IF(COUNTIFS(Human_Data_Entry!$A$3:$A$525,$A8)&gt;0,"YES","NO"))</f>
        <v/>
      </c>
      <c r="AL8" s="152">
        <f>IF($A8="","",IF(AND($C8&amp;"-"&amp;$D8&gt;=Settings!$B$19,$C8&amp;"-"&amp;$D8&lt;=Settings!$B$20),"IN","OUT"))</f>
        <v/>
      </c>
      <c r="AM8" s="152">
        <f>IF(AND(OR($H8="BUY",$H8="SELL"),ISNUMBER($T8)),$T8,"")</f>
        <v/>
      </c>
      <c r="AN8" s="152">
        <f>IF(AND(OR($H8="BUY",$H8="SELL"),ISNUMBER($AF8)),$AF8,"")</f>
        <v/>
      </c>
      <c r="AO8" s="152">
        <f>IF(ISNUMBER($AM8),ABS(IF(ISNUMBER($G8),$G8,0)-Settings!$B$25),"")</f>
        <v/>
      </c>
      <c r="AP8" s="152">
        <f>IF(ISNUMBER($AO8),$AO8*$AM8,"")</f>
        <v/>
      </c>
      <c r="AQ8" s="152">
        <f>IF(ISNUMBER($AN8),ABS(IF(ISNUMBER($G8),$G8,0)-Settings!$B$25),"")</f>
        <v/>
      </c>
      <c r="AR8" s="152">
        <f>IF(ISNUMBER($AQ8),$AQ8*$AN8,"")</f>
        <v/>
      </c>
      <c r="AS8" s="152">
        <f>IF($A8="","",IFERROR(INDEX(Company_List!$H$3:$H$207,MATCH($A8,Company_List!$A$3:$A$207,0)),"unassigned"))</f>
        <v/>
      </c>
      <c r="AT8" s="152" t="inlineStr">
        <is>
          <t>re-read since v1</t>
        </is>
      </c>
      <c r="AU8" s="152" t="inlineStr">
        <is>
          <t>Phase 2/Master_Data_v1.xlsx</t>
        </is>
      </c>
      <c r="AV8" s="152" t="n">
        <v>1</v>
      </c>
      <c r="AW8" s="152" t="inlineStr">
        <is>
          <t>not publisher-identified</t>
        </is>
      </c>
      <c r="AX8" s="152" t="inlineStr">
        <is>
          <t>not publisher-identified</t>
        </is>
      </c>
      <c r="AY8" s="152" t="inlineStr">
        <is>
          <t>no</t>
        </is>
      </c>
      <c r="AZ8" s="152" t="inlineStr">
        <is>
          <t>yes</t>
        </is>
      </c>
      <c r="BA8" s="198" t="inlineStr">
        <is>
          <t>NO</t>
        </is>
      </c>
      <c r="BB8" s="198" t="inlineStr">
        <is>
          <t>worksheet contamination</t>
        </is>
      </c>
    </row>
    <row r="9" ht="15" customHeight="1" s="241">
      <c r="A9" s="191" t="inlineStr">
        <is>
          <t>Amazon</t>
        </is>
      </c>
      <c r="B9" s="188" t="inlineStr">
        <is>
          <t>AMZN</t>
        </is>
      </c>
      <c r="C9" s="176" t="n">
        <v>2025</v>
      </c>
      <c r="D9" s="177" t="inlineStr">
        <is>
          <t>Q4</t>
        </is>
      </c>
      <c r="E9" s="178" t="inlineStr">
        <is>
          <t>Ben/DeepSeek</t>
        </is>
      </c>
      <c r="F9" s="177" t="inlineStr">
        <is>
          <t>LLM</t>
        </is>
      </c>
      <c r="G9" s="196" t="n">
        <v>-0.19</v>
      </c>
      <c r="H9" s="177" t="inlineStr">
        <is>
          <t>SELL</t>
        </is>
      </c>
      <c r="I9" s="196" t="n"/>
      <c r="J9" s="182" t="n">
        <v>46058</v>
      </c>
      <c r="K9" s="182" t="n">
        <v>46058</v>
      </c>
      <c r="L9" s="183" t="n">
        <v>222.69</v>
      </c>
      <c r="M9" s="182" t="n">
        <v>46059</v>
      </c>
      <c r="N9" s="183" t="n">
        <v>202.7</v>
      </c>
      <c r="O9" s="180" t="n">
        <v>0.006899</v>
      </c>
      <c r="P9" s="197" t="n">
        <v>-0.089766</v>
      </c>
      <c r="Q9" s="177" t="inlineStr">
        <is>
          <t>DOWN</t>
        </is>
      </c>
      <c r="R9" s="177" t="inlineStr">
        <is>
          <t>YES</t>
        </is>
      </c>
      <c r="S9" s="176" t="n">
        <v>-1</v>
      </c>
      <c r="T9" s="197" t="n">
        <v>0.088766</v>
      </c>
      <c r="U9" s="185" t="inlineStr">
        <is>
          <t>w=[0.80,0.20,0,0] thr=(+0.20,-0.10), deployed default promoted 2026-08-18 (PSR=0.964, permutation p=0.0002 at N=233, restricted search - see blend.py)</t>
        </is>
      </c>
      <c r="V9" s="152" t="inlineStr">
        <is>
          <t>FROZEN</t>
        </is>
      </c>
      <c r="W9" s="152" t="inlineStr">
        <is>
          <t>recorded price identified against every pulled series</t>
        </is>
      </c>
      <c r="X9" s="152" t="inlineStr">
        <is>
          <t>AMZN</t>
        </is>
      </c>
      <c r="Y9" s="152" t="inlineStr">
        <is>
          <t>2026-02-05</t>
        </is>
      </c>
      <c r="Z9" s="152" t="n">
        <v>222.69</v>
      </c>
      <c r="AA9" s="152" t="inlineStr">
        <is>
          <t>2026-02-06</t>
        </is>
      </c>
      <c r="AB9" s="152" t="n">
        <v>202.7</v>
      </c>
      <c r="AC9" s="152" t="n">
        <v>-0.08976606412711782</v>
      </c>
      <c r="AD9" s="152" t="inlineStr">
        <is>
          <t>DOWN</t>
        </is>
      </c>
      <c r="AE9" s="152" t="inlineStr">
        <is>
          <t>YES</t>
        </is>
      </c>
      <c r="AF9" s="152" t="n">
        <v>0.088766</v>
      </c>
      <c r="AG9" s="152">
        <f>IF($A9="","",IFERROR(INDEX(Company_List!$G$3:$G$207,MATCH($A9,Company_List!$A$3:$A$207,0)),"unassigned"))</f>
        <v/>
      </c>
      <c r="AH9" s="152" t="inlineStr">
        <is>
          <t>Phase 2/Amazon/2025-Q4/AMZN-2025-Q4-press-release-SEC-EX-99-1.htm</t>
        </is>
      </c>
      <c r="AI9" s="152" t="inlineStr">
        <is>
          <t>https://www.sec.gov/Archives/edgar/data/1018724/000101872426000002/amzn-20251231xex991.htm</t>
        </is>
      </c>
      <c r="AJ9" s="152" t="inlineStr">
        <is>
          <t>manifest</t>
        </is>
      </c>
      <c r="AK9" s="152">
        <f>IF($A9="","",IF(COUNTIFS(Human_Data_Entry!$A$3:$A$525,$A9)&gt;0,"YES","NO"))</f>
        <v/>
      </c>
      <c r="AL9" s="152">
        <f>IF($A9="","",IF(AND($C9&amp;"-"&amp;$D9&gt;=Settings!$B$19,$C9&amp;"-"&amp;$D9&lt;=Settings!$B$20),"IN","OUT"))</f>
        <v/>
      </c>
      <c r="AM9" s="152">
        <f>IF(AND(OR($H9="BUY",$H9="SELL"),ISNUMBER($T9)),$T9,"")</f>
        <v/>
      </c>
      <c r="AN9" s="152">
        <f>IF(AND(OR($H9="BUY",$H9="SELL"),ISNUMBER($AF9)),$AF9,"")</f>
        <v/>
      </c>
      <c r="AO9" s="152">
        <f>IF(ISNUMBER($AM9),ABS(IF(ISNUMBER($G9),$G9,0)-Settings!$B$25),"")</f>
        <v/>
      </c>
      <c r="AP9" s="152">
        <f>IF(ISNUMBER($AO9),$AO9*$AM9,"")</f>
        <v/>
      </c>
      <c r="AQ9" s="152">
        <f>IF(ISNUMBER($AN9),ABS(IF(ISNUMBER($G9),$G9,0)-Settings!$B$25),"")</f>
        <v/>
      </c>
      <c r="AR9" s="152">
        <f>IF(ISNUMBER($AQ9),$AQ9*$AN9,"")</f>
        <v/>
      </c>
      <c r="AS9" s="152">
        <f>IF($A9="","",IFERROR(INDEX(Company_List!$H$3:$H$207,MATCH($A9,Company_List!$A$3:$A$207,0)),"unassigned"))</f>
        <v/>
      </c>
      <c r="AT9" s="152" t="inlineStr">
        <is>
          <t>re-read since v1</t>
        </is>
      </c>
      <c r="AU9" s="152" t="inlineStr">
        <is>
          <t>Phase 2/Master_Data_v1.xlsx</t>
        </is>
      </c>
      <c r="AV9" s="152" t="n">
        <v>1</v>
      </c>
      <c r="AW9" s="152" t="inlineStr">
        <is>
          <t>not publisher-identified</t>
        </is>
      </c>
      <c r="AX9" s="152" t="inlineStr">
        <is>
          <t>not publisher-identified</t>
        </is>
      </c>
      <c r="AY9" s="152" t="inlineStr">
        <is>
          <t>no</t>
        </is>
      </c>
      <c r="AZ9" s="152" t="inlineStr">
        <is>
          <t>yes</t>
        </is>
      </c>
      <c r="BA9" s="198" t="inlineStr">
        <is>
          <t>NO</t>
        </is>
      </c>
      <c r="BB9" s="198" t="inlineStr">
        <is>
          <t>worksheet contamination</t>
        </is>
      </c>
    </row>
    <row r="10" ht="15" customHeight="1" s="241">
      <c r="A10" s="191" t="inlineStr">
        <is>
          <t>AMD</t>
        </is>
      </c>
      <c r="B10" s="188" t="inlineStr">
        <is>
          <t>AMD</t>
        </is>
      </c>
      <c r="C10" s="176" t="n">
        <v>2026</v>
      </c>
      <c r="D10" s="177" t="inlineStr">
        <is>
          <t>Q1</t>
        </is>
      </c>
      <c r="E10" s="178" t="inlineStr">
        <is>
          <t>Ben/DeepSeek</t>
        </is>
      </c>
      <c r="F10" s="177" t="inlineStr">
        <is>
          <t>LLM</t>
        </is>
      </c>
      <c r="G10" s="196" t="n">
        <v>0.58</v>
      </c>
      <c r="H10" s="177" t="inlineStr">
        <is>
          <t>BUY</t>
        </is>
      </c>
      <c r="I10" s="196" t="n"/>
      <c r="J10" s="182" t="n">
        <v>46147</v>
      </c>
      <c r="K10" s="182" t="n">
        <v>46147</v>
      </c>
      <c r="L10" s="183" t="n">
        <v>355.26</v>
      </c>
      <c r="M10" s="182" t="n">
        <v>46148</v>
      </c>
      <c r="N10" s="183" t="n">
        <v>409.49</v>
      </c>
      <c r="O10" s="180" t="n">
        <v>0.006512</v>
      </c>
      <c r="P10" s="197" t="n">
        <v>0.152649</v>
      </c>
      <c r="Q10" s="177" t="inlineStr">
        <is>
          <t>UP</t>
        </is>
      </c>
      <c r="R10" s="177" t="inlineStr">
        <is>
          <t>YES</t>
        </is>
      </c>
      <c r="S10" s="176" t="n">
        <v>1</v>
      </c>
      <c r="T10" s="197" t="n">
        <v>0.151649</v>
      </c>
      <c r="U10" s="185" t="inlineStr">
        <is>
          <t>w=[0.80,0.20,0,0] thr=(+0.20,-0.10), deployed default promoted 2026-08-18 (PSR=0.964, permutation p=0.0002 at N=233, restricted search - see blend.py)</t>
        </is>
      </c>
      <c r="V10" s="152" t="inlineStr">
        <is>
          <t>FROZEN</t>
        </is>
      </c>
      <c r="W10" s="152" t="inlineStr">
        <is>
          <t>release date + stated time in the document (rater worksheet)</t>
        </is>
      </c>
      <c r="X10" s="152" t="inlineStr">
        <is>
          <t>AMD</t>
        </is>
      </c>
      <c r="Y10" s="152" t="inlineStr">
        <is>
          <t>2026-05-05</t>
        </is>
      </c>
      <c r="Z10" s="152" t="n">
        <v>355.26</v>
      </c>
      <c r="AA10" s="152" t="inlineStr">
        <is>
          <t>2026-05-06</t>
        </is>
      </c>
      <c r="AB10" s="152" t="n">
        <v>409.49</v>
      </c>
      <c r="AC10" s="152" t="n">
        <v>0.1526487036916989</v>
      </c>
      <c r="AD10" s="152" t="inlineStr">
        <is>
          <t>UP</t>
        </is>
      </c>
      <c r="AE10" s="152" t="inlineStr">
        <is>
          <t>YES</t>
        </is>
      </c>
      <c r="AF10" s="152" t="n">
        <v>0.151649</v>
      </c>
      <c r="AG10" s="152">
        <f>IF($A10="","",IFERROR(INDEX(Company_List!$G$3:$G$207,MATCH($A10,Company_List!$A$3:$A$207,0)),"unassigned"))</f>
        <v/>
      </c>
      <c r="AH10" s="152" t="inlineStr">
        <is>
          <t>Phase 2/AMD/2026-Q1/AMD-2026-Q1-press-release-SEC-EX-99-1.htm</t>
        </is>
      </c>
      <c r="AI10" s="152" t="inlineStr">
        <is>
          <t>https://www.sec.gov/Archives/edgar/data/2488/000000248826000072/q12026991.htm</t>
        </is>
      </c>
      <c r="AJ10" s="152" t="inlineStr">
        <is>
          <t>manifest</t>
        </is>
      </c>
      <c r="AK10" s="152">
        <f>IF($A10="","",IF(COUNTIFS(Human_Data_Entry!$A$3:$A$525,$A10)&gt;0,"YES","NO"))</f>
        <v/>
      </c>
      <c r="AL10" s="152">
        <f>IF($A10="","",IF(AND($C10&amp;"-"&amp;$D10&gt;=Settings!$B$19,$C10&amp;"-"&amp;$D10&lt;=Settings!$B$20),"IN","OUT"))</f>
        <v/>
      </c>
      <c r="AM10" s="152">
        <f>IF(AND(OR($H10="BUY",$H10="SELL"),ISNUMBER($T10)),$T10,"")</f>
        <v/>
      </c>
      <c r="AN10" s="152">
        <f>IF(AND(OR($H10="BUY",$H10="SELL"),ISNUMBER($AF10)),$AF10,"")</f>
        <v/>
      </c>
      <c r="AO10" s="152">
        <f>IF(ISNUMBER($AM10),ABS(IF(ISNUMBER($G10),$G10,0)-Settings!$B$25),"")</f>
        <v/>
      </c>
      <c r="AP10" s="152">
        <f>IF(ISNUMBER($AO10),$AO10*$AM10,"")</f>
        <v/>
      </c>
      <c r="AQ10" s="152">
        <f>IF(ISNUMBER($AN10),ABS(IF(ISNUMBER($G10),$G10,0)-Settings!$B$25),"")</f>
        <v/>
      </c>
      <c r="AR10" s="152">
        <f>IF(ISNUMBER($AQ10),$AQ10*$AN10,"")</f>
        <v/>
      </c>
      <c r="AS10" s="152">
        <f>IF($A10="","",IFERROR(INDEX(Company_List!$H$3:$H$207,MATCH($A10,Company_List!$A$3:$A$207,0)),"unassigned"))</f>
        <v/>
      </c>
      <c r="AT10" s="152" t="inlineStr">
        <is>
          <t>re-read since v1</t>
        </is>
      </c>
      <c r="AU10" s="152" t="inlineStr">
        <is>
          <t>Phase 2/Master_Data_v1.xlsx</t>
        </is>
      </c>
      <c r="AV10" s="152" t="n">
        <v>1</v>
      </c>
      <c r="AW10" s="152" t="inlineStr">
        <is>
          <t>not publisher-identified</t>
        </is>
      </c>
      <c r="AX10" s="152" t="inlineStr">
        <is>
          <t>not publisher-identified</t>
        </is>
      </c>
      <c r="AY10" s="152" t="inlineStr">
        <is>
          <t>no</t>
        </is>
      </c>
      <c r="AZ10" s="152" t="inlineStr">
        <is>
          <t>yes</t>
        </is>
      </c>
      <c r="BA10" s="198" t="inlineStr">
        <is>
          <t>NO</t>
        </is>
      </c>
      <c r="BB10" s="198" t="inlineStr">
        <is>
          <t>worksheet contamination</t>
        </is>
      </c>
    </row>
    <row r="11" ht="15" customHeight="1" s="241">
      <c r="A11" s="191" t="inlineStr">
        <is>
          <t>AMD</t>
        </is>
      </c>
      <c r="B11" s="188" t="inlineStr">
        <is>
          <t>AMD</t>
        </is>
      </c>
      <c r="C11" s="176" t="n">
        <v>2025</v>
      </c>
      <c r="D11" s="177" t="inlineStr">
        <is>
          <t>Q2</t>
        </is>
      </c>
      <c r="E11" s="178" t="inlineStr">
        <is>
          <t>Ben/DeepSeek</t>
        </is>
      </c>
      <c r="F11" s="177" t="inlineStr">
        <is>
          <t>LLM</t>
        </is>
      </c>
      <c r="G11" s="196" t="n">
        <v>0.26</v>
      </c>
      <c r="H11" s="177" t="inlineStr">
        <is>
          <t>BUY</t>
        </is>
      </c>
      <c r="I11" s="196" t="n"/>
      <c r="J11" s="182" t="n">
        <v>45874</v>
      </c>
      <c r="K11" s="182" t="n">
        <v>45874</v>
      </c>
      <c r="L11" s="183" t="n">
        <v>174.31</v>
      </c>
      <c r="M11" s="182" t="n">
        <v>45875</v>
      </c>
      <c r="N11" s="183" t="n">
        <v>165.05</v>
      </c>
      <c r="O11" s="180" t="n">
        <v>0.00632</v>
      </c>
      <c r="P11" s="197" t="n">
        <v>-0.053124</v>
      </c>
      <c r="Q11" s="177" t="inlineStr">
        <is>
          <t>DOWN</t>
        </is>
      </c>
      <c r="R11" s="177" t="inlineStr">
        <is>
          <t>NO</t>
        </is>
      </c>
      <c r="S11" s="176" t="n">
        <v>1</v>
      </c>
      <c r="T11" s="197" t="n">
        <v>-0.054124</v>
      </c>
      <c r="U11" s="185" t="inlineStr">
        <is>
          <t>w=[0.80,0.20,0,0] thr=(+0.20,-0.10), deployed default promoted 2026-08-18 (PSR=0.964, permutation p=0.0002 at N=233, restricted search - see blend.py)</t>
        </is>
      </c>
      <c r="V11" s="152" t="inlineStr">
        <is>
          <t>FROZEN</t>
        </is>
      </c>
      <c r="W11" s="152" t="inlineStr">
        <is>
          <t>release date + stated time in the document (rater worksheet)</t>
        </is>
      </c>
      <c r="X11" s="152" t="inlineStr">
        <is>
          <t>AMD</t>
        </is>
      </c>
      <c r="Y11" s="152" t="inlineStr">
        <is>
          <t>2025-08-05</t>
        </is>
      </c>
      <c r="Z11" s="152" t="n">
        <v>174.31</v>
      </c>
      <c r="AA11" s="152" t="inlineStr">
        <is>
          <t>2025-08-06</t>
        </is>
      </c>
      <c r="AB11" s="152" t="n">
        <v>165.05</v>
      </c>
      <c r="AC11" s="152" t="n">
        <v>-0.05312371697692294</v>
      </c>
      <c r="AD11" s="152" t="inlineStr">
        <is>
          <t>DOWN</t>
        </is>
      </c>
      <c r="AE11" s="152" t="inlineStr">
        <is>
          <t>NO</t>
        </is>
      </c>
      <c r="AF11" s="152" t="n">
        <v>0</v>
      </c>
      <c r="AG11" s="152">
        <f>IF($A11="","",IFERROR(INDEX(Company_List!$G$3:$G$207,MATCH($A11,Company_List!$A$3:$A$207,0)),"unassigned"))</f>
        <v/>
      </c>
      <c r="AH11" s="152" t="inlineStr">
        <is>
          <t>Phase 2/AMD/2025-Q2/AMD-2025-Q2-press-release-SEC-EX-99-1.htm</t>
        </is>
      </c>
      <c r="AI11" s="152" t="inlineStr">
        <is>
          <t>https://www.sec.gov/Archives/edgar/data/2488/000000248825000106/q22025991.htm</t>
        </is>
      </c>
      <c r="AJ11" s="152" t="inlineStr">
        <is>
          <t>manifest</t>
        </is>
      </c>
      <c r="AK11" s="152">
        <f>IF($A11="","",IF(COUNTIFS(Human_Data_Entry!$A$3:$A$525,$A11)&gt;0,"YES","NO"))</f>
        <v/>
      </c>
      <c r="AL11" s="152">
        <f>IF($A11="","",IF(AND($C11&amp;"-"&amp;$D11&gt;=Settings!$B$19,$C11&amp;"-"&amp;$D11&lt;=Settings!$B$20),"IN","OUT"))</f>
        <v/>
      </c>
      <c r="AM11" s="152">
        <f>IF(AND(OR($H11="BUY",$H11="SELL"),ISNUMBER($T11)),$T11,"")</f>
        <v/>
      </c>
      <c r="AN11" s="152">
        <f>IF(AND(OR($H11="BUY",$H11="SELL"),ISNUMBER($AF11)),$AF11,"")</f>
        <v/>
      </c>
      <c r="AO11" s="152">
        <f>IF(ISNUMBER($AM11),ABS(IF(ISNUMBER($G11),$G11,0)-Settings!$B$25),"")</f>
        <v/>
      </c>
      <c r="AP11" s="152">
        <f>IF(ISNUMBER($AO11),$AO11*$AM11,"")</f>
        <v/>
      </c>
      <c r="AQ11" s="152">
        <f>IF(ISNUMBER($AN11),ABS(IF(ISNUMBER($G11),$G11,0)-Settings!$B$25),"")</f>
        <v/>
      </c>
      <c r="AR11" s="152">
        <f>IF(ISNUMBER($AQ11),$AQ11*$AN11,"")</f>
        <v/>
      </c>
      <c r="AS11" s="152">
        <f>IF($A11="","",IFERROR(INDEX(Company_List!$H$3:$H$207,MATCH($A11,Company_List!$A$3:$A$207,0)),"unassigned"))</f>
        <v/>
      </c>
      <c r="AT11" s="152" t="inlineStr">
        <is>
          <t>re-read since v1</t>
        </is>
      </c>
      <c r="AU11" s="152" t="inlineStr">
        <is>
          <t>Phase 2/Master_Data_v1.xlsx</t>
        </is>
      </c>
      <c r="AV11" s="152" t="n">
        <v>1</v>
      </c>
      <c r="AW11" s="152" t="inlineStr">
        <is>
          <t>not publisher-identified</t>
        </is>
      </c>
      <c r="AX11" s="152" t="inlineStr">
        <is>
          <t>not publisher-identified</t>
        </is>
      </c>
      <c r="AY11" s="152" t="inlineStr">
        <is>
          <t>no</t>
        </is>
      </c>
      <c r="AZ11" s="152" t="inlineStr">
        <is>
          <t>yes</t>
        </is>
      </c>
      <c r="BA11" s="198" t="inlineStr">
        <is>
          <t>NO</t>
        </is>
      </c>
      <c r="BB11" s="198" t="inlineStr">
        <is>
          <t>worksheet contamination</t>
        </is>
      </c>
    </row>
    <row r="12" ht="15" customHeight="1" s="241">
      <c r="A12" s="191" t="inlineStr">
        <is>
          <t>AMD</t>
        </is>
      </c>
      <c r="B12" s="188" t="inlineStr">
        <is>
          <t>AMD</t>
        </is>
      </c>
      <c r="C12" s="176" t="n">
        <v>2025</v>
      </c>
      <c r="D12" s="177" t="inlineStr">
        <is>
          <t>Q4</t>
        </is>
      </c>
      <c r="E12" s="178" t="inlineStr">
        <is>
          <t>Ben/DeepSeek</t>
        </is>
      </c>
      <c r="F12" s="177" t="inlineStr">
        <is>
          <t>LLM</t>
        </is>
      </c>
      <c r="G12" s="196" t="n">
        <v>0.65</v>
      </c>
      <c r="H12" s="177" t="inlineStr">
        <is>
          <t>BUY</t>
        </is>
      </c>
      <c r="I12" s="196" t="n"/>
      <c r="J12" s="182" t="n">
        <v>46056</v>
      </c>
      <c r="K12" s="182" t="n">
        <v>46056</v>
      </c>
      <c r="L12" s="183" t="n">
        <v>242.11</v>
      </c>
      <c r="M12" s="182" t="n">
        <v>46057</v>
      </c>
      <c r="N12" s="183" t="n">
        <v>215</v>
      </c>
      <c r="O12" s="180" t="n">
        <v>0.006357</v>
      </c>
      <c r="P12" s="197" t="n">
        <v>-0.111974</v>
      </c>
      <c r="Q12" s="177" t="inlineStr">
        <is>
          <t>DOWN</t>
        </is>
      </c>
      <c r="R12" s="177" t="inlineStr">
        <is>
          <t>NO</t>
        </is>
      </c>
      <c r="S12" s="176" t="n">
        <v>1</v>
      </c>
      <c r="T12" s="197" t="n">
        <v>-0.112974</v>
      </c>
      <c r="U12" s="185" t="inlineStr">
        <is>
          <t>w=[0.80,0.20,0,0] thr=(+0.20,-0.10), deployed default promoted 2026-08-18 (PSR=0.964, permutation p=0.0002 at N=233, restricted search - see blend.py)</t>
        </is>
      </c>
      <c r="V12" s="152" t="inlineStr">
        <is>
          <t>FROZEN</t>
        </is>
      </c>
      <c r="W12" s="152" t="inlineStr">
        <is>
          <t>release date + stated time in the document (rater worksheet)</t>
        </is>
      </c>
      <c r="X12" s="152" t="inlineStr">
        <is>
          <t>AMD</t>
        </is>
      </c>
      <c r="Y12" s="152" t="inlineStr">
        <is>
          <t>2026-02-03</t>
        </is>
      </c>
      <c r="Z12" s="152" t="n">
        <v>242.11</v>
      </c>
      <c r="AA12" s="152" t="inlineStr">
        <is>
          <t>2026-02-04</t>
        </is>
      </c>
      <c r="AB12" s="152" t="n">
        <v>215</v>
      </c>
      <c r="AC12" s="152" t="n">
        <v>-0.1119738998307633</v>
      </c>
      <c r="AD12" s="152" t="inlineStr">
        <is>
          <t>DOWN</t>
        </is>
      </c>
      <c r="AE12" s="152" t="inlineStr">
        <is>
          <t>NO</t>
        </is>
      </c>
      <c r="AF12" s="152" t="n">
        <v>-0.112974</v>
      </c>
      <c r="AG12" s="152">
        <f>IF($A12="","",IFERROR(INDEX(Company_List!$G$3:$G$207,MATCH($A12,Company_List!$A$3:$A$207,0)),"unassigned"))</f>
        <v/>
      </c>
      <c r="AH12" s="152" t="inlineStr">
        <is>
          <t>Phase 2/AMD/2025-Q4/AMD-2025-Q4-press-release-SEC-EX-99-1.htm</t>
        </is>
      </c>
      <c r="AI12" s="152" t="inlineStr">
        <is>
          <t>https://www.sec.gov/Archives/edgar/data/2488/000000248826000014/q42025991.htm</t>
        </is>
      </c>
      <c r="AJ12" s="152" t="inlineStr">
        <is>
          <t>manifest</t>
        </is>
      </c>
      <c r="AK12" s="152">
        <f>IF($A12="","",IF(COUNTIFS(Human_Data_Entry!$A$3:$A$525,$A12)&gt;0,"YES","NO"))</f>
        <v/>
      </c>
      <c r="AL12" s="152">
        <f>IF($A12="","",IF(AND($C12&amp;"-"&amp;$D12&gt;=Settings!$B$19,$C12&amp;"-"&amp;$D12&lt;=Settings!$B$20),"IN","OUT"))</f>
        <v/>
      </c>
      <c r="AM12" s="152">
        <f>IF(AND(OR($H12="BUY",$H12="SELL"),ISNUMBER($T12)),$T12,"")</f>
        <v/>
      </c>
      <c r="AN12" s="152">
        <f>IF(AND(OR($H12="BUY",$H12="SELL"),ISNUMBER($AF12)),$AF12,"")</f>
        <v/>
      </c>
      <c r="AO12" s="152">
        <f>IF(ISNUMBER($AM12),ABS(IF(ISNUMBER($G12),$G12,0)-Settings!$B$25),"")</f>
        <v/>
      </c>
      <c r="AP12" s="152">
        <f>IF(ISNUMBER($AO12),$AO12*$AM12,"")</f>
        <v/>
      </c>
      <c r="AQ12" s="152">
        <f>IF(ISNUMBER($AN12),ABS(IF(ISNUMBER($G12),$G12,0)-Settings!$B$25),"")</f>
        <v/>
      </c>
      <c r="AR12" s="152">
        <f>IF(ISNUMBER($AQ12),$AQ12*$AN12,"")</f>
        <v/>
      </c>
      <c r="AS12" s="152">
        <f>IF($A12="","",IFERROR(INDEX(Company_List!$H$3:$H$207,MATCH($A12,Company_List!$A$3:$A$207,0)),"unassigned"))</f>
        <v/>
      </c>
      <c r="AT12" s="152" t="inlineStr">
        <is>
          <t>re-read since v1</t>
        </is>
      </c>
      <c r="AU12" s="152" t="inlineStr">
        <is>
          <t>Phase 2/Master_Data_v1.xlsx</t>
        </is>
      </c>
      <c r="AV12" s="152" t="n">
        <v>1</v>
      </c>
      <c r="AW12" s="152" t="inlineStr">
        <is>
          <t>not publisher-identified</t>
        </is>
      </c>
      <c r="AX12" s="152" t="inlineStr">
        <is>
          <t>not publisher-identified</t>
        </is>
      </c>
      <c r="AY12" s="152" t="inlineStr">
        <is>
          <t>no</t>
        </is>
      </c>
      <c r="AZ12" s="152" t="inlineStr">
        <is>
          <t>yes</t>
        </is>
      </c>
      <c r="BA12" s="198" t="inlineStr">
        <is>
          <t>NO</t>
        </is>
      </c>
      <c r="BB12" s="198" t="inlineStr">
        <is>
          <t>worksheet contamination</t>
        </is>
      </c>
    </row>
    <row r="13" ht="15" customHeight="1" s="241">
      <c r="A13" s="191" t="inlineStr">
        <is>
          <t>Apple</t>
        </is>
      </c>
      <c r="B13" s="188" t="inlineStr">
        <is>
          <t>AAPL</t>
        </is>
      </c>
      <c r="C13" s="176" t="n">
        <v>2026</v>
      </c>
      <c r="D13" s="177" t="inlineStr">
        <is>
          <t>Q1</t>
        </is>
      </c>
      <c r="E13" s="178" t="inlineStr">
        <is>
          <t>Ben/DeepSeek</t>
        </is>
      </c>
      <c r="F13" s="177" t="inlineStr">
        <is>
          <t>LLM</t>
        </is>
      </c>
      <c r="G13" s="196" t="n">
        <v>0.29</v>
      </c>
      <c r="H13" s="177" t="inlineStr">
        <is>
          <t>BUY</t>
        </is>
      </c>
      <c r="I13" s="196" t="n"/>
      <c r="J13" s="182" t="n">
        <v>46051</v>
      </c>
      <c r="K13" s="182" t="n">
        <v>46051</v>
      </c>
      <c r="L13" s="183" t="n">
        <v>258.28</v>
      </c>
      <c r="M13" s="182" t="n">
        <v>46052</v>
      </c>
      <c r="N13" s="183" t="n">
        <v>255.17</v>
      </c>
      <c r="O13" s="180" t="n">
        <v>0.007147</v>
      </c>
      <c r="P13" s="197" t="n">
        <v>-0.012041</v>
      </c>
      <c r="Q13" s="177" t="inlineStr">
        <is>
          <t>FLAT</t>
        </is>
      </c>
      <c r="R13" s="177" t="inlineStr">
        <is>
          <t>NO</t>
        </is>
      </c>
      <c r="S13" s="176" t="n">
        <v>1</v>
      </c>
      <c r="T13" s="197" t="n">
        <v>-0.013041</v>
      </c>
      <c r="U13" s="185" t="inlineStr">
        <is>
          <t>w=[0.80,0.20,0,0] thr=(+0.20,-0.10), deployed default promoted 2026-08-18 (PSR=0.964, permutation p=0.0002 at N=233, restricted search - see blend.py)</t>
        </is>
      </c>
      <c r="V13" s="152" t="inlineStr">
        <is>
          <t>FROZEN</t>
        </is>
      </c>
      <c r="W13" s="152" t="inlineStr">
        <is>
          <t>price signal — only this window shows an abnormal move</t>
        </is>
      </c>
      <c r="X13" s="152" t="inlineStr">
        <is>
          <t>AAPL</t>
        </is>
      </c>
      <c r="Y13" s="152" t="inlineStr">
        <is>
          <t>2026-01-29</t>
        </is>
      </c>
      <c r="Z13" s="152" t="n">
        <v>257.801</v>
      </c>
      <c r="AA13" s="152" t="inlineStr">
        <is>
          <t>2026-01-30</t>
        </is>
      </c>
      <c r="AB13" s="152" t="n">
        <v>254.6968</v>
      </c>
      <c r="AC13" s="152" t="n">
        <v>-0.01204109121342554</v>
      </c>
      <c r="AD13" s="152" t="inlineStr">
        <is>
          <t>FLAT</t>
        </is>
      </c>
      <c r="AE13" s="152" t="inlineStr">
        <is>
          <t>NO</t>
        </is>
      </c>
      <c r="AF13" s="152" t="n">
        <v>-0.013041</v>
      </c>
      <c r="AG13" s="152">
        <f>IF($A13="","",IFERROR(INDEX(Company_List!$G$3:$G$207,MATCH($A13,Company_List!$A$3:$A$207,0)),"unassigned"))</f>
        <v/>
      </c>
      <c r="AH13" s="152" t="inlineStr">
        <is>
          <t>Phase 2/Apple/Q1 2026 Earnings Call Transcript.pdf; Phase 2/Apple/FY26_Q1_Consolidated_Financial_Statements.pdf</t>
        </is>
      </c>
      <c r="AI13" s="152" t="n"/>
      <c r="AJ13" s="152" t="inlineStr">
        <is>
          <t>whole bundle (Document = All)</t>
        </is>
      </c>
      <c r="AK13" s="152">
        <f>IF($A13="","",IF(COUNTIFS(Human_Data_Entry!$A$3:$A$525,$A13)&gt;0,"YES","NO"))</f>
        <v/>
      </c>
      <c r="AL13" s="152">
        <f>IF($A13="","",IF(AND($C13&amp;"-"&amp;$D13&gt;=Settings!$B$19,$C13&amp;"-"&amp;$D13&lt;=Settings!$B$20),"IN","OUT"))</f>
        <v/>
      </c>
      <c r="AM13" s="152">
        <f>IF(AND(OR($H13="BUY",$H13="SELL"),ISNUMBER($T13)),$T13,"")</f>
        <v/>
      </c>
      <c r="AN13" s="152">
        <f>IF(AND(OR($H13="BUY",$H13="SELL"),ISNUMBER($AF13)),$AF13,"")</f>
        <v/>
      </c>
      <c r="AO13" s="152">
        <f>IF(ISNUMBER($AM13),ABS(IF(ISNUMBER($G13),$G13,0)-Settings!$B$25),"")</f>
        <v/>
      </c>
      <c r="AP13" s="152">
        <f>IF(ISNUMBER($AO13),$AO13*$AM13,"")</f>
        <v/>
      </c>
      <c r="AQ13" s="152">
        <f>IF(ISNUMBER($AN13),ABS(IF(ISNUMBER($G13),$G13,0)-Settings!$B$25),"")</f>
        <v/>
      </c>
      <c r="AR13" s="152">
        <f>IF(ISNUMBER($AQ13),$AQ13*$AN13,"")</f>
        <v/>
      </c>
      <c r="AS13" s="152">
        <f>IF($A13="","",IFERROR(INDEX(Company_List!$H$3:$H$207,MATCH($A13,Company_List!$A$3:$A$207,0)),"unassigned"))</f>
        <v/>
      </c>
      <c r="AT13" s="152" t="inlineStr">
        <is>
          <t>re-read since v1</t>
        </is>
      </c>
      <c r="AU13" s="152" t="inlineStr">
        <is>
          <t>Phase 2/Master_Data_v1.xlsx</t>
        </is>
      </c>
      <c r="AV13" s="152" t="n">
        <v>2</v>
      </c>
      <c r="AW13" s="152" t="inlineStr">
        <is>
          <t>The Motley Fool</t>
        </is>
      </c>
      <c r="AX13" s="152" t="inlineStr">
        <is>
          <t>free to read, copyright asserted</t>
        </is>
      </c>
      <c r="AY13" s="152" t="inlineStr">
        <is>
          <t>no</t>
        </is>
      </c>
      <c r="AZ13" s="152" t="inlineStr">
        <is>
          <t>no</t>
        </is>
      </c>
      <c r="BA13" s="152" t="inlineStr">
        <is>
          <t>YES</t>
        </is>
      </c>
      <c r="BB13" s="152" t="n"/>
    </row>
    <row r="14" ht="15" customHeight="1" s="241">
      <c r="A14" s="191" t="inlineStr">
        <is>
          <t>Apple</t>
        </is>
      </c>
      <c r="B14" s="188" t="inlineStr">
        <is>
          <t>AAPL</t>
        </is>
      </c>
      <c r="C14" s="176" t="n">
        <v>2025</v>
      </c>
      <c r="D14" s="177" t="inlineStr">
        <is>
          <t>Q3</t>
        </is>
      </c>
      <c r="E14" s="178" t="inlineStr">
        <is>
          <t>Ben/DeepSeek</t>
        </is>
      </c>
      <c r="F14" s="177" t="inlineStr">
        <is>
          <t>LLM</t>
        </is>
      </c>
      <c r="G14" s="196" t="n">
        <v>0.14</v>
      </c>
      <c r="H14" s="177" t="inlineStr">
        <is>
          <t>HOLD</t>
        </is>
      </c>
      <c r="I14" s="196" t="n"/>
      <c r="J14" s="182" t="n">
        <v>45869</v>
      </c>
      <c r="K14" s="182" t="n">
        <v>45869</v>
      </c>
      <c r="L14" s="183" t="n">
        <v>207.57</v>
      </c>
      <c r="M14" s="182" t="n">
        <v>45870</v>
      </c>
      <c r="N14" s="183" t="n">
        <v>210.87</v>
      </c>
      <c r="O14" s="180" t="n">
        <v>0.007011</v>
      </c>
      <c r="P14" s="197" t="n">
        <v>0.015898</v>
      </c>
      <c r="Q14" s="177" t="inlineStr">
        <is>
          <t>FLAT</t>
        </is>
      </c>
      <c r="R14" s="177" t="inlineStr">
        <is>
          <t>YES</t>
        </is>
      </c>
      <c r="S14" s="176" t="n">
        <v>0</v>
      </c>
      <c r="T14" s="197" t="n">
        <v>0</v>
      </c>
      <c r="U14" s="185" t="inlineStr">
        <is>
          <t>w=[0.80,0.20,0,0] thr=(+0.20,-0.10), deployed default promoted 2026-08-18 (PSR=0.964, permutation p=0.0002 at N=233, restricted search - see blend.py)</t>
        </is>
      </c>
      <c r="V14" s="152" t="inlineStr">
        <is>
          <t>FROZEN</t>
        </is>
      </c>
      <c r="W14" s="152" t="inlineStr">
        <is>
          <t>price signal — both moved; this one dominates</t>
        </is>
      </c>
      <c r="X14" s="152" t="inlineStr">
        <is>
          <t>AAPL</t>
        </is>
      </c>
      <c r="Y14" s="152" t="inlineStr">
        <is>
          <t>2025-07-31</t>
        </is>
      </c>
      <c r="Z14" s="152" t="n">
        <v>206.7498</v>
      </c>
      <c r="AA14" s="152" t="inlineStr">
        <is>
          <t>2025-08-01</t>
        </is>
      </c>
      <c r="AB14" s="152" t="n">
        <v>210.0367</v>
      </c>
      <c r="AC14" s="152" t="n">
        <v>0.01589826594045488</v>
      </c>
      <c r="AD14" s="152" t="inlineStr">
        <is>
          <t>FLAT</t>
        </is>
      </c>
      <c r="AE14" s="152" t="inlineStr">
        <is>
          <t>YES</t>
        </is>
      </c>
      <c r="AF14" s="152" t="n">
        <v>0</v>
      </c>
      <c r="AG14" s="152">
        <f>IF($A14="","",IFERROR(INDEX(Company_List!$G$3:$G$207,MATCH($A14,Company_List!$A$3:$A$207,0)),"unassigned"))</f>
        <v/>
      </c>
      <c r="AH14" s="152" t="inlineStr">
        <is>
          <t>Phase 2/Apple/Q3 2025 Earnings Call Transcript.pdf; Phase 2/Apple/FY25_Q3_Consolidated_Financial_Statements.pdf</t>
        </is>
      </c>
      <c r="AI14" s="152" t="n"/>
      <c r="AJ14" s="152" t="inlineStr">
        <is>
          <t>whole bundle (Document = All)</t>
        </is>
      </c>
      <c r="AK14" s="152">
        <f>IF($A14="","",IF(COUNTIFS(Human_Data_Entry!$A$3:$A$525,$A14)&gt;0,"YES","NO"))</f>
        <v/>
      </c>
      <c r="AL14" s="152">
        <f>IF($A14="","",IF(AND($C14&amp;"-"&amp;$D14&gt;=Settings!$B$19,$C14&amp;"-"&amp;$D14&lt;=Settings!$B$20),"IN","OUT"))</f>
        <v/>
      </c>
      <c r="AM14" s="152">
        <f>IF(AND(OR($H14="BUY",$H14="SELL"),ISNUMBER($T14)),$T14,"")</f>
        <v/>
      </c>
      <c r="AN14" s="152">
        <f>IF(AND(OR($H14="BUY",$H14="SELL"),ISNUMBER($AF14)),$AF14,"")</f>
        <v/>
      </c>
      <c r="AO14" s="152">
        <f>IF(ISNUMBER($AM14),ABS(IF(ISNUMBER($G14),$G14,0)-Settings!$B$25),"")</f>
        <v/>
      </c>
      <c r="AP14" s="152">
        <f>IF(ISNUMBER($AO14),$AO14*$AM14,"")</f>
        <v/>
      </c>
      <c r="AQ14" s="152">
        <f>IF(ISNUMBER($AN14),ABS(IF(ISNUMBER($G14),$G14,0)-Settings!$B$25),"")</f>
        <v/>
      </c>
      <c r="AR14" s="152">
        <f>IF(ISNUMBER($AQ14),$AQ14*$AN14,"")</f>
        <v/>
      </c>
      <c r="AS14" s="152">
        <f>IF($A14="","",IFERROR(INDEX(Company_List!$H$3:$H$207,MATCH($A14,Company_List!$A$3:$A$207,0)),"unassigned"))</f>
        <v/>
      </c>
      <c r="AT14" s="152" t="inlineStr">
        <is>
          <t>re-read since v1</t>
        </is>
      </c>
      <c r="AU14" s="152" t="inlineStr">
        <is>
          <t>Phase 2/Master_Data_v1.xlsx</t>
        </is>
      </c>
      <c r="AV14" s="152" t="n">
        <v>2</v>
      </c>
      <c r="AW14" s="152" t="inlineStr">
        <is>
          <t>The Motley Fool</t>
        </is>
      </c>
      <c r="AX14" s="152" t="inlineStr">
        <is>
          <t>free to read, copyright asserted</t>
        </is>
      </c>
      <c r="AY14" s="152" t="inlineStr">
        <is>
          <t>no</t>
        </is>
      </c>
      <c r="AZ14" s="152" t="inlineStr">
        <is>
          <t>no</t>
        </is>
      </c>
      <c r="BA14" s="152" t="inlineStr">
        <is>
          <t>YES</t>
        </is>
      </c>
      <c r="BB14" s="152" t="n"/>
    </row>
    <row r="15" ht="15" customHeight="1" s="241">
      <c r="A15" s="191" t="inlineStr">
        <is>
          <t>Apple</t>
        </is>
      </c>
      <c r="B15" s="188" t="inlineStr">
        <is>
          <t>AAPL</t>
        </is>
      </c>
      <c r="C15" s="176" t="n">
        <v>2025</v>
      </c>
      <c r="D15" s="177" t="inlineStr">
        <is>
          <t>Q4</t>
        </is>
      </c>
      <c r="E15" s="178" t="inlineStr">
        <is>
          <t>Ben/DeepSeek</t>
        </is>
      </c>
      <c r="F15" s="177" t="inlineStr">
        <is>
          <t>LLM</t>
        </is>
      </c>
      <c r="G15" s="196" t="n">
        <v>0.3</v>
      </c>
      <c r="H15" s="177" t="inlineStr">
        <is>
          <t>BUY</t>
        </is>
      </c>
      <c r="I15" s="196" t="n"/>
      <c r="J15" s="182" t="n">
        <v>45960</v>
      </c>
      <c r="K15" s="182" t="n">
        <v>45960</v>
      </c>
      <c r="L15" s="183" t="n">
        <v>271.4</v>
      </c>
      <c r="M15" s="182" t="n">
        <v>45961</v>
      </c>
      <c r="N15" s="183" t="n">
        <v>276.99</v>
      </c>
      <c r="O15" s="180" t="n">
        <v>0.006683</v>
      </c>
      <c r="P15" s="197" t="n">
        <v>0.020597</v>
      </c>
      <c r="Q15" s="177" t="inlineStr">
        <is>
          <t>UP</t>
        </is>
      </c>
      <c r="R15" s="177" t="inlineStr">
        <is>
          <t>YES</t>
        </is>
      </c>
      <c r="S15" s="176" t="n">
        <v>1</v>
      </c>
      <c r="T15" s="197" t="n">
        <v>0.019597</v>
      </c>
      <c r="U15" s="185" t="inlineStr">
        <is>
          <t>w=[0.80,0.20,0,0] thr=(+0.20,-0.10), deployed default promoted 2026-08-18 (PSR=0.964, permutation p=0.0002 at N=233, restricted search - see blend.py)</t>
        </is>
      </c>
      <c r="V15" s="152" t="inlineStr">
        <is>
          <t>FROZEN</t>
        </is>
      </c>
      <c r="W15" s="152" t="inlineStr">
        <is>
          <t>earnings calendar, seconded independently (section C)</t>
        </is>
      </c>
      <c r="X15" s="152" t="inlineStr">
        <is>
          <t>AAPL</t>
        </is>
      </c>
      <c r="Y15" s="152" t="inlineStr">
        <is>
          <t>2025-10-30</t>
        </is>
      </c>
      <c r="Z15" s="152" t="n">
        <v>270.6343</v>
      </c>
      <c r="AA15" s="152" t="inlineStr">
        <is>
          <t>2025-10-31</t>
        </is>
      </c>
      <c r="AB15" s="152" t="n">
        <v>276.2086</v>
      </c>
      <c r="AC15" s="152" t="n">
        <v>0.02059686882660206</v>
      </c>
      <c r="AD15" s="152" t="inlineStr">
        <is>
          <t>UP</t>
        </is>
      </c>
      <c r="AE15" s="152" t="inlineStr">
        <is>
          <t>YES</t>
        </is>
      </c>
      <c r="AF15" s="152" t="n">
        <v>0.019597</v>
      </c>
      <c r="AG15" s="152">
        <f>IF($A15="","",IFERROR(INDEX(Company_List!$G$3:$G$207,MATCH($A15,Company_List!$A$3:$A$207,0)),"unassigned"))</f>
        <v/>
      </c>
      <c r="AH15" s="152" t="inlineStr">
        <is>
          <t>Phase 2/Apple/Q4 2025 Earnings Call Transcript.pdf; Phase 2/Apple/FY25_Q4_Consolidated_Financial_Statements.pdf</t>
        </is>
      </c>
      <c r="AI15" s="152" t="n"/>
      <c r="AJ15" s="152" t="inlineStr">
        <is>
          <t>whole bundle (Document = All)</t>
        </is>
      </c>
      <c r="AK15" s="152">
        <f>IF($A15="","",IF(COUNTIFS(Human_Data_Entry!$A$3:$A$525,$A15)&gt;0,"YES","NO"))</f>
        <v/>
      </c>
      <c r="AL15" s="152">
        <f>IF($A15="","",IF(AND($C15&amp;"-"&amp;$D15&gt;=Settings!$B$19,$C15&amp;"-"&amp;$D15&lt;=Settings!$B$20),"IN","OUT"))</f>
        <v/>
      </c>
      <c r="AM15" s="152">
        <f>IF(AND(OR($H15="BUY",$H15="SELL"),ISNUMBER($T15)),$T15,"")</f>
        <v/>
      </c>
      <c r="AN15" s="152">
        <f>IF(AND(OR($H15="BUY",$H15="SELL"),ISNUMBER($AF15)),$AF15,"")</f>
        <v/>
      </c>
      <c r="AO15" s="152">
        <f>IF(ISNUMBER($AM15),ABS(IF(ISNUMBER($G15),$G15,0)-Settings!$B$25),"")</f>
        <v/>
      </c>
      <c r="AP15" s="152">
        <f>IF(ISNUMBER($AO15),$AO15*$AM15,"")</f>
        <v/>
      </c>
      <c r="AQ15" s="152">
        <f>IF(ISNUMBER($AN15),ABS(IF(ISNUMBER($G15),$G15,0)-Settings!$B$25),"")</f>
        <v/>
      </c>
      <c r="AR15" s="152">
        <f>IF(ISNUMBER($AQ15),$AQ15*$AN15,"")</f>
        <v/>
      </c>
      <c r="AS15" s="152">
        <f>IF($A15="","",IFERROR(INDEX(Company_List!$H$3:$H$207,MATCH($A15,Company_List!$A$3:$A$207,0)),"unassigned"))</f>
        <v/>
      </c>
      <c r="AT15" s="152" t="inlineStr">
        <is>
          <t>re-read since v1</t>
        </is>
      </c>
      <c r="AU15" s="152" t="inlineStr">
        <is>
          <t>Phase 2/Master_Data_v1.xlsx</t>
        </is>
      </c>
      <c r="AV15" s="152" t="n">
        <v>2</v>
      </c>
      <c r="AW15" s="152" t="inlineStr">
        <is>
          <t>The Motley Fool</t>
        </is>
      </c>
      <c r="AX15" s="152" t="inlineStr">
        <is>
          <t>free to read, copyright asserted</t>
        </is>
      </c>
      <c r="AY15" s="152" t="inlineStr">
        <is>
          <t>no</t>
        </is>
      </c>
      <c r="AZ15" s="152" t="inlineStr">
        <is>
          <t>no</t>
        </is>
      </c>
      <c r="BA15" s="152" t="inlineStr">
        <is>
          <t>YES</t>
        </is>
      </c>
      <c r="BB15" s="152" t="n"/>
    </row>
    <row r="16" ht="15" customHeight="1" s="241">
      <c r="A16" s="191" t="inlineStr">
        <is>
          <t>CVS Health</t>
        </is>
      </c>
      <c r="B16" s="188" t="inlineStr">
        <is>
          <t>CVS</t>
        </is>
      </c>
      <c r="C16" s="176" t="n">
        <v>2026</v>
      </c>
      <c r="D16" s="177" t="inlineStr">
        <is>
          <t>Q1</t>
        </is>
      </c>
      <c r="E16" s="178" t="inlineStr">
        <is>
          <t>Ben/DeepSeek</t>
        </is>
      </c>
      <c r="F16" s="177" t="inlineStr">
        <is>
          <t>LLM</t>
        </is>
      </c>
      <c r="G16" s="196" t="n">
        <v>0.34</v>
      </c>
      <c r="H16" s="177" t="inlineStr">
        <is>
          <t>BUY</t>
        </is>
      </c>
      <c r="I16" s="196" t="n"/>
      <c r="J16" s="182" t="n">
        <v>46148</v>
      </c>
      <c r="K16" s="182" t="n">
        <v>46147</v>
      </c>
      <c r="L16" s="183" t="n">
        <v>80.69</v>
      </c>
      <c r="M16" s="182" t="n">
        <v>46148</v>
      </c>
      <c r="N16" s="183" t="n">
        <v>85.51000000000001</v>
      </c>
      <c r="O16" s="180" t="n">
        <v>0.007966000000000001</v>
      </c>
      <c r="P16" s="197" t="n">
        <v>0.059735</v>
      </c>
      <c r="Q16" s="177" t="inlineStr">
        <is>
          <t>UP</t>
        </is>
      </c>
      <c r="R16" s="177" t="inlineStr">
        <is>
          <t>YES</t>
        </is>
      </c>
      <c r="S16" s="176" t="n">
        <v>1</v>
      </c>
      <c r="T16" s="197" t="n">
        <v>0.058735</v>
      </c>
      <c r="U16" s="185" t="inlineStr">
        <is>
          <t>w=[0.80,0.20,0,0] thr=(+0.20,-0.10), deployed default promoted 2026-08-18 (PSR=0.964, permutation p=0.0002 at N=233, restricted search - see blend.py)</t>
        </is>
      </c>
      <c r="V16" s="152" t="inlineStr">
        <is>
          <t>FROZEN</t>
        </is>
      </c>
      <c r="W16" s="152" t="inlineStr">
        <is>
          <t>recorded price identified against every pulled series</t>
        </is>
      </c>
      <c r="X16" s="152" t="inlineStr">
        <is>
          <t>CVS</t>
        </is>
      </c>
      <c r="Y16" s="152" t="inlineStr">
        <is>
          <t>2026-05-05</t>
        </is>
      </c>
      <c r="Z16" s="152" t="n">
        <v>80.1935</v>
      </c>
      <c r="AA16" s="152" t="inlineStr">
        <is>
          <t>2026-05-06</t>
        </is>
      </c>
      <c r="AB16" s="152" t="n">
        <v>84.98390000000001</v>
      </c>
      <c r="AC16" s="152" t="n">
        <v>0.05973477609127331</v>
      </c>
      <c r="AD16" s="152" t="inlineStr">
        <is>
          <t>UP</t>
        </is>
      </c>
      <c r="AE16" s="152" t="inlineStr">
        <is>
          <t>NO</t>
        </is>
      </c>
      <c r="AF16" s="152" t="n">
        <v>0</v>
      </c>
      <c r="AG16" s="152">
        <f>IF($A16="","",IFERROR(INDEX(Company_List!$G$3:$G$207,MATCH($A16,Company_List!$A$3:$A$207,0)),"unassigned"))</f>
        <v/>
      </c>
      <c r="AH16" s="152" t="inlineStr">
        <is>
          <t>Phase 2/CVS Health/CVS-Health-Q1-2026-Earnings-Transcript.pdf</t>
        </is>
      </c>
      <c r="AI16" s="152" t="n"/>
      <c r="AJ16" s="152" t="inlineStr">
        <is>
          <t>unique filename match</t>
        </is>
      </c>
      <c r="AK16" s="152">
        <f>IF($A16="","",IF(COUNTIFS(Human_Data_Entry!$A$3:$A$525,$A16)&gt;0,"YES","NO"))</f>
        <v/>
      </c>
      <c r="AL16" s="152">
        <f>IF($A16="","",IF(AND($C16&amp;"-"&amp;$D16&gt;=Settings!$B$19,$C16&amp;"-"&amp;$D16&lt;=Settings!$B$20),"IN","OUT"))</f>
        <v/>
      </c>
      <c r="AM16" s="152">
        <f>IF(AND(OR($H16="BUY",$H16="SELL"),ISNUMBER($T16)),$T16,"")</f>
        <v/>
      </c>
      <c r="AN16" s="152">
        <f>IF(AND(OR($H16="BUY",$H16="SELL"),ISNUMBER($AF16)),$AF16,"")</f>
        <v/>
      </c>
      <c r="AO16" s="152">
        <f>IF(ISNUMBER($AM16),ABS(IF(ISNUMBER($G16),$G16,0)-Settings!$B$25),"")</f>
        <v/>
      </c>
      <c r="AP16" s="152">
        <f>IF(ISNUMBER($AO16),$AO16*$AM16,"")</f>
        <v/>
      </c>
      <c r="AQ16" s="152">
        <f>IF(ISNUMBER($AN16),ABS(IF(ISNUMBER($G16),$G16,0)-Settings!$B$25),"")</f>
        <v/>
      </c>
      <c r="AR16" s="152">
        <f>IF(ISNUMBER($AQ16),$AQ16*$AN16,"")</f>
        <v/>
      </c>
      <c r="AS16" s="152">
        <f>IF($A16="","",IFERROR(INDEX(Company_List!$H$3:$H$207,MATCH($A16,Company_List!$A$3:$A$207,0)),"unassigned"))</f>
        <v/>
      </c>
      <c r="AT16" s="152" t="inlineStr">
        <is>
          <t>re-read since v1</t>
        </is>
      </c>
      <c r="AU16" s="152" t="inlineStr">
        <is>
          <t>Phase 2/Master_Data_v1.xlsx</t>
        </is>
      </c>
      <c r="AV16" s="152" t="n">
        <v>1</v>
      </c>
      <c r="AW16" s="152" t="inlineStr">
        <is>
          <t>FactSet CallStreet</t>
        </is>
      </c>
      <c r="AX16" s="152" t="inlineStr">
        <is>
          <t>licensed vendor</t>
        </is>
      </c>
      <c r="AY16" s="152" t="inlineStr">
        <is>
          <t>no</t>
        </is>
      </c>
      <c r="AZ16" s="152" t="inlineStr">
        <is>
          <t>no</t>
        </is>
      </c>
      <c r="BA16" s="152" t="inlineStr">
        <is>
          <t>YES</t>
        </is>
      </c>
      <c r="BB16" s="152" t="n"/>
    </row>
    <row r="17" ht="15" customHeight="1" s="241">
      <c r="A17" s="191" t="inlineStr">
        <is>
          <t>CVS Health</t>
        </is>
      </c>
      <c r="B17" s="188" t="inlineStr">
        <is>
          <t>CVS</t>
        </is>
      </c>
      <c r="C17" s="176" t="n">
        <v>2025</v>
      </c>
      <c r="D17" s="177" t="inlineStr">
        <is>
          <t>Q2</t>
        </is>
      </c>
      <c r="E17" s="178" t="inlineStr">
        <is>
          <t>Ben/DeepSeek</t>
        </is>
      </c>
      <c r="F17" s="177" t="inlineStr">
        <is>
          <t>LLM</t>
        </is>
      </c>
      <c r="G17" s="196" t="n">
        <v>0.26</v>
      </c>
      <c r="H17" s="177" t="inlineStr">
        <is>
          <t>BUY</t>
        </is>
      </c>
      <c r="I17" s="196" t="n"/>
      <c r="J17" s="182" t="n">
        <v>45869</v>
      </c>
      <c r="K17" s="182" t="n">
        <v>45868</v>
      </c>
      <c r="L17" s="183" t="n">
        <v>62.3</v>
      </c>
      <c r="M17" s="182" t="n">
        <v>45869</v>
      </c>
      <c r="N17" s="183" t="n">
        <v>65.51000000000001</v>
      </c>
      <c r="O17" s="180" t="n">
        <v>0.007279</v>
      </c>
      <c r="P17" s="197" t="n">
        <v>0.051525</v>
      </c>
      <c r="Q17" s="177" t="inlineStr">
        <is>
          <t>UP</t>
        </is>
      </c>
      <c r="R17" s="177" t="inlineStr">
        <is>
          <t>YES</t>
        </is>
      </c>
      <c r="S17" s="176" t="n">
        <v>1</v>
      </c>
      <c r="T17" s="197" t="n">
        <v>0.050525</v>
      </c>
      <c r="U17" s="185" t="inlineStr">
        <is>
          <t>w=[0.80,0.20,0,0] thr=(+0.20,-0.10), deployed default promoted 2026-08-18 (PSR=0.964, permutation p=0.0002 at N=233, restricted search - see blend.py)</t>
        </is>
      </c>
      <c r="V17" s="152" t="inlineStr">
        <is>
          <t>FROZEN</t>
        </is>
      </c>
      <c r="W17" s="152" t="inlineStr">
        <is>
          <t>price signal</t>
        </is>
      </c>
      <c r="X17" s="152" t="inlineStr">
        <is>
          <t>CVS</t>
        </is>
      </c>
      <c r="Y17" s="152" t="inlineStr">
        <is>
          <t>2025-07-30</t>
        </is>
      </c>
      <c r="Z17" s="152" t="n">
        <v>60.3834</v>
      </c>
      <c r="AA17" s="152" t="inlineStr">
        <is>
          <t>2025-07-31</t>
        </is>
      </c>
      <c r="AB17" s="152" t="n">
        <v>63.4947</v>
      </c>
      <c r="AC17" s="152" t="n">
        <v>0.05152500323754339</v>
      </c>
      <c r="AD17" s="152" t="inlineStr">
        <is>
          <t>UP</t>
        </is>
      </c>
      <c r="AE17" s="152" t="inlineStr">
        <is>
          <t>NO</t>
        </is>
      </c>
      <c r="AF17" s="152" t="n">
        <v>0</v>
      </c>
      <c r="AG17" s="152">
        <f>IF($A17="","",IFERROR(INDEX(Company_List!$G$3:$G$207,MATCH($A17,Company_List!$A$3:$A$207,0)),"unassigned"))</f>
        <v/>
      </c>
      <c r="AH17" s="152" t="inlineStr">
        <is>
          <t>Phase 2/CVS Health/CVS-Health-Q2-2025-Earnings-Transcript.pdf</t>
        </is>
      </c>
      <c r="AI17" s="152" t="n"/>
      <c r="AJ17" s="152" t="inlineStr">
        <is>
          <t>unique filename match</t>
        </is>
      </c>
      <c r="AK17" s="152">
        <f>IF($A17="","",IF(COUNTIFS(Human_Data_Entry!$A$3:$A$525,$A17)&gt;0,"YES","NO"))</f>
        <v/>
      </c>
      <c r="AL17" s="152">
        <f>IF($A17="","",IF(AND($C17&amp;"-"&amp;$D17&gt;=Settings!$B$19,$C17&amp;"-"&amp;$D17&lt;=Settings!$B$20),"IN","OUT"))</f>
        <v/>
      </c>
      <c r="AM17" s="152">
        <f>IF(AND(OR($H17="BUY",$H17="SELL"),ISNUMBER($T17)),$T17,"")</f>
        <v/>
      </c>
      <c r="AN17" s="152">
        <f>IF(AND(OR($H17="BUY",$H17="SELL"),ISNUMBER($AF17)),$AF17,"")</f>
        <v/>
      </c>
      <c r="AO17" s="152">
        <f>IF(ISNUMBER($AM17),ABS(IF(ISNUMBER($G17),$G17,0)-Settings!$B$25),"")</f>
        <v/>
      </c>
      <c r="AP17" s="152">
        <f>IF(ISNUMBER($AO17),$AO17*$AM17,"")</f>
        <v/>
      </c>
      <c r="AQ17" s="152">
        <f>IF(ISNUMBER($AN17),ABS(IF(ISNUMBER($G17),$G17,0)-Settings!$B$25),"")</f>
        <v/>
      </c>
      <c r="AR17" s="152">
        <f>IF(ISNUMBER($AQ17),$AQ17*$AN17,"")</f>
        <v/>
      </c>
      <c r="AS17" s="152">
        <f>IF($A17="","",IFERROR(INDEX(Company_List!$H$3:$H$207,MATCH($A17,Company_List!$A$3:$A$207,0)),"unassigned"))</f>
        <v/>
      </c>
      <c r="AT17" s="152" t="inlineStr">
        <is>
          <t>not in v1</t>
        </is>
      </c>
      <c r="AU17" s="152" t="inlineStr">
        <is>
          <t>no earlier record</t>
        </is>
      </c>
      <c r="AV17" s="152" t="n">
        <v>1</v>
      </c>
      <c r="AW17" s="152" t="inlineStr">
        <is>
          <t>FactSet CallStreet</t>
        </is>
      </c>
      <c r="AX17" s="152" t="inlineStr">
        <is>
          <t>licensed vendor</t>
        </is>
      </c>
      <c r="AY17" s="152" t="inlineStr">
        <is>
          <t>no</t>
        </is>
      </c>
      <c r="AZ17" s="152" t="inlineStr">
        <is>
          <t>no</t>
        </is>
      </c>
      <c r="BA17" s="152" t="inlineStr">
        <is>
          <t>YES</t>
        </is>
      </c>
      <c r="BB17" s="152" t="n"/>
    </row>
    <row r="18" ht="15" customHeight="1" s="241">
      <c r="A18" s="191" t="inlineStr">
        <is>
          <t>CVS Health</t>
        </is>
      </c>
      <c r="B18" s="188" t="inlineStr">
        <is>
          <t>CVS</t>
        </is>
      </c>
      <c r="C18" s="176" t="n">
        <v>2025</v>
      </c>
      <c r="D18" s="177" t="inlineStr">
        <is>
          <t>Q3</t>
        </is>
      </c>
      <c r="E18" s="178" t="inlineStr">
        <is>
          <t>Ben/DeepSeek</t>
        </is>
      </c>
      <c r="F18" s="177" t="inlineStr">
        <is>
          <t>LLM</t>
        </is>
      </c>
      <c r="G18" s="196" t="n">
        <v>0.3</v>
      </c>
      <c r="H18" s="177" t="inlineStr">
        <is>
          <t>BUY</t>
        </is>
      </c>
      <c r="I18" s="196" t="n"/>
      <c r="J18" s="182" t="n">
        <v>45959</v>
      </c>
      <c r="K18" s="182" t="n">
        <v>45958</v>
      </c>
      <c r="L18" s="183" t="n">
        <v>82.2</v>
      </c>
      <c r="M18" s="182" t="n">
        <v>45959</v>
      </c>
      <c r="N18" s="183" t="n">
        <v>82.5</v>
      </c>
      <c r="O18" s="180" t="n">
        <v>0.008588999999999999</v>
      </c>
      <c r="P18" s="197" t="n">
        <v>0.00365</v>
      </c>
      <c r="Q18" s="177" t="inlineStr">
        <is>
          <t>FLAT</t>
        </is>
      </c>
      <c r="R18" s="177" t="inlineStr">
        <is>
          <t>NO</t>
        </is>
      </c>
      <c r="S18" s="176" t="n">
        <v>1</v>
      </c>
      <c r="T18" s="197" t="n">
        <v>0.00265</v>
      </c>
      <c r="U18" s="185" t="inlineStr">
        <is>
          <t>w=[0.80,0.20,0,0] thr=(+0.20,-0.10), deployed default promoted 2026-08-18 (PSR=0.964, permutation p=0.0002 at N=233, restricted search - see blend.py)</t>
        </is>
      </c>
      <c r="V18" s="152" t="inlineStr">
        <is>
          <t>FROZEN</t>
        </is>
      </c>
      <c r="W18" s="152" t="inlineStr">
        <is>
          <t>price signal — only this window shows an abnormal move</t>
        </is>
      </c>
      <c r="X18" s="152" t="inlineStr">
        <is>
          <t>CVS</t>
        </is>
      </c>
      <c r="Y18" s="152" t="inlineStr">
        <is>
          <t>2025-10-29</t>
        </is>
      </c>
      <c r="Z18" s="152" t="n">
        <v>78.7591</v>
      </c>
      <c r="AA18" s="152" t="inlineStr">
        <is>
          <t>2025-10-30</t>
        </is>
      </c>
      <c r="AB18" s="152" t="n">
        <v>74.34229999999999</v>
      </c>
      <c r="AC18" s="152" t="n">
        <v>-0.05607938044933943</v>
      </c>
      <c r="AD18" s="152" t="inlineStr">
        <is>
          <t>DOWN</t>
        </is>
      </c>
      <c r="AE18" s="152" t="inlineStr">
        <is>
          <t>NO</t>
        </is>
      </c>
      <c r="AF18" s="152" t="n">
        <v>-0.057079</v>
      </c>
      <c r="AG18" s="152">
        <f>IF($A18="","",IFERROR(INDEX(Company_List!$G$3:$G$207,MATCH($A18,Company_List!$A$3:$A$207,0)),"unassigned"))</f>
        <v/>
      </c>
      <c r="AH18" s="152" t="inlineStr">
        <is>
          <t>Phase 2/CVS Health/CVS-Q3-2025-Earnings-Transcript.pdf</t>
        </is>
      </c>
      <c r="AI18" s="152" t="n"/>
      <c r="AJ18" s="152" t="inlineStr">
        <is>
          <t>unique filename match</t>
        </is>
      </c>
      <c r="AK18" s="152">
        <f>IF($A18="","",IF(COUNTIFS(Human_Data_Entry!$A$3:$A$525,$A18)&gt;0,"YES","NO"))</f>
        <v/>
      </c>
      <c r="AL18" s="152">
        <f>IF($A18="","",IF(AND($C18&amp;"-"&amp;$D18&gt;=Settings!$B$19,$C18&amp;"-"&amp;$D18&lt;=Settings!$B$20),"IN","OUT"))</f>
        <v/>
      </c>
      <c r="AM18" s="152">
        <f>IF(AND(OR($H18="BUY",$H18="SELL"),ISNUMBER($T18)),$T18,"")</f>
        <v/>
      </c>
      <c r="AN18" s="152">
        <f>IF(AND(OR($H18="BUY",$H18="SELL"),ISNUMBER($AF18)),$AF18,"")</f>
        <v/>
      </c>
      <c r="AO18" s="152">
        <f>IF(ISNUMBER($AM18),ABS(IF(ISNUMBER($G18),$G18,0)-Settings!$B$25),"")</f>
        <v/>
      </c>
      <c r="AP18" s="152">
        <f>IF(ISNUMBER($AO18),$AO18*$AM18,"")</f>
        <v/>
      </c>
      <c r="AQ18" s="152">
        <f>IF(ISNUMBER($AN18),ABS(IF(ISNUMBER($G18),$G18,0)-Settings!$B$25),"")</f>
        <v/>
      </c>
      <c r="AR18" s="152">
        <f>IF(ISNUMBER($AQ18),$AQ18*$AN18,"")</f>
        <v/>
      </c>
      <c r="AS18" s="152">
        <f>IF($A18="","",IFERROR(INDEX(Company_List!$H$3:$H$207,MATCH($A18,Company_List!$A$3:$A$207,0)),"unassigned"))</f>
        <v/>
      </c>
      <c r="AT18" s="152" t="inlineStr">
        <is>
          <t>not in v1</t>
        </is>
      </c>
      <c r="AU18" s="152" t="inlineStr">
        <is>
          <t>no earlier record</t>
        </is>
      </c>
      <c r="AV18" s="152" t="n">
        <v>1</v>
      </c>
      <c r="AW18" s="152" t="inlineStr">
        <is>
          <t>FactSet CallStreet</t>
        </is>
      </c>
      <c r="AX18" s="152" t="inlineStr">
        <is>
          <t>licensed vendor</t>
        </is>
      </c>
      <c r="AY18" s="152" t="inlineStr">
        <is>
          <t>no</t>
        </is>
      </c>
      <c r="AZ18" s="152" t="inlineStr">
        <is>
          <t>no</t>
        </is>
      </c>
      <c r="BA18" s="152" t="inlineStr">
        <is>
          <t>YES</t>
        </is>
      </c>
      <c r="BB18" s="152" t="n"/>
    </row>
    <row r="19" ht="15" customHeight="1" s="241">
      <c r="A19" s="191" t="inlineStr">
        <is>
          <t>CVS Health</t>
        </is>
      </c>
      <c r="B19" s="188" t="inlineStr">
        <is>
          <t>CVS</t>
        </is>
      </c>
      <c r="C19" s="176" t="n">
        <v>2025</v>
      </c>
      <c r="D19" s="177" t="inlineStr">
        <is>
          <t>Q4</t>
        </is>
      </c>
      <c r="E19" s="178" t="inlineStr">
        <is>
          <t>Ben/DeepSeek</t>
        </is>
      </c>
      <c r="F19" s="177" t="inlineStr">
        <is>
          <t>LLM</t>
        </is>
      </c>
      <c r="G19" s="196" t="n">
        <v>0.17</v>
      </c>
      <c r="H19" s="177" t="inlineStr">
        <is>
          <t>HOLD</t>
        </is>
      </c>
      <c r="I19" s="196" t="n"/>
      <c r="J19" s="182" t="n">
        <v>46063</v>
      </c>
      <c r="K19" s="182" t="n">
        <v>46062</v>
      </c>
      <c r="L19" s="183" t="n">
        <v>75.77</v>
      </c>
      <c r="M19" s="182" t="n">
        <v>46063</v>
      </c>
      <c r="N19" s="183" t="n">
        <v>73.77</v>
      </c>
      <c r="O19" s="180" t="n">
        <v>0.007673</v>
      </c>
      <c r="P19" s="197" t="n">
        <v>-0.026396</v>
      </c>
      <c r="Q19" s="177" t="inlineStr">
        <is>
          <t>DOWN</t>
        </is>
      </c>
      <c r="R19" s="177" t="inlineStr">
        <is>
          <t>NO</t>
        </is>
      </c>
      <c r="S19" s="176" t="n">
        <v>0</v>
      </c>
      <c r="T19" s="197" t="n">
        <v>0</v>
      </c>
      <c r="U19" s="185" t="inlineStr">
        <is>
          <t>w=[0.80,0.20,0,0] thr=(+0.20,-0.10), deployed default promoted 2026-08-18 (PSR=0.964, permutation p=0.0002 at N=233, restricted search - see blend.py)</t>
        </is>
      </c>
      <c r="V19" s="152" t="inlineStr">
        <is>
          <t>FROZEN</t>
        </is>
      </c>
      <c r="W19" s="152" t="inlineStr">
        <is>
          <t>price signal</t>
        </is>
      </c>
      <c r="X19" s="152" t="inlineStr">
        <is>
          <t>CVS</t>
        </is>
      </c>
      <c r="Y19" s="152" t="inlineStr">
        <is>
          <t>2026-02-09</t>
        </is>
      </c>
      <c r="Z19" s="152" t="n">
        <v>74.6486</v>
      </c>
      <c r="AA19" s="152" t="inlineStr">
        <is>
          <t>2026-02-10</t>
        </is>
      </c>
      <c r="AB19" s="152" t="n">
        <v>72.6782</v>
      </c>
      <c r="AC19" s="152" t="n">
        <v>-0.02639575051911369</v>
      </c>
      <c r="AD19" s="152" t="inlineStr">
        <is>
          <t>DOWN</t>
        </is>
      </c>
      <c r="AE19" s="152" t="inlineStr">
        <is>
          <t>NO</t>
        </is>
      </c>
      <c r="AF19" s="152" t="n">
        <v>0</v>
      </c>
      <c r="AG19" s="152">
        <f>IF($A19="","",IFERROR(INDEX(Company_List!$G$3:$G$207,MATCH($A19,Company_List!$A$3:$A$207,0)),"unassigned"))</f>
        <v/>
      </c>
      <c r="AH19" s="152" t="inlineStr">
        <is>
          <t>Phase 2/CVS Health/CVS-Health-Q4-2025-Transcript.pdf</t>
        </is>
      </c>
      <c r="AI19" s="152" t="n"/>
      <c r="AJ19" s="152" t="inlineStr">
        <is>
          <t>unique filename match</t>
        </is>
      </c>
      <c r="AK19" s="152">
        <f>IF($A19="","",IF(COUNTIFS(Human_Data_Entry!$A$3:$A$525,$A19)&gt;0,"YES","NO"))</f>
        <v/>
      </c>
      <c r="AL19" s="152">
        <f>IF($A19="","",IF(AND($C19&amp;"-"&amp;$D19&gt;=Settings!$B$19,$C19&amp;"-"&amp;$D19&lt;=Settings!$B$20),"IN","OUT"))</f>
        <v/>
      </c>
      <c r="AM19" s="152">
        <f>IF(AND(OR($H19="BUY",$H19="SELL"),ISNUMBER($T19)),$T19,"")</f>
        <v/>
      </c>
      <c r="AN19" s="152">
        <f>IF(AND(OR($H19="BUY",$H19="SELL"),ISNUMBER($AF19)),$AF19,"")</f>
        <v/>
      </c>
      <c r="AO19" s="152">
        <f>IF(ISNUMBER($AM19),ABS(IF(ISNUMBER($G19),$G19,0)-Settings!$B$25),"")</f>
        <v/>
      </c>
      <c r="AP19" s="152">
        <f>IF(ISNUMBER($AO19),$AO19*$AM19,"")</f>
        <v/>
      </c>
      <c r="AQ19" s="152">
        <f>IF(ISNUMBER($AN19),ABS(IF(ISNUMBER($G19),$G19,0)-Settings!$B$25),"")</f>
        <v/>
      </c>
      <c r="AR19" s="152">
        <f>IF(ISNUMBER($AQ19),$AQ19*$AN19,"")</f>
        <v/>
      </c>
      <c r="AS19" s="152">
        <f>IF($A19="","",IFERROR(INDEX(Company_List!$H$3:$H$207,MATCH($A19,Company_List!$A$3:$A$207,0)),"unassigned"))</f>
        <v/>
      </c>
      <c r="AT19" s="152" t="inlineStr">
        <is>
          <t>not in v1</t>
        </is>
      </c>
      <c r="AU19" s="152" t="inlineStr">
        <is>
          <t>no earlier record</t>
        </is>
      </c>
      <c r="AV19" s="152" t="n">
        <v>1</v>
      </c>
      <c r="AW19" s="152" t="inlineStr">
        <is>
          <t>FactSet CallStreet</t>
        </is>
      </c>
      <c r="AX19" s="152" t="inlineStr">
        <is>
          <t>licensed vendor</t>
        </is>
      </c>
      <c r="AY19" s="152" t="inlineStr">
        <is>
          <t>no</t>
        </is>
      </c>
      <c r="AZ19" s="152" t="inlineStr">
        <is>
          <t>no</t>
        </is>
      </c>
      <c r="BA19" s="152" t="inlineStr">
        <is>
          <t>YES</t>
        </is>
      </c>
      <c r="BB19" s="152" t="n"/>
    </row>
    <row r="20" ht="15" customHeight="1" s="241">
      <c r="A20" s="191" t="inlineStr">
        <is>
          <t>Charles Schwab</t>
        </is>
      </c>
      <c r="B20" s="188" t="inlineStr">
        <is>
          <t>SCHW</t>
        </is>
      </c>
      <c r="C20" s="176" t="n">
        <v>2025</v>
      </c>
      <c r="D20" s="177" t="inlineStr">
        <is>
          <t>Q1</t>
        </is>
      </c>
      <c r="E20" s="178" t="inlineStr">
        <is>
          <t>Ben/DeepSeek</t>
        </is>
      </c>
      <c r="F20" s="177" t="inlineStr">
        <is>
          <t>LLM</t>
        </is>
      </c>
      <c r="G20" s="196" t="n">
        <v>0.18</v>
      </c>
      <c r="H20" s="177" t="inlineStr">
        <is>
          <t>HOLD</t>
        </is>
      </c>
      <c r="I20" s="196" t="n"/>
      <c r="J20" s="182" t="n">
        <v>45763</v>
      </c>
      <c r="K20" s="182" t="n">
        <v>45764</v>
      </c>
      <c r="L20" s="183" t="n">
        <v>76.15000000000001</v>
      </c>
      <c r="M20" s="182" t="n">
        <v>45765</v>
      </c>
      <c r="N20" s="183" t="n">
        <v>75.64</v>
      </c>
      <c r="O20" s="180" t="n">
        <v>0.009676000000000001</v>
      </c>
      <c r="P20" s="197" t="n">
        <v>-0.006697</v>
      </c>
      <c r="Q20" s="177" t="inlineStr">
        <is>
          <t>FLAT</t>
        </is>
      </c>
      <c r="R20" s="177" t="inlineStr">
        <is>
          <t>YES</t>
        </is>
      </c>
      <c r="S20" s="176" t="n">
        <v>0</v>
      </c>
      <c r="T20" s="197" t="n">
        <v>0</v>
      </c>
      <c r="U20" s="185" t="inlineStr">
        <is>
          <t>w=[0.80,0.20,0,0] thr=(+0.20,-0.10), deployed default promoted 2026-08-18 (PSR=0.964, permutation p=0.0002 at N=233, restricted search - see blend.py)</t>
        </is>
      </c>
      <c r="V20" s="152" t="inlineStr">
        <is>
          <t>FROZEN</t>
        </is>
      </c>
      <c r="W20" s="152" t="inlineStr">
        <is>
          <t>price signal — only this window shows an abnormal move</t>
        </is>
      </c>
      <c r="X20" s="152" t="inlineStr">
        <is>
          <t>SCHW</t>
        </is>
      </c>
      <c r="Y20" s="152" t="inlineStr">
        <is>
          <t>2025-04-16</t>
        </is>
      </c>
      <c r="Z20" s="152" t="n">
        <v>74.5125</v>
      </c>
      <c r="AA20" s="152" t="inlineStr">
        <is>
          <t>2025-04-17</t>
        </is>
      </c>
      <c r="AB20" s="152" t="n">
        <v>76.4517</v>
      </c>
      <c r="AC20" s="152" t="n">
        <v>0.02602391441620634</v>
      </c>
      <c r="AD20" s="152" t="inlineStr">
        <is>
          <t>UP</t>
        </is>
      </c>
      <c r="AE20" s="152" t="inlineStr">
        <is>
          <t>NO</t>
        </is>
      </c>
      <c r="AF20" s="152" t="n">
        <v>0</v>
      </c>
      <c r="AG20" s="152">
        <f>IF($A20="","",IFERROR(INDEX(Company_List!$G$3:$G$207,MATCH($A20,Company_List!$A$3:$A$207,0)),"unassigned"))</f>
        <v/>
      </c>
      <c r="AH20" s="152" t="inlineStr">
        <is>
          <t>Phase 2/Charles Schwab/Q1 2025/SCHW-Q1-2025-press-release-SEC-EX99-1.htm; Phase 2/Charles Schwab/Q1 2025/SCHW-Q1-2025-earnings-call-transcript-InsiderMonkey.html</t>
        </is>
      </c>
      <c r="AI20" s="152" t="inlineStr">
        <is>
          <t>https://www.insidermonkey.com/blog/the-charles-schwab-corporation-nyseschw-q1-2025-earnings-call-transcript-1511418/; https://www.sec.gov/Archives/edgar/data/316709/000031670925000019/a1q25exhibit991.htm</t>
        </is>
      </c>
      <c r="AJ20" s="152" t="inlineStr">
        <is>
          <t>manifest (whole bundle)</t>
        </is>
      </c>
      <c r="AK20" s="152">
        <f>IF($A20="","",IF(COUNTIFS(Human_Data_Entry!$A$3:$A$525,$A20)&gt;0,"YES","NO"))</f>
        <v/>
      </c>
      <c r="AL20" s="152">
        <f>IF($A20="","",IF(AND($C20&amp;"-"&amp;$D20&gt;=Settings!$B$19,$C20&amp;"-"&amp;$D20&lt;=Settings!$B$20),"IN","OUT"))</f>
        <v/>
      </c>
      <c r="AM20" s="152">
        <f>IF(AND(OR($H20="BUY",$H20="SELL"),ISNUMBER($T20)),$T20,"")</f>
        <v/>
      </c>
      <c r="AN20" s="152">
        <f>IF(AND(OR($H20="BUY",$H20="SELL"),ISNUMBER($AF20)),$AF20,"")</f>
        <v/>
      </c>
      <c r="AO20" s="152">
        <f>IF(ISNUMBER($AM20),ABS(IF(ISNUMBER($G20),$G20,0)-Settings!$B$25),"")</f>
        <v/>
      </c>
      <c r="AP20" s="152">
        <f>IF(ISNUMBER($AO20),$AO20*$AM20,"")</f>
        <v/>
      </c>
      <c r="AQ20" s="152">
        <f>IF(ISNUMBER($AN20),ABS(IF(ISNUMBER($G20),$G20,0)-Settings!$B$25),"")</f>
        <v/>
      </c>
      <c r="AR20" s="152">
        <f>IF(ISNUMBER($AQ20),$AQ20*$AN20,"")</f>
        <v/>
      </c>
      <c r="AS20" s="152">
        <f>IF($A20="","",IFERROR(INDEX(Company_List!$H$3:$H$207,MATCH($A20,Company_List!$A$3:$A$207,0)),"unassigned"))</f>
        <v/>
      </c>
      <c r="AT20" s="152" t="inlineStr">
        <is>
          <t>re-read since v1</t>
        </is>
      </c>
      <c r="AU20" s="152" t="inlineStr">
        <is>
          <t>Phase 2/Master_Data_v1.xlsx</t>
        </is>
      </c>
      <c r="AV20" s="152" t="n">
        <v>2</v>
      </c>
      <c r="AW20" s="152" t="inlineStr">
        <is>
          <t>Insider Monkey (Koala Guide LLC)</t>
        </is>
      </c>
      <c r="AX20" s="152" t="inlineStr">
        <is>
          <t>free to read, copyright asserted</t>
        </is>
      </c>
      <c r="AY20" s="152" t="inlineStr">
        <is>
          <t>no</t>
        </is>
      </c>
      <c r="AZ20" s="152" t="inlineStr">
        <is>
          <t>yes</t>
        </is>
      </c>
      <c r="BA20" s="152" t="inlineStr">
        <is>
          <t>YES</t>
        </is>
      </c>
      <c r="BB20" s="152" t="n"/>
    </row>
    <row r="21" ht="15" customHeight="1" s="241">
      <c r="A21" s="191" t="inlineStr">
        <is>
          <t>Charles Schwab</t>
        </is>
      </c>
      <c r="B21" s="188" t="inlineStr">
        <is>
          <t>SCHW</t>
        </is>
      </c>
      <c r="C21" s="176" t="n">
        <v>2026</v>
      </c>
      <c r="D21" s="177" t="inlineStr">
        <is>
          <t>Q1</t>
        </is>
      </c>
      <c r="E21" s="178" t="inlineStr">
        <is>
          <t>Ben/DeepSeek</t>
        </is>
      </c>
      <c r="F21" s="177" t="inlineStr">
        <is>
          <t>LLM</t>
        </is>
      </c>
      <c r="G21" s="196" t="n">
        <v>0.18</v>
      </c>
      <c r="H21" s="177" t="inlineStr">
        <is>
          <t>HOLD</t>
        </is>
      </c>
      <c r="I21" s="196" t="n"/>
      <c r="J21" s="182" t="n">
        <v>46127</v>
      </c>
      <c r="K21" s="182" t="n">
        <v>46128</v>
      </c>
      <c r="L21" s="183" t="n">
        <v>92.62</v>
      </c>
      <c r="M21" s="182" t="n">
        <v>46129</v>
      </c>
      <c r="N21" s="183" t="n">
        <v>93.34999999999999</v>
      </c>
      <c r="O21" s="180" t="n">
        <v>0.009292</v>
      </c>
      <c r="P21" s="197" t="n">
        <v>0.007882</v>
      </c>
      <c r="Q21" s="177" t="inlineStr">
        <is>
          <t>FLAT</t>
        </is>
      </c>
      <c r="R21" s="177" t="inlineStr">
        <is>
          <t>YES</t>
        </is>
      </c>
      <c r="S21" s="176" t="n">
        <v>0</v>
      </c>
      <c r="T21" s="197" t="n">
        <v>0</v>
      </c>
      <c r="U21" s="185" t="inlineStr">
        <is>
          <t>w=[0.80,0.20,0,0] thr=(+0.20,-0.10), deployed default promoted 2026-08-18 (PSR=0.964, permutation p=0.0002 at N=233, restricted search - see blend.py)</t>
        </is>
      </c>
      <c r="V21" s="152" t="inlineStr">
        <is>
          <t>FROZEN</t>
        </is>
      </c>
      <c r="W21" s="152" t="inlineStr">
        <is>
          <t>price signal — both moved; this one dominates</t>
        </is>
      </c>
      <c r="X21" s="152" t="inlineStr">
        <is>
          <t>SCHW</t>
        </is>
      </c>
      <c r="Y21" s="152" t="inlineStr">
        <is>
          <t>2026-04-15</t>
        </is>
      </c>
      <c r="Z21" s="152" t="n">
        <v>99.9115</v>
      </c>
      <c r="AA21" s="152" t="inlineStr">
        <is>
          <t>2026-04-16</t>
        </is>
      </c>
      <c r="AB21" s="152" t="n">
        <v>95.41759999999999</v>
      </c>
      <c r="AC21" s="152" t="n">
        <v>-0.04497844079049667</v>
      </c>
      <c r="AD21" s="152" t="inlineStr">
        <is>
          <t>DOWN</t>
        </is>
      </c>
      <c r="AE21" s="152" t="inlineStr">
        <is>
          <t>NO</t>
        </is>
      </c>
      <c r="AF21" s="152" t="n">
        <v>0</v>
      </c>
      <c r="AG21" s="152">
        <f>IF($A21="","",IFERROR(INDEX(Company_List!$G$3:$G$207,MATCH($A21,Company_List!$A$3:$A$207,0)),"unassigned"))</f>
        <v/>
      </c>
      <c r="AH21" s="152" t="inlineStr">
        <is>
          <t>Phase 2/Charles Schwab/Q1 2026/SCHW-Q1-2026-press-release-SEC-EX99-1.htm; Phase 2/Charles Schwab/Q1 2026/SCHW-Q1-2026-earnings-call-transcript-InsiderMonkey.html</t>
        </is>
      </c>
      <c r="AI21" s="152" t="inlineStr">
        <is>
          <t>https://www.insidermonkey.com/blog/the-charles-schwab-corporation-nyseschw-q1-2026-earnings-call-transcript-1740197/; https://www.sec.gov/Archives/edgar/data/316709/000031670926000016/a1q26exhibit991.htm</t>
        </is>
      </c>
      <c r="AJ21" s="152" t="inlineStr">
        <is>
          <t>manifest (whole bundle)</t>
        </is>
      </c>
      <c r="AK21" s="152">
        <f>IF($A21="","",IF(COUNTIFS(Human_Data_Entry!$A$3:$A$525,$A21)&gt;0,"YES","NO"))</f>
        <v/>
      </c>
      <c r="AL21" s="152">
        <f>IF($A21="","",IF(AND($C21&amp;"-"&amp;$D21&gt;=Settings!$B$19,$C21&amp;"-"&amp;$D21&lt;=Settings!$B$20),"IN","OUT"))</f>
        <v/>
      </c>
      <c r="AM21" s="152">
        <f>IF(AND(OR($H21="BUY",$H21="SELL"),ISNUMBER($T21)),$T21,"")</f>
        <v/>
      </c>
      <c r="AN21" s="152">
        <f>IF(AND(OR($H21="BUY",$H21="SELL"),ISNUMBER($AF21)),$AF21,"")</f>
        <v/>
      </c>
      <c r="AO21" s="152">
        <f>IF(ISNUMBER($AM21),ABS(IF(ISNUMBER($G21),$G21,0)-Settings!$B$25),"")</f>
        <v/>
      </c>
      <c r="AP21" s="152">
        <f>IF(ISNUMBER($AO21),$AO21*$AM21,"")</f>
        <v/>
      </c>
      <c r="AQ21" s="152">
        <f>IF(ISNUMBER($AN21),ABS(IF(ISNUMBER($G21),$G21,0)-Settings!$B$25),"")</f>
        <v/>
      </c>
      <c r="AR21" s="152">
        <f>IF(ISNUMBER($AQ21),$AQ21*$AN21,"")</f>
        <v/>
      </c>
      <c r="AS21" s="152">
        <f>IF($A21="","",IFERROR(INDEX(Company_List!$H$3:$H$207,MATCH($A21,Company_List!$A$3:$A$207,0)),"unassigned"))</f>
        <v/>
      </c>
      <c r="AT21" s="152" t="inlineStr">
        <is>
          <t>re-read since v1</t>
        </is>
      </c>
      <c r="AU21" s="152" t="inlineStr">
        <is>
          <t>Phase 2/Master_Data_v1.xlsx</t>
        </is>
      </c>
      <c r="AV21" s="152" t="n">
        <v>2</v>
      </c>
      <c r="AW21" s="152" t="inlineStr">
        <is>
          <t>Insider Monkey (Koala Guide LLC)</t>
        </is>
      </c>
      <c r="AX21" s="152" t="inlineStr">
        <is>
          <t>free to read, copyright asserted</t>
        </is>
      </c>
      <c r="AY21" s="152" t="inlineStr">
        <is>
          <t>no</t>
        </is>
      </c>
      <c r="AZ21" s="152" t="inlineStr">
        <is>
          <t>yes</t>
        </is>
      </c>
      <c r="BA21" s="152" t="inlineStr">
        <is>
          <t>YES</t>
        </is>
      </c>
      <c r="BB21" s="152" t="n"/>
    </row>
    <row r="22" ht="15" customHeight="1" s="241">
      <c r="A22" s="191" t="inlineStr">
        <is>
          <t>Charles Schwab</t>
        </is>
      </c>
      <c r="B22" s="188" t="inlineStr">
        <is>
          <t>SCHW</t>
        </is>
      </c>
      <c r="C22" s="176" t="n">
        <v>2025</v>
      </c>
      <c r="D22" s="177" t="inlineStr">
        <is>
          <t>Q2</t>
        </is>
      </c>
      <c r="E22" s="178" t="inlineStr">
        <is>
          <t>Ben/DeepSeek</t>
        </is>
      </c>
      <c r="F22" s="177" t="inlineStr">
        <is>
          <t>LLM</t>
        </is>
      </c>
      <c r="G22" s="196" t="n">
        <v>0.26</v>
      </c>
      <c r="H22" s="177" t="inlineStr">
        <is>
          <t>BUY</t>
        </is>
      </c>
      <c r="I22" s="196" t="n"/>
      <c r="J22" s="182" t="n">
        <v>45855</v>
      </c>
      <c r="K22" s="182" t="n">
        <v>45856</v>
      </c>
      <c r="L22" s="183" t="n">
        <v>95.8</v>
      </c>
      <c r="M22" s="182" t="n">
        <v>45859</v>
      </c>
      <c r="N22" s="183" t="n">
        <v>96.02</v>
      </c>
      <c r="O22" s="180" t="n">
        <v>0.009653</v>
      </c>
      <c r="P22" s="197" t="n">
        <v>0.002296</v>
      </c>
      <c r="Q22" s="177" t="inlineStr">
        <is>
          <t>FLAT</t>
        </is>
      </c>
      <c r="R22" s="177" t="inlineStr">
        <is>
          <t>NO</t>
        </is>
      </c>
      <c r="S22" s="176" t="n">
        <v>1</v>
      </c>
      <c r="T22" s="197" t="n">
        <v>0.001296</v>
      </c>
      <c r="U22" s="185" t="inlineStr">
        <is>
          <t>w=[0.80,0.20,0,0] thr=(+0.20,-0.10), deployed default promoted 2026-08-18 (PSR=0.964, permutation p=0.0002 at N=233, restricted search - see blend.py)</t>
        </is>
      </c>
      <c r="V22" s="152" t="inlineStr">
        <is>
          <t>FROZEN</t>
        </is>
      </c>
      <c r="W22" s="152" t="inlineStr">
        <is>
          <t>price signal — only this window shows an abnormal move</t>
        </is>
      </c>
      <c r="X22" s="152" t="inlineStr">
        <is>
          <t>SCHW</t>
        </is>
      </c>
      <c r="Y22" s="152" t="inlineStr">
        <is>
          <t>2025-07-17</t>
        </is>
      </c>
      <c r="Z22" s="152" t="n">
        <v>91.93380000000001</v>
      </c>
      <c r="AA22" s="152" t="inlineStr">
        <is>
          <t>2025-07-18</t>
        </is>
      </c>
      <c r="AB22" s="152" t="n">
        <v>94.5012</v>
      </c>
      <c r="AC22" s="152" t="n">
        <v>0.02792702460304082</v>
      </c>
      <c r="AD22" s="152" t="inlineStr">
        <is>
          <t>UP</t>
        </is>
      </c>
      <c r="AE22" s="152" t="inlineStr">
        <is>
          <t>NO</t>
        </is>
      </c>
      <c r="AF22" s="152" t="n">
        <v>0</v>
      </c>
      <c r="AG22" s="152">
        <f>IF($A22="","",IFERROR(INDEX(Company_List!$G$3:$G$207,MATCH($A22,Company_List!$A$3:$A$207,0)),"unassigned"))</f>
        <v/>
      </c>
      <c r="AH22" s="152" t="inlineStr">
        <is>
          <t>Phase 2/Charles Schwab/Q2 2025/SCHW-Q2-2025-press-release-SEC-EX99-1.htm; Phase 2/Charles Schwab/Q2 2025/SCHW-Q2-2025-earnings-call-transcript-InsiderMonkey.html</t>
        </is>
      </c>
      <c r="AI22" s="152" t="inlineStr">
        <is>
          <t>https://www.insidermonkey.com/blog/the-charles-schwab-corporation-nyseschw-q2-2025-earnings-call-transcript-1573625/; https://www.sec.gov/Archives/edgar/data/316709/000031670925000033/a2q25exhibit991.htm</t>
        </is>
      </c>
      <c r="AJ22" s="152" t="inlineStr">
        <is>
          <t>manifest (whole bundle)</t>
        </is>
      </c>
      <c r="AK22" s="152">
        <f>IF($A22="","",IF(COUNTIFS(Human_Data_Entry!$A$3:$A$525,$A22)&gt;0,"YES","NO"))</f>
        <v/>
      </c>
      <c r="AL22" s="152">
        <f>IF($A22="","",IF(AND($C22&amp;"-"&amp;$D22&gt;=Settings!$B$19,$C22&amp;"-"&amp;$D22&lt;=Settings!$B$20),"IN","OUT"))</f>
        <v/>
      </c>
      <c r="AM22" s="152">
        <f>IF(AND(OR($H22="BUY",$H22="SELL"),ISNUMBER($T22)),$T22,"")</f>
        <v/>
      </c>
      <c r="AN22" s="152">
        <f>IF(AND(OR($H22="BUY",$H22="SELL"),ISNUMBER($AF22)),$AF22,"")</f>
        <v/>
      </c>
      <c r="AO22" s="152">
        <f>IF(ISNUMBER($AM22),ABS(IF(ISNUMBER($G22),$G22,0)-Settings!$B$25),"")</f>
        <v/>
      </c>
      <c r="AP22" s="152">
        <f>IF(ISNUMBER($AO22),$AO22*$AM22,"")</f>
        <v/>
      </c>
      <c r="AQ22" s="152">
        <f>IF(ISNUMBER($AN22),ABS(IF(ISNUMBER($G22),$G22,0)-Settings!$B$25),"")</f>
        <v/>
      </c>
      <c r="AR22" s="152">
        <f>IF(ISNUMBER($AQ22),$AQ22*$AN22,"")</f>
        <v/>
      </c>
      <c r="AS22" s="152">
        <f>IF($A22="","",IFERROR(INDEX(Company_List!$H$3:$H$207,MATCH($A22,Company_List!$A$3:$A$207,0)),"unassigned"))</f>
        <v/>
      </c>
      <c r="AT22" s="152" t="inlineStr">
        <is>
          <t>re-read since v1</t>
        </is>
      </c>
      <c r="AU22" s="152" t="inlineStr">
        <is>
          <t>Phase 2/Master_Data_v1.xlsx</t>
        </is>
      </c>
      <c r="AV22" s="152" t="n">
        <v>2</v>
      </c>
      <c r="AW22" s="152" t="inlineStr">
        <is>
          <t>Insider Monkey (Koala Guide LLC)</t>
        </is>
      </c>
      <c r="AX22" s="152" t="inlineStr">
        <is>
          <t>free to read, copyright asserted</t>
        </is>
      </c>
      <c r="AY22" s="152" t="inlineStr">
        <is>
          <t>no</t>
        </is>
      </c>
      <c r="AZ22" s="152" t="inlineStr">
        <is>
          <t>yes</t>
        </is>
      </c>
      <c r="BA22" s="152" t="inlineStr">
        <is>
          <t>YES</t>
        </is>
      </c>
      <c r="BB22" s="152" t="n"/>
    </row>
    <row r="23" ht="15" customHeight="1" s="241">
      <c r="A23" s="191" t="inlineStr">
        <is>
          <t>Charles Schwab</t>
        </is>
      </c>
      <c r="B23" s="188" t="inlineStr">
        <is>
          <t>SCHW</t>
        </is>
      </c>
      <c r="C23" s="176" t="n">
        <v>2025</v>
      </c>
      <c r="D23" s="177" t="inlineStr">
        <is>
          <t>Q3</t>
        </is>
      </c>
      <c r="E23" s="178" t="inlineStr">
        <is>
          <t>Ben/DeepSeek</t>
        </is>
      </c>
      <c r="F23" s="177" t="inlineStr">
        <is>
          <t>LLM</t>
        </is>
      </c>
      <c r="G23" s="196" t="n">
        <v>0.3</v>
      </c>
      <c r="H23" s="177" t="inlineStr">
        <is>
          <t>BUY</t>
        </is>
      </c>
      <c r="I23" s="196" t="n"/>
      <c r="J23" s="182" t="n">
        <v>45945</v>
      </c>
      <c r="K23" s="182" t="n">
        <v>45946</v>
      </c>
      <c r="L23" s="183" t="n">
        <v>93.41</v>
      </c>
      <c r="M23" s="182" t="n">
        <v>45947</v>
      </c>
      <c r="N23" s="183" t="n">
        <v>94.72</v>
      </c>
      <c r="O23" s="180" t="n">
        <v>0.009339999999999999</v>
      </c>
      <c r="P23" s="197" t="n">
        <v>0.014024</v>
      </c>
      <c r="Q23" s="177" t="inlineStr">
        <is>
          <t>FLAT</t>
        </is>
      </c>
      <c r="R23" s="177" t="inlineStr">
        <is>
          <t>NO</t>
        </is>
      </c>
      <c r="S23" s="176" t="n">
        <v>1</v>
      </c>
      <c r="T23" s="197" t="n">
        <v>0.013024</v>
      </c>
      <c r="U23" s="185" t="inlineStr">
        <is>
          <t>w=[0.80,0.20,0,0] thr=(+0.20,-0.10), deployed default promoted 2026-08-18 (PSR=0.964, permutation p=0.0002 at N=233, restricted search - see blend.py)</t>
        </is>
      </c>
      <c r="V23" s="152" t="inlineStr">
        <is>
          <t>FROZEN</t>
        </is>
      </c>
      <c r="W23" s="152" t="inlineStr">
        <is>
          <t>earnings calendar, seconded independently</t>
        </is>
      </c>
      <c r="X23" s="152" t="inlineStr">
        <is>
          <t>SCHW</t>
        </is>
      </c>
      <c r="Y23" s="152" t="inlineStr">
        <is>
          <t>2025-10-15</t>
        </is>
      </c>
      <c r="Z23" s="152" t="n">
        <v>93.41119999999999</v>
      </c>
      <c r="AA23" s="152" t="inlineStr">
        <is>
          <t>2025-10-16</t>
        </is>
      </c>
      <c r="AB23" s="152" t="n">
        <v>93.84690000000001</v>
      </c>
      <c r="AC23" s="152" t="n">
        <v>0.004664287859232544</v>
      </c>
      <c r="AD23" s="152" t="inlineStr">
        <is>
          <t>FLAT</t>
        </is>
      </c>
      <c r="AE23" s="152" t="inlineStr">
        <is>
          <t>NO</t>
        </is>
      </c>
      <c r="AF23" s="152" t="n">
        <v>0.003664</v>
      </c>
      <c r="AG23" s="152">
        <f>IF($A23="","",IFERROR(INDEX(Company_List!$G$3:$G$207,MATCH($A23,Company_List!$A$3:$A$207,0)),"unassigned"))</f>
        <v/>
      </c>
      <c r="AH23" s="152" t="inlineStr">
        <is>
          <t>Phase 2/Charles Schwab/Q3 2025/SCHW-Q3-2025-press-release-SEC-EX99-1.htm; Phase 2/Charles Schwab/Q3 2025/SCHW-Q3-2025-earnings-call-transcript-InsiderMonkey.html</t>
        </is>
      </c>
      <c r="AI23" s="152" t="inlineStr">
        <is>
          <t>https://www.insidermonkey.com/blog/the-charles-schwab-corporation-nyseschw-q3-2025-earnings-call-transcript-1631368/; https://www.sec.gov/Archives/edgar/data/316709/000031670925000046/a3q25exhibit991.htm</t>
        </is>
      </c>
      <c r="AJ23" s="152" t="inlineStr">
        <is>
          <t>manifest (whole bundle)</t>
        </is>
      </c>
      <c r="AK23" s="152">
        <f>IF($A23="","",IF(COUNTIFS(Human_Data_Entry!$A$3:$A$525,$A23)&gt;0,"YES","NO"))</f>
        <v/>
      </c>
      <c r="AL23" s="152">
        <f>IF($A23="","",IF(AND($C23&amp;"-"&amp;$D23&gt;=Settings!$B$19,$C23&amp;"-"&amp;$D23&lt;=Settings!$B$20),"IN","OUT"))</f>
        <v/>
      </c>
      <c r="AM23" s="152">
        <f>IF(AND(OR($H23="BUY",$H23="SELL"),ISNUMBER($T23)),$T23,"")</f>
        <v/>
      </c>
      <c r="AN23" s="152">
        <f>IF(AND(OR($H23="BUY",$H23="SELL"),ISNUMBER($AF23)),$AF23,"")</f>
        <v/>
      </c>
      <c r="AO23" s="152">
        <f>IF(ISNUMBER($AM23),ABS(IF(ISNUMBER($G23),$G23,0)-Settings!$B$25),"")</f>
        <v/>
      </c>
      <c r="AP23" s="152">
        <f>IF(ISNUMBER($AO23),$AO23*$AM23,"")</f>
        <v/>
      </c>
      <c r="AQ23" s="152">
        <f>IF(ISNUMBER($AN23),ABS(IF(ISNUMBER($G23),$G23,0)-Settings!$B$25),"")</f>
        <v/>
      </c>
      <c r="AR23" s="152">
        <f>IF(ISNUMBER($AQ23),$AQ23*$AN23,"")</f>
        <v/>
      </c>
      <c r="AS23" s="152">
        <f>IF($A23="","",IFERROR(INDEX(Company_List!$H$3:$H$207,MATCH($A23,Company_List!$A$3:$A$207,0)),"unassigned"))</f>
        <v/>
      </c>
      <c r="AT23" s="152" t="inlineStr">
        <is>
          <t>re-read since v1</t>
        </is>
      </c>
      <c r="AU23" s="152" t="inlineStr">
        <is>
          <t>Phase 2/Master_Data_v1.xlsx</t>
        </is>
      </c>
      <c r="AV23" s="152" t="n">
        <v>2</v>
      </c>
      <c r="AW23" s="152" t="inlineStr">
        <is>
          <t>Insider Monkey (Koala Guide LLC)</t>
        </is>
      </c>
      <c r="AX23" s="152" t="inlineStr">
        <is>
          <t>free to read, copyright asserted</t>
        </is>
      </c>
      <c r="AY23" s="152" t="inlineStr">
        <is>
          <t>no</t>
        </is>
      </c>
      <c r="AZ23" s="152" t="inlineStr">
        <is>
          <t>yes</t>
        </is>
      </c>
      <c r="BA23" s="152" t="inlineStr">
        <is>
          <t>YES</t>
        </is>
      </c>
      <c r="BB23" s="152" t="n"/>
    </row>
    <row r="24" ht="15" customHeight="1" s="241">
      <c r="A24" s="191" t="inlineStr">
        <is>
          <t>Charles Schwab</t>
        </is>
      </c>
      <c r="B24" s="188" t="inlineStr">
        <is>
          <t>SCHW</t>
        </is>
      </c>
      <c r="C24" s="176" t="n">
        <v>2025</v>
      </c>
      <c r="D24" s="177" t="inlineStr">
        <is>
          <t>Q4</t>
        </is>
      </c>
      <c r="E24" s="178" t="inlineStr">
        <is>
          <t>Ben/DeepSeek</t>
        </is>
      </c>
      <c r="F24" s="177" t="inlineStr">
        <is>
          <t>LLM</t>
        </is>
      </c>
      <c r="G24" s="196" t="n">
        <v>0.45</v>
      </c>
      <c r="H24" s="177" t="inlineStr">
        <is>
          <t>BUY</t>
        </is>
      </c>
      <c r="I24" s="196" t="n"/>
      <c r="J24" s="182" t="n">
        <v>46042</v>
      </c>
      <c r="K24" s="182" t="n">
        <v>46043</v>
      </c>
      <c r="L24" s="183" t="n">
        <v>101.79</v>
      </c>
      <c r="M24" s="182" t="n">
        <v>46044</v>
      </c>
      <c r="N24" s="183" t="n">
        <v>103.07</v>
      </c>
      <c r="O24" s="180" t="n">
        <v>0.009849</v>
      </c>
      <c r="P24" s="197" t="n">
        <v>0.012575</v>
      </c>
      <c r="Q24" s="177" t="inlineStr">
        <is>
          <t>FLAT</t>
        </is>
      </c>
      <c r="R24" s="177" t="inlineStr">
        <is>
          <t>NO</t>
        </is>
      </c>
      <c r="S24" s="176" t="n">
        <v>1</v>
      </c>
      <c r="T24" s="197" t="n">
        <v>0.011575</v>
      </c>
      <c r="U24" s="185" t="inlineStr">
        <is>
          <t>w=[0.80,0.20,0,0] thr=(+0.20,-0.10), deployed default promoted 2026-08-18 (PSR=0.964, permutation p=0.0002 at N=233, restricted search - see blend.py)</t>
        </is>
      </c>
      <c r="V24" s="152" t="inlineStr">
        <is>
          <t>FROZEN</t>
        </is>
      </c>
      <c r="W24" s="152" t="inlineStr">
        <is>
          <t>earnings calendar, seconded independently</t>
        </is>
      </c>
      <c r="X24" s="152" t="inlineStr">
        <is>
          <t>SCHW</t>
        </is>
      </c>
      <c r="Y24" s="152" t="inlineStr">
        <is>
          <t>2026-01-20</t>
        </is>
      </c>
      <c r="Z24" s="152" t="n">
        <v>100.2902</v>
      </c>
      <c r="AA24" s="152" t="inlineStr">
        <is>
          <t>2026-01-21</t>
        </is>
      </c>
      <c r="AB24" s="152" t="n">
        <v>100.6279</v>
      </c>
      <c r="AC24" s="152" t="n">
        <v>0.003366761565933791</v>
      </c>
      <c r="AD24" s="152" t="inlineStr">
        <is>
          <t>FLAT</t>
        </is>
      </c>
      <c r="AE24" s="152" t="inlineStr">
        <is>
          <t>NO</t>
        </is>
      </c>
      <c r="AF24" s="152" t="n">
        <v>0.002367</v>
      </c>
      <c r="AG24" s="152">
        <f>IF($A24="","",IFERROR(INDEX(Company_List!$G$3:$G$207,MATCH($A24,Company_List!$A$3:$A$207,0)),"unassigned"))</f>
        <v/>
      </c>
      <c r="AH24" s="152" t="inlineStr">
        <is>
          <t>Phase 2/Charles Schwab/Q4 2025/SCHW-Q4-2025-press-release-SEC-EX99-1.htm; Phase 2/Charles Schwab/Q4 2025/SCHW-Q4-2025-earnings-call-transcript-MotleyFool.html</t>
        </is>
      </c>
      <c r="AI24" s="152" t="inlineStr">
        <is>
          <t>https://www.fool.com/earnings/call-transcripts/2026/03/24/schwab-schw-q4-2025-earnings-call-transcript/; https://www.sec.gov/Archives/edgar/data/316709/000031670926000004/a4q25exhibit991.htm</t>
        </is>
      </c>
      <c r="AJ24" s="152" t="inlineStr">
        <is>
          <t>manifest (whole bundle)</t>
        </is>
      </c>
      <c r="AK24" s="152">
        <f>IF($A24="","",IF(COUNTIFS(Human_Data_Entry!$A$3:$A$525,$A24)&gt;0,"YES","NO"))</f>
        <v/>
      </c>
      <c r="AL24" s="152">
        <f>IF($A24="","",IF(AND($C24&amp;"-"&amp;$D24&gt;=Settings!$B$19,$C24&amp;"-"&amp;$D24&lt;=Settings!$B$20),"IN","OUT"))</f>
        <v/>
      </c>
      <c r="AM24" s="152">
        <f>IF(AND(OR($H24="BUY",$H24="SELL"),ISNUMBER($T24)),$T24,"")</f>
        <v/>
      </c>
      <c r="AN24" s="152">
        <f>IF(AND(OR($H24="BUY",$H24="SELL"),ISNUMBER($AF24)),$AF24,"")</f>
        <v/>
      </c>
      <c r="AO24" s="152">
        <f>IF(ISNUMBER($AM24),ABS(IF(ISNUMBER($G24),$G24,0)-Settings!$B$25),"")</f>
        <v/>
      </c>
      <c r="AP24" s="152">
        <f>IF(ISNUMBER($AO24),$AO24*$AM24,"")</f>
        <v/>
      </c>
      <c r="AQ24" s="152">
        <f>IF(ISNUMBER($AN24),ABS(IF(ISNUMBER($G24),$G24,0)-Settings!$B$25),"")</f>
        <v/>
      </c>
      <c r="AR24" s="152">
        <f>IF(ISNUMBER($AQ24),$AQ24*$AN24,"")</f>
        <v/>
      </c>
      <c r="AS24" s="152">
        <f>IF($A24="","",IFERROR(INDEX(Company_List!$H$3:$H$207,MATCH($A24,Company_List!$A$3:$A$207,0)),"unassigned"))</f>
        <v/>
      </c>
      <c r="AT24" s="152" t="inlineStr">
        <is>
          <t>re-read since v1</t>
        </is>
      </c>
      <c r="AU24" s="152" t="inlineStr">
        <is>
          <t>Phase 2/Master_Data_v1.xlsx</t>
        </is>
      </c>
      <c r="AV24" s="152" t="n">
        <v>2</v>
      </c>
      <c r="AW24" s="152" t="inlineStr">
        <is>
          <t>The Motley Fool</t>
        </is>
      </c>
      <c r="AX24" s="152" t="inlineStr">
        <is>
          <t>free to read, copyright asserted</t>
        </is>
      </c>
      <c r="AY24" s="152" t="inlineStr">
        <is>
          <t>no</t>
        </is>
      </c>
      <c r="AZ24" s="152" t="inlineStr">
        <is>
          <t>yes</t>
        </is>
      </c>
      <c r="BA24" s="152" t="inlineStr">
        <is>
          <t>YES</t>
        </is>
      </c>
      <c r="BB24" s="152" t="n"/>
    </row>
    <row r="25" ht="15" customHeight="1" s="241">
      <c r="A25" s="191" t="inlineStr">
        <is>
          <t>Citigroup</t>
        </is>
      </c>
      <c r="B25" s="188" t="inlineStr">
        <is>
          <t>C</t>
        </is>
      </c>
      <c r="C25" s="176" t="n">
        <v>2025</v>
      </c>
      <c r="D25" s="177" t="inlineStr">
        <is>
          <t>Q1</t>
        </is>
      </c>
      <c r="E25" s="178" t="inlineStr">
        <is>
          <t>Ben/DeepSeek</t>
        </is>
      </c>
      <c r="F25" s="177" t="inlineStr">
        <is>
          <t>LLM</t>
        </is>
      </c>
      <c r="G25" s="196" t="n">
        <v>0.06</v>
      </c>
      <c r="H25" s="177" t="inlineStr">
        <is>
          <t>HOLD</t>
        </is>
      </c>
      <c r="I25" s="196" t="n"/>
      <c r="J25" s="182" t="n">
        <v>45762</v>
      </c>
      <c r="K25" s="182" t="n">
        <v>45761</v>
      </c>
      <c r="L25" s="183" t="n">
        <v>63.22</v>
      </c>
      <c r="M25" s="182" t="n">
        <v>45762</v>
      </c>
      <c r="N25" s="183" t="n">
        <v>64.19</v>
      </c>
      <c r="O25" s="180" t="n">
        <v>0.006537</v>
      </c>
      <c r="P25" s="197" t="n">
        <v>0.015343</v>
      </c>
      <c r="Q25" s="177" t="inlineStr">
        <is>
          <t>FLAT</t>
        </is>
      </c>
      <c r="R25" s="177" t="inlineStr">
        <is>
          <t>YES</t>
        </is>
      </c>
      <c r="S25" s="176" t="n">
        <v>0</v>
      </c>
      <c r="T25" s="197" t="n">
        <v>0</v>
      </c>
      <c r="U25" s="185" t="inlineStr">
        <is>
          <t>w=[0.80,0.20,0,0] thr=(+0.20,-0.10), deployed default promoted 2026-08-18 (PSR=0.964, permutation p=0.0002 at N=233, restricted search - see blend.py)</t>
        </is>
      </c>
      <c r="V25" s="152" t="inlineStr">
        <is>
          <t>FROZEN</t>
        </is>
      </c>
      <c r="W25" s="152" t="inlineStr">
        <is>
          <t>earnings calendar, seconded by the issuer's habit</t>
        </is>
      </c>
      <c r="X25" s="152" t="inlineStr">
        <is>
          <t>C</t>
        </is>
      </c>
      <c r="Y25" s="152" t="inlineStr">
        <is>
          <t>2025-04-14</t>
        </is>
      </c>
      <c r="Z25" s="152" t="n">
        <v>61.0179</v>
      </c>
      <c r="AA25" s="152" t="inlineStr">
        <is>
          <t>2025-04-15</t>
        </is>
      </c>
      <c r="AB25" s="152" t="n">
        <v>61.9541</v>
      </c>
      <c r="AC25" s="152" t="n">
        <v>0.01534335565834782</v>
      </c>
      <c r="AD25" s="152" t="inlineStr">
        <is>
          <t>FLAT</t>
        </is>
      </c>
      <c r="AE25" s="152" t="inlineStr">
        <is>
          <t>NO</t>
        </is>
      </c>
      <c r="AF25" s="152" t="n">
        <v>-0.016343</v>
      </c>
      <c r="AG25" s="152">
        <f>IF($A25="","",IFERROR(INDEX(Company_List!$G$3:$G$207,MATCH($A25,Company_List!$A$3:$A$207,0)),"unassigned"))</f>
        <v/>
      </c>
      <c r="AH25" s="152" t="inlineStr">
        <is>
          <t>Phase 2/Citigroup/Q1/2025psqtr1rslt.pdf; Phase 2/Citigroup/Q1/2025prqtr1rslt.pdf; Phase 2/Citigroup/Q1/2025fsqtr1rslt.pdf</t>
        </is>
      </c>
      <c r="AI25" s="152" t="n"/>
      <c r="AJ25" s="152" t="inlineStr">
        <is>
          <t>whole bundle (Document = All)</t>
        </is>
      </c>
      <c r="AK25" s="152">
        <f>IF($A25="","",IF(COUNTIFS(Human_Data_Entry!$A$3:$A$525,$A25)&gt;0,"YES","NO"))</f>
        <v/>
      </c>
      <c r="AL25" s="152">
        <f>IF($A25="","",IF(AND($C25&amp;"-"&amp;$D25&gt;=Settings!$B$19,$C25&amp;"-"&amp;$D25&lt;=Settings!$B$20),"IN","OUT"))</f>
        <v/>
      </c>
      <c r="AM25" s="152">
        <f>IF(AND(OR($H25="BUY",$H25="SELL"),ISNUMBER($T25)),$T25,"")</f>
        <v/>
      </c>
      <c r="AN25" s="152">
        <f>IF(AND(OR($H25="BUY",$H25="SELL"),ISNUMBER($AF25)),$AF25,"")</f>
        <v/>
      </c>
      <c r="AO25" s="152">
        <f>IF(ISNUMBER($AM25),ABS(IF(ISNUMBER($G25),$G25,0)-Settings!$B$25),"")</f>
        <v/>
      </c>
      <c r="AP25" s="152">
        <f>IF(ISNUMBER($AO25),$AO25*$AM25,"")</f>
        <v/>
      </c>
      <c r="AQ25" s="152">
        <f>IF(ISNUMBER($AN25),ABS(IF(ISNUMBER($G25),$G25,0)-Settings!$B$25),"")</f>
        <v/>
      </c>
      <c r="AR25" s="152">
        <f>IF(ISNUMBER($AQ25),$AQ25*$AN25,"")</f>
        <v/>
      </c>
      <c r="AS25" s="152">
        <f>IF($A25="","",IFERROR(INDEX(Company_List!$H$3:$H$207,MATCH($A25,Company_List!$A$3:$A$207,0)),"unassigned"))</f>
        <v/>
      </c>
      <c r="AT25" s="152" t="inlineStr">
        <is>
          <t>re-read since v1</t>
        </is>
      </c>
      <c r="AU25" s="152" t="inlineStr">
        <is>
          <t>Phase 2/Master_Data_v1.xlsx</t>
        </is>
      </c>
      <c r="AV25" s="152" t="n">
        <v>3</v>
      </c>
      <c r="AW25" s="152" t="inlineStr">
        <is>
          <t>not publisher-identified</t>
        </is>
      </c>
      <c r="AX25" s="152" t="inlineStr">
        <is>
          <t>not publisher-identified</t>
        </is>
      </c>
      <c r="AY25" s="152" t="inlineStr">
        <is>
          <t>no</t>
        </is>
      </c>
      <c r="AZ25" s="152" t="inlineStr">
        <is>
          <t>no</t>
        </is>
      </c>
      <c r="BA25" s="152" t="inlineStr">
        <is>
          <t>YES</t>
        </is>
      </c>
      <c r="BB25" s="152" t="n"/>
    </row>
    <row r="26" ht="15" customHeight="1" s="241">
      <c r="A26" s="191" t="inlineStr">
        <is>
          <t>Citigroup</t>
        </is>
      </c>
      <c r="B26" s="188" t="inlineStr">
        <is>
          <t>C</t>
        </is>
      </c>
      <c r="C26" s="176" t="n">
        <v>2025</v>
      </c>
      <c r="D26" s="177" t="inlineStr">
        <is>
          <t>Q2</t>
        </is>
      </c>
      <c r="E26" s="178" t="inlineStr">
        <is>
          <t>Ben/DeepSeek</t>
        </is>
      </c>
      <c r="F26" s="177" t="inlineStr">
        <is>
          <t>LLM</t>
        </is>
      </c>
      <c r="G26" s="196" t="n">
        <v>0.14</v>
      </c>
      <c r="H26" s="177" t="inlineStr">
        <is>
          <t>HOLD</t>
        </is>
      </c>
      <c r="I26" s="196" t="n"/>
      <c r="J26" s="182" t="n">
        <v>45853</v>
      </c>
      <c r="K26" s="182" t="n">
        <v>45852</v>
      </c>
      <c r="L26" s="183" t="n">
        <v>87.5</v>
      </c>
      <c r="M26" s="182" t="n">
        <v>45853</v>
      </c>
      <c r="N26" s="183" t="n">
        <v>88.65000000000001</v>
      </c>
      <c r="O26" s="180" t="n">
        <v>0.007676</v>
      </c>
      <c r="P26" s="197" t="n">
        <v>0.013143</v>
      </c>
      <c r="Q26" s="177" t="inlineStr">
        <is>
          <t>FLAT</t>
        </is>
      </c>
      <c r="R26" s="177" t="inlineStr">
        <is>
          <t>YES</t>
        </is>
      </c>
      <c r="S26" s="176" t="n">
        <v>0</v>
      </c>
      <c r="T26" s="197" t="n">
        <v>0</v>
      </c>
      <c r="U26" s="185" t="inlineStr">
        <is>
          <t>w=[0.80,0.20,0,0] thr=(+0.20,-0.10), deployed default promoted 2026-08-18 (PSR=0.964, permutation p=0.0002 at N=233, restricted search - see blend.py)</t>
        </is>
      </c>
      <c r="V26" s="152" t="inlineStr">
        <is>
          <t>FROZEN</t>
        </is>
      </c>
      <c r="W26" s="152" t="inlineStr">
        <is>
          <t>document date + price signal</t>
        </is>
      </c>
      <c r="X26" s="152" t="inlineStr">
        <is>
          <t>C</t>
        </is>
      </c>
      <c r="Y26" s="152" t="inlineStr">
        <is>
          <t>2025-07-14</t>
        </is>
      </c>
      <c r="Z26" s="152" t="n">
        <v>85.12739999999999</v>
      </c>
      <c r="AA26" s="152" t="inlineStr">
        <is>
          <t>2025-07-15</t>
        </is>
      </c>
      <c r="AB26" s="152" t="n">
        <v>86.24630000000001</v>
      </c>
      <c r="AC26" s="152" t="n">
        <v>0.01314288227646826</v>
      </c>
      <c r="AD26" s="152" t="inlineStr">
        <is>
          <t>FLAT</t>
        </is>
      </c>
      <c r="AE26" s="152" t="inlineStr">
        <is>
          <t>YES</t>
        </is>
      </c>
      <c r="AF26" s="152" t="n">
        <v>0</v>
      </c>
      <c r="AG26" s="152">
        <f>IF($A26="","",IFERROR(INDEX(Company_List!$G$3:$G$207,MATCH($A26,Company_List!$A$3:$A$207,0)),"unassigned"))</f>
        <v/>
      </c>
      <c r="AH26" s="152" t="inlineStr">
        <is>
          <t>Phase 2/Citigroup/Q2/2025psqtr2rslt.pdf; Phase 2/Citigroup/Q2/2025prqtr2rslt.pdf; Phase 2/Citigroup/Q2/2025fsqtr2rslt.pdf</t>
        </is>
      </c>
      <c r="AI26" s="152" t="n"/>
      <c r="AJ26" s="152" t="inlineStr">
        <is>
          <t>whole bundle (Document = All)</t>
        </is>
      </c>
      <c r="AK26" s="152">
        <f>IF($A26="","",IF(COUNTIFS(Human_Data_Entry!$A$3:$A$525,$A26)&gt;0,"YES","NO"))</f>
        <v/>
      </c>
      <c r="AL26" s="152">
        <f>IF($A26="","",IF(AND($C26&amp;"-"&amp;$D26&gt;=Settings!$B$19,$C26&amp;"-"&amp;$D26&lt;=Settings!$B$20),"IN","OUT"))</f>
        <v/>
      </c>
      <c r="AM26" s="152">
        <f>IF(AND(OR($H26="BUY",$H26="SELL"),ISNUMBER($T26)),$T26,"")</f>
        <v/>
      </c>
      <c r="AN26" s="152">
        <f>IF(AND(OR($H26="BUY",$H26="SELL"),ISNUMBER($AF26)),$AF26,"")</f>
        <v/>
      </c>
      <c r="AO26" s="152">
        <f>IF(ISNUMBER($AM26),ABS(IF(ISNUMBER($G26),$G26,0)-Settings!$B$25),"")</f>
        <v/>
      </c>
      <c r="AP26" s="152">
        <f>IF(ISNUMBER($AO26),$AO26*$AM26,"")</f>
        <v/>
      </c>
      <c r="AQ26" s="152">
        <f>IF(ISNUMBER($AN26),ABS(IF(ISNUMBER($G26),$G26,0)-Settings!$B$25),"")</f>
        <v/>
      </c>
      <c r="AR26" s="152">
        <f>IF(ISNUMBER($AQ26),$AQ26*$AN26,"")</f>
        <v/>
      </c>
      <c r="AS26" s="152">
        <f>IF($A26="","",IFERROR(INDEX(Company_List!$H$3:$H$207,MATCH($A26,Company_List!$A$3:$A$207,0)),"unassigned"))</f>
        <v/>
      </c>
      <c r="AT26" s="152" t="inlineStr">
        <is>
          <t>re-read since v1</t>
        </is>
      </c>
      <c r="AU26" s="152" t="inlineStr">
        <is>
          <t>Phase 2/Master_Data_v1.xlsx</t>
        </is>
      </c>
      <c r="AV26" s="152" t="n">
        <v>3</v>
      </c>
      <c r="AW26" s="152" t="inlineStr">
        <is>
          <t>not publisher-identified</t>
        </is>
      </c>
      <c r="AX26" s="152" t="inlineStr">
        <is>
          <t>not publisher-identified</t>
        </is>
      </c>
      <c r="AY26" s="152" t="inlineStr">
        <is>
          <t>no</t>
        </is>
      </c>
      <c r="AZ26" s="152" t="inlineStr">
        <is>
          <t>no</t>
        </is>
      </c>
      <c r="BA26" s="152" t="inlineStr">
        <is>
          <t>YES</t>
        </is>
      </c>
      <c r="BB26" s="152" t="n"/>
    </row>
    <row r="27" ht="15" customHeight="1" s="241">
      <c r="A27" s="191" t="inlineStr">
        <is>
          <t>Citigroup</t>
        </is>
      </c>
      <c r="B27" s="188" t="inlineStr">
        <is>
          <t>C</t>
        </is>
      </c>
      <c r="C27" s="176" t="n">
        <v>2025</v>
      </c>
      <c r="D27" s="177" t="inlineStr">
        <is>
          <t>Q3</t>
        </is>
      </c>
      <c r="E27" s="178" t="inlineStr">
        <is>
          <t>Ben/DeepSeek</t>
        </is>
      </c>
      <c r="F27" s="177" t="inlineStr">
        <is>
          <t>LLM</t>
        </is>
      </c>
      <c r="G27" s="196" t="n">
        <v>0.3</v>
      </c>
      <c r="H27" s="177" t="inlineStr">
        <is>
          <t>BUY</t>
        </is>
      </c>
      <c r="I27" s="196" t="n"/>
      <c r="J27" s="182" t="n">
        <v>45944</v>
      </c>
      <c r="K27" s="182" t="n">
        <v>45943</v>
      </c>
      <c r="L27" s="183" t="n">
        <v>96.09999999999999</v>
      </c>
      <c r="M27" s="182" t="n">
        <v>45944</v>
      </c>
      <c r="N27" s="183" t="n">
        <v>95.37</v>
      </c>
      <c r="O27" s="180" t="n">
        <v>0.009918</v>
      </c>
      <c r="P27" s="197" t="n">
        <v>-0.007596</v>
      </c>
      <c r="Q27" s="177" t="inlineStr">
        <is>
          <t>FLAT</t>
        </is>
      </c>
      <c r="R27" s="177" t="inlineStr">
        <is>
          <t>NO</t>
        </is>
      </c>
      <c r="S27" s="176" t="n">
        <v>1</v>
      </c>
      <c r="T27" s="197" t="n">
        <v>-0.008595999999999999</v>
      </c>
      <c r="U27" s="185" t="inlineStr">
        <is>
          <t>w=[0.80,0.20,0,0] thr=(+0.20,-0.10), deployed default promoted 2026-08-18 (PSR=0.964, permutation p=0.0002 at N=233, restricted search - see blend.py)</t>
        </is>
      </c>
      <c r="V27" s="152" t="inlineStr">
        <is>
          <t>FROZEN</t>
        </is>
      </c>
      <c r="W27" s="152" t="inlineStr">
        <is>
          <t>earnings calendar, seconded by the issuer's habit</t>
        </is>
      </c>
      <c r="X27" s="152" t="inlineStr">
        <is>
          <t>C</t>
        </is>
      </c>
      <c r="Y27" s="152" t="inlineStr">
        <is>
          <t>2025-10-13</t>
        </is>
      </c>
      <c r="Z27" s="152" t="n">
        <v>94.1091</v>
      </c>
      <c r="AA27" s="152" t="inlineStr">
        <is>
          <t>2025-10-14</t>
        </is>
      </c>
      <c r="AB27" s="152" t="n">
        <v>93.3943</v>
      </c>
      <c r="AC27" s="152" t="n">
        <v>-0.007596170444705547</v>
      </c>
      <c r="AD27" s="152" t="inlineStr">
        <is>
          <t>FLAT</t>
        </is>
      </c>
      <c r="AE27" s="152" t="inlineStr">
        <is>
          <t>NO</t>
        </is>
      </c>
      <c r="AF27" s="152" t="n">
        <v>-0.008595999999999999</v>
      </c>
      <c r="AG27" s="152">
        <f>IF($A27="","",IFERROR(INDEX(Company_List!$G$3:$G$207,MATCH($A27,Company_List!$A$3:$A$207,0)),"unassigned"))</f>
        <v/>
      </c>
      <c r="AH27" s="152" t="inlineStr">
        <is>
          <t>Phase 2/Citigroup/Q3/2025psqtr3rslt.pdf; Phase 2/Citigroup/Q3/2025psqtr3-transcript.pdf; Phase 2/Citigroup/Q3/2025prqtr3rslt.pdf; Phase 2/Citigroup/Q3/2025fsqtr3rslt.pdf</t>
        </is>
      </c>
      <c r="AI27" s="152" t="n"/>
      <c r="AJ27" s="152" t="inlineStr">
        <is>
          <t>whole bundle (Document = All)</t>
        </is>
      </c>
      <c r="AK27" s="152">
        <f>IF($A27="","",IF(COUNTIFS(Human_Data_Entry!$A$3:$A$525,$A27)&gt;0,"YES","NO"))</f>
        <v/>
      </c>
      <c r="AL27" s="152">
        <f>IF($A27="","",IF(AND($C27&amp;"-"&amp;$D27&gt;=Settings!$B$19,$C27&amp;"-"&amp;$D27&lt;=Settings!$B$20),"IN","OUT"))</f>
        <v/>
      </c>
      <c r="AM27" s="152">
        <f>IF(AND(OR($H27="BUY",$H27="SELL"),ISNUMBER($T27)),$T27,"")</f>
        <v/>
      </c>
      <c r="AN27" s="152">
        <f>IF(AND(OR($H27="BUY",$H27="SELL"),ISNUMBER($AF27)),$AF27,"")</f>
        <v/>
      </c>
      <c r="AO27" s="152">
        <f>IF(ISNUMBER($AM27),ABS(IF(ISNUMBER($G27),$G27,0)-Settings!$B$25),"")</f>
        <v/>
      </c>
      <c r="AP27" s="152">
        <f>IF(ISNUMBER($AO27),$AO27*$AM27,"")</f>
        <v/>
      </c>
      <c r="AQ27" s="152">
        <f>IF(ISNUMBER($AN27),ABS(IF(ISNUMBER($G27),$G27,0)-Settings!$B$25),"")</f>
        <v/>
      </c>
      <c r="AR27" s="152">
        <f>IF(ISNUMBER($AQ27),$AQ27*$AN27,"")</f>
        <v/>
      </c>
      <c r="AS27" s="152">
        <f>IF($A27="","",IFERROR(INDEX(Company_List!$H$3:$H$207,MATCH($A27,Company_List!$A$3:$A$207,0)),"unassigned"))</f>
        <v/>
      </c>
      <c r="AT27" s="152" t="inlineStr">
        <is>
          <t>re-read since v1</t>
        </is>
      </c>
      <c r="AU27" s="152" t="inlineStr">
        <is>
          <t>Phase 2/Master_Data_v1.xlsx</t>
        </is>
      </c>
      <c r="AV27" s="152" t="n">
        <v>4</v>
      </c>
      <c r="AW27" s="152" t="inlineStr">
        <is>
          <t>not publisher-identified</t>
        </is>
      </c>
      <c r="AX27" s="152" t="inlineStr">
        <is>
          <t>not publisher-identified</t>
        </is>
      </c>
      <c r="AY27" s="152" t="inlineStr">
        <is>
          <t>no</t>
        </is>
      </c>
      <c r="AZ27" s="152" t="inlineStr">
        <is>
          <t>no</t>
        </is>
      </c>
      <c r="BA27" s="152" t="inlineStr">
        <is>
          <t>YES</t>
        </is>
      </c>
      <c r="BB27" s="152" t="n"/>
    </row>
    <row r="28" ht="15" customHeight="1" s="241">
      <c r="A28" s="191" t="inlineStr">
        <is>
          <t>Citigroup</t>
        </is>
      </c>
      <c r="B28" s="188" t="inlineStr">
        <is>
          <t>C</t>
        </is>
      </c>
      <c r="C28" s="176" t="n">
        <v>2025</v>
      </c>
      <c r="D28" s="177" t="inlineStr">
        <is>
          <t>Q4</t>
        </is>
      </c>
      <c r="E28" s="178" t="inlineStr">
        <is>
          <t>Ben/DeepSeek</t>
        </is>
      </c>
      <c r="F28" s="177" t="inlineStr">
        <is>
          <t>LLM</t>
        </is>
      </c>
      <c r="G28" s="196" t="n">
        <v>0.29</v>
      </c>
      <c r="H28" s="177" t="inlineStr">
        <is>
          <t>BUY</t>
        </is>
      </c>
      <c r="I28" s="196" t="n"/>
      <c r="J28" s="182" t="n">
        <v>46036</v>
      </c>
      <c r="K28" s="182" t="n">
        <v>46035</v>
      </c>
      <c r="L28" s="183" t="n">
        <v>116.3</v>
      </c>
      <c r="M28" s="182" t="n">
        <v>46036</v>
      </c>
      <c r="N28" s="183" t="n">
        <v>117.91</v>
      </c>
      <c r="O28" s="180" t="n">
        <v>0.017345</v>
      </c>
      <c r="P28" s="197" t="n">
        <v>0.013844</v>
      </c>
      <c r="Q28" s="177" t="inlineStr">
        <is>
          <t>FLAT</t>
        </is>
      </c>
      <c r="R28" s="177" t="inlineStr">
        <is>
          <t>NO</t>
        </is>
      </c>
      <c r="S28" s="176" t="n">
        <v>1</v>
      </c>
      <c r="T28" s="197" t="n">
        <v>0.012844</v>
      </c>
      <c r="U28" s="185" t="inlineStr">
        <is>
          <t>w=[0.80,0.20,0,0] thr=(+0.20,-0.10), deployed default promoted 2026-08-18 (PSR=0.964, permutation p=0.0002 at N=233, restricted search - see blend.py)</t>
        </is>
      </c>
      <c r="V28" s="152" t="inlineStr">
        <is>
          <t>FROZEN</t>
        </is>
      </c>
      <c r="W28" s="152" t="inlineStr">
        <is>
          <t>price signal</t>
        </is>
      </c>
      <c r="X28" s="152" t="inlineStr">
        <is>
          <t>C</t>
        </is>
      </c>
      <c r="Y28" s="152" t="inlineStr">
        <is>
          <t>2026-01-13</t>
        </is>
      </c>
      <c r="Z28" s="152" t="n">
        <v>114.5697</v>
      </c>
      <c r="AA28" s="152" t="inlineStr">
        <is>
          <t>2026-01-14</t>
        </is>
      </c>
      <c r="AB28" s="152" t="n">
        <v>116.1558</v>
      </c>
      <c r="AC28" s="152" t="n">
        <v>0.01384353209791019</v>
      </c>
      <c r="AD28" s="152" t="inlineStr">
        <is>
          <t>FLAT</t>
        </is>
      </c>
      <c r="AE28" s="152" t="inlineStr">
        <is>
          <t>NO</t>
        </is>
      </c>
      <c r="AF28" s="152" t="n">
        <v>0.012844</v>
      </c>
      <c r="AG28" s="152">
        <f>IF($A28="","",IFERROR(INDEX(Company_List!$G$3:$G$207,MATCH($A28,Company_List!$A$3:$A$207,0)),"unassigned"))</f>
        <v/>
      </c>
      <c r="AH28" s="152" t="inlineStr">
        <is>
          <t>Phase 2/Citigroup/Q4/2025psqtr4rslt.pdf; Phase 2/Citigroup/Q4/2025psqtr4-transcript.pdf; Phase 2/Citigroup/Q4/2025prqtr4rslt.pdf; Phase 2/Citigroup/Q4/2025fsqtr4rslt.pdf</t>
        </is>
      </c>
      <c r="AI28" s="152" t="n"/>
      <c r="AJ28" s="152" t="inlineStr">
        <is>
          <t>whole bundle (Document = All)</t>
        </is>
      </c>
      <c r="AK28" s="152">
        <f>IF($A28="","",IF(COUNTIFS(Human_Data_Entry!$A$3:$A$525,$A28)&gt;0,"YES","NO"))</f>
        <v/>
      </c>
      <c r="AL28" s="152">
        <f>IF($A28="","",IF(AND($C28&amp;"-"&amp;$D28&gt;=Settings!$B$19,$C28&amp;"-"&amp;$D28&lt;=Settings!$B$20),"IN","OUT"))</f>
        <v/>
      </c>
      <c r="AM28" s="152">
        <f>IF(AND(OR($H28="BUY",$H28="SELL"),ISNUMBER($T28)),$T28,"")</f>
        <v/>
      </c>
      <c r="AN28" s="152">
        <f>IF(AND(OR($H28="BUY",$H28="SELL"),ISNUMBER($AF28)),$AF28,"")</f>
        <v/>
      </c>
      <c r="AO28" s="152">
        <f>IF(ISNUMBER($AM28),ABS(IF(ISNUMBER($G28),$G28,0)-Settings!$B$25),"")</f>
        <v/>
      </c>
      <c r="AP28" s="152">
        <f>IF(ISNUMBER($AO28),$AO28*$AM28,"")</f>
        <v/>
      </c>
      <c r="AQ28" s="152">
        <f>IF(ISNUMBER($AN28),ABS(IF(ISNUMBER($G28),$G28,0)-Settings!$B$25),"")</f>
        <v/>
      </c>
      <c r="AR28" s="152">
        <f>IF(ISNUMBER($AQ28),$AQ28*$AN28,"")</f>
        <v/>
      </c>
      <c r="AS28" s="152">
        <f>IF($A28="","",IFERROR(INDEX(Company_List!$H$3:$H$207,MATCH($A28,Company_List!$A$3:$A$207,0)),"unassigned"))</f>
        <v/>
      </c>
      <c r="AT28" s="152" t="inlineStr">
        <is>
          <t>re-read since v1</t>
        </is>
      </c>
      <c r="AU28" s="152" t="inlineStr">
        <is>
          <t>Phase 2/Master_Data_v1.xlsx</t>
        </is>
      </c>
      <c r="AV28" s="152" t="n">
        <v>4</v>
      </c>
      <c r="AW28" s="152" t="inlineStr">
        <is>
          <t>not publisher-identified</t>
        </is>
      </c>
      <c r="AX28" s="152" t="inlineStr">
        <is>
          <t>not publisher-identified</t>
        </is>
      </c>
      <c r="AY28" s="152" t="inlineStr">
        <is>
          <t>no</t>
        </is>
      </c>
      <c r="AZ28" s="152" t="inlineStr">
        <is>
          <t>no</t>
        </is>
      </c>
      <c r="BA28" s="152" t="inlineStr">
        <is>
          <t>YES</t>
        </is>
      </c>
      <c r="BB28" s="152" t="n"/>
    </row>
    <row r="29" ht="15" customHeight="1" s="241">
      <c r="A29" s="191" t="inlineStr">
        <is>
          <t>Coca-Cola</t>
        </is>
      </c>
      <c r="B29" s="188" t="inlineStr">
        <is>
          <t>KO</t>
        </is>
      </c>
      <c r="C29" s="176" t="n">
        <v>2026</v>
      </c>
      <c r="D29" s="177" t="inlineStr">
        <is>
          <t>Q1</t>
        </is>
      </c>
      <c r="E29" s="178" t="inlineStr">
        <is>
          <t>Ben/DeepSeek</t>
        </is>
      </c>
      <c r="F29" s="177" t="inlineStr">
        <is>
          <t>LLM</t>
        </is>
      </c>
      <c r="G29" s="196" t="n">
        <v>0.18</v>
      </c>
      <c r="H29" s="177" t="inlineStr">
        <is>
          <t>HOLD</t>
        </is>
      </c>
      <c r="I29" s="196" t="n"/>
      <c r="J29" s="182" t="n">
        <v>46140</v>
      </c>
      <c r="K29" s="182" t="n">
        <v>46139</v>
      </c>
      <c r="L29" s="183" t="n">
        <v>75.44</v>
      </c>
      <c r="M29" s="182" t="n">
        <v>46140</v>
      </c>
      <c r="N29" s="183" t="n">
        <v>79.52</v>
      </c>
      <c r="O29" s="180" t="n">
        <v>0.006676</v>
      </c>
      <c r="P29" s="197" t="n">
        <v>0.054083</v>
      </c>
      <c r="Q29" s="177" t="inlineStr">
        <is>
          <t>UP</t>
        </is>
      </c>
      <c r="R29" s="177" t="inlineStr">
        <is>
          <t>NO</t>
        </is>
      </c>
      <c r="S29" s="176" t="n">
        <v>0</v>
      </c>
      <c r="T29" s="197" t="n">
        <v>0</v>
      </c>
      <c r="U29" s="185" t="inlineStr">
        <is>
          <t>w=[0.80,0.20,0,0] thr=(+0.20,-0.10), deployed default promoted 2026-08-18 (PSR=0.964, permutation p=0.0002 at N=233, restricted search - see blend.py)</t>
        </is>
      </c>
      <c r="V29" s="152" t="inlineStr">
        <is>
          <t>FROZEN</t>
        </is>
      </c>
      <c r="W29" s="152" t="inlineStr">
        <is>
          <t>release date + stated time</t>
        </is>
      </c>
      <c r="X29" s="152" t="inlineStr">
        <is>
          <t>KO</t>
        </is>
      </c>
      <c r="Y29" s="152" t="inlineStr">
        <is>
          <t>2026-04-27</t>
        </is>
      </c>
      <c r="Z29" s="152" t="n">
        <v>74.95610000000001</v>
      </c>
      <c r="AA29" s="152" t="inlineStr">
        <is>
          <t>2026-04-28</t>
        </is>
      </c>
      <c r="AB29" s="152" t="n">
        <v>79.0099</v>
      </c>
      <c r="AC29" s="152" t="n">
        <v>0.05408262442542064</v>
      </c>
      <c r="AD29" s="152" t="inlineStr">
        <is>
          <t>UP</t>
        </is>
      </c>
      <c r="AE29" s="152" t="inlineStr">
        <is>
          <t>NO</t>
        </is>
      </c>
      <c r="AF29" s="152" t="n">
        <v>0</v>
      </c>
      <c r="AG29" s="152">
        <f>IF($A29="","",IFERROR(INDEX(Company_List!$G$3:$G$207,MATCH($A29,Company_List!$A$3:$A$207,0)),"unassigned"))</f>
        <v/>
      </c>
      <c r="AH29" s="152" t="inlineStr">
        <is>
          <t>Phase 2/Coca-Cola/Q1 2026 Earnings Transcript.pdf</t>
        </is>
      </c>
      <c r="AI29" s="152" t="n"/>
      <c r="AJ29" s="152" t="inlineStr">
        <is>
          <t>unique filename match</t>
        </is>
      </c>
      <c r="AK29" s="152">
        <f>IF($A29="","",IF(COUNTIFS(Human_Data_Entry!$A$3:$A$525,$A29)&gt;0,"YES","NO"))</f>
        <v/>
      </c>
      <c r="AL29" s="152">
        <f>IF($A29="","",IF(AND($C29&amp;"-"&amp;$D29&gt;=Settings!$B$19,$C29&amp;"-"&amp;$D29&lt;=Settings!$B$20),"IN","OUT"))</f>
        <v/>
      </c>
      <c r="AM29" s="152">
        <f>IF(AND(OR($H29="BUY",$H29="SELL"),ISNUMBER($T29)),$T29,"")</f>
        <v/>
      </c>
      <c r="AN29" s="152">
        <f>IF(AND(OR($H29="BUY",$H29="SELL"),ISNUMBER($AF29)),$AF29,"")</f>
        <v/>
      </c>
      <c r="AO29" s="152">
        <f>IF(ISNUMBER($AM29),ABS(IF(ISNUMBER($G29),$G29,0)-Settings!$B$25),"")</f>
        <v/>
      </c>
      <c r="AP29" s="152">
        <f>IF(ISNUMBER($AO29),$AO29*$AM29,"")</f>
        <v/>
      </c>
      <c r="AQ29" s="152">
        <f>IF(ISNUMBER($AN29),ABS(IF(ISNUMBER($G29),$G29,0)-Settings!$B$25),"")</f>
        <v/>
      </c>
      <c r="AR29" s="152">
        <f>IF(ISNUMBER($AQ29),$AQ29*$AN29,"")</f>
        <v/>
      </c>
      <c r="AS29" s="152">
        <f>IF($A29="","",IFERROR(INDEX(Company_List!$H$3:$H$207,MATCH($A29,Company_List!$A$3:$A$207,0)),"unassigned"))</f>
        <v/>
      </c>
      <c r="AT29" s="152" t="inlineStr">
        <is>
          <t>re-read since v1</t>
        </is>
      </c>
      <c r="AU29" s="152" t="inlineStr">
        <is>
          <t>Phase 2/Master_Data_v1.xlsx</t>
        </is>
      </c>
      <c r="AV29" s="152" t="n">
        <v>1</v>
      </c>
      <c r="AW29" s="152" t="inlineStr">
        <is>
          <t>The Motley Fool</t>
        </is>
      </c>
      <c r="AX29" s="152" t="inlineStr">
        <is>
          <t>free to read, copyright asserted</t>
        </is>
      </c>
      <c r="AY29" s="152" t="inlineStr">
        <is>
          <t>no</t>
        </is>
      </c>
      <c r="AZ29" s="152" t="inlineStr">
        <is>
          <t>no</t>
        </is>
      </c>
      <c r="BA29" s="152" t="inlineStr">
        <is>
          <t>YES</t>
        </is>
      </c>
      <c r="BB29" s="152" t="n"/>
    </row>
    <row r="30" ht="15" customHeight="1" s="241">
      <c r="A30" s="191" t="inlineStr">
        <is>
          <t>Coca-Cola</t>
        </is>
      </c>
      <c r="B30" s="188" t="inlineStr">
        <is>
          <t>KO</t>
        </is>
      </c>
      <c r="C30" s="176" t="n">
        <v>2025</v>
      </c>
      <c r="D30" s="177" t="inlineStr">
        <is>
          <t>Q2</t>
        </is>
      </c>
      <c r="E30" s="178" t="inlineStr">
        <is>
          <t>Ben/DeepSeek</t>
        </is>
      </c>
      <c r="F30" s="177" t="inlineStr">
        <is>
          <t>LLM</t>
        </is>
      </c>
      <c r="G30" s="196" t="n">
        <v>0.18</v>
      </c>
      <c r="H30" s="177" t="inlineStr">
        <is>
          <t>HOLD</t>
        </is>
      </c>
      <c r="I30" s="196" t="n"/>
      <c r="J30" s="182" t="n">
        <v>45860</v>
      </c>
      <c r="K30" s="182" t="n">
        <v>45859</v>
      </c>
      <c r="L30" s="183" t="n">
        <v>70.06999999999999</v>
      </c>
      <c r="M30" s="182" t="n">
        <v>45860</v>
      </c>
      <c r="N30" s="183" t="n">
        <v>69.45</v>
      </c>
      <c r="O30" s="180" t="n">
        <v>0.006623</v>
      </c>
      <c r="P30" s="197" t="n">
        <v>-0.008848</v>
      </c>
      <c r="Q30" s="177" t="inlineStr">
        <is>
          <t>FLAT</t>
        </is>
      </c>
      <c r="R30" s="177" t="inlineStr">
        <is>
          <t>YES</t>
        </is>
      </c>
      <c r="S30" s="176" t="n">
        <v>0</v>
      </c>
      <c r="T30" s="197" t="n">
        <v>0</v>
      </c>
      <c r="U30" s="185" t="inlineStr">
        <is>
          <t>w=[0.80,0.20,0,0] thr=(+0.20,-0.10), deployed default promoted 2026-08-18 (PSR=0.964, permutation p=0.0002 at N=233, restricted search - see blend.py)</t>
        </is>
      </c>
      <c r="V30" s="152" t="inlineStr">
        <is>
          <t>FROZEN</t>
        </is>
      </c>
      <c r="W30" s="152" t="inlineStr">
        <is>
          <t>release date + stated time</t>
        </is>
      </c>
      <c r="X30" s="152" t="inlineStr">
        <is>
          <t>KO</t>
        </is>
      </c>
      <c r="Y30" s="152" t="inlineStr">
        <is>
          <t>2025-07-21</t>
        </is>
      </c>
      <c r="Z30" s="152" t="n">
        <v>68.14019999999999</v>
      </c>
      <c r="AA30" s="152" t="inlineStr">
        <is>
          <t>2025-07-22</t>
        </is>
      </c>
      <c r="AB30" s="152" t="n">
        <v>67.5373</v>
      </c>
      <c r="AC30" s="152" t="n">
        <v>-0.008848346685875993</v>
      </c>
      <c r="AD30" s="152" t="inlineStr">
        <is>
          <t>FLAT</t>
        </is>
      </c>
      <c r="AE30" s="152" t="inlineStr">
        <is>
          <t>YES</t>
        </is>
      </c>
      <c r="AF30" s="152" t="n">
        <v>0</v>
      </c>
      <c r="AG30" s="152">
        <f>IF($A30="","",IFERROR(INDEX(Company_List!$G$3:$G$207,MATCH($A30,Company_List!$A$3:$A$207,0)),"unassigned"))</f>
        <v/>
      </c>
      <c r="AH30" s="152" t="inlineStr">
        <is>
          <t>Phase 2/Coca-Cola/Q2 2025 Earnings Call Transcript.pdf</t>
        </is>
      </c>
      <c r="AI30" s="152" t="n"/>
      <c r="AJ30" s="152" t="inlineStr">
        <is>
          <t>unique filename match</t>
        </is>
      </c>
      <c r="AK30" s="152">
        <f>IF($A30="","",IF(COUNTIFS(Human_Data_Entry!$A$3:$A$525,$A30)&gt;0,"YES","NO"))</f>
        <v/>
      </c>
      <c r="AL30" s="152">
        <f>IF($A30="","",IF(AND($C30&amp;"-"&amp;$D30&gt;=Settings!$B$19,$C30&amp;"-"&amp;$D30&lt;=Settings!$B$20),"IN","OUT"))</f>
        <v/>
      </c>
      <c r="AM30" s="152">
        <f>IF(AND(OR($H30="BUY",$H30="SELL"),ISNUMBER($T30)),$T30,"")</f>
        <v/>
      </c>
      <c r="AN30" s="152">
        <f>IF(AND(OR($H30="BUY",$H30="SELL"),ISNUMBER($AF30)),$AF30,"")</f>
        <v/>
      </c>
      <c r="AO30" s="152">
        <f>IF(ISNUMBER($AM30),ABS(IF(ISNUMBER($G30),$G30,0)-Settings!$B$25),"")</f>
        <v/>
      </c>
      <c r="AP30" s="152">
        <f>IF(ISNUMBER($AO30),$AO30*$AM30,"")</f>
        <v/>
      </c>
      <c r="AQ30" s="152">
        <f>IF(ISNUMBER($AN30),ABS(IF(ISNUMBER($G30),$G30,0)-Settings!$B$25),"")</f>
        <v/>
      </c>
      <c r="AR30" s="152">
        <f>IF(ISNUMBER($AQ30),$AQ30*$AN30,"")</f>
        <v/>
      </c>
      <c r="AS30" s="152">
        <f>IF($A30="","",IFERROR(INDEX(Company_List!$H$3:$H$207,MATCH($A30,Company_List!$A$3:$A$207,0)),"unassigned"))</f>
        <v/>
      </c>
      <c r="AT30" s="152" t="inlineStr">
        <is>
          <t>re-read since v1</t>
        </is>
      </c>
      <c r="AU30" s="152" t="inlineStr">
        <is>
          <t>Phase 2/Master_Data_v1.xlsx</t>
        </is>
      </c>
      <c r="AV30" s="152" t="n">
        <v>1</v>
      </c>
      <c r="AW30" s="152" t="inlineStr">
        <is>
          <t>The Motley Fool</t>
        </is>
      </c>
      <c r="AX30" s="152" t="inlineStr">
        <is>
          <t>free to read, copyright asserted</t>
        </is>
      </c>
      <c r="AY30" s="152" t="inlineStr">
        <is>
          <t>no</t>
        </is>
      </c>
      <c r="AZ30" s="152" t="inlineStr">
        <is>
          <t>no</t>
        </is>
      </c>
      <c r="BA30" s="152" t="inlineStr">
        <is>
          <t>YES</t>
        </is>
      </c>
      <c r="BB30" s="152" t="n"/>
    </row>
    <row r="31" ht="15" customHeight="1" s="241">
      <c r="A31" s="191" t="inlineStr">
        <is>
          <t>Coca-Cola</t>
        </is>
      </c>
      <c r="B31" s="188" t="inlineStr">
        <is>
          <t>KO</t>
        </is>
      </c>
      <c r="C31" s="176" t="n">
        <v>2025</v>
      </c>
      <c r="D31" s="177" t="inlineStr">
        <is>
          <t>Q4</t>
        </is>
      </c>
      <c r="E31" s="178" t="inlineStr">
        <is>
          <t>Ben/DeepSeek</t>
        </is>
      </c>
      <c r="F31" s="177" t="inlineStr">
        <is>
          <t>LLM</t>
        </is>
      </c>
      <c r="G31" s="196" t="n">
        <v>0.17</v>
      </c>
      <c r="H31" s="177" t="inlineStr">
        <is>
          <t>HOLD</t>
        </is>
      </c>
      <c r="I31" s="196" t="n"/>
      <c r="J31" s="182" t="n">
        <v>46063</v>
      </c>
      <c r="K31" s="182" t="n">
        <v>46062</v>
      </c>
      <c r="L31" s="183" t="n">
        <v>77.97</v>
      </c>
      <c r="M31" s="182" t="n">
        <v>46063</v>
      </c>
      <c r="N31" s="183" t="n">
        <v>76.63</v>
      </c>
      <c r="O31" s="180" t="n">
        <v>0.007041</v>
      </c>
      <c r="P31" s="197" t="n">
        <v>-0.017186</v>
      </c>
      <c r="Q31" s="177" t="inlineStr">
        <is>
          <t>FLAT</t>
        </is>
      </c>
      <c r="R31" s="177" t="inlineStr">
        <is>
          <t>YES</t>
        </is>
      </c>
      <c r="S31" s="176" t="n">
        <v>0</v>
      </c>
      <c r="T31" s="197" t="n">
        <v>0</v>
      </c>
      <c r="U31" s="185" t="inlineStr">
        <is>
          <t>w=[0.80,0.20,0,0] thr=(+0.20,-0.10), deployed default promoted 2026-08-18 (PSR=0.964, permutation p=0.0002 at N=233, restricted search - see blend.py)</t>
        </is>
      </c>
      <c r="V31" s="152" t="inlineStr">
        <is>
          <t>FROZEN</t>
        </is>
      </c>
      <c r="W31" s="152" t="inlineStr">
        <is>
          <t>release date + stated time</t>
        </is>
      </c>
      <c r="X31" s="152" t="inlineStr">
        <is>
          <t>KO</t>
        </is>
      </c>
      <c r="Y31" s="152" t="inlineStr">
        <is>
          <t>2026-02-09</t>
        </is>
      </c>
      <c r="Z31" s="152" t="n">
        <v>76.9408</v>
      </c>
      <c r="AA31" s="152" t="inlineStr">
        <is>
          <t>2026-02-10</t>
        </is>
      </c>
      <c r="AB31" s="152" t="n">
        <v>75.6185</v>
      </c>
      <c r="AC31" s="152" t="n">
        <v>-0.01718625273446614</v>
      </c>
      <c r="AD31" s="152" t="inlineStr">
        <is>
          <t>FLAT</t>
        </is>
      </c>
      <c r="AE31" s="152" t="inlineStr">
        <is>
          <t>YES</t>
        </is>
      </c>
      <c r="AF31" s="152" t="n">
        <v>0</v>
      </c>
      <c r="AG31" s="152">
        <f>IF($A31="","",IFERROR(INDEX(Company_List!$G$3:$G$207,MATCH($A31,Company_List!$A$3:$A$207,0)),"unassigned"))</f>
        <v/>
      </c>
      <c r="AH31" s="152" t="inlineStr">
        <is>
          <t>Phase 2/Coca-Cola/Q4 2025 Earnings Call Transcript.pdf</t>
        </is>
      </c>
      <c r="AI31" s="152" t="n"/>
      <c r="AJ31" s="152" t="inlineStr">
        <is>
          <t>unique filename match</t>
        </is>
      </c>
      <c r="AK31" s="152">
        <f>IF($A31="","",IF(COUNTIFS(Human_Data_Entry!$A$3:$A$525,$A31)&gt;0,"YES","NO"))</f>
        <v/>
      </c>
      <c r="AL31" s="152">
        <f>IF($A31="","",IF(AND($C31&amp;"-"&amp;$D31&gt;=Settings!$B$19,$C31&amp;"-"&amp;$D31&lt;=Settings!$B$20),"IN","OUT"))</f>
        <v/>
      </c>
      <c r="AM31" s="152">
        <f>IF(AND(OR($H31="BUY",$H31="SELL"),ISNUMBER($T31)),$T31,"")</f>
        <v/>
      </c>
      <c r="AN31" s="152">
        <f>IF(AND(OR($H31="BUY",$H31="SELL"),ISNUMBER($AF31)),$AF31,"")</f>
        <v/>
      </c>
      <c r="AO31" s="152">
        <f>IF(ISNUMBER($AM31),ABS(IF(ISNUMBER($G31),$G31,0)-Settings!$B$25),"")</f>
        <v/>
      </c>
      <c r="AP31" s="152">
        <f>IF(ISNUMBER($AO31),$AO31*$AM31,"")</f>
        <v/>
      </c>
      <c r="AQ31" s="152">
        <f>IF(ISNUMBER($AN31),ABS(IF(ISNUMBER($G31),$G31,0)-Settings!$B$25),"")</f>
        <v/>
      </c>
      <c r="AR31" s="152">
        <f>IF(ISNUMBER($AQ31),$AQ31*$AN31,"")</f>
        <v/>
      </c>
      <c r="AS31" s="152">
        <f>IF($A31="","",IFERROR(INDEX(Company_List!$H$3:$H$207,MATCH($A31,Company_List!$A$3:$A$207,0)),"unassigned"))</f>
        <v/>
      </c>
      <c r="AT31" s="152" t="inlineStr">
        <is>
          <t>re-read since v1</t>
        </is>
      </c>
      <c r="AU31" s="152" t="inlineStr">
        <is>
          <t>Phase 2/Master_Data_v1.xlsx</t>
        </is>
      </c>
      <c r="AV31" s="152" t="n">
        <v>1</v>
      </c>
      <c r="AW31" s="152" t="inlineStr">
        <is>
          <t>The Motley Fool</t>
        </is>
      </c>
      <c r="AX31" s="152" t="inlineStr">
        <is>
          <t>free to read, copyright asserted</t>
        </is>
      </c>
      <c r="AY31" s="152" t="inlineStr">
        <is>
          <t>no</t>
        </is>
      </c>
      <c r="AZ31" s="152" t="inlineStr">
        <is>
          <t>no</t>
        </is>
      </c>
      <c r="BA31" s="152" t="inlineStr">
        <is>
          <t>YES</t>
        </is>
      </c>
      <c r="BB31" s="152" t="n"/>
    </row>
    <row r="32" ht="15" customHeight="1" s="241">
      <c r="A32" s="191" t="inlineStr">
        <is>
          <t>Coinbase</t>
        </is>
      </c>
      <c r="B32" s="188" t="inlineStr">
        <is>
          <t>COIN</t>
        </is>
      </c>
      <c r="C32" s="176" t="n">
        <v>2026</v>
      </c>
      <c r="D32" s="177" t="inlineStr">
        <is>
          <t>Q1</t>
        </is>
      </c>
      <c r="E32" s="178" t="inlineStr">
        <is>
          <t>Ben/DeepSeek</t>
        </is>
      </c>
      <c r="F32" s="177" t="inlineStr">
        <is>
          <t>LLM</t>
        </is>
      </c>
      <c r="G32" s="196" t="n">
        <v>-0.34</v>
      </c>
      <c r="H32" s="177" t="inlineStr">
        <is>
          <t>SELL</t>
        </is>
      </c>
      <c r="I32" s="196" t="n"/>
      <c r="J32" s="182" t="n">
        <v>46149</v>
      </c>
      <c r="K32" s="182" t="n">
        <v>46149</v>
      </c>
      <c r="L32" s="183" t="n">
        <v>192.96</v>
      </c>
      <c r="M32" s="182" t="n">
        <v>46150</v>
      </c>
      <c r="N32" s="183" t="n">
        <v>186.05</v>
      </c>
      <c r="O32" s="180" t="n">
        <v>0.007181</v>
      </c>
      <c r="P32" s="197" t="n">
        <v>-0.035811</v>
      </c>
      <c r="Q32" s="177" t="inlineStr">
        <is>
          <t>DOWN</t>
        </is>
      </c>
      <c r="R32" s="177" t="inlineStr">
        <is>
          <t>YES</t>
        </is>
      </c>
      <c r="S32" s="176" t="n">
        <v>-1</v>
      </c>
      <c r="T32" s="197" t="n">
        <v>0.034811</v>
      </c>
      <c r="U32" s="185" t="inlineStr">
        <is>
          <t>w=[0.80,0.20,0,0] thr=(+0.20,-0.10), deployed default promoted 2026-08-18 (PSR=0.964, permutation p=0.0002 at N=233, restricted search - see blend.py)</t>
        </is>
      </c>
      <c r="V32" s="152" t="inlineStr">
        <is>
          <t>FROZEN</t>
        </is>
      </c>
      <c r="W32" s="152" t="inlineStr">
        <is>
          <t>release date + stated time in the document (rater worksheet)</t>
        </is>
      </c>
      <c r="X32" s="152" t="inlineStr">
        <is>
          <t>COIN</t>
        </is>
      </c>
      <c r="Y32" s="152" t="inlineStr">
        <is>
          <t>2026-05-07</t>
        </is>
      </c>
      <c r="Z32" s="152" t="n">
        <v>192.96</v>
      </c>
      <c r="AA32" s="152" t="inlineStr">
        <is>
          <t>2026-05-08</t>
        </is>
      </c>
      <c r="AB32" s="152" t="n">
        <v>186.05</v>
      </c>
      <c r="AC32" s="152" t="n">
        <v>-0.03581055011052102</v>
      </c>
      <c r="AD32" s="152" t="inlineStr">
        <is>
          <t>DOWN</t>
        </is>
      </c>
      <c r="AE32" s="152" t="inlineStr">
        <is>
          <t>YES</t>
        </is>
      </c>
      <c r="AF32" s="152" t="n">
        <v>0.034811</v>
      </c>
      <c r="AG32" s="152">
        <f>IF($A32="","",IFERROR(INDEX(Company_List!$G$3:$G$207,MATCH($A32,Company_List!$A$3:$A$207,0)),"unassigned"))</f>
        <v/>
      </c>
      <c r="AH32" s="152" t="inlineStr">
        <is>
          <t>Phase 2/Coin Base/2026-Q1/COIN-2026-Q1-press-release-SEC-EX-99-1.htm</t>
        </is>
      </c>
      <c r="AI32" s="152" t="inlineStr">
        <is>
          <t>https://www.sec.gov/Archives/edgar/data/1679788/000167978826000053/q126earningsdeck-finalse.htm</t>
        </is>
      </c>
      <c r="AJ32" s="152" t="inlineStr">
        <is>
          <t>manifest</t>
        </is>
      </c>
      <c r="AK32" s="152">
        <f>IF($A32="","",IF(COUNTIFS(Human_Data_Entry!$A$3:$A$525,$A32)&gt;0,"YES","NO"))</f>
        <v/>
      </c>
      <c r="AL32" s="152">
        <f>IF($A32="","",IF(AND($C32&amp;"-"&amp;$D32&gt;=Settings!$B$19,$C32&amp;"-"&amp;$D32&lt;=Settings!$B$20),"IN","OUT"))</f>
        <v/>
      </c>
      <c r="AM32" s="152">
        <f>IF(AND(OR($H32="BUY",$H32="SELL"),ISNUMBER($T32)),$T32,"")</f>
        <v/>
      </c>
      <c r="AN32" s="152">
        <f>IF(AND(OR($H32="BUY",$H32="SELL"),ISNUMBER($AF32)),$AF32,"")</f>
        <v/>
      </c>
      <c r="AO32" s="152">
        <f>IF(ISNUMBER($AM32),ABS(IF(ISNUMBER($G32),$G32,0)-Settings!$B$25),"")</f>
        <v/>
      </c>
      <c r="AP32" s="152">
        <f>IF(ISNUMBER($AO32),$AO32*$AM32,"")</f>
        <v/>
      </c>
      <c r="AQ32" s="152">
        <f>IF(ISNUMBER($AN32),ABS(IF(ISNUMBER($G32),$G32,0)-Settings!$B$25),"")</f>
        <v/>
      </c>
      <c r="AR32" s="152">
        <f>IF(ISNUMBER($AQ32),$AQ32*$AN32,"")</f>
        <v/>
      </c>
      <c r="AS32" s="152">
        <f>IF($A32="","",IFERROR(INDEX(Company_List!$H$3:$H$207,MATCH($A32,Company_List!$A$3:$A$207,0)),"unassigned"))</f>
        <v/>
      </c>
      <c r="AT32" s="152" t="inlineStr">
        <is>
          <t>re-read since v1</t>
        </is>
      </c>
      <c r="AU32" s="152" t="inlineStr">
        <is>
          <t>Phase 2/Master_Data_v1.xlsx</t>
        </is>
      </c>
      <c r="AV32" s="152" t="n">
        <v>1</v>
      </c>
      <c r="AW32" s="152" t="inlineStr">
        <is>
          <t>not publisher-identified</t>
        </is>
      </c>
      <c r="AX32" s="152" t="inlineStr">
        <is>
          <t>not publisher-identified</t>
        </is>
      </c>
      <c r="AY32" s="152" t="inlineStr">
        <is>
          <t>no</t>
        </is>
      </c>
      <c r="AZ32" s="152" t="inlineStr">
        <is>
          <t>yes</t>
        </is>
      </c>
      <c r="BA32" s="198" t="inlineStr">
        <is>
          <t>NO</t>
        </is>
      </c>
      <c r="BB32" s="198" t="inlineStr">
        <is>
          <t>worksheet contamination</t>
        </is>
      </c>
    </row>
    <row r="33" ht="15" customHeight="1" s="241">
      <c r="A33" s="191" t="inlineStr">
        <is>
          <t>Coinbase</t>
        </is>
      </c>
      <c r="B33" s="188" t="inlineStr">
        <is>
          <t>COIN</t>
        </is>
      </c>
      <c r="C33" s="176" t="n">
        <v>2025</v>
      </c>
      <c r="D33" s="177" t="inlineStr">
        <is>
          <t>Q3</t>
        </is>
      </c>
      <c r="E33" s="178" t="inlineStr">
        <is>
          <t>Ben/DeepSeek</t>
        </is>
      </c>
      <c r="F33" s="177" t="inlineStr">
        <is>
          <t>LLM</t>
        </is>
      </c>
      <c r="G33" s="196" t="n">
        <v>0.3</v>
      </c>
      <c r="H33" s="177" t="inlineStr">
        <is>
          <t>BUY</t>
        </is>
      </c>
      <c r="I33" s="196" t="n"/>
      <c r="J33" s="182" t="n">
        <v>45960</v>
      </c>
      <c r="K33" s="182" t="n">
        <v>45960</v>
      </c>
      <c r="L33" s="183" t="n">
        <v>328.51</v>
      </c>
      <c r="M33" s="182" t="n">
        <v>45961</v>
      </c>
      <c r="N33" s="183" t="n">
        <v>336</v>
      </c>
      <c r="O33" s="180" t="n">
        <v>0.007314</v>
      </c>
      <c r="P33" s="197" t="n">
        <v>0.0228</v>
      </c>
      <c r="Q33" s="177" t="inlineStr">
        <is>
          <t>UP</t>
        </is>
      </c>
      <c r="R33" s="177" t="inlineStr">
        <is>
          <t>YES</t>
        </is>
      </c>
      <c r="S33" s="176" t="n">
        <v>1</v>
      </c>
      <c r="T33" s="197" t="n">
        <v>0.0218</v>
      </c>
      <c r="U33" s="185" t="inlineStr">
        <is>
          <t>w=[0.80,0.20,0,0] thr=(+0.20,-0.10), deployed default promoted 2026-08-18 (PSR=0.964, permutation p=0.0002 at N=233, restricted search - see blend.py)</t>
        </is>
      </c>
      <c r="V33" s="152" t="inlineStr">
        <is>
          <t>FROZEN</t>
        </is>
      </c>
      <c r="W33" s="152" t="inlineStr">
        <is>
          <t>release date + stated time in the document (rater worksheet)</t>
        </is>
      </c>
      <c r="X33" s="152" t="inlineStr">
        <is>
          <t>COIN</t>
        </is>
      </c>
      <c r="Y33" s="152" t="inlineStr">
        <is>
          <t>2025-10-30</t>
        </is>
      </c>
      <c r="Z33" s="152" t="n">
        <v>328.51</v>
      </c>
      <c r="AA33" s="152" t="inlineStr">
        <is>
          <t>2025-10-31</t>
        </is>
      </c>
      <c r="AB33" s="152" t="n">
        <v>336</v>
      </c>
      <c r="AC33" s="152" t="n">
        <v>0.02279988363216079</v>
      </c>
      <c r="AD33" s="152" t="inlineStr">
        <is>
          <t>UP</t>
        </is>
      </c>
      <c r="AE33" s="152" t="inlineStr">
        <is>
          <t>YES</t>
        </is>
      </c>
      <c r="AF33" s="152" t="n">
        <v>0.0218</v>
      </c>
      <c r="AG33" s="152">
        <f>IF($A33="","",IFERROR(INDEX(Company_List!$G$3:$G$207,MATCH($A33,Company_List!$A$3:$A$207,0)),"unassigned"))</f>
        <v/>
      </c>
      <c r="AH33" s="152" t="inlineStr">
        <is>
          <t>Phase 2/Coin Base/2025-Q3/COIN-2025-Q3-press-release-SEC-EX-99-1.htm</t>
        </is>
      </c>
      <c r="AI33" s="152" t="inlineStr">
        <is>
          <t>https://www.sec.gov/Archives/edgar/data/1679788/000167978825000207/q325shareholderletter.htm</t>
        </is>
      </c>
      <c r="AJ33" s="152" t="inlineStr">
        <is>
          <t>manifest</t>
        </is>
      </c>
      <c r="AK33" s="152">
        <f>IF($A33="","",IF(COUNTIFS(Human_Data_Entry!$A$3:$A$525,$A33)&gt;0,"YES","NO"))</f>
        <v/>
      </c>
      <c r="AL33" s="152">
        <f>IF($A33="","",IF(AND($C33&amp;"-"&amp;$D33&gt;=Settings!$B$19,$C33&amp;"-"&amp;$D33&lt;=Settings!$B$20),"IN","OUT"))</f>
        <v/>
      </c>
      <c r="AM33" s="152">
        <f>IF(AND(OR($H33="BUY",$H33="SELL"),ISNUMBER($T33)),$T33,"")</f>
        <v/>
      </c>
      <c r="AN33" s="152">
        <f>IF(AND(OR($H33="BUY",$H33="SELL"),ISNUMBER($AF33)),$AF33,"")</f>
        <v/>
      </c>
      <c r="AO33" s="152">
        <f>IF(ISNUMBER($AM33),ABS(IF(ISNUMBER($G33),$G33,0)-Settings!$B$25),"")</f>
        <v/>
      </c>
      <c r="AP33" s="152">
        <f>IF(ISNUMBER($AO33),$AO33*$AM33,"")</f>
        <v/>
      </c>
      <c r="AQ33" s="152">
        <f>IF(ISNUMBER($AN33),ABS(IF(ISNUMBER($G33),$G33,0)-Settings!$B$25),"")</f>
        <v/>
      </c>
      <c r="AR33" s="152">
        <f>IF(ISNUMBER($AQ33),$AQ33*$AN33,"")</f>
        <v/>
      </c>
      <c r="AS33" s="152">
        <f>IF($A33="","",IFERROR(INDEX(Company_List!$H$3:$H$207,MATCH($A33,Company_List!$A$3:$A$207,0)),"unassigned"))</f>
        <v/>
      </c>
      <c r="AT33" s="152" t="inlineStr">
        <is>
          <t>re-read since v1</t>
        </is>
      </c>
      <c r="AU33" s="152" t="inlineStr">
        <is>
          <t>Phase 2/Master_Data_v1.xlsx</t>
        </is>
      </c>
      <c r="AV33" s="152" t="n">
        <v>1</v>
      </c>
      <c r="AW33" s="152" t="inlineStr">
        <is>
          <t>not publisher-identified</t>
        </is>
      </c>
      <c r="AX33" s="152" t="inlineStr">
        <is>
          <t>not publisher-identified</t>
        </is>
      </c>
      <c r="AY33" s="152" t="inlineStr">
        <is>
          <t>no</t>
        </is>
      </c>
      <c r="AZ33" s="152" t="inlineStr">
        <is>
          <t>yes</t>
        </is>
      </c>
      <c r="BA33" s="198" t="inlineStr">
        <is>
          <t>NO</t>
        </is>
      </c>
      <c r="BB33" s="198" t="inlineStr">
        <is>
          <t>worksheet contamination</t>
        </is>
      </c>
    </row>
    <row r="34" ht="15" customHeight="1" s="241">
      <c r="A34" s="191" t="inlineStr">
        <is>
          <t>Coinbase</t>
        </is>
      </c>
      <c r="B34" s="188" t="inlineStr">
        <is>
          <t>COIN</t>
        </is>
      </c>
      <c r="C34" s="176" t="n">
        <v>2025</v>
      </c>
      <c r="D34" s="177" t="inlineStr">
        <is>
          <t>Q4</t>
        </is>
      </c>
      <c r="E34" s="178" t="inlineStr">
        <is>
          <t>Ben/DeepSeek</t>
        </is>
      </c>
      <c r="F34" s="177" t="inlineStr">
        <is>
          <t>LLM</t>
        </is>
      </c>
      <c r="G34" s="196" t="n">
        <v>-0.03</v>
      </c>
      <c r="H34" s="177" t="inlineStr">
        <is>
          <t>HOLD</t>
        </is>
      </c>
      <c r="I34" s="196" t="n"/>
      <c r="J34" s="182" t="n">
        <v>46065</v>
      </c>
      <c r="K34" s="182" t="n">
        <v>46065</v>
      </c>
      <c r="L34" s="183" t="n">
        <v>141.09</v>
      </c>
      <c r="M34" s="182" t="n">
        <v>46066</v>
      </c>
      <c r="N34" s="183" t="n">
        <v>153.7</v>
      </c>
      <c r="O34" s="180" t="n">
        <v>0.007531</v>
      </c>
      <c r="P34" s="197" t="n">
        <v>0.089376</v>
      </c>
      <c r="Q34" s="177" t="inlineStr">
        <is>
          <t>UP</t>
        </is>
      </c>
      <c r="R34" s="177" t="inlineStr">
        <is>
          <t>NO</t>
        </is>
      </c>
      <c r="S34" s="176" t="n">
        <v>0</v>
      </c>
      <c r="T34" s="197" t="n">
        <v>0</v>
      </c>
      <c r="U34" s="185" t="inlineStr">
        <is>
          <t>w=[0.80,0.20,0,0] thr=(+0.20,-0.10), deployed default promoted 2026-08-18 (PSR=0.964, permutation p=0.0002 at N=233, restricted search - see blend.py)</t>
        </is>
      </c>
      <c r="V34" s="152" t="inlineStr">
        <is>
          <t>FROZEN</t>
        </is>
      </c>
      <c r="W34" s="152" t="inlineStr">
        <is>
          <t>release date + stated time in the document (rater worksheet)</t>
        </is>
      </c>
      <c r="X34" s="152" t="inlineStr">
        <is>
          <t>COIN</t>
        </is>
      </c>
      <c r="Y34" s="152" t="inlineStr">
        <is>
          <t>2026-02-12</t>
        </is>
      </c>
      <c r="Z34" s="152" t="n">
        <v>141.09</v>
      </c>
      <c r="AA34" s="152" t="inlineStr">
        <is>
          <t>2026-02-13</t>
        </is>
      </c>
      <c r="AB34" s="152" t="n">
        <v>153.7</v>
      </c>
      <c r="AC34" s="152" t="n">
        <v>0.08937558549509053</v>
      </c>
      <c r="AD34" s="152" t="inlineStr">
        <is>
          <t>UP</t>
        </is>
      </c>
      <c r="AE34" s="152" t="inlineStr">
        <is>
          <t>NO</t>
        </is>
      </c>
      <c r="AF34" s="152" t="n">
        <v>0</v>
      </c>
      <c r="AG34" s="152">
        <f>IF($A34="","",IFERROR(INDEX(Company_List!$G$3:$G$207,MATCH($A34,Company_List!$A$3:$A$207,0)),"unassigned"))</f>
        <v/>
      </c>
      <c r="AH34" s="152" t="inlineStr">
        <is>
          <t>Phase 2/Coin Base/2025-Q4/COIN-2025-Q4-press-release-SEC-EX-99-1.htm</t>
        </is>
      </c>
      <c r="AI34" s="152" t="inlineStr">
        <is>
          <t>https://www.sec.gov/Archives/edgar/data/1679788/000167978826000011/q425shareholderletter.htm</t>
        </is>
      </c>
      <c r="AJ34" s="152" t="inlineStr">
        <is>
          <t>manifest</t>
        </is>
      </c>
      <c r="AK34" s="152">
        <f>IF($A34="","",IF(COUNTIFS(Human_Data_Entry!$A$3:$A$525,$A34)&gt;0,"YES","NO"))</f>
        <v/>
      </c>
      <c r="AL34" s="152">
        <f>IF($A34="","",IF(AND($C34&amp;"-"&amp;$D34&gt;=Settings!$B$19,$C34&amp;"-"&amp;$D34&lt;=Settings!$B$20),"IN","OUT"))</f>
        <v/>
      </c>
      <c r="AM34" s="152">
        <f>IF(AND(OR($H34="BUY",$H34="SELL"),ISNUMBER($T34)),$T34,"")</f>
        <v/>
      </c>
      <c r="AN34" s="152">
        <f>IF(AND(OR($H34="BUY",$H34="SELL"),ISNUMBER($AF34)),$AF34,"")</f>
        <v/>
      </c>
      <c r="AO34" s="152">
        <f>IF(ISNUMBER($AM34),ABS(IF(ISNUMBER($G34),$G34,0)-Settings!$B$25),"")</f>
        <v/>
      </c>
      <c r="AP34" s="152">
        <f>IF(ISNUMBER($AO34),$AO34*$AM34,"")</f>
        <v/>
      </c>
      <c r="AQ34" s="152">
        <f>IF(ISNUMBER($AN34),ABS(IF(ISNUMBER($G34),$G34,0)-Settings!$B$25),"")</f>
        <v/>
      </c>
      <c r="AR34" s="152">
        <f>IF(ISNUMBER($AQ34),$AQ34*$AN34,"")</f>
        <v/>
      </c>
      <c r="AS34" s="152">
        <f>IF($A34="","",IFERROR(INDEX(Company_List!$H$3:$H$207,MATCH($A34,Company_List!$A$3:$A$207,0)),"unassigned"))</f>
        <v/>
      </c>
      <c r="AT34" s="152" t="inlineStr">
        <is>
          <t>re-read since v1</t>
        </is>
      </c>
      <c r="AU34" s="152" t="inlineStr">
        <is>
          <t>Phase 2/Master_Data_v1.xlsx</t>
        </is>
      </c>
      <c r="AV34" s="152" t="n">
        <v>1</v>
      </c>
      <c r="AW34" s="152" t="inlineStr">
        <is>
          <t>not publisher-identified</t>
        </is>
      </c>
      <c r="AX34" s="152" t="inlineStr">
        <is>
          <t>not publisher-identified</t>
        </is>
      </c>
      <c r="AY34" s="152" t="inlineStr">
        <is>
          <t>no</t>
        </is>
      </c>
      <c r="AZ34" s="152" t="inlineStr">
        <is>
          <t>yes</t>
        </is>
      </c>
      <c r="BA34" s="198" t="inlineStr">
        <is>
          <t>NO</t>
        </is>
      </c>
      <c r="BB34" s="198" t="inlineStr">
        <is>
          <t>worksheet contamination</t>
        </is>
      </c>
    </row>
    <row r="35" ht="15" customHeight="1" s="241">
      <c r="A35" s="191" t="inlineStr">
        <is>
          <t>Eli Lilly</t>
        </is>
      </c>
      <c r="B35" s="188" t="inlineStr">
        <is>
          <t>LLY</t>
        </is>
      </c>
      <c r="C35" s="176" t="n">
        <v>2026</v>
      </c>
      <c r="D35" s="177" t="inlineStr">
        <is>
          <t>Q1</t>
        </is>
      </c>
      <c r="E35" s="178" t="inlineStr">
        <is>
          <t>Ben/DeepSeek</t>
        </is>
      </c>
      <c r="F35" s="177" t="inlineStr">
        <is>
          <t>LLM</t>
        </is>
      </c>
      <c r="G35" s="196" t="n">
        <v>0.62</v>
      </c>
      <c r="H35" s="177" t="inlineStr">
        <is>
          <t>BUY</t>
        </is>
      </c>
      <c r="I35" s="196" t="n"/>
      <c r="J35" s="182" t="n">
        <v>46141</v>
      </c>
      <c r="K35" s="182" t="n">
        <v>46141</v>
      </c>
      <c r="L35" s="183" t="n">
        <v>851.21</v>
      </c>
      <c r="M35" s="182" t="n">
        <v>46142</v>
      </c>
      <c r="N35" s="183" t="n">
        <v>898.78</v>
      </c>
      <c r="O35" s="180" t="n">
        <v>0.003456</v>
      </c>
      <c r="P35" s="197" t="n">
        <v>0.055885</v>
      </c>
      <c r="Q35" s="177" t="inlineStr">
        <is>
          <t>UP</t>
        </is>
      </c>
      <c r="R35" s="177" t="inlineStr">
        <is>
          <t>YES</t>
        </is>
      </c>
      <c r="S35" s="176" t="n">
        <v>1</v>
      </c>
      <c r="T35" s="197" t="n">
        <v>0.054885</v>
      </c>
      <c r="U35" s="185" t="inlineStr">
        <is>
          <t>w=[0.80,0.20,0,0] thr=(+0.20,-0.10), deployed default promoted 2026-08-18 (PSR=0.964, permutation p=0.0002 at N=233, restricted search - see blend.py)</t>
        </is>
      </c>
      <c r="V35" s="152" t="inlineStr">
        <is>
          <t>FROZEN</t>
        </is>
      </c>
      <c r="W35" s="152" t="inlineStr">
        <is>
          <t>release date + stated time in the document (rater worksheet)</t>
        </is>
      </c>
      <c r="X35" s="152" t="inlineStr">
        <is>
          <t>LLY</t>
        </is>
      </c>
      <c r="Y35" s="152" t="inlineStr">
        <is>
          <t>2026-04-29</t>
        </is>
      </c>
      <c r="Z35" s="152" t="n">
        <v>849.7473</v>
      </c>
      <c r="AA35" s="152" t="inlineStr">
        <is>
          <t>2026-04-30</t>
        </is>
      </c>
      <c r="AB35" s="152" t="n">
        <v>897.2355</v>
      </c>
      <c r="AC35" s="152" t="n">
        <v>0.05588514850647311</v>
      </c>
      <c r="AD35" s="152" t="inlineStr">
        <is>
          <t>UP</t>
        </is>
      </c>
      <c r="AE35" s="152" t="inlineStr">
        <is>
          <t>YES</t>
        </is>
      </c>
      <c r="AF35" s="152" t="n">
        <v>0.054885</v>
      </c>
      <c r="AG35" s="152">
        <f>IF($A35="","",IFERROR(INDEX(Company_List!$G$3:$G$207,MATCH($A35,Company_List!$A$3:$A$207,0)),"unassigned"))</f>
        <v/>
      </c>
      <c r="AH35" s="152" t="inlineStr">
        <is>
          <t>Phase 2/Eli Lilly/2026-Q1/LLY-2026-Q1-press-release-SEC-EX-99.htm</t>
        </is>
      </c>
      <c r="AI35" s="152" t="inlineStr">
        <is>
          <t>https://www.sec.gov/Archives/edgar/data/59478/000005947826000043/q126lillysalesandearningsp.htm</t>
        </is>
      </c>
      <c r="AJ35" s="152" t="inlineStr">
        <is>
          <t>manifest</t>
        </is>
      </c>
      <c r="AK35" s="152">
        <f>IF($A35="","",IF(COUNTIFS(Human_Data_Entry!$A$3:$A$525,$A35)&gt;0,"YES","NO"))</f>
        <v/>
      </c>
      <c r="AL35" s="152">
        <f>IF($A35="","",IF(AND($C35&amp;"-"&amp;$D35&gt;=Settings!$B$19,$C35&amp;"-"&amp;$D35&lt;=Settings!$B$20),"IN","OUT"))</f>
        <v/>
      </c>
      <c r="AM35" s="152">
        <f>IF(AND(OR($H35="BUY",$H35="SELL"),ISNUMBER($T35)),$T35,"")</f>
        <v/>
      </c>
      <c r="AN35" s="152">
        <f>IF(AND(OR($H35="BUY",$H35="SELL"),ISNUMBER($AF35)),$AF35,"")</f>
        <v/>
      </c>
      <c r="AO35" s="152">
        <f>IF(ISNUMBER($AM35),ABS(IF(ISNUMBER($G35),$G35,0)-Settings!$B$25),"")</f>
        <v/>
      </c>
      <c r="AP35" s="152">
        <f>IF(ISNUMBER($AO35),$AO35*$AM35,"")</f>
        <v/>
      </c>
      <c r="AQ35" s="152">
        <f>IF(ISNUMBER($AN35),ABS(IF(ISNUMBER($G35),$G35,0)-Settings!$B$25),"")</f>
        <v/>
      </c>
      <c r="AR35" s="152">
        <f>IF(ISNUMBER($AQ35),$AQ35*$AN35,"")</f>
        <v/>
      </c>
      <c r="AS35" s="152">
        <f>IF($A35="","",IFERROR(INDEX(Company_List!$H$3:$H$207,MATCH($A35,Company_List!$A$3:$A$207,0)),"unassigned"))</f>
        <v/>
      </c>
      <c r="AT35" s="152" t="inlineStr">
        <is>
          <t>re-read since v1</t>
        </is>
      </c>
      <c r="AU35" s="152" t="inlineStr">
        <is>
          <t>Phase 2/Master_Data_v1.xlsx</t>
        </is>
      </c>
      <c r="AV35" s="152" t="n">
        <v>1</v>
      </c>
      <c r="AW35" s="152" t="inlineStr">
        <is>
          <t>not publisher-identified</t>
        </is>
      </c>
      <c r="AX35" s="152" t="inlineStr">
        <is>
          <t>not publisher-identified</t>
        </is>
      </c>
      <c r="AY35" s="152" t="inlineStr">
        <is>
          <t>no</t>
        </is>
      </c>
      <c r="AZ35" s="152" t="inlineStr">
        <is>
          <t>yes</t>
        </is>
      </c>
      <c r="BA35" s="198" t="inlineStr">
        <is>
          <t>NO</t>
        </is>
      </c>
      <c r="BB35" s="198" t="inlineStr">
        <is>
          <t>worksheet contamination</t>
        </is>
      </c>
    </row>
    <row r="36" ht="15" customHeight="1" s="241">
      <c r="A36" s="191" t="inlineStr">
        <is>
          <t>Eli Lilly</t>
        </is>
      </c>
      <c r="B36" s="188" t="inlineStr">
        <is>
          <t>LLY</t>
        </is>
      </c>
      <c r="C36" s="176" t="n">
        <v>2025</v>
      </c>
      <c r="D36" s="177" t="inlineStr">
        <is>
          <t>Q3</t>
        </is>
      </c>
      <c r="E36" s="178" t="inlineStr">
        <is>
          <t>Ben/DeepSeek</t>
        </is>
      </c>
      <c r="F36" s="177" t="inlineStr">
        <is>
          <t>LLM</t>
        </is>
      </c>
      <c r="G36" s="196" t="n">
        <v>0.46</v>
      </c>
      <c r="H36" s="177" t="inlineStr">
        <is>
          <t>BUY</t>
        </is>
      </c>
      <c r="I36" s="196" t="n"/>
      <c r="J36" s="182" t="n">
        <v>45959</v>
      </c>
      <c r="K36" s="182" t="n">
        <v>45959</v>
      </c>
      <c r="L36" s="183" t="n">
        <v>813.53</v>
      </c>
      <c r="M36" s="182" t="n">
        <v>45960</v>
      </c>
      <c r="N36" s="183" t="n">
        <v>837.5</v>
      </c>
      <c r="O36" s="180" t="n">
        <v>0.00343</v>
      </c>
      <c r="P36" s="197" t="n">
        <v>0.029464</v>
      </c>
      <c r="Q36" s="177" t="inlineStr">
        <is>
          <t>UP</t>
        </is>
      </c>
      <c r="R36" s="177" t="inlineStr">
        <is>
          <t>YES</t>
        </is>
      </c>
      <c r="S36" s="176" t="n">
        <v>1</v>
      </c>
      <c r="T36" s="197" t="n">
        <v>0.028464</v>
      </c>
      <c r="U36" s="185" t="inlineStr">
        <is>
          <t>w=[0.80,0.20,0,0] thr=(+0.20,-0.10), deployed default promoted 2026-08-18 (PSR=0.964, permutation p=0.0002 at N=233, restricted search - see blend.py)</t>
        </is>
      </c>
      <c r="V36" s="152" t="inlineStr">
        <is>
          <t>FROZEN</t>
        </is>
      </c>
      <c r="W36" s="152" t="inlineStr">
        <is>
          <t>release date + stated time in the document (rater worksheet)</t>
        </is>
      </c>
      <c r="X36" s="152" t="inlineStr">
        <is>
          <t>LLY</t>
        </is>
      </c>
      <c r="Y36" s="152" t="inlineStr">
        <is>
          <t>2025-10-29</t>
        </is>
      </c>
      <c r="Z36" s="152" t="n">
        <v>809.5898</v>
      </c>
      <c r="AA36" s="152" t="inlineStr">
        <is>
          <t>2025-10-30</t>
        </is>
      </c>
      <c r="AB36" s="152" t="n">
        <v>833.4437</v>
      </c>
      <c r="AC36" s="152" t="n">
        <v>0.02946411647138618</v>
      </c>
      <c r="AD36" s="152" t="inlineStr">
        <is>
          <t>UP</t>
        </is>
      </c>
      <c r="AE36" s="152" t="inlineStr">
        <is>
          <t>YES</t>
        </is>
      </c>
      <c r="AF36" s="152" t="n">
        <v>0.028464</v>
      </c>
      <c r="AG36" s="152">
        <f>IF($A36="","",IFERROR(INDEX(Company_List!$G$3:$G$207,MATCH($A36,Company_List!$A$3:$A$207,0)),"unassigned"))</f>
        <v/>
      </c>
      <c r="AH36" s="152" t="inlineStr">
        <is>
          <t>Phase 2/Eli Lilly/2025-Q3/LLY-2025-Q3-press-release-SEC-EX-99-1.htm</t>
        </is>
      </c>
      <c r="AI36" s="152" t="inlineStr">
        <is>
          <t>https://www.sec.gov/Archives/edgar/data/59478/000005947825000251/q325lillysalesandearningsp.htm</t>
        </is>
      </c>
      <c r="AJ36" s="152" t="inlineStr">
        <is>
          <t>manifest</t>
        </is>
      </c>
      <c r="AK36" s="152">
        <f>IF($A36="","",IF(COUNTIFS(Human_Data_Entry!$A$3:$A$525,$A36)&gt;0,"YES","NO"))</f>
        <v/>
      </c>
      <c r="AL36" s="152">
        <f>IF($A36="","",IF(AND($C36&amp;"-"&amp;$D36&gt;=Settings!$B$19,$C36&amp;"-"&amp;$D36&lt;=Settings!$B$20),"IN","OUT"))</f>
        <v/>
      </c>
      <c r="AM36" s="152">
        <f>IF(AND(OR($H36="BUY",$H36="SELL"),ISNUMBER($T36)),$T36,"")</f>
        <v/>
      </c>
      <c r="AN36" s="152">
        <f>IF(AND(OR($H36="BUY",$H36="SELL"),ISNUMBER($AF36)),$AF36,"")</f>
        <v/>
      </c>
      <c r="AO36" s="152">
        <f>IF(ISNUMBER($AM36),ABS(IF(ISNUMBER($G36),$G36,0)-Settings!$B$25),"")</f>
        <v/>
      </c>
      <c r="AP36" s="152">
        <f>IF(ISNUMBER($AO36),$AO36*$AM36,"")</f>
        <v/>
      </c>
      <c r="AQ36" s="152">
        <f>IF(ISNUMBER($AN36),ABS(IF(ISNUMBER($G36),$G36,0)-Settings!$B$25),"")</f>
        <v/>
      </c>
      <c r="AR36" s="152">
        <f>IF(ISNUMBER($AQ36),$AQ36*$AN36,"")</f>
        <v/>
      </c>
      <c r="AS36" s="152">
        <f>IF($A36="","",IFERROR(INDEX(Company_List!$H$3:$H$207,MATCH($A36,Company_List!$A$3:$A$207,0)),"unassigned"))</f>
        <v/>
      </c>
      <c r="AT36" s="152" t="inlineStr">
        <is>
          <t>re-read since v1</t>
        </is>
      </c>
      <c r="AU36" s="152" t="inlineStr">
        <is>
          <t>Phase 2/Master_Data_v1.xlsx</t>
        </is>
      </c>
      <c r="AV36" s="152" t="n">
        <v>1</v>
      </c>
      <c r="AW36" s="152" t="inlineStr">
        <is>
          <t>not publisher-identified</t>
        </is>
      </c>
      <c r="AX36" s="152" t="inlineStr">
        <is>
          <t>not publisher-identified</t>
        </is>
      </c>
      <c r="AY36" s="152" t="inlineStr">
        <is>
          <t>no</t>
        </is>
      </c>
      <c r="AZ36" s="152" t="inlineStr">
        <is>
          <t>yes</t>
        </is>
      </c>
      <c r="BA36" s="198" t="inlineStr">
        <is>
          <t>NO</t>
        </is>
      </c>
      <c r="BB36" s="198" t="inlineStr">
        <is>
          <t>worksheet contamination</t>
        </is>
      </c>
    </row>
    <row r="37" ht="15" customHeight="1" s="241">
      <c r="A37" s="191" t="inlineStr">
        <is>
          <t>Eli Lilly</t>
        </is>
      </c>
      <c r="B37" s="188" t="inlineStr">
        <is>
          <t>LLY</t>
        </is>
      </c>
      <c r="C37" s="176" t="n">
        <v>2025</v>
      </c>
      <c r="D37" s="177" t="inlineStr">
        <is>
          <t>Q4</t>
        </is>
      </c>
      <c r="E37" s="178" t="inlineStr">
        <is>
          <t>Ben/DeepSeek</t>
        </is>
      </c>
      <c r="F37" s="177" t="inlineStr">
        <is>
          <t>LLM</t>
        </is>
      </c>
      <c r="G37" s="196" t="n">
        <v>0.45</v>
      </c>
      <c r="H37" s="177" t="inlineStr">
        <is>
          <t>BUY</t>
        </is>
      </c>
      <c r="I37" s="196" t="n"/>
      <c r="J37" s="182" t="n">
        <v>46056</v>
      </c>
      <c r="K37" s="182" t="n">
        <v>46056</v>
      </c>
      <c r="L37" s="183" t="n">
        <v>1003.46</v>
      </c>
      <c r="M37" s="182" t="n">
        <v>46057</v>
      </c>
      <c r="N37" s="183" t="n">
        <v>1075.12</v>
      </c>
      <c r="O37" s="180" t="n">
        <v>0.003543</v>
      </c>
      <c r="P37" s="197" t="n">
        <v>0.071413</v>
      </c>
      <c r="Q37" s="177" t="inlineStr">
        <is>
          <t>UP</t>
        </is>
      </c>
      <c r="R37" s="177" t="inlineStr">
        <is>
          <t>YES</t>
        </is>
      </c>
      <c r="S37" s="176" t="n">
        <v>1</v>
      </c>
      <c r="T37" s="197" t="n">
        <v>0.070413</v>
      </c>
      <c r="U37" s="185" t="inlineStr">
        <is>
          <t>w=[0.80,0.20,0,0] thr=(+0.20,-0.10), deployed default promoted 2026-08-18 (PSR=0.964, permutation p=0.0002 at N=233, restricted search - see blend.py)</t>
        </is>
      </c>
      <c r="V37" s="152" t="inlineStr">
        <is>
          <t>FROZEN</t>
        </is>
      </c>
      <c r="W37" s="152" t="inlineStr">
        <is>
          <t>release date + stated time in the document (rater worksheet)</t>
        </is>
      </c>
      <c r="X37" s="152" t="inlineStr">
        <is>
          <t>LLY</t>
        </is>
      </c>
      <c r="Y37" s="152" t="inlineStr">
        <is>
          <t>2026-02-03</t>
        </is>
      </c>
      <c r="Z37" s="152" t="n">
        <v>1000.0665</v>
      </c>
      <c r="AA37" s="152" t="inlineStr">
        <is>
          <t>2026-02-04</t>
        </is>
      </c>
      <c r="AB37" s="152" t="n">
        <v>1071.4841</v>
      </c>
      <c r="AC37" s="152" t="n">
        <v>0.07141286038889046</v>
      </c>
      <c r="AD37" s="152" t="inlineStr">
        <is>
          <t>UP</t>
        </is>
      </c>
      <c r="AE37" s="152" t="inlineStr">
        <is>
          <t>YES</t>
        </is>
      </c>
      <c r="AF37" s="152" t="n">
        <v>0.070413</v>
      </c>
      <c r="AG37" s="152">
        <f>IF($A37="","",IFERROR(INDEX(Company_List!$G$3:$G$207,MATCH($A37,Company_List!$A$3:$A$207,0)),"unassigned"))</f>
        <v/>
      </c>
      <c r="AH37" s="152" t="inlineStr">
        <is>
          <t>Phase 2/Eli Lilly/2025-Q4/LLY-2025-Q4-press-release-SEC-EX-99-1.htm</t>
        </is>
      </c>
      <c r="AI37" s="152" t="inlineStr">
        <is>
          <t>https://www.sec.gov/Archives/edgar/data/59478/000005947826000008/q425lillysalesandearningsp.htm</t>
        </is>
      </c>
      <c r="AJ37" s="152" t="inlineStr">
        <is>
          <t>manifest</t>
        </is>
      </c>
      <c r="AK37" s="152">
        <f>IF($A37="","",IF(COUNTIFS(Human_Data_Entry!$A$3:$A$525,$A37)&gt;0,"YES","NO"))</f>
        <v/>
      </c>
      <c r="AL37" s="152">
        <f>IF($A37="","",IF(AND($C37&amp;"-"&amp;$D37&gt;=Settings!$B$19,$C37&amp;"-"&amp;$D37&lt;=Settings!$B$20),"IN","OUT"))</f>
        <v/>
      </c>
      <c r="AM37" s="152">
        <f>IF(AND(OR($H37="BUY",$H37="SELL"),ISNUMBER($T37)),$T37,"")</f>
        <v/>
      </c>
      <c r="AN37" s="152">
        <f>IF(AND(OR($H37="BUY",$H37="SELL"),ISNUMBER($AF37)),$AF37,"")</f>
        <v/>
      </c>
      <c r="AO37" s="152">
        <f>IF(ISNUMBER($AM37),ABS(IF(ISNUMBER($G37),$G37,0)-Settings!$B$25),"")</f>
        <v/>
      </c>
      <c r="AP37" s="152">
        <f>IF(ISNUMBER($AO37),$AO37*$AM37,"")</f>
        <v/>
      </c>
      <c r="AQ37" s="152">
        <f>IF(ISNUMBER($AN37),ABS(IF(ISNUMBER($G37),$G37,0)-Settings!$B$25),"")</f>
        <v/>
      </c>
      <c r="AR37" s="152">
        <f>IF(ISNUMBER($AQ37),$AQ37*$AN37,"")</f>
        <v/>
      </c>
      <c r="AS37" s="152">
        <f>IF($A37="","",IFERROR(INDEX(Company_List!$H$3:$H$207,MATCH($A37,Company_List!$A$3:$A$207,0)),"unassigned"))</f>
        <v/>
      </c>
      <c r="AT37" s="152" t="inlineStr">
        <is>
          <t>re-read since v1</t>
        </is>
      </c>
      <c r="AU37" s="152" t="inlineStr">
        <is>
          <t>Phase 2/Master_Data_v1.xlsx</t>
        </is>
      </c>
      <c r="AV37" s="152" t="n">
        <v>1</v>
      </c>
      <c r="AW37" s="152" t="inlineStr">
        <is>
          <t>not publisher-identified</t>
        </is>
      </c>
      <c r="AX37" s="152" t="inlineStr">
        <is>
          <t>not publisher-identified</t>
        </is>
      </c>
      <c r="AY37" s="152" t="inlineStr">
        <is>
          <t>no</t>
        </is>
      </c>
      <c r="AZ37" s="152" t="inlineStr">
        <is>
          <t>yes</t>
        </is>
      </c>
      <c r="BA37" s="198" t="inlineStr">
        <is>
          <t>NO</t>
        </is>
      </c>
      <c r="BB37" s="198" t="inlineStr">
        <is>
          <t>worksheet contamination</t>
        </is>
      </c>
    </row>
    <row r="38" ht="15" customHeight="1" s="241">
      <c r="A38" s="191" t="inlineStr">
        <is>
          <t>Goldman Sachs</t>
        </is>
      </c>
      <c r="B38" s="188" t="inlineStr">
        <is>
          <t>GS</t>
        </is>
      </c>
      <c r="C38" s="176" t="n">
        <v>2025</v>
      </c>
      <c r="D38" s="177" t="inlineStr">
        <is>
          <t>Q1</t>
        </is>
      </c>
      <c r="E38" s="178" t="inlineStr">
        <is>
          <t>Ben/DeepSeek</t>
        </is>
      </c>
      <c r="F38" s="177" t="inlineStr">
        <is>
          <t>LLM</t>
        </is>
      </c>
      <c r="G38" s="196" t="n">
        <v>-0.06</v>
      </c>
      <c r="H38" s="177" t="inlineStr">
        <is>
          <t>HOLD</t>
        </is>
      </c>
      <c r="I38" s="196" t="n"/>
      <c r="J38" s="182" t="n">
        <v>45758</v>
      </c>
      <c r="K38" s="182" t="n">
        <v>45758</v>
      </c>
      <c r="L38" s="183" t="n">
        <v>494.44</v>
      </c>
      <c r="M38" s="182" t="n">
        <v>45761</v>
      </c>
      <c r="N38" s="183" t="n">
        <v>510</v>
      </c>
      <c r="O38" s="180" t="n">
        <v>0.008151</v>
      </c>
      <c r="P38" s="197" t="n">
        <v>0.03147</v>
      </c>
      <c r="Q38" s="177" t="inlineStr">
        <is>
          <t>UP</t>
        </is>
      </c>
      <c r="R38" s="177" t="inlineStr">
        <is>
          <t>NO</t>
        </is>
      </c>
      <c r="S38" s="176" t="n">
        <v>0</v>
      </c>
      <c r="T38" s="197" t="n">
        <v>0</v>
      </c>
      <c r="U38" s="185" t="inlineStr">
        <is>
          <t>w=[0.80,0.20,0,0] thr=(+0.20,-0.10), deployed default promoted 2026-08-18 (PSR=0.964, permutation p=0.0002 at N=233, restricted search - see blend.py)</t>
        </is>
      </c>
      <c r="V38" s="152" t="inlineStr">
        <is>
          <t>FROZEN</t>
        </is>
      </c>
      <c r="W38" s="152" t="inlineStr">
        <is>
          <t>price signal — only this window shows an abnormal move</t>
        </is>
      </c>
      <c r="X38" s="152" t="inlineStr">
        <is>
          <t>GS</t>
        </is>
      </c>
      <c r="Y38" s="152" t="inlineStr">
        <is>
          <t>2025-04-11</t>
        </is>
      </c>
      <c r="Z38" s="152" t="n">
        <v>482.2791</v>
      </c>
      <c r="AA38" s="152" t="inlineStr">
        <is>
          <t>2025-04-14</t>
        </is>
      </c>
      <c r="AB38" s="152" t="n">
        <v>497.4564</v>
      </c>
      <c r="AC38" s="152" t="n">
        <v>0.03146985469319141</v>
      </c>
      <c r="AD38" s="152" t="inlineStr">
        <is>
          <t>UP</t>
        </is>
      </c>
      <c r="AE38" s="152" t="inlineStr">
        <is>
          <t>NO</t>
        </is>
      </c>
      <c r="AF38" s="152" t="n">
        <v>-0.03247</v>
      </c>
      <c r="AG38" s="152">
        <f>IF($A38="","",IFERROR(INDEX(Company_List!$G$3:$G$207,MATCH($A38,Company_List!$A$3:$A$207,0)),"unassigned"))</f>
        <v/>
      </c>
      <c r="AH38" s="152" t="inlineStr">
        <is>
          <t>Phase 2/Goldman Sachs/Q1 2025/GS-Q1-2025-presentation-SEC-EX99-2.htm; Phase 2/Goldman Sachs/Q1 2025/GS-Q1-2025-press-release-SEC-EX99-1.htm; Phase 2/Goldman Sachs/Q1 2025/GS-Q1-2025-earnings-call-transcript-InsiderMonkey.html</t>
        </is>
      </c>
      <c r="AI38" s="152" t="inlineStr">
        <is>
          <t>https://www.insidermonkey.com/blog/the-goldman-sachs-group-inc-nysegs-q1-2025-earnings-call-transcript-1508363/; https://www.sec.gov/Archives/edgar/data/886982/000119312525079625/d750054dex991.htm; https://www.sec.gov/Archives/edgar/data/886982/000119312525079625/d750054dex992.htm</t>
        </is>
      </c>
      <c r="AJ38" s="152" t="inlineStr">
        <is>
          <t>manifest (whole bundle)</t>
        </is>
      </c>
      <c r="AK38" s="152">
        <f>IF($A38="","",IF(COUNTIFS(Human_Data_Entry!$A$3:$A$525,$A38)&gt;0,"YES","NO"))</f>
        <v/>
      </c>
      <c r="AL38" s="152">
        <f>IF($A38="","",IF(AND($C38&amp;"-"&amp;$D38&gt;=Settings!$B$19,$C38&amp;"-"&amp;$D38&lt;=Settings!$B$20),"IN","OUT"))</f>
        <v/>
      </c>
      <c r="AM38" s="152">
        <f>IF(AND(OR($H38="BUY",$H38="SELL"),ISNUMBER($T38)),$T38,"")</f>
        <v/>
      </c>
      <c r="AN38" s="152">
        <f>IF(AND(OR($H38="BUY",$H38="SELL"),ISNUMBER($AF38)),$AF38,"")</f>
        <v/>
      </c>
      <c r="AO38" s="152">
        <f>IF(ISNUMBER($AM38),ABS(IF(ISNUMBER($G38),$G38,0)-Settings!$B$25),"")</f>
        <v/>
      </c>
      <c r="AP38" s="152">
        <f>IF(ISNUMBER($AO38),$AO38*$AM38,"")</f>
        <v/>
      </c>
      <c r="AQ38" s="152">
        <f>IF(ISNUMBER($AN38),ABS(IF(ISNUMBER($G38),$G38,0)-Settings!$B$25),"")</f>
        <v/>
      </c>
      <c r="AR38" s="152">
        <f>IF(ISNUMBER($AQ38),$AQ38*$AN38,"")</f>
        <v/>
      </c>
      <c r="AS38" s="152">
        <f>IF($A38="","",IFERROR(INDEX(Company_List!$H$3:$H$207,MATCH($A38,Company_List!$A$3:$A$207,0)),"unassigned"))</f>
        <v/>
      </c>
      <c r="AT38" s="152" t="inlineStr">
        <is>
          <t>re-read since v1</t>
        </is>
      </c>
      <c r="AU38" s="152" t="inlineStr">
        <is>
          <t>Phase 2/Master_Data_v1.xlsx</t>
        </is>
      </c>
      <c r="AV38" s="152" t="n">
        <v>3</v>
      </c>
      <c r="AW38" s="152" t="inlineStr">
        <is>
          <t>Insider Monkey (Koala Guide LLC)</t>
        </is>
      </c>
      <c r="AX38" s="152" t="inlineStr">
        <is>
          <t>free to read, copyright asserted</t>
        </is>
      </c>
      <c r="AY38" s="152" t="inlineStr">
        <is>
          <t>no</t>
        </is>
      </c>
      <c r="AZ38" s="152" t="inlineStr">
        <is>
          <t>yes</t>
        </is>
      </c>
      <c r="BA38" s="152" t="inlineStr">
        <is>
          <t>YES</t>
        </is>
      </c>
      <c r="BB38" s="152" t="n"/>
    </row>
    <row r="39" ht="15" customHeight="1" s="241">
      <c r="A39" s="191" t="inlineStr">
        <is>
          <t>Goldman Sachs</t>
        </is>
      </c>
      <c r="B39" s="188" t="inlineStr">
        <is>
          <t>GS</t>
        </is>
      </c>
      <c r="C39" s="176" t="n">
        <v>2026</v>
      </c>
      <c r="D39" s="177" t="inlineStr">
        <is>
          <t>Q1</t>
        </is>
      </c>
      <c r="E39" s="178" t="inlineStr">
        <is>
          <t>Ben/DeepSeek</t>
        </is>
      </c>
      <c r="F39" s="177" t="inlineStr">
        <is>
          <t>LLM</t>
        </is>
      </c>
      <c r="G39" s="196" t="n">
        <v>0.06</v>
      </c>
      <c r="H39" s="177" t="inlineStr">
        <is>
          <t>HOLD</t>
        </is>
      </c>
      <c r="I39" s="196" t="n"/>
      <c r="J39" s="182" t="n">
        <v>46122</v>
      </c>
      <c r="K39" s="182" t="n">
        <v>46122</v>
      </c>
      <c r="L39" s="183" t="n">
        <v>907.8</v>
      </c>
      <c r="M39" s="182" t="n">
        <v>46125</v>
      </c>
      <c r="N39" s="183" t="n">
        <v>875.55</v>
      </c>
      <c r="O39" s="180" t="n">
        <v>0.008619</v>
      </c>
      <c r="P39" s="197" t="n">
        <v>-0.035525</v>
      </c>
      <c r="Q39" s="177" t="inlineStr">
        <is>
          <t>DOWN</t>
        </is>
      </c>
      <c r="R39" s="177" t="inlineStr">
        <is>
          <t>NO</t>
        </is>
      </c>
      <c r="S39" s="176" t="n">
        <v>0</v>
      </c>
      <c r="T39" s="197" t="n">
        <v>0</v>
      </c>
      <c r="U39" s="185" t="inlineStr">
        <is>
          <t>w=[0.80,0.20,0,0] thr=(+0.20,-0.10), deployed default promoted 2026-08-18 (PSR=0.964, permutation p=0.0002 at N=233, restricted search - see blend.py)</t>
        </is>
      </c>
      <c r="V39" s="152" t="inlineStr">
        <is>
          <t>FROZEN</t>
        </is>
      </c>
      <c r="W39" s="152" t="inlineStr">
        <is>
          <t>price signal — only this window shows an abnormal move</t>
        </is>
      </c>
      <c r="X39" s="152" t="inlineStr">
        <is>
          <t>GS</t>
        </is>
      </c>
      <c r="Y39" s="152" t="inlineStr">
        <is>
          <t>2026-04-10</t>
        </is>
      </c>
      <c r="Z39" s="152" t="n">
        <v>903.8167</v>
      </c>
      <c r="AA39" s="152" t="inlineStr">
        <is>
          <t>2026-04-13</t>
        </is>
      </c>
      <c r="AB39" s="152" t="n">
        <v>871.7082</v>
      </c>
      <c r="AC39" s="152" t="n">
        <v>-0.03552543586465621</v>
      </c>
      <c r="AD39" s="152" t="inlineStr">
        <is>
          <t>DOWN</t>
        </is>
      </c>
      <c r="AE39" s="152" t="inlineStr">
        <is>
          <t>YES</t>
        </is>
      </c>
      <c r="AF39" s="152" t="n">
        <v>0.034525</v>
      </c>
      <c r="AG39" s="152">
        <f>IF($A39="","",IFERROR(INDEX(Company_List!$G$3:$G$207,MATCH($A39,Company_List!$A$3:$A$207,0)),"unassigned"))</f>
        <v/>
      </c>
      <c r="AH39" s="152" t="inlineStr">
        <is>
          <t>Phase 2/Goldman Sachs/Q1 2026/GS-Q1-2026-presentation-SEC-EX99-2.htm; Phase 2/Goldman Sachs/Q1 2026/GS-Q1-2026-press-release-SEC-EX99-1.htm; Phase 2/Goldman Sachs/Q1 2026/GS-Q1-2026-earnings-call-transcript-MotleyFool.html</t>
        </is>
      </c>
      <c r="AI39" s="152" t="inlineStr">
        <is>
          <t>https://www.fool.com/earnings/call-transcripts/2026/04/13/goldman-sachs-gs-q1-2026-earnings-transcript/; https://www.sec.gov/Archives/edgar/data/886982/000088698226000096/a1q26gsearningsresults.htm; https://www.sec.gov/Archives/edgar/data/886982/000088698226000096/a1q26gsearningsresultspr.htm</t>
        </is>
      </c>
      <c r="AJ39" s="152" t="inlineStr">
        <is>
          <t>manifest (whole bundle)</t>
        </is>
      </c>
      <c r="AK39" s="152">
        <f>IF($A39="","",IF(COUNTIFS(Human_Data_Entry!$A$3:$A$525,$A39)&gt;0,"YES","NO"))</f>
        <v/>
      </c>
      <c r="AL39" s="152">
        <f>IF($A39="","",IF(AND($C39&amp;"-"&amp;$D39&gt;=Settings!$B$19,$C39&amp;"-"&amp;$D39&lt;=Settings!$B$20),"IN","OUT"))</f>
        <v/>
      </c>
      <c r="AM39" s="152">
        <f>IF(AND(OR($H39="BUY",$H39="SELL"),ISNUMBER($T39)),$T39,"")</f>
        <v/>
      </c>
      <c r="AN39" s="152">
        <f>IF(AND(OR($H39="BUY",$H39="SELL"),ISNUMBER($AF39)),$AF39,"")</f>
        <v/>
      </c>
      <c r="AO39" s="152">
        <f>IF(ISNUMBER($AM39),ABS(IF(ISNUMBER($G39),$G39,0)-Settings!$B$25),"")</f>
        <v/>
      </c>
      <c r="AP39" s="152">
        <f>IF(ISNUMBER($AO39),$AO39*$AM39,"")</f>
        <v/>
      </c>
      <c r="AQ39" s="152">
        <f>IF(ISNUMBER($AN39),ABS(IF(ISNUMBER($G39),$G39,0)-Settings!$B$25),"")</f>
        <v/>
      </c>
      <c r="AR39" s="152">
        <f>IF(ISNUMBER($AQ39),$AQ39*$AN39,"")</f>
        <v/>
      </c>
      <c r="AS39" s="152">
        <f>IF($A39="","",IFERROR(INDEX(Company_List!$H$3:$H$207,MATCH($A39,Company_List!$A$3:$A$207,0)),"unassigned"))</f>
        <v/>
      </c>
      <c r="AT39" s="152" t="inlineStr">
        <is>
          <t>re-read since v1</t>
        </is>
      </c>
      <c r="AU39" s="152" t="inlineStr">
        <is>
          <t>Phase 2/Master_Data_v1.xlsx</t>
        </is>
      </c>
      <c r="AV39" s="152" t="n">
        <v>3</v>
      </c>
      <c r="AW39" s="152" t="inlineStr">
        <is>
          <t>The Motley Fool</t>
        </is>
      </c>
      <c r="AX39" s="152" t="inlineStr">
        <is>
          <t>free to read, copyright asserted</t>
        </is>
      </c>
      <c r="AY39" s="152" t="inlineStr">
        <is>
          <t>no</t>
        </is>
      </c>
      <c r="AZ39" s="152" t="inlineStr">
        <is>
          <t>yes</t>
        </is>
      </c>
      <c r="BA39" s="152" t="inlineStr">
        <is>
          <t>YES</t>
        </is>
      </c>
      <c r="BB39" s="152" t="n"/>
    </row>
    <row r="40" ht="15" customHeight="1" s="241">
      <c r="A40" s="191" t="inlineStr">
        <is>
          <t>Goldman Sachs</t>
        </is>
      </c>
      <c r="B40" s="188" t="inlineStr">
        <is>
          <t>GS</t>
        </is>
      </c>
      <c r="C40" s="176" t="n">
        <v>2025</v>
      </c>
      <c r="D40" s="177" t="inlineStr">
        <is>
          <t>Q2</t>
        </is>
      </c>
      <c r="E40" s="178" t="inlineStr">
        <is>
          <t>Ben/DeepSeek</t>
        </is>
      </c>
      <c r="F40" s="177" t="inlineStr">
        <is>
          <t>LLM</t>
        </is>
      </c>
      <c r="G40" s="196" t="n">
        <v>0.26</v>
      </c>
      <c r="H40" s="177" t="inlineStr">
        <is>
          <t>BUY</t>
        </is>
      </c>
      <c r="I40" s="196" t="n"/>
      <c r="J40" s="182" t="n">
        <v>45853</v>
      </c>
      <c r="K40" s="182" t="n">
        <v>45853</v>
      </c>
      <c r="L40" s="183" t="n">
        <v>702.51</v>
      </c>
      <c r="M40" s="182" t="n">
        <v>45854</v>
      </c>
      <c r="N40" s="183" t="n">
        <v>708.5</v>
      </c>
      <c r="O40" s="180" t="n">
        <v>0.007993999999999999</v>
      </c>
      <c r="P40" s="197" t="n">
        <v>0.008527</v>
      </c>
      <c r="Q40" s="177" t="inlineStr">
        <is>
          <t>FLAT</t>
        </is>
      </c>
      <c r="R40" s="177" t="inlineStr">
        <is>
          <t>NO</t>
        </is>
      </c>
      <c r="S40" s="176" t="n">
        <v>1</v>
      </c>
      <c r="T40" s="197" t="n">
        <v>0.007527</v>
      </c>
      <c r="U40" s="185" t="inlineStr">
        <is>
          <t>w=[0.80,0.20,0,0] thr=(+0.20,-0.10), deployed default promoted 2026-08-18 (PSR=0.964, permutation p=0.0002 at N=233, restricted search - see blend.py)</t>
        </is>
      </c>
      <c r="V40" s="152" t="inlineStr">
        <is>
          <t>FROZEN</t>
        </is>
      </c>
      <c r="W40" s="152" t="inlineStr">
        <is>
          <t>earnings calendar, seconded independently</t>
        </is>
      </c>
      <c r="X40" s="152" t="inlineStr">
        <is>
          <t>GS</t>
        </is>
      </c>
      <c r="Y40" s="152" t="inlineStr">
        <is>
          <t>2025-07-15</t>
        </is>
      </c>
      <c r="Z40" s="152" t="n">
        <v>688.6472</v>
      </c>
      <c r="AA40" s="152" t="inlineStr">
        <is>
          <t>2025-07-16</t>
        </is>
      </c>
      <c r="AB40" s="152" t="n">
        <v>694.5189</v>
      </c>
      <c r="AC40" s="152" t="n">
        <v>0.008526563634517781</v>
      </c>
      <c r="AD40" s="152" t="inlineStr">
        <is>
          <t>FLAT</t>
        </is>
      </c>
      <c r="AE40" s="152" t="inlineStr">
        <is>
          <t>YES</t>
        </is>
      </c>
      <c r="AF40" s="152" t="n">
        <v>0</v>
      </c>
      <c r="AG40" s="152">
        <f>IF($A40="","",IFERROR(INDEX(Company_List!$G$3:$G$207,MATCH($A40,Company_List!$A$3:$A$207,0)),"unassigned"))</f>
        <v/>
      </c>
      <c r="AH40" s="152" t="inlineStr">
        <is>
          <t>Phase 2/Goldman Sachs/Q2 2025/GS-Q2-2025-presentation-SEC-EX99-2.htm; Phase 2/Goldman Sachs/Q2 2025/GS-Q2-2025-press-release-SEC-EX99-1.htm; Phase 2/Goldman Sachs/Q2 2025/GS-Q2-2025-earnings-call-transcript-MotleyFool.html</t>
        </is>
      </c>
      <c r="AI40" s="152" t="inlineStr">
        <is>
          <t>https://www.fool.com/earnings/call-transcripts/2025/07/16/goldman-sachs-gs-q2-2025-earnings-call-transcript/; https://www.sec.gov/Archives/edgar/data/886982/000119312525159560/d41877dex991.htm; https://www.sec.gov/Archives/edgar/data/886982/000119312525159560/d41877dex992.htm</t>
        </is>
      </c>
      <c r="AJ40" s="152" t="inlineStr">
        <is>
          <t>manifest (whole bundle)</t>
        </is>
      </c>
      <c r="AK40" s="152">
        <f>IF($A40="","",IF(COUNTIFS(Human_Data_Entry!$A$3:$A$525,$A40)&gt;0,"YES","NO"))</f>
        <v/>
      </c>
      <c r="AL40" s="152">
        <f>IF($A40="","",IF(AND($C40&amp;"-"&amp;$D40&gt;=Settings!$B$19,$C40&amp;"-"&amp;$D40&lt;=Settings!$B$20),"IN","OUT"))</f>
        <v/>
      </c>
      <c r="AM40" s="152">
        <f>IF(AND(OR($H40="BUY",$H40="SELL"),ISNUMBER($T40)),$T40,"")</f>
        <v/>
      </c>
      <c r="AN40" s="152">
        <f>IF(AND(OR($H40="BUY",$H40="SELL"),ISNUMBER($AF40)),$AF40,"")</f>
        <v/>
      </c>
      <c r="AO40" s="152">
        <f>IF(ISNUMBER($AM40),ABS(IF(ISNUMBER($G40),$G40,0)-Settings!$B$25),"")</f>
        <v/>
      </c>
      <c r="AP40" s="152">
        <f>IF(ISNUMBER($AO40),$AO40*$AM40,"")</f>
        <v/>
      </c>
      <c r="AQ40" s="152">
        <f>IF(ISNUMBER($AN40),ABS(IF(ISNUMBER($G40),$G40,0)-Settings!$B$25),"")</f>
        <v/>
      </c>
      <c r="AR40" s="152">
        <f>IF(ISNUMBER($AQ40),$AQ40*$AN40,"")</f>
        <v/>
      </c>
      <c r="AS40" s="152">
        <f>IF($A40="","",IFERROR(INDEX(Company_List!$H$3:$H$207,MATCH($A40,Company_List!$A$3:$A$207,0)),"unassigned"))</f>
        <v/>
      </c>
      <c r="AT40" s="152" t="inlineStr">
        <is>
          <t>re-read since v1</t>
        </is>
      </c>
      <c r="AU40" s="152" t="inlineStr">
        <is>
          <t>Phase 2/Master_Data_v1.xlsx</t>
        </is>
      </c>
      <c r="AV40" s="152" t="n">
        <v>3</v>
      </c>
      <c r="AW40" s="152" t="inlineStr">
        <is>
          <t>The Motley Fool</t>
        </is>
      </c>
      <c r="AX40" s="152" t="inlineStr">
        <is>
          <t>free to read, copyright asserted</t>
        </is>
      </c>
      <c r="AY40" s="152" t="inlineStr">
        <is>
          <t>no</t>
        </is>
      </c>
      <c r="AZ40" s="152" t="inlineStr">
        <is>
          <t>yes</t>
        </is>
      </c>
      <c r="BA40" s="152" t="inlineStr">
        <is>
          <t>YES</t>
        </is>
      </c>
      <c r="BB40" s="152" t="n"/>
    </row>
    <row r="41" ht="15" customHeight="1" s="241">
      <c r="A41" s="191" t="inlineStr">
        <is>
          <t>Goldman Sachs</t>
        </is>
      </c>
      <c r="B41" s="188" t="inlineStr">
        <is>
          <t>GS</t>
        </is>
      </c>
      <c r="C41" s="176" t="n">
        <v>2026</v>
      </c>
      <c r="D41" s="177" t="inlineStr">
        <is>
          <t>Q2</t>
        </is>
      </c>
      <c r="E41" s="178" t="inlineStr">
        <is>
          <t>Ben/DeepSeek</t>
        </is>
      </c>
      <c r="F41" s="177" t="inlineStr">
        <is>
          <t>LLM</t>
        </is>
      </c>
      <c r="G41" s="196" t="n">
        <v>0.18</v>
      </c>
      <c r="H41" s="177" t="inlineStr">
        <is>
          <t>HOLD</t>
        </is>
      </c>
      <c r="I41" s="196" t="n"/>
      <c r="J41" s="182" t="n">
        <v>46216</v>
      </c>
      <c r="K41" s="182" t="n">
        <v>46216</v>
      </c>
      <c r="L41" s="183" t="n">
        <v>1045.91</v>
      </c>
      <c r="M41" s="182" t="n">
        <v>46217</v>
      </c>
      <c r="N41" s="183" t="n">
        <v>1085</v>
      </c>
      <c r="O41" s="180" t="n">
        <v>0.007519</v>
      </c>
      <c r="P41" s="197" t="n">
        <v>0.037374</v>
      </c>
      <c r="Q41" s="177" t="inlineStr">
        <is>
          <t>UP</t>
        </is>
      </c>
      <c r="R41" s="177" t="inlineStr">
        <is>
          <t>NO</t>
        </is>
      </c>
      <c r="S41" s="176" t="n">
        <v>0</v>
      </c>
      <c r="T41" s="197" t="n">
        <v>0</v>
      </c>
      <c r="U41" s="185" t="inlineStr">
        <is>
          <t>w=[0.80,0.20,0,0] thr=(+0.20,-0.10), deployed default promoted 2026-08-18 (PSR=0.964, permutation p=0.0002 at N=233, restricted search - see blend.py)</t>
        </is>
      </c>
      <c r="V41" s="152" t="inlineStr">
        <is>
          <t>FROZEN</t>
        </is>
      </c>
      <c r="W41" s="152" t="inlineStr">
        <is>
          <t>price signal — only this window shows an abnormal move</t>
        </is>
      </c>
      <c r="X41" s="152" t="inlineStr">
        <is>
          <t>GS</t>
        </is>
      </c>
      <c r="Y41" s="152" t="inlineStr">
        <is>
          <t>2026-07-13</t>
        </is>
      </c>
      <c r="Z41" s="152" t="n">
        <v>1045.91</v>
      </c>
      <c r="AA41" s="152" t="inlineStr">
        <is>
          <t>2026-07-14</t>
        </is>
      </c>
      <c r="AB41" s="152" t="n">
        <v>1085</v>
      </c>
      <c r="AC41" s="152" t="n">
        <v>0.03737411892923861</v>
      </c>
      <c r="AD41" s="152" t="inlineStr">
        <is>
          <t>UP</t>
        </is>
      </c>
      <c r="AE41" s="152" t="inlineStr">
        <is>
          <t>NO</t>
        </is>
      </c>
      <c r="AF41" s="152" t="n">
        <v>0</v>
      </c>
      <c r="AG41" s="152">
        <f>IF($A41="","",IFERROR(INDEX(Company_List!$G$3:$G$207,MATCH($A41,Company_List!$A$3:$A$207,0)),"unassigned"))</f>
        <v/>
      </c>
      <c r="AH41" s="152" t="inlineStr">
        <is>
          <t>Phase 2/Goldman Sachs/Q2 2026/GS-Q2-2026-presentation-SEC-EX99-2.htm; Phase 2/Goldman Sachs/Q2 2026/GS-Q2-2026-press-release-SEC-EX99-1.htm; Phase 2/Goldman Sachs/Q2 2026/GS-Q2-2026-earnings-call-transcript-AlphaStreet.html</t>
        </is>
      </c>
      <c r="AI41" s="152" t="inlineStr">
        <is>
          <t>https://news.alphastreet.com/goldman-sachs-group-inc-gs-q2-2026-earnings-call-transcript/; https://www.sec.gov/Archives/edgar/data/886982/000088698226000294/a2q26gsearningsresults.htm; https://www.sec.gov/Archives/edgar/data/886982/000088698226000294/a2q26gsearningsresultspr.htm</t>
        </is>
      </c>
      <c r="AJ41" s="152" t="inlineStr">
        <is>
          <t>manifest (whole bundle)</t>
        </is>
      </c>
      <c r="AK41" s="152">
        <f>IF($A41="","",IF(COUNTIFS(Human_Data_Entry!$A$3:$A$525,$A41)&gt;0,"YES","NO"))</f>
        <v/>
      </c>
      <c r="AL41" s="152">
        <f>IF($A41="","",IF(AND($C41&amp;"-"&amp;$D41&gt;=Settings!$B$19,$C41&amp;"-"&amp;$D41&lt;=Settings!$B$20),"IN","OUT"))</f>
        <v/>
      </c>
      <c r="AM41" s="152">
        <f>IF(AND(OR($H41="BUY",$H41="SELL"),ISNUMBER($T41)),$T41,"")</f>
        <v/>
      </c>
      <c r="AN41" s="152">
        <f>IF(AND(OR($H41="BUY",$H41="SELL"),ISNUMBER($AF41)),$AF41,"")</f>
        <v/>
      </c>
      <c r="AO41" s="152">
        <f>IF(ISNUMBER($AM41),ABS(IF(ISNUMBER($G41),$G41,0)-Settings!$B$25),"")</f>
        <v/>
      </c>
      <c r="AP41" s="152">
        <f>IF(ISNUMBER($AO41),$AO41*$AM41,"")</f>
        <v/>
      </c>
      <c r="AQ41" s="152">
        <f>IF(ISNUMBER($AN41),ABS(IF(ISNUMBER($G41),$G41,0)-Settings!$B$25),"")</f>
        <v/>
      </c>
      <c r="AR41" s="152">
        <f>IF(ISNUMBER($AQ41),$AQ41*$AN41,"")</f>
        <v/>
      </c>
      <c r="AS41" s="152">
        <f>IF($A41="","",IFERROR(INDEX(Company_List!$H$3:$H$207,MATCH($A41,Company_List!$A$3:$A$207,0)),"unassigned"))</f>
        <v/>
      </c>
      <c r="AT41" s="152" t="inlineStr">
        <is>
          <t>re-read since v1</t>
        </is>
      </c>
      <c r="AU41" s="152" t="inlineStr">
        <is>
          <t>Phase 2/Master_Data_v1.xlsx</t>
        </is>
      </c>
      <c r="AV41" s="152" t="n">
        <v>3</v>
      </c>
      <c r="AW41" s="152" t="inlineStr">
        <is>
          <t>not publisher-identified</t>
        </is>
      </c>
      <c r="AX41" s="152" t="inlineStr">
        <is>
          <t>not publisher-identified</t>
        </is>
      </c>
      <c r="AY41" s="152" t="inlineStr">
        <is>
          <t>no</t>
        </is>
      </c>
      <c r="AZ41" s="152" t="inlineStr">
        <is>
          <t>yes</t>
        </is>
      </c>
      <c r="BA41" s="152" t="inlineStr">
        <is>
          <t>YES</t>
        </is>
      </c>
      <c r="BB41" s="152" t="n"/>
    </row>
    <row r="42" ht="15" customHeight="1" s="241">
      <c r="A42" s="191" t="inlineStr">
        <is>
          <t>Goldman Sachs</t>
        </is>
      </c>
      <c r="B42" s="188" t="inlineStr">
        <is>
          <t>GS</t>
        </is>
      </c>
      <c r="C42" s="176" t="n">
        <v>2025</v>
      </c>
      <c r="D42" s="177" t="inlineStr">
        <is>
          <t>Q3</t>
        </is>
      </c>
      <c r="E42" s="178" t="inlineStr">
        <is>
          <t>Ben/DeepSeek</t>
        </is>
      </c>
      <c r="F42" s="177" t="inlineStr">
        <is>
          <t>LLM</t>
        </is>
      </c>
      <c r="G42" s="196" t="n">
        <v>0.34</v>
      </c>
      <c r="H42" s="177" t="inlineStr">
        <is>
          <t>BUY</t>
        </is>
      </c>
      <c r="I42" s="196" t="n"/>
      <c r="J42" s="182" t="n">
        <v>45943</v>
      </c>
      <c r="K42" s="182" t="n">
        <v>45943</v>
      </c>
      <c r="L42" s="183" t="n">
        <v>786.78</v>
      </c>
      <c r="M42" s="182" t="n">
        <v>45944</v>
      </c>
      <c r="N42" s="183" t="n">
        <v>764.45</v>
      </c>
      <c r="O42" s="180" t="n">
        <v>0.007171</v>
      </c>
      <c r="P42" s="197" t="n">
        <v>-0.028382</v>
      </c>
      <c r="Q42" s="177" t="inlineStr">
        <is>
          <t>DOWN</t>
        </is>
      </c>
      <c r="R42" s="177" t="inlineStr">
        <is>
          <t>NO</t>
        </is>
      </c>
      <c r="S42" s="176" t="n">
        <v>1</v>
      </c>
      <c r="T42" s="197" t="n">
        <v>-0.029382</v>
      </c>
      <c r="U42" s="185" t="inlineStr">
        <is>
          <t>w=[0.80,0.20,0,0] thr=(+0.20,-0.10), deployed default promoted 2026-08-18 (PSR=0.964, permutation p=0.0002 at N=233, restricted search - see blend.py)</t>
        </is>
      </c>
      <c r="V42" s="152" t="inlineStr">
        <is>
          <t>FROZEN</t>
        </is>
      </c>
      <c r="W42" s="152" t="inlineStr">
        <is>
          <t>price signal — only this window shows an abnormal move</t>
        </is>
      </c>
      <c r="X42" s="152" t="inlineStr">
        <is>
          <t>GS</t>
        </is>
      </c>
      <c r="Y42" s="152" t="inlineStr">
        <is>
          <t>2025-10-13</t>
        </is>
      </c>
      <c r="Z42" s="152" t="n">
        <v>775.3828999999999</v>
      </c>
      <c r="AA42" s="152" t="inlineStr">
        <is>
          <t>2025-10-14</t>
        </is>
      </c>
      <c r="AB42" s="152" t="n">
        <v>753.3764</v>
      </c>
      <c r="AC42" s="152" t="n">
        <v>-0.02838145729871041</v>
      </c>
      <c r="AD42" s="152" t="inlineStr">
        <is>
          <t>DOWN</t>
        </is>
      </c>
      <c r="AE42" s="152" t="inlineStr">
        <is>
          <t>NO</t>
        </is>
      </c>
      <c r="AF42" s="152" t="n">
        <v>-0.029381</v>
      </c>
      <c r="AG42" s="152">
        <f>IF($A42="","",IFERROR(INDEX(Company_List!$G$3:$G$207,MATCH($A42,Company_List!$A$3:$A$207,0)),"unassigned"))</f>
        <v/>
      </c>
      <c r="AH42" s="152" t="inlineStr">
        <is>
          <t>Phase 2/Goldman Sachs/Q3 2025/GS-Q3-2025-presentation-SEC-EX99-2.htm; Phase 2/Goldman Sachs/Q3 2025/GS-Q3-2025-press-release-SEC-EX99-1.htm; Phase 2/Goldman Sachs/Q3 2025/GS-Q3-2025-earnings-call-transcript-InsiderMonkey.html</t>
        </is>
      </c>
      <c r="AI42" s="152" t="inlineStr">
        <is>
          <t>https://www.insidermonkey.com/blog/the-goldman-sachs-group-inc-nysegs-q3-2025-earnings-call-transcript-1628253/; https://www.sec.gov/Archives/edgar/data/886982/000119312525238058/d899312dex991.htm; https://www.sec.gov/Archives/edgar/data/886982/000119312525238058/d899312dex992.htm</t>
        </is>
      </c>
      <c r="AJ42" s="152" t="inlineStr">
        <is>
          <t>manifest (whole bundle)</t>
        </is>
      </c>
      <c r="AK42" s="152">
        <f>IF($A42="","",IF(COUNTIFS(Human_Data_Entry!$A$3:$A$525,$A42)&gt;0,"YES","NO"))</f>
        <v/>
      </c>
      <c r="AL42" s="152">
        <f>IF($A42="","",IF(AND($C42&amp;"-"&amp;$D42&gt;=Settings!$B$19,$C42&amp;"-"&amp;$D42&lt;=Settings!$B$20),"IN","OUT"))</f>
        <v/>
      </c>
      <c r="AM42" s="152">
        <f>IF(AND(OR($H42="BUY",$H42="SELL"),ISNUMBER($T42)),$T42,"")</f>
        <v/>
      </c>
      <c r="AN42" s="152">
        <f>IF(AND(OR($H42="BUY",$H42="SELL"),ISNUMBER($AF42)),$AF42,"")</f>
        <v/>
      </c>
      <c r="AO42" s="152">
        <f>IF(ISNUMBER($AM42),ABS(IF(ISNUMBER($G42),$G42,0)-Settings!$B$25),"")</f>
        <v/>
      </c>
      <c r="AP42" s="152">
        <f>IF(ISNUMBER($AO42),$AO42*$AM42,"")</f>
        <v/>
      </c>
      <c r="AQ42" s="152">
        <f>IF(ISNUMBER($AN42),ABS(IF(ISNUMBER($G42),$G42,0)-Settings!$B$25),"")</f>
        <v/>
      </c>
      <c r="AR42" s="152">
        <f>IF(ISNUMBER($AQ42),$AQ42*$AN42,"")</f>
        <v/>
      </c>
      <c r="AS42" s="152">
        <f>IF($A42="","",IFERROR(INDEX(Company_List!$H$3:$H$207,MATCH($A42,Company_List!$A$3:$A$207,0)),"unassigned"))</f>
        <v/>
      </c>
      <c r="AT42" s="152" t="inlineStr">
        <is>
          <t>re-read since v1</t>
        </is>
      </c>
      <c r="AU42" s="152" t="inlineStr">
        <is>
          <t>Phase 2/Master_Data_v1.xlsx</t>
        </is>
      </c>
      <c r="AV42" s="152" t="n">
        <v>3</v>
      </c>
      <c r="AW42" s="152" t="inlineStr">
        <is>
          <t>Insider Monkey (Koala Guide LLC)</t>
        </is>
      </c>
      <c r="AX42" s="152" t="inlineStr">
        <is>
          <t>free to read, copyright asserted</t>
        </is>
      </c>
      <c r="AY42" s="152" t="inlineStr">
        <is>
          <t>no</t>
        </is>
      </c>
      <c r="AZ42" s="152" t="inlineStr">
        <is>
          <t>yes</t>
        </is>
      </c>
      <c r="BA42" s="152" t="inlineStr">
        <is>
          <t>YES</t>
        </is>
      </c>
      <c r="BB42" s="152" t="n"/>
    </row>
    <row r="43" ht="15" customHeight="1" s="241">
      <c r="A43" s="191" t="inlineStr">
        <is>
          <t>Goldman Sachs</t>
        </is>
      </c>
      <c r="B43" s="188" t="inlineStr">
        <is>
          <t>GS</t>
        </is>
      </c>
      <c r="C43" s="176" t="n">
        <v>2025</v>
      </c>
      <c r="D43" s="177" t="inlineStr">
        <is>
          <t>Q4</t>
        </is>
      </c>
      <c r="E43" s="178" t="inlineStr">
        <is>
          <t>Ben/DeepSeek</t>
        </is>
      </c>
      <c r="F43" s="177" t="inlineStr">
        <is>
          <t>LLM</t>
        </is>
      </c>
      <c r="G43" s="196" t="n">
        <v>0.29</v>
      </c>
      <c r="H43" s="177" t="inlineStr">
        <is>
          <t>BUY</t>
        </is>
      </c>
      <c r="I43" s="196" t="n"/>
      <c r="J43" s="182" t="n">
        <v>46036</v>
      </c>
      <c r="K43" s="182" t="n">
        <v>46036</v>
      </c>
      <c r="L43" s="183" t="n">
        <v>932.67</v>
      </c>
      <c r="M43" s="182" t="n">
        <v>46037</v>
      </c>
      <c r="N43" s="183" t="n">
        <v>924.9</v>
      </c>
      <c r="O43" s="180" t="n">
        <v>0.008229</v>
      </c>
      <c r="P43" s="197" t="n">
        <v>-0.008331</v>
      </c>
      <c r="Q43" s="177" t="inlineStr">
        <is>
          <t>FLAT</t>
        </is>
      </c>
      <c r="R43" s="177" t="inlineStr">
        <is>
          <t>NO</t>
        </is>
      </c>
      <c r="S43" s="176" t="n">
        <v>1</v>
      </c>
      <c r="T43" s="197" t="n">
        <v>-0.009331000000000001</v>
      </c>
      <c r="U43" s="185" t="inlineStr">
        <is>
          <t>w=[0.80,0.20,0,0] thr=(+0.20,-0.10), deployed default promoted 2026-08-18 (PSR=0.964, permutation p=0.0002 at N=233, restricted search - see blend.py)</t>
        </is>
      </c>
      <c r="V43" s="152" t="inlineStr">
        <is>
          <t>FROZEN</t>
        </is>
      </c>
      <c r="W43" s="152" t="inlineStr">
        <is>
          <t>price signal — only this window shows an abnormal move</t>
        </is>
      </c>
      <c r="X43" s="152" t="inlineStr">
        <is>
          <t>GS</t>
        </is>
      </c>
      <c r="Y43" s="152" t="inlineStr">
        <is>
          <t>2026-01-14</t>
        </is>
      </c>
      <c r="Z43" s="152" t="n">
        <v>923.7163</v>
      </c>
      <c r="AA43" s="152" t="inlineStr">
        <is>
          <t>2026-01-15</t>
        </is>
      </c>
      <c r="AB43" s="152" t="n">
        <v>916.0209</v>
      </c>
      <c r="AC43" s="152" t="n">
        <v>-0.008330925349948315</v>
      </c>
      <c r="AD43" s="152" t="inlineStr">
        <is>
          <t>FLAT</t>
        </is>
      </c>
      <c r="AE43" s="152" t="inlineStr">
        <is>
          <t>NO</t>
        </is>
      </c>
      <c r="AF43" s="152" t="n">
        <v>-0.009331000000000001</v>
      </c>
      <c r="AG43" s="152">
        <f>IF($A43="","",IFERROR(INDEX(Company_List!$G$3:$G$207,MATCH($A43,Company_List!$A$3:$A$207,0)),"unassigned"))</f>
        <v/>
      </c>
      <c r="AH43" s="152" t="inlineStr">
        <is>
          <t>Phase 2/Goldman Sachs/Q4 2025/GS-Q4-2025-presentation-SEC-EX99-2.htm; Phase 2/Goldman Sachs/Q4 2025/GS-Q4-2025-press-release-SEC-EX99-1.htm; Phase 2/Goldman Sachs/Q4 2025/GS-Q4-2025-earnings-call-transcript-MotleyFool.html</t>
        </is>
      </c>
      <c r="AI43" s="152" t="inlineStr">
        <is>
          <t>https://www.fool.com/earnings/call-transcripts/2026/01/15/goldman-sachs-gs-q4-2025-earnings-transcript/; https://www.sec.gov/Archives/edgar/data/886982/000088698226000008/a4q25gsearningsresults.htm; https://www.sec.gov/Archives/edgar/data/886982/000088698226000008/a4q25gsearningsresultspr.htm</t>
        </is>
      </c>
      <c r="AJ43" s="152" t="inlineStr">
        <is>
          <t>manifest (whole bundle)</t>
        </is>
      </c>
      <c r="AK43" s="152">
        <f>IF($A43="","",IF(COUNTIFS(Human_Data_Entry!$A$3:$A$525,$A43)&gt;0,"YES","NO"))</f>
        <v/>
      </c>
      <c r="AL43" s="152">
        <f>IF($A43="","",IF(AND($C43&amp;"-"&amp;$D43&gt;=Settings!$B$19,$C43&amp;"-"&amp;$D43&lt;=Settings!$B$20),"IN","OUT"))</f>
        <v/>
      </c>
      <c r="AM43" s="152">
        <f>IF(AND(OR($H43="BUY",$H43="SELL"),ISNUMBER($T43)),$T43,"")</f>
        <v/>
      </c>
      <c r="AN43" s="152">
        <f>IF(AND(OR($H43="BUY",$H43="SELL"),ISNUMBER($AF43)),$AF43,"")</f>
        <v/>
      </c>
      <c r="AO43" s="152">
        <f>IF(ISNUMBER($AM43),ABS(IF(ISNUMBER($G43),$G43,0)-Settings!$B$25),"")</f>
        <v/>
      </c>
      <c r="AP43" s="152">
        <f>IF(ISNUMBER($AO43),$AO43*$AM43,"")</f>
        <v/>
      </c>
      <c r="AQ43" s="152">
        <f>IF(ISNUMBER($AN43),ABS(IF(ISNUMBER($G43),$G43,0)-Settings!$B$25),"")</f>
        <v/>
      </c>
      <c r="AR43" s="152">
        <f>IF(ISNUMBER($AQ43),$AQ43*$AN43,"")</f>
        <v/>
      </c>
      <c r="AS43" s="152">
        <f>IF($A43="","",IFERROR(INDEX(Company_List!$H$3:$H$207,MATCH($A43,Company_List!$A$3:$A$207,0)),"unassigned"))</f>
        <v/>
      </c>
      <c r="AT43" s="152" t="inlineStr">
        <is>
          <t>re-read since v1</t>
        </is>
      </c>
      <c r="AU43" s="152" t="inlineStr">
        <is>
          <t>Phase 2/Master_Data_v1.xlsx</t>
        </is>
      </c>
      <c r="AV43" s="152" t="n">
        <v>3</v>
      </c>
      <c r="AW43" s="152" t="inlineStr">
        <is>
          <t>The Motley Fool</t>
        </is>
      </c>
      <c r="AX43" s="152" t="inlineStr">
        <is>
          <t>free to read, copyright asserted</t>
        </is>
      </c>
      <c r="AY43" s="152" t="inlineStr">
        <is>
          <t>no</t>
        </is>
      </c>
      <c r="AZ43" s="152" t="inlineStr">
        <is>
          <t>yes</t>
        </is>
      </c>
      <c r="BA43" s="152" t="inlineStr">
        <is>
          <t>YES</t>
        </is>
      </c>
      <c r="BB43" s="152" t="n"/>
    </row>
    <row r="44" ht="15" customHeight="1" s="241">
      <c r="A44" s="191" t="inlineStr">
        <is>
          <t>IBM</t>
        </is>
      </c>
      <c r="B44" s="188" t="inlineStr">
        <is>
          <t>IBM</t>
        </is>
      </c>
      <c r="C44" s="176" t="n">
        <v>2026</v>
      </c>
      <c r="D44" s="177" t="inlineStr">
        <is>
          <t>Q1</t>
        </is>
      </c>
      <c r="E44" s="178" t="inlineStr">
        <is>
          <t>Ben/DeepSeek</t>
        </is>
      </c>
      <c r="F44" s="177" t="inlineStr">
        <is>
          <t>LLM</t>
        </is>
      </c>
      <c r="G44" s="196" t="n">
        <v>0.18</v>
      </c>
      <c r="H44" s="177" t="inlineStr">
        <is>
          <t>HOLD</t>
        </is>
      </c>
      <c r="I44" s="196" t="n"/>
      <c r="J44" s="182" t="n">
        <v>46134</v>
      </c>
      <c r="K44" s="182" t="n">
        <v>46134</v>
      </c>
      <c r="L44" s="183" t="n">
        <v>251.86</v>
      </c>
      <c r="M44" s="182" t="n">
        <v>46135</v>
      </c>
      <c r="N44" s="183" t="n">
        <v>232.27</v>
      </c>
      <c r="O44" s="180" t="n">
        <v>0.004533</v>
      </c>
      <c r="P44" s="197" t="n">
        <v>-0.077781</v>
      </c>
      <c r="Q44" s="177" t="inlineStr">
        <is>
          <t>DOWN</t>
        </is>
      </c>
      <c r="R44" s="177" t="inlineStr">
        <is>
          <t>NO</t>
        </is>
      </c>
      <c r="S44" s="176" t="n">
        <v>0</v>
      </c>
      <c r="T44" s="197" t="n">
        <v>0</v>
      </c>
      <c r="U44" s="185" t="inlineStr">
        <is>
          <t>w=[0.80,0.20,0,0] thr=(+0.20,-0.10), deployed default promoted 2026-08-18 (PSR=0.964, permutation p=0.0002 at N=233, restricted search - see blend.py)</t>
        </is>
      </c>
      <c r="V44" s="152" t="inlineStr">
        <is>
          <t>FROZEN</t>
        </is>
      </c>
      <c r="W44" s="152" t="inlineStr">
        <is>
          <t>price signal — both moved; this one dominates</t>
        </is>
      </c>
      <c r="X44" s="152" t="inlineStr">
        <is>
          <t>IBM</t>
        </is>
      </c>
      <c r="Y44" s="152" t="inlineStr">
        <is>
          <t>2026-04-22</t>
        </is>
      </c>
      <c r="Z44" s="152" t="n">
        <v>250.0199</v>
      </c>
      <c r="AA44" s="152" t="inlineStr">
        <is>
          <t>2026-04-23</t>
        </is>
      </c>
      <c r="AB44" s="152" t="n">
        <v>230.573</v>
      </c>
      <c r="AC44" s="152" t="n">
        <v>-0.07778128926398546</v>
      </c>
      <c r="AD44" s="152" t="inlineStr">
        <is>
          <t>DOWN</t>
        </is>
      </c>
      <c r="AE44" s="152" t="inlineStr">
        <is>
          <t>NO</t>
        </is>
      </c>
      <c r="AF44" s="152" t="n">
        <v>0</v>
      </c>
      <c r="AG44" s="152">
        <f>IF($A44="","",IFERROR(INDEX(Company_List!$G$3:$G$207,MATCH($A44,Company_List!$A$3:$A$207,0)),"unassigned"))</f>
        <v/>
      </c>
      <c r="AH44" s="152" t="inlineStr">
        <is>
          <t>Phase 2/IBM/Q1 2026 Earnings Call Transcript.pdf; Phase 2/IBM/Q1 2026 0 numbers.pdf</t>
        </is>
      </c>
      <c r="AI44" s="152" t="n"/>
      <c r="AJ44" s="152" t="inlineStr">
        <is>
          <t>whole bundle (Document = All)</t>
        </is>
      </c>
      <c r="AK44" s="152">
        <f>IF($A44="","",IF(COUNTIFS(Human_Data_Entry!$A$3:$A$525,$A44)&gt;0,"YES","NO"))</f>
        <v/>
      </c>
      <c r="AL44" s="152">
        <f>IF($A44="","",IF(AND($C44&amp;"-"&amp;$D44&gt;=Settings!$B$19,$C44&amp;"-"&amp;$D44&lt;=Settings!$B$20),"IN","OUT"))</f>
        <v/>
      </c>
      <c r="AM44" s="152">
        <f>IF(AND(OR($H44="BUY",$H44="SELL"),ISNUMBER($T44)),$T44,"")</f>
        <v/>
      </c>
      <c r="AN44" s="152">
        <f>IF(AND(OR($H44="BUY",$H44="SELL"),ISNUMBER($AF44)),$AF44,"")</f>
        <v/>
      </c>
      <c r="AO44" s="152">
        <f>IF(ISNUMBER($AM44),ABS(IF(ISNUMBER($G44),$G44,0)-Settings!$B$25),"")</f>
        <v/>
      </c>
      <c r="AP44" s="152">
        <f>IF(ISNUMBER($AO44),$AO44*$AM44,"")</f>
        <v/>
      </c>
      <c r="AQ44" s="152">
        <f>IF(ISNUMBER($AN44),ABS(IF(ISNUMBER($G44),$G44,0)-Settings!$B$25),"")</f>
        <v/>
      </c>
      <c r="AR44" s="152">
        <f>IF(ISNUMBER($AQ44),$AQ44*$AN44,"")</f>
        <v/>
      </c>
      <c r="AS44" s="152">
        <f>IF($A44="","",IFERROR(INDEX(Company_List!$H$3:$H$207,MATCH($A44,Company_List!$A$3:$A$207,0)),"unassigned"))</f>
        <v/>
      </c>
      <c r="AT44" s="152" t="inlineStr">
        <is>
          <t>re-read since v1</t>
        </is>
      </c>
      <c r="AU44" s="152" t="inlineStr">
        <is>
          <t>Phase 2/Master_Data_v1.xlsx</t>
        </is>
      </c>
      <c r="AV44" s="152" t="n">
        <v>2</v>
      </c>
      <c r="AW44" s="152" t="inlineStr">
        <is>
          <t>The Motley Fool</t>
        </is>
      </c>
      <c r="AX44" s="152" t="inlineStr">
        <is>
          <t>free to read, copyright asserted</t>
        </is>
      </c>
      <c r="AY44" s="152" t="inlineStr">
        <is>
          <t>no</t>
        </is>
      </c>
      <c r="AZ44" s="152" t="inlineStr">
        <is>
          <t>no</t>
        </is>
      </c>
      <c r="BA44" s="152" t="inlineStr">
        <is>
          <t>YES</t>
        </is>
      </c>
      <c r="BB44" s="152" t="n"/>
    </row>
    <row r="45" ht="15" customHeight="1" s="241">
      <c r="A45" s="191" t="inlineStr">
        <is>
          <t>IBM</t>
        </is>
      </c>
      <c r="B45" s="188" t="inlineStr">
        <is>
          <t>IBM</t>
        </is>
      </c>
      <c r="C45" s="176" t="n">
        <v>2025</v>
      </c>
      <c r="D45" s="177" t="inlineStr">
        <is>
          <t>Q2</t>
        </is>
      </c>
      <c r="E45" s="178" t="inlineStr">
        <is>
          <t>Ben/DeepSeek</t>
        </is>
      </c>
      <c r="F45" s="177" t="inlineStr">
        <is>
          <t>LLM</t>
        </is>
      </c>
      <c r="G45" s="196" t="n">
        <v>0.42</v>
      </c>
      <c r="H45" s="177" t="inlineStr">
        <is>
          <t>BUY</t>
        </is>
      </c>
      <c r="I45" s="196" t="n"/>
      <c r="J45" s="182" t="n">
        <v>45861</v>
      </c>
      <c r="K45" s="182" t="n">
        <v>45861</v>
      </c>
      <c r="L45" s="183" t="n">
        <v>282.01</v>
      </c>
      <c r="M45" s="182" t="n">
        <v>45862</v>
      </c>
      <c r="N45" s="183" t="n">
        <v>261.25</v>
      </c>
      <c r="O45" s="180" t="n">
        <v>0.005102</v>
      </c>
      <c r="P45" s="197" t="n">
        <v>-0.073614</v>
      </c>
      <c r="Q45" s="177" t="inlineStr">
        <is>
          <t>DOWN</t>
        </is>
      </c>
      <c r="R45" s="177" t="inlineStr">
        <is>
          <t>NO</t>
        </is>
      </c>
      <c r="S45" s="176" t="n">
        <v>1</v>
      </c>
      <c r="T45" s="197" t="n">
        <v>-0.074614</v>
      </c>
      <c r="U45" s="185" t="inlineStr">
        <is>
          <t>w=[0.80,0.20,0,0] thr=(+0.20,-0.10), deployed default promoted 2026-08-18 (PSR=0.964, permutation p=0.0002 at N=233, restricted search - see blend.py)</t>
        </is>
      </c>
      <c r="V45" s="152" t="inlineStr">
        <is>
          <t>FROZEN</t>
        </is>
      </c>
      <c r="W45" s="152" t="inlineStr">
        <is>
          <t>price signal — only this window shows an abnormal move</t>
        </is>
      </c>
      <c r="X45" s="152" t="inlineStr">
        <is>
          <t>IBM</t>
        </is>
      </c>
      <c r="Y45" s="152" t="inlineStr">
        <is>
          <t>2025-07-23</t>
        </is>
      </c>
      <c r="Z45" s="152" t="n">
        <v>274.977</v>
      </c>
      <c r="AA45" s="152" t="inlineStr">
        <is>
          <t>2025-07-24</t>
        </is>
      </c>
      <c r="AB45" s="152" t="n">
        <v>254.7347</v>
      </c>
      <c r="AC45" s="152" t="n">
        <v>-0.0736144742944667</v>
      </c>
      <c r="AD45" s="152" t="inlineStr">
        <is>
          <t>DOWN</t>
        </is>
      </c>
      <c r="AE45" s="152" t="inlineStr">
        <is>
          <t>NO</t>
        </is>
      </c>
      <c r="AF45" s="152" t="n">
        <v>-0.074614</v>
      </c>
      <c r="AG45" s="152">
        <f>IF($A45="","",IFERROR(INDEX(Company_List!$G$3:$G$207,MATCH($A45,Company_List!$A$3:$A$207,0)),"unassigned"))</f>
        <v/>
      </c>
      <c r="AH45" s="152" t="inlineStr">
        <is>
          <t>Phase 2/IBM/Q2 2025 Earnings Call Transcript.pdf; Phase 2/IBM/Q2 2025 - numbers.pdf</t>
        </is>
      </c>
      <c r="AI45" s="152" t="n"/>
      <c r="AJ45" s="152" t="inlineStr">
        <is>
          <t>whole bundle (Document = All)</t>
        </is>
      </c>
      <c r="AK45" s="152">
        <f>IF($A45="","",IF(COUNTIFS(Human_Data_Entry!$A$3:$A$525,$A45)&gt;0,"YES","NO"))</f>
        <v/>
      </c>
      <c r="AL45" s="152">
        <f>IF($A45="","",IF(AND($C45&amp;"-"&amp;$D45&gt;=Settings!$B$19,$C45&amp;"-"&amp;$D45&lt;=Settings!$B$20),"IN","OUT"))</f>
        <v/>
      </c>
      <c r="AM45" s="152">
        <f>IF(AND(OR($H45="BUY",$H45="SELL"),ISNUMBER($T45)),$T45,"")</f>
        <v/>
      </c>
      <c r="AN45" s="152">
        <f>IF(AND(OR($H45="BUY",$H45="SELL"),ISNUMBER($AF45)),$AF45,"")</f>
        <v/>
      </c>
      <c r="AO45" s="152">
        <f>IF(ISNUMBER($AM45),ABS(IF(ISNUMBER($G45),$G45,0)-Settings!$B$25),"")</f>
        <v/>
      </c>
      <c r="AP45" s="152">
        <f>IF(ISNUMBER($AO45),$AO45*$AM45,"")</f>
        <v/>
      </c>
      <c r="AQ45" s="152">
        <f>IF(ISNUMBER($AN45),ABS(IF(ISNUMBER($G45),$G45,0)-Settings!$B$25),"")</f>
        <v/>
      </c>
      <c r="AR45" s="152">
        <f>IF(ISNUMBER($AQ45),$AQ45*$AN45,"")</f>
        <v/>
      </c>
      <c r="AS45" s="152">
        <f>IF($A45="","",IFERROR(INDEX(Company_List!$H$3:$H$207,MATCH($A45,Company_List!$A$3:$A$207,0)),"unassigned"))</f>
        <v/>
      </c>
      <c r="AT45" s="152" t="inlineStr">
        <is>
          <t>re-read since v1</t>
        </is>
      </c>
      <c r="AU45" s="152" t="inlineStr">
        <is>
          <t>Phase 2/Master_Data_v1.xlsx</t>
        </is>
      </c>
      <c r="AV45" s="152" t="n">
        <v>2</v>
      </c>
      <c r="AW45" s="152" t="inlineStr">
        <is>
          <t>The Motley Fool</t>
        </is>
      </c>
      <c r="AX45" s="152" t="inlineStr">
        <is>
          <t>free to read, copyright asserted</t>
        </is>
      </c>
      <c r="AY45" s="152" t="inlineStr">
        <is>
          <t>no</t>
        </is>
      </c>
      <c r="AZ45" s="152" t="inlineStr">
        <is>
          <t>no</t>
        </is>
      </c>
      <c r="BA45" s="152" t="inlineStr">
        <is>
          <t>YES</t>
        </is>
      </c>
      <c r="BB45" s="152" t="n"/>
    </row>
    <row r="46" ht="15" customHeight="1" s="241">
      <c r="A46" s="191" t="inlineStr">
        <is>
          <t>IBM</t>
        </is>
      </c>
      <c r="B46" s="188" t="inlineStr">
        <is>
          <t>IBM</t>
        </is>
      </c>
      <c r="C46" s="176" t="n">
        <v>2025</v>
      </c>
      <c r="D46" s="177" t="inlineStr">
        <is>
          <t>Q4</t>
        </is>
      </c>
      <c r="E46" s="178" t="inlineStr">
        <is>
          <t>Ben/DeepSeek</t>
        </is>
      </c>
      <c r="F46" s="177" t="inlineStr">
        <is>
          <t>LLM</t>
        </is>
      </c>
      <c r="G46" s="196" t="n">
        <v>0.33</v>
      </c>
      <c r="H46" s="177" t="inlineStr">
        <is>
          <t>BUY</t>
        </is>
      </c>
      <c r="I46" s="196" t="n"/>
      <c r="J46" s="182" t="n">
        <v>46050</v>
      </c>
      <c r="K46" s="182" t="n">
        <v>46050</v>
      </c>
      <c r="L46" s="183" t="n">
        <v>294.16</v>
      </c>
      <c r="M46" s="182" t="n">
        <v>46051</v>
      </c>
      <c r="N46" s="183" t="n">
        <v>317.86</v>
      </c>
      <c r="O46" s="180" t="n">
        <v>0.00499</v>
      </c>
      <c r="P46" s="197" t="n">
        <v>0.08056800000000001</v>
      </c>
      <c r="Q46" s="177" t="inlineStr">
        <is>
          <t>UP</t>
        </is>
      </c>
      <c r="R46" s="177" t="inlineStr">
        <is>
          <t>YES</t>
        </is>
      </c>
      <c r="S46" s="176" t="n">
        <v>1</v>
      </c>
      <c r="T46" s="197" t="n">
        <v>0.079568</v>
      </c>
      <c r="U46" s="185" t="inlineStr">
        <is>
          <t>w=[0.80,0.20,0,0] thr=(+0.20,-0.10), deployed default promoted 2026-08-18 (PSR=0.964, permutation p=0.0002 at N=233, restricted search - see blend.py)</t>
        </is>
      </c>
      <c r="V46" s="152" t="inlineStr">
        <is>
          <t>FROZEN</t>
        </is>
      </c>
      <c r="W46" s="152" t="inlineStr">
        <is>
          <t>price signal — only this window shows an abnormal move</t>
        </is>
      </c>
      <c r="X46" s="152" t="inlineStr">
        <is>
          <t>IBM</t>
        </is>
      </c>
      <c r="Y46" s="152" t="inlineStr">
        <is>
          <t>2026-01-28</t>
        </is>
      </c>
      <c r="Z46" s="152" t="n">
        <v>290.3553</v>
      </c>
      <c r="AA46" s="152" t="inlineStr">
        <is>
          <t>2026-01-29</t>
        </is>
      </c>
      <c r="AB46" s="152" t="n">
        <v>313.7488</v>
      </c>
      <c r="AC46" s="152" t="n">
        <v>0.08056835407148978</v>
      </c>
      <c r="AD46" s="152" t="inlineStr">
        <is>
          <t>UP</t>
        </is>
      </c>
      <c r="AE46" s="152" t="inlineStr">
        <is>
          <t>YES</t>
        </is>
      </c>
      <c r="AF46" s="152" t="n">
        <v>0.079568</v>
      </c>
      <c r="AG46" s="152">
        <f>IF($A46="","",IFERROR(INDEX(Company_List!$G$3:$G$207,MATCH($A46,Company_List!$A$3:$A$207,0)),"unassigned"))</f>
        <v/>
      </c>
      <c r="AH46" s="152" t="inlineStr">
        <is>
          <t>Phase 2/IBM/Q4 2025 Earnings Call Transcript.pdf; Phase 2/IBM/Q4 2025 - numbers.pdf</t>
        </is>
      </c>
      <c r="AI46" s="152" t="n"/>
      <c r="AJ46" s="152" t="inlineStr">
        <is>
          <t>whole bundle (Document = All)</t>
        </is>
      </c>
      <c r="AK46" s="152">
        <f>IF($A46="","",IF(COUNTIFS(Human_Data_Entry!$A$3:$A$525,$A46)&gt;0,"YES","NO"))</f>
        <v/>
      </c>
      <c r="AL46" s="152">
        <f>IF($A46="","",IF(AND($C46&amp;"-"&amp;$D46&gt;=Settings!$B$19,$C46&amp;"-"&amp;$D46&lt;=Settings!$B$20),"IN","OUT"))</f>
        <v/>
      </c>
      <c r="AM46" s="152">
        <f>IF(AND(OR($H46="BUY",$H46="SELL"),ISNUMBER($T46)),$T46,"")</f>
        <v/>
      </c>
      <c r="AN46" s="152">
        <f>IF(AND(OR($H46="BUY",$H46="SELL"),ISNUMBER($AF46)),$AF46,"")</f>
        <v/>
      </c>
      <c r="AO46" s="152">
        <f>IF(ISNUMBER($AM46),ABS(IF(ISNUMBER($G46),$G46,0)-Settings!$B$25),"")</f>
        <v/>
      </c>
      <c r="AP46" s="152">
        <f>IF(ISNUMBER($AO46),$AO46*$AM46,"")</f>
        <v/>
      </c>
      <c r="AQ46" s="152">
        <f>IF(ISNUMBER($AN46),ABS(IF(ISNUMBER($G46),$G46,0)-Settings!$B$25),"")</f>
        <v/>
      </c>
      <c r="AR46" s="152">
        <f>IF(ISNUMBER($AQ46),$AQ46*$AN46,"")</f>
        <v/>
      </c>
      <c r="AS46" s="152">
        <f>IF($A46="","",IFERROR(INDEX(Company_List!$H$3:$H$207,MATCH($A46,Company_List!$A$3:$A$207,0)),"unassigned"))</f>
        <v/>
      </c>
      <c r="AT46" s="152" t="inlineStr">
        <is>
          <t>re-read since v1</t>
        </is>
      </c>
      <c r="AU46" s="152" t="inlineStr">
        <is>
          <t>Phase 2/Master_Data_v1.xlsx</t>
        </is>
      </c>
      <c r="AV46" s="152" t="n">
        <v>2</v>
      </c>
      <c r="AW46" s="152" t="inlineStr">
        <is>
          <t>The Motley Fool</t>
        </is>
      </c>
      <c r="AX46" s="152" t="inlineStr">
        <is>
          <t>free to read, copyright asserted</t>
        </is>
      </c>
      <c r="AY46" s="152" t="inlineStr">
        <is>
          <t>no</t>
        </is>
      </c>
      <c r="AZ46" s="152" t="inlineStr">
        <is>
          <t>no</t>
        </is>
      </c>
      <c r="BA46" s="152" t="inlineStr">
        <is>
          <t>YES</t>
        </is>
      </c>
      <c r="BB46" s="152" t="n"/>
    </row>
    <row r="47" ht="15" customHeight="1" s="241">
      <c r="A47" s="191" t="inlineStr">
        <is>
          <t>Lowe's</t>
        </is>
      </c>
      <c r="B47" s="188" t="inlineStr">
        <is>
          <t>LOW</t>
        </is>
      </c>
      <c r="C47" s="176" t="n">
        <v>2025</v>
      </c>
      <c r="D47" s="177" t="inlineStr">
        <is>
          <t>Q1</t>
        </is>
      </c>
      <c r="E47" s="178" t="inlineStr">
        <is>
          <t>Ben/DeepSeek</t>
        </is>
      </c>
      <c r="F47" s="177" t="inlineStr">
        <is>
          <t>LLM</t>
        </is>
      </c>
      <c r="G47" s="196" t="n">
        <v>-0.06</v>
      </c>
      <c r="H47" s="177" t="inlineStr">
        <is>
          <t>HOLD</t>
        </is>
      </c>
      <c r="I47" s="196" t="n"/>
      <c r="J47" s="182" t="n">
        <v>45798</v>
      </c>
      <c r="K47" s="182" t="n">
        <v>45797</v>
      </c>
      <c r="L47" s="183" t="n">
        <v>231.25</v>
      </c>
      <c r="M47" s="182" t="n">
        <v>45798</v>
      </c>
      <c r="N47" s="183" t="n">
        <v>232.7</v>
      </c>
      <c r="O47" s="180" t="n">
        <v>0.006953</v>
      </c>
      <c r="P47" s="197" t="n">
        <v>0.00627</v>
      </c>
      <c r="Q47" s="177" t="inlineStr">
        <is>
          <t>FLAT</t>
        </is>
      </c>
      <c r="R47" s="177" t="inlineStr">
        <is>
          <t>YES</t>
        </is>
      </c>
      <c r="S47" s="176" t="n">
        <v>0</v>
      </c>
      <c r="T47" s="197" t="n">
        <v>0</v>
      </c>
      <c r="U47" s="185" t="inlineStr">
        <is>
          <t>w=[0.80,0.20,0,0] thr=(+0.20,-0.10), deployed default promoted 2026-08-18 (PSR=0.964, permutation p=0.0002 at N=233, restricted search - see blend.py)</t>
        </is>
      </c>
      <c r="V47" s="152" t="inlineStr">
        <is>
          <t>FROZEN</t>
        </is>
      </c>
      <c r="W47" s="152" t="inlineStr">
        <is>
          <t>release date + stated time in the document (document)</t>
        </is>
      </c>
      <c r="X47" s="152" t="inlineStr">
        <is>
          <t>LOW</t>
        </is>
      </c>
      <c r="Y47" s="152" t="inlineStr">
        <is>
          <t>2025-05-20</t>
        </is>
      </c>
      <c r="Z47" s="152" t="n">
        <v>225.3962</v>
      </c>
      <c r="AA47" s="152" t="inlineStr">
        <is>
          <t>2025-05-21</t>
        </is>
      </c>
      <c r="AB47" s="152" t="n">
        <v>226.8095</v>
      </c>
      <c r="AC47" s="152" t="n">
        <v>0.006270270910386287</v>
      </c>
      <c r="AD47" s="152" t="inlineStr">
        <is>
          <t>FLAT</t>
        </is>
      </c>
      <c r="AE47" s="152" t="inlineStr">
        <is>
          <t>NO</t>
        </is>
      </c>
      <c r="AF47" s="152" t="n">
        <v>-0.00727</v>
      </c>
      <c r="AG47" s="152">
        <f>IF($A47="","",IFERROR(INDEX(Company_List!$G$3:$G$207,MATCH($A47,Company_List!$A$3:$A$207,0)),"unassigned"))</f>
        <v/>
      </c>
      <c r="AH47" s="152" t="inlineStr">
        <is>
          <t>Phase 2/Lowe's/low-usq-transcript-2026-05-20-1.pdf</t>
        </is>
      </c>
      <c r="AI47" s="152" t="n"/>
      <c r="AJ47" s="152" t="inlineStr">
        <is>
          <t>unique filename match</t>
        </is>
      </c>
      <c r="AK47" s="152">
        <f>IF($A47="","",IF(COUNTIFS(Human_Data_Entry!$A$3:$A$525,$A47)&gt;0,"YES","NO"))</f>
        <v/>
      </c>
      <c r="AL47" s="152">
        <f>IF($A47="","",IF(AND($C47&amp;"-"&amp;$D47&gt;=Settings!$B$19,$C47&amp;"-"&amp;$D47&lt;=Settings!$B$20),"IN","OUT"))</f>
        <v/>
      </c>
      <c r="AM47" s="152">
        <f>IF(AND(OR($H47="BUY",$H47="SELL"),ISNUMBER($T47)),$T47,"")</f>
        <v/>
      </c>
      <c r="AN47" s="152">
        <f>IF(AND(OR($H47="BUY",$H47="SELL"),ISNUMBER($AF47)),$AF47,"")</f>
        <v/>
      </c>
      <c r="AO47" s="152">
        <f>IF(ISNUMBER($AM47),ABS(IF(ISNUMBER($G47),$G47,0)-Settings!$B$25),"")</f>
        <v/>
      </c>
      <c r="AP47" s="152">
        <f>IF(ISNUMBER($AO47),$AO47*$AM47,"")</f>
        <v/>
      </c>
      <c r="AQ47" s="152">
        <f>IF(ISNUMBER($AN47),ABS(IF(ISNUMBER($G47),$G47,0)-Settings!$B$25),"")</f>
        <v/>
      </c>
      <c r="AR47" s="152">
        <f>IF(ISNUMBER($AQ47),$AQ47*$AN47,"")</f>
        <v/>
      </c>
      <c r="AS47" s="152">
        <f>IF($A47="","",IFERROR(INDEX(Company_List!$H$3:$H$207,MATCH($A47,Company_List!$A$3:$A$207,0)),"unassigned"))</f>
        <v/>
      </c>
      <c r="AT47" s="152" t="inlineStr">
        <is>
          <t>re-read since v1</t>
        </is>
      </c>
      <c r="AU47" s="152" t="inlineStr">
        <is>
          <t>Phase 2/Master_Data_v1.xlsx</t>
        </is>
      </c>
      <c r="AV47" s="152" t="n">
        <v>1</v>
      </c>
      <c r="AW47" s="152" t="inlineStr">
        <is>
          <t>Refinitiv / LSEG StreetEvents</t>
        </is>
      </c>
      <c r="AX47" s="152" t="inlineStr">
        <is>
          <t>licensed vendor</t>
        </is>
      </c>
      <c r="AY47" s="152" t="inlineStr">
        <is>
          <t>no</t>
        </is>
      </c>
      <c r="AZ47" s="152" t="inlineStr">
        <is>
          <t>no</t>
        </is>
      </c>
      <c r="BA47" s="152" t="inlineStr">
        <is>
          <t>YES</t>
        </is>
      </c>
      <c r="BB47" s="152" t="n"/>
    </row>
    <row r="48" ht="15" customHeight="1" s="241">
      <c r="A48" s="191" t="inlineStr">
        <is>
          <t>Lowe's</t>
        </is>
      </c>
      <c r="B48" s="188" t="inlineStr">
        <is>
          <t>LOW</t>
        </is>
      </c>
      <c r="C48" s="176" t="n">
        <v>2026</v>
      </c>
      <c r="D48" s="177" t="inlineStr">
        <is>
          <t>Q1</t>
        </is>
      </c>
      <c r="E48" s="178" t="inlineStr">
        <is>
          <t>Ben/DeepSeek</t>
        </is>
      </c>
      <c r="F48" s="177" t="inlineStr">
        <is>
          <t>LLM</t>
        </is>
      </c>
      <c r="G48" s="196" t="n">
        <v>-0.06</v>
      </c>
      <c r="H48" s="177" t="inlineStr">
        <is>
          <t>HOLD</t>
        </is>
      </c>
      <c r="I48" s="196" t="n"/>
      <c r="J48" s="182" t="n">
        <v>46162</v>
      </c>
      <c r="K48" s="182" t="n">
        <v>46161</v>
      </c>
      <c r="L48" s="183" t="n">
        <v>218.37</v>
      </c>
      <c r="M48" s="182" t="n">
        <v>46162</v>
      </c>
      <c r="N48" s="183" t="n">
        <v>213.98</v>
      </c>
      <c r="O48" s="180" t="n">
        <v>0.007282</v>
      </c>
      <c r="P48" s="197" t="n">
        <v>-0.020103</v>
      </c>
      <c r="Q48" s="177" t="inlineStr">
        <is>
          <t>DOWN</t>
        </is>
      </c>
      <c r="R48" s="177" t="inlineStr">
        <is>
          <t>NO</t>
        </is>
      </c>
      <c r="S48" s="176" t="n">
        <v>0</v>
      </c>
      <c r="T48" s="197" t="n">
        <v>0</v>
      </c>
      <c r="U48" s="185" t="inlineStr">
        <is>
          <t>w=[0.80,0.20,0,0] thr=(+0.20,-0.10), deployed default promoted 2026-08-18 (PSR=0.964, permutation p=0.0002 at N=233, restricted search - see blend.py)</t>
        </is>
      </c>
      <c r="V48" s="152" t="inlineStr">
        <is>
          <t>FROZEN</t>
        </is>
      </c>
      <c r="W48" s="152" t="inlineStr">
        <is>
          <t>price signal</t>
        </is>
      </c>
      <c r="X48" s="152" t="inlineStr">
        <is>
          <t>LOW</t>
        </is>
      </c>
      <c r="Y48" s="152" t="inlineStr">
        <is>
          <t>2026-05-19</t>
        </is>
      </c>
      <c r="Z48" s="152" t="n">
        <v>217.0287</v>
      </c>
      <c r="AA48" s="152" t="inlineStr">
        <is>
          <t>2026-05-20</t>
        </is>
      </c>
      <c r="AB48" s="152" t="n">
        <v>212.6657</v>
      </c>
      <c r="AC48" s="152" t="n">
        <v>-0.02010343546108412</v>
      </c>
      <c r="AD48" s="152" t="inlineStr">
        <is>
          <t>DOWN</t>
        </is>
      </c>
      <c r="AE48" s="152" t="inlineStr">
        <is>
          <t>YES</t>
        </is>
      </c>
      <c r="AF48" s="152" t="n">
        <v>0.019103</v>
      </c>
      <c r="AG48" s="152">
        <f>IF($A48="","",IFERROR(INDEX(Company_List!$G$3:$G$207,MATCH($A48,Company_List!$A$3:$A$207,0)),"unassigned"))</f>
        <v/>
      </c>
      <c r="AH48" s="152" t="inlineStr">
        <is>
          <t>Phase 2/Lowe's/2026-Q1/LOW-2026-Q1-press-release-SEC-EX-99-1.htm; Phase 2/Lowe's/2026-Q1/LOW-2026-Q1-earnings-call-transcript-corporate-lowes-com.pdf</t>
        </is>
      </c>
      <c r="AI48" s="152" t="inlineStr">
        <is>
          <t>https://corporate.lowes.com/sites/lowes-corp/files/low-usq-transcript-2026-05-20-1.pdf; https://www.sec.gov/Archives/edgar/data/60667/000006066725000094/exhibit991-05022025.htm</t>
        </is>
      </c>
      <c r="AJ48" s="152" t="inlineStr">
        <is>
          <t>manifest (whole bundle)</t>
        </is>
      </c>
      <c r="AK48" s="152">
        <f>IF($A48="","",IF(COUNTIFS(Human_Data_Entry!$A$3:$A$525,$A48)&gt;0,"YES","NO"))</f>
        <v/>
      </c>
      <c r="AL48" s="152">
        <f>IF($A48="","",IF(AND($C48&amp;"-"&amp;$D48&gt;=Settings!$B$19,$C48&amp;"-"&amp;$D48&lt;=Settings!$B$20),"IN","OUT"))</f>
        <v/>
      </c>
      <c r="AM48" s="152">
        <f>IF(AND(OR($H48="BUY",$H48="SELL"),ISNUMBER($T48)),$T48,"")</f>
        <v/>
      </c>
      <c r="AN48" s="152">
        <f>IF(AND(OR($H48="BUY",$H48="SELL"),ISNUMBER($AF48)),$AF48,"")</f>
        <v/>
      </c>
      <c r="AO48" s="152">
        <f>IF(ISNUMBER($AM48),ABS(IF(ISNUMBER($G48),$G48,0)-Settings!$B$25),"")</f>
        <v/>
      </c>
      <c r="AP48" s="152">
        <f>IF(ISNUMBER($AO48),$AO48*$AM48,"")</f>
        <v/>
      </c>
      <c r="AQ48" s="152">
        <f>IF(ISNUMBER($AN48),ABS(IF(ISNUMBER($G48),$G48,0)-Settings!$B$25),"")</f>
        <v/>
      </c>
      <c r="AR48" s="152">
        <f>IF(ISNUMBER($AQ48),$AQ48*$AN48,"")</f>
        <v/>
      </c>
      <c r="AS48" s="152">
        <f>IF($A48="","",IFERROR(INDEX(Company_List!$H$3:$H$207,MATCH($A48,Company_List!$A$3:$A$207,0)),"unassigned"))</f>
        <v/>
      </c>
      <c r="AT48" s="152" t="inlineStr">
        <is>
          <t>re-read since v1</t>
        </is>
      </c>
      <c r="AU48" s="152" t="inlineStr">
        <is>
          <t>Phase 2/Master_Data_v1.xlsx</t>
        </is>
      </c>
      <c r="AV48" s="152" t="n">
        <v>2</v>
      </c>
      <c r="AW48" s="152" t="inlineStr">
        <is>
          <t>Refinitiv / LSEG StreetEvents</t>
        </is>
      </c>
      <c r="AX48" s="152" t="inlineStr">
        <is>
          <t>licensed vendor</t>
        </is>
      </c>
      <c r="AY48" s="152" t="inlineStr">
        <is>
          <t>no</t>
        </is>
      </c>
      <c r="AZ48" s="152" t="inlineStr">
        <is>
          <t>yes</t>
        </is>
      </c>
      <c r="BA48" s="152" t="inlineStr">
        <is>
          <t>YES</t>
        </is>
      </c>
      <c r="BB48" s="152" t="n"/>
    </row>
    <row r="49" ht="15" customHeight="1" s="241">
      <c r="A49" s="191" t="inlineStr">
        <is>
          <t>Lowe's</t>
        </is>
      </c>
      <c r="B49" s="188" t="inlineStr">
        <is>
          <t>LOW</t>
        </is>
      </c>
      <c r="C49" s="176" t="n">
        <v>2025</v>
      </c>
      <c r="D49" s="177" t="inlineStr">
        <is>
          <t>Q2</t>
        </is>
      </c>
      <c r="E49" s="178" t="inlineStr">
        <is>
          <t>Ben/DeepSeek</t>
        </is>
      </c>
      <c r="F49" s="177" t="inlineStr">
        <is>
          <t>LLM</t>
        </is>
      </c>
      <c r="G49" s="196" t="n">
        <v>0.12</v>
      </c>
      <c r="H49" s="177" t="inlineStr">
        <is>
          <t>HOLD</t>
        </is>
      </c>
      <c r="I49" s="196" t="n"/>
      <c r="J49" s="182" t="n">
        <v>45889</v>
      </c>
      <c r="K49" s="182" t="n">
        <v>45888</v>
      </c>
      <c r="L49" s="183" t="n">
        <v>256.36</v>
      </c>
      <c r="M49" s="182" t="n">
        <v>45889</v>
      </c>
      <c r="N49" s="183" t="n">
        <v>265.4</v>
      </c>
      <c r="O49" s="180" t="n">
        <v>0.006741</v>
      </c>
      <c r="P49" s="197" t="n">
        <v>0.035263</v>
      </c>
      <c r="Q49" s="177" t="inlineStr">
        <is>
          <t>UP</t>
        </is>
      </c>
      <c r="R49" s="177" t="inlineStr">
        <is>
          <t>NO</t>
        </is>
      </c>
      <c r="S49" s="176" t="n">
        <v>0</v>
      </c>
      <c r="T49" s="197" t="n">
        <v>0</v>
      </c>
      <c r="U49" s="185" t="inlineStr">
        <is>
          <t>w=[0.80,0.20,0,0] thr=(+0.20,-0.10), deployed default promoted 2026-08-18 (PSR=0.964, permutation p=0.0002 at N=233, restricted search - see blend.py)</t>
        </is>
      </c>
      <c r="V49" s="152" t="inlineStr">
        <is>
          <t>FROZEN</t>
        </is>
      </c>
      <c r="W49" s="152" t="inlineStr">
        <is>
          <t>release date + stated time</t>
        </is>
      </c>
      <c r="X49" s="152" t="inlineStr">
        <is>
          <t>LOW</t>
        </is>
      </c>
      <c r="Y49" s="152" t="inlineStr">
        <is>
          <t>2025-08-19</t>
        </is>
      </c>
      <c r="Z49" s="152" t="n">
        <v>251.1994</v>
      </c>
      <c r="AA49" s="152" t="inlineStr">
        <is>
          <t>2025-08-20</t>
        </is>
      </c>
      <c r="AB49" s="152" t="n">
        <v>260.0575</v>
      </c>
      <c r="AC49" s="152" t="n">
        <v>0.03526301478860992</v>
      </c>
      <c r="AD49" s="152" t="inlineStr">
        <is>
          <t>UP</t>
        </is>
      </c>
      <c r="AE49" s="152" t="inlineStr">
        <is>
          <t>NO</t>
        </is>
      </c>
      <c r="AF49" s="152" t="n">
        <v>0</v>
      </c>
      <c r="AG49" s="152">
        <f>IF($A49="","",IFERROR(INDEX(Company_List!$G$3:$G$207,MATCH($A49,Company_List!$A$3:$A$207,0)),"unassigned"))</f>
        <v/>
      </c>
      <c r="AH49" s="152" t="inlineStr">
        <is>
          <t>Phase 2/Lowe's/low-usq-transcript-2025-08-20.pdf</t>
        </is>
      </c>
      <c r="AI49" s="152" t="n"/>
      <c r="AJ49" s="152" t="inlineStr">
        <is>
          <t>unique filename match</t>
        </is>
      </c>
      <c r="AK49" s="152">
        <f>IF($A49="","",IF(COUNTIFS(Human_Data_Entry!$A$3:$A$525,$A49)&gt;0,"YES","NO"))</f>
        <v/>
      </c>
      <c r="AL49" s="152">
        <f>IF($A49="","",IF(AND($C49&amp;"-"&amp;$D49&gt;=Settings!$B$19,$C49&amp;"-"&amp;$D49&lt;=Settings!$B$20),"IN","OUT"))</f>
        <v/>
      </c>
      <c r="AM49" s="152">
        <f>IF(AND(OR($H49="BUY",$H49="SELL"),ISNUMBER($T49)),$T49,"")</f>
        <v/>
      </c>
      <c r="AN49" s="152">
        <f>IF(AND(OR($H49="BUY",$H49="SELL"),ISNUMBER($AF49)),$AF49,"")</f>
        <v/>
      </c>
      <c r="AO49" s="152">
        <f>IF(ISNUMBER($AM49),ABS(IF(ISNUMBER($G49),$G49,0)-Settings!$B$25),"")</f>
        <v/>
      </c>
      <c r="AP49" s="152">
        <f>IF(ISNUMBER($AO49),$AO49*$AM49,"")</f>
        <v/>
      </c>
      <c r="AQ49" s="152">
        <f>IF(ISNUMBER($AN49),ABS(IF(ISNUMBER($G49),$G49,0)-Settings!$B$25),"")</f>
        <v/>
      </c>
      <c r="AR49" s="152">
        <f>IF(ISNUMBER($AQ49),$AQ49*$AN49,"")</f>
        <v/>
      </c>
      <c r="AS49" s="152">
        <f>IF($A49="","",IFERROR(INDEX(Company_List!$H$3:$H$207,MATCH($A49,Company_List!$A$3:$A$207,0)),"unassigned"))</f>
        <v/>
      </c>
      <c r="AT49" s="152" t="inlineStr">
        <is>
          <t>re-read since v1</t>
        </is>
      </c>
      <c r="AU49" s="152" t="inlineStr">
        <is>
          <t>Phase 2/Master_Data_v1.xlsx</t>
        </is>
      </c>
      <c r="AV49" s="152" t="n">
        <v>1</v>
      </c>
      <c r="AW49" s="152" t="inlineStr">
        <is>
          <t>Refinitiv / LSEG StreetEvents</t>
        </is>
      </c>
      <c r="AX49" s="152" t="inlineStr">
        <is>
          <t>licensed vendor</t>
        </is>
      </c>
      <c r="AY49" s="152" t="inlineStr">
        <is>
          <t>no</t>
        </is>
      </c>
      <c r="AZ49" s="152" t="inlineStr">
        <is>
          <t>no</t>
        </is>
      </c>
      <c r="BA49" s="152" t="inlineStr">
        <is>
          <t>YES</t>
        </is>
      </c>
      <c r="BB49" s="152" t="n"/>
    </row>
    <row r="50" ht="15" customHeight="1" s="241">
      <c r="A50" s="191" t="inlineStr">
        <is>
          <t>Lowe's</t>
        </is>
      </c>
      <c r="B50" s="188" t="inlineStr">
        <is>
          <t>LOW</t>
        </is>
      </c>
      <c r="C50" s="176" t="n">
        <v>2025</v>
      </c>
      <c r="D50" s="177" t="inlineStr">
        <is>
          <t>Q3</t>
        </is>
      </c>
      <c r="E50" s="178" t="inlineStr">
        <is>
          <t>Ben/DeepSeek</t>
        </is>
      </c>
      <c r="F50" s="177" t="inlineStr">
        <is>
          <t>LLM</t>
        </is>
      </c>
      <c r="G50" s="196" t="n">
        <v>-0.38</v>
      </c>
      <c r="H50" s="177" t="inlineStr">
        <is>
          <t>SELL</t>
        </is>
      </c>
      <c r="I50" s="196" t="n"/>
      <c r="J50" s="182" t="n">
        <v>45980</v>
      </c>
      <c r="K50" s="182" t="n">
        <v>45979</v>
      </c>
      <c r="L50" s="183" t="n">
        <v>219.57</v>
      </c>
      <c r="M50" s="182" t="n">
        <v>45980</v>
      </c>
      <c r="N50" s="183" t="n">
        <v>230.01</v>
      </c>
      <c r="O50" s="180" t="n">
        <v>0.006449</v>
      </c>
      <c r="P50" s="197" t="n">
        <v>0.047547</v>
      </c>
      <c r="Q50" s="177" t="inlineStr">
        <is>
          <t>UP</t>
        </is>
      </c>
      <c r="R50" s="177" t="inlineStr">
        <is>
          <t>NO</t>
        </is>
      </c>
      <c r="S50" s="176" t="n">
        <v>-1</v>
      </c>
      <c r="T50" s="197" t="n">
        <v>-0.048547</v>
      </c>
      <c r="U50" s="185" t="inlineStr">
        <is>
          <t>w=[0.80,0.20,0,0] thr=(+0.20,-0.10), deployed default promoted 2026-08-18 (PSR=0.964, permutation p=0.0002 at N=233, restricted search - see blend.py)</t>
        </is>
      </c>
      <c r="V50" s="152" t="inlineStr">
        <is>
          <t>FROZEN</t>
        </is>
      </c>
      <c r="W50" s="152" t="inlineStr">
        <is>
          <t>document date + price signal</t>
        </is>
      </c>
      <c r="X50" s="152" t="inlineStr">
        <is>
          <t>LOW</t>
        </is>
      </c>
      <c r="Y50" s="152" t="inlineStr">
        <is>
          <t>2025-11-18</t>
        </is>
      </c>
      <c r="Z50" s="152" t="n">
        <v>216.2079</v>
      </c>
      <c r="AA50" s="152" t="inlineStr">
        <is>
          <t>2025-11-19</t>
        </is>
      </c>
      <c r="AB50" s="152" t="n">
        <v>226.488</v>
      </c>
      <c r="AC50" s="152" t="n">
        <v>0.04754749705677633</v>
      </c>
      <c r="AD50" s="152" t="inlineStr">
        <is>
          <t>UP</t>
        </is>
      </c>
      <c r="AE50" s="152" t="inlineStr">
        <is>
          <t>NO</t>
        </is>
      </c>
      <c r="AF50" s="152" t="n">
        <v>-0.048547</v>
      </c>
      <c r="AG50" s="152">
        <f>IF($A50="","",IFERROR(INDEX(Company_List!$G$3:$G$207,MATCH($A50,Company_List!$A$3:$A$207,0)),"unassigned"))</f>
        <v/>
      </c>
      <c r="AH50" s="152" t="inlineStr">
        <is>
          <t>Phase 2/Lowe's/low-usq-transcript-2025-11-19.pdf</t>
        </is>
      </c>
      <c r="AI50" s="152" t="n"/>
      <c r="AJ50" s="152" t="inlineStr">
        <is>
          <t>unique filename match</t>
        </is>
      </c>
      <c r="AK50" s="152">
        <f>IF($A50="","",IF(COUNTIFS(Human_Data_Entry!$A$3:$A$525,$A50)&gt;0,"YES","NO"))</f>
        <v/>
      </c>
      <c r="AL50" s="152">
        <f>IF($A50="","",IF(AND($C50&amp;"-"&amp;$D50&gt;=Settings!$B$19,$C50&amp;"-"&amp;$D50&lt;=Settings!$B$20),"IN","OUT"))</f>
        <v/>
      </c>
      <c r="AM50" s="152">
        <f>IF(AND(OR($H50="BUY",$H50="SELL"),ISNUMBER($T50)),$T50,"")</f>
        <v/>
      </c>
      <c r="AN50" s="152">
        <f>IF(AND(OR($H50="BUY",$H50="SELL"),ISNUMBER($AF50)),$AF50,"")</f>
        <v/>
      </c>
      <c r="AO50" s="152">
        <f>IF(ISNUMBER($AM50),ABS(IF(ISNUMBER($G50),$G50,0)-Settings!$B$25),"")</f>
        <v/>
      </c>
      <c r="AP50" s="152">
        <f>IF(ISNUMBER($AO50),$AO50*$AM50,"")</f>
        <v/>
      </c>
      <c r="AQ50" s="152">
        <f>IF(ISNUMBER($AN50),ABS(IF(ISNUMBER($G50),$G50,0)-Settings!$B$25),"")</f>
        <v/>
      </c>
      <c r="AR50" s="152">
        <f>IF(ISNUMBER($AQ50),$AQ50*$AN50,"")</f>
        <v/>
      </c>
      <c r="AS50" s="152">
        <f>IF($A50="","",IFERROR(INDEX(Company_List!$H$3:$H$207,MATCH($A50,Company_List!$A$3:$A$207,0)),"unassigned"))</f>
        <v/>
      </c>
      <c r="AT50" s="152" t="inlineStr">
        <is>
          <t>re-read since v1</t>
        </is>
      </c>
      <c r="AU50" s="152" t="inlineStr">
        <is>
          <t>Phase 2/Master_Data_v1.xlsx</t>
        </is>
      </c>
      <c r="AV50" s="152" t="n">
        <v>1</v>
      </c>
      <c r="AW50" s="152" t="inlineStr">
        <is>
          <t>Refinitiv / LSEG StreetEvents</t>
        </is>
      </c>
      <c r="AX50" s="152" t="inlineStr">
        <is>
          <t>licensed vendor</t>
        </is>
      </c>
      <c r="AY50" s="152" t="inlineStr">
        <is>
          <t>no</t>
        </is>
      </c>
      <c r="AZ50" s="152" t="inlineStr">
        <is>
          <t>no</t>
        </is>
      </c>
      <c r="BA50" s="152" t="inlineStr">
        <is>
          <t>YES</t>
        </is>
      </c>
      <c r="BB50" s="152" t="n"/>
    </row>
    <row r="51" ht="15" customHeight="1" s="241">
      <c r="A51" s="191" t="inlineStr">
        <is>
          <t>Lowe's</t>
        </is>
      </c>
      <c r="B51" s="188" t="inlineStr">
        <is>
          <t>LOW</t>
        </is>
      </c>
      <c r="C51" s="176" t="n">
        <v>2025</v>
      </c>
      <c r="D51" s="177" t="inlineStr">
        <is>
          <t>Q4</t>
        </is>
      </c>
      <c r="E51" s="178" t="inlineStr">
        <is>
          <t>Ben/DeepSeek</t>
        </is>
      </c>
      <c r="F51" s="177" t="inlineStr">
        <is>
          <t>LLM</t>
        </is>
      </c>
      <c r="G51" s="196" t="n">
        <v>-0.14</v>
      </c>
      <c r="H51" s="177" t="inlineStr">
        <is>
          <t>SELL</t>
        </is>
      </c>
      <c r="I51" s="196" t="n"/>
      <c r="J51" s="182" t="n">
        <v>46078</v>
      </c>
      <c r="K51" s="182" t="n">
        <v>46077</v>
      </c>
      <c r="L51" s="183" t="n">
        <v>278.59</v>
      </c>
      <c r="M51" s="182" t="n">
        <v>46078</v>
      </c>
      <c r="N51" s="183" t="n">
        <v>266.25</v>
      </c>
      <c r="O51" s="180" t="n">
        <v>0.007562</v>
      </c>
      <c r="P51" s="197" t="n">
        <v>-0.044294</v>
      </c>
      <c r="Q51" s="177" t="inlineStr">
        <is>
          <t>DOWN</t>
        </is>
      </c>
      <c r="R51" s="177" t="inlineStr">
        <is>
          <t>YES</t>
        </is>
      </c>
      <c r="S51" s="176" t="n">
        <v>-1</v>
      </c>
      <c r="T51" s="197" t="n">
        <v>0.043294</v>
      </c>
      <c r="U51" s="185" t="inlineStr">
        <is>
          <t>w=[0.80,0.20,0,0] thr=(+0.20,-0.10), deployed default promoted 2026-08-18 (PSR=0.964, permutation p=0.0002 at N=233, restricted search - see blend.py)</t>
        </is>
      </c>
      <c r="V51" s="152" t="inlineStr">
        <is>
          <t>FROZEN</t>
        </is>
      </c>
      <c r="W51" s="152" t="inlineStr">
        <is>
          <t>recorded price identified against every pulled series</t>
        </is>
      </c>
      <c r="X51" s="152" t="inlineStr">
        <is>
          <t>LOW</t>
        </is>
      </c>
      <c r="Y51" s="152" t="inlineStr">
        <is>
          <t>2026-02-24</t>
        </is>
      </c>
      <c r="Z51" s="152" t="n">
        <v>275.5561</v>
      </c>
      <c r="AA51" s="152" t="inlineStr">
        <is>
          <t>2026-02-25</t>
        </is>
      </c>
      <c r="AB51" s="152" t="n">
        <v>263.3505</v>
      </c>
      <c r="AC51" s="152" t="n">
        <v>-0.04429448388162475</v>
      </c>
      <c r="AD51" s="152" t="inlineStr">
        <is>
          <t>DOWN</t>
        </is>
      </c>
      <c r="AE51" s="152" t="inlineStr">
        <is>
          <t>YES</t>
        </is>
      </c>
      <c r="AF51" s="152" t="n">
        <v>0.043294</v>
      </c>
      <c r="AG51" s="152">
        <f>IF($A51="","",IFERROR(INDEX(Company_List!$G$3:$G$207,MATCH($A51,Company_List!$A$3:$A$207,0)),"unassigned"))</f>
        <v/>
      </c>
      <c r="AH51" s="152" t="inlineStr">
        <is>
          <t>Phase 2/Lowe's/low-usq-transcript_2026-02-25.pdf</t>
        </is>
      </c>
      <c r="AI51" s="152" t="n"/>
      <c r="AJ51" s="152" t="inlineStr">
        <is>
          <t>unique filename match</t>
        </is>
      </c>
      <c r="AK51" s="152">
        <f>IF($A51="","",IF(COUNTIFS(Human_Data_Entry!$A$3:$A$525,$A51)&gt;0,"YES","NO"))</f>
        <v/>
      </c>
      <c r="AL51" s="152">
        <f>IF($A51="","",IF(AND($C51&amp;"-"&amp;$D51&gt;=Settings!$B$19,$C51&amp;"-"&amp;$D51&lt;=Settings!$B$20),"IN","OUT"))</f>
        <v/>
      </c>
      <c r="AM51" s="152">
        <f>IF(AND(OR($H51="BUY",$H51="SELL"),ISNUMBER($T51)),$T51,"")</f>
        <v/>
      </c>
      <c r="AN51" s="152">
        <f>IF(AND(OR($H51="BUY",$H51="SELL"),ISNUMBER($AF51)),$AF51,"")</f>
        <v/>
      </c>
      <c r="AO51" s="152">
        <f>IF(ISNUMBER($AM51),ABS(IF(ISNUMBER($G51),$G51,0)-Settings!$B$25),"")</f>
        <v/>
      </c>
      <c r="AP51" s="152">
        <f>IF(ISNUMBER($AO51),$AO51*$AM51,"")</f>
        <v/>
      </c>
      <c r="AQ51" s="152">
        <f>IF(ISNUMBER($AN51),ABS(IF(ISNUMBER($G51),$G51,0)-Settings!$B$25),"")</f>
        <v/>
      </c>
      <c r="AR51" s="152">
        <f>IF(ISNUMBER($AQ51),$AQ51*$AN51,"")</f>
        <v/>
      </c>
      <c r="AS51" s="152">
        <f>IF($A51="","",IFERROR(INDEX(Company_List!$H$3:$H$207,MATCH($A51,Company_List!$A$3:$A$207,0)),"unassigned"))</f>
        <v/>
      </c>
      <c r="AT51" s="152" t="inlineStr">
        <is>
          <t>re-read since v1</t>
        </is>
      </c>
      <c r="AU51" s="152" t="inlineStr">
        <is>
          <t>Phase 2/Master_Data_v1.xlsx</t>
        </is>
      </c>
      <c r="AV51" s="152" t="n">
        <v>1</v>
      </c>
      <c r="AW51" s="152" t="inlineStr">
        <is>
          <t>Refinitiv / LSEG StreetEvents</t>
        </is>
      </c>
      <c r="AX51" s="152" t="inlineStr">
        <is>
          <t>licensed vendor</t>
        </is>
      </c>
      <c r="AY51" s="152" t="inlineStr">
        <is>
          <t>no</t>
        </is>
      </c>
      <c r="AZ51" s="152" t="inlineStr">
        <is>
          <t>no</t>
        </is>
      </c>
      <c r="BA51" s="152" t="inlineStr">
        <is>
          <t>YES</t>
        </is>
      </c>
      <c r="BB51" s="152" t="n"/>
    </row>
    <row r="52" ht="15" customHeight="1" s="241">
      <c r="A52" s="191" t="inlineStr">
        <is>
          <t>Lululemon</t>
        </is>
      </c>
      <c r="B52" s="188" t="inlineStr">
        <is>
          <t>LULU</t>
        </is>
      </c>
      <c r="C52" s="176" t="n">
        <v>2026</v>
      </c>
      <c r="D52" s="177" t="inlineStr">
        <is>
          <t>Q1</t>
        </is>
      </c>
      <c r="E52" s="178" t="inlineStr">
        <is>
          <t>Ben/DeepSeek</t>
        </is>
      </c>
      <c r="F52" s="177" t="inlineStr">
        <is>
          <t>LLM</t>
        </is>
      </c>
      <c r="G52" s="196" t="n">
        <v>-0.46</v>
      </c>
      <c r="H52" s="177" t="inlineStr">
        <is>
          <t>SELL</t>
        </is>
      </c>
      <c r="I52" s="196" t="n"/>
      <c r="J52" s="182" t="n">
        <v>46177</v>
      </c>
      <c r="K52" s="182" t="n">
        <v>46177</v>
      </c>
      <c r="L52" s="183" t="n">
        <v>124.92</v>
      </c>
      <c r="M52" s="182" t="n">
        <v>46178</v>
      </c>
      <c r="N52" s="183" t="n">
        <v>110.43</v>
      </c>
      <c r="O52" s="180" t="n">
        <v>0.006916</v>
      </c>
      <c r="P52" s="197" t="n">
        <v>-0.115994</v>
      </c>
      <c r="Q52" s="177" t="inlineStr">
        <is>
          <t>DOWN</t>
        </is>
      </c>
      <c r="R52" s="177" t="inlineStr">
        <is>
          <t>YES</t>
        </is>
      </c>
      <c r="S52" s="176" t="n">
        <v>-1</v>
      </c>
      <c r="T52" s="197" t="n">
        <v>0.114994</v>
      </c>
      <c r="U52" s="185" t="inlineStr">
        <is>
          <t>w=[0.80,0.20,0,0] thr=(+0.20,-0.10), deployed default promoted 2026-08-18 (PSR=0.964, permutation p=0.0002 at N=233, restricted search - see blend.py)</t>
        </is>
      </c>
      <c r="V52" s="152" t="inlineStr">
        <is>
          <t>FROZEN</t>
        </is>
      </c>
      <c r="W52" s="152" t="inlineStr">
        <is>
          <t>price signal — both moved; this one dominates</t>
        </is>
      </c>
      <c r="X52" s="152" t="inlineStr">
        <is>
          <t>LULU</t>
        </is>
      </c>
      <c r="Y52" s="152" t="inlineStr">
        <is>
          <t>2026-06-04</t>
        </is>
      </c>
      <c r="Z52" s="152" t="n">
        <v>124.92</v>
      </c>
      <c r="AA52" s="152" t="inlineStr">
        <is>
          <t>2026-06-05</t>
        </is>
      </c>
      <c r="AB52" s="152" t="n">
        <v>110.43</v>
      </c>
      <c r="AC52" s="152" t="n">
        <v>-0.1159942221580888</v>
      </c>
      <c r="AD52" s="152" t="inlineStr">
        <is>
          <t>DOWN</t>
        </is>
      </c>
      <c r="AE52" s="152" t="inlineStr">
        <is>
          <t>YES</t>
        </is>
      </c>
      <c r="AF52" s="152" t="n">
        <v>0.114994</v>
      </c>
      <c r="AG52" s="152">
        <f>IF($A52="","",IFERROR(INDEX(Company_List!$G$3:$G$207,MATCH($A52,Company_List!$A$3:$A$207,0)),"unassigned"))</f>
        <v/>
      </c>
      <c r="AH52" s="152" t="inlineStr">
        <is>
          <t>Phase 2/Lululemon/Q1 2026 Earnings Transcript.pdf</t>
        </is>
      </c>
      <c r="AI52" s="152" t="n"/>
      <c r="AJ52" s="152" t="inlineStr">
        <is>
          <t>unique filename match</t>
        </is>
      </c>
      <c r="AK52" s="152">
        <f>IF($A52="","",IF(COUNTIFS(Human_Data_Entry!$A$3:$A$525,$A52)&gt;0,"YES","NO"))</f>
        <v/>
      </c>
      <c r="AL52" s="152">
        <f>IF($A52="","",IF(AND($C52&amp;"-"&amp;$D52&gt;=Settings!$B$19,$C52&amp;"-"&amp;$D52&lt;=Settings!$B$20),"IN","OUT"))</f>
        <v/>
      </c>
      <c r="AM52" s="152">
        <f>IF(AND(OR($H52="BUY",$H52="SELL"),ISNUMBER($T52)),$T52,"")</f>
        <v/>
      </c>
      <c r="AN52" s="152">
        <f>IF(AND(OR($H52="BUY",$H52="SELL"),ISNUMBER($AF52)),$AF52,"")</f>
        <v/>
      </c>
      <c r="AO52" s="152">
        <f>IF(ISNUMBER($AM52),ABS(IF(ISNUMBER($G52),$G52,0)-Settings!$B$25),"")</f>
        <v/>
      </c>
      <c r="AP52" s="152">
        <f>IF(ISNUMBER($AO52),$AO52*$AM52,"")</f>
        <v/>
      </c>
      <c r="AQ52" s="152">
        <f>IF(ISNUMBER($AN52),ABS(IF(ISNUMBER($G52),$G52,0)-Settings!$B$25),"")</f>
        <v/>
      </c>
      <c r="AR52" s="152">
        <f>IF(ISNUMBER($AQ52),$AQ52*$AN52,"")</f>
        <v/>
      </c>
      <c r="AS52" s="152">
        <f>IF($A52="","",IFERROR(INDEX(Company_List!$H$3:$H$207,MATCH($A52,Company_List!$A$3:$A$207,0)),"unassigned"))</f>
        <v/>
      </c>
      <c r="AT52" s="152" t="inlineStr">
        <is>
          <t>re-read since v1</t>
        </is>
      </c>
      <c r="AU52" s="152" t="inlineStr">
        <is>
          <t>Phase 2/Master_Data_v1.xlsx</t>
        </is>
      </c>
      <c r="AV52" s="152" t="n">
        <v>1</v>
      </c>
      <c r="AW52" s="152" t="inlineStr">
        <is>
          <t>The Motley Fool</t>
        </is>
      </c>
      <c r="AX52" s="152" t="inlineStr">
        <is>
          <t>free to read, copyright asserted</t>
        </is>
      </c>
      <c r="AY52" s="152" t="inlineStr">
        <is>
          <t>no</t>
        </is>
      </c>
      <c r="AZ52" s="152" t="inlineStr">
        <is>
          <t>no</t>
        </is>
      </c>
      <c r="BA52" s="152" t="inlineStr">
        <is>
          <t>YES</t>
        </is>
      </c>
      <c r="BB52" s="152" t="n"/>
    </row>
    <row r="53" ht="15" customHeight="1" s="241">
      <c r="A53" s="191" t="inlineStr">
        <is>
          <t>Lululemon</t>
        </is>
      </c>
      <c r="B53" s="188" t="inlineStr">
        <is>
          <t>LULU</t>
        </is>
      </c>
      <c r="C53" s="176" t="n">
        <v>2025</v>
      </c>
      <c r="D53" s="177" t="inlineStr">
        <is>
          <t>Q3</t>
        </is>
      </c>
      <c r="E53" s="178" t="inlineStr">
        <is>
          <t>Ben/DeepSeek</t>
        </is>
      </c>
      <c r="F53" s="177" t="inlineStr">
        <is>
          <t>LLM</t>
        </is>
      </c>
      <c r="G53" s="196" t="n">
        <v>-0.38</v>
      </c>
      <c r="H53" s="177" t="inlineStr">
        <is>
          <t>SELL</t>
        </is>
      </c>
      <c r="I53" s="196" t="n"/>
      <c r="J53" s="182" t="n">
        <v>46002</v>
      </c>
      <c r="K53" s="182" t="n">
        <v>46002</v>
      </c>
      <c r="L53" s="183" t="n">
        <v>187.01</v>
      </c>
      <c r="M53" s="182" t="n">
        <v>46003</v>
      </c>
      <c r="N53" s="183" t="n">
        <v>204.58</v>
      </c>
      <c r="O53" s="180" t="n">
        <v>0.008574</v>
      </c>
      <c r="P53" s="197" t="n">
        <v>0.09395200000000001</v>
      </c>
      <c r="Q53" s="177" t="inlineStr">
        <is>
          <t>UP</t>
        </is>
      </c>
      <c r="R53" s="177" t="inlineStr">
        <is>
          <t>NO</t>
        </is>
      </c>
      <c r="S53" s="176" t="n">
        <v>-1</v>
      </c>
      <c r="T53" s="197" t="n">
        <v>-0.09495199999999999</v>
      </c>
      <c r="U53" s="185" t="inlineStr">
        <is>
          <t>w=[0.80,0.20,0,0] thr=(+0.20,-0.10), deployed default promoted 2026-08-18 (PSR=0.964, permutation p=0.0002 at N=233, restricted search - see blend.py)</t>
        </is>
      </c>
      <c r="V53" s="152" t="inlineStr">
        <is>
          <t>FROZEN</t>
        </is>
      </c>
      <c r="W53" s="152" t="inlineStr">
        <is>
          <t>price signal — both moved; this one dominates</t>
        </is>
      </c>
      <c r="X53" s="152" t="inlineStr">
        <is>
          <t>LULU</t>
        </is>
      </c>
      <c r="Y53" s="152" t="inlineStr">
        <is>
          <t>2025-12-11</t>
        </is>
      </c>
      <c r="Z53" s="152" t="n">
        <v>187.01</v>
      </c>
      <c r="AA53" s="152" t="inlineStr">
        <is>
          <t>2025-12-12</t>
        </is>
      </c>
      <c r="AB53" s="152" t="n">
        <v>204.58</v>
      </c>
      <c r="AC53" s="152" t="n">
        <v>0.09395223501289332</v>
      </c>
      <c r="AD53" s="152" t="inlineStr">
        <is>
          <t>UP</t>
        </is>
      </c>
      <c r="AE53" s="152" t="inlineStr">
        <is>
          <t>NO</t>
        </is>
      </c>
      <c r="AF53" s="152" t="n">
        <v>-0.09495199999999999</v>
      </c>
      <c r="AG53" s="152">
        <f>IF($A53="","",IFERROR(INDEX(Company_List!$G$3:$G$207,MATCH($A53,Company_List!$A$3:$A$207,0)),"unassigned"))</f>
        <v/>
      </c>
      <c r="AH53" s="152" t="inlineStr">
        <is>
          <t>Phase 2/Lululemon/Q3 2025 Earnings Call Transcript.pdf</t>
        </is>
      </c>
      <c r="AI53" s="152" t="n"/>
      <c r="AJ53" s="152" t="inlineStr">
        <is>
          <t>unique filename match</t>
        </is>
      </c>
      <c r="AK53" s="152">
        <f>IF($A53="","",IF(COUNTIFS(Human_Data_Entry!$A$3:$A$525,$A53)&gt;0,"YES","NO"))</f>
        <v/>
      </c>
      <c r="AL53" s="152">
        <f>IF($A53="","",IF(AND($C53&amp;"-"&amp;$D53&gt;=Settings!$B$19,$C53&amp;"-"&amp;$D53&lt;=Settings!$B$20),"IN","OUT"))</f>
        <v/>
      </c>
      <c r="AM53" s="152">
        <f>IF(AND(OR($H53="BUY",$H53="SELL"),ISNUMBER($T53)),$T53,"")</f>
        <v/>
      </c>
      <c r="AN53" s="152">
        <f>IF(AND(OR($H53="BUY",$H53="SELL"),ISNUMBER($AF53)),$AF53,"")</f>
        <v/>
      </c>
      <c r="AO53" s="152">
        <f>IF(ISNUMBER($AM53),ABS(IF(ISNUMBER($G53),$G53,0)-Settings!$B$25),"")</f>
        <v/>
      </c>
      <c r="AP53" s="152">
        <f>IF(ISNUMBER($AO53),$AO53*$AM53,"")</f>
        <v/>
      </c>
      <c r="AQ53" s="152">
        <f>IF(ISNUMBER($AN53),ABS(IF(ISNUMBER($G53),$G53,0)-Settings!$B$25),"")</f>
        <v/>
      </c>
      <c r="AR53" s="152">
        <f>IF(ISNUMBER($AQ53),$AQ53*$AN53,"")</f>
        <v/>
      </c>
      <c r="AS53" s="152">
        <f>IF($A53="","",IFERROR(INDEX(Company_List!$H$3:$H$207,MATCH($A53,Company_List!$A$3:$A$207,0)),"unassigned"))</f>
        <v/>
      </c>
      <c r="AT53" s="152" t="inlineStr">
        <is>
          <t>re-read since v1</t>
        </is>
      </c>
      <c r="AU53" s="152" t="inlineStr">
        <is>
          <t>Phase 2/Master_Data_v1.xlsx</t>
        </is>
      </c>
      <c r="AV53" s="152" t="n">
        <v>1</v>
      </c>
      <c r="AW53" s="152" t="inlineStr">
        <is>
          <t>The Motley Fool</t>
        </is>
      </c>
      <c r="AX53" s="152" t="inlineStr">
        <is>
          <t>free to read, copyright asserted</t>
        </is>
      </c>
      <c r="AY53" s="152" t="inlineStr">
        <is>
          <t>no</t>
        </is>
      </c>
      <c r="AZ53" s="152" t="inlineStr">
        <is>
          <t>no</t>
        </is>
      </c>
      <c r="BA53" s="152" t="inlineStr">
        <is>
          <t>YES</t>
        </is>
      </c>
      <c r="BB53" s="152" t="n"/>
    </row>
    <row r="54" ht="15" customHeight="1" s="241">
      <c r="A54" s="191" t="inlineStr">
        <is>
          <t>Lululemon</t>
        </is>
      </c>
      <c r="B54" s="188" t="inlineStr">
        <is>
          <t>LULU</t>
        </is>
      </c>
      <c r="C54" s="176" t="n">
        <v>2025</v>
      </c>
      <c r="D54" s="177" t="inlineStr">
        <is>
          <t>Q4</t>
        </is>
      </c>
      <c r="E54" s="178" t="inlineStr">
        <is>
          <t>Ben/DeepSeek</t>
        </is>
      </c>
      <c r="F54" s="177" t="inlineStr">
        <is>
          <t>LLM</t>
        </is>
      </c>
      <c r="G54" s="196" t="n">
        <v>-0.42</v>
      </c>
      <c r="H54" s="177" t="inlineStr">
        <is>
          <t>SELL</t>
        </is>
      </c>
      <c r="I54" s="196" t="n"/>
      <c r="J54" s="182" t="n">
        <v>46098</v>
      </c>
      <c r="K54" s="182" t="n">
        <v>46098</v>
      </c>
      <c r="L54" s="183" t="n">
        <v>159.27</v>
      </c>
      <c r="M54" s="182" t="n">
        <v>46099</v>
      </c>
      <c r="N54" s="183" t="n">
        <v>158.04</v>
      </c>
      <c r="O54" s="180" t="n">
        <v>0.008551</v>
      </c>
      <c r="P54" s="197" t="n">
        <v>-0.007723</v>
      </c>
      <c r="Q54" s="177" t="inlineStr">
        <is>
          <t>FLAT</t>
        </is>
      </c>
      <c r="R54" s="177" t="inlineStr">
        <is>
          <t>NO</t>
        </is>
      </c>
      <c r="S54" s="176" t="n">
        <v>-1</v>
      </c>
      <c r="T54" s="197" t="n">
        <v>0.006723</v>
      </c>
      <c r="U54" s="185" t="inlineStr">
        <is>
          <t>w=[0.80,0.20,0,0] thr=(+0.20,-0.10), deployed default promoted 2026-08-18 (PSR=0.964, permutation p=0.0002 at N=233, restricted search - see blend.py)</t>
        </is>
      </c>
      <c r="V54" s="152" t="inlineStr">
        <is>
          <t>FROZEN</t>
        </is>
      </c>
      <c r="W54" s="152" t="inlineStr">
        <is>
          <t>earnings calendar, seconded independently (section C)</t>
        </is>
      </c>
      <c r="X54" s="152" t="inlineStr">
        <is>
          <t>LULU</t>
        </is>
      </c>
      <c r="Y54" s="152" t="inlineStr">
        <is>
          <t>2026-03-17</t>
        </is>
      </c>
      <c r="Z54" s="152" t="n">
        <v>159.27</v>
      </c>
      <c r="AA54" s="152" t="inlineStr">
        <is>
          <t>2026-03-18</t>
        </is>
      </c>
      <c r="AB54" s="152" t="n">
        <v>158.04</v>
      </c>
      <c r="AC54" s="152" t="n">
        <v>-0.007722803849493157</v>
      </c>
      <c r="AD54" s="152" t="inlineStr">
        <is>
          <t>FLAT</t>
        </is>
      </c>
      <c r="AE54" s="152" t="inlineStr">
        <is>
          <t>NO</t>
        </is>
      </c>
      <c r="AF54" s="152" t="n">
        <v>0.006723</v>
      </c>
      <c r="AG54" s="152">
        <f>IF($A54="","",IFERROR(INDEX(Company_List!$G$3:$G$207,MATCH($A54,Company_List!$A$3:$A$207,0)),"unassigned"))</f>
        <v/>
      </c>
      <c r="AH54" s="152" t="inlineStr">
        <is>
          <t>Phase 2/Lululemon/Q4 2025 Earnings Call Transcript.pdf</t>
        </is>
      </c>
      <c r="AI54" s="152" t="n"/>
      <c r="AJ54" s="152" t="inlineStr">
        <is>
          <t>unique filename match</t>
        </is>
      </c>
      <c r="AK54" s="152">
        <f>IF($A54="","",IF(COUNTIFS(Human_Data_Entry!$A$3:$A$525,$A54)&gt;0,"YES","NO"))</f>
        <v/>
      </c>
      <c r="AL54" s="152">
        <f>IF($A54="","",IF(AND($C54&amp;"-"&amp;$D54&gt;=Settings!$B$19,$C54&amp;"-"&amp;$D54&lt;=Settings!$B$20),"IN","OUT"))</f>
        <v/>
      </c>
      <c r="AM54" s="152">
        <f>IF(AND(OR($H54="BUY",$H54="SELL"),ISNUMBER($T54)),$T54,"")</f>
        <v/>
      </c>
      <c r="AN54" s="152">
        <f>IF(AND(OR($H54="BUY",$H54="SELL"),ISNUMBER($AF54)),$AF54,"")</f>
        <v/>
      </c>
      <c r="AO54" s="152">
        <f>IF(ISNUMBER($AM54),ABS(IF(ISNUMBER($G54),$G54,0)-Settings!$B$25),"")</f>
        <v/>
      </c>
      <c r="AP54" s="152">
        <f>IF(ISNUMBER($AO54),$AO54*$AM54,"")</f>
        <v/>
      </c>
      <c r="AQ54" s="152">
        <f>IF(ISNUMBER($AN54),ABS(IF(ISNUMBER($G54),$G54,0)-Settings!$B$25),"")</f>
        <v/>
      </c>
      <c r="AR54" s="152">
        <f>IF(ISNUMBER($AQ54),$AQ54*$AN54,"")</f>
        <v/>
      </c>
      <c r="AS54" s="152">
        <f>IF($A54="","",IFERROR(INDEX(Company_List!$H$3:$H$207,MATCH($A54,Company_List!$A$3:$A$207,0)),"unassigned"))</f>
        <v/>
      </c>
      <c r="AT54" s="152" t="inlineStr">
        <is>
          <t>re-read since v1</t>
        </is>
      </c>
      <c r="AU54" s="152" t="inlineStr">
        <is>
          <t>Phase 2/Master_Data_v1.xlsx</t>
        </is>
      </c>
      <c r="AV54" s="152" t="n">
        <v>1</v>
      </c>
      <c r="AW54" s="152" t="inlineStr">
        <is>
          <t>The Motley Fool</t>
        </is>
      </c>
      <c r="AX54" s="152" t="inlineStr">
        <is>
          <t>free to read, copyright asserted</t>
        </is>
      </c>
      <c r="AY54" s="152" t="inlineStr">
        <is>
          <t>no</t>
        </is>
      </c>
      <c r="AZ54" s="152" t="inlineStr">
        <is>
          <t>no</t>
        </is>
      </c>
      <c r="BA54" s="152" t="inlineStr">
        <is>
          <t>YES</t>
        </is>
      </c>
      <c r="BB54" s="152" t="n"/>
    </row>
    <row r="55" ht="15" customHeight="1" s="241">
      <c r="A55" s="191" t="inlineStr">
        <is>
          <t>McDonald's</t>
        </is>
      </c>
      <c r="B55" s="188" t="inlineStr">
        <is>
          <t>MCD</t>
        </is>
      </c>
      <c r="C55" s="176" t="n">
        <v>2026</v>
      </c>
      <c r="D55" s="177" t="inlineStr">
        <is>
          <t>Q1</t>
        </is>
      </c>
      <c r="E55" s="178" t="inlineStr">
        <is>
          <t>Ben/DeepSeek</t>
        </is>
      </c>
      <c r="F55" s="177" t="inlineStr">
        <is>
          <t>LLM</t>
        </is>
      </c>
      <c r="G55" s="196" t="n">
        <v>-0.14</v>
      </c>
      <c r="H55" s="177" t="inlineStr">
        <is>
          <t>SELL</t>
        </is>
      </c>
      <c r="I55" s="196" t="n"/>
      <c r="J55" s="182" t="n">
        <v>46149</v>
      </c>
      <c r="K55" s="182" t="n">
        <v>46148</v>
      </c>
      <c r="L55" s="183" t="n">
        <v>284.1</v>
      </c>
      <c r="M55" s="182" t="n">
        <v>46149</v>
      </c>
      <c r="N55" s="183" t="n">
        <v>287.83</v>
      </c>
      <c r="O55" s="180" t="n">
        <v>0.003727</v>
      </c>
      <c r="P55" s="197" t="n">
        <v>0.013129</v>
      </c>
      <c r="Q55" s="177" t="inlineStr">
        <is>
          <t>FLAT</t>
        </is>
      </c>
      <c r="R55" s="177" t="inlineStr">
        <is>
          <t>NO</t>
        </is>
      </c>
      <c r="S55" s="176" t="n">
        <v>-1</v>
      </c>
      <c r="T55" s="197" t="n">
        <v>-0.014129</v>
      </c>
      <c r="U55" s="185" t="inlineStr">
        <is>
          <t>w=[0.80,0.20,0,0] thr=(+0.20,-0.10), deployed default promoted 2026-08-18 (PSR=0.964, permutation p=0.0002 at N=233, restricted search - see blend.py)</t>
        </is>
      </c>
      <c r="V55" s="152" t="inlineStr">
        <is>
          <t>FROZEN</t>
        </is>
      </c>
      <c r="W55" s="152" t="inlineStr">
        <is>
          <t>release date + stated time</t>
        </is>
      </c>
      <c r="X55" s="152" t="inlineStr">
        <is>
          <t>MCD</t>
        </is>
      </c>
      <c r="Y55" s="152" t="inlineStr">
        <is>
          <t>2026-05-06</t>
        </is>
      </c>
      <c r="Z55" s="152" t="n">
        <v>282.1862</v>
      </c>
      <c r="AA55" s="152" t="inlineStr">
        <is>
          <t>2026-05-07</t>
        </is>
      </c>
      <c r="AB55" s="152" t="n">
        <v>285.891</v>
      </c>
      <c r="AC55" s="152" t="n">
        <v>0.0131290784508832</v>
      </c>
      <c r="AD55" s="152" t="inlineStr">
        <is>
          <t>FLAT</t>
        </is>
      </c>
      <c r="AE55" s="152" t="inlineStr">
        <is>
          <t>NO</t>
        </is>
      </c>
      <c r="AF55" s="152" t="n">
        <v>-0.014129</v>
      </c>
      <c r="AG55" s="152">
        <f>IF($A55="","",IFERROR(INDEX(Company_List!$G$3:$G$207,MATCH($A55,Company_List!$A$3:$A$207,0)),"unassigned"))</f>
        <v/>
      </c>
      <c r="AH55" s="152" t="inlineStr">
        <is>
          <t>Phase 2/McDonald's/Q1 2026- numbers.pdf; Phase 2/McDonald's/Q1 2026 Earnings Transcript.pdf</t>
        </is>
      </c>
      <c r="AI55" s="152" t="n"/>
      <c r="AJ55" s="152" t="inlineStr">
        <is>
          <t>whole bundle (Document = All)</t>
        </is>
      </c>
      <c r="AK55" s="152">
        <f>IF($A55="","",IF(COUNTIFS(Human_Data_Entry!$A$3:$A$525,$A55)&gt;0,"YES","NO"))</f>
        <v/>
      </c>
      <c r="AL55" s="152">
        <f>IF($A55="","",IF(AND($C55&amp;"-"&amp;$D55&gt;=Settings!$B$19,$C55&amp;"-"&amp;$D55&lt;=Settings!$B$20),"IN","OUT"))</f>
        <v/>
      </c>
      <c r="AM55" s="152">
        <f>IF(AND(OR($H55="BUY",$H55="SELL"),ISNUMBER($T55)),$T55,"")</f>
        <v/>
      </c>
      <c r="AN55" s="152">
        <f>IF(AND(OR($H55="BUY",$H55="SELL"),ISNUMBER($AF55)),$AF55,"")</f>
        <v/>
      </c>
      <c r="AO55" s="152">
        <f>IF(ISNUMBER($AM55),ABS(IF(ISNUMBER($G55),$G55,0)-Settings!$B$25),"")</f>
        <v/>
      </c>
      <c r="AP55" s="152">
        <f>IF(ISNUMBER($AO55),$AO55*$AM55,"")</f>
        <v/>
      </c>
      <c r="AQ55" s="152">
        <f>IF(ISNUMBER($AN55),ABS(IF(ISNUMBER($G55),$G55,0)-Settings!$B$25),"")</f>
        <v/>
      </c>
      <c r="AR55" s="152">
        <f>IF(ISNUMBER($AQ55),$AQ55*$AN55,"")</f>
        <v/>
      </c>
      <c r="AS55" s="152">
        <f>IF($A55="","",IFERROR(INDEX(Company_List!$H$3:$H$207,MATCH($A55,Company_List!$A$3:$A$207,0)),"unassigned"))</f>
        <v/>
      </c>
      <c r="AT55" s="152" t="inlineStr">
        <is>
          <t>re-read since v1</t>
        </is>
      </c>
      <c r="AU55" s="152" t="inlineStr">
        <is>
          <t>Phase 2/Master_Data_v1.xlsx</t>
        </is>
      </c>
      <c r="AV55" s="152" t="n">
        <v>2</v>
      </c>
      <c r="AW55" s="152" t="inlineStr">
        <is>
          <t>The Motley Fool</t>
        </is>
      </c>
      <c r="AX55" s="152" t="inlineStr">
        <is>
          <t>free to read, copyright asserted</t>
        </is>
      </c>
      <c r="AY55" s="152" t="inlineStr">
        <is>
          <t>no</t>
        </is>
      </c>
      <c r="AZ55" s="152" t="inlineStr">
        <is>
          <t>no</t>
        </is>
      </c>
      <c r="BA55" s="198" t="inlineStr">
        <is>
          <t>YES</t>
        </is>
      </c>
      <c r="BB55" s="198" t="n"/>
    </row>
    <row r="56" ht="15" customHeight="1" s="241">
      <c r="A56" s="191" t="inlineStr">
        <is>
          <t>McDonald's</t>
        </is>
      </c>
      <c r="B56" s="188" t="inlineStr">
        <is>
          <t>MCD</t>
        </is>
      </c>
      <c r="C56" s="176" t="n">
        <v>2024</v>
      </c>
      <c r="D56" s="177" t="inlineStr">
        <is>
          <t>Q4</t>
        </is>
      </c>
      <c r="E56" s="178" t="inlineStr">
        <is>
          <t>Ben/DeepSeek</t>
        </is>
      </c>
      <c r="F56" s="177" t="inlineStr">
        <is>
          <t>LLM</t>
        </is>
      </c>
      <c r="G56" s="196" t="n">
        <v>-0.1</v>
      </c>
      <c r="H56" s="177" t="inlineStr">
        <is>
          <t>SELL</t>
        </is>
      </c>
      <c r="I56" s="196" t="n"/>
      <c r="J56" s="182" t="n">
        <v>45698</v>
      </c>
      <c r="K56" s="182" t="n">
        <v>45695</v>
      </c>
      <c r="L56" s="183" t="n">
        <v>294.3</v>
      </c>
      <c r="M56" s="182" t="n">
        <v>45698</v>
      </c>
      <c r="N56" s="183" t="n">
        <v>302.27</v>
      </c>
      <c r="O56" s="180" t="n">
        <v>0.005491</v>
      </c>
      <c r="P56" s="197" t="n">
        <v>0.027081</v>
      </c>
      <c r="Q56" s="177" t="inlineStr">
        <is>
          <t>UP</t>
        </is>
      </c>
      <c r="R56" s="177" t="inlineStr">
        <is>
          <t>NO</t>
        </is>
      </c>
      <c r="S56" s="176" t="n">
        <v>-1</v>
      </c>
      <c r="T56" s="197" t="n">
        <v>-0.028081</v>
      </c>
      <c r="U56" s="185" t="inlineStr">
        <is>
          <t>w=[0.80,0.20,0,0] thr=(+0.20,-0.10), deployed default promoted 2026-08-18 (PSR=0.964, permutation p=0.0002 at N=233, restricted search - see blend.py)</t>
        </is>
      </c>
      <c r="V56" s="152" t="inlineStr">
        <is>
          <t>FROZEN</t>
        </is>
      </c>
      <c r="W56" s="152" t="inlineStr">
        <is>
          <t>price signal — only this window shows an abnormal move</t>
        </is>
      </c>
      <c r="X56" s="152" t="inlineStr">
        <is>
          <t>MCD</t>
        </is>
      </c>
      <c r="Y56" s="152" t="inlineStr">
        <is>
          <t>2025-02-07</t>
        </is>
      </c>
      <c r="Z56" s="152" t="n">
        <v>284.0678</v>
      </c>
      <c r="AA56" s="152" t="inlineStr">
        <is>
          <t>2025-02-10</t>
        </is>
      </c>
      <c r="AB56" s="152" t="n">
        <v>291.7607</v>
      </c>
      <c r="AC56" s="152" t="n">
        <v>0.02708116902143613</v>
      </c>
      <c r="AD56" s="152" t="inlineStr">
        <is>
          <t>UP</t>
        </is>
      </c>
      <c r="AE56" s="152" t="inlineStr">
        <is>
          <t>NO</t>
        </is>
      </c>
      <c r="AF56" s="152" t="n">
        <v>-0.028081</v>
      </c>
      <c r="AG56" s="152">
        <f>IF($A56="","",IFERROR(INDEX(Company_List!$G$3:$G$207,MATCH($A56,Company_List!$A$3:$A$207,0)),"unassigned"))</f>
        <v/>
      </c>
      <c r="AH56" s="152" t="inlineStr">
        <is>
          <t>Phase 2/McDonald's/Q4 2024-numbers.pdf; Phase 2/McDonald's/Q4 2024 Earnings Call Transcript.pdf</t>
        </is>
      </c>
      <c r="AI56" s="152" t="n"/>
      <c r="AJ56" s="152" t="inlineStr">
        <is>
          <t>whole bundle (Document = All)</t>
        </is>
      </c>
      <c r="AK56" s="152">
        <f>IF($A56="","",IF(COUNTIFS(Human_Data_Entry!$A$3:$A$525,$A56)&gt;0,"YES","NO"))</f>
        <v/>
      </c>
      <c r="AL56" s="152">
        <f>IF($A56="","",IF(AND($C56&amp;"-"&amp;$D56&gt;=Settings!$B$19,$C56&amp;"-"&amp;$D56&lt;=Settings!$B$20),"IN","OUT"))</f>
        <v/>
      </c>
      <c r="AM56" s="152">
        <f>IF(AND(OR($H56="BUY",$H56="SELL"),ISNUMBER($T56)),$T56,"")</f>
        <v/>
      </c>
      <c r="AN56" s="152">
        <f>IF(AND(OR($H56="BUY",$H56="SELL"),ISNUMBER($AF56)),$AF56,"")</f>
        <v/>
      </c>
      <c r="AO56" s="152">
        <f>IF(ISNUMBER($AM56),ABS(IF(ISNUMBER($G56),$G56,0)-Settings!$B$25),"")</f>
        <v/>
      </c>
      <c r="AP56" s="152">
        <f>IF(ISNUMBER($AO56),$AO56*$AM56,"")</f>
        <v/>
      </c>
      <c r="AQ56" s="152">
        <f>IF(ISNUMBER($AN56),ABS(IF(ISNUMBER($G56),$G56,0)-Settings!$B$25),"")</f>
        <v/>
      </c>
      <c r="AR56" s="152">
        <f>IF(ISNUMBER($AQ56),$AQ56*$AN56,"")</f>
        <v/>
      </c>
      <c r="AS56" s="152">
        <f>IF($A56="","",IFERROR(INDEX(Company_List!$H$3:$H$207,MATCH($A56,Company_List!$A$3:$A$207,0)),"unassigned"))</f>
        <v/>
      </c>
      <c r="AT56" s="152" t="inlineStr">
        <is>
          <t>re-read since v1</t>
        </is>
      </c>
      <c r="AU56" s="152" t="inlineStr">
        <is>
          <t>Phase 2/Master_Data_v1.xlsx</t>
        </is>
      </c>
      <c r="AV56" s="152" t="n">
        <v>2</v>
      </c>
      <c r="AW56" s="152" t="inlineStr">
        <is>
          <t>The Motley Fool</t>
        </is>
      </c>
      <c r="AX56" s="152" t="inlineStr">
        <is>
          <t>free to read, copyright asserted</t>
        </is>
      </c>
      <c r="AY56" s="152" t="inlineStr">
        <is>
          <t>no</t>
        </is>
      </c>
      <c r="AZ56" s="152" t="inlineStr">
        <is>
          <t>no</t>
        </is>
      </c>
      <c r="BA56" s="198" t="inlineStr">
        <is>
          <t>YES</t>
        </is>
      </c>
      <c r="BB56" s="198" t="n"/>
    </row>
    <row r="57" ht="15" customHeight="1" s="241">
      <c r="A57" s="191" t="inlineStr">
        <is>
          <t>McDonald's</t>
        </is>
      </c>
      <c r="B57" s="188" t="inlineStr">
        <is>
          <t>MCD</t>
        </is>
      </c>
      <c r="C57" s="176" t="n">
        <v>2025</v>
      </c>
      <c r="D57" s="177" t="inlineStr">
        <is>
          <t>Q4</t>
        </is>
      </c>
      <c r="E57" s="178" t="inlineStr">
        <is>
          <t>Ben/DeepSeek</t>
        </is>
      </c>
      <c r="F57" s="177" t="inlineStr">
        <is>
          <t>LLM</t>
        </is>
      </c>
      <c r="G57" s="196" t="n">
        <v>0.25</v>
      </c>
      <c r="H57" s="177" t="inlineStr">
        <is>
          <t>BUY</t>
        </is>
      </c>
      <c r="I57" s="196" t="n"/>
      <c r="J57" s="182" t="n">
        <v>46064</v>
      </c>
      <c r="K57" s="182" t="n">
        <v>46063</v>
      </c>
      <c r="L57" s="183" t="n">
        <v>325.97</v>
      </c>
      <c r="M57" s="182" t="n">
        <v>46064</v>
      </c>
      <c r="N57" s="183" t="n">
        <v>323.58</v>
      </c>
      <c r="O57" s="180" t="n">
        <v>0.004915</v>
      </c>
      <c r="P57" s="197" t="n">
        <v>-0.007332</v>
      </c>
      <c r="Q57" s="177" t="inlineStr">
        <is>
          <t>FLAT</t>
        </is>
      </c>
      <c r="R57" s="177" t="inlineStr">
        <is>
          <t>NO</t>
        </is>
      </c>
      <c r="S57" s="176" t="n">
        <v>1</v>
      </c>
      <c r="T57" s="197" t="n">
        <v>-0.008332000000000001</v>
      </c>
      <c r="U57" s="185" t="inlineStr">
        <is>
          <t>w=[0.80,0.20,0,0] thr=(+0.20,-0.10), deployed default promoted 2026-08-18 (PSR=0.964, permutation p=0.0002 at N=233, restricted search - see blend.py)</t>
        </is>
      </c>
      <c r="V57" s="152" t="inlineStr">
        <is>
          <t>FROZEN</t>
        </is>
      </c>
      <c r="W57" s="152" t="inlineStr">
        <is>
          <t>EDGAR acceptance timestamp on the Item 2.02 8-K</t>
        </is>
      </c>
      <c r="X57" s="152" t="inlineStr">
        <is>
          <t>MCD</t>
        </is>
      </c>
      <c r="Y57" s="152" t="inlineStr">
        <is>
          <t>2026-02-11</t>
        </is>
      </c>
      <c r="Z57" s="152" t="n">
        <v>319.2493</v>
      </c>
      <c r="AA57" s="152" t="inlineStr">
        <is>
          <t>2026-02-12</t>
        </is>
      </c>
      <c r="AB57" s="152" t="n">
        <v>325.7882</v>
      </c>
      <c r="AC57" s="152" t="n">
        <v>0.02048199993826937</v>
      </c>
      <c r="AD57" s="152" t="inlineStr">
        <is>
          <t>UP</t>
        </is>
      </c>
      <c r="AE57" s="152" t="inlineStr">
        <is>
          <t>NO</t>
        </is>
      </c>
      <c r="AF57" s="152" t="n">
        <v>0</v>
      </c>
      <c r="AG57" s="152">
        <f>IF($A57="","",IFERROR(INDEX(Company_List!$G$3:$G$207,MATCH($A57,Company_List!$A$3:$A$207,0)),"unassigned"))</f>
        <v/>
      </c>
      <c r="AH57" s="152" t="inlineStr">
        <is>
          <t>Phase 2/McDonald's/Q4 2025 Earnings Call Transcript.pdf; Phase 2/McDonald's/Q4 2025 - numbers.pdf</t>
        </is>
      </c>
      <c r="AI57" s="152" t="n"/>
      <c r="AJ57" s="152" t="inlineStr">
        <is>
          <t>whole bundle (Document = All)</t>
        </is>
      </c>
      <c r="AK57" s="152">
        <f>IF($A57="","",IF(COUNTIFS(Human_Data_Entry!$A$3:$A$525,$A57)&gt;0,"YES","NO"))</f>
        <v/>
      </c>
      <c r="AL57" s="152">
        <f>IF($A57="","",IF(AND($C57&amp;"-"&amp;$D57&gt;=Settings!$B$19,$C57&amp;"-"&amp;$D57&lt;=Settings!$B$20),"IN","OUT"))</f>
        <v/>
      </c>
      <c r="AM57" s="152">
        <f>IF(AND(OR($H57="BUY",$H57="SELL"),ISNUMBER($T57)),$T57,"")</f>
        <v/>
      </c>
      <c r="AN57" s="152">
        <f>IF(AND(OR($H57="BUY",$H57="SELL"),ISNUMBER($AF57)),$AF57,"")</f>
        <v/>
      </c>
      <c r="AO57" s="152">
        <f>IF(ISNUMBER($AM57),ABS(IF(ISNUMBER($G57),$G57,0)-Settings!$B$25),"")</f>
        <v/>
      </c>
      <c r="AP57" s="152">
        <f>IF(ISNUMBER($AO57),$AO57*$AM57,"")</f>
        <v/>
      </c>
      <c r="AQ57" s="152">
        <f>IF(ISNUMBER($AN57),ABS(IF(ISNUMBER($G57),$G57,0)-Settings!$B$25),"")</f>
        <v/>
      </c>
      <c r="AR57" s="152">
        <f>IF(ISNUMBER($AQ57),$AQ57*$AN57,"")</f>
        <v/>
      </c>
      <c r="AS57" s="152">
        <f>IF($A57="","",IFERROR(INDEX(Company_List!$H$3:$H$207,MATCH($A57,Company_List!$A$3:$A$207,0)),"unassigned"))</f>
        <v/>
      </c>
      <c r="AT57" s="152" t="inlineStr">
        <is>
          <t>re-read since v1</t>
        </is>
      </c>
      <c r="AU57" s="152" t="inlineStr">
        <is>
          <t>Phase 2/Master_Data_v1.xlsx</t>
        </is>
      </c>
      <c r="AV57" s="152" t="n">
        <v>2</v>
      </c>
      <c r="AW57" s="152" t="inlineStr">
        <is>
          <t>The Motley Fool</t>
        </is>
      </c>
      <c r="AX57" s="152" t="inlineStr">
        <is>
          <t>free to read, copyright asserted</t>
        </is>
      </c>
      <c r="AY57" s="152" t="inlineStr">
        <is>
          <t>no</t>
        </is>
      </c>
      <c r="AZ57" s="152" t="inlineStr">
        <is>
          <t>no</t>
        </is>
      </c>
      <c r="BA57" s="198" t="inlineStr">
        <is>
          <t>YES</t>
        </is>
      </c>
      <c r="BB57" s="198" t="n"/>
    </row>
    <row r="58" ht="15" customHeight="1" s="241">
      <c r="A58" s="191" t="inlineStr">
        <is>
          <t>Meta</t>
        </is>
      </c>
      <c r="B58" s="188" t="inlineStr">
        <is>
          <t>META</t>
        </is>
      </c>
      <c r="C58" s="176" t="n">
        <v>2026</v>
      </c>
      <c r="D58" s="177" t="inlineStr">
        <is>
          <t>Q1</t>
        </is>
      </c>
      <c r="E58" s="178" t="inlineStr">
        <is>
          <t>Ben/DeepSeek</t>
        </is>
      </c>
      <c r="F58" s="177" t="inlineStr">
        <is>
          <t>LLM</t>
        </is>
      </c>
      <c r="G58" s="196" t="n">
        <v>-0.46</v>
      </c>
      <c r="H58" s="177" t="inlineStr">
        <is>
          <t>SELL</t>
        </is>
      </c>
      <c r="I58" s="196" t="n"/>
      <c r="J58" s="182" t="n">
        <v>46141</v>
      </c>
      <c r="K58" s="182" t="n">
        <v>46141</v>
      </c>
      <c r="L58" s="183" t="n">
        <v>669.12</v>
      </c>
      <c r="M58" s="182" t="n">
        <v>46142</v>
      </c>
      <c r="N58" s="183" t="n">
        <v>619.3200000000001</v>
      </c>
      <c r="O58" s="180" t="n">
        <v>0.006727</v>
      </c>
      <c r="P58" s="197" t="n">
        <v>-0.07442599999999999</v>
      </c>
      <c r="Q58" s="177" t="inlineStr">
        <is>
          <t>DOWN</t>
        </is>
      </c>
      <c r="R58" s="177" t="inlineStr">
        <is>
          <t>YES</t>
        </is>
      </c>
      <c r="S58" s="176" t="n">
        <v>-1</v>
      </c>
      <c r="T58" s="197" t="n">
        <v>0.07342600000000001</v>
      </c>
      <c r="U58" s="185" t="inlineStr">
        <is>
          <t>w=[0.80,0.20,0,0] thr=(+0.20,-0.10), deployed default promoted 2026-08-18 (PSR=0.964, permutation p=0.0002 at N=233, restricted search - see blend.py)</t>
        </is>
      </c>
      <c r="V58" s="152" t="inlineStr">
        <is>
          <t>FROZEN</t>
        </is>
      </c>
      <c r="W58" s="152" t="inlineStr">
        <is>
          <t>release date + stated time in the document (rater worksheet)</t>
        </is>
      </c>
      <c r="X58" s="152" t="inlineStr">
        <is>
          <t>META</t>
        </is>
      </c>
      <c r="Y58" s="152" t="inlineStr">
        <is>
          <t>2026-04-29</t>
        </is>
      </c>
      <c r="Z58" s="152" t="n">
        <v>668.5004</v>
      </c>
      <c r="AA58" s="152" t="inlineStr">
        <is>
          <t>2026-04-30</t>
        </is>
      </c>
      <c r="AB58" s="152" t="n">
        <v>618.7465999999999</v>
      </c>
      <c r="AC58" s="152" t="n">
        <v>-0.07442608591111155</v>
      </c>
      <c r="AD58" s="152" t="inlineStr">
        <is>
          <t>DOWN</t>
        </is>
      </c>
      <c r="AE58" s="152" t="inlineStr">
        <is>
          <t>YES</t>
        </is>
      </c>
      <c r="AF58" s="152" t="n">
        <v>0.07342600000000001</v>
      </c>
      <c r="AG58" s="152">
        <f>IF($A58="","",IFERROR(INDEX(Company_List!$G$3:$G$207,MATCH($A58,Company_List!$A$3:$A$207,0)),"unassigned"))</f>
        <v/>
      </c>
      <c r="AH58" s="152" t="inlineStr">
        <is>
          <t>Phase 2/META/2026-Q1/META-2026-Q1-press-release-SEC-EX-99-1.htm</t>
        </is>
      </c>
      <c r="AI58" s="152" t="inlineStr">
        <is>
          <t>https://www.sec.gov/Archives/edgar/data/1326801/000162828026028364/meta-03312026xexhibit991.htm</t>
        </is>
      </c>
      <c r="AJ58" s="152" t="inlineStr">
        <is>
          <t>manifest</t>
        </is>
      </c>
      <c r="AK58" s="152">
        <f>IF($A58="","",IF(COUNTIFS(Human_Data_Entry!$A$3:$A$525,$A58)&gt;0,"YES","NO"))</f>
        <v/>
      </c>
      <c r="AL58" s="152">
        <f>IF($A58="","",IF(AND($C58&amp;"-"&amp;$D58&gt;=Settings!$B$19,$C58&amp;"-"&amp;$D58&lt;=Settings!$B$20),"IN","OUT"))</f>
        <v/>
      </c>
      <c r="AM58" s="152">
        <f>IF(AND(OR($H58="BUY",$H58="SELL"),ISNUMBER($T58)),$T58,"")</f>
        <v/>
      </c>
      <c r="AN58" s="152">
        <f>IF(AND(OR($H58="BUY",$H58="SELL"),ISNUMBER($AF58)),$AF58,"")</f>
        <v/>
      </c>
      <c r="AO58" s="152">
        <f>IF(ISNUMBER($AM58),ABS(IF(ISNUMBER($G58),$G58,0)-Settings!$B$25),"")</f>
        <v/>
      </c>
      <c r="AP58" s="152">
        <f>IF(ISNUMBER($AO58),$AO58*$AM58,"")</f>
        <v/>
      </c>
      <c r="AQ58" s="152">
        <f>IF(ISNUMBER($AN58),ABS(IF(ISNUMBER($G58),$G58,0)-Settings!$B$25),"")</f>
        <v/>
      </c>
      <c r="AR58" s="152">
        <f>IF(ISNUMBER($AQ58),$AQ58*$AN58,"")</f>
        <v/>
      </c>
      <c r="AS58" s="152">
        <f>IF($A58="","",IFERROR(INDEX(Company_List!$H$3:$H$207,MATCH($A58,Company_List!$A$3:$A$207,0)),"unassigned"))</f>
        <v/>
      </c>
      <c r="AT58" s="152" t="inlineStr">
        <is>
          <t>re-read since v1</t>
        </is>
      </c>
      <c r="AU58" s="152" t="inlineStr">
        <is>
          <t>Phase 2/Master_Data_v1.xlsx</t>
        </is>
      </c>
      <c r="AV58" s="152" t="n">
        <v>1</v>
      </c>
      <c r="AW58" s="152" t="inlineStr">
        <is>
          <t>not publisher-identified</t>
        </is>
      </c>
      <c r="AX58" s="152" t="inlineStr">
        <is>
          <t>not publisher-identified</t>
        </is>
      </c>
      <c r="AY58" s="152" t="inlineStr">
        <is>
          <t>no</t>
        </is>
      </c>
      <c r="AZ58" s="152" t="inlineStr">
        <is>
          <t>yes</t>
        </is>
      </c>
      <c r="BA58" s="198" t="inlineStr">
        <is>
          <t>NO</t>
        </is>
      </c>
      <c r="BB58" s="198" t="inlineStr">
        <is>
          <t>worksheet contamination</t>
        </is>
      </c>
    </row>
    <row r="59" ht="15" customHeight="1" s="241">
      <c r="A59" s="191" t="inlineStr">
        <is>
          <t>Meta</t>
        </is>
      </c>
      <c r="B59" s="188" t="inlineStr">
        <is>
          <t>META</t>
        </is>
      </c>
      <c r="C59" s="176" t="n">
        <v>2025</v>
      </c>
      <c r="D59" s="177" t="inlineStr">
        <is>
          <t>Q3</t>
        </is>
      </c>
      <c r="E59" s="178" t="inlineStr">
        <is>
          <t>Ben/DeepSeek</t>
        </is>
      </c>
      <c r="F59" s="177" t="inlineStr">
        <is>
          <t>LLM</t>
        </is>
      </c>
      <c r="G59" s="196" t="n">
        <v>-0.3</v>
      </c>
      <c r="H59" s="177" t="inlineStr">
        <is>
          <t>SELL</t>
        </is>
      </c>
      <c r="I59" s="196" t="n"/>
      <c r="J59" s="182" t="n">
        <v>45959</v>
      </c>
      <c r="K59" s="182" t="n">
        <v>45959</v>
      </c>
      <c r="L59" s="183" t="n">
        <v>751.67</v>
      </c>
      <c r="M59" s="182" t="n">
        <v>45960</v>
      </c>
      <c r="N59" s="183" t="n">
        <v>669.15</v>
      </c>
      <c r="O59" s="180" t="n">
        <v>0.006683</v>
      </c>
      <c r="P59" s="197" t="n">
        <v>-0.109782</v>
      </c>
      <c r="Q59" s="177" t="inlineStr">
        <is>
          <t>DOWN</t>
        </is>
      </c>
      <c r="R59" s="177" t="inlineStr">
        <is>
          <t>YES</t>
        </is>
      </c>
      <c r="S59" s="176" t="n">
        <v>-1</v>
      </c>
      <c r="T59" s="197" t="n">
        <v>0.108782</v>
      </c>
      <c r="U59" s="185" t="inlineStr">
        <is>
          <t>w=[0.80,0.20,0,0] thr=(+0.20,-0.10), deployed default promoted 2026-08-18 (PSR=0.964, permutation p=0.0002 at N=233, restricted search - see blend.py)</t>
        </is>
      </c>
      <c r="V59" s="152" t="inlineStr">
        <is>
          <t>FROZEN</t>
        </is>
      </c>
      <c r="W59" s="152" t="inlineStr">
        <is>
          <t>release date + stated time in the document (rater worksheet)</t>
        </is>
      </c>
      <c r="X59" s="152" t="inlineStr">
        <is>
          <t>META</t>
        </is>
      </c>
      <c r="Y59" s="152" t="inlineStr">
        <is>
          <t>2025-10-29</t>
        </is>
      </c>
      <c r="Z59" s="152" t="n">
        <v>749.7201</v>
      </c>
      <c r="AA59" s="152" t="inlineStr">
        <is>
          <t>2025-10-30</t>
        </is>
      </c>
      <c r="AB59" s="152" t="n">
        <v>667.4142000000001</v>
      </c>
      <c r="AC59" s="152" t="n">
        <v>-0.1097821761251839</v>
      </c>
      <c r="AD59" s="152" t="inlineStr">
        <is>
          <t>DOWN</t>
        </is>
      </c>
      <c r="AE59" s="152" t="inlineStr">
        <is>
          <t>YES</t>
        </is>
      </c>
      <c r="AF59" s="152" t="n">
        <v>0.108782</v>
      </c>
      <c r="AG59" s="152">
        <f>IF($A59="","",IFERROR(INDEX(Company_List!$G$3:$G$207,MATCH($A59,Company_List!$A$3:$A$207,0)),"unassigned"))</f>
        <v/>
      </c>
      <c r="AH59" s="152" t="inlineStr">
        <is>
          <t>Phase 2/META/2025-Q3/META-2025-Q3-press-release-SEC-EX-99-1.htm</t>
        </is>
      </c>
      <c r="AI59" s="152" t="inlineStr">
        <is>
          <t>https://www.sec.gov/Archives/edgar/data/1326801/000162828025047114/meta-09302025xexhibit991.htm</t>
        </is>
      </c>
      <c r="AJ59" s="152" t="inlineStr">
        <is>
          <t>manifest</t>
        </is>
      </c>
      <c r="AK59" s="152">
        <f>IF($A59="","",IF(COUNTIFS(Human_Data_Entry!$A$3:$A$525,$A59)&gt;0,"YES","NO"))</f>
        <v/>
      </c>
      <c r="AL59" s="152">
        <f>IF($A59="","",IF(AND($C59&amp;"-"&amp;$D59&gt;=Settings!$B$19,$C59&amp;"-"&amp;$D59&lt;=Settings!$B$20),"IN","OUT"))</f>
        <v/>
      </c>
      <c r="AM59" s="152">
        <f>IF(AND(OR($H59="BUY",$H59="SELL"),ISNUMBER($T59)),$T59,"")</f>
        <v/>
      </c>
      <c r="AN59" s="152">
        <f>IF(AND(OR($H59="BUY",$H59="SELL"),ISNUMBER($AF59)),$AF59,"")</f>
        <v/>
      </c>
      <c r="AO59" s="152">
        <f>IF(ISNUMBER($AM59),ABS(IF(ISNUMBER($G59),$G59,0)-Settings!$B$25),"")</f>
        <v/>
      </c>
      <c r="AP59" s="152">
        <f>IF(ISNUMBER($AO59),$AO59*$AM59,"")</f>
        <v/>
      </c>
      <c r="AQ59" s="152">
        <f>IF(ISNUMBER($AN59),ABS(IF(ISNUMBER($G59),$G59,0)-Settings!$B$25),"")</f>
        <v/>
      </c>
      <c r="AR59" s="152">
        <f>IF(ISNUMBER($AQ59),$AQ59*$AN59,"")</f>
        <v/>
      </c>
      <c r="AS59" s="152">
        <f>IF($A59="","",IFERROR(INDEX(Company_List!$H$3:$H$207,MATCH($A59,Company_List!$A$3:$A$207,0)),"unassigned"))</f>
        <v/>
      </c>
      <c r="AT59" s="152" t="inlineStr">
        <is>
          <t>re-read since v1</t>
        </is>
      </c>
      <c r="AU59" s="152" t="inlineStr">
        <is>
          <t>Phase 2/Master_Data_v1.xlsx</t>
        </is>
      </c>
      <c r="AV59" s="152" t="n">
        <v>1</v>
      </c>
      <c r="AW59" s="152" t="inlineStr">
        <is>
          <t>not publisher-identified</t>
        </is>
      </c>
      <c r="AX59" s="152" t="inlineStr">
        <is>
          <t>not publisher-identified</t>
        </is>
      </c>
      <c r="AY59" s="152" t="inlineStr">
        <is>
          <t>no</t>
        </is>
      </c>
      <c r="AZ59" s="152" t="inlineStr">
        <is>
          <t>yes</t>
        </is>
      </c>
      <c r="BA59" s="152" t="inlineStr">
        <is>
          <t>NO</t>
        </is>
      </c>
      <c r="BB59" s="152" t="inlineStr">
        <is>
          <t>worksheet contamination</t>
        </is>
      </c>
    </row>
    <row r="60" ht="15" customHeight="1" s="241">
      <c r="A60" s="191" t="inlineStr">
        <is>
          <t>Meta</t>
        </is>
      </c>
      <c r="B60" s="188" t="inlineStr">
        <is>
          <t>META</t>
        </is>
      </c>
      <c r="C60" s="176" t="n">
        <v>2025</v>
      </c>
      <c r="D60" s="177" t="inlineStr">
        <is>
          <t>Q4</t>
        </is>
      </c>
      <c r="E60" s="178" t="inlineStr">
        <is>
          <t>Ben/DeepSeek</t>
        </is>
      </c>
      <c r="F60" s="177" t="inlineStr">
        <is>
          <t>LLM</t>
        </is>
      </c>
      <c r="G60" s="196" t="n">
        <v>0.45</v>
      </c>
      <c r="H60" s="177" t="inlineStr">
        <is>
          <t>BUY</t>
        </is>
      </c>
      <c r="I60" s="196" t="n"/>
      <c r="J60" s="182" t="n">
        <v>46050</v>
      </c>
      <c r="K60" s="182" t="n">
        <v>46050</v>
      </c>
      <c r="L60" s="183" t="n">
        <v>668.73</v>
      </c>
      <c r="M60" s="182" t="n">
        <v>46051</v>
      </c>
      <c r="N60" s="183" t="n">
        <v>737.4299999999999</v>
      </c>
      <c r="O60" s="180" t="n">
        <v>0.006905</v>
      </c>
      <c r="P60" s="197" t="n">
        <v>0.102732</v>
      </c>
      <c r="Q60" s="177" t="inlineStr">
        <is>
          <t>UP</t>
        </is>
      </c>
      <c r="R60" s="177" t="inlineStr">
        <is>
          <t>YES</t>
        </is>
      </c>
      <c r="S60" s="176" t="n">
        <v>1</v>
      </c>
      <c r="T60" s="197" t="n">
        <v>0.101732</v>
      </c>
      <c r="U60" s="185" t="inlineStr">
        <is>
          <t>w=[0.80,0.20,0,0] thr=(+0.20,-0.10), deployed default promoted 2026-08-18 (PSR=0.964, permutation p=0.0002 at N=233, restricted search - see blend.py)</t>
        </is>
      </c>
      <c r="V60" s="152" t="inlineStr">
        <is>
          <t>FROZEN</t>
        </is>
      </c>
      <c r="W60" s="152" t="inlineStr">
        <is>
          <t>release date + stated time in the document (rater worksheet)</t>
        </is>
      </c>
      <c r="X60" s="152" t="inlineStr">
        <is>
          <t>META</t>
        </is>
      </c>
      <c r="Y60" s="152" t="inlineStr">
        <is>
          <t>2026-01-28</t>
        </is>
      </c>
      <c r="Z60" s="152" t="n">
        <v>667.5392000000001</v>
      </c>
      <c r="AA60" s="152" t="inlineStr">
        <is>
          <t>2026-01-29</t>
        </is>
      </c>
      <c r="AB60" s="152" t="n">
        <v>736.1169</v>
      </c>
      <c r="AC60" s="152" t="n">
        <v>0.102732153378451</v>
      </c>
      <c r="AD60" s="152" t="inlineStr">
        <is>
          <t>UP</t>
        </is>
      </c>
      <c r="AE60" s="152" t="inlineStr">
        <is>
          <t>YES</t>
        </is>
      </c>
      <c r="AF60" s="152" t="n">
        <v>0.101732</v>
      </c>
      <c r="AG60" s="152">
        <f>IF($A60="","",IFERROR(INDEX(Company_List!$G$3:$G$207,MATCH($A60,Company_List!$A$3:$A$207,0)),"unassigned"))</f>
        <v/>
      </c>
      <c r="AH60" s="152" t="inlineStr">
        <is>
          <t>Phase 2/META/2025-Q4/META-2025-Q4-press-release-SEC-EX-99-1.htm</t>
        </is>
      </c>
      <c r="AI60" s="152" t="inlineStr">
        <is>
          <t>https://www.sec.gov/Archives/edgar/data/1326801/000162828026003832/meta-12312025xexhibit991.htm</t>
        </is>
      </c>
      <c r="AJ60" s="152" t="inlineStr">
        <is>
          <t>manifest</t>
        </is>
      </c>
      <c r="AK60" s="152">
        <f>IF($A60="","",IF(COUNTIFS(Human_Data_Entry!$A$3:$A$525,$A60)&gt;0,"YES","NO"))</f>
        <v/>
      </c>
      <c r="AL60" s="152">
        <f>IF($A60="","",IF(AND($C60&amp;"-"&amp;$D60&gt;=Settings!$B$19,$C60&amp;"-"&amp;$D60&lt;=Settings!$B$20),"IN","OUT"))</f>
        <v/>
      </c>
      <c r="AM60" s="152">
        <f>IF(AND(OR($H60="BUY",$H60="SELL"),ISNUMBER($T60)),$T60,"")</f>
        <v/>
      </c>
      <c r="AN60" s="152">
        <f>IF(AND(OR($H60="BUY",$H60="SELL"),ISNUMBER($AF60)),$AF60,"")</f>
        <v/>
      </c>
      <c r="AO60" s="152">
        <f>IF(ISNUMBER($AM60),ABS(IF(ISNUMBER($G60),$G60,0)-Settings!$B$25),"")</f>
        <v/>
      </c>
      <c r="AP60" s="152">
        <f>IF(ISNUMBER($AO60),$AO60*$AM60,"")</f>
        <v/>
      </c>
      <c r="AQ60" s="152">
        <f>IF(ISNUMBER($AN60),ABS(IF(ISNUMBER($G60),$G60,0)-Settings!$B$25),"")</f>
        <v/>
      </c>
      <c r="AR60" s="152">
        <f>IF(ISNUMBER($AQ60),$AQ60*$AN60,"")</f>
        <v/>
      </c>
      <c r="AS60" s="152">
        <f>IF($A60="","",IFERROR(INDEX(Company_List!$H$3:$H$207,MATCH($A60,Company_List!$A$3:$A$207,0)),"unassigned"))</f>
        <v/>
      </c>
      <c r="AT60" s="152" t="inlineStr">
        <is>
          <t>re-read since v1</t>
        </is>
      </c>
      <c r="AU60" s="152" t="inlineStr">
        <is>
          <t>Phase 2/Master_Data_v1.xlsx</t>
        </is>
      </c>
      <c r="AV60" s="152" t="n">
        <v>1</v>
      </c>
      <c r="AW60" s="152" t="inlineStr">
        <is>
          <t>not publisher-identified</t>
        </is>
      </c>
      <c r="AX60" s="152" t="inlineStr">
        <is>
          <t>not publisher-identified</t>
        </is>
      </c>
      <c r="AY60" s="152" t="inlineStr">
        <is>
          <t>no</t>
        </is>
      </c>
      <c r="AZ60" s="152" t="inlineStr">
        <is>
          <t>yes</t>
        </is>
      </c>
      <c r="BA60" s="152" t="inlineStr">
        <is>
          <t>NO</t>
        </is>
      </c>
      <c r="BB60" s="152" t="inlineStr">
        <is>
          <t>worksheet contamination</t>
        </is>
      </c>
    </row>
    <row r="61" ht="15" customHeight="1" s="241">
      <c r="A61" s="191" t="inlineStr">
        <is>
          <t>Nike</t>
        </is>
      </c>
      <c r="B61" s="188" t="inlineStr">
        <is>
          <t>NKE</t>
        </is>
      </c>
      <c r="C61" s="176" t="n">
        <v>2025</v>
      </c>
      <c r="D61" s="177" t="inlineStr">
        <is>
          <t>Q1</t>
        </is>
      </c>
      <c r="E61" s="178" t="inlineStr">
        <is>
          <t>Ben/DeepSeek</t>
        </is>
      </c>
      <c r="F61" s="177" t="inlineStr">
        <is>
          <t>LLM</t>
        </is>
      </c>
      <c r="G61" s="196" t="n">
        <v>-0.5</v>
      </c>
      <c r="H61" s="177" t="inlineStr">
        <is>
          <t>SELL</t>
        </is>
      </c>
      <c r="I61" s="196" t="n"/>
      <c r="J61" s="182" t="n">
        <v>45566</v>
      </c>
      <c r="K61" s="182" t="n">
        <v>45566</v>
      </c>
      <c r="L61" s="183" t="n">
        <v>89.13</v>
      </c>
      <c r="M61" s="182" t="n">
        <v>45567</v>
      </c>
      <c r="N61" s="183" t="n">
        <v>82.89</v>
      </c>
      <c r="O61" s="180" t="n">
        <v>0.003236</v>
      </c>
      <c r="P61" s="197" t="n">
        <v>-0.07001</v>
      </c>
      <c r="Q61" s="177" t="inlineStr">
        <is>
          <t>DOWN</t>
        </is>
      </c>
      <c r="R61" s="177" t="inlineStr">
        <is>
          <t>YES</t>
        </is>
      </c>
      <c r="S61" s="176" t="n">
        <v>-1</v>
      </c>
      <c r="T61" s="197" t="n">
        <v>0.06901</v>
      </c>
      <c r="U61" s="185" t="inlineStr">
        <is>
          <t>w=[0.80,0.20,0,0] thr=(+0.20,-0.10), deployed default promoted 2026-08-18 (PSR=0.964, permutation p=0.0002 at N=233, restricted search - see blend.py)</t>
        </is>
      </c>
      <c r="V61" s="152" t="inlineStr">
        <is>
          <t>FROZEN</t>
        </is>
      </c>
      <c r="W61" s="152" t="inlineStr">
        <is>
          <t>price signal — only this window shows an abnormal move</t>
        </is>
      </c>
      <c r="X61" s="152" t="inlineStr">
        <is>
          <t>NKE</t>
        </is>
      </c>
      <c r="Y61" s="152" t="inlineStr">
        <is>
          <t>2024-10-01</t>
        </is>
      </c>
      <c r="Z61" s="152" t="n">
        <v>85.3074</v>
      </c>
      <c r="AA61" s="152" t="inlineStr">
        <is>
          <t>2024-10-02</t>
        </is>
      </c>
      <c r="AB61" s="152" t="n">
        <v>79.33499999999999</v>
      </c>
      <c r="AC61" s="152" t="n">
        <v>-0.07001015486395322</v>
      </c>
      <c r="AD61" s="152" t="inlineStr">
        <is>
          <t>DOWN</t>
        </is>
      </c>
      <c r="AE61" s="152" t="inlineStr">
        <is>
          <t>YES</t>
        </is>
      </c>
      <c r="AF61" s="152" t="n">
        <v>0.06901</v>
      </c>
      <c r="AG61" s="152">
        <f>IF($A61="","",IFERROR(INDEX(Company_List!$G$3:$G$207,MATCH($A61,Company_List!$A$3:$A$207,0)),"unassigned"))</f>
        <v/>
      </c>
      <c r="AH61" s="152" t="inlineStr">
        <is>
          <t>Phase 2/Nike/Q1 2025 Earnings Call Transcript.pdf; Phase 2/Nike/Q1 2025 - numbers.pdf</t>
        </is>
      </c>
      <c r="AI61" s="152" t="n"/>
      <c r="AJ61" s="152" t="inlineStr">
        <is>
          <t>whole bundle (Document = All)</t>
        </is>
      </c>
      <c r="AK61" s="152">
        <f>IF($A61="","",IF(COUNTIFS(Human_Data_Entry!$A$3:$A$525,$A61)&gt;0,"YES","NO"))</f>
        <v/>
      </c>
      <c r="AL61" s="152">
        <f>IF($A61="","",IF(AND($C61&amp;"-"&amp;$D61&gt;=Settings!$B$19,$C61&amp;"-"&amp;$D61&lt;=Settings!$B$20),"IN","OUT"))</f>
        <v/>
      </c>
      <c r="AM61" s="152">
        <f>IF(AND(OR($H61="BUY",$H61="SELL"),ISNUMBER($T61)),$T61,"")</f>
        <v/>
      </c>
      <c r="AN61" s="152">
        <f>IF(AND(OR($H61="BUY",$H61="SELL"),ISNUMBER($AF61)),$AF61,"")</f>
        <v/>
      </c>
      <c r="AO61" s="152">
        <f>IF(ISNUMBER($AM61),ABS(IF(ISNUMBER($G61),$G61,0)-Settings!$B$25),"")</f>
        <v/>
      </c>
      <c r="AP61" s="152">
        <f>IF(ISNUMBER($AO61),$AO61*$AM61,"")</f>
        <v/>
      </c>
      <c r="AQ61" s="152">
        <f>IF(ISNUMBER($AN61),ABS(IF(ISNUMBER($G61),$G61,0)-Settings!$B$25),"")</f>
        <v/>
      </c>
      <c r="AR61" s="152">
        <f>IF(ISNUMBER($AQ61),$AQ61*$AN61,"")</f>
        <v/>
      </c>
      <c r="AS61" s="152">
        <f>IF($A61="","",IFERROR(INDEX(Company_List!$H$3:$H$207,MATCH($A61,Company_List!$A$3:$A$207,0)),"unassigned"))</f>
        <v/>
      </c>
      <c r="AT61" s="152" t="inlineStr">
        <is>
          <t>re-read since v1</t>
        </is>
      </c>
      <c r="AU61" s="152" t="inlineStr">
        <is>
          <t>Phase 2/Master_Data_v1.xlsx</t>
        </is>
      </c>
      <c r="AV61" s="152" t="n">
        <v>2</v>
      </c>
      <c r="AW61" s="152" t="inlineStr">
        <is>
          <t>The Motley Fool</t>
        </is>
      </c>
      <c r="AX61" s="152" t="inlineStr">
        <is>
          <t>free to read, copyright asserted</t>
        </is>
      </c>
      <c r="AY61" s="152" t="inlineStr">
        <is>
          <t>no</t>
        </is>
      </c>
      <c r="AZ61" s="152" t="inlineStr">
        <is>
          <t>no</t>
        </is>
      </c>
      <c r="BA61" s="152" t="inlineStr">
        <is>
          <t>YES</t>
        </is>
      </c>
      <c r="BB61" s="152" t="n"/>
    </row>
    <row r="62" ht="15" customHeight="1" s="241">
      <c r="A62" s="191" t="inlineStr">
        <is>
          <t>Nike</t>
        </is>
      </c>
      <c r="B62" s="188" t="inlineStr">
        <is>
          <t>NKE</t>
        </is>
      </c>
      <c r="C62" s="176" t="n">
        <v>2025</v>
      </c>
      <c r="D62" s="177" t="inlineStr">
        <is>
          <t>Q2</t>
        </is>
      </c>
      <c r="E62" s="178" t="inlineStr">
        <is>
          <t>Ben/DeepSeek</t>
        </is>
      </c>
      <c r="F62" s="177" t="inlineStr">
        <is>
          <t>LLM</t>
        </is>
      </c>
      <c r="G62" s="196" t="n">
        <v>-0.5</v>
      </c>
      <c r="H62" s="177" t="inlineStr">
        <is>
          <t>SELL</t>
        </is>
      </c>
      <c r="I62" s="196" t="n"/>
      <c r="J62" s="182" t="n">
        <v>45645</v>
      </c>
      <c r="K62" s="182" t="n">
        <v>45645</v>
      </c>
      <c r="L62" s="183" t="n">
        <v>77.09999999999999</v>
      </c>
      <c r="M62" s="182" t="n">
        <v>45646</v>
      </c>
      <c r="N62" s="183" t="n">
        <v>75.95999999999999</v>
      </c>
      <c r="O62" s="180" t="n">
        <v>0.003382</v>
      </c>
      <c r="P62" s="197" t="n">
        <v>-0.014786</v>
      </c>
      <c r="Q62" s="177" t="inlineStr">
        <is>
          <t>FLAT</t>
        </is>
      </c>
      <c r="R62" s="177" t="inlineStr">
        <is>
          <t>NO</t>
        </is>
      </c>
      <c r="S62" s="176" t="n">
        <v>-1</v>
      </c>
      <c r="T62" s="197" t="n">
        <v>0.013786</v>
      </c>
      <c r="U62" s="185" t="inlineStr">
        <is>
          <t>w=[0.80,0.20,0,0] thr=(+0.20,-0.10), deployed default promoted 2026-08-18 (PSR=0.964, permutation p=0.0002 at N=233, restricted search - see blend.py)</t>
        </is>
      </c>
      <c r="V62" s="152" t="inlineStr">
        <is>
          <t>FROZEN</t>
        </is>
      </c>
      <c r="W62" s="152" t="inlineStr">
        <is>
          <t>earnings calendar, seconded independently</t>
        </is>
      </c>
      <c r="X62" s="152" t="inlineStr">
        <is>
          <t>NKE</t>
        </is>
      </c>
      <c r="Y62" s="152" t="inlineStr">
        <is>
          <t>2024-12-19</t>
        </is>
      </c>
      <c r="Z62" s="152" t="n">
        <v>74.17</v>
      </c>
      <c r="AA62" s="152" t="inlineStr">
        <is>
          <t>2024-12-20</t>
        </is>
      </c>
      <c r="AB62" s="152" t="n">
        <v>73.0733</v>
      </c>
      <c r="AC62" s="152" t="n">
        <v>-0.014786076089275</v>
      </c>
      <c r="AD62" s="152" t="inlineStr">
        <is>
          <t>FLAT</t>
        </is>
      </c>
      <c r="AE62" s="152" t="inlineStr">
        <is>
          <t>NO</t>
        </is>
      </c>
      <c r="AF62" s="152" t="n">
        <v>0.013786</v>
      </c>
      <c r="AG62" s="152">
        <f>IF($A62="","",IFERROR(INDEX(Company_List!$G$3:$G$207,MATCH($A62,Company_List!$A$3:$A$207,0)),"unassigned"))</f>
        <v/>
      </c>
      <c r="AH62" s="152" t="inlineStr">
        <is>
          <t>Phase 2/Nike/Q2 2025 Earnings Call Transcript.pdf; Phase 2/Nike/Q2 2025 - numbers.pdf</t>
        </is>
      </c>
      <c r="AI62" s="152" t="n"/>
      <c r="AJ62" s="152" t="inlineStr">
        <is>
          <t>whole bundle (Document = All)</t>
        </is>
      </c>
      <c r="AK62" s="152">
        <f>IF($A62="","",IF(COUNTIFS(Human_Data_Entry!$A$3:$A$525,$A62)&gt;0,"YES","NO"))</f>
        <v/>
      </c>
      <c r="AL62" s="152">
        <f>IF($A62="","",IF(AND($C62&amp;"-"&amp;$D62&gt;=Settings!$B$19,$C62&amp;"-"&amp;$D62&lt;=Settings!$B$20),"IN","OUT"))</f>
        <v/>
      </c>
      <c r="AM62" s="152">
        <f>IF(AND(OR($H62="BUY",$H62="SELL"),ISNUMBER($T62)),$T62,"")</f>
        <v/>
      </c>
      <c r="AN62" s="152">
        <f>IF(AND(OR($H62="BUY",$H62="SELL"),ISNUMBER($AF62)),$AF62,"")</f>
        <v/>
      </c>
      <c r="AO62" s="152">
        <f>IF(ISNUMBER($AM62),ABS(IF(ISNUMBER($G62),$G62,0)-Settings!$B$25),"")</f>
        <v/>
      </c>
      <c r="AP62" s="152">
        <f>IF(ISNUMBER($AO62),$AO62*$AM62,"")</f>
        <v/>
      </c>
      <c r="AQ62" s="152">
        <f>IF(ISNUMBER($AN62),ABS(IF(ISNUMBER($G62),$G62,0)-Settings!$B$25),"")</f>
        <v/>
      </c>
      <c r="AR62" s="152">
        <f>IF(ISNUMBER($AQ62),$AQ62*$AN62,"")</f>
        <v/>
      </c>
      <c r="AS62" s="152">
        <f>IF($A62="","",IFERROR(INDEX(Company_List!$H$3:$H$207,MATCH($A62,Company_List!$A$3:$A$207,0)),"unassigned"))</f>
        <v/>
      </c>
      <c r="AT62" s="152" t="inlineStr">
        <is>
          <t>re-read since v1</t>
        </is>
      </c>
      <c r="AU62" s="152" t="inlineStr">
        <is>
          <t>Phase 2/Master_Data_v1.xlsx</t>
        </is>
      </c>
      <c r="AV62" s="152" t="n">
        <v>2</v>
      </c>
      <c r="AW62" s="152" t="inlineStr">
        <is>
          <t>The Motley Fool</t>
        </is>
      </c>
      <c r="AX62" s="152" t="inlineStr">
        <is>
          <t>free to read, copyright asserted</t>
        </is>
      </c>
      <c r="AY62" s="152" t="inlineStr">
        <is>
          <t>no</t>
        </is>
      </c>
      <c r="AZ62" s="152" t="inlineStr">
        <is>
          <t>no</t>
        </is>
      </c>
      <c r="BA62" s="198" t="inlineStr">
        <is>
          <t>YES</t>
        </is>
      </c>
      <c r="BB62" s="198" t="n"/>
    </row>
    <row r="63" ht="15" customHeight="1" s="241">
      <c r="A63" s="191" t="inlineStr">
        <is>
          <t>Nike</t>
        </is>
      </c>
      <c r="B63" s="188" t="inlineStr">
        <is>
          <t>NKE</t>
        </is>
      </c>
      <c r="C63" s="176" t="n">
        <v>2025</v>
      </c>
      <c r="D63" s="177" t="inlineStr">
        <is>
          <t>Q3</t>
        </is>
      </c>
      <c r="E63" s="178" t="inlineStr">
        <is>
          <t>Ben/DeepSeek</t>
        </is>
      </c>
      <c r="F63" s="177" t="inlineStr">
        <is>
          <t>LLM</t>
        </is>
      </c>
      <c r="G63" s="196" t="n">
        <v>-0.4</v>
      </c>
      <c r="H63" s="177" t="inlineStr">
        <is>
          <t>SELL</t>
        </is>
      </c>
      <c r="I63" s="196" t="n"/>
      <c r="J63" s="182" t="n">
        <v>45736</v>
      </c>
      <c r="K63" s="182" t="n">
        <v>45736</v>
      </c>
      <c r="L63" s="183" t="n">
        <v>71.86</v>
      </c>
      <c r="M63" s="182" t="n">
        <v>45737</v>
      </c>
      <c r="N63" s="183" t="n">
        <v>66.59</v>
      </c>
      <c r="O63" s="180" t="n">
        <v>0.003508</v>
      </c>
      <c r="P63" s="197" t="n">
        <v>-0.073337</v>
      </c>
      <c r="Q63" s="177" t="inlineStr">
        <is>
          <t>DOWN</t>
        </is>
      </c>
      <c r="R63" s="177" t="inlineStr">
        <is>
          <t>YES</t>
        </is>
      </c>
      <c r="S63" s="176" t="n">
        <v>-1</v>
      </c>
      <c r="T63" s="197" t="n">
        <v>0.072337</v>
      </c>
      <c r="U63" s="185" t="inlineStr">
        <is>
          <t>w=[0.80,0.20,0,0] thr=(+0.20,-0.10), deployed default promoted 2026-08-18 (PSR=0.964, permutation p=0.0002 at N=233, restricted search - see blend.py)</t>
        </is>
      </c>
      <c r="V63" s="152" t="inlineStr">
        <is>
          <t>FROZEN</t>
        </is>
      </c>
      <c r="W63" s="152" t="inlineStr">
        <is>
          <t>price signal — only this window shows an abnormal move</t>
        </is>
      </c>
      <c r="X63" s="152" t="inlineStr">
        <is>
          <t>NKE</t>
        </is>
      </c>
      <c r="Y63" s="152" t="inlineStr">
        <is>
          <t>2025-03-20</t>
        </is>
      </c>
      <c r="Z63" s="152" t="n">
        <v>69.479</v>
      </c>
      <c r="AA63" s="152" t="inlineStr">
        <is>
          <t>2025-03-21</t>
        </is>
      </c>
      <c r="AB63" s="152" t="n">
        <v>64.3836</v>
      </c>
      <c r="AC63" s="152" t="n">
        <v>-0.0733371094135996</v>
      </c>
      <c r="AD63" s="152" t="inlineStr">
        <is>
          <t>DOWN</t>
        </is>
      </c>
      <c r="AE63" s="152" t="inlineStr">
        <is>
          <t>YES</t>
        </is>
      </c>
      <c r="AF63" s="152" t="n">
        <v>0.072337</v>
      </c>
      <c r="AG63" s="152">
        <f>IF($A63="","",IFERROR(INDEX(Company_List!$G$3:$G$207,MATCH($A63,Company_List!$A$3:$A$207,0)),"unassigned"))</f>
        <v/>
      </c>
      <c r="AH63" s="152" t="inlineStr">
        <is>
          <t>Phase 2/Nike/Q3 2025 Earnings Call Transcript.pdf; Phase 2/Nike/Q3 2025 - numbers.pdf</t>
        </is>
      </c>
      <c r="AI63" s="152" t="n"/>
      <c r="AJ63" s="152" t="inlineStr">
        <is>
          <t>whole bundle (Document = All)</t>
        </is>
      </c>
      <c r="AK63" s="152">
        <f>IF($A63="","",IF(COUNTIFS(Human_Data_Entry!$A$3:$A$525,$A63)&gt;0,"YES","NO"))</f>
        <v/>
      </c>
      <c r="AL63" s="152">
        <f>IF($A63="","",IF(AND($C63&amp;"-"&amp;$D63&gt;=Settings!$B$19,$C63&amp;"-"&amp;$D63&lt;=Settings!$B$20),"IN","OUT"))</f>
        <v/>
      </c>
      <c r="AM63" s="152">
        <f>IF(AND(OR($H63="BUY",$H63="SELL"),ISNUMBER($T63)),$T63,"")</f>
        <v/>
      </c>
      <c r="AN63" s="152">
        <f>IF(AND(OR($H63="BUY",$H63="SELL"),ISNUMBER($AF63)),$AF63,"")</f>
        <v/>
      </c>
      <c r="AO63" s="152">
        <f>IF(ISNUMBER($AM63),ABS(IF(ISNUMBER($G63),$G63,0)-Settings!$B$25),"")</f>
        <v/>
      </c>
      <c r="AP63" s="152">
        <f>IF(ISNUMBER($AO63),$AO63*$AM63,"")</f>
        <v/>
      </c>
      <c r="AQ63" s="152">
        <f>IF(ISNUMBER($AN63),ABS(IF(ISNUMBER($G63),$G63,0)-Settings!$B$25),"")</f>
        <v/>
      </c>
      <c r="AR63" s="152">
        <f>IF(ISNUMBER($AQ63),$AQ63*$AN63,"")</f>
        <v/>
      </c>
      <c r="AS63" s="152">
        <f>IF($A63="","",IFERROR(INDEX(Company_List!$H$3:$H$207,MATCH($A63,Company_List!$A$3:$A$207,0)),"unassigned"))</f>
        <v/>
      </c>
      <c r="AT63" s="152" t="inlineStr">
        <is>
          <t>re-read since v1</t>
        </is>
      </c>
      <c r="AU63" s="152" t="inlineStr">
        <is>
          <t>Phase 2/Master_Data_v1.xlsx</t>
        </is>
      </c>
      <c r="AV63" s="152" t="n">
        <v>2</v>
      </c>
      <c r="AW63" s="152" t="inlineStr">
        <is>
          <t>The Motley Fool</t>
        </is>
      </c>
      <c r="AX63" s="152" t="inlineStr">
        <is>
          <t>free to read, copyright asserted</t>
        </is>
      </c>
      <c r="AY63" s="152" t="inlineStr">
        <is>
          <t>no</t>
        </is>
      </c>
      <c r="AZ63" s="152" t="inlineStr">
        <is>
          <t>no</t>
        </is>
      </c>
      <c r="BA63" s="198" t="inlineStr">
        <is>
          <t>YES</t>
        </is>
      </c>
      <c r="BB63" s="198" t="n"/>
    </row>
    <row r="64" ht="15" customHeight="1" s="241">
      <c r="A64" s="191" t="inlineStr">
        <is>
          <t>Nvidia</t>
        </is>
      </c>
      <c r="B64" s="188" t="inlineStr">
        <is>
          <t>NVDA</t>
        </is>
      </c>
      <c r="C64" s="176" t="n">
        <v>2025</v>
      </c>
      <c r="D64" s="177" t="inlineStr">
        <is>
          <t>Q1</t>
        </is>
      </c>
      <c r="E64" s="178" t="inlineStr">
        <is>
          <t>Ben/DeepSeek</t>
        </is>
      </c>
      <c r="F64" s="177" t="inlineStr">
        <is>
          <t>LLM</t>
        </is>
      </c>
      <c r="G64" s="196" t="n">
        <v>-0.4</v>
      </c>
      <c r="H64" s="177" t="inlineStr">
        <is>
          <t>SELL</t>
        </is>
      </c>
      <c r="I64" s="196" t="n"/>
      <c r="J64" s="182" t="n">
        <v>45714</v>
      </c>
      <c r="K64" s="182" t="n">
        <v>45714</v>
      </c>
      <c r="L64" s="183" t="n">
        <v>131.28</v>
      </c>
      <c r="M64" s="182" t="n">
        <v>45715</v>
      </c>
      <c r="N64" s="183" t="n">
        <v>135</v>
      </c>
      <c r="O64" s="180" t="n">
        <v>0.003276</v>
      </c>
      <c r="P64" s="197" t="n">
        <v>0.028336</v>
      </c>
      <c r="Q64" s="177" t="inlineStr">
        <is>
          <t>UP</t>
        </is>
      </c>
      <c r="R64" s="177" t="inlineStr">
        <is>
          <t>NO</t>
        </is>
      </c>
      <c r="S64" s="176" t="n">
        <v>-1</v>
      </c>
      <c r="T64" s="197" t="n">
        <v>-0.029336</v>
      </c>
      <c r="U64" s="185" t="inlineStr">
        <is>
          <t>w=[0.80,0.20,0,0] thr=(+0.20,-0.10), deployed default promoted 2026-08-18 (PSR=0.964, permutation p=0.0002 at N=233, restricted search - see blend.py)</t>
        </is>
      </c>
      <c r="V64" s="152" t="inlineStr">
        <is>
          <t>FROZEN</t>
        </is>
      </c>
      <c r="W64" s="152" t="inlineStr">
        <is>
          <t>release date + stated time in the document (rater worksheet)</t>
        </is>
      </c>
      <c r="X64" s="152" t="inlineStr">
        <is>
          <t>NVDA</t>
        </is>
      </c>
      <c r="Y64" s="152" t="inlineStr">
        <is>
          <t>2025-02-26</t>
        </is>
      </c>
      <c r="Z64" s="152" t="n">
        <v>131.0842</v>
      </c>
      <c r="AA64" s="152" t="inlineStr">
        <is>
          <t>2025-02-27</t>
        </is>
      </c>
      <c r="AB64" s="152" t="n">
        <v>134.7987</v>
      </c>
      <c r="AC64" s="152" t="n">
        <v>0.0283364750524236</v>
      </c>
      <c r="AD64" s="152" t="inlineStr">
        <is>
          <t>UP</t>
        </is>
      </c>
      <c r="AE64" s="152" t="inlineStr">
        <is>
          <t>NO</t>
        </is>
      </c>
      <c r="AF64" s="152" t="n">
        <v>-0.029336</v>
      </c>
      <c r="AG64" s="152">
        <f>IF($A64="","",IFERROR(INDEX(Company_List!$G$3:$G$207,MATCH($A64,Company_List!$A$3:$A$207,0)),"unassigned"))</f>
        <v/>
      </c>
      <c r="AH64" s="152" t="inlineStr">
        <is>
          <t>Phase 2/Nvidia/Q2 2025/NVDA-Q1FY26-press-release-SEC-EX99-1.htm; Phase 2/Nvidia/Q2 2025/NVDA-Q1FY26-earnings-call-transcript-AlphaStreet.html; Phase 2/Nvidia/Q2 2025/NVDA-Q1FY26-CFO-commentary-SEC-EX99-2.htm; Phase 2/Nvidia/Q1 2025/NVDA-Q4FY25-press-release-SEC-EX99-1.htm; Phase 2/Nvidia/Q1 2025/NVDA-Q4FY25-earnings-call-transcript-MotleyFool.html; Phase 2/Nvidia/Q1 2025/NVDA-Q4FY25-CFO-commentary-SEC-EX99-2.htm</t>
        </is>
      </c>
      <c r="AI64" s="152" t="n"/>
      <c r="AJ64" s="152" t="inlineStr">
        <is>
          <t>whole bundle (Document = All)</t>
        </is>
      </c>
      <c r="AK64" s="152">
        <f>IF($A64="","",IF(COUNTIFS(Human_Data_Entry!$A$3:$A$525,$A64)&gt;0,"YES","NO"))</f>
        <v/>
      </c>
      <c r="AL64" s="152">
        <f>IF($A64="","",IF(AND($C64&amp;"-"&amp;$D64&gt;=Settings!$B$19,$C64&amp;"-"&amp;$D64&lt;=Settings!$B$20),"IN","OUT"))</f>
        <v/>
      </c>
      <c r="AM64" s="152">
        <f>IF(AND(OR($H64="BUY",$H64="SELL"),ISNUMBER($T64)),$T64,"")</f>
        <v/>
      </c>
      <c r="AN64" s="152">
        <f>IF(AND(OR($H64="BUY",$H64="SELL"),ISNUMBER($AF64)),$AF64,"")</f>
        <v/>
      </c>
      <c r="AO64" s="152">
        <f>IF(ISNUMBER($AM64),ABS(IF(ISNUMBER($G64),$G64,0)-Settings!$B$25),"")</f>
        <v/>
      </c>
      <c r="AP64" s="152">
        <f>IF(ISNUMBER($AO64),$AO64*$AM64,"")</f>
        <v/>
      </c>
      <c r="AQ64" s="152">
        <f>IF(ISNUMBER($AN64),ABS(IF(ISNUMBER($G64),$G64,0)-Settings!$B$25),"")</f>
        <v/>
      </c>
      <c r="AR64" s="152">
        <f>IF(ISNUMBER($AQ64),$AQ64*$AN64,"")</f>
        <v/>
      </c>
      <c r="AS64" s="152">
        <f>IF($A64="","",IFERROR(INDEX(Company_List!$H$3:$H$207,MATCH($A64,Company_List!$A$3:$A$207,0)),"unassigned"))</f>
        <v/>
      </c>
      <c r="AT64" s="152" t="inlineStr">
        <is>
          <t>re-read since v1</t>
        </is>
      </c>
      <c r="AU64" s="152" t="inlineStr">
        <is>
          <t>Phase 2/Master_Data_v1.xlsx</t>
        </is>
      </c>
      <c r="AV64" s="152" t="n">
        <v>6</v>
      </c>
      <c r="AW64" s="152" t="inlineStr">
        <is>
          <t>The Motley Fool</t>
        </is>
      </c>
      <c r="AX64" s="152" t="inlineStr">
        <is>
          <t>free to read, copyright asserted</t>
        </is>
      </c>
      <c r="AY64" s="152" t="inlineStr">
        <is>
          <t>no</t>
        </is>
      </c>
      <c r="AZ64" s="152" t="inlineStr">
        <is>
          <t>yes</t>
        </is>
      </c>
      <c r="BA64" s="198" t="inlineStr">
        <is>
          <t>NO</t>
        </is>
      </c>
      <c r="BB64" s="198" t="inlineStr">
        <is>
          <t>worksheet contamination</t>
        </is>
      </c>
    </row>
    <row r="65" ht="15" customHeight="1" s="241">
      <c r="A65" s="191" t="inlineStr">
        <is>
          <t>Nvidia</t>
        </is>
      </c>
      <c r="B65" s="188" t="inlineStr">
        <is>
          <t>NVDA</t>
        </is>
      </c>
      <c r="C65" s="176" t="n">
        <v>2025</v>
      </c>
      <c r="D65" s="177" t="inlineStr">
        <is>
          <t>Q2</t>
        </is>
      </c>
      <c r="E65" s="178" t="inlineStr">
        <is>
          <t>Ben/DeepSeek</t>
        </is>
      </c>
      <c r="F65" s="177" t="inlineStr">
        <is>
          <t>LLM</t>
        </is>
      </c>
      <c r="G65" s="196" t="n">
        <v>0.18</v>
      </c>
      <c r="H65" s="177" t="inlineStr">
        <is>
          <t>HOLD</t>
        </is>
      </c>
      <c r="I65" s="196" t="n"/>
      <c r="J65" s="182" t="n">
        <v>45805</v>
      </c>
      <c r="K65" s="182" t="n">
        <v>45805</v>
      </c>
      <c r="L65" s="183" t="n">
        <v>134.81</v>
      </c>
      <c r="M65" s="182" t="n">
        <v>45806</v>
      </c>
      <c r="N65" s="183" t="n">
        <v>142.25</v>
      </c>
      <c r="O65" s="180" t="n">
        <v>0.003677</v>
      </c>
      <c r="P65" s="197" t="n">
        <v>0.055189</v>
      </c>
      <c r="Q65" s="177" t="inlineStr">
        <is>
          <t>UP</t>
        </is>
      </c>
      <c r="R65" s="177" t="inlineStr">
        <is>
          <t>NO</t>
        </is>
      </c>
      <c r="S65" s="176" t="n">
        <v>0</v>
      </c>
      <c r="T65" s="197" t="n">
        <v>0</v>
      </c>
      <c r="U65" s="185" t="inlineStr">
        <is>
          <t>w=[0.80,0.20,0,0] thr=(+0.20,-0.10), deployed default promoted 2026-08-18 (PSR=0.964, permutation p=0.0002 at N=233, restricted search - see blend.py)</t>
        </is>
      </c>
      <c r="V65" s="152" t="inlineStr">
        <is>
          <t>FROZEN</t>
        </is>
      </c>
      <c r="W65" s="152" t="inlineStr">
        <is>
          <t>release date + stated time in the document (rater worksheet)</t>
        </is>
      </c>
      <c r="X65" s="152" t="inlineStr">
        <is>
          <t>NVDA</t>
        </is>
      </c>
      <c r="Y65" s="152" t="inlineStr">
        <is>
          <t>2025-05-28</t>
        </is>
      </c>
      <c r="Z65" s="152" t="n">
        <v>134.6213</v>
      </c>
      <c r="AA65" s="152" t="inlineStr">
        <is>
          <t>2025-05-29</t>
        </is>
      </c>
      <c r="AB65" s="152" t="n">
        <v>142.0509</v>
      </c>
      <c r="AC65" s="152" t="n">
        <v>0.05518877406876717</v>
      </c>
      <c r="AD65" s="152" t="inlineStr">
        <is>
          <t>UP</t>
        </is>
      </c>
      <c r="AE65" s="152" t="inlineStr">
        <is>
          <t>NO</t>
        </is>
      </c>
      <c r="AF65" s="152" t="n">
        <v>0</v>
      </c>
      <c r="AG65" s="152">
        <f>IF($A65="","",IFERROR(INDEX(Company_List!$G$3:$G$207,MATCH($A65,Company_List!$A$3:$A$207,0)),"unassigned"))</f>
        <v/>
      </c>
      <c r="AH65" s="152" t="inlineStr">
        <is>
          <t>Phase 2/Nvidia/Q3 2025/NVDA-Q2FY26-press-release-SEC-EX99-1.htm; Phase 2/Nvidia/Q3 2025/NVDA-Q2FY26-earnings-call-transcript-AlphaStreet.html; Phase 2/Nvidia/Q3 2025/NVDA-Q2FY26-CFO-commentary-SEC-EX99-2.htm; Phase 2/Nvidia/Q2 2025/NVDA-Q1FY26-press-release-SEC-EX99-1.htm; Phase 2/Nvidia/Q2 2025/NVDA-Q1FY26-earnings-call-transcript-AlphaStreet.html; Phase 2/Nvidia/Q2 2025/NVDA-Q1FY26-CFO-commentary-SEC-EX99-2.htm</t>
        </is>
      </c>
      <c r="AI65" s="152" t="n"/>
      <c r="AJ65" s="152" t="inlineStr">
        <is>
          <t>whole bundle (Document = All)</t>
        </is>
      </c>
      <c r="AK65" s="152">
        <f>IF($A65="","",IF(COUNTIFS(Human_Data_Entry!$A$3:$A$525,$A65)&gt;0,"YES","NO"))</f>
        <v/>
      </c>
      <c r="AL65" s="152">
        <f>IF($A65="","",IF(AND($C65&amp;"-"&amp;$D65&gt;=Settings!$B$19,$C65&amp;"-"&amp;$D65&lt;=Settings!$B$20),"IN","OUT"))</f>
        <v/>
      </c>
      <c r="AM65" s="152">
        <f>IF(AND(OR($H65="BUY",$H65="SELL"),ISNUMBER($T65)),$T65,"")</f>
        <v/>
      </c>
      <c r="AN65" s="152">
        <f>IF(AND(OR($H65="BUY",$H65="SELL"),ISNUMBER($AF65)),$AF65,"")</f>
        <v/>
      </c>
      <c r="AO65" s="152">
        <f>IF(ISNUMBER($AM65),ABS(IF(ISNUMBER($G65),$G65,0)-Settings!$B$25),"")</f>
        <v/>
      </c>
      <c r="AP65" s="152">
        <f>IF(ISNUMBER($AO65),$AO65*$AM65,"")</f>
        <v/>
      </c>
      <c r="AQ65" s="152">
        <f>IF(ISNUMBER($AN65),ABS(IF(ISNUMBER($G65),$G65,0)-Settings!$B$25),"")</f>
        <v/>
      </c>
      <c r="AR65" s="152">
        <f>IF(ISNUMBER($AQ65),$AQ65*$AN65,"")</f>
        <v/>
      </c>
      <c r="AS65" s="152">
        <f>IF($A65="","",IFERROR(INDEX(Company_List!$H$3:$H$207,MATCH($A65,Company_List!$A$3:$A$207,0)),"unassigned"))</f>
        <v/>
      </c>
      <c r="AT65" s="152" t="inlineStr">
        <is>
          <t>re-read since v1</t>
        </is>
      </c>
      <c r="AU65" s="152" t="inlineStr">
        <is>
          <t>Phase 2/Master_Data_v1.xlsx</t>
        </is>
      </c>
      <c r="AV65" s="152" t="n">
        <v>6</v>
      </c>
      <c r="AW65" s="152" t="inlineStr">
        <is>
          <t>not publisher-identified</t>
        </is>
      </c>
      <c r="AX65" s="152" t="inlineStr">
        <is>
          <t>not publisher-identified</t>
        </is>
      </c>
      <c r="AY65" s="152" t="inlineStr">
        <is>
          <t>no</t>
        </is>
      </c>
      <c r="AZ65" s="152" t="inlineStr">
        <is>
          <t>yes</t>
        </is>
      </c>
      <c r="BA65" s="152" t="inlineStr">
        <is>
          <t>NO</t>
        </is>
      </c>
      <c r="BB65" s="152" t="inlineStr">
        <is>
          <t>worksheet contamination</t>
        </is>
      </c>
    </row>
    <row r="66" ht="15" customHeight="1" s="241">
      <c r="A66" s="191" t="inlineStr">
        <is>
          <t>Nvidia</t>
        </is>
      </c>
      <c r="B66" s="188" t="inlineStr">
        <is>
          <t>NVDA</t>
        </is>
      </c>
      <c r="C66" s="176" t="n">
        <v>2025</v>
      </c>
      <c r="D66" s="177" t="inlineStr">
        <is>
          <t>Q3</t>
        </is>
      </c>
      <c r="E66" s="178" t="inlineStr">
        <is>
          <t>Ben/DeepSeek</t>
        </is>
      </c>
      <c r="F66" s="177" t="inlineStr">
        <is>
          <t>LLM</t>
        </is>
      </c>
      <c r="G66" s="196" t="n">
        <v>0.48</v>
      </c>
      <c r="H66" s="177" t="inlineStr">
        <is>
          <t>BUY</t>
        </is>
      </c>
      <c r="I66" s="196" t="n"/>
      <c r="J66" s="182" t="n">
        <v>45896</v>
      </c>
      <c r="K66" s="182" t="n">
        <v>45896</v>
      </c>
      <c r="L66" s="183" t="n">
        <v>181.6</v>
      </c>
      <c r="M66" s="182" t="n">
        <v>45897</v>
      </c>
      <c r="N66" s="183" t="n">
        <v>180.82</v>
      </c>
      <c r="O66" s="180" t="n">
        <v>0.004084</v>
      </c>
      <c r="P66" s="197" t="n">
        <v>-0.004295</v>
      </c>
      <c r="Q66" s="177" t="inlineStr">
        <is>
          <t>FLAT</t>
        </is>
      </c>
      <c r="R66" s="177" t="inlineStr">
        <is>
          <t>NO</t>
        </is>
      </c>
      <c r="S66" s="176" t="n">
        <v>1</v>
      </c>
      <c r="T66" s="197" t="n">
        <v>-0.005295</v>
      </c>
      <c r="U66" s="185" t="inlineStr">
        <is>
          <t>w=[0.80,0.20,0,0] thr=(+0.20,-0.10), deployed default promoted 2026-08-18 (PSR=0.964, permutation p=0.0002 at N=233, restricted search - see blend.py)</t>
        </is>
      </c>
      <c r="V66" s="152" t="inlineStr">
        <is>
          <t>FROZEN</t>
        </is>
      </c>
      <c r="W66" s="152" t="inlineStr">
        <is>
          <t>release date + stated time in the document (rater worksheet)</t>
        </is>
      </c>
      <c r="X66" s="152" t="inlineStr">
        <is>
          <t>NVDA</t>
        </is>
      </c>
      <c r="Y66" s="152" t="inlineStr">
        <is>
          <t>2025-08-27</t>
        </is>
      </c>
      <c r="Z66" s="152" t="n">
        <v>181.3585</v>
      </c>
      <c r="AA66" s="152" t="inlineStr">
        <is>
          <t>2025-08-28</t>
        </is>
      </c>
      <c r="AB66" s="152" t="n">
        <v>180.5795</v>
      </c>
      <c r="AC66" s="152" t="n">
        <v>-0.004295198674112745</v>
      </c>
      <c r="AD66" s="152" t="inlineStr">
        <is>
          <t>FLAT</t>
        </is>
      </c>
      <c r="AE66" s="152" t="inlineStr">
        <is>
          <t>NO</t>
        </is>
      </c>
      <c r="AF66" s="152" t="n">
        <v>-0.005295</v>
      </c>
      <c r="AG66" s="152">
        <f>IF($A66="","",IFERROR(INDEX(Company_List!$G$3:$G$207,MATCH($A66,Company_List!$A$3:$A$207,0)),"unassigned"))</f>
        <v/>
      </c>
      <c r="AH66" s="152" t="inlineStr">
        <is>
          <t>Phase 2/Nvidia/Q4 2025/NVDA-Q3FY26-press-release-SEC-EX99-1.htm; Phase 2/Nvidia/Q4 2025/NVDA-Q3FY26-earnings-call-transcript-MotleyFool.html; Phase 2/Nvidia/Q4 2025/NVDA-Q3FY26-CFO-commentary-SEC-EX99-2.htm; Phase 2/Nvidia/Q3 2025/NVDA-Q2FY26-press-release-SEC-EX99-1.htm; Phase 2/Nvidia/Q3 2025/NVDA-Q2FY26-earnings-call-transcript-AlphaStreet.html; Phase 2/Nvidia/Q3 2025/NVDA-Q2FY26-CFO-commentary-SEC-EX99-2.htm</t>
        </is>
      </c>
      <c r="AI66" s="152" t="n"/>
      <c r="AJ66" s="152" t="inlineStr">
        <is>
          <t>whole bundle (Document = All)</t>
        </is>
      </c>
      <c r="AK66" s="152">
        <f>IF($A66="","",IF(COUNTIFS(Human_Data_Entry!$A$3:$A$525,$A66)&gt;0,"YES","NO"))</f>
        <v/>
      </c>
      <c r="AL66" s="152">
        <f>IF($A66="","",IF(AND($C66&amp;"-"&amp;$D66&gt;=Settings!$B$19,$C66&amp;"-"&amp;$D66&lt;=Settings!$B$20),"IN","OUT"))</f>
        <v/>
      </c>
      <c r="AM66" s="152">
        <f>IF(AND(OR($H66="BUY",$H66="SELL"),ISNUMBER($T66)),$T66,"")</f>
        <v/>
      </c>
      <c r="AN66" s="152">
        <f>IF(AND(OR($H66="BUY",$H66="SELL"),ISNUMBER($AF66)),$AF66,"")</f>
        <v/>
      </c>
      <c r="AO66" s="152">
        <f>IF(ISNUMBER($AM66),ABS(IF(ISNUMBER($G66),$G66,0)-Settings!$B$25),"")</f>
        <v/>
      </c>
      <c r="AP66" s="152">
        <f>IF(ISNUMBER($AO66),$AO66*$AM66,"")</f>
        <v/>
      </c>
      <c r="AQ66" s="152">
        <f>IF(ISNUMBER($AN66),ABS(IF(ISNUMBER($G66),$G66,0)-Settings!$B$25),"")</f>
        <v/>
      </c>
      <c r="AR66" s="152">
        <f>IF(ISNUMBER($AQ66),$AQ66*$AN66,"")</f>
        <v/>
      </c>
      <c r="AS66" s="152">
        <f>IF($A66="","",IFERROR(INDEX(Company_List!$H$3:$H$207,MATCH($A66,Company_List!$A$3:$A$207,0)),"unassigned"))</f>
        <v/>
      </c>
      <c r="AT66" s="152" t="inlineStr">
        <is>
          <t>re-read since v1</t>
        </is>
      </c>
      <c r="AU66" s="152" t="inlineStr">
        <is>
          <t>Phase 2/Master_Data_v1.xlsx</t>
        </is>
      </c>
      <c r="AV66" s="152" t="n">
        <v>6</v>
      </c>
      <c r="AW66" s="152" t="inlineStr">
        <is>
          <t>The Motley Fool</t>
        </is>
      </c>
      <c r="AX66" s="152" t="inlineStr">
        <is>
          <t>free to read, copyright asserted</t>
        </is>
      </c>
      <c r="AY66" s="152" t="inlineStr">
        <is>
          <t>no</t>
        </is>
      </c>
      <c r="AZ66" s="152" t="inlineStr">
        <is>
          <t>yes</t>
        </is>
      </c>
      <c r="BA66" s="152" t="inlineStr">
        <is>
          <t>NO</t>
        </is>
      </c>
      <c r="BB66" s="152" t="inlineStr">
        <is>
          <t>worksheet contamination</t>
        </is>
      </c>
    </row>
    <row r="67" ht="15" customHeight="1" s="241">
      <c r="A67" s="191" t="inlineStr">
        <is>
          <t>Nvidia</t>
        </is>
      </c>
      <c r="B67" s="188" t="inlineStr">
        <is>
          <t>NVDA</t>
        </is>
      </c>
      <c r="C67" s="176" t="n">
        <v>2025</v>
      </c>
      <c r="D67" s="177" t="inlineStr">
        <is>
          <t>Q4</t>
        </is>
      </c>
      <c r="E67" s="178" t="inlineStr">
        <is>
          <t>Ben/DeepSeek</t>
        </is>
      </c>
      <c r="F67" s="177" t="inlineStr">
        <is>
          <t>LLM</t>
        </is>
      </c>
      <c r="G67" s="196" t="n">
        <v>0.62</v>
      </c>
      <c r="H67" s="177" t="inlineStr">
        <is>
          <t>BUY</t>
        </is>
      </c>
      <c r="I67" s="196" t="n"/>
      <c r="J67" s="182" t="n">
        <v>45980</v>
      </c>
      <c r="K67" s="182" t="n">
        <v>45980</v>
      </c>
      <c r="L67" s="183" t="n">
        <v>186.52</v>
      </c>
      <c r="M67" s="182" t="n">
        <v>45981</v>
      </c>
      <c r="N67" s="183" t="n">
        <v>195.95</v>
      </c>
      <c r="O67" s="180" t="n">
        <v>0.003756</v>
      </c>
      <c r="P67" s="197" t="n">
        <v>0.050558</v>
      </c>
      <c r="Q67" s="177" t="inlineStr">
        <is>
          <t>UP</t>
        </is>
      </c>
      <c r="R67" s="177" t="inlineStr">
        <is>
          <t>YES</t>
        </is>
      </c>
      <c r="S67" s="176" t="n">
        <v>1</v>
      </c>
      <c r="T67" s="197" t="n">
        <v>0.049558</v>
      </c>
      <c r="U67" s="185" t="inlineStr">
        <is>
          <t>w=[0.80,0.20,0,0] thr=(+0.20,-0.10), deployed default promoted 2026-08-18 (PSR=0.964, permutation p=0.0002 at N=233, restricted search - see blend.py)</t>
        </is>
      </c>
      <c r="V67" s="152" t="inlineStr">
        <is>
          <t>FROZEN</t>
        </is>
      </c>
      <c r="W67" s="152" t="inlineStr">
        <is>
          <t>release date + stated time in the document (rater worksheet)</t>
        </is>
      </c>
      <c r="X67" s="152" t="inlineStr">
        <is>
          <t>NVDA</t>
        </is>
      </c>
      <c r="Y67" s="152" t="inlineStr">
        <is>
          <t>2025-11-19</t>
        </is>
      </c>
      <c r="Z67" s="152" t="n">
        <v>186.2824</v>
      </c>
      <c r="AA67" s="152" t="inlineStr">
        <is>
          <t>2025-11-20</t>
        </is>
      </c>
      <c r="AB67" s="152" t="n">
        <v>195.7004</v>
      </c>
      <c r="AC67" s="152" t="n">
        <v>0.0505575533934741</v>
      </c>
      <c r="AD67" s="152" t="inlineStr">
        <is>
          <t>UP</t>
        </is>
      </c>
      <c r="AE67" s="152" t="inlineStr">
        <is>
          <t>YES</t>
        </is>
      </c>
      <c r="AF67" s="152" t="n">
        <v>0.049558</v>
      </c>
      <c r="AG67" s="152">
        <f>IF($A67="","",IFERROR(INDEX(Company_List!$G$3:$G$207,MATCH($A67,Company_List!$A$3:$A$207,0)),"unassigned"))</f>
        <v/>
      </c>
      <c r="AH67" s="152" t="inlineStr">
        <is>
          <t>Phase 2/Nvidia/Q4 2025/NVDA-Q3FY26-press-release-SEC-EX99-1.htm; Phase 2/Nvidia/Q4 2025/NVDA-Q3FY26-earnings-call-transcript-MotleyFool.html; Phase 2/Nvidia/Q4 2025/NVDA-Q3FY26-CFO-commentary-SEC-EX99-2.htm; Phase 2/Nvidia/Q1 2025/NVDA-Q4FY25-press-release-SEC-EX99-1.htm; Phase 2/Nvidia/Q1 2025/NVDA-Q4FY25-earnings-call-transcript-MotleyFool.html; Phase 2/Nvidia/Q1 2025/NVDA-Q4FY25-CFO-commentary-SEC-EX99-2.htm</t>
        </is>
      </c>
      <c r="AI67" s="152" t="n"/>
      <c r="AJ67" s="152" t="inlineStr">
        <is>
          <t>whole bundle (Document = All)</t>
        </is>
      </c>
      <c r="AK67" s="152">
        <f>IF($A67="","",IF(COUNTIFS(Human_Data_Entry!$A$3:$A$525,$A67)&gt;0,"YES","NO"))</f>
        <v/>
      </c>
      <c r="AL67" s="152">
        <f>IF($A67="","",IF(AND($C67&amp;"-"&amp;$D67&gt;=Settings!$B$19,$C67&amp;"-"&amp;$D67&lt;=Settings!$B$20),"IN","OUT"))</f>
        <v/>
      </c>
      <c r="AM67" s="152">
        <f>IF(AND(OR($H67="BUY",$H67="SELL"),ISNUMBER($T67)),$T67,"")</f>
        <v/>
      </c>
      <c r="AN67" s="152">
        <f>IF(AND(OR($H67="BUY",$H67="SELL"),ISNUMBER($AF67)),$AF67,"")</f>
        <v/>
      </c>
      <c r="AO67" s="152">
        <f>IF(ISNUMBER($AM67),ABS(IF(ISNUMBER($G67),$G67,0)-Settings!$B$25),"")</f>
        <v/>
      </c>
      <c r="AP67" s="152">
        <f>IF(ISNUMBER($AO67),$AO67*$AM67,"")</f>
        <v/>
      </c>
      <c r="AQ67" s="152">
        <f>IF(ISNUMBER($AN67),ABS(IF(ISNUMBER($G67),$G67,0)-Settings!$B$25),"")</f>
        <v/>
      </c>
      <c r="AR67" s="152">
        <f>IF(ISNUMBER($AQ67),$AQ67*$AN67,"")</f>
        <v/>
      </c>
      <c r="AS67" s="152">
        <f>IF($A67="","",IFERROR(INDEX(Company_List!$H$3:$H$207,MATCH($A67,Company_List!$A$3:$A$207,0)),"unassigned"))</f>
        <v/>
      </c>
      <c r="AT67" s="152" t="inlineStr">
        <is>
          <t>re-read since v1</t>
        </is>
      </c>
      <c r="AU67" s="152" t="inlineStr">
        <is>
          <t>Phase 2/Master_Data_v1.xlsx</t>
        </is>
      </c>
      <c r="AV67" s="152" t="n">
        <v>6</v>
      </c>
      <c r="AW67" s="152" t="inlineStr">
        <is>
          <t>The Motley Fool</t>
        </is>
      </c>
      <c r="AX67" s="152" t="inlineStr">
        <is>
          <t>free to read, copyright asserted</t>
        </is>
      </c>
      <c r="AY67" s="152" t="inlineStr">
        <is>
          <t>no</t>
        </is>
      </c>
      <c r="AZ67" s="152" t="inlineStr">
        <is>
          <t>yes</t>
        </is>
      </c>
      <c r="BA67" s="152" t="inlineStr">
        <is>
          <t>NO</t>
        </is>
      </c>
      <c r="BB67" s="152" t="inlineStr">
        <is>
          <t>worksheet contamination</t>
        </is>
      </c>
    </row>
    <row r="68" ht="15" customHeight="1" s="241">
      <c r="A68" s="191" t="inlineStr">
        <is>
          <t>Tesla</t>
        </is>
      </c>
      <c r="B68" s="188" t="inlineStr">
        <is>
          <t>TSLA</t>
        </is>
      </c>
      <c r="C68" s="176" t="n">
        <v>2026</v>
      </c>
      <c r="D68" s="177" t="inlineStr">
        <is>
          <t>Q1</t>
        </is>
      </c>
      <c r="E68" s="178" t="inlineStr">
        <is>
          <t>Ben/DeepSeek</t>
        </is>
      </c>
      <c r="F68" s="177" t="inlineStr">
        <is>
          <t>LLM</t>
        </is>
      </c>
      <c r="G68" s="196" t="n">
        <v>0.02</v>
      </c>
      <c r="H68" s="177" t="inlineStr">
        <is>
          <t>HOLD</t>
        </is>
      </c>
      <c r="I68" s="196" t="n"/>
      <c r="J68" s="182" t="n">
        <v>46134</v>
      </c>
      <c r="K68" s="182" t="n">
        <v>46134</v>
      </c>
      <c r="L68" s="183" t="n">
        <v>387.51</v>
      </c>
      <c r="M68" s="182" t="n">
        <v>46135</v>
      </c>
      <c r="N68" s="183" t="n">
        <v>375.28</v>
      </c>
      <c r="O68" s="180" t="n">
        <v>0.005918</v>
      </c>
      <c r="P68" s="197" t="n">
        <v>-0.031561</v>
      </c>
      <c r="Q68" s="177" t="inlineStr">
        <is>
          <t>DOWN</t>
        </is>
      </c>
      <c r="R68" s="177" t="inlineStr">
        <is>
          <t>NO</t>
        </is>
      </c>
      <c r="S68" s="176" t="n">
        <v>0</v>
      </c>
      <c r="T68" s="197" t="n">
        <v>0</v>
      </c>
      <c r="U68" s="185" t="inlineStr">
        <is>
          <t>w=[0.80,0.20,0,0] thr=(+0.20,-0.10), deployed default promoted 2026-08-18 (PSR=0.964, permutation p=0.0002 at N=233, restricted search - see blend.py)</t>
        </is>
      </c>
      <c r="V68" s="152" t="inlineStr">
        <is>
          <t>FROZEN</t>
        </is>
      </c>
      <c r="W68" s="152" t="inlineStr">
        <is>
          <t>release date + stated time in the document (rater worksheet)</t>
        </is>
      </c>
      <c r="X68" s="152" t="inlineStr">
        <is>
          <t>TSLA</t>
        </is>
      </c>
      <c r="Y68" s="152" t="inlineStr">
        <is>
          <t>2026-04-22</t>
        </is>
      </c>
      <c r="Z68" s="152" t="n">
        <v>387.51</v>
      </c>
      <c r="AA68" s="152" t="inlineStr">
        <is>
          <t>2026-04-23</t>
        </is>
      </c>
      <c r="AB68" s="152" t="n">
        <v>375.28</v>
      </c>
      <c r="AC68" s="152" t="n">
        <v>-0.03156050343060827</v>
      </c>
      <c r="AD68" s="152" t="inlineStr">
        <is>
          <t>DOWN</t>
        </is>
      </c>
      <c r="AE68" s="152" t="inlineStr">
        <is>
          <t>YES</t>
        </is>
      </c>
      <c r="AF68" s="152" t="n">
        <v>0.030561</v>
      </c>
      <c r="AG68" s="152">
        <f>IF($A68="","",IFERROR(INDEX(Company_List!$G$3:$G$207,MATCH($A68,Company_List!$A$3:$A$207,0)),"unassigned"))</f>
        <v/>
      </c>
      <c r="AH68" s="152" t="inlineStr">
        <is>
          <t>Phase 2/Tesla/2026-Q1/TSLA-2026-Q1-press-release-SEC-EX-99-1.htm</t>
        </is>
      </c>
      <c r="AI68" s="152" t="inlineStr">
        <is>
          <t>https://www.sec.gov/Archives/edgar/data/1318605/000162828026026551/exhibit991.htm</t>
        </is>
      </c>
      <c r="AJ68" s="152" t="inlineStr">
        <is>
          <t>manifest</t>
        </is>
      </c>
      <c r="AK68" s="152">
        <f>IF($A68="","",IF(COUNTIFS(Human_Data_Entry!$A$3:$A$525,$A68)&gt;0,"YES","NO"))</f>
        <v/>
      </c>
      <c r="AL68" s="152">
        <f>IF($A68="","",IF(AND($C68&amp;"-"&amp;$D68&gt;=Settings!$B$19,$C68&amp;"-"&amp;$D68&lt;=Settings!$B$20),"IN","OUT"))</f>
        <v/>
      </c>
      <c r="AM68" s="152">
        <f>IF(AND(OR($H68="BUY",$H68="SELL"),ISNUMBER($T68)),$T68,"")</f>
        <v/>
      </c>
      <c r="AN68" s="152">
        <f>IF(AND(OR($H68="BUY",$H68="SELL"),ISNUMBER($AF68)),$AF68,"")</f>
        <v/>
      </c>
      <c r="AO68" s="152">
        <f>IF(ISNUMBER($AM68),ABS(IF(ISNUMBER($G68),$G68,0)-Settings!$B$25),"")</f>
        <v/>
      </c>
      <c r="AP68" s="152">
        <f>IF(ISNUMBER($AO68),$AO68*$AM68,"")</f>
        <v/>
      </c>
      <c r="AQ68" s="152">
        <f>IF(ISNUMBER($AN68),ABS(IF(ISNUMBER($G68),$G68,0)-Settings!$B$25),"")</f>
        <v/>
      </c>
      <c r="AR68" s="152">
        <f>IF(ISNUMBER($AQ68),$AQ68*$AN68,"")</f>
        <v/>
      </c>
      <c r="AS68" s="152">
        <f>IF($A68="","",IFERROR(INDEX(Company_List!$H$3:$H$207,MATCH($A68,Company_List!$A$3:$A$207,0)),"unassigned"))</f>
        <v/>
      </c>
      <c r="AT68" s="152" t="inlineStr">
        <is>
          <t>re-read since v1</t>
        </is>
      </c>
      <c r="AU68" s="152" t="inlineStr">
        <is>
          <t>Phase 2/Master_Data_v1.xlsx</t>
        </is>
      </c>
      <c r="AV68" s="152" t="n">
        <v>1</v>
      </c>
      <c r="AW68" s="152" t="inlineStr">
        <is>
          <t>not publisher-identified</t>
        </is>
      </c>
      <c r="AX68" s="152" t="inlineStr">
        <is>
          <t>not publisher-identified</t>
        </is>
      </c>
      <c r="AY68" s="152" t="inlineStr">
        <is>
          <t>no</t>
        </is>
      </c>
      <c r="AZ68" s="152" t="inlineStr">
        <is>
          <t>yes</t>
        </is>
      </c>
      <c r="BA68" s="198" t="inlineStr">
        <is>
          <t>NO</t>
        </is>
      </c>
      <c r="BB68" s="198" t="inlineStr">
        <is>
          <t>worksheet contamination</t>
        </is>
      </c>
    </row>
    <row r="69" ht="15" customHeight="1" s="241">
      <c r="A69" s="191" t="inlineStr">
        <is>
          <t>Tesla</t>
        </is>
      </c>
      <c r="B69" s="188" t="inlineStr">
        <is>
          <t>TSLA</t>
        </is>
      </c>
      <c r="C69" s="176" t="n">
        <v>2025</v>
      </c>
      <c r="D69" s="177" t="inlineStr">
        <is>
          <t>Q3</t>
        </is>
      </c>
      <c r="E69" s="178" t="inlineStr">
        <is>
          <t>Ben/DeepSeek</t>
        </is>
      </c>
      <c r="F69" s="177" t="inlineStr">
        <is>
          <t>LLM</t>
        </is>
      </c>
      <c r="G69" s="196" t="n">
        <v>0.22</v>
      </c>
      <c r="H69" s="177" t="inlineStr">
        <is>
          <t>BUY</t>
        </is>
      </c>
      <c r="I69" s="196" t="n"/>
      <c r="J69" s="182" t="n">
        <v>45952</v>
      </c>
      <c r="K69" s="182" t="n">
        <v>45952</v>
      </c>
      <c r="L69" s="183" t="n">
        <v>438.97</v>
      </c>
      <c r="M69" s="182" t="n">
        <v>45953</v>
      </c>
      <c r="N69" s="183" t="n">
        <v>420</v>
      </c>
      <c r="O69" s="180" t="n">
        <v>0.006623</v>
      </c>
      <c r="P69" s="197" t="n">
        <v>-0.043215</v>
      </c>
      <c r="Q69" s="177" t="inlineStr">
        <is>
          <t>DOWN</t>
        </is>
      </c>
      <c r="R69" s="177" t="inlineStr">
        <is>
          <t>NO</t>
        </is>
      </c>
      <c r="S69" s="176" t="n">
        <v>1</v>
      </c>
      <c r="T69" s="197" t="n">
        <v>-0.044215</v>
      </c>
      <c r="U69" s="185" t="inlineStr">
        <is>
          <t>w=[0.80,0.20,0,0] thr=(+0.20,-0.10), deployed default promoted 2026-08-18 (PSR=0.964, permutation p=0.0002 at N=233, restricted search - see blend.py)</t>
        </is>
      </c>
      <c r="V69" s="152" t="inlineStr">
        <is>
          <t>FROZEN</t>
        </is>
      </c>
      <c r="W69" s="152" t="inlineStr">
        <is>
          <t>release date + stated time in the document (rater worksheet)</t>
        </is>
      </c>
      <c r="X69" s="152" t="inlineStr">
        <is>
          <t>TSLA</t>
        </is>
      </c>
      <c r="Y69" s="152" t="inlineStr">
        <is>
          <t>2025-10-22</t>
        </is>
      </c>
      <c r="Z69" s="152" t="n">
        <v>438.97</v>
      </c>
      <c r="AA69" s="152" t="inlineStr">
        <is>
          <t>2025-10-23</t>
        </is>
      </c>
      <c r="AB69" s="152" t="n">
        <v>420</v>
      </c>
      <c r="AC69" s="152" t="n">
        <v>-0.04321480045740079</v>
      </c>
      <c r="AD69" s="152" t="inlineStr">
        <is>
          <t>DOWN</t>
        </is>
      </c>
      <c r="AE69" s="152" t="inlineStr">
        <is>
          <t>NO</t>
        </is>
      </c>
      <c r="AF69" s="152" t="n">
        <v>0</v>
      </c>
      <c r="AG69" s="152">
        <f>IF($A69="","",IFERROR(INDEX(Company_List!$G$3:$G$207,MATCH($A69,Company_List!$A$3:$A$207,0)),"unassigned"))</f>
        <v/>
      </c>
      <c r="AH69" s="152" t="inlineStr">
        <is>
          <t>Phase 2/Tesla/2025-Q3/TSLA-2025-Q3-press-release-SEC-EX-99-1.htm</t>
        </is>
      </c>
      <c r="AI69" s="152" t="inlineStr">
        <is>
          <t>https://www.sec.gov/Archives/edgar/data/1318605/000162828025045861/exhibit991.htm</t>
        </is>
      </c>
      <c r="AJ69" s="152" t="inlineStr">
        <is>
          <t>manifest</t>
        </is>
      </c>
      <c r="AK69" s="152">
        <f>IF($A69="","",IF(COUNTIFS(Human_Data_Entry!$A$3:$A$525,$A69)&gt;0,"YES","NO"))</f>
        <v/>
      </c>
      <c r="AL69" s="152">
        <f>IF($A69="","",IF(AND($C69&amp;"-"&amp;$D69&gt;=Settings!$B$19,$C69&amp;"-"&amp;$D69&lt;=Settings!$B$20),"IN","OUT"))</f>
        <v/>
      </c>
      <c r="AM69" s="152">
        <f>IF(AND(OR($H69="BUY",$H69="SELL"),ISNUMBER($T69)),$T69,"")</f>
        <v/>
      </c>
      <c r="AN69" s="152">
        <f>IF(AND(OR($H69="BUY",$H69="SELL"),ISNUMBER($AF69)),$AF69,"")</f>
        <v/>
      </c>
      <c r="AO69" s="152">
        <f>IF(ISNUMBER($AM69),ABS(IF(ISNUMBER($G69),$G69,0)-Settings!$B$25),"")</f>
        <v/>
      </c>
      <c r="AP69" s="152">
        <f>IF(ISNUMBER($AO69),$AO69*$AM69,"")</f>
        <v/>
      </c>
      <c r="AQ69" s="152">
        <f>IF(ISNUMBER($AN69),ABS(IF(ISNUMBER($G69),$G69,0)-Settings!$B$25),"")</f>
        <v/>
      </c>
      <c r="AR69" s="152">
        <f>IF(ISNUMBER($AQ69),$AQ69*$AN69,"")</f>
        <v/>
      </c>
      <c r="AS69" s="152">
        <f>IF($A69="","",IFERROR(INDEX(Company_List!$H$3:$H$207,MATCH($A69,Company_List!$A$3:$A$207,0)),"unassigned"))</f>
        <v/>
      </c>
      <c r="AT69" s="152" t="inlineStr">
        <is>
          <t>re-read since v1</t>
        </is>
      </c>
      <c r="AU69" s="152" t="inlineStr">
        <is>
          <t>Phase 2/Master_Data_v1.xlsx</t>
        </is>
      </c>
      <c r="AV69" s="152" t="n">
        <v>1</v>
      </c>
      <c r="AW69" s="152" t="inlineStr">
        <is>
          <t>not publisher-identified</t>
        </is>
      </c>
      <c r="AX69" s="152" t="inlineStr">
        <is>
          <t>not publisher-identified</t>
        </is>
      </c>
      <c r="AY69" s="152" t="inlineStr">
        <is>
          <t>no</t>
        </is>
      </c>
      <c r="AZ69" s="152" t="inlineStr">
        <is>
          <t>yes</t>
        </is>
      </c>
      <c r="BA69" s="198" t="inlineStr">
        <is>
          <t>NO</t>
        </is>
      </c>
      <c r="BB69" s="198" t="inlineStr">
        <is>
          <t>worksheet contamination</t>
        </is>
      </c>
    </row>
    <row r="70" ht="15" customHeight="1" s="241">
      <c r="A70" s="191" t="inlineStr">
        <is>
          <t>Tesla</t>
        </is>
      </c>
      <c r="B70" s="188" t="inlineStr">
        <is>
          <t>TSLA</t>
        </is>
      </c>
      <c r="C70" s="176" t="n">
        <v>2025</v>
      </c>
      <c r="D70" s="177" t="inlineStr">
        <is>
          <t>Q4</t>
        </is>
      </c>
      <c r="E70" s="178" t="inlineStr">
        <is>
          <t>Ben/DeepSeek</t>
        </is>
      </c>
      <c r="F70" s="177" t="inlineStr">
        <is>
          <t>LLM</t>
        </is>
      </c>
      <c r="G70" s="196" t="n">
        <v>0.53</v>
      </c>
      <c r="H70" s="177" t="inlineStr">
        <is>
          <t>BUY</t>
        </is>
      </c>
      <c r="I70" s="196" t="n"/>
      <c r="J70" s="182" t="n">
        <v>46050</v>
      </c>
      <c r="K70" s="182" t="n">
        <v>46050</v>
      </c>
      <c r="L70" s="183" t="n">
        <v>431.46</v>
      </c>
      <c r="M70" s="182" t="n">
        <v>46051</v>
      </c>
      <c r="N70" s="183" t="n">
        <v>437.8</v>
      </c>
      <c r="O70" s="180" t="n">
        <v>0.006869</v>
      </c>
      <c r="P70" s="197" t="n">
        <v>0.014694</v>
      </c>
      <c r="Q70" s="177" t="inlineStr">
        <is>
          <t>FLAT</t>
        </is>
      </c>
      <c r="R70" s="177" t="inlineStr">
        <is>
          <t>NO</t>
        </is>
      </c>
      <c r="S70" s="176" t="n">
        <v>1</v>
      </c>
      <c r="T70" s="197" t="n">
        <v>0.013694</v>
      </c>
      <c r="U70" s="185" t="inlineStr">
        <is>
          <t>w=[0.80,0.20,0,0] thr=(+0.20,-0.10), deployed default promoted 2026-08-18 (PSR=0.964, permutation p=0.0002 at N=233, restricted search - see blend.py)</t>
        </is>
      </c>
      <c r="V70" s="152" t="inlineStr">
        <is>
          <t>FROZEN</t>
        </is>
      </c>
      <c r="W70" s="152" t="inlineStr">
        <is>
          <t>release date + stated time in the document (rater worksheet)</t>
        </is>
      </c>
      <c r="X70" s="152" t="inlineStr">
        <is>
          <t>TSLA</t>
        </is>
      </c>
      <c r="Y70" s="152" t="inlineStr">
        <is>
          <t>2026-01-28</t>
        </is>
      </c>
      <c r="Z70" s="152" t="n">
        <v>431.46</v>
      </c>
      <c r="AA70" s="152" t="inlineStr">
        <is>
          <t>2026-01-29</t>
        </is>
      </c>
      <c r="AB70" s="152" t="n">
        <v>437.8</v>
      </c>
      <c r="AC70" s="152" t="n">
        <v>0.01469428714654561</v>
      </c>
      <c r="AD70" s="152" t="inlineStr">
        <is>
          <t>FLAT</t>
        </is>
      </c>
      <c r="AE70" s="152" t="inlineStr">
        <is>
          <t>NO</t>
        </is>
      </c>
      <c r="AF70" s="152" t="n">
        <v>0.013694</v>
      </c>
      <c r="AG70" s="152">
        <f>IF($A70="","",IFERROR(INDEX(Company_List!$G$3:$G$207,MATCH($A70,Company_List!$A$3:$A$207,0)),"unassigned"))</f>
        <v/>
      </c>
      <c r="AH70" s="152" t="inlineStr">
        <is>
          <t>Phase 2/Tesla/2025-Q4/TSLA-2025-Q4-press-release-SEC-EX-99-1.htm</t>
        </is>
      </c>
      <c r="AI70" s="152" t="inlineStr">
        <is>
          <t>https://www.sec.gov/Archives/edgar/data/1318605/000162828026003837/exhibit991.htm</t>
        </is>
      </c>
      <c r="AJ70" s="152" t="inlineStr">
        <is>
          <t>manifest</t>
        </is>
      </c>
      <c r="AK70" s="152">
        <f>IF($A70="","",IF(COUNTIFS(Human_Data_Entry!$A$3:$A$525,$A70)&gt;0,"YES","NO"))</f>
        <v/>
      </c>
      <c r="AL70" s="152">
        <f>IF($A70="","",IF(AND($C70&amp;"-"&amp;$D70&gt;=Settings!$B$19,$C70&amp;"-"&amp;$D70&lt;=Settings!$B$20),"IN","OUT"))</f>
        <v/>
      </c>
      <c r="AM70" s="152">
        <f>IF(AND(OR($H70="BUY",$H70="SELL"),ISNUMBER($T70)),$T70,"")</f>
        <v/>
      </c>
      <c r="AN70" s="152">
        <f>IF(AND(OR($H70="BUY",$H70="SELL"),ISNUMBER($AF70)),$AF70,"")</f>
        <v/>
      </c>
      <c r="AO70" s="152">
        <f>IF(ISNUMBER($AM70),ABS(IF(ISNUMBER($G70),$G70,0)-Settings!$B$25),"")</f>
        <v/>
      </c>
      <c r="AP70" s="152">
        <f>IF(ISNUMBER($AO70),$AO70*$AM70,"")</f>
        <v/>
      </c>
      <c r="AQ70" s="152">
        <f>IF(ISNUMBER($AN70),ABS(IF(ISNUMBER($G70),$G70,0)-Settings!$B$25),"")</f>
        <v/>
      </c>
      <c r="AR70" s="152">
        <f>IF(ISNUMBER($AQ70),$AQ70*$AN70,"")</f>
        <v/>
      </c>
      <c r="AS70" s="152">
        <f>IF($A70="","",IFERROR(INDEX(Company_List!$H$3:$H$207,MATCH($A70,Company_List!$A$3:$A$207,0)),"unassigned"))</f>
        <v/>
      </c>
      <c r="AT70" s="152" t="inlineStr">
        <is>
          <t>re-read since v1</t>
        </is>
      </c>
      <c r="AU70" s="152" t="inlineStr">
        <is>
          <t>Phase 2/Master_Data_v1.xlsx</t>
        </is>
      </c>
      <c r="AV70" s="152" t="n">
        <v>1</v>
      </c>
      <c r="AW70" s="152" t="inlineStr">
        <is>
          <t>not publisher-identified</t>
        </is>
      </c>
      <c r="AX70" s="152" t="inlineStr">
        <is>
          <t>not publisher-identified</t>
        </is>
      </c>
      <c r="AY70" s="152" t="inlineStr">
        <is>
          <t>no</t>
        </is>
      </c>
      <c r="AZ70" s="152" t="inlineStr">
        <is>
          <t>yes</t>
        </is>
      </c>
      <c r="BA70" s="198" t="inlineStr">
        <is>
          <t>NO</t>
        </is>
      </c>
      <c r="BB70" s="198" t="inlineStr">
        <is>
          <t>worksheet contamination</t>
        </is>
      </c>
    </row>
    <row r="71" ht="15" customHeight="1" s="241">
      <c r="A71" s="191" t="inlineStr">
        <is>
          <t>Uber</t>
        </is>
      </c>
      <c r="B71" s="188" t="inlineStr">
        <is>
          <t>UBER</t>
        </is>
      </c>
      <c r="C71" s="176" t="n">
        <v>2025</v>
      </c>
      <c r="D71" s="177" t="inlineStr">
        <is>
          <t>Q1</t>
        </is>
      </c>
      <c r="E71" s="178" t="inlineStr">
        <is>
          <t>Ben/DeepSeek</t>
        </is>
      </c>
      <c r="F71" s="177" t="inlineStr">
        <is>
          <t>LLM</t>
        </is>
      </c>
      <c r="G71" s="196" t="n">
        <v>0.18</v>
      </c>
      <c r="H71" s="177" t="inlineStr">
        <is>
          <t>HOLD</t>
        </is>
      </c>
      <c r="I71" s="196" t="n"/>
      <c r="J71" s="182" t="n">
        <v>45783</v>
      </c>
      <c r="K71" s="182" t="n">
        <v>45783</v>
      </c>
      <c r="L71" s="183" t="n">
        <v>85.83</v>
      </c>
      <c r="M71" s="182" t="n">
        <v>45784</v>
      </c>
      <c r="N71" s="183" t="n">
        <v>83.13</v>
      </c>
      <c r="O71" s="180" t="n">
        <v>0.007658</v>
      </c>
      <c r="P71" s="197" t="n">
        <v>-0.031458</v>
      </c>
      <c r="Q71" s="177" t="inlineStr">
        <is>
          <t>DOWN</t>
        </is>
      </c>
      <c r="R71" s="177" t="inlineStr">
        <is>
          <t>NO</t>
        </is>
      </c>
      <c r="S71" s="176" t="n">
        <v>0</v>
      </c>
      <c r="T71" s="197" t="n">
        <v>0</v>
      </c>
      <c r="U71" s="185" t="inlineStr">
        <is>
          <t>w=[0.80,0.20,0,0] thr=(+0.20,-0.10), deployed default promoted 2026-08-18 (PSR=0.964, permutation p=0.0002 at N=233, restricted search - see blend.py)</t>
        </is>
      </c>
      <c r="V71" s="152" t="inlineStr">
        <is>
          <t>FROZEN</t>
        </is>
      </c>
      <c r="W71" s="152" t="inlineStr">
        <is>
          <t>price signal — both moved; this one dominates</t>
        </is>
      </c>
      <c r="X71" s="152" t="inlineStr">
        <is>
          <t>UBER</t>
        </is>
      </c>
      <c r="Y71" s="152" t="inlineStr">
        <is>
          <t>2025-05-06</t>
        </is>
      </c>
      <c r="Z71" s="152" t="n">
        <v>85.83</v>
      </c>
      <c r="AA71" s="152" t="inlineStr">
        <is>
          <t>2025-05-07</t>
        </is>
      </c>
      <c r="AB71" s="152" t="n">
        <v>83.13</v>
      </c>
      <c r="AC71" s="152" t="n">
        <v>-0.03145758985302121</v>
      </c>
      <c r="AD71" s="152" t="inlineStr">
        <is>
          <t>DOWN</t>
        </is>
      </c>
      <c r="AE71" s="152" t="inlineStr">
        <is>
          <t>NO</t>
        </is>
      </c>
      <c r="AF71" s="152" t="n">
        <v>0</v>
      </c>
      <c r="AG71" s="152">
        <f>IF($A71="","",IFERROR(INDEX(Company_List!$G$3:$G$207,MATCH($A71,Company_List!$A$3:$A$207,0)),"unassigned"))</f>
        <v/>
      </c>
      <c r="AH71" s="152" t="inlineStr">
        <is>
          <t>Phase 2/Uber/2025-Q1/UBER-2025-Q1-press-release-SEC-EX-99-1.htm</t>
        </is>
      </c>
      <c r="AI71" s="152" t="inlineStr">
        <is>
          <t>https://www.sec.gov/Archives/edgar/data/1543151/000154315125000012/uberq125earningspressrelea.htm</t>
        </is>
      </c>
      <c r="AJ71" s="152" t="inlineStr">
        <is>
          <t>manifest</t>
        </is>
      </c>
      <c r="AK71" s="152">
        <f>IF($A71="","",IF(COUNTIFS(Human_Data_Entry!$A$3:$A$525,$A71)&gt;0,"YES","NO"))</f>
        <v/>
      </c>
      <c r="AL71" s="152">
        <f>IF($A71="","",IF(AND($C71&amp;"-"&amp;$D71&gt;=Settings!$B$19,$C71&amp;"-"&amp;$D71&lt;=Settings!$B$20),"IN","OUT"))</f>
        <v/>
      </c>
      <c r="AM71" s="152">
        <f>IF(AND(OR($H71="BUY",$H71="SELL"),ISNUMBER($T71)),$T71,"")</f>
        <v/>
      </c>
      <c r="AN71" s="152">
        <f>IF(AND(OR($H71="BUY",$H71="SELL"),ISNUMBER($AF71)),$AF71,"")</f>
        <v/>
      </c>
      <c r="AO71" s="152">
        <f>IF(ISNUMBER($AM71),ABS(IF(ISNUMBER($G71),$G71,0)-Settings!$B$25),"")</f>
        <v/>
      </c>
      <c r="AP71" s="152">
        <f>IF(ISNUMBER($AO71),$AO71*$AM71,"")</f>
        <v/>
      </c>
      <c r="AQ71" s="152">
        <f>IF(ISNUMBER($AN71),ABS(IF(ISNUMBER($G71),$G71,0)-Settings!$B$25),"")</f>
        <v/>
      </c>
      <c r="AR71" s="152">
        <f>IF(ISNUMBER($AQ71),$AQ71*$AN71,"")</f>
        <v/>
      </c>
      <c r="AS71" s="152">
        <f>IF($A71="","",IFERROR(INDEX(Company_List!$H$3:$H$207,MATCH($A71,Company_List!$A$3:$A$207,0)),"unassigned"))</f>
        <v/>
      </c>
      <c r="AT71" s="152" t="inlineStr">
        <is>
          <t>re-read since v1</t>
        </is>
      </c>
      <c r="AU71" s="152" t="inlineStr">
        <is>
          <t>Phase 2/Master_Data_v1.xlsx</t>
        </is>
      </c>
      <c r="AV71" s="152" t="n">
        <v>1</v>
      </c>
      <c r="AW71" s="152" t="inlineStr">
        <is>
          <t>not publisher-identified</t>
        </is>
      </c>
      <c r="AX71" s="152" t="inlineStr">
        <is>
          <t>not publisher-identified</t>
        </is>
      </c>
      <c r="AY71" s="152" t="inlineStr">
        <is>
          <t>no</t>
        </is>
      </c>
      <c r="AZ71" s="152" t="inlineStr">
        <is>
          <t>yes</t>
        </is>
      </c>
      <c r="BA71" s="198" t="inlineStr">
        <is>
          <t>YES</t>
        </is>
      </c>
      <c r="BB71" s="198" t="n"/>
    </row>
    <row r="72" ht="15" customHeight="1" s="241">
      <c r="A72" s="191" t="inlineStr">
        <is>
          <t>Uber</t>
        </is>
      </c>
      <c r="B72" s="188" t="inlineStr">
        <is>
          <t>UBER</t>
        </is>
      </c>
      <c r="C72" s="176" t="n">
        <v>2026</v>
      </c>
      <c r="D72" s="177" t="inlineStr">
        <is>
          <t>Q1</t>
        </is>
      </c>
      <c r="E72" s="178" t="inlineStr">
        <is>
          <t>Ben/DeepSeek</t>
        </is>
      </c>
      <c r="F72" s="177" t="inlineStr">
        <is>
          <t>LLM</t>
        </is>
      </c>
      <c r="G72" s="196" t="n">
        <v>0.18</v>
      </c>
      <c r="H72" s="177" t="inlineStr">
        <is>
          <t>HOLD</t>
        </is>
      </c>
      <c r="I72" s="196" t="n"/>
      <c r="J72" s="182" t="n">
        <v>46147</v>
      </c>
      <c r="K72" s="182" t="n">
        <v>46147</v>
      </c>
      <c r="L72" s="183" t="n">
        <v>72.95</v>
      </c>
      <c r="M72" s="182" t="n">
        <v>46148</v>
      </c>
      <c r="N72" s="183" t="n">
        <v>77.45999999999999</v>
      </c>
      <c r="O72" s="180" t="n">
        <v>0.007912000000000001</v>
      </c>
      <c r="P72" s="197" t="n">
        <v>0.061823</v>
      </c>
      <c r="Q72" s="177" t="inlineStr">
        <is>
          <t>UP</t>
        </is>
      </c>
      <c r="R72" s="177" t="inlineStr">
        <is>
          <t>NO</t>
        </is>
      </c>
      <c r="S72" s="176" t="n">
        <v>0</v>
      </c>
      <c r="T72" s="197" t="n">
        <v>0</v>
      </c>
      <c r="U72" s="185" t="inlineStr">
        <is>
          <t>w=[0.80,0.20,0,0] thr=(+0.20,-0.10), deployed default promoted 2026-08-18 (PSR=0.964, permutation p=0.0002 at N=233, restricted search - see blend.py)</t>
        </is>
      </c>
      <c r="V72" s="152" t="inlineStr">
        <is>
          <t>FROZEN</t>
        </is>
      </c>
      <c r="W72" s="152" t="inlineStr">
        <is>
          <t>price signal — only this window shows an abnormal move</t>
        </is>
      </c>
      <c r="X72" s="152" t="inlineStr">
        <is>
          <t>UBER</t>
        </is>
      </c>
      <c r="Y72" s="152" t="inlineStr">
        <is>
          <t>2026-05-05</t>
        </is>
      </c>
      <c r="Z72" s="152" t="n">
        <v>72.95</v>
      </c>
      <c r="AA72" s="152" t="inlineStr">
        <is>
          <t>2026-05-06</t>
        </is>
      </c>
      <c r="AB72" s="152" t="n">
        <v>77.45999999999999</v>
      </c>
      <c r="AC72" s="152" t="n">
        <v>0.06182319651089226</v>
      </c>
      <c r="AD72" s="152" t="inlineStr">
        <is>
          <t>UP</t>
        </is>
      </c>
      <c r="AE72" s="152" t="inlineStr">
        <is>
          <t>NO</t>
        </is>
      </c>
      <c r="AF72" s="152" t="n">
        <v>0</v>
      </c>
      <c r="AG72" s="152">
        <f>IF($A72="","",IFERROR(INDEX(Company_List!$G$3:$G$207,MATCH($A72,Company_List!$A$3:$A$207,0)),"unassigned"))</f>
        <v/>
      </c>
      <c r="AH72" s="152" t="inlineStr">
        <is>
          <t>Phase 2/Uber/2026-Q1/UBER-2026-Q1-press-release-SEC-EX-99-1.htm</t>
        </is>
      </c>
      <c r="AI72" s="152" t="inlineStr">
        <is>
          <t>https://www.sec.gov/Archives/edgar/data/1543151/000154315126000019/uberq126earningspressrelea.htm</t>
        </is>
      </c>
      <c r="AJ72" s="152" t="inlineStr">
        <is>
          <t>manifest</t>
        </is>
      </c>
      <c r="AK72" s="152">
        <f>IF($A72="","",IF(COUNTIFS(Human_Data_Entry!$A$3:$A$525,$A72)&gt;0,"YES","NO"))</f>
        <v/>
      </c>
      <c r="AL72" s="152">
        <f>IF($A72="","",IF(AND($C72&amp;"-"&amp;$D72&gt;=Settings!$B$19,$C72&amp;"-"&amp;$D72&lt;=Settings!$B$20),"IN","OUT"))</f>
        <v/>
      </c>
      <c r="AM72" s="152">
        <f>IF(AND(OR($H72="BUY",$H72="SELL"),ISNUMBER($T72)),$T72,"")</f>
        <v/>
      </c>
      <c r="AN72" s="152">
        <f>IF(AND(OR($H72="BUY",$H72="SELL"),ISNUMBER($AF72)),$AF72,"")</f>
        <v/>
      </c>
      <c r="AO72" s="152">
        <f>IF(ISNUMBER($AM72),ABS(IF(ISNUMBER($G72),$G72,0)-Settings!$B$25),"")</f>
        <v/>
      </c>
      <c r="AP72" s="152">
        <f>IF(ISNUMBER($AO72),$AO72*$AM72,"")</f>
        <v/>
      </c>
      <c r="AQ72" s="152">
        <f>IF(ISNUMBER($AN72),ABS(IF(ISNUMBER($G72),$G72,0)-Settings!$B$25),"")</f>
        <v/>
      </c>
      <c r="AR72" s="152">
        <f>IF(ISNUMBER($AQ72),$AQ72*$AN72,"")</f>
        <v/>
      </c>
      <c r="AS72" s="152">
        <f>IF($A72="","",IFERROR(INDEX(Company_List!$H$3:$H$207,MATCH($A72,Company_List!$A$3:$A$207,0)),"unassigned"))</f>
        <v/>
      </c>
      <c r="AT72" s="152" t="inlineStr">
        <is>
          <t>re-read since v1</t>
        </is>
      </c>
      <c r="AU72" s="152" t="inlineStr">
        <is>
          <t>Phase 2/Master_Data_v1.xlsx</t>
        </is>
      </c>
      <c r="AV72" s="152" t="n">
        <v>1</v>
      </c>
      <c r="AW72" s="152" t="inlineStr">
        <is>
          <t>not publisher-identified</t>
        </is>
      </c>
      <c r="AX72" s="152" t="inlineStr">
        <is>
          <t>not publisher-identified</t>
        </is>
      </c>
      <c r="AY72" s="152" t="inlineStr">
        <is>
          <t>no</t>
        </is>
      </c>
      <c r="AZ72" s="152" t="inlineStr">
        <is>
          <t>yes</t>
        </is>
      </c>
      <c r="BA72" s="198" t="inlineStr">
        <is>
          <t>YES</t>
        </is>
      </c>
      <c r="BB72" s="198" t="n"/>
    </row>
    <row r="73" ht="15" customHeight="1" s="241">
      <c r="A73" s="191" t="inlineStr">
        <is>
          <t>Uber</t>
        </is>
      </c>
      <c r="B73" s="188" t="inlineStr">
        <is>
          <t>UBER</t>
        </is>
      </c>
      <c r="C73" s="176" t="n">
        <v>2025</v>
      </c>
      <c r="D73" s="177" t="inlineStr">
        <is>
          <t>Q2</t>
        </is>
      </c>
      <c r="E73" s="178" t="inlineStr">
        <is>
          <t>Ben/DeepSeek</t>
        </is>
      </c>
      <c r="F73" s="177" t="inlineStr">
        <is>
          <t>LLM</t>
        </is>
      </c>
      <c r="G73" s="196" t="n">
        <v>0.26</v>
      </c>
      <c r="H73" s="177" t="inlineStr">
        <is>
          <t>BUY</t>
        </is>
      </c>
      <c r="I73" s="196" t="n"/>
      <c r="J73" s="182" t="n">
        <v>45874</v>
      </c>
      <c r="K73" s="182" t="n">
        <v>45874</v>
      </c>
      <c r="L73" s="183" t="n">
        <v>89.39</v>
      </c>
      <c r="M73" s="182" t="n">
        <v>45875</v>
      </c>
      <c r="N73" s="183" t="n">
        <v>90.95</v>
      </c>
      <c r="O73" s="180" t="n">
        <v>0.007644</v>
      </c>
      <c r="P73" s="197" t="n">
        <v>0.017452</v>
      </c>
      <c r="Q73" s="177" t="inlineStr">
        <is>
          <t>FLAT</t>
        </is>
      </c>
      <c r="R73" s="177" t="inlineStr">
        <is>
          <t>NO</t>
        </is>
      </c>
      <c r="S73" s="176" t="n">
        <v>1</v>
      </c>
      <c r="T73" s="197" t="n">
        <v>0.016452</v>
      </c>
      <c r="U73" s="185" t="inlineStr">
        <is>
          <t>w=[0.80,0.20,0,0] thr=(+0.20,-0.10), deployed default promoted 2026-08-18 (PSR=0.964, permutation p=0.0002 at N=233, restricted search - see blend.py)</t>
        </is>
      </c>
      <c r="V73" s="152" t="inlineStr">
        <is>
          <t>FROZEN</t>
        </is>
      </c>
      <c r="W73" s="152" t="inlineStr">
        <is>
          <t>price signal — only this window shows an abnormal move</t>
        </is>
      </c>
      <c r="X73" s="152" t="inlineStr">
        <is>
          <t>UBER</t>
        </is>
      </c>
      <c r="Y73" s="152" t="inlineStr">
        <is>
          <t>2025-08-05</t>
        </is>
      </c>
      <c r="Z73" s="152" t="n">
        <v>89.39</v>
      </c>
      <c r="AA73" s="152" t="inlineStr">
        <is>
          <t>2025-08-06</t>
        </is>
      </c>
      <c r="AB73" s="152" t="n">
        <v>90.95</v>
      </c>
      <c r="AC73" s="152" t="n">
        <v>0.01745159433327651</v>
      </c>
      <c r="AD73" s="152" t="inlineStr">
        <is>
          <t>FLAT</t>
        </is>
      </c>
      <c r="AE73" s="152" t="inlineStr">
        <is>
          <t>YES</t>
        </is>
      </c>
      <c r="AF73" s="152" t="n">
        <v>0</v>
      </c>
      <c r="AG73" s="152">
        <f>IF($A73="","",IFERROR(INDEX(Company_List!$G$3:$G$207,MATCH($A73,Company_List!$A$3:$A$207,0)),"unassigned"))</f>
        <v/>
      </c>
      <c r="AH73" s="152" t="inlineStr">
        <is>
          <t>Phase 2/Uber/2025-Q2/UBER-2025-Q2-press-release-SEC-EX-99-1.htm</t>
        </is>
      </c>
      <c r="AI73" s="152" t="inlineStr">
        <is>
          <t>https://www.sec.gov/Archives/edgar/data/1543151/000154315125000020/uberq225earningspressrelea.htm</t>
        </is>
      </c>
      <c r="AJ73" s="152" t="inlineStr">
        <is>
          <t>manifest</t>
        </is>
      </c>
      <c r="AK73" s="152">
        <f>IF($A73="","",IF(COUNTIFS(Human_Data_Entry!$A$3:$A$525,$A73)&gt;0,"YES","NO"))</f>
        <v/>
      </c>
      <c r="AL73" s="152">
        <f>IF($A73="","",IF(AND($C73&amp;"-"&amp;$D73&gt;=Settings!$B$19,$C73&amp;"-"&amp;$D73&lt;=Settings!$B$20),"IN","OUT"))</f>
        <v/>
      </c>
      <c r="AM73" s="152">
        <f>IF(AND(OR($H73="BUY",$H73="SELL"),ISNUMBER($T73)),$T73,"")</f>
        <v/>
      </c>
      <c r="AN73" s="152">
        <f>IF(AND(OR($H73="BUY",$H73="SELL"),ISNUMBER($AF73)),$AF73,"")</f>
        <v/>
      </c>
      <c r="AO73" s="152">
        <f>IF(ISNUMBER($AM73),ABS(IF(ISNUMBER($G73),$G73,0)-Settings!$B$25),"")</f>
        <v/>
      </c>
      <c r="AP73" s="152">
        <f>IF(ISNUMBER($AO73),$AO73*$AM73,"")</f>
        <v/>
      </c>
      <c r="AQ73" s="152">
        <f>IF(ISNUMBER($AN73),ABS(IF(ISNUMBER($G73),$G73,0)-Settings!$B$25),"")</f>
        <v/>
      </c>
      <c r="AR73" s="152">
        <f>IF(ISNUMBER($AQ73),$AQ73*$AN73,"")</f>
        <v/>
      </c>
      <c r="AS73" s="152">
        <f>IF($A73="","",IFERROR(INDEX(Company_List!$H$3:$H$207,MATCH($A73,Company_List!$A$3:$A$207,0)),"unassigned"))</f>
        <v/>
      </c>
      <c r="AT73" s="152" t="inlineStr">
        <is>
          <t>re-read since v1</t>
        </is>
      </c>
      <c r="AU73" s="152" t="inlineStr">
        <is>
          <t>Phase 2/Master_Data_v1.xlsx</t>
        </is>
      </c>
      <c r="AV73" s="152" t="n">
        <v>1</v>
      </c>
      <c r="AW73" s="152" t="inlineStr">
        <is>
          <t>not publisher-identified</t>
        </is>
      </c>
      <c r="AX73" s="152" t="inlineStr">
        <is>
          <t>not publisher-identified</t>
        </is>
      </c>
      <c r="AY73" s="152" t="inlineStr">
        <is>
          <t>no</t>
        </is>
      </c>
      <c r="AZ73" s="152" t="inlineStr">
        <is>
          <t>yes</t>
        </is>
      </c>
      <c r="BA73" s="198" t="inlineStr">
        <is>
          <t>YES</t>
        </is>
      </c>
      <c r="BB73" s="198" t="n"/>
    </row>
    <row r="74" ht="15" customHeight="1" s="241">
      <c r="A74" s="191" t="inlineStr">
        <is>
          <t>Uber</t>
        </is>
      </c>
      <c r="B74" s="188" t="inlineStr">
        <is>
          <t>UBER</t>
        </is>
      </c>
      <c r="C74" s="176" t="n">
        <v>2025</v>
      </c>
      <c r="D74" s="177" t="inlineStr">
        <is>
          <t>Q4</t>
        </is>
      </c>
      <c r="E74" s="178" t="inlineStr">
        <is>
          <t>Ben/DeepSeek</t>
        </is>
      </c>
      <c r="F74" s="177" t="inlineStr">
        <is>
          <t>LLM</t>
        </is>
      </c>
      <c r="G74" s="196" t="n">
        <v>0.29</v>
      </c>
      <c r="H74" s="177" t="inlineStr">
        <is>
          <t>BUY</t>
        </is>
      </c>
      <c r="I74" s="196" t="n"/>
      <c r="J74" s="182" t="n">
        <v>46056</v>
      </c>
      <c r="K74" s="182" t="n">
        <v>46056</v>
      </c>
      <c r="L74" s="183" t="n">
        <v>77.93000000000001</v>
      </c>
      <c r="M74" s="182" t="n">
        <v>46057</v>
      </c>
      <c r="N74" s="183" t="n">
        <v>75.62</v>
      </c>
      <c r="O74" s="180" t="n">
        <v>0.008668</v>
      </c>
      <c r="P74" s="197" t="n">
        <v>-0.029578</v>
      </c>
      <c r="Q74" s="177" t="inlineStr">
        <is>
          <t>DOWN</t>
        </is>
      </c>
      <c r="R74" s="177" t="inlineStr">
        <is>
          <t>NO</t>
        </is>
      </c>
      <c r="S74" s="176" t="n">
        <v>1</v>
      </c>
      <c r="T74" s="197" t="n">
        <v>-0.030578</v>
      </c>
      <c r="U74" s="185" t="inlineStr">
        <is>
          <t>w=[0.80,0.20,0,0] thr=(+0.20,-0.10), deployed default promoted 2026-08-18 (PSR=0.964, permutation p=0.0002 at N=233, restricted search - see blend.py)</t>
        </is>
      </c>
      <c r="V74" s="152" t="inlineStr">
        <is>
          <t>FROZEN</t>
        </is>
      </c>
      <c r="W74" s="152" t="inlineStr">
        <is>
          <t>price signal — only this window shows an abnormal move</t>
        </is>
      </c>
      <c r="X74" s="152" t="inlineStr">
        <is>
          <t>UBER</t>
        </is>
      </c>
      <c r="Y74" s="152" t="inlineStr">
        <is>
          <t>2026-02-03</t>
        </is>
      </c>
      <c r="Z74" s="152" t="n">
        <v>77.93000000000001</v>
      </c>
      <c r="AA74" s="152" t="inlineStr">
        <is>
          <t>2026-02-04</t>
        </is>
      </c>
      <c r="AB74" s="152" t="n">
        <v>75.625</v>
      </c>
      <c r="AC74" s="152" t="n">
        <v>-0.02957782625433089</v>
      </c>
      <c r="AD74" s="152" t="inlineStr">
        <is>
          <t>DOWN</t>
        </is>
      </c>
      <c r="AE74" s="152" t="inlineStr">
        <is>
          <t>NO</t>
        </is>
      </c>
      <c r="AF74" s="152" t="n">
        <v>-0.030578</v>
      </c>
      <c r="AG74" s="152">
        <f>IF($A74="","",IFERROR(INDEX(Company_List!$G$3:$G$207,MATCH($A74,Company_List!$A$3:$A$207,0)),"unassigned"))</f>
        <v/>
      </c>
      <c r="AH74" s="152" t="inlineStr">
        <is>
          <t>Phase 2/Uber/2025-Q4/UBER-2025-Q4-press-release-SEC-EX-99-1.htm</t>
        </is>
      </c>
      <c r="AI74" s="152" t="inlineStr">
        <is>
          <t>https://www.sec.gov/Archives/edgar/data/1543151/000154315126000011/uberq425earningspressrelea.htm</t>
        </is>
      </c>
      <c r="AJ74" s="152" t="inlineStr">
        <is>
          <t>manifest</t>
        </is>
      </c>
      <c r="AK74" s="152">
        <f>IF($A74="","",IF(COUNTIFS(Human_Data_Entry!$A$3:$A$525,$A74)&gt;0,"YES","NO"))</f>
        <v/>
      </c>
      <c r="AL74" s="152">
        <f>IF($A74="","",IF(AND($C74&amp;"-"&amp;$D74&gt;=Settings!$B$19,$C74&amp;"-"&amp;$D74&lt;=Settings!$B$20),"IN","OUT"))</f>
        <v/>
      </c>
      <c r="AM74" s="152">
        <f>IF(AND(OR($H74="BUY",$H74="SELL"),ISNUMBER($T74)),$T74,"")</f>
        <v/>
      </c>
      <c r="AN74" s="152">
        <f>IF(AND(OR($H74="BUY",$H74="SELL"),ISNUMBER($AF74)),$AF74,"")</f>
        <v/>
      </c>
      <c r="AO74" s="152">
        <f>IF(ISNUMBER($AM74),ABS(IF(ISNUMBER($G74),$G74,0)-Settings!$B$25),"")</f>
        <v/>
      </c>
      <c r="AP74" s="152">
        <f>IF(ISNUMBER($AO74),$AO74*$AM74,"")</f>
        <v/>
      </c>
      <c r="AQ74" s="152">
        <f>IF(ISNUMBER($AN74),ABS(IF(ISNUMBER($G74),$G74,0)-Settings!$B$25),"")</f>
        <v/>
      </c>
      <c r="AR74" s="152">
        <f>IF(ISNUMBER($AQ74),$AQ74*$AN74,"")</f>
        <v/>
      </c>
      <c r="AS74" s="152">
        <f>IF($A74="","",IFERROR(INDEX(Company_List!$H$3:$H$207,MATCH($A74,Company_List!$A$3:$A$207,0)),"unassigned"))</f>
        <v/>
      </c>
      <c r="AT74" s="152" t="inlineStr">
        <is>
          <t>re-read since v1</t>
        </is>
      </c>
      <c r="AU74" s="152" t="inlineStr">
        <is>
          <t>Phase 2/Master_Data_v1.xlsx</t>
        </is>
      </c>
      <c r="AV74" s="152" t="n">
        <v>1</v>
      </c>
      <c r="AW74" s="152" t="inlineStr">
        <is>
          <t>not publisher-identified</t>
        </is>
      </c>
      <c r="AX74" s="152" t="inlineStr">
        <is>
          <t>not publisher-identified</t>
        </is>
      </c>
      <c r="AY74" s="152" t="inlineStr">
        <is>
          <t>no</t>
        </is>
      </c>
      <c r="AZ74" s="152" t="inlineStr">
        <is>
          <t>yes</t>
        </is>
      </c>
      <c r="BA74" s="198" t="inlineStr">
        <is>
          <t>YES</t>
        </is>
      </c>
      <c r="BB74" s="198" t="n"/>
    </row>
    <row r="75" ht="15" customHeight="1" s="241">
      <c r="A75" s="191" t="inlineStr">
        <is>
          <t>Walmart</t>
        </is>
      </c>
      <c r="B75" s="188" t="inlineStr">
        <is>
          <t>WMT</t>
        </is>
      </c>
      <c r="C75" s="176" t="n">
        <v>2025</v>
      </c>
      <c r="D75" s="177" t="inlineStr">
        <is>
          <t>Q1</t>
        </is>
      </c>
      <c r="E75" s="178" t="inlineStr">
        <is>
          <t>Ben/DeepSeek</t>
        </is>
      </c>
      <c r="F75" s="177" t="inlineStr">
        <is>
          <t>LLM</t>
        </is>
      </c>
      <c r="G75" s="196" t="n">
        <v>0.02</v>
      </c>
      <c r="H75" s="177" t="inlineStr">
        <is>
          <t>HOLD</t>
        </is>
      </c>
      <c r="I75" s="196" t="n"/>
      <c r="J75" s="182" t="n">
        <v>45791</v>
      </c>
      <c r="K75" s="182" t="n">
        <v>45791</v>
      </c>
      <c r="L75" s="183" t="n">
        <v>96.83</v>
      </c>
      <c r="M75" s="182" t="n">
        <v>45792</v>
      </c>
      <c r="N75" s="183" t="n">
        <v>94.3</v>
      </c>
      <c r="O75" s="180" t="n">
        <v>0.005478</v>
      </c>
      <c r="P75" s="197" t="n">
        <v>-0.026128</v>
      </c>
      <c r="Q75" s="177" t="inlineStr">
        <is>
          <t>DOWN</t>
        </is>
      </c>
      <c r="R75" s="177" t="inlineStr">
        <is>
          <t>NO</t>
        </is>
      </c>
      <c r="S75" s="176" t="n">
        <v>0</v>
      </c>
      <c r="T75" s="197" t="n">
        <v>0</v>
      </c>
      <c r="U75" s="185" t="inlineStr">
        <is>
          <t>w=[0.80,0.20,0,0] thr=(+0.20,-0.10), deployed default promoted 2026-08-18 (PSR=0.964, permutation p=0.0002 at N=233, restricted search - see blend.py)</t>
        </is>
      </c>
      <c r="V75" s="152" t="inlineStr">
        <is>
          <t>FROZEN</t>
        </is>
      </c>
      <c r="W75" s="152" t="inlineStr">
        <is>
          <t>price signal — only this window shows an abnormal move</t>
        </is>
      </c>
      <c r="X75" s="152" t="inlineStr">
        <is>
          <t>WMT</t>
        </is>
      </c>
      <c r="Y75" s="152" t="inlineStr">
        <is>
          <t>2025-05-14</t>
        </is>
      </c>
      <c r="Z75" s="152" t="n">
        <v>96.0271</v>
      </c>
      <c r="AA75" s="152" t="inlineStr">
        <is>
          <t>2025-05-15</t>
        </is>
      </c>
      <c r="AB75" s="152" t="n">
        <v>93.5181</v>
      </c>
      <c r="AC75" s="152" t="n">
        <v>-0.02612822401329185</v>
      </c>
      <c r="AD75" s="152" t="inlineStr">
        <is>
          <t>DOWN</t>
        </is>
      </c>
      <c r="AE75" s="152" t="inlineStr">
        <is>
          <t>YES</t>
        </is>
      </c>
      <c r="AF75" s="152" t="n">
        <v>0.025128</v>
      </c>
      <c r="AG75" s="152">
        <f>IF($A75="","",IFERROR(INDEX(Company_List!$G$3:$G$207,MATCH($A75,Company_List!$A$3:$A$207,0)),"unassigned"))</f>
        <v/>
      </c>
      <c r="AH75" s="152" t="inlineStr">
        <is>
          <t>Phase 2/Walmart/Q1 2025/q1-fy26-earnings-release.pdf; Phase 2/Walmart/Q1 2025/q1-fy26-earnings-presentation.pdf; Phase 2/Walmart/Q1 2025/q1-fy26-earnings-call-transcript.pdf</t>
        </is>
      </c>
      <c r="AI75" s="152" t="n"/>
      <c r="AJ75" s="152" t="inlineStr">
        <is>
          <t>whole bundle (Document = All)</t>
        </is>
      </c>
      <c r="AK75" s="152">
        <f>IF($A75="","",IF(COUNTIFS(Human_Data_Entry!$A$3:$A$525,$A75)&gt;0,"YES","NO"))</f>
        <v/>
      </c>
      <c r="AL75" s="152">
        <f>IF($A75="","",IF(AND($C75&amp;"-"&amp;$D75&gt;=Settings!$B$19,$C75&amp;"-"&amp;$D75&lt;=Settings!$B$20),"IN","OUT"))</f>
        <v/>
      </c>
      <c r="AM75" s="152">
        <f>IF(AND(OR($H75="BUY",$H75="SELL"),ISNUMBER($T75)),$T75,"")</f>
        <v/>
      </c>
      <c r="AN75" s="152">
        <f>IF(AND(OR($H75="BUY",$H75="SELL"),ISNUMBER($AF75)),$AF75,"")</f>
        <v/>
      </c>
      <c r="AO75" s="152">
        <f>IF(ISNUMBER($AM75),ABS(IF(ISNUMBER($G75),$G75,0)-Settings!$B$25),"")</f>
        <v/>
      </c>
      <c r="AP75" s="152">
        <f>IF(ISNUMBER($AO75),$AO75*$AM75,"")</f>
        <v/>
      </c>
      <c r="AQ75" s="152">
        <f>IF(ISNUMBER($AN75),ABS(IF(ISNUMBER($G75),$G75,0)-Settings!$B$25),"")</f>
        <v/>
      </c>
      <c r="AR75" s="152">
        <f>IF(ISNUMBER($AQ75),$AQ75*$AN75,"")</f>
        <v/>
      </c>
      <c r="AS75" s="152">
        <f>IF($A75="","",IFERROR(INDEX(Company_List!$H$3:$H$207,MATCH($A75,Company_List!$A$3:$A$207,0)),"unassigned"))</f>
        <v/>
      </c>
      <c r="AT75" s="152" t="inlineStr">
        <is>
          <t>re-read since v1</t>
        </is>
      </c>
      <c r="AU75" s="152" t="inlineStr">
        <is>
          <t>Phase 2/Master_Data_v1.xlsx</t>
        </is>
      </c>
      <c r="AV75" s="152" t="n">
        <v>3</v>
      </c>
      <c r="AW75" s="152" t="inlineStr">
        <is>
          <t>FactSet CallStreet</t>
        </is>
      </c>
      <c r="AX75" s="152" t="inlineStr">
        <is>
          <t>licensed vendor</t>
        </is>
      </c>
      <c r="AY75" s="152" t="inlineStr">
        <is>
          <t>no</t>
        </is>
      </c>
      <c r="AZ75" s="152" t="inlineStr">
        <is>
          <t>no</t>
        </is>
      </c>
      <c r="BA75" s="152" t="inlineStr">
        <is>
          <t>YES</t>
        </is>
      </c>
      <c r="BB75" s="152" t="n"/>
    </row>
    <row r="76" ht="15" customHeight="1" s="241">
      <c r="A76" s="191" t="inlineStr">
        <is>
          <t>Walmart</t>
        </is>
      </c>
      <c r="B76" s="188" t="inlineStr">
        <is>
          <t>WMT</t>
        </is>
      </c>
      <c r="C76" s="176" t="n">
        <v>2026</v>
      </c>
      <c r="D76" s="177" t="inlineStr">
        <is>
          <t>Q1</t>
        </is>
      </c>
      <c r="E76" s="178" t="inlineStr">
        <is>
          <t>Ben/DeepSeek</t>
        </is>
      </c>
      <c r="F76" s="177" t="inlineStr">
        <is>
          <t>LLM</t>
        </is>
      </c>
      <c r="G76" s="196" t="n">
        <v>0.06</v>
      </c>
      <c r="H76" s="177" t="inlineStr">
        <is>
          <t>HOLD</t>
        </is>
      </c>
      <c r="I76" s="196" t="n"/>
      <c r="J76" s="182" t="n">
        <v>46162</v>
      </c>
      <c r="K76" s="182" t="n">
        <v>46162</v>
      </c>
      <c r="L76" s="183" t="n">
        <v>130.85</v>
      </c>
      <c r="M76" s="182" t="n">
        <v>46163</v>
      </c>
      <c r="N76" s="183" t="n">
        <v>124.41</v>
      </c>
      <c r="O76" s="180" t="n">
        <v>0.005744</v>
      </c>
      <c r="P76" s="197" t="n">
        <v>-0.049217</v>
      </c>
      <c r="Q76" s="177" t="inlineStr">
        <is>
          <t>DOWN</t>
        </is>
      </c>
      <c r="R76" s="177" t="inlineStr">
        <is>
          <t>NO</t>
        </is>
      </c>
      <c r="S76" s="176" t="n">
        <v>0</v>
      </c>
      <c r="T76" s="197" t="n">
        <v>0</v>
      </c>
      <c r="U76" s="185" t="inlineStr">
        <is>
          <t>w=[0.80,0.20,0,0] thr=(+0.20,-0.10), deployed default promoted 2026-08-18 (PSR=0.964, permutation p=0.0002 at N=233, restricted search - see blend.py)</t>
        </is>
      </c>
      <c r="V76" s="152" t="inlineStr">
        <is>
          <t>FROZEN</t>
        </is>
      </c>
      <c r="W76" s="152" t="inlineStr">
        <is>
          <t>price signal — both moved; this one dominates</t>
        </is>
      </c>
      <c r="X76" s="152" t="inlineStr">
        <is>
          <t>WMT</t>
        </is>
      </c>
      <c r="Y76" s="152" t="inlineStr">
        <is>
          <t>2026-05-20</t>
        </is>
      </c>
      <c r="Z76" s="152" t="n">
        <v>130.85</v>
      </c>
      <c r="AA76" s="152" t="inlineStr">
        <is>
          <t>2026-05-21</t>
        </is>
      </c>
      <c r="AB76" s="152" t="n">
        <v>124.41</v>
      </c>
      <c r="AC76" s="152" t="n">
        <v>-0.04921667332594548</v>
      </c>
      <c r="AD76" s="152" t="inlineStr">
        <is>
          <t>DOWN</t>
        </is>
      </c>
      <c r="AE76" s="152" t="inlineStr">
        <is>
          <t>YES</t>
        </is>
      </c>
      <c r="AF76" s="152" t="n">
        <v>0.048217</v>
      </c>
      <c r="AG76" s="152">
        <f>IF($A76="","",IFERROR(INDEX(Company_List!$G$3:$G$207,MATCH($A76,Company_List!$A$3:$A$207,0)),"unassigned"))</f>
        <v/>
      </c>
      <c r="AH76" s="152" t="inlineStr">
        <is>
          <t>Phase 2/Walmart/Q1 2026/q1-fy27-earnings-release.pdf; Phase 2/Walmart/Q1 2026/q1-fy27-earnings-presentation.pdf; Phase 2/Walmart/Q1 2026/q1-fy27-earnings-call-transcript.pdf</t>
        </is>
      </c>
      <c r="AI76" s="152" t="n"/>
      <c r="AJ76" s="152" t="inlineStr">
        <is>
          <t>whole bundle (Document = All)</t>
        </is>
      </c>
      <c r="AK76" s="152">
        <f>IF($A76="","",IF(COUNTIFS(Human_Data_Entry!$A$3:$A$525,$A76)&gt;0,"YES","NO"))</f>
        <v/>
      </c>
      <c r="AL76" s="152">
        <f>IF($A76="","",IF(AND($C76&amp;"-"&amp;$D76&gt;=Settings!$B$19,$C76&amp;"-"&amp;$D76&lt;=Settings!$B$20),"IN","OUT"))</f>
        <v/>
      </c>
      <c r="AM76" s="152">
        <f>IF(AND(OR($H76="BUY",$H76="SELL"),ISNUMBER($T76)),$T76,"")</f>
        <v/>
      </c>
      <c r="AN76" s="152">
        <f>IF(AND(OR($H76="BUY",$H76="SELL"),ISNUMBER($AF76)),$AF76,"")</f>
        <v/>
      </c>
      <c r="AO76" s="152">
        <f>IF(ISNUMBER($AM76),ABS(IF(ISNUMBER($G76),$G76,0)-Settings!$B$25),"")</f>
        <v/>
      </c>
      <c r="AP76" s="152">
        <f>IF(ISNUMBER($AO76),$AO76*$AM76,"")</f>
        <v/>
      </c>
      <c r="AQ76" s="152">
        <f>IF(ISNUMBER($AN76),ABS(IF(ISNUMBER($G76),$G76,0)-Settings!$B$25),"")</f>
        <v/>
      </c>
      <c r="AR76" s="152">
        <f>IF(ISNUMBER($AQ76),$AQ76*$AN76,"")</f>
        <v/>
      </c>
      <c r="AS76" s="152">
        <f>IF($A76="","",IFERROR(INDEX(Company_List!$H$3:$H$207,MATCH($A76,Company_List!$A$3:$A$207,0)),"unassigned"))</f>
        <v/>
      </c>
      <c r="AT76" s="152" t="inlineStr">
        <is>
          <t>re-read since v1</t>
        </is>
      </c>
      <c r="AU76" s="152" t="inlineStr">
        <is>
          <t>Phase 2/Master_Data_v1.xlsx</t>
        </is>
      </c>
      <c r="AV76" s="152" t="n">
        <v>3</v>
      </c>
      <c r="AW76" s="152" t="inlineStr">
        <is>
          <t>FactSet CallStreet</t>
        </is>
      </c>
      <c r="AX76" s="152" t="inlineStr">
        <is>
          <t>licensed vendor</t>
        </is>
      </c>
      <c r="AY76" s="152" t="inlineStr">
        <is>
          <t>no</t>
        </is>
      </c>
      <c r="AZ76" s="152" t="inlineStr">
        <is>
          <t>no</t>
        </is>
      </c>
      <c r="BA76" s="152" t="inlineStr">
        <is>
          <t>YES</t>
        </is>
      </c>
      <c r="BB76" s="152" t="n"/>
    </row>
    <row r="77" ht="15" customHeight="1" s="241">
      <c r="A77" s="191" t="inlineStr">
        <is>
          <t>Walmart</t>
        </is>
      </c>
      <c r="B77" s="188" t="inlineStr">
        <is>
          <t>WMT</t>
        </is>
      </c>
      <c r="C77" s="176" t="n">
        <v>2025</v>
      </c>
      <c r="D77" s="177" t="inlineStr">
        <is>
          <t>Q2</t>
        </is>
      </c>
      <c r="E77" s="178" t="inlineStr">
        <is>
          <t>Ben/DeepSeek</t>
        </is>
      </c>
      <c r="F77" s="177" t="inlineStr">
        <is>
          <t>LLM</t>
        </is>
      </c>
      <c r="G77" s="196" t="n">
        <v>0.24</v>
      </c>
      <c r="H77" s="177" t="inlineStr">
        <is>
          <t>BUY</t>
        </is>
      </c>
      <c r="I77" s="196" t="n"/>
      <c r="J77" s="182" t="n">
        <v>45889</v>
      </c>
      <c r="K77" s="182" t="n">
        <v>45889</v>
      </c>
      <c r="L77" s="183" t="n">
        <v>102.57</v>
      </c>
      <c r="M77" s="182" t="n">
        <v>45890</v>
      </c>
      <c r="N77" s="183" t="n">
        <v>99.41</v>
      </c>
      <c r="O77" s="180" t="n">
        <v>0.005995</v>
      </c>
      <c r="P77" s="197" t="n">
        <v>-0.030808</v>
      </c>
      <c r="Q77" s="177" t="inlineStr">
        <is>
          <t>DOWN</t>
        </is>
      </c>
      <c r="R77" s="177" t="inlineStr">
        <is>
          <t>NO</t>
        </is>
      </c>
      <c r="S77" s="176" t="n">
        <v>1</v>
      </c>
      <c r="T77" s="197" t="n">
        <v>-0.031808</v>
      </c>
      <c r="U77" s="185" t="inlineStr">
        <is>
          <t>w=[0.80,0.20,0,0] thr=(+0.20,-0.10), deployed default promoted 2026-08-18 (PSR=0.964, permutation p=0.0002 at N=233, restricted search - see blend.py)</t>
        </is>
      </c>
      <c r="V77" s="152" t="inlineStr">
        <is>
          <t>FROZEN</t>
        </is>
      </c>
      <c r="W77" s="152" t="inlineStr">
        <is>
          <t>price signal — only this window shows an abnormal move</t>
        </is>
      </c>
      <c r="X77" s="152" t="inlineStr">
        <is>
          <t>WMT</t>
        </is>
      </c>
      <c r="Y77" s="152" t="inlineStr">
        <is>
          <t>2025-08-20</t>
        </is>
      </c>
      <c r="Z77" s="152" t="n">
        <v>101.9571</v>
      </c>
      <c r="AA77" s="152" t="inlineStr">
        <is>
          <t>2025-08-21</t>
        </is>
      </c>
      <c r="AB77" s="152" t="n">
        <v>98.816</v>
      </c>
      <c r="AC77" s="152" t="n">
        <v>-0.03080822646605782</v>
      </c>
      <c r="AD77" s="152" t="inlineStr">
        <is>
          <t>DOWN</t>
        </is>
      </c>
      <c r="AE77" s="152" t="inlineStr">
        <is>
          <t>NO</t>
        </is>
      </c>
      <c r="AF77" s="152" t="n">
        <v>0</v>
      </c>
      <c r="AG77" s="152">
        <f>IF($A77="","",IFERROR(INDEX(Company_List!$G$3:$G$207,MATCH($A77,Company_List!$A$3:$A$207,0)),"unassigned"))</f>
        <v/>
      </c>
      <c r="AH77" s="152" t="inlineStr">
        <is>
          <t>Phase 2/Walmart/Q2 2025/q2-fy26-earnings-release.pdf; Phase 2/Walmart/Q2 2025/q2-fy26-earnings-presentation.pdf; Phase 2/Walmart/Q2 2025/q2-fy26-earnings-call-transcript.pdf</t>
        </is>
      </c>
      <c r="AI77" s="152" t="n"/>
      <c r="AJ77" s="152" t="inlineStr">
        <is>
          <t>whole bundle (Document = All)</t>
        </is>
      </c>
      <c r="AK77" s="152">
        <f>IF($A77="","",IF(COUNTIFS(Human_Data_Entry!$A$3:$A$525,$A77)&gt;0,"YES","NO"))</f>
        <v/>
      </c>
      <c r="AL77" s="152">
        <f>IF($A77="","",IF(AND($C77&amp;"-"&amp;$D77&gt;=Settings!$B$19,$C77&amp;"-"&amp;$D77&lt;=Settings!$B$20),"IN","OUT"))</f>
        <v/>
      </c>
      <c r="AM77" s="152">
        <f>IF(AND(OR($H77="BUY",$H77="SELL"),ISNUMBER($T77)),$T77,"")</f>
        <v/>
      </c>
      <c r="AN77" s="152">
        <f>IF(AND(OR($H77="BUY",$H77="SELL"),ISNUMBER($AF77)),$AF77,"")</f>
        <v/>
      </c>
      <c r="AO77" s="152">
        <f>IF(ISNUMBER($AM77),ABS(IF(ISNUMBER($G77),$G77,0)-Settings!$B$25),"")</f>
        <v/>
      </c>
      <c r="AP77" s="152">
        <f>IF(ISNUMBER($AO77),$AO77*$AM77,"")</f>
        <v/>
      </c>
      <c r="AQ77" s="152">
        <f>IF(ISNUMBER($AN77),ABS(IF(ISNUMBER($G77),$G77,0)-Settings!$B$25),"")</f>
        <v/>
      </c>
      <c r="AR77" s="152">
        <f>IF(ISNUMBER($AQ77),$AQ77*$AN77,"")</f>
        <v/>
      </c>
      <c r="AS77" s="152">
        <f>IF($A77="","",IFERROR(INDEX(Company_List!$H$3:$H$207,MATCH($A77,Company_List!$A$3:$A$207,0)),"unassigned"))</f>
        <v/>
      </c>
      <c r="AT77" s="152" t="inlineStr">
        <is>
          <t>re-read since v1</t>
        </is>
      </c>
      <c r="AU77" s="152" t="inlineStr">
        <is>
          <t>Phase 2/Master_Data_v1.xlsx</t>
        </is>
      </c>
      <c r="AV77" s="152" t="n">
        <v>3</v>
      </c>
      <c r="AW77" s="152" t="inlineStr">
        <is>
          <t>FactSet CallStreet</t>
        </is>
      </c>
      <c r="AX77" s="152" t="inlineStr">
        <is>
          <t>licensed vendor</t>
        </is>
      </c>
      <c r="AY77" s="152" t="inlineStr">
        <is>
          <t>no</t>
        </is>
      </c>
      <c r="AZ77" s="152" t="inlineStr">
        <is>
          <t>no</t>
        </is>
      </c>
      <c r="BA77" s="152" t="inlineStr">
        <is>
          <t>YES</t>
        </is>
      </c>
      <c r="BB77" s="152" t="n"/>
    </row>
    <row r="78" ht="15" customHeight="1" s="241">
      <c r="A78" s="191" t="inlineStr">
        <is>
          <t>Walmart</t>
        </is>
      </c>
      <c r="B78" s="188" t="inlineStr">
        <is>
          <t>WMT</t>
        </is>
      </c>
      <c r="C78" s="176" t="n">
        <v>2025</v>
      </c>
      <c r="D78" s="177" t="inlineStr">
        <is>
          <t>Q3</t>
        </is>
      </c>
      <c r="E78" s="178" t="inlineStr">
        <is>
          <t>Ben/DeepSeek</t>
        </is>
      </c>
      <c r="F78" s="177" t="inlineStr">
        <is>
          <t>LLM</t>
        </is>
      </c>
      <c r="G78" s="196" t="n">
        <v>0.42</v>
      </c>
      <c r="H78" s="177" t="inlineStr">
        <is>
          <t>BUY</t>
        </is>
      </c>
      <c r="I78" s="196" t="n"/>
      <c r="J78" s="182" t="n">
        <v>45980</v>
      </c>
      <c r="K78" s="182" t="n">
        <v>45980</v>
      </c>
      <c r="L78" s="183" t="n">
        <v>100.61</v>
      </c>
      <c r="M78" s="182" t="n">
        <v>45981</v>
      </c>
      <c r="N78" s="183" t="n">
        <v>103.94</v>
      </c>
      <c r="O78" s="180" t="n">
        <v>0.005502</v>
      </c>
      <c r="P78" s="197" t="n">
        <v>0.033098</v>
      </c>
      <c r="Q78" s="177" t="inlineStr">
        <is>
          <t>UP</t>
        </is>
      </c>
      <c r="R78" s="177" t="inlineStr">
        <is>
          <t>YES</t>
        </is>
      </c>
      <c r="S78" s="176" t="n">
        <v>1</v>
      </c>
      <c r="T78" s="197" t="n">
        <v>0.032098</v>
      </c>
      <c r="U78" s="185" t="inlineStr">
        <is>
          <t>w=[0.80,0.20,0,0] thr=(+0.20,-0.10), deployed default promoted 2026-08-18 (PSR=0.964, permutation p=0.0002 at N=233, restricted search - see blend.py)</t>
        </is>
      </c>
      <c r="V78" s="152" t="inlineStr">
        <is>
          <t>FROZEN</t>
        </is>
      </c>
      <c r="W78" s="152" t="inlineStr">
        <is>
          <t>price signal — only this window shows an abnormal move</t>
        </is>
      </c>
      <c r="X78" s="152" t="inlineStr">
        <is>
          <t>WMT</t>
        </is>
      </c>
      <c r="Y78" s="152" t="inlineStr">
        <is>
          <t>2025-11-19</t>
        </is>
      </c>
      <c r="Z78" s="152" t="n">
        <v>100.0088</v>
      </c>
      <c r="AA78" s="152" t="inlineStr">
        <is>
          <t>2025-11-20</t>
        </is>
      </c>
      <c r="AB78" s="152" t="n">
        <v>103.3189</v>
      </c>
      <c r="AC78" s="152" t="n">
        <v>0.03309815846942354</v>
      </c>
      <c r="AD78" s="152" t="inlineStr">
        <is>
          <t>UP</t>
        </is>
      </c>
      <c r="AE78" s="152" t="inlineStr">
        <is>
          <t>YES</t>
        </is>
      </c>
      <c r="AF78" s="152" t="n">
        <v>0.032098</v>
      </c>
      <c r="AG78" s="152">
        <f>IF($A78="","",IFERROR(INDEX(Company_List!$G$3:$G$207,MATCH($A78,Company_List!$A$3:$A$207,0)),"unassigned"))</f>
        <v/>
      </c>
      <c r="AH78" s="152" t="inlineStr">
        <is>
          <t>Phase 2/Walmart/Q3 2025/q3-fy26-earnings-release.pdf; Phase 2/Walmart/Q3 2025/q3-fy26-earnings-presentation.pdf; Phase 2/Walmart/Q3 2025/q3-fy26-earnings-call-transcript.pdf</t>
        </is>
      </c>
      <c r="AI78" s="152" t="n"/>
      <c r="AJ78" s="152" t="inlineStr">
        <is>
          <t>whole bundle (Document = All)</t>
        </is>
      </c>
      <c r="AK78" s="152">
        <f>IF($A78="","",IF(COUNTIFS(Human_Data_Entry!$A$3:$A$525,$A78)&gt;0,"YES","NO"))</f>
        <v/>
      </c>
      <c r="AL78" s="152">
        <f>IF($A78="","",IF(AND($C78&amp;"-"&amp;$D78&gt;=Settings!$B$19,$C78&amp;"-"&amp;$D78&lt;=Settings!$B$20),"IN","OUT"))</f>
        <v/>
      </c>
      <c r="AM78" s="152">
        <f>IF(AND(OR($H78="BUY",$H78="SELL"),ISNUMBER($T78)),$T78,"")</f>
        <v/>
      </c>
      <c r="AN78" s="152">
        <f>IF(AND(OR($H78="BUY",$H78="SELL"),ISNUMBER($AF78)),$AF78,"")</f>
        <v/>
      </c>
      <c r="AO78" s="152">
        <f>IF(ISNUMBER($AM78),ABS(IF(ISNUMBER($G78),$G78,0)-Settings!$B$25),"")</f>
        <v/>
      </c>
      <c r="AP78" s="152">
        <f>IF(ISNUMBER($AO78),$AO78*$AM78,"")</f>
        <v/>
      </c>
      <c r="AQ78" s="152">
        <f>IF(ISNUMBER($AN78),ABS(IF(ISNUMBER($G78),$G78,0)-Settings!$B$25),"")</f>
        <v/>
      </c>
      <c r="AR78" s="152">
        <f>IF(ISNUMBER($AQ78),$AQ78*$AN78,"")</f>
        <v/>
      </c>
      <c r="AS78" s="152">
        <f>IF($A78="","",IFERROR(INDEX(Company_List!$H$3:$H$207,MATCH($A78,Company_List!$A$3:$A$207,0)),"unassigned"))</f>
        <v/>
      </c>
      <c r="AT78" s="152" t="inlineStr">
        <is>
          <t>re-read since v1</t>
        </is>
      </c>
      <c r="AU78" s="152" t="inlineStr">
        <is>
          <t>Phase 2/Master_Data_v1.xlsx</t>
        </is>
      </c>
      <c r="AV78" s="152" t="n">
        <v>3</v>
      </c>
      <c r="AW78" s="152" t="inlineStr">
        <is>
          <t>FactSet CallStreet</t>
        </is>
      </c>
      <c r="AX78" s="152" t="inlineStr">
        <is>
          <t>licensed vendor</t>
        </is>
      </c>
      <c r="AY78" s="152" t="inlineStr">
        <is>
          <t>no</t>
        </is>
      </c>
      <c r="AZ78" s="152" t="inlineStr">
        <is>
          <t>no</t>
        </is>
      </c>
      <c r="BA78" s="152" t="inlineStr">
        <is>
          <t>YES</t>
        </is>
      </c>
      <c r="BB78" s="152" t="n"/>
    </row>
    <row r="79" ht="15" customHeight="1" s="241">
      <c r="A79" s="191" t="inlineStr">
        <is>
          <t>Walmart</t>
        </is>
      </c>
      <c r="B79" s="188" t="inlineStr">
        <is>
          <t>WMT</t>
        </is>
      </c>
      <c r="C79" s="176" t="n">
        <v>2025</v>
      </c>
      <c r="D79" s="177" t="inlineStr">
        <is>
          <t>Q4</t>
        </is>
      </c>
      <c r="E79" s="178" t="inlineStr">
        <is>
          <t>Ben/DeepSeek</t>
        </is>
      </c>
      <c r="F79" s="177" t="inlineStr">
        <is>
          <t>LLM</t>
        </is>
      </c>
      <c r="G79" s="196" t="n">
        <v>0.22</v>
      </c>
      <c r="H79" s="177" t="inlineStr">
        <is>
          <t>BUY</t>
        </is>
      </c>
      <c r="I79" s="196" t="n"/>
      <c r="J79" s="182" t="n">
        <v>46071</v>
      </c>
      <c r="K79" s="182" t="n">
        <v>46071</v>
      </c>
      <c r="L79" s="183" t="n">
        <v>126.62</v>
      </c>
      <c r="M79" s="182" t="n">
        <v>46072</v>
      </c>
      <c r="N79" s="183" t="n">
        <v>128.5</v>
      </c>
      <c r="O79" s="180" t="n">
        <v>0.006738</v>
      </c>
      <c r="P79" s="197" t="n">
        <v>0.014848</v>
      </c>
      <c r="Q79" s="177" t="inlineStr">
        <is>
          <t>FLAT</t>
        </is>
      </c>
      <c r="R79" s="177" t="inlineStr">
        <is>
          <t>NO</t>
        </is>
      </c>
      <c r="S79" s="176" t="n">
        <v>1</v>
      </c>
      <c r="T79" s="197" t="n">
        <v>0.013848</v>
      </c>
      <c r="U79" s="185" t="inlineStr">
        <is>
          <t>w=[0.80,0.20,0,0] thr=(+0.20,-0.10), deployed default promoted 2026-08-18 (PSR=0.964, permutation p=0.0002 at N=233, restricted search - see blend.py)</t>
        </is>
      </c>
      <c r="V79" s="152" t="inlineStr">
        <is>
          <t>FROZEN</t>
        </is>
      </c>
      <c r="W79" s="152" t="inlineStr">
        <is>
          <t>price signal — only this window shows an abnormal move</t>
        </is>
      </c>
      <c r="X79" s="152" t="inlineStr">
        <is>
          <t>WMT</t>
        </is>
      </c>
      <c r="Y79" s="152" t="inlineStr">
        <is>
          <t>2026-02-18</t>
        </is>
      </c>
      <c r="Z79" s="152" t="n">
        <v>126.12</v>
      </c>
      <c r="AA79" s="152" t="inlineStr">
        <is>
          <t>2026-02-19</t>
        </is>
      </c>
      <c r="AB79" s="152" t="n">
        <v>127.9926</v>
      </c>
      <c r="AC79" s="152" t="n">
        <v>0.01484756150853842</v>
      </c>
      <c r="AD79" s="152" t="inlineStr">
        <is>
          <t>FLAT</t>
        </is>
      </c>
      <c r="AE79" s="152" t="inlineStr">
        <is>
          <t>YES</t>
        </is>
      </c>
      <c r="AF79" s="152" t="n">
        <v>0</v>
      </c>
      <c r="AG79" s="152">
        <f>IF($A79="","",IFERROR(INDEX(Company_List!$G$3:$G$207,MATCH($A79,Company_List!$A$3:$A$207,0)),"unassigned"))</f>
        <v/>
      </c>
      <c r="AH79" s="152" t="inlineStr">
        <is>
          <t>Phase 2/Walmart/Q4 2025/q4-fy26-earnings-release.pdf; Phase 2/Walmart/Q4 2025/q4-fy26-earnings-presentation.pdf; Phase 2/Walmart/Q4 2025/q4-fy26-earnings-call-transcript.pdf</t>
        </is>
      </c>
      <c r="AI79" s="152" t="n"/>
      <c r="AJ79" s="152" t="inlineStr">
        <is>
          <t>whole bundle (Document = All)</t>
        </is>
      </c>
      <c r="AK79" s="152">
        <f>IF($A79="","",IF(COUNTIFS(Human_Data_Entry!$A$3:$A$525,$A79)&gt;0,"YES","NO"))</f>
        <v/>
      </c>
      <c r="AL79" s="152">
        <f>IF($A79="","",IF(AND($C79&amp;"-"&amp;$D79&gt;=Settings!$B$19,$C79&amp;"-"&amp;$D79&lt;=Settings!$B$20),"IN","OUT"))</f>
        <v/>
      </c>
      <c r="AM79" s="152">
        <f>IF(AND(OR($H79="BUY",$H79="SELL"),ISNUMBER($T79)),$T79,"")</f>
        <v/>
      </c>
      <c r="AN79" s="152">
        <f>IF(AND(OR($H79="BUY",$H79="SELL"),ISNUMBER($AF79)),$AF79,"")</f>
        <v/>
      </c>
      <c r="AO79" s="152">
        <f>IF(ISNUMBER($AM79),ABS(IF(ISNUMBER($G79),$G79,0)-Settings!$B$25),"")</f>
        <v/>
      </c>
      <c r="AP79" s="152">
        <f>IF(ISNUMBER($AO79),$AO79*$AM79,"")</f>
        <v/>
      </c>
      <c r="AQ79" s="152">
        <f>IF(ISNUMBER($AN79),ABS(IF(ISNUMBER($G79),$G79,0)-Settings!$B$25),"")</f>
        <v/>
      </c>
      <c r="AR79" s="152">
        <f>IF(ISNUMBER($AQ79),$AQ79*$AN79,"")</f>
        <v/>
      </c>
      <c r="AS79" s="152">
        <f>IF($A79="","",IFERROR(INDEX(Company_List!$H$3:$H$207,MATCH($A79,Company_List!$A$3:$A$207,0)),"unassigned"))</f>
        <v/>
      </c>
      <c r="AT79" s="152" t="inlineStr">
        <is>
          <t>re-read since v1</t>
        </is>
      </c>
      <c r="AU79" s="152" t="inlineStr">
        <is>
          <t>Phase 2/Master_Data_v1.xlsx</t>
        </is>
      </c>
      <c r="AV79" s="152" t="n">
        <v>3</v>
      </c>
      <c r="AW79" s="152" t="inlineStr">
        <is>
          <t>FactSet CallStreet</t>
        </is>
      </c>
      <c r="AX79" s="152" t="inlineStr">
        <is>
          <t>licensed vendor</t>
        </is>
      </c>
      <c r="AY79" s="152" t="inlineStr">
        <is>
          <t>no</t>
        </is>
      </c>
      <c r="AZ79" s="152" t="inlineStr">
        <is>
          <t>no</t>
        </is>
      </c>
      <c r="BA79" s="152" t="inlineStr">
        <is>
          <t>YES</t>
        </is>
      </c>
      <c r="BB79" s="152" t="n"/>
    </row>
    <row r="80" ht="15" customHeight="1" s="241">
      <c r="A80" s="191" t="inlineStr">
        <is>
          <t>Bank of America</t>
        </is>
      </c>
      <c r="B80" s="188" t="inlineStr">
        <is>
          <t>BAC</t>
        </is>
      </c>
      <c r="C80" s="176" t="n">
        <v>2025</v>
      </c>
      <c r="D80" s="177" t="inlineStr">
        <is>
          <t>Q1</t>
        </is>
      </c>
      <c r="E80" s="178" t="inlineStr">
        <is>
          <t>Ben/DeepSeek</t>
        </is>
      </c>
      <c r="F80" s="177" t="inlineStr">
        <is>
          <t>LLM</t>
        </is>
      </c>
      <c r="G80" s="196" t="n">
        <v>-0.06</v>
      </c>
      <c r="H80" s="177" t="inlineStr">
        <is>
          <t>HOLD</t>
        </is>
      </c>
      <c r="I80" s="196" t="n"/>
      <c r="J80" s="182" t="n">
        <v>45762</v>
      </c>
      <c r="K80" s="182" t="n">
        <v>45761</v>
      </c>
      <c r="L80" s="183" t="n">
        <v>36.67</v>
      </c>
      <c r="M80" s="182" t="n">
        <v>45762</v>
      </c>
      <c r="N80" s="183" t="n">
        <v>37.8</v>
      </c>
      <c r="O80" s="180" t="n">
        <v>0.006709</v>
      </c>
      <c r="P80" s="197" t="n">
        <v>0.030815</v>
      </c>
      <c r="Q80" s="177" t="inlineStr">
        <is>
          <t>UP</t>
        </is>
      </c>
      <c r="R80" s="177" t="inlineStr">
        <is>
          <t>NO</t>
        </is>
      </c>
      <c r="S80" s="176" t="n">
        <v>0</v>
      </c>
      <c r="T80" s="197" t="n">
        <v>0</v>
      </c>
      <c r="U80" s="185" t="inlineStr">
        <is>
          <t>w=[0.80,0.20,0,0] thr=(+0.20,-0.10), deployed default promoted 2026-08-18 (PSR=0.964, permutation p=0.0002 at N=233, restricted search - see blend.py)</t>
        </is>
      </c>
      <c r="V80" s="152" t="inlineStr">
        <is>
          <t>FROZEN</t>
        </is>
      </c>
      <c r="W80" s="152" t="inlineStr">
        <is>
          <t>price signal — only this window shows an abnormal move</t>
        </is>
      </c>
      <c r="X80" s="152" t="inlineStr">
        <is>
          <t>BAC</t>
        </is>
      </c>
      <c r="Y80" s="152" t="inlineStr">
        <is>
          <t>2025-04-14</t>
        </is>
      </c>
      <c r="Z80" s="152" t="n">
        <v>35.678</v>
      </c>
      <c r="AA80" s="152" t="inlineStr">
        <is>
          <t>2025-04-15</t>
        </is>
      </c>
      <c r="AB80" s="152" t="n">
        <v>36.7774</v>
      </c>
      <c r="AC80" s="152" t="n">
        <v>0.03081528922337576</v>
      </c>
      <c r="AD80" s="152" t="inlineStr">
        <is>
          <t>UP</t>
        </is>
      </c>
      <c r="AE80" s="152" t="inlineStr">
        <is>
          <t>NO</t>
        </is>
      </c>
      <c r="AF80" s="152" t="n">
        <v>-0.031815</v>
      </c>
      <c r="AG80" s="152">
        <f>IF($A80="","",IFERROR(INDEX(Company_List!$G$3:$G$207,MATCH($A80,Company_List!$A$3:$A$207,0)),"unassigned"))</f>
        <v/>
      </c>
      <c r="AH80" s="152" t="inlineStr">
        <is>
          <t>Phase 2/bank of america/2025-Q1/BAC-2025-Q1-press-release-SEC-EX-99-1.htm; Phase 2/bank of america/2025-Q1/BAC-2025-Q1-earnings-call-transcript-roic-ai.html</t>
        </is>
      </c>
      <c r="AI80" s="152" t="inlineStr">
        <is>
          <t>https://www.sec.gov/Archives/edgar/data/70858/000007085825000187/bac033125ex991.htm; roic.ai API /v2/company/earnings-calls/transcript/BAC?year=2025&amp;quarter=1</t>
        </is>
      </c>
      <c r="AJ80" s="152" t="inlineStr">
        <is>
          <t>manifest (whole bundle)</t>
        </is>
      </c>
      <c r="AK80" s="152">
        <f>IF($A80="","",IF(COUNTIFS(Human_Data_Entry!$A$3:$A$525,$A80)&gt;0,"YES","NO"))</f>
        <v/>
      </c>
      <c r="AL80" s="152">
        <f>IF($A80="","",IF(AND($C80&amp;"-"&amp;$D80&gt;=Settings!$B$19,$C80&amp;"-"&amp;$D80&lt;=Settings!$B$20),"IN","OUT"))</f>
        <v/>
      </c>
      <c r="AM80" s="152">
        <f>IF(AND(OR($H80="BUY",$H80="SELL"),ISNUMBER($T80)),$T80,"")</f>
        <v/>
      </c>
      <c r="AN80" s="152">
        <f>IF(AND(OR($H80="BUY",$H80="SELL"),ISNUMBER($AF80)),$AF80,"")</f>
        <v/>
      </c>
      <c r="AO80" s="152">
        <f>IF(ISNUMBER($AM80),ABS(IF(ISNUMBER($G80),$G80,0)-Settings!$B$25),"")</f>
        <v/>
      </c>
      <c r="AP80" s="152">
        <f>IF(ISNUMBER($AO80),$AO80*$AM80,"")</f>
        <v/>
      </c>
      <c r="AQ80" s="152">
        <f>IF(ISNUMBER($AN80),ABS(IF(ISNUMBER($G80),$G80,0)-Settings!$B$25),"")</f>
        <v/>
      </c>
      <c r="AR80" s="152">
        <f>IF(ISNUMBER($AQ80),$AQ80*$AN80,"")</f>
        <v/>
      </c>
      <c r="AS80" s="152">
        <f>IF($A80="","",IFERROR(INDEX(Company_List!$H$3:$H$207,MATCH($A80,Company_List!$A$3:$A$207,0)),"unassigned"))</f>
        <v/>
      </c>
      <c r="AT80" s="152" t="inlineStr">
        <is>
          <t>re-read since v1</t>
        </is>
      </c>
      <c r="AU80" s="152" t="inlineStr">
        <is>
          <t>Phase 2/Master_Data_v1.xlsx</t>
        </is>
      </c>
      <c r="AV80" s="152" t="n">
        <v>2</v>
      </c>
      <c r="AW80" s="152" t="inlineStr">
        <is>
          <t>not publisher-identified</t>
        </is>
      </c>
      <c r="AX80" s="152" t="inlineStr">
        <is>
          <t>not publisher-identified</t>
        </is>
      </c>
      <c r="AY80" s="152" t="inlineStr">
        <is>
          <t>no</t>
        </is>
      </c>
      <c r="AZ80" s="152" t="inlineStr">
        <is>
          <t>yes</t>
        </is>
      </c>
      <c r="BA80" s="152" t="inlineStr">
        <is>
          <t>YES</t>
        </is>
      </c>
      <c r="BB80" s="152" t="n"/>
    </row>
    <row r="81" ht="15" customHeight="1" s="241">
      <c r="A81" s="191" t="inlineStr">
        <is>
          <t>Bank of America</t>
        </is>
      </c>
      <c r="B81" s="188" t="inlineStr">
        <is>
          <t>BAC</t>
        </is>
      </c>
      <c r="C81" s="176" t="n">
        <v>2025</v>
      </c>
      <c r="D81" s="177" t="inlineStr">
        <is>
          <t>Q2</t>
        </is>
      </c>
      <c r="E81" s="178" t="inlineStr">
        <is>
          <t>Ben/DeepSeek</t>
        </is>
      </c>
      <c r="F81" s="177" t="inlineStr">
        <is>
          <t>LLM</t>
        </is>
      </c>
      <c r="G81" s="196" t="n">
        <v>0.14</v>
      </c>
      <c r="H81" s="177" t="inlineStr">
        <is>
          <t>HOLD</t>
        </is>
      </c>
      <c r="I81" s="196" t="n"/>
      <c r="J81" s="182" t="n">
        <v>45853</v>
      </c>
      <c r="K81" s="182" t="n">
        <v>45853</v>
      </c>
      <c r="L81" s="183" t="n">
        <v>46.15</v>
      </c>
      <c r="M81" s="182" t="n">
        <v>45854</v>
      </c>
      <c r="N81" s="183" t="n">
        <v>46.25</v>
      </c>
      <c r="O81" s="180" t="n">
        <v>0.007113</v>
      </c>
      <c r="P81" s="197" t="n">
        <v>0.002167</v>
      </c>
      <c r="Q81" s="177" t="inlineStr">
        <is>
          <t>FLAT</t>
        </is>
      </c>
      <c r="R81" s="177" t="inlineStr">
        <is>
          <t>YES</t>
        </is>
      </c>
      <c r="S81" s="176" t="n">
        <v>0</v>
      </c>
      <c r="T81" s="197" t="n">
        <v>0</v>
      </c>
      <c r="U81" s="185" t="inlineStr">
        <is>
          <t>w=[0.80,0.20,0,0] thr=(+0.20,-0.10), deployed default promoted 2026-08-18 (PSR=0.964, permutation p=0.0002 at N=233, restricted search - see blend.py) | report_date ambiguous (multiple candidate trading days), unreviewed - see phase2/report_dates.json</t>
        </is>
      </c>
      <c r="V81" s="152" t="inlineStr">
        <is>
          <t>FROZEN</t>
        </is>
      </c>
      <c r="W81" s="152" t="inlineStr">
        <is>
          <t>price signal</t>
        </is>
      </c>
      <c r="X81" s="152" t="inlineStr">
        <is>
          <t>BAC</t>
        </is>
      </c>
      <c r="Y81" s="152" t="inlineStr">
        <is>
          <t>2025-07-14</t>
        </is>
      </c>
      <c r="Z81" s="152" t="n">
        <v>46.0665</v>
      </c>
      <c r="AA81" s="152" t="inlineStr">
        <is>
          <t>2025-07-15</t>
        </is>
      </c>
      <c r="AB81" s="152" t="n">
        <v>45.8806</v>
      </c>
      <c r="AC81" s="152" t="n">
        <v>-0.004036662747253092</v>
      </c>
      <c r="AD81" s="152" t="inlineStr">
        <is>
          <t>FLAT</t>
        </is>
      </c>
      <c r="AE81" s="152" t="inlineStr">
        <is>
          <t>YES</t>
        </is>
      </c>
      <c r="AF81" s="152" t="n">
        <v>0</v>
      </c>
      <c r="AG81" s="152">
        <f>IF($A81="","",IFERROR(INDEX(Company_List!$G$3:$G$207,MATCH($A81,Company_List!$A$3:$A$207,0)),"unassigned"))</f>
        <v/>
      </c>
      <c r="AH81" s="152" t="inlineStr">
        <is>
          <t>Phase 2/bank of america/2025-Q2/BAC-2025-Q2-press-release-SEC-EX-99-1.htm; Phase 2/bank of america/2025-Q2/BAC-2025-Q2-earnings-call-transcript-news-alphastreet-com.html</t>
        </is>
      </c>
      <c r="AI81" s="152" t="inlineStr">
        <is>
          <t>https://news.alphastreet.com/bank-of-america-corporation-bac-q2-2025-earnings-call-transcript/; https://www.sec.gov/Archives/edgar/data/70858/000007085825000254/bac063025ex991.htm</t>
        </is>
      </c>
      <c r="AJ81" s="152" t="inlineStr">
        <is>
          <t>manifest (whole bundle)</t>
        </is>
      </c>
      <c r="AK81" s="152">
        <f>IF($A81="","",IF(COUNTIFS(Human_Data_Entry!$A$3:$A$525,$A81)&gt;0,"YES","NO"))</f>
        <v/>
      </c>
      <c r="AL81" s="152">
        <f>IF($A81="","",IF(AND($C81&amp;"-"&amp;$D81&gt;=Settings!$B$19,$C81&amp;"-"&amp;$D81&lt;=Settings!$B$20),"IN","OUT"))</f>
        <v/>
      </c>
      <c r="AM81" s="152">
        <f>IF(AND(OR($H81="BUY",$H81="SELL"),ISNUMBER($T81)),$T81,"")</f>
        <v/>
      </c>
      <c r="AN81" s="152">
        <f>IF(AND(OR($H81="BUY",$H81="SELL"),ISNUMBER($AF81)),$AF81,"")</f>
        <v/>
      </c>
      <c r="AO81" s="152">
        <f>IF(ISNUMBER($AM81),ABS(IF(ISNUMBER($G81),$G81,0)-Settings!$B$25),"")</f>
        <v/>
      </c>
      <c r="AP81" s="152">
        <f>IF(ISNUMBER($AO81),$AO81*$AM81,"")</f>
        <v/>
      </c>
      <c r="AQ81" s="152">
        <f>IF(ISNUMBER($AN81),ABS(IF(ISNUMBER($G81),$G81,0)-Settings!$B$25),"")</f>
        <v/>
      </c>
      <c r="AR81" s="152">
        <f>IF(ISNUMBER($AQ81),$AQ81*$AN81,"")</f>
        <v/>
      </c>
      <c r="AS81" s="152">
        <f>IF($A81="","",IFERROR(INDEX(Company_List!$H$3:$H$207,MATCH($A81,Company_List!$A$3:$A$207,0)),"unassigned"))</f>
        <v/>
      </c>
      <c r="AT81" s="152" t="inlineStr">
        <is>
          <t>re-read since v1</t>
        </is>
      </c>
      <c r="AU81" s="152" t="inlineStr">
        <is>
          <t>Phase 2/Master_Data_v1.xlsx</t>
        </is>
      </c>
      <c r="AV81" s="152" t="n">
        <v>2</v>
      </c>
      <c r="AW81" s="152" t="inlineStr">
        <is>
          <t>not publisher-identified</t>
        </is>
      </c>
      <c r="AX81" s="152" t="inlineStr">
        <is>
          <t>not publisher-identified</t>
        </is>
      </c>
      <c r="AY81" s="152" t="inlineStr">
        <is>
          <t>no</t>
        </is>
      </c>
      <c r="AZ81" s="152" t="inlineStr">
        <is>
          <t>yes</t>
        </is>
      </c>
      <c r="BA81" s="152" t="inlineStr">
        <is>
          <t>YES</t>
        </is>
      </c>
      <c r="BB81" s="152" t="n"/>
    </row>
    <row r="82" ht="15" customHeight="1" s="241">
      <c r="A82" s="191" t="inlineStr">
        <is>
          <t>Bank of America</t>
        </is>
      </c>
      <c r="B82" s="188" t="inlineStr">
        <is>
          <t>BAC</t>
        </is>
      </c>
      <c r="C82" s="176" t="n">
        <v>2025</v>
      </c>
      <c r="D82" s="177" t="inlineStr">
        <is>
          <t>Q3</t>
        </is>
      </c>
      <c r="E82" s="178" t="inlineStr">
        <is>
          <t>Ben/DeepSeek</t>
        </is>
      </c>
      <c r="F82" s="177" t="inlineStr">
        <is>
          <t>LLM</t>
        </is>
      </c>
      <c r="G82" s="196" t="n">
        <v>0.3</v>
      </c>
      <c r="H82" s="177" t="inlineStr">
        <is>
          <t>BUY</t>
        </is>
      </c>
      <c r="I82" s="196" t="n"/>
      <c r="J82" s="182" t="n">
        <v>45944</v>
      </c>
      <c r="K82" s="182" t="n">
        <v>45944</v>
      </c>
      <c r="L82" s="183" t="n">
        <v>50.09</v>
      </c>
      <c r="M82" s="182" t="n">
        <v>45945</v>
      </c>
      <c r="N82" s="183" t="n">
        <v>51.57</v>
      </c>
      <c r="O82" s="180" t="n">
        <v>0.007099</v>
      </c>
      <c r="P82" s="197" t="n">
        <v>0.029547</v>
      </c>
      <c r="Q82" s="177" t="inlineStr">
        <is>
          <t>UP</t>
        </is>
      </c>
      <c r="R82" s="177" t="inlineStr">
        <is>
          <t>YES</t>
        </is>
      </c>
      <c r="S82" s="176" t="n">
        <v>1</v>
      </c>
      <c r="T82" s="197" t="n">
        <v>0.028547</v>
      </c>
      <c r="U82" s="185" t="inlineStr">
        <is>
          <t>w=[0.80,0.20,0,0] thr=(+0.20,-0.10), deployed default promoted 2026-08-18 (PSR=0.964, permutation p=0.0002 at N=233, restricted search - see blend.py)</t>
        </is>
      </c>
      <c r="V82" s="152" t="inlineStr">
        <is>
          <t>FROZEN</t>
        </is>
      </c>
      <c r="W82" s="152" t="inlineStr">
        <is>
          <t>price signal — both moved; this one dominates</t>
        </is>
      </c>
      <c r="X82" s="152" t="inlineStr">
        <is>
          <t>BAC</t>
        </is>
      </c>
      <c r="Y82" s="152" t="inlineStr">
        <is>
          <t>2025-10-14</t>
        </is>
      </c>
      <c r="Z82" s="152" t="n">
        <v>49.2948</v>
      </c>
      <c r="AA82" s="152" t="inlineStr">
        <is>
          <t>2025-10-15</t>
        </is>
      </c>
      <c r="AB82" s="152" t="n">
        <v>50.7513</v>
      </c>
      <c r="AC82" s="152" t="n">
        <v>0.02954688252887193</v>
      </c>
      <c r="AD82" s="152" t="inlineStr">
        <is>
          <t>UP</t>
        </is>
      </c>
      <c r="AE82" s="152" t="inlineStr">
        <is>
          <t>YES</t>
        </is>
      </c>
      <c r="AF82" s="152" t="n">
        <v>0.028547</v>
      </c>
      <c r="AG82" s="152">
        <f>IF($A82="","",IFERROR(INDEX(Company_List!$G$3:$G$207,MATCH($A82,Company_List!$A$3:$A$207,0)),"unassigned"))</f>
        <v/>
      </c>
      <c r="AH82" s="152" t="inlineStr">
        <is>
          <t>Phase 2/bank of america/2025-Q3/BAC-2025-Q3-press-release-SEC-EX-99-1.htm; Phase 2/bank of america/2025-Q3/BAC-2025-Q3-earnings-call-transcript-news-alphastreet-com.html</t>
        </is>
      </c>
      <c r="AI82" s="152" t="inlineStr">
        <is>
          <t>https://news.alphastreet.com/bank-of-america-corporation-bac-q3-2025-earnings-call-transcript/; https://www.sec.gov/Archives/edgar/data/70858/000007085825000390/bac093025ex991.htm</t>
        </is>
      </c>
      <c r="AJ82" s="152" t="inlineStr">
        <is>
          <t>manifest (whole bundle)</t>
        </is>
      </c>
      <c r="AK82" s="152">
        <f>IF($A82="","",IF(COUNTIFS(Human_Data_Entry!$A$3:$A$525,$A82)&gt;0,"YES","NO"))</f>
        <v/>
      </c>
      <c r="AL82" s="152">
        <f>IF($A82="","",IF(AND($C82&amp;"-"&amp;$D82&gt;=Settings!$B$19,$C82&amp;"-"&amp;$D82&lt;=Settings!$B$20),"IN","OUT"))</f>
        <v/>
      </c>
      <c r="AM82" s="152">
        <f>IF(AND(OR($H82="BUY",$H82="SELL"),ISNUMBER($T82)),$T82,"")</f>
        <v/>
      </c>
      <c r="AN82" s="152">
        <f>IF(AND(OR($H82="BUY",$H82="SELL"),ISNUMBER($AF82)),$AF82,"")</f>
        <v/>
      </c>
      <c r="AO82" s="152">
        <f>IF(ISNUMBER($AM82),ABS(IF(ISNUMBER($G82),$G82,0)-Settings!$B$25),"")</f>
        <v/>
      </c>
      <c r="AP82" s="152">
        <f>IF(ISNUMBER($AO82),$AO82*$AM82,"")</f>
        <v/>
      </c>
      <c r="AQ82" s="152">
        <f>IF(ISNUMBER($AN82),ABS(IF(ISNUMBER($G82),$G82,0)-Settings!$B$25),"")</f>
        <v/>
      </c>
      <c r="AR82" s="152">
        <f>IF(ISNUMBER($AQ82),$AQ82*$AN82,"")</f>
        <v/>
      </c>
      <c r="AS82" s="152">
        <f>IF($A82="","",IFERROR(INDEX(Company_List!$H$3:$H$207,MATCH($A82,Company_List!$A$3:$A$207,0)),"unassigned"))</f>
        <v/>
      </c>
      <c r="AT82" s="152" t="inlineStr">
        <is>
          <t>re-read since v1</t>
        </is>
      </c>
      <c r="AU82" s="152" t="inlineStr">
        <is>
          <t>Phase 2/Master_Data_v1.xlsx</t>
        </is>
      </c>
      <c r="AV82" s="152" t="n">
        <v>2</v>
      </c>
      <c r="AW82" s="152" t="inlineStr">
        <is>
          <t>not publisher-identified</t>
        </is>
      </c>
      <c r="AX82" s="152" t="inlineStr">
        <is>
          <t>not publisher-identified</t>
        </is>
      </c>
      <c r="AY82" s="152" t="inlineStr">
        <is>
          <t>no</t>
        </is>
      </c>
      <c r="AZ82" s="152" t="inlineStr">
        <is>
          <t>yes</t>
        </is>
      </c>
      <c r="BA82" s="152" t="inlineStr">
        <is>
          <t>YES</t>
        </is>
      </c>
      <c r="BB82" s="152" t="n"/>
    </row>
    <row r="83" ht="15" customHeight="1" s="241">
      <c r="A83" s="191" t="inlineStr">
        <is>
          <t>Bank of America</t>
        </is>
      </c>
      <c r="B83" s="188" t="inlineStr">
        <is>
          <t>BAC</t>
        </is>
      </c>
      <c r="C83" s="176" t="n">
        <v>2025</v>
      </c>
      <c r="D83" s="177" t="inlineStr">
        <is>
          <t>Q4</t>
        </is>
      </c>
      <c r="E83" s="178" t="inlineStr">
        <is>
          <t>Ben/DeepSeek</t>
        </is>
      </c>
      <c r="F83" s="177" t="inlineStr">
        <is>
          <t>LLM</t>
        </is>
      </c>
      <c r="G83" s="196" t="n">
        <v>0.25</v>
      </c>
      <c r="H83" s="177" t="inlineStr">
        <is>
          <t>BUY</t>
        </is>
      </c>
      <c r="I83" s="196" t="n"/>
      <c r="J83" s="182" t="n">
        <v>46035</v>
      </c>
      <c r="K83" s="182" t="n">
        <v>46035</v>
      </c>
      <c r="L83" s="183" t="n">
        <v>54.54</v>
      </c>
      <c r="M83" s="182" t="n">
        <v>46036</v>
      </c>
      <c r="N83" s="183" t="n">
        <v>52.88</v>
      </c>
      <c r="O83" s="180" t="n">
        <v>0.008345999999999999</v>
      </c>
      <c r="P83" s="197" t="n">
        <v>-0.030436</v>
      </c>
      <c r="Q83" s="177" t="inlineStr">
        <is>
          <t>DOWN</t>
        </is>
      </c>
      <c r="R83" s="177" t="inlineStr">
        <is>
          <t>NO</t>
        </is>
      </c>
      <c r="S83" s="176" t="n">
        <v>1</v>
      </c>
      <c r="T83" s="197" t="n">
        <v>-0.031436</v>
      </c>
      <c r="U83" s="185" t="inlineStr">
        <is>
          <t>w=[0.80,0.20,0,0] thr=(+0.20,-0.10), deployed default promoted 2026-08-18 (PSR=0.964, permutation p=0.0002 at N=233, restricted search - see blend.py)</t>
        </is>
      </c>
      <c r="V83" s="152" t="inlineStr">
        <is>
          <t>FROZEN</t>
        </is>
      </c>
      <c r="W83" s="152" t="inlineStr">
        <is>
          <t>price signal — only this window shows an abnormal move</t>
        </is>
      </c>
      <c r="X83" s="152" t="inlineStr">
        <is>
          <t>BAC</t>
        </is>
      </c>
      <c r="Y83" s="152" t="inlineStr">
        <is>
          <t>2026-01-13</t>
        </is>
      </c>
      <c r="Z83" s="152" t="n">
        <v>53.9531</v>
      </c>
      <c r="AA83" s="152" t="inlineStr">
        <is>
          <t>2026-01-14</t>
        </is>
      </c>
      <c r="AB83" s="152" t="n">
        <v>52.3109</v>
      </c>
      <c r="AC83" s="152" t="n">
        <v>-0.03043632344136009</v>
      </c>
      <c r="AD83" s="152" t="inlineStr">
        <is>
          <t>DOWN</t>
        </is>
      </c>
      <c r="AE83" s="152" t="inlineStr">
        <is>
          <t>NO</t>
        </is>
      </c>
      <c r="AF83" s="152" t="n">
        <v>0</v>
      </c>
      <c r="AG83" s="152">
        <f>IF($A83="","",IFERROR(INDEX(Company_List!$G$3:$G$207,MATCH($A83,Company_List!$A$3:$A$207,0)),"unassigned"))</f>
        <v/>
      </c>
      <c r="AH83" s="152" t="inlineStr">
        <is>
          <t>Phase 2/bank of america/2025-Q4/BAC-2025-Q4-press-release-SEC-EX-99-1.htm; Phase 2/bank of america/2025-Q4/BAC-2025-Q4-earnings-call-transcript-news-alphastreet-com.html</t>
        </is>
      </c>
      <c r="AI83" s="152" t="inlineStr">
        <is>
          <t>https://news.alphastreet.com/bank-of-america-corporation-bac-q4-2025-earnings-call-transcript/; https://www.sec.gov/Archives/edgar/data/70858/000007085826000020/bac12312025ex991.htm</t>
        </is>
      </c>
      <c r="AJ83" s="152" t="inlineStr">
        <is>
          <t>manifest (whole bundle)</t>
        </is>
      </c>
      <c r="AK83" s="152">
        <f>IF($A83="","",IF(COUNTIFS(Human_Data_Entry!$A$3:$A$525,$A83)&gt;0,"YES","NO"))</f>
        <v/>
      </c>
      <c r="AL83" s="152">
        <f>IF($A83="","",IF(AND($C83&amp;"-"&amp;$D83&gt;=Settings!$B$19,$C83&amp;"-"&amp;$D83&lt;=Settings!$B$20),"IN","OUT"))</f>
        <v/>
      </c>
      <c r="AM83" s="152">
        <f>IF(AND(OR($H83="BUY",$H83="SELL"),ISNUMBER($T83)),$T83,"")</f>
        <v/>
      </c>
      <c r="AN83" s="152">
        <f>IF(AND(OR($H83="BUY",$H83="SELL"),ISNUMBER($AF83)),$AF83,"")</f>
        <v/>
      </c>
      <c r="AO83" s="152">
        <f>IF(ISNUMBER($AM83),ABS(IF(ISNUMBER($G83),$G83,0)-Settings!$B$25),"")</f>
        <v/>
      </c>
      <c r="AP83" s="152">
        <f>IF(ISNUMBER($AO83),$AO83*$AM83,"")</f>
        <v/>
      </c>
      <c r="AQ83" s="152">
        <f>IF(ISNUMBER($AN83),ABS(IF(ISNUMBER($G83),$G83,0)-Settings!$B$25),"")</f>
        <v/>
      </c>
      <c r="AR83" s="152">
        <f>IF(ISNUMBER($AQ83),$AQ83*$AN83,"")</f>
        <v/>
      </c>
      <c r="AS83" s="152">
        <f>IF($A83="","",IFERROR(INDEX(Company_List!$H$3:$H$207,MATCH($A83,Company_List!$A$3:$A$207,0)),"unassigned"))</f>
        <v/>
      </c>
      <c r="AT83" s="152" t="inlineStr">
        <is>
          <t>re-read since v1</t>
        </is>
      </c>
      <c r="AU83" s="152" t="inlineStr">
        <is>
          <t>Phase 2/Master_Data_v1.xlsx</t>
        </is>
      </c>
      <c r="AV83" s="152" t="n">
        <v>2</v>
      </c>
      <c r="AW83" s="152" t="inlineStr">
        <is>
          <t>not publisher-identified</t>
        </is>
      </c>
      <c r="AX83" s="152" t="inlineStr">
        <is>
          <t>not publisher-identified</t>
        </is>
      </c>
      <c r="AY83" s="152" t="inlineStr">
        <is>
          <t>no</t>
        </is>
      </c>
      <c r="AZ83" s="152" t="inlineStr">
        <is>
          <t>yes</t>
        </is>
      </c>
      <c r="BA83" s="152" t="inlineStr">
        <is>
          <t>YES</t>
        </is>
      </c>
      <c r="BB83" s="152" t="n"/>
    </row>
    <row r="84" ht="15" customHeight="1" s="241">
      <c r="A84" s="191" t="inlineStr">
        <is>
          <t>Boeing</t>
        </is>
      </c>
      <c r="B84" s="188" t="inlineStr">
        <is>
          <t>BA</t>
        </is>
      </c>
      <c r="C84" s="176" t="n">
        <v>2025</v>
      </c>
      <c r="D84" s="177" t="inlineStr">
        <is>
          <t>Q1</t>
        </is>
      </c>
      <c r="E84" s="178" t="inlineStr">
        <is>
          <t>Ben/DeepSeek</t>
        </is>
      </c>
      <c r="F84" s="177" t="inlineStr">
        <is>
          <t>LLM</t>
        </is>
      </c>
      <c r="G84" s="196" t="n">
        <v>0.14</v>
      </c>
      <c r="H84" s="177" t="inlineStr">
        <is>
          <t>HOLD</t>
        </is>
      </c>
      <c r="I84" s="196" t="n"/>
      <c r="J84" s="182" t="n">
        <v>45770</v>
      </c>
      <c r="K84" s="182" t="n">
        <v>45769</v>
      </c>
      <c r="L84" s="183" t="n">
        <v>162.52</v>
      </c>
      <c r="M84" s="182" t="n">
        <v>45770</v>
      </c>
      <c r="N84" s="183" t="n">
        <v>174</v>
      </c>
      <c r="O84" s="180" t="n">
        <v>0.00907</v>
      </c>
      <c r="P84" s="197" t="n">
        <v>0.07063700000000001</v>
      </c>
      <c r="Q84" s="177" t="inlineStr">
        <is>
          <t>UP</t>
        </is>
      </c>
      <c r="R84" s="177" t="inlineStr">
        <is>
          <t>NO</t>
        </is>
      </c>
      <c r="S84" s="176" t="n">
        <v>0</v>
      </c>
      <c r="T84" s="197" t="n">
        <v>0</v>
      </c>
      <c r="U84" s="185" t="inlineStr">
        <is>
          <t>w=[0.80,0.20,0,0] thr=(+0.20,-0.10), deployed default promoted 2026-08-18 (PSR=0.964, permutation p=0.0002 at N=233, restricted search - see blend.py)</t>
        </is>
      </c>
      <c r="V84" s="152" t="inlineStr">
        <is>
          <t>FROZEN</t>
        </is>
      </c>
      <c r="W84" s="152" t="inlineStr">
        <is>
          <t>price signal</t>
        </is>
      </c>
      <c r="X84" s="152" t="inlineStr">
        <is>
          <t>BA</t>
        </is>
      </c>
      <c r="Y84" s="152" t="inlineStr">
        <is>
          <t>2025-04-22</t>
        </is>
      </c>
      <c r="Z84" s="152" t="n">
        <v>162.52</v>
      </c>
      <c r="AA84" s="152" t="inlineStr">
        <is>
          <t>2025-04-23</t>
        </is>
      </c>
      <c r="AB84" s="152" t="n">
        <v>174</v>
      </c>
      <c r="AC84" s="152" t="n">
        <v>0.07063743365401344</v>
      </c>
      <c r="AD84" s="152" t="inlineStr">
        <is>
          <t>UP</t>
        </is>
      </c>
      <c r="AE84" s="152" t="inlineStr">
        <is>
          <t>NO</t>
        </is>
      </c>
      <c r="AF84" s="152" t="n">
        <v>0</v>
      </c>
      <c r="AG84" s="152">
        <f>IF($A84="","",IFERROR(INDEX(Company_List!$G$3:$G$207,MATCH($A84,Company_List!$A$3:$A$207,0)),"unassigned"))</f>
        <v/>
      </c>
      <c r="AH84" s="152" t="inlineStr">
        <is>
          <t>Phase 2/Boeing/Q1/Transcript-Q1-2025-Earnings-Call.pdf</t>
        </is>
      </c>
      <c r="AI84" s="152" t="n"/>
      <c r="AJ84" s="152" t="inlineStr">
        <is>
          <t>unique filename match</t>
        </is>
      </c>
      <c r="AK84" s="152">
        <f>IF($A84="","",IF(COUNTIFS(Human_Data_Entry!$A$3:$A$525,$A84)&gt;0,"YES","NO"))</f>
        <v/>
      </c>
      <c r="AL84" s="152">
        <f>IF($A84="","",IF(AND($C84&amp;"-"&amp;$D84&gt;=Settings!$B$19,$C84&amp;"-"&amp;$D84&lt;=Settings!$B$20),"IN","OUT"))</f>
        <v/>
      </c>
      <c r="AM84" s="152">
        <f>IF(AND(OR($H84="BUY",$H84="SELL"),ISNUMBER($T84)),$T84,"")</f>
        <v/>
      </c>
      <c r="AN84" s="152">
        <f>IF(AND(OR($H84="BUY",$H84="SELL"),ISNUMBER($AF84)),$AF84,"")</f>
        <v/>
      </c>
      <c r="AO84" s="152">
        <f>IF(ISNUMBER($AM84),ABS(IF(ISNUMBER($G84),$G84,0)-Settings!$B$25),"")</f>
        <v/>
      </c>
      <c r="AP84" s="152">
        <f>IF(ISNUMBER($AO84),$AO84*$AM84,"")</f>
        <v/>
      </c>
      <c r="AQ84" s="152">
        <f>IF(ISNUMBER($AN84),ABS(IF(ISNUMBER($G84),$G84,0)-Settings!$B$25),"")</f>
        <v/>
      </c>
      <c r="AR84" s="152">
        <f>IF(ISNUMBER($AQ84),$AQ84*$AN84,"")</f>
        <v/>
      </c>
      <c r="AS84" s="152">
        <f>IF($A84="","",IFERROR(INDEX(Company_List!$H$3:$H$207,MATCH($A84,Company_List!$A$3:$A$207,0)),"unassigned"))</f>
        <v/>
      </c>
      <c r="AT84" s="152" t="inlineStr">
        <is>
          <t>re-read since v1</t>
        </is>
      </c>
      <c r="AU84" s="152" t="inlineStr">
        <is>
          <t>Phase 2/Master_Data_v1.xlsx</t>
        </is>
      </c>
      <c r="AV84" s="152" t="n">
        <v>1</v>
      </c>
      <c r="AW84" s="152" t="inlineStr">
        <is>
          <t>FactSet CallStreet</t>
        </is>
      </c>
      <c r="AX84" s="152" t="inlineStr">
        <is>
          <t>licensed vendor</t>
        </is>
      </c>
      <c r="AY84" s="152" t="inlineStr">
        <is>
          <t>no</t>
        </is>
      </c>
      <c r="AZ84" s="152" t="inlineStr">
        <is>
          <t>no</t>
        </is>
      </c>
      <c r="BA84" s="152" t="inlineStr">
        <is>
          <t>YES</t>
        </is>
      </c>
      <c r="BB84" s="152" t="n"/>
    </row>
    <row r="85" ht="15" customHeight="1" s="241">
      <c r="A85" s="191" t="inlineStr">
        <is>
          <t>Boeing</t>
        </is>
      </c>
      <c r="B85" s="188" t="inlineStr">
        <is>
          <t>BA</t>
        </is>
      </c>
      <c r="C85" s="176" t="n">
        <v>2025</v>
      </c>
      <c r="D85" s="177" t="inlineStr">
        <is>
          <t>Q2</t>
        </is>
      </c>
      <c r="E85" s="178" t="inlineStr">
        <is>
          <t>Ben/DeepSeek</t>
        </is>
      </c>
      <c r="F85" s="177" t="inlineStr">
        <is>
          <t>LLM</t>
        </is>
      </c>
      <c r="G85" s="196" t="n">
        <v>0.18</v>
      </c>
      <c r="H85" s="177" t="inlineStr">
        <is>
          <t>HOLD</t>
        </is>
      </c>
      <c r="I85" s="196" t="n"/>
      <c r="J85" s="182" t="n">
        <v>45867</v>
      </c>
      <c r="K85" s="182" t="n">
        <v>45866</v>
      </c>
      <c r="L85" s="183" t="n">
        <v>236.41</v>
      </c>
      <c r="M85" s="182" t="n">
        <v>45867</v>
      </c>
      <c r="N85" s="183" t="n">
        <v>239.5</v>
      </c>
      <c r="O85" s="180" t="n">
        <v>0.005228</v>
      </c>
      <c r="P85" s="197" t="n">
        <v>0.01307</v>
      </c>
      <c r="Q85" s="177" t="inlineStr">
        <is>
          <t>FLAT</t>
        </is>
      </c>
      <c r="R85" s="177" t="inlineStr">
        <is>
          <t>YES</t>
        </is>
      </c>
      <c r="S85" s="176" t="n">
        <v>0</v>
      </c>
      <c r="T85" s="197" t="n">
        <v>0</v>
      </c>
      <c r="U85" s="185" t="inlineStr">
        <is>
          <t>w=[0.80,0.20,0,0] thr=(+0.20,-0.10), deployed default promoted 2026-08-18 (PSR=0.964, permutation p=0.0002 at N=233, restricted search - see blend.py)</t>
        </is>
      </c>
      <c r="V85" s="152" t="inlineStr">
        <is>
          <t>FROZEN</t>
        </is>
      </c>
      <c r="W85" s="152" t="inlineStr">
        <is>
          <t>price signal</t>
        </is>
      </c>
      <c r="X85" s="152" t="inlineStr">
        <is>
          <t>BA</t>
        </is>
      </c>
      <c r="Y85" s="152" t="inlineStr">
        <is>
          <t>2025-07-28</t>
        </is>
      </c>
      <c r="Z85" s="152" t="n">
        <v>236.41</v>
      </c>
      <c r="AA85" s="152" t="inlineStr">
        <is>
          <t>2025-07-29</t>
        </is>
      </c>
      <c r="AB85" s="152" t="n">
        <v>239.5</v>
      </c>
      <c r="AC85" s="152" t="n">
        <v>0.01307049595075505</v>
      </c>
      <c r="AD85" s="152" t="inlineStr">
        <is>
          <t>FLAT</t>
        </is>
      </c>
      <c r="AE85" s="152" t="inlineStr">
        <is>
          <t>YES</t>
        </is>
      </c>
      <c r="AF85" s="152" t="n">
        <v>0</v>
      </c>
      <c r="AG85" s="152">
        <f>IF($A85="","",IFERROR(INDEX(Company_List!$G$3:$G$207,MATCH($A85,Company_List!$A$3:$A$207,0)),"unassigned"))</f>
        <v/>
      </c>
      <c r="AH85" s="152" t="inlineStr">
        <is>
          <t>Phase 2/Boeing/2025-Q2/BA-2025-Q2-press-release-SEC-EX-99-1.htm</t>
        </is>
      </c>
      <c r="AI85" s="152" t="inlineStr">
        <is>
          <t>https://www.sec.gov/Archives/edgar/data/12927/000001292725000058/a202506jun308kprex991.htm</t>
        </is>
      </c>
      <c r="AJ85" s="152" t="inlineStr">
        <is>
          <t>manifest</t>
        </is>
      </c>
      <c r="AK85" s="152">
        <f>IF($A85="","",IF(COUNTIFS(Human_Data_Entry!$A$3:$A$525,$A85)&gt;0,"YES","NO"))</f>
        <v/>
      </c>
      <c r="AL85" s="152">
        <f>IF($A85="","",IF(AND($C85&amp;"-"&amp;$D85&gt;=Settings!$B$19,$C85&amp;"-"&amp;$D85&lt;=Settings!$B$20),"IN","OUT"))</f>
        <v/>
      </c>
      <c r="AM85" s="152">
        <f>IF(AND(OR($H85="BUY",$H85="SELL"),ISNUMBER($T85)),$T85,"")</f>
        <v/>
      </c>
      <c r="AN85" s="152">
        <f>IF(AND(OR($H85="BUY",$H85="SELL"),ISNUMBER($AF85)),$AF85,"")</f>
        <v/>
      </c>
      <c r="AO85" s="152">
        <f>IF(ISNUMBER($AM85),ABS(IF(ISNUMBER($G85),$G85,0)-Settings!$B$25),"")</f>
        <v/>
      </c>
      <c r="AP85" s="152">
        <f>IF(ISNUMBER($AO85),$AO85*$AM85,"")</f>
        <v/>
      </c>
      <c r="AQ85" s="152">
        <f>IF(ISNUMBER($AN85),ABS(IF(ISNUMBER($G85),$G85,0)-Settings!$B$25),"")</f>
        <v/>
      </c>
      <c r="AR85" s="152">
        <f>IF(ISNUMBER($AQ85),$AQ85*$AN85,"")</f>
        <v/>
      </c>
      <c r="AS85" s="152">
        <f>IF($A85="","",IFERROR(INDEX(Company_List!$H$3:$H$207,MATCH($A85,Company_List!$A$3:$A$207,0)),"unassigned"))</f>
        <v/>
      </c>
      <c r="AT85" s="152" t="inlineStr">
        <is>
          <t>re-read since v1</t>
        </is>
      </c>
      <c r="AU85" s="152" t="inlineStr">
        <is>
          <t>Phase 2/Master_Data_v1.xlsx</t>
        </is>
      </c>
      <c r="AV85" s="152" t="n">
        <v>1</v>
      </c>
      <c r="AW85" s="152" t="inlineStr">
        <is>
          <t>not publisher-identified</t>
        </is>
      </c>
      <c r="AX85" s="152" t="inlineStr">
        <is>
          <t>not publisher-identified</t>
        </is>
      </c>
      <c r="AY85" s="152" t="inlineStr">
        <is>
          <t>no</t>
        </is>
      </c>
      <c r="AZ85" s="152" t="inlineStr">
        <is>
          <t>yes</t>
        </is>
      </c>
      <c r="BA85" s="152" t="inlineStr">
        <is>
          <t>YES</t>
        </is>
      </c>
      <c r="BB85" s="152" t="n"/>
    </row>
    <row r="86" ht="15" customHeight="1" s="241">
      <c r="A86" s="191" t="inlineStr">
        <is>
          <t>Boeing</t>
        </is>
      </c>
      <c r="B86" s="188" t="inlineStr">
        <is>
          <t>BA</t>
        </is>
      </c>
      <c r="C86" s="176" t="n">
        <v>2025</v>
      </c>
      <c r="D86" s="177" t="inlineStr">
        <is>
          <t>Q3</t>
        </is>
      </c>
      <c r="E86" s="178" t="inlineStr">
        <is>
          <t>Ben/DeepSeek</t>
        </is>
      </c>
      <c r="F86" s="177" t="inlineStr">
        <is>
          <t>LLM</t>
        </is>
      </c>
      <c r="G86" s="196" t="n">
        <v>-0.34</v>
      </c>
      <c r="H86" s="177" t="inlineStr">
        <is>
          <t>SELL</t>
        </is>
      </c>
      <c r="I86" s="196" t="n"/>
      <c r="J86" s="182" t="n">
        <v>45959</v>
      </c>
      <c r="K86" s="182" t="n">
        <v>45958</v>
      </c>
      <c r="L86" s="183" t="n">
        <v>223.33</v>
      </c>
      <c r="M86" s="182" t="n">
        <v>45959</v>
      </c>
      <c r="N86" s="183" t="n">
        <v>221.36</v>
      </c>
      <c r="O86" s="180" t="n">
        <v>0.005247</v>
      </c>
      <c r="P86" s="197" t="n">
        <v>-0.008821000000000001</v>
      </c>
      <c r="Q86" s="177" t="inlineStr">
        <is>
          <t>FLAT</t>
        </is>
      </c>
      <c r="R86" s="177" t="inlineStr">
        <is>
          <t>NO</t>
        </is>
      </c>
      <c r="S86" s="176" t="n">
        <v>-1</v>
      </c>
      <c r="T86" s="197" t="n">
        <v>0.007821</v>
      </c>
      <c r="U86" s="185" t="inlineStr">
        <is>
          <t>w=[0.80,0.20,0,0] thr=(+0.20,-0.10), deployed default promoted 2026-08-18 (PSR=0.964, permutation p=0.0002 at N=233, restricted search - see blend.py)</t>
        </is>
      </c>
      <c r="V86" s="152" t="inlineStr">
        <is>
          <t>FROZEN</t>
        </is>
      </c>
      <c r="W86" s="152" t="inlineStr">
        <is>
          <t>release time published by the issuer</t>
        </is>
      </c>
      <c r="X86" s="152" t="inlineStr">
        <is>
          <t>BA</t>
        </is>
      </c>
      <c r="Y86" s="152" t="inlineStr">
        <is>
          <t>2025-10-28</t>
        </is>
      </c>
      <c r="Z86" s="152" t="n">
        <v>223.33</v>
      </c>
      <c r="AA86" s="152" t="inlineStr">
        <is>
          <t>2025-10-29</t>
        </is>
      </c>
      <c r="AB86" s="152" t="n">
        <v>221.36</v>
      </c>
      <c r="AC86" s="152" t="n">
        <v>-0.008821031578193405</v>
      </c>
      <c r="AD86" s="152" t="inlineStr">
        <is>
          <t>FLAT</t>
        </is>
      </c>
      <c r="AE86" s="152" t="inlineStr">
        <is>
          <t>NO</t>
        </is>
      </c>
      <c r="AF86" s="152" t="n">
        <v>0.007821</v>
      </c>
      <c r="AG86" s="152">
        <f>IF($A86="","",IFERROR(INDEX(Company_List!$G$3:$G$207,MATCH($A86,Company_List!$A$3:$A$207,0)),"unassigned"))</f>
        <v/>
      </c>
      <c r="AH86" s="152" t="inlineStr">
        <is>
          <t>Phase 2/Boeing/2025-Q3/BA-2025-Q3-press-release-SEC-EX-99-1.htm</t>
        </is>
      </c>
      <c r="AI86" s="152" t="inlineStr">
        <is>
          <t>https://www.sec.gov/Archives/edgar/data/12927/000162828025046915/a202509sep308kprex991.htm</t>
        </is>
      </c>
      <c r="AJ86" s="152" t="inlineStr">
        <is>
          <t>manifest</t>
        </is>
      </c>
      <c r="AK86" s="152">
        <f>IF($A86="","",IF(COUNTIFS(Human_Data_Entry!$A$3:$A$525,$A86)&gt;0,"YES","NO"))</f>
        <v/>
      </c>
      <c r="AL86" s="152">
        <f>IF($A86="","",IF(AND($C86&amp;"-"&amp;$D86&gt;=Settings!$B$19,$C86&amp;"-"&amp;$D86&lt;=Settings!$B$20),"IN","OUT"))</f>
        <v/>
      </c>
      <c r="AM86" s="152">
        <f>IF(AND(OR($H86="BUY",$H86="SELL"),ISNUMBER($T86)),$T86,"")</f>
        <v/>
      </c>
      <c r="AN86" s="152">
        <f>IF(AND(OR($H86="BUY",$H86="SELL"),ISNUMBER($AF86)),$AF86,"")</f>
        <v/>
      </c>
      <c r="AO86" s="152">
        <f>IF(ISNUMBER($AM86),ABS(IF(ISNUMBER($G86),$G86,0)-Settings!$B$25),"")</f>
        <v/>
      </c>
      <c r="AP86" s="152">
        <f>IF(ISNUMBER($AO86),$AO86*$AM86,"")</f>
        <v/>
      </c>
      <c r="AQ86" s="152">
        <f>IF(ISNUMBER($AN86),ABS(IF(ISNUMBER($G86),$G86,0)-Settings!$B$25),"")</f>
        <v/>
      </c>
      <c r="AR86" s="152">
        <f>IF(ISNUMBER($AQ86),$AQ86*$AN86,"")</f>
        <v/>
      </c>
      <c r="AS86" s="152">
        <f>IF($A86="","",IFERROR(INDEX(Company_List!$H$3:$H$207,MATCH($A86,Company_List!$A$3:$A$207,0)),"unassigned"))</f>
        <v/>
      </c>
      <c r="AT86" s="152" t="inlineStr">
        <is>
          <t>re-read since v1</t>
        </is>
      </c>
      <c r="AU86" s="152" t="inlineStr">
        <is>
          <t>Phase 2/Master_Data_v1.xlsx</t>
        </is>
      </c>
      <c r="AV86" s="152" t="n">
        <v>1</v>
      </c>
      <c r="AW86" s="152" t="inlineStr">
        <is>
          <t>not publisher-identified</t>
        </is>
      </c>
      <c r="AX86" s="152" t="inlineStr">
        <is>
          <t>not publisher-identified</t>
        </is>
      </c>
      <c r="AY86" s="152" t="inlineStr">
        <is>
          <t>no</t>
        </is>
      </c>
      <c r="AZ86" s="152" t="inlineStr">
        <is>
          <t>yes</t>
        </is>
      </c>
      <c r="BA86" s="152" t="inlineStr">
        <is>
          <t>YES</t>
        </is>
      </c>
      <c r="BB86" s="152" t="n"/>
    </row>
    <row r="87" ht="15" customHeight="1" s="241">
      <c r="A87" s="191" t="inlineStr">
        <is>
          <t>Boeing</t>
        </is>
      </c>
      <c r="B87" s="188" t="inlineStr">
        <is>
          <t>BA</t>
        </is>
      </c>
      <c r="C87" s="176" t="n">
        <v>2025</v>
      </c>
      <c r="D87" s="177" t="inlineStr">
        <is>
          <t>Q4</t>
        </is>
      </c>
      <c r="E87" s="178" t="inlineStr">
        <is>
          <t>Ben/DeepSeek</t>
        </is>
      </c>
      <c r="F87" s="177" t="inlineStr">
        <is>
          <t>LLM</t>
        </is>
      </c>
      <c r="G87" s="196" t="n">
        <v>0.25</v>
      </c>
      <c r="H87" s="177" t="inlineStr">
        <is>
          <t>BUY</t>
        </is>
      </c>
      <c r="I87" s="196" t="n"/>
      <c r="J87" s="182" t="n">
        <v>46048</v>
      </c>
      <c r="K87" s="182" t="n">
        <v>46048</v>
      </c>
      <c r="L87" s="183" t="n">
        <v>248.43</v>
      </c>
      <c r="M87" s="182" t="n">
        <v>46049</v>
      </c>
      <c r="N87" s="183" t="n">
        <v>242.5</v>
      </c>
      <c r="O87" s="180" t="n">
        <v>0.035998</v>
      </c>
      <c r="P87" s="197" t="n">
        <v>-0.02387</v>
      </c>
      <c r="Q87" s="177" t="inlineStr">
        <is>
          <t>DOWN</t>
        </is>
      </c>
      <c r="R87" s="177" t="inlineStr">
        <is>
          <t>NO</t>
        </is>
      </c>
      <c r="S87" s="176" t="n">
        <v>1</v>
      </c>
      <c r="T87" s="197" t="n">
        <v>-0.02487</v>
      </c>
      <c r="U87" s="185" t="inlineStr">
        <is>
          <t>w=[0.80,0.20,0,0] thr=(+0.20,-0.10), deployed default promoted 2026-08-18 (PSR=0.964, permutation p=0.0002 at N=233, restricted search - see blend.py)</t>
        </is>
      </c>
      <c r="V87" s="152" t="inlineStr">
        <is>
          <t>FROZEN</t>
        </is>
      </c>
      <c r="W87" s="152" t="inlineStr">
        <is>
          <t>recorded price identified against every pulled series</t>
        </is>
      </c>
      <c r="X87" s="152" t="inlineStr">
        <is>
          <t>BA</t>
        </is>
      </c>
      <c r="Y87" s="152" t="inlineStr">
        <is>
          <t>2026-01-26</t>
        </is>
      </c>
      <c r="Z87" s="152" t="n">
        <v>248.43</v>
      </c>
      <c r="AA87" s="152" t="inlineStr">
        <is>
          <t>2026-01-27</t>
        </is>
      </c>
      <c r="AB87" s="152" t="n">
        <v>242.5</v>
      </c>
      <c r="AC87" s="152" t="n">
        <v>-0.02386987548641116</v>
      </c>
      <c r="AD87" s="152" t="inlineStr">
        <is>
          <t>DOWN</t>
        </is>
      </c>
      <c r="AE87" s="152" t="inlineStr">
        <is>
          <t>NO</t>
        </is>
      </c>
      <c r="AF87" s="152" t="n">
        <v>0</v>
      </c>
      <c r="AG87" s="152">
        <f>IF($A87="","",IFERROR(INDEX(Company_List!$G$3:$G$207,MATCH($A87,Company_List!$A$3:$A$207,0)),"unassigned"))</f>
        <v/>
      </c>
      <c r="AH87" s="152" t="inlineStr">
        <is>
          <t>Phase 2/Boeing/2025-Q4/BA-2025-Q4-press-release-SEC-EX-99-1.htm</t>
        </is>
      </c>
      <c r="AI87" s="152" t="inlineStr">
        <is>
          <t>https://www.sec.gov/Archives/edgar/data/12927/000162828026003518/a202512dec318kprex991.htm</t>
        </is>
      </c>
      <c r="AJ87" s="152" t="inlineStr">
        <is>
          <t>manifest</t>
        </is>
      </c>
      <c r="AK87" s="152">
        <f>IF($A87="","",IF(COUNTIFS(Human_Data_Entry!$A$3:$A$525,$A87)&gt;0,"YES","NO"))</f>
        <v/>
      </c>
      <c r="AL87" s="152">
        <f>IF($A87="","",IF(AND($C87&amp;"-"&amp;$D87&gt;=Settings!$B$19,$C87&amp;"-"&amp;$D87&lt;=Settings!$B$20),"IN","OUT"))</f>
        <v/>
      </c>
      <c r="AM87" s="152">
        <f>IF(AND(OR($H87="BUY",$H87="SELL"),ISNUMBER($T87)),$T87,"")</f>
        <v/>
      </c>
      <c r="AN87" s="152">
        <f>IF(AND(OR($H87="BUY",$H87="SELL"),ISNUMBER($AF87)),$AF87,"")</f>
        <v/>
      </c>
      <c r="AO87" s="152">
        <f>IF(ISNUMBER($AM87),ABS(IF(ISNUMBER($G87),$G87,0)-Settings!$B$25),"")</f>
        <v/>
      </c>
      <c r="AP87" s="152">
        <f>IF(ISNUMBER($AO87),$AO87*$AM87,"")</f>
        <v/>
      </c>
      <c r="AQ87" s="152">
        <f>IF(ISNUMBER($AN87),ABS(IF(ISNUMBER($G87),$G87,0)-Settings!$B$25),"")</f>
        <v/>
      </c>
      <c r="AR87" s="152">
        <f>IF(ISNUMBER($AQ87),$AQ87*$AN87,"")</f>
        <v/>
      </c>
      <c r="AS87" s="152">
        <f>IF($A87="","",IFERROR(INDEX(Company_List!$H$3:$H$207,MATCH($A87,Company_List!$A$3:$A$207,0)),"unassigned"))</f>
        <v/>
      </c>
      <c r="AT87" s="152" t="inlineStr">
        <is>
          <t>re-read since v1</t>
        </is>
      </c>
      <c r="AU87" s="152" t="inlineStr">
        <is>
          <t>Phase 2/Master_Data_v1.xlsx</t>
        </is>
      </c>
      <c r="AV87" s="152" t="n">
        <v>1</v>
      </c>
      <c r="AW87" s="152" t="inlineStr">
        <is>
          <t>not publisher-identified</t>
        </is>
      </c>
      <c r="AX87" s="152" t="inlineStr">
        <is>
          <t>not publisher-identified</t>
        </is>
      </c>
      <c r="AY87" s="152" t="inlineStr">
        <is>
          <t>no</t>
        </is>
      </c>
      <c r="AZ87" s="152" t="inlineStr">
        <is>
          <t>yes</t>
        </is>
      </c>
      <c r="BA87" s="152" t="inlineStr">
        <is>
          <t>YES</t>
        </is>
      </c>
      <c r="BB87" s="152" t="n"/>
    </row>
    <row r="88" ht="15" customHeight="1" s="241">
      <c r="A88" s="191" t="inlineStr">
        <is>
          <t>Disney</t>
        </is>
      </c>
      <c r="B88" s="188" t="inlineStr">
        <is>
          <t>DIS</t>
        </is>
      </c>
      <c r="C88" s="176" t="n">
        <v>2025</v>
      </c>
      <c r="D88" s="177" t="inlineStr">
        <is>
          <t>Q1</t>
        </is>
      </c>
      <c r="E88" s="178" t="inlineStr">
        <is>
          <t>Ben/DeepSeek</t>
        </is>
      </c>
      <c r="F88" s="177" t="inlineStr">
        <is>
          <t>LLM</t>
        </is>
      </c>
      <c r="G88" s="196" t="n">
        <v>0.25</v>
      </c>
      <c r="H88" s="177" t="inlineStr">
        <is>
          <t>BUY</t>
        </is>
      </c>
      <c r="I88" s="196" t="n"/>
      <c r="J88" s="182" t="n">
        <v>45693</v>
      </c>
      <c r="K88" s="182" t="n">
        <v>45692</v>
      </c>
      <c r="L88" s="183" t="n">
        <v>113.3</v>
      </c>
      <c r="M88" s="182" t="n">
        <v>45693</v>
      </c>
      <c r="N88" s="183" t="n">
        <v>115.7</v>
      </c>
      <c r="O88" s="180" t="n">
        <v>0.006273</v>
      </c>
      <c r="P88" s="197" t="n">
        <v>0.021183</v>
      </c>
      <c r="Q88" s="177" t="inlineStr">
        <is>
          <t>UP</t>
        </is>
      </c>
      <c r="R88" s="177" t="inlineStr">
        <is>
          <t>YES</t>
        </is>
      </c>
      <c r="S88" s="176" t="n">
        <v>1</v>
      </c>
      <c r="T88" s="197" t="n">
        <v>0.020183</v>
      </c>
      <c r="U88" s="185" t="inlineStr">
        <is>
          <t>w=[0.80,0.20,0,0] thr=(+0.20,-0.10), deployed default promoted 2026-08-18 (PSR=0.964, permutation p=0.0002 at N=233, restricted search - see blend.py)</t>
        </is>
      </c>
      <c r="V88" s="152" t="inlineStr">
        <is>
          <t>FROZEN</t>
        </is>
      </c>
      <c r="W88" s="152" t="inlineStr">
        <is>
          <t>release date + stated time</t>
        </is>
      </c>
      <c r="X88" s="152" t="inlineStr">
        <is>
          <t>DIS</t>
        </is>
      </c>
      <c r="Y88" s="152" t="inlineStr">
        <is>
          <t>2025-02-04</t>
        </is>
      </c>
      <c r="Z88" s="152" t="n">
        <v>111.2086</v>
      </c>
      <c r="AA88" s="152" t="inlineStr">
        <is>
          <t>2025-02-05</t>
        </is>
      </c>
      <c r="AB88" s="152" t="n">
        <v>113.5643</v>
      </c>
      <c r="AC88" s="152" t="n">
        <v>0.02118258778095112</v>
      </c>
      <c r="AD88" s="152" t="inlineStr">
        <is>
          <t>UP</t>
        </is>
      </c>
      <c r="AE88" s="152" t="inlineStr">
        <is>
          <t>NO</t>
        </is>
      </c>
      <c r="AF88" s="152" t="n">
        <v>0</v>
      </c>
      <c r="AG88" s="152">
        <f>IF($A88="","",IFERROR(INDEX(Company_List!$G$3:$G$207,MATCH($A88,Company_List!$A$3:$A$207,0)),"unassigned"))</f>
        <v/>
      </c>
      <c r="AH88" s="152" t="inlineStr">
        <is>
          <t>Phase 2/Disney/q1-fy25-earnings-transcriptpdf.pdf</t>
        </is>
      </c>
      <c r="AI88" s="152" t="n"/>
      <c r="AJ88" s="152" t="inlineStr">
        <is>
          <t>unique filename match</t>
        </is>
      </c>
      <c r="AK88" s="152">
        <f>IF($A88="","",IF(COUNTIFS(Human_Data_Entry!$A$3:$A$525,$A88)&gt;0,"YES","NO"))</f>
        <v/>
      </c>
      <c r="AL88" s="152">
        <f>IF($A88="","",IF(AND($C88&amp;"-"&amp;$D88&gt;=Settings!$B$19,$C88&amp;"-"&amp;$D88&lt;=Settings!$B$20),"IN","OUT"))</f>
        <v/>
      </c>
      <c r="AM88" s="152">
        <f>IF(AND(OR($H88="BUY",$H88="SELL"),ISNUMBER($T88)),$T88,"")</f>
        <v/>
      </c>
      <c r="AN88" s="152">
        <f>IF(AND(OR($H88="BUY",$H88="SELL"),ISNUMBER($AF88)),$AF88,"")</f>
        <v/>
      </c>
      <c r="AO88" s="152">
        <f>IF(ISNUMBER($AM88),ABS(IF(ISNUMBER($G88),$G88,0)-Settings!$B$25),"")</f>
        <v/>
      </c>
      <c r="AP88" s="152">
        <f>IF(ISNUMBER($AO88),$AO88*$AM88,"")</f>
        <v/>
      </c>
      <c r="AQ88" s="152">
        <f>IF(ISNUMBER($AN88),ABS(IF(ISNUMBER($G88),$G88,0)-Settings!$B$25),"")</f>
        <v/>
      </c>
      <c r="AR88" s="152">
        <f>IF(ISNUMBER($AQ88),$AQ88*$AN88,"")</f>
        <v/>
      </c>
      <c r="AS88" s="152">
        <f>IF($A88="","",IFERROR(INDEX(Company_List!$H$3:$H$207,MATCH($A88,Company_List!$A$3:$A$207,0)),"unassigned"))</f>
        <v/>
      </c>
      <c r="AT88" s="152" t="inlineStr">
        <is>
          <t>re-read since v1</t>
        </is>
      </c>
      <c r="AU88" s="152" t="inlineStr">
        <is>
          <t>Phase 2/Master_Data_v1.xlsx</t>
        </is>
      </c>
      <c r="AV88" s="152" t="n">
        <v>1</v>
      </c>
      <c r="AW88" s="152" t="inlineStr">
        <is>
          <t>The Motley Fool</t>
        </is>
      </c>
      <c r="AX88" s="152" t="inlineStr">
        <is>
          <t>free to read, copyright asserted</t>
        </is>
      </c>
      <c r="AY88" s="152" t="inlineStr">
        <is>
          <t>no</t>
        </is>
      </c>
      <c r="AZ88" s="152" t="inlineStr">
        <is>
          <t>no</t>
        </is>
      </c>
      <c r="BA88" s="152" t="inlineStr">
        <is>
          <t>NO</t>
        </is>
      </c>
      <c r="BB88" s="152" t="inlineStr">
        <is>
          <t>look-ahead document (DIS_FQ1_2025); excluded 2026-08-24</t>
        </is>
      </c>
    </row>
    <row r="89" ht="15" customHeight="1" s="241">
      <c r="A89" s="191" t="inlineStr">
        <is>
          <t>Disney</t>
        </is>
      </c>
      <c r="B89" s="188" t="inlineStr">
        <is>
          <t>DIS</t>
        </is>
      </c>
      <c r="C89" s="176" t="n">
        <v>2025</v>
      </c>
      <c r="D89" s="177" t="inlineStr">
        <is>
          <t>Q3</t>
        </is>
      </c>
      <c r="E89" s="178" t="inlineStr">
        <is>
          <t>Ben/DeepSeek</t>
        </is>
      </c>
      <c r="F89" s="177" t="inlineStr">
        <is>
          <t>LLM</t>
        </is>
      </c>
      <c r="G89" s="196" t="n">
        <v>0.3</v>
      </c>
      <c r="H89" s="177" t="inlineStr">
        <is>
          <t>BUY</t>
        </is>
      </c>
      <c r="I89" s="196" t="n"/>
      <c r="J89" s="182" t="n">
        <v>45874</v>
      </c>
      <c r="K89" s="182" t="n">
        <v>45874</v>
      </c>
      <c r="L89" s="183" t="n">
        <v>118.32</v>
      </c>
      <c r="M89" s="182" t="n">
        <v>45875</v>
      </c>
      <c r="N89" s="183" t="n">
        <v>115.78</v>
      </c>
      <c r="O89" s="180" t="n">
        <v>0.006136</v>
      </c>
      <c r="P89" s="197" t="n">
        <v>-0.021467</v>
      </c>
      <c r="Q89" s="177" t="inlineStr">
        <is>
          <t>DOWN</t>
        </is>
      </c>
      <c r="R89" s="177" t="inlineStr">
        <is>
          <t>NO</t>
        </is>
      </c>
      <c r="S89" s="176" t="n">
        <v>1</v>
      </c>
      <c r="T89" s="197" t="n">
        <v>-0.022467</v>
      </c>
      <c r="U89" s="185" t="inlineStr">
        <is>
          <t>w=[0.80,0.20,0,0] thr=(+0.20,-0.10), deployed default promoted 2026-08-18 (PSR=0.964, permutation p=0.0002 at N=233, restricted search - see blend.py)</t>
        </is>
      </c>
      <c r="V89" s="152" t="inlineStr">
        <is>
          <t>FROZEN</t>
        </is>
      </c>
      <c r="W89" s="152" t="inlineStr">
        <is>
          <t>price signal — only this window shows an abnormal move</t>
        </is>
      </c>
      <c r="X89" s="152" t="inlineStr">
        <is>
          <t>DIS</t>
        </is>
      </c>
      <c r="Y89" s="152" t="inlineStr">
        <is>
          <t>2025-08-05</t>
        </is>
      </c>
      <c r="Z89" s="152" t="n">
        <v>116.6312</v>
      </c>
      <c r="AA89" s="152" t="inlineStr">
        <is>
          <t>2025-08-06</t>
        </is>
      </c>
      <c r="AB89" s="152" t="n">
        <v>114.1274</v>
      </c>
      <c r="AC89" s="152" t="n">
        <v>-0.02146729710397124</v>
      </c>
      <c r="AD89" s="152" t="inlineStr">
        <is>
          <t>DOWN</t>
        </is>
      </c>
      <c r="AE89" s="152" t="inlineStr">
        <is>
          <t>NO</t>
        </is>
      </c>
      <c r="AF89" s="152" t="n">
        <v>0</v>
      </c>
      <c r="AG89" s="152">
        <f>IF($A89="","",IFERROR(INDEX(Company_List!$G$3:$G$207,MATCH($A89,Company_List!$A$3:$A$207,0)),"unassigned"))</f>
        <v/>
      </c>
      <c r="AH89" s="152" t="inlineStr">
        <is>
          <t>Phase 2/Disney/q3-fy25-earnings-transcript.pdf</t>
        </is>
      </c>
      <c r="AI89" s="152" t="n"/>
      <c r="AJ89" s="152" t="inlineStr">
        <is>
          <t>unique filename match</t>
        </is>
      </c>
      <c r="AK89" s="152">
        <f>IF($A89="","",IF(COUNTIFS(Human_Data_Entry!$A$3:$A$525,$A89)&gt;0,"YES","NO"))</f>
        <v/>
      </c>
      <c r="AL89" s="152">
        <f>IF($A89="","",IF(AND($C89&amp;"-"&amp;$D89&gt;=Settings!$B$19,$C89&amp;"-"&amp;$D89&lt;=Settings!$B$20),"IN","OUT"))</f>
        <v/>
      </c>
      <c r="AM89" s="152">
        <f>IF(AND(OR($H89="BUY",$H89="SELL"),ISNUMBER($T89)),$T89,"")</f>
        <v/>
      </c>
      <c r="AN89" s="152">
        <f>IF(AND(OR($H89="BUY",$H89="SELL"),ISNUMBER($AF89)),$AF89,"")</f>
        <v/>
      </c>
      <c r="AO89" s="152">
        <f>IF(ISNUMBER($AM89),ABS(IF(ISNUMBER($G89),$G89,0)-Settings!$B$25),"")</f>
        <v/>
      </c>
      <c r="AP89" s="152">
        <f>IF(ISNUMBER($AO89),$AO89*$AM89,"")</f>
        <v/>
      </c>
      <c r="AQ89" s="152">
        <f>IF(ISNUMBER($AN89),ABS(IF(ISNUMBER($G89),$G89,0)-Settings!$B$25),"")</f>
        <v/>
      </c>
      <c r="AR89" s="152">
        <f>IF(ISNUMBER($AQ89),$AQ89*$AN89,"")</f>
        <v/>
      </c>
      <c r="AS89" s="152">
        <f>IF($A89="","",IFERROR(INDEX(Company_List!$H$3:$H$207,MATCH($A89,Company_List!$A$3:$A$207,0)),"unassigned"))</f>
        <v/>
      </c>
      <c r="AT89" s="152" t="inlineStr">
        <is>
          <t>re-read since v1</t>
        </is>
      </c>
      <c r="AU89" s="152" t="inlineStr">
        <is>
          <t>Phase 2/Master_Data_v1.xlsx</t>
        </is>
      </c>
      <c r="AV89" s="152" t="n">
        <v>1</v>
      </c>
      <c r="AW89" s="152" t="inlineStr">
        <is>
          <t>not publisher-identified</t>
        </is>
      </c>
      <c r="AX89" s="152" t="inlineStr">
        <is>
          <t>not publisher-identified</t>
        </is>
      </c>
      <c r="AY89" s="152" t="inlineStr">
        <is>
          <t>no</t>
        </is>
      </c>
      <c r="AZ89" s="152" t="inlineStr">
        <is>
          <t>no</t>
        </is>
      </c>
      <c r="BA89" s="152" t="inlineStr">
        <is>
          <t>YES</t>
        </is>
      </c>
      <c r="BB89" s="152" t="n"/>
    </row>
    <row r="90" ht="15" customHeight="1" s="241">
      <c r="A90" s="191" t="inlineStr">
        <is>
          <t>Disney</t>
        </is>
      </c>
      <c r="B90" s="188" t="inlineStr">
        <is>
          <t>DIS</t>
        </is>
      </c>
      <c r="C90" s="176" t="n">
        <v>2025</v>
      </c>
      <c r="D90" s="177" t="inlineStr">
        <is>
          <t>Q4</t>
        </is>
      </c>
      <c r="E90" s="178" t="inlineStr">
        <is>
          <t>Ben/DeepSeek</t>
        </is>
      </c>
      <c r="F90" s="177" t="inlineStr">
        <is>
          <t>LLM</t>
        </is>
      </c>
      <c r="G90" s="196" t="n">
        <v>0.3</v>
      </c>
      <c r="H90" s="177" t="inlineStr">
        <is>
          <t>BUY</t>
        </is>
      </c>
      <c r="I90" s="196" t="n"/>
      <c r="J90" s="182" t="n">
        <v>45973</v>
      </c>
      <c r="K90" s="182" t="n">
        <v>45973</v>
      </c>
      <c r="L90" s="183" t="n">
        <v>116.65</v>
      </c>
      <c r="M90" s="182" t="n">
        <v>45974</v>
      </c>
      <c r="N90" s="183" t="n">
        <v>108.89</v>
      </c>
      <c r="O90" s="180" t="n">
        <v>0.006489</v>
      </c>
      <c r="P90" s="197" t="n">
        <v>-0.066524</v>
      </c>
      <c r="Q90" s="177" t="inlineStr">
        <is>
          <t>DOWN</t>
        </is>
      </c>
      <c r="R90" s="177" t="inlineStr">
        <is>
          <t>NO</t>
        </is>
      </c>
      <c r="S90" s="176" t="n">
        <v>1</v>
      </c>
      <c r="T90" s="197" t="n">
        <v>-0.067524</v>
      </c>
      <c r="U90" s="185" t="inlineStr">
        <is>
          <t>w=[0.80,0.20,0,0] thr=(+0.20,-0.10), deployed default promoted 2026-08-18 (PSR=0.964, permutation p=0.0002 at N=233, restricted search - see blend.py)</t>
        </is>
      </c>
      <c r="V90" s="152" t="inlineStr">
        <is>
          <t>FROZEN</t>
        </is>
      </c>
      <c r="W90" s="152" t="inlineStr">
        <is>
          <t>price signal — only this window shows an abnormal move</t>
        </is>
      </c>
      <c r="X90" s="152" t="inlineStr">
        <is>
          <t>DIS</t>
        </is>
      </c>
      <c r="Y90" s="152" t="inlineStr">
        <is>
          <t>2025-11-12</t>
        </is>
      </c>
      <c r="Z90" s="152" t="n">
        <v>114.985</v>
      </c>
      <c r="AA90" s="152" t="inlineStr">
        <is>
          <t>2025-11-13</t>
        </is>
      </c>
      <c r="AB90" s="152" t="n">
        <v>107.3358</v>
      </c>
      <c r="AC90" s="152" t="n">
        <v>-0.06652385097677246</v>
      </c>
      <c r="AD90" s="152" t="inlineStr">
        <is>
          <t>DOWN</t>
        </is>
      </c>
      <c r="AE90" s="152" t="inlineStr">
        <is>
          <t>NO</t>
        </is>
      </c>
      <c r="AF90" s="152" t="n">
        <v>-0.067524</v>
      </c>
      <c r="AG90" s="152">
        <f>IF($A90="","",IFERROR(INDEX(Company_List!$G$3:$G$207,MATCH($A90,Company_List!$A$3:$A$207,0)),"unassigned"))</f>
        <v/>
      </c>
      <c r="AH90" s="152" t="inlineStr">
        <is>
          <t>Phase 2/Disney/q4-fy25-earnings-transcript.pdf</t>
        </is>
      </c>
      <c r="AI90" s="152" t="n"/>
      <c r="AJ90" s="152" t="inlineStr">
        <is>
          <t>unique filename match</t>
        </is>
      </c>
      <c r="AK90" s="152">
        <f>IF($A90="","",IF(COUNTIFS(Human_Data_Entry!$A$3:$A$525,$A90)&gt;0,"YES","NO"))</f>
        <v/>
      </c>
      <c r="AL90" s="152">
        <f>IF($A90="","",IF(AND($C90&amp;"-"&amp;$D90&gt;=Settings!$B$19,$C90&amp;"-"&amp;$D90&lt;=Settings!$B$20),"IN","OUT"))</f>
        <v/>
      </c>
      <c r="AM90" s="152">
        <f>IF(AND(OR($H90="BUY",$H90="SELL"),ISNUMBER($T90)),$T90,"")</f>
        <v/>
      </c>
      <c r="AN90" s="152">
        <f>IF(AND(OR($H90="BUY",$H90="SELL"),ISNUMBER($AF90)),$AF90,"")</f>
        <v/>
      </c>
      <c r="AO90" s="152">
        <f>IF(ISNUMBER($AM90),ABS(IF(ISNUMBER($G90),$G90,0)-Settings!$B$25),"")</f>
        <v/>
      </c>
      <c r="AP90" s="152">
        <f>IF(ISNUMBER($AO90),$AO90*$AM90,"")</f>
        <v/>
      </c>
      <c r="AQ90" s="152">
        <f>IF(ISNUMBER($AN90),ABS(IF(ISNUMBER($G90),$G90,0)-Settings!$B$25),"")</f>
        <v/>
      </c>
      <c r="AR90" s="152">
        <f>IF(ISNUMBER($AQ90),$AQ90*$AN90,"")</f>
        <v/>
      </c>
      <c r="AS90" s="152">
        <f>IF($A90="","",IFERROR(INDEX(Company_List!$H$3:$H$207,MATCH($A90,Company_List!$A$3:$A$207,0)),"unassigned"))</f>
        <v/>
      </c>
      <c r="AT90" s="152" t="inlineStr">
        <is>
          <t>re-read since v1</t>
        </is>
      </c>
      <c r="AU90" s="152" t="inlineStr">
        <is>
          <t>Phase 2/Master_Data_v1.xlsx</t>
        </is>
      </c>
      <c r="AV90" s="152" t="n">
        <v>1</v>
      </c>
      <c r="AW90" s="152" t="inlineStr">
        <is>
          <t>not publisher-identified</t>
        </is>
      </c>
      <c r="AX90" s="152" t="inlineStr">
        <is>
          <t>not publisher-identified</t>
        </is>
      </c>
      <c r="AY90" s="152" t="inlineStr">
        <is>
          <t>no</t>
        </is>
      </c>
      <c r="AZ90" s="152" t="inlineStr">
        <is>
          <t>no</t>
        </is>
      </c>
      <c r="BA90" s="152" t="inlineStr">
        <is>
          <t>YES</t>
        </is>
      </c>
      <c r="BB90" s="152" t="n"/>
    </row>
    <row r="91" ht="15" customHeight="1" s="241">
      <c r="A91" s="191" t="inlineStr">
        <is>
          <t>JPMorgan</t>
        </is>
      </c>
      <c r="B91" s="188" t="inlineStr">
        <is>
          <t>JPM</t>
        </is>
      </c>
      <c r="C91" s="176" t="n">
        <v>2025</v>
      </c>
      <c r="D91" s="177" t="inlineStr">
        <is>
          <t>Q1</t>
        </is>
      </c>
      <c r="E91" s="178" t="inlineStr">
        <is>
          <t>Ben/DeepSeek</t>
        </is>
      </c>
      <c r="F91" s="177" t="inlineStr">
        <is>
          <t>LLM</t>
        </is>
      </c>
      <c r="G91" s="196" t="n">
        <v>-0.46</v>
      </c>
      <c r="H91" s="177" t="inlineStr">
        <is>
          <t>SELL</t>
        </is>
      </c>
      <c r="I91" s="196" t="n"/>
      <c r="J91" s="182" t="n">
        <v>45757</v>
      </c>
      <c r="K91" s="182" t="n">
        <v>45757</v>
      </c>
      <c r="L91" s="183" t="n">
        <v>227.11</v>
      </c>
      <c r="M91" s="182" t="n">
        <v>45758</v>
      </c>
      <c r="N91" s="183" t="n">
        <v>226.31</v>
      </c>
      <c r="O91" s="180" t="n"/>
      <c r="P91" s="197" t="n">
        <v>-0.003523</v>
      </c>
      <c r="Q91" s="177" t="inlineStr">
        <is>
          <t>FLAT</t>
        </is>
      </c>
      <c r="R91" s="177" t="inlineStr">
        <is>
          <t>NO</t>
        </is>
      </c>
      <c r="S91" s="176" t="n">
        <v>-1</v>
      </c>
      <c r="T91" s="197" t="n">
        <v>0.002523</v>
      </c>
      <c r="U91" s="185" t="inlineStr">
        <is>
          <t>w=[0.80,0.20,0,0] thr=(+0.20,-0.10), deployed default promoted 2026-08-18 (PSR=0.964, permutation p=0.0002 at N=233, restricted search - see blend.py) | Token Cost unavailable: predates cost_log tracking, not backfillable</t>
        </is>
      </c>
      <c r="V91" s="152" t="inlineStr">
        <is>
          <t>FROZEN</t>
        </is>
      </c>
      <c r="W91" s="152" t="inlineStr">
        <is>
          <t>document date + price signal</t>
        </is>
      </c>
      <c r="X91" s="152" t="inlineStr">
        <is>
          <t>JPM</t>
        </is>
      </c>
      <c r="Y91" s="152" t="inlineStr">
        <is>
          <t>2025-03-31</t>
        </is>
      </c>
      <c r="Z91" s="152" t="n">
        <v>238.0749</v>
      </c>
      <c r="AA91" s="152" t="inlineStr">
        <is>
          <t>2025-04-01</t>
        </is>
      </c>
      <c r="AB91" s="152" t="n">
        <v>235.4738</v>
      </c>
      <c r="AC91" s="152" t="n">
        <v>-0.01092547572088052</v>
      </c>
      <c r="AD91" s="152" t="inlineStr">
        <is>
          <t>FLAT</t>
        </is>
      </c>
      <c r="AE91" s="152" t="inlineStr">
        <is>
          <t>NO</t>
        </is>
      </c>
      <c r="AF91" s="152" t="n">
        <v>0.009925</v>
      </c>
      <c r="AG91" s="152">
        <f>IF($A91="","",IFERROR(INDEX(Company_List!$G$3:$G$207,MATCH($A91,Company_List!$A$3:$A$207,0)),"unassigned"))</f>
        <v/>
      </c>
      <c r="AH91" s="152" t="inlineStr">
        <is>
          <t>Phase 2/JPMC Documents/2025-Q1/JPM-2025-Q1-press-release-SEC-EX-99-1.htm; Phase 2/JPMC Documents/2025-Q1/JPM-2025-Q1-earnings-call-transcript-jpmorganchase-com.pdf</t>
        </is>
      </c>
      <c r="AI91" s="152" t="inlineStr">
        <is>
          <t>https://www.jpmorganchase.com/content/dam/jpmc/jpmorgan-chase-and-co/investor-relations/documents/quarterly-earnings/2025/1st-quarter/1q25-earnings-transcript.pdf; https://www.sec.gov/Archives/edgar/data/19617/000001961725000332/a1q25erfexhibit991narrative.htm</t>
        </is>
      </c>
      <c r="AJ91" s="152" t="inlineStr">
        <is>
          <t>manifest (whole bundle)</t>
        </is>
      </c>
      <c r="AK91" s="152">
        <f>IF($A91="","",IF(COUNTIFS(Human_Data_Entry!$A$3:$A$525,$A91)&gt;0,"YES","NO"))</f>
        <v/>
      </c>
      <c r="AL91" s="152">
        <f>IF($A91="","",IF(AND($C91&amp;"-"&amp;$D91&gt;=Settings!$B$19,$C91&amp;"-"&amp;$D91&lt;=Settings!$B$20),"IN","OUT"))</f>
        <v/>
      </c>
      <c r="AM91" s="152">
        <f>IF(AND(OR($H91="BUY",$H91="SELL"),ISNUMBER($T91)),$T91,"")</f>
        <v/>
      </c>
      <c r="AN91" s="152">
        <f>IF(AND(OR($H91="BUY",$H91="SELL"),ISNUMBER($AF91)),$AF91,"")</f>
        <v/>
      </c>
      <c r="AO91" s="152">
        <f>IF(ISNUMBER($AM91),ABS(IF(ISNUMBER($G91),$G91,0)-Settings!$B$25),"")</f>
        <v/>
      </c>
      <c r="AP91" s="152">
        <f>IF(ISNUMBER($AO91),$AO91*$AM91,"")</f>
        <v/>
      </c>
      <c r="AQ91" s="152">
        <f>IF(ISNUMBER($AN91),ABS(IF(ISNUMBER($G91),$G91,0)-Settings!$B$25),"")</f>
        <v/>
      </c>
      <c r="AR91" s="152">
        <f>IF(ISNUMBER($AQ91),$AQ91*$AN91,"")</f>
        <v/>
      </c>
      <c r="AS91" s="152">
        <f>IF($A91="","",IFERROR(INDEX(Company_List!$H$3:$H$207,MATCH($A91,Company_List!$A$3:$A$207,0)),"unassigned"))</f>
        <v/>
      </c>
      <c r="AT91" s="152" t="inlineStr">
        <is>
          <t>re-read since v1</t>
        </is>
      </c>
      <c r="AU91" s="152" t="inlineStr">
        <is>
          <t>Phase 2/Master_Data_v1.xlsx</t>
        </is>
      </c>
      <c r="AV91" s="152" t="n">
        <v>2</v>
      </c>
      <c r="AW91" s="152" t="inlineStr">
        <is>
          <t>not publisher-identified</t>
        </is>
      </c>
      <c r="AX91" s="152" t="inlineStr">
        <is>
          <t>not publisher-identified</t>
        </is>
      </c>
      <c r="AY91" s="152" t="inlineStr">
        <is>
          <t>no</t>
        </is>
      </c>
      <c r="AZ91" s="152" t="inlineStr">
        <is>
          <t>yes</t>
        </is>
      </c>
      <c r="BA91" s="152" t="inlineStr">
        <is>
          <t>YES</t>
        </is>
      </c>
      <c r="BB91" s="152" t="n"/>
    </row>
    <row r="92" ht="15" customHeight="1" s="241">
      <c r="A92" s="191" t="inlineStr">
        <is>
          <t>JPMorgan</t>
        </is>
      </c>
      <c r="B92" s="188" t="inlineStr">
        <is>
          <t>JPM</t>
        </is>
      </c>
      <c r="C92" s="176" t="n">
        <v>2026</v>
      </c>
      <c r="D92" s="177" t="inlineStr">
        <is>
          <t>Q1</t>
        </is>
      </c>
      <c r="E92" s="178" t="inlineStr">
        <is>
          <t>Ben/DeepSeek</t>
        </is>
      </c>
      <c r="F92" s="177" t="inlineStr">
        <is>
          <t>LLM</t>
        </is>
      </c>
      <c r="G92" s="196" t="n">
        <v>0.02</v>
      </c>
      <c r="H92" s="177" t="inlineStr">
        <is>
          <t>HOLD</t>
        </is>
      </c>
      <c r="I92" s="196" t="n"/>
      <c r="J92" s="182" t="n">
        <v>46126</v>
      </c>
      <c r="K92" s="182" t="n">
        <v>46125</v>
      </c>
      <c r="L92" s="183" t="n">
        <v>313.68</v>
      </c>
      <c r="M92" s="182" t="n">
        <v>46126</v>
      </c>
      <c r="N92" s="183" t="n">
        <v>309.82</v>
      </c>
      <c r="O92" s="180" t="n">
        <v>0.008312999999999999</v>
      </c>
      <c r="P92" s="197" t="n">
        <v>-0.012305</v>
      </c>
      <c r="Q92" s="177" t="inlineStr">
        <is>
          <t>FLAT</t>
        </is>
      </c>
      <c r="R92" s="177" t="inlineStr">
        <is>
          <t>YES</t>
        </is>
      </c>
      <c r="S92" s="176" t="n">
        <v>0</v>
      </c>
      <c r="T92" s="197" t="n">
        <v>0</v>
      </c>
      <c r="U92" s="185" t="inlineStr">
        <is>
          <t>w=[0.80,0.20,0,0] thr=(+0.20,-0.10), deployed default promoted 2026-08-18 (PSR=0.964, permutation p=0.0002 at N=233, restricted search - see blend.py)</t>
        </is>
      </c>
      <c r="V92" s="152" t="inlineStr">
        <is>
          <t>FROZEN</t>
        </is>
      </c>
      <c r="W92" s="152" t="inlineStr">
        <is>
          <t>release time published by the issuer</t>
        </is>
      </c>
      <c r="X92" s="152" t="inlineStr">
        <is>
          <t>JPM</t>
        </is>
      </c>
      <c r="Y92" s="152" t="inlineStr">
        <is>
          <t>2026-04-13</t>
        </is>
      </c>
      <c r="Z92" s="152" t="n">
        <v>312.2732</v>
      </c>
      <c r="AA92" s="152" t="inlineStr">
        <is>
          <t>2026-04-14</t>
        </is>
      </c>
      <c r="AB92" s="152" t="n">
        <v>308.4305</v>
      </c>
      <c r="AC92" s="152" t="n">
        <v>-0.01230550873185565</v>
      </c>
      <c r="AD92" s="152" t="inlineStr">
        <is>
          <t>FLAT</t>
        </is>
      </c>
      <c r="AE92" s="152" t="inlineStr">
        <is>
          <t>NO</t>
        </is>
      </c>
      <c r="AF92" s="152" t="n">
        <v>0.011306</v>
      </c>
      <c r="AG92" s="152">
        <f>IF($A92="","",IFERROR(INDEX(Company_List!$G$3:$G$207,MATCH($A92,Company_List!$A$3:$A$207,0)),"unassigned"))</f>
        <v/>
      </c>
      <c r="AH92" s="152" t="inlineStr">
        <is>
          <t>Phase 2/JPMC Documents/2026-Q1/JPM-2026-Q1-press-release-SEC-EX-99-1.htm; Phase 2/JPMC Documents/2026-Q1/JPM-2026-Q1-earnings-call-transcript-jpmorganchase-com.pdf</t>
        </is>
      </c>
      <c r="AI92" s="152" t="inlineStr">
        <is>
          <t>https://www.jpmorganchase.com/content/dam/jpmc/jpmorgan-chase-and-co/investor-relations/documents/quarterly-earnings/2026/1st-quarter/1q26-earnings-transcript.pdf; https://www.sec.gov/Archives/edgar/data/19617/000162828026024990/a1q26erfexhibit991narrative.htm</t>
        </is>
      </c>
      <c r="AJ92" s="152" t="inlineStr">
        <is>
          <t>manifest (whole bundle)</t>
        </is>
      </c>
      <c r="AK92" s="152">
        <f>IF($A92="","",IF(COUNTIFS(Human_Data_Entry!$A$3:$A$525,$A92)&gt;0,"YES","NO"))</f>
        <v/>
      </c>
      <c r="AL92" s="152">
        <f>IF($A92="","",IF(AND($C92&amp;"-"&amp;$D92&gt;=Settings!$B$19,$C92&amp;"-"&amp;$D92&lt;=Settings!$B$20),"IN","OUT"))</f>
        <v/>
      </c>
      <c r="AM92" s="152">
        <f>IF(AND(OR($H92="BUY",$H92="SELL"),ISNUMBER($T92)),$T92,"")</f>
        <v/>
      </c>
      <c r="AN92" s="152">
        <f>IF(AND(OR($H92="BUY",$H92="SELL"),ISNUMBER($AF92)),$AF92,"")</f>
        <v/>
      </c>
      <c r="AO92" s="152">
        <f>IF(ISNUMBER($AM92),ABS(IF(ISNUMBER($G92),$G92,0)-Settings!$B$25),"")</f>
        <v/>
      </c>
      <c r="AP92" s="152">
        <f>IF(ISNUMBER($AO92),$AO92*$AM92,"")</f>
        <v/>
      </c>
      <c r="AQ92" s="152">
        <f>IF(ISNUMBER($AN92),ABS(IF(ISNUMBER($G92),$G92,0)-Settings!$B$25),"")</f>
        <v/>
      </c>
      <c r="AR92" s="152">
        <f>IF(ISNUMBER($AQ92),$AQ92*$AN92,"")</f>
        <v/>
      </c>
      <c r="AS92" s="152">
        <f>IF($A92="","",IFERROR(INDEX(Company_List!$H$3:$H$207,MATCH($A92,Company_List!$A$3:$A$207,0)),"unassigned"))</f>
        <v/>
      </c>
      <c r="AT92" s="152" t="inlineStr">
        <is>
          <t>not in v1</t>
        </is>
      </c>
      <c r="AU92" s="152" t="inlineStr">
        <is>
          <t>no earlier record</t>
        </is>
      </c>
      <c r="AV92" s="152" t="n">
        <v>2</v>
      </c>
      <c r="AW92" s="152" t="inlineStr">
        <is>
          <t>not publisher-identified</t>
        </is>
      </c>
      <c r="AX92" s="152" t="inlineStr">
        <is>
          <t>not publisher-identified</t>
        </is>
      </c>
      <c r="AY92" s="152" t="inlineStr">
        <is>
          <t>no</t>
        </is>
      </c>
      <c r="AZ92" s="152" t="inlineStr">
        <is>
          <t>yes</t>
        </is>
      </c>
      <c r="BA92" s="152" t="inlineStr">
        <is>
          <t>YES</t>
        </is>
      </c>
      <c r="BB92" s="152" t="n"/>
    </row>
    <row r="93" ht="15" customHeight="1" s="241">
      <c r="A93" s="191" t="inlineStr">
        <is>
          <t>JPMorgan</t>
        </is>
      </c>
      <c r="B93" s="188" t="inlineStr">
        <is>
          <t>JPM</t>
        </is>
      </c>
      <c r="C93" s="176" t="n">
        <v>2025</v>
      </c>
      <c r="D93" s="177" t="inlineStr">
        <is>
          <t>Q2</t>
        </is>
      </c>
      <c r="E93" s="178" t="inlineStr">
        <is>
          <t>Ben/DeepSeek</t>
        </is>
      </c>
      <c r="F93" s="177" t="inlineStr">
        <is>
          <t>LLM</t>
        </is>
      </c>
      <c r="G93" s="196" t="n">
        <v>0.26</v>
      </c>
      <c r="H93" s="177" t="inlineStr">
        <is>
          <t>BUY</t>
        </is>
      </c>
      <c r="I93" s="196" t="n"/>
      <c r="J93" s="182" t="n">
        <v>45853</v>
      </c>
      <c r="K93" s="182" t="n">
        <v>45852</v>
      </c>
      <c r="L93" s="183" t="n">
        <v>288.7</v>
      </c>
      <c r="M93" s="182" t="n">
        <v>45853</v>
      </c>
      <c r="N93" s="183" t="n">
        <v>288</v>
      </c>
      <c r="O93" s="180" t="n"/>
      <c r="P93" s="197" t="n">
        <v>-0.002425</v>
      </c>
      <c r="Q93" s="177" t="inlineStr">
        <is>
          <t>FLAT</t>
        </is>
      </c>
      <c r="R93" s="177" t="inlineStr">
        <is>
          <t>NO</t>
        </is>
      </c>
      <c r="S93" s="176" t="n">
        <v>1</v>
      </c>
      <c r="T93" s="197" t="n">
        <v>-0.003425</v>
      </c>
      <c r="U93" s="185" t="inlineStr">
        <is>
          <t>w=[0.80,0.20,0,0] thr=(+0.20,-0.10), deployed default promoted 2026-08-18 (PSR=0.964, permutation p=0.0002 at N=233, restricted search - see blend.py) | Token Cost unavailable: predates cost_log tracking, not backfillable</t>
        </is>
      </c>
      <c r="V93" s="152" t="inlineStr">
        <is>
          <t>FROZEN</t>
        </is>
      </c>
      <c r="W93" s="152" t="inlineStr">
        <is>
          <t>release time published by the issuer</t>
        </is>
      </c>
      <c r="X93" s="152" t="inlineStr">
        <is>
          <t>JPM</t>
        </is>
      </c>
      <c r="Y93" s="152" t="inlineStr">
        <is>
          <t>2025-07-14</t>
        </is>
      </c>
      <c r="Z93" s="152" t="n">
        <v>283.2807</v>
      </c>
      <c r="AA93" s="152" t="inlineStr">
        <is>
          <t>2025-07-15</t>
        </is>
      </c>
      <c r="AB93" s="152" t="n">
        <v>282.5938</v>
      </c>
      <c r="AC93" s="152" t="n">
        <v>-0.002424757842669704</v>
      </c>
      <c r="AD93" s="152" t="inlineStr">
        <is>
          <t>FLAT</t>
        </is>
      </c>
      <c r="AE93" s="152" t="inlineStr">
        <is>
          <t>YES</t>
        </is>
      </c>
      <c r="AF93" s="152" t="n">
        <v>0</v>
      </c>
      <c r="AG93" s="152">
        <f>IF($A93="","",IFERROR(INDEX(Company_List!$G$3:$G$207,MATCH($A93,Company_List!$A$3:$A$207,0)),"unassigned"))</f>
        <v/>
      </c>
      <c r="AH93" s="152" t="inlineStr">
        <is>
          <t>Phase 2/JPMC Documents/Q2/corp-q2-2025.pdf</t>
        </is>
      </c>
      <c r="AI93" s="152" t="n"/>
      <c r="AJ93" s="152" t="inlineStr">
        <is>
          <t>unique filename match</t>
        </is>
      </c>
      <c r="AK93" s="152">
        <f>IF($A93="","",IF(COUNTIFS(Human_Data_Entry!$A$3:$A$525,$A93)&gt;0,"YES","NO"))</f>
        <v/>
      </c>
      <c r="AL93" s="152">
        <f>IF($A93="","",IF(AND($C93&amp;"-"&amp;$D93&gt;=Settings!$B$19,$C93&amp;"-"&amp;$D93&lt;=Settings!$B$20),"IN","OUT"))</f>
        <v/>
      </c>
      <c r="AM93" s="152">
        <f>IF(AND(OR($H93="BUY",$H93="SELL"),ISNUMBER($T93)),$T93,"")</f>
        <v/>
      </c>
      <c r="AN93" s="152">
        <f>IF(AND(OR($H93="BUY",$H93="SELL"),ISNUMBER($AF93)),$AF93,"")</f>
        <v/>
      </c>
      <c r="AO93" s="152">
        <f>IF(ISNUMBER($AM93),ABS(IF(ISNUMBER($G93),$G93,0)-Settings!$B$25),"")</f>
        <v/>
      </c>
      <c r="AP93" s="152">
        <f>IF(ISNUMBER($AO93),$AO93*$AM93,"")</f>
        <v/>
      </c>
      <c r="AQ93" s="152">
        <f>IF(ISNUMBER($AN93),ABS(IF(ISNUMBER($G93),$G93,0)-Settings!$B$25),"")</f>
        <v/>
      </c>
      <c r="AR93" s="152">
        <f>IF(ISNUMBER($AQ93),$AQ93*$AN93,"")</f>
        <v/>
      </c>
      <c r="AS93" s="152">
        <f>IF($A93="","",IFERROR(INDEX(Company_List!$H$3:$H$207,MATCH($A93,Company_List!$A$3:$A$207,0)),"unassigned"))</f>
        <v/>
      </c>
      <c r="AT93" s="152" t="inlineStr">
        <is>
          <t>re-read since v1</t>
        </is>
      </c>
      <c r="AU93" s="152" t="inlineStr">
        <is>
          <t>Phase 2/Master_Data_v1.xlsx</t>
        </is>
      </c>
      <c r="AV93" s="152" t="n">
        <v>1</v>
      </c>
      <c r="AW93" s="152" t="inlineStr">
        <is>
          <t>not publisher-identified</t>
        </is>
      </c>
      <c r="AX93" s="152" t="inlineStr">
        <is>
          <t>not publisher-identified</t>
        </is>
      </c>
      <c r="AY93" s="152" t="inlineStr">
        <is>
          <t>sole source</t>
        </is>
      </c>
      <c r="AZ93" s="152" t="inlineStr">
        <is>
          <t>no</t>
        </is>
      </c>
      <c r="BA93" s="152" t="inlineStr">
        <is>
          <t>YES</t>
        </is>
      </c>
      <c r="BB93" s="152" t="n"/>
    </row>
    <row r="94" ht="15" customHeight="1" s="241">
      <c r="A94" s="191" t="inlineStr">
        <is>
          <t>JPMorgan</t>
        </is>
      </c>
      <c r="B94" s="188" t="inlineStr">
        <is>
          <t>JPM</t>
        </is>
      </c>
      <c r="C94" s="176" t="n">
        <v>2025</v>
      </c>
      <c r="D94" s="177" t="inlineStr">
        <is>
          <t>Q3</t>
        </is>
      </c>
      <c r="E94" s="178" t="inlineStr">
        <is>
          <t>Ben/DeepSeek</t>
        </is>
      </c>
      <c r="F94" s="177" t="inlineStr">
        <is>
          <t>LLM</t>
        </is>
      </c>
      <c r="G94" s="196" t="n">
        <v>0.18</v>
      </c>
      <c r="H94" s="177" t="inlineStr">
        <is>
          <t>HOLD</t>
        </is>
      </c>
      <c r="I94" s="196" t="n"/>
      <c r="J94" s="182" t="n">
        <v>45944</v>
      </c>
      <c r="K94" s="182" t="n">
        <v>45943</v>
      </c>
      <c r="L94" s="183" t="n">
        <v>307.97</v>
      </c>
      <c r="M94" s="182" t="n">
        <v>45944</v>
      </c>
      <c r="N94" s="183" t="n">
        <v>305.84</v>
      </c>
      <c r="O94" s="180" t="n"/>
      <c r="P94" s="197" t="n">
        <v>-0.006916</v>
      </c>
      <c r="Q94" s="177" t="inlineStr">
        <is>
          <t>FLAT</t>
        </is>
      </c>
      <c r="R94" s="177" t="inlineStr">
        <is>
          <t>YES</t>
        </is>
      </c>
      <c r="S94" s="176" t="n">
        <v>0</v>
      </c>
      <c r="T94" s="197" t="n">
        <v>0</v>
      </c>
      <c r="U94" s="185" t="inlineStr">
        <is>
          <t>w=[0.80,0.20,0,0] thr=(+0.20,-0.10), deployed default promoted 2026-08-18 (PSR=0.964, permutation p=0.0002 at N=233, restricted search - see blend.py) | Token Cost unavailable: predates cost_log tracking, not backfillable</t>
        </is>
      </c>
      <c r="V94" s="152" t="inlineStr">
        <is>
          <t>FROZEN</t>
        </is>
      </c>
      <c r="W94" s="152" t="inlineStr">
        <is>
          <t>release time published by the issuer</t>
        </is>
      </c>
      <c r="X94" s="152" t="inlineStr">
        <is>
          <t>JPM</t>
        </is>
      </c>
      <c r="Y94" s="152" t="inlineStr">
        <is>
          <t>2025-10-13</t>
        </is>
      </c>
      <c r="Z94" s="152" t="n">
        <v>303.6581</v>
      </c>
      <c r="AA94" s="152" t="inlineStr">
        <is>
          <t>2025-10-14</t>
        </is>
      </c>
      <c r="AB94" s="152" t="n">
        <v>301.5579</v>
      </c>
      <c r="AC94" s="152" t="n">
        <v>-0.006916205179626069</v>
      </c>
      <c r="AD94" s="152" t="inlineStr">
        <is>
          <t>FLAT</t>
        </is>
      </c>
      <c r="AE94" s="152" t="inlineStr">
        <is>
          <t>YES</t>
        </is>
      </c>
      <c r="AF94" s="152" t="n">
        <v>0</v>
      </c>
      <c r="AG94" s="152">
        <f>IF($A94="","",IFERROR(INDEX(Company_List!$G$3:$G$207,MATCH($A94,Company_List!$A$3:$A$207,0)),"unassigned"))</f>
        <v/>
      </c>
      <c r="AH94" s="152" t="inlineStr">
        <is>
          <t>Phase 2/JPMC Documents/2025-Q3/JPM-2025-Q3-press-release-SEC-EX-99-1.htm; Phase 2/JPMC Documents/2025-Q3/JPM-2025-Q3-earnings-call-transcript-jpmorganchase-com.pdf</t>
        </is>
      </c>
      <c r="AI94" s="152" t="inlineStr">
        <is>
          <t>https://www.jpmorganchase.com/content/dam/jpmc/jpmorgan-chase-and-co/investor-relations/documents/quarterly-earnings/2025/3rd-quarter/jpm-3q25-earnings-call-transcript.pdf; https://www.sec.gov/Archives/edgar/data/19617/000162828025044845/a3q25erfexhibit991narrative.htm</t>
        </is>
      </c>
      <c r="AJ94" s="152" t="inlineStr">
        <is>
          <t>manifest (whole bundle)</t>
        </is>
      </c>
      <c r="AK94" s="152">
        <f>IF($A94="","",IF(COUNTIFS(Human_Data_Entry!$A$3:$A$525,$A94)&gt;0,"YES","NO"))</f>
        <v/>
      </c>
      <c r="AL94" s="152">
        <f>IF($A94="","",IF(AND($C94&amp;"-"&amp;$D94&gt;=Settings!$B$19,$C94&amp;"-"&amp;$D94&lt;=Settings!$B$20),"IN","OUT"))</f>
        <v/>
      </c>
      <c r="AM94" s="152">
        <f>IF(AND(OR($H94="BUY",$H94="SELL"),ISNUMBER($T94)),$T94,"")</f>
        <v/>
      </c>
      <c r="AN94" s="152">
        <f>IF(AND(OR($H94="BUY",$H94="SELL"),ISNUMBER($AF94)),$AF94,"")</f>
        <v/>
      </c>
      <c r="AO94" s="152">
        <f>IF(ISNUMBER($AM94),ABS(IF(ISNUMBER($G94),$G94,0)-Settings!$B$25),"")</f>
        <v/>
      </c>
      <c r="AP94" s="152">
        <f>IF(ISNUMBER($AO94),$AO94*$AM94,"")</f>
        <v/>
      </c>
      <c r="AQ94" s="152">
        <f>IF(ISNUMBER($AN94),ABS(IF(ISNUMBER($G94),$G94,0)-Settings!$B$25),"")</f>
        <v/>
      </c>
      <c r="AR94" s="152">
        <f>IF(ISNUMBER($AQ94),$AQ94*$AN94,"")</f>
        <v/>
      </c>
      <c r="AS94" s="152">
        <f>IF($A94="","",IFERROR(INDEX(Company_List!$H$3:$H$207,MATCH($A94,Company_List!$A$3:$A$207,0)),"unassigned"))</f>
        <v/>
      </c>
      <c r="AT94" s="152" t="inlineStr">
        <is>
          <t>re-read since v1</t>
        </is>
      </c>
      <c r="AU94" s="152" t="inlineStr">
        <is>
          <t>Phase 2/Master_Data_v1.xlsx</t>
        </is>
      </c>
      <c r="AV94" s="152" t="n">
        <v>2</v>
      </c>
      <c r="AW94" s="152" t="inlineStr">
        <is>
          <t>not publisher-identified</t>
        </is>
      </c>
      <c r="AX94" s="152" t="inlineStr">
        <is>
          <t>not publisher-identified</t>
        </is>
      </c>
      <c r="AY94" s="152" t="inlineStr">
        <is>
          <t>no</t>
        </is>
      </c>
      <c r="AZ94" s="152" t="inlineStr">
        <is>
          <t>yes</t>
        </is>
      </c>
      <c r="BA94" s="152" t="inlineStr">
        <is>
          <t>YES</t>
        </is>
      </c>
      <c r="BB94" s="152" t="n"/>
    </row>
    <row r="95" ht="15" customHeight="1" s="241">
      <c r="A95" s="191" t="inlineStr">
        <is>
          <t>JPMorgan</t>
        </is>
      </c>
      <c r="B95" s="188" t="inlineStr">
        <is>
          <t>JPM</t>
        </is>
      </c>
      <c r="C95" s="176" t="n">
        <v>2025</v>
      </c>
      <c r="D95" s="177" t="inlineStr">
        <is>
          <t>Q4</t>
        </is>
      </c>
      <c r="E95" s="178" t="inlineStr">
        <is>
          <t>Ben/DeepSeek</t>
        </is>
      </c>
      <c r="F95" s="177" t="inlineStr">
        <is>
          <t>LLM</t>
        </is>
      </c>
      <c r="G95" s="196" t="n">
        <v>0.21</v>
      </c>
      <c r="H95" s="177" t="inlineStr">
        <is>
          <t>BUY</t>
        </is>
      </c>
      <c r="I95" s="196" t="n"/>
      <c r="J95" s="182" t="n">
        <v>46035</v>
      </c>
      <c r="K95" s="182" t="n">
        <v>46034</v>
      </c>
      <c r="L95" s="183" t="n">
        <v>324.49</v>
      </c>
      <c r="M95" s="182" t="n">
        <v>46035</v>
      </c>
      <c r="N95" s="183" t="n">
        <v>324.3</v>
      </c>
      <c r="O95" s="180" t="n"/>
      <c r="P95" s="197" t="n">
        <v>-0.000586</v>
      </c>
      <c r="Q95" s="177" t="inlineStr">
        <is>
          <t>FLAT</t>
        </is>
      </c>
      <c r="R95" s="177" t="inlineStr">
        <is>
          <t>NO</t>
        </is>
      </c>
      <c r="S95" s="176" t="n">
        <v>1</v>
      </c>
      <c r="T95" s="197" t="n">
        <v>-0.001586</v>
      </c>
      <c r="U95" s="185" t="inlineStr">
        <is>
          <t>w=[0.80,0.20,0,0] thr=(+0.20,-0.10), deployed default promoted 2026-08-18 (PSR=0.964, permutation p=0.0002 at N=233, restricted search - see blend.py) | Token Cost unavailable: predates cost_log tracking, not backfillable</t>
        </is>
      </c>
      <c r="V95" s="152" t="inlineStr">
        <is>
          <t>FROZEN</t>
        </is>
      </c>
      <c r="W95" s="152" t="inlineStr">
        <is>
          <t>release time published by the issuer</t>
        </is>
      </c>
      <c r="X95" s="152" t="inlineStr">
        <is>
          <t>JPM</t>
        </is>
      </c>
      <c r="Y95" s="152" t="inlineStr">
        <is>
          <t>2026-01-12</t>
        </is>
      </c>
      <c r="Z95" s="152" t="n">
        <v>321.39</v>
      </c>
      <c r="AA95" s="152" t="inlineStr">
        <is>
          <t>2026-01-13</t>
        </is>
      </c>
      <c r="AB95" s="152" t="n">
        <v>321.2018</v>
      </c>
      <c r="AC95" s="152" t="n">
        <v>-0.0005855717077517526</v>
      </c>
      <c r="AD95" s="152" t="inlineStr">
        <is>
          <t>FLAT</t>
        </is>
      </c>
      <c r="AE95" s="152" t="inlineStr">
        <is>
          <t>YES</t>
        </is>
      </c>
      <c r="AF95" s="152" t="n">
        <v>0</v>
      </c>
      <c r="AG95" s="152">
        <f>IF($A95="","",IFERROR(INDEX(Company_List!$G$3:$G$207,MATCH($A95,Company_List!$A$3:$A$207,0)),"unassigned"))</f>
        <v/>
      </c>
      <c r="AH95" s="152" t="inlineStr">
        <is>
          <t>Phase 2/JPMC Documents/Q4/corp-10k-2025.pdf</t>
        </is>
      </c>
      <c r="AI95" s="152" t="n"/>
      <c r="AJ95" s="152" t="inlineStr">
        <is>
          <t>unique filename match</t>
        </is>
      </c>
      <c r="AK95" s="152">
        <f>IF($A95="","",IF(COUNTIFS(Human_Data_Entry!$A$3:$A$525,$A95)&gt;0,"YES","NO"))</f>
        <v/>
      </c>
      <c r="AL95" s="152">
        <f>IF($A95="","",IF(AND($C95&amp;"-"&amp;$D95&gt;=Settings!$B$19,$C95&amp;"-"&amp;$D95&lt;=Settings!$B$20),"IN","OUT"))</f>
        <v/>
      </c>
      <c r="AM95" s="152">
        <f>IF(AND(OR($H95="BUY",$H95="SELL"),ISNUMBER($T95)),$T95,"")</f>
        <v/>
      </c>
      <c r="AN95" s="152">
        <f>IF(AND(OR($H95="BUY",$H95="SELL"),ISNUMBER($AF95)),$AF95,"")</f>
        <v/>
      </c>
      <c r="AO95" s="152">
        <f>IF(ISNUMBER($AM95),ABS(IF(ISNUMBER($G95),$G95,0)-Settings!$B$25),"")</f>
        <v/>
      </c>
      <c r="AP95" s="152">
        <f>IF(ISNUMBER($AO95),$AO95*$AM95,"")</f>
        <v/>
      </c>
      <c r="AQ95" s="152">
        <f>IF(ISNUMBER($AN95),ABS(IF(ISNUMBER($G95),$G95,0)-Settings!$B$25),"")</f>
        <v/>
      </c>
      <c r="AR95" s="152">
        <f>IF(ISNUMBER($AQ95),$AQ95*$AN95,"")</f>
        <v/>
      </c>
      <c r="AS95" s="152">
        <f>IF($A95="","",IFERROR(INDEX(Company_List!$H$3:$H$207,MATCH($A95,Company_List!$A$3:$A$207,0)),"unassigned"))</f>
        <v/>
      </c>
      <c r="AT95" s="152" t="inlineStr">
        <is>
          <t>re-read since v1</t>
        </is>
      </c>
      <c r="AU95" s="152" t="inlineStr">
        <is>
          <t>Phase 2/Master_Data_v1.xlsx</t>
        </is>
      </c>
      <c r="AV95" s="152" t="n">
        <v>1</v>
      </c>
      <c r="AW95" s="152" t="inlineStr">
        <is>
          <t>not publisher-identified</t>
        </is>
      </c>
      <c r="AX95" s="152" t="inlineStr">
        <is>
          <t>not publisher-identified</t>
        </is>
      </c>
      <c r="AY95" s="152" t="inlineStr">
        <is>
          <t>sole source</t>
        </is>
      </c>
      <c r="AZ95" s="152" t="inlineStr">
        <is>
          <t>no</t>
        </is>
      </c>
      <c r="BA95" s="152" t="inlineStr">
        <is>
          <t>YES</t>
        </is>
      </c>
      <c r="BB95" s="152" t="n"/>
    </row>
    <row r="96" ht="15" customHeight="1" s="241">
      <c r="A96" s="191" t="inlineStr">
        <is>
          <t>Netflix</t>
        </is>
      </c>
      <c r="B96" s="188" t="inlineStr">
        <is>
          <t>NFLX</t>
        </is>
      </c>
      <c r="C96" s="176" t="n">
        <v>2025</v>
      </c>
      <c r="D96" s="177" t="inlineStr">
        <is>
          <t>Q1</t>
        </is>
      </c>
      <c r="E96" s="178" t="inlineStr">
        <is>
          <t>Ben/DeepSeek</t>
        </is>
      </c>
      <c r="F96" s="177" t="inlineStr">
        <is>
          <t>LLM</t>
        </is>
      </c>
      <c r="G96" s="196" t="n">
        <v>0.06</v>
      </c>
      <c r="H96" s="177" t="inlineStr">
        <is>
          <t>HOLD</t>
        </is>
      </c>
      <c r="I96" s="196" t="n"/>
      <c r="J96" s="182" t="n">
        <v>45764</v>
      </c>
      <c r="K96" s="182" t="n">
        <v>45764</v>
      </c>
      <c r="L96" s="183" t="n">
        <v>97.303</v>
      </c>
      <c r="M96" s="182" t="n">
        <v>45765</v>
      </c>
      <c r="N96" s="183" t="n">
        <v>98.44</v>
      </c>
      <c r="O96" s="180" t="n">
        <v>0.008116</v>
      </c>
      <c r="P96" s="197" t="n">
        <v>0.011685</v>
      </c>
      <c r="Q96" s="177" t="inlineStr">
        <is>
          <t>FLAT</t>
        </is>
      </c>
      <c r="R96" s="177" t="inlineStr">
        <is>
          <t>YES</t>
        </is>
      </c>
      <c r="S96" s="176" t="n">
        <v>0</v>
      </c>
      <c r="T96" s="197" t="n">
        <v>0</v>
      </c>
      <c r="U96" s="185" t="inlineStr">
        <is>
          <t>w=[0.80,0.20,0,0] thr=(+0.20,-0.10), deployed default promoted 2026-08-18 (PSR=0.964, permutation p=0.0002 at N=233, restricted search - see blend.py)</t>
        </is>
      </c>
      <c r="V96" s="152" t="inlineStr">
        <is>
          <t>FROZEN</t>
        </is>
      </c>
      <c r="W96" s="152" t="inlineStr">
        <is>
          <t>release date + stated time in the document (rater worksheet)</t>
        </is>
      </c>
      <c r="X96" s="152" t="inlineStr">
        <is>
          <t>NFLX</t>
        </is>
      </c>
      <c r="Y96" s="152" t="inlineStr">
        <is>
          <t>2025-04-17</t>
        </is>
      </c>
      <c r="Z96" s="152" t="n">
        <v>97.303</v>
      </c>
      <c r="AA96" s="152" t="inlineStr">
        <is>
          <t>2025-04-21</t>
        </is>
      </c>
      <c r="AB96" s="152" t="n">
        <v>98.44</v>
      </c>
      <c r="AC96" s="152" t="n">
        <v>0.01168515861088423</v>
      </c>
      <c r="AD96" s="152" t="inlineStr">
        <is>
          <t>FLAT</t>
        </is>
      </c>
      <c r="AE96" s="152" t="inlineStr">
        <is>
          <t>NO</t>
        </is>
      </c>
      <c r="AF96" s="152" t="n">
        <v>-0.012685</v>
      </c>
      <c r="AG96" s="152">
        <f>IF($A96="","",IFERROR(INDEX(Company_List!$G$3:$G$207,MATCH($A96,Company_List!$A$3:$A$207,0)),"unassigned"))</f>
        <v/>
      </c>
      <c r="AH96" s="152" t="inlineStr">
        <is>
          <t>Phase 2/Netflix/2025-Q1/NFLX-2025-Q1-press-release-SEC-EX-99-1.htm</t>
        </is>
      </c>
      <c r="AI96" s="152" t="inlineStr">
        <is>
          <t>https://www.sec.gov/Archives/edgar/data/1065280/000106528025000175/ex991_q125.htm</t>
        </is>
      </c>
      <c r="AJ96" s="152" t="inlineStr">
        <is>
          <t>manifest</t>
        </is>
      </c>
      <c r="AK96" s="152">
        <f>IF($A96="","",IF(COUNTIFS(Human_Data_Entry!$A$3:$A$525,$A96)&gt;0,"YES","NO"))</f>
        <v/>
      </c>
      <c r="AL96" s="152">
        <f>IF($A96="","",IF(AND($C96&amp;"-"&amp;$D96&gt;=Settings!$B$19,$C96&amp;"-"&amp;$D96&lt;=Settings!$B$20),"IN","OUT"))</f>
        <v/>
      </c>
      <c r="AM96" s="152">
        <f>IF(AND(OR($H96="BUY",$H96="SELL"),ISNUMBER($T96)),$T96,"")</f>
        <v/>
      </c>
      <c r="AN96" s="152">
        <f>IF(AND(OR($H96="BUY",$H96="SELL"),ISNUMBER($AF96)),$AF96,"")</f>
        <v/>
      </c>
      <c r="AO96" s="152">
        <f>IF(ISNUMBER($AM96),ABS(IF(ISNUMBER($G96),$G96,0)-Settings!$B$25),"")</f>
        <v/>
      </c>
      <c r="AP96" s="152">
        <f>IF(ISNUMBER($AO96),$AO96*$AM96,"")</f>
        <v/>
      </c>
      <c r="AQ96" s="152">
        <f>IF(ISNUMBER($AN96),ABS(IF(ISNUMBER($G96),$G96,0)-Settings!$B$25),"")</f>
        <v/>
      </c>
      <c r="AR96" s="152">
        <f>IF(ISNUMBER($AQ96),$AQ96*$AN96,"")</f>
        <v/>
      </c>
      <c r="AS96" s="152">
        <f>IF($A96="","",IFERROR(INDEX(Company_List!$H$3:$H$207,MATCH($A96,Company_List!$A$3:$A$207,0)),"unassigned"))</f>
        <v/>
      </c>
      <c r="AT96" s="152" t="inlineStr">
        <is>
          <t>re-read since v1</t>
        </is>
      </c>
      <c r="AU96" s="152" t="inlineStr">
        <is>
          <t>Phase 2/Master_Data_v1.xlsx</t>
        </is>
      </c>
      <c r="AV96" s="152" t="n">
        <v>1</v>
      </c>
      <c r="AW96" s="152" t="inlineStr">
        <is>
          <t>not publisher-identified</t>
        </is>
      </c>
      <c r="AX96" s="152" t="inlineStr">
        <is>
          <t>not publisher-identified</t>
        </is>
      </c>
      <c r="AY96" s="152" t="inlineStr">
        <is>
          <t>no</t>
        </is>
      </c>
      <c r="AZ96" s="152" t="inlineStr">
        <is>
          <t>yes</t>
        </is>
      </c>
      <c r="BA96" s="152" t="inlineStr">
        <is>
          <t>YES</t>
        </is>
      </c>
      <c r="BB96" s="152" t="n"/>
    </row>
    <row r="97" ht="15" customHeight="1" s="241">
      <c r="A97" s="191" t="inlineStr">
        <is>
          <t>Netflix</t>
        </is>
      </c>
      <c r="B97" s="188" t="inlineStr">
        <is>
          <t>NFLX</t>
        </is>
      </c>
      <c r="C97" s="176" t="n">
        <v>2026</v>
      </c>
      <c r="D97" s="177" t="inlineStr">
        <is>
          <t>Q1</t>
        </is>
      </c>
      <c r="E97" s="178" t="inlineStr">
        <is>
          <t>Ben/DeepSeek</t>
        </is>
      </c>
      <c r="F97" s="177" t="inlineStr">
        <is>
          <t>LLM</t>
        </is>
      </c>
      <c r="G97" s="196" t="n">
        <v>0.06</v>
      </c>
      <c r="H97" s="177" t="inlineStr">
        <is>
          <t>HOLD</t>
        </is>
      </c>
      <c r="I97" s="196" t="n"/>
      <c r="J97" s="182" t="n">
        <v>46128</v>
      </c>
      <c r="K97" s="182" t="n">
        <v>46128</v>
      </c>
      <c r="L97" s="183" t="n">
        <v>107.79</v>
      </c>
      <c r="M97" s="182" t="n">
        <v>46129</v>
      </c>
      <c r="N97" s="183" t="n">
        <v>96.37</v>
      </c>
      <c r="O97" s="180" t="n">
        <v>0.008081</v>
      </c>
      <c r="P97" s="197" t="n">
        <v>-0.105947</v>
      </c>
      <c r="Q97" s="177" t="inlineStr">
        <is>
          <t>DOWN</t>
        </is>
      </c>
      <c r="R97" s="177" t="inlineStr">
        <is>
          <t>NO</t>
        </is>
      </c>
      <c r="S97" s="176" t="n">
        <v>0</v>
      </c>
      <c r="T97" s="197" t="n">
        <v>0</v>
      </c>
      <c r="U97" s="185" t="inlineStr">
        <is>
          <t>w=[0.80,0.20,0,0] thr=(+0.20,-0.10), deployed default promoted 2026-08-18 (PSR=0.964, permutation p=0.0002 at N=233, restricted search - see blend.py)</t>
        </is>
      </c>
      <c r="V97" s="152" t="inlineStr">
        <is>
          <t>FROZEN</t>
        </is>
      </c>
      <c r="W97" s="152" t="inlineStr">
        <is>
          <t>price signal — only this window shows an abnormal move</t>
        </is>
      </c>
      <c r="X97" s="152" t="inlineStr">
        <is>
          <t>NFLX</t>
        </is>
      </c>
      <c r="Y97" s="152" t="inlineStr">
        <is>
          <t>2026-04-16</t>
        </is>
      </c>
      <c r="Z97" s="152" t="n">
        <v>107.79</v>
      </c>
      <c r="AA97" s="152" t="inlineStr">
        <is>
          <t>2026-04-17</t>
        </is>
      </c>
      <c r="AB97" s="152" t="n">
        <v>96.37</v>
      </c>
      <c r="AC97" s="152" t="n">
        <v>-0.1059467287693966</v>
      </c>
      <c r="AD97" s="152" t="inlineStr">
        <is>
          <t>DOWN</t>
        </is>
      </c>
      <c r="AE97" s="152" t="inlineStr">
        <is>
          <t>YES</t>
        </is>
      </c>
      <c r="AF97" s="152" t="n">
        <v>0.104947</v>
      </c>
      <c r="AG97" s="152">
        <f>IF($A97="","",IFERROR(INDEX(Company_List!$G$3:$G$207,MATCH($A97,Company_List!$A$3:$A$207,0)),"unassigned"))</f>
        <v/>
      </c>
      <c r="AH97" s="152" t="inlineStr">
        <is>
          <t>Phase 2/Netflix/Netflix-Inc-_Earnings-Call_2026-04-16T00_00_00_English-1.pdf</t>
        </is>
      </c>
      <c r="AI97" s="152" t="n"/>
      <c r="AJ97" s="152" t="inlineStr">
        <is>
          <t>unique filename match</t>
        </is>
      </c>
      <c r="AK97" s="152">
        <f>IF($A97="","",IF(COUNTIFS(Human_Data_Entry!$A$3:$A$525,$A97)&gt;0,"YES","NO"))</f>
        <v/>
      </c>
      <c r="AL97" s="152">
        <f>IF($A97="","",IF(AND($C97&amp;"-"&amp;$D97&gt;=Settings!$B$19,$C97&amp;"-"&amp;$D97&lt;=Settings!$B$20),"IN","OUT"))</f>
        <v/>
      </c>
      <c r="AM97" s="152">
        <f>IF(AND(OR($H97="BUY",$H97="SELL"),ISNUMBER($T97)),$T97,"")</f>
        <v/>
      </c>
      <c r="AN97" s="152">
        <f>IF(AND(OR($H97="BUY",$H97="SELL"),ISNUMBER($AF97)),$AF97,"")</f>
        <v/>
      </c>
      <c r="AO97" s="152">
        <f>IF(ISNUMBER($AM97),ABS(IF(ISNUMBER($G97),$G97,0)-Settings!$B$25),"")</f>
        <v/>
      </c>
      <c r="AP97" s="152">
        <f>IF(ISNUMBER($AO97),$AO97*$AM97,"")</f>
        <v/>
      </c>
      <c r="AQ97" s="152">
        <f>IF(ISNUMBER($AN97),ABS(IF(ISNUMBER($G97),$G97,0)-Settings!$B$25),"")</f>
        <v/>
      </c>
      <c r="AR97" s="152">
        <f>IF(ISNUMBER($AQ97),$AQ97*$AN97,"")</f>
        <v/>
      </c>
      <c r="AS97" s="152">
        <f>IF($A97="","",IFERROR(INDEX(Company_List!$H$3:$H$207,MATCH($A97,Company_List!$A$3:$A$207,0)),"unassigned"))</f>
        <v/>
      </c>
      <c r="AT97" s="152" t="inlineStr">
        <is>
          <t>re-read since v1</t>
        </is>
      </c>
      <c r="AU97" s="152" t="inlineStr">
        <is>
          <t>Phase 2/Master_Data_v1.xlsx</t>
        </is>
      </c>
      <c r="AV97" s="152" t="n">
        <v>1</v>
      </c>
      <c r="AW97" s="152" t="inlineStr">
        <is>
          <t>S&amp;P Global Market Intelligence (Capital IQ)</t>
        </is>
      </c>
      <c r="AX97" s="152" t="inlineStr">
        <is>
          <t>licensed vendor</t>
        </is>
      </c>
      <c r="AY97" s="152" t="inlineStr">
        <is>
          <t>no</t>
        </is>
      </c>
      <c r="AZ97" s="152" t="inlineStr">
        <is>
          <t>no</t>
        </is>
      </c>
      <c r="BA97" s="152" t="inlineStr">
        <is>
          <t>YES</t>
        </is>
      </c>
      <c r="BB97" s="152" t="n"/>
    </row>
    <row r="98" ht="15" customHeight="1" s="241">
      <c r="A98" s="191" t="inlineStr">
        <is>
          <t>Netflix</t>
        </is>
      </c>
      <c r="B98" s="188" t="inlineStr">
        <is>
          <t>NFLX</t>
        </is>
      </c>
      <c r="C98" s="176" t="n">
        <v>2025</v>
      </c>
      <c r="D98" s="177" t="inlineStr">
        <is>
          <t>Q2</t>
        </is>
      </c>
      <c r="E98" s="178" t="inlineStr">
        <is>
          <t>Ben/DeepSeek</t>
        </is>
      </c>
      <c r="F98" s="177" t="inlineStr">
        <is>
          <t>LLM</t>
        </is>
      </c>
      <c r="G98" s="196" t="n">
        <v>0.26</v>
      </c>
      <c r="H98" s="177" t="inlineStr">
        <is>
          <t>BUY</t>
        </is>
      </c>
      <c r="I98" s="196" t="n"/>
      <c r="J98" s="182" t="n">
        <v>45855</v>
      </c>
      <c r="K98" s="182" t="n">
        <v>45855</v>
      </c>
      <c r="L98" s="183" t="n">
        <v>127.417</v>
      </c>
      <c r="M98" s="182" t="n">
        <v>45856</v>
      </c>
      <c r="N98" s="183" t="n">
        <v>124.2</v>
      </c>
      <c r="O98" s="180" t="n">
        <v>0.008433</v>
      </c>
      <c r="P98" s="197" t="n">
        <v>-0.025279</v>
      </c>
      <c r="Q98" s="177" t="inlineStr">
        <is>
          <t>DOWN</t>
        </is>
      </c>
      <c r="R98" s="177" t="inlineStr">
        <is>
          <t>NO</t>
        </is>
      </c>
      <c r="S98" s="176" t="n">
        <v>1</v>
      </c>
      <c r="T98" s="197" t="n">
        <v>-0.026279</v>
      </c>
      <c r="U98" s="185" t="inlineStr">
        <is>
          <t>w=[0.80,0.20,0,0] thr=(+0.20,-0.10), deployed default promoted 2026-08-18 (PSR=0.964, permutation p=0.0002 at N=233, restricted search - see blend.py)</t>
        </is>
      </c>
      <c r="V98" s="152" t="inlineStr">
        <is>
          <t>FROZEN</t>
        </is>
      </c>
      <c r="W98" s="152" t="inlineStr">
        <is>
          <t>price signal — only this window shows an abnormal move</t>
        </is>
      </c>
      <c r="X98" s="152" t="inlineStr">
        <is>
          <t>NFLX</t>
        </is>
      </c>
      <c r="Y98" s="152" t="inlineStr">
        <is>
          <t>2025-07-17</t>
        </is>
      </c>
      <c r="Z98" s="152" t="n">
        <v>127.417</v>
      </c>
      <c r="AA98" s="152" t="inlineStr">
        <is>
          <t>2025-07-18</t>
        </is>
      </c>
      <c r="AB98" s="152" t="n">
        <v>124.196</v>
      </c>
      <c r="AC98" s="152" t="n">
        <v>-0.02527920921070188</v>
      </c>
      <c r="AD98" s="152" t="inlineStr">
        <is>
          <t>DOWN</t>
        </is>
      </c>
      <c r="AE98" s="152" t="inlineStr">
        <is>
          <t>NO</t>
        </is>
      </c>
      <c r="AF98" s="152" t="n">
        <v>0</v>
      </c>
      <c r="AG98" s="152">
        <f>IF($A98="","",IFERROR(INDEX(Company_List!$G$3:$G$207,MATCH($A98,Company_List!$A$3:$A$207,0)),"unassigned"))</f>
        <v/>
      </c>
      <c r="AH98" s="152" t="inlineStr">
        <is>
          <t>Phase 2/Netflix/2025-Q2/NFLX-2025-Q2-press-release-SEC-EX-99-1.htm</t>
        </is>
      </c>
      <c r="AI98" s="152" t="inlineStr">
        <is>
          <t>https://www.sec.gov/Archives/edgar/data/1065280/000106528025000322/ex991_q225.htm</t>
        </is>
      </c>
      <c r="AJ98" s="152" t="inlineStr">
        <is>
          <t>manifest</t>
        </is>
      </c>
      <c r="AK98" s="152">
        <f>IF($A98="","",IF(COUNTIFS(Human_Data_Entry!$A$3:$A$525,$A98)&gt;0,"YES","NO"))</f>
        <v/>
      </c>
      <c r="AL98" s="152">
        <f>IF($A98="","",IF(AND($C98&amp;"-"&amp;$D98&gt;=Settings!$B$19,$C98&amp;"-"&amp;$D98&lt;=Settings!$B$20),"IN","OUT"))</f>
        <v/>
      </c>
      <c r="AM98" s="152">
        <f>IF(AND(OR($H98="BUY",$H98="SELL"),ISNUMBER($T98)),$T98,"")</f>
        <v/>
      </c>
      <c r="AN98" s="152">
        <f>IF(AND(OR($H98="BUY",$H98="SELL"),ISNUMBER($AF98)),$AF98,"")</f>
        <v/>
      </c>
      <c r="AO98" s="152">
        <f>IF(ISNUMBER($AM98),ABS(IF(ISNUMBER($G98),$G98,0)-Settings!$B$25),"")</f>
        <v/>
      </c>
      <c r="AP98" s="152">
        <f>IF(ISNUMBER($AO98),$AO98*$AM98,"")</f>
        <v/>
      </c>
      <c r="AQ98" s="152">
        <f>IF(ISNUMBER($AN98),ABS(IF(ISNUMBER($G98),$G98,0)-Settings!$B$25),"")</f>
        <v/>
      </c>
      <c r="AR98" s="152">
        <f>IF(ISNUMBER($AQ98),$AQ98*$AN98,"")</f>
        <v/>
      </c>
      <c r="AS98" s="152">
        <f>IF($A98="","",IFERROR(INDEX(Company_List!$H$3:$H$207,MATCH($A98,Company_List!$A$3:$A$207,0)),"unassigned"))</f>
        <v/>
      </c>
      <c r="AT98" s="152" t="inlineStr">
        <is>
          <t>re-read since v1</t>
        </is>
      </c>
      <c r="AU98" s="152" t="inlineStr">
        <is>
          <t>Phase 2/Master_Data_v1.xlsx</t>
        </is>
      </c>
      <c r="AV98" s="152" t="n">
        <v>1</v>
      </c>
      <c r="AW98" s="152" t="inlineStr">
        <is>
          <t>not publisher-identified</t>
        </is>
      </c>
      <c r="AX98" s="152" t="inlineStr">
        <is>
          <t>not publisher-identified</t>
        </is>
      </c>
      <c r="AY98" s="152" t="inlineStr">
        <is>
          <t>no</t>
        </is>
      </c>
      <c r="AZ98" s="152" t="inlineStr">
        <is>
          <t>yes</t>
        </is>
      </c>
      <c r="BA98" s="152" t="inlineStr">
        <is>
          <t>YES</t>
        </is>
      </c>
      <c r="BB98" s="152" t="n"/>
    </row>
    <row r="99" ht="15" customHeight="1" s="241">
      <c r="A99" s="191" t="inlineStr">
        <is>
          <t>Netflix</t>
        </is>
      </c>
      <c r="B99" s="188" t="inlineStr">
        <is>
          <t>NFLX</t>
        </is>
      </c>
      <c r="C99" s="176" t="n">
        <v>2025</v>
      </c>
      <c r="D99" s="177" t="inlineStr">
        <is>
          <t>Q3</t>
        </is>
      </c>
      <c r="E99" s="178" t="inlineStr">
        <is>
          <t>Ben/DeepSeek</t>
        </is>
      </c>
      <c r="F99" s="177" t="inlineStr">
        <is>
          <t>LLM</t>
        </is>
      </c>
      <c r="G99" s="196" t="n">
        <v>0.06</v>
      </c>
      <c r="H99" s="177" t="inlineStr">
        <is>
          <t>HOLD</t>
        </is>
      </c>
      <c r="I99" s="196" t="n"/>
      <c r="J99" s="182" t="n">
        <v>45951</v>
      </c>
      <c r="K99" s="182" t="n">
        <v>45951</v>
      </c>
      <c r="L99" s="183" t="n">
        <v>124.135</v>
      </c>
      <c r="M99" s="182" t="n">
        <v>45952</v>
      </c>
      <c r="N99" s="183" t="n">
        <v>114.29</v>
      </c>
      <c r="O99" s="180" t="n">
        <v>0.005811</v>
      </c>
      <c r="P99" s="197" t="n">
        <v>-0.079309</v>
      </c>
      <c r="Q99" s="177" t="inlineStr">
        <is>
          <t>DOWN</t>
        </is>
      </c>
      <c r="R99" s="177" t="inlineStr">
        <is>
          <t>NO</t>
        </is>
      </c>
      <c r="S99" s="176" t="n">
        <v>0</v>
      </c>
      <c r="T99" s="197" t="n">
        <v>0</v>
      </c>
      <c r="U99" s="185" t="inlineStr">
        <is>
          <t>w=[0.80,0.20,0,0] thr=(+0.20,-0.10), deployed default promoted 2026-08-18 (PSR=0.964, permutation p=0.0002 at N=233, restricted search - see blend.py)</t>
        </is>
      </c>
      <c r="V99" s="152" t="inlineStr">
        <is>
          <t>FROZEN</t>
        </is>
      </c>
      <c r="W99" s="152" t="inlineStr">
        <is>
          <t>release date + stated time in the document (rater worksheet)</t>
        </is>
      </c>
      <c r="X99" s="152" t="inlineStr">
        <is>
          <t>NFLX</t>
        </is>
      </c>
      <c r="Y99" s="152" t="inlineStr">
        <is>
          <t>2025-10-21</t>
        </is>
      </c>
      <c r="Z99" s="152" t="n">
        <v>124.135</v>
      </c>
      <c r="AA99" s="152" t="inlineStr">
        <is>
          <t>2025-10-22</t>
        </is>
      </c>
      <c r="AB99" s="152" t="n">
        <v>114.29</v>
      </c>
      <c r="AC99" s="152" t="n">
        <v>-0.07930882379169744</v>
      </c>
      <c r="AD99" s="152" t="inlineStr">
        <is>
          <t>DOWN</t>
        </is>
      </c>
      <c r="AE99" s="152" t="inlineStr">
        <is>
          <t>NO</t>
        </is>
      </c>
      <c r="AF99" s="152" t="n">
        <v>0</v>
      </c>
      <c r="AG99" s="152">
        <f>IF($A99="","",IFERROR(INDEX(Company_List!$G$3:$G$207,MATCH($A99,Company_List!$A$3:$A$207,0)),"unassigned"))</f>
        <v/>
      </c>
      <c r="AH99" s="152" t="inlineStr">
        <is>
          <t>Phase 2/Netflix/2025-Q3/NFLX-2025-Q3-press-release-SEC-EX-99-1.htm</t>
        </is>
      </c>
      <c r="AI99" s="152" t="inlineStr">
        <is>
          <t>https://www.sec.gov/Archives/edgar/data/1065280/000106528025000404/ex991_q325.htm</t>
        </is>
      </c>
      <c r="AJ99" s="152" t="inlineStr">
        <is>
          <t>manifest</t>
        </is>
      </c>
      <c r="AK99" s="152">
        <f>IF($A99="","",IF(COUNTIFS(Human_Data_Entry!$A$3:$A$525,$A99)&gt;0,"YES","NO"))</f>
        <v/>
      </c>
      <c r="AL99" s="152">
        <f>IF($A99="","",IF(AND($C99&amp;"-"&amp;$D99&gt;=Settings!$B$19,$C99&amp;"-"&amp;$D99&lt;=Settings!$B$20),"IN","OUT"))</f>
        <v/>
      </c>
      <c r="AM99" s="152">
        <f>IF(AND(OR($H99="BUY",$H99="SELL"),ISNUMBER($T99)),$T99,"")</f>
        <v/>
      </c>
      <c r="AN99" s="152">
        <f>IF(AND(OR($H99="BUY",$H99="SELL"),ISNUMBER($AF99)),$AF99,"")</f>
        <v/>
      </c>
      <c r="AO99" s="152">
        <f>IF(ISNUMBER($AM99),ABS(IF(ISNUMBER($G99),$G99,0)-Settings!$B$25),"")</f>
        <v/>
      </c>
      <c r="AP99" s="152">
        <f>IF(ISNUMBER($AO99),$AO99*$AM99,"")</f>
        <v/>
      </c>
      <c r="AQ99" s="152">
        <f>IF(ISNUMBER($AN99),ABS(IF(ISNUMBER($G99),$G99,0)-Settings!$B$25),"")</f>
        <v/>
      </c>
      <c r="AR99" s="152">
        <f>IF(ISNUMBER($AQ99),$AQ99*$AN99,"")</f>
        <v/>
      </c>
      <c r="AS99" s="152">
        <f>IF($A99="","",IFERROR(INDEX(Company_List!$H$3:$H$207,MATCH($A99,Company_List!$A$3:$A$207,0)),"unassigned"))</f>
        <v/>
      </c>
      <c r="AT99" s="152" t="inlineStr">
        <is>
          <t>re-read since v1</t>
        </is>
      </c>
      <c r="AU99" s="152" t="inlineStr">
        <is>
          <t>Phase 2/Master_Data_v1.xlsx</t>
        </is>
      </c>
      <c r="AV99" s="152" t="n">
        <v>1</v>
      </c>
      <c r="AW99" s="152" t="inlineStr">
        <is>
          <t>not publisher-identified</t>
        </is>
      </c>
      <c r="AX99" s="152" t="inlineStr">
        <is>
          <t>not publisher-identified</t>
        </is>
      </c>
      <c r="AY99" s="152" t="inlineStr">
        <is>
          <t>no</t>
        </is>
      </c>
      <c r="AZ99" s="152" t="inlineStr">
        <is>
          <t>yes</t>
        </is>
      </c>
      <c r="BA99" s="152" t="inlineStr">
        <is>
          <t>NO</t>
        </is>
      </c>
      <c r="BB99" s="152" t="inlineStr">
        <is>
          <t>worksheet contamination</t>
        </is>
      </c>
    </row>
    <row r="100" ht="15" customHeight="1" s="241">
      <c r="A100" s="191" t="inlineStr">
        <is>
          <t>Netflix</t>
        </is>
      </c>
      <c r="B100" s="188" t="inlineStr">
        <is>
          <t>NFLX</t>
        </is>
      </c>
      <c r="C100" s="176" t="n">
        <v>2024</v>
      </c>
      <c r="D100" s="177" t="inlineStr">
        <is>
          <t>Q4</t>
        </is>
      </c>
      <c r="E100" s="178" t="inlineStr">
        <is>
          <t>Ben/DeepSeek</t>
        </is>
      </c>
      <c r="F100" s="177" t="inlineStr">
        <is>
          <t>LLM</t>
        </is>
      </c>
      <c r="G100" s="196" t="n">
        <v>0.8</v>
      </c>
      <c r="H100" s="177" t="inlineStr">
        <is>
          <t>BUY</t>
        </is>
      </c>
      <c r="I100" s="196" t="n"/>
      <c r="J100" s="182" t="n">
        <v>45678</v>
      </c>
      <c r="K100" s="182" t="n">
        <v>45678</v>
      </c>
      <c r="L100" s="183" t="n">
        <v>86.968</v>
      </c>
      <c r="M100" s="182" t="n">
        <v>45679</v>
      </c>
      <c r="N100" s="183" t="n">
        <v>99.8</v>
      </c>
      <c r="O100" s="180" t="n">
        <v>0.005691</v>
      </c>
      <c r="P100" s="197" t="n">
        <v>0.147583</v>
      </c>
      <c r="Q100" s="177" t="inlineStr">
        <is>
          <t>UP</t>
        </is>
      </c>
      <c r="R100" s="177" t="inlineStr">
        <is>
          <t>YES</t>
        </is>
      </c>
      <c r="S100" s="176" t="n">
        <v>1</v>
      </c>
      <c r="T100" s="197" t="n">
        <v>0.146583</v>
      </c>
      <c r="U100" s="185" t="inlineStr">
        <is>
          <t>w=[0.80,0.20,0,0] thr=(+0.20,-0.10), deployed default promoted 2026-08-18 (PSR=0.964, permutation p=0.0002 at N=233, restricted search - see blend.py)</t>
        </is>
      </c>
      <c r="V100" s="152" t="inlineStr">
        <is>
          <t>FROZEN</t>
        </is>
      </c>
      <c r="W100" s="152" t="inlineStr">
        <is>
          <t>release date + stated time in the document (rater worksheet)</t>
        </is>
      </c>
      <c r="X100" s="152" t="inlineStr">
        <is>
          <t>NFLX</t>
        </is>
      </c>
      <c r="Y100" s="152" t="inlineStr">
        <is>
          <t>2025-01-21</t>
        </is>
      </c>
      <c r="Z100" s="152" t="n">
        <v>86.968</v>
      </c>
      <c r="AA100" s="152" t="inlineStr">
        <is>
          <t>2025-01-22</t>
        </is>
      </c>
      <c r="AB100" s="152" t="n">
        <v>99.803</v>
      </c>
      <c r="AC100" s="152" t="n">
        <v>0.1475830041490432</v>
      </c>
      <c r="AD100" s="152" t="inlineStr">
        <is>
          <t>UP</t>
        </is>
      </c>
      <c r="AE100" s="152" t="inlineStr">
        <is>
          <t>YES</t>
        </is>
      </c>
      <c r="AF100" s="152" t="n">
        <v>0.146583</v>
      </c>
      <c r="AG100" s="152">
        <f>IF($A100="","",IFERROR(INDEX(Company_List!$G$3:$G$207,MATCH($A100,Company_List!$A$3:$A$207,0)),"unassigned"))</f>
        <v/>
      </c>
      <c r="AH100" s="152" t="inlineStr">
        <is>
          <t>Phase 2/Netflix/2024-Q4/NFLX-2024-Q4-press-release-SEC-EX-99-1.htm</t>
        </is>
      </c>
      <c r="AI100" s="152" t="inlineStr">
        <is>
          <t>https://www.sec.gov/Archives/edgar/data/1065280/000106528025000033/ex991_q424.htm</t>
        </is>
      </c>
      <c r="AJ100" s="152" t="inlineStr">
        <is>
          <t>manifest</t>
        </is>
      </c>
      <c r="AK100" s="152">
        <f>IF($A100="","",IF(COUNTIFS(Human_Data_Entry!$A$3:$A$525,$A100)&gt;0,"YES","NO"))</f>
        <v/>
      </c>
      <c r="AL100" s="152">
        <f>IF($A100="","",IF(AND($C100&amp;"-"&amp;$D100&gt;=Settings!$B$19,$C100&amp;"-"&amp;$D100&lt;=Settings!$B$20),"IN","OUT"))</f>
        <v/>
      </c>
      <c r="AM100" s="152">
        <f>IF(AND(OR($H100="BUY",$H100="SELL"),ISNUMBER($T100)),$T100,"")</f>
        <v/>
      </c>
      <c r="AN100" s="152">
        <f>IF(AND(OR($H100="BUY",$H100="SELL"),ISNUMBER($AF100)),$AF100,"")</f>
        <v/>
      </c>
      <c r="AO100" s="152">
        <f>IF(ISNUMBER($AM100),ABS(IF(ISNUMBER($G100),$G100,0)-Settings!$B$25),"")</f>
        <v/>
      </c>
      <c r="AP100" s="152">
        <f>IF(ISNUMBER($AO100),$AO100*$AM100,"")</f>
        <v/>
      </c>
      <c r="AQ100" s="152">
        <f>IF(ISNUMBER($AN100),ABS(IF(ISNUMBER($G100),$G100,0)-Settings!$B$25),"")</f>
        <v/>
      </c>
      <c r="AR100" s="152">
        <f>IF(ISNUMBER($AQ100),$AQ100*$AN100,"")</f>
        <v/>
      </c>
      <c r="AS100" s="152">
        <f>IF($A100="","",IFERROR(INDEX(Company_List!$H$3:$H$207,MATCH($A100,Company_List!$A$3:$A$207,0)),"unassigned"))</f>
        <v/>
      </c>
      <c r="AT100" s="152" t="inlineStr">
        <is>
          <t>re-read since v1</t>
        </is>
      </c>
      <c r="AU100" s="152" t="inlineStr">
        <is>
          <t>Phase 2/Master_Data_v1.xlsx</t>
        </is>
      </c>
      <c r="AV100" s="152" t="n">
        <v>1</v>
      </c>
      <c r="AW100" s="152" t="inlineStr">
        <is>
          <t>not publisher-identified</t>
        </is>
      </c>
      <c r="AX100" s="152" t="inlineStr">
        <is>
          <t>not publisher-identified</t>
        </is>
      </c>
      <c r="AY100" s="152" t="inlineStr">
        <is>
          <t>no</t>
        </is>
      </c>
      <c r="AZ100" s="152" t="inlineStr">
        <is>
          <t>yes</t>
        </is>
      </c>
      <c r="BA100" s="152" t="inlineStr">
        <is>
          <t>NO</t>
        </is>
      </c>
      <c r="BB100" s="152" t="inlineStr">
        <is>
          <t>worksheet contamination</t>
        </is>
      </c>
    </row>
    <row r="101" ht="15" customHeight="1" s="241">
      <c r="A101" s="191" t="inlineStr">
        <is>
          <t>Netflix</t>
        </is>
      </c>
      <c r="B101" s="188" t="inlineStr">
        <is>
          <t>NFLX</t>
        </is>
      </c>
      <c r="C101" s="176" t="n">
        <v>2025</v>
      </c>
      <c r="D101" s="177" t="inlineStr">
        <is>
          <t>Q4</t>
        </is>
      </c>
      <c r="E101" s="178" t="inlineStr">
        <is>
          <t>Ben/DeepSeek</t>
        </is>
      </c>
      <c r="F101" s="177" t="inlineStr">
        <is>
          <t>LLM</t>
        </is>
      </c>
      <c r="G101" s="196" t="n">
        <v>0.53</v>
      </c>
      <c r="H101" s="177" t="inlineStr">
        <is>
          <t>BUY</t>
        </is>
      </c>
      <c r="I101" s="196" t="n"/>
      <c r="J101" s="182" t="n">
        <v>46042</v>
      </c>
      <c r="K101" s="182" t="n">
        <v>46042</v>
      </c>
      <c r="L101" s="183" t="n">
        <v>87.26000000000001</v>
      </c>
      <c r="M101" s="182" t="n">
        <v>46043</v>
      </c>
      <c r="N101" s="183" t="n">
        <v>82.52</v>
      </c>
      <c r="O101" s="180" t="n">
        <v>0.008798</v>
      </c>
      <c r="P101" s="197" t="n">
        <v>-0.05432000000000001</v>
      </c>
      <c r="Q101" s="177" t="inlineStr">
        <is>
          <t>DOWN</t>
        </is>
      </c>
      <c r="R101" s="177" t="inlineStr">
        <is>
          <t>NO</t>
        </is>
      </c>
      <c r="S101" s="176" t="n">
        <v>1</v>
      </c>
      <c r="T101" s="197" t="n">
        <v>-0.05532</v>
      </c>
      <c r="U101" s="185" t="inlineStr">
        <is>
          <t>w=[0.80,0.20,0,0] thr=(+0.20,-0.10), deployed default promoted 2026-08-18 (PSR=0.964, permutation p=0.0002 at N=233, restricted search - see blend.py)</t>
        </is>
      </c>
      <c r="V101" s="152" t="inlineStr">
        <is>
          <t>FROZEN</t>
        </is>
      </c>
      <c r="W101" s="152" t="inlineStr">
        <is>
          <t>release date + stated time in the document (rater worksheet)</t>
        </is>
      </c>
      <c r="X101" s="152" t="inlineStr">
        <is>
          <t>NFLX</t>
        </is>
      </c>
      <c r="Y101" s="152" t="inlineStr">
        <is>
          <t>2026-01-20</t>
        </is>
      </c>
      <c r="Z101" s="152" t="n">
        <v>87.26000000000001</v>
      </c>
      <c r="AA101" s="152" t="inlineStr">
        <is>
          <t>2026-01-21</t>
        </is>
      </c>
      <c r="AB101" s="152" t="n">
        <v>82.52</v>
      </c>
      <c r="AC101" s="152" t="n">
        <v>-0.05432047778316572</v>
      </c>
      <c r="AD101" s="152" t="inlineStr">
        <is>
          <t>DOWN</t>
        </is>
      </c>
      <c r="AE101" s="152" t="inlineStr">
        <is>
          <t>NO</t>
        </is>
      </c>
      <c r="AF101" s="152" t="n">
        <v>-0.05532</v>
      </c>
      <c r="AG101" s="152">
        <f>IF($A101="","",IFERROR(INDEX(Company_List!$G$3:$G$207,MATCH($A101,Company_List!$A$3:$A$207,0)),"unassigned"))</f>
        <v/>
      </c>
      <c r="AH101" s="152" t="inlineStr">
        <is>
          <t>Phase 2/Netflix/2025-Q4/NFLX-2025-Q4-press-release-SEC-EX-99-1.htm</t>
        </is>
      </c>
      <c r="AI101" s="152" t="inlineStr">
        <is>
          <t>https://www.sec.gov/Archives/edgar/data/1065280/000106528026000033/ex991_q425.htm</t>
        </is>
      </c>
      <c r="AJ101" s="152" t="inlineStr">
        <is>
          <t>manifest</t>
        </is>
      </c>
      <c r="AK101" s="152">
        <f>IF($A101="","",IF(COUNTIFS(Human_Data_Entry!$A$3:$A$525,$A101)&gt;0,"YES","NO"))</f>
        <v/>
      </c>
      <c r="AL101" s="152">
        <f>IF($A101="","",IF(AND($C101&amp;"-"&amp;$D101&gt;=Settings!$B$19,$C101&amp;"-"&amp;$D101&lt;=Settings!$B$20),"IN","OUT"))</f>
        <v/>
      </c>
      <c r="AM101" s="152">
        <f>IF(AND(OR($H101="BUY",$H101="SELL"),ISNUMBER($T101)),$T101,"")</f>
        <v/>
      </c>
      <c r="AN101" s="152">
        <f>IF(AND(OR($H101="BUY",$H101="SELL"),ISNUMBER($AF101)),$AF101,"")</f>
        <v/>
      </c>
      <c r="AO101" s="152">
        <f>IF(ISNUMBER($AM101),ABS(IF(ISNUMBER($G101),$G101,0)-Settings!$B$25),"")</f>
        <v/>
      </c>
      <c r="AP101" s="152">
        <f>IF(ISNUMBER($AO101),$AO101*$AM101,"")</f>
        <v/>
      </c>
      <c r="AQ101" s="152">
        <f>IF(ISNUMBER($AN101),ABS(IF(ISNUMBER($G101),$G101,0)-Settings!$B$25),"")</f>
        <v/>
      </c>
      <c r="AR101" s="152">
        <f>IF(ISNUMBER($AQ101),$AQ101*$AN101,"")</f>
        <v/>
      </c>
      <c r="AS101" s="152">
        <f>IF($A101="","",IFERROR(INDEX(Company_List!$H$3:$H$207,MATCH($A101,Company_List!$A$3:$A$207,0)),"unassigned"))</f>
        <v/>
      </c>
      <c r="AT101" s="152" t="inlineStr">
        <is>
          <t>re-read since v1</t>
        </is>
      </c>
      <c r="AU101" s="152" t="inlineStr">
        <is>
          <t>Phase 2/Master_Data_v1.xlsx</t>
        </is>
      </c>
      <c r="AV101" s="152" t="n">
        <v>1</v>
      </c>
      <c r="AW101" s="152" t="inlineStr">
        <is>
          <t>not publisher-identified</t>
        </is>
      </c>
      <c r="AX101" s="152" t="inlineStr">
        <is>
          <t>not publisher-identified</t>
        </is>
      </c>
      <c r="AY101" s="152" t="inlineStr">
        <is>
          <t>no</t>
        </is>
      </c>
      <c r="AZ101" s="152" t="inlineStr">
        <is>
          <t>yes</t>
        </is>
      </c>
      <c r="BA101" s="152" t="inlineStr">
        <is>
          <t>NO</t>
        </is>
      </c>
      <c r="BB101" s="152" t="inlineStr">
        <is>
          <t>worksheet contamination</t>
        </is>
      </c>
    </row>
    <row r="102" ht="15" customHeight="1" s="241">
      <c r="A102" s="191" t="inlineStr">
        <is>
          <t>Target</t>
        </is>
      </c>
      <c r="B102" s="188" t="inlineStr">
        <is>
          <t>TGT</t>
        </is>
      </c>
      <c r="C102" s="176" t="n">
        <v>2025</v>
      </c>
      <c r="D102" s="177" t="inlineStr">
        <is>
          <t>Q1</t>
        </is>
      </c>
      <c r="E102" s="178" t="inlineStr">
        <is>
          <t>Ben/DeepSeek</t>
        </is>
      </c>
      <c r="F102" s="177" t="inlineStr">
        <is>
          <t>LLM</t>
        </is>
      </c>
      <c r="G102" s="196" t="n">
        <v>-0.46</v>
      </c>
      <c r="H102" s="177" t="inlineStr">
        <is>
          <t>SELL</t>
        </is>
      </c>
      <c r="I102" s="196" t="n"/>
      <c r="J102" s="182" t="n">
        <v>45798</v>
      </c>
      <c r="K102" s="182" t="n">
        <v>45797</v>
      </c>
      <c r="L102" s="183" t="n">
        <v>98.12</v>
      </c>
      <c r="M102" s="182" t="n">
        <v>45798</v>
      </c>
      <c r="N102" s="183" t="n">
        <v>91.5</v>
      </c>
      <c r="O102" s="180" t="n">
        <v>0.008484999999999999</v>
      </c>
      <c r="P102" s="197" t="n">
        <v>-0.067468</v>
      </c>
      <c r="Q102" s="177" t="inlineStr">
        <is>
          <t>DOWN</t>
        </is>
      </c>
      <c r="R102" s="177" t="inlineStr">
        <is>
          <t>YES</t>
        </is>
      </c>
      <c r="S102" s="176" t="n">
        <v>-1</v>
      </c>
      <c r="T102" s="197" t="n">
        <v>0.066468</v>
      </c>
      <c r="U102" s="185" t="inlineStr">
        <is>
          <t>w=[0.80,0.20,0,0] thr=(+0.20,-0.10), deployed default promoted 2026-08-18 (PSR=0.964, permutation p=0.0002 at N=233, restricted search - see blend.py)</t>
        </is>
      </c>
      <c r="V102" s="152" t="inlineStr">
        <is>
          <t>FROZEN</t>
        </is>
      </c>
      <c r="W102" s="152" t="inlineStr">
        <is>
          <t>release date + stated time</t>
        </is>
      </c>
      <c r="X102" s="152" t="inlineStr">
        <is>
          <t>TGT</t>
        </is>
      </c>
      <c r="Y102" s="152" t="inlineStr">
        <is>
          <t>2025-05-20</t>
        </is>
      </c>
      <c r="Z102" s="152" t="n">
        <v>94.0057</v>
      </c>
      <c r="AA102" s="152" t="inlineStr">
        <is>
          <t>2025-05-21</t>
        </is>
      </c>
      <c r="AB102" s="152" t="n">
        <v>87.66330000000001</v>
      </c>
      <c r="AC102" s="152" t="n">
        <v>-0.06746838049408189</v>
      </c>
      <c r="AD102" s="152" t="inlineStr">
        <is>
          <t>DOWN</t>
        </is>
      </c>
      <c r="AE102" s="152" t="inlineStr">
        <is>
          <t>YES</t>
        </is>
      </c>
      <c r="AF102" s="152" t="n">
        <v>0.066468</v>
      </c>
      <c r="AG102" s="152">
        <f>IF($A102="","",IFERROR(INDEX(Company_List!$G$3:$G$207,MATCH($A102,Company_List!$A$3:$A$207,0)),"unassigned"))</f>
        <v/>
      </c>
      <c r="AH102" s="152" t="inlineStr">
        <is>
          <t>Phase 2/Target/2025-Q1/TGT-2025-Q1-press-release-SEC-EX-99.htm; Phase 2/Target/2025-Q1/TGT-2025-Q1-earnings-call-transcript-corporate-target-com.pdf</t>
        </is>
      </c>
      <c r="AI102" s="152" t="inlineStr">
        <is>
          <t>https://corporate.target.com/getmedia/9c383747-166d-4310-b91f-cd77b7d06433/2025-May-21-TGT-Transcript.pdf%C2%A0%C2%A0; https://www.sec.gov/Archives/edgar/data/27419/000002741925000096/a2025q1ex-99.htm</t>
        </is>
      </c>
      <c r="AJ102" s="152" t="inlineStr">
        <is>
          <t>manifest (whole bundle)</t>
        </is>
      </c>
      <c r="AK102" s="152">
        <f>IF($A102="","",IF(COUNTIFS(Human_Data_Entry!$A$3:$A$525,$A102)&gt;0,"YES","NO"))</f>
        <v/>
      </c>
      <c r="AL102" s="152">
        <f>IF($A102="","",IF(AND($C102&amp;"-"&amp;$D102&gt;=Settings!$B$19,$C102&amp;"-"&amp;$D102&lt;=Settings!$B$20),"IN","OUT"))</f>
        <v/>
      </c>
      <c r="AM102" s="152">
        <f>IF(AND(OR($H102="BUY",$H102="SELL"),ISNUMBER($T102)),$T102,"")</f>
        <v/>
      </c>
      <c r="AN102" s="152">
        <f>IF(AND(OR($H102="BUY",$H102="SELL"),ISNUMBER($AF102)),$AF102,"")</f>
        <v/>
      </c>
      <c r="AO102" s="152">
        <f>IF(ISNUMBER($AM102),ABS(IF(ISNUMBER($G102),$G102,0)-Settings!$B$25),"")</f>
        <v/>
      </c>
      <c r="AP102" s="152">
        <f>IF(ISNUMBER($AO102),$AO102*$AM102,"")</f>
        <v/>
      </c>
      <c r="AQ102" s="152">
        <f>IF(ISNUMBER($AN102),ABS(IF(ISNUMBER($G102),$G102,0)-Settings!$B$25),"")</f>
        <v/>
      </c>
      <c r="AR102" s="152">
        <f>IF(ISNUMBER($AQ102),$AQ102*$AN102,"")</f>
        <v/>
      </c>
      <c r="AS102" s="152">
        <f>IF($A102="","",IFERROR(INDEX(Company_List!$H$3:$H$207,MATCH($A102,Company_List!$A$3:$A$207,0)),"unassigned"))</f>
        <v/>
      </c>
      <c r="AT102" s="152" t="inlineStr">
        <is>
          <t>re-read since v1</t>
        </is>
      </c>
      <c r="AU102" s="152" t="inlineStr">
        <is>
          <t>Phase 2/Master_Data_v1.xlsx</t>
        </is>
      </c>
      <c r="AV102" s="152" t="n">
        <v>2</v>
      </c>
      <c r="AW102" s="152" t="inlineStr">
        <is>
          <t>Refinitiv / LSEG StreetEvents</t>
        </is>
      </c>
      <c r="AX102" s="152" t="inlineStr">
        <is>
          <t>licensed vendor</t>
        </is>
      </c>
      <c r="AY102" s="152" t="inlineStr">
        <is>
          <t>no</t>
        </is>
      </c>
      <c r="AZ102" s="152" t="inlineStr">
        <is>
          <t>yes</t>
        </is>
      </c>
      <c r="BA102" s="152" t="inlineStr">
        <is>
          <t>YES</t>
        </is>
      </c>
      <c r="BB102" s="152" t="n"/>
    </row>
    <row r="103" ht="15" customHeight="1" s="241">
      <c r="A103" s="191" t="inlineStr">
        <is>
          <t>Target</t>
        </is>
      </c>
      <c r="B103" s="188" t="inlineStr">
        <is>
          <t>TGT</t>
        </is>
      </c>
      <c r="C103" s="176" t="n">
        <v>2026</v>
      </c>
      <c r="D103" s="177" t="inlineStr">
        <is>
          <t>Q1</t>
        </is>
      </c>
      <c r="E103" s="178" t="inlineStr">
        <is>
          <t>Ben/DeepSeek</t>
        </is>
      </c>
      <c r="F103" s="177" t="inlineStr">
        <is>
          <t>LLM</t>
        </is>
      </c>
      <c r="G103" s="196" t="n">
        <v>0.18</v>
      </c>
      <c r="H103" s="177" t="inlineStr">
        <is>
          <t>HOLD</t>
        </is>
      </c>
      <c r="I103" s="196" t="n"/>
      <c r="J103" s="182" t="n">
        <v>46162</v>
      </c>
      <c r="K103" s="182" t="n">
        <v>46161</v>
      </c>
      <c r="L103" s="183" t="n">
        <v>127.24</v>
      </c>
      <c r="M103" s="182" t="n">
        <v>46162</v>
      </c>
      <c r="N103" s="183" t="n">
        <v>120.21</v>
      </c>
      <c r="O103" s="180" t="n">
        <v>0.008872</v>
      </c>
      <c r="P103" s="197" t="n">
        <v>-0.05525</v>
      </c>
      <c r="Q103" s="177" t="inlineStr">
        <is>
          <t>DOWN</t>
        </is>
      </c>
      <c r="R103" s="177" t="inlineStr">
        <is>
          <t>NO</t>
        </is>
      </c>
      <c r="S103" s="176" t="n">
        <v>0</v>
      </c>
      <c r="T103" s="197" t="n">
        <v>0</v>
      </c>
      <c r="U103" s="185" t="inlineStr">
        <is>
          <t>w=[0.80,0.20,0,0] thr=(+0.20,-0.10), deployed default promoted 2026-08-18 (PSR=0.964, permutation p=0.0002 at N=233, restricted search - see blend.py)</t>
        </is>
      </c>
      <c r="V103" s="152" t="inlineStr">
        <is>
          <t>FROZEN</t>
        </is>
      </c>
      <c r="W103" s="152" t="inlineStr">
        <is>
          <t>release date + stated time</t>
        </is>
      </c>
      <c r="X103" s="152" t="inlineStr">
        <is>
          <t>TGT</t>
        </is>
      </c>
      <c r="Y103" s="152" t="inlineStr">
        <is>
          <t>2026-05-19</t>
        </is>
      </c>
      <c r="Z103" s="152" t="n">
        <v>127.24</v>
      </c>
      <c r="AA103" s="152" t="inlineStr">
        <is>
          <t>2026-05-20</t>
        </is>
      </c>
      <c r="AB103" s="152" t="n">
        <v>120.21</v>
      </c>
      <c r="AC103" s="152" t="n">
        <v>-0.05524991441763465</v>
      </c>
      <c r="AD103" s="152" t="inlineStr">
        <is>
          <t>DOWN</t>
        </is>
      </c>
      <c r="AE103" s="152" t="inlineStr">
        <is>
          <t>NO</t>
        </is>
      </c>
      <c r="AF103" s="152" t="n">
        <v>0</v>
      </c>
      <c r="AG103" s="152">
        <f>IF($A103="","",IFERROR(INDEX(Company_List!$G$3:$G$207,MATCH($A103,Company_List!$A$3:$A$207,0)),"unassigned"))</f>
        <v/>
      </c>
      <c r="AH103" s="152" t="inlineStr">
        <is>
          <t>Phase 2/Target/2026-Q1/TGT-2026-Q1-press-release-SEC-EX-99.htm; Phase 2/Target/2026-Q1/TGT-2026-Q1-earnings-call-transcript-fool-com.html</t>
        </is>
      </c>
      <c r="AI103" s="152" t="inlineStr">
        <is>
          <t>https://www.fool.com/earnings/call-transcripts/2026/05/20/target-tgt-q1-2026-earnings-call-transcript/; https://www.sec.gov/Archives/edgar/data/27419/000002741926000020/a2026q1ex-99.htm</t>
        </is>
      </c>
      <c r="AJ103" s="152" t="inlineStr">
        <is>
          <t>manifest (whole bundle)</t>
        </is>
      </c>
      <c r="AK103" s="152">
        <f>IF($A103="","",IF(COUNTIFS(Human_Data_Entry!$A$3:$A$525,$A103)&gt;0,"YES","NO"))</f>
        <v/>
      </c>
      <c r="AL103" s="152">
        <f>IF($A103="","",IF(AND($C103&amp;"-"&amp;$D103&gt;=Settings!$B$19,$C103&amp;"-"&amp;$D103&lt;=Settings!$B$20),"IN","OUT"))</f>
        <v/>
      </c>
      <c r="AM103" s="152">
        <f>IF(AND(OR($H103="BUY",$H103="SELL"),ISNUMBER($T103)),$T103,"")</f>
        <v/>
      </c>
      <c r="AN103" s="152">
        <f>IF(AND(OR($H103="BUY",$H103="SELL"),ISNUMBER($AF103)),$AF103,"")</f>
        <v/>
      </c>
      <c r="AO103" s="152">
        <f>IF(ISNUMBER($AM103),ABS(IF(ISNUMBER($G103),$G103,0)-Settings!$B$25),"")</f>
        <v/>
      </c>
      <c r="AP103" s="152">
        <f>IF(ISNUMBER($AO103),$AO103*$AM103,"")</f>
        <v/>
      </c>
      <c r="AQ103" s="152">
        <f>IF(ISNUMBER($AN103),ABS(IF(ISNUMBER($G103),$G103,0)-Settings!$B$25),"")</f>
        <v/>
      </c>
      <c r="AR103" s="152">
        <f>IF(ISNUMBER($AQ103),$AQ103*$AN103,"")</f>
        <v/>
      </c>
      <c r="AS103" s="152">
        <f>IF($A103="","",IFERROR(INDEX(Company_List!$H$3:$H$207,MATCH($A103,Company_List!$A$3:$A$207,0)),"unassigned"))</f>
        <v/>
      </c>
      <c r="AT103" s="152" t="inlineStr">
        <is>
          <t>re-read since v1</t>
        </is>
      </c>
      <c r="AU103" s="152" t="inlineStr">
        <is>
          <t>Phase 2/Master_Data_v1.xlsx</t>
        </is>
      </c>
      <c r="AV103" s="152" t="n">
        <v>2</v>
      </c>
      <c r="AW103" s="152" t="inlineStr">
        <is>
          <t>The Motley Fool</t>
        </is>
      </c>
      <c r="AX103" s="152" t="inlineStr">
        <is>
          <t>free to read, copyright asserted</t>
        </is>
      </c>
      <c r="AY103" s="152" t="inlineStr">
        <is>
          <t>no</t>
        </is>
      </c>
      <c r="AZ103" s="152" t="inlineStr">
        <is>
          <t>yes</t>
        </is>
      </c>
      <c r="BA103" s="198" t="inlineStr">
        <is>
          <t>YES</t>
        </is>
      </c>
      <c r="BB103" s="198" t="n"/>
    </row>
    <row r="104" ht="15" customHeight="1" s="241">
      <c r="A104" s="191" t="inlineStr">
        <is>
          <t>Target</t>
        </is>
      </c>
      <c r="B104" s="188" t="inlineStr">
        <is>
          <t>TGT</t>
        </is>
      </c>
      <c r="C104" s="176" t="n">
        <v>2025</v>
      </c>
      <c r="D104" s="177" t="inlineStr">
        <is>
          <t>Q2</t>
        </is>
      </c>
      <c r="E104" s="178" t="inlineStr">
        <is>
          <t>Ben/DeepSeek</t>
        </is>
      </c>
      <c r="F104" s="177" t="inlineStr">
        <is>
          <t>LLM</t>
        </is>
      </c>
      <c r="G104" s="196" t="n">
        <v>0</v>
      </c>
      <c r="H104" s="177" t="inlineStr">
        <is>
          <t>HOLD</t>
        </is>
      </c>
      <c r="I104" s="196" t="n"/>
      <c r="J104" s="182" t="n">
        <v>45889</v>
      </c>
      <c r="K104" s="182" t="n">
        <v>45888</v>
      </c>
      <c r="L104" s="183" t="n">
        <v>105.36</v>
      </c>
      <c r="M104" s="182" t="n">
        <v>45889</v>
      </c>
      <c r="N104" s="183" t="n">
        <v>94.41</v>
      </c>
      <c r="O104" s="180" t="n">
        <v>0.008658000000000001</v>
      </c>
      <c r="P104" s="197" t="n">
        <v>-0.103929</v>
      </c>
      <c r="Q104" s="177" t="inlineStr">
        <is>
          <t>DOWN</t>
        </is>
      </c>
      <c r="R104" s="177" t="inlineStr">
        <is>
          <t>NO</t>
        </is>
      </c>
      <c r="S104" s="176" t="n">
        <v>0</v>
      </c>
      <c r="T104" s="197" t="n">
        <v>0</v>
      </c>
      <c r="U104" s="185" t="inlineStr">
        <is>
          <t>w=[0.80,0.20,0,0] thr=(+0.20,-0.10), deployed default promoted 2026-08-18 (PSR=0.964, permutation p=0.0002 at N=233, restricted search - see blend.py)</t>
        </is>
      </c>
      <c r="V104" s="152" t="inlineStr">
        <is>
          <t>FROZEN</t>
        </is>
      </c>
      <c r="W104" s="152" t="inlineStr">
        <is>
          <t>release date + stated time</t>
        </is>
      </c>
      <c r="X104" s="152" t="inlineStr">
        <is>
          <t>TGT</t>
        </is>
      </c>
      <c r="Y104" s="152" t="inlineStr">
        <is>
          <t>2025-08-19</t>
        </is>
      </c>
      <c r="Z104" s="152" t="n">
        <v>102.0369</v>
      </c>
      <c r="AA104" s="152" t="inlineStr">
        <is>
          <t>2025-08-20</t>
        </is>
      </c>
      <c r="AB104" s="152" t="n">
        <v>91.43219999999999</v>
      </c>
      <c r="AC104" s="152" t="n">
        <v>-0.1039292512694035</v>
      </c>
      <c r="AD104" s="152" t="inlineStr">
        <is>
          <t>DOWN</t>
        </is>
      </c>
      <c r="AE104" s="152" t="inlineStr">
        <is>
          <t>NO</t>
        </is>
      </c>
      <c r="AF104" s="152" t="n">
        <v>0</v>
      </c>
      <c r="AG104" s="152">
        <f>IF($A104="","",IFERROR(INDEX(Company_List!$G$3:$G$207,MATCH($A104,Company_List!$A$3:$A$207,0)),"unassigned"))</f>
        <v/>
      </c>
      <c r="AH104" s="152" t="inlineStr">
        <is>
          <t>Phase 2/Target/2025-Q2/TGT-2025-Q2-press-release-SEC-EX-99.htm; Phase 2/Target/2025-Q2/TGT-2025-Q2-earnings-call-transcript-corporate-target-com.pdf</t>
        </is>
      </c>
      <c r="AI104" s="152" t="inlineStr">
        <is>
          <t>https://corporate.target.com/getmedia/c5751599-850d-4bb0-b599-d8ac55a91156/2025-august-20-tgt-transcript.pdf; https://www.sec.gov/Archives/edgar/data/27419/000002741925000115/a2025q2ex-99.htm</t>
        </is>
      </c>
      <c r="AJ104" s="152" t="inlineStr">
        <is>
          <t>manifest (whole bundle)</t>
        </is>
      </c>
      <c r="AK104" s="152">
        <f>IF($A104="","",IF(COUNTIFS(Human_Data_Entry!$A$3:$A$525,$A104)&gt;0,"YES","NO"))</f>
        <v/>
      </c>
      <c r="AL104" s="152">
        <f>IF($A104="","",IF(AND($C104&amp;"-"&amp;$D104&gt;=Settings!$B$19,$C104&amp;"-"&amp;$D104&lt;=Settings!$B$20),"IN","OUT"))</f>
        <v/>
      </c>
      <c r="AM104" s="152">
        <f>IF(AND(OR($H104="BUY",$H104="SELL"),ISNUMBER($T104)),$T104,"")</f>
        <v/>
      </c>
      <c r="AN104" s="152">
        <f>IF(AND(OR($H104="BUY",$H104="SELL"),ISNUMBER($AF104)),$AF104,"")</f>
        <v/>
      </c>
      <c r="AO104" s="152">
        <f>IF(ISNUMBER($AM104),ABS(IF(ISNUMBER($G104),$G104,0)-Settings!$B$25),"")</f>
        <v/>
      </c>
      <c r="AP104" s="152">
        <f>IF(ISNUMBER($AO104),$AO104*$AM104,"")</f>
        <v/>
      </c>
      <c r="AQ104" s="152">
        <f>IF(ISNUMBER($AN104),ABS(IF(ISNUMBER($G104),$G104,0)-Settings!$B$25),"")</f>
        <v/>
      </c>
      <c r="AR104" s="152">
        <f>IF(ISNUMBER($AQ104),$AQ104*$AN104,"")</f>
        <v/>
      </c>
      <c r="AS104" s="152">
        <f>IF($A104="","",IFERROR(INDEX(Company_List!$H$3:$H$207,MATCH($A104,Company_List!$A$3:$A$207,0)),"unassigned"))</f>
        <v/>
      </c>
      <c r="AT104" s="152" t="inlineStr">
        <is>
          <t>re-read since v1</t>
        </is>
      </c>
      <c r="AU104" s="152" t="inlineStr">
        <is>
          <t>Phase 2/Master_Data_v1.xlsx</t>
        </is>
      </c>
      <c r="AV104" s="152" t="n">
        <v>2</v>
      </c>
      <c r="AW104" s="152" t="inlineStr">
        <is>
          <t>Refinitiv / LSEG StreetEvents</t>
        </is>
      </c>
      <c r="AX104" s="152" t="inlineStr">
        <is>
          <t>licensed vendor</t>
        </is>
      </c>
      <c r="AY104" s="152" t="inlineStr">
        <is>
          <t>no</t>
        </is>
      </c>
      <c r="AZ104" s="152" t="inlineStr">
        <is>
          <t>yes</t>
        </is>
      </c>
      <c r="BA104" s="198" t="inlineStr">
        <is>
          <t>YES</t>
        </is>
      </c>
      <c r="BB104" s="198" t="n"/>
    </row>
    <row r="105" ht="15" customHeight="1" s="241">
      <c r="A105" s="191" t="inlineStr">
        <is>
          <t>Target</t>
        </is>
      </c>
      <c r="B105" s="188" t="inlineStr">
        <is>
          <t>TGT</t>
        </is>
      </c>
      <c r="C105" s="176" t="n">
        <v>2025</v>
      </c>
      <c r="D105" s="177" t="inlineStr">
        <is>
          <t>Q3</t>
        </is>
      </c>
      <c r="E105" s="178" t="inlineStr">
        <is>
          <t>Ben/DeepSeek</t>
        </is>
      </c>
      <c r="F105" s="177" t="inlineStr">
        <is>
          <t>LLM</t>
        </is>
      </c>
      <c r="G105" s="196" t="n">
        <v>-0.38</v>
      </c>
      <c r="H105" s="177" t="inlineStr">
        <is>
          <t>SELL</t>
        </is>
      </c>
      <c r="I105" s="196" t="n"/>
      <c r="J105" s="182" t="n">
        <v>45980</v>
      </c>
      <c r="K105" s="182" t="n">
        <v>45979</v>
      </c>
      <c r="L105" s="183" t="n">
        <v>88.53</v>
      </c>
      <c r="M105" s="182" t="n">
        <v>45980</v>
      </c>
      <c r="N105" s="183" t="n">
        <v>86.42</v>
      </c>
      <c r="O105" s="180" t="n">
        <v>0.008777999999999999</v>
      </c>
      <c r="P105" s="197" t="n">
        <v>-0.023834</v>
      </c>
      <c r="Q105" s="177" t="inlineStr">
        <is>
          <t>DOWN</t>
        </is>
      </c>
      <c r="R105" s="177" t="inlineStr">
        <is>
          <t>YES</t>
        </is>
      </c>
      <c r="S105" s="176" t="n">
        <v>-1</v>
      </c>
      <c r="T105" s="197" t="n">
        <v>0.022834</v>
      </c>
      <c r="U105" s="185" t="inlineStr">
        <is>
          <t>w=[0.80,0.20,0,0] thr=(+0.20,-0.10), deployed default promoted 2026-08-18 (PSR=0.964, permutation p=0.0002 at N=233, restricted search - see blend.py)</t>
        </is>
      </c>
      <c r="V105" s="152" t="inlineStr">
        <is>
          <t>FROZEN</t>
        </is>
      </c>
      <c r="W105" s="152" t="inlineStr">
        <is>
          <t>release date + stated time</t>
        </is>
      </c>
      <c r="X105" s="152" t="inlineStr">
        <is>
          <t>TGT</t>
        </is>
      </c>
      <c r="Y105" s="152" t="inlineStr">
        <is>
          <t>2025-11-18</t>
        </is>
      </c>
      <c r="Z105" s="152" t="n">
        <v>86.8184</v>
      </c>
      <c r="AA105" s="152" t="inlineStr">
        <is>
          <t>2025-11-19</t>
        </is>
      </c>
      <c r="AB105" s="152" t="n">
        <v>84.7492</v>
      </c>
      <c r="AC105" s="152" t="n">
        <v>-0.02383377009660183</v>
      </c>
      <c r="AD105" s="152" t="inlineStr">
        <is>
          <t>DOWN</t>
        </is>
      </c>
      <c r="AE105" s="152" t="inlineStr">
        <is>
          <t>YES</t>
        </is>
      </c>
      <c r="AF105" s="152" t="n">
        <v>0.022834</v>
      </c>
      <c r="AG105" s="152">
        <f>IF($A105="","",IFERROR(INDEX(Company_List!$G$3:$G$207,MATCH($A105,Company_List!$A$3:$A$207,0)),"unassigned"))</f>
        <v/>
      </c>
      <c r="AH105" s="152" t="inlineStr">
        <is>
          <t>Phase 2/Target/2025-Q3/TGT-2025-Q3-press-release-SEC-EX-99.htm; Phase 2/Target/2025-Q3/TGT-2025-Q3-earnings-call-transcript-corporate-target-com.pdf</t>
        </is>
      </c>
      <c r="AI105" s="152" t="inlineStr">
        <is>
          <t>https://corporate.target.com/getmedia/1b701222-ff3c-4f65-b4b7-d0de5511f9a4/TGT-Transcript-2025-11-19.pdf; https://www.sec.gov/Archives/edgar/data/27419/000002741925000123/a2025q3ex-99.htm</t>
        </is>
      </c>
      <c r="AJ105" s="152" t="inlineStr">
        <is>
          <t>manifest (whole bundle)</t>
        </is>
      </c>
      <c r="AK105" s="152">
        <f>IF($A105="","",IF(COUNTIFS(Human_Data_Entry!$A$3:$A$525,$A105)&gt;0,"YES","NO"))</f>
        <v/>
      </c>
      <c r="AL105" s="152">
        <f>IF($A105="","",IF(AND($C105&amp;"-"&amp;$D105&gt;=Settings!$B$19,$C105&amp;"-"&amp;$D105&lt;=Settings!$B$20),"IN","OUT"))</f>
        <v/>
      </c>
      <c r="AM105" s="152">
        <f>IF(AND(OR($H105="BUY",$H105="SELL"),ISNUMBER($T105)),$T105,"")</f>
        <v/>
      </c>
      <c r="AN105" s="152">
        <f>IF(AND(OR($H105="BUY",$H105="SELL"),ISNUMBER($AF105)),$AF105,"")</f>
        <v/>
      </c>
      <c r="AO105" s="152">
        <f>IF(ISNUMBER($AM105),ABS(IF(ISNUMBER($G105),$G105,0)-Settings!$B$25),"")</f>
        <v/>
      </c>
      <c r="AP105" s="152">
        <f>IF(ISNUMBER($AO105),$AO105*$AM105,"")</f>
        <v/>
      </c>
      <c r="AQ105" s="152">
        <f>IF(ISNUMBER($AN105),ABS(IF(ISNUMBER($G105),$G105,0)-Settings!$B$25),"")</f>
        <v/>
      </c>
      <c r="AR105" s="152">
        <f>IF(ISNUMBER($AQ105),$AQ105*$AN105,"")</f>
        <v/>
      </c>
      <c r="AS105" s="152">
        <f>IF($A105="","",IFERROR(INDEX(Company_List!$H$3:$H$207,MATCH($A105,Company_List!$A$3:$A$207,0)),"unassigned"))</f>
        <v/>
      </c>
      <c r="AT105" s="152" t="inlineStr">
        <is>
          <t>re-read since v1</t>
        </is>
      </c>
      <c r="AU105" s="152" t="inlineStr">
        <is>
          <t>Phase 2/Master_Data_v1.xlsx</t>
        </is>
      </c>
      <c r="AV105" s="152" t="n">
        <v>2</v>
      </c>
      <c r="AW105" s="152" t="inlineStr">
        <is>
          <t>Refinitiv / LSEG StreetEvents</t>
        </is>
      </c>
      <c r="AX105" s="152" t="inlineStr">
        <is>
          <t>licensed vendor</t>
        </is>
      </c>
      <c r="AY105" s="152" t="inlineStr">
        <is>
          <t>no</t>
        </is>
      </c>
      <c r="AZ105" s="152" t="inlineStr">
        <is>
          <t>yes</t>
        </is>
      </c>
      <c r="BA105" s="198" t="inlineStr">
        <is>
          <t>YES</t>
        </is>
      </c>
      <c r="BB105" s="198" t="n"/>
    </row>
    <row r="106" ht="15" customHeight="1" s="241">
      <c r="A106" s="191" t="inlineStr">
        <is>
          <t>Barclays</t>
        </is>
      </c>
      <c r="B106" s="188" t="inlineStr">
        <is>
          <t>BCS</t>
        </is>
      </c>
      <c r="C106" s="176" t="n">
        <v>2026</v>
      </c>
      <c r="D106" s="177" t="inlineStr">
        <is>
          <t>Q1</t>
        </is>
      </c>
      <c r="E106" s="178" t="inlineStr">
        <is>
          <t>Ben/DeepSeek</t>
        </is>
      </c>
      <c r="F106" s="177" t="inlineStr">
        <is>
          <t>LLM</t>
        </is>
      </c>
      <c r="G106" s="196" t="n">
        <v>0.06</v>
      </c>
      <c r="H106" s="177" t="inlineStr">
        <is>
          <t>HOLD</t>
        </is>
      </c>
      <c r="I106" s="196" t="n"/>
      <c r="J106" s="182" t="n">
        <v>46140</v>
      </c>
      <c r="K106" s="182" t="n">
        <v>46139</v>
      </c>
      <c r="L106" s="183" t="n">
        <v>23.09</v>
      </c>
      <c r="M106" s="182" t="n">
        <v>46140</v>
      </c>
      <c r="N106" s="183" t="n">
        <v>22.92</v>
      </c>
      <c r="O106" s="180" t="n">
        <v>0.016143</v>
      </c>
      <c r="P106" s="197" t="n">
        <v>-0.007362</v>
      </c>
      <c r="Q106" s="177" t="inlineStr">
        <is>
          <t>FLAT</t>
        </is>
      </c>
      <c r="R106" s="177" t="inlineStr">
        <is>
          <t>YES</t>
        </is>
      </c>
      <c r="S106" s="176" t="n">
        <v>0</v>
      </c>
      <c r="T106" s="197" t="n">
        <v>0</v>
      </c>
      <c r="U106" s="185" t="inlineStr">
        <is>
          <t>w=[0.80,0.20,0,0] thr=(+0.20,-0.10), deployed default promoted 2026-08-18 (PSR=0.964, permutation p=0.0002 at N=233, restricted search - see blend.py)</t>
        </is>
      </c>
      <c r="V106" s="152" t="inlineStr">
        <is>
          <t>FROZEN</t>
        </is>
      </c>
      <c r="W106" s="152" t="inlineStr">
        <is>
          <t>repriced on the issuer's primary listing</t>
        </is>
      </c>
      <c r="X106" s="152" t="inlineStr">
        <is>
          <t>BARC.L</t>
        </is>
      </c>
      <c r="Y106" s="152" t="inlineStr">
        <is>
          <t>2026-04-27</t>
        </is>
      </c>
      <c r="Z106" s="152" t="n">
        <v>427.3522</v>
      </c>
      <c r="AA106" s="152" t="inlineStr">
        <is>
          <t>2026-04-28</t>
        </is>
      </c>
      <c r="AB106" s="152" t="n">
        <v>417.9532</v>
      </c>
      <c r="AC106" s="152" t="n">
        <v>-0.02199344444484191</v>
      </c>
      <c r="AD106" s="152" t="inlineStr">
        <is>
          <t>DOWN</t>
        </is>
      </c>
      <c r="AE106" s="152" t="inlineStr">
        <is>
          <t>YES</t>
        </is>
      </c>
      <c r="AF106" s="152" t="n">
        <v>0.020993</v>
      </c>
      <c r="AG106" s="152">
        <f>IF($A106="","",IFERROR(INDEX(Company_List!$G$3:$G$207,MATCH($A106,Company_List!$A$3:$A$207,0)),"unassigned"))</f>
        <v/>
      </c>
      <c r="AH106" s="152" t="inlineStr">
        <is>
          <t>Phase 2/Barclays/2026-Q1/BCS-2026-Q1-results-SEC-6-K.htm; Phase 2/Barclays/2026-Q1/BCS-2026-Q1-earnings-call-transcript-home-barclays.pdf</t>
        </is>
      </c>
      <c r="AI106" s="152" t="inlineStr">
        <is>
          <t>https://home.barclays/content/dam/home-barclays/documents/investor-relations/ResultAnnouncements/Q12026Results/Q126%20Results%20QA%20transcript.pdf; https://www.sec.gov/Archives/edgar/data/312069/000165495426003973/a1071c.htm</t>
        </is>
      </c>
      <c r="AJ106" s="152" t="inlineStr">
        <is>
          <t>manifest (whole bundle)</t>
        </is>
      </c>
      <c r="AK106" s="152">
        <f>IF($A106="","",IF(COUNTIFS(Human_Data_Entry!$A$3:$A$525,$A106)&gt;0,"YES","NO"))</f>
        <v/>
      </c>
      <c r="AL106" s="152">
        <f>IF($A106="","",IF(AND($C106&amp;"-"&amp;$D106&gt;=Settings!$B$19,$C106&amp;"-"&amp;$D106&lt;=Settings!$B$20),"IN","OUT"))</f>
        <v/>
      </c>
      <c r="AM106" s="152">
        <f>IF(AND(OR($H106="BUY",$H106="SELL"),ISNUMBER($T106)),$T106,"")</f>
        <v/>
      </c>
      <c r="AN106" s="152">
        <f>IF(AND(OR($H106="BUY",$H106="SELL"),ISNUMBER($AF106)),$AF106,"")</f>
        <v/>
      </c>
      <c r="AO106" s="152">
        <f>IF(ISNUMBER($AM106),ABS(IF(ISNUMBER($G106),$G106,0)-Settings!$B$25),"")</f>
        <v/>
      </c>
      <c r="AP106" s="152">
        <f>IF(ISNUMBER($AO106),$AO106*$AM106,"")</f>
        <v/>
      </c>
      <c r="AQ106" s="152">
        <f>IF(ISNUMBER($AN106),ABS(IF(ISNUMBER($G106),$G106,0)-Settings!$B$25),"")</f>
        <v/>
      </c>
      <c r="AR106" s="152">
        <f>IF(ISNUMBER($AQ106),$AQ106*$AN106,"")</f>
        <v/>
      </c>
      <c r="AS106" s="152">
        <f>IF($A106="","",IFERROR(INDEX(Company_List!$H$3:$H$207,MATCH($A106,Company_List!$A$3:$A$207,0)),"unassigned"))</f>
        <v/>
      </c>
      <c r="AT106" s="152" t="inlineStr">
        <is>
          <t>re-read since v1</t>
        </is>
      </c>
      <c r="AU106" s="152" t="inlineStr">
        <is>
          <t>Phase 2/Master_Data_v1.xlsx</t>
        </is>
      </c>
      <c r="AV106" s="152" t="n">
        <v>2</v>
      </c>
      <c r="AW106" s="152" t="inlineStr">
        <is>
          <t>not publisher-identified</t>
        </is>
      </c>
      <c r="AX106" s="152" t="inlineStr">
        <is>
          <t>not publisher-identified</t>
        </is>
      </c>
      <c r="AY106" s="152" t="inlineStr">
        <is>
          <t>no</t>
        </is>
      </c>
      <c r="AZ106" s="152" t="inlineStr">
        <is>
          <t>yes</t>
        </is>
      </c>
      <c r="BA106" s="152" t="inlineStr">
        <is>
          <t>YES</t>
        </is>
      </c>
      <c r="BB106" s="152" t="n"/>
    </row>
    <row r="107" ht="15" customHeight="1" s="241">
      <c r="A107" s="191" t="inlineStr">
        <is>
          <t>Barclays</t>
        </is>
      </c>
      <c r="B107" s="188" t="inlineStr">
        <is>
          <t>BCS</t>
        </is>
      </c>
      <c r="C107" s="176" t="n">
        <v>2025</v>
      </c>
      <c r="D107" s="177" t="inlineStr">
        <is>
          <t>Q2</t>
        </is>
      </c>
      <c r="E107" s="178" t="inlineStr">
        <is>
          <t>Ben/DeepSeek</t>
        </is>
      </c>
      <c r="F107" s="177" t="inlineStr">
        <is>
          <t>LLM</t>
        </is>
      </c>
      <c r="G107" s="196" t="n">
        <v>0.22</v>
      </c>
      <c r="H107" s="177" t="inlineStr">
        <is>
          <t>BUY</t>
        </is>
      </c>
      <c r="I107" s="196" t="n"/>
      <c r="J107" s="182" t="n">
        <v>45867</v>
      </c>
      <c r="K107" s="182" t="n">
        <v>45866</v>
      </c>
      <c r="L107" s="183" t="n">
        <v>19.41</v>
      </c>
      <c r="M107" s="182" t="n">
        <v>45867</v>
      </c>
      <c r="N107" s="183" t="n">
        <v>19.82</v>
      </c>
      <c r="O107" s="180" t="n">
        <v>0.027562</v>
      </c>
      <c r="P107" s="197" t="n">
        <v>0.021123</v>
      </c>
      <c r="Q107" s="177" t="inlineStr">
        <is>
          <t>UP</t>
        </is>
      </c>
      <c r="R107" s="177" t="inlineStr">
        <is>
          <t>YES</t>
        </is>
      </c>
      <c r="S107" s="176" t="n">
        <v>1</v>
      </c>
      <c r="T107" s="197" t="n">
        <v>0.020123</v>
      </c>
      <c r="U107" s="185" t="inlineStr">
        <is>
          <t>w=[0.80,0.20,0,0] thr=(+0.20,-0.10), deployed default promoted 2026-08-18 (PSR=0.964, permutation p=0.0002 at N=233, restricted search - see blend.py)</t>
        </is>
      </c>
      <c r="V107" s="152" t="inlineStr">
        <is>
          <t>FROZEN</t>
        </is>
      </c>
      <c r="W107" s="152" t="inlineStr">
        <is>
          <t>repriced on the issuer's primary listing</t>
        </is>
      </c>
      <c r="X107" s="152" t="inlineStr">
        <is>
          <t>BARC.L</t>
        </is>
      </c>
      <c r="Y107" s="152" t="inlineStr">
        <is>
          <t>2025-07-28</t>
        </is>
      </c>
      <c r="Z107" s="152" t="n">
        <v>361.0883</v>
      </c>
      <c r="AA107" s="152" t="inlineStr">
        <is>
          <t>2025-07-29</t>
        </is>
      </c>
      <c r="AB107" s="152" t="n">
        <v>359.4888</v>
      </c>
      <c r="AC107" s="152" t="n">
        <v>-0.004429665367434825</v>
      </c>
      <c r="AD107" s="152" t="inlineStr">
        <is>
          <t>FLAT</t>
        </is>
      </c>
      <c r="AE107" s="152" t="inlineStr">
        <is>
          <t>YES</t>
        </is>
      </c>
      <c r="AF107" s="152" t="n">
        <v>0</v>
      </c>
      <c r="AG107" s="152">
        <f>IF($A107="","",IFERROR(INDEX(Company_List!$G$3:$G$207,MATCH($A107,Company_List!$A$3:$A$207,0)),"unassigned"))</f>
        <v/>
      </c>
      <c r="AH107" s="152" t="inlineStr">
        <is>
          <t>Phase 2/Barclays/2025-Q2/BCS-2025-Q2-results-SEC-6-K.htm; Phase 2/Barclays/2025-Q2/BCS-2025-Q2-earnings-call-transcript-home-barclays.pdf</t>
        </is>
      </c>
      <c r="AI107" s="152" t="inlineStr">
        <is>
          <t>https://home.barclays/content/dam/home-barclays/documents/investor-relations/ResultAnnouncements/H12025Results/Q225-Q&amp;A-Transcript.pdf; https://www.sec.gov/Archives/edgar/data/312069/000165495425008608/a8909s.htm</t>
        </is>
      </c>
      <c r="AJ107" s="152" t="inlineStr">
        <is>
          <t>manifest (whole bundle)</t>
        </is>
      </c>
      <c r="AK107" s="152">
        <f>IF($A107="","",IF(COUNTIFS(Human_Data_Entry!$A$3:$A$525,$A107)&gt;0,"YES","NO"))</f>
        <v/>
      </c>
      <c r="AL107" s="152">
        <f>IF($A107="","",IF(AND($C107&amp;"-"&amp;$D107&gt;=Settings!$B$19,$C107&amp;"-"&amp;$D107&lt;=Settings!$B$20),"IN","OUT"))</f>
        <v/>
      </c>
      <c r="AM107" s="152">
        <f>IF(AND(OR($H107="BUY",$H107="SELL"),ISNUMBER($T107)),$T107,"")</f>
        <v/>
      </c>
      <c r="AN107" s="152">
        <f>IF(AND(OR($H107="BUY",$H107="SELL"),ISNUMBER($AF107)),$AF107,"")</f>
        <v/>
      </c>
      <c r="AO107" s="152">
        <f>IF(ISNUMBER($AM107),ABS(IF(ISNUMBER($G107),$G107,0)-Settings!$B$25),"")</f>
        <v/>
      </c>
      <c r="AP107" s="152">
        <f>IF(ISNUMBER($AO107),$AO107*$AM107,"")</f>
        <v/>
      </c>
      <c r="AQ107" s="152">
        <f>IF(ISNUMBER($AN107),ABS(IF(ISNUMBER($G107),$G107,0)-Settings!$B$25),"")</f>
        <v/>
      </c>
      <c r="AR107" s="152">
        <f>IF(ISNUMBER($AQ107),$AQ107*$AN107,"")</f>
        <v/>
      </c>
      <c r="AS107" s="152">
        <f>IF($A107="","",IFERROR(INDEX(Company_List!$H$3:$H$207,MATCH($A107,Company_List!$A$3:$A$207,0)),"unassigned"))</f>
        <v/>
      </c>
      <c r="AT107" s="152" t="inlineStr">
        <is>
          <t>re-read since v1</t>
        </is>
      </c>
      <c r="AU107" s="152" t="inlineStr">
        <is>
          <t>Phase 2/Master_Data_v1.xlsx</t>
        </is>
      </c>
      <c r="AV107" s="152" t="n">
        <v>2</v>
      </c>
      <c r="AW107" s="152" t="inlineStr">
        <is>
          <t>not publisher-identified</t>
        </is>
      </c>
      <c r="AX107" s="152" t="inlineStr">
        <is>
          <t>not publisher-identified</t>
        </is>
      </c>
      <c r="AY107" s="152" t="inlineStr">
        <is>
          <t>no</t>
        </is>
      </c>
      <c r="AZ107" s="152" t="inlineStr">
        <is>
          <t>yes</t>
        </is>
      </c>
      <c r="BA107" s="152" t="inlineStr">
        <is>
          <t>YES</t>
        </is>
      </c>
      <c r="BB107" s="152" t="n"/>
    </row>
    <row r="108" ht="15" customHeight="1" s="241">
      <c r="A108" s="191" t="inlineStr">
        <is>
          <t>Barclays</t>
        </is>
      </c>
      <c r="B108" s="188" t="inlineStr">
        <is>
          <t>BCS</t>
        </is>
      </c>
      <c r="C108" s="176" t="n">
        <v>2025</v>
      </c>
      <c r="D108" s="177" t="inlineStr">
        <is>
          <t>Q3</t>
        </is>
      </c>
      <c r="E108" s="178" t="inlineStr">
        <is>
          <t>Ben/DeepSeek</t>
        </is>
      </c>
      <c r="F108" s="177" t="inlineStr">
        <is>
          <t>LLM</t>
        </is>
      </c>
      <c r="G108" s="196" t="n">
        <v>0.34</v>
      </c>
      <c r="H108" s="177" t="inlineStr">
        <is>
          <t>BUY</t>
        </is>
      </c>
      <c r="I108" s="196" t="n"/>
      <c r="J108" s="182" t="n">
        <v>45952</v>
      </c>
      <c r="K108" s="182" t="n">
        <v>45951</v>
      </c>
      <c r="L108" s="183" t="n">
        <v>19.49</v>
      </c>
      <c r="M108" s="182" t="n">
        <v>45952</v>
      </c>
      <c r="N108" s="183" t="n">
        <v>20.47</v>
      </c>
      <c r="O108" s="180" t="n">
        <v>0.017673</v>
      </c>
      <c r="P108" s="197" t="n">
        <v>0.050282</v>
      </c>
      <c r="Q108" s="177" t="inlineStr">
        <is>
          <t>UP</t>
        </is>
      </c>
      <c r="R108" s="177" t="inlineStr">
        <is>
          <t>YES</t>
        </is>
      </c>
      <c r="S108" s="176" t="n">
        <v>1</v>
      </c>
      <c r="T108" s="197" t="n">
        <v>0.049282</v>
      </c>
      <c r="U108" s="185" t="inlineStr">
        <is>
          <t>w=[0.80,0.20,0,0] thr=(+0.20,-0.10), deployed default promoted 2026-08-18 (PSR=0.964, permutation p=0.0002 at N=233, restricted search - see blend.py)</t>
        </is>
      </c>
      <c r="V108" s="152" t="inlineStr">
        <is>
          <t>FROZEN</t>
        </is>
      </c>
      <c r="W108" s="152" t="inlineStr">
        <is>
          <t>repriced on the issuer's primary listing</t>
        </is>
      </c>
      <c r="X108" s="152" t="inlineStr">
        <is>
          <t>BARC.L</t>
        </is>
      </c>
      <c r="Y108" s="152" t="inlineStr">
        <is>
          <t>2025-10-21</t>
        </is>
      </c>
      <c r="Z108" s="152" t="n">
        <v>364.1673</v>
      </c>
      <c r="AA108" s="152" t="inlineStr">
        <is>
          <t>2025-10-22</t>
        </is>
      </c>
      <c r="AB108" s="152" t="n">
        <v>372.4154</v>
      </c>
      <c r="AC108" s="152" t="n">
        <v>0.02264928506958951</v>
      </c>
      <c r="AD108" s="152" t="inlineStr">
        <is>
          <t>UP</t>
        </is>
      </c>
      <c r="AE108" s="152" t="inlineStr">
        <is>
          <t>YES</t>
        </is>
      </c>
      <c r="AF108" s="152" t="n">
        <v>0.021649</v>
      </c>
      <c r="AG108" s="152">
        <f>IF($A108="","",IFERROR(INDEX(Company_List!$G$3:$G$207,MATCH($A108,Company_List!$A$3:$A$207,0)),"unassigned"))</f>
        <v/>
      </c>
      <c r="AH108" s="152" t="inlineStr">
        <is>
          <t>Phase 2/Barclays/2025-Q3/BCS-2025-Q3-results-SEC-6-K.htm; Phase 2/Barclays/2025-Q3/BCS-2025-Q3-earnings-call-transcript-fool-com.html</t>
        </is>
      </c>
      <c r="AI108" s="152" t="inlineStr">
        <is>
          <t>https://www.fool.com/earnings/call-transcripts/2026/04/28/barclays-bcs-q3-2025-earnings-call-transcript/; https://www.sec.gov/Archives/edgar/data/312069/000165495425012054/a2903e.htm</t>
        </is>
      </c>
      <c r="AJ108" s="152" t="inlineStr">
        <is>
          <t>manifest (whole bundle)</t>
        </is>
      </c>
      <c r="AK108" s="152">
        <f>IF($A108="","",IF(COUNTIFS(Human_Data_Entry!$A$3:$A$525,$A108)&gt;0,"YES","NO"))</f>
        <v/>
      </c>
      <c r="AL108" s="152">
        <f>IF($A108="","",IF(AND($C108&amp;"-"&amp;$D108&gt;=Settings!$B$19,$C108&amp;"-"&amp;$D108&lt;=Settings!$B$20),"IN","OUT"))</f>
        <v/>
      </c>
      <c r="AM108" s="152">
        <f>IF(AND(OR($H108="BUY",$H108="SELL"),ISNUMBER($T108)),$T108,"")</f>
        <v/>
      </c>
      <c r="AN108" s="152">
        <f>IF(AND(OR($H108="BUY",$H108="SELL"),ISNUMBER($AF108)),$AF108,"")</f>
        <v/>
      </c>
      <c r="AO108" s="152">
        <f>IF(ISNUMBER($AM108),ABS(IF(ISNUMBER($G108),$G108,0)-Settings!$B$25),"")</f>
        <v/>
      </c>
      <c r="AP108" s="152">
        <f>IF(ISNUMBER($AO108),$AO108*$AM108,"")</f>
        <v/>
      </c>
      <c r="AQ108" s="152">
        <f>IF(ISNUMBER($AN108),ABS(IF(ISNUMBER($G108),$G108,0)-Settings!$B$25),"")</f>
        <v/>
      </c>
      <c r="AR108" s="152">
        <f>IF(ISNUMBER($AQ108),$AQ108*$AN108,"")</f>
        <v/>
      </c>
      <c r="AS108" s="152">
        <f>IF($A108="","",IFERROR(INDEX(Company_List!$H$3:$H$207,MATCH($A108,Company_List!$A$3:$A$207,0)),"unassigned"))</f>
        <v/>
      </c>
      <c r="AT108" s="152" t="inlineStr">
        <is>
          <t>re-read since v1</t>
        </is>
      </c>
      <c r="AU108" s="152" t="inlineStr">
        <is>
          <t>Phase 2/Master_Data_v1.xlsx</t>
        </is>
      </c>
      <c r="AV108" s="152" t="n">
        <v>2</v>
      </c>
      <c r="AW108" s="152" t="inlineStr">
        <is>
          <t>The Motley Fool</t>
        </is>
      </c>
      <c r="AX108" s="152" t="inlineStr">
        <is>
          <t>free to read, copyright asserted</t>
        </is>
      </c>
      <c r="AY108" s="152" t="inlineStr">
        <is>
          <t>no</t>
        </is>
      </c>
      <c r="AZ108" s="152" t="inlineStr">
        <is>
          <t>yes</t>
        </is>
      </c>
      <c r="BA108" s="152" t="inlineStr">
        <is>
          <t>YES</t>
        </is>
      </c>
      <c r="BB108" s="152" t="n"/>
    </row>
    <row r="109" ht="15" customHeight="1" s="241">
      <c r="A109" s="191" t="inlineStr">
        <is>
          <t>Ford</t>
        </is>
      </c>
      <c r="B109" s="188" t="inlineStr">
        <is>
          <t>F</t>
        </is>
      </c>
      <c r="C109" s="176" t="n">
        <v>2026</v>
      </c>
      <c r="D109" s="177" t="inlineStr">
        <is>
          <t>Q1</t>
        </is>
      </c>
      <c r="E109" s="178" t="inlineStr">
        <is>
          <t>Ben/DeepSeek</t>
        </is>
      </c>
      <c r="F109" s="177" t="inlineStr">
        <is>
          <t>LLM</t>
        </is>
      </c>
      <c r="G109" s="196" t="n">
        <v>0.34</v>
      </c>
      <c r="H109" s="177" t="inlineStr">
        <is>
          <t>BUY</t>
        </is>
      </c>
      <c r="I109" s="196" t="n"/>
      <c r="J109" s="182" t="n">
        <v>46141</v>
      </c>
      <c r="K109" s="182" t="n">
        <v>46141</v>
      </c>
      <c r="L109" s="183" t="n">
        <v>12.24</v>
      </c>
      <c r="M109" s="182" t="n">
        <v>46142</v>
      </c>
      <c r="N109" s="183" t="n">
        <v>11.55</v>
      </c>
      <c r="O109" s="180" t="n">
        <v>0.009054</v>
      </c>
      <c r="P109" s="197" t="n">
        <v>-0.056373</v>
      </c>
      <c r="Q109" s="177" t="inlineStr">
        <is>
          <t>DOWN</t>
        </is>
      </c>
      <c r="R109" s="177" t="inlineStr">
        <is>
          <t>NO</t>
        </is>
      </c>
      <c r="S109" s="176" t="n">
        <v>1</v>
      </c>
      <c r="T109" s="197" t="n">
        <v>-0.057373</v>
      </c>
      <c r="U109" s="185" t="inlineStr">
        <is>
          <t>w=[0.80,0.20,0,0] thr=(+0.20,-0.10), deployed default promoted 2026-08-18 (PSR=0.964, permutation p=0.0002 at N=233, restricted search - see blend.py)</t>
        </is>
      </c>
      <c r="V109" s="152" t="inlineStr">
        <is>
          <t>FROZEN</t>
        </is>
      </c>
      <c r="W109" s="152" t="inlineStr">
        <is>
          <t>price signal — only this window shows an abnormal move</t>
        </is>
      </c>
      <c r="X109" s="152" t="inlineStr">
        <is>
          <t>F</t>
        </is>
      </c>
      <c r="Y109" s="152" t="inlineStr">
        <is>
          <t>2026-04-29</t>
        </is>
      </c>
      <c r="Z109" s="152" t="n">
        <v>12.0876</v>
      </c>
      <c r="AA109" s="152" t="inlineStr">
        <is>
          <t>2026-04-30</t>
        </is>
      </c>
      <c r="AB109" s="152" t="n">
        <v>11.4062</v>
      </c>
      <c r="AC109" s="152" t="n">
        <v>-0.05637260433755552</v>
      </c>
      <c r="AD109" s="152" t="inlineStr">
        <is>
          <t>DOWN</t>
        </is>
      </c>
      <c r="AE109" s="152" t="inlineStr">
        <is>
          <t>NO</t>
        </is>
      </c>
      <c r="AF109" s="152" t="n">
        <v>0</v>
      </c>
      <c r="AG109" s="152">
        <f>IF($A109="","",IFERROR(INDEX(Company_List!$G$3:$G$207,MATCH($A109,Company_List!$A$3:$A$207,0)),"unassigned"))</f>
        <v/>
      </c>
      <c r="AH109" s="152" t="inlineStr">
        <is>
          <t>Phase 2/Ford/Ford-Q1-2026-Earnings-Call-Transcript.pdf</t>
        </is>
      </c>
      <c r="AI109" s="152" t="n"/>
      <c r="AJ109" s="152" t="inlineStr">
        <is>
          <t>unique filename match</t>
        </is>
      </c>
      <c r="AK109" s="152">
        <f>IF($A109="","",IF(COUNTIFS(Human_Data_Entry!$A$3:$A$525,$A109)&gt;0,"YES","NO"))</f>
        <v/>
      </c>
      <c r="AL109" s="152">
        <f>IF($A109="","",IF(AND($C109&amp;"-"&amp;$D109&gt;=Settings!$B$19,$C109&amp;"-"&amp;$D109&lt;=Settings!$B$20),"IN","OUT"))</f>
        <v/>
      </c>
      <c r="AM109" s="152">
        <f>IF(AND(OR($H109="BUY",$H109="SELL"),ISNUMBER($T109)),$T109,"")</f>
        <v/>
      </c>
      <c r="AN109" s="152">
        <f>IF(AND(OR($H109="BUY",$H109="SELL"),ISNUMBER($AF109)),$AF109,"")</f>
        <v/>
      </c>
      <c r="AO109" s="152">
        <f>IF(ISNUMBER($AM109),ABS(IF(ISNUMBER($G109),$G109,0)-Settings!$B$25),"")</f>
        <v/>
      </c>
      <c r="AP109" s="152">
        <f>IF(ISNUMBER($AO109),$AO109*$AM109,"")</f>
        <v/>
      </c>
      <c r="AQ109" s="152">
        <f>IF(ISNUMBER($AN109),ABS(IF(ISNUMBER($G109),$G109,0)-Settings!$B$25),"")</f>
        <v/>
      </c>
      <c r="AR109" s="152">
        <f>IF(ISNUMBER($AQ109),$AQ109*$AN109,"")</f>
        <v/>
      </c>
      <c r="AS109" s="152">
        <f>IF($A109="","",IFERROR(INDEX(Company_List!$H$3:$H$207,MATCH($A109,Company_List!$A$3:$A$207,0)),"unassigned"))</f>
        <v/>
      </c>
      <c r="AT109" s="152" t="inlineStr">
        <is>
          <t>re-read since v1</t>
        </is>
      </c>
      <c r="AU109" s="152" t="inlineStr">
        <is>
          <t>Phase 2/Master_Data_v1.xlsx</t>
        </is>
      </c>
      <c r="AV109" s="152" t="n">
        <v>1</v>
      </c>
      <c r="AW109" s="152" t="inlineStr">
        <is>
          <t>not publisher-identified</t>
        </is>
      </c>
      <c r="AX109" s="152" t="inlineStr">
        <is>
          <t>not publisher-identified</t>
        </is>
      </c>
      <c r="AY109" s="152" t="inlineStr">
        <is>
          <t>no</t>
        </is>
      </c>
      <c r="AZ109" s="152" t="inlineStr">
        <is>
          <t>no</t>
        </is>
      </c>
      <c r="BA109" s="152" t="inlineStr">
        <is>
          <t>YES</t>
        </is>
      </c>
      <c r="BB109" s="152" t="n"/>
    </row>
    <row r="110" ht="15" customHeight="1" s="241">
      <c r="A110" s="191" t="inlineStr">
        <is>
          <t>Ford</t>
        </is>
      </c>
      <c r="B110" s="188" t="inlineStr">
        <is>
          <t>F</t>
        </is>
      </c>
      <c r="C110" s="176" t="n">
        <v>2025</v>
      </c>
      <c r="D110" s="177" t="inlineStr">
        <is>
          <t>Q2</t>
        </is>
      </c>
      <c r="E110" s="178" t="inlineStr">
        <is>
          <t>Ben/DeepSeek</t>
        </is>
      </c>
      <c r="F110" s="177" t="inlineStr">
        <is>
          <t>LLM</t>
        </is>
      </c>
      <c r="G110" s="196" t="n">
        <v>-0.22</v>
      </c>
      <c r="H110" s="177" t="inlineStr">
        <is>
          <t>SELL</t>
        </is>
      </c>
      <c r="I110" s="196" t="n"/>
      <c r="J110" s="182" t="n">
        <v>45868</v>
      </c>
      <c r="K110" s="182" t="n">
        <v>45868</v>
      </c>
      <c r="L110" s="183" t="n">
        <v>10.87</v>
      </c>
      <c r="M110" s="182" t="n">
        <v>45869</v>
      </c>
      <c r="N110" s="183" t="n">
        <v>10.77</v>
      </c>
      <c r="O110" s="180" t="n">
        <v>0.009233999999999999</v>
      </c>
      <c r="P110" s="197" t="n">
        <v>-0.0092</v>
      </c>
      <c r="Q110" s="177" t="inlineStr">
        <is>
          <t>FLAT</t>
        </is>
      </c>
      <c r="R110" s="177" t="inlineStr">
        <is>
          <t>NO</t>
        </is>
      </c>
      <c r="S110" s="176" t="n">
        <v>-1</v>
      </c>
      <c r="T110" s="197" t="n">
        <v>0.008200000000000001</v>
      </c>
      <c r="U110" s="185" t="inlineStr">
        <is>
          <t>w=[0.80,0.20,0,0] thr=(+0.20,-0.10), deployed default promoted 2026-08-18 (PSR=0.964, permutation p=0.0002 at N=233, restricted search - see blend.py) | report_date ambiguous (multiple candidate trading days), unreviewed - see phase2/report_dates.json</t>
        </is>
      </c>
      <c r="V110" s="152" t="inlineStr">
        <is>
          <t>FROZEN</t>
        </is>
      </c>
      <c r="W110" s="152" t="inlineStr">
        <is>
          <t>price signal — only this window shows an abnormal move</t>
        </is>
      </c>
      <c r="X110" s="152" t="inlineStr">
        <is>
          <t>F</t>
        </is>
      </c>
      <c r="Y110" s="152" t="inlineStr">
        <is>
          <t>2025-07-30</t>
        </is>
      </c>
      <c r="Z110" s="152" t="n">
        <v>10.3591</v>
      </c>
      <c r="AA110" s="152" t="inlineStr">
        <is>
          <t>2025-07-31</t>
        </is>
      </c>
      <c r="AB110" s="152" t="n">
        <v>10.2638</v>
      </c>
      <c r="AC110" s="152" t="n">
        <v>-0.009199603761870054</v>
      </c>
      <c r="AD110" s="152" t="inlineStr">
        <is>
          <t>FLAT</t>
        </is>
      </c>
      <c r="AE110" s="152" t="inlineStr">
        <is>
          <t>NO</t>
        </is>
      </c>
      <c r="AF110" s="152" t="n">
        <v>0.008200000000000001</v>
      </c>
      <c r="AG110" s="152">
        <f>IF($A110="","",IFERROR(INDEX(Company_List!$G$3:$G$207,MATCH($A110,Company_List!$A$3:$A$207,0)),"unassigned"))</f>
        <v/>
      </c>
      <c r="AH110" s="152" t="inlineStr">
        <is>
          <t>Phase 2/Ford/Ford-Q2-2025-Earnings-Call-Transcript.pdf</t>
        </is>
      </c>
      <c r="AI110" s="152" t="n"/>
      <c r="AJ110" s="152" t="inlineStr">
        <is>
          <t>unique filename match</t>
        </is>
      </c>
      <c r="AK110" s="152">
        <f>IF($A110="","",IF(COUNTIFS(Human_Data_Entry!$A$3:$A$525,$A110)&gt;0,"YES","NO"))</f>
        <v/>
      </c>
      <c r="AL110" s="152">
        <f>IF($A110="","",IF(AND($C110&amp;"-"&amp;$D110&gt;=Settings!$B$19,$C110&amp;"-"&amp;$D110&lt;=Settings!$B$20),"IN","OUT"))</f>
        <v/>
      </c>
      <c r="AM110" s="152">
        <f>IF(AND(OR($H110="BUY",$H110="SELL"),ISNUMBER($T110)),$T110,"")</f>
        <v/>
      </c>
      <c r="AN110" s="152">
        <f>IF(AND(OR($H110="BUY",$H110="SELL"),ISNUMBER($AF110)),$AF110,"")</f>
        <v/>
      </c>
      <c r="AO110" s="152">
        <f>IF(ISNUMBER($AM110),ABS(IF(ISNUMBER($G110),$G110,0)-Settings!$B$25),"")</f>
        <v/>
      </c>
      <c r="AP110" s="152">
        <f>IF(ISNUMBER($AO110),$AO110*$AM110,"")</f>
        <v/>
      </c>
      <c r="AQ110" s="152">
        <f>IF(ISNUMBER($AN110),ABS(IF(ISNUMBER($G110),$G110,0)-Settings!$B$25),"")</f>
        <v/>
      </c>
      <c r="AR110" s="152">
        <f>IF(ISNUMBER($AQ110),$AQ110*$AN110,"")</f>
        <v/>
      </c>
      <c r="AS110" s="152">
        <f>IF($A110="","",IFERROR(INDEX(Company_List!$H$3:$H$207,MATCH($A110,Company_List!$A$3:$A$207,0)),"unassigned"))</f>
        <v/>
      </c>
      <c r="AT110" s="152" t="inlineStr">
        <is>
          <t>re-read since v1</t>
        </is>
      </c>
      <c r="AU110" s="152" t="inlineStr">
        <is>
          <t>Phase 2/Master_Data_v1.xlsx</t>
        </is>
      </c>
      <c r="AV110" s="152" t="n">
        <v>1</v>
      </c>
      <c r="AW110" s="152" t="inlineStr">
        <is>
          <t>not publisher-identified</t>
        </is>
      </c>
      <c r="AX110" s="152" t="inlineStr">
        <is>
          <t>not publisher-identified</t>
        </is>
      </c>
      <c r="AY110" s="152" t="inlineStr">
        <is>
          <t>no</t>
        </is>
      </c>
      <c r="AZ110" s="152" t="inlineStr">
        <is>
          <t>no</t>
        </is>
      </c>
      <c r="BA110" s="152" t="inlineStr">
        <is>
          <t>YES</t>
        </is>
      </c>
      <c r="BB110" s="152" t="n"/>
    </row>
    <row r="111" ht="15" customHeight="1" s="241">
      <c r="A111" s="191" t="inlineStr">
        <is>
          <t>Ford</t>
        </is>
      </c>
      <c r="B111" s="188" t="inlineStr">
        <is>
          <t>F</t>
        </is>
      </c>
      <c r="C111" s="176" t="n">
        <v>2025</v>
      </c>
      <c r="D111" s="177" t="inlineStr">
        <is>
          <t>Q4</t>
        </is>
      </c>
      <c r="E111" s="178" t="inlineStr">
        <is>
          <t>Ben/DeepSeek</t>
        </is>
      </c>
      <c r="F111" s="177" t="inlineStr">
        <is>
          <t>LLM</t>
        </is>
      </c>
      <c r="G111" s="196" t="n">
        <v>0.29</v>
      </c>
      <c r="H111" s="177" t="inlineStr">
        <is>
          <t>BUY</t>
        </is>
      </c>
      <c r="I111" s="196" t="n"/>
      <c r="J111" s="182" t="n">
        <v>46063</v>
      </c>
      <c r="K111" s="182" t="n">
        <v>46063</v>
      </c>
      <c r="L111" s="183" t="n">
        <v>13.57</v>
      </c>
      <c r="M111" s="182" t="n">
        <v>46064</v>
      </c>
      <c r="N111" s="183" t="n">
        <v>13.62</v>
      </c>
      <c r="O111" s="180" t="n">
        <v>0.009714</v>
      </c>
      <c r="P111" s="197" t="n">
        <v>0.003685</v>
      </c>
      <c r="Q111" s="177" t="inlineStr">
        <is>
          <t>FLAT</t>
        </is>
      </c>
      <c r="R111" s="177" t="inlineStr">
        <is>
          <t>NO</t>
        </is>
      </c>
      <c r="S111" s="176" t="n">
        <v>1</v>
      </c>
      <c r="T111" s="197" t="n">
        <v>0.002685</v>
      </c>
      <c r="U111" s="185" t="inlineStr">
        <is>
          <t>w=[0.80,0.20,0,0] thr=(+0.20,-0.10), deployed default promoted 2026-08-18 (PSR=0.964, permutation p=0.0002 at N=233, restricted search - see blend.py)</t>
        </is>
      </c>
      <c r="V111" s="152" t="inlineStr">
        <is>
          <t>FROZEN</t>
        </is>
      </c>
      <c r="W111" s="152" t="inlineStr">
        <is>
          <t>earnings calendar, seconded independently</t>
        </is>
      </c>
      <c r="X111" s="152" t="inlineStr">
        <is>
          <t>F</t>
        </is>
      </c>
      <c r="Y111" s="152" t="inlineStr">
        <is>
          <t>2026-02-10</t>
        </is>
      </c>
      <c r="Z111" s="152" t="n">
        <v>13.2575</v>
      </c>
      <c r="AA111" s="152" t="inlineStr">
        <is>
          <t>2026-02-11</t>
        </is>
      </c>
      <c r="AB111" s="152" t="n">
        <v>13.3063</v>
      </c>
      <c r="AC111" s="152" t="n">
        <v>0.003684683706256294</v>
      </c>
      <c r="AD111" s="152" t="inlineStr">
        <is>
          <t>FLAT</t>
        </is>
      </c>
      <c r="AE111" s="152" t="inlineStr">
        <is>
          <t>NO</t>
        </is>
      </c>
      <c r="AF111" s="152" t="n">
        <v>0.002685</v>
      </c>
      <c r="AG111" s="152">
        <f>IF($A111="","",IFERROR(INDEX(Company_List!$G$3:$G$207,MATCH($A111,Company_List!$A$3:$A$207,0)),"unassigned"))</f>
        <v/>
      </c>
      <c r="AH111" s="152" t="inlineStr">
        <is>
          <t>Phase 2/Ford/Ford-Q4-2025-Earnings-Call-Transcript.pdf</t>
        </is>
      </c>
      <c r="AI111" s="152" t="n"/>
      <c r="AJ111" s="152" t="inlineStr">
        <is>
          <t>unique filename match</t>
        </is>
      </c>
      <c r="AK111" s="152">
        <f>IF($A111="","",IF(COUNTIFS(Human_Data_Entry!$A$3:$A$525,$A111)&gt;0,"YES","NO"))</f>
        <v/>
      </c>
      <c r="AL111" s="152">
        <f>IF($A111="","",IF(AND($C111&amp;"-"&amp;$D111&gt;=Settings!$B$19,$C111&amp;"-"&amp;$D111&lt;=Settings!$B$20),"IN","OUT"))</f>
        <v/>
      </c>
      <c r="AM111" s="152">
        <f>IF(AND(OR($H111="BUY",$H111="SELL"),ISNUMBER($T111)),$T111,"")</f>
        <v/>
      </c>
      <c r="AN111" s="152">
        <f>IF(AND(OR($H111="BUY",$H111="SELL"),ISNUMBER($AF111)),$AF111,"")</f>
        <v/>
      </c>
      <c r="AO111" s="152">
        <f>IF(ISNUMBER($AM111),ABS(IF(ISNUMBER($G111),$G111,0)-Settings!$B$25),"")</f>
        <v/>
      </c>
      <c r="AP111" s="152">
        <f>IF(ISNUMBER($AO111),$AO111*$AM111,"")</f>
        <v/>
      </c>
      <c r="AQ111" s="152">
        <f>IF(ISNUMBER($AN111),ABS(IF(ISNUMBER($G111),$G111,0)-Settings!$B$25),"")</f>
        <v/>
      </c>
      <c r="AR111" s="152">
        <f>IF(ISNUMBER($AQ111),$AQ111*$AN111,"")</f>
        <v/>
      </c>
      <c r="AS111" s="152">
        <f>IF($A111="","",IFERROR(INDEX(Company_List!$H$3:$H$207,MATCH($A111,Company_List!$A$3:$A$207,0)),"unassigned"))</f>
        <v/>
      </c>
      <c r="AT111" s="152" t="inlineStr">
        <is>
          <t>re-read since v1</t>
        </is>
      </c>
      <c r="AU111" s="152" t="inlineStr">
        <is>
          <t>Phase 2/Master_Data_v1.xlsx</t>
        </is>
      </c>
      <c r="AV111" s="152" t="n">
        <v>1</v>
      </c>
      <c r="AW111" s="152" t="inlineStr">
        <is>
          <t>not publisher-identified</t>
        </is>
      </c>
      <c r="AX111" s="152" t="inlineStr">
        <is>
          <t>not publisher-identified</t>
        </is>
      </c>
      <c r="AY111" s="152" t="inlineStr">
        <is>
          <t>no</t>
        </is>
      </c>
      <c r="AZ111" s="152" t="inlineStr">
        <is>
          <t>no</t>
        </is>
      </c>
      <c r="BA111" s="152" t="inlineStr">
        <is>
          <t>YES</t>
        </is>
      </c>
      <c r="BB111" s="152" t="n"/>
    </row>
    <row r="112" ht="15" customHeight="1" s="241">
      <c r="A112" s="191" t="inlineStr">
        <is>
          <t>Microsoft</t>
        </is>
      </c>
      <c r="B112" s="188" t="inlineStr">
        <is>
          <t>MSFT</t>
        </is>
      </c>
      <c r="C112" s="176" t="n">
        <v>2025</v>
      </c>
      <c r="D112" s="177" t="inlineStr">
        <is>
          <t>Q1</t>
        </is>
      </c>
      <c r="E112" s="178" t="inlineStr">
        <is>
          <t>Ben/DeepSeek</t>
        </is>
      </c>
      <c r="F112" s="177" t="inlineStr">
        <is>
          <t>LLM</t>
        </is>
      </c>
      <c r="G112" s="196" t="n">
        <v>0.25</v>
      </c>
      <c r="H112" s="177" t="inlineStr">
        <is>
          <t>BUY</t>
        </is>
      </c>
      <c r="I112" s="196" t="n"/>
      <c r="J112" s="182" t="n">
        <v>45595</v>
      </c>
      <c r="K112" s="182" t="n">
        <v>45595</v>
      </c>
      <c r="L112" s="183" t="n">
        <v>432.53</v>
      </c>
      <c r="M112" s="182" t="n">
        <v>45596</v>
      </c>
      <c r="N112" s="183" t="n">
        <v>415.36</v>
      </c>
      <c r="O112" s="180" t="n">
        <v>0.011334</v>
      </c>
      <c r="P112" s="197" t="n">
        <v>-0.039697</v>
      </c>
      <c r="Q112" s="177" t="inlineStr">
        <is>
          <t>DOWN</t>
        </is>
      </c>
      <c r="R112" s="177" t="inlineStr">
        <is>
          <t>NO</t>
        </is>
      </c>
      <c r="S112" s="176" t="n">
        <v>1</v>
      </c>
      <c r="T112" s="197" t="n">
        <v>-0.040697</v>
      </c>
      <c r="U112" s="185" t="inlineStr">
        <is>
          <t>w=[0.80,0.20,0,0] thr=(+0.20,-0.10), deployed default promoted 2026-08-18 (PSR=0.964, permutation p=0.0002 at N=233, restricted search - see blend.py)</t>
        </is>
      </c>
      <c r="V112" s="152" t="inlineStr">
        <is>
          <t>FROZEN</t>
        </is>
      </c>
      <c r="W112" s="152" t="inlineStr">
        <is>
          <t>price signal — both moved; this one dominates</t>
        </is>
      </c>
      <c r="X112" s="152" t="inlineStr">
        <is>
          <t>MSFT</t>
        </is>
      </c>
      <c r="Y112" s="152" t="inlineStr">
        <is>
          <t>2024-10-30</t>
        </is>
      </c>
      <c r="Z112" s="152" t="n">
        <v>426.6052</v>
      </c>
      <c r="AA112" s="152" t="inlineStr">
        <is>
          <t>2024-10-31</t>
        </is>
      </c>
      <c r="AB112" s="152" t="n">
        <v>409.6703</v>
      </c>
      <c r="AC112" s="152" t="n">
        <v>-0.03969677779628429</v>
      </c>
      <c r="AD112" s="152" t="inlineStr">
        <is>
          <t>DOWN</t>
        </is>
      </c>
      <c r="AE112" s="152" t="inlineStr">
        <is>
          <t>NO</t>
        </is>
      </c>
      <c r="AF112" s="152" t="n">
        <v>0</v>
      </c>
      <c r="AG112" s="152">
        <f>IF($A112="","",IFERROR(INDEX(Company_List!$G$3:$G$207,MATCH($A112,Company_List!$A$3:$A$207,0)),"unassigned"))</f>
        <v/>
      </c>
      <c r="AH112" s="152" t="inlineStr">
        <is>
          <t>Phase 2/Microsoft/2025-Q1/MSFT-2025-Q1-press-release-SEC-EX-99-1.htm; Phase 2/Microsoft/2025-Q1/MSFT-2025-Q1-earnings-call-transcript-microsoft-com.html</t>
        </is>
      </c>
      <c r="AI112" s="152" t="inlineStr">
        <is>
          <t>https://www.microsoft.com/en-us/investor/events/fy-2025/earnings-fy-2025-q1; https://www.sec.gov/Archives/edgar/data/789019/000095017025061032/msft-ex99_1.htm</t>
        </is>
      </c>
      <c r="AJ112" s="152" t="inlineStr">
        <is>
          <t>manifest (whole bundle)</t>
        </is>
      </c>
      <c r="AK112" s="152">
        <f>IF($A112="","",IF(COUNTIFS(Human_Data_Entry!$A$3:$A$525,$A112)&gt;0,"YES","NO"))</f>
        <v/>
      </c>
      <c r="AL112" s="152">
        <f>IF($A112="","",IF(AND($C112&amp;"-"&amp;$D112&gt;=Settings!$B$19,$C112&amp;"-"&amp;$D112&lt;=Settings!$B$20),"IN","OUT"))</f>
        <v/>
      </c>
      <c r="AM112" s="152">
        <f>IF(AND(OR($H112="BUY",$H112="SELL"),ISNUMBER($T112)),$T112,"")</f>
        <v/>
      </c>
      <c r="AN112" s="152">
        <f>IF(AND(OR($H112="BUY",$H112="SELL"),ISNUMBER($AF112)),$AF112,"")</f>
        <v/>
      </c>
      <c r="AO112" s="152">
        <f>IF(ISNUMBER($AM112),ABS(IF(ISNUMBER($G112),$G112,0)-Settings!$B$25),"")</f>
        <v/>
      </c>
      <c r="AP112" s="152">
        <f>IF(ISNUMBER($AO112),$AO112*$AM112,"")</f>
        <v/>
      </c>
      <c r="AQ112" s="152">
        <f>IF(ISNUMBER($AN112),ABS(IF(ISNUMBER($G112),$G112,0)-Settings!$B$25),"")</f>
        <v/>
      </c>
      <c r="AR112" s="152">
        <f>IF(ISNUMBER($AQ112),$AQ112*$AN112,"")</f>
        <v/>
      </c>
      <c r="AS112" s="152">
        <f>IF($A112="","",IFERROR(INDEX(Company_List!$H$3:$H$207,MATCH($A112,Company_List!$A$3:$A$207,0)),"unassigned"))</f>
        <v/>
      </c>
      <c r="AT112" s="152" t="inlineStr">
        <is>
          <t>re-read since v1</t>
        </is>
      </c>
      <c r="AU112" s="152" t="inlineStr">
        <is>
          <t>Phase 2/Master_Data_v1.xlsx</t>
        </is>
      </c>
      <c r="AV112" s="152" t="n">
        <v>2</v>
      </c>
      <c r="AW112" s="152" t="inlineStr">
        <is>
          <t>not publisher-identified</t>
        </is>
      </c>
      <c r="AX112" s="152" t="inlineStr">
        <is>
          <t>not publisher-identified</t>
        </is>
      </c>
      <c r="AY112" s="152" t="inlineStr">
        <is>
          <t>no</t>
        </is>
      </c>
      <c r="AZ112" s="152" t="inlineStr">
        <is>
          <t>yes</t>
        </is>
      </c>
      <c r="BA112" s="152" t="inlineStr">
        <is>
          <t>YES</t>
        </is>
      </c>
      <c r="BB112" s="152" t="n"/>
    </row>
    <row r="113" ht="15" customHeight="1" s="241">
      <c r="A113" s="191" t="inlineStr">
        <is>
          <t>Microsoft</t>
        </is>
      </c>
      <c r="B113" s="188" t="inlineStr">
        <is>
          <t>MSFT</t>
        </is>
      </c>
      <c r="C113" s="176" t="n">
        <v>2026</v>
      </c>
      <c r="D113" s="177" t="inlineStr">
        <is>
          <t>Q1</t>
        </is>
      </c>
      <c r="E113" s="178" t="inlineStr">
        <is>
          <t>Ben/DeepSeek</t>
        </is>
      </c>
      <c r="F113" s="177" t="inlineStr">
        <is>
          <t>LLM</t>
        </is>
      </c>
      <c r="G113" s="196" t="n">
        <v>0.3</v>
      </c>
      <c r="H113" s="177" t="inlineStr">
        <is>
          <t>BUY</t>
        </is>
      </c>
      <c r="I113" s="196" t="n"/>
      <c r="J113" s="182" t="n">
        <v>45959</v>
      </c>
      <c r="K113" s="182" t="n">
        <v>45959</v>
      </c>
      <c r="L113" s="183" t="n">
        <v>541.55</v>
      </c>
      <c r="M113" s="182" t="n">
        <v>45960</v>
      </c>
      <c r="N113" s="183" t="n">
        <v>530.48</v>
      </c>
      <c r="O113" s="180" t="n">
        <v>0.009906999999999999</v>
      </c>
      <c r="P113" s="197" t="n">
        <v>-0.020441</v>
      </c>
      <c r="Q113" s="177" t="inlineStr">
        <is>
          <t>DOWN</t>
        </is>
      </c>
      <c r="R113" s="177" t="inlineStr">
        <is>
          <t>NO</t>
        </is>
      </c>
      <c r="S113" s="176" t="n">
        <v>1</v>
      </c>
      <c r="T113" s="197" t="n">
        <v>-0.021441</v>
      </c>
      <c r="U113" s="185" t="inlineStr">
        <is>
          <t>w=[0.80,0.20,0,0] thr=(+0.20,-0.10), deployed default promoted 2026-08-18 (PSR=0.964, permutation p=0.0002 at N=233, restricted search - see blend.py)</t>
        </is>
      </c>
      <c r="V113" s="152" t="inlineStr">
        <is>
          <t>FROZEN</t>
        </is>
      </c>
      <c r="W113" s="152" t="inlineStr">
        <is>
          <t>price signal — only this window shows an abnormal move</t>
        </is>
      </c>
      <c r="X113" s="152" t="inlineStr">
        <is>
          <t>MSFT</t>
        </is>
      </c>
      <c r="Y113" s="152" t="inlineStr">
        <is>
          <t>2025-10-29</t>
        </is>
      </c>
      <c r="Z113" s="152" t="n">
        <v>538.1418</v>
      </c>
      <c r="AA113" s="152" t="inlineStr">
        <is>
          <t>2025-10-30</t>
        </is>
      </c>
      <c r="AB113" s="152" t="n">
        <v>527.1415</v>
      </c>
      <c r="AC113" s="152" t="n">
        <v>-0.02044124169005466</v>
      </c>
      <c r="AD113" s="152" t="inlineStr">
        <is>
          <t>DOWN</t>
        </is>
      </c>
      <c r="AE113" s="152" t="inlineStr">
        <is>
          <t>NO</t>
        </is>
      </c>
      <c r="AF113" s="152" t="n">
        <v>-0.021441</v>
      </c>
      <c r="AG113" s="152">
        <f>IF($A113="","",IFERROR(INDEX(Company_List!$G$3:$G$207,MATCH($A113,Company_List!$A$3:$A$207,0)),"unassigned"))</f>
        <v/>
      </c>
      <c r="AH113" s="152" t="inlineStr">
        <is>
          <t>Phase 2/Microsoft/2026-Q1/MSFT-2026-Q1-press-release-SEC-EX-99-1.htm; Phase 2/Microsoft/2026-Q1/MSFT-2026-Q1-earnings-call-transcript-microsoft-com.html</t>
        </is>
      </c>
      <c r="AI113" s="152" t="inlineStr">
        <is>
          <t>https://www.microsoft.com/en-us/investor/events/fy-2026/earnings-fy-2026-q1; https://www.sec.gov/Archives/edgar/data/789019/000119312526191457/msft-ex99_1.htm</t>
        </is>
      </c>
      <c r="AJ113" s="152" t="inlineStr">
        <is>
          <t>manifest (whole bundle)</t>
        </is>
      </c>
      <c r="AK113" s="152">
        <f>IF($A113="","",IF(COUNTIFS(Human_Data_Entry!$A$3:$A$525,$A113)&gt;0,"YES","NO"))</f>
        <v/>
      </c>
      <c r="AL113" s="152">
        <f>IF($A113="","",IF(AND($C113&amp;"-"&amp;$D113&gt;=Settings!$B$19,$C113&amp;"-"&amp;$D113&lt;=Settings!$B$20),"IN","OUT"))</f>
        <v/>
      </c>
      <c r="AM113" s="152">
        <f>IF(AND(OR($H113="BUY",$H113="SELL"),ISNUMBER($T113)),$T113,"")</f>
        <v/>
      </c>
      <c r="AN113" s="152">
        <f>IF(AND(OR($H113="BUY",$H113="SELL"),ISNUMBER($AF113)),$AF113,"")</f>
        <v/>
      </c>
      <c r="AO113" s="152">
        <f>IF(ISNUMBER($AM113),ABS(IF(ISNUMBER($G113),$G113,0)-Settings!$B$25),"")</f>
        <v/>
      </c>
      <c r="AP113" s="152">
        <f>IF(ISNUMBER($AO113),$AO113*$AM113,"")</f>
        <v/>
      </c>
      <c r="AQ113" s="152">
        <f>IF(ISNUMBER($AN113),ABS(IF(ISNUMBER($G113),$G113,0)-Settings!$B$25),"")</f>
        <v/>
      </c>
      <c r="AR113" s="152">
        <f>IF(ISNUMBER($AQ113),$AQ113*$AN113,"")</f>
        <v/>
      </c>
      <c r="AS113" s="152">
        <f>IF($A113="","",IFERROR(INDEX(Company_List!$H$3:$H$207,MATCH($A113,Company_List!$A$3:$A$207,0)),"unassigned"))</f>
        <v/>
      </c>
      <c r="AT113" s="152" t="inlineStr">
        <is>
          <t>re-read since v1</t>
        </is>
      </c>
      <c r="AU113" s="152" t="inlineStr">
        <is>
          <t>Phase 2/Master_Data_v1.xlsx</t>
        </is>
      </c>
      <c r="AV113" s="152" t="n">
        <v>2</v>
      </c>
      <c r="AW113" s="152" t="inlineStr">
        <is>
          <t>not publisher-identified</t>
        </is>
      </c>
      <c r="AX113" s="152" t="inlineStr">
        <is>
          <t>not publisher-identified</t>
        </is>
      </c>
      <c r="AY113" s="152" t="inlineStr">
        <is>
          <t>no</t>
        </is>
      </c>
      <c r="AZ113" s="152" t="inlineStr">
        <is>
          <t>yes</t>
        </is>
      </c>
      <c r="BA113" s="152" t="inlineStr">
        <is>
          <t>YES</t>
        </is>
      </c>
      <c r="BB113" s="152" t="n"/>
    </row>
    <row r="114" ht="15" customHeight="1" s="241">
      <c r="A114" s="191" t="inlineStr">
        <is>
          <t>Microsoft</t>
        </is>
      </c>
      <c r="B114" s="188" t="inlineStr">
        <is>
          <t>MSFT</t>
        </is>
      </c>
      <c r="C114" s="176" t="n">
        <v>2025</v>
      </c>
      <c r="D114" s="177" t="inlineStr">
        <is>
          <t>Q2</t>
        </is>
      </c>
      <c r="E114" s="178" t="inlineStr">
        <is>
          <t>Ben/DeepSeek</t>
        </is>
      </c>
      <c r="F114" s="177" t="inlineStr">
        <is>
          <t>LLM</t>
        </is>
      </c>
      <c r="G114" s="196" t="n">
        <v>0.3</v>
      </c>
      <c r="H114" s="177" t="inlineStr">
        <is>
          <t>BUY</t>
        </is>
      </c>
      <c r="I114" s="196" t="n"/>
      <c r="J114" s="182" t="n">
        <v>45686</v>
      </c>
      <c r="K114" s="182" t="n">
        <v>45686</v>
      </c>
      <c r="L114" s="183" t="n">
        <v>442.33</v>
      </c>
      <c r="M114" s="182" t="n">
        <v>45687</v>
      </c>
      <c r="N114" s="183" t="n">
        <v>418.77</v>
      </c>
      <c r="O114" s="180" t="n">
        <v>0.010581</v>
      </c>
      <c r="P114" s="197" t="n">
        <v>-0.053263</v>
      </c>
      <c r="Q114" s="177" t="inlineStr">
        <is>
          <t>DOWN</t>
        </is>
      </c>
      <c r="R114" s="177" t="inlineStr">
        <is>
          <t>NO</t>
        </is>
      </c>
      <c r="S114" s="176" t="n">
        <v>1</v>
      </c>
      <c r="T114" s="197" t="n">
        <v>-0.054263</v>
      </c>
      <c r="U114" s="185" t="inlineStr">
        <is>
          <t>w=[0.80,0.20,0,0] thr=(+0.20,-0.10), deployed default promoted 2026-08-18 (PSR=0.964, permutation p=0.0002 at N=233, restricted search - see blend.py)</t>
        </is>
      </c>
      <c r="V114" s="152" t="inlineStr">
        <is>
          <t>FROZEN</t>
        </is>
      </c>
      <c r="W114" s="152" t="inlineStr">
        <is>
          <t>price signal — only this window shows an abnormal move</t>
        </is>
      </c>
      <c r="X114" s="152" t="inlineStr">
        <is>
          <t>MSFT</t>
        </is>
      </c>
      <c r="Y114" s="152" t="inlineStr">
        <is>
          <t>2025-01-29</t>
        </is>
      </c>
      <c r="Z114" s="152" t="n">
        <v>437.1442</v>
      </c>
      <c r="AA114" s="152" t="inlineStr">
        <is>
          <t>2025-01-30</t>
        </is>
      </c>
      <c r="AB114" s="152" t="n">
        <v>413.8604</v>
      </c>
      <c r="AC114" s="152" t="n">
        <v>-0.0532634734427876</v>
      </c>
      <c r="AD114" s="152" t="inlineStr">
        <is>
          <t>DOWN</t>
        </is>
      </c>
      <c r="AE114" s="152" t="inlineStr">
        <is>
          <t>NO</t>
        </is>
      </c>
      <c r="AF114" s="152" t="n">
        <v>-0.054263</v>
      </c>
      <c r="AG114" s="152">
        <f>IF($A114="","",IFERROR(INDEX(Company_List!$G$3:$G$207,MATCH($A114,Company_List!$A$3:$A$207,0)),"unassigned"))</f>
        <v/>
      </c>
      <c r="AH114" s="152" t="inlineStr">
        <is>
          <t>Phase 2/Microsoft/2025-Q2/MSFT-2025-Q2-press-release-SEC-EX-99-1.htm; Phase 2/Microsoft/2025-Q2/MSFT-2025-Q2-earnings-call-transcript-fool-com.html</t>
        </is>
      </c>
      <c r="AI114" s="152" t="inlineStr">
        <is>
          <t>https://www.fool.com/earnings/call-transcripts/2025/01/29/microsoft-msft-q2-2025-earnings-call-transcript/; https://www.sec.gov/Archives/edgar/data/789019/000095017025100226/msft-ex99_1.htm</t>
        </is>
      </c>
      <c r="AJ114" s="152" t="inlineStr">
        <is>
          <t>manifest (whole bundle)</t>
        </is>
      </c>
      <c r="AK114" s="152">
        <f>IF($A114="","",IF(COUNTIFS(Human_Data_Entry!$A$3:$A$525,$A114)&gt;0,"YES","NO"))</f>
        <v/>
      </c>
      <c r="AL114" s="152">
        <f>IF($A114="","",IF(AND($C114&amp;"-"&amp;$D114&gt;=Settings!$B$19,$C114&amp;"-"&amp;$D114&lt;=Settings!$B$20),"IN","OUT"))</f>
        <v/>
      </c>
      <c r="AM114" s="152">
        <f>IF(AND(OR($H114="BUY",$H114="SELL"),ISNUMBER($T114)),$T114,"")</f>
        <v/>
      </c>
      <c r="AN114" s="152">
        <f>IF(AND(OR($H114="BUY",$H114="SELL"),ISNUMBER($AF114)),$AF114,"")</f>
        <v/>
      </c>
      <c r="AO114" s="152">
        <f>IF(ISNUMBER($AM114),ABS(IF(ISNUMBER($G114),$G114,0)-Settings!$B$25),"")</f>
        <v/>
      </c>
      <c r="AP114" s="152">
        <f>IF(ISNUMBER($AO114),$AO114*$AM114,"")</f>
        <v/>
      </c>
      <c r="AQ114" s="152">
        <f>IF(ISNUMBER($AN114),ABS(IF(ISNUMBER($G114),$G114,0)-Settings!$B$25),"")</f>
        <v/>
      </c>
      <c r="AR114" s="152">
        <f>IF(ISNUMBER($AQ114),$AQ114*$AN114,"")</f>
        <v/>
      </c>
      <c r="AS114" s="152">
        <f>IF($A114="","",IFERROR(INDEX(Company_List!$H$3:$H$207,MATCH($A114,Company_List!$A$3:$A$207,0)),"unassigned"))</f>
        <v/>
      </c>
      <c r="AT114" s="152" t="inlineStr">
        <is>
          <t>re-read since v1</t>
        </is>
      </c>
      <c r="AU114" s="152" t="inlineStr">
        <is>
          <t>Phase 2/Master_Data_v1.xlsx</t>
        </is>
      </c>
      <c r="AV114" s="152" t="n">
        <v>2</v>
      </c>
      <c r="AW114" s="152" t="inlineStr">
        <is>
          <t>The Motley Fool</t>
        </is>
      </c>
      <c r="AX114" s="152" t="inlineStr">
        <is>
          <t>free to read, copyright asserted</t>
        </is>
      </c>
      <c r="AY114" s="152" t="inlineStr">
        <is>
          <t>no</t>
        </is>
      </c>
      <c r="AZ114" s="152" t="inlineStr">
        <is>
          <t>yes</t>
        </is>
      </c>
      <c r="BA114" s="152" t="inlineStr">
        <is>
          <t>YES</t>
        </is>
      </c>
      <c r="BB114" s="152" t="n"/>
    </row>
    <row r="115" ht="15" customHeight="1" s="241">
      <c r="A115" s="191" t="inlineStr">
        <is>
          <t>Pfizer</t>
        </is>
      </c>
      <c r="B115" s="188" t="inlineStr">
        <is>
          <t>PFE</t>
        </is>
      </c>
      <c r="C115" s="176" t="n">
        <v>2025</v>
      </c>
      <c r="D115" s="177" t="inlineStr">
        <is>
          <t>Q1</t>
        </is>
      </c>
      <c r="E115" s="178" t="inlineStr">
        <is>
          <t>Ben/DeepSeek</t>
        </is>
      </c>
      <c r="F115" s="177" t="inlineStr">
        <is>
          <t>LLM</t>
        </is>
      </c>
      <c r="G115" s="196" t="n">
        <v>0.02</v>
      </c>
      <c r="H115" s="177" t="inlineStr">
        <is>
          <t>HOLD</t>
        </is>
      </c>
      <c r="I115" s="196" t="n"/>
      <c r="J115" s="182" t="n">
        <v>45775</v>
      </c>
      <c r="K115" s="182" t="n">
        <v>45775</v>
      </c>
      <c r="L115" s="183" t="n">
        <v>23.05</v>
      </c>
      <c r="M115" s="182" t="n">
        <v>45776</v>
      </c>
      <c r="N115" s="183" t="n">
        <v>22.83</v>
      </c>
      <c r="O115" s="180" t="n">
        <v>0.012341</v>
      </c>
      <c r="P115" s="197" t="n">
        <v>-0.009544</v>
      </c>
      <c r="Q115" s="177" t="inlineStr">
        <is>
          <t>FLAT</t>
        </is>
      </c>
      <c r="R115" s="177" t="inlineStr">
        <is>
          <t>YES</t>
        </is>
      </c>
      <c r="S115" s="176" t="n">
        <v>0</v>
      </c>
      <c r="T115" s="197" t="n">
        <v>0</v>
      </c>
      <c r="U115" s="185" t="inlineStr">
        <is>
          <t>w=[0.80,0.20,0,0] thr=(+0.20,-0.10), deployed default promoted 2026-08-18 (PSR=0.964, permutation p=0.0002 at N=233, restricted search - see blend.py)</t>
        </is>
      </c>
      <c r="V115" s="152" t="inlineStr">
        <is>
          <t>FROZEN</t>
        </is>
      </c>
      <c r="W115" s="152" t="inlineStr">
        <is>
          <t>earnings calendar, seconded independently</t>
        </is>
      </c>
      <c r="X115" s="152" t="inlineStr">
        <is>
          <t>PFE</t>
        </is>
      </c>
      <c r="Y115" s="152" t="inlineStr">
        <is>
          <t>2025-04-28</t>
        </is>
      </c>
      <c r="Z115" s="152" t="n">
        <v>20.7777</v>
      </c>
      <c r="AA115" s="152" t="inlineStr">
        <is>
          <t>2025-04-29</t>
        </is>
      </c>
      <c r="AB115" s="152" t="n">
        <v>20.5793</v>
      </c>
      <c r="AC115" s="152" t="n">
        <v>-0.009544570031988756</v>
      </c>
      <c r="AD115" s="152" t="inlineStr">
        <is>
          <t>FLAT</t>
        </is>
      </c>
      <c r="AE115" s="152" t="inlineStr">
        <is>
          <t>NO</t>
        </is>
      </c>
      <c r="AF115" s="152" t="n">
        <v>0.008545000000000001</v>
      </c>
      <c r="AG115" s="152">
        <f>IF($A115="","",IFERROR(INDEX(Company_List!$G$3:$G$207,MATCH($A115,Company_List!$A$3:$A$207,0)),"unassigned"))</f>
        <v/>
      </c>
      <c r="AH115" s="152" t="inlineStr">
        <is>
          <t>Phase 2/Pfizer/PFE-USQ_Transcript_2025-04-29.pdf</t>
        </is>
      </c>
      <c r="AI115" s="152" t="n"/>
      <c r="AJ115" s="152" t="inlineStr">
        <is>
          <t>unique filename match</t>
        </is>
      </c>
      <c r="AK115" s="152">
        <f>IF($A115="","",IF(COUNTIFS(Human_Data_Entry!$A$3:$A$525,$A115)&gt;0,"YES","NO"))</f>
        <v/>
      </c>
      <c r="AL115" s="152">
        <f>IF($A115="","",IF(AND($C115&amp;"-"&amp;$D115&gt;=Settings!$B$19,$C115&amp;"-"&amp;$D115&lt;=Settings!$B$20),"IN","OUT"))</f>
        <v/>
      </c>
      <c r="AM115" s="152">
        <f>IF(AND(OR($H115="BUY",$H115="SELL"),ISNUMBER($T115)),$T115,"")</f>
        <v/>
      </c>
      <c r="AN115" s="152">
        <f>IF(AND(OR($H115="BUY",$H115="SELL"),ISNUMBER($AF115)),$AF115,"")</f>
        <v/>
      </c>
      <c r="AO115" s="152">
        <f>IF(ISNUMBER($AM115),ABS(IF(ISNUMBER($G115),$G115,0)-Settings!$B$25),"")</f>
        <v/>
      </c>
      <c r="AP115" s="152">
        <f>IF(ISNUMBER($AO115),$AO115*$AM115,"")</f>
        <v/>
      </c>
      <c r="AQ115" s="152">
        <f>IF(ISNUMBER($AN115),ABS(IF(ISNUMBER($G115),$G115,0)-Settings!$B$25),"")</f>
        <v/>
      </c>
      <c r="AR115" s="152">
        <f>IF(ISNUMBER($AQ115),$AQ115*$AN115,"")</f>
        <v/>
      </c>
      <c r="AS115" s="152">
        <f>IF($A115="","",IFERROR(INDEX(Company_List!$H$3:$H$207,MATCH($A115,Company_List!$A$3:$A$207,0)),"unassigned"))</f>
        <v/>
      </c>
      <c r="AT115" s="152" t="inlineStr">
        <is>
          <t>re-read since v1</t>
        </is>
      </c>
      <c r="AU115" s="152" t="inlineStr">
        <is>
          <t>Phase 2/Master_Data_v1.xlsx</t>
        </is>
      </c>
      <c r="AV115" s="152" t="n">
        <v>1</v>
      </c>
      <c r="AW115" s="152" t="inlineStr">
        <is>
          <t>Refinitiv / LSEG StreetEvents</t>
        </is>
      </c>
      <c r="AX115" s="152" t="inlineStr">
        <is>
          <t>licensed vendor</t>
        </is>
      </c>
      <c r="AY115" s="152" t="inlineStr">
        <is>
          <t>no</t>
        </is>
      </c>
      <c r="AZ115" s="152" t="inlineStr">
        <is>
          <t>no</t>
        </is>
      </c>
      <c r="BA115" s="152" t="inlineStr">
        <is>
          <t>YES</t>
        </is>
      </c>
      <c r="BB115" s="152" t="n"/>
    </row>
    <row r="116" ht="15" customHeight="1" s="241">
      <c r="A116" s="191" t="inlineStr">
        <is>
          <t>Pfizer</t>
        </is>
      </c>
      <c r="B116" s="188" t="inlineStr">
        <is>
          <t>PFE</t>
        </is>
      </c>
      <c r="C116" s="176" t="n">
        <v>2026</v>
      </c>
      <c r="D116" s="177" t="inlineStr">
        <is>
          <t>Q1</t>
        </is>
      </c>
      <c r="E116" s="178" t="inlineStr">
        <is>
          <t>Ben/DeepSeek</t>
        </is>
      </c>
      <c r="F116" s="177" t="inlineStr">
        <is>
          <t>LLM</t>
        </is>
      </c>
      <c r="G116" s="196" t="n">
        <v>0.1</v>
      </c>
      <c r="H116" s="177" t="inlineStr">
        <is>
          <t>HOLD</t>
        </is>
      </c>
      <c r="I116" s="196" t="n"/>
      <c r="J116" s="182" t="n">
        <v>46146</v>
      </c>
      <c r="K116" s="182" t="n">
        <v>46146</v>
      </c>
      <c r="L116" s="183" t="n">
        <v>26.3</v>
      </c>
      <c r="M116" s="182" t="n">
        <v>46147</v>
      </c>
      <c r="N116" s="183" t="n">
        <v>26.59</v>
      </c>
      <c r="O116" s="180" t="n">
        <v>0.010424</v>
      </c>
      <c r="P116" s="197" t="n">
        <v>0.011027</v>
      </c>
      <c r="Q116" s="177" t="inlineStr">
        <is>
          <t>FLAT</t>
        </is>
      </c>
      <c r="R116" s="177" t="inlineStr">
        <is>
          <t>YES</t>
        </is>
      </c>
      <c r="S116" s="176" t="n">
        <v>0</v>
      </c>
      <c r="T116" s="197" t="n">
        <v>0</v>
      </c>
      <c r="U116" s="185" t="inlineStr">
        <is>
          <t>w=[0.80,0.20,0,0] thr=(+0.20,-0.10), deployed default promoted 2026-08-18 (PSR=0.964, permutation p=0.0002 at N=233, restricted search - see blend.py)</t>
        </is>
      </c>
      <c r="V116" s="152" t="inlineStr">
        <is>
          <t>FROZEN</t>
        </is>
      </c>
      <c r="W116" s="152" t="inlineStr">
        <is>
          <t>earnings calendar, seconded independently</t>
        </is>
      </c>
      <c r="X116" s="152" t="inlineStr">
        <is>
          <t>PFE</t>
        </is>
      </c>
      <c r="Y116" s="152" t="inlineStr">
        <is>
          <t>2026-05-04</t>
        </is>
      </c>
      <c r="Z116" s="152" t="n">
        <v>25.4281</v>
      </c>
      <c r="AA116" s="152" t="inlineStr">
        <is>
          <t>2026-05-05</t>
        </is>
      </c>
      <c r="AB116" s="152" t="n">
        <v>25.7085</v>
      </c>
      <c r="AC116" s="152" t="n">
        <v>0.01102665328244645</v>
      </c>
      <c r="AD116" s="152" t="inlineStr">
        <is>
          <t>FLAT</t>
        </is>
      </c>
      <c r="AE116" s="152" t="inlineStr">
        <is>
          <t>YES</t>
        </is>
      </c>
      <c r="AF116" s="152" t="n">
        <v>0</v>
      </c>
      <c r="AG116" s="152">
        <f>IF($A116="","",IFERROR(INDEX(Company_List!$G$3:$G$207,MATCH($A116,Company_List!$A$3:$A$207,0)),"unassigned"))</f>
        <v/>
      </c>
      <c r="AH116" s="152" t="inlineStr">
        <is>
          <t>Phase 2/Pfizer/PFE-USQ_Transcript_2026-05-05.pdf</t>
        </is>
      </c>
      <c r="AI116" s="152" t="n"/>
      <c r="AJ116" s="152" t="inlineStr">
        <is>
          <t>unique filename match</t>
        </is>
      </c>
      <c r="AK116" s="152">
        <f>IF($A116="","",IF(COUNTIFS(Human_Data_Entry!$A$3:$A$525,$A116)&gt;0,"YES","NO"))</f>
        <v/>
      </c>
      <c r="AL116" s="152">
        <f>IF($A116="","",IF(AND($C116&amp;"-"&amp;$D116&gt;=Settings!$B$19,$C116&amp;"-"&amp;$D116&lt;=Settings!$B$20),"IN","OUT"))</f>
        <v/>
      </c>
      <c r="AM116" s="152">
        <f>IF(AND(OR($H116="BUY",$H116="SELL"),ISNUMBER($T116)),$T116,"")</f>
        <v/>
      </c>
      <c r="AN116" s="152">
        <f>IF(AND(OR($H116="BUY",$H116="SELL"),ISNUMBER($AF116)),$AF116,"")</f>
        <v/>
      </c>
      <c r="AO116" s="152">
        <f>IF(ISNUMBER($AM116),ABS(IF(ISNUMBER($G116),$G116,0)-Settings!$B$25),"")</f>
        <v/>
      </c>
      <c r="AP116" s="152">
        <f>IF(ISNUMBER($AO116),$AO116*$AM116,"")</f>
        <v/>
      </c>
      <c r="AQ116" s="152">
        <f>IF(ISNUMBER($AN116),ABS(IF(ISNUMBER($G116),$G116,0)-Settings!$B$25),"")</f>
        <v/>
      </c>
      <c r="AR116" s="152">
        <f>IF(ISNUMBER($AQ116),$AQ116*$AN116,"")</f>
        <v/>
      </c>
      <c r="AS116" s="152">
        <f>IF($A116="","",IFERROR(INDEX(Company_List!$H$3:$H$207,MATCH($A116,Company_List!$A$3:$A$207,0)),"unassigned"))</f>
        <v/>
      </c>
      <c r="AT116" s="152" t="inlineStr">
        <is>
          <t>re-read since v1</t>
        </is>
      </c>
      <c r="AU116" s="152" t="inlineStr">
        <is>
          <t>Phase 2/Master_Data_v1.xlsx</t>
        </is>
      </c>
      <c r="AV116" s="152" t="n">
        <v>1</v>
      </c>
      <c r="AW116" s="152" t="inlineStr">
        <is>
          <t>Refinitiv / LSEG StreetEvents</t>
        </is>
      </c>
      <c r="AX116" s="152" t="inlineStr">
        <is>
          <t>licensed vendor</t>
        </is>
      </c>
      <c r="AY116" s="152" t="inlineStr">
        <is>
          <t>no</t>
        </is>
      </c>
      <c r="AZ116" s="152" t="inlineStr">
        <is>
          <t>no</t>
        </is>
      </c>
      <c r="BA116" s="152" t="inlineStr">
        <is>
          <t>YES</t>
        </is>
      </c>
      <c r="BB116" s="152" t="n"/>
    </row>
    <row r="117" ht="15" customHeight="1" s="241">
      <c r="A117" s="191" t="inlineStr">
        <is>
          <t>Pfizer</t>
        </is>
      </c>
      <c r="B117" s="188" t="inlineStr">
        <is>
          <t>PFE</t>
        </is>
      </c>
      <c r="C117" s="176" t="n">
        <v>2025</v>
      </c>
      <c r="D117" s="177" t="inlineStr">
        <is>
          <t>Q2</t>
        </is>
      </c>
      <c r="E117" s="178" t="inlineStr">
        <is>
          <t>Ben/DeepSeek</t>
        </is>
      </c>
      <c r="F117" s="177" t="inlineStr">
        <is>
          <t>LLM</t>
        </is>
      </c>
      <c r="G117" s="196" t="n">
        <v>0.26</v>
      </c>
      <c r="H117" s="177" t="inlineStr">
        <is>
          <t>BUY</t>
        </is>
      </c>
      <c r="I117" s="196" t="n"/>
      <c r="J117" s="182" t="n">
        <v>45873</v>
      </c>
      <c r="K117" s="182" t="n">
        <v>45873</v>
      </c>
      <c r="L117" s="183" t="n">
        <v>23.53</v>
      </c>
      <c r="M117" s="182" t="n">
        <v>45874</v>
      </c>
      <c r="N117" s="183" t="n">
        <v>24.27</v>
      </c>
      <c r="O117" s="180" t="n">
        <v>0.013157</v>
      </c>
      <c r="P117" s="197" t="n">
        <v>0.031449</v>
      </c>
      <c r="Q117" s="177" t="inlineStr">
        <is>
          <t>UP</t>
        </is>
      </c>
      <c r="R117" s="177" t="inlineStr">
        <is>
          <t>YES</t>
        </is>
      </c>
      <c r="S117" s="176" t="n">
        <v>1</v>
      </c>
      <c r="T117" s="197" t="n">
        <v>0.030449</v>
      </c>
      <c r="U117" s="185" t="inlineStr">
        <is>
          <t>w=[0.80,0.20,0,0] thr=(+0.20,-0.10), deployed default promoted 2026-08-18 (PSR=0.964, permutation p=0.0002 at N=233, restricted search - see blend.py)</t>
        </is>
      </c>
      <c r="V117" s="152" t="inlineStr">
        <is>
          <t>FROZEN</t>
        </is>
      </c>
      <c r="W117" s="152" t="inlineStr">
        <is>
          <t>price signal — both moved; this one dominates</t>
        </is>
      </c>
      <c r="X117" s="152" t="inlineStr">
        <is>
          <t>PFE</t>
        </is>
      </c>
      <c r="Y117" s="152" t="inlineStr">
        <is>
          <t>2025-08-04</t>
        </is>
      </c>
      <c r="Z117" s="152" t="n">
        <v>21.9879</v>
      </c>
      <c r="AA117" s="152" t="inlineStr">
        <is>
          <t>2025-08-05</t>
        </is>
      </c>
      <c r="AB117" s="152" t="n">
        <v>22.6794</v>
      </c>
      <c r="AC117" s="152" t="n">
        <v>0.03144916541941944</v>
      </c>
      <c r="AD117" s="152" t="inlineStr">
        <is>
          <t>UP</t>
        </is>
      </c>
      <c r="AE117" s="152" t="inlineStr">
        <is>
          <t>NO</t>
        </is>
      </c>
      <c r="AF117" s="152" t="n">
        <v>0</v>
      </c>
      <c r="AG117" s="152">
        <f>IF($A117="","",IFERROR(INDEX(Company_List!$G$3:$G$207,MATCH($A117,Company_List!$A$3:$A$207,0)),"unassigned"))</f>
        <v/>
      </c>
      <c r="AH117" s="152" t="inlineStr">
        <is>
          <t>Phase 2/Pfizer/PFE-USQ_Transcript_2025-08-05.pdf</t>
        </is>
      </c>
      <c r="AI117" s="152" t="n"/>
      <c r="AJ117" s="152" t="inlineStr">
        <is>
          <t>unique filename match</t>
        </is>
      </c>
      <c r="AK117" s="152">
        <f>IF($A117="","",IF(COUNTIFS(Human_Data_Entry!$A$3:$A$525,$A117)&gt;0,"YES","NO"))</f>
        <v/>
      </c>
      <c r="AL117" s="152">
        <f>IF($A117="","",IF(AND($C117&amp;"-"&amp;$D117&gt;=Settings!$B$19,$C117&amp;"-"&amp;$D117&lt;=Settings!$B$20),"IN","OUT"))</f>
        <v/>
      </c>
      <c r="AM117" s="152">
        <f>IF(AND(OR($H117="BUY",$H117="SELL"),ISNUMBER($T117)),$T117,"")</f>
        <v/>
      </c>
      <c r="AN117" s="152">
        <f>IF(AND(OR($H117="BUY",$H117="SELL"),ISNUMBER($AF117)),$AF117,"")</f>
        <v/>
      </c>
      <c r="AO117" s="152">
        <f>IF(ISNUMBER($AM117),ABS(IF(ISNUMBER($G117),$G117,0)-Settings!$B$25),"")</f>
        <v/>
      </c>
      <c r="AP117" s="152">
        <f>IF(ISNUMBER($AO117),$AO117*$AM117,"")</f>
        <v/>
      </c>
      <c r="AQ117" s="152">
        <f>IF(ISNUMBER($AN117),ABS(IF(ISNUMBER($G117),$G117,0)-Settings!$B$25),"")</f>
        <v/>
      </c>
      <c r="AR117" s="152">
        <f>IF(ISNUMBER($AQ117),$AQ117*$AN117,"")</f>
        <v/>
      </c>
      <c r="AS117" s="152">
        <f>IF($A117="","",IFERROR(INDEX(Company_List!$H$3:$H$207,MATCH($A117,Company_List!$A$3:$A$207,0)),"unassigned"))</f>
        <v/>
      </c>
      <c r="AT117" s="152" t="inlineStr">
        <is>
          <t>re-read since v1</t>
        </is>
      </c>
      <c r="AU117" s="152" t="inlineStr">
        <is>
          <t>Phase 2/Master_Data_v1.xlsx</t>
        </is>
      </c>
      <c r="AV117" s="152" t="n">
        <v>1</v>
      </c>
      <c r="AW117" s="152" t="inlineStr">
        <is>
          <t>Refinitiv / LSEG StreetEvents</t>
        </is>
      </c>
      <c r="AX117" s="152" t="inlineStr">
        <is>
          <t>licensed vendor</t>
        </is>
      </c>
      <c r="AY117" s="152" t="inlineStr">
        <is>
          <t>no</t>
        </is>
      </c>
      <c r="AZ117" s="152" t="inlineStr">
        <is>
          <t>no</t>
        </is>
      </c>
      <c r="BA117" s="152" t="inlineStr">
        <is>
          <t>YES</t>
        </is>
      </c>
      <c r="BB117" s="152" t="n"/>
    </row>
    <row r="118" ht="15" customHeight="1" s="241">
      <c r="A118" s="191" t="inlineStr">
        <is>
          <t>Pfizer</t>
        </is>
      </c>
      <c r="B118" s="188" t="inlineStr">
        <is>
          <t>PFE</t>
        </is>
      </c>
      <c r="C118" s="176" t="n">
        <v>2025</v>
      </c>
      <c r="D118" s="177" t="inlineStr">
        <is>
          <t>Q4</t>
        </is>
      </c>
      <c r="E118" s="178" t="inlineStr">
        <is>
          <t>Ben/DeepSeek</t>
        </is>
      </c>
      <c r="F118" s="177" t="inlineStr">
        <is>
          <t>LLM</t>
        </is>
      </c>
      <c r="G118" s="196" t="n">
        <v>0.05</v>
      </c>
      <c r="H118" s="177" t="inlineStr">
        <is>
          <t>HOLD</t>
        </is>
      </c>
      <c r="I118" s="196" t="n"/>
      <c r="J118" s="182" t="n">
        <v>46055</v>
      </c>
      <c r="K118" s="182" t="n">
        <v>46055</v>
      </c>
      <c r="L118" s="183" t="n">
        <v>26.66</v>
      </c>
      <c r="M118" s="182" t="n">
        <v>46056</v>
      </c>
      <c r="N118" s="183" t="n">
        <v>25.36</v>
      </c>
      <c r="O118" s="180" t="n">
        <v>0.013416</v>
      </c>
      <c r="P118" s="197" t="n">
        <v>-0.048762</v>
      </c>
      <c r="Q118" s="177" t="inlineStr">
        <is>
          <t>DOWN</t>
        </is>
      </c>
      <c r="R118" s="177" t="inlineStr">
        <is>
          <t>NO</t>
        </is>
      </c>
      <c r="S118" s="176" t="n">
        <v>0</v>
      </c>
      <c r="T118" s="197" t="n">
        <v>0</v>
      </c>
      <c r="U118" s="185" t="inlineStr">
        <is>
          <t>w=[0.80,0.20,0,0] thr=(+0.20,-0.10), deployed default promoted 2026-08-18 (PSR=0.964, permutation p=0.0002 at N=233, restricted search - see blend.py)</t>
        </is>
      </c>
      <c r="V118" s="152" t="inlineStr">
        <is>
          <t>FROZEN</t>
        </is>
      </c>
      <c r="W118" s="152" t="inlineStr">
        <is>
          <t>price signal — only this window shows an abnormal move</t>
        </is>
      </c>
      <c r="X118" s="152" t="inlineStr">
        <is>
          <t>PFE</t>
        </is>
      </c>
      <c r="Y118" s="152" t="inlineStr">
        <is>
          <t>2026-02-02</t>
        </is>
      </c>
      <c r="Z118" s="152" t="n">
        <v>25.7762</v>
      </c>
      <c r="AA118" s="152" t="inlineStr">
        <is>
          <t>2026-02-03</t>
        </is>
      </c>
      <c r="AB118" s="152" t="n">
        <v>24.5193</v>
      </c>
      <c r="AC118" s="152" t="n">
        <v>-0.04876210990506553</v>
      </c>
      <c r="AD118" s="152" t="inlineStr">
        <is>
          <t>DOWN</t>
        </is>
      </c>
      <c r="AE118" s="152" t="inlineStr">
        <is>
          <t>NO</t>
        </is>
      </c>
      <c r="AF118" s="152" t="n">
        <v>0</v>
      </c>
      <c r="AG118" s="152">
        <f>IF($A118="","",IFERROR(INDEX(Company_List!$G$3:$G$207,MATCH($A118,Company_List!$A$3:$A$207,0)),"unassigned"))</f>
        <v/>
      </c>
      <c r="AH118" s="152" t="inlineStr">
        <is>
          <t>Phase 2/Pfizer/PFE-USQ_Transcript_2026-02-03.pdf</t>
        </is>
      </c>
      <c r="AI118" s="152" t="n"/>
      <c r="AJ118" s="152" t="inlineStr">
        <is>
          <t>unique filename match</t>
        </is>
      </c>
      <c r="AK118" s="152">
        <f>IF($A118="","",IF(COUNTIFS(Human_Data_Entry!$A$3:$A$525,$A118)&gt;0,"YES","NO"))</f>
        <v/>
      </c>
      <c r="AL118" s="152">
        <f>IF($A118="","",IF(AND($C118&amp;"-"&amp;$D118&gt;=Settings!$B$19,$C118&amp;"-"&amp;$D118&lt;=Settings!$B$20),"IN","OUT"))</f>
        <v/>
      </c>
      <c r="AM118" s="152">
        <f>IF(AND(OR($H118="BUY",$H118="SELL"),ISNUMBER($T118)),$T118,"")</f>
        <v/>
      </c>
      <c r="AN118" s="152">
        <f>IF(AND(OR($H118="BUY",$H118="SELL"),ISNUMBER($AF118)),$AF118,"")</f>
        <v/>
      </c>
      <c r="AO118" s="152">
        <f>IF(ISNUMBER($AM118),ABS(IF(ISNUMBER($G118),$G118,0)-Settings!$B$25),"")</f>
        <v/>
      </c>
      <c r="AP118" s="152">
        <f>IF(ISNUMBER($AO118),$AO118*$AM118,"")</f>
        <v/>
      </c>
      <c r="AQ118" s="152">
        <f>IF(ISNUMBER($AN118),ABS(IF(ISNUMBER($G118),$G118,0)-Settings!$B$25),"")</f>
        <v/>
      </c>
      <c r="AR118" s="152">
        <f>IF(ISNUMBER($AQ118),$AQ118*$AN118,"")</f>
        <v/>
      </c>
      <c r="AS118" s="152">
        <f>IF($A118="","",IFERROR(INDEX(Company_List!$H$3:$H$207,MATCH($A118,Company_List!$A$3:$A$207,0)),"unassigned"))</f>
        <v/>
      </c>
      <c r="AT118" s="152" t="inlineStr">
        <is>
          <t>re-read since v1</t>
        </is>
      </c>
      <c r="AU118" s="152" t="inlineStr">
        <is>
          <t>Phase 2/Master_Data_v1.xlsx</t>
        </is>
      </c>
      <c r="AV118" s="152" t="n">
        <v>1</v>
      </c>
      <c r="AW118" s="152" t="inlineStr">
        <is>
          <t>Refinitiv / LSEG StreetEvents</t>
        </is>
      </c>
      <c r="AX118" s="152" t="inlineStr">
        <is>
          <t>licensed vendor</t>
        </is>
      </c>
      <c r="AY118" s="152" t="inlineStr">
        <is>
          <t>no</t>
        </is>
      </c>
      <c r="AZ118" s="152" t="inlineStr">
        <is>
          <t>no</t>
        </is>
      </c>
      <c r="BA118" s="152" t="inlineStr">
        <is>
          <t>YES</t>
        </is>
      </c>
      <c r="BB118" s="152" t="n"/>
    </row>
    <row r="119" ht="15" customHeight="1" s="241">
      <c r="A119" s="191" t="inlineStr">
        <is>
          <t>United Airlines</t>
        </is>
      </c>
      <c r="B119" s="188" t="inlineStr">
        <is>
          <t>UAL</t>
        </is>
      </c>
      <c r="C119" s="176" t="n">
        <v>2025</v>
      </c>
      <c r="D119" s="177" t="inlineStr">
        <is>
          <t>Q1</t>
        </is>
      </c>
      <c r="E119" s="178" t="inlineStr">
        <is>
          <t>Ben/DeepSeek</t>
        </is>
      </c>
      <c r="F119" s="177" t="inlineStr">
        <is>
          <t>LLM</t>
        </is>
      </c>
      <c r="G119" s="196" t="n">
        <v>-0.46</v>
      </c>
      <c r="H119" s="177" t="inlineStr">
        <is>
          <t>SELL</t>
        </is>
      </c>
      <c r="I119" s="196" t="n"/>
      <c r="J119" s="182" t="n">
        <v>45762</v>
      </c>
      <c r="K119" s="182" t="n">
        <v>45762</v>
      </c>
      <c r="L119" s="183" t="n">
        <v>67</v>
      </c>
      <c r="M119" s="182" t="n">
        <v>45763</v>
      </c>
      <c r="N119" s="183" t="n">
        <v>69.64</v>
      </c>
      <c r="O119" s="180" t="n">
        <v>0.01908</v>
      </c>
      <c r="P119" s="197" t="n">
        <v>0.039403</v>
      </c>
      <c r="Q119" s="177" t="inlineStr">
        <is>
          <t>UP</t>
        </is>
      </c>
      <c r="R119" s="177" t="inlineStr">
        <is>
          <t>NO</t>
        </is>
      </c>
      <c r="S119" s="176" t="n">
        <v>-1</v>
      </c>
      <c r="T119" s="197" t="n">
        <v>-0.040403</v>
      </c>
      <c r="U119" s="185" t="inlineStr">
        <is>
          <t>w=[0.80,0.20,0,0] thr=(+0.20,-0.10), deployed default promoted 2026-08-18 (PSR=0.964, permutation p=0.0002 at N=233, restricted search - see blend.py)</t>
        </is>
      </c>
      <c r="V119" s="152" t="inlineStr">
        <is>
          <t>FROZEN</t>
        </is>
      </c>
      <c r="W119" s="152" t="inlineStr">
        <is>
          <t>price signal — only this window shows an abnormal move</t>
        </is>
      </c>
      <c r="X119" s="152" t="inlineStr">
        <is>
          <t>UAL</t>
        </is>
      </c>
      <c r="Y119" s="152" t="inlineStr">
        <is>
          <t>2025-04-15</t>
        </is>
      </c>
      <c r="Z119" s="152" t="n">
        <v>67</v>
      </c>
      <c r="AA119" s="152" t="inlineStr">
        <is>
          <t>2025-04-16</t>
        </is>
      </c>
      <c r="AB119" s="152" t="n">
        <v>69.64</v>
      </c>
      <c r="AC119" s="152" t="n">
        <v>0.03940297014925378</v>
      </c>
      <c r="AD119" s="152" t="inlineStr">
        <is>
          <t>UP</t>
        </is>
      </c>
      <c r="AE119" s="152" t="inlineStr">
        <is>
          <t>NO</t>
        </is>
      </c>
      <c r="AF119" s="152" t="n">
        <v>-0.040403</v>
      </c>
      <c r="AG119" s="152">
        <f>IF($A119="","",IFERROR(INDEX(Company_List!$G$3:$G$207,MATCH($A119,Company_List!$A$3:$A$207,0)),"unassigned"))</f>
        <v/>
      </c>
      <c r="AH119" s="152" t="inlineStr">
        <is>
          <t>Phase 2/United Airlines/Q1/Q1 2025 United Airlines Holdings Inc Earnings Call Transcript.pdf; Phase 2/United Airlines/Q1/Q1 2025 Financial Results Final.pdf</t>
        </is>
      </c>
      <c r="AI119" s="152" t="n"/>
      <c r="AJ119" s="152" t="inlineStr">
        <is>
          <t>whole bundle (Document = All)</t>
        </is>
      </c>
      <c r="AK119" s="152">
        <f>IF($A119="","",IF(COUNTIFS(Human_Data_Entry!$A$3:$A$525,$A119)&gt;0,"YES","NO"))</f>
        <v/>
      </c>
      <c r="AL119" s="152">
        <f>IF($A119="","",IF(AND($C119&amp;"-"&amp;$D119&gt;=Settings!$B$19,$C119&amp;"-"&amp;$D119&lt;=Settings!$B$20),"IN","OUT"))</f>
        <v/>
      </c>
      <c r="AM119" s="152">
        <f>IF(AND(OR($H119="BUY",$H119="SELL"),ISNUMBER($T119)),$T119,"")</f>
        <v/>
      </c>
      <c r="AN119" s="152">
        <f>IF(AND(OR($H119="BUY",$H119="SELL"),ISNUMBER($AF119)),$AF119,"")</f>
        <v/>
      </c>
      <c r="AO119" s="152">
        <f>IF(ISNUMBER($AM119),ABS(IF(ISNUMBER($G119),$G119,0)-Settings!$B$25),"")</f>
        <v/>
      </c>
      <c r="AP119" s="152">
        <f>IF(ISNUMBER($AO119),$AO119*$AM119,"")</f>
        <v/>
      </c>
      <c r="AQ119" s="152">
        <f>IF(ISNUMBER($AN119),ABS(IF(ISNUMBER($G119),$G119,0)-Settings!$B$25),"")</f>
        <v/>
      </c>
      <c r="AR119" s="152">
        <f>IF(ISNUMBER($AQ119),$AQ119*$AN119,"")</f>
        <v/>
      </c>
      <c r="AS119" s="152">
        <f>IF($A119="","",IFERROR(INDEX(Company_List!$H$3:$H$207,MATCH($A119,Company_List!$A$3:$A$207,0)),"unassigned"))</f>
        <v/>
      </c>
      <c r="AT119" s="152" t="inlineStr">
        <is>
          <t>re-read since v1</t>
        </is>
      </c>
      <c r="AU119" s="152" t="inlineStr">
        <is>
          <t>Phase 2/Master_Data_v1.xlsx</t>
        </is>
      </c>
      <c r="AV119" s="152" t="n">
        <v>2</v>
      </c>
      <c r="AW119" s="152" t="inlineStr">
        <is>
          <t>not publisher-identified</t>
        </is>
      </c>
      <c r="AX119" s="152" t="inlineStr">
        <is>
          <t>not publisher-identified</t>
        </is>
      </c>
      <c r="AY119" s="152" t="inlineStr">
        <is>
          <t>no</t>
        </is>
      </c>
      <c r="AZ119" s="152" t="inlineStr">
        <is>
          <t>no</t>
        </is>
      </c>
      <c r="BA119" s="152" t="inlineStr">
        <is>
          <t>YES</t>
        </is>
      </c>
      <c r="BB119" s="152" t="n"/>
    </row>
    <row r="120" ht="15" customHeight="1" s="241">
      <c r="A120" s="191" t="inlineStr">
        <is>
          <t>United Airlines</t>
        </is>
      </c>
      <c r="B120" s="188" t="inlineStr">
        <is>
          <t>UAL</t>
        </is>
      </c>
      <c r="C120" s="176" t="n">
        <v>2025</v>
      </c>
      <c r="D120" s="177" t="inlineStr">
        <is>
          <t>Q2</t>
        </is>
      </c>
      <c r="E120" s="178" t="inlineStr">
        <is>
          <t>Ben/DeepSeek</t>
        </is>
      </c>
      <c r="F120" s="177" t="inlineStr">
        <is>
          <t>LLM</t>
        </is>
      </c>
      <c r="G120" s="196" t="n">
        <v>0.26</v>
      </c>
      <c r="H120" s="177" t="inlineStr">
        <is>
          <t>BUY</t>
        </is>
      </c>
      <c r="I120" s="196" t="n"/>
      <c r="J120" s="182" t="n">
        <v>45854</v>
      </c>
      <c r="K120" s="182" t="n">
        <v>45854</v>
      </c>
      <c r="L120" s="183" t="n">
        <v>88.47</v>
      </c>
      <c r="M120" s="182" t="n">
        <v>45855</v>
      </c>
      <c r="N120" s="183" t="n">
        <v>91.89</v>
      </c>
      <c r="O120" s="180" t="n">
        <v>0.019496</v>
      </c>
      <c r="P120" s="197" t="n">
        <v>0.038657</v>
      </c>
      <c r="Q120" s="177" t="inlineStr">
        <is>
          <t>UP</t>
        </is>
      </c>
      <c r="R120" s="177" t="inlineStr">
        <is>
          <t>YES</t>
        </is>
      </c>
      <c r="S120" s="176" t="n">
        <v>1</v>
      </c>
      <c r="T120" s="197" t="n">
        <v>0.037657</v>
      </c>
      <c r="U120" s="185" t="inlineStr">
        <is>
          <t>w=[0.80,0.20,0,0] thr=(+0.20,-0.10), deployed default promoted 2026-08-18 (PSR=0.964, permutation p=0.0002 at N=233, restricted search - see blend.py)</t>
        </is>
      </c>
      <c r="V120" s="152" t="inlineStr">
        <is>
          <t>FROZEN</t>
        </is>
      </c>
      <c r="W120" s="152" t="inlineStr">
        <is>
          <t>recorded price identified against every pulled series</t>
        </is>
      </c>
      <c r="X120" s="152" t="inlineStr">
        <is>
          <t>UAL</t>
        </is>
      </c>
      <c r="Y120" s="152" t="inlineStr">
        <is>
          <t>2025-07-16</t>
        </is>
      </c>
      <c r="Z120" s="152" t="n">
        <v>88.47</v>
      </c>
      <c r="AA120" s="152" t="inlineStr">
        <is>
          <t>2025-07-17</t>
        </is>
      </c>
      <c r="AB120" s="152" t="n">
        <v>91.89</v>
      </c>
      <c r="AC120" s="152" t="n">
        <v>0.03865714887920038</v>
      </c>
      <c r="AD120" s="152" t="inlineStr">
        <is>
          <t>UP</t>
        </is>
      </c>
      <c r="AE120" s="152" t="inlineStr">
        <is>
          <t>NO</t>
        </is>
      </c>
      <c r="AF120" s="152" t="n">
        <v>0</v>
      </c>
      <c r="AG120" s="152">
        <f>IF($A120="","",IFERROR(INDEX(Company_List!$G$3:$G$207,MATCH($A120,Company_List!$A$3:$A$207,0)),"unassigned"))</f>
        <v/>
      </c>
      <c r="AH120" s="152" t="inlineStr">
        <is>
          <t>Phase 2/United Airlines/Q2/Q2 2025 United Airlines Holdings Inc Earnings Call Transcript.pdf; Phase 2/United Airlines/Q2/Q2 2025 Investor Update Final.pdf; Phase 2/United Airlines/Q2/Q2 2025 Earnings Release Final.pdf</t>
        </is>
      </c>
      <c r="AI120" s="152" t="n"/>
      <c r="AJ120" s="152" t="inlineStr">
        <is>
          <t>whole bundle (Document = All)</t>
        </is>
      </c>
      <c r="AK120" s="152">
        <f>IF($A120="","",IF(COUNTIFS(Human_Data_Entry!$A$3:$A$525,$A120)&gt;0,"YES","NO"))</f>
        <v/>
      </c>
      <c r="AL120" s="152">
        <f>IF($A120="","",IF(AND($C120&amp;"-"&amp;$D120&gt;=Settings!$B$19,$C120&amp;"-"&amp;$D120&lt;=Settings!$B$20),"IN","OUT"))</f>
        <v/>
      </c>
      <c r="AM120" s="152">
        <f>IF(AND(OR($H120="BUY",$H120="SELL"),ISNUMBER($T120)),$T120,"")</f>
        <v/>
      </c>
      <c r="AN120" s="152">
        <f>IF(AND(OR($H120="BUY",$H120="SELL"),ISNUMBER($AF120)),$AF120,"")</f>
        <v/>
      </c>
      <c r="AO120" s="152">
        <f>IF(ISNUMBER($AM120),ABS(IF(ISNUMBER($G120),$G120,0)-Settings!$B$25),"")</f>
        <v/>
      </c>
      <c r="AP120" s="152">
        <f>IF(ISNUMBER($AO120),$AO120*$AM120,"")</f>
        <v/>
      </c>
      <c r="AQ120" s="152">
        <f>IF(ISNUMBER($AN120),ABS(IF(ISNUMBER($G120),$G120,0)-Settings!$B$25),"")</f>
        <v/>
      </c>
      <c r="AR120" s="152">
        <f>IF(ISNUMBER($AQ120),$AQ120*$AN120,"")</f>
        <v/>
      </c>
      <c r="AS120" s="152">
        <f>IF($A120="","",IFERROR(INDEX(Company_List!$H$3:$H$207,MATCH($A120,Company_List!$A$3:$A$207,0)),"unassigned"))</f>
        <v/>
      </c>
      <c r="AT120" s="152" t="inlineStr">
        <is>
          <t>re-read since v1</t>
        </is>
      </c>
      <c r="AU120" s="152" t="inlineStr">
        <is>
          <t>Phase 2/Master_Data_v1.xlsx</t>
        </is>
      </c>
      <c r="AV120" s="152" t="n">
        <v>3</v>
      </c>
      <c r="AW120" s="152" t="inlineStr">
        <is>
          <t>not publisher-identified</t>
        </is>
      </c>
      <c r="AX120" s="152" t="inlineStr">
        <is>
          <t>not publisher-identified</t>
        </is>
      </c>
      <c r="AY120" s="152" t="inlineStr">
        <is>
          <t>no</t>
        </is>
      </c>
      <c r="AZ120" s="152" t="inlineStr">
        <is>
          <t>no</t>
        </is>
      </c>
      <c r="BA120" s="152" t="inlineStr">
        <is>
          <t>YES</t>
        </is>
      </c>
      <c r="BB120" s="152" t="n"/>
    </row>
    <row r="121" ht="15" customHeight="1" s="241">
      <c r="A121" s="191" t="inlineStr">
        <is>
          <t>United Airlines</t>
        </is>
      </c>
      <c r="B121" s="188" t="inlineStr">
        <is>
          <t>UAL</t>
        </is>
      </c>
      <c r="C121" s="176" t="n">
        <v>2025</v>
      </c>
      <c r="D121" s="177" t="inlineStr">
        <is>
          <t>Q3</t>
        </is>
      </c>
      <c r="E121" s="178" t="inlineStr">
        <is>
          <t>Ben/DeepSeek</t>
        </is>
      </c>
      <c r="F121" s="177" t="inlineStr">
        <is>
          <t>LLM</t>
        </is>
      </c>
      <c r="G121" s="196" t="n">
        <v>0.3</v>
      </c>
      <c r="H121" s="177" t="inlineStr">
        <is>
          <t>BUY</t>
        </is>
      </c>
      <c r="I121" s="196" t="n"/>
      <c r="J121" s="182" t="n">
        <v>45945</v>
      </c>
      <c r="K121" s="182" t="n">
        <v>45945</v>
      </c>
      <c r="L121" s="183" t="n">
        <v>104.05</v>
      </c>
      <c r="M121" s="182" t="n">
        <v>45946</v>
      </c>
      <c r="N121" s="183" t="n">
        <v>102.94</v>
      </c>
      <c r="O121" s="180" t="n">
        <v>0.012194</v>
      </c>
      <c r="P121" s="197" t="n">
        <v>-0.010668</v>
      </c>
      <c r="Q121" s="177" t="inlineStr">
        <is>
          <t>FLAT</t>
        </is>
      </c>
      <c r="R121" s="177" t="inlineStr">
        <is>
          <t>NO</t>
        </is>
      </c>
      <c r="S121" s="176" t="n">
        <v>1</v>
      </c>
      <c r="T121" s="197" t="n">
        <v>-0.011668</v>
      </c>
      <c r="U121" s="185" t="inlineStr">
        <is>
          <t>w=[0.80,0.20,0,0] thr=(+0.20,-0.10), deployed default promoted 2026-08-18 (PSR=0.964, permutation p=0.0002 at N=233, restricted search - see blend.py)</t>
        </is>
      </c>
      <c r="V121" s="152" t="inlineStr">
        <is>
          <t>FROZEN</t>
        </is>
      </c>
      <c r="W121" s="152" t="inlineStr">
        <is>
          <t>recorded price identified against every pulled series</t>
        </is>
      </c>
      <c r="X121" s="152" t="inlineStr">
        <is>
          <t>UAL</t>
        </is>
      </c>
      <c r="Y121" s="152" t="inlineStr">
        <is>
          <t>2025-10-15</t>
        </is>
      </c>
      <c r="Z121" s="152" t="n">
        <v>104.05</v>
      </c>
      <c r="AA121" s="152" t="inlineStr">
        <is>
          <t>2025-10-16</t>
        </is>
      </c>
      <c r="AB121" s="152" t="n">
        <v>102.94</v>
      </c>
      <c r="AC121" s="152" t="n">
        <v>-0.01066795740505646</v>
      </c>
      <c r="AD121" s="152" t="inlineStr">
        <is>
          <t>FLAT</t>
        </is>
      </c>
      <c r="AE121" s="152" t="inlineStr">
        <is>
          <t>NO</t>
        </is>
      </c>
      <c r="AF121" s="152" t="n">
        <v>-0.011668</v>
      </c>
      <c r="AG121" s="152">
        <f>IF($A121="","",IFERROR(INDEX(Company_List!$G$3:$G$207,MATCH($A121,Company_List!$A$3:$A$207,0)),"unassigned"))</f>
        <v/>
      </c>
      <c r="AH121" s="152" t="inlineStr">
        <is>
          <t>Phase 2/United Airlines/Q3/Q3 2025 United Airlines Holdings Inc Earnings Call Transcript.pdf</t>
        </is>
      </c>
      <c r="AI121" s="152" t="n"/>
      <c r="AJ121" s="152" t="inlineStr">
        <is>
          <t>unique filename match</t>
        </is>
      </c>
      <c r="AK121" s="152">
        <f>IF($A121="","",IF(COUNTIFS(Human_Data_Entry!$A$3:$A$525,$A121)&gt;0,"YES","NO"))</f>
        <v/>
      </c>
      <c r="AL121" s="152">
        <f>IF($A121="","",IF(AND($C121&amp;"-"&amp;$D121&gt;=Settings!$B$19,$C121&amp;"-"&amp;$D121&lt;=Settings!$B$20),"IN","OUT"))</f>
        <v/>
      </c>
      <c r="AM121" s="152">
        <f>IF(AND(OR($H121="BUY",$H121="SELL"),ISNUMBER($T121)),$T121,"")</f>
        <v/>
      </c>
      <c r="AN121" s="152">
        <f>IF(AND(OR($H121="BUY",$H121="SELL"),ISNUMBER($AF121)),$AF121,"")</f>
        <v/>
      </c>
      <c r="AO121" s="152">
        <f>IF(ISNUMBER($AM121),ABS(IF(ISNUMBER($G121),$G121,0)-Settings!$B$25),"")</f>
        <v/>
      </c>
      <c r="AP121" s="152">
        <f>IF(ISNUMBER($AO121),$AO121*$AM121,"")</f>
        <v/>
      </c>
      <c r="AQ121" s="152">
        <f>IF(ISNUMBER($AN121),ABS(IF(ISNUMBER($G121),$G121,0)-Settings!$B$25),"")</f>
        <v/>
      </c>
      <c r="AR121" s="152">
        <f>IF(ISNUMBER($AQ121),$AQ121*$AN121,"")</f>
        <v/>
      </c>
      <c r="AS121" s="152">
        <f>IF($A121="","",IFERROR(INDEX(Company_List!$H$3:$H$207,MATCH($A121,Company_List!$A$3:$A$207,0)),"unassigned"))</f>
        <v/>
      </c>
      <c r="AT121" s="152" t="inlineStr">
        <is>
          <t>re-read since v1</t>
        </is>
      </c>
      <c r="AU121" s="152" t="inlineStr">
        <is>
          <t>Phase 2/Master_Data_v1.xlsx</t>
        </is>
      </c>
      <c r="AV121" s="152" t="n">
        <v>1</v>
      </c>
      <c r="AW121" s="152" t="inlineStr">
        <is>
          <t>not publisher-identified</t>
        </is>
      </c>
      <c r="AX121" s="152" t="inlineStr">
        <is>
          <t>not publisher-identified</t>
        </is>
      </c>
      <c r="AY121" s="152" t="inlineStr">
        <is>
          <t>no</t>
        </is>
      </c>
      <c r="AZ121" s="152" t="inlineStr">
        <is>
          <t>no</t>
        </is>
      </c>
      <c r="BA121" s="152" t="inlineStr">
        <is>
          <t>YES</t>
        </is>
      </c>
      <c r="BB121" s="152" t="n"/>
    </row>
    <row r="122" ht="15" customHeight="1" s="241">
      <c r="A122" s="191" t="inlineStr">
        <is>
          <t>United Airlines</t>
        </is>
      </c>
      <c r="B122" s="188" t="inlineStr">
        <is>
          <t>UAL</t>
        </is>
      </c>
      <c r="C122" s="176" t="n">
        <v>2025</v>
      </c>
      <c r="D122" s="177" t="inlineStr">
        <is>
          <t>Q4</t>
        </is>
      </c>
      <c r="E122" s="178" t="inlineStr">
        <is>
          <t>Ben/DeepSeek</t>
        </is>
      </c>
      <c r="F122" s="177" t="inlineStr">
        <is>
          <t>LLM</t>
        </is>
      </c>
      <c r="G122" s="196" t="n">
        <v>0.29</v>
      </c>
      <c r="H122" s="177" t="inlineStr">
        <is>
          <t>BUY</t>
        </is>
      </c>
      <c r="I122" s="196" t="n"/>
      <c r="J122" s="182" t="n">
        <v>46042</v>
      </c>
      <c r="K122" s="182" t="n">
        <v>46042</v>
      </c>
      <c r="L122" s="183" t="n">
        <v>108.57</v>
      </c>
      <c r="M122" s="182" t="n">
        <v>46043</v>
      </c>
      <c r="N122" s="183" t="n">
        <v>111.95</v>
      </c>
      <c r="O122" s="180" t="n">
        <v>0.045787</v>
      </c>
      <c r="P122" s="197" t="n">
        <v>0.031132</v>
      </c>
      <c r="Q122" s="177" t="inlineStr">
        <is>
          <t>UP</t>
        </is>
      </c>
      <c r="R122" s="177" t="inlineStr">
        <is>
          <t>YES</t>
        </is>
      </c>
      <c r="S122" s="176" t="n">
        <v>1</v>
      </c>
      <c r="T122" s="197" t="n">
        <v>0.030132</v>
      </c>
      <c r="U122" s="185" t="inlineStr">
        <is>
          <t>w=[0.80,0.20,0,0] thr=(+0.20,-0.10), deployed default promoted 2026-08-18 (PSR=0.964, permutation p=0.0002 at N=233, restricted search - see blend.py)</t>
        </is>
      </c>
      <c r="V122" s="152" t="inlineStr">
        <is>
          <t>FROZEN</t>
        </is>
      </c>
      <c r="W122" s="152" t="inlineStr">
        <is>
          <t>recorded price identified against every pulled series</t>
        </is>
      </c>
      <c r="X122" s="152" t="inlineStr">
        <is>
          <t>UAL</t>
        </is>
      </c>
      <c r="Y122" s="152" t="inlineStr">
        <is>
          <t>2026-01-20</t>
        </is>
      </c>
      <c r="Z122" s="152" t="n">
        <v>108.57</v>
      </c>
      <c r="AA122" s="152" t="inlineStr">
        <is>
          <t>2026-01-21</t>
        </is>
      </c>
      <c r="AB122" s="152" t="n">
        <v>111.95</v>
      </c>
      <c r="AC122" s="152" t="n">
        <v>0.03113196094685459</v>
      </c>
      <c r="AD122" s="152" t="inlineStr">
        <is>
          <t>UP</t>
        </is>
      </c>
      <c r="AE122" s="152" t="inlineStr">
        <is>
          <t>YES</t>
        </is>
      </c>
      <c r="AF122" s="152" t="n">
        <v>0.030132</v>
      </c>
      <c r="AG122" s="152">
        <f>IF($A122="","",IFERROR(INDEX(Company_List!$G$3:$G$207,MATCH($A122,Company_List!$A$3:$A$207,0)),"unassigned"))</f>
        <v/>
      </c>
      <c r="AH122" s="152" t="inlineStr">
        <is>
          <t>Phase 2/United Airlines/Q4/UAL 2025 10K.pdf; Phase 2/United Airlines/Q4/Q4 2025 United Airlines Holdings Inc Earnings Call Transcript.pdf; Phase 2/United Airlines/Q4/4Q_FY25 Earnings Release Final.pdf</t>
        </is>
      </c>
      <c r="AI122" s="152" t="n"/>
      <c r="AJ122" s="152" t="inlineStr">
        <is>
          <t>whole bundle (Document = All)</t>
        </is>
      </c>
      <c r="AK122" s="152">
        <f>IF($A122="","",IF(COUNTIFS(Human_Data_Entry!$A$3:$A$525,$A122)&gt;0,"YES","NO"))</f>
        <v/>
      </c>
      <c r="AL122" s="152">
        <f>IF($A122="","",IF(AND($C122&amp;"-"&amp;$D122&gt;=Settings!$B$19,$C122&amp;"-"&amp;$D122&lt;=Settings!$B$20),"IN","OUT"))</f>
        <v/>
      </c>
      <c r="AM122" s="152">
        <f>IF(AND(OR($H122="BUY",$H122="SELL"),ISNUMBER($T122)),$T122,"")</f>
        <v/>
      </c>
      <c r="AN122" s="152">
        <f>IF(AND(OR($H122="BUY",$H122="SELL"),ISNUMBER($AF122)),$AF122,"")</f>
        <v/>
      </c>
      <c r="AO122" s="152">
        <f>IF(ISNUMBER($AM122),ABS(IF(ISNUMBER($G122),$G122,0)-Settings!$B$25),"")</f>
        <v/>
      </c>
      <c r="AP122" s="152">
        <f>IF(ISNUMBER($AO122),$AO122*$AM122,"")</f>
        <v/>
      </c>
      <c r="AQ122" s="152">
        <f>IF(ISNUMBER($AN122),ABS(IF(ISNUMBER($G122),$G122,0)-Settings!$B$25),"")</f>
        <v/>
      </c>
      <c r="AR122" s="152">
        <f>IF(ISNUMBER($AQ122),$AQ122*$AN122,"")</f>
        <v/>
      </c>
      <c r="AS122" s="152">
        <f>IF($A122="","",IFERROR(INDEX(Company_List!$H$3:$H$207,MATCH($A122,Company_List!$A$3:$A$207,0)),"unassigned"))</f>
        <v/>
      </c>
      <c r="AT122" s="152" t="inlineStr">
        <is>
          <t>re-read since v1</t>
        </is>
      </c>
      <c r="AU122" s="152" t="inlineStr">
        <is>
          <t>Phase 2/Master_Data_v1.xlsx</t>
        </is>
      </c>
      <c r="AV122" s="152" t="n">
        <v>3</v>
      </c>
      <c r="AW122" s="152" t="inlineStr">
        <is>
          <t>not publisher-identified</t>
        </is>
      </c>
      <c r="AX122" s="152" t="inlineStr">
        <is>
          <t>not publisher-identified</t>
        </is>
      </c>
      <c r="AY122" s="152" t="inlineStr">
        <is>
          <t>one of several</t>
        </is>
      </c>
      <c r="AZ122" s="152" t="inlineStr">
        <is>
          <t>no</t>
        </is>
      </c>
      <c r="BA122" s="152" t="inlineStr">
        <is>
          <t>YES</t>
        </is>
      </c>
      <c r="BB122" s="152" t="n"/>
    </row>
    <row r="123" ht="15" customHeight="1" s="241">
      <c r="A123" s="191" t="inlineStr">
        <is>
          <t>PepsiCo</t>
        </is>
      </c>
      <c r="B123" s="188" t="inlineStr">
        <is>
          <t>PEP</t>
        </is>
      </c>
      <c r="C123" s="176" t="n">
        <v>2023</v>
      </c>
      <c r="D123" s="177" t="inlineStr">
        <is>
          <t>Q1</t>
        </is>
      </c>
      <c r="E123" s="178" t="inlineStr">
        <is>
          <t>Ben/DeepSeek</t>
        </is>
      </c>
      <c r="F123" s="177" t="inlineStr">
        <is>
          <t>LLM</t>
        </is>
      </c>
      <c r="G123" s="196" t="n">
        <v>0.5</v>
      </c>
      <c r="H123" s="177" t="inlineStr">
        <is>
          <t>BUY</t>
        </is>
      </c>
      <c r="I123" s="196" t="n"/>
      <c r="J123" s="182" t="n">
        <v>45041</v>
      </c>
      <c r="K123" s="182" t="n">
        <v>45040</v>
      </c>
      <c r="L123" s="183" t="n">
        <v>185.5</v>
      </c>
      <c r="M123" s="182" t="n">
        <v>45041</v>
      </c>
      <c r="N123" s="183" t="n">
        <v>186.56</v>
      </c>
      <c r="O123" s="180" t="n">
        <v>0.007327</v>
      </c>
      <c r="P123" s="197" t="n">
        <v>0.005714</v>
      </c>
      <c r="Q123" s="177" t="inlineStr">
        <is>
          <t>FLAT</t>
        </is>
      </c>
      <c r="R123" s="177" t="inlineStr">
        <is>
          <t>NO</t>
        </is>
      </c>
      <c r="S123" s="176" t="n">
        <v>1</v>
      </c>
      <c r="T123" s="197" t="n">
        <v>0.004714</v>
      </c>
      <c r="U123" s="185" t="inlineStr">
        <is>
          <t>w=[0.80,0.20,0,0] thr=(+0.20,-0.10), deployed default promoted 2026-08-18 (PSR=0.964, permutation p=0.0002 at N=233, restricted search - see blend.py)</t>
        </is>
      </c>
      <c r="V123" s="152" t="inlineStr">
        <is>
          <t>FROZEN</t>
        </is>
      </c>
      <c r="W123" s="152" t="inlineStr">
        <is>
          <t>release date + stated time</t>
        </is>
      </c>
      <c r="X123" s="152" t="inlineStr">
        <is>
          <t>PEP</t>
        </is>
      </c>
      <c r="Y123" s="152" t="inlineStr">
        <is>
          <t>2023-04-24</t>
        </is>
      </c>
      <c r="Z123" s="152" t="n">
        <v>165.906</v>
      </c>
      <c r="AA123" s="152" t="inlineStr">
        <is>
          <t>2023-04-25</t>
        </is>
      </c>
      <c r="AB123" s="152" t="n">
        <v>166.8541</v>
      </c>
      <c r="AC123" s="152" t="n">
        <v>0.005714316060247813</v>
      </c>
      <c r="AD123" s="152" t="inlineStr">
        <is>
          <t>FLAT</t>
        </is>
      </c>
      <c r="AE123" s="152" t="inlineStr">
        <is>
          <t>NO</t>
        </is>
      </c>
      <c r="AF123" s="152" t="n">
        <v>0.004714</v>
      </c>
      <c r="AG123" s="152">
        <f>IF($A123="","",IFERROR(INDEX(Company_List!$G$3:$G$207,MATCH($A123,Company_List!$A$3:$A$207,0)),"unassigned"))</f>
        <v/>
      </c>
      <c r="AH123" s="152" t="inlineStr">
        <is>
          <t>Phase 2/PepsiCo/Q1 2023/PEP-Q1-2023-press-release-SEC-EX99-1.htm; Phase 2/PepsiCo/Q1 2023/PEP-Q1-2023-earnings-call-transcript-InsiderMonkey.html</t>
        </is>
      </c>
      <c r="AI123" s="152" t="inlineStr">
        <is>
          <t>https://www.insidermonkey.com/blog/pepsico-inc-nasdaqpep-q1-2023-earnings-call-transcript-1143519/; https://www.sec.gov/Archives/edgar/data/77476/000007747623000025/q120238-kxexhibit991.htm</t>
        </is>
      </c>
      <c r="AJ123" s="152" t="inlineStr">
        <is>
          <t>manifest (whole bundle)</t>
        </is>
      </c>
      <c r="AK123" s="152">
        <f>IF($A123="","",IF(COUNTIFS(Human_Data_Entry!$A$3:$A$525,$A123)&gt;0,"YES","NO"))</f>
        <v/>
      </c>
      <c r="AL123" s="152">
        <f>IF($A123="","",IF(AND($C123&amp;"-"&amp;$D123&gt;=Settings!$B$19,$C123&amp;"-"&amp;$D123&lt;=Settings!$B$20),"IN","OUT"))</f>
        <v/>
      </c>
      <c r="AM123" s="152">
        <f>IF(AND(OR($H123="BUY",$H123="SELL"),ISNUMBER($T123)),$T123,"")</f>
        <v/>
      </c>
      <c r="AN123" s="152">
        <f>IF(AND(OR($H123="BUY",$H123="SELL"),ISNUMBER($AF123)),$AF123,"")</f>
        <v/>
      </c>
      <c r="AO123" s="152">
        <f>IF(ISNUMBER($AM123),ABS(IF(ISNUMBER($G123),$G123,0)-Settings!$B$25),"")</f>
        <v/>
      </c>
      <c r="AP123" s="152">
        <f>IF(ISNUMBER($AO123),$AO123*$AM123,"")</f>
        <v/>
      </c>
      <c r="AQ123" s="152">
        <f>IF(ISNUMBER($AN123),ABS(IF(ISNUMBER($G123),$G123,0)-Settings!$B$25),"")</f>
        <v/>
      </c>
      <c r="AR123" s="152">
        <f>IF(ISNUMBER($AQ123),$AQ123*$AN123,"")</f>
        <v/>
      </c>
      <c r="AS123" s="152">
        <f>IF($A123="","",IFERROR(INDEX(Company_List!$H$3:$H$207,MATCH($A123,Company_List!$A$3:$A$207,0)),"unassigned"))</f>
        <v/>
      </c>
      <c r="AT123" s="152" t="inlineStr">
        <is>
          <t>not in v1</t>
        </is>
      </c>
      <c r="AU123" s="152" t="inlineStr">
        <is>
          <t>no earlier record</t>
        </is>
      </c>
      <c r="AV123" s="152" t="n">
        <v>2</v>
      </c>
      <c r="AW123" s="152" t="inlineStr">
        <is>
          <t>Insider Monkey (Koala Guide LLC)</t>
        </is>
      </c>
      <c r="AX123" s="152" t="inlineStr">
        <is>
          <t>free to read, copyright asserted</t>
        </is>
      </c>
      <c r="AY123" s="152" t="inlineStr">
        <is>
          <t>no</t>
        </is>
      </c>
      <c r="AZ123" s="152" t="inlineStr">
        <is>
          <t>yes</t>
        </is>
      </c>
      <c r="BA123" s="152" t="inlineStr">
        <is>
          <t>YES</t>
        </is>
      </c>
      <c r="BB123" s="152" t="n"/>
    </row>
    <row r="124" ht="15" customHeight="1" s="241">
      <c r="A124" s="191" t="inlineStr">
        <is>
          <t>PepsiCo</t>
        </is>
      </c>
      <c r="B124" s="188" t="inlineStr">
        <is>
          <t>PEP</t>
        </is>
      </c>
      <c r="C124" s="176" t="n">
        <v>2024</v>
      </c>
      <c r="D124" s="177" t="inlineStr">
        <is>
          <t>Q1</t>
        </is>
      </c>
      <c r="E124" s="178" t="inlineStr">
        <is>
          <t>Ben/DeepSeek</t>
        </is>
      </c>
      <c r="F124" s="177" t="inlineStr">
        <is>
          <t>LLM</t>
        </is>
      </c>
      <c r="G124" s="196" t="n">
        <v>0</v>
      </c>
      <c r="H124" s="177" t="inlineStr">
        <is>
          <t>HOLD</t>
        </is>
      </c>
      <c r="I124" s="196" t="n"/>
      <c r="J124" s="182" t="n">
        <v>45405</v>
      </c>
      <c r="K124" s="182" t="n">
        <v>45404</v>
      </c>
      <c r="L124" s="183" t="n">
        <v>176.46</v>
      </c>
      <c r="M124" s="182" t="n">
        <v>45405</v>
      </c>
      <c r="N124" s="183" t="n">
        <v>174.7</v>
      </c>
      <c r="O124" s="180" t="n">
        <v>0.004936</v>
      </c>
      <c r="P124" s="197" t="n">
        <v>-0.009974</v>
      </c>
      <c r="Q124" s="177" t="inlineStr">
        <is>
          <t>FLAT</t>
        </is>
      </c>
      <c r="R124" s="177" t="inlineStr">
        <is>
          <t>YES</t>
        </is>
      </c>
      <c r="S124" s="176" t="n">
        <v>0</v>
      </c>
      <c r="T124" s="197" t="n">
        <v>0</v>
      </c>
      <c r="U124" s="185" t="inlineStr">
        <is>
          <t>w=[0.80,0.20,0,0] thr=(+0.20,-0.10), deployed default promoted 2026-08-18 (PSR=0.964, permutation p=0.0002 at N=233, restricted search - see blend.py)</t>
        </is>
      </c>
      <c r="V124" s="152" t="inlineStr">
        <is>
          <t>FROZEN</t>
        </is>
      </c>
      <c r="W124" s="152" t="inlineStr">
        <is>
          <t>release date + stated time</t>
        </is>
      </c>
      <c r="X124" s="152" t="inlineStr">
        <is>
          <t>PEP</t>
        </is>
      </c>
      <c r="Y124" s="152" t="inlineStr">
        <is>
          <t>2024-04-22</t>
        </is>
      </c>
      <c r="Z124" s="152" t="n">
        <v>162.4924</v>
      </c>
      <c r="AA124" s="152" t="inlineStr">
        <is>
          <t>2024-04-23</t>
        </is>
      </c>
      <c r="AB124" s="152" t="n">
        <v>160.8717</v>
      </c>
      <c r="AC124" s="152" t="n">
        <v>-0.009973822775059944</v>
      </c>
      <c r="AD124" s="152" t="inlineStr">
        <is>
          <t>FLAT</t>
        </is>
      </c>
      <c r="AE124" s="152" t="inlineStr">
        <is>
          <t>YES</t>
        </is>
      </c>
      <c r="AF124" s="152" t="n">
        <v>0</v>
      </c>
      <c r="AG124" s="152">
        <f>IF($A124="","",IFERROR(INDEX(Company_List!$G$3:$G$207,MATCH($A124,Company_List!$A$3:$A$207,0)),"unassigned"))</f>
        <v/>
      </c>
      <c r="AH124" s="152" t="inlineStr">
        <is>
          <t>Phase 2/PepsiCo/Q1 2024/PEP-Q1-2024-press-release-SEC-EX99-1.htm; Phase 2/PepsiCo/Q1 2024/PEP-Q1-2024-earnings-call-transcript-InsiderMonkey.html</t>
        </is>
      </c>
      <c r="AI124" s="152" t="inlineStr">
        <is>
          <t>https://www.insidermonkey.com/blog/pepsico-inc-nasdaqpep-q1-2024-earnings-call-transcript-1291655/; https://www.sec.gov/Archives/edgar/data/77476/000007747624000019/q120248-kxexhibit991.htm</t>
        </is>
      </c>
      <c r="AJ124" s="152" t="inlineStr">
        <is>
          <t>manifest (whole bundle)</t>
        </is>
      </c>
      <c r="AK124" s="152">
        <f>IF($A124="","",IF(COUNTIFS(Human_Data_Entry!$A$3:$A$525,$A124)&gt;0,"YES","NO"))</f>
        <v/>
      </c>
      <c r="AL124" s="152">
        <f>IF($A124="","",IF(AND($C124&amp;"-"&amp;$D124&gt;=Settings!$B$19,$C124&amp;"-"&amp;$D124&lt;=Settings!$B$20),"IN","OUT"))</f>
        <v/>
      </c>
      <c r="AM124" s="152">
        <f>IF(AND(OR($H124="BUY",$H124="SELL"),ISNUMBER($T124)),$T124,"")</f>
        <v/>
      </c>
      <c r="AN124" s="152">
        <f>IF(AND(OR($H124="BUY",$H124="SELL"),ISNUMBER($AF124)),$AF124,"")</f>
        <v/>
      </c>
      <c r="AO124" s="152">
        <f>IF(ISNUMBER($AM124),ABS(IF(ISNUMBER($G124),$G124,0)-Settings!$B$25),"")</f>
        <v/>
      </c>
      <c r="AP124" s="152">
        <f>IF(ISNUMBER($AO124),$AO124*$AM124,"")</f>
        <v/>
      </c>
      <c r="AQ124" s="152">
        <f>IF(ISNUMBER($AN124),ABS(IF(ISNUMBER($G124),$G124,0)-Settings!$B$25),"")</f>
        <v/>
      </c>
      <c r="AR124" s="152">
        <f>IF(ISNUMBER($AQ124),$AQ124*$AN124,"")</f>
        <v/>
      </c>
      <c r="AS124" s="152">
        <f>IF($A124="","",IFERROR(INDEX(Company_List!$H$3:$H$207,MATCH($A124,Company_List!$A$3:$A$207,0)),"unassigned"))</f>
        <v/>
      </c>
      <c r="AT124" s="152" t="inlineStr">
        <is>
          <t>not in v1</t>
        </is>
      </c>
      <c r="AU124" s="152" t="inlineStr">
        <is>
          <t>no earlier record</t>
        </is>
      </c>
      <c r="AV124" s="152" t="n">
        <v>2</v>
      </c>
      <c r="AW124" s="152" t="inlineStr">
        <is>
          <t>Insider Monkey (Koala Guide LLC)</t>
        </is>
      </c>
      <c r="AX124" s="152" t="inlineStr">
        <is>
          <t>free to read, copyright asserted</t>
        </is>
      </c>
      <c r="AY124" s="152" t="inlineStr">
        <is>
          <t>no</t>
        </is>
      </c>
      <c r="AZ124" s="152" t="inlineStr">
        <is>
          <t>yes</t>
        </is>
      </c>
      <c r="BA124" s="152" t="inlineStr">
        <is>
          <t>YES</t>
        </is>
      </c>
      <c r="BB124" s="152" t="n"/>
    </row>
    <row r="125" ht="15" customHeight="1" s="241">
      <c r="A125" s="191" t="inlineStr">
        <is>
          <t>PepsiCo</t>
        </is>
      </c>
      <c r="B125" s="188" t="inlineStr">
        <is>
          <t>PEP</t>
        </is>
      </c>
      <c r="C125" s="176" t="n">
        <v>2025</v>
      </c>
      <c r="D125" s="177" t="inlineStr">
        <is>
          <t>Q1</t>
        </is>
      </c>
      <c r="E125" s="178" t="inlineStr">
        <is>
          <t>Ben/DeepSeek</t>
        </is>
      </c>
      <c r="F125" s="177" t="inlineStr">
        <is>
          <t>LLM</t>
        </is>
      </c>
      <c r="G125" s="196" t="n">
        <v>-0.46</v>
      </c>
      <c r="H125" s="177" t="inlineStr">
        <is>
          <t>SELL</t>
        </is>
      </c>
      <c r="I125" s="196" t="n"/>
      <c r="J125" s="182" t="n">
        <v>45771</v>
      </c>
      <c r="K125" s="182" t="n">
        <v>45770</v>
      </c>
      <c r="L125" s="183" t="n">
        <v>142.26</v>
      </c>
      <c r="M125" s="182" t="n">
        <v>45771</v>
      </c>
      <c r="N125" s="183" t="n">
        <v>141.45</v>
      </c>
      <c r="O125" s="180" t="n">
        <v>0.00974</v>
      </c>
      <c r="P125" s="197" t="n">
        <v>-0.005694</v>
      </c>
      <c r="Q125" s="177" t="inlineStr">
        <is>
          <t>FLAT</t>
        </is>
      </c>
      <c r="R125" s="177" t="inlineStr">
        <is>
          <t>NO</t>
        </is>
      </c>
      <c r="S125" s="176" t="n">
        <v>-1</v>
      </c>
      <c r="T125" s="197" t="n">
        <v>0.004694</v>
      </c>
      <c r="U125" s="185" t="inlineStr">
        <is>
          <t>w=[0.80,0.20,0,0] thr=(+0.20,-0.10), deployed default promoted 2026-08-18 (PSR=0.964, permutation p=0.0002 at N=233, restricted search - see blend.py)</t>
        </is>
      </c>
      <c r="V125" s="152" t="inlineStr">
        <is>
          <t>FROZEN</t>
        </is>
      </c>
      <c r="W125" s="152" t="inlineStr">
        <is>
          <t>release date + stated time</t>
        </is>
      </c>
      <c r="X125" s="152" t="inlineStr">
        <is>
          <t>PEP</t>
        </is>
      </c>
      <c r="Y125" s="152" t="inlineStr">
        <is>
          <t>2025-04-23</t>
        </is>
      </c>
      <c r="Z125" s="152" t="n">
        <v>135.3569</v>
      </c>
      <c r="AA125" s="152" t="inlineStr">
        <is>
          <t>2025-04-24</t>
        </is>
      </c>
      <c r="AB125" s="152" t="n">
        <v>134.5862</v>
      </c>
      <c r="AC125" s="152" t="n">
        <v>-0.005693766472027005</v>
      </c>
      <c r="AD125" s="152" t="inlineStr">
        <is>
          <t>FLAT</t>
        </is>
      </c>
      <c r="AE125" s="152" t="inlineStr">
        <is>
          <t>NO</t>
        </is>
      </c>
      <c r="AF125" s="152" t="n">
        <v>0.004694</v>
      </c>
      <c r="AG125" s="152">
        <f>IF($A125="","",IFERROR(INDEX(Company_List!$G$3:$G$207,MATCH($A125,Company_List!$A$3:$A$207,0)),"unassigned"))</f>
        <v/>
      </c>
      <c r="AH125" s="152" t="inlineStr">
        <is>
          <t>Phase 2/PepsiCo/Q1 2025/PEP-Q1-2025-press-release-SEC-EX99-1.htm; Phase 2/PepsiCo/Q1 2025/PEP-Q1-2025-earnings-call-transcript-InsiderMonkey.html</t>
        </is>
      </c>
      <c r="AI125" s="152" t="inlineStr">
        <is>
          <t>https://www.insidermonkey.com/blog/pepsico-inc-nasdaqpep-q1-2025-earnings-call-transcript-1519470/; https://www.sec.gov/Archives/edgar/data/77476/000007747625000022/q120258-kxexhibit991.htm</t>
        </is>
      </c>
      <c r="AJ125" s="152" t="inlineStr">
        <is>
          <t>manifest (whole bundle)</t>
        </is>
      </c>
      <c r="AK125" s="152">
        <f>IF($A125="","",IF(COUNTIFS(Human_Data_Entry!$A$3:$A$525,$A125)&gt;0,"YES","NO"))</f>
        <v/>
      </c>
      <c r="AL125" s="152">
        <f>IF($A125="","",IF(AND($C125&amp;"-"&amp;$D125&gt;=Settings!$B$19,$C125&amp;"-"&amp;$D125&lt;=Settings!$B$20),"IN","OUT"))</f>
        <v/>
      </c>
      <c r="AM125" s="152">
        <f>IF(AND(OR($H125="BUY",$H125="SELL"),ISNUMBER($T125)),$T125,"")</f>
        <v/>
      </c>
      <c r="AN125" s="152">
        <f>IF(AND(OR($H125="BUY",$H125="SELL"),ISNUMBER($AF125)),$AF125,"")</f>
        <v/>
      </c>
      <c r="AO125" s="152">
        <f>IF(ISNUMBER($AM125),ABS(IF(ISNUMBER($G125),$G125,0)-Settings!$B$25),"")</f>
        <v/>
      </c>
      <c r="AP125" s="152">
        <f>IF(ISNUMBER($AO125),$AO125*$AM125,"")</f>
        <v/>
      </c>
      <c r="AQ125" s="152">
        <f>IF(ISNUMBER($AN125),ABS(IF(ISNUMBER($G125),$G125,0)-Settings!$B$25),"")</f>
        <v/>
      </c>
      <c r="AR125" s="152">
        <f>IF(ISNUMBER($AQ125),$AQ125*$AN125,"")</f>
        <v/>
      </c>
      <c r="AS125" s="152">
        <f>IF($A125="","",IFERROR(INDEX(Company_List!$H$3:$H$207,MATCH($A125,Company_List!$A$3:$A$207,0)),"unassigned"))</f>
        <v/>
      </c>
      <c r="AT125" s="152" t="inlineStr">
        <is>
          <t>not in v1</t>
        </is>
      </c>
      <c r="AU125" s="152" t="inlineStr">
        <is>
          <t>no earlier record</t>
        </is>
      </c>
      <c r="AV125" s="152" t="n">
        <v>2</v>
      </c>
      <c r="AW125" s="152" t="inlineStr">
        <is>
          <t>Insider Monkey (Koala Guide LLC)</t>
        </is>
      </c>
      <c r="AX125" s="152" t="inlineStr">
        <is>
          <t>free to read, copyright asserted</t>
        </is>
      </c>
      <c r="AY125" s="152" t="inlineStr">
        <is>
          <t>no</t>
        </is>
      </c>
      <c r="AZ125" s="152" t="inlineStr">
        <is>
          <t>yes</t>
        </is>
      </c>
      <c r="BA125" s="152" t="inlineStr">
        <is>
          <t>YES</t>
        </is>
      </c>
      <c r="BB125" s="152" t="n"/>
    </row>
    <row r="126" ht="15" customHeight="1" s="241">
      <c r="A126" s="191" t="inlineStr">
        <is>
          <t>PepsiCo</t>
        </is>
      </c>
      <c r="B126" s="188" t="inlineStr">
        <is>
          <t>PEP</t>
        </is>
      </c>
      <c r="C126" s="176" t="n">
        <v>2026</v>
      </c>
      <c r="D126" s="177" t="inlineStr">
        <is>
          <t>Q1</t>
        </is>
      </c>
      <c r="E126" s="178" t="inlineStr">
        <is>
          <t>Ben/DeepSeek</t>
        </is>
      </c>
      <c r="F126" s="177" t="inlineStr">
        <is>
          <t>LLM</t>
        </is>
      </c>
      <c r="G126" s="196" t="n">
        <v>0.06</v>
      </c>
      <c r="H126" s="177" t="inlineStr">
        <is>
          <t>HOLD</t>
        </is>
      </c>
      <c r="I126" s="196" t="n"/>
      <c r="J126" s="182" t="n">
        <v>46128</v>
      </c>
      <c r="K126" s="182" t="n">
        <v>46127</v>
      </c>
      <c r="L126" s="183" t="n">
        <v>154.85</v>
      </c>
      <c r="M126" s="182" t="n">
        <v>46128</v>
      </c>
      <c r="N126" s="183" t="n">
        <v>155.54</v>
      </c>
      <c r="O126" s="180" t="n">
        <v>0.007748</v>
      </c>
      <c r="P126" s="197" t="n">
        <v>0.004456</v>
      </c>
      <c r="Q126" s="177" t="inlineStr">
        <is>
          <t>FLAT</t>
        </is>
      </c>
      <c r="R126" s="177" t="inlineStr">
        <is>
          <t>YES</t>
        </is>
      </c>
      <c r="S126" s="176" t="n">
        <v>0</v>
      </c>
      <c r="T126" s="197" t="n">
        <v>0</v>
      </c>
      <c r="U126" s="185" t="inlineStr">
        <is>
          <t>w=[0.80,0.20,0,0] thr=(+0.20,-0.10), deployed default promoted 2026-08-18 (PSR=0.964, permutation p=0.0002 at N=233, restricted search - see blend.py)</t>
        </is>
      </c>
      <c r="V126" s="152" t="inlineStr">
        <is>
          <t>FROZEN</t>
        </is>
      </c>
      <c r="W126" s="152" t="inlineStr">
        <is>
          <t>release date + stated time</t>
        </is>
      </c>
      <c r="X126" s="152" t="inlineStr">
        <is>
          <t>PEP</t>
        </is>
      </c>
      <c r="Y126" s="152" t="inlineStr">
        <is>
          <t>2026-04-15</t>
        </is>
      </c>
      <c r="Z126" s="152" t="n">
        <v>153.2378</v>
      </c>
      <c r="AA126" s="152" t="inlineStr">
        <is>
          <t>2026-04-16</t>
        </is>
      </c>
      <c r="AB126" s="152" t="n">
        <v>153.9206</v>
      </c>
      <c r="AC126" s="152" t="n">
        <v>0.004455800895342488</v>
      </c>
      <c r="AD126" s="152" t="inlineStr">
        <is>
          <t>FLAT</t>
        </is>
      </c>
      <c r="AE126" s="152" t="inlineStr">
        <is>
          <t>NO</t>
        </is>
      </c>
      <c r="AF126" s="152" t="n">
        <v>-0.005456</v>
      </c>
      <c r="AG126" s="152">
        <f>IF($A126="","",IFERROR(INDEX(Company_List!$G$3:$G$207,MATCH($A126,Company_List!$A$3:$A$207,0)),"unassigned"))</f>
        <v/>
      </c>
      <c r="AH126" s="152" t="inlineStr">
        <is>
          <t>Phase 2/PepsiCo/Q1 2026/PEP-Q1-2026-press-release-SEC-EX99-1.htm; Phase 2/PepsiCo/Q1 2026/PEP-Q1-2026-earnings-call-transcript-MotleyFool.html</t>
        </is>
      </c>
      <c r="AI126" s="152" t="inlineStr">
        <is>
          <t>https://www.fool.com/earnings/call-transcripts/2026/04/16/pepsico-pep-q1-2026-earnings-call-transcript/; https://www.sec.gov/Archives/edgar/data/77476/000007747626000019/q120268-kxexhibit991.htm</t>
        </is>
      </c>
      <c r="AJ126" s="152" t="inlineStr">
        <is>
          <t>manifest (whole bundle)</t>
        </is>
      </c>
      <c r="AK126" s="152">
        <f>IF($A126="","",IF(COUNTIFS(Human_Data_Entry!$A$3:$A$525,$A126)&gt;0,"YES","NO"))</f>
        <v/>
      </c>
      <c r="AL126" s="152">
        <f>IF($A126="","",IF(AND($C126&amp;"-"&amp;$D126&gt;=Settings!$B$19,$C126&amp;"-"&amp;$D126&lt;=Settings!$B$20),"IN","OUT"))</f>
        <v/>
      </c>
      <c r="AM126" s="152">
        <f>IF(AND(OR($H126="BUY",$H126="SELL"),ISNUMBER($T126)),$T126,"")</f>
        <v/>
      </c>
      <c r="AN126" s="152">
        <f>IF(AND(OR($H126="BUY",$H126="SELL"),ISNUMBER($AF126)),$AF126,"")</f>
        <v/>
      </c>
      <c r="AO126" s="152">
        <f>IF(ISNUMBER($AM126),ABS(IF(ISNUMBER($G126),$G126,0)-Settings!$B$25),"")</f>
        <v/>
      </c>
      <c r="AP126" s="152">
        <f>IF(ISNUMBER($AO126),$AO126*$AM126,"")</f>
        <v/>
      </c>
      <c r="AQ126" s="152">
        <f>IF(ISNUMBER($AN126),ABS(IF(ISNUMBER($G126),$G126,0)-Settings!$B$25),"")</f>
        <v/>
      </c>
      <c r="AR126" s="152">
        <f>IF(ISNUMBER($AQ126),$AQ126*$AN126,"")</f>
        <v/>
      </c>
      <c r="AS126" s="152">
        <f>IF($A126="","",IFERROR(INDEX(Company_List!$H$3:$H$207,MATCH($A126,Company_List!$A$3:$A$207,0)),"unassigned"))</f>
        <v/>
      </c>
      <c r="AT126" s="152" t="inlineStr">
        <is>
          <t>not in v1</t>
        </is>
      </c>
      <c r="AU126" s="152" t="inlineStr">
        <is>
          <t>no earlier record</t>
        </is>
      </c>
      <c r="AV126" s="152" t="n">
        <v>2</v>
      </c>
      <c r="AW126" s="152" t="inlineStr">
        <is>
          <t>The Motley Fool</t>
        </is>
      </c>
      <c r="AX126" s="152" t="inlineStr">
        <is>
          <t>free to read, copyright asserted</t>
        </is>
      </c>
      <c r="AY126" s="152" t="inlineStr">
        <is>
          <t>no</t>
        </is>
      </c>
      <c r="AZ126" s="152" t="inlineStr">
        <is>
          <t>yes</t>
        </is>
      </c>
      <c r="BA126" s="152" t="inlineStr">
        <is>
          <t>YES</t>
        </is>
      </c>
      <c r="BB126" s="152" t="n"/>
    </row>
    <row r="127" ht="15" customHeight="1" s="241">
      <c r="A127" s="191" t="inlineStr">
        <is>
          <t>PepsiCo</t>
        </is>
      </c>
      <c r="B127" s="188" t="inlineStr">
        <is>
          <t>PEP</t>
        </is>
      </c>
      <c r="C127" s="176" t="n">
        <v>2023</v>
      </c>
      <c r="D127" s="177" t="inlineStr">
        <is>
          <t>Q2</t>
        </is>
      </c>
      <c r="E127" s="178" t="inlineStr">
        <is>
          <t>Ben/DeepSeek</t>
        </is>
      </c>
      <c r="F127" s="177" t="inlineStr">
        <is>
          <t>LLM</t>
        </is>
      </c>
      <c r="G127" s="196" t="n">
        <v>0.5</v>
      </c>
      <c r="H127" s="177" t="inlineStr">
        <is>
          <t>BUY</t>
        </is>
      </c>
      <c r="I127" s="196" t="n"/>
      <c r="J127" s="182" t="n">
        <v>45120</v>
      </c>
      <c r="K127" s="182" t="n">
        <v>45119</v>
      </c>
      <c r="L127" s="183" t="n">
        <v>183.17</v>
      </c>
      <c r="M127" s="182" t="n">
        <v>45120</v>
      </c>
      <c r="N127" s="183" t="n">
        <v>185.8</v>
      </c>
      <c r="O127" s="180" t="n">
        <v>0.008501</v>
      </c>
      <c r="P127" s="197" t="n">
        <v>0.014358</v>
      </c>
      <c r="Q127" s="177" t="inlineStr">
        <is>
          <t>FLAT</t>
        </is>
      </c>
      <c r="R127" s="177" t="inlineStr">
        <is>
          <t>NO</t>
        </is>
      </c>
      <c r="S127" s="176" t="n">
        <v>1</v>
      </c>
      <c r="T127" s="197" t="n">
        <v>0.013358</v>
      </c>
      <c r="U127" s="185" t="inlineStr">
        <is>
          <t>w=[0.80,0.20,0,0] thr=(+0.20,-0.10), deployed default promoted 2026-08-18 (PSR=0.964, permutation p=0.0002 at N=233, restricted search - see blend.py)</t>
        </is>
      </c>
      <c r="V127" s="152" t="inlineStr">
        <is>
          <t>FROZEN</t>
        </is>
      </c>
      <c r="W127" s="152" t="inlineStr">
        <is>
          <t>release date + stated time</t>
        </is>
      </c>
      <c r="X127" s="152" t="inlineStr">
        <is>
          <t>PEP</t>
        </is>
      </c>
      <c r="Y127" s="152" t="inlineStr">
        <is>
          <t>2023-07-12</t>
        </is>
      </c>
      <c r="Z127" s="152" t="n">
        <v>164.9666</v>
      </c>
      <c r="AA127" s="152" t="inlineStr">
        <is>
          <t>2023-07-13</t>
        </is>
      </c>
      <c r="AB127" s="152" t="n">
        <v>167.3352</v>
      </c>
      <c r="AC127" s="152" t="n">
        <v>0.01435832284973708</v>
      </c>
      <c r="AD127" s="152" t="inlineStr">
        <is>
          <t>FLAT</t>
        </is>
      </c>
      <c r="AE127" s="152" t="inlineStr">
        <is>
          <t>NO</t>
        </is>
      </c>
      <c r="AF127" s="152" t="n">
        <v>0.013358</v>
      </c>
      <c r="AG127" s="152">
        <f>IF($A127="","",IFERROR(INDEX(Company_List!$G$3:$G$207,MATCH($A127,Company_List!$A$3:$A$207,0)),"unassigned"))</f>
        <v/>
      </c>
      <c r="AH127" s="152" t="inlineStr">
        <is>
          <t>Phase 2/PepsiCo/Q2 2023/PEP-Q2-2023-press-release-SEC-EX99-1.htm; Phase 2/PepsiCo/Q2 2023/PEP-Q2-2023-earnings-call-transcript-InsiderMonkey.html</t>
        </is>
      </c>
      <c r="AI127" s="152" t="inlineStr">
        <is>
          <t>https://www.insidermonkey.com/blog/pepsico-inc-nasdaqpep-q2-2023-earnings-call-transcript-1168148/; https://www.sec.gov/Archives/edgar/data/77476/000007747623000048/q220238-kxexhibit991.htm</t>
        </is>
      </c>
      <c r="AJ127" s="152" t="inlineStr">
        <is>
          <t>manifest (whole bundle)</t>
        </is>
      </c>
      <c r="AK127" s="152">
        <f>IF($A127="","",IF(COUNTIFS(Human_Data_Entry!$A$3:$A$525,$A127)&gt;0,"YES","NO"))</f>
        <v/>
      </c>
      <c r="AL127" s="152">
        <f>IF($A127="","",IF(AND($C127&amp;"-"&amp;$D127&gt;=Settings!$B$19,$C127&amp;"-"&amp;$D127&lt;=Settings!$B$20),"IN","OUT"))</f>
        <v/>
      </c>
      <c r="AM127" s="152">
        <f>IF(AND(OR($H127="BUY",$H127="SELL"),ISNUMBER($T127)),$T127,"")</f>
        <v/>
      </c>
      <c r="AN127" s="152">
        <f>IF(AND(OR($H127="BUY",$H127="SELL"),ISNUMBER($AF127)),$AF127,"")</f>
        <v/>
      </c>
      <c r="AO127" s="152">
        <f>IF(ISNUMBER($AM127),ABS(IF(ISNUMBER($G127),$G127,0)-Settings!$B$25),"")</f>
        <v/>
      </c>
      <c r="AP127" s="152">
        <f>IF(ISNUMBER($AO127),$AO127*$AM127,"")</f>
        <v/>
      </c>
      <c r="AQ127" s="152">
        <f>IF(ISNUMBER($AN127),ABS(IF(ISNUMBER($G127),$G127,0)-Settings!$B$25),"")</f>
        <v/>
      </c>
      <c r="AR127" s="152">
        <f>IF(ISNUMBER($AQ127),$AQ127*$AN127,"")</f>
        <v/>
      </c>
      <c r="AS127" s="152">
        <f>IF($A127="","",IFERROR(INDEX(Company_List!$H$3:$H$207,MATCH($A127,Company_List!$A$3:$A$207,0)),"unassigned"))</f>
        <v/>
      </c>
      <c r="AT127" s="152" t="inlineStr">
        <is>
          <t>not in v1</t>
        </is>
      </c>
      <c r="AU127" s="152" t="inlineStr">
        <is>
          <t>no earlier record</t>
        </is>
      </c>
      <c r="AV127" s="152" t="n">
        <v>2</v>
      </c>
      <c r="AW127" s="152" t="inlineStr">
        <is>
          <t>Insider Monkey (Koala Guide LLC)</t>
        </is>
      </c>
      <c r="AX127" s="152" t="inlineStr">
        <is>
          <t>free to read, copyright asserted</t>
        </is>
      </c>
      <c r="AY127" s="152" t="inlineStr">
        <is>
          <t>no</t>
        </is>
      </c>
      <c r="AZ127" s="152" t="inlineStr">
        <is>
          <t>yes</t>
        </is>
      </c>
      <c r="BA127" s="152" t="inlineStr">
        <is>
          <t>YES</t>
        </is>
      </c>
      <c r="BB127" s="152" t="n"/>
    </row>
    <row r="128" ht="15" customHeight="1" s="241">
      <c r="A128" s="191" t="inlineStr">
        <is>
          <t>PepsiCo</t>
        </is>
      </c>
      <c r="B128" s="188" t="inlineStr">
        <is>
          <t>PEP</t>
        </is>
      </c>
      <c r="C128" s="176" t="n">
        <v>2024</v>
      </c>
      <c r="D128" s="177" t="inlineStr">
        <is>
          <t>Q2</t>
        </is>
      </c>
      <c r="E128" s="178" t="inlineStr">
        <is>
          <t>Ben/DeepSeek</t>
        </is>
      </c>
      <c r="F128" s="177" t="inlineStr">
        <is>
          <t>LLM</t>
        </is>
      </c>
      <c r="G128" s="196" t="n">
        <v>-0.5</v>
      </c>
      <c r="H128" s="177" t="inlineStr">
        <is>
          <t>SELL</t>
        </is>
      </c>
      <c r="I128" s="196" t="n"/>
      <c r="J128" s="182" t="n">
        <v>45484</v>
      </c>
      <c r="K128" s="182" t="n">
        <v>45483</v>
      </c>
      <c r="L128" s="183" t="n">
        <v>163.59</v>
      </c>
      <c r="M128" s="182" t="n">
        <v>45484</v>
      </c>
      <c r="N128" s="183" t="n">
        <v>159.1</v>
      </c>
      <c r="O128" s="180" t="n">
        <v>0.008234999999999999</v>
      </c>
      <c r="P128" s="197" t="n">
        <v>-0.027447</v>
      </c>
      <c r="Q128" s="177" t="inlineStr">
        <is>
          <t>DOWN</t>
        </is>
      </c>
      <c r="R128" s="177" t="inlineStr">
        <is>
          <t>YES</t>
        </is>
      </c>
      <c r="S128" s="176" t="n">
        <v>-1</v>
      </c>
      <c r="T128" s="197" t="n">
        <v>0.026447</v>
      </c>
      <c r="U128" s="185" t="inlineStr">
        <is>
          <t>w=[0.80,0.20,0,0] thr=(+0.20,-0.10), deployed default promoted 2026-08-18 (PSR=0.964, permutation p=0.0002 at N=233, restricted search - see blend.py)</t>
        </is>
      </c>
      <c r="V128" s="152" t="inlineStr">
        <is>
          <t>FROZEN</t>
        </is>
      </c>
      <c r="W128" s="152" t="inlineStr">
        <is>
          <t>release date + stated time</t>
        </is>
      </c>
      <c r="X128" s="152" t="inlineStr">
        <is>
          <t>PEP</t>
        </is>
      </c>
      <c r="Y128" s="152" t="inlineStr">
        <is>
          <t>2024-07-10</t>
        </is>
      </c>
      <c r="Z128" s="152" t="n">
        <v>151.8289</v>
      </c>
      <c r="AA128" s="152" t="inlineStr">
        <is>
          <t>2024-07-11</t>
        </is>
      </c>
      <c r="AB128" s="152" t="n">
        <v>147.6617</v>
      </c>
      <c r="AC128" s="152" t="n">
        <v>-0.02744678580892352</v>
      </c>
      <c r="AD128" s="152" t="inlineStr">
        <is>
          <t>DOWN</t>
        </is>
      </c>
      <c r="AE128" s="152" t="inlineStr">
        <is>
          <t>YES</t>
        </is>
      </c>
      <c r="AF128" s="152" t="n">
        <v>0.026447</v>
      </c>
      <c r="AG128" s="152">
        <f>IF($A128="","",IFERROR(INDEX(Company_List!$G$3:$G$207,MATCH($A128,Company_List!$A$3:$A$207,0)),"unassigned"))</f>
        <v/>
      </c>
      <c r="AH128" s="152" t="inlineStr">
        <is>
          <t>Phase 2/PepsiCo/Q2 2024/PEP-Q2-2024-press-release-SEC-EX99-1.htm; Phase 2/PepsiCo/Q2 2024/PEP-Q2-2024-earnings-call-transcript-InsiderMonkey.html</t>
        </is>
      </c>
      <c r="AI128" s="152" t="inlineStr">
        <is>
          <t>https://www.insidermonkey.com/blog/pepsico-inc-nasdaqpep-q2-2024-earnings-call-transcript-1322618/; https://www.sec.gov/Archives/edgar/data/77476/000007747624000043/q220248-kxexhibit991.htm</t>
        </is>
      </c>
      <c r="AJ128" s="152" t="inlineStr">
        <is>
          <t>manifest (whole bundle)</t>
        </is>
      </c>
      <c r="AK128" s="152">
        <f>IF($A128="","",IF(COUNTIFS(Human_Data_Entry!$A$3:$A$525,$A128)&gt;0,"YES","NO"))</f>
        <v/>
      </c>
      <c r="AL128" s="152">
        <f>IF($A128="","",IF(AND($C128&amp;"-"&amp;$D128&gt;=Settings!$B$19,$C128&amp;"-"&amp;$D128&lt;=Settings!$B$20),"IN","OUT"))</f>
        <v/>
      </c>
      <c r="AM128" s="152">
        <f>IF(AND(OR($H128="BUY",$H128="SELL"),ISNUMBER($T128)),$T128,"")</f>
        <v/>
      </c>
      <c r="AN128" s="152">
        <f>IF(AND(OR($H128="BUY",$H128="SELL"),ISNUMBER($AF128)),$AF128,"")</f>
        <v/>
      </c>
      <c r="AO128" s="152">
        <f>IF(ISNUMBER($AM128),ABS(IF(ISNUMBER($G128),$G128,0)-Settings!$B$25),"")</f>
        <v/>
      </c>
      <c r="AP128" s="152">
        <f>IF(ISNUMBER($AO128),$AO128*$AM128,"")</f>
        <v/>
      </c>
      <c r="AQ128" s="152">
        <f>IF(ISNUMBER($AN128),ABS(IF(ISNUMBER($G128),$G128,0)-Settings!$B$25),"")</f>
        <v/>
      </c>
      <c r="AR128" s="152">
        <f>IF(ISNUMBER($AQ128),$AQ128*$AN128,"")</f>
        <v/>
      </c>
      <c r="AS128" s="152">
        <f>IF($A128="","",IFERROR(INDEX(Company_List!$H$3:$H$207,MATCH($A128,Company_List!$A$3:$A$207,0)),"unassigned"))</f>
        <v/>
      </c>
      <c r="AT128" s="152" t="inlineStr">
        <is>
          <t>not in v1</t>
        </is>
      </c>
      <c r="AU128" s="152" t="inlineStr">
        <is>
          <t>no earlier record</t>
        </is>
      </c>
      <c r="AV128" s="152" t="n">
        <v>2</v>
      </c>
      <c r="AW128" s="152" t="inlineStr">
        <is>
          <t>Insider Monkey (Koala Guide LLC)</t>
        </is>
      </c>
      <c r="AX128" s="152" t="inlineStr">
        <is>
          <t>free to read, copyright asserted</t>
        </is>
      </c>
      <c r="AY128" s="152" t="inlineStr">
        <is>
          <t>no</t>
        </is>
      </c>
      <c r="AZ128" s="152" t="inlineStr">
        <is>
          <t>yes</t>
        </is>
      </c>
      <c r="BA128" s="152" t="inlineStr">
        <is>
          <t>YES</t>
        </is>
      </c>
      <c r="BB128" s="152" t="n"/>
    </row>
    <row r="129" ht="15" customHeight="1" s="241">
      <c r="A129" s="191" t="inlineStr">
        <is>
          <t>PepsiCo</t>
        </is>
      </c>
      <c r="B129" s="188" t="inlineStr">
        <is>
          <t>PEP</t>
        </is>
      </c>
      <c r="C129" s="176" t="n">
        <v>2025</v>
      </c>
      <c r="D129" s="177" t="inlineStr">
        <is>
          <t>Q2</t>
        </is>
      </c>
      <c r="E129" s="178" t="inlineStr">
        <is>
          <t>Ben/DeepSeek</t>
        </is>
      </c>
      <c r="F129" s="177" t="inlineStr">
        <is>
          <t>LLM</t>
        </is>
      </c>
      <c r="G129" s="196" t="n">
        <v>0.18</v>
      </c>
      <c r="H129" s="177" t="inlineStr">
        <is>
          <t>HOLD</t>
        </is>
      </c>
      <c r="I129" s="196" t="n"/>
      <c r="J129" s="182" t="n">
        <v>45855</v>
      </c>
      <c r="K129" s="182" t="n">
        <v>45854</v>
      </c>
      <c r="L129" s="183" t="n">
        <v>135.35</v>
      </c>
      <c r="M129" s="182" t="n">
        <v>45855</v>
      </c>
      <c r="N129" s="183" t="n">
        <v>141.7</v>
      </c>
      <c r="O129" s="180" t="n">
        <v>0.009568999999999999</v>
      </c>
      <c r="P129" s="197" t="n">
        <v>0.046915</v>
      </c>
      <c r="Q129" s="177" t="inlineStr">
        <is>
          <t>UP</t>
        </is>
      </c>
      <c r="R129" s="177" t="inlineStr">
        <is>
          <t>NO</t>
        </is>
      </c>
      <c r="S129" s="176" t="n">
        <v>0</v>
      </c>
      <c r="T129" s="197" t="n">
        <v>0</v>
      </c>
      <c r="U129" s="185" t="inlineStr">
        <is>
          <t>w=[0.80,0.20,0,0] thr=(+0.20,-0.10), deployed default promoted 2026-08-18 (PSR=0.964, permutation p=0.0002 at N=233, restricted search - see blend.py)</t>
        </is>
      </c>
      <c r="V129" s="152" t="inlineStr">
        <is>
          <t>FROZEN</t>
        </is>
      </c>
      <c r="W129" s="152" t="inlineStr">
        <is>
          <t>release date + stated time</t>
        </is>
      </c>
      <c r="X129" s="152" t="inlineStr">
        <is>
          <t>PEP</t>
        </is>
      </c>
      <c r="Y129" s="152" t="inlineStr">
        <is>
          <t>2025-07-16</t>
        </is>
      </c>
      <c r="Z129" s="152" t="n">
        <v>130.1953</v>
      </c>
      <c r="AA129" s="152" t="inlineStr">
        <is>
          <t>2025-07-17</t>
        </is>
      </c>
      <c r="AB129" s="152" t="n">
        <v>136.3034</v>
      </c>
      <c r="AC129" s="152" t="n">
        <v>0.04691531177604139</v>
      </c>
      <c r="AD129" s="152" t="inlineStr">
        <is>
          <t>UP</t>
        </is>
      </c>
      <c r="AE129" s="152" t="inlineStr">
        <is>
          <t>NO</t>
        </is>
      </c>
      <c r="AF129" s="152" t="n">
        <v>0</v>
      </c>
      <c r="AG129" s="152">
        <f>IF($A129="","",IFERROR(INDEX(Company_List!$G$3:$G$207,MATCH($A129,Company_List!$A$3:$A$207,0)),"unassigned"))</f>
        <v/>
      </c>
      <c r="AH129" s="152" t="inlineStr">
        <is>
          <t>Phase 2/PepsiCo/Q2 2025/PEP-Q2-2025-press-release-SEC-EX99-1.htm; Phase 2/PepsiCo/Q2 2025/PEP-Q2-2025-earnings-call-transcript-InsiderMonkey.html</t>
        </is>
      </c>
      <c r="AI129" s="152" t="inlineStr">
        <is>
          <t>https://www.insidermonkey.com/blog/pepsico-inc-nasdaqpep-q2-2025-earnings-call-transcript-1571054/; https://www.sec.gov/Archives/edgar/data/77476/000007747625000046/q220258-kxexhibit991.htm</t>
        </is>
      </c>
      <c r="AJ129" s="152" t="inlineStr">
        <is>
          <t>manifest (whole bundle)</t>
        </is>
      </c>
      <c r="AK129" s="152">
        <f>IF($A129="","",IF(COUNTIFS(Human_Data_Entry!$A$3:$A$525,$A129)&gt;0,"YES","NO"))</f>
        <v/>
      </c>
      <c r="AL129" s="152">
        <f>IF($A129="","",IF(AND($C129&amp;"-"&amp;$D129&gt;=Settings!$B$19,$C129&amp;"-"&amp;$D129&lt;=Settings!$B$20),"IN","OUT"))</f>
        <v/>
      </c>
      <c r="AM129" s="152">
        <f>IF(AND(OR($H129="BUY",$H129="SELL"),ISNUMBER($T129)),$T129,"")</f>
        <v/>
      </c>
      <c r="AN129" s="152">
        <f>IF(AND(OR($H129="BUY",$H129="SELL"),ISNUMBER($AF129)),$AF129,"")</f>
        <v/>
      </c>
      <c r="AO129" s="152">
        <f>IF(ISNUMBER($AM129),ABS(IF(ISNUMBER($G129),$G129,0)-Settings!$B$25),"")</f>
        <v/>
      </c>
      <c r="AP129" s="152">
        <f>IF(ISNUMBER($AO129),$AO129*$AM129,"")</f>
        <v/>
      </c>
      <c r="AQ129" s="152">
        <f>IF(ISNUMBER($AN129),ABS(IF(ISNUMBER($G129),$G129,0)-Settings!$B$25),"")</f>
        <v/>
      </c>
      <c r="AR129" s="152">
        <f>IF(ISNUMBER($AQ129),$AQ129*$AN129,"")</f>
        <v/>
      </c>
      <c r="AS129" s="152">
        <f>IF($A129="","",IFERROR(INDEX(Company_List!$H$3:$H$207,MATCH($A129,Company_List!$A$3:$A$207,0)),"unassigned"))</f>
        <v/>
      </c>
      <c r="AT129" s="152" t="inlineStr">
        <is>
          <t>not in v1</t>
        </is>
      </c>
      <c r="AU129" s="152" t="inlineStr">
        <is>
          <t>no earlier record</t>
        </is>
      </c>
      <c r="AV129" s="152" t="n">
        <v>2</v>
      </c>
      <c r="AW129" s="152" t="inlineStr">
        <is>
          <t>Insider Monkey (Koala Guide LLC)</t>
        </is>
      </c>
      <c r="AX129" s="152" t="inlineStr">
        <is>
          <t>free to read, copyright asserted</t>
        </is>
      </c>
      <c r="AY129" s="152" t="inlineStr">
        <is>
          <t>no</t>
        </is>
      </c>
      <c r="AZ129" s="152" t="inlineStr">
        <is>
          <t>yes</t>
        </is>
      </c>
      <c r="BA129" s="152" t="inlineStr">
        <is>
          <t>YES</t>
        </is>
      </c>
      <c r="BB129" s="152" t="n"/>
    </row>
    <row r="130" ht="15" customHeight="1" s="241">
      <c r="A130" s="191" t="inlineStr">
        <is>
          <t>PepsiCo</t>
        </is>
      </c>
      <c r="B130" s="188" t="inlineStr">
        <is>
          <t>PEP</t>
        </is>
      </c>
      <c r="C130" s="176" t="n">
        <v>2026</v>
      </c>
      <c r="D130" s="177" t="inlineStr">
        <is>
          <t>Q2</t>
        </is>
      </c>
      <c r="E130" s="178" t="inlineStr">
        <is>
          <t>Ben/DeepSeek</t>
        </is>
      </c>
      <c r="F130" s="177" t="inlineStr">
        <is>
          <t>LLM</t>
        </is>
      </c>
      <c r="G130" s="196" t="n">
        <v>-0.18</v>
      </c>
      <c r="H130" s="177" t="inlineStr">
        <is>
          <t>SELL</t>
        </is>
      </c>
      <c r="I130" s="196" t="n"/>
      <c r="J130" s="182" t="n">
        <v>46212</v>
      </c>
      <c r="K130" s="182" t="n">
        <v>46211</v>
      </c>
      <c r="L130" s="183" t="n">
        <v>142.51</v>
      </c>
      <c r="M130" s="182" t="n">
        <v>46212</v>
      </c>
      <c r="N130" s="183" t="n">
        <v>137.09</v>
      </c>
      <c r="O130" s="180" t="n">
        <v>0.009419</v>
      </c>
      <c r="P130" s="197" t="n">
        <v>-0.038032</v>
      </c>
      <c r="Q130" s="177" t="inlineStr">
        <is>
          <t>DOWN</t>
        </is>
      </c>
      <c r="R130" s="177" t="inlineStr">
        <is>
          <t>YES</t>
        </is>
      </c>
      <c r="S130" s="176" t="n">
        <v>-1</v>
      </c>
      <c r="T130" s="197" t="n">
        <v>0.037032</v>
      </c>
      <c r="U130" s="185" t="inlineStr">
        <is>
          <t>w=[0.80,0.20,0,0] thr=(+0.20,-0.10), deployed default promoted 2026-08-18 (PSR=0.964, permutation p=0.0002 at N=233, restricted search - see blend.py)</t>
        </is>
      </c>
      <c r="V130" s="152" t="inlineStr">
        <is>
          <t>FROZEN</t>
        </is>
      </c>
      <c r="W130" s="152" t="inlineStr">
        <is>
          <t>release date + stated time</t>
        </is>
      </c>
      <c r="X130" s="152" t="inlineStr">
        <is>
          <t>PEP</t>
        </is>
      </c>
      <c r="Y130" s="152" t="inlineStr">
        <is>
          <t>2026-07-08</t>
        </is>
      </c>
      <c r="Z130" s="152" t="n">
        <v>142.51</v>
      </c>
      <c r="AA130" s="152" t="inlineStr">
        <is>
          <t>2026-07-09</t>
        </is>
      </c>
      <c r="AB130" s="152" t="n">
        <v>137.09</v>
      </c>
      <c r="AC130" s="152" t="n">
        <v>-0.03803241309495513</v>
      </c>
      <c r="AD130" s="152" t="inlineStr">
        <is>
          <t>DOWN</t>
        </is>
      </c>
      <c r="AE130" s="152" t="inlineStr">
        <is>
          <t>YES</t>
        </is>
      </c>
      <c r="AF130" s="152" t="n">
        <v>0.037032</v>
      </c>
      <c r="AG130" s="152">
        <f>IF($A130="","",IFERROR(INDEX(Company_List!$G$3:$G$207,MATCH($A130,Company_List!$A$3:$A$207,0)),"unassigned"))</f>
        <v/>
      </c>
      <c r="AH130" s="152" t="inlineStr">
        <is>
          <t>Phase 2/PepsiCo/Q2 2026/PEP-Q2-2026-press-release-SEC-EX99-1.htm; Phase 2/PepsiCo/Q2 2026/PEP-Q2-2026-earnings-call-transcript-AlphaStreet.html</t>
        </is>
      </c>
      <c r="AI130" s="152" t="inlineStr">
        <is>
          <t>https://news.alphastreet.com/pepsico-inc-pep-q2-2026-earnings-call-transcript/; https://www.sec.gov/Archives/edgar/data/77476/000007747626000037/q220268-kxexhibit991.htm</t>
        </is>
      </c>
      <c r="AJ130" s="152" t="inlineStr">
        <is>
          <t>manifest (whole bundle)</t>
        </is>
      </c>
      <c r="AK130" s="152">
        <f>IF($A130="","",IF(COUNTIFS(Human_Data_Entry!$A$3:$A$525,$A130)&gt;0,"YES","NO"))</f>
        <v/>
      </c>
      <c r="AL130" s="152">
        <f>IF($A130="","",IF(AND($C130&amp;"-"&amp;$D130&gt;=Settings!$B$19,$C130&amp;"-"&amp;$D130&lt;=Settings!$B$20),"IN","OUT"))</f>
        <v/>
      </c>
      <c r="AM130" s="152">
        <f>IF(AND(OR($H130="BUY",$H130="SELL"),ISNUMBER($T130)),$T130,"")</f>
        <v/>
      </c>
      <c r="AN130" s="152">
        <f>IF(AND(OR($H130="BUY",$H130="SELL"),ISNUMBER($AF130)),$AF130,"")</f>
        <v/>
      </c>
      <c r="AO130" s="152">
        <f>IF(ISNUMBER($AM130),ABS(IF(ISNUMBER($G130),$G130,0)-Settings!$B$25),"")</f>
        <v/>
      </c>
      <c r="AP130" s="152">
        <f>IF(ISNUMBER($AO130),$AO130*$AM130,"")</f>
        <v/>
      </c>
      <c r="AQ130" s="152">
        <f>IF(ISNUMBER($AN130),ABS(IF(ISNUMBER($G130),$G130,0)-Settings!$B$25),"")</f>
        <v/>
      </c>
      <c r="AR130" s="152">
        <f>IF(ISNUMBER($AQ130),$AQ130*$AN130,"")</f>
        <v/>
      </c>
      <c r="AS130" s="152">
        <f>IF($A130="","",IFERROR(INDEX(Company_List!$H$3:$H$207,MATCH($A130,Company_List!$A$3:$A$207,0)),"unassigned"))</f>
        <v/>
      </c>
      <c r="AT130" s="152" t="inlineStr">
        <is>
          <t>not in v1</t>
        </is>
      </c>
      <c r="AU130" s="152" t="inlineStr">
        <is>
          <t>no earlier record</t>
        </is>
      </c>
      <c r="AV130" s="152" t="n">
        <v>2</v>
      </c>
      <c r="AW130" s="152" t="inlineStr">
        <is>
          <t>not publisher-identified</t>
        </is>
      </c>
      <c r="AX130" s="152" t="inlineStr">
        <is>
          <t>not publisher-identified</t>
        </is>
      </c>
      <c r="AY130" s="152" t="inlineStr">
        <is>
          <t>no</t>
        </is>
      </c>
      <c r="AZ130" s="152" t="inlineStr">
        <is>
          <t>yes</t>
        </is>
      </c>
      <c r="BA130" s="152" t="inlineStr">
        <is>
          <t>YES</t>
        </is>
      </c>
      <c r="BB130" s="152" t="n"/>
    </row>
    <row r="131" ht="15" customHeight="1" s="241">
      <c r="A131" s="191" t="inlineStr">
        <is>
          <t>PepsiCo</t>
        </is>
      </c>
      <c r="B131" s="188" t="inlineStr">
        <is>
          <t>PEP</t>
        </is>
      </c>
      <c r="C131" s="176" t="n">
        <v>2023</v>
      </c>
      <c r="D131" s="177" t="inlineStr">
        <is>
          <t>Q3</t>
        </is>
      </c>
      <c r="E131" s="178" t="inlineStr">
        <is>
          <t>Ben/DeepSeek</t>
        </is>
      </c>
      <c r="F131" s="177" t="inlineStr">
        <is>
          <t>LLM</t>
        </is>
      </c>
      <c r="G131" s="196" t="n">
        <v>0.5</v>
      </c>
      <c r="H131" s="177" t="inlineStr">
        <is>
          <t>BUY</t>
        </is>
      </c>
      <c r="I131" s="196" t="n"/>
      <c r="J131" s="182" t="n">
        <v>45209</v>
      </c>
      <c r="K131" s="182" t="n">
        <v>45208</v>
      </c>
      <c r="L131" s="183" t="n">
        <v>161.36</v>
      </c>
      <c r="M131" s="182" t="n">
        <v>45209</v>
      </c>
      <c r="N131" s="183" t="n">
        <v>164.25</v>
      </c>
      <c r="O131" s="180" t="n">
        <v>0.008288999999999999</v>
      </c>
      <c r="P131" s="197" t="n">
        <v>0.01791</v>
      </c>
      <c r="Q131" s="177" t="inlineStr">
        <is>
          <t>FLAT</t>
        </is>
      </c>
      <c r="R131" s="177" t="inlineStr">
        <is>
          <t>NO</t>
        </is>
      </c>
      <c r="S131" s="176" t="n">
        <v>1</v>
      </c>
      <c r="T131" s="197" t="n">
        <v>0.01691</v>
      </c>
      <c r="U131" s="185" t="inlineStr">
        <is>
          <t>w=[0.80,0.20,0,0] thr=(+0.20,-0.10), deployed default promoted 2026-08-18 (PSR=0.964, permutation p=0.0002 at N=233, restricted search - see blend.py)</t>
        </is>
      </c>
      <c r="V131" s="152" t="inlineStr">
        <is>
          <t>FROZEN</t>
        </is>
      </c>
      <c r="W131" s="152" t="inlineStr">
        <is>
          <t>release date + stated time</t>
        </is>
      </c>
      <c r="X131" s="152" t="inlineStr">
        <is>
          <t>PEP</t>
        </is>
      </c>
      <c r="Y131" s="152" t="inlineStr">
        <is>
          <t>2023-10-09</t>
        </is>
      </c>
      <c r="Z131" s="152" t="n">
        <v>146.3464</v>
      </c>
      <c r="AA131" s="152" t="inlineStr">
        <is>
          <t>2023-10-10</t>
        </is>
      </c>
      <c r="AB131" s="152" t="n">
        <v>148.9675</v>
      </c>
      <c r="AC131" s="152" t="n">
        <v>0.01790995695524838</v>
      </c>
      <c r="AD131" s="152" t="inlineStr">
        <is>
          <t>FLAT</t>
        </is>
      </c>
      <c r="AE131" s="152" t="inlineStr">
        <is>
          <t>NO</t>
        </is>
      </c>
      <c r="AF131" s="152" t="n">
        <v>0.01691</v>
      </c>
      <c r="AG131" s="152">
        <f>IF($A131="","",IFERROR(INDEX(Company_List!$G$3:$G$207,MATCH($A131,Company_List!$A$3:$A$207,0)),"unassigned"))</f>
        <v/>
      </c>
      <c r="AH131" s="152" t="inlineStr">
        <is>
          <t>Phase 2/PepsiCo/Q3 2023/PEP-Q3-2023-press-release-SEC-EX99-1.htm; Phase 2/PepsiCo/Q3 2023/PEP-Q3-2023-earnings-call-transcript-InsiderMonkey.html</t>
        </is>
      </c>
      <c r="AI131" s="152" t="inlineStr">
        <is>
          <t>https://www.insidermonkey.com/blog/pepsico-inc-nasdaqpep-q3-2023-earnings-call-transcript-1203808/; https://www.sec.gov/Archives/edgar/data/77476/000007747623000060/q320238-kxexhibit991.htm</t>
        </is>
      </c>
      <c r="AJ131" s="152" t="inlineStr">
        <is>
          <t>manifest (whole bundle)</t>
        </is>
      </c>
      <c r="AK131" s="152">
        <f>IF($A131="","",IF(COUNTIFS(Human_Data_Entry!$A$3:$A$525,$A131)&gt;0,"YES","NO"))</f>
        <v/>
      </c>
      <c r="AL131" s="152">
        <f>IF($A131="","",IF(AND($C131&amp;"-"&amp;$D131&gt;=Settings!$B$19,$C131&amp;"-"&amp;$D131&lt;=Settings!$B$20),"IN","OUT"))</f>
        <v/>
      </c>
      <c r="AM131" s="152">
        <f>IF(AND(OR($H131="BUY",$H131="SELL"),ISNUMBER($T131)),$T131,"")</f>
        <v/>
      </c>
      <c r="AN131" s="152">
        <f>IF(AND(OR($H131="BUY",$H131="SELL"),ISNUMBER($AF131)),$AF131,"")</f>
        <v/>
      </c>
      <c r="AO131" s="152">
        <f>IF(ISNUMBER($AM131),ABS(IF(ISNUMBER($G131),$G131,0)-Settings!$B$25),"")</f>
        <v/>
      </c>
      <c r="AP131" s="152">
        <f>IF(ISNUMBER($AO131),$AO131*$AM131,"")</f>
        <v/>
      </c>
      <c r="AQ131" s="152">
        <f>IF(ISNUMBER($AN131),ABS(IF(ISNUMBER($G131),$G131,0)-Settings!$B$25),"")</f>
        <v/>
      </c>
      <c r="AR131" s="152">
        <f>IF(ISNUMBER($AQ131),$AQ131*$AN131,"")</f>
        <v/>
      </c>
      <c r="AS131" s="152">
        <f>IF($A131="","",IFERROR(INDEX(Company_List!$H$3:$H$207,MATCH($A131,Company_List!$A$3:$A$207,0)),"unassigned"))</f>
        <v/>
      </c>
      <c r="AT131" s="152" t="inlineStr">
        <is>
          <t>not in v1</t>
        </is>
      </c>
      <c r="AU131" s="152" t="inlineStr">
        <is>
          <t>no earlier record</t>
        </is>
      </c>
      <c r="AV131" s="152" t="n">
        <v>2</v>
      </c>
      <c r="AW131" s="152" t="inlineStr">
        <is>
          <t>Insider Monkey (Koala Guide LLC)</t>
        </is>
      </c>
      <c r="AX131" s="152" t="inlineStr">
        <is>
          <t>free to read, copyright asserted</t>
        </is>
      </c>
      <c r="AY131" s="152" t="inlineStr">
        <is>
          <t>no</t>
        </is>
      </c>
      <c r="AZ131" s="152" t="inlineStr">
        <is>
          <t>yes</t>
        </is>
      </c>
      <c r="BA131" s="152" t="inlineStr">
        <is>
          <t>YES</t>
        </is>
      </c>
      <c r="BB131" s="152" t="n"/>
    </row>
    <row r="132" ht="15" customHeight="1" s="241">
      <c r="A132" s="191" t="inlineStr">
        <is>
          <t>PepsiCo</t>
        </is>
      </c>
      <c r="B132" s="188" t="inlineStr">
        <is>
          <t>PEP</t>
        </is>
      </c>
      <c r="C132" s="176" t="n">
        <v>2024</v>
      </c>
      <c r="D132" s="177" t="inlineStr">
        <is>
          <t>Q3</t>
        </is>
      </c>
      <c r="E132" s="178" t="inlineStr">
        <is>
          <t>Ben/DeepSeek</t>
        </is>
      </c>
      <c r="F132" s="177" t="inlineStr">
        <is>
          <t>LLM</t>
        </is>
      </c>
      <c r="G132" s="196" t="n">
        <v>-0.5</v>
      </c>
      <c r="H132" s="177" t="inlineStr">
        <is>
          <t>SELL</t>
        </is>
      </c>
      <c r="I132" s="196" t="n"/>
      <c r="J132" s="182" t="n">
        <v>45573</v>
      </c>
      <c r="K132" s="182" t="n">
        <v>45572</v>
      </c>
      <c r="L132" s="183" t="n">
        <v>167.21</v>
      </c>
      <c r="M132" s="182" t="n">
        <v>45573</v>
      </c>
      <c r="N132" s="183" t="n">
        <v>167.72</v>
      </c>
      <c r="O132" s="180" t="n">
        <v>0.007718</v>
      </c>
      <c r="P132" s="197" t="n">
        <v>0.00305</v>
      </c>
      <c r="Q132" s="177" t="inlineStr">
        <is>
          <t>FLAT</t>
        </is>
      </c>
      <c r="R132" s="177" t="inlineStr">
        <is>
          <t>NO</t>
        </is>
      </c>
      <c r="S132" s="176" t="n">
        <v>-1</v>
      </c>
      <c r="T132" s="197" t="n">
        <v>-0.00405</v>
      </c>
      <c r="U132" s="185" t="inlineStr">
        <is>
          <t>w=[0.80,0.20,0,0] thr=(+0.20,-0.10), deployed default promoted 2026-08-18 (PSR=0.964, permutation p=0.0002 at N=233, restricted search - see blend.py)</t>
        </is>
      </c>
      <c r="V132" s="152" t="inlineStr">
        <is>
          <t>FROZEN</t>
        </is>
      </c>
      <c r="W132" s="152" t="inlineStr">
        <is>
          <t>release date + stated time</t>
        </is>
      </c>
      <c r="X132" s="152" t="inlineStr">
        <is>
          <t>PEP</t>
        </is>
      </c>
      <c r="Y132" s="152" t="inlineStr">
        <is>
          <t>2024-10-07</t>
        </is>
      </c>
      <c r="Z132" s="152" t="n">
        <v>156.3704</v>
      </c>
      <c r="AA132" s="152" t="inlineStr">
        <is>
          <t>2024-10-08</t>
        </is>
      </c>
      <c r="AB132" s="152" t="n">
        <v>156.8473</v>
      </c>
      <c r="AC132" s="152" t="n">
        <v>0.0030499750038358</v>
      </c>
      <c r="AD132" s="152" t="inlineStr">
        <is>
          <t>FLAT</t>
        </is>
      </c>
      <c r="AE132" s="152" t="inlineStr">
        <is>
          <t>NO</t>
        </is>
      </c>
      <c r="AF132" s="152" t="n">
        <v>-0.00405</v>
      </c>
      <c r="AG132" s="152">
        <f>IF($A132="","",IFERROR(INDEX(Company_List!$G$3:$G$207,MATCH($A132,Company_List!$A$3:$A$207,0)),"unassigned"))</f>
        <v/>
      </c>
      <c r="AH132" s="152" t="inlineStr">
        <is>
          <t>Phase 2/PepsiCo/Q3 2024/PEP-Q3-2024-press-release-SEC-EX99-1.htm; Phase 2/PepsiCo/Q3 2024/PEP-Q3-2024-earnings-call-transcript-InsiderMonkey.html</t>
        </is>
      </c>
      <c r="AI132" s="152" t="inlineStr">
        <is>
          <t>https://www.insidermonkey.com/blog/pepsico-inc-nasdaqpep-q3-2024-earnings-call-transcript-1369843/; https://www.sec.gov/Archives/edgar/data/77476/000007747624000054/q320248-kxexhibit991.htm</t>
        </is>
      </c>
      <c r="AJ132" s="152" t="inlineStr">
        <is>
          <t>manifest (whole bundle)</t>
        </is>
      </c>
      <c r="AK132" s="152">
        <f>IF($A132="","",IF(COUNTIFS(Human_Data_Entry!$A$3:$A$525,$A132)&gt;0,"YES","NO"))</f>
        <v/>
      </c>
      <c r="AL132" s="152">
        <f>IF($A132="","",IF(AND($C132&amp;"-"&amp;$D132&gt;=Settings!$B$19,$C132&amp;"-"&amp;$D132&lt;=Settings!$B$20),"IN","OUT"))</f>
        <v/>
      </c>
      <c r="AM132" s="152">
        <f>IF(AND(OR($H132="BUY",$H132="SELL"),ISNUMBER($T132)),$T132,"")</f>
        <v/>
      </c>
      <c r="AN132" s="152">
        <f>IF(AND(OR($H132="BUY",$H132="SELL"),ISNUMBER($AF132)),$AF132,"")</f>
        <v/>
      </c>
      <c r="AO132" s="152">
        <f>IF(ISNUMBER($AM132),ABS(IF(ISNUMBER($G132),$G132,0)-Settings!$B$25),"")</f>
        <v/>
      </c>
      <c r="AP132" s="152">
        <f>IF(ISNUMBER($AO132),$AO132*$AM132,"")</f>
        <v/>
      </c>
      <c r="AQ132" s="152">
        <f>IF(ISNUMBER($AN132),ABS(IF(ISNUMBER($G132),$G132,0)-Settings!$B$25),"")</f>
        <v/>
      </c>
      <c r="AR132" s="152">
        <f>IF(ISNUMBER($AQ132),$AQ132*$AN132,"")</f>
        <v/>
      </c>
      <c r="AS132" s="152">
        <f>IF($A132="","",IFERROR(INDEX(Company_List!$H$3:$H$207,MATCH($A132,Company_List!$A$3:$A$207,0)),"unassigned"))</f>
        <v/>
      </c>
      <c r="AT132" s="152" t="inlineStr">
        <is>
          <t>not in v1</t>
        </is>
      </c>
      <c r="AU132" s="152" t="inlineStr">
        <is>
          <t>no earlier record</t>
        </is>
      </c>
      <c r="AV132" s="152" t="n">
        <v>2</v>
      </c>
      <c r="AW132" s="152" t="inlineStr">
        <is>
          <t>Insider Monkey (Koala Guide LLC)</t>
        </is>
      </c>
      <c r="AX132" s="152" t="inlineStr">
        <is>
          <t>free to read, copyright asserted</t>
        </is>
      </c>
      <c r="AY132" s="152" t="inlineStr">
        <is>
          <t>no</t>
        </is>
      </c>
      <c r="AZ132" s="152" t="inlineStr">
        <is>
          <t>yes</t>
        </is>
      </c>
      <c r="BA132" s="152" t="inlineStr">
        <is>
          <t>YES</t>
        </is>
      </c>
      <c r="BB132" s="152" t="n"/>
    </row>
    <row r="133" ht="15" customHeight="1" s="241">
      <c r="A133" s="191" t="inlineStr">
        <is>
          <t>PepsiCo</t>
        </is>
      </c>
      <c r="B133" s="188" t="inlineStr">
        <is>
          <t>PEP</t>
        </is>
      </c>
      <c r="C133" s="176" t="n">
        <v>2025</v>
      </c>
      <c r="D133" s="177" t="inlineStr">
        <is>
          <t>Q3</t>
        </is>
      </c>
      <c r="E133" s="178" t="inlineStr">
        <is>
          <t>Ben/DeepSeek</t>
        </is>
      </c>
      <c r="F133" s="177" t="inlineStr">
        <is>
          <t>LLM</t>
        </is>
      </c>
      <c r="G133" s="196" t="n">
        <v>0.22</v>
      </c>
      <c r="H133" s="177" t="inlineStr">
        <is>
          <t>BUY</t>
        </is>
      </c>
      <c r="I133" s="196" t="n"/>
      <c r="J133" s="182" t="n">
        <v>45939</v>
      </c>
      <c r="K133" s="182" t="n">
        <v>45938</v>
      </c>
      <c r="L133" s="183" t="n">
        <v>138.84</v>
      </c>
      <c r="M133" s="182" t="n">
        <v>45939</v>
      </c>
      <c r="N133" s="183" t="n">
        <v>140.46</v>
      </c>
      <c r="O133" s="180" t="n">
        <v>0.010285</v>
      </c>
      <c r="P133" s="197" t="n">
        <v>0.011668</v>
      </c>
      <c r="Q133" s="177" t="inlineStr">
        <is>
          <t>FLAT</t>
        </is>
      </c>
      <c r="R133" s="177" t="inlineStr">
        <is>
          <t>NO</t>
        </is>
      </c>
      <c r="S133" s="176" t="n">
        <v>1</v>
      </c>
      <c r="T133" s="197" t="n">
        <v>0.010668</v>
      </c>
      <c r="U133" s="185" t="inlineStr">
        <is>
          <t>w=[0.80,0.20,0,0] thr=(+0.20,-0.10), deployed default promoted 2026-08-18 (PSR=0.964, permutation p=0.0002 at N=233, restricted search - see blend.py)</t>
        </is>
      </c>
      <c r="V133" s="152" t="inlineStr">
        <is>
          <t>FROZEN</t>
        </is>
      </c>
      <c r="W133" s="152" t="inlineStr">
        <is>
          <t>release date + stated time</t>
        </is>
      </c>
      <c r="X133" s="152" t="inlineStr">
        <is>
          <t>PEP</t>
        </is>
      </c>
      <c r="Y133" s="152" t="inlineStr">
        <is>
          <t>2025-10-08</t>
        </is>
      </c>
      <c r="Z133" s="152" t="n">
        <v>134.8588</v>
      </c>
      <c r="AA133" s="152" t="inlineStr">
        <is>
          <t>2025-10-09</t>
        </is>
      </c>
      <c r="AB133" s="152" t="n">
        <v>136.4323</v>
      </c>
      <c r="AC133" s="152" t="n">
        <v>0.01166819884677702</v>
      </c>
      <c r="AD133" s="152" t="inlineStr">
        <is>
          <t>FLAT</t>
        </is>
      </c>
      <c r="AE133" s="152" t="inlineStr">
        <is>
          <t>YES</t>
        </is>
      </c>
      <c r="AF133" s="152" t="n">
        <v>0</v>
      </c>
      <c r="AG133" s="152">
        <f>IF($A133="","",IFERROR(INDEX(Company_List!$G$3:$G$207,MATCH($A133,Company_List!$A$3:$A$207,0)),"unassigned"))</f>
        <v/>
      </c>
      <c r="AH133" s="152" t="inlineStr">
        <is>
          <t>Phase 2/PepsiCo/Q3 2025/PEP-Q3-2025-press-release-SEC-EX99-1.htm; Phase 2/PepsiCo/Q3 2025/PEP-Q3-2025-earnings-call-transcript-InsiderMonkey.html</t>
        </is>
      </c>
      <c r="AI133" s="152" t="inlineStr">
        <is>
          <t>https://www.insidermonkey.com/blog/pepsico-inc-nasdaqpep-q3-2025-earnings-call-transcript-1625709/; https://www.sec.gov/Archives/edgar/data/77476/000007747625000055/q320258-kxexhibit991.htm</t>
        </is>
      </c>
      <c r="AJ133" s="152" t="inlineStr">
        <is>
          <t>manifest (whole bundle)</t>
        </is>
      </c>
      <c r="AK133" s="152">
        <f>IF($A133="","",IF(COUNTIFS(Human_Data_Entry!$A$3:$A$525,$A133)&gt;0,"YES","NO"))</f>
        <v/>
      </c>
      <c r="AL133" s="152">
        <f>IF($A133="","",IF(AND($C133&amp;"-"&amp;$D133&gt;=Settings!$B$19,$C133&amp;"-"&amp;$D133&lt;=Settings!$B$20),"IN","OUT"))</f>
        <v/>
      </c>
      <c r="AM133" s="152">
        <f>IF(AND(OR($H133="BUY",$H133="SELL"),ISNUMBER($T133)),$T133,"")</f>
        <v/>
      </c>
      <c r="AN133" s="152">
        <f>IF(AND(OR($H133="BUY",$H133="SELL"),ISNUMBER($AF133)),$AF133,"")</f>
        <v/>
      </c>
      <c r="AO133" s="152">
        <f>IF(ISNUMBER($AM133),ABS(IF(ISNUMBER($G133),$G133,0)-Settings!$B$25),"")</f>
        <v/>
      </c>
      <c r="AP133" s="152">
        <f>IF(ISNUMBER($AO133),$AO133*$AM133,"")</f>
        <v/>
      </c>
      <c r="AQ133" s="152">
        <f>IF(ISNUMBER($AN133),ABS(IF(ISNUMBER($G133),$G133,0)-Settings!$B$25),"")</f>
        <v/>
      </c>
      <c r="AR133" s="152">
        <f>IF(ISNUMBER($AQ133),$AQ133*$AN133,"")</f>
        <v/>
      </c>
      <c r="AS133" s="152">
        <f>IF($A133="","",IFERROR(INDEX(Company_List!$H$3:$H$207,MATCH($A133,Company_List!$A$3:$A$207,0)),"unassigned"))</f>
        <v/>
      </c>
      <c r="AT133" s="152" t="inlineStr">
        <is>
          <t>not in v1</t>
        </is>
      </c>
      <c r="AU133" s="152" t="inlineStr">
        <is>
          <t>no earlier record</t>
        </is>
      </c>
      <c r="AV133" s="152" t="n">
        <v>2</v>
      </c>
      <c r="AW133" s="152" t="inlineStr">
        <is>
          <t>Insider Monkey (Koala Guide LLC)</t>
        </is>
      </c>
      <c r="AX133" s="152" t="inlineStr">
        <is>
          <t>free to read, copyright asserted</t>
        </is>
      </c>
      <c r="AY133" s="152" t="inlineStr">
        <is>
          <t>no</t>
        </is>
      </c>
      <c r="AZ133" s="152" t="inlineStr">
        <is>
          <t>yes</t>
        </is>
      </c>
      <c r="BA133" s="152" t="inlineStr">
        <is>
          <t>YES</t>
        </is>
      </c>
      <c r="BB133" s="152" t="n"/>
    </row>
    <row r="134" ht="15" customHeight="1" s="241">
      <c r="A134" s="191" t="inlineStr">
        <is>
          <t>PepsiCo</t>
        </is>
      </c>
      <c r="B134" s="188" t="inlineStr">
        <is>
          <t>PEP</t>
        </is>
      </c>
      <c r="C134" s="176" t="n">
        <v>2023</v>
      </c>
      <c r="D134" s="177" t="inlineStr">
        <is>
          <t>Q4</t>
        </is>
      </c>
      <c r="E134" s="178" t="inlineStr">
        <is>
          <t>Ben/DeepSeek</t>
        </is>
      </c>
      <c r="F134" s="177" t="inlineStr">
        <is>
          <t>LLM</t>
        </is>
      </c>
      <c r="G134" s="196" t="n">
        <v>-0.5</v>
      </c>
      <c r="H134" s="177" t="inlineStr">
        <is>
          <t>SELL</t>
        </is>
      </c>
      <c r="I134" s="196" t="n"/>
      <c r="J134" s="182" t="n">
        <v>45331</v>
      </c>
      <c r="K134" s="182" t="n">
        <v>45330</v>
      </c>
      <c r="L134" s="183" t="n">
        <v>173.85</v>
      </c>
      <c r="M134" s="182" t="n">
        <v>45331</v>
      </c>
      <c r="N134" s="183" t="n">
        <v>171.2</v>
      </c>
      <c r="O134" s="180" t="n">
        <v>0.009763000000000001</v>
      </c>
      <c r="P134" s="197" t="n">
        <v>-0.015243</v>
      </c>
      <c r="Q134" s="177" t="inlineStr">
        <is>
          <t>FLAT</t>
        </is>
      </c>
      <c r="R134" s="177" t="inlineStr">
        <is>
          <t>NO</t>
        </is>
      </c>
      <c r="S134" s="176" t="n">
        <v>-1</v>
      </c>
      <c r="T134" s="197" t="n">
        <v>0.014243</v>
      </c>
      <c r="U134" s="185" t="inlineStr">
        <is>
          <t>w=[0.80,0.20,0,0] thr=(+0.20,-0.10), deployed default promoted 2026-08-18 (PSR=0.964, permutation p=0.0002 at N=233, restricted search - see blend.py)</t>
        </is>
      </c>
      <c r="V134" s="152" t="inlineStr">
        <is>
          <t>FROZEN</t>
        </is>
      </c>
      <c r="W134" s="152" t="inlineStr">
        <is>
          <t>release date + stated time</t>
        </is>
      </c>
      <c r="X134" s="152" t="inlineStr">
        <is>
          <t>PEP</t>
        </is>
      </c>
      <c r="Y134" s="152" t="inlineStr">
        <is>
          <t>2024-02-08</t>
        </is>
      </c>
      <c r="Z134" s="152" t="n">
        <v>158.8766</v>
      </c>
      <c r="AA134" s="152" t="inlineStr">
        <is>
          <t>2024-02-09</t>
        </is>
      </c>
      <c r="AB134" s="152" t="n">
        <v>156.4548</v>
      </c>
      <c r="AC134" s="152" t="n">
        <v>-0.01524309010372187</v>
      </c>
      <c r="AD134" s="152" t="inlineStr">
        <is>
          <t>FLAT</t>
        </is>
      </c>
      <c r="AE134" s="152" t="inlineStr">
        <is>
          <t>NO</t>
        </is>
      </c>
      <c r="AF134" s="152" t="n">
        <v>0.014243</v>
      </c>
      <c r="AG134" s="152">
        <f>IF($A134="","",IFERROR(INDEX(Company_List!$G$3:$G$207,MATCH($A134,Company_List!$A$3:$A$207,0)),"unassigned"))</f>
        <v/>
      </c>
      <c r="AH134" s="152" t="inlineStr">
        <is>
          <t>Phase 2/PepsiCo/Q4 2023/PEP-Q4-2023-press-release-SEC-EX99-1.htm; Phase 2/PepsiCo/Q4 2023/PEP-Q4-2023-earnings-call-transcript-InsiderMonkey.html</t>
        </is>
      </c>
      <c r="AI134" s="152" t="inlineStr">
        <is>
          <t>https://www.insidermonkey.com/blog/pepsico-inc-nasdaqpep-q4-2023-earnings-call-transcript-1256907/; https://www.sec.gov/Archives/edgar/data/77476/000007747624000010/q420238-kxexhibit991.htm</t>
        </is>
      </c>
      <c r="AJ134" s="152" t="inlineStr">
        <is>
          <t>manifest (whole bundle)</t>
        </is>
      </c>
      <c r="AK134" s="152">
        <f>IF($A134="","",IF(COUNTIFS(Human_Data_Entry!$A$3:$A$525,$A134)&gt;0,"YES","NO"))</f>
        <v/>
      </c>
      <c r="AL134" s="152">
        <f>IF($A134="","",IF(AND($C134&amp;"-"&amp;$D134&gt;=Settings!$B$19,$C134&amp;"-"&amp;$D134&lt;=Settings!$B$20),"IN","OUT"))</f>
        <v/>
      </c>
      <c r="AM134" s="152">
        <f>IF(AND(OR($H134="BUY",$H134="SELL"),ISNUMBER($T134)),$T134,"")</f>
        <v/>
      </c>
      <c r="AN134" s="152">
        <f>IF(AND(OR($H134="BUY",$H134="SELL"),ISNUMBER($AF134)),$AF134,"")</f>
        <v/>
      </c>
      <c r="AO134" s="152">
        <f>IF(ISNUMBER($AM134),ABS(IF(ISNUMBER($G134),$G134,0)-Settings!$B$25),"")</f>
        <v/>
      </c>
      <c r="AP134" s="152">
        <f>IF(ISNUMBER($AO134),$AO134*$AM134,"")</f>
        <v/>
      </c>
      <c r="AQ134" s="152">
        <f>IF(ISNUMBER($AN134),ABS(IF(ISNUMBER($G134),$G134,0)-Settings!$B$25),"")</f>
        <v/>
      </c>
      <c r="AR134" s="152">
        <f>IF(ISNUMBER($AQ134),$AQ134*$AN134,"")</f>
        <v/>
      </c>
      <c r="AS134" s="152">
        <f>IF($A134="","",IFERROR(INDEX(Company_List!$H$3:$H$207,MATCH($A134,Company_List!$A$3:$A$207,0)),"unassigned"))</f>
        <v/>
      </c>
      <c r="AT134" s="152" t="inlineStr">
        <is>
          <t>not in v1</t>
        </is>
      </c>
      <c r="AU134" s="152" t="inlineStr">
        <is>
          <t>no earlier record</t>
        </is>
      </c>
      <c r="AV134" s="152" t="n">
        <v>2</v>
      </c>
      <c r="AW134" s="152" t="inlineStr">
        <is>
          <t>Insider Monkey (Koala Guide LLC)</t>
        </is>
      </c>
      <c r="AX134" s="152" t="inlineStr">
        <is>
          <t>free to read, copyright asserted</t>
        </is>
      </c>
      <c r="AY134" s="152" t="inlineStr">
        <is>
          <t>no</t>
        </is>
      </c>
      <c r="AZ134" s="152" t="inlineStr">
        <is>
          <t>yes</t>
        </is>
      </c>
      <c r="BA134" s="152" t="inlineStr">
        <is>
          <t>YES</t>
        </is>
      </c>
      <c r="BB134" s="152" t="n"/>
    </row>
    <row r="135" ht="15" customHeight="1" s="241">
      <c r="A135" s="191" t="inlineStr">
        <is>
          <t>PepsiCo</t>
        </is>
      </c>
      <c r="B135" s="188" t="inlineStr">
        <is>
          <t>PEP</t>
        </is>
      </c>
      <c r="C135" s="176" t="n">
        <v>2024</v>
      </c>
      <c r="D135" s="177" t="inlineStr">
        <is>
          <t>Q4</t>
        </is>
      </c>
      <c r="E135" s="178" t="inlineStr">
        <is>
          <t>Ben/DeepSeek</t>
        </is>
      </c>
      <c r="F135" s="177" t="inlineStr">
        <is>
          <t>LLM</t>
        </is>
      </c>
      <c r="G135" s="196" t="n">
        <v>-0.1</v>
      </c>
      <c r="H135" s="177" t="inlineStr">
        <is>
          <t>SELL</t>
        </is>
      </c>
      <c r="I135" s="196" t="n"/>
      <c r="J135" s="182" t="n">
        <v>45692</v>
      </c>
      <c r="K135" s="182" t="n">
        <v>45691</v>
      </c>
      <c r="L135" s="183" t="n">
        <v>150.27</v>
      </c>
      <c r="M135" s="182" t="n">
        <v>45692</v>
      </c>
      <c r="N135" s="183" t="n">
        <v>146.1</v>
      </c>
      <c r="O135" s="180" t="n">
        <v>0.009320999999999999</v>
      </c>
      <c r="P135" s="197" t="n">
        <v>-0.02775</v>
      </c>
      <c r="Q135" s="177" t="inlineStr">
        <is>
          <t>DOWN</t>
        </is>
      </c>
      <c r="R135" s="177" t="inlineStr">
        <is>
          <t>YES</t>
        </is>
      </c>
      <c r="S135" s="176" t="n">
        <v>-1</v>
      </c>
      <c r="T135" s="197" t="n">
        <v>0.02675</v>
      </c>
      <c r="U135" s="185" t="inlineStr">
        <is>
          <t>w=[0.80,0.20,0,0] thr=(+0.20,-0.10), deployed default promoted 2026-08-18 (PSR=0.964, permutation p=0.0002 at N=233, restricted search - see blend.py)</t>
        </is>
      </c>
      <c r="V135" s="152" t="inlineStr">
        <is>
          <t>FROZEN</t>
        </is>
      </c>
      <c r="W135" s="152" t="inlineStr">
        <is>
          <t>release date + stated time</t>
        </is>
      </c>
      <c r="X135" s="152" t="inlineStr">
        <is>
          <t>PEP</t>
        </is>
      </c>
      <c r="Y135" s="152" t="inlineStr">
        <is>
          <t>2025-02-03</t>
        </is>
      </c>
      <c r="Z135" s="152" t="n">
        <v>141.7251</v>
      </c>
      <c r="AA135" s="152" t="inlineStr">
        <is>
          <t>2025-02-04</t>
        </is>
      </c>
      <c r="AB135" s="152" t="n">
        <v>137.7923</v>
      </c>
      <c r="AC135" s="152" t="n">
        <v>-0.02775006955132695</v>
      </c>
      <c r="AD135" s="152" t="inlineStr">
        <is>
          <t>DOWN</t>
        </is>
      </c>
      <c r="AE135" s="152" t="inlineStr">
        <is>
          <t>YES</t>
        </is>
      </c>
      <c r="AF135" s="152" t="n">
        <v>0.02675</v>
      </c>
      <c r="AG135" s="152">
        <f>IF($A135="","",IFERROR(INDEX(Company_List!$G$3:$G$207,MATCH($A135,Company_List!$A$3:$A$207,0)),"unassigned"))</f>
        <v/>
      </c>
      <c r="AH135" s="152" t="inlineStr">
        <is>
          <t>Phase 2/PepsiCo/Q4 2024/PEP-Q4-2024-press-release-SEC-EX99-1.htm; Phase 2/PepsiCo/Q4 2024/PEP-Q4-2024-earnings-call-transcript-InsiderMonkey.html</t>
        </is>
      </c>
      <c r="AI135" s="152" t="inlineStr">
        <is>
          <t>https://www.insidermonkey.com/blog/pepsico-inc-nasdaqpep-q4-2024-earnings-call-transcript-1443383/; https://www.sec.gov/Archives/edgar/data/77476/000007747625000008/q420248-kxexhibit991.htm</t>
        </is>
      </c>
      <c r="AJ135" s="152" t="inlineStr">
        <is>
          <t>manifest (whole bundle)</t>
        </is>
      </c>
      <c r="AK135" s="152">
        <f>IF($A135="","",IF(COUNTIFS(Human_Data_Entry!$A$3:$A$525,$A135)&gt;0,"YES","NO"))</f>
        <v/>
      </c>
      <c r="AL135" s="152">
        <f>IF($A135="","",IF(AND($C135&amp;"-"&amp;$D135&gt;=Settings!$B$19,$C135&amp;"-"&amp;$D135&lt;=Settings!$B$20),"IN","OUT"))</f>
        <v/>
      </c>
      <c r="AM135" s="152">
        <f>IF(AND(OR($H135="BUY",$H135="SELL"),ISNUMBER($T135)),$T135,"")</f>
        <v/>
      </c>
      <c r="AN135" s="152">
        <f>IF(AND(OR($H135="BUY",$H135="SELL"),ISNUMBER($AF135)),$AF135,"")</f>
        <v/>
      </c>
      <c r="AO135" s="152">
        <f>IF(ISNUMBER($AM135),ABS(IF(ISNUMBER($G135),$G135,0)-Settings!$B$25),"")</f>
        <v/>
      </c>
      <c r="AP135" s="152">
        <f>IF(ISNUMBER($AO135),$AO135*$AM135,"")</f>
        <v/>
      </c>
      <c r="AQ135" s="152">
        <f>IF(ISNUMBER($AN135),ABS(IF(ISNUMBER($G135),$G135,0)-Settings!$B$25),"")</f>
        <v/>
      </c>
      <c r="AR135" s="152">
        <f>IF(ISNUMBER($AQ135),$AQ135*$AN135,"")</f>
        <v/>
      </c>
      <c r="AS135" s="152">
        <f>IF($A135="","",IFERROR(INDEX(Company_List!$H$3:$H$207,MATCH($A135,Company_List!$A$3:$A$207,0)),"unassigned"))</f>
        <v/>
      </c>
      <c r="AT135" s="152" t="inlineStr">
        <is>
          <t>not in v1</t>
        </is>
      </c>
      <c r="AU135" s="152" t="inlineStr">
        <is>
          <t>no earlier record</t>
        </is>
      </c>
      <c r="AV135" s="152" t="n">
        <v>2</v>
      </c>
      <c r="AW135" s="152" t="inlineStr">
        <is>
          <t>Insider Monkey (Koala Guide LLC)</t>
        </is>
      </c>
      <c r="AX135" s="152" t="inlineStr">
        <is>
          <t>free to read, copyright asserted</t>
        </is>
      </c>
      <c r="AY135" s="152" t="inlineStr">
        <is>
          <t>no</t>
        </is>
      </c>
      <c r="AZ135" s="152" t="inlineStr">
        <is>
          <t>yes</t>
        </is>
      </c>
      <c r="BA135" s="152" t="inlineStr">
        <is>
          <t>YES</t>
        </is>
      </c>
      <c r="BB135" s="152" t="n"/>
    </row>
    <row r="136" ht="15" customHeight="1" s="241">
      <c r="A136" s="191" t="inlineStr">
        <is>
          <t>PepsiCo</t>
        </is>
      </c>
      <c r="B136" s="188" t="inlineStr">
        <is>
          <t>PEP</t>
        </is>
      </c>
      <c r="C136" s="176" t="n">
        <v>2025</v>
      </c>
      <c r="D136" s="177" t="inlineStr">
        <is>
          <t>Q4</t>
        </is>
      </c>
      <c r="E136" s="178" t="inlineStr">
        <is>
          <t>Ben/DeepSeek</t>
        </is>
      </c>
      <c r="F136" s="177" t="inlineStr">
        <is>
          <t>LLM</t>
        </is>
      </c>
      <c r="G136" s="196" t="n">
        <v>0.17</v>
      </c>
      <c r="H136" s="177" t="inlineStr">
        <is>
          <t>HOLD</t>
        </is>
      </c>
      <c r="I136" s="196" t="n"/>
      <c r="J136" s="182" t="n">
        <v>46056</v>
      </c>
      <c r="K136" s="182" t="n">
        <v>46055</v>
      </c>
      <c r="L136" s="183" t="n">
        <v>155.2</v>
      </c>
      <c r="M136" s="182" t="n">
        <v>46056</v>
      </c>
      <c r="N136" s="183" t="n">
        <v>156.6</v>
      </c>
      <c r="O136" s="180" t="n">
        <v>0.010094</v>
      </c>
      <c r="P136" s="197" t="n">
        <v>0.009021</v>
      </c>
      <c r="Q136" s="177" t="inlineStr">
        <is>
          <t>FLAT</t>
        </is>
      </c>
      <c r="R136" s="177" t="inlineStr">
        <is>
          <t>YES</t>
        </is>
      </c>
      <c r="S136" s="176" t="n">
        <v>0</v>
      </c>
      <c r="T136" s="197" t="n">
        <v>0</v>
      </c>
      <c r="U136" s="185" t="inlineStr">
        <is>
          <t>w=[0.80,0.20,0,0] thr=(+0.20,-0.10), deployed default promoted 2026-08-18 (PSR=0.964, permutation p=0.0002 at N=233, restricted search - see blend.py)</t>
        </is>
      </c>
      <c r="V136" s="152" t="inlineStr">
        <is>
          <t>FROZEN</t>
        </is>
      </c>
      <c r="W136" s="152" t="inlineStr">
        <is>
          <t>release date + stated time</t>
        </is>
      </c>
      <c r="X136" s="152" t="inlineStr">
        <is>
          <t>PEP</t>
        </is>
      </c>
      <c r="Y136" s="152" t="inlineStr">
        <is>
          <t>2026-02-02</t>
        </is>
      </c>
      <c r="Z136" s="152" t="n">
        <v>152.2241</v>
      </c>
      <c r="AA136" s="152" t="inlineStr">
        <is>
          <t>2026-02-03</t>
        </is>
      </c>
      <c r="AB136" s="152" t="n">
        <v>153.5973</v>
      </c>
      <c r="AC136" s="152" t="n">
        <v>0.009020689642925685</v>
      </c>
      <c r="AD136" s="152" t="inlineStr">
        <is>
          <t>FLAT</t>
        </is>
      </c>
      <c r="AE136" s="152" t="inlineStr">
        <is>
          <t>YES</t>
        </is>
      </c>
      <c r="AF136" s="152" t="n">
        <v>0</v>
      </c>
      <c r="AG136" s="152">
        <f>IF($A136="","",IFERROR(INDEX(Company_List!$G$3:$G$207,MATCH($A136,Company_List!$A$3:$A$207,0)),"unassigned"))</f>
        <v/>
      </c>
      <c r="AH136" s="152" t="inlineStr">
        <is>
          <t>Phase 2/PepsiCo/Q4 2025/PEP-Q4-2025-press-release-SEC-EX99-1.htm; Phase 2/PepsiCo/Q4 2025/PEP-Q4-2025-earnings-call-transcript-InsiderMonkey.html</t>
        </is>
      </c>
      <c r="AI136" s="152" t="inlineStr">
        <is>
          <t>https://www.insidermonkey.com/blog/pepsico-inc-nasdaqpep-q4-2025-earnings-call-transcript-1688541/; https://www.sec.gov/Archives/edgar/data/77476/000007747626000009/q420258-kxexhibit991.htm</t>
        </is>
      </c>
      <c r="AJ136" s="152" t="inlineStr">
        <is>
          <t>manifest (whole bundle)</t>
        </is>
      </c>
      <c r="AK136" s="152">
        <f>IF($A136="","",IF(COUNTIFS(Human_Data_Entry!$A$3:$A$525,$A136)&gt;0,"YES","NO"))</f>
        <v/>
      </c>
      <c r="AL136" s="152">
        <f>IF($A136="","",IF(AND($C136&amp;"-"&amp;$D136&gt;=Settings!$B$19,$C136&amp;"-"&amp;$D136&lt;=Settings!$B$20),"IN","OUT"))</f>
        <v/>
      </c>
      <c r="AM136" s="152">
        <f>IF(AND(OR($H136="BUY",$H136="SELL"),ISNUMBER($T136)),$T136,"")</f>
        <v/>
      </c>
      <c r="AN136" s="152">
        <f>IF(AND(OR($H136="BUY",$H136="SELL"),ISNUMBER($AF136)),$AF136,"")</f>
        <v/>
      </c>
      <c r="AO136" s="152">
        <f>IF(ISNUMBER($AM136),ABS(IF(ISNUMBER($G136),$G136,0)-Settings!$B$25),"")</f>
        <v/>
      </c>
      <c r="AP136" s="152">
        <f>IF(ISNUMBER($AO136),$AO136*$AM136,"")</f>
        <v/>
      </c>
      <c r="AQ136" s="152">
        <f>IF(ISNUMBER($AN136),ABS(IF(ISNUMBER($G136),$G136,0)-Settings!$B$25),"")</f>
        <v/>
      </c>
      <c r="AR136" s="152">
        <f>IF(ISNUMBER($AQ136),$AQ136*$AN136,"")</f>
        <v/>
      </c>
      <c r="AS136" s="152">
        <f>IF($A136="","",IFERROR(INDEX(Company_List!$H$3:$H$207,MATCH($A136,Company_List!$A$3:$A$207,0)),"unassigned"))</f>
        <v/>
      </c>
      <c r="AT136" s="152" t="inlineStr">
        <is>
          <t>not in v1</t>
        </is>
      </c>
      <c r="AU136" s="152" t="inlineStr">
        <is>
          <t>no earlier record</t>
        </is>
      </c>
      <c r="AV136" s="152" t="n">
        <v>2</v>
      </c>
      <c r="AW136" s="152" t="inlineStr">
        <is>
          <t>Insider Monkey (Koala Guide LLC)</t>
        </is>
      </c>
      <c r="AX136" s="152" t="inlineStr">
        <is>
          <t>free to read, copyright asserted</t>
        </is>
      </c>
      <c r="AY136" s="152" t="inlineStr">
        <is>
          <t>no</t>
        </is>
      </c>
      <c r="AZ136" s="152" t="inlineStr">
        <is>
          <t>yes</t>
        </is>
      </c>
      <c r="BA136" s="152" t="inlineStr">
        <is>
          <t>YES</t>
        </is>
      </c>
      <c r="BB136" s="152" t="n"/>
    </row>
    <row r="137" ht="15" customHeight="1" s="241">
      <c r="A137" s="191" t="inlineStr">
        <is>
          <t>FedEx</t>
        </is>
      </c>
      <c r="B137" s="188" t="inlineStr">
        <is>
          <t>FDX</t>
        </is>
      </c>
      <c r="C137" s="176" t="n">
        <v>2026</v>
      </c>
      <c r="D137" s="177" t="inlineStr">
        <is>
          <t>Q1</t>
        </is>
      </c>
      <c r="E137" s="178" t="inlineStr">
        <is>
          <t>Ben/DeepSeek</t>
        </is>
      </c>
      <c r="F137" s="177" t="inlineStr">
        <is>
          <t>LLM</t>
        </is>
      </c>
      <c r="G137" s="196" t="n">
        <v>-0.08</v>
      </c>
      <c r="H137" s="177" t="inlineStr">
        <is>
          <t>HOLD</t>
        </is>
      </c>
      <c r="I137" s="196" t="n"/>
      <c r="J137" s="182" t="n">
        <v>45918</v>
      </c>
      <c r="K137" s="182" t="n">
        <v>45918</v>
      </c>
      <c r="L137" s="183" t="n">
        <v>182.5141</v>
      </c>
      <c r="M137" s="182" t="n">
        <v>45919</v>
      </c>
      <c r="N137" s="183" t="n">
        <v>183.96</v>
      </c>
      <c r="O137" s="180" t="n">
        <v>0.007635</v>
      </c>
      <c r="P137" s="197" t="n">
        <v>0.007946999999999999</v>
      </c>
      <c r="Q137" s="177" t="inlineStr">
        <is>
          <t>FLAT</t>
        </is>
      </c>
      <c r="R137" s="177" t="inlineStr">
        <is>
          <t>YES</t>
        </is>
      </c>
      <c r="S137" s="176" t="n">
        <v>0</v>
      </c>
      <c r="T137" s="197" t="n">
        <v>0</v>
      </c>
      <c r="U137" s="185" t="inlineStr">
        <is>
          <t>w=[0.80,0.20,0,0] thr=(+0.20,-0.10), deployed default promoted 2026-08-18 (PSR=0.964, permutation p=0.0002 at N=233, restricted search - see blend.py)</t>
        </is>
      </c>
      <c r="V137" s="152" t="inlineStr">
        <is>
          <t>FROZEN</t>
        </is>
      </c>
      <c r="W137" s="152" t="inlineStr">
        <is>
          <t>price signal — only this window shows an abnormal move</t>
        </is>
      </c>
      <c r="X137" s="152" t="inlineStr">
        <is>
          <t>FDX</t>
        </is>
      </c>
      <c r="Y137" s="152" t="inlineStr">
        <is>
          <t>2025-09-18</t>
        </is>
      </c>
      <c r="Z137" s="152" t="n">
        <v>180.1738</v>
      </c>
      <c r="AA137" s="152" t="inlineStr">
        <is>
          <t>2025-09-19</t>
        </is>
      </c>
      <c r="AB137" s="152" t="n">
        <v>181.6056</v>
      </c>
      <c r="AC137" s="152" t="n">
        <v>0.007947007323929561</v>
      </c>
      <c r="AD137" s="152" t="inlineStr">
        <is>
          <t>FLAT</t>
        </is>
      </c>
      <c r="AE137" s="152" t="inlineStr">
        <is>
          <t>NO</t>
        </is>
      </c>
      <c r="AF137" s="152" t="n">
        <v>-0.008947</v>
      </c>
      <c r="AG137" s="152">
        <f>IF($A137="","",IFERROR(INDEX(Company_List!$G$3:$G$207,MATCH($A137,Company_List!$A$3:$A$207,0)),"unassigned"))</f>
        <v/>
      </c>
      <c r="AH137" s="152" t="inlineStr">
        <is>
          <t>Phase 2/FedEx/FDX-Q1-FY26-Earnings-Call-Transcript.pdf</t>
        </is>
      </c>
      <c r="AI137" s="152" t="n"/>
      <c r="AJ137" s="152" t="inlineStr">
        <is>
          <t>unique filename match</t>
        </is>
      </c>
      <c r="AK137" s="152">
        <f>IF($A137="","",IF(COUNTIFS(Human_Data_Entry!$A$3:$A$525,$A137)&gt;0,"YES","NO"))</f>
        <v/>
      </c>
      <c r="AL137" s="152">
        <f>IF($A137="","",IF(AND($C137&amp;"-"&amp;$D137&gt;=Settings!$B$19,$C137&amp;"-"&amp;$D137&lt;=Settings!$B$20),"IN","OUT"))</f>
        <v/>
      </c>
      <c r="AM137" s="152">
        <f>IF(AND(OR($H137="BUY",$H137="SELL"),ISNUMBER($T137)),$T137,"")</f>
        <v/>
      </c>
      <c r="AN137" s="152">
        <f>IF(AND(OR($H137="BUY",$H137="SELL"),ISNUMBER($AF137)),$AF137,"")</f>
        <v/>
      </c>
      <c r="AO137" s="152">
        <f>IF(ISNUMBER($AM137),ABS(IF(ISNUMBER($G137),$G137,0)-Settings!$B$25),"")</f>
        <v/>
      </c>
      <c r="AP137" s="152">
        <f>IF(ISNUMBER($AO137),$AO137*$AM137,"")</f>
        <v/>
      </c>
      <c r="AQ137" s="152">
        <f>IF(ISNUMBER($AN137),ABS(IF(ISNUMBER($G137),$G137,0)-Settings!$B$25),"")</f>
        <v/>
      </c>
      <c r="AR137" s="152">
        <f>IF(ISNUMBER($AQ137),$AQ137*$AN137,"")</f>
        <v/>
      </c>
      <c r="AS137" s="152">
        <f>IF($A137="","",IFERROR(INDEX(Company_List!$H$3:$H$207,MATCH($A137,Company_List!$A$3:$A$207,0)),"unassigned"))</f>
        <v/>
      </c>
      <c r="AT137" s="152" t="inlineStr">
        <is>
          <t>not in v1</t>
        </is>
      </c>
      <c r="AU137" s="152" t="inlineStr">
        <is>
          <t>no earlier record</t>
        </is>
      </c>
      <c r="AV137" s="152" t="n">
        <v>1</v>
      </c>
      <c r="AW137" s="152" t="inlineStr">
        <is>
          <t>not publisher-identified</t>
        </is>
      </c>
      <c r="AX137" s="152" t="inlineStr">
        <is>
          <t>not publisher-identified</t>
        </is>
      </c>
      <c r="AY137" s="152" t="inlineStr">
        <is>
          <t>no</t>
        </is>
      </c>
      <c r="AZ137" s="152" t="inlineStr">
        <is>
          <t>no</t>
        </is>
      </c>
      <c r="BA137" s="152" t="inlineStr">
        <is>
          <t>YES</t>
        </is>
      </c>
      <c r="BB137" s="152" t="n"/>
    </row>
    <row r="138" ht="15" customHeight="1" s="241">
      <c r="A138" s="191" t="inlineStr">
        <is>
          <t>FedEx</t>
        </is>
      </c>
      <c r="B138" s="188" t="inlineStr">
        <is>
          <t>FDX</t>
        </is>
      </c>
      <c r="C138" s="176" t="n">
        <v>2026</v>
      </c>
      <c r="D138" s="177" t="inlineStr">
        <is>
          <t>Q2</t>
        </is>
      </c>
      <c r="E138" s="178" t="inlineStr">
        <is>
          <t>Ben/DeepSeek</t>
        </is>
      </c>
      <c r="F138" s="177" t="inlineStr">
        <is>
          <t>LLM</t>
        </is>
      </c>
      <c r="G138" s="196" t="n">
        <v>0.3</v>
      </c>
      <c r="H138" s="177" t="inlineStr">
        <is>
          <t>BUY</t>
        </is>
      </c>
      <c r="I138" s="196" t="n"/>
      <c r="J138" s="182" t="n">
        <v>46009</v>
      </c>
      <c r="K138" s="182" t="n">
        <v>46009</v>
      </c>
      <c r="L138" s="183" t="n">
        <v>231.3618</v>
      </c>
      <c r="M138" s="182" t="n">
        <v>46010</v>
      </c>
      <c r="N138" s="183" t="n">
        <v>219.23</v>
      </c>
      <c r="O138" s="180" t="n">
        <v>0.008439</v>
      </c>
      <c r="P138" s="197" t="n">
        <v>-0.052452</v>
      </c>
      <c r="Q138" s="177" t="inlineStr">
        <is>
          <t>DOWN</t>
        </is>
      </c>
      <c r="R138" s="177" t="inlineStr">
        <is>
          <t>NO</t>
        </is>
      </c>
      <c r="S138" s="176" t="n">
        <v>1</v>
      </c>
      <c r="T138" s="197" t="n">
        <v>-0.053452</v>
      </c>
      <c r="U138" s="185" t="inlineStr">
        <is>
          <t>w=[0.80,0.20,0,0] thr=(+0.20,-0.10), deployed default promoted 2026-08-18 (PSR=0.964, permutation p=0.0002 at N=233, restricted search - see blend.py)</t>
        </is>
      </c>
      <c r="V138" s="152" t="inlineStr">
        <is>
          <t>FROZEN</t>
        </is>
      </c>
      <c r="W138" s="152" t="inlineStr">
        <is>
          <t>document date + price signal</t>
        </is>
      </c>
      <c r="X138" s="152" t="inlineStr">
        <is>
          <t>FDX</t>
        </is>
      </c>
      <c r="Y138" s="152" t="inlineStr">
        <is>
          <t>2025-12-18</t>
        </is>
      </c>
      <c r="Z138" s="152" t="n">
        <v>229.5658</v>
      </c>
      <c r="AA138" s="152" t="inlineStr">
        <is>
          <t>2025-12-19</t>
        </is>
      </c>
      <c r="AB138" s="152" t="n">
        <v>217.5246</v>
      </c>
      <c r="AC138" s="152" t="n">
        <v>-0.05245197295717229</v>
      </c>
      <c r="AD138" s="152" t="inlineStr">
        <is>
          <t>DOWN</t>
        </is>
      </c>
      <c r="AE138" s="152" t="inlineStr">
        <is>
          <t>NO</t>
        </is>
      </c>
      <c r="AF138" s="152" t="n">
        <v>0</v>
      </c>
      <c r="AG138" s="152">
        <f>IF($A138="","",IFERROR(INDEX(Company_List!$G$3:$G$207,MATCH($A138,Company_List!$A$3:$A$207,0)),"unassigned"))</f>
        <v/>
      </c>
      <c r="AH138" s="152" t="inlineStr">
        <is>
          <t>Phase 2/FedEx/Earnings-Transcript-Q2FY26.pdf</t>
        </is>
      </c>
      <c r="AI138" s="152" t="n"/>
      <c r="AJ138" s="152" t="inlineStr">
        <is>
          <t>unique filename match</t>
        </is>
      </c>
      <c r="AK138" s="152">
        <f>IF($A138="","",IF(COUNTIFS(Human_Data_Entry!$A$3:$A$525,$A138)&gt;0,"YES","NO"))</f>
        <v/>
      </c>
      <c r="AL138" s="152">
        <f>IF($A138="","",IF(AND($C138&amp;"-"&amp;$D138&gt;=Settings!$B$19,$C138&amp;"-"&amp;$D138&lt;=Settings!$B$20),"IN","OUT"))</f>
        <v/>
      </c>
      <c r="AM138" s="152">
        <f>IF(AND(OR($H138="BUY",$H138="SELL"),ISNUMBER($T138)),$T138,"")</f>
        <v/>
      </c>
      <c r="AN138" s="152">
        <f>IF(AND(OR($H138="BUY",$H138="SELL"),ISNUMBER($AF138)),$AF138,"")</f>
        <v/>
      </c>
      <c r="AO138" s="152">
        <f>IF(ISNUMBER($AM138),ABS(IF(ISNUMBER($G138),$G138,0)-Settings!$B$25),"")</f>
        <v/>
      </c>
      <c r="AP138" s="152">
        <f>IF(ISNUMBER($AO138),$AO138*$AM138,"")</f>
        <v/>
      </c>
      <c r="AQ138" s="152">
        <f>IF(ISNUMBER($AN138),ABS(IF(ISNUMBER($G138),$G138,0)-Settings!$B$25),"")</f>
        <v/>
      </c>
      <c r="AR138" s="152">
        <f>IF(ISNUMBER($AQ138),$AQ138*$AN138,"")</f>
        <v/>
      </c>
      <c r="AS138" s="152">
        <f>IF($A138="","",IFERROR(INDEX(Company_List!$H$3:$H$207,MATCH($A138,Company_List!$A$3:$A$207,0)),"unassigned"))</f>
        <v/>
      </c>
      <c r="AT138" s="152" t="inlineStr">
        <is>
          <t>not in v1</t>
        </is>
      </c>
      <c r="AU138" s="152" t="inlineStr">
        <is>
          <t>no earlier record</t>
        </is>
      </c>
      <c r="AV138" s="152" t="n">
        <v>1</v>
      </c>
      <c r="AW138" s="152" t="inlineStr">
        <is>
          <t>not publisher-identified</t>
        </is>
      </c>
      <c r="AX138" s="152" t="inlineStr">
        <is>
          <t>not publisher-identified</t>
        </is>
      </c>
      <c r="AY138" s="152" t="inlineStr">
        <is>
          <t>no</t>
        </is>
      </c>
      <c r="AZ138" s="152" t="inlineStr">
        <is>
          <t>no</t>
        </is>
      </c>
      <c r="BA138" s="152" t="inlineStr">
        <is>
          <t>YES</t>
        </is>
      </c>
      <c r="BB138" s="152" t="n"/>
    </row>
    <row r="139" ht="15" customHeight="1" s="241">
      <c r="A139" s="191" t="inlineStr">
        <is>
          <t>FedEx</t>
        </is>
      </c>
      <c r="B139" s="188" t="inlineStr">
        <is>
          <t>FDX</t>
        </is>
      </c>
      <c r="C139" s="176" t="n">
        <v>2026</v>
      </c>
      <c r="D139" s="177" t="inlineStr">
        <is>
          <t>Q3</t>
        </is>
      </c>
      <c r="E139" s="178" t="inlineStr">
        <is>
          <t>Ben/DeepSeek</t>
        </is>
      </c>
      <c r="F139" s="177" t="inlineStr">
        <is>
          <t>LLM</t>
        </is>
      </c>
      <c r="G139" s="196" t="n">
        <v>0.42</v>
      </c>
      <c r="H139" s="177" t="inlineStr">
        <is>
          <t>BUY</t>
        </is>
      </c>
      <c r="I139" s="196" t="n"/>
      <c r="J139" s="182" t="n">
        <v>46100</v>
      </c>
      <c r="K139" s="182" t="n">
        <v>46100</v>
      </c>
      <c r="L139" s="183" t="n">
        <v>286.9541</v>
      </c>
      <c r="M139" s="182" t="n">
        <v>46101</v>
      </c>
      <c r="N139" s="183" t="n">
        <v>306.87</v>
      </c>
      <c r="O139" s="180" t="n">
        <v>0.008489</v>
      </c>
      <c r="P139" s="197" t="n">
        <v>0.06938900000000001</v>
      </c>
      <c r="Q139" s="177" t="inlineStr">
        <is>
          <t>UP</t>
        </is>
      </c>
      <c r="R139" s="177" t="inlineStr">
        <is>
          <t>YES</t>
        </is>
      </c>
      <c r="S139" s="176" t="n">
        <v>1</v>
      </c>
      <c r="T139" s="197" t="n">
        <v>0.06838900000000001</v>
      </c>
      <c r="U139" s="185" t="inlineStr">
        <is>
          <t>w=[0.80,0.20,0,0] thr=(+0.20,-0.10), deployed default promoted 2026-08-18 (PSR=0.964, permutation p=0.0002 at N=233, restricted search - see blend.py)</t>
        </is>
      </c>
      <c r="V139" s="152" t="inlineStr">
        <is>
          <t>FROZEN</t>
        </is>
      </c>
      <c r="W139" s="152" t="inlineStr">
        <is>
          <t>price signal — only this window shows an abnormal move</t>
        </is>
      </c>
      <c r="X139" s="152" t="inlineStr">
        <is>
          <t>FDX</t>
        </is>
      </c>
      <c r="Y139" s="152" t="inlineStr">
        <is>
          <t>2026-03-19</t>
        </is>
      </c>
      <c r="Z139" s="152" t="n">
        <v>285.8809</v>
      </c>
      <c r="AA139" s="152" t="inlineStr">
        <is>
          <t>2026-03-20</t>
        </is>
      </c>
      <c r="AB139" s="152" t="n">
        <v>305.7177</v>
      </c>
      <c r="AC139" s="152" t="n">
        <v>0.06938857023244727</v>
      </c>
      <c r="AD139" s="152" t="inlineStr">
        <is>
          <t>UP</t>
        </is>
      </c>
      <c r="AE139" s="152" t="inlineStr">
        <is>
          <t>YES</t>
        </is>
      </c>
      <c r="AF139" s="152" t="n">
        <v>0.06838900000000001</v>
      </c>
      <c r="AG139" s="152">
        <f>IF($A139="","",IFERROR(INDEX(Company_List!$G$3:$G$207,MATCH($A139,Company_List!$A$3:$A$207,0)),"unassigned"))</f>
        <v/>
      </c>
      <c r="AH139" s="152" t="inlineStr">
        <is>
          <t>Phase 2/FedEx/Earnings-Transcript-Q3FY26.pdf</t>
        </is>
      </c>
      <c r="AI139" s="152" t="n"/>
      <c r="AJ139" s="152" t="inlineStr">
        <is>
          <t>unique filename match</t>
        </is>
      </c>
      <c r="AK139" s="152">
        <f>IF($A139="","",IF(COUNTIFS(Human_Data_Entry!$A$3:$A$525,$A139)&gt;0,"YES","NO"))</f>
        <v/>
      </c>
      <c r="AL139" s="152">
        <f>IF($A139="","",IF(AND($C139&amp;"-"&amp;$D139&gt;=Settings!$B$19,$C139&amp;"-"&amp;$D139&lt;=Settings!$B$20),"IN","OUT"))</f>
        <v/>
      </c>
      <c r="AM139" s="152">
        <f>IF(AND(OR($H139="BUY",$H139="SELL"),ISNUMBER($T139)),$T139,"")</f>
        <v/>
      </c>
      <c r="AN139" s="152">
        <f>IF(AND(OR($H139="BUY",$H139="SELL"),ISNUMBER($AF139)),$AF139,"")</f>
        <v/>
      </c>
      <c r="AO139" s="152">
        <f>IF(ISNUMBER($AM139),ABS(IF(ISNUMBER($G139),$G139,0)-Settings!$B$25),"")</f>
        <v/>
      </c>
      <c r="AP139" s="152">
        <f>IF(ISNUMBER($AO139),$AO139*$AM139,"")</f>
        <v/>
      </c>
      <c r="AQ139" s="152">
        <f>IF(ISNUMBER($AN139),ABS(IF(ISNUMBER($G139),$G139,0)-Settings!$B$25),"")</f>
        <v/>
      </c>
      <c r="AR139" s="152">
        <f>IF(ISNUMBER($AQ139),$AQ139*$AN139,"")</f>
        <v/>
      </c>
      <c r="AS139" s="152">
        <f>IF($A139="","",IFERROR(INDEX(Company_List!$H$3:$H$207,MATCH($A139,Company_List!$A$3:$A$207,0)),"unassigned"))</f>
        <v/>
      </c>
      <c r="AT139" s="152" t="inlineStr">
        <is>
          <t>not in v1</t>
        </is>
      </c>
      <c r="AU139" s="152" t="inlineStr">
        <is>
          <t>no earlier record</t>
        </is>
      </c>
      <c r="AV139" s="152" t="n">
        <v>1</v>
      </c>
      <c r="AW139" s="152" t="inlineStr">
        <is>
          <t>not publisher-identified</t>
        </is>
      </c>
      <c r="AX139" s="152" t="inlineStr">
        <is>
          <t>not publisher-identified</t>
        </is>
      </c>
      <c r="AY139" s="152" t="inlineStr">
        <is>
          <t>no</t>
        </is>
      </c>
      <c r="AZ139" s="152" t="inlineStr">
        <is>
          <t>no</t>
        </is>
      </c>
      <c r="BA139" s="152" t="inlineStr">
        <is>
          <t>YES</t>
        </is>
      </c>
      <c r="BB139" s="152" t="n"/>
    </row>
    <row r="140" ht="15" customHeight="1" s="241">
      <c r="A140" s="191" t="inlineStr">
        <is>
          <t>FedEx</t>
        </is>
      </c>
      <c r="B140" s="188" t="inlineStr">
        <is>
          <t>FDX</t>
        </is>
      </c>
      <c r="C140" s="176" t="n">
        <v>2026</v>
      </c>
      <c r="D140" s="177" t="inlineStr">
        <is>
          <t>Q4</t>
        </is>
      </c>
      <c r="E140" s="178" t="inlineStr">
        <is>
          <t>Ben/DeepSeek</t>
        </is>
      </c>
      <c r="F140" s="177" t="inlineStr">
        <is>
          <t>LLM</t>
        </is>
      </c>
      <c r="G140" s="196" t="n">
        <v>0.22</v>
      </c>
      <c r="H140" s="177" t="inlineStr">
        <is>
          <t>BUY</t>
        </is>
      </c>
      <c r="I140" s="196" t="n"/>
      <c r="J140" s="182" t="n">
        <v>46196</v>
      </c>
      <c r="K140" s="182" t="n">
        <v>46196</v>
      </c>
      <c r="L140" s="183" t="n">
        <v>317.24</v>
      </c>
      <c r="M140" s="182" t="n">
        <v>46197</v>
      </c>
      <c r="N140" s="183" t="n">
        <v>314.77</v>
      </c>
      <c r="O140" s="180" t="n">
        <v>0.009436</v>
      </c>
      <c r="P140" s="197" t="n">
        <v>-0.007786</v>
      </c>
      <c r="Q140" s="177" t="inlineStr">
        <is>
          <t>FLAT</t>
        </is>
      </c>
      <c r="R140" s="177" t="inlineStr">
        <is>
          <t>NO</t>
        </is>
      </c>
      <c r="S140" s="176" t="n">
        <v>1</v>
      </c>
      <c r="T140" s="197" t="n">
        <v>-0.008786</v>
      </c>
      <c r="U140" s="185" t="inlineStr">
        <is>
          <t>w=[0.80,0.20,0,0] thr=(+0.20,-0.10), deployed default promoted 2026-08-18 (PSR=0.964, permutation p=0.0002 at N=233, restricted search - see blend.py)</t>
        </is>
      </c>
      <c r="V140" s="152" t="inlineStr">
        <is>
          <t>FROZEN</t>
        </is>
      </c>
      <c r="W140" s="152" t="inlineStr">
        <is>
          <t>price signal — only this window shows an abnormal move</t>
        </is>
      </c>
      <c r="X140" s="152" t="inlineStr">
        <is>
          <t>FDX</t>
        </is>
      </c>
      <c r="Y140" s="152" t="inlineStr">
        <is>
          <t>2026-06-23</t>
        </is>
      </c>
      <c r="Z140" s="152" t="n">
        <v>317.24</v>
      </c>
      <c r="AA140" s="152" t="inlineStr">
        <is>
          <t>2026-06-24</t>
        </is>
      </c>
      <c r="AB140" s="152" t="n">
        <v>314.77</v>
      </c>
      <c r="AC140" s="152" t="n">
        <v>-0.007785906814585286</v>
      </c>
      <c r="AD140" s="152" t="inlineStr">
        <is>
          <t>FLAT</t>
        </is>
      </c>
      <c r="AE140" s="152" t="inlineStr">
        <is>
          <t>YES</t>
        </is>
      </c>
      <c r="AF140" s="152" t="n">
        <v>0</v>
      </c>
      <c r="AG140" s="152">
        <f>IF($A140="","",IFERROR(INDEX(Company_List!$G$3:$G$207,MATCH($A140,Company_List!$A$3:$A$207,0)),"unassigned"))</f>
        <v/>
      </c>
      <c r="AH140" s="152" t="inlineStr">
        <is>
          <t>Phase 2/FedEx/Earnings-Transcript-Q4FY26.pdf</t>
        </is>
      </c>
      <c r="AI140" s="152" t="n"/>
      <c r="AJ140" s="152" t="inlineStr">
        <is>
          <t>unique filename match</t>
        </is>
      </c>
      <c r="AK140" s="152">
        <f>IF($A140="","",IF(COUNTIFS(Human_Data_Entry!$A$3:$A$525,$A140)&gt;0,"YES","NO"))</f>
        <v/>
      </c>
      <c r="AL140" s="152">
        <f>IF($A140="","",IF(AND($C140&amp;"-"&amp;$D140&gt;=Settings!$B$19,$C140&amp;"-"&amp;$D140&lt;=Settings!$B$20),"IN","OUT"))</f>
        <v/>
      </c>
      <c r="AM140" s="152">
        <f>IF(AND(OR($H140="BUY",$H140="SELL"),ISNUMBER($T140)),$T140,"")</f>
        <v/>
      </c>
      <c r="AN140" s="152">
        <f>IF(AND(OR($H140="BUY",$H140="SELL"),ISNUMBER($AF140)),$AF140,"")</f>
        <v/>
      </c>
      <c r="AO140" s="152">
        <f>IF(ISNUMBER($AM140),ABS(IF(ISNUMBER($G140),$G140,0)-Settings!$B$25),"")</f>
        <v/>
      </c>
      <c r="AP140" s="152">
        <f>IF(ISNUMBER($AO140),$AO140*$AM140,"")</f>
        <v/>
      </c>
      <c r="AQ140" s="152">
        <f>IF(ISNUMBER($AN140),ABS(IF(ISNUMBER($G140),$G140,0)-Settings!$B$25),"")</f>
        <v/>
      </c>
      <c r="AR140" s="152">
        <f>IF(ISNUMBER($AQ140),$AQ140*$AN140,"")</f>
        <v/>
      </c>
      <c r="AS140" s="152">
        <f>IF($A140="","",IFERROR(INDEX(Company_List!$H$3:$H$207,MATCH($A140,Company_List!$A$3:$A$207,0)),"unassigned"))</f>
        <v/>
      </c>
      <c r="AT140" s="152" t="inlineStr">
        <is>
          <t>not in v1</t>
        </is>
      </c>
      <c r="AU140" s="152" t="inlineStr">
        <is>
          <t>no earlier record</t>
        </is>
      </c>
      <c r="AV140" s="152" t="n">
        <v>1</v>
      </c>
      <c r="AW140" s="152" t="inlineStr">
        <is>
          <t>not publisher-identified</t>
        </is>
      </c>
      <c r="AX140" s="152" t="inlineStr">
        <is>
          <t>not publisher-identified</t>
        </is>
      </c>
      <c r="AY140" s="152" t="inlineStr">
        <is>
          <t>no</t>
        </is>
      </c>
      <c r="AZ140" s="152" t="inlineStr">
        <is>
          <t>no</t>
        </is>
      </c>
      <c r="BA140" s="152" t="inlineStr">
        <is>
          <t>YES</t>
        </is>
      </c>
      <c r="BB140" s="152" t="n"/>
    </row>
    <row r="141" ht="15" customHeight="1" s="241">
      <c r="A141" s="191" t="inlineStr">
        <is>
          <t>Lockheed Martin</t>
        </is>
      </c>
      <c r="B141" s="188" t="inlineStr">
        <is>
          <t>LMT</t>
        </is>
      </c>
      <c r="C141" s="176" t="n">
        <v>2025</v>
      </c>
      <c r="D141" s="177" t="inlineStr">
        <is>
          <t>Q1</t>
        </is>
      </c>
      <c r="E141" s="178" t="inlineStr">
        <is>
          <t>Ben/DeepSeek</t>
        </is>
      </c>
      <c r="F141" s="177" t="inlineStr">
        <is>
          <t>LLM</t>
        </is>
      </c>
      <c r="G141" s="196" t="n">
        <v>0.06</v>
      </c>
      <c r="H141" s="177" t="inlineStr">
        <is>
          <t>HOLD</t>
        </is>
      </c>
      <c r="I141" s="196" t="n"/>
      <c r="J141" s="182" t="n">
        <v>45769</v>
      </c>
      <c r="K141" s="182" t="n">
        <v>45768</v>
      </c>
      <c r="L141" s="183" t="n">
        <v>458.33</v>
      </c>
      <c r="M141" s="182" t="n">
        <v>45769</v>
      </c>
      <c r="N141" s="183" t="n">
        <v>458.05</v>
      </c>
      <c r="O141" s="180" t="n">
        <v>0.008798</v>
      </c>
      <c r="P141" s="197" t="n">
        <v>-0.000611</v>
      </c>
      <c r="Q141" s="177" t="inlineStr">
        <is>
          <t>FLAT</t>
        </is>
      </c>
      <c r="R141" s="177" t="inlineStr">
        <is>
          <t>YES</t>
        </is>
      </c>
      <c r="S141" s="176" t="n">
        <v>0</v>
      </c>
      <c r="T141" s="197" t="n">
        <v>0</v>
      </c>
      <c r="U141" s="185" t="inlineStr">
        <is>
          <t>w=[0.80,0.20,0,0] thr=(+0.20,-0.10), deployed default promoted 2026-08-18 (PSR=0.964, permutation p=0.0002 at N=233, restricted search - see blend.py)</t>
        </is>
      </c>
      <c r="V141" s="152" t="inlineStr">
        <is>
          <t>FROZEN</t>
        </is>
      </c>
      <c r="W141" s="152" t="inlineStr">
        <is>
          <t>earnings calendar, seconded by the issuer's habit</t>
        </is>
      </c>
      <c r="X141" s="152" t="inlineStr">
        <is>
          <t>LMT</t>
        </is>
      </c>
      <c r="Y141" s="152" t="inlineStr">
        <is>
          <t>2025-04-21</t>
        </is>
      </c>
      <c r="Z141" s="152" t="n">
        <v>443.2397</v>
      </c>
      <c r="AA141" s="152" t="inlineStr">
        <is>
          <t>2025-04-22</t>
        </is>
      </c>
      <c r="AB141" s="152" t="n">
        <v>442.969</v>
      </c>
      <c r="AC141" s="152" t="n">
        <v>-0.0006108604790666978</v>
      </c>
      <c r="AD141" s="152" t="inlineStr">
        <is>
          <t>FLAT</t>
        </is>
      </c>
      <c r="AE141" s="152" t="inlineStr">
        <is>
          <t>NO</t>
        </is>
      </c>
      <c r="AF141" s="152" t="n">
        <v>-0.000389</v>
      </c>
      <c r="AG141" s="152">
        <f>IF($A141="","",IFERROR(INDEX(Company_List!$G$3:$G$207,MATCH($A141,Company_List!$A$3:$A$207,0)),"unassigned"))</f>
        <v/>
      </c>
      <c r="AH141" s="152" t="inlineStr">
        <is>
          <t>Phase 2/Lockheed Martin/Q1/Q1 2025 Lockheed Martin Corp Earnings Call Transcript.pdf; Phase 2/Lockheed Martin/Q1/Q1 2025 Earnings Release Financial Tables.xlsx; Phase 2/Lockheed Martin/Q1/Q1 2025 Earnings Release Financial Tables.pdf; Phase 2/Lockheed Martin/Q1/1Q 2025 Earnings Release FINAL.pdf</t>
        </is>
      </c>
      <c r="AI141" s="152" t="n"/>
      <c r="AJ141" s="152" t="inlineStr">
        <is>
          <t>whole bundle (Document = All)</t>
        </is>
      </c>
      <c r="AK141" s="152">
        <f>IF($A141="","",IF(COUNTIFS(Human_Data_Entry!$A$3:$A$525,$A141)&gt;0,"YES","NO"))</f>
        <v/>
      </c>
      <c r="AL141" s="152">
        <f>IF($A141="","",IF(AND($C141&amp;"-"&amp;$D141&gt;=Settings!$B$19,$C141&amp;"-"&amp;$D141&lt;=Settings!$B$20),"IN","OUT"))</f>
        <v/>
      </c>
      <c r="AM141" s="152">
        <f>IF(AND(OR($H141="BUY",$H141="SELL"),ISNUMBER($T141)),$T141,"")</f>
        <v/>
      </c>
      <c r="AN141" s="152">
        <f>IF(AND(OR($H141="BUY",$H141="SELL"),ISNUMBER($AF141)),$AF141,"")</f>
        <v/>
      </c>
      <c r="AO141" s="152">
        <f>IF(ISNUMBER($AM141),ABS(IF(ISNUMBER($G141),$G141,0)-Settings!$B$25),"")</f>
        <v/>
      </c>
      <c r="AP141" s="152">
        <f>IF(ISNUMBER($AO141),$AO141*$AM141,"")</f>
        <v/>
      </c>
      <c r="AQ141" s="152">
        <f>IF(ISNUMBER($AN141),ABS(IF(ISNUMBER($G141),$G141,0)-Settings!$B$25),"")</f>
        <v/>
      </c>
      <c r="AR141" s="152">
        <f>IF(ISNUMBER($AQ141),$AQ141*$AN141,"")</f>
        <v/>
      </c>
      <c r="AS141" s="152">
        <f>IF($A141="","",IFERROR(INDEX(Company_List!$H$3:$H$207,MATCH($A141,Company_List!$A$3:$A$207,0)),"unassigned"))</f>
        <v/>
      </c>
      <c r="AT141" s="152" t="inlineStr">
        <is>
          <t>not in v1</t>
        </is>
      </c>
      <c r="AU141" s="152" t="inlineStr">
        <is>
          <t>no earlier record</t>
        </is>
      </c>
      <c r="AV141" s="152" t="n">
        <v>4</v>
      </c>
      <c r="AW141" s="152" t="inlineStr">
        <is>
          <t>not publisher-identified</t>
        </is>
      </c>
      <c r="AX141" s="152" t="inlineStr">
        <is>
          <t>not publisher-identified</t>
        </is>
      </c>
      <c r="AY141" s="152" t="inlineStr">
        <is>
          <t>no</t>
        </is>
      </c>
      <c r="AZ141" s="152" t="inlineStr">
        <is>
          <t>no</t>
        </is>
      </c>
      <c r="BA141" s="152" t="inlineStr">
        <is>
          <t>YES</t>
        </is>
      </c>
      <c r="BB141" s="152" t="n"/>
    </row>
    <row r="142" ht="15" customHeight="1" s="241">
      <c r="A142" s="191" t="inlineStr">
        <is>
          <t>Lockheed Martin</t>
        </is>
      </c>
      <c r="B142" s="188" t="inlineStr">
        <is>
          <t>LMT</t>
        </is>
      </c>
      <c r="C142" s="176" t="n">
        <v>2025</v>
      </c>
      <c r="D142" s="177" t="inlineStr">
        <is>
          <t>Q2</t>
        </is>
      </c>
      <c r="E142" s="178" t="inlineStr">
        <is>
          <t>Ben/DeepSeek</t>
        </is>
      </c>
      <c r="F142" s="177" t="inlineStr">
        <is>
          <t>LLM</t>
        </is>
      </c>
      <c r="G142" s="196" t="n">
        <v>-0.38</v>
      </c>
      <c r="H142" s="177" t="inlineStr">
        <is>
          <t>SELL</t>
        </is>
      </c>
      <c r="I142" s="196" t="n"/>
      <c r="J142" s="182" t="n">
        <v>45860</v>
      </c>
      <c r="K142" s="182" t="n">
        <v>45859</v>
      </c>
      <c r="L142" s="183" t="n">
        <v>460.53</v>
      </c>
      <c r="M142" s="182" t="n">
        <v>45860</v>
      </c>
      <c r="N142" s="183" t="n">
        <v>422.75</v>
      </c>
      <c r="O142" s="180" t="n">
        <v>0.010601</v>
      </c>
      <c r="P142" s="197" t="n">
        <v>-0.082036</v>
      </c>
      <c r="Q142" s="177" t="inlineStr">
        <is>
          <t>DOWN</t>
        </is>
      </c>
      <c r="R142" s="177" t="inlineStr">
        <is>
          <t>YES</t>
        </is>
      </c>
      <c r="S142" s="176" t="n">
        <v>-1</v>
      </c>
      <c r="T142" s="197" t="n">
        <v>0.081036</v>
      </c>
      <c r="U142" s="185" t="inlineStr">
        <is>
          <t>w=[0.80,0.20,0,0] thr=(+0.20,-0.10), deployed default promoted 2026-08-18 (PSR=0.964, permutation p=0.0002 at N=233, restricted search - see blend.py)</t>
        </is>
      </c>
      <c r="V142" s="152" t="inlineStr">
        <is>
          <t>FROZEN</t>
        </is>
      </c>
      <c r="W142" s="152" t="inlineStr">
        <is>
          <t>price signal</t>
        </is>
      </c>
      <c r="X142" s="152" t="inlineStr">
        <is>
          <t>LMT</t>
        </is>
      </c>
      <c r="Y142" s="152" t="inlineStr">
        <is>
          <t>2025-07-21</t>
        </is>
      </c>
      <c r="Z142" s="152" t="n">
        <v>448.435</v>
      </c>
      <c r="AA142" s="152" t="inlineStr">
        <is>
          <t>2025-07-22</t>
        </is>
      </c>
      <c r="AB142" s="152" t="n">
        <v>411.6473</v>
      </c>
      <c r="AC142" s="152" t="n">
        <v>-0.08203590110123288</v>
      </c>
      <c r="AD142" s="152" t="inlineStr">
        <is>
          <t>DOWN</t>
        </is>
      </c>
      <c r="AE142" s="152" t="inlineStr">
        <is>
          <t>YES</t>
        </is>
      </c>
      <c r="AF142" s="152" t="n">
        <v>0.081036</v>
      </c>
      <c r="AG142" s="152">
        <f>IF($A142="","",IFERROR(INDEX(Company_List!$G$3:$G$207,MATCH($A142,Company_List!$A$3:$A$207,0)),"unassigned"))</f>
        <v/>
      </c>
      <c r="AH142" s="152" t="inlineStr">
        <is>
          <t>Phase 2/Lockheed Martin/Q2/Q2 2025 Lockheed Martin Corp Earnings Call Transcript.pdf; Phase 2/Lockheed Martin/Q2/Q2 2025 Earnings Release Financial Tables.xlsx; Phase 2/Lockheed Martin/Q2/Q2 2025 Earnings Release Financial Tables.pdf; Phase 2/Lockheed Martin/Q2/2Q 2025 Earnings Release FINAL.pdf</t>
        </is>
      </c>
      <c r="AI142" s="152" t="n"/>
      <c r="AJ142" s="152" t="inlineStr">
        <is>
          <t>whole bundle (Document = All)</t>
        </is>
      </c>
      <c r="AK142" s="152">
        <f>IF($A142="","",IF(COUNTIFS(Human_Data_Entry!$A$3:$A$525,$A142)&gt;0,"YES","NO"))</f>
        <v/>
      </c>
      <c r="AL142" s="152">
        <f>IF($A142="","",IF(AND($C142&amp;"-"&amp;$D142&gt;=Settings!$B$19,$C142&amp;"-"&amp;$D142&lt;=Settings!$B$20),"IN","OUT"))</f>
        <v/>
      </c>
      <c r="AM142" s="152">
        <f>IF(AND(OR($H142="BUY",$H142="SELL"),ISNUMBER($T142)),$T142,"")</f>
        <v/>
      </c>
      <c r="AN142" s="152">
        <f>IF(AND(OR($H142="BUY",$H142="SELL"),ISNUMBER($AF142)),$AF142,"")</f>
        <v/>
      </c>
      <c r="AO142" s="152">
        <f>IF(ISNUMBER($AM142),ABS(IF(ISNUMBER($G142),$G142,0)-Settings!$B$25),"")</f>
        <v/>
      </c>
      <c r="AP142" s="152">
        <f>IF(ISNUMBER($AO142),$AO142*$AM142,"")</f>
        <v/>
      </c>
      <c r="AQ142" s="152">
        <f>IF(ISNUMBER($AN142),ABS(IF(ISNUMBER($G142),$G142,0)-Settings!$B$25),"")</f>
        <v/>
      </c>
      <c r="AR142" s="152">
        <f>IF(ISNUMBER($AQ142),$AQ142*$AN142,"")</f>
        <v/>
      </c>
      <c r="AS142" s="152">
        <f>IF($A142="","",IFERROR(INDEX(Company_List!$H$3:$H$207,MATCH($A142,Company_List!$A$3:$A$207,0)),"unassigned"))</f>
        <v/>
      </c>
      <c r="AT142" s="152" t="inlineStr">
        <is>
          <t>not in v1</t>
        </is>
      </c>
      <c r="AU142" s="152" t="inlineStr">
        <is>
          <t>no earlier record</t>
        </is>
      </c>
      <c r="AV142" s="152" t="n">
        <v>4</v>
      </c>
      <c r="AW142" s="152" t="inlineStr">
        <is>
          <t>not publisher-identified</t>
        </is>
      </c>
      <c r="AX142" s="152" t="inlineStr">
        <is>
          <t>not publisher-identified</t>
        </is>
      </c>
      <c r="AY142" s="152" t="inlineStr">
        <is>
          <t>no</t>
        </is>
      </c>
      <c r="AZ142" s="152" t="inlineStr">
        <is>
          <t>no</t>
        </is>
      </c>
      <c r="BA142" s="152" t="inlineStr">
        <is>
          <t>YES</t>
        </is>
      </c>
      <c r="BB142" s="152" t="n"/>
    </row>
    <row r="143" ht="15" customHeight="1" s="241">
      <c r="A143" s="191" t="inlineStr">
        <is>
          <t>Lockheed Martin</t>
        </is>
      </c>
      <c r="B143" s="188" t="inlineStr">
        <is>
          <t>LMT</t>
        </is>
      </c>
      <c r="C143" s="176" t="n">
        <v>2025</v>
      </c>
      <c r="D143" s="177" t="inlineStr">
        <is>
          <t>Q3</t>
        </is>
      </c>
      <c r="E143" s="178" t="inlineStr">
        <is>
          <t>Ben/DeepSeek</t>
        </is>
      </c>
      <c r="F143" s="177" t="inlineStr">
        <is>
          <t>LLM</t>
        </is>
      </c>
      <c r="G143" s="196" t="n">
        <v>0.5</v>
      </c>
      <c r="H143" s="177" t="inlineStr">
        <is>
          <t>BUY</t>
        </is>
      </c>
      <c r="I143" s="196" t="n"/>
      <c r="J143" s="182" t="n">
        <v>45951</v>
      </c>
      <c r="K143" s="182" t="n">
        <v>45950</v>
      </c>
      <c r="L143" s="183" t="n">
        <v>505.9</v>
      </c>
      <c r="M143" s="182" t="n">
        <v>45951</v>
      </c>
      <c r="N143" s="183" t="n">
        <v>482.71</v>
      </c>
      <c r="O143" s="180" t="n">
        <v>0.009089</v>
      </c>
      <c r="P143" s="197" t="n">
        <v>-0.045839</v>
      </c>
      <c r="Q143" s="177" t="inlineStr">
        <is>
          <t>DOWN</t>
        </is>
      </c>
      <c r="R143" s="177" t="inlineStr">
        <is>
          <t>NO</t>
        </is>
      </c>
      <c r="S143" s="176" t="n">
        <v>1</v>
      </c>
      <c r="T143" s="197" t="n">
        <v>-0.046839</v>
      </c>
      <c r="U143" s="185" t="inlineStr">
        <is>
          <t>w=[0.80,0.20,0,0] thr=(+0.20,-0.10), deployed default promoted 2026-08-18 (PSR=0.964, permutation p=0.0002 at N=233, restricted search - see blend.py)</t>
        </is>
      </c>
      <c r="V143" s="152" t="inlineStr">
        <is>
          <t>FROZEN</t>
        </is>
      </c>
      <c r="W143" s="152" t="inlineStr">
        <is>
          <t>price signal</t>
        </is>
      </c>
      <c r="X143" s="152" t="inlineStr">
        <is>
          <t>LMT</t>
        </is>
      </c>
      <c r="Y143" s="152" t="inlineStr">
        <is>
          <t>2025-10-20</t>
        </is>
      </c>
      <c r="Z143" s="152" t="n">
        <v>496.2074</v>
      </c>
      <c r="AA143" s="152" t="inlineStr">
        <is>
          <t>2025-10-21</t>
        </is>
      </c>
      <c r="AB143" s="152" t="n">
        <v>473.4617</v>
      </c>
      <c r="AC143" s="152" t="n">
        <v>-0.0458391078337796</v>
      </c>
      <c r="AD143" s="152" t="inlineStr">
        <is>
          <t>DOWN</t>
        </is>
      </c>
      <c r="AE143" s="152" t="inlineStr">
        <is>
          <t>NO</t>
        </is>
      </c>
      <c r="AF143" s="152" t="n">
        <v>-0.046839</v>
      </c>
      <c r="AG143" s="152">
        <f>IF($A143="","",IFERROR(INDEX(Company_List!$G$3:$G$207,MATCH($A143,Company_List!$A$3:$A$207,0)),"unassigned"))</f>
        <v/>
      </c>
      <c r="AH143" s="152" t="inlineStr">
        <is>
          <t>Phase 2/Lockheed Martin/Q3/Q3 2025 Lockheed Martin Corp Earnings Call Transcript.pdf; Phase 2/Lockheed Martin/Q3/LMT 3Q 2025 Earnings Release.pdf; Phase 2/Lockheed Martin/Q3/LMT 3Q 2025 Earnings Release Financial Tables.xlsx; Phase 2/Lockheed Martin/Q3/LMT 3Q 2025 Earnings Release Financial Tables.pdf; Phase 2/Lockheed Martin/Q3/LMT 3Q 2025 Earnings Release Charts.pdf</t>
        </is>
      </c>
      <c r="AI143" s="152" t="n"/>
      <c r="AJ143" s="152" t="inlineStr">
        <is>
          <t>whole bundle (Document = All)</t>
        </is>
      </c>
      <c r="AK143" s="152">
        <f>IF($A143="","",IF(COUNTIFS(Human_Data_Entry!$A$3:$A$525,$A143)&gt;0,"YES","NO"))</f>
        <v/>
      </c>
      <c r="AL143" s="152">
        <f>IF($A143="","",IF(AND($C143&amp;"-"&amp;$D143&gt;=Settings!$B$19,$C143&amp;"-"&amp;$D143&lt;=Settings!$B$20),"IN","OUT"))</f>
        <v/>
      </c>
      <c r="AM143" s="152">
        <f>IF(AND(OR($H143="BUY",$H143="SELL"),ISNUMBER($T143)),$T143,"")</f>
        <v/>
      </c>
      <c r="AN143" s="152">
        <f>IF(AND(OR($H143="BUY",$H143="SELL"),ISNUMBER($AF143)),$AF143,"")</f>
        <v/>
      </c>
      <c r="AO143" s="152">
        <f>IF(ISNUMBER($AM143),ABS(IF(ISNUMBER($G143),$G143,0)-Settings!$B$25),"")</f>
        <v/>
      </c>
      <c r="AP143" s="152">
        <f>IF(ISNUMBER($AO143),$AO143*$AM143,"")</f>
        <v/>
      </c>
      <c r="AQ143" s="152">
        <f>IF(ISNUMBER($AN143),ABS(IF(ISNUMBER($G143),$G143,0)-Settings!$B$25),"")</f>
        <v/>
      </c>
      <c r="AR143" s="152">
        <f>IF(ISNUMBER($AQ143),$AQ143*$AN143,"")</f>
        <v/>
      </c>
      <c r="AS143" s="152">
        <f>IF($A143="","",IFERROR(INDEX(Company_List!$H$3:$H$207,MATCH($A143,Company_List!$A$3:$A$207,0)),"unassigned"))</f>
        <v/>
      </c>
      <c r="AT143" s="152" t="inlineStr">
        <is>
          <t>not in v1</t>
        </is>
      </c>
      <c r="AU143" s="152" t="inlineStr">
        <is>
          <t>no earlier record</t>
        </is>
      </c>
      <c r="AV143" s="152" t="n">
        <v>5</v>
      </c>
      <c r="AW143" s="152" t="inlineStr">
        <is>
          <t>not publisher-identified</t>
        </is>
      </c>
      <c r="AX143" s="152" t="inlineStr">
        <is>
          <t>not publisher-identified</t>
        </is>
      </c>
      <c r="AY143" s="152" t="inlineStr">
        <is>
          <t>no</t>
        </is>
      </c>
      <c r="AZ143" s="152" t="inlineStr">
        <is>
          <t>no</t>
        </is>
      </c>
      <c r="BA143" s="152" t="inlineStr">
        <is>
          <t>YES</t>
        </is>
      </c>
      <c r="BB143" s="152" t="n"/>
    </row>
    <row r="144" ht="15" customHeight="1" s="241">
      <c r="A144" s="191" t="inlineStr">
        <is>
          <t>Lockheed Martin</t>
        </is>
      </c>
      <c r="B144" s="188" t="inlineStr">
        <is>
          <t>LMT</t>
        </is>
      </c>
      <c r="C144" s="176" t="n">
        <v>2025</v>
      </c>
      <c r="D144" s="177" t="inlineStr">
        <is>
          <t>Q4</t>
        </is>
      </c>
      <c r="E144" s="178" t="inlineStr">
        <is>
          <t>Ben/DeepSeek</t>
        </is>
      </c>
      <c r="F144" s="177" t="inlineStr">
        <is>
          <t>LLM</t>
        </is>
      </c>
      <c r="G144" s="196" t="n">
        <v>0.49</v>
      </c>
      <c r="H144" s="177" t="inlineStr">
        <is>
          <t>BUY</t>
        </is>
      </c>
      <c r="I144" s="196" t="n"/>
      <c r="J144" s="182" t="n">
        <v>46051</v>
      </c>
      <c r="K144" s="182" t="n">
        <v>46050</v>
      </c>
      <c r="L144" s="183" t="n">
        <v>597.27</v>
      </c>
      <c r="M144" s="182" t="n">
        <v>46051</v>
      </c>
      <c r="N144" s="183" t="n">
        <v>609.24</v>
      </c>
      <c r="O144" s="180" t="n">
        <v>0.009294999999999999</v>
      </c>
      <c r="P144" s="197" t="n">
        <v>0.020041</v>
      </c>
      <c r="Q144" s="177" t="inlineStr">
        <is>
          <t>UP</t>
        </is>
      </c>
      <c r="R144" s="177" t="inlineStr">
        <is>
          <t>YES</t>
        </is>
      </c>
      <c r="S144" s="176" t="n">
        <v>1</v>
      </c>
      <c r="T144" s="197" t="n">
        <v>0.019041</v>
      </c>
      <c r="U144" s="185" t="inlineStr">
        <is>
          <t>w=[0.80,0.20,0,0] thr=(+0.20,-0.10), deployed default promoted 2026-08-18 (PSR=0.964, permutation p=0.0002 at N=233, restricted search - see blend.py)</t>
        </is>
      </c>
      <c r="V144" s="152" t="inlineStr">
        <is>
          <t>FROZEN</t>
        </is>
      </c>
      <c r="W144" s="152" t="inlineStr">
        <is>
          <t>release date + stated time</t>
        </is>
      </c>
      <c r="X144" s="152" t="inlineStr">
        <is>
          <t>LMT</t>
        </is>
      </c>
      <c r="Y144" s="152" t="inlineStr">
        <is>
          <t>2026-01-28</t>
        </is>
      </c>
      <c r="Z144" s="152" t="n">
        <v>590.2745</v>
      </c>
      <c r="AA144" s="152" t="inlineStr">
        <is>
          <t>2026-01-29</t>
        </is>
      </c>
      <c r="AB144" s="152" t="n">
        <v>602.1043</v>
      </c>
      <c r="AC144" s="152" t="n">
        <v>0.02004118399790735</v>
      </c>
      <c r="AD144" s="152" t="inlineStr">
        <is>
          <t>UP</t>
        </is>
      </c>
      <c r="AE144" s="152" t="inlineStr">
        <is>
          <t>YES</t>
        </is>
      </c>
      <c r="AF144" s="152" t="n">
        <v>0.019041</v>
      </c>
      <c r="AG144" s="152">
        <f>IF($A144="","",IFERROR(INDEX(Company_List!$G$3:$G$207,MATCH($A144,Company_List!$A$3:$A$207,0)),"unassigned"))</f>
        <v/>
      </c>
      <c r="AH144" s="152" t="inlineStr">
        <is>
          <t>Phase 2/Lockheed Martin/Q4/Q4 2025 Lockheed Martin Corp Earnings Call Transcript.pdf; Phase 2/Lockheed Martin/Q4/LMT 4Q 2025 Earnings Press Release.pdf; Phase 2/Lockheed Martin/Q4/LMT 4Q 2025 Earnings Presentation Slides.pdf; Phase 2/Lockheed Martin/Q4/LMT 4Q 2025 Earnings Financial Table.xlsx; Phase 2/Lockheed Martin/Q4/LMT 4Q 2025 Earnings Financial Table.pdf</t>
        </is>
      </c>
      <c r="AI144" s="152" t="n"/>
      <c r="AJ144" s="152" t="inlineStr">
        <is>
          <t>whole bundle (Document = All)</t>
        </is>
      </c>
      <c r="AK144" s="152">
        <f>IF($A144="","",IF(COUNTIFS(Human_Data_Entry!$A$3:$A$525,$A144)&gt;0,"YES","NO"))</f>
        <v/>
      </c>
      <c r="AL144" s="152">
        <f>IF($A144="","",IF(AND($C144&amp;"-"&amp;$D144&gt;=Settings!$B$19,$C144&amp;"-"&amp;$D144&lt;=Settings!$B$20),"IN","OUT"))</f>
        <v/>
      </c>
      <c r="AM144" s="152">
        <f>IF(AND(OR($H144="BUY",$H144="SELL"),ISNUMBER($T144)),$T144,"")</f>
        <v/>
      </c>
      <c r="AN144" s="152">
        <f>IF(AND(OR($H144="BUY",$H144="SELL"),ISNUMBER($AF144)),$AF144,"")</f>
        <v/>
      </c>
      <c r="AO144" s="152">
        <f>IF(ISNUMBER($AM144),ABS(IF(ISNUMBER($G144),$G144,0)-Settings!$B$25),"")</f>
        <v/>
      </c>
      <c r="AP144" s="152">
        <f>IF(ISNUMBER($AO144),$AO144*$AM144,"")</f>
        <v/>
      </c>
      <c r="AQ144" s="152">
        <f>IF(ISNUMBER($AN144),ABS(IF(ISNUMBER($G144),$G144,0)-Settings!$B$25),"")</f>
        <v/>
      </c>
      <c r="AR144" s="152">
        <f>IF(ISNUMBER($AQ144),$AQ144*$AN144,"")</f>
        <v/>
      </c>
      <c r="AS144" s="152">
        <f>IF($A144="","",IFERROR(INDEX(Company_List!$H$3:$H$207,MATCH($A144,Company_List!$A$3:$A$207,0)),"unassigned"))</f>
        <v/>
      </c>
      <c r="AT144" s="152" t="inlineStr">
        <is>
          <t>not in v1</t>
        </is>
      </c>
      <c r="AU144" s="152" t="inlineStr">
        <is>
          <t>no earlier record</t>
        </is>
      </c>
      <c r="AV144" s="152" t="n">
        <v>5</v>
      </c>
      <c r="AW144" s="152" t="inlineStr">
        <is>
          <t>not publisher-identified</t>
        </is>
      </c>
      <c r="AX144" s="152" t="inlineStr">
        <is>
          <t>not publisher-identified</t>
        </is>
      </c>
      <c r="AY144" s="152" t="inlineStr">
        <is>
          <t>no</t>
        </is>
      </c>
      <c r="AZ144" s="152" t="inlineStr">
        <is>
          <t>no</t>
        </is>
      </c>
      <c r="BA144" s="152" t="inlineStr">
        <is>
          <t>YES</t>
        </is>
      </c>
      <c r="BB144" s="152" t="n"/>
    </row>
    <row r="145" ht="15" customHeight="1" s="241">
      <c r="A145" s="191" t="inlineStr">
        <is>
          <t>Novo Nordisk</t>
        </is>
      </c>
      <c r="B145" s="188" t="inlineStr">
        <is>
          <t>NVO</t>
        </is>
      </c>
      <c r="C145" s="176" t="n">
        <v>2025</v>
      </c>
      <c r="D145" s="177" t="inlineStr">
        <is>
          <t>Q1</t>
        </is>
      </c>
      <c r="E145" s="178" t="inlineStr">
        <is>
          <t>Ben/DeepSeek</t>
        </is>
      </c>
      <c r="F145" s="177" t="inlineStr">
        <is>
          <t>LLM</t>
        </is>
      </c>
      <c r="G145" s="196" t="n">
        <v>-0.46</v>
      </c>
      <c r="H145" s="177" t="inlineStr">
        <is>
          <t>SELL</t>
        </is>
      </c>
      <c r="I145" s="196" t="n"/>
      <c r="J145" s="182" t="n">
        <v>45784</v>
      </c>
      <c r="K145" s="182" t="n">
        <v>45783</v>
      </c>
      <c r="L145" s="183" t="n">
        <v>66.29000000000001</v>
      </c>
      <c r="M145" s="182" t="n">
        <v>45784</v>
      </c>
      <c r="N145" s="183" t="n">
        <v>69.34999999999999</v>
      </c>
      <c r="O145" s="180" t="n">
        <v>0.01434</v>
      </c>
      <c r="P145" s="197" t="n">
        <v>0.046161</v>
      </c>
      <c r="Q145" s="177" t="inlineStr">
        <is>
          <t>UP</t>
        </is>
      </c>
      <c r="R145" s="177" t="inlineStr">
        <is>
          <t>NO</t>
        </is>
      </c>
      <c r="S145" s="176" t="n">
        <v>-1</v>
      </c>
      <c r="T145" s="197" t="n">
        <v>-0.047161</v>
      </c>
      <c r="U145" s="185" t="inlineStr">
        <is>
          <t>w=[0.80,0.20,0,0] thr=(+0.20,-0.10), deployed default promoted 2026-08-18 (PSR=0.964, permutation p=0.0002 at N=233, restricted search - see blend.py)</t>
        </is>
      </c>
      <c r="V145" s="152" t="inlineStr">
        <is>
          <t>FROZEN</t>
        </is>
      </c>
      <c r="W145" s="152" t="inlineStr">
        <is>
          <t>repriced on the issuer's primary listing</t>
        </is>
      </c>
      <c r="X145" s="152" t="inlineStr">
        <is>
          <t>NOVO-B.CO</t>
        </is>
      </c>
      <c r="Y145" s="152" t="inlineStr">
        <is>
          <t>2025-05-06</t>
        </is>
      </c>
      <c r="Z145" s="152" t="n">
        <v>421.4183</v>
      </c>
      <c r="AA145" s="152" t="inlineStr">
        <is>
          <t>2025-05-07</t>
        </is>
      </c>
      <c r="AB145" s="152" t="n">
        <v>421.3705</v>
      </c>
      <c r="AC145" s="152" t="n">
        <v>-0.0001132916695550904</v>
      </c>
      <c r="AD145" s="152" t="inlineStr">
        <is>
          <t>FLAT</t>
        </is>
      </c>
      <c r="AE145" s="152" t="inlineStr">
        <is>
          <t>NO</t>
        </is>
      </c>
      <c r="AF145" s="152" t="n">
        <v>-0.000887</v>
      </c>
      <c r="AG145" s="152">
        <f>IF($A145="","",IFERROR(INDEX(Company_List!$G$3:$G$207,MATCH($A145,Company_List!$A$3:$A$207,0)),"unassigned"))</f>
        <v/>
      </c>
      <c r="AH145" s="152" t="inlineStr">
        <is>
          <t>Phase 2/Novo Nordisk/Q1/ca250507-q1-2025-updated.pdf; Phase 2/Novo Nordisk/Q1/Q1-2025-investor-presentation.pdf; Phase 2/Novo Nordisk/Q1/Q1-2025-financial-workbook.xlsx; Phase 2/Novo Nordisk/Q1/Q1 2025 Novo Nordisk A:S Earnings Call Transcript.pdf</t>
        </is>
      </c>
      <c r="AI145" s="152" t="n"/>
      <c r="AJ145" s="152" t="inlineStr">
        <is>
          <t>whole bundle (Document = All)</t>
        </is>
      </c>
      <c r="AK145" s="152">
        <f>IF($A145="","",IF(COUNTIFS(Human_Data_Entry!$A$3:$A$525,$A145)&gt;0,"YES","NO"))</f>
        <v/>
      </c>
      <c r="AL145" s="152">
        <f>IF($A145="","",IF(AND($C145&amp;"-"&amp;$D145&gt;=Settings!$B$19,$C145&amp;"-"&amp;$D145&lt;=Settings!$B$20),"IN","OUT"))</f>
        <v/>
      </c>
      <c r="AM145" s="152">
        <f>IF(AND(OR($H145="BUY",$H145="SELL"),ISNUMBER($T145)),$T145,"")</f>
        <v/>
      </c>
      <c r="AN145" s="152">
        <f>IF(AND(OR($H145="BUY",$H145="SELL"),ISNUMBER($AF145)),$AF145,"")</f>
        <v/>
      </c>
      <c r="AO145" s="152">
        <f>IF(ISNUMBER($AM145),ABS(IF(ISNUMBER($G145),$G145,0)-Settings!$B$25),"")</f>
        <v/>
      </c>
      <c r="AP145" s="152">
        <f>IF(ISNUMBER($AO145),$AO145*$AM145,"")</f>
        <v/>
      </c>
      <c r="AQ145" s="152">
        <f>IF(ISNUMBER($AN145),ABS(IF(ISNUMBER($G145),$G145,0)-Settings!$B$25),"")</f>
        <v/>
      </c>
      <c r="AR145" s="152">
        <f>IF(ISNUMBER($AQ145),$AQ145*$AN145,"")</f>
        <v/>
      </c>
      <c r="AS145" s="152">
        <f>IF($A145="","",IFERROR(INDEX(Company_List!$H$3:$H$207,MATCH($A145,Company_List!$A$3:$A$207,0)),"unassigned"))</f>
        <v/>
      </c>
      <c r="AT145" s="152" t="inlineStr">
        <is>
          <t>not in v1</t>
        </is>
      </c>
      <c r="AU145" s="152" t="inlineStr">
        <is>
          <t>no earlier record</t>
        </is>
      </c>
      <c r="AV145" s="152" t="n">
        <v>4</v>
      </c>
      <c r="AW145" s="152" t="inlineStr">
        <is>
          <t>not publisher-identified</t>
        </is>
      </c>
      <c r="AX145" s="152" t="inlineStr">
        <is>
          <t>not publisher-identified</t>
        </is>
      </c>
      <c r="AY145" s="152" t="inlineStr">
        <is>
          <t>no</t>
        </is>
      </c>
      <c r="AZ145" s="152" t="inlineStr">
        <is>
          <t>no</t>
        </is>
      </c>
      <c r="BA145" s="152" t="inlineStr">
        <is>
          <t>YES</t>
        </is>
      </c>
      <c r="BB145" s="152" t="n"/>
    </row>
    <row r="146" ht="15" customHeight="1" s="241">
      <c r="A146" s="191" t="inlineStr">
        <is>
          <t>Novo Nordisk</t>
        </is>
      </c>
      <c r="B146" s="188" t="inlineStr">
        <is>
          <t>NVO</t>
        </is>
      </c>
      <c r="C146" s="176" t="n">
        <v>2025</v>
      </c>
      <c r="D146" s="177" t="inlineStr">
        <is>
          <t>Q2</t>
        </is>
      </c>
      <c r="E146" s="178" t="inlineStr">
        <is>
          <t>Ben/DeepSeek</t>
        </is>
      </c>
      <c r="F146" s="177" t="inlineStr">
        <is>
          <t>LLM</t>
        </is>
      </c>
      <c r="G146" s="196" t="n">
        <v>-0.38</v>
      </c>
      <c r="H146" s="177" t="inlineStr">
        <is>
          <t>SELL</t>
        </is>
      </c>
      <c r="I146" s="196" t="n"/>
      <c r="J146" s="182" t="n">
        <v>45875</v>
      </c>
      <c r="K146" s="182" t="n">
        <v>45874</v>
      </c>
      <c r="L146" s="183" t="n">
        <v>47.22</v>
      </c>
      <c r="M146" s="182" t="n">
        <v>45875</v>
      </c>
      <c r="N146" s="183" t="n">
        <v>45.97</v>
      </c>
      <c r="O146" s="180" t="n">
        <v>0.016154</v>
      </c>
      <c r="P146" s="197" t="n">
        <v>-0.026472</v>
      </c>
      <c r="Q146" s="177" t="inlineStr">
        <is>
          <t>DOWN</t>
        </is>
      </c>
      <c r="R146" s="177" t="inlineStr">
        <is>
          <t>YES</t>
        </is>
      </c>
      <c r="S146" s="176" t="n">
        <v>-1</v>
      </c>
      <c r="T146" s="197" t="n">
        <v>0.025472</v>
      </c>
      <c r="U146" s="185" t="inlineStr">
        <is>
          <t>w=[0.80,0.20,0,0] thr=(+0.20,-0.10), deployed default promoted 2026-08-18 (PSR=0.964, permutation p=0.0002 at N=233, restricted search - see blend.py)</t>
        </is>
      </c>
      <c r="V146" s="152" t="inlineStr">
        <is>
          <t>FROZEN</t>
        </is>
      </c>
      <c r="W146" s="152" t="inlineStr">
        <is>
          <t>repriced on the issuer's primary listing</t>
        </is>
      </c>
      <c r="X146" s="152" t="inlineStr">
        <is>
          <t>NOVO-B.CO</t>
        </is>
      </c>
      <c r="Y146" s="152" t="inlineStr">
        <is>
          <t>2025-08-05</t>
        </is>
      </c>
      <c r="Z146" s="152" t="n">
        <v>292.284</v>
      </c>
      <c r="AA146" s="152" t="inlineStr">
        <is>
          <t>2025-08-06</t>
        </is>
      </c>
      <c r="AB146" s="152" t="n">
        <v>296.2015</v>
      </c>
      <c r="AC146" s="152" t="n">
        <v>0.01340307368649402</v>
      </c>
      <c r="AD146" s="152" t="inlineStr">
        <is>
          <t>FLAT</t>
        </is>
      </c>
      <c r="AE146" s="152" t="inlineStr">
        <is>
          <t>NO</t>
        </is>
      </c>
      <c r="AF146" s="152" t="n">
        <v>-0.014403</v>
      </c>
      <c r="AG146" s="152">
        <f>IF($A146="","",IFERROR(INDEX(Company_List!$G$3:$G$207,MATCH($A146,Company_List!$A$3:$A$207,0)),"unassigned"))</f>
        <v/>
      </c>
      <c r="AH146" s="152" t="inlineStr">
        <is>
          <t>Phase 2/Novo Nordisk/Q2/Q2-2025-investor-presentation-updated.pdf; Phase 2/Novo Nordisk/Q2/Q2-2025-financial-workbook.xlsx; Phase 2/Novo Nordisk/Q2/Q2 2025 Novo Nordisk A:S Earnings Call Transcript.pdf</t>
        </is>
      </c>
      <c r="AI146" s="152" t="n"/>
      <c r="AJ146" s="152" t="inlineStr">
        <is>
          <t>whole bundle (Document = All)</t>
        </is>
      </c>
      <c r="AK146" s="152">
        <f>IF($A146="","",IF(COUNTIFS(Human_Data_Entry!$A$3:$A$525,$A146)&gt;0,"YES","NO"))</f>
        <v/>
      </c>
      <c r="AL146" s="152">
        <f>IF($A146="","",IF(AND($C146&amp;"-"&amp;$D146&gt;=Settings!$B$19,$C146&amp;"-"&amp;$D146&lt;=Settings!$B$20),"IN","OUT"))</f>
        <v/>
      </c>
      <c r="AM146" s="152">
        <f>IF(AND(OR($H146="BUY",$H146="SELL"),ISNUMBER($T146)),$T146,"")</f>
        <v/>
      </c>
      <c r="AN146" s="152">
        <f>IF(AND(OR($H146="BUY",$H146="SELL"),ISNUMBER($AF146)),$AF146,"")</f>
        <v/>
      </c>
      <c r="AO146" s="152">
        <f>IF(ISNUMBER($AM146),ABS(IF(ISNUMBER($G146),$G146,0)-Settings!$B$25),"")</f>
        <v/>
      </c>
      <c r="AP146" s="152">
        <f>IF(ISNUMBER($AO146),$AO146*$AM146,"")</f>
        <v/>
      </c>
      <c r="AQ146" s="152">
        <f>IF(ISNUMBER($AN146),ABS(IF(ISNUMBER($G146),$G146,0)-Settings!$B$25),"")</f>
        <v/>
      </c>
      <c r="AR146" s="152">
        <f>IF(ISNUMBER($AQ146),$AQ146*$AN146,"")</f>
        <v/>
      </c>
      <c r="AS146" s="152">
        <f>IF($A146="","",IFERROR(INDEX(Company_List!$H$3:$H$207,MATCH($A146,Company_List!$A$3:$A$207,0)),"unassigned"))</f>
        <v/>
      </c>
      <c r="AT146" s="152" t="inlineStr">
        <is>
          <t>not in v1</t>
        </is>
      </c>
      <c r="AU146" s="152" t="inlineStr">
        <is>
          <t>no earlier record</t>
        </is>
      </c>
      <c r="AV146" s="152" t="n">
        <v>3</v>
      </c>
      <c r="AW146" s="152" t="inlineStr">
        <is>
          <t>not publisher-identified</t>
        </is>
      </c>
      <c r="AX146" s="152" t="inlineStr">
        <is>
          <t>not publisher-identified</t>
        </is>
      </c>
      <c r="AY146" s="152" t="inlineStr">
        <is>
          <t>no</t>
        </is>
      </c>
      <c r="AZ146" s="152" t="inlineStr">
        <is>
          <t>no</t>
        </is>
      </c>
      <c r="BA146" s="152" t="inlineStr">
        <is>
          <t>YES</t>
        </is>
      </c>
      <c r="BB146" s="152" t="n"/>
    </row>
    <row r="147" ht="15" customHeight="1" s="241">
      <c r="A147" s="191" t="inlineStr">
        <is>
          <t>Novo Nordisk</t>
        </is>
      </c>
      <c r="B147" s="188" t="inlineStr">
        <is>
          <t>NVO</t>
        </is>
      </c>
      <c r="C147" s="176" t="n">
        <v>2025</v>
      </c>
      <c r="D147" s="177" t="inlineStr">
        <is>
          <t>Q3</t>
        </is>
      </c>
      <c r="E147" s="178" t="inlineStr">
        <is>
          <t>Ben/DeepSeek</t>
        </is>
      </c>
      <c r="F147" s="177" t="inlineStr">
        <is>
          <t>LLM</t>
        </is>
      </c>
      <c r="G147" s="196" t="n">
        <v>-0.34</v>
      </c>
      <c r="H147" s="177" t="inlineStr">
        <is>
          <t>SELL</t>
        </is>
      </c>
      <c r="I147" s="196" t="n"/>
      <c r="J147" s="182" t="n">
        <v>45966</v>
      </c>
      <c r="K147" s="182" t="n">
        <v>45965</v>
      </c>
      <c r="L147" s="183" t="n">
        <v>48.25</v>
      </c>
      <c r="M147" s="182" t="n">
        <v>45966</v>
      </c>
      <c r="N147" s="183" t="n">
        <v>46.98</v>
      </c>
      <c r="O147" s="180" t="n">
        <v>0.016243</v>
      </c>
      <c r="P147" s="197" t="n">
        <v>-0.026321</v>
      </c>
      <c r="Q147" s="177" t="inlineStr">
        <is>
          <t>DOWN</t>
        </is>
      </c>
      <c r="R147" s="177" t="inlineStr">
        <is>
          <t>YES</t>
        </is>
      </c>
      <c r="S147" s="176" t="n">
        <v>-1</v>
      </c>
      <c r="T147" s="197" t="n">
        <v>0.025321</v>
      </c>
      <c r="U147" s="185" t="inlineStr">
        <is>
          <t>w=[0.80,0.20,0,0] thr=(+0.20,-0.10), deployed default promoted 2026-08-18 (PSR=0.964, permutation p=0.0002 at N=233, restricted search - see blend.py)</t>
        </is>
      </c>
      <c r="V147" s="152" t="inlineStr">
        <is>
          <t>FROZEN</t>
        </is>
      </c>
      <c r="W147" s="152" t="inlineStr">
        <is>
          <t>repriced on the issuer's primary listing</t>
        </is>
      </c>
      <c r="X147" s="152" t="inlineStr">
        <is>
          <t>NOVO-B.CO</t>
        </is>
      </c>
      <c r="Y147" s="152" t="inlineStr">
        <is>
          <t>2025-11-04</t>
        </is>
      </c>
      <c r="Z147" s="152" t="n">
        <v>304.6911</v>
      </c>
      <c r="AA147" s="152" t="inlineStr">
        <is>
          <t>2025-11-05</t>
        </is>
      </c>
      <c r="AB147" s="152" t="n">
        <v>293.1879</v>
      </c>
      <c r="AC147" s="152" t="n">
        <v>-0.03775387126395204</v>
      </c>
      <c r="AD147" s="152" t="inlineStr">
        <is>
          <t>DOWN</t>
        </is>
      </c>
      <c r="AE147" s="152" t="inlineStr">
        <is>
          <t>YES</t>
        </is>
      </c>
      <c r="AF147" s="152" t="n">
        <v>0.036754</v>
      </c>
      <c r="AG147" s="152">
        <f>IF($A147="","",IFERROR(INDEX(Company_List!$G$3:$G$207,MATCH($A147,Company_List!$A$3:$A$207,0)),"unassigned"))</f>
        <v/>
      </c>
      <c r="AH147" s="152" t="inlineStr">
        <is>
          <t>Phase 2/Novo Nordisk/Q3/ca251105-q3-2025.pdf; Phase 2/Novo Nordisk/Q3/Q3-investor-presentation-2025.pdf; Phase 2/Novo Nordisk/Q3/Q3-2025-financial-workbook.xlsx; Phase 2/Novo Nordisk/Q3/Novo Nordisk (NVO) Q3 2025 Earnings Transcript | The Motley Fool.pdf</t>
        </is>
      </c>
      <c r="AI147" s="152" t="n"/>
      <c r="AJ147" s="152" t="inlineStr">
        <is>
          <t>whole bundle (Document = All)</t>
        </is>
      </c>
      <c r="AK147" s="152">
        <f>IF($A147="","",IF(COUNTIFS(Human_Data_Entry!$A$3:$A$525,$A147)&gt;0,"YES","NO"))</f>
        <v/>
      </c>
      <c r="AL147" s="152">
        <f>IF($A147="","",IF(AND($C147&amp;"-"&amp;$D147&gt;=Settings!$B$19,$C147&amp;"-"&amp;$D147&lt;=Settings!$B$20),"IN","OUT"))</f>
        <v/>
      </c>
      <c r="AM147" s="152">
        <f>IF(AND(OR($H147="BUY",$H147="SELL"),ISNUMBER($T147)),$T147,"")</f>
        <v/>
      </c>
      <c r="AN147" s="152">
        <f>IF(AND(OR($H147="BUY",$H147="SELL"),ISNUMBER($AF147)),$AF147,"")</f>
        <v/>
      </c>
      <c r="AO147" s="152">
        <f>IF(ISNUMBER($AM147),ABS(IF(ISNUMBER($G147),$G147,0)-Settings!$B$25),"")</f>
        <v/>
      </c>
      <c r="AP147" s="152">
        <f>IF(ISNUMBER($AO147),$AO147*$AM147,"")</f>
        <v/>
      </c>
      <c r="AQ147" s="152">
        <f>IF(ISNUMBER($AN147),ABS(IF(ISNUMBER($G147),$G147,0)-Settings!$B$25),"")</f>
        <v/>
      </c>
      <c r="AR147" s="152">
        <f>IF(ISNUMBER($AQ147),$AQ147*$AN147,"")</f>
        <v/>
      </c>
      <c r="AS147" s="152">
        <f>IF($A147="","",IFERROR(INDEX(Company_List!$H$3:$H$207,MATCH($A147,Company_List!$A$3:$A$207,0)),"unassigned"))</f>
        <v/>
      </c>
      <c r="AT147" s="152" t="inlineStr">
        <is>
          <t>not in v1</t>
        </is>
      </c>
      <c r="AU147" s="152" t="inlineStr">
        <is>
          <t>no earlier record</t>
        </is>
      </c>
      <c r="AV147" s="152" t="n">
        <v>4</v>
      </c>
      <c r="AW147" s="152" t="inlineStr">
        <is>
          <t>The Motley Fool</t>
        </is>
      </c>
      <c r="AX147" s="152" t="inlineStr">
        <is>
          <t>free to read, copyright asserted</t>
        </is>
      </c>
      <c r="AY147" s="152" t="inlineStr">
        <is>
          <t>no</t>
        </is>
      </c>
      <c r="AZ147" s="152" t="inlineStr">
        <is>
          <t>no</t>
        </is>
      </c>
      <c r="BA147" s="152" t="inlineStr">
        <is>
          <t>YES</t>
        </is>
      </c>
      <c r="BB147" s="152" t="n"/>
    </row>
    <row r="148" ht="15" customHeight="1" s="241">
      <c r="A148" s="191" t="inlineStr">
        <is>
          <t>Novo Nordisk</t>
        </is>
      </c>
      <c r="B148" s="188" t="inlineStr">
        <is>
          <t>NVO</t>
        </is>
      </c>
      <c r="C148" s="176" t="n">
        <v>2025</v>
      </c>
      <c r="D148" s="177" t="inlineStr">
        <is>
          <t>Q4</t>
        </is>
      </c>
      <c r="E148" s="178" t="inlineStr">
        <is>
          <t>Ben/DeepSeek</t>
        </is>
      </c>
      <c r="F148" s="177" t="inlineStr">
        <is>
          <t>LLM</t>
        </is>
      </c>
      <c r="G148" s="196" t="n">
        <v>-0.35</v>
      </c>
      <c r="H148" s="177" t="inlineStr">
        <is>
          <t>SELL</t>
        </is>
      </c>
      <c r="I148" s="196" t="n"/>
      <c r="J148" s="182" t="n">
        <v>46056</v>
      </c>
      <c r="K148" s="182" t="n">
        <v>46055</v>
      </c>
      <c r="L148" s="183" t="n">
        <v>58.93</v>
      </c>
      <c r="M148" s="182" t="n">
        <v>46056</v>
      </c>
      <c r="N148" s="183" t="n">
        <v>58.35</v>
      </c>
      <c r="O148" s="180" t="n">
        <v>0.026719</v>
      </c>
      <c r="P148" s="197" t="n">
        <v>-0.009842</v>
      </c>
      <c r="Q148" s="177" t="inlineStr">
        <is>
          <t>FLAT</t>
        </is>
      </c>
      <c r="R148" s="177" t="inlineStr">
        <is>
          <t>NO</t>
        </is>
      </c>
      <c r="S148" s="176" t="n">
        <v>-1</v>
      </c>
      <c r="T148" s="197" t="n">
        <v>0.008841999999999999</v>
      </c>
      <c r="U148" s="185" t="inlineStr">
        <is>
          <t>w=[0.80,0.20,0,0] thr=(+0.20,-0.10), deployed default promoted 2026-08-18 (PSR=0.964, permutation p=0.0002 at N=233, restricted search - see blend.py)</t>
        </is>
      </c>
      <c r="V148" s="152" t="inlineStr">
        <is>
          <t>FROZEN</t>
        </is>
      </c>
      <c r="W148" s="152" t="inlineStr">
        <is>
          <t>repriced on the issuer's primary listing</t>
        </is>
      </c>
      <c r="X148" s="152" t="inlineStr">
        <is>
          <t>NOVO-B.CO</t>
        </is>
      </c>
      <c r="Y148" s="152" t="inlineStr">
        <is>
          <t>2026-02-03</t>
        </is>
      </c>
      <c r="Z148" s="152" t="n">
        <v>355.5374</v>
      </c>
      <c r="AA148" s="152" t="inlineStr">
        <is>
          <t>2026-02-04</t>
        </is>
      </c>
      <c r="AB148" s="152" t="n">
        <v>291.9312</v>
      </c>
      <c r="AC148" s="152" t="n">
        <v>-0.1789015603144252</v>
      </c>
      <c r="AD148" s="152" t="inlineStr">
        <is>
          <t>DOWN</t>
        </is>
      </c>
      <c r="AE148" s="152" t="inlineStr">
        <is>
          <t>YES</t>
        </is>
      </c>
      <c r="AF148" s="152" t="n">
        <v>0.177902</v>
      </c>
      <c r="AG148" s="152">
        <f>IF($A148="","",IFERROR(INDEX(Company_List!$G$3:$G$207,MATCH($A148,Company_List!$A$3:$A$207,0)),"unassigned"))</f>
        <v/>
      </c>
      <c r="AH148" s="152" t="inlineStr">
        <is>
          <t>Phase 2/Novo Nordisk/Q4/novo-nordisk-annual-report-2025.pdf; Phase 2/Novo Nordisk/Q4/ca260203-q4-2025.pdf; Phase 2/Novo Nordisk/Q4/Q4-2025-investor-presentation-4Feb.pdf; Phase 2/Novo Nordisk/Q4/Q4-2025-financial-workbook.xlsx; Phase 2/Novo Nordisk/Q4/Q4 2025 Novo Nordisk A:S Earnings Call Transcript.pdf</t>
        </is>
      </c>
      <c r="AI148" s="152" t="n"/>
      <c r="AJ148" s="152" t="inlineStr">
        <is>
          <t>whole bundle (Document = All)</t>
        </is>
      </c>
      <c r="AK148" s="152">
        <f>IF($A148="","",IF(COUNTIFS(Human_Data_Entry!$A$3:$A$525,$A148)&gt;0,"YES","NO"))</f>
        <v/>
      </c>
      <c r="AL148" s="152">
        <f>IF($A148="","",IF(AND($C148&amp;"-"&amp;$D148&gt;=Settings!$B$19,$C148&amp;"-"&amp;$D148&lt;=Settings!$B$20),"IN","OUT"))</f>
        <v/>
      </c>
      <c r="AM148" s="152">
        <f>IF(AND(OR($H148="BUY",$H148="SELL"),ISNUMBER($T148)),$T148,"")</f>
        <v/>
      </c>
      <c r="AN148" s="152">
        <f>IF(AND(OR($H148="BUY",$H148="SELL"),ISNUMBER($AF148)),$AF148,"")</f>
        <v/>
      </c>
      <c r="AO148" s="152">
        <f>IF(ISNUMBER($AM148),ABS(IF(ISNUMBER($G148),$G148,0)-Settings!$B$25),"")</f>
        <v/>
      </c>
      <c r="AP148" s="152">
        <f>IF(ISNUMBER($AO148),$AO148*$AM148,"")</f>
        <v/>
      </c>
      <c r="AQ148" s="152">
        <f>IF(ISNUMBER($AN148),ABS(IF(ISNUMBER($G148),$G148,0)-Settings!$B$25),"")</f>
        <v/>
      </c>
      <c r="AR148" s="152">
        <f>IF(ISNUMBER($AQ148),$AQ148*$AN148,"")</f>
        <v/>
      </c>
      <c r="AS148" s="152">
        <f>IF($A148="","",IFERROR(INDEX(Company_List!$H$3:$H$207,MATCH($A148,Company_List!$A$3:$A$207,0)),"unassigned"))</f>
        <v/>
      </c>
      <c r="AT148" s="152" t="inlineStr">
        <is>
          <t>not in v1</t>
        </is>
      </c>
      <c r="AU148" s="152" t="inlineStr">
        <is>
          <t>no earlier record</t>
        </is>
      </c>
      <c r="AV148" s="152" t="n">
        <v>5</v>
      </c>
      <c r="AW148" s="152" t="inlineStr">
        <is>
          <t>not publisher-identified</t>
        </is>
      </c>
      <c r="AX148" s="152" t="inlineStr">
        <is>
          <t>not publisher-identified</t>
        </is>
      </c>
      <c r="AY148" s="152" t="inlineStr">
        <is>
          <t>no</t>
        </is>
      </c>
      <c r="AZ148" s="152" t="inlineStr">
        <is>
          <t>no</t>
        </is>
      </c>
      <c r="BA148" s="152" t="inlineStr">
        <is>
          <t>YES</t>
        </is>
      </c>
      <c r="BB148" s="152" t="n"/>
    </row>
    <row r="149" ht="15" customHeight="1" s="241">
      <c r="A149" s="191" t="inlineStr">
        <is>
          <t>Hilton</t>
        </is>
      </c>
      <c r="B149" s="188" t="inlineStr">
        <is>
          <t>HLT</t>
        </is>
      </c>
      <c r="C149" s="176" t="n">
        <v>2025</v>
      </c>
      <c r="D149" s="177" t="inlineStr">
        <is>
          <t>Q1</t>
        </is>
      </c>
      <c r="E149" s="178" t="inlineStr">
        <is>
          <t>Ben/DeepSeek</t>
        </is>
      </c>
      <c r="F149" s="177" t="inlineStr">
        <is>
          <t>LLM</t>
        </is>
      </c>
      <c r="G149" s="196" t="n">
        <v>-0.46</v>
      </c>
      <c r="H149" s="177" t="inlineStr">
        <is>
          <t>SELL</t>
        </is>
      </c>
      <c r="I149" s="196" t="n"/>
      <c r="J149" s="182" t="n">
        <v>45776</v>
      </c>
      <c r="K149" s="182" t="n">
        <v>45775</v>
      </c>
      <c r="L149" s="183" t="n">
        <v>221.6</v>
      </c>
      <c r="M149" s="182" t="n">
        <v>45776</v>
      </c>
      <c r="N149" s="183" t="n">
        <v>224.6</v>
      </c>
      <c r="O149" s="180" t="n"/>
      <c r="P149" s="197" t="n">
        <v>0.013538</v>
      </c>
      <c r="Q149" s="177" t="inlineStr">
        <is>
          <t>FLAT</t>
        </is>
      </c>
      <c r="R149" s="177" t="inlineStr">
        <is>
          <t>NO</t>
        </is>
      </c>
      <c r="S149" s="176" t="n">
        <v>-1</v>
      </c>
      <c r="T149" s="197" t="n">
        <v>-0.014538</v>
      </c>
      <c r="U149" s="185" t="inlineStr">
        <is>
          <t>w=[0.80,0.20,0,0] thr=(+0.20,-0.10), deployed default promoted 2026-08-18 (PSR=0.964, permutation p=0.0002 at N=233, restricted search - see blend.py) | Token Cost unavailable: predates cost_log tracking, not backfillable</t>
        </is>
      </c>
      <c r="V149" s="152" t="inlineStr">
        <is>
          <t>FROZEN</t>
        </is>
      </c>
      <c r="W149" s="152" t="inlineStr">
        <is>
          <t>price signal</t>
        </is>
      </c>
      <c r="X149" s="152" t="inlineStr">
        <is>
          <t>HLT</t>
        </is>
      </c>
      <c r="Y149" s="152" t="inlineStr">
        <is>
          <t>2025-04-28</t>
        </is>
      </c>
      <c r="Z149" s="152" t="n">
        <v>221.0122</v>
      </c>
      <c r="AA149" s="152" t="inlineStr">
        <is>
          <t>2025-04-29</t>
        </is>
      </c>
      <c r="AB149" s="152" t="n">
        <v>224.0043</v>
      </c>
      <c r="AC149" s="152" t="n">
        <v>0.01353784273014375</v>
      </c>
      <c r="AD149" s="152" t="inlineStr">
        <is>
          <t>FLAT</t>
        </is>
      </c>
      <c r="AE149" s="152" t="inlineStr">
        <is>
          <t>NO</t>
        </is>
      </c>
      <c r="AF149" s="152" t="n">
        <v>-0.014538</v>
      </c>
      <c r="AG149" s="152">
        <f>IF($A149="","",IFERROR(INDEX(Company_List!$G$3:$G$207,MATCH($A149,Company_List!$A$3:$A$207,0)),"unassigned"))</f>
        <v/>
      </c>
      <c r="AH149" s="152" t="inlineStr">
        <is>
          <t>Phase 2/Hilton/hilton-1q-2025-earnings-call-transcript.pdf</t>
        </is>
      </c>
      <c r="AI149" s="152" t="n"/>
      <c r="AJ149" s="152" t="inlineStr">
        <is>
          <t>unique filename match</t>
        </is>
      </c>
      <c r="AK149" s="152">
        <f>IF($A149="","",IF(COUNTIFS(Human_Data_Entry!$A$3:$A$525,$A149)&gt;0,"YES","NO"))</f>
        <v/>
      </c>
      <c r="AL149" s="152">
        <f>IF($A149="","",IF(AND($C149&amp;"-"&amp;$D149&gt;=Settings!$B$19,$C149&amp;"-"&amp;$D149&lt;=Settings!$B$20),"IN","OUT"))</f>
        <v/>
      </c>
      <c r="AM149" s="152">
        <f>IF(AND(OR($H149="BUY",$H149="SELL"),ISNUMBER($T149)),$T149,"")</f>
        <v/>
      </c>
      <c r="AN149" s="152">
        <f>IF(AND(OR($H149="BUY",$H149="SELL"),ISNUMBER($AF149)),$AF149,"")</f>
        <v/>
      </c>
      <c r="AO149" s="152">
        <f>IF(ISNUMBER($AM149),ABS(IF(ISNUMBER($G149),$G149,0)-Settings!$B$25),"")</f>
        <v/>
      </c>
      <c r="AP149" s="152">
        <f>IF(ISNUMBER($AO149),$AO149*$AM149,"")</f>
        <v/>
      </c>
      <c r="AQ149" s="152">
        <f>IF(ISNUMBER($AN149),ABS(IF(ISNUMBER($G149),$G149,0)-Settings!$B$25),"")</f>
        <v/>
      </c>
      <c r="AR149" s="152">
        <f>IF(ISNUMBER($AQ149),$AQ149*$AN149,"")</f>
        <v/>
      </c>
      <c r="AS149" s="152">
        <f>IF($A149="","",IFERROR(INDEX(Company_List!$H$3:$H$207,MATCH($A149,Company_List!$A$3:$A$207,0)),"unassigned"))</f>
        <v/>
      </c>
      <c r="AT149" s="152" t="inlineStr">
        <is>
          <t>not in v1</t>
        </is>
      </c>
      <c r="AU149" s="152" t="inlineStr">
        <is>
          <t>no earlier record</t>
        </is>
      </c>
      <c r="AV149" s="152" t="n">
        <v>1</v>
      </c>
      <c r="AW149" s="152" t="inlineStr">
        <is>
          <t>S&amp;P Global Market Intelligence (Capital IQ)</t>
        </is>
      </c>
      <c r="AX149" s="152" t="inlineStr">
        <is>
          <t>licensed vendor</t>
        </is>
      </c>
      <c r="AY149" s="152" t="inlineStr">
        <is>
          <t>no</t>
        </is>
      </c>
      <c r="AZ149" s="152" t="inlineStr">
        <is>
          <t>no</t>
        </is>
      </c>
      <c r="BA149" s="152" t="inlineStr">
        <is>
          <t>YES</t>
        </is>
      </c>
      <c r="BB149" s="152" t="n"/>
    </row>
    <row r="150" ht="15" customHeight="1" s="241">
      <c r="A150" s="191" t="inlineStr">
        <is>
          <t>Hilton</t>
        </is>
      </c>
      <c r="B150" s="188" t="inlineStr">
        <is>
          <t>HLT</t>
        </is>
      </c>
      <c r="C150" s="176" t="n">
        <v>2026</v>
      </c>
      <c r="D150" s="177" t="inlineStr">
        <is>
          <t>Q1</t>
        </is>
      </c>
      <c r="E150" s="178" t="inlineStr">
        <is>
          <t>Ben/DeepSeek</t>
        </is>
      </c>
      <c r="F150" s="177" t="inlineStr">
        <is>
          <t>LLM</t>
        </is>
      </c>
      <c r="G150" s="196" t="n">
        <v>0.34</v>
      </c>
      <c r="H150" s="177" t="inlineStr">
        <is>
          <t>BUY</t>
        </is>
      </c>
      <c r="I150" s="196" t="n"/>
      <c r="J150" s="182" t="n">
        <v>46140</v>
      </c>
      <c r="K150" s="182" t="n">
        <v>46139</v>
      </c>
      <c r="L150" s="183" t="n">
        <v>332.45</v>
      </c>
      <c r="M150" s="182" t="n">
        <v>46140</v>
      </c>
      <c r="N150" s="183" t="n">
        <v>323.42</v>
      </c>
      <c r="O150" s="180" t="n">
        <v>0.009619000000000001</v>
      </c>
      <c r="P150" s="197" t="n">
        <v>-0.027162</v>
      </c>
      <c r="Q150" s="177" t="inlineStr">
        <is>
          <t>DOWN</t>
        </is>
      </c>
      <c r="R150" s="177" t="inlineStr">
        <is>
          <t>NO</t>
        </is>
      </c>
      <c r="S150" s="176" t="n">
        <v>1</v>
      </c>
      <c r="T150" s="197" t="n">
        <v>-0.028162</v>
      </c>
      <c r="U150" s="185" t="inlineStr">
        <is>
          <t>w=[0.80,0.20,0,0] thr=(+0.20,-0.10), deployed default promoted 2026-08-18 (PSR=0.964, permutation p=0.0002 at N=233, restricted search - see blend.py)</t>
        </is>
      </c>
      <c r="V150" s="152" t="inlineStr">
        <is>
          <t>FROZEN</t>
        </is>
      </c>
      <c r="W150" s="152" t="inlineStr">
        <is>
          <t>recorded price identified against every pulled series</t>
        </is>
      </c>
      <c r="X150" s="152" t="inlineStr">
        <is>
          <t>HLT</t>
        </is>
      </c>
      <c r="Y150" s="152" t="inlineStr">
        <is>
          <t>2026-04-27</t>
        </is>
      </c>
      <c r="Z150" s="152" t="n">
        <v>332.2955</v>
      </c>
      <c r="AA150" s="152" t="inlineStr">
        <is>
          <t>2026-04-28</t>
        </is>
      </c>
      <c r="AB150" s="152" t="n">
        <v>323.2697</v>
      </c>
      <c r="AC150" s="152" t="n">
        <v>-0.02716192317131351</v>
      </c>
      <c r="AD150" s="152" t="inlineStr">
        <is>
          <t>DOWN</t>
        </is>
      </c>
      <c r="AE150" s="152" t="inlineStr">
        <is>
          <t>NO</t>
        </is>
      </c>
      <c r="AF150" s="152" t="n">
        <v>0</v>
      </c>
      <c r="AG150" s="152">
        <f>IF($A150="","",IFERROR(INDEX(Company_List!$G$3:$G$207,MATCH($A150,Company_List!$A$3:$A$207,0)),"unassigned"))</f>
        <v/>
      </c>
      <c r="AH150" s="152" t="inlineStr">
        <is>
          <t>Phase 2/Hilton/hilton-q1-2026-earnings-transcript.pdf</t>
        </is>
      </c>
      <c r="AI150" s="152" t="n"/>
      <c r="AJ150" s="152" t="inlineStr">
        <is>
          <t>unique filename match</t>
        </is>
      </c>
      <c r="AK150" s="152">
        <f>IF($A150="","",IF(COUNTIFS(Human_Data_Entry!$A$3:$A$525,$A150)&gt;0,"YES","NO"))</f>
        <v/>
      </c>
      <c r="AL150" s="152">
        <f>IF($A150="","",IF(AND($C150&amp;"-"&amp;$D150&gt;=Settings!$B$19,$C150&amp;"-"&amp;$D150&lt;=Settings!$B$20),"IN","OUT"))</f>
        <v/>
      </c>
      <c r="AM150" s="152">
        <f>IF(AND(OR($H150="BUY",$H150="SELL"),ISNUMBER($T150)),$T150,"")</f>
        <v/>
      </c>
      <c r="AN150" s="152">
        <f>IF(AND(OR($H150="BUY",$H150="SELL"),ISNUMBER($AF150)),$AF150,"")</f>
        <v/>
      </c>
      <c r="AO150" s="152">
        <f>IF(ISNUMBER($AM150),ABS(IF(ISNUMBER($G150),$G150,0)-Settings!$B$25),"")</f>
        <v/>
      </c>
      <c r="AP150" s="152">
        <f>IF(ISNUMBER($AO150),$AO150*$AM150,"")</f>
        <v/>
      </c>
      <c r="AQ150" s="152">
        <f>IF(ISNUMBER($AN150),ABS(IF(ISNUMBER($G150),$G150,0)-Settings!$B$25),"")</f>
        <v/>
      </c>
      <c r="AR150" s="152">
        <f>IF(ISNUMBER($AQ150),$AQ150*$AN150,"")</f>
        <v/>
      </c>
      <c r="AS150" s="152">
        <f>IF($A150="","",IFERROR(INDEX(Company_List!$H$3:$H$207,MATCH($A150,Company_List!$A$3:$A$207,0)),"unassigned"))</f>
        <v/>
      </c>
      <c r="AT150" s="152" t="inlineStr">
        <is>
          <t>not in v1</t>
        </is>
      </c>
      <c r="AU150" s="152" t="inlineStr">
        <is>
          <t>no earlier record</t>
        </is>
      </c>
      <c r="AV150" s="152" t="n">
        <v>1</v>
      </c>
      <c r="AW150" s="152" t="inlineStr">
        <is>
          <t>S&amp;P Global Market Intelligence (Capital IQ)</t>
        </is>
      </c>
      <c r="AX150" s="152" t="inlineStr">
        <is>
          <t>licensed vendor</t>
        </is>
      </c>
      <c r="AY150" s="152" t="inlineStr">
        <is>
          <t>no</t>
        </is>
      </c>
      <c r="AZ150" s="152" t="inlineStr">
        <is>
          <t>no</t>
        </is>
      </c>
      <c r="BA150" s="152" t="inlineStr">
        <is>
          <t>YES</t>
        </is>
      </c>
      <c r="BB150" s="152" t="n"/>
    </row>
    <row r="151" ht="15" customHeight="1" s="241">
      <c r="A151" s="191" t="inlineStr">
        <is>
          <t>Hilton</t>
        </is>
      </c>
      <c r="B151" s="188" t="inlineStr">
        <is>
          <t>HLT</t>
        </is>
      </c>
      <c r="C151" s="176" t="n">
        <v>2025</v>
      </c>
      <c r="D151" s="177" t="inlineStr">
        <is>
          <t>Q2</t>
        </is>
      </c>
      <c r="E151" s="178" t="inlineStr">
        <is>
          <t>Ben/DeepSeek</t>
        </is>
      </c>
      <c r="F151" s="177" t="inlineStr">
        <is>
          <t>LLM</t>
        </is>
      </c>
      <c r="G151" s="196" t="n">
        <v>0.14</v>
      </c>
      <c r="H151" s="177" t="inlineStr">
        <is>
          <t>HOLD</t>
        </is>
      </c>
      <c r="I151" s="196" t="n"/>
      <c r="J151" s="182" t="n">
        <v>45861</v>
      </c>
      <c r="K151" s="182" t="n">
        <v>45860</v>
      </c>
      <c r="L151" s="183" t="n">
        <v>273.84</v>
      </c>
      <c r="M151" s="182" t="n">
        <v>45861</v>
      </c>
      <c r="N151" s="183" t="n">
        <v>264.9</v>
      </c>
      <c r="O151" s="180" t="n"/>
      <c r="P151" s="197" t="n">
        <v>-0.032647</v>
      </c>
      <c r="Q151" s="177" t="inlineStr">
        <is>
          <t>DOWN</t>
        </is>
      </c>
      <c r="R151" s="177" t="inlineStr">
        <is>
          <t>NO</t>
        </is>
      </c>
      <c r="S151" s="176" t="n">
        <v>0</v>
      </c>
      <c r="T151" s="197" t="n">
        <v>0</v>
      </c>
      <c r="U151" s="185" t="inlineStr">
        <is>
          <t>w=[0.80,0.20,0,0] thr=(+0.20,-0.10), deployed default promoted 2026-08-18 (PSR=0.964, permutation p=0.0002 at N=233, restricted search - see blend.py) | Token Cost unavailable: predates cost_log tracking, not backfillable</t>
        </is>
      </c>
      <c r="V151" s="152" t="inlineStr">
        <is>
          <t>FROZEN</t>
        </is>
      </c>
      <c r="W151" s="152" t="inlineStr">
        <is>
          <t>price signal</t>
        </is>
      </c>
      <c r="X151" s="152" t="inlineStr">
        <is>
          <t>HLT</t>
        </is>
      </c>
      <c r="Y151" s="152" t="inlineStr">
        <is>
          <t>2025-07-22</t>
        </is>
      </c>
      <c r="Z151" s="152" t="n">
        <v>273.2798</v>
      </c>
      <c r="AA151" s="152" t="inlineStr">
        <is>
          <t>2025-07-23</t>
        </is>
      </c>
      <c r="AB151" s="152" t="n">
        <v>264.3581</v>
      </c>
      <c r="AC151" s="152" t="n">
        <v>-0.03264686799542926</v>
      </c>
      <c r="AD151" s="152" t="inlineStr">
        <is>
          <t>DOWN</t>
        </is>
      </c>
      <c r="AE151" s="152" t="inlineStr">
        <is>
          <t>NO</t>
        </is>
      </c>
      <c r="AF151" s="152" t="n">
        <v>0</v>
      </c>
      <c r="AG151" s="152">
        <f>IF($A151="","",IFERROR(INDEX(Company_List!$G$3:$G$207,MATCH($A151,Company_List!$A$3:$A$207,0)),"unassigned"))</f>
        <v/>
      </c>
      <c r="AH151" s="152" t="inlineStr">
        <is>
          <t>Phase 2/Hilton/hilton-2q-2025-earnings-call-july-23-2025.pdf</t>
        </is>
      </c>
      <c r="AI151" s="152" t="n"/>
      <c r="AJ151" s="152" t="inlineStr">
        <is>
          <t>unique filename match</t>
        </is>
      </c>
      <c r="AK151" s="152">
        <f>IF($A151="","",IF(COUNTIFS(Human_Data_Entry!$A$3:$A$525,$A151)&gt;0,"YES","NO"))</f>
        <v/>
      </c>
      <c r="AL151" s="152">
        <f>IF($A151="","",IF(AND($C151&amp;"-"&amp;$D151&gt;=Settings!$B$19,$C151&amp;"-"&amp;$D151&lt;=Settings!$B$20),"IN","OUT"))</f>
        <v/>
      </c>
      <c r="AM151" s="152">
        <f>IF(AND(OR($H151="BUY",$H151="SELL"),ISNUMBER($T151)),$T151,"")</f>
        <v/>
      </c>
      <c r="AN151" s="152">
        <f>IF(AND(OR($H151="BUY",$H151="SELL"),ISNUMBER($AF151)),$AF151,"")</f>
        <v/>
      </c>
      <c r="AO151" s="152">
        <f>IF(ISNUMBER($AM151),ABS(IF(ISNUMBER($G151),$G151,0)-Settings!$B$25),"")</f>
        <v/>
      </c>
      <c r="AP151" s="152">
        <f>IF(ISNUMBER($AO151),$AO151*$AM151,"")</f>
        <v/>
      </c>
      <c r="AQ151" s="152">
        <f>IF(ISNUMBER($AN151),ABS(IF(ISNUMBER($G151),$G151,0)-Settings!$B$25),"")</f>
        <v/>
      </c>
      <c r="AR151" s="152">
        <f>IF(ISNUMBER($AQ151),$AQ151*$AN151,"")</f>
        <v/>
      </c>
      <c r="AS151" s="152">
        <f>IF($A151="","",IFERROR(INDEX(Company_List!$H$3:$H$207,MATCH($A151,Company_List!$A$3:$A$207,0)),"unassigned"))</f>
        <v/>
      </c>
      <c r="AT151" s="152" t="inlineStr">
        <is>
          <t>not in v1</t>
        </is>
      </c>
      <c r="AU151" s="152" t="inlineStr">
        <is>
          <t>no earlier record</t>
        </is>
      </c>
      <c r="AV151" s="152" t="n">
        <v>1</v>
      </c>
      <c r="AW151" s="152" t="inlineStr">
        <is>
          <t>S&amp;P Global Market Intelligence (Capital IQ)</t>
        </is>
      </c>
      <c r="AX151" s="152" t="inlineStr">
        <is>
          <t>licensed vendor</t>
        </is>
      </c>
      <c r="AY151" s="152" t="inlineStr">
        <is>
          <t>no</t>
        </is>
      </c>
      <c r="AZ151" s="152" t="inlineStr">
        <is>
          <t>no</t>
        </is>
      </c>
      <c r="BA151" s="152" t="inlineStr">
        <is>
          <t>YES</t>
        </is>
      </c>
      <c r="BB151" s="152" t="n"/>
    </row>
    <row r="152" ht="15" customHeight="1" s="241">
      <c r="A152" s="191" t="inlineStr">
        <is>
          <t>Hilton</t>
        </is>
      </c>
      <c r="B152" s="188" t="inlineStr">
        <is>
          <t>HLT</t>
        </is>
      </c>
      <c r="C152" s="176" t="n">
        <v>2024</v>
      </c>
      <c r="D152" s="177" t="inlineStr">
        <is>
          <t>Q3</t>
        </is>
      </c>
      <c r="E152" s="178" t="inlineStr">
        <is>
          <t>Ben/DeepSeek</t>
        </is>
      </c>
      <c r="F152" s="177" t="inlineStr">
        <is>
          <t>LLM</t>
        </is>
      </c>
      <c r="G152" s="196" t="n">
        <v>0.2</v>
      </c>
      <c r="H152" s="177" t="inlineStr">
        <is>
          <t>BUY</t>
        </is>
      </c>
      <c r="I152" s="196" t="n"/>
      <c r="J152" s="182" t="n">
        <v>45588</v>
      </c>
      <c r="K152" s="182" t="n">
        <v>45587</v>
      </c>
      <c r="L152" s="183" t="n">
        <v>238.13</v>
      </c>
      <c r="M152" s="182" t="n">
        <v>45588</v>
      </c>
      <c r="N152" s="183" t="n">
        <v>237.5</v>
      </c>
      <c r="O152" s="180" t="n">
        <v>0.009795</v>
      </c>
      <c r="P152" s="197" t="n">
        <v>-0.002646</v>
      </c>
      <c r="Q152" s="177" t="inlineStr">
        <is>
          <t>FLAT</t>
        </is>
      </c>
      <c r="R152" s="177" t="inlineStr">
        <is>
          <t>NO</t>
        </is>
      </c>
      <c r="S152" s="176" t="n">
        <v>1</v>
      </c>
      <c r="T152" s="197" t="n">
        <v>-0.003646</v>
      </c>
      <c r="U152" s="185" t="inlineStr">
        <is>
          <t>w=[0.80,0.20,0,0] thr=(+0.20,-0.10), deployed default promoted 2026-08-18 (PSR=0.964, permutation p=0.0002 at N=233, restricted search - see blend.py)</t>
        </is>
      </c>
      <c r="V152" s="152" t="inlineStr">
        <is>
          <t>FROZEN</t>
        </is>
      </c>
      <c r="W152" s="152" t="inlineStr">
        <is>
          <t>recorded price identified against every pulled series</t>
        </is>
      </c>
      <c r="X152" s="152" t="inlineStr">
        <is>
          <t>HLT</t>
        </is>
      </c>
      <c r="Y152" s="152" t="inlineStr">
        <is>
          <t>2024-10-22</t>
        </is>
      </c>
      <c r="Z152" s="152" t="n">
        <v>237.223</v>
      </c>
      <c r="AA152" s="152" t="inlineStr">
        <is>
          <t>2024-10-23</t>
        </is>
      </c>
      <c r="AB152" s="152" t="n">
        <v>236.5954</v>
      </c>
      <c r="AC152" s="152" t="n">
        <v>-0.002645619719489599</v>
      </c>
      <c r="AD152" s="152" t="inlineStr">
        <is>
          <t>FLAT</t>
        </is>
      </c>
      <c r="AE152" s="152" t="inlineStr">
        <is>
          <t>YES</t>
        </is>
      </c>
      <c r="AF152" s="152" t="n">
        <v>0</v>
      </c>
      <c r="AG152" s="152">
        <f>IF($A152="","",IFERROR(INDEX(Company_List!$G$3:$G$207,MATCH($A152,Company_List!$A$3:$A$207,0)),"unassigned"))</f>
        <v/>
      </c>
      <c r="AH152" s="152" t="inlineStr">
        <is>
          <t>Phase 2/Hilton/hilton-3q-2024-earnings-call-october-22-2025.pdf</t>
        </is>
      </c>
      <c r="AI152" s="152" t="n"/>
      <c r="AJ152" s="152" t="inlineStr">
        <is>
          <t>unique filename match</t>
        </is>
      </c>
      <c r="AK152" s="152">
        <f>IF($A152="","",IF(COUNTIFS(Human_Data_Entry!$A$3:$A$525,$A152)&gt;0,"YES","NO"))</f>
        <v/>
      </c>
      <c r="AL152" s="152">
        <f>IF($A152="","",IF(AND($C152&amp;"-"&amp;$D152&gt;=Settings!$B$19,$C152&amp;"-"&amp;$D152&lt;=Settings!$B$20),"IN","OUT"))</f>
        <v/>
      </c>
      <c r="AM152" s="152">
        <f>IF(AND(OR($H152="BUY",$H152="SELL"),ISNUMBER($T152)),$T152,"")</f>
        <v/>
      </c>
      <c r="AN152" s="152">
        <f>IF(AND(OR($H152="BUY",$H152="SELL"),ISNUMBER($AF152)),$AF152,"")</f>
        <v/>
      </c>
      <c r="AO152" s="152">
        <f>IF(ISNUMBER($AM152),ABS(IF(ISNUMBER($G152),$G152,0)-Settings!$B$25),"")</f>
        <v/>
      </c>
      <c r="AP152" s="152">
        <f>IF(ISNUMBER($AO152),$AO152*$AM152,"")</f>
        <v/>
      </c>
      <c r="AQ152" s="152">
        <f>IF(ISNUMBER($AN152),ABS(IF(ISNUMBER($G152),$G152,0)-Settings!$B$25),"")</f>
        <v/>
      </c>
      <c r="AR152" s="152">
        <f>IF(ISNUMBER($AQ152),$AQ152*$AN152,"")</f>
        <v/>
      </c>
      <c r="AS152" s="152">
        <f>IF($A152="","",IFERROR(INDEX(Company_List!$H$3:$H$207,MATCH($A152,Company_List!$A$3:$A$207,0)),"unassigned"))</f>
        <v/>
      </c>
      <c r="AT152" s="152" t="inlineStr">
        <is>
          <t>not in v1</t>
        </is>
      </c>
      <c r="AU152" s="152" t="inlineStr">
        <is>
          <t>no earlier record</t>
        </is>
      </c>
      <c r="AV152" s="152" t="n">
        <v>1</v>
      </c>
      <c r="AW152" s="152" t="inlineStr">
        <is>
          <t>S&amp;P Global Market Intelligence (Capital IQ)</t>
        </is>
      </c>
      <c r="AX152" s="152" t="inlineStr">
        <is>
          <t>licensed vendor</t>
        </is>
      </c>
      <c r="AY152" s="152" t="inlineStr">
        <is>
          <t>no</t>
        </is>
      </c>
      <c r="AZ152" s="152" t="inlineStr">
        <is>
          <t>no</t>
        </is>
      </c>
      <c r="BA152" s="152" t="inlineStr">
        <is>
          <t>YES</t>
        </is>
      </c>
      <c r="BB152" s="152" t="n"/>
    </row>
    <row r="153" ht="15" customHeight="1" s="241">
      <c r="A153" s="191" t="inlineStr">
        <is>
          <t>Hilton</t>
        </is>
      </c>
      <c r="B153" s="188" t="inlineStr">
        <is>
          <t>HLT</t>
        </is>
      </c>
      <c r="C153" s="176" t="n">
        <v>2025</v>
      </c>
      <c r="D153" s="177" t="inlineStr">
        <is>
          <t>Q4</t>
        </is>
      </c>
      <c r="E153" s="178" t="inlineStr">
        <is>
          <t>Ben/DeepSeek</t>
        </is>
      </c>
      <c r="F153" s="177" t="inlineStr">
        <is>
          <t>LLM</t>
        </is>
      </c>
      <c r="G153" s="196" t="n">
        <v>0.29</v>
      </c>
      <c r="H153" s="177" t="inlineStr">
        <is>
          <t>BUY</t>
        </is>
      </c>
      <c r="I153" s="196" t="n"/>
      <c r="J153" s="182" t="n">
        <v>46064</v>
      </c>
      <c r="K153" s="182" t="n">
        <v>46063</v>
      </c>
      <c r="L153" s="183" t="n">
        <v>323.7</v>
      </c>
      <c r="M153" s="182" t="n">
        <v>46064</v>
      </c>
      <c r="N153" s="183" t="n">
        <v>321.76</v>
      </c>
      <c r="O153" s="180" t="n">
        <v>0.009900000000000001</v>
      </c>
      <c r="P153" s="197" t="n">
        <v>-0.005993000000000001</v>
      </c>
      <c r="Q153" s="177" t="inlineStr">
        <is>
          <t>FLAT</t>
        </is>
      </c>
      <c r="R153" s="177" t="inlineStr">
        <is>
          <t>NO</t>
        </is>
      </c>
      <c r="S153" s="176" t="n">
        <v>1</v>
      </c>
      <c r="T153" s="197" t="n">
        <v>-0.006993</v>
      </c>
      <c r="U153" s="185" t="inlineStr">
        <is>
          <t>w=[0.80,0.20,0,0] thr=(+0.20,-0.10), deployed default promoted 2026-08-18 (PSR=0.964, permutation p=0.0002 at N=233, restricted search - see blend.py)</t>
        </is>
      </c>
      <c r="V153" s="152" t="inlineStr">
        <is>
          <t>FROZEN</t>
        </is>
      </c>
      <c r="W153" s="152" t="inlineStr">
        <is>
          <t>price signal</t>
        </is>
      </c>
      <c r="X153" s="152" t="inlineStr">
        <is>
          <t>HLT</t>
        </is>
      </c>
      <c r="Y153" s="152" t="inlineStr">
        <is>
          <t>2026-02-10</t>
        </is>
      </c>
      <c r="Z153" s="152" t="n">
        <v>323.3969</v>
      </c>
      <c r="AA153" s="152" t="inlineStr">
        <is>
          <t>2026-02-11</t>
        </is>
      </c>
      <c r="AB153" s="152" t="n">
        <v>321.4587</v>
      </c>
      <c r="AC153" s="152" t="n">
        <v>-0.00599322139387343</v>
      </c>
      <c r="AD153" s="152" t="inlineStr">
        <is>
          <t>FLAT</t>
        </is>
      </c>
      <c r="AE153" s="152" t="inlineStr">
        <is>
          <t>NO</t>
        </is>
      </c>
      <c r="AF153" s="152" t="n">
        <v>-0.006993</v>
      </c>
      <c r="AG153" s="152">
        <f>IF($A153="","",IFERROR(INDEX(Company_List!$G$3:$G$207,MATCH($A153,Company_List!$A$3:$A$207,0)),"unassigned"))</f>
        <v/>
      </c>
      <c r="AH153" s="152" t="inlineStr">
        <is>
          <t>Phase 2/Hilton/hilton-q4-2025-earnings-transcript-combined.pdf</t>
        </is>
      </c>
      <c r="AI153" s="152" t="n"/>
      <c r="AJ153" s="152" t="inlineStr">
        <is>
          <t>unique filename match</t>
        </is>
      </c>
      <c r="AK153" s="152">
        <f>IF($A153="","",IF(COUNTIFS(Human_Data_Entry!$A$3:$A$525,$A153)&gt;0,"YES","NO"))</f>
        <v/>
      </c>
      <c r="AL153" s="152">
        <f>IF($A153="","",IF(AND($C153&amp;"-"&amp;$D153&gt;=Settings!$B$19,$C153&amp;"-"&amp;$D153&lt;=Settings!$B$20),"IN","OUT"))</f>
        <v/>
      </c>
      <c r="AM153" s="152">
        <f>IF(AND(OR($H153="BUY",$H153="SELL"),ISNUMBER($T153)),$T153,"")</f>
        <v/>
      </c>
      <c r="AN153" s="152">
        <f>IF(AND(OR($H153="BUY",$H153="SELL"),ISNUMBER($AF153)),$AF153,"")</f>
        <v/>
      </c>
      <c r="AO153" s="152">
        <f>IF(ISNUMBER($AM153),ABS(IF(ISNUMBER($G153),$G153,0)-Settings!$B$25),"")</f>
        <v/>
      </c>
      <c r="AP153" s="152">
        <f>IF(ISNUMBER($AO153),$AO153*$AM153,"")</f>
        <v/>
      </c>
      <c r="AQ153" s="152">
        <f>IF(ISNUMBER($AN153),ABS(IF(ISNUMBER($G153),$G153,0)-Settings!$B$25),"")</f>
        <v/>
      </c>
      <c r="AR153" s="152">
        <f>IF(ISNUMBER($AQ153),$AQ153*$AN153,"")</f>
        <v/>
      </c>
      <c r="AS153" s="152">
        <f>IF($A153="","",IFERROR(INDEX(Company_List!$H$3:$H$207,MATCH($A153,Company_List!$A$3:$A$207,0)),"unassigned"))</f>
        <v/>
      </c>
      <c r="AT153" s="152" t="inlineStr">
        <is>
          <t>not in v1</t>
        </is>
      </c>
      <c r="AU153" s="152" t="inlineStr">
        <is>
          <t>no earlier record</t>
        </is>
      </c>
      <c r="AV153" s="152" t="n">
        <v>1</v>
      </c>
      <c r="AW153" s="152" t="inlineStr">
        <is>
          <t>S&amp;P Global Market Intelligence (Capital IQ)</t>
        </is>
      </c>
      <c r="AX153" s="152" t="inlineStr">
        <is>
          <t>licensed vendor</t>
        </is>
      </c>
      <c r="AY153" s="152" t="inlineStr">
        <is>
          <t>no</t>
        </is>
      </c>
      <c r="AZ153" s="152" t="inlineStr">
        <is>
          <t>no</t>
        </is>
      </c>
      <c r="BA153" s="152" t="inlineStr">
        <is>
          <t>YES</t>
        </is>
      </c>
      <c r="BB153" s="152" t="n"/>
    </row>
    <row r="154" ht="15" customHeight="1" s="241">
      <c r="A154" s="191" t="inlineStr">
        <is>
          <t>LVMH</t>
        </is>
      </c>
      <c r="B154" s="188" t="inlineStr">
        <is>
          <t>MC.PA</t>
        </is>
      </c>
      <c r="C154" s="176" t="n">
        <v>2025</v>
      </c>
      <c r="D154" s="177" t="inlineStr">
        <is>
          <t>Q2</t>
        </is>
      </c>
      <c r="E154" s="178" t="inlineStr">
        <is>
          <t>Ben/DeepSeek</t>
        </is>
      </c>
      <c r="F154" s="177" t="inlineStr">
        <is>
          <t>LLM</t>
        </is>
      </c>
      <c r="G154" s="196" t="n">
        <v>-0.1</v>
      </c>
      <c r="H154" s="177" t="inlineStr">
        <is>
          <t>HOLD</t>
        </is>
      </c>
      <c r="I154" s="196" t="n"/>
      <c r="J154" s="182" t="n">
        <v>45862</v>
      </c>
      <c r="K154" s="182" t="n">
        <v>45862</v>
      </c>
      <c r="L154" s="183" t="n">
        <v>470.25</v>
      </c>
      <c r="M154" s="182" t="n">
        <v>45863</v>
      </c>
      <c r="N154" s="183" t="n">
        <v>464.95</v>
      </c>
      <c r="O154" s="180" t="n">
        <v>0.005054</v>
      </c>
      <c r="P154" s="197" t="n">
        <v>-0.011271</v>
      </c>
      <c r="Q154" s="177" t="inlineStr">
        <is>
          <t>FLAT</t>
        </is>
      </c>
      <c r="R154" s="177" t="inlineStr">
        <is>
          <t>YES</t>
        </is>
      </c>
      <c r="S154" s="176" t="n">
        <v>0</v>
      </c>
      <c r="T154" s="197" t="n">
        <v>0</v>
      </c>
      <c r="U154" s="185" t="inlineStr">
        <is>
          <t>w=[0.80,0.20,0,0] thr=(+0.20,-0.10), deployed default promoted 2026-08-18 (PSR=0.964, permutation p=0.0002 at N=233, restricted search - see blend.py)</t>
        </is>
      </c>
      <c r="V154" s="152" t="inlineStr">
        <is>
          <t>FROZEN</t>
        </is>
      </c>
      <c r="W154" s="152" t="inlineStr">
        <is>
          <t>release time published by the issuer</t>
        </is>
      </c>
      <c r="X154" s="152" t="inlineStr">
        <is>
          <t>MC.PA</t>
        </is>
      </c>
      <c r="Y154" s="152" t="inlineStr">
        <is>
          <t>2025-07-24</t>
        </is>
      </c>
      <c r="Z154" s="152" t="n">
        <v>458.7454</v>
      </c>
      <c r="AA154" s="152" t="inlineStr">
        <is>
          <t>2025-07-25</t>
        </is>
      </c>
      <c r="AB154" s="152" t="n">
        <v>453.5751</v>
      </c>
      <c r="AC154" s="152" t="n">
        <v>-0.01127059128188342</v>
      </c>
      <c r="AD154" s="152" t="inlineStr">
        <is>
          <t>FLAT</t>
        </is>
      </c>
      <c r="AE154" s="152" t="inlineStr">
        <is>
          <t>YES</t>
        </is>
      </c>
      <c r="AF154" s="152" t="n">
        <v>0</v>
      </c>
      <c r="AG154" s="152">
        <f>IF($A154="","",IFERROR(INDEX(Company_List!$G$3:$G$207,MATCH($A154,Company_List!$A$3:$A$207,0)),"unassigned"))</f>
        <v/>
      </c>
      <c r="AH154" s="152" t="inlineStr">
        <is>
          <t>Phase 2/LVMH/2025-Q2/MC.PA-2025-Q2-results-LVMH-IR.pdf</t>
        </is>
      </c>
      <c r="AI154" s="152" t="n"/>
      <c r="AJ154" s="152" t="inlineStr">
        <is>
          <t>manifest</t>
        </is>
      </c>
      <c r="AK154" s="152">
        <f>IF($A154="","",IF(COUNTIFS(Human_Data_Entry!$A$3:$A$525,$A154)&gt;0,"YES","NO"))</f>
        <v/>
      </c>
      <c r="AL154" s="152">
        <f>IF($A154="","",IF(AND($C154&amp;"-"&amp;$D154&gt;=Settings!$B$19,$C154&amp;"-"&amp;$D154&lt;=Settings!$B$20),"IN","OUT"))</f>
        <v/>
      </c>
      <c r="AM154" s="152">
        <f>IF(AND(OR($H154="BUY",$H154="SELL"),ISNUMBER($T154)),$T154,"")</f>
        <v/>
      </c>
      <c r="AN154" s="152">
        <f>IF(AND(OR($H154="BUY",$H154="SELL"),ISNUMBER($AF154)),$AF154,"")</f>
        <v/>
      </c>
      <c r="AO154" s="152">
        <f>IF(ISNUMBER($AM154),ABS(IF(ISNUMBER($G154),$G154,0)-Settings!$B$25),"")</f>
        <v/>
      </c>
      <c r="AP154" s="152">
        <f>IF(ISNUMBER($AO154),$AO154*$AM154,"")</f>
        <v/>
      </c>
      <c r="AQ154" s="152">
        <f>IF(ISNUMBER($AN154),ABS(IF(ISNUMBER($G154),$G154,0)-Settings!$B$25),"")</f>
        <v/>
      </c>
      <c r="AR154" s="152">
        <f>IF(ISNUMBER($AQ154),$AQ154*$AN154,"")</f>
        <v/>
      </c>
      <c r="AS154" s="152">
        <f>IF($A154="","",IFERROR(INDEX(Company_List!$H$3:$H$207,MATCH($A154,Company_List!$A$3:$A$207,0)),"unassigned"))</f>
        <v/>
      </c>
      <c r="AT154" s="152" t="inlineStr">
        <is>
          <t>not in v1</t>
        </is>
      </c>
      <c r="AU154" s="152" t="inlineStr">
        <is>
          <t>no earlier record</t>
        </is>
      </c>
      <c r="AV154" s="152" t="n">
        <v>1</v>
      </c>
      <c r="AW154" s="152" t="inlineStr">
        <is>
          <t>not publisher-identified</t>
        </is>
      </c>
      <c r="AX154" s="152" t="inlineStr">
        <is>
          <t>not publisher-identified</t>
        </is>
      </c>
      <c r="AY154" s="152" t="inlineStr">
        <is>
          <t>no</t>
        </is>
      </c>
      <c r="AZ154" s="152" t="inlineStr">
        <is>
          <t>yes</t>
        </is>
      </c>
      <c r="BA154" s="152" t="inlineStr">
        <is>
          <t>YES</t>
        </is>
      </c>
      <c r="BB154" s="152" t="n"/>
    </row>
    <row r="155" ht="15" customHeight="1" s="241">
      <c r="A155" s="191" t="inlineStr">
        <is>
          <t>LVMH</t>
        </is>
      </c>
      <c r="B155" s="188" t="inlineStr">
        <is>
          <t>MC.PA</t>
        </is>
      </c>
      <c r="C155" s="176" t="n">
        <v>2025</v>
      </c>
      <c r="D155" s="177" t="inlineStr">
        <is>
          <t>Q4</t>
        </is>
      </c>
      <c r="E155" s="178" t="inlineStr">
        <is>
          <t>Ben/DeepSeek</t>
        </is>
      </c>
      <c r="F155" s="177" t="inlineStr">
        <is>
          <t>LLM</t>
        </is>
      </c>
      <c r="G155" s="196" t="n">
        <v>0.05</v>
      </c>
      <c r="H155" s="177" t="inlineStr">
        <is>
          <t>HOLD</t>
        </is>
      </c>
      <c r="I155" s="196" t="n"/>
      <c r="J155" s="182" t="n">
        <v>46049</v>
      </c>
      <c r="K155" s="182" t="n">
        <v>46049</v>
      </c>
      <c r="L155" s="183" t="n">
        <v>589.3</v>
      </c>
      <c r="M155" s="182" t="n">
        <v>46050</v>
      </c>
      <c r="N155" s="183" t="n">
        <v>556</v>
      </c>
      <c r="O155" s="180" t="n">
        <v>0.006732</v>
      </c>
      <c r="P155" s="197" t="n">
        <v>-0.056508</v>
      </c>
      <c r="Q155" s="177" t="inlineStr">
        <is>
          <t>DOWN</t>
        </is>
      </c>
      <c r="R155" s="177" t="inlineStr">
        <is>
          <t>NO</t>
        </is>
      </c>
      <c r="S155" s="176" t="n">
        <v>0</v>
      </c>
      <c r="T155" s="197" t="n">
        <v>0</v>
      </c>
      <c r="U155" s="185" t="inlineStr">
        <is>
          <t>w=[0.80,0.20,0,0] thr=(+0.20,-0.10), deployed default promoted 2026-08-18 (PSR=0.964, permutation p=0.0002 at N=233, restricted search - see blend.py)</t>
        </is>
      </c>
      <c r="V155" s="152" t="inlineStr">
        <is>
          <t>FROZEN</t>
        </is>
      </c>
      <c r="W155" s="152" t="inlineStr">
        <is>
          <t>price signal — only this window shows an abnormal move</t>
        </is>
      </c>
      <c r="X155" s="152" t="inlineStr">
        <is>
          <t>MC.PA</t>
        </is>
      </c>
      <c r="Y155" s="152" t="inlineStr">
        <is>
          <t>2026-01-27</t>
        </is>
      </c>
      <c r="Z155" s="152" t="n">
        <v>579.845</v>
      </c>
      <c r="AA155" s="152" t="inlineStr">
        <is>
          <t>2026-01-28</t>
        </is>
      </c>
      <c r="AB155" s="152" t="n">
        <v>547.0793</v>
      </c>
      <c r="AC155" s="152" t="n">
        <v>-0.05650765892918979</v>
      </c>
      <c r="AD155" s="152" t="inlineStr">
        <is>
          <t>DOWN</t>
        </is>
      </c>
      <c r="AE155" s="152" t="inlineStr">
        <is>
          <t>NO</t>
        </is>
      </c>
      <c r="AF155" s="152" t="n">
        <v>0</v>
      </c>
      <c r="AG155" s="152">
        <f>IF($A155="","",IFERROR(INDEX(Company_List!$G$3:$G$207,MATCH($A155,Company_List!$A$3:$A$207,0)),"unassigned"))</f>
        <v/>
      </c>
      <c r="AH155" s="152" t="inlineStr">
        <is>
          <t>Phase 2/LVMH/2025-Q4/MC.PA-2025-Q4-results-LVMH-IR.pdf</t>
        </is>
      </c>
      <c r="AI155" s="152" t="n"/>
      <c r="AJ155" s="152" t="inlineStr">
        <is>
          <t>manifest</t>
        </is>
      </c>
      <c r="AK155" s="152">
        <f>IF($A155="","",IF(COUNTIFS(Human_Data_Entry!$A$3:$A$525,$A155)&gt;0,"YES","NO"))</f>
        <v/>
      </c>
      <c r="AL155" s="152">
        <f>IF($A155="","",IF(AND($C155&amp;"-"&amp;$D155&gt;=Settings!$B$19,$C155&amp;"-"&amp;$D155&lt;=Settings!$B$20),"IN","OUT"))</f>
        <v/>
      </c>
      <c r="AM155" s="152">
        <f>IF(AND(OR($H155="BUY",$H155="SELL"),ISNUMBER($T155)),$T155,"")</f>
        <v/>
      </c>
      <c r="AN155" s="152">
        <f>IF(AND(OR($H155="BUY",$H155="SELL"),ISNUMBER($AF155)),$AF155,"")</f>
        <v/>
      </c>
      <c r="AO155" s="152">
        <f>IF(ISNUMBER($AM155),ABS(IF(ISNUMBER($G155),$G155,0)-Settings!$B$25),"")</f>
        <v/>
      </c>
      <c r="AP155" s="152">
        <f>IF(ISNUMBER($AO155),$AO155*$AM155,"")</f>
        <v/>
      </c>
      <c r="AQ155" s="152">
        <f>IF(ISNUMBER($AN155),ABS(IF(ISNUMBER($G155),$G155,0)-Settings!$B$25),"")</f>
        <v/>
      </c>
      <c r="AR155" s="152">
        <f>IF(ISNUMBER($AQ155),$AQ155*$AN155,"")</f>
        <v/>
      </c>
      <c r="AS155" s="152">
        <f>IF($A155="","",IFERROR(INDEX(Company_List!$H$3:$H$207,MATCH($A155,Company_List!$A$3:$A$207,0)),"unassigned"))</f>
        <v/>
      </c>
      <c r="AT155" s="152" t="inlineStr">
        <is>
          <t>not in v1</t>
        </is>
      </c>
      <c r="AU155" s="152" t="inlineStr">
        <is>
          <t>no earlier record</t>
        </is>
      </c>
      <c r="AV155" s="152" t="n">
        <v>1</v>
      </c>
      <c r="AW155" s="152" t="inlineStr">
        <is>
          <t>not publisher-identified</t>
        </is>
      </c>
      <c r="AX155" s="152" t="inlineStr">
        <is>
          <t>not publisher-identified</t>
        </is>
      </c>
      <c r="AY155" s="152" t="inlineStr">
        <is>
          <t>no</t>
        </is>
      </c>
      <c r="AZ155" s="152" t="inlineStr">
        <is>
          <t>yes</t>
        </is>
      </c>
      <c r="BA155" s="152" t="inlineStr">
        <is>
          <t>YES</t>
        </is>
      </c>
      <c r="BB155" s="152" t="n"/>
    </row>
    <row r="156" ht="15" customHeight="1" s="241">
      <c r="A156" s="191" t="inlineStr">
        <is>
          <t>Marriott</t>
        </is>
      </c>
      <c r="B156" s="188" t="inlineStr">
        <is>
          <t>MAR</t>
        </is>
      </c>
      <c r="C156" s="176" t="n">
        <v>2026</v>
      </c>
      <c r="D156" s="177" t="inlineStr">
        <is>
          <t>Q1</t>
        </is>
      </c>
      <c r="E156" s="178" t="inlineStr">
        <is>
          <t>Ben/DeepSeek</t>
        </is>
      </c>
      <c r="F156" s="177" t="inlineStr">
        <is>
          <t>LLM</t>
        </is>
      </c>
      <c r="G156" s="196" t="n">
        <v>0.38</v>
      </c>
      <c r="H156" s="177" t="inlineStr">
        <is>
          <t>BUY</t>
        </is>
      </c>
      <c r="I156" s="196" t="n"/>
      <c r="J156" s="182" t="n">
        <v>46148</v>
      </c>
      <c r="K156" s="182" t="n">
        <v>46147</v>
      </c>
      <c r="L156" s="183" t="n">
        <v>354.52</v>
      </c>
      <c r="M156" s="182" t="n">
        <v>46148</v>
      </c>
      <c r="N156" s="183" t="n">
        <v>363.87</v>
      </c>
      <c r="O156" s="180" t="n">
        <v>0.011384</v>
      </c>
      <c r="P156" s="197" t="n">
        <v>0.026374</v>
      </c>
      <c r="Q156" s="177" t="inlineStr">
        <is>
          <t>UP</t>
        </is>
      </c>
      <c r="R156" s="177" t="inlineStr">
        <is>
          <t>YES</t>
        </is>
      </c>
      <c r="S156" s="176" t="n">
        <v>1</v>
      </c>
      <c r="T156" s="197" t="n">
        <v>0.025374</v>
      </c>
      <c r="U156" s="185" t="inlineStr">
        <is>
          <t>w=[0.80,0.20,0,0] thr=(+0.20,-0.10), deployed default promoted 2026-08-18 (PSR=0.964, permutation p=0.0002 at N=233, restricted search - see blend.py)</t>
        </is>
      </c>
      <c r="V156" s="152" t="inlineStr">
        <is>
          <t>FROZEN</t>
        </is>
      </c>
      <c r="W156" s="152" t="inlineStr">
        <is>
          <t>document date + price signal</t>
        </is>
      </c>
      <c r="X156" s="152" t="inlineStr">
        <is>
          <t>MAR</t>
        </is>
      </c>
      <c r="Y156" s="152" t="inlineStr">
        <is>
          <t>2026-05-05</t>
        </is>
      </c>
      <c r="Z156" s="152" t="n">
        <v>353.8216</v>
      </c>
      <c r="AA156" s="152" t="inlineStr">
        <is>
          <t>2026-05-06</t>
        </is>
      </c>
      <c r="AB156" s="152" t="n">
        <v>363.1532</v>
      </c>
      <c r="AC156" s="152" t="n">
        <v>0.02637371097224022</v>
      </c>
      <c r="AD156" s="152" t="inlineStr">
        <is>
          <t>UP</t>
        </is>
      </c>
      <c r="AE156" s="152" t="inlineStr">
        <is>
          <t>NO</t>
        </is>
      </c>
      <c r="AF156" s="152" t="n">
        <v>0</v>
      </c>
      <c r="AG156" s="152">
        <f>IF($A156="","",IFERROR(INDEX(Company_List!$G$3:$G$207,MATCH($A156,Company_List!$A$3:$A$207,0)),"unassigned"))</f>
        <v/>
      </c>
      <c r="AH156" s="152" t="inlineStr">
        <is>
          <t>Phase 2/Marriott/2026-Q1/MAR-2026-Q1-press-release-SEC-EX-99.htm</t>
        </is>
      </c>
      <c r="AI156" s="152" t="inlineStr">
        <is>
          <t>https://www.sec.gov/Archives/edgar/data/1048286/000104828626000012/mar-2026q1xex99earningsrel.htm</t>
        </is>
      </c>
      <c r="AJ156" s="152" t="inlineStr">
        <is>
          <t>manifest</t>
        </is>
      </c>
      <c r="AK156" s="152">
        <f>IF($A156="","",IF(COUNTIFS(Human_Data_Entry!$A$3:$A$525,$A156)&gt;0,"YES","NO"))</f>
        <v/>
      </c>
      <c r="AL156" s="152">
        <f>IF($A156="","",IF(AND($C156&amp;"-"&amp;$D156&gt;=Settings!$B$19,$C156&amp;"-"&amp;$D156&lt;=Settings!$B$20),"IN","OUT"))</f>
        <v/>
      </c>
      <c r="AM156" s="152">
        <f>IF(AND(OR($H156="BUY",$H156="SELL"),ISNUMBER($T156)),$T156,"")</f>
        <v/>
      </c>
      <c r="AN156" s="152">
        <f>IF(AND(OR($H156="BUY",$H156="SELL"),ISNUMBER($AF156)),$AF156,"")</f>
        <v/>
      </c>
      <c r="AO156" s="152">
        <f>IF(ISNUMBER($AM156),ABS(IF(ISNUMBER($G156),$G156,0)-Settings!$B$25),"")</f>
        <v/>
      </c>
      <c r="AP156" s="152">
        <f>IF(ISNUMBER($AO156),$AO156*$AM156,"")</f>
        <v/>
      </c>
      <c r="AQ156" s="152">
        <f>IF(ISNUMBER($AN156),ABS(IF(ISNUMBER($G156),$G156,0)-Settings!$B$25),"")</f>
        <v/>
      </c>
      <c r="AR156" s="152">
        <f>IF(ISNUMBER($AQ156),$AQ156*$AN156,"")</f>
        <v/>
      </c>
      <c r="AS156" s="152">
        <f>IF($A156="","",IFERROR(INDEX(Company_List!$H$3:$H$207,MATCH($A156,Company_List!$A$3:$A$207,0)),"unassigned"))</f>
        <v/>
      </c>
      <c r="AT156" s="152" t="inlineStr">
        <is>
          <t>not in v1</t>
        </is>
      </c>
      <c r="AU156" s="152" t="inlineStr">
        <is>
          <t>no earlier record</t>
        </is>
      </c>
      <c r="AV156" s="152" t="n">
        <v>1</v>
      </c>
      <c r="AW156" s="152" t="inlineStr">
        <is>
          <t>not publisher-identified</t>
        </is>
      </c>
      <c r="AX156" s="152" t="inlineStr">
        <is>
          <t>not publisher-identified</t>
        </is>
      </c>
      <c r="AY156" s="152" t="inlineStr">
        <is>
          <t>no</t>
        </is>
      </c>
      <c r="AZ156" s="152" t="inlineStr">
        <is>
          <t>yes</t>
        </is>
      </c>
      <c r="BA156" s="152" t="inlineStr">
        <is>
          <t>YES</t>
        </is>
      </c>
      <c r="BB156" s="152" t="n"/>
    </row>
    <row r="157" ht="15" customHeight="1" s="241">
      <c r="A157" s="191" t="inlineStr">
        <is>
          <t>Marriott</t>
        </is>
      </c>
      <c r="B157" s="188" t="inlineStr">
        <is>
          <t>MAR</t>
        </is>
      </c>
      <c r="C157" s="176" t="n">
        <v>2025</v>
      </c>
      <c r="D157" s="177" t="inlineStr">
        <is>
          <t>Q2</t>
        </is>
      </c>
      <c r="E157" s="178" t="inlineStr">
        <is>
          <t>Ben/DeepSeek</t>
        </is>
      </c>
      <c r="F157" s="177" t="inlineStr">
        <is>
          <t>LLM</t>
        </is>
      </c>
      <c r="G157" s="196" t="n">
        <v>-0.22</v>
      </c>
      <c r="H157" s="177" t="inlineStr">
        <is>
          <t>SELL</t>
        </is>
      </c>
      <c r="I157" s="196" t="n"/>
      <c r="J157" s="182" t="n">
        <v>45874</v>
      </c>
      <c r="K157" s="182" t="n">
        <v>45873</v>
      </c>
      <c r="L157" s="183" t="n">
        <v>259.13</v>
      </c>
      <c r="M157" s="182" t="n">
        <v>45874</v>
      </c>
      <c r="N157" s="183" t="n">
        <v>259.31</v>
      </c>
      <c r="O157" s="180" t="n">
        <v>0.010498</v>
      </c>
      <c r="P157" s="197" t="n">
        <v>0.0006950000000000001</v>
      </c>
      <c r="Q157" s="177" t="inlineStr">
        <is>
          <t>FLAT</t>
        </is>
      </c>
      <c r="R157" s="177" t="inlineStr">
        <is>
          <t>NO</t>
        </is>
      </c>
      <c r="S157" s="176" t="n">
        <v>-1</v>
      </c>
      <c r="T157" s="197" t="n">
        <v>-0.001695</v>
      </c>
      <c r="U157" s="185" t="inlineStr">
        <is>
          <t>w=[0.80,0.20,0,0] thr=(+0.20,-0.10), deployed default promoted 2026-08-18 (PSR=0.964, permutation p=0.0002 at N=233, restricted search - see blend.py)</t>
        </is>
      </c>
      <c r="V157" s="152" t="inlineStr">
        <is>
          <t>FROZEN</t>
        </is>
      </c>
      <c r="W157" s="152" t="inlineStr">
        <is>
          <t>earnings calendar, seconded by the issuer's habit</t>
        </is>
      </c>
      <c r="X157" s="152" t="inlineStr">
        <is>
          <t>MAR</t>
        </is>
      </c>
      <c r="Y157" s="152" t="inlineStr">
        <is>
          <t>2025-08-04</t>
        </is>
      </c>
      <c r="Z157" s="152" t="n">
        <v>256.8576</v>
      </c>
      <c r="AA157" s="152" t="inlineStr">
        <is>
          <t>2025-08-05</t>
        </is>
      </c>
      <c r="AB157" s="152" t="n">
        <v>257.036</v>
      </c>
      <c r="AC157" s="152" t="n">
        <v>0.0006945501161925129</v>
      </c>
      <c r="AD157" s="152" t="inlineStr">
        <is>
          <t>FLAT</t>
        </is>
      </c>
      <c r="AE157" s="152" t="inlineStr">
        <is>
          <t>NO</t>
        </is>
      </c>
      <c r="AF157" s="152" t="n">
        <v>-0.001695</v>
      </c>
      <c r="AG157" s="152">
        <f>IF($A157="","",IFERROR(INDEX(Company_List!$G$3:$G$207,MATCH($A157,Company_List!$A$3:$A$207,0)),"unassigned"))</f>
        <v/>
      </c>
      <c r="AH157" s="152" t="inlineStr">
        <is>
          <t>Phase 2/Marriott/MAR Q2 2025 TRANSCRIPT 8-5-25 FINAL.pdf</t>
        </is>
      </c>
      <c r="AI157" s="152" t="n"/>
      <c r="AJ157" s="152" t="inlineStr">
        <is>
          <t>unique filename match</t>
        </is>
      </c>
      <c r="AK157" s="152">
        <f>IF($A157="","",IF(COUNTIFS(Human_Data_Entry!$A$3:$A$525,$A157)&gt;0,"YES","NO"))</f>
        <v/>
      </c>
      <c r="AL157" s="152">
        <f>IF($A157="","",IF(AND($C157&amp;"-"&amp;$D157&gt;=Settings!$B$19,$C157&amp;"-"&amp;$D157&lt;=Settings!$B$20),"IN","OUT"))</f>
        <v/>
      </c>
      <c r="AM157" s="152">
        <f>IF(AND(OR($H157="BUY",$H157="SELL"),ISNUMBER($T157)),$T157,"")</f>
        <v/>
      </c>
      <c r="AN157" s="152">
        <f>IF(AND(OR($H157="BUY",$H157="SELL"),ISNUMBER($AF157)),$AF157,"")</f>
        <v/>
      </c>
      <c r="AO157" s="152">
        <f>IF(ISNUMBER($AM157),ABS(IF(ISNUMBER($G157),$G157,0)-Settings!$B$25),"")</f>
        <v/>
      </c>
      <c r="AP157" s="152">
        <f>IF(ISNUMBER($AO157),$AO157*$AM157,"")</f>
        <v/>
      </c>
      <c r="AQ157" s="152">
        <f>IF(ISNUMBER($AN157),ABS(IF(ISNUMBER($G157),$G157,0)-Settings!$B$25),"")</f>
        <v/>
      </c>
      <c r="AR157" s="152">
        <f>IF(ISNUMBER($AQ157),$AQ157*$AN157,"")</f>
        <v/>
      </c>
      <c r="AS157" s="152">
        <f>IF($A157="","",IFERROR(INDEX(Company_List!$H$3:$H$207,MATCH($A157,Company_List!$A$3:$A$207,0)),"unassigned"))</f>
        <v/>
      </c>
      <c r="AT157" s="152" t="inlineStr">
        <is>
          <t>not in v1</t>
        </is>
      </c>
      <c r="AU157" s="152" t="inlineStr">
        <is>
          <t>no earlier record</t>
        </is>
      </c>
      <c r="AV157" s="152" t="n">
        <v>1</v>
      </c>
      <c r="AW157" s="152" t="inlineStr">
        <is>
          <t>not publisher-identified</t>
        </is>
      </c>
      <c r="AX157" s="152" t="inlineStr">
        <is>
          <t>not publisher-identified</t>
        </is>
      </c>
      <c r="AY157" s="152" t="inlineStr">
        <is>
          <t>no</t>
        </is>
      </c>
      <c r="AZ157" s="152" t="inlineStr">
        <is>
          <t>no</t>
        </is>
      </c>
      <c r="BA157" s="152" t="inlineStr">
        <is>
          <t>YES</t>
        </is>
      </c>
      <c r="BB157" s="152" t="n"/>
    </row>
    <row r="158" ht="15" customHeight="1" s="241">
      <c r="A158" s="191" t="inlineStr">
        <is>
          <t>Marriott</t>
        </is>
      </c>
      <c r="B158" s="188" t="inlineStr">
        <is>
          <t>MAR</t>
        </is>
      </c>
      <c r="C158" s="176" t="n">
        <v>2025</v>
      </c>
      <c r="D158" s="177" t="inlineStr">
        <is>
          <t>Q3</t>
        </is>
      </c>
      <c r="E158" s="178" t="inlineStr">
        <is>
          <t>Ben/DeepSeek</t>
        </is>
      </c>
      <c r="F158" s="177" t="inlineStr">
        <is>
          <t>LLM</t>
        </is>
      </c>
      <c r="G158" s="196" t="n">
        <v>0.22</v>
      </c>
      <c r="H158" s="177" t="inlineStr">
        <is>
          <t>BUY</t>
        </is>
      </c>
      <c r="I158" s="196" t="n"/>
      <c r="J158" s="182" t="n">
        <v>45965</v>
      </c>
      <c r="K158" s="182" t="n">
        <v>45964</v>
      </c>
      <c r="L158" s="183" t="n">
        <v>263.89</v>
      </c>
      <c r="M158" s="182" t="n">
        <v>45965</v>
      </c>
      <c r="N158" s="183" t="n">
        <v>264.4</v>
      </c>
      <c r="O158" s="180" t="n">
        <v>0.009782000000000001</v>
      </c>
      <c r="P158" s="197" t="n">
        <v>0.001933</v>
      </c>
      <c r="Q158" s="177" t="inlineStr">
        <is>
          <t>FLAT</t>
        </is>
      </c>
      <c r="R158" s="177" t="inlineStr">
        <is>
          <t>NO</t>
        </is>
      </c>
      <c r="S158" s="176" t="n">
        <v>1</v>
      </c>
      <c r="T158" s="197" t="n">
        <v>0.000933</v>
      </c>
      <c r="U158" s="185" t="inlineStr">
        <is>
          <t>w=[0.80,0.20,0,0] thr=(+0.20,-0.10), deployed default promoted 2026-08-18 (PSR=0.964, permutation p=0.0002 at N=233, restricted search - see blend.py)</t>
        </is>
      </c>
      <c r="V158" s="152" t="inlineStr">
        <is>
          <t>FROZEN</t>
        </is>
      </c>
      <c r="W158" s="152" t="inlineStr">
        <is>
          <t>document date + price signal</t>
        </is>
      </c>
      <c r="X158" s="152" t="inlineStr">
        <is>
          <t>MAR</t>
        </is>
      </c>
      <c r="Y158" s="152" t="inlineStr">
        <is>
          <t>2025-11-04</t>
        </is>
      </c>
      <c r="Z158" s="152" t="n">
        <v>270.5404</v>
      </c>
      <c r="AA158" s="152" t="inlineStr">
        <is>
          <t>2025-11-05</t>
        </is>
      </c>
      <c r="AB158" s="152" t="n">
        <v>272.041</v>
      </c>
      <c r="AC158" s="152" t="n">
        <v>0.005546668634632643</v>
      </c>
      <c r="AD158" s="152" t="inlineStr">
        <is>
          <t>FLAT</t>
        </is>
      </c>
      <c r="AE158" s="152" t="inlineStr">
        <is>
          <t>YES</t>
        </is>
      </c>
      <c r="AF158" s="152" t="n">
        <v>0</v>
      </c>
      <c r="AG158" s="152">
        <f>IF($A158="","",IFERROR(INDEX(Company_List!$G$3:$G$207,MATCH($A158,Company_List!$A$3:$A$207,0)),"unassigned"))</f>
        <v/>
      </c>
      <c r="AH158" s="152" t="inlineStr">
        <is>
          <t>Phase 2/Marriott/2025-Q3/MAR-2025-Q3-press-release-SEC-EX-99.htm</t>
        </is>
      </c>
      <c r="AI158" s="152" t="inlineStr">
        <is>
          <t>https://www.sec.gov/Archives/edgar/data/1048286/000104828625000011/mar-2025q3xex99earningsrel.htm</t>
        </is>
      </c>
      <c r="AJ158" s="152" t="inlineStr">
        <is>
          <t>manifest</t>
        </is>
      </c>
      <c r="AK158" s="152">
        <f>IF($A158="","",IF(COUNTIFS(Human_Data_Entry!$A$3:$A$525,$A158)&gt;0,"YES","NO"))</f>
        <v/>
      </c>
      <c r="AL158" s="152">
        <f>IF($A158="","",IF(AND($C158&amp;"-"&amp;$D158&gt;=Settings!$B$19,$C158&amp;"-"&amp;$D158&lt;=Settings!$B$20),"IN","OUT"))</f>
        <v/>
      </c>
      <c r="AM158" s="152">
        <f>IF(AND(OR($H158="BUY",$H158="SELL"),ISNUMBER($T158)),$T158,"")</f>
        <v/>
      </c>
      <c r="AN158" s="152">
        <f>IF(AND(OR($H158="BUY",$H158="SELL"),ISNUMBER($AF158)),$AF158,"")</f>
        <v/>
      </c>
      <c r="AO158" s="152">
        <f>IF(ISNUMBER($AM158),ABS(IF(ISNUMBER($G158),$G158,0)-Settings!$B$25),"")</f>
        <v/>
      </c>
      <c r="AP158" s="152">
        <f>IF(ISNUMBER($AO158),$AO158*$AM158,"")</f>
        <v/>
      </c>
      <c r="AQ158" s="152">
        <f>IF(ISNUMBER($AN158),ABS(IF(ISNUMBER($G158),$G158,0)-Settings!$B$25),"")</f>
        <v/>
      </c>
      <c r="AR158" s="152">
        <f>IF(ISNUMBER($AQ158),$AQ158*$AN158,"")</f>
        <v/>
      </c>
      <c r="AS158" s="152">
        <f>IF($A158="","",IFERROR(INDEX(Company_List!$H$3:$H$207,MATCH($A158,Company_List!$A$3:$A$207,0)),"unassigned"))</f>
        <v/>
      </c>
      <c r="AT158" s="152" t="inlineStr">
        <is>
          <t>not in v1</t>
        </is>
      </c>
      <c r="AU158" s="152" t="inlineStr">
        <is>
          <t>no earlier record</t>
        </is>
      </c>
      <c r="AV158" s="152" t="n">
        <v>1</v>
      </c>
      <c r="AW158" s="152" t="inlineStr">
        <is>
          <t>not publisher-identified</t>
        </is>
      </c>
      <c r="AX158" s="152" t="inlineStr">
        <is>
          <t>not publisher-identified</t>
        </is>
      </c>
      <c r="AY158" s="152" t="inlineStr">
        <is>
          <t>no</t>
        </is>
      </c>
      <c r="AZ158" s="152" t="inlineStr">
        <is>
          <t>yes</t>
        </is>
      </c>
      <c r="BA158" s="152" t="inlineStr">
        <is>
          <t>YES</t>
        </is>
      </c>
      <c r="BB158" s="152" t="n"/>
    </row>
    <row r="159" ht="15" customHeight="1" s="241">
      <c r="A159" s="191" t="inlineStr">
        <is>
          <t>Marriott</t>
        </is>
      </c>
      <c r="B159" s="188" t="inlineStr">
        <is>
          <t>MAR</t>
        </is>
      </c>
      <c r="C159" s="176" t="n">
        <v>2025</v>
      </c>
      <c r="D159" s="177" t="inlineStr">
        <is>
          <t>Q4</t>
        </is>
      </c>
      <c r="E159" s="178" t="inlineStr">
        <is>
          <t>Ben/DeepSeek</t>
        </is>
      </c>
      <c r="F159" s="177" t="inlineStr">
        <is>
          <t>LLM</t>
        </is>
      </c>
      <c r="G159" s="196" t="n">
        <v>0.33</v>
      </c>
      <c r="H159" s="177" t="inlineStr">
        <is>
          <t>BUY</t>
        </is>
      </c>
      <c r="I159" s="196" t="n"/>
      <c r="J159" s="182" t="n">
        <v>46063</v>
      </c>
      <c r="K159" s="182" t="n">
        <v>46062</v>
      </c>
      <c r="L159" s="183" t="n">
        <v>331.21</v>
      </c>
      <c r="M159" s="182" t="n">
        <v>46063</v>
      </c>
      <c r="N159" s="183" t="n">
        <v>349.91</v>
      </c>
      <c r="O159" s="180" t="n">
        <v>0.012218</v>
      </c>
      <c r="P159" s="197" t="n">
        <v>0.05646</v>
      </c>
      <c r="Q159" s="177" t="inlineStr">
        <is>
          <t>UP</t>
        </is>
      </c>
      <c r="R159" s="177" t="inlineStr">
        <is>
          <t>YES</t>
        </is>
      </c>
      <c r="S159" s="176" t="n">
        <v>1</v>
      </c>
      <c r="T159" s="197" t="n">
        <v>0.05546</v>
      </c>
      <c r="U159" s="185" t="inlineStr">
        <is>
          <t>w=[0.80,0.20,0,0] thr=(+0.20,-0.10), deployed default promoted 2026-08-18 (PSR=0.964, permutation p=0.0002 at N=233, restricted search - see blend.py)</t>
        </is>
      </c>
      <c r="V159" s="152" t="inlineStr">
        <is>
          <t>FROZEN</t>
        </is>
      </c>
      <c r="W159" s="152" t="inlineStr">
        <is>
          <t>recorded price identified against every pulled series</t>
        </is>
      </c>
      <c r="X159" s="152" t="inlineStr">
        <is>
          <t>MAR</t>
        </is>
      </c>
      <c r="Y159" s="152" t="inlineStr">
        <is>
          <t>2026-02-09</t>
        </is>
      </c>
      <c r="Z159" s="152" t="n">
        <v>329.9201</v>
      </c>
      <c r="AA159" s="152" t="inlineStr">
        <is>
          <t>2026-02-10</t>
        </is>
      </c>
      <c r="AB159" s="152" t="n">
        <v>348.5473</v>
      </c>
      <c r="AC159" s="152" t="n">
        <v>0.0564597004331539</v>
      </c>
      <c r="AD159" s="152" t="inlineStr">
        <is>
          <t>UP</t>
        </is>
      </c>
      <c r="AE159" s="152" t="inlineStr">
        <is>
          <t>YES</t>
        </is>
      </c>
      <c r="AF159" s="152" t="n">
        <v>0.05546</v>
      </c>
      <c r="AG159" s="152">
        <f>IF($A159="","",IFERROR(INDEX(Company_List!$G$3:$G$207,MATCH($A159,Company_List!$A$3:$A$207,0)),"unassigned"))</f>
        <v/>
      </c>
      <c r="AH159" s="152" t="inlineStr">
        <is>
          <t>Phase 2/Marriott/2025-Q4/MAR-2025-Q4-press-release-SEC-EX-99.htm; Phase 2/Marriott/2025-Q4/MAR-2025-Q4-earnings-call-transcript-fool-com.html</t>
        </is>
      </c>
      <c r="AI159" s="152" t="inlineStr">
        <is>
          <t>https://www.fool.com/earnings/call-transcripts/2026/02/10/marriott-mar-q4-2025-earnings-call-transcript/; https://www.sec.gov/Archives/edgar/data/1048286/000104828626000005/mar-2025q4xex99earningsrel.htm</t>
        </is>
      </c>
      <c r="AJ159" s="152" t="inlineStr">
        <is>
          <t>manifest (whole bundle)</t>
        </is>
      </c>
      <c r="AK159" s="152">
        <f>IF($A159="","",IF(COUNTIFS(Human_Data_Entry!$A$3:$A$525,$A159)&gt;0,"YES","NO"))</f>
        <v/>
      </c>
      <c r="AL159" s="152">
        <f>IF($A159="","",IF(AND($C159&amp;"-"&amp;$D159&gt;=Settings!$B$19,$C159&amp;"-"&amp;$D159&lt;=Settings!$B$20),"IN","OUT"))</f>
        <v/>
      </c>
      <c r="AM159" s="152">
        <f>IF(AND(OR($H159="BUY",$H159="SELL"),ISNUMBER($T159)),$T159,"")</f>
        <v/>
      </c>
      <c r="AN159" s="152">
        <f>IF(AND(OR($H159="BUY",$H159="SELL"),ISNUMBER($AF159)),$AF159,"")</f>
        <v/>
      </c>
      <c r="AO159" s="152">
        <f>IF(ISNUMBER($AM159),ABS(IF(ISNUMBER($G159),$G159,0)-Settings!$B$25),"")</f>
        <v/>
      </c>
      <c r="AP159" s="152">
        <f>IF(ISNUMBER($AO159),$AO159*$AM159,"")</f>
        <v/>
      </c>
      <c r="AQ159" s="152">
        <f>IF(ISNUMBER($AN159),ABS(IF(ISNUMBER($G159),$G159,0)-Settings!$B$25),"")</f>
        <v/>
      </c>
      <c r="AR159" s="152">
        <f>IF(ISNUMBER($AQ159),$AQ159*$AN159,"")</f>
        <v/>
      </c>
      <c r="AS159" s="152">
        <f>IF($A159="","",IFERROR(INDEX(Company_List!$H$3:$H$207,MATCH($A159,Company_List!$A$3:$A$207,0)),"unassigned"))</f>
        <v/>
      </c>
      <c r="AT159" s="152" t="inlineStr">
        <is>
          <t>not in v1</t>
        </is>
      </c>
      <c r="AU159" s="152" t="inlineStr">
        <is>
          <t>no earlier record</t>
        </is>
      </c>
      <c r="AV159" s="152" t="n">
        <v>2</v>
      </c>
      <c r="AW159" s="152" t="inlineStr">
        <is>
          <t>The Motley Fool</t>
        </is>
      </c>
      <c r="AX159" s="152" t="inlineStr">
        <is>
          <t>free to read, copyright asserted</t>
        </is>
      </c>
      <c r="AY159" s="152" t="inlineStr">
        <is>
          <t>no</t>
        </is>
      </c>
      <c r="AZ159" s="152" t="inlineStr">
        <is>
          <t>yes</t>
        </is>
      </c>
      <c r="BA159" s="152" t="inlineStr">
        <is>
          <t>YES</t>
        </is>
      </c>
      <c r="BB159" s="152" t="n"/>
    </row>
    <row r="160" ht="15" customHeight="1" s="241">
      <c r="A160" s="191" t="inlineStr">
        <is>
          <t>Alphabet</t>
        </is>
      </c>
      <c r="B160" s="188" t="inlineStr">
        <is>
          <t>GOOGL</t>
        </is>
      </c>
      <c r="C160" s="176" t="n">
        <v>2026</v>
      </c>
      <c r="D160" s="177" t="inlineStr">
        <is>
          <t>Q1</t>
        </is>
      </c>
      <c r="E160" s="178" t="inlineStr">
        <is>
          <t>Ben/DeepSeek</t>
        </is>
      </c>
      <c r="F160" s="177" t="inlineStr">
        <is>
          <t>LLM</t>
        </is>
      </c>
      <c r="G160" s="196" t="n">
        <v>0.38</v>
      </c>
      <c r="H160" s="177" t="inlineStr">
        <is>
          <t>BUY</t>
        </is>
      </c>
      <c r="I160" s="196" t="n"/>
      <c r="J160" s="182" t="n">
        <v>46141</v>
      </c>
      <c r="K160" s="182" t="n">
        <v>46141</v>
      </c>
      <c r="L160" s="183" t="n">
        <v>349.94</v>
      </c>
      <c r="M160" s="182" t="n">
        <v>46142</v>
      </c>
      <c r="N160" s="183" t="n">
        <v>374.07</v>
      </c>
      <c r="O160" s="180" t="n">
        <v>0.008489</v>
      </c>
      <c r="P160" s="197" t="n">
        <v>0.068955</v>
      </c>
      <c r="Q160" s="177" t="inlineStr">
        <is>
          <t>UP</t>
        </is>
      </c>
      <c r="R160" s="177" t="inlineStr">
        <is>
          <t>YES</t>
        </is>
      </c>
      <c r="S160" s="176" t="n">
        <v>1</v>
      </c>
      <c r="T160" s="197" t="n">
        <v>0.067955</v>
      </c>
      <c r="U160" s="185" t="inlineStr">
        <is>
          <t>w=[0.80,0.20,0,0] thr=(+0.20,-0.10), deployed default promoted 2026-08-18 (PSR=0.964, permutation p=0.0002 at N=233, restricted search - see blend.py)</t>
        </is>
      </c>
      <c r="V160" s="152" t="inlineStr">
        <is>
          <t>FROZEN</t>
        </is>
      </c>
      <c r="W160" s="152" t="inlineStr">
        <is>
          <t>release date + stated time in the document (rater worksheet)</t>
        </is>
      </c>
      <c r="X160" s="152" t="inlineStr">
        <is>
          <t>GOOGL</t>
        </is>
      </c>
      <c r="Y160" s="152" t="inlineStr">
        <is>
          <t>2026-04-29</t>
        </is>
      </c>
      <c r="Z160" s="152" t="n">
        <v>349.7311</v>
      </c>
      <c r="AA160" s="152" t="inlineStr">
        <is>
          <t>2026-04-30</t>
        </is>
      </c>
      <c r="AB160" s="152" t="n">
        <v>373.8467</v>
      </c>
      <c r="AC160" s="152" t="n">
        <v>0.06895467850234777</v>
      </c>
      <c r="AD160" s="152" t="inlineStr">
        <is>
          <t>UP</t>
        </is>
      </c>
      <c r="AE160" s="152" t="inlineStr">
        <is>
          <t>NO</t>
        </is>
      </c>
      <c r="AF160" s="152" t="n">
        <v>0</v>
      </c>
      <c r="AG160" s="152">
        <f>IF($A160="","",IFERROR(INDEX(Company_List!$G$3:$G$207,MATCH($A160,Company_List!$A$3:$A$207,0)),"unassigned"))</f>
        <v/>
      </c>
      <c r="AH160" s="152" t="inlineStr">
        <is>
          <t>Phase 2/Alphabet/2026-Q1/GOOGL-2026-Q1-press-release-SEC-EX-99-1.htm; Phase 2/Alphabet/2026-Q1/GOOGL-2026-Q1-earnings-call-transcript-fool-com.html</t>
        </is>
      </c>
      <c r="AI160" s="152" t="inlineStr">
        <is>
          <t>https://www.fool.com/earnings/call-transcripts/2026/04/29/alphabet-googl-q1-2026-earnings-call-transcript/; https://www.sec.gov/Archives/edgar/data/1652044/000165204426000043/googexhibit991q12026.htm</t>
        </is>
      </c>
      <c r="AJ160" s="152" t="inlineStr">
        <is>
          <t>manifest (whole bundle)</t>
        </is>
      </c>
      <c r="AK160" s="152">
        <f>IF($A160="","",IF(COUNTIFS(Human_Data_Entry!$A$3:$A$525,$A160)&gt;0,"YES","NO"))</f>
        <v/>
      </c>
      <c r="AL160" s="152">
        <f>IF($A160="","",IF(AND($C160&amp;"-"&amp;$D160&gt;=Settings!$B$19,$C160&amp;"-"&amp;$D160&lt;=Settings!$B$20),"IN","OUT"))</f>
        <v/>
      </c>
      <c r="AM160" s="152">
        <f>IF(AND(OR($H160="BUY",$H160="SELL"),ISNUMBER($T160)),$T160,"")</f>
        <v/>
      </c>
      <c r="AN160" s="152">
        <f>IF(AND(OR($H160="BUY",$H160="SELL"),ISNUMBER($AF160)),$AF160,"")</f>
        <v/>
      </c>
      <c r="AO160" s="152">
        <f>IF(ISNUMBER($AM160),ABS(IF(ISNUMBER($G160),$G160,0)-Settings!$B$25),"")</f>
        <v/>
      </c>
      <c r="AP160" s="152">
        <f>IF(ISNUMBER($AO160),$AO160*$AM160,"")</f>
        <v/>
      </c>
      <c r="AQ160" s="152">
        <f>IF(ISNUMBER($AN160),ABS(IF(ISNUMBER($G160),$G160,0)-Settings!$B$25),"")</f>
        <v/>
      </c>
      <c r="AR160" s="152">
        <f>IF(ISNUMBER($AQ160),$AQ160*$AN160,"")</f>
        <v/>
      </c>
      <c r="AS160" s="152">
        <f>IF($A160="","",IFERROR(INDEX(Company_List!$H$3:$H$207,MATCH($A160,Company_List!$A$3:$A$207,0)),"unassigned"))</f>
        <v/>
      </c>
      <c r="AT160" s="152" t="inlineStr">
        <is>
          <t>not in v1</t>
        </is>
      </c>
      <c r="AU160" s="152" t="inlineStr">
        <is>
          <t>no earlier record</t>
        </is>
      </c>
      <c r="AV160" s="152" t="n">
        <v>2</v>
      </c>
      <c r="AW160" s="152" t="inlineStr">
        <is>
          <t>The Motley Fool</t>
        </is>
      </c>
      <c r="AX160" s="152" t="inlineStr">
        <is>
          <t>free to read, copyright asserted</t>
        </is>
      </c>
      <c r="AY160" s="152" t="inlineStr">
        <is>
          <t>no</t>
        </is>
      </c>
      <c r="AZ160" s="152" t="inlineStr">
        <is>
          <t>yes</t>
        </is>
      </c>
      <c r="BA160" s="152" t="inlineStr">
        <is>
          <t>YES</t>
        </is>
      </c>
      <c r="BB160" s="152" t="n"/>
    </row>
    <row r="161" ht="15" customHeight="1" s="241">
      <c r="A161" s="191" t="inlineStr">
        <is>
          <t>Alphabet</t>
        </is>
      </c>
      <c r="B161" s="188" t="inlineStr">
        <is>
          <t>GOOGL</t>
        </is>
      </c>
      <c r="C161" s="176" t="n">
        <v>2025</v>
      </c>
      <c r="D161" s="177" t="inlineStr">
        <is>
          <t>Q3</t>
        </is>
      </c>
      <c r="E161" s="178" t="inlineStr">
        <is>
          <t>Ben/DeepSeek</t>
        </is>
      </c>
      <c r="F161" s="177" t="inlineStr">
        <is>
          <t>LLM</t>
        </is>
      </c>
      <c r="G161" s="196" t="n">
        <v>0.34</v>
      </c>
      <c r="H161" s="177" t="inlineStr">
        <is>
          <t>BUY</t>
        </is>
      </c>
      <c r="I161" s="196" t="n"/>
      <c r="J161" s="182" t="n">
        <v>45959</v>
      </c>
      <c r="K161" s="182" t="n">
        <v>45959</v>
      </c>
      <c r="L161" s="183" t="n">
        <v>274.57</v>
      </c>
      <c r="M161" s="182" t="n">
        <v>45960</v>
      </c>
      <c r="N161" s="183" t="n">
        <v>291.59</v>
      </c>
      <c r="O161" s="180" t="n">
        <v>0.008614</v>
      </c>
      <c r="P161" s="197" t="n">
        <v>0.061988</v>
      </c>
      <c r="Q161" s="177" t="inlineStr">
        <is>
          <t>UP</t>
        </is>
      </c>
      <c r="R161" s="177" t="inlineStr">
        <is>
          <t>YES</t>
        </is>
      </c>
      <c r="S161" s="176" t="n">
        <v>1</v>
      </c>
      <c r="T161" s="197" t="n">
        <v>0.060988</v>
      </c>
      <c r="U161" s="185" t="inlineStr">
        <is>
          <t>w=[0.80,0.20,0,0] thr=(+0.20,-0.10), deployed default promoted 2026-08-18 (PSR=0.964, permutation p=0.0002 at N=233, restricted search - see blend.py)</t>
        </is>
      </c>
      <c r="V161" s="152" t="inlineStr">
        <is>
          <t>FROZEN</t>
        </is>
      </c>
      <c r="W161" s="152" t="inlineStr">
        <is>
          <t>release date + stated time in the document (rater worksheet)</t>
        </is>
      </c>
      <c r="X161" s="152" t="inlineStr">
        <is>
          <t>GOOGL</t>
        </is>
      </c>
      <c r="Y161" s="152" t="inlineStr">
        <is>
          <t>2025-10-29</t>
        </is>
      </c>
      <c r="Z161" s="152" t="n">
        <v>274.0338</v>
      </c>
      <c r="AA161" s="152" t="inlineStr">
        <is>
          <t>2025-10-30</t>
        </is>
      </c>
      <c r="AB161" s="152" t="n">
        <v>291.0206</v>
      </c>
      <c r="AC161" s="152" t="n">
        <v>0.06198793072815025</v>
      </c>
      <c r="AD161" s="152" t="inlineStr">
        <is>
          <t>UP</t>
        </is>
      </c>
      <c r="AE161" s="152" t="inlineStr">
        <is>
          <t>YES</t>
        </is>
      </c>
      <c r="AF161" s="152" t="n">
        <v>0.060988</v>
      </c>
      <c r="AG161" s="152">
        <f>IF($A161="","",IFERROR(INDEX(Company_List!$G$3:$G$207,MATCH($A161,Company_List!$A$3:$A$207,0)),"unassigned"))</f>
        <v/>
      </c>
      <c r="AH161" s="152" t="inlineStr">
        <is>
          <t>Phase 2/Alphabet/2025-Q3/GOOGL-2025-Q3-press-release-SEC-EX-99-1.htm; Phase 2/Alphabet/2025-Q3/GOOGL-2025-Q3-earnings-call-transcript-fool-com.html</t>
        </is>
      </c>
      <c r="AI161" s="152" t="inlineStr">
        <is>
          <t>https://www.fool.com/earnings/call-transcripts/2025/10/30/alphabet-goog-q3-2025-earnings-call-transcript/; https://www.sec.gov/Archives/edgar/data/1652044/000165204425000087/googexhibit991q32025.htm</t>
        </is>
      </c>
      <c r="AJ161" s="152" t="inlineStr">
        <is>
          <t>manifest (whole bundle)</t>
        </is>
      </c>
      <c r="AK161" s="152">
        <f>IF($A161="","",IF(COUNTIFS(Human_Data_Entry!$A$3:$A$525,$A161)&gt;0,"YES","NO"))</f>
        <v/>
      </c>
      <c r="AL161" s="152">
        <f>IF($A161="","",IF(AND($C161&amp;"-"&amp;$D161&gt;=Settings!$B$19,$C161&amp;"-"&amp;$D161&lt;=Settings!$B$20),"IN","OUT"))</f>
        <v/>
      </c>
      <c r="AM161" s="152">
        <f>IF(AND(OR($H161="BUY",$H161="SELL"),ISNUMBER($T161)),$T161,"")</f>
        <v/>
      </c>
      <c r="AN161" s="152">
        <f>IF(AND(OR($H161="BUY",$H161="SELL"),ISNUMBER($AF161)),$AF161,"")</f>
        <v/>
      </c>
      <c r="AO161" s="152">
        <f>IF(ISNUMBER($AM161),ABS(IF(ISNUMBER($G161),$G161,0)-Settings!$B$25),"")</f>
        <v/>
      </c>
      <c r="AP161" s="152">
        <f>IF(ISNUMBER($AO161),$AO161*$AM161,"")</f>
        <v/>
      </c>
      <c r="AQ161" s="152">
        <f>IF(ISNUMBER($AN161),ABS(IF(ISNUMBER($G161),$G161,0)-Settings!$B$25),"")</f>
        <v/>
      </c>
      <c r="AR161" s="152">
        <f>IF(ISNUMBER($AQ161),$AQ161*$AN161,"")</f>
        <v/>
      </c>
      <c r="AS161" s="152">
        <f>IF($A161="","",IFERROR(INDEX(Company_List!$H$3:$H$207,MATCH($A161,Company_List!$A$3:$A$207,0)),"unassigned"))</f>
        <v/>
      </c>
      <c r="AT161" s="152" t="inlineStr">
        <is>
          <t>not in v1</t>
        </is>
      </c>
      <c r="AU161" s="152" t="inlineStr">
        <is>
          <t>no earlier record</t>
        </is>
      </c>
      <c r="AV161" s="152" t="n">
        <v>2</v>
      </c>
      <c r="AW161" s="152" t="inlineStr">
        <is>
          <t>The Motley Fool</t>
        </is>
      </c>
      <c r="AX161" s="152" t="inlineStr">
        <is>
          <t>free to read, copyright asserted</t>
        </is>
      </c>
      <c r="AY161" s="152" t="inlineStr">
        <is>
          <t>no</t>
        </is>
      </c>
      <c r="AZ161" s="152" t="inlineStr">
        <is>
          <t>yes</t>
        </is>
      </c>
      <c r="BA161" s="152" t="inlineStr">
        <is>
          <t>YES</t>
        </is>
      </c>
      <c r="BB161" s="152" t="n"/>
    </row>
    <row r="162" ht="15" customHeight="1" s="241">
      <c r="A162" s="191" t="inlineStr">
        <is>
          <t>Alphabet</t>
        </is>
      </c>
      <c r="B162" s="188" t="inlineStr">
        <is>
          <t>GOOGL</t>
        </is>
      </c>
      <c r="C162" s="176" t="n">
        <v>2025</v>
      </c>
      <c r="D162" s="177" t="inlineStr">
        <is>
          <t>Q4</t>
        </is>
      </c>
      <c r="E162" s="178" t="inlineStr">
        <is>
          <t>Ben/DeepSeek</t>
        </is>
      </c>
      <c r="F162" s="177" t="inlineStr">
        <is>
          <t>LLM</t>
        </is>
      </c>
      <c r="G162" s="196" t="n">
        <v>0.33</v>
      </c>
      <c r="H162" s="177" t="inlineStr">
        <is>
          <t>BUY</t>
        </is>
      </c>
      <c r="I162" s="196" t="n"/>
      <c r="J162" s="182" t="n">
        <v>46057</v>
      </c>
      <c r="K162" s="182" t="n">
        <v>46057</v>
      </c>
      <c r="L162" s="183" t="n">
        <v>333.04</v>
      </c>
      <c r="M162" s="182" t="n">
        <v>46058</v>
      </c>
      <c r="N162" s="183" t="n">
        <v>312.22</v>
      </c>
      <c r="O162" s="180" t="n">
        <v>0.008459</v>
      </c>
      <c r="P162" s="197" t="n">
        <v>-0.062515</v>
      </c>
      <c r="Q162" s="177" t="inlineStr">
        <is>
          <t>DOWN</t>
        </is>
      </c>
      <c r="R162" s="177" t="inlineStr">
        <is>
          <t>NO</t>
        </is>
      </c>
      <c r="S162" s="176" t="n">
        <v>1</v>
      </c>
      <c r="T162" s="197" t="n">
        <v>-0.063515</v>
      </c>
      <c r="U162" s="185" t="inlineStr">
        <is>
          <t>w=[0.80,0.20,0,0] thr=(+0.20,-0.10), deployed default promoted 2026-08-18 (PSR=0.964, permutation p=0.0002 at N=233, restricted search - see blend.py)</t>
        </is>
      </c>
      <c r="V162" s="152" t="inlineStr">
        <is>
          <t>FROZEN</t>
        </is>
      </c>
      <c r="W162" s="152" t="inlineStr">
        <is>
          <t>price signal — only this window shows an abnormal move</t>
        </is>
      </c>
      <c r="X162" s="152" t="inlineStr">
        <is>
          <t>GOOGL</t>
        </is>
      </c>
      <c r="Y162" s="152" t="inlineStr">
        <is>
          <t>2026-02-04</t>
        </is>
      </c>
      <c r="Z162" s="152" t="n">
        <v>332.6071</v>
      </c>
      <c r="AA162" s="152" t="inlineStr">
        <is>
          <t>2026-02-05</t>
        </is>
      </c>
      <c r="AB162" s="152" t="n">
        <v>311.8141</v>
      </c>
      <c r="AC162" s="152" t="n">
        <v>-0.0625150549714361</v>
      </c>
      <c r="AD162" s="152" t="inlineStr">
        <is>
          <t>DOWN</t>
        </is>
      </c>
      <c r="AE162" s="152" t="inlineStr">
        <is>
          <t>NO</t>
        </is>
      </c>
      <c r="AF162" s="152" t="n">
        <v>-0.063515</v>
      </c>
      <c r="AG162" s="152">
        <f>IF($A162="","",IFERROR(INDEX(Company_List!$G$3:$G$207,MATCH($A162,Company_List!$A$3:$A$207,0)),"unassigned"))</f>
        <v/>
      </c>
      <c r="AH162" s="152" t="inlineStr">
        <is>
          <t>Phase 2/Alphabet/2025-Q4/GOOGL-2025-Q4-press-release-SEC-EX-99-1.htm</t>
        </is>
      </c>
      <c r="AI162" s="152" t="inlineStr">
        <is>
          <t>https://www.sec.gov/Archives/edgar/data/1652044/000165204426000012/googexhibit991q42025.htm</t>
        </is>
      </c>
      <c r="AJ162" s="152" t="inlineStr">
        <is>
          <t>manifest</t>
        </is>
      </c>
      <c r="AK162" s="152">
        <f>IF($A162="","",IF(COUNTIFS(Human_Data_Entry!$A$3:$A$525,$A162)&gt;0,"YES","NO"))</f>
        <v/>
      </c>
      <c r="AL162" s="152">
        <f>IF($A162="","",IF(AND($C162&amp;"-"&amp;$D162&gt;=Settings!$B$19,$C162&amp;"-"&amp;$D162&lt;=Settings!$B$20),"IN","OUT"))</f>
        <v/>
      </c>
      <c r="AM162" s="152">
        <f>IF(AND(OR($H162="BUY",$H162="SELL"),ISNUMBER($T162)),$T162,"")</f>
        <v/>
      </c>
      <c r="AN162" s="152">
        <f>IF(AND(OR($H162="BUY",$H162="SELL"),ISNUMBER($AF162)),$AF162,"")</f>
        <v/>
      </c>
      <c r="AO162" s="152">
        <f>IF(ISNUMBER($AM162),ABS(IF(ISNUMBER($G162),$G162,0)-Settings!$B$25),"")</f>
        <v/>
      </c>
      <c r="AP162" s="152">
        <f>IF(ISNUMBER($AO162),$AO162*$AM162,"")</f>
        <v/>
      </c>
      <c r="AQ162" s="152">
        <f>IF(ISNUMBER($AN162),ABS(IF(ISNUMBER($G162),$G162,0)-Settings!$B$25),"")</f>
        <v/>
      </c>
      <c r="AR162" s="152">
        <f>IF(ISNUMBER($AQ162),$AQ162*$AN162,"")</f>
        <v/>
      </c>
      <c r="AS162" s="152">
        <f>IF($A162="","",IFERROR(INDEX(Company_List!$H$3:$H$207,MATCH($A162,Company_List!$A$3:$A$207,0)),"unassigned"))</f>
        <v/>
      </c>
      <c r="AT162" s="152" t="inlineStr">
        <is>
          <t>not in v1</t>
        </is>
      </c>
      <c r="AU162" s="152" t="inlineStr">
        <is>
          <t>no earlier record</t>
        </is>
      </c>
      <c r="AV162" s="152" t="n">
        <v>1</v>
      </c>
      <c r="AW162" s="152" t="inlineStr">
        <is>
          <t>not publisher-identified</t>
        </is>
      </c>
      <c r="AX162" s="152" t="inlineStr">
        <is>
          <t>not publisher-identified</t>
        </is>
      </c>
      <c r="AY162" s="152" t="inlineStr">
        <is>
          <t>no</t>
        </is>
      </c>
      <c r="AZ162" s="152" t="inlineStr">
        <is>
          <t>yes</t>
        </is>
      </c>
      <c r="BA162" s="152" t="inlineStr">
        <is>
          <t>YES</t>
        </is>
      </c>
      <c r="BB162" s="152" t="n"/>
    </row>
    <row r="163" ht="15" customHeight="1" s="241">
      <c r="A163" s="191" t="inlineStr">
        <is>
          <t>Booking Holdings</t>
        </is>
      </c>
      <c r="B163" s="188" t="inlineStr">
        <is>
          <t>BKNG</t>
        </is>
      </c>
      <c r="C163" s="176" t="n">
        <v>2025</v>
      </c>
      <c r="D163" s="177" t="inlineStr">
        <is>
          <t>Q2</t>
        </is>
      </c>
      <c r="E163" s="178" t="inlineStr">
        <is>
          <t>Ben/DeepSeek</t>
        </is>
      </c>
      <c r="F163" s="177" t="inlineStr">
        <is>
          <t>LLM</t>
        </is>
      </c>
      <c r="G163" s="196" t="n">
        <v>0.26</v>
      </c>
      <c r="H163" s="177" t="inlineStr">
        <is>
          <t>BUY</t>
        </is>
      </c>
      <c r="I163" s="196" t="n"/>
      <c r="J163" s="182" t="n">
        <v>45867</v>
      </c>
      <c r="K163" s="182" t="n">
        <v>45867</v>
      </c>
      <c r="L163" s="183" t="n">
        <v>223.6308</v>
      </c>
      <c r="M163" s="182" t="n">
        <v>45868</v>
      </c>
      <c r="N163" s="183" t="n">
        <v>219.6</v>
      </c>
      <c r="O163" s="180" t="n">
        <v>0.006053</v>
      </c>
      <c r="P163" s="197" t="n">
        <v>-0.018024</v>
      </c>
      <c r="Q163" s="177" t="inlineStr">
        <is>
          <t>FLAT</t>
        </is>
      </c>
      <c r="R163" s="177" t="inlineStr">
        <is>
          <t>NO</t>
        </is>
      </c>
      <c r="S163" s="176" t="n">
        <v>1</v>
      </c>
      <c r="T163" s="197" t="n">
        <v>-0.019024</v>
      </c>
      <c r="U163" s="185" t="inlineStr">
        <is>
          <t>w=[0.80,0.20,0,0] thr=(+0.20,-0.10), deployed default promoted 2026-08-18 (PSR=0.964, permutation p=0.0002 at N=233, restricted search - see blend.py)</t>
        </is>
      </c>
      <c r="V163" s="152" t="inlineStr">
        <is>
          <t>FROZEN</t>
        </is>
      </c>
      <c r="W163" s="152" t="inlineStr">
        <is>
          <t>release date + stated time in the document (rater worksheet)</t>
        </is>
      </c>
      <c r="X163" s="152" t="inlineStr">
        <is>
          <t>BKNG</t>
        </is>
      </c>
      <c r="Y163" s="152" t="inlineStr">
        <is>
          <t>2025-07-29</t>
        </is>
      </c>
      <c r="Z163" s="152" t="n">
        <v>221.7555</v>
      </c>
      <c r="AA163" s="152" t="inlineStr">
        <is>
          <t>2025-07-30</t>
        </is>
      </c>
      <c r="AB163" s="152" t="n">
        <v>217.7585</v>
      </c>
      <c r="AC163" s="152" t="n">
        <v>-0.01802440648764589</v>
      </c>
      <c r="AD163" s="152" t="inlineStr">
        <is>
          <t>FLAT</t>
        </is>
      </c>
      <c r="AE163" s="152" t="inlineStr">
        <is>
          <t>YES</t>
        </is>
      </c>
      <c r="AF163" s="152" t="n">
        <v>0</v>
      </c>
      <c r="AG163" s="152">
        <f>IF($A163="","",IFERROR(INDEX(Company_List!$G$3:$G$207,MATCH($A163,Company_List!$A$3:$A$207,0)),"unassigned"))</f>
        <v/>
      </c>
      <c r="AH163" s="152" t="inlineStr">
        <is>
          <t>Phase 3/Readings/Booking Holdings/Q2/Booking-Holdings-Inc-BKNG-US-Q2-2025-Earnings-Call-29-July-2025-4_30-PM-ET.pdf</t>
        </is>
      </c>
      <c r="AI163" s="152" t="n"/>
      <c r="AJ163" s="152" t="inlineStr">
        <is>
          <t>unique filename match</t>
        </is>
      </c>
      <c r="AK163" s="152">
        <f>IF($A163="","",IF(COUNTIFS(Human_Data_Entry!$A$3:$A$525,$A163)&gt;0,"YES","NO"))</f>
        <v/>
      </c>
      <c r="AL163" s="152">
        <f>IF($A163="","",IF(AND($C163&amp;"-"&amp;$D163&gt;=Settings!$B$19,$C163&amp;"-"&amp;$D163&lt;=Settings!$B$20),"IN","OUT"))</f>
        <v/>
      </c>
      <c r="AM163" s="152">
        <f>IF(AND(OR($H163="BUY",$H163="SELL"),ISNUMBER($T163)),$T163,"")</f>
        <v/>
      </c>
      <c r="AN163" s="152">
        <f>IF(AND(OR($H163="BUY",$H163="SELL"),ISNUMBER($AF163)),$AF163,"")</f>
        <v/>
      </c>
      <c r="AO163" s="152">
        <f>IF(ISNUMBER($AM163),ABS(IF(ISNUMBER($G163),$G163,0)-Settings!$B$25),"")</f>
        <v/>
      </c>
      <c r="AP163" s="152">
        <f>IF(ISNUMBER($AO163),$AO163*$AM163,"")</f>
        <v/>
      </c>
      <c r="AQ163" s="152">
        <f>IF(ISNUMBER($AN163),ABS(IF(ISNUMBER($G163),$G163,0)-Settings!$B$25),"")</f>
        <v/>
      </c>
      <c r="AR163" s="152">
        <f>IF(ISNUMBER($AQ163),$AQ163*$AN163,"")</f>
        <v/>
      </c>
      <c r="AS163" s="152">
        <f>IF($A163="","",IFERROR(INDEX(Company_List!$H$3:$H$207,MATCH($A163,Company_List!$A$3:$A$207,0)),"unassigned"))</f>
        <v/>
      </c>
      <c r="AT163" s="152" t="inlineStr">
        <is>
          <t>not in v1</t>
        </is>
      </c>
      <c r="AU163" s="152" t="inlineStr">
        <is>
          <t>no earlier record</t>
        </is>
      </c>
      <c r="AV163" s="152" t="n">
        <v>1</v>
      </c>
      <c r="AW163" s="152" t="inlineStr">
        <is>
          <t>FactSet CallStreet</t>
        </is>
      </c>
      <c r="AX163" s="152" t="inlineStr">
        <is>
          <t>licensed vendor</t>
        </is>
      </c>
      <c r="AY163" s="152" t="inlineStr">
        <is>
          <t>no</t>
        </is>
      </c>
      <c r="AZ163" s="152" t="inlineStr">
        <is>
          <t>no</t>
        </is>
      </c>
      <c r="BA163" s="152" t="inlineStr">
        <is>
          <t>YES</t>
        </is>
      </c>
      <c r="BB163" s="152" t="n"/>
    </row>
    <row r="164" ht="15" customHeight="1" s="241">
      <c r="A164" s="191" t="inlineStr">
        <is>
          <t>Booking Holdings</t>
        </is>
      </c>
      <c r="B164" s="188" t="inlineStr">
        <is>
          <t>BKNG</t>
        </is>
      </c>
      <c r="C164" s="176" t="n">
        <v>2025</v>
      </c>
      <c r="D164" s="177" t="inlineStr">
        <is>
          <t>Q3</t>
        </is>
      </c>
      <c r="E164" s="178" t="inlineStr">
        <is>
          <t>Ben/DeepSeek</t>
        </is>
      </c>
      <c r="F164" s="177" t="inlineStr">
        <is>
          <t>LLM</t>
        </is>
      </c>
      <c r="G164" s="196" t="n">
        <v>0.5</v>
      </c>
      <c r="H164" s="177" t="inlineStr">
        <is>
          <t>BUY</t>
        </is>
      </c>
      <c r="I164" s="196" t="n"/>
      <c r="J164" s="182" t="n">
        <v>45958</v>
      </c>
      <c r="K164" s="182" t="n">
        <v>45958</v>
      </c>
      <c r="L164" s="183" t="n">
        <v>204.8228</v>
      </c>
      <c r="M164" s="182" t="n">
        <v>45959</v>
      </c>
      <c r="N164" s="183" t="n">
        <v>208</v>
      </c>
      <c r="O164" s="180" t="n">
        <v>0.009389</v>
      </c>
      <c r="P164" s="197" t="n">
        <v>0.015514</v>
      </c>
      <c r="Q164" s="177" t="inlineStr">
        <is>
          <t>FLAT</t>
        </is>
      </c>
      <c r="R164" s="177" t="inlineStr">
        <is>
          <t>NO</t>
        </is>
      </c>
      <c r="S164" s="176" t="n">
        <v>1</v>
      </c>
      <c r="T164" s="197" t="n">
        <v>0.014514</v>
      </c>
      <c r="U164" s="185" t="inlineStr">
        <is>
          <t>w=[0.80,0.20,0,0] thr=(+0.20,-0.10), deployed default promoted 2026-08-18 (PSR=0.964, permutation p=0.0002 at N=233, restricted search - see blend.py)</t>
        </is>
      </c>
      <c r="V164" s="152" t="inlineStr">
        <is>
          <t>FROZEN</t>
        </is>
      </c>
      <c r="W164" s="152" t="inlineStr">
        <is>
          <t>release date + stated time in the document (rater worksheet)</t>
        </is>
      </c>
      <c r="X164" s="152" t="inlineStr">
        <is>
          <t>BKNG</t>
        </is>
      </c>
      <c r="Y164" s="152" t="inlineStr">
        <is>
          <t>2025-10-28</t>
        </is>
      </c>
      <c r="Z164" s="152" t="n">
        <v>203.4549</v>
      </c>
      <c r="AA164" s="152" t="inlineStr">
        <is>
          <t>2025-10-29</t>
        </is>
      </c>
      <c r="AB164" s="152" t="n">
        <v>206.6113</v>
      </c>
      <c r="AC164" s="152" t="n">
        <v>0.01551397903404391</v>
      </c>
      <c r="AD164" s="152" t="inlineStr">
        <is>
          <t>FLAT</t>
        </is>
      </c>
      <c r="AE164" s="152" t="inlineStr">
        <is>
          <t>NO</t>
        </is>
      </c>
      <c r="AF164" s="152" t="n">
        <v>0.014514</v>
      </c>
      <c r="AG164" s="152">
        <f>IF($A164="","",IFERROR(INDEX(Company_List!$G$3:$G$207,MATCH($A164,Company_List!$A$3:$A$207,0)),"unassigned"))</f>
        <v/>
      </c>
      <c r="AH164" s="152" t="inlineStr">
        <is>
          <t>Phase 3/Readings/Booking Holdings/Q3/CORRECTED-TRANSCRIPT_-Booking-Holdings-Inc-BKNG-US-Q3-2025-Earnings-Call-28-October-2025-4_30-PM-ET.pdf</t>
        </is>
      </c>
      <c r="AI164" s="152" t="n"/>
      <c r="AJ164" s="152" t="inlineStr">
        <is>
          <t>unique filename match</t>
        </is>
      </c>
      <c r="AK164" s="152">
        <f>IF($A164="","",IF(COUNTIFS(Human_Data_Entry!$A$3:$A$525,$A164)&gt;0,"YES","NO"))</f>
        <v/>
      </c>
      <c r="AL164" s="152">
        <f>IF($A164="","",IF(AND($C164&amp;"-"&amp;$D164&gt;=Settings!$B$19,$C164&amp;"-"&amp;$D164&lt;=Settings!$B$20),"IN","OUT"))</f>
        <v/>
      </c>
      <c r="AM164" s="152">
        <f>IF(AND(OR($H164="BUY",$H164="SELL"),ISNUMBER($T164)),$T164,"")</f>
        <v/>
      </c>
      <c r="AN164" s="152">
        <f>IF(AND(OR($H164="BUY",$H164="SELL"),ISNUMBER($AF164)),$AF164,"")</f>
        <v/>
      </c>
      <c r="AO164" s="152">
        <f>IF(ISNUMBER($AM164),ABS(IF(ISNUMBER($G164),$G164,0)-Settings!$B$25),"")</f>
        <v/>
      </c>
      <c r="AP164" s="152">
        <f>IF(ISNUMBER($AO164),$AO164*$AM164,"")</f>
        <v/>
      </c>
      <c r="AQ164" s="152">
        <f>IF(ISNUMBER($AN164),ABS(IF(ISNUMBER($G164),$G164,0)-Settings!$B$25),"")</f>
        <v/>
      </c>
      <c r="AR164" s="152">
        <f>IF(ISNUMBER($AQ164),$AQ164*$AN164,"")</f>
        <v/>
      </c>
      <c r="AS164" s="152">
        <f>IF($A164="","",IFERROR(INDEX(Company_List!$H$3:$H$207,MATCH($A164,Company_List!$A$3:$A$207,0)),"unassigned"))</f>
        <v/>
      </c>
      <c r="AT164" s="152" t="inlineStr">
        <is>
          <t>not in v1</t>
        </is>
      </c>
      <c r="AU164" s="152" t="inlineStr">
        <is>
          <t>no earlier record</t>
        </is>
      </c>
      <c r="AV164" s="152" t="n">
        <v>1</v>
      </c>
      <c r="AW164" s="152" t="inlineStr">
        <is>
          <t>FactSet CallStreet</t>
        </is>
      </c>
      <c r="AX164" s="152" t="inlineStr">
        <is>
          <t>licensed vendor</t>
        </is>
      </c>
      <c r="AY164" s="152" t="inlineStr">
        <is>
          <t>no</t>
        </is>
      </c>
      <c r="AZ164" s="152" t="inlineStr">
        <is>
          <t>no</t>
        </is>
      </c>
      <c r="BA164" s="198" t="inlineStr">
        <is>
          <t>YES</t>
        </is>
      </c>
      <c r="BB164" s="198" t="n"/>
    </row>
    <row r="165" ht="15" customHeight="1" s="241">
      <c r="A165" s="191" t="inlineStr">
        <is>
          <t>Booking Holdings</t>
        </is>
      </c>
      <c r="B165" s="188" t="inlineStr">
        <is>
          <t>BKNG</t>
        </is>
      </c>
      <c r="C165" s="176" t="n">
        <v>2025</v>
      </c>
      <c r="D165" s="177" t="inlineStr">
        <is>
          <t>Q4</t>
        </is>
      </c>
      <c r="E165" s="178" t="inlineStr">
        <is>
          <t>Ben/DeepSeek</t>
        </is>
      </c>
      <c r="F165" s="177" t="inlineStr">
        <is>
          <t>LLM</t>
        </is>
      </c>
      <c r="G165" s="196" t="n">
        <v>0.22</v>
      </c>
      <c r="H165" s="177" t="inlineStr">
        <is>
          <t>BUY</t>
        </is>
      </c>
      <c r="I165" s="196" t="n"/>
      <c r="J165" s="182" t="n">
        <v>46071</v>
      </c>
      <c r="K165" s="182" t="n">
        <v>46071</v>
      </c>
      <c r="L165" s="183" t="n">
        <v>170.7996</v>
      </c>
      <c r="M165" s="182" t="n">
        <v>46072</v>
      </c>
      <c r="N165" s="183" t="n">
        <v>163.55</v>
      </c>
      <c r="O165" s="180" t="n">
        <v>0.009997000000000001</v>
      </c>
      <c r="P165" s="197" t="n">
        <v>-0.042417</v>
      </c>
      <c r="Q165" s="177" t="inlineStr">
        <is>
          <t>DOWN</t>
        </is>
      </c>
      <c r="R165" s="177" t="inlineStr">
        <is>
          <t>NO</t>
        </is>
      </c>
      <c r="S165" s="176" t="n">
        <v>1</v>
      </c>
      <c r="T165" s="197" t="n">
        <v>-0.043417</v>
      </c>
      <c r="U165" s="185" t="inlineStr">
        <is>
          <t>w=[0.80,0.20,0,0] thr=(+0.20,-0.10), deployed default promoted 2026-08-18 (PSR=0.964, permutation p=0.0002 at N=233, restricted search - see blend.py)</t>
        </is>
      </c>
      <c r="V165" s="152" t="inlineStr">
        <is>
          <t>FROZEN</t>
        </is>
      </c>
      <c r="W165" s="152" t="inlineStr">
        <is>
          <t>release date + stated time in the document (rater worksheet)</t>
        </is>
      </c>
      <c r="X165" s="152" t="inlineStr">
        <is>
          <t>BKNG</t>
        </is>
      </c>
      <c r="Y165" s="152" t="inlineStr">
        <is>
          <t>2026-02-18</t>
        </is>
      </c>
      <c r="Z165" s="152" t="n">
        <v>169.9835</v>
      </c>
      <c r="AA165" s="152" t="inlineStr">
        <is>
          <t>2026-02-19</t>
        </is>
      </c>
      <c r="AB165" s="152" t="n">
        <v>162.7733</v>
      </c>
      <c r="AC165" s="152" t="n">
        <v>-0.04241706599239561</v>
      </c>
      <c r="AD165" s="152" t="inlineStr">
        <is>
          <t>DOWN</t>
        </is>
      </c>
      <c r="AE165" s="152" t="inlineStr">
        <is>
          <t>NO</t>
        </is>
      </c>
      <c r="AF165" s="152" t="n">
        <v>0</v>
      </c>
      <c r="AG165" s="152">
        <f>IF($A165="","",IFERROR(INDEX(Company_List!$G$3:$G$207,MATCH($A165,Company_List!$A$3:$A$207,0)),"unassigned"))</f>
        <v/>
      </c>
      <c r="AH165" s="152" t="inlineStr">
        <is>
          <t>Phase 3/Readings/Booking Holdings/Q4/CORRECTED-TRANSCRIPT_-Booking-Holdings-Inc-BKNG-US-Q4-2025-Earnings-Call-18-February-2026-4_30-PM-ET.pdf</t>
        </is>
      </c>
      <c r="AI165" s="152" t="n"/>
      <c r="AJ165" s="152" t="inlineStr">
        <is>
          <t>unique filename match</t>
        </is>
      </c>
      <c r="AK165" s="152">
        <f>IF($A165="","",IF(COUNTIFS(Human_Data_Entry!$A$3:$A$525,$A165)&gt;0,"YES","NO"))</f>
        <v/>
      </c>
      <c r="AL165" s="152">
        <f>IF($A165="","",IF(AND($C165&amp;"-"&amp;$D165&gt;=Settings!$B$19,$C165&amp;"-"&amp;$D165&lt;=Settings!$B$20),"IN","OUT"))</f>
        <v/>
      </c>
      <c r="AM165" s="152">
        <f>IF(AND(OR($H165="BUY",$H165="SELL"),ISNUMBER($T165)),$T165,"")</f>
        <v/>
      </c>
      <c r="AN165" s="152">
        <f>IF(AND(OR($H165="BUY",$H165="SELL"),ISNUMBER($AF165)),$AF165,"")</f>
        <v/>
      </c>
      <c r="AO165" s="152">
        <f>IF(ISNUMBER($AM165),ABS(IF(ISNUMBER($G165),$G165,0)-Settings!$B$25),"")</f>
        <v/>
      </c>
      <c r="AP165" s="152">
        <f>IF(ISNUMBER($AO165),$AO165*$AM165,"")</f>
        <v/>
      </c>
      <c r="AQ165" s="152">
        <f>IF(ISNUMBER($AN165),ABS(IF(ISNUMBER($G165),$G165,0)-Settings!$B$25),"")</f>
        <v/>
      </c>
      <c r="AR165" s="152">
        <f>IF(ISNUMBER($AQ165),$AQ165*$AN165,"")</f>
        <v/>
      </c>
      <c r="AS165" s="152">
        <f>IF($A165="","",IFERROR(INDEX(Company_List!$H$3:$H$207,MATCH($A165,Company_List!$A$3:$A$207,0)),"unassigned"))</f>
        <v/>
      </c>
      <c r="AT165" s="152" t="inlineStr">
        <is>
          <t>not in v1</t>
        </is>
      </c>
      <c r="AU165" s="152" t="inlineStr">
        <is>
          <t>no earlier record</t>
        </is>
      </c>
      <c r="AV165" s="152" t="n">
        <v>1</v>
      </c>
      <c r="AW165" s="152" t="inlineStr">
        <is>
          <t>FactSet CallStreet</t>
        </is>
      </c>
      <c r="AX165" s="152" t="inlineStr">
        <is>
          <t>licensed vendor</t>
        </is>
      </c>
      <c r="AY165" s="152" t="inlineStr">
        <is>
          <t>no</t>
        </is>
      </c>
      <c r="AZ165" s="152" t="inlineStr">
        <is>
          <t>no</t>
        </is>
      </c>
      <c r="BA165" s="152" t="inlineStr">
        <is>
          <t>YES</t>
        </is>
      </c>
      <c r="BB165" s="152" t="n"/>
    </row>
    <row r="166" ht="15" customHeight="1" s="241">
      <c r="A166" s="191" t="inlineStr">
        <is>
          <t>Broadcom</t>
        </is>
      </c>
      <c r="B166" s="188" t="inlineStr">
        <is>
          <t>AVGO</t>
        </is>
      </c>
      <c r="C166" s="176" t="n">
        <v>2026</v>
      </c>
      <c r="D166" s="177" t="inlineStr">
        <is>
          <t>Q1</t>
        </is>
      </c>
      <c r="E166" s="178" t="inlineStr">
        <is>
          <t>Ben/DeepSeek</t>
        </is>
      </c>
      <c r="F166" s="177" t="inlineStr">
        <is>
          <t>LLM</t>
        </is>
      </c>
      <c r="G166" s="196" t="n">
        <v>0.66</v>
      </c>
      <c r="H166" s="177" t="inlineStr">
        <is>
          <t>BUY</t>
        </is>
      </c>
      <c r="I166" s="196" t="n"/>
      <c r="J166" s="182" t="n">
        <v>46085</v>
      </c>
      <c r="K166" s="182" t="n">
        <v>46085</v>
      </c>
      <c r="L166" s="183" t="n">
        <v>317.53</v>
      </c>
      <c r="M166" s="182" t="n">
        <v>46086</v>
      </c>
      <c r="N166" s="183" t="n">
        <v>330.18</v>
      </c>
      <c r="O166" s="180" t="n">
        <v>0.009482000000000001</v>
      </c>
      <c r="P166" s="197" t="n">
        <v>0.039839</v>
      </c>
      <c r="Q166" s="177" t="inlineStr">
        <is>
          <t>UP</t>
        </is>
      </c>
      <c r="R166" s="177" t="inlineStr">
        <is>
          <t>YES</t>
        </is>
      </c>
      <c r="S166" s="176" t="n">
        <v>1</v>
      </c>
      <c r="T166" s="197" t="n">
        <v>0.038839</v>
      </c>
      <c r="U166" s="185" t="inlineStr">
        <is>
          <t>w=[0.80,0.20,0,0] thr=(+0.20,-0.10), deployed default promoted 2026-08-18 (PSR=0.964, permutation p=0.0002 at N=233, restricted search - see blend.py)</t>
        </is>
      </c>
      <c r="V166" s="152" t="inlineStr">
        <is>
          <t>FROZEN</t>
        </is>
      </c>
      <c r="W166" s="152" t="inlineStr">
        <is>
          <t>release date + stated time in the document (rater worksheet)</t>
        </is>
      </c>
      <c r="X166" s="152" t="inlineStr">
        <is>
          <t>AVGO</t>
        </is>
      </c>
      <c r="Y166" s="152" t="inlineStr">
        <is>
          <t>2026-03-04</t>
        </is>
      </c>
      <c r="Z166" s="152" t="n">
        <v>316.3646</v>
      </c>
      <c r="AA166" s="152" t="inlineStr">
        <is>
          <t>2026-03-05</t>
        </is>
      </c>
      <c r="AB166" s="152" t="n">
        <v>328.9682</v>
      </c>
      <c r="AC166" s="152" t="n">
        <v>0.03983872131246651</v>
      </c>
      <c r="AD166" s="152" t="inlineStr">
        <is>
          <t>UP</t>
        </is>
      </c>
      <c r="AE166" s="152" t="inlineStr">
        <is>
          <t>YES</t>
        </is>
      </c>
      <c r="AF166" s="152" t="n">
        <v>0.038839</v>
      </c>
      <c r="AG166" s="152">
        <f>IF($A166="","",IFERROR(INDEX(Company_List!$G$3:$G$207,MATCH($A166,Company_List!$A$3:$A$207,0)),"unassigned"))</f>
        <v/>
      </c>
      <c r="AH166" s="152" t="inlineStr">
        <is>
          <t>Phase 2/Broadcom/2026-Q1/AVGO-2026-Q1-press-release-SEC-EX-99-1.htm; Phase 2/Broadcom/2026-Q1/AVGO-2026-Q1-earnings-call-transcript-fool-com.html</t>
        </is>
      </c>
      <c r="AI166" s="152" t="inlineStr">
        <is>
          <t>https://www.fool.com/earnings/call-transcripts/2026/03/04/broadcom-avgo-q1-2026-earnings-call-transcript/; https://www.sec.gov/Archives/edgar/data/1730168/000173016826000011/avgo-02012026x8kxex99.htm</t>
        </is>
      </c>
      <c r="AJ166" s="152" t="inlineStr">
        <is>
          <t>manifest (whole bundle)</t>
        </is>
      </c>
      <c r="AK166" s="152">
        <f>IF($A166="","",IF(COUNTIFS(Human_Data_Entry!$A$3:$A$525,$A166)&gt;0,"YES","NO"))</f>
        <v/>
      </c>
      <c r="AL166" s="152">
        <f>IF($A166="","",IF(AND($C166&amp;"-"&amp;$D166&gt;=Settings!$B$19,$C166&amp;"-"&amp;$D166&lt;=Settings!$B$20),"IN","OUT"))</f>
        <v/>
      </c>
      <c r="AM166" s="152">
        <f>IF(AND(OR($H166="BUY",$H166="SELL"),ISNUMBER($T166)),$T166,"")</f>
        <v/>
      </c>
      <c r="AN166" s="152">
        <f>IF(AND(OR($H166="BUY",$H166="SELL"),ISNUMBER($AF166)),$AF166,"")</f>
        <v/>
      </c>
      <c r="AO166" s="152">
        <f>IF(ISNUMBER($AM166),ABS(IF(ISNUMBER($G166),$G166,0)-Settings!$B$25),"")</f>
        <v/>
      </c>
      <c r="AP166" s="152">
        <f>IF(ISNUMBER($AO166),$AO166*$AM166,"")</f>
        <v/>
      </c>
      <c r="AQ166" s="152">
        <f>IF(ISNUMBER($AN166),ABS(IF(ISNUMBER($G166),$G166,0)-Settings!$B$25),"")</f>
        <v/>
      </c>
      <c r="AR166" s="152">
        <f>IF(ISNUMBER($AQ166),$AQ166*$AN166,"")</f>
        <v/>
      </c>
      <c r="AS166" s="152">
        <f>IF($A166="","",IFERROR(INDEX(Company_List!$H$3:$H$207,MATCH($A166,Company_List!$A$3:$A$207,0)),"unassigned"))</f>
        <v/>
      </c>
      <c r="AT166" s="152" t="inlineStr">
        <is>
          <t>not in v1</t>
        </is>
      </c>
      <c r="AU166" s="152" t="inlineStr">
        <is>
          <t>no earlier record</t>
        </is>
      </c>
      <c r="AV166" s="152" t="n">
        <v>2</v>
      </c>
      <c r="AW166" s="152" t="inlineStr">
        <is>
          <t>The Motley Fool</t>
        </is>
      </c>
      <c r="AX166" s="152" t="inlineStr">
        <is>
          <t>free to read, copyright asserted</t>
        </is>
      </c>
      <c r="AY166" s="152" t="inlineStr">
        <is>
          <t>no</t>
        </is>
      </c>
      <c r="AZ166" s="152" t="inlineStr">
        <is>
          <t>yes</t>
        </is>
      </c>
      <c r="BA166" s="152" t="inlineStr">
        <is>
          <t>YES</t>
        </is>
      </c>
      <c r="BB166" s="152" t="n"/>
    </row>
    <row r="167" ht="15" customHeight="1" s="241">
      <c r="A167" s="191" t="inlineStr">
        <is>
          <t>Broadcom</t>
        </is>
      </c>
      <c r="B167" s="188" t="inlineStr">
        <is>
          <t>AVGO</t>
        </is>
      </c>
      <c r="C167" s="176" t="n">
        <v>2025</v>
      </c>
      <c r="D167" s="177" t="inlineStr">
        <is>
          <t>Q3</t>
        </is>
      </c>
      <c r="E167" s="178" t="inlineStr">
        <is>
          <t>Ben/DeepSeek</t>
        </is>
      </c>
      <c r="F167" s="177" t="inlineStr">
        <is>
          <t>LLM</t>
        </is>
      </c>
      <c r="G167" s="196" t="n">
        <v>0.44</v>
      </c>
      <c r="H167" s="177" t="inlineStr">
        <is>
          <t>BUY</t>
        </is>
      </c>
      <c r="I167" s="196" t="n"/>
      <c r="J167" s="182" t="n">
        <v>45904</v>
      </c>
      <c r="K167" s="182" t="n">
        <v>45904</v>
      </c>
      <c r="L167" s="183" t="n">
        <v>306.1</v>
      </c>
      <c r="M167" s="182" t="n">
        <v>45905</v>
      </c>
      <c r="N167" s="183" t="n">
        <v>355.78</v>
      </c>
      <c r="O167" s="180" t="n">
        <v>0.010265</v>
      </c>
      <c r="P167" s="197" t="n">
        <v>0.1623</v>
      </c>
      <c r="Q167" s="177" t="inlineStr">
        <is>
          <t>UP</t>
        </is>
      </c>
      <c r="R167" s="177" t="inlineStr">
        <is>
          <t>YES</t>
        </is>
      </c>
      <c r="S167" s="176" t="n">
        <v>1</v>
      </c>
      <c r="T167" s="197" t="n">
        <v>0.1613</v>
      </c>
      <c r="U167" s="185" t="inlineStr">
        <is>
          <t>w=[0.80,0.20,0,0] thr=(+0.20,-0.10), deployed default promoted 2026-08-18 (PSR=0.964, permutation p=0.0002 at N=233, restricted search - see blend.py)</t>
        </is>
      </c>
      <c r="V167" s="152" t="inlineStr">
        <is>
          <t>FROZEN</t>
        </is>
      </c>
      <c r="W167" s="152" t="inlineStr">
        <is>
          <t>price signal — only this window shows an abnormal move</t>
        </is>
      </c>
      <c r="X167" s="152" t="inlineStr">
        <is>
          <t>AVGO</t>
        </is>
      </c>
      <c r="Y167" s="152" t="inlineStr">
        <is>
          <t>2025-09-04</t>
        </is>
      </c>
      <c r="Z167" s="152" t="n">
        <v>303.8735</v>
      </c>
      <c r="AA167" s="152" t="inlineStr">
        <is>
          <t>2025-09-05</t>
        </is>
      </c>
      <c r="AB167" s="152" t="n">
        <v>353.1921</v>
      </c>
      <c r="AC167" s="152" t="n">
        <v>0.1622998755933408</v>
      </c>
      <c r="AD167" s="152" t="inlineStr">
        <is>
          <t>UP</t>
        </is>
      </c>
      <c r="AE167" s="152" t="inlineStr">
        <is>
          <t>YES</t>
        </is>
      </c>
      <c r="AF167" s="152" t="n">
        <v>0.1613</v>
      </c>
      <c r="AG167" s="152">
        <f>IF($A167="","",IFERROR(INDEX(Company_List!$G$3:$G$207,MATCH($A167,Company_List!$A$3:$A$207,0)),"unassigned"))</f>
        <v/>
      </c>
      <c r="AH167" s="152" t="inlineStr">
        <is>
          <t>Phase 2/Broadcom/2025-Q3/AVGO-2025-Q3-press-release-SEC-EX-99-1.htm</t>
        </is>
      </c>
      <c r="AI167" s="152" t="inlineStr">
        <is>
          <t>https://www.sec.gov/Archives/edgar/data/1730168/000173016825000094/avgo-08032025x8kxex99.htm</t>
        </is>
      </c>
      <c r="AJ167" s="152" t="inlineStr">
        <is>
          <t>manifest</t>
        </is>
      </c>
      <c r="AK167" s="152">
        <f>IF($A167="","",IF(COUNTIFS(Human_Data_Entry!$A$3:$A$525,$A167)&gt;0,"YES","NO"))</f>
        <v/>
      </c>
      <c r="AL167" s="152">
        <f>IF($A167="","",IF(AND($C167&amp;"-"&amp;$D167&gt;=Settings!$B$19,$C167&amp;"-"&amp;$D167&lt;=Settings!$B$20),"IN","OUT"))</f>
        <v/>
      </c>
      <c r="AM167" s="152">
        <f>IF(AND(OR($H167="BUY",$H167="SELL"),ISNUMBER($T167)),$T167,"")</f>
        <v/>
      </c>
      <c r="AN167" s="152">
        <f>IF(AND(OR($H167="BUY",$H167="SELL"),ISNUMBER($AF167)),$AF167,"")</f>
        <v/>
      </c>
      <c r="AO167" s="152">
        <f>IF(ISNUMBER($AM167),ABS(IF(ISNUMBER($G167),$G167,0)-Settings!$B$25),"")</f>
        <v/>
      </c>
      <c r="AP167" s="152">
        <f>IF(ISNUMBER($AO167),$AO167*$AM167,"")</f>
        <v/>
      </c>
      <c r="AQ167" s="152">
        <f>IF(ISNUMBER($AN167),ABS(IF(ISNUMBER($G167),$G167,0)-Settings!$B$25),"")</f>
        <v/>
      </c>
      <c r="AR167" s="152">
        <f>IF(ISNUMBER($AQ167),$AQ167*$AN167,"")</f>
        <v/>
      </c>
      <c r="AS167" s="152">
        <f>IF($A167="","",IFERROR(INDEX(Company_List!$H$3:$H$207,MATCH($A167,Company_List!$A$3:$A$207,0)),"unassigned"))</f>
        <v/>
      </c>
      <c r="AT167" s="152" t="inlineStr">
        <is>
          <t>not in v1</t>
        </is>
      </c>
      <c r="AU167" s="152" t="inlineStr">
        <is>
          <t>no earlier record</t>
        </is>
      </c>
      <c r="AV167" s="152" t="n">
        <v>1</v>
      </c>
      <c r="AW167" s="152" t="inlineStr">
        <is>
          <t>not publisher-identified</t>
        </is>
      </c>
      <c r="AX167" s="152" t="inlineStr">
        <is>
          <t>not publisher-identified</t>
        </is>
      </c>
      <c r="AY167" s="152" t="inlineStr">
        <is>
          <t>no</t>
        </is>
      </c>
      <c r="AZ167" s="152" t="inlineStr">
        <is>
          <t>yes</t>
        </is>
      </c>
      <c r="BA167" s="152" t="inlineStr">
        <is>
          <t>YES</t>
        </is>
      </c>
      <c r="BB167" s="152" t="n"/>
    </row>
    <row r="168" ht="15" customHeight="1" s="241">
      <c r="A168" s="191" t="inlineStr">
        <is>
          <t>Broadcom</t>
        </is>
      </c>
      <c r="B168" s="188" t="inlineStr">
        <is>
          <t>AVGO</t>
        </is>
      </c>
      <c r="C168" s="176" t="n">
        <v>2025</v>
      </c>
      <c r="D168" s="177" t="inlineStr">
        <is>
          <t>Q4</t>
        </is>
      </c>
      <c r="E168" s="178" t="inlineStr">
        <is>
          <t>Ben/DeepSeek</t>
        </is>
      </c>
      <c r="F168" s="177" t="inlineStr">
        <is>
          <t>LLM</t>
        </is>
      </c>
      <c r="G168" s="196" t="n">
        <v>0.46</v>
      </c>
      <c r="H168" s="177" t="inlineStr">
        <is>
          <t>BUY</t>
        </is>
      </c>
      <c r="I168" s="196" t="n"/>
      <c r="J168" s="182" t="n">
        <v>46002</v>
      </c>
      <c r="K168" s="182" t="n">
        <v>46002</v>
      </c>
      <c r="L168" s="183" t="n">
        <v>406.37</v>
      </c>
      <c r="M168" s="182" t="n">
        <v>46003</v>
      </c>
      <c r="N168" s="183" t="n">
        <v>379.96</v>
      </c>
      <c r="O168" s="180" t="n">
        <v>0.010147</v>
      </c>
      <c r="P168" s="197" t="n">
        <v>-0.06498999999999999</v>
      </c>
      <c r="Q168" s="177" t="inlineStr">
        <is>
          <t>DOWN</t>
        </is>
      </c>
      <c r="R168" s="177" t="inlineStr">
        <is>
          <t>NO</t>
        </is>
      </c>
      <c r="S168" s="176" t="n">
        <v>1</v>
      </c>
      <c r="T168" s="197" t="n">
        <v>-0.06598999999999999</v>
      </c>
      <c r="U168" s="185" t="inlineStr">
        <is>
          <t>w=[0.80,0.20,0,0] thr=(+0.20,-0.10), deployed default promoted 2026-08-18 (PSR=0.964, permutation p=0.0002 at N=233, restricted search - see blend.py)</t>
        </is>
      </c>
      <c r="V168" s="152" t="inlineStr">
        <is>
          <t>FROZEN</t>
        </is>
      </c>
      <c r="W168" s="152" t="inlineStr">
        <is>
          <t>release date + stated time in the document (rater worksheet)</t>
        </is>
      </c>
      <c r="X168" s="152" t="inlineStr">
        <is>
          <t>AVGO</t>
        </is>
      </c>
      <c r="Y168" s="152" t="inlineStr">
        <is>
          <t>2025-12-11</t>
        </is>
      </c>
      <c r="Z168" s="152" t="n">
        <v>404.1053</v>
      </c>
      <c r="AA168" s="152" t="inlineStr">
        <is>
          <t>2025-12-12</t>
        </is>
      </c>
      <c r="AB168" s="152" t="n">
        <v>377.8425</v>
      </c>
      <c r="AC168" s="152" t="n">
        <v>-0.06499001492387034</v>
      </c>
      <c r="AD168" s="152" t="inlineStr">
        <is>
          <t>DOWN</t>
        </is>
      </c>
      <c r="AE168" s="152" t="inlineStr">
        <is>
          <t>NO</t>
        </is>
      </c>
      <c r="AF168" s="152" t="n">
        <v>-0.06598999999999999</v>
      </c>
      <c r="AG168" s="152">
        <f>IF($A168="","",IFERROR(INDEX(Company_List!$G$3:$G$207,MATCH($A168,Company_List!$A$3:$A$207,0)),"unassigned"))</f>
        <v/>
      </c>
      <c r="AH168" s="152" t="inlineStr">
        <is>
          <t>Phase 2/Broadcom/2025-Q4/AVGO-2025-Q4-press-release-SEC-EX-99-1.htm; Phase 2/Broadcom/2025-Q4/AVGO-2025-Q4-earnings-call-transcript-fool-com.html</t>
        </is>
      </c>
      <c r="AI168" s="152" t="inlineStr">
        <is>
          <t>https://www.fool.com/earnings/call-transcripts/2025/12/12/broadcom-avgo-q4-2025-earnings-call-transcript/; https://www.sec.gov/Archives/edgar/data/1730168/000173016825000116/avgo-11022025x8kxex99.htm</t>
        </is>
      </c>
      <c r="AJ168" s="152" t="inlineStr">
        <is>
          <t>manifest (whole bundle)</t>
        </is>
      </c>
      <c r="AK168" s="152">
        <f>IF($A168="","",IF(COUNTIFS(Human_Data_Entry!$A$3:$A$525,$A168)&gt;0,"YES","NO"))</f>
        <v/>
      </c>
      <c r="AL168" s="152">
        <f>IF($A168="","",IF(AND($C168&amp;"-"&amp;$D168&gt;=Settings!$B$19,$C168&amp;"-"&amp;$D168&lt;=Settings!$B$20),"IN","OUT"))</f>
        <v/>
      </c>
      <c r="AM168" s="152">
        <f>IF(AND(OR($H168="BUY",$H168="SELL"),ISNUMBER($T168)),$T168,"")</f>
        <v/>
      </c>
      <c r="AN168" s="152">
        <f>IF(AND(OR($H168="BUY",$H168="SELL"),ISNUMBER($AF168)),$AF168,"")</f>
        <v/>
      </c>
      <c r="AO168" s="152">
        <f>IF(ISNUMBER($AM168),ABS(IF(ISNUMBER($G168),$G168,0)-Settings!$B$25),"")</f>
        <v/>
      </c>
      <c r="AP168" s="152">
        <f>IF(ISNUMBER($AO168),$AO168*$AM168,"")</f>
        <v/>
      </c>
      <c r="AQ168" s="152">
        <f>IF(ISNUMBER($AN168),ABS(IF(ISNUMBER($G168),$G168,0)-Settings!$B$25),"")</f>
        <v/>
      </c>
      <c r="AR168" s="152">
        <f>IF(ISNUMBER($AQ168),$AQ168*$AN168,"")</f>
        <v/>
      </c>
      <c r="AS168" s="152">
        <f>IF($A168="","",IFERROR(INDEX(Company_List!$H$3:$H$207,MATCH($A168,Company_List!$A$3:$A$207,0)),"unassigned"))</f>
        <v/>
      </c>
      <c r="AT168" s="152" t="inlineStr">
        <is>
          <t>not in v1</t>
        </is>
      </c>
      <c r="AU168" s="152" t="inlineStr">
        <is>
          <t>no earlier record</t>
        </is>
      </c>
      <c r="AV168" s="152" t="n">
        <v>2</v>
      </c>
      <c r="AW168" s="152" t="inlineStr">
        <is>
          <t>The Motley Fool</t>
        </is>
      </c>
      <c r="AX168" s="152" t="inlineStr">
        <is>
          <t>free to read, copyright asserted</t>
        </is>
      </c>
      <c r="AY168" s="152" t="inlineStr">
        <is>
          <t>no</t>
        </is>
      </c>
      <c r="AZ168" s="152" t="inlineStr">
        <is>
          <t>yes</t>
        </is>
      </c>
      <c r="BA168" s="152" t="inlineStr">
        <is>
          <t>YES</t>
        </is>
      </c>
      <c r="BB168" s="152" t="n"/>
    </row>
    <row r="169" ht="15" customHeight="1" s="241">
      <c r="A169" s="191" t="inlineStr">
        <is>
          <t>Caterpillar</t>
        </is>
      </c>
      <c r="B169" s="188" t="inlineStr">
        <is>
          <t>CAT</t>
        </is>
      </c>
      <c r="C169" s="176" t="n">
        <v>2025</v>
      </c>
      <c r="D169" s="177" t="inlineStr">
        <is>
          <t>Q2</t>
        </is>
      </c>
      <c r="E169" s="178" t="inlineStr">
        <is>
          <t>Ben/DeepSeek</t>
        </is>
      </c>
      <c r="F169" s="177" t="inlineStr">
        <is>
          <t>LLM</t>
        </is>
      </c>
      <c r="G169" s="196" t="n">
        <v>0.22</v>
      </c>
      <c r="H169" s="177" t="inlineStr">
        <is>
          <t>BUY</t>
        </is>
      </c>
      <c r="I169" s="196" t="n"/>
      <c r="J169" s="182" t="n">
        <v>45873</v>
      </c>
      <c r="K169" s="182" t="n">
        <v>45873</v>
      </c>
      <c r="L169" s="183" t="n">
        <v>433.7</v>
      </c>
      <c r="M169" s="182" t="n">
        <v>45874</v>
      </c>
      <c r="N169" s="183" t="n">
        <v>427.65</v>
      </c>
      <c r="O169" s="180" t="n">
        <v>0.011489</v>
      </c>
      <c r="P169" s="197" t="n">
        <v>-0.01395</v>
      </c>
      <c r="Q169" s="177" t="inlineStr">
        <is>
          <t>FLAT</t>
        </is>
      </c>
      <c r="R169" s="177" t="inlineStr">
        <is>
          <t>NO</t>
        </is>
      </c>
      <c r="S169" s="176" t="n">
        <v>1</v>
      </c>
      <c r="T169" s="197" t="n">
        <v>-0.01495</v>
      </c>
      <c r="U169" s="185" t="inlineStr">
        <is>
          <t>w=[0.80,0.20,0,0] thr=(+0.20,-0.10), deployed default promoted 2026-08-18 (PSR=0.964, permutation p=0.0002 at N=233, restricted search - see blend.py)</t>
        </is>
      </c>
      <c r="V169" s="152" t="inlineStr">
        <is>
          <t>FROZEN</t>
        </is>
      </c>
      <c r="W169" s="152" t="inlineStr">
        <is>
          <t>release date + stated time in the document (rater worksheet)</t>
        </is>
      </c>
      <c r="X169" s="152" t="inlineStr">
        <is>
          <t>CAT</t>
        </is>
      </c>
      <c r="Y169" s="152" t="inlineStr">
        <is>
          <t>2025-08-04</t>
        </is>
      </c>
      <c r="Z169" s="152" t="n">
        <v>429.8309</v>
      </c>
      <c r="AA169" s="152" t="inlineStr">
        <is>
          <t>2025-08-05</t>
        </is>
      </c>
      <c r="AB169" s="152" t="n">
        <v>423.8348</v>
      </c>
      <c r="AC169" s="152" t="n">
        <v>-0.01394978226728581</v>
      </c>
      <c r="AD169" s="152" t="inlineStr">
        <is>
          <t>FLAT</t>
        </is>
      </c>
      <c r="AE169" s="152" t="inlineStr">
        <is>
          <t>YES</t>
        </is>
      </c>
      <c r="AF169" s="152" t="n">
        <v>0</v>
      </c>
      <c r="AG169" s="152">
        <f>IF($A169="","",IFERROR(INDEX(Company_List!$G$3:$G$207,MATCH($A169,Company_List!$A$3:$A$207,0)),"unassigned"))</f>
        <v/>
      </c>
      <c r="AH169" s="152" t="inlineStr">
        <is>
          <t>Phase 2/Caterpillar/2025-Q2/CAT-2025-Q2-press-release-SEC-EX-99-1.htm; Phase 2/Caterpillar/2025-Q2/CAT-2025-Q2-earnings-call-transcript-news-alphastreet-com.html; Phase 2/Caterpillar/2025-Q2/CAT-2025-Q2-quarterly-financial-statements-SEC-10-Q.htm</t>
        </is>
      </c>
      <c r="AI169" s="152" t="inlineStr">
        <is>
          <t>https://news.alphastreet.com/caterpillar-inc-cat-q2-2025-earnings-call-transcript/; https://www.sec.gov/Archives/edgar/data/18230/000001823025000037/ex991toformcat2q2025earnin.htm; https://www.sec.gov/Archives/edgar/data/18230/000001823025000040/cat-20250630.htm</t>
        </is>
      </c>
      <c r="AJ169" s="152" t="inlineStr">
        <is>
          <t>manifest (whole bundle)</t>
        </is>
      </c>
      <c r="AK169" s="152">
        <f>IF($A169="","",IF(COUNTIFS(Human_Data_Entry!$A$3:$A$525,$A169)&gt;0,"YES","NO"))</f>
        <v/>
      </c>
      <c r="AL169" s="152">
        <f>IF($A169="","",IF(AND($C169&amp;"-"&amp;$D169&gt;=Settings!$B$19,$C169&amp;"-"&amp;$D169&lt;=Settings!$B$20),"IN","OUT"))</f>
        <v/>
      </c>
      <c r="AM169" s="152">
        <f>IF(AND(OR($H169="BUY",$H169="SELL"),ISNUMBER($T169)),$T169,"")</f>
        <v/>
      </c>
      <c r="AN169" s="152">
        <f>IF(AND(OR($H169="BUY",$H169="SELL"),ISNUMBER($AF169)),$AF169,"")</f>
        <v/>
      </c>
      <c r="AO169" s="152">
        <f>IF(ISNUMBER($AM169),ABS(IF(ISNUMBER($G169),$G169,0)-Settings!$B$25),"")</f>
        <v/>
      </c>
      <c r="AP169" s="152">
        <f>IF(ISNUMBER($AO169),$AO169*$AM169,"")</f>
        <v/>
      </c>
      <c r="AQ169" s="152">
        <f>IF(ISNUMBER($AN169),ABS(IF(ISNUMBER($G169),$G169,0)-Settings!$B$25),"")</f>
        <v/>
      </c>
      <c r="AR169" s="152">
        <f>IF(ISNUMBER($AQ169),$AQ169*$AN169,"")</f>
        <v/>
      </c>
      <c r="AS169" s="152">
        <f>IF($A169="","",IFERROR(INDEX(Company_List!$H$3:$H$207,MATCH($A169,Company_List!$A$3:$A$207,0)),"unassigned"))</f>
        <v/>
      </c>
      <c r="AT169" s="152" t="inlineStr">
        <is>
          <t>not in v1</t>
        </is>
      </c>
      <c r="AU169" s="152" t="inlineStr">
        <is>
          <t>no earlier record</t>
        </is>
      </c>
      <c r="AV169" s="152" t="n">
        <v>3</v>
      </c>
      <c r="AW169" s="152" t="inlineStr">
        <is>
          <t>not publisher-identified</t>
        </is>
      </c>
      <c r="AX169" s="152" t="inlineStr">
        <is>
          <t>not publisher-identified</t>
        </is>
      </c>
      <c r="AY169" s="152" t="inlineStr">
        <is>
          <t>one of several</t>
        </is>
      </c>
      <c r="AZ169" s="152" t="inlineStr">
        <is>
          <t>yes</t>
        </is>
      </c>
      <c r="BA169" s="152" t="inlineStr">
        <is>
          <t>YES</t>
        </is>
      </c>
      <c r="BB169" s="152" t="n"/>
    </row>
    <row r="170" ht="15" customHeight="1" s="241">
      <c r="A170" s="191" t="inlineStr">
        <is>
          <t>Caterpillar</t>
        </is>
      </c>
      <c r="B170" s="188" t="inlineStr">
        <is>
          <t>CAT</t>
        </is>
      </c>
      <c r="C170" s="176" t="n">
        <v>2025</v>
      </c>
      <c r="D170" s="177" t="inlineStr">
        <is>
          <t>Q3</t>
        </is>
      </c>
      <c r="E170" s="178" t="inlineStr">
        <is>
          <t>Ben/DeepSeek</t>
        </is>
      </c>
      <c r="F170" s="177" t="inlineStr">
        <is>
          <t>LLM</t>
        </is>
      </c>
      <c r="G170" s="196" t="n">
        <v>0.3</v>
      </c>
      <c r="H170" s="177" t="inlineStr">
        <is>
          <t>BUY</t>
        </is>
      </c>
      <c r="I170" s="196" t="n"/>
      <c r="J170" s="182" t="n">
        <v>45958</v>
      </c>
      <c r="K170" s="182" t="n">
        <v>45958</v>
      </c>
      <c r="L170" s="183" t="n">
        <v>524.47</v>
      </c>
      <c r="M170" s="182" t="n">
        <v>45959</v>
      </c>
      <c r="N170" s="183" t="n">
        <v>558.1799999999999</v>
      </c>
      <c r="O170" s="180" t="n">
        <v>0.011062</v>
      </c>
      <c r="P170" s="197" t="n">
        <v>0.064274</v>
      </c>
      <c r="Q170" s="177" t="inlineStr">
        <is>
          <t>UP</t>
        </is>
      </c>
      <c r="R170" s="177" t="inlineStr">
        <is>
          <t>YES</t>
        </is>
      </c>
      <c r="S170" s="176" t="n">
        <v>1</v>
      </c>
      <c r="T170" s="197" t="n">
        <v>0.063274</v>
      </c>
      <c r="U170" s="185" t="inlineStr">
        <is>
          <t>w=[0.80,0.20,0,0] thr=(+0.20,-0.10), deployed default promoted 2026-08-18 (PSR=0.964, permutation p=0.0002 at N=233, restricted search - see blend.py)</t>
        </is>
      </c>
      <c r="V170" s="152" t="inlineStr">
        <is>
          <t>FROZEN</t>
        </is>
      </c>
      <c r="W170" s="152" t="inlineStr">
        <is>
          <t>price signal — only this window shows an abnormal move</t>
        </is>
      </c>
      <c r="X170" s="152" t="inlineStr">
        <is>
          <t>CAT</t>
        </is>
      </c>
      <c r="Y170" s="152" t="inlineStr">
        <is>
          <t>2025-10-28</t>
        </is>
      </c>
      <c r="Z170" s="152" t="n">
        <v>521.2844</v>
      </c>
      <c r="AA170" s="152" t="inlineStr">
        <is>
          <t>2025-10-29</t>
        </is>
      </c>
      <c r="AB170" s="152" t="n">
        <v>554.7897</v>
      </c>
      <c r="AC170" s="152" t="n">
        <v>0.06427438246325795</v>
      </c>
      <c r="AD170" s="152" t="inlineStr">
        <is>
          <t>UP</t>
        </is>
      </c>
      <c r="AE170" s="152" t="inlineStr">
        <is>
          <t>YES</t>
        </is>
      </c>
      <c r="AF170" s="152" t="n">
        <v>0.063274</v>
      </c>
      <c r="AG170" s="152">
        <f>IF($A170="","",IFERROR(INDEX(Company_List!$G$3:$G$207,MATCH($A170,Company_List!$A$3:$A$207,0)),"unassigned"))</f>
        <v/>
      </c>
      <c r="AH170" s="152" t="inlineStr">
        <is>
          <t>Phase 2/Caterpillar/2025-Q3/CAT-2025-Q3-press-release-SEC-EX-99-1.htm; Phase 2/Caterpillar/2025-Q3/CAT-2025-Q3-earnings-call-transcript-caterpillar-q4cdn.pdf</t>
        </is>
      </c>
      <c r="AI170" s="152" t="inlineStr">
        <is>
          <t>https://s25.q4cdn.com/358376879/files/doc_financials/2025/q3/3Q-2025-Caterpillar-Inc-Earnings-Call-Transcript_-10-29-2025.pdf; https://www.sec.gov/Archives/edgar/data/18230/000001823025000043/ex991toformcat3q2025earnin.htm</t>
        </is>
      </c>
      <c r="AJ170" s="152" t="inlineStr">
        <is>
          <t>manifest (whole bundle)</t>
        </is>
      </c>
      <c r="AK170" s="152">
        <f>IF($A170="","",IF(COUNTIFS(Human_Data_Entry!$A$3:$A$525,$A170)&gt;0,"YES","NO"))</f>
        <v/>
      </c>
      <c r="AL170" s="152">
        <f>IF($A170="","",IF(AND($C170&amp;"-"&amp;$D170&gt;=Settings!$B$19,$C170&amp;"-"&amp;$D170&lt;=Settings!$B$20),"IN","OUT"))</f>
        <v/>
      </c>
      <c r="AM170" s="152">
        <f>IF(AND(OR($H170="BUY",$H170="SELL"),ISNUMBER($T170)),$T170,"")</f>
        <v/>
      </c>
      <c r="AN170" s="152">
        <f>IF(AND(OR($H170="BUY",$H170="SELL"),ISNUMBER($AF170)),$AF170,"")</f>
        <v/>
      </c>
      <c r="AO170" s="152">
        <f>IF(ISNUMBER($AM170),ABS(IF(ISNUMBER($G170),$G170,0)-Settings!$B$25),"")</f>
        <v/>
      </c>
      <c r="AP170" s="152">
        <f>IF(ISNUMBER($AO170),$AO170*$AM170,"")</f>
        <v/>
      </c>
      <c r="AQ170" s="152">
        <f>IF(ISNUMBER($AN170),ABS(IF(ISNUMBER($G170),$G170,0)-Settings!$B$25),"")</f>
        <v/>
      </c>
      <c r="AR170" s="152">
        <f>IF(ISNUMBER($AQ170),$AQ170*$AN170,"")</f>
        <v/>
      </c>
      <c r="AS170" s="152">
        <f>IF($A170="","",IFERROR(INDEX(Company_List!$H$3:$H$207,MATCH($A170,Company_List!$A$3:$A$207,0)),"unassigned"))</f>
        <v/>
      </c>
      <c r="AT170" s="152" t="inlineStr">
        <is>
          <t>not in v1</t>
        </is>
      </c>
      <c r="AU170" s="152" t="inlineStr">
        <is>
          <t>no earlier record</t>
        </is>
      </c>
      <c r="AV170" s="152" t="n">
        <v>2</v>
      </c>
      <c r="AW170" s="152" t="inlineStr">
        <is>
          <t>not publisher-identified</t>
        </is>
      </c>
      <c r="AX170" s="152" t="inlineStr">
        <is>
          <t>not publisher-identified</t>
        </is>
      </c>
      <c r="AY170" s="152" t="inlineStr">
        <is>
          <t>no</t>
        </is>
      </c>
      <c r="AZ170" s="152" t="inlineStr">
        <is>
          <t>yes</t>
        </is>
      </c>
      <c r="BA170" s="152" t="inlineStr">
        <is>
          <t>YES</t>
        </is>
      </c>
      <c r="BB170" s="152" t="n"/>
    </row>
    <row r="171" ht="15" customHeight="1" s="241">
      <c r="A171" s="191" t="inlineStr">
        <is>
          <t>Caterpillar</t>
        </is>
      </c>
      <c r="B171" s="188" t="inlineStr">
        <is>
          <t>CAT</t>
        </is>
      </c>
      <c r="C171" s="176" t="n">
        <v>2025</v>
      </c>
      <c r="D171" s="177" t="inlineStr">
        <is>
          <t>Q4</t>
        </is>
      </c>
      <c r="E171" s="178" t="inlineStr">
        <is>
          <t>Ben/DeepSeek</t>
        </is>
      </c>
      <c r="F171" s="177" t="inlineStr">
        <is>
          <t>LLM</t>
        </is>
      </c>
      <c r="G171" s="196" t="n">
        <v>0.29</v>
      </c>
      <c r="H171" s="177" t="inlineStr">
        <is>
          <t>BUY</t>
        </is>
      </c>
      <c r="I171" s="196" t="n"/>
      <c r="J171" s="182" t="n">
        <v>46050</v>
      </c>
      <c r="K171" s="182" t="n">
        <v>46050</v>
      </c>
      <c r="L171" s="183" t="n">
        <v>643.28</v>
      </c>
      <c r="M171" s="182" t="n">
        <v>46051</v>
      </c>
      <c r="N171" s="183" t="n">
        <v>655.17</v>
      </c>
      <c r="O171" s="180" t="n">
        <v>0.009695</v>
      </c>
      <c r="P171" s="197" t="n">
        <v>0.018483</v>
      </c>
      <c r="Q171" s="177" t="inlineStr">
        <is>
          <t>FLAT</t>
        </is>
      </c>
      <c r="R171" s="177" t="inlineStr">
        <is>
          <t>NO</t>
        </is>
      </c>
      <c r="S171" s="176" t="n">
        <v>1</v>
      </c>
      <c r="T171" s="197" t="n">
        <v>0.017483</v>
      </c>
      <c r="U171" s="185" t="inlineStr">
        <is>
          <t>w=[0.80,0.20,0,0] thr=(+0.20,-0.10), deployed default promoted 2026-08-18 (PSR=0.964, permutation p=0.0002 at N=233, restricted search - see blend.py)</t>
        </is>
      </c>
      <c r="V171" s="152" t="inlineStr">
        <is>
          <t>FROZEN</t>
        </is>
      </c>
      <c r="W171" s="152" t="inlineStr">
        <is>
          <t>earnings calendar, seconded independently</t>
        </is>
      </c>
      <c r="X171" s="152" t="inlineStr">
        <is>
          <t>CAT</t>
        </is>
      </c>
      <c r="Y171" s="152" t="inlineStr">
        <is>
          <t>2026-01-28</t>
        </is>
      </c>
      <c r="Z171" s="152" t="n">
        <v>640.8688</v>
      </c>
      <c r="AA171" s="152" t="inlineStr">
        <is>
          <t>2026-01-29</t>
        </is>
      </c>
      <c r="AB171" s="152" t="n">
        <v>652.7142</v>
      </c>
      <c r="AC171" s="152" t="n">
        <v>0.01848338545033264</v>
      </c>
      <c r="AD171" s="152" t="inlineStr">
        <is>
          <t>FLAT</t>
        </is>
      </c>
      <c r="AE171" s="152" t="inlineStr">
        <is>
          <t>NO</t>
        </is>
      </c>
      <c r="AF171" s="152" t="n">
        <v>0.017483</v>
      </c>
      <c r="AG171" s="152">
        <f>IF($A171="","",IFERROR(INDEX(Company_List!$G$3:$G$207,MATCH($A171,Company_List!$A$3:$A$207,0)),"unassigned"))</f>
        <v/>
      </c>
      <c r="AH171" s="152" t="inlineStr">
        <is>
          <t>Phase 2/Caterpillar/2025-Q4/CAT-2025-Q4-press-release-SEC-EX-99-1.htm; Phase 2/Caterpillar/2025-Q4/CAT-2025-Q4-earnings-call-transcript-fool-com.html</t>
        </is>
      </c>
      <c r="AI171" s="152" t="inlineStr">
        <is>
          <t>https://www.fool.com/earnings/call-transcripts/2026/01/29/caterpillar-cat-q4-2025-earnings-call-transcript/; https://www.sec.gov/Archives/edgar/data/18230/000001823026000003/cat_exx991x4qx2025xearning.htm</t>
        </is>
      </c>
      <c r="AJ171" s="152" t="inlineStr">
        <is>
          <t>manifest (whole bundle)</t>
        </is>
      </c>
      <c r="AK171" s="152">
        <f>IF($A171="","",IF(COUNTIFS(Human_Data_Entry!$A$3:$A$525,$A171)&gt;0,"YES","NO"))</f>
        <v/>
      </c>
      <c r="AL171" s="152">
        <f>IF($A171="","",IF(AND($C171&amp;"-"&amp;$D171&gt;=Settings!$B$19,$C171&amp;"-"&amp;$D171&lt;=Settings!$B$20),"IN","OUT"))</f>
        <v/>
      </c>
      <c r="AM171" s="152">
        <f>IF(AND(OR($H171="BUY",$H171="SELL"),ISNUMBER($T171)),$T171,"")</f>
        <v/>
      </c>
      <c r="AN171" s="152">
        <f>IF(AND(OR($H171="BUY",$H171="SELL"),ISNUMBER($AF171)),$AF171,"")</f>
        <v/>
      </c>
      <c r="AO171" s="152">
        <f>IF(ISNUMBER($AM171),ABS(IF(ISNUMBER($G171),$G171,0)-Settings!$B$25),"")</f>
        <v/>
      </c>
      <c r="AP171" s="152">
        <f>IF(ISNUMBER($AO171),$AO171*$AM171,"")</f>
        <v/>
      </c>
      <c r="AQ171" s="152">
        <f>IF(ISNUMBER($AN171),ABS(IF(ISNUMBER($G171),$G171,0)-Settings!$B$25),"")</f>
        <v/>
      </c>
      <c r="AR171" s="152">
        <f>IF(ISNUMBER($AQ171),$AQ171*$AN171,"")</f>
        <v/>
      </c>
      <c r="AS171" s="152">
        <f>IF($A171="","",IFERROR(INDEX(Company_List!$H$3:$H$207,MATCH($A171,Company_List!$A$3:$A$207,0)),"unassigned"))</f>
        <v/>
      </c>
      <c r="AT171" s="152" t="inlineStr">
        <is>
          <t>not in v1</t>
        </is>
      </c>
      <c r="AU171" s="152" t="inlineStr">
        <is>
          <t>no earlier record</t>
        </is>
      </c>
      <c r="AV171" s="152" t="n">
        <v>2</v>
      </c>
      <c r="AW171" s="152" t="inlineStr">
        <is>
          <t>The Motley Fool</t>
        </is>
      </c>
      <c r="AX171" s="152" t="inlineStr">
        <is>
          <t>free to read, copyright asserted</t>
        </is>
      </c>
      <c r="AY171" s="152" t="inlineStr">
        <is>
          <t>no</t>
        </is>
      </c>
      <c r="AZ171" s="152" t="inlineStr">
        <is>
          <t>yes</t>
        </is>
      </c>
      <c r="BA171" s="152" t="inlineStr">
        <is>
          <t>YES</t>
        </is>
      </c>
      <c r="BB171" s="152" t="n"/>
    </row>
    <row r="172" ht="15" customHeight="1" s="241">
      <c r="A172" s="191" t="inlineStr">
        <is>
          <t>Chipotle</t>
        </is>
      </c>
      <c r="B172" s="188" t="inlineStr">
        <is>
          <t>CMG</t>
        </is>
      </c>
      <c r="C172" s="176" t="n">
        <v>2025</v>
      </c>
      <c r="D172" s="177" t="inlineStr">
        <is>
          <t>Q1</t>
        </is>
      </c>
      <c r="E172" s="178" t="inlineStr">
        <is>
          <t>Ben/DeepSeek</t>
        </is>
      </c>
      <c r="F172" s="177" t="inlineStr">
        <is>
          <t>LLM</t>
        </is>
      </c>
      <c r="G172" s="196" t="n">
        <v>-0.34</v>
      </c>
      <c r="H172" s="177" t="inlineStr">
        <is>
          <t>SELL</t>
        </is>
      </c>
      <c r="I172" s="196" t="n"/>
      <c r="J172" s="182" t="n">
        <v>45770</v>
      </c>
      <c r="K172" s="182" t="n">
        <v>45770</v>
      </c>
      <c r="L172" s="183" t="n">
        <v>48.76</v>
      </c>
      <c r="M172" s="182" t="n">
        <v>45771</v>
      </c>
      <c r="N172" s="183" t="n">
        <v>49.2</v>
      </c>
      <c r="O172" s="180" t="n">
        <v>0.008163</v>
      </c>
      <c r="P172" s="197" t="n">
        <v>0.009023999999999999</v>
      </c>
      <c r="Q172" s="177" t="inlineStr">
        <is>
          <t>FLAT</t>
        </is>
      </c>
      <c r="R172" s="177" t="inlineStr">
        <is>
          <t>NO</t>
        </is>
      </c>
      <c r="S172" s="176" t="n">
        <v>-1</v>
      </c>
      <c r="T172" s="197" t="n">
        <v>-0.010024</v>
      </c>
      <c r="U172" s="185" t="inlineStr">
        <is>
          <t>w=[0.80,0.20,0,0] thr=(+0.20,-0.10), deployed default promoted 2026-08-18 (PSR=0.964, permutation p=0.0002 at N=233, restricted search - see blend.py)</t>
        </is>
      </c>
      <c r="V172" s="152" t="inlineStr">
        <is>
          <t>FROZEN</t>
        </is>
      </c>
      <c r="W172" s="152" t="inlineStr">
        <is>
          <t>price signal</t>
        </is>
      </c>
      <c r="X172" s="152" t="inlineStr">
        <is>
          <t>CMG</t>
        </is>
      </c>
      <c r="Y172" s="152" t="inlineStr">
        <is>
          <t>2025-04-22</t>
        </is>
      </c>
      <c r="Z172" s="152" t="n">
        <v>47.1</v>
      </c>
      <c r="AA172" s="152" t="inlineStr">
        <is>
          <t>2025-04-23</t>
        </is>
      </c>
      <c r="AB172" s="152" t="n">
        <v>48.87</v>
      </c>
      <c r="AC172" s="152" t="n">
        <v>0.03757964066155588</v>
      </c>
      <c r="AD172" s="152" t="inlineStr">
        <is>
          <t>UP</t>
        </is>
      </c>
      <c r="AE172" s="152" t="inlineStr">
        <is>
          <t>NO</t>
        </is>
      </c>
      <c r="AF172" s="152" t="n">
        <v>-0.03858</v>
      </c>
      <c r="AG172" s="152">
        <f>IF($A172="","",IFERROR(INDEX(Company_List!$G$3:$G$207,MATCH($A172,Company_List!$A$3:$A$207,0)),"unassigned"))</f>
        <v/>
      </c>
      <c r="AH172" s="152" t="inlineStr">
        <is>
          <t>Phase 3/Readings/Chipotle/2025-Q1/CMG-2025-Q1-press-release-SEC-EX-99-1.htm</t>
        </is>
      </c>
      <c r="AI172" s="152" t="inlineStr">
        <is>
          <t>https://www.sec.gov/Archives/edgar/data/1058090/000105809025000028/cmg-20250423xex991.htm</t>
        </is>
      </c>
      <c r="AJ172" s="152" t="inlineStr">
        <is>
          <t>manifest</t>
        </is>
      </c>
      <c r="AK172" s="152">
        <f>IF($A172="","",IF(COUNTIFS(Human_Data_Entry!$A$3:$A$525,$A172)&gt;0,"YES","NO"))</f>
        <v/>
      </c>
      <c r="AL172" s="152">
        <f>IF($A172="","",IF(AND($C172&amp;"-"&amp;$D172&gt;=Settings!$B$19,$C172&amp;"-"&amp;$D172&lt;=Settings!$B$20),"IN","OUT"))</f>
        <v/>
      </c>
      <c r="AM172" s="152">
        <f>IF(AND(OR($H172="BUY",$H172="SELL"),ISNUMBER($T172)),$T172,"")</f>
        <v/>
      </c>
      <c r="AN172" s="152">
        <f>IF(AND(OR($H172="BUY",$H172="SELL"),ISNUMBER($AF172)),$AF172,"")</f>
        <v/>
      </c>
      <c r="AO172" s="152">
        <f>IF(ISNUMBER($AM172),ABS(IF(ISNUMBER($G172),$G172,0)-Settings!$B$25),"")</f>
        <v/>
      </c>
      <c r="AP172" s="152">
        <f>IF(ISNUMBER($AO172),$AO172*$AM172,"")</f>
        <v/>
      </c>
      <c r="AQ172" s="152">
        <f>IF(ISNUMBER($AN172),ABS(IF(ISNUMBER($G172),$G172,0)-Settings!$B$25),"")</f>
        <v/>
      </c>
      <c r="AR172" s="152">
        <f>IF(ISNUMBER($AQ172),$AQ172*$AN172,"")</f>
        <v/>
      </c>
      <c r="AS172" s="152">
        <f>IF($A172="","",IFERROR(INDEX(Company_List!$H$3:$H$207,MATCH($A172,Company_List!$A$3:$A$207,0)),"unassigned"))</f>
        <v/>
      </c>
      <c r="AT172" s="152" t="inlineStr">
        <is>
          <t>not in v1</t>
        </is>
      </c>
      <c r="AU172" s="152" t="inlineStr">
        <is>
          <t>no earlier record</t>
        </is>
      </c>
      <c r="AV172" s="152" t="n">
        <v>1</v>
      </c>
      <c r="AW172" s="152" t="inlineStr">
        <is>
          <t>not publisher-identified</t>
        </is>
      </c>
      <c r="AX172" s="152" t="inlineStr">
        <is>
          <t>not publisher-identified</t>
        </is>
      </c>
      <c r="AY172" s="152" t="inlineStr">
        <is>
          <t>no</t>
        </is>
      </c>
      <c r="AZ172" s="152" t="inlineStr">
        <is>
          <t>yes</t>
        </is>
      </c>
      <c r="BA172" s="152" t="inlineStr">
        <is>
          <t>YES</t>
        </is>
      </c>
      <c r="BB172" s="152" t="n"/>
    </row>
    <row r="173" ht="15" customHeight="1" s="241">
      <c r="A173" s="191" t="inlineStr">
        <is>
          <t>Chipotle</t>
        </is>
      </c>
      <c r="B173" s="188" t="inlineStr">
        <is>
          <t>CMG</t>
        </is>
      </c>
      <c r="C173" s="176" t="n">
        <v>2025</v>
      </c>
      <c r="D173" s="177" t="inlineStr">
        <is>
          <t>Q2</t>
        </is>
      </c>
      <c r="E173" s="178" t="inlineStr">
        <is>
          <t>Ben/DeepSeek</t>
        </is>
      </c>
      <c r="F173" s="177" t="inlineStr">
        <is>
          <t>LLM</t>
        </is>
      </c>
      <c r="G173" s="196" t="n">
        <v>-0.26</v>
      </c>
      <c r="H173" s="177" t="inlineStr">
        <is>
          <t>SELL</t>
        </is>
      </c>
      <c r="I173" s="196" t="n"/>
      <c r="J173" s="182" t="n">
        <v>45861</v>
      </c>
      <c r="K173" s="182" t="n">
        <v>45861</v>
      </c>
      <c r="L173" s="183" t="n">
        <v>52.78</v>
      </c>
      <c r="M173" s="182" t="n">
        <v>45862</v>
      </c>
      <c r="N173" s="183" t="n">
        <v>46.2</v>
      </c>
      <c r="O173" s="180" t="n">
        <v>0.008980999999999999</v>
      </c>
      <c r="P173" s="197" t="n">
        <v>-0.124668</v>
      </c>
      <c r="Q173" s="177" t="inlineStr">
        <is>
          <t>DOWN</t>
        </is>
      </c>
      <c r="R173" s="177" t="inlineStr">
        <is>
          <t>YES</t>
        </is>
      </c>
      <c r="S173" s="176" t="n">
        <v>-1</v>
      </c>
      <c r="T173" s="197" t="n">
        <v>0.123668</v>
      </c>
      <c r="U173" s="185" t="inlineStr">
        <is>
          <t>w=[0.80,0.20,0,0] thr=(+0.20,-0.10), deployed default promoted 2026-08-18 (PSR=0.964, permutation p=0.0002 at N=233, restricted search - see blend.py)</t>
        </is>
      </c>
      <c r="V173" s="152" t="inlineStr">
        <is>
          <t>FROZEN</t>
        </is>
      </c>
      <c r="W173" s="152" t="inlineStr">
        <is>
          <t>price signal — only this window shows an abnormal move</t>
        </is>
      </c>
      <c r="X173" s="152" t="inlineStr">
        <is>
          <t>CMG</t>
        </is>
      </c>
      <c r="Y173" s="152" t="inlineStr">
        <is>
          <t>2025-07-23</t>
        </is>
      </c>
      <c r="Z173" s="152" t="n">
        <v>52.78</v>
      </c>
      <c r="AA173" s="152" t="inlineStr">
        <is>
          <t>2025-07-24</t>
        </is>
      </c>
      <c r="AB173" s="152" t="n">
        <v>46.2</v>
      </c>
      <c r="AC173" s="152" t="n">
        <v>-0.12466839948216</v>
      </c>
      <c r="AD173" s="152" t="inlineStr">
        <is>
          <t>DOWN</t>
        </is>
      </c>
      <c r="AE173" s="152" t="inlineStr">
        <is>
          <t>YES</t>
        </is>
      </c>
      <c r="AF173" s="152" t="n">
        <v>0.123668</v>
      </c>
      <c r="AG173" s="152">
        <f>IF($A173="","",IFERROR(INDEX(Company_List!$G$3:$G$207,MATCH($A173,Company_List!$A$3:$A$207,0)),"unassigned"))</f>
        <v/>
      </c>
      <c r="AH173" s="152" t="inlineStr">
        <is>
          <t>Phase 3/Readings/Chipotle/2025-Q2/CMG-2025-Q2-press-release-SEC-EX-99-1.htm</t>
        </is>
      </c>
      <c r="AI173" s="152" t="inlineStr">
        <is>
          <t>https://www.sec.gov/Archives/edgar/data/1058090/000105809025000055/cmg-20250723xex991.htm</t>
        </is>
      </c>
      <c r="AJ173" s="152" t="inlineStr">
        <is>
          <t>manifest</t>
        </is>
      </c>
      <c r="AK173" s="152">
        <f>IF($A173="","",IF(COUNTIFS(Human_Data_Entry!$A$3:$A$525,$A173)&gt;0,"YES","NO"))</f>
        <v/>
      </c>
      <c r="AL173" s="152">
        <f>IF($A173="","",IF(AND($C173&amp;"-"&amp;$D173&gt;=Settings!$B$19,$C173&amp;"-"&amp;$D173&lt;=Settings!$B$20),"IN","OUT"))</f>
        <v/>
      </c>
      <c r="AM173" s="152">
        <f>IF(AND(OR($H173="BUY",$H173="SELL"),ISNUMBER($T173)),$T173,"")</f>
        <v/>
      </c>
      <c r="AN173" s="152">
        <f>IF(AND(OR($H173="BUY",$H173="SELL"),ISNUMBER($AF173)),$AF173,"")</f>
        <v/>
      </c>
      <c r="AO173" s="152">
        <f>IF(ISNUMBER($AM173),ABS(IF(ISNUMBER($G173),$G173,0)-Settings!$B$25),"")</f>
        <v/>
      </c>
      <c r="AP173" s="152">
        <f>IF(ISNUMBER($AO173),$AO173*$AM173,"")</f>
        <v/>
      </c>
      <c r="AQ173" s="152">
        <f>IF(ISNUMBER($AN173),ABS(IF(ISNUMBER($G173),$G173,0)-Settings!$B$25),"")</f>
        <v/>
      </c>
      <c r="AR173" s="152">
        <f>IF(ISNUMBER($AQ173),$AQ173*$AN173,"")</f>
        <v/>
      </c>
      <c r="AS173" s="152">
        <f>IF($A173="","",IFERROR(INDEX(Company_List!$H$3:$H$207,MATCH($A173,Company_List!$A$3:$A$207,0)),"unassigned"))</f>
        <v/>
      </c>
      <c r="AT173" s="152" t="inlineStr">
        <is>
          <t>not in v1</t>
        </is>
      </c>
      <c r="AU173" s="152" t="inlineStr">
        <is>
          <t>no earlier record</t>
        </is>
      </c>
      <c r="AV173" s="152" t="n">
        <v>1</v>
      </c>
      <c r="AW173" s="152" t="inlineStr">
        <is>
          <t>not publisher-identified</t>
        </is>
      </c>
      <c r="AX173" s="152" t="inlineStr">
        <is>
          <t>not publisher-identified</t>
        </is>
      </c>
      <c r="AY173" s="152" t="inlineStr">
        <is>
          <t>no</t>
        </is>
      </c>
      <c r="AZ173" s="152" t="inlineStr">
        <is>
          <t>yes</t>
        </is>
      </c>
      <c r="BA173" s="152" t="inlineStr">
        <is>
          <t>YES</t>
        </is>
      </c>
      <c r="BB173" s="152" t="n"/>
    </row>
    <row r="174" ht="15" customHeight="1" s="241">
      <c r="A174" s="191" t="inlineStr">
        <is>
          <t>Chipotle</t>
        </is>
      </c>
      <c r="B174" s="188" t="inlineStr">
        <is>
          <t>CMG</t>
        </is>
      </c>
      <c r="C174" s="176" t="n">
        <v>2025</v>
      </c>
      <c r="D174" s="177" t="inlineStr">
        <is>
          <t>Q3</t>
        </is>
      </c>
      <c r="E174" s="178" t="inlineStr">
        <is>
          <t>Ben/DeepSeek</t>
        </is>
      </c>
      <c r="F174" s="177" t="inlineStr">
        <is>
          <t>LLM</t>
        </is>
      </c>
      <c r="G174" s="196" t="n">
        <v>-0.34</v>
      </c>
      <c r="H174" s="177" t="inlineStr">
        <is>
          <t>SELL</t>
        </is>
      </c>
      <c r="I174" s="196" t="n"/>
      <c r="J174" s="182" t="n">
        <v>45959</v>
      </c>
      <c r="K174" s="182" t="n">
        <v>45959</v>
      </c>
      <c r="L174" s="183" t="n">
        <v>39.76</v>
      </c>
      <c r="M174" s="182" t="n">
        <v>45960</v>
      </c>
      <c r="N174" s="183" t="n">
        <v>31.27</v>
      </c>
      <c r="O174" s="180" t="n">
        <v>0.006659</v>
      </c>
      <c r="P174" s="197" t="n">
        <v>-0.213531</v>
      </c>
      <c r="Q174" s="177" t="inlineStr">
        <is>
          <t>DOWN</t>
        </is>
      </c>
      <c r="R174" s="177" t="inlineStr">
        <is>
          <t>YES</t>
        </is>
      </c>
      <c r="S174" s="176" t="n">
        <v>-1</v>
      </c>
      <c r="T174" s="197" t="n">
        <v>0.212531</v>
      </c>
      <c r="U174" s="185" t="inlineStr">
        <is>
          <t>w=[0.80,0.20,0,0] thr=(+0.20,-0.10), deployed default promoted 2026-08-18 (PSR=0.964, permutation p=0.0002 at N=233, restricted search - see blend.py)</t>
        </is>
      </c>
      <c r="V174" s="152" t="inlineStr">
        <is>
          <t>FROZEN</t>
        </is>
      </c>
      <c r="W174" s="152" t="inlineStr">
        <is>
          <t>price signal — both moved; this one dominates</t>
        </is>
      </c>
      <c r="X174" s="152" t="inlineStr">
        <is>
          <t>CMG</t>
        </is>
      </c>
      <c r="Y174" s="152" t="inlineStr">
        <is>
          <t>2025-10-29</t>
        </is>
      </c>
      <c r="Z174" s="152" t="n">
        <v>39.76</v>
      </c>
      <c r="AA174" s="152" t="inlineStr">
        <is>
          <t>2025-10-30</t>
        </is>
      </c>
      <c r="AB174" s="152" t="n">
        <v>31.27</v>
      </c>
      <c r="AC174" s="152" t="n">
        <v>-0.213531147561929</v>
      </c>
      <c r="AD174" s="152" t="inlineStr">
        <is>
          <t>DOWN</t>
        </is>
      </c>
      <c r="AE174" s="152" t="inlineStr">
        <is>
          <t>YES</t>
        </is>
      </c>
      <c r="AF174" s="152" t="n">
        <v>0.212531</v>
      </c>
      <c r="AG174" s="152">
        <f>IF($A174="","",IFERROR(INDEX(Company_List!$G$3:$G$207,MATCH($A174,Company_List!$A$3:$A$207,0)),"unassigned"))</f>
        <v/>
      </c>
      <c r="AH174" s="152" t="inlineStr">
        <is>
          <t>Phase 3/Readings/Chipotle/2025-Q3/CMG-2025-Q3-press-release-SEC-EX-99-1.htm</t>
        </is>
      </c>
      <c r="AI174" s="152" t="inlineStr">
        <is>
          <t>https://www.sec.gov/Archives/edgar/data/1058090/000105809025000086/cmg-20251029xex991.htm</t>
        </is>
      </c>
      <c r="AJ174" s="152" t="inlineStr">
        <is>
          <t>manifest</t>
        </is>
      </c>
      <c r="AK174" s="152">
        <f>IF($A174="","",IF(COUNTIFS(Human_Data_Entry!$A$3:$A$525,$A174)&gt;0,"YES","NO"))</f>
        <v/>
      </c>
      <c r="AL174" s="152">
        <f>IF($A174="","",IF(AND($C174&amp;"-"&amp;$D174&gt;=Settings!$B$19,$C174&amp;"-"&amp;$D174&lt;=Settings!$B$20),"IN","OUT"))</f>
        <v/>
      </c>
      <c r="AM174" s="152">
        <f>IF(AND(OR($H174="BUY",$H174="SELL"),ISNUMBER($T174)),$T174,"")</f>
        <v/>
      </c>
      <c r="AN174" s="152">
        <f>IF(AND(OR($H174="BUY",$H174="SELL"),ISNUMBER($AF174)),$AF174,"")</f>
        <v/>
      </c>
      <c r="AO174" s="152">
        <f>IF(ISNUMBER($AM174),ABS(IF(ISNUMBER($G174),$G174,0)-Settings!$B$25),"")</f>
        <v/>
      </c>
      <c r="AP174" s="152">
        <f>IF(ISNUMBER($AO174),$AO174*$AM174,"")</f>
        <v/>
      </c>
      <c r="AQ174" s="152">
        <f>IF(ISNUMBER($AN174),ABS(IF(ISNUMBER($G174),$G174,0)-Settings!$B$25),"")</f>
        <v/>
      </c>
      <c r="AR174" s="152">
        <f>IF(ISNUMBER($AQ174),$AQ174*$AN174,"")</f>
        <v/>
      </c>
      <c r="AS174" s="152">
        <f>IF($A174="","",IFERROR(INDEX(Company_List!$H$3:$H$207,MATCH($A174,Company_List!$A$3:$A$207,0)),"unassigned"))</f>
        <v/>
      </c>
      <c r="AT174" s="152" t="inlineStr">
        <is>
          <t>not in v1</t>
        </is>
      </c>
      <c r="AU174" s="152" t="inlineStr">
        <is>
          <t>no earlier record</t>
        </is>
      </c>
      <c r="AV174" s="152" t="n">
        <v>1</v>
      </c>
      <c r="AW174" s="152" t="inlineStr">
        <is>
          <t>not publisher-identified</t>
        </is>
      </c>
      <c r="AX174" s="152" t="inlineStr">
        <is>
          <t>not publisher-identified</t>
        </is>
      </c>
      <c r="AY174" s="152" t="inlineStr">
        <is>
          <t>no</t>
        </is>
      </c>
      <c r="AZ174" s="152" t="inlineStr">
        <is>
          <t>yes</t>
        </is>
      </c>
      <c r="BA174" s="152" t="inlineStr">
        <is>
          <t>YES</t>
        </is>
      </c>
      <c r="BB174" s="152" t="n"/>
    </row>
    <row r="175" ht="15" customHeight="1" s="241">
      <c r="A175" s="191" t="inlineStr">
        <is>
          <t>Chipotle</t>
        </is>
      </c>
      <c r="B175" s="188" t="inlineStr">
        <is>
          <t>CMG</t>
        </is>
      </c>
      <c r="C175" s="176" t="n">
        <v>2025</v>
      </c>
      <c r="D175" s="177" t="inlineStr">
        <is>
          <t>Q4</t>
        </is>
      </c>
      <c r="E175" s="178" t="inlineStr">
        <is>
          <t>Ben/DeepSeek</t>
        </is>
      </c>
      <c r="F175" s="177" t="inlineStr">
        <is>
          <t>LLM</t>
        </is>
      </c>
      <c r="G175" s="196" t="n">
        <v>-0.11</v>
      </c>
      <c r="H175" s="177" t="inlineStr">
        <is>
          <t>SELL</t>
        </is>
      </c>
      <c r="I175" s="196" t="n"/>
      <c r="J175" s="182" t="n">
        <v>46056</v>
      </c>
      <c r="K175" s="182" t="n">
        <v>46056</v>
      </c>
      <c r="L175" s="183" t="n">
        <v>39.17</v>
      </c>
      <c r="M175" s="182" t="n">
        <v>46057</v>
      </c>
      <c r="N175" s="183" t="n">
        <v>37.72</v>
      </c>
      <c r="O175" s="180" t="n">
        <v>0.009308</v>
      </c>
      <c r="P175" s="197" t="n">
        <v>-0.037018</v>
      </c>
      <c r="Q175" s="177" t="inlineStr">
        <is>
          <t>DOWN</t>
        </is>
      </c>
      <c r="R175" s="177" t="inlineStr">
        <is>
          <t>YES</t>
        </is>
      </c>
      <c r="S175" s="176" t="n">
        <v>-1</v>
      </c>
      <c r="T175" s="197" t="n">
        <v>0.036018</v>
      </c>
      <c r="U175" s="185" t="inlineStr">
        <is>
          <t>w=[0.80,0.20,0,0] thr=(+0.20,-0.10), deployed default promoted 2026-08-18 (PSR=0.964, permutation p=0.0002 at N=233, restricted search - see blend.py)</t>
        </is>
      </c>
      <c r="V175" s="152" t="inlineStr">
        <is>
          <t>FROZEN</t>
        </is>
      </c>
      <c r="W175" s="152" t="inlineStr">
        <is>
          <t>price signal — only this window shows an abnormal move</t>
        </is>
      </c>
      <c r="X175" s="152" t="inlineStr">
        <is>
          <t>CMG</t>
        </is>
      </c>
      <c r="Y175" s="152" t="inlineStr">
        <is>
          <t>2026-02-03</t>
        </is>
      </c>
      <c r="Z175" s="152" t="n">
        <v>39.17</v>
      </c>
      <c r="AA175" s="152" t="inlineStr">
        <is>
          <t>2026-02-04</t>
        </is>
      </c>
      <c r="AB175" s="152" t="n">
        <v>37.72</v>
      </c>
      <c r="AC175" s="152" t="n">
        <v>-0.03701805141782229</v>
      </c>
      <c r="AD175" s="152" t="inlineStr">
        <is>
          <t>DOWN</t>
        </is>
      </c>
      <c r="AE175" s="152" t="inlineStr">
        <is>
          <t>NO</t>
        </is>
      </c>
      <c r="AF175" s="152" t="n">
        <v>0</v>
      </c>
      <c r="AG175" s="152">
        <f>IF($A175="","",IFERROR(INDEX(Company_List!$G$3:$G$207,MATCH($A175,Company_List!$A$3:$A$207,0)),"unassigned"))</f>
        <v/>
      </c>
      <c r="AH175" s="152" t="inlineStr">
        <is>
          <t>Phase 3/Readings/Chipotle/2026-02-03-CHIPOTLE-ANNOUNCES-FOURTH-QUARTER-AND-FULL-YEAR-2025-RESULTS-IR.pdf</t>
        </is>
      </c>
      <c r="AI175" s="152" t="n"/>
      <c r="AJ175" s="152" t="inlineStr">
        <is>
          <t>unique filename match</t>
        </is>
      </c>
      <c r="AK175" s="152">
        <f>IF($A175="","",IF(COUNTIFS(Human_Data_Entry!$A$3:$A$525,$A175)&gt;0,"YES","NO"))</f>
        <v/>
      </c>
      <c r="AL175" s="152">
        <f>IF($A175="","",IF(AND($C175&amp;"-"&amp;$D175&gt;=Settings!$B$19,$C175&amp;"-"&amp;$D175&lt;=Settings!$B$20),"IN","OUT"))</f>
        <v/>
      </c>
      <c r="AM175" s="152">
        <f>IF(AND(OR($H175="BUY",$H175="SELL"),ISNUMBER($T175)),$T175,"")</f>
        <v/>
      </c>
      <c r="AN175" s="152">
        <f>IF(AND(OR($H175="BUY",$H175="SELL"),ISNUMBER($AF175)),$AF175,"")</f>
        <v/>
      </c>
      <c r="AO175" s="152">
        <f>IF(ISNUMBER($AM175),ABS(IF(ISNUMBER($G175),$G175,0)-Settings!$B$25),"")</f>
        <v/>
      </c>
      <c r="AP175" s="152">
        <f>IF(ISNUMBER($AO175),$AO175*$AM175,"")</f>
        <v/>
      </c>
      <c r="AQ175" s="152">
        <f>IF(ISNUMBER($AN175),ABS(IF(ISNUMBER($G175),$G175,0)-Settings!$B$25),"")</f>
        <v/>
      </c>
      <c r="AR175" s="152">
        <f>IF(ISNUMBER($AQ175),$AQ175*$AN175,"")</f>
        <v/>
      </c>
      <c r="AS175" s="152">
        <f>IF($A175="","",IFERROR(INDEX(Company_List!$H$3:$H$207,MATCH($A175,Company_List!$A$3:$A$207,0)),"unassigned"))</f>
        <v/>
      </c>
      <c r="AT175" s="152" t="inlineStr">
        <is>
          <t>not in v1</t>
        </is>
      </c>
      <c r="AU175" s="152" t="inlineStr">
        <is>
          <t>no earlier record</t>
        </is>
      </c>
      <c r="AV175" s="152" t="n">
        <v>1</v>
      </c>
      <c r="AW175" s="152" t="inlineStr">
        <is>
          <t>not publisher-identified</t>
        </is>
      </c>
      <c r="AX175" s="152" t="inlineStr">
        <is>
          <t>not publisher-identified</t>
        </is>
      </c>
      <c r="AY175" s="152" t="inlineStr">
        <is>
          <t>no</t>
        </is>
      </c>
      <c r="AZ175" s="152" t="inlineStr">
        <is>
          <t>no</t>
        </is>
      </c>
      <c r="BA175" s="152" t="inlineStr">
        <is>
          <t>YES</t>
        </is>
      </c>
      <c r="BB175" s="152" t="n"/>
    </row>
    <row r="176" ht="15" customHeight="1" s="241">
      <c r="A176" s="191" t="inlineStr">
        <is>
          <t>Comcast Corporation</t>
        </is>
      </c>
      <c r="B176" s="188" t="inlineStr">
        <is>
          <t>CMCSA</t>
        </is>
      </c>
      <c r="C176" s="176" t="n">
        <v>2025</v>
      </c>
      <c r="D176" s="177" t="inlineStr">
        <is>
          <t>Q1</t>
        </is>
      </c>
      <c r="E176" s="178" t="inlineStr">
        <is>
          <t>Ben/DeepSeek</t>
        </is>
      </c>
      <c r="F176" s="177" t="inlineStr">
        <is>
          <t>LLM</t>
        </is>
      </c>
      <c r="G176" s="196" t="n">
        <v>-0.22</v>
      </c>
      <c r="H176" s="177" t="inlineStr">
        <is>
          <t>SELL</t>
        </is>
      </c>
      <c r="I176" s="196" t="n"/>
      <c r="J176" s="182" t="n">
        <v>45770</v>
      </c>
      <c r="K176" s="182" t="n">
        <v>45770</v>
      </c>
      <c r="L176" s="183" t="n">
        <v>32.3055</v>
      </c>
      <c r="M176" s="182" t="n">
        <v>45771</v>
      </c>
      <c r="N176" s="183" t="n">
        <v>29.97</v>
      </c>
      <c r="O176" s="180" t="n">
        <v>0.010085</v>
      </c>
      <c r="P176" s="197" t="n">
        <v>-0.072237</v>
      </c>
      <c r="Q176" s="177" t="inlineStr">
        <is>
          <t>DOWN</t>
        </is>
      </c>
      <c r="R176" s="177" t="inlineStr">
        <is>
          <t>YES</t>
        </is>
      </c>
      <c r="S176" s="176" t="n">
        <v>-1</v>
      </c>
      <c r="T176" s="197" t="n">
        <v>0.07123699999999999</v>
      </c>
      <c r="U176" s="185" t="inlineStr">
        <is>
          <t>w=[0.80,0.20,0,0] thr=(+0.20,-0.10), deployed default promoted 2026-08-18 (PSR=0.964, permutation p=0.0002 at N=233, restricted search - see blend.py)</t>
        </is>
      </c>
      <c r="V176" s="152" t="inlineStr">
        <is>
          <t>FROZEN</t>
        </is>
      </c>
      <c r="W176" s="152" t="inlineStr">
        <is>
          <t>release date + stated time in the document (document)</t>
        </is>
      </c>
      <c r="X176" s="152" t="inlineStr">
        <is>
          <t>CMCSA</t>
        </is>
      </c>
      <c r="Y176" s="152" t="inlineStr">
        <is>
          <t>2025-04-23</t>
        </is>
      </c>
      <c r="Z176" s="152" t="n">
        <v>30.5329</v>
      </c>
      <c r="AA176" s="152" t="inlineStr">
        <is>
          <t>2025-04-24</t>
        </is>
      </c>
      <c r="AB176" s="152" t="n">
        <v>28.3273</v>
      </c>
      <c r="AC176" s="152" t="n">
        <v>-0.07223681702027766</v>
      </c>
      <c r="AD176" s="152" t="inlineStr">
        <is>
          <t>DOWN</t>
        </is>
      </c>
      <c r="AE176" s="152" t="inlineStr">
        <is>
          <t>YES</t>
        </is>
      </c>
      <c r="AF176" s="152" t="n">
        <v>0.07123699999999999</v>
      </c>
      <c r="AG176" s="152">
        <f>IF($A176="","",IFERROR(INDEX(Company_List!$G$3:$G$207,MATCH($A176,Company_List!$A$3:$A$207,0)),"unassigned"))</f>
        <v/>
      </c>
      <c r="AH176" s="152" t="inlineStr">
        <is>
          <t>Phase 3/Readings/Comcast/CMCSA-USQ_Transcript_2025-04-24.pdf</t>
        </is>
      </c>
      <c r="AI176" s="152" t="n"/>
      <c r="AJ176" s="152" t="inlineStr">
        <is>
          <t>unique filename match</t>
        </is>
      </c>
      <c r="AK176" s="152">
        <f>IF($A176="","",IF(COUNTIFS(Human_Data_Entry!$A$3:$A$525,$A176)&gt;0,"YES","NO"))</f>
        <v/>
      </c>
      <c r="AL176" s="152">
        <f>IF($A176="","",IF(AND($C176&amp;"-"&amp;$D176&gt;=Settings!$B$19,$C176&amp;"-"&amp;$D176&lt;=Settings!$B$20),"IN","OUT"))</f>
        <v/>
      </c>
      <c r="AM176" s="152">
        <f>IF(AND(OR($H176="BUY",$H176="SELL"),ISNUMBER($T176)),$T176,"")</f>
        <v/>
      </c>
      <c r="AN176" s="152">
        <f>IF(AND(OR($H176="BUY",$H176="SELL"),ISNUMBER($AF176)),$AF176,"")</f>
        <v/>
      </c>
      <c r="AO176" s="152">
        <f>IF(ISNUMBER($AM176),ABS(IF(ISNUMBER($G176),$G176,0)-Settings!$B$25),"")</f>
        <v/>
      </c>
      <c r="AP176" s="152">
        <f>IF(ISNUMBER($AO176),$AO176*$AM176,"")</f>
        <v/>
      </c>
      <c r="AQ176" s="152">
        <f>IF(ISNUMBER($AN176),ABS(IF(ISNUMBER($G176),$G176,0)-Settings!$B$25),"")</f>
        <v/>
      </c>
      <c r="AR176" s="152">
        <f>IF(ISNUMBER($AQ176),$AQ176*$AN176,"")</f>
        <v/>
      </c>
      <c r="AS176" s="152">
        <f>IF($A176="","",IFERROR(INDEX(Company_List!$H$3:$H$207,MATCH($A176,Company_List!$A$3:$A$207,0)),"unassigned"))</f>
        <v/>
      </c>
      <c r="AT176" s="152" t="inlineStr">
        <is>
          <t>not in v1</t>
        </is>
      </c>
      <c r="AU176" s="152" t="inlineStr">
        <is>
          <t>no earlier record</t>
        </is>
      </c>
      <c r="AV176" s="152" t="n">
        <v>1</v>
      </c>
      <c r="AW176" s="152" t="inlineStr">
        <is>
          <t>Refinitiv / LSEG StreetEvents</t>
        </is>
      </c>
      <c r="AX176" s="152" t="inlineStr">
        <is>
          <t>licensed vendor</t>
        </is>
      </c>
      <c r="AY176" s="152" t="inlineStr">
        <is>
          <t>no</t>
        </is>
      </c>
      <c r="AZ176" s="152" t="inlineStr">
        <is>
          <t>no</t>
        </is>
      </c>
      <c r="BA176" s="152" t="inlineStr">
        <is>
          <t>YES</t>
        </is>
      </c>
      <c r="BB176" s="152" t="n"/>
    </row>
    <row r="177" ht="15" customHeight="1" s="241">
      <c r="A177" s="191" t="inlineStr">
        <is>
          <t>Comcast Corporation</t>
        </is>
      </c>
      <c r="B177" s="188" t="inlineStr">
        <is>
          <t>CMCSA</t>
        </is>
      </c>
      <c r="C177" s="176" t="n">
        <v>2026</v>
      </c>
      <c r="D177" s="177" t="inlineStr">
        <is>
          <t>Q1</t>
        </is>
      </c>
      <c r="E177" s="178" t="inlineStr">
        <is>
          <t>Ben/DeepSeek</t>
        </is>
      </c>
      <c r="F177" s="177" t="inlineStr">
        <is>
          <t>LLM</t>
        </is>
      </c>
      <c r="G177" s="196" t="n">
        <v>0.14</v>
      </c>
      <c r="H177" s="177" t="inlineStr">
        <is>
          <t>HOLD</t>
        </is>
      </c>
      <c r="I177" s="196" t="n"/>
      <c r="J177" s="182" t="n">
        <v>46134</v>
      </c>
      <c r="K177" s="182" t="n">
        <v>46134</v>
      </c>
      <c r="L177" s="183" t="n">
        <v>29.37</v>
      </c>
      <c r="M177" s="182" t="n">
        <v>46135</v>
      </c>
      <c r="N177" s="183" t="n">
        <v>30.5</v>
      </c>
      <c r="O177" s="180" t="n">
        <v>0.010047</v>
      </c>
      <c r="P177" s="197" t="n">
        <v>0.038475</v>
      </c>
      <c r="Q177" s="177" t="inlineStr">
        <is>
          <t>UP</t>
        </is>
      </c>
      <c r="R177" s="177" t="inlineStr">
        <is>
          <t>NO</t>
        </is>
      </c>
      <c r="S177" s="176" t="n">
        <v>0</v>
      </c>
      <c r="T177" s="197" t="n">
        <v>0</v>
      </c>
      <c r="U177" s="185" t="inlineStr">
        <is>
          <t>w=[0.80,0.20,0,0] thr=(+0.20,-0.10), deployed default promoted 2026-08-18 (PSR=0.964, permutation p=0.0002 at N=233, restricted search - see blend.py)</t>
        </is>
      </c>
      <c r="V177" s="152" t="inlineStr">
        <is>
          <t>FROZEN</t>
        </is>
      </c>
      <c r="W177" s="152" t="inlineStr">
        <is>
          <t>release date + stated time in the document (document)</t>
        </is>
      </c>
      <c r="X177" s="152" t="inlineStr">
        <is>
          <t>CMCSA</t>
        </is>
      </c>
      <c r="Y177" s="152" t="inlineStr">
        <is>
          <t>2026-04-22</t>
        </is>
      </c>
      <c r="Z177" s="152" t="n">
        <v>28.9752</v>
      </c>
      <c r="AA177" s="152" t="inlineStr">
        <is>
          <t>2026-04-23</t>
        </is>
      </c>
      <c r="AB177" s="152" t="n">
        <v>30.09</v>
      </c>
      <c r="AC177" s="152" t="n">
        <v>0.03847460761580832</v>
      </c>
      <c r="AD177" s="152" t="inlineStr">
        <is>
          <t>UP</t>
        </is>
      </c>
      <c r="AE177" s="152" t="inlineStr">
        <is>
          <t>NO</t>
        </is>
      </c>
      <c r="AF177" s="152" t="n">
        <v>0</v>
      </c>
      <c r="AG177" s="152">
        <f>IF($A177="","",IFERROR(INDEX(Company_List!$G$3:$G$207,MATCH($A177,Company_List!$A$3:$A$207,0)),"unassigned"))</f>
        <v/>
      </c>
      <c r="AH177" s="152" t="inlineStr">
        <is>
          <t>Phase 3/Readings/Comcast/CMCSA-USQ_Transcript_2026-04-23.pdf</t>
        </is>
      </c>
      <c r="AI177" s="152" t="n"/>
      <c r="AJ177" s="152" t="inlineStr">
        <is>
          <t>unique filename match</t>
        </is>
      </c>
      <c r="AK177" s="152">
        <f>IF($A177="","",IF(COUNTIFS(Human_Data_Entry!$A$3:$A$525,$A177)&gt;0,"YES","NO"))</f>
        <v/>
      </c>
      <c r="AL177" s="152">
        <f>IF($A177="","",IF(AND($C177&amp;"-"&amp;$D177&gt;=Settings!$B$19,$C177&amp;"-"&amp;$D177&lt;=Settings!$B$20),"IN","OUT"))</f>
        <v/>
      </c>
      <c r="AM177" s="152">
        <f>IF(AND(OR($H177="BUY",$H177="SELL"),ISNUMBER($T177)),$T177,"")</f>
        <v/>
      </c>
      <c r="AN177" s="152">
        <f>IF(AND(OR($H177="BUY",$H177="SELL"),ISNUMBER($AF177)),$AF177,"")</f>
        <v/>
      </c>
      <c r="AO177" s="152">
        <f>IF(ISNUMBER($AM177),ABS(IF(ISNUMBER($G177),$G177,0)-Settings!$B$25),"")</f>
        <v/>
      </c>
      <c r="AP177" s="152">
        <f>IF(ISNUMBER($AO177),$AO177*$AM177,"")</f>
        <v/>
      </c>
      <c r="AQ177" s="152">
        <f>IF(ISNUMBER($AN177),ABS(IF(ISNUMBER($G177),$G177,0)-Settings!$B$25),"")</f>
        <v/>
      </c>
      <c r="AR177" s="152">
        <f>IF(ISNUMBER($AQ177),$AQ177*$AN177,"")</f>
        <v/>
      </c>
      <c r="AS177" s="152">
        <f>IF($A177="","",IFERROR(INDEX(Company_List!$H$3:$H$207,MATCH($A177,Company_List!$A$3:$A$207,0)),"unassigned"))</f>
        <v/>
      </c>
      <c r="AT177" s="152" t="inlineStr">
        <is>
          <t>not in v1</t>
        </is>
      </c>
      <c r="AU177" s="152" t="inlineStr">
        <is>
          <t>no earlier record</t>
        </is>
      </c>
      <c r="AV177" s="152" t="n">
        <v>1</v>
      </c>
      <c r="AW177" s="152" t="inlineStr">
        <is>
          <t>Refinitiv / LSEG StreetEvents</t>
        </is>
      </c>
      <c r="AX177" s="152" t="inlineStr">
        <is>
          <t>licensed vendor</t>
        </is>
      </c>
      <c r="AY177" s="152" t="inlineStr">
        <is>
          <t>no</t>
        </is>
      </c>
      <c r="AZ177" s="152" t="inlineStr">
        <is>
          <t>no</t>
        </is>
      </c>
      <c r="BA177" s="152" t="inlineStr">
        <is>
          <t>YES</t>
        </is>
      </c>
      <c r="BB177" s="152" t="n"/>
    </row>
    <row r="178" ht="15" customHeight="1" s="241">
      <c r="A178" s="191" t="inlineStr">
        <is>
          <t>Comcast Corporation</t>
        </is>
      </c>
      <c r="B178" s="188" t="inlineStr">
        <is>
          <t>CMCSA</t>
        </is>
      </c>
      <c r="C178" s="176" t="n">
        <v>2025</v>
      </c>
      <c r="D178" s="177" t="inlineStr">
        <is>
          <t>Q2</t>
        </is>
      </c>
      <c r="E178" s="178" t="inlineStr">
        <is>
          <t>Ben/DeepSeek</t>
        </is>
      </c>
      <c r="F178" s="177" t="inlineStr">
        <is>
          <t>LLM</t>
        </is>
      </c>
      <c r="G178" s="196" t="n">
        <v>0.1</v>
      </c>
      <c r="H178" s="177" t="inlineStr">
        <is>
          <t>HOLD</t>
        </is>
      </c>
      <c r="I178" s="196" t="n"/>
      <c r="J178" s="182" t="n">
        <v>45868</v>
      </c>
      <c r="K178" s="182" t="n">
        <v>45868</v>
      </c>
      <c r="L178" s="183" t="n">
        <v>30.4592</v>
      </c>
      <c r="M178" s="182" t="n">
        <v>45869</v>
      </c>
      <c r="N178" s="183" t="n">
        <v>31.86</v>
      </c>
      <c r="O178" s="180" t="n">
        <v>0.010375</v>
      </c>
      <c r="P178" s="197" t="n">
        <v>0.045846</v>
      </c>
      <c r="Q178" s="177" t="inlineStr">
        <is>
          <t>UP</t>
        </is>
      </c>
      <c r="R178" s="177" t="inlineStr">
        <is>
          <t>NO</t>
        </is>
      </c>
      <c r="S178" s="176" t="n">
        <v>0</v>
      </c>
      <c r="T178" s="197" t="n">
        <v>0</v>
      </c>
      <c r="U178" s="185" t="inlineStr">
        <is>
          <t>w=[0.80,0.20,0,0] thr=(+0.20,-0.10), deployed default promoted 2026-08-18 (PSR=0.964, permutation p=0.0002 at N=233, restricted search - see blend.py)</t>
        </is>
      </c>
      <c r="V178" s="152" t="inlineStr">
        <is>
          <t>FROZEN</t>
        </is>
      </c>
      <c r="W178" s="152" t="inlineStr">
        <is>
          <t>release date + stated time in the document (document)</t>
        </is>
      </c>
      <c r="X178" s="152" t="inlineStr">
        <is>
          <t>CMCSA</t>
        </is>
      </c>
      <c r="Y178" s="152" t="inlineStr">
        <is>
          <t>2025-07-30</t>
        </is>
      </c>
      <c r="Z178" s="152" t="n">
        <v>29.0518</v>
      </c>
      <c r="AA178" s="152" t="inlineStr">
        <is>
          <t>2025-07-31</t>
        </is>
      </c>
      <c r="AB178" s="152" t="n">
        <v>30.3838</v>
      </c>
      <c r="AC178" s="152" t="n">
        <v>0.04584623937001522</v>
      </c>
      <c r="AD178" s="152" t="inlineStr">
        <is>
          <t>UP</t>
        </is>
      </c>
      <c r="AE178" s="152" t="inlineStr">
        <is>
          <t>NO</t>
        </is>
      </c>
      <c r="AF178" s="152" t="n">
        <v>0</v>
      </c>
      <c r="AG178" s="152">
        <f>IF($A178="","",IFERROR(INDEX(Company_List!$G$3:$G$207,MATCH($A178,Company_List!$A$3:$A$207,0)),"unassigned"))</f>
        <v/>
      </c>
      <c r="AH178" s="152" t="inlineStr">
        <is>
          <t>Phase 3/Readings/Comcast/CMCSA-USQ_Transcript_2025-07-31.pdf</t>
        </is>
      </c>
      <c r="AI178" s="152" t="n"/>
      <c r="AJ178" s="152" t="inlineStr">
        <is>
          <t>unique filename match</t>
        </is>
      </c>
      <c r="AK178" s="152">
        <f>IF($A178="","",IF(COUNTIFS(Human_Data_Entry!$A$3:$A$525,$A178)&gt;0,"YES","NO"))</f>
        <v/>
      </c>
      <c r="AL178" s="152">
        <f>IF($A178="","",IF(AND($C178&amp;"-"&amp;$D178&gt;=Settings!$B$19,$C178&amp;"-"&amp;$D178&lt;=Settings!$B$20),"IN","OUT"))</f>
        <v/>
      </c>
      <c r="AM178" s="152">
        <f>IF(AND(OR($H178="BUY",$H178="SELL"),ISNUMBER($T178)),$T178,"")</f>
        <v/>
      </c>
      <c r="AN178" s="152">
        <f>IF(AND(OR($H178="BUY",$H178="SELL"),ISNUMBER($AF178)),$AF178,"")</f>
        <v/>
      </c>
      <c r="AO178" s="152">
        <f>IF(ISNUMBER($AM178),ABS(IF(ISNUMBER($G178),$G178,0)-Settings!$B$25),"")</f>
        <v/>
      </c>
      <c r="AP178" s="152">
        <f>IF(ISNUMBER($AO178),$AO178*$AM178,"")</f>
        <v/>
      </c>
      <c r="AQ178" s="152">
        <f>IF(ISNUMBER($AN178),ABS(IF(ISNUMBER($G178),$G178,0)-Settings!$B$25),"")</f>
        <v/>
      </c>
      <c r="AR178" s="152">
        <f>IF(ISNUMBER($AQ178),$AQ178*$AN178,"")</f>
        <v/>
      </c>
      <c r="AS178" s="152">
        <f>IF($A178="","",IFERROR(INDEX(Company_List!$H$3:$H$207,MATCH($A178,Company_List!$A$3:$A$207,0)),"unassigned"))</f>
        <v/>
      </c>
      <c r="AT178" s="152" t="inlineStr">
        <is>
          <t>not in v1</t>
        </is>
      </c>
      <c r="AU178" s="152" t="inlineStr">
        <is>
          <t>no earlier record</t>
        </is>
      </c>
      <c r="AV178" s="152" t="n">
        <v>1</v>
      </c>
      <c r="AW178" s="152" t="inlineStr">
        <is>
          <t>Refinitiv / LSEG StreetEvents</t>
        </is>
      </c>
      <c r="AX178" s="152" t="inlineStr">
        <is>
          <t>licensed vendor</t>
        </is>
      </c>
      <c r="AY178" s="152" t="inlineStr">
        <is>
          <t>no</t>
        </is>
      </c>
      <c r="AZ178" s="152" t="inlineStr">
        <is>
          <t>no</t>
        </is>
      </c>
      <c r="BA178" s="152" t="inlineStr">
        <is>
          <t>YES</t>
        </is>
      </c>
      <c r="BB178" s="152" t="n"/>
    </row>
    <row r="179" ht="15" customHeight="1" s="241">
      <c r="A179" s="191" t="inlineStr">
        <is>
          <t>Comcast Corporation</t>
        </is>
      </c>
      <c r="B179" s="188" t="inlineStr">
        <is>
          <t>CMCSA</t>
        </is>
      </c>
      <c r="C179" s="176" t="n">
        <v>2025</v>
      </c>
      <c r="D179" s="177" t="inlineStr">
        <is>
          <t>Q4</t>
        </is>
      </c>
      <c r="E179" s="178" t="inlineStr">
        <is>
          <t>Ben/DeepSeek</t>
        </is>
      </c>
      <c r="F179" s="177" t="inlineStr">
        <is>
          <t>LLM</t>
        </is>
      </c>
      <c r="G179" s="196" t="n">
        <v>-0.19</v>
      </c>
      <c r="H179" s="177" t="inlineStr">
        <is>
          <t>SELL</t>
        </is>
      </c>
      <c r="I179" s="196" t="n"/>
      <c r="J179" s="182" t="n">
        <v>46050</v>
      </c>
      <c r="K179" s="182" t="n">
        <v>46050</v>
      </c>
      <c r="L179" s="183" t="n">
        <v>28.41</v>
      </c>
      <c r="M179" s="182" t="n">
        <v>46051</v>
      </c>
      <c r="N179" s="183" t="n">
        <v>27.63</v>
      </c>
      <c r="O179" s="180" t="n">
        <v>0.010751</v>
      </c>
      <c r="P179" s="197" t="n">
        <v>-0.027455</v>
      </c>
      <c r="Q179" s="177" t="inlineStr">
        <is>
          <t>DOWN</t>
        </is>
      </c>
      <c r="R179" s="177" t="inlineStr">
        <is>
          <t>YES</t>
        </is>
      </c>
      <c r="S179" s="176" t="n">
        <v>-1</v>
      </c>
      <c r="T179" s="197" t="n">
        <v>0.026455</v>
      </c>
      <c r="U179" s="185" t="inlineStr">
        <is>
          <t>w=[0.80,0.20,0,0] thr=(+0.20,-0.10), deployed default promoted 2026-08-18 (PSR=0.964, permutation p=0.0002 at N=233, restricted search - see blend.py)</t>
        </is>
      </c>
      <c r="V179" s="152" t="inlineStr">
        <is>
          <t>FROZEN</t>
        </is>
      </c>
      <c r="W179" s="152" t="inlineStr">
        <is>
          <t>earnings calendar, seconded independently</t>
        </is>
      </c>
      <c r="X179" s="152" t="inlineStr">
        <is>
          <t>CMCSA</t>
        </is>
      </c>
      <c r="Y179" s="152" t="inlineStr">
        <is>
          <t>2026-01-28</t>
        </is>
      </c>
      <c r="Z179" s="152" t="n">
        <v>27.706</v>
      </c>
      <c r="AA179" s="152" t="inlineStr">
        <is>
          <t>2026-01-29</t>
        </is>
      </c>
      <c r="AB179" s="152" t="n">
        <v>26.9453</v>
      </c>
      <c r="AC179" s="152" t="n">
        <v>-0.02745509297290409</v>
      </c>
      <c r="AD179" s="152" t="inlineStr">
        <is>
          <t>DOWN</t>
        </is>
      </c>
      <c r="AE179" s="152" t="inlineStr">
        <is>
          <t>YES</t>
        </is>
      </c>
      <c r="AF179" s="152" t="n">
        <v>0.026455</v>
      </c>
      <c r="AG179" s="152">
        <f>IF($A179="","",IFERROR(INDEX(Company_List!$G$3:$G$207,MATCH($A179,Company_List!$A$3:$A$207,0)),"unassigned"))</f>
        <v/>
      </c>
      <c r="AH179" s="152" t="inlineStr">
        <is>
          <t>Phase 3/Readings/Comcast/2025-Q4/CMCSA-2025-Q4-press-release-SEC-EX-99-1.htm; Phase 3/Readings/Comcast/2025-Q4/CMCSA-2025-Q4-earnings-call-transcript-fool-com.html</t>
        </is>
      </c>
      <c r="AI179" s="152" t="inlineStr">
        <is>
          <t>https://www.fool.com/earnings/call-transcripts/2026/01/29/comcast-cmcsa-q4-2025-earnings-call-transcript/; https://www.sec.gov/Archives/edgar/data/1166691/000162828026003964/ex991-12312025.htm</t>
        </is>
      </c>
      <c r="AJ179" s="152" t="inlineStr">
        <is>
          <t>manifest (whole bundle)</t>
        </is>
      </c>
      <c r="AK179" s="152">
        <f>IF($A179="","",IF(COUNTIFS(Human_Data_Entry!$A$3:$A$525,$A179)&gt;0,"YES","NO"))</f>
        <v/>
      </c>
      <c r="AL179" s="152">
        <f>IF($A179="","",IF(AND($C179&amp;"-"&amp;$D179&gt;=Settings!$B$19,$C179&amp;"-"&amp;$D179&lt;=Settings!$B$20),"IN","OUT"))</f>
        <v/>
      </c>
      <c r="AM179" s="152">
        <f>IF(AND(OR($H179="BUY",$H179="SELL"),ISNUMBER($T179)),$T179,"")</f>
        <v/>
      </c>
      <c r="AN179" s="152">
        <f>IF(AND(OR($H179="BUY",$H179="SELL"),ISNUMBER($AF179)),$AF179,"")</f>
        <v/>
      </c>
      <c r="AO179" s="152">
        <f>IF(ISNUMBER($AM179),ABS(IF(ISNUMBER($G179),$G179,0)-Settings!$B$25),"")</f>
        <v/>
      </c>
      <c r="AP179" s="152">
        <f>IF(ISNUMBER($AO179),$AO179*$AM179,"")</f>
        <v/>
      </c>
      <c r="AQ179" s="152">
        <f>IF(ISNUMBER($AN179),ABS(IF(ISNUMBER($G179),$G179,0)-Settings!$B$25),"")</f>
        <v/>
      </c>
      <c r="AR179" s="152">
        <f>IF(ISNUMBER($AQ179),$AQ179*$AN179,"")</f>
        <v/>
      </c>
      <c r="AS179" s="152">
        <f>IF($A179="","",IFERROR(INDEX(Company_List!$H$3:$H$207,MATCH($A179,Company_List!$A$3:$A$207,0)),"unassigned"))</f>
        <v/>
      </c>
      <c r="AT179" s="152" t="inlineStr">
        <is>
          <t>not in v1</t>
        </is>
      </c>
      <c r="AU179" s="152" t="inlineStr">
        <is>
          <t>no earlier record</t>
        </is>
      </c>
      <c r="AV179" s="152" t="n">
        <v>2</v>
      </c>
      <c r="AW179" s="152" t="inlineStr">
        <is>
          <t>The Motley Fool</t>
        </is>
      </c>
      <c r="AX179" s="152" t="inlineStr">
        <is>
          <t>free to read, copyright asserted</t>
        </is>
      </c>
      <c r="AY179" s="152" t="inlineStr">
        <is>
          <t>no</t>
        </is>
      </c>
      <c r="AZ179" s="152" t="inlineStr">
        <is>
          <t>yes</t>
        </is>
      </c>
      <c r="BA179" s="152" t="inlineStr">
        <is>
          <t>YES</t>
        </is>
      </c>
      <c r="BB179" s="152" t="n"/>
    </row>
    <row r="180" ht="15" customHeight="1" s="241">
      <c r="A180" s="191" t="inlineStr">
        <is>
          <t>Dell</t>
        </is>
      </c>
      <c r="B180" s="188" t="inlineStr">
        <is>
          <t>DELL</t>
        </is>
      </c>
      <c r="C180" s="176" t="n">
        <v>2025</v>
      </c>
      <c r="D180" s="177" t="inlineStr">
        <is>
          <t>Q1</t>
        </is>
      </c>
      <c r="E180" s="178" t="inlineStr">
        <is>
          <t>Ben/DeepSeek</t>
        </is>
      </c>
      <c r="F180" s="177" t="inlineStr">
        <is>
          <t>LLM</t>
        </is>
      </c>
      <c r="G180" s="196" t="n">
        <v>0.14</v>
      </c>
      <c r="H180" s="177" t="inlineStr">
        <is>
          <t>HOLD</t>
        </is>
      </c>
      <c r="I180" s="196" t="n"/>
      <c r="J180" s="182" t="n">
        <v>45806</v>
      </c>
      <c r="K180" s="182" t="n">
        <v>45806</v>
      </c>
      <c r="L180" s="183" t="n">
        <v>113.63</v>
      </c>
      <c r="M180" s="182" t="n">
        <v>45807</v>
      </c>
      <c r="N180" s="183" t="n">
        <v>112.48</v>
      </c>
      <c r="O180" s="180" t="n">
        <v>0.008055</v>
      </c>
      <c r="P180" s="197" t="n">
        <v>-0.010121</v>
      </c>
      <c r="Q180" s="177" t="inlineStr">
        <is>
          <t>FLAT</t>
        </is>
      </c>
      <c r="R180" s="177" t="inlineStr">
        <is>
          <t>YES</t>
        </is>
      </c>
      <c r="S180" s="176" t="n">
        <v>0</v>
      </c>
      <c r="T180" s="197" t="n">
        <v>0</v>
      </c>
      <c r="U180" s="185" t="inlineStr">
        <is>
          <t>w=[0.80,0.20,0,0] thr=(+0.20,-0.10), deployed default promoted 2026-08-18 (PSR=0.964, permutation p=0.0002 at N=233, restricted search - see blend.py)</t>
        </is>
      </c>
      <c r="V180" s="152" t="inlineStr">
        <is>
          <t>FROZEN</t>
        </is>
      </c>
      <c r="W180" s="152" t="inlineStr">
        <is>
          <t>EDGAR acceptance timestamp on the Item 2.02 8-K</t>
        </is>
      </c>
      <c r="X180" s="152" t="inlineStr">
        <is>
          <t>DELL</t>
        </is>
      </c>
      <c r="Y180" s="152" t="inlineStr">
        <is>
          <t>2025-05-29</t>
        </is>
      </c>
      <c r="Z180" s="152" t="n">
        <v>111.7435</v>
      </c>
      <c r="AA180" s="152" t="inlineStr">
        <is>
          <t>2025-05-30</t>
        </is>
      </c>
      <c r="AB180" s="152" t="n">
        <v>110.6126</v>
      </c>
      <c r="AC180" s="152" t="n">
        <v>-0.01012049540171797</v>
      </c>
      <c r="AD180" s="152" t="inlineStr">
        <is>
          <t>FLAT</t>
        </is>
      </c>
      <c r="AE180" s="152" t="inlineStr">
        <is>
          <t>NO</t>
        </is>
      </c>
      <c r="AF180" s="152" t="n">
        <v>0.00912</v>
      </c>
      <c r="AG180" s="152">
        <f>IF($A180="","",IFERROR(INDEX(Company_List!$G$3:$G$207,MATCH($A180,Company_List!$A$3:$A$207,0)),"unassigned"))</f>
        <v/>
      </c>
      <c r="AH180" s="152" t="inlineStr">
        <is>
          <t>Phase 3/Readings/Dell/Q1/Q1 FY25 Performance Review (2).pdf; Phase 3/Readings/Dell/Q1/Q1 FY25 Financial Tables.pdf; Phase 3/Readings/Dell/Q1/Q1 FY25 Financial Results Press Release.pdf; Phase 3/Readings/Dell/Q1/DELL Q1FY25 Earnings Transcript.pdf</t>
        </is>
      </c>
      <c r="AI180" s="152" t="n"/>
      <c r="AJ180" s="152" t="inlineStr">
        <is>
          <t>whole bundle (Document = All)</t>
        </is>
      </c>
      <c r="AK180" s="152">
        <f>IF($A180="","",IF(COUNTIFS(Human_Data_Entry!$A$3:$A$525,$A180)&gt;0,"YES","NO"))</f>
        <v/>
      </c>
      <c r="AL180" s="152">
        <f>IF($A180="","",IF(AND($C180&amp;"-"&amp;$D180&gt;=Settings!$B$19,$C180&amp;"-"&amp;$D180&lt;=Settings!$B$20),"IN","OUT"))</f>
        <v/>
      </c>
      <c r="AM180" s="152">
        <f>IF(AND(OR($H180="BUY",$H180="SELL"),ISNUMBER($T180)),$T180,"")</f>
        <v/>
      </c>
      <c r="AN180" s="152">
        <f>IF(AND(OR($H180="BUY",$H180="SELL"),ISNUMBER($AF180)),$AF180,"")</f>
        <v/>
      </c>
      <c r="AO180" s="152">
        <f>IF(ISNUMBER($AM180),ABS(IF(ISNUMBER($G180),$G180,0)-Settings!$B$25),"")</f>
        <v/>
      </c>
      <c r="AP180" s="152">
        <f>IF(ISNUMBER($AO180),$AO180*$AM180,"")</f>
        <v/>
      </c>
      <c r="AQ180" s="152">
        <f>IF(ISNUMBER($AN180),ABS(IF(ISNUMBER($G180),$G180,0)-Settings!$B$25),"")</f>
        <v/>
      </c>
      <c r="AR180" s="152">
        <f>IF(ISNUMBER($AQ180),$AQ180*$AN180,"")</f>
        <v/>
      </c>
      <c r="AS180" s="152">
        <f>IF($A180="","",IFERROR(INDEX(Company_List!$H$3:$H$207,MATCH($A180,Company_List!$A$3:$A$207,0)),"unassigned"))</f>
        <v/>
      </c>
      <c r="AT180" s="152" t="inlineStr">
        <is>
          <t>not in v1</t>
        </is>
      </c>
      <c r="AU180" s="152" t="inlineStr">
        <is>
          <t>no earlier record</t>
        </is>
      </c>
      <c r="AV180" s="152" t="n">
        <v>4</v>
      </c>
      <c r="AW180" s="152" t="inlineStr">
        <is>
          <t>not publisher-identified</t>
        </is>
      </c>
      <c r="AX180" s="152" t="inlineStr">
        <is>
          <t>not publisher-identified</t>
        </is>
      </c>
      <c r="AY180" s="152" t="inlineStr">
        <is>
          <t>no</t>
        </is>
      </c>
      <c r="AZ180" s="152" t="inlineStr">
        <is>
          <t>no</t>
        </is>
      </c>
      <c r="BA180" s="152" t="inlineStr">
        <is>
          <t>YES</t>
        </is>
      </c>
      <c r="BB180" s="152" t="n"/>
    </row>
    <row r="181" ht="15" customHeight="1" s="241">
      <c r="A181" s="191" t="inlineStr">
        <is>
          <t>Dell</t>
        </is>
      </c>
      <c r="B181" s="188" t="inlineStr">
        <is>
          <t>DELL</t>
        </is>
      </c>
      <c r="C181" s="176" t="n">
        <v>2025</v>
      </c>
      <c r="D181" s="177" t="inlineStr">
        <is>
          <t>Q3</t>
        </is>
      </c>
      <c r="E181" s="178" t="inlineStr">
        <is>
          <t>Ben/DeepSeek</t>
        </is>
      </c>
      <c r="F181" s="177" t="inlineStr">
        <is>
          <t>LLM</t>
        </is>
      </c>
      <c r="G181" s="196" t="n">
        <v>0.46</v>
      </c>
      <c r="H181" s="177" t="inlineStr">
        <is>
          <t>BUY</t>
        </is>
      </c>
      <c r="I181" s="196" t="n"/>
      <c r="J181" s="182" t="n">
        <v>45986</v>
      </c>
      <c r="K181" s="182" t="n">
        <v>45986</v>
      </c>
      <c r="L181" s="183" t="n">
        <v>125.92</v>
      </c>
      <c r="M181" s="182" t="n">
        <v>45987</v>
      </c>
      <c r="N181" s="183" t="n">
        <v>133.58</v>
      </c>
      <c r="O181" s="180" t="n">
        <v>0.008812</v>
      </c>
      <c r="P181" s="197" t="n">
        <v>0.060832</v>
      </c>
      <c r="Q181" s="177" t="inlineStr">
        <is>
          <t>UP</t>
        </is>
      </c>
      <c r="R181" s="177" t="inlineStr">
        <is>
          <t>YES</t>
        </is>
      </c>
      <c r="S181" s="176" t="n">
        <v>1</v>
      </c>
      <c r="T181" s="197" t="n">
        <v>0.059832</v>
      </c>
      <c r="U181" s="185" t="inlineStr">
        <is>
          <t>w=[0.80,0.20,0,0] thr=(+0.20,-0.10), deployed default promoted 2026-08-18 (PSR=0.964, permutation p=0.0002 at N=233, restricted search - see blend.py)</t>
        </is>
      </c>
      <c r="V181" s="152" t="inlineStr">
        <is>
          <t>FROZEN</t>
        </is>
      </c>
      <c r="W181" s="152" t="inlineStr">
        <is>
          <t>EDGAR acceptance timestamp on the Item 2.02 8-K</t>
        </is>
      </c>
      <c r="X181" s="152" t="inlineStr">
        <is>
          <t>DELL</t>
        </is>
      </c>
      <c r="Y181" s="152" t="inlineStr">
        <is>
          <t>2025-11-25</t>
        </is>
      </c>
      <c r="Z181" s="152" t="n">
        <v>124.7786</v>
      </c>
      <c r="AA181" s="152" t="inlineStr">
        <is>
          <t>2025-11-26</t>
        </is>
      </c>
      <c r="AB181" s="152" t="n">
        <v>132.3692</v>
      </c>
      <c r="AC181" s="152" t="n">
        <v>0.06083227510001989</v>
      </c>
      <c r="AD181" s="152" t="inlineStr">
        <is>
          <t>UP</t>
        </is>
      </c>
      <c r="AE181" s="152" t="inlineStr">
        <is>
          <t>YES</t>
        </is>
      </c>
      <c r="AF181" s="152" t="n">
        <v>0.059832</v>
      </c>
      <c r="AG181" s="152">
        <f>IF($A181="","",IFERROR(INDEX(Company_List!$G$3:$G$207,MATCH($A181,Company_List!$A$3:$A$207,0)),"unassigned"))</f>
        <v/>
      </c>
      <c r="AH181" s="152" t="inlineStr">
        <is>
          <t>Phase 3/Readings/Dell/Q3/Q3 FY25 Performance Review.pdf; Phase 3/Readings/Dell/Q3/Q3 FY25 Financial Tables.pdf; Phase 3/Readings/Dell/Q3/Q3 FY25 Financial Results Press Release.pdf; Phase 3/Readings/Dell/Q3/DELL Q3FY25 Earnings Transcript.pdf</t>
        </is>
      </c>
      <c r="AI181" s="152" t="n"/>
      <c r="AJ181" s="152" t="inlineStr">
        <is>
          <t>whole bundle (Document = All)</t>
        </is>
      </c>
      <c r="AK181" s="152">
        <f>IF($A181="","",IF(COUNTIFS(Human_Data_Entry!$A$3:$A$525,$A181)&gt;0,"YES","NO"))</f>
        <v/>
      </c>
      <c r="AL181" s="152">
        <f>IF($A181="","",IF(AND($C181&amp;"-"&amp;$D181&gt;=Settings!$B$19,$C181&amp;"-"&amp;$D181&lt;=Settings!$B$20),"IN","OUT"))</f>
        <v/>
      </c>
      <c r="AM181" s="152">
        <f>IF(AND(OR($H181="BUY",$H181="SELL"),ISNUMBER($T181)),$T181,"")</f>
        <v/>
      </c>
      <c r="AN181" s="152">
        <f>IF(AND(OR($H181="BUY",$H181="SELL"),ISNUMBER($AF181)),$AF181,"")</f>
        <v/>
      </c>
      <c r="AO181" s="152">
        <f>IF(ISNUMBER($AM181),ABS(IF(ISNUMBER($G181),$G181,0)-Settings!$B$25),"")</f>
        <v/>
      </c>
      <c r="AP181" s="152">
        <f>IF(ISNUMBER($AO181),$AO181*$AM181,"")</f>
        <v/>
      </c>
      <c r="AQ181" s="152">
        <f>IF(ISNUMBER($AN181),ABS(IF(ISNUMBER($G181),$G181,0)-Settings!$B$25),"")</f>
        <v/>
      </c>
      <c r="AR181" s="152">
        <f>IF(ISNUMBER($AQ181),$AQ181*$AN181,"")</f>
        <v/>
      </c>
      <c r="AS181" s="152">
        <f>IF($A181="","",IFERROR(INDEX(Company_List!$H$3:$H$207,MATCH($A181,Company_List!$A$3:$A$207,0)),"unassigned"))</f>
        <v/>
      </c>
      <c r="AT181" s="152" t="inlineStr">
        <is>
          <t>not in v1</t>
        </is>
      </c>
      <c r="AU181" s="152" t="inlineStr">
        <is>
          <t>no earlier record</t>
        </is>
      </c>
      <c r="AV181" s="152" t="n">
        <v>4</v>
      </c>
      <c r="AW181" s="152" t="inlineStr">
        <is>
          <t>not publisher-identified</t>
        </is>
      </c>
      <c r="AX181" s="152" t="inlineStr">
        <is>
          <t>not publisher-identified</t>
        </is>
      </c>
      <c r="AY181" s="152" t="inlineStr">
        <is>
          <t>no</t>
        </is>
      </c>
      <c r="AZ181" s="152" t="inlineStr">
        <is>
          <t>no</t>
        </is>
      </c>
      <c r="BA181" s="152" t="inlineStr">
        <is>
          <t>YES</t>
        </is>
      </c>
      <c r="BB181" s="152" t="n"/>
    </row>
    <row r="182" ht="15" customHeight="1" s="241">
      <c r="A182" s="191" t="inlineStr">
        <is>
          <t>Dell</t>
        </is>
      </c>
      <c r="B182" s="188" t="inlineStr">
        <is>
          <t>DELL</t>
        </is>
      </c>
      <c r="C182" s="176" t="n">
        <v>2025</v>
      </c>
      <c r="D182" s="177" t="inlineStr">
        <is>
          <t>Q4</t>
        </is>
      </c>
      <c r="E182" s="178" t="inlineStr">
        <is>
          <t>Ben/DeepSeek</t>
        </is>
      </c>
      <c r="F182" s="177" t="inlineStr">
        <is>
          <t>LLM</t>
        </is>
      </c>
      <c r="G182" s="196" t="n">
        <v>0.42</v>
      </c>
      <c r="H182" s="177" t="inlineStr">
        <is>
          <t>BUY</t>
        </is>
      </c>
      <c r="I182" s="196" t="n"/>
      <c r="J182" s="182" t="n">
        <v>46079</v>
      </c>
      <c r="K182" s="182" t="n">
        <v>46079</v>
      </c>
      <c r="L182" s="183" t="n">
        <v>121.45</v>
      </c>
      <c r="M182" s="182" t="n">
        <v>46080</v>
      </c>
      <c r="N182" s="183" t="n">
        <v>137.37</v>
      </c>
      <c r="O182" s="180" t="n">
        <v>0.009397000000000001</v>
      </c>
      <c r="P182" s="197" t="n">
        <v>0.131083</v>
      </c>
      <c r="Q182" s="177" t="inlineStr">
        <is>
          <t>UP</t>
        </is>
      </c>
      <c r="R182" s="177" t="inlineStr">
        <is>
          <t>YES</t>
        </is>
      </c>
      <c r="S182" s="176" t="n">
        <v>1</v>
      </c>
      <c r="T182" s="197" t="n">
        <v>0.130083</v>
      </c>
      <c r="U182" s="185" t="inlineStr">
        <is>
          <t>w=[0.80,0.20,0,0] thr=(+0.20,-0.10), deployed default promoted 2026-08-18 (PSR=0.964, permutation p=0.0002 at N=233, restricted search - see blend.py)</t>
        </is>
      </c>
      <c r="V182" s="152" t="inlineStr">
        <is>
          <t>FROZEN</t>
        </is>
      </c>
      <c r="W182" s="152" t="inlineStr">
        <is>
          <t>price signal, re-derived — only this window shows an abnormal move</t>
        </is>
      </c>
      <c r="X182" s="152" t="inlineStr">
        <is>
          <t>DELL</t>
        </is>
      </c>
      <c r="Y182" s="152" t="inlineStr">
        <is>
          <t>2026-02-26</t>
        </is>
      </c>
      <c r="Z182" s="152" t="n">
        <v>120.8756</v>
      </c>
      <c r="AA182" s="152" t="inlineStr">
        <is>
          <t>2026-02-27</t>
        </is>
      </c>
      <c r="AB182" s="152" t="n">
        <v>136.7203</v>
      </c>
      <c r="AC182" s="152" t="n">
        <v>0.1310828116306988</v>
      </c>
      <c r="AD182" s="152" t="inlineStr">
        <is>
          <t>UP</t>
        </is>
      </c>
      <c r="AE182" s="152" t="inlineStr">
        <is>
          <t>YES</t>
        </is>
      </c>
      <c r="AF182" s="152" t="n">
        <v>0.130083</v>
      </c>
      <c r="AG182" s="152">
        <f>IF($A182="","",IFERROR(INDEX(Company_List!$G$3:$G$207,MATCH($A182,Company_List!$A$3:$A$207,0)),"unassigned"))</f>
        <v/>
      </c>
      <c r="AH182" s="152" t="inlineStr">
        <is>
          <t>Phase 3/Readings/Dell/Q4/Q4 FY25 Financial Tables.pdf; Phase 3/Readings/Dell/Q4/Q4 FY25 Financial Results Press Release.pdf; Phase 3/Readings/Dell/Q4/DELL Q4FY25 Earnings Transcript.pdf</t>
        </is>
      </c>
      <c r="AI182" s="152" t="n"/>
      <c r="AJ182" s="152" t="inlineStr">
        <is>
          <t>whole bundle (Document = All)</t>
        </is>
      </c>
      <c r="AK182" s="152">
        <f>IF($A182="","",IF(COUNTIFS(Human_Data_Entry!$A$3:$A$525,$A182)&gt;0,"YES","NO"))</f>
        <v/>
      </c>
      <c r="AL182" s="152">
        <f>IF($A182="","",IF(AND($C182&amp;"-"&amp;$D182&gt;=Settings!$B$19,$C182&amp;"-"&amp;$D182&lt;=Settings!$B$20),"IN","OUT"))</f>
        <v/>
      </c>
      <c r="AM182" s="152">
        <f>IF(AND(OR($H182="BUY",$H182="SELL"),ISNUMBER($T182)),$T182,"")</f>
        <v/>
      </c>
      <c r="AN182" s="152">
        <f>IF(AND(OR($H182="BUY",$H182="SELL"),ISNUMBER($AF182)),$AF182,"")</f>
        <v/>
      </c>
      <c r="AO182" s="152">
        <f>IF(ISNUMBER($AM182),ABS(IF(ISNUMBER($G182),$G182,0)-Settings!$B$25),"")</f>
        <v/>
      </c>
      <c r="AP182" s="152">
        <f>IF(ISNUMBER($AO182),$AO182*$AM182,"")</f>
        <v/>
      </c>
      <c r="AQ182" s="152">
        <f>IF(ISNUMBER($AN182),ABS(IF(ISNUMBER($G182),$G182,0)-Settings!$B$25),"")</f>
        <v/>
      </c>
      <c r="AR182" s="152">
        <f>IF(ISNUMBER($AQ182),$AQ182*$AN182,"")</f>
        <v/>
      </c>
      <c r="AS182" s="152">
        <f>IF($A182="","",IFERROR(INDEX(Company_List!$H$3:$H$207,MATCH($A182,Company_List!$A$3:$A$207,0)),"unassigned"))</f>
        <v/>
      </c>
      <c r="AT182" s="152" t="inlineStr">
        <is>
          <t>not in v1</t>
        </is>
      </c>
      <c r="AU182" s="152" t="inlineStr">
        <is>
          <t>no earlier record</t>
        </is>
      </c>
      <c r="AV182" s="152" t="n">
        <v>3</v>
      </c>
      <c r="AW182" s="152" t="inlineStr">
        <is>
          <t>not publisher-identified</t>
        </is>
      </c>
      <c r="AX182" s="152" t="inlineStr">
        <is>
          <t>not publisher-identified</t>
        </is>
      </c>
      <c r="AY182" s="152" t="inlineStr">
        <is>
          <t>no</t>
        </is>
      </c>
      <c r="AZ182" s="152" t="inlineStr">
        <is>
          <t>no</t>
        </is>
      </c>
      <c r="BA182" s="152" t="inlineStr">
        <is>
          <t>YES</t>
        </is>
      </c>
      <c r="BB182" s="152" t="n"/>
    </row>
    <row r="183" ht="15" customHeight="1" s="241">
      <c r="A183" s="191" t="inlineStr">
        <is>
          <t>Delta Air Lines</t>
        </is>
      </c>
      <c r="B183" s="188" t="inlineStr">
        <is>
          <t>DAL</t>
        </is>
      </c>
      <c r="C183" s="176" t="n">
        <v>2025</v>
      </c>
      <c r="D183" s="177" t="inlineStr">
        <is>
          <t>Q1</t>
        </is>
      </c>
      <c r="E183" s="178" t="inlineStr">
        <is>
          <t>Ben/DeepSeek</t>
        </is>
      </c>
      <c r="F183" s="177" t="inlineStr">
        <is>
          <t>LLM</t>
        </is>
      </c>
      <c r="G183" s="196" t="n">
        <v>-0.46</v>
      </c>
      <c r="H183" s="177" t="inlineStr">
        <is>
          <t>SELL</t>
        </is>
      </c>
      <c r="I183" s="196" t="n"/>
      <c r="J183" s="182" t="n">
        <v>45756</v>
      </c>
      <c r="K183" s="182" t="n">
        <v>45755</v>
      </c>
      <c r="L183" s="183" t="n">
        <v>35.88</v>
      </c>
      <c r="M183" s="182" t="n">
        <v>45756</v>
      </c>
      <c r="N183" s="183" t="n">
        <v>36.91</v>
      </c>
      <c r="O183" s="180" t="n">
        <v>0.012117</v>
      </c>
      <c r="P183" s="197" t="n">
        <v>0.028707</v>
      </c>
      <c r="Q183" s="177" t="inlineStr">
        <is>
          <t>UP</t>
        </is>
      </c>
      <c r="R183" s="177" t="inlineStr">
        <is>
          <t>NO</t>
        </is>
      </c>
      <c r="S183" s="176" t="n">
        <v>-1</v>
      </c>
      <c r="T183" s="197" t="n">
        <v>-0.029707</v>
      </c>
      <c r="U183" s="185" t="inlineStr">
        <is>
          <t>w=[0.80,0.20,0,0] thr=(+0.20,-0.10), deployed default promoted 2026-08-18 (PSR=0.964, permutation p=0.0002 at N=233, restricted search - see blend.py)</t>
        </is>
      </c>
      <c r="V183" s="152" t="inlineStr">
        <is>
          <t>FROZEN</t>
        </is>
      </c>
      <c r="W183" s="152" t="inlineStr">
        <is>
          <t>price signal, re-derived — both moved; this one dominates</t>
        </is>
      </c>
      <c r="X183" s="152" t="inlineStr">
        <is>
          <t>DAL</t>
        </is>
      </c>
      <c r="Y183" s="152" t="inlineStr">
        <is>
          <t>2025-04-08</t>
        </is>
      </c>
      <c r="Z183" s="152" t="n">
        <v>35.2635</v>
      </c>
      <c r="AA183" s="152" t="inlineStr">
        <is>
          <t>2025-04-09</t>
        </is>
      </c>
      <c r="AB183" s="152" t="n">
        <v>36.2758</v>
      </c>
      <c r="AC183" s="152" t="n">
        <v>0.02870683073156623</v>
      </c>
      <c r="AD183" s="152" t="inlineStr">
        <is>
          <t>UP</t>
        </is>
      </c>
      <c r="AE183" s="152" t="inlineStr">
        <is>
          <t>NO</t>
        </is>
      </c>
      <c r="AF183" s="152" t="n">
        <v>-0.029707</v>
      </c>
      <c r="AG183" s="152">
        <f>IF($A183="","",IFERROR(INDEX(Company_List!$G$3:$G$207,MATCH($A183,Company_List!$A$3:$A$207,0)),"unassigned"))</f>
        <v/>
      </c>
      <c r="AH183" s="152" t="inlineStr">
        <is>
          <t>Phase 3/Readings/Delta/2025-Q1/DAL-2025-Q1-press-release-SEC-EX-99-1.htm</t>
        </is>
      </c>
      <c r="AI183" s="152" t="inlineStr">
        <is>
          <t>https://www.sec.gov/Archives/edgar/data/27904/000168316825002353/delta_ex9901.htm</t>
        </is>
      </c>
      <c r="AJ183" s="152" t="inlineStr">
        <is>
          <t>manifest</t>
        </is>
      </c>
      <c r="AK183" s="152">
        <f>IF($A183="","",IF(COUNTIFS(Human_Data_Entry!$A$3:$A$525,$A183)&gt;0,"YES","NO"))</f>
        <v/>
      </c>
      <c r="AL183" s="152">
        <f>IF($A183="","",IF(AND($C183&amp;"-"&amp;$D183&gt;=Settings!$B$19,$C183&amp;"-"&amp;$D183&lt;=Settings!$B$20),"IN","OUT"))</f>
        <v/>
      </c>
      <c r="AM183" s="152">
        <f>IF(AND(OR($H183="BUY",$H183="SELL"),ISNUMBER($T183)),$T183,"")</f>
        <v/>
      </c>
      <c r="AN183" s="152">
        <f>IF(AND(OR($H183="BUY",$H183="SELL"),ISNUMBER($AF183)),$AF183,"")</f>
        <v/>
      </c>
      <c r="AO183" s="152">
        <f>IF(ISNUMBER($AM183),ABS(IF(ISNUMBER($G183),$G183,0)-Settings!$B$25),"")</f>
        <v/>
      </c>
      <c r="AP183" s="152">
        <f>IF(ISNUMBER($AO183),$AO183*$AM183,"")</f>
        <v/>
      </c>
      <c r="AQ183" s="152">
        <f>IF(ISNUMBER($AN183),ABS(IF(ISNUMBER($G183),$G183,0)-Settings!$B$25),"")</f>
        <v/>
      </c>
      <c r="AR183" s="152">
        <f>IF(ISNUMBER($AQ183),$AQ183*$AN183,"")</f>
        <v/>
      </c>
      <c r="AS183" s="152">
        <f>IF($A183="","",IFERROR(INDEX(Company_List!$H$3:$H$207,MATCH($A183,Company_List!$A$3:$A$207,0)),"unassigned"))</f>
        <v/>
      </c>
      <c r="AT183" s="152" t="inlineStr">
        <is>
          <t>not in v1</t>
        </is>
      </c>
      <c r="AU183" s="152" t="inlineStr">
        <is>
          <t>no earlier record</t>
        </is>
      </c>
      <c r="AV183" s="152" t="n">
        <v>1</v>
      </c>
      <c r="AW183" s="152" t="inlineStr">
        <is>
          <t>not publisher-identified</t>
        </is>
      </c>
      <c r="AX183" s="152" t="inlineStr">
        <is>
          <t>not publisher-identified</t>
        </is>
      </c>
      <c r="AY183" s="152" t="inlineStr">
        <is>
          <t>no</t>
        </is>
      </c>
      <c r="AZ183" s="152" t="inlineStr">
        <is>
          <t>yes</t>
        </is>
      </c>
      <c r="BA183" s="152" t="inlineStr">
        <is>
          <t>YES</t>
        </is>
      </c>
      <c r="BB183" s="152" t="n"/>
    </row>
    <row r="184" ht="15" customHeight="1" s="241">
      <c r="A184" s="191" t="inlineStr">
        <is>
          <t>Delta Air Lines</t>
        </is>
      </c>
      <c r="B184" s="188" t="inlineStr">
        <is>
          <t>DAL</t>
        </is>
      </c>
      <c r="C184" s="176" t="n">
        <v>2025</v>
      </c>
      <c r="D184" s="177" t="inlineStr">
        <is>
          <t>Q2</t>
        </is>
      </c>
      <c r="E184" s="178" t="inlineStr">
        <is>
          <t>Ben/DeepSeek</t>
        </is>
      </c>
      <c r="F184" s="177" t="inlineStr">
        <is>
          <t>LLM</t>
        </is>
      </c>
      <c r="G184" s="196" t="n">
        <v>0.22</v>
      </c>
      <c r="H184" s="177" t="inlineStr">
        <is>
          <t>BUY</t>
        </is>
      </c>
      <c r="I184" s="196" t="n"/>
      <c r="J184" s="182" t="n">
        <v>45848</v>
      </c>
      <c r="K184" s="182" t="n">
        <v>45847</v>
      </c>
      <c r="L184" s="183" t="n">
        <v>50.7</v>
      </c>
      <c r="M184" s="182" t="n">
        <v>45848</v>
      </c>
      <c r="N184" s="183" t="n">
        <v>56.2</v>
      </c>
      <c r="O184" s="180" t="n">
        <v>0.013468</v>
      </c>
      <c r="P184" s="197" t="n">
        <v>0.108481</v>
      </c>
      <c r="Q184" s="177" t="inlineStr">
        <is>
          <t>UP</t>
        </is>
      </c>
      <c r="R184" s="177" t="inlineStr">
        <is>
          <t>YES</t>
        </is>
      </c>
      <c r="S184" s="176" t="n">
        <v>1</v>
      </c>
      <c r="T184" s="197" t="n">
        <v>0.107481</v>
      </c>
      <c r="U184" s="185" t="inlineStr">
        <is>
          <t>w=[0.80,0.20,0,0] thr=(+0.20,-0.10), deployed default promoted 2026-08-18 (PSR=0.964, permutation p=0.0002 at N=233, restricted search - see blend.py)</t>
        </is>
      </c>
      <c r="V184" s="152" t="inlineStr">
        <is>
          <t>FROZEN</t>
        </is>
      </c>
      <c r="W184" s="152" t="inlineStr">
        <is>
          <t>price signal, re-derived — only this window shows an abnormal move</t>
        </is>
      </c>
      <c r="X184" s="152" t="inlineStr">
        <is>
          <t>DAL</t>
        </is>
      </c>
      <c r="Y184" s="152" t="inlineStr">
        <is>
          <t>2025-07-09</t>
        </is>
      </c>
      <c r="Z184" s="152" t="n">
        <v>49.9754</v>
      </c>
      <c r="AA184" s="152" t="inlineStr">
        <is>
          <t>2025-07-10</t>
        </is>
      </c>
      <c r="AB184" s="152" t="n">
        <v>55.3968</v>
      </c>
      <c r="AC184" s="152" t="n">
        <v>0.1084811517633692</v>
      </c>
      <c r="AD184" s="152" t="inlineStr">
        <is>
          <t>UP</t>
        </is>
      </c>
      <c r="AE184" s="152" t="inlineStr">
        <is>
          <t>NO</t>
        </is>
      </c>
      <c r="AF184" s="152" t="n">
        <v>0</v>
      </c>
      <c r="AG184" s="152">
        <f>IF($A184="","",IFERROR(INDEX(Company_List!$G$3:$G$207,MATCH($A184,Company_List!$A$3:$A$207,0)),"unassigned"))</f>
        <v/>
      </c>
      <c r="AH184" s="152" t="inlineStr">
        <is>
          <t>Phase 3/Readings/Delta/Q2/Delta-Air-Lines-Announces-Second-Quarter-2025.pdf; Phase 3/Readings/Delta/Q2/CORRECTED-TRANSCRIPT_-Delta-Air-Lines-Inc-DAL-US-Q2-2025-Earnings-Call.pdf</t>
        </is>
      </c>
      <c r="AI184" s="152" t="n"/>
      <c r="AJ184" s="152" t="inlineStr">
        <is>
          <t>whole bundle (Document = All)</t>
        </is>
      </c>
      <c r="AK184" s="152">
        <f>IF($A184="","",IF(COUNTIFS(Human_Data_Entry!$A$3:$A$525,$A184)&gt;0,"YES","NO"))</f>
        <v/>
      </c>
      <c r="AL184" s="152">
        <f>IF($A184="","",IF(AND($C184&amp;"-"&amp;$D184&gt;=Settings!$B$19,$C184&amp;"-"&amp;$D184&lt;=Settings!$B$20),"IN","OUT"))</f>
        <v/>
      </c>
      <c r="AM184" s="152">
        <f>IF(AND(OR($H184="BUY",$H184="SELL"),ISNUMBER($T184)),$T184,"")</f>
        <v/>
      </c>
      <c r="AN184" s="152">
        <f>IF(AND(OR($H184="BUY",$H184="SELL"),ISNUMBER($AF184)),$AF184,"")</f>
        <v/>
      </c>
      <c r="AO184" s="152">
        <f>IF(ISNUMBER($AM184),ABS(IF(ISNUMBER($G184),$G184,0)-Settings!$B$25),"")</f>
        <v/>
      </c>
      <c r="AP184" s="152">
        <f>IF(ISNUMBER($AO184),$AO184*$AM184,"")</f>
        <v/>
      </c>
      <c r="AQ184" s="152">
        <f>IF(ISNUMBER($AN184),ABS(IF(ISNUMBER($G184),$G184,0)-Settings!$B$25),"")</f>
        <v/>
      </c>
      <c r="AR184" s="152">
        <f>IF(ISNUMBER($AQ184),$AQ184*$AN184,"")</f>
        <v/>
      </c>
      <c r="AS184" s="152">
        <f>IF($A184="","",IFERROR(INDEX(Company_List!$H$3:$H$207,MATCH($A184,Company_List!$A$3:$A$207,0)),"unassigned"))</f>
        <v/>
      </c>
      <c r="AT184" s="152" t="inlineStr">
        <is>
          <t>not in v1</t>
        </is>
      </c>
      <c r="AU184" s="152" t="inlineStr">
        <is>
          <t>no earlier record</t>
        </is>
      </c>
      <c r="AV184" s="152" t="n">
        <v>2</v>
      </c>
      <c r="AW184" s="152" t="inlineStr">
        <is>
          <t>FactSet CallStreet</t>
        </is>
      </c>
      <c r="AX184" s="152" t="inlineStr">
        <is>
          <t>licensed vendor</t>
        </is>
      </c>
      <c r="AY184" s="152" t="inlineStr">
        <is>
          <t>no</t>
        </is>
      </c>
      <c r="AZ184" s="152" t="inlineStr">
        <is>
          <t>no</t>
        </is>
      </c>
      <c r="BA184" s="152" t="inlineStr">
        <is>
          <t>YES</t>
        </is>
      </c>
      <c r="BB184" s="152" t="n"/>
    </row>
    <row r="185" ht="15" customHeight="1" s="241">
      <c r="A185" s="191" t="inlineStr">
        <is>
          <t>Delta Air Lines</t>
        </is>
      </c>
      <c r="B185" s="188" t="inlineStr">
        <is>
          <t>DAL</t>
        </is>
      </c>
      <c r="C185" s="176" t="n">
        <v>2025</v>
      </c>
      <c r="D185" s="177" t="inlineStr">
        <is>
          <t>Q3</t>
        </is>
      </c>
      <c r="E185" s="178" t="inlineStr">
        <is>
          <t>Ben/DeepSeek</t>
        </is>
      </c>
      <c r="F185" s="177" t="inlineStr">
        <is>
          <t>LLM</t>
        </is>
      </c>
      <c r="G185" s="196" t="n">
        <v>0.34</v>
      </c>
      <c r="H185" s="177" t="inlineStr">
        <is>
          <t>BUY</t>
        </is>
      </c>
      <c r="I185" s="196" t="n"/>
      <c r="J185" s="182" t="n">
        <v>45939</v>
      </c>
      <c r="K185" s="182" t="n">
        <v>45938</v>
      </c>
      <c r="L185" s="183" t="n">
        <v>57.12</v>
      </c>
      <c r="M185" s="182" t="n">
        <v>45939</v>
      </c>
      <c r="N185" s="183" t="n">
        <v>61.9</v>
      </c>
      <c r="O185" s="180" t="n">
        <v>0.01336</v>
      </c>
      <c r="P185" s="197" t="n">
        <v>0.08368399999999999</v>
      </c>
      <c r="Q185" s="177" t="inlineStr">
        <is>
          <t>UP</t>
        </is>
      </c>
      <c r="R185" s="177" t="inlineStr">
        <is>
          <t>YES</t>
        </is>
      </c>
      <c r="S185" s="176" t="n">
        <v>1</v>
      </c>
      <c r="T185" s="197" t="n">
        <v>0.08268399999999999</v>
      </c>
      <c r="U185" s="185" t="inlineStr">
        <is>
          <t>w=[0.80,0.20,0,0] thr=(+0.20,-0.10), deployed default promoted 2026-08-18 (PSR=0.964, permutation p=0.0002 at N=233, restricted search - see blend.py)</t>
        </is>
      </c>
      <c r="V185" s="152" t="inlineStr">
        <is>
          <t>FROZEN</t>
        </is>
      </c>
      <c r="W185" s="152" t="inlineStr">
        <is>
          <t>price signal, re-derived — only this window shows an abnormal move</t>
        </is>
      </c>
      <c r="X185" s="152" t="inlineStr">
        <is>
          <t>DAL</t>
        </is>
      </c>
      <c r="Y185" s="152" t="inlineStr">
        <is>
          <t>2025-10-08</t>
        </is>
      </c>
      <c r="Z185" s="152" t="n">
        <v>56.5019</v>
      </c>
      <c r="AA185" s="152" t="inlineStr">
        <is>
          <t>2025-10-09</t>
        </is>
      </c>
      <c r="AB185" s="152" t="n">
        <v>61.2301</v>
      </c>
      <c r="AC185" s="152" t="n">
        <v>0.08368354782184646</v>
      </c>
      <c r="AD185" s="152" t="inlineStr">
        <is>
          <t>UP</t>
        </is>
      </c>
      <c r="AE185" s="152" t="inlineStr">
        <is>
          <t>YES</t>
        </is>
      </c>
      <c r="AF185" s="152" t="n">
        <v>0.08268399999999999</v>
      </c>
      <c r="AG185" s="152">
        <f>IF($A185="","",IFERROR(INDEX(Company_List!$G$3:$G$207,MATCH($A185,Company_List!$A$3:$A$207,0)),"unassigned"))</f>
        <v/>
      </c>
      <c r="AH185" s="152" t="inlineStr">
        <is>
          <t>Phase 3/Readings/Delta/Q3/Delta-Air-Lines-Announces-Third-Quarter-2025.pdf; Phase 3/Readings/Delta/Q3/CORRECTED-TRANSCRIPT-Delta-Air-Lines-Inc-DAL-US-Q3-2025-Earnings-Call.pdf</t>
        </is>
      </c>
      <c r="AI185" s="152" t="n"/>
      <c r="AJ185" s="152" t="inlineStr">
        <is>
          <t>whole bundle (Document = All)</t>
        </is>
      </c>
      <c r="AK185" s="152">
        <f>IF($A185="","",IF(COUNTIFS(Human_Data_Entry!$A$3:$A$525,$A185)&gt;0,"YES","NO"))</f>
        <v/>
      </c>
      <c r="AL185" s="152">
        <f>IF($A185="","",IF(AND($C185&amp;"-"&amp;$D185&gt;=Settings!$B$19,$C185&amp;"-"&amp;$D185&lt;=Settings!$B$20),"IN","OUT"))</f>
        <v/>
      </c>
      <c r="AM185" s="152">
        <f>IF(AND(OR($H185="BUY",$H185="SELL"),ISNUMBER($T185)),$T185,"")</f>
        <v/>
      </c>
      <c r="AN185" s="152">
        <f>IF(AND(OR($H185="BUY",$H185="SELL"),ISNUMBER($AF185)),$AF185,"")</f>
        <v/>
      </c>
      <c r="AO185" s="152">
        <f>IF(ISNUMBER($AM185),ABS(IF(ISNUMBER($G185),$G185,0)-Settings!$B$25),"")</f>
        <v/>
      </c>
      <c r="AP185" s="152">
        <f>IF(ISNUMBER($AO185),$AO185*$AM185,"")</f>
        <v/>
      </c>
      <c r="AQ185" s="152">
        <f>IF(ISNUMBER($AN185),ABS(IF(ISNUMBER($G185),$G185,0)-Settings!$B$25),"")</f>
        <v/>
      </c>
      <c r="AR185" s="152">
        <f>IF(ISNUMBER($AQ185),$AQ185*$AN185,"")</f>
        <v/>
      </c>
      <c r="AS185" s="152">
        <f>IF($A185="","",IFERROR(INDEX(Company_List!$H$3:$H$207,MATCH($A185,Company_List!$A$3:$A$207,0)),"unassigned"))</f>
        <v/>
      </c>
      <c r="AT185" s="152" t="inlineStr">
        <is>
          <t>not in v1</t>
        </is>
      </c>
      <c r="AU185" s="152" t="inlineStr">
        <is>
          <t>no earlier record</t>
        </is>
      </c>
      <c r="AV185" s="152" t="n">
        <v>2</v>
      </c>
      <c r="AW185" s="152" t="inlineStr">
        <is>
          <t>FactSet CallStreet</t>
        </is>
      </c>
      <c r="AX185" s="152" t="inlineStr">
        <is>
          <t>licensed vendor</t>
        </is>
      </c>
      <c r="AY185" s="152" t="inlineStr">
        <is>
          <t>no</t>
        </is>
      </c>
      <c r="AZ185" s="152" t="inlineStr">
        <is>
          <t>no</t>
        </is>
      </c>
      <c r="BA185" s="152" t="inlineStr">
        <is>
          <t>YES</t>
        </is>
      </c>
      <c r="BB185" s="152" t="n"/>
    </row>
    <row r="186" ht="15" customHeight="1" s="241">
      <c r="A186" s="191" t="inlineStr">
        <is>
          <t>Delta Air Lines</t>
        </is>
      </c>
      <c r="B186" s="188" t="inlineStr">
        <is>
          <t>DAL</t>
        </is>
      </c>
      <c r="C186" s="176" t="n">
        <v>2025</v>
      </c>
      <c r="D186" s="177" t="inlineStr">
        <is>
          <t>Q4</t>
        </is>
      </c>
      <c r="E186" s="178" t="inlineStr">
        <is>
          <t>Ben/DeepSeek</t>
        </is>
      </c>
      <c r="F186" s="177" t="inlineStr">
        <is>
          <t>LLM</t>
        </is>
      </c>
      <c r="G186" s="196" t="n">
        <v>0.49</v>
      </c>
      <c r="H186" s="177" t="inlineStr">
        <is>
          <t>BUY</t>
        </is>
      </c>
      <c r="I186" s="196" t="n"/>
      <c r="J186" s="182" t="n">
        <v>46035</v>
      </c>
      <c r="K186" s="182" t="n">
        <v>46034</v>
      </c>
      <c r="L186" s="183" t="n">
        <v>71.03</v>
      </c>
      <c r="M186" s="182" t="n">
        <v>46035</v>
      </c>
      <c r="N186" s="183" t="n">
        <v>68.09999999999999</v>
      </c>
      <c r="O186" s="180" t="n">
        <v>0.015639</v>
      </c>
      <c r="P186" s="197" t="n">
        <v>-0.04125</v>
      </c>
      <c r="Q186" s="177" t="inlineStr">
        <is>
          <t>DOWN</t>
        </is>
      </c>
      <c r="R186" s="177" t="inlineStr">
        <is>
          <t>NO</t>
        </is>
      </c>
      <c r="S186" s="176" t="n">
        <v>1</v>
      </c>
      <c r="T186" s="197" t="n">
        <v>-0.04225</v>
      </c>
      <c r="U186" s="185" t="inlineStr">
        <is>
          <t>w=[0.80,0.20,0,0] thr=(+0.20,-0.10), deployed default promoted 2026-08-18 (PSR=0.964, permutation p=0.0002 at N=233, restricted search - see blend.py)</t>
        </is>
      </c>
      <c r="V186" s="152" t="inlineStr">
        <is>
          <t>FROZEN</t>
        </is>
      </c>
      <c r="W186" s="152" t="inlineStr">
        <is>
          <t>price signal, re-derived — only this window shows an abnormal move</t>
        </is>
      </c>
      <c r="X186" s="152" t="inlineStr">
        <is>
          <t>DAL</t>
        </is>
      </c>
      <c r="Y186" s="152" t="inlineStr">
        <is>
          <t>2026-01-12</t>
        </is>
      </c>
      <c r="Z186" s="152" t="n">
        <v>70.4761</v>
      </c>
      <c r="AA186" s="152" t="inlineStr">
        <is>
          <t>2026-01-13</t>
        </is>
      </c>
      <c r="AB186" s="152" t="n">
        <v>67.5689</v>
      </c>
      <c r="AC186" s="152" t="n">
        <v>-0.04125015395831894</v>
      </c>
      <c r="AD186" s="152" t="inlineStr">
        <is>
          <t>DOWN</t>
        </is>
      </c>
      <c r="AE186" s="152" t="inlineStr">
        <is>
          <t>NO</t>
        </is>
      </c>
      <c r="AF186" s="152" t="n">
        <v>-0.04225</v>
      </c>
      <c r="AG186" s="152">
        <f>IF($A186="","",IFERROR(INDEX(Company_List!$G$3:$G$207,MATCH($A186,Company_List!$A$3:$A$207,0)),"unassigned"))</f>
        <v/>
      </c>
      <c r="AH186" s="152" t="inlineStr">
        <is>
          <t>Phase 3/Readings/Delta/Q4/Delta-Air-Lines-Announces-Fourth-Quarter-2025.pdf; Phase 3/Readings/Delta/Q4/DAL-12-31-2025-10K-2-10-26-Filed.pdf; Phase 3/Readings/Delta/Q4/CORRECTED-TRANSCRIPT-Delta-Air-Lines-Inc-DAL-US-Q4-2025-Earnings-Call.pdf</t>
        </is>
      </c>
      <c r="AI186" s="152" t="n"/>
      <c r="AJ186" s="152" t="inlineStr">
        <is>
          <t>whole bundle (Document = All)</t>
        </is>
      </c>
      <c r="AK186" s="152">
        <f>IF($A186="","",IF(COUNTIFS(Human_Data_Entry!$A$3:$A$525,$A186)&gt;0,"YES","NO"))</f>
        <v/>
      </c>
      <c r="AL186" s="152">
        <f>IF($A186="","",IF(AND($C186&amp;"-"&amp;$D186&gt;=Settings!$B$19,$C186&amp;"-"&amp;$D186&lt;=Settings!$B$20),"IN","OUT"))</f>
        <v/>
      </c>
      <c r="AM186" s="152">
        <f>IF(AND(OR($H186="BUY",$H186="SELL"),ISNUMBER($T186)),$T186,"")</f>
        <v/>
      </c>
      <c r="AN186" s="152">
        <f>IF(AND(OR($H186="BUY",$H186="SELL"),ISNUMBER($AF186)),$AF186,"")</f>
        <v/>
      </c>
      <c r="AO186" s="152">
        <f>IF(ISNUMBER($AM186),ABS(IF(ISNUMBER($G186),$G186,0)-Settings!$B$25),"")</f>
        <v/>
      </c>
      <c r="AP186" s="152">
        <f>IF(ISNUMBER($AO186),$AO186*$AM186,"")</f>
        <v/>
      </c>
      <c r="AQ186" s="152">
        <f>IF(ISNUMBER($AN186),ABS(IF(ISNUMBER($G186),$G186,0)-Settings!$B$25),"")</f>
        <v/>
      </c>
      <c r="AR186" s="152">
        <f>IF(ISNUMBER($AQ186),$AQ186*$AN186,"")</f>
        <v/>
      </c>
      <c r="AS186" s="152">
        <f>IF($A186="","",IFERROR(INDEX(Company_List!$H$3:$H$207,MATCH($A186,Company_List!$A$3:$A$207,0)),"unassigned"))</f>
        <v/>
      </c>
      <c r="AT186" s="152" t="inlineStr">
        <is>
          <t>not in v1</t>
        </is>
      </c>
      <c r="AU186" s="152" t="inlineStr">
        <is>
          <t>no earlier record</t>
        </is>
      </c>
      <c r="AV186" s="152" t="n">
        <v>3</v>
      </c>
      <c r="AW186" s="152" t="inlineStr">
        <is>
          <t>FactSet CallStreet</t>
        </is>
      </c>
      <c r="AX186" s="152" t="inlineStr">
        <is>
          <t>licensed vendor</t>
        </is>
      </c>
      <c r="AY186" s="152" t="inlineStr">
        <is>
          <t>one of several</t>
        </is>
      </c>
      <c r="AZ186" s="152" t="inlineStr">
        <is>
          <t>no</t>
        </is>
      </c>
      <c r="BA186" s="152" t="inlineStr">
        <is>
          <t>YES</t>
        </is>
      </c>
      <c r="BB186" s="152" t="n"/>
    </row>
    <row r="187" ht="15" customHeight="1" s="241">
      <c r="A187" s="191" t="inlineStr">
        <is>
          <t>Expedia</t>
        </is>
      </c>
      <c r="B187" s="188" t="inlineStr">
        <is>
          <t>EXPE</t>
        </is>
      </c>
      <c r="C187" s="176" t="n">
        <v>2025</v>
      </c>
      <c r="D187" s="177" t="inlineStr">
        <is>
          <t>Q1</t>
        </is>
      </c>
      <c r="E187" s="178" t="inlineStr">
        <is>
          <t>Ben/DeepSeek</t>
        </is>
      </c>
      <c r="F187" s="177" t="inlineStr">
        <is>
          <t>LLM</t>
        </is>
      </c>
      <c r="G187" s="196" t="n">
        <v>-0.46</v>
      </c>
      <c r="H187" s="177" t="inlineStr">
        <is>
          <t>SELL</t>
        </is>
      </c>
      <c r="I187" s="196" t="n"/>
      <c r="J187" s="182" t="n">
        <v>45785</v>
      </c>
      <c r="K187" s="182" t="n">
        <v>45785</v>
      </c>
      <c r="L187" s="183" t="n">
        <v>168.99</v>
      </c>
      <c r="M187" s="182" t="n">
        <v>45786</v>
      </c>
      <c r="N187" s="183" t="n">
        <v>152.59</v>
      </c>
      <c r="O187" s="180" t="n">
        <v>0.010105</v>
      </c>
      <c r="P187" s="197" t="n">
        <v>-0.09704700000000001</v>
      </c>
      <c r="Q187" s="177" t="inlineStr">
        <is>
          <t>DOWN</t>
        </is>
      </c>
      <c r="R187" s="177" t="inlineStr">
        <is>
          <t>YES</t>
        </is>
      </c>
      <c r="S187" s="176" t="n">
        <v>-1</v>
      </c>
      <c r="T187" s="197" t="n">
        <v>0.09604699999999999</v>
      </c>
      <c r="U187" s="185" t="inlineStr">
        <is>
          <t>w=[0.80,0.20,0,0] thr=(+0.20,-0.10), deployed default promoted 2026-08-18 (PSR=0.964, permutation p=0.0002 at N=233, restricted search - see blend.py)</t>
        </is>
      </c>
      <c r="V187" s="152" t="inlineStr">
        <is>
          <t>FROZEN</t>
        </is>
      </c>
      <c r="W187" s="152" t="inlineStr">
        <is>
          <t>document date + price signal</t>
        </is>
      </c>
      <c r="X187" s="152" t="inlineStr">
        <is>
          <t>EXPE</t>
        </is>
      </c>
      <c r="Y187" s="152" t="inlineStr">
        <is>
          <t>2025-05-08</t>
        </is>
      </c>
      <c r="Z187" s="152" t="n">
        <v>167.2699</v>
      </c>
      <c r="AA187" s="152" t="inlineStr">
        <is>
          <t>2025-05-09</t>
        </is>
      </c>
      <c r="AB187" s="152" t="n">
        <v>151.0368</v>
      </c>
      <c r="AC187" s="152" t="n">
        <v>-0.09704723191489181</v>
      </c>
      <c r="AD187" s="152" t="inlineStr">
        <is>
          <t>DOWN</t>
        </is>
      </c>
      <c r="AE187" s="152" t="inlineStr">
        <is>
          <t>YES</t>
        </is>
      </c>
      <c r="AF187" s="152" t="n">
        <v>0.09604699999999999</v>
      </c>
      <c r="AG187" s="152">
        <f>IF($A187="","",IFERROR(INDEX(Company_List!$G$3:$G$207,MATCH($A187,Company_List!$A$3:$A$207,0)),"unassigned"))</f>
        <v/>
      </c>
      <c r="AH187" s="152" t="inlineStr">
        <is>
          <t>Phase 3/Readings/Expedia/EXPE-USQ_Transcript_2025-05-08.pdf</t>
        </is>
      </c>
      <c r="AI187" s="152" t="n"/>
      <c r="AJ187" s="152" t="inlineStr">
        <is>
          <t>unique filename match</t>
        </is>
      </c>
      <c r="AK187" s="152">
        <f>IF($A187="","",IF(COUNTIFS(Human_Data_Entry!$A$3:$A$525,$A187)&gt;0,"YES","NO"))</f>
        <v/>
      </c>
      <c r="AL187" s="152">
        <f>IF($A187="","",IF(AND($C187&amp;"-"&amp;$D187&gt;=Settings!$B$19,$C187&amp;"-"&amp;$D187&lt;=Settings!$B$20),"IN","OUT"))</f>
        <v/>
      </c>
      <c r="AM187" s="152">
        <f>IF(AND(OR($H187="BUY",$H187="SELL"),ISNUMBER($T187)),$T187,"")</f>
        <v/>
      </c>
      <c r="AN187" s="152">
        <f>IF(AND(OR($H187="BUY",$H187="SELL"),ISNUMBER($AF187)),$AF187,"")</f>
        <v/>
      </c>
      <c r="AO187" s="152">
        <f>IF(ISNUMBER($AM187),ABS(IF(ISNUMBER($G187),$G187,0)-Settings!$B$25),"")</f>
        <v/>
      </c>
      <c r="AP187" s="152">
        <f>IF(ISNUMBER($AO187),$AO187*$AM187,"")</f>
        <v/>
      </c>
      <c r="AQ187" s="152">
        <f>IF(ISNUMBER($AN187),ABS(IF(ISNUMBER($G187),$G187,0)-Settings!$B$25),"")</f>
        <v/>
      </c>
      <c r="AR187" s="152">
        <f>IF(ISNUMBER($AQ187),$AQ187*$AN187,"")</f>
        <v/>
      </c>
      <c r="AS187" s="152">
        <f>IF($A187="","",IFERROR(INDEX(Company_List!$H$3:$H$207,MATCH($A187,Company_List!$A$3:$A$207,0)),"unassigned"))</f>
        <v/>
      </c>
      <c r="AT187" s="152" t="inlineStr">
        <is>
          <t>not in v1</t>
        </is>
      </c>
      <c r="AU187" s="152" t="inlineStr">
        <is>
          <t>no earlier record</t>
        </is>
      </c>
      <c r="AV187" s="152" t="n">
        <v>1</v>
      </c>
      <c r="AW187" s="152" t="inlineStr">
        <is>
          <t>Refinitiv / LSEG StreetEvents</t>
        </is>
      </c>
      <c r="AX187" s="152" t="inlineStr">
        <is>
          <t>licensed vendor</t>
        </is>
      </c>
      <c r="AY187" s="152" t="inlineStr">
        <is>
          <t>no</t>
        </is>
      </c>
      <c r="AZ187" s="152" t="inlineStr">
        <is>
          <t>no</t>
        </is>
      </c>
      <c r="BA187" s="152" t="inlineStr">
        <is>
          <t>YES</t>
        </is>
      </c>
      <c r="BB187" s="152" t="n"/>
    </row>
    <row r="188" ht="15" customHeight="1" s="241">
      <c r="A188" s="191" t="inlineStr">
        <is>
          <t>Expedia</t>
        </is>
      </c>
      <c r="B188" s="188" t="inlineStr">
        <is>
          <t>EXPE</t>
        </is>
      </c>
      <c r="C188" s="176" t="n">
        <v>2026</v>
      </c>
      <c r="D188" s="177" t="inlineStr">
        <is>
          <t>Q1</t>
        </is>
      </c>
      <c r="E188" s="178" t="inlineStr">
        <is>
          <t>Ben/DeepSeek</t>
        </is>
      </c>
      <c r="F188" s="177" t="inlineStr">
        <is>
          <t>LLM</t>
        </is>
      </c>
      <c r="G188" s="196" t="n">
        <v>0.14</v>
      </c>
      <c r="H188" s="177" t="inlineStr">
        <is>
          <t>HOLD</t>
        </is>
      </c>
      <c r="I188" s="196" t="n"/>
      <c r="J188" s="182" t="n">
        <v>46149</v>
      </c>
      <c r="K188" s="182" t="n">
        <v>46149</v>
      </c>
      <c r="L188" s="183" t="n">
        <v>252.79</v>
      </c>
      <c r="M188" s="182" t="n">
        <v>46150</v>
      </c>
      <c r="N188" s="183" t="n">
        <v>232.51</v>
      </c>
      <c r="O188" s="180" t="n">
        <v>0.010421</v>
      </c>
      <c r="P188" s="197" t="n">
        <v>-0.080225</v>
      </c>
      <c r="Q188" s="177" t="inlineStr">
        <is>
          <t>DOWN</t>
        </is>
      </c>
      <c r="R188" s="177" t="inlineStr">
        <is>
          <t>NO</t>
        </is>
      </c>
      <c r="S188" s="176" t="n">
        <v>0</v>
      </c>
      <c r="T188" s="197" t="n">
        <v>0</v>
      </c>
      <c r="U188" s="185" t="inlineStr">
        <is>
          <t>w=[0.80,0.20,0,0] thr=(+0.20,-0.10), deployed default promoted 2026-08-18 (PSR=0.964, permutation p=0.0002 at N=233, restricted search - see blend.py)</t>
        </is>
      </c>
      <c r="V188" s="152" t="inlineStr">
        <is>
          <t>FROZEN</t>
        </is>
      </c>
      <c r="W188" s="152" t="inlineStr">
        <is>
          <t>price signal — only this window shows an abnormal move</t>
        </is>
      </c>
      <c r="X188" s="152" t="inlineStr">
        <is>
          <t>EXPE</t>
        </is>
      </c>
      <c r="Y188" s="152" t="inlineStr">
        <is>
          <t>2026-05-07</t>
        </is>
      </c>
      <c r="Z188" s="152" t="n">
        <v>252.2544</v>
      </c>
      <c r="AA188" s="152" t="inlineStr">
        <is>
          <t>2026-05-08</t>
        </is>
      </c>
      <c r="AB188" s="152" t="n">
        <v>232.0174</v>
      </c>
      <c r="AC188" s="152" t="n">
        <v>-0.08022469436591488</v>
      </c>
      <c r="AD188" s="152" t="inlineStr">
        <is>
          <t>DOWN</t>
        </is>
      </c>
      <c r="AE188" s="152" t="inlineStr">
        <is>
          <t>NO</t>
        </is>
      </c>
      <c r="AF188" s="152" t="n">
        <v>0</v>
      </c>
      <c r="AG188" s="152">
        <f>IF($A188="","",IFERROR(INDEX(Company_List!$G$3:$G$207,MATCH($A188,Company_List!$A$3:$A$207,0)),"unassigned"))</f>
        <v/>
      </c>
      <c r="AH188" s="152" t="inlineStr">
        <is>
          <t>Phase 3/Readings/Expedia/EXPE-USQ_Transcript_2026-05-07.pdf</t>
        </is>
      </c>
      <c r="AI188" s="152" t="n"/>
      <c r="AJ188" s="152" t="inlineStr">
        <is>
          <t>unique filename match</t>
        </is>
      </c>
      <c r="AK188" s="152">
        <f>IF($A188="","",IF(COUNTIFS(Human_Data_Entry!$A$3:$A$525,$A188)&gt;0,"YES","NO"))</f>
        <v/>
      </c>
      <c r="AL188" s="152">
        <f>IF($A188="","",IF(AND($C188&amp;"-"&amp;$D188&gt;=Settings!$B$19,$C188&amp;"-"&amp;$D188&lt;=Settings!$B$20),"IN","OUT"))</f>
        <v/>
      </c>
      <c r="AM188" s="152">
        <f>IF(AND(OR($H188="BUY",$H188="SELL"),ISNUMBER($T188)),$T188,"")</f>
        <v/>
      </c>
      <c r="AN188" s="152">
        <f>IF(AND(OR($H188="BUY",$H188="SELL"),ISNUMBER($AF188)),$AF188,"")</f>
        <v/>
      </c>
      <c r="AO188" s="152">
        <f>IF(ISNUMBER($AM188),ABS(IF(ISNUMBER($G188),$G188,0)-Settings!$B$25),"")</f>
        <v/>
      </c>
      <c r="AP188" s="152">
        <f>IF(ISNUMBER($AO188),$AO188*$AM188,"")</f>
        <v/>
      </c>
      <c r="AQ188" s="152">
        <f>IF(ISNUMBER($AN188),ABS(IF(ISNUMBER($G188),$G188,0)-Settings!$B$25),"")</f>
        <v/>
      </c>
      <c r="AR188" s="152">
        <f>IF(ISNUMBER($AQ188),$AQ188*$AN188,"")</f>
        <v/>
      </c>
      <c r="AS188" s="152">
        <f>IF($A188="","",IFERROR(INDEX(Company_List!$H$3:$H$207,MATCH($A188,Company_List!$A$3:$A$207,0)),"unassigned"))</f>
        <v/>
      </c>
      <c r="AT188" s="152" t="inlineStr">
        <is>
          <t>not in v1</t>
        </is>
      </c>
      <c r="AU188" s="152" t="inlineStr">
        <is>
          <t>no earlier record</t>
        </is>
      </c>
      <c r="AV188" s="152" t="n">
        <v>1</v>
      </c>
      <c r="AW188" s="152" t="inlineStr">
        <is>
          <t>Refinitiv / LSEG StreetEvents</t>
        </is>
      </c>
      <c r="AX188" s="152" t="inlineStr">
        <is>
          <t>licensed vendor</t>
        </is>
      </c>
      <c r="AY188" s="152" t="inlineStr">
        <is>
          <t>no</t>
        </is>
      </c>
      <c r="AZ188" s="152" t="inlineStr">
        <is>
          <t>no</t>
        </is>
      </c>
      <c r="BA188" s="152" t="inlineStr">
        <is>
          <t>YES</t>
        </is>
      </c>
      <c r="BB188" s="152" t="n"/>
    </row>
    <row r="189" ht="15" customHeight="1" s="241">
      <c r="A189" s="191" t="inlineStr">
        <is>
          <t>Expedia</t>
        </is>
      </c>
      <c r="B189" s="188" t="inlineStr">
        <is>
          <t>EXPE</t>
        </is>
      </c>
      <c r="C189" s="176" t="n">
        <v>2025</v>
      </c>
      <c r="D189" s="177" t="inlineStr">
        <is>
          <t>Q2</t>
        </is>
      </c>
      <c r="E189" s="178" t="inlineStr">
        <is>
          <t>Ben/DeepSeek</t>
        </is>
      </c>
      <c r="F189" s="177" t="inlineStr">
        <is>
          <t>LLM</t>
        </is>
      </c>
      <c r="G189" s="196" t="n">
        <v>0.38</v>
      </c>
      <c r="H189" s="177" t="inlineStr">
        <is>
          <t>BUY</t>
        </is>
      </c>
      <c r="I189" s="196" t="n"/>
      <c r="J189" s="182" t="n">
        <v>45876</v>
      </c>
      <c r="K189" s="182" t="n">
        <v>45876</v>
      </c>
      <c r="L189" s="183" t="n">
        <v>187.61</v>
      </c>
      <c r="M189" s="182" t="n">
        <v>45877</v>
      </c>
      <c r="N189" s="183" t="n">
        <v>211.6</v>
      </c>
      <c r="O189" s="180" t="n">
        <v>0.010357</v>
      </c>
      <c r="P189" s="197" t="n">
        <v>0.127872</v>
      </c>
      <c r="Q189" s="177" t="inlineStr">
        <is>
          <t>UP</t>
        </is>
      </c>
      <c r="R189" s="177" t="inlineStr">
        <is>
          <t>YES</t>
        </is>
      </c>
      <c r="S189" s="176" t="n">
        <v>1</v>
      </c>
      <c r="T189" s="197" t="n">
        <v>0.126872</v>
      </c>
      <c r="U189" s="185" t="inlineStr">
        <is>
          <t>w=[0.80,0.20,0,0] thr=(+0.20,-0.10), deployed default promoted 2026-08-18 (PSR=0.964, permutation p=0.0002 at N=233, restricted search - see blend.py)</t>
        </is>
      </c>
      <c r="V189" s="152" t="inlineStr">
        <is>
          <t>FROZEN</t>
        </is>
      </c>
      <c r="W189" s="152" t="inlineStr">
        <is>
          <t>price signal — only this window shows an abnormal move</t>
        </is>
      </c>
      <c r="X189" s="152" t="inlineStr">
        <is>
          <t>EXPE</t>
        </is>
      </c>
      <c r="Y189" s="152" t="inlineStr">
        <is>
          <t>2025-08-07</t>
        </is>
      </c>
      <c r="Z189" s="152" t="n">
        <v>186.1444</v>
      </c>
      <c r="AA189" s="152" t="inlineStr">
        <is>
          <t>2025-08-08</t>
        </is>
      </c>
      <c r="AB189" s="152" t="n">
        <v>209.947</v>
      </c>
      <c r="AC189" s="152" t="n">
        <v>0.1278717323670675</v>
      </c>
      <c r="AD189" s="152" t="inlineStr">
        <is>
          <t>UP</t>
        </is>
      </c>
      <c r="AE189" s="152" t="inlineStr">
        <is>
          <t>YES</t>
        </is>
      </c>
      <c r="AF189" s="152" t="n">
        <v>0.126872</v>
      </c>
      <c r="AG189" s="152">
        <f>IF($A189="","",IFERROR(INDEX(Company_List!$G$3:$G$207,MATCH($A189,Company_List!$A$3:$A$207,0)),"unassigned"))</f>
        <v/>
      </c>
      <c r="AH189" s="152" t="inlineStr">
        <is>
          <t>Phase 3/Readings/Expedia/EXPE-USQ_Transcript_2025-08-07.pdf</t>
        </is>
      </c>
      <c r="AI189" s="152" t="n"/>
      <c r="AJ189" s="152" t="inlineStr">
        <is>
          <t>unique filename match</t>
        </is>
      </c>
      <c r="AK189" s="152">
        <f>IF($A189="","",IF(COUNTIFS(Human_Data_Entry!$A$3:$A$525,$A189)&gt;0,"YES","NO"))</f>
        <v/>
      </c>
      <c r="AL189" s="152">
        <f>IF($A189="","",IF(AND($C189&amp;"-"&amp;$D189&gt;=Settings!$B$19,$C189&amp;"-"&amp;$D189&lt;=Settings!$B$20),"IN","OUT"))</f>
        <v/>
      </c>
      <c r="AM189" s="152">
        <f>IF(AND(OR($H189="BUY",$H189="SELL"),ISNUMBER($T189)),$T189,"")</f>
        <v/>
      </c>
      <c r="AN189" s="152">
        <f>IF(AND(OR($H189="BUY",$H189="SELL"),ISNUMBER($AF189)),$AF189,"")</f>
        <v/>
      </c>
      <c r="AO189" s="152">
        <f>IF(ISNUMBER($AM189),ABS(IF(ISNUMBER($G189),$G189,0)-Settings!$B$25),"")</f>
        <v/>
      </c>
      <c r="AP189" s="152">
        <f>IF(ISNUMBER($AO189),$AO189*$AM189,"")</f>
        <v/>
      </c>
      <c r="AQ189" s="152">
        <f>IF(ISNUMBER($AN189),ABS(IF(ISNUMBER($G189),$G189,0)-Settings!$B$25),"")</f>
        <v/>
      </c>
      <c r="AR189" s="152">
        <f>IF(ISNUMBER($AQ189),$AQ189*$AN189,"")</f>
        <v/>
      </c>
      <c r="AS189" s="152">
        <f>IF($A189="","",IFERROR(INDEX(Company_List!$H$3:$H$207,MATCH($A189,Company_List!$A$3:$A$207,0)),"unassigned"))</f>
        <v/>
      </c>
      <c r="AT189" s="152" t="inlineStr">
        <is>
          <t>not in v1</t>
        </is>
      </c>
      <c r="AU189" s="152" t="inlineStr">
        <is>
          <t>no earlier record</t>
        </is>
      </c>
      <c r="AV189" s="152" t="n">
        <v>1</v>
      </c>
      <c r="AW189" s="152" t="inlineStr">
        <is>
          <t>Refinitiv / LSEG StreetEvents</t>
        </is>
      </c>
      <c r="AX189" s="152" t="inlineStr">
        <is>
          <t>licensed vendor</t>
        </is>
      </c>
      <c r="AY189" s="152" t="inlineStr">
        <is>
          <t>no</t>
        </is>
      </c>
      <c r="AZ189" s="152" t="inlineStr">
        <is>
          <t>no</t>
        </is>
      </c>
      <c r="BA189" s="152" t="inlineStr">
        <is>
          <t>YES</t>
        </is>
      </c>
      <c r="BB189" s="152" t="n"/>
    </row>
    <row r="190" ht="15" customHeight="1" s="241">
      <c r="A190" s="191" t="inlineStr">
        <is>
          <t>Expedia</t>
        </is>
      </c>
      <c r="B190" s="188" t="inlineStr">
        <is>
          <t>EXPE</t>
        </is>
      </c>
      <c r="C190" s="176" t="n">
        <v>2025</v>
      </c>
      <c r="D190" s="177" t="inlineStr">
        <is>
          <t>Q4</t>
        </is>
      </c>
      <c r="E190" s="178" t="inlineStr">
        <is>
          <t>Ben/DeepSeek</t>
        </is>
      </c>
      <c r="F190" s="177" t="inlineStr">
        <is>
          <t>LLM</t>
        </is>
      </c>
      <c r="G190" s="196" t="n">
        <v>0.29</v>
      </c>
      <c r="H190" s="177" t="inlineStr">
        <is>
          <t>BUY</t>
        </is>
      </c>
      <c r="I190" s="196" t="n"/>
      <c r="J190" s="182" t="n">
        <v>46065</v>
      </c>
      <c r="K190" s="182" t="n">
        <v>46065</v>
      </c>
      <c r="L190" s="183" t="n">
        <v>227.24</v>
      </c>
      <c r="M190" s="182" t="n">
        <v>46066</v>
      </c>
      <c r="N190" s="183" t="n">
        <v>212</v>
      </c>
      <c r="O190" s="180" t="n">
        <v>0.011038</v>
      </c>
      <c r="P190" s="197" t="n">
        <v>-0.067066</v>
      </c>
      <c r="Q190" s="177" t="inlineStr">
        <is>
          <t>DOWN</t>
        </is>
      </c>
      <c r="R190" s="177" t="inlineStr">
        <is>
          <t>NO</t>
        </is>
      </c>
      <c r="S190" s="176" t="n">
        <v>1</v>
      </c>
      <c r="T190" s="197" t="n">
        <v>-0.068066</v>
      </c>
      <c r="U190" s="185" t="inlineStr">
        <is>
          <t>w=[0.80,0.20,0,0] thr=(+0.20,-0.10), deployed default promoted 2026-08-18 (PSR=0.964, permutation p=0.0002 at N=233, restricted search - see blend.py)</t>
        </is>
      </c>
      <c r="V190" s="152" t="inlineStr">
        <is>
          <t>FROZEN</t>
        </is>
      </c>
      <c r="W190" s="152" t="inlineStr">
        <is>
          <t>price signal — both moved; this one dominates</t>
        </is>
      </c>
      <c r="X190" s="152" t="inlineStr">
        <is>
          <t>EXPE</t>
        </is>
      </c>
      <c r="Y190" s="152" t="inlineStr">
        <is>
          <t>2026-02-12</t>
        </is>
      </c>
      <c r="Z190" s="152" t="n">
        <v>226.2677</v>
      </c>
      <c r="AA190" s="152" t="inlineStr">
        <is>
          <t>2026-02-13</t>
        </is>
      </c>
      <c r="AB190" s="152" t="n">
        <v>211.0929</v>
      </c>
      <c r="AC190" s="152" t="n">
        <v>-0.06706572422558535</v>
      </c>
      <c r="AD190" s="152" t="inlineStr">
        <is>
          <t>DOWN</t>
        </is>
      </c>
      <c r="AE190" s="152" t="inlineStr">
        <is>
          <t>NO</t>
        </is>
      </c>
      <c r="AF190" s="152" t="n">
        <v>-0.068066</v>
      </c>
      <c r="AG190" s="152">
        <f>IF($A190="","",IFERROR(INDEX(Company_List!$G$3:$G$207,MATCH($A190,Company_List!$A$3:$A$207,0)),"unassigned"))</f>
        <v/>
      </c>
      <c r="AH190" s="152" t="inlineStr">
        <is>
          <t>Phase 3/Readings/Expedia/EXPE-USQ_Transcript_2026-02-12.pdf</t>
        </is>
      </c>
      <c r="AI190" s="152" t="n"/>
      <c r="AJ190" s="152" t="inlineStr">
        <is>
          <t>unique filename match</t>
        </is>
      </c>
      <c r="AK190" s="152">
        <f>IF($A190="","",IF(COUNTIFS(Human_Data_Entry!$A$3:$A$525,$A190)&gt;0,"YES","NO"))</f>
        <v/>
      </c>
      <c r="AL190" s="152">
        <f>IF($A190="","",IF(AND($C190&amp;"-"&amp;$D190&gt;=Settings!$B$19,$C190&amp;"-"&amp;$D190&lt;=Settings!$B$20),"IN","OUT"))</f>
        <v/>
      </c>
      <c r="AM190" s="152">
        <f>IF(AND(OR($H190="BUY",$H190="SELL"),ISNUMBER($T190)),$T190,"")</f>
        <v/>
      </c>
      <c r="AN190" s="152">
        <f>IF(AND(OR($H190="BUY",$H190="SELL"),ISNUMBER($AF190)),$AF190,"")</f>
        <v/>
      </c>
      <c r="AO190" s="152">
        <f>IF(ISNUMBER($AM190),ABS(IF(ISNUMBER($G190),$G190,0)-Settings!$B$25),"")</f>
        <v/>
      </c>
      <c r="AP190" s="152">
        <f>IF(ISNUMBER($AO190),$AO190*$AM190,"")</f>
        <v/>
      </c>
      <c r="AQ190" s="152">
        <f>IF(ISNUMBER($AN190),ABS(IF(ISNUMBER($G190),$G190,0)-Settings!$B$25),"")</f>
        <v/>
      </c>
      <c r="AR190" s="152">
        <f>IF(ISNUMBER($AQ190),$AQ190*$AN190,"")</f>
        <v/>
      </c>
      <c r="AS190" s="152">
        <f>IF($A190="","",IFERROR(INDEX(Company_List!$H$3:$H$207,MATCH($A190,Company_List!$A$3:$A$207,0)),"unassigned"))</f>
        <v/>
      </c>
      <c r="AT190" s="152" t="inlineStr">
        <is>
          <t>not in v1</t>
        </is>
      </c>
      <c r="AU190" s="152" t="inlineStr">
        <is>
          <t>no earlier record</t>
        </is>
      </c>
      <c r="AV190" s="152" t="n">
        <v>1</v>
      </c>
      <c r="AW190" s="152" t="inlineStr">
        <is>
          <t>Refinitiv / LSEG StreetEvents</t>
        </is>
      </c>
      <c r="AX190" s="152" t="inlineStr">
        <is>
          <t>licensed vendor</t>
        </is>
      </c>
      <c r="AY190" s="152" t="inlineStr">
        <is>
          <t>no</t>
        </is>
      </c>
      <c r="AZ190" s="152" t="inlineStr">
        <is>
          <t>no</t>
        </is>
      </c>
      <c r="BA190" s="152" t="inlineStr">
        <is>
          <t>YES</t>
        </is>
      </c>
      <c r="BB190" s="152" t="n"/>
    </row>
    <row r="191" ht="15" customHeight="1" s="241">
      <c r="A191" s="191" t="inlineStr">
        <is>
          <t>General Mills</t>
        </is>
      </c>
      <c r="B191" s="188" t="inlineStr">
        <is>
          <t>GIS</t>
        </is>
      </c>
      <c r="C191" s="176" t="n">
        <v>2026</v>
      </c>
      <c r="D191" s="177" t="inlineStr">
        <is>
          <t>Q2</t>
        </is>
      </c>
      <c r="E191" s="178" t="inlineStr">
        <is>
          <t>Ben/DeepSeek</t>
        </is>
      </c>
      <c r="F191" s="177" t="inlineStr">
        <is>
          <t>LLM</t>
        </is>
      </c>
      <c r="G191" s="196" t="n">
        <v>0.1</v>
      </c>
      <c r="H191" s="177" t="inlineStr">
        <is>
          <t>HOLD</t>
        </is>
      </c>
      <c r="I191" s="196" t="n"/>
      <c r="J191" s="182" t="n">
        <v>46008</v>
      </c>
      <c r="K191" s="182" t="n">
        <v>46007</v>
      </c>
      <c r="L191" s="183" t="n">
        <v>47.02</v>
      </c>
      <c r="M191" s="182" t="n">
        <v>46008</v>
      </c>
      <c r="N191" s="183" t="n">
        <v>48</v>
      </c>
      <c r="O191" s="180" t="n">
        <v>0.010246</v>
      </c>
      <c r="P191" s="197" t="n">
        <v>0.020842</v>
      </c>
      <c r="Q191" s="177" t="inlineStr">
        <is>
          <t>UP</t>
        </is>
      </c>
      <c r="R191" s="177" t="inlineStr">
        <is>
          <t>NO</t>
        </is>
      </c>
      <c r="S191" s="176" t="n">
        <v>0</v>
      </c>
      <c r="T191" s="197" t="n">
        <v>0</v>
      </c>
      <c r="U191" s="185" t="inlineStr">
        <is>
          <t>w=[0.80,0.20,0,0] thr=(+0.20,-0.10), deployed default promoted 2026-08-18 (PSR=0.964, permutation p=0.0002 at N=233, restricted search - see blend.py)</t>
        </is>
      </c>
      <c r="V191" s="152" t="inlineStr">
        <is>
          <t>FROZEN</t>
        </is>
      </c>
      <c r="W191" s="152" t="inlineStr">
        <is>
          <t>release date + stated time</t>
        </is>
      </c>
      <c r="X191" s="152" t="inlineStr">
        <is>
          <t>GIS</t>
        </is>
      </c>
      <c r="Y191" s="152" t="inlineStr">
        <is>
          <t>2025-12-16</t>
        </is>
      </c>
      <c r="Z191" s="152" t="n">
        <v>44.8215</v>
      </c>
      <c r="AA191" s="152" t="inlineStr">
        <is>
          <t>2025-12-17</t>
        </is>
      </c>
      <c r="AB191" s="152" t="n">
        <v>45.7556</v>
      </c>
      <c r="AC191" s="152" t="n">
        <v>0.02084207104511671</v>
      </c>
      <c r="AD191" s="152" t="inlineStr">
        <is>
          <t>UP</t>
        </is>
      </c>
      <c r="AE191" s="152" t="inlineStr">
        <is>
          <t>NO</t>
        </is>
      </c>
      <c r="AF191" s="152" t="n">
        <v>0</v>
      </c>
      <c r="AG191" s="152">
        <f>IF($A191="","",IFERROR(INDEX(Company_List!$G$3:$G$207,MATCH($A191,Company_List!$A$3:$A$207,0)),"unassigned"))</f>
        <v/>
      </c>
      <c r="AH191" s="152" t="inlineStr">
        <is>
          <t>Phase 3/Readings/General Mills/GIS Q2 2026 Earnings Transcript.pdf</t>
        </is>
      </c>
      <c r="AI191" s="152" t="n"/>
      <c r="AJ191" s="152" t="inlineStr">
        <is>
          <t>unique filename match</t>
        </is>
      </c>
      <c r="AK191" s="152">
        <f>IF($A191="","",IF(COUNTIFS(Human_Data_Entry!$A$3:$A$525,$A191)&gt;0,"YES","NO"))</f>
        <v/>
      </c>
      <c r="AL191" s="152">
        <f>IF($A191="","",IF(AND($C191&amp;"-"&amp;$D191&gt;=Settings!$B$19,$C191&amp;"-"&amp;$D191&lt;=Settings!$B$20),"IN","OUT"))</f>
        <v/>
      </c>
      <c r="AM191" s="152">
        <f>IF(AND(OR($H191="BUY",$H191="SELL"),ISNUMBER($T191)),$T191,"")</f>
        <v/>
      </c>
      <c r="AN191" s="152">
        <f>IF(AND(OR($H191="BUY",$H191="SELL"),ISNUMBER($AF191)),$AF191,"")</f>
        <v/>
      </c>
      <c r="AO191" s="152">
        <f>IF(ISNUMBER($AM191),ABS(IF(ISNUMBER($G191),$G191,0)-Settings!$B$25),"")</f>
        <v/>
      </c>
      <c r="AP191" s="152">
        <f>IF(ISNUMBER($AO191),$AO191*$AM191,"")</f>
        <v/>
      </c>
      <c r="AQ191" s="152">
        <f>IF(ISNUMBER($AN191),ABS(IF(ISNUMBER($G191),$G191,0)-Settings!$B$25),"")</f>
        <v/>
      </c>
      <c r="AR191" s="152">
        <f>IF(ISNUMBER($AQ191),$AQ191*$AN191,"")</f>
        <v/>
      </c>
      <c r="AS191" s="152">
        <f>IF($A191="","",IFERROR(INDEX(Company_List!$H$3:$H$207,MATCH($A191,Company_List!$A$3:$A$207,0)),"unassigned"))</f>
        <v/>
      </c>
      <c r="AT191" s="152" t="inlineStr">
        <is>
          <t>not in v1</t>
        </is>
      </c>
      <c r="AU191" s="152" t="inlineStr">
        <is>
          <t>no earlier record</t>
        </is>
      </c>
      <c r="AV191" s="152" t="n">
        <v>1</v>
      </c>
      <c r="AW191" s="152" t="inlineStr">
        <is>
          <t>The Motley Fool</t>
        </is>
      </c>
      <c r="AX191" s="152" t="inlineStr">
        <is>
          <t>free to read, copyright asserted</t>
        </is>
      </c>
      <c r="AY191" s="152" t="inlineStr">
        <is>
          <t>no</t>
        </is>
      </c>
      <c r="AZ191" s="152" t="inlineStr">
        <is>
          <t>no</t>
        </is>
      </c>
      <c r="BA191" s="152" t="inlineStr">
        <is>
          <t>YES</t>
        </is>
      </c>
      <c r="BB191" s="152" t="n"/>
    </row>
    <row r="192" ht="15" customHeight="1" s="241">
      <c r="A192" s="191" t="inlineStr">
        <is>
          <t>General Mills</t>
        </is>
      </c>
      <c r="B192" s="188" t="inlineStr">
        <is>
          <t>GIS</t>
        </is>
      </c>
      <c r="C192" s="176" t="n">
        <v>2026</v>
      </c>
      <c r="D192" s="177" t="inlineStr">
        <is>
          <t>Q3</t>
        </is>
      </c>
      <c r="E192" s="178" t="inlineStr">
        <is>
          <t>Ben/DeepSeek</t>
        </is>
      </c>
      <c r="F192" s="177" t="inlineStr">
        <is>
          <t>LLM</t>
        </is>
      </c>
      <c r="G192" s="196" t="n">
        <v>-0.26</v>
      </c>
      <c r="H192" s="177" t="inlineStr">
        <is>
          <t>SELL</t>
        </is>
      </c>
      <c r="I192" s="196" t="n"/>
      <c r="J192" s="182" t="n">
        <v>46099</v>
      </c>
      <c r="K192" s="182" t="n">
        <v>46098</v>
      </c>
      <c r="L192" s="183" t="n">
        <v>38.74</v>
      </c>
      <c r="M192" s="182" t="n">
        <v>46099</v>
      </c>
      <c r="N192" s="183" t="n">
        <v>38.65</v>
      </c>
      <c r="O192" s="180" t="n">
        <v>0.009953999999999999</v>
      </c>
      <c r="P192" s="197" t="n">
        <v>-0.002323</v>
      </c>
      <c r="Q192" s="177" t="inlineStr">
        <is>
          <t>FLAT</t>
        </is>
      </c>
      <c r="R192" s="177" t="inlineStr">
        <is>
          <t>NO</t>
        </is>
      </c>
      <c r="S192" s="176" t="n">
        <v>-1</v>
      </c>
      <c r="T192" s="197" t="n">
        <v>0.001323</v>
      </c>
      <c r="U192" s="185" t="inlineStr">
        <is>
          <t>w=[0.80,0.20,0,0] thr=(+0.20,-0.10), deployed default promoted 2026-08-18 (PSR=0.964, permutation p=0.0002 at N=233, restricted search - see blend.py)</t>
        </is>
      </c>
      <c r="V192" s="152" t="inlineStr">
        <is>
          <t>FROZEN</t>
        </is>
      </c>
      <c r="W192" s="152" t="inlineStr">
        <is>
          <t>release date + stated time</t>
        </is>
      </c>
      <c r="X192" s="152" t="inlineStr">
        <is>
          <t>GIS</t>
        </is>
      </c>
      <c r="Y192" s="152" t="inlineStr">
        <is>
          <t>2026-03-17</t>
        </is>
      </c>
      <c r="Z192" s="152" t="n">
        <v>37.4487</v>
      </c>
      <c r="AA192" s="152" t="inlineStr">
        <is>
          <t>2026-03-18</t>
        </is>
      </c>
      <c r="AB192" s="152" t="n">
        <v>37.3617</v>
      </c>
      <c r="AC192" s="152" t="n">
        <v>-0.00232318938662682</v>
      </c>
      <c r="AD192" s="152" t="inlineStr">
        <is>
          <t>FLAT</t>
        </is>
      </c>
      <c r="AE192" s="152" t="inlineStr">
        <is>
          <t>NO</t>
        </is>
      </c>
      <c r="AF192" s="152" t="n">
        <v>0.001323</v>
      </c>
      <c r="AG192" s="152">
        <f>IF($A192="","",IFERROR(INDEX(Company_List!$G$3:$G$207,MATCH($A192,Company_List!$A$3:$A$207,0)),"unassigned"))</f>
        <v/>
      </c>
      <c r="AH192" s="152" t="inlineStr">
        <is>
          <t>Phase 3/Readings/General Mills/General Millss 2026 Q3.pdf</t>
        </is>
      </c>
      <c r="AI192" s="152" t="n"/>
      <c r="AJ192" s="152" t="inlineStr">
        <is>
          <t>unique filename match</t>
        </is>
      </c>
      <c r="AK192" s="152">
        <f>IF($A192="","",IF(COUNTIFS(Human_Data_Entry!$A$3:$A$525,$A192)&gt;0,"YES","NO"))</f>
        <v/>
      </c>
      <c r="AL192" s="152">
        <f>IF($A192="","",IF(AND($C192&amp;"-"&amp;$D192&gt;=Settings!$B$19,$C192&amp;"-"&amp;$D192&lt;=Settings!$B$20),"IN","OUT"))</f>
        <v/>
      </c>
      <c r="AM192" s="152">
        <f>IF(AND(OR($H192="BUY",$H192="SELL"),ISNUMBER($T192)),$T192,"")</f>
        <v/>
      </c>
      <c r="AN192" s="152">
        <f>IF(AND(OR($H192="BUY",$H192="SELL"),ISNUMBER($AF192)),$AF192,"")</f>
        <v/>
      </c>
      <c r="AO192" s="152">
        <f>IF(ISNUMBER($AM192),ABS(IF(ISNUMBER($G192),$G192,0)-Settings!$B$25),"")</f>
        <v/>
      </c>
      <c r="AP192" s="152">
        <f>IF(ISNUMBER($AO192),$AO192*$AM192,"")</f>
        <v/>
      </c>
      <c r="AQ192" s="152">
        <f>IF(ISNUMBER($AN192),ABS(IF(ISNUMBER($G192),$G192,0)-Settings!$B$25),"")</f>
        <v/>
      </c>
      <c r="AR192" s="152">
        <f>IF(ISNUMBER($AQ192),$AQ192*$AN192,"")</f>
        <v/>
      </c>
      <c r="AS192" s="152">
        <f>IF($A192="","",IFERROR(INDEX(Company_List!$H$3:$H$207,MATCH($A192,Company_List!$A$3:$A$207,0)),"unassigned"))</f>
        <v/>
      </c>
      <c r="AT192" s="152" t="inlineStr">
        <is>
          <t>not in v1</t>
        </is>
      </c>
      <c r="AU192" s="152" t="inlineStr">
        <is>
          <t>no earlier record</t>
        </is>
      </c>
      <c r="AV192" s="152" t="n">
        <v>1</v>
      </c>
      <c r="AW192" s="152" t="inlineStr">
        <is>
          <t>not publisher-identified</t>
        </is>
      </c>
      <c r="AX192" s="152" t="inlineStr">
        <is>
          <t>not publisher-identified</t>
        </is>
      </c>
      <c r="AY192" s="152" t="inlineStr">
        <is>
          <t>no</t>
        </is>
      </c>
      <c r="AZ192" s="152" t="inlineStr">
        <is>
          <t>no</t>
        </is>
      </c>
      <c r="BA192" s="152" t="inlineStr">
        <is>
          <t>YES</t>
        </is>
      </c>
      <c r="BB192" s="152" t="n"/>
    </row>
    <row r="193" ht="15" customHeight="1" s="241">
      <c r="A193" s="191" t="inlineStr">
        <is>
          <t>General Mills</t>
        </is>
      </c>
      <c r="B193" s="188" t="inlineStr">
        <is>
          <t>GIS</t>
        </is>
      </c>
      <c r="C193" s="176" t="n">
        <v>2026</v>
      </c>
      <c r="D193" s="177" t="inlineStr">
        <is>
          <t>Q4</t>
        </is>
      </c>
      <c r="E193" s="178" t="inlineStr">
        <is>
          <t>Ben/DeepSeek</t>
        </is>
      </c>
      <c r="F193" s="177" t="inlineStr">
        <is>
          <t>LLM</t>
        </is>
      </c>
      <c r="G193" s="196" t="n">
        <v>-0.3</v>
      </c>
      <c r="H193" s="177" t="inlineStr">
        <is>
          <t>SELL</t>
        </is>
      </c>
      <c r="I193" s="196" t="n"/>
      <c r="J193" s="182" t="n">
        <v>46204</v>
      </c>
      <c r="K193" s="182" t="n">
        <v>46203</v>
      </c>
      <c r="L193" s="183" t="n">
        <v>34.8</v>
      </c>
      <c r="M193" s="182" t="n">
        <v>46204</v>
      </c>
      <c r="N193" s="183" t="n">
        <v>37.72</v>
      </c>
      <c r="O193" s="180" t="n">
        <v>0.009717999999999999</v>
      </c>
      <c r="P193" s="197" t="n">
        <v>0.08390800000000001</v>
      </c>
      <c r="Q193" s="177" t="inlineStr">
        <is>
          <t>UP</t>
        </is>
      </c>
      <c r="R193" s="177" t="inlineStr">
        <is>
          <t>NO</t>
        </is>
      </c>
      <c r="S193" s="176" t="n">
        <v>-1</v>
      </c>
      <c r="T193" s="197" t="n">
        <v>-0.084908</v>
      </c>
      <c r="U193" s="185" t="inlineStr">
        <is>
          <t>w=[0.80,0.20,0,0] thr=(+0.20,-0.10), deployed default promoted 2026-08-18 (PSR=0.964, permutation p=0.0002 at N=233, restricted search - see blend.py)</t>
        </is>
      </c>
      <c r="V193" s="152" t="inlineStr">
        <is>
          <t>FROZEN</t>
        </is>
      </c>
      <c r="W193" s="152" t="inlineStr">
        <is>
          <t>release date + stated time</t>
        </is>
      </c>
      <c r="X193" s="152" t="inlineStr">
        <is>
          <t>GIS</t>
        </is>
      </c>
      <c r="Y193" s="152" t="inlineStr">
        <is>
          <t>2026-06-30</t>
        </is>
      </c>
      <c r="Z193" s="152" t="n">
        <v>34.2079</v>
      </c>
      <c r="AA193" s="152" t="inlineStr">
        <is>
          <t>2026-07-01</t>
        </is>
      </c>
      <c r="AB193" s="152" t="n">
        <v>37.0782</v>
      </c>
      <c r="AC193" s="152" t="n">
        <v>0.08390805978829378</v>
      </c>
      <c r="AD193" s="152" t="inlineStr">
        <is>
          <t>UP</t>
        </is>
      </c>
      <c r="AE193" s="152" t="inlineStr">
        <is>
          <t>NO</t>
        </is>
      </c>
      <c r="AF193" s="152" t="n">
        <v>-0.084908</v>
      </c>
      <c r="AG193" s="152">
        <f>IF($A193="","",IFERROR(INDEX(Company_List!$G$3:$G$207,MATCH($A193,Company_List!$A$3:$A$207,0)),"unassigned"))</f>
        <v/>
      </c>
      <c r="AH193" s="152" t="inlineStr">
        <is>
          <t>Phase 3/Readings/General Mills/GIS Q4 2026 Earnings Call Transcript.pdf</t>
        </is>
      </c>
      <c r="AI193" s="152" t="n"/>
      <c r="AJ193" s="152" t="inlineStr">
        <is>
          <t>unique filename match</t>
        </is>
      </c>
      <c r="AK193" s="152">
        <f>IF($A193="","",IF(COUNTIFS(Human_Data_Entry!$A$3:$A$525,$A193)&gt;0,"YES","NO"))</f>
        <v/>
      </c>
      <c r="AL193" s="152">
        <f>IF($A193="","",IF(AND($C193&amp;"-"&amp;$D193&gt;=Settings!$B$19,$C193&amp;"-"&amp;$D193&lt;=Settings!$B$20),"IN","OUT"))</f>
        <v/>
      </c>
      <c r="AM193" s="152">
        <f>IF(AND(OR($H193="BUY",$H193="SELL"),ISNUMBER($T193)),$T193,"")</f>
        <v/>
      </c>
      <c r="AN193" s="152">
        <f>IF(AND(OR($H193="BUY",$H193="SELL"),ISNUMBER($AF193)),$AF193,"")</f>
        <v/>
      </c>
      <c r="AO193" s="152">
        <f>IF(ISNUMBER($AM193),ABS(IF(ISNUMBER($G193),$G193,0)-Settings!$B$25),"")</f>
        <v/>
      </c>
      <c r="AP193" s="152">
        <f>IF(ISNUMBER($AO193),$AO193*$AM193,"")</f>
        <v/>
      </c>
      <c r="AQ193" s="152">
        <f>IF(ISNUMBER($AN193),ABS(IF(ISNUMBER($G193),$G193,0)-Settings!$B$25),"")</f>
        <v/>
      </c>
      <c r="AR193" s="152">
        <f>IF(ISNUMBER($AQ193),$AQ193*$AN193,"")</f>
        <v/>
      </c>
      <c r="AS193" s="152">
        <f>IF($A193="","",IFERROR(INDEX(Company_List!$H$3:$H$207,MATCH($A193,Company_List!$A$3:$A$207,0)),"unassigned"))</f>
        <v/>
      </c>
      <c r="AT193" s="152" t="inlineStr">
        <is>
          <t>not in v1</t>
        </is>
      </c>
      <c r="AU193" s="152" t="inlineStr">
        <is>
          <t>no earlier record</t>
        </is>
      </c>
      <c r="AV193" s="152" t="n">
        <v>1</v>
      </c>
      <c r="AW193" s="152" t="inlineStr">
        <is>
          <t>The Motley Fool</t>
        </is>
      </c>
      <c r="AX193" s="152" t="inlineStr">
        <is>
          <t>free to read, copyright asserted</t>
        </is>
      </c>
      <c r="AY193" s="152" t="inlineStr">
        <is>
          <t>no</t>
        </is>
      </c>
      <c r="AZ193" s="152" t="inlineStr">
        <is>
          <t>no</t>
        </is>
      </c>
      <c r="BA193" s="152" t="inlineStr">
        <is>
          <t>YES</t>
        </is>
      </c>
      <c r="BB193" s="152" t="n"/>
    </row>
    <row r="194" ht="15" customHeight="1" s="241">
      <c r="A194" s="191" t="inlineStr">
        <is>
          <t>Johnson &amp; Johnson</t>
        </is>
      </c>
      <c r="B194" s="188" t="inlineStr">
        <is>
          <t>JNJ</t>
        </is>
      </c>
      <c r="C194" s="176" t="n">
        <v>2025</v>
      </c>
      <c r="D194" s="177" t="inlineStr">
        <is>
          <t>Q1</t>
        </is>
      </c>
      <c r="E194" s="178" t="inlineStr">
        <is>
          <t>Ben/DeepSeek</t>
        </is>
      </c>
      <c r="F194" s="177" t="inlineStr">
        <is>
          <t>LLM</t>
        </is>
      </c>
      <c r="G194" s="196" t="n">
        <v>0.14</v>
      </c>
      <c r="H194" s="177" t="inlineStr">
        <is>
          <t>HOLD</t>
        </is>
      </c>
      <c r="I194" s="196" t="n"/>
      <c r="J194" s="182" t="n">
        <v>45761</v>
      </c>
      <c r="K194" s="182" t="n">
        <v>45761</v>
      </c>
      <c r="L194" s="183" t="n">
        <v>154.36</v>
      </c>
      <c r="M194" s="182" t="n">
        <v>45762</v>
      </c>
      <c r="N194" s="183" t="n">
        <v>155.7</v>
      </c>
      <c r="O194" s="180" t="n">
        <v>0.011317</v>
      </c>
      <c r="P194" s="197" t="n">
        <v>0.008680999999999999</v>
      </c>
      <c r="Q194" s="177" t="inlineStr">
        <is>
          <t>FLAT</t>
        </is>
      </c>
      <c r="R194" s="177" t="inlineStr">
        <is>
          <t>YES</t>
        </is>
      </c>
      <c r="S194" s="176" t="n">
        <v>0</v>
      </c>
      <c r="T194" s="197" t="n">
        <v>0</v>
      </c>
      <c r="U194" s="185" t="inlineStr">
        <is>
          <t>w=[0.80,0.20,0,0] thr=(+0.20,-0.10), deployed default promoted 2026-08-18 (PSR=0.964, permutation p=0.0002 at N=233, restricted search - see blend.py)</t>
        </is>
      </c>
      <c r="V194" s="152" t="inlineStr">
        <is>
          <t>FROZEN</t>
        </is>
      </c>
      <c r="W194" s="152" t="inlineStr">
        <is>
          <t>release date + stated time</t>
        </is>
      </c>
      <c r="X194" s="152" t="inlineStr">
        <is>
          <t>JNJ</t>
        </is>
      </c>
      <c r="Y194" s="152" t="inlineStr">
        <is>
          <t>2025-04-14</t>
        </is>
      </c>
      <c r="Z194" s="152" t="n">
        <v>149.3171</v>
      </c>
      <c r="AA194" s="152" t="inlineStr">
        <is>
          <t>2025-04-15</t>
        </is>
      </c>
      <c r="AB194" s="152" t="n">
        <v>150.6133</v>
      </c>
      <c r="AC194" s="152" t="n">
        <v>0.008680939853563819</v>
      </c>
      <c r="AD194" s="152" t="inlineStr">
        <is>
          <t>FLAT</t>
        </is>
      </c>
      <c r="AE194" s="152" t="inlineStr">
        <is>
          <t>YES</t>
        </is>
      </c>
      <c r="AF194" s="152" t="n">
        <v>0</v>
      </c>
      <c r="AG194" s="152">
        <f>IF($A194="","",IFERROR(INDEX(Company_List!$G$3:$G$207,MATCH($A194,Company_List!$A$3:$A$207,0)),"unassigned"))</f>
        <v/>
      </c>
      <c r="AH194" s="152" t="inlineStr">
        <is>
          <t>Phase 3/Readings/Jonson &amp; Jonson/JNJ_N-Transcript-2025-04-15T12_30.pdf</t>
        </is>
      </c>
      <c r="AI194" s="152" t="n"/>
      <c r="AJ194" s="152" t="inlineStr">
        <is>
          <t>unique filename match</t>
        </is>
      </c>
      <c r="AK194" s="152">
        <f>IF($A194="","",IF(COUNTIFS(Human_Data_Entry!$A$3:$A$525,$A194)&gt;0,"YES","NO"))</f>
        <v/>
      </c>
      <c r="AL194" s="152">
        <f>IF($A194="","",IF(AND($C194&amp;"-"&amp;$D194&gt;=Settings!$B$19,$C194&amp;"-"&amp;$D194&lt;=Settings!$B$20),"IN","OUT"))</f>
        <v/>
      </c>
      <c r="AM194" s="152">
        <f>IF(AND(OR($H194="BUY",$H194="SELL"),ISNUMBER($T194)),$T194,"")</f>
        <v/>
      </c>
      <c r="AN194" s="152">
        <f>IF(AND(OR($H194="BUY",$H194="SELL"),ISNUMBER($AF194)),$AF194,"")</f>
        <v/>
      </c>
      <c r="AO194" s="152">
        <f>IF(ISNUMBER($AM194),ABS(IF(ISNUMBER($G194),$G194,0)-Settings!$B$25),"")</f>
        <v/>
      </c>
      <c r="AP194" s="152">
        <f>IF(ISNUMBER($AO194),$AO194*$AM194,"")</f>
        <v/>
      </c>
      <c r="AQ194" s="152">
        <f>IF(ISNUMBER($AN194),ABS(IF(ISNUMBER($G194),$G194,0)-Settings!$B$25),"")</f>
        <v/>
      </c>
      <c r="AR194" s="152">
        <f>IF(ISNUMBER($AQ194),$AQ194*$AN194,"")</f>
        <v/>
      </c>
      <c r="AS194" s="152">
        <f>IF($A194="","",IFERROR(INDEX(Company_List!$H$3:$H$207,MATCH($A194,Company_List!$A$3:$A$207,0)),"unassigned"))</f>
        <v/>
      </c>
      <c r="AT194" s="152" t="inlineStr">
        <is>
          <t>not in v1</t>
        </is>
      </c>
      <c r="AU194" s="152" t="inlineStr">
        <is>
          <t>no earlier record</t>
        </is>
      </c>
      <c r="AV194" s="152" t="n">
        <v>1</v>
      </c>
      <c r="AW194" s="152" t="inlineStr">
        <is>
          <t>Refinitiv / LSEG StreetEvents</t>
        </is>
      </c>
      <c r="AX194" s="152" t="inlineStr">
        <is>
          <t>licensed vendor</t>
        </is>
      </c>
      <c r="AY194" s="152" t="inlineStr">
        <is>
          <t>no</t>
        </is>
      </c>
      <c r="AZ194" s="152" t="inlineStr">
        <is>
          <t>no</t>
        </is>
      </c>
      <c r="BA194" s="152" t="inlineStr">
        <is>
          <t>YES</t>
        </is>
      </c>
      <c r="BB194" s="152" t="n"/>
    </row>
    <row r="195" ht="15" customHeight="1" s="241">
      <c r="A195" s="191" t="inlineStr">
        <is>
          <t>Johnson &amp; Johnson</t>
        </is>
      </c>
      <c r="B195" s="188" t="inlineStr">
        <is>
          <t>JNJ</t>
        </is>
      </c>
      <c r="C195" s="176" t="n">
        <v>2025</v>
      </c>
      <c r="D195" s="177" t="inlineStr">
        <is>
          <t>Q2</t>
        </is>
      </c>
      <c r="E195" s="178" t="inlineStr">
        <is>
          <t>Ben/DeepSeek</t>
        </is>
      </c>
      <c r="F195" s="177" t="inlineStr">
        <is>
          <t>LLM</t>
        </is>
      </c>
      <c r="G195" s="196" t="n">
        <v>0.46</v>
      </c>
      <c r="H195" s="177" t="inlineStr">
        <is>
          <t>BUY</t>
        </is>
      </c>
      <c r="I195" s="196" t="n"/>
      <c r="J195" s="182" t="n">
        <v>45853</v>
      </c>
      <c r="K195" s="182" t="n">
        <v>45853</v>
      </c>
      <c r="L195" s="183" t="n">
        <v>155.17</v>
      </c>
      <c r="M195" s="182" t="n">
        <v>45854</v>
      </c>
      <c r="N195" s="183" t="n">
        <v>160.3</v>
      </c>
      <c r="O195" s="180" t="n">
        <v>0.011801</v>
      </c>
      <c r="P195" s="197" t="n">
        <v>0.033061</v>
      </c>
      <c r="Q195" s="177" t="inlineStr">
        <is>
          <t>UP</t>
        </is>
      </c>
      <c r="R195" s="177" t="inlineStr">
        <is>
          <t>YES</t>
        </is>
      </c>
      <c r="S195" s="176" t="n">
        <v>1</v>
      </c>
      <c r="T195" s="197" t="n">
        <v>0.032061</v>
      </c>
      <c r="U195" s="185" t="inlineStr">
        <is>
          <t>w=[0.80,0.20,0,0] thr=(+0.20,-0.10), deployed default promoted 2026-08-18 (PSR=0.964, permutation p=0.0002 at N=233, restricted search - see blend.py)</t>
        </is>
      </c>
      <c r="V195" s="152" t="inlineStr">
        <is>
          <t>FROZEN</t>
        </is>
      </c>
      <c r="W195" s="152" t="inlineStr">
        <is>
          <t>release date + stated time in the document (document)</t>
        </is>
      </c>
      <c r="X195" s="152" t="inlineStr">
        <is>
          <t>JNJ</t>
        </is>
      </c>
      <c r="Y195" s="152" t="inlineStr">
        <is>
          <t>2025-07-15</t>
        </is>
      </c>
      <c r="Z195" s="152" t="n">
        <v>151.3874</v>
      </c>
      <c r="AA195" s="152" t="inlineStr">
        <is>
          <t>2025-07-16</t>
        </is>
      </c>
      <c r="AB195" s="152" t="n">
        <v>156.3924</v>
      </c>
      <c r="AC195" s="152" t="n">
        <v>0.03306050751914497</v>
      </c>
      <c r="AD195" s="152" t="inlineStr">
        <is>
          <t>UP</t>
        </is>
      </c>
      <c r="AE195" s="152" t="inlineStr">
        <is>
          <t>YES</t>
        </is>
      </c>
      <c r="AF195" s="152" t="n">
        <v>0.032061</v>
      </c>
      <c r="AG195" s="152">
        <f>IF($A195="","",IFERROR(INDEX(Company_List!$G$3:$G$207,MATCH($A195,Company_List!$A$3:$A$207,0)),"unassigned"))</f>
        <v/>
      </c>
      <c r="AH195" s="152" t="inlineStr">
        <is>
          <t>Phase 3/Readings/Jonson &amp; Jonson/JNJ-USQ_Transcript_2025-07-16.pdf</t>
        </is>
      </c>
      <c r="AI195" s="152" t="n"/>
      <c r="AJ195" s="152" t="inlineStr">
        <is>
          <t>unique filename match</t>
        </is>
      </c>
      <c r="AK195" s="152">
        <f>IF($A195="","",IF(COUNTIFS(Human_Data_Entry!$A$3:$A$525,$A195)&gt;0,"YES","NO"))</f>
        <v/>
      </c>
      <c r="AL195" s="152">
        <f>IF($A195="","",IF(AND($C195&amp;"-"&amp;$D195&gt;=Settings!$B$19,$C195&amp;"-"&amp;$D195&lt;=Settings!$B$20),"IN","OUT"))</f>
        <v/>
      </c>
      <c r="AM195" s="152">
        <f>IF(AND(OR($H195="BUY",$H195="SELL"),ISNUMBER($T195)),$T195,"")</f>
        <v/>
      </c>
      <c r="AN195" s="152">
        <f>IF(AND(OR($H195="BUY",$H195="SELL"),ISNUMBER($AF195)),$AF195,"")</f>
        <v/>
      </c>
      <c r="AO195" s="152">
        <f>IF(ISNUMBER($AM195),ABS(IF(ISNUMBER($G195),$G195,0)-Settings!$B$25),"")</f>
        <v/>
      </c>
      <c r="AP195" s="152">
        <f>IF(ISNUMBER($AO195),$AO195*$AM195,"")</f>
        <v/>
      </c>
      <c r="AQ195" s="152">
        <f>IF(ISNUMBER($AN195),ABS(IF(ISNUMBER($G195),$G195,0)-Settings!$B$25),"")</f>
        <v/>
      </c>
      <c r="AR195" s="152">
        <f>IF(ISNUMBER($AQ195),$AQ195*$AN195,"")</f>
        <v/>
      </c>
      <c r="AS195" s="152">
        <f>IF($A195="","",IFERROR(INDEX(Company_List!$H$3:$H$207,MATCH($A195,Company_List!$A$3:$A$207,0)),"unassigned"))</f>
        <v/>
      </c>
      <c r="AT195" s="152" t="inlineStr">
        <is>
          <t>not in v1</t>
        </is>
      </c>
      <c r="AU195" s="152" t="inlineStr">
        <is>
          <t>no earlier record</t>
        </is>
      </c>
      <c r="AV195" s="152" t="n">
        <v>1</v>
      </c>
      <c r="AW195" s="152" t="inlineStr">
        <is>
          <t>Refinitiv / LSEG StreetEvents</t>
        </is>
      </c>
      <c r="AX195" s="152" t="inlineStr">
        <is>
          <t>licensed vendor</t>
        </is>
      </c>
      <c r="AY195" s="152" t="inlineStr">
        <is>
          <t>no</t>
        </is>
      </c>
      <c r="AZ195" s="152" t="inlineStr">
        <is>
          <t>no</t>
        </is>
      </c>
      <c r="BA195" s="152" t="inlineStr">
        <is>
          <t>YES</t>
        </is>
      </c>
      <c r="BB195" s="152" t="n"/>
    </row>
    <row r="196" ht="15" customHeight="1" s="241">
      <c r="A196" s="191" t="inlineStr">
        <is>
          <t>Johnson &amp; Johnson</t>
        </is>
      </c>
      <c r="B196" s="188" t="inlineStr">
        <is>
          <t>JNJ</t>
        </is>
      </c>
      <c r="C196" s="176" t="n">
        <v>2025</v>
      </c>
      <c r="D196" s="177" t="inlineStr">
        <is>
          <t>Q3</t>
        </is>
      </c>
      <c r="E196" s="178" t="inlineStr">
        <is>
          <t>Ben/DeepSeek</t>
        </is>
      </c>
      <c r="F196" s="177" t="inlineStr">
        <is>
          <t>LLM</t>
        </is>
      </c>
      <c r="G196" s="196" t="n">
        <v>0.5</v>
      </c>
      <c r="H196" s="177" t="inlineStr">
        <is>
          <t>BUY</t>
        </is>
      </c>
      <c r="I196" s="196" t="n"/>
      <c r="J196" s="182" t="n">
        <v>45943</v>
      </c>
      <c r="K196" s="182" t="n">
        <v>45943</v>
      </c>
      <c r="L196" s="183" t="n">
        <v>190.9</v>
      </c>
      <c r="M196" s="182" t="n">
        <v>45944</v>
      </c>
      <c r="N196" s="183" t="n">
        <v>192.92</v>
      </c>
      <c r="O196" s="180" t="n">
        <v>0.011862</v>
      </c>
      <c r="P196" s="197" t="n">
        <v>0.010581</v>
      </c>
      <c r="Q196" s="177" t="inlineStr">
        <is>
          <t>FLAT</t>
        </is>
      </c>
      <c r="R196" s="177" t="inlineStr">
        <is>
          <t>NO</t>
        </is>
      </c>
      <c r="S196" s="176" t="n">
        <v>1</v>
      </c>
      <c r="T196" s="197" t="n">
        <v>0.009580999999999999</v>
      </c>
      <c r="U196" s="185" t="inlineStr">
        <is>
          <t>w=[0.80,0.20,0,0] thr=(+0.20,-0.10), deployed default promoted 2026-08-18 (PSR=0.964, permutation p=0.0002 at N=233, restricted search - see blend.py)</t>
        </is>
      </c>
      <c r="V196" s="152" t="inlineStr">
        <is>
          <t>FROZEN</t>
        </is>
      </c>
      <c r="W196" s="152" t="inlineStr">
        <is>
          <t>release date + stated time in the document (document)</t>
        </is>
      </c>
      <c r="X196" s="152" t="inlineStr">
        <is>
          <t>JNJ</t>
        </is>
      </c>
      <c r="Y196" s="152" t="inlineStr">
        <is>
          <t>2025-10-13</t>
        </is>
      </c>
      <c r="Z196" s="152" t="n">
        <v>187.6135</v>
      </c>
      <c r="AA196" s="152" t="inlineStr">
        <is>
          <t>2025-10-14</t>
        </is>
      </c>
      <c r="AB196" s="152" t="n">
        <v>189.5987</v>
      </c>
      <c r="AC196" s="152" t="n">
        <v>0.01058152825636535</v>
      </c>
      <c r="AD196" s="152" t="inlineStr">
        <is>
          <t>FLAT</t>
        </is>
      </c>
      <c r="AE196" s="152" t="inlineStr">
        <is>
          <t>NO</t>
        </is>
      </c>
      <c r="AF196" s="152" t="n">
        <v>0.009582</v>
      </c>
      <c r="AG196" s="152">
        <f>IF($A196="","",IFERROR(INDEX(Company_List!$G$3:$G$207,MATCH($A196,Company_List!$A$3:$A$207,0)),"unassigned"))</f>
        <v/>
      </c>
      <c r="AH196" s="152" t="inlineStr">
        <is>
          <t>Phase 3/Readings/Jonson &amp; Jonson/JNJ-USQ_Transcript_2025-10-14.pdf</t>
        </is>
      </c>
      <c r="AI196" s="152" t="n"/>
      <c r="AJ196" s="152" t="inlineStr">
        <is>
          <t>unique filename match</t>
        </is>
      </c>
      <c r="AK196" s="152">
        <f>IF($A196="","",IF(COUNTIFS(Human_Data_Entry!$A$3:$A$525,$A196)&gt;0,"YES","NO"))</f>
        <v/>
      </c>
      <c r="AL196" s="152">
        <f>IF($A196="","",IF(AND($C196&amp;"-"&amp;$D196&gt;=Settings!$B$19,$C196&amp;"-"&amp;$D196&lt;=Settings!$B$20),"IN","OUT"))</f>
        <v/>
      </c>
      <c r="AM196" s="152">
        <f>IF(AND(OR($H196="BUY",$H196="SELL"),ISNUMBER($T196)),$T196,"")</f>
        <v/>
      </c>
      <c r="AN196" s="152">
        <f>IF(AND(OR($H196="BUY",$H196="SELL"),ISNUMBER($AF196)),$AF196,"")</f>
        <v/>
      </c>
      <c r="AO196" s="152">
        <f>IF(ISNUMBER($AM196),ABS(IF(ISNUMBER($G196),$G196,0)-Settings!$B$25),"")</f>
        <v/>
      </c>
      <c r="AP196" s="152">
        <f>IF(ISNUMBER($AO196),$AO196*$AM196,"")</f>
        <v/>
      </c>
      <c r="AQ196" s="152">
        <f>IF(ISNUMBER($AN196),ABS(IF(ISNUMBER($G196),$G196,0)-Settings!$B$25),"")</f>
        <v/>
      </c>
      <c r="AR196" s="152">
        <f>IF(ISNUMBER($AQ196),$AQ196*$AN196,"")</f>
        <v/>
      </c>
      <c r="AS196" s="152">
        <f>IF($A196="","",IFERROR(INDEX(Company_List!$H$3:$H$207,MATCH($A196,Company_List!$A$3:$A$207,0)),"unassigned"))</f>
        <v/>
      </c>
      <c r="AT196" s="152" t="inlineStr">
        <is>
          <t>not in v1</t>
        </is>
      </c>
      <c r="AU196" s="152" t="inlineStr">
        <is>
          <t>no earlier record</t>
        </is>
      </c>
      <c r="AV196" s="152" t="n">
        <v>1</v>
      </c>
      <c r="AW196" s="152" t="inlineStr">
        <is>
          <t>Refinitiv / LSEG StreetEvents</t>
        </is>
      </c>
      <c r="AX196" s="152" t="inlineStr">
        <is>
          <t>licensed vendor</t>
        </is>
      </c>
      <c r="AY196" s="152" t="inlineStr">
        <is>
          <t>no</t>
        </is>
      </c>
      <c r="AZ196" s="152" t="inlineStr">
        <is>
          <t>no</t>
        </is>
      </c>
      <c r="BA196" s="152" t="inlineStr">
        <is>
          <t>YES</t>
        </is>
      </c>
      <c r="BB196" s="152" t="n"/>
    </row>
    <row r="197" ht="15" customHeight="1" s="241">
      <c r="A197" s="191" t="inlineStr">
        <is>
          <t>Kraft Heinz</t>
        </is>
      </c>
      <c r="B197" s="188" t="inlineStr">
        <is>
          <t>KHC</t>
        </is>
      </c>
      <c r="C197" s="176" t="n">
        <v>2025</v>
      </c>
      <c r="D197" s="177" t="inlineStr">
        <is>
          <t>Q1</t>
        </is>
      </c>
      <c r="E197" s="178" t="inlineStr">
        <is>
          <t>Ben/DeepSeek</t>
        </is>
      </c>
      <c r="F197" s="177" t="inlineStr">
        <is>
          <t>LLM</t>
        </is>
      </c>
      <c r="G197" s="196" t="n">
        <v>-0.23</v>
      </c>
      <c r="H197" s="177" t="inlineStr">
        <is>
          <t>SELL</t>
        </is>
      </c>
      <c r="I197" s="196" t="n"/>
      <c r="J197" s="182" t="n">
        <v>46064</v>
      </c>
      <c r="K197" s="182" t="n">
        <v>46062</v>
      </c>
      <c r="L197" s="183" t="n">
        <v>24.9</v>
      </c>
      <c r="M197" s="182" t="n">
        <v>46063</v>
      </c>
      <c r="N197" s="183" t="n">
        <v>23.8</v>
      </c>
      <c r="O197" s="180" t="n">
        <v>0.007848000000000001</v>
      </c>
      <c r="P197" s="197" t="n">
        <v>-0.044177</v>
      </c>
      <c r="Q197" s="177" t="inlineStr">
        <is>
          <t>DOWN</t>
        </is>
      </c>
      <c r="R197" s="177" t="inlineStr">
        <is>
          <t>YES</t>
        </is>
      </c>
      <c r="S197" s="176" t="n">
        <v>-1</v>
      </c>
      <c r="T197" s="197" t="n">
        <v>0.043177</v>
      </c>
      <c r="U197" s="185" t="inlineStr">
        <is>
          <t>w=[0.80,0.20,0,0] thr=(+0.20,-0.10), deployed default promoted 2026-08-18 (PSR=0.964, permutation p=0.0002 at N=233, restricted search - see blend.py)</t>
        </is>
      </c>
      <c r="V197" s="152" t="inlineStr">
        <is>
          <t>FROZEN</t>
        </is>
      </c>
      <c r="W197" s="152" t="inlineStr">
        <is>
          <t>release date + stated time</t>
        </is>
      </c>
      <c r="X197" s="152" t="inlineStr">
        <is>
          <t>KHC</t>
        </is>
      </c>
      <c r="Y197" s="152" t="inlineStr">
        <is>
          <t>2026-02-10</t>
        </is>
      </c>
      <c r="Z197" s="152" t="n">
        <v>24.053</v>
      </c>
      <c r="AA197" s="152" t="inlineStr">
        <is>
          <t>2026-02-11</t>
        </is>
      </c>
      <c r="AB197" s="152" t="n">
        <v>22.9904</v>
      </c>
      <c r="AC197" s="152" t="n">
        <v>-0.04417676864599556</v>
      </c>
      <c r="AD197" s="152" t="inlineStr">
        <is>
          <t>DOWN</t>
        </is>
      </c>
      <c r="AE197" s="152" t="inlineStr">
        <is>
          <t>YES</t>
        </is>
      </c>
      <c r="AF197" s="152" t="n">
        <v>0.043177</v>
      </c>
      <c r="AG197" s="152">
        <f>IF($A197="","",IFERROR(INDEX(Company_List!$G$3:$G$207,MATCH($A197,Company_List!$A$3:$A$207,0)),"unassigned"))</f>
        <v/>
      </c>
      <c r="AH197" s="152" t="inlineStr">
        <is>
          <t>Phase 3/Readings/Kraft Heinz/2025-Q4/KHC-2025-Q4-press-release-SEC-EX-99-1.htm</t>
        </is>
      </c>
      <c r="AI197" s="152" t="inlineStr">
        <is>
          <t>https://www.sec.gov/Archives/edgar/data/1637459/000163745926000006/ex991-erq42025.htm</t>
        </is>
      </c>
      <c r="AJ197" s="152" t="inlineStr">
        <is>
          <t>manifest</t>
        </is>
      </c>
      <c r="AK197" s="152">
        <f>IF($A197="","",IF(COUNTIFS(Human_Data_Entry!$A$3:$A$525,$A197)&gt;0,"YES","NO"))</f>
        <v/>
      </c>
      <c r="AL197" s="152">
        <f>IF($A197="","",IF(AND($C197&amp;"-"&amp;$D197&gt;=Settings!$B$19,$C197&amp;"-"&amp;$D197&lt;=Settings!$B$20),"IN","OUT"))</f>
        <v/>
      </c>
      <c r="AM197" s="152">
        <f>IF(AND(OR($H197="BUY",$H197="SELL"),ISNUMBER($T197)),$T197,"")</f>
        <v/>
      </c>
      <c r="AN197" s="152">
        <f>IF(AND(OR($H197="BUY",$H197="SELL"),ISNUMBER($AF197)),$AF197,"")</f>
        <v/>
      </c>
      <c r="AO197" s="152">
        <f>IF(ISNUMBER($AM197),ABS(IF(ISNUMBER($G197),$G197,0)-Settings!$B$25),"")</f>
        <v/>
      </c>
      <c r="AP197" s="152">
        <f>IF(ISNUMBER($AO197),$AO197*$AM197,"")</f>
        <v/>
      </c>
      <c r="AQ197" s="152">
        <f>IF(ISNUMBER($AN197),ABS(IF(ISNUMBER($G197),$G197,0)-Settings!$B$25),"")</f>
        <v/>
      </c>
      <c r="AR197" s="152">
        <f>IF(ISNUMBER($AQ197),$AQ197*$AN197,"")</f>
        <v/>
      </c>
      <c r="AS197" s="152">
        <f>IF($A197="","",IFERROR(INDEX(Company_List!$H$3:$H$207,MATCH($A197,Company_List!$A$3:$A$207,0)),"unassigned"))</f>
        <v/>
      </c>
      <c r="AT197" s="152" t="inlineStr">
        <is>
          <t>not in v1</t>
        </is>
      </c>
      <c r="AU197" s="152" t="inlineStr">
        <is>
          <t>no earlier record</t>
        </is>
      </c>
      <c r="AV197" s="152" t="n">
        <v>1</v>
      </c>
      <c r="AW197" s="152" t="inlineStr">
        <is>
          <t>not publisher-identified</t>
        </is>
      </c>
      <c r="AX197" s="152" t="inlineStr">
        <is>
          <t>not publisher-identified</t>
        </is>
      </c>
      <c r="AY197" s="152" t="inlineStr">
        <is>
          <t>no</t>
        </is>
      </c>
      <c r="AZ197" s="152" t="inlineStr">
        <is>
          <t>yes</t>
        </is>
      </c>
      <c r="BA197" s="152" t="inlineStr">
        <is>
          <t>YES</t>
        </is>
      </c>
      <c r="BB197" s="152" t="n"/>
    </row>
    <row r="198" ht="15" customHeight="1" s="241">
      <c r="A198" s="191" t="inlineStr">
        <is>
          <t>Kraft Heinz</t>
        </is>
      </c>
      <c r="B198" s="188" t="inlineStr">
        <is>
          <t>KHC</t>
        </is>
      </c>
      <c r="C198" s="176" t="n">
        <v>2026</v>
      </c>
      <c r="D198" s="177" t="inlineStr">
        <is>
          <t>Q1</t>
        </is>
      </c>
      <c r="E198" s="178" t="inlineStr">
        <is>
          <t>Ben/DeepSeek</t>
        </is>
      </c>
      <c r="F198" s="177" t="inlineStr">
        <is>
          <t>LLM</t>
        </is>
      </c>
      <c r="G198" s="196" t="n">
        <v>-0.22</v>
      </c>
      <c r="H198" s="177" t="inlineStr">
        <is>
          <t>SELL</t>
        </is>
      </c>
      <c r="I198" s="196" t="n"/>
      <c r="J198" s="182" t="n">
        <v>46148</v>
      </c>
      <c r="K198" s="182" t="n">
        <v>46147</v>
      </c>
      <c r="L198" s="183" t="n">
        <v>22.54</v>
      </c>
      <c r="M198" s="182" t="n">
        <v>46148</v>
      </c>
      <c r="N198" s="183" t="n">
        <v>23.17</v>
      </c>
      <c r="O198" s="180" t="n">
        <v>0.005625</v>
      </c>
      <c r="P198" s="197" t="n">
        <v>0.02795</v>
      </c>
      <c r="Q198" s="177" t="inlineStr">
        <is>
          <t>UP</t>
        </is>
      </c>
      <c r="R198" s="177" t="inlineStr">
        <is>
          <t>NO</t>
        </is>
      </c>
      <c r="S198" s="176" t="n">
        <v>-1</v>
      </c>
      <c r="T198" s="197" t="n">
        <v>-0.02895</v>
      </c>
      <c r="U198" s="185" t="inlineStr">
        <is>
          <t>w=[0.80,0.20,0,0] thr=(+0.20,-0.10), deployed default promoted 2026-08-18 (PSR=0.964, permutation p=0.0002 at N=233, restricted search - see blend.py)</t>
        </is>
      </c>
      <c r="V198" s="152" t="inlineStr">
        <is>
          <t>FROZEN</t>
        </is>
      </c>
      <c r="W198" s="152" t="inlineStr">
        <is>
          <t>release date + stated time</t>
        </is>
      </c>
      <c r="X198" s="152" t="inlineStr">
        <is>
          <t>KHC</t>
        </is>
      </c>
      <c r="Y198" s="152" t="inlineStr">
        <is>
          <t>2026-05-05</t>
        </is>
      </c>
      <c r="Z198" s="152" t="n">
        <v>22.1388</v>
      </c>
      <c r="AA198" s="152" t="inlineStr">
        <is>
          <t>2026-05-06</t>
        </is>
      </c>
      <c r="AB198" s="152" t="n">
        <v>22.7575</v>
      </c>
      <c r="AC198" s="152" t="n">
        <v>0.0279503014617634</v>
      </c>
      <c r="AD198" s="152" t="inlineStr">
        <is>
          <t>UP</t>
        </is>
      </c>
      <c r="AE198" s="152" t="inlineStr">
        <is>
          <t>NO</t>
        </is>
      </c>
      <c r="AF198" s="152" t="n">
        <v>-0.02895</v>
      </c>
      <c r="AG198" s="152">
        <f>IF($A198="","",IFERROR(INDEX(Company_List!$G$3:$G$207,MATCH($A198,Company_List!$A$3:$A$207,0)),"unassigned"))</f>
        <v/>
      </c>
      <c r="AH198" s="152" t="inlineStr">
        <is>
          <t>Phase 3/Readings/Kraft Heinz/KHC Q1 2026 Earnings Transcript.pdf</t>
        </is>
      </c>
      <c r="AI198" s="152" t="n"/>
      <c r="AJ198" s="152" t="inlineStr">
        <is>
          <t>unique filename match</t>
        </is>
      </c>
      <c r="AK198" s="152">
        <f>IF($A198="","",IF(COUNTIFS(Human_Data_Entry!$A$3:$A$525,$A198)&gt;0,"YES","NO"))</f>
        <v/>
      </c>
      <c r="AL198" s="152">
        <f>IF($A198="","",IF(AND($C198&amp;"-"&amp;$D198&gt;=Settings!$B$19,$C198&amp;"-"&amp;$D198&lt;=Settings!$B$20),"IN","OUT"))</f>
        <v/>
      </c>
      <c r="AM198" s="152">
        <f>IF(AND(OR($H198="BUY",$H198="SELL"),ISNUMBER($T198)),$T198,"")</f>
        <v/>
      </c>
      <c r="AN198" s="152">
        <f>IF(AND(OR($H198="BUY",$H198="SELL"),ISNUMBER($AF198)),$AF198,"")</f>
        <v/>
      </c>
      <c r="AO198" s="152">
        <f>IF(ISNUMBER($AM198),ABS(IF(ISNUMBER($G198),$G198,0)-Settings!$B$25),"")</f>
        <v/>
      </c>
      <c r="AP198" s="152">
        <f>IF(ISNUMBER($AO198),$AO198*$AM198,"")</f>
        <v/>
      </c>
      <c r="AQ198" s="152">
        <f>IF(ISNUMBER($AN198),ABS(IF(ISNUMBER($G198),$G198,0)-Settings!$B$25),"")</f>
        <v/>
      </c>
      <c r="AR198" s="152">
        <f>IF(ISNUMBER($AQ198),$AQ198*$AN198,"")</f>
        <v/>
      </c>
      <c r="AS198" s="152">
        <f>IF($A198="","",IFERROR(INDEX(Company_List!$H$3:$H$207,MATCH($A198,Company_List!$A$3:$A$207,0)),"unassigned"))</f>
        <v/>
      </c>
      <c r="AT198" s="152" t="inlineStr">
        <is>
          <t>not in v1</t>
        </is>
      </c>
      <c r="AU198" s="152" t="inlineStr">
        <is>
          <t>no earlier record</t>
        </is>
      </c>
      <c r="AV198" s="152" t="n">
        <v>1</v>
      </c>
      <c r="AW198" s="152" t="inlineStr">
        <is>
          <t>The Motley Fool</t>
        </is>
      </c>
      <c r="AX198" s="152" t="inlineStr">
        <is>
          <t>free to read, copyright asserted</t>
        </is>
      </c>
      <c r="AY198" s="152" t="inlineStr">
        <is>
          <t>no</t>
        </is>
      </c>
      <c r="AZ198" s="152" t="inlineStr">
        <is>
          <t>no</t>
        </is>
      </c>
      <c r="BA198" s="152" t="inlineStr">
        <is>
          <t>YES</t>
        </is>
      </c>
      <c r="BB198" s="152" t="n"/>
    </row>
    <row r="199" ht="15" customHeight="1" s="241">
      <c r="A199" s="191" t="inlineStr">
        <is>
          <t>Kraft Heinz</t>
        </is>
      </c>
      <c r="B199" s="188" t="inlineStr">
        <is>
          <t>KHC</t>
        </is>
      </c>
      <c r="C199" s="176" t="n">
        <v>2024</v>
      </c>
      <c r="D199" s="177" t="inlineStr">
        <is>
          <t>Q4</t>
        </is>
      </c>
      <c r="E199" s="178" t="inlineStr">
        <is>
          <t>Ben/DeepSeek</t>
        </is>
      </c>
      <c r="F199" s="177" t="inlineStr">
        <is>
          <t>LLM</t>
        </is>
      </c>
      <c r="G199" s="196" t="n">
        <v>-0.3</v>
      </c>
      <c r="H199" s="177" t="inlineStr">
        <is>
          <t>SELL</t>
        </is>
      </c>
      <c r="I199" s="196" t="n"/>
      <c r="J199" s="182" t="n">
        <v>45700</v>
      </c>
      <c r="K199" s="182" t="n">
        <v>45699</v>
      </c>
      <c r="L199" s="183" t="n">
        <v>29.58</v>
      </c>
      <c r="M199" s="182" t="n">
        <v>45700</v>
      </c>
      <c r="N199" s="183" t="n">
        <v>27.53</v>
      </c>
      <c r="O199" s="180" t="n">
        <v>0.007239</v>
      </c>
      <c r="P199" s="197" t="n">
        <v>-0.06930399999999999</v>
      </c>
      <c r="Q199" s="177" t="inlineStr">
        <is>
          <t>DOWN</t>
        </is>
      </c>
      <c r="R199" s="177" t="inlineStr">
        <is>
          <t>YES</t>
        </is>
      </c>
      <c r="S199" s="176" t="n">
        <v>-1</v>
      </c>
      <c r="T199" s="197" t="n">
        <v>0.068304</v>
      </c>
      <c r="U199" s="185" t="inlineStr">
        <is>
          <t>w=[0.80,0.20,0,0] thr=(+0.20,-0.10), deployed default promoted 2026-08-18 (PSR=0.964, permutation p=0.0002 at N=233, restricted search - see blend.py)</t>
        </is>
      </c>
      <c r="V199" s="152" t="inlineStr">
        <is>
          <t>FROZEN</t>
        </is>
      </c>
      <c r="W199" s="152" t="inlineStr">
        <is>
          <t>release date + stated time</t>
        </is>
      </c>
      <c r="X199" s="152" t="inlineStr">
        <is>
          <t>KHC</t>
        </is>
      </c>
      <c r="Y199" s="152" t="inlineStr">
        <is>
          <t>2025-02-11</t>
        </is>
      </c>
      <c r="Z199" s="152" t="n">
        <v>26.9607</v>
      </c>
      <c r="AA199" s="152" t="inlineStr">
        <is>
          <t>2025-02-12</t>
        </is>
      </c>
      <c r="AB199" s="152" t="n">
        <v>25.0922</v>
      </c>
      <c r="AC199" s="152" t="n">
        <v>-0.06930362136701343</v>
      </c>
      <c r="AD199" s="152" t="inlineStr">
        <is>
          <t>DOWN</t>
        </is>
      </c>
      <c r="AE199" s="152" t="inlineStr">
        <is>
          <t>YES</t>
        </is>
      </c>
      <c r="AF199" s="152" t="n">
        <v>0.068304</v>
      </c>
      <c r="AG199" s="152">
        <f>IF($A199="","",IFERROR(INDEX(Company_List!$G$3:$G$207,MATCH($A199,Company_List!$A$3:$A$207,0)),"unassigned"))</f>
        <v/>
      </c>
      <c r="AH199" s="152" t="inlineStr">
        <is>
          <t>Phase 3/Readings/Kraft Heinz/KHC Q4 2024 Results.pdf</t>
        </is>
      </c>
      <c r="AI199" s="152" t="n"/>
      <c r="AJ199" s="152" t="inlineStr">
        <is>
          <t>unique filename match</t>
        </is>
      </c>
      <c r="AK199" s="152">
        <f>IF($A199="","",IF(COUNTIFS(Human_Data_Entry!$A$3:$A$525,$A199)&gt;0,"YES","NO"))</f>
        <v/>
      </c>
      <c r="AL199" s="152">
        <f>IF($A199="","",IF(AND($C199&amp;"-"&amp;$D199&gt;=Settings!$B$19,$C199&amp;"-"&amp;$D199&lt;=Settings!$B$20),"IN","OUT"))</f>
        <v/>
      </c>
      <c r="AM199" s="152">
        <f>IF(AND(OR($H199="BUY",$H199="SELL"),ISNUMBER($T199)),$T199,"")</f>
        <v/>
      </c>
      <c r="AN199" s="152">
        <f>IF(AND(OR($H199="BUY",$H199="SELL"),ISNUMBER($AF199)),$AF199,"")</f>
        <v/>
      </c>
      <c r="AO199" s="152">
        <f>IF(ISNUMBER($AM199),ABS(IF(ISNUMBER($G199),$G199,0)-Settings!$B$25),"")</f>
        <v/>
      </c>
      <c r="AP199" s="152">
        <f>IF(ISNUMBER($AO199),$AO199*$AM199,"")</f>
        <v/>
      </c>
      <c r="AQ199" s="152">
        <f>IF(ISNUMBER($AN199),ABS(IF(ISNUMBER($G199),$G199,0)-Settings!$B$25),"")</f>
        <v/>
      </c>
      <c r="AR199" s="152">
        <f>IF(ISNUMBER($AQ199),$AQ199*$AN199,"")</f>
        <v/>
      </c>
      <c r="AS199" s="152">
        <f>IF($A199="","",IFERROR(INDEX(Company_List!$H$3:$H$207,MATCH($A199,Company_List!$A$3:$A$207,0)),"unassigned"))</f>
        <v/>
      </c>
      <c r="AT199" s="152" t="inlineStr">
        <is>
          <t>not in v1</t>
        </is>
      </c>
      <c r="AU199" s="152" t="inlineStr">
        <is>
          <t>no earlier record</t>
        </is>
      </c>
      <c r="AV199" s="152" t="n">
        <v>1</v>
      </c>
      <c r="AW199" s="152" t="inlineStr">
        <is>
          <t>not publisher-identified</t>
        </is>
      </c>
      <c r="AX199" s="152" t="inlineStr">
        <is>
          <t>not publisher-identified</t>
        </is>
      </c>
      <c r="AY199" s="152" t="inlineStr">
        <is>
          <t>no</t>
        </is>
      </c>
      <c r="AZ199" s="152" t="inlineStr">
        <is>
          <t>no</t>
        </is>
      </c>
      <c r="BA199" s="152" t="inlineStr">
        <is>
          <t>YES</t>
        </is>
      </c>
      <c r="BB199" s="152" t="n"/>
    </row>
    <row r="200" ht="15" customHeight="1" s="241">
      <c r="A200" s="191" t="inlineStr">
        <is>
          <t>Linde</t>
        </is>
      </c>
      <c r="B200" s="188" t="inlineStr">
        <is>
          <t>LIN</t>
        </is>
      </c>
      <c r="C200" s="176" t="n">
        <v>2026</v>
      </c>
      <c r="D200" s="177" t="inlineStr">
        <is>
          <t>Q1</t>
        </is>
      </c>
      <c r="E200" s="178" t="inlineStr">
        <is>
          <t>Ben/DeepSeek</t>
        </is>
      </c>
      <c r="F200" s="177" t="inlineStr">
        <is>
          <t>LLM</t>
        </is>
      </c>
      <c r="G200" s="196" t="n">
        <v>0.02</v>
      </c>
      <c r="H200" s="177" t="inlineStr">
        <is>
          <t>HOLD</t>
        </is>
      </c>
      <c r="I200" s="196" t="n"/>
      <c r="J200" s="182" t="n">
        <v>46143</v>
      </c>
      <c r="K200" s="182" t="n">
        <v>46142</v>
      </c>
      <c r="L200" s="183" t="n">
        <v>501.14</v>
      </c>
      <c r="M200" s="182" t="n">
        <v>46143</v>
      </c>
      <c r="N200" s="183" t="n">
        <v>503.36</v>
      </c>
      <c r="O200" s="180" t="n">
        <v>0.004843</v>
      </c>
      <c r="P200" s="197" t="n">
        <v>0.00443</v>
      </c>
      <c r="Q200" s="177" t="inlineStr">
        <is>
          <t>FLAT</t>
        </is>
      </c>
      <c r="R200" s="177" t="inlineStr">
        <is>
          <t>YES</t>
        </is>
      </c>
      <c r="S200" s="176" t="n">
        <v>0</v>
      </c>
      <c r="T200" s="197" t="n">
        <v>0</v>
      </c>
      <c r="U200" s="185" t="inlineStr">
        <is>
          <t>w=[0.80,0.20,0,0] thr=(+0.20,-0.10), deployed default promoted 2026-08-18 (PSR=0.964, permutation p=0.0002 at N=233, restricted search - see blend.py)</t>
        </is>
      </c>
      <c r="V200" s="152" t="inlineStr">
        <is>
          <t>FROZEN</t>
        </is>
      </c>
      <c r="W200" s="152" t="inlineStr">
        <is>
          <t>release time published by the issuer</t>
        </is>
      </c>
      <c r="X200" s="152" t="inlineStr">
        <is>
          <t>LIN</t>
        </is>
      </c>
      <c r="Y200" s="152" t="inlineStr">
        <is>
          <t>2026-04-30</t>
        </is>
      </c>
      <c r="Z200" s="152" t="n">
        <v>499.5603</v>
      </c>
      <c r="AA200" s="152" t="inlineStr">
        <is>
          <t>2026-05-01</t>
        </is>
      </c>
      <c r="AB200" s="152" t="n">
        <v>501.7733</v>
      </c>
      <c r="AC200" s="152" t="n">
        <v>0.004429800472402943</v>
      </c>
      <c r="AD200" s="152" t="inlineStr">
        <is>
          <t>FLAT</t>
        </is>
      </c>
      <c r="AE200" s="152" t="inlineStr">
        <is>
          <t>NO</t>
        </is>
      </c>
      <c r="AF200" s="152" t="n">
        <v>-0.00543</v>
      </c>
      <c r="AG200" s="152">
        <f>IF($A200="","",IFERROR(INDEX(Company_List!$G$3:$G$207,MATCH($A200,Company_List!$A$3:$A$207,0)),"unassigned"))</f>
        <v/>
      </c>
      <c r="AH200" s="152" t="inlineStr">
        <is>
          <t>Phase 3/Readings/Linde/LIN Q1 2026 transcript.pdf</t>
        </is>
      </c>
      <c r="AI200" s="152" t="n"/>
      <c r="AJ200" s="152" t="inlineStr">
        <is>
          <t>unique filename match</t>
        </is>
      </c>
      <c r="AK200" s="152">
        <f>IF($A200="","",IF(COUNTIFS(Human_Data_Entry!$A$3:$A$525,$A200)&gt;0,"YES","NO"))</f>
        <v/>
      </c>
      <c r="AL200" s="152">
        <f>IF($A200="","",IF(AND($C200&amp;"-"&amp;$D200&gt;=Settings!$B$19,$C200&amp;"-"&amp;$D200&lt;=Settings!$B$20),"IN","OUT"))</f>
        <v/>
      </c>
      <c r="AM200" s="152">
        <f>IF(AND(OR($H200="BUY",$H200="SELL"),ISNUMBER($T200)),$T200,"")</f>
        <v/>
      </c>
      <c r="AN200" s="152">
        <f>IF(AND(OR($H200="BUY",$H200="SELL"),ISNUMBER($AF200)),$AF200,"")</f>
        <v/>
      </c>
      <c r="AO200" s="152">
        <f>IF(ISNUMBER($AM200),ABS(IF(ISNUMBER($G200),$G200,0)-Settings!$B$25),"")</f>
        <v/>
      </c>
      <c r="AP200" s="152">
        <f>IF(ISNUMBER($AO200),$AO200*$AM200,"")</f>
        <v/>
      </c>
      <c r="AQ200" s="152">
        <f>IF(ISNUMBER($AN200),ABS(IF(ISNUMBER($G200),$G200,0)-Settings!$B$25),"")</f>
        <v/>
      </c>
      <c r="AR200" s="152">
        <f>IF(ISNUMBER($AQ200),$AQ200*$AN200,"")</f>
        <v/>
      </c>
      <c r="AS200" s="152">
        <f>IF($A200="","",IFERROR(INDEX(Company_List!$H$3:$H$207,MATCH($A200,Company_List!$A$3:$A$207,0)),"unassigned"))</f>
        <v/>
      </c>
      <c r="AT200" s="152" t="inlineStr">
        <is>
          <t>not in v1</t>
        </is>
      </c>
      <c r="AU200" s="152" t="inlineStr">
        <is>
          <t>no earlier record</t>
        </is>
      </c>
      <c r="AV200" s="152" t="n">
        <v>1</v>
      </c>
      <c r="AW200" s="152" t="inlineStr">
        <is>
          <t>not publisher-identified</t>
        </is>
      </c>
      <c r="AX200" s="152" t="inlineStr">
        <is>
          <t>not publisher-identified</t>
        </is>
      </c>
      <c r="AY200" s="152" t="inlineStr">
        <is>
          <t>no</t>
        </is>
      </c>
      <c r="AZ200" s="152" t="inlineStr">
        <is>
          <t>no</t>
        </is>
      </c>
      <c r="BA200" s="152" t="inlineStr">
        <is>
          <t>YES</t>
        </is>
      </c>
      <c r="BB200" s="152" t="n"/>
    </row>
    <row r="201" ht="15" customHeight="1" s="241">
      <c r="A201" s="191" t="inlineStr">
        <is>
          <t>Linde</t>
        </is>
      </c>
      <c r="B201" s="188" t="inlineStr">
        <is>
          <t>LIN</t>
        </is>
      </c>
      <c r="C201" s="176" t="n">
        <v>2025</v>
      </c>
      <c r="D201" s="177" t="inlineStr">
        <is>
          <t>Q2</t>
        </is>
      </c>
      <c r="E201" s="178" t="inlineStr">
        <is>
          <t>Ben/DeepSeek</t>
        </is>
      </c>
      <c r="F201" s="177" t="inlineStr">
        <is>
          <t>LLM</t>
        </is>
      </c>
      <c r="G201" s="196" t="n">
        <v>-0.38</v>
      </c>
      <c r="H201" s="177" t="inlineStr">
        <is>
          <t>SELL</t>
        </is>
      </c>
      <c r="I201" s="196" t="n"/>
      <c r="J201" s="182" t="n">
        <v>45870</v>
      </c>
      <c r="K201" s="182" t="n">
        <v>45869</v>
      </c>
      <c r="L201" s="183" t="n">
        <v>460.26</v>
      </c>
      <c r="M201" s="182" t="n">
        <v>45870</v>
      </c>
      <c r="N201" s="183" t="n">
        <v>458.33</v>
      </c>
      <c r="O201" s="180" t="n">
        <v>0.008156999999999999</v>
      </c>
      <c r="P201" s="197" t="n">
        <v>-0.004193</v>
      </c>
      <c r="Q201" s="177" t="inlineStr">
        <is>
          <t>FLAT</t>
        </is>
      </c>
      <c r="R201" s="177" t="inlineStr">
        <is>
          <t>NO</t>
        </is>
      </c>
      <c r="S201" s="176" t="n">
        <v>-1</v>
      </c>
      <c r="T201" s="197" t="n">
        <v>0.003193</v>
      </c>
      <c r="U201" s="185" t="inlineStr">
        <is>
          <t>w=[0.80,0.20,0,0] thr=(+0.20,-0.10), deployed default promoted 2026-08-18 (PSR=0.964, permutation p=0.0002 at N=233, restricted search - see blend.py)</t>
        </is>
      </c>
      <c r="V201" s="152" t="inlineStr">
        <is>
          <t>FROZEN</t>
        </is>
      </c>
      <c r="W201" s="152" t="inlineStr">
        <is>
          <t>release time published by the issuer</t>
        </is>
      </c>
      <c r="X201" s="152" t="inlineStr">
        <is>
          <t>LIN</t>
        </is>
      </c>
      <c r="Y201" s="152" t="inlineStr">
        <is>
          <t>2025-07-31</t>
        </is>
      </c>
      <c r="Z201" s="152" t="n">
        <v>454.1467</v>
      </c>
      <c r="AA201" s="152" t="inlineStr">
        <is>
          <t>2025-08-01</t>
        </is>
      </c>
      <c r="AB201" s="152" t="n">
        <v>452.2424</v>
      </c>
      <c r="AC201" s="152" t="n">
        <v>-0.004193263791559401</v>
      </c>
      <c r="AD201" s="152" t="inlineStr">
        <is>
          <t>FLAT</t>
        </is>
      </c>
      <c r="AE201" s="152" t="inlineStr">
        <is>
          <t>NO</t>
        </is>
      </c>
      <c r="AF201" s="152" t="n">
        <v>0.003193</v>
      </c>
      <c r="AG201" s="152">
        <f>IF($A201="","",IFERROR(INDEX(Company_List!$G$3:$G$207,MATCH($A201,Company_List!$A$3:$A$207,0)),"unassigned"))</f>
        <v/>
      </c>
      <c r="AH201" s="152" t="inlineStr">
        <is>
          <t>Phase 3/Readings/Linde/2025-Q2/LIN-2025-Q2-press-release-SEC-EX-99-1.htm; Phase 3/Readings/Linde/2025-Q2/LIN-2025-Q2-earnings-presentation-linde-com.pdf</t>
        </is>
      </c>
      <c r="AI201" s="152" t="inlineStr">
        <is>
          <t>https://assets.linde.com/-/media/global/corporate/corporate/documents/investors/quarterly-earnings/linde2q25teleconferenceslides.pdf; https://www.sec.gov/Archives/edgar/data/1707925/000165495425008771/lin_ex991.htm</t>
        </is>
      </c>
      <c r="AJ201" s="152" t="inlineStr">
        <is>
          <t>manifest (whole bundle)</t>
        </is>
      </c>
      <c r="AK201" s="152">
        <f>IF($A201="","",IF(COUNTIFS(Human_Data_Entry!$A$3:$A$525,$A201)&gt;0,"YES","NO"))</f>
        <v/>
      </c>
      <c r="AL201" s="152">
        <f>IF($A201="","",IF(AND($C201&amp;"-"&amp;$D201&gt;=Settings!$B$19,$C201&amp;"-"&amp;$D201&lt;=Settings!$B$20),"IN","OUT"))</f>
        <v/>
      </c>
      <c r="AM201" s="152">
        <f>IF(AND(OR($H201="BUY",$H201="SELL"),ISNUMBER($T201)),$T201,"")</f>
        <v/>
      </c>
      <c r="AN201" s="152">
        <f>IF(AND(OR($H201="BUY",$H201="SELL"),ISNUMBER($AF201)),$AF201,"")</f>
        <v/>
      </c>
      <c r="AO201" s="152">
        <f>IF(ISNUMBER($AM201),ABS(IF(ISNUMBER($G201),$G201,0)-Settings!$B$25),"")</f>
        <v/>
      </c>
      <c r="AP201" s="152">
        <f>IF(ISNUMBER($AO201),$AO201*$AM201,"")</f>
        <v/>
      </c>
      <c r="AQ201" s="152">
        <f>IF(ISNUMBER($AN201),ABS(IF(ISNUMBER($G201),$G201,0)-Settings!$B$25),"")</f>
        <v/>
      </c>
      <c r="AR201" s="152">
        <f>IF(ISNUMBER($AQ201),$AQ201*$AN201,"")</f>
        <v/>
      </c>
      <c r="AS201" s="152">
        <f>IF($A201="","",IFERROR(INDEX(Company_List!$H$3:$H$207,MATCH($A201,Company_List!$A$3:$A$207,0)),"unassigned"))</f>
        <v/>
      </c>
      <c r="AT201" s="152" t="inlineStr">
        <is>
          <t>not in v1</t>
        </is>
      </c>
      <c r="AU201" s="152" t="inlineStr">
        <is>
          <t>no earlier record</t>
        </is>
      </c>
      <c r="AV201" s="152" t="n">
        <v>2</v>
      </c>
      <c r="AW201" s="152" t="inlineStr">
        <is>
          <t>not publisher-identified</t>
        </is>
      </c>
      <c r="AX201" s="152" t="inlineStr">
        <is>
          <t>not publisher-identified</t>
        </is>
      </c>
      <c r="AY201" s="152" t="inlineStr">
        <is>
          <t>no</t>
        </is>
      </c>
      <c r="AZ201" s="152" t="inlineStr">
        <is>
          <t>yes</t>
        </is>
      </c>
      <c r="BA201" s="152" t="inlineStr">
        <is>
          <t>YES</t>
        </is>
      </c>
      <c r="BB201" s="152" t="n"/>
    </row>
    <row r="202" ht="15" customHeight="1" s="241">
      <c r="A202" s="191" t="inlineStr">
        <is>
          <t>Linde</t>
        </is>
      </c>
      <c r="B202" s="188" t="inlineStr">
        <is>
          <t>LIN</t>
        </is>
      </c>
      <c r="C202" s="176" t="n">
        <v>2025</v>
      </c>
      <c r="D202" s="177" t="inlineStr">
        <is>
          <t>Q3</t>
        </is>
      </c>
      <c r="E202" s="178" t="inlineStr">
        <is>
          <t>Ben/DeepSeek</t>
        </is>
      </c>
      <c r="F202" s="177" t="inlineStr">
        <is>
          <t>LLM</t>
        </is>
      </c>
      <c r="G202" s="196" t="n">
        <v>-0.02</v>
      </c>
      <c r="H202" s="177" t="inlineStr">
        <is>
          <t>HOLD</t>
        </is>
      </c>
      <c r="I202" s="196" t="n"/>
      <c r="J202" s="182" t="n">
        <v>45961</v>
      </c>
      <c r="K202" s="182" t="n">
        <v>45960</v>
      </c>
      <c r="L202" s="183" t="n">
        <v>429.91</v>
      </c>
      <c r="M202" s="182" t="n">
        <v>45961</v>
      </c>
      <c r="N202" s="183" t="n">
        <v>425</v>
      </c>
      <c r="O202" s="180" t="n">
        <v>0.008149999999999999</v>
      </c>
      <c r="P202" s="197" t="n">
        <v>-0.011421</v>
      </c>
      <c r="Q202" s="177" t="inlineStr">
        <is>
          <t>FLAT</t>
        </is>
      </c>
      <c r="R202" s="177" t="inlineStr">
        <is>
          <t>YES</t>
        </is>
      </c>
      <c r="S202" s="176" t="n">
        <v>0</v>
      </c>
      <c r="T202" s="197" t="n">
        <v>0</v>
      </c>
      <c r="U202" s="185" t="inlineStr">
        <is>
          <t>w=[0.80,0.20,0,0] thr=(+0.20,-0.10), deployed default promoted 2026-08-18 (PSR=0.964, permutation p=0.0002 at N=233, restricted search - see blend.py)</t>
        </is>
      </c>
      <c r="V202" s="152" t="inlineStr">
        <is>
          <t>FROZEN</t>
        </is>
      </c>
      <c r="W202" s="152" t="inlineStr">
        <is>
          <t>document date + price signal</t>
        </is>
      </c>
      <c r="X202" s="152" t="inlineStr">
        <is>
          <t>LIN</t>
        </is>
      </c>
      <c r="Y202" s="152" t="inlineStr">
        <is>
          <t>2025-10-30</t>
        </is>
      </c>
      <c r="Z202" s="152" t="n">
        <v>425.5529</v>
      </c>
      <c r="AA202" s="152" t="inlineStr">
        <is>
          <t>2025-10-31</t>
        </is>
      </c>
      <c r="AB202" s="152" t="n">
        <v>420.6926</v>
      </c>
      <c r="AC202" s="152" t="n">
        <v>-0.01142098467691608</v>
      </c>
      <c r="AD202" s="152" t="inlineStr">
        <is>
          <t>FLAT</t>
        </is>
      </c>
      <c r="AE202" s="152" t="inlineStr">
        <is>
          <t>YES</t>
        </is>
      </c>
      <c r="AF202" s="152" t="n">
        <v>0</v>
      </c>
      <c r="AG202" s="152">
        <f>IF($A202="","",IFERROR(INDEX(Company_List!$G$3:$G$207,MATCH($A202,Company_List!$A$3:$A$207,0)),"unassigned"))</f>
        <v/>
      </c>
      <c r="AH202" s="152" t="inlineStr">
        <is>
          <t>Phase 3/Readings/Linde/LIN Q3 2025 transcript.pdf</t>
        </is>
      </c>
      <c r="AI202" s="152" t="n"/>
      <c r="AJ202" s="152" t="inlineStr">
        <is>
          <t>unique filename match</t>
        </is>
      </c>
      <c r="AK202" s="152">
        <f>IF($A202="","",IF(COUNTIFS(Human_Data_Entry!$A$3:$A$525,$A202)&gt;0,"YES","NO"))</f>
        <v/>
      </c>
      <c r="AL202" s="152">
        <f>IF($A202="","",IF(AND($C202&amp;"-"&amp;$D202&gt;=Settings!$B$19,$C202&amp;"-"&amp;$D202&lt;=Settings!$B$20),"IN","OUT"))</f>
        <v/>
      </c>
      <c r="AM202" s="152">
        <f>IF(AND(OR($H202="BUY",$H202="SELL"),ISNUMBER($T202)),$T202,"")</f>
        <v/>
      </c>
      <c r="AN202" s="152">
        <f>IF(AND(OR($H202="BUY",$H202="SELL"),ISNUMBER($AF202)),$AF202,"")</f>
        <v/>
      </c>
      <c r="AO202" s="152">
        <f>IF(ISNUMBER($AM202),ABS(IF(ISNUMBER($G202),$G202,0)-Settings!$B$25),"")</f>
        <v/>
      </c>
      <c r="AP202" s="152">
        <f>IF(ISNUMBER($AO202),$AO202*$AM202,"")</f>
        <v/>
      </c>
      <c r="AQ202" s="152">
        <f>IF(ISNUMBER($AN202),ABS(IF(ISNUMBER($G202),$G202,0)-Settings!$B$25),"")</f>
        <v/>
      </c>
      <c r="AR202" s="152">
        <f>IF(ISNUMBER($AQ202),$AQ202*$AN202,"")</f>
        <v/>
      </c>
      <c r="AS202" s="152">
        <f>IF($A202="","",IFERROR(INDEX(Company_List!$H$3:$H$207,MATCH($A202,Company_List!$A$3:$A$207,0)),"unassigned"))</f>
        <v/>
      </c>
      <c r="AT202" s="152" t="inlineStr">
        <is>
          <t>not in v1</t>
        </is>
      </c>
      <c r="AU202" s="152" t="inlineStr">
        <is>
          <t>no earlier record</t>
        </is>
      </c>
      <c r="AV202" s="152" t="n">
        <v>1</v>
      </c>
      <c r="AW202" s="152" t="inlineStr">
        <is>
          <t>not publisher-identified</t>
        </is>
      </c>
      <c r="AX202" s="152" t="inlineStr">
        <is>
          <t>not publisher-identified</t>
        </is>
      </c>
      <c r="AY202" s="152" t="inlineStr">
        <is>
          <t>no</t>
        </is>
      </c>
      <c r="AZ202" s="152" t="inlineStr">
        <is>
          <t>no</t>
        </is>
      </c>
      <c r="BA202" s="152" t="inlineStr">
        <is>
          <t>YES</t>
        </is>
      </c>
      <c r="BB202" s="152" t="n"/>
    </row>
    <row r="203" ht="15" customHeight="1" s="241">
      <c r="A203" s="191" t="inlineStr">
        <is>
          <t>MetLife</t>
        </is>
      </c>
      <c r="B203" s="188" t="inlineStr">
        <is>
          <t>MET</t>
        </is>
      </c>
      <c r="C203" s="176" t="n">
        <v>2026</v>
      </c>
      <c r="D203" s="177" t="inlineStr">
        <is>
          <t>Q1</t>
        </is>
      </c>
      <c r="E203" s="178" t="inlineStr">
        <is>
          <t>Ben/DeepSeek</t>
        </is>
      </c>
      <c r="F203" s="177" t="inlineStr">
        <is>
          <t>LLM</t>
        </is>
      </c>
      <c r="G203" s="196" t="n">
        <v>0.14</v>
      </c>
      <c r="H203" s="177" t="inlineStr">
        <is>
          <t>HOLD</t>
        </is>
      </c>
      <c r="I203" s="196" t="n"/>
      <c r="J203" s="182" t="n">
        <v>46148</v>
      </c>
      <c r="K203" s="182" t="n">
        <v>46148</v>
      </c>
      <c r="L203" s="183" t="n">
        <v>80.16</v>
      </c>
      <c r="M203" s="182" t="n">
        <v>46149</v>
      </c>
      <c r="N203" s="183" t="n">
        <v>80.56</v>
      </c>
      <c r="O203" s="180" t="n">
        <v>0.012708</v>
      </c>
      <c r="P203" s="197" t="n">
        <v>0.00499</v>
      </c>
      <c r="Q203" s="177" t="inlineStr">
        <is>
          <t>FLAT</t>
        </is>
      </c>
      <c r="R203" s="177" t="inlineStr">
        <is>
          <t>YES</t>
        </is>
      </c>
      <c r="S203" s="176" t="n">
        <v>0</v>
      </c>
      <c r="T203" s="197" t="n">
        <v>0</v>
      </c>
      <c r="U203" s="185" t="inlineStr">
        <is>
          <t>w=[0.80,0.20,0,0] thr=(+0.20,-0.10), deployed default promoted 2026-08-18 (PSR=0.964, permutation p=0.0002 at N=233, restricted search - see blend.py)</t>
        </is>
      </c>
      <c r="V203" s="152" t="inlineStr">
        <is>
          <t>FROZEN</t>
        </is>
      </c>
      <c r="W203" s="152" t="inlineStr">
        <is>
          <t>release date + stated time</t>
        </is>
      </c>
      <c r="X203" s="152" t="inlineStr">
        <is>
          <t>MET</t>
        </is>
      </c>
      <c r="Y203" s="152" t="inlineStr">
        <is>
          <t>2026-05-06</t>
        </is>
      </c>
      <c r="Z203" s="152" t="n">
        <v>79.06059999999999</v>
      </c>
      <c r="AA203" s="152" t="inlineStr">
        <is>
          <t>2026-05-07</t>
        </is>
      </c>
      <c r="AB203" s="152" t="n">
        <v>79.4551</v>
      </c>
      <c r="AC203" s="152" t="n">
        <v>0.004989957181484815</v>
      </c>
      <c r="AD203" s="152" t="inlineStr">
        <is>
          <t>FLAT</t>
        </is>
      </c>
      <c r="AE203" s="152" t="inlineStr">
        <is>
          <t>YES</t>
        </is>
      </c>
      <c r="AF203" s="152" t="n">
        <v>0</v>
      </c>
      <c r="AG203" s="152">
        <f>IF($A203="","",IFERROR(INDEX(Company_List!$G$3:$G$207,MATCH($A203,Company_List!$A$3:$A$207,0)),"unassigned"))</f>
        <v/>
      </c>
      <c r="AH203" s="152" t="inlineStr">
        <is>
          <t>Phase 2/MetLife/Q1 2026/MET-Q1-2026-press-release-SEC-EX99-1.htm; Phase 2/MetLife/Q1 2026/MET-Q1-2026-exhibit-SEC-EX99-2.htm; Phase 2/MetLife/Q1 2026/MET-Q1-2026-earnings-call-transcript-InsiderMonkey.html</t>
        </is>
      </c>
      <c r="AI203" s="152" t="inlineStr">
        <is>
          <t>https://www.insidermonkey.com/blog/metlife-inc-nysemet-q1-2026-earnings-call-transcript-1756889/; https://www.sec.gov/Archives/edgar/data/1099219/000109921926000032/ex991earningsreleasetables.htm; https://www.sec.gov/Archives/edgar/data/1099219/000109921926000032/ex992qfsq126.htm</t>
        </is>
      </c>
      <c r="AJ203" s="152" t="inlineStr">
        <is>
          <t>manifest (whole bundle)</t>
        </is>
      </c>
      <c r="AK203" s="152">
        <f>IF($A203="","",IF(COUNTIFS(Human_Data_Entry!$A$3:$A$525,$A203)&gt;0,"YES","NO"))</f>
        <v/>
      </c>
      <c r="AL203" s="152">
        <f>IF($A203="","",IF(AND($C203&amp;"-"&amp;$D203&gt;=Settings!$B$19,$C203&amp;"-"&amp;$D203&lt;=Settings!$B$20),"IN","OUT"))</f>
        <v/>
      </c>
      <c r="AM203" s="152">
        <f>IF(AND(OR($H203="BUY",$H203="SELL"),ISNUMBER($T203)),$T203,"")</f>
        <v/>
      </c>
      <c r="AN203" s="152">
        <f>IF(AND(OR($H203="BUY",$H203="SELL"),ISNUMBER($AF203)),$AF203,"")</f>
        <v/>
      </c>
      <c r="AO203" s="152">
        <f>IF(ISNUMBER($AM203),ABS(IF(ISNUMBER($G203),$G203,0)-Settings!$B$25),"")</f>
        <v/>
      </c>
      <c r="AP203" s="152">
        <f>IF(ISNUMBER($AO203),$AO203*$AM203,"")</f>
        <v/>
      </c>
      <c r="AQ203" s="152">
        <f>IF(ISNUMBER($AN203),ABS(IF(ISNUMBER($G203),$G203,0)-Settings!$B$25),"")</f>
        <v/>
      </c>
      <c r="AR203" s="152">
        <f>IF(ISNUMBER($AQ203),$AQ203*$AN203,"")</f>
        <v/>
      </c>
      <c r="AS203" s="152">
        <f>IF($A203="","",IFERROR(INDEX(Company_List!$H$3:$H$207,MATCH($A203,Company_List!$A$3:$A$207,0)),"unassigned"))</f>
        <v/>
      </c>
      <c r="AT203" s="152" t="inlineStr">
        <is>
          <t>not in v1</t>
        </is>
      </c>
      <c r="AU203" s="152" t="inlineStr">
        <is>
          <t>no earlier record</t>
        </is>
      </c>
      <c r="AV203" s="152" t="n">
        <v>3</v>
      </c>
      <c r="AW203" s="152" t="inlineStr">
        <is>
          <t>Insider Monkey (Koala Guide LLC)</t>
        </is>
      </c>
      <c r="AX203" s="152" t="inlineStr">
        <is>
          <t>free to read, copyright asserted</t>
        </is>
      </c>
      <c r="AY203" s="152" t="inlineStr">
        <is>
          <t>no</t>
        </is>
      </c>
      <c r="AZ203" s="152" t="inlineStr">
        <is>
          <t>yes</t>
        </is>
      </c>
      <c r="BA203" s="152" t="inlineStr">
        <is>
          <t>YES</t>
        </is>
      </c>
      <c r="BB203" s="152" t="n"/>
    </row>
    <row r="204" ht="15" customHeight="1" s="241">
      <c r="A204" s="191" t="inlineStr">
        <is>
          <t>MetLife</t>
        </is>
      </c>
      <c r="B204" s="188" t="inlineStr">
        <is>
          <t>MET</t>
        </is>
      </c>
      <c r="C204" s="176" t="n">
        <v>2024</v>
      </c>
      <c r="D204" s="177" t="inlineStr">
        <is>
          <t>Q2</t>
        </is>
      </c>
      <c r="E204" s="178" t="inlineStr">
        <is>
          <t>Ben/DeepSeek</t>
        </is>
      </c>
      <c r="F204" s="177" t="inlineStr">
        <is>
          <t>LLM</t>
        </is>
      </c>
      <c r="G204" s="196" t="n">
        <v>0.15</v>
      </c>
      <c r="H204" s="177" t="inlineStr">
        <is>
          <t>HOLD</t>
        </is>
      </c>
      <c r="I204" s="196" t="n"/>
      <c r="J204" s="182" t="n">
        <v>45504</v>
      </c>
      <c r="K204" s="182" t="n">
        <v>45504</v>
      </c>
      <c r="L204" s="183" t="n">
        <v>76.84999999999999</v>
      </c>
      <c r="M204" s="182" t="n">
        <v>45505</v>
      </c>
      <c r="N204" s="183" t="n">
        <v>78.61</v>
      </c>
      <c r="O204" s="180" t="n">
        <v>0.010685</v>
      </c>
      <c r="P204" s="197" t="n">
        <v>0.022902</v>
      </c>
      <c r="Q204" s="177" t="inlineStr">
        <is>
          <t>UP</t>
        </is>
      </c>
      <c r="R204" s="177" t="inlineStr">
        <is>
          <t>NO</t>
        </is>
      </c>
      <c r="S204" s="176" t="n">
        <v>0</v>
      </c>
      <c r="T204" s="197" t="n">
        <v>0</v>
      </c>
      <c r="U204" s="185" t="inlineStr">
        <is>
          <t>w=[0.80,0.20,0,0] thr=(+0.20,-0.10), deployed default promoted 2026-08-18 (PSR=0.964, permutation p=0.0002 at N=233, restricted search - see blend.py)</t>
        </is>
      </c>
      <c r="V204" s="152" t="inlineStr">
        <is>
          <t>FROZEN</t>
        </is>
      </c>
      <c r="W204" s="152" t="inlineStr">
        <is>
          <t>release date + stated time in the document (document)</t>
        </is>
      </c>
      <c r="X204" s="152" t="inlineStr">
        <is>
          <t>MET</t>
        </is>
      </c>
      <c r="Y204" s="152" t="inlineStr">
        <is>
          <t>2024-07-31</t>
        </is>
      </c>
      <c r="Z204" s="152" t="n">
        <v>72.0468</v>
      </c>
      <c r="AA204" s="152" t="inlineStr">
        <is>
          <t>2024-08-01</t>
        </is>
      </c>
      <c r="AB204" s="152" t="n">
        <v>73.6968</v>
      </c>
      <c r="AC204" s="152" t="n">
        <v>0.02290193450785315</v>
      </c>
      <c r="AD204" s="152" t="inlineStr">
        <is>
          <t>UP</t>
        </is>
      </c>
      <c r="AE204" s="152" t="inlineStr">
        <is>
          <t>NO</t>
        </is>
      </c>
      <c r="AF204" s="152" t="n">
        <v>0</v>
      </c>
      <c r="AG204" s="152">
        <f>IF($A204="","",IFERROR(INDEX(Company_List!$G$3:$G$207,MATCH($A204,Company_List!$A$3:$A$207,0)),"unassigned"))</f>
        <v/>
      </c>
      <c r="AH204" s="152" t="inlineStr">
        <is>
          <t>Phase 2/MetLife/Q2 2024/MET-Q2-2024-press-release-SEC-EX99-1.htm; Phase 2/MetLife/Q2 2024/MET-Q2-2024-exhibit-SEC-EX99-2.htm; Phase 2/MetLife/Q2 2024/MET-Q2-2024-earnings-call-transcript-stockanalysis-com.html</t>
        </is>
      </c>
      <c r="AI204" s="152" t="inlineStr">
        <is>
          <t>https://stockanalysis.com/stocks/met/transcripts/190195-q2-2024/; https://www.sec.gov/Archives/edgar/data/1099219/000109921924000196/ex991earningsreleasetables.htm; https://www.sec.gov/Archives/edgar/data/1099219/000109921924000196/ex992qfsq224.htm</t>
        </is>
      </c>
      <c r="AJ204" s="152" t="inlineStr">
        <is>
          <t>manifest (whole bundle)</t>
        </is>
      </c>
      <c r="AK204" s="152">
        <f>IF($A204="","",IF(COUNTIFS(Human_Data_Entry!$A$3:$A$525,$A204)&gt;0,"YES","NO"))</f>
        <v/>
      </c>
      <c r="AL204" s="152">
        <f>IF($A204="","",IF(AND($C204&amp;"-"&amp;$D204&gt;=Settings!$B$19,$C204&amp;"-"&amp;$D204&lt;=Settings!$B$20),"IN","OUT"))</f>
        <v/>
      </c>
      <c r="AM204" s="152">
        <f>IF(AND(OR($H204="BUY",$H204="SELL"),ISNUMBER($T204)),$T204,"")</f>
        <v/>
      </c>
      <c r="AN204" s="152">
        <f>IF(AND(OR($H204="BUY",$H204="SELL"),ISNUMBER($AF204)),$AF204,"")</f>
        <v/>
      </c>
      <c r="AO204" s="152">
        <f>IF(ISNUMBER($AM204),ABS(IF(ISNUMBER($G204),$G204,0)-Settings!$B$25),"")</f>
        <v/>
      </c>
      <c r="AP204" s="152">
        <f>IF(ISNUMBER($AO204),$AO204*$AM204,"")</f>
        <v/>
      </c>
      <c r="AQ204" s="152">
        <f>IF(ISNUMBER($AN204),ABS(IF(ISNUMBER($G204),$G204,0)-Settings!$B$25),"")</f>
        <v/>
      </c>
      <c r="AR204" s="152">
        <f>IF(ISNUMBER($AQ204),$AQ204*$AN204,"")</f>
        <v/>
      </c>
      <c r="AS204" s="152">
        <f>IF($A204="","",IFERROR(INDEX(Company_List!$H$3:$H$207,MATCH($A204,Company_List!$A$3:$A$207,0)),"unassigned"))</f>
        <v/>
      </c>
      <c r="AT204" s="152" t="inlineStr">
        <is>
          <t>not in v1</t>
        </is>
      </c>
      <c r="AU204" s="152" t="inlineStr">
        <is>
          <t>no earlier record</t>
        </is>
      </c>
      <c r="AV204" s="152" t="n">
        <v>3</v>
      </c>
      <c r="AW204" s="152" t="inlineStr">
        <is>
          <t>not publisher-identified</t>
        </is>
      </c>
      <c r="AX204" s="152" t="inlineStr">
        <is>
          <t>not publisher-identified</t>
        </is>
      </c>
      <c r="AY204" s="152" t="inlineStr">
        <is>
          <t>no</t>
        </is>
      </c>
      <c r="AZ204" s="152" t="inlineStr">
        <is>
          <t>yes</t>
        </is>
      </c>
      <c r="BA204" s="152" t="inlineStr">
        <is>
          <t>YES</t>
        </is>
      </c>
      <c r="BB204" s="152" t="n"/>
    </row>
    <row r="205" ht="15" customHeight="1" s="241">
      <c r="A205" s="191" t="inlineStr">
        <is>
          <t>MetLife</t>
        </is>
      </c>
      <c r="B205" s="188" t="inlineStr">
        <is>
          <t>MET</t>
        </is>
      </c>
      <c r="C205" s="176" t="n">
        <v>2025</v>
      </c>
      <c r="D205" s="177" t="inlineStr">
        <is>
          <t>Q2</t>
        </is>
      </c>
      <c r="E205" s="178" t="inlineStr">
        <is>
          <t>Ben/DeepSeek</t>
        </is>
      </c>
      <c r="F205" s="177" t="inlineStr">
        <is>
          <t>LLM</t>
        </is>
      </c>
      <c r="G205" s="196" t="n">
        <v>-0.14</v>
      </c>
      <c r="H205" s="177" t="inlineStr">
        <is>
          <t>SELL</t>
        </is>
      </c>
      <c r="I205" s="196" t="n"/>
      <c r="J205" s="182" t="n">
        <v>45875</v>
      </c>
      <c r="K205" s="182" t="n">
        <v>45875</v>
      </c>
      <c r="L205" s="183" t="n">
        <v>75.95</v>
      </c>
      <c r="M205" s="182" t="n">
        <v>45876</v>
      </c>
      <c r="N205" s="183" t="n">
        <v>72.09999999999999</v>
      </c>
      <c r="O205" s="180" t="n">
        <v>0.014171</v>
      </c>
      <c r="P205" s="197" t="n">
        <v>-0.050691</v>
      </c>
      <c r="Q205" s="177" t="inlineStr">
        <is>
          <t>DOWN</t>
        </is>
      </c>
      <c r="R205" s="177" t="inlineStr">
        <is>
          <t>YES</t>
        </is>
      </c>
      <c r="S205" s="176" t="n">
        <v>-1</v>
      </c>
      <c r="T205" s="197" t="n">
        <v>0.049691</v>
      </c>
      <c r="U205" s="185" t="inlineStr">
        <is>
          <t>w=[0.80,0.20,0,0] thr=(+0.20,-0.10), deployed default promoted 2026-08-18 (PSR=0.964, permutation p=0.0002 at N=233, restricted search - see blend.py)</t>
        </is>
      </c>
      <c r="V205" s="152" t="inlineStr">
        <is>
          <t>FROZEN</t>
        </is>
      </c>
      <c r="W205" s="152" t="inlineStr">
        <is>
          <t>release date + stated time in the document (document)</t>
        </is>
      </c>
      <c r="X205" s="152" t="inlineStr">
        <is>
          <t>MET</t>
        </is>
      </c>
      <c r="Y205" s="152" t="inlineStr">
        <is>
          <t>2025-08-06</t>
        </is>
      </c>
      <c r="Z205" s="152" t="n">
        <v>73.842</v>
      </c>
      <c r="AA205" s="152" t="inlineStr">
        <is>
          <t>2025-08-07</t>
        </is>
      </c>
      <c r="AB205" s="152" t="n">
        <v>70.0989</v>
      </c>
      <c r="AC205" s="152" t="n">
        <v>-0.0506913954592661</v>
      </c>
      <c r="AD205" s="152" t="inlineStr">
        <is>
          <t>DOWN</t>
        </is>
      </c>
      <c r="AE205" s="152" t="inlineStr">
        <is>
          <t>YES</t>
        </is>
      </c>
      <c r="AF205" s="152" t="n">
        <v>0.049691</v>
      </c>
      <c r="AG205" s="152">
        <f>IF($A205="","",IFERROR(INDEX(Company_List!$G$3:$G$207,MATCH($A205,Company_List!$A$3:$A$207,0)),"unassigned"))</f>
        <v/>
      </c>
      <c r="AH205" s="152" t="inlineStr">
        <is>
          <t>Phase 2/MetLife/Q2 2025/MET-Q2-2025-press-release-SEC-EX99-1.htm; Phase 2/MetLife/Q2 2025/MET-Q2-2025-exhibit-SEC-EX99-2.htm; Phase 2/MetLife/Q2 2025/MET-Q2-2025-earnings-call-transcript-InsiderMonkey.html</t>
        </is>
      </c>
      <c r="AI205" s="152" t="inlineStr">
        <is>
          <t>https://www.insidermonkey.com/blog/metlife-inc-nysemet-q2-2025-earnings-call-transcript-1587127/; https://www.sec.gov/Archives/edgar/data/1099219/000109921925000191/ex991earningsreleasetables.htm; https://www.sec.gov/Archives/edgar/data/1099219/000109921925000191/ex992qfsq225.htm</t>
        </is>
      </c>
      <c r="AJ205" s="152" t="inlineStr">
        <is>
          <t>manifest (whole bundle)</t>
        </is>
      </c>
      <c r="AK205" s="152">
        <f>IF($A205="","",IF(COUNTIFS(Human_Data_Entry!$A$3:$A$525,$A205)&gt;0,"YES","NO"))</f>
        <v/>
      </c>
      <c r="AL205" s="152">
        <f>IF($A205="","",IF(AND($C205&amp;"-"&amp;$D205&gt;=Settings!$B$19,$C205&amp;"-"&amp;$D205&lt;=Settings!$B$20),"IN","OUT"))</f>
        <v/>
      </c>
      <c r="AM205" s="152">
        <f>IF(AND(OR($H205="BUY",$H205="SELL"),ISNUMBER($T205)),$T205,"")</f>
        <v/>
      </c>
      <c r="AN205" s="152">
        <f>IF(AND(OR($H205="BUY",$H205="SELL"),ISNUMBER($AF205)),$AF205,"")</f>
        <v/>
      </c>
      <c r="AO205" s="152">
        <f>IF(ISNUMBER($AM205),ABS(IF(ISNUMBER($G205),$G205,0)-Settings!$B$25),"")</f>
        <v/>
      </c>
      <c r="AP205" s="152">
        <f>IF(ISNUMBER($AO205),$AO205*$AM205,"")</f>
        <v/>
      </c>
      <c r="AQ205" s="152">
        <f>IF(ISNUMBER($AN205),ABS(IF(ISNUMBER($G205),$G205,0)-Settings!$B$25),"")</f>
        <v/>
      </c>
      <c r="AR205" s="152">
        <f>IF(ISNUMBER($AQ205),$AQ205*$AN205,"")</f>
        <v/>
      </c>
      <c r="AS205" s="152">
        <f>IF($A205="","",IFERROR(INDEX(Company_List!$H$3:$H$207,MATCH($A205,Company_List!$A$3:$A$207,0)),"unassigned"))</f>
        <v/>
      </c>
      <c r="AT205" s="152" t="inlineStr">
        <is>
          <t>not in v1</t>
        </is>
      </c>
      <c r="AU205" s="152" t="inlineStr">
        <is>
          <t>no earlier record</t>
        </is>
      </c>
      <c r="AV205" s="152" t="n">
        <v>3</v>
      </c>
      <c r="AW205" s="152" t="inlineStr">
        <is>
          <t>Insider Monkey (Koala Guide LLC)</t>
        </is>
      </c>
      <c r="AX205" s="152" t="inlineStr">
        <is>
          <t>free to read, copyright asserted</t>
        </is>
      </c>
      <c r="AY205" s="152" t="inlineStr">
        <is>
          <t>no</t>
        </is>
      </c>
      <c r="AZ205" s="152" t="inlineStr">
        <is>
          <t>yes</t>
        </is>
      </c>
      <c r="BA205" s="198" t="inlineStr">
        <is>
          <t>YES</t>
        </is>
      </c>
      <c r="BB205" s="198" t="n"/>
    </row>
    <row r="206" ht="15" customHeight="1" s="241">
      <c r="A206" s="191" t="inlineStr">
        <is>
          <t>MetLife</t>
        </is>
      </c>
      <c r="B206" s="188" t="inlineStr">
        <is>
          <t>MET</t>
        </is>
      </c>
      <c r="C206" s="176" t="n">
        <v>2024</v>
      </c>
      <c r="D206" s="177" t="inlineStr">
        <is>
          <t>Q3</t>
        </is>
      </c>
      <c r="E206" s="178" t="inlineStr">
        <is>
          <t>Ben/DeepSeek</t>
        </is>
      </c>
      <c r="F206" s="177" t="inlineStr">
        <is>
          <t>LLM</t>
        </is>
      </c>
      <c r="G206" s="196" t="n">
        <v>-0.1</v>
      </c>
      <c r="H206" s="177" t="inlineStr">
        <is>
          <t>SELL</t>
        </is>
      </c>
      <c r="I206" s="196" t="n"/>
      <c r="J206" s="182" t="n">
        <v>45595</v>
      </c>
      <c r="K206" s="182" t="n">
        <v>45595</v>
      </c>
      <c r="L206" s="183" t="n">
        <v>83.18000000000001</v>
      </c>
      <c r="M206" s="182" t="n">
        <v>45596</v>
      </c>
      <c r="N206" s="183" t="n">
        <v>76.56999999999999</v>
      </c>
      <c r="O206" s="180" t="n">
        <v>0.010601</v>
      </c>
      <c r="P206" s="197" t="n">
        <v>-0.07946599999999999</v>
      </c>
      <c r="Q206" s="177" t="inlineStr">
        <is>
          <t>DOWN</t>
        </is>
      </c>
      <c r="R206" s="177" t="inlineStr">
        <is>
          <t>YES</t>
        </is>
      </c>
      <c r="S206" s="176" t="n">
        <v>-1</v>
      </c>
      <c r="T206" s="197" t="n">
        <v>0.07846599999999999</v>
      </c>
      <c r="U206" s="185" t="inlineStr">
        <is>
          <t>w=[0.80,0.20,0,0] thr=(+0.20,-0.10), deployed default promoted 2026-08-18 (PSR=0.964, permutation p=0.0002 at N=233, restricted search - see blend.py)</t>
        </is>
      </c>
      <c r="V206" s="152" t="inlineStr">
        <is>
          <t>FROZEN</t>
        </is>
      </c>
      <c r="W206" s="152" t="inlineStr">
        <is>
          <t>release date + stated time in the document (document)</t>
        </is>
      </c>
      <c r="X206" s="152" t="inlineStr">
        <is>
          <t>MET</t>
        </is>
      </c>
      <c r="Y206" s="152" t="inlineStr">
        <is>
          <t>2024-10-30</t>
        </is>
      </c>
      <c r="Z206" s="152" t="n">
        <v>78.6116</v>
      </c>
      <c r="AA206" s="152" t="inlineStr">
        <is>
          <t>2024-10-31</t>
        </is>
      </c>
      <c r="AB206" s="152" t="n">
        <v>72.3646</v>
      </c>
      <c r="AC206" s="152" t="n">
        <v>-0.07946624452436507</v>
      </c>
      <c r="AD206" s="152" t="inlineStr">
        <is>
          <t>DOWN</t>
        </is>
      </c>
      <c r="AE206" s="152" t="inlineStr">
        <is>
          <t>YES</t>
        </is>
      </c>
      <c r="AF206" s="152" t="n">
        <v>0.07846599999999999</v>
      </c>
      <c r="AG206" s="152">
        <f>IF($A206="","",IFERROR(INDEX(Company_List!$G$3:$G$207,MATCH($A206,Company_List!$A$3:$A$207,0)),"unassigned"))</f>
        <v/>
      </c>
      <c r="AH206" s="152" t="inlineStr">
        <is>
          <t>Phase 2/MetLife/Q3 2024/MET-Q3-2024-press-release-SEC-EX99-1.htm; Phase 2/MetLife/Q3 2024/MET-Q3-2024-exhibit-SEC-EX99-2.htm; Phase 2/MetLife/Q3 2024/MET-Q3-2024-earnings-call-transcript-InsiderMonkey.html</t>
        </is>
      </c>
      <c r="AI206" s="152" t="inlineStr">
        <is>
          <t>https://www.insidermonkey.com/blog/metlife-inc-nysemet-q3-2024-earnings-call-transcript-1383939/; https://www.sec.gov/Archives/edgar/data/1099219/000109921924000255/ex991earningsreleasetables.htm; https://www.sec.gov/Archives/edgar/data/1099219/000109921924000255/ex992qfsq324.htm</t>
        </is>
      </c>
      <c r="AJ206" s="152" t="inlineStr">
        <is>
          <t>manifest (whole bundle)</t>
        </is>
      </c>
      <c r="AK206" s="152">
        <f>IF($A206="","",IF(COUNTIFS(Human_Data_Entry!$A$3:$A$525,$A206)&gt;0,"YES","NO"))</f>
        <v/>
      </c>
      <c r="AL206" s="152">
        <f>IF($A206="","",IF(AND($C206&amp;"-"&amp;$D206&gt;=Settings!$B$19,$C206&amp;"-"&amp;$D206&lt;=Settings!$B$20),"IN","OUT"))</f>
        <v/>
      </c>
      <c r="AM206" s="152">
        <f>IF(AND(OR($H206="BUY",$H206="SELL"),ISNUMBER($T206)),$T206,"")</f>
        <v/>
      </c>
      <c r="AN206" s="152">
        <f>IF(AND(OR($H206="BUY",$H206="SELL"),ISNUMBER($AF206)),$AF206,"")</f>
        <v/>
      </c>
      <c r="AO206" s="152">
        <f>IF(ISNUMBER($AM206),ABS(IF(ISNUMBER($G206),$G206,0)-Settings!$B$25),"")</f>
        <v/>
      </c>
      <c r="AP206" s="152">
        <f>IF(ISNUMBER($AO206),$AO206*$AM206,"")</f>
        <v/>
      </c>
      <c r="AQ206" s="152">
        <f>IF(ISNUMBER($AN206),ABS(IF(ISNUMBER($G206),$G206,0)-Settings!$B$25),"")</f>
        <v/>
      </c>
      <c r="AR206" s="152">
        <f>IF(ISNUMBER($AQ206),$AQ206*$AN206,"")</f>
        <v/>
      </c>
      <c r="AS206" s="152">
        <f>IF($A206="","",IFERROR(INDEX(Company_List!$H$3:$H$207,MATCH($A206,Company_List!$A$3:$A$207,0)),"unassigned"))</f>
        <v/>
      </c>
      <c r="AT206" s="152" t="inlineStr">
        <is>
          <t>not in v1</t>
        </is>
      </c>
      <c r="AU206" s="152" t="inlineStr">
        <is>
          <t>no earlier record</t>
        </is>
      </c>
      <c r="AV206" s="152" t="n">
        <v>3</v>
      </c>
      <c r="AW206" s="152" t="inlineStr">
        <is>
          <t>Insider Monkey (Koala Guide LLC)</t>
        </is>
      </c>
      <c r="AX206" s="152" t="inlineStr">
        <is>
          <t>free to read, copyright asserted</t>
        </is>
      </c>
      <c r="AY206" s="152" t="inlineStr">
        <is>
          <t>no</t>
        </is>
      </c>
      <c r="AZ206" s="152" t="inlineStr">
        <is>
          <t>yes</t>
        </is>
      </c>
      <c r="BA206" s="198" t="inlineStr">
        <is>
          <t>YES</t>
        </is>
      </c>
      <c r="BB206" s="198" t="n"/>
    </row>
    <row r="207" ht="15" customHeight="1" s="241">
      <c r="A207" s="191" t="inlineStr">
        <is>
          <t>MetLife</t>
        </is>
      </c>
      <c r="B207" s="188" t="inlineStr">
        <is>
          <t>MET</t>
        </is>
      </c>
      <c r="C207" s="176" t="n">
        <v>2025</v>
      </c>
      <c r="D207" s="177" t="inlineStr">
        <is>
          <t>Q3</t>
        </is>
      </c>
      <c r="E207" s="178" t="inlineStr">
        <is>
          <t>Ben/DeepSeek</t>
        </is>
      </c>
      <c r="F207" s="177" t="inlineStr">
        <is>
          <t>LLM</t>
        </is>
      </c>
      <c r="G207" s="196" t="n">
        <v>0.26</v>
      </c>
      <c r="H207" s="177" t="inlineStr">
        <is>
          <t>BUY</t>
        </is>
      </c>
      <c r="I207" s="196" t="n"/>
      <c r="J207" s="182" t="n">
        <v>45966</v>
      </c>
      <c r="K207" s="182" t="n">
        <v>45966</v>
      </c>
      <c r="L207" s="183" t="n">
        <v>78.68000000000001</v>
      </c>
      <c r="M207" s="182" t="n">
        <v>45967</v>
      </c>
      <c r="N207" s="183" t="n">
        <v>79.5</v>
      </c>
      <c r="O207" s="180" t="n">
        <v>0.010544</v>
      </c>
      <c r="P207" s="197" t="n">
        <v>0.010422</v>
      </c>
      <c r="Q207" s="177" t="inlineStr">
        <is>
          <t>FLAT</t>
        </is>
      </c>
      <c r="R207" s="177" t="inlineStr">
        <is>
          <t>NO</t>
        </is>
      </c>
      <c r="S207" s="176" t="n">
        <v>1</v>
      </c>
      <c r="T207" s="197" t="n">
        <v>0.009422</v>
      </c>
      <c r="U207" s="185" t="inlineStr">
        <is>
          <t>w=[0.80,0.20,0,0] thr=(+0.20,-0.10), deployed default promoted 2026-08-18 (PSR=0.964, permutation p=0.0002 at N=233, restricted search - see blend.py)</t>
        </is>
      </c>
      <c r="V207" s="152" t="inlineStr">
        <is>
          <t>FROZEN</t>
        </is>
      </c>
      <c r="W207" s="152" t="inlineStr">
        <is>
          <t>release date + stated time in the document (document)</t>
        </is>
      </c>
      <c r="X207" s="152" t="inlineStr">
        <is>
          <t>MET</t>
        </is>
      </c>
      <c r="Y207" s="152" t="inlineStr">
        <is>
          <t>2025-11-05</t>
        </is>
      </c>
      <c r="Z207" s="152" t="n">
        <v>77.0488</v>
      </c>
      <c r="AA207" s="152" t="inlineStr">
        <is>
          <t>2025-11-06</t>
        </is>
      </c>
      <c r="AB207" s="152" t="n">
        <v>77.8518</v>
      </c>
      <c r="AC207" s="152" t="n">
        <v>0.01042193452526113</v>
      </c>
      <c r="AD207" s="152" t="inlineStr">
        <is>
          <t>FLAT</t>
        </is>
      </c>
      <c r="AE207" s="152" t="inlineStr">
        <is>
          <t>NO</t>
        </is>
      </c>
      <c r="AF207" s="152" t="n">
        <v>0.009422</v>
      </c>
      <c r="AG207" s="152">
        <f>IF($A207="","",IFERROR(INDEX(Company_List!$G$3:$G$207,MATCH($A207,Company_List!$A$3:$A$207,0)),"unassigned"))</f>
        <v/>
      </c>
      <c r="AH207" s="152" t="inlineStr">
        <is>
          <t>Phase 2/MetLife/Q3 2025/MET-Q3-2025-press-release-SEC-EX99-1.htm; Phase 2/MetLife/Q3 2025/MET-Q3-2025-exhibit-SEC-EX99-2.htm; Phase 2/MetLife/Q3 2025/MET-Q3-2025-earnings-call-transcript-news-alphastreet-com.html</t>
        </is>
      </c>
      <c r="AI207" s="152" t="inlineStr">
        <is>
          <t>https://news.alphastreet.com/metlife-inc-met-q3-2025-earnings-call-transcript/; https://www.sec.gov/Archives/edgar/data/1099219/000109921925000227/ex991earningsreleasetables.htm; https://www.sec.gov/Archives/edgar/data/1099219/000109921925000227/ex992qfsq325.htm</t>
        </is>
      </c>
      <c r="AJ207" s="152" t="inlineStr">
        <is>
          <t>manifest (whole bundle)</t>
        </is>
      </c>
      <c r="AK207" s="152">
        <f>IF($A207="","",IF(COUNTIFS(Human_Data_Entry!$A$3:$A$525,$A207)&gt;0,"YES","NO"))</f>
        <v/>
      </c>
      <c r="AL207" s="152">
        <f>IF($A207="","",IF(AND($C207&amp;"-"&amp;$D207&gt;=Settings!$B$19,$C207&amp;"-"&amp;$D207&lt;=Settings!$B$20),"IN","OUT"))</f>
        <v/>
      </c>
      <c r="AM207" s="152">
        <f>IF(AND(OR($H207="BUY",$H207="SELL"),ISNUMBER($T207)),$T207,"")</f>
        <v/>
      </c>
      <c r="AN207" s="152">
        <f>IF(AND(OR($H207="BUY",$H207="SELL"),ISNUMBER($AF207)),$AF207,"")</f>
        <v/>
      </c>
      <c r="AO207" s="152">
        <f>IF(ISNUMBER($AM207),ABS(IF(ISNUMBER($G207),$G207,0)-Settings!$B$25),"")</f>
        <v/>
      </c>
      <c r="AP207" s="152">
        <f>IF(ISNUMBER($AO207),$AO207*$AM207,"")</f>
        <v/>
      </c>
      <c r="AQ207" s="152">
        <f>IF(ISNUMBER($AN207),ABS(IF(ISNUMBER($G207),$G207,0)-Settings!$B$25),"")</f>
        <v/>
      </c>
      <c r="AR207" s="152">
        <f>IF(ISNUMBER($AQ207),$AQ207*$AN207,"")</f>
        <v/>
      </c>
      <c r="AS207" s="152">
        <f>IF($A207="","",IFERROR(INDEX(Company_List!$H$3:$H$207,MATCH($A207,Company_List!$A$3:$A$207,0)),"unassigned"))</f>
        <v/>
      </c>
      <c r="AT207" s="152" t="inlineStr">
        <is>
          <t>not in v1</t>
        </is>
      </c>
      <c r="AU207" s="152" t="inlineStr">
        <is>
          <t>no earlier record</t>
        </is>
      </c>
      <c r="AV207" s="152" t="n">
        <v>3</v>
      </c>
      <c r="AW207" s="152" t="inlineStr">
        <is>
          <t>not publisher-identified</t>
        </is>
      </c>
      <c r="AX207" s="152" t="inlineStr">
        <is>
          <t>not publisher-identified</t>
        </is>
      </c>
      <c r="AY207" s="152" t="inlineStr">
        <is>
          <t>no</t>
        </is>
      </c>
      <c r="AZ207" s="152" t="inlineStr">
        <is>
          <t>yes</t>
        </is>
      </c>
      <c r="BA207" s="198" t="inlineStr">
        <is>
          <t>YES</t>
        </is>
      </c>
      <c r="BB207" s="198" t="n"/>
    </row>
    <row r="208" ht="15" customHeight="1" s="241">
      <c r="A208" s="191" t="inlineStr">
        <is>
          <t>MetLife</t>
        </is>
      </c>
      <c r="B208" s="188" t="inlineStr">
        <is>
          <t>MET</t>
        </is>
      </c>
      <c r="C208" s="176" t="n">
        <v>2025</v>
      </c>
      <c r="D208" s="177" t="inlineStr">
        <is>
          <t>Q4</t>
        </is>
      </c>
      <c r="E208" s="178" t="inlineStr">
        <is>
          <t>Ben/DeepSeek</t>
        </is>
      </c>
      <c r="F208" s="177" t="inlineStr">
        <is>
          <t>LLM</t>
        </is>
      </c>
      <c r="G208" s="196" t="n">
        <v>0.29</v>
      </c>
      <c r="H208" s="177" t="inlineStr">
        <is>
          <t>BUY</t>
        </is>
      </c>
      <c r="I208" s="196" t="n"/>
      <c r="J208" s="182" t="n">
        <v>46057</v>
      </c>
      <c r="K208" s="182" t="n">
        <v>46057</v>
      </c>
      <c r="L208" s="183" t="n">
        <v>78.01000000000001</v>
      </c>
      <c r="M208" s="182" t="n">
        <v>46058</v>
      </c>
      <c r="N208" s="183" t="n">
        <v>79.5</v>
      </c>
      <c r="O208" s="180" t="n">
        <v>0.013737</v>
      </c>
      <c r="P208" s="197" t="n">
        <v>0.0191</v>
      </c>
      <c r="Q208" s="177" t="inlineStr">
        <is>
          <t>FLAT</t>
        </is>
      </c>
      <c r="R208" s="177" t="inlineStr">
        <is>
          <t>NO</t>
        </is>
      </c>
      <c r="S208" s="176" t="n">
        <v>1</v>
      </c>
      <c r="T208" s="197" t="n">
        <v>0.0181</v>
      </c>
      <c r="U208" s="185" t="inlineStr">
        <is>
          <t>w=[0.80,0.20,0,0] thr=(+0.20,-0.10), deployed default promoted 2026-08-18 (PSR=0.964, permutation p=0.0002 at N=233, restricted search - see blend.py)</t>
        </is>
      </c>
      <c r="V208" s="152" t="inlineStr">
        <is>
          <t>FROZEN</t>
        </is>
      </c>
      <c r="W208" s="152" t="inlineStr">
        <is>
          <t>release date + stated time in the document (document)</t>
        </is>
      </c>
      <c r="X208" s="152" t="inlineStr">
        <is>
          <t>MET</t>
        </is>
      </c>
      <c r="Y208" s="152" t="inlineStr">
        <is>
          <t>2026-02-04</t>
        </is>
      </c>
      <c r="Z208" s="152" t="n">
        <v>76.9401</v>
      </c>
      <c r="AA208" s="152" t="inlineStr">
        <is>
          <t>2026-02-05</t>
        </is>
      </c>
      <c r="AB208" s="152" t="n">
        <v>78.4097</v>
      </c>
      <c r="AC208" s="152" t="n">
        <v>0.01910011489677565</v>
      </c>
      <c r="AD208" s="152" t="inlineStr">
        <is>
          <t>FLAT</t>
        </is>
      </c>
      <c r="AE208" s="152" t="inlineStr">
        <is>
          <t>NO</t>
        </is>
      </c>
      <c r="AF208" s="152" t="n">
        <v>0.0181</v>
      </c>
      <c r="AG208" s="152">
        <f>IF($A208="","",IFERROR(INDEX(Company_List!$G$3:$G$207,MATCH($A208,Company_List!$A$3:$A$207,0)),"unassigned"))</f>
        <v/>
      </c>
      <c r="AH208" s="152" t="inlineStr">
        <is>
          <t>Phase 2/MetLife/Q4 2025/MET-Q4-2025-press-release-SEC-EX99-1.htm; Phase 2/MetLife/Q4 2025/MET-Q4-2025-exhibit-SEC-EX99-2.htm; Phase 2/MetLife/Q4 2025/MET-Q4-2025-earnings-call-transcript-InsiderMonkey.html</t>
        </is>
      </c>
      <c r="AI208" s="152" t="inlineStr">
        <is>
          <t>https://www.insidermonkey.com/blog/metlife-inc-nysemet-q4-2025-earnings-call-transcript-1690172/; https://www.sec.gov/Archives/edgar/data/1099219/000109921926000008/ex991earningsreleasetables.htm; https://www.sec.gov/Archives/edgar/data/1099219/000109921926000008/ex992qfsq425.htm</t>
        </is>
      </c>
      <c r="AJ208" s="152" t="inlineStr">
        <is>
          <t>manifest (whole bundle)</t>
        </is>
      </c>
      <c r="AK208" s="152">
        <f>IF($A208="","",IF(COUNTIFS(Human_Data_Entry!$A$3:$A$525,$A208)&gt;0,"YES","NO"))</f>
        <v/>
      </c>
      <c r="AL208" s="152">
        <f>IF($A208="","",IF(AND($C208&amp;"-"&amp;$D208&gt;=Settings!$B$19,$C208&amp;"-"&amp;$D208&lt;=Settings!$B$20),"IN","OUT"))</f>
        <v/>
      </c>
      <c r="AM208" s="152">
        <f>IF(AND(OR($H208="BUY",$H208="SELL"),ISNUMBER($T208)),$T208,"")</f>
        <v/>
      </c>
      <c r="AN208" s="152">
        <f>IF(AND(OR($H208="BUY",$H208="SELL"),ISNUMBER($AF208)),$AF208,"")</f>
        <v/>
      </c>
      <c r="AO208" s="152">
        <f>IF(ISNUMBER($AM208),ABS(IF(ISNUMBER($G208),$G208,0)-Settings!$B$25),"")</f>
        <v/>
      </c>
      <c r="AP208" s="152">
        <f>IF(ISNUMBER($AO208),$AO208*$AM208,"")</f>
        <v/>
      </c>
      <c r="AQ208" s="152">
        <f>IF(ISNUMBER($AN208),ABS(IF(ISNUMBER($G208),$G208,0)-Settings!$B$25),"")</f>
        <v/>
      </c>
      <c r="AR208" s="152">
        <f>IF(ISNUMBER($AQ208),$AQ208*$AN208,"")</f>
        <v/>
      </c>
      <c r="AS208" s="152">
        <f>IF($A208="","",IFERROR(INDEX(Company_List!$H$3:$H$207,MATCH($A208,Company_List!$A$3:$A$207,0)),"unassigned"))</f>
        <v/>
      </c>
      <c r="AT208" s="152" t="inlineStr">
        <is>
          <t>not in v1</t>
        </is>
      </c>
      <c r="AU208" s="152" t="inlineStr">
        <is>
          <t>no earlier record</t>
        </is>
      </c>
      <c r="AV208" s="152" t="n">
        <v>3</v>
      </c>
      <c r="AW208" s="152" t="inlineStr">
        <is>
          <t>Insider Monkey (Koala Guide LLC)</t>
        </is>
      </c>
      <c r="AX208" s="152" t="inlineStr">
        <is>
          <t>free to read, copyright asserted</t>
        </is>
      </c>
      <c r="AY208" s="152" t="inlineStr">
        <is>
          <t>no</t>
        </is>
      </c>
      <c r="AZ208" s="152" t="inlineStr">
        <is>
          <t>yes</t>
        </is>
      </c>
      <c r="BA208" s="198" t="inlineStr">
        <is>
          <t>YES</t>
        </is>
      </c>
      <c r="BB208" s="198" t="n"/>
    </row>
    <row r="209" ht="15" customHeight="1" s="241">
      <c r="A209" s="191" t="inlineStr">
        <is>
          <t>Micron</t>
        </is>
      </c>
      <c r="B209" s="188" t="inlineStr">
        <is>
          <t>MU</t>
        </is>
      </c>
      <c r="C209" s="176" t="n">
        <v>2026</v>
      </c>
      <c r="D209" s="177" t="inlineStr">
        <is>
          <t>Q1</t>
        </is>
      </c>
      <c r="E209" s="178" t="inlineStr">
        <is>
          <t>Ben/DeepSeek</t>
        </is>
      </c>
      <c r="F209" s="177" t="inlineStr">
        <is>
          <t>LLM</t>
        </is>
      </c>
      <c r="G209" s="196" t="n">
        <v>0.7</v>
      </c>
      <c r="H209" s="177" t="inlineStr">
        <is>
          <t>BUY</t>
        </is>
      </c>
      <c r="I209" s="196" t="n"/>
      <c r="J209" s="182" t="n">
        <v>46008</v>
      </c>
      <c r="K209" s="182" t="n">
        <v>46008</v>
      </c>
      <c r="L209" s="183" t="n">
        <v>225.52</v>
      </c>
      <c r="M209" s="182" t="n">
        <v>46009</v>
      </c>
      <c r="N209" s="183" t="n">
        <v>256.53</v>
      </c>
      <c r="O209" s="180" t="n">
        <v>0.008451</v>
      </c>
      <c r="P209" s="197" t="n">
        <v>0.137504</v>
      </c>
      <c r="Q209" s="177" t="inlineStr">
        <is>
          <t>UP</t>
        </is>
      </c>
      <c r="R209" s="177" t="inlineStr">
        <is>
          <t>YES</t>
        </is>
      </c>
      <c r="S209" s="176" t="n">
        <v>1</v>
      </c>
      <c r="T209" s="197" t="n">
        <v>0.136504</v>
      </c>
      <c r="U209" s="185" t="inlineStr">
        <is>
          <t>w=[0.80,0.20,0,0] thr=(+0.20,-0.10), deployed default promoted 2026-08-18 (PSR=0.964, permutation p=0.0002 at N=233, restricted search - see blend.py)</t>
        </is>
      </c>
      <c r="V209" s="152" t="inlineStr">
        <is>
          <t>FROZEN</t>
        </is>
      </c>
      <c r="W209" s="152" t="inlineStr">
        <is>
          <t>release date + stated time in the document (rater worksheet)</t>
        </is>
      </c>
      <c r="X209" s="152" t="inlineStr">
        <is>
          <t>MU</t>
        </is>
      </c>
      <c r="Y209" s="152" t="inlineStr">
        <is>
          <t>2025-12-17</t>
        </is>
      </c>
      <c r="Z209" s="152" t="n">
        <v>225.2996</v>
      </c>
      <c r="AA209" s="152" t="inlineStr">
        <is>
          <t>2025-12-18</t>
        </is>
      </c>
      <c r="AB209" s="152" t="n">
        <v>256.2793</v>
      </c>
      <c r="AC209" s="152" t="n">
        <v>0.1375044018373545</v>
      </c>
      <c r="AD209" s="152" t="inlineStr">
        <is>
          <t>UP</t>
        </is>
      </c>
      <c r="AE209" s="152" t="inlineStr">
        <is>
          <t>YES</t>
        </is>
      </c>
      <c r="AF209" s="152" t="n">
        <v>0.136504</v>
      </c>
      <c r="AG209" s="152">
        <f>IF($A209="","",IFERROR(INDEX(Company_List!$G$3:$G$207,MATCH($A209,Company_List!$A$3:$A$207,0)),"unassigned"))</f>
        <v/>
      </c>
      <c r="AH209" s="152" t="inlineStr">
        <is>
          <t>Phase 2/Micron/2026-Q1/MU-2026-Q1-earnings-call-transcript-news-alphastreet-com.html</t>
        </is>
      </c>
      <c r="AI209" s="152" t="inlineStr">
        <is>
          <t>https://news.alphastreet.com/micron-technology-inc-mu-q1-2026-earnings-call-transcript/</t>
        </is>
      </c>
      <c r="AJ209" s="152" t="inlineStr">
        <is>
          <t>manifest</t>
        </is>
      </c>
      <c r="AK209" s="152">
        <f>IF($A209="","",IF(COUNTIFS(Human_Data_Entry!$A$3:$A$525,$A209)&gt;0,"YES","NO"))</f>
        <v/>
      </c>
      <c r="AL209" s="152">
        <f>IF($A209="","",IF(AND($C209&amp;"-"&amp;$D209&gt;=Settings!$B$19,$C209&amp;"-"&amp;$D209&lt;=Settings!$B$20),"IN","OUT"))</f>
        <v/>
      </c>
      <c r="AM209" s="152">
        <f>IF(AND(OR($H209="BUY",$H209="SELL"),ISNUMBER($T209)),$T209,"")</f>
        <v/>
      </c>
      <c r="AN209" s="152">
        <f>IF(AND(OR($H209="BUY",$H209="SELL"),ISNUMBER($AF209)),$AF209,"")</f>
        <v/>
      </c>
      <c r="AO209" s="152">
        <f>IF(ISNUMBER($AM209),ABS(IF(ISNUMBER($G209),$G209,0)-Settings!$B$25),"")</f>
        <v/>
      </c>
      <c r="AP209" s="152">
        <f>IF(ISNUMBER($AO209),$AO209*$AM209,"")</f>
        <v/>
      </c>
      <c r="AQ209" s="152">
        <f>IF(ISNUMBER($AN209),ABS(IF(ISNUMBER($G209),$G209,0)-Settings!$B$25),"")</f>
        <v/>
      </c>
      <c r="AR209" s="152">
        <f>IF(ISNUMBER($AQ209),$AQ209*$AN209,"")</f>
        <v/>
      </c>
      <c r="AS209" s="152">
        <f>IF($A209="","",IFERROR(INDEX(Company_List!$H$3:$H$207,MATCH($A209,Company_List!$A$3:$A$207,0)),"unassigned"))</f>
        <v/>
      </c>
      <c r="AT209" s="152" t="inlineStr">
        <is>
          <t>not in v1</t>
        </is>
      </c>
      <c r="AU209" s="152" t="inlineStr">
        <is>
          <t>no earlier record</t>
        </is>
      </c>
      <c r="AV209" s="152" t="n">
        <v>1</v>
      </c>
      <c r="AW209" s="152" t="inlineStr">
        <is>
          <t>not publisher-identified</t>
        </is>
      </c>
      <c r="AX209" s="152" t="inlineStr">
        <is>
          <t>not publisher-identified</t>
        </is>
      </c>
      <c r="AY209" s="152" t="inlineStr">
        <is>
          <t>no</t>
        </is>
      </c>
      <c r="AZ209" s="152" t="inlineStr">
        <is>
          <t>yes</t>
        </is>
      </c>
      <c r="BA209" s="152" t="inlineStr">
        <is>
          <t>YES</t>
        </is>
      </c>
      <c r="BB209" s="152" t="n"/>
    </row>
    <row r="210" ht="15" customHeight="1" s="241">
      <c r="A210" s="191" t="inlineStr">
        <is>
          <t>Micron</t>
        </is>
      </c>
      <c r="B210" s="188" t="inlineStr">
        <is>
          <t>MU</t>
        </is>
      </c>
      <c r="C210" s="176" t="n">
        <v>2026</v>
      </c>
      <c r="D210" s="177" t="inlineStr">
        <is>
          <t>Q2</t>
        </is>
      </c>
      <c r="E210" s="178" t="inlineStr">
        <is>
          <t>Ben/DeepSeek</t>
        </is>
      </c>
      <c r="F210" s="177" t="inlineStr">
        <is>
          <t>LLM</t>
        </is>
      </c>
      <c r="G210" s="196" t="n">
        <v>0.66</v>
      </c>
      <c r="H210" s="177" t="inlineStr">
        <is>
          <t>BUY</t>
        </is>
      </c>
      <c r="I210" s="196" t="n"/>
      <c r="J210" s="182" t="n">
        <v>46099</v>
      </c>
      <c r="K210" s="182" t="n">
        <v>46099</v>
      </c>
      <c r="L210" s="183" t="n">
        <v>461.73</v>
      </c>
      <c r="M210" s="182" t="n">
        <v>46100</v>
      </c>
      <c r="N210" s="183" t="n">
        <v>424.97</v>
      </c>
      <c r="O210" s="180" t="n">
        <v>0.008695</v>
      </c>
      <c r="P210" s="197" t="n">
        <v>-0.079614</v>
      </c>
      <c r="Q210" s="177" t="inlineStr">
        <is>
          <t>DOWN</t>
        </is>
      </c>
      <c r="R210" s="177" t="inlineStr">
        <is>
          <t>NO</t>
        </is>
      </c>
      <c r="S210" s="176" t="n">
        <v>1</v>
      </c>
      <c r="T210" s="197" t="n">
        <v>-0.08061400000000001</v>
      </c>
      <c r="U210" s="185" t="inlineStr">
        <is>
          <t>w=[0.80,0.20,0,0] thr=(+0.20,-0.10), deployed default promoted 2026-08-18 (PSR=0.964, permutation p=0.0002 at N=233, restricted search - see blend.py)</t>
        </is>
      </c>
      <c r="V210" s="152" t="inlineStr">
        <is>
          <t>FROZEN</t>
        </is>
      </c>
      <c r="W210" s="152" t="inlineStr">
        <is>
          <t>release date + stated time in the document (rater worksheet)</t>
        </is>
      </c>
      <c r="X210" s="152" t="inlineStr">
        <is>
          <t>MU</t>
        </is>
      </c>
      <c r="Y210" s="152" t="inlineStr">
        <is>
          <t>2026-03-18</t>
        </is>
      </c>
      <c r="Z210" s="152" t="n">
        <v>461.4651</v>
      </c>
      <c r="AA210" s="152" t="inlineStr">
        <is>
          <t>2026-03-19</t>
        </is>
      </c>
      <c r="AB210" s="152" t="n">
        <v>424.7262</v>
      </c>
      <c r="AC210" s="152" t="n">
        <v>-0.07961365835023619</v>
      </c>
      <c r="AD210" s="152" t="inlineStr">
        <is>
          <t>DOWN</t>
        </is>
      </c>
      <c r="AE210" s="152" t="inlineStr">
        <is>
          <t>NO</t>
        </is>
      </c>
      <c r="AF210" s="152" t="n">
        <v>-0.08061400000000001</v>
      </c>
      <c r="AG210" s="152">
        <f>IF($A210="","",IFERROR(INDEX(Company_List!$G$3:$G$207,MATCH($A210,Company_List!$A$3:$A$207,0)),"unassigned"))</f>
        <v/>
      </c>
      <c r="AH210" s="152" t="inlineStr">
        <is>
          <t>Phase 2/Micron/2026-Q2/MU-2026-Q2-quarterly-financial-statements-SEC-10-Q.htm; Phase 2/Micron/2026-Q2/MU-2026-Q2-press-release-SEC-EX-99-1.htm</t>
        </is>
      </c>
      <c r="AI210" s="152" t="inlineStr">
        <is>
          <t>https://www.sec.gov/Archives/edgar/data/723125/000072312526000004/a2026q2ex991-pressrelease.htm; https://www.sec.gov/Archives/edgar/data/723125/000072312526000006/mu-20260226.htm</t>
        </is>
      </c>
      <c r="AJ210" s="152" t="inlineStr">
        <is>
          <t>manifest (whole bundle)</t>
        </is>
      </c>
      <c r="AK210" s="152">
        <f>IF($A210="","",IF(COUNTIFS(Human_Data_Entry!$A$3:$A$525,$A210)&gt;0,"YES","NO"))</f>
        <v/>
      </c>
      <c r="AL210" s="152">
        <f>IF($A210="","",IF(AND($C210&amp;"-"&amp;$D210&gt;=Settings!$B$19,$C210&amp;"-"&amp;$D210&lt;=Settings!$B$20),"IN","OUT"))</f>
        <v/>
      </c>
      <c r="AM210" s="152">
        <f>IF(AND(OR($H210="BUY",$H210="SELL"),ISNUMBER($T210)),$T210,"")</f>
        <v/>
      </c>
      <c r="AN210" s="152">
        <f>IF(AND(OR($H210="BUY",$H210="SELL"),ISNUMBER($AF210)),$AF210,"")</f>
        <v/>
      </c>
      <c r="AO210" s="152">
        <f>IF(ISNUMBER($AM210),ABS(IF(ISNUMBER($G210),$G210,0)-Settings!$B$25),"")</f>
        <v/>
      </c>
      <c r="AP210" s="152">
        <f>IF(ISNUMBER($AO210),$AO210*$AM210,"")</f>
        <v/>
      </c>
      <c r="AQ210" s="152">
        <f>IF(ISNUMBER($AN210),ABS(IF(ISNUMBER($G210),$G210,0)-Settings!$B$25),"")</f>
        <v/>
      </c>
      <c r="AR210" s="152">
        <f>IF(ISNUMBER($AQ210),$AQ210*$AN210,"")</f>
        <v/>
      </c>
      <c r="AS210" s="152">
        <f>IF($A210="","",IFERROR(INDEX(Company_List!$H$3:$H$207,MATCH($A210,Company_List!$A$3:$A$207,0)),"unassigned"))</f>
        <v/>
      </c>
      <c r="AT210" s="152" t="inlineStr">
        <is>
          <t>not in v1</t>
        </is>
      </c>
      <c r="AU210" s="152" t="inlineStr">
        <is>
          <t>no earlier record</t>
        </is>
      </c>
      <c r="AV210" s="152" t="n">
        <v>2</v>
      </c>
      <c r="AW210" s="152" t="inlineStr">
        <is>
          <t>not publisher-identified</t>
        </is>
      </c>
      <c r="AX210" s="152" t="inlineStr">
        <is>
          <t>not publisher-identified</t>
        </is>
      </c>
      <c r="AY210" s="152" t="inlineStr">
        <is>
          <t>one of several</t>
        </is>
      </c>
      <c r="AZ210" s="152" t="inlineStr">
        <is>
          <t>yes</t>
        </is>
      </c>
      <c r="BA210" s="152" t="inlineStr">
        <is>
          <t>YES</t>
        </is>
      </c>
      <c r="BB210" s="152" t="n"/>
    </row>
    <row r="211" ht="15" customHeight="1" s="241">
      <c r="A211" s="191" t="inlineStr">
        <is>
          <t>Micron</t>
        </is>
      </c>
      <c r="B211" s="188" t="inlineStr">
        <is>
          <t>MU</t>
        </is>
      </c>
      <c r="C211" s="176" t="n">
        <v>2025</v>
      </c>
      <c r="D211" s="177" t="inlineStr">
        <is>
          <t>Q4</t>
        </is>
      </c>
      <c r="E211" s="178" t="inlineStr">
        <is>
          <t>Ben/DeepSeek</t>
        </is>
      </c>
      <c r="F211" s="177" t="inlineStr">
        <is>
          <t>LLM</t>
        </is>
      </c>
      <c r="G211" s="196" t="n">
        <v>0.44</v>
      </c>
      <c r="H211" s="177" t="inlineStr">
        <is>
          <t>BUY</t>
        </is>
      </c>
      <c r="I211" s="196" t="n"/>
      <c r="J211" s="182" t="n">
        <v>45923</v>
      </c>
      <c r="K211" s="182" t="n">
        <v>45923</v>
      </c>
      <c r="L211" s="183" t="n">
        <v>166.41</v>
      </c>
      <c r="M211" s="182" t="n">
        <v>45924</v>
      </c>
      <c r="N211" s="183" t="n">
        <v>165.08</v>
      </c>
      <c r="O211" s="180" t="n">
        <v>0.009238</v>
      </c>
      <c r="P211" s="197" t="n">
        <v>-0.007992000000000001</v>
      </c>
      <c r="Q211" s="177" t="inlineStr">
        <is>
          <t>FLAT</t>
        </is>
      </c>
      <c r="R211" s="177" t="inlineStr">
        <is>
          <t>NO</t>
        </is>
      </c>
      <c r="S211" s="176" t="n">
        <v>1</v>
      </c>
      <c r="T211" s="197" t="n">
        <v>-0.008992</v>
      </c>
      <c r="U211" s="185" t="inlineStr">
        <is>
          <t>w=[0.80,0.20,0,0] thr=(+0.20,-0.10), deployed default promoted 2026-08-18 (PSR=0.964, permutation p=0.0002 at N=233, restricted search - see blend.py)</t>
        </is>
      </c>
      <c r="V211" s="152" t="inlineStr">
        <is>
          <t>FROZEN</t>
        </is>
      </c>
      <c r="W211" s="152" t="inlineStr">
        <is>
          <t>release date + stated time in the document (rater worksheet)</t>
        </is>
      </c>
      <c r="X211" s="152" t="inlineStr">
        <is>
          <t>MU</t>
        </is>
      </c>
      <c r="Y211" s="152" t="inlineStr">
        <is>
          <t>2025-09-23</t>
        </is>
      </c>
      <c r="Z211" s="152" t="n">
        <v>166.1433</v>
      </c>
      <c r="AA211" s="152" t="inlineStr">
        <is>
          <t>2025-09-24</t>
        </is>
      </c>
      <c r="AB211" s="152" t="n">
        <v>164.8155</v>
      </c>
      <c r="AC211" s="152" t="n">
        <v>-0.007992372147029306</v>
      </c>
      <c r="AD211" s="152" t="inlineStr">
        <is>
          <t>FLAT</t>
        </is>
      </c>
      <c r="AE211" s="152" t="inlineStr">
        <is>
          <t>NO</t>
        </is>
      </c>
      <c r="AF211" s="152" t="n">
        <v>-0.008992</v>
      </c>
      <c r="AG211" s="152">
        <f>IF($A211="","",IFERROR(INDEX(Company_List!$G$3:$G$207,MATCH($A211,Company_List!$A$3:$A$207,0)),"unassigned"))</f>
        <v/>
      </c>
      <c r="AH211" s="152" t="inlineStr">
        <is>
          <t>Phase 2/Micron/2025-Q4/MU-2025-Q4-earnings-call-transcript-news-alphastreet-com.html</t>
        </is>
      </c>
      <c r="AI211" s="152" t="inlineStr">
        <is>
          <t>https://news.alphastreet.com/micron-technology-inc-mu-q4-2025-earnings-call-transcript/</t>
        </is>
      </c>
      <c r="AJ211" s="152" t="inlineStr">
        <is>
          <t>manifest</t>
        </is>
      </c>
      <c r="AK211" s="152">
        <f>IF($A211="","",IF(COUNTIFS(Human_Data_Entry!$A$3:$A$525,$A211)&gt;0,"YES","NO"))</f>
        <v/>
      </c>
      <c r="AL211" s="152">
        <f>IF($A211="","",IF(AND($C211&amp;"-"&amp;$D211&gt;=Settings!$B$19,$C211&amp;"-"&amp;$D211&lt;=Settings!$B$20),"IN","OUT"))</f>
        <v/>
      </c>
      <c r="AM211" s="152">
        <f>IF(AND(OR($H211="BUY",$H211="SELL"),ISNUMBER($T211)),$T211,"")</f>
        <v/>
      </c>
      <c r="AN211" s="152">
        <f>IF(AND(OR($H211="BUY",$H211="SELL"),ISNUMBER($AF211)),$AF211,"")</f>
        <v/>
      </c>
      <c r="AO211" s="152">
        <f>IF(ISNUMBER($AM211),ABS(IF(ISNUMBER($G211),$G211,0)-Settings!$B$25),"")</f>
        <v/>
      </c>
      <c r="AP211" s="152">
        <f>IF(ISNUMBER($AO211),$AO211*$AM211,"")</f>
        <v/>
      </c>
      <c r="AQ211" s="152">
        <f>IF(ISNUMBER($AN211),ABS(IF(ISNUMBER($G211),$G211,0)-Settings!$B$25),"")</f>
        <v/>
      </c>
      <c r="AR211" s="152">
        <f>IF(ISNUMBER($AQ211),$AQ211*$AN211,"")</f>
        <v/>
      </c>
      <c r="AS211" s="152">
        <f>IF($A211="","",IFERROR(INDEX(Company_List!$H$3:$H$207,MATCH($A211,Company_List!$A$3:$A$207,0)),"unassigned"))</f>
        <v/>
      </c>
      <c r="AT211" s="152" t="inlineStr">
        <is>
          <t>not in v1</t>
        </is>
      </c>
      <c r="AU211" s="152" t="inlineStr">
        <is>
          <t>no earlier record</t>
        </is>
      </c>
      <c r="AV211" s="152" t="n">
        <v>1</v>
      </c>
      <c r="AW211" s="152" t="inlineStr">
        <is>
          <t>not publisher-identified</t>
        </is>
      </c>
      <c r="AX211" s="152" t="inlineStr">
        <is>
          <t>not publisher-identified</t>
        </is>
      </c>
      <c r="AY211" s="152" t="inlineStr">
        <is>
          <t>no</t>
        </is>
      </c>
      <c r="AZ211" s="152" t="inlineStr">
        <is>
          <t>yes</t>
        </is>
      </c>
      <c r="BA211" s="152" t="inlineStr">
        <is>
          <t>YES</t>
        </is>
      </c>
      <c r="BB211" s="152" t="n"/>
    </row>
    <row r="212" ht="15" customHeight="1" s="241">
      <c r="A212" s="191" t="inlineStr">
        <is>
          <t>Oracle</t>
        </is>
      </c>
      <c r="B212" s="188" t="inlineStr">
        <is>
          <t>ORCL</t>
        </is>
      </c>
      <c r="C212" s="176" t="n">
        <v>2026</v>
      </c>
      <c r="D212" s="177" t="inlineStr">
        <is>
          <t>Q1</t>
        </is>
      </c>
      <c r="E212" s="178" t="inlineStr">
        <is>
          <t>Ben/DeepSeek</t>
        </is>
      </c>
      <c r="F212" s="177" t="inlineStr">
        <is>
          <t>LLM</t>
        </is>
      </c>
      <c r="G212" s="196" t="n">
        <v>0.68</v>
      </c>
      <c r="H212" s="177" t="inlineStr">
        <is>
          <t>BUY</t>
        </is>
      </c>
      <c r="I212" s="196" t="n"/>
      <c r="J212" s="182" t="n">
        <v>45909</v>
      </c>
      <c r="K212" s="182" t="n">
        <v>45909</v>
      </c>
      <c r="L212" s="183" t="n">
        <v>241.51</v>
      </c>
      <c r="M212" s="182" t="n">
        <v>45910</v>
      </c>
      <c r="N212" s="183" t="n">
        <v>319.19</v>
      </c>
      <c r="O212" s="180" t="n">
        <v>0.00784</v>
      </c>
      <c r="P212" s="197" t="n">
        <v>0.321643</v>
      </c>
      <c r="Q212" s="177" t="inlineStr">
        <is>
          <t>UP</t>
        </is>
      </c>
      <c r="R212" s="177" t="inlineStr">
        <is>
          <t>YES</t>
        </is>
      </c>
      <c r="S212" s="176" t="n">
        <v>1</v>
      </c>
      <c r="T212" s="197" t="n">
        <v>0.320643</v>
      </c>
      <c r="U212" s="185" t="inlineStr">
        <is>
          <t>w=[0.80,0.20,0,0] thr=(+0.20,-0.10), deployed default promoted 2026-08-18 (PSR=0.964, permutation p=0.0002 at N=233, restricted search - see blend.py)</t>
        </is>
      </c>
      <c r="V212" s="152" t="inlineStr">
        <is>
          <t>FROZEN</t>
        </is>
      </c>
      <c r="W212" s="152" t="inlineStr">
        <is>
          <t>release date + stated time in the document (rater worksheet)</t>
        </is>
      </c>
      <c r="X212" s="152" t="inlineStr">
        <is>
          <t>ORCL</t>
        </is>
      </c>
      <c r="Y212" s="152" t="inlineStr">
        <is>
          <t>2025-09-09</t>
        </is>
      </c>
      <c r="Z212" s="152" t="n">
        <v>238.7884</v>
      </c>
      <c r="AA212" s="152" t="inlineStr">
        <is>
          <t>2025-09-10</t>
        </is>
      </c>
      <c r="AB212" s="152" t="n">
        <v>315.593</v>
      </c>
      <c r="AC212" s="152" t="n">
        <v>0.3216432243295881</v>
      </c>
      <c r="AD212" s="152" t="inlineStr">
        <is>
          <t>UP</t>
        </is>
      </c>
      <c r="AE212" s="152" t="inlineStr">
        <is>
          <t>YES</t>
        </is>
      </c>
      <c r="AF212" s="152" t="n">
        <v>0.320643</v>
      </c>
      <c r="AG212" s="152">
        <f>IF($A212="","",IFERROR(INDEX(Company_List!$G$3:$G$207,MATCH($A212,Company_List!$A$3:$A$207,0)),"unassigned"))</f>
        <v/>
      </c>
      <c r="AH212" s="152" t="inlineStr">
        <is>
          <t>Phase 2/Oracle/2026-Q1/ORCL-2026-Q1-press-release-SEC-EX-99-1.htm; Phase 2/Oracle/2026-Q1/ORCL-2026-Q1-earnings-call-transcript-news-alphastreet-com.html</t>
        </is>
      </c>
      <c r="AI212" s="152" t="inlineStr">
        <is>
          <t>https://news.alphastreet.com/oracle-corporation-orcl-q1-2026-earnings-call-transcript/; https://www.sec.gov/Archives/edgar/data/1341439/000119312525199175/orcl-ex99_1.htm</t>
        </is>
      </c>
      <c r="AJ212" s="152" t="inlineStr">
        <is>
          <t>manifest (whole bundle)</t>
        </is>
      </c>
      <c r="AK212" s="152">
        <f>IF($A212="","",IF(COUNTIFS(Human_Data_Entry!$A$3:$A$525,$A212)&gt;0,"YES","NO"))</f>
        <v/>
      </c>
      <c r="AL212" s="152">
        <f>IF($A212="","",IF(AND($C212&amp;"-"&amp;$D212&gt;=Settings!$B$19,$C212&amp;"-"&amp;$D212&lt;=Settings!$B$20),"IN","OUT"))</f>
        <v/>
      </c>
      <c r="AM212" s="152">
        <f>IF(AND(OR($H212="BUY",$H212="SELL"),ISNUMBER($T212)),$T212,"")</f>
        <v/>
      </c>
      <c r="AN212" s="152">
        <f>IF(AND(OR($H212="BUY",$H212="SELL"),ISNUMBER($AF212)),$AF212,"")</f>
        <v/>
      </c>
      <c r="AO212" s="152">
        <f>IF(ISNUMBER($AM212),ABS(IF(ISNUMBER($G212),$G212,0)-Settings!$B$25),"")</f>
        <v/>
      </c>
      <c r="AP212" s="152">
        <f>IF(ISNUMBER($AO212),$AO212*$AM212,"")</f>
        <v/>
      </c>
      <c r="AQ212" s="152">
        <f>IF(ISNUMBER($AN212),ABS(IF(ISNUMBER($G212),$G212,0)-Settings!$B$25),"")</f>
        <v/>
      </c>
      <c r="AR212" s="152">
        <f>IF(ISNUMBER($AQ212),$AQ212*$AN212,"")</f>
        <v/>
      </c>
      <c r="AS212" s="152">
        <f>IF($A212="","",IFERROR(INDEX(Company_List!$H$3:$H$207,MATCH($A212,Company_List!$A$3:$A$207,0)),"unassigned"))</f>
        <v/>
      </c>
      <c r="AT212" s="152" t="inlineStr">
        <is>
          <t>not in v1</t>
        </is>
      </c>
      <c r="AU212" s="152" t="inlineStr">
        <is>
          <t>no earlier record</t>
        </is>
      </c>
      <c r="AV212" s="152" t="n">
        <v>2</v>
      </c>
      <c r="AW212" s="152" t="inlineStr">
        <is>
          <t>not publisher-identified</t>
        </is>
      </c>
      <c r="AX212" s="152" t="inlineStr">
        <is>
          <t>not publisher-identified</t>
        </is>
      </c>
      <c r="AY212" s="152" t="inlineStr">
        <is>
          <t>no</t>
        </is>
      </c>
      <c r="AZ212" s="152" t="inlineStr">
        <is>
          <t>yes</t>
        </is>
      </c>
      <c r="BA212" s="152" t="inlineStr">
        <is>
          <t>YES</t>
        </is>
      </c>
      <c r="BB212" s="152" t="n"/>
    </row>
    <row r="213" ht="15" customHeight="1" s="241">
      <c r="A213" s="191" t="inlineStr">
        <is>
          <t>Oracle</t>
        </is>
      </c>
      <c r="B213" s="188" t="inlineStr">
        <is>
          <t>ORCL</t>
        </is>
      </c>
      <c r="C213" s="176" t="n">
        <v>2026</v>
      </c>
      <c r="D213" s="177" t="inlineStr">
        <is>
          <t>Q2</t>
        </is>
      </c>
      <c r="E213" s="178" t="inlineStr">
        <is>
          <t>Ben/DeepSeek</t>
        </is>
      </c>
      <c r="F213" s="177" t="inlineStr">
        <is>
          <t>LLM</t>
        </is>
      </c>
      <c r="G213" s="196" t="n">
        <v>0.46</v>
      </c>
      <c r="H213" s="177" t="inlineStr">
        <is>
          <t>BUY</t>
        </is>
      </c>
      <c r="I213" s="196" t="n"/>
      <c r="J213" s="182" t="n">
        <v>46001</v>
      </c>
      <c r="K213" s="182" t="n">
        <v>46001</v>
      </c>
      <c r="L213" s="183" t="n">
        <v>223.01</v>
      </c>
      <c r="M213" s="182" t="n">
        <v>46002</v>
      </c>
      <c r="N213" s="183" t="n">
        <v>190.62</v>
      </c>
      <c r="O213" s="180" t="n">
        <v>0.008305</v>
      </c>
      <c r="P213" s="197" t="n">
        <v>-0.14524</v>
      </c>
      <c r="Q213" s="177" t="inlineStr">
        <is>
          <t>DOWN</t>
        </is>
      </c>
      <c r="R213" s="177" t="inlineStr">
        <is>
          <t>NO</t>
        </is>
      </c>
      <c r="S213" s="176" t="n">
        <v>1</v>
      </c>
      <c r="T213" s="197" t="n">
        <v>-0.14624</v>
      </c>
      <c r="U213" s="185" t="inlineStr">
        <is>
          <t>w=[0.80,0.20,0,0] thr=(+0.20,-0.10), deployed default promoted 2026-08-18 (PSR=0.964, permutation p=0.0002 at N=233, restricted search - see blend.py)</t>
        </is>
      </c>
      <c r="V213" s="152" t="inlineStr">
        <is>
          <t>FROZEN</t>
        </is>
      </c>
      <c r="W213" s="152" t="inlineStr">
        <is>
          <t>price signal — only this window shows an abnormal move</t>
        </is>
      </c>
      <c r="X213" s="152" t="inlineStr">
        <is>
          <t>ORCL</t>
        </is>
      </c>
      <c r="Y213" s="152" t="inlineStr">
        <is>
          <t>2025-12-10</t>
        </is>
      </c>
      <c r="Z213" s="152" t="n">
        <v>220.8795</v>
      </c>
      <c r="AA213" s="152" t="inlineStr">
        <is>
          <t>2025-12-11</t>
        </is>
      </c>
      <c r="AB213" s="152" t="n">
        <v>188.7989</v>
      </c>
      <c r="AC213" s="152" t="n">
        <v>-0.1452401443321627</v>
      </c>
      <c r="AD213" s="152" t="inlineStr">
        <is>
          <t>DOWN</t>
        </is>
      </c>
      <c r="AE213" s="152" t="inlineStr">
        <is>
          <t>NO</t>
        </is>
      </c>
      <c r="AF213" s="152" t="n">
        <v>-0.14624</v>
      </c>
      <c r="AG213" s="152">
        <f>IF($A213="","",IFERROR(INDEX(Company_List!$G$3:$G$207,MATCH($A213,Company_List!$A$3:$A$207,0)),"unassigned"))</f>
        <v/>
      </c>
      <c r="AH213" s="152" t="inlineStr">
        <is>
          <t>Phase 2/Oracle/2026-Q2/ORCL-2026-Q2-press-release-SEC-EX-99-1.htm</t>
        </is>
      </c>
      <c r="AI213" s="152" t="inlineStr">
        <is>
          <t>https://www.sec.gov/Archives/edgar/data/1341439/000119312525314207/orcl-ex99_1.htm</t>
        </is>
      </c>
      <c r="AJ213" s="152" t="inlineStr">
        <is>
          <t>manifest</t>
        </is>
      </c>
      <c r="AK213" s="152">
        <f>IF($A213="","",IF(COUNTIFS(Human_Data_Entry!$A$3:$A$525,$A213)&gt;0,"YES","NO"))</f>
        <v/>
      </c>
      <c r="AL213" s="152">
        <f>IF($A213="","",IF(AND($C213&amp;"-"&amp;$D213&gt;=Settings!$B$19,$C213&amp;"-"&amp;$D213&lt;=Settings!$B$20),"IN","OUT"))</f>
        <v/>
      </c>
      <c r="AM213" s="152">
        <f>IF(AND(OR($H213="BUY",$H213="SELL"),ISNUMBER($T213)),$T213,"")</f>
        <v/>
      </c>
      <c r="AN213" s="152">
        <f>IF(AND(OR($H213="BUY",$H213="SELL"),ISNUMBER($AF213)),$AF213,"")</f>
        <v/>
      </c>
      <c r="AO213" s="152">
        <f>IF(ISNUMBER($AM213),ABS(IF(ISNUMBER($G213),$G213,0)-Settings!$B$25),"")</f>
        <v/>
      </c>
      <c r="AP213" s="152">
        <f>IF(ISNUMBER($AO213),$AO213*$AM213,"")</f>
        <v/>
      </c>
      <c r="AQ213" s="152">
        <f>IF(ISNUMBER($AN213),ABS(IF(ISNUMBER($G213),$G213,0)-Settings!$B$25),"")</f>
        <v/>
      </c>
      <c r="AR213" s="152">
        <f>IF(ISNUMBER($AQ213),$AQ213*$AN213,"")</f>
        <v/>
      </c>
      <c r="AS213" s="152">
        <f>IF($A213="","",IFERROR(INDEX(Company_List!$H$3:$H$207,MATCH($A213,Company_List!$A$3:$A$207,0)),"unassigned"))</f>
        <v/>
      </c>
      <c r="AT213" s="152" t="inlineStr">
        <is>
          <t>not in v1</t>
        </is>
      </c>
      <c r="AU213" s="152" t="inlineStr">
        <is>
          <t>no earlier record</t>
        </is>
      </c>
      <c r="AV213" s="152" t="n">
        <v>1</v>
      </c>
      <c r="AW213" s="152" t="inlineStr">
        <is>
          <t>not publisher-identified</t>
        </is>
      </c>
      <c r="AX213" s="152" t="inlineStr">
        <is>
          <t>not publisher-identified</t>
        </is>
      </c>
      <c r="AY213" s="152" t="inlineStr">
        <is>
          <t>no</t>
        </is>
      </c>
      <c r="AZ213" s="152" t="inlineStr">
        <is>
          <t>yes</t>
        </is>
      </c>
      <c r="BA213" s="152" t="inlineStr">
        <is>
          <t>YES</t>
        </is>
      </c>
      <c r="BB213" s="152" t="n"/>
    </row>
    <row r="214" ht="15" customHeight="1" s="241">
      <c r="A214" s="191" t="inlineStr">
        <is>
          <t>Oracle</t>
        </is>
      </c>
      <c r="B214" s="188" t="inlineStr">
        <is>
          <t>ORCL</t>
        </is>
      </c>
      <c r="C214" s="176" t="n">
        <v>2026</v>
      </c>
      <c r="D214" s="177" t="inlineStr">
        <is>
          <t>Q3</t>
        </is>
      </c>
      <c r="E214" s="178" t="inlineStr">
        <is>
          <t>Ben/DeepSeek</t>
        </is>
      </c>
      <c r="F214" s="177" t="inlineStr">
        <is>
          <t>LLM</t>
        </is>
      </c>
      <c r="G214" s="196" t="n">
        <v>0.42</v>
      </c>
      <c r="H214" s="177" t="inlineStr">
        <is>
          <t>BUY</t>
        </is>
      </c>
      <c r="I214" s="196" t="n"/>
      <c r="J214" s="182" t="n">
        <v>46091</v>
      </c>
      <c r="K214" s="182" t="n">
        <v>46091</v>
      </c>
      <c r="L214" s="183" t="n">
        <v>149.4</v>
      </c>
      <c r="M214" s="182" t="n">
        <v>46092</v>
      </c>
      <c r="N214" s="183" t="n">
        <v>166.38</v>
      </c>
      <c r="O214" s="180" t="n">
        <v>0.00859</v>
      </c>
      <c r="P214" s="197" t="n">
        <v>0.113655</v>
      </c>
      <c r="Q214" s="177" t="inlineStr">
        <is>
          <t>UP</t>
        </is>
      </c>
      <c r="R214" s="177" t="inlineStr">
        <is>
          <t>YES</t>
        </is>
      </c>
      <c r="S214" s="176" t="n">
        <v>1</v>
      </c>
      <c r="T214" s="197" t="n">
        <v>0.112655</v>
      </c>
      <c r="U214" s="185" t="inlineStr">
        <is>
          <t>w=[0.80,0.20,0,0] thr=(+0.20,-0.10), deployed default promoted 2026-08-18 (PSR=0.964, permutation p=0.0002 at N=233, restricted search - see blend.py)</t>
        </is>
      </c>
      <c r="V214" s="152" t="inlineStr">
        <is>
          <t>FROZEN</t>
        </is>
      </c>
      <c r="W214" s="152" t="inlineStr">
        <is>
          <t>release date + stated time in the document (rater worksheet)</t>
        </is>
      </c>
      <c r="X214" s="152" t="inlineStr">
        <is>
          <t>ORCL</t>
        </is>
      </c>
      <c r="Y214" s="152" t="inlineStr">
        <is>
          <t>2026-03-10</t>
        </is>
      </c>
      <c r="Z214" s="152" t="n">
        <v>148.3639</v>
      </c>
      <c r="AA214" s="152" t="inlineStr">
        <is>
          <t>2026-03-11</t>
        </is>
      </c>
      <c r="AB214" s="152" t="n">
        <v>165.2261</v>
      </c>
      <c r="AC214" s="152" t="n">
        <v>0.1136546846451149</v>
      </c>
      <c r="AD214" s="152" t="inlineStr">
        <is>
          <t>UP</t>
        </is>
      </c>
      <c r="AE214" s="152" t="inlineStr">
        <is>
          <t>YES</t>
        </is>
      </c>
      <c r="AF214" s="152" t="n">
        <v>0.112655</v>
      </c>
      <c r="AG214" s="152">
        <f>IF($A214="","",IFERROR(INDEX(Company_List!$G$3:$G$207,MATCH($A214,Company_List!$A$3:$A$207,0)),"unassigned"))</f>
        <v/>
      </c>
      <c r="AH214" s="152" t="inlineStr">
        <is>
          <t>Phase 2/Oracle/2026-Q3/ORCL-2026-Q3-press-release-SEC-EX-99-1.htm; Phase 2/Oracle/2026-Q3/ORCL-2026-Q3-earnings-call-transcript-fool-com.html</t>
        </is>
      </c>
      <c r="AI214" s="152" t="inlineStr">
        <is>
          <t>https://www.fool.com/earnings/call-transcripts/2026/03/10/oracle-orcl-q3-2026-earnings-call-transcript/; https://www.sec.gov/Archives/edgar/data/1341439/000119312526100148/orcl-ex99_1.htm</t>
        </is>
      </c>
      <c r="AJ214" s="152" t="inlineStr">
        <is>
          <t>manifest (whole bundle)</t>
        </is>
      </c>
      <c r="AK214" s="152">
        <f>IF($A214="","",IF(COUNTIFS(Human_Data_Entry!$A$3:$A$525,$A214)&gt;0,"YES","NO"))</f>
        <v/>
      </c>
      <c r="AL214" s="152">
        <f>IF($A214="","",IF(AND($C214&amp;"-"&amp;$D214&gt;=Settings!$B$19,$C214&amp;"-"&amp;$D214&lt;=Settings!$B$20),"IN","OUT"))</f>
        <v/>
      </c>
      <c r="AM214" s="152">
        <f>IF(AND(OR($H214="BUY",$H214="SELL"),ISNUMBER($T214)),$T214,"")</f>
        <v/>
      </c>
      <c r="AN214" s="152">
        <f>IF(AND(OR($H214="BUY",$H214="SELL"),ISNUMBER($AF214)),$AF214,"")</f>
        <v/>
      </c>
      <c r="AO214" s="152">
        <f>IF(ISNUMBER($AM214),ABS(IF(ISNUMBER($G214),$G214,0)-Settings!$B$25),"")</f>
        <v/>
      </c>
      <c r="AP214" s="152">
        <f>IF(ISNUMBER($AO214),$AO214*$AM214,"")</f>
        <v/>
      </c>
      <c r="AQ214" s="152">
        <f>IF(ISNUMBER($AN214),ABS(IF(ISNUMBER($G214),$G214,0)-Settings!$B$25),"")</f>
        <v/>
      </c>
      <c r="AR214" s="152">
        <f>IF(ISNUMBER($AQ214),$AQ214*$AN214,"")</f>
        <v/>
      </c>
      <c r="AS214" s="152">
        <f>IF($A214="","",IFERROR(INDEX(Company_List!$H$3:$H$207,MATCH($A214,Company_List!$A$3:$A$207,0)),"unassigned"))</f>
        <v/>
      </c>
      <c r="AT214" s="152" t="inlineStr">
        <is>
          <t>not in v1</t>
        </is>
      </c>
      <c r="AU214" s="152" t="inlineStr">
        <is>
          <t>no earlier record</t>
        </is>
      </c>
      <c r="AV214" s="152" t="n">
        <v>2</v>
      </c>
      <c r="AW214" s="152" t="inlineStr">
        <is>
          <t>The Motley Fool</t>
        </is>
      </c>
      <c r="AX214" s="152" t="inlineStr">
        <is>
          <t>free to read, copyright asserted</t>
        </is>
      </c>
      <c r="AY214" s="152" t="inlineStr">
        <is>
          <t>no</t>
        </is>
      </c>
      <c r="AZ214" s="152" t="inlineStr">
        <is>
          <t>yes</t>
        </is>
      </c>
      <c r="BA214" s="152" t="inlineStr">
        <is>
          <t>YES</t>
        </is>
      </c>
      <c r="BB214" s="152" t="n"/>
    </row>
    <row r="215" ht="15" customHeight="1" s="241">
      <c r="A215" s="191" t="inlineStr">
        <is>
          <t>Palantir</t>
        </is>
      </c>
      <c r="B215" s="188" t="inlineStr">
        <is>
          <t>PLTR</t>
        </is>
      </c>
      <c r="C215" s="176" t="n">
        <v>2025</v>
      </c>
      <c r="D215" s="177" t="inlineStr">
        <is>
          <t>Q1</t>
        </is>
      </c>
      <c r="E215" s="178" t="inlineStr">
        <is>
          <t>Ben/DeepSeek</t>
        </is>
      </c>
      <c r="F215" s="177" t="inlineStr">
        <is>
          <t>LLM</t>
        </is>
      </c>
      <c r="G215" s="196" t="n">
        <v>0.38</v>
      </c>
      <c r="H215" s="177" t="inlineStr">
        <is>
          <t>BUY</t>
        </is>
      </c>
      <c r="I215" s="196" t="n"/>
      <c r="J215" s="182" t="n">
        <v>45782</v>
      </c>
      <c r="K215" s="182" t="n">
        <v>45782</v>
      </c>
      <c r="L215" s="183" t="n">
        <v>123.77</v>
      </c>
      <c r="M215" s="182" t="n">
        <v>45783</v>
      </c>
      <c r="N215" s="183" t="n">
        <v>112.71</v>
      </c>
      <c r="O215" s="180" t="n">
        <v>0.006664</v>
      </c>
      <c r="P215" s="197" t="n">
        <v>-0.08935900000000001</v>
      </c>
      <c r="Q215" s="177" t="inlineStr">
        <is>
          <t>DOWN</t>
        </is>
      </c>
      <c r="R215" s="177" t="inlineStr">
        <is>
          <t>NO</t>
        </is>
      </c>
      <c r="S215" s="176" t="n">
        <v>1</v>
      </c>
      <c r="T215" s="197" t="n">
        <v>-0.09035899999999999</v>
      </c>
      <c r="U215" s="185" t="inlineStr">
        <is>
          <t>w=[0.80,0.20,0,0] thr=(+0.20,-0.10), deployed default promoted 2026-08-18 (PSR=0.964, permutation p=0.0002 at N=233, restricted search - see blend.py)</t>
        </is>
      </c>
      <c r="V215" s="152" t="inlineStr">
        <is>
          <t>FROZEN</t>
        </is>
      </c>
      <c r="W215" s="152" t="inlineStr">
        <is>
          <t>price signal, re-derived — only this window shows an abnormal move</t>
        </is>
      </c>
      <c r="X215" s="152" t="inlineStr">
        <is>
          <t>PLTR</t>
        </is>
      </c>
      <c r="Y215" s="152" t="inlineStr">
        <is>
          <t>2025-05-05</t>
        </is>
      </c>
      <c r="Z215" s="152" t="n">
        <v>123.77</v>
      </c>
      <c r="AA215" s="152" t="inlineStr">
        <is>
          <t>2025-05-06</t>
        </is>
      </c>
      <c r="AB215" s="152" t="n">
        <v>112.71</v>
      </c>
      <c r="AC215" s="152" t="n">
        <v>-0.08935928147433023</v>
      </c>
      <c r="AD215" s="152" t="inlineStr">
        <is>
          <t>DOWN</t>
        </is>
      </c>
      <c r="AE215" s="152" t="inlineStr">
        <is>
          <t>NO</t>
        </is>
      </c>
      <c r="AF215" s="152" t="n">
        <v>0</v>
      </c>
      <c r="AG215" s="152">
        <f>IF($A215="","",IFERROR(INDEX(Company_List!$G$3:$G$207,MATCH($A215,Company_List!$A$3:$A$207,0)),"unassigned"))</f>
        <v/>
      </c>
      <c r="AH215" s="152" t="inlineStr">
        <is>
          <t>Phase 3/Readings/Palantir/Q1/Transcript : Palantir Technologies Inc., Q1 2025 Earnings Call, May 05, 2025 | MarketScreener UK.pdf; Phase 3/Readings/Palantir/Q1/Q1 2025 | Letter to the Shareholders.pdf; Phase 3/Readings/Palantir/Q1/Palantir - Q1 2025 Investor Presentation.pdf</t>
        </is>
      </c>
      <c r="AI215" s="152" t="n"/>
      <c r="AJ215" s="152" t="inlineStr">
        <is>
          <t>whole bundle (Document = All)</t>
        </is>
      </c>
      <c r="AK215" s="152">
        <f>IF($A215="","",IF(COUNTIFS(Human_Data_Entry!$A$3:$A$525,$A215)&gt;0,"YES","NO"))</f>
        <v/>
      </c>
      <c r="AL215" s="152">
        <f>IF($A215="","",IF(AND($C215&amp;"-"&amp;$D215&gt;=Settings!$B$19,$C215&amp;"-"&amp;$D215&lt;=Settings!$B$20),"IN","OUT"))</f>
        <v/>
      </c>
      <c r="AM215" s="152">
        <f>IF(AND(OR($H215="BUY",$H215="SELL"),ISNUMBER($T215)),$T215,"")</f>
        <v/>
      </c>
      <c r="AN215" s="152">
        <f>IF(AND(OR($H215="BUY",$H215="SELL"),ISNUMBER($AF215)),$AF215,"")</f>
        <v/>
      </c>
      <c r="AO215" s="152">
        <f>IF(ISNUMBER($AM215),ABS(IF(ISNUMBER($G215),$G215,0)-Settings!$B$25),"")</f>
        <v/>
      </c>
      <c r="AP215" s="152">
        <f>IF(ISNUMBER($AO215),$AO215*$AM215,"")</f>
        <v/>
      </c>
      <c r="AQ215" s="152">
        <f>IF(ISNUMBER($AN215),ABS(IF(ISNUMBER($G215),$G215,0)-Settings!$B$25),"")</f>
        <v/>
      </c>
      <c r="AR215" s="152">
        <f>IF(ISNUMBER($AQ215),$AQ215*$AN215,"")</f>
        <v/>
      </c>
      <c r="AS215" s="152">
        <f>IF($A215="","",IFERROR(INDEX(Company_List!$H$3:$H$207,MATCH($A215,Company_List!$A$3:$A$207,0)),"unassigned"))</f>
        <v/>
      </c>
      <c r="AT215" s="152" t="inlineStr">
        <is>
          <t>not in v1</t>
        </is>
      </c>
      <c r="AU215" s="152" t="inlineStr">
        <is>
          <t>no earlier record</t>
        </is>
      </c>
      <c r="AV215" s="152" t="n">
        <v>3</v>
      </c>
      <c r="AW215" s="152" t="inlineStr">
        <is>
          <t>MarketScreener (Surperformance SAS)</t>
        </is>
      </c>
      <c r="AX215" s="152" t="inlineStr">
        <is>
          <t>licensed vendor</t>
        </is>
      </c>
      <c r="AY215" s="152" t="inlineStr">
        <is>
          <t>no</t>
        </is>
      </c>
      <c r="AZ215" s="152" t="inlineStr">
        <is>
          <t>no</t>
        </is>
      </c>
      <c r="BA215" s="152" t="inlineStr">
        <is>
          <t>YES</t>
        </is>
      </c>
      <c r="BB215" s="152" t="n"/>
    </row>
    <row r="216" ht="15" customHeight="1" s="241">
      <c r="A216" s="191" t="inlineStr">
        <is>
          <t>Palantir</t>
        </is>
      </c>
      <c r="B216" s="188" t="inlineStr">
        <is>
          <t>PLTR</t>
        </is>
      </c>
      <c r="C216" s="176" t="n">
        <v>2025</v>
      </c>
      <c r="D216" s="177" t="inlineStr">
        <is>
          <t>Q2</t>
        </is>
      </c>
      <c r="E216" s="178" t="inlineStr">
        <is>
          <t>Ben/DeepSeek</t>
        </is>
      </c>
      <c r="F216" s="177" t="inlineStr">
        <is>
          <t>LLM</t>
        </is>
      </c>
      <c r="G216" s="196" t="n">
        <v>0.7</v>
      </c>
      <c r="H216" s="177" t="inlineStr">
        <is>
          <t>BUY</t>
        </is>
      </c>
      <c r="I216" s="196" t="n"/>
      <c r="J216" s="182" t="n">
        <v>45873</v>
      </c>
      <c r="K216" s="182" t="n">
        <v>45873</v>
      </c>
      <c r="L216" s="183" t="n">
        <v>160.66</v>
      </c>
      <c r="M216" s="182" t="n">
        <v>45874</v>
      </c>
      <c r="N216" s="183" t="n">
        <v>171.81</v>
      </c>
      <c r="O216" s="180" t="n">
        <v>0.007465</v>
      </c>
      <c r="P216" s="197" t="n">
        <v>0.069401</v>
      </c>
      <c r="Q216" s="177" t="inlineStr">
        <is>
          <t>UP</t>
        </is>
      </c>
      <c r="R216" s="177" t="inlineStr">
        <is>
          <t>YES</t>
        </is>
      </c>
      <c r="S216" s="176" t="n">
        <v>1</v>
      </c>
      <c r="T216" s="197" t="n">
        <v>0.068401</v>
      </c>
      <c r="U216" s="185" t="inlineStr">
        <is>
          <t>w=[0.80,0.20,0,0] thr=(+0.20,-0.10), deployed default promoted 2026-08-18 (PSR=0.964, permutation p=0.0002 at N=233, restricted search - see blend.py)</t>
        </is>
      </c>
      <c r="V216" s="152" t="inlineStr">
        <is>
          <t>FROZEN</t>
        </is>
      </c>
      <c r="W216" s="152" t="inlineStr">
        <is>
          <t>price signal, re-derived — both moved; this one dominates</t>
        </is>
      </c>
      <c r="X216" s="152" t="inlineStr">
        <is>
          <t>PLTR</t>
        </is>
      </c>
      <c r="Y216" s="152" t="inlineStr">
        <is>
          <t>2025-08-04</t>
        </is>
      </c>
      <c r="Z216" s="152" t="n">
        <v>160.66</v>
      </c>
      <c r="AA216" s="152" t="inlineStr">
        <is>
          <t>2025-08-05</t>
        </is>
      </c>
      <c r="AB216" s="152" t="n">
        <v>171.81</v>
      </c>
      <c r="AC216" s="152" t="n">
        <v>0.06940118089378376</v>
      </c>
      <c r="AD216" s="152" t="inlineStr">
        <is>
          <t>UP</t>
        </is>
      </c>
      <c r="AE216" s="152" t="inlineStr">
        <is>
          <t>YES</t>
        </is>
      </c>
      <c r="AF216" s="152" t="n">
        <v>0.068401</v>
      </c>
      <c r="AG216" s="152">
        <f>IF($A216="","",IFERROR(INDEX(Company_List!$G$3:$G$207,MATCH($A216,Company_List!$A$3:$A$207,0)),"unassigned"))</f>
        <v/>
      </c>
      <c r="AH216" s="152" t="inlineStr">
        <is>
          <t>Phase 3/Readings/Palantir/Q2/Transcript : Palantir Technologies Inc., Q2 2025 Earnings Call, Aug 04, 2025 | MarketScreener UK.pdf; Phase 3/Readings/Palantir/Q2/Q2 2025 | Letter to Shareholders.pdf; Phase 3/Readings/Palantir/Q2/Palantir Q2 2025 Business Update.pdf</t>
        </is>
      </c>
      <c r="AI216" s="152" t="n"/>
      <c r="AJ216" s="152" t="inlineStr">
        <is>
          <t>whole bundle (Document = All)</t>
        </is>
      </c>
      <c r="AK216" s="152">
        <f>IF($A216="","",IF(COUNTIFS(Human_Data_Entry!$A$3:$A$525,$A216)&gt;0,"YES","NO"))</f>
        <v/>
      </c>
      <c r="AL216" s="152">
        <f>IF($A216="","",IF(AND($C216&amp;"-"&amp;$D216&gt;=Settings!$B$19,$C216&amp;"-"&amp;$D216&lt;=Settings!$B$20),"IN","OUT"))</f>
        <v/>
      </c>
      <c r="AM216" s="152">
        <f>IF(AND(OR($H216="BUY",$H216="SELL"),ISNUMBER($T216)),$T216,"")</f>
        <v/>
      </c>
      <c r="AN216" s="152">
        <f>IF(AND(OR($H216="BUY",$H216="SELL"),ISNUMBER($AF216)),$AF216,"")</f>
        <v/>
      </c>
      <c r="AO216" s="152">
        <f>IF(ISNUMBER($AM216),ABS(IF(ISNUMBER($G216),$G216,0)-Settings!$B$25),"")</f>
        <v/>
      </c>
      <c r="AP216" s="152">
        <f>IF(ISNUMBER($AO216),$AO216*$AM216,"")</f>
        <v/>
      </c>
      <c r="AQ216" s="152">
        <f>IF(ISNUMBER($AN216),ABS(IF(ISNUMBER($G216),$G216,0)-Settings!$B$25),"")</f>
        <v/>
      </c>
      <c r="AR216" s="152">
        <f>IF(ISNUMBER($AQ216),$AQ216*$AN216,"")</f>
        <v/>
      </c>
      <c r="AS216" s="152">
        <f>IF($A216="","",IFERROR(INDEX(Company_List!$H$3:$H$207,MATCH($A216,Company_List!$A$3:$A$207,0)),"unassigned"))</f>
        <v/>
      </c>
      <c r="AT216" s="152" t="inlineStr">
        <is>
          <t>not in v1</t>
        </is>
      </c>
      <c r="AU216" s="152" t="inlineStr">
        <is>
          <t>no earlier record</t>
        </is>
      </c>
      <c r="AV216" s="152" t="n">
        <v>3</v>
      </c>
      <c r="AW216" s="152" t="inlineStr">
        <is>
          <t>MarketScreener (Surperformance SAS)</t>
        </is>
      </c>
      <c r="AX216" s="152" t="inlineStr">
        <is>
          <t>licensed vendor</t>
        </is>
      </c>
      <c r="AY216" s="152" t="inlineStr">
        <is>
          <t>no</t>
        </is>
      </c>
      <c r="AZ216" s="152" t="inlineStr">
        <is>
          <t>no</t>
        </is>
      </c>
      <c r="BA216" s="152" t="inlineStr">
        <is>
          <t>YES</t>
        </is>
      </c>
      <c r="BB216" s="152" t="n"/>
    </row>
    <row r="217" ht="15" customHeight="1" s="241">
      <c r="A217" s="191" t="inlineStr">
        <is>
          <t>Palantir</t>
        </is>
      </c>
      <c r="B217" s="188" t="inlineStr">
        <is>
          <t>PLTR</t>
        </is>
      </c>
      <c r="C217" s="176" t="n">
        <v>2025</v>
      </c>
      <c r="D217" s="177" t="inlineStr">
        <is>
          <t>Q3</t>
        </is>
      </c>
      <c r="E217" s="178" t="inlineStr">
        <is>
          <t>Ben/DeepSeek</t>
        </is>
      </c>
      <c r="F217" s="177" t="inlineStr">
        <is>
          <t>LLM</t>
        </is>
      </c>
      <c r="G217" s="196" t="n">
        <v>0.74</v>
      </c>
      <c r="H217" s="177" t="inlineStr">
        <is>
          <t>BUY</t>
        </is>
      </c>
      <c r="I217" s="196" t="n"/>
      <c r="J217" s="182" t="n">
        <v>45964</v>
      </c>
      <c r="K217" s="182" t="n">
        <v>45964</v>
      </c>
      <c r="L217" s="183" t="n">
        <v>207.18</v>
      </c>
      <c r="M217" s="182" t="n">
        <v>45965</v>
      </c>
      <c r="N217" s="183" t="n">
        <v>192.07</v>
      </c>
      <c r="O217" s="180" t="n">
        <v>0.006968</v>
      </c>
      <c r="P217" s="197" t="n">
        <v>-0.072932</v>
      </c>
      <c r="Q217" s="177" t="inlineStr">
        <is>
          <t>DOWN</t>
        </is>
      </c>
      <c r="R217" s="177" t="inlineStr">
        <is>
          <t>NO</t>
        </is>
      </c>
      <c r="S217" s="176" t="n">
        <v>1</v>
      </c>
      <c r="T217" s="197" t="n">
        <v>-0.073932</v>
      </c>
      <c r="U217" s="185" t="inlineStr">
        <is>
          <t>w=[0.80,0.20,0,0] thr=(+0.20,-0.10), deployed default promoted 2026-08-18 (PSR=0.964, permutation p=0.0002 at N=233, restricted search - see blend.py)</t>
        </is>
      </c>
      <c r="V217" s="152" t="inlineStr">
        <is>
          <t>FROZEN</t>
        </is>
      </c>
      <c r="W217" s="152" t="inlineStr">
        <is>
          <t>price signal, re-derived — only this window shows an abnormal move</t>
        </is>
      </c>
      <c r="X217" s="152" t="inlineStr">
        <is>
          <t>PLTR</t>
        </is>
      </c>
      <c r="Y217" s="152" t="inlineStr">
        <is>
          <t>2025-11-03</t>
        </is>
      </c>
      <c r="Z217" s="152" t="n">
        <v>207.18</v>
      </c>
      <c r="AA217" s="152" t="inlineStr">
        <is>
          <t>2025-11-04</t>
        </is>
      </c>
      <c r="AB217" s="152" t="n">
        <v>192.07</v>
      </c>
      <c r="AC217" s="152" t="n">
        <v>-0.07293168505899116</v>
      </c>
      <c r="AD217" s="152" t="inlineStr">
        <is>
          <t>DOWN</t>
        </is>
      </c>
      <c r="AE217" s="152" t="inlineStr">
        <is>
          <t>NO</t>
        </is>
      </c>
      <c r="AF217" s="152" t="n">
        <v>-0.073932</v>
      </c>
      <c r="AG217" s="152">
        <f>IF($A217="","",IFERROR(INDEX(Company_List!$G$3:$G$207,MATCH($A217,Company_List!$A$3:$A$207,0)),"unassigned"))</f>
        <v/>
      </c>
      <c r="AH217" s="152" t="inlineStr">
        <is>
          <t>Phase 3/Readings/Palantir/Q3/Transcript : Palantir Technologies Inc., Q3 2025 Earnings Call, Nov 03, 2025 | MarketScreener UK.pdf; Phase 3/Readings/Palantir/Q3/Q3 2025 | Letter to Shareholders.pdf; Phase 3/Readings/Palantir/Q3/Palantir - Q3 2025 Investor Presentation.pdf</t>
        </is>
      </c>
      <c r="AI217" s="152" t="n"/>
      <c r="AJ217" s="152" t="inlineStr">
        <is>
          <t>whole bundle (Document = All)</t>
        </is>
      </c>
      <c r="AK217" s="152">
        <f>IF($A217="","",IF(COUNTIFS(Human_Data_Entry!$A$3:$A$525,$A217)&gt;0,"YES","NO"))</f>
        <v/>
      </c>
      <c r="AL217" s="152">
        <f>IF($A217="","",IF(AND($C217&amp;"-"&amp;$D217&gt;=Settings!$B$19,$C217&amp;"-"&amp;$D217&lt;=Settings!$B$20),"IN","OUT"))</f>
        <v/>
      </c>
      <c r="AM217" s="152">
        <f>IF(AND(OR($H217="BUY",$H217="SELL"),ISNUMBER($T217)),$T217,"")</f>
        <v/>
      </c>
      <c r="AN217" s="152">
        <f>IF(AND(OR($H217="BUY",$H217="SELL"),ISNUMBER($AF217)),$AF217,"")</f>
        <v/>
      </c>
      <c r="AO217" s="152">
        <f>IF(ISNUMBER($AM217),ABS(IF(ISNUMBER($G217),$G217,0)-Settings!$B$25),"")</f>
        <v/>
      </c>
      <c r="AP217" s="152">
        <f>IF(ISNUMBER($AO217),$AO217*$AM217,"")</f>
        <v/>
      </c>
      <c r="AQ217" s="152">
        <f>IF(ISNUMBER($AN217),ABS(IF(ISNUMBER($G217),$G217,0)-Settings!$B$25),"")</f>
        <v/>
      </c>
      <c r="AR217" s="152">
        <f>IF(ISNUMBER($AQ217),$AQ217*$AN217,"")</f>
        <v/>
      </c>
      <c r="AS217" s="152">
        <f>IF($A217="","",IFERROR(INDEX(Company_List!$H$3:$H$207,MATCH($A217,Company_List!$A$3:$A$207,0)),"unassigned"))</f>
        <v/>
      </c>
      <c r="AT217" s="152" t="inlineStr">
        <is>
          <t>not in v1</t>
        </is>
      </c>
      <c r="AU217" s="152" t="inlineStr">
        <is>
          <t>no earlier record</t>
        </is>
      </c>
      <c r="AV217" s="152" t="n">
        <v>3</v>
      </c>
      <c r="AW217" s="152" t="inlineStr">
        <is>
          <t>MarketScreener (Surperformance SAS)</t>
        </is>
      </c>
      <c r="AX217" s="152" t="inlineStr">
        <is>
          <t>licensed vendor</t>
        </is>
      </c>
      <c r="AY217" s="152" t="inlineStr">
        <is>
          <t>no</t>
        </is>
      </c>
      <c r="AZ217" s="152" t="inlineStr">
        <is>
          <t>no</t>
        </is>
      </c>
      <c r="BA217" s="152" t="inlineStr">
        <is>
          <t>YES</t>
        </is>
      </c>
      <c r="BB217" s="152" t="n"/>
    </row>
    <row r="218" ht="15" customHeight="1" s="241">
      <c r="A218" s="191" t="inlineStr">
        <is>
          <t>Palantir</t>
        </is>
      </c>
      <c r="B218" s="188" t="inlineStr">
        <is>
          <t>PLTR</t>
        </is>
      </c>
      <c r="C218" s="176" t="n">
        <v>2025</v>
      </c>
      <c r="D218" s="177" t="inlineStr">
        <is>
          <t>Q4</t>
        </is>
      </c>
      <c r="E218" s="178" t="inlineStr">
        <is>
          <t>Ben/DeepSeek</t>
        </is>
      </c>
      <c r="F218" s="177" t="inlineStr">
        <is>
          <t>LLM</t>
        </is>
      </c>
      <c r="G218" s="196" t="n">
        <v>0.49</v>
      </c>
      <c r="H218" s="177" t="inlineStr">
        <is>
          <t>BUY</t>
        </is>
      </c>
      <c r="I218" s="196" t="n"/>
      <c r="J218" s="182" t="n">
        <v>46055</v>
      </c>
      <c r="K218" s="182" t="n">
        <v>46055</v>
      </c>
      <c r="L218" s="183" t="n">
        <v>147.76</v>
      </c>
      <c r="M218" s="182" t="n">
        <v>46056</v>
      </c>
      <c r="N218" s="183" t="n">
        <v>165.05</v>
      </c>
      <c r="O218" s="180" t="n">
        <v>0.007557</v>
      </c>
      <c r="P218" s="197" t="n">
        <v>0.117014</v>
      </c>
      <c r="Q218" s="177" t="inlineStr">
        <is>
          <t>UP</t>
        </is>
      </c>
      <c r="R218" s="177" t="inlineStr">
        <is>
          <t>YES</t>
        </is>
      </c>
      <c r="S218" s="176" t="n">
        <v>1</v>
      </c>
      <c r="T218" s="197" t="n">
        <v>0.116014</v>
      </c>
      <c r="U218" s="185" t="inlineStr">
        <is>
          <t>w=[0.80,0.20,0,0] thr=(+0.20,-0.10), deployed default promoted 2026-08-18 (PSR=0.964, permutation p=0.0002 at N=233, restricted search - see blend.py)</t>
        </is>
      </c>
      <c r="V218" s="152" t="inlineStr">
        <is>
          <t>FROZEN</t>
        </is>
      </c>
      <c r="W218" s="152" t="inlineStr">
        <is>
          <t>price signal, re-derived — both moved; this one dominates</t>
        </is>
      </c>
      <c r="X218" s="152" t="inlineStr">
        <is>
          <t>PLTR</t>
        </is>
      </c>
      <c r="Y218" s="152" t="inlineStr">
        <is>
          <t>2026-02-02</t>
        </is>
      </c>
      <c r="Z218" s="152" t="n">
        <v>147.76</v>
      </c>
      <c r="AA218" s="152" t="inlineStr">
        <is>
          <t>2026-02-03</t>
        </is>
      </c>
      <c r="AB218" s="152" t="n">
        <v>165.05</v>
      </c>
      <c r="AC218" s="152" t="n">
        <v>0.1170141349828822</v>
      </c>
      <c r="AD218" s="152" t="inlineStr">
        <is>
          <t>UP</t>
        </is>
      </c>
      <c r="AE218" s="152" t="inlineStr">
        <is>
          <t>YES</t>
        </is>
      </c>
      <c r="AF218" s="152" t="n">
        <v>0.116014</v>
      </c>
      <c r="AG218" s="152">
        <f>IF($A218="","",IFERROR(INDEX(Company_List!$G$3:$G$207,MATCH($A218,Company_List!$A$3:$A$207,0)),"unassigned"))</f>
        <v/>
      </c>
      <c r="AH218" s="152" t="inlineStr">
        <is>
          <t>Phase 3/Readings/Palantir/Q4/Transcript : Palantir Technologies Inc., Q4 2025 Earnings Call, Feb 02, 2026 | MarketScreener UK.pdf; Phase 3/Readings/Palantir/Q4/Q4 2025 | Letter to Shareholders.pdf; Phase 3/Readings/Palantir/Q4/Palantir - Q4 2025 Investor Presentation.pdf; Phase 3/Readings/Palantir/Q4/2025 FY PLTR 10-K.pdf</t>
        </is>
      </c>
      <c r="AI218" s="152" t="n"/>
      <c r="AJ218" s="152" t="inlineStr">
        <is>
          <t>whole bundle (Document = All)</t>
        </is>
      </c>
      <c r="AK218" s="152">
        <f>IF($A218="","",IF(COUNTIFS(Human_Data_Entry!$A$3:$A$525,$A218)&gt;0,"YES","NO"))</f>
        <v/>
      </c>
      <c r="AL218" s="152">
        <f>IF($A218="","",IF(AND($C218&amp;"-"&amp;$D218&gt;=Settings!$B$19,$C218&amp;"-"&amp;$D218&lt;=Settings!$B$20),"IN","OUT"))</f>
        <v/>
      </c>
      <c r="AM218" s="152">
        <f>IF(AND(OR($H218="BUY",$H218="SELL"),ISNUMBER($T218)),$T218,"")</f>
        <v/>
      </c>
      <c r="AN218" s="152">
        <f>IF(AND(OR($H218="BUY",$H218="SELL"),ISNUMBER($AF218)),$AF218,"")</f>
        <v/>
      </c>
      <c r="AO218" s="152">
        <f>IF(ISNUMBER($AM218),ABS(IF(ISNUMBER($G218),$G218,0)-Settings!$B$25),"")</f>
        <v/>
      </c>
      <c r="AP218" s="152">
        <f>IF(ISNUMBER($AO218),$AO218*$AM218,"")</f>
        <v/>
      </c>
      <c r="AQ218" s="152">
        <f>IF(ISNUMBER($AN218),ABS(IF(ISNUMBER($G218),$G218,0)-Settings!$B$25),"")</f>
        <v/>
      </c>
      <c r="AR218" s="152">
        <f>IF(ISNUMBER($AQ218),$AQ218*$AN218,"")</f>
        <v/>
      </c>
      <c r="AS218" s="152">
        <f>IF($A218="","",IFERROR(INDEX(Company_List!$H$3:$H$207,MATCH($A218,Company_List!$A$3:$A$207,0)),"unassigned"))</f>
        <v/>
      </c>
      <c r="AT218" s="152" t="inlineStr">
        <is>
          <t>not in v1</t>
        </is>
      </c>
      <c r="AU218" s="152" t="inlineStr">
        <is>
          <t>no earlier record</t>
        </is>
      </c>
      <c r="AV218" s="152" t="n">
        <v>4</v>
      </c>
      <c r="AW218" s="152" t="inlineStr">
        <is>
          <t>MarketScreener (Surperformance SAS)</t>
        </is>
      </c>
      <c r="AX218" s="152" t="inlineStr">
        <is>
          <t>licensed vendor</t>
        </is>
      </c>
      <c r="AY218" s="152" t="inlineStr">
        <is>
          <t>one of several</t>
        </is>
      </c>
      <c r="AZ218" s="152" t="inlineStr">
        <is>
          <t>no</t>
        </is>
      </c>
      <c r="BA218" s="152" t="inlineStr">
        <is>
          <t>YES</t>
        </is>
      </c>
      <c r="BB218" s="152" t="n"/>
    </row>
    <row r="219" ht="15" customHeight="1" s="241">
      <c r="A219" s="191" t="inlineStr">
        <is>
          <t>PayPal</t>
        </is>
      </c>
      <c r="B219" s="188" t="inlineStr">
        <is>
          <t>PYPL</t>
        </is>
      </c>
      <c r="C219" s="176" t="n">
        <v>2025</v>
      </c>
      <c r="D219" s="177" t="inlineStr">
        <is>
          <t>Q1</t>
        </is>
      </c>
      <c r="E219" s="178" t="inlineStr">
        <is>
          <t>Ben/DeepSeek</t>
        </is>
      </c>
      <c r="F219" s="177" t="inlineStr">
        <is>
          <t>LLM</t>
        </is>
      </c>
      <c r="G219" s="196" t="n">
        <v>0.06</v>
      </c>
      <c r="H219" s="177" t="inlineStr">
        <is>
          <t>HOLD</t>
        </is>
      </c>
      <c r="I219" s="196" t="n"/>
      <c r="J219" s="182" t="n">
        <v>45776</v>
      </c>
      <c r="K219" s="182" t="n">
        <v>45775</v>
      </c>
      <c r="L219" s="183" t="n">
        <v>64.93000000000001</v>
      </c>
      <c r="M219" s="182" t="n">
        <v>45776</v>
      </c>
      <c r="N219" s="183" t="n">
        <v>66.37</v>
      </c>
      <c r="O219" s="180" t="n">
        <v>0.012516</v>
      </c>
      <c r="P219" s="197" t="n">
        <v>0.022178</v>
      </c>
      <c r="Q219" s="177" t="inlineStr">
        <is>
          <t>UP</t>
        </is>
      </c>
      <c r="R219" s="177" t="inlineStr">
        <is>
          <t>NO</t>
        </is>
      </c>
      <c r="S219" s="176" t="n">
        <v>0</v>
      </c>
      <c r="T219" s="197" t="n">
        <v>0</v>
      </c>
      <c r="U219" s="185" t="inlineStr">
        <is>
          <t>w=[0.80,0.20,0,0] thr=(+0.20,-0.10), deployed default promoted 2026-08-18 (PSR=0.964, permutation p=0.0002 at N=233, restricted search - see blend.py)</t>
        </is>
      </c>
      <c r="V219" s="152" t="inlineStr">
        <is>
          <t>FROZEN</t>
        </is>
      </c>
      <c r="W219" s="152" t="inlineStr">
        <is>
          <t>price signal — only this window shows an abnormal move</t>
        </is>
      </c>
      <c r="X219" s="152" t="inlineStr">
        <is>
          <t>PYPL</t>
        </is>
      </c>
      <c r="Y219" s="152" t="inlineStr">
        <is>
          <t>2025-04-28</t>
        </is>
      </c>
      <c r="Z219" s="152" t="n">
        <v>64.3725</v>
      </c>
      <c r="AA219" s="152" t="inlineStr">
        <is>
          <t>2025-04-29</t>
        </is>
      </c>
      <c r="AB219" s="152" t="n">
        <v>65.8001</v>
      </c>
      <c r="AC219" s="152" t="n">
        <v>0.02217769318727723</v>
      </c>
      <c r="AD219" s="152" t="inlineStr">
        <is>
          <t>UP</t>
        </is>
      </c>
      <c r="AE219" s="152" t="inlineStr">
        <is>
          <t>NO</t>
        </is>
      </c>
      <c r="AF219" s="152" t="n">
        <v>-0.023178</v>
      </c>
      <c r="AG219" s="152">
        <f>IF($A219="","",IFERROR(INDEX(Company_List!$G$3:$G$207,MATCH($A219,Company_List!$A$3:$A$207,0)),"unassigned"))</f>
        <v/>
      </c>
      <c r="AH219" s="152" t="inlineStr">
        <is>
          <t>Phase 3/Readings/PayPal/PYPL-Holdings_Q1-2025-Earnings-Call-Transcript.pdf</t>
        </is>
      </c>
      <c r="AI219" s="152" t="n"/>
      <c r="AJ219" s="152" t="inlineStr">
        <is>
          <t>unique filename match</t>
        </is>
      </c>
      <c r="AK219" s="152">
        <f>IF($A219="","",IF(COUNTIFS(Human_Data_Entry!$A$3:$A$525,$A219)&gt;0,"YES","NO"))</f>
        <v/>
      </c>
      <c r="AL219" s="152">
        <f>IF($A219="","",IF(AND($C219&amp;"-"&amp;$D219&gt;=Settings!$B$19,$C219&amp;"-"&amp;$D219&lt;=Settings!$B$20),"IN","OUT"))</f>
        <v/>
      </c>
      <c r="AM219" s="152">
        <f>IF(AND(OR($H219="BUY",$H219="SELL"),ISNUMBER($T219)),$T219,"")</f>
        <v/>
      </c>
      <c r="AN219" s="152">
        <f>IF(AND(OR($H219="BUY",$H219="SELL"),ISNUMBER($AF219)),$AF219,"")</f>
        <v/>
      </c>
      <c r="AO219" s="152">
        <f>IF(ISNUMBER($AM219),ABS(IF(ISNUMBER($G219),$G219,0)-Settings!$B$25),"")</f>
        <v/>
      </c>
      <c r="AP219" s="152">
        <f>IF(ISNUMBER($AO219),$AO219*$AM219,"")</f>
        <v/>
      </c>
      <c r="AQ219" s="152">
        <f>IF(ISNUMBER($AN219),ABS(IF(ISNUMBER($G219),$G219,0)-Settings!$B$25),"")</f>
        <v/>
      </c>
      <c r="AR219" s="152">
        <f>IF(ISNUMBER($AQ219),$AQ219*$AN219,"")</f>
        <v/>
      </c>
      <c r="AS219" s="152">
        <f>IF($A219="","",IFERROR(INDEX(Company_List!$H$3:$H$207,MATCH($A219,Company_List!$A$3:$A$207,0)),"unassigned"))</f>
        <v/>
      </c>
      <c r="AT219" s="152" t="inlineStr">
        <is>
          <t>not in v1</t>
        </is>
      </c>
      <c r="AU219" s="152" t="inlineStr">
        <is>
          <t>no earlier record</t>
        </is>
      </c>
      <c r="AV219" s="152" t="n">
        <v>1</v>
      </c>
      <c r="AW219" s="152" t="inlineStr">
        <is>
          <t>FactSet CallStreet</t>
        </is>
      </c>
      <c r="AX219" s="152" t="inlineStr">
        <is>
          <t>licensed vendor</t>
        </is>
      </c>
      <c r="AY219" s="152" t="inlineStr">
        <is>
          <t>no</t>
        </is>
      </c>
      <c r="AZ219" s="152" t="inlineStr">
        <is>
          <t>no</t>
        </is>
      </c>
      <c r="BA219" s="152" t="inlineStr">
        <is>
          <t>YES</t>
        </is>
      </c>
      <c r="BB219" s="152" t="n"/>
    </row>
    <row r="220" ht="15" customHeight="1" s="241">
      <c r="A220" s="191" t="inlineStr">
        <is>
          <t>PayPal</t>
        </is>
      </c>
      <c r="B220" s="188" t="inlineStr">
        <is>
          <t>PYPL</t>
        </is>
      </c>
      <c r="C220" s="176" t="n">
        <v>2026</v>
      </c>
      <c r="D220" s="177" t="inlineStr">
        <is>
          <t>Q1</t>
        </is>
      </c>
      <c r="E220" s="178" t="inlineStr">
        <is>
          <t>Ben/DeepSeek</t>
        </is>
      </c>
      <c r="F220" s="177" t="inlineStr">
        <is>
          <t>LLM</t>
        </is>
      </c>
      <c r="G220" s="196" t="n">
        <v>-0.14</v>
      </c>
      <c r="H220" s="177" t="inlineStr">
        <is>
          <t>SELL</t>
        </is>
      </c>
      <c r="I220" s="196" t="n"/>
      <c r="J220" s="182" t="n">
        <v>46147</v>
      </c>
      <c r="K220" s="182" t="n">
        <v>46146</v>
      </c>
      <c r="L220" s="183" t="n">
        <v>50.39</v>
      </c>
      <c r="M220" s="182" t="n">
        <v>46147</v>
      </c>
      <c r="N220" s="183" t="n">
        <v>45.37</v>
      </c>
      <c r="O220" s="180" t="n">
        <v>0.011983</v>
      </c>
      <c r="P220" s="197" t="n">
        <v>-0.099623</v>
      </c>
      <c r="Q220" s="177" t="inlineStr">
        <is>
          <t>DOWN</t>
        </is>
      </c>
      <c r="R220" s="177" t="inlineStr">
        <is>
          <t>YES</t>
        </is>
      </c>
      <c r="S220" s="176" t="n">
        <v>-1</v>
      </c>
      <c r="T220" s="197" t="n">
        <v>0.098623</v>
      </c>
      <c r="U220" s="185" t="inlineStr">
        <is>
          <t>w=[0.80,0.20,0,0] thr=(+0.20,-0.10), deployed default promoted 2026-08-18 (PSR=0.964, permutation p=0.0002 at N=233, restricted search - see blend.py)</t>
        </is>
      </c>
      <c r="V220" s="152" t="inlineStr">
        <is>
          <t>FROZEN</t>
        </is>
      </c>
      <c r="W220" s="152" t="inlineStr">
        <is>
          <t>price signal — only this window shows an abnormal move</t>
        </is>
      </c>
      <c r="X220" s="152" t="inlineStr">
        <is>
          <t>PYPL</t>
        </is>
      </c>
      <c r="Y220" s="152" t="inlineStr">
        <is>
          <t>2026-05-04</t>
        </is>
      </c>
      <c r="Z220" s="152" t="n">
        <v>50.2244</v>
      </c>
      <c r="AA220" s="152" t="inlineStr">
        <is>
          <t>2026-05-05</t>
        </is>
      </c>
      <c r="AB220" s="152" t="n">
        <v>45.2209</v>
      </c>
      <c r="AC220" s="152" t="n">
        <v>-0.09962295859469628</v>
      </c>
      <c r="AD220" s="152" t="inlineStr">
        <is>
          <t>DOWN</t>
        </is>
      </c>
      <c r="AE220" s="152" t="inlineStr">
        <is>
          <t>YES</t>
        </is>
      </c>
      <c r="AF220" s="152" t="n">
        <v>0.098623</v>
      </c>
      <c r="AG220" s="152">
        <f>IF($A220="","",IFERROR(INDEX(Company_List!$G$3:$G$207,MATCH($A220,Company_List!$A$3:$A$207,0)),"unassigned"))</f>
        <v/>
      </c>
      <c r="AH220" s="152" t="inlineStr">
        <is>
          <t>Phase 3/Readings/PayPal/2026-Q1/PYPL-2026-Q1-press-release-SEC-EX-99-1.htm</t>
        </is>
      </c>
      <c r="AI220" s="152" t="inlineStr">
        <is>
          <t>https://www.sec.gov/Archives/edgar/data/1633917/000163391726000065/pypl1q-26earningsrelease.htm</t>
        </is>
      </c>
      <c r="AJ220" s="152" t="inlineStr">
        <is>
          <t>manifest</t>
        </is>
      </c>
      <c r="AK220" s="152">
        <f>IF($A220="","",IF(COUNTIFS(Human_Data_Entry!$A$3:$A$525,$A220)&gt;0,"YES","NO"))</f>
        <v/>
      </c>
      <c r="AL220" s="152">
        <f>IF($A220="","",IF(AND($C220&amp;"-"&amp;$D220&gt;=Settings!$B$19,$C220&amp;"-"&amp;$D220&lt;=Settings!$B$20),"IN","OUT"))</f>
        <v/>
      </c>
      <c r="AM220" s="152">
        <f>IF(AND(OR($H220="BUY",$H220="SELL"),ISNUMBER($T220)),$T220,"")</f>
        <v/>
      </c>
      <c r="AN220" s="152">
        <f>IF(AND(OR($H220="BUY",$H220="SELL"),ISNUMBER($AF220)),$AF220,"")</f>
        <v/>
      </c>
      <c r="AO220" s="152">
        <f>IF(ISNUMBER($AM220),ABS(IF(ISNUMBER($G220),$G220,0)-Settings!$B$25),"")</f>
        <v/>
      </c>
      <c r="AP220" s="152">
        <f>IF(ISNUMBER($AO220),$AO220*$AM220,"")</f>
        <v/>
      </c>
      <c r="AQ220" s="152">
        <f>IF(ISNUMBER($AN220),ABS(IF(ISNUMBER($G220),$G220,0)-Settings!$B$25),"")</f>
        <v/>
      </c>
      <c r="AR220" s="152">
        <f>IF(ISNUMBER($AQ220),$AQ220*$AN220,"")</f>
        <v/>
      </c>
      <c r="AS220" s="152">
        <f>IF($A220="","",IFERROR(INDEX(Company_List!$H$3:$H$207,MATCH($A220,Company_List!$A$3:$A$207,0)),"unassigned"))</f>
        <v/>
      </c>
      <c r="AT220" s="152" t="inlineStr">
        <is>
          <t>not in v1</t>
        </is>
      </c>
      <c r="AU220" s="152" t="inlineStr">
        <is>
          <t>no earlier record</t>
        </is>
      </c>
      <c r="AV220" s="152" t="n">
        <v>1</v>
      </c>
      <c r="AW220" s="152" t="inlineStr">
        <is>
          <t>not publisher-identified</t>
        </is>
      </c>
      <c r="AX220" s="152" t="inlineStr">
        <is>
          <t>not publisher-identified</t>
        </is>
      </c>
      <c r="AY220" s="152" t="inlineStr">
        <is>
          <t>no</t>
        </is>
      </c>
      <c r="AZ220" s="152" t="inlineStr">
        <is>
          <t>yes</t>
        </is>
      </c>
      <c r="BA220" s="152" t="inlineStr">
        <is>
          <t>YES</t>
        </is>
      </c>
      <c r="BB220" s="152" t="n"/>
    </row>
    <row r="221" ht="15" customHeight="1" s="241">
      <c r="A221" s="191" t="inlineStr">
        <is>
          <t>PayPal</t>
        </is>
      </c>
      <c r="B221" s="188" t="inlineStr">
        <is>
          <t>PYPL</t>
        </is>
      </c>
      <c r="C221" s="176" t="n">
        <v>2025</v>
      </c>
      <c r="D221" s="177" t="inlineStr">
        <is>
          <t>Q2</t>
        </is>
      </c>
      <c r="E221" s="178" t="inlineStr">
        <is>
          <t>Ben/DeepSeek</t>
        </is>
      </c>
      <c r="F221" s="177" t="inlineStr">
        <is>
          <t>LLM</t>
        </is>
      </c>
      <c r="G221" s="196" t="n">
        <v>0.38</v>
      </c>
      <c r="H221" s="177" t="inlineStr">
        <is>
          <t>BUY</t>
        </is>
      </c>
      <c r="I221" s="196" t="n"/>
      <c r="J221" s="182" t="n">
        <v>45867</v>
      </c>
      <c r="K221" s="182" t="n">
        <v>45866</v>
      </c>
      <c r="L221" s="183" t="n">
        <v>78.22</v>
      </c>
      <c r="M221" s="182" t="n">
        <v>45867</v>
      </c>
      <c r="N221" s="183" t="n">
        <v>71.73</v>
      </c>
      <c r="O221" s="180" t="n">
        <v>0.013427</v>
      </c>
      <c r="P221" s="197" t="n">
        <v>-0.082971</v>
      </c>
      <c r="Q221" s="177" t="inlineStr">
        <is>
          <t>DOWN</t>
        </is>
      </c>
      <c r="R221" s="177" t="inlineStr">
        <is>
          <t>NO</t>
        </is>
      </c>
      <c r="S221" s="176" t="n">
        <v>1</v>
      </c>
      <c r="T221" s="197" t="n">
        <v>-0.083971</v>
      </c>
      <c r="U221" s="185" t="inlineStr">
        <is>
          <t>w=[0.80,0.20,0,0] thr=(+0.20,-0.10), deployed default promoted 2026-08-18 (PSR=0.964, permutation p=0.0002 at N=233, restricted search - see blend.py)</t>
        </is>
      </c>
      <c r="V221" s="152" t="inlineStr">
        <is>
          <t>FROZEN</t>
        </is>
      </c>
      <c r="W221" s="152" t="inlineStr">
        <is>
          <t>price signal — only this window shows an abnormal move</t>
        </is>
      </c>
      <c r="X221" s="152" t="inlineStr">
        <is>
          <t>PYPL</t>
        </is>
      </c>
      <c r="Y221" s="152" t="inlineStr">
        <is>
          <t>2025-07-28</t>
        </is>
      </c>
      <c r="Z221" s="152" t="n">
        <v>77.5484</v>
      </c>
      <c r="AA221" s="152" t="inlineStr">
        <is>
          <t>2025-07-29</t>
        </is>
      </c>
      <c r="AB221" s="152" t="n">
        <v>71.11409999999999</v>
      </c>
      <c r="AC221" s="152" t="n">
        <v>-0.08297117785809287</v>
      </c>
      <c r="AD221" s="152" t="inlineStr">
        <is>
          <t>DOWN</t>
        </is>
      </c>
      <c r="AE221" s="152" t="inlineStr">
        <is>
          <t>NO</t>
        </is>
      </c>
      <c r="AF221" s="152" t="n">
        <v>-0.083971</v>
      </c>
      <c r="AG221" s="152">
        <f>IF($A221="","",IFERROR(INDEX(Company_List!$G$3:$G$207,MATCH($A221,Company_List!$A$3:$A$207,0)),"unassigned"))</f>
        <v/>
      </c>
      <c r="AH221" s="152" t="inlineStr">
        <is>
          <t>Phase 3/Readings/PayPal/CORRECTED-TRANSCRIPT_-PayPal-Holdings-Inc-PYPL-US-Q2-2025-Earnings-Call-29-July-2025-8_00-AM-ET.pdf</t>
        </is>
      </c>
      <c r="AI221" s="152" t="n"/>
      <c r="AJ221" s="152" t="inlineStr">
        <is>
          <t>unique filename match</t>
        </is>
      </c>
      <c r="AK221" s="152">
        <f>IF($A221="","",IF(COUNTIFS(Human_Data_Entry!$A$3:$A$525,$A221)&gt;0,"YES","NO"))</f>
        <v/>
      </c>
      <c r="AL221" s="152">
        <f>IF($A221="","",IF(AND($C221&amp;"-"&amp;$D221&gt;=Settings!$B$19,$C221&amp;"-"&amp;$D221&lt;=Settings!$B$20),"IN","OUT"))</f>
        <v/>
      </c>
      <c r="AM221" s="152">
        <f>IF(AND(OR($H221="BUY",$H221="SELL"),ISNUMBER($T221)),$T221,"")</f>
        <v/>
      </c>
      <c r="AN221" s="152">
        <f>IF(AND(OR($H221="BUY",$H221="SELL"),ISNUMBER($AF221)),$AF221,"")</f>
        <v/>
      </c>
      <c r="AO221" s="152">
        <f>IF(ISNUMBER($AM221),ABS(IF(ISNUMBER($G221),$G221,0)-Settings!$B$25),"")</f>
        <v/>
      </c>
      <c r="AP221" s="152">
        <f>IF(ISNUMBER($AO221),$AO221*$AM221,"")</f>
        <v/>
      </c>
      <c r="AQ221" s="152">
        <f>IF(ISNUMBER($AN221),ABS(IF(ISNUMBER($G221),$G221,0)-Settings!$B$25),"")</f>
        <v/>
      </c>
      <c r="AR221" s="152">
        <f>IF(ISNUMBER($AQ221),$AQ221*$AN221,"")</f>
        <v/>
      </c>
      <c r="AS221" s="152">
        <f>IF($A221="","",IFERROR(INDEX(Company_List!$H$3:$H$207,MATCH($A221,Company_List!$A$3:$A$207,0)),"unassigned"))</f>
        <v/>
      </c>
      <c r="AT221" s="152" t="inlineStr">
        <is>
          <t>not in v1</t>
        </is>
      </c>
      <c r="AU221" s="152" t="inlineStr">
        <is>
          <t>no earlier record</t>
        </is>
      </c>
      <c r="AV221" s="152" t="n">
        <v>1</v>
      </c>
      <c r="AW221" s="152" t="inlineStr">
        <is>
          <t>FactSet CallStreet</t>
        </is>
      </c>
      <c r="AX221" s="152" t="inlineStr">
        <is>
          <t>licensed vendor</t>
        </is>
      </c>
      <c r="AY221" s="152" t="inlineStr">
        <is>
          <t>no</t>
        </is>
      </c>
      <c r="AZ221" s="152" t="inlineStr">
        <is>
          <t>no</t>
        </is>
      </c>
      <c r="BA221" s="152" t="inlineStr">
        <is>
          <t>YES</t>
        </is>
      </c>
      <c r="BB221" s="152" t="n"/>
    </row>
    <row r="222" ht="15" customHeight="1" s="241">
      <c r="A222" s="191" t="inlineStr">
        <is>
          <t>PayPal</t>
        </is>
      </c>
      <c r="B222" s="188" t="inlineStr">
        <is>
          <t>PYPL</t>
        </is>
      </c>
      <c r="C222" s="176" t="n">
        <v>2025</v>
      </c>
      <c r="D222" s="177" t="inlineStr">
        <is>
          <t>Q3</t>
        </is>
      </c>
      <c r="E222" s="178" t="inlineStr">
        <is>
          <t>Ben/DeepSeek</t>
        </is>
      </c>
      <c r="F222" s="177" t="inlineStr">
        <is>
          <t>LLM</t>
        </is>
      </c>
      <c r="G222" s="196" t="n">
        <v>0.5</v>
      </c>
      <c r="H222" s="177" t="inlineStr">
        <is>
          <t>BUY</t>
        </is>
      </c>
      <c r="I222" s="196" t="n"/>
      <c r="J222" s="182" t="n">
        <v>45958</v>
      </c>
      <c r="K222" s="182" t="n">
        <v>45957</v>
      </c>
      <c r="L222" s="183" t="n">
        <v>70.25</v>
      </c>
      <c r="M222" s="182" t="n">
        <v>45958</v>
      </c>
      <c r="N222" s="183" t="n">
        <v>76.20999999999999</v>
      </c>
      <c r="O222" s="180" t="n">
        <v>0.013747</v>
      </c>
      <c r="P222" s="197" t="n">
        <v>0.08484</v>
      </c>
      <c r="Q222" s="177" t="inlineStr">
        <is>
          <t>UP</t>
        </is>
      </c>
      <c r="R222" s="177" t="inlineStr">
        <is>
          <t>YES</t>
        </is>
      </c>
      <c r="S222" s="176" t="n">
        <v>1</v>
      </c>
      <c r="T222" s="197" t="n">
        <v>0.08384</v>
      </c>
      <c r="U222" s="185" t="inlineStr">
        <is>
          <t>w=[0.80,0.20,0,0] thr=(+0.20,-0.10), deployed default promoted 2026-08-18 (PSR=0.964, permutation p=0.0002 at N=233, restricted search - see blend.py)</t>
        </is>
      </c>
      <c r="V222" s="152" t="inlineStr">
        <is>
          <t>FROZEN</t>
        </is>
      </c>
      <c r="W222" s="152" t="inlineStr">
        <is>
          <t>price signal — only this window shows an abnormal move</t>
        </is>
      </c>
      <c r="X222" s="152" t="inlineStr">
        <is>
          <t>PYPL</t>
        </is>
      </c>
      <c r="Y222" s="152" t="inlineStr">
        <is>
          <t>2025-10-27</t>
        </is>
      </c>
      <c r="Z222" s="152" t="n">
        <v>69.6468</v>
      </c>
      <c r="AA222" s="152" t="inlineStr">
        <is>
          <t>2025-10-28</t>
        </is>
      </c>
      <c r="AB222" s="152" t="n">
        <v>75.5556</v>
      </c>
      <c r="AC222" s="152" t="n">
        <v>0.08483975966452981</v>
      </c>
      <c r="AD222" s="152" t="inlineStr">
        <is>
          <t>UP</t>
        </is>
      </c>
      <c r="AE222" s="152" t="inlineStr">
        <is>
          <t>YES</t>
        </is>
      </c>
      <c r="AF222" s="152" t="n">
        <v>0.08384</v>
      </c>
      <c r="AG222" s="152">
        <f>IF($A222="","",IFERROR(INDEX(Company_List!$G$3:$G$207,MATCH($A222,Company_List!$A$3:$A$207,0)),"unassigned"))</f>
        <v/>
      </c>
      <c r="AH222" s="152" t="inlineStr">
        <is>
          <t>Phase 3/Readings/PayPal/CORRECTED-TRANSCRIPT_-PayPal-Holdings-Inc-PYPL-US-Q3-2025-Earnings-Call-28-October-2025-8_00-AM-ET.pdf</t>
        </is>
      </c>
      <c r="AI222" s="152" t="n"/>
      <c r="AJ222" s="152" t="inlineStr">
        <is>
          <t>unique filename match</t>
        </is>
      </c>
      <c r="AK222" s="152">
        <f>IF($A222="","",IF(COUNTIFS(Human_Data_Entry!$A$3:$A$525,$A222)&gt;0,"YES","NO"))</f>
        <v/>
      </c>
      <c r="AL222" s="152">
        <f>IF($A222="","",IF(AND($C222&amp;"-"&amp;$D222&gt;=Settings!$B$19,$C222&amp;"-"&amp;$D222&lt;=Settings!$B$20),"IN","OUT"))</f>
        <v/>
      </c>
      <c r="AM222" s="152">
        <f>IF(AND(OR($H222="BUY",$H222="SELL"),ISNUMBER($T222)),$T222,"")</f>
        <v/>
      </c>
      <c r="AN222" s="152">
        <f>IF(AND(OR($H222="BUY",$H222="SELL"),ISNUMBER($AF222)),$AF222,"")</f>
        <v/>
      </c>
      <c r="AO222" s="152">
        <f>IF(ISNUMBER($AM222),ABS(IF(ISNUMBER($G222),$G222,0)-Settings!$B$25),"")</f>
        <v/>
      </c>
      <c r="AP222" s="152">
        <f>IF(ISNUMBER($AO222),$AO222*$AM222,"")</f>
        <v/>
      </c>
      <c r="AQ222" s="152">
        <f>IF(ISNUMBER($AN222),ABS(IF(ISNUMBER($G222),$G222,0)-Settings!$B$25),"")</f>
        <v/>
      </c>
      <c r="AR222" s="152">
        <f>IF(ISNUMBER($AQ222),$AQ222*$AN222,"")</f>
        <v/>
      </c>
      <c r="AS222" s="152">
        <f>IF($A222="","",IFERROR(INDEX(Company_List!$H$3:$H$207,MATCH($A222,Company_List!$A$3:$A$207,0)),"unassigned"))</f>
        <v/>
      </c>
      <c r="AT222" s="152" t="inlineStr">
        <is>
          <t>not in v1</t>
        </is>
      </c>
      <c r="AU222" s="152" t="inlineStr">
        <is>
          <t>no earlier record</t>
        </is>
      </c>
      <c r="AV222" s="152" t="n">
        <v>1</v>
      </c>
      <c r="AW222" s="152" t="inlineStr">
        <is>
          <t>FactSet CallStreet</t>
        </is>
      </c>
      <c r="AX222" s="152" t="inlineStr">
        <is>
          <t>licensed vendor</t>
        </is>
      </c>
      <c r="AY222" s="152" t="inlineStr">
        <is>
          <t>no</t>
        </is>
      </c>
      <c r="AZ222" s="152" t="inlineStr">
        <is>
          <t>no</t>
        </is>
      </c>
      <c r="BA222" s="152" t="inlineStr">
        <is>
          <t>YES</t>
        </is>
      </c>
      <c r="BB222" s="152" t="n"/>
    </row>
    <row r="223" ht="15" customHeight="1" s="241">
      <c r="A223" s="191" t="inlineStr">
        <is>
          <t>Pinterest</t>
        </is>
      </c>
      <c r="B223" s="188" t="inlineStr">
        <is>
          <t>PINS</t>
        </is>
      </c>
      <c r="C223" s="176" t="n">
        <v>2026</v>
      </c>
      <c r="D223" s="177" t="inlineStr">
        <is>
          <t>Q1</t>
        </is>
      </c>
      <c r="E223" s="178" t="inlineStr">
        <is>
          <t>Ben/DeepSeek</t>
        </is>
      </c>
      <c r="F223" s="177" t="inlineStr">
        <is>
          <t>LLM</t>
        </is>
      </c>
      <c r="G223" s="196" t="n">
        <v>0.06</v>
      </c>
      <c r="H223" s="177" t="inlineStr">
        <is>
          <t>HOLD</t>
        </is>
      </c>
      <c r="I223" s="196" t="n"/>
      <c r="J223" s="182" t="n">
        <v>46146</v>
      </c>
      <c r="K223" s="182" t="n">
        <v>46146</v>
      </c>
      <c r="L223" s="183" t="n">
        <v>20.85</v>
      </c>
      <c r="M223" s="182" t="n">
        <v>46147</v>
      </c>
      <c r="N223" s="183" t="n">
        <v>24.71</v>
      </c>
      <c r="O223" s="180" t="n">
        <v>0.009878</v>
      </c>
      <c r="P223" s="197" t="n">
        <v>0.185132</v>
      </c>
      <c r="Q223" s="177" t="inlineStr">
        <is>
          <t>UP</t>
        </is>
      </c>
      <c r="R223" s="177" t="inlineStr">
        <is>
          <t>NO</t>
        </is>
      </c>
      <c r="S223" s="176" t="n">
        <v>0</v>
      </c>
      <c r="T223" s="197" t="n">
        <v>0</v>
      </c>
      <c r="U223" s="185" t="inlineStr">
        <is>
          <t>w=[0.80,0.20,0,0] thr=(+0.20,-0.10), deployed default promoted 2026-08-18 (PSR=0.964, permutation p=0.0002 at N=233, restricted search - see blend.py)</t>
        </is>
      </c>
      <c r="V223" s="152" t="inlineStr">
        <is>
          <t>FROZEN</t>
        </is>
      </c>
      <c r="W223" s="152" t="inlineStr">
        <is>
          <t>price signal — only this window shows an abnormal move</t>
        </is>
      </c>
      <c r="X223" s="152" t="inlineStr">
        <is>
          <t>PINS</t>
        </is>
      </c>
      <c r="Y223" s="152" t="inlineStr">
        <is>
          <t>2026-05-04</t>
        </is>
      </c>
      <c r="Z223" s="152" t="n">
        <v>20.85</v>
      </c>
      <c r="AA223" s="152" t="inlineStr">
        <is>
          <t>2026-05-05</t>
        </is>
      </c>
      <c r="AB223" s="152" t="n">
        <v>24.71</v>
      </c>
      <c r="AC223" s="152" t="n">
        <v>0.1851318465227819</v>
      </c>
      <c r="AD223" s="152" t="inlineStr">
        <is>
          <t>UP</t>
        </is>
      </c>
      <c r="AE223" s="152" t="inlineStr">
        <is>
          <t>NO</t>
        </is>
      </c>
      <c r="AF223" s="152" t="n">
        <v>-0.186132</v>
      </c>
      <c r="AG223" s="152">
        <f>IF($A223="","",IFERROR(INDEX(Company_List!$G$3:$G$207,MATCH($A223,Company_List!$A$3:$A$207,0)),"unassigned"))</f>
        <v/>
      </c>
      <c r="AH223" s="152" t="inlineStr">
        <is>
          <t>Phase 3/Readings/Pinterest/PINS Q1 2026 Transcript .pdf</t>
        </is>
      </c>
      <c r="AI223" s="152" t="n"/>
      <c r="AJ223" s="152" t="inlineStr">
        <is>
          <t>unique filename match</t>
        </is>
      </c>
      <c r="AK223" s="152">
        <f>IF($A223="","",IF(COUNTIFS(Human_Data_Entry!$A$3:$A$525,$A223)&gt;0,"YES","NO"))</f>
        <v/>
      </c>
      <c r="AL223" s="152">
        <f>IF($A223="","",IF(AND($C223&amp;"-"&amp;$D223&gt;=Settings!$B$19,$C223&amp;"-"&amp;$D223&lt;=Settings!$B$20),"IN","OUT"))</f>
        <v/>
      </c>
      <c r="AM223" s="152">
        <f>IF(AND(OR($H223="BUY",$H223="SELL"),ISNUMBER($T223)),$T223,"")</f>
        <v/>
      </c>
      <c r="AN223" s="152">
        <f>IF(AND(OR($H223="BUY",$H223="SELL"),ISNUMBER($AF223)),$AF223,"")</f>
        <v/>
      </c>
      <c r="AO223" s="152">
        <f>IF(ISNUMBER($AM223),ABS(IF(ISNUMBER($G223),$G223,0)-Settings!$B$25),"")</f>
        <v/>
      </c>
      <c r="AP223" s="152">
        <f>IF(ISNUMBER($AO223),$AO223*$AM223,"")</f>
        <v/>
      </c>
      <c r="AQ223" s="152">
        <f>IF(ISNUMBER($AN223),ABS(IF(ISNUMBER($G223),$G223,0)-Settings!$B$25),"")</f>
        <v/>
      </c>
      <c r="AR223" s="152">
        <f>IF(ISNUMBER($AQ223),$AQ223*$AN223,"")</f>
        <v/>
      </c>
      <c r="AS223" s="152">
        <f>IF($A223="","",IFERROR(INDEX(Company_List!$H$3:$H$207,MATCH($A223,Company_List!$A$3:$A$207,0)),"unassigned"))</f>
        <v/>
      </c>
      <c r="AT223" s="152" t="inlineStr">
        <is>
          <t>not in v1</t>
        </is>
      </c>
      <c r="AU223" s="152" t="inlineStr">
        <is>
          <t>no earlier record</t>
        </is>
      </c>
      <c r="AV223" s="152" t="n">
        <v>1</v>
      </c>
      <c r="AW223" s="152" t="inlineStr">
        <is>
          <t>The Motley Fool</t>
        </is>
      </c>
      <c r="AX223" s="152" t="inlineStr">
        <is>
          <t>free to read, copyright asserted</t>
        </is>
      </c>
      <c r="AY223" s="152" t="inlineStr">
        <is>
          <t>no</t>
        </is>
      </c>
      <c r="AZ223" s="152" t="inlineStr">
        <is>
          <t>no</t>
        </is>
      </c>
      <c r="BA223" s="152" t="inlineStr">
        <is>
          <t>YES</t>
        </is>
      </c>
      <c r="BB223" s="152" t="n"/>
    </row>
    <row r="224" ht="15" customHeight="1" s="241">
      <c r="A224" s="191" t="inlineStr">
        <is>
          <t>Pinterest</t>
        </is>
      </c>
      <c r="B224" s="188" t="inlineStr">
        <is>
          <t>PINS</t>
        </is>
      </c>
      <c r="C224" s="176" t="n">
        <v>2024</v>
      </c>
      <c r="D224" s="177" t="inlineStr">
        <is>
          <t>Q4</t>
        </is>
      </c>
      <c r="E224" s="178" t="inlineStr">
        <is>
          <t>Ben/DeepSeek</t>
        </is>
      </c>
      <c r="F224" s="177" t="inlineStr">
        <is>
          <t>LLM</t>
        </is>
      </c>
      <c r="G224" s="196" t="n">
        <v>0.25</v>
      </c>
      <c r="H224" s="177" t="inlineStr">
        <is>
          <t>BUY</t>
        </is>
      </c>
      <c r="I224" s="196" t="n"/>
      <c r="J224" s="182" t="n">
        <v>45694</v>
      </c>
      <c r="K224" s="182" t="n">
        <v>45694</v>
      </c>
      <c r="L224" s="183" t="n">
        <v>33.59</v>
      </c>
      <c r="M224" s="182" t="n">
        <v>45695</v>
      </c>
      <c r="N224" s="183" t="n">
        <v>40.89</v>
      </c>
      <c r="O224" s="180" t="n">
        <v>0.009931000000000001</v>
      </c>
      <c r="P224" s="197" t="n">
        <v>0.217327</v>
      </c>
      <c r="Q224" s="177" t="inlineStr">
        <is>
          <t>UP</t>
        </is>
      </c>
      <c r="R224" s="177" t="inlineStr">
        <is>
          <t>YES</t>
        </is>
      </c>
      <c r="S224" s="176" t="n">
        <v>1</v>
      </c>
      <c r="T224" s="197" t="n">
        <v>0.216327</v>
      </c>
      <c r="U224" s="185" t="inlineStr">
        <is>
          <t>w=[0.80,0.20,0,0] thr=(+0.20,-0.10), deployed default promoted 2026-08-18 (PSR=0.964, permutation p=0.0002 at N=233, restricted search - see blend.py)</t>
        </is>
      </c>
      <c r="V224" s="152" t="inlineStr">
        <is>
          <t>FROZEN</t>
        </is>
      </c>
      <c r="W224" s="152" t="inlineStr">
        <is>
          <t>price signal — only this window shows an abnormal move</t>
        </is>
      </c>
      <c r="X224" s="152" t="inlineStr">
        <is>
          <t>PINS</t>
        </is>
      </c>
      <c r="Y224" s="152" t="inlineStr">
        <is>
          <t>2025-02-06</t>
        </is>
      </c>
      <c r="Z224" s="152" t="n">
        <v>33.59</v>
      </c>
      <c r="AA224" s="152" t="inlineStr">
        <is>
          <t>2025-02-07</t>
        </is>
      </c>
      <c r="AB224" s="152" t="n">
        <v>40.89</v>
      </c>
      <c r="AC224" s="152" t="n">
        <v>0.2173265555224769</v>
      </c>
      <c r="AD224" s="152" t="inlineStr">
        <is>
          <t>UP</t>
        </is>
      </c>
      <c r="AE224" s="152" t="inlineStr">
        <is>
          <t>NO</t>
        </is>
      </c>
      <c r="AF224" s="152" t="n">
        <v>0</v>
      </c>
      <c r="AG224" s="152">
        <f>IF($A224="","",IFERROR(INDEX(Company_List!$G$3:$G$207,MATCH($A224,Company_List!$A$3:$A$207,0)),"unassigned"))</f>
        <v/>
      </c>
      <c r="AH224" s="152" t="inlineStr">
        <is>
          <t>Phase 3/Readings/Pinterest/Q4 2024 presentation.pdf</t>
        </is>
      </c>
      <c r="AI224" s="152" t="n"/>
      <c r="AJ224" s="152" t="inlineStr">
        <is>
          <t>unique filename match</t>
        </is>
      </c>
      <c r="AK224" s="152">
        <f>IF($A224="","",IF(COUNTIFS(Human_Data_Entry!$A$3:$A$525,$A224)&gt;0,"YES","NO"))</f>
        <v/>
      </c>
      <c r="AL224" s="152">
        <f>IF($A224="","",IF(AND($C224&amp;"-"&amp;$D224&gt;=Settings!$B$19,$C224&amp;"-"&amp;$D224&lt;=Settings!$B$20),"IN","OUT"))</f>
        <v/>
      </c>
      <c r="AM224" s="152">
        <f>IF(AND(OR($H224="BUY",$H224="SELL"),ISNUMBER($T224)),$T224,"")</f>
        <v/>
      </c>
      <c r="AN224" s="152">
        <f>IF(AND(OR($H224="BUY",$H224="SELL"),ISNUMBER($AF224)),$AF224,"")</f>
        <v/>
      </c>
      <c r="AO224" s="152">
        <f>IF(ISNUMBER($AM224),ABS(IF(ISNUMBER($G224),$G224,0)-Settings!$B$25),"")</f>
        <v/>
      </c>
      <c r="AP224" s="152">
        <f>IF(ISNUMBER($AO224),$AO224*$AM224,"")</f>
        <v/>
      </c>
      <c r="AQ224" s="152">
        <f>IF(ISNUMBER($AN224),ABS(IF(ISNUMBER($G224),$G224,0)-Settings!$B$25),"")</f>
        <v/>
      </c>
      <c r="AR224" s="152">
        <f>IF(ISNUMBER($AQ224),$AQ224*$AN224,"")</f>
        <v/>
      </c>
      <c r="AS224" s="152">
        <f>IF($A224="","",IFERROR(INDEX(Company_List!$H$3:$H$207,MATCH($A224,Company_List!$A$3:$A$207,0)),"unassigned"))</f>
        <v/>
      </c>
      <c r="AT224" s="152" t="inlineStr">
        <is>
          <t>not in v1</t>
        </is>
      </c>
      <c r="AU224" s="152" t="inlineStr">
        <is>
          <t>no earlier record</t>
        </is>
      </c>
      <c r="AV224" s="152" t="n">
        <v>1</v>
      </c>
      <c r="AW224" s="152" t="inlineStr">
        <is>
          <t>not publisher-identified</t>
        </is>
      </c>
      <c r="AX224" s="152" t="inlineStr">
        <is>
          <t>not publisher-identified</t>
        </is>
      </c>
      <c r="AY224" s="152" t="inlineStr">
        <is>
          <t>no</t>
        </is>
      </c>
      <c r="AZ224" s="152" t="inlineStr">
        <is>
          <t>no</t>
        </is>
      </c>
      <c r="BA224" s="152" t="inlineStr">
        <is>
          <t>YES</t>
        </is>
      </c>
      <c r="BB224" s="152" t="n"/>
    </row>
    <row r="225" ht="15" customHeight="1" s="241">
      <c r="A225" s="191" t="inlineStr">
        <is>
          <t>Pinterest</t>
        </is>
      </c>
      <c r="B225" s="188" t="inlineStr">
        <is>
          <t>PINS</t>
        </is>
      </c>
      <c r="C225" s="176" t="n">
        <v>2025</v>
      </c>
      <c r="D225" s="177" t="inlineStr">
        <is>
          <t>Q4</t>
        </is>
      </c>
      <c r="E225" s="178" t="inlineStr">
        <is>
          <t>Ben/DeepSeek</t>
        </is>
      </c>
      <c r="F225" s="177" t="inlineStr">
        <is>
          <t>LLM</t>
        </is>
      </c>
      <c r="G225" s="196" t="n">
        <v>-0.35</v>
      </c>
      <c r="H225" s="177" t="inlineStr">
        <is>
          <t>SELL</t>
        </is>
      </c>
      <c r="I225" s="196" t="n"/>
      <c r="J225" s="182" t="n">
        <v>46065</v>
      </c>
      <c r="K225" s="182" t="n">
        <v>46065</v>
      </c>
      <c r="L225" s="183" t="n">
        <v>18.54</v>
      </c>
      <c r="M225" s="182" t="n">
        <v>46066</v>
      </c>
      <c r="N225" s="183" t="n">
        <v>14.33</v>
      </c>
      <c r="O225" s="180" t="n">
        <v>0.011474</v>
      </c>
      <c r="P225" s="197" t="n">
        <v>-0.227077</v>
      </c>
      <c r="Q225" s="177" t="inlineStr">
        <is>
          <t>DOWN</t>
        </is>
      </c>
      <c r="R225" s="177" t="inlineStr">
        <is>
          <t>YES</t>
        </is>
      </c>
      <c r="S225" s="176" t="n">
        <v>-1</v>
      </c>
      <c r="T225" s="197" t="n">
        <v>0.226077</v>
      </c>
      <c r="U225" s="185" t="inlineStr">
        <is>
          <t>w=[0.80,0.20,0,0] thr=(+0.20,-0.10), deployed default promoted 2026-08-18 (PSR=0.964, permutation p=0.0002 at N=233, restricted search - see blend.py)</t>
        </is>
      </c>
      <c r="V225" s="152" t="inlineStr">
        <is>
          <t>FROZEN</t>
        </is>
      </c>
      <c r="W225" s="152" t="inlineStr">
        <is>
          <t>price signal — only this window shows an abnormal move</t>
        </is>
      </c>
      <c r="X225" s="152" t="inlineStr">
        <is>
          <t>PINS</t>
        </is>
      </c>
      <c r="Y225" s="152" t="inlineStr">
        <is>
          <t>2026-02-12</t>
        </is>
      </c>
      <c r="Z225" s="152" t="n">
        <v>18.54</v>
      </c>
      <c r="AA225" s="152" t="inlineStr">
        <is>
          <t>2026-02-13</t>
        </is>
      </c>
      <c r="AB225" s="152" t="n">
        <v>14.33</v>
      </c>
      <c r="AC225" s="152" t="n">
        <v>-0.2270766328437631</v>
      </c>
      <c r="AD225" s="152" t="inlineStr">
        <is>
          <t>DOWN</t>
        </is>
      </c>
      <c r="AE225" s="152" t="inlineStr">
        <is>
          <t>YES</t>
        </is>
      </c>
      <c r="AF225" s="152" t="n">
        <v>0.226077</v>
      </c>
      <c r="AG225" s="152">
        <f>IF($A225="","",IFERROR(INDEX(Company_List!$G$3:$G$207,MATCH($A225,Company_List!$A$3:$A$207,0)),"unassigned"))</f>
        <v/>
      </c>
      <c r="AH225" s="152" t="inlineStr">
        <is>
          <t>Phase 3/Readings/Pinterest/PINS Q4 2025 Transcript .pdf</t>
        </is>
      </c>
      <c r="AI225" s="152" t="n"/>
      <c r="AJ225" s="152" t="inlineStr">
        <is>
          <t>unique filename match</t>
        </is>
      </c>
      <c r="AK225" s="152">
        <f>IF($A225="","",IF(COUNTIFS(Human_Data_Entry!$A$3:$A$525,$A225)&gt;0,"YES","NO"))</f>
        <v/>
      </c>
      <c r="AL225" s="152">
        <f>IF($A225="","",IF(AND($C225&amp;"-"&amp;$D225&gt;=Settings!$B$19,$C225&amp;"-"&amp;$D225&lt;=Settings!$B$20),"IN","OUT"))</f>
        <v/>
      </c>
      <c r="AM225" s="152">
        <f>IF(AND(OR($H225="BUY",$H225="SELL"),ISNUMBER($T225)),$T225,"")</f>
        <v/>
      </c>
      <c r="AN225" s="152">
        <f>IF(AND(OR($H225="BUY",$H225="SELL"),ISNUMBER($AF225)),$AF225,"")</f>
        <v/>
      </c>
      <c r="AO225" s="152">
        <f>IF(ISNUMBER($AM225),ABS(IF(ISNUMBER($G225),$G225,0)-Settings!$B$25),"")</f>
        <v/>
      </c>
      <c r="AP225" s="152">
        <f>IF(ISNUMBER($AO225),$AO225*$AM225,"")</f>
        <v/>
      </c>
      <c r="AQ225" s="152">
        <f>IF(ISNUMBER($AN225),ABS(IF(ISNUMBER($G225),$G225,0)-Settings!$B$25),"")</f>
        <v/>
      </c>
      <c r="AR225" s="152">
        <f>IF(ISNUMBER($AQ225),$AQ225*$AN225,"")</f>
        <v/>
      </c>
      <c r="AS225" s="152">
        <f>IF($A225="","",IFERROR(INDEX(Company_List!$H$3:$H$207,MATCH($A225,Company_List!$A$3:$A$207,0)),"unassigned"))</f>
        <v/>
      </c>
      <c r="AT225" s="152" t="inlineStr">
        <is>
          <t>not in v1</t>
        </is>
      </c>
      <c r="AU225" s="152" t="inlineStr">
        <is>
          <t>no earlier record</t>
        </is>
      </c>
      <c r="AV225" s="152" t="n">
        <v>1</v>
      </c>
      <c r="AW225" s="152" t="inlineStr">
        <is>
          <t>The Motley Fool</t>
        </is>
      </c>
      <c r="AX225" s="152" t="inlineStr">
        <is>
          <t>free to read, copyright asserted</t>
        </is>
      </c>
      <c r="AY225" s="152" t="inlineStr">
        <is>
          <t>no</t>
        </is>
      </c>
      <c r="AZ225" s="152" t="inlineStr">
        <is>
          <t>no</t>
        </is>
      </c>
      <c r="BA225" s="152" t="inlineStr">
        <is>
          <t>YES</t>
        </is>
      </c>
      <c r="BB225" s="152" t="n"/>
    </row>
    <row r="226" ht="15" customHeight="1" s="241">
      <c r="A226" s="191" t="inlineStr">
        <is>
          <t>Puma</t>
        </is>
      </c>
      <c r="B226" s="188" t="inlineStr">
        <is>
          <t>PUM.DE</t>
        </is>
      </c>
      <c r="C226" s="176" t="n">
        <v>2025</v>
      </c>
      <c r="D226" s="177" t="inlineStr">
        <is>
          <t>Q1</t>
        </is>
      </c>
      <c r="E226" s="178" t="inlineStr">
        <is>
          <t>Ben/DeepSeek</t>
        </is>
      </c>
      <c r="F226" s="177" t="inlineStr">
        <is>
          <t>LLM</t>
        </is>
      </c>
      <c r="G226" s="196" t="n">
        <v>-0.3</v>
      </c>
      <c r="H226" s="177" t="inlineStr">
        <is>
          <t>SELL</t>
        </is>
      </c>
      <c r="I226" s="196" t="n"/>
      <c r="J226" s="182" t="n">
        <v>45784</v>
      </c>
      <c r="K226" s="182" t="n">
        <v>45783</v>
      </c>
      <c r="L226" s="183" t="n">
        <v>23.67</v>
      </c>
      <c r="M226" s="182" t="n">
        <v>45784</v>
      </c>
      <c r="N226" s="183" t="n">
        <v>24</v>
      </c>
      <c r="O226" s="180" t="n">
        <v>0.004983</v>
      </c>
      <c r="P226" s="197" t="n">
        <v>0.013942</v>
      </c>
      <c r="Q226" s="177" t="inlineStr">
        <is>
          <t>FLAT</t>
        </is>
      </c>
      <c r="R226" s="177" t="inlineStr">
        <is>
          <t>NO</t>
        </is>
      </c>
      <c r="S226" s="176" t="n">
        <v>-1</v>
      </c>
      <c r="T226" s="197" t="n">
        <v>-0.014942</v>
      </c>
      <c r="U226" s="185" t="inlineStr">
        <is>
          <t>w=[0.80,0.20,0,0] thr=(+0.20,-0.10), deployed default promoted 2026-08-18 (PSR=0.964, permutation p=0.0002 at N=233, restricted search - see blend.py)</t>
        </is>
      </c>
      <c r="V226" s="152" t="inlineStr">
        <is>
          <t>FROZEN</t>
        </is>
      </c>
      <c r="W226" s="152" t="inlineStr">
        <is>
          <t>recorded window spanned two sessions, closed to one</t>
        </is>
      </c>
      <c r="X226" s="152" t="inlineStr">
        <is>
          <t>PUM.DE</t>
        </is>
      </c>
      <c r="Y226" s="152" t="inlineStr">
        <is>
          <t>2025-05-07</t>
        </is>
      </c>
      <c r="Z226" s="152" t="n">
        <v>22.759</v>
      </c>
      <c r="AA226" s="152" t="inlineStr">
        <is>
          <t>2025-05-08</t>
        </is>
      </c>
      <c r="AB226" s="152" t="n">
        <v>23.7815</v>
      </c>
      <c r="AC226" s="152" t="n">
        <v>0.04492938783083154</v>
      </c>
      <c r="AD226" s="152" t="inlineStr">
        <is>
          <t>UP</t>
        </is>
      </c>
      <c r="AE226" s="152" t="inlineStr">
        <is>
          <t>NO</t>
        </is>
      </c>
      <c r="AF226" s="152" t="n">
        <v>-0.045929</v>
      </c>
      <c r="AG226" s="152">
        <f>IF($A226="","",IFERROR(INDEX(Company_List!$G$3:$G$207,MATCH($A226,Company_List!$A$3:$A$207,0)),"unassigned"))</f>
        <v/>
      </c>
      <c r="AH226" s="152" t="inlineStr">
        <is>
          <t>Phase 3/Readings/Puma/puma-q1-2025-transcript_website.pdf</t>
        </is>
      </c>
      <c r="AI226" s="152" t="n"/>
      <c r="AJ226" s="152" t="inlineStr">
        <is>
          <t>unique filename match</t>
        </is>
      </c>
      <c r="AK226" s="152">
        <f>IF($A226="","",IF(COUNTIFS(Human_Data_Entry!$A$3:$A$525,$A226)&gt;0,"YES","NO"))</f>
        <v/>
      </c>
      <c r="AL226" s="152">
        <f>IF($A226="","",IF(AND($C226&amp;"-"&amp;$D226&gt;=Settings!$B$19,$C226&amp;"-"&amp;$D226&lt;=Settings!$B$20),"IN","OUT"))</f>
        <v/>
      </c>
      <c r="AM226" s="152">
        <f>IF(AND(OR($H226="BUY",$H226="SELL"),ISNUMBER($T226)),$T226,"")</f>
        <v/>
      </c>
      <c r="AN226" s="152">
        <f>IF(AND(OR($H226="BUY",$H226="SELL"),ISNUMBER($AF226)),$AF226,"")</f>
        <v/>
      </c>
      <c r="AO226" s="152">
        <f>IF(ISNUMBER($AM226),ABS(IF(ISNUMBER($G226),$G226,0)-Settings!$B$25),"")</f>
        <v/>
      </c>
      <c r="AP226" s="152">
        <f>IF(ISNUMBER($AO226),$AO226*$AM226,"")</f>
        <v/>
      </c>
      <c r="AQ226" s="152">
        <f>IF(ISNUMBER($AN226),ABS(IF(ISNUMBER($G226),$G226,0)-Settings!$B$25),"")</f>
        <v/>
      </c>
      <c r="AR226" s="152">
        <f>IF(ISNUMBER($AQ226),$AQ226*$AN226,"")</f>
        <v/>
      </c>
      <c r="AS226" s="152">
        <f>IF($A226="","",IFERROR(INDEX(Company_List!$H$3:$H$207,MATCH($A226,Company_List!$A$3:$A$207,0)),"unassigned"))</f>
        <v/>
      </c>
      <c r="AT226" s="152" t="inlineStr">
        <is>
          <t>not in v1</t>
        </is>
      </c>
      <c r="AU226" s="152" t="inlineStr">
        <is>
          <t>no earlier record</t>
        </is>
      </c>
      <c r="AV226" s="152" t="n">
        <v>1</v>
      </c>
      <c r="AW226" s="152" t="inlineStr">
        <is>
          <t>not publisher-identified</t>
        </is>
      </c>
      <c r="AX226" s="152" t="inlineStr">
        <is>
          <t>not publisher-identified</t>
        </is>
      </c>
      <c r="AY226" s="152" t="inlineStr">
        <is>
          <t>no</t>
        </is>
      </c>
      <c r="AZ226" s="152" t="inlineStr">
        <is>
          <t>no</t>
        </is>
      </c>
      <c r="BA226" s="152" t="inlineStr">
        <is>
          <t>YES</t>
        </is>
      </c>
      <c r="BB226" s="152" t="n"/>
    </row>
    <row r="227" ht="15" customHeight="1" s="241">
      <c r="A227" s="191" t="inlineStr">
        <is>
          <t>Puma</t>
        </is>
      </c>
      <c r="B227" s="188" t="inlineStr">
        <is>
          <t>PUM.DE</t>
        </is>
      </c>
      <c r="C227" s="176" t="n">
        <v>2026</v>
      </c>
      <c r="D227" s="177" t="inlineStr">
        <is>
          <t>Q1</t>
        </is>
      </c>
      <c r="E227" s="178" t="inlineStr">
        <is>
          <t>Ben/DeepSeek</t>
        </is>
      </c>
      <c r="F227" s="177" t="inlineStr">
        <is>
          <t>LLM</t>
        </is>
      </c>
      <c r="G227" s="196" t="n">
        <v>-0.14</v>
      </c>
      <c r="H227" s="177" t="inlineStr">
        <is>
          <t>SELL</t>
        </is>
      </c>
      <c r="I227" s="196" t="n"/>
      <c r="J227" s="182" t="n">
        <v>46142</v>
      </c>
      <c r="K227" s="182" t="n">
        <v>46141</v>
      </c>
      <c r="L227" s="183" t="n">
        <v>24.68</v>
      </c>
      <c r="M227" s="182" t="n">
        <v>46142</v>
      </c>
      <c r="N227" s="183" t="n">
        <v>24.94</v>
      </c>
      <c r="O227" s="180" t="n">
        <v>0.009698</v>
      </c>
      <c r="P227" s="197" t="n">
        <v>0.010535</v>
      </c>
      <c r="Q227" s="177" t="inlineStr">
        <is>
          <t>FLAT</t>
        </is>
      </c>
      <c r="R227" s="177" t="inlineStr">
        <is>
          <t>NO</t>
        </is>
      </c>
      <c r="S227" s="176" t="n">
        <v>-1</v>
      </c>
      <c r="T227" s="197" t="n">
        <v>-0.011535</v>
      </c>
      <c r="U227" s="185" t="inlineStr">
        <is>
          <t>w=[0.80,0.20,0,0] thr=(+0.20,-0.10), deployed default promoted 2026-08-18 (PSR=0.964, permutation p=0.0002 at N=233, restricted search - see blend.py) | report_date ambiguous (multiple candidate trading days), unreviewed - see phase2/report_dates.json</t>
        </is>
      </c>
      <c r="V227" s="152" t="inlineStr">
        <is>
          <t>FROZEN</t>
        </is>
      </c>
      <c r="W227" s="152" t="inlineStr">
        <is>
          <t>earnings calendar, seconded by the issuer's habit</t>
        </is>
      </c>
      <c r="X227" s="152" t="inlineStr">
        <is>
          <t>PUM.DE</t>
        </is>
      </c>
      <c r="Y227" s="152" t="inlineStr">
        <is>
          <t>2026-04-29</t>
        </is>
      </c>
      <c r="Z227" s="152" t="n">
        <v>24.68</v>
      </c>
      <c r="AA227" s="152" t="inlineStr">
        <is>
          <t>2026-04-30</t>
        </is>
      </c>
      <c r="AB227" s="152" t="n">
        <v>24.94</v>
      </c>
      <c r="AC227" s="152" t="n">
        <v>0.01053488654781195</v>
      </c>
      <c r="AD227" s="152" t="inlineStr">
        <is>
          <t>FLAT</t>
        </is>
      </c>
      <c r="AE227" s="152" t="inlineStr">
        <is>
          <t>NO</t>
        </is>
      </c>
      <c r="AF227" s="152" t="n">
        <v>-0.011535</v>
      </c>
      <c r="AG227" s="152">
        <f>IF($A227="","",IFERROR(INDEX(Company_List!$G$3:$G$207,MATCH($A227,Company_List!$A$3:$A$207,0)),"unassigned"))</f>
        <v/>
      </c>
      <c r="AH227" s="152" t="inlineStr">
        <is>
          <t>Phase 3/Readings/Puma/Puma Q1 2026.pdf</t>
        </is>
      </c>
      <c r="AI227" s="152" t="n"/>
      <c r="AJ227" s="152" t="inlineStr">
        <is>
          <t>unique filename match</t>
        </is>
      </c>
      <c r="AK227" s="152">
        <f>IF($A227="","",IF(COUNTIFS(Human_Data_Entry!$A$3:$A$525,$A227)&gt;0,"YES","NO"))</f>
        <v/>
      </c>
      <c r="AL227" s="152">
        <f>IF($A227="","",IF(AND($C227&amp;"-"&amp;$D227&gt;=Settings!$B$19,$C227&amp;"-"&amp;$D227&lt;=Settings!$B$20),"IN","OUT"))</f>
        <v/>
      </c>
      <c r="AM227" s="152">
        <f>IF(AND(OR($H227="BUY",$H227="SELL"),ISNUMBER($T227)),$T227,"")</f>
        <v/>
      </c>
      <c r="AN227" s="152">
        <f>IF(AND(OR($H227="BUY",$H227="SELL"),ISNUMBER($AF227)),$AF227,"")</f>
        <v/>
      </c>
      <c r="AO227" s="152">
        <f>IF(ISNUMBER($AM227),ABS(IF(ISNUMBER($G227),$G227,0)-Settings!$B$25),"")</f>
        <v/>
      </c>
      <c r="AP227" s="152">
        <f>IF(ISNUMBER($AO227),$AO227*$AM227,"")</f>
        <v/>
      </c>
      <c r="AQ227" s="152">
        <f>IF(ISNUMBER($AN227),ABS(IF(ISNUMBER($G227),$G227,0)-Settings!$B$25),"")</f>
        <v/>
      </c>
      <c r="AR227" s="152">
        <f>IF(ISNUMBER($AQ227),$AQ227*$AN227,"")</f>
        <v/>
      </c>
      <c r="AS227" s="152">
        <f>IF($A227="","",IFERROR(INDEX(Company_List!$H$3:$H$207,MATCH($A227,Company_List!$A$3:$A$207,0)),"unassigned"))</f>
        <v/>
      </c>
      <c r="AT227" s="152" t="inlineStr">
        <is>
          <t>not in v1</t>
        </is>
      </c>
      <c r="AU227" s="152" t="inlineStr">
        <is>
          <t>no earlier record</t>
        </is>
      </c>
      <c r="AV227" s="152" t="n">
        <v>1</v>
      </c>
      <c r="AW227" s="152" t="inlineStr">
        <is>
          <t>not publisher-identified</t>
        </is>
      </c>
      <c r="AX227" s="152" t="inlineStr">
        <is>
          <t>not publisher-identified</t>
        </is>
      </c>
      <c r="AY227" s="152" t="inlineStr">
        <is>
          <t>no</t>
        </is>
      </c>
      <c r="AZ227" s="152" t="inlineStr">
        <is>
          <t>no</t>
        </is>
      </c>
      <c r="BA227" s="152" t="inlineStr">
        <is>
          <t>YES</t>
        </is>
      </c>
      <c r="BB227" s="152" t="n"/>
    </row>
    <row r="228" ht="15" customHeight="1" s="241">
      <c r="A228" s="191" t="inlineStr">
        <is>
          <t>Puma</t>
        </is>
      </c>
      <c r="B228" s="188" t="inlineStr">
        <is>
          <t>PUM.DE</t>
        </is>
      </c>
      <c r="C228" s="176" t="n">
        <v>2025</v>
      </c>
      <c r="D228" s="177" t="inlineStr">
        <is>
          <t>Q3</t>
        </is>
      </c>
      <c r="E228" s="178" t="inlineStr">
        <is>
          <t>Ben/DeepSeek</t>
        </is>
      </c>
      <c r="F228" s="177" t="inlineStr">
        <is>
          <t>LLM</t>
        </is>
      </c>
      <c r="G228" s="196" t="n">
        <v>-0.62</v>
      </c>
      <c r="H228" s="177" t="inlineStr">
        <is>
          <t>SELL</t>
        </is>
      </c>
      <c r="I228" s="196" t="n"/>
      <c r="J228" s="182" t="n">
        <v>45960</v>
      </c>
      <c r="K228" s="182" t="n">
        <v>45959</v>
      </c>
      <c r="L228" s="183" t="n">
        <v>20.6</v>
      </c>
      <c r="M228" s="182" t="n">
        <v>45960</v>
      </c>
      <c r="N228" s="183" t="n">
        <v>21.01</v>
      </c>
      <c r="O228" s="180" t="n">
        <v>0.007597</v>
      </c>
      <c r="P228" s="197" t="n">
        <v>0.019903</v>
      </c>
      <c r="Q228" s="177" t="inlineStr">
        <is>
          <t>FLAT</t>
        </is>
      </c>
      <c r="R228" s="177" t="inlineStr">
        <is>
          <t>NO</t>
        </is>
      </c>
      <c r="S228" s="176" t="n">
        <v>-1</v>
      </c>
      <c r="T228" s="197" t="n">
        <v>-0.020903</v>
      </c>
      <c r="U228" s="185" t="inlineStr">
        <is>
          <t>w=[0.80,0.20,0,0] thr=(+0.20,-0.10), deployed default promoted 2026-08-18 (PSR=0.964, permutation p=0.0002 at N=233, restricted search - see blend.py)</t>
        </is>
      </c>
      <c r="V228" s="152" t="inlineStr">
        <is>
          <t>FROZEN</t>
        </is>
      </c>
      <c r="W228" s="152" t="inlineStr">
        <is>
          <t>recorded window spanned two sessions, closed to one</t>
        </is>
      </c>
      <c r="X228" s="152" t="inlineStr">
        <is>
          <t>PUM.DE</t>
        </is>
      </c>
      <c r="Y228" s="152" t="inlineStr">
        <is>
          <t>2025-10-29</t>
        </is>
      </c>
      <c r="Z228" s="152" t="n">
        <v>20.6</v>
      </c>
      <c r="AA228" s="152" t="inlineStr">
        <is>
          <t>2025-10-30</t>
        </is>
      </c>
      <c r="AB228" s="152" t="n">
        <v>21.01</v>
      </c>
      <c r="AC228" s="152" t="n">
        <v>0.01990291262135923</v>
      </c>
      <c r="AD228" s="152" t="inlineStr">
        <is>
          <t>FLAT</t>
        </is>
      </c>
      <c r="AE228" s="152" t="inlineStr">
        <is>
          <t>NO</t>
        </is>
      </c>
      <c r="AF228" s="152" t="n">
        <v>-0.020903</v>
      </c>
      <c r="AG228" s="152">
        <f>IF($A228="","",IFERROR(INDEX(Company_List!$G$3:$G$207,MATCH($A228,Company_List!$A$3:$A$207,0)),"unassigned"))</f>
        <v/>
      </c>
      <c r="AH228" s="152" t="inlineStr">
        <is>
          <t>Phase 3/Readings/Puma/Puma q3 2025.pdf</t>
        </is>
      </c>
      <c r="AI228" s="152" t="n"/>
      <c r="AJ228" s="152" t="inlineStr">
        <is>
          <t>unique filename match</t>
        </is>
      </c>
      <c r="AK228" s="152">
        <f>IF($A228="","",IF(COUNTIFS(Human_Data_Entry!$A$3:$A$525,$A228)&gt;0,"YES","NO"))</f>
        <v/>
      </c>
      <c r="AL228" s="152">
        <f>IF($A228="","",IF(AND($C228&amp;"-"&amp;$D228&gt;=Settings!$B$19,$C228&amp;"-"&amp;$D228&lt;=Settings!$B$20),"IN","OUT"))</f>
        <v/>
      </c>
      <c r="AM228" s="152">
        <f>IF(AND(OR($H228="BUY",$H228="SELL"),ISNUMBER($T228)),$T228,"")</f>
        <v/>
      </c>
      <c r="AN228" s="152">
        <f>IF(AND(OR($H228="BUY",$H228="SELL"),ISNUMBER($AF228)),$AF228,"")</f>
        <v/>
      </c>
      <c r="AO228" s="152">
        <f>IF(ISNUMBER($AM228),ABS(IF(ISNUMBER($G228),$G228,0)-Settings!$B$25),"")</f>
        <v/>
      </c>
      <c r="AP228" s="152">
        <f>IF(ISNUMBER($AO228),$AO228*$AM228,"")</f>
        <v/>
      </c>
      <c r="AQ228" s="152">
        <f>IF(ISNUMBER($AN228),ABS(IF(ISNUMBER($G228),$G228,0)-Settings!$B$25),"")</f>
        <v/>
      </c>
      <c r="AR228" s="152">
        <f>IF(ISNUMBER($AQ228),$AQ228*$AN228,"")</f>
        <v/>
      </c>
      <c r="AS228" s="152">
        <f>IF($A228="","",IFERROR(INDEX(Company_List!$H$3:$H$207,MATCH($A228,Company_List!$A$3:$A$207,0)),"unassigned"))</f>
        <v/>
      </c>
      <c r="AT228" s="152" t="inlineStr">
        <is>
          <t>not in v1</t>
        </is>
      </c>
      <c r="AU228" s="152" t="inlineStr">
        <is>
          <t>no earlier record</t>
        </is>
      </c>
      <c r="AV228" s="152" t="n">
        <v>1</v>
      </c>
      <c r="AW228" s="152" t="inlineStr">
        <is>
          <t>not publisher-identified</t>
        </is>
      </c>
      <c r="AX228" s="152" t="inlineStr">
        <is>
          <t>not publisher-identified</t>
        </is>
      </c>
      <c r="AY228" s="152" t="inlineStr">
        <is>
          <t>no</t>
        </is>
      </c>
      <c r="AZ228" s="152" t="inlineStr">
        <is>
          <t>no</t>
        </is>
      </c>
      <c r="BA228" s="152" t="inlineStr">
        <is>
          <t>YES</t>
        </is>
      </c>
      <c r="BB228" s="152" t="n"/>
    </row>
    <row r="229" ht="15" customHeight="1" s="241">
      <c r="A229" s="191" t="inlineStr">
        <is>
          <t>Puma</t>
        </is>
      </c>
      <c r="B229" s="188" t="inlineStr">
        <is>
          <t>PUM.DE</t>
        </is>
      </c>
      <c r="C229" s="176" t="n">
        <v>2025</v>
      </c>
      <c r="D229" s="177" t="inlineStr">
        <is>
          <t>Q4</t>
        </is>
      </c>
      <c r="E229" s="178" t="inlineStr">
        <is>
          <t>Ben/DeepSeek</t>
        </is>
      </c>
      <c r="F229" s="177" t="inlineStr">
        <is>
          <t>LLM</t>
        </is>
      </c>
      <c r="G229" s="196" t="n">
        <v>-0.42</v>
      </c>
      <c r="H229" s="177" t="inlineStr">
        <is>
          <t>SELL</t>
        </is>
      </c>
      <c r="I229" s="196" t="n"/>
      <c r="J229" s="182" t="n">
        <v>46079</v>
      </c>
      <c r="K229" s="182" t="n">
        <v>46078</v>
      </c>
      <c r="L229" s="183" t="n">
        <v>22.61</v>
      </c>
      <c r="M229" s="182" t="n">
        <v>46079</v>
      </c>
      <c r="N229" s="183" t="n">
        <v>22.61</v>
      </c>
      <c r="O229" s="180" t="n">
        <v>0.009605000000000001</v>
      </c>
      <c r="P229" s="197" t="n">
        <v>0</v>
      </c>
      <c r="Q229" s="177" t="inlineStr">
        <is>
          <t>FLAT</t>
        </is>
      </c>
      <c r="R229" s="177" t="inlineStr">
        <is>
          <t>NO</t>
        </is>
      </c>
      <c r="S229" s="176" t="n">
        <v>-1</v>
      </c>
      <c r="T229" s="197" t="n">
        <v>-0.001</v>
      </c>
      <c r="U229" s="185" t="inlineStr">
        <is>
          <t>w=[0.80,0.20,0,0] thr=(+0.20,-0.10), deployed default promoted 2026-08-18 (PSR=0.964, permutation p=0.0002 at N=233, restricted search - see blend.py)</t>
        </is>
      </c>
      <c r="V229" s="152" t="inlineStr">
        <is>
          <t>FROZEN</t>
        </is>
      </c>
      <c r="W229" s="152" t="inlineStr">
        <is>
          <t>recorded window spanned two sessions, closed to one</t>
        </is>
      </c>
      <c r="X229" s="152" t="inlineStr">
        <is>
          <t>PUM.DE</t>
        </is>
      </c>
      <c r="Y229" s="152" t="inlineStr">
        <is>
          <t>2026-02-25</t>
        </is>
      </c>
      <c r="Z229" s="152" t="n">
        <v>22.61</v>
      </c>
      <c r="AA229" s="152" t="inlineStr">
        <is>
          <t>2026-02-26</t>
        </is>
      </c>
      <c r="AB229" s="152" t="n">
        <v>22.61</v>
      </c>
      <c r="AC229" s="152" t="n">
        <v>0</v>
      </c>
      <c r="AD229" s="152" t="inlineStr">
        <is>
          <t>FLAT</t>
        </is>
      </c>
      <c r="AE229" s="152" t="inlineStr">
        <is>
          <t>NO</t>
        </is>
      </c>
      <c r="AF229" s="152" t="n">
        <v>-0.001</v>
      </c>
      <c r="AG229" s="152">
        <f>IF($A229="","",IFERROR(INDEX(Company_List!$G$3:$G$207,MATCH($A229,Company_List!$A$3:$A$207,0)),"unassigned"))</f>
        <v/>
      </c>
      <c r="AH229" s="152" t="inlineStr">
        <is>
          <t>Phase 3/Readings/Puma/puma-q4-fy-2025-transcript_website.pdf</t>
        </is>
      </c>
      <c r="AI229" s="152" t="n"/>
      <c r="AJ229" s="152" t="inlineStr">
        <is>
          <t>unique filename match</t>
        </is>
      </c>
      <c r="AK229" s="152">
        <f>IF($A229="","",IF(COUNTIFS(Human_Data_Entry!$A$3:$A$525,$A229)&gt;0,"YES","NO"))</f>
        <v/>
      </c>
      <c r="AL229" s="152">
        <f>IF($A229="","",IF(AND($C229&amp;"-"&amp;$D229&gt;=Settings!$B$19,$C229&amp;"-"&amp;$D229&lt;=Settings!$B$20),"IN","OUT"))</f>
        <v/>
      </c>
      <c r="AM229" s="152">
        <f>IF(AND(OR($H229="BUY",$H229="SELL"),ISNUMBER($T229)),$T229,"")</f>
        <v/>
      </c>
      <c r="AN229" s="152">
        <f>IF(AND(OR($H229="BUY",$H229="SELL"),ISNUMBER($AF229)),$AF229,"")</f>
        <v/>
      </c>
      <c r="AO229" s="152">
        <f>IF(ISNUMBER($AM229),ABS(IF(ISNUMBER($G229),$G229,0)-Settings!$B$25),"")</f>
        <v/>
      </c>
      <c r="AP229" s="152">
        <f>IF(ISNUMBER($AO229),$AO229*$AM229,"")</f>
        <v/>
      </c>
      <c r="AQ229" s="152">
        <f>IF(ISNUMBER($AN229),ABS(IF(ISNUMBER($G229),$G229,0)-Settings!$B$25),"")</f>
        <v/>
      </c>
      <c r="AR229" s="152">
        <f>IF(ISNUMBER($AQ229),$AQ229*$AN229,"")</f>
        <v/>
      </c>
      <c r="AS229" s="152">
        <f>IF($A229="","",IFERROR(INDEX(Company_List!$H$3:$H$207,MATCH($A229,Company_List!$A$3:$A$207,0)),"unassigned"))</f>
        <v/>
      </c>
      <c r="AT229" s="152" t="inlineStr">
        <is>
          <t>not in v1</t>
        </is>
      </c>
      <c r="AU229" s="152" t="inlineStr">
        <is>
          <t>no earlier record</t>
        </is>
      </c>
      <c r="AV229" s="152" t="n">
        <v>1</v>
      </c>
      <c r="AW229" s="152" t="inlineStr">
        <is>
          <t>not publisher-identified</t>
        </is>
      </c>
      <c r="AX229" s="152" t="inlineStr">
        <is>
          <t>not publisher-identified</t>
        </is>
      </c>
      <c r="AY229" s="152" t="inlineStr">
        <is>
          <t>no</t>
        </is>
      </c>
      <c r="AZ229" s="152" t="inlineStr">
        <is>
          <t>no</t>
        </is>
      </c>
      <c r="BA229" s="152" t="inlineStr">
        <is>
          <t>YES</t>
        </is>
      </c>
      <c r="BB229" s="152" t="n"/>
    </row>
    <row r="230" ht="15" customHeight="1" s="241">
      <c r="A230" s="191" t="inlineStr">
        <is>
          <t>Robinhood Markets</t>
        </is>
      </c>
      <c r="B230" s="188" t="inlineStr">
        <is>
          <t>HOOD</t>
        </is>
      </c>
      <c r="C230" s="176" t="n">
        <v>2025</v>
      </c>
      <c r="D230" s="177" t="inlineStr">
        <is>
          <t>Q1</t>
        </is>
      </c>
      <c r="E230" s="178" t="inlineStr">
        <is>
          <t>Ben/DeepSeek</t>
        </is>
      </c>
      <c r="F230" s="177" t="inlineStr">
        <is>
          <t>LLM</t>
        </is>
      </c>
      <c r="G230" s="196" t="n">
        <v>0.22</v>
      </c>
      <c r="H230" s="177" t="inlineStr">
        <is>
          <t>BUY</t>
        </is>
      </c>
      <c r="I230" s="196" t="n"/>
      <c r="J230" s="182" t="n">
        <v>45777</v>
      </c>
      <c r="K230" s="182" t="n">
        <v>45777</v>
      </c>
      <c r="L230" s="183" t="n">
        <v>49.11</v>
      </c>
      <c r="M230" s="182" t="n">
        <v>45778</v>
      </c>
      <c r="N230" s="183" t="n">
        <v>51.12</v>
      </c>
      <c r="O230" s="180" t="n">
        <v>0.013967</v>
      </c>
      <c r="P230" s="197" t="n">
        <v>0.04103</v>
      </c>
      <c r="Q230" s="177" t="inlineStr">
        <is>
          <t>UP</t>
        </is>
      </c>
      <c r="R230" s="177" t="inlineStr">
        <is>
          <t>YES</t>
        </is>
      </c>
      <c r="S230" s="176" t="n">
        <v>1</v>
      </c>
      <c r="T230" s="197" t="n">
        <v>0.04003</v>
      </c>
      <c r="U230" s="185" t="inlineStr">
        <is>
          <t>w=[0.80,0.20,0,0] thr=(+0.20,-0.10), deployed default promoted 2026-08-18 (PSR=0.964, permutation p=0.0002 at N=233, restricted search - see blend.py)</t>
        </is>
      </c>
      <c r="V230" s="152" t="inlineStr">
        <is>
          <t>FROZEN</t>
        </is>
      </c>
      <c r="W230" s="152" t="inlineStr">
        <is>
          <t>release time published by the issuer (section C)</t>
        </is>
      </c>
      <c r="X230" s="152" t="inlineStr">
        <is>
          <t>HOOD</t>
        </is>
      </c>
      <c r="Y230" s="152" t="inlineStr">
        <is>
          <t>2025-04-30</t>
        </is>
      </c>
      <c r="Z230" s="152" t="n">
        <v>49.11</v>
      </c>
      <c r="AA230" s="152" t="inlineStr">
        <is>
          <t>2025-05-01</t>
        </is>
      </c>
      <c r="AB230" s="152" t="n">
        <v>51.125</v>
      </c>
      <c r="AC230" s="152" t="n">
        <v>0.04103031885501306</v>
      </c>
      <c r="AD230" s="152" t="inlineStr">
        <is>
          <t>UP</t>
        </is>
      </c>
      <c r="AE230" s="152" t="inlineStr">
        <is>
          <t>NO</t>
        </is>
      </c>
      <c r="AF230" s="152" t="n">
        <v>0</v>
      </c>
      <c r="AG230" s="152">
        <f>IF($A230="","",IFERROR(INDEX(Company_List!$G$3:$G$207,MATCH($A230,Company_List!$A$3:$A$207,0)),"unassigned"))</f>
        <v/>
      </c>
      <c r="AH230" s="152" t="inlineStr">
        <is>
          <t>Phase 3/Readings/Robinhood/Robinhood Markets, Inc. Q1 2025 Earnings Transcript.pdf; Phase 3/Readings/Robinhood/Q1 2025 Robinhood Exhibit 99.1.pdf</t>
        </is>
      </c>
      <c r="AI230" s="152" t="n"/>
      <c r="AJ230" s="152" t="inlineStr">
        <is>
          <t>whole bundle (Document = All)</t>
        </is>
      </c>
      <c r="AK230" s="152">
        <f>IF($A230="","",IF(COUNTIFS(Human_Data_Entry!$A$3:$A$525,$A230)&gt;0,"YES","NO"))</f>
        <v/>
      </c>
      <c r="AL230" s="152">
        <f>IF($A230="","",IF(AND($C230&amp;"-"&amp;$D230&gt;=Settings!$B$19,$C230&amp;"-"&amp;$D230&lt;=Settings!$B$20),"IN","OUT"))</f>
        <v/>
      </c>
      <c r="AM230" s="152">
        <f>IF(AND(OR($H230="BUY",$H230="SELL"),ISNUMBER($T230)),$T230,"")</f>
        <v/>
      </c>
      <c r="AN230" s="152">
        <f>IF(AND(OR($H230="BUY",$H230="SELL"),ISNUMBER($AF230)),$AF230,"")</f>
        <v/>
      </c>
      <c r="AO230" s="152">
        <f>IF(ISNUMBER($AM230),ABS(IF(ISNUMBER($G230),$G230,0)-Settings!$B$25),"")</f>
        <v/>
      </c>
      <c r="AP230" s="152">
        <f>IF(ISNUMBER($AO230),$AO230*$AM230,"")</f>
        <v/>
      </c>
      <c r="AQ230" s="152">
        <f>IF(ISNUMBER($AN230),ABS(IF(ISNUMBER($G230),$G230,0)-Settings!$B$25),"")</f>
        <v/>
      </c>
      <c r="AR230" s="152">
        <f>IF(ISNUMBER($AQ230),$AQ230*$AN230,"")</f>
        <v/>
      </c>
      <c r="AS230" s="152">
        <f>IF($A230="","",IFERROR(INDEX(Company_List!$H$3:$H$207,MATCH($A230,Company_List!$A$3:$A$207,0)),"unassigned"))</f>
        <v/>
      </c>
      <c r="AT230" s="152" t="inlineStr">
        <is>
          <t>not in v1</t>
        </is>
      </c>
      <c r="AU230" s="152" t="inlineStr">
        <is>
          <t>no earlier record</t>
        </is>
      </c>
      <c r="AV230" s="152" t="n">
        <v>2</v>
      </c>
      <c r="AW230" s="152" t="inlineStr">
        <is>
          <t>not publisher-identified</t>
        </is>
      </c>
      <c r="AX230" s="152" t="inlineStr">
        <is>
          <t>not publisher-identified</t>
        </is>
      </c>
      <c r="AY230" s="152" t="inlineStr">
        <is>
          <t>no</t>
        </is>
      </c>
      <c r="AZ230" s="152" t="inlineStr">
        <is>
          <t>no</t>
        </is>
      </c>
      <c r="BA230" s="152" t="inlineStr">
        <is>
          <t>YES</t>
        </is>
      </c>
      <c r="BB230" s="152" t="n"/>
    </row>
    <row r="231" ht="15" customHeight="1" s="241">
      <c r="A231" s="191" t="inlineStr">
        <is>
          <t>Robinhood Markets</t>
        </is>
      </c>
      <c r="B231" s="188" t="inlineStr">
        <is>
          <t>HOOD</t>
        </is>
      </c>
      <c r="C231" s="176" t="n">
        <v>2026</v>
      </c>
      <c r="D231" s="177" t="inlineStr">
        <is>
          <t>Q1</t>
        </is>
      </c>
      <c r="E231" s="178" t="inlineStr">
        <is>
          <t>Ben/DeepSeek</t>
        </is>
      </c>
      <c r="F231" s="177" t="inlineStr">
        <is>
          <t>LLM</t>
        </is>
      </c>
      <c r="G231" s="196" t="n">
        <v>0.14</v>
      </c>
      <c r="H231" s="177" t="inlineStr">
        <is>
          <t>HOLD</t>
        </is>
      </c>
      <c r="I231" s="196" t="n"/>
      <c r="J231" s="182" t="n">
        <v>46140</v>
      </c>
      <c r="K231" s="182" t="n">
        <v>46140</v>
      </c>
      <c r="L231" s="183" t="n">
        <v>82.06999999999999</v>
      </c>
      <c r="M231" s="182" t="n">
        <v>46141</v>
      </c>
      <c r="N231" s="183" t="n">
        <v>72.3</v>
      </c>
      <c r="O231" s="180" t="n">
        <v>0.0069</v>
      </c>
      <c r="P231" s="197" t="n">
        <v>-0.119045</v>
      </c>
      <c r="Q231" s="177" t="inlineStr">
        <is>
          <t>DOWN</t>
        </is>
      </c>
      <c r="R231" s="177" t="inlineStr">
        <is>
          <t>NO</t>
        </is>
      </c>
      <c r="S231" s="176" t="n">
        <v>0</v>
      </c>
      <c r="T231" s="197" t="n">
        <v>0</v>
      </c>
      <c r="U231" s="185" t="inlineStr">
        <is>
          <t>w=[0.80,0.20,0,0] thr=(+0.20,-0.10), deployed default promoted 2026-08-18 (PSR=0.964, permutation p=0.0002 at N=233, restricted search - see blend.py)</t>
        </is>
      </c>
      <c r="V231" s="152" t="inlineStr">
        <is>
          <t>FROZEN</t>
        </is>
      </c>
      <c r="W231" s="152" t="inlineStr">
        <is>
          <t>price signal — both moved; this one dominates</t>
        </is>
      </c>
      <c r="X231" s="152" t="inlineStr">
        <is>
          <t>HOOD</t>
        </is>
      </c>
      <c r="Y231" s="152" t="inlineStr">
        <is>
          <t>2026-04-28</t>
        </is>
      </c>
      <c r="Z231" s="152" t="n">
        <v>82.06999999999999</v>
      </c>
      <c r="AA231" s="152" t="inlineStr">
        <is>
          <t>2026-04-29</t>
        </is>
      </c>
      <c r="AB231" s="152" t="n">
        <v>72.3</v>
      </c>
      <c r="AC231" s="152" t="n">
        <v>-0.1190446813695624</v>
      </c>
      <c r="AD231" s="152" t="inlineStr">
        <is>
          <t>DOWN</t>
        </is>
      </c>
      <c r="AE231" s="152" t="inlineStr">
        <is>
          <t>NO</t>
        </is>
      </c>
      <c r="AF231" s="152" t="n">
        <v>0</v>
      </c>
      <c r="AG231" s="152">
        <f>IF($A231="","",IFERROR(INDEX(Company_List!$G$3:$G$207,MATCH($A231,Company_List!$A$3:$A$207,0)),"unassigned"))</f>
        <v/>
      </c>
      <c r="AH231" s="152" t="inlineStr">
        <is>
          <t>Phase 3/Readings/Robinhood/Robinhood Markets, Inc. Q1 2026 Earnings Call Transcript.pdf; Phase 3/Readings/Robinhood/Q1 2026 Earnings Presentation.pdf</t>
        </is>
      </c>
      <c r="AI231" s="152" t="n"/>
      <c r="AJ231" s="152" t="inlineStr">
        <is>
          <t>whole bundle (Document = All)</t>
        </is>
      </c>
      <c r="AK231" s="152">
        <f>IF($A231="","",IF(COUNTIFS(Human_Data_Entry!$A$3:$A$525,$A231)&gt;0,"YES","NO"))</f>
        <v/>
      </c>
      <c r="AL231" s="152">
        <f>IF($A231="","",IF(AND($C231&amp;"-"&amp;$D231&gt;=Settings!$B$19,$C231&amp;"-"&amp;$D231&lt;=Settings!$B$20),"IN","OUT"))</f>
        <v/>
      </c>
      <c r="AM231" s="152">
        <f>IF(AND(OR($H231="BUY",$H231="SELL"),ISNUMBER($T231)),$T231,"")</f>
        <v/>
      </c>
      <c r="AN231" s="152">
        <f>IF(AND(OR($H231="BUY",$H231="SELL"),ISNUMBER($AF231)),$AF231,"")</f>
        <v/>
      </c>
      <c r="AO231" s="152">
        <f>IF(ISNUMBER($AM231),ABS(IF(ISNUMBER($G231),$G231,0)-Settings!$B$25),"")</f>
        <v/>
      </c>
      <c r="AP231" s="152">
        <f>IF(ISNUMBER($AO231),$AO231*$AM231,"")</f>
        <v/>
      </c>
      <c r="AQ231" s="152">
        <f>IF(ISNUMBER($AN231),ABS(IF(ISNUMBER($G231),$G231,0)-Settings!$B$25),"")</f>
        <v/>
      </c>
      <c r="AR231" s="152">
        <f>IF(ISNUMBER($AQ231),$AQ231*$AN231,"")</f>
        <v/>
      </c>
      <c r="AS231" s="152">
        <f>IF($A231="","",IFERROR(INDEX(Company_List!$H$3:$H$207,MATCH($A231,Company_List!$A$3:$A$207,0)),"unassigned"))</f>
        <v/>
      </c>
      <c r="AT231" s="152" t="inlineStr">
        <is>
          <t>not in v1</t>
        </is>
      </c>
      <c r="AU231" s="152" t="inlineStr">
        <is>
          <t>no earlier record</t>
        </is>
      </c>
      <c r="AV231" s="152" t="n">
        <v>2</v>
      </c>
      <c r="AW231" s="152" t="inlineStr">
        <is>
          <t>not publisher-identified</t>
        </is>
      </c>
      <c r="AX231" s="152" t="inlineStr">
        <is>
          <t>not publisher-identified</t>
        </is>
      </c>
      <c r="AY231" s="152" t="inlineStr">
        <is>
          <t>no</t>
        </is>
      </c>
      <c r="AZ231" s="152" t="inlineStr">
        <is>
          <t>no</t>
        </is>
      </c>
      <c r="BA231" s="152" t="inlineStr">
        <is>
          <t>YES</t>
        </is>
      </c>
      <c r="BB231" s="152" t="n"/>
    </row>
    <row r="232" ht="15" customHeight="1" s="241">
      <c r="A232" s="191" t="inlineStr">
        <is>
          <t>Robinhood Markets</t>
        </is>
      </c>
      <c r="B232" s="188" t="inlineStr">
        <is>
          <t>HOOD</t>
        </is>
      </c>
      <c r="C232" s="176" t="n">
        <v>2025</v>
      </c>
      <c r="D232" s="177" t="inlineStr">
        <is>
          <t>Q2</t>
        </is>
      </c>
      <c r="E232" s="178" t="inlineStr">
        <is>
          <t>Ben/DeepSeek</t>
        </is>
      </c>
      <c r="F232" s="177" t="inlineStr">
        <is>
          <t>LLM</t>
        </is>
      </c>
      <c r="G232" s="196" t="n">
        <v>0.26</v>
      </c>
      <c r="H232" s="177" t="inlineStr">
        <is>
          <t>BUY</t>
        </is>
      </c>
      <c r="I232" s="196" t="n"/>
      <c r="J232" s="182" t="n">
        <v>45868</v>
      </c>
      <c r="K232" s="182" t="n">
        <v>45868</v>
      </c>
      <c r="L232" s="183" t="n">
        <v>106.1</v>
      </c>
      <c r="M232" s="182" t="n">
        <v>45869</v>
      </c>
      <c r="N232" s="183" t="n">
        <v>103.87</v>
      </c>
      <c r="O232" s="180" t="n">
        <v>0.014585</v>
      </c>
      <c r="P232" s="197" t="n">
        <v>-0.021065</v>
      </c>
      <c r="Q232" s="177" t="inlineStr">
        <is>
          <t>DOWN</t>
        </is>
      </c>
      <c r="R232" s="177" t="inlineStr">
        <is>
          <t>NO</t>
        </is>
      </c>
      <c r="S232" s="176" t="n">
        <v>1</v>
      </c>
      <c r="T232" s="197" t="n">
        <v>-0.022065</v>
      </c>
      <c r="U232" s="185" t="inlineStr">
        <is>
          <t>w=[0.80,0.20,0,0] thr=(+0.20,-0.10), deployed default promoted 2026-08-18 (PSR=0.964, permutation p=0.0002 at N=233, restricted search - see blend.py)</t>
        </is>
      </c>
      <c r="V232" s="152" t="inlineStr">
        <is>
          <t>FROZEN</t>
        </is>
      </c>
      <c r="W232" s="152" t="inlineStr">
        <is>
          <t>price signal — only this window shows an abnormal move</t>
        </is>
      </c>
      <c r="X232" s="152" t="inlineStr">
        <is>
          <t>HOOD</t>
        </is>
      </c>
      <c r="Y232" s="152" t="inlineStr">
        <is>
          <t>2025-07-30</t>
        </is>
      </c>
      <c r="Z232" s="152" t="n">
        <v>106.1</v>
      </c>
      <c r="AA232" s="152" t="inlineStr">
        <is>
          <t>2025-07-31</t>
        </is>
      </c>
      <c r="AB232" s="152" t="n">
        <v>103.865</v>
      </c>
      <c r="AC232" s="152" t="n">
        <v>-0.02106503338482626</v>
      </c>
      <c r="AD232" s="152" t="inlineStr">
        <is>
          <t>DOWN</t>
        </is>
      </c>
      <c r="AE232" s="152" t="inlineStr">
        <is>
          <t>NO</t>
        </is>
      </c>
      <c r="AF232" s="152" t="n">
        <v>0</v>
      </c>
      <c r="AG232" s="152">
        <f>IF($A232="","",IFERROR(INDEX(Company_List!$G$3:$G$207,MATCH($A232,Company_List!$A$3:$A$207,0)),"unassigned"))</f>
        <v/>
      </c>
      <c r="AH232" s="152" t="inlineStr">
        <is>
          <t>Phase 3/Readings/Robinhood/Robinhood Markets, Inc. Q2 2025 Earnings Call Transcript.pdf</t>
        </is>
      </c>
      <c r="AI232" s="152" t="n"/>
      <c r="AJ232" s="152" t="inlineStr">
        <is>
          <t>unique filename match</t>
        </is>
      </c>
      <c r="AK232" s="152">
        <f>IF($A232="","",IF(COUNTIFS(Human_Data_Entry!$A$3:$A$525,$A232)&gt;0,"YES","NO"))</f>
        <v/>
      </c>
      <c r="AL232" s="152">
        <f>IF($A232="","",IF(AND($C232&amp;"-"&amp;$D232&gt;=Settings!$B$19,$C232&amp;"-"&amp;$D232&lt;=Settings!$B$20),"IN","OUT"))</f>
        <v/>
      </c>
      <c r="AM232" s="152">
        <f>IF(AND(OR($H232="BUY",$H232="SELL"),ISNUMBER($T232)),$T232,"")</f>
        <v/>
      </c>
      <c r="AN232" s="152">
        <f>IF(AND(OR($H232="BUY",$H232="SELL"),ISNUMBER($AF232)),$AF232,"")</f>
        <v/>
      </c>
      <c r="AO232" s="152">
        <f>IF(ISNUMBER($AM232),ABS(IF(ISNUMBER($G232),$G232,0)-Settings!$B$25),"")</f>
        <v/>
      </c>
      <c r="AP232" s="152">
        <f>IF(ISNUMBER($AO232),$AO232*$AM232,"")</f>
        <v/>
      </c>
      <c r="AQ232" s="152">
        <f>IF(ISNUMBER($AN232),ABS(IF(ISNUMBER($G232),$G232,0)-Settings!$B$25),"")</f>
        <v/>
      </c>
      <c r="AR232" s="152">
        <f>IF(ISNUMBER($AQ232),$AQ232*$AN232,"")</f>
        <v/>
      </c>
      <c r="AS232" s="152">
        <f>IF($A232="","",IFERROR(INDEX(Company_List!$H$3:$H$207,MATCH($A232,Company_List!$A$3:$A$207,0)),"unassigned"))</f>
        <v/>
      </c>
      <c r="AT232" s="152" t="inlineStr">
        <is>
          <t>not in v1</t>
        </is>
      </c>
      <c r="AU232" s="152" t="inlineStr">
        <is>
          <t>no earlier record</t>
        </is>
      </c>
      <c r="AV232" s="152" t="n">
        <v>1</v>
      </c>
      <c r="AW232" s="152" t="inlineStr">
        <is>
          <t>not publisher-identified</t>
        </is>
      </c>
      <c r="AX232" s="152" t="inlineStr">
        <is>
          <t>not publisher-identified</t>
        </is>
      </c>
      <c r="AY232" s="152" t="inlineStr">
        <is>
          <t>no</t>
        </is>
      </c>
      <c r="AZ232" s="152" t="inlineStr">
        <is>
          <t>no</t>
        </is>
      </c>
      <c r="BA232" s="152" t="inlineStr">
        <is>
          <t>YES</t>
        </is>
      </c>
      <c r="BB232" s="152" t="n"/>
    </row>
    <row r="233" ht="15" customHeight="1" s="241">
      <c r="A233" s="191" t="inlineStr">
        <is>
          <t>Robinhood Markets</t>
        </is>
      </c>
      <c r="B233" s="188" t="inlineStr">
        <is>
          <t>HOOD</t>
        </is>
      </c>
      <c r="C233" s="176" t="n">
        <v>2025</v>
      </c>
      <c r="D233" s="177" t="inlineStr">
        <is>
          <t>Q3</t>
        </is>
      </c>
      <c r="E233" s="178" t="inlineStr">
        <is>
          <t>Ben/DeepSeek</t>
        </is>
      </c>
      <c r="F233" s="177" t="inlineStr">
        <is>
          <t>LLM</t>
        </is>
      </c>
      <c r="G233" s="196" t="n">
        <v>0.5</v>
      </c>
      <c r="H233" s="177" t="inlineStr">
        <is>
          <t>BUY</t>
        </is>
      </c>
      <c r="I233" s="196" t="n"/>
      <c r="J233" s="182" t="n">
        <v>45966</v>
      </c>
      <c r="K233" s="182" t="n">
        <v>45966</v>
      </c>
      <c r="L233" s="183" t="n">
        <v>142.48</v>
      </c>
      <c r="M233" s="182" t="n">
        <v>45967</v>
      </c>
      <c r="N233" s="183" t="n">
        <v>140</v>
      </c>
      <c r="O233" s="180" t="n">
        <v>0.015666</v>
      </c>
      <c r="P233" s="197" t="n">
        <v>-0.017406</v>
      </c>
      <c r="Q233" s="177" t="inlineStr">
        <is>
          <t>FLAT</t>
        </is>
      </c>
      <c r="R233" s="177" t="inlineStr">
        <is>
          <t>NO</t>
        </is>
      </c>
      <c r="S233" s="176" t="n">
        <v>1</v>
      </c>
      <c r="T233" s="197" t="n">
        <v>-0.018406</v>
      </c>
      <c r="U233" s="185" t="inlineStr">
        <is>
          <t>w=[0.80,0.20,0,0] thr=(+0.20,-0.10), deployed default promoted 2026-08-18 (PSR=0.964, permutation p=0.0002 at N=233, restricted search - see blend.py)</t>
        </is>
      </c>
      <c r="V233" s="152" t="inlineStr">
        <is>
          <t>FROZEN</t>
        </is>
      </c>
      <c r="W233" s="152" t="inlineStr">
        <is>
          <t>price signal</t>
        </is>
      </c>
      <c r="X233" s="152" t="inlineStr">
        <is>
          <t>HOOD</t>
        </is>
      </c>
      <c r="Y233" s="152" t="inlineStr">
        <is>
          <t>2025-11-04</t>
        </is>
      </c>
      <c r="Z233" s="152" t="n">
        <v>136.8</v>
      </c>
      <c r="AA233" s="152" t="inlineStr">
        <is>
          <t>2025-11-05</t>
        </is>
      </c>
      <c r="AB233" s="152" t="n">
        <v>139.635</v>
      </c>
      <c r="AC233" s="152" t="n">
        <v>0.02072362527652868</v>
      </c>
      <c r="AD233" s="152" t="inlineStr">
        <is>
          <t>UP</t>
        </is>
      </c>
      <c r="AE233" s="152" t="inlineStr">
        <is>
          <t>YES</t>
        </is>
      </c>
      <c r="AF233" s="152" t="n">
        <v>0.019724</v>
      </c>
      <c r="AG233" s="152">
        <f>IF($A233="","",IFERROR(INDEX(Company_List!$G$3:$G$207,MATCH($A233,Company_List!$A$3:$A$207,0)),"unassigned"))</f>
        <v/>
      </c>
      <c r="AH233" s="152" t="inlineStr">
        <is>
          <t>Phase 3/Readings/Robinhood/Robinhood Markets, Inc. Q3 2025 Earnings Call Transcript.pdf</t>
        </is>
      </c>
      <c r="AI233" s="152" t="n"/>
      <c r="AJ233" s="152" t="inlineStr">
        <is>
          <t>unique filename match</t>
        </is>
      </c>
      <c r="AK233" s="152">
        <f>IF($A233="","",IF(COUNTIFS(Human_Data_Entry!$A$3:$A$525,$A233)&gt;0,"YES","NO"))</f>
        <v/>
      </c>
      <c r="AL233" s="152">
        <f>IF($A233="","",IF(AND($C233&amp;"-"&amp;$D233&gt;=Settings!$B$19,$C233&amp;"-"&amp;$D233&lt;=Settings!$B$20),"IN","OUT"))</f>
        <v/>
      </c>
      <c r="AM233" s="152">
        <f>IF(AND(OR($H233="BUY",$H233="SELL"),ISNUMBER($T233)),$T233,"")</f>
        <v/>
      </c>
      <c r="AN233" s="152">
        <f>IF(AND(OR($H233="BUY",$H233="SELL"),ISNUMBER($AF233)),$AF233,"")</f>
        <v/>
      </c>
      <c r="AO233" s="152">
        <f>IF(ISNUMBER($AM233),ABS(IF(ISNUMBER($G233),$G233,0)-Settings!$B$25),"")</f>
        <v/>
      </c>
      <c r="AP233" s="152">
        <f>IF(ISNUMBER($AO233),$AO233*$AM233,"")</f>
        <v/>
      </c>
      <c r="AQ233" s="152">
        <f>IF(ISNUMBER($AN233),ABS(IF(ISNUMBER($G233),$G233,0)-Settings!$B$25),"")</f>
        <v/>
      </c>
      <c r="AR233" s="152">
        <f>IF(ISNUMBER($AQ233),$AQ233*$AN233,"")</f>
        <v/>
      </c>
      <c r="AS233" s="152">
        <f>IF($A233="","",IFERROR(INDEX(Company_List!$H$3:$H$207,MATCH($A233,Company_List!$A$3:$A$207,0)),"unassigned"))</f>
        <v/>
      </c>
      <c r="AT233" s="152" t="inlineStr">
        <is>
          <t>not in v1</t>
        </is>
      </c>
      <c r="AU233" s="152" t="inlineStr">
        <is>
          <t>no earlier record</t>
        </is>
      </c>
      <c r="AV233" s="152" t="n">
        <v>1</v>
      </c>
      <c r="AW233" s="152" t="inlineStr">
        <is>
          <t>not publisher-identified</t>
        </is>
      </c>
      <c r="AX233" s="152" t="inlineStr">
        <is>
          <t>not publisher-identified</t>
        </is>
      </c>
      <c r="AY233" s="152" t="inlineStr">
        <is>
          <t>no</t>
        </is>
      </c>
      <c r="AZ233" s="152" t="inlineStr">
        <is>
          <t>no</t>
        </is>
      </c>
      <c r="BA233" s="152" t="inlineStr">
        <is>
          <t>YES</t>
        </is>
      </c>
      <c r="BB233" s="152" t="n"/>
    </row>
    <row r="234" ht="15" customHeight="1" s="241">
      <c r="A234" s="191" t="inlineStr">
        <is>
          <t>Salesforce</t>
        </is>
      </c>
      <c r="B234" s="188" t="inlineStr">
        <is>
          <t>CRM</t>
        </is>
      </c>
      <c r="C234" s="176" t="n">
        <v>2026</v>
      </c>
      <c r="D234" s="177" t="inlineStr">
        <is>
          <t>Q2</t>
        </is>
      </c>
      <c r="E234" s="178" t="inlineStr">
        <is>
          <t>Ben/DeepSeek</t>
        </is>
      </c>
      <c r="F234" s="177" t="inlineStr">
        <is>
          <t>LLM</t>
        </is>
      </c>
      <c r="G234" s="196" t="n">
        <v>0.44</v>
      </c>
      <c r="H234" s="177" t="inlineStr">
        <is>
          <t>BUY</t>
        </is>
      </c>
      <c r="I234" s="196" t="n"/>
      <c r="J234" s="182" t="n">
        <v>45903</v>
      </c>
      <c r="K234" s="182" t="n">
        <v>45903</v>
      </c>
      <c r="L234" s="183" t="n">
        <v>256.45</v>
      </c>
      <c r="M234" s="182" t="n">
        <v>45904</v>
      </c>
      <c r="N234" s="183" t="n">
        <v>240.06</v>
      </c>
      <c r="O234" s="180" t="n">
        <v>0.011748</v>
      </c>
      <c r="P234" s="197" t="n">
        <v>-0.063911</v>
      </c>
      <c r="Q234" s="177" t="inlineStr">
        <is>
          <t>DOWN</t>
        </is>
      </c>
      <c r="R234" s="177" t="inlineStr">
        <is>
          <t>NO</t>
        </is>
      </c>
      <c r="S234" s="176" t="n">
        <v>1</v>
      </c>
      <c r="T234" s="197" t="n">
        <v>-0.064911</v>
      </c>
      <c r="U234" s="185" t="inlineStr">
        <is>
          <t>w=[0.80,0.20,0,0] thr=(+0.20,-0.10), deployed default promoted 2026-08-18 (PSR=0.964, permutation p=0.0002 at N=233, restricted search - see blend.py)</t>
        </is>
      </c>
      <c r="V234" s="152" t="inlineStr">
        <is>
          <t>FROZEN</t>
        </is>
      </c>
      <c r="W234" s="152" t="inlineStr">
        <is>
          <t>release date + stated time in the document (rater worksheet)</t>
        </is>
      </c>
      <c r="X234" s="152" t="inlineStr">
        <is>
          <t>CRM</t>
        </is>
      </c>
      <c r="Y234" s="152" t="inlineStr">
        <is>
          <t>2025-09-03</t>
        </is>
      </c>
      <c r="Z234" s="152" t="n">
        <v>254.2977</v>
      </c>
      <c r="AA234" s="152" t="inlineStr">
        <is>
          <t>2025-09-04</t>
        </is>
      </c>
      <c r="AB234" s="152" t="n">
        <v>238.0452</v>
      </c>
      <c r="AC234" s="152" t="n">
        <v>-0.06391111172369553</v>
      </c>
      <c r="AD234" s="152" t="inlineStr">
        <is>
          <t>DOWN</t>
        </is>
      </c>
      <c r="AE234" s="152" t="inlineStr">
        <is>
          <t>NO</t>
        </is>
      </c>
      <c r="AF234" s="152" t="n">
        <v>-0.064911</v>
      </c>
      <c r="AG234" s="152">
        <f>IF($A234="","",IFERROR(INDEX(Company_List!$G$3:$G$207,MATCH($A234,Company_List!$A$3:$A$207,0)),"unassigned"))</f>
        <v/>
      </c>
      <c r="AH234" s="152" t="inlineStr">
        <is>
          <t>Phase 2/SalesForce/2026-Q2/CRM-2026-Q2-quarterly-financial-statements-SEC-10-Q.htm; Phase 2/SalesForce/2026-Q2/CRM-2026-Q2-press-release-SEC-EX-99-1.htm</t>
        </is>
      </c>
      <c r="AI234" s="152" t="inlineStr">
        <is>
          <t>https://www.sec.gov/Archives/edgar/data/1108524/000110852425000083/crm-q2fy26xexhibit991.htm; https://www.sec.gov/Archives/edgar/data/1108524/000110852425000088/crm-20250731.htm</t>
        </is>
      </c>
      <c r="AJ234" s="152" t="inlineStr">
        <is>
          <t>manifest (whole bundle)</t>
        </is>
      </c>
      <c r="AK234" s="152">
        <f>IF($A234="","",IF(COUNTIFS(Human_Data_Entry!$A$3:$A$525,$A234)&gt;0,"YES","NO"))</f>
        <v/>
      </c>
      <c r="AL234" s="152">
        <f>IF($A234="","",IF(AND($C234&amp;"-"&amp;$D234&gt;=Settings!$B$19,$C234&amp;"-"&amp;$D234&lt;=Settings!$B$20),"IN","OUT"))</f>
        <v/>
      </c>
      <c r="AM234" s="152">
        <f>IF(AND(OR($H234="BUY",$H234="SELL"),ISNUMBER($T234)),$T234,"")</f>
        <v/>
      </c>
      <c r="AN234" s="152">
        <f>IF(AND(OR($H234="BUY",$H234="SELL"),ISNUMBER($AF234)),$AF234,"")</f>
        <v/>
      </c>
      <c r="AO234" s="152">
        <f>IF(ISNUMBER($AM234),ABS(IF(ISNUMBER($G234),$G234,0)-Settings!$B$25),"")</f>
        <v/>
      </c>
      <c r="AP234" s="152">
        <f>IF(ISNUMBER($AO234),$AO234*$AM234,"")</f>
        <v/>
      </c>
      <c r="AQ234" s="152">
        <f>IF(ISNUMBER($AN234),ABS(IF(ISNUMBER($G234),$G234,0)-Settings!$B$25),"")</f>
        <v/>
      </c>
      <c r="AR234" s="152">
        <f>IF(ISNUMBER($AQ234),$AQ234*$AN234,"")</f>
        <v/>
      </c>
      <c r="AS234" s="152">
        <f>IF($A234="","",IFERROR(INDEX(Company_List!$H$3:$H$207,MATCH($A234,Company_List!$A$3:$A$207,0)),"unassigned"))</f>
        <v/>
      </c>
      <c r="AT234" s="152" t="inlineStr">
        <is>
          <t>not in v1</t>
        </is>
      </c>
      <c r="AU234" s="152" t="inlineStr">
        <is>
          <t>no earlier record</t>
        </is>
      </c>
      <c r="AV234" s="152" t="n">
        <v>2</v>
      </c>
      <c r="AW234" s="152" t="inlineStr">
        <is>
          <t>not publisher-identified</t>
        </is>
      </c>
      <c r="AX234" s="152" t="inlineStr">
        <is>
          <t>not publisher-identified</t>
        </is>
      </c>
      <c r="AY234" s="152" t="inlineStr">
        <is>
          <t>one of several</t>
        </is>
      </c>
      <c r="AZ234" s="152" t="inlineStr">
        <is>
          <t>yes</t>
        </is>
      </c>
      <c r="BA234" s="152" t="inlineStr">
        <is>
          <t>YES</t>
        </is>
      </c>
      <c r="BB234" s="152" t="n"/>
    </row>
    <row r="235" ht="15" customHeight="1" s="241">
      <c r="A235" s="191" t="inlineStr">
        <is>
          <t>Salesforce</t>
        </is>
      </c>
      <c r="B235" s="188" t="inlineStr">
        <is>
          <t>CRM</t>
        </is>
      </c>
      <c r="C235" s="176" t="n">
        <v>2026</v>
      </c>
      <c r="D235" s="177" t="inlineStr">
        <is>
          <t>Q3</t>
        </is>
      </c>
      <c r="E235" s="178" t="inlineStr">
        <is>
          <t>Ben/DeepSeek</t>
        </is>
      </c>
      <c r="F235" s="177" t="inlineStr">
        <is>
          <t>LLM</t>
        </is>
      </c>
      <c r="G235" s="196" t="n">
        <v>0.46</v>
      </c>
      <c r="H235" s="177" t="inlineStr">
        <is>
          <t>BUY</t>
        </is>
      </c>
      <c r="I235" s="196" t="n"/>
      <c r="J235" s="182" t="n">
        <v>45994</v>
      </c>
      <c r="K235" s="182" t="n">
        <v>45994</v>
      </c>
      <c r="L235" s="183" t="n">
        <v>238.72</v>
      </c>
      <c r="M235" s="182" t="n">
        <v>45995</v>
      </c>
      <c r="N235" s="183" t="n">
        <v>243.69</v>
      </c>
      <c r="O235" s="180" t="n">
        <v>0.011457</v>
      </c>
      <c r="P235" s="197" t="n">
        <v>0.020819</v>
      </c>
      <c r="Q235" s="177" t="inlineStr">
        <is>
          <t>UP</t>
        </is>
      </c>
      <c r="R235" s="177" t="inlineStr">
        <is>
          <t>YES</t>
        </is>
      </c>
      <c r="S235" s="176" t="n">
        <v>1</v>
      </c>
      <c r="T235" s="197" t="n">
        <v>0.019819</v>
      </c>
      <c r="U235" s="185" t="inlineStr">
        <is>
          <t>w=[0.80,0.20,0,0] thr=(+0.20,-0.10), deployed default promoted 2026-08-18 (PSR=0.964, permutation p=0.0002 at N=233, restricted search - see blend.py)</t>
        </is>
      </c>
      <c r="V235" s="152" t="inlineStr">
        <is>
          <t>FROZEN</t>
        </is>
      </c>
      <c r="W235" s="152" t="inlineStr">
        <is>
          <t>release date + stated time in the document (rater worksheet)</t>
        </is>
      </c>
      <c r="X235" s="152" t="inlineStr">
        <is>
          <t>CRM</t>
        </is>
      </c>
      <c r="Y235" s="152" t="inlineStr">
        <is>
          <t>2025-12-03</t>
        </is>
      </c>
      <c r="Z235" s="152" t="n">
        <v>237.1287</v>
      </c>
      <c r="AA235" s="152" t="inlineStr">
        <is>
          <t>2025-12-04</t>
        </is>
      </c>
      <c r="AB235" s="152" t="n">
        <v>242.0656</v>
      </c>
      <c r="AC235" s="152" t="n">
        <v>0.02081931966125198</v>
      </c>
      <c r="AD235" s="152" t="inlineStr">
        <is>
          <t>UP</t>
        </is>
      </c>
      <c r="AE235" s="152" t="inlineStr">
        <is>
          <t>YES</t>
        </is>
      </c>
      <c r="AF235" s="152" t="n">
        <v>0.019819</v>
      </c>
      <c r="AG235" s="152">
        <f>IF($A235="","",IFERROR(INDEX(Company_List!$G$3:$G$207,MATCH($A235,Company_List!$A$3:$A$207,0)),"unassigned"))</f>
        <v/>
      </c>
      <c r="AH235" s="152" t="inlineStr">
        <is>
          <t>Phase 2/SalesForce/2026-Q3/CRM-2026-Q3-earnings-call-transcript-salesforce-q4cdn.pdf</t>
        </is>
      </c>
      <c r="AI235" s="152" t="inlineStr">
        <is>
          <t>https://s205.q4cdn.com/626266368/files/doc_financials/2026/q3/Transcript-Salesforce-Inc-Q3-FY26-Earnings-Conference-Call-12-3-25.pdf</t>
        </is>
      </c>
      <c r="AJ235" s="152" t="inlineStr">
        <is>
          <t>manifest</t>
        </is>
      </c>
      <c r="AK235" s="152">
        <f>IF($A235="","",IF(COUNTIFS(Human_Data_Entry!$A$3:$A$525,$A235)&gt;0,"YES","NO"))</f>
        <v/>
      </c>
      <c r="AL235" s="152">
        <f>IF($A235="","",IF(AND($C235&amp;"-"&amp;$D235&gt;=Settings!$B$19,$C235&amp;"-"&amp;$D235&lt;=Settings!$B$20),"IN","OUT"))</f>
        <v/>
      </c>
      <c r="AM235" s="152">
        <f>IF(AND(OR($H235="BUY",$H235="SELL"),ISNUMBER($T235)),$T235,"")</f>
        <v/>
      </c>
      <c r="AN235" s="152">
        <f>IF(AND(OR($H235="BUY",$H235="SELL"),ISNUMBER($AF235)),$AF235,"")</f>
        <v/>
      </c>
      <c r="AO235" s="152">
        <f>IF(ISNUMBER($AM235),ABS(IF(ISNUMBER($G235),$G235,0)-Settings!$B$25),"")</f>
        <v/>
      </c>
      <c r="AP235" s="152">
        <f>IF(ISNUMBER($AO235),$AO235*$AM235,"")</f>
        <v/>
      </c>
      <c r="AQ235" s="152">
        <f>IF(ISNUMBER($AN235),ABS(IF(ISNUMBER($G235),$G235,0)-Settings!$B$25),"")</f>
        <v/>
      </c>
      <c r="AR235" s="152">
        <f>IF(ISNUMBER($AQ235),$AQ235*$AN235,"")</f>
        <v/>
      </c>
      <c r="AS235" s="152">
        <f>IF($A235="","",IFERROR(INDEX(Company_List!$H$3:$H$207,MATCH($A235,Company_List!$A$3:$A$207,0)),"unassigned"))</f>
        <v/>
      </c>
      <c r="AT235" s="152" t="inlineStr">
        <is>
          <t>not in v1</t>
        </is>
      </c>
      <c r="AU235" s="152" t="inlineStr">
        <is>
          <t>no earlier record</t>
        </is>
      </c>
      <c r="AV235" s="152" t="n">
        <v>1</v>
      </c>
      <c r="AW235" s="152" t="inlineStr">
        <is>
          <t>not publisher-identified</t>
        </is>
      </c>
      <c r="AX235" s="152" t="inlineStr">
        <is>
          <t>not publisher-identified</t>
        </is>
      </c>
      <c r="AY235" s="152" t="inlineStr">
        <is>
          <t>no</t>
        </is>
      </c>
      <c r="AZ235" s="152" t="inlineStr">
        <is>
          <t>yes</t>
        </is>
      </c>
      <c r="BA235" s="152" t="inlineStr">
        <is>
          <t>YES</t>
        </is>
      </c>
      <c r="BB235" s="152" t="n"/>
    </row>
    <row r="236" ht="15" customHeight="1" s="241">
      <c r="A236" s="191" t="inlineStr">
        <is>
          <t>Salesforce</t>
        </is>
      </c>
      <c r="B236" s="188" t="inlineStr">
        <is>
          <t>CRM</t>
        </is>
      </c>
      <c r="C236" s="176" t="n">
        <v>2026</v>
      </c>
      <c r="D236" s="177" t="inlineStr">
        <is>
          <t>Q4</t>
        </is>
      </c>
      <c r="E236" s="178" t="inlineStr">
        <is>
          <t>Ben/DeepSeek</t>
        </is>
      </c>
      <c r="F236" s="177" t="inlineStr">
        <is>
          <t>LLM</t>
        </is>
      </c>
      <c r="G236" s="196" t="n">
        <v>0.26</v>
      </c>
      <c r="H236" s="177" t="inlineStr">
        <is>
          <t>BUY</t>
        </is>
      </c>
      <c r="I236" s="196" t="n"/>
      <c r="J236" s="182" t="n">
        <v>46078</v>
      </c>
      <c r="K236" s="182" t="n">
        <v>46078</v>
      </c>
      <c r="L236" s="183" t="n">
        <v>191.75</v>
      </c>
      <c r="M236" s="182" t="n">
        <v>46079</v>
      </c>
      <c r="N236" s="183" t="n">
        <v>196.76</v>
      </c>
      <c r="O236" s="180" t="n">
        <v>0.012282</v>
      </c>
      <c r="P236" s="197" t="n">
        <v>0.026128</v>
      </c>
      <c r="Q236" s="177" t="inlineStr">
        <is>
          <t>UP</t>
        </is>
      </c>
      <c r="R236" s="177" t="inlineStr">
        <is>
          <t>YES</t>
        </is>
      </c>
      <c r="S236" s="176" t="n">
        <v>1</v>
      </c>
      <c r="T236" s="197" t="n">
        <v>0.025128</v>
      </c>
      <c r="U236" s="185" t="inlineStr">
        <is>
          <t>w=[0.80,0.20,0,0] thr=(+0.20,-0.10), deployed default promoted 2026-08-18 (PSR=0.964, permutation p=0.0002 at N=233, restricted search - see blend.py)</t>
        </is>
      </c>
      <c r="V236" s="152" t="inlineStr">
        <is>
          <t>FROZEN</t>
        </is>
      </c>
      <c r="W236" s="152" t="inlineStr">
        <is>
          <t>release date + stated time in the document (rater worksheet)</t>
        </is>
      </c>
      <c r="X236" s="152" t="inlineStr">
        <is>
          <t>CRM</t>
        </is>
      </c>
      <c r="Y236" s="152" t="inlineStr">
        <is>
          <t>2026-02-25</t>
        </is>
      </c>
      <c r="Z236" s="152" t="n">
        <v>190.7792</v>
      </c>
      <c r="AA236" s="152" t="inlineStr">
        <is>
          <t>2026-02-26</t>
        </is>
      </c>
      <c r="AB236" s="152" t="n">
        <v>195.7639</v>
      </c>
      <c r="AC236" s="152" t="n">
        <v>0.02612769636233271</v>
      </c>
      <c r="AD236" s="152" t="inlineStr">
        <is>
          <t>UP</t>
        </is>
      </c>
      <c r="AE236" s="152" t="inlineStr">
        <is>
          <t>NO</t>
        </is>
      </c>
      <c r="AF236" s="152" t="n">
        <v>0</v>
      </c>
      <c r="AG236" s="152">
        <f>IF($A236="","",IFERROR(INDEX(Company_List!$G$3:$G$207,MATCH($A236,Company_List!$A$3:$A$207,0)),"unassigned"))</f>
        <v/>
      </c>
      <c r="AH236" s="152" t="inlineStr">
        <is>
          <t>Phase 2/SalesForce/2026-Q4/CRM-2026-Q4-earnings-call-transcript-news-alphastreet-com.html</t>
        </is>
      </c>
      <c r="AI236" s="152" t="inlineStr">
        <is>
          <t>https://news.alphastreet.com/salesforce-inc-crm-q4-2026-earnings-call-transcript/</t>
        </is>
      </c>
      <c r="AJ236" s="152" t="inlineStr">
        <is>
          <t>manifest</t>
        </is>
      </c>
      <c r="AK236" s="152">
        <f>IF($A236="","",IF(COUNTIFS(Human_Data_Entry!$A$3:$A$525,$A236)&gt;0,"YES","NO"))</f>
        <v/>
      </c>
      <c r="AL236" s="152">
        <f>IF($A236="","",IF(AND($C236&amp;"-"&amp;$D236&gt;=Settings!$B$19,$C236&amp;"-"&amp;$D236&lt;=Settings!$B$20),"IN","OUT"))</f>
        <v/>
      </c>
      <c r="AM236" s="152">
        <f>IF(AND(OR($H236="BUY",$H236="SELL"),ISNUMBER($T236)),$T236,"")</f>
        <v/>
      </c>
      <c r="AN236" s="152">
        <f>IF(AND(OR($H236="BUY",$H236="SELL"),ISNUMBER($AF236)),$AF236,"")</f>
        <v/>
      </c>
      <c r="AO236" s="152">
        <f>IF(ISNUMBER($AM236),ABS(IF(ISNUMBER($G236),$G236,0)-Settings!$B$25),"")</f>
        <v/>
      </c>
      <c r="AP236" s="152">
        <f>IF(ISNUMBER($AO236),$AO236*$AM236,"")</f>
        <v/>
      </c>
      <c r="AQ236" s="152">
        <f>IF(ISNUMBER($AN236),ABS(IF(ISNUMBER($G236),$G236,0)-Settings!$B$25),"")</f>
        <v/>
      </c>
      <c r="AR236" s="152">
        <f>IF(ISNUMBER($AQ236),$AQ236*$AN236,"")</f>
        <v/>
      </c>
      <c r="AS236" s="152">
        <f>IF($A236="","",IFERROR(INDEX(Company_List!$H$3:$H$207,MATCH($A236,Company_List!$A$3:$A$207,0)),"unassigned"))</f>
        <v/>
      </c>
      <c r="AT236" s="152" t="inlineStr">
        <is>
          <t>not in v1</t>
        </is>
      </c>
      <c r="AU236" s="152" t="inlineStr">
        <is>
          <t>no earlier record</t>
        </is>
      </c>
      <c r="AV236" s="152" t="n">
        <v>1</v>
      </c>
      <c r="AW236" s="152" t="inlineStr">
        <is>
          <t>not publisher-identified</t>
        </is>
      </c>
      <c r="AX236" s="152" t="inlineStr">
        <is>
          <t>not publisher-identified</t>
        </is>
      </c>
      <c r="AY236" s="152" t="inlineStr">
        <is>
          <t>no</t>
        </is>
      </c>
      <c r="AZ236" s="152" t="inlineStr">
        <is>
          <t>yes</t>
        </is>
      </c>
      <c r="BA236" s="152" t="inlineStr">
        <is>
          <t>YES</t>
        </is>
      </c>
      <c r="BB236" s="152" t="n"/>
    </row>
    <row r="237" ht="15" customHeight="1" s="241">
      <c r="A237" s="191" t="inlineStr">
        <is>
          <t>Siemens</t>
        </is>
      </c>
      <c r="B237" s="188" t="inlineStr">
        <is>
          <t>SIE.DE</t>
        </is>
      </c>
      <c r="C237" s="176" t="n">
        <v>2026</v>
      </c>
      <c r="D237" s="177" t="inlineStr">
        <is>
          <t>Q1</t>
        </is>
      </c>
      <c r="E237" s="178" t="inlineStr">
        <is>
          <t>Ben/DeepSeek</t>
        </is>
      </c>
      <c r="F237" s="177" t="inlineStr">
        <is>
          <t>LLM</t>
        </is>
      </c>
      <c r="G237" s="196" t="n">
        <v>0.49</v>
      </c>
      <c r="H237" s="177" t="inlineStr">
        <is>
          <t>BUY</t>
        </is>
      </c>
      <c r="I237" s="196" t="n"/>
      <c r="J237" s="182" t="n">
        <v>46065</v>
      </c>
      <c r="K237" s="182" t="n">
        <v>46064</v>
      </c>
      <c r="L237" s="183" t="n">
        <v>256.25</v>
      </c>
      <c r="M237" s="182" t="n">
        <v>46065</v>
      </c>
      <c r="N237" s="183" t="n">
        <v>271.6</v>
      </c>
      <c r="O237" s="180" t="n">
        <v>0.006761</v>
      </c>
      <c r="P237" s="197" t="n">
        <v>0.059902</v>
      </c>
      <c r="Q237" s="177" t="inlineStr">
        <is>
          <t>UP</t>
        </is>
      </c>
      <c r="R237" s="177" t="inlineStr">
        <is>
          <t>YES</t>
        </is>
      </c>
      <c r="S237" s="176" t="n">
        <v>1</v>
      </c>
      <c r="T237" s="197" t="n">
        <v>0.058902</v>
      </c>
      <c r="U237" s="185" t="inlineStr">
        <is>
          <t>w=[0.80,0.20,0,0] thr=(+0.20,-0.10), deployed default promoted 2026-08-18 (PSR=0.964, permutation p=0.0002 at N=233, restricted search - see blend.py)</t>
        </is>
      </c>
      <c r="V237" s="152" t="inlineStr">
        <is>
          <t>FROZEN</t>
        </is>
      </c>
      <c r="W237" s="152" t="inlineStr">
        <is>
          <t>release date + stated time</t>
        </is>
      </c>
      <c r="X237" s="152" t="inlineStr">
        <is>
          <t>SIE.DE</t>
        </is>
      </c>
      <c r="Y237" s="152" t="inlineStr">
        <is>
          <t>2026-02-11</t>
        </is>
      </c>
      <c r="Z237" s="152" t="n">
        <v>250.9156</v>
      </c>
      <c r="AA237" s="152" t="inlineStr">
        <is>
          <t>2026-02-12</t>
        </is>
      </c>
      <c r="AB237" s="152" t="n">
        <v>265.9461</v>
      </c>
      <c r="AC237" s="152" t="n">
        <v>0.05990247432660638</v>
      </c>
      <c r="AD237" s="152" t="inlineStr">
        <is>
          <t>UP</t>
        </is>
      </c>
      <c r="AE237" s="152" t="inlineStr">
        <is>
          <t>YES</t>
        </is>
      </c>
      <c r="AF237" s="152" t="n">
        <v>0.058902</v>
      </c>
      <c r="AG237" s="152">
        <f>IF($A237="","",IFERROR(INDEX(Company_List!$G$3:$G$207,MATCH($A237,Company_List!$A$3:$A$207,0)),"unassigned"))</f>
        <v/>
      </c>
      <c r="AH237" s="152" t="inlineStr">
        <is>
          <t>Phase 3/Readings/Siemens/Siemens Q1 2026 earnings release.pdf</t>
        </is>
      </c>
      <c r="AI237" s="152" t="n"/>
      <c r="AJ237" s="152" t="inlineStr">
        <is>
          <t>unique filename match</t>
        </is>
      </c>
      <c r="AK237" s="152">
        <f>IF($A237="","",IF(COUNTIFS(Human_Data_Entry!$A$3:$A$525,$A237)&gt;0,"YES","NO"))</f>
        <v/>
      </c>
      <c r="AL237" s="152">
        <f>IF($A237="","",IF(AND($C237&amp;"-"&amp;$D237&gt;=Settings!$B$19,$C237&amp;"-"&amp;$D237&lt;=Settings!$B$20),"IN","OUT"))</f>
        <v/>
      </c>
      <c r="AM237" s="152">
        <f>IF(AND(OR($H237="BUY",$H237="SELL"),ISNUMBER($T237)),$T237,"")</f>
        <v/>
      </c>
      <c r="AN237" s="152">
        <f>IF(AND(OR($H237="BUY",$H237="SELL"),ISNUMBER($AF237)),$AF237,"")</f>
        <v/>
      </c>
      <c r="AO237" s="152">
        <f>IF(ISNUMBER($AM237),ABS(IF(ISNUMBER($G237),$G237,0)-Settings!$B$25),"")</f>
        <v/>
      </c>
      <c r="AP237" s="152">
        <f>IF(ISNUMBER($AO237),$AO237*$AM237,"")</f>
        <v/>
      </c>
      <c r="AQ237" s="152">
        <f>IF(ISNUMBER($AN237),ABS(IF(ISNUMBER($G237),$G237,0)-Settings!$B$25),"")</f>
        <v/>
      </c>
      <c r="AR237" s="152">
        <f>IF(ISNUMBER($AQ237),$AQ237*$AN237,"")</f>
        <v/>
      </c>
      <c r="AS237" s="152">
        <f>IF($A237="","",IFERROR(INDEX(Company_List!$H$3:$H$207,MATCH($A237,Company_List!$A$3:$A$207,0)),"unassigned"))</f>
        <v/>
      </c>
      <c r="AT237" s="152" t="inlineStr">
        <is>
          <t>not in v1</t>
        </is>
      </c>
      <c r="AU237" s="152" t="inlineStr">
        <is>
          <t>no earlier record</t>
        </is>
      </c>
      <c r="AV237" s="152" t="n">
        <v>1</v>
      </c>
      <c r="AW237" s="152" t="inlineStr">
        <is>
          <t>not publisher-identified</t>
        </is>
      </c>
      <c r="AX237" s="152" t="inlineStr">
        <is>
          <t>not publisher-identified</t>
        </is>
      </c>
      <c r="AY237" s="152" t="inlineStr">
        <is>
          <t>no</t>
        </is>
      </c>
      <c r="AZ237" s="152" t="inlineStr">
        <is>
          <t>no</t>
        </is>
      </c>
      <c r="BA237" s="152" t="inlineStr">
        <is>
          <t>YES</t>
        </is>
      </c>
      <c r="BB237" s="152" t="n"/>
    </row>
    <row r="238" ht="15" customHeight="1" s="241">
      <c r="A238" s="191" t="inlineStr">
        <is>
          <t>Siemens</t>
        </is>
      </c>
      <c r="B238" s="188" t="inlineStr">
        <is>
          <t>SIE.DE</t>
        </is>
      </c>
      <c r="C238" s="176" t="n">
        <v>2026</v>
      </c>
      <c r="D238" s="177" t="inlineStr">
        <is>
          <t>Q2</t>
        </is>
      </c>
      <c r="E238" s="178" t="inlineStr">
        <is>
          <t>Ben/DeepSeek</t>
        </is>
      </c>
      <c r="F238" s="177" t="inlineStr">
        <is>
          <t>LLM</t>
        </is>
      </c>
      <c r="G238" s="196" t="n">
        <v>0.18</v>
      </c>
      <c r="H238" s="177" t="inlineStr">
        <is>
          <t>HOLD</t>
        </is>
      </c>
      <c r="I238" s="196" t="n"/>
      <c r="J238" s="182" t="n">
        <v>46155</v>
      </c>
      <c r="K238" s="182" t="n">
        <v>46154</v>
      </c>
      <c r="L238" s="183" t="n">
        <v>264.6</v>
      </c>
      <c r="M238" s="182" t="n">
        <v>46155</v>
      </c>
      <c r="N238" s="183" t="n">
        <v>267.15</v>
      </c>
      <c r="O238" s="180" t="n">
        <v>0.007953</v>
      </c>
      <c r="P238" s="197" t="n">
        <v>0.009637</v>
      </c>
      <c r="Q238" s="177" t="inlineStr">
        <is>
          <t>FLAT</t>
        </is>
      </c>
      <c r="R238" s="177" t="inlineStr">
        <is>
          <t>YES</t>
        </is>
      </c>
      <c r="S238" s="176" t="n">
        <v>0</v>
      </c>
      <c r="T238" s="197" t="n">
        <v>0</v>
      </c>
      <c r="U238" s="185" t="inlineStr">
        <is>
          <t>w=[0.80,0.20,0,0] thr=(+0.20,-0.10), deployed default promoted 2026-08-18 (PSR=0.964, permutation p=0.0002 at N=233, restricted search - see blend.py)</t>
        </is>
      </c>
      <c r="V238" s="152" t="inlineStr">
        <is>
          <t>FROZEN</t>
        </is>
      </c>
      <c r="W238" s="152" t="inlineStr">
        <is>
          <t>release date + stated time</t>
        </is>
      </c>
      <c r="X238" s="152" t="inlineStr">
        <is>
          <t>SIE.DE</t>
        </is>
      </c>
      <c r="Y238" s="152" t="inlineStr">
        <is>
          <t>2026-05-12</t>
        </is>
      </c>
      <c r="Z238" s="152" t="n">
        <v>264.6</v>
      </c>
      <c r="AA238" s="152" t="inlineStr">
        <is>
          <t>2026-05-13</t>
        </is>
      </c>
      <c r="AB238" s="152" t="n">
        <v>267.15</v>
      </c>
      <c r="AC238" s="152" t="n">
        <v>0.009637142638613488</v>
      </c>
      <c r="AD238" s="152" t="inlineStr">
        <is>
          <t>FLAT</t>
        </is>
      </c>
      <c r="AE238" s="152" t="inlineStr">
        <is>
          <t>YES</t>
        </is>
      </c>
      <c r="AF238" s="152" t="n">
        <v>0</v>
      </c>
      <c r="AG238" s="152">
        <f>IF($A238="","",IFERROR(INDEX(Company_List!$G$3:$G$207,MATCH($A238,Company_List!$A$3:$A$207,0)),"unassigned"))</f>
        <v/>
      </c>
      <c r="AH238" s="152" t="inlineStr">
        <is>
          <t>Phase 3/Readings/Siemens/Siemens Q2 2026 earnings release.pdf</t>
        </is>
      </c>
      <c r="AI238" s="152" t="n"/>
      <c r="AJ238" s="152" t="inlineStr">
        <is>
          <t>unique filename match</t>
        </is>
      </c>
      <c r="AK238" s="152">
        <f>IF($A238="","",IF(COUNTIFS(Human_Data_Entry!$A$3:$A$525,$A238)&gt;0,"YES","NO"))</f>
        <v/>
      </c>
      <c r="AL238" s="152">
        <f>IF($A238="","",IF(AND($C238&amp;"-"&amp;$D238&gt;=Settings!$B$19,$C238&amp;"-"&amp;$D238&lt;=Settings!$B$20),"IN","OUT"))</f>
        <v/>
      </c>
      <c r="AM238" s="152">
        <f>IF(AND(OR($H238="BUY",$H238="SELL"),ISNUMBER($T238)),$T238,"")</f>
        <v/>
      </c>
      <c r="AN238" s="152">
        <f>IF(AND(OR($H238="BUY",$H238="SELL"),ISNUMBER($AF238)),$AF238,"")</f>
        <v/>
      </c>
      <c r="AO238" s="152">
        <f>IF(ISNUMBER($AM238),ABS(IF(ISNUMBER($G238),$G238,0)-Settings!$B$25),"")</f>
        <v/>
      </c>
      <c r="AP238" s="152">
        <f>IF(ISNUMBER($AO238),$AO238*$AM238,"")</f>
        <v/>
      </c>
      <c r="AQ238" s="152">
        <f>IF(ISNUMBER($AN238),ABS(IF(ISNUMBER($G238),$G238,0)-Settings!$B$25),"")</f>
        <v/>
      </c>
      <c r="AR238" s="152">
        <f>IF(ISNUMBER($AQ238),$AQ238*$AN238,"")</f>
        <v/>
      </c>
      <c r="AS238" s="152">
        <f>IF($A238="","",IFERROR(INDEX(Company_List!$H$3:$H$207,MATCH($A238,Company_List!$A$3:$A$207,0)),"unassigned"))</f>
        <v/>
      </c>
      <c r="AT238" s="152" t="inlineStr">
        <is>
          <t>not in v1</t>
        </is>
      </c>
      <c r="AU238" s="152" t="inlineStr">
        <is>
          <t>no earlier record</t>
        </is>
      </c>
      <c r="AV238" s="152" t="n">
        <v>1</v>
      </c>
      <c r="AW238" s="152" t="inlineStr">
        <is>
          <t>not publisher-identified</t>
        </is>
      </c>
      <c r="AX238" s="152" t="inlineStr">
        <is>
          <t>not publisher-identified</t>
        </is>
      </c>
      <c r="AY238" s="152" t="inlineStr">
        <is>
          <t>no</t>
        </is>
      </c>
      <c r="AZ238" s="152" t="inlineStr">
        <is>
          <t>no</t>
        </is>
      </c>
      <c r="BA238" s="152" t="inlineStr">
        <is>
          <t>YES</t>
        </is>
      </c>
      <c r="BB238" s="152" t="n"/>
    </row>
    <row r="239" ht="15" customHeight="1" s="241">
      <c r="A239" s="191" t="inlineStr">
        <is>
          <t>Siemens</t>
        </is>
      </c>
      <c r="B239" s="188" t="inlineStr">
        <is>
          <t>SIE.DE</t>
        </is>
      </c>
      <c r="C239" s="176" t="n">
        <v>2025</v>
      </c>
      <c r="D239" s="177" t="inlineStr">
        <is>
          <t>Q4</t>
        </is>
      </c>
      <c r="E239" s="178" t="inlineStr">
        <is>
          <t>Ben/DeepSeek</t>
        </is>
      </c>
      <c r="F239" s="177" t="inlineStr">
        <is>
          <t>LLM</t>
        </is>
      </c>
      <c r="G239" s="196" t="n">
        <v>0.26</v>
      </c>
      <c r="H239" s="177" t="inlineStr">
        <is>
          <t>BUY</t>
        </is>
      </c>
      <c r="I239" s="196" t="n"/>
      <c r="J239" s="182" t="n">
        <v>45974</v>
      </c>
      <c r="K239" s="182" t="n">
        <v>45973</v>
      </c>
      <c r="L239" s="183" t="n">
        <v>250.4</v>
      </c>
      <c r="M239" s="182" t="n">
        <v>45974</v>
      </c>
      <c r="N239" s="183" t="n">
        <v>243.55</v>
      </c>
      <c r="O239" s="180" t="n">
        <v>0.007282</v>
      </c>
      <c r="P239" s="197" t="n">
        <v>-0.027356</v>
      </c>
      <c r="Q239" s="177" t="inlineStr">
        <is>
          <t>DOWN</t>
        </is>
      </c>
      <c r="R239" s="177" t="inlineStr">
        <is>
          <t>NO</t>
        </is>
      </c>
      <c r="S239" s="176" t="n">
        <v>1</v>
      </c>
      <c r="T239" s="197" t="n">
        <v>-0.028356</v>
      </c>
      <c r="U239" s="185" t="inlineStr">
        <is>
          <t>w=[0.80,0.20,0,0] thr=(+0.20,-0.10), deployed default promoted 2026-08-18 (PSR=0.964, permutation p=0.0002 at N=233, restricted search - see blend.py)</t>
        </is>
      </c>
      <c r="V239" s="152" t="inlineStr">
        <is>
          <t>FROZEN</t>
        </is>
      </c>
      <c r="W239" s="152" t="inlineStr">
        <is>
          <t>release date + stated time</t>
        </is>
      </c>
      <c r="X239" s="152" t="inlineStr">
        <is>
          <t>SIE.DE</t>
        </is>
      </c>
      <c r="Y239" s="152" t="inlineStr">
        <is>
          <t>2025-11-12</t>
        </is>
      </c>
      <c r="Z239" s="152" t="n">
        <v>245.1874</v>
      </c>
      <c r="AA239" s="152" t="inlineStr">
        <is>
          <t>2025-11-13</t>
        </is>
      </c>
      <c r="AB239" s="152" t="n">
        <v>238.48</v>
      </c>
      <c r="AC239" s="152" t="n">
        <v>-0.02735618576686381</v>
      </c>
      <c r="AD239" s="152" t="inlineStr">
        <is>
          <t>DOWN</t>
        </is>
      </c>
      <c r="AE239" s="152" t="inlineStr">
        <is>
          <t>NO</t>
        </is>
      </c>
      <c r="AF239" s="152" t="n">
        <v>-0.028356</v>
      </c>
      <c r="AG239" s="152">
        <f>IF($A239="","",IFERROR(INDEX(Company_List!$G$3:$G$207,MATCH($A239,Company_List!$A$3:$A$207,0)),"unassigned"))</f>
        <v/>
      </c>
      <c r="AH239" s="152" t="inlineStr">
        <is>
          <t>Phase 3/Readings/Siemens/Siemens Q4 2025 earnings release.pdf</t>
        </is>
      </c>
      <c r="AI239" s="152" t="n"/>
      <c r="AJ239" s="152" t="inlineStr">
        <is>
          <t>unique filename match</t>
        </is>
      </c>
      <c r="AK239" s="152">
        <f>IF($A239="","",IF(COUNTIFS(Human_Data_Entry!$A$3:$A$525,$A239)&gt;0,"YES","NO"))</f>
        <v/>
      </c>
      <c r="AL239" s="152">
        <f>IF($A239="","",IF(AND($C239&amp;"-"&amp;$D239&gt;=Settings!$B$19,$C239&amp;"-"&amp;$D239&lt;=Settings!$B$20),"IN","OUT"))</f>
        <v/>
      </c>
      <c r="AM239" s="152">
        <f>IF(AND(OR($H239="BUY",$H239="SELL"),ISNUMBER($T239)),$T239,"")</f>
        <v/>
      </c>
      <c r="AN239" s="152">
        <f>IF(AND(OR($H239="BUY",$H239="SELL"),ISNUMBER($AF239)),$AF239,"")</f>
        <v/>
      </c>
      <c r="AO239" s="152">
        <f>IF(ISNUMBER($AM239),ABS(IF(ISNUMBER($G239),$G239,0)-Settings!$B$25),"")</f>
        <v/>
      </c>
      <c r="AP239" s="152">
        <f>IF(ISNUMBER($AO239),$AO239*$AM239,"")</f>
        <v/>
      </c>
      <c r="AQ239" s="152">
        <f>IF(ISNUMBER($AN239),ABS(IF(ISNUMBER($G239),$G239,0)-Settings!$B$25),"")</f>
        <v/>
      </c>
      <c r="AR239" s="152">
        <f>IF(ISNUMBER($AQ239),$AQ239*$AN239,"")</f>
        <v/>
      </c>
      <c r="AS239" s="152">
        <f>IF($A239="","",IFERROR(INDEX(Company_List!$H$3:$H$207,MATCH($A239,Company_List!$A$3:$A$207,0)),"unassigned"))</f>
        <v/>
      </c>
      <c r="AT239" s="152" t="inlineStr">
        <is>
          <t>not in v1</t>
        </is>
      </c>
      <c r="AU239" s="152" t="inlineStr">
        <is>
          <t>no earlier record</t>
        </is>
      </c>
      <c r="AV239" s="152" t="n">
        <v>1</v>
      </c>
      <c r="AW239" s="152" t="inlineStr">
        <is>
          <t>not publisher-identified</t>
        </is>
      </c>
      <c r="AX239" s="152" t="inlineStr">
        <is>
          <t>not publisher-identified</t>
        </is>
      </c>
      <c r="AY239" s="152" t="inlineStr">
        <is>
          <t>no</t>
        </is>
      </c>
      <c r="AZ239" s="152" t="inlineStr">
        <is>
          <t>no</t>
        </is>
      </c>
      <c r="BA239" s="152" t="inlineStr">
        <is>
          <t>YES</t>
        </is>
      </c>
      <c r="BB239" s="152" t="n"/>
    </row>
    <row r="240" ht="15" customHeight="1" s="241">
      <c r="A240" s="191" t="inlineStr">
        <is>
          <t>Spotify</t>
        </is>
      </c>
      <c r="B240" s="188" t="inlineStr">
        <is>
          <t>SPOT</t>
        </is>
      </c>
      <c r="C240" s="176" t="n">
        <v>2026</v>
      </c>
      <c r="D240" s="177" t="inlineStr">
        <is>
          <t>Q1</t>
        </is>
      </c>
      <c r="E240" s="178" t="inlineStr">
        <is>
          <t>Ben/DeepSeek</t>
        </is>
      </c>
      <c r="F240" s="177" t="inlineStr">
        <is>
          <t>LLM</t>
        </is>
      </c>
      <c r="G240" s="196" t="n">
        <v>0.14</v>
      </c>
      <c r="H240" s="177" t="inlineStr">
        <is>
          <t>HOLD</t>
        </is>
      </c>
      <c r="I240" s="196" t="n"/>
      <c r="J240" s="182" t="n">
        <v>46140</v>
      </c>
      <c r="K240" s="182" t="n">
        <v>46139</v>
      </c>
      <c r="L240" s="183" t="n">
        <v>495.82</v>
      </c>
      <c r="M240" s="182" t="n">
        <v>46140</v>
      </c>
      <c r="N240" s="183" t="n">
        <v>445</v>
      </c>
      <c r="O240" s="180" t="n">
        <v>0.007554</v>
      </c>
      <c r="P240" s="197" t="n">
        <v>-0.102497</v>
      </c>
      <c r="Q240" s="177" t="inlineStr">
        <is>
          <t>DOWN</t>
        </is>
      </c>
      <c r="R240" s="177" t="inlineStr">
        <is>
          <t>NO</t>
        </is>
      </c>
      <c r="S240" s="176" t="n">
        <v>0</v>
      </c>
      <c r="T240" s="197" t="n">
        <v>0</v>
      </c>
      <c r="U240" s="185" t="inlineStr">
        <is>
          <t>w=[0.80,0.20,0,0] thr=(+0.20,-0.10), deployed default promoted 2026-08-18 (PSR=0.964, permutation p=0.0002 at N=233, restricted search - see blend.py)</t>
        </is>
      </c>
      <c r="V240" s="152" t="inlineStr">
        <is>
          <t>FROZEN</t>
        </is>
      </c>
      <c r="W240" s="152" t="inlineStr">
        <is>
          <t>recorded window spanned two sessions, closed to one</t>
        </is>
      </c>
      <c r="X240" s="152" t="inlineStr">
        <is>
          <t>SPOT</t>
        </is>
      </c>
      <c r="Y240" s="152" t="inlineStr">
        <is>
          <t>2026-04-27</t>
        </is>
      </c>
      <c r="Z240" s="152" t="n">
        <v>495.82</v>
      </c>
      <c r="AA240" s="152" t="inlineStr">
        <is>
          <t>2026-04-28</t>
        </is>
      </c>
      <c r="AB240" s="152" t="n">
        <v>445</v>
      </c>
      <c r="AC240" s="152" t="n">
        <v>-0.1024968865364886</v>
      </c>
      <c r="AD240" s="152" t="inlineStr">
        <is>
          <t>DOWN</t>
        </is>
      </c>
      <c r="AE240" s="152" t="inlineStr">
        <is>
          <t>NO</t>
        </is>
      </c>
      <c r="AF240" s="152" t="n">
        <v>0</v>
      </c>
      <c r="AG240" s="152">
        <f>IF($A240="","",IFERROR(INDEX(Company_List!$G$3:$G$207,MATCH($A240,Company_List!$A$3:$A$207,0)),"unassigned"))</f>
        <v/>
      </c>
      <c r="AH240" s="152" t="inlineStr">
        <is>
          <t>Phase 3/Readings/Spotify/Q1-2026-Shareholder-Deck-FINAL-2.pdf</t>
        </is>
      </c>
      <c r="AI240" s="152" t="n"/>
      <c r="AJ240" s="152" t="inlineStr">
        <is>
          <t>unique filename match</t>
        </is>
      </c>
      <c r="AK240" s="152">
        <f>IF($A240="","",IF(COUNTIFS(Human_Data_Entry!$A$3:$A$525,$A240)&gt;0,"YES","NO"))</f>
        <v/>
      </c>
      <c r="AL240" s="152">
        <f>IF($A240="","",IF(AND($C240&amp;"-"&amp;$D240&gt;=Settings!$B$19,$C240&amp;"-"&amp;$D240&lt;=Settings!$B$20),"IN","OUT"))</f>
        <v/>
      </c>
      <c r="AM240" s="152">
        <f>IF(AND(OR($H240="BUY",$H240="SELL"),ISNUMBER($T240)),$T240,"")</f>
        <v/>
      </c>
      <c r="AN240" s="152">
        <f>IF(AND(OR($H240="BUY",$H240="SELL"),ISNUMBER($AF240)),$AF240,"")</f>
        <v/>
      </c>
      <c r="AO240" s="152">
        <f>IF(ISNUMBER($AM240),ABS(IF(ISNUMBER($G240),$G240,0)-Settings!$B$25),"")</f>
        <v/>
      </c>
      <c r="AP240" s="152">
        <f>IF(ISNUMBER($AO240),$AO240*$AM240,"")</f>
        <v/>
      </c>
      <c r="AQ240" s="152">
        <f>IF(ISNUMBER($AN240),ABS(IF(ISNUMBER($G240),$G240,0)-Settings!$B$25),"")</f>
        <v/>
      </c>
      <c r="AR240" s="152">
        <f>IF(ISNUMBER($AQ240),$AQ240*$AN240,"")</f>
        <v/>
      </c>
      <c r="AS240" s="152">
        <f>IF($A240="","",IFERROR(INDEX(Company_List!$H$3:$H$207,MATCH($A240,Company_List!$A$3:$A$207,0)),"unassigned"))</f>
        <v/>
      </c>
      <c r="AT240" s="152" t="inlineStr">
        <is>
          <t>not in v1</t>
        </is>
      </c>
      <c r="AU240" s="152" t="inlineStr">
        <is>
          <t>no earlier record</t>
        </is>
      </c>
      <c r="AV240" s="152" t="n">
        <v>1</v>
      </c>
      <c r="AW240" s="152" t="inlineStr">
        <is>
          <t>not publisher-identified</t>
        </is>
      </c>
      <c r="AX240" s="152" t="inlineStr">
        <is>
          <t>not publisher-identified</t>
        </is>
      </c>
      <c r="AY240" s="152" t="inlineStr">
        <is>
          <t>no</t>
        </is>
      </c>
      <c r="AZ240" s="152" t="inlineStr">
        <is>
          <t>no</t>
        </is>
      </c>
      <c r="BA240" s="152" t="inlineStr">
        <is>
          <t>NO</t>
        </is>
      </c>
      <c r="BB240" s="152" t="inlineStr">
        <is>
          <t>SPOT misattribution</t>
        </is>
      </c>
    </row>
    <row r="241" ht="15" customHeight="1" s="241">
      <c r="A241" s="191" t="inlineStr">
        <is>
          <t>Spotify</t>
        </is>
      </c>
      <c r="B241" s="188" t="inlineStr">
        <is>
          <t>SPOT</t>
        </is>
      </c>
      <c r="C241" s="176" t="n">
        <v>2025</v>
      </c>
      <c r="D241" s="177" t="inlineStr">
        <is>
          <t>Q2</t>
        </is>
      </c>
      <c r="E241" s="178" t="inlineStr">
        <is>
          <t>Ben/DeepSeek</t>
        </is>
      </c>
      <c r="F241" s="177" t="inlineStr">
        <is>
          <t>LLM</t>
        </is>
      </c>
      <c r="G241" s="196" t="n">
        <v>-0.1</v>
      </c>
      <c r="H241" s="177" t="inlineStr">
        <is>
          <t>HOLD</t>
        </is>
      </c>
      <c r="I241" s="196" t="n"/>
      <c r="J241" s="182" t="n">
        <v>45867</v>
      </c>
      <c r="K241" s="182" t="n">
        <v>45866</v>
      </c>
      <c r="L241" s="183" t="n">
        <v>700.98</v>
      </c>
      <c r="M241" s="182" t="n">
        <v>45867</v>
      </c>
      <c r="N241" s="183" t="n">
        <v>657.53</v>
      </c>
      <c r="O241" s="180" t="n">
        <v>0.010166</v>
      </c>
      <c r="P241" s="197" t="n">
        <v>-0.061985</v>
      </c>
      <c r="Q241" s="177" t="inlineStr">
        <is>
          <t>DOWN</t>
        </is>
      </c>
      <c r="R241" s="177" t="inlineStr">
        <is>
          <t>NO</t>
        </is>
      </c>
      <c r="S241" s="176" t="n">
        <v>0</v>
      </c>
      <c r="T241" s="197" t="n">
        <v>0</v>
      </c>
      <c r="U241" s="185" t="inlineStr">
        <is>
          <t>w=[0.80,0.20,0,0] thr=(+0.20,-0.10), deployed default promoted 2026-08-18 (PSR=0.964, permutation p=0.0002 at N=233, restricted search - see blend.py)</t>
        </is>
      </c>
      <c r="V241" s="152" t="inlineStr">
        <is>
          <t>FROZEN</t>
        </is>
      </c>
      <c r="W241" s="152" t="inlineStr">
        <is>
          <t>recorded window spanned two sessions, closed to one</t>
        </is>
      </c>
      <c r="X241" s="152" t="inlineStr">
        <is>
          <t>SPOT</t>
        </is>
      </c>
      <c r="Y241" s="152" t="inlineStr">
        <is>
          <t>2025-07-28</t>
        </is>
      </c>
      <c r="Z241" s="152" t="n">
        <v>700.98</v>
      </c>
      <c r="AA241" s="152" t="inlineStr">
        <is>
          <t>2025-07-29</t>
        </is>
      </c>
      <c r="AB241" s="152" t="n">
        <v>657.53</v>
      </c>
      <c r="AC241" s="152" t="n">
        <v>-0.06198458192771774</v>
      </c>
      <c r="AD241" s="152" t="inlineStr">
        <is>
          <t>DOWN</t>
        </is>
      </c>
      <c r="AE241" s="152" t="inlineStr">
        <is>
          <t>NO</t>
        </is>
      </c>
      <c r="AF241" s="152" t="n">
        <v>0</v>
      </c>
      <c r="AG241" s="152">
        <f>IF($A241="","",IFERROR(INDEX(Company_List!$G$3:$G$207,MATCH($A241,Company_List!$A$3:$A$207,0)),"unassigned"))</f>
        <v/>
      </c>
      <c r="AH241" s="152" t="inlineStr">
        <is>
          <t>Phase 3/Readings/Spotify/Q2-2025-Shareholder-Deck-FINAL.pdf</t>
        </is>
      </c>
      <c r="AI241" s="152" t="n"/>
      <c r="AJ241" s="152" t="inlineStr">
        <is>
          <t>unique filename match</t>
        </is>
      </c>
      <c r="AK241" s="152">
        <f>IF($A241="","",IF(COUNTIFS(Human_Data_Entry!$A$3:$A$525,$A241)&gt;0,"YES","NO"))</f>
        <v/>
      </c>
      <c r="AL241" s="152">
        <f>IF($A241="","",IF(AND($C241&amp;"-"&amp;$D241&gt;=Settings!$B$19,$C241&amp;"-"&amp;$D241&lt;=Settings!$B$20),"IN","OUT"))</f>
        <v/>
      </c>
      <c r="AM241" s="152">
        <f>IF(AND(OR($H241="BUY",$H241="SELL"),ISNUMBER($T241)),$T241,"")</f>
        <v/>
      </c>
      <c r="AN241" s="152">
        <f>IF(AND(OR($H241="BUY",$H241="SELL"),ISNUMBER($AF241)),$AF241,"")</f>
        <v/>
      </c>
      <c r="AO241" s="152">
        <f>IF(ISNUMBER($AM241),ABS(IF(ISNUMBER($G241),$G241,0)-Settings!$B$25),"")</f>
        <v/>
      </c>
      <c r="AP241" s="152">
        <f>IF(ISNUMBER($AO241),$AO241*$AM241,"")</f>
        <v/>
      </c>
      <c r="AQ241" s="152">
        <f>IF(ISNUMBER($AN241),ABS(IF(ISNUMBER($G241),$G241,0)-Settings!$B$25),"")</f>
        <v/>
      </c>
      <c r="AR241" s="152">
        <f>IF(ISNUMBER($AQ241),$AQ241*$AN241,"")</f>
        <v/>
      </c>
      <c r="AS241" s="152">
        <f>IF($A241="","",IFERROR(INDEX(Company_List!$H$3:$H$207,MATCH($A241,Company_List!$A$3:$A$207,0)),"unassigned"))</f>
        <v/>
      </c>
      <c r="AT241" s="152" t="inlineStr">
        <is>
          <t>not in v1</t>
        </is>
      </c>
      <c r="AU241" s="152" t="inlineStr">
        <is>
          <t>no earlier record</t>
        </is>
      </c>
      <c r="AV241" s="152" t="n">
        <v>1</v>
      </c>
      <c r="AW241" s="152" t="inlineStr">
        <is>
          <t>not publisher-identified</t>
        </is>
      </c>
      <c r="AX241" s="152" t="inlineStr">
        <is>
          <t>not publisher-identified</t>
        </is>
      </c>
      <c r="AY241" s="152" t="inlineStr">
        <is>
          <t>no</t>
        </is>
      </c>
      <c r="AZ241" s="152" t="inlineStr">
        <is>
          <t>no</t>
        </is>
      </c>
      <c r="BA241" s="152" t="inlineStr">
        <is>
          <t>YES</t>
        </is>
      </c>
      <c r="BB241" s="152" t="n"/>
    </row>
    <row r="242" ht="15" customHeight="1" s="241">
      <c r="A242" s="191" t="inlineStr">
        <is>
          <t>Spotify</t>
        </is>
      </c>
      <c r="B242" s="188" t="inlineStr">
        <is>
          <t>SPOT</t>
        </is>
      </c>
      <c r="C242" s="176" t="n">
        <v>2025</v>
      </c>
      <c r="D242" s="177" t="inlineStr">
        <is>
          <t>Q3</t>
        </is>
      </c>
      <c r="E242" s="178" t="inlineStr">
        <is>
          <t>Ben/DeepSeek</t>
        </is>
      </c>
      <c r="F242" s="177" t="inlineStr">
        <is>
          <t>LLM</t>
        </is>
      </c>
      <c r="G242" s="196" t="n">
        <v>0.3</v>
      </c>
      <c r="H242" s="177" t="inlineStr">
        <is>
          <t>BUY</t>
        </is>
      </c>
      <c r="I242" s="196" t="n"/>
      <c r="J242" s="182" t="n">
        <v>45965</v>
      </c>
      <c r="K242" s="182" t="n">
        <v>45964</v>
      </c>
      <c r="L242" s="183" t="n">
        <v>644.09</v>
      </c>
      <c r="M242" s="182" t="n">
        <v>45965</v>
      </c>
      <c r="N242" s="183" t="n">
        <v>625.1799999999999</v>
      </c>
      <c r="O242" s="180" t="n">
        <v>0.010968</v>
      </c>
      <c r="P242" s="197" t="n">
        <v>-0.029359</v>
      </c>
      <c r="Q242" s="177" t="inlineStr">
        <is>
          <t>DOWN</t>
        </is>
      </c>
      <c r="R242" s="177" t="inlineStr">
        <is>
          <t>NO</t>
        </is>
      </c>
      <c r="S242" s="176" t="n">
        <v>1</v>
      </c>
      <c r="T242" s="197" t="n">
        <v>-0.030359</v>
      </c>
      <c r="U242" s="185" t="inlineStr">
        <is>
          <t>w=[0.80,0.20,0,0] thr=(+0.20,-0.10), deployed default promoted 2026-08-18 (PSR=0.964, permutation p=0.0002 at N=233, restricted search - see blend.py)</t>
        </is>
      </c>
      <c r="V242" s="152" t="inlineStr">
        <is>
          <t>FROZEN</t>
        </is>
      </c>
      <c r="W242" s="152" t="inlineStr">
        <is>
          <t>recorded window spanned two sessions, closed to one</t>
        </is>
      </c>
      <c r="X242" s="152" t="inlineStr">
        <is>
          <t>SPOT</t>
        </is>
      </c>
      <c r="Y242" s="152" t="inlineStr">
        <is>
          <t>2025-11-03</t>
        </is>
      </c>
      <c r="Z242" s="152" t="n">
        <v>644.09</v>
      </c>
      <c r="AA242" s="152" t="inlineStr">
        <is>
          <t>2025-11-04</t>
        </is>
      </c>
      <c r="AB242" s="152" t="n">
        <v>625.1799999999999</v>
      </c>
      <c r="AC242" s="152" t="n">
        <v>-0.02935930259326931</v>
      </c>
      <c r="AD242" s="152" t="inlineStr">
        <is>
          <t>DOWN</t>
        </is>
      </c>
      <c r="AE242" s="152" t="inlineStr">
        <is>
          <t>NO</t>
        </is>
      </c>
      <c r="AF242" s="152" t="n">
        <v>-0.030359</v>
      </c>
      <c r="AG242" s="152">
        <f>IF($A242="","",IFERROR(INDEX(Company_List!$G$3:$G$207,MATCH($A242,Company_List!$A$3:$A$207,0)),"unassigned"))</f>
        <v/>
      </c>
      <c r="AH242" s="152" t="inlineStr">
        <is>
          <t>Phase 3/Readings/Spotify/Q3-2025-Shareholder-Deck-FINAL.pdf</t>
        </is>
      </c>
      <c r="AI242" s="152" t="n"/>
      <c r="AJ242" s="152" t="inlineStr">
        <is>
          <t>unique filename match</t>
        </is>
      </c>
      <c r="AK242" s="152">
        <f>IF($A242="","",IF(COUNTIFS(Human_Data_Entry!$A$3:$A$525,$A242)&gt;0,"YES","NO"))</f>
        <v/>
      </c>
      <c r="AL242" s="152">
        <f>IF($A242="","",IF(AND($C242&amp;"-"&amp;$D242&gt;=Settings!$B$19,$C242&amp;"-"&amp;$D242&lt;=Settings!$B$20),"IN","OUT"))</f>
        <v/>
      </c>
      <c r="AM242" s="152">
        <f>IF(AND(OR($H242="BUY",$H242="SELL"),ISNUMBER($T242)),$T242,"")</f>
        <v/>
      </c>
      <c r="AN242" s="152">
        <f>IF(AND(OR($H242="BUY",$H242="SELL"),ISNUMBER($AF242)),$AF242,"")</f>
        <v/>
      </c>
      <c r="AO242" s="152">
        <f>IF(ISNUMBER($AM242),ABS(IF(ISNUMBER($G242),$G242,0)-Settings!$B$25),"")</f>
        <v/>
      </c>
      <c r="AP242" s="152">
        <f>IF(ISNUMBER($AO242),$AO242*$AM242,"")</f>
        <v/>
      </c>
      <c r="AQ242" s="152">
        <f>IF(ISNUMBER($AN242),ABS(IF(ISNUMBER($G242),$G242,0)-Settings!$B$25),"")</f>
        <v/>
      </c>
      <c r="AR242" s="152">
        <f>IF(ISNUMBER($AQ242),$AQ242*$AN242,"")</f>
        <v/>
      </c>
      <c r="AS242" s="152">
        <f>IF($A242="","",IFERROR(INDEX(Company_List!$H$3:$H$207,MATCH($A242,Company_List!$A$3:$A$207,0)),"unassigned"))</f>
        <v/>
      </c>
      <c r="AT242" s="152" t="inlineStr">
        <is>
          <t>not in v1</t>
        </is>
      </c>
      <c r="AU242" s="152" t="inlineStr">
        <is>
          <t>no earlier record</t>
        </is>
      </c>
      <c r="AV242" s="152" t="n">
        <v>1</v>
      </c>
      <c r="AW242" s="152" t="inlineStr">
        <is>
          <t>not publisher-identified</t>
        </is>
      </c>
      <c r="AX242" s="152" t="inlineStr">
        <is>
          <t>not publisher-identified</t>
        </is>
      </c>
      <c r="AY242" s="152" t="inlineStr">
        <is>
          <t>no</t>
        </is>
      </c>
      <c r="AZ242" s="152" t="inlineStr">
        <is>
          <t>no</t>
        </is>
      </c>
      <c r="BA242" s="152" t="inlineStr">
        <is>
          <t>YES</t>
        </is>
      </c>
      <c r="BB242" s="152" t="n"/>
    </row>
    <row r="243" ht="15" customHeight="1" s="241">
      <c r="A243" s="191" t="inlineStr">
        <is>
          <t>Spotify</t>
        </is>
      </c>
      <c r="B243" s="188" t="inlineStr">
        <is>
          <t>SPOT</t>
        </is>
      </c>
      <c r="C243" s="176" t="n">
        <v>2025</v>
      </c>
      <c r="D243" s="177" t="inlineStr">
        <is>
          <t>Q4</t>
        </is>
      </c>
      <c r="E243" s="178" t="inlineStr">
        <is>
          <t>Ben/DeepSeek</t>
        </is>
      </c>
      <c r="F243" s="177" t="inlineStr">
        <is>
          <t>LLM</t>
        </is>
      </c>
      <c r="G243" s="196" t="n">
        <v>0.29</v>
      </c>
      <c r="H243" s="177" t="inlineStr">
        <is>
          <t>BUY</t>
        </is>
      </c>
      <c r="I243" s="196" t="n"/>
      <c r="J243" s="182" t="n">
        <v>46063</v>
      </c>
      <c r="K243" s="182" t="n">
        <v>46062</v>
      </c>
      <c r="L243" s="183" t="n">
        <v>414.84</v>
      </c>
      <c r="M243" s="182" t="n">
        <v>46063</v>
      </c>
      <c r="N243" s="183" t="n">
        <v>462.78</v>
      </c>
      <c r="O243" s="180" t="n">
        <v>0.01011</v>
      </c>
      <c r="P243" s="197" t="n">
        <v>0.115563</v>
      </c>
      <c r="Q243" s="177" t="inlineStr">
        <is>
          <t>UP</t>
        </is>
      </c>
      <c r="R243" s="177" t="inlineStr">
        <is>
          <t>YES</t>
        </is>
      </c>
      <c r="S243" s="176" t="n">
        <v>1</v>
      </c>
      <c r="T243" s="197" t="n">
        <v>0.114563</v>
      </c>
      <c r="U243" s="185" t="inlineStr">
        <is>
          <t>w=[0.80,0.20,0,0] thr=(+0.20,-0.10), deployed default promoted 2026-08-18 (PSR=0.964, permutation p=0.0002 at N=233, restricted search - see blend.py)</t>
        </is>
      </c>
      <c r="V243" s="152" t="inlineStr">
        <is>
          <t>FROZEN</t>
        </is>
      </c>
      <c r="W243" s="152" t="inlineStr">
        <is>
          <t>recorded price identified against every pulled series</t>
        </is>
      </c>
      <c r="X243" s="152" t="inlineStr">
        <is>
          <t>SPOT</t>
        </is>
      </c>
      <c r="Y243" s="152" t="inlineStr">
        <is>
          <t>2026-02-09</t>
        </is>
      </c>
      <c r="Z243" s="152" t="n">
        <v>414.84</v>
      </c>
      <c r="AA243" s="152" t="inlineStr">
        <is>
          <t>2026-02-10</t>
        </is>
      </c>
      <c r="AB243" s="152" t="n">
        <v>462.78</v>
      </c>
      <c r="AC243" s="152" t="n">
        <v>0.1155626349008064</v>
      </c>
      <c r="AD243" s="152" t="inlineStr">
        <is>
          <t>UP</t>
        </is>
      </c>
      <c r="AE243" s="152" t="inlineStr">
        <is>
          <t>YES</t>
        </is>
      </c>
      <c r="AF243" s="152" t="n">
        <v>0.114563</v>
      </c>
      <c r="AG243" s="152">
        <f>IF($A243="","",IFERROR(INDEX(Company_List!$G$3:$G$207,MATCH($A243,Company_List!$A$3:$A$207,0)),"unassigned"))</f>
        <v/>
      </c>
      <c r="AH243" s="152" t="inlineStr">
        <is>
          <t>Phase 3/Readings/Spotify/Q4-2025-Shareholder-Deck-FINAL.pdf</t>
        </is>
      </c>
      <c r="AI243" s="152" t="n"/>
      <c r="AJ243" s="152" t="inlineStr">
        <is>
          <t>unique filename match</t>
        </is>
      </c>
      <c r="AK243" s="152">
        <f>IF($A243="","",IF(COUNTIFS(Human_Data_Entry!$A$3:$A$525,$A243)&gt;0,"YES","NO"))</f>
        <v/>
      </c>
      <c r="AL243" s="152">
        <f>IF($A243="","",IF(AND($C243&amp;"-"&amp;$D243&gt;=Settings!$B$19,$C243&amp;"-"&amp;$D243&lt;=Settings!$B$20),"IN","OUT"))</f>
        <v/>
      </c>
      <c r="AM243" s="152">
        <f>IF(AND(OR($H243="BUY",$H243="SELL"),ISNUMBER($T243)),$T243,"")</f>
        <v/>
      </c>
      <c r="AN243" s="152">
        <f>IF(AND(OR($H243="BUY",$H243="SELL"),ISNUMBER($AF243)),$AF243,"")</f>
        <v/>
      </c>
      <c r="AO243" s="152">
        <f>IF(ISNUMBER($AM243),ABS(IF(ISNUMBER($G243),$G243,0)-Settings!$B$25),"")</f>
        <v/>
      </c>
      <c r="AP243" s="152">
        <f>IF(ISNUMBER($AO243),$AO243*$AM243,"")</f>
        <v/>
      </c>
      <c r="AQ243" s="152">
        <f>IF(ISNUMBER($AN243),ABS(IF(ISNUMBER($G243),$G243,0)-Settings!$B$25),"")</f>
        <v/>
      </c>
      <c r="AR243" s="152">
        <f>IF(ISNUMBER($AQ243),$AQ243*$AN243,"")</f>
        <v/>
      </c>
      <c r="AS243" s="152">
        <f>IF($A243="","",IFERROR(INDEX(Company_List!$H$3:$H$207,MATCH($A243,Company_List!$A$3:$A$207,0)),"unassigned"))</f>
        <v/>
      </c>
      <c r="AT243" s="152" t="inlineStr">
        <is>
          <t>not in v1</t>
        </is>
      </c>
      <c r="AU243" s="152" t="inlineStr">
        <is>
          <t>no earlier record</t>
        </is>
      </c>
      <c r="AV243" s="152" t="n">
        <v>1</v>
      </c>
      <c r="AW243" s="152" t="inlineStr">
        <is>
          <t>not publisher-identified</t>
        </is>
      </c>
      <c r="AX243" s="152" t="inlineStr">
        <is>
          <t>not publisher-identified</t>
        </is>
      </c>
      <c r="AY243" s="152" t="inlineStr">
        <is>
          <t>no</t>
        </is>
      </c>
      <c r="AZ243" s="152" t="inlineStr">
        <is>
          <t>no</t>
        </is>
      </c>
      <c r="BA243" s="152" t="inlineStr">
        <is>
          <t>YES</t>
        </is>
      </c>
      <c r="BB243" s="152" t="n"/>
    </row>
    <row r="244" ht="15" customHeight="1" s="241">
      <c r="A244" s="191" t="inlineStr">
        <is>
          <t>Standard Chartered</t>
        </is>
      </c>
      <c r="B244" s="188" t="inlineStr">
        <is>
          <t>STAN.L</t>
        </is>
      </c>
      <c r="C244" s="176" t="n">
        <v>2025</v>
      </c>
      <c r="D244" s="177" t="inlineStr">
        <is>
          <t>Q1</t>
        </is>
      </c>
      <c r="E244" s="178" t="inlineStr">
        <is>
          <t>Ben/DeepSeek</t>
        </is>
      </c>
      <c r="F244" s="177" t="inlineStr">
        <is>
          <t>LLM</t>
        </is>
      </c>
      <c r="G244" s="196" t="n">
        <v>0.06</v>
      </c>
      <c r="H244" s="177" t="inlineStr">
        <is>
          <t>HOLD</t>
        </is>
      </c>
      <c r="I244" s="196" t="n"/>
      <c r="J244" s="182" t="n">
        <v>45779</v>
      </c>
      <c r="K244" s="182" t="n">
        <v>45778</v>
      </c>
      <c r="L244" s="183" t="n">
        <v>1097</v>
      </c>
      <c r="M244" s="182" t="n">
        <v>45779</v>
      </c>
      <c r="N244" s="183" t="n">
        <v>1130</v>
      </c>
      <c r="O244" s="180" t="n">
        <v>0.014816</v>
      </c>
      <c r="P244" s="197" t="n">
        <v>0.030082</v>
      </c>
      <c r="Q244" s="177" t="inlineStr">
        <is>
          <t>UP</t>
        </is>
      </c>
      <c r="R244" s="177" t="inlineStr">
        <is>
          <t>NO</t>
        </is>
      </c>
      <c r="S244" s="176" t="n">
        <v>0</v>
      </c>
      <c r="T244" s="197" t="n">
        <v>0</v>
      </c>
      <c r="U244" s="185" t="inlineStr">
        <is>
          <t>w=[0.80,0.20,0,0] thr=(+0.20,-0.10), deployed default promoted 2026-08-18 (PSR=0.964, permutation p=0.0002 at N=233, restricted search - see blend.py)</t>
        </is>
      </c>
      <c r="V244" s="152" t="inlineStr">
        <is>
          <t>FROZEN</t>
        </is>
      </c>
      <c r="W244" s="152" t="inlineStr">
        <is>
          <t>price signal, re-derived — only this window shows an abnormal move</t>
        </is>
      </c>
      <c r="X244" s="152" t="inlineStr">
        <is>
          <t>STAN.L</t>
        </is>
      </c>
      <c r="Y244" s="152" t="inlineStr">
        <is>
          <t>2025-05-01</t>
        </is>
      </c>
      <c r="Z244" s="152" t="n">
        <v>1096.4708</v>
      </c>
      <c r="AA244" s="152" t="inlineStr">
        <is>
          <t>2025-05-02</t>
        </is>
      </c>
      <c r="AB244" s="152" t="n">
        <v>1129.4549</v>
      </c>
      <c r="AC244" s="152" t="n">
        <v>0.03008204457183445</v>
      </c>
      <c r="AD244" s="152" t="inlineStr">
        <is>
          <t>UP</t>
        </is>
      </c>
      <c r="AE244" s="152" t="inlineStr">
        <is>
          <t>NO</t>
        </is>
      </c>
      <c r="AF244" s="152" t="n">
        <v>-0.031082</v>
      </c>
      <c r="AG244" s="152">
        <f>IF($A244="","",IFERROR(INDEX(Company_List!$G$3:$G$207,MATCH($A244,Company_List!$A$3:$A$207,0)),"unassigned"))</f>
        <v/>
      </c>
      <c r="AH244" s="152" t="inlineStr">
        <is>
          <t>Phase 3/Readings/Standard Chartered/Q1/standard-chartered-plc-q1-2025-transcript.pdf; Phase 3/Readings/Standard Chartered/Q1/standard-chartered-plc-q1-2025-results.pdf; Phase 3/Readings/Standard Chartered/Q1/standard-chartered-plc-q1-2025-presentation.pdf; Phase 3/Readings/Standard Chartered/Q1/standard-chartered-plc-q1-2025-pillar-3-disclosure.pdf</t>
        </is>
      </c>
      <c r="AI244" s="152" t="n"/>
      <c r="AJ244" s="152" t="inlineStr">
        <is>
          <t>whole bundle (Document = All)</t>
        </is>
      </c>
      <c r="AK244" s="152">
        <f>IF($A244="","",IF(COUNTIFS(Human_Data_Entry!$A$3:$A$525,$A244)&gt;0,"YES","NO"))</f>
        <v/>
      </c>
      <c r="AL244" s="152">
        <f>IF($A244="","",IF(AND($C244&amp;"-"&amp;$D244&gt;=Settings!$B$19,$C244&amp;"-"&amp;$D244&lt;=Settings!$B$20),"IN","OUT"))</f>
        <v/>
      </c>
      <c r="AM244" s="152">
        <f>IF(AND(OR($H244="BUY",$H244="SELL"),ISNUMBER($T244)),$T244,"")</f>
        <v/>
      </c>
      <c r="AN244" s="152">
        <f>IF(AND(OR($H244="BUY",$H244="SELL"),ISNUMBER($AF244)),$AF244,"")</f>
        <v/>
      </c>
      <c r="AO244" s="152">
        <f>IF(ISNUMBER($AM244),ABS(IF(ISNUMBER($G244),$G244,0)-Settings!$B$25),"")</f>
        <v/>
      </c>
      <c r="AP244" s="152">
        <f>IF(ISNUMBER($AO244),$AO244*$AM244,"")</f>
        <v/>
      </c>
      <c r="AQ244" s="152">
        <f>IF(ISNUMBER($AN244),ABS(IF(ISNUMBER($G244),$G244,0)-Settings!$B$25),"")</f>
        <v/>
      </c>
      <c r="AR244" s="152">
        <f>IF(ISNUMBER($AQ244),$AQ244*$AN244,"")</f>
        <v/>
      </c>
      <c r="AS244" s="152">
        <f>IF($A244="","",IFERROR(INDEX(Company_List!$H$3:$H$207,MATCH($A244,Company_List!$A$3:$A$207,0)),"unassigned"))</f>
        <v/>
      </c>
      <c r="AT244" s="152" t="inlineStr">
        <is>
          <t>not in v1</t>
        </is>
      </c>
      <c r="AU244" s="152" t="inlineStr">
        <is>
          <t>no earlier record</t>
        </is>
      </c>
      <c r="AV244" s="152" t="n">
        <v>4</v>
      </c>
      <c r="AW244" s="152" t="inlineStr">
        <is>
          <t>not publisher-identified</t>
        </is>
      </c>
      <c r="AX244" s="152" t="inlineStr">
        <is>
          <t>not publisher-identified</t>
        </is>
      </c>
      <c r="AY244" s="152" t="inlineStr">
        <is>
          <t>no</t>
        </is>
      </c>
      <c r="AZ244" s="152" t="inlineStr">
        <is>
          <t>no</t>
        </is>
      </c>
      <c r="BA244" s="152" t="inlineStr">
        <is>
          <t>YES</t>
        </is>
      </c>
      <c r="BB244" s="152" t="n"/>
    </row>
    <row r="245" ht="15" customHeight="1" s="241">
      <c r="A245" s="191" t="inlineStr">
        <is>
          <t>Standard Chartered</t>
        </is>
      </c>
      <c r="B245" s="188" t="inlineStr">
        <is>
          <t>STAN.L</t>
        </is>
      </c>
      <c r="C245" s="176" t="n">
        <v>2025</v>
      </c>
      <c r="D245" s="177" t="inlineStr">
        <is>
          <t>Q2</t>
        </is>
      </c>
      <c r="E245" s="178" t="inlineStr">
        <is>
          <t>Ben/DeepSeek</t>
        </is>
      </c>
      <c r="F245" s="177" t="inlineStr">
        <is>
          <t>LLM</t>
        </is>
      </c>
      <c r="G245" s="196" t="n">
        <v>0.3</v>
      </c>
      <c r="H245" s="177" t="inlineStr">
        <is>
          <t>BUY</t>
        </is>
      </c>
      <c r="I245" s="196" t="n"/>
      <c r="J245" s="182" t="n">
        <v>45869</v>
      </c>
      <c r="K245" s="182" t="n">
        <v>45868</v>
      </c>
      <c r="L245" s="183" t="n">
        <v>1370</v>
      </c>
      <c r="M245" s="182" t="n">
        <v>45869</v>
      </c>
      <c r="N245" s="183" t="n">
        <v>1382</v>
      </c>
      <c r="O245" s="180" t="n">
        <v>0.046005</v>
      </c>
      <c r="P245" s="197" t="n">
        <v>0.008758999999999999</v>
      </c>
      <c r="Q245" s="177" t="inlineStr">
        <is>
          <t>FLAT</t>
        </is>
      </c>
      <c r="R245" s="177" t="inlineStr">
        <is>
          <t>NO</t>
        </is>
      </c>
      <c r="S245" s="176" t="n">
        <v>1</v>
      </c>
      <c r="T245" s="197" t="n">
        <v>0.007759</v>
      </c>
      <c r="U245" s="185" t="inlineStr">
        <is>
          <t>w=[0.80,0.20,0,0] thr=(+0.20,-0.10), deployed default promoted 2026-08-18 (PSR=0.964, permutation p=0.0002 at N=233, restricted search - see blend.py)</t>
        </is>
      </c>
      <c r="V245" s="152" t="inlineStr">
        <is>
          <t>FROZEN</t>
        </is>
      </c>
      <c r="W245" s="152" t="inlineStr">
        <is>
          <t>earnings calendar, seconded independently (section C)</t>
        </is>
      </c>
      <c r="X245" s="152" t="inlineStr">
        <is>
          <t>STAN.L</t>
        </is>
      </c>
      <c r="Y245" s="152" t="inlineStr">
        <is>
          <t>2025-07-30</t>
        </is>
      </c>
      <c r="Z245" s="152" t="n">
        <v>1369.3391</v>
      </c>
      <c r="AA245" s="152" t="inlineStr">
        <is>
          <t>2025-07-31</t>
        </is>
      </c>
      <c r="AB245" s="152" t="n">
        <v>1381.3333</v>
      </c>
      <c r="AC245" s="152" t="n">
        <v>0.008759075270697355</v>
      </c>
      <c r="AD245" s="152" t="inlineStr">
        <is>
          <t>FLAT</t>
        </is>
      </c>
      <c r="AE245" s="152" t="inlineStr">
        <is>
          <t>YES</t>
        </is>
      </c>
      <c r="AF245" s="152" t="n">
        <v>0</v>
      </c>
      <c r="AG245" s="152">
        <f>IF($A245="","",IFERROR(INDEX(Company_List!$G$3:$G$207,MATCH($A245,Company_List!$A$3:$A$207,0)),"unassigned"))</f>
        <v/>
      </c>
      <c r="AH245" s="152" t="inlineStr">
        <is>
          <t>Phase 3/Readings/Standard Chartered/Q2/standard-chartered-plc-post-q2-2025-meeting-with-analysts.pdf; Phase 3/Readings/Standard Chartered/Q2/standard-chartered-plc-hy-2025-results-transcript.pdf; Phase 3/Readings/Standard Chartered/Q2/standard-chartered-plc-hy-2025-report.pdf; Phase 3/Readings/Standard Chartered/Q2/standard-chartered-plc-hy-2025-presentation.pdf; Phase 3/Readings/Standard Chartered/Q2/standard-chartered-plc-hy-2025-pillar-3-disclosures.pdf; Phase 3/Readings/Standard Chartered/Q2/standard-chartered-plc-hy-2025-main-features.pdf</t>
        </is>
      </c>
      <c r="AI245" s="152" t="n"/>
      <c r="AJ245" s="152" t="inlineStr">
        <is>
          <t>whole bundle (Document = All)</t>
        </is>
      </c>
      <c r="AK245" s="152">
        <f>IF($A245="","",IF(COUNTIFS(Human_Data_Entry!$A$3:$A$525,$A245)&gt;0,"YES","NO"))</f>
        <v/>
      </c>
      <c r="AL245" s="152">
        <f>IF($A245="","",IF(AND($C245&amp;"-"&amp;$D245&gt;=Settings!$B$19,$C245&amp;"-"&amp;$D245&lt;=Settings!$B$20),"IN","OUT"))</f>
        <v/>
      </c>
      <c r="AM245" s="152">
        <f>IF(AND(OR($H245="BUY",$H245="SELL"),ISNUMBER($T245)),$T245,"")</f>
        <v/>
      </c>
      <c r="AN245" s="152">
        <f>IF(AND(OR($H245="BUY",$H245="SELL"),ISNUMBER($AF245)),$AF245,"")</f>
        <v/>
      </c>
      <c r="AO245" s="152">
        <f>IF(ISNUMBER($AM245),ABS(IF(ISNUMBER($G245),$G245,0)-Settings!$B$25),"")</f>
        <v/>
      </c>
      <c r="AP245" s="152">
        <f>IF(ISNUMBER($AO245),$AO245*$AM245,"")</f>
        <v/>
      </c>
      <c r="AQ245" s="152">
        <f>IF(ISNUMBER($AN245),ABS(IF(ISNUMBER($G245),$G245,0)-Settings!$B$25),"")</f>
        <v/>
      </c>
      <c r="AR245" s="152">
        <f>IF(ISNUMBER($AQ245),$AQ245*$AN245,"")</f>
        <v/>
      </c>
      <c r="AS245" s="152">
        <f>IF($A245="","",IFERROR(INDEX(Company_List!$H$3:$H$207,MATCH($A245,Company_List!$A$3:$A$207,0)),"unassigned"))</f>
        <v/>
      </c>
      <c r="AT245" s="152" t="inlineStr">
        <is>
          <t>not in v1</t>
        </is>
      </c>
      <c r="AU245" s="152" t="inlineStr">
        <is>
          <t>no earlier record</t>
        </is>
      </c>
      <c r="AV245" s="152" t="n">
        <v>6</v>
      </c>
      <c r="AW245" s="152" t="inlineStr">
        <is>
          <t>not publisher-identified</t>
        </is>
      </c>
      <c r="AX245" s="152" t="inlineStr">
        <is>
          <t>not publisher-identified</t>
        </is>
      </c>
      <c r="AY245" s="152" t="inlineStr">
        <is>
          <t>no</t>
        </is>
      </c>
      <c r="AZ245" s="152" t="inlineStr">
        <is>
          <t>no</t>
        </is>
      </c>
      <c r="BA245" s="152" t="inlineStr">
        <is>
          <t>YES</t>
        </is>
      </c>
      <c r="BB245" s="152" t="n"/>
    </row>
    <row r="246" ht="15" customHeight="1" s="241">
      <c r="A246" s="191" t="inlineStr">
        <is>
          <t>Standard Chartered</t>
        </is>
      </c>
      <c r="B246" s="188" t="inlineStr">
        <is>
          <t>STAN.L</t>
        </is>
      </c>
      <c r="C246" s="176" t="n">
        <v>2025</v>
      </c>
      <c r="D246" s="177" t="inlineStr">
        <is>
          <t>Q3</t>
        </is>
      </c>
      <c r="E246" s="178" t="inlineStr">
        <is>
          <t>Ben/DeepSeek</t>
        </is>
      </c>
      <c r="F246" s="177" t="inlineStr">
        <is>
          <t>LLM</t>
        </is>
      </c>
      <c r="G246" s="196" t="n">
        <v>0.5</v>
      </c>
      <c r="H246" s="177" t="inlineStr">
        <is>
          <t>BUY</t>
        </is>
      </c>
      <c r="I246" s="196" t="n"/>
      <c r="J246" s="182" t="n">
        <v>45960</v>
      </c>
      <c r="K246" s="182" t="n">
        <v>45959</v>
      </c>
      <c r="L246" s="183" t="n">
        <v>1516</v>
      </c>
      <c r="M246" s="182" t="n">
        <v>45960</v>
      </c>
      <c r="N246" s="183" t="n">
        <v>1545</v>
      </c>
      <c r="O246" s="180" t="n">
        <v>0.015278</v>
      </c>
      <c r="P246" s="197" t="n">
        <v>0.019129</v>
      </c>
      <c r="Q246" s="177" t="inlineStr">
        <is>
          <t>FLAT</t>
        </is>
      </c>
      <c r="R246" s="177" t="inlineStr">
        <is>
          <t>NO</t>
        </is>
      </c>
      <c r="S246" s="176" t="n">
        <v>1</v>
      </c>
      <c r="T246" s="197" t="n">
        <v>0.018129</v>
      </c>
      <c r="U246" s="185" t="inlineStr">
        <is>
          <t>w=[0.80,0.20,0,0] thr=(+0.20,-0.10), deployed default promoted 2026-08-18 (PSR=0.964, permutation p=0.0002 at N=233, restricted search - see blend.py)</t>
        </is>
      </c>
      <c r="V246" s="152" t="inlineStr">
        <is>
          <t>FROZEN</t>
        </is>
      </c>
      <c r="W246" s="152" t="inlineStr">
        <is>
          <t>price signal, re-derived — only this window shows an abnormal move</t>
        </is>
      </c>
      <c r="X246" s="152" t="inlineStr">
        <is>
          <t>STAN.L</t>
        </is>
      </c>
      <c r="Y246" s="152" t="inlineStr">
        <is>
          <t>2025-10-29</t>
        </is>
      </c>
      <c r="Z246" s="152" t="n">
        <v>1515.4047</v>
      </c>
      <c r="AA246" s="152" t="inlineStr">
        <is>
          <t>2025-10-30</t>
        </is>
      </c>
      <c r="AB246" s="152" t="n">
        <v>1544.3933</v>
      </c>
      <c r="AC246" s="152" t="n">
        <v>0.01912928282114879</v>
      </c>
      <c r="AD246" s="152" t="inlineStr">
        <is>
          <t>FLAT</t>
        </is>
      </c>
      <c r="AE246" s="152" t="inlineStr">
        <is>
          <t>NO</t>
        </is>
      </c>
      <c r="AF246" s="152" t="n">
        <v>0.018129</v>
      </c>
      <c r="AG246" s="152">
        <f>IF($A246="","",IFERROR(INDEX(Company_List!$G$3:$G$207,MATCH($A246,Company_List!$A$3:$A$207,0)),"unassigned"))</f>
        <v/>
      </c>
      <c r="AH246" s="152" t="inlineStr">
        <is>
          <t>Phase 3/Readings/Standard Chartered/Q3/standard-chartered-plc-q3-2025-results.pdf; Phase 3/Readings/Standard Chartered/Q3/standard-chartered-plc-q3-2025-results-transcript.pdf; Phase 3/Readings/Standard Chartered/Q3/standard-chartered-plc-q3-2025-presentation.pdf; Phase 3/Readings/Standard Chartered/Q3/standard-chartered-plc-q3-2025-pillar3-disclosures.pdf</t>
        </is>
      </c>
      <c r="AI246" s="152" t="n"/>
      <c r="AJ246" s="152" t="inlineStr">
        <is>
          <t>whole bundle (Document = All)</t>
        </is>
      </c>
      <c r="AK246" s="152">
        <f>IF($A246="","",IF(COUNTIFS(Human_Data_Entry!$A$3:$A$525,$A246)&gt;0,"YES","NO"))</f>
        <v/>
      </c>
      <c r="AL246" s="152">
        <f>IF($A246="","",IF(AND($C246&amp;"-"&amp;$D246&gt;=Settings!$B$19,$C246&amp;"-"&amp;$D246&lt;=Settings!$B$20),"IN","OUT"))</f>
        <v/>
      </c>
      <c r="AM246" s="152">
        <f>IF(AND(OR($H246="BUY",$H246="SELL"),ISNUMBER($T246)),$T246,"")</f>
        <v/>
      </c>
      <c r="AN246" s="152">
        <f>IF(AND(OR($H246="BUY",$H246="SELL"),ISNUMBER($AF246)),$AF246,"")</f>
        <v/>
      </c>
      <c r="AO246" s="152">
        <f>IF(ISNUMBER($AM246),ABS(IF(ISNUMBER($G246),$G246,0)-Settings!$B$25),"")</f>
        <v/>
      </c>
      <c r="AP246" s="152">
        <f>IF(ISNUMBER($AO246),$AO246*$AM246,"")</f>
        <v/>
      </c>
      <c r="AQ246" s="152">
        <f>IF(ISNUMBER($AN246),ABS(IF(ISNUMBER($G246),$G246,0)-Settings!$B$25),"")</f>
        <v/>
      </c>
      <c r="AR246" s="152">
        <f>IF(ISNUMBER($AQ246),$AQ246*$AN246,"")</f>
        <v/>
      </c>
      <c r="AS246" s="152">
        <f>IF($A246="","",IFERROR(INDEX(Company_List!$H$3:$H$207,MATCH($A246,Company_List!$A$3:$A$207,0)),"unassigned"))</f>
        <v/>
      </c>
      <c r="AT246" s="152" t="inlineStr">
        <is>
          <t>not in v1</t>
        </is>
      </c>
      <c r="AU246" s="152" t="inlineStr">
        <is>
          <t>no earlier record</t>
        </is>
      </c>
      <c r="AV246" s="152" t="n">
        <v>4</v>
      </c>
      <c r="AW246" s="152" t="inlineStr">
        <is>
          <t>not publisher-identified</t>
        </is>
      </c>
      <c r="AX246" s="152" t="inlineStr">
        <is>
          <t>not publisher-identified</t>
        </is>
      </c>
      <c r="AY246" s="152" t="inlineStr">
        <is>
          <t>no</t>
        </is>
      </c>
      <c r="AZ246" s="152" t="inlineStr">
        <is>
          <t>no</t>
        </is>
      </c>
      <c r="BA246" s="152" t="inlineStr">
        <is>
          <t>YES</t>
        </is>
      </c>
      <c r="BB246" s="152" t="n"/>
    </row>
    <row r="247" ht="15" customHeight="1" s="241">
      <c r="A247" s="191" t="inlineStr">
        <is>
          <t>Standard Chartered</t>
        </is>
      </c>
      <c r="B247" s="188" t="inlineStr">
        <is>
          <t>STAN.L</t>
        </is>
      </c>
      <c r="C247" s="176" t="n">
        <v>2025</v>
      </c>
      <c r="D247" s="177" t="inlineStr">
        <is>
          <t>Q4</t>
        </is>
      </c>
      <c r="E247" s="178" t="inlineStr">
        <is>
          <t>Ben/DeepSeek</t>
        </is>
      </c>
      <c r="F247" s="177" t="inlineStr">
        <is>
          <t>LLM</t>
        </is>
      </c>
      <c r="G247" s="196" t="n">
        <v>0.26</v>
      </c>
      <c r="H247" s="177" t="inlineStr">
        <is>
          <t>BUY</t>
        </is>
      </c>
      <c r="I247" s="196" t="n"/>
      <c r="J247" s="182" t="n">
        <v>46076</v>
      </c>
      <c r="K247" s="182" t="n">
        <v>46073</v>
      </c>
      <c r="L247" s="183" t="n">
        <v>1802</v>
      </c>
      <c r="M247" s="182" t="n">
        <v>46076</v>
      </c>
      <c r="N247" s="183" t="n">
        <v>1811.5</v>
      </c>
      <c r="O247" s="180" t="n">
        <v>0.011402</v>
      </c>
      <c r="P247" s="197" t="n">
        <v>0.005272</v>
      </c>
      <c r="Q247" s="177" t="inlineStr">
        <is>
          <t>FLAT</t>
        </is>
      </c>
      <c r="R247" s="177" t="inlineStr">
        <is>
          <t>NO</t>
        </is>
      </c>
      <c r="S247" s="176" t="n">
        <v>1</v>
      </c>
      <c r="T247" s="197" t="n">
        <v>0.004272</v>
      </c>
      <c r="U247" s="185" t="inlineStr">
        <is>
          <t>w=[0.80,0.20,0,0] thr=(+0.20,-0.10), deployed default promoted 2026-08-18 (PSR=0.964, permutation p=0.0002 at N=233, restricted search - see blend.py)</t>
        </is>
      </c>
      <c r="V247" s="152" t="inlineStr">
        <is>
          <t>FROZEN</t>
        </is>
      </c>
      <c r="W247" s="152" t="inlineStr">
        <is>
          <t>earnings calendar, seconded independently (section C)</t>
        </is>
      </c>
      <c r="X247" s="152" t="inlineStr">
        <is>
          <t>STAN.L</t>
        </is>
      </c>
      <c r="Y247" s="152" t="inlineStr">
        <is>
          <t>2026-02-23</t>
        </is>
      </c>
      <c r="Z247" s="152" t="n">
        <v>1814.7871</v>
      </c>
      <c r="AA247" s="152" t="inlineStr">
        <is>
          <t>2026-02-24</t>
        </is>
      </c>
      <c r="AB247" s="152" t="n">
        <v>1813.2877</v>
      </c>
      <c r="AC247" s="152" t="n">
        <v>-0.000826235286229728</v>
      </c>
      <c r="AD247" s="152" t="inlineStr">
        <is>
          <t>FLAT</t>
        </is>
      </c>
      <c r="AE247" s="152" t="inlineStr">
        <is>
          <t>YES</t>
        </is>
      </c>
      <c r="AF247" s="152" t="n">
        <v>0</v>
      </c>
      <c r="AG247" s="152">
        <f>IF($A247="","",IFERROR(INDEX(Company_List!$G$3:$G$207,MATCH($A247,Company_List!$A$3:$A$207,0)),"unassigned"))</f>
        <v/>
      </c>
      <c r="AH247" s="152" t="inlineStr">
        <is>
          <t>Phase 3/Readings/Standard Chartered/Q4/standard-chartered-plc-post-q4-2025-meeting-with-analysts.pdf; Phase 3/Readings/Standard Chartered/Q4/standard-chartered-plc-full-year-2025-results-transcript.pdf; Phase 3/Readings/Standard Chartered/Q4/standard-chartered-plc-full-year-2025-press-release.pdf; Phase 3/Readings/Standard Chartered/Q4/standard-chartered-plc-full-year-2025-presentation.pdf; Phase 3/Readings/Standard Chartered/Q4/standard-chartered-plc-full-year-2025-pillar3-disclosure.pdf; Phase 3/Readings/Standard Chartered/Q4/standard-chartered-plc-full-year-2025-main-features.pdf; Phase 3/Readings/Standard Chartered/Q4/standard-chartered-plc-full-year-2025-gsib-disclosure.pdf; Phase 3/Readings/Standard Chartered/Q4/standard-chartered-plc-2025-annual-report.pdf</t>
        </is>
      </c>
      <c r="AI247" s="152" t="n"/>
      <c r="AJ247" s="152" t="inlineStr">
        <is>
          <t>whole bundle (Document = All)</t>
        </is>
      </c>
      <c r="AK247" s="152">
        <f>IF($A247="","",IF(COUNTIFS(Human_Data_Entry!$A$3:$A$525,$A247)&gt;0,"YES","NO"))</f>
        <v/>
      </c>
      <c r="AL247" s="152">
        <f>IF($A247="","",IF(AND($C247&amp;"-"&amp;$D247&gt;=Settings!$B$19,$C247&amp;"-"&amp;$D247&lt;=Settings!$B$20),"IN","OUT"))</f>
        <v/>
      </c>
      <c r="AM247" s="152">
        <f>IF(AND(OR($H247="BUY",$H247="SELL"),ISNUMBER($T247)),$T247,"")</f>
        <v/>
      </c>
      <c r="AN247" s="152">
        <f>IF(AND(OR($H247="BUY",$H247="SELL"),ISNUMBER($AF247)),$AF247,"")</f>
        <v/>
      </c>
      <c r="AO247" s="152">
        <f>IF(ISNUMBER($AM247),ABS(IF(ISNUMBER($G247),$G247,0)-Settings!$B$25),"")</f>
        <v/>
      </c>
      <c r="AP247" s="152">
        <f>IF(ISNUMBER($AO247),$AO247*$AM247,"")</f>
        <v/>
      </c>
      <c r="AQ247" s="152">
        <f>IF(ISNUMBER($AN247),ABS(IF(ISNUMBER($G247),$G247,0)-Settings!$B$25),"")</f>
        <v/>
      </c>
      <c r="AR247" s="152">
        <f>IF(ISNUMBER($AQ247),$AQ247*$AN247,"")</f>
        <v/>
      </c>
      <c r="AS247" s="152">
        <f>IF($A247="","",IFERROR(INDEX(Company_List!$H$3:$H$207,MATCH($A247,Company_List!$A$3:$A$207,0)),"unassigned"))</f>
        <v/>
      </c>
      <c r="AT247" s="152" t="inlineStr">
        <is>
          <t>not in v1</t>
        </is>
      </c>
      <c r="AU247" s="152" t="inlineStr">
        <is>
          <t>no earlier record</t>
        </is>
      </c>
      <c r="AV247" s="152" t="n">
        <v>8</v>
      </c>
      <c r="AW247" s="152" t="inlineStr">
        <is>
          <t>not publisher-identified</t>
        </is>
      </c>
      <c r="AX247" s="152" t="inlineStr">
        <is>
          <t>not publisher-identified</t>
        </is>
      </c>
      <c r="AY247" s="152" t="inlineStr">
        <is>
          <t>no</t>
        </is>
      </c>
      <c r="AZ247" s="152" t="inlineStr">
        <is>
          <t>no</t>
        </is>
      </c>
      <c r="BA247" s="152" t="inlineStr">
        <is>
          <t>YES</t>
        </is>
      </c>
      <c r="BB247" s="152" t="n"/>
    </row>
    <row r="248" ht="15" customHeight="1" s="241">
      <c r="A248" s="191" t="inlineStr">
        <is>
          <t>Starbucks</t>
        </is>
      </c>
      <c r="B248" s="188" t="inlineStr">
        <is>
          <t>SBUX</t>
        </is>
      </c>
      <c r="C248" s="176" t="n">
        <v>2026</v>
      </c>
      <c r="D248" s="177" t="inlineStr">
        <is>
          <t>Q1</t>
        </is>
      </c>
      <c r="E248" s="178" t="inlineStr">
        <is>
          <t>Ben/DeepSeek</t>
        </is>
      </c>
      <c r="F248" s="177" t="inlineStr">
        <is>
          <t>LLM</t>
        </is>
      </c>
      <c r="G248" s="196" t="n">
        <v>0.25</v>
      </c>
      <c r="H248" s="177" t="inlineStr">
        <is>
          <t>BUY</t>
        </is>
      </c>
      <c r="I248" s="196" t="n"/>
      <c r="J248" s="182" t="n">
        <v>46049</v>
      </c>
      <c r="K248" s="182" t="n">
        <v>46050</v>
      </c>
      <c r="L248" s="183" t="n">
        <v>95.16</v>
      </c>
      <c r="M248" s="182" t="n">
        <v>46051</v>
      </c>
      <c r="N248" s="183" t="n">
        <v>96.76000000000001</v>
      </c>
      <c r="O248" s="180" t="n">
        <v>0.00523</v>
      </c>
      <c r="P248" s="197" t="n">
        <v>0.016814</v>
      </c>
      <c r="Q248" s="177" t="inlineStr">
        <is>
          <t>FLAT</t>
        </is>
      </c>
      <c r="R248" s="177" t="inlineStr">
        <is>
          <t>NO</t>
        </is>
      </c>
      <c r="S248" s="176" t="n">
        <v>1</v>
      </c>
      <c r="T248" s="197" t="n">
        <v>0.015814</v>
      </c>
      <c r="U248" s="185" t="inlineStr">
        <is>
          <t>w=[0.80,0.20,0,0] thr=(+0.20,-0.10), deployed default promoted 2026-08-18 (PSR=0.964, permutation p=0.0002 at N=233, restricted search - see blend.py)</t>
        </is>
      </c>
      <c r="V248" s="152" t="inlineStr">
        <is>
          <t>FROZEN</t>
        </is>
      </c>
      <c r="W248" s="152" t="inlineStr">
        <is>
          <t>price signal — both moved; this one dominates</t>
        </is>
      </c>
      <c r="X248" s="152" t="inlineStr">
        <is>
          <t>SBUX</t>
        </is>
      </c>
      <c r="Y248" s="152" t="inlineStr">
        <is>
          <t>2026-01-27</t>
        </is>
      </c>
      <c r="Z248" s="152" t="n">
        <v>94.55249999999999</v>
      </c>
      <c r="AA248" s="152" t="inlineStr">
        <is>
          <t>2026-01-28</t>
        </is>
      </c>
      <c r="AB248" s="152" t="n">
        <v>101.0522</v>
      </c>
      <c r="AC248" s="152" t="n">
        <v>0.06874215692255159</v>
      </c>
      <c r="AD248" s="152" t="inlineStr">
        <is>
          <t>UP</t>
        </is>
      </c>
      <c r="AE248" s="152" t="inlineStr">
        <is>
          <t>NO</t>
        </is>
      </c>
      <c r="AF248" s="152" t="n">
        <v>0</v>
      </c>
      <c r="AG248" s="152">
        <f>IF($A248="","",IFERROR(INDEX(Company_List!$G$3:$G$207,MATCH($A248,Company_List!$A$3:$A$207,0)),"unassigned"))</f>
        <v/>
      </c>
      <c r="AH248" s="152" t="inlineStr">
        <is>
          <t>Phase 2/Starbucks/2026-Q1/SBUX-2026-Q1-press-release-SEC-EX-99-1.htm</t>
        </is>
      </c>
      <c r="AI248" s="152" t="inlineStr">
        <is>
          <t>https://www.sec.gov/Archives/edgar/data/829224/000082922426000010/sbux-12282025xearningsrele.htm</t>
        </is>
      </c>
      <c r="AJ248" s="152" t="inlineStr">
        <is>
          <t>manifest</t>
        </is>
      </c>
      <c r="AK248" s="152">
        <f>IF($A248="","",IF(COUNTIFS(Human_Data_Entry!$A$3:$A$525,$A248)&gt;0,"YES","NO"))</f>
        <v/>
      </c>
      <c r="AL248" s="152">
        <f>IF($A248="","",IF(AND($C248&amp;"-"&amp;$D248&gt;=Settings!$B$19,$C248&amp;"-"&amp;$D248&lt;=Settings!$B$20),"IN","OUT"))</f>
        <v/>
      </c>
      <c r="AM248" s="152">
        <f>IF(AND(OR($H248="BUY",$H248="SELL"),ISNUMBER($T248)),$T248,"")</f>
        <v/>
      </c>
      <c r="AN248" s="152">
        <f>IF(AND(OR($H248="BUY",$H248="SELL"),ISNUMBER($AF248)),$AF248,"")</f>
        <v/>
      </c>
      <c r="AO248" s="152">
        <f>IF(ISNUMBER($AM248),ABS(IF(ISNUMBER($G248),$G248,0)-Settings!$B$25),"")</f>
        <v/>
      </c>
      <c r="AP248" s="152">
        <f>IF(ISNUMBER($AO248),$AO248*$AM248,"")</f>
        <v/>
      </c>
      <c r="AQ248" s="152">
        <f>IF(ISNUMBER($AN248),ABS(IF(ISNUMBER($G248),$G248,0)-Settings!$B$25),"")</f>
        <v/>
      </c>
      <c r="AR248" s="152">
        <f>IF(ISNUMBER($AQ248),$AQ248*$AN248,"")</f>
        <v/>
      </c>
      <c r="AS248" s="152">
        <f>IF($A248="","",IFERROR(INDEX(Company_List!$H$3:$H$207,MATCH($A248,Company_List!$A$3:$A$207,0)),"unassigned"))</f>
        <v/>
      </c>
      <c r="AT248" s="152" t="inlineStr">
        <is>
          <t>not in v1</t>
        </is>
      </c>
      <c r="AU248" s="152" t="inlineStr">
        <is>
          <t>no earlier record</t>
        </is>
      </c>
      <c r="AV248" s="152" t="n">
        <v>1</v>
      </c>
      <c r="AW248" s="152" t="inlineStr">
        <is>
          <t>not publisher-identified</t>
        </is>
      </c>
      <c r="AX248" s="152" t="inlineStr">
        <is>
          <t>not publisher-identified</t>
        </is>
      </c>
      <c r="AY248" s="152" t="inlineStr">
        <is>
          <t>no</t>
        </is>
      </c>
      <c r="AZ248" s="152" t="inlineStr">
        <is>
          <t>yes</t>
        </is>
      </c>
      <c r="BA248" s="152" t="inlineStr">
        <is>
          <t>YES</t>
        </is>
      </c>
      <c r="BB248" s="152" t="n"/>
    </row>
    <row r="249" ht="15" customHeight="1" s="241">
      <c r="A249" s="191" t="inlineStr">
        <is>
          <t>Starbucks</t>
        </is>
      </c>
      <c r="B249" s="188" t="inlineStr">
        <is>
          <t>SBUX</t>
        </is>
      </c>
      <c r="C249" s="176" t="n">
        <v>2025</v>
      </c>
      <c r="D249" s="177" t="inlineStr">
        <is>
          <t>Q3</t>
        </is>
      </c>
      <c r="E249" s="178" t="inlineStr">
        <is>
          <t>Ben/DeepSeek</t>
        </is>
      </c>
      <c r="F249" s="177" t="inlineStr">
        <is>
          <t>LLM</t>
        </is>
      </c>
      <c r="G249" s="196" t="n">
        <v>-0.06</v>
      </c>
      <c r="H249" s="177" t="inlineStr">
        <is>
          <t>HOLD</t>
        </is>
      </c>
      <c r="I249" s="196" t="n"/>
      <c r="J249" s="182" t="n">
        <v>45867</v>
      </c>
      <c r="K249" s="182" t="n">
        <v>45867</v>
      </c>
      <c r="L249" s="183" t="n">
        <v>92.95999999999999</v>
      </c>
      <c r="M249" s="182" t="n">
        <v>45868</v>
      </c>
      <c r="N249" s="183" t="n">
        <v>97.83</v>
      </c>
      <c r="O249" s="180" t="n">
        <v>0.008919</v>
      </c>
      <c r="P249" s="197" t="n">
        <v>0.052388</v>
      </c>
      <c r="Q249" s="177" t="inlineStr">
        <is>
          <t>UP</t>
        </is>
      </c>
      <c r="R249" s="177" t="inlineStr">
        <is>
          <t>NO</t>
        </is>
      </c>
      <c r="S249" s="176" t="n">
        <v>0</v>
      </c>
      <c r="T249" s="197" t="n">
        <v>0</v>
      </c>
      <c r="U249" s="185" t="inlineStr">
        <is>
          <t>w=[0.80,0.20,0,0] thr=(+0.20,-0.10), deployed default promoted 2026-08-18 (PSR=0.964, permutation p=0.0002 at N=233, restricted search - see blend.py)</t>
        </is>
      </c>
      <c r="V249" s="152" t="inlineStr">
        <is>
          <t>FROZEN</t>
        </is>
      </c>
      <c r="W249" s="152" t="inlineStr">
        <is>
          <t>release date + stated time in the document (rater worksheet)</t>
        </is>
      </c>
      <c r="X249" s="152" t="inlineStr">
        <is>
          <t>SBUX</t>
        </is>
      </c>
      <c r="Y249" s="152" t="inlineStr">
        <is>
          <t>2025-07-29</t>
        </is>
      </c>
      <c r="Z249" s="152" t="n">
        <v>90.5699</v>
      </c>
      <c r="AA249" s="152" t="inlineStr">
        <is>
          <t>2025-07-30</t>
        </is>
      </c>
      <c r="AB249" s="152" t="n">
        <v>95.3147</v>
      </c>
      <c r="AC249" s="152" t="n">
        <v>0.05238815541756649</v>
      </c>
      <c r="AD249" s="152" t="inlineStr">
        <is>
          <t>UP</t>
        </is>
      </c>
      <c r="AE249" s="152" t="inlineStr">
        <is>
          <t>NO</t>
        </is>
      </c>
      <c r="AF249" s="152" t="n">
        <v>0</v>
      </c>
      <c r="AG249" s="152">
        <f>IF($A249="","",IFERROR(INDEX(Company_List!$G$3:$G$207,MATCH($A249,Company_List!$A$3:$A$207,0)),"unassigned"))</f>
        <v/>
      </c>
      <c r="AH249" s="152" t="inlineStr">
        <is>
          <t>Phase 2/Starbucks/2025-Q3/SBUX-2025-Q3-press-release-SEC-EX-99-1.htm; Phase 2/Starbucks/2025-Q3/SBUX-2025-Q3-earnings-call-transcript-fool-com.html</t>
        </is>
      </c>
      <c r="AI249" s="152" t="inlineStr">
        <is>
          <t>https://www.fool.com/earnings/call-transcripts/2025/08/05/starbucks-sbux-q3-2025-earnings-call-transcript/; https://www.sec.gov/Archives/edgar/data/829224/000082922425000057/sbux-06292025xexhibit991.htm</t>
        </is>
      </c>
      <c r="AJ249" s="152" t="inlineStr">
        <is>
          <t>manifest (whole bundle)</t>
        </is>
      </c>
      <c r="AK249" s="152">
        <f>IF($A249="","",IF(COUNTIFS(Human_Data_Entry!$A$3:$A$525,$A249)&gt;0,"YES","NO"))</f>
        <v/>
      </c>
      <c r="AL249" s="152">
        <f>IF($A249="","",IF(AND($C249&amp;"-"&amp;$D249&gt;=Settings!$B$19,$C249&amp;"-"&amp;$D249&lt;=Settings!$B$20),"IN","OUT"))</f>
        <v/>
      </c>
      <c r="AM249" s="152">
        <f>IF(AND(OR($H249="BUY",$H249="SELL"),ISNUMBER($T249)),$T249,"")</f>
        <v/>
      </c>
      <c r="AN249" s="152">
        <f>IF(AND(OR($H249="BUY",$H249="SELL"),ISNUMBER($AF249)),$AF249,"")</f>
        <v/>
      </c>
      <c r="AO249" s="152">
        <f>IF(ISNUMBER($AM249),ABS(IF(ISNUMBER($G249),$G249,0)-Settings!$B$25),"")</f>
        <v/>
      </c>
      <c r="AP249" s="152">
        <f>IF(ISNUMBER($AO249),$AO249*$AM249,"")</f>
        <v/>
      </c>
      <c r="AQ249" s="152">
        <f>IF(ISNUMBER($AN249),ABS(IF(ISNUMBER($G249),$G249,0)-Settings!$B$25),"")</f>
        <v/>
      </c>
      <c r="AR249" s="152">
        <f>IF(ISNUMBER($AQ249),$AQ249*$AN249,"")</f>
        <v/>
      </c>
      <c r="AS249" s="152">
        <f>IF($A249="","",IFERROR(INDEX(Company_List!$H$3:$H$207,MATCH($A249,Company_List!$A$3:$A$207,0)),"unassigned"))</f>
        <v/>
      </c>
      <c r="AT249" s="152" t="inlineStr">
        <is>
          <t>not in v1</t>
        </is>
      </c>
      <c r="AU249" s="152" t="inlineStr">
        <is>
          <t>no earlier record</t>
        </is>
      </c>
      <c r="AV249" s="152" t="n">
        <v>2</v>
      </c>
      <c r="AW249" s="152" t="inlineStr">
        <is>
          <t>The Motley Fool</t>
        </is>
      </c>
      <c r="AX249" s="152" t="inlineStr">
        <is>
          <t>free to read, copyright asserted</t>
        </is>
      </c>
      <c r="AY249" s="152" t="inlineStr">
        <is>
          <t>no</t>
        </is>
      </c>
      <c r="AZ249" s="152" t="inlineStr">
        <is>
          <t>yes</t>
        </is>
      </c>
      <c r="BA249" s="198" t="inlineStr">
        <is>
          <t>YES</t>
        </is>
      </c>
      <c r="BB249" s="198" t="n"/>
    </row>
    <row r="250" ht="15" customHeight="1" s="241">
      <c r="A250" s="191" t="inlineStr">
        <is>
          <t>Starbucks</t>
        </is>
      </c>
      <c r="B250" s="188" t="inlineStr">
        <is>
          <t>SBUX</t>
        </is>
      </c>
      <c r="C250" s="176" t="n">
        <v>2025</v>
      </c>
      <c r="D250" s="177" t="inlineStr">
        <is>
          <t>Q4</t>
        </is>
      </c>
      <c r="E250" s="178" t="inlineStr">
        <is>
          <t>Ben/DeepSeek</t>
        </is>
      </c>
      <c r="F250" s="177" t="inlineStr">
        <is>
          <t>LLM</t>
        </is>
      </c>
      <c r="G250" s="196" t="n">
        <v>0.26</v>
      </c>
      <c r="H250" s="177" t="inlineStr">
        <is>
          <t>BUY</t>
        </is>
      </c>
      <c r="I250" s="196" t="n"/>
      <c r="J250" s="182" t="n">
        <v>45959</v>
      </c>
      <c r="K250" s="182" t="n">
        <v>45959</v>
      </c>
      <c r="L250" s="183" t="n">
        <v>84.17</v>
      </c>
      <c r="M250" s="182" t="n">
        <v>45960</v>
      </c>
      <c r="N250" s="183" t="n">
        <v>82.23</v>
      </c>
      <c r="O250" s="180" t="n">
        <v>0.010425</v>
      </c>
      <c r="P250" s="197" t="n">
        <v>-0.023049</v>
      </c>
      <c r="Q250" s="177" t="inlineStr">
        <is>
          <t>DOWN</t>
        </is>
      </c>
      <c r="R250" s="177" t="inlineStr">
        <is>
          <t>NO</t>
        </is>
      </c>
      <c r="S250" s="176" t="n">
        <v>1</v>
      </c>
      <c r="T250" s="197" t="n">
        <v>-0.024049</v>
      </c>
      <c r="U250" s="185" t="inlineStr">
        <is>
          <t>w=[0.80,0.20,0,0] thr=(+0.20,-0.10), deployed default promoted 2026-08-18 (PSR=0.964, permutation p=0.0002 at N=233, restricted search - see blend.py)</t>
        </is>
      </c>
      <c r="V250" s="152" t="inlineStr">
        <is>
          <t>FROZEN</t>
        </is>
      </c>
      <c r="W250" s="152" t="inlineStr">
        <is>
          <t>release date + stated time in the document (rater worksheet)</t>
        </is>
      </c>
      <c r="X250" s="152" t="inlineStr">
        <is>
          <t>SBUX</t>
        </is>
      </c>
      <c r="Y250" s="152" t="inlineStr">
        <is>
          <t>2025-10-29</t>
        </is>
      </c>
      <c r="Z250" s="152" t="n">
        <v>82.547</v>
      </c>
      <c r="AA250" s="152" t="inlineStr">
        <is>
          <t>2025-10-30</t>
        </is>
      </c>
      <c r="AB250" s="152" t="n">
        <v>80.6444</v>
      </c>
      <c r="AC250" s="152" t="n">
        <v>-0.02304853313775274</v>
      </c>
      <c r="AD250" s="152" t="inlineStr">
        <is>
          <t>DOWN</t>
        </is>
      </c>
      <c r="AE250" s="152" t="inlineStr">
        <is>
          <t>NO</t>
        </is>
      </c>
      <c r="AF250" s="152" t="n">
        <v>-0.024049</v>
      </c>
      <c r="AG250" s="152">
        <f>IF($A250="","",IFERROR(INDEX(Company_List!$G$3:$G$207,MATCH($A250,Company_List!$A$3:$A$207,0)),"unassigned"))</f>
        <v/>
      </c>
      <c r="AH250" s="152" t="inlineStr">
        <is>
          <t>Phase 2/Starbucks/2025-Q4/SBUX-2025-Q4-press-release-SEC-EX-99-1.htm; Phase 2/Starbucks/2025-Q4/SBUX-2025-Q4-earnings-call-transcript-fool-com.html</t>
        </is>
      </c>
      <c r="AI250" s="152" t="inlineStr">
        <is>
          <t>https://www.fool.com/earnings/call-transcripts/2025/10/29/starbucks-sbux-q4-2025-earnings-call-transcript/; https://www.sec.gov/Archives/edgar/data/829224/000082922425000074/sbux-09282025xexhibit991.htm</t>
        </is>
      </c>
      <c r="AJ250" s="152" t="inlineStr">
        <is>
          <t>manifest (whole bundle)</t>
        </is>
      </c>
      <c r="AK250" s="152">
        <f>IF($A250="","",IF(COUNTIFS(Human_Data_Entry!$A$3:$A$525,$A250)&gt;0,"YES","NO"))</f>
        <v/>
      </c>
      <c r="AL250" s="152">
        <f>IF($A250="","",IF(AND($C250&amp;"-"&amp;$D250&gt;=Settings!$B$19,$C250&amp;"-"&amp;$D250&lt;=Settings!$B$20),"IN","OUT"))</f>
        <v/>
      </c>
      <c r="AM250" s="152">
        <f>IF(AND(OR($H250="BUY",$H250="SELL"),ISNUMBER($T250)),$T250,"")</f>
        <v/>
      </c>
      <c r="AN250" s="152">
        <f>IF(AND(OR($H250="BUY",$H250="SELL"),ISNUMBER($AF250)),$AF250,"")</f>
        <v/>
      </c>
      <c r="AO250" s="152">
        <f>IF(ISNUMBER($AM250),ABS(IF(ISNUMBER($G250),$G250,0)-Settings!$B$25),"")</f>
        <v/>
      </c>
      <c r="AP250" s="152">
        <f>IF(ISNUMBER($AO250),$AO250*$AM250,"")</f>
        <v/>
      </c>
      <c r="AQ250" s="152">
        <f>IF(ISNUMBER($AN250),ABS(IF(ISNUMBER($G250),$G250,0)-Settings!$B$25),"")</f>
        <v/>
      </c>
      <c r="AR250" s="152">
        <f>IF(ISNUMBER($AQ250),$AQ250*$AN250,"")</f>
        <v/>
      </c>
      <c r="AS250" s="152">
        <f>IF($A250="","",IFERROR(INDEX(Company_List!$H$3:$H$207,MATCH($A250,Company_List!$A$3:$A$207,0)),"unassigned"))</f>
        <v/>
      </c>
      <c r="AT250" s="152" t="inlineStr">
        <is>
          <t>not in v1</t>
        </is>
      </c>
      <c r="AU250" s="152" t="inlineStr">
        <is>
          <t>no earlier record</t>
        </is>
      </c>
      <c r="AV250" s="152" t="n">
        <v>2</v>
      </c>
      <c r="AW250" s="152" t="inlineStr">
        <is>
          <t>The Motley Fool</t>
        </is>
      </c>
      <c r="AX250" s="152" t="inlineStr">
        <is>
          <t>free to read, copyright asserted</t>
        </is>
      </c>
      <c r="AY250" s="152" t="inlineStr">
        <is>
          <t>no</t>
        </is>
      </c>
      <c r="AZ250" s="152" t="inlineStr">
        <is>
          <t>yes</t>
        </is>
      </c>
      <c r="BA250" s="152" t="inlineStr">
        <is>
          <t>YES</t>
        </is>
      </c>
      <c r="BB250" s="152" t="n"/>
    </row>
    <row r="251" ht="15" customHeight="1" s="241">
      <c r="A251" s="191" t="inlineStr">
        <is>
          <t>UnitedHealth</t>
        </is>
      </c>
      <c r="B251" s="188" t="inlineStr">
        <is>
          <t>UNH</t>
        </is>
      </c>
      <c r="C251" s="176" t="n">
        <v>2025</v>
      </c>
      <c r="D251" s="177" t="inlineStr">
        <is>
          <t>Q2</t>
        </is>
      </c>
      <c r="E251" s="178" t="inlineStr">
        <is>
          <t>Ben/DeepSeek</t>
        </is>
      </c>
      <c r="F251" s="177" t="inlineStr">
        <is>
          <t>LLM</t>
        </is>
      </c>
      <c r="G251" s="196" t="n">
        <v>-0.58</v>
      </c>
      <c r="H251" s="177" t="inlineStr">
        <is>
          <t>SELL</t>
        </is>
      </c>
      <c r="I251" s="196" t="n"/>
      <c r="J251" s="182" t="n">
        <v>45866</v>
      </c>
      <c r="K251" s="182" t="n">
        <v>45866</v>
      </c>
      <c r="L251" s="183" t="n">
        <v>282.12</v>
      </c>
      <c r="M251" s="182" t="n">
        <v>45867</v>
      </c>
      <c r="N251" s="183" t="n">
        <v>265.7</v>
      </c>
      <c r="O251" s="180" t="n">
        <v>0.013237</v>
      </c>
      <c r="P251" s="197" t="n">
        <v>-0.058202</v>
      </c>
      <c r="Q251" s="177" t="inlineStr">
        <is>
          <t>DOWN</t>
        </is>
      </c>
      <c r="R251" s="177" t="inlineStr">
        <is>
          <t>YES</t>
        </is>
      </c>
      <c r="S251" s="176" t="n">
        <v>-1</v>
      </c>
      <c r="T251" s="197" t="n">
        <v>0.057202</v>
      </c>
      <c r="U251" s="185" t="inlineStr">
        <is>
          <t>w=[0.80,0.20,0,0] thr=(+0.20,-0.10), deployed default promoted 2026-08-18 (PSR=0.964, permutation p=0.0002 at N=233, restricted search - see blend.py)</t>
        </is>
      </c>
      <c r="V251" s="152" t="inlineStr">
        <is>
          <t>FROZEN</t>
        </is>
      </c>
      <c r="W251" s="152" t="inlineStr">
        <is>
          <t>price signal — both moved; this one dominates</t>
        </is>
      </c>
      <c r="X251" s="152" t="inlineStr">
        <is>
          <t>UNH</t>
        </is>
      </c>
      <c r="Y251" s="152" t="inlineStr">
        <is>
          <t>2025-07-28</t>
        </is>
      </c>
      <c r="Z251" s="152" t="n">
        <v>274.7614</v>
      </c>
      <c r="AA251" s="152" t="inlineStr">
        <is>
          <t>2025-07-29</t>
        </is>
      </c>
      <c r="AB251" s="152" t="n">
        <v>258.7697</v>
      </c>
      <c r="AC251" s="152" t="n">
        <v>-0.05820210764857895</v>
      </c>
      <c r="AD251" s="152" t="inlineStr">
        <is>
          <t>DOWN</t>
        </is>
      </c>
      <c r="AE251" s="152" t="inlineStr">
        <is>
          <t>YES</t>
        </is>
      </c>
      <c r="AF251" s="152" t="n">
        <v>0.057202</v>
      </c>
      <c r="AG251" s="152">
        <f>IF($A251="","",IFERROR(INDEX(Company_List!$G$3:$G$207,MATCH($A251,Company_List!$A$3:$A$207,0)),"unassigned"))</f>
        <v/>
      </c>
      <c r="AH251" s="152" t="inlineStr">
        <is>
          <t>Phase 2/Unitedhealth/2025-Q2/UNH-2025-Q2-press-release-SEC-EX-99-1.htm; Phase 2/Unitedhealth/2025-Q2/UNH-2025-Q2-earnings-call-transcript-unitedhealthgroup-com.pdf</t>
        </is>
      </c>
      <c r="AI251" s="152" t="inlineStr">
        <is>
          <t>https://www.sec.gov/Archives/edgar/data/731766/000073176625000228/a2025q2exhibit991.htm; https://www.unitedhealthgroup.com/content/dam/UHG/PDF/investors/2025/UNH-Q2-2025-Remarks.pdf</t>
        </is>
      </c>
      <c r="AJ251" s="152" t="inlineStr">
        <is>
          <t>manifest (whole bundle)</t>
        </is>
      </c>
      <c r="AK251" s="152">
        <f>IF($A251="","",IF(COUNTIFS(Human_Data_Entry!$A$3:$A$525,$A251)&gt;0,"YES","NO"))</f>
        <v/>
      </c>
      <c r="AL251" s="152">
        <f>IF($A251="","",IF(AND($C251&amp;"-"&amp;$D251&gt;=Settings!$B$19,$C251&amp;"-"&amp;$D251&lt;=Settings!$B$20),"IN","OUT"))</f>
        <v/>
      </c>
      <c r="AM251" s="152">
        <f>IF(AND(OR($H251="BUY",$H251="SELL"),ISNUMBER($T251)),$T251,"")</f>
        <v/>
      </c>
      <c r="AN251" s="152">
        <f>IF(AND(OR($H251="BUY",$H251="SELL"),ISNUMBER($AF251)),$AF251,"")</f>
        <v/>
      </c>
      <c r="AO251" s="152">
        <f>IF(ISNUMBER($AM251),ABS(IF(ISNUMBER($G251),$G251,0)-Settings!$B$25),"")</f>
        <v/>
      </c>
      <c r="AP251" s="152">
        <f>IF(ISNUMBER($AO251),$AO251*$AM251,"")</f>
        <v/>
      </c>
      <c r="AQ251" s="152">
        <f>IF(ISNUMBER($AN251),ABS(IF(ISNUMBER($G251),$G251,0)-Settings!$B$25),"")</f>
        <v/>
      </c>
      <c r="AR251" s="152">
        <f>IF(ISNUMBER($AQ251),$AQ251*$AN251,"")</f>
        <v/>
      </c>
      <c r="AS251" s="152">
        <f>IF($A251="","",IFERROR(INDEX(Company_List!$H$3:$H$207,MATCH($A251,Company_List!$A$3:$A$207,0)),"unassigned"))</f>
        <v/>
      </c>
      <c r="AT251" s="152" t="inlineStr">
        <is>
          <t>not in v1</t>
        </is>
      </c>
      <c r="AU251" s="152" t="inlineStr">
        <is>
          <t>no earlier record</t>
        </is>
      </c>
      <c r="AV251" s="152" t="n">
        <v>2</v>
      </c>
      <c r="AW251" s="152" t="inlineStr">
        <is>
          <t>not publisher-identified</t>
        </is>
      </c>
      <c r="AX251" s="152" t="inlineStr">
        <is>
          <t>not publisher-identified</t>
        </is>
      </c>
      <c r="AY251" s="152" t="inlineStr">
        <is>
          <t>no</t>
        </is>
      </c>
      <c r="AZ251" s="152" t="inlineStr">
        <is>
          <t>yes</t>
        </is>
      </c>
      <c r="BA251" s="152" t="inlineStr">
        <is>
          <t>YES</t>
        </is>
      </c>
      <c r="BB251" s="152" t="n"/>
    </row>
    <row r="252" ht="15" customHeight="1" s="241">
      <c r="A252" s="191" t="inlineStr">
        <is>
          <t>UnitedHealth</t>
        </is>
      </c>
      <c r="B252" s="188" t="inlineStr">
        <is>
          <t>UNH</t>
        </is>
      </c>
      <c r="C252" s="176" t="n">
        <v>2025</v>
      </c>
      <c r="D252" s="177" t="inlineStr">
        <is>
          <t>Q3</t>
        </is>
      </c>
      <c r="E252" s="178" t="inlineStr">
        <is>
          <t>Ben/DeepSeek</t>
        </is>
      </c>
      <c r="F252" s="177" t="inlineStr">
        <is>
          <t>LLM</t>
        </is>
      </c>
      <c r="G252" s="196" t="n">
        <v>0.26</v>
      </c>
      <c r="H252" s="177" t="inlineStr">
        <is>
          <t>BUY</t>
        </is>
      </c>
      <c r="I252" s="196" t="n"/>
      <c r="J252" s="182" t="n">
        <v>45957</v>
      </c>
      <c r="K252" s="182" t="n">
        <v>45957</v>
      </c>
      <c r="L252" s="183" t="n">
        <v>365.98</v>
      </c>
      <c r="M252" s="182" t="n">
        <v>45958</v>
      </c>
      <c r="N252" s="183" t="n">
        <v>380.68</v>
      </c>
      <c r="O252" s="180" t="n">
        <v>0.010862</v>
      </c>
      <c r="P252" s="197" t="n">
        <v>0.04016600000000001</v>
      </c>
      <c r="Q252" s="177" t="inlineStr">
        <is>
          <t>UP</t>
        </is>
      </c>
      <c r="R252" s="177" t="inlineStr">
        <is>
          <t>YES</t>
        </is>
      </c>
      <c r="S252" s="176" t="n">
        <v>1</v>
      </c>
      <c r="T252" s="197" t="n">
        <v>0.039166</v>
      </c>
      <c r="U252" s="185" t="inlineStr">
        <is>
          <t>w=[0.80,0.20,0,0] thr=(+0.20,-0.10), deployed default promoted 2026-08-18 (PSR=0.964, permutation p=0.0002 at N=233, restricted search - see blend.py)</t>
        </is>
      </c>
      <c r="V252" s="152" t="inlineStr">
        <is>
          <t>FROZEN</t>
        </is>
      </c>
      <c r="W252" s="152" t="inlineStr">
        <is>
          <t>release date + stated time in the document (rater worksheet)</t>
        </is>
      </c>
      <c r="X252" s="152" t="inlineStr">
        <is>
          <t>UNH</t>
        </is>
      </c>
      <c r="Y252" s="152" t="inlineStr">
        <is>
          <t>2025-10-27</t>
        </is>
      </c>
      <c r="Z252" s="152" t="n">
        <v>358.6828</v>
      </c>
      <c r="AA252" s="152" t="inlineStr">
        <is>
          <t>2025-10-28</t>
        </is>
      </c>
      <c r="AB252" s="152" t="n">
        <v>373.0897</v>
      </c>
      <c r="AC252" s="152" t="n">
        <v>0.04016609929361072</v>
      </c>
      <c r="AD252" s="152" t="inlineStr">
        <is>
          <t>UP</t>
        </is>
      </c>
      <c r="AE252" s="152" t="inlineStr">
        <is>
          <t>YES</t>
        </is>
      </c>
      <c r="AF252" s="152" t="n">
        <v>0.039166</v>
      </c>
      <c r="AG252" s="152">
        <f>IF($A252="","",IFERROR(INDEX(Company_List!$G$3:$G$207,MATCH($A252,Company_List!$A$3:$A$207,0)),"unassigned"))</f>
        <v/>
      </c>
      <c r="AH252" s="152" t="inlineStr">
        <is>
          <t>Phase 2/Unitedhealth/2025-Q3/UNH-2025-Q3-press-release-SEC-EX-99-1.htm; Phase 2/Unitedhealth/2025-Q3/UNH-2025-Q3-earnings-call-transcript-news-alphastreet-com.html; Phase 2/Unitedhealth/2025-Q3/UNH-2025-Q3-quarterly-financial-statements-SEC-10-Q.htm</t>
        </is>
      </c>
      <c r="AI252" s="152" t="inlineStr">
        <is>
          <t>https://news.alphastreet.com/unitedhealth-group-incorporated-unh-q3-2025-earnings-call-transcript/; https://www.sec.gov/Archives/edgar/data/731766/000073176625000301/a2025q3exhibit991.htm; https://www.sec.gov/Archives/edgar/data/731766/000073176625000305/unh-20250930.htm</t>
        </is>
      </c>
      <c r="AJ252" s="152" t="inlineStr">
        <is>
          <t>manifest (whole bundle)</t>
        </is>
      </c>
      <c r="AK252" s="152">
        <f>IF($A252="","",IF(COUNTIFS(Human_Data_Entry!$A$3:$A$525,$A252)&gt;0,"YES","NO"))</f>
        <v/>
      </c>
      <c r="AL252" s="152">
        <f>IF($A252="","",IF(AND($C252&amp;"-"&amp;$D252&gt;=Settings!$B$19,$C252&amp;"-"&amp;$D252&lt;=Settings!$B$20),"IN","OUT"))</f>
        <v/>
      </c>
      <c r="AM252" s="152">
        <f>IF(AND(OR($H252="BUY",$H252="SELL"),ISNUMBER($T252)),$T252,"")</f>
        <v/>
      </c>
      <c r="AN252" s="152">
        <f>IF(AND(OR($H252="BUY",$H252="SELL"),ISNUMBER($AF252)),$AF252,"")</f>
        <v/>
      </c>
      <c r="AO252" s="152">
        <f>IF(ISNUMBER($AM252),ABS(IF(ISNUMBER($G252),$G252,0)-Settings!$B$25),"")</f>
        <v/>
      </c>
      <c r="AP252" s="152">
        <f>IF(ISNUMBER($AO252),$AO252*$AM252,"")</f>
        <v/>
      </c>
      <c r="AQ252" s="152">
        <f>IF(ISNUMBER($AN252),ABS(IF(ISNUMBER($G252),$G252,0)-Settings!$B$25),"")</f>
        <v/>
      </c>
      <c r="AR252" s="152">
        <f>IF(ISNUMBER($AQ252),$AQ252*$AN252,"")</f>
        <v/>
      </c>
      <c r="AS252" s="152">
        <f>IF($A252="","",IFERROR(INDEX(Company_List!$H$3:$H$207,MATCH($A252,Company_List!$A$3:$A$207,0)),"unassigned"))</f>
        <v/>
      </c>
      <c r="AT252" s="152" t="inlineStr">
        <is>
          <t>not in v1</t>
        </is>
      </c>
      <c r="AU252" s="152" t="inlineStr">
        <is>
          <t>no earlier record</t>
        </is>
      </c>
      <c r="AV252" s="152" t="n">
        <v>3</v>
      </c>
      <c r="AW252" s="152" t="inlineStr">
        <is>
          <t>not publisher-identified</t>
        </is>
      </c>
      <c r="AX252" s="152" t="inlineStr">
        <is>
          <t>not publisher-identified</t>
        </is>
      </c>
      <c r="AY252" s="152" t="inlineStr">
        <is>
          <t>one of several</t>
        </is>
      </c>
      <c r="AZ252" s="152" t="inlineStr">
        <is>
          <t>yes</t>
        </is>
      </c>
      <c r="BA252" s="152" t="inlineStr">
        <is>
          <t>YES</t>
        </is>
      </c>
      <c r="BB252" s="152" t="n"/>
    </row>
    <row r="253" ht="15" customHeight="1" s="241">
      <c r="A253" s="191" t="inlineStr">
        <is>
          <t>UnitedHealth</t>
        </is>
      </c>
      <c r="B253" s="188" t="inlineStr">
        <is>
          <t>UNH</t>
        </is>
      </c>
      <c r="C253" s="176" t="n">
        <v>2025</v>
      </c>
      <c r="D253" s="177" t="inlineStr">
        <is>
          <t>Q4</t>
        </is>
      </c>
      <c r="E253" s="178" t="inlineStr">
        <is>
          <t>Ben/DeepSeek</t>
        </is>
      </c>
      <c r="F253" s="177" t="inlineStr">
        <is>
          <t>LLM</t>
        </is>
      </c>
      <c r="G253" s="196" t="n">
        <v>-0.19</v>
      </c>
      <c r="H253" s="177" t="inlineStr">
        <is>
          <t>SELL</t>
        </is>
      </c>
      <c r="I253" s="196" t="n"/>
      <c r="J253" s="182" t="n">
        <v>46048</v>
      </c>
      <c r="K253" s="182" t="n">
        <v>46048</v>
      </c>
      <c r="L253" s="183" t="n">
        <v>351.64</v>
      </c>
      <c r="M253" s="182" t="n">
        <v>46049</v>
      </c>
      <c r="N253" s="183" t="n">
        <v>293.97</v>
      </c>
      <c r="O253" s="180" t="n">
        <v>0.011878</v>
      </c>
      <c r="P253" s="197" t="n">
        <v>-0.164003</v>
      </c>
      <c r="Q253" s="177" t="inlineStr">
        <is>
          <t>DOWN</t>
        </is>
      </c>
      <c r="R253" s="177" t="inlineStr">
        <is>
          <t>YES</t>
        </is>
      </c>
      <c r="S253" s="176" t="n">
        <v>-1</v>
      </c>
      <c r="T253" s="197" t="n">
        <v>0.163003</v>
      </c>
      <c r="U253" s="185" t="inlineStr">
        <is>
          <t>w=[0.80,0.20,0,0] thr=(+0.20,-0.10), deployed default promoted 2026-08-18 (PSR=0.964, permutation p=0.0002 at N=233, restricted search - see blend.py)</t>
        </is>
      </c>
      <c r="V253" s="152" t="inlineStr">
        <is>
          <t>FROZEN</t>
        </is>
      </c>
      <c r="W253" s="152" t="inlineStr">
        <is>
          <t>price signal — only this window shows an abnormal move</t>
        </is>
      </c>
      <c r="X253" s="152" t="inlineStr">
        <is>
          <t>UNH</t>
        </is>
      </c>
      <c r="Y253" s="152" t="inlineStr">
        <is>
          <t>2026-01-26</t>
        </is>
      </c>
      <c r="Z253" s="152" t="n">
        <v>346.9458</v>
      </c>
      <c r="AA253" s="152" t="inlineStr">
        <is>
          <t>2026-01-27</t>
        </is>
      </c>
      <c r="AB253" s="152" t="n">
        <v>290.0456</v>
      </c>
      <c r="AC253" s="152" t="n">
        <v>-0.1640029927523373</v>
      </c>
      <c r="AD253" s="152" t="inlineStr">
        <is>
          <t>DOWN</t>
        </is>
      </c>
      <c r="AE253" s="152" t="inlineStr">
        <is>
          <t>YES</t>
        </is>
      </c>
      <c r="AF253" s="152" t="n">
        <v>0.163003</v>
      </c>
      <c r="AG253" s="152">
        <f>IF($A253="","",IFERROR(INDEX(Company_List!$G$3:$G$207,MATCH($A253,Company_List!$A$3:$A$207,0)),"unassigned"))</f>
        <v/>
      </c>
      <c r="AH253" s="152" t="inlineStr">
        <is>
          <t>Phase 2/Unitedhealth/2025-Q4/UNH-2025-Q4-press-release-SEC-EX-99-1.htm; Phase 2/Unitedhealth/2025-Q4/UNH-2025-Q4-earnings-call-transcript-unitedhealthgroup-com.pdf</t>
        </is>
      </c>
      <c r="AI253" s="152" t="inlineStr">
        <is>
          <t>https://www.sec.gov/Archives/edgar/data/731766/000073176626000025/a991unherq42025.htm; https://www.unitedhealthgroup.com/content/dam/UHG/PDF/investors/2025/unh-q4-2025-remarks.pdf</t>
        </is>
      </c>
      <c r="AJ253" s="152" t="inlineStr">
        <is>
          <t>manifest (whole bundle)</t>
        </is>
      </c>
      <c r="AK253" s="152">
        <f>IF($A253="","",IF(COUNTIFS(Human_Data_Entry!$A$3:$A$525,$A253)&gt;0,"YES","NO"))</f>
        <v/>
      </c>
      <c r="AL253" s="152">
        <f>IF($A253="","",IF(AND($C253&amp;"-"&amp;$D253&gt;=Settings!$B$19,$C253&amp;"-"&amp;$D253&lt;=Settings!$B$20),"IN","OUT"))</f>
        <v/>
      </c>
      <c r="AM253" s="152">
        <f>IF(AND(OR($H253="BUY",$H253="SELL"),ISNUMBER($T253)),$T253,"")</f>
        <v/>
      </c>
      <c r="AN253" s="152">
        <f>IF(AND(OR($H253="BUY",$H253="SELL"),ISNUMBER($AF253)),$AF253,"")</f>
        <v/>
      </c>
      <c r="AO253" s="152">
        <f>IF(ISNUMBER($AM253),ABS(IF(ISNUMBER($G253),$G253,0)-Settings!$B$25),"")</f>
        <v/>
      </c>
      <c r="AP253" s="152">
        <f>IF(ISNUMBER($AO253),$AO253*$AM253,"")</f>
        <v/>
      </c>
      <c r="AQ253" s="152">
        <f>IF(ISNUMBER($AN253),ABS(IF(ISNUMBER($G253),$G253,0)-Settings!$B$25),"")</f>
        <v/>
      </c>
      <c r="AR253" s="152">
        <f>IF(ISNUMBER($AQ253),$AQ253*$AN253,"")</f>
        <v/>
      </c>
      <c r="AS253" s="152">
        <f>IF($A253="","",IFERROR(INDEX(Company_List!$H$3:$H$207,MATCH($A253,Company_List!$A$3:$A$207,0)),"unassigned"))</f>
        <v/>
      </c>
      <c r="AT253" s="152" t="inlineStr">
        <is>
          <t>not in v1</t>
        </is>
      </c>
      <c r="AU253" s="152" t="inlineStr">
        <is>
          <t>no earlier record</t>
        </is>
      </c>
      <c r="AV253" s="152" t="n">
        <v>2</v>
      </c>
      <c r="AW253" s="152" t="inlineStr">
        <is>
          <t>not publisher-identified</t>
        </is>
      </c>
      <c r="AX253" s="152" t="inlineStr">
        <is>
          <t>not publisher-identified</t>
        </is>
      </c>
      <c r="AY253" s="152" t="inlineStr">
        <is>
          <t>no</t>
        </is>
      </c>
      <c r="AZ253" s="152" t="inlineStr">
        <is>
          <t>yes</t>
        </is>
      </c>
      <c r="BA253" s="152" t="inlineStr">
        <is>
          <t>YES</t>
        </is>
      </c>
      <c r="BB253" s="152" t="n"/>
    </row>
    <row r="254" ht="15" customHeight="1" s="241">
      <c r="A254" s="191" t="inlineStr">
        <is>
          <t>Visa</t>
        </is>
      </c>
      <c r="B254" s="188" t="inlineStr">
        <is>
          <t>V</t>
        </is>
      </c>
      <c r="C254" s="176" t="n">
        <v>2025</v>
      </c>
      <c r="D254" s="177" t="inlineStr">
        <is>
          <t>Q1</t>
        </is>
      </c>
      <c r="E254" s="178" t="inlineStr">
        <is>
          <t>Ben/DeepSeek</t>
        </is>
      </c>
      <c r="F254" s="177" t="inlineStr">
        <is>
          <t>LLM</t>
        </is>
      </c>
      <c r="G254" s="196" t="n">
        <v>0.06</v>
      </c>
      <c r="H254" s="177" t="inlineStr">
        <is>
          <t>HOLD</t>
        </is>
      </c>
      <c r="I254" s="196" t="n"/>
      <c r="J254" s="182" t="n">
        <v>45775</v>
      </c>
      <c r="K254" s="182" t="n">
        <v>45776</v>
      </c>
      <c r="L254" s="183" t="n">
        <v>341.52</v>
      </c>
      <c r="M254" s="182" t="n">
        <v>45777</v>
      </c>
      <c r="N254" s="183" t="n">
        <v>334.44</v>
      </c>
      <c r="O254" s="180" t="n">
        <v>0.009750999999999999</v>
      </c>
      <c r="P254" s="197" t="n">
        <v>-0.020731</v>
      </c>
      <c r="Q254" s="177" t="inlineStr">
        <is>
          <t>DOWN</t>
        </is>
      </c>
      <c r="R254" s="177" t="inlineStr">
        <is>
          <t>NO</t>
        </is>
      </c>
      <c r="S254" s="176" t="n">
        <v>0</v>
      </c>
      <c r="T254" s="197" t="n">
        <v>0</v>
      </c>
      <c r="U254" s="185" t="inlineStr">
        <is>
          <t>w=[0.80,0.20,0,0] thr=(+0.20,-0.10), deployed default promoted 2026-08-18 (PSR=0.964, permutation p=0.0002 at N=233, restricted search - see blend.py)</t>
        </is>
      </c>
      <c r="V254" s="152" t="inlineStr">
        <is>
          <t>FROZEN</t>
        </is>
      </c>
      <c r="W254" s="152" t="inlineStr">
        <is>
          <t>price signal</t>
        </is>
      </c>
      <c r="X254" s="152" t="inlineStr">
        <is>
          <t>V</t>
        </is>
      </c>
      <c r="Y254" s="152" t="inlineStr">
        <is>
          <t>2025-04-29</t>
        </is>
      </c>
      <c r="Z254" s="152" t="n">
        <v>338.2817</v>
      </c>
      <c r="AA254" s="152" t="inlineStr">
        <is>
          <t>2025-04-30</t>
        </is>
      </c>
      <c r="AB254" s="152" t="n">
        <v>331.2689</v>
      </c>
      <c r="AC254" s="152" t="n">
        <v>-0.02073084731316826</v>
      </c>
      <c r="AD254" s="152" t="inlineStr">
        <is>
          <t>DOWN</t>
        </is>
      </c>
      <c r="AE254" s="152" t="inlineStr">
        <is>
          <t>YES</t>
        </is>
      </c>
      <c r="AF254" s="152" t="n">
        <v>0.019731</v>
      </c>
      <c r="AG254" s="152">
        <f>IF($A254="","",IFERROR(INDEX(Company_List!$G$3:$G$207,MATCH($A254,Company_List!$A$3:$A$207,0)),"unassigned"))</f>
        <v/>
      </c>
      <c r="AH254" s="152" t="inlineStr">
        <is>
          <t>Phase 3/Readings/Visa/CORRECTED-TRANSCRIPT_-Visa-Inc-V-US-Q2-2025-Earnings-Call-29-April-2025-5_00-PM-ET.pdf</t>
        </is>
      </c>
      <c r="AI254" s="152" t="n"/>
      <c r="AJ254" s="152" t="inlineStr">
        <is>
          <t>unique filename match</t>
        </is>
      </c>
      <c r="AK254" s="152">
        <f>IF($A254="","",IF(COUNTIFS(Human_Data_Entry!$A$3:$A$525,$A254)&gt;0,"YES","NO"))</f>
        <v/>
      </c>
      <c r="AL254" s="152">
        <f>IF($A254="","",IF(AND($C254&amp;"-"&amp;$D254&gt;=Settings!$B$19,$C254&amp;"-"&amp;$D254&lt;=Settings!$B$20),"IN","OUT"))</f>
        <v/>
      </c>
      <c r="AM254" s="152">
        <f>IF(AND(OR($H254="BUY",$H254="SELL"),ISNUMBER($T254)),$T254,"")</f>
        <v/>
      </c>
      <c r="AN254" s="152">
        <f>IF(AND(OR($H254="BUY",$H254="SELL"),ISNUMBER($AF254)),$AF254,"")</f>
        <v/>
      </c>
      <c r="AO254" s="152">
        <f>IF(ISNUMBER($AM254),ABS(IF(ISNUMBER($G254),$G254,0)-Settings!$B$25),"")</f>
        <v/>
      </c>
      <c r="AP254" s="152">
        <f>IF(ISNUMBER($AO254),$AO254*$AM254,"")</f>
        <v/>
      </c>
      <c r="AQ254" s="152">
        <f>IF(ISNUMBER($AN254),ABS(IF(ISNUMBER($G254),$G254,0)-Settings!$B$25),"")</f>
        <v/>
      </c>
      <c r="AR254" s="152">
        <f>IF(ISNUMBER($AQ254),$AQ254*$AN254,"")</f>
        <v/>
      </c>
      <c r="AS254" s="152">
        <f>IF($A254="","",IFERROR(INDEX(Company_List!$H$3:$H$207,MATCH($A254,Company_List!$A$3:$A$207,0)),"unassigned"))</f>
        <v/>
      </c>
      <c r="AT254" s="152" t="inlineStr">
        <is>
          <t>not in v1</t>
        </is>
      </c>
      <c r="AU254" s="152" t="inlineStr">
        <is>
          <t>no earlier record</t>
        </is>
      </c>
      <c r="AV254" s="152" t="n">
        <v>1</v>
      </c>
      <c r="AW254" s="152" t="inlineStr">
        <is>
          <t>FactSet CallStreet</t>
        </is>
      </c>
      <c r="AX254" s="152" t="inlineStr">
        <is>
          <t>licensed vendor</t>
        </is>
      </c>
      <c r="AY254" s="152" t="inlineStr">
        <is>
          <t>no</t>
        </is>
      </c>
      <c r="AZ254" s="152" t="inlineStr">
        <is>
          <t>no</t>
        </is>
      </c>
      <c r="BA254" s="152" t="inlineStr">
        <is>
          <t>YES</t>
        </is>
      </c>
      <c r="BB254" s="152" t="n"/>
    </row>
    <row r="255" ht="15" customHeight="1" s="241">
      <c r="A255" s="191" t="inlineStr">
        <is>
          <t>Visa</t>
        </is>
      </c>
      <c r="B255" s="188" t="inlineStr">
        <is>
          <t>V</t>
        </is>
      </c>
      <c r="C255" s="176" t="n">
        <v>2026</v>
      </c>
      <c r="D255" s="177" t="inlineStr">
        <is>
          <t>Q1</t>
        </is>
      </c>
      <c r="E255" s="178" t="inlineStr">
        <is>
          <t>Ben/DeepSeek</t>
        </is>
      </c>
      <c r="F255" s="177" t="inlineStr">
        <is>
          <t>LLM</t>
        </is>
      </c>
      <c r="G255" s="196" t="n">
        <v>0.38</v>
      </c>
      <c r="H255" s="177" t="inlineStr">
        <is>
          <t>BUY</t>
        </is>
      </c>
      <c r="I255" s="196" t="n"/>
      <c r="J255" s="182" t="n">
        <v>46140</v>
      </c>
      <c r="K255" s="182" t="n">
        <v>46140</v>
      </c>
      <c r="L255" s="183" t="n">
        <v>309.3</v>
      </c>
      <c r="M255" s="182" t="n">
        <v>46141</v>
      </c>
      <c r="N255" s="183" t="n">
        <v>336.4</v>
      </c>
      <c r="O255" s="180" t="n">
        <v>0.010891</v>
      </c>
      <c r="P255" s="197" t="n">
        <v>0.087617</v>
      </c>
      <c r="Q255" s="177" t="inlineStr">
        <is>
          <t>UP</t>
        </is>
      </c>
      <c r="R255" s="177" t="inlineStr">
        <is>
          <t>YES</t>
        </is>
      </c>
      <c r="S255" s="176" t="n">
        <v>1</v>
      </c>
      <c r="T255" s="197" t="n">
        <v>0.086617</v>
      </c>
      <c r="U255" s="185" t="inlineStr">
        <is>
          <t>w=[0.80,0.20,0,0] thr=(+0.20,-0.10), deployed default promoted 2026-08-18 (PSR=0.964, permutation p=0.0002 at N=233, restricted search - see blend.py)</t>
        </is>
      </c>
      <c r="V255" s="152" t="inlineStr">
        <is>
          <t>FROZEN</t>
        </is>
      </c>
      <c r="W255" s="152" t="inlineStr">
        <is>
          <t>price signal — both moved; this one dominates</t>
        </is>
      </c>
      <c r="X255" s="152" t="inlineStr">
        <is>
          <t>V</t>
        </is>
      </c>
      <c r="Y255" s="152" t="inlineStr">
        <is>
          <t>2026-04-28</t>
        </is>
      </c>
      <c r="Z255" s="152" t="n">
        <v>308.6601</v>
      </c>
      <c r="AA255" s="152" t="inlineStr">
        <is>
          <t>2026-04-29</t>
        </is>
      </c>
      <c r="AB255" s="152" t="n">
        <v>335.7041</v>
      </c>
      <c r="AC255" s="152" t="n">
        <v>0.0876172997754088</v>
      </c>
      <c r="AD255" s="152" t="inlineStr">
        <is>
          <t>UP</t>
        </is>
      </c>
      <c r="AE255" s="152" t="inlineStr">
        <is>
          <t>NO</t>
        </is>
      </c>
      <c r="AF255" s="152" t="n">
        <v>0</v>
      </c>
      <c r="AG255" s="152">
        <f>IF($A255="","",IFERROR(INDEX(Company_List!$G$3:$G$207,MATCH($A255,Company_List!$A$3:$A$207,0)),"unassigned"))</f>
        <v/>
      </c>
      <c r="AH255" s="152" t="inlineStr">
        <is>
          <t>Phase 3/Readings/Visa/CORRECTED-TRANSCRIPT_-Visa-Inc-V-US-Q2-2026-Earnings-Call-28-April-2026-5_00-PM-ET-4.pdf</t>
        </is>
      </c>
      <c r="AI255" s="152" t="n"/>
      <c r="AJ255" s="152" t="inlineStr">
        <is>
          <t>unique filename match</t>
        </is>
      </c>
      <c r="AK255" s="152">
        <f>IF($A255="","",IF(COUNTIFS(Human_Data_Entry!$A$3:$A$525,$A255)&gt;0,"YES","NO"))</f>
        <v/>
      </c>
      <c r="AL255" s="152">
        <f>IF($A255="","",IF(AND($C255&amp;"-"&amp;$D255&gt;=Settings!$B$19,$C255&amp;"-"&amp;$D255&lt;=Settings!$B$20),"IN","OUT"))</f>
        <v/>
      </c>
      <c r="AM255" s="152">
        <f>IF(AND(OR($H255="BUY",$H255="SELL"),ISNUMBER($T255)),$T255,"")</f>
        <v/>
      </c>
      <c r="AN255" s="152">
        <f>IF(AND(OR($H255="BUY",$H255="SELL"),ISNUMBER($AF255)),$AF255,"")</f>
        <v/>
      </c>
      <c r="AO255" s="152">
        <f>IF(ISNUMBER($AM255),ABS(IF(ISNUMBER($G255),$G255,0)-Settings!$B$25),"")</f>
        <v/>
      </c>
      <c r="AP255" s="152">
        <f>IF(ISNUMBER($AO255),$AO255*$AM255,"")</f>
        <v/>
      </c>
      <c r="AQ255" s="152">
        <f>IF(ISNUMBER($AN255),ABS(IF(ISNUMBER($G255),$G255,0)-Settings!$B$25),"")</f>
        <v/>
      </c>
      <c r="AR255" s="152">
        <f>IF(ISNUMBER($AQ255),$AQ255*$AN255,"")</f>
        <v/>
      </c>
      <c r="AS255" s="152">
        <f>IF($A255="","",IFERROR(INDEX(Company_List!$H$3:$H$207,MATCH($A255,Company_List!$A$3:$A$207,0)),"unassigned"))</f>
        <v/>
      </c>
      <c r="AT255" s="152" t="inlineStr">
        <is>
          <t>not in v1</t>
        </is>
      </c>
      <c r="AU255" s="152" t="inlineStr">
        <is>
          <t>no earlier record</t>
        </is>
      </c>
      <c r="AV255" s="152" t="n">
        <v>1</v>
      </c>
      <c r="AW255" s="152" t="inlineStr">
        <is>
          <t>FactSet CallStreet</t>
        </is>
      </c>
      <c r="AX255" s="152" t="inlineStr">
        <is>
          <t>licensed vendor</t>
        </is>
      </c>
      <c r="AY255" s="152" t="inlineStr">
        <is>
          <t>no</t>
        </is>
      </c>
      <c r="AZ255" s="152" t="inlineStr">
        <is>
          <t>no</t>
        </is>
      </c>
      <c r="BA255" s="152" t="inlineStr">
        <is>
          <t>YES</t>
        </is>
      </c>
      <c r="BB255" s="152" t="n"/>
    </row>
    <row r="256" ht="15" customHeight="1" s="241">
      <c r="A256" s="191" t="inlineStr">
        <is>
          <t>Visa</t>
        </is>
      </c>
      <c r="B256" s="188" t="inlineStr">
        <is>
          <t>V</t>
        </is>
      </c>
      <c r="C256" s="176" t="n">
        <v>2025</v>
      </c>
      <c r="D256" s="177" t="inlineStr">
        <is>
          <t>Q2</t>
        </is>
      </c>
      <c r="E256" s="178" t="inlineStr">
        <is>
          <t>Ben/DeepSeek</t>
        </is>
      </c>
      <c r="F256" s="177" t="inlineStr">
        <is>
          <t>LLM</t>
        </is>
      </c>
      <c r="G256" s="196" t="n">
        <v>0.22</v>
      </c>
      <c r="H256" s="177" t="inlineStr">
        <is>
          <t>BUY</t>
        </is>
      </c>
      <c r="I256" s="196" t="n"/>
      <c r="J256" s="182" t="n">
        <v>45867</v>
      </c>
      <c r="K256" s="182" t="n">
        <v>45867</v>
      </c>
      <c r="L256" s="183" t="n">
        <v>351.29</v>
      </c>
      <c r="M256" s="182" t="n">
        <v>45868</v>
      </c>
      <c r="N256" s="183" t="n">
        <v>351.7</v>
      </c>
      <c r="O256" s="180" t="n">
        <v>0.004515</v>
      </c>
      <c r="P256" s="197" t="n">
        <v>0.001167</v>
      </c>
      <c r="Q256" s="177" t="inlineStr">
        <is>
          <t>FLAT</t>
        </is>
      </c>
      <c r="R256" s="177" t="inlineStr">
        <is>
          <t>NO</t>
        </is>
      </c>
      <c r="S256" s="176" t="n">
        <v>1</v>
      </c>
      <c r="T256" s="197" t="n">
        <v>0.000167</v>
      </c>
      <c r="U256" s="185" t="inlineStr">
        <is>
          <t>w=[0.80,0.20,0,0] thr=(+0.20,-0.10), deployed default promoted 2026-08-18 (PSR=0.964, permutation p=0.0002 at N=233, restricted search - see blend.py)</t>
        </is>
      </c>
      <c r="V256" s="152" t="inlineStr">
        <is>
          <t>FROZEN</t>
        </is>
      </c>
      <c r="W256" s="152" t="inlineStr">
        <is>
          <t>release time published by the issuer</t>
        </is>
      </c>
      <c r="X256" s="152" t="inlineStr">
        <is>
          <t>V</t>
        </is>
      </c>
      <c r="Y256" s="152" t="inlineStr">
        <is>
          <t>2025-07-29</t>
        </is>
      </c>
      <c r="Z256" s="152" t="n">
        <v>348.537</v>
      </c>
      <c r="AA256" s="152" t="inlineStr">
        <is>
          <t>2025-07-30</t>
        </is>
      </c>
      <c r="AB256" s="152" t="n">
        <v>348.9438</v>
      </c>
      <c r="AC256" s="152" t="n">
        <v>0.001167086332530885</v>
      </c>
      <c r="AD256" s="152" t="inlineStr">
        <is>
          <t>FLAT</t>
        </is>
      </c>
      <c r="AE256" s="152" t="inlineStr">
        <is>
          <t>YES</t>
        </is>
      </c>
      <c r="AF256" s="152" t="n">
        <v>0</v>
      </c>
      <c r="AG256" s="152">
        <f>IF($A256="","",IFERROR(INDEX(Company_List!$G$3:$G$207,MATCH($A256,Company_List!$A$3:$A$207,0)),"unassigned"))</f>
        <v/>
      </c>
      <c r="AH256" s="152" t="inlineStr">
        <is>
          <t>Phase 3/Readings/Visa/CORRECTED-TRANSCRIPT_-Visa-Inc-V-US-Q3-2025-Earnings-Call-29-July-2025-5_00-PM-ET.pdf</t>
        </is>
      </c>
      <c r="AI256" s="152" t="n"/>
      <c r="AJ256" s="152" t="inlineStr">
        <is>
          <t>unique filename match</t>
        </is>
      </c>
      <c r="AK256" s="152">
        <f>IF($A256="","",IF(COUNTIFS(Human_Data_Entry!$A$3:$A$525,$A256)&gt;0,"YES","NO"))</f>
        <v/>
      </c>
      <c r="AL256" s="152">
        <f>IF($A256="","",IF(AND($C256&amp;"-"&amp;$D256&gt;=Settings!$B$19,$C256&amp;"-"&amp;$D256&lt;=Settings!$B$20),"IN","OUT"))</f>
        <v/>
      </c>
      <c r="AM256" s="152">
        <f>IF(AND(OR($H256="BUY",$H256="SELL"),ISNUMBER($T256)),$T256,"")</f>
        <v/>
      </c>
      <c r="AN256" s="152">
        <f>IF(AND(OR($H256="BUY",$H256="SELL"),ISNUMBER($AF256)),$AF256,"")</f>
        <v/>
      </c>
      <c r="AO256" s="152">
        <f>IF(ISNUMBER($AM256),ABS(IF(ISNUMBER($G256),$G256,0)-Settings!$B$25),"")</f>
        <v/>
      </c>
      <c r="AP256" s="152">
        <f>IF(ISNUMBER($AO256),$AO256*$AM256,"")</f>
        <v/>
      </c>
      <c r="AQ256" s="152">
        <f>IF(ISNUMBER($AN256),ABS(IF(ISNUMBER($G256),$G256,0)-Settings!$B$25),"")</f>
        <v/>
      </c>
      <c r="AR256" s="152">
        <f>IF(ISNUMBER($AQ256),$AQ256*$AN256,"")</f>
        <v/>
      </c>
      <c r="AS256" s="152">
        <f>IF($A256="","",IFERROR(INDEX(Company_List!$H$3:$H$207,MATCH($A256,Company_List!$A$3:$A$207,0)),"unassigned"))</f>
        <v/>
      </c>
      <c r="AT256" s="152" t="inlineStr">
        <is>
          <t>not in v1</t>
        </is>
      </c>
      <c r="AU256" s="152" t="inlineStr">
        <is>
          <t>no earlier record</t>
        </is>
      </c>
      <c r="AV256" s="152" t="n">
        <v>1</v>
      </c>
      <c r="AW256" s="152" t="inlineStr">
        <is>
          <t>FactSet CallStreet</t>
        </is>
      </c>
      <c r="AX256" s="152" t="inlineStr">
        <is>
          <t>licensed vendor</t>
        </is>
      </c>
      <c r="AY256" s="152" t="inlineStr">
        <is>
          <t>no</t>
        </is>
      </c>
      <c r="AZ256" s="152" t="inlineStr">
        <is>
          <t>no</t>
        </is>
      </c>
      <c r="BA256" s="152" t="inlineStr">
        <is>
          <t>YES</t>
        </is>
      </c>
      <c r="BB256" s="152" t="n"/>
    </row>
    <row r="257" ht="15" customHeight="1" s="241">
      <c r="A257" s="191" t="inlineStr">
        <is>
          <t>Visa</t>
        </is>
      </c>
      <c r="B257" s="188" t="inlineStr">
        <is>
          <t>V</t>
        </is>
      </c>
      <c r="C257" s="176" t="n">
        <v>2025</v>
      </c>
      <c r="D257" s="177" t="inlineStr">
        <is>
          <t>Q3</t>
        </is>
      </c>
      <c r="E257" s="178" t="inlineStr">
        <is>
          <t>Ben/DeepSeek</t>
        </is>
      </c>
      <c r="F257" s="177" t="inlineStr">
        <is>
          <t>LLM</t>
        </is>
      </c>
      <c r="G257" s="196" t="n">
        <v>0.3</v>
      </c>
      <c r="H257" s="177" t="inlineStr">
        <is>
          <t>BUY</t>
        </is>
      </c>
      <c r="I257" s="196" t="n"/>
      <c r="J257" s="182" t="n">
        <v>45958</v>
      </c>
      <c r="K257" s="182" t="n">
        <v>45958</v>
      </c>
      <c r="L257" s="183" t="n">
        <v>346.9</v>
      </c>
      <c r="M257" s="182" t="n">
        <v>45959</v>
      </c>
      <c r="N257" s="183" t="n">
        <v>346</v>
      </c>
      <c r="O257" s="180" t="n">
        <v>0.011387</v>
      </c>
      <c r="P257" s="197" t="n">
        <v>-0.002594</v>
      </c>
      <c r="Q257" s="177" t="inlineStr">
        <is>
          <t>FLAT</t>
        </is>
      </c>
      <c r="R257" s="177" t="inlineStr">
        <is>
          <t>NO</t>
        </is>
      </c>
      <c r="S257" s="176" t="n">
        <v>1</v>
      </c>
      <c r="T257" s="197" t="n">
        <v>-0.003594</v>
      </c>
      <c r="U257" s="185" t="inlineStr">
        <is>
          <t>w=[0.80,0.20,0,0] thr=(+0.20,-0.10), deployed default promoted 2026-08-18 (PSR=0.964, permutation p=0.0002 at N=233, restricted search - see blend.py) | report_date ambiguous (multiple candidate trading days), unreviewed - see phase2/report_dates.json</t>
        </is>
      </c>
      <c r="V257" s="152" t="inlineStr">
        <is>
          <t>FROZEN</t>
        </is>
      </c>
      <c r="W257" s="152" t="inlineStr">
        <is>
          <t>release time published by the issuer</t>
        </is>
      </c>
      <c r="X257" s="152" t="inlineStr">
        <is>
          <t>V</t>
        </is>
      </c>
      <c r="Y257" s="152" t="inlineStr">
        <is>
          <t>2025-10-28</t>
        </is>
      </c>
      <c r="Z257" s="152" t="n">
        <v>344.787</v>
      </c>
      <c r="AA257" s="152" t="inlineStr">
        <is>
          <t>2025-10-29</t>
        </is>
      </c>
      <c r="AB257" s="152" t="n">
        <v>343.8925</v>
      </c>
      <c r="AC257" s="152" t="n">
        <v>-0.002594277179821893</v>
      </c>
      <c r="AD257" s="152" t="inlineStr">
        <is>
          <t>FLAT</t>
        </is>
      </c>
      <c r="AE257" s="152" t="inlineStr">
        <is>
          <t>NO</t>
        </is>
      </c>
      <c r="AF257" s="152" t="n">
        <v>-0.003594</v>
      </c>
      <c r="AG257" s="152">
        <f>IF($A257="","",IFERROR(INDEX(Company_List!$G$3:$G$207,MATCH($A257,Company_List!$A$3:$A$207,0)),"unassigned"))</f>
        <v/>
      </c>
      <c r="AH257" s="152" t="inlineStr">
        <is>
          <t>Phase 3/Readings/Visa/CORRECTED-TRANSCRIPT_-Visa-Inc-V-US-Q4-2025-Earnings-Call-28-October-2025-5_00-PM-ET.pdf</t>
        </is>
      </c>
      <c r="AI257" s="152" t="n"/>
      <c r="AJ257" s="152" t="inlineStr">
        <is>
          <t>unique filename match</t>
        </is>
      </c>
      <c r="AK257" s="152">
        <f>IF($A257="","",IF(COUNTIFS(Human_Data_Entry!$A$3:$A$525,$A257)&gt;0,"YES","NO"))</f>
        <v/>
      </c>
      <c r="AL257" s="152">
        <f>IF($A257="","",IF(AND($C257&amp;"-"&amp;$D257&gt;=Settings!$B$19,$C257&amp;"-"&amp;$D257&lt;=Settings!$B$20),"IN","OUT"))</f>
        <v/>
      </c>
      <c r="AM257" s="152">
        <f>IF(AND(OR($H257="BUY",$H257="SELL"),ISNUMBER($T257)),$T257,"")</f>
        <v/>
      </c>
      <c r="AN257" s="152">
        <f>IF(AND(OR($H257="BUY",$H257="SELL"),ISNUMBER($AF257)),$AF257,"")</f>
        <v/>
      </c>
      <c r="AO257" s="152">
        <f>IF(ISNUMBER($AM257),ABS(IF(ISNUMBER($G257),$G257,0)-Settings!$B$25),"")</f>
        <v/>
      </c>
      <c r="AP257" s="152">
        <f>IF(ISNUMBER($AO257),$AO257*$AM257,"")</f>
        <v/>
      </c>
      <c r="AQ257" s="152">
        <f>IF(ISNUMBER($AN257),ABS(IF(ISNUMBER($G257),$G257,0)-Settings!$B$25),"")</f>
        <v/>
      </c>
      <c r="AR257" s="152">
        <f>IF(ISNUMBER($AQ257),$AQ257*$AN257,"")</f>
        <v/>
      </c>
      <c r="AS257" s="152">
        <f>IF($A257="","",IFERROR(INDEX(Company_List!$H$3:$H$207,MATCH($A257,Company_List!$A$3:$A$207,0)),"unassigned"))</f>
        <v/>
      </c>
      <c r="AT257" s="152" t="inlineStr">
        <is>
          <t>not in v1</t>
        </is>
      </c>
      <c r="AU257" s="152" t="inlineStr">
        <is>
          <t>no earlier record</t>
        </is>
      </c>
      <c r="AV257" s="152" t="n">
        <v>1</v>
      </c>
      <c r="AW257" s="152" t="inlineStr">
        <is>
          <t>FactSet CallStreet</t>
        </is>
      </c>
      <c r="AX257" s="152" t="inlineStr">
        <is>
          <t>licensed vendor</t>
        </is>
      </c>
      <c r="AY257" s="152" t="inlineStr">
        <is>
          <t>no</t>
        </is>
      </c>
      <c r="AZ257" s="152" t="inlineStr">
        <is>
          <t>no</t>
        </is>
      </c>
      <c r="BA257" s="152" t="inlineStr">
        <is>
          <t>YES</t>
        </is>
      </c>
      <c r="BB257" s="152" t="n"/>
    </row>
    <row r="258" ht="15" customHeight="1" s="241">
      <c r="A258" s="191" t="inlineStr">
        <is>
          <t>Workday</t>
        </is>
      </c>
      <c r="B258" s="188" t="inlineStr">
        <is>
          <t>WDAY</t>
        </is>
      </c>
      <c r="C258" s="176" t="n">
        <v>2025</v>
      </c>
      <c r="D258" s="177" t="inlineStr">
        <is>
          <t>Q1</t>
        </is>
      </c>
      <c r="E258" s="178" t="inlineStr">
        <is>
          <t>Ben/DeepSeek</t>
        </is>
      </c>
      <c r="F258" s="177" t="inlineStr">
        <is>
          <t>LLM</t>
        </is>
      </c>
      <c r="G258" s="196" t="n">
        <v>0.1</v>
      </c>
      <c r="H258" s="177" t="inlineStr">
        <is>
          <t>HOLD</t>
        </is>
      </c>
      <c r="I258" s="196" t="n"/>
      <c r="J258" s="182" t="n">
        <v>45799</v>
      </c>
      <c r="K258" s="182" t="n">
        <v>45799</v>
      </c>
      <c r="L258" s="183" t="n">
        <v>272.07</v>
      </c>
      <c r="M258" s="182" t="n">
        <v>45800</v>
      </c>
      <c r="N258" s="183" t="n">
        <v>241.6</v>
      </c>
      <c r="O258" s="180" t="n">
        <v>0.005443</v>
      </c>
      <c r="P258" s="197" t="n">
        <v>-0.111993</v>
      </c>
      <c r="Q258" s="177" t="inlineStr">
        <is>
          <t>DOWN</t>
        </is>
      </c>
      <c r="R258" s="177" t="inlineStr">
        <is>
          <t>NO</t>
        </is>
      </c>
      <c r="S258" s="176" t="n">
        <v>0</v>
      </c>
      <c r="T258" s="197" t="n">
        <v>0</v>
      </c>
      <c r="U258" s="185" t="inlineStr">
        <is>
          <t>w=[0.80,0.20,0,0] thr=(+0.20,-0.10), deployed default promoted 2026-08-18 (PSR=0.964, permutation p=0.0002 at N=233, restricted search - see blend.py)</t>
        </is>
      </c>
      <c r="V258" s="152" t="inlineStr">
        <is>
          <t>FROZEN</t>
        </is>
      </c>
      <c r="W258" s="152" t="inlineStr">
        <is>
          <t>price signal, re-derived — only this window shows an abnormal move</t>
        </is>
      </c>
      <c r="X258" s="152" t="inlineStr">
        <is>
          <t>WDAY</t>
        </is>
      </c>
      <c r="Y258" s="152" t="inlineStr">
        <is>
          <t>2025-05-22</t>
        </is>
      </c>
      <c r="Z258" s="152" t="n">
        <v>272.07</v>
      </c>
      <c r="AA258" s="152" t="inlineStr">
        <is>
          <t>2025-05-23</t>
        </is>
      </c>
      <c r="AB258" s="152" t="n">
        <v>241.6</v>
      </c>
      <c r="AC258" s="152" t="n">
        <v>-0.1119932378286739</v>
      </c>
      <c r="AD258" s="152" t="inlineStr">
        <is>
          <t>DOWN</t>
        </is>
      </c>
      <c r="AE258" s="152" t="inlineStr">
        <is>
          <t>NO</t>
        </is>
      </c>
      <c r="AF258" s="152" t="n">
        <v>0</v>
      </c>
      <c r="AG258" s="152">
        <f>IF($A258="","",IFERROR(INDEX(Company_List!$G$3:$G$207,MATCH($A258,Company_List!$A$3:$A$207,0)),"unassigned"))</f>
        <v/>
      </c>
      <c r="AH258" s="152" t="inlineStr">
        <is>
          <t>Phase 3/Readings/Workday/Q1/workday-fiscal-2025-first-quarter-investor-presentation.pdf; Phase 3/Readings/Workday/Q1/Workday-Announces-Fiscal-2025-First-Quarter-Financial-Results-05-23-2024-2024.pdf; Phase 3/Readings/Workday/Q1/Transcript : Workday, Inc., Q1 2025 Earnings Call, May 23, 2024 | MarketScreener UK.pdf</t>
        </is>
      </c>
      <c r="AI258" s="152" t="n"/>
      <c r="AJ258" s="152" t="inlineStr">
        <is>
          <t>whole bundle (Document = All)</t>
        </is>
      </c>
      <c r="AK258" s="152">
        <f>IF($A258="","",IF(COUNTIFS(Human_Data_Entry!$A$3:$A$525,$A258)&gt;0,"YES","NO"))</f>
        <v/>
      </c>
      <c r="AL258" s="152">
        <f>IF($A258="","",IF(AND($C258&amp;"-"&amp;$D258&gt;=Settings!$B$19,$C258&amp;"-"&amp;$D258&lt;=Settings!$B$20),"IN","OUT"))</f>
        <v/>
      </c>
      <c r="AM258" s="152">
        <f>IF(AND(OR($H258="BUY",$H258="SELL"),ISNUMBER($T258)),$T258,"")</f>
        <v/>
      </c>
      <c r="AN258" s="152">
        <f>IF(AND(OR($H258="BUY",$H258="SELL"),ISNUMBER($AF258)),$AF258,"")</f>
        <v/>
      </c>
      <c r="AO258" s="152">
        <f>IF(ISNUMBER($AM258),ABS(IF(ISNUMBER($G258),$G258,0)-Settings!$B$25),"")</f>
        <v/>
      </c>
      <c r="AP258" s="152">
        <f>IF(ISNUMBER($AO258),$AO258*$AM258,"")</f>
        <v/>
      </c>
      <c r="AQ258" s="152">
        <f>IF(ISNUMBER($AN258),ABS(IF(ISNUMBER($G258),$G258,0)-Settings!$B$25),"")</f>
        <v/>
      </c>
      <c r="AR258" s="152">
        <f>IF(ISNUMBER($AQ258),$AQ258*$AN258,"")</f>
        <v/>
      </c>
      <c r="AS258" s="152">
        <f>IF($A258="","",IFERROR(INDEX(Company_List!$H$3:$H$207,MATCH($A258,Company_List!$A$3:$A$207,0)),"unassigned"))</f>
        <v/>
      </c>
      <c r="AT258" s="152" t="inlineStr">
        <is>
          <t>not in v1</t>
        </is>
      </c>
      <c r="AU258" s="152" t="inlineStr">
        <is>
          <t>no earlier record</t>
        </is>
      </c>
      <c r="AV258" s="152" t="n">
        <v>3</v>
      </c>
      <c r="AW258" s="152" t="inlineStr">
        <is>
          <t>MarketScreener (Surperformance SAS)</t>
        </is>
      </c>
      <c r="AX258" s="152" t="inlineStr">
        <is>
          <t>licensed vendor</t>
        </is>
      </c>
      <c r="AY258" s="152" t="inlineStr">
        <is>
          <t>no</t>
        </is>
      </c>
      <c r="AZ258" s="152" t="inlineStr">
        <is>
          <t>no</t>
        </is>
      </c>
      <c r="BA258" s="152" t="inlineStr">
        <is>
          <t>YES</t>
        </is>
      </c>
      <c r="BB258" s="152" t="n"/>
    </row>
    <row r="259" ht="15" customHeight="1" s="241">
      <c r="A259" s="191" t="inlineStr">
        <is>
          <t>Workday</t>
        </is>
      </c>
      <c r="B259" s="188" t="inlineStr">
        <is>
          <t>WDAY</t>
        </is>
      </c>
      <c r="C259" s="176" t="n">
        <v>2025</v>
      </c>
      <c r="D259" s="177" t="inlineStr">
        <is>
          <t>Q2</t>
        </is>
      </c>
      <c r="E259" s="178" t="inlineStr">
        <is>
          <t>Ben/DeepSeek</t>
        </is>
      </c>
      <c r="F259" s="177" t="inlineStr">
        <is>
          <t>LLM</t>
        </is>
      </c>
      <c r="G259" s="196" t="n">
        <v>0.44</v>
      </c>
      <c r="H259" s="177" t="inlineStr">
        <is>
          <t>BUY</t>
        </is>
      </c>
      <c r="I259" s="196" t="n"/>
      <c r="J259" s="182" t="n">
        <v>45890</v>
      </c>
      <c r="K259" s="182" t="n">
        <v>45890</v>
      </c>
      <c r="L259" s="183" t="n">
        <v>227.58</v>
      </c>
      <c r="M259" s="182" t="n">
        <v>45891</v>
      </c>
      <c r="N259" s="183" t="n">
        <v>213.88</v>
      </c>
      <c r="O259" s="180" t="n">
        <v>0.025679</v>
      </c>
      <c r="P259" s="197" t="n">
        <v>-0.060199</v>
      </c>
      <c r="Q259" s="177" t="inlineStr">
        <is>
          <t>DOWN</t>
        </is>
      </c>
      <c r="R259" s="177" t="inlineStr">
        <is>
          <t>NO</t>
        </is>
      </c>
      <c r="S259" s="176" t="n">
        <v>1</v>
      </c>
      <c r="T259" s="197" t="n">
        <v>-0.061199</v>
      </c>
      <c r="U259" s="185" t="inlineStr">
        <is>
          <t>w=[0.80,0.20,0,0] thr=(+0.20,-0.10), deployed default promoted 2026-08-18 (PSR=0.964, permutation p=0.0002 at N=233, restricted search - see blend.py)</t>
        </is>
      </c>
      <c r="V259" s="152" t="inlineStr">
        <is>
          <t>FROZEN</t>
        </is>
      </c>
      <c r="W259" s="152" t="inlineStr">
        <is>
          <t>price signal, re-derived — only this window shows an abnormal move</t>
        </is>
      </c>
      <c r="X259" s="152" t="inlineStr">
        <is>
          <t>WDAY</t>
        </is>
      </c>
      <c r="Y259" s="152" t="inlineStr">
        <is>
          <t>2025-08-21</t>
        </is>
      </c>
      <c r="Z259" s="152" t="n">
        <v>227.58</v>
      </c>
      <c r="AA259" s="152" t="inlineStr">
        <is>
          <t>2025-08-22</t>
        </is>
      </c>
      <c r="AB259" s="152" t="n">
        <v>213.88</v>
      </c>
      <c r="AC259" s="152" t="n">
        <v>-0.06019859776607259</v>
      </c>
      <c r="AD259" s="152" t="inlineStr">
        <is>
          <t>DOWN</t>
        </is>
      </c>
      <c r="AE259" s="152" t="inlineStr">
        <is>
          <t>NO</t>
        </is>
      </c>
      <c r="AF259" s="152" t="n">
        <v>-0.061199</v>
      </c>
      <c r="AG259" s="152">
        <f>IF($A259="","",IFERROR(INDEX(Company_List!$G$3:$G$207,MATCH($A259,Company_List!$A$3:$A$207,0)),"unassigned"))</f>
        <v/>
      </c>
      <c r="AH259" s="152" t="inlineStr">
        <is>
          <t>Phase 3/Readings/Workday/Q2/workday-fiscal-2025-second-quarter-prepared-remarks.pdf; Phase 3/Readings/Workday/Q2/workday-fiscal-2025-second-quarter-investor-presentation.pdf; Phase 3/Readings/Workday/Q2/Workday-Announces-Fiscal-2025-Second-Quarter-Financial-Results-08-22-2024-2024.pdf; Phase 3/Readings/Workday/Q2/Transcript : Workday, Inc., Q2 2025 Earnings Call, Aug 22, 2024 | MarketScreener UK.pdf</t>
        </is>
      </c>
      <c r="AI259" s="152" t="n"/>
      <c r="AJ259" s="152" t="inlineStr">
        <is>
          <t>whole bundle (Document = All)</t>
        </is>
      </c>
      <c r="AK259" s="152">
        <f>IF($A259="","",IF(COUNTIFS(Human_Data_Entry!$A$3:$A$525,$A259)&gt;0,"YES","NO"))</f>
        <v/>
      </c>
      <c r="AL259" s="152">
        <f>IF($A259="","",IF(AND($C259&amp;"-"&amp;$D259&gt;=Settings!$B$19,$C259&amp;"-"&amp;$D259&lt;=Settings!$B$20),"IN","OUT"))</f>
        <v/>
      </c>
      <c r="AM259" s="152">
        <f>IF(AND(OR($H259="BUY",$H259="SELL"),ISNUMBER($T259)),$T259,"")</f>
        <v/>
      </c>
      <c r="AN259" s="152">
        <f>IF(AND(OR($H259="BUY",$H259="SELL"),ISNUMBER($AF259)),$AF259,"")</f>
        <v/>
      </c>
      <c r="AO259" s="152">
        <f>IF(ISNUMBER($AM259),ABS(IF(ISNUMBER($G259),$G259,0)-Settings!$B$25),"")</f>
        <v/>
      </c>
      <c r="AP259" s="152">
        <f>IF(ISNUMBER($AO259),$AO259*$AM259,"")</f>
        <v/>
      </c>
      <c r="AQ259" s="152">
        <f>IF(ISNUMBER($AN259),ABS(IF(ISNUMBER($G259),$G259,0)-Settings!$B$25),"")</f>
        <v/>
      </c>
      <c r="AR259" s="152">
        <f>IF(ISNUMBER($AQ259),$AQ259*$AN259,"")</f>
        <v/>
      </c>
      <c r="AS259" s="152">
        <f>IF($A259="","",IFERROR(INDEX(Company_List!$H$3:$H$207,MATCH($A259,Company_List!$A$3:$A$207,0)),"unassigned"))</f>
        <v/>
      </c>
      <c r="AT259" s="152" t="inlineStr">
        <is>
          <t>not in v1</t>
        </is>
      </c>
      <c r="AU259" s="152" t="inlineStr">
        <is>
          <t>no earlier record</t>
        </is>
      </c>
      <c r="AV259" s="152" t="n">
        <v>4</v>
      </c>
      <c r="AW259" s="152" t="inlineStr">
        <is>
          <t>MarketScreener (Surperformance SAS)</t>
        </is>
      </c>
      <c r="AX259" s="152" t="inlineStr">
        <is>
          <t>licensed vendor</t>
        </is>
      </c>
      <c r="AY259" s="152" t="inlineStr">
        <is>
          <t>no</t>
        </is>
      </c>
      <c r="AZ259" s="152" t="inlineStr">
        <is>
          <t>no</t>
        </is>
      </c>
      <c r="BA259" s="152" t="inlineStr">
        <is>
          <t>YES</t>
        </is>
      </c>
      <c r="BB259" s="152" t="n"/>
    </row>
    <row r="260" ht="15" customHeight="1" s="241">
      <c r="A260" s="191" t="inlineStr">
        <is>
          <t>Workday</t>
        </is>
      </c>
      <c r="B260" s="188" t="inlineStr">
        <is>
          <t>WDAY</t>
        </is>
      </c>
      <c r="C260" s="176" t="n">
        <v>2025</v>
      </c>
      <c r="D260" s="177" t="inlineStr">
        <is>
          <t>Q3</t>
        </is>
      </c>
      <c r="E260" s="178" t="inlineStr">
        <is>
          <t>Ben/DeepSeek</t>
        </is>
      </c>
      <c r="F260" s="177" t="inlineStr">
        <is>
          <t>LLM</t>
        </is>
      </c>
      <c r="G260" s="196" t="n">
        <v>0.26</v>
      </c>
      <c r="H260" s="177" t="inlineStr">
        <is>
          <t>BUY</t>
        </is>
      </c>
      <c r="I260" s="196" t="n"/>
      <c r="J260" s="182" t="n">
        <v>45986</v>
      </c>
      <c r="K260" s="182" t="n">
        <v>45986</v>
      </c>
      <c r="L260" s="183" t="n">
        <v>233.69</v>
      </c>
      <c r="M260" s="182" t="n">
        <v>45987</v>
      </c>
      <c r="N260" s="183" t="n">
        <v>215.34</v>
      </c>
      <c r="O260" s="180" t="n">
        <v>0.004464</v>
      </c>
      <c r="P260" s="197" t="n">
        <v>-0.078523</v>
      </c>
      <c r="Q260" s="177" t="inlineStr">
        <is>
          <t>DOWN</t>
        </is>
      </c>
      <c r="R260" s="177" t="inlineStr">
        <is>
          <t>NO</t>
        </is>
      </c>
      <c r="S260" s="176" t="n">
        <v>1</v>
      </c>
      <c r="T260" s="197" t="n">
        <v>-0.079523</v>
      </c>
      <c r="U260" s="185" t="inlineStr">
        <is>
          <t>w=[0.80,0.20,0,0] thr=(+0.20,-0.10), deployed default promoted 2026-08-18 (PSR=0.964, permutation p=0.0002 at N=233, restricted search - see blend.py)</t>
        </is>
      </c>
      <c r="V260" s="152" t="inlineStr">
        <is>
          <t>FROZEN</t>
        </is>
      </c>
      <c r="W260" s="152" t="inlineStr">
        <is>
          <t>price signal, re-derived — only this window shows an abnormal move</t>
        </is>
      </c>
      <c r="X260" s="152" t="inlineStr">
        <is>
          <t>WDAY</t>
        </is>
      </c>
      <c r="Y260" s="152" t="inlineStr">
        <is>
          <t>2025-11-25</t>
        </is>
      </c>
      <c r="Z260" s="152" t="n">
        <v>233.69</v>
      </c>
      <c r="AA260" s="152" t="inlineStr">
        <is>
          <t>2025-11-26</t>
        </is>
      </c>
      <c r="AB260" s="152" t="n">
        <v>215.34</v>
      </c>
      <c r="AC260" s="152" t="n">
        <v>-0.07852285439237568</v>
      </c>
      <c r="AD260" s="152" t="inlineStr">
        <is>
          <t>DOWN</t>
        </is>
      </c>
      <c r="AE260" s="152" t="inlineStr">
        <is>
          <t>NO</t>
        </is>
      </c>
      <c r="AF260" s="152" t="n">
        <v>0</v>
      </c>
      <c r="AG260" s="152">
        <f>IF($A260="","",IFERROR(INDEX(Company_List!$G$3:$G$207,MATCH($A260,Company_List!$A$3:$A$207,0)),"unassigned"))</f>
        <v/>
      </c>
      <c r="AH260" s="152" t="inlineStr">
        <is>
          <t>Phase 3/Readings/Workday/Q3/workday-fiscal-2025-third-quarter-prepared-remarks.pdf; Phase 3/Readings/Workday/Q3/workday-fiscal-2025-third-quarter-investor-presentation.pdf; Phase 3/Readings/Workday/Q3/Workday-Announces-Fiscal-2025-Third-Quarter-Financial-Results-11-26-2024-2024.pdf; Phase 3/Readings/Workday/Q3/Transcript : Workday, Inc., Q3 2025 Earnings Call, Nov 26, 2024 | MarketScreener UK.pdf</t>
        </is>
      </c>
      <c r="AI260" s="152" t="n"/>
      <c r="AJ260" s="152" t="inlineStr">
        <is>
          <t>whole bundle (Document = All)</t>
        </is>
      </c>
      <c r="AK260" s="152">
        <f>IF($A260="","",IF(COUNTIFS(Human_Data_Entry!$A$3:$A$525,$A260)&gt;0,"YES","NO"))</f>
        <v/>
      </c>
      <c r="AL260" s="152">
        <f>IF($A260="","",IF(AND($C260&amp;"-"&amp;$D260&gt;=Settings!$B$19,$C260&amp;"-"&amp;$D260&lt;=Settings!$B$20),"IN","OUT"))</f>
        <v/>
      </c>
      <c r="AM260" s="152">
        <f>IF(AND(OR($H260="BUY",$H260="SELL"),ISNUMBER($T260)),$T260,"")</f>
        <v/>
      </c>
      <c r="AN260" s="152">
        <f>IF(AND(OR($H260="BUY",$H260="SELL"),ISNUMBER($AF260)),$AF260,"")</f>
        <v/>
      </c>
      <c r="AO260" s="152">
        <f>IF(ISNUMBER($AM260),ABS(IF(ISNUMBER($G260),$G260,0)-Settings!$B$25),"")</f>
        <v/>
      </c>
      <c r="AP260" s="152">
        <f>IF(ISNUMBER($AO260),$AO260*$AM260,"")</f>
        <v/>
      </c>
      <c r="AQ260" s="152">
        <f>IF(ISNUMBER($AN260),ABS(IF(ISNUMBER($G260),$G260,0)-Settings!$B$25),"")</f>
        <v/>
      </c>
      <c r="AR260" s="152">
        <f>IF(ISNUMBER($AQ260),$AQ260*$AN260,"")</f>
        <v/>
      </c>
      <c r="AS260" s="152">
        <f>IF($A260="","",IFERROR(INDEX(Company_List!$H$3:$H$207,MATCH($A260,Company_List!$A$3:$A$207,0)),"unassigned"))</f>
        <v/>
      </c>
      <c r="AT260" s="152" t="inlineStr">
        <is>
          <t>not in v1</t>
        </is>
      </c>
      <c r="AU260" s="152" t="inlineStr">
        <is>
          <t>no earlier record</t>
        </is>
      </c>
      <c r="AV260" s="152" t="n">
        <v>4</v>
      </c>
      <c r="AW260" s="152" t="inlineStr">
        <is>
          <t>MarketScreener (Surperformance SAS)</t>
        </is>
      </c>
      <c r="AX260" s="152" t="inlineStr">
        <is>
          <t>licensed vendor</t>
        </is>
      </c>
      <c r="AY260" s="152" t="inlineStr">
        <is>
          <t>no</t>
        </is>
      </c>
      <c r="AZ260" s="152" t="inlineStr">
        <is>
          <t>no</t>
        </is>
      </c>
      <c r="BA260" s="152" t="inlineStr">
        <is>
          <t>YES</t>
        </is>
      </c>
      <c r="BB260" s="152" t="n"/>
    </row>
    <row r="261" ht="15" customHeight="1" s="241">
      <c r="A261" s="191" t="inlineStr">
        <is>
          <t>Workday</t>
        </is>
      </c>
      <c r="B261" s="188" t="inlineStr">
        <is>
          <t>WDAY</t>
        </is>
      </c>
      <c r="C261" s="176" t="n">
        <v>2025</v>
      </c>
      <c r="D261" s="177" t="inlineStr">
        <is>
          <t>Q4</t>
        </is>
      </c>
      <c r="E261" s="178" t="inlineStr">
        <is>
          <t>Ben/DeepSeek</t>
        </is>
      </c>
      <c r="F261" s="177" t="inlineStr">
        <is>
          <t>LLM</t>
        </is>
      </c>
      <c r="G261" s="196" t="n">
        <v>0.1</v>
      </c>
      <c r="H261" s="177" t="inlineStr">
        <is>
          <t>HOLD</t>
        </is>
      </c>
      <c r="I261" s="196" t="n"/>
      <c r="J261" s="182" t="n">
        <v>46077</v>
      </c>
      <c r="K261" s="182" t="n">
        <v>46077</v>
      </c>
      <c r="L261" s="183" t="n">
        <v>130.23</v>
      </c>
      <c r="M261" s="182" t="n">
        <v>46078</v>
      </c>
      <c r="N261" s="183" t="n">
        <v>119.56</v>
      </c>
      <c r="O261" s="180" t="n">
        <v>0.026431</v>
      </c>
      <c r="P261" s="197" t="n">
        <v>-0.08193199999999999</v>
      </c>
      <c r="Q261" s="177" t="inlineStr">
        <is>
          <t>DOWN</t>
        </is>
      </c>
      <c r="R261" s="177" t="inlineStr">
        <is>
          <t>NO</t>
        </is>
      </c>
      <c r="S261" s="176" t="n">
        <v>0</v>
      </c>
      <c r="T261" s="197" t="n">
        <v>0</v>
      </c>
      <c r="U261" s="185" t="inlineStr">
        <is>
          <t>w=[0.80,0.20,0,0] thr=(+0.20,-0.10), deployed default promoted 2026-08-18 (PSR=0.964, permutation p=0.0002 at N=233, restricted search - see blend.py)</t>
        </is>
      </c>
      <c r="V261" s="152" t="inlineStr">
        <is>
          <t>FROZEN</t>
        </is>
      </c>
      <c r="W261" s="152" t="inlineStr">
        <is>
          <t>price signal, re-derived — only this window shows an abnormal move</t>
        </is>
      </c>
      <c r="X261" s="152" t="inlineStr">
        <is>
          <t>WDAY</t>
        </is>
      </c>
      <c r="Y261" s="152" t="inlineStr">
        <is>
          <t>2026-02-24</t>
        </is>
      </c>
      <c r="Z261" s="152" t="n">
        <v>130.23</v>
      </c>
      <c r="AA261" s="152" t="inlineStr">
        <is>
          <t>2026-02-25</t>
        </is>
      </c>
      <c r="AB261" s="152" t="n">
        <v>119.56</v>
      </c>
      <c r="AC261" s="152" t="n">
        <v>-0.08193195367985734</v>
      </c>
      <c r="AD261" s="152" t="inlineStr">
        <is>
          <t>DOWN</t>
        </is>
      </c>
      <c r="AE261" s="152" t="inlineStr">
        <is>
          <t>NO</t>
        </is>
      </c>
      <c r="AF261" s="152" t="n">
        <v>0</v>
      </c>
      <c r="AG261" s="152">
        <f>IF($A261="","",IFERROR(INDEX(Company_List!$G$3:$G$207,MATCH($A261,Company_List!$A$3:$A$207,0)),"unassigned"))</f>
        <v/>
      </c>
      <c r="AH261" s="152" t="inlineStr">
        <is>
          <t>Phase 3/Readings/Workday/Q4/workday-fiscal-2025-fourth-quarter-prepared-remarks.pdf; Phase 3/Readings/Workday/Q4/workday-fiscal-2025-fourth-quarter-investor-presentation.pdf; Phase 3/Readings/Workday/Q4/Workday-Announces-Fiscal-2025-Fourth-Quarter-and-Full-Year-Financial-Results-02-25-2025-2025.pdf; Phase 3/Readings/Workday/Q4/Transcript : Workday, Inc., Q4 2025 Earnings Call, Feb 25, 2025 | MarketScreener UK.pdf</t>
        </is>
      </c>
      <c r="AI261" s="152" t="n"/>
      <c r="AJ261" s="152" t="inlineStr">
        <is>
          <t>whole bundle (Document = All)</t>
        </is>
      </c>
      <c r="AK261" s="152">
        <f>IF($A261="","",IF(COUNTIFS(Human_Data_Entry!$A$3:$A$525,$A261)&gt;0,"YES","NO"))</f>
        <v/>
      </c>
      <c r="AL261" s="152">
        <f>IF($A261="","",IF(AND($C261&amp;"-"&amp;$D261&gt;=Settings!$B$19,$C261&amp;"-"&amp;$D261&lt;=Settings!$B$20),"IN","OUT"))</f>
        <v/>
      </c>
      <c r="AM261" s="152">
        <f>IF(AND(OR($H261="BUY",$H261="SELL"),ISNUMBER($T261)),$T261,"")</f>
        <v/>
      </c>
      <c r="AN261" s="152">
        <f>IF(AND(OR($H261="BUY",$H261="SELL"),ISNUMBER($AF261)),$AF261,"")</f>
        <v/>
      </c>
      <c r="AO261" s="152">
        <f>IF(ISNUMBER($AM261),ABS(IF(ISNUMBER($G261),$G261,0)-Settings!$B$25),"")</f>
        <v/>
      </c>
      <c r="AP261" s="152">
        <f>IF(ISNUMBER($AO261),$AO261*$AM261,"")</f>
        <v/>
      </c>
      <c r="AQ261" s="152">
        <f>IF(ISNUMBER($AN261),ABS(IF(ISNUMBER($G261),$G261,0)-Settings!$B$25),"")</f>
        <v/>
      </c>
      <c r="AR261" s="152">
        <f>IF(ISNUMBER($AQ261),$AQ261*$AN261,"")</f>
        <v/>
      </c>
      <c r="AS261" s="152">
        <f>IF($A261="","",IFERROR(INDEX(Company_List!$H$3:$H$207,MATCH($A261,Company_List!$A$3:$A$207,0)),"unassigned"))</f>
        <v/>
      </c>
      <c r="AT261" s="152" t="inlineStr">
        <is>
          <t>not in v1</t>
        </is>
      </c>
      <c r="AU261" s="152" t="inlineStr">
        <is>
          <t>no earlier record</t>
        </is>
      </c>
      <c r="AV261" s="152" t="n">
        <v>4</v>
      </c>
      <c r="AW261" s="152" t="inlineStr">
        <is>
          <t>MarketScreener (Surperformance SAS)</t>
        </is>
      </c>
      <c r="AX261" s="152" t="inlineStr">
        <is>
          <t>licensed vendor</t>
        </is>
      </c>
      <c r="AY261" s="152" t="inlineStr">
        <is>
          <t>no</t>
        </is>
      </c>
      <c r="AZ261" s="152" t="inlineStr">
        <is>
          <t>no</t>
        </is>
      </c>
      <c r="BA261" s="152" t="inlineStr">
        <is>
          <t>YES</t>
        </is>
      </c>
      <c r="BB261" s="152" t="n"/>
    </row>
    <row r="262">
      <c r="A262" s="191" t="inlineStr">
        <is>
          <t>ExxonMobil</t>
        </is>
      </c>
      <c r="B262" s="188" t="inlineStr">
        <is>
          <t>XOM</t>
        </is>
      </c>
      <c r="C262" s="176" t="n">
        <v>2023</v>
      </c>
      <c r="D262" s="177" t="inlineStr">
        <is>
          <t>Q1</t>
        </is>
      </c>
      <c r="E262" s="178" t="inlineStr">
        <is>
          <t>LLM (DeepSeek)</t>
        </is>
      </c>
      <c r="F262" s="177" t="inlineStr">
        <is>
          <t>LLM</t>
        </is>
      </c>
      <c r="G262" s="196" t="n">
        <v>0.2</v>
      </c>
      <c r="H262" s="177" t="inlineStr">
        <is>
          <t>BUY</t>
        </is>
      </c>
      <c r="J262" s="182" t="n">
        <v>45044</v>
      </c>
      <c r="K262" s="182" t="n">
        <v>45043</v>
      </c>
      <c r="L262" s="183" t="n">
        <v>116.83</v>
      </c>
      <c r="M262" s="182" t="n">
        <v>45044</v>
      </c>
      <c r="N262" s="183" t="n">
        <v>117.25</v>
      </c>
      <c r="O262" s="180" t="n">
        <v>0.008872</v>
      </c>
      <c r="P262" s="197" t="n">
        <v>0.0035</v>
      </c>
      <c r="V262" s="152" t="inlineStr">
        <is>
          <t>EXTENSION</t>
        </is>
      </c>
      <c r="W262" t="inlineStr">
        <is>
          <t>copied from Human_Data_Entry's EDGAR-anchored correction (same event, price fact independent of reading arm); patched 2026-08-27. Original: release date + stated time</t>
        </is>
      </c>
      <c r="X262" t="inlineStr">
        <is>
          <t>XOM</t>
        </is>
      </c>
      <c r="Y262" t="inlineStr">
        <is>
          <t>2023-04-27</t>
        </is>
      </c>
      <c r="Z262" t="n">
        <v>104.7754</v>
      </c>
      <c r="AA262" t="inlineStr">
        <is>
          <t>2023-04-28</t>
        </is>
      </c>
      <c r="AB262" t="n">
        <v>105.152</v>
      </c>
      <c r="AC262" t="n">
        <v>0.003594906008784724</v>
      </c>
      <c r="AD262" t="inlineStr">
        <is>
          <t>FLAT</t>
        </is>
      </c>
      <c r="AG262" s="152">
        <f>IF($A262="","",IFERROR(INDEX(Company_List!$G$3:$G$207,MATCH($A262,Company_List!$A$3:$A$207,0)),"unassigned"))</f>
        <v/>
      </c>
      <c r="AK262" s="152">
        <f>IF($A262="","",IF(COUNTIFS(Human_Data_Entry!$A$3:$A$525,$A262)&gt;0,"YES","NO"))</f>
        <v/>
      </c>
      <c r="AL262" s="152">
        <f>IF($A262="","",IF(AND($C262&amp;"-"&amp;$D262&gt;=Settings!$B$19,$C262&amp;"-"&amp;$D262&lt;=Settings!$B$20),"IN","OUT"))</f>
        <v/>
      </c>
      <c r="AM262" s="152">
        <f>IF(AND(OR($H262="BUY",$H262="SELL"),ISNUMBER($T262)),$T262,"")</f>
        <v/>
      </c>
      <c r="AN262" s="152">
        <f>IF(AND(OR($H262="BUY",$H262="SELL"),ISNUMBER($AF262)),$AF262,"")</f>
        <v/>
      </c>
      <c r="AO262" s="152">
        <f>IF(ISNUMBER($AM262),ABS(IF(ISNUMBER($G262),$G262,0)-Settings!$B$25),"")</f>
        <v/>
      </c>
      <c r="AP262" s="152">
        <f>IF(ISNUMBER($AO262),$AO262*$AM262,"")</f>
        <v/>
      </c>
      <c r="AQ262" s="152">
        <f>IF(ISNUMBER($AN262),ABS(IF(ISNUMBER($G262),$G262,0)-Settings!$B$25),"")</f>
        <v/>
      </c>
      <c r="AR262" s="152">
        <f>IF(ISNUMBER($AQ262),$AQ262*$AN262,"")</f>
        <v/>
      </c>
      <c r="AS262" s="152">
        <f>IF($A262="","",IFERROR(INDEX(Company_List!$H$3:$H$207,MATCH($A262,Company_List!$A$3:$A$207,0)),"unassigned"))</f>
        <v/>
      </c>
    </row>
    <row r="263">
      <c r="A263" s="191" t="inlineStr">
        <is>
          <t>Duke Energy</t>
        </is>
      </c>
      <c r="B263" s="188" t="inlineStr">
        <is>
          <t>DUK</t>
        </is>
      </c>
      <c r="C263" s="176" t="n">
        <v>2023</v>
      </c>
      <c r="D263" s="177" t="inlineStr">
        <is>
          <t>Q1</t>
        </is>
      </c>
      <c r="E263" s="178" t="inlineStr">
        <is>
          <t>LLM (DeepSeek)</t>
        </is>
      </c>
      <c r="F263" s="177" t="inlineStr">
        <is>
          <t>LLM</t>
        </is>
      </c>
      <c r="G263" s="196" t="n">
        <v>0</v>
      </c>
      <c r="H263" s="177" t="inlineStr">
        <is>
          <t>HOLD</t>
        </is>
      </c>
      <c r="J263" s="182" t="n">
        <v>45055</v>
      </c>
      <c r="K263" s="182" t="n">
        <v>45054</v>
      </c>
      <c r="L263" s="183" t="n">
        <v>98.90000000000001</v>
      </c>
      <c r="M263" s="182" t="n">
        <v>45055</v>
      </c>
      <c r="N263" s="183" t="n">
        <v>97.72</v>
      </c>
      <c r="O263" s="180" t="n">
        <v>0.003791</v>
      </c>
      <c r="P263" s="197" t="n">
        <v>-0.0119</v>
      </c>
      <c r="V263" s="152" t="inlineStr">
        <is>
          <t>EXTENSION</t>
        </is>
      </c>
      <c r="W263" t="inlineStr">
        <is>
          <t>copied from Human_Data_Entry's EDGAR-anchored correction (same event, price fact independent of reading arm); patched 2026-08-27. Original: earnings calendar, seconded by the issuer's habit</t>
        </is>
      </c>
      <c r="X263" t="inlineStr">
        <is>
          <t>DUK</t>
        </is>
      </c>
      <c r="Y263" t="inlineStr">
        <is>
          <t>2023-05-08</t>
        </is>
      </c>
      <c r="Z263" t="n">
        <v>87.22929999999999</v>
      </c>
      <c r="AA263" t="inlineStr">
        <is>
          <t>2023-05-09</t>
        </is>
      </c>
      <c r="AB263" t="n">
        <v>86.1885</v>
      </c>
      <c r="AC263" t="n">
        <v>-0.01193117785575892</v>
      </c>
      <c r="AD263" t="inlineStr">
        <is>
          <t>FLAT</t>
        </is>
      </c>
      <c r="AG263" s="152">
        <f>IF($A263="","",IFERROR(INDEX(Company_List!$G$3:$G$207,MATCH($A263,Company_List!$A$3:$A$207,0)),"unassigned"))</f>
        <v/>
      </c>
      <c r="AK263" s="152">
        <f>IF($A263="","",IF(COUNTIFS(Human_Data_Entry!$A$3:$A$525,$A263)&gt;0,"YES","NO"))</f>
        <v/>
      </c>
      <c r="AL263" s="152">
        <f>IF($A263="","",IF(AND($C263&amp;"-"&amp;$D263&gt;=Settings!$B$19,$C263&amp;"-"&amp;$D263&lt;=Settings!$B$20),"IN","OUT"))</f>
        <v/>
      </c>
      <c r="AM263" s="152">
        <f>IF(AND(OR($H263="BUY",$H263="SELL"),ISNUMBER($T263)),$T263,"")</f>
        <v/>
      </c>
      <c r="AN263" s="152">
        <f>IF(AND(OR($H263="BUY",$H263="SELL"),ISNUMBER($AF263)),$AF263,"")</f>
        <v/>
      </c>
      <c r="AO263" s="152">
        <f>IF(ISNUMBER($AM263),ABS(IF(ISNUMBER($G263),$G263,0)-Settings!$B$25),"")</f>
        <v/>
      </c>
      <c r="AP263" s="152">
        <f>IF(ISNUMBER($AO263),$AO263*$AM263,"")</f>
        <v/>
      </c>
      <c r="AQ263" s="152">
        <f>IF(ISNUMBER($AN263),ABS(IF(ISNUMBER($G263),$G263,0)-Settings!$B$25),"")</f>
        <v/>
      </c>
      <c r="AR263" s="152">
        <f>IF(ISNUMBER($AQ263),$AQ263*$AN263,"")</f>
        <v/>
      </c>
      <c r="AS263" s="152">
        <f>IF($A263="","",IFERROR(INDEX(Company_List!$H$3:$H$207,MATCH($A263,Company_List!$A$3:$A$207,0)),"unassigned"))</f>
        <v/>
      </c>
    </row>
    <row r="264">
      <c r="A264" s="191" t="inlineStr">
        <is>
          <t>ExxonMobil</t>
        </is>
      </c>
      <c r="B264" s="188" t="inlineStr">
        <is>
          <t>XOM</t>
        </is>
      </c>
      <c r="C264" s="176" t="n">
        <v>2023</v>
      </c>
      <c r="D264" s="177" t="inlineStr">
        <is>
          <t>Q2</t>
        </is>
      </c>
      <c r="E264" s="178" t="inlineStr">
        <is>
          <t>LLM (DeepSeek)</t>
        </is>
      </c>
      <c r="F264" s="177" t="inlineStr">
        <is>
          <t>LLM</t>
        </is>
      </c>
      <c r="G264" s="196" t="n">
        <v>0.15</v>
      </c>
      <c r="H264" s="177" t="inlineStr">
        <is>
          <t>HOLD</t>
        </is>
      </c>
      <c r="J264" s="182" t="n">
        <v>45135</v>
      </c>
      <c r="K264" s="182" t="n">
        <v>45134</v>
      </c>
      <c r="L264" s="183" t="n">
        <v>105.42</v>
      </c>
      <c r="M264" s="182" t="n">
        <v>45135</v>
      </c>
      <c r="N264" s="183" t="n">
        <v>105.11</v>
      </c>
      <c r="O264" s="180" t="n">
        <v>0.018708</v>
      </c>
      <c r="P264" s="197" t="n">
        <v>-0.0029</v>
      </c>
      <c r="V264" s="152" t="inlineStr">
        <is>
          <t>EXTENSION</t>
        </is>
      </c>
      <c r="W264" t="inlineStr">
        <is>
          <t>copied from Human_Data_Entry's EDGAR-anchored correction (same event, price fact independent of reading arm); patched 2026-08-27. Original: earnings calendar, seconded by the issuer's habit</t>
        </is>
      </c>
      <c r="X264" t="inlineStr">
        <is>
          <t>XOM</t>
        </is>
      </c>
      <c r="Y264" t="inlineStr">
        <is>
          <t>2023-07-27</t>
        </is>
      </c>
      <c r="Z264" t="n">
        <v>95.3631</v>
      </c>
      <c r="AA264" t="inlineStr">
        <is>
          <t>2023-07-28</t>
        </is>
      </c>
      <c r="AB264" t="n">
        <v>95.0827</v>
      </c>
      <c r="AC264" t="n">
        <v>-0.002940524262504416</v>
      </c>
      <c r="AD264" t="inlineStr">
        <is>
          <t>FLAT</t>
        </is>
      </c>
      <c r="AG264" s="152">
        <f>IF($A264="","",IFERROR(INDEX(Company_List!$G$3:$G$207,MATCH($A264,Company_List!$A$3:$A$207,0)),"unassigned"))</f>
        <v/>
      </c>
      <c r="AK264" s="152">
        <f>IF($A264="","",IF(COUNTIFS(Human_Data_Entry!$A$3:$A$525,$A264)&gt;0,"YES","NO"))</f>
        <v/>
      </c>
      <c r="AL264" s="152">
        <f>IF($A264="","",IF(AND($C264&amp;"-"&amp;$D264&gt;=Settings!$B$19,$C264&amp;"-"&amp;$D264&lt;=Settings!$B$20),"IN","OUT"))</f>
        <v/>
      </c>
      <c r="AM264" s="152">
        <f>IF(AND(OR($H264="BUY",$H264="SELL"),ISNUMBER($T264)),$T264,"")</f>
        <v/>
      </c>
      <c r="AN264" s="152">
        <f>IF(AND(OR($H264="BUY",$H264="SELL"),ISNUMBER($AF264)),$AF264,"")</f>
        <v/>
      </c>
      <c r="AO264" s="152">
        <f>IF(ISNUMBER($AM264),ABS(IF(ISNUMBER($G264),$G264,0)-Settings!$B$25),"")</f>
        <v/>
      </c>
      <c r="AP264" s="152">
        <f>IF(ISNUMBER($AO264),$AO264*$AM264,"")</f>
        <v/>
      </c>
      <c r="AQ264" s="152">
        <f>IF(ISNUMBER($AN264),ABS(IF(ISNUMBER($G264),$G264,0)-Settings!$B$25),"")</f>
        <v/>
      </c>
      <c r="AR264" s="152">
        <f>IF(ISNUMBER($AQ264),$AQ264*$AN264,"")</f>
        <v/>
      </c>
      <c r="AS264" s="152">
        <f>IF($A264="","",IFERROR(INDEX(Company_List!$H$3:$H$207,MATCH($A264,Company_List!$A$3:$A$207,0)),"unassigned"))</f>
        <v/>
      </c>
    </row>
    <row r="265">
      <c r="A265" s="191" t="inlineStr">
        <is>
          <t>Duke Energy</t>
        </is>
      </c>
      <c r="B265" s="188" t="inlineStr">
        <is>
          <t>DUK</t>
        </is>
      </c>
      <c r="C265" s="176" t="n">
        <v>2023</v>
      </c>
      <c r="D265" s="177" t="inlineStr">
        <is>
          <t>Q2</t>
        </is>
      </c>
      <c r="E265" s="178" t="inlineStr">
        <is>
          <t>LLM (DeepSeek)</t>
        </is>
      </c>
      <c r="F265" s="177" t="inlineStr">
        <is>
          <t>LLM</t>
        </is>
      </c>
      <c r="G265" s="196" t="n">
        <v>-0.1</v>
      </c>
      <c r="H265" s="177" t="inlineStr">
        <is>
          <t>SELL</t>
        </is>
      </c>
      <c r="J265" s="182" t="n">
        <v>45146</v>
      </c>
      <c r="K265" s="182" t="n">
        <v>45145</v>
      </c>
      <c r="L265" s="183" t="n">
        <v>89.66</v>
      </c>
      <c r="M265" s="182" t="n">
        <v>45146</v>
      </c>
      <c r="N265" s="183" t="n">
        <v>90.28</v>
      </c>
      <c r="O265" s="180" t="n">
        <v>0.005056</v>
      </c>
      <c r="P265" s="197" t="n">
        <v>0.0069</v>
      </c>
      <c r="V265" s="152" t="inlineStr">
        <is>
          <t>EXTENSION</t>
        </is>
      </c>
      <c r="W265" t="inlineStr">
        <is>
          <t>copied from Human_Data_Entry's EDGAR-anchored correction (same event, price fact independent of reading arm); patched 2026-08-27. Original: document date + price signal</t>
        </is>
      </c>
      <c r="X265" t="inlineStr">
        <is>
          <t>DUK</t>
        </is>
      </c>
      <c r="Y265" t="inlineStr">
        <is>
          <t>2023-08-07</t>
        </is>
      </c>
      <c r="Z265" t="n">
        <v>79.8895</v>
      </c>
      <c r="AA265" t="inlineStr">
        <is>
          <t>2023-08-08</t>
        </is>
      </c>
      <c r="AB265" t="n">
        <v>80.4419</v>
      </c>
      <c r="AC265" t="n">
        <v>0.006914932083307425</v>
      </c>
      <c r="AD265" t="inlineStr">
        <is>
          <t>FLAT</t>
        </is>
      </c>
      <c r="AG265" s="152">
        <f>IF($A265="","",IFERROR(INDEX(Company_List!$G$3:$G$207,MATCH($A265,Company_List!$A$3:$A$207,0)),"unassigned"))</f>
        <v/>
      </c>
      <c r="AK265" s="152">
        <f>IF($A265="","",IF(COUNTIFS(Human_Data_Entry!$A$3:$A$525,$A265)&gt;0,"YES","NO"))</f>
        <v/>
      </c>
      <c r="AL265" s="152">
        <f>IF($A265="","",IF(AND($C265&amp;"-"&amp;$D265&gt;=Settings!$B$19,$C265&amp;"-"&amp;$D265&lt;=Settings!$B$20),"IN","OUT"))</f>
        <v/>
      </c>
      <c r="AM265" s="152">
        <f>IF(AND(OR($H265="BUY",$H265="SELL"),ISNUMBER($T265)),$T265,"")</f>
        <v/>
      </c>
      <c r="AN265" s="152">
        <f>IF(AND(OR($H265="BUY",$H265="SELL"),ISNUMBER($AF265)),$AF265,"")</f>
        <v/>
      </c>
      <c r="AO265" s="152">
        <f>IF(ISNUMBER($AM265),ABS(IF(ISNUMBER($G265),$G265,0)-Settings!$B$25),"")</f>
        <v/>
      </c>
      <c r="AP265" s="152">
        <f>IF(ISNUMBER($AO265),$AO265*$AM265,"")</f>
        <v/>
      </c>
      <c r="AQ265" s="152">
        <f>IF(ISNUMBER($AN265),ABS(IF(ISNUMBER($G265),$G265,0)-Settings!$B$25),"")</f>
        <v/>
      </c>
      <c r="AR265" s="152">
        <f>IF(ISNUMBER($AQ265),$AQ265*$AN265,"")</f>
        <v/>
      </c>
      <c r="AS265" s="152">
        <f>IF($A265="","",IFERROR(INDEX(Company_List!$H$3:$H$207,MATCH($A265,Company_List!$A$3:$A$207,0)),"unassigned"))</f>
        <v/>
      </c>
    </row>
    <row r="266">
      <c r="A266" s="191" t="inlineStr">
        <is>
          <t>ExxonMobil</t>
        </is>
      </c>
      <c r="B266" s="188" t="inlineStr">
        <is>
          <t>XOM</t>
        </is>
      </c>
      <c r="C266" s="176" t="n">
        <v>2023</v>
      </c>
      <c r="D266" s="177" t="inlineStr">
        <is>
          <t>Q3</t>
        </is>
      </c>
      <c r="E266" s="178" t="inlineStr">
        <is>
          <t>LLM (DeepSeek)</t>
        </is>
      </c>
      <c r="F266" s="177" t="inlineStr">
        <is>
          <t>LLM</t>
        </is>
      </c>
      <c r="G266" s="196" t="n">
        <v>0.25</v>
      </c>
      <c r="H266" s="177" t="inlineStr">
        <is>
          <t>BUY</t>
        </is>
      </c>
      <c r="J266" s="182" t="n">
        <v>45226</v>
      </c>
      <c r="K266" s="182" t="n">
        <v>45225</v>
      </c>
      <c r="L266" s="183" t="n">
        <v>107.6</v>
      </c>
      <c r="M266" s="182" t="n">
        <v>45226</v>
      </c>
      <c r="N266" s="183" t="n">
        <v>108.89</v>
      </c>
      <c r="O266" s="180" t="n">
        <v>0.010597</v>
      </c>
      <c r="P266" s="197" t="n">
        <v>0.012</v>
      </c>
      <c r="V266" s="152" t="inlineStr">
        <is>
          <t>EXTENSION</t>
        </is>
      </c>
      <c r="W266" t="inlineStr">
        <is>
          <t>copied from Human_Data_Entry's EDGAR-anchored correction (same event, price fact independent of reading arm); patched 2026-08-27. Original: release date + stated time</t>
        </is>
      </c>
      <c r="X266" t="inlineStr">
        <is>
          <t>XOM</t>
        </is>
      </c>
      <c r="Y266" t="inlineStr">
        <is>
          <t>2023-10-26</t>
        </is>
      </c>
      <c r="Z266" t="n">
        <v>98.133</v>
      </c>
      <c r="AA266" t="inlineStr">
        <is>
          <t>2023-10-27</t>
        </is>
      </c>
      <c r="AB266" t="n">
        <v>99.3095</v>
      </c>
      <c r="AC266" t="n">
        <v>0.01198902046479213</v>
      </c>
      <c r="AD266" t="inlineStr">
        <is>
          <t>FLAT</t>
        </is>
      </c>
      <c r="AG266" s="152">
        <f>IF($A266="","",IFERROR(INDEX(Company_List!$G$3:$G$207,MATCH($A266,Company_List!$A$3:$A$207,0)),"unassigned"))</f>
        <v/>
      </c>
      <c r="AK266" s="152">
        <f>IF($A266="","",IF(COUNTIFS(Human_Data_Entry!$A$3:$A$525,$A266)&gt;0,"YES","NO"))</f>
        <v/>
      </c>
      <c r="AL266" s="152">
        <f>IF($A266="","",IF(AND($C266&amp;"-"&amp;$D266&gt;=Settings!$B$19,$C266&amp;"-"&amp;$D266&lt;=Settings!$B$20),"IN","OUT"))</f>
        <v/>
      </c>
      <c r="AM266" s="152">
        <f>IF(AND(OR($H266="BUY",$H266="SELL"),ISNUMBER($T266)),$T266,"")</f>
        <v/>
      </c>
      <c r="AN266" s="152">
        <f>IF(AND(OR($H266="BUY",$H266="SELL"),ISNUMBER($AF266)),$AF266,"")</f>
        <v/>
      </c>
      <c r="AO266" s="152">
        <f>IF(ISNUMBER($AM266),ABS(IF(ISNUMBER($G266),$G266,0)-Settings!$B$25),"")</f>
        <v/>
      </c>
      <c r="AP266" s="152">
        <f>IF(ISNUMBER($AO266),$AO266*$AM266,"")</f>
        <v/>
      </c>
      <c r="AQ266" s="152">
        <f>IF(ISNUMBER($AN266),ABS(IF(ISNUMBER($G266),$G266,0)-Settings!$B$25),"")</f>
        <v/>
      </c>
      <c r="AR266" s="152">
        <f>IF(ISNUMBER($AQ266),$AQ266*$AN266,"")</f>
        <v/>
      </c>
      <c r="AS266" s="152">
        <f>IF($A266="","",IFERROR(INDEX(Company_List!$H$3:$H$207,MATCH($A266,Company_List!$A$3:$A$207,0)),"unassigned"))</f>
        <v/>
      </c>
    </row>
    <row r="267">
      <c r="A267" s="191" t="inlineStr">
        <is>
          <t>Duke Energy</t>
        </is>
      </c>
      <c r="B267" s="188" t="inlineStr">
        <is>
          <t>DUK</t>
        </is>
      </c>
      <c r="C267" s="176" t="n">
        <v>2023</v>
      </c>
      <c r="D267" s="177" t="inlineStr">
        <is>
          <t>Q3</t>
        </is>
      </c>
      <c r="E267" s="178" t="inlineStr">
        <is>
          <t>LLM (DeepSeek)</t>
        </is>
      </c>
      <c r="F267" s="177" t="inlineStr">
        <is>
          <t>LLM</t>
        </is>
      </c>
      <c r="G267" s="196" t="n">
        <v>0.15</v>
      </c>
      <c r="H267" s="177" t="inlineStr">
        <is>
          <t>HOLD</t>
        </is>
      </c>
      <c r="J267" s="182" t="n">
        <v>45232</v>
      </c>
      <c r="K267" s="182" t="n">
        <v>45231</v>
      </c>
      <c r="L267" s="183" t="n">
        <v>89.54000000000001</v>
      </c>
      <c r="M267" s="182" t="n">
        <v>45232</v>
      </c>
      <c r="N267" s="183" t="n">
        <v>89.5</v>
      </c>
      <c r="O267" s="180" t="n">
        <v>0.004903</v>
      </c>
      <c r="P267" s="197" t="n">
        <v>-0.0004</v>
      </c>
      <c r="V267" s="152" t="inlineStr">
        <is>
          <t>EXTENSION</t>
        </is>
      </c>
      <c r="W267" t="inlineStr">
        <is>
          <t>copied from Human_Data_Entry's EDGAR-anchored correction (same event, price fact independent of reading arm); patched 2026-08-27. Original: document date + price signal</t>
        </is>
      </c>
      <c r="X267" t="inlineStr">
        <is>
          <t>DUK</t>
        </is>
      </c>
      <c r="Y267" t="inlineStr">
        <is>
          <t>2023-11-02</t>
        </is>
      </c>
      <c r="Z267" t="n">
        <v>80.99979999999999</v>
      </c>
      <c r="AA267" t="inlineStr">
        <is>
          <t>2023-11-03</t>
        </is>
      </c>
      <c r="AB267" t="n">
        <v>82.1442</v>
      </c>
      <c r="AC267" t="n">
        <v>0.01412838710719222</v>
      </c>
      <c r="AD267" t="inlineStr">
        <is>
          <t>FLAT</t>
        </is>
      </c>
      <c r="AG267" s="152">
        <f>IF($A267="","",IFERROR(INDEX(Company_List!$G$3:$G$207,MATCH($A267,Company_List!$A$3:$A$207,0)),"unassigned"))</f>
        <v/>
      </c>
      <c r="AK267" s="152">
        <f>IF($A267="","",IF(COUNTIFS(Human_Data_Entry!$A$3:$A$525,$A267)&gt;0,"YES","NO"))</f>
        <v/>
      </c>
      <c r="AL267" s="152">
        <f>IF($A267="","",IF(AND($C267&amp;"-"&amp;$D267&gt;=Settings!$B$19,$C267&amp;"-"&amp;$D267&lt;=Settings!$B$20),"IN","OUT"))</f>
        <v/>
      </c>
      <c r="AM267" s="152">
        <f>IF(AND(OR($H267="BUY",$H267="SELL"),ISNUMBER($T267)),$T267,"")</f>
        <v/>
      </c>
      <c r="AN267" s="152">
        <f>IF(AND(OR($H267="BUY",$H267="SELL"),ISNUMBER($AF267)),$AF267,"")</f>
        <v/>
      </c>
      <c r="AO267" s="152">
        <f>IF(ISNUMBER($AM267),ABS(IF(ISNUMBER($G267),$G267,0)-Settings!$B$25),"")</f>
        <v/>
      </c>
      <c r="AP267" s="152">
        <f>IF(ISNUMBER($AO267),$AO267*$AM267,"")</f>
        <v/>
      </c>
      <c r="AQ267" s="152">
        <f>IF(ISNUMBER($AN267),ABS(IF(ISNUMBER($G267),$G267,0)-Settings!$B$25),"")</f>
        <v/>
      </c>
      <c r="AR267" s="152">
        <f>IF(ISNUMBER($AQ267),$AQ267*$AN267,"")</f>
        <v/>
      </c>
      <c r="AS267" s="152">
        <f>IF($A267="","",IFERROR(INDEX(Company_List!$H$3:$H$207,MATCH($A267,Company_List!$A$3:$A$207,0)),"unassigned"))</f>
        <v/>
      </c>
    </row>
    <row r="268">
      <c r="A268" s="191" t="inlineStr">
        <is>
          <t>ExxonMobil</t>
        </is>
      </c>
      <c r="B268" s="188" t="inlineStr">
        <is>
          <t>XOM</t>
        </is>
      </c>
      <c r="C268" s="176" t="n">
        <v>2023</v>
      </c>
      <c r="D268" s="177" t="inlineStr">
        <is>
          <t>Q4</t>
        </is>
      </c>
      <c r="E268" s="178" t="inlineStr">
        <is>
          <t>LLM (DeepSeek)</t>
        </is>
      </c>
      <c r="F268" s="177" t="inlineStr">
        <is>
          <t>LLM</t>
        </is>
      </c>
      <c r="G268" s="196" t="n">
        <v>0.25</v>
      </c>
      <c r="H268" s="177" t="inlineStr">
        <is>
          <t>BUY</t>
        </is>
      </c>
      <c r="J268" s="182" t="n">
        <v>45324</v>
      </c>
      <c r="K268" s="182" t="n">
        <v>45323</v>
      </c>
      <c r="L268" s="183" t="n">
        <v>102.39</v>
      </c>
      <c r="M268" s="182" t="n">
        <v>45324</v>
      </c>
      <c r="N268" s="183" t="n">
        <v>103.75</v>
      </c>
      <c r="O268" s="180" t="n">
        <v>0.014823</v>
      </c>
      <c r="P268" s="197" t="n">
        <v>0.0133</v>
      </c>
      <c r="V268" s="152" t="inlineStr">
        <is>
          <t>EXTENSION</t>
        </is>
      </c>
      <c r="W268" t="inlineStr">
        <is>
          <t>copied from Human_Data_Entry's EDGAR-anchored correction (same event, price fact independent of reading arm); patched 2026-08-27. Original: document date + price signal</t>
        </is>
      </c>
      <c r="X268" t="inlineStr">
        <is>
          <t>XOM</t>
        </is>
      </c>
      <c r="Y268" t="inlineStr">
        <is>
          <t>2024-02-01</t>
        </is>
      </c>
      <c r="Z268" t="n">
        <v>94.2353</v>
      </c>
      <c r="AA268" t="inlineStr">
        <is>
          <t>2024-02-02</t>
        </is>
      </c>
      <c r="AB268" t="n">
        <v>95.48699999999999</v>
      </c>
      <c r="AC268" t="n">
        <v>0.01328252329581465</v>
      </c>
      <c r="AD268" t="inlineStr">
        <is>
          <t>FLAT</t>
        </is>
      </c>
      <c r="AG268" s="152">
        <f>IF($A268="","",IFERROR(INDEX(Company_List!$G$3:$G$207,MATCH($A268,Company_List!$A$3:$A$207,0)),"unassigned"))</f>
        <v/>
      </c>
      <c r="AK268" s="152">
        <f>IF($A268="","",IF(COUNTIFS(Human_Data_Entry!$A$3:$A$525,$A268)&gt;0,"YES","NO"))</f>
        <v/>
      </c>
      <c r="AL268" s="152">
        <f>IF($A268="","",IF(AND($C268&amp;"-"&amp;$D268&gt;=Settings!$B$19,$C268&amp;"-"&amp;$D268&lt;=Settings!$B$20),"IN","OUT"))</f>
        <v/>
      </c>
      <c r="AM268" s="152">
        <f>IF(AND(OR($H268="BUY",$H268="SELL"),ISNUMBER($T268)),$T268,"")</f>
        <v/>
      </c>
      <c r="AN268" s="152">
        <f>IF(AND(OR($H268="BUY",$H268="SELL"),ISNUMBER($AF268)),$AF268,"")</f>
        <v/>
      </c>
      <c r="AO268" s="152">
        <f>IF(ISNUMBER($AM268),ABS(IF(ISNUMBER($G268),$G268,0)-Settings!$B$25),"")</f>
        <v/>
      </c>
      <c r="AP268" s="152">
        <f>IF(ISNUMBER($AO268),$AO268*$AM268,"")</f>
        <v/>
      </c>
      <c r="AQ268" s="152">
        <f>IF(ISNUMBER($AN268),ABS(IF(ISNUMBER($G268),$G268,0)-Settings!$B$25),"")</f>
        <v/>
      </c>
      <c r="AR268" s="152">
        <f>IF(ISNUMBER($AQ268),$AQ268*$AN268,"")</f>
        <v/>
      </c>
      <c r="AS268" s="152">
        <f>IF($A268="","",IFERROR(INDEX(Company_List!$H$3:$H$207,MATCH($A268,Company_List!$A$3:$A$207,0)),"unassigned"))</f>
        <v/>
      </c>
    </row>
    <row r="269">
      <c r="A269" s="191" t="inlineStr">
        <is>
          <t>Duke Energy</t>
        </is>
      </c>
      <c r="B269" s="188" t="inlineStr">
        <is>
          <t>DUK</t>
        </is>
      </c>
      <c r="C269" s="176" t="n">
        <v>2023</v>
      </c>
      <c r="D269" s="177" t="inlineStr">
        <is>
          <t>Q4</t>
        </is>
      </c>
      <c r="E269" s="178" t="inlineStr">
        <is>
          <t>LLM (DeepSeek)</t>
        </is>
      </c>
      <c r="F269" s="177" t="inlineStr">
        <is>
          <t>LLM</t>
        </is>
      </c>
      <c r="G269" s="196" t="n">
        <v>0.3</v>
      </c>
      <c r="H269" s="177" t="inlineStr">
        <is>
          <t>BUY</t>
        </is>
      </c>
      <c r="J269" s="182" t="n">
        <v>45330</v>
      </c>
      <c r="K269" s="182" t="n">
        <v>45329</v>
      </c>
      <c r="L269" s="183" t="n">
        <v>95.5</v>
      </c>
      <c r="M269" s="182" t="n">
        <v>45330</v>
      </c>
      <c r="N269" s="183" t="n">
        <v>94.73999999999999</v>
      </c>
      <c r="O269" s="180" t="n">
        <v>0.004502</v>
      </c>
      <c r="P269" s="197" t="n">
        <v>-0.008</v>
      </c>
      <c r="V269" s="152" t="inlineStr">
        <is>
          <t>EXTENSION</t>
        </is>
      </c>
      <c r="W269" t="inlineStr">
        <is>
          <t>copied from Human_Data_Entry's EDGAR-anchored correction (same event, price fact independent of reading arm); patched 2026-08-27. Original: earnings calendar, seconded by the issuer's habit</t>
        </is>
      </c>
      <c r="X269" t="inlineStr">
        <is>
          <t>DUK</t>
        </is>
      </c>
      <c r="Y269" t="inlineStr">
        <is>
          <t>2024-02-07</t>
        </is>
      </c>
      <c r="Z269" t="n">
        <v>87.05070000000001</v>
      </c>
      <c r="AA269" t="inlineStr">
        <is>
          <t>2024-02-08</t>
        </is>
      </c>
      <c r="AB269" t="n">
        <v>86.358</v>
      </c>
      <c r="AC269" t="n">
        <v>-0.007958052398374856</v>
      </c>
      <c r="AD269" t="inlineStr">
        <is>
          <t>FLAT</t>
        </is>
      </c>
      <c r="AG269" s="152">
        <f>IF($A269="","",IFERROR(INDEX(Company_List!$G$3:$G$207,MATCH($A269,Company_List!$A$3:$A$207,0)),"unassigned"))</f>
        <v/>
      </c>
      <c r="AK269" s="152">
        <f>IF($A269="","",IF(COUNTIFS(Human_Data_Entry!$A$3:$A$525,$A269)&gt;0,"YES","NO"))</f>
        <v/>
      </c>
      <c r="AL269" s="152">
        <f>IF($A269="","",IF(AND($C269&amp;"-"&amp;$D269&gt;=Settings!$B$19,$C269&amp;"-"&amp;$D269&lt;=Settings!$B$20),"IN","OUT"))</f>
        <v/>
      </c>
      <c r="AM269" s="152">
        <f>IF(AND(OR($H269="BUY",$H269="SELL"),ISNUMBER($T269)),$T269,"")</f>
        <v/>
      </c>
      <c r="AN269" s="152">
        <f>IF(AND(OR($H269="BUY",$H269="SELL"),ISNUMBER($AF269)),$AF269,"")</f>
        <v/>
      </c>
      <c r="AO269" s="152">
        <f>IF(ISNUMBER($AM269),ABS(IF(ISNUMBER($G269),$G269,0)-Settings!$B$25),"")</f>
        <v/>
      </c>
      <c r="AP269" s="152">
        <f>IF(ISNUMBER($AO269),$AO269*$AM269,"")</f>
        <v/>
      </c>
      <c r="AQ269" s="152">
        <f>IF(ISNUMBER($AN269),ABS(IF(ISNUMBER($G269),$G269,0)-Settings!$B$25),"")</f>
        <v/>
      </c>
      <c r="AR269" s="152">
        <f>IF(ISNUMBER($AQ269),$AQ269*$AN269,"")</f>
        <v/>
      </c>
      <c r="AS269" s="152">
        <f>IF($A269="","",IFERROR(INDEX(Company_List!$H$3:$H$207,MATCH($A269,Company_List!$A$3:$A$207,0)),"unassigned"))</f>
        <v/>
      </c>
    </row>
    <row r="270">
      <c r="A270" s="191" t="inlineStr">
        <is>
          <t>Heineken</t>
        </is>
      </c>
      <c r="B270" s="188" t="inlineStr">
        <is>
          <t>HEIA.AS</t>
        </is>
      </c>
      <c r="C270" s="176" t="n">
        <v>2024</v>
      </c>
      <c r="D270" s="177" t="inlineStr">
        <is>
          <t>Q1</t>
        </is>
      </c>
      <c r="E270" s="178" t="inlineStr">
        <is>
          <t>LLM (DeepSeek)</t>
        </is>
      </c>
      <c r="F270" s="177" t="inlineStr">
        <is>
          <t>LLM</t>
        </is>
      </c>
      <c r="G270" s="196" t="n">
        <v>0.15</v>
      </c>
      <c r="H270" s="177" t="inlineStr">
        <is>
          <t>HOLD</t>
        </is>
      </c>
      <c r="J270" s="182" t="n">
        <v>45352</v>
      </c>
      <c r="K270" s="182" t="n">
        <v>45351</v>
      </c>
      <c r="L270" s="183" t="n">
        <v>85.42</v>
      </c>
      <c r="M270" s="182" t="n">
        <v>45352</v>
      </c>
      <c r="N270" s="183" t="n">
        <v>85.84</v>
      </c>
      <c r="O270" s="180" t="n">
        <v>0.004682</v>
      </c>
      <c r="P270" s="197" t="n">
        <v>0.0049</v>
      </c>
      <c r="V270" s="152" t="inlineStr">
        <is>
          <t>EXTENSION</t>
        </is>
      </c>
      <c r="W270" t="inlineStr">
        <is>
          <t>copied from Human_Data_Entry's EDGAR-anchored correction (same event, price fact independent of reading arm); patched 2026-08-27. Original: recorded price identified against every pulled series</t>
        </is>
      </c>
      <c r="X270" t="inlineStr">
        <is>
          <t>HEIA.AS</t>
        </is>
      </c>
      <c r="Y270" t="inlineStr">
        <is>
          <t>2024-04-23</t>
        </is>
      </c>
      <c r="Z270" t="n">
        <v>85.8329</v>
      </c>
      <c r="AA270" t="inlineStr">
        <is>
          <t>2024-04-24</t>
        </is>
      </c>
      <c r="AB270" t="n">
        <v>86.628</v>
      </c>
      <c r="AC270" t="n">
        <v>0.009263224297611681</v>
      </c>
      <c r="AD270" t="inlineStr">
        <is>
          <t>FLAT</t>
        </is>
      </c>
      <c r="AG270" s="152">
        <f>IF($A270="","",IFERROR(INDEX(Company_List!$G$3:$G$207,MATCH($A270,Company_List!$A$3:$A$207,0)),"unassigned"))</f>
        <v/>
      </c>
      <c r="AK270" s="152">
        <f>IF($A270="","",IF(COUNTIFS(Human_Data_Entry!$A$3:$A$525,$A270)&gt;0,"YES","NO"))</f>
        <v/>
      </c>
      <c r="AL270" s="152">
        <f>IF($A270="","",IF(AND($C270&amp;"-"&amp;$D270&gt;=Settings!$B$19,$C270&amp;"-"&amp;$D270&lt;=Settings!$B$20),"IN","OUT"))</f>
        <v/>
      </c>
      <c r="AM270" s="152">
        <f>IF(AND(OR($H270="BUY",$H270="SELL"),ISNUMBER($T270)),$T270,"")</f>
        <v/>
      </c>
      <c r="AN270" s="152">
        <f>IF(AND(OR($H270="BUY",$H270="SELL"),ISNUMBER($AF270)),$AF270,"")</f>
        <v/>
      </c>
      <c r="AO270" s="152">
        <f>IF(ISNUMBER($AM270),ABS(IF(ISNUMBER($G270),$G270,0)-Settings!$B$25),"")</f>
        <v/>
      </c>
      <c r="AP270" s="152">
        <f>IF(ISNUMBER($AO270),$AO270*$AM270,"")</f>
        <v/>
      </c>
      <c r="AQ270" s="152">
        <f>IF(ISNUMBER($AN270),ABS(IF(ISNUMBER($G270),$G270,0)-Settings!$B$25),"")</f>
        <v/>
      </c>
      <c r="AR270" s="152">
        <f>IF(ISNUMBER($AQ270),$AQ270*$AN270,"")</f>
        <v/>
      </c>
      <c r="AS270" s="152">
        <f>IF($A270="","",IFERROR(INDEX(Company_List!$H$3:$H$207,MATCH($A270,Company_List!$A$3:$A$207,0)),"unassigned"))</f>
        <v/>
      </c>
    </row>
    <row r="271">
      <c r="A271" s="191" t="inlineStr">
        <is>
          <t>ExxonMobil</t>
        </is>
      </c>
      <c r="B271" s="188" t="inlineStr">
        <is>
          <t>XOM</t>
        </is>
      </c>
      <c r="C271" s="176" t="n">
        <v>2024</v>
      </c>
      <c r="D271" s="177" t="inlineStr">
        <is>
          <t>Q1</t>
        </is>
      </c>
      <c r="E271" s="178" t="inlineStr">
        <is>
          <t>LLM (DeepSeek)</t>
        </is>
      </c>
      <c r="F271" s="177" t="inlineStr">
        <is>
          <t>LLM</t>
        </is>
      </c>
      <c r="G271" s="196" t="n">
        <v>0.2</v>
      </c>
      <c r="H271" s="177" t="inlineStr">
        <is>
          <t>BUY</t>
        </is>
      </c>
      <c r="J271" s="182" t="n">
        <v>45408</v>
      </c>
      <c r="K271" s="182" t="n">
        <v>45407</v>
      </c>
      <c r="L271" s="183" t="n">
        <v>121.33</v>
      </c>
      <c r="M271" s="182" t="n">
        <v>45408</v>
      </c>
      <c r="N271" s="183" t="n">
        <v>119</v>
      </c>
      <c r="O271" s="180" t="n">
        <v>0.009944</v>
      </c>
      <c r="P271" s="197" t="n">
        <v>-0.0192</v>
      </c>
      <c r="V271" s="152" t="inlineStr">
        <is>
          <t>EXTENSION</t>
        </is>
      </c>
      <c r="W271" t="inlineStr">
        <is>
          <t>copied from Human_Data_Entry's EDGAR-anchored correction (same event, price fact independent of reading arm); patched 2026-08-27. Original: release date + stated time</t>
        </is>
      </c>
      <c r="X271" t="inlineStr">
        <is>
          <t>XOM</t>
        </is>
      </c>
      <c r="Y271" t="inlineStr">
        <is>
          <t>2024-04-25</t>
        </is>
      </c>
      <c r="Z271" t="n">
        <v>112.7047</v>
      </c>
      <c r="AA271" t="inlineStr">
        <is>
          <t>2024-04-26</t>
        </is>
      </c>
      <c r="AB271" t="n">
        <v>110.5403</v>
      </c>
      <c r="AC271" t="n">
        <v>-0.01920386323237336</v>
      </c>
      <c r="AD271" t="inlineStr">
        <is>
          <t>FLAT</t>
        </is>
      </c>
      <c r="AG271" s="152">
        <f>IF($A271="","",IFERROR(INDEX(Company_List!$G$3:$G$207,MATCH($A271,Company_List!$A$3:$A$207,0)),"unassigned"))</f>
        <v/>
      </c>
      <c r="AK271" s="152">
        <f>IF($A271="","",IF(COUNTIFS(Human_Data_Entry!$A$3:$A$525,$A271)&gt;0,"YES","NO"))</f>
        <v/>
      </c>
      <c r="AL271" s="152">
        <f>IF($A271="","",IF(AND($C271&amp;"-"&amp;$D271&gt;=Settings!$B$19,$C271&amp;"-"&amp;$D271&lt;=Settings!$B$20),"IN","OUT"))</f>
        <v/>
      </c>
      <c r="AM271" s="152">
        <f>IF(AND(OR($H271="BUY",$H271="SELL"),ISNUMBER($T271)),$T271,"")</f>
        <v/>
      </c>
      <c r="AN271" s="152">
        <f>IF(AND(OR($H271="BUY",$H271="SELL"),ISNUMBER($AF271)),$AF271,"")</f>
        <v/>
      </c>
      <c r="AO271" s="152">
        <f>IF(ISNUMBER($AM271),ABS(IF(ISNUMBER($G271),$G271,0)-Settings!$B$25),"")</f>
        <v/>
      </c>
      <c r="AP271" s="152">
        <f>IF(ISNUMBER($AO271),$AO271*$AM271,"")</f>
        <v/>
      </c>
      <c r="AQ271" s="152">
        <f>IF(ISNUMBER($AN271),ABS(IF(ISNUMBER($G271),$G271,0)-Settings!$B$25),"")</f>
        <v/>
      </c>
      <c r="AR271" s="152">
        <f>IF(ISNUMBER($AQ271),$AQ271*$AN271,"")</f>
        <v/>
      </c>
      <c r="AS271" s="152">
        <f>IF($A271="","",IFERROR(INDEX(Company_List!$H$3:$H$207,MATCH($A271,Company_List!$A$3:$A$207,0)),"unassigned"))</f>
        <v/>
      </c>
    </row>
    <row r="272">
      <c r="A272" s="191" t="inlineStr">
        <is>
          <t>Duke Energy</t>
        </is>
      </c>
      <c r="B272" s="188" t="inlineStr">
        <is>
          <t>DUK</t>
        </is>
      </c>
      <c r="C272" s="176" t="n">
        <v>2024</v>
      </c>
      <c r="D272" s="177" t="inlineStr">
        <is>
          <t>Q1</t>
        </is>
      </c>
      <c r="E272" s="178" t="inlineStr">
        <is>
          <t>LLM (DeepSeek)</t>
        </is>
      </c>
      <c r="F272" s="177" t="inlineStr">
        <is>
          <t>LLM</t>
        </is>
      </c>
      <c r="G272" s="196" t="n">
        <v>0.15</v>
      </c>
      <c r="H272" s="177" t="inlineStr">
        <is>
          <t>HOLD</t>
        </is>
      </c>
      <c r="J272" s="182" t="n">
        <v>45419</v>
      </c>
      <c r="K272" s="182" t="n">
        <v>45418</v>
      </c>
      <c r="L272" s="183" t="n">
        <v>100.42</v>
      </c>
      <c r="M272" s="182" t="n">
        <v>45419</v>
      </c>
      <c r="N272" s="183" t="n">
        <v>101</v>
      </c>
      <c r="O272" s="180" t="n">
        <v>0.005325</v>
      </c>
      <c r="P272" s="197" t="n">
        <v>0.0058</v>
      </c>
      <c r="V272" s="152" t="inlineStr">
        <is>
          <t>EXTENSION</t>
        </is>
      </c>
      <c r="W272" t="inlineStr">
        <is>
          <t>copied from Human_Data_Entry's EDGAR-anchored correction (same event, price fact independent of reading arm); patched 2026-08-27. Original: earnings calendar, seconded by the issuer's habit</t>
        </is>
      </c>
      <c r="X272" t="inlineStr">
        <is>
          <t>DUK</t>
        </is>
      </c>
      <c r="Y272" t="inlineStr">
        <is>
          <t>2024-05-06</t>
        </is>
      </c>
      <c r="Z272" t="n">
        <v>92.57429999999999</v>
      </c>
      <c r="AA272" t="inlineStr">
        <is>
          <t>2024-05-07</t>
        </is>
      </c>
      <c r="AB272" t="n">
        <v>93.10899999999999</v>
      </c>
      <c r="AC272" t="n">
        <v>0.005775736492348381</v>
      </c>
      <c r="AD272" t="inlineStr">
        <is>
          <t>FLAT</t>
        </is>
      </c>
      <c r="AG272" s="152">
        <f>IF($A272="","",IFERROR(INDEX(Company_List!$G$3:$G$207,MATCH($A272,Company_List!$A$3:$A$207,0)),"unassigned"))</f>
        <v/>
      </c>
      <c r="AK272" s="152">
        <f>IF($A272="","",IF(COUNTIFS(Human_Data_Entry!$A$3:$A$525,$A272)&gt;0,"YES","NO"))</f>
        <v/>
      </c>
      <c r="AL272" s="152">
        <f>IF($A272="","",IF(AND($C272&amp;"-"&amp;$D272&gt;=Settings!$B$19,$C272&amp;"-"&amp;$D272&lt;=Settings!$B$20),"IN","OUT"))</f>
        <v/>
      </c>
      <c r="AM272" s="152">
        <f>IF(AND(OR($H272="BUY",$H272="SELL"),ISNUMBER($T272)),$T272,"")</f>
        <v/>
      </c>
      <c r="AN272" s="152">
        <f>IF(AND(OR($H272="BUY",$H272="SELL"),ISNUMBER($AF272)),$AF272,"")</f>
        <v/>
      </c>
      <c r="AO272" s="152">
        <f>IF(ISNUMBER($AM272),ABS(IF(ISNUMBER($G272),$G272,0)-Settings!$B$25),"")</f>
        <v/>
      </c>
      <c r="AP272" s="152">
        <f>IF(ISNUMBER($AO272),$AO272*$AM272,"")</f>
        <v/>
      </c>
      <c r="AQ272" s="152">
        <f>IF(ISNUMBER($AN272),ABS(IF(ISNUMBER($G272),$G272,0)-Settings!$B$25),"")</f>
        <v/>
      </c>
      <c r="AR272" s="152">
        <f>IF(ISNUMBER($AQ272),$AQ272*$AN272,"")</f>
        <v/>
      </c>
      <c r="AS272" s="152">
        <f>IF($A272="","",IFERROR(INDEX(Company_List!$H$3:$H$207,MATCH($A272,Company_List!$A$3:$A$207,0)),"unassigned"))</f>
        <v/>
      </c>
    </row>
    <row r="273">
      <c r="A273" s="191" t="inlineStr">
        <is>
          <t>Heineken</t>
        </is>
      </c>
      <c r="B273" s="188" t="inlineStr">
        <is>
          <t>HEIA.AS</t>
        </is>
      </c>
      <c r="C273" s="176" t="n">
        <v>2024</v>
      </c>
      <c r="D273" s="177" t="inlineStr">
        <is>
          <t>Q2</t>
        </is>
      </c>
      <c r="E273" s="178" t="inlineStr">
        <is>
          <t>LLM (DeepSeek)</t>
        </is>
      </c>
      <c r="F273" s="177" t="inlineStr">
        <is>
          <t>LLM</t>
        </is>
      </c>
      <c r="G273" s="196" t="n">
        <v>0.15</v>
      </c>
      <c r="H273" s="177" t="inlineStr">
        <is>
          <t>HOLD</t>
        </is>
      </c>
      <c r="J273" s="182" t="n">
        <v>45474</v>
      </c>
      <c r="K273" s="182" t="n">
        <v>45471</v>
      </c>
      <c r="L273" s="183" t="n">
        <v>90.3</v>
      </c>
      <c r="M273" s="182" t="n">
        <v>45474</v>
      </c>
      <c r="N273" s="183" t="n">
        <v>90.8</v>
      </c>
      <c r="O273" s="180" t="n">
        <v>0.011378</v>
      </c>
      <c r="P273" s="197" t="n">
        <v>0.0056</v>
      </c>
      <c r="V273" s="152" t="inlineStr">
        <is>
          <t>EXTENSION</t>
        </is>
      </c>
      <c r="W273" t="inlineStr">
        <is>
          <t>copied from Human_Data_Entry's EDGAR-anchored correction (same event, price fact independent of reading arm); patched 2026-08-27. Original: recorded price identified against every pulled series</t>
        </is>
      </c>
      <c r="X273" t="inlineStr">
        <is>
          <t>HEIA.AS</t>
        </is>
      </c>
      <c r="Y273" t="inlineStr">
        <is>
          <t>2024-07-26</t>
        </is>
      </c>
      <c r="Z273" t="n">
        <v>86.8399</v>
      </c>
      <c r="AA273" t="inlineStr">
        <is>
          <t>2024-07-29</t>
        </is>
      </c>
      <c r="AB273" t="n">
        <v>81.9187</v>
      </c>
      <c r="AC273" t="n">
        <v>-0.05667035369371357</v>
      </c>
      <c r="AD273" t="inlineStr">
        <is>
          <t>DOWN</t>
        </is>
      </c>
      <c r="AG273" s="152">
        <f>IF($A273="","",IFERROR(INDEX(Company_List!$G$3:$G$207,MATCH($A273,Company_List!$A$3:$A$207,0)),"unassigned"))</f>
        <v/>
      </c>
      <c r="AK273" s="152">
        <f>IF($A273="","",IF(COUNTIFS(Human_Data_Entry!$A$3:$A$525,$A273)&gt;0,"YES","NO"))</f>
        <v/>
      </c>
      <c r="AL273" s="152">
        <f>IF($A273="","",IF(AND($C273&amp;"-"&amp;$D273&gt;=Settings!$B$19,$C273&amp;"-"&amp;$D273&lt;=Settings!$B$20),"IN","OUT"))</f>
        <v/>
      </c>
      <c r="AM273" s="152">
        <f>IF(AND(OR($H273="BUY",$H273="SELL"),ISNUMBER($T273)),$T273,"")</f>
        <v/>
      </c>
      <c r="AN273" s="152">
        <f>IF(AND(OR($H273="BUY",$H273="SELL"),ISNUMBER($AF273)),$AF273,"")</f>
        <v/>
      </c>
      <c r="AO273" s="152">
        <f>IF(ISNUMBER($AM273),ABS(IF(ISNUMBER($G273),$G273,0)-Settings!$B$25),"")</f>
        <v/>
      </c>
      <c r="AP273" s="152">
        <f>IF(ISNUMBER($AO273),$AO273*$AM273,"")</f>
        <v/>
      </c>
      <c r="AQ273" s="152">
        <f>IF(ISNUMBER($AN273),ABS(IF(ISNUMBER($G273),$G273,0)-Settings!$B$25),"")</f>
        <v/>
      </c>
      <c r="AR273" s="152">
        <f>IF(ISNUMBER($AQ273),$AQ273*$AN273,"")</f>
        <v/>
      </c>
      <c r="AS273" s="152">
        <f>IF($A273="","",IFERROR(INDEX(Company_List!$H$3:$H$207,MATCH($A273,Company_List!$A$3:$A$207,0)),"unassigned"))</f>
        <v/>
      </c>
    </row>
    <row r="274">
      <c r="A274" s="191" t="inlineStr">
        <is>
          <t>ExxonMobil</t>
        </is>
      </c>
      <c r="B274" s="188" t="inlineStr">
        <is>
          <t>XOM</t>
        </is>
      </c>
      <c r="C274" s="176" t="n">
        <v>2024</v>
      </c>
      <c r="D274" s="177" t="inlineStr">
        <is>
          <t>Q2</t>
        </is>
      </c>
      <c r="E274" s="178" t="inlineStr">
        <is>
          <t>LLM (DeepSeek)</t>
        </is>
      </c>
      <c r="F274" s="177" t="inlineStr">
        <is>
          <t>LLM</t>
        </is>
      </c>
      <c r="G274" s="196" t="n">
        <v>0.25</v>
      </c>
      <c r="H274" s="177" t="inlineStr">
        <is>
          <t>BUY</t>
        </is>
      </c>
      <c r="J274" s="182" t="n">
        <v>45506</v>
      </c>
      <c r="K274" s="182" t="n">
        <v>45505</v>
      </c>
      <c r="L274" s="183" t="n">
        <v>116.95</v>
      </c>
      <c r="M274" s="182" t="n">
        <v>45506</v>
      </c>
      <c r="N274" s="183" t="n">
        <v>115.97</v>
      </c>
      <c r="O274" s="180" t="n">
        <v>0.010546</v>
      </c>
      <c r="P274" s="197" t="n">
        <v>-0.008399999999999999</v>
      </c>
      <c r="V274" s="152" t="inlineStr">
        <is>
          <t>EXTENSION</t>
        </is>
      </c>
      <c r="W274" t="inlineStr">
        <is>
          <t>copied from Human_Data_Entry's EDGAR-anchored correction (same event, price fact independent of reading arm); patched 2026-08-27. Original: price signal — only this window shows an abnormal move</t>
        </is>
      </c>
      <c r="X274" t="inlineStr">
        <is>
          <t>XOM</t>
        </is>
      </c>
      <c r="Y274" t="inlineStr">
        <is>
          <t>2024-08-02</t>
        </is>
      </c>
      <c r="Z274" t="n">
        <v>109.4529</v>
      </c>
      <c r="AA274" t="inlineStr">
        <is>
          <t>2024-08-05</t>
        </is>
      </c>
      <c r="AB274" t="n">
        <v>108.198</v>
      </c>
      <c r="AC274" t="n">
        <v>-0.01146473410969592</v>
      </c>
      <c r="AD274" t="inlineStr">
        <is>
          <t>FLAT</t>
        </is>
      </c>
      <c r="AG274" s="152">
        <f>IF($A274="","",IFERROR(INDEX(Company_List!$G$3:$G$207,MATCH($A274,Company_List!$A$3:$A$207,0)),"unassigned"))</f>
        <v/>
      </c>
      <c r="AK274" s="152">
        <f>IF($A274="","",IF(COUNTIFS(Human_Data_Entry!$A$3:$A$525,$A274)&gt;0,"YES","NO"))</f>
        <v/>
      </c>
      <c r="AL274" s="152">
        <f>IF($A274="","",IF(AND($C274&amp;"-"&amp;$D274&gt;=Settings!$B$19,$C274&amp;"-"&amp;$D274&lt;=Settings!$B$20),"IN","OUT"))</f>
        <v/>
      </c>
      <c r="AM274" s="152">
        <f>IF(AND(OR($H274="BUY",$H274="SELL"),ISNUMBER($T274)),$T274,"")</f>
        <v/>
      </c>
      <c r="AN274" s="152">
        <f>IF(AND(OR($H274="BUY",$H274="SELL"),ISNUMBER($AF274)),$AF274,"")</f>
        <v/>
      </c>
      <c r="AO274" s="152">
        <f>IF(ISNUMBER($AM274),ABS(IF(ISNUMBER($G274),$G274,0)-Settings!$B$25),"")</f>
        <v/>
      </c>
      <c r="AP274" s="152">
        <f>IF(ISNUMBER($AO274),$AO274*$AM274,"")</f>
        <v/>
      </c>
      <c r="AQ274" s="152">
        <f>IF(ISNUMBER($AN274),ABS(IF(ISNUMBER($G274),$G274,0)-Settings!$B$25),"")</f>
        <v/>
      </c>
      <c r="AR274" s="152">
        <f>IF(ISNUMBER($AQ274),$AQ274*$AN274,"")</f>
        <v/>
      </c>
      <c r="AS274" s="152">
        <f>IF($A274="","",IFERROR(INDEX(Company_List!$H$3:$H$207,MATCH($A274,Company_List!$A$3:$A$207,0)),"unassigned"))</f>
        <v/>
      </c>
    </row>
    <row r="275">
      <c r="A275" s="191" t="inlineStr">
        <is>
          <t>Duke Energy</t>
        </is>
      </c>
      <c r="B275" s="188" t="inlineStr">
        <is>
          <t>DUK</t>
        </is>
      </c>
      <c r="C275" s="176" t="n">
        <v>2024</v>
      </c>
      <c r="D275" s="177" t="inlineStr">
        <is>
          <t>Q2</t>
        </is>
      </c>
      <c r="E275" s="178" t="inlineStr">
        <is>
          <t>LLM (DeepSeek)</t>
        </is>
      </c>
      <c r="F275" s="177" t="inlineStr">
        <is>
          <t>LLM</t>
        </is>
      </c>
      <c r="G275" s="196" t="n">
        <v>0.2</v>
      </c>
      <c r="H275" s="177" t="inlineStr">
        <is>
          <t>BUY</t>
        </is>
      </c>
      <c r="J275" s="182" t="n">
        <v>45510</v>
      </c>
      <c r="K275" s="182" t="n">
        <v>45509</v>
      </c>
      <c r="L275" s="183" t="n">
        <v>111.01</v>
      </c>
      <c r="M275" s="182" t="n">
        <v>45510</v>
      </c>
      <c r="N275" s="183" t="n">
        <v>112.49</v>
      </c>
      <c r="O275" s="180" t="n">
        <v>0.01096</v>
      </c>
      <c r="P275" s="197" t="n">
        <v>0.0133</v>
      </c>
      <c r="V275" s="152" t="inlineStr">
        <is>
          <t>EXTENSION</t>
        </is>
      </c>
      <c r="W275" t="inlineStr">
        <is>
          <t>copied from Human_Data_Entry's EDGAR-anchored correction (same event, price fact independent of reading arm); patched 2026-08-27. Original: document date + price signal</t>
        </is>
      </c>
      <c r="X275" t="inlineStr">
        <is>
          <t>DUK</t>
        </is>
      </c>
      <c r="Y275" t="inlineStr">
        <is>
          <t>2024-08-05</t>
        </is>
      </c>
      <c r="Z275" t="n">
        <v>103.362</v>
      </c>
      <c r="AA275" t="inlineStr">
        <is>
          <t>2024-08-06</t>
        </is>
      </c>
      <c r="AB275" t="n">
        <v>104.7401</v>
      </c>
      <c r="AC275" t="n">
        <v>0.01333206940345277</v>
      </c>
      <c r="AD275" t="inlineStr">
        <is>
          <t>FLAT</t>
        </is>
      </c>
      <c r="AG275" s="152">
        <f>IF($A275="","",IFERROR(INDEX(Company_List!$G$3:$G$207,MATCH($A275,Company_List!$A$3:$A$207,0)),"unassigned"))</f>
        <v/>
      </c>
      <c r="AK275" s="152">
        <f>IF($A275="","",IF(COUNTIFS(Human_Data_Entry!$A$3:$A$525,$A275)&gt;0,"YES","NO"))</f>
        <v/>
      </c>
      <c r="AL275" s="152">
        <f>IF($A275="","",IF(AND($C275&amp;"-"&amp;$D275&gt;=Settings!$B$19,$C275&amp;"-"&amp;$D275&lt;=Settings!$B$20),"IN","OUT"))</f>
        <v/>
      </c>
      <c r="AM275" s="152">
        <f>IF(AND(OR($H275="BUY",$H275="SELL"),ISNUMBER($T275)),$T275,"")</f>
        <v/>
      </c>
      <c r="AN275" s="152">
        <f>IF(AND(OR($H275="BUY",$H275="SELL"),ISNUMBER($AF275)),$AF275,"")</f>
        <v/>
      </c>
      <c r="AO275" s="152">
        <f>IF(ISNUMBER($AM275),ABS(IF(ISNUMBER($G275),$G275,0)-Settings!$B$25),"")</f>
        <v/>
      </c>
      <c r="AP275" s="152">
        <f>IF(ISNUMBER($AO275),$AO275*$AM275,"")</f>
        <v/>
      </c>
      <c r="AQ275" s="152">
        <f>IF(ISNUMBER($AN275),ABS(IF(ISNUMBER($G275),$G275,0)-Settings!$B$25),"")</f>
        <v/>
      </c>
      <c r="AR275" s="152">
        <f>IF(ISNUMBER($AQ275),$AQ275*$AN275,"")</f>
        <v/>
      </c>
      <c r="AS275" s="152">
        <f>IF($A275="","",IFERROR(INDEX(Company_List!$H$3:$H$207,MATCH($A275,Company_List!$A$3:$A$207,0)),"unassigned"))</f>
        <v/>
      </c>
    </row>
    <row r="276">
      <c r="A276" s="191" t="inlineStr">
        <is>
          <t>Heineken</t>
        </is>
      </c>
      <c r="B276" s="188" t="inlineStr">
        <is>
          <t>HEIA.AS</t>
        </is>
      </c>
      <c r="C276" s="176" t="n">
        <v>2024</v>
      </c>
      <c r="D276" s="177" t="inlineStr">
        <is>
          <t>Q3</t>
        </is>
      </c>
      <c r="E276" s="178" t="inlineStr">
        <is>
          <t>LLM (DeepSeek)</t>
        </is>
      </c>
      <c r="F276" s="177" t="inlineStr">
        <is>
          <t>LLM</t>
        </is>
      </c>
      <c r="G276" s="196" t="n">
        <v>0</v>
      </c>
      <c r="H276" s="177" t="inlineStr">
        <is>
          <t>HOLD</t>
        </is>
      </c>
      <c r="J276" s="182" t="n">
        <v>45566</v>
      </c>
      <c r="K276" s="182" t="n">
        <v>45565</v>
      </c>
      <c r="L276" s="183" t="n">
        <v>79.64</v>
      </c>
      <c r="M276" s="182" t="n">
        <v>45566</v>
      </c>
      <c r="N276" s="183" t="n">
        <v>79.68000000000001</v>
      </c>
      <c r="O276" s="180" t="n">
        <v>0.005343</v>
      </c>
      <c r="P276" s="197" t="n">
        <v>0.0005</v>
      </c>
      <c r="V276" s="152" t="inlineStr">
        <is>
          <t>EXTENSION</t>
        </is>
      </c>
      <c r="W276" t="inlineStr">
        <is>
          <t>copied from Human_Data_Entry's EDGAR-anchored correction (same event, price fact independent of reading arm); patched 2026-08-27. Original: recorded price identified against every pulled series</t>
        </is>
      </c>
      <c r="X276" t="inlineStr">
        <is>
          <t>HEIA.AS</t>
        </is>
      </c>
      <c r="Y276" t="inlineStr">
        <is>
          <t>2024-10-22</t>
        </is>
      </c>
      <c r="Z276" t="n">
        <v>74.32940000000001</v>
      </c>
      <c r="AA276" t="inlineStr">
        <is>
          <t>2024-10-23</t>
        </is>
      </c>
      <c r="AB276" t="n">
        <v>74.7929</v>
      </c>
      <c r="AC276" t="n">
        <v>0.006235368989053385</v>
      </c>
      <c r="AD276" t="inlineStr">
        <is>
          <t>FLAT</t>
        </is>
      </c>
      <c r="AG276" s="152">
        <f>IF($A276="","",IFERROR(INDEX(Company_List!$G$3:$G$207,MATCH($A276,Company_List!$A$3:$A$207,0)),"unassigned"))</f>
        <v/>
      </c>
      <c r="AK276" s="152">
        <f>IF($A276="","",IF(COUNTIFS(Human_Data_Entry!$A$3:$A$525,$A276)&gt;0,"YES","NO"))</f>
        <v/>
      </c>
      <c r="AL276" s="152">
        <f>IF($A276="","",IF(AND($C276&amp;"-"&amp;$D276&gt;=Settings!$B$19,$C276&amp;"-"&amp;$D276&lt;=Settings!$B$20),"IN","OUT"))</f>
        <v/>
      </c>
      <c r="AM276" s="152">
        <f>IF(AND(OR($H276="BUY",$H276="SELL"),ISNUMBER($T276)),$T276,"")</f>
        <v/>
      </c>
      <c r="AN276" s="152">
        <f>IF(AND(OR($H276="BUY",$H276="SELL"),ISNUMBER($AF276)),$AF276,"")</f>
        <v/>
      </c>
      <c r="AO276" s="152">
        <f>IF(ISNUMBER($AM276),ABS(IF(ISNUMBER($G276),$G276,0)-Settings!$B$25),"")</f>
        <v/>
      </c>
      <c r="AP276" s="152">
        <f>IF(ISNUMBER($AO276),$AO276*$AM276,"")</f>
        <v/>
      </c>
      <c r="AQ276" s="152">
        <f>IF(ISNUMBER($AN276),ABS(IF(ISNUMBER($G276),$G276,0)-Settings!$B$25),"")</f>
        <v/>
      </c>
      <c r="AR276" s="152">
        <f>IF(ISNUMBER($AQ276),$AQ276*$AN276,"")</f>
        <v/>
      </c>
      <c r="AS276" s="152">
        <f>IF($A276="","",IFERROR(INDEX(Company_List!$H$3:$H$207,MATCH($A276,Company_List!$A$3:$A$207,0)),"unassigned"))</f>
        <v/>
      </c>
    </row>
    <row r="277">
      <c r="A277" s="191" t="inlineStr">
        <is>
          <t>Nestlé</t>
        </is>
      </c>
      <c r="B277" s="188" t="inlineStr">
        <is>
          <t>NSRGY</t>
        </is>
      </c>
      <c r="C277" s="176" t="n">
        <v>2024</v>
      </c>
      <c r="D277" s="177" t="inlineStr">
        <is>
          <t>Q3</t>
        </is>
      </c>
      <c r="E277" s="178" t="inlineStr">
        <is>
          <t>LLM (DeepSeek)</t>
        </is>
      </c>
      <c r="F277" s="177" t="inlineStr">
        <is>
          <t>LLM</t>
        </is>
      </c>
      <c r="G277" s="196" t="n">
        <v>-0.5</v>
      </c>
      <c r="H277" s="177" t="inlineStr">
        <is>
          <t>SELL</t>
        </is>
      </c>
      <c r="J277" s="182" t="n">
        <v>45566</v>
      </c>
      <c r="K277" s="182" t="n">
        <v>45565</v>
      </c>
      <c r="L277" s="183" t="n">
        <v>100.67</v>
      </c>
      <c r="M277" s="182" t="n">
        <v>45566</v>
      </c>
      <c r="N277" s="183" t="n">
        <v>100.3</v>
      </c>
      <c r="O277" s="180" t="n">
        <v>0.007083</v>
      </c>
      <c r="P277" s="197" t="n">
        <v>-0.0036</v>
      </c>
      <c r="V277" s="152" t="inlineStr">
        <is>
          <t>EXTENSION</t>
        </is>
      </c>
      <c r="W277" t="inlineStr">
        <is>
          <t>copied from Human_Data_Entry's EDGAR-anchored correction (same event, price fact independent of reading arm); patched 2026-08-27. Original: release date + stated time</t>
        </is>
      </c>
      <c r="X277" t="inlineStr">
        <is>
          <t>NESN.SW</t>
        </is>
      </c>
      <c r="Y277" t="inlineStr">
        <is>
          <t>2024-10-16</t>
        </is>
      </c>
      <c r="Z277" t="n">
        <v>77.7955</v>
      </c>
      <c r="AA277" t="inlineStr">
        <is>
          <t>2024-10-17</t>
        </is>
      </c>
      <c r="AB277" t="n">
        <v>76.79389999999999</v>
      </c>
      <c r="AC277" t="n">
        <v>-0.01287544267777568</v>
      </c>
      <c r="AD277" t="inlineStr">
        <is>
          <t>FLAT</t>
        </is>
      </c>
      <c r="AG277" s="152">
        <f>IF($A277="","",IFERROR(INDEX(Company_List!$G$3:$G$207,MATCH($A277,Company_List!$A$3:$A$207,0)),"unassigned"))</f>
        <v/>
      </c>
      <c r="AK277" s="152">
        <f>IF($A277="","",IF(COUNTIFS(Human_Data_Entry!$A$3:$A$525,$A277)&gt;0,"YES","NO"))</f>
        <v/>
      </c>
      <c r="AL277" s="152">
        <f>IF($A277="","",IF(AND($C277&amp;"-"&amp;$D277&gt;=Settings!$B$19,$C277&amp;"-"&amp;$D277&lt;=Settings!$B$20),"IN","OUT"))</f>
        <v/>
      </c>
      <c r="AM277" s="152">
        <f>IF(AND(OR($H277="BUY",$H277="SELL"),ISNUMBER($T277)),$T277,"")</f>
        <v/>
      </c>
      <c r="AN277" s="152">
        <f>IF(AND(OR($H277="BUY",$H277="SELL"),ISNUMBER($AF277)),$AF277,"")</f>
        <v/>
      </c>
      <c r="AO277" s="152">
        <f>IF(ISNUMBER($AM277),ABS(IF(ISNUMBER($G277),$G277,0)-Settings!$B$25),"")</f>
        <v/>
      </c>
      <c r="AP277" s="152">
        <f>IF(ISNUMBER($AO277),$AO277*$AM277,"")</f>
        <v/>
      </c>
      <c r="AQ277" s="152">
        <f>IF(ISNUMBER($AN277),ABS(IF(ISNUMBER($G277),$G277,0)-Settings!$B$25),"")</f>
        <v/>
      </c>
      <c r="AR277" s="152">
        <f>IF(ISNUMBER($AQ277),$AQ277*$AN277,"")</f>
        <v/>
      </c>
      <c r="AS277" s="152">
        <f>IF($A277="","",IFERROR(INDEX(Company_List!$H$3:$H$207,MATCH($A277,Company_List!$A$3:$A$207,0)),"unassigned"))</f>
        <v/>
      </c>
    </row>
    <row r="278">
      <c r="A278" s="191" t="inlineStr">
        <is>
          <t>ExxonMobil</t>
        </is>
      </c>
      <c r="B278" s="188" t="inlineStr">
        <is>
          <t>XOM</t>
        </is>
      </c>
      <c r="C278" s="176" t="n">
        <v>2024</v>
      </c>
      <c r="D278" s="177" t="inlineStr">
        <is>
          <t>Q3</t>
        </is>
      </c>
      <c r="E278" s="178" t="inlineStr">
        <is>
          <t>LLM (DeepSeek)</t>
        </is>
      </c>
      <c r="F278" s="177" t="inlineStr">
        <is>
          <t>LLM</t>
        </is>
      </c>
      <c r="G278" s="196" t="n">
        <v>0.25</v>
      </c>
      <c r="H278" s="177" t="inlineStr">
        <is>
          <t>BUY</t>
        </is>
      </c>
      <c r="J278" s="182" t="n">
        <v>45597</v>
      </c>
      <c r="K278" s="182" t="n">
        <v>45596</v>
      </c>
      <c r="L278" s="183" t="n">
        <v>116.78</v>
      </c>
      <c r="M278" s="182" t="n">
        <v>45597</v>
      </c>
      <c r="N278" s="183" t="n">
        <v>119.93</v>
      </c>
      <c r="O278" s="180" t="n">
        <v>0.010577</v>
      </c>
      <c r="P278" s="197" t="n">
        <v>0.0269</v>
      </c>
      <c r="V278" s="152" t="inlineStr">
        <is>
          <t>EXTENSION</t>
        </is>
      </c>
      <c r="W278" t="inlineStr">
        <is>
          <t>copied from Human_Data_Entry's EDGAR-anchored correction (same event, price fact independent of reading arm); patched 2026-08-27. Original: document date + price signal</t>
        </is>
      </c>
      <c r="X278" t="inlineStr">
        <is>
          <t>XOM</t>
        </is>
      </c>
      <c r="Y278" t="inlineStr">
        <is>
          <t>2024-10-31</t>
        </is>
      </c>
      <c r="Z278" t="n">
        <v>110.2396</v>
      </c>
      <c r="AA278" t="inlineStr">
        <is>
          <t>2024-11-01</t>
        </is>
      </c>
      <c r="AB278" t="n">
        <v>113.2132</v>
      </c>
      <c r="AC278" t="n">
        <v>0.02697383625741938</v>
      </c>
      <c r="AD278" t="inlineStr">
        <is>
          <t>UP</t>
        </is>
      </c>
      <c r="AG278" s="152">
        <f>IF($A278="","",IFERROR(INDEX(Company_List!$G$3:$G$207,MATCH($A278,Company_List!$A$3:$A$207,0)),"unassigned"))</f>
        <v/>
      </c>
      <c r="AK278" s="152">
        <f>IF($A278="","",IF(COUNTIFS(Human_Data_Entry!$A$3:$A$525,$A278)&gt;0,"YES","NO"))</f>
        <v/>
      </c>
      <c r="AL278" s="152">
        <f>IF($A278="","",IF(AND($C278&amp;"-"&amp;$D278&gt;=Settings!$B$19,$C278&amp;"-"&amp;$D278&lt;=Settings!$B$20),"IN","OUT"))</f>
        <v/>
      </c>
      <c r="AM278" s="152">
        <f>IF(AND(OR($H278="BUY",$H278="SELL"),ISNUMBER($T278)),$T278,"")</f>
        <v/>
      </c>
      <c r="AN278" s="152">
        <f>IF(AND(OR($H278="BUY",$H278="SELL"),ISNUMBER($AF278)),$AF278,"")</f>
        <v/>
      </c>
      <c r="AO278" s="152">
        <f>IF(ISNUMBER($AM278),ABS(IF(ISNUMBER($G278),$G278,0)-Settings!$B$25),"")</f>
        <v/>
      </c>
      <c r="AP278" s="152">
        <f>IF(ISNUMBER($AO278),$AO278*$AM278,"")</f>
        <v/>
      </c>
      <c r="AQ278" s="152">
        <f>IF(ISNUMBER($AN278),ABS(IF(ISNUMBER($G278),$G278,0)-Settings!$B$25),"")</f>
        <v/>
      </c>
      <c r="AR278" s="152">
        <f>IF(ISNUMBER($AQ278),$AQ278*$AN278,"")</f>
        <v/>
      </c>
      <c r="AS278" s="152">
        <f>IF($A278="","",IFERROR(INDEX(Company_List!$H$3:$H$207,MATCH($A278,Company_List!$A$3:$A$207,0)),"unassigned"))</f>
        <v/>
      </c>
    </row>
    <row r="279">
      <c r="A279" s="191" t="inlineStr">
        <is>
          <t>Duke Energy</t>
        </is>
      </c>
      <c r="B279" s="188" t="inlineStr">
        <is>
          <t>DUK</t>
        </is>
      </c>
      <c r="C279" s="176" t="n">
        <v>2024</v>
      </c>
      <c r="D279" s="177" t="inlineStr">
        <is>
          <t>Q3</t>
        </is>
      </c>
      <c r="E279" s="178" t="inlineStr">
        <is>
          <t>LLM (DeepSeek)</t>
        </is>
      </c>
      <c r="F279" s="177" t="inlineStr">
        <is>
          <t>LLM</t>
        </is>
      </c>
      <c r="G279" s="196" t="n">
        <v>-0.1</v>
      </c>
      <c r="H279" s="177" t="inlineStr">
        <is>
          <t>SELL</t>
        </is>
      </c>
      <c r="J279" s="182" t="n">
        <v>45603</v>
      </c>
      <c r="K279" s="182" t="n">
        <v>45602</v>
      </c>
      <c r="L279" s="183" t="n">
        <v>113.63</v>
      </c>
      <c r="M279" s="182" t="n">
        <v>45603</v>
      </c>
      <c r="N279" s="183" t="n">
        <v>112.64</v>
      </c>
      <c r="O279" s="180" t="n">
        <v>0.012847</v>
      </c>
      <c r="P279" s="197" t="n">
        <v>-0.008699999999999999</v>
      </c>
      <c r="V279" s="152" t="inlineStr">
        <is>
          <t>EXTENSION</t>
        </is>
      </c>
      <c r="W279" t="inlineStr">
        <is>
          <t>copied from Human_Data_Entry's EDGAR-anchored correction (same event, price fact independent of reading arm); patched 2026-08-27. Original: price signal</t>
        </is>
      </c>
      <c r="X279" t="inlineStr">
        <is>
          <t>DUK</t>
        </is>
      </c>
      <c r="Y279" t="inlineStr">
        <is>
          <t>2024-11-06</t>
        </is>
      </c>
      <c r="Z279" t="n">
        <v>106.7881</v>
      </c>
      <c r="AA279" t="inlineStr">
        <is>
          <t>2024-11-07</t>
        </is>
      </c>
      <c r="AB279" t="n">
        <v>105.8577</v>
      </c>
      <c r="AC279" t="n">
        <v>-0.00871246357725761</v>
      </c>
      <c r="AD279" t="inlineStr">
        <is>
          <t>FLAT</t>
        </is>
      </c>
      <c r="AG279" s="152">
        <f>IF($A279="","",IFERROR(INDEX(Company_List!$G$3:$G$207,MATCH($A279,Company_List!$A$3:$A$207,0)),"unassigned"))</f>
        <v/>
      </c>
      <c r="AK279" s="152">
        <f>IF($A279="","",IF(COUNTIFS(Human_Data_Entry!$A$3:$A$525,$A279)&gt;0,"YES","NO"))</f>
        <v/>
      </c>
      <c r="AL279" s="152">
        <f>IF($A279="","",IF(AND($C279&amp;"-"&amp;$D279&gt;=Settings!$B$19,$C279&amp;"-"&amp;$D279&lt;=Settings!$B$20),"IN","OUT"))</f>
        <v/>
      </c>
      <c r="AM279" s="152">
        <f>IF(AND(OR($H279="BUY",$H279="SELL"),ISNUMBER($T279)),$T279,"")</f>
        <v/>
      </c>
      <c r="AN279" s="152">
        <f>IF(AND(OR($H279="BUY",$H279="SELL"),ISNUMBER($AF279)),$AF279,"")</f>
        <v/>
      </c>
      <c r="AO279" s="152">
        <f>IF(ISNUMBER($AM279),ABS(IF(ISNUMBER($G279),$G279,0)-Settings!$B$25),"")</f>
        <v/>
      </c>
      <c r="AP279" s="152">
        <f>IF(ISNUMBER($AO279),$AO279*$AM279,"")</f>
        <v/>
      </c>
      <c r="AQ279" s="152">
        <f>IF(ISNUMBER($AN279),ABS(IF(ISNUMBER($G279),$G279,0)-Settings!$B$25),"")</f>
        <v/>
      </c>
      <c r="AR279" s="152">
        <f>IF(ISNUMBER($AQ279),$AQ279*$AN279,"")</f>
        <v/>
      </c>
      <c r="AS279" s="152">
        <f>IF($A279="","",IFERROR(INDEX(Company_List!$H$3:$H$207,MATCH($A279,Company_List!$A$3:$A$207,0)),"unassigned"))</f>
        <v/>
      </c>
    </row>
    <row r="280">
      <c r="A280" s="191" t="inlineStr">
        <is>
          <t>ExxonMobil</t>
        </is>
      </c>
      <c r="B280" s="188" t="inlineStr">
        <is>
          <t>XOM</t>
        </is>
      </c>
      <c r="C280" s="176" t="n">
        <v>2024</v>
      </c>
      <c r="D280" s="177" t="inlineStr">
        <is>
          <t>Q4</t>
        </is>
      </c>
      <c r="E280" s="178" t="inlineStr">
        <is>
          <t>LLM (DeepSeek)</t>
        </is>
      </c>
      <c r="F280" s="177" t="inlineStr">
        <is>
          <t>LLM</t>
        </is>
      </c>
      <c r="G280" s="196" t="n">
        <v>0.25</v>
      </c>
      <c r="H280" s="177" t="inlineStr">
        <is>
          <t>BUY</t>
        </is>
      </c>
      <c r="J280" s="182" t="n">
        <v>45688</v>
      </c>
      <c r="K280" s="182" t="n">
        <v>45687</v>
      </c>
      <c r="L280" s="183" t="n">
        <v>109.57</v>
      </c>
      <c r="M280" s="182" t="n">
        <v>45688</v>
      </c>
      <c r="N280" s="183" t="n">
        <v>110.55</v>
      </c>
      <c r="O280" s="180" t="n">
        <v>0.010545</v>
      </c>
      <c r="P280" s="197" t="n">
        <v>0.008999999999999999</v>
      </c>
      <c r="V280" s="152" t="inlineStr">
        <is>
          <t>EXTENSION</t>
        </is>
      </c>
      <c r="W280" t="inlineStr">
        <is>
          <t>copied from Human_Data_Entry's EDGAR-anchored correction (same event, price fact independent of reading arm); patched 2026-08-27. Original: price signal — only this window shows an abnormal move</t>
        </is>
      </c>
      <c r="X280" t="inlineStr">
        <is>
          <t>XOM</t>
        </is>
      </c>
      <c r="Y280" t="inlineStr">
        <is>
          <t>2025-01-31</t>
        </is>
      </c>
      <c r="Z280" t="n">
        <v>101.6756</v>
      </c>
      <c r="AA280" t="inlineStr">
        <is>
          <t>2025-02-03</t>
        </is>
      </c>
      <c r="AB280" t="n">
        <v>101.4947</v>
      </c>
      <c r="AC280" t="n">
        <v>-0.001778687900665696</v>
      </c>
      <c r="AD280" t="inlineStr">
        <is>
          <t>FLAT</t>
        </is>
      </c>
      <c r="AG280" s="152">
        <f>IF($A280="","",IFERROR(INDEX(Company_List!$G$3:$G$207,MATCH($A280,Company_List!$A$3:$A$207,0)),"unassigned"))</f>
        <v/>
      </c>
      <c r="AK280" s="152">
        <f>IF($A280="","",IF(COUNTIFS(Human_Data_Entry!$A$3:$A$525,$A280)&gt;0,"YES","NO"))</f>
        <v/>
      </c>
      <c r="AL280" s="152">
        <f>IF($A280="","",IF(AND($C280&amp;"-"&amp;$D280&gt;=Settings!$B$19,$C280&amp;"-"&amp;$D280&lt;=Settings!$B$20),"IN","OUT"))</f>
        <v/>
      </c>
      <c r="AM280" s="152">
        <f>IF(AND(OR($H280="BUY",$H280="SELL"),ISNUMBER($T280)),$T280,"")</f>
        <v/>
      </c>
      <c r="AN280" s="152">
        <f>IF(AND(OR($H280="BUY",$H280="SELL"),ISNUMBER($AF280)),$AF280,"")</f>
        <v/>
      </c>
      <c r="AO280" s="152">
        <f>IF(ISNUMBER($AM280),ABS(IF(ISNUMBER($G280),$G280,0)-Settings!$B$25),"")</f>
        <v/>
      </c>
      <c r="AP280" s="152">
        <f>IF(ISNUMBER($AO280),$AO280*$AM280,"")</f>
        <v/>
      </c>
      <c r="AQ280" s="152">
        <f>IF(ISNUMBER($AN280),ABS(IF(ISNUMBER($G280),$G280,0)-Settings!$B$25),"")</f>
        <v/>
      </c>
      <c r="AR280" s="152">
        <f>IF(ISNUMBER($AQ280),$AQ280*$AN280,"")</f>
        <v/>
      </c>
      <c r="AS280" s="152">
        <f>IF($A280="","",IFERROR(INDEX(Company_List!$H$3:$H$207,MATCH($A280,Company_List!$A$3:$A$207,0)),"unassigned"))</f>
        <v/>
      </c>
    </row>
    <row r="281">
      <c r="A281" s="191" t="inlineStr">
        <is>
          <t>Hermès</t>
        </is>
      </c>
      <c r="B281" s="188" t="inlineStr">
        <is>
          <t>RMSP.XC</t>
        </is>
      </c>
      <c r="C281" s="176" t="n">
        <v>2025</v>
      </c>
      <c r="D281" s="177" t="inlineStr">
        <is>
          <t>Q1</t>
        </is>
      </c>
      <c r="E281" s="178" t="inlineStr">
        <is>
          <t>LLM (DeepSeek)</t>
        </is>
      </c>
      <c r="F281" s="177" t="inlineStr">
        <is>
          <t>LLM</t>
        </is>
      </c>
      <c r="G281" s="196" t="n">
        <v>0.1</v>
      </c>
      <c r="H281" s="177" t="inlineStr">
        <is>
          <t>HOLD</t>
        </is>
      </c>
      <c r="J281" s="182" t="n">
        <v>45689</v>
      </c>
      <c r="K281" s="182" t="n">
        <v>45674</v>
      </c>
      <c r="L281" s="183" t="n">
        <v>2311.3616</v>
      </c>
      <c r="M281" s="182" t="n">
        <v>45677</v>
      </c>
      <c r="N281" s="183" t="n">
        <v>2443.6354</v>
      </c>
      <c r="O281" s="180" t="n">
        <v>0.005265</v>
      </c>
      <c r="P281" s="197" t="n">
        <v>0.05722765317205232</v>
      </c>
      <c r="Q281" s="177" t="inlineStr">
        <is>
          <t>UP</t>
        </is>
      </c>
      <c r="R281" s="177" t="inlineStr">
        <is>
          <t>NO</t>
        </is>
      </c>
      <c r="V281" s="152" t="inlineStr">
        <is>
          <t>EXTENSION</t>
        </is>
      </c>
      <c r="W281" t="inlineStr">
        <is>
          <t>copied from Human_Data_Entry's EDGAR-anchored correction (same event, price fact independent of reading arm); patched 2026-08-27. Original: price signal — only this window shows an abnormal move</t>
        </is>
      </c>
      <c r="X281" t="inlineStr">
        <is>
          <t>RMS.PA</t>
        </is>
      </c>
      <c r="Y281" t="inlineStr">
        <is>
          <t>2025-04-16</t>
        </is>
      </c>
      <c r="Z281" t="n">
        <v>2317.9597</v>
      </c>
      <c r="AA281" t="inlineStr">
        <is>
          <t>2025-04-17</t>
        </is>
      </c>
      <c r="AB281" t="n">
        <v>2235.5607</v>
      </c>
      <c r="AC281" t="n">
        <v>-0.03554808475716196</v>
      </c>
      <c r="AD281" t="inlineStr">
        <is>
          <t>DOWN</t>
        </is>
      </c>
      <c r="AG281" s="152">
        <f>IF($A281="","",IFERROR(INDEX(Company_List!$G$3:$G$207,MATCH($A281,Company_List!$A$3:$A$207,0)),"unassigned"))</f>
        <v/>
      </c>
      <c r="AK281" s="152">
        <f>IF($A281="","",IF(COUNTIFS(Human_Data_Entry!$A$3:$A$525,$A281)&gt;0,"YES","NO"))</f>
        <v/>
      </c>
      <c r="AL281" s="152">
        <f>IF($A281="","",IF(AND($C281&amp;"-"&amp;$D281&gt;=Settings!$B$19,$C281&amp;"-"&amp;$D281&lt;=Settings!$B$20),"IN","OUT"))</f>
        <v/>
      </c>
      <c r="AM281" s="152">
        <f>IF(AND(OR($H281="BUY",$H281="SELL"),ISNUMBER($T281)),$T281,"")</f>
        <v/>
      </c>
      <c r="AN281" s="152">
        <f>IF(AND(OR($H281="BUY",$H281="SELL"),ISNUMBER($AF281)),$AF281,"")</f>
        <v/>
      </c>
      <c r="AO281" s="152">
        <f>IF(ISNUMBER($AM281),ABS(IF(ISNUMBER($G281),$G281,0)-Settings!$B$25),"")</f>
        <v/>
      </c>
      <c r="AP281" s="152">
        <f>IF(ISNUMBER($AO281),$AO281*$AM281,"")</f>
        <v/>
      </c>
      <c r="AQ281" s="152">
        <f>IF(ISNUMBER($AN281),ABS(IF(ISNUMBER($G281),$G281,0)-Settings!$B$25),"")</f>
        <v/>
      </c>
      <c r="AR281" s="152">
        <f>IF(ISNUMBER($AQ281),$AQ281*$AN281,"")</f>
        <v/>
      </c>
      <c r="AS281" s="152">
        <f>IF($A281="","",IFERROR(INDEX(Company_List!$H$3:$H$207,MATCH($A281,Company_List!$A$3:$A$207,0)),"unassigned"))</f>
        <v/>
      </c>
    </row>
    <row r="282">
      <c r="A282" s="191" t="inlineStr">
        <is>
          <t>Duke Energy</t>
        </is>
      </c>
      <c r="B282" s="188" t="inlineStr">
        <is>
          <t>DUK</t>
        </is>
      </c>
      <c r="C282" s="176" t="n">
        <v>2024</v>
      </c>
      <c r="D282" s="177" t="inlineStr">
        <is>
          <t>Q4</t>
        </is>
      </c>
      <c r="E282" s="178" t="inlineStr">
        <is>
          <t>LLM (DeepSeek)</t>
        </is>
      </c>
      <c r="F282" s="177" t="inlineStr">
        <is>
          <t>LLM</t>
        </is>
      </c>
      <c r="G282" s="196" t="n">
        <v>0.35</v>
      </c>
      <c r="H282" s="177" t="inlineStr">
        <is>
          <t>BUY</t>
        </is>
      </c>
      <c r="J282" s="182" t="n">
        <v>45701</v>
      </c>
      <c r="K282" s="182" t="n">
        <v>45700</v>
      </c>
      <c r="L282" s="183" t="n">
        <v>116.37</v>
      </c>
      <c r="M282" s="182" t="n">
        <v>45701</v>
      </c>
      <c r="N282" s="183" t="n">
        <v>115.3</v>
      </c>
      <c r="O282" s="180" t="n">
        <v>0.005348</v>
      </c>
      <c r="P282" s="197" t="n">
        <v>-0.0092</v>
      </c>
      <c r="V282" s="152" t="inlineStr">
        <is>
          <t>EXTENSION</t>
        </is>
      </c>
      <c r="W282" t="inlineStr">
        <is>
          <t>copied from Human_Data_Entry's EDGAR-anchored correction (same event, price fact independent of reading arm); patched 2026-08-27. Original: document date + price signal</t>
        </is>
      </c>
      <c r="X282" t="inlineStr">
        <is>
          <t>DUK</t>
        </is>
      </c>
      <c r="Y282" t="inlineStr">
        <is>
          <t>2025-02-12</t>
        </is>
      </c>
      <c r="Z282" t="n">
        <v>110.4055</v>
      </c>
      <c r="AA282" t="inlineStr">
        <is>
          <t>2025-02-13</t>
        </is>
      </c>
      <c r="AB282" t="n">
        <v>109.3904</v>
      </c>
      <c r="AC282" t="n">
        <v>-0.009194851087188498</v>
      </c>
      <c r="AD282" t="inlineStr">
        <is>
          <t>FLAT</t>
        </is>
      </c>
      <c r="AG282" s="152">
        <f>IF($A282="","",IFERROR(INDEX(Company_List!$G$3:$G$207,MATCH($A282,Company_List!$A$3:$A$207,0)),"unassigned"))</f>
        <v/>
      </c>
      <c r="AK282" s="152">
        <f>IF($A282="","",IF(COUNTIFS(Human_Data_Entry!$A$3:$A$525,$A282)&gt;0,"YES","NO"))</f>
        <v/>
      </c>
      <c r="AL282" s="152">
        <f>IF($A282="","",IF(AND($C282&amp;"-"&amp;$D282&gt;=Settings!$B$19,$C282&amp;"-"&amp;$D282&lt;=Settings!$B$20),"IN","OUT"))</f>
        <v/>
      </c>
      <c r="AM282" s="152">
        <f>IF(AND(OR($H282="BUY",$H282="SELL"),ISNUMBER($T282)),$T282,"")</f>
        <v/>
      </c>
      <c r="AN282" s="152">
        <f>IF(AND(OR($H282="BUY",$H282="SELL"),ISNUMBER($AF282)),$AF282,"")</f>
        <v/>
      </c>
      <c r="AO282" s="152">
        <f>IF(ISNUMBER($AM282),ABS(IF(ISNUMBER($G282),$G282,0)-Settings!$B$25),"")</f>
        <v/>
      </c>
      <c r="AP282" s="152">
        <f>IF(ISNUMBER($AO282),$AO282*$AM282,"")</f>
        <v/>
      </c>
      <c r="AQ282" s="152">
        <f>IF(ISNUMBER($AN282),ABS(IF(ISNUMBER($G282),$G282,0)-Settings!$B$25),"")</f>
        <v/>
      </c>
      <c r="AR282" s="152">
        <f>IF(ISNUMBER($AQ282),$AQ282*$AN282,"")</f>
        <v/>
      </c>
      <c r="AS282" s="152">
        <f>IF($A282="","",IFERROR(INDEX(Company_List!$H$3:$H$207,MATCH($A282,Company_List!$A$3:$A$207,0)),"unassigned"))</f>
        <v/>
      </c>
    </row>
    <row r="283">
      <c r="A283" s="191" t="inlineStr">
        <is>
          <t>eBay</t>
        </is>
      </c>
      <c r="B283" s="188" t="inlineStr">
        <is>
          <t>EBAY</t>
        </is>
      </c>
      <c r="C283" s="176" t="n">
        <v>2025</v>
      </c>
      <c r="D283" s="177" t="inlineStr">
        <is>
          <t>Q1</t>
        </is>
      </c>
      <c r="E283" s="178" t="inlineStr">
        <is>
          <t>LLM (DeepSeek)</t>
        </is>
      </c>
      <c r="F283" s="177" t="inlineStr">
        <is>
          <t>LLM</t>
        </is>
      </c>
      <c r="G283" s="196" t="n">
        <v>0.06</v>
      </c>
      <c r="H283" s="177" t="inlineStr">
        <is>
          <t>HOLD</t>
        </is>
      </c>
      <c r="J283" s="182" t="n">
        <v>45777</v>
      </c>
      <c r="K283" s="182" t="n">
        <v>45777</v>
      </c>
      <c r="L283" s="183" t="n">
        <v>68.16</v>
      </c>
      <c r="M283" s="182" t="n">
        <v>45778</v>
      </c>
      <c r="N283" s="183" t="n">
        <v>70.05</v>
      </c>
      <c r="O283" s="180" t="n">
        <v>0.002728</v>
      </c>
      <c r="P283" s="197" t="n">
        <v>0.0277</v>
      </c>
      <c r="V283" s="152" t="inlineStr">
        <is>
          <t>EXTENSION</t>
        </is>
      </c>
      <c r="W283" t="inlineStr">
        <is>
          <t>copied from Human_Data_Entry's EDGAR-anchored correction (same event, price fact independent of reading arm); patched 2026-08-27. Original: price signal — only this window shows an abnormal move</t>
        </is>
      </c>
      <c r="X283" t="inlineStr">
        <is>
          <t>EBAY</t>
        </is>
      </c>
      <c r="Y283" t="inlineStr">
        <is>
          <t>2025-04-30</t>
        </is>
      </c>
      <c r="Z283" t="n">
        <v>67.0277</v>
      </c>
      <c r="AA283" t="inlineStr">
        <is>
          <t>2025-05-01</t>
        </is>
      </c>
      <c r="AB283" t="n">
        <v>68.88630000000001</v>
      </c>
      <c r="AC283" t="n">
        <v>0.02772886625758397</v>
      </c>
      <c r="AD283" t="inlineStr">
        <is>
          <t>UP</t>
        </is>
      </c>
      <c r="AG283" s="152">
        <f>IF($A283="","",IFERROR(INDEX(Company_List!$G$3:$G$207,MATCH($A283,Company_List!$A$3:$A$207,0)),"unassigned"))</f>
        <v/>
      </c>
      <c r="AK283" s="152">
        <f>IF($A283="","",IF(COUNTIFS(Human_Data_Entry!$A$3:$A$525,$A283)&gt;0,"YES","NO"))</f>
        <v/>
      </c>
      <c r="AL283" s="152">
        <f>IF($A283="","",IF(AND($C283&amp;"-"&amp;$D283&gt;=Settings!$B$19,$C283&amp;"-"&amp;$D283&lt;=Settings!$B$20),"IN","OUT"))</f>
        <v/>
      </c>
      <c r="AM283" s="152">
        <f>IF(AND(OR($H283="BUY",$H283="SELL"),ISNUMBER($T283)),$T283,"")</f>
        <v/>
      </c>
      <c r="AN283" s="152">
        <f>IF(AND(OR($H283="BUY",$H283="SELL"),ISNUMBER($AF283)),$AF283,"")</f>
        <v/>
      </c>
      <c r="AO283" s="152">
        <f>IF(ISNUMBER($AM283),ABS(IF(ISNUMBER($G283),$G283,0)-Settings!$B$25),"")</f>
        <v/>
      </c>
      <c r="AP283" s="152">
        <f>IF(ISNUMBER($AO283),$AO283*$AM283,"")</f>
        <v/>
      </c>
      <c r="AQ283" s="152">
        <f>IF(ISNUMBER($AN283),ABS(IF(ISNUMBER($G283),$G283,0)-Settings!$B$25),"")</f>
        <v/>
      </c>
      <c r="AR283" s="152">
        <f>IF(ISNUMBER($AQ283),$AQ283*$AN283,"")</f>
        <v/>
      </c>
      <c r="AS283" s="152">
        <f>IF($A283="","",IFERROR(INDEX(Company_List!$H$3:$H$207,MATCH($A283,Company_List!$A$3:$A$207,0)),"unassigned"))</f>
        <v/>
      </c>
    </row>
    <row r="284">
      <c r="A284" s="191" t="inlineStr">
        <is>
          <t>ExxonMobil</t>
        </is>
      </c>
      <c r="B284" s="188" t="inlineStr">
        <is>
          <t>XOM</t>
        </is>
      </c>
      <c r="C284" s="176" t="n">
        <v>2025</v>
      </c>
      <c r="D284" s="177" t="inlineStr">
        <is>
          <t>Q1</t>
        </is>
      </c>
      <c r="E284" s="178" t="inlineStr">
        <is>
          <t>LLM (DeepSeek)</t>
        </is>
      </c>
      <c r="F284" s="177" t="inlineStr">
        <is>
          <t>LLM</t>
        </is>
      </c>
      <c r="G284" s="196" t="n">
        <v>0.1</v>
      </c>
      <c r="H284" s="177" t="inlineStr">
        <is>
          <t>HOLD</t>
        </is>
      </c>
      <c r="J284" s="182" t="n">
        <v>45779</v>
      </c>
      <c r="K284" s="182" t="n">
        <v>45778</v>
      </c>
      <c r="L284" s="183" t="n">
        <v>105.78</v>
      </c>
      <c r="M284" s="182" t="n">
        <v>45779</v>
      </c>
      <c r="N284" s="183" t="n">
        <v>107.72</v>
      </c>
      <c r="O284" s="180" t="n">
        <v>0.009061</v>
      </c>
      <c r="P284" s="197" t="n">
        <v>0.0183</v>
      </c>
      <c r="V284" s="152" t="inlineStr">
        <is>
          <t>EXTENSION</t>
        </is>
      </c>
      <c r="W284" t="inlineStr">
        <is>
          <t>copied from Human_Data_Entry's EDGAR-anchored correction (same event, price fact independent of reading arm); patched 2026-08-27. Original: earnings calendar, seconded by the issuer's habit</t>
        </is>
      </c>
      <c r="X284" t="inlineStr">
        <is>
          <t>XOM</t>
        </is>
      </c>
      <c r="Y284" t="inlineStr">
        <is>
          <t>2025-05-01</t>
        </is>
      </c>
      <c r="Z284" t="n">
        <v>101.5768</v>
      </c>
      <c r="AA284" t="inlineStr">
        <is>
          <t>2025-05-02</t>
        </is>
      </c>
      <c r="AB284" t="n">
        <v>103.4397</v>
      </c>
      <c r="AC284" t="n">
        <v>0.01834008344917179</v>
      </c>
      <c r="AD284" t="inlineStr">
        <is>
          <t>FLAT</t>
        </is>
      </c>
      <c r="AG284" s="152">
        <f>IF($A284="","",IFERROR(INDEX(Company_List!$G$3:$G$207,MATCH($A284,Company_List!$A$3:$A$207,0)),"unassigned"))</f>
        <v/>
      </c>
      <c r="AK284" s="152">
        <f>IF($A284="","",IF(COUNTIFS(Human_Data_Entry!$A$3:$A$525,$A284)&gt;0,"YES","NO"))</f>
        <v/>
      </c>
      <c r="AL284" s="152">
        <f>IF($A284="","",IF(AND($C284&amp;"-"&amp;$D284&gt;=Settings!$B$19,$C284&amp;"-"&amp;$D284&lt;=Settings!$B$20),"IN","OUT"))</f>
        <v/>
      </c>
      <c r="AM284" s="152">
        <f>IF(AND(OR($H284="BUY",$H284="SELL"),ISNUMBER($T284)),$T284,"")</f>
        <v/>
      </c>
      <c r="AN284" s="152">
        <f>IF(AND(OR($H284="BUY",$H284="SELL"),ISNUMBER($AF284)),$AF284,"")</f>
        <v/>
      </c>
      <c r="AO284" s="152">
        <f>IF(ISNUMBER($AM284),ABS(IF(ISNUMBER($G284),$G284,0)-Settings!$B$25),"")</f>
        <v/>
      </c>
      <c r="AP284" s="152">
        <f>IF(ISNUMBER($AO284),$AO284*$AM284,"")</f>
        <v/>
      </c>
      <c r="AQ284" s="152">
        <f>IF(ISNUMBER($AN284),ABS(IF(ISNUMBER($G284),$G284,0)-Settings!$B$25),"")</f>
        <v/>
      </c>
      <c r="AR284" s="152">
        <f>IF(ISNUMBER($AQ284),$AQ284*$AN284,"")</f>
        <v/>
      </c>
      <c r="AS284" s="152">
        <f>IF($A284="","",IFERROR(INDEX(Company_List!$H$3:$H$207,MATCH($A284,Company_List!$A$3:$A$207,0)),"unassigned"))</f>
        <v/>
      </c>
    </row>
    <row r="285">
      <c r="A285" s="191" t="inlineStr">
        <is>
          <t>Duke Energy</t>
        </is>
      </c>
      <c r="B285" s="188" t="inlineStr">
        <is>
          <t>DUK</t>
        </is>
      </c>
      <c r="C285" s="176" t="n">
        <v>2025</v>
      </c>
      <c r="D285" s="177" t="inlineStr">
        <is>
          <t>Q1</t>
        </is>
      </c>
      <c r="E285" s="178" t="inlineStr">
        <is>
          <t>LLM (DeepSeek)</t>
        </is>
      </c>
      <c r="F285" s="177" t="inlineStr">
        <is>
          <t>LLM</t>
        </is>
      </c>
      <c r="G285" s="196" t="n">
        <v>0.1</v>
      </c>
      <c r="H285" s="177" t="inlineStr">
        <is>
          <t>HOLD</t>
        </is>
      </c>
      <c r="J285" s="182" t="n">
        <v>45783</v>
      </c>
      <c r="K285" s="182" t="n">
        <v>45782</v>
      </c>
      <c r="L285" s="183" t="n">
        <v>120.75</v>
      </c>
      <c r="M285" s="182" t="n">
        <v>45783</v>
      </c>
      <c r="N285" s="183" t="n">
        <v>122.01</v>
      </c>
      <c r="O285" s="180" t="n">
        <v>0.008944000000000001</v>
      </c>
      <c r="P285" s="197" t="n">
        <v>0.0104</v>
      </c>
      <c r="V285" s="152" t="inlineStr">
        <is>
          <t>EXTENSION</t>
        </is>
      </c>
      <c r="W285" t="inlineStr">
        <is>
          <t>copied from Human_Data_Entry's EDGAR-anchored correction (same event, price fact independent of reading arm); patched 2026-08-27. Original: document date + price signal</t>
        </is>
      </c>
      <c r="X285" t="inlineStr">
        <is>
          <t>DUK</t>
        </is>
      </c>
      <c r="Y285" t="inlineStr">
        <is>
          <t>2025-05-05</t>
        </is>
      </c>
      <c r="Z285" t="n">
        <v>115.6214</v>
      </c>
      <c r="AA285" t="inlineStr">
        <is>
          <t>2025-05-06</t>
        </is>
      </c>
      <c r="AB285" t="n">
        <v>116.8279</v>
      </c>
      <c r="AC285" t="n">
        <v>0.01043486155499069</v>
      </c>
      <c r="AD285" t="inlineStr">
        <is>
          <t>FLAT</t>
        </is>
      </c>
      <c r="AG285" s="152">
        <f>IF($A285="","",IFERROR(INDEX(Company_List!$G$3:$G$207,MATCH($A285,Company_List!$A$3:$A$207,0)),"unassigned"))</f>
        <v/>
      </c>
      <c r="AK285" s="152">
        <f>IF($A285="","",IF(COUNTIFS(Human_Data_Entry!$A$3:$A$525,$A285)&gt;0,"YES","NO"))</f>
        <v/>
      </c>
      <c r="AL285" s="152">
        <f>IF($A285="","",IF(AND($C285&amp;"-"&amp;$D285&gt;=Settings!$B$19,$C285&amp;"-"&amp;$D285&lt;=Settings!$B$20),"IN","OUT"))</f>
        <v/>
      </c>
      <c r="AM285" s="152">
        <f>IF(AND(OR($H285="BUY",$H285="SELL"),ISNUMBER($T285)),$T285,"")</f>
        <v/>
      </c>
      <c r="AN285" s="152">
        <f>IF(AND(OR($H285="BUY",$H285="SELL"),ISNUMBER($AF285)),$AF285,"")</f>
        <v/>
      </c>
      <c r="AO285" s="152">
        <f>IF(ISNUMBER($AM285),ABS(IF(ISNUMBER($G285),$G285,0)-Settings!$B$25),"")</f>
        <v/>
      </c>
      <c r="AP285" s="152">
        <f>IF(ISNUMBER($AO285),$AO285*$AM285,"")</f>
        <v/>
      </c>
      <c r="AQ285" s="152">
        <f>IF(ISNUMBER($AN285),ABS(IF(ISNUMBER($G285),$G285,0)-Settings!$B$25),"")</f>
        <v/>
      </c>
      <c r="AR285" s="152">
        <f>IF(ISNUMBER($AQ285),$AQ285*$AN285,"")</f>
        <v/>
      </c>
      <c r="AS285" s="152">
        <f>IF($A285="","",IFERROR(INDEX(Company_List!$H$3:$H$207,MATCH($A285,Company_List!$A$3:$A$207,0)),"unassigned"))</f>
        <v/>
      </c>
    </row>
    <row r="286">
      <c r="A286" s="191" t="inlineStr">
        <is>
          <t>Hermès</t>
        </is>
      </c>
      <c r="B286" s="188" t="inlineStr">
        <is>
          <t>RMSP.XC</t>
        </is>
      </c>
      <c r="C286" s="176" t="n">
        <v>2025</v>
      </c>
      <c r="D286" s="177" t="inlineStr">
        <is>
          <t>Q2</t>
        </is>
      </c>
      <c r="E286" s="178" t="inlineStr">
        <is>
          <t>LLM (DeepSeek)</t>
        </is>
      </c>
      <c r="F286" s="177" t="inlineStr">
        <is>
          <t>LLM</t>
        </is>
      </c>
      <c r="G286" s="196" t="n">
        <v>0.02</v>
      </c>
      <c r="H286" s="177" t="inlineStr">
        <is>
          <t>HOLD</t>
        </is>
      </c>
      <c r="J286" s="182" t="n">
        <v>45839</v>
      </c>
      <c r="K286" s="182" t="n">
        <v>45824</v>
      </c>
      <c r="L286" s="183" t="n">
        <v>2290.063</v>
      </c>
      <c r="M286" s="182" t="n">
        <v>45825</v>
      </c>
      <c r="N286" s="183" t="n">
        <v>2272.2417</v>
      </c>
      <c r="O286" s="180" t="n">
        <v>0.008056000000000001</v>
      </c>
      <c r="P286" s="197" t="n">
        <v>-0.0039</v>
      </c>
      <c r="V286" s="152" t="inlineStr">
        <is>
          <t>EXTENSION</t>
        </is>
      </c>
      <c r="W286" t="inlineStr">
        <is>
          <t>copied from Human_Data_Entry's EDGAR-anchored correction (same event, price fact independent of reading arm); patched 2026-08-27. Original: price signal — only this window shows an abnormal move</t>
        </is>
      </c>
      <c r="X286" t="inlineStr">
        <is>
          <t>RMS.PA</t>
        </is>
      </c>
      <c r="Y286" t="inlineStr">
        <is>
          <t>2025-07-29</t>
        </is>
      </c>
      <c r="Z286" t="n">
        <v>2354.2771</v>
      </c>
      <c r="AA286" t="inlineStr">
        <is>
          <t>2025-07-30</t>
        </is>
      </c>
      <c r="AB286" t="n">
        <v>2300.8158</v>
      </c>
      <c r="AC286" t="n">
        <v>-0.02270816452087873</v>
      </c>
      <c r="AD286" t="inlineStr">
        <is>
          <t>DOWN</t>
        </is>
      </c>
      <c r="AG286" s="152">
        <f>IF($A286="","",IFERROR(INDEX(Company_List!$G$3:$G$207,MATCH($A286,Company_List!$A$3:$A$207,0)),"unassigned"))</f>
        <v/>
      </c>
      <c r="AK286" s="152">
        <f>IF($A286="","",IF(COUNTIFS(Human_Data_Entry!$A$3:$A$525,$A286)&gt;0,"YES","NO"))</f>
        <v/>
      </c>
      <c r="AL286" s="152">
        <f>IF($A286="","",IF(AND($C286&amp;"-"&amp;$D286&gt;=Settings!$B$19,$C286&amp;"-"&amp;$D286&lt;=Settings!$B$20),"IN","OUT"))</f>
        <v/>
      </c>
      <c r="AM286" s="152">
        <f>IF(AND(OR($H286="BUY",$H286="SELL"),ISNUMBER($T286)),$T286,"")</f>
        <v/>
      </c>
      <c r="AN286" s="152">
        <f>IF(AND(OR($H286="BUY",$H286="SELL"),ISNUMBER($AF286)),$AF286,"")</f>
        <v/>
      </c>
      <c r="AO286" s="152">
        <f>IF(ISNUMBER($AM286),ABS(IF(ISNUMBER($G286),$G286,0)-Settings!$B$25),"")</f>
        <v/>
      </c>
      <c r="AP286" s="152">
        <f>IF(ISNUMBER($AO286),$AO286*$AM286,"")</f>
        <v/>
      </c>
      <c r="AQ286" s="152">
        <f>IF(ISNUMBER($AN286),ABS(IF(ISNUMBER($G286),$G286,0)-Settings!$B$25),"")</f>
        <v/>
      </c>
      <c r="AR286" s="152">
        <f>IF(ISNUMBER($AQ286),$AQ286*$AN286,"")</f>
        <v/>
      </c>
      <c r="AS286" s="152">
        <f>IF($A286="","",IFERROR(INDEX(Company_List!$H$3:$H$207,MATCH($A286,Company_List!$A$3:$A$207,0)),"unassigned"))</f>
        <v/>
      </c>
    </row>
    <row r="287">
      <c r="A287" s="191" t="inlineStr">
        <is>
          <t>American Express</t>
        </is>
      </c>
      <c r="B287" s="188" t="inlineStr">
        <is>
          <t>AXP</t>
        </is>
      </c>
      <c r="C287" s="176" t="n">
        <v>2025</v>
      </c>
      <c r="D287" s="177" t="inlineStr">
        <is>
          <t>Q2</t>
        </is>
      </c>
      <c r="E287" s="178" t="inlineStr">
        <is>
          <t>LLM (DeepSeek)</t>
        </is>
      </c>
      <c r="F287" s="177" t="inlineStr">
        <is>
          <t>LLM</t>
        </is>
      </c>
      <c r="G287" s="196" t="n">
        <v>0.1</v>
      </c>
      <c r="H287" s="177" t="inlineStr">
        <is>
          <t>HOLD</t>
        </is>
      </c>
      <c r="J287" s="182" t="n">
        <v>45856</v>
      </c>
      <c r="K287" s="182" t="n">
        <v>45855</v>
      </c>
      <c r="L287" s="183" t="n">
        <v>315.35</v>
      </c>
      <c r="M287" s="182" t="n">
        <v>45856</v>
      </c>
      <c r="N287" s="183" t="n">
        <v>311.86</v>
      </c>
      <c r="O287" s="180" t="n">
        <v>0.008125</v>
      </c>
      <c r="P287" s="197" t="n">
        <v>-0.0111</v>
      </c>
      <c r="V287" s="152" t="inlineStr">
        <is>
          <t>EXTENSION</t>
        </is>
      </c>
      <c r="W287" t="inlineStr">
        <is>
          <t>copied from Human_Data_Entry's EDGAR-anchored correction (same event, price fact independent of reading arm); patched 2026-08-27. Original: price signal, re-derived — only this window shows an abnormal move</t>
        </is>
      </c>
      <c r="X287" t="inlineStr">
        <is>
          <t>AXP</t>
        </is>
      </c>
      <c r="Y287" t="inlineStr">
        <is>
          <t>2025-07-17</t>
        </is>
      </c>
      <c r="Z287" t="n">
        <v>312.0126</v>
      </c>
      <c r="AA287" t="inlineStr">
        <is>
          <t>2025-07-18</t>
        </is>
      </c>
      <c r="AB287" t="n">
        <v>308.5595</v>
      </c>
      <c r="AC287" t="n">
        <v>-0.01106716102514595</v>
      </c>
      <c r="AD287" t="inlineStr">
        <is>
          <t>FLAT</t>
        </is>
      </c>
      <c r="AG287" s="152">
        <f>IF($A287="","",IFERROR(INDEX(Company_List!$G$3:$G$207,MATCH($A287,Company_List!$A$3:$A$207,0)),"unassigned"))</f>
        <v/>
      </c>
      <c r="AK287" s="152">
        <f>IF($A287="","",IF(COUNTIFS(Human_Data_Entry!$A$3:$A$525,$A287)&gt;0,"YES","NO"))</f>
        <v/>
      </c>
      <c r="AL287" s="152">
        <f>IF($A287="","",IF(AND($C287&amp;"-"&amp;$D287&gt;=Settings!$B$19,$C287&amp;"-"&amp;$D287&lt;=Settings!$B$20),"IN","OUT"))</f>
        <v/>
      </c>
      <c r="AM287" s="152">
        <f>IF(AND(OR($H287="BUY",$H287="SELL"),ISNUMBER($T287)),$T287,"")</f>
        <v/>
      </c>
      <c r="AN287" s="152">
        <f>IF(AND(OR($H287="BUY",$H287="SELL"),ISNUMBER($AF287)),$AF287,"")</f>
        <v/>
      </c>
      <c r="AO287" s="152">
        <f>IF(ISNUMBER($AM287),ABS(IF(ISNUMBER($G287),$G287,0)-Settings!$B$25),"")</f>
        <v/>
      </c>
      <c r="AP287" s="152">
        <f>IF(ISNUMBER($AO287),$AO287*$AM287,"")</f>
        <v/>
      </c>
      <c r="AQ287" s="152">
        <f>IF(ISNUMBER($AN287),ABS(IF(ISNUMBER($G287),$G287,0)-Settings!$B$25),"")</f>
        <v/>
      </c>
      <c r="AR287" s="152">
        <f>IF(ISNUMBER($AQ287),$AQ287*$AN287,"")</f>
        <v/>
      </c>
      <c r="AS287" s="152">
        <f>IF($A287="","",IFERROR(INDEX(Company_List!$H$3:$H$207,MATCH($A287,Company_List!$A$3:$A$207,0)),"unassigned"))</f>
        <v/>
      </c>
    </row>
    <row r="288">
      <c r="A288" s="191" t="inlineStr">
        <is>
          <t>Freeport-McMoRan</t>
        </is>
      </c>
      <c r="B288" s="188" t="inlineStr">
        <is>
          <t>FCX</t>
        </is>
      </c>
      <c r="C288" s="176" t="n">
        <v>2025</v>
      </c>
      <c r="D288" s="177" t="inlineStr">
        <is>
          <t>Q2</t>
        </is>
      </c>
      <c r="E288" s="178" t="inlineStr">
        <is>
          <t>LLM (DeepSeek)</t>
        </is>
      </c>
      <c r="F288" s="177" t="inlineStr">
        <is>
          <t>LLM</t>
        </is>
      </c>
      <c r="G288" s="196" t="n">
        <v>0.26</v>
      </c>
      <c r="H288" s="177" t="inlineStr">
        <is>
          <t>BUY</t>
        </is>
      </c>
      <c r="J288" s="182" t="n">
        <v>45861</v>
      </c>
      <c r="K288" s="182" t="n">
        <v>45860</v>
      </c>
      <c r="L288" s="183" t="n">
        <v>45.8</v>
      </c>
      <c r="M288" s="182" t="n">
        <v>45861</v>
      </c>
      <c r="N288" s="183" t="n">
        <v>44.66</v>
      </c>
      <c r="O288" s="180" t="n">
        <v>0.015287</v>
      </c>
      <c r="P288" s="197" t="n">
        <v>-0.0247</v>
      </c>
      <c r="V288" s="152" t="inlineStr">
        <is>
          <t>EXTENSION</t>
        </is>
      </c>
      <c r="W288" t="inlineStr">
        <is>
          <t>copied from Human_Data_Entry's EDGAR-anchored correction (same event, price fact independent of reading arm); patched 2026-08-27. Original: price signal — only this window shows an abnormal move</t>
        </is>
      </c>
      <c r="X288" t="inlineStr">
        <is>
          <t>FCX</t>
        </is>
      </c>
      <c r="Y288" t="inlineStr">
        <is>
          <t>2025-07-22</t>
        </is>
      </c>
      <c r="Z288" t="n">
        <v>45.3129</v>
      </c>
      <c r="AA288" t="inlineStr">
        <is>
          <t>2025-07-23</t>
        </is>
      </c>
      <c r="AB288" t="n">
        <v>44.185</v>
      </c>
      <c r="AC288" t="n">
        <v>-0.0248908374881723</v>
      </c>
      <c r="AD288" t="inlineStr">
        <is>
          <t>DOWN</t>
        </is>
      </c>
      <c r="AG288" s="152">
        <f>IF($A288="","",IFERROR(INDEX(Company_List!$G$3:$G$207,MATCH($A288,Company_List!$A$3:$A$207,0)),"unassigned"))</f>
        <v/>
      </c>
      <c r="AK288" s="152">
        <f>IF($A288="","",IF(COUNTIFS(Human_Data_Entry!$A$3:$A$525,$A288)&gt;0,"YES","NO"))</f>
        <v/>
      </c>
      <c r="AL288" s="152">
        <f>IF($A288="","",IF(AND($C288&amp;"-"&amp;$D288&gt;=Settings!$B$19,$C288&amp;"-"&amp;$D288&lt;=Settings!$B$20),"IN","OUT"))</f>
        <v/>
      </c>
      <c r="AM288" s="152">
        <f>IF(AND(OR($H288="BUY",$H288="SELL"),ISNUMBER($T288)),$T288,"")</f>
        <v/>
      </c>
      <c r="AN288" s="152">
        <f>IF(AND(OR($H288="BUY",$H288="SELL"),ISNUMBER($AF288)),$AF288,"")</f>
        <v/>
      </c>
      <c r="AO288" s="152">
        <f>IF(ISNUMBER($AM288),ABS(IF(ISNUMBER($G288),$G288,0)-Settings!$B$25),"")</f>
        <v/>
      </c>
      <c r="AP288" s="152">
        <f>IF(ISNUMBER($AO288),$AO288*$AM288,"")</f>
        <v/>
      </c>
      <c r="AQ288" s="152">
        <f>IF(ISNUMBER($AN288),ABS(IF(ISNUMBER($G288),$G288,0)-Settings!$B$25),"")</f>
        <v/>
      </c>
      <c r="AR288" s="152">
        <f>IF(ISNUMBER($AQ288),$AQ288*$AN288,"")</f>
        <v/>
      </c>
      <c r="AS288" s="152">
        <f>IF($A288="","",IFERROR(INDEX(Company_List!$H$3:$H$207,MATCH($A288,Company_List!$A$3:$A$207,0)),"unassigned"))</f>
        <v/>
      </c>
    </row>
    <row r="289">
      <c r="A289" s="191" t="inlineStr">
        <is>
          <t>Intel</t>
        </is>
      </c>
      <c r="B289" s="188" t="inlineStr">
        <is>
          <t>INTC</t>
        </is>
      </c>
      <c r="C289" s="176" t="n">
        <v>2025</v>
      </c>
      <c r="D289" s="177" t="inlineStr">
        <is>
          <t>Q2</t>
        </is>
      </c>
      <c r="E289" s="178" t="inlineStr">
        <is>
          <t>LLM (DeepSeek)</t>
        </is>
      </c>
      <c r="F289" s="177" t="inlineStr">
        <is>
          <t>LLM</t>
        </is>
      </c>
      <c r="G289" s="196" t="n">
        <v>-0.26</v>
      </c>
      <c r="H289" s="177" t="inlineStr">
        <is>
          <t>SELL</t>
        </is>
      </c>
      <c r="J289" s="182" t="n">
        <v>45862</v>
      </c>
      <c r="K289" s="182" t="n">
        <v>45862</v>
      </c>
      <c r="L289" s="183" t="n">
        <v>22.63</v>
      </c>
      <c r="M289" s="182" t="n">
        <v>45863</v>
      </c>
      <c r="N289" s="183" t="n">
        <v>20.68</v>
      </c>
      <c r="O289" s="180" t="n">
        <v>0.009540999999999999</v>
      </c>
      <c r="P289" s="197" t="n">
        <v>-0.0862</v>
      </c>
      <c r="V289" s="152" t="inlineStr">
        <is>
          <t>EXTENSION</t>
        </is>
      </c>
      <c r="W289" t="inlineStr">
        <is>
          <t>copied from Human_Data_Entry's EDGAR-anchored correction (same event, price fact independent of reading arm); patched 2026-08-27. Original: price signal, re-derived — only this window shows an abnormal move</t>
        </is>
      </c>
      <c r="X289" t="inlineStr">
        <is>
          <t>INTC</t>
        </is>
      </c>
      <c r="Y289" t="inlineStr">
        <is>
          <t>2025-07-24</t>
        </is>
      </c>
      <c r="Z289" t="n">
        <v>22.63</v>
      </c>
      <c r="AA289" t="inlineStr">
        <is>
          <t>2025-07-25</t>
        </is>
      </c>
      <c r="AB289" t="n">
        <v>20.68</v>
      </c>
      <c r="AC289" t="n">
        <v>-0.08616876209318444</v>
      </c>
      <c r="AD289" t="inlineStr">
        <is>
          <t>DOWN</t>
        </is>
      </c>
      <c r="AG289" s="152">
        <f>IF($A289="","",IFERROR(INDEX(Company_List!$G$3:$G$207,MATCH($A289,Company_List!$A$3:$A$207,0)),"unassigned"))</f>
        <v/>
      </c>
      <c r="AK289" s="152">
        <f>IF($A289="","",IF(COUNTIFS(Human_Data_Entry!$A$3:$A$525,$A289)&gt;0,"YES","NO"))</f>
        <v/>
      </c>
      <c r="AL289" s="152">
        <f>IF($A289="","",IF(AND($C289&amp;"-"&amp;$D289&gt;=Settings!$B$19,$C289&amp;"-"&amp;$D289&lt;=Settings!$B$20),"IN","OUT"))</f>
        <v/>
      </c>
      <c r="AM289" s="152">
        <f>IF(AND(OR($H289="BUY",$H289="SELL"),ISNUMBER($T289)),$T289,"")</f>
        <v/>
      </c>
      <c r="AN289" s="152">
        <f>IF(AND(OR($H289="BUY",$H289="SELL"),ISNUMBER($AF289)),$AF289,"")</f>
        <v/>
      </c>
      <c r="AO289" s="152">
        <f>IF(ISNUMBER($AM289),ABS(IF(ISNUMBER($G289),$G289,0)-Settings!$B$25),"")</f>
        <v/>
      </c>
      <c r="AP289" s="152">
        <f>IF(ISNUMBER($AO289),$AO289*$AM289,"")</f>
        <v/>
      </c>
      <c r="AQ289" s="152">
        <f>IF(ISNUMBER($AN289),ABS(IF(ISNUMBER($G289),$G289,0)-Settings!$B$25),"")</f>
        <v/>
      </c>
      <c r="AR289" s="152">
        <f>IF(ISNUMBER($AQ289),$AQ289*$AN289,"")</f>
        <v/>
      </c>
      <c r="AS289" s="152">
        <f>IF($A289="","",IFERROR(INDEX(Company_List!$H$3:$H$207,MATCH($A289,Company_List!$A$3:$A$207,0)),"unassigned"))</f>
        <v/>
      </c>
    </row>
    <row r="290">
      <c r="A290" s="191" t="inlineStr">
        <is>
          <t>eBay</t>
        </is>
      </c>
      <c r="B290" s="188" t="inlineStr">
        <is>
          <t>EBAY</t>
        </is>
      </c>
      <c r="C290" s="176" t="n">
        <v>2025</v>
      </c>
      <c r="D290" s="177" t="inlineStr">
        <is>
          <t>Q2</t>
        </is>
      </c>
      <c r="E290" s="178" t="inlineStr">
        <is>
          <t>LLM (DeepSeek)</t>
        </is>
      </c>
      <c r="F290" s="177" t="inlineStr">
        <is>
          <t>LLM</t>
        </is>
      </c>
      <c r="G290" s="196" t="n">
        <v>0.14</v>
      </c>
      <c r="H290" s="177" t="inlineStr">
        <is>
          <t>HOLD</t>
        </is>
      </c>
      <c r="J290" s="182" t="n">
        <v>45868</v>
      </c>
      <c r="K290" s="182" t="n">
        <v>45868</v>
      </c>
      <c r="L290" s="183" t="n">
        <v>77.56</v>
      </c>
      <c r="M290" s="182" t="n">
        <v>45869</v>
      </c>
      <c r="N290" s="183" t="n">
        <v>88.2</v>
      </c>
      <c r="O290" s="180" t="n">
        <v>0.005169</v>
      </c>
      <c r="P290" s="197" t="n">
        <v>0.1371</v>
      </c>
      <c r="V290" s="152" t="inlineStr">
        <is>
          <t>EXTENSION</t>
        </is>
      </c>
      <c r="W290" t="inlineStr">
        <is>
          <t>copied from Human_Data_Entry's EDGAR-anchored correction (same event, price fact independent of reading arm); patched 2026-08-27. Original: price signal, re-derived — only this window shows an abnormal move</t>
        </is>
      </c>
      <c r="X290" t="inlineStr">
        <is>
          <t>EBAY</t>
        </is>
      </c>
      <c r="Y290" t="inlineStr">
        <is>
          <t>2025-07-30</t>
        </is>
      </c>
      <c r="Z290" t="n">
        <v>76.57680000000001</v>
      </c>
      <c r="AA290" t="inlineStr">
        <is>
          <t>2025-07-31</t>
        </is>
      </c>
      <c r="AB290" t="n">
        <v>87.0819</v>
      </c>
      <c r="AC290" t="n">
        <v>0.1371840463453027</v>
      </c>
      <c r="AD290" t="inlineStr">
        <is>
          <t>UP</t>
        </is>
      </c>
      <c r="AG290" s="152">
        <f>IF($A290="","",IFERROR(INDEX(Company_List!$G$3:$G$207,MATCH($A290,Company_List!$A$3:$A$207,0)),"unassigned"))</f>
        <v/>
      </c>
      <c r="AK290" s="152">
        <f>IF($A290="","",IF(COUNTIFS(Human_Data_Entry!$A$3:$A$525,$A290)&gt;0,"YES","NO"))</f>
        <v/>
      </c>
      <c r="AL290" s="152">
        <f>IF($A290="","",IF(AND($C290&amp;"-"&amp;$D290&gt;=Settings!$B$19,$C290&amp;"-"&amp;$D290&lt;=Settings!$B$20),"IN","OUT"))</f>
        <v/>
      </c>
      <c r="AM290" s="152">
        <f>IF(AND(OR($H290="BUY",$H290="SELL"),ISNUMBER($T290)),$T290,"")</f>
        <v/>
      </c>
      <c r="AN290" s="152">
        <f>IF(AND(OR($H290="BUY",$H290="SELL"),ISNUMBER($AF290)),$AF290,"")</f>
        <v/>
      </c>
      <c r="AO290" s="152">
        <f>IF(ISNUMBER($AM290),ABS(IF(ISNUMBER($G290),$G290,0)-Settings!$B$25),"")</f>
        <v/>
      </c>
      <c r="AP290" s="152">
        <f>IF(ISNUMBER($AO290),$AO290*$AM290,"")</f>
        <v/>
      </c>
      <c r="AQ290" s="152">
        <f>IF(ISNUMBER($AN290),ABS(IF(ISNUMBER($G290),$G290,0)-Settings!$B$25),"")</f>
        <v/>
      </c>
      <c r="AR290" s="152">
        <f>IF(ISNUMBER($AQ290),$AQ290*$AN290,"")</f>
        <v/>
      </c>
      <c r="AS290" s="152">
        <f>IF($A290="","",IFERROR(INDEX(Company_List!$H$3:$H$207,MATCH($A290,Company_List!$A$3:$A$207,0)),"unassigned"))</f>
        <v/>
      </c>
    </row>
    <row r="291">
      <c r="A291" s="191" t="inlineStr">
        <is>
          <t>Mastercard</t>
        </is>
      </c>
      <c r="B291" s="188" t="inlineStr">
        <is>
          <t>MA</t>
        </is>
      </c>
      <c r="C291" s="176" t="n">
        <v>2025</v>
      </c>
      <c r="D291" s="177" t="inlineStr">
        <is>
          <t>Q2</t>
        </is>
      </c>
      <c r="E291" s="178" t="inlineStr">
        <is>
          <t>LLM (DeepSeek)</t>
        </is>
      </c>
      <c r="F291" s="177" t="inlineStr">
        <is>
          <t>LLM</t>
        </is>
      </c>
      <c r="G291" s="196" t="n">
        <v>0.26</v>
      </c>
      <c r="H291" s="177" t="inlineStr">
        <is>
          <t>BUY</t>
        </is>
      </c>
      <c r="J291" s="182" t="n">
        <v>45869</v>
      </c>
      <c r="K291" s="182" t="n">
        <v>45868</v>
      </c>
      <c r="L291" s="183" t="n">
        <v>559.11</v>
      </c>
      <c r="M291" s="182" t="n">
        <v>45869</v>
      </c>
      <c r="N291" s="183" t="n">
        <v>568.5700000000001</v>
      </c>
      <c r="O291" s="180" t="n">
        <v>0.010418</v>
      </c>
      <c r="P291" s="197" t="n">
        <v>0.0169</v>
      </c>
      <c r="V291" s="152" t="inlineStr">
        <is>
          <t>EXTENSION</t>
        </is>
      </c>
      <c r="W291" t="inlineStr">
        <is>
          <t>copied from Human_Data_Entry's EDGAR-anchored correction (same event, price fact independent of reading arm); patched 2026-08-27. Original: price signal, re-derived — only this window shows an abnormal move</t>
        </is>
      </c>
      <c r="X291" t="inlineStr">
        <is>
          <t>MA</t>
        </is>
      </c>
      <c r="Y291" t="inlineStr">
        <is>
          <t>2025-07-30</t>
        </is>
      </c>
      <c r="Z291" t="n">
        <v>555.6475</v>
      </c>
      <c r="AA291" t="inlineStr">
        <is>
          <t>2025-07-31</t>
        </is>
      </c>
      <c r="AB291" t="n">
        <v>565.0488</v>
      </c>
      <c r="AC291" t="n">
        <v>0.01691965144081545</v>
      </c>
      <c r="AD291" t="inlineStr">
        <is>
          <t>FLAT</t>
        </is>
      </c>
      <c r="AG291" s="152">
        <f>IF($A291="","",IFERROR(INDEX(Company_List!$G$3:$G$207,MATCH($A291,Company_List!$A$3:$A$207,0)),"unassigned"))</f>
        <v/>
      </c>
      <c r="AK291" s="152">
        <f>IF($A291="","",IF(COUNTIFS(Human_Data_Entry!$A$3:$A$525,$A291)&gt;0,"YES","NO"))</f>
        <v/>
      </c>
      <c r="AL291" s="152">
        <f>IF($A291="","",IF(AND($C291&amp;"-"&amp;$D291&gt;=Settings!$B$19,$C291&amp;"-"&amp;$D291&lt;=Settings!$B$20),"IN","OUT"))</f>
        <v/>
      </c>
      <c r="AM291" s="152">
        <f>IF(AND(OR($H291="BUY",$H291="SELL"),ISNUMBER($T291)),$T291,"")</f>
        <v/>
      </c>
      <c r="AN291" s="152">
        <f>IF(AND(OR($H291="BUY",$H291="SELL"),ISNUMBER($AF291)),$AF291,"")</f>
        <v/>
      </c>
      <c r="AO291" s="152">
        <f>IF(ISNUMBER($AM291),ABS(IF(ISNUMBER($G291),$G291,0)-Settings!$B$25),"")</f>
        <v/>
      </c>
      <c r="AP291" s="152">
        <f>IF(ISNUMBER($AO291),$AO291*$AM291,"")</f>
        <v/>
      </c>
      <c r="AQ291" s="152">
        <f>IF(ISNUMBER($AN291),ABS(IF(ISNUMBER($G291),$G291,0)-Settings!$B$25),"")</f>
        <v/>
      </c>
      <c r="AR291" s="152">
        <f>IF(ISNUMBER($AQ291),$AQ291*$AN291,"")</f>
        <v/>
      </c>
      <c r="AS291" s="152">
        <f>IF($A291="","",IFERROR(INDEX(Company_List!$H$3:$H$207,MATCH($A291,Company_List!$A$3:$A$207,0)),"unassigned"))</f>
        <v/>
      </c>
    </row>
    <row r="292">
      <c r="A292" s="191" t="inlineStr">
        <is>
          <t>Chevron</t>
        </is>
      </c>
      <c r="B292" s="188" t="inlineStr">
        <is>
          <t>CVX</t>
        </is>
      </c>
      <c r="C292" s="176" t="n">
        <v>2025</v>
      </c>
      <c r="D292" s="177" t="inlineStr">
        <is>
          <t>Q2</t>
        </is>
      </c>
      <c r="E292" s="178" t="inlineStr">
        <is>
          <t>LLM (DeepSeek)</t>
        </is>
      </c>
      <c r="F292" s="177" t="inlineStr">
        <is>
          <t>LLM</t>
        </is>
      </c>
      <c r="G292" s="196" t="n">
        <v>0.3</v>
      </c>
      <c r="H292" s="177" t="inlineStr">
        <is>
          <t>BUY</t>
        </is>
      </c>
      <c r="J292" s="182" t="n">
        <v>45870</v>
      </c>
      <c r="K292" s="182" t="n">
        <v>45869</v>
      </c>
      <c r="L292" s="183" t="n">
        <v>151.64</v>
      </c>
      <c r="M292" s="182" t="n">
        <v>45870</v>
      </c>
      <c r="N292" s="183" t="n">
        <v>152.54</v>
      </c>
      <c r="O292" s="180" t="n">
        <v>0.008168</v>
      </c>
      <c r="P292" s="197" t="n">
        <v>0.006</v>
      </c>
      <c r="V292" s="152" t="inlineStr">
        <is>
          <t>EXTENSION</t>
        </is>
      </c>
      <c r="W292" t="inlineStr">
        <is>
          <t>copied from Human_Data_Entry's EDGAR-anchored correction (same event, price fact independent of reading arm); patched 2026-08-27. Original: price signal, re-derived — only this window shows an abnormal move</t>
        </is>
      </c>
      <c r="X292" t="inlineStr">
        <is>
          <t>CVX</t>
        </is>
      </c>
      <c r="Y292" t="inlineStr">
        <is>
          <t>2025-07-31</t>
        </is>
      </c>
      <c r="Z292" t="n">
        <v>145.5442</v>
      </c>
      <c r="AA292" t="inlineStr">
        <is>
          <t>2025-08-01</t>
        </is>
      </c>
      <c r="AB292" t="n">
        <v>146.408</v>
      </c>
      <c r="AC292" t="n">
        <v>0.005935145990041951</v>
      </c>
      <c r="AD292" t="inlineStr">
        <is>
          <t>FLAT</t>
        </is>
      </c>
      <c r="AG292" s="152">
        <f>IF($A292="","",IFERROR(INDEX(Company_List!$G$3:$G$207,MATCH($A292,Company_List!$A$3:$A$207,0)),"unassigned"))</f>
        <v/>
      </c>
      <c r="AK292" s="152">
        <f>IF($A292="","",IF(COUNTIFS(Human_Data_Entry!$A$3:$A$525,$A292)&gt;0,"YES","NO"))</f>
        <v/>
      </c>
      <c r="AL292" s="152">
        <f>IF($A292="","",IF(AND($C292&amp;"-"&amp;$D292&gt;=Settings!$B$19,$C292&amp;"-"&amp;$D292&lt;=Settings!$B$20),"IN","OUT"))</f>
        <v/>
      </c>
      <c r="AM292" s="152">
        <f>IF(AND(OR($H292="BUY",$H292="SELL"),ISNUMBER($T292)),$T292,"")</f>
        <v/>
      </c>
      <c r="AN292" s="152">
        <f>IF(AND(OR($H292="BUY",$H292="SELL"),ISNUMBER($AF292)),$AF292,"")</f>
        <v/>
      </c>
      <c r="AO292" s="152">
        <f>IF(ISNUMBER($AM292),ABS(IF(ISNUMBER($G292),$G292,0)-Settings!$B$25),"")</f>
        <v/>
      </c>
      <c r="AP292" s="152">
        <f>IF(ISNUMBER($AO292),$AO292*$AM292,"")</f>
        <v/>
      </c>
      <c r="AQ292" s="152">
        <f>IF(ISNUMBER($AN292),ABS(IF(ISNUMBER($G292),$G292,0)-Settings!$B$25),"")</f>
        <v/>
      </c>
      <c r="AR292" s="152">
        <f>IF(ISNUMBER($AQ292),$AQ292*$AN292,"")</f>
        <v/>
      </c>
      <c r="AS292" s="152">
        <f>IF($A292="","",IFERROR(INDEX(Company_List!$H$3:$H$207,MATCH($A292,Company_List!$A$3:$A$207,0)),"unassigned"))</f>
        <v/>
      </c>
    </row>
    <row r="293">
      <c r="A293" s="191" t="inlineStr">
        <is>
          <t>ExxonMobil</t>
        </is>
      </c>
      <c r="B293" s="188" t="inlineStr">
        <is>
          <t>XOM</t>
        </is>
      </c>
      <c r="C293" s="176" t="n">
        <v>2025</v>
      </c>
      <c r="D293" s="177" t="inlineStr">
        <is>
          <t>Q2</t>
        </is>
      </c>
      <c r="E293" s="178" t="inlineStr">
        <is>
          <t>LLM (DeepSeek)</t>
        </is>
      </c>
      <c r="F293" s="177" t="inlineStr">
        <is>
          <t>LLM</t>
        </is>
      </c>
      <c r="G293" s="196" t="n">
        <v>0.18</v>
      </c>
      <c r="H293" s="177" t="inlineStr">
        <is>
          <t>HOLD</t>
        </is>
      </c>
      <c r="J293" s="182" t="n">
        <v>45870</v>
      </c>
      <c r="K293" s="182" t="n">
        <v>45869</v>
      </c>
      <c r="L293" s="183" t="n">
        <v>111.64</v>
      </c>
      <c r="M293" s="182" t="n">
        <v>45870</v>
      </c>
      <c r="N293" s="183" t="n">
        <v>112</v>
      </c>
      <c r="O293" s="180" t="n">
        <v>0.010159</v>
      </c>
      <c r="P293" s="197" t="n">
        <v>0.0032</v>
      </c>
      <c r="V293" s="152" t="inlineStr">
        <is>
          <t>EXTENSION</t>
        </is>
      </c>
      <c r="W293" t="inlineStr">
        <is>
          <t>copied from Human_Data_Entry's EDGAR-anchored correction (same event, price fact independent of reading arm); patched 2026-08-27. Original: document date + price signal</t>
        </is>
      </c>
      <c r="X293" t="inlineStr">
        <is>
          <t>XOM</t>
        </is>
      </c>
      <c r="Y293" t="inlineStr">
        <is>
          <t>2025-07-30</t>
        </is>
      </c>
      <c r="Z293" t="n">
        <v>108.4432</v>
      </c>
      <c r="AA293" t="inlineStr">
        <is>
          <t>2025-07-31</t>
        </is>
      </c>
      <c r="AB293" t="n">
        <v>106.9508</v>
      </c>
      <c r="AC293" t="n">
        <v>-0.0137623409159373</v>
      </c>
      <c r="AD293" t="inlineStr">
        <is>
          <t>FLAT</t>
        </is>
      </c>
      <c r="AG293" s="152">
        <f>IF($A293="","",IFERROR(INDEX(Company_List!$G$3:$G$207,MATCH($A293,Company_List!$A$3:$A$207,0)),"unassigned"))</f>
        <v/>
      </c>
      <c r="AK293" s="152">
        <f>IF($A293="","",IF(COUNTIFS(Human_Data_Entry!$A$3:$A$525,$A293)&gt;0,"YES","NO"))</f>
        <v/>
      </c>
      <c r="AL293" s="152">
        <f>IF($A293="","",IF(AND($C293&amp;"-"&amp;$D293&gt;=Settings!$B$19,$C293&amp;"-"&amp;$D293&lt;=Settings!$B$20),"IN","OUT"))</f>
        <v/>
      </c>
      <c r="AM293" s="152">
        <f>IF(AND(OR($H293="BUY",$H293="SELL"),ISNUMBER($T293)),$T293,"")</f>
        <v/>
      </c>
      <c r="AN293" s="152">
        <f>IF(AND(OR($H293="BUY",$H293="SELL"),ISNUMBER($AF293)),$AF293,"")</f>
        <v/>
      </c>
      <c r="AO293" s="152">
        <f>IF(ISNUMBER($AM293),ABS(IF(ISNUMBER($G293),$G293,0)-Settings!$B$25),"")</f>
        <v/>
      </c>
      <c r="AP293" s="152">
        <f>IF(ISNUMBER($AO293),$AO293*$AM293,"")</f>
        <v/>
      </c>
      <c r="AQ293" s="152">
        <f>IF(ISNUMBER($AN293),ABS(IF(ISNUMBER($G293),$G293,0)-Settings!$B$25),"")</f>
        <v/>
      </c>
      <c r="AR293" s="152">
        <f>IF(ISNUMBER($AQ293),$AQ293*$AN293,"")</f>
        <v/>
      </c>
      <c r="AS293" s="152">
        <f>IF($A293="","",IFERROR(INDEX(Company_List!$H$3:$H$207,MATCH($A293,Company_List!$A$3:$A$207,0)),"unassigned"))</f>
        <v/>
      </c>
    </row>
    <row r="294">
      <c r="A294" s="191" t="inlineStr">
        <is>
          <t>Shell</t>
        </is>
      </c>
      <c r="B294" s="188" t="inlineStr">
        <is>
          <t>SHEL</t>
        </is>
      </c>
      <c r="C294" s="176" t="n">
        <v>2025</v>
      </c>
      <c r="D294" s="177" t="inlineStr">
        <is>
          <t>Q2</t>
        </is>
      </c>
      <c r="E294" s="178" t="inlineStr">
        <is>
          <t>LLM (DeepSeek)</t>
        </is>
      </c>
      <c r="F294" s="177" t="inlineStr">
        <is>
          <t>LLM</t>
        </is>
      </c>
      <c r="G294" s="196" t="n">
        <v>0.1</v>
      </c>
      <c r="H294" s="177" t="inlineStr">
        <is>
          <t>HOLD</t>
        </is>
      </c>
      <c r="J294" s="182" t="n">
        <v>45870</v>
      </c>
      <c r="K294" s="182" t="n">
        <v>45869</v>
      </c>
      <c r="L294" s="183" t="n">
        <v>72.20999999999999</v>
      </c>
      <c r="M294" s="182" t="n">
        <v>45870</v>
      </c>
      <c r="N294" s="183" t="n">
        <v>72.55</v>
      </c>
      <c r="O294" s="180" t="n">
        <v>0.005331</v>
      </c>
      <c r="P294" s="197" t="n">
        <v>0.0047</v>
      </c>
      <c r="V294" s="152" t="inlineStr">
        <is>
          <t>EXTENSION</t>
        </is>
      </c>
      <c r="W294" t="inlineStr">
        <is>
          <t>copied from Human_Data_Entry's EDGAR-anchored correction (same event, price fact independent of reading arm); patched 2026-08-27. Original: release time published by the issuer (section C)</t>
        </is>
      </c>
      <c r="X294" t="inlineStr">
        <is>
          <t>SHEL.L</t>
        </is>
      </c>
      <c r="Y294" t="inlineStr">
        <is>
          <t>2025-07-30</t>
        </is>
      </c>
      <c r="Z294" t="n">
        <v>2677.9905</v>
      </c>
      <c r="AA294" t="inlineStr">
        <is>
          <t>2025-07-31</t>
        </is>
      </c>
      <c r="AB294" t="n">
        <v>2719.4749</v>
      </c>
      <c r="AC294" t="n">
        <v>0.01549089057567488</v>
      </c>
      <c r="AD294" t="inlineStr">
        <is>
          <t>FLAT</t>
        </is>
      </c>
      <c r="AG294" s="152">
        <f>IF($A294="","",IFERROR(INDEX(Company_List!$G$3:$G$207,MATCH($A294,Company_List!$A$3:$A$207,0)),"unassigned"))</f>
        <v/>
      </c>
      <c r="AK294" s="152">
        <f>IF($A294="","",IF(COUNTIFS(Human_Data_Entry!$A$3:$A$525,$A294)&gt;0,"YES","NO"))</f>
        <v/>
      </c>
      <c r="AL294" s="152">
        <f>IF($A294="","",IF(AND($C294&amp;"-"&amp;$D294&gt;=Settings!$B$19,$C294&amp;"-"&amp;$D294&lt;=Settings!$B$20),"IN","OUT"))</f>
        <v/>
      </c>
      <c r="AM294" s="152">
        <f>IF(AND(OR($H294="BUY",$H294="SELL"),ISNUMBER($T294)),$T294,"")</f>
        <v/>
      </c>
      <c r="AN294" s="152">
        <f>IF(AND(OR($H294="BUY",$H294="SELL"),ISNUMBER($AF294)),$AF294,"")</f>
        <v/>
      </c>
      <c r="AO294" s="152">
        <f>IF(ISNUMBER($AM294),ABS(IF(ISNUMBER($G294),$G294,0)-Settings!$B$25),"")</f>
        <v/>
      </c>
      <c r="AP294" s="152">
        <f>IF(ISNUMBER($AO294),$AO294*$AM294,"")</f>
        <v/>
      </c>
      <c r="AQ294" s="152">
        <f>IF(ISNUMBER($AN294),ABS(IF(ISNUMBER($G294),$G294,0)-Settings!$B$25),"")</f>
        <v/>
      </c>
      <c r="AR294" s="152">
        <f>IF(ISNUMBER($AQ294),$AQ294*$AN294,"")</f>
        <v/>
      </c>
      <c r="AS294" s="152">
        <f>IF($A294="","",IFERROR(INDEX(Company_List!$H$3:$H$207,MATCH($A294,Company_List!$A$3:$A$207,0)),"unassigned"))</f>
        <v/>
      </c>
    </row>
    <row r="295">
      <c r="A295" s="191" t="inlineStr">
        <is>
          <t>Duke Energy</t>
        </is>
      </c>
      <c r="B295" s="188" t="inlineStr">
        <is>
          <t>DUK</t>
        </is>
      </c>
      <c r="C295" s="176" t="n">
        <v>2025</v>
      </c>
      <c r="D295" s="177" t="inlineStr">
        <is>
          <t>Q2</t>
        </is>
      </c>
      <c r="E295" s="178" t="inlineStr">
        <is>
          <t>LLM (DeepSeek)</t>
        </is>
      </c>
      <c r="F295" s="177" t="inlineStr">
        <is>
          <t>LLM</t>
        </is>
      </c>
      <c r="G295" s="196" t="n">
        <v>0.22</v>
      </c>
      <c r="H295" s="177" t="inlineStr">
        <is>
          <t>BUY</t>
        </is>
      </c>
      <c r="J295" s="182" t="n">
        <v>45874</v>
      </c>
      <c r="K295" s="182" t="n">
        <v>45873</v>
      </c>
      <c r="L295" s="183" t="n">
        <v>124.17</v>
      </c>
      <c r="M295" s="182" t="n">
        <v>45874</v>
      </c>
      <c r="N295" s="183" t="n">
        <v>126.97</v>
      </c>
      <c r="O295" s="180" t="n">
        <v>0.011422</v>
      </c>
      <c r="P295" s="197" t="n">
        <v>0.0225</v>
      </c>
      <c r="V295" s="152" t="inlineStr">
        <is>
          <t>EXTENSION</t>
        </is>
      </c>
      <c r="W295" t="inlineStr">
        <is>
          <t>copied from Human_Data_Entry's EDGAR-anchored correction (same event, price fact independent of reading arm); patched 2026-08-27. Original: document date + price signal</t>
        </is>
      </c>
      <c r="X295" t="inlineStr">
        <is>
          <t>DUK</t>
        </is>
      </c>
      <c r="Y295" t="inlineStr">
        <is>
          <t>2025-08-04</t>
        </is>
      </c>
      <c r="Z295" t="n">
        <v>119.9775</v>
      </c>
      <c r="AA295" t="inlineStr">
        <is>
          <t>2025-08-05</t>
        </is>
      </c>
      <c r="AB295" t="n">
        <v>122.683</v>
      </c>
      <c r="AC295" t="n">
        <v>0.0225497987577692</v>
      </c>
      <c r="AD295" t="inlineStr">
        <is>
          <t>UP</t>
        </is>
      </c>
      <c r="AG295" s="152">
        <f>IF($A295="","",IFERROR(INDEX(Company_List!$G$3:$G$207,MATCH($A295,Company_List!$A$3:$A$207,0)),"unassigned"))</f>
        <v/>
      </c>
      <c r="AK295" s="152">
        <f>IF($A295="","",IF(COUNTIFS(Human_Data_Entry!$A$3:$A$525,$A295)&gt;0,"YES","NO"))</f>
        <v/>
      </c>
      <c r="AL295" s="152">
        <f>IF($A295="","",IF(AND($C295&amp;"-"&amp;$D295&gt;=Settings!$B$19,$C295&amp;"-"&amp;$D295&lt;=Settings!$B$20),"IN","OUT"))</f>
        <v/>
      </c>
      <c r="AM295" s="152">
        <f>IF(AND(OR($H295="BUY",$H295="SELL"),ISNUMBER($T295)),$T295,"")</f>
        <v/>
      </c>
      <c r="AN295" s="152">
        <f>IF(AND(OR($H295="BUY",$H295="SELL"),ISNUMBER($AF295)),$AF295,"")</f>
        <v/>
      </c>
      <c r="AO295" s="152">
        <f>IF(ISNUMBER($AM295),ABS(IF(ISNUMBER($G295),$G295,0)-Settings!$B$25),"")</f>
        <v/>
      </c>
      <c r="AP295" s="152">
        <f>IF(ISNUMBER($AO295),$AO295*$AM295,"")</f>
        <v/>
      </c>
      <c r="AQ295" s="152">
        <f>IF(ISNUMBER($AN295),ABS(IF(ISNUMBER($G295),$G295,0)-Settings!$B$25),"")</f>
        <v/>
      </c>
      <c r="AR295" s="152">
        <f>IF(ISNUMBER($AQ295),$AQ295*$AN295,"")</f>
        <v/>
      </c>
      <c r="AS295" s="152">
        <f>IF($A295="","",IFERROR(INDEX(Company_List!$H$3:$H$207,MATCH($A295,Company_List!$A$3:$A$207,0)),"unassigned"))</f>
        <v/>
      </c>
    </row>
    <row r="296">
      <c r="A296" s="191" t="inlineStr">
        <is>
          <t>Datadog</t>
        </is>
      </c>
      <c r="B296" s="188" t="inlineStr">
        <is>
          <t>DDOG</t>
        </is>
      </c>
      <c r="C296" s="176" t="n">
        <v>2025</v>
      </c>
      <c r="D296" s="177" t="inlineStr">
        <is>
          <t>Q2</t>
        </is>
      </c>
      <c r="E296" s="178" t="inlineStr">
        <is>
          <t>LLM (DeepSeek)</t>
        </is>
      </c>
      <c r="F296" s="177" t="inlineStr">
        <is>
          <t>LLM</t>
        </is>
      </c>
      <c r="G296" s="196" t="n">
        <v>0.22</v>
      </c>
      <c r="H296" s="177" t="inlineStr">
        <is>
          <t>BUY</t>
        </is>
      </c>
      <c r="J296" s="182" t="n">
        <v>45876</v>
      </c>
      <c r="K296" s="182" t="n">
        <v>45875</v>
      </c>
      <c r="L296" s="183" t="n">
        <v>136.96</v>
      </c>
      <c r="M296" s="182" t="n">
        <v>45876</v>
      </c>
      <c r="N296" s="183" t="n">
        <v>147.75</v>
      </c>
      <c r="O296" s="180" t="n">
        <v>0.005318</v>
      </c>
      <c r="P296" s="197" t="n">
        <v>0.0788</v>
      </c>
      <c r="V296" s="152" t="inlineStr">
        <is>
          <t>EXTENSION</t>
        </is>
      </c>
      <c r="W296" t="inlineStr">
        <is>
          <t>copied from Human_Data_Entry's EDGAR-anchored correction (same event, price fact independent of reading arm); patched 2026-08-27. Original: recorded window spanned two sessions, closed to one</t>
        </is>
      </c>
      <c r="X296" t="inlineStr">
        <is>
          <t>DDOG</t>
        </is>
      </c>
      <c r="Y296" t="inlineStr">
        <is>
          <t>2025-08-06</t>
        </is>
      </c>
      <c r="Z296" t="n">
        <v>136.96</v>
      </c>
      <c r="AA296" t="inlineStr">
        <is>
          <t>2025-08-07</t>
        </is>
      </c>
      <c r="AB296" t="n">
        <v>147.75</v>
      </c>
      <c r="AC296" t="n">
        <v>0.07878207103187437</v>
      </c>
      <c r="AD296" t="inlineStr">
        <is>
          <t>UP</t>
        </is>
      </c>
      <c r="AG296" s="152">
        <f>IF($A296="","",IFERROR(INDEX(Company_List!$G$3:$G$207,MATCH($A296,Company_List!$A$3:$A$207,0)),"unassigned"))</f>
        <v/>
      </c>
      <c r="AK296" s="152">
        <f>IF($A296="","",IF(COUNTIFS(Human_Data_Entry!$A$3:$A$525,$A296)&gt;0,"YES","NO"))</f>
        <v/>
      </c>
      <c r="AL296" s="152">
        <f>IF($A296="","",IF(AND($C296&amp;"-"&amp;$D296&gt;=Settings!$B$19,$C296&amp;"-"&amp;$D296&lt;=Settings!$B$20),"IN","OUT"))</f>
        <v/>
      </c>
      <c r="AM296" s="152">
        <f>IF(AND(OR($H296="BUY",$H296="SELL"),ISNUMBER($T296)),$T296,"")</f>
        <v/>
      </c>
      <c r="AN296" s="152">
        <f>IF(AND(OR($H296="BUY",$H296="SELL"),ISNUMBER($AF296)),$AF296,"")</f>
        <v/>
      </c>
      <c r="AO296" s="152">
        <f>IF(ISNUMBER($AM296),ABS(IF(ISNUMBER($G296),$G296,0)-Settings!$B$25),"")</f>
        <v/>
      </c>
      <c r="AP296" s="152">
        <f>IF(ISNUMBER($AO296),$AO296*$AM296,"")</f>
        <v/>
      </c>
      <c r="AQ296" s="152">
        <f>IF(ISNUMBER($AN296),ABS(IF(ISNUMBER($G296),$G296,0)-Settings!$B$25),"")</f>
        <v/>
      </c>
      <c r="AR296" s="152">
        <f>IF(ISNUMBER($AQ296),$AQ296*$AN296,"")</f>
        <v/>
      </c>
      <c r="AS296" s="152">
        <f>IF($A296="","",IFERROR(INDEX(Company_List!$H$3:$H$207,MATCH($A296,Company_List!$A$3:$A$207,0)),"unassigned"))</f>
        <v/>
      </c>
    </row>
    <row r="297">
      <c r="A297" s="191" t="inlineStr">
        <is>
          <t>Home Depot</t>
        </is>
      </c>
      <c r="B297" s="188" t="inlineStr">
        <is>
          <t>HD</t>
        </is>
      </c>
      <c r="C297" s="176" t="n">
        <v>2025</v>
      </c>
      <c r="D297" s="177" t="inlineStr">
        <is>
          <t>Q2</t>
        </is>
      </c>
      <c r="E297" s="178" t="inlineStr">
        <is>
          <t>LLM (DeepSeek)</t>
        </is>
      </c>
      <c r="F297" s="177" t="inlineStr">
        <is>
          <t>LLM</t>
        </is>
      </c>
      <c r="G297" s="196" t="n">
        <v>0.1</v>
      </c>
      <c r="H297" s="177" t="inlineStr">
        <is>
          <t>HOLD</t>
        </is>
      </c>
      <c r="J297" s="182" t="n">
        <v>45888</v>
      </c>
      <c r="K297" s="182" t="n">
        <v>45887</v>
      </c>
      <c r="L297" s="183" t="n">
        <v>394.7</v>
      </c>
      <c r="M297" s="182" t="n">
        <v>45888</v>
      </c>
      <c r="N297" s="183" t="n">
        <v>401.02</v>
      </c>
      <c r="O297" s="180" t="n">
        <v>0.008654999999999999</v>
      </c>
      <c r="P297" s="197" t="n">
        <v>0.016</v>
      </c>
      <c r="V297" s="152" t="inlineStr">
        <is>
          <t>EXTENSION</t>
        </is>
      </c>
      <c r="W297" t="inlineStr">
        <is>
          <t>copied from Human_Data_Entry's EDGAR-anchored correction (same event, price fact independent of reading arm); patched 2026-08-27. Original: price signal — only this window shows an abnormal move</t>
        </is>
      </c>
      <c r="X297" t="inlineStr">
        <is>
          <t>HD</t>
        </is>
      </c>
      <c r="Y297" t="inlineStr">
        <is>
          <t>2025-08-18</t>
        </is>
      </c>
      <c r="Z297" t="n">
        <v>384.4777</v>
      </c>
      <c r="AA297" t="inlineStr">
        <is>
          <t>2025-08-19</t>
        </is>
      </c>
      <c r="AB297" t="n">
        <v>390.634</v>
      </c>
      <c r="AC297" t="n">
        <v>0.01601211775923882</v>
      </c>
      <c r="AD297" t="inlineStr">
        <is>
          <t>FLAT</t>
        </is>
      </c>
      <c r="AG297" s="152">
        <f>IF($A297="","",IFERROR(INDEX(Company_List!$G$3:$G$207,MATCH($A297,Company_List!$A$3:$A$207,0)),"unassigned"))</f>
        <v/>
      </c>
      <c r="AK297" s="152">
        <f>IF($A297="","",IF(COUNTIFS(Human_Data_Entry!$A$3:$A$525,$A297)&gt;0,"YES","NO"))</f>
        <v/>
      </c>
      <c r="AL297" s="152">
        <f>IF($A297="","",IF(AND($C297&amp;"-"&amp;$D297&gt;=Settings!$B$19,$C297&amp;"-"&amp;$D297&lt;=Settings!$B$20),"IN","OUT"))</f>
        <v/>
      </c>
      <c r="AM297" s="152">
        <f>IF(AND(OR($H297="BUY",$H297="SELL"),ISNUMBER($T297)),$T297,"")</f>
        <v/>
      </c>
      <c r="AN297" s="152">
        <f>IF(AND(OR($H297="BUY",$H297="SELL"),ISNUMBER($AF297)),$AF297,"")</f>
        <v/>
      </c>
      <c r="AO297" s="152">
        <f>IF(ISNUMBER($AM297),ABS(IF(ISNUMBER($G297),$G297,0)-Settings!$B$25),"")</f>
        <v/>
      </c>
      <c r="AP297" s="152">
        <f>IF(ISNUMBER($AO297),$AO297*$AM297,"")</f>
        <v/>
      </c>
      <c r="AQ297" s="152">
        <f>IF(ISNUMBER($AN297),ABS(IF(ISNUMBER($G297),$G297,0)-Settings!$B$25),"")</f>
        <v/>
      </c>
      <c r="AR297" s="152">
        <f>IF(ISNUMBER($AQ297),$AQ297*$AN297,"")</f>
        <v/>
      </c>
      <c r="AS297" s="152">
        <f>IF($A297="","",IFERROR(INDEX(Company_List!$H$3:$H$207,MATCH($A297,Company_List!$A$3:$A$207,0)),"unassigned"))</f>
        <v/>
      </c>
    </row>
    <row r="298">
      <c r="A298" s="191" t="inlineStr">
        <is>
          <t>Union Pacific</t>
        </is>
      </c>
      <c r="B298" s="188" t="inlineStr">
        <is>
          <t>UNP</t>
        </is>
      </c>
      <c r="C298" s="176" t="n">
        <v>2025</v>
      </c>
      <c r="D298" s="177" t="inlineStr">
        <is>
          <t>Q2</t>
        </is>
      </c>
      <c r="E298" s="178" t="inlineStr">
        <is>
          <t>LLM (DeepSeek)</t>
        </is>
      </c>
      <c r="F298" s="177" t="inlineStr">
        <is>
          <t>LLM</t>
        </is>
      </c>
      <c r="G298" s="196" t="n">
        <v>0.12</v>
      </c>
      <c r="H298" s="177" t="inlineStr">
        <is>
          <t>HOLD</t>
        </is>
      </c>
      <c r="J298" s="182" t="n">
        <v>45890</v>
      </c>
      <c r="K298" s="182" t="n">
        <v>45889</v>
      </c>
      <c r="L298" s="183" t="n">
        <v>225.68</v>
      </c>
      <c r="M298" s="182" t="n">
        <v>45890</v>
      </c>
      <c r="N298" s="183" t="n">
        <v>225.48</v>
      </c>
      <c r="O298" s="180" t="n">
        <v>0.009011999999999999</v>
      </c>
      <c r="P298" s="197" t="n">
        <v>-0.0009</v>
      </c>
      <c r="V298" s="152" t="inlineStr">
        <is>
          <t>EXTENSION</t>
        </is>
      </c>
      <c r="W298" t="inlineStr">
        <is>
          <t>copied from Human_Data_Entry's EDGAR-anchored correction (same event, price fact independent of reading arm); patched 2026-08-27. Original: price signal — both moved; this one dominates</t>
        </is>
      </c>
      <c r="X298" t="inlineStr">
        <is>
          <t>UNP</t>
        </is>
      </c>
      <c r="Y298" t="inlineStr">
        <is>
          <t>2025-07-23</t>
        </is>
      </c>
      <c r="Z298" t="n">
        <v>225.8712</v>
      </c>
      <c r="AA298" t="inlineStr">
        <is>
          <t>2025-07-24</t>
        </is>
      </c>
      <c r="AB298" t="n">
        <v>220.9822</v>
      </c>
      <c r="AC298" t="n">
        <v>-0.02164502039981029</v>
      </c>
      <c r="AD298" t="inlineStr">
        <is>
          <t>DOWN</t>
        </is>
      </c>
      <c r="AG298" s="152">
        <f>IF($A298="","",IFERROR(INDEX(Company_List!$G$3:$G$207,MATCH($A298,Company_List!$A$3:$A$207,0)),"unassigned"))</f>
        <v/>
      </c>
      <c r="AK298" s="152">
        <f>IF($A298="","",IF(COUNTIFS(Human_Data_Entry!$A$3:$A$525,$A298)&gt;0,"YES","NO"))</f>
        <v/>
      </c>
      <c r="AL298" s="152">
        <f>IF($A298="","",IF(AND($C298&amp;"-"&amp;$D298&gt;=Settings!$B$19,$C298&amp;"-"&amp;$D298&lt;=Settings!$B$20),"IN","OUT"))</f>
        <v/>
      </c>
      <c r="AM298" s="152">
        <f>IF(AND(OR($H298="BUY",$H298="SELL"),ISNUMBER($T298)),$T298,"")</f>
        <v/>
      </c>
      <c r="AN298" s="152">
        <f>IF(AND(OR($H298="BUY",$H298="SELL"),ISNUMBER($AF298)),$AF298,"")</f>
        <v/>
      </c>
      <c r="AO298" s="152">
        <f>IF(ISNUMBER($AM298),ABS(IF(ISNUMBER($G298),$G298,0)-Settings!$B$25),"")</f>
        <v/>
      </c>
      <c r="AP298" s="152">
        <f>IF(ISNUMBER($AO298),$AO298*$AM298,"")</f>
        <v/>
      </c>
      <c r="AQ298" s="152">
        <f>IF(ISNUMBER($AN298),ABS(IF(ISNUMBER($G298),$G298,0)-Settings!$B$25),"")</f>
        <v/>
      </c>
      <c r="AR298" s="152">
        <f>IF(ISNUMBER($AQ298),$AQ298*$AN298,"")</f>
        <v/>
      </c>
      <c r="AS298" s="152">
        <f>IF($A298="","",IFERROR(INDEX(Company_List!$H$3:$H$207,MATCH($A298,Company_List!$A$3:$A$207,0)),"unassigned"))</f>
        <v/>
      </c>
    </row>
    <row r="299">
      <c r="A299" s="191" t="inlineStr">
        <is>
          <t>Adobe</t>
        </is>
      </c>
      <c r="B299" s="188" t="inlineStr">
        <is>
          <t>ADBE</t>
        </is>
      </c>
      <c r="C299" s="176" t="n">
        <v>2025</v>
      </c>
      <c r="D299" s="177" t="inlineStr">
        <is>
          <t>Q3</t>
        </is>
      </c>
      <c r="E299" s="178" t="inlineStr">
        <is>
          <t>LLM (DeepSeek)</t>
        </is>
      </c>
      <c r="F299" s="177" t="inlineStr">
        <is>
          <t>LLM</t>
        </is>
      </c>
      <c r="G299" s="196" t="n">
        <v>0.44</v>
      </c>
      <c r="H299" s="177" t="inlineStr">
        <is>
          <t>BUY</t>
        </is>
      </c>
      <c r="J299" s="182" t="n">
        <v>45911</v>
      </c>
      <c r="K299" s="182" t="n">
        <v>45911</v>
      </c>
      <c r="L299" s="183" t="n">
        <v>350.55</v>
      </c>
      <c r="M299" s="182" t="n">
        <v>45912</v>
      </c>
      <c r="N299" s="183" t="n">
        <v>361.1</v>
      </c>
      <c r="O299" s="180" t="n">
        <v>0.008094</v>
      </c>
      <c r="P299" s="197" t="n">
        <v>0.0301</v>
      </c>
      <c r="V299" s="152" t="inlineStr">
        <is>
          <t>EXTENSION</t>
        </is>
      </c>
      <c r="W299" t="inlineStr">
        <is>
          <t>copied from Human_Data_Entry's EDGAR-anchored correction (same event, price fact independent of reading arm); patched 2026-08-27. Original: price signal — both moved; this one dominates</t>
        </is>
      </c>
      <c r="X299" t="inlineStr">
        <is>
          <t>ADBE</t>
        </is>
      </c>
      <c r="Y299" t="inlineStr">
        <is>
          <t>2025-09-11</t>
        </is>
      </c>
      <c r="Z299" t="n">
        <v>350.55</v>
      </c>
      <c r="AA299" t="inlineStr">
        <is>
          <t>2025-09-12</t>
        </is>
      </c>
      <c r="AB299" t="n">
        <v>361.1</v>
      </c>
      <c r="AC299" t="n">
        <v>0.03009561649164861</v>
      </c>
      <c r="AD299" t="inlineStr">
        <is>
          <t>UP</t>
        </is>
      </c>
      <c r="AG299" s="152">
        <f>IF($A299="","",IFERROR(INDEX(Company_List!$G$3:$G$207,MATCH($A299,Company_List!$A$3:$A$207,0)),"unassigned"))</f>
        <v/>
      </c>
      <c r="AK299" s="152">
        <f>IF($A299="","",IF(COUNTIFS(Human_Data_Entry!$A$3:$A$525,$A299)&gt;0,"YES","NO"))</f>
        <v/>
      </c>
      <c r="AL299" s="152">
        <f>IF($A299="","",IF(AND($C299&amp;"-"&amp;$D299&gt;=Settings!$B$19,$C299&amp;"-"&amp;$D299&lt;=Settings!$B$20),"IN","OUT"))</f>
        <v/>
      </c>
      <c r="AM299" s="152">
        <f>IF(AND(OR($H299="BUY",$H299="SELL"),ISNUMBER($T299)),$T299,"")</f>
        <v/>
      </c>
      <c r="AN299" s="152">
        <f>IF(AND(OR($H299="BUY",$H299="SELL"),ISNUMBER($AF299)),$AF299,"")</f>
        <v/>
      </c>
      <c r="AO299" s="152">
        <f>IF(ISNUMBER($AM299),ABS(IF(ISNUMBER($G299),$G299,0)-Settings!$B$25),"")</f>
        <v/>
      </c>
      <c r="AP299" s="152">
        <f>IF(ISNUMBER($AO299),$AO299*$AM299,"")</f>
        <v/>
      </c>
      <c r="AQ299" s="152">
        <f>IF(ISNUMBER($AN299),ABS(IF(ISNUMBER($G299),$G299,0)-Settings!$B$25),"")</f>
        <v/>
      </c>
      <c r="AR299" s="152">
        <f>IF(ISNUMBER($AQ299),$AQ299*$AN299,"")</f>
        <v/>
      </c>
      <c r="AS299" s="152">
        <f>IF($A299="","",IFERROR(INDEX(Company_List!$H$3:$H$207,MATCH($A299,Company_List!$A$3:$A$207,0)),"unassigned"))</f>
        <v/>
      </c>
    </row>
    <row r="300">
      <c r="A300" s="191" t="inlineStr">
        <is>
          <t>Costco</t>
        </is>
      </c>
      <c r="B300" s="188" t="inlineStr">
        <is>
          <t>COST</t>
        </is>
      </c>
      <c r="C300" s="176" t="n">
        <v>2025</v>
      </c>
      <c r="D300" s="177" t="inlineStr">
        <is>
          <t>Q4</t>
        </is>
      </c>
      <c r="E300" s="178" t="inlineStr">
        <is>
          <t>LLM (DeepSeek)</t>
        </is>
      </c>
      <c r="F300" s="177" t="inlineStr">
        <is>
          <t>LLM</t>
        </is>
      </c>
      <c r="G300" s="196" t="n">
        <v>0.2</v>
      </c>
      <c r="H300" s="177" t="inlineStr">
        <is>
          <t>HOLD</t>
        </is>
      </c>
      <c r="J300" s="182" t="n">
        <v>45925</v>
      </c>
      <c r="K300" s="182" t="n">
        <v>45925</v>
      </c>
      <c r="L300" s="183" t="n">
        <v>943.3099999999999</v>
      </c>
      <c r="M300" s="182" t="n">
        <v>45926</v>
      </c>
      <c r="N300" s="183" t="n">
        <v>925.55</v>
      </c>
      <c r="O300" s="180" t="n">
        <v>0.008269</v>
      </c>
      <c r="P300" s="197" t="n">
        <v>-0.0188</v>
      </c>
      <c r="V300" s="152" t="inlineStr">
        <is>
          <t>EXTENSION</t>
        </is>
      </c>
      <c r="W300" t="inlineStr">
        <is>
          <t>copied from Human_Data_Entry's EDGAR-anchored correction (same event, price fact independent of reading arm); patched 2026-08-27. Original: release date + stated time in the document (rater worksheet)</t>
        </is>
      </c>
      <c r="X300" t="inlineStr">
        <is>
          <t>COST</t>
        </is>
      </c>
      <c r="Y300" t="inlineStr">
        <is>
          <t>2025-09-25</t>
        </is>
      </c>
      <c r="Z300" t="n">
        <v>937.8382</v>
      </c>
      <c r="AA300" t="inlineStr">
        <is>
          <t>2025-09-26</t>
        </is>
      </c>
      <c r="AB300" t="n">
        <v>920.1811</v>
      </c>
      <c r="AC300" t="n">
        <v>-0.0188274116614698</v>
      </c>
      <c r="AD300" t="inlineStr">
        <is>
          <t>FLAT</t>
        </is>
      </c>
      <c r="AG300" s="152">
        <f>IF($A300="","",IFERROR(INDEX(Company_List!$G$3:$G$207,MATCH($A300,Company_List!$A$3:$A$207,0)),"unassigned"))</f>
        <v/>
      </c>
      <c r="AK300" s="152">
        <f>IF($A300="","",IF(COUNTIFS(Human_Data_Entry!$A$3:$A$525,$A300)&gt;0,"YES","NO"))</f>
        <v/>
      </c>
      <c r="AL300" s="152">
        <f>IF($A300="","",IF(AND($C300&amp;"-"&amp;$D300&gt;=Settings!$B$19,$C300&amp;"-"&amp;$D300&lt;=Settings!$B$20),"IN","OUT"))</f>
        <v/>
      </c>
      <c r="AM300" s="152">
        <f>IF(AND(OR($H300="BUY",$H300="SELL"),ISNUMBER($T300)),$T300,"")</f>
        <v/>
      </c>
      <c r="AN300" s="152">
        <f>IF(AND(OR($H300="BUY",$H300="SELL"),ISNUMBER($AF300)),$AF300,"")</f>
        <v/>
      </c>
      <c r="AO300" s="152">
        <f>IF(ISNUMBER($AM300),ABS(IF(ISNUMBER($G300),$G300,0)-Settings!$B$25),"")</f>
        <v/>
      </c>
      <c r="AP300" s="152">
        <f>IF(ISNUMBER($AO300),$AO300*$AM300,"")</f>
        <v/>
      </c>
      <c r="AQ300" s="152">
        <f>IF(ISNUMBER($AN300),ABS(IF(ISNUMBER($G300),$G300,0)-Settings!$B$25),"")</f>
        <v/>
      </c>
      <c r="AR300" s="152">
        <f>IF(ISNUMBER($AQ300),$AQ300*$AN300,"")</f>
        <v/>
      </c>
      <c r="AS300" s="152">
        <f>IF($A300="","",IFERROR(INDEX(Company_List!$H$3:$H$207,MATCH($A300,Company_List!$A$3:$A$207,0)),"unassigned"))</f>
        <v/>
      </c>
    </row>
    <row r="301">
      <c r="A301" s="191" t="inlineStr">
        <is>
          <t>Heineken</t>
        </is>
      </c>
      <c r="B301" s="188" t="inlineStr">
        <is>
          <t>HEIA.AS</t>
        </is>
      </c>
      <c r="C301" s="176" t="n">
        <v>2025</v>
      </c>
      <c r="D301" s="177" t="inlineStr">
        <is>
          <t>Q3</t>
        </is>
      </c>
      <c r="E301" s="178" t="inlineStr">
        <is>
          <t>LLM (DeepSeek)</t>
        </is>
      </c>
      <c r="F301" s="177" t="inlineStr">
        <is>
          <t>LLM</t>
        </is>
      </c>
      <c r="G301" s="196" t="n">
        <v>-0.28</v>
      </c>
      <c r="H301" s="177" t="inlineStr">
        <is>
          <t>SELL</t>
        </is>
      </c>
      <c r="J301" s="182" t="n">
        <v>45931</v>
      </c>
      <c r="K301" s="182" t="n">
        <v>45930</v>
      </c>
      <c r="L301" s="183" t="n">
        <v>66.42</v>
      </c>
      <c r="M301" s="182" t="n">
        <v>45931</v>
      </c>
      <c r="N301" s="183" t="n">
        <v>66.23999999999999</v>
      </c>
      <c r="O301" s="180" t="n">
        <v>0.005851</v>
      </c>
      <c r="P301" s="197" t="n">
        <v>-0.0027</v>
      </c>
      <c r="V301" s="152" t="inlineStr">
        <is>
          <t>EXTENSION</t>
        </is>
      </c>
      <c r="W301" t="inlineStr">
        <is>
          <t>copied from Human_Data_Entry's EDGAR-anchored correction (same event, price fact independent of reading arm); patched 2026-08-27. Original: recorded price identified against every pulled series</t>
        </is>
      </c>
      <c r="X301" t="inlineStr">
        <is>
          <t>HEIA.AS</t>
        </is>
      </c>
      <c r="Y301" t="inlineStr">
        <is>
          <t>2025-10-21</t>
        </is>
      </c>
      <c r="Z301" t="n">
        <v>69.48139999999999</v>
      </c>
      <c r="AA301" t="inlineStr">
        <is>
          <t>2025-10-22</t>
        </is>
      </c>
      <c r="AB301" t="n">
        <v>68.7486</v>
      </c>
      <c r="AC301" t="n">
        <v>-0.01054740485912891</v>
      </c>
      <c r="AD301" t="inlineStr">
        <is>
          <t>FLAT</t>
        </is>
      </c>
      <c r="AG301" s="152">
        <f>IF($A301="","",IFERROR(INDEX(Company_List!$G$3:$G$207,MATCH($A301,Company_List!$A$3:$A$207,0)),"unassigned"))</f>
        <v/>
      </c>
      <c r="AK301" s="152">
        <f>IF($A301="","",IF(COUNTIFS(Human_Data_Entry!$A$3:$A$525,$A301)&gt;0,"YES","NO"))</f>
        <v/>
      </c>
      <c r="AL301" s="152">
        <f>IF($A301="","",IF(AND($C301&amp;"-"&amp;$D301&gt;=Settings!$B$19,$C301&amp;"-"&amp;$D301&lt;=Settings!$B$20),"IN","OUT"))</f>
        <v/>
      </c>
      <c r="AM301" s="152">
        <f>IF(AND(OR($H301="BUY",$H301="SELL"),ISNUMBER($T301)),$T301,"")</f>
        <v/>
      </c>
      <c r="AN301" s="152">
        <f>IF(AND(OR($H301="BUY",$H301="SELL"),ISNUMBER($AF301)),$AF301,"")</f>
        <v/>
      </c>
      <c r="AO301" s="152">
        <f>IF(ISNUMBER($AM301),ABS(IF(ISNUMBER($G301),$G301,0)-Settings!$B$25),"")</f>
        <v/>
      </c>
      <c r="AP301" s="152">
        <f>IF(ISNUMBER($AO301),$AO301*$AM301,"")</f>
        <v/>
      </c>
      <c r="AQ301" s="152">
        <f>IF(ISNUMBER($AN301),ABS(IF(ISNUMBER($G301),$G301,0)-Settings!$B$25),"")</f>
        <v/>
      </c>
      <c r="AR301" s="152">
        <f>IF(ISNUMBER($AQ301),$AQ301*$AN301,"")</f>
        <v/>
      </c>
      <c r="AS301" s="152">
        <f>IF($A301="","",IFERROR(INDEX(Company_List!$H$3:$H$207,MATCH($A301,Company_List!$A$3:$A$207,0)),"unassigned"))</f>
        <v/>
      </c>
    </row>
    <row r="302">
      <c r="A302" s="191" t="inlineStr">
        <is>
          <t>Hermès</t>
        </is>
      </c>
      <c r="B302" s="188" t="inlineStr">
        <is>
          <t>RMSP.XC</t>
        </is>
      </c>
      <c r="C302" s="176" t="n">
        <v>2025</v>
      </c>
      <c r="D302" s="177" t="inlineStr">
        <is>
          <t>Q3</t>
        </is>
      </c>
      <c r="E302" s="178" t="inlineStr">
        <is>
          <t>LLM (DeepSeek)</t>
        </is>
      </c>
      <c r="F302" s="177" t="inlineStr">
        <is>
          <t>LLM</t>
        </is>
      </c>
      <c r="G302" s="196" t="n">
        <v>0.12</v>
      </c>
      <c r="H302" s="177" t="inlineStr">
        <is>
          <t>HOLD</t>
        </is>
      </c>
      <c r="J302" s="182" t="n">
        <v>45931</v>
      </c>
      <c r="K302" s="182" t="n">
        <v>45916</v>
      </c>
      <c r="L302" s="183" t="n">
        <v>2106.4026</v>
      </c>
      <c r="M302" s="182" t="n">
        <v>45917</v>
      </c>
      <c r="N302" s="183" t="n">
        <v>2105.9077</v>
      </c>
      <c r="O302" s="180" t="n">
        <v>0.00553</v>
      </c>
      <c r="P302" s="197" t="n">
        <v>0.0026</v>
      </c>
      <c r="V302" s="152" t="inlineStr">
        <is>
          <t>EXTENSION</t>
        </is>
      </c>
      <c r="W302" t="inlineStr">
        <is>
          <t>copied from Human_Data_Entry's EDGAR-anchored correction (same event, price fact independent of reading arm); patched 2026-08-27. Original: price signal — only this window shows an abnormal move</t>
        </is>
      </c>
      <c r="X302" t="inlineStr">
        <is>
          <t>RMS.PA</t>
        </is>
      </c>
      <c r="Y302" t="inlineStr">
        <is>
          <t>2025-10-21</t>
        </is>
      </c>
      <c r="Z302" t="n">
        <v>2227.554</v>
      </c>
      <c r="AA302" t="inlineStr">
        <is>
          <t>2025-10-22</t>
        </is>
      </c>
      <c r="AB302" t="n">
        <v>2161.2221</v>
      </c>
      <c r="AC302" t="n">
        <v>-0.02977788117900573</v>
      </c>
      <c r="AD302" t="inlineStr">
        <is>
          <t>DOWN</t>
        </is>
      </c>
      <c r="AG302" s="152">
        <f>IF($A302="","",IFERROR(INDEX(Company_List!$G$3:$G$207,MATCH($A302,Company_List!$A$3:$A$207,0)),"unassigned"))</f>
        <v/>
      </c>
      <c r="AK302" s="152">
        <f>IF($A302="","",IF(COUNTIFS(Human_Data_Entry!$A$3:$A$525,$A302)&gt;0,"YES","NO"))</f>
        <v/>
      </c>
      <c r="AL302" s="152">
        <f>IF($A302="","",IF(AND($C302&amp;"-"&amp;$D302&gt;=Settings!$B$19,$C302&amp;"-"&amp;$D302&lt;=Settings!$B$20),"IN","OUT"))</f>
        <v/>
      </c>
      <c r="AM302" s="152">
        <f>IF(AND(OR($H302="BUY",$H302="SELL"),ISNUMBER($T302)),$T302,"")</f>
        <v/>
      </c>
      <c r="AN302" s="152">
        <f>IF(AND(OR($H302="BUY",$H302="SELL"),ISNUMBER($AF302)),$AF302,"")</f>
        <v/>
      </c>
      <c r="AO302" s="152">
        <f>IF(ISNUMBER($AM302),ABS(IF(ISNUMBER($G302),$G302,0)-Settings!$B$25),"")</f>
        <v/>
      </c>
      <c r="AP302" s="152">
        <f>IF(ISNUMBER($AO302),$AO302*$AM302,"")</f>
        <v/>
      </c>
      <c r="AQ302" s="152">
        <f>IF(ISNUMBER($AN302),ABS(IF(ISNUMBER($G302),$G302,0)-Settings!$B$25),"")</f>
        <v/>
      </c>
      <c r="AR302" s="152">
        <f>IF(ISNUMBER($AQ302),$AQ302*$AN302,"")</f>
        <v/>
      </c>
      <c r="AS302" s="152">
        <f>IF($A302="","",IFERROR(INDEX(Company_List!$H$3:$H$207,MATCH($A302,Company_List!$A$3:$A$207,0)),"unassigned"))</f>
        <v/>
      </c>
    </row>
    <row r="303">
      <c r="A303" s="191" t="inlineStr">
        <is>
          <t>American Express</t>
        </is>
      </c>
      <c r="B303" s="188" t="inlineStr">
        <is>
          <t>AXP</t>
        </is>
      </c>
      <c r="C303" s="176" t="n">
        <v>2025</v>
      </c>
      <c r="D303" s="177" t="inlineStr">
        <is>
          <t>Q3</t>
        </is>
      </c>
      <c r="E303" s="178" t="inlineStr">
        <is>
          <t>LLM (DeepSeek)</t>
        </is>
      </c>
      <c r="F303" s="177" t="inlineStr">
        <is>
          <t>LLM</t>
        </is>
      </c>
      <c r="G303" s="196" t="n">
        <v>0.5</v>
      </c>
      <c r="H303" s="177" t="inlineStr">
        <is>
          <t>BUY</t>
        </is>
      </c>
      <c r="J303" s="182" t="n">
        <v>45947</v>
      </c>
      <c r="K303" s="182" t="n">
        <v>45946</v>
      </c>
      <c r="L303" s="183" t="n">
        <v>323.12</v>
      </c>
      <c r="M303" s="182" t="n">
        <v>45947</v>
      </c>
      <c r="N303" s="183" t="n">
        <v>332.38</v>
      </c>
      <c r="O303" s="180" t="n">
        <v>0.007335</v>
      </c>
      <c r="P303" s="197" t="n">
        <v>0.0287</v>
      </c>
      <c r="V303" s="152" t="inlineStr">
        <is>
          <t>EXTENSION</t>
        </is>
      </c>
      <c r="W303" t="inlineStr">
        <is>
          <t>copied from Human_Data_Entry's EDGAR-anchored correction (same event, price fact independent of reading arm); patched 2026-08-27. Original: price signal, re-derived — only this window shows an abnormal move</t>
        </is>
      </c>
      <c r="X303" t="inlineStr">
        <is>
          <t>AXP</t>
        </is>
      </c>
      <c r="Y303" t="inlineStr">
        <is>
          <t>2025-10-16</t>
        </is>
      </c>
      <c r="Z303" t="n">
        <v>320.5104</v>
      </c>
      <c r="AA303" t="inlineStr">
        <is>
          <t>2025-10-17</t>
        </is>
      </c>
      <c r="AB303" t="n">
        <v>329.6956</v>
      </c>
      <c r="AC303" t="n">
        <v>0.02865802524885775</v>
      </c>
      <c r="AD303" t="inlineStr">
        <is>
          <t>UP</t>
        </is>
      </c>
      <c r="AG303" s="152">
        <f>IF($A303="","",IFERROR(INDEX(Company_List!$G$3:$G$207,MATCH($A303,Company_List!$A$3:$A$207,0)),"unassigned"))</f>
        <v/>
      </c>
      <c r="AK303" s="152">
        <f>IF($A303="","",IF(COUNTIFS(Human_Data_Entry!$A$3:$A$525,$A303)&gt;0,"YES","NO"))</f>
        <v/>
      </c>
      <c r="AL303" s="152">
        <f>IF($A303="","",IF(AND($C303&amp;"-"&amp;$D303&gt;=Settings!$B$19,$C303&amp;"-"&amp;$D303&lt;=Settings!$B$20),"IN","OUT"))</f>
        <v/>
      </c>
      <c r="AM303" s="152">
        <f>IF(AND(OR($H303="BUY",$H303="SELL"),ISNUMBER($T303)),$T303,"")</f>
        <v/>
      </c>
      <c r="AN303" s="152">
        <f>IF(AND(OR($H303="BUY",$H303="SELL"),ISNUMBER($AF303)),$AF303,"")</f>
        <v/>
      </c>
      <c r="AO303" s="152">
        <f>IF(ISNUMBER($AM303),ABS(IF(ISNUMBER($G303),$G303,0)-Settings!$B$25),"")</f>
        <v/>
      </c>
      <c r="AP303" s="152">
        <f>IF(ISNUMBER($AO303),$AO303*$AM303,"")</f>
        <v/>
      </c>
      <c r="AQ303" s="152">
        <f>IF(ISNUMBER($AN303),ABS(IF(ISNUMBER($G303),$G303,0)-Settings!$B$25),"")</f>
        <v/>
      </c>
      <c r="AR303" s="152">
        <f>IF(ISNUMBER($AQ303),$AQ303*$AN303,"")</f>
        <v/>
      </c>
      <c r="AS303" s="152">
        <f>IF($A303="","",IFERROR(INDEX(Company_List!$H$3:$H$207,MATCH($A303,Company_List!$A$3:$A$207,0)),"unassigned"))</f>
        <v/>
      </c>
    </row>
    <row r="304">
      <c r="A304" s="191" t="inlineStr">
        <is>
          <t>Intel</t>
        </is>
      </c>
      <c r="B304" s="188" t="inlineStr">
        <is>
          <t>INTC</t>
        </is>
      </c>
      <c r="C304" s="176" t="n">
        <v>2025</v>
      </c>
      <c r="D304" s="177" t="inlineStr">
        <is>
          <t>Q3</t>
        </is>
      </c>
      <c r="E304" s="178" t="inlineStr">
        <is>
          <t>LLM (DeepSeek)</t>
        </is>
      </c>
      <c r="F304" s="177" t="inlineStr">
        <is>
          <t>LLM</t>
        </is>
      </c>
      <c r="G304" s="196" t="n">
        <v>0.26</v>
      </c>
      <c r="H304" s="177" t="inlineStr">
        <is>
          <t>BUY</t>
        </is>
      </c>
      <c r="J304" s="182" t="n">
        <v>45953</v>
      </c>
      <c r="K304" s="182" t="n">
        <v>45953</v>
      </c>
      <c r="L304" s="183" t="n">
        <v>38.16</v>
      </c>
      <c r="M304" s="182" t="n">
        <v>45954</v>
      </c>
      <c r="N304" s="183" t="n">
        <v>40.02</v>
      </c>
      <c r="O304" s="180" t="n">
        <v>0.009122</v>
      </c>
      <c r="P304" s="197" t="n">
        <v>0.0487</v>
      </c>
      <c r="V304" s="152" t="inlineStr">
        <is>
          <t>EXTENSION</t>
        </is>
      </c>
      <c r="W304" t="inlineStr">
        <is>
          <t>copied from Human_Data_Entry's EDGAR-anchored correction (same event, price fact independent of reading arm); patched 2026-08-27. Original: price signal, re-derived — only this window shows an abnormal move</t>
        </is>
      </c>
      <c r="X304" t="inlineStr">
        <is>
          <t>INTC</t>
        </is>
      </c>
      <c r="Y304" t="inlineStr">
        <is>
          <t>2025-10-23</t>
        </is>
      </c>
      <c r="Z304" t="n">
        <v>38.16</v>
      </c>
      <c r="AA304" t="inlineStr">
        <is>
          <t>2025-10-24</t>
        </is>
      </c>
      <c r="AB304" t="n">
        <v>40.02</v>
      </c>
      <c r="AC304" t="n">
        <v>0.04874213836478005</v>
      </c>
      <c r="AD304" t="inlineStr">
        <is>
          <t>UP</t>
        </is>
      </c>
      <c r="AG304" s="152">
        <f>IF($A304="","",IFERROR(INDEX(Company_List!$G$3:$G$207,MATCH($A304,Company_List!$A$3:$A$207,0)),"unassigned"))</f>
        <v/>
      </c>
      <c r="AK304" s="152">
        <f>IF($A304="","",IF(COUNTIFS(Human_Data_Entry!$A$3:$A$525,$A304)&gt;0,"YES","NO"))</f>
        <v/>
      </c>
      <c r="AL304" s="152">
        <f>IF($A304="","",IF(AND($C304&amp;"-"&amp;$D304&gt;=Settings!$B$19,$C304&amp;"-"&amp;$D304&lt;=Settings!$B$20),"IN","OUT"))</f>
        <v/>
      </c>
      <c r="AM304" s="152">
        <f>IF(AND(OR($H304="BUY",$H304="SELL"),ISNUMBER($T304)),$T304,"")</f>
        <v/>
      </c>
      <c r="AN304" s="152">
        <f>IF(AND(OR($H304="BUY",$H304="SELL"),ISNUMBER($AF304)),$AF304,"")</f>
        <v/>
      </c>
      <c r="AO304" s="152">
        <f>IF(ISNUMBER($AM304),ABS(IF(ISNUMBER($G304),$G304,0)-Settings!$B$25),"")</f>
        <v/>
      </c>
      <c r="AP304" s="152">
        <f>IF(ISNUMBER($AO304),$AO304*$AM304,"")</f>
        <v/>
      </c>
      <c r="AQ304" s="152">
        <f>IF(ISNUMBER($AN304),ABS(IF(ISNUMBER($G304),$G304,0)-Settings!$B$25),"")</f>
        <v/>
      </c>
      <c r="AR304" s="152">
        <f>IF(ISNUMBER($AQ304),$AQ304*$AN304,"")</f>
        <v/>
      </c>
      <c r="AS304" s="152">
        <f>IF($A304="","",IFERROR(INDEX(Company_List!$H$3:$H$207,MATCH($A304,Company_List!$A$3:$A$207,0)),"unassigned"))</f>
        <v/>
      </c>
    </row>
    <row r="305">
      <c r="A305" s="191" t="inlineStr">
        <is>
          <t>eBay</t>
        </is>
      </c>
      <c r="B305" s="188" t="inlineStr">
        <is>
          <t>EBAY</t>
        </is>
      </c>
      <c r="C305" s="176" t="n">
        <v>2025</v>
      </c>
      <c r="D305" s="177" t="inlineStr">
        <is>
          <t>Q3</t>
        </is>
      </c>
      <c r="E305" s="178" t="inlineStr">
        <is>
          <t>LLM (DeepSeek)</t>
        </is>
      </c>
      <c r="F305" s="177" t="inlineStr">
        <is>
          <t>LLM</t>
        </is>
      </c>
      <c r="G305" s="196" t="n">
        <v>0.26</v>
      </c>
      <c r="H305" s="177" t="inlineStr">
        <is>
          <t>BUY</t>
        </is>
      </c>
      <c r="J305" s="182" t="n">
        <v>45959</v>
      </c>
      <c r="K305" s="182" t="n">
        <v>45959</v>
      </c>
      <c r="L305" s="183" t="n">
        <v>99.54000000000001</v>
      </c>
      <c r="M305" s="182" t="n">
        <v>45960</v>
      </c>
      <c r="N305" s="183" t="n">
        <v>85.59999999999999</v>
      </c>
      <c r="O305" s="180" t="n">
        <v>0.004872</v>
      </c>
      <c r="P305" s="197" t="n">
        <v>-0.1401</v>
      </c>
      <c r="V305" s="152" t="inlineStr">
        <is>
          <t>EXTENSION</t>
        </is>
      </c>
      <c r="W305" t="inlineStr">
        <is>
          <t>copied from Human_Data_Entry's EDGAR-anchored correction (same event, price fact independent of reading arm); patched 2026-08-27. Original: price signal, re-derived — both moved; this one dominates</t>
        </is>
      </c>
      <c r="X305" t="inlineStr">
        <is>
          <t>EBAY</t>
        </is>
      </c>
      <c r="Y305" t="inlineStr">
        <is>
          <t>2025-10-29</t>
        </is>
      </c>
      <c r="Z305" t="n">
        <v>98.58629999999999</v>
      </c>
      <c r="AA305" t="inlineStr">
        <is>
          <t>2025-10-30</t>
        </is>
      </c>
      <c r="AB305" t="n">
        <v>84.77979999999999</v>
      </c>
      <c r="AC305" t="n">
        <v>-0.1400442483700868</v>
      </c>
      <c r="AD305" t="inlineStr">
        <is>
          <t>DOWN</t>
        </is>
      </c>
      <c r="AG305" s="152">
        <f>IF($A305="","",IFERROR(INDEX(Company_List!$G$3:$G$207,MATCH($A305,Company_List!$A$3:$A$207,0)),"unassigned"))</f>
        <v/>
      </c>
      <c r="AK305" s="152">
        <f>IF($A305="","",IF(COUNTIFS(Human_Data_Entry!$A$3:$A$525,$A305)&gt;0,"YES","NO"))</f>
        <v/>
      </c>
      <c r="AL305" s="152">
        <f>IF($A305="","",IF(AND($C305&amp;"-"&amp;$D305&gt;=Settings!$B$19,$C305&amp;"-"&amp;$D305&lt;=Settings!$B$20),"IN","OUT"))</f>
        <v/>
      </c>
      <c r="AM305" s="152">
        <f>IF(AND(OR($H305="BUY",$H305="SELL"),ISNUMBER($T305)),$T305,"")</f>
        <v/>
      </c>
      <c r="AN305" s="152">
        <f>IF(AND(OR($H305="BUY",$H305="SELL"),ISNUMBER($AF305)),$AF305,"")</f>
        <v/>
      </c>
      <c r="AO305" s="152">
        <f>IF(ISNUMBER($AM305),ABS(IF(ISNUMBER($G305),$G305,0)-Settings!$B$25),"")</f>
        <v/>
      </c>
      <c r="AP305" s="152">
        <f>IF(ISNUMBER($AO305),$AO305*$AM305,"")</f>
        <v/>
      </c>
      <c r="AQ305" s="152">
        <f>IF(ISNUMBER($AN305),ABS(IF(ISNUMBER($G305),$G305,0)-Settings!$B$25),"")</f>
        <v/>
      </c>
      <c r="AR305" s="152">
        <f>IF(ISNUMBER($AQ305),$AQ305*$AN305,"")</f>
        <v/>
      </c>
      <c r="AS305" s="152">
        <f>IF($A305="","",IFERROR(INDEX(Company_List!$H$3:$H$207,MATCH($A305,Company_List!$A$3:$A$207,0)),"unassigned"))</f>
        <v/>
      </c>
    </row>
    <row r="306">
      <c r="A306" s="191" t="inlineStr">
        <is>
          <t>Mastercard</t>
        </is>
      </c>
      <c r="B306" s="188" t="inlineStr">
        <is>
          <t>MA</t>
        </is>
      </c>
      <c r="C306" s="176" t="n">
        <v>2025</v>
      </c>
      <c r="D306" s="177" t="inlineStr">
        <is>
          <t>Q3</t>
        </is>
      </c>
      <c r="E306" s="178" t="inlineStr">
        <is>
          <t>LLM (DeepSeek)</t>
        </is>
      </c>
      <c r="F306" s="177" t="inlineStr">
        <is>
          <t>LLM</t>
        </is>
      </c>
      <c r="G306" s="196" t="n">
        <v>0.26</v>
      </c>
      <c r="H306" s="177" t="inlineStr">
        <is>
          <t>BUY</t>
        </is>
      </c>
      <c r="J306" s="182" t="n">
        <v>45960</v>
      </c>
      <c r="K306" s="182" t="n">
        <v>45959</v>
      </c>
      <c r="L306" s="183" t="n">
        <v>554.58</v>
      </c>
      <c r="M306" s="182" t="n">
        <v>45960</v>
      </c>
      <c r="N306" s="183" t="n">
        <v>551.5599999999999</v>
      </c>
      <c r="O306" s="180" t="n">
        <v>0.009833</v>
      </c>
      <c r="P306" s="197" t="n">
        <v>-0.0054</v>
      </c>
      <c r="V306" s="152" t="inlineStr">
        <is>
          <t>EXTENSION</t>
        </is>
      </c>
      <c r="W306" t="inlineStr">
        <is>
          <t>copied from Human_Data_Entry's EDGAR-anchored correction (same event, price fact independent of reading arm); patched 2026-08-27. Original: price signal, re-derived — only this window shows an abnormal move</t>
        </is>
      </c>
      <c r="X306" t="inlineStr">
        <is>
          <t>MA</t>
        </is>
      </c>
      <c r="Y306" t="inlineStr">
        <is>
          <t>2025-10-30</t>
        </is>
      </c>
      <c r="Z306" t="n">
        <v>550.9775</v>
      </c>
      <c r="AA306" t="inlineStr">
        <is>
          <t>2025-10-31</t>
        </is>
      </c>
      <c r="AB306" t="n">
        <v>546.2109</v>
      </c>
      <c r="AC306" t="n">
        <v>-0.008651072844763198</v>
      </c>
      <c r="AD306" t="inlineStr">
        <is>
          <t>FLAT</t>
        </is>
      </c>
      <c r="AG306" s="152">
        <f>IF($A306="","",IFERROR(INDEX(Company_List!$G$3:$G$207,MATCH($A306,Company_List!$A$3:$A$207,0)),"unassigned"))</f>
        <v/>
      </c>
      <c r="AK306" s="152">
        <f>IF($A306="","",IF(COUNTIFS(Human_Data_Entry!$A$3:$A$525,$A306)&gt;0,"YES","NO"))</f>
        <v/>
      </c>
      <c r="AL306" s="152">
        <f>IF($A306="","",IF(AND($C306&amp;"-"&amp;$D306&gt;=Settings!$B$19,$C306&amp;"-"&amp;$D306&lt;=Settings!$B$20),"IN","OUT"))</f>
        <v/>
      </c>
      <c r="AM306" s="152">
        <f>IF(AND(OR($H306="BUY",$H306="SELL"),ISNUMBER($T306)),$T306,"")</f>
        <v/>
      </c>
      <c r="AN306" s="152">
        <f>IF(AND(OR($H306="BUY",$H306="SELL"),ISNUMBER($AF306)),$AF306,"")</f>
        <v/>
      </c>
      <c r="AO306" s="152">
        <f>IF(ISNUMBER($AM306),ABS(IF(ISNUMBER($G306),$G306,0)-Settings!$B$25),"")</f>
        <v/>
      </c>
      <c r="AP306" s="152">
        <f>IF(ISNUMBER($AO306),$AO306*$AM306,"")</f>
        <v/>
      </c>
      <c r="AQ306" s="152">
        <f>IF(ISNUMBER($AN306),ABS(IF(ISNUMBER($G306),$G306,0)-Settings!$B$25),"")</f>
        <v/>
      </c>
      <c r="AR306" s="152">
        <f>IF(ISNUMBER($AQ306),$AQ306*$AN306,"")</f>
        <v/>
      </c>
      <c r="AS306" s="152">
        <f>IF($A306="","",IFERROR(INDEX(Company_List!$H$3:$H$207,MATCH($A306,Company_List!$A$3:$A$207,0)),"unassigned"))</f>
        <v/>
      </c>
    </row>
    <row r="307">
      <c r="A307" s="191" t="inlineStr">
        <is>
          <t>Chevron</t>
        </is>
      </c>
      <c r="B307" s="188" t="inlineStr">
        <is>
          <t>CVX</t>
        </is>
      </c>
      <c r="C307" s="176" t="n">
        <v>2025</v>
      </c>
      <c r="D307" s="177" t="inlineStr">
        <is>
          <t>Q3</t>
        </is>
      </c>
      <c r="E307" s="178" t="inlineStr">
        <is>
          <t>LLM (DeepSeek)</t>
        </is>
      </c>
      <c r="F307" s="177" t="inlineStr">
        <is>
          <t>LLM</t>
        </is>
      </c>
      <c r="G307" s="196" t="n">
        <v>0.26</v>
      </c>
      <c r="H307" s="177" t="inlineStr">
        <is>
          <t>BUY</t>
        </is>
      </c>
      <c r="J307" s="182" t="n">
        <v>45961</v>
      </c>
      <c r="K307" s="182" t="n">
        <v>45960</v>
      </c>
      <c r="L307" s="183" t="n">
        <v>153.52</v>
      </c>
      <c r="M307" s="182" t="n">
        <v>45961</v>
      </c>
      <c r="N307" s="183" t="n">
        <v>155.73</v>
      </c>
      <c r="O307" s="180" t="n">
        <v>0.008273000000000001</v>
      </c>
      <c r="P307" s="197" t="n">
        <v>0.0144</v>
      </c>
      <c r="V307" s="152" t="inlineStr">
        <is>
          <t>EXTENSION</t>
        </is>
      </c>
      <c r="W307" t="inlineStr">
        <is>
          <t>copied from Human_Data_Entry's EDGAR-anchored correction (same event, price fact independent of reading arm); patched 2026-08-27. Original: release time published by the issuer (section C)</t>
        </is>
      </c>
      <c r="X307" t="inlineStr">
        <is>
          <t>CVX</t>
        </is>
      </c>
      <c r="Y307" t="inlineStr">
        <is>
          <t>2025-10-30</t>
        </is>
      </c>
      <c r="Z307" t="n">
        <v>148.9889</v>
      </c>
      <c r="AA307" t="inlineStr">
        <is>
          <t>2025-10-31</t>
        </is>
      </c>
      <c r="AB307" t="n">
        <v>151.1337</v>
      </c>
      <c r="AC307" t="n">
        <v>0.01439556041751753</v>
      </c>
      <c r="AD307" t="inlineStr">
        <is>
          <t>FLAT</t>
        </is>
      </c>
      <c r="AG307" s="152">
        <f>IF($A307="","",IFERROR(INDEX(Company_List!$G$3:$G$207,MATCH($A307,Company_List!$A$3:$A$207,0)),"unassigned"))</f>
        <v/>
      </c>
      <c r="AK307" s="152">
        <f>IF($A307="","",IF(COUNTIFS(Human_Data_Entry!$A$3:$A$525,$A307)&gt;0,"YES","NO"))</f>
        <v/>
      </c>
      <c r="AL307" s="152">
        <f>IF($A307="","",IF(AND($C307&amp;"-"&amp;$D307&gt;=Settings!$B$19,$C307&amp;"-"&amp;$D307&lt;=Settings!$B$20),"IN","OUT"))</f>
        <v/>
      </c>
      <c r="AM307" s="152">
        <f>IF(AND(OR($H307="BUY",$H307="SELL"),ISNUMBER($T307)),$T307,"")</f>
        <v/>
      </c>
      <c r="AN307" s="152">
        <f>IF(AND(OR($H307="BUY",$H307="SELL"),ISNUMBER($AF307)),$AF307,"")</f>
        <v/>
      </c>
      <c r="AO307" s="152">
        <f>IF(ISNUMBER($AM307),ABS(IF(ISNUMBER($G307),$G307,0)-Settings!$B$25),"")</f>
        <v/>
      </c>
      <c r="AP307" s="152">
        <f>IF(ISNUMBER($AO307),$AO307*$AM307,"")</f>
        <v/>
      </c>
      <c r="AQ307" s="152">
        <f>IF(ISNUMBER($AN307),ABS(IF(ISNUMBER($G307),$G307,0)-Settings!$B$25),"")</f>
        <v/>
      </c>
      <c r="AR307" s="152">
        <f>IF(ISNUMBER($AQ307),$AQ307*$AN307,"")</f>
        <v/>
      </c>
      <c r="AS307" s="152">
        <f>IF($A307="","",IFERROR(INDEX(Company_List!$H$3:$H$207,MATCH($A307,Company_List!$A$3:$A$207,0)),"unassigned"))</f>
        <v/>
      </c>
    </row>
    <row r="308">
      <c r="A308" s="191" t="inlineStr">
        <is>
          <t>Colgate-Palmolive</t>
        </is>
      </c>
      <c r="B308" s="188" t="inlineStr">
        <is>
          <t>CL</t>
        </is>
      </c>
      <c r="C308" s="176" t="n">
        <v>2025</v>
      </c>
      <c r="D308" s="177" t="inlineStr">
        <is>
          <t>Q3</t>
        </is>
      </c>
      <c r="E308" s="178" t="inlineStr">
        <is>
          <t>LLM (DeepSeek)</t>
        </is>
      </c>
      <c r="F308" s="177" t="inlineStr">
        <is>
          <t>LLM</t>
        </is>
      </c>
      <c r="G308" s="196" t="n">
        <v>-0.34</v>
      </c>
      <c r="H308" s="177" t="inlineStr">
        <is>
          <t>SELL</t>
        </is>
      </c>
      <c r="J308" s="182" t="n">
        <v>45961</v>
      </c>
      <c r="K308" s="182" t="n">
        <v>45960</v>
      </c>
      <c r="L308" s="183" t="n">
        <v>76.51000000000001</v>
      </c>
      <c r="M308" s="182" t="n">
        <v>45961</v>
      </c>
      <c r="N308" s="183" t="n">
        <v>75.55</v>
      </c>
      <c r="O308" s="180" t="n">
        <v>0.004936</v>
      </c>
      <c r="P308" s="197" t="n">
        <v>-0.0125</v>
      </c>
      <c r="V308" s="152" t="inlineStr">
        <is>
          <t>EXTENSION</t>
        </is>
      </c>
      <c r="W308" t="inlineStr">
        <is>
          <t>copied from Human_Data_Entry's EDGAR-anchored correction (same event, price fact independent of reading arm); patched 2026-08-27. Original: recorded window spanned two sessions, closed to one</t>
        </is>
      </c>
      <c r="X308" t="inlineStr">
        <is>
          <t>CL</t>
        </is>
      </c>
      <c r="Y308" t="inlineStr">
        <is>
          <t>2025-10-30</t>
        </is>
      </c>
      <c r="Z308" t="n">
        <v>75.1439</v>
      </c>
      <c r="AA308" t="inlineStr">
        <is>
          <t>2025-10-31</t>
        </is>
      </c>
      <c r="AB308" t="n">
        <v>74.20099999999999</v>
      </c>
      <c r="AC308" t="n">
        <v>-0.0125473927771357</v>
      </c>
      <c r="AD308" t="inlineStr">
        <is>
          <t>FLAT</t>
        </is>
      </c>
      <c r="AG308" s="152">
        <f>IF($A308="","",IFERROR(INDEX(Company_List!$G$3:$G$207,MATCH($A308,Company_List!$A$3:$A$207,0)),"unassigned"))</f>
        <v/>
      </c>
      <c r="AK308" s="152">
        <f>IF($A308="","",IF(COUNTIFS(Human_Data_Entry!$A$3:$A$525,$A308)&gt;0,"YES","NO"))</f>
        <v/>
      </c>
      <c r="AL308" s="152">
        <f>IF($A308="","",IF(AND($C308&amp;"-"&amp;$D308&gt;=Settings!$B$19,$C308&amp;"-"&amp;$D308&lt;=Settings!$B$20),"IN","OUT"))</f>
        <v/>
      </c>
      <c r="AM308" s="152">
        <f>IF(AND(OR($H308="BUY",$H308="SELL"),ISNUMBER($T308)),$T308,"")</f>
        <v/>
      </c>
      <c r="AN308" s="152">
        <f>IF(AND(OR($H308="BUY",$H308="SELL"),ISNUMBER($AF308)),$AF308,"")</f>
        <v/>
      </c>
      <c r="AO308" s="152">
        <f>IF(ISNUMBER($AM308),ABS(IF(ISNUMBER($G308),$G308,0)-Settings!$B$25),"")</f>
        <v/>
      </c>
      <c r="AP308" s="152">
        <f>IF(ISNUMBER($AO308),$AO308*$AM308,"")</f>
        <v/>
      </c>
      <c r="AQ308" s="152">
        <f>IF(ISNUMBER($AN308),ABS(IF(ISNUMBER($G308),$G308,0)-Settings!$B$25),"")</f>
        <v/>
      </c>
      <c r="AR308" s="152">
        <f>IF(ISNUMBER($AQ308),$AQ308*$AN308,"")</f>
        <v/>
      </c>
      <c r="AS308" s="152">
        <f>IF($A308="","",IFERROR(INDEX(Company_List!$H$3:$H$207,MATCH($A308,Company_List!$A$3:$A$207,0)),"unassigned"))</f>
        <v/>
      </c>
    </row>
    <row r="309">
      <c r="A309" s="191" t="inlineStr">
        <is>
          <t>ExxonMobil</t>
        </is>
      </c>
      <c r="B309" s="188" t="inlineStr">
        <is>
          <t>XOM</t>
        </is>
      </c>
      <c r="C309" s="176" t="n">
        <v>2025</v>
      </c>
      <c r="D309" s="177" t="inlineStr">
        <is>
          <t>Q3</t>
        </is>
      </c>
      <c r="E309" s="178" t="inlineStr">
        <is>
          <t>LLM (DeepSeek)</t>
        </is>
      </c>
      <c r="F309" s="177" t="inlineStr">
        <is>
          <t>LLM</t>
        </is>
      </c>
      <c r="G309" s="196" t="n">
        <v>0.26</v>
      </c>
      <c r="H309" s="177" t="inlineStr">
        <is>
          <t>BUY</t>
        </is>
      </c>
      <c r="J309" s="182" t="n">
        <v>45961</v>
      </c>
      <c r="K309" s="182" t="n">
        <v>45960</v>
      </c>
      <c r="L309" s="183" t="n">
        <v>114.69</v>
      </c>
      <c r="M309" s="182" t="n">
        <v>45961</v>
      </c>
      <c r="N309" s="183" t="n">
        <v>113.98</v>
      </c>
      <c r="O309" s="180" t="n">
        <v>0.009959000000000001</v>
      </c>
      <c r="P309" s="197" t="n">
        <v>-0.0062</v>
      </c>
      <c r="V309" s="152" t="inlineStr">
        <is>
          <t>EXTENSION</t>
        </is>
      </c>
      <c r="W309" t="inlineStr">
        <is>
          <t>copied from Human_Data_Entry's EDGAR-anchored correction (same event, price fact independent of reading arm); patched 2026-08-27. Original: document date + price signal</t>
        </is>
      </c>
      <c r="X309" t="inlineStr">
        <is>
          <t>XOM</t>
        </is>
      </c>
      <c r="Y309" t="inlineStr">
        <is>
          <t>2025-10-30</t>
        </is>
      </c>
      <c r="Z309" t="n">
        <v>112.1813</v>
      </c>
      <c r="AA309" t="inlineStr">
        <is>
          <t>2025-10-31</t>
        </is>
      </c>
      <c r="AB309" t="n">
        <v>111.4869</v>
      </c>
      <c r="AC309" t="n">
        <v>-0.006190541337310667</v>
      </c>
      <c r="AD309" t="inlineStr">
        <is>
          <t>FLAT</t>
        </is>
      </c>
      <c r="AG309" s="152">
        <f>IF($A309="","",IFERROR(INDEX(Company_List!$G$3:$G$207,MATCH($A309,Company_List!$A$3:$A$207,0)),"unassigned"))</f>
        <v/>
      </c>
      <c r="AK309" s="152">
        <f>IF($A309="","",IF(COUNTIFS(Human_Data_Entry!$A$3:$A$525,$A309)&gt;0,"YES","NO"))</f>
        <v/>
      </c>
      <c r="AL309" s="152">
        <f>IF($A309="","",IF(AND($C309&amp;"-"&amp;$D309&gt;=Settings!$B$19,$C309&amp;"-"&amp;$D309&lt;=Settings!$B$20),"IN","OUT"))</f>
        <v/>
      </c>
      <c r="AM309" s="152">
        <f>IF(AND(OR($H309="BUY",$H309="SELL"),ISNUMBER($T309)),$T309,"")</f>
        <v/>
      </c>
      <c r="AN309" s="152">
        <f>IF(AND(OR($H309="BUY",$H309="SELL"),ISNUMBER($AF309)),$AF309,"")</f>
        <v/>
      </c>
      <c r="AO309" s="152">
        <f>IF(ISNUMBER($AM309),ABS(IF(ISNUMBER($G309),$G309,0)-Settings!$B$25),"")</f>
        <v/>
      </c>
      <c r="AP309" s="152">
        <f>IF(ISNUMBER($AO309),$AO309*$AM309,"")</f>
        <v/>
      </c>
      <c r="AQ309" s="152">
        <f>IF(ISNUMBER($AN309),ABS(IF(ISNUMBER($G309),$G309,0)-Settings!$B$25),"")</f>
        <v/>
      </c>
      <c r="AR309" s="152">
        <f>IF(ISNUMBER($AQ309),$AQ309*$AN309,"")</f>
        <v/>
      </c>
      <c r="AS309" s="152">
        <f>IF($A309="","",IFERROR(INDEX(Company_List!$H$3:$H$207,MATCH($A309,Company_List!$A$3:$A$207,0)),"unassigned"))</f>
        <v/>
      </c>
    </row>
    <row r="310">
      <c r="A310" s="191" t="inlineStr">
        <is>
          <t>Shell</t>
        </is>
      </c>
      <c r="B310" s="188" t="inlineStr">
        <is>
          <t>SHEL</t>
        </is>
      </c>
      <c r="C310" s="176" t="n">
        <v>2025</v>
      </c>
      <c r="D310" s="177" t="inlineStr">
        <is>
          <t>Q3</t>
        </is>
      </c>
      <c r="E310" s="178" t="inlineStr">
        <is>
          <t>LLM (DeepSeek)</t>
        </is>
      </c>
      <c r="F310" s="177" t="inlineStr">
        <is>
          <t>LLM</t>
        </is>
      </c>
      <c r="G310" s="196" t="n">
        <v>0.26</v>
      </c>
      <c r="H310" s="177" t="inlineStr">
        <is>
          <t>BUY</t>
        </is>
      </c>
      <c r="J310" s="182" t="n">
        <v>45962</v>
      </c>
      <c r="K310" s="182" t="n">
        <v>45961</v>
      </c>
      <c r="L310" s="183" t="n">
        <v>74.92</v>
      </c>
      <c r="M310" s="182" t="n">
        <v>45964</v>
      </c>
      <c r="N310" s="183" t="n">
        <v>74.84999999999999</v>
      </c>
      <c r="O310" s="180" t="n">
        <v>0.004786</v>
      </c>
      <c r="P310" s="197" t="n">
        <v>-0.001</v>
      </c>
      <c r="V310" s="152" t="inlineStr">
        <is>
          <t>EXTENSION</t>
        </is>
      </c>
      <c r="W310" t="inlineStr">
        <is>
          <t>copied from Human_Data_Entry's EDGAR-anchored correction (same event, price fact independent of reading arm); patched 2026-08-27. Original: release time published by the issuer (section C)</t>
        </is>
      </c>
      <c r="X310" t="inlineStr">
        <is>
          <t>SHEL.L</t>
        </is>
      </c>
      <c r="Y310" t="inlineStr">
        <is>
          <t>2025-10-29</t>
        </is>
      </c>
      <c r="Z310" t="n">
        <v>2874.7031</v>
      </c>
      <c r="AA310" t="inlineStr">
        <is>
          <t>2025-10-30</t>
        </is>
      </c>
      <c r="AB310" t="n">
        <v>2902.1956</v>
      </c>
      <c r="AC310" t="n">
        <v>0.009563598104023029</v>
      </c>
      <c r="AD310" t="inlineStr">
        <is>
          <t>FLAT</t>
        </is>
      </c>
      <c r="AG310" s="152">
        <f>IF($A310="","",IFERROR(INDEX(Company_List!$G$3:$G$207,MATCH($A310,Company_List!$A$3:$A$207,0)),"unassigned"))</f>
        <v/>
      </c>
      <c r="AK310" s="152">
        <f>IF($A310="","",IF(COUNTIFS(Human_Data_Entry!$A$3:$A$525,$A310)&gt;0,"YES","NO"))</f>
        <v/>
      </c>
      <c r="AL310" s="152">
        <f>IF($A310="","",IF(AND($C310&amp;"-"&amp;$D310&gt;=Settings!$B$19,$C310&amp;"-"&amp;$D310&lt;=Settings!$B$20),"IN","OUT"))</f>
        <v/>
      </c>
      <c r="AM310" s="152">
        <f>IF(AND(OR($H310="BUY",$H310="SELL"),ISNUMBER($T310)),$T310,"")</f>
        <v/>
      </c>
      <c r="AN310" s="152">
        <f>IF(AND(OR($H310="BUY",$H310="SELL"),ISNUMBER($AF310)),$AF310,"")</f>
        <v/>
      </c>
      <c r="AO310" s="152">
        <f>IF(ISNUMBER($AM310),ABS(IF(ISNUMBER($G310),$G310,0)-Settings!$B$25),"")</f>
        <v/>
      </c>
      <c r="AP310" s="152">
        <f>IF(ISNUMBER($AO310),$AO310*$AM310,"")</f>
        <v/>
      </c>
      <c r="AQ310" s="152">
        <f>IF(ISNUMBER($AN310),ABS(IF(ISNUMBER($G310),$G310,0)-Settings!$B$25),"")</f>
        <v/>
      </c>
      <c r="AR310" s="152">
        <f>IF(ISNUMBER($AQ310),$AQ310*$AN310,"")</f>
        <v/>
      </c>
      <c r="AS310" s="152">
        <f>IF($A310="","",IFERROR(INDEX(Company_List!$H$3:$H$207,MATCH($A310,Company_List!$A$3:$A$207,0)),"unassigned"))</f>
        <v/>
      </c>
    </row>
    <row r="311">
      <c r="A311" s="191" t="inlineStr">
        <is>
          <t>Sony</t>
        </is>
      </c>
      <c r="B311" s="188" t="inlineStr">
        <is>
          <t>SONY</t>
        </is>
      </c>
      <c r="C311" s="176" t="n">
        <v>2025</v>
      </c>
      <c r="D311" s="177" t="inlineStr">
        <is>
          <t>Q2</t>
        </is>
      </c>
      <c r="E311" s="178" t="inlineStr">
        <is>
          <t>LLM (DeepSeek)</t>
        </is>
      </c>
      <c r="F311" s="177" t="inlineStr">
        <is>
          <t>LLM</t>
        </is>
      </c>
      <c r="G311" s="196" t="n">
        <v>0.3</v>
      </c>
      <c r="H311" s="177" t="inlineStr">
        <is>
          <t>BUY</t>
        </is>
      </c>
      <c r="J311" s="182" t="n">
        <v>45962</v>
      </c>
      <c r="K311" s="182" t="n">
        <v>45961</v>
      </c>
      <c r="L311" s="183" t="n">
        <v>27.89</v>
      </c>
      <c r="M311" s="182" t="n">
        <v>45964</v>
      </c>
      <c r="N311" s="183" t="n">
        <v>27.97</v>
      </c>
      <c r="O311" s="180" t="n">
        <v>0.00549</v>
      </c>
      <c r="P311" s="197" t="n">
        <v>0.0029</v>
      </c>
      <c r="V311" s="152" t="inlineStr">
        <is>
          <t>EXTENSION</t>
        </is>
      </c>
      <c r="W311" t="inlineStr">
        <is>
          <t>copied from Human_Data_Entry's EDGAR-anchored correction (same event, price fact independent of reading arm); patched 2026-08-27. Original: repriced on the issuer's primary listing</t>
        </is>
      </c>
      <c r="X311" t="inlineStr">
        <is>
          <t>6758.T</t>
        </is>
      </c>
      <c r="Y311" t="inlineStr">
        <is>
          <t>2025-11-11</t>
        </is>
      </c>
      <c r="Z311" t="n">
        <v>4502.3936</v>
      </c>
      <c r="AA311" t="inlineStr">
        <is>
          <t>2025-11-12</t>
        </is>
      </c>
      <c r="AB311" t="n">
        <v>4625.9102</v>
      </c>
      <c r="AC311" t="n">
        <v>0.02743354806046784</v>
      </c>
      <c r="AD311" t="inlineStr">
        <is>
          <t>UP</t>
        </is>
      </c>
      <c r="AG311" s="152">
        <f>IF($A311="","",IFERROR(INDEX(Company_List!$G$3:$G$207,MATCH($A311,Company_List!$A$3:$A$207,0)),"unassigned"))</f>
        <v/>
      </c>
      <c r="AK311" s="152">
        <f>IF($A311="","",IF(COUNTIFS(Human_Data_Entry!$A$3:$A$525,$A311)&gt;0,"YES","NO"))</f>
        <v/>
      </c>
      <c r="AL311" s="152">
        <f>IF($A311="","",IF(AND($C311&amp;"-"&amp;$D311&gt;=Settings!$B$19,$C311&amp;"-"&amp;$D311&lt;=Settings!$B$20),"IN","OUT"))</f>
        <v/>
      </c>
      <c r="AM311" s="152">
        <f>IF(AND(OR($H311="BUY",$H311="SELL"),ISNUMBER($T311)),$T311,"")</f>
        <v/>
      </c>
      <c r="AN311" s="152">
        <f>IF(AND(OR($H311="BUY",$H311="SELL"),ISNUMBER($AF311)),$AF311,"")</f>
        <v/>
      </c>
      <c r="AO311" s="152">
        <f>IF(ISNUMBER($AM311),ABS(IF(ISNUMBER($G311),$G311,0)-Settings!$B$25),"")</f>
        <v/>
      </c>
      <c r="AP311" s="152">
        <f>IF(ISNUMBER($AO311),$AO311*$AM311,"")</f>
        <v/>
      </c>
      <c r="AQ311" s="152">
        <f>IF(ISNUMBER($AN311),ABS(IF(ISNUMBER($G311),$G311,0)-Settings!$B$25),"")</f>
        <v/>
      </c>
      <c r="AR311" s="152">
        <f>IF(ISNUMBER($AQ311),$AQ311*$AN311,"")</f>
        <v/>
      </c>
      <c r="AS311" s="152">
        <f>IF($A311="","",IFERROR(INDEX(Company_List!$H$3:$H$207,MATCH($A311,Company_List!$A$3:$A$207,0)),"unassigned"))</f>
        <v/>
      </c>
    </row>
    <row r="312">
      <c r="A312" s="191" t="inlineStr">
        <is>
          <t>Shopify</t>
        </is>
      </c>
      <c r="B312" s="188" t="inlineStr">
        <is>
          <t>SHOP</t>
        </is>
      </c>
      <c r="C312" s="176" t="n">
        <v>2025</v>
      </c>
      <c r="D312" s="177" t="inlineStr">
        <is>
          <t>Q3</t>
        </is>
      </c>
      <c r="E312" s="178" t="inlineStr">
        <is>
          <t>LLM (DeepSeek)</t>
        </is>
      </c>
      <c r="F312" s="177" t="inlineStr">
        <is>
          <t>LLM</t>
        </is>
      </c>
      <c r="G312" s="196" t="n">
        <v>0.26</v>
      </c>
      <c r="H312" s="177" t="inlineStr">
        <is>
          <t>BUY</t>
        </is>
      </c>
      <c r="J312" s="182" t="n">
        <v>45965</v>
      </c>
      <c r="K312" s="182" t="n">
        <v>45964</v>
      </c>
      <c r="L312" s="183" t="n">
        <v>172.94</v>
      </c>
      <c r="M312" s="182" t="n">
        <v>45965</v>
      </c>
      <c r="N312" s="183" t="n">
        <v>163.07</v>
      </c>
      <c r="O312" s="180" t="n">
        <v>0.008288</v>
      </c>
      <c r="P312" s="197" t="n">
        <v>-0.0571</v>
      </c>
      <c r="V312" s="152" t="inlineStr">
        <is>
          <t>EXTENSION</t>
        </is>
      </c>
      <c r="W312" t="inlineStr">
        <is>
          <t>copied from Human_Data_Entry's EDGAR-anchored correction (same event, price fact independent of reading arm); patched 2026-08-27. Original: release date + stated time</t>
        </is>
      </c>
      <c r="X312" t="inlineStr">
        <is>
          <t>SHOP</t>
        </is>
      </c>
      <c r="Y312" t="inlineStr">
        <is>
          <t>2025-11-03</t>
        </is>
      </c>
      <c r="Z312" t="n">
        <v>172.94</v>
      </c>
      <c r="AA312" t="inlineStr">
        <is>
          <t>2025-11-04</t>
        </is>
      </c>
      <c r="AB312" t="n">
        <v>163.065</v>
      </c>
      <c r="AC312" t="n">
        <v>-0.05710072791603183</v>
      </c>
      <c r="AD312" t="inlineStr">
        <is>
          <t>DOWN</t>
        </is>
      </c>
      <c r="AG312" s="152">
        <f>IF($A312="","",IFERROR(INDEX(Company_List!$G$3:$G$207,MATCH($A312,Company_List!$A$3:$A$207,0)),"unassigned"))</f>
        <v/>
      </c>
      <c r="AK312" s="152">
        <f>IF($A312="","",IF(COUNTIFS(Human_Data_Entry!$A$3:$A$525,$A312)&gt;0,"YES","NO"))</f>
        <v/>
      </c>
      <c r="AL312" s="152">
        <f>IF($A312="","",IF(AND($C312&amp;"-"&amp;$D312&gt;=Settings!$B$19,$C312&amp;"-"&amp;$D312&lt;=Settings!$B$20),"IN","OUT"))</f>
        <v/>
      </c>
      <c r="AM312" s="152">
        <f>IF(AND(OR($H312="BUY",$H312="SELL"),ISNUMBER($T312)),$T312,"")</f>
        <v/>
      </c>
      <c r="AN312" s="152">
        <f>IF(AND(OR($H312="BUY",$H312="SELL"),ISNUMBER($AF312)),$AF312,"")</f>
        <v/>
      </c>
      <c r="AO312" s="152">
        <f>IF(ISNUMBER($AM312),ABS(IF(ISNUMBER($G312),$G312,0)-Settings!$B$25),"")</f>
        <v/>
      </c>
      <c r="AP312" s="152">
        <f>IF(ISNUMBER($AO312),$AO312*$AM312,"")</f>
        <v/>
      </c>
      <c r="AQ312" s="152">
        <f>IF(ISNUMBER($AN312),ABS(IF(ISNUMBER($G312),$G312,0)-Settings!$B$25),"")</f>
        <v/>
      </c>
      <c r="AR312" s="152">
        <f>IF(ISNUMBER($AQ312),$AQ312*$AN312,"")</f>
        <v/>
      </c>
      <c r="AS312" s="152">
        <f>IF($A312="","",IFERROR(INDEX(Company_List!$H$3:$H$207,MATCH($A312,Company_List!$A$3:$A$207,0)),"unassigned"))</f>
        <v/>
      </c>
    </row>
    <row r="313">
      <c r="A313" s="191" t="inlineStr">
        <is>
          <t>Union Pacific</t>
        </is>
      </c>
      <c r="B313" s="188" t="inlineStr">
        <is>
          <t>UNP</t>
        </is>
      </c>
      <c r="C313" s="176" t="n">
        <v>2025</v>
      </c>
      <c r="D313" s="177" t="inlineStr">
        <is>
          <t>Q3</t>
        </is>
      </c>
      <c r="E313" s="178" t="inlineStr">
        <is>
          <t>LLM (DeepSeek)</t>
        </is>
      </c>
      <c r="F313" s="177" t="inlineStr">
        <is>
          <t>LLM</t>
        </is>
      </c>
      <c r="G313" s="196" t="n">
        <v>-0.18</v>
      </c>
      <c r="H313" s="177" t="inlineStr">
        <is>
          <t>SELL</t>
        </is>
      </c>
      <c r="J313" s="182" t="n">
        <v>45966</v>
      </c>
      <c r="K313" s="182" t="n">
        <v>45965</v>
      </c>
      <c r="L313" s="183" t="n">
        <v>220.91</v>
      </c>
      <c r="M313" s="182" t="n">
        <v>45966</v>
      </c>
      <c r="N313" s="183" t="n">
        <v>219.75</v>
      </c>
      <c r="O313" s="180" t="n">
        <v>0.010409</v>
      </c>
      <c r="P313" s="197" t="n">
        <v>-0.0052</v>
      </c>
      <c r="V313" s="152" t="inlineStr">
        <is>
          <t>EXTENSION</t>
        </is>
      </c>
      <c r="W313" t="inlineStr">
        <is>
          <t>copied from Human_Data_Entry's EDGAR-anchored correction (same event, price fact independent of reading arm); patched 2026-08-27. Original: price signal — only this window shows an abnormal move</t>
        </is>
      </c>
      <c r="X313" t="inlineStr">
        <is>
          <t>UNP</t>
        </is>
      </c>
      <c r="Y313" t="inlineStr">
        <is>
          <t>2025-10-22</t>
        </is>
      </c>
      <c r="Z313" t="n">
        <v>221.6145</v>
      </c>
      <c r="AA313" t="inlineStr">
        <is>
          <t>2025-10-23</t>
        </is>
      </c>
      <c r="AB313" t="n">
        <v>219.6861</v>
      </c>
      <c r="AC313" t="n">
        <v>-0.008701810970447017</v>
      </c>
      <c r="AD313" t="inlineStr">
        <is>
          <t>FLAT</t>
        </is>
      </c>
      <c r="AG313" s="152">
        <f>IF($A313="","",IFERROR(INDEX(Company_List!$G$3:$G$207,MATCH($A313,Company_List!$A$3:$A$207,0)),"unassigned"))</f>
        <v/>
      </c>
      <c r="AK313" s="152">
        <f>IF($A313="","",IF(COUNTIFS(Human_Data_Entry!$A$3:$A$525,$A313)&gt;0,"YES","NO"))</f>
        <v/>
      </c>
      <c r="AL313" s="152">
        <f>IF($A313="","",IF(AND($C313&amp;"-"&amp;$D313&gt;=Settings!$B$19,$C313&amp;"-"&amp;$D313&lt;=Settings!$B$20),"IN","OUT"))</f>
        <v/>
      </c>
      <c r="AM313" s="152">
        <f>IF(AND(OR($H313="BUY",$H313="SELL"),ISNUMBER($T313)),$T313,"")</f>
        <v/>
      </c>
      <c r="AN313" s="152">
        <f>IF(AND(OR($H313="BUY",$H313="SELL"),ISNUMBER($AF313)),$AF313,"")</f>
        <v/>
      </c>
      <c r="AO313" s="152">
        <f>IF(ISNUMBER($AM313),ABS(IF(ISNUMBER($G313),$G313,0)-Settings!$B$25),"")</f>
        <v/>
      </c>
      <c r="AP313" s="152">
        <f>IF(ISNUMBER($AO313),$AO313*$AM313,"")</f>
        <v/>
      </c>
      <c r="AQ313" s="152">
        <f>IF(ISNUMBER($AN313),ABS(IF(ISNUMBER($G313),$G313,0)-Settings!$B$25),"")</f>
        <v/>
      </c>
      <c r="AR313" s="152">
        <f>IF(ISNUMBER($AQ313),$AQ313*$AN313,"")</f>
        <v/>
      </c>
      <c r="AS313" s="152">
        <f>IF($A313="","",IFERROR(INDEX(Company_List!$H$3:$H$207,MATCH($A313,Company_List!$A$3:$A$207,0)),"unassigned"))</f>
        <v/>
      </c>
    </row>
    <row r="314">
      <c r="A314" s="191" t="inlineStr">
        <is>
          <t>Datadog</t>
        </is>
      </c>
      <c r="B314" s="188" t="inlineStr">
        <is>
          <t>DDOG</t>
        </is>
      </c>
      <c r="C314" s="176" t="n">
        <v>2025</v>
      </c>
      <c r="D314" s="177" t="inlineStr">
        <is>
          <t>Q3</t>
        </is>
      </c>
      <c r="E314" s="178" t="inlineStr">
        <is>
          <t>LLM (DeepSeek)</t>
        </is>
      </c>
      <c r="F314" s="177" t="inlineStr">
        <is>
          <t>LLM</t>
        </is>
      </c>
      <c r="G314" s="196" t="n">
        <v>0.5</v>
      </c>
      <c r="H314" s="177" t="inlineStr">
        <is>
          <t>BUY</t>
        </is>
      </c>
      <c r="J314" s="182" t="n">
        <v>45967</v>
      </c>
      <c r="K314" s="182" t="n">
        <v>45966</v>
      </c>
      <c r="L314" s="183" t="n">
        <v>154.98</v>
      </c>
      <c r="M314" s="182" t="n">
        <v>45967</v>
      </c>
      <c r="N314" s="183" t="n">
        <v>178.89</v>
      </c>
      <c r="O314" s="180" t="n">
        <v>0.008519000000000001</v>
      </c>
      <c r="P314" s="197" t="n">
        <v>0.1543</v>
      </c>
      <c r="V314" s="152" t="inlineStr">
        <is>
          <t>EXTENSION</t>
        </is>
      </c>
      <c r="W314" t="inlineStr">
        <is>
          <t>copied from Human_Data_Entry's EDGAR-anchored correction (same event, price fact independent of reading arm); patched 2026-08-27. Original: recorded window spanned two sessions, closed to one</t>
        </is>
      </c>
      <c r="X314" t="inlineStr">
        <is>
          <t>DDOG</t>
        </is>
      </c>
      <c r="Y314" t="inlineStr">
        <is>
          <t>2025-11-05</t>
        </is>
      </c>
      <c r="Z314" t="n">
        <v>154.98</v>
      </c>
      <c r="AA314" t="inlineStr">
        <is>
          <t>2025-11-06</t>
        </is>
      </c>
      <c r="AB314" t="n">
        <v>178.89</v>
      </c>
      <c r="AC314" t="n">
        <v>0.1542779946903598</v>
      </c>
      <c r="AD314" t="inlineStr">
        <is>
          <t>UP</t>
        </is>
      </c>
      <c r="AG314" s="152">
        <f>IF($A314="","",IFERROR(INDEX(Company_List!$G$3:$G$207,MATCH($A314,Company_List!$A$3:$A$207,0)),"unassigned"))</f>
        <v/>
      </c>
      <c r="AK314" s="152">
        <f>IF($A314="","",IF(COUNTIFS(Human_Data_Entry!$A$3:$A$525,$A314)&gt;0,"YES","NO"))</f>
        <v/>
      </c>
      <c r="AL314" s="152">
        <f>IF($A314="","",IF(AND($C314&amp;"-"&amp;$D314&gt;=Settings!$B$19,$C314&amp;"-"&amp;$D314&lt;=Settings!$B$20),"IN","OUT"))</f>
        <v/>
      </c>
      <c r="AM314" s="152">
        <f>IF(AND(OR($H314="BUY",$H314="SELL"),ISNUMBER($T314)),$T314,"")</f>
        <v/>
      </c>
      <c r="AN314" s="152">
        <f>IF(AND(OR($H314="BUY",$H314="SELL"),ISNUMBER($AF314)),$AF314,"")</f>
        <v/>
      </c>
      <c r="AO314" s="152">
        <f>IF(ISNUMBER($AM314),ABS(IF(ISNUMBER($G314),$G314,0)-Settings!$B$25),"")</f>
        <v/>
      </c>
      <c r="AP314" s="152">
        <f>IF(ISNUMBER($AO314),$AO314*$AM314,"")</f>
        <v/>
      </c>
      <c r="AQ314" s="152">
        <f>IF(ISNUMBER($AN314),ABS(IF(ISNUMBER($G314),$G314,0)-Settings!$B$25),"")</f>
        <v/>
      </c>
      <c r="AR314" s="152">
        <f>IF(ISNUMBER($AQ314),$AQ314*$AN314,"")</f>
        <v/>
      </c>
      <c r="AS314" s="152">
        <f>IF($A314="","",IFERROR(INDEX(Company_List!$H$3:$H$207,MATCH($A314,Company_List!$A$3:$A$207,0)),"unassigned"))</f>
        <v/>
      </c>
    </row>
    <row r="315">
      <c r="A315" s="191" t="inlineStr">
        <is>
          <t>Duke Energy</t>
        </is>
      </c>
      <c r="B315" s="188" t="inlineStr">
        <is>
          <t>DUK</t>
        </is>
      </c>
      <c r="C315" s="176" t="n">
        <v>2025</v>
      </c>
      <c r="D315" s="177" t="inlineStr">
        <is>
          <t>Q3</t>
        </is>
      </c>
      <c r="E315" s="178" t="inlineStr">
        <is>
          <t>LLM (DeepSeek)</t>
        </is>
      </c>
      <c r="F315" s="177" t="inlineStr">
        <is>
          <t>LLM</t>
        </is>
      </c>
      <c r="G315" s="196" t="n">
        <v>0.3</v>
      </c>
      <c r="H315" s="177" t="inlineStr">
        <is>
          <t>BUY</t>
        </is>
      </c>
      <c r="J315" s="182" t="n">
        <v>45968</v>
      </c>
      <c r="K315" s="182" t="n">
        <v>45967</v>
      </c>
      <c r="L315" s="183" t="n">
        <v>124</v>
      </c>
      <c r="M315" s="182" t="n">
        <v>45968</v>
      </c>
      <c r="N315" s="183" t="n">
        <v>124.1</v>
      </c>
      <c r="O315" s="180" t="n">
        <v>0.011467</v>
      </c>
      <c r="P315" s="197" t="n">
        <v>0.0008</v>
      </c>
      <c r="V315" s="152" t="inlineStr">
        <is>
          <t>EXTENSION</t>
        </is>
      </c>
      <c r="W315" t="inlineStr">
        <is>
          <t>copied from Human_Data_Entry's EDGAR-anchored correction (same event, price fact independent of reading arm); patched 2026-08-27. Original: price signal — only this window shows an abnormal move</t>
        </is>
      </c>
      <c r="X315" t="inlineStr">
        <is>
          <t>DUK</t>
        </is>
      </c>
      <c r="Y315" t="inlineStr">
        <is>
          <t>2025-11-07</t>
        </is>
      </c>
      <c r="Z315" t="n">
        <v>120.5177</v>
      </c>
      <c r="AA315" t="inlineStr">
        <is>
          <t>2025-11-10</t>
        </is>
      </c>
      <c r="AB315" t="n">
        <v>119.9232</v>
      </c>
      <c r="AC315" t="n">
        <v>-0.004932973420458506</v>
      </c>
      <c r="AD315" t="inlineStr">
        <is>
          <t>FLAT</t>
        </is>
      </c>
      <c r="AG315" s="152">
        <f>IF($A315="","",IFERROR(INDEX(Company_List!$G$3:$G$207,MATCH($A315,Company_List!$A$3:$A$207,0)),"unassigned"))</f>
        <v/>
      </c>
      <c r="AK315" s="152">
        <f>IF($A315="","",IF(COUNTIFS(Human_Data_Entry!$A$3:$A$525,$A315)&gt;0,"YES","NO"))</f>
        <v/>
      </c>
      <c r="AL315" s="152">
        <f>IF($A315="","",IF(AND($C315&amp;"-"&amp;$D315&gt;=Settings!$B$19,$C315&amp;"-"&amp;$D315&lt;=Settings!$B$20),"IN","OUT"))</f>
        <v/>
      </c>
      <c r="AM315" s="152">
        <f>IF(AND(OR($H315="BUY",$H315="SELL"),ISNUMBER($T315)),$T315,"")</f>
        <v/>
      </c>
      <c r="AN315" s="152">
        <f>IF(AND(OR($H315="BUY",$H315="SELL"),ISNUMBER($AF315)),$AF315,"")</f>
        <v/>
      </c>
      <c r="AO315" s="152">
        <f>IF(ISNUMBER($AM315),ABS(IF(ISNUMBER($G315),$G315,0)-Settings!$B$25),"")</f>
        <v/>
      </c>
      <c r="AP315" s="152">
        <f>IF(ISNUMBER($AO315),$AO315*$AM315,"")</f>
        <v/>
      </c>
      <c r="AQ315" s="152">
        <f>IF(ISNUMBER($AN315),ABS(IF(ISNUMBER($G315),$G315,0)-Settings!$B$25),"")</f>
        <v/>
      </c>
      <c r="AR315" s="152">
        <f>IF(ISNUMBER($AQ315),$AQ315*$AN315,"")</f>
        <v/>
      </c>
      <c r="AS315" s="152">
        <f>IF($A315="","",IFERROR(INDEX(Company_List!$H$3:$H$207,MATCH($A315,Company_List!$A$3:$A$207,0)),"unassigned"))</f>
        <v/>
      </c>
    </row>
    <row r="316">
      <c r="A316" s="191" t="inlineStr">
        <is>
          <t>Home Depot</t>
        </is>
      </c>
      <c r="B316" s="188" t="inlineStr">
        <is>
          <t>HD</t>
        </is>
      </c>
      <c r="C316" s="176" t="n">
        <v>2025</v>
      </c>
      <c r="D316" s="177" t="inlineStr">
        <is>
          <t>Q3</t>
        </is>
      </c>
      <c r="E316" s="178" t="inlineStr">
        <is>
          <t>LLM (DeepSeek)</t>
        </is>
      </c>
      <c r="F316" s="177" t="inlineStr">
        <is>
          <t>LLM</t>
        </is>
      </c>
      <c r="G316" s="196" t="n">
        <v>-0.34</v>
      </c>
      <c r="H316" s="177" t="inlineStr">
        <is>
          <t>SELL</t>
        </is>
      </c>
      <c r="J316" s="182" t="n">
        <v>45979</v>
      </c>
      <c r="K316" s="182" t="n">
        <v>45978</v>
      </c>
      <c r="L316" s="183" t="n">
        <v>358.03</v>
      </c>
      <c r="M316" s="182" t="n">
        <v>45979</v>
      </c>
      <c r="N316" s="183" t="n">
        <v>339.98</v>
      </c>
      <c r="O316" s="180" t="n">
        <v>0.007671</v>
      </c>
      <c r="P316" s="197" t="n">
        <v>-0.0504</v>
      </c>
      <c r="V316" s="152" t="inlineStr">
        <is>
          <t>EXTENSION</t>
        </is>
      </c>
      <c r="W316" t="inlineStr">
        <is>
          <t>copied from Human_Data_Entry's EDGAR-anchored correction (same event, price fact independent of reading arm); patched 2026-08-27. Original: price signal — both moved; this one dominates</t>
        </is>
      </c>
      <c r="X316" t="inlineStr">
        <is>
          <t>HD</t>
        </is>
      </c>
      <c r="Y316" t="inlineStr">
        <is>
          <t>2025-11-17</t>
        </is>
      </c>
      <c r="Z316" t="n">
        <v>350.736</v>
      </c>
      <c r="AA316" t="inlineStr">
        <is>
          <t>2025-11-18</t>
        </is>
      </c>
      <c r="AB316" t="n">
        <v>333.0537</v>
      </c>
      <c r="AC316" t="n">
        <v>-0.05041482772422101</v>
      </c>
      <c r="AD316" t="inlineStr">
        <is>
          <t>DOWN</t>
        </is>
      </c>
      <c r="AG316" s="152">
        <f>IF($A316="","",IFERROR(INDEX(Company_List!$G$3:$G$207,MATCH($A316,Company_List!$A$3:$A$207,0)),"unassigned"))</f>
        <v/>
      </c>
      <c r="AK316" s="152">
        <f>IF($A316="","",IF(COUNTIFS(Human_Data_Entry!$A$3:$A$525,$A316)&gt;0,"YES","NO"))</f>
        <v/>
      </c>
      <c r="AL316" s="152">
        <f>IF($A316="","",IF(AND($C316&amp;"-"&amp;$D316&gt;=Settings!$B$19,$C316&amp;"-"&amp;$D316&lt;=Settings!$B$20),"IN","OUT"))</f>
        <v/>
      </c>
      <c r="AM316" s="152">
        <f>IF(AND(OR($H316="BUY",$H316="SELL"),ISNUMBER($T316)),$T316,"")</f>
        <v/>
      </c>
      <c r="AN316" s="152">
        <f>IF(AND(OR($H316="BUY",$H316="SELL"),ISNUMBER($AF316)),$AF316,"")</f>
        <v/>
      </c>
      <c r="AO316" s="152">
        <f>IF(ISNUMBER($AM316),ABS(IF(ISNUMBER($G316),$G316,0)-Settings!$B$25),"")</f>
        <v/>
      </c>
      <c r="AP316" s="152">
        <f>IF(ISNUMBER($AO316),$AO316*$AM316,"")</f>
        <v/>
      </c>
      <c r="AQ316" s="152">
        <f>IF(ISNUMBER($AN316),ABS(IF(ISNUMBER($G316),$G316,0)-Settings!$B$25),"")</f>
        <v/>
      </c>
      <c r="AR316" s="152">
        <f>IF(ISNUMBER($AQ316),$AQ316*$AN316,"")</f>
        <v/>
      </c>
      <c r="AS316" s="152">
        <f>IF($A316="","",IFERROR(INDEX(Company_List!$H$3:$H$207,MATCH($A316,Company_List!$A$3:$A$207,0)),"unassigned"))</f>
        <v/>
      </c>
    </row>
    <row r="317">
      <c r="A317" s="191" t="inlineStr">
        <is>
          <t>Adobe</t>
        </is>
      </c>
      <c r="B317" s="188" t="inlineStr">
        <is>
          <t>ADBE</t>
        </is>
      </c>
      <c r="C317" s="176" t="n">
        <v>2025</v>
      </c>
      <c r="D317" s="177" t="inlineStr">
        <is>
          <t>Q4</t>
        </is>
      </c>
      <c r="E317" s="178" t="inlineStr">
        <is>
          <t>LLM (DeepSeek)</t>
        </is>
      </c>
      <c r="F317" s="177" t="inlineStr">
        <is>
          <t>LLM</t>
        </is>
      </c>
      <c r="G317" s="196" t="n">
        <v>0.26</v>
      </c>
      <c r="H317" s="177" t="inlineStr">
        <is>
          <t>BUY</t>
        </is>
      </c>
      <c r="J317" s="182" t="n">
        <v>46001</v>
      </c>
      <c r="K317" s="182" t="n">
        <v>46001</v>
      </c>
      <c r="L317" s="183" t="n">
        <v>343.13</v>
      </c>
      <c r="M317" s="182" t="n">
        <v>46002</v>
      </c>
      <c r="N317" s="183" t="n">
        <v>341.65</v>
      </c>
      <c r="O317" s="180" t="n">
        <v>0.003962</v>
      </c>
      <c r="P317" s="197" t="n">
        <v>-0.0043</v>
      </c>
      <c r="V317" s="152" t="inlineStr">
        <is>
          <t>EXTENSION</t>
        </is>
      </c>
      <c r="W317" t="inlineStr">
        <is>
          <t>copied from Human_Data_Entry's EDGAR-anchored correction (same event, price fact independent of reading arm); patched 2026-08-27. Original: release time published by the issuer</t>
        </is>
      </c>
      <c r="X317" t="inlineStr">
        <is>
          <t>ADBE</t>
        </is>
      </c>
      <c r="Y317" t="inlineStr">
        <is>
          <t>2025-12-10</t>
        </is>
      </c>
      <c r="Z317" t="n">
        <v>343.13</v>
      </c>
      <c r="AA317" t="inlineStr">
        <is>
          <t>2025-12-11</t>
        </is>
      </c>
      <c r="AB317" t="n">
        <v>341.65</v>
      </c>
      <c r="AC317" t="n">
        <v>-0.004313266046203072</v>
      </c>
      <c r="AD317" t="inlineStr">
        <is>
          <t>FLAT</t>
        </is>
      </c>
      <c r="AG317" s="152">
        <f>IF($A317="","",IFERROR(INDEX(Company_List!$G$3:$G$207,MATCH($A317,Company_List!$A$3:$A$207,0)),"unassigned"))</f>
        <v/>
      </c>
      <c r="AK317" s="152">
        <f>IF($A317="","",IF(COUNTIFS(Human_Data_Entry!$A$3:$A$525,$A317)&gt;0,"YES","NO"))</f>
        <v/>
      </c>
      <c r="AL317" s="152">
        <f>IF($A317="","",IF(AND($C317&amp;"-"&amp;$D317&gt;=Settings!$B$19,$C317&amp;"-"&amp;$D317&lt;=Settings!$B$20),"IN","OUT"))</f>
        <v/>
      </c>
      <c r="AM317" s="152">
        <f>IF(AND(OR($H317="BUY",$H317="SELL"),ISNUMBER($T317)),$T317,"")</f>
        <v/>
      </c>
      <c r="AN317" s="152">
        <f>IF(AND(OR($H317="BUY",$H317="SELL"),ISNUMBER($AF317)),$AF317,"")</f>
        <v/>
      </c>
      <c r="AO317" s="152">
        <f>IF(ISNUMBER($AM317),ABS(IF(ISNUMBER($G317),$G317,0)-Settings!$B$25),"")</f>
        <v/>
      </c>
      <c r="AP317" s="152">
        <f>IF(ISNUMBER($AO317),$AO317*$AM317,"")</f>
        <v/>
      </c>
      <c r="AQ317" s="152">
        <f>IF(ISNUMBER($AN317),ABS(IF(ISNUMBER($G317),$G317,0)-Settings!$B$25),"")</f>
        <v/>
      </c>
      <c r="AR317" s="152">
        <f>IF(ISNUMBER($AQ317),$AQ317*$AN317,"")</f>
        <v/>
      </c>
      <c r="AS317" s="152">
        <f>IF($A317="","",IFERROR(INDEX(Company_List!$H$3:$H$207,MATCH($A317,Company_List!$A$3:$A$207,0)),"unassigned"))</f>
        <v/>
      </c>
    </row>
    <row r="318">
      <c r="A318" s="191" t="inlineStr">
        <is>
          <t>Costco</t>
        </is>
      </c>
      <c r="B318" s="188" t="inlineStr">
        <is>
          <t>COST</t>
        </is>
      </c>
      <c r="C318" s="176" t="n">
        <v>2026</v>
      </c>
      <c r="D318" s="177" t="inlineStr">
        <is>
          <t>Q1</t>
        </is>
      </c>
      <c r="E318" s="178" t="inlineStr">
        <is>
          <t>LLM (DeepSeek)</t>
        </is>
      </c>
      <c r="F318" s="177" t="inlineStr">
        <is>
          <t>LLM</t>
        </is>
      </c>
      <c r="G318" s="196" t="n">
        <v>0.22</v>
      </c>
      <c r="H318" s="177" t="inlineStr">
        <is>
          <t>BUY</t>
        </is>
      </c>
      <c r="J318" s="182" t="n">
        <v>46002</v>
      </c>
      <c r="K318" s="182" t="n">
        <v>46002</v>
      </c>
      <c r="L318" s="183" t="n">
        <v>884.48</v>
      </c>
      <c r="M318" s="182" t="n">
        <v>46003</v>
      </c>
      <c r="N318" s="183" t="n">
        <v>883.3</v>
      </c>
      <c r="O318" s="180" t="n">
        <v>0.008616</v>
      </c>
      <c r="P318" s="197" t="n">
        <v>-0.0013</v>
      </c>
      <c r="V318" s="152" t="inlineStr">
        <is>
          <t>EXTENSION</t>
        </is>
      </c>
      <c r="W318" t="inlineStr">
        <is>
          <t>copied from Human_Data_Entry's EDGAR-anchored correction (same event, price fact independent of reading arm); patched 2026-08-27. Original: release date + stated time in the document (rater worksheet)</t>
        </is>
      </c>
      <c r="X318" t="inlineStr">
        <is>
          <t>COST</t>
        </is>
      </c>
      <c r="Y318" t="inlineStr">
        <is>
          <t>2025-12-11</t>
        </is>
      </c>
      <c r="Z318" t="n">
        <v>880.5934</v>
      </c>
      <c r="AA318" t="inlineStr">
        <is>
          <t>2025-12-12</t>
        </is>
      </c>
      <c r="AB318" t="n">
        <v>879.4186999999999</v>
      </c>
      <c r="AC318" t="n">
        <v>-0.001334090039663578</v>
      </c>
      <c r="AD318" t="inlineStr">
        <is>
          <t>FLAT</t>
        </is>
      </c>
      <c r="AG318" s="152">
        <f>IF($A318="","",IFERROR(INDEX(Company_List!$G$3:$G$207,MATCH($A318,Company_List!$A$3:$A$207,0)),"unassigned"))</f>
        <v/>
      </c>
      <c r="AK318" s="152">
        <f>IF($A318="","",IF(COUNTIFS(Human_Data_Entry!$A$3:$A$525,$A318)&gt;0,"YES","NO"))</f>
        <v/>
      </c>
      <c r="AL318" s="152">
        <f>IF($A318="","",IF(AND($C318&amp;"-"&amp;$D318&gt;=Settings!$B$19,$C318&amp;"-"&amp;$D318&lt;=Settings!$B$20),"IN","OUT"))</f>
        <v/>
      </c>
      <c r="AM318" s="152">
        <f>IF(AND(OR($H318="BUY",$H318="SELL"),ISNUMBER($T318)),$T318,"")</f>
        <v/>
      </c>
      <c r="AN318" s="152">
        <f>IF(AND(OR($H318="BUY",$H318="SELL"),ISNUMBER($AF318)),$AF318,"")</f>
        <v/>
      </c>
      <c r="AO318" s="152">
        <f>IF(ISNUMBER($AM318),ABS(IF(ISNUMBER($G318),$G318,0)-Settings!$B$25),"")</f>
        <v/>
      </c>
      <c r="AP318" s="152">
        <f>IF(ISNUMBER($AO318),$AO318*$AM318,"")</f>
        <v/>
      </c>
      <c r="AQ318" s="152">
        <f>IF(ISNUMBER($AN318),ABS(IF(ISNUMBER($G318),$G318,0)-Settings!$B$25),"")</f>
        <v/>
      </c>
      <c r="AR318" s="152">
        <f>IF(ISNUMBER($AQ318),$AQ318*$AN318,"")</f>
        <v/>
      </c>
      <c r="AS318" s="152">
        <f>IF($A318="","",IFERROR(INDEX(Company_List!$H$3:$H$207,MATCH($A318,Company_List!$A$3:$A$207,0)),"unassigned"))</f>
        <v/>
      </c>
    </row>
    <row r="319">
      <c r="A319" s="191" t="inlineStr">
        <is>
          <t>Freeport-McMoRan</t>
        </is>
      </c>
      <c r="B319" s="188" t="inlineStr">
        <is>
          <t>FCX</t>
        </is>
      </c>
      <c r="C319" s="176" t="n">
        <v>2025</v>
      </c>
      <c r="D319" s="177" t="inlineStr">
        <is>
          <t>Q4</t>
        </is>
      </c>
      <c r="E319" s="178" t="inlineStr">
        <is>
          <t>LLM (DeepSeek)</t>
        </is>
      </c>
      <c r="F319" s="177" t="inlineStr">
        <is>
          <t>LLM</t>
        </is>
      </c>
      <c r="G319" s="196" t="n">
        <v>0.25</v>
      </c>
      <c r="H319" s="177" t="inlineStr">
        <is>
          <t>BUY</t>
        </is>
      </c>
      <c r="J319" s="182" t="n">
        <v>46044</v>
      </c>
      <c r="K319" s="182" t="n">
        <v>46043</v>
      </c>
      <c r="L319" s="183" t="n">
        <v>60.58</v>
      </c>
      <c r="M319" s="182" t="n">
        <v>46044</v>
      </c>
      <c r="N319" s="183" t="n">
        <v>60.78</v>
      </c>
      <c r="O319" s="180" t="n">
        <v>0.016757</v>
      </c>
      <c r="P319" s="197" t="n">
        <v>0.0033</v>
      </c>
      <c r="V319" s="152" t="inlineStr">
        <is>
          <t>EXTENSION</t>
        </is>
      </c>
      <c r="W319" t="inlineStr">
        <is>
          <t>copied from Human_Data_Entry's EDGAR-anchored correction (same event, price fact independent of reading arm); patched 2026-08-27. Original: earnings calendar, seconded independently</t>
        </is>
      </c>
      <c r="X319" t="inlineStr">
        <is>
          <t>FCX</t>
        </is>
      </c>
      <c r="Y319" t="inlineStr">
        <is>
          <t>2026-01-21</t>
        </is>
      </c>
      <c r="Z319" t="n">
        <v>60.3005</v>
      </c>
      <c r="AA319" t="inlineStr">
        <is>
          <t>2026-01-22</t>
        </is>
      </c>
      <c r="AB319" t="n">
        <v>60.4996</v>
      </c>
      <c r="AC319" t="n">
        <v>0.003301373776602521</v>
      </c>
      <c r="AD319" t="inlineStr">
        <is>
          <t>FLAT</t>
        </is>
      </c>
      <c r="AG319" s="152">
        <f>IF($A319="","",IFERROR(INDEX(Company_List!$G$3:$G$207,MATCH($A319,Company_List!$A$3:$A$207,0)),"unassigned"))</f>
        <v/>
      </c>
      <c r="AK319" s="152">
        <f>IF($A319="","",IF(COUNTIFS(Human_Data_Entry!$A$3:$A$525,$A319)&gt;0,"YES","NO"))</f>
        <v/>
      </c>
      <c r="AL319" s="152">
        <f>IF($A319="","",IF(AND($C319&amp;"-"&amp;$D319&gt;=Settings!$B$19,$C319&amp;"-"&amp;$D319&lt;=Settings!$B$20),"IN","OUT"))</f>
        <v/>
      </c>
      <c r="AM319" s="152">
        <f>IF(AND(OR($H319="BUY",$H319="SELL"),ISNUMBER($T319)),$T319,"")</f>
        <v/>
      </c>
      <c r="AN319" s="152">
        <f>IF(AND(OR($H319="BUY",$H319="SELL"),ISNUMBER($AF319)),$AF319,"")</f>
        <v/>
      </c>
      <c r="AO319" s="152">
        <f>IF(ISNUMBER($AM319),ABS(IF(ISNUMBER($G319),$G319,0)-Settings!$B$25),"")</f>
        <v/>
      </c>
      <c r="AP319" s="152">
        <f>IF(ISNUMBER($AO319),$AO319*$AM319,"")</f>
        <v/>
      </c>
      <c r="AQ319" s="152">
        <f>IF(ISNUMBER($AN319),ABS(IF(ISNUMBER($G319),$G319,0)-Settings!$B$25),"")</f>
        <v/>
      </c>
      <c r="AR319" s="152">
        <f>IF(ISNUMBER($AQ319),$AQ319*$AN319,"")</f>
        <v/>
      </c>
      <c r="AS319" s="152">
        <f>IF($A319="","",IFERROR(INDEX(Company_List!$H$3:$H$207,MATCH($A319,Company_List!$A$3:$A$207,0)),"unassigned"))</f>
        <v/>
      </c>
    </row>
    <row r="320">
      <c r="A320" s="191" t="inlineStr">
        <is>
          <t>Intel</t>
        </is>
      </c>
      <c r="B320" s="188" t="inlineStr">
        <is>
          <t>INTC</t>
        </is>
      </c>
      <c r="C320" s="176" t="n">
        <v>2025</v>
      </c>
      <c r="D320" s="177" t="inlineStr">
        <is>
          <t>Q4</t>
        </is>
      </c>
      <c r="E320" s="178" t="inlineStr">
        <is>
          <t>LLM (DeepSeek)</t>
        </is>
      </c>
      <c r="F320" s="177" t="inlineStr">
        <is>
          <t>LLM</t>
        </is>
      </c>
      <c r="G320" s="196" t="n">
        <v>0.13</v>
      </c>
      <c r="H320" s="177" t="inlineStr">
        <is>
          <t>HOLD</t>
        </is>
      </c>
      <c r="J320" s="182" t="n">
        <v>46044</v>
      </c>
      <c r="K320" s="182" t="n">
        <v>46044</v>
      </c>
      <c r="L320" s="183" t="n">
        <v>54.32</v>
      </c>
      <c r="M320" s="182" t="n">
        <v>46045</v>
      </c>
      <c r="N320" s="183" t="n">
        <v>46.86</v>
      </c>
      <c r="O320" s="180" t="n">
        <v>0.010566</v>
      </c>
      <c r="P320" s="197" t="n">
        <v>-0.1373</v>
      </c>
      <c r="V320" s="152" t="inlineStr">
        <is>
          <t>EXTENSION</t>
        </is>
      </c>
      <c r="W320" t="inlineStr">
        <is>
          <t>copied from Human_Data_Entry's EDGAR-anchored correction (same event, price fact independent of reading arm); patched 2026-08-27. Original: price signal, re-derived — only this window shows an abnormal move</t>
        </is>
      </c>
      <c r="X320" t="inlineStr">
        <is>
          <t>INTC</t>
        </is>
      </c>
      <c r="Y320" t="inlineStr">
        <is>
          <t>2026-01-22</t>
        </is>
      </c>
      <c r="Z320" t="n">
        <v>54.32</v>
      </c>
      <c r="AA320" t="inlineStr">
        <is>
          <t>2026-01-23</t>
        </is>
      </c>
      <c r="AB320" t="n">
        <v>46.86</v>
      </c>
      <c r="AC320" t="n">
        <v>-0.1373342967599412</v>
      </c>
      <c r="AD320" t="inlineStr">
        <is>
          <t>DOWN</t>
        </is>
      </c>
      <c r="AG320" s="152">
        <f>IF($A320="","",IFERROR(INDEX(Company_List!$G$3:$G$207,MATCH($A320,Company_List!$A$3:$A$207,0)),"unassigned"))</f>
        <v/>
      </c>
      <c r="AK320" s="152">
        <f>IF($A320="","",IF(COUNTIFS(Human_Data_Entry!$A$3:$A$525,$A320)&gt;0,"YES","NO"))</f>
        <v/>
      </c>
      <c r="AL320" s="152">
        <f>IF($A320="","",IF(AND($C320&amp;"-"&amp;$D320&gt;=Settings!$B$19,$C320&amp;"-"&amp;$D320&lt;=Settings!$B$20),"IN","OUT"))</f>
        <v/>
      </c>
      <c r="AM320" s="152">
        <f>IF(AND(OR($H320="BUY",$H320="SELL"),ISNUMBER($T320)),$T320,"")</f>
        <v/>
      </c>
      <c r="AN320" s="152">
        <f>IF(AND(OR($H320="BUY",$H320="SELL"),ISNUMBER($AF320)),$AF320,"")</f>
        <v/>
      </c>
      <c r="AO320" s="152">
        <f>IF(ISNUMBER($AM320),ABS(IF(ISNUMBER($G320),$G320,0)-Settings!$B$25),"")</f>
        <v/>
      </c>
      <c r="AP320" s="152">
        <f>IF(ISNUMBER($AO320),$AO320*$AM320,"")</f>
        <v/>
      </c>
      <c r="AQ320" s="152">
        <f>IF(ISNUMBER($AN320),ABS(IF(ISNUMBER($G320),$G320,0)-Settings!$B$25),"")</f>
        <v/>
      </c>
      <c r="AR320" s="152">
        <f>IF(ISNUMBER($AQ320),$AQ320*$AN320,"")</f>
        <v/>
      </c>
      <c r="AS320" s="152">
        <f>IF($A320="","",IFERROR(INDEX(Company_List!$H$3:$H$207,MATCH($A320,Company_List!$A$3:$A$207,0)),"unassigned"))</f>
        <v/>
      </c>
    </row>
    <row r="321">
      <c r="A321" s="191" t="inlineStr">
        <is>
          <t>Mastercard</t>
        </is>
      </c>
      <c r="B321" s="188" t="inlineStr">
        <is>
          <t>MA</t>
        </is>
      </c>
      <c r="C321" s="176" t="n">
        <v>2025</v>
      </c>
      <c r="D321" s="177" t="inlineStr">
        <is>
          <t>Q4</t>
        </is>
      </c>
      <c r="E321" s="178" t="inlineStr">
        <is>
          <t>LLM (DeepSeek)</t>
        </is>
      </c>
      <c r="F321" s="177" t="inlineStr">
        <is>
          <t>LLM</t>
        </is>
      </c>
      <c r="G321" s="196" t="n">
        <v>0.25</v>
      </c>
      <c r="H321" s="177" t="inlineStr">
        <is>
          <t>BUY</t>
        </is>
      </c>
      <c r="J321" s="182" t="n">
        <v>46051</v>
      </c>
      <c r="K321" s="182" t="n">
        <v>46036</v>
      </c>
      <c r="L321" s="183" t="n">
        <v>544.9683</v>
      </c>
      <c r="M321" s="182" t="n">
        <v>46037</v>
      </c>
      <c r="N321" s="183" t="n">
        <v>546.6627</v>
      </c>
      <c r="O321" s="180" t="n">
        <v>0.010761</v>
      </c>
      <c r="P321" s="197" t="n">
        <v>0.02</v>
      </c>
      <c r="V321" s="152" t="inlineStr">
        <is>
          <t>EXTENSION</t>
        </is>
      </c>
      <c r="W321" t="inlineStr">
        <is>
          <t>copied from Human_Data_Entry's EDGAR-anchored correction (same event, price fact independent of reading arm); patched 2026-08-27. Original: price signal, re-derived — only this window shows an abnormal move</t>
        </is>
      </c>
      <c r="X321" t="inlineStr">
        <is>
          <t>MA</t>
        </is>
      </c>
      <c r="Y321" t="inlineStr">
        <is>
          <t>2026-01-28</t>
        </is>
      </c>
      <c r="Z321" t="n">
        <v>519.6046</v>
      </c>
      <c r="AA321" t="inlineStr">
        <is>
          <t>2026-01-29</t>
        </is>
      </c>
      <c r="AB321" t="n">
        <v>529.9892</v>
      </c>
      <c r="AC321" t="n">
        <v>0.01998571864012226</v>
      </c>
      <c r="AD321" t="inlineStr">
        <is>
          <t>FLAT</t>
        </is>
      </c>
      <c r="AG321" s="152">
        <f>IF($A321="","",IFERROR(INDEX(Company_List!$G$3:$G$207,MATCH($A321,Company_List!$A$3:$A$207,0)),"unassigned"))</f>
        <v/>
      </c>
      <c r="AK321" s="152">
        <f>IF($A321="","",IF(COUNTIFS(Human_Data_Entry!$A$3:$A$525,$A321)&gt;0,"YES","NO"))</f>
        <v/>
      </c>
      <c r="AL321" s="152">
        <f>IF($A321="","",IF(AND($C321&amp;"-"&amp;$D321&gt;=Settings!$B$19,$C321&amp;"-"&amp;$D321&lt;=Settings!$B$20),"IN","OUT"))</f>
        <v/>
      </c>
      <c r="AM321" s="152">
        <f>IF(AND(OR($H321="BUY",$H321="SELL"),ISNUMBER($T321)),$T321,"")</f>
        <v/>
      </c>
      <c r="AN321" s="152">
        <f>IF(AND(OR($H321="BUY",$H321="SELL"),ISNUMBER($AF321)),$AF321,"")</f>
        <v/>
      </c>
      <c r="AO321" s="152">
        <f>IF(ISNUMBER($AM321),ABS(IF(ISNUMBER($G321),$G321,0)-Settings!$B$25),"")</f>
        <v/>
      </c>
      <c r="AP321" s="152">
        <f>IF(ISNUMBER($AO321),$AO321*$AM321,"")</f>
        <v/>
      </c>
      <c r="AQ321" s="152">
        <f>IF(ISNUMBER($AN321),ABS(IF(ISNUMBER($G321),$G321,0)-Settings!$B$25),"")</f>
        <v/>
      </c>
      <c r="AR321" s="152">
        <f>IF(ISNUMBER($AQ321),$AQ321*$AN321,"")</f>
        <v/>
      </c>
      <c r="AS321" s="152">
        <f>IF($A321="","",IFERROR(INDEX(Company_List!$H$3:$H$207,MATCH($A321,Company_List!$A$3:$A$207,0)),"unassigned"))</f>
        <v/>
      </c>
    </row>
    <row r="322">
      <c r="A322" s="191" t="inlineStr">
        <is>
          <t>American Express</t>
        </is>
      </c>
      <c r="B322" s="188" t="inlineStr">
        <is>
          <t>AXP</t>
        </is>
      </c>
      <c r="C322" s="176" t="n">
        <v>2025</v>
      </c>
      <c r="D322" s="177" t="inlineStr">
        <is>
          <t>Q4</t>
        </is>
      </c>
      <c r="E322" s="178" t="inlineStr">
        <is>
          <t>LLM (DeepSeek)</t>
        </is>
      </c>
      <c r="F322" s="177" t="inlineStr">
        <is>
          <t>LLM</t>
        </is>
      </c>
      <c r="G322" s="196" t="n">
        <v>0.25</v>
      </c>
      <c r="H322" s="177" t="inlineStr">
        <is>
          <t>BUY</t>
        </is>
      </c>
      <c r="J322" s="182" t="n">
        <v>46052</v>
      </c>
      <c r="K322" s="182" t="n">
        <v>46051</v>
      </c>
      <c r="L322" s="183" t="n">
        <v>358.5</v>
      </c>
      <c r="M322" s="182" t="n">
        <v>46052</v>
      </c>
      <c r="N322" s="183" t="n">
        <v>355</v>
      </c>
      <c r="O322" s="180" t="n">
        <v>0.008070000000000001</v>
      </c>
      <c r="P322" s="197" t="n">
        <v>-0.0097</v>
      </c>
      <c r="V322" s="152" t="inlineStr">
        <is>
          <t>EXTENSION</t>
        </is>
      </c>
      <c r="W322" t="inlineStr">
        <is>
          <t>copied from Human_Data_Entry's EDGAR-anchored correction (same event, price fact independent of reading arm); patched 2026-08-27. Original: release time published by the issuer (section C)</t>
        </is>
      </c>
      <c r="X322" t="inlineStr">
        <is>
          <t>AXP</t>
        </is>
      </c>
      <c r="Y322" t="inlineStr">
        <is>
          <t>2026-01-29</t>
        </is>
      </c>
      <c r="Z322" t="n">
        <v>356.3946</v>
      </c>
      <c r="AA322" t="inlineStr">
        <is>
          <t>2026-01-30</t>
        </is>
      </c>
      <c r="AB322" t="n">
        <v>352.9152</v>
      </c>
      <c r="AC322" t="n">
        <v>-0.009762910487534401</v>
      </c>
      <c r="AD322" t="inlineStr">
        <is>
          <t>FLAT</t>
        </is>
      </c>
      <c r="AG322" s="152">
        <f>IF($A322="","",IFERROR(INDEX(Company_List!$G$3:$G$207,MATCH($A322,Company_List!$A$3:$A$207,0)),"unassigned"))</f>
        <v/>
      </c>
      <c r="AK322" s="152">
        <f>IF($A322="","",IF(COUNTIFS(Human_Data_Entry!$A$3:$A$525,$A322)&gt;0,"YES","NO"))</f>
        <v/>
      </c>
      <c r="AL322" s="152">
        <f>IF($A322="","",IF(AND($C322&amp;"-"&amp;$D322&gt;=Settings!$B$19,$C322&amp;"-"&amp;$D322&lt;=Settings!$B$20),"IN","OUT"))</f>
        <v/>
      </c>
      <c r="AM322" s="152">
        <f>IF(AND(OR($H322="BUY",$H322="SELL"),ISNUMBER($T322)),$T322,"")</f>
        <v/>
      </c>
      <c r="AN322" s="152">
        <f>IF(AND(OR($H322="BUY",$H322="SELL"),ISNUMBER($AF322)),$AF322,"")</f>
        <v/>
      </c>
      <c r="AO322" s="152">
        <f>IF(ISNUMBER($AM322),ABS(IF(ISNUMBER($G322),$G322,0)-Settings!$B$25),"")</f>
        <v/>
      </c>
      <c r="AP322" s="152">
        <f>IF(ISNUMBER($AO322),$AO322*$AM322,"")</f>
        <v/>
      </c>
      <c r="AQ322" s="152">
        <f>IF(ISNUMBER($AN322),ABS(IF(ISNUMBER($G322),$G322,0)-Settings!$B$25),"")</f>
        <v/>
      </c>
      <c r="AR322" s="152">
        <f>IF(ISNUMBER($AQ322),$AQ322*$AN322,"")</f>
        <v/>
      </c>
      <c r="AS322" s="152">
        <f>IF($A322="","",IFERROR(INDEX(Company_List!$H$3:$H$207,MATCH($A322,Company_List!$A$3:$A$207,0)),"unassigned"))</f>
        <v/>
      </c>
    </row>
    <row r="323">
      <c r="A323" s="191" t="inlineStr">
        <is>
          <t>Chevron</t>
        </is>
      </c>
      <c r="B323" s="188" t="inlineStr">
        <is>
          <t>CVX</t>
        </is>
      </c>
      <c r="C323" s="176" t="n">
        <v>2025</v>
      </c>
      <c r="D323" s="177" t="inlineStr">
        <is>
          <t>Q4</t>
        </is>
      </c>
      <c r="E323" s="178" t="inlineStr">
        <is>
          <t>LLM (DeepSeek)</t>
        </is>
      </c>
      <c r="F323" s="177" t="inlineStr">
        <is>
          <t>LLM</t>
        </is>
      </c>
      <c r="G323" s="196" t="n">
        <v>0.25</v>
      </c>
      <c r="H323" s="177" t="inlineStr">
        <is>
          <t>BUY</t>
        </is>
      </c>
      <c r="J323" s="182" t="n">
        <v>46052</v>
      </c>
      <c r="K323" s="182" t="n">
        <v>46051</v>
      </c>
      <c r="L323" s="183" t="n">
        <v>171.19</v>
      </c>
      <c r="M323" s="182" t="n">
        <v>46052</v>
      </c>
      <c r="N323" s="183" t="n">
        <v>172.62</v>
      </c>
      <c r="O323" s="180" t="n">
        <v>0.009335</v>
      </c>
      <c r="P323" s="197" t="n">
        <v>0.008399999999999999</v>
      </c>
      <c r="V323" s="152" t="inlineStr">
        <is>
          <t>EXTENSION</t>
        </is>
      </c>
      <c r="W323" t="inlineStr">
        <is>
          <t>copied from Human_Data_Entry's EDGAR-anchored correction (same event, price fact independent of reading arm); patched 2026-08-27. Original: price signal, re-derived — only this window shows an abnormal move</t>
        </is>
      </c>
      <c r="X323" t="inlineStr">
        <is>
          <t>CVX</t>
        </is>
      </c>
      <c r="Y323" t="inlineStr">
        <is>
          <t>2026-01-30</t>
        </is>
      </c>
      <c r="Z323" t="n">
        <v>173.5963</v>
      </c>
      <c r="AA323" t="inlineStr">
        <is>
          <t>2026-02-02</t>
        </is>
      </c>
      <c r="AB323" t="n">
        <v>170.2009</v>
      </c>
      <c r="AC323" t="n">
        <v>-0.01955909197807928</v>
      </c>
      <c r="AD323" t="inlineStr">
        <is>
          <t>FLAT</t>
        </is>
      </c>
      <c r="AG323" s="152">
        <f>IF($A323="","",IFERROR(INDEX(Company_List!$G$3:$G$207,MATCH($A323,Company_List!$A$3:$A$207,0)),"unassigned"))</f>
        <v/>
      </c>
      <c r="AK323" s="152">
        <f>IF($A323="","",IF(COUNTIFS(Human_Data_Entry!$A$3:$A$525,$A323)&gt;0,"YES","NO"))</f>
        <v/>
      </c>
      <c r="AL323" s="152">
        <f>IF($A323="","",IF(AND($C323&amp;"-"&amp;$D323&gt;=Settings!$B$19,$C323&amp;"-"&amp;$D323&lt;=Settings!$B$20),"IN","OUT"))</f>
        <v/>
      </c>
      <c r="AM323" s="152">
        <f>IF(AND(OR($H323="BUY",$H323="SELL"),ISNUMBER($T323)),$T323,"")</f>
        <v/>
      </c>
      <c r="AN323" s="152">
        <f>IF(AND(OR($H323="BUY",$H323="SELL"),ISNUMBER($AF323)),$AF323,"")</f>
        <v/>
      </c>
      <c r="AO323" s="152">
        <f>IF(ISNUMBER($AM323),ABS(IF(ISNUMBER($G323),$G323,0)-Settings!$B$25),"")</f>
        <v/>
      </c>
      <c r="AP323" s="152">
        <f>IF(ISNUMBER($AO323),$AO323*$AM323,"")</f>
        <v/>
      </c>
      <c r="AQ323" s="152">
        <f>IF(ISNUMBER($AN323),ABS(IF(ISNUMBER($G323),$G323,0)-Settings!$B$25),"")</f>
        <v/>
      </c>
      <c r="AR323" s="152">
        <f>IF(ISNUMBER($AQ323),$AQ323*$AN323,"")</f>
        <v/>
      </c>
      <c r="AS323" s="152">
        <f>IF($A323="","",IFERROR(INDEX(Company_List!$H$3:$H$207,MATCH($A323,Company_List!$A$3:$A$207,0)),"unassigned"))</f>
        <v/>
      </c>
    </row>
    <row r="324">
      <c r="A324" s="191" t="inlineStr">
        <is>
          <t>Colgate-Palmolive</t>
        </is>
      </c>
      <c r="B324" s="188" t="inlineStr">
        <is>
          <t>CL</t>
        </is>
      </c>
      <c r="C324" s="176" t="n">
        <v>2025</v>
      </c>
      <c r="D324" s="177" t="inlineStr">
        <is>
          <t>Q4</t>
        </is>
      </c>
      <c r="E324" s="178" t="inlineStr">
        <is>
          <t>LLM (DeepSeek)</t>
        </is>
      </c>
      <c r="F324" s="177" t="inlineStr">
        <is>
          <t>LLM</t>
        </is>
      </c>
      <c r="G324" s="196" t="n">
        <v>0.17</v>
      </c>
      <c r="H324" s="177" t="inlineStr">
        <is>
          <t>HOLD</t>
        </is>
      </c>
      <c r="J324" s="182" t="n">
        <v>46052</v>
      </c>
      <c r="K324" s="182" t="n">
        <v>46051</v>
      </c>
      <c r="L324" s="183" t="n">
        <v>85.23999999999999</v>
      </c>
      <c r="M324" s="182" t="n">
        <v>46052</v>
      </c>
      <c r="N324" s="183" t="n">
        <v>88.7</v>
      </c>
      <c r="O324" s="180" t="n">
        <v>0.006486</v>
      </c>
      <c r="P324" s="197" t="n">
        <v>0.0406</v>
      </c>
      <c r="V324" s="152" t="inlineStr">
        <is>
          <t>EXTENSION</t>
        </is>
      </c>
      <c r="W324" t="inlineStr">
        <is>
          <t>copied from Human_Data_Entry's EDGAR-anchored correction (same event, price fact independent of reading arm); patched 2026-08-27. Original: recorded window spanned two sessions, closed to one</t>
        </is>
      </c>
      <c r="X324" t="inlineStr">
        <is>
          <t>CL</t>
        </is>
      </c>
      <c r="Y324" t="inlineStr">
        <is>
          <t>2026-01-29</t>
        </is>
      </c>
      <c r="Z324" t="n">
        <v>84.2306</v>
      </c>
      <c r="AA324" t="inlineStr">
        <is>
          <t>2026-01-30</t>
        </is>
      </c>
      <c r="AB324" t="n">
        <v>87.6497</v>
      </c>
      <c r="AC324" t="n">
        <v>0.04059116407398446</v>
      </c>
      <c r="AD324" t="inlineStr">
        <is>
          <t>UP</t>
        </is>
      </c>
      <c r="AG324" s="152">
        <f>IF($A324="","",IFERROR(INDEX(Company_List!$G$3:$G$207,MATCH($A324,Company_List!$A$3:$A$207,0)),"unassigned"))</f>
        <v/>
      </c>
      <c r="AK324" s="152">
        <f>IF($A324="","",IF(COUNTIFS(Human_Data_Entry!$A$3:$A$525,$A324)&gt;0,"YES","NO"))</f>
        <v/>
      </c>
      <c r="AL324" s="152">
        <f>IF($A324="","",IF(AND($C324&amp;"-"&amp;$D324&gt;=Settings!$B$19,$C324&amp;"-"&amp;$D324&lt;=Settings!$B$20),"IN","OUT"))</f>
        <v/>
      </c>
      <c r="AM324" s="152">
        <f>IF(AND(OR($H324="BUY",$H324="SELL"),ISNUMBER($T324)),$T324,"")</f>
        <v/>
      </c>
      <c r="AN324" s="152">
        <f>IF(AND(OR($H324="BUY",$H324="SELL"),ISNUMBER($AF324)),$AF324,"")</f>
        <v/>
      </c>
      <c r="AO324" s="152">
        <f>IF(ISNUMBER($AM324),ABS(IF(ISNUMBER($G324),$G324,0)-Settings!$B$25),"")</f>
        <v/>
      </c>
      <c r="AP324" s="152">
        <f>IF(ISNUMBER($AO324),$AO324*$AM324,"")</f>
        <v/>
      </c>
      <c r="AQ324" s="152">
        <f>IF(ISNUMBER($AN324),ABS(IF(ISNUMBER($G324),$G324,0)-Settings!$B$25),"")</f>
        <v/>
      </c>
      <c r="AR324" s="152">
        <f>IF(ISNUMBER($AQ324),$AQ324*$AN324,"")</f>
        <v/>
      </c>
      <c r="AS324" s="152">
        <f>IF($A324="","",IFERROR(INDEX(Company_List!$H$3:$H$207,MATCH($A324,Company_List!$A$3:$A$207,0)),"unassigned"))</f>
        <v/>
      </c>
    </row>
    <row r="325">
      <c r="A325" s="191" t="inlineStr">
        <is>
          <t>ExxonMobil</t>
        </is>
      </c>
      <c r="B325" s="188" t="inlineStr">
        <is>
          <t>XOM</t>
        </is>
      </c>
      <c r="C325" s="176" t="n">
        <v>2025</v>
      </c>
      <c r="D325" s="177" t="inlineStr">
        <is>
          <t>Q4</t>
        </is>
      </c>
      <c r="E325" s="178" t="inlineStr">
        <is>
          <t>LLM (DeepSeek)</t>
        </is>
      </c>
      <c r="F325" s="177" t="inlineStr">
        <is>
          <t>LLM</t>
        </is>
      </c>
      <c r="G325" s="196" t="n">
        <v>0.25</v>
      </c>
      <c r="H325" s="177" t="inlineStr">
        <is>
          <t>BUY</t>
        </is>
      </c>
      <c r="J325" s="182" t="n">
        <v>46052</v>
      </c>
      <c r="K325" s="182" t="n">
        <v>46051</v>
      </c>
      <c r="L325" s="183" t="n">
        <v>140.51</v>
      </c>
      <c r="M325" s="182" t="n">
        <v>46052</v>
      </c>
      <c r="N325" s="183" t="n">
        <v>138.74</v>
      </c>
      <c r="O325" s="180" t="n">
        <v>0.010627</v>
      </c>
      <c r="P325" s="197" t="n">
        <v>-0.0126</v>
      </c>
      <c r="V325" s="152" t="inlineStr">
        <is>
          <t>EXTENSION</t>
        </is>
      </c>
      <c r="W325" t="inlineStr">
        <is>
          <t>copied from Human_Data_Entry's EDGAR-anchored correction (same event, price fact independent of reading arm); patched 2026-08-27. Original: earnings calendar, seconded by the issuer's habit</t>
        </is>
      </c>
      <c r="X325" t="inlineStr">
        <is>
          <t>XOM</t>
        </is>
      </c>
      <c r="Y325" t="inlineStr">
        <is>
          <t>2026-01-29</t>
        </is>
      </c>
      <c r="Z325" t="n">
        <v>138.6386</v>
      </c>
      <c r="AA325" t="inlineStr">
        <is>
          <t>2026-01-30</t>
        </is>
      </c>
      <c r="AB325" t="n">
        <v>136.8922</v>
      </c>
      <c r="AC325" t="n">
        <v>-0.01259690969588901</v>
      </c>
      <c r="AD325" t="inlineStr">
        <is>
          <t>FLAT</t>
        </is>
      </c>
      <c r="AG325" s="152">
        <f>IF($A325="","",IFERROR(INDEX(Company_List!$G$3:$G$207,MATCH($A325,Company_List!$A$3:$A$207,0)),"unassigned"))</f>
        <v/>
      </c>
      <c r="AK325" s="152">
        <f>IF($A325="","",IF(COUNTIFS(Human_Data_Entry!$A$3:$A$525,$A325)&gt;0,"YES","NO"))</f>
        <v/>
      </c>
      <c r="AL325" s="152">
        <f>IF($A325="","",IF(AND($C325&amp;"-"&amp;$D325&gt;=Settings!$B$19,$C325&amp;"-"&amp;$D325&lt;=Settings!$B$20),"IN","OUT"))</f>
        <v/>
      </c>
      <c r="AM325" s="152">
        <f>IF(AND(OR($H325="BUY",$H325="SELL"),ISNUMBER($T325)),$T325,"")</f>
        <v/>
      </c>
      <c r="AN325" s="152">
        <f>IF(AND(OR($H325="BUY",$H325="SELL"),ISNUMBER($AF325)),$AF325,"")</f>
        <v/>
      </c>
      <c r="AO325" s="152">
        <f>IF(ISNUMBER($AM325),ABS(IF(ISNUMBER($G325),$G325,0)-Settings!$B$25),"")</f>
        <v/>
      </c>
      <c r="AP325" s="152">
        <f>IF(ISNUMBER($AO325),$AO325*$AM325,"")</f>
        <v/>
      </c>
      <c r="AQ325" s="152">
        <f>IF(ISNUMBER($AN325),ABS(IF(ISNUMBER($G325),$G325,0)-Settings!$B$25),"")</f>
        <v/>
      </c>
      <c r="AR325" s="152">
        <f>IF(ISNUMBER($AQ325),$AQ325*$AN325,"")</f>
        <v/>
      </c>
      <c r="AS325" s="152">
        <f>IF($A325="","",IFERROR(INDEX(Company_List!$H$3:$H$207,MATCH($A325,Company_List!$A$3:$A$207,0)),"unassigned"))</f>
        <v/>
      </c>
    </row>
    <row r="326">
      <c r="A326" s="191" t="inlineStr">
        <is>
          <t>Hermès</t>
        </is>
      </c>
      <c r="B326" s="188" t="inlineStr">
        <is>
          <t>RMSP.XC</t>
        </is>
      </c>
      <c r="C326" s="176" t="n">
        <v>2025</v>
      </c>
      <c r="D326" s="177" t="inlineStr">
        <is>
          <t>Q4</t>
        </is>
      </c>
      <c r="E326" s="178" t="inlineStr">
        <is>
          <t>LLM (DeepSeek)</t>
        </is>
      </c>
      <c r="F326" s="177" t="inlineStr">
        <is>
          <t>LLM</t>
        </is>
      </c>
      <c r="G326" s="196" t="n">
        <v>0.13</v>
      </c>
      <c r="H326" s="177" t="inlineStr">
        <is>
          <t>HOLD</t>
        </is>
      </c>
      <c r="J326" s="182" t="n">
        <v>46054</v>
      </c>
      <c r="K326" s="182" t="n">
        <v>46041</v>
      </c>
      <c r="L326" s="183" t="n">
        <v>2201.9456</v>
      </c>
      <c r="M326" s="182" t="n">
        <v>46042</v>
      </c>
      <c r="N326" s="183" t="n">
        <v>2070.2646</v>
      </c>
      <c r="O326" s="180" t="n">
        <v>0.008666999999999999</v>
      </c>
      <c r="P326" s="197" t="n">
        <v>-0.05980211318572087</v>
      </c>
      <c r="Q326" s="177" t="inlineStr">
        <is>
          <t>DOWN</t>
        </is>
      </c>
      <c r="R326" s="177" t="inlineStr">
        <is>
          <t>NO</t>
        </is>
      </c>
      <c r="V326" s="152" t="inlineStr">
        <is>
          <t>EXTENSION</t>
        </is>
      </c>
      <c r="W326" t="inlineStr">
        <is>
          <t>copied from Human_Data_Entry's EDGAR-anchored correction (same event, price fact independent of reading arm); patched 2026-08-27. Original: price signal, re-derived — only this window shows an abnormal move</t>
        </is>
      </c>
      <c r="X326" t="inlineStr">
        <is>
          <t>RMS.PA</t>
        </is>
      </c>
      <c r="Y326" t="inlineStr">
        <is>
          <t>2026-02-11</t>
        </is>
      </c>
      <c r="Z326" t="n">
        <v>2098.8508</v>
      </c>
      <c r="AA326" t="inlineStr">
        <is>
          <t>2026-02-12</t>
        </is>
      </c>
      <c r="AB326" t="n">
        <v>2143.402</v>
      </c>
      <c r="AC326" t="n">
        <v>0.02122647738086918</v>
      </c>
      <c r="AD326" t="inlineStr">
        <is>
          <t>UP</t>
        </is>
      </c>
      <c r="AG326" s="152">
        <f>IF($A326="","",IFERROR(INDEX(Company_List!$G$3:$G$207,MATCH($A326,Company_List!$A$3:$A$207,0)),"unassigned"))</f>
        <v/>
      </c>
      <c r="AK326" s="152">
        <f>IF($A326="","",IF(COUNTIFS(Human_Data_Entry!$A$3:$A$525,$A326)&gt;0,"YES","NO"))</f>
        <v/>
      </c>
      <c r="AL326" s="152">
        <f>IF($A326="","",IF(AND($C326&amp;"-"&amp;$D326&gt;=Settings!$B$19,$C326&amp;"-"&amp;$D326&lt;=Settings!$B$20),"IN","OUT"))</f>
        <v/>
      </c>
      <c r="AM326" s="152">
        <f>IF(AND(OR($H326="BUY",$H326="SELL"),ISNUMBER($T326)),$T326,"")</f>
        <v/>
      </c>
      <c r="AN326" s="152">
        <f>IF(AND(OR($H326="BUY",$H326="SELL"),ISNUMBER($AF326)),$AF326,"")</f>
        <v/>
      </c>
      <c r="AO326" s="152">
        <f>IF(ISNUMBER($AM326),ABS(IF(ISNUMBER($G326),$G326,0)-Settings!$B$25),"")</f>
        <v/>
      </c>
      <c r="AP326" s="152">
        <f>IF(ISNUMBER($AO326),$AO326*$AM326,"")</f>
        <v/>
      </c>
      <c r="AQ326" s="152">
        <f>IF(ISNUMBER($AN326),ABS(IF(ISNUMBER($G326),$G326,0)-Settings!$B$25),"")</f>
        <v/>
      </c>
      <c r="AR326" s="152">
        <f>IF(ISNUMBER($AQ326),$AQ326*$AN326,"")</f>
        <v/>
      </c>
      <c r="AS326" s="152">
        <f>IF($A326="","",IFERROR(INDEX(Company_List!$H$3:$H$207,MATCH($A326,Company_List!$A$3:$A$207,0)),"unassigned"))</f>
        <v/>
      </c>
    </row>
    <row r="327">
      <c r="A327" s="191" t="inlineStr">
        <is>
          <t>Nestlé</t>
        </is>
      </c>
      <c r="B327" s="188" t="inlineStr">
        <is>
          <t>NSRGY</t>
        </is>
      </c>
      <c r="C327" s="176" t="n">
        <v>2026</v>
      </c>
      <c r="D327" s="177" t="inlineStr">
        <is>
          <t>Q1</t>
        </is>
      </c>
      <c r="E327" s="178" t="inlineStr">
        <is>
          <t>LLM (DeepSeek)</t>
        </is>
      </c>
      <c r="F327" s="177" t="inlineStr">
        <is>
          <t>LLM</t>
        </is>
      </c>
      <c r="G327" s="196" t="n">
        <v>0.17</v>
      </c>
      <c r="H327" s="177" t="inlineStr">
        <is>
          <t>HOLD</t>
        </is>
      </c>
      <c r="J327" s="182" t="n">
        <v>46054</v>
      </c>
      <c r="K327" s="182" t="n">
        <v>46052</v>
      </c>
      <c r="L327" s="183" t="n">
        <v>95.06</v>
      </c>
      <c r="M327" s="182" t="n">
        <v>46055</v>
      </c>
      <c r="N327" s="183" t="n">
        <v>97.38</v>
      </c>
      <c r="O327" s="180" t="n">
        <v>0.007592</v>
      </c>
      <c r="P327" s="197" t="n">
        <v>0.0244</v>
      </c>
      <c r="V327" s="152" t="inlineStr">
        <is>
          <t>EXTENSION</t>
        </is>
      </c>
      <c r="W327" t="inlineStr">
        <is>
          <t>copied from Human_Data_Entry's EDGAR-anchored correction (same event, price fact independent of reading arm); patched 2026-08-27. Original: release date + stated time</t>
        </is>
      </c>
      <c r="X327" t="inlineStr">
        <is>
          <t>NESN.SW</t>
        </is>
      </c>
      <c r="Y327" t="inlineStr">
        <is>
          <t>2026-04-22</t>
        </is>
      </c>
      <c r="Z327" t="n">
        <v>75.54000000000001</v>
      </c>
      <c r="AA327" t="inlineStr">
        <is>
          <t>2026-04-23</t>
        </is>
      </c>
      <c r="AB327" t="n">
        <v>79.55</v>
      </c>
      <c r="AC327" t="n">
        <v>0.05308448433830441</v>
      </c>
      <c r="AD327" t="inlineStr">
        <is>
          <t>UP</t>
        </is>
      </c>
      <c r="AG327" s="152">
        <f>IF($A327="","",IFERROR(INDEX(Company_List!$G$3:$G$207,MATCH($A327,Company_List!$A$3:$A$207,0)),"unassigned"))</f>
        <v/>
      </c>
      <c r="AK327" s="152">
        <f>IF($A327="","",IF(COUNTIFS(Human_Data_Entry!$A$3:$A$525,$A327)&gt;0,"YES","NO"))</f>
        <v/>
      </c>
      <c r="AL327" s="152">
        <f>IF($A327="","",IF(AND($C327&amp;"-"&amp;$D327&gt;=Settings!$B$19,$C327&amp;"-"&amp;$D327&lt;=Settings!$B$20),"IN","OUT"))</f>
        <v/>
      </c>
      <c r="AM327" s="152">
        <f>IF(AND(OR($H327="BUY",$H327="SELL"),ISNUMBER($T327)),$T327,"")</f>
        <v/>
      </c>
      <c r="AN327" s="152">
        <f>IF(AND(OR($H327="BUY",$H327="SELL"),ISNUMBER($AF327)),$AF327,"")</f>
        <v/>
      </c>
      <c r="AO327" s="152">
        <f>IF(ISNUMBER($AM327),ABS(IF(ISNUMBER($G327),$G327,0)-Settings!$B$25),"")</f>
        <v/>
      </c>
      <c r="AP327" s="152">
        <f>IF(ISNUMBER($AO327),$AO327*$AM327,"")</f>
        <v/>
      </c>
      <c r="AQ327" s="152">
        <f>IF(ISNUMBER($AN327),ABS(IF(ISNUMBER($G327),$G327,0)-Settings!$B$25),"")</f>
        <v/>
      </c>
      <c r="AR327" s="152">
        <f>IF(ISNUMBER($AQ327),$AQ327*$AN327,"")</f>
        <v/>
      </c>
      <c r="AS327" s="152">
        <f>IF($A327="","",IFERROR(INDEX(Company_List!$H$3:$H$207,MATCH($A327,Company_List!$A$3:$A$207,0)),"unassigned"))</f>
        <v/>
      </c>
    </row>
    <row r="328">
      <c r="A328" s="191" t="inlineStr">
        <is>
          <t>Shell</t>
        </is>
      </c>
      <c r="B328" s="188" t="inlineStr">
        <is>
          <t>SHEL</t>
        </is>
      </c>
      <c r="C328" s="176" t="n">
        <v>2025</v>
      </c>
      <c r="D328" s="177" t="inlineStr">
        <is>
          <t>Q4</t>
        </is>
      </c>
      <c r="E328" s="178" t="inlineStr">
        <is>
          <t>LLM (DeepSeek)</t>
        </is>
      </c>
      <c r="F328" s="177" t="inlineStr">
        <is>
          <t>LLM</t>
        </is>
      </c>
      <c r="G328" s="196" t="n">
        <v>0.21</v>
      </c>
      <c r="H328" s="177" t="inlineStr">
        <is>
          <t>BUY</t>
        </is>
      </c>
      <c r="J328" s="182" t="n">
        <v>46054</v>
      </c>
      <c r="K328" s="182" t="n">
        <v>46052</v>
      </c>
      <c r="L328" s="183" t="n">
        <v>77.03</v>
      </c>
      <c r="M328" s="182" t="n">
        <v>46055</v>
      </c>
      <c r="N328" s="183" t="n">
        <v>76.04000000000001</v>
      </c>
      <c r="O328" s="180" t="n">
        <v>0.005756</v>
      </c>
      <c r="P328" s="197" t="n">
        <v>-0.0128</v>
      </c>
      <c r="V328" s="152" t="inlineStr">
        <is>
          <t>EXTENSION</t>
        </is>
      </c>
      <c r="W328" t="inlineStr">
        <is>
          <t>copied from Human_Data_Entry's EDGAR-anchored correction (same event, price fact independent of reading arm); patched 2026-08-27. Original: price signal, re-derived — only this window shows an abnormal move</t>
        </is>
      </c>
      <c r="X328" t="inlineStr">
        <is>
          <t>SHEL.L</t>
        </is>
      </c>
      <c r="Y328" t="inlineStr">
        <is>
          <t>2026-02-04</t>
        </is>
      </c>
      <c r="Z328" t="n">
        <v>2866.4702</v>
      </c>
      <c r="AA328" t="inlineStr">
        <is>
          <t>2026-02-05</t>
        </is>
      </c>
      <c r="AB328" t="n">
        <v>2837.4754</v>
      </c>
      <c r="AC328" t="n">
        <v>-0.01011517251804156</v>
      </c>
      <c r="AD328" t="inlineStr">
        <is>
          <t>FLAT</t>
        </is>
      </c>
      <c r="AG328" s="152">
        <f>IF($A328="","",IFERROR(INDEX(Company_List!$G$3:$G$207,MATCH($A328,Company_List!$A$3:$A$207,0)),"unassigned"))</f>
        <v/>
      </c>
      <c r="AK328" s="152">
        <f>IF($A328="","",IF(COUNTIFS(Human_Data_Entry!$A$3:$A$525,$A328)&gt;0,"YES","NO"))</f>
        <v/>
      </c>
      <c r="AL328" s="152">
        <f>IF($A328="","",IF(AND($C328&amp;"-"&amp;$D328&gt;=Settings!$B$19,$C328&amp;"-"&amp;$D328&lt;=Settings!$B$20),"IN","OUT"))</f>
        <v/>
      </c>
      <c r="AM328" s="152">
        <f>IF(AND(OR($H328="BUY",$H328="SELL"),ISNUMBER($T328)),$T328,"")</f>
        <v/>
      </c>
      <c r="AN328" s="152">
        <f>IF(AND(OR($H328="BUY",$H328="SELL"),ISNUMBER($AF328)),$AF328,"")</f>
        <v/>
      </c>
      <c r="AO328" s="152">
        <f>IF(ISNUMBER($AM328),ABS(IF(ISNUMBER($G328),$G328,0)-Settings!$B$25),"")</f>
        <v/>
      </c>
      <c r="AP328" s="152">
        <f>IF(ISNUMBER($AO328),$AO328*$AM328,"")</f>
        <v/>
      </c>
      <c r="AQ328" s="152">
        <f>IF(ISNUMBER($AN328),ABS(IF(ISNUMBER($G328),$G328,0)-Settings!$B$25),"")</f>
        <v/>
      </c>
      <c r="AR328" s="152">
        <f>IF(ISNUMBER($AQ328),$AQ328*$AN328,"")</f>
        <v/>
      </c>
      <c r="AS328" s="152">
        <f>IF($A328="","",IFERROR(INDEX(Company_List!$H$3:$H$207,MATCH($A328,Company_List!$A$3:$A$207,0)),"unassigned"))</f>
        <v/>
      </c>
    </row>
    <row r="329">
      <c r="A329" s="191" t="inlineStr">
        <is>
          <t>Sony</t>
        </is>
      </c>
      <c r="B329" s="188" t="inlineStr">
        <is>
          <t>SONY</t>
        </is>
      </c>
      <c r="C329" s="176" t="n">
        <v>2025</v>
      </c>
      <c r="D329" s="177" t="inlineStr">
        <is>
          <t>Q3</t>
        </is>
      </c>
      <c r="E329" s="178" t="inlineStr">
        <is>
          <t>LLM (DeepSeek)</t>
        </is>
      </c>
      <c r="F329" s="177" t="inlineStr">
        <is>
          <t>LLM</t>
        </is>
      </c>
      <c r="G329" s="196" t="n">
        <v>0.29</v>
      </c>
      <c r="H329" s="177" t="inlineStr">
        <is>
          <t>BUY</t>
        </is>
      </c>
      <c r="J329" s="182" t="n">
        <v>46054</v>
      </c>
      <c r="K329" s="182" t="n">
        <v>46052</v>
      </c>
      <c r="L329" s="183" t="n">
        <v>22.1</v>
      </c>
      <c r="M329" s="182" t="n">
        <v>46055</v>
      </c>
      <c r="N329" s="183" t="n">
        <v>22.09</v>
      </c>
      <c r="O329" s="180" t="n">
        <v>0.006054</v>
      </c>
      <c r="P329" s="197" t="n">
        <v>-0.0005</v>
      </c>
      <c r="V329" s="152" t="inlineStr">
        <is>
          <t>EXTENSION</t>
        </is>
      </c>
      <c r="W329" t="inlineStr">
        <is>
          <t>copied from Human_Data_Entry's EDGAR-anchored correction (same event, price fact independent of reading arm); patched 2026-08-27. Original: repriced on the issuer's primary listing</t>
        </is>
      </c>
      <c r="X329" t="inlineStr">
        <is>
          <t>6758.T</t>
        </is>
      </c>
      <c r="Y329" t="inlineStr">
        <is>
          <t>2026-02-05</t>
        </is>
      </c>
      <c r="Z329" t="n">
        <v>3334.9585</v>
      </c>
      <c r="AA329" t="inlineStr">
        <is>
          <t>2026-02-06</t>
        </is>
      </c>
      <c r="AB329" t="n">
        <v>3404.686</v>
      </c>
      <c r="AC329" t="n">
        <v>0.02090806719667119</v>
      </c>
      <c r="AD329" t="inlineStr">
        <is>
          <t>UP</t>
        </is>
      </c>
      <c r="AG329" s="152">
        <f>IF($A329="","",IFERROR(INDEX(Company_List!$G$3:$G$207,MATCH($A329,Company_List!$A$3:$A$207,0)),"unassigned"))</f>
        <v/>
      </c>
      <c r="AK329" s="152">
        <f>IF($A329="","",IF(COUNTIFS(Human_Data_Entry!$A$3:$A$525,$A329)&gt;0,"YES","NO"))</f>
        <v/>
      </c>
      <c r="AL329" s="152">
        <f>IF($A329="","",IF(AND($C329&amp;"-"&amp;$D329&gt;=Settings!$B$19,$C329&amp;"-"&amp;$D329&lt;=Settings!$B$20),"IN","OUT"))</f>
        <v/>
      </c>
      <c r="AM329" s="152">
        <f>IF(AND(OR($H329="BUY",$H329="SELL"),ISNUMBER($T329)),$T329,"")</f>
        <v/>
      </c>
      <c r="AN329" s="152">
        <f>IF(AND(OR($H329="BUY",$H329="SELL"),ISNUMBER($AF329)),$AF329,"")</f>
        <v/>
      </c>
      <c r="AO329" s="152">
        <f>IF(ISNUMBER($AM329),ABS(IF(ISNUMBER($G329),$G329,0)-Settings!$B$25),"")</f>
        <v/>
      </c>
      <c r="AP329" s="152">
        <f>IF(ISNUMBER($AO329),$AO329*$AM329,"")</f>
        <v/>
      </c>
      <c r="AQ329" s="152">
        <f>IF(ISNUMBER($AN329),ABS(IF(ISNUMBER($G329),$G329,0)-Settings!$B$25),"")</f>
        <v/>
      </c>
      <c r="AR329" s="152">
        <f>IF(ISNUMBER($AQ329),$AQ329*$AN329,"")</f>
        <v/>
      </c>
      <c r="AS329" s="152">
        <f>IF($A329="","",IFERROR(INDEX(Company_List!$H$3:$H$207,MATCH($A329,Company_List!$A$3:$A$207,0)),"unassigned"))</f>
        <v/>
      </c>
    </row>
    <row r="330">
      <c r="A330" s="191" t="inlineStr">
        <is>
          <t>Union Pacific</t>
        </is>
      </c>
      <c r="B330" s="188" t="inlineStr">
        <is>
          <t>UNP</t>
        </is>
      </c>
      <c r="C330" s="176" t="n">
        <v>2025</v>
      </c>
      <c r="D330" s="177" t="inlineStr">
        <is>
          <t>Q4</t>
        </is>
      </c>
      <c r="E330" s="178" t="inlineStr">
        <is>
          <t>LLM (DeepSeek)</t>
        </is>
      </c>
      <c r="F330" s="177" t="inlineStr">
        <is>
          <t>LLM</t>
        </is>
      </c>
      <c r="G330" s="196" t="n">
        <v>-0.11</v>
      </c>
      <c r="H330" s="177" t="inlineStr">
        <is>
          <t>SELL</t>
        </is>
      </c>
      <c r="J330" s="182" t="n">
        <v>46057</v>
      </c>
      <c r="K330" s="182" t="n">
        <v>46056</v>
      </c>
      <c r="L330" s="183" t="n">
        <v>241.49</v>
      </c>
      <c r="M330" s="182" t="n">
        <v>46057</v>
      </c>
      <c r="N330" s="183" t="n">
        <v>242.54</v>
      </c>
      <c r="O330" s="180" t="n">
        <v>0.012343</v>
      </c>
      <c r="P330" s="197" t="n">
        <v>0.0044</v>
      </c>
      <c r="V330" s="152" t="inlineStr">
        <is>
          <t>EXTENSION</t>
        </is>
      </c>
      <c r="W330" t="inlineStr">
        <is>
          <t>copied from Human_Data_Entry's EDGAR-anchored correction (same event, price fact independent of reading arm); patched 2026-08-27. Original: price signal — only this window shows an abnormal move</t>
        </is>
      </c>
      <c r="X330" t="inlineStr">
        <is>
          <t>UNP</t>
        </is>
      </c>
      <c r="Y330" t="inlineStr">
        <is>
          <t>2026-01-26</t>
        </is>
      </c>
      <c r="Z330" t="n">
        <v>228.5025</v>
      </c>
      <c r="AA330" t="inlineStr">
        <is>
          <t>2026-01-27</t>
        </is>
      </c>
      <c r="AB330" t="n">
        <v>232.57</v>
      </c>
      <c r="AC330" t="n">
        <v>0.01780068482555459</v>
      </c>
      <c r="AD330" t="inlineStr">
        <is>
          <t>FLAT</t>
        </is>
      </c>
      <c r="AG330" s="152">
        <f>IF($A330="","",IFERROR(INDEX(Company_List!$G$3:$G$207,MATCH($A330,Company_List!$A$3:$A$207,0)),"unassigned"))</f>
        <v/>
      </c>
      <c r="AK330" s="152">
        <f>IF($A330="","",IF(COUNTIFS(Human_Data_Entry!$A$3:$A$525,$A330)&gt;0,"YES","NO"))</f>
        <v/>
      </c>
      <c r="AL330" s="152">
        <f>IF($A330="","",IF(AND($C330&amp;"-"&amp;$D330&gt;=Settings!$B$19,$C330&amp;"-"&amp;$D330&lt;=Settings!$B$20),"IN","OUT"))</f>
        <v/>
      </c>
      <c r="AM330" s="152">
        <f>IF(AND(OR($H330="BUY",$H330="SELL"),ISNUMBER($T330)),$T330,"")</f>
        <v/>
      </c>
      <c r="AN330" s="152">
        <f>IF(AND(OR($H330="BUY",$H330="SELL"),ISNUMBER($AF330)),$AF330,"")</f>
        <v/>
      </c>
      <c r="AO330" s="152">
        <f>IF(ISNUMBER($AM330),ABS(IF(ISNUMBER($G330),$G330,0)-Settings!$B$25),"")</f>
        <v/>
      </c>
      <c r="AP330" s="152">
        <f>IF(ISNUMBER($AO330),$AO330*$AM330,"")</f>
        <v/>
      </c>
      <c r="AQ330" s="152">
        <f>IF(ISNUMBER($AN330),ABS(IF(ISNUMBER($G330),$G330,0)-Settings!$B$25),"")</f>
        <v/>
      </c>
      <c r="AR330" s="152">
        <f>IF(ISNUMBER($AQ330),$AQ330*$AN330,"")</f>
        <v/>
      </c>
      <c r="AS330" s="152">
        <f>IF($A330="","",IFERROR(INDEX(Company_List!$H$3:$H$207,MATCH($A330,Company_List!$A$3:$A$207,0)),"unassigned"))</f>
        <v/>
      </c>
    </row>
    <row r="331">
      <c r="A331" s="191" t="inlineStr">
        <is>
          <t>Datadog</t>
        </is>
      </c>
      <c r="B331" s="188" t="inlineStr">
        <is>
          <t>DDOG</t>
        </is>
      </c>
      <c r="C331" s="176" t="n">
        <v>2025</v>
      </c>
      <c r="D331" s="177" t="inlineStr">
        <is>
          <t>Q4</t>
        </is>
      </c>
      <c r="E331" s="178" t="inlineStr">
        <is>
          <t>LLM (DeepSeek)</t>
        </is>
      </c>
      <c r="F331" s="177" t="inlineStr">
        <is>
          <t>LLM</t>
        </is>
      </c>
      <c r="G331" s="196" t="n">
        <v>0.25</v>
      </c>
      <c r="H331" s="177" t="inlineStr">
        <is>
          <t>BUY</t>
        </is>
      </c>
      <c r="J331" s="182" t="n">
        <v>46063</v>
      </c>
      <c r="K331" s="182" t="n">
        <v>46062</v>
      </c>
      <c r="L331" s="183" t="n">
        <v>114.01</v>
      </c>
      <c r="M331" s="182" t="n">
        <v>46063</v>
      </c>
      <c r="N331" s="183" t="n">
        <v>124.18</v>
      </c>
      <c r="O331" s="180" t="n">
        <v>0.009351999999999999</v>
      </c>
      <c r="P331" s="197" t="n">
        <v>0.0892</v>
      </c>
      <c r="V331" s="152" t="inlineStr">
        <is>
          <t>EXTENSION</t>
        </is>
      </c>
      <c r="W331" t="inlineStr">
        <is>
          <t>copied from Human_Data_Entry's EDGAR-anchored correction (same event, price fact independent of reading arm); patched 2026-08-27. Original: recorded window spanned two sessions, closed to one</t>
        </is>
      </c>
      <c r="X331" t="inlineStr">
        <is>
          <t>DDOG</t>
        </is>
      </c>
      <c r="Y331" t="inlineStr">
        <is>
          <t>2026-02-09</t>
        </is>
      </c>
      <c r="Z331" t="n">
        <v>114.01</v>
      </c>
      <c r="AA331" t="inlineStr">
        <is>
          <t>2026-02-10</t>
        </is>
      </c>
      <c r="AB331" t="n">
        <v>124.175</v>
      </c>
      <c r="AC331" t="n">
        <v>0.08915885292239538</v>
      </c>
      <c r="AD331" t="inlineStr">
        <is>
          <t>UP</t>
        </is>
      </c>
      <c r="AG331" s="152">
        <f>IF($A331="","",IFERROR(INDEX(Company_List!$G$3:$G$207,MATCH($A331,Company_List!$A$3:$A$207,0)),"unassigned"))</f>
        <v/>
      </c>
      <c r="AK331" s="152">
        <f>IF($A331="","",IF(COUNTIFS(Human_Data_Entry!$A$3:$A$525,$A331)&gt;0,"YES","NO"))</f>
        <v/>
      </c>
      <c r="AL331" s="152">
        <f>IF($A331="","",IF(AND($C331&amp;"-"&amp;$D331&gt;=Settings!$B$19,$C331&amp;"-"&amp;$D331&lt;=Settings!$B$20),"IN","OUT"))</f>
        <v/>
      </c>
      <c r="AM331" s="152">
        <f>IF(AND(OR($H331="BUY",$H331="SELL"),ISNUMBER($T331)),$T331,"")</f>
        <v/>
      </c>
      <c r="AN331" s="152">
        <f>IF(AND(OR($H331="BUY",$H331="SELL"),ISNUMBER($AF331)),$AF331,"")</f>
        <v/>
      </c>
      <c r="AO331" s="152">
        <f>IF(ISNUMBER($AM331),ABS(IF(ISNUMBER($G331),$G331,0)-Settings!$B$25),"")</f>
        <v/>
      </c>
      <c r="AP331" s="152">
        <f>IF(ISNUMBER($AO331),$AO331*$AM331,"")</f>
        <v/>
      </c>
      <c r="AQ331" s="152">
        <f>IF(ISNUMBER($AN331),ABS(IF(ISNUMBER($G331),$G331,0)-Settings!$B$25),"")</f>
        <v/>
      </c>
      <c r="AR331" s="152">
        <f>IF(ISNUMBER($AQ331),$AQ331*$AN331,"")</f>
        <v/>
      </c>
      <c r="AS331" s="152">
        <f>IF($A331="","",IFERROR(INDEX(Company_List!$H$3:$H$207,MATCH($A331,Company_List!$A$3:$A$207,0)),"unassigned"))</f>
        <v/>
      </c>
    </row>
    <row r="332">
      <c r="A332" s="191" t="inlineStr">
        <is>
          <t>Duke Energy</t>
        </is>
      </c>
      <c r="B332" s="188" t="inlineStr">
        <is>
          <t>DUK</t>
        </is>
      </c>
      <c r="C332" s="176" t="n">
        <v>2025</v>
      </c>
      <c r="D332" s="177" t="inlineStr">
        <is>
          <t>Q4</t>
        </is>
      </c>
      <c r="E332" s="178" t="inlineStr">
        <is>
          <t>LLM (DeepSeek)</t>
        </is>
      </c>
      <c r="F332" s="177" t="inlineStr">
        <is>
          <t>LLM</t>
        </is>
      </c>
      <c r="G332" s="196" t="n">
        <v>0.49</v>
      </c>
      <c r="H332" s="177" t="inlineStr">
        <is>
          <t>BUY</t>
        </is>
      </c>
      <c r="J332" s="182" t="n">
        <v>46063</v>
      </c>
      <c r="K332" s="182" t="n">
        <v>46062</v>
      </c>
      <c r="L332" s="183" t="n">
        <v>121.72</v>
      </c>
      <c r="M332" s="182" t="n">
        <v>46063</v>
      </c>
      <c r="N332" s="183" t="n">
        <v>122.2</v>
      </c>
      <c r="O332" s="180" t="n">
        <v>0.012388</v>
      </c>
      <c r="P332" s="197" t="n">
        <v>0.0039</v>
      </c>
      <c r="V332" s="152" t="inlineStr">
        <is>
          <t>EXTENSION</t>
        </is>
      </c>
      <c r="W332" t="inlineStr">
        <is>
          <t>copied from Human_Data_Entry's EDGAR-anchored correction (same event, price fact independent of reading arm); patched 2026-08-27. Original: earnings calendar, seconded by the issuer's habit</t>
        </is>
      </c>
      <c r="X332" t="inlineStr">
        <is>
          <t>DUK</t>
        </is>
      </c>
      <c r="Y332" t="inlineStr">
        <is>
          <t>2026-02-09</t>
        </is>
      </c>
      <c r="Z332" t="n">
        <v>119.6581</v>
      </c>
      <c r="AA332" t="inlineStr">
        <is>
          <t>2026-02-10</t>
        </is>
      </c>
      <c r="AB332" t="n">
        <v>120.1299</v>
      </c>
      <c r="AC332" t="n">
        <v>0.003943449116622979</v>
      </c>
      <c r="AD332" t="inlineStr">
        <is>
          <t>FLAT</t>
        </is>
      </c>
      <c r="AG332" s="152">
        <f>IF($A332="","",IFERROR(INDEX(Company_List!$G$3:$G$207,MATCH($A332,Company_List!$A$3:$A$207,0)),"unassigned"))</f>
        <v/>
      </c>
      <c r="AK332" s="152">
        <f>IF($A332="","",IF(COUNTIFS(Human_Data_Entry!$A$3:$A$525,$A332)&gt;0,"YES","NO"))</f>
        <v/>
      </c>
      <c r="AL332" s="152">
        <f>IF($A332="","",IF(AND($C332&amp;"-"&amp;$D332&gt;=Settings!$B$19,$C332&amp;"-"&amp;$D332&lt;=Settings!$B$20),"IN","OUT"))</f>
        <v/>
      </c>
      <c r="AM332" s="152">
        <f>IF(AND(OR($H332="BUY",$H332="SELL"),ISNUMBER($T332)),$T332,"")</f>
        <v/>
      </c>
      <c r="AN332" s="152">
        <f>IF(AND(OR($H332="BUY",$H332="SELL"),ISNUMBER($AF332)),$AF332,"")</f>
        <v/>
      </c>
      <c r="AO332" s="152">
        <f>IF(ISNUMBER($AM332),ABS(IF(ISNUMBER($G332),$G332,0)-Settings!$B$25),"")</f>
        <v/>
      </c>
      <c r="AP332" s="152">
        <f>IF(ISNUMBER($AO332),$AO332*$AM332,"")</f>
        <v/>
      </c>
      <c r="AQ332" s="152">
        <f>IF(ISNUMBER($AN332),ABS(IF(ISNUMBER($G332),$G332,0)-Settings!$B$25),"")</f>
        <v/>
      </c>
      <c r="AR332" s="152">
        <f>IF(ISNUMBER($AQ332),$AQ332*$AN332,"")</f>
        <v/>
      </c>
      <c r="AS332" s="152">
        <f>IF($A332="","",IFERROR(INDEX(Company_List!$H$3:$H$207,MATCH($A332,Company_List!$A$3:$A$207,0)),"unassigned"))</f>
        <v/>
      </c>
    </row>
    <row r="333">
      <c r="A333" s="191" t="inlineStr">
        <is>
          <t>Shopify</t>
        </is>
      </c>
      <c r="B333" s="188" t="inlineStr">
        <is>
          <t>SHOP</t>
        </is>
      </c>
      <c r="C333" s="176" t="n">
        <v>2025</v>
      </c>
      <c r="D333" s="177" t="inlineStr">
        <is>
          <t>Q4</t>
        </is>
      </c>
      <c r="E333" s="178" t="inlineStr">
        <is>
          <t>LLM (DeepSeek)</t>
        </is>
      </c>
      <c r="F333" s="177" t="inlineStr">
        <is>
          <t>LLM</t>
        </is>
      </c>
      <c r="G333" s="196" t="n">
        <v>0.29</v>
      </c>
      <c r="H333" s="177" t="inlineStr">
        <is>
          <t>BUY</t>
        </is>
      </c>
      <c r="J333" s="182" t="n">
        <v>46064</v>
      </c>
      <c r="K333" s="182" t="n">
        <v>46063</v>
      </c>
      <c r="L333" s="183" t="n">
        <v>127.24</v>
      </c>
      <c r="M333" s="182" t="n">
        <v>46064</v>
      </c>
      <c r="N333" s="183" t="n">
        <v>138.9</v>
      </c>
      <c r="O333" s="180" t="n">
        <v>0.0081</v>
      </c>
      <c r="P333" s="197" t="n">
        <v>0.0916</v>
      </c>
      <c r="V333" s="152" t="inlineStr">
        <is>
          <t>EXTENSION</t>
        </is>
      </c>
      <c r="W333" t="inlineStr">
        <is>
          <t>copied from Human_Data_Entry's EDGAR-anchored correction (same event, price fact independent of reading arm); patched 2026-08-27. Original: release date + stated time</t>
        </is>
      </c>
      <c r="X333" t="inlineStr">
        <is>
          <t>SHOP</t>
        </is>
      </c>
      <c r="Y333" t="inlineStr">
        <is>
          <t>2026-02-10</t>
        </is>
      </c>
      <c r="Z333" t="n">
        <v>127.24</v>
      </c>
      <c r="AA333" t="inlineStr">
        <is>
          <t>2026-02-11</t>
        </is>
      </c>
      <c r="AB333" t="n">
        <v>138.9</v>
      </c>
      <c r="AC333" t="n">
        <v>0.0916378197365265</v>
      </c>
      <c r="AD333" t="inlineStr">
        <is>
          <t>UP</t>
        </is>
      </c>
      <c r="AG333" s="152">
        <f>IF($A333="","",IFERROR(INDEX(Company_List!$G$3:$G$207,MATCH($A333,Company_List!$A$3:$A$207,0)),"unassigned"))</f>
        <v/>
      </c>
      <c r="AK333" s="152">
        <f>IF($A333="","",IF(COUNTIFS(Human_Data_Entry!$A$3:$A$525,$A333)&gt;0,"YES","NO"))</f>
        <v/>
      </c>
      <c r="AL333" s="152">
        <f>IF($A333="","",IF(AND($C333&amp;"-"&amp;$D333&gt;=Settings!$B$19,$C333&amp;"-"&amp;$D333&lt;=Settings!$B$20),"IN","OUT"))</f>
        <v/>
      </c>
      <c r="AM333" s="152">
        <f>IF(AND(OR($H333="BUY",$H333="SELL"),ISNUMBER($T333)),$T333,"")</f>
        <v/>
      </c>
      <c r="AN333" s="152">
        <f>IF(AND(OR($H333="BUY",$H333="SELL"),ISNUMBER($AF333)),$AF333,"")</f>
        <v/>
      </c>
      <c r="AO333" s="152">
        <f>IF(ISNUMBER($AM333),ABS(IF(ISNUMBER($G333),$G333,0)-Settings!$B$25),"")</f>
        <v/>
      </c>
      <c r="AP333" s="152">
        <f>IF(ISNUMBER($AO333),$AO333*$AM333,"")</f>
        <v/>
      </c>
      <c r="AQ333" s="152">
        <f>IF(ISNUMBER($AN333),ABS(IF(ISNUMBER($G333),$G333,0)-Settings!$B$25),"")</f>
        <v/>
      </c>
      <c r="AR333" s="152">
        <f>IF(ISNUMBER($AQ333),$AQ333*$AN333,"")</f>
        <v/>
      </c>
      <c r="AS333" s="152">
        <f>IF($A333="","",IFERROR(INDEX(Company_List!$H$3:$H$207,MATCH($A333,Company_List!$A$3:$A$207,0)),"unassigned"))</f>
        <v/>
      </c>
    </row>
    <row r="334">
      <c r="A334" s="191" t="inlineStr">
        <is>
          <t>Home Depot</t>
        </is>
      </c>
      <c r="B334" s="188" t="inlineStr">
        <is>
          <t>HD</t>
        </is>
      </c>
      <c r="C334" s="176" t="n">
        <v>2025</v>
      </c>
      <c r="D334" s="177" t="inlineStr">
        <is>
          <t>Q4</t>
        </is>
      </c>
      <c r="E334" s="178" t="inlineStr">
        <is>
          <t>LLM (DeepSeek)</t>
        </is>
      </c>
      <c r="F334" s="177" t="inlineStr">
        <is>
          <t>LLM</t>
        </is>
      </c>
      <c r="G334" s="196" t="n">
        <v>-0.1</v>
      </c>
      <c r="H334" s="177" t="inlineStr">
        <is>
          <t>SELL</t>
        </is>
      </c>
      <c r="J334" s="182" t="n">
        <v>46077</v>
      </c>
      <c r="K334" s="182" t="n">
        <v>46076</v>
      </c>
      <c r="L334" s="183" t="n">
        <v>376.99</v>
      </c>
      <c r="M334" s="182" t="n">
        <v>46077</v>
      </c>
      <c r="N334" s="183" t="n">
        <v>389.11</v>
      </c>
      <c r="O334" s="180" t="n">
        <v>0.008689000000000001</v>
      </c>
      <c r="P334" s="197" t="n">
        <v>0.0321</v>
      </c>
      <c r="V334" s="152" t="inlineStr">
        <is>
          <t>EXTENSION</t>
        </is>
      </c>
      <c r="W334" t="inlineStr">
        <is>
          <t>copied from Human_Data_Entry's EDGAR-anchored correction (same event, price fact independent of reading arm); patched 2026-08-27. Original: price signal — both moved; this one dominates</t>
        </is>
      </c>
      <c r="X334" t="inlineStr">
        <is>
          <t>HD</t>
        </is>
      </c>
      <c r="Y334" t="inlineStr">
        <is>
          <t>2026-02-23</t>
        </is>
      </c>
      <c r="Z334" t="n">
        <v>371.6984</v>
      </c>
      <c r="AA334" t="inlineStr">
        <is>
          <t>2026-02-24</t>
        </is>
      </c>
      <c r="AB334" t="n">
        <v>383.6482</v>
      </c>
      <c r="AC334" t="n">
        <v>0.03214938364866524</v>
      </c>
      <c r="AD334" t="inlineStr">
        <is>
          <t>UP</t>
        </is>
      </c>
      <c r="AG334" s="152">
        <f>IF($A334="","",IFERROR(INDEX(Company_List!$G$3:$G$207,MATCH($A334,Company_List!$A$3:$A$207,0)),"unassigned"))</f>
        <v/>
      </c>
      <c r="AK334" s="152">
        <f>IF($A334="","",IF(COUNTIFS(Human_Data_Entry!$A$3:$A$525,$A334)&gt;0,"YES","NO"))</f>
        <v/>
      </c>
      <c r="AL334" s="152">
        <f>IF($A334="","",IF(AND($C334&amp;"-"&amp;$D334&gt;=Settings!$B$19,$C334&amp;"-"&amp;$D334&lt;=Settings!$B$20),"IN","OUT"))</f>
        <v/>
      </c>
      <c r="AM334" s="152">
        <f>IF(AND(OR($H334="BUY",$H334="SELL"),ISNUMBER($T334)),$T334,"")</f>
        <v/>
      </c>
      <c r="AN334" s="152">
        <f>IF(AND(OR($H334="BUY",$H334="SELL"),ISNUMBER($AF334)),$AF334,"")</f>
        <v/>
      </c>
      <c r="AO334" s="152">
        <f>IF(ISNUMBER($AM334),ABS(IF(ISNUMBER($G334),$G334,0)-Settings!$B$25),"")</f>
        <v/>
      </c>
      <c r="AP334" s="152">
        <f>IF(ISNUMBER($AO334),$AO334*$AM334,"")</f>
        <v/>
      </c>
      <c r="AQ334" s="152">
        <f>IF(ISNUMBER($AN334),ABS(IF(ISNUMBER($G334),$G334,0)-Settings!$B$25),"")</f>
        <v/>
      </c>
      <c r="AR334" s="152">
        <f>IF(ISNUMBER($AQ334),$AQ334*$AN334,"")</f>
        <v/>
      </c>
      <c r="AS334" s="152">
        <f>IF($A334="","",IFERROR(INDEX(Company_List!$H$3:$H$207,MATCH($A334,Company_List!$A$3:$A$207,0)),"unassigned"))</f>
        <v/>
      </c>
    </row>
    <row r="335">
      <c r="A335" s="191" t="inlineStr">
        <is>
          <t>Costco</t>
        </is>
      </c>
      <c r="B335" s="188" t="inlineStr">
        <is>
          <t>COST</t>
        </is>
      </c>
      <c r="C335" s="176" t="n">
        <v>2026</v>
      </c>
      <c r="D335" s="177" t="inlineStr">
        <is>
          <t>Q2</t>
        </is>
      </c>
      <c r="E335" s="178" t="inlineStr">
        <is>
          <t>LLM (DeepSeek)</t>
        </is>
      </c>
      <c r="F335" s="177" t="inlineStr">
        <is>
          <t>LLM</t>
        </is>
      </c>
      <c r="G335" s="196" t="n">
        <v>0.18</v>
      </c>
      <c r="H335" s="177" t="inlineStr">
        <is>
          <t>HOLD</t>
        </is>
      </c>
      <c r="J335" s="182" t="n">
        <v>46086</v>
      </c>
      <c r="K335" s="182" t="n">
        <v>46086</v>
      </c>
      <c r="L335" s="183" t="n">
        <v>982.5700000000001</v>
      </c>
      <c r="M335" s="182" t="n">
        <v>46087</v>
      </c>
      <c r="N335" s="183" t="n">
        <v>967.01</v>
      </c>
      <c r="O335" s="180" t="n">
        <v>0.008399999999999999</v>
      </c>
      <c r="P335" s="197" t="n">
        <v>-0.0158</v>
      </c>
      <c r="V335" s="152" t="inlineStr">
        <is>
          <t>EXTENSION</t>
        </is>
      </c>
      <c r="W335" t="inlineStr">
        <is>
          <t>copied from Human_Data_Entry's EDGAR-anchored correction (same event, price fact independent of reading arm); patched 2026-08-27. Original: release date + stated time in the document (rater worksheet)</t>
        </is>
      </c>
      <c r="X335" t="inlineStr">
        <is>
          <t>COST</t>
        </is>
      </c>
      <c r="Y335" t="inlineStr">
        <is>
          <t>2026-03-05</t>
        </is>
      </c>
      <c r="Z335" t="n">
        <v>979.5889</v>
      </c>
      <c r="AA335" t="inlineStr">
        <is>
          <t>2026-03-06</t>
        </is>
      </c>
      <c r="AB335" t="n">
        <v>964.0761</v>
      </c>
      <c r="AC335" t="n">
        <v>-0.01583608167794512</v>
      </c>
      <c r="AD335" t="inlineStr">
        <is>
          <t>FLAT</t>
        </is>
      </c>
      <c r="AG335" s="152">
        <f>IF($A335="","",IFERROR(INDEX(Company_List!$G$3:$G$207,MATCH($A335,Company_List!$A$3:$A$207,0)),"unassigned"))</f>
        <v/>
      </c>
      <c r="AK335" s="152">
        <f>IF($A335="","",IF(COUNTIFS(Human_Data_Entry!$A$3:$A$525,$A335)&gt;0,"YES","NO"))</f>
        <v/>
      </c>
      <c r="AL335" s="152">
        <f>IF($A335="","",IF(AND($C335&amp;"-"&amp;$D335&gt;=Settings!$B$19,$C335&amp;"-"&amp;$D335&lt;=Settings!$B$20),"IN","OUT"))</f>
        <v/>
      </c>
      <c r="AM335" s="152">
        <f>IF(AND(OR($H335="BUY",$H335="SELL"),ISNUMBER($T335)),$T335,"")</f>
        <v/>
      </c>
      <c r="AN335" s="152">
        <f>IF(AND(OR($H335="BUY",$H335="SELL"),ISNUMBER($AF335)),$AF335,"")</f>
        <v/>
      </c>
      <c r="AO335" s="152">
        <f>IF(ISNUMBER($AM335),ABS(IF(ISNUMBER($G335),$G335,0)-Settings!$B$25),"")</f>
        <v/>
      </c>
      <c r="AP335" s="152">
        <f>IF(ISNUMBER($AO335),$AO335*$AM335,"")</f>
        <v/>
      </c>
      <c r="AQ335" s="152">
        <f>IF(ISNUMBER($AN335),ABS(IF(ISNUMBER($G335),$G335,0)-Settings!$B$25),"")</f>
        <v/>
      </c>
      <c r="AR335" s="152">
        <f>IF(ISNUMBER($AQ335),$AQ335*$AN335,"")</f>
        <v/>
      </c>
      <c r="AS335" s="152">
        <f>IF($A335="","",IFERROR(INDEX(Company_List!$H$3:$H$207,MATCH($A335,Company_List!$A$3:$A$207,0)),"unassigned"))</f>
        <v/>
      </c>
    </row>
    <row r="336">
      <c r="A336" s="191" t="inlineStr">
        <is>
          <t>Adobe</t>
        </is>
      </c>
      <c r="B336" s="188" t="inlineStr">
        <is>
          <t>ADBE</t>
        </is>
      </c>
      <c r="C336" s="176" t="n">
        <v>2026</v>
      </c>
      <c r="D336" s="177" t="inlineStr">
        <is>
          <t>Q1</t>
        </is>
      </c>
      <c r="E336" s="178" t="inlineStr">
        <is>
          <t>LLM (DeepSeek)</t>
        </is>
      </c>
      <c r="F336" s="177" t="inlineStr">
        <is>
          <t>LLM</t>
        </is>
      </c>
      <c r="G336" s="196" t="n">
        <v>0.06</v>
      </c>
      <c r="H336" s="177" t="inlineStr">
        <is>
          <t>HOLD</t>
        </is>
      </c>
      <c r="J336" s="182" t="n">
        <v>46093</v>
      </c>
      <c r="K336" s="182" t="n">
        <v>46093</v>
      </c>
      <c r="L336" s="183" t="n">
        <v>269.78</v>
      </c>
      <c r="M336" s="182" t="n">
        <v>46094</v>
      </c>
      <c r="N336" s="183" t="n">
        <v>249</v>
      </c>
      <c r="O336" s="180" t="n">
        <v>0.008128</v>
      </c>
      <c r="P336" s="197" t="n">
        <v>-0.077</v>
      </c>
      <c r="V336" s="152" t="inlineStr">
        <is>
          <t>EXTENSION</t>
        </is>
      </c>
      <c r="W336" t="inlineStr">
        <is>
          <t>copied from Human_Data_Entry's EDGAR-anchored correction (same event, price fact independent of reading arm); patched 2026-08-27. Original: price signal — only this window shows an abnormal move</t>
        </is>
      </c>
      <c r="X336" t="inlineStr">
        <is>
          <t>ADBE</t>
        </is>
      </c>
      <c r="Y336" t="inlineStr">
        <is>
          <t>2026-03-12</t>
        </is>
      </c>
      <c r="Z336" t="n">
        <v>269.78</v>
      </c>
      <c r="AA336" t="inlineStr">
        <is>
          <t>2026-03-13</t>
        </is>
      </c>
      <c r="AB336" t="n">
        <v>249</v>
      </c>
      <c r="AC336" t="n">
        <v>-0.07702572124333049</v>
      </c>
      <c r="AD336" t="inlineStr">
        <is>
          <t>DOWN</t>
        </is>
      </c>
      <c r="AG336" s="152">
        <f>IF($A336="","",IFERROR(INDEX(Company_List!$G$3:$G$207,MATCH($A336,Company_List!$A$3:$A$207,0)),"unassigned"))</f>
        <v/>
      </c>
      <c r="AK336" s="152">
        <f>IF($A336="","",IF(COUNTIFS(Human_Data_Entry!$A$3:$A$525,$A336)&gt;0,"YES","NO"))</f>
        <v/>
      </c>
      <c r="AL336" s="152">
        <f>IF($A336="","",IF(AND($C336&amp;"-"&amp;$D336&gt;=Settings!$B$19,$C336&amp;"-"&amp;$D336&lt;=Settings!$B$20),"IN","OUT"))</f>
        <v/>
      </c>
      <c r="AM336" s="152">
        <f>IF(AND(OR($H336="BUY",$H336="SELL"),ISNUMBER($T336)),$T336,"")</f>
        <v/>
      </c>
      <c r="AN336" s="152">
        <f>IF(AND(OR($H336="BUY",$H336="SELL"),ISNUMBER($AF336)),$AF336,"")</f>
        <v/>
      </c>
      <c r="AO336" s="152">
        <f>IF(ISNUMBER($AM336),ABS(IF(ISNUMBER($G336),$G336,0)-Settings!$B$25),"")</f>
        <v/>
      </c>
      <c r="AP336" s="152">
        <f>IF(ISNUMBER($AO336),$AO336*$AM336,"")</f>
        <v/>
      </c>
      <c r="AQ336" s="152">
        <f>IF(ISNUMBER($AN336),ABS(IF(ISNUMBER($G336),$G336,0)-Settings!$B$25),"")</f>
        <v/>
      </c>
      <c r="AR336" s="152">
        <f>IF(ISNUMBER($AQ336),$AQ336*$AN336,"")</f>
        <v/>
      </c>
      <c r="AS336" s="152">
        <f>IF($A336="","",IFERROR(INDEX(Company_List!$H$3:$H$207,MATCH($A336,Company_List!$A$3:$A$207,0)),"unassigned"))</f>
        <v/>
      </c>
    </row>
    <row r="337">
      <c r="A337" s="191" t="inlineStr">
        <is>
          <t>American Express</t>
        </is>
      </c>
      <c r="B337" s="188" t="inlineStr">
        <is>
          <t>AXP</t>
        </is>
      </c>
      <c r="C337" s="176" t="n">
        <v>2026</v>
      </c>
      <c r="D337" s="177" t="inlineStr">
        <is>
          <t>Q1</t>
        </is>
      </c>
      <c r="E337" s="178" t="inlineStr">
        <is>
          <t>LLM (DeepSeek)</t>
        </is>
      </c>
      <c r="F337" s="177" t="inlineStr">
        <is>
          <t>LLM</t>
        </is>
      </c>
      <c r="G337" s="196" t="n">
        <v>0.14</v>
      </c>
      <c r="H337" s="177" t="inlineStr">
        <is>
          <t>HOLD</t>
        </is>
      </c>
      <c r="J337" s="182" t="n">
        <v>46135</v>
      </c>
      <c r="K337" s="182" t="n">
        <v>46134</v>
      </c>
      <c r="L337" s="183" t="n">
        <v>332.9</v>
      </c>
      <c r="M337" s="182" t="n">
        <v>46135</v>
      </c>
      <c r="N337" s="183" t="n">
        <v>332.2</v>
      </c>
      <c r="O337" s="180" t="n">
        <v>0.0072</v>
      </c>
      <c r="P337" s="197" t="n">
        <v>-0.0021</v>
      </c>
      <c r="V337" s="152" t="inlineStr">
        <is>
          <t>EXTENSION</t>
        </is>
      </c>
      <c r="W337" t="inlineStr">
        <is>
          <t>copied from Human_Data_Entry's EDGAR-anchored correction (same event, price fact independent of reading arm); patched 2026-08-27. Original: price signal, re-derived — only this window shows an abnormal move</t>
        </is>
      </c>
      <c r="X337" t="inlineStr">
        <is>
          <t>AXP</t>
        </is>
      </c>
      <c r="Y337" t="inlineStr">
        <is>
          <t>2026-04-23</t>
        </is>
      </c>
      <c r="Z337" t="n">
        <v>317.6804</v>
      </c>
      <c r="AA337" t="inlineStr">
        <is>
          <t>2026-04-24</t>
        </is>
      </c>
      <c r="AB337" t="n">
        <v>315.646</v>
      </c>
      <c r="AC337" t="n">
        <v>-0.006403935132646094</v>
      </c>
      <c r="AD337" t="inlineStr">
        <is>
          <t>FLAT</t>
        </is>
      </c>
      <c r="AG337" s="152">
        <f>IF($A337="","",IFERROR(INDEX(Company_List!$G$3:$G$207,MATCH($A337,Company_List!$A$3:$A$207,0)),"unassigned"))</f>
        <v/>
      </c>
      <c r="AK337" s="152">
        <f>IF($A337="","",IF(COUNTIFS(Human_Data_Entry!$A$3:$A$525,$A337)&gt;0,"YES","NO"))</f>
        <v/>
      </c>
      <c r="AL337" s="152">
        <f>IF($A337="","",IF(AND($C337&amp;"-"&amp;$D337&gt;=Settings!$B$19,$C337&amp;"-"&amp;$D337&lt;=Settings!$B$20),"IN","OUT"))</f>
        <v/>
      </c>
      <c r="AM337" s="152">
        <f>IF(AND(OR($H337="BUY",$H337="SELL"),ISNUMBER($T337)),$T337,"")</f>
        <v/>
      </c>
      <c r="AN337" s="152">
        <f>IF(AND(OR($H337="BUY",$H337="SELL"),ISNUMBER($AF337)),$AF337,"")</f>
        <v/>
      </c>
      <c r="AO337" s="152">
        <f>IF(ISNUMBER($AM337),ABS(IF(ISNUMBER($G337),$G337,0)-Settings!$B$25),"")</f>
        <v/>
      </c>
      <c r="AP337" s="152">
        <f>IF(ISNUMBER($AO337),$AO337*$AM337,"")</f>
        <v/>
      </c>
      <c r="AQ337" s="152">
        <f>IF(ISNUMBER($AN337),ABS(IF(ISNUMBER($G337),$G337,0)-Settings!$B$25),"")</f>
        <v/>
      </c>
      <c r="AR337" s="152">
        <f>IF(ISNUMBER($AQ337),$AQ337*$AN337,"")</f>
        <v/>
      </c>
      <c r="AS337" s="152">
        <f>IF($A337="","",IFERROR(INDEX(Company_List!$H$3:$H$207,MATCH($A337,Company_List!$A$3:$A$207,0)),"unassigned"))</f>
        <v/>
      </c>
    </row>
    <row r="338">
      <c r="A338" s="191" t="inlineStr">
        <is>
          <t>Freeport-McMoRan</t>
        </is>
      </c>
      <c r="B338" s="188" t="inlineStr">
        <is>
          <t>FCX</t>
        </is>
      </c>
      <c r="C338" s="176" t="n">
        <v>2026</v>
      </c>
      <c r="D338" s="177" t="inlineStr">
        <is>
          <t>Q1</t>
        </is>
      </c>
      <c r="E338" s="178" t="inlineStr">
        <is>
          <t>LLM (DeepSeek)</t>
        </is>
      </c>
      <c r="F338" s="177" t="inlineStr">
        <is>
          <t>LLM</t>
        </is>
      </c>
      <c r="G338" s="196" t="n">
        <v>-0.46</v>
      </c>
      <c r="H338" s="177" t="inlineStr">
        <is>
          <t>SELL</t>
        </is>
      </c>
      <c r="J338" s="182" t="n">
        <v>46135</v>
      </c>
      <c r="K338" s="182" t="n">
        <v>46134</v>
      </c>
      <c r="L338" s="183" t="n">
        <v>70.36</v>
      </c>
      <c r="M338" s="182" t="n">
        <v>46135</v>
      </c>
      <c r="N338" s="183" t="n">
        <v>62.27</v>
      </c>
      <c r="O338" s="180" t="n">
        <v>0.012905</v>
      </c>
      <c r="P338" s="197" t="n">
        <v>-0.115</v>
      </c>
      <c r="V338" s="152" t="inlineStr">
        <is>
          <t>EXTENSION</t>
        </is>
      </c>
      <c r="W338" t="inlineStr">
        <is>
          <t>copied from Human_Data_Entry's EDGAR-anchored correction (same event, price fact independent of reading arm); patched 2026-08-27. Original: price signal — only this window shows an abnormal move</t>
        </is>
      </c>
      <c r="X338" t="inlineStr">
        <is>
          <t>FCX</t>
        </is>
      </c>
      <c r="Y338" t="inlineStr">
        <is>
          <t>2026-04-22</t>
        </is>
      </c>
      <c r="Z338" t="n">
        <v>70.1896</v>
      </c>
      <c r="AA338" t="inlineStr">
        <is>
          <t>2026-04-23</t>
        </is>
      </c>
      <c r="AB338" t="n">
        <v>62.1192</v>
      </c>
      <c r="AC338" t="n">
        <v>-0.1149800779742858</v>
      </c>
      <c r="AD338" t="inlineStr">
        <is>
          <t>DOWN</t>
        </is>
      </c>
      <c r="AG338" s="152">
        <f>IF($A338="","",IFERROR(INDEX(Company_List!$G$3:$G$207,MATCH($A338,Company_List!$A$3:$A$207,0)),"unassigned"))</f>
        <v/>
      </c>
      <c r="AK338" s="152">
        <f>IF($A338="","",IF(COUNTIFS(Human_Data_Entry!$A$3:$A$525,$A338)&gt;0,"YES","NO"))</f>
        <v/>
      </c>
      <c r="AL338" s="152">
        <f>IF($A338="","",IF(AND($C338&amp;"-"&amp;$D338&gt;=Settings!$B$19,$C338&amp;"-"&amp;$D338&lt;=Settings!$B$20),"IN","OUT"))</f>
        <v/>
      </c>
      <c r="AM338" s="152">
        <f>IF(AND(OR($H338="BUY",$H338="SELL"),ISNUMBER($T338)),$T338,"")</f>
        <v/>
      </c>
      <c r="AN338" s="152">
        <f>IF(AND(OR($H338="BUY",$H338="SELL"),ISNUMBER($AF338)),$AF338,"")</f>
        <v/>
      </c>
      <c r="AO338" s="152">
        <f>IF(ISNUMBER($AM338),ABS(IF(ISNUMBER($G338),$G338,0)-Settings!$B$25),"")</f>
        <v/>
      </c>
      <c r="AP338" s="152">
        <f>IF(ISNUMBER($AO338),$AO338*$AM338,"")</f>
        <v/>
      </c>
      <c r="AQ338" s="152">
        <f>IF(ISNUMBER($AN338),ABS(IF(ISNUMBER($G338),$G338,0)-Settings!$B$25),"")</f>
        <v/>
      </c>
      <c r="AR338" s="152">
        <f>IF(ISNUMBER($AQ338),$AQ338*$AN338,"")</f>
        <v/>
      </c>
      <c r="AS338" s="152">
        <f>IF($A338="","",IFERROR(INDEX(Company_List!$H$3:$H$207,MATCH($A338,Company_List!$A$3:$A$207,0)),"unassigned"))</f>
        <v/>
      </c>
    </row>
    <row r="339">
      <c r="A339" s="191" t="inlineStr">
        <is>
          <t>Intel</t>
        </is>
      </c>
      <c r="B339" s="188" t="inlineStr">
        <is>
          <t>INTC</t>
        </is>
      </c>
      <c r="C339" s="176" t="n">
        <v>2026</v>
      </c>
      <c r="D339" s="177" t="inlineStr">
        <is>
          <t>Q1</t>
        </is>
      </c>
      <c r="E339" s="178" t="inlineStr">
        <is>
          <t>LLM (DeepSeek)</t>
        </is>
      </c>
      <c r="F339" s="177" t="inlineStr">
        <is>
          <t>LLM</t>
        </is>
      </c>
      <c r="G339" s="196" t="n">
        <v>0.14</v>
      </c>
      <c r="H339" s="177" t="inlineStr">
        <is>
          <t>HOLD</t>
        </is>
      </c>
      <c r="J339" s="182" t="n">
        <v>46135</v>
      </c>
      <c r="K339" s="182" t="n">
        <v>46135</v>
      </c>
      <c r="L339" s="183" t="n">
        <v>66.78</v>
      </c>
      <c r="M339" s="182" t="n">
        <v>46136</v>
      </c>
      <c r="N339" s="183" t="n">
        <v>82.2</v>
      </c>
      <c r="O339" s="180" t="n">
        <v>0.005851</v>
      </c>
      <c r="P339" s="197" t="n">
        <v>0.2309</v>
      </c>
      <c r="V339" s="152" t="inlineStr">
        <is>
          <t>EXTENSION</t>
        </is>
      </c>
      <c r="W339" t="inlineStr">
        <is>
          <t>copied from Human_Data_Entry's EDGAR-anchored correction (same event, price fact independent of reading arm); patched 2026-08-27. Original: price signal, re-derived — both moved; this one dominates</t>
        </is>
      </c>
      <c r="X339" t="inlineStr">
        <is>
          <t>INTC</t>
        </is>
      </c>
      <c r="Y339" t="inlineStr">
        <is>
          <t>2026-04-23</t>
        </is>
      </c>
      <c r="Z339" t="n">
        <v>66.78</v>
      </c>
      <c r="AA339" t="inlineStr">
        <is>
          <t>2026-04-24</t>
        </is>
      </c>
      <c r="AB339" t="n">
        <v>82.2</v>
      </c>
      <c r="AC339" t="n">
        <v>0.2309074308311983</v>
      </c>
      <c r="AD339" t="inlineStr">
        <is>
          <t>UP</t>
        </is>
      </c>
      <c r="AG339" s="152">
        <f>IF($A339="","",IFERROR(INDEX(Company_List!$G$3:$G$207,MATCH($A339,Company_List!$A$3:$A$207,0)),"unassigned"))</f>
        <v/>
      </c>
      <c r="AK339" s="152">
        <f>IF($A339="","",IF(COUNTIFS(Human_Data_Entry!$A$3:$A$525,$A339)&gt;0,"YES","NO"))</f>
        <v/>
      </c>
      <c r="AL339" s="152">
        <f>IF($A339="","",IF(AND($C339&amp;"-"&amp;$D339&gt;=Settings!$B$19,$C339&amp;"-"&amp;$D339&lt;=Settings!$B$20),"IN","OUT"))</f>
        <v/>
      </c>
      <c r="AM339" s="152">
        <f>IF(AND(OR($H339="BUY",$H339="SELL"),ISNUMBER($T339)),$T339,"")</f>
        <v/>
      </c>
      <c r="AN339" s="152">
        <f>IF(AND(OR($H339="BUY",$H339="SELL"),ISNUMBER($AF339)),$AF339,"")</f>
        <v/>
      </c>
      <c r="AO339" s="152">
        <f>IF(ISNUMBER($AM339),ABS(IF(ISNUMBER($G339),$G339,0)-Settings!$B$25),"")</f>
        <v/>
      </c>
      <c r="AP339" s="152">
        <f>IF(ISNUMBER($AO339),$AO339*$AM339,"")</f>
        <v/>
      </c>
      <c r="AQ339" s="152">
        <f>IF(ISNUMBER($AN339),ABS(IF(ISNUMBER($G339),$G339,0)-Settings!$B$25),"")</f>
        <v/>
      </c>
      <c r="AR339" s="152">
        <f>IF(ISNUMBER($AQ339),$AQ339*$AN339,"")</f>
        <v/>
      </c>
      <c r="AS339" s="152">
        <f>IF($A339="","",IFERROR(INDEX(Company_List!$H$3:$H$207,MATCH($A339,Company_List!$A$3:$A$207,0)),"unassigned"))</f>
        <v/>
      </c>
    </row>
    <row r="340">
      <c r="A340" s="191" t="inlineStr">
        <is>
          <t>Colgate-Palmolive</t>
        </is>
      </c>
      <c r="B340" s="188" t="inlineStr">
        <is>
          <t>CL</t>
        </is>
      </c>
      <c r="C340" s="176" t="n">
        <v>2026</v>
      </c>
      <c r="D340" s="177" t="inlineStr">
        <is>
          <t>Q1</t>
        </is>
      </c>
      <c r="E340" s="178" t="inlineStr">
        <is>
          <t>LLM (DeepSeek)</t>
        </is>
      </c>
      <c r="F340" s="177" t="inlineStr">
        <is>
          <t>LLM</t>
        </is>
      </c>
      <c r="G340" s="196" t="n">
        <v>-0.14</v>
      </c>
      <c r="H340" s="177" t="inlineStr">
        <is>
          <t>SELL</t>
        </is>
      </c>
      <c r="J340" s="182" t="n">
        <v>46136</v>
      </c>
      <c r="K340" s="182" t="n">
        <v>46135</v>
      </c>
      <c r="L340" s="183" t="n">
        <v>83.72</v>
      </c>
      <c r="M340" s="182" t="n">
        <v>46136</v>
      </c>
      <c r="N340" s="183" t="n">
        <v>84.56</v>
      </c>
      <c r="O340" s="180" t="n">
        <v>0.004774</v>
      </c>
      <c r="P340" s="197" t="n">
        <v>0.0101</v>
      </c>
      <c r="V340" s="152" t="inlineStr">
        <is>
          <t>EXTENSION</t>
        </is>
      </c>
      <c r="W340" t="inlineStr">
        <is>
          <t>copied from Human_Data_Entry's EDGAR-anchored correction (same event, price fact independent of reading arm); patched 2026-08-27. Original: recorded window spanned two sessions, closed to one</t>
        </is>
      </c>
      <c r="X340" t="inlineStr">
        <is>
          <t>CL</t>
        </is>
      </c>
      <c r="Y340" t="inlineStr">
        <is>
          <t>2026-04-30</t>
        </is>
      </c>
      <c r="Z340" t="n">
        <v>84.8734</v>
      </c>
      <c r="AA340" t="inlineStr">
        <is>
          <t>2026-05-01</t>
        </is>
      </c>
      <c r="AB340" t="n">
        <v>87.6674</v>
      </c>
      <c r="AC340" t="n">
        <v>0.03291933245240548</v>
      </c>
      <c r="AD340" t="inlineStr">
        <is>
          <t>UP</t>
        </is>
      </c>
      <c r="AG340" s="152">
        <f>IF($A340="","",IFERROR(INDEX(Company_List!$G$3:$G$207,MATCH($A340,Company_List!$A$3:$A$207,0)),"unassigned"))</f>
        <v/>
      </c>
      <c r="AK340" s="152">
        <f>IF($A340="","",IF(COUNTIFS(Human_Data_Entry!$A$3:$A$525,$A340)&gt;0,"YES","NO"))</f>
        <v/>
      </c>
      <c r="AL340" s="152">
        <f>IF($A340="","",IF(AND($C340&amp;"-"&amp;$D340&gt;=Settings!$B$19,$C340&amp;"-"&amp;$D340&lt;=Settings!$B$20),"IN","OUT"))</f>
        <v/>
      </c>
      <c r="AM340" s="152">
        <f>IF(AND(OR($H340="BUY",$H340="SELL"),ISNUMBER($T340)),$T340,"")</f>
        <v/>
      </c>
      <c r="AN340" s="152">
        <f>IF(AND(OR($H340="BUY",$H340="SELL"),ISNUMBER($AF340)),$AF340,"")</f>
        <v/>
      </c>
      <c r="AO340" s="152">
        <f>IF(ISNUMBER($AM340),ABS(IF(ISNUMBER($G340),$G340,0)-Settings!$B$25),"")</f>
        <v/>
      </c>
      <c r="AP340" s="152">
        <f>IF(ISNUMBER($AO340),$AO340*$AM340,"")</f>
        <v/>
      </c>
      <c r="AQ340" s="152">
        <f>IF(ISNUMBER($AN340),ABS(IF(ISNUMBER($G340),$G340,0)-Settings!$B$25),"")</f>
        <v/>
      </c>
      <c r="AR340" s="152">
        <f>IF(ISNUMBER($AQ340),$AQ340*$AN340,"")</f>
        <v/>
      </c>
      <c r="AS340" s="152">
        <f>IF($A340="","",IFERROR(INDEX(Company_List!$H$3:$H$207,MATCH($A340,Company_List!$A$3:$A$207,0)),"unassigned"))</f>
        <v/>
      </c>
    </row>
    <row r="341">
      <c r="A341" s="191" t="inlineStr">
        <is>
          <t>eBay</t>
        </is>
      </c>
      <c r="B341" s="188" t="inlineStr">
        <is>
          <t>EBAY</t>
        </is>
      </c>
      <c r="C341" s="176" t="n">
        <v>2026</v>
      </c>
      <c r="D341" s="177" t="inlineStr">
        <is>
          <t>Q1</t>
        </is>
      </c>
      <c r="E341" s="178" t="inlineStr">
        <is>
          <t>LLM (DeepSeek)</t>
        </is>
      </c>
      <c r="F341" s="177" t="inlineStr">
        <is>
          <t>LLM</t>
        </is>
      </c>
      <c r="G341" s="196" t="n">
        <v>0.14</v>
      </c>
      <c r="H341" s="177" t="inlineStr">
        <is>
          <t>HOLD</t>
        </is>
      </c>
      <c r="J341" s="182" t="n">
        <v>46141</v>
      </c>
      <c r="K341" s="182" t="n">
        <v>46141</v>
      </c>
      <c r="L341" s="183" t="n">
        <v>103.79</v>
      </c>
      <c r="M341" s="182" t="n">
        <v>46142</v>
      </c>
      <c r="N341" s="183" t="n">
        <v>100.07</v>
      </c>
      <c r="O341" s="180" t="n">
        <v>0.005731</v>
      </c>
      <c r="P341" s="197" t="n">
        <v>-0.0358</v>
      </c>
      <c r="V341" s="152" t="inlineStr">
        <is>
          <t>EXTENSION</t>
        </is>
      </c>
      <c r="W341" t="inlineStr">
        <is>
          <t>copied from Human_Data_Entry's EDGAR-anchored correction (same event, price fact independent of reading arm); patched 2026-08-27. Original: price signal, re-derived — only this window shows an abnormal move</t>
        </is>
      </c>
      <c r="X341" t="inlineStr">
        <is>
          <t>EBAY</t>
        </is>
      </c>
      <c r="Y341" t="inlineStr">
        <is>
          <t>2026-04-29</t>
        </is>
      </c>
      <c r="Z341" t="n">
        <v>103.5031</v>
      </c>
      <c r="AA341" t="inlineStr">
        <is>
          <t>2026-04-30</t>
        </is>
      </c>
      <c r="AB341" t="n">
        <v>99.7933</v>
      </c>
      <c r="AC341" t="n">
        <v>-0.03584163152060018</v>
      </c>
      <c r="AD341" t="inlineStr">
        <is>
          <t>DOWN</t>
        </is>
      </c>
      <c r="AG341" s="152">
        <f>IF($A341="","",IFERROR(INDEX(Company_List!$G$3:$G$207,MATCH($A341,Company_List!$A$3:$A$207,0)),"unassigned"))</f>
        <v/>
      </c>
      <c r="AK341" s="152">
        <f>IF($A341="","",IF(COUNTIFS(Human_Data_Entry!$A$3:$A$525,$A341)&gt;0,"YES","NO"))</f>
        <v/>
      </c>
      <c r="AL341" s="152">
        <f>IF($A341="","",IF(AND($C341&amp;"-"&amp;$D341&gt;=Settings!$B$19,$C341&amp;"-"&amp;$D341&lt;=Settings!$B$20),"IN","OUT"))</f>
        <v/>
      </c>
      <c r="AM341" s="152">
        <f>IF(AND(OR($H341="BUY",$H341="SELL"),ISNUMBER($T341)),$T341,"")</f>
        <v/>
      </c>
      <c r="AN341" s="152">
        <f>IF(AND(OR($H341="BUY",$H341="SELL"),ISNUMBER($AF341)),$AF341,"")</f>
        <v/>
      </c>
      <c r="AO341" s="152">
        <f>IF(ISNUMBER($AM341),ABS(IF(ISNUMBER($G341),$G341,0)-Settings!$B$25),"")</f>
        <v/>
      </c>
      <c r="AP341" s="152">
        <f>IF(ISNUMBER($AO341),$AO341*$AM341,"")</f>
        <v/>
      </c>
      <c r="AQ341" s="152">
        <f>IF(ISNUMBER($AN341),ABS(IF(ISNUMBER($G341),$G341,0)-Settings!$B$25),"")</f>
        <v/>
      </c>
      <c r="AR341" s="152">
        <f>IF(ISNUMBER($AQ341),$AQ341*$AN341,"")</f>
        <v/>
      </c>
      <c r="AS341" s="152">
        <f>IF($A341="","",IFERROR(INDEX(Company_List!$H$3:$H$207,MATCH($A341,Company_List!$A$3:$A$207,0)),"unassigned"))</f>
        <v/>
      </c>
    </row>
    <row r="342">
      <c r="A342" s="191" t="inlineStr">
        <is>
          <t>Mastercard</t>
        </is>
      </c>
      <c r="B342" s="188" t="inlineStr">
        <is>
          <t>MA</t>
        </is>
      </c>
      <c r="C342" s="176" t="n">
        <v>2026</v>
      </c>
      <c r="D342" s="177" t="inlineStr">
        <is>
          <t>Q1</t>
        </is>
      </c>
      <c r="E342" s="178" t="inlineStr">
        <is>
          <t>LLM (DeepSeek)</t>
        </is>
      </c>
      <c r="F342" s="177" t="inlineStr">
        <is>
          <t>LLM</t>
        </is>
      </c>
      <c r="G342" s="196" t="n">
        <v>0.02</v>
      </c>
      <c r="H342" s="177" t="inlineStr">
        <is>
          <t>HOLD</t>
        </is>
      </c>
      <c r="J342" s="182" t="n">
        <v>46142</v>
      </c>
      <c r="K342" s="182" t="n">
        <v>46141</v>
      </c>
      <c r="L342" s="183" t="n">
        <v>525.23</v>
      </c>
      <c r="M342" s="182" t="n">
        <v>46142</v>
      </c>
      <c r="N342" s="183" t="n">
        <v>504.5</v>
      </c>
      <c r="O342" s="180" t="n">
        <v>0.008430999999999999</v>
      </c>
      <c r="P342" s="197" t="n">
        <v>-0.0395</v>
      </c>
      <c r="V342" s="152" t="inlineStr">
        <is>
          <t>EXTENSION</t>
        </is>
      </c>
      <c r="W342" t="inlineStr">
        <is>
          <t>copied from Human_Data_Entry's EDGAR-anchored correction (same event, price fact independent of reading arm); patched 2026-08-27. Original: price signal, re-derived — only this window shows an abnormal move</t>
        </is>
      </c>
      <c r="X342" t="inlineStr">
        <is>
          <t>MA</t>
        </is>
      </c>
      <c r="Y342" t="inlineStr">
        <is>
          <t>2026-04-29</t>
        </is>
      </c>
      <c r="Z342" t="n">
        <v>524.351</v>
      </c>
      <c r="AA342" t="inlineStr">
        <is>
          <t>2026-04-30</t>
        </is>
      </c>
      <c r="AB342" t="n">
        <v>503.6557</v>
      </c>
      <c r="AC342" t="n">
        <v>-0.03946841069869604</v>
      </c>
      <c r="AD342" t="inlineStr">
        <is>
          <t>DOWN</t>
        </is>
      </c>
      <c r="AG342" s="152">
        <f>IF($A342="","",IFERROR(INDEX(Company_List!$G$3:$G$207,MATCH($A342,Company_List!$A$3:$A$207,0)),"unassigned"))</f>
        <v/>
      </c>
      <c r="AK342" s="152">
        <f>IF($A342="","",IF(COUNTIFS(Human_Data_Entry!$A$3:$A$525,$A342)&gt;0,"YES","NO"))</f>
        <v/>
      </c>
      <c r="AL342" s="152">
        <f>IF($A342="","",IF(AND($C342&amp;"-"&amp;$D342&gt;=Settings!$B$19,$C342&amp;"-"&amp;$D342&lt;=Settings!$B$20),"IN","OUT"))</f>
        <v/>
      </c>
      <c r="AM342" s="152">
        <f>IF(AND(OR($H342="BUY",$H342="SELL"),ISNUMBER($T342)),$T342,"")</f>
        <v/>
      </c>
      <c r="AN342" s="152">
        <f>IF(AND(OR($H342="BUY",$H342="SELL"),ISNUMBER($AF342)),$AF342,"")</f>
        <v/>
      </c>
      <c r="AO342" s="152">
        <f>IF(ISNUMBER($AM342),ABS(IF(ISNUMBER($G342),$G342,0)-Settings!$B$25),"")</f>
        <v/>
      </c>
      <c r="AP342" s="152">
        <f>IF(ISNUMBER($AO342),$AO342*$AM342,"")</f>
        <v/>
      </c>
      <c r="AQ342" s="152">
        <f>IF(ISNUMBER($AN342),ABS(IF(ISNUMBER($G342),$G342,0)-Settings!$B$25),"")</f>
        <v/>
      </c>
      <c r="AR342" s="152">
        <f>IF(ISNUMBER($AQ342),$AQ342*$AN342,"")</f>
        <v/>
      </c>
      <c r="AS342" s="152">
        <f>IF($A342="","",IFERROR(INDEX(Company_List!$H$3:$H$207,MATCH($A342,Company_List!$A$3:$A$207,0)),"unassigned"))</f>
        <v/>
      </c>
    </row>
    <row r="343">
      <c r="A343" s="191" t="inlineStr">
        <is>
          <t>Chevron</t>
        </is>
      </c>
      <c r="B343" s="188" t="inlineStr">
        <is>
          <t>CVX</t>
        </is>
      </c>
      <c r="C343" s="176" t="n">
        <v>2026</v>
      </c>
      <c r="D343" s="177" t="inlineStr">
        <is>
          <t>Q1</t>
        </is>
      </c>
      <c r="E343" s="178" t="inlineStr">
        <is>
          <t>LLM (DeepSeek)</t>
        </is>
      </c>
      <c r="F343" s="177" t="inlineStr">
        <is>
          <t>LLM</t>
        </is>
      </c>
      <c r="G343" s="196" t="n">
        <v>0.1</v>
      </c>
      <c r="H343" s="177" t="inlineStr">
        <is>
          <t>HOLD</t>
        </is>
      </c>
      <c r="J343" s="182" t="n">
        <v>46143</v>
      </c>
      <c r="K343" s="182" t="n">
        <v>46142</v>
      </c>
      <c r="L343" s="183" t="n">
        <v>193.31</v>
      </c>
      <c r="M343" s="182" t="n">
        <v>46143</v>
      </c>
      <c r="N343" s="183" t="n">
        <v>191.3</v>
      </c>
      <c r="O343" s="180" t="n">
        <v>0.003931</v>
      </c>
      <c r="P343" s="197" t="n">
        <v>-0.0104</v>
      </c>
      <c r="V343" s="152" t="inlineStr">
        <is>
          <t>EXTENSION</t>
        </is>
      </c>
      <c r="W343" t="inlineStr">
        <is>
          <t>copied from Human_Data_Entry's EDGAR-anchored correction (same event, price fact independent of reading arm); patched 2026-08-27. Original: price signal, re-derived — only this window shows an abnormal move</t>
        </is>
      </c>
      <c r="X343" t="inlineStr">
        <is>
          <t>CVX</t>
        </is>
      </c>
      <c r="Y343" t="inlineStr">
        <is>
          <t>2026-04-30</t>
        </is>
      </c>
      <c r="Z343" t="n">
        <v>191.5555</v>
      </c>
      <c r="AA343" t="inlineStr">
        <is>
          <t>2026-05-01</t>
        </is>
      </c>
      <c r="AB343" t="n">
        <v>189.5638</v>
      </c>
      <c r="AC343" t="n">
        <v>-0.01039778450017114</v>
      </c>
      <c r="AD343" t="inlineStr">
        <is>
          <t>FLAT</t>
        </is>
      </c>
      <c r="AG343" s="152">
        <f>IF($A343="","",IFERROR(INDEX(Company_List!$G$3:$G$207,MATCH($A343,Company_List!$A$3:$A$207,0)),"unassigned"))</f>
        <v/>
      </c>
      <c r="AK343" s="152">
        <f>IF($A343="","",IF(COUNTIFS(Human_Data_Entry!$A$3:$A$525,$A343)&gt;0,"YES","NO"))</f>
        <v/>
      </c>
      <c r="AL343" s="152">
        <f>IF($A343="","",IF(AND($C343&amp;"-"&amp;$D343&gt;=Settings!$B$19,$C343&amp;"-"&amp;$D343&lt;=Settings!$B$20),"IN","OUT"))</f>
        <v/>
      </c>
      <c r="AM343" s="152">
        <f>IF(AND(OR($H343="BUY",$H343="SELL"),ISNUMBER($T343)),$T343,"")</f>
        <v/>
      </c>
      <c r="AN343" s="152">
        <f>IF(AND(OR($H343="BUY",$H343="SELL"),ISNUMBER($AF343)),$AF343,"")</f>
        <v/>
      </c>
      <c r="AO343" s="152">
        <f>IF(ISNUMBER($AM343),ABS(IF(ISNUMBER($G343),$G343,0)-Settings!$B$25),"")</f>
        <v/>
      </c>
      <c r="AP343" s="152">
        <f>IF(ISNUMBER($AO343),$AO343*$AM343,"")</f>
        <v/>
      </c>
      <c r="AQ343" s="152">
        <f>IF(ISNUMBER($AN343),ABS(IF(ISNUMBER($G343),$G343,0)-Settings!$B$25),"")</f>
        <v/>
      </c>
      <c r="AR343" s="152">
        <f>IF(ISNUMBER($AQ343),$AQ343*$AN343,"")</f>
        <v/>
      </c>
      <c r="AS343" s="152">
        <f>IF($A343="","",IFERROR(INDEX(Company_List!$H$3:$H$207,MATCH($A343,Company_List!$A$3:$A$207,0)),"unassigned"))</f>
        <v/>
      </c>
    </row>
    <row r="344">
      <c r="A344" s="191" t="inlineStr">
        <is>
          <t>ExxonMobil</t>
        </is>
      </c>
      <c r="B344" s="188" t="inlineStr">
        <is>
          <t>XOM</t>
        </is>
      </c>
      <c r="C344" s="176" t="n">
        <v>2026</v>
      </c>
      <c r="D344" s="177" t="inlineStr">
        <is>
          <t>Q1</t>
        </is>
      </c>
      <c r="E344" s="178" t="inlineStr">
        <is>
          <t>LLM (DeepSeek)</t>
        </is>
      </c>
      <c r="F344" s="177" t="inlineStr">
        <is>
          <t>LLM</t>
        </is>
      </c>
      <c r="G344" s="196" t="n">
        <v>0.14</v>
      </c>
      <c r="H344" s="177" t="inlineStr">
        <is>
          <t>HOLD</t>
        </is>
      </c>
      <c r="J344" s="182" t="n">
        <v>46143</v>
      </c>
      <c r="K344" s="182" t="n">
        <v>46142</v>
      </c>
      <c r="L344" s="183" t="n">
        <v>154.33</v>
      </c>
      <c r="M344" s="182" t="n">
        <v>46143</v>
      </c>
      <c r="N344" s="183" t="n">
        <v>152.61</v>
      </c>
      <c r="O344" s="180" t="n">
        <v>0.010348</v>
      </c>
      <c r="P344" s="197" t="n">
        <v>-0.0112</v>
      </c>
      <c r="V344" s="152" t="inlineStr">
        <is>
          <t>EXTENSION</t>
        </is>
      </c>
      <c r="W344" t="inlineStr">
        <is>
          <t>copied from Human_Data_Entry's EDGAR-anchored correction (same event, price fact independent of reading arm); patched 2026-08-27. Original: document date + price signal</t>
        </is>
      </c>
      <c r="X344" t="inlineStr">
        <is>
          <t>XOM</t>
        </is>
      </c>
      <c r="Y344" t="inlineStr">
        <is>
          <t>2026-04-30</t>
        </is>
      </c>
      <c r="Z344" t="n">
        <v>153.2896</v>
      </c>
      <c r="AA344" t="inlineStr">
        <is>
          <t>2026-05-01</t>
        </is>
      </c>
      <c r="AB344" t="n">
        <v>151.5811</v>
      </c>
      <c r="AC344" t="n">
        <v>-0.01114496162795326</v>
      </c>
      <c r="AD344" t="inlineStr">
        <is>
          <t>FLAT</t>
        </is>
      </c>
      <c r="AG344" s="152">
        <f>IF($A344="","",IFERROR(INDEX(Company_List!$G$3:$G$207,MATCH($A344,Company_List!$A$3:$A$207,0)),"unassigned"))</f>
        <v/>
      </c>
      <c r="AK344" s="152">
        <f>IF($A344="","",IF(COUNTIFS(Human_Data_Entry!$A$3:$A$525,$A344)&gt;0,"YES","NO"))</f>
        <v/>
      </c>
      <c r="AL344" s="152">
        <f>IF($A344="","",IF(AND($C344&amp;"-"&amp;$D344&gt;=Settings!$B$19,$C344&amp;"-"&amp;$D344&lt;=Settings!$B$20),"IN","OUT"))</f>
        <v/>
      </c>
      <c r="AM344" s="152">
        <f>IF(AND(OR($H344="BUY",$H344="SELL"),ISNUMBER($T344)),$T344,"")</f>
        <v/>
      </c>
      <c r="AN344" s="152">
        <f>IF(AND(OR($H344="BUY",$H344="SELL"),ISNUMBER($AF344)),$AF344,"")</f>
        <v/>
      </c>
      <c r="AO344" s="152">
        <f>IF(ISNUMBER($AM344),ABS(IF(ISNUMBER($G344),$G344,0)-Settings!$B$25),"")</f>
        <v/>
      </c>
      <c r="AP344" s="152">
        <f>IF(ISNUMBER($AO344),$AO344*$AM344,"")</f>
        <v/>
      </c>
      <c r="AQ344" s="152">
        <f>IF(ISNUMBER($AN344),ABS(IF(ISNUMBER($G344),$G344,0)-Settings!$B$25),"")</f>
        <v/>
      </c>
      <c r="AR344" s="152">
        <f>IF(ISNUMBER($AQ344),$AQ344*$AN344,"")</f>
        <v/>
      </c>
      <c r="AS344" s="152">
        <f>IF($A344="","",IFERROR(INDEX(Company_List!$H$3:$H$207,MATCH($A344,Company_List!$A$3:$A$207,0)),"unassigned"))</f>
        <v/>
      </c>
    </row>
    <row r="345">
      <c r="A345" s="191" t="inlineStr">
        <is>
          <t>Shell</t>
        </is>
      </c>
      <c r="B345" s="188" t="inlineStr">
        <is>
          <t>SHEL</t>
        </is>
      </c>
      <c r="C345" s="176" t="n">
        <v>2026</v>
      </c>
      <c r="D345" s="177" t="inlineStr">
        <is>
          <t>Q1</t>
        </is>
      </c>
      <c r="E345" s="178" t="inlineStr">
        <is>
          <t>LLM (DeepSeek)</t>
        </is>
      </c>
      <c r="F345" s="177" t="inlineStr">
        <is>
          <t>LLM</t>
        </is>
      </c>
      <c r="G345" s="196" t="n">
        <v>0.14</v>
      </c>
      <c r="H345" s="177" t="inlineStr">
        <is>
          <t>HOLD</t>
        </is>
      </c>
      <c r="J345" s="182" t="n">
        <v>46143</v>
      </c>
      <c r="K345" s="182" t="n">
        <v>46142</v>
      </c>
      <c r="L345" s="183" t="n">
        <v>90.67</v>
      </c>
      <c r="M345" s="182" t="n">
        <v>46143</v>
      </c>
      <c r="N345" s="183" t="n">
        <v>90.19</v>
      </c>
      <c r="O345" s="180" t="n">
        <v>0.005592</v>
      </c>
      <c r="P345" s="197" t="n">
        <v>-0.0053</v>
      </c>
      <c r="V345" s="152" t="inlineStr">
        <is>
          <t>EXTENSION</t>
        </is>
      </c>
      <c r="W345" t="inlineStr">
        <is>
          <t>copied from Human_Data_Entry's EDGAR-anchored correction (same event, price fact independent of reading arm); patched 2026-08-27. Original: price signal, re-derived — only this window shows an abnormal move</t>
        </is>
      </c>
      <c r="X345" t="inlineStr">
        <is>
          <t>SHEL.L</t>
        </is>
      </c>
      <c r="Y345" t="inlineStr">
        <is>
          <t>2026-05-06</t>
        </is>
      </c>
      <c r="Z345" t="n">
        <v>3211.2119</v>
      </c>
      <c r="AA345" t="inlineStr">
        <is>
          <t>2026-05-07</t>
        </is>
      </c>
      <c r="AB345" t="n">
        <v>3178.7147</v>
      </c>
      <c r="AC345" t="n">
        <v>-0.01011991038818126</v>
      </c>
      <c r="AD345" t="inlineStr">
        <is>
          <t>FLAT</t>
        </is>
      </c>
      <c r="AG345" s="152">
        <f>IF($A345="","",IFERROR(INDEX(Company_List!$G$3:$G$207,MATCH($A345,Company_List!$A$3:$A$207,0)),"unassigned"))</f>
        <v/>
      </c>
      <c r="AK345" s="152">
        <f>IF($A345="","",IF(COUNTIFS(Human_Data_Entry!$A$3:$A$525,$A345)&gt;0,"YES","NO"))</f>
        <v/>
      </c>
      <c r="AL345" s="152">
        <f>IF($A345="","",IF(AND($C345&amp;"-"&amp;$D345&gt;=Settings!$B$19,$C345&amp;"-"&amp;$D345&lt;=Settings!$B$20),"IN","OUT"))</f>
        <v/>
      </c>
      <c r="AM345" s="152">
        <f>IF(AND(OR($H345="BUY",$H345="SELL"),ISNUMBER($T345)),$T345,"")</f>
        <v/>
      </c>
      <c r="AN345" s="152">
        <f>IF(AND(OR($H345="BUY",$H345="SELL"),ISNUMBER($AF345)),$AF345,"")</f>
        <v/>
      </c>
      <c r="AO345" s="152">
        <f>IF(ISNUMBER($AM345),ABS(IF(ISNUMBER($G345),$G345,0)-Settings!$B$25),"")</f>
        <v/>
      </c>
      <c r="AP345" s="152">
        <f>IF(ISNUMBER($AO345),$AO345*$AM345,"")</f>
        <v/>
      </c>
      <c r="AQ345" s="152">
        <f>IF(ISNUMBER($AN345),ABS(IF(ISNUMBER($G345),$G345,0)-Settings!$B$25),"")</f>
        <v/>
      </c>
      <c r="AR345" s="152">
        <f>IF(ISNUMBER($AQ345),$AQ345*$AN345,"")</f>
        <v/>
      </c>
      <c r="AS345" s="152">
        <f>IF($A345="","",IFERROR(INDEX(Company_List!$H$3:$H$207,MATCH($A345,Company_List!$A$3:$A$207,0)),"unassigned"))</f>
        <v/>
      </c>
    </row>
    <row r="346">
      <c r="A346" s="191" t="inlineStr">
        <is>
          <t>Duke Energy</t>
        </is>
      </c>
      <c r="B346" s="188" t="inlineStr">
        <is>
          <t>DUK</t>
        </is>
      </c>
      <c r="C346" s="176" t="n">
        <v>2026</v>
      </c>
      <c r="D346" s="177" t="inlineStr">
        <is>
          <t>Q1</t>
        </is>
      </c>
      <c r="E346" s="178" t="inlineStr">
        <is>
          <t>LLM (DeepSeek)</t>
        </is>
      </c>
      <c r="F346" s="177" t="inlineStr">
        <is>
          <t>LLM</t>
        </is>
      </c>
      <c r="G346" s="196" t="n">
        <v>0.14</v>
      </c>
      <c r="H346" s="177" t="inlineStr">
        <is>
          <t>HOLD</t>
        </is>
      </c>
      <c r="J346" s="182" t="n">
        <v>46147</v>
      </c>
      <c r="K346" s="182" t="n">
        <v>46146</v>
      </c>
      <c r="L346" s="183" t="n">
        <v>127.45</v>
      </c>
      <c r="M346" s="182" t="n">
        <v>46147</v>
      </c>
      <c r="N346" s="183" t="n">
        <v>128.9</v>
      </c>
      <c r="O346" s="180" t="n">
        <v>0.009820000000000001</v>
      </c>
      <c r="P346" s="197" t="n">
        <v>0.0114</v>
      </c>
      <c r="V346" s="152" t="inlineStr">
        <is>
          <t>EXTENSION</t>
        </is>
      </c>
      <c r="W346" t="inlineStr">
        <is>
          <t>copied from Human_Data_Entry's EDGAR-anchored correction (same event, price fact independent of reading arm); patched 2026-08-27. Original: price signal — only this window shows an abnormal move</t>
        </is>
      </c>
      <c r="X346" t="inlineStr">
        <is>
          <t>DUK</t>
        </is>
      </c>
      <c r="Y346" t="inlineStr">
        <is>
          <t>2026-05-05</t>
        </is>
      </c>
      <c r="Z346" t="n">
        <v>126.487</v>
      </c>
      <c r="AA346" t="inlineStr">
        <is>
          <t>2026-05-06</t>
        </is>
      </c>
      <c r="AB346" t="n">
        <v>125.9516</v>
      </c>
      <c r="AC346" t="n">
        <v>-0.004232695736692704</v>
      </c>
      <c r="AD346" t="inlineStr">
        <is>
          <t>FLAT</t>
        </is>
      </c>
      <c r="AG346" s="152">
        <f>IF($A346="","",IFERROR(INDEX(Company_List!$G$3:$G$207,MATCH($A346,Company_List!$A$3:$A$207,0)),"unassigned"))</f>
        <v/>
      </c>
      <c r="AK346" s="152">
        <f>IF($A346="","",IF(COUNTIFS(Human_Data_Entry!$A$3:$A$525,$A346)&gt;0,"YES","NO"))</f>
        <v/>
      </c>
      <c r="AL346" s="152">
        <f>IF($A346="","",IF(AND($C346&amp;"-"&amp;$D346&gt;=Settings!$B$19,$C346&amp;"-"&amp;$D346&lt;=Settings!$B$20),"IN","OUT"))</f>
        <v/>
      </c>
      <c r="AM346" s="152">
        <f>IF(AND(OR($H346="BUY",$H346="SELL"),ISNUMBER($T346)),$T346,"")</f>
        <v/>
      </c>
      <c r="AN346" s="152">
        <f>IF(AND(OR($H346="BUY",$H346="SELL"),ISNUMBER($AF346)),$AF346,"")</f>
        <v/>
      </c>
      <c r="AO346" s="152">
        <f>IF(ISNUMBER($AM346),ABS(IF(ISNUMBER($G346),$G346,0)-Settings!$B$25),"")</f>
        <v/>
      </c>
      <c r="AP346" s="152">
        <f>IF(ISNUMBER($AO346),$AO346*$AM346,"")</f>
        <v/>
      </c>
      <c r="AQ346" s="152">
        <f>IF(ISNUMBER($AN346),ABS(IF(ISNUMBER($G346),$G346,0)-Settings!$B$25),"")</f>
        <v/>
      </c>
      <c r="AR346" s="152">
        <f>IF(ISNUMBER($AQ346),$AQ346*$AN346,"")</f>
        <v/>
      </c>
      <c r="AS346" s="152">
        <f>IF($A346="","",IFERROR(INDEX(Company_List!$H$3:$H$207,MATCH($A346,Company_List!$A$3:$A$207,0)),"unassigned"))</f>
        <v/>
      </c>
    </row>
    <row r="347">
      <c r="A347" s="191" t="inlineStr">
        <is>
          <t>Shopify</t>
        </is>
      </c>
      <c r="B347" s="188" t="inlineStr">
        <is>
          <t>SHOP</t>
        </is>
      </c>
      <c r="C347" s="176" t="n">
        <v>2026</v>
      </c>
      <c r="D347" s="177" t="inlineStr">
        <is>
          <t>Q1</t>
        </is>
      </c>
      <c r="E347" s="178" t="inlineStr">
        <is>
          <t>LLM (DeepSeek)</t>
        </is>
      </c>
      <c r="F347" s="177" t="inlineStr">
        <is>
          <t>LLM</t>
        </is>
      </c>
      <c r="G347" s="196" t="n">
        <v>0.14</v>
      </c>
      <c r="H347" s="177" t="inlineStr">
        <is>
          <t>HOLD</t>
        </is>
      </c>
      <c r="J347" s="182" t="n">
        <v>46147</v>
      </c>
      <c r="K347" s="182" t="n">
        <v>46146</v>
      </c>
      <c r="L347" s="183" t="n">
        <v>127.55</v>
      </c>
      <c r="M347" s="182" t="n">
        <v>46147</v>
      </c>
      <c r="N347" s="183" t="n">
        <v>116.05</v>
      </c>
      <c r="O347" s="180" t="n">
        <v>0.009201000000000001</v>
      </c>
      <c r="P347" s="197" t="n">
        <v>-0.0902</v>
      </c>
      <c r="V347" s="152" t="inlineStr">
        <is>
          <t>EXTENSION</t>
        </is>
      </c>
      <c r="W347" t="inlineStr">
        <is>
          <t>copied from Human_Data_Entry's EDGAR-anchored correction (same event, price fact independent of reading arm); patched 2026-08-27. Original: release date + stated time</t>
        </is>
      </c>
      <c r="X347" t="inlineStr">
        <is>
          <t>SHOP</t>
        </is>
      </c>
      <c r="Y347" t="inlineStr">
        <is>
          <t>2026-05-04</t>
        </is>
      </c>
      <c r="Z347" t="n">
        <v>127.55</v>
      </c>
      <c r="AA347" t="inlineStr">
        <is>
          <t>2026-05-05</t>
        </is>
      </c>
      <c r="AB347" t="n">
        <v>116.05</v>
      </c>
      <c r="AC347" t="n">
        <v>-0.09016071916517321</v>
      </c>
      <c r="AD347" t="inlineStr">
        <is>
          <t>DOWN</t>
        </is>
      </c>
      <c r="AG347" s="152">
        <f>IF($A347="","",IFERROR(INDEX(Company_List!$G$3:$G$207,MATCH($A347,Company_List!$A$3:$A$207,0)),"unassigned"))</f>
        <v/>
      </c>
      <c r="AK347" s="152">
        <f>IF($A347="","",IF(COUNTIFS(Human_Data_Entry!$A$3:$A$525,$A347)&gt;0,"YES","NO"))</f>
        <v/>
      </c>
      <c r="AL347" s="152">
        <f>IF($A347="","",IF(AND($C347&amp;"-"&amp;$D347&gt;=Settings!$B$19,$C347&amp;"-"&amp;$D347&lt;=Settings!$B$20),"IN","OUT"))</f>
        <v/>
      </c>
      <c r="AM347" s="152">
        <f>IF(AND(OR($H347="BUY",$H347="SELL"),ISNUMBER($T347)),$T347,"")</f>
        <v/>
      </c>
      <c r="AN347" s="152">
        <f>IF(AND(OR($H347="BUY",$H347="SELL"),ISNUMBER($AF347)),$AF347,"")</f>
        <v/>
      </c>
      <c r="AO347" s="152">
        <f>IF(ISNUMBER($AM347),ABS(IF(ISNUMBER($G347),$G347,0)-Settings!$B$25),"")</f>
        <v/>
      </c>
      <c r="AP347" s="152">
        <f>IF(ISNUMBER($AO347),$AO347*$AM347,"")</f>
        <v/>
      </c>
      <c r="AQ347" s="152">
        <f>IF(ISNUMBER($AN347),ABS(IF(ISNUMBER($G347),$G347,0)-Settings!$B$25),"")</f>
        <v/>
      </c>
      <c r="AR347" s="152">
        <f>IF(ISNUMBER($AQ347),$AQ347*$AN347,"")</f>
        <v/>
      </c>
      <c r="AS347" s="152">
        <f>IF($A347="","",IFERROR(INDEX(Company_List!$H$3:$H$207,MATCH($A347,Company_List!$A$3:$A$207,0)),"unassigned"))</f>
        <v/>
      </c>
    </row>
    <row r="348">
      <c r="A348" s="191" t="inlineStr">
        <is>
          <t>Union Pacific</t>
        </is>
      </c>
      <c r="B348" s="188" t="inlineStr">
        <is>
          <t>UNP</t>
        </is>
      </c>
      <c r="C348" s="176" t="n">
        <v>2026</v>
      </c>
      <c r="D348" s="177" t="inlineStr">
        <is>
          <t>Q1</t>
        </is>
      </c>
      <c r="E348" s="178" t="inlineStr">
        <is>
          <t>LLM (DeepSeek)</t>
        </is>
      </c>
      <c r="F348" s="177" t="inlineStr">
        <is>
          <t>LLM</t>
        </is>
      </c>
      <c r="G348" s="196" t="n">
        <v>0.06</v>
      </c>
      <c r="H348" s="177" t="inlineStr">
        <is>
          <t>HOLD</t>
        </is>
      </c>
      <c r="J348" s="182" t="n">
        <v>46148</v>
      </c>
      <c r="K348" s="182" t="n">
        <v>46147</v>
      </c>
      <c r="L348" s="183" t="n">
        <v>264.01</v>
      </c>
      <c r="M348" s="182" t="n">
        <v>46148</v>
      </c>
      <c r="N348" s="183" t="n">
        <v>265.44</v>
      </c>
      <c r="O348" s="180" t="n">
        <v>0.008149999999999999</v>
      </c>
      <c r="P348" s="197" t="n">
        <v>0.0054</v>
      </c>
      <c r="V348" s="152" t="inlineStr">
        <is>
          <t>EXTENSION</t>
        </is>
      </c>
      <c r="W348" t="inlineStr">
        <is>
          <t>copied from Human_Data_Entry's EDGAR-anchored correction (same event, price fact independent of reading arm); patched 2026-08-27. Original: price signal — only this window shows an abnormal move</t>
        </is>
      </c>
      <c r="X348" t="inlineStr">
        <is>
          <t>UNP</t>
        </is>
      </c>
      <c r="Y348" t="inlineStr">
        <is>
          <t>2026-04-22</t>
        </is>
      </c>
      <c r="Z348" t="n">
        <v>248.111</v>
      </c>
      <c r="AA348" t="inlineStr">
        <is>
          <t>2026-04-23</t>
        </is>
      </c>
      <c r="AB348" t="n">
        <v>261.4019</v>
      </c>
      <c r="AC348" t="n">
        <v>0.05356866203276311</v>
      </c>
      <c r="AD348" t="inlineStr">
        <is>
          <t>UP</t>
        </is>
      </c>
      <c r="AG348" s="152">
        <f>IF($A348="","",IFERROR(INDEX(Company_List!$G$3:$G$207,MATCH($A348,Company_List!$A$3:$A$207,0)),"unassigned"))</f>
        <v/>
      </c>
      <c r="AK348" s="152">
        <f>IF($A348="","",IF(COUNTIFS(Human_Data_Entry!$A$3:$A$525,$A348)&gt;0,"YES","NO"))</f>
        <v/>
      </c>
      <c r="AL348" s="152">
        <f>IF($A348="","",IF(AND($C348&amp;"-"&amp;$D348&gt;=Settings!$B$19,$C348&amp;"-"&amp;$D348&lt;=Settings!$B$20),"IN","OUT"))</f>
        <v/>
      </c>
      <c r="AM348" s="152">
        <f>IF(AND(OR($H348="BUY",$H348="SELL"),ISNUMBER($T348)),$T348,"")</f>
        <v/>
      </c>
      <c r="AN348" s="152">
        <f>IF(AND(OR($H348="BUY",$H348="SELL"),ISNUMBER($AF348)),$AF348,"")</f>
        <v/>
      </c>
      <c r="AO348" s="152">
        <f>IF(ISNUMBER($AM348),ABS(IF(ISNUMBER($G348),$G348,0)-Settings!$B$25),"")</f>
        <v/>
      </c>
      <c r="AP348" s="152">
        <f>IF(ISNUMBER($AO348),$AO348*$AM348,"")</f>
        <v/>
      </c>
      <c r="AQ348" s="152">
        <f>IF(ISNUMBER($AN348),ABS(IF(ISNUMBER($G348),$G348,0)-Settings!$B$25),"")</f>
        <v/>
      </c>
      <c r="AR348" s="152">
        <f>IF(ISNUMBER($AQ348),$AQ348*$AN348,"")</f>
        <v/>
      </c>
      <c r="AS348" s="152">
        <f>IF($A348="","",IFERROR(INDEX(Company_List!$H$3:$H$207,MATCH($A348,Company_List!$A$3:$A$207,0)),"unassigned"))</f>
        <v/>
      </c>
    </row>
    <row r="349">
      <c r="A349" s="191" t="inlineStr">
        <is>
          <t>Datadog</t>
        </is>
      </c>
      <c r="B349" s="188" t="inlineStr">
        <is>
          <t>DDOG</t>
        </is>
      </c>
      <c r="C349" s="176" t="n">
        <v>2026</v>
      </c>
      <c r="D349" s="177" t="inlineStr">
        <is>
          <t>Q1</t>
        </is>
      </c>
      <c r="E349" s="178" t="inlineStr">
        <is>
          <t>LLM (DeepSeek)</t>
        </is>
      </c>
      <c r="F349" s="177" t="inlineStr">
        <is>
          <t>LLM</t>
        </is>
      </c>
      <c r="G349" s="196" t="n">
        <v>0.38</v>
      </c>
      <c r="H349" s="177" t="inlineStr">
        <is>
          <t>BUY</t>
        </is>
      </c>
      <c r="J349" s="182" t="n">
        <v>46149</v>
      </c>
      <c r="K349" s="182" t="n">
        <v>46148</v>
      </c>
      <c r="L349" s="183" t="n">
        <v>143.71</v>
      </c>
      <c r="M349" s="182" t="n">
        <v>46149</v>
      </c>
      <c r="N349" s="183" t="n">
        <v>187.99</v>
      </c>
      <c r="O349" s="180" t="n">
        <v>0.007601</v>
      </c>
      <c r="P349" s="197" t="n">
        <v>0.3081</v>
      </c>
      <c r="V349" s="152" t="inlineStr">
        <is>
          <t>EXTENSION</t>
        </is>
      </c>
      <c r="W349" t="inlineStr">
        <is>
          <t>copied from Human_Data_Entry's EDGAR-anchored correction (same event, price fact independent of reading arm); patched 2026-08-27. Original: recorded window spanned two sessions, closed to one</t>
        </is>
      </c>
      <c r="X349" t="inlineStr">
        <is>
          <t>DDOG</t>
        </is>
      </c>
      <c r="Y349" t="inlineStr">
        <is>
          <t>2026-05-06</t>
        </is>
      </c>
      <c r="Z349" t="n">
        <v>143.71</v>
      </c>
      <c r="AA349" t="inlineStr">
        <is>
          <t>2026-05-07</t>
        </is>
      </c>
      <c r="AB349" t="n">
        <v>187.99</v>
      </c>
      <c r="AC349" t="n">
        <v>0.3081204915674384</v>
      </c>
      <c r="AD349" t="inlineStr">
        <is>
          <t>UP</t>
        </is>
      </c>
      <c r="AG349" s="152">
        <f>IF($A349="","",IFERROR(INDEX(Company_List!$G$3:$G$207,MATCH($A349,Company_List!$A$3:$A$207,0)),"unassigned"))</f>
        <v/>
      </c>
      <c r="AK349" s="152">
        <f>IF($A349="","",IF(COUNTIFS(Human_Data_Entry!$A$3:$A$525,$A349)&gt;0,"YES","NO"))</f>
        <v/>
      </c>
      <c r="AL349" s="152">
        <f>IF($A349="","",IF(AND($C349&amp;"-"&amp;$D349&gt;=Settings!$B$19,$C349&amp;"-"&amp;$D349&lt;=Settings!$B$20),"IN","OUT"))</f>
        <v/>
      </c>
      <c r="AM349" s="152">
        <f>IF(AND(OR($H349="BUY",$H349="SELL"),ISNUMBER($T349)),$T349,"")</f>
        <v/>
      </c>
      <c r="AN349" s="152">
        <f>IF(AND(OR($H349="BUY",$H349="SELL"),ISNUMBER($AF349)),$AF349,"")</f>
        <v/>
      </c>
      <c r="AO349" s="152">
        <f>IF(ISNUMBER($AM349),ABS(IF(ISNUMBER($G349),$G349,0)-Settings!$B$25),"")</f>
        <v/>
      </c>
      <c r="AP349" s="152">
        <f>IF(ISNUMBER($AO349),$AO349*$AM349,"")</f>
        <v/>
      </c>
      <c r="AQ349" s="152">
        <f>IF(ISNUMBER($AN349),ABS(IF(ISNUMBER($G349),$G349,0)-Settings!$B$25),"")</f>
        <v/>
      </c>
      <c r="AR349" s="152">
        <f>IF(ISNUMBER($AQ349),$AQ349*$AN349,"")</f>
        <v/>
      </c>
      <c r="AS349" s="152">
        <f>IF($A349="","",IFERROR(INDEX(Company_List!$H$3:$H$207,MATCH($A349,Company_List!$A$3:$A$207,0)),"unassigned"))</f>
        <v/>
      </c>
    </row>
    <row r="350">
      <c r="A350" s="191" t="inlineStr">
        <is>
          <t>Home Depot</t>
        </is>
      </c>
      <c r="B350" s="188" t="inlineStr">
        <is>
          <t>HD</t>
        </is>
      </c>
      <c r="C350" s="176" t="n">
        <v>2026</v>
      </c>
      <c r="D350" s="177" t="inlineStr">
        <is>
          <t>Q1</t>
        </is>
      </c>
      <c r="E350" s="178" t="inlineStr">
        <is>
          <t>LLM (DeepSeek)</t>
        </is>
      </c>
      <c r="F350" s="177" t="inlineStr">
        <is>
          <t>LLM</t>
        </is>
      </c>
      <c r="G350" s="196" t="n">
        <v>-0.06</v>
      </c>
      <c r="H350" s="177" t="inlineStr">
        <is>
          <t>HOLD</t>
        </is>
      </c>
      <c r="J350" s="182" t="n">
        <v>46161</v>
      </c>
      <c r="K350" s="182" t="n">
        <v>46160</v>
      </c>
      <c r="L350" s="183" t="n">
        <v>299.81</v>
      </c>
      <c r="M350" s="182" t="n">
        <v>46161</v>
      </c>
      <c r="N350" s="183" t="n">
        <v>291.87</v>
      </c>
      <c r="O350" s="180" t="n">
        <v>0.008035</v>
      </c>
      <c r="P350" s="197" t="n">
        <v>-0.0265</v>
      </c>
      <c r="V350" s="152" t="inlineStr">
        <is>
          <t>EXTENSION</t>
        </is>
      </c>
      <c r="W350" t="inlineStr">
        <is>
          <t>copied from Human_Data_Entry's EDGAR-anchored correction (same event, price fact independent of reading arm); patched 2026-08-27. Original: price signal — only this window shows an abnormal move</t>
        </is>
      </c>
      <c r="X350" t="inlineStr">
        <is>
          <t>HD</t>
        </is>
      </c>
      <c r="Y350" t="inlineStr">
        <is>
          <t>2026-05-18</t>
        </is>
      </c>
      <c r="Z350" t="n">
        <v>297.578</v>
      </c>
      <c r="AA350" t="inlineStr">
        <is>
          <t>2026-05-19</t>
        </is>
      </c>
      <c r="AB350" t="n">
        <v>289.6971</v>
      </c>
      <c r="AC350" t="n">
        <v>-0.02648348582710826</v>
      </c>
      <c r="AD350" t="inlineStr">
        <is>
          <t>DOWN</t>
        </is>
      </c>
      <c r="AG350" s="152">
        <f>IF($A350="","",IFERROR(INDEX(Company_List!$G$3:$G$207,MATCH($A350,Company_List!$A$3:$A$207,0)),"unassigned"))</f>
        <v/>
      </c>
      <c r="AK350" s="152">
        <f>IF($A350="","",IF(COUNTIFS(Human_Data_Entry!$A$3:$A$525,$A350)&gt;0,"YES","NO"))</f>
        <v/>
      </c>
      <c r="AL350" s="152">
        <f>IF($A350="","",IF(AND($C350&amp;"-"&amp;$D350&gt;=Settings!$B$19,$C350&amp;"-"&amp;$D350&lt;=Settings!$B$20),"IN","OUT"))</f>
        <v/>
      </c>
      <c r="AM350" s="152">
        <f>IF(AND(OR($H350="BUY",$H350="SELL"),ISNUMBER($T350)),$T350,"")</f>
        <v/>
      </c>
      <c r="AN350" s="152">
        <f>IF(AND(OR($H350="BUY",$H350="SELL"),ISNUMBER($AF350)),$AF350,"")</f>
        <v/>
      </c>
      <c r="AO350" s="152">
        <f>IF(ISNUMBER($AM350),ABS(IF(ISNUMBER($G350),$G350,0)-Settings!$B$25),"")</f>
        <v/>
      </c>
      <c r="AP350" s="152">
        <f>IF(ISNUMBER($AO350),$AO350*$AM350,"")</f>
        <v/>
      </c>
      <c r="AQ350" s="152">
        <f>IF(ISNUMBER($AN350),ABS(IF(ISNUMBER($G350),$G350,0)-Settings!$B$25),"")</f>
        <v/>
      </c>
      <c r="AR350" s="152">
        <f>IF(ISNUMBER($AQ350),$AQ350*$AN350,"")</f>
        <v/>
      </c>
      <c r="AS350" s="152">
        <f>IF($A350="","",IFERROR(INDEX(Company_List!$H$3:$H$207,MATCH($A350,Company_List!$A$3:$A$207,0)),"unassigned"))</f>
        <v/>
      </c>
    </row>
    <row r="351">
      <c r="A351" s="191" t="inlineStr">
        <is>
          <t>Costco</t>
        </is>
      </c>
      <c r="B351" s="188" t="inlineStr">
        <is>
          <t>COST</t>
        </is>
      </c>
      <c r="C351" s="176" t="n">
        <v>2026</v>
      </c>
      <c r="D351" s="177" t="inlineStr">
        <is>
          <t>Q3</t>
        </is>
      </c>
      <c r="E351" s="178" t="inlineStr">
        <is>
          <t>LLM (DeepSeek)</t>
        </is>
      </c>
      <c r="F351" s="177" t="inlineStr">
        <is>
          <t>LLM</t>
        </is>
      </c>
      <c r="G351" s="196" t="n">
        <v>0.1</v>
      </c>
      <c r="H351" s="177" t="inlineStr">
        <is>
          <t>HOLD</t>
        </is>
      </c>
      <c r="J351" s="182" t="n">
        <v>46170</v>
      </c>
      <c r="K351" s="182" t="n">
        <v>46170</v>
      </c>
      <c r="L351" s="183" t="n">
        <v>995.2</v>
      </c>
      <c r="M351" s="182" t="n">
        <v>46171</v>
      </c>
      <c r="N351" s="183" t="n">
        <v>986.5700000000001</v>
      </c>
      <c r="O351" s="180" t="n">
        <v>0.00779</v>
      </c>
      <c r="P351" s="197" t="n">
        <v>-0.008699999999999999</v>
      </c>
      <c r="V351" s="152" t="inlineStr">
        <is>
          <t>EXTENSION</t>
        </is>
      </c>
      <c r="W351" t="inlineStr">
        <is>
          <t>copied from Human_Data_Entry's EDGAR-anchored correction (same event, price fact independent of reading arm); patched 2026-08-27. Original: earnings calendar, seconded independently</t>
        </is>
      </c>
      <c r="X351" t="inlineStr">
        <is>
          <t>COST</t>
        </is>
      </c>
      <c r="Y351" t="inlineStr">
        <is>
          <t>2026-05-28</t>
        </is>
      </c>
      <c r="Z351" t="n">
        <v>993.6202</v>
      </c>
      <c r="AA351" t="inlineStr">
        <is>
          <t>2026-05-29</t>
        </is>
      </c>
      <c r="AB351" t="n">
        <v>985.0039</v>
      </c>
      <c r="AC351" t="n">
        <v>-0.008671639954925163</v>
      </c>
      <c r="AD351" t="inlineStr">
        <is>
          <t>FLAT</t>
        </is>
      </c>
      <c r="AG351" s="152">
        <f>IF($A351="","",IFERROR(INDEX(Company_List!$G$3:$G$207,MATCH($A351,Company_List!$A$3:$A$207,0)),"unassigned"))</f>
        <v/>
      </c>
      <c r="AK351" s="152">
        <f>IF($A351="","",IF(COUNTIFS(Human_Data_Entry!$A$3:$A$525,$A351)&gt;0,"YES","NO"))</f>
        <v/>
      </c>
      <c r="AL351" s="152">
        <f>IF($A351="","",IF(AND($C351&amp;"-"&amp;$D351&gt;=Settings!$B$19,$C351&amp;"-"&amp;$D351&lt;=Settings!$B$20),"IN","OUT"))</f>
        <v/>
      </c>
      <c r="AM351" s="152">
        <f>IF(AND(OR($H351="BUY",$H351="SELL"),ISNUMBER($T351)),$T351,"")</f>
        <v/>
      </c>
      <c r="AN351" s="152">
        <f>IF(AND(OR($H351="BUY",$H351="SELL"),ISNUMBER($AF351)),$AF351,"")</f>
        <v/>
      </c>
      <c r="AO351" s="152">
        <f>IF(ISNUMBER($AM351),ABS(IF(ISNUMBER($G351),$G351,0)-Settings!$B$25),"")</f>
        <v/>
      </c>
      <c r="AP351" s="152">
        <f>IF(ISNUMBER($AO351),$AO351*$AM351,"")</f>
        <v/>
      </c>
      <c r="AQ351" s="152">
        <f>IF(ISNUMBER($AN351),ABS(IF(ISNUMBER($G351),$G351,0)-Settings!$B$25),"")</f>
        <v/>
      </c>
      <c r="AR351" s="152">
        <f>IF(ISNUMBER($AQ351),$AQ351*$AN351,"")</f>
        <v/>
      </c>
      <c r="AS351" s="152">
        <f>IF($A351="","",IFERROR(INDEX(Company_List!$H$3:$H$207,MATCH($A351,Company_List!$A$3:$A$207,0)),"unassigned"))</f>
        <v/>
      </c>
    </row>
    <row r="352">
      <c r="A352" s="191" t="inlineStr">
        <is>
          <t>Adobe</t>
        </is>
      </c>
      <c r="B352" s="188" t="inlineStr">
        <is>
          <t>ADBE</t>
        </is>
      </c>
      <c r="C352" s="176" t="n">
        <v>2026</v>
      </c>
      <c r="D352" s="177" t="inlineStr">
        <is>
          <t>Q2</t>
        </is>
      </c>
      <c r="E352" s="178" t="inlineStr">
        <is>
          <t>LLM (DeepSeek)</t>
        </is>
      </c>
      <c r="F352" s="177" t="inlineStr">
        <is>
          <t>LLM</t>
        </is>
      </c>
      <c r="G352" s="196" t="n">
        <v>0.22</v>
      </c>
      <c r="H352" s="177" t="inlineStr">
        <is>
          <t>BUY</t>
        </is>
      </c>
      <c r="J352" s="182" t="n">
        <v>46184</v>
      </c>
      <c r="K352" s="182" t="n">
        <v>46184</v>
      </c>
      <c r="L352" s="183" t="n">
        <v>218.8</v>
      </c>
      <c r="M352" s="182" t="n">
        <v>46185</v>
      </c>
      <c r="N352" s="183" t="n">
        <v>202.4</v>
      </c>
      <c r="O352" s="180" t="n">
        <v>0.008580000000000001</v>
      </c>
      <c r="P352" s="197" t="n">
        <v>-0.075</v>
      </c>
      <c r="V352" s="152" t="inlineStr">
        <is>
          <t>EXTENSION</t>
        </is>
      </c>
      <c r="W352" t="inlineStr">
        <is>
          <t>copied from Human_Data_Entry's EDGAR-anchored correction (same event, price fact independent of reading arm); patched 2026-08-27. Original: price signal — both moved; this one dominates</t>
        </is>
      </c>
      <c r="X352" t="inlineStr">
        <is>
          <t>ADBE</t>
        </is>
      </c>
      <c r="Y352" t="inlineStr">
        <is>
          <t>2026-06-11</t>
        </is>
      </c>
      <c r="Z352" t="n">
        <v>218.8</v>
      </c>
      <c r="AA352" t="inlineStr">
        <is>
          <t>2026-06-12</t>
        </is>
      </c>
      <c r="AB352" t="n">
        <v>202.4</v>
      </c>
      <c r="AC352" t="n">
        <v>-0.0749543362666225</v>
      </c>
      <c r="AD352" t="inlineStr">
        <is>
          <t>DOWN</t>
        </is>
      </c>
      <c r="AG352" s="152">
        <f>IF($A352="","",IFERROR(INDEX(Company_List!$G$3:$G$207,MATCH($A352,Company_List!$A$3:$A$207,0)),"unassigned"))</f>
        <v/>
      </c>
      <c r="AK352" s="152">
        <f>IF($A352="","",IF(COUNTIFS(Human_Data_Entry!$A$3:$A$525,$A352)&gt;0,"YES","NO"))</f>
        <v/>
      </c>
      <c r="AL352" s="152">
        <f>IF($A352="","",IF(AND($C352&amp;"-"&amp;$D352&gt;=Settings!$B$19,$C352&amp;"-"&amp;$D352&lt;=Settings!$B$20),"IN","OUT"))</f>
        <v/>
      </c>
      <c r="AM352" s="152">
        <f>IF(AND(OR($H352="BUY",$H352="SELL"),ISNUMBER($T352)),$T352,"")</f>
        <v/>
      </c>
      <c r="AN352" s="152">
        <f>IF(AND(OR($H352="BUY",$H352="SELL"),ISNUMBER($AF352)),$AF352,"")</f>
        <v/>
      </c>
      <c r="AO352" s="152">
        <f>IF(ISNUMBER($AM352),ABS(IF(ISNUMBER($G352),$G352,0)-Settings!$B$25),"")</f>
        <v/>
      </c>
      <c r="AP352" s="152">
        <f>IF(ISNUMBER($AO352),$AO352*$AM352,"")</f>
        <v/>
      </c>
      <c r="AQ352" s="152">
        <f>IF(ISNUMBER($AN352),ABS(IF(ISNUMBER($G352),$G352,0)-Settings!$B$25),"")</f>
        <v/>
      </c>
      <c r="AR352" s="152">
        <f>IF(ISNUMBER($AQ352),$AQ352*$AN352,"")</f>
        <v/>
      </c>
      <c r="AS352" s="152">
        <f>IF($A352="","",IFERROR(INDEX(Company_List!$H$3:$H$207,MATCH($A352,Company_List!$A$3:$A$207,0)),"unassigned"))</f>
        <v/>
      </c>
    </row>
    <row r="353">
      <c r="A353" s="191" t="inlineStr">
        <is>
          <t>Colgate-Palmolive</t>
        </is>
      </c>
      <c r="B353" s="188" t="inlineStr">
        <is>
          <t>CL</t>
        </is>
      </c>
      <c r="C353" s="176" t="n">
        <v>2026</v>
      </c>
      <c r="D353" s="177" t="inlineStr">
        <is>
          <t>Q2</t>
        </is>
      </c>
      <c r="E353" s="178" t="inlineStr">
        <is>
          <t>LLM (DeepSeek)</t>
        </is>
      </c>
      <c r="F353" s="177" t="inlineStr">
        <is>
          <t>LLM</t>
        </is>
      </c>
      <c r="G353" s="196" t="n">
        <v>0.14</v>
      </c>
      <c r="H353" s="177" t="inlineStr">
        <is>
          <t>HOLD</t>
        </is>
      </c>
      <c r="J353" s="182" t="n">
        <v>46234</v>
      </c>
      <c r="K353" s="182" t="n">
        <v>46233</v>
      </c>
      <c r="L353" s="183" t="n">
        <v>91.59999999999999</v>
      </c>
      <c r="M353" s="182" t="n">
        <v>46234</v>
      </c>
      <c r="N353" s="183" t="n">
        <v>90.84999999999999</v>
      </c>
      <c r="O353" s="180" t="n">
        <v>0.005667</v>
      </c>
      <c r="P353" s="197" t="n">
        <v>-0.008200000000000001</v>
      </c>
      <c r="V353" s="152" t="inlineStr">
        <is>
          <t>EXTENSION</t>
        </is>
      </c>
      <c r="W353" t="inlineStr">
        <is>
          <t>copied from Human_Data_Entry's EDGAR-anchored correction (same event, price fact independent of reading arm); patched 2026-08-27. Original: recorded window spanned two sessions, closed to one</t>
        </is>
      </c>
      <c r="X353" t="inlineStr">
        <is>
          <t>CL</t>
        </is>
      </c>
      <c r="Y353" t="inlineStr">
        <is>
          <t>2026-07-30</t>
        </is>
      </c>
      <c r="Z353" t="n">
        <v>91.59999999999999</v>
      </c>
      <c r="AA353" t="inlineStr">
        <is>
          <t>2026-07-31</t>
        </is>
      </c>
      <c r="AB353" t="n">
        <v>90.84999999999999</v>
      </c>
      <c r="AC353" t="n">
        <v>-0.008187773104536375</v>
      </c>
      <c r="AD353" t="inlineStr">
        <is>
          <t>FLAT</t>
        </is>
      </c>
      <c r="AG353" s="152">
        <f>IF($A353="","",IFERROR(INDEX(Company_List!$G$3:$G$207,MATCH($A353,Company_List!$A$3:$A$207,0)),"unassigned"))</f>
        <v/>
      </c>
      <c r="AK353" s="152">
        <f>IF($A353="","",IF(COUNTIFS(Human_Data_Entry!$A$3:$A$525,$A353)&gt;0,"YES","NO"))</f>
        <v/>
      </c>
      <c r="AL353" s="152">
        <f>IF($A353="","",IF(AND($C353&amp;"-"&amp;$D353&gt;=Settings!$B$19,$C353&amp;"-"&amp;$D353&lt;=Settings!$B$20),"IN","OUT"))</f>
        <v/>
      </c>
      <c r="AM353" s="152">
        <f>IF(AND(OR($H353="BUY",$H353="SELL"),ISNUMBER($T353)),$T353,"")</f>
        <v/>
      </c>
      <c r="AN353" s="152">
        <f>IF(AND(OR($H353="BUY",$H353="SELL"),ISNUMBER($AF353)),$AF353,"")</f>
        <v/>
      </c>
      <c r="AO353" s="152">
        <f>IF(ISNUMBER($AM353),ABS(IF(ISNUMBER($G353),$G353,0)-Settings!$B$25),"")</f>
        <v/>
      </c>
      <c r="AP353" s="152">
        <f>IF(ISNUMBER($AO353),$AO353*$AM353,"")</f>
        <v/>
      </c>
      <c r="AQ353" s="152">
        <f>IF(ISNUMBER($AN353),ABS(IF(ISNUMBER($G353),$G353,0)-Settings!$B$25),"")</f>
        <v/>
      </c>
      <c r="AR353" s="152">
        <f>IF(ISNUMBER($AQ353),$AQ353*$AN353,"")</f>
        <v/>
      </c>
      <c r="AS353" s="152">
        <f>IF($A353="","",IFERROR(INDEX(Company_List!$H$3:$H$207,MATCH($A353,Company_List!$A$3:$A$207,0)),"unassigned"))</f>
        <v/>
      </c>
    </row>
    <row r="354">
      <c r="A354" s="191" t="inlineStr">
        <is>
          <t>Sony</t>
        </is>
      </c>
      <c r="B354" s="188" t="inlineStr">
        <is>
          <t>SONY</t>
        </is>
      </c>
      <c r="C354" s="176" t="n">
        <v>2026</v>
      </c>
      <c r="D354" s="177" t="inlineStr">
        <is>
          <t>Q1</t>
        </is>
      </c>
      <c r="E354" s="178" t="inlineStr">
        <is>
          <t>LLM (DeepSeek)</t>
        </is>
      </c>
      <c r="F354" s="177" t="inlineStr">
        <is>
          <t>LLM</t>
        </is>
      </c>
      <c r="G354" s="196" t="n">
        <v>0.18</v>
      </c>
      <c r="H354" s="177" t="inlineStr">
        <is>
          <t>HOLD</t>
        </is>
      </c>
      <c r="J354" s="182" t="n">
        <v>46235</v>
      </c>
      <c r="K354" s="182" t="n">
        <v>46234</v>
      </c>
      <c r="L354" s="183" t="n">
        <v>23.26</v>
      </c>
      <c r="M354" s="182" t="n">
        <v>46237</v>
      </c>
      <c r="N354" s="183" t="n">
        <v>22.7</v>
      </c>
      <c r="O354" s="180" t="n">
        <v>0.006011</v>
      </c>
      <c r="P354" s="197" t="n">
        <v>-0.0241</v>
      </c>
      <c r="V354" s="152" t="inlineStr">
        <is>
          <t>EXTENSION</t>
        </is>
      </c>
      <c r="W354" t="inlineStr">
        <is>
          <t>copied from Human_Data_Entry's EDGAR-anchored correction (same event, price fact independent of reading arm); patched 2026-08-27. Original: repriced on the issuer's primary listing</t>
        </is>
      </c>
      <c r="X354" t="inlineStr">
        <is>
          <t>6758.T</t>
        </is>
      </c>
      <c r="Y354" t="inlineStr">
        <is>
          <t>2026-07-31</t>
        </is>
      </c>
      <c r="Z354" t="n">
        <v>3787</v>
      </c>
      <c r="AA354" t="inlineStr">
        <is>
          <t>2026-08-03</t>
        </is>
      </c>
      <c r="AB354" t="n">
        <v>3598</v>
      </c>
      <c r="AC354" t="n">
        <v>-0.04990757855822551</v>
      </c>
      <c r="AD354" t="inlineStr">
        <is>
          <t>DOWN</t>
        </is>
      </c>
      <c r="AG354" s="152">
        <f>IF($A354="","",IFERROR(INDEX(Company_List!$G$3:$G$207,MATCH($A354,Company_List!$A$3:$A$207,0)),"unassigned"))</f>
        <v/>
      </c>
      <c r="AK354" s="152">
        <f>IF($A354="","",IF(COUNTIFS(Human_Data_Entry!$A$3:$A$525,$A354)&gt;0,"YES","NO"))</f>
        <v/>
      </c>
      <c r="AL354" s="152">
        <f>IF($A354="","",IF(AND($C354&amp;"-"&amp;$D354&gt;=Settings!$B$19,$C354&amp;"-"&amp;$D354&lt;=Settings!$B$20),"IN","OUT"))</f>
        <v/>
      </c>
      <c r="AM354" s="152">
        <f>IF(AND(OR($H354="BUY",$H354="SELL"),ISNUMBER($T354)),$T354,"")</f>
        <v/>
      </c>
      <c r="AN354" s="152">
        <f>IF(AND(OR($H354="BUY",$H354="SELL"),ISNUMBER($AF354)),$AF354,"")</f>
        <v/>
      </c>
      <c r="AO354" s="152">
        <f>IF(ISNUMBER($AM354),ABS(IF(ISNUMBER($G354),$G354,0)-Settings!$B$25),"")</f>
        <v/>
      </c>
      <c r="AP354" s="152">
        <f>IF(ISNUMBER($AO354),$AO354*$AM354,"")</f>
        <v/>
      </c>
      <c r="AQ354" s="152">
        <f>IF(ISNUMBER($AN354),ABS(IF(ISNUMBER($G354),$G354,0)-Settings!$B$25),"")</f>
        <v/>
      </c>
      <c r="AR354" s="152">
        <f>IF(ISNUMBER($AQ354),$AQ354*$AN354,"")</f>
        <v/>
      </c>
      <c r="AS354" s="152">
        <f>IF($A354="","",IFERROR(INDEX(Company_List!$H$3:$H$207,MATCH($A354,Company_List!$A$3:$A$207,0)),"unassigned"))</f>
        <v/>
      </c>
    </row>
  </sheetData>
  <conditionalFormatting sqref="P3:P354 T3:T354">
    <cfRule type="cellIs" priority="5" operator="greaterThan" dxfId="21">
      <formula>0</formula>
    </cfRule>
    <cfRule type="cellIs" priority="6" operator="lessThan" dxfId="20">
      <formula>0</formula>
    </cfRule>
  </conditionalFormatting>
  <conditionalFormatting sqref="Q3:Q354">
    <cfRule type="cellIs" priority="7" operator="equal" dxfId="21">
      <formula>"UP"</formula>
    </cfRule>
    <cfRule type="cellIs" priority="8" operator="equal" dxfId="20">
      <formula>"DOWN"</formula>
    </cfRule>
  </conditionalFormatting>
  <conditionalFormatting sqref="R3:R354">
    <cfRule type="cellIs" priority="1" operator="equal" dxfId="19">
      <formula>"YES"</formula>
    </cfRule>
    <cfRule type="cellIs" priority="2" operator="equal" dxfId="18">
      <formula>"NO"</formula>
    </cfRule>
  </conditionalFormatting>
  <dataValidations count="6">
    <dataValidation sqref="A3:A446" showDropDown="0" showInputMessage="1" showErrorMessage="1" allowBlank="1" errorTitle="Not on the list" error="Use the dropdown. Free text here will break the Summary counts." promptTitle="Company" prompt="Pick from the company list." type="list">
      <formula1>CompanyList</formula1>
    </dataValidation>
    <dataValidation sqref="C3:C446" showDropDown="0" showInputMessage="1" showErrorMessage="1" allowBlank="1" errorTitle="Not on the list" error="Use the dropdown. Free text here will break the Summary counts." promptTitle="Year" prompt="Pick a year." type="list">
      <formula1>YearList</formula1>
    </dataValidation>
    <dataValidation sqref="D3:D446" showDropDown="0" showInputMessage="1" showErrorMessage="1" allowBlank="1" errorTitle="Not on the list" error="Use the dropdown. Free text here will break the Summary counts." promptTitle="Quarter" prompt="Pick Q1 to Q4." type="list">
      <formula1>QuarterList</formula1>
    </dataValidation>
    <dataValidation sqref="E3:E446" showDropDown="0" showInputMessage="1" showErrorMessage="1" allowBlank="1" errorTitle="Not on the list" error="Use the dropdown. Free text here will break the Summary counts." promptTitle="Rater" prompt="Pick a rater from Settings." type="list">
      <formula1>RaterList</formula1>
    </dataValidation>
    <dataValidation sqref="H3:H446" showDropDown="0" showInputMessage="1" showErrorMessage="1" allowBlank="1" errorTitle="Not on the list" error="Use the dropdown. Free text here will break the Summary counts." promptTitle="Decision" prompt="Pick BUY, HOLD or SELL." type="list">
      <formula1>DecisionList</formula1>
    </dataValidation>
    <dataValidation sqref="G3:G446" showDropDown="0" showInputMessage="0" showErrorMessage="1" allowBlank="1" errorTitle="Out of range" error="Sentiment must be between -1.00 and +1.00." type="decimal">
      <formula1>-1</formula1>
      <formula2>1</formula2>
    </dataValidation>
  </dataValidations>
  <pageMargins left="0.75" right="0.75" top="1" bottom="1" header="0.511811023622047" footer="0.511811023622047"/>
  <pageSetup orientation="landscape" paperSize="9" fitToHeight="0" horizontalDpi="300" verticalDpi="300"/>
  <tableParts count="1">
    <tablePart xmlns:r="http://schemas.openxmlformats.org/officeDocument/2006/relationships" r:id="rId1"/>
  </tableParts>
</worksheet>
</file>

<file path=xl/worksheets/sheet14.xml><?xml version="1.0" encoding="utf-8"?>
<worksheet xmlns="http://schemas.openxmlformats.org/spreadsheetml/2006/main">
  <sheetPr>
    <tabColor rgb="FFBFBFBF"/>
    <outlinePr summaryBelow="1" summaryRight="1"/>
    <pageSetUpPr fitToPage="1"/>
  </sheetPr>
  <dimension ref="A1:T424"/>
  <sheetViews>
    <sheetView showGridLines="0" workbookViewId="0">
      <pane ySplit="4" topLeftCell="A397" activePane="bottomLeft" state="frozen"/>
      <selection pane="bottomLeft" activeCell="A1" sqref="A1"/>
    </sheetView>
  </sheetViews>
  <sheetFormatPr baseColWidth="8" defaultColWidth="8.85546875" defaultRowHeight="15"/>
  <cols>
    <col width="20" customWidth="1" style="241" min="1" max="1"/>
    <col width="9" customWidth="1" style="241" min="2" max="2"/>
    <col width="7" customWidth="1" style="241" min="3" max="3"/>
    <col width="8" customWidth="1" style="241" min="4" max="4"/>
    <col width="12" customWidth="1" style="241" min="5" max="5"/>
    <col width="20" customWidth="1" style="241" min="6" max="6"/>
    <col width="13" customWidth="1" style="241" min="7" max="7"/>
    <col width="18" customWidth="1" style="241" min="8" max="8"/>
    <col width="8" customWidth="1" style="241" min="9" max="9"/>
    <col width="36" customWidth="1" style="241" min="10" max="10"/>
    <col width="46" customWidth="1" style="241" min="11" max="11"/>
    <col width="24" customWidth="1" style="241" min="12" max="12"/>
    <col width="22" customWidth="1" style="241" min="13" max="14"/>
    <col width="16" customWidth="1" style="241" min="15" max="15"/>
    <col width="12" customWidth="1" style="241" min="16" max="17"/>
    <col width="22" customWidth="1" style="241" min="18" max="18"/>
    <col width="14" customWidth="1" style="241" min="19" max="19"/>
    <col width="34" customWidth="1" style="241" min="20" max="20"/>
  </cols>
  <sheetData>
    <row r="1" ht="18.95" customHeight="1" s="241">
      <c r="A1" s="102" t="inlineStr">
        <is>
          <t>Human arm — document provenance</t>
        </is>
      </c>
    </row>
    <row r="2" ht="39.95" customHeight="1" s="241">
      <c r="A2" s="238" t="inlineStr">
        <is>
          <t>Document provenance for every human reading. Price Basis Corrected records whether the row’s prices in Human_Data_Entry M to P were re-anchored on the verified release date. Frozen rows were re-anchored on 2026-08-13 and extension rows on 2026-08-14. Rows marked NO are human-only events with no verified release date available and remain on the original report_date basis.</t>
        </is>
      </c>
    </row>
    <row r="4" ht="30" customHeight="1" s="241">
      <c r="A4" s="151" t="inlineStr">
        <is>
          <t>Company</t>
        </is>
      </c>
      <c r="B4" s="151" t="inlineStr">
        <is>
          <t>Ticker</t>
        </is>
      </c>
      <c r="C4" s="151" t="inlineStr">
        <is>
          <t>Year</t>
        </is>
      </c>
      <c r="D4" s="151" t="inlineStr">
        <is>
          <t>Quarter</t>
        </is>
      </c>
      <c r="E4" s="151" t="inlineStr">
        <is>
          <t>Rater</t>
        </is>
      </c>
      <c r="F4" s="151" t="inlineStr">
        <is>
          <t>Event Key</t>
        </is>
      </c>
      <c r="G4" s="151" t="inlineStr">
        <is>
          <t>Event Set</t>
        </is>
      </c>
      <c r="H4" s="151" t="inlineStr">
        <is>
          <t>Sector</t>
        </is>
      </c>
      <c r="I4" s="151" t="inlineStr">
        <is>
          <t>Phase</t>
        </is>
      </c>
      <c r="J4" s="151" t="inlineStr">
        <is>
          <t>Source File</t>
        </is>
      </c>
      <c r="K4" s="151" t="inlineStr">
        <is>
          <t>Source URL</t>
        </is>
      </c>
      <c r="L4" s="151" t="inlineStr">
        <is>
          <t>Source Basis</t>
        </is>
      </c>
      <c r="M4" s="151" t="inlineStr">
        <is>
          <t>Documents Cited</t>
        </is>
      </c>
      <c r="N4" s="151" t="inlineStr">
        <is>
          <t>Publisher</t>
        </is>
      </c>
      <c r="O4" s="151" t="inlineStr">
        <is>
          <t>Licence Class</t>
        </is>
      </c>
      <c r="P4" s="151" t="inlineStr">
        <is>
          <t>SEC Filing</t>
        </is>
      </c>
      <c r="Q4" s="151" t="inlineStr">
        <is>
          <t>In Manifest</t>
        </is>
      </c>
      <c r="R4" s="151" t="inlineStr">
        <is>
          <t>Doc Date Basis</t>
        </is>
      </c>
      <c r="S4" s="151" t="inlineStr">
        <is>
          <t>Price Basis Corrected</t>
        </is>
      </c>
      <c r="T4" s="151" t="inlineStr">
        <is>
          <t>Not Corrected Reason</t>
        </is>
      </c>
    </row>
    <row r="5" ht="15" customHeight="1" s="241">
      <c r="A5" s="103">
        <f>IF(Human_Data_Entry!A3="","",Human_Data_Entry!A3)</f>
        <v/>
      </c>
      <c r="B5" s="103">
        <f>IF(Human_Data_Entry!B3="","",Human_Data_Entry!B3)</f>
        <v/>
      </c>
      <c r="C5" s="104">
        <f>IF(Human_Data_Entry!C3="","",Human_Data_Entry!C3)</f>
        <v/>
      </c>
      <c r="D5" s="103">
        <f>IF(Human_Data_Entry!D3="","",Human_Data_Entry!D3)</f>
        <v/>
      </c>
      <c r="E5" s="103">
        <f>IF(Human_Data_Entry!G3="","",Human_Data_Entry!G3)</f>
        <v/>
      </c>
      <c r="F5" s="103">
        <f>IF(Human_Data_Entry!X3="","",Human_Data_Entry!X3)</f>
        <v/>
      </c>
      <c r="G5" s="103">
        <f>IF(Human_Data_Entry!AY3="","",Human_Data_Entry!AY3)</f>
        <v/>
      </c>
      <c r="H5" s="103">
        <f>IF(Human_Data_Entry!AZ3="","",Human_Data_Entry!AZ3)</f>
        <v/>
      </c>
      <c r="I5" s="103">
        <f>IF(Human_Data_Entry!AL3="","",Human_Data_Entry!AL3)</f>
        <v/>
      </c>
      <c r="J5" s="103">
        <f>IF(Human_Data_Entry!AM3="","",Human_Data_Entry!AM3)</f>
        <v/>
      </c>
      <c r="K5" s="103">
        <f>IF(Human_Data_Entry!AN3="","",Human_Data_Entry!AN3)</f>
        <v/>
      </c>
      <c r="L5" s="103">
        <f>IF(Human_Data_Entry!AO3="","",Human_Data_Entry!AO3)</f>
        <v/>
      </c>
      <c r="M5" s="103">
        <f>IF(Human_Data_Entry!BM3="","",Human_Data_Entry!BM3)</f>
        <v/>
      </c>
      <c r="N5" s="103">
        <f>IF(Human_Data_Entry!BN3="","",Human_Data_Entry!BN3)</f>
        <v/>
      </c>
      <c r="O5" s="103">
        <f>IF(Human_Data_Entry!BO3="","",Human_Data_Entry!BO3)</f>
        <v/>
      </c>
      <c r="P5" s="103">
        <f>IF(Human_Data_Entry!BP3="","",Human_Data_Entry!BP3)</f>
        <v/>
      </c>
      <c r="Q5" s="103">
        <f>IF(Human_Data_Entry!BQ3="","",Human_Data_Entry!BQ3)</f>
        <v/>
      </c>
      <c r="R5" s="103">
        <f>IF(Human_Data_Entry!BR3="","",Human_Data_Entry!BR3)</f>
        <v/>
      </c>
      <c r="S5" s="103">
        <f>IF(Human_Data_Entry!BS3="","",Human_Data_Entry!BS3)</f>
        <v/>
      </c>
      <c r="T5" s="103">
        <f>IF(Human_Data_Entry!BT3="","",Human_Data_Entry!BT3)</f>
        <v/>
      </c>
    </row>
    <row r="6" ht="15" customHeight="1" s="241">
      <c r="A6" s="103">
        <f>IF(Human_Data_Entry!A4="","",Human_Data_Entry!A4)</f>
        <v/>
      </c>
      <c r="B6" s="103">
        <f>IF(Human_Data_Entry!B4="","",Human_Data_Entry!B4)</f>
        <v/>
      </c>
      <c r="C6" s="104">
        <f>IF(Human_Data_Entry!C4="","",Human_Data_Entry!C4)</f>
        <v/>
      </c>
      <c r="D6" s="103">
        <f>IF(Human_Data_Entry!D4="","",Human_Data_Entry!D4)</f>
        <v/>
      </c>
      <c r="E6" s="103">
        <f>IF(Human_Data_Entry!G4="","",Human_Data_Entry!G4)</f>
        <v/>
      </c>
      <c r="F6" s="103">
        <f>IF(Human_Data_Entry!X4="","",Human_Data_Entry!X4)</f>
        <v/>
      </c>
      <c r="G6" s="103">
        <f>IF(Human_Data_Entry!AY4="","",Human_Data_Entry!AY4)</f>
        <v/>
      </c>
      <c r="H6" s="103">
        <f>IF(Human_Data_Entry!AZ4="","",Human_Data_Entry!AZ4)</f>
        <v/>
      </c>
      <c r="I6" s="103">
        <f>IF(Human_Data_Entry!AL4="","",Human_Data_Entry!AL4)</f>
        <v/>
      </c>
      <c r="J6" s="103">
        <f>IF(Human_Data_Entry!AM4="","",Human_Data_Entry!AM4)</f>
        <v/>
      </c>
      <c r="K6" s="103">
        <f>IF(Human_Data_Entry!AN4="","",Human_Data_Entry!AN4)</f>
        <v/>
      </c>
      <c r="L6" s="103">
        <f>IF(Human_Data_Entry!AO4="","",Human_Data_Entry!AO4)</f>
        <v/>
      </c>
      <c r="M6" s="103">
        <f>IF(Human_Data_Entry!BM4="","",Human_Data_Entry!BM4)</f>
        <v/>
      </c>
      <c r="N6" s="103">
        <f>IF(Human_Data_Entry!BN4="","",Human_Data_Entry!BN4)</f>
        <v/>
      </c>
      <c r="O6" s="103">
        <f>IF(Human_Data_Entry!BO4="","",Human_Data_Entry!BO4)</f>
        <v/>
      </c>
      <c r="P6" s="103">
        <f>IF(Human_Data_Entry!BP4="","",Human_Data_Entry!BP4)</f>
        <v/>
      </c>
      <c r="Q6" s="103">
        <f>IF(Human_Data_Entry!BQ4="","",Human_Data_Entry!BQ4)</f>
        <v/>
      </c>
      <c r="R6" s="103">
        <f>IF(Human_Data_Entry!BR4="","",Human_Data_Entry!BR4)</f>
        <v/>
      </c>
      <c r="S6" s="103">
        <f>IF(Human_Data_Entry!BS4="","",Human_Data_Entry!BS4)</f>
        <v/>
      </c>
      <c r="T6" s="103">
        <f>IF(Human_Data_Entry!BT4="","",Human_Data_Entry!BT4)</f>
        <v/>
      </c>
    </row>
    <row r="7" ht="15" customHeight="1" s="241">
      <c r="A7" s="103">
        <f>IF(Human_Data_Entry!A5="","",Human_Data_Entry!A5)</f>
        <v/>
      </c>
      <c r="B7" s="103">
        <f>IF(Human_Data_Entry!B5="","",Human_Data_Entry!B5)</f>
        <v/>
      </c>
      <c r="C7" s="104">
        <f>IF(Human_Data_Entry!C5="","",Human_Data_Entry!C5)</f>
        <v/>
      </c>
      <c r="D7" s="103">
        <f>IF(Human_Data_Entry!D5="","",Human_Data_Entry!D5)</f>
        <v/>
      </c>
      <c r="E7" s="103">
        <f>IF(Human_Data_Entry!G5="","",Human_Data_Entry!G5)</f>
        <v/>
      </c>
      <c r="F7" s="103">
        <f>IF(Human_Data_Entry!X5="","",Human_Data_Entry!X5)</f>
        <v/>
      </c>
      <c r="G7" s="103">
        <f>IF(Human_Data_Entry!AY5="","",Human_Data_Entry!AY5)</f>
        <v/>
      </c>
      <c r="H7" s="103">
        <f>IF(Human_Data_Entry!AZ5="","",Human_Data_Entry!AZ5)</f>
        <v/>
      </c>
      <c r="I7" s="103">
        <f>IF(Human_Data_Entry!AL5="","",Human_Data_Entry!AL5)</f>
        <v/>
      </c>
      <c r="J7" s="103">
        <f>IF(Human_Data_Entry!AM5="","",Human_Data_Entry!AM5)</f>
        <v/>
      </c>
      <c r="K7" s="103">
        <f>IF(Human_Data_Entry!AN5="","",Human_Data_Entry!AN5)</f>
        <v/>
      </c>
      <c r="L7" s="103">
        <f>IF(Human_Data_Entry!AO5="","",Human_Data_Entry!AO5)</f>
        <v/>
      </c>
      <c r="M7" s="103">
        <f>IF(Human_Data_Entry!BM5="","",Human_Data_Entry!BM5)</f>
        <v/>
      </c>
      <c r="N7" s="103">
        <f>IF(Human_Data_Entry!BN5="","",Human_Data_Entry!BN5)</f>
        <v/>
      </c>
      <c r="O7" s="103">
        <f>IF(Human_Data_Entry!BO5="","",Human_Data_Entry!BO5)</f>
        <v/>
      </c>
      <c r="P7" s="103">
        <f>IF(Human_Data_Entry!BP5="","",Human_Data_Entry!BP5)</f>
        <v/>
      </c>
      <c r="Q7" s="103">
        <f>IF(Human_Data_Entry!BQ5="","",Human_Data_Entry!BQ5)</f>
        <v/>
      </c>
      <c r="R7" s="103">
        <f>IF(Human_Data_Entry!BR5="","",Human_Data_Entry!BR5)</f>
        <v/>
      </c>
      <c r="S7" s="103">
        <f>IF(Human_Data_Entry!BS5="","",Human_Data_Entry!BS5)</f>
        <v/>
      </c>
      <c r="T7" s="103">
        <f>IF(Human_Data_Entry!BT5="","",Human_Data_Entry!BT5)</f>
        <v/>
      </c>
    </row>
    <row r="8" ht="15" customHeight="1" s="241">
      <c r="A8" s="103">
        <f>IF(Human_Data_Entry!A6="","",Human_Data_Entry!A6)</f>
        <v/>
      </c>
      <c r="B8" s="103">
        <f>IF(Human_Data_Entry!B6="","",Human_Data_Entry!B6)</f>
        <v/>
      </c>
      <c r="C8" s="104">
        <f>IF(Human_Data_Entry!C6="","",Human_Data_Entry!C6)</f>
        <v/>
      </c>
      <c r="D8" s="103">
        <f>IF(Human_Data_Entry!D6="","",Human_Data_Entry!D6)</f>
        <v/>
      </c>
      <c r="E8" s="103">
        <f>IF(Human_Data_Entry!G6="","",Human_Data_Entry!G6)</f>
        <v/>
      </c>
      <c r="F8" s="103">
        <f>IF(Human_Data_Entry!X6="","",Human_Data_Entry!X6)</f>
        <v/>
      </c>
      <c r="G8" s="103">
        <f>IF(Human_Data_Entry!AY6="","",Human_Data_Entry!AY6)</f>
        <v/>
      </c>
      <c r="H8" s="103">
        <f>IF(Human_Data_Entry!AZ6="","",Human_Data_Entry!AZ6)</f>
        <v/>
      </c>
      <c r="I8" s="103">
        <f>IF(Human_Data_Entry!AL6="","",Human_Data_Entry!AL6)</f>
        <v/>
      </c>
      <c r="J8" s="103">
        <f>IF(Human_Data_Entry!AM6="","",Human_Data_Entry!AM6)</f>
        <v/>
      </c>
      <c r="K8" s="103">
        <f>IF(Human_Data_Entry!AN6="","",Human_Data_Entry!AN6)</f>
        <v/>
      </c>
      <c r="L8" s="103">
        <f>IF(Human_Data_Entry!AO6="","",Human_Data_Entry!AO6)</f>
        <v/>
      </c>
      <c r="M8" s="103">
        <f>IF(Human_Data_Entry!BM6="","",Human_Data_Entry!BM6)</f>
        <v/>
      </c>
      <c r="N8" s="103">
        <f>IF(Human_Data_Entry!BN6="","",Human_Data_Entry!BN6)</f>
        <v/>
      </c>
      <c r="O8" s="103">
        <f>IF(Human_Data_Entry!BO6="","",Human_Data_Entry!BO6)</f>
        <v/>
      </c>
      <c r="P8" s="103">
        <f>IF(Human_Data_Entry!BP6="","",Human_Data_Entry!BP6)</f>
        <v/>
      </c>
      <c r="Q8" s="103">
        <f>IF(Human_Data_Entry!BQ6="","",Human_Data_Entry!BQ6)</f>
        <v/>
      </c>
      <c r="R8" s="103">
        <f>IF(Human_Data_Entry!BR6="","",Human_Data_Entry!BR6)</f>
        <v/>
      </c>
      <c r="S8" s="103">
        <f>IF(Human_Data_Entry!BS6="","",Human_Data_Entry!BS6)</f>
        <v/>
      </c>
      <c r="T8" s="103">
        <f>IF(Human_Data_Entry!BT6="","",Human_Data_Entry!BT6)</f>
        <v/>
      </c>
    </row>
    <row r="9" ht="15" customHeight="1" s="241">
      <c r="A9" s="103">
        <f>IF(Human_Data_Entry!A7="","",Human_Data_Entry!A7)</f>
        <v/>
      </c>
      <c r="B9" s="103">
        <f>IF(Human_Data_Entry!B7="","",Human_Data_Entry!B7)</f>
        <v/>
      </c>
      <c r="C9" s="104">
        <f>IF(Human_Data_Entry!C7="","",Human_Data_Entry!C7)</f>
        <v/>
      </c>
      <c r="D9" s="103">
        <f>IF(Human_Data_Entry!D7="","",Human_Data_Entry!D7)</f>
        <v/>
      </c>
      <c r="E9" s="103">
        <f>IF(Human_Data_Entry!G7="","",Human_Data_Entry!G7)</f>
        <v/>
      </c>
      <c r="F9" s="103">
        <f>IF(Human_Data_Entry!X7="","",Human_Data_Entry!X7)</f>
        <v/>
      </c>
      <c r="G9" s="103">
        <f>IF(Human_Data_Entry!AY7="","",Human_Data_Entry!AY7)</f>
        <v/>
      </c>
      <c r="H9" s="103">
        <f>IF(Human_Data_Entry!AZ7="","",Human_Data_Entry!AZ7)</f>
        <v/>
      </c>
      <c r="I9" s="103">
        <f>IF(Human_Data_Entry!AL7="","",Human_Data_Entry!AL7)</f>
        <v/>
      </c>
      <c r="J9" s="103">
        <f>IF(Human_Data_Entry!AM7="","",Human_Data_Entry!AM7)</f>
        <v/>
      </c>
      <c r="K9" s="103">
        <f>IF(Human_Data_Entry!AN7="","",Human_Data_Entry!AN7)</f>
        <v/>
      </c>
      <c r="L9" s="103">
        <f>IF(Human_Data_Entry!AO7="","",Human_Data_Entry!AO7)</f>
        <v/>
      </c>
      <c r="M9" s="103">
        <f>IF(Human_Data_Entry!BM7="","",Human_Data_Entry!BM7)</f>
        <v/>
      </c>
      <c r="N9" s="103">
        <f>IF(Human_Data_Entry!BN7="","",Human_Data_Entry!BN7)</f>
        <v/>
      </c>
      <c r="O9" s="103">
        <f>IF(Human_Data_Entry!BO7="","",Human_Data_Entry!BO7)</f>
        <v/>
      </c>
      <c r="P9" s="103">
        <f>IF(Human_Data_Entry!BP7="","",Human_Data_Entry!BP7)</f>
        <v/>
      </c>
      <c r="Q9" s="103">
        <f>IF(Human_Data_Entry!BQ7="","",Human_Data_Entry!BQ7)</f>
        <v/>
      </c>
      <c r="R9" s="103">
        <f>IF(Human_Data_Entry!BR7="","",Human_Data_Entry!BR7)</f>
        <v/>
      </c>
      <c r="S9" s="103">
        <f>IF(Human_Data_Entry!BS7="","",Human_Data_Entry!BS7)</f>
        <v/>
      </c>
      <c r="T9" s="103">
        <f>IF(Human_Data_Entry!BT7="","",Human_Data_Entry!BT7)</f>
        <v/>
      </c>
    </row>
    <row r="10" ht="15" customHeight="1" s="241">
      <c r="A10" s="103">
        <f>IF(Human_Data_Entry!A8="","",Human_Data_Entry!A8)</f>
        <v/>
      </c>
      <c r="B10" s="103">
        <f>IF(Human_Data_Entry!B8="","",Human_Data_Entry!B8)</f>
        <v/>
      </c>
      <c r="C10" s="104">
        <f>IF(Human_Data_Entry!C8="","",Human_Data_Entry!C8)</f>
        <v/>
      </c>
      <c r="D10" s="103">
        <f>IF(Human_Data_Entry!D8="","",Human_Data_Entry!D8)</f>
        <v/>
      </c>
      <c r="E10" s="103">
        <f>IF(Human_Data_Entry!G8="","",Human_Data_Entry!G8)</f>
        <v/>
      </c>
      <c r="F10" s="103">
        <f>IF(Human_Data_Entry!X8="","",Human_Data_Entry!X8)</f>
        <v/>
      </c>
      <c r="G10" s="103">
        <f>IF(Human_Data_Entry!AY8="","",Human_Data_Entry!AY8)</f>
        <v/>
      </c>
      <c r="H10" s="103">
        <f>IF(Human_Data_Entry!AZ8="","",Human_Data_Entry!AZ8)</f>
        <v/>
      </c>
      <c r="I10" s="103">
        <f>IF(Human_Data_Entry!AL8="","",Human_Data_Entry!AL8)</f>
        <v/>
      </c>
      <c r="J10" s="103">
        <f>IF(Human_Data_Entry!AM8="","",Human_Data_Entry!AM8)</f>
        <v/>
      </c>
      <c r="K10" s="103">
        <f>IF(Human_Data_Entry!AN8="","",Human_Data_Entry!AN8)</f>
        <v/>
      </c>
      <c r="L10" s="103">
        <f>IF(Human_Data_Entry!AO8="","",Human_Data_Entry!AO8)</f>
        <v/>
      </c>
      <c r="M10" s="103">
        <f>IF(Human_Data_Entry!BM8="","",Human_Data_Entry!BM8)</f>
        <v/>
      </c>
      <c r="N10" s="103">
        <f>IF(Human_Data_Entry!BN8="","",Human_Data_Entry!BN8)</f>
        <v/>
      </c>
      <c r="O10" s="103">
        <f>IF(Human_Data_Entry!BO8="","",Human_Data_Entry!BO8)</f>
        <v/>
      </c>
      <c r="P10" s="103">
        <f>IF(Human_Data_Entry!BP8="","",Human_Data_Entry!BP8)</f>
        <v/>
      </c>
      <c r="Q10" s="103">
        <f>IF(Human_Data_Entry!BQ8="","",Human_Data_Entry!BQ8)</f>
        <v/>
      </c>
      <c r="R10" s="103">
        <f>IF(Human_Data_Entry!BR8="","",Human_Data_Entry!BR8)</f>
        <v/>
      </c>
      <c r="S10" s="103">
        <f>IF(Human_Data_Entry!BS8="","",Human_Data_Entry!BS8)</f>
        <v/>
      </c>
      <c r="T10" s="103">
        <f>IF(Human_Data_Entry!BT8="","",Human_Data_Entry!BT8)</f>
        <v/>
      </c>
    </row>
    <row r="11" ht="15" customHeight="1" s="241">
      <c r="A11" s="103">
        <f>IF(Human_Data_Entry!A9="","",Human_Data_Entry!A9)</f>
        <v/>
      </c>
      <c r="B11" s="103">
        <f>IF(Human_Data_Entry!B9="","",Human_Data_Entry!B9)</f>
        <v/>
      </c>
      <c r="C11" s="104">
        <f>IF(Human_Data_Entry!C9="","",Human_Data_Entry!C9)</f>
        <v/>
      </c>
      <c r="D11" s="103">
        <f>IF(Human_Data_Entry!D9="","",Human_Data_Entry!D9)</f>
        <v/>
      </c>
      <c r="E11" s="103">
        <f>IF(Human_Data_Entry!G9="","",Human_Data_Entry!G9)</f>
        <v/>
      </c>
      <c r="F11" s="103">
        <f>IF(Human_Data_Entry!X9="","",Human_Data_Entry!X9)</f>
        <v/>
      </c>
      <c r="G11" s="103">
        <f>IF(Human_Data_Entry!AY9="","",Human_Data_Entry!AY9)</f>
        <v/>
      </c>
      <c r="H11" s="103">
        <f>IF(Human_Data_Entry!AZ9="","",Human_Data_Entry!AZ9)</f>
        <v/>
      </c>
      <c r="I11" s="103">
        <f>IF(Human_Data_Entry!AL9="","",Human_Data_Entry!AL9)</f>
        <v/>
      </c>
      <c r="J11" s="103">
        <f>IF(Human_Data_Entry!AM9="","",Human_Data_Entry!AM9)</f>
        <v/>
      </c>
      <c r="K11" s="103">
        <f>IF(Human_Data_Entry!AN9="","",Human_Data_Entry!AN9)</f>
        <v/>
      </c>
      <c r="L11" s="103">
        <f>IF(Human_Data_Entry!AO9="","",Human_Data_Entry!AO9)</f>
        <v/>
      </c>
      <c r="M11" s="103">
        <f>IF(Human_Data_Entry!BM9="","",Human_Data_Entry!BM9)</f>
        <v/>
      </c>
      <c r="N11" s="103">
        <f>IF(Human_Data_Entry!BN9="","",Human_Data_Entry!BN9)</f>
        <v/>
      </c>
      <c r="O11" s="103">
        <f>IF(Human_Data_Entry!BO9="","",Human_Data_Entry!BO9)</f>
        <v/>
      </c>
      <c r="P11" s="103">
        <f>IF(Human_Data_Entry!BP9="","",Human_Data_Entry!BP9)</f>
        <v/>
      </c>
      <c r="Q11" s="103">
        <f>IF(Human_Data_Entry!BQ9="","",Human_Data_Entry!BQ9)</f>
        <v/>
      </c>
      <c r="R11" s="103">
        <f>IF(Human_Data_Entry!BR9="","",Human_Data_Entry!BR9)</f>
        <v/>
      </c>
      <c r="S11" s="103">
        <f>IF(Human_Data_Entry!BS9="","",Human_Data_Entry!BS9)</f>
        <v/>
      </c>
      <c r="T11" s="103">
        <f>IF(Human_Data_Entry!BT9="","",Human_Data_Entry!BT9)</f>
        <v/>
      </c>
    </row>
    <row r="12" ht="15" customHeight="1" s="241">
      <c r="A12" s="103">
        <f>IF(Human_Data_Entry!A10="","",Human_Data_Entry!A10)</f>
        <v/>
      </c>
      <c r="B12" s="103">
        <f>IF(Human_Data_Entry!B10="","",Human_Data_Entry!B10)</f>
        <v/>
      </c>
      <c r="C12" s="104">
        <f>IF(Human_Data_Entry!C10="","",Human_Data_Entry!C10)</f>
        <v/>
      </c>
      <c r="D12" s="103">
        <f>IF(Human_Data_Entry!D10="","",Human_Data_Entry!D10)</f>
        <v/>
      </c>
      <c r="E12" s="103">
        <f>IF(Human_Data_Entry!G10="","",Human_Data_Entry!G10)</f>
        <v/>
      </c>
      <c r="F12" s="103">
        <f>IF(Human_Data_Entry!X10="","",Human_Data_Entry!X10)</f>
        <v/>
      </c>
      <c r="G12" s="103">
        <f>IF(Human_Data_Entry!AY10="","",Human_Data_Entry!AY10)</f>
        <v/>
      </c>
      <c r="H12" s="103">
        <f>IF(Human_Data_Entry!AZ10="","",Human_Data_Entry!AZ10)</f>
        <v/>
      </c>
      <c r="I12" s="103">
        <f>IF(Human_Data_Entry!AL10="","",Human_Data_Entry!AL10)</f>
        <v/>
      </c>
      <c r="J12" s="103">
        <f>IF(Human_Data_Entry!AM10="","",Human_Data_Entry!AM10)</f>
        <v/>
      </c>
      <c r="K12" s="103">
        <f>IF(Human_Data_Entry!AN10="","",Human_Data_Entry!AN10)</f>
        <v/>
      </c>
      <c r="L12" s="103">
        <f>IF(Human_Data_Entry!AO10="","",Human_Data_Entry!AO10)</f>
        <v/>
      </c>
      <c r="M12" s="103">
        <f>IF(Human_Data_Entry!BM10="","",Human_Data_Entry!BM10)</f>
        <v/>
      </c>
      <c r="N12" s="103">
        <f>IF(Human_Data_Entry!BN10="","",Human_Data_Entry!BN10)</f>
        <v/>
      </c>
      <c r="O12" s="103">
        <f>IF(Human_Data_Entry!BO10="","",Human_Data_Entry!BO10)</f>
        <v/>
      </c>
      <c r="P12" s="103">
        <f>IF(Human_Data_Entry!BP10="","",Human_Data_Entry!BP10)</f>
        <v/>
      </c>
      <c r="Q12" s="103">
        <f>IF(Human_Data_Entry!BQ10="","",Human_Data_Entry!BQ10)</f>
        <v/>
      </c>
      <c r="R12" s="103">
        <f>IF(Human_Data_Entry!BR10="","",Human_Data_Entry!BR10)</f>
        <v/>
      </c>
      <c r="S12" s="103">
        <f>IF(Human_Data_Entry!BS10="","",Human_Data_Entry!BS10)</f>
        <v/>
      </c>
      <c r="T12" s="103">
        <f>IF(Human_Data_Entry!BT10="","",Human_Data_Entry!BT10)</f>
        <v/>
      </c>
    </row>
    <row r="13" ht="15" customHeight="1" s="241">
      <c r="A13" s="103">
        <f>IF(Human_Data_Entry!A11="","",Human_Data_Entry!A11)</f>
        <v/>
      </c>
      <c r="B13" s="103">
        <f>IF(Human_Data_Entry!B11="","",Human_Data_Entry!B11)</f>
        <v/>
      </c>
      <c r="C13" s="104">
        <f>IF(Human_Data_Entry!C11="","",Human_Data_Entry!C11)</f>
        <v/>
      </c>
      <c r="D13" s="103">
        <f>IF(Human_Data_Entry!D11="","",Human_Data_Entry!D11)</f>
        <v/>
      </c>
      <c r="E13" s="103">
        <f>IF(Human_Data_Entry!G11="","",Human_Data_Entry!G11)</f>
        <v/>
      </c>
      <c r="F13" s="103">
        <f>IF(Human_Data_Entry!X11="","",Human_Data_Entry!X11)</f>
        <v/>
      </c>
      <c r="G13" s="103">
        <f>IF(Human_Data_Entry!AY11="","",Human_Data_Entry!AY11)</f>
        <v/>
      </c>
      <c r="H13" s="103">
        <f>IF(Human_Data_Entry!AZ11="","",Human_Data_Entry!AZ11)</f>
        <v/>
      </c>
      <c r="I13" s="103">
        <f>IF(Human_Data_Entry!AL11="","",Human_Data_Entry!AL11)</f>
        <v/>
      </c>
      <c r="J13" s="103">
        <f>IF(Human_Data_Entry!AM11="","",Human_Data_Entry!AM11)</f>
        <v/>
      </c>
      <c r="K13" s="103">
        <f>IF(Human_Data_Entry!AN11="","",Human_Data_Entry!AN11)</f>
        <v/>
      </c>
      <c r="L13" s="103">
        <f>IF(Human_Data_Entry!AO11="","",Human_Data_Entry!AO11)</f>
        <v/>
      </c>
      <c r="M13" s="103">
        <f>IF(Human_Data_Entry!BM11="","",Human_Data_Entry!BM11)</f>
        <v/>
      </c>
      <c r="N13" s="103">
        <f>IF(Human_Data_Entry!BN11="","",Human_Data_Entry!BN11)</f>
        <v/>
      </c>
      <c r="O13" s="103">
        <f>IF(Human_Data_Entry!BO11="","",Human_Data_Entry!BO11)</f>
        <v/>
      </c>
      <c r="P13" s="103">
        <f>IF(Human_Data_Entry!BP11="","",Human_Data_Entry!BP11)</f>
        <v/>
      </c>
      <c r="Q13" s="103">
        <f>IF(Human_Data_Entry!BQ11="","",Human_Data_Entry!BQ11)</f>
        <v/>
      </c>
      <c r="R13" s="103">
        <f>IF(Human_Data_Entry!BR11="","",Human_Data_Entry!BR11)</f>
        <v/>
      </c>
      <c r="S13" s="103">
        <f>IF(Human_Data_Entry!BS11="","",Human_Data_Entry!BS11)</f>
        <v/>
      </c>
      <c r="T13" s="103">
        <f>IF(Human_Data_Entry!BT11="","",Human_Data_Entry!BT11)</f>
        <v/>
      </c>
    </row>
    <row r="14" ht="15" customHeight="1" s="241">
      <c r="A14" s="103">
        <f>IF(Human_Data_Entry!A12="","",Human_Data_Entry!A12)</f>
        <v/>
      </c>
      <c r="B14" s="103">
        <f>IF(Human_Data_Entry!B12="","",Human_Data_Entry!B12)</f>
        <v/>
      </c>
      <c r="C14" s="104">
        <f>IF(Human_Data_Entry!C12="","",Human_Data_Entry!C12)</f>
        <v/>
      </c>
      <c r="D14" s="103">
        <f>IF(Human_Data_Entry!D12="","",Human_Data_Entry!D12)</f>
        <v/>
      </c>
      <c r="E14" s="103">
        <f>IF(Human_Data_Entry!G12="","",Human_Data_Entry!G12)</f>
        <v/>
      </c>
      <c r="F14" s="103">
        <f>IF(Human_Data_Entry!X12="","",Human_Data_Entry!X12)</f>
        <v/>
      </c>
      <c r="G14" s="103">
        <f>IF(Human_Data_Entry!AY12="","",Human_Data_Entry!AY12)</f>
        <v/>
      </c>
      <c r="H14" s="103">
        <f>IF(Human_Data_Entry!AZ12="","",Human_Data_Entry!AZ12)</f>
        <v/>
      </c>
      <c r="I14" s="103">
        <f>IF(Human_Data_Entry!AL12="","",Human_Data_Entry!AL12)</f>
        <v/>
      </c>
      <c r="J14" s="103">
        <f>IF(Human_Data_Entry!AM12="","",Human_Data_Entry!AM12)</f>
        <v/>
      </c>
      <c r="K14" s="103">
        <f>IF(Human_Data_Entry!AN12="","",Human_Data_Entry!AN12)</f>
        <v/>
      </c>
      <c r="L14" s="103">
        <f>IF(Human_Data_Entry!AO12="","",Human_Data_Entry!AO12)</f>
        <v/>
      </c>
      <c r="M14" s="103">
        <f>IF(Human_Data_Entry!BM12="","",Human_Data_Entry!BM12)</f>
        <v/>
      </c>
      <c r="N14" s="103">
        <f>IF(Human_Data_Entry!BN12="","",Human_Data_Entry!BN12)</f>
        <v/>
      </c>
      <c r="O14" s="103">
        <f>IF(Human_Data_Entry!BO12="","",Human_Data_Entry!BO12)</f>
        <v/>
      </c>
      <c r="P14" s="103">
        <f>IF(Human_Data_Entry!BP12="","",Human_Data_Entry!BP12)</f>
        <v/>
      </c>
      <c r="Q14" s="103">
        <f>IF(Human_Data_Entry!BQ12="","",Human_Data_Entry!BQ12)</f>
        <v/>
      </c>
      <c r="R14" s="103">
        <f>IF(Human_Data_Entry!BR12="","",Human_Data_Entry!BR12)</f>
        <v/>
      </c>
      <c r="S14" s="103">
        <f>IF(Human_Data_Entry!BS12="","",Human_Data_Entry!BS12)</f>
        <v/>
      </c>
      <c r="T14" s="103">
        <f>IF(Human_Data_Entry!BT12="","",Human_Data_Entry!BT12)</f>
        <v/>
      </c>
    </row>
    <row r="15" ht="15" customHeight="1" s="241">
      <c r="A15" s="103">
        <f>IF(Human_Data_Entry!A13="","",Human_Data_Entry!A13)</f>
        <v/>
      </c>
      <c r="B15" s="103">
        <f>IF(Human_Data_Entry!B13="","",Human_Data_Entry!B13)</f>
        <v/>
      </c>
      <c r="C15" s="104">
        <f>IF(Human_Data_Entry!C13="","",Human_Data_Entry!C13)</f>
        <v/>
      </c>
      <c r="D15" s="103">
        <f>IF(Human_Data_Entry!D13="","",Human_Data_Entry!D13)</f>
        <v/>
      </c>
      <c r="E15" s="103">
        <f>IF(Human_Data_Entry!G13="","",Human_Data_Entry!G13)</f>
        <v/>
      </c>
      <c r="F15" s="103">
        <f>IF(Human_Data_Entry!X13="","",Human_Data_Entry!X13)</f>
        <v/>
      </c>
      <c r="G15" s="103">
        <f>IF(Human_Data_Entry!AY13="","",Human_Data_Entry!AY13)</f>
        <v/>
      </c>
      <c r="H15" s="103">
        <f>IF(Human_Data_Entry!AZ13="","",Human_Data_Entry!AZ13)</f>
        <v/>
      </c>
      <c r="I15" s="103">
        <f>IF(Human_Data_Entry!AL13="","",Human_Data_Entry!AL13)</f>
        <v/>
      </c>
      <c r="J15" s="103">
        <f>IF(Human_Data_Entry!AM13="","",Human_Data_Entry!AM13)</f>
        <v/>
      </c>
      <c r="K15" s="103">
        <f>IF(Human_Data_Entry!AN13="","",Human_Data_Entry!AN13)</f>
        <v/>
      </c>
      <c r="L15" s="103">
        <f>IF(Human_Data_Entry!AO13="","",Human_Data_Entry!AO13)</f>
        <v/>
      </c>
      <c r="M15" s="103">
        <f>IF(Human_Data_Entry!BM13="","",Human_Data_Entry!BM13)</f>
        <v/>
      </c>
      <c r="N15" s="103">
        <f>IF(Human_Data_Entry!BN13="","",Human_Data_Entry!BN13)</f>
        <v/>
      </c>
      <c r="O15" s="103">
        <f>IF(Human_Data_Entry!BO13="","",Human_Data_Entry!BO13)</f>
        <v/>
      </c>
      <c r="P15" s="103">
        <f>IF(Human_Data_Entry!BP13="","",Human_Data_Entry!BP13)</f>
        <v/>
      </c>
      <c r="Q15" s="103">
        <f>IF(Human_Data_Entry!BQ13="","",Human_Data_Entry!BQ13)</f>
        <v/>
      </c>
      <c r="R15" s="103">
        <f>IF(Human_Data_Entry!BR13="","",Human_Data_Entry!BR13)</f>
        <v/>
      </c>
      <c r="S15" s="103">
        <f>IF(Human_Data_Entry!BS13="","",Human_Data_Entry!BS13)</f>
        <v/>
      </c>
      <c r="T15" s="103">
        <f>IF(Human_Data_Entry!BT13="","",Human_Data_Entry!BT13)</f>
        <v/>
      </c>
    </row>
    <row r="16" ht="15" customHeight="1" s="241">
      <c r="A16" s="103">
        <f>IF(Human_Data_Entry!A14="","",Human_Data_Entry!A14)</f>
        <v/>
      </c>
      <c r="B16" s="103">
        <f>IF(Human_Data_Entry!B14="","",Human_Data_Entry!B14)</f>
        <v/>
      </c>
      <c r="C16" s="104">
        <f>IF(Human_Data_Entry!C14="","",Human_Data_Entry!C14)</f>
        <v/>
      </c>
      <c r="D16" s="103">
        <f>IF(Human_Data_Entry!D14="","",Human_Data_Entry!D14)</f>
        <v/>
      </c>
      <c r="E16" s="103">
        <f>IF(Human_Data_Entry!G14="","",Human_Data_Entry!G14)</f>
        <v/>
      </c>
      <c r="F16" s="103">
        <f>IF(Human_Data_Entry!X14="","",Human_Data_Entry!X14)</f>
        <v/>
      </c>
      <c r="G16" s="103">
        <f>IF(Human_Data_Entry!AY14="","",Human_Data_Entry!AY14)</f>
        <v/>
      </c>
      <c r="H16" s="103">
        <f>IF(Human_Data_Entry!AZ14="","",Human_Data_Entry!AZ14)</f>
        <v/>
      </c>
      <c r="I16" s="103">
        <f>IF(Human_Data_Entry!AL14="","",Human_Data_Entry!AL14)</f>
        <v/>
      </c>
      <c r="J16" s="103">
        <f>IF(Human_Data_Entry!AM14="","",Human_Data_Entry!AM14)</f>
        <v/>
      </c>
      <c r="K16" s="103">
        <f>IF(Human_Data_Entry!AN14="","",Human_Data_Entry!AN14)</f>
        <v/>
      </c>
      <c r="L16" s="103">
        <f>IF(Human_Data_Entry!AO14="","",Human_Data_Entry!AO14)</f>
        <v/>
      </c>
      <c r="M16" s="103">
        <f>IF(Human_Data_Entry!BM14="","",Human_Data_Entry!BM14)</f>
        <v/>
      </c>
      <c r="N16" s="103">
        <f>IF(Human_Data_Entry!BN14="","",Human_Data_Entry!BN14)</f>
        <v/>
      </c>
      <c r="O16" s="103">
        <f>IF(Human_Data_Entry!BO14="","",Human_Data_Entry!BO14)</f>
        <v/>
      </c>
      <c r="P16" s="103">
        <f>IF(Human_Data_Entry!BP14="","",Human_Data_Entry!BP14)</f>
        <v/>
      </c>
      <c r="Q16" s="103">
        <f>IF(Human_Data_Entry!BQ14="","",Human_Data_Entry!BQ14)</f>
        <v/>
      </c>
      <c r="R16" s="103">
        <f>IF(Human_Data_Entry!BR14="","",Human_Data_Entry!BR14)</f>
        <v/>
      </c>
      <c r="S16" s="103">
        <f>IF(Human_Data_Entry!BS14="","",Human_Data_Entry!BS14)</f>
        <v/>
      </c>
      <c r="T16" s="103">
        <f>IF(Human_Data_Entry!BT14="","",Human_Data_Entry!BT14)</f>
        <v/>
      </c>
    </row>
    <row r="17" ht="15" customHeight="1" s="241">
      <c r="A17" s="103">
        <f>IF(Human_Data_Entry!A15="","",Human_Data_Entry!A15)</f>
        <v/>
      </c>
      <c r="B17" s="103">
        <f>IF(Human_Data_Entry!B15="","",Human_Data_Entry!B15)</f>
        <v/>
      </c>
      <c r="C17" s="104">
        <f>IF(Human_Data_Entry!C15="","",Human_Data_Entry!C15)</f>
        <v/>
      </c>
      <c r="D17" s="103">
        <f>IF(Human_Data_Entry!D15="","",Human_Data_Entry!D15)</f>
        <v/>
      </c>
      <c r="E17" s="103">
        <f>IF(Human_Data_Entry!G15="","",Human_Data_Entry!G15)</f>
        <v/>
      </c>
      <c r="F17" s="103">
        <f>IF(Human_Data_Entry!X15="","",Human_Data_Entry!X15)</f>
        <v/>
      </c>
      <c r="G17" s="103">
        <f>IF(Human_Data_Entry!AY15="","",Human_Data_Entry!AY15)</f>
        <v/>
      </c>
      <c r="H17" s="103">
        <f>IF(Human_Data_Entry!AZ15="","",Human_Data_Entry!AZ15)</f>
        <v/>
      </c>
      <c r="I17" s="103">
        <f>IF(Human_Data_Entry!AL15="","",Human_Data_Entry!AL15)</f>
        <v/>
      </c>
      <c r="J17" s="103">
        <f>IF(Human_Data_Entry!AM15="","",Human_Data_Entry!AM15)</f>
        <v/>
      </c>
      <c r="K17" s="103">
        <f>IF(Human_Data_Entry!AN15="","",Human_Data_Entry!AN15)</f>
        <v/>
      </c>
      <c r="L17" s="103">
        <f>IF(Human_Data_Entry!AO15="","",Human_Data_Entry!AO15)</f>
        <v/>
      </c>
      <c r="M17" s="103">
        <f>IF(Human_Data_Entry!BM15="","",Human_Data_Entry!BM15)</f>
        <v/>
      </c>
      <c r="N17" s="103">
        <f>IF(Human_Data_Entry!BN15="","",Human_Data_Entry!BN15)</f>
        <v/>
      </c>
      <c r="O17" s="103">
        <f>IF(Human_Data_Entry!BO15="","",Human_Data_Entry!BO15)</f>
        <v/>
      </c>
      <c r="P17" s="103">
        <f>IF(Human_Data_Entry!BP15="","",Human_Data_Entry!BP15)</f>
        <v/>
      </c>
      <c r="Q17" s="103">
        <f>IF(Human_Data_Entry!BQ15="","",Human_Data_Entry!BQ15)</f>
        <v/>
      </c>
      <c r="R17" s="103">
        <f>IF(Human_Data_Entry!BR15="","",Human_Data_Entry!BR15)</f>
        <v/>
      </c>
      <c r="S17" s="103">
        <f>IF(Human_Data_Entry!BS15="","",Human_Data_Entry!BS15)</f>
        <v/>
      </c>
      <c r="T17" s="103">
        <f>IF(Human_Data_Entry!BT15="","",Human_Data_Entry!BT15)</f>
        <v/>
      </c>
    </row>
    <row r="18" ht="15" customHeight="1" s="241">
      <c r="A18" s="103">
        <f>IF(Human_Data_Entry!A16="","",Human_Data_Entry!A16)</f>
        <v/>
      </c>
      <c r="B18" s="103">
        <f>IF(Human_Data_Entry!B16="","",Human_Data_Entry!B16)</f>
        <v/>
      </c>
      <c r="C18" s="104">
        <f>IF(Human_Data_Entry!C16="","",Human_Data_Entry!C16)</f>
        <v/>
      </c>
      <c r="D18" s="103">
        <f>IF(Human_Data_Entry!D16="","",Human_Data_Entry!D16)</f>
        <v/>
      </c>
      <c r="E18" s="103">
        <f>IF(Human_Data_Entry!G16="","",Human_Data_Entry!G16)</f>
        <v/>
      </c>
      <c r="F18" s="103">
        <f>IF(Human_Data_Entry!X16="","",Human_Data_Entry!X16)</f>
        <v/>
      </c>
      <c r="G18" s="103">
        <f>IF(Human_Data_Entry!AY16="","",Human_Data_Entry!AY16)</f>
        <v/>
      </c>
      <c r="H18" s="103">
        <f>IF(Human_Data_Entry!AZ16="","",Human_Data_Entry!AZ16)</f>
        <v/>
      </c>
      <c r="I18" s="103">
        <f>IF(Human_Data_Entry!AL16="","",Human_Data_Entry!AL16)</f>
        <v/>
      </c>
      <c r="J18" s="103">
        <f>IF(Human_Data_Entry!AM16="","",Human_Data_Entry!AM16)</f>
        <v/>
      </c>
      <c r="K18" s="103">
        <f>IF(Human_Data_Entry!AN16="","",Human_Data_Entry!AN16)</f>
        <v/>
      </c>
      <c r="L18" s="103">
        <f>IF(Human_Data_Entry!AO16="","",Human_Data_Entry!AO16)</f>
        <v/>
      </c>
      <c r="M18" s="103">
        <f>IF(Human_Data_Entry!BM16="","",Human_Data_Entry!BM16)</f>
        <v/>
      </c>
      <c r="N18" s="103">
        <f>IF(Human_Data_Entry!BN16="","",Human_Data_Entry!BN16)</f>
        <v/>
      </c>
      <c r="O18" s="103">
        <f>IF(Human_Data_Entry!BO16="","",Human_Data_Entry!BO16)</f>
        <v/>
      </c>
      <c r="P18" s="103">
        <f>IF(Human_Data_Entry!BP16="","",Human_Data_Entry!BP16)</f>
        <v/>
      </c>
      <c r="Q18" s="103">
        <f>IF(Human_Data_Entry!BQ16="","",Human_Data_Entry!BQ16)</f>
        <v/>
      </c>
      <c r="R18" s="103">
        <f>IF(Human_Data_Entry!BR16="","",Human_Data_Entry!BR16)</f>
        <v/>
      </c>
      <c r="S18" s="103">
        <f>IF(Human_Data_Entry!BS16="","",Human_Data_Entry!BS16)</f>
        <v/>
      </c>
      <c r="T18" s="103">
        <f>IF(Human_Data_Entry!BT16="","",Human_Data_Entry!BT16)</f>
        <v/>
      </c>
    </row>
    <row r="19" ht="15" customHeight="1" s="241">
      <c r="A19" s="103">
        <f>IF(Human_Data_Entry!A17="","",Human_Data_Entry!A17)</f>
        <v/>
      </c>
      <c r="B19" s="103">
        <f>IF(Human_Data_Entry!B17="","",Human_Data_Entry!B17)</f>
        <v/>
      </c>
      <c r="C19" s="104">
        <f>IF(Human_Data_Entry!C17="","",Human_Data_Entry!C17)</f>
        <v/>
      </c>
      <c r="D19" s="103">
        <f>IF(Human_Data_Entry!D17="","",Human_Data_Entry!D17)</f>
        <v/>
      </c>
      <c r="E19" s="103">
        <f>IF(Human_Data_Entry!G17="","",Human_Data_Entry!G17)</f>
        <v/>
      </c>
      <c r="F19" s="103">
        <f>IF(Human_Data_Entry!X17="","",Human_Data_Entry!X17)</f>
        <v/>
      </c>
      <c r="G19" s="103">
        <f>IF(Human_Data_Entry!AY17="","",Human_Data_Entry!AY17)</f>
        <v/>
      </c>
      <c r="H19" s="103">
        <f>IF(Human_Data_Entry!AZ17="","",Human_Data_Entry!AZ17)</f>
        <v/>
      </c>
      <c r="I19" s="103">
        <f>IF(Human_Data_Entry!AL17="","",Human_Data_Entry!AL17)</f>
        <v/>
      </c>
      <c r="J19" s="103">
        <f>IF(Human_Data_Entry!AM17="","",Human_Data_Entry!AM17)</f>
        <v/>
      </c>
      <c r="K19" s="103">
        <f>IF(Human_Data_Entry!AN17="","",Human_Data_Entry!AN17)</f>
        <v/>
      </c>
      <c r="L19" s="103">
        <f>IF(Human_Data_Entry!AO17="","",Human_Data_Entry!AO17)</f>
        <v/>
      </c>
      <c r="M19" s="103">
        <f>IF(Human_Data_Entry!BM17="","",Human_Data_Entry!BM17)</f>
        <v/>
      </c>
      <c r="N19" s="103">
        <f>IF(Human_Data_Entry!BN17="","",Human_Data_Entry!BN17)</f>
        <v/>
      </c>
      <c r="O19" s="103">
        <f>IF(Human_Data_Entry!BO17="","",Human_Data_Entry!BO17)</f>
        <v/>
      </c>
      <c r="P19" s="103">
        <f>IF(Human_Data_Entry!BP17="","",Human_Data_Entry!BP17)</f>
        <v/>
      </c>
      <c r="Q19" s="103">
        <f>IF(Human_Data_Entry!BQ17="","",Human_Data_Entry!BQ17)</f>
        <v/>
      </c>
      <c r="R19" s="103">
        <f>IF(Human_Data_Entry!BR17="","",Human_Data_Entry!BR17)</f>
        <v/>
      </c>
      <c r="S19" s="103">
        <f>IF(Human_Data_Entry!BS17="","",Human_Data_Entry!BS17)</f>
        <v/>
      </c>
      <c r="T19" s="103">
        <f>IF(Human_Data_Entry!BT17="","",Human_Data_Entry!BT17)</f>
        <v/>
      </c>
    </row>
    <row r="20" ht="15" customHeight="1" s="241">
      <c r="A20" s="103">
        <f>IF(Human_Data_Entry!A18="","",Human_Data_Entry!A18)</f>
        <v/>
      </c>
      <c r="B20" s="103">
        <f>IF(Human_Data_Entry!B18="","",Human_Data_Entry!B18)</f>
        <v/>
      </c>
      <c r="C20" s="104">
        <f>IF(Human_Data_Entry!C18="","",Human_Data_Entry!C18)</f>
        <v/>
      </c>
      <c r="D20" s="103">
        <f>IF(Human_Data_Entry!D18="","",Human_Data_Entry!D18)</f>
        <v/>
      </c>
      <c r="E20" s="103">
        <f>IF(Human_Data_Entry!G18="","",Human_Data_Entry!G18)</f>
        <v/>
      </c>
      <c r="F20" s="103">
        <f>IF(Human_Data_Entry!X18="","",Human_Data_Entry!X18)</f>
        <v/>
      </c>
      <c r="G20" s="103">
        <f>IF(Human_Data_Entry!AY18="","",Human_Data_Entry!AY18)</f>
        <v/>
      </c>
      <c r="H20" s="103">
        <f>IF(Human_Data_Entry!AZ18="","",Human_Data_Entry!AZ18)</f>
        <v/>
      </c>
      <c r="I20" s="103">
        <f>IF(Human_Data_Entry!AL18="","",Human_Data_Entry!AL18)</f>
        <v/>
      </c>
      <c r="J20" s="103">
        <f>IF(Human_Data_Entry!AM18="","",Human_Data_Entry!AM18)</f>
        <v/>
      </c>
      <c r="K20" s="103">
        <f>IF(Human_Data_Entry!AN18="","",Human_Data_Entry!AN18)</f>
        <v/>
      </c>
      <c r="L20" s="103">
        <f>IF(Human_Data_Entry!AO18="","",Human_Data_Entry!AO18)</f>
        <v/>
      </c>
      <c r="M20" s="103">
        <f>IF(Human_Data_Entry!BM18="","",Human_Data_Entry!BM18)</f>
        <v/>
      </c>
      <c r="N20" s="103">
        <f>IF(Human_Data_Entry!BN18="","",Human_Data_Entry!BN18)</f>
        <v/>
      </c>
      <c r="O20" s="103">
        <f>IF(Human_Data_Entry!BO18="","",Human_Data_Entry!BO18)</f>
        <v/>
      </c>
      <c r="P20" s="103">
        <f>IF(Human_Data_Entry!BP18="","",Human_Data_Entry!BP18)</f>
        <v/>
      </c>
      <c r="Q20" s="103">
        <f>IF(Human_Data_Entry!BQ18="","",Human_Data_Entry!BQ18)</f>
        <v/>
      </c>
      <c r="R20" s="103">
        <f>IF(Human_Data_Entry!BR18="","",Human_Data_Entry!BR18)</f>
        <v/>
      </c>
      <c r="S20" s="103">
        <f>IF(Human_Data_Entry!BS18="","",Human_Data_Entry!BS18)</f>
        <v/>
      </c>
      <c r="T20" s="103">
        <f>IF(Human_Data_Entry!BT18="","",Human_Data_Entry!BT18)</f>
        <v/>
      </c>
    </row>
    <row r="21" ht="15" customHeight="1" s="241">
      <c r="A21" s="103">
        <f>IF(Human_Data_Entry!A19="","",Human_Data_Entry!A19)</f>
        <v/>
      </c>
      <c r="B21" s="103">
        <f>IF(Human_Data_Entry!B19="","",Human_Data_Entry!B19)</f>
        <v/>
      </c>
      <c r="C21" s="104">
        <f>IF(Human_Data_Entry!C19="","",Human_Data_Entry!C19)</f>
        <v/>
      </c>
      <c r="D21" s="103">
        <f>IF(Human_Data_Entry!D19="","",Human_Data_Entry!D19)</f>
        <v/>
      </c>
      <c r="E21" s="103">
        <f>IF(Human_Data_Entry!G19="","",Human_Data_Entry!G19)</f>
        <v/>
      </c>
      <c r="F21" s="103">
        <f>IF(Human_Data_Entry!X19="","",Human_Data_Entry!X19)</f>
        <v/>
      </c>
      <c r="G21" s="103">
        <f>IF(Human_Data_Entry!AY19="","",Human_Data_Entry!AY19)</f>
        <v/>
      </c>
      <c r="H21" s="103">
        <f>IF(Human_Data_Entry!AZ19="","",Human_Data_Entry!AZ19)</f>
        <v/>
      </c>
      <c r="I21" s="103">
        <f>IF(Human_Data_Entry!AL19="","",Human_Data_Entry!AL19)</f>
        <v/>
      </c>
      <c r="J21" s="103">
        <f>IF(Human_Data_Entry!AM19="","",Human_Data_Entry!AM19)</f>
        <v/>
      </c>
      <c r="K21" s="103">
        <f>IF(Human_Data_Entry!AN19="","",Human_Data_Entry!AN19)</f>
        <v/>
      </c>
      <c r="L21" s="103">
        <f>IF(Human_Data_Entry!AO19="","",Human_Data_Entry!AO19)</f>
        <v/>
      </c>
      <c r="M21" s="103">
        <f>IF(Human_Data_Entry!BM19="","",Human_Data_Entry!BM19)</f>
        <v/>
      </c>
      <c r="N21" s="103">
        <f>IF(Human_Data_Entry!BN19="","",Human_Data_Entry!BN19)</f>
        <v/>
      </c>
      <c r="O21" s="103">
        <f>IF(Human_Data_Entry!BO19="","",Human_Data_Entry!BO19)</f>
        <v/>
      </c>
      <c r="P21" s="103">
        <f>IF(Human_Data_Entry!BP19="","",Human_Data_Entry!BP19)</f>
        <v/>
      </c>
      <c r="Q21" s="103">
        <f>IF(Human_Data_Entry!BQ19="","",Human_Data_Entry!BQ19)</f>
        <v/>
      </c>
      <c r="R21" s="103">
        <f>IF(Human_Data_Entry!BR19="","",Human_Data_Entry!BR19)</f>
        <v/>
      </c>
      <c r="S21" s="103">
        <f>IF(Human_Data_Entry!BS19="","",Human_Data_Entry!BS19)</f>
        <v/>
      </c>
      <c r="T21" s="103">
        <f>IF(Human_Data_Entry!BT19="","",Human_Data_Entry!BT19)</f>
        <v/>
      </c>
    </row>
    <row r="22" ht="15" customHeight="1" s="241">
      <c r="A22" s="103">
        <f>IF(Human_Data_Entry!A20="","",Human_Data_Entry!A20)</f>
        <v/>
      </c>
      <c r="B22" s="103">
        <f>IF(Human_Data_Entry!B20="","",Human_Data_Entry!B20)</f>
        <v/>
      </c>
      <c r="C22" s="104">
        <f>IF(Human_Data_Entry!C20="","",Human_Data_Entry!C20)</f>
        <v/>
      </c>
      <c r="D22" s="103">
        <f>IF(Human_Data_Entry!D20="","",Human_Data_Entry!D20)</f>
        <v/>
      </c>
      <c r="E22" s="103">
        <f>IF(Human_Data_Entry!G20="","",Human_Data_Entry!G20)</f>
        <v/>
      </c>
      <c r="F22" s="103">
        <f>IF(Human_Data_Entry!X20="","",Human_Data_Entry!X20)</f>
        <v/>
      </c>
      <c r="G22" s="103">
        <f>IF(Human_Data_Entry!AY20="","",Human_Data_Entry!AY20)</f>
        <v/>
      </c>
      <c r="H22" s="103">
        <f>IF(Human_Data_Entry!AZ20="","",Human_Data_Entry!AZ20)</f>
        <v/>
      </c>
      <c r="I22" s="103">
        <f>IF(Human_Data_Entry!AL20="","",Human_Data_Entry!AL20)</f>
        <v/>
      </c>
      <c r="J22" s="103">
        <f>IF(Human_Data_Entry!AM20="","",Human_Data_Entry!AM20)</f>
        <v/>
      </c>
      <c r="K22" s="103">
        <f>IF(Human_Data_Entry!AN20="","",Human_Data_Entry!AN20)</f>
        <v/>
      </c>
      <c r="L22" s="103">
        <f>IF(Human_Data_Entry!AO20="","",Human_Data_Entry!AO20)</f>
        <v/>
      </c>
      <c r="M22" s="103">
        <f>IF(Human_Data_Entry!BM20="","",Human_Data_Entry!BM20)</f>
        <v/>
      </c>
      <c r="N22" s="103">
        <f>IF(Human_Data_Entry!BN20="","",Human_Data_Entry!BN20)</f>
        <v/>
      </c>
      <c r="O22" s="103">
        <f>IF(Human_Data_Entry!BO20="","",Human_Data_Entry!BO20)</f>
        <v/>
      </c>
      <c r="P22" s="103">
        <f>IF(Human_Data_Entry!BP20="","",Human_Data_Entry!BP20)</f>
        <v/>
      </c>
      <c r="Q22" s="103">
        <f>IF(Human_Data_Entry!BQ20="","",Human_Data_Entry!BQ20)</f>
        <v/>
      </c>
      <c r="R22" s="103">
        <f>IF(Human_Data_Entry!BR20="","",Human_Data_Entry!BR20)</f>
        <v/>
      </c>
      <c r="S22" s="103">
        <f>IF(Human_Data_Entry!BS20="","",Human_Data_Entry!BS20)</f>
        <v/>
      </c>
      <c r="T22" s="103">
        <f>IF(Human_Data_Entry!BT20="","",Human_Data_Entry!BT20)</f>
        <v/>
      </c>
    </row>
    <row r="23" ht="15" customHeight="1" s="241">
      <c r="A23" s="103">
        <f>IF(Human_Data_Entry!A21="","",Human_Data_Entry!A21)</f>
        <v/>
      </c>
      <c r="B23" s="103">
        <f>IF(Human_Data_Entry!B21="","",Human_Data_Entry!B21)</f>
        <v/>
      </c>
      <c r="C23" s="104">
        <f>IF(Human_Data_Entry!C21="","",Human_Data_Entry!C21)</f>
        <v/>
      </c>
      <c r="D23" s="103">
        <f>IF(Human_Data_Entry!D21="","",Human_Data_Entry!D21)</f>
        <v/>
      </c>
      <c r="E23" s="103">
        <f>IF(Human_Data_Entry!G21="","",Human_Data_Entry!G21)</f>
        <v/>
      </c>
      <c r="F23" s="103">
        <f>IF(Human_Data_Entry!X21="","",Human_Data_Entry!X21)</f>
        <v/>
      </c>
      <c r="G23" s="103">
        <f>IF(Human_Data_Entry!AY21="","",Human_Data_Entry!AY21)</f>
        <v/>
      </c>
      <c r="H23" s="103">
        <f>IF(Human_Data_Entry!AZ21="","",Human_Data_Entry!AZ21)</f>
        <v/>
      </c>
      <c r="I23" s="103">
        <f>IF(Human_Data_Entry!AL21="","",Human_Data_Entry!AL21)</f>
        <v/>
      </c>
      <c r="J23" s="103">
        <f>IF(Human_Data_Entry!AM21="","",Human_Data_Entry!AM21)</f>
        <v/>
      </c>
      <c r="K23" s="103">
        <f>IF(Human_Data_Entry!AN21="","",Human_Data_Entry!AN21)</f>
        <v/>
      </c>
      <c r="L23" s="103">
        <f>IF(Human_Data_Entry!AO21="","",Human_Data_Entry!AO21)</f>
        <v/>
      </c>
      <c r="M23" s="103">
        <f>IF(Human_Data_Entry!BM21="","",Human_Data_Entry!BM21)</f>
        <v/>
      </c>
      <c r="N23" s="103">
        <f>IF(Human_Data_Entry!BN21="","",Human_Data_Entry!BN21)</f>
        <v/>
      </c>
      <c r="O23" s="103">
        <f>IF(Human_Data_Entry!BO21="","",Human_Data_Entry!BO21)</f>
        <v/>
      </c>
      <c r="P23" s="103">
        <f>IF(Human_Data_Entry!BP21="","",Human_Data_Entry!BP21)</f>
        <v/>
      </c>
      <c r="Q23" s="103">
        <f>IF(Human_Data_Entry!BQ21="","",Human_Data_Entry!BQ21)</f>
        <v/>
      </c>
      <c r="R23" s="103">
        <f>IF(Human_Data_Entry!BR21="","",Human_Data_Entry!BR21)</f>
        <v/>
      </c>
      <c r="S23" s="103">
        <f>IF(Human_Data_Entry!BS21="","",Human_Data_Entry!BS21)</f>
        <v/>
      </c>
      <c r="T23" s="103">
        <f>IF(Human_Data_Entry!BT21="","",Human_Data_Entry!BT21)</f>
        <v/>
      </c>
    </row>
    <row r="24" ht="15" customHeight="1" s="241">
      <c r="A24" s="103">
        <f>IF(Human_Data_Entry!A22="","",Human_Data_Entry!A22)</f>
        <v/>
      </c>
      <c r="B24" s="103">
        <f>IF(Human_Data_Entry!B22="","",Human_Data_Entry!B22)</f>
        <v/>
      </c>
      <c r="C24" s="104">
        <f>IF(Human_Data_Entry!C22="","",Human_Data_Entry!C22)</f>
        <v/>
      </c>
      <c r="D24" s="103">
        <f>IF(Human_Data_Entry!D22="","",Human_Data_Entry!D22)</f>
        <v/>
      </c>
      <c r="E24" s="103">
        <f>IF(Human_Data_Entry!G22="","",Human_Data_Entry!G22)</f>
        <v/>
      </c>
      <c r="F24" s="103">
        <f>IF(Human_Data_Entry!X22="","",Human_Data_Entry!X22)</f>
        <v/>
      </c>
      <c r="G24" s="103">
        <f>IF(Human_Data_Entry!AY22="","",Human_Data_Entry!AY22)</f>
        <v/>
      </c>
      <c r="H24" s="103">
        <f>IF(Human_Data_Entry!AZ22="","",Human_Data_Entry!AZ22)</f>
        <v/>
      </c>
      <c r="I24" s="103">
        <f>IF(Human_Data_Entry!AL22="","",Human_Data_Entry!AL22)</f>
        <v/>
      </c>
      <c r="J24" s="103">
        <f>IF(Human_Data_Entry!AM22="","",Human_Data_Entry!AM22)</f>
        <v/>
      </c>
      <c r="K24" s="103">
        <f>IF(Human_Data_Entry!AN22="","",Human_Data_Entry!AN22)</f>
        <v/>
      </c>
      <c r="L24" s="103">
        <f>IF(Human_Data_Entry!AO22="","",Human_Data_Entry!AO22)</f>
        <v/>
      </c>
      <c r="M24" s="103">
        <f>IF(Human_Data_Entry!BM22="","",Human_Data_Entry!BM22)</f>
        <v/>
      </c>
      <c r="N24" s="103">
        <f>IF(Human_Data_Entry!BN22="","",Human_Data_Entry!BN22)</f>
        <v/>
      </c>
      <c r="O24" s="103">
        <f>IF(Human_Data_Entry!BO22="","",Human_Data_Entry!BO22)</f>
        <v/>
      </c>
      <c r="P24" s="103">
        <f>IF(Human_Data_Entry!BP22="","",Human_Data_Entry!BP22)</f>
        <v/>
      </c>
      <c r="Q24" s="103">
        <f>IF(Human_Data_Entry!BQ22="","",Human_Data_Entry!BQ22)</f>
        <v/>
      </c>
      <c r="R24" s="103">
        <f>IF(Human_Data_Entry!BR22="","",Human_Data_Entry!BR22)</f>
        <v/>
      </c>
      <c r="S24" s="103">
        <f>IF(Human_Data_Entry!BS22="","",Human_Data_Entry!BS22)</f>
        <v/>
      </c>
      <c r="T24" s="103">
        <f>IF(Human_Data_Entry!BT22="","",Human_Data_Entry!BT22)</f>
        <v/>
      </c>
    </row>
    <row r="25" ht="15" customHeight="1" s="241">
      <c r="A25" s="103">
        <f>IF(Human_Data_Entry!A23="","",Human_Data_Entry!A23)</f>
        <v/>
      </c>
      <c r="B25" s="103">
        <f>IF(Human_Data_Entry!B23="","",Human_Data_Entry!B23)</f>
        <v/>
      </c>
      <c r="C25" s="104">
        <f>IF(Human_Data_Entry!C23="","",Human_Data_Entry!C23)</f>
        <v/>
      </c>
      <c r="D25" s="103">
        <f>IF(Human_Data_Entry!D23="","",Human_Data_Entry!D23)</f>
        <v/>
      </c>
      <c r="E25" s="103">
        <f>IF(Human_Data_Entry!G23="","",Human_Data_Entry!G23)</f>
        <v/>
      </c>
      <c r="F25" s="103">
        <f>IF(Human_Data_Entry!X23="","",Human_Data_Entry!X23)</f>
        <v/>
      </c>
      <c r="G25" s="103">
        <f>IF(Human_Data_Entry!AY23="","",Human_Data_Entry!AY23)</f>
        <v/>
      </c>
      <c r="H25" s="103">
        <f>IF(Human_Data_Entry!AZ23="","",Human_Data_Entry!AZ23)</f>
        <v/>
      </c>
      <c r="I25" s="103">
        <f>IF(Human_Data_Entry!AL23="","",Human_Data_Entry!AL23)</f>
        <v/>
      </c>
      <c r="J25" s="103">
        <f>IF(Human_Data_Entry!AM23="","",Human_Data_Entry!AM23)</f>
        <v/>
      </c>
      <c r="K25" s="103">
        <f>IF(Human_Data_Entry!AN23="","",Human_Data_Entry!AN23)</f>
        <v/>
      </c>
      <c r="L25" s="103">
        <f>IF(Human_Data_Entry!AO23="","",Human_Data_Entry!AO23)</f>
        <v/>
      </c>
      <c r="M25" s="103">
        <f>IF(Human_Data_Entry!BM23="","",Human_Data_Entry!BM23)</f>
        <v/>
      </c>
      <c r="N25" s="103">
        <f>IF(Human_Data_Entry!BN23="","",Human_Data_Entry!BN23)</f>
        <v/>
      </c>
      <c r="O25" s="103">
        <f>IF(Human_Data_Entry!BO23="","",Human_Data_Entry!BO23)</f>
        <v/>
      </c>
      <c r="P25" s="103">
        <f>IF(Human_Data_Entry!BP23="","",Human_Data_Entry!BP23)</f>
        <v/>
      </c>
      <c r="Q25" s="103">
        <f>IF(Human_Data_Entry!BQ23="","",Human_Data_Entry!BQ23)</f>
        <v/>
      </c>
      <c r="R25" s="103">
        <f>IF(Human_Data_Entry!BR23="","",Human_Data_Entry!BR23)</f>
        <v/>
      </c>
      <c r="S25" s="103">
        <f>IF(Human_Data_Entry!BS23="","",Human_Data_Entry!BS23)</f>
        <v/>
      </c>
      <c r="T25" s="103">
        <f>IF(Human_Data_Entry!BT23="","",Human_Data_Entry!BT23)</f>
        <v/>
      </c>
    </row>
    <row r="26" ht="15" customHeight="1" s="241">
      <c r="A26" s="103">
        <f>IF(Human_Data_Entry!A24="","",Human_Data_Entry!A24)</f>
        <v/>
      </c>
      <c r="B26" s="103">
        <f>IF(Human_Data_Entry!B24="","",Human_Data_Entry!B24)</f>
        <v/>
      </c>
      <c r="C26" s="104">
        <f>IF(Human_Data_Entry!C24="","",Human_Data_Entry!C24)</f>
        <v/>
      </c>
      <c r="D26" s="103">
        <f>IF(Human_Data_Entry!D24="","",Human_Data_Entry!D24)</f>
        <v/>
      </c>
      <c r="E26" s="103">
        <f>IF(Human_Data_Entry!G24="","",Human_Data_Entry!G24)</f>
        <v/>
      </c>
      <c r="F26" s="103">
        <f>IF(Human_Data_Entry!X24="","",Human_Data_Entry!X24)</f>
        <v/>
      </c>
      <c r="G26" s="103">
        <f>IF(Human_Data_Entry!AY24="","",Human_Data_Entry!AY24)</f>
        <v/>
      </c>
      <c r="H26" s="103">
        <f>IF(Human_Data_Entry!AZ24="","",Human_Data_Entry!AZ24)</f>
        <v/>
      </c>
      <c r="I26" s="103">
        <f>IF(Human_Data_Entry!AL24="","",Human_Data_Entry!AL24)</f>
        <v/>
      </c>
      <c r="J26" s="103">
        <f>IF(Human_Data_Entry!AM24="","",Human_Data_Entry!AM24)</f>
        <v/>
      </c>
      <c r="K26" s="103">
        <f>IF(Human_Data_Entry!AN24="","",Human_Data_Entry!AN24)</f>
        <v/>
      </c>
      <c r="L26" s="103">
        <f>IF(Human_Data_Entry!AO24="","",Human_Data_Entry!AO24)</f>
        <v/>
      </c>
      <c r="M26" s="103">
        <f>IF(Human_Data_Entry!BM24="","",Human_Data_Entry!BM24)</f>
        <v/>
      </c>
      <c r="N26" s="103">
        <f>IF(Human_Data_Entry!BN24="","",Human_Data_Entry!BN24)</f>
        <v/>
      </c>
      <c r="O26" s="103">
        <f>IF(Human_Data_Entry!BO24="","",Human_Data_Entry!BO24)</f>
        <v/>
      </c>
      <c r="P26" s="103">
        <f>IF(Human_Data_Entry!BP24="","",Human_Data_Entry!BP24)</f>
        <v/>
      </c>
      <c r="Q26" s="103">
        <f>IF(Human_Data_Entry!BQ24="","",Human_Data_Entry!BQ24)</f>
        <v/>
      </c>
      <c r="R26" s="103">
        <f>IF(Human_Data_Entry!BR24="","",Human_Data_Entry!BR24)</f>
        <v/>
      </c>
      <c r="S26" s="103">
        <f>IF(Human_Data_Entry!BS24="","",Human_Data_Entry!BS24)</f>
        <v/>
      </c>
      <c r="T26" s="103">
        <f>IF(Human_Data_Entry!BT24="","",Human_Data_Entry!BT24)</f>
        <v/>
      </c>
    </row>
    <row r="27" ht="15" customHeight="1" s="241">
      <c r="A27" s="103">
        <f>IF(Human_Data_Entry!A25="","",Human_Data_Entry!A25)</f>
        <v/>
      </c>
      <c r="B27" s="103">
        <f>IF(Human_Data_Entry!B25="","",Human_Data_Entry!B25)</f>
        <v/>
      </c>
      <c r="C27" s="104">
        <f>IF(Human_Data_Entry!C25="","",Human_Data_Entry!C25)</f>
        <v/>
      </c>
      <c r="D27" s="103">
        <f>IF(Human_Data_Entry!D25="","",Human_Data_Entry!D25)</f>
        <v/>
      </c>
      <c r="E27" s="103">
        <f>IF(Human_Data_Entry!G25="","",Human_Data_Entry!G25)</f>
        <v/>
      </c>
      <c r="F27" s="103">
        <f>IF(Human_Data_Entry!X25="","",Human_Data_Entry!X25)</f>
        <v/>
      </c>
      <c r="G27" s="103">
        <f>IF(Human_Data_Entry!AY25="","",Human_Data_Entry!AY25)</f>
        <v/>
      </c>
      <c r="H27" s="103">
        <f>IF(Human_Data_Entry!AZ25="","",Human_Data_Entry!AZ25)</f>
        <v/>
      </c>
      <c r="I27" s="103">
        <f>IF(Human_Data_Entry!AL25="","",Human_Data_Entry!AL25)</f>
        <v/>
      </c>
      <c r="J27" s="103">
        <f>IF(Human_Data_Entry!AM25="","",Human_Data_Entry!AM25)</f>
        <v/>
      </c>
      <c r="K27" s="103">
        <f>IF(Human_Data_Entry!AN25="","",Human_Data_Entry!AN25)</f>
        <v/>
      </c>
      <c r="L27" s="103">
        <f>IF(Human_Data_Entry!AO25="","",Human_Data_Entry!AO25)</f>
        <v/>
      </c>
      <c r="M27" s="103">
        <f>IF(Human_Data_Entry!BM25="","",Human_Data_Entry!BM25)</f>
        <v/>
      </c>
      <c r="N27" s="103">
        <f>IF(Human_Data_Entry!BN25="","",Human_Data_Entry!BN25)</f>
        <v/>
      </c>
      <c r="O27" s="103">
        <f>IF(Human_Data_Entry!BO25="","",Human_Data_Entry!BO25)</f>
        <v/>
      </c>
      <c r="P27" s="103">
        <f>IF(Human_Data_Entry!BP25="","",Human_Data_Entry!BP25)</f>
        <v/>
      </c>
      <c r="Q27" s="103">
        <f>IF(Human_Data_Entry!BQ25="","",Human_Data_Entry!BQ25)</f>
        <v/>
      </c>
      <c r="R27" s="103">
        <f>IF(Human_Data_Entry!BR25="","",Human_Data_Entry!BR25)</f>
        <v/>
      </c>
      <c r="S27" s="103">
        <f>IF(Human_Data_Entry!BS25="","",Human_Data_Entry!BS25)</f>
        <v/>
      </c>
      <c r="T27" s="103">
        <f>IF(Human_Data_Entry!BT25="","",Human_Data_Entry!BT25)</f>
        <v/>
      </c>
    </row>
    <row r="28" ht="15" customHeight="1" s="241">
      <c r="A28" s="103">
        <f>IF(Human_Data_Entry!A26="","",Human_Data_Entry!A26)</f>
        <v/>
      </c>
      <c r="B28" s="103">
        <f>IF(Human_Data_Entry!B26="","",Human_Data_Entry!B26)</f>
        <v/>
      </c>
      <c r="C28" s="104">
        <f>IF(Human_Data_Entry!C26="","",Human_Data_Entry!C26)</f>
        <v/>
      </c>
      <c r="D28" s="103">
        <f>IF(Human_Data_Entry!D26="","",Human_Data_Entry!D26)</f>
        <v/>
      </c>
      <c r="E28" s="103">
        <f>IF(Human_Data_Entry!G26="","",Human_Data_Entry!G26)</f>
        <v/>
      </c>
      <c r="F28" s="103">
        <f>IF(Human_Data_Entry!X26="","",Human_Data_Entry!X26)</f>
        <v/>
      </c>
      <c r="G28" s="103">
        <f>IF(Human_Data_Entry!AY26="","",Human_Data_Entry!AY26)</f>
        <v/>
      </c>
      <c r="H28" s="103">
        <f>IF(Human_Data_Entry!AZ26="","",Human_Data_Entry!AZ26)</f>
        <v/>
      </c>
      <c r="I28" s="103">
        <f>IF(Human_Data_Entry!AL26="","",Human_Data_Entry!AL26)</f>
        <v/>
      </c>
      <c r="J28" s="103">
        <f>IF(Human_Data_Entry!AM26="","",Human_Data_Entry!AM26)</f>
        <v/>
      </c>
      <c r="K28" s="103">
        <f>IF(Human_Data_Entry!AN26="","",Human_Data_Entry!AN26)</f>
        <v/>
      </c>
      <c r="L28" s="103">
        <f>IF(Human_Data_Entry!AO26="","",Human_Data_Entry!AO26)</f>
        <v/>
      </c>
      <c r="M28" s="103">
        <f>IF(Human_Data_Entry!BM26="","",Human_Data_Entry!BM26)</f>
        <v/>
      </c>
      <c r="N28" s="103">
        <f>IF(Human_Data_Entry!BN26="","",Human_Data_Entry!BN26)</f>
        <v/>
      </c>
      <c r="O28" s="103">
        <f>IF(Human_Data_Entry!BO26="","",Human_Data_Entry!BO26)</f>
        <v/>
      </c>
      <c r="P28" s="103">
        <f>IF(Human_Data_Entry!BP26="","",Human_Data_Entry!BP26)</f>
        <v/>
      </c>
      <c r="Q28" s="103">
        <f>IF(Human_Data_Entry!BQ26="","",Human_Data_Entry!BQ26)</f>
        <v/>
      </c>
      <c r="R28" s="103">
        <f>IF(Human_Data_Entry!BR26="","",Human_Data_Entry!BR26)</f>
        <v/>
      </c>
      <c r="S28" s="103">
        <f>IF(Human_Data_Entry!BS26="","",Human_Data_Entry!BS26)</f>
        <v/>
      </c>
      <c r="T28" s="103">
        <f>IF(Human_Data_Entry!BT26="","",Human_Data_Entry!BT26)</f>
        <v/>
      </c>
    </row>
    <row r="29" ht="15" customHeight="1" s="241">
      <c r="A29" s="103">
        <f>IF(Human_Data_Entry!A27="","",Human_Data_Entry!A27)</f>
        <v/>
      </c>
      <c r="B29" s="103">
        <f>IF(Human_Data_Entry!B27="","",Human_Data_Entry!B27)</f>
        <v/>
      </c>
      <c r="C29" s="104">
        <f>IF(Human_Data_Entry!C27="","",Human_Data_Entry!C27)</f>
        <v/>
      </c>
      <c r="D29" s="103">
        <f>IF(Human_Data_Entry!D27="","",Human_Data_Entry!D27)</f>
        <v/>
      </c>
      <c r="E29" s="103">
        <f>IF(Human_Data_Entry!G27="","",Human_Data_Entry!G27)</f>
        <v/>
      </c>
      <c r="F29" s="103">
        <f>IF(Human_Data_Entry!X27="","",Human_Data_Entry!X27)</f>
        <v/>
      </c>
      <c r="G29" s="103">
        <f>IF(Human_Data_Entry!AY27="","",Human_Data_Entry!AY27)</f>
        <v/>
      </c>
      <c r="H29" s="103">
        <f>IF(Human_Data_Entry!AZ27="","",Human_Data_Entry!AZ27)</f>
        <v/>
      </c>
      <c r="I29" s="103">
        <f>IF(Human_Data_Entry!AL27="","",Human_Data_Entry!AL27)</f>
        <v/>
      </c>
      <c r="J29" s="103">
        <f>IF(Human_Data_Entry!AM27="","",Human_Data_Entry!AM27)</f>
        <v/>
      </c>
      <c r="K29" s="103">
        <f>IF(Human_Data_Entry!AN27="","",Human_Data_Entry!AN27)</f>
        <v/>
      </c>
      <c r="L29" s="103">
        <f>IF(Human_Data_Entry!AO27="","",Human_Data_Entry!AO27)</f>
        <v/>
      </c>
      <c r="M29" s="103">
        <f>IF(Human_Data_Entry!BM27="","",Human_Data_Entry!BM27)</f>
        <v/>
      </c>
      <c r="N29" s="103">
        <f>IF(Human_Data_Entry!BN27="","",Human_Data_Entry!BN27)</f>
        <v/>
      </c>
      <c r="O29" s="103">
        <f>IF(Human_Data_Entry!BO27="","",Human_Data_Entry!BO27)</f>
        <v/>
      </c>
      <c r="P29" s="103">
        <f>IF(Human_Data_Entry!BP27="","",Human_Data_Entry!BP27)</f>
        <v/>
      </c>
      <c r="Q29" s="103">
        <f>IF(Human_Data_Entry!BQ27="","",Human_Data_Entry!BQ27)</f>
        <v/>
      </c>
      <c r="R29" s="103">
        <f>IF(Human_Data_Entry!BR27="","",Human_Data_Entry!BR27)</f>
        <v/>
      </c>
      <c r="S29" s="103">
        <f>IF(Human_Data_Entry!BS27="","",Human_Data_Entry!BS27)</f>
        <v/>
      </c>
      <c r="T29" s="103">
        <f>IF(Human_Data_Entry!BT27="","",Human_Data_Entry!BT27)</f>
        <v/>
      </c>
    </row>
    <row r="30" ht="15" customHeight="1" s="241">
      <c r="A30" s="103">
        <f>IF(Human_Data_Entry!A28="","",Human_Data_Entry!A28)</f>
        <v/>
      </c>
      <c r="B30" s="103">
        <f>IF(Human_Data_Entry!B28="","",Human_Data_Entry!B28)</f>
        <v/>
      </c>
      <c r="C30" s="104">
        <f>IF(Human_Data_Entry!C28="","",Human_Data_Entry!C28)</f>
        <v/>
      </c>
      <c r="D30" s="103">
        <f>IF(Human_Data_Entry!D28="","",Human_Data_Entry!D28)</f>
        <v/>
      </c>
      <c r="E30" s="103">
        <f>IF(Human_Data_Entry!G28="","",Human_Data_Entry!G28)</f>
        <v/>
      </c>
      <c r="F30" s="103">
        <f>IF(Human_Data_Entry!X28="","",Human_Data_Entry!X28)</f>
        <v/>
      </c>
      <c r="G30" s="103">
        <f>IF(Human_Data_Entry!AY28="","",Human_Data_Entry!AY28)</f>
        <v/>
      </c>
      <c r="H30" s="103">
        <f>IF(Human_Data_Entry!AZ28="","",Human_Data_Entry!AZ28)</f>
        <v/>
      </c>
      <c r="I30" s="103">
        <f>IF(Human_Data_Entry!AL28="","",Human_Data_Entry!AL28)</f>
        <v/>
      </c>
      <c r="J30" s="103">
        <f>IF(Human_Data_Entry!AM28="","",Human_Data_Entry!AM28)</f>
        <v/>
      </c>
      <c r="K30" s="103">
        <f>IF(Human_Data_Entry!AN28="","",Human_Data_Entry!AN28)</f>
        <v/>
      </c>
      <c r="L30" s="103">
        <f>IF(Human_Data_Entry!AO28="","",Human_Data_Entry!AO28)</f>
        <v/>
      </c>
      <c r="M30" s="103">
        <f>IF(Human_Data_Entry!BM28="","",Human_Data_Entry!BM28)</f>
        <v/>
      </c>
      <c r="N30" s="103">
        <f>IF(Human_Data_Entry!BN28="","",Human_Data_Entry!BN28)</f>
        <v/>
      </c>
      <c r="O30" s="103">
        <f>IF(Human_Data_Entry!BO28="","",Human_Data_Entry!BO28)</f>
        <v/>
      </c>
      <c r="P30" s="103">
        <f>IF(Human_Data_Entry!BP28="","",Human_Data_Entry!BP28)</f>
        <v/>
      </c>
      <c r="Q30" s="103">
        <f>IF(Human_Data_Entry!BQ28="","",Human_Data_Entry!BQ28)</f>
        <v/>
      </c>
      <c r="R30" s="103">
        <f>IF(Human_Data_Entry!BR28="","",Human_Data_Entry!BR28)</f>
        <v/>
      </c>
      <c r="S30" s="103">
        <f>IF(Human_Data_Entry!BS28="","",Human_Data_Entry!BS28)</f>
        <v/>
      </c>
      <c r="T30" s="103">
        <f>IF(Human_Data_Entry!BT28="","",Human_Data_Entry!BT28)</f>
        <v/>
      </c>
    </row>
    <row r="31" ht="15" customHeight="1" s="241">
      <c r="A31" s="103">
        <f>IF(Human_Data_Entry!A29="","",Human_Data_Entry!A29)</f>
        <v/>
      </c>
      <c r="B31" s="103">
        <f>IF(Human_Data_Entry!B29="","",Human_Data_Entry!B29)</f>
        <v/>
      </c>
      <c r="C31" s="104">
        <f>IF(Human_Data_Entry!C29="","",Human_Data_Entry!C29)</f>
        <v/>
      </c>
      <c r="D31" s="103">
        <f>IF(Human_Data_Entry!D29="","",Human_Data_Entry!D29)</f>
        <v/>
      </c>
      <c r="E31" s="103">
        <f>IF(Human_Data_Entry!G29="","",Human_Data_Entry!G29)</f>
        <v/>
      </c>
      <c r="F31" s="103">
        <f>IF(Human_Data_Entry!X29="","",Human_Data_Entry!X29)</f>
        <v/>
      </c>
      <c r="G31" s="103">
        <f>IF(Human_Data_Entry!AY29="","",Human_Data_Entry!AY29)</f>
        <v/>
      </c>
      <c r="H31" s="103">
        <f>IF(Human_Data_Entry!AZ29="","",Human_Data_Entry!AZ29)</f>
        <v/>
      </c>
      <c r="I31" s="103">
        <f>IF(Human_Data_Entry!AL29="","",Human_Data_Entry!AL29)</f>
        <v/>
      </c>
      <c r="J31" s="103">
        <f>IF(Human_Data_Entry!AM29="","",Human_Data_Entry!AM29)</f>
        <v/>
      </c>
      <c r="K31" s="103">
        <f>IF(Human_Data_Entry!AN29="","",Human_Data_Entry!AN29)</f>
        <v/>
      </c>
      <c r="L31" s="103">
        <f>IF(Human_Data_Entry!AO29="","",Human_Data_Entry!AO29)</f>
        <v/>
      </c>
      <c r="M31" s="103">
        <f>IF(Human_Data_Entry!BM29="","",Human_Data_Entry!BM29)</f>
        <v/>
      </c>
      <c r="N31" s="103">
        <f>IF(Human_Data_Entry!BN29="","",Human_Data_Entry!BN29)</f>
        <v/>
      </c>
      <c r="O31" s="103">
        <f>IF(Human_Data_Entry!BO29="","",Human_Data_Entry!BO29)</f>
        <v/>
      </c>
      <c r="P31" s="103">
        <f>IF(Human_Data_Entry!BP29="","",Human_Data_Entry!BP29)</f>
        <v/>
      </c>
      <c r="Q31" s="103">
        <f>IF(Human_Data_Entry!BQ29="","",Human_Data_Entry!BQ29)</f>
        <v/>
      </c>
      <c r="R31" s="103">
        <f>IF(Human_Data_Entry!BR29="","",Human_Data_Entry!BR29)</f>
        <v/>
      </c>
      <c r="S31" s="103">
        <f>IF(Human_Data_Entry!BS29="","",Human_Data_Entry!BS29)</f>
        <v/>
      </c>
      <c r="T31" s="103">
        <f>IF(Human_Data_Entry!BT29="","",Human_Data_Entry!BT29)</f>
        <v/>
      </c>
    </row>
    <row r="32" ht="15" customHeight="1" s="241">
      <c r="A32" s="103">
        <f>IF(Human_Data_Entry!A30="","",Human_Data_Entry!A30)</f>
        <v/>
      </c>
      <c r="B32" s="103">
        <f>IF(Human_Data_Entry!B30="","",Human_Data_Entry!B30)</f>
        <v/>
      </c>
      <c r="C32" s="104">
        <f>IF(Human_Data_Entry!C30="","",Human_Data_Entry!C30)</f>
        <v/>
      </c>
      <c r="D32" s="103">
        <f>IF(Human_Data_Entry!D30="","",Human_Data_Entry!D30)</f>
        <v/>
      </c>
      <c r="E32" s="103">
        <f>IF(Human_Data_Entry!G30="","",Human_Data_Entry!G30)</f>
        <v/>
      </c>
      <c r="F32" s="103">
        <f>IF(Human_Data_Entry!X30="","",Human_Data_Entry!X30)</f>
        <v/>
      </c>
      <c r="G32" s="103">
        <f>IF(Human_Data_Entry!AY30="","",Human_Data_Entry!AY30)</f>
        <v/>
      </c>
      <c r="H32" s="103">
        <f>IF(Human_Data_Entry!AZ30="","",Human_Data_Entry!AZ30)</f>
        <v/>
      </c>
      <c r="I32" s="103">
        <f>IF(Human_Data_Entry!AL30="","",Human_Data_Entry!AL30)</f>
        <v/>
      </c>
      <c r="J32" s="103">
        <f>IF(Human_Data_Entry!AM30="","",Human_Data_Entry!AM30)</f>
        <v/>
      </c>
      <c r="K32" s="103">
        <f>IF(Human_Data_Entry!AN30="","",Human_Data_Entry!AN30)</f>
        <v/>
      </c>
      <c r="L32" s="103">
        <f>IF(Human_Data_Entry!AO30="","",Human_Data_Entry!AO30)</f>
        <v/>
      </c>
      <c r="M32" s="103">
        <f>IF(Human_Data_Entry!BM30="","",Human_Data_Entry!BM30)</f>
        <v/>
      </c>
      <c r="N32" s="103">
        <f>IF(Human_Data_Entry!BN30="","",Human_Data_Entry!BN30)</f>
        <v/>
      </c>
      <c r="O32" s="103">
        <f>IF(Human_Data_Entry!BO30="","",Human_Data_Entry!BO30)</f>
        <v/>
      </c>
      <c r="P32" s="103">
        <f>IF(Human_Data_Entry!BP30="","",Human_Data_Entry!BP30)</f>
        <v/>
      </c>
      <c r="Q32" s="103">
        <f>IF(Human_Data_Entry!BQ30="","",Human_Data_Entry!BQ30)</f>
        <v/>
      </c>
      <c r="R32" s="103">
        <f>IF(Human_Data_Entry!BR30="","",Human_Data_Entry!BR30)</f>
        <v/>
      </c>
      <c r="S32" s="103">
        <f>IF(Human_Data_Entry!BS30="","",Human_Data_Entry!BS30)</f>
        <v/>
      </c>
      <c r="T32" s="103">
        <f>IF(Human_Data_Entry!BT30="","",Human_Data_Entry!BT30)</f>
        <v/>
      </c>
    </row>
    <row r="33" ht="15" customHeight="1" s="241">
      <c r="A33" s="103">
        <f>IF(Human_Data_Entry!A31="","",Human_Data_Entry!A31)</f>
        <v/>
      </c>
      <c r="B33" s="103">
        <f>IF(Human_Data_Entry!B31="","",Human_Data_Entry!B31)</f>
        <v/>
      </c>
      <c r="C33" s="104">
        <f>IF(Human_Data_Entry!C31="","",Human_Data_Entry!C31)</f>
        <v/>
      </c>
      <c r="D33" s="103">
        <f>IF(Human_Data_Entry!D31="","",Human_Data_Entry!D31)</f>
        <v/>
      </c>
      <c r="E33" s="103">
        <f>IF(Human_Data_Entry!G31="","",Human_Data_Entry!G31)</f>
        <v/>
      </c>
      <c r="F33" s="103">
        <f>IF(Human_Data_Entry!X31="","",Human_Data_Entry!X31)</f>
        <v/>
      </c>
      <c r="G33" s="103">
        <f>IF(Human_Data_Entry!AY31="","",Human_Data_Entry!AY31)</f>
        <v/>
      </c>
      <c r="H33" s="103">
        <f>IF(Human_Data_Entry!AZ31="","",Human_Data_Entry!AZ31)</f>
        <v/>
      </c>
      <c r="I33" s="103">
        <f>IF(Human_Data_Entry!AL31="","",Human_Data_Entry!AL31)</f>
        <v/>
      </c>
      <c r="J33" s="103">
        <f>IF(Human_Data_Entry!AM31="","",Human_Data_Entry!AM31)</f>
        <v/>
      </c>
      <c r="K33" s="103">
        <f>IF(Human_Data_Entry!AN31="","",Human_Data_Entry!AN31)</f>
        <v/>
      </c>
      <c r="L33" s="103">
        <f>IF(Human_Data_Entry!AO31="","",Human_Data_Entry!AO31)</f>
        <v/>
      </c>
      <c r="M33" s="103">
        <f>IF(Human_Data_Entry!BM31="","",Human_Data_Entry!BM31)</f>
        <v/>
      </c>
      <c r="N33" s="103">
        <f>IF(Human_Data_Entry!BN31="","",Human_Data_Entry!BN31)</f>
        <v/>
      </c>
      <c r="O33" s="103">
        <f>IF(Human_Data_Entry!BO31="","",Human_Data_Entry!BO31)</f>
        <v/>
      </c>
      <c r="P33" s="103">
        <f>IF(Human_Data_Entry!BP31="","",Human_Data_Entry!BP31)</f>
        <v/>
      </c>
      <c r="Q33" s="103">
        <f>IF(Human_Data_Entry!BQ31="","",Human_Data_Entry!BQ31)</f>
        <v/>
      </c>
      <c r="R33" s="103">
        <f>IF(Human_Data_Entry!BR31="","",Human_Data_Entry!BR31)</f>
        <v/>
      </c>
      <c r="S33" s="103">
        <f>IF(Human_Data_Entry!BS31="","",Human_Data_Entry!BS31)</f>
        <v/>
      </c>
      <c r="T33" s="103">
        <f>IF(Human_Data_Entry!BT31="","",Human_Data_Entry!BT31)</f>
        <v/>
      </c>
    </row>
    <row r="34" ht="15" customHeight="1" s="241">
      <c r="A34" s="103">
        <f>IF(Human_Data_Entry!A32="","",Human_Data_Entry!A32)</f>
        <v/>
      </c>
      <c r="B34" s="103">
        <f>IF(Human_Data_Entry!B32="","",Human_Data_Entry!B32)</f>
        <v/>
      </c>
      <c r="C34" s="104">
        <f>IF(Human_Data_Entry!C32="","",Human_Data_Entry!C32)</f>
        <v/>
      </c>
      <c r="D34" s="103">
        <f>IF(Human_Data_Entry!D32="","",Human_Data_Entry!D32)</f>
        <v/>
      </c>
      <c r="E34" s="103">
        <f>IF(Human_Data_Entry!G32="","",Human_Data_Entry!G32)</f>
        <v/>
      </c>
      <c r="F34" s="103">
        <f>IF(Human_Data_Entry!X32="","",Human_Data_Entry!X32)</f>
        <v/>
      </c>
      <c r="G34" s="103">
        <f>IF(Human_Data_Entry!AY32="","",Human_Data_Entry!AY32)</f>
        <v/>
      </c>
      <c r="H34" s="103">
        <f>IF(Human_Data_Entry!AZ32="","",Human_Data_Entry!AZ32)</f>
        <v/>
      </c>
      <c r="I34" s="103">
        <f>IF(Human_Data_Entry!AL32="","",Human_Data_Entry!AL32)</f>
        <v/>
      </c>
      <c r="J34" s="103">
        <f>IF(Human_Data_Entry!AM32="","",Human_Data_Entry!AM32)</f>
        <v/>
      </c>
      <c r="K34" s="103">
        <f>IF(Human_Data_Entry!AN32="","",Human_Data_Entry!AN32)</f>
        <v/>
      </c>
      <c r="L34" s="103">
        <f>IF(Human_Data_Entry!AO32="","",Human_Data_Entry!AO32)</f>
        <v/>
      </c>
      <c r="M34" s="103">
        <f>IF(Human_Data_Entry!BM32="","",Human_Data_Entry!BM32)</f>
        <v/>
      </c>
      <c r="N34" s="103">
        <f>IF(Human_Data_Entry!BN32="","",Human_Data_Entry!BN32)</f>
        <v/>
      </c>
      <c r="O34" s="103">
        <f>IF(Human_Data_Entry!BO32="","",Human_Data_Entry!BO32)</f>
        <v/>
      </c>
      <c r="P34" s="103">
        <f>IF(Human_Data_Entry!BP32="","",Human_Data_Entry!BP32)</f>
        <v/>
      </c>
      <c r="Q34" s="103">
        <f>IF(Human_Data_Entry!BQ32="","",Human_Data_Entry!BQ32)</f>
        <v/>
      </c>
      <c r="R34" s="103">
        <f>IF(Human_Data_Entry!BR32="","",Human_Data_Entry!BR32)</f>
        <v/>
      </c>
      <c r="S34" s="103">
        <f>IF(Human_Data_Entry!BS32="","",Human_Data_Entry!BS32)</f>
        <v/>
      </c>
      <c r="T34" s="103">
        <f>IF(Human_Data_Entry!BT32="","",Human_Data_Entry!BT32)</f>
        <v/>
      </c>
    </row>
    <row r="35" ht="15" customHeight="1" s="241">
      <c r="A35" s="103">
        <f>IF(Human_Data_Entry!A33="","",Human_Data_Entry!A33)</f>
        <v/>
      </c>
      <c r="B35" s="103">
        <f>IF(Human_Data_Entry!B33="","",Human_Data_Entry!B33)</f>
        <v/>
      </c>
      <c r="C35" s="104">
        <f>IF(Human_Data_Entry!C33="","",Human_Data_Entry!C33)</f>
        <v/>
      </c>
      <c r="D35" s="103">
        <f>IF(Human_Data_Entry!D33="","",Human_Data_Entry!D33)</f>
        <v/>
      </c>
      <c r="E35" s="103">
        <f>IF(Human_Data_Entry!G33="","",Human_Data_Entry!G33)</f>
        <v/>
      </c>
      <c r="F35" s="103">
        <f>IF(Human_Data_Entry!X33="","",Human_Data_Entry!X33)</f>
        <v/>
      </c>
      <c r="G35" s="103">
        <f>IF(Human_Data_Entry!AY33="","",Human_Data_Entry!AY33)</f>
        <v/>
      </c>
      <c r="H35" s="103">
        <f>IF(Human_Data_Entry!AZ33="","",Human_Data_Entry!AZ33)</f>
        <v/>
      </c>
      <c r="I35" s="103">
        <f>IF(Human_Data_Entry!AL33="","",Human_Data_Entry!AL33)</f>
        <v/>
      </c>
      <c r="J35" s="103">
        <f>IF(Human_Data_Entry!AM33="","",Human_Data_Entry!AM33)</f>
        <v/>
      </c>
      <c r="K35" s="103">
        <f>IF(Human_Data_Entry!AN33="","",Human_Data_Entry!AN33)</f>
        <v/>
      </c>
      <c r="L35" s="103">
        <f>IF(Human_Data_Entry!AO33="","",Human_Data_Entry!AO33)</f>
        <v/>
      </c>
      <c r="M35" s="103">
        <f>IF(Human_Data_Entry!BM33="","",Human_Data_Entry!BM33)</f>
        <v/>
      </c>
      <c r="N35" s="103">
        <f>IF(Human_Data_Entry!BN33="","",Human_Data_Entry!BN33)</f>
        <v/>
      </c>
      <c r="O35" s="103">
        <f>IF(Human_Data_Entry!BO33="","",Human_Data_Entry!BO33)</f>
        <v/>
      </c>
      <c r="P35" s="103">
        <f>IF(Human_Data_Entry!BP33="","",Human_Data_Entry!BP33)</f>
        <v/>
      </c>
      <c r="Q35" s="103">
        <f>IF(Human_Data_Entry!BQ33="","",Human_Data_Entry!BQ33)</f>
        <v/>
      </c>
      <c r="R35" s="103">
        <f>IF(Human_Data_Entry!BR33="","",Human_Data_Entry!BR33)</f>
        <v/>
      </c>
      <c r="S35" s="103">
        <f>IF(Human_Data_Entry!BS33="","",Human_Data_Entry!BS33)</f>
        <v/>
      </c>
      <c r="T35" s="103">
        <f>IF(Human_Data_Entry!BT33="","",Human_Data_Entry!BT33)</f>
        <v/>
      </c>
    </row>
    <row r="36" ht="15" customHeight="1" s="241">
      <c r="A36" s="103">
        <f>IF(Human_Data_Entry!A34="","",Human_Data_Entry!A34)</f>
        <v/>
      </c>
      <c r="B36" s="103">
        <f>IF(Human_Data_Entry!B34="","",Human_Data_Entry!B34)</f>
        <v/>
      </c>
      <c r="C36" s="104">
        <f>IF(Human_Data_Entry!C34="","",Human_Data_Entry!C34)</f>
        <v/>
      </c>
      <c r="D36" s="103">
        <f>IF(Human_Data_Entry!D34="","",Human_Data_Entry!D34)</f>
        <v/>
      </c>
      <c r="E36" s="103">
        <f>IF(Human_Data_Entry!G34="","",Human_Data_Entry!G34)</f>
        <v/>
      </c>
      <c r="F36" s="103">
        <f>IF(Human_Data_Entry!X34="","",Human_Data_Entry!X34)</f>
        <v/>
      </c>
      <c r="G36" s="103">
        <f>IF(Human_Data_Entry!AY34="","",Human_Data_Entry!AY34)</f>
        <v/>
      </c>
      <c r="H36" s="103">
        <f>IF(Human_Data_Entry!AZ34="","",Human_Data_Entry!AZ34)</f>
        <v/>
      </c>
      <c r="I36" s="103">
        <f>IF(Human_Data_Entry!AL34="","",Human_Data_Entry!AL34)</f>
        <v/>
      </c>
      <c r="J36" s="103">
        <f>IF(Human_Data_Entry!AM34="","",Human_Data_Entry!AM34)</f>
        <v/>
      </c>
      <c r="K36" s="103">
        <f>IF(Human_Data_Entry!AN34="","",Human_Data_Entry!AN34)</f>
        <v/>
      </c>
      <c r="L36" s="103">
        <f>IF(Human_Data_Entry!AO34="","",Human_Data_Entry!AO34)</f>
        <v/>
      </c>
      <c r="M36" s="103">
        <f>IF(Human_Data_Entry!BM34="","",Human_Data_Entry!BM34)</f>
        <v/>
      </c>
      <c r="N36" s="103">
        <f>IF(Human_Data_Entry!BN34="","",Human_Data_Entry!BN34)</f>
        <v/>
      </c>
      <c r="O36" s="103">
        <f>IF(Human_Data_Entry!BO34="","",Human_Data_Entry!BO34)</f>
        <v/>
      </c>
      <c r="P36" s="103">
        <f>IF(Human_Data_Entry!BP34="","",Human_Data_Entry!BP34)</f>
        <v/>
      </c>
      <c r="Q36" s="103">
        <f>IF(Human_Data_Entry!BQ34="","",Human_Data_Entry!BQ34)</f>
        <v/>
      </c>
      <c r="R36" s="103">
        <f>IF(Human_Data_Entry!BR34="","",Human_Data_Entry!BR34)</f>
        <v/>
      </c>
      <c r="S36" s="103">
        <f>IF(Human_Data_Entry!BS34="","",Human_Data_Entry!BS34)</f>
        <v/>
      </c>
      <c r="T36" s="103">
        <f>IF(Human_Data_Entry!BT34="","",Human_Data_Entry!BT34)</f>
        <v/>
      </c>
    </row>
    <row r="37" ht="15" customHeight="1" s="241">
      <c r="A37" s="103">
        <f>IF(Human_Data_Entry!A35="","",Human_Data_Entry!A35)</f>
        <v/>
      </c>
      <c r="B37" s="103">
        <f>IF(Human_Data_Entry!B35="","",Human_Data_Entry!B35)</f>
        <v/>
      </c>
      <c r="C37" s="104">
        <f>IF(Human_Data_Entry!C35="","",Human_Data_Entry!C35)</f>
        <v/>
      </c>
      <c r="D37" s="103">
        <f>IF(Human_Data_Entry!D35="","",Human_Data_Entry!D35)</f>
        <v/>
      </c>
      <c r="E37" s="103">
        <f>IF(Human_Data_Entry!G35="","",Human_Data_Entry!G35)</f>
        <v/>
      </c>
      <c r="F37" s="103">
        <f>IF(Human_Data_Entry!X35="","",Human_Data_Entry!X35)</f>
        <v/>
      </c>
      <c r="G37" s="103">
        <f>IF(Human_Data_Entry!AY35="","",Human_Data_Entry!AY35)</f>
        <v/>
      </c>
      <c r="H37" s="103">
        <f>IF(Human_Data_Entry!AZ35="","",Human_Data_Entry!AZ35)</f>
        <v/>
      </c>
      <c r="I37" s="103">
        <f>IF(Human_Data_Entry!AL35="","",Human_Data_Entry!AL35)</f>
        <v/>
      </c>
      <c r="J37" s="103">
        <f>IF(Human_Data_Entry!AM35="","",Human_Data_Entry!AM35)</f>
        <v/>
      </c>
      <c r="K37" s="103">
        <f>IF(Human_Data_Entry!AN35="","",Human_Data_Entry!AN35)</f>
        <v/>
      </c>
      <c r="L37" s="103">
        <f>IF(Human_Data_Entry!AO35="","",Human_Data_Entry!AO35)</f>
        <v/>
      </c>
      <c r="M37" s="103">
        <f>IF(Human_Data_Entry!BM35="","",Human_Data_Entry!BM35)</f>
        <v/>
      </c>
      <c r="N37" s="103">
        <f>IF(Human_Data_Entry!BN35="","",Human_Data_Entry!BN35)</f>
        <v/>
      </c>
      <c r="O37" s="103">
        <f>IF(Human_Data_Entry!BO35="","",Human_Data_Entry!BO35)</f>
        <v/>
      </c>
      <c r="P37" s="103">
        <f>IF(Human_Data_Entry!BP35="","",Human_Data_Entry!BP35)</f>
        <v/>
      </c>
      <c r="Q37" s="103">
        <f>IF(Human_Data_Entry!BQ35="","",Human_Data_Entry!BQ35)</f>
        <v/>
      </c>
      <c r="R37" s="103">
        <f>IF(Human_Data_Entry!BR35="","",Human_Data_Entry!BR35)</f>
        <v/>
      </c>
      <c r="S37" s="103">
        <f>IF(Human_Data_Entry!BS35="","",Human_Data_Entry!BS35)</f>
        <v/>
      </c>
      <c r="T37" s="103">
        <f>IF(Human_Data_Entry!BT35="","",Human_Data_Entry!BT35)</f>
        <v/>
      </c>
    </row>
    <row r="38" ht="15" customHeight="1" s="241">
      <c r="A38" s="103">
        <f>IF(Human_Data_Entry!A36="","",Human_Data_Entry!A36)</f>
        <v/>
      </c>
      <c r="B38" s="103">
        <f>IF(Human_Data_Entry!B36="","",Human_Data_Entry!B36)</f>
        <v/>
      </c>
      <c r="C38" s="104">
        <f>IF(Human_Data_Entry!C36="","",Human_Data_Entry!C36)</f>
        <v/>
      </c>
      <c r="D38" s="103">
        <f>IF(Human_Data_Entry!D36="","",Human_Data_Entry!D36)</f>
        <v/>
      </c>
      <c r="E38" s="103">
        <f>IF(Human_Data_Entry!G36="","",Human_Data_Entry!G36)</f>
        <v/>
      </c>
      <c r="F38" s="103">
        <f>IF(Human_Data_Entry!X36="","",Human_Data_Entry!X36)</f>
        <v/>
      </c>
      <c r="G38" s="103">
        <f>IF(Human_Data_Entry!AY36="","",Human_Data_Entry!AY36)</f>
        <v/>
      </c>
      <c r="H38" s="103">
        <f>IF(Human_Data_Entry!AZ36="","",Human_Data_Entry!AZ36)</f>
        <v/>
      </c>
      <c r="I38" s="103">
        <f>IF(Human_Data_Entry!AL36="","",Human_Data_Entry!AL36)</f>
        <v/>
      </c>
      <c r="J38" s="103">
        <f>IF(Human_Data_Entry!AM36="","",Human_Data_Entry!AM36)</f>
        <v/>
      </c>
      <c r="K38" s="103">
        <f>IF(Human_Data_Entry!AN36="","",Human_Data_Entry!AN36)</f>
        <v/>
      </c>
      <c r="L38" s="103">
        <f>IF(Human_Data_Entry!AO36="","",Human_Data_Entry!AO36)</f>
        <v/>
      </c>
      <c r="M38" s="103">
        <f>IF(Human_Data_Entry!BM36="","",Human_Data_Entry!BM36)</f>
        <v/>
      </c>
      <c r="N38" s="103">
        <f>IF(Human_Data_Entry!BN36="","",Human_Data_Entry!BN36)</f>
        <v/>
      </c>
      <c r="O38" s="103">
        <f>IF(Human_Data_Entry!BO36="","",Human_Data_Entry!BO36)</f>
        <v/>
      </c>
      <c r="P38" s="103">
        <f>IF(Human_Data_Entry!BP36="","",Human_Data_Entry!BP36)</f>
        <v/>
      </c>
      <c r="Q38" s="103">
        <f>IF(Human_Data_Entry!BQ36="","",Human_Data_Entry!BQ36)</f>
        <v/>
      </c>
      <c r="R38" s="103">
        <f>IF(Human_Data_Entry!BR36="","",Human_Data_Entry!BR36)</f>
        <v/>
      </c>
      <c r="S38" s="103">
        <f>IF(Human_Data_Entry!BS36="","",Human_Data_Entry!BS36)</f>
        <v/>
      </c>
      <c r="T38" s="103">
        <f>IF(Human_Data_Entry!BT36="","",Human_Data_Entry!BT36)</f>
        <v/>
      </c>
    </row>
    <row r="39" ht="15" customHeight="1" s="241">
      <c r="A39" s="103">
        <f>IF(Human_Data_Entry!A37="","",Human_Data_Entry!A37)</f>
        <v/>
      </c>
      <c r="B39" s="103">
        <f>IF(Human_Data_Entry!B37="","",Human_Data_Entry!B37)</f>
        <v/>
      </c>
      <c r="C39" s="104">
        <f>IF(Human_Data_Entry!C37="","",Human_Data_Entry!C37)</f>
        <v/>
      </c>
      <c r="D39" s="103">
        <f>IF(Human_Data_Entry!D37="","",Human_Data_Entry!D37)</f>
        <v/>
      </c>
      <c r="E39" s="103">
        <f>IF(Human_Data_Entry!G37="","",Human_Data_Entry!G37)</f>
        <v/>
      </c>
      <c r="F39" s="103">
        <f>IF(Human_Data_Entry!X37="","",Human_Data_Entry!X37)</f>
        <v/>
      </c>
      <c r="G39" s="103">
        <f>IF(Human_Data_Entry!AY37="","",Human_Data_Entry!AY37)</f>
        <v/>
      </c>
      <c r="H39" s="103">
        <f>IF(Human_Data_Entry!AZ37="","",Human_Data_Entry!AZ37)</f>
        <v/>
      </c>
      <c r="I39" s="103">
        <f>IF(Human_Data_Entry!AL37="","",Human_Data_Entry!AL37)</f>
        <v/>
      </c>
      <c r="J39" s="103">
        <f>IF(Human_Data_Entry!AM37="","",Human_Data_Entry!AM37)</f>
        <v/>
      </c>
      <c r="K39" s="103">
        <f>IF(Human_Data_Entry!AN37="","",Human_Data_Entry!AN37)</f>
        <v/>
      </c>
      <c r="L39" s="103">
        <f>IF(Human_Data_Entry!AO37="","",Human_Data_Entry!AO37)</f>
        <v/>
      </c>
      <c r="M39" s="103">
        <f>IF(Human_Data_Entry!BM37="","",Human_Data_Entry!BM37)</f>
        <v/>
      </c>
      <c r="N39" s="103">
        <f>IF(Human_Data_Entry!BN37="","",Human_Data_Entry!BN37)</f>
        <v/>
      </c>
      <c r="O39" s="103">
        <f>IF(Human_Data_Entry!BO37="","",Human_Data_Entry!BO37)</f>
        <v/>
      </c>
      <c r="P39" s="103">
        <f>IF(Human_Data_Entry!BP37="","",Human_Data_Entry!BP37)</f>
        <v/>
      </c>
      <c r="Q39" s="103">
        <f>IF(Human_Data_Entry!BQ37="","",Human_Data_Entry!BQ37)</f>
        <v/>
      </c>
      <c r="R39" s="103">
        <f>IF(Human_Data_Entry!BR37="","",Human_Data_Entry!BR37)</f>
        <v/>
      </c>
      <c r="S39" s="103">
        <f>IF(Human_Data_Entry!BS37="","",Human_Data_Entry!BS37)</f>
        <v/>
      </c>
      <c r="T39" s="103">
        <f>IF(Human_Data_Entry!BT37="","",Human_Data_Entry!BT37)</f>
        <v/>
      </c>
    </row>
    <row r="40" ht="15" customHeight="1" s="241">
      <c r="A40" s="103">
        <f>IF(Human_Data_Entry!A38="","",Human_Data_Entry!A38)</f>
        <v/>
      </c>
      <c r="B40" s="103">
        <f>IF(Human_Data_Entry!B38="","",Human_Data_Entry!B38)</f>
        <v/>
      </c>
      <c r="C40" s="104">
        <f>IF(Human_Data_Entry!C38="","",Human_Data_Entry!C38)</f>
        <v/>
      </c>
      <c r="D40" s="103">
        <f>IF(Human_Data_Entry!D38="","",Human_Data_Entry!D38)</f>
        <v/>
      </c>
      <c r="E40" s="103">
        <f>IF(Human_Data_Entry!G38="","",Human_Data_Entry!G38)</f>
        <v/>
      </c>
      <c r="F40" s="103">
        <f>IF(Human_Data_Entry!X38="","",Human_Data_Entry!X38)</f>
        <v/>
      </c>
      <c r="G40" s="103">
        <f>IF(Human_Data_Entry!AY38="","",Human_Data_Entry!AY38)</f>
        <v/>
      </c>
      <c r="H40" s="103">
        <f>IF(Human_Data_Entry!AZ38="","",Human_Data_Entry!AZ38)</f>
        <v/>
      </c>
      <c r="I40" s="103">
        <f>IF(Human_Data_Entry!AL38="","",Human_Data_Entry!AL38)</f>
        <v/>
      </c>
      <c r="J40" s="103">
        <f>IF(Human_Data_Entry!AM38="","",Human_Data_Entry!AM38)</f>
        <v/>
      </c>
      <c r="K40" s="103">
        <f>IF(Human_Data_Entry!AN38="","",Human_Data_Entry!AN38)</f>
        <v/>
      </c>
      <c r="L40" s="103">
        <f>IF(Human_Data_Entry!AO38="","",Human_Data_Entry!AO38)</f>
        <v/>
      </c>
      <c r="M40" s="103">
        <f>IF(Human_Data_Entry!BM38="","",Human_Data_Entry!BM38)</f>
        <v/>
      </c>
      <c r="N40" s="103">
        <f>IF(Human_Data_Entry!BN38="","",Human_Data_Entry!BN38)</f>
        <v/>
      </c>
      <c r="O40" s="103">
        <f>IF(Human_Data_Entry!BO38="","",Human_Data_Entry!BO38)</f>
        <v/>
      </c>
      <c r="P40" s="103">
        <f>IF(Human_Data_Entry!BP38="","",Human_Data_Entry!BP38)</f>
        <v/>
      </c>
      <c r="Q40" s="103">
        <f>IF(Human_Data_Entry!BQ38="","",Human_Data_Entry!BQ38)</f>
        <v/>
      </c>
      <c r="R40" s="103">
        <f>IF(Human_Data_Entry!BR38="","",Human_Data_Entry!BR38)</f>
        <v/>
      </c>
      <c r="S40" s="103">
        <f>IF(Human_Data_Entry!BS38="","",Human_Data_Entry!BS38)</f>
        <v/>
      </c>
      <c r="T40" s="103">
        <f>IF(Human_Data_Entry!BT38="","",Human_Data_Entry!BT38)</f>
        <v/>
      </c>
    </row>
    <row r="41" ht="15" customHeight="1" s="241">
      <c r="A41" s="103">
        <f>IF(Human_Data_Entry!A39="","",Human_Data_Entry!A39)</f>
        <v/>
      </c>
      <c r="B41" s="103">
        <f>IF(Human_Data_Entry!B39="","",Human_Data_Entry!B39)</f>
        <v/>
      </c>
      <c r="C41" s="104">
        <f>IF(Human_Data_Entry!C39="","",Human_Data_Entry!C39)</f>
        <v/>
      </c>
      <c r="D41" s="103">
        <f>IF(Human_Data_Entry!D39="","",Human_Data_Entry!D39)</f>
        <v/>
      </c>
      <c r="E41" s="103">
        <f>IF(Human_Data_Entry!G39="","",Human_Data_Entry!G39)</f>
        <v/>
      </c>
      <c r="F41" s="103">
        <f>IF(Human_Data_Entry!X39="","",Human_Data_Entry!X39)</f>
        <v/>
      </c>
      <c r="G41" s="103">
        <f>IF(Human_Data_Entry!AY39="","",Human_Data_Entry!AY39)</f>
        <v/>
      </c>
      <c r="H41" s="103">
        <f>IF(Human_Data_Entry!AZ39="","",Human_Data_Entry!AZ39)</f>
        <v/>
      </c>
      <c r="I41" s="103">
        <f>IF(Human_Data_Entry!AL39="","",Human_Data_Entry!AL39)</f>
        <v/>
      </c>
      <c r="J41" s="103">
        <f>IF(Human_Data_Entry!AM39="","",Human_Data_Entry!AM39)</f>
        <v/>
      </c>
      <c r="K41" s="103">
        <f>IF(Human_Data_Entry!AN39="","",Human_Data_Entry!AN39)</f>
        <v/>
      </c>
      <c r="L41" s="103">
        <f>IF(Human_Data_Entry!AO39="","",Human_Data_Entry!AO39)</f>
        <v/>
      </c>
      <c r="M41" s="103">
        <f>IF(Human_Data_Entry!BM39="","",Human_Data_Entry!BM39)</f>
        <v/>
      </c>
      <c r="N41" s="103">
        <f>IF(Human_Data_Entry!BN39="","",Human_Data_Entry!BN39)</f>
        <v/>
      </c>
      <c r="O41" s="103">
        <f>IF(Human_Data_Entry!BO39="","",Human_Data_Entry!BO39)</f>
        <v/>
      </c>
      <c r="P41" s="103">
        <f>IF(Human_Data_Entry!BP39="","",Human_Data_Entry!BP39)</f>
        <v/>
      </c>
      <c r="Q41" s="103">
        <f>IF(Human_Data_Entry!BQ39="","",Human_Data_Entry!BQ39)</f>
        <v/>
      </c>
      <c r="R41" s="103">
        <f>IF(Human_Data_Entry!BR39="","",Human_Data_Entry!BR39)</f>
        <v/>
      </c>
      <c r="S41" s="103">
        <f>IF(Human_Data_Entry!BS39="","",Human_Data_Entry!BS39)</f>
        <v/>
      </c>
      <c r="T41" s="103">
        <f>IF(Human_Data_Entry!BT39="","",Human_Data_Entry!BT39)</f>
        <v/>
      </c>
    </row>
    <row r="42" ht="15" customHeight="1" s="241">
      <c r="A42" s="103">
        <f>IF(Human_Data_Entry!A40="","",Human_Data_Entry!A40)</f>
        <v/>
      </c>
      <c r="B42" s="103">
        <f>IF(Human_Data_Entry!B40="","",Human_Data_Entry!B40)</f>
        <v/>
      </c>
      <c r="C42" s="104">
        <f>IF(Human_Data_Entry!C40="","",Human_Data_Entry!C40)</f>
        <v/>
      </c>
      <c r="D42" s="103">
        <f>IF(Human_Data_Entry!D40="","",Human_Data_Entry!D40)</f>
        <v/>
      </c>
      <c r="E42" s="103">
        <f>IF(Human_Data_Entry!G40="","",Human_Data_Entry!G40)</f>
        <v/>
      </c>
      <c r="F42" s="103">
        <f>IF(Human_Data_Entry!X40="","",Human_Data_Entry!X40)</f>
        <v/>
      </c>
      <c r="G42" s="103">
        <f>IF(Human_Data_Entry!AY40="","",Human_Data_Entry!AY40)</f>
        <v/>
      </c>
      <c r="H42" s="103">
        <f>IF(Human_Data_Entry!AZ40="","",Human_Data_Entry!AZ40)</f>
        <v/>
      </c>
      <c r="I42" s="103">
        <f>IF(Human_Data_Entry!AL40="","",Human_Data_Entry!AL40)</f>
        <v/>
      </c>
      <c r="J42" s="103">
        <f>IF(Human_Data_Entry!AM40="","",Human_Data_Entry!AM40)</f>
        <v/>
      </c>
      <c r="K42" s="103">
        <f>IF(Human_Data_Entry!AN40="","",Human_Data_Entry!AN40)</f>
        <v/>
      </c>
      <c r="L42" s="103">
        <f>IF(Human_Data_Entry!AO40="","",Human_Data_Entry!AO40)</f>
        <v/>
      </c>
      <c r="M42" s="103">
        <f>IF(Human_Data_Entry!BM40="","",Human_Data_Entry!BM40)</f>
        <v/>
      </c>
      <c r="N42" s="103">
        <f>IF(Human_Data_Entry!BN40="","",Human_Data_Entry!BN40)</f>
        <v/>
      </c>
      <c r="O42" s="103">
        <f>IF(Human_Data_Entry!BO40="","",Human_Data_Entry!BO40)</f>
        <v/>
      </c>
      <c r="P42" s="103">
        <f>IF(Human_Data_Entry!BP40="","",Human_Data_Entry!BP40)</f>
        <v/>
      </c>
      <c r="Q42" s="103">
        <f>IF(Human_Data_Entry!BQ40="","",Human_Data_Entry!BQ40)</f>
        <v/>
      </c>
      <c r="R42" s="103">
        <f>IF(Human_Data_Entry!BR40="","",Human_Data_Entry!BR40)</f>
        <v/>
      </c>
      <c r="S42" s="103">
        <f>IF(Human_Data_Entry!BS40="","",Human_Data_Entry!BS40)</f>
        <v/>
      </c>
      <c r="T42" s="103">
        <f>IF(Human_Data_Entry!BT40="","",Human_Data_Entry!BT40)</f>
        <v/>
      </c>
    </row>
    <row r="43" ht="15" customHeight="1" s="241">
      <c r="A43" s="103">
        <f>IF(Human_Data_Entry!A41="","",Human_Data_Entry!A41)</f>
        <v/>
      </c>
      <c r="B43" s="103">
        <f>IF(Human_Data_Entry!B41="","",Human_Data_Entry!B41)</f>
        <v/>
      </c>
      <c r="C43" s="104">
        <f>IF(Human_Data_Entry!C41="","",Human_Data_Entry!C41)</f>
        <v/>
      </c>
      <c r="D43" s="103">
        <f>IF(Human_Data_Entry!D41="","",Human_Data_Entry!D41)</f>
        <v/>
      </c>
      <c r="E43" s="103">
        <f>IF(Human_Data_Entry!G41="","",Human_Data_Entry!G41)</f>
        <v/>
      </c>
      <c r="F43" s="103">
        <f>IF(Human_Data_Entry!X41="","",Human_Data_Entry!X41)</f>
        <v/>
      </c>
      <c r="G43" s="103">
        <f>IF(Human_Data_Entry!AY41="","",Human_Data_Entry!AY41)</f>
        <v/>
      </c>
      <c r="H43" s="103">
        <f>IF(Human_Data_Entry!AZ41="","",Human_Data_Entry!AZ41)</f>
        <v/>
      </c>
      <c r="I43" s="103">
        <f>IF(Human_Data_Entry!AL41="","",Human_Data_Entry!AL41)</f>
        <v/>
      </c>
      <c r="J43" s="103">
        <f>IF(Human_Data_Entry!AM41="","",Human_Data_Entry!AM41)</f>
        <v/>
      </c>
      <c r="K43" s="103">
        <f>IF(Human_Data_Entry!AN41="","",Human_Data_Entry!AN41)</f>
        <v/>
      </c>
      <c r="L43" s="103">
        <f>IF(Human_Data_Entry!AO41="","",Human_Data_Entry!AO41)</f>
        <v/>
      </c>
      <c r="M43" s="103">
        <f>IF(Human_Data_Entry!BM41="","",Human_Data_Entry!BM41)</f>
        <v/>
      </c>
      <c r="N43" s="103">
        <f>IF(Human_Data_Entry!BN41="","",Human_Data_Entry!BN41)</f>
        <v/>
      </c>
      <c r="O43" s="103">
        <f>IF(Human_Data_Entry!BO41="","",Human_Data_Entry!BO41)</f>
        <v/>
      </c>
      <c r="P43" s="103">
        <f>IF(Human_Data_Entry!BP41="","",Human_Data_Entry!BP41)</f>
        <v/>
      </c>
      <c r="Q43" s="103">
        <f>IF(Human_Data_Entry!BQ41="","",Human_Data_Entry!BQ41)</f>
        <v/>
      </c>
      <c r="R43" s="103">
        <f>IF(Human_Data_Entry!BR41="","",Human_Data_Entry!BR41)</f>
        <v/>
      </c>
      <c r="S43" s="103">
        <f>IF(Human_Data_Entry!BS41="","",Human_Data_Entry!BS41)</f>
        <v/>
      </c>
      <c r="T43" s="103">
        <f>IF(Human_Data_Entry!BT41="","",Human_Data_Entry!BT41)</f>
        <v/>
      </c>
    </row>
    <row r="44" ht="15" customHeight="1" s="241">
      <c r="A44" s="103">
        <f>IF(Human_Data_Entry!A42="","",Human_Data_Entry!A42)</f>
        <v/>
      </c>
      <c r="B44" s="103">
        <f>IF(Human_Data_Entry!B42="","",Human_Data_Entry!B42)</f>
        <v/>
      </c>
      <c r="C44" s="104">
        <f>IF(Human_Data_Entry!C42="","",Human_Data_Entry!C42)</f>
        <v/>
      </c>
      <c r="D44" s="103">
        <f>IF(Human_Data_Entry!D42="","",Human_Data_Entry!D42)</f>
        <v/>
      </c>
      <c r="E44" s="103">
        <f>IF(Human_Data_Entry!G42="","",Human_Data_Entry!G42)</f>
        <v/>
      </c>
      <c r="F44" s="103">
        <f>IF(Human_Data_Entry!X42="","",Human_Data_Entry!X42)</f>
        <v/>
      </c>
      <c r="G44" s="103">
        <f>IF(Human_Data_Entry!AY42="","",Human_Data_Entry!AY42)</f>
        <v/>
      </c>
      <c r="H44" s="103">
        <f>IF(Human_Data_Entry!AZ42="","",Human_Data_Entry!AZ42)</f>
        <v/>
      </c>
      <c r="I44" s="103">
        <f>IF(Human_Data_Entry!AL42="","",Human_Data_Entry!AL42)</f>
        <v/>
      </c>
      <c r="J44" s="103">
        <f>IF(Human_Data_Entry!AM42="","",Human_Data_Entry!AM42)</f>
        <v/>
      </c>
      <c r="K44" s="103">
        <f>IF(Human_Data_Entry!AN42="","",Human_Data_Entry!AN42)</f>
        <v/>
      </c>
      <c r="L44" s="103">
        <f>IF(Human_Data_Entry!AO42="","",Human_Data_Entry!AO42)</f>
        <v/>
      </c>
      <c r="M44" s="103">
        <f>IF(Human_Data_Entry!BM42="","",Human_Data_Entry!BM42)</f>
        <v/>
      </c>
      <c r="N44" s="103">
        <f>IF(Human_Data_Entry!BN42="","",Human_Data_Entry!BN42)</f>
        <v/>
      </c>
      <c r="O44" s="103">
        <f>IF(Human_Data_Entry!BO42="","",Human_Data_Entry!BO42)</f>
        <v/>
      </c>
      <c r="P44" s="103">
        <f>IF(Human_Data_Entry!BP42="","",Human_Data_Entry!BP42)</f>
        <v/>
      </c>
      <c r="Q44" s="103">
        <f>IF(Human_Data_Entry!BQ42="","",Human_Data_Entry!BQ42)</f>
        <v/>
      </c>
      <c r="R44" s="103">
        <f>IF(Human_Data_Entry!BR42="","",Human_Data_Entry!BR42)</f>
        <v/>
      </c>
      <c r="S44" s="103">
        <f>IF(Human_Data_Entry!BS42="","",Human_Data_Entry!BS42)</f>
        <v/>
      </c>
      <c r="T44" s="103">
        <f>IF(Human_Data_Entry!BT42="","",Human_Data_Entry!BT42)</f>
        <v/>
      </c>
    </row>
    <row r="45" ht="15" customHeight="1" s="241">
      <c r="A45" s="103">
        <f>IF(Human_Data_Entry!A43="","",Human_Data_Entry!A43)</f>
        <v/>
      </c>
      <c r="B45" s="103">
        <f>IF(Human_Data_Entry!B43="","",Human_Data_Entry!B43)</f>
        <v/>
      </c>
      <c r="C45" s="104">
        <f>IF(Human_Data_Entry!C43="","",Human_Data_Entry!C43)</f>
        <v/>
      </c>
      <c r="D45" s="103">
        <f>IF(Human_Data_Entry!D43="","",Human_Data_Entry!D43)</f>
        <v/>
      </c>
      <c r="E45" s="103">
        <f>IF(Human_Data_Entry!G43="","",Human_Data_Entry!G43)</f>
        <v/>
      </c>
      <c r="F45" s="103">
        <f>IF(Human_Data_Entry!X43="","",Human_Data_Entry!X43)</f>
        <v/>
      </c>
      <c r="G45" s="103">
        <f>IF(Human_Data_Entry!AY43="","",Human_Data_Entry!AY43)</f>
        <v/>
      </c>
      <c r="H45" s="103">
        <f>IF(Human_Data_Entry!AZ43="","",Human_Data_Entry!AZ43)</f>
        <v/>
      </c>
      <c r="I45" s="103">
        <f>IF(Human_Data_Entry!AL43="","",Human_Data_Entry!AL43)</f>
        <v/>
      </c>
      <c r="J45" s="103">
        <f>IF(Human_Data_Entry!AM43="","",Human_Data_Entry!AM43)</f>
        <v/>
      </c>
      <c r="K45" s="103">
        <f>IF(Human_Data_Entry!AN43="","",Human_Data_Entry!AN43)</f>
        <v/>
      </c>
      <c r="L45" s="103">
        <f>IF(Human_Data_Entry!AO43="","",Human_Data_Entry!AO43)</f>
        <v/>
      </c>
      <c r="M45" s="103">
        <f>IF(Human_Data_Entry!BM43="","",Human_Data_Entry!BM43)</f>
        <v/>
      </c>
      <c r="N45" s="103">
        <f>IF(Human_Data_Entry!BN43="","",Human_Data_Entry!BN43)</f>
        <v/>
      </c>
      <c r="O45" s="103">
        <f>IF(Human_Data_Entry!BO43="","",Human_Data_Entry!BO43)</f>
        <v/>
      </c>
      <c r="P45" s="103">
        <f>IF(Human_Data_Entry!BP43="","",Human_Data_Entry!BP43)</f>
        <v/>
      </c>
      <c r="Q45" s="103">
        <f>IF(Human_Data_Entry!BQ43="","",Human_Data_Entry!BQ43)</f>
        <v/>
      </c>
      <c r="R45" s="103">
        <f>IF(Human_Data_Entry!BR43="","",Human_Data_Entry!BR43)</f>
        <v/>
      </c>
      <c r="S45" s="103">
        <f>IF(Human_Data_Entry!BS43="","",Human_Data_Entry!BS43)</f>
        <v/>
      </c>
      <c r="T45" s="103">
        <f>IF(Human_Data_Entry!BT43="","",Human_Data_Entry!BT43)</f>
        <v/>
      </c>
    </row>
    <row r="46" ht="15" customHeight="1" s="241">
      <c r="A46" s="103">
        <f>IF(Human_Data_Entry!A44="","",Human_Data_Entry!A44)</f>
        <v/>
      </c>
      <c r="B46" s="103">
        <f>IF(Human_Data_Entry!B44="","",Human_Data_Entry!B44)</f>
        <v/>
      </c>
      <c r="C46" s="104">
        <f>IF(Human_Data_Entry!C44="","",Human_Data_Entry!C44)</f>
        <v/>
      </c>
      <c r="D46" s="103">
        <f>IF(Human_Data_Entry!D44="","",Human_Data_Entry!D44)</f>
        <v/>
      </c>
      <c r="E46" s="103">
        <f>IF(Human_Data_Entry!G44="","",Human_Data_Entry!G44)</f>
        <v/>
      </c>
      <c r="F46" s="103">
        <f>IF(Human_Data_Entry!X44="","",Human_Data_Entry!X44)</f>
        <v/>
      </c>
      <c r="G46" s="103">
        <f>IF(Human_Data_Entry!AY44="","",Human_Data_Entry!AY44)</f>
        <v/>
      </c>
      <c r="H46" s="103">
        <f>IF(Human_Data_Entry!AZ44="","",Human_Data_Entry!AZ44)</f>
        <v/>
      </c>
      <c r="I46" s="103">
        <f>IF(Human_Data_Entry!AL44="","",Human_Data_Entry!AL44)</f>
        <v/>
      </c>
      <c r="J46" s="103">
        <f>IF(Human_Data_Entry!AM44="","",Human_Data_Entry!AM44)</f>
        <v/>
      </c>
      <c r="K46" s="103">
        <f>IF(Human_Data_Entry!AN44="","",Human_Data_Entry!AN44)</f>
        <v/>
      </c>
      <c r="L46" s="103">
        <f>IF(Human_Data_Entry!AO44="","",Human_Data_Entry!AO44)</f>
        <v/>
      </c>
      <c r="M46" s="103">
        <f>IF(Human_Data_Entry!BM44="","",Human_Data_Entry!BM44)</f>
        <v/>
      </c>
      <c r="N46" s="103">
        <f>IF(Human_Data_Entry!BN44="","",Human_Data_Entry!BN44)</f>
        <v/>
      </c>
      <c r="O46" s="103">
        <f>IF(Human_Data_Entry!BO44="","",Human_Data_Entry!BO44)</f>
        <v/>
      </c>
      <c r="P46" s="103">
        <f>IF(Human_Data_Entry!BP44="","",Human_Data_Entry!BP44)</f>
        <v/>
      </c>
      <c r="Q46" s="103">
        <f>IF(Human_Data_Entry!BQ44="","",Human_Data_Entry!BQ44)</f>
        <v/>
      </c>
      <c r="R46" s="103">
        <f>IF(Human_Data_Entry!BR44="","",Human_Data_Entry!BR44)</f>
        <v/>
      </c>
      <c r="S46" s="103">
        <f>IF(Human_Data_Entry!BS44="","",Human_Data_Entry!BS44)</f>
        <v/>
      </c>
      <c r="T46" s="103">
        <f>IF(Human_Data_Entry!BT44="","",Human_Data_Entry!BT44)</f>
        <v/>
      </c>
    </row>
    <row r="47" ht="15" customHeight="1" s="241">
      <c r="A47" s="103">
        <f>IF(Human_Data_Entry!A45="","",Human_Data_Entry!A45)</f>
        <v/>
      </c>
      <c r="B47" s="103">
        <f>IF(Human_Data_Entry!B45="","",Human_Data_Entry!B45)</f>
        <v/>
      </c>
      <c r="C47" s="104">
        <f>IF(Human_Data_Entry!C45="","",Human_Data_Entry!C45)</f>
        <v/>
      </c>
      <c r="D47" s="103">
        <f>IF(Human_Data_Entry!D45="","",Human_Data_Entry!D45)</f>
        <v/>
      </c>
      <c r="E47" s="103">
        <f>IF(Human_Data_Entry!G45="","",Human_Data_Entry!G45)</f>
        <v/>
      </c>
      <c r="F47" s="103">
        <f>IF(Human_Data_Entry!X45="","",Human_Data_Entry!X45)</f>
        <v/>
      </c>
      <c r="G47" s="103">
        <f>IF(Human_Data_Entry!AY45="","",Human_Data_Entry!AY45)</f>
        <v/>
      </c>
      <c r="H47" s="103">
        <f>IF(Human_Data_Entry!AZ45="","",Human_Data_Entry!AZ45)</f>
        <v/>
      </c>
      <c r="I47" s="103">
        <f>IF(Human_Data_Entry!AL45="","",Human_Data_Entry!AL45)</f>
        <v/>
      </c>
      <c r="J47" s="103">
        <f>IF(Human_Data_Entry!AM45="","",Human_Data_Entry!AM45)</f>
        <v/>
      </c>
      <c r="K47" s="103">
        <f>IF(Human_Data_Entry!AN45="","",Human_Data_Entry!AN45)</f>
        <v/>
      </c>
      <c r="L47" s="103">
        <f>IF(Human_Data_Entry!AO45="","",Human_Data_Entry!AO45)</f>
        <v/>
      </c>
      <c r="M47" s="103">
        <f>IF(Human_Data_Entry!BM45="","",Human_Data_Entry!BM45)</f>
        <v/>
      </c>
      <c r="N47" s="103">
        <f>IF(Human_Data_Entry!BN45="","",Human_Data_Entry!BN45)</f>
        <v/>
      </c>
      <c r="O47" s="103">
        <f>IF(Human_Data_Entry!BO45="","",Human_Data_Entry!BO45)</f>
        <v/>
      </c>
      <c r="P47" s="103">
        <f>IF(Human_Data_Entry!BP45="","",Human_Data_Entry!BP45)</f>
        <v/>
      </c>
      <c r="Q47" s="103">
        <f>IF(Human_Data_Entry!BQ45="","",Human_Data_Entry!BQ45)</f>
        <v/>
      </c>
      <c r="R47" s="103">
        <f>IF(Human_Data_Entry!BR45="","",Human_Data_Entry!BR45)</f>
        <v/>
      </c>
      <c r="S47" s="103">
        <f>IF(Human_Data_Entry!BS45="","",Human_Data_Entry!BS45)</f>
        <v/>
      </c>
      <c r="T47" s="103">
        <f>IF(Human_Data_Entry!BT45="","",Human_Data_Entry!BT45)</f>
        <v/>
      </c>
    </row>
    <row r="48" ht="15" customHeight="1" s="241">
      <c r="A48" s="103">
        <f>IF(Human_Data_Entry!A46="","",Human_Data_Entry!A46)</f>
        <v/>
      </c>
      <c r="B48" s="103">
        <f>IF(Human_Data_Entry!B46="","",Human_Data_Entry!B46)</f>
        <v/>
      </c>
      <c r="C48" s="104">
        <f>IF(Human_Data_Entry!C46="","",Human_Data_Entry!C46)</f>
        <v/>
      </c>
      <c r="D48" s="103">
        <f>IF(Human_Data_Entry!D46="","",Human_Data_Entry!D46)</f>
        <v/>
      </c>
      <c r="E48" s="103">
        <f>IF(Human_Data_Entry!G46="","",Human_Data_Entry!G46)</f>
        <v/>
      </c>
      <c r="F48" s="103">
        <f>IF(Human_Data_Entry!X46="","",Human_Data_Entry!X46)</f>
        <v/>
      </c>
      <c r="G48" s="103">
        <f>IF(Human_Data_Entry!AY46="","",Human_Data_Entry!AY46)</f>
        <v/>
      </c>
      <c r="H48" s="103">
        <f>IF(Human_Data_Entry!AZ46="","",Human_Data_Entry!AZ46)</f>
        <v/>
      </c>
      <c r="I48" s="103">
        <f>IF(Human_Data_Entry!AL46="","",Human_Data_Entry!AL46)</f>
        <v/>
      </c>
      <c r="J48" s="103">
        <f>IF(Human_Data_Entry!AM46="","",Human_Data_Entry!AM46)</f>
        <v/>
      </c>
      <c r="K48" s="103">
        <f>IF(Human_Data_Entry!AN46="","",Human_Data_Entry!AN46)</f>
        <v/>
      </c>
      <c r="L48" s="103">
        <f>IF(Human_Data_Entry!AO46="","",Human_Data_Entry!AO46)</f>
        <v/>
      </c>
      <c r="M48" s="103">
        <f>IF(Human_Data_Entry!BM46="","",Human_Data_Entry!BM46)</f>
        <v/>
      </c>
      <c r="N48" s="103">
        <f>IF(Human_Data_Entry!BN46="","",Human_Data_Entry!BN46)</f>
        <v/>
      </c>
      <c r="O48" s="103">
        <f>IF(Human_Data_Entry!BO46="","",Human_Data_Entry!BO46)</f>
        <v/>
      </c>
      <c r="P48" s="103">
        <f>IF(Human_Data_Entry!BP46="","",Human_Data_Entry!BP46)</f>
        <v/>
      </c>
      <c r="Q48" s="103">
        <f>IF(Human_Data_Entry!BQ46="","",Human_Data_Entry!BQ46)</f>
        <v/>
      </c>
      <c r="R48" s="103">
        <f>IF(Human_Data_Entry!BR46="","",Human_Data_Entry!BR46)</f>
        <v/>
      </c>
      <c r="S48" s="103">
        <f>IF(Human_Data_Entry!BS46="","",Human_Data_Entry!BS46)</f>
        <v/>
      </c>
      <c r="T48" s="103">
        <f>IF(Human_Data_Entry!BT46="","",Human_Data_Entry!BT46)</f>
        <v/>
      </c>
    </row>
    <row r="49" ht="15" customHeight="1" s="241">
      <c r="A49" s="103">
        <f>IF(Human_Data_Entry!A47="","",Human_Data_Entry!A47)</f>
        <v/>
      </c>
      <c r="B49" s="103">
        <f>IF(Human_Data_Entry!B47="","",Human_Data_Entry!B47)</f>
        <v/>
      </c>
      <c r="C49" s="104">
        <f>IF(Human_Data_Entry!C47="","",Human_Data_Entry!C47)</f>
        <v/>
      </c>
      <c r="D49" s="103">
        <f>IF(Human_Data_Entry!D47="","",Human_Data_Entry!D47)</f>
        <v/>
      </c>
      <c r="E49" s="103">
        <f>IF(Human_Data_Entry!G47="","",Human_Data_Entry!G47)</f>
        <v/>
      </c>
      <c r="F49" s="103">
        <f>IF(Human_Data_Entry!X47="","",Human_Data_Entry!X47)</f>
        <v/>
      </c>
      <c r="G49" s="103">
        <f>IF(Human_Data_Entry!AY47="","",Human_Data_Entry!AY47)</f>
        <v/>
      </c>
      <c r="H49" s="103">
        <f>IF(Human_Data_Entry!AZ47="","",Human_Data_Entry!AZ47)</f>
        <v/>
      </c>
      <c r="I49" s="103">
        <f>IF(Human_Data_Entry!AL47="","",Human_Data_Entry!AL47)</f>
        <v/>
      </c>
      <c r="J49" s="103">
        <f>IF(Human_Data_Entry!AM47="","",Human_Data_Entry!AM47)</f>
        <v/>
      </c>
      <c r="K49" s="103">
        <f>IF(Human_Data_Entry!AN47="","",Human_Data_Entry!AN47)</f>
        <v/>
      </c>
      <c r="L49" s="103">
        <f>IF(Human_Data_Entry!AO47="","",Human_Data_Entry!AO47)</f>
        <v/>
      </c>
      <c r="M49" s="103">
        <f>IF(Human_Data_Entry!BM47="","",Human_Data_Entry!BM47)</f>
        <v/>
      </c>
      <c r="N49" s="103">
        <f>IF(Human_Data_Entry!BN47="","",Human_Data_Entry!BN47)</f>
        <v/>
      </c>
      <c r="O49" s="103">
        <f>IF(Human_Data_Entry!BO47="","",Human_Data_Entry!BO47)</f>
        <v/>
      </c>
      <c r="P49" s="103">
        <f>IF(Human_Data_Entry!BP47="","",Human_Data_Entry!BP47)</f>
        <v/>
      </c>
      <c r="Q49" s="103">
        <f>IF(Human_Data_Entry!BQ47="","",Human_Data_Entry!BQ47)</f>
        <v/>
      </c>
      <c r="R49" s="103">
        <f>IF(Human_Data_Entry!BR47="","",Human_Data_Entry!BR47)</f>
        <v/>
      </c>
      <c r="S49" s="103">
        <f>IF(Human_Data_Entry!BS47="","",Human_Data_Entry!BS47)</f>
        <v/>
      </c>
      <c r="T49" s="103">
        <f>IF(Human_Data_Entry!BT47="","",Human_Data_Entry!BT47)</f>
        <v/>
      </c>
    </row>
    <row r="50" ht="15" customHeight="1" s="241">
      <c r="A50" s="103">
        <f>IF(Human_Data_Entry!A48="","",Human_Data_Entry!A48)</f>
        <v/>
      </c>
      <c r="B50" s="103">
        <f>IF(Human_Data_Entry!B48="","",Human_Data_Entry!B48)</f>
        <v/>
      </c>
      <c r="C50" s="104">
        <f>IF(Human_Data_Entry!C48="","",Human_Data_Entry!C48)</f>
        <v/>
      </c>
      <c r="D50" s="103">
        <f>IF(Human_Data_Entry!D48="","",Human_Data_Entry!D48)</f>
        <v/>
      </c>
      <c r="E50" s="103">
        <f>IF(Human_Data_Entry!G48="","",Human_Data_Entry!G48)</f>
        <v/>
      </c>
      <c r="F50" s="103">
        <f>IF(Human_Data_Entry!X48="","",Human_Data_Entry!X48)</f>
        <v/>
      </c>
      <c r="G50" s="103">
        <f>IF(Human_Data_Entry!AY48="","",Human_Data_Entry!AY48)</f>
        <v/>
      </c>
      <c r="H50" s="103">
        <f>IF(Human_Data_Entry!AZ48="","",Human_Data_Entry!AZ48)</f>
        <v/>
      </c>
      <c r="I50" s="103">
        <f>IF(Human_Data_Entry!AL48="","",Human_Data_Entry!AL48)</f>
        <v/>
      </c>
      <c r="J50" s="103">
        <f>IF(Human_Data_Entry!AM48="","",Human_Data_Entry!AM48)</f>
        <v/>
      </c>
      <c r="K50" s="103">
        <f>IF(Human_Data_Entry!AN48="","",Human_Data_Entry!AN48)</f>
        <v/>
      </c>
      <c r="L50" s="103">
        <f>IF(Human_Data_Entry!AO48="","",Human_Data_Entry!AO48)</f>
        <v/>
      </c>
      <c r="M50" s="103">
        <f>IF(Human_Data_Entry!BM48="","",Human_Data_Entry!BM48)</f>
        <v/>
      </c>
      <c r="N50" s="103">
        <f>IF(Human_Data_Entry!BN48="","",Human_Data_Entry!BN48)</f>
        <v/>
      </c>
      <c r="O50" s="103">
        <f>IF(Human_Data_Entry!BO48="","",Human_Data_Entry!BO48)</f>
        <v/>
      </c>
      <c r="P50" s="103">
        <f>IF(Human_Data_Entry!BP48="","",Human_Data_Entry!BP48)</f>
        <v/>
      </c>
      <c r="Q50" s="103">
        <f>IF(Human_Data_Entry!BQ48="","",Human_Data_Entry!BQ48)</f>
        <v/>
      </c>
      <c r="R50" s="103">
        <f>IF(Human_Data_Entry!BR48="","",Human_Data_Entry!BR48)</f>
        <v/>
      </c>
      <c r="S50" s="103">
        <f>IF(Human_Data_Entry!BS48="","",Human_Data_Entry!BS48)</f>
        <v/>
      </c>
      <c r="T50" s="103">
        <f>IF(Human_Data_Entry!BT48="","",Human_Data_Entry!BT48)</f>
        <v/>
      </c>
    </row>
    <row r="51" ht="15" customHeight="1" s="241">
      <c r="A51" s="103">
        <f>IF(Human_Data_Entry!A49="","",Human_Data_Entry!A49)</f>
        <v/>
      </c>
      <c r="B51" s="103">
        <f>IF(Human_Data_Entry!B49="","",Human_Data_Entry!B49)</f>
        <v/>
      </c>
      <c r="C51" s="104">
        <f>IF(Human_Data_Entry!C49="","",Human_Data_Entry!C49)</f>
        <v/>
      </c>
      <c r="D51" s="103">
        <f>IF(Human_Data_Entry!D49="","",Human_Data_Entry!D49)</f>
        <v/>
      </c>
      <c r="E51" s="103">
        <f>IF(Human_Data_Entry!G49="","",Human_Data_Entry!G49)</f>
        <v/>
      </c>
      <c r="F51" s="103">
        <f>IF(Human_Data_Entry!X49="","",Human_Data_Entry!X49)</f>
        <v/>
      </c>
      <c r="G51" s="103">
        <f>IF(Human_Data_Entry!AY49="","",Human_Data_Entry!AY49)</f>
        <v/>
      </c>
      <c r="H51" s="103">
        <f>IF(Human_Data_Entry!AZ49="","",Human_Data_Entry!AZ49)</f>
        <v/>
      </c>
      <c r="I51" s="103">
        <f>IF(Human_Data_Entry!AL49="","",Human_Data_Entry!AL49)</f>
        <v/>
      </c>
      <c r="J51" s="103">
        <f>IF(Human_Data_Entry!AM49="","",Human_Data_Entry!AM49)</f>
        <v/>
      </c>
      <c r="K51" s="103">
        <f>IF(Human_Data_Entry!AN49="","",Human_Data_Entry!AN49)</f>
        <v/>
      </c>
      <c r="L51" s="103">
        <f>IF(Human_Data_Entry!AO49="","",Human_Data_Entry!AO49)</f>
        <v/>
      </c>
      <c r="M51" s="103">
        <f>IF(Human_Data_Entry!BM49="","",Human_Data_Entry!BM49)</f>
        <v/>
      </c>
      <c r="N51" s="103">
        <f>IF(Human_Data_Entry!BN49="","",Human_Data_Entry!BN49)</f>
        <v/>
      </c>
      <c r="O51" s="103">
        <f>IF(Human_Data_Entry!BO49="","",Human_Data_Entry!BO49)</f>
        <v/>
      </c>
      <c r="P51" s="103">
        <f>IF(Human_Data_Entry!BP49="","",Human_Data_Entry!BP49)</f>
        <v/>
      </c>
      <c r="Q51" s="103">
        <f>IF(Human_Data_Entry!BQ49="","",Human_Data_Entry!BQ49)</f>
        <v/>
      </c>
      <c r="R51" s="103">
        <f>IF(Human_Data_Entry!BR49="","",Human_Data_Entry!BR49)</f>
        <v/>
      </c>
      <c r="S51" s="103">
        <f>IF(Human_Data_Entry!BS49="","",Human_Data_Entry!BS49)</f>
        <v/>
      </c>
      <c r="T51" s="103">
        <f>IF(Human_Data_Entry!BT49="","",Human_Data_Entry!BT49)</f>
        <v/>
      </c>
    </row>
    <row r="52" ht="15" customHeight="1" s="241">
      <c r="A52" s="103">
        <f>IF(Human_Data_Entry!A50="","",Human_Data_Entry!A50)</f>
        <v/>
      </c>
      <c r="B52" s="103">
        <f>IF(Human_Data_Entry!B50="","",Human_Data_Entry!B50)</f>
        <v/>
      </c>
      <c r="C52" s="104">
        <f>IF(Human_Data_Entry!C50="","",Human_Data_Entry!C50)</f>
        <v/>
      </c>
      <c r="D52" s="103">
        <f>IF(Human_Data_Entry!D50="","",Human_Data_Entry!D50)</f>
        <v/>
      </c>
      <c r="E52" s="103">
        <f>IF(Human_Data_Entry!G50="","",Human_Data_Entry!G50)</f>
        <v/>
      </c>
      <c r="F52" s="103">
        <f>IF(Human_Data_Entry!X50="","",Human_Data_Entry!X50)</f>
        <v/>
      </c>
      <c r="G52" s="103">
        <f>IF(Human_Data_Entry!AY50="","",Human_Data_Entry!AY50)</f>
        <v/>
      </c>
      <c r="H52" s="103">
        <f>IF(Human_Data_Entry!AZ50="","",Human_Data_Entry!AZ50)</f>
        <v/>
      </c>
      <c r="I52" s="103">
        <f>IF(Human_Data_Entry!AL50="","",Human_Data_Entry!AL50)</f>
        <v/>
      </c>
      <c r="J52" s="103">
        <f>IF(Human_Data_Entry!AM50="","",Human_Data_Entry!AM50)</f>
        <v/>
      </c>
      <c r="K52" s="103">
        <f>IF(Human_Data_Entry!AN50="","",Human_Data_Entry!AN50)</f>
        <v/>
      </c>
      <c r="L52" s="103">
        <f>IF(Human_Data_Entry!AO50="","",Human_Data_Entry!AO50)</f>
        <v/>
      </c>
      <c r="M52" s="103">
        <f>IF(Human_Data_Entry!BM50="","",Human_Data_Entry!BM50)</f>
        <v/>
      </c>
      <c r="N52" s="103">
        <f>IF(Human_Data_Entry!BN50="","",Human_Data_Entry!BN50)</f>
        <v/>
      </c>
      <c r="O52" s="103">
        <f>IF(Human_Data_Entry!BO50="","",Human_Data_Entry!BO50)</f>
        <v/>
      </c>
      <c r="P52" s="103">
        <f>IF(Human_Data_Entry!BP50="","",Human_Data_Entry!BP50)</f>
        <v/>
      </c>
      <c r="Q52" s="103">
        <f>IF(Human_Data_Entry!BQ50="","",Human_Data_Entry!BQ50)</f>
        <v/>
      </c>
      <c r="R52" s="103">
        <f>IF(Human_Data_Entry!BR50="","",Human_Data_Entry!BR50)</f>
        <v/>
      </c>
      <c r="S52" s="103">
        <f>IF(Human_Data_Entry!BS50="","",Human_Data_Entry!BS50)</f>
        <v/>
      </c>
      <c r="T52" s="103">
        <f>IF(Human_Data_Entry!BT50="","",Human_Data_Entry!BT50)</f>
        <v/>
      </c>
    </row>
    <row r="53" ht="15" customHeight="1" s="241">
      <c r="A53" s="103">
        <f>IF(Human_Data_Entry!A51="","",Human_Data_Entry!A51)</f>
        <v/>
      </c>
      <c r="B53" s="103">
        <f>IF(Human_Data_Entry!B51="","",Human_Data_Entry!B51)</f>
        <v/>
      </c>
      <c r="C53" s="104">
        <f>IF(Human_Data_Entry!C51="","",Human_Data_Entry!C51)</f>
        <v/>
      </c>
      <c r="D53" s="103">
        <f>IF(Human_Data_Entry!D51="","",Human_Data_Entry!D51)</f>
        <v/>
      </c>
      <c r="E53" s="103">
        <f>IF(Human_Data_Entry!G51="","",Human_Data_Entry!G51)</f>
        <v/>
      </c>
      <c r="F53" s="103">
        <f>IF(Human_Data_Entry!X51="","",Human_Data_Entry!X51)</f>
        <v/>
      </c>
      <c r="G53" s="103">
        <f>IF(Human_Data_Entry!AY51="","",Human_Data_Entry!AY51)</f>
        <v/>
      </c>
      <c r="H53" s="103">
        <f>IF(Human_Data_Entry!AZ51="","",Human_Data_Entry!AZ51)</f>
        <v/>
      </c>
      <c r="I53" s="103">
        <f>IF(Human_Data_Entry!AL51="","",Human_Data_Entry!AL51)</f>
        <v/>
      </c>
      <c r="J53" s="103">
        <f>IF(Human_Data_Entry!AM51="","",Human_Data_Entry!AM51)</f>
        <v/>
      </c>
      <c r="K53" s="103">
        <f>IF(Human_Data_Entry!AN51="","",Human_Data_Entry!AN51)</f>
        <v/>
      </c>
      <c r="L53" s="103">
        <f>IF(Human_Data_Entry!AO51="","",Human_Data_Entry!AO51)</f>
        <v/>
      </c>
      <c r="M53" s="103">
        <f>IF(Human_Data_Entry!BM51="","",Human_Data_Entry!BM51)</f>
        <v/>
      </c>
      <c r="N53" s="103">
        <f>IF(Human_Data_Entry!BN51="","",Human_Data_Entry!BN51)</f>
        <v/>
      </c>
      <c r="O53" s="103">
        <f>IF(Human_Data_Entry!BO51="","",Human_Data_Entry!BO51)</f>
        <v/>
      </c>
      <c r="P53" s="103">
        <f>IF(Human_Data_Entry!BP51="","",Human_Data_Entry!BP51)</f>
        <v/>
      </c>
      <c r="Q53" s="103">
        <f>IF(Human_Data_Entry!BQ51="","",Human_Data_Entry!BQ51)</f>
        <v/>
      </c>
      <c r="R53" s="103">
        <f>IF(Human_Data_Entry!BR51="","",Human_Data_Entry!BR51)</f>
        <v/>
      </c>
      <c r="S53" s="103">
        <f>IF(Human_Data_Entry!BS51="","",Human_Data_Entry!BS51)</f>
        <v/>
      </c>
      <c r="T53" s="103">
        <f>IF(Human_Data_Entry!BT51="","",Human_Data_Entry!BT51)</f>
        <v/>
      </c>
    </row>
    <row r="54" ht="15" customHeight="1" s="241">
      <c r="A54" s="103">
        <f>IF(Human_Data_Entry!A52="","",Human_Data_Entry!A52)</f>
        <v/>
      </c>
      <c r="B54" s="103">
        <f>IF(Human_Data_Entry!B52="","",Human_Data_Entry!B52)</f>
        <v/>
      </c>
      <c r="C54" s="104">
        <f>IF(Human_Data_Entry!C52="","",Human_Data_Entry!C52)</f>
        <v/>
      </c>
      <c r="D54" s="103">
        <f>IF(Human_Data_Entry!D52="","",Human_Data_Entry!D52)</f>
        <v/>
      </c>
      <c r="E54" s="103">
        <f>IF(Human_Data_Entry!G52="","",Human_Data_Entry!G52)</f>
        <v/>
      </c>
      <c r="F54" s="103">
        <f>IF(Human_Data_Entry!X52="","",Human_Data_Entry!X52)</f>
        <v/>
      </c>
      <c r="G54" s="103">
        <f>IF(Human_Data_Entry!AY52="","",Human_Data_Entry!AY52)</f>
        <v/>
      </c>
      <c r="H54" s="103">
        <f>IF(Human_Data_Entry!AZ52="","",Human_Data_Entry!AZ52)</f>
        <v/>
      </c>
      <c r="I54" s="103">
        <f>IF(Human_Data_Entry!AL52="","",Human_Data_Entry!AL52)</f>
        <v/>
      </c>
      <c r="J54" s="103">
        <f>IF(Human_Data_Entry!AM52="","",Human_Data_Entry!AM52)</f>
        <v/>
      </c>
      <c r="K54" s="103">
        <f>IF(Human_Data_Entry!AN52="","",Human_Data_Entry!AN52)</f>
        <v/>
      </c>
      <c r="L54" s="103">
        <f>IF(Human_Data_Entry!AO52="","",Human_Data_Entry!AO52)</f>
        <v/>
      </c>
      <c r="M54" s="103">
        <f>IF(Human_Data_Entry!BM52="","",Human_Data_Entry!BM52)</f>
        <v/>
      </c>
      <c r="N54" s="103">
        <f>IF(Human_Data_Entry!BN52="","",Human_Data_Entry!BN52)</f>
        <v/>
      </c>
      <c r="O54" s="103">
        <f>IF(Human_Data_Entry!BO52="","",Human_Data_Entry!BO52)</f>
        <v/>
      </c>
      <c r="P54" s="103">
        <f>IF(Human_Data_Entry!BP52="","",Human_Data_Entry!BP52)</f>
        <v/>
      </c>
      <c r="Q54" s="103">
        <f>IF(Human_Data_Entry!BQ52="","",Human_Data_Entry!BQ52)</f>
        <v/>
      </c>
      <c r="R54" s="103">
        <f>IF(Human_Data_Entry!BR52="","",Human_Data_Entry!BR52)</f>
        <v/>
      </c>
      <c r="S54" s="103">
        <f>IF(Human_Data_Entry!BS52="","",Human_Data_Entry!BS52)</f>
        <v/>
      </c>
      <c r="T54" s="103">
        <f>IF(Human_Data_Entry!BT52="","",Human_Data_Entry!BT52)</f>
        <v/>
      </c>
    </row>
    <row r="55" ht="15" customHeight="1" s="241">
      <c r="A55" s="103">
        <f>IF(Human_Data_Entry!A53="","",Human_Data_Entry!A53)</f>
        <v/>
      </c>
      <c r="B55" s="103">
        <f>IF(Human_Data_Entry!B53="","",Human_Data_Entry!B53)</f>
        <v/>
      </c>
      <c r="C55" s="104">
        <f>IF(Human_Data_Entry!C53="","",Human_Data_Entry!C53)</f>
        <v/>
      </c>
      <c r="D55" s="103">
        <f>IF(Human_Data_Entry!D53="","",Human_Data_Entry!D53)</f>
        <v/>
      </c>
      <c r="E55" s="103">
        <f>IF(Human_Data_Entry!G53="","",Human_Data_Entry!G53)</f>
        <v/>
      </c>
      <c r="F55" s="103">
        <f>IF(Human_Data_Entry!X53="","",Human_Data_Entry!X53)</f>
        <v/>
      </c>
      <c r="G55" s="103">
        <f>IF(Human_Data_Entry!AY53="","",Human_Data_Entry!AY53)</f>
        <v/>
      </c>
      <c r="H55" s="103">
        <f>IF(Human_Data_Entry!AZ53="","",Human_Data_Entry!AZ53)</f>
        <v/>
      </c>
      <c r="I55" s="103">
        <f>IF(Human_Data_Entry!AL53="","",Human_Data_Entry!AL53)</f>
        <v/>
      </c>
      <c r="J55" s="103">
        <f>IF(Human_Data_Entry!AM53="","",Human_Data_Entry!AM53)</f>
        <v/>
      </c>
      <c r="K55" s="103">
        <f>IF(Human_Data_Entry!AN53="","",Human_Data_Entry!AN53)</f>
        <v/>
      </c>
      <c r="L55" s="103">
        <f>IF(Human_Data_Entry!AO53="","",Human_Data_Entry!AO53)</f>
        <v/>
      </c>
      <c r="M55" s="103">
        <f>IF(Human_Data_Entry!BM53="","",Human_Data_Entry!BM53)</f>
        <v/>
      </c>
      <c r="N55" s="103">
        <f>IF(Human_Data_Entry!BN53="","",Human_Data_Entry!BN53)</f>
        <v/>
      </c>
      <c r="O55" s="103">
        <f>IF(Human_Data_Entry!BO53="","",Human_Data_Entry!BO53)</f>
        <v/>
      </c>
      <c r="P55" s="103">
        <f>IF(Human_Data_Entry!BP53="","",Human_Data_Entry!BP53)</f>
        <v/>
      </c>
      <c r="Q55" s="103">
        <f>IF(Human_Data_Entry!BQ53="","",Human_Data_Entry!BQ53)</f>
        <v/>
      </c>
      <c r="R55" s="103">
        <f>IF(Human_Data_Entry!BR53="","",Human_Data_Entry!BR53)</f>
        <v/>
      </c>
      <c r="S55" s="103">
        <f>IF(Human_Data_Entry!BS53="","",Human_Data_Entry!BS53)</f>
        <v/>
      </c>
      <c r="T55" s="103">
        <f>IF(Human_Data_Entry!BT53="","",Human_Data_Entry!BT53)</f>
        <v/>
      </c>
    </row>
    <row r="56" ht="15" customHeight="1" s="241">
      <c r="A56" s="103">
        <f>IF(Human_Data_Entry!A54="","",Human_Data_Entry!A54)</f>
        <v/>
      </c>
      <c r="B56" s="103">
        <f>IF(Human_Data_Entry!B54="","",Human_Data_Entry!B54)</f>
        <v/>
      </c>
      <c r="C56" s="104">
        <f>IF(Human_Data_Entry!C54="","",Human_Data_Entry!C54)</f>
        <v/>
      </c>
      <c r="D56" s="103">
        <f>IF(Human_Data_Entry!D54="","",Human_Data_Entry!D54)</f>
        <v/>
      </c>
      <c r="E56" s="103">
        <f>IF(Human_Data_Entry!G54="","",Human_Data_Entry!G54)</f>
        <v/>
      </c>
      <c r="F56" s="103">
        <f>IF(Human_Data_Entry!X54="","",Human_Data_Entry!X54)</f>
        <v/>
      </c>
      <c r="G56" s="103">
        <f>IF(Human_Data_Entry!AY54="","",Human_Data_Entry!AY54)</f>
        <v/>
      </c>
      <c r="H56" s="103">
        <f>IF(Human_Data_Entry!AZ54="","",Human_Data_Entry!AZ54)</f>
        <v/>
      </c>
      <c r="I56" s="103">
        <f>IF(Human_Data_Entry!AL54="","",Human_Data_Entry!AL54)</f>
        <v/>
      </c>
      <c r="J56" s="103">
        <f>IF(Human_Data_Entry!AM54="","",Human_Data_Entry!AM54)</f>
        <v/>
      </c>
      <c r="K56" s="103">
        <f>IF(Human_Data_Entry!AN54="","",Human_Data_Entry!AN54)</f>
        <v/>
      </c>
      <c r="L56" s="103">
        <f>IF(Human_Data_Entry!AO54="","",Human_Data_Entry!AO54)</f>
        <v/>
      </c>
      <c r="M56" s="103">
        <f>IF(Human_Data_Entry!BM54="","",Human_Data_Entry!BM54)</f>
        <v/>
      </c>
      <c r="N56" s="103">
        <f>IF(Human_Data_Entry!BN54="","",Human_Data_Entry!BN54)</f>
        <v/>
      </c>
      <c r="O56" s="103">
        <f>IF(Human_Data_Entry!BO54="","",Human_Data_Entry!BO54)</f>
        <v/>
      </c>
      <c r="P56" s="103">
        <f>IF(Human_Data_Entry!BP54="","",Human_Data_Entry!BP54)</f>
        <v/>
      </c>
      <c r="Q56" s="103">
        <f>IF(Human_Data_Entry!BQ54="","",Human_Data_Entry!BQ54)</f>
        <v/>
      </c>
      <c r="R56" s="103">
        <f>IF(Human_Data_Entry!BR54="","",Human_Data_Entry!BR54)</f>
        <v/>
      </c>
      <c r="S56" s="103">
        <f>IF(Human_Data_Entry!BS54="","",Human_Data_Entry!BS54)</f>
        <v/>
      </c>
      <c r="T56" s="103">
        <f>IF(Human_Data_Entry!BT54="","",Human_Data_Entry!BT54)</f>
        <v/>
      </c>
    </row>
    <row r="57" ht="15" customHeight="1" s="241">
      <c r="A57" s="103">
        <f>IF(Human_Data_Entry!A55="","",Human_Data_Entry!A55)</f>
        <v/>
      </c>
      <c r="B57" s="103">
        <f>IF(Human_Data_Entry!B55="","",Human_Data_Entry!B55)</f>
        <v/>
      </c>
      <c r="C57" s="104">
        <f>IF(Human_Data_Entry!C55="","",Human_Data_Entry!C55)</f>
        <v/>
      </c>
      <c r="D57" s="103">
        <f>IF(Human_Data_Entry!D55="","",Human_Data_Entry!D55)</f>
        <v/>
      </c>
      <c r="E57" s="103">
        <f>IF(Human_Data_Entry!G55="","",Human_Data_Entry!G55)</f>
        <v/>
      </c>
      <c r="F57" s="103">
        <f>IF(Human_Data_Entry!X55="","",Human_Data_Entry!X55)</f>
        <v/>
      </c>
      <c r="G57" s="103">
        <f>IF(Human_Data_Entry!AY55="","",Human_Data_Entry!AY55)</f>
        <v/>
      </c>
      <c r="H57" s="103">
        <f>IF(Human_Data_Entry!AZ55="","",Human_Data_Entry!AZ55)</f>
        <v/>
      </c>
      <c r="I57" s="103">
        <f>IF(Human_Data_Entry!AL55="","",Human_Data_Entry!AL55)</f>
        <v/>
      </c>
      <c r="J57" s="103">
        <f>IF(Human_Data_Entry!AM55="","",Human_Data_Entry!AM55)</f>
        <v/>
      </c>
      <c r="K57" s="103">
        <f>IF(Human_Data_Entry!AN55="","",Human_Data_Entry!AN55)</f>
        <v/>
      </c>
      <c r="L57" s="103">
        <f>IF(Human_Data_Entry!AO55="","",Human_Data_Entry!AO55)</f>
        <v/>
      </c>
      <c r="M57" s="103">
        <f>IF(Human_Data_Entry!BM55="","",Human_Data_Entry!BM55)</f>
        <v/>
      </c>
      <c r="N57" s="103">
        <f>IF(Human_Data_Entry!BN55="","",Human_Data_Entry!BN55)</f>
        <v/>
      </c>
      <c r="O57" s="103">
        <f>IF(Human_Data_Entry!BO55="","",Human_Data_Entry!BO55)</f>
        <v/>
      </c>
      <c r="P57" s="103">
        <f>IF(Human_Data_Entry!BP55="","",Human_Data_Entry!BP55)</f>
        <v/>
      </c>
      <c r="Q57" s="103">
        <f>IF(Human_Data_Entry!BQ55="","",Human_Data_Entry!BQ55)</f>
        <v/>
      </c>
      <c r="R57" s="103">
        <f>IF(Human_Data_Entry!BR55="","",Human_Data_Entry!BR55)</f>
        <v/>
      </c>
      <c r="S57" s="103">
        <f>IF(Human_Data_Entry!BS55="","",Human_Data_Entry!BS55)</f>
        <v/>
      </c>
      <c r="T57" s="103">
        <f>IF(Human_Data_Entry!BT55="","",Human_Data_Entry!BT55)</f>
        <v/>
      </c>
    </row>
    <row r="58" ht="15" customHeight="1" s="241">
      <c r="A58" s="103">
        <f>IF(Human_Data_Entry!A56="","",Human_Data_Entry!A56)</f>
        <v/>
      </c>
      <c r="B58" s="103">
        <f>IF(Human_Data_Entry!B56="","",Human_Data_Entry!B56)</f>
        <v/>
      </c>
      <c r="C58" s="104">
        <f>IF(Human_Data_Entry!C56="","",Human_Data_Entry!C56)</f>
        <v/>
      </c>
      <c r="D58" s="103">
        <f>IF(Human_Data_Entry!D56="","",Human_Data_Entry!D56)</f>
        <v/>
      </c>
      <c r="E58" s="103">
        <f>IF(Human_Data_Entry!G56="","",Human_Data_Entry!G56)</f>
        <v/>
      </c>
      <c r="F58" s="103">
        <f>IF(Human_Data_Entry!X56="","",Human_Data_Entry!X56)</f>
        <v/>
      </c>
      <c r="G58" s="103">
        <f>IF(Human_Data_Entry!AY56="","",Human_Data_Entry!AY56)</f>
        <v/>
      </c>
      <c r="H58" s="103">
        <f>IF(Human_Data_Entry!AZ56="","",Human_Data_Entry!AZ56)</f>
        <v/>
      </c>
      <c r="I58" s="103">
        <f>IF(Human_Data_Entry!AL56="","",Human_Data_Entry!AL56)</f>
        <v/>
      </c>
      <c r="J58" s="103">
        <f>IF(Human_Data_Entry!AM56="","",Human_Data_Entry!AM56)</f>
        <v/>
      </c>
      <c r="K58" s="103">
        <f>IF(Human_Data_Entry!AN56="","",Human_Data_Entry!AN56)</f>
        <v/>
      </c>
      <c r="L58" s="103">
        <f>IF(Human_Data_Entry!AO56="","",Human_Data_Entry!AO56)</f>
        <v/>
      </c>
      <c r="M58" s="103">
        <f>IF(Human_Data_Entry!BM56="","",Human_Data_Entry!BM56)</f>
        <v/>
      </c>
      <c r="N58" s="103">
        <f>IF(Human_Data_Entry!BN56="","",Human_Data_Entry!BN56)</f>
        <v/>
      </c>
      <c r="O58" s="103">
        <f>IF(Human_Data_Entry!BO56="","",Human_Data_Entry!BO56)</f>
        <v/>
      </c>
      <c r="P58" s="103">
        <f>IF(Human_Data_Entry!BP56="","",Human_Data_Entry!BP56)</f>
        <v/>
      </c>
      <c r="Q58" s="103">
        <f>IF(Human_Data_Entry!BQ56="","",Human_Data_Entry!BQ56)</f>
        <v/>
      </c>
      <c r="R58" s="103">
        <f>IF(Human_Data_Entry!BR56="","",Human_Data_Entry!BR56)</f>
        <v/>
      </c>
      <c r="S58" s="103">
        <f>IF(Human_Data_Entry!BS56="","",Human_Data_Entry!BS56)</f>
        <v/>
      </c>
      <c r="T58" s="103">
        <f>IF(Human_Data_Entry!BT56="","",Human_Data_Entry!BT56)</f>
        <v/>
      </c>
    </row>
    <row r="59" ht="15" customHeight="1" s="241">
      <c r="A59" s="103">
        <f>IF(Human_Data_Entry!A57="","",Human_Data_Entry!A57)</f>
        <v/>
      </c>
      <c r="B59" s="103">
        <f>IF(Human_Data_Entry!B57="","",Human_Data_Entry!B57)</f>
        <v/>
      </c>
      <c r="C59" s="104">
        <f>IF(Human_Data_Entry!C57="","",Human_Data_Entry!C57)</f>
        <v/>
      </c>
      <c r="D59" s="103">
        <f>IF(Human_Data_Entry!D57="","",Human_Data_Entry!D57)</f>
        <v/>
      </c>
      <c r="E59" s="103">
        <f>IF(Human_Data_Entry!G57="","",Human_Data_Entry!G57)</f>
        <v/>
      </c>
      <c r="F59" s="103">
        <f>IF(Human_Data_Entry!X57="","",Human_Data_Entry!X57)</f>
        <v/>
      </c>
      <c r="G59" s="103">
        <f>IF(Human_Data_Entry!AY57="","",Human_Data_Entry!AY57)</f>
        <v/>
      </c>
      <c r="H59" s="103">
        <f>IF(Human_Data_Entry!AZ57="","",Human_Data_Entry!AZ57)</f>
        <v/>
      </c>
      <c r="I59" s="103">
        <f>IF(Human_Data_Entry!AL57="","",Human_Data_Entry!AL57)</f>
        <v/>
      </c>
      <c r="J59" s="103">
        <f>IF(Human_Data_Entry!AM57="","",Human_Data_Entry!AM57)</f>
        <v/>
      </c>
      <c r="K59" s="103">
        <f>IF(Human_Data_Entry!AN57="","",Human_Data_Entry!AN57)</f>
        <v/>
      </c>
      <c r="L59" s="103">
        <f>IF(Human_Data_Entry!AO57="","",Human_Data_Entry!AO57)</f>
        <v/>
      </c>
      <c r="M59" s="103">
        <f>IF(Human_Data_Entry!BM57="","",Human_Data_Entry!BM57)</f>
        <v/>
      </c>
      <c r="N59" s="103">
        <f>IF(Human_Data_Entry!BN57="","",Human_Data_Entry!BN57)</f>
        <v/>
      </c>
      <c r="O59" s="103">
        <f>IF(Human_Data_Entry!BO57="","",Human_Data_Entry!BO57)</f>
        <v/>
      </c>
      <c r="P59" s="103">
        <f>IF(Human_Data_Entry!BP57="","",Human_Data_Entry!BP57)</f>
        <v/>
      </c>
      <c r="Q59" s="103">
        <f>IF(Human_Data_Entry!BQ57="","",Human_Data_Entry!BQ57)</f>
        <v/>
      </c>
      <c r="R59" s="103">
        <f>IF(Human_Data_Entry!BR57="","",Human_Data_Entry!BR57)</f>
        <v/>
      </c>
      <c r="S59" s="103">
        <f>IF(Human_Data_Entry!BS57="","",Human_Data_Entry!BS57)</f>
        <v/>
      </c>
      <c r="T59" s="103">
        <f>IF(Human_Data_Entry!BT57="","",Human_Data_Entry!BT57)</f>
        <v/>
      </c>
    </row>
    <row r="60" ht="15" customHeight="1" s="241">
      <c r="A60" s="103">
        <f>IF(Human_Data_Entry!A58="","",Human_Data_Entry!A58)</f>
        <v/>
      </c>
      <c r="B60" s="103">
        <f>IF(Human_Data_Entry!B58="","",Human_Data_Entry!B58)</f>
        <v/>
      </c>
      <c r="C60" s="104">
        <f>IF(Human_Data_Entry!C58="","",Human_Data_Entry!C58)</f>
        <v/>
      </c>
      <c r="D60" s="103">
        <f>IF(Human_Data_Entry!D58="","",Human_Data_Entry!D58)</f>
        <v/>
      </c>
      <c r="E60" s="103">
        <f>IF(Human_Data_Entry!G58="","",Human_Data_Entry!G58)</f>
        <v/>
      </c>
      <c r="F60" s="103">
        <f>IF(Human_Data_Entry!X58="","",Human_Data_Entry!X58)</f>
        <v/>
      </c>
      <c r="G60" s="103">
        <f>IF(Human_Data_Entry!AY58="","",Human_Data_Entry!AY58)</f>
        <v/>
      </c>
      <c r="H60" s="103">
        <f>IF(Human_Data_Entry!AZ58="","",Human_Data_Entry!AZ58)</f>
        <v/>
      </c>
      <c r="I60" s="103">
        <f>IF(Human_Data_Entry!AL58="","",Human_Data_Entry!AL58)</f>
        <v/>
      </c>
      <c r="J60" s="103">
        <f>IF(Human_Data_Entry!AM58="","",Human_Data_Entry!AM58)</f>
        <v/>
      </c>
      <c r="K60" s="103">
        <f>IF(Human_Data_Entry!AN58="","",Human_Data_Entry!AN58)</f>
        <v/>
      </c>
      <c r="L60" s="103">
        <f>IF(Human_Data_Entry!AO58="","",Human_Data_Entry!AO58)</f>
        <v/>
      </c>
      <c r="M60" s="103">
        <f>IF(Human_Data_Entry!BM58="","",Human_Data_Entry!BM58)</f>
        <v/>
      </c>
      <c r="N60" s="103">
        <f>IF(Human_Data_Entry!BN58="","",Human_Data_Entry!BN58)</f>
        <v/>
      </c>
      <c r="O60" s="103">
        <f>IF(Human_Data_Entry!BO58="","",Human_Data_Entry!BO58)</f>
        <v/>
      </c>
      <c r="P60" s="103">
        <f>IF(Human_Data_Entry!BP58="","",Human_Data_Entry!BP58)</f>
        <v/>
      </c>
      <c r="Q60" s="103">
        <f>IF(Human_Data_Entry!BQ58="","",Human_Data_Entry!BQ58)</f>
        <v/>
      </c>
      <c r="R60" s="103">
        <f>IF(Human_Data_Entry!BR58="","",Human_Data_Entry!BR58)</f>
        <v/>
      </c>
      <c r="S60" s="103">
        <f>IF(Human_Data_Entry!BS58="","",Human_Data_Entry!BS58)</f>
        <v/>
      </c>
      <c r="T60" s="103">
        <f>IF(Human_Data_Entry!BT58="","",Human_Data_Entry!BT58)</f>
        <v/>
      </c>
    </row>
    <row r="61" ht="15" customHeight="1" s="241">
      <c r="A61" s="103">
        <f>IF(Human_Data_Entry!A59="","",Human_Data_Entry!A59)</f>
        <v/>
      </c>
      <c r="B61" s="103">
        <f>IF(Human_Data_Entry!B59="","",Human_Data_Entry!B59)</f>
        <v/>
      </c>
      <c r="C61" s="104">
        <f>IF(Human_Data_Entry!C59="","",Human_Data_Entry!C59)</f>
        <v/>
      </c>
      <c r="D61" s="103">
        <f>IF(Human_Data_Entry!D59="","",Human_Data_Entry!D59)</f>
        <v/>
      </c>
      <c r="E61" s="103">
        <f>IF(Human_Data_Entry!G59="","",Human_Data_Entry!G59)</f>
        <v/>
      </c>
      <c r="F61" s="103">
        <f>IF(Human_Data_Entry!X59="","",Human_Data_Entry!X59)</f>
        <v/>
      </c>
      <c r="G61" s="103">
        <f>IF(Human_Data_Entry!AY59="","",Human_Data_Entry!AY59)</f>
        <v/>
      </c>
      <c r="H61" s="103">
        <f>IF(Human_Data_Entry!AZ59="","",Human_Data_Entry!AZ59)</f>
        <v/>
      </c>
      <c r="I61" s="103">
        <f>IF(Human_Data_Entry!AL59="","",Human_Data_Entry!AL59)</f>
        <v/>
      </c>
      <c r="J61" s="103">
        <f>IF(Human_Data_Entry!AM59="","",Human_Data_Entry!AM59)</f>
        <v/>
      </c>
      <c r="K61" s="103">
        <f>IF(Human_Data_Entry!AN59="","",Human_Data_Entry!AN59)</f>
        <v/>
      </c>
      <c r="L61" s="103">
        <f>IF(Human_Data_Entry!AO59="","",Human_Data_Entry!AO59)</f>
        <v/>
      </c>
      <c r="M61" s="103">
        <f>IF(Human_Data_Entry!BM59="","",Human_Data_Entry!BM59)</f>
        <v/>
      </c>
      <c r="N61" s="103">
        <f>IF(Human_Data_Entry!BN59="","",Human_Data_Entry!BN59)</f>
        <v/>
      </c>
      <c r="O61" s="103">
        <f>IF(Human_Data_Entry!BO59="","",Human_Data_Entry!BO59)</f>
        <v/>
      </c>
      <c r="P61" s="103">
        <f>IF(Human_Data_Entry!BP59="","",Human_Data_Entry!BP59)</f>
        <v/>
      </c>
      <c r="Q61" s="103">
        <f>IF(Human_Data_Entry!BQ59="","",Human_Data_Entry!BQ59)</f>
        <v/>
      </c>
      <c r="R61" s="103">
        <f>IF(Human_Data_Entry!BR59="","",Human_Data_Entry!BR59)</f>
        <v/>
      </c>
      <c r="S61" s="103">
        <f>IF(Human_Data_Entry!BS59="","",Human_Data_Entry!BS59)</f>
        <v/>
      </c>
      <c r="T61" s="103">
        <f>IF(Human_Data_Entry!BT59="","",Human_Data_Entry!BT59)</f>
        <v/>
      </c>
    </row>
    <row r="62" ht="15" customHeight="1" s="241">
      <c r="A62" s="103">
        <f>IF(Human_Data_Entry!A60="","",Human_Data_Entry!A60)</f>
        <v/>
      </c>
      <c r="B62" s="103">
        <f>IF(Human_Data_Entry!B60="","",Human_Data_Entry!B60)</f>
        <v/>
      </c>
      <c r="C62" s="104">
        <f>IF(Human_Data_Entry!C60="","",Human_Data_Entry!C60)</f>
        <v/>
      </c>
      <c r="D62" s="103">
        <f>IF(Human_Data_Entry!D60="","",Human_Data_Entry!D60)</f>
        <v/>
      </c>
      <c r="E62" s="103">
        <f>IF(Human_Data_Entry!G60="","",Human_Data_Entry!G60)</f>
        <v/>
      </c>
      <c r="F62" s="103">
        <f>IF(Human_Data_Entry!X60="","",Human_Data_Entry!X60)</f>
        <v/>
      </c>
      <c r="G62" s="103">
        <f>IF(Human_Data_Entry!AY60="","",Human_Data_Entry!AY60)</f>
        <v/>
      </c>
      <c r="H62" s="103">
        <f>IF(Human_Data_Entry!AZ60="","",Human_Data_Entry!AZ60)</f>
        <v/>
      </c>
      <c r="I62" s="103">
        <f>IF(Human_Data_Entry!AL60="","",Human_Data_Entry!AL60)</f>
        <v/>
      </c>
      <c r="J62" s="103">
        <f>IF(Human_Data_Entry!AM60="","",Human_Data_Entry!AM60)</f>
        <v/>
      </c>
      <c r="K62" s="103">
        <f>IF(Human_Data_Entry!AN60="","",Human_Data_Entry!AN60)</f>
        <v/>
      </c>
      <c r="L62" s="103">
        <f>IF(Human_Data_Entry!AO60="","",Human_Data_Entry!AO60)</f>
        <v/>
      </c>
      <c r="M62" s="103">
        <f>IF(Human_Data_Entry!BM60="","",Human_Data_Entry!BM60)</f>
        <v/>
      </c>
      <c r="N62" s="103">
        <f>IF(Human_Data_Entry!BN60="","",Human_Data_Entry!BN60)</f>
        <v/>
      </c>
      <c r="O62" s="103">
        <f>IF(Human_Data_Entry!BO60="","",Human_Data_Entry!BO60)</f>
        <v/>
      </c>
      <c r="P62" s="103">
        <f>IF(Human_Data_Entry!BP60="","",Human_Data_Entry!BP60)</f>
        <v/>
      </c>
      <c r="Q62" s="103">
        <f>IF(Human_Data_Entry!BQ60="","",Human_Data_Entry!BQ60)</f>
        <v/>
      </c>
      <c r="R62" s="103">
        <f>IF(Human_Data_Entry!BR60="","",Human_Data_Entry!BR60)</f>
        <v/>
      </c>
      <c r="S62" s="103">
        <f>IF(Human_Data_Entry!BS60="","",Human_Data_Entry!BS60)</f>
        <v/>
      </c>
      <c r="T62" s="103">
        <f>IF(Human_Data_Entry!BT60="","",Human_Data_Entry!BT60)</f>
        <v/>
      </c>
    </row>
    <row r="63" ht="15" customHeight="1" s="241">
      <c r="A63" s="103">
        <f>IF(Human_Data_Entry!A61="","",Human_Data_Entry!A61)</f>
        <v/>
      </c>
      <c r="B63" s="103">
        <f>IF(Human_Data_Entry!B61="","",Human_Data_Entry!B61)</f>
        <v/>
      </c>
      <c r="C63" s="104">
        <f>IF(Human_Data_Entry!C61="","",Human_Data_Entry!C61)</f>
        <v/>
      </c>
      <c r="D63" s="103">
        <f>IF(Human_Data_Entry!D61="","",Human_Data_Entry!D61)</f>
        <v/>
      </c>
      <c r="E63" s="103">
        <f>IF(Human_Data_Entry!G61="","",Human_Data_Entry!G61)</f>
        <v/>
      </c>
      <c r="F63" s="103">
        <f>IF(Human_Data_Entry!X61="","",Human_Data_Entry!X61)</f>
        <v/>
      </c>
      <c r="G63" s="103">
        <f>IF(Human_Data_Entry!AY61="","",Human_Data_Entry!AY61)</f>
        <v/>
      </c>
      <c r="H63" s="103">
        <f>IF(Human_Data_Entry!AZ61="","",Human_Data_Entry!AZ61)</f>
        <v/>
      </c>
      <c r="I63" s="103">
        <f>IF(Human_Data_Entry!AL61="","",Human_Data_Entry!AL61)</f>
        <v/>
      </c>
      <c r="J63" s="103">
        <f>IF(Human_Data_Entry!AM61="","",Human_Data_Entry!AM61)</f>
        <v/>
      </c>
      <c r="K63" s="103">
        <f>IF(Human_Data_Entry!AN61="","",Human_Data_Entry!AN61)</f>
        <v/>
      </c>
      <c r="L63" s="103">
        <f>IF(Human_Data_Entry!AO61="","",Human_Data_Entry!AO61)</f>
        <v/>
      </c>
      <c r="M63" s="103">
        <f>IF(Human_Data_Entry!BM61="","",Human_Data_Entry!BM61)</f>
        <v/>
      </c>
      <c r="N63" s="103">
        <f>IF(Human_Data_Entry!BN61="","",Human_Data_Entry!BN61)</f>
        <v/>
      </c>
      <c r="O63" s="103">
        <f>IF(Human_Data_Entry!BO61="","",Human_Data_Entry!BO61)</f>
        <v/>
      </c>
      <c r="P63" s="103">
        <f>IF(Human_Data_Entry!BP61="","",Human_Data_Entry!BP61)</f>
        <v/>
      </c>
      <c r="Q63" s="103">
        <f>IF(Human_Data_Entry!BQ61="","",Human_Data_Entry!BQ61)</f>
        <v/>
      </c>
      <c r="R63" s="103">
        <f>IF(Human_Data_Entry!BR61="","",Human_Data_Entry!BR61)</f>
        <v/>
      </c>
      <c r="S63" s="103">
        <f>IF(Human_Data_Entry!BS61="","",Human_Data_Entry!BS61)</f>
        <v/>
      </c>
      <c r="T63" s="103">
        <f>IF(Human_Data_Entry!BT61="","",Human_Data_Entry!BT61)</f>
        <v/>
      </c>
    </row>
    <row r="64" ht="15" customHeight="1" s="241">
      <c r="A64" s="103">
        <f>IF(Human_Data_Entry!A62="","",Human_Data_Entry!A62)</f>
        <v/>
      </c>
      <c r="B64" s="103">
        <f>IF(Human_Data_Entry!B62="","",Human_Data_Entry!B62)</f>
        <v/>
      </c>
      <c r="C64" s="104">
        <f>IF(Human_Data_Entry!C62="","",Human_Data_Entry!C62)</f>
        <v/>
      </c>
      <c r="D64" s="103">
        <f>IF(Human_Data_Entry!D62="","",Human_Data_Entry!D62)</f>
        <v/>
      </c>
      <c r="E64" s="103">
        <f>IF(Human_Data_Entry!G62="","",Human_Data_Entry!G62)</f>
        <v/>
      </c>
      <c r="F64" s="103">
        <f>IF(Human_Data_Entry!X62="","",Human_Data_Entry!X62)</f>
        <v/>
      </c>
      <c r="G64" s="103">
        <f>IF(Human_Data_Entry!AY62="","",Human_Data_Entry!AY62)</f>
        <v/>
      </c>
      <c r="H64" s="103">
        <f>IF(Human_Data_Entry!AZ62="","",Human_Data_Entry!AZ62)</f>
        <v/>
      </c>
      <c r="I64" s="103">
        <f>IF(Human_Data_Entry!AL62="","",Human_Data_Entry!AL62)</f>
        <v/>
      </c>
      <c r="J64" s="103">
        <f>IF(Human_Data_Entry!AM62="","",Human_Data_Entry!AM62)</f>
        <v/>
      </c>
      <c r="K64" s="103">
        <f>IF(Human_Data_Entry!AN62="","",Human_Data_Entry!AN62)</f>
        <v/>
      </c>
      <c r="L64" s="103">
        <f>IF(Human_Data_Entry!AO62="","",Human_Data_Entry!AO62)</f>
        <v/>
      </c>
      <c r="M64" s="103">
        <f>IF(Human_Data_Entry!BM62="","",Human_Data_Entry!BM62)</f>
        <v/>
      </c>
      <c r="N64" s="103">
        <f>IF(Human_Data_Entry!BN62="","",Human_Data_Entry!BN62)</f>
        <v/>
      </c>
      <c r="O64" s="103">
        <f>IF(Human_Data_Entry!BO62="","",Human_Data_Entry!BO62)</f>
        <v/>
      </c>
      <c r="P64" s="103">
        <f>IF(Human_Data_Entry!BP62="","",Human_Data_Entry!BP62)</f>
        <v/>
      </c>
      <c r="Q64" s="103">
        <f>IF(Human_Data_Entry!BQ62="","",Human_Data_Entry!BQ62)</f>
        <v/>
      </c>
      <c r="R64" s="103">
        <f>IF(Human_Data_Entry!BR62="","",Human_Data_Entry!BR62)</f>
        <v/>
      </c>
      <c r="S64" s="103">
        <f>IF(Human_Data_Entry!BS62="","",Human_Data_Entry!BS62)</f>
        <v/>
      </c>
      <c r="T64" s="103">
        <f>IF(Human_Data_Entry!BT62="","",Human_Data_Entry!BT62)</f>
        <v/>
      </c>
    </row>
    <row r="65" ht="15" customHeight="1" s="241">
      <c r="A65" s="103">
        <f>IF(Human_Data_Entry!A63="","",Human_Data_Entry!A63)</f>
        <v/>
      </c>
      <c r="B65" s="103">
        <f>IF(Human_Data_Entry!B63="","",Human_Data_Entry!B63)</f>
        <v/>
      </c>
      <c r="C65" s="104">
        <f>IF(Human_Data_Entry!C63="","",Human_Data_Entry!C63)</f>
        <v/>
      </c>
      <c r="D65" s="103">
        <f>IF(Human_Data_Entry!D63="","",Human_Data_Entry!D63)</f>
        <v/>
      </c>
      <c r="E65" s="103">
        <f>IF(Human_Data_Entry!G63="","",Human_Data_Entry!G63)</f>
        <v/>
      </c>
      <c r="F65" s="103">
        <f>IF(Human_Data_Entry!X63="","",Human_Data_Entry!X63)</f>
        <v/>
      </c>
      <c r="G65" s="103">
        <f>IF(Human_Data_Entry!AY63="","",Human_Data_Entry!AY63)</f>
        <v/>
      </c>
      <c r="H65" s="103">
        <f>IF(Human_Data_Entry!AZ63="","",Human_Data_Entry!AZ63)</f>
        <v/>
      </c>
      <c r="I65" s="103">
        <f>IF(Human_Data_Entry!AL63="","",Human_Data_Entry!AL63)</f>
        <v/>
      </c>
      <c r="J65" s="103">
        <f>IF(Human_Data_Entry!AM63="","",Human_Data_Entry!AM63)</f>
        <v/>
      </c>
      <c r="K65" s="103">
        <f>IF(Human_Data_Entry!AN63="","",Human_Data_Entry!AN63)</f>
        <v/>
      </c>
      <c r="L65" s="103">
        <f>IF(Human_Data_Entry!AO63="","",Human_Data_Entry!AO63)</f>
        <v/>
      </c>
      <c r="M65" s="103">
        <f>IF(Human_Data_Entry!BM63="","",Human_Data_Entry!BM63)</f>
        <v/>
      </c>
      <c r="N65" s="103">
        <f>IF(Human_Data_Entry!BN63="","",Human_Data_Entry!BN63)</f>
        <v/>
      </c>
      <c r="O65" s="103">
        <f>IF(Human_Data_Entry!BO63="","",Human_Data_Entry!BO63)</f>
        <v/>
      </c>
      <c r="P65" s="103">
        <f>IF(Human_Data_Entry!BP63="","",Human_Data_Entry!BP63)</f>
        <v/>
      </c>
      <c r="Q65" s="103">
        <f>IF(Human_Data_Entry!BQ63="","",Human_Data_Entry!BQ63)</f>
        <v/>
      </c>
      <c r="R65" s="103">
        <f>IF(Human_Data_Entry!BR63="","",Human_Data_Entry!BR63)</f>
        <v/>
      </c>
      <c r="S65" s="103">
        <f>IF(Human_Data_Entry!BS63="","",Human_Data_Entry!BS63)</f>
        <v/>
      </c>
      <c r="T65" s="103">
        <f>IF(Human_Data_Entry!BT63="","",Human_Data_Entry!BT63)</f>
        <v/>
      </c>
    </row>
    <row r="66" ht="15" customHeight="1" s="241">
      <c r="A66" s="103">
        <f>IF(Human_Data_Entry!A64="","",Human_Data_Entry!A64)</f>
        <v/>
      </c>
      <c r="B66" s="103">
        <f>IF(Human_Data_Entry!B64="","",Human_Data_Entry!B64)</f>
        <v/>
      </c>
      <c r="C66" s="104">
        <f>IF(Human_Data_Entry!C64="","",Human_Data_Entry!C64)</f>
        <v/>
      </c>
      <c r="D66" s="103">
        <f>IF(Human_Data_Entry!D64="","",Human_Data_Entry!D64)</f>
        <v/>
      </c>
      <c r="E66" s="103">
        <f>IF(Human_Data_Entry!G64="","",Human_Data_Entry!G64)</f>
        <v/>
      </c>
      <c r="F66" s="103">
        <f>IF(Human_Data_Entry!X64="","",Human_Data_Entry!X64)</f>
        <v/>
      </c>
      <c r="G66" s="103">
        <f>IF(Human_Data_Entry!AY64="","",Human_Data_Entry!AY64)</f>
        <v/>
      </c>
      <c r="H66" s="103">
        <f>IF(Human_Data_Entry!AZ64="","",Human_Data_Entry!AZ64)</f>
        <v/>
      </c>
      <c r="I66" s="103">
        <f>IF(Human_Data_Entry!AL64="","",Human_Data_Entry!AL64)</f>
        <v/>
      </c>
      <c r="J66" s="103">
        <f>IF(Human_Data_Entry!AM64="","",Human_Data_Entry!AM64)</f>
        <v/>
      </c>
      <c r="K66" s="103">
        <f>IF(Human_Data_Entry!AN64="","",Human_Data_Entry!AN64)</f>
        <v/>
      </c>
      <c r="L66" s="103">
        <f>IF(Human_Data_Entry!AO64="","",Human_Data_Entry!AO64)</f>
        <v/>
      </c>
      <c r="M66" s="103">
        <f>IF(Human_Data_Entry!BM64="","",Human_Data_Entry!BM64)</f>
        <v/>
      </c>
      <c r="N66" s="103">
        <f>IF(Human_Data_Entry!BN64="","",Human_Data_Entry!BN64)</f>
        <v/>
      </c>
      <c r="O66" s="103">
        <f>IF(Human_Data_Entry!BO64="","",Human_Data_Entry!BO64)</f>
        <v/>
      </c>
      <c r="P66" s="103">
        <f>IF(Human_Data_Entry!BP64="","",Human_Data_Entry!BP64)</f>
        <v/>
      </c>
      <c r="Q66" s="103">
        <f>IF(Human_Data_Entry!BQ64="","",Human_Data_Entry!BQ64)</f>
        <v/>
      </c>
      <c r="R66" s="103">
        <f>IF(Human_Data_Entry!BR64="","",Human_Data_Entry!BR64)</f>
        <v/>
      </c>
      <c r="S66" s="103">
        <f>IF(Human_Data_Entry!BS64="","",Human_Data_Entry!BS64)</f>
        <v/>
      </c>
      <c r="T66" s="103">
        <f>IF(Human_Data_Entry!BT64="","",Human_Data_Entry!BT64)</f>
        <v/>
      </c>
    </row>
    <row r="67" ht="15" customHeight="1" s="241">
      <c r="A67" s="103">
        <f>IF(Human_Data_Entry!A65="","",Human_Data_Entry!A65)</f>
        <v/>
      </c>
      <c r="B67" s="103">
        <f>IF(Human_Data_Entry!B65="","",Human_Data_Entry!B65)</f>
        <v/>
      </c>
      <c r="C67" s="104">
        <f>IF(Human_Data_Entry!C65="","",Human_Data_Entry!C65)</f>
        <v/>
      </c>
      <c r="D67" s="103">
        <f>IF(Human_Data_Entry!D65="","",Human_Data_Entry!D65)</f>
        <v/>
      </c>
      <c r="E67" s="103">
        <f>IF(Human_Data_Entry!G65="","",Human_Data_Entry!G65)</f>
        <v/>
      </c>
      <c r="F67" s="103">
        <f>IF(Human_Data_Entry!X65="","",Human_Data_Entry!X65)</f>
        <v/>
      </c>
      <c r="G67" s="103">
        <f>IF(Human_Data_Entry!AY65="","",Human_Data_Entry!AY65)</f>
        <v/>
      </c>
      <c r="H67" s="103">
        <f>IF(Human_Data_Entry!AZ65="","",Human_Data_Entry!AZ65)</f>
        <v/>
      </c>
      <c r="I67" s="103">
        <f>IF(Human_Data_Entry!AL65="","",Human_Data_Entry!AL65)</f>
        <v/>
      </c>
      <c r="J67" s="103">
        <f>IF(Human_Data_Entry!AM65="","",Human_Data_Entry!AM65)</f>
        <v/>
      </c>
      <c r="K67" s="103">
        <f>IF(Human_Data_Entry!AN65="","",Human_Data_Entry!AN65)</f>
        <v/>
      </c>
      <c r="L67" s="103">
        <f>IF(Human_Data_Entry!AO65="","",Human_Data_Entry!AO65)</f>
        <v/>
      </c>
      <c r="M67" s="103">
        <f>IF(Human_Data_Entry!BM65="","",Human_Data_Entry!BM65)</f>
        <v/>
      </c>
      <c r="N67" s="103">
        <f>IF(Human_Data_Entry!BN65="","",Human_Data_Entry!BN65)</f>
        <v/>
      </c>
      <c r="O67" s="103">
        <f>IF(Human_Data_Entry!BO65="","",Human_Data_Entry!BO65)</f>
        <v/>
      </c>
      <c r="P67" s="103">
        <f>IF(Human_Data_Entry!BP65="","",Human_Data_Entry!BP65)</f>
        <v/>
      </c>
      <c r="Q67" s="103">
        <f>IF(Human_Data_Entry!BQ65="","",Human_Data_Entry!BQ65)</f>
        <v/>
      </c>
      <c r="R67" s="103">
        <f>IF(Human_Data_Entry!BR65="","",Human_Data_Entry!BR65)</f>
        <v/>
      </c>
      <c r="S67" s="103">
        <f>IF(Human_Data_Entry!BS65="","",Human_Data_Entry!BS65)</f>
        <v/>
      </c>
      <c r="T67" s="103">
        <f>IF(Human_Data_Entry!BT65="","",Human_Data_Entry!BT65)</f>
        <v/>
      </c>
    </row>
    <row r="68" ht="15" customHeight="1" s="241">
      <c r="A68" s="103">
        <f>IF(Human_Data_Entry!A66="","",Human_Data_Entry!A66)</f>
        <v/>
      </c>
      <c r="B68" s="103">
        <f>IF(Human_Data_Entry!B66="","",Human_Data_Entry!B66)</f>
        <v/>
      </c>
      <c r="C68" s="104">
        <f>IF(Human_Data_Entry!C66="","",Human_Data_Entry!C66)</f>
        <v/>
      </c>
      <c r="D68" s="103">
        <f>IF(Human_Data_Entry!D66="","",Human_Data_Entry!D66)</f>
        <v/>
      </c>
      <c r="E68" s="103">
        <f>IF(Human_Data_Entry!G66="","",Human_Data_Entry!G66)</f>
        <v/>
      </c>
      <c r="F68" s="103">
        <f>IF(Human_Data_Entry!X66="","",Human_Data_Entry!X66)</f>
        <v/>
      </c>
      <c r="G68" s="103">
        <f>IF(Human_Data_Entry!AY66="","",Human_Data_Entry!AY66)</f>
        <v/>
      </c>
      <c r="H68" s="103">
        <f>IF(Human_Data_Entry!AZ66="","",Human_Data_Entry!AZ66)</f>
        <v/>
      </c>
      <c r="I68" s="103">
        <f>IF(Human_Data_Entry!AL66="","",Human_Data_Entry!AL66)</f>
        <v/>
      </c>
      <c r="J68" s="103">
        <f>IF(Human_Data_Entry!AM66="","",Human_Data_Entry!AM66)</f>
        <v/>
      </c>
      <c r="K68" s="103">
        <f>IF(Human_Data_Entry!AN66="","",Human_Data_Entry!AN66)</f>
        <v/>
      </c>
      <c r="L68" s="103">
        <f>IF(Human_Data_Entry!AO66="","",Human_Data_Entry!AO66)</f>
        <v/>
      </c>
      <c r="M68" s="103">
        <f>IF(Human_Data_Entry!BM66="","",Human_Data_Entry!BM66)</f>
        <v/>
      </c>
      <c r="N68" s="103">
        <f>IF(Human_Data_Entry!BN66="","",Human_Data_Entry!BN66)</f>
        <v/>
      </c>
      <c r="O68" s="103">
        <f>IF(Human_Data_Entry!BO66="","",Human_Data_Entry!BO66)</f>
        <v/>
      </c>
      <c r="P68" s="103">
        <f>IF(Human_Data_Entry!BP66="","",Human_Data_Entry!BP66)</f>
        <v/>
      </c>
      <c r="Q68" s="103">
        <f>IF(Human_Data_Entry!BQ66="","",Human_Data_Entry!BQ66)</f>
        <v/>
      </c>
      <c r="R68" s="103">
        <f>IF(Human_Data_Entry!BR66="","",Human_Data_Entry!BR66)</f>
        <v/>
      </c>
      <c r="S68" s="103">
        <f>IF(Human_Data_Entry!BS66="","",Human_Data_Entry!BS66)</f>
        <v/>
      </c>
      <c r="T68" s="103">
        <f>IF(Human_Data_Entry!BT66="","",Human_Data_Entry!BT66)</f>
        <v/>
      </c>
    </row>
    <row r="69" ht="15" customHeight="1" s="241">
      <c r="A69" s="103">
        <f>IF(Human_Data_Entry!A67="","",Human_Data_Entry!A67)</f>
        <v/>
      </c>
      <c r="B69" s="103">
        <f>IF(Human_Data_Entry!B67="","",Human_Data_Entry!B67)</f>
        <v/>
      </c>
      <c r="C69" s="104">
        <f>IF(Human_Data_Entry!C67="","",Human_Data_Entry!C67)</f>
        <v/>
      </c>
      <c r="D69" s="103">
        <f>IF(Human_Data_Entry!D67="","",Human_Data_Entry!D67)</f>
        <v/>
      </c>
      <c r="E69" s="103">
        <f>IF(Human_Data_Entry!G67="","",Human_Data_Entry!G67)</f>
        <v/>
      </c>
      <c r="F69" s="103">
        <f>IF(Human_Data_Entry!X67="","",Human_Data_Entry!X67)</f>
        <v/>
      </c>
      <c r="G69" s="103">
        <f>IF(Human_Data_Entry!AY67="","",Human_Data_Entry!AY67)</f>
        <v/>
      </c>
      <c r="H69" s="103">
        <f>IF(Human_Data_Entry!AZ67="","",Human_Data_Entry!AZ67)</f>
        <v/>
      </c>
      <c r="I69" s="103">
        <f>IF(Human_Data_Entry!AL67="","",Human_Data_Entry!AL67)</f>
        <v/>
      </c>
      <c r="J69" s="103">
        <f>IF(Human_Data_Entry!AM67="","",Human_Data_Entry!AM67)</f>
        <v/>
      </c>
      <c r="K69" s="103">
        <f>IF(Human_Data_Entry!AN67="","",Human_Data_Entry!AN67)</f>
        <v/>
      </c>
      <c r="L69" s="103">
        <f>IF(Human_Data_Entry!AO67="","",Human_Data_Entry!AO67)</f>
        <v/>
      </c>
      <c r="M69" s="103">
        <f>IF(Human_Data_Entry!BM67="","",Human_Data_Entry!BM67)</f>
        <v/>
      </c>
      <c r="N69" s="103">
        <f>IF(Human_Data_Entry!BN67="","",Human_Data_Entry!BN67)</f>
        <v/>
      </c>
      <c r="O69" s="103">
        <f>IF(Human_Data_Entry!BO67="","",Human_Data_Entry!BO67)</f>
        <v/>
      </c>
      <c r="P69" s="103">
        <f>IF(Human_Data_Entry!BP67="","",Human_Data_Entry!BP67)</f>
        <v/>
      </c>
      <c r="Q69" s="103">
        <f>IF(Human_Data_Entry!BQ67="","",Human_Data_Entry!BQ67)</f>
        <v/>
      </c>
      <c r="R69" s="103">
        <f>IF(Human_Data_Entry!BR67="","",Human_Data_Entry!BR67)</f>
        <v/>
      </c>
      <c r="S69" s="103">
        <f>IF(Human_Data_Entry!BS67="","",Human_Data_Entry!BS67)</f>
        <v/>
      </c>
      <c r="T69" s="103">
        <f>IF(Human_Data_Entry!BT67="","",Human_Data_Entry!BT67)</f>
        <v/>
      </c>
    </row>
    <row r="70" ht="15" customHeight="1" s="241">
      <c r="A70" s="103">
        <f>IF(Human_Data_Entry!A68="","",Human_Data_Entry!A68)</f>
        <v/>
      </c>
      <c r="B70" s="103">
        <f>IF(Human_Data_Entry!B68="","",Human_Data_Entry!B68)</f>
        <v/>
      </c>
      <c r="C70" s="104">
        <f>IF(Human_Data_Entry!C68="","",Human_Data_Entry!C68)</f>
        <v/>
      </c>
      <c r="D70" s="103">
        <f>IF(Human_Data_Entry!D68="","",Human_Data_Entry!D68)</f>
        <v/>
      </c>
      <c r="E70" s="103">
        <f>IF(Human_Data_Entry!G68="","",Human_Data_Entry!G68)</f>
        <v/>
      </c>
      <c r="F70" s="103">
        <f>IF(Human_Data_Entry!X68="","",Human_Data_Entry!X68)</f>
        <v/>
      </c>
      <c r="G70" s="103">
        <f>IF(Human_Data_Entry!AY68="","",Human_Data_Entry!AY68)</f>
        <v/>
      </c>
      <c r="H70" s="103">
        <f>IF(Human_Data_Entry!AZ68="","",Human_Data_Entry!AZ68)</f>
        <v/>
      </c>
      <c r="I70" s="103">
        <f>IF(Human_Data_Entry!AL68="","",Human_Data_Entry!AL68)</f>
        <v/>
      </c>
      <c r="J70" s="103">
        <f>IF(Human_Data_Entry!AM68="","",Human_Data_Entry!AM68)</f>
        <v/>
      </c>
      <c r="K70" s="103">
        <f>IF(Human_Data_Entry!AN68="","",Human_Data_Entry!AN68)</f>
        <v/>
      </c>
      <c r="L70" s="103">
        <f>IF(Human_Data_Entry!AO68="","",Human_Data_Entry!AO68)</f>
        <v/>
      </c>
      <c r="M70" s="103">
        <f>IF(Human_Data_Entry!BM68="","",Human_Data_Entry!BM68)</f>
        <v/>
      </c>
      <c r="N70" s="103">
        <f>IF(Human_Data_Entry!BN68="","",Human_Data_Entry!BN68)</f>
        <v/>
      </c>
      <c r="O70" s="103">
        <f>IF(Human_Data_Entry!BO68="","",Human_Data_Entry!BO68)</f>
        <v/>
      </c>
      <c r="P70" s="103">
        <f>IF(Human_Data_Entry!BP68="","",Human_Data_Entry!BP68)</f>
        <v/>
      </c>
      <c r="Q70" s="103">
        <f>IF(Human_Data_Entry!BQ68="","",Human_Data_Entry!BQ68)</f>
        <v/>
      </c>
      <c r="R70" s="103">
        <f>IF(Human_Data_Entry!BR68="","",Human_Data_Entry!BR68)</f>
        <v/>
      </c>
      <c r="S70" s="103">
        <f>IF(Human_Data_Entry!BS68="","",Human_Data_Entry!BS68)</f>
        <v/>
      </c>
      <c r="T70" s="103">
        <f>IF(Human_Data_Entry!BT68="","",Human_Data_Entry!BT68)</f>
        <v/>
      </c>
    </row>
    <row r="71" ht="15" customHeight="1" s="241">
      <c r="A71" s="103">
        <f>IF(Human_Data_Entry!A69="","",Human_Data_Entry!A69)</f>
        <v/>
      </c>
      <c r="B71" s="103">
        <f>IF(Human_Data_Entry!B69="","",Human_Data_Entry!B69)</f>
        <v/>
      </c>
      <c r="C71" s="104">
        <f>IF(Human_Data_Entry!C69="","",Human_Data_Entry!C69)</f>
        <v/>
      </c>
      <c r="D71" s="103">
        <f>IF(Human_Data_Entry!D69="","",Human_Data_Entry!D69)</f>
        <v/>
      </c>
      <c r="E71" s="103">
        <f>IF(Human_Data_Entry!G69="","",Human_Data_Entry!G69)</f>
        <v/>
      </c>
      <c r="F71" s="103">
        <f>IF(Human_Data_Entry!X69="","",Human_Data_Entry!X69)</f>
        <v/>
      </c>
      <c r="G71" s="103">
        <f>IF(Human_Data_Entry!AY69="","",Human_Data_Entry!AY69)</f>
        <v/>
      </c>
      <c r="H71" s="103">
        <f>IF(Human_Data_Entry!AZ69="","",Human_Data_Entry!AZ69)</f>
        <v/>
      </c>
      <c r="I71" s="103">
        <f>IF(Human_Data_Entry!AL69="","",Human_Data_Entry!AL69)</f>
        <v/>
      </c>
      <c r="J71" s="103">
        <f>IF(Human_Data_Entry!AM69="","",Human_Data_Entry!AM69)</f>
        <v/>
      </c>
      <c r="K71" s="103">
        <f>IF(Human_Data_Entry!AN69="","",Human_Data_Entry!AN69)</f>
        <v/>
      </c>
      <c r="L71" s="103">
        <f>IF(Human_Data_Entry!AO69="","",Human_Data_Entry!AO69)</f>
        <v/>
      </c>
      <c r="M71" s="103">
        <f>IF(Human_Data_Entry!BM69="","",Human_Data_Entry!BM69)</f>
        <v/>
      </c>
      <c r="N71" s="103">
        <f>IF(Human_Data_Entry!BN69="","",Human_Data_Entry!BN69)</f>
        <v/>
      </c>
      <c r="O71" s="103">
        <f>IF(Human_Data_Entry!BO69="","",Human_Data_Entry!BO69)</f>
        <v/>
      </c>
      <c r="P71" s="103">
        <f>IF(Human_Data_Entry!BP69="","",Human_Data_Entry!BP69)</f>
        <v/>
      </c>
      <c r="Q71" s="103">
        <f>IF(Human_Data_Entry!BQ69="","",Human_Data_Entry!BQ69)</f>
        <v/>
      </c>
      <c r="R71" s="103">
        <f>IF(Human_Data_Entry!BR69="","",Human_Data_Entry!BR69)</f>
        <v/>
      </c>
      <c r="S71" s="103">
        <f>IF(Human_Data_Entry!BS69="","",Human_Data_Entry!BS69)</f>
        <v/>
      </c>
      <c r="T71" s="103">
        <f>IF(Human_Data_Entry!BT69="","",Human_Data_Entry!BT69)</f>
        <v/>
      </c>
    </row>
    <row r="72" ht="15" customHeight="1" s="241">
      <c r="A72" s="103">
        <f>IF(Human_Data_Entry!A70="","",Human_Data_Entry!A70)</f>
        <v/>
      </c>
      <c r="B72" s="103">
        <f>IF(Human_Data_Entry!B70="","",Human_Data_Entry!B70)</f>
        <v/>
      </c>
      <c r="C72" s="104">
        <f>IF(Human_Data_Entry!C70="","",Human_Data_Entry!C70)</f>
        <v/>
      </c>
      <c r="D72" s="103">
        <f>IF(Human_Data_Entry!D70="","",Human_Data_Entry!D70)</f>
        <v/>
      </c>
      <c r="E72" s="103">
        <f>IF(Human_Data_Entry!G70="","",Human_Data_Entry!G70)</f>
        <v/>
      </c>
      <c r="F72" s="103">
        <f>IF(Human_Data_Entry!X70="","",Human_Data_Entry!X70)</f>
        <v/>
      </c>
      <c r="G72" s="103">
        <f>IF(Human_Data_Entry!AY70="","",Human_Data_Entry!AY70)</f>
        <v/>
      </c>
      <c r="H72" s="103">
        <f>IF(Human_Data_Entry!AZ70="","",Human_Data_Entry!AZ70)</f>
        <v/>
      </c>
      <c r="I72" s="103">
        <f>IF(Human_Data_Entry!AL70="","",Human_Data_Entry!AL70)</f>
        <v/>
      </c>
      <c r="J72" s="103">
        <f>IF(Human_Data_Entry!AM70="","",Human_Data_Entry!AM70)</f>
        <v/>
      </c>
      <c r="K72" s="103">
        <f>IF(Human_Data_Entry!AN70="","",Human_Data_Entry!AN70)</f>
        <v/>
      </c>
      <c r="L72" s="103">
        <f>IF(Human_Data_Entry!AO70="","",Human_Data_Entry!AO70)</f>
        <v/>
      </c>
      <c r="M72" s="103">
        <f>IF(Human_Data_Entry!BM70="","",Human_Data_Entry!BM70)</f>
        <v/>
      </c>
      <c r="N72" s="103">
        <f>IF(Human_Data_Entry!BN70="","",Human_Data_Entry!BN70)</f>
        <v/>
      </c>
      <c r="O72" s="103">
        <f>IF(Human_Data_Entry!BO70="","",Human_Data_Entry!BO70)</f>
        <v/>
      </c>
      <c r="P72" s="103">
        <f>IF(Human_Data_Entry!BP70="","",Human_Data_Entry!BP70)</f>
        <v/>
      </c>
      <c r="Q72" s="103">
        <f>IF(Human_Data_Entry!BQ70="","",Human_Data_Entry!BQ70)</f>
        <v/>
      </c>
      <c r="R72" s="103">
        <f>IF(Human_Data_Entry!BR70="","",Human_Data_Entry!BR70)</f>
        <v/>
      </c>
      <c r="S72" s="103">
        <f>IF(Human_Data_Entry!BS70="","",Human_Data_Entry!BS70)</f>
        <v/>
      </c>
      <c r="T72" s="103">
        <f>IF(Human_Data_Entry!BT70="","",Human_Data_Entry!BT70)</f>
        <v/>
      </c>
    </row>
    <row r="73" ht="15" customHeight="1" s="241">
      <c r="A73" s="103">
        <f>IF(Human_Data_Entry!A71="","",Human_Data_Entry!A71)</f>
        <v/>
      </c>
      <c r="B73" s="103">
        <f>IF(Human_Data_Entry!B71="","",Human_Data_Entry!B71)</f>
        <v/>
      </c>
      <c r="C73" s="104">
        <f>IF(Human_Data_Entry!C71="","",Human_Data_Entry!C71)</f>
        <v/>
      </c>
      <c r="D73" s="103">
        <f>IF(Human_Data_Entry!D71="","",Human_Data_Entry!D71)</f>
        <v/>
      </c>
      <c r="E73" s="103">
        <f>IF(Human_Data_Entry!G71="","",Human_Data_Entry!G71)</f>
        <v/>
      </c>
      <c r="F73" s="103">
        <f>IF(Human_Data_Entry!X71="","",Human_Data_Entry!X71)</f>
        <v/>
      </c>
      <c r="G73" s="103">
        <f>IF(Human_Data_Entry!AY71="","",Human_Data_Entry!AY71)</f>
        <v/>
      </c>
      <c r="H73" s="103">
        <f>IF(Human_Data_Entry!AZ71="","",Human_Data_Entry!AZ71)</f>
        <v/>
      </c>
      <c r="I73" s="103">
        <f>IF(Human_Data_Entry!AL71="","",Human_Data_Entry!AL71)</f>
        <v/>
      </c>
      <c r="J73" s="103">
        <f>IF(Human_Data_Entry!AM71="","",Human_Data_Entry!AM71)</f>
        <v/>
      </c>
      <c r="K73" s="103">
        <f>IF(Human_Data_Entry!AN71="","",Human_Data_Entry!AN71)</f>
        <v/>
      </c>
      <c r="L73" s="103">
        <f>IF(Human_Data_Entry!AO71="","",Human_Data_Entry!AO71)</f>
        <v/>
      </c>
      <c r="M73" s="103">
        <f>IF(Human_Data_Entry!BM71="","",Human_Data_Entry!BM71)</f>
        <v/>
      </c>
      <c r="N73" s="103">
        <f>IF(Human_Data_Entry!BN71="","",Human_Data_Entry!BN71)</f>
        <v/>
      </c>
      <c r="O73" s="103">
        <f>IF(Human_Data_Entry!BO71="","",Human_Data_Entry!BO71)</f>
        <v/>
      </c>
      <c r="P73" s="103">
        <f>IF(Human_Data_Entry!BP71="","",Human_Data_Entry!BP71)</f>
        <v/>
      </c>
      <c r="Q73" s="103">
        <f>IF(Human_Data_Entry!BQ71="","",Human_Data_Entry!BQ71)</f>
        <v/>
      </c>
      <c r="R73" s="103">
        <f>IF(Human_Data_Entry!BR71="","",Human_Data_Entry!BR71)</f>
        <v/>
      </c>
      <c r="S73" s="103">
        <f>IF(Human_Data_Entry!BS71="","",Human_Data_Entry!BS71)</f>
        <v/>
      </c>
      <c r="T73" s="103">
        <f>IF(Human_Data_Entry!BT71="","",Human_Data_Entry!BT71)</f>
        <v/>
      </c>
    </row>
    <row r="74" ht="15" customHeight="1" s="241">
      <c r="A74" s="103">
        <f>IF(Human_Data_Entry!A72="","",Human_Data_Entry!A72)</f>
        <v/>
      </c>
      <c r="B74" s="103">
        <f>IF(Human_Data_Entry!B72="","",Human_Data_Entry!B72)</f>
        <v/>
      </c>
      <c r="C74" s="104">
        <f>IF(Human_Data_Entry!C72="","",Human_Data_Entry!C72)</f>
        <v/>
      </c>
      <c r="D74" s="103">
        <f>IF(Human_Data_Entry!D72="","",Human_Data_Entry!D72)</f>
        <v/>
      </c>
      <c r="E74" s="103">
        <f>IF(Human_Data_Entry!G72="","",Human_Data_Entry!G72)</f>
        <v/>
      </c>
      <c r="F74" s="103">
        <f>IF(Human_Data_Entry!X72="","",Human_Data_Entry!X72)</f>
        <v/>
      </c>
      <c r="G74" s="103">
        <f>IF(Human_Data_Entry!AY72="","",Human_Data_Entry!AY72)</f>
        <v/>
      </c>
      <c r="H74" s="103">
        <f>IF(Human_Data_Entry!AZ72="","",Human_Data_Entry!AZ72)</f>
        <v/>
      </c>
      <c r="I74" s="103">
        <f>IF(Human_Data_Entry!AL72="","",Human_Data_Entry!AL72)</f>
        <v/>
      </c>
      <c r="J74" s="103">
        <f>IF(Human_Data_Entry!AM72="","",Human_Data_Entry!AM72)</f>
        <v/>
      </c>
      <c r="K74" s="103">
        <f>IF(Human_Data_Entry!AN72="","",Human_Data_Entry!AN72)</f>
        <v/>
      </c>
      <c r="L74" s="103">
        <f>IF(Human_Data_Entry!AO72="","",Human_Data_Entry!AO72)</f>
        <v/>
      </c>
      <c r="M74" s="103">
        <f>IF(Human_Data_Entry!BM72="","",Human_Data_Entry!BM72)</f>
        <v/>
      </c>
      <c r="N74" s="103">
        <f>IF(Human_Data_Entry!BN72="","",Human_Data_Entry!BN72)</f>
        <v/>
      </c>
      <c r="O74" s="103">
        <f>IF(Human_Data_Entry!BO72="","",Human_Data_Entry!BO72)</f>
        <v/>
      </c>
      <c r="P74" s="103">
        <f>IF(Human_Data_Entry!BP72="","",Human_Data_Entry!BP72)</f>
        <v/>
      </c>
      <c r="Q74" s="103">
        <f>IF(Human_Data_Entry!BQ72="","",Human_Data_Entry!BQ72)</f>
        <v/>
      </c>
      <c r="R74" s="103">
        <f>IF(Human_Data_Entry!BR72="","",Human_Data_Entry!BR72)</f>
        <v/>
      </c>
      <c r="S74" s="103">
        <f>IF(Human_Data_Entry!BS72="","",Human_Data_Entry!BS72)</f>
        <v/>
      </c>
      <c r="T74" s="103">
        <f>IF(Human_Data_Entry!BT72="","",Human_Data_Entry!BT72)</f>
        <v/>
      </c>
    </row>
    <row r="75" ht="15" customHeight="1" s="241">
      <c r="A75" s="103">
        <f>IF(Human_Data_Entry!A73="","",Human_Data_Entry!A73)</f>
        <v/>
      </c>
      <c r="B75" s="103">
        <f>IF(Human_Data_Entry!B73="","",Human_Data_Entry!B73)</f>
        <v/>
      </c>
      <c r="C75" s="104">
        <f>IF(Human_Data_Entry!C73="","",Human_Data_Entry!C73)</f>
        <v/>
      </c>
      <c r="D75" s="103">
        <f>IF(Human_Data_Entry!D73="","",Human_Data_Entry!D73)</f>
        <v/>
      </c>
      <c r="E75" s="103">
        <f>IF(Human_Data_Entry!G73="","",Human_Data_Entry!G73)</f>
        <v/>
      </c>
      <c r="F75" s="103">
        <f>IF(Human_Data_Entry!X73="","",Human_Data_Entry!X73)</f>
        <v/>
      </c>
      <c r="G75" s="103">
        <f>IF(Human_Data_Entry!AY73="","",Human_Data_Entry!AY73)</f>
        <v/>
      </c>
      <c r="H75" s="103">
        <f>IF(Human_Data_Entry!AZ73="","",Human_Data_Entry!AZ73)</f>
        <v/>
      </c>
      <c r="I75" s="103">
        <f>IF(Human_Data_Entry!AL73="","",Human_Data_Entry!AL73)</f>
        <v/>
      </c>
      <c r="J75" s="103">
        <f>IF(Human_Data_Entry!AM73="","",Human_Data_Entry!AM73)</f>
        <v/>
      </c>
      <c r="K75" s="103">
        <f>IF(Human_Data_Entry!AN73="","",Human_Data_Entry!AN73)</f>
        <v/>
      </c>
      <c r="L75" s="103">
        <f>IF(Human_Data_Entry!AO73="","",Human_Data_Entry!AO73)</f>
        <v/>
      </c>
      <c r="M75" s="103">
        <f>IF(Human_Data_Entry!BM73="","",Human_Data_Entry!BM73)</f>
        <v/>
      </c>
      <c r="N75" s="103">
        <f>IF(Human_Data_Entry!BN73="","",Human_Data_Entry!BN73)</f>
        <v/>
      </c>
      <c r="O75" s="103">
        <f>IF(Human_Data_Entry!BO73="","",Human_Data_Entry!BO73)</f>
        <v/>
      </c>
      <c r="P75" s="103">
        <f>IF(Human_Data_Entry!BP73="","",Human_Data_Entry!BP73)</f>
        <v/>
      </c>
      <c r="Q75" s="103">
        <f>IF(Human_Data_Entry!BQ73="","",Human_Data_Entry!BQ73)</f>
        <v/>
      </c>
      <c r="R75" s="103">
        <f>IF(Human_Data_Entry!BR73="","",Human_Data_Entry!BR73)</f>
        <v/>
      </c>
      <c r="S75" s="103">
        <f>IF(Human_Data_Entry!BS73="","",Human_Data_Entry!BS73)</f>
        <v/>
      </c>
      <c r="T75" s="103">
        <f>IF(Human_Data_Entry!BT73="","",Human_Data_Entry!BT73)</f>
        <v/>
      </c>
    </row>
    <row r="76" ht="15" customHeight="1" s="241">
      <c r="A76" s="103">
        <f>IF(Human_Data_Entry!A74="","",Human_Data_Entry!A74)</f>
        <v/>
      </c>
      <c r="B76" s="103">
        <f>IF(Human_Data_Entry!B74="","",Human_Data_Entry!B74)</f>
        <v/>
      </c>
      <c r="C76" s="104">
        <f>IF(Human_Data_Entry!C74="","",Human_Data_Entry!C74)</f>
        <v/>
      </c>
      <c r="D76" s="103">
        <f>IF(Human_Data_Entry!D74="","",Human_Data_Entry!D74)</f>
        <v/>
      </c>
      <c r="E76" s="103">
        <f>IF(Human_Data_Entry!G74="","",Human_Data_Entry!G74)</f>
        <v/>
      </c>
      <c r="F76" s="103">
        <f>IF(Human_Data_Entry!X74="","",Human_Data_Entry!X74)</f>
        <v/>
      </c>
      <c r="G76" s="103">
        <f>IF(Human_Data_Entry!AY74="","",Human_Data_Entry!AY74)</f>
        <v/>
      </c>
      <c r="H76" s="103">
        <f>IF(Human_Data_Entry!AZ74="","",Human_Data_Entry!AZ74)</f>
        <v/>
      </c>
      <c r="I76" s="103">
        <f>IF(Human_Data_Entry!AL74="","",Human_Data_Entry!AL74)</f>
        <v/>
      </c>
      <c r="J76" s="103">
        <f>IF(Human_Data_Entry!AM74="","",Human_Data_Entry!AM74)</f>
        <v/>
      </c>
      <c r="K76" s="103">
        <f>IF(Human_Data_Entry!AN74="","",Human_Data_Entry!AN74)</f>
        <v/>
      </c>
      <c r="L76" s="103">
        <f>IF(Human_Data_Entry!AO74="","",Human_Data_Entry!AO74)</f>
        <v/>
      </c>
      <c r="M76" s="103">
        <f>IF(Human_Data_Entry!BM74="","",Human_Data_Entry!BM74)</f>
        <v/>
      </c>
      <c r="N76" s="103">
        <f>IF(Human_Data_Entry!BN74="","",Human_Data_Entry!BN74)</f>
        <v/>
      </c>
      <c r="O76" s="103">
        <f>IF(Human_Data_Entry!BO74="","",Human_Data_Entry!BO74)</f>
        <v/>
      </c>
      <c r="P76" s="103">
        <f>IF(Human_Data_Entry!BP74="","",Human_Data_Entry!BP74)</f>
        <v/>
      </c>
      <c r="Q76" s="103">
        <f>IF(Human_Data_Entry!BQ74="","",Human_Data_Entry!BQ74)</f>
        <v/>
      </c>
      <c r="R76" s="103">
        <f>IF(Human_Data_Entry!BR74="","",Human_Data_Entry!BR74)</f>
        <v/>
      </c>
      <c r="S76" s="103">
        <f>IF(Human_Data_Entry!BS74="","",Human_Data_Entry!BS74)</f>
        <v/>
      </c>
      <c r="T76" s="103">
        <f>IF(Human_Data_Entry!BT74="","",Human_Data_Entry!BT74)</f>
        <v/>
      </c>
    </row>
    <row r="77" ht="15" customHeight="1" s="241">
      <c r="A77" s="103">
        <f>IF(Human_Data_Entry!A75="","",Human_Data_Entry!A75)</f>
        <v/>
      </c>
      <c r="B77" s="103">
        <f>IF(Human_Data_Entry!B75="","",Human_Data_Entry!B75)</f>
        <v/>
      </c>
      <c r="C77" s="104">
        <f>IF(Human_Data_Entry!C75="","",Human_Data_Entry!C75)</f>
        <v/>
      </c>
      <c r="D77" s="103">
        <f>IF(Human_Data_Entry!D75="","",Human_Data_Entry!D75)</f>
        <v/>
      </c>
      <c r="E77" s="103">
        <f>IF(Human_Data_Entry!G75="","",Human_Data_Entry!G75)</f>
        <v/>
      </c>
      <c r="F77" s="103">
        <f>IF(Human_Data_Entry!X75="","",Human_Data_Entry!X75)</f>
        <v/>
      </c>
      <c r="G77" s="103">
        <f>IF(Human_Data_Entry!AY75="","",Human_Data_Entry!AY75)</f>
        <v/>
      </c>
      <c r="H77" s="103">
        <f>IF(Human_Data_Entry!AZ75="","",Human_Data_Entry!AZ75)</f>
        <v/>
      </c>
      <c r="I77" s="103">
        <f>IF(Human_Data_Entry!AL75="","",Human_Data_Entry!AL75)</f>
        <v/>
      </c>
      <c r="J77" s="103">
        <f>IF(Human_Data_Entry!AM75="","",Human_Data_Entry!AM75)</f>
        <v/>
      </c>
      <c r="K77" s="103">
        <f>IF(Human_Data_Entry!AN75="","",Human_Data_Entry!AN75)</f>
        <v/>
      </c>
      <c r="L77" s="103">
        <f>IF(Human_Data_Entry!AO75="","",Human_Data_Entry!AO75)</f>
        <v/>
      </c>
      <c r="M77" s="103">
        <f>IF(Human_Data_Entry!BM75="","",Human_Data_Entry!BM75)</f>
        <v/>
      </c>
      <c r="N77" s="103">
        <f>IF(Human_Data_Entry!BN75="","",Human_Data_Entry!BN75)</f>
        <v/>
      </c>
      <c r="O77" s="103">
        <f>IF(Human_Data_Entry!BO75="","",Human_Data_Entry!BO75)</f>
        <v/>
      </c>
      <c r="P77" s="103">
        <f>IF(Human_Data_Entry!BP75="","",Human_Data_Entry!BP75)</f>
        <v/>
      </c>
      <c r="Q77" s="103">
        <f>IF(Human_Data_Entry!BQ75="","",Human_Data_Entry!BQ75)</f>
        <v/>
      </c>
      <c r="R77" s="103">
        <f>IF(Human_Data_Entry!BR75="","",Human_Data_Entry!BR75)</f>
        <v/>
      </c>
      <c r="S77" s="103">
        <f>IF(Human_Data_Entry!BS75="","",Human_Data_Entry!BS75)</f>
        <v/>
      </c>
      <c r="T77" s="103">
        <f>IF(Human_Data_Entry!BT75="","",Human_Data_Entry!BT75)</f>
        <v/>
      </c>
    </row>
    <row r="78" ht="15" customHeight="1" s="241">
      <c r="A78" s="103">
        <f>IF(Human_Data_Entry!A76="","",Human_Data_Entry!A76)</f>
        <v/>
      </c>
      <c r="B78" s="103">
        <f>IF(Human_Data_Entry!B76="","",Human_Data_Entry!B76)</f>
        <v/>
      </c>
      <c r="C78" s="104">
        <f>IF(Human_Data_Entry!C76="","",Human_Data_Entry!C76)</f>
        <v/>
      </c>
      <c r="D78" s="103">
        <f>IF(Human_Data_Entry!D76="","",Human_Data_Entry!D76)</f>
        <v/>
      </c>
      <c r="E78" s="103">
        <f>IF(Human_Data_Entry!G76="","",Human_Data_Entry!G76)</f>
        <v/>
      </c>
      <c r="F78" s="103">
        <f>IF(Human_Data_Entry!X76="","",Human_Data_Entry!X76)</f>
        <v/>
      </c>
      <c r="G78" s="103">
        <f>IF(Human_Data_Entry!AY76="","",Human_Data_Entry!AY76)</f>
        <v/>
      </c>
      <c r="H78" s="103">
        <f>IF(Human_Data_Entry!AZ76="","",Human_Data_Entry!AZ76)</f>
        <v/>
      </c>
      <c r="I78" s="103">
        <f>IF(Human_Data_Entry!AL76="","",Human_Data_Entry!AL76)</f>
        <v/>
      </c>
      <c r="J78" s="103">
        <f>IF(Human_Data_Entry!AM76="","",Human_Data_Entry!AM76)</f>
        <v/>
      </c>
      <c r="K78" s="103">
        <f>IF(Human_Data_Entry!AN76="","",Human_Data_Entry!AN76)</f>
        <v/>
      </c>
      <c r="L78" s="103">
        <f>IF(Human_Data_Entry!AO76="","",Human_Data_Entry!AO76)</f>
        <v/>
      </c>
      <c r="M78" s="103">
        <f>IF(Human_Data_Entry!BM76="","",Human_Data_Entry!BM76)</f>
        <v/>
      </c>
      <c r="N78" s="103">
        <f>IF(Human_Data_Entry!BN76="","",Human_Data_Entry!BN76)</f>
        <v/>
      </c>
      <c r="O78" s="103">
        <f>IF(Human_Data_Entry!BO76="","",Human_Data_Entry!BO76)</f>
        <v/>
      </c>
      <c r="P78" s="103">
        <f>IF(Human_Data_Entry!BP76="","",Human_Data_Entry!BP76)</f>
        <v/>
      </c>
      <c r="Q78" s="103">
        <f>IF(Human_Data_Entry!BQ76="","",Human_Data_Entry!BQ76)</f>
        <v/>
      </c>
      <c r="R78" s="103">
        <f>IF(Human_Data_Entry!BR76="","",Human_Data_Entry!BR76)</f>
        <v/>
      </c>
      <c r="S78" s="103">
        <f>IF(Human_Data_Entry!BS76="","",Human_Data_Entry!BS76)</f>
        <v/>
      </c>
      <c r="T78" s="103">
        <f>IF(Human_Data_Entry!BT76="","",Human_Data_Entry!BT76)</f>
        <v/>
      </c>
    </row>
    <row r="79" ht="15" customHeight="1" s="241">
      <c r="A79" s="103">
        <f>IF(Human_Data_Entry!A77="","",Human_Data_Entry!A77)</f>
        <v/>
      </c>
      <c r="B79" s="103">
        <f>IF(Human_Data_Entry!B77="","",Human_Data_Entry!B77)</f>
        <v/>
      </c>
      <c r="C79" s="104">
        <f>IF(Human_Data_Entry!C77="","",Human_Data_Entry!C77)</f>
        <v/>
      </c>
      <c r="D79" s="103">
        <f>IF(Human_Data_Entry!D77="","",Human_Data_Entry!D77)</f>
        <v/>
      </c>
      <c r="E79" s="103">
        <f>IF(Human_Data_Entry!G77="","",Human_Data_Entry!G77)</f>
        <v/>
      </c>
      <c r="F79" s="103">
        <f>IF(Human_Data_Entry!X77="","",Human_Data_Entry!X77)</f>
        <v/>
      </c>
      <c r="G79" s="103">
        <f>IF(Human_Data_Entry!AY77="","",Human_Data_Entry!AY77)</f>
        <v/>
      </c>
      <c r="H79" s="103">
        <f>IF(Human_Data_Entry!AZ77="","",Human_Data_Entry!AZ77)</f>
        <v/>
      </c>
      <c r="I79" s="103">
        <f>IF(Human_Data_Entry!AL77="","",Human_Data_Entry!AL77)</f>
        <v/>
      </c>
      <c r="J79" s="103">
        <f>IF(Human_Data_Entry!AM77="","",Human_Data_Entry!AM77)</f>
        <v/>
      </c>
      <c r="K79" s="103">
        <f>IF(Human_Data_Entry!AN77="","",Human_Data_Entry!AN77)</f>
        <v/>
      </c>
      <c r="L79" s="103">
        <f>IF(Human_Data_Entry!AO77="","",Human_Data_Entry!AO77)</f>
        <v/>
      </c>
      <c r="M79" s="103">
        <f>IF(Human_Data_Entry!BM77="","",Human_Data_Entry!BM77)</f>
        <v/>
      </c>
      <c r="N79" s="103">
        <f>IF(Human_Data_Entry!BN77="","",Human_Data_Entry!BN77)</f>
        <v/>
      </c>
      <c r="O79" s="103">
        <f>IF(Human_Data_Entry!BO77="","",Human_Data_Entry!BO77)</f>
        <v/>
      </c>
      <c r="P79" s="103">
        <f>IF(Human_Data_Entry!BP77="","",Human_Data_Entry!BP77)</f>
        <v/>
      </c>
      <c r="Q79" s="103">
        <f>IF(Human_Data_Entry!BQ77="","",Human_Data_Entry!BQ77)</f>
        <v/>
      </c>
      <c r="R79" s="103">
        <f>IF(Human_Data_Entry!BR77="","",Human_Data_Entry!BR77)</f>
        <v/>
      </c>
      <c r="S79" s="103">
        <f>IF(Human_Data_Entry!BS77="","",Human_Data_Entry!BS77)</f>
        <v/>
      </c>
      <c r="T79" s="103">
        <f>IF(Human_Data_Entry!BT77="","",Human_Data_Entry!BT77)</f>
        <v/>
      </c>
    </row>
    <row r="80" ht="15" customHeight="1" s="241">
      <c r="A80" s="103">
        <f>IF(Human_Data_Entry!A78="","",Human_Data_Entry!A78)</f>
        <v/>
      </c>
      <c r="B80" s="103">
        <f>IF(Human_Data_Entry!B78="","",Human_Data_Entry!B78)</f>
        <v/>
      </c>
      <c r="C80" s="104">
        <f>IF(Human_Data_Entry!C78="","",Human_Data_Entry!C78)</f>
        <v/>
      </c>
      <c r="D80" s="103">
        <f>IF(Human_Data_Entry!D78="","",Human_Data_Entry!D78)</f>
        <v/>
      </c>
      <c r="E80" s="103">
        <f>IF(Human_Data_Entry!G78="","",Human_Data_Entry!G78)</f>
        <v/>
      </c>
      <c r="F80" s="103">
        <f>IF(Human_Data_Entry!X78="","",Human_Data_Entry!X78)</f>
        <v/>
      </c>
      <c r="G80" s="103">
        <f>IF(Human_Data_Entry!AY78="","",Human_Data_Entry!AY78)</f>
        <v/>
      </c>
      <c r="H80" s="103">
        <f>IF(Human_Data_Entry!AZ78="","",Human_Data_Entry!AZ78)</f>
        <v/>
      </c>
      <c r="I80" s="103">
        <f>IF(Human_Data_Entry!AL78="","",Human_Data_Entry!AL78)</f>
        <v/>
      </c>
      <c r="J80" s="103">
        <f>IF(Human_Data_Entry!AM78="","",Human_Data_Entry!AM78)</f>
        <v/>
      </c>
      <c r="K80" s="103">
        <f>IF(Human_Data_Entry!AN78="","",Human_Data_Entry!AN78)</f>
        <v/>
      </c>
      <c r="L80" s="103">
        <f>IF(Human_Data_Entry!AO78="","",Human_Data_Entry!AO78)</f>
        <v/>
      </c>
      <c r="M80" s="103">
        <f>IF(Human_Data_Entry!BM78="","",Human_Data_Entry!BM78)</f>
        <v/>
      </c>
      <c r="N80" s="103">
        <f>IF(Human_Data_Entry!BN78="","",Human_Data_Entry!BN78)</f>
        <v/>
      </c>
      <c r="O80" s="103">
        <f>IF(Human_Data_Entry!BO78="","",Human_Data_Entry!BO78)</f>
        <v/>
      </c>
      <c r="P80" s="103">
        <f>IF(Human_Data_Entry!BP78="","",Human_Data_Entry!BP78)</f>
        <v/>
      </c>
      <c r="Q80" s="103">
        <f>IF(Human_Data_Entry!BQ78="","",Human_Data_Entry!BQ78)</f>
        <v/>
      </c>
      <c r="R80" s="103">
        <f>IF(Human_Data_Entry!BR78="","",Human_Data_Entry!BR78)</f>
        <v/>
      </c>
      <c r="S80" s="103">
        <f>IF(Human_Data_Entry!BS78="","",Human_Data_Entry!BS78)</f>
        <v/>
      </c>
      <c r="T80" s="103">
        <f>IF(Human_Data_Entry!BT78="","",Human_Data_Entry!BT78)</f>
        <v/>
      </c>
    </row>
    <row r="81" ht="15" customHeight="1" s="241">
      <c r="A81" s="103">
        <f>IF(Human_Data_Entry!A79="","",Human_Data_Entry!A79)</f>
        <v/>
      </c>
      <c r="B81" s="103">
        <f>IF(Human_Data_Entry!B79="","",Human_Data_Entry!B79)</f>
        <v/>
      </c>
      <c r="C81" s="104">
        <f>IF(Human_Data_Entry!C79="","",Human_Data_Entry!C79)</f>
        <v/>
      </c>
      <c r="D81" s="103">
        <f>IF(Human_Data_Entry!D79="","",Human_Data_Entry!D79)</f>
        <v/>
      </c>
      <c r="E81" s="103">
        <f>IF(Human_Data_Entry!G79="","",Human_Data_Entry!G79)</f>
        <v/>
      </c>
      <c r="F81" s="103">
        <f>IF(Human_Data_Entry!X79="","",Human_Data_Entry!X79)</f>
        <v/>
      </c>
      <c r="G81" s="103">
        <f>IF(Human_Data_Entry!AY79="","",Human_Data_Entry!AY79)</f>
        <v/>
      </c>
      <c r="H81" s="103">
        <f>IF(Human_Data_Entry!AZ79="","",Human_Data_Entry!AZ79)</f>
        <v/>
      </c>
      <c r="I81" s="103">
        <f>IF(Human_Data_Entry!AL79="","",Human_Data_Entry!AL79)</f>
        <v/>
      </c>
      <c r="J81" s="103">
        <f>IF(Human_Data_Entry!AM79="","",Human_Data_Entry!AM79)</f>
        <v/>
      </c>
      <c r="K81" s="103">
        <f>IF(Human_Data_Entry!AN79="","",Human_Data_Entry!AN79)</f>
        <v/>
      </c>
      <c r="L81" s="103">
        <f>IF(Human_Data_Entry!AO79="","",Human_Data_Entry!AO79)</f>
        <v/>
      </c>
      <c r="M81" s="103">
        <f>IF(Human_Data_Entry!BM79="","",Human_Data_Entry!BM79)</f>
        <v/>
      </c>
      <c r="N81" s="103">
        <f>IF(Human_Data_Entry!BN79="","",Human_Data_Entry!BN79)</f>
        <v/>
      </c>
      <c r="O81" s="103">
        <f>IF(Human_Data_Entry!BO79="","",Human_Data_Entry!BO79)</f>
        <v/>
      </c>
      <c r="P81" s="103">
        <f>IF(Human_Data_Entry!BP79="","",Human_Data_Entry!BP79)</f>
        <v/>
      </c>
      <c r="Q81" s="103">
        <f>IF(Human_Data_Entry!BQ79="","",Human_Data_Entry!BQ79)</f>
        <v/>
      </c>
      <c r="R81" s="103">
        <f>IF(Human_Data_Entry!BR79="","",Human_Data_Entry!BR79)</f>
        <v/>
      </c>
      <c r="S81" s="103">
        <f>IF(Human_Data_Entry!BS79="","",Human_Data_Entry!BS79)</f>
        <v/>
      </c>
      <c r="T81" s="103">
        <f>IF(Human_Data_Entry!BT79="","",Human_Data_Entry!BT79)</f>
        <v/>
      </c>
    </row>
    <row r="82" ht="15" customHeight="1" s="241">
      <c r="A82" s="103">
        <f>IF(Human_Data_Entry!A80="","",Human_Data_Entry!A80)</f>
        <v/>
      </c>
      <c r="B82" s="103">
        <f>IF(Human_Data_Entry!B80="","",Human_Data_Entry!B80)</f>
        <v/>
      </c>
      <c r="C82" s="104">
        <f>IF(Human_Data_Entry!C80="","",Human_Data_Entry!C80)</f>
        <v/>
      </c>
      <c r="D82" s="103">
        <f>IF(Human_Data_Entry!D80="","",Human_Data_Entry!D80)</f>
        <v/>
      </c>
      <c r="E82" s="103">
        <f>IF(Human_Data_Entry!G80="","",Human_Data_Entry!G80)</f>
        <v/>
      </c>
      <c r="F82" s="103">
        <f>IF(Human_Data_Entry!X80="","",Human_Data_Entry!X80)</f>
        <v/>
      </c>
      <c r="G82" s="103">
        <f>IF(Human_Data_Entry!AY80="","",Human_Data_Entry!AY80)</f>
        <v/>
      </c>
      <c r="H82" s="103">
        <f>IF(Human_Data_Entry!AZ80="","",Human_Data_Entry!AZ80)</f>
        <v/>
      </c>
      <c r="I82" s="103">
        <f>IF(Human_Data_Entry!AL80="","",Human_Data_Entry!AL80)</f>
        <v/>
      </c>
      <c r="J82" s="103">
        <f>IF(Human_Data_Entry!AM80="","",Human_Data_Entry!AM80)</f>
        <v/>
      </c>
      <c r="K82" s="103">
        <f>IF(Human_Data_Entry!AN80="","",Human_Data_Entry!AN80)</f>
        <v/>
      </c>
      <c r="L82" s="103">
        <f>IF(Human_Data_Entry!AO80="","",Human_Data_Entry!AO80)</f>
        <v/>
      </c>
      <c r="M82" s="103">
        <f>IF(Human_Data_Entry!BM80="","",Human_Data_Entry!BM80)</f>
        <v/>
      </c>
      <c r="N82" s="103">
        <f>IF(Human_Data_Entry!BN80="","",Human_Data_Entry!BN80)</f>
        <v/>
      </c>
      <c r="O82" s="103">
        <f>IF(Human_Data_Entry!BO80="","",Human_Data_Entry!BO80)</f>
        <v/>
      </c>
      <c r="P82" s="103">
        <f>IF(Human_Data_Entry!BP80="","",Human_Data_Entry!BP80)</f>
        <v/>
      </c>
      <c r="Q82" s="103">
        <f>IF(Human_Data_Entry!BQ80="","",Human_Data_Entry!BQ80)</f>
        <v/>
      </c>
      <c r="R82" s="103">
        <f>IF(Human_Data_Entry!BR80="","",Human_Data_Entry!BR80)</f>
        <v/>
      </c>
      <c r="S82" s="103">
        <f>IF(Human_Data_Entry!BS80="","",Human_Data_Entry!BS80)</f>
        <v/>
      </c>
      <c r="T82" s="103">
        <f>IF(Human_Data_Entry!BT80="","",Human_Data_Entry!BT80)</f>
        <v/>
      </c>
    </row>
    <row r="83" ht="15" customHeight="1" s="241">
      <c r="A83" s="103">
        <f>IF(Human_Data_Entry!A81="","",Human_Data_Entry!A81)</f>
        <v/>
      </c>
      <c r="B83" s="103">
        <f>IF(Human_Data_Entry!B81="","",Human_Data_Entry!B81)</f>
        <v/>
      </c>
      <c r="C83" s="104">
        <f>IF(Human_Data_Entry!C81="","",Human_Data_Entry!C81)</f>
        <v/>
      </c>
      <c r="D83" s="103">
        <f>IF(Human_Data_Entry!D81="","",Human_Data_Entry!D81)</f>
        <v/>
      </c>
      <c r="E83" s="103">
        <f>IF(Human_Data_Entry!G81="","",Human_Data_Entry!G81)</f>
        <v/>
      </c>
      <c r="F83" s="103">
        <f>IF(Human_Data_Entry!X81="","",Human_Data_Entry!X81)</f>
        <v/>
      </c>
      <c r="G83" s="103">
        <f>IF(Human_Data_Entry!AY81="","",Human_Data_Entry!AY81)</f>
        <v/>
      </c>
      <c r="H83" s="103">
        <f>IF(Human_Data_Entry!AZ81="","",Human_Data_Entry!AZ81)</f>
        <v/>
      </c>
      <c r="I83" s="103">
        <f>IF(Human_Data_Entry!AL81="","",Human_Data_Entry!AL81)</f>
        <v/>
      </c>
      <c r="J83" s="103">
        <f>IF(Human_Data_Entry!AM81="","",Human_Data_Entry!AM81)</f>
        <v/>
      </c>
      <c r="K83" s="103">
        <f>IF(Human_Data_Entry!AN81="","",Human_Data_Entry!AN81)</f>
        <v/>
      </c>
      <c r="L83" s="103">
        <f>IF(Human_Data_Entry!AO81="","",Human_Data_Entry!AO81)</f>
        <v/>
      </c>
      <c r="M83" s="103">
        <f>IF(Human_Data_Entry!BM81="","",Human_Data_Entry!BM81)</f>
        <v/>
      </c>
      <c r="N83" s="103">
        <f>IF(Human_Data_Entry!BN81="","",Human_Data_Entry!BN81)</f>
        <v/>
      </c>
      <c r="O83" s="103">
        <f>IF(Human_Data_Entry!BO81="","",Human_Data_Entry!BO81)</f>
        <v/>
      </c>
      <c r="P83" s="103">
        <f>IF(Human_Data_Entry!BP81="","",Human_Data_Entry!BP81)</f>
        <v/>
      </c>
      <c r="Q83" s="103">
        <f>IF(Human_Data_Entry!BQ81="","",Human_Data_Entry!BQ81)</f>
        <v/>
      </c>
      <c r="R83" s="103">
        <f>IF(Human_Data_Entry!BR81="","",Human_Data_Entry!BR81)</f>
        <v/>
      </c>
      <c r="S83" s="103">
        <f>IF(Human_Data_Entry!BS81="","",Human_Data_Entry!BS81)</f>
        <v/>
      </c>
      <c r="T83" s="103">
        <f>IF(Human_Data_Entry!BT81="","",Human_Data_Entry!BT81)</f>
        <v/>
      </c>
    </row>
    <row r="84" ht="15" customHeight="1" s="241">
      <c r="A84" s="103">
        <f>IF(Human_Data_Entry!A82="","",Human_Data_Entry!A82)</f>
        <v/>
      </c>
      <c r="B84" s="103">
        <f>IF(Human_Data_Entry!B82="","",Human_Data_Entry!B82)</f>
        <v/>
      </c>
      <c r="C84" s="104">
        <f>IF(Human_Data_Entry!C82="","",Human_Data_Entry!C82)</f>
        <v/>
      </c>
      <c r="D84" s="103">
        <f>IF(Human_Data_Entry!D82="","",Human_Data_Entry!D82)</f>
        <v/>
      </c>
      <c r="E84" s="103">
        <f>IF(Human_Data_Entry!G82="","",Human_Data_Entry!G82)</f>
        <v/>
      </c>
      <c r="F84" s="103">
        <f>IF(Human_Data_Entry!X82="","",Human_Data_Entry!X82)</f>
        <v/>
      </c>
      <c r="G84" s="103">
        <f>IF(Human_Data_Entry!AY82="","",Human_Data_Entry!AY82)</f>
        <v/>
      </c>
      <c r="H84" s="103">
        <f>IF(Human_Data_Entry!AZ82="","",Human_Data_Entry!AZ82)</f>
        <v/>
      </c>
      <c r="I84" s="103">
        <f>IF(Human_Data_Entry!AL82="","",Human_Data_Entry!AL82)</f>
        <v/>
      </c>
      <c r="J84" s="103">
        <f>IF(Human_Data_Entry!AM82="","",Human_Data_Entry!AM82)</f>
        <v/>
      </c>
      <c r="K84" s="103">
        <f>IF(Human_Data_Entry!AN82="","",Human_Data_Entry!AN82)</f>
        <v/>
      </c>
      <c r="L84" s="103">
        <f>IF(Human_Data_Entry!AO82="","",Human_Data_Entry!AO82)</f>
        <v/>
      </c>
      <c r="M84" s="103">
        <f>IF(Human_Data_Entry!BM82="","",Human_Data_Entry!BM82)</f>
        <v/>
      </c>
      <c r="N84" s="103">
        <f>IF(Human_Data_Entry!BN82="","",Human_Data_Entry!BN82)</f>
        <v/>
      </c>
      <c r="O84" s="103">
        <f>IF(Human_Data_Entry!BO82="","",Human_Data_Entry!BO82)</f>
        <v/>
      </c>
      <c r="P84" s="103">
        <f>IF(Human_Data_Entry!BP82="","",Human_Data_Entry!BP82)</f>
        <v/>
      </c>
      <c r="Q84" s="103">
        <f>IF(Human_Data_Entry!BQ82="","",Human_Data_Entry!BQ82)</f>
        <v/>
      </c>
      <c r="R84" s="103">
        <f>IF(Human_Data_Entry!BR82="","",Human_Data_Entry!BR82)</f>
        <v/>
      </c>
      <c r="S84" s="103">
        <f>IF(Human_Data_Entry!BS82="","",Human_Data_Entry!BS82)</f>
        <v/>
      </c>
      <c r="T84" s="103">
        <f>IF(Human_Data_Entry!BT82="","",Human_Data_Entry!BT82)</f>
        <v/>
      </c>
    </row>
    <row r="85" ht="15" customHeight="1" s="241">
      <c r="A85" s="103">
        <f>IF(Human_Data_Entry!A83="","",Human_Data_Entry!A83)</f>
        <v/>
      </c>
      <c r="B85" s="103">
        <f>IF(Human_Data_Entry!B83="","",Human_Data_Entry!B83)</f>
        <v/>
      </c>
      <c r="C85" s="104">
        <f>IF(Human_Data_Entry!C83="","",Human_Data_Entry!C83)</f>
        <v/>
      </c>
      <c r="D85" s="103">
        <f>IF(Human_Data_Entry!D83="","",Human_Data_Entry!D83)</f>
        <v/>
      </c>
      <c r="E85" s="103">
        <f>IF(Human_Data_Entry!G83="","",Human_Data_Entry!G83)</f>
        <v/>
      </c>
      <c r="F85" s="103">
        <f>IF(Human_Data_Entry!X83="","",Human_Data_Entry!X83)</f>
        <v/>
      </c>
      <c r="G85" s="103">
        <f>IF(Human_Data_Entry!AY83="","",Human_Data_Entry!AY83)</f>
        <v/>
      </c>
      <c r="H85" s="103">
        <f>IF(Human_Data_Entry!AZ83="","",Human_Data_Entry!AZ83)</f>
        <v/>
      </c>
      <c r="I85" s="103">
        <f>IF(Human_Data_Entry!AL83="","",Human_Data_Entry!AL83)</f>
        <v/>
      </c>
      <c r="J85" s="103">
        <f>IF(Human_Data_Entry!AM83="","",Human_Data_Entry!AM83)</f>
        <v/>
      </c>
      <c r="K85" s="103">
        <f>IF(Human_Data_Entry!AN83="","",Human_Data_Entry!AN83)</f>
        <v/>
      </c>
      <c r="L85" s="103">
        <f>IF(Human_Data_Entry!AO83="","",Human_Data_Entry!AO83)</f>
        <v/>
      </c>
      <c r="M85" s="103">
        <f>IF(Human_Data_Entry!BM83="","",Human_Data_Entry!BM83)</f>
        <v/>
      </c>
      <c r="N85" s="103">
        <f>IF(Human_Data_Entry!BN83="","",Human_Data_Entry!BN83)</f>
        <v/>
      </c>
      <c r="O85" s="103">
        <f>IF(Human_Data_Entry!BO83="","",Human_Data_Entry!BO83)</f>
        <v/>
      </c>
      <c r="P85" s="103">
        <f>IF(Human_Data_Entry!BP83="","",Human_Data_Entry!BP83)</f>
        <v/>
      </c>
      <c r="Q85" s="103">
        <f>IF(Human_Data_Entry!BQ83="","",Human_Data_Entry!BQ83)</f>
        <v/>
      </c>
      <c r="R85" s="103">
        <f>IF(Human_Data_Entry!BR83="","",Human_Data_Entry!BR83)</f>
        <v/>
      </c>
      <c r="S85" s="103">
        <f>IF(Human_Data_Entry!BS83="","",Human_Data_Entry!BS83)</f>
        <v/>
      </c>
      <c r="T85" s="103">
        <f>IF(Human_Data_Entry!BT83="","",Human_Data_Entry!BT83)</f>
        <v/>
      </c>
    </row>
    <row r="86" ht="15" customHeight="1" s="241">
      <c r="A86" s="103">
        <f>IF(Human_Data_Entry!A84="","",Human_Data_Entry!A84)</f>
        <v/>
      </c>
      <c r="B86" s="103">
        <f>IF(Human_Data_Entry!B84="","",Human_Data_Entry!B84)</f>
        <v/>
      </c>
      <c r="C86" s="104">
        <f>IF(Human_Data_Entry!C84="","",Human_Data_Entry!C84)</f>
        <v/>
      </c>
      <c r="D86" s="103">
        <f>IF(Human_Data_Entry!D84="","",Human_Data_Entry!D84)</f>
        <v/>
      </c>
      <c r="E86" s="103">
        <f>IF(Human_Data_Entry!G84="","",Human_Data_Entry!G84)</f>
        <v/>
      </c>
      <c r="F86" s="103">
        <f>IF(Human_Data_Entry!X84="","",Human_Data_Entry!X84)</f>
        <v/>
      </c>
      <c r="G86" s="103">
        <f>IF(Human_Data_Entry!AY84="","",Human_Data_Entry!AY84)</f>
        <v/>
      </c>
      <c r="H86" s="103">
        <f>IF(Human_Data_Entry!AZ84="","",Human_Data_Entry!AZ84)</f>
        <v/>
      </c>
      <c r="I86" s="103">
        <f>IF(Human_Data_Entry!AL84="","",Human_Data_Entry!AL84)</f>
        <v/>
      </c>
      <c r="J86" s="103">
        <f>IF(Human_Data_Entry!AM84="","",Human_Data_Entry!AM84)</f>
        <v/>
      </c>
      <c r="K86" s="103">
        <f>IF(Human_Data_Entry!AN84="","",Human_Data_Entry!AN84)</f>
        <v/>
      </c>
      <c r="L86" s="103">
        <f>IF(Human_Data_Entry!AO84="","",Human_Data_Entry!AO84)</f>
        <v/>
      </c>
      <c r="M86" s="103">
        <f>IF(Human_Data_Entry!BM84="","",Human_Data_Entry!BM84)</f>
        <v/>
      </c>
      <c r="N86" s="103">
        <f>IF(Human_Data_Entry!BN84="","",Human_Data_Entry!BN84)</f>
        <v/>
      </c>
      <c r="O86" s="103">
        <f>IF(Human_Data_Entry!BO84="","",Human_Data_Entry!BO84)</f>
        <v/>
      </c>
      <c r="P86" s="103">
        <f>IF(Human_Data_Entry!BP84="","",Human_Data_Entry!BP84)</f>
        <v/>
      </c>
      <c r="Q86" s="103">
        <f>IF(Human_Data_Entry!BQ84="","",Human_Data_Entry!BQ84)</f>
        <v/>
      </c>
      <c r="R86" s="103">
        <f>IF(Human_Data_Entry!BR84="","",Human_Data_Entry!BR84)</f>
        <v/>
      </c>
      <c r="S86" s="103">
        <f>IF(Human_Data_Entry!BS84="","",Human_Data_Entry!BS84)</f>
        <v/>
      </c>
      <c r="T86" s="103">
        <f>IF(Human_Data_Entry!BT84="","",Human_Data_Entry!BT84)</f>
        <v/>
      </c>
    </row>
    <row r="87" ht="15" customHeight="1" s="241">
      <c r="A87" s="103">
        <f>IF(Human_Data_Entry!A85="","",Human_Data_Entry!A85)</f>
        <v/>
      </c>
      <c r="B87" s="103">
        <f>IF(Human_Data_Entry!B85="","",Human_Data_Entry!B85)</f>
        <v/>
      </c>
      <c r="C87" s="104">
        <f>IF(Human_Data_Entry!C85="","",Human_Data_Entry!C85)</f>
        <v/>
      </c>
      <c r="D87" s="103">
        <f>IF(Human_Data_Entry!D85="","",Human_Data_Entry!D85)</f>
        <v/>
      </c>
      <c r="E87" s="103">
        <f>IF(Human_Data_Entry!G85="","",Human_Data_Entry!G85)</f>
        <v/>
      </c>
      <c r="F87" s="103">
        <f>IF(Human_Data_Entry!X85="","",Human_Data_Entry!X85)</f>
        <v/>
      </c>
      <c r="G87" s="103">
        <f>IF(Human_Data_Entry!AY85="","",Human_Data_Entry!AY85)</f>
        <v/>
      </c>
      <c r="H87" s="103">
        <f>IF(Human_Data_Entry!AZ85="","",Human_Data_Entry!AZ85)</f>
        <v/>
      </c>
      <c r="I87" s="103">
        <f>IF(Human_Data_Entry!AL85="","",Human_Data_Entry!AL85)</f>
        <v/>
      </c>
      <c r="J87" s="103">
        <f>IF(Human_Data_Entry!AM85="","",Human_Data_Entry!AM85)</f>
        <v/>
      </c>
      <c r="K87" s="103">
        <f>IF(Human_Data_Entry!AN85="","",Human_Data_Entry!AN85)</f>
        <v/>
      </c>
      <c r="L87" s="103">
        <f>IF(Human_Data_Entry!AO85="","",Human_Data_Entry!AO85)</f>
        <v/>
      </c>
      <c r="M87" s="103">
        <f>IF(Human_Data_Entry!BM85="","",Human_Data_Entry!BM85)</f>
        <v/>
      </c>
      <c r="N87" s="103">
        <f>IF(Human_Data_Entry!BN85="","",Human_Data_Entry!BN85)</f>
        <v/>
      </c>
      <c r="O87" s="103">
        <f>IF(Human_Data_Entry!BO85="","",Human_Data_Entry!BO85)</f>
        <v/>
      </c>
      <c r="P87" s="103">
        <f>IF(Human_Data_Entry!BP85="","",Human_Data_Entry!BP85)</f>
        <v/>
      </c>
      <c r="Q87" s="103">
        <f>IF(Human_Data_Entry!BQ85="","",Human_Data_Entry!BQ85)</f>
        <v/>
      </c>
      <c r="R87" s="103">
        <f>IF(Human_Data_Entry!BR85="","",Human_Data_Entry!BR85)</f>
        <v/>
      </c>
      <c r="S87" s="103">
        <f>IF(Human_Data_Entry!BS85="","",Human_Data_Entry!BS85)</f>
        <v/>
      </c>
      <c r="T87" s="103">
        <f>IF(Human_Data_Entry!BT85="","",Human_Data_Entry!BT85)</f>
        <v/>
      </c>
    </row>
    <row r="88" ht="15" customHeight="1" s="241">
      <c r="A88" s="103">
        <f>IF(Human_Data_Entry!A86="","",Human_Data_Entry!A86)</f>
        <v/>
      </c>
      <c r="B88" s="103">
        <f>IF(Human_Data_Entry!B86="","",Human_Data_Entry!B86)</f>
        <v/>
      </c>
      <c r="C88" s="104">
        <f>IF(Human_Data_Entry!C86="","",Human_Data_Entry!C86)</f>
        <v/>
      </c>
      <c r="D88" s="103">
        <f>IF(Human_Data_Entry!D86="","",Human_Data_Entry!D86)</f>
        <v/>
      </c>
      <c r="E88" s="103">
        <f>IF(Human_Data_Entry!G86="","",Human_Data_Entry!G86)</f>
        <v/>
      </c>
      <c r="F88" s="103">
        <f>IF(Human_Data_Entry!X86="","",Human_Data_Entry!X86)</f>
        <v/>
      </c>
      <c r="G88" s="103">
        <f>IF(Human_Data_Entry!AY86="","",Human_Data_Entry!AY86)</f>
        <v/>
      </c>
      <c r="H88" s="103">
        <f>IF(Human_Data_Entry!AZ86="","",Human_Data_Entry!AZ86)</f>
        <v/>
      </c>
      <c r="I88" s="103">
        <f>IF(Human_Data_Entry!AL86="","",Human_Data_Entry!AL86)</f>
        <v/>
      </c>
      <c r="J88" s="103">
        <f>IF(Human_Data_Entry!AM86="","",Human_Data_Entry!AM86)</f>
        <v/>
      </c>
      <c r="K88" s="103">
        <f>IF(Human_Data_Entry!AN86="","",Human_Data_Entry!AN86)</f>
        <v/>
      </c>
      <c r="L88" s="103">
        <f>IF(Human_Data_Entry!AO86="","",Human_Data_Entry!AO86)</f>
        <v/>
      </c>
      <c r="M88" s="103">
        <f>IF(Human_Data_Entry!BM86="","",Human_Data_Entry!BM86)</f>
        <v/>
      </c>
      <c r="N88" s="103">
        <f>IF(Human_Data_Entry!BN86="","",Human_Data_Entry!BN86)</f>
        <v/>
      </c>
      <c r="O88" s="103">
        <f>IF(Human_Data_Entry!BO86="","",Human_Data_Entry!BO86)</f>
        <v/>
      </c>
      <c r="P88" s="103">
        <f>IF(Human_Data_Entry!BP86="","",Human_Data_Entry!BP86)</f>
        <v/>
      </c>
      <c r="Q88" s="103">
        <f>IF(Human_Data_Entry!BQ86="","",Human_Data_Entry!BQ86)</f>
        <v/>
      </c>
      <c r="R88" s="103">
        <f>IF(Human_Data_Entry!BR86="","",Human_Data_Entry!BR86)</f>
        <v/>
      </c>
      <c r="S88" s="103">
        <f>IF(Human_Data_Entry!BS86="","",Human_Data_Entry!BS86)</f>
        <v/>
      </c>
      <c r="T88" s="103">
        <f>IF(Human_Data_Entry!BT86="","",Human_Data_Entry!BT86)</f>
        <v/>
      </c>
    </row>
    <row r="89" ht="15" customHeight="1" s="241">
      <c r="A89" s="103">
        <f>IF(Human_Data_Entry!A87="","",Human_Data_Entry!A87)</f>
        <v/>
      </c>
      <c r="B89" s="103">
        <f>IF(Human_Data_Entry!B87="","",Human_Data_Entry!B87)</f>
        <v/>
      </c>
      <c r="C89" s="104">
        <f>IF(Human_Data_Entry!C87="","",Human_Data_Entry!C87)</f>
        <v/>
      </c>
      <c r="D89" s="103">
        <f>IF(Human_Data_Entry!D87="","",Human_Data_Entry!D87)</f>
        <v/>
      </c>
      <c r="E89" s="103">
        <f>IF(Human_Data_Entry!G87="","",Human_Data_Entry!G87)</f>
        <v/>
      </c>
      <c r="F89" s="103">
        <f>IF(Human_Data_Entry!X87="","",Human_Data_Entry!X87)</f>
        <v/>
      </c>
      <c r="G89" s="103">
        <f>IF(Human_Data_Entry!AY87="","",Human_Data_Entry!AY87)</f>
        <v/>
      </c>
      <c r="H89" s="103">
        <f>IF(Human_Data_Entry!AZ87="","",Human_Data_Entry!AZ87)</f>
        <v/>
      </c>
      <c r="I89" s="103">
        <f>IF(Human_Data_Entry!AL87="","",Human_Data_Entry!AL87)</f>
        <v/>
      </c>
      <c r="J89" s="103">
        <f>IF(Human_Data_Entry!AM87="","",Human_Data_Entry!AM87)</f>
        <v/>
      </c>
      <c r="K89" s="103">
        <f>IF(Human_Data_Entry!AN87="","",Human_Data_Entry!AN87)</f>
        <v/>
      </c>
      <c r="L89" s="103">
        <f>IF(Human_Data_Entry!AO87="","",Human_Data_Entry!AO87)</f>
        <v/>
      </c>
      <c r="M89" s="103">
        <f>IF(Human_Data_Entry!BM87="","",Human_Data_Entry!BM87)</f>
        <v/>
      </c>
      <c r="N89" s="103">
        <f>IF(Human_Data_Entry!BN87="","",Human_Data_Entry!BN87)</f>
        <v/>
      </c>
      <c r="O89" s="103">
        <f>IF(Human_Data_Entry!BO87="","",Human_Data_Entry!BO87)</f>
        <v/>
      </c>
      <c r="P89" s="103">
        <f>IF(Human_Data_Entry!BP87="","",Human_Data_Entry!BP87)</f>
        <v/>
      </c>
      <c r="Q89" s="103">
        <f>IF(Human_Data_Entry!BQ87="","",Human_Data_Entry!BQ87)</f>
        <v/>
      </c>
      <c r="R89" s="103">
        <f>IF(Human_Data_Entry!BR87="","",Human_Data_Entry!BR87)</f>
        <v/>
      </c>
      <c r="S89" s="103">
        <f>IF(Human_Data_Entry!BS87="","",Human_Data_Entry!BS87)</f>
        <v/>
      </c>
      <c r="T89" s="103">
        <f>IF(Human_Data_Entry!BT87="","",Human_Data_Entry!BT87)</f>
        <v/>
      </c>
    </row>
    <row r="90" ht="15" customHeight="1" s="241">
      <c r="A90" s="103">
        <f>IF(Human_Data_Entry!A88="","",Human_Data_Entry!A88)</f>
        <v/>
      </c>
      <c r="B90" s="103">
        <f>IF(Human_Data_Entry!B88="","",Human_Data_Entry!B88)</f>
        <v/>
      </c>
      <c r="C90" s="104">
        <f>IF(Human_Data_Entry!C88="","",Human_Data_Entry!C88)</f>
        <v/>
      </c>
      <c r="D90" s="103">
        <f>IF(Human_Data_Entry!D88="","",Human_Data_Entry!D88)</f>
        <v/>
      </c>
      <c r="E90" s="103">
        <f>IF(Human_Data_Entry!G88="","",Human_Data_Entry!G88)</f>
        <v/>
      </c>
      <c r="F90" s="103">
        <f>IF(Human_Data_Entry!X88="","",Human_Data_Entry!X88)</f>
        <v/>
      </c>
      <c r="G90" s="103">
        <f>IF(Human_Data_Entry!AY88="","",Human_Data_Entry!AY88)</f>
        <v/>
      </c>
      <c r="H90" s="103">
        <f>IF(Human_Data_Entry!AZ88="","",Human_Data_Entry!AZ88)</f>
        <v/>
      </c>
      <c r="I90" s="103">
        <f>IF(Human_Data_Entry!AL88="","",Human_Data_Entry!AL88)</f>
        <v/>
      </c>
      <c r="J90" s="103">
        <f>IF(Human_Data_Entry!AM88="","",Human_Data_Entry!AM88)</f>
        <v/>
      </c>
      <c r="K90" s="103">
        <f>IF(Human_Data_Entry!AN88="","",Human_Data_Entry!AN88)</f>
        <v/>
      </c>
      <c r="L90" s="103">
        <f>IF(Human_Data_Entry!AO88="","",Human_Data_Entry!AO88)</f>
        <v/>
      </c>
      <c r="M90" s="103">
        <f>IF(Human_Data_Entry!BM88="","",Human_Data_Entry!BM88)</f>
        <v/>
      </c>
      <c r="N90" s="103">
        <f>IF(Human_Data_Entry!BN88="","",Human_Data_Entry!BN88)</f>
        <v/>
      </c>
      <c r="O90" s="103">
        <f>IF(Human_Data_Entry!BO88="","",Human_Data_Entry!BO88)</f>
        <v/>
      </c>
      <c r="P90" s="103">
        <f>IF(Human_Data_Entry!BP88="","",Human_Data_Entry!BP88)</f>
        <v/>
      </c>
      <c r="Q90" s="103">
        <f>IF(Human_Data_Entry!BQ88="","",Human_Data_Entry!BQ88)</f>
        <v/>
      </c>
      <c r="R90" s="103">
        <f>IF(Human_Data_Entry!BR88="","",Human_Data_Entry!BR88)</f>
        <v/>
      </c>
      <c r="S90" s="103">
        <f>IF(Human_Data_Entry!BS88="","",Human_Data_Entry!BS88)</f>
        <v/>
      </c>
      <c r="T90" s="103">
        <f>IF(Human_Data_Entry!BT88="","",Human_Data_Entry!BT88)</f>
        <v/>
      </c>
    </row>
    <row r="91" ht="15" customHeight="1" s="241">
      <c r="A91" s="103">
        <f>IF(Human_Data_Entry!A89="","",Human_Data_Entry!A89)</f>
        <v/>
      </c>
      <c r="B91" s="103">
        <f>IF(Human_Data_Entry!B89="","",Human_Data_Entry!B89)</f>
        <v/>
      </c>
      <c r="C91" s="104">
        <f>IF(Human_Data_Entry!C89="","",Human_Data_Entry!C89)</f>
        <v/>
      </c>
      <c r="D91" s="103">
        <f>IF(Human_Data_Entry!D89="","",Human_Data_Entry!D89)</f>
        <v/>
      </c>
      <c r="E91" s="103">
        <f>IF(Human_Data_Entry!G89="","",Human_Data_Entry!G89)</f>
        <v/>
      </c>
      <c r="F91" s="103">
        <f>IF(Human_Data_Entry!X89="","",Human_Data_Entry!X89)</f>
        <v/>
      </c>
      <c r="G91" s="103">
        <f>IF(Human_Data_Entry!AY89="","",Human_Data_Entry!AY89)</f>
        <v/>
      </c>
      <c r="H91" s="103">
        <f>IF(Human_Data_Entry!AZ89="","",Human_Data_Entry!AZ89)</f>
        <v/>
      </c>
      <c r="I91" s="103">
        <f>IF(Human_Data_Entry!AL89="","",Human_Data_Entry!AL89)</f>
        <v/>
      </c>
      <c r="J91" s="103">
        <f>IF(Human_Data_Entry!AM89="","",Human_Data_Entry!AM89)</f>
        <v/>
      </c>
      <c r="K91" s="103">
        <f>IF(Human_Data_Entry!AN89="","",Human_Data_Entry!AN89)</f>
        <v/>
      </c>
      <c r="L91" s="103">
        <f>IF(Human_Data_Entry!AO89="","",Human_Data_Entry!AO89)</f>
        <v/>
      </c>
      <c r="M91" s="103">
        <f>IF(Human_Data_Entry!BM89="","",Human_Data_Entry!BM89)</f>
        <v/>
      </c>
      <c r="N91" s="103">
        <f>IF(Human_Data_Entry!BN89="","",Human_Data_Entry!BN89)</f>
        <v/>
      </c>
      <c r="O91" s="103">
        <f>IF(Human_Data_Entry!BO89="","",Human_Data_Entry!BO89)</f>
        <v/>
      </c>
      <c r="P91" s="103">
        <f>IF(Human_Data_Entry!BP89="","",Human_Data_Entry!BP89)</f>
        <v/>
      </c>
      <c r="Q91" s="103">
        <f>IF(Human_Data_Entry!BQ89="","",Human_Data_Entry!BQ89)</f>
        <v/>
      </c>
      <c r="R91" s="103">
        <f>IF(Human_Data_Entry!BR89="","",Human_Data_Entry!BR89)</f>
        <v/>
      </c>
      <c r="S91" s="103">
        <f>IF(Human_Data_Entry!BS89="","",Human_Data_Entry!BS89)</f>
        <v/>
      </c>
      <c r="T91" s="103">
        <f>IF(Human_Data_Entry!BT89="","",Human_Data_Entry!BT89)</f>
        <v/>
      </c>
    </row>
    <row r="92" ht="15" customHeight="1" s="241">
      <c r="A92" s="103">
        <f>IF(Human_Data_Entry!A90="","",Human_Data_Entry!A90)</f>
        <v/>
      </c>
      <c r="B92" s="103">
        <f>IF(Human_Data_Entry!B90="","",Human_Data_Entry!B90)</f>
        <v/>
      </c>
      <c r="C92" s="104">
        <f>IF(Human_Data_Entry!C90="","",Human_Data_Entry!C90)</f>
        <v/>
      </c>
      <c r="D92" s="103">
        <f>IF(Human_Data_Entry!D90="","",Human_Data_Entry!D90)</f>
        <v/>
      </c>
      <c r="E92" s="103">
        <f>IF(Human_Data_Entry!G90="","",Human_Data_Entry!G90)</f>
        <v/>
      </c>
      <c r="F92" s="103">
        <f>IF(Human_Data_Entry!X90="","",Human_Data_Entry!X90)</f>
        <v/>
      </c>
      <c r="G92" s="103">
        <f>IF(Human_Data_Entry!AY90="","",Human_Data_Entry!AY90)</f>
        <v/>
      </c>
      <c r="H92" s="103">
        <f>IF(Human_Data_Entry!AZ90="","",Human_Data_Entry!AZ90)</f>
        <v/>
      </c>
      <c r="I92" s="103">
        <f>IF(Human_Data_Entry!AL90="","",Human_Data_Entry!AL90)</f>
        <v/>
      </c>
      <c r="J92" s="103">
        <f>IF(Human_Data_Entry!AM90="","",Human_Data_Entry!AM90)</f>
        <v/>
      </c>
      <c r="K92" s="103">
        <f>IF(Human_Data_Entry!AN90="","",Human_Data_Entry!AN90)</f>
        <v/>
      </c>
      <c r="L92" s="103">
        <f>IF(Human_Data_Entry!AO90="","",Human_Data_Entry!AO90)</f>
        <v/>
      </c>
      <c r="M92" s="103">
        <f>IF(Human_Data_Entry!BM90="","",Human_Data_Entry!BM90)</f>
        <v/>
      </c>
      <c r="N92" s="103">
        <f>IF(Human_Data_Entry!BN90="","",Human_Data_Entry!BN90)</f>
        <v/>
      </c>
      <c r="O92" s="103">
        <f>IF(Human_Data_Entry!BO90="","",Human_Data_Entry!BO90)</f>
        <v/>
      </c>
      <c r="P92" s="103">
        <f>IF(Human_Data_Entry!BP90="","",Human_Data_Entry!BP90)</f>
        <v/>
      </c>
      <c r="Q92" s="103">
        <f>IF(Human_Data_Entry!BQ90="","",Human_Data_Entry!BQ90)</f>
        <v/>
      </c>
      <c r="R92" s="103">
        <f>IF(Human_Data_Entry!BR90="","",Human_Data_Entry!BR90)</f>
        <v/>
      </c>
      <c r="S92" s="103">
        <f>IF(Human_Data_Entry!BS90="","",Human_Data_Entry!BS90)</f>
        <v/>
      </c>
      <c r="T92" s="103">
        <f>IF(Human_Data_Entry!BT90="","",Human_Data_Entry!BT90)</f>
        <v/>
      </c>
    </row>
    <row r="93" ht="15" customHeight="1" s="241">
      <c r="A93" s="103">
        <f>IF(Human_Data_Entry!A91="","",Human_Data_Entry!A91)</f>
        <v/>
      </c>
      <c r="B93" s="103">
        <f>IF(Human_Data_Entry!B91="","",Human_Data_Entry!B91)</f>
        <v/>
      </c>
      <c r="C93" s="104">
        <f>IF(Human_Data_Entry!C91="","",Human_Data_Entry!C91)</f>
        <v/>
      </c>
      <c r="D93" s="103">
        <f>IF(Human_Data_Entry!D91="","",Human_Data_Entry!D91)</f>
        <v/>
      </c>
      <c r="E93" s="103">
        <f>IF(Human_Data_Entry!G91="","",Human_Data_Entry!G91)</f>
        <v/>
      </c>
      <c r="F93" s="103">
        <f>IF(Human_Data_Entry!X91="","",Human_Data_Entry!X91)</f>
        <v/>
      </c>
      <c r="G93" s="103">
        <f>IF(Human_Data_Entry!AY91="","",Human_Data_Entry!AY91)</f>
        <v/>
      </c>
      <c r="H93" s="103">
        <f>IF(Human_Data_Entry!AZ91="","",Human_Data_Entry!AZ91)</f>
        <v/>
      </c>
      <c r="I93" s="103">
        <f>IF(Human_Data_Entry!AL91="","",Human_Data_Entry!AL91)</f>
        <v/>
      </c>
      <c r="J93" s="103">
        <f>IF(Human_Data_Entry!AM91="","",Human_Data_Entry!AM91)</f>
        <v/>
      </c>
      <c r="K93" s="103">
        <f>IF(Human_Data_Entry!AN91="","",Human_Data_Entry!AN91)</f>
        <v/>
      </c>
      <c r="L93" s="103">
        <f>IF(Human_Data_Entry!AO91="","",Human_Data_Entry!AO91)</f>
        <v/>
      </c>
      <c r="M93" s="103">
        <f>IF(Human_Data_Entry!BM91="","",Human_Data_Entry!BM91)</f>
        <v/>
      </c>
      <c r="N93" s="103">
        <f>IF(Human_Data_Entry!BN91="","",Human_Data_Entry!BN91)</f>
        <v/>
      </c>
      <c r="O93" s="103">
        <f>IF(Human_Data_Entry!BO91="","",Human_Data_Entry!BO91)</f>
        <v/>
      </c>
      <c r="P93" s="103">
        <f>IF(Human_Data_Entry!BP91="","",Human_Data_Entry!BP91)</f>
        <v/>
      </c>
      <c r="Q93" s="103">
        <f>IF(Human_Data_Entry!BQ91="","",Human_Data_Entry!BQ91)</f>
        <v/>
      </c>
      <c r="R93" s="103">
        <f>IF(Human_Data_Entry!BR91="","",Human_Data_Entry!BR91)</f>
        <v/>
      </c>
      <c r="S93" s="103">
        <f>IF(Human_Data_Entry!BS91="","",Human_Data_Entry!BS91)</f>
        <v/>
      </c>
      <c r="T93" s="103">
        <f>IF(Human_Data_Entry!BT91="","",Human_Data_Entry!BT91)</f>
        <v/>
      </c>
    </row>
    <row r="94" ht="15" customHeight="1" s="241">
      <c r="A94" s="103">
        <f>IF(Human_Data_Entry!A92="","",Human_Data_Entry!A92)</f>
        <v/>
      </c>
      <c r="B94" s="103">
        <f>IF(Human_Data_Entry!B92="","",Human_Data_Entry!B92)</f>
        <v/>
      </c>
      <c r="C94" s="104">
        <f>IF(Human_Data_Entry!C92="","",Human_Data_Entry!C92)</f>
        <v/>
      </c>
      <c r="D94" s="103">
        <f>IF(Human_Data_Entry!D92="","",Human_Data_Entry!D92)</f>
        <v/>
      </c>
      <c r="E94" s="103">
        <f>IF(Human_Data_Entry!G92="","",Human_Data_Entry!G92)</f>
        <v/>
      </c>
      <c r="F94" s="103">
        <f>IF(Human_Data_Entry!X92="","",Human_Data_Entry!X92)</f>
        <v/>
      </c>
      <c r="G94" s="103">
        <f>IF(Human_Data_Entry!AY92="","",Human_Data_Entry!AY92)</f>
        <v/>
      </c>
      <c r="H94" s="103">
        <f>IF(Human_Data_Entry!AZ92="","",Human_Data_Entry!AZ92)</f>
        <v/>
      </c>
      <c r="I94" s="103">
        <f>IF(Human_Data_Entry!AL92="","",Human_Data_Entry!AL92)</f>
        <v/>
      </c>
      <c r="J94" s="103">
        <f>IF(Human_Data_Entry!AM92="","",Human_Data_Entry!AM92)</f>
        <v/>
      </c>
      <c r="K94" s="103">
        <f>IF(Human_Data_Entry!AN92="","",Human_Data_Entry!AN92)</f>
        <v/>
      </c>
      <c r="L94" s="103">
        <f>IF(Human_Data_Entry!AO92="","",Human_Data_Entry!AO92)</f>
        <v/>
      </c>
      <c r="M94" s="103">
        <f>IF(Human_Data_Entry!BM92="","",Human_Data_Entry!BM92)</f>
        <v/>
      </c>
      <c r="N94" s="103">
        <f>IF(Human_Data_Entry!BN92="","",Human_Data_Entry!BN92)</f>
        <v/>
      </c>
      <c r="O94" s="103">
        <f>IF(Human_Data_Entry!BO92="","",Human_Data_Entry!BO92)</f>
        <v/>
      </c>
      <c r="P94" s="103">
        <f>IF(Human_Data_Entry!BP92="","",Human_Data_Entry!BP92)</f>
        <v/>
      </c>
      <c r="Q94" s="103">
        <f>IF(Human_Data_Entry!BQ92="","",Human_Data_Entry!BQ92)</f>
        <v/>
      </c>
      <c r="R94" s="103">
        <f>IF(Human_Data_Entry!BR92="","",Human_Data_Entry!BR92)</f>
        <v/>
      </c>
      <c r="S94" s="103">
        <f>IF(Human_Data_Entry!BS92="","",Human_Data_Entry!BS92)</f>
        <v/>
      </c>
      <c r="T94" s="103">
        <f>IF(Human_Data_Entry!BT92="","",Human_Data_Entry!BT92)</f>
        <v/>
      </c>
    </row>
    <row r="95" ht="15" customHeight="1" s="241">
      <c r="A95" s="103">
        <f>IF(Human_Data_Entry!A93="","",Human_Data_Entry!A93)</f>
        <v/>
      </c>
      <c r="B95" s="103">
        <f>IF(Human_Data_Entry!B93="","",Human_Data_Entry!B93)</f>
        <v/>
      </c>
      <c r="C95" s="104">
        <f>IF(Human_Data_Entry!C93="","",Human_Data_Entry!C93)</f>
        <v/>
      </c>
      <c r="D95" s="103">
        <f>IF(Human_Data_Entry!D93="","",Human_Data_Entry!D93)</f>
        <v/>
      </c>
      <c r="E95" s="103">
        <f>IF(Human_Data_Entry!G93="","",Human_Data_Entry!G93)</f>
        <v/>
      </c>
      <c r="F95" s="103">
        <f>IF(Human_Data_Entry!X93="","",Human_Data_Entry!X93)</f>
        <v/>
      </c>
      <c r="G95" s="103">
        <f>IF(Human_Data_Entry!AY93="","",Human_Data_Entry!AY93)</f>
        <v/>
      </c>
      <c r="H95" s="103">
        <f>IF(Human_Data_Entry!AZ93="","",Human_Data_Entry!AZ93)</f>
        <v/>
      </c>
      <c r="I95" s="103">
        <f>IF(Human_Data_Entry!AL93="","",Human_Data_Entry!AL93)</f>
        <v/>
      </c>
      <c r="J95" s="103">
        <f>IF(Human_Data_Entry!AM93="","",Human_Data_Entry!AM93)</f>
        <v/>
      </c>
      <c r="K95" s="103">
        <f>IF(Human_Data_Entry!AN93="","",Human_Data_Entry!AN93)</f>
        <v/>
      </c>
      <c r="L95" s="103">
        <f>IF(Human_Data_Entry!AO93="","",Human_Data_Entry!AO93)</f>
        <v/>
      </c>
      <c r="M95" s="103">
        <f>IF(Human_Data_Entry!BM93="","",Human_Data_Entry!BM93)</f>
        <v/>
      </c>
      <c r="N95" s="103">
        <f>IF(Human_Data_Entry!BN93="","",Human_Data_Entry!BN93)</f>
        <v/>
      </c>
      <c r="O95" s="103">
        <f>IF(Human_Data_Entry!BO93="","",Human_Data_Entry!BO93)</f>
        <v/>
      </c>
      <c r="P95" s="103">
        <f>IF(Human_Data_Entry!BP93="","",Human_Data_Entry!BP93)</f>
        <v/>
      </c>
      <c r="Q95" s="103">
        <f>IF(Human_Data_Entry!BQ93="","",Human_Data_Entry!BQ93)</f>
        <v/>
      </c>
      <c r="R95" s="103">
        <f>IF(Human_Data_Entry!BR93="","",Human_Data_Entry!BR93)</f>
        <v/>
      </c>
      <c r="S95" s="103">
        <f>IF(Human_Data_Entry!BS93="","",Human_Data_Entry!BS93)</f>
        <v/>
      </c>
      <c r="T95" s="103">
        <f>IF(Human_Data_Entry!BT93="","",Human_Data_Entry!BT93)</f>
        <v/>
      </c>
    </row>
    <row r="96" ht="15" customHeight="1" s="241">
      <c r="A96" s="103">
        <f>IF(Human_Data_Entry!A94="","",Human_Data_Entry!A94)</f>
        <v/>
      </c>
      <c r="B96" s="103">
        <f>IF(Human_Data_Entry!B94="","",Human_Data_Entry!B94)</f>
        <v/>
      </c>
      <c r="C96" s="104">
        <f>IF(Human_Data_Entry!C94="","",Human_Data_Entry!C94)</f>
        <v/>
      </c>
      <c r="D96" s="103">
        <f>IF(Human_Data_Entry!D94="","",Human_Data_Entry!D94)</f>
        <v/>
      </c>
      <c r="E96" s="103">
        <f>IF(Human_Data_Entry!G94="","",Human_Data_Entry!G94)</f>
        <v/>
      </c>
      <c r="F96" s="103">
        <f>IF(Human_Data_Entry!X94="","",Human_Data_Entry!X94)</f>
        <v/>
      </c>
      <c r="G96" s="103">
        <f>IF(Human_Data_Entry!AY94="","",Human_Data_Entry!AY94)</f>
        <v/>
      </c>
      <c r="H96" s="103">
        <f>IF(Human_Data_Entry!AZ94="","",Human_Data_Entry!AZ94)</f>
        <v/>
      </c>
      <c r="I96" s="103">
        <f>IF(Human_Data_Entry!AL94="","",Human_Data_Entry!AL94)</f>
        <v/>
      </c>
      <c r="J96" s="103">
        <f>IF(Human_Data_Entry!AM94="","",Human_Data_Entry!AM94)</f>
        <v/>
      </c>
      <c r="K96" s="103">
        <f>IF(Human_Data_Entry!AN94="","",Human_Data_Entry!AN94)</f>
        <v/>
      </c>
      <c r="L96" s="103">
        <f>IF(Human_Data_Entry!AO94="","",Human_Data_Entry!AO94)</f>
        <v/>
      </c>
      <c r="M96" s="103">
        <f>IF(Human_Data_Entry!BM94="","",Human_Data_Entry!BM94)</f>
        <v/>
      </c>
      <c r="N96" s="103">
        <f>IF(Human_Data_Entry!BN94="","",Human_Data_Entry!BN94)</f>
        <v/>
      </c>
      <c r="O96" s="103">
        <f>IF(Human_Data_Entry!BO94="","",Human_Data_Entry!BO94)</f>
        <v/>
      </c>
      <c r="P96" s="103">
        <f>IF(Human_Data_Entry!BP94="","",Human_Data_Entry!BP94)</f>
        <v/>
      </c>
      <c r="Q96" s="103">
        <f>IF(Human_Data_Entry!BQ94="","",Human_Data_Entry!BQ94)</f>
        <v/>
      </c>
      <c r="R96" s="103">
        <f>IF(Human_Data_Entry!BR94="","",Human_Data_Entry!BR94)</f>
        <v/>
      </c>
      <c r="S96" s="103">
        <f>IF(Human_Data_Entry!BS94="","",Human_Data_Entry!BS94)</f>
        <v/>
      </c>
      <c r="T96" s="103">
        <f>IF(Human_Data_Entry!BT94="","",Human_Data_Entry!BT94)</f>
        <v/>
      </c>
    </row>
    <row r="97" ht="15" customHeight="1" s="241">
      <c r="A97" s="103">
        <f>IF(Human_Data_Entry!A95="","",Human_Data_Entry!A95)</f>
        <v/>
      </c>
      <c r="B97" s="103">
        <f>IF(Human_Data_Entry!B95="","",Human_Data_Entry!B95)</f>
        <v/>
      </c>
      <c r="C97" s="104">
        <f>IF(Human_Data_Entry!C95="","",Human_Data_Entry!C95)</f>
        <v/>
      </c>
      <c r="D97" s="103">
        <f>IF(Human_Data_Entry!D95="","",Human_Data_Entry!D95)</f>
        <v/>
      </c>
      <c r="E97" s="103">
        <f>IF(Human_Data_Entry!G95="","",Human_Data_Entry!G95)</f>
        <v/>
      </c>
      <c r="F97" s="103">
        <f>IF(Human_Data_Entry!X95="","",Human_Data_Entry!X95)</f>
        <v/>
      </c>
      <c r="G97" s="103">
        <f>IF(Human_Data_Entry!AY95="","",Human_Data_Entry!AY95)</f>
        <v/>
      </c>
      <c r="H97" s="103">
        <f>IF(Human_Data_Entry!AZ95="","",Human_Data_Entry!AZ95)</f>
        <v/>
      </c>
      <c r="I97" s="103">
        <f>IF(Human_Data_Entry!AL95="","",Human_Data_Entry!AL95)</f>
        <v/>
      </c>
      <c r="J97" s="103">
        <f>IF(Human_Data_Entry!AM95="","",Human_Data_Entry!AM95)</f>
        <v/>
      </c>
      <c r="K97" s="103">
        <f>IF(Human_Data_Entry!AN95="","",Human_Data_Entry!AN95)</f>
        <v/>
      </c>
      <c r="L97" s="103">
        <f>IF(Human_Data_Entry!AO95="","",Human_Data_Entry!AO95)</f>
        <v/>
      </c>
      <c r="M97" s="103">
        <f>IF(Human_Data_Entry!BM95="","",Human_Data_Entry!BM95)</f>
        <v/>
      </c>
      <c r="N97" s="103">
        <f>IF(Human_Data_Entry!BN95="","",Human_Data_Entry!BN95)</f>
        <v/>
      </c>
      <c r="O97" s="103">
        <f>IF(Human_Data_Entry!BO95="","",Human_Data_Entry!BO95)</f>
        <v/>
      </c>
      <c r="P97" s="103">
        <f>IF(Human_Data_Entry!BP95="","",Human_Data_Entry!BP95)</f>
        <v/>
      </c>
      <c r="Q97" s="103">
        <f>IF(Human_Data_Entry!BQ95="","",Human_Data_Entry!BQ95)</f>
        <v/>
      </c>
      <c r="R97" s="103">
        <f>IF(Human_Data_Entry!BR95="","",Human_Data_Entry!BR95)</f>
        <v/>
      </c>
      <c r="S97" s="103">
        <f>IF(Human_Data_Entry!BS95="","",Human_Data_Entry!BS95)</f>
        <v/>
      </c>
      <c r="T97" s="103">
        <f>IF(Human_Data_Entry!BT95="","",Human_Data_Entry!BT95)</f>
        <v/>
      </c>
    </row>
    <row r="98" ht="15" customHeight="1" s="241">
      <c r="A98" s="103">
        <f>IF(Human_Data_Entry!A96="","",Human_Data_Entry!A96)</f>
        <v/>
      </c>
      <c r="B98" s="103">
        <f>IF(Human_Data_Entry!B96="","",Human_Data_Entry!B96)</f>
        <v/>
      </c>
      <c r="C98" s="104">
        <f>IF(Human_Data_Entry!C96="","",Human_Data_Entry!C96)</f>
        <v/>
      </c>
      <c r="D98" s="103">
        <f>IF(Human_Data_Entry!D96="","",Human_Data_Entry!D96)</f>
        <v/>
      </c>
      <c r="E98" s="103">
        <f>IF(Human_Data_Entry!G96="","",Human_Data_Entry!G96)</f>
        <v/>
      </c>
      <c r="F98" s="103">
        <f>IF(Human_Data_Entry!X96="","",Human_Data_Entry!X96)</f>
        <v/>
      </c>
      <c r="G98" s="103">
        <f>IF(Human_Data_Entry!AY96="","",Human_Data_Entry!AY96)</f>
        <v/>
      </c>
      <c r="H98" s="103">
        <f>IF(Human_Data_Entry!AZ96="","",Human_Data_Entry!AZ96)</f>
        <v/>
      </c>
      <c r="I98" s="103">
        <f>IF(Human_Data_Entry!AL96="","",Human_Data_Entry!AL96)</f>
        <v/>
      </c>
      <c r="J98" s="103">
        <f>IF(Human_Data_Entry!AM96="","",Human_Data_Entry!AM96)</f>
        <v/>
      </c>
      <c r="K98" s="103">
        <f>IF(Human_Data_Entry!AN96="","",Human_Data_Entry!AN96)</f>
        <v/>
      </c>
      <c r="L98" s="103">
        <f>IF(Human_Data_Entry!AO96="","",Human_Data_Entry!AO96)</f>
        <v/>
      </c>
      <c r="M98" s="103">
        <f>IF(Human_Data_Entry!BM96="","",Human_Data_Entry!BM96)</f>
        <v/>
      </c>
      <c r="N98" s="103">
        <f>IF(Human_Data_Entry!BN96="","",Human_Data_Entry!BN96)</f>
        <v/>
      </c>
      <c r="O98" s="103">
        <f>IF(Human_Data_Entry!BO96="","",Human_Data_Entry!BO96)</f>
        <v/>
      </c>
      <c r="P98" s="103">
        <f>IF(Human_Data_Entry!BP96="","",Human_Data_Entry!BP96)</f>
        <v/>
      </c>
      <c r="Q98" s="103">
        <f>IF(Human_Data_Entry!BQ96="","",Human_Data_Entry!BQ96)</f>
        <v/>
      </c>
      <c r="R98" s="103">
        <f>IF(Human_Data_Entry!BR96="","",Human_Data_Entry!BR96)</f>
        <v/>
      </c>
      <c r="S98" s="103">
        <f>IF(Human_Data_Entry!BS96="","",Human_Data_Entry!BS96)</f>
        <v/>
      </c>
      <c r="T98" s="103">
        <f>IF(Human_Data_Entry!BT96="","",Human_Data_Entry!BT96)</f>
        <v/>
      </c>
    </row>
    <row r="99" ht="15" customHeight="1" s="241">
      <c r="A99" s="103">
        <f>IF(Human_Data_Entry!A97="","",Human_Data_Entry!A97)</f>
        <v/>
      </c>
      <c r="B99" s="103">
        <f>IF(Human_Data_Entry!B97="","",Human_Data_Entry!B97)</f>
        <v/>
      </c>
      <c r="C99" s="104">
        <f>IF(Human_Data_Entry!C97="","",Human_Data_Entry!C97)</f>
        <v/>
      </c>
      <c r="D99" s="103">
        <f>IF(Human_Data_Entry!D97="","",Human_Data_Entry!D97)</f>
        <v/>
      </c>
      <c r="E99" s="103">
        <f>IF(Human_Data_Entry!G97="","",Human_Data_Entry!G97)</f>
        <v/>
      </c>
      <c r="F99" s="103">
        <f>IF(Human_Data_Entry!X97="","",Human_Data_Entry!X97)</f>
        <v/>
      </c>
      <c r="G99" s="103">
        <f>IF(Human_Data_Entry!AY97="","",Human_Data_Entry!AY97)</f>
        <v/>
      </c>
      <c r="H99" s="103">
        <f>IF(Human_Data_Entry!AZ97="","",Human_Data_Entry!AZ97)</f>
        <v/>
      </c>
      <c r="I99" s="103">
        <f>IF(Human_Data_Entry!AL97="","",Human_Data_Entry!AL97)</f>
        <v/>
      </c>
      <c r="J99" s="103">
        <f>IF(Human_Data_Entry!AM97="","",Human_Data_Entry!AM97)</f>
        <v/>
      </c>
      <c r="K99" s="103">
        <f>IF(Human_Data_Entry!AN97="","",Human_Data_Entry!AN97)</f>
        <v/>
      </c>
      <c r="L99" s="103">
        <f>IF(Human_Data_Entry!AO97="","",Human_Data_Entry!AO97)</f>
        <v/>
      </c>
      <c r="M99" s="103">
        <f>IF(Human_Data_Entry!BM97="","",Human_Data_Entry!BM97)</f>
        <v/>
      </c>
      <c r="N99" s="103">
        <f>IF(Human_Data_Entry!BN97="","",Human_Data_Entry!BN97)</f>
        <v/>
      </c>
      <c r="O99" s="103">
        <f>IF(Human_Data_Entry!BO97="","",Human_Data_Entry!BO97)</f>
        <v/>
      </c>
      <c r="P99" s="103">
        <f>IF(Human_Data_Entry!BP97="","",Human_Data_Entry!BP97)</f>
        <v/>
      </c>
      <c r="Q99" s="103">
        <f>IF(Human_Data_Entry!BQ97="","",Human_Data_Entry!BQ97)</f>
        <v/>
      </c>
      <c r="R99" s="103">
        <f>IF(Human_Data_Entry!BR97="","",Human_Data_Entry!BR97)</f>
        <v/>
      </c>
      <c r="S99" s="103">
        <f>IF(Human_Data_Entry!BS97="","",Human_Data_Entry!BS97)</f>
        <v/>
      </c>
      <c r="T99" s="103">
        <f>IF(Human_Data_Entry!BT97="","",Human_Data_Entry!BT97)</f>
        <v/>
      </c>
    </row>
    <row r="100" ht="15" customHeight="1" s="241">
      <c r="A100" s="103">
        <f>IF(Human_Data_Entry!A98="","",Human_Data_Entry!A98)</f>
        <v/>
      </c>
      <c r="B100" s="103">
        <f>IF(Human_Data_Entry!B98="","",Human_Data_Entry!B98)</f>
        <v/>
      </c>
      <c r="C100" s="104">
        <f>IF(Human_Data_Entry!C98="","",Human_Data_Entry!C98)</f>
        <v/>
      </c>
      <c r="D100" s="103">
        <f>IF(Human_Data_Entry!D98="","",Human_Data_Entry!D98)</f>
        <v/>
      </c>
      <c r="E100" s="103">
        <f>IF(Human_Data_Entry!G98="","",Human_Data_Entry!G98)</f>
        <v/>
      </c>
      <c r="F100" s="103">
        <f>IF(Human_Data_Entry!X98="","",Human_Data_Entry!X98)</f>
        <v/>
      </c>
      <c r="G100" s="103">
        <f>IF(Human_Data_Entry!AY98="","",Human_Data_Entry!AY98)</f>
        <v/>
      </c>
      <c r="H100" s="103">
        <f>IF(Human_Data_Entry!AZ98="","",Human_Data_Entry!AZ98)</f>
        <v/>
      </c>
      <c r="I100" s="103">
        <f>IF(Human_Data_Entry!AL98="","",Human_Data_Entry!AL98)</f>
        <v/>
      </c>
      <c r="J100" s="103">
        <f>IF(Human_Data_Entry!AM98="","",Human_Data_Entry!AM98)</f>
        <v/>
      </c>
      <c r="K100" s="103">
        <f>IF(Human_Data_Entry!AN98="","",Human_Data_Entry!AN98)</f>
        <v/>
      </c>
      <c r="L100" s="103">
        <f>IF(Human_Data_Entry!AO98="","",Human_Data_Entry!AO98)</f>
        <v/>
      </c>
      <c r="M100" s="103">
        <f>IF(Human_Data_Entry!BM98="","",Human_Data_Entry!BM98)</f>
        <v/>
      </c>
      <c r="N100" s="103">
        <f>IF(Human_Data_Entry!BN98="","",Human_Data_Entry!BN98)</f>
        <v/>
      </c>
      <c r="O100" s="103">
        <f>IF(Human_Data_Entry!BO98="","",Human_Data_Entry!BO98)</f>
        <v/>
      </c>
      <c r="P100" s="103">
        <f>IF(Human_Data_Entry!BP98="","",Human_Data_Entry!BP98)</f>
        <v/>
      </c>
      <c r="Q100" s="103">
        <f>IF(Human_Data_Entry!BQ98="","",Human_Data_Entry!BQ98)</f>
        <v/>
      </c>
      <c r="R100" s="103">
        <f>IF(Human_Data_Entry!BR98="","",Human_Data_Entry!BR98)</f>
        <v/>
      </c>
      <c r="S100" s="103">
        <f>IF(Human_Data_Entry!BS98="","",Human_Data_Entry!BS98)</f>
        <v/>
      </c>
      <c r="T100" s="103">
        <f>IF(Human_Data_Entry!BT98="","",Human_Data_Entry!BT98)</f>
        <v/>
      </c>
    </row>
    <row r="101" ht="15" customHeight="1" s="241">
      <c r="A101" s="103">
        <f>IF(Human_Data_Entry!A99="","",Human_Data_Entry!A99)</f>
        <v/>
      </c>
      <c r="B101" s="103">
        <f>IF(Human_Data_Entry!B99="","",Human_Data_Entry!B99)</f>
        <v/>
      </c>
      <c r="C101" s="104">
        <f>IF(Human_Data_Entry!C99="","",Human_Data_Entry!C99)</f>
        <v/>
      </c>
      <c r="D101" s="103">
        <f>IF(Human_Data_Entry!D99="","",Human_Data_Entry!D99)</f>
        <v/>
      </c>
      <c r="E101" s="103">
        <f>IF(Human_Data_Entry!G99="","",Human_Data_Entry!G99)</f>
        <v/>
      </c>
      <c r="F101" s="103">
        <f>IF(Human_Data_Entry!X99="","",Human_Data_Entry!X99)</f>
        <v/>
      </c>
      <c r="G101" s="103">
        <f>IF(Human_Data_Entry!AY99="","",Human_Data_Entry!AY99)</f>
        <v/>
      </c>
      <c r="H101" s="103">
        <f>IF(Human_Data_Entry!AZ99="","",Human_Data_Entry!AZ99)</f>
        <v/>
      </c>
      <c r="I101" s="103">
        <f>IF(Human_Data_Entry!AL99="","",Human_Data_Entry!AL99)</f>
        <v/>
      </c>
      <c r="J101" s="103">
        <f>IF(Human_Data_Entry!AM99="","",Human_Data_Entry!AM99)</f>
        <v/>
      </c>
      <c r="K101" s="103">
        <f>IF(Human_Data_Entry!AN99="","",Human_Data_Entry!AN99)</f>
        <v/>
      </c>
      <c r="L101" s="103">
        <f>IF(Human_Data_Entry!AO99="","",Human_Data_Entry!AO99)</f>
        <v/>
      </c>
      <c r="M101" s="103">
        <f>IF(Human_Data_Entry!BM99="","",Human_Data_Entry!BM99)</f>
        <v/>
      </c>
      <c r="N101" s="103">
        <f>IF(Human_Data_Entry!BN99="","",Human_Data_Entry!BN99)</f>
        <v/>
      </c>
      <c r="O101" s="103">
        <f>IF(Human_Data_Entry!BO99="","",Human_Data_Entry!BO99)</f>
        <v/>
      </c>
      <c r="P101" s="103">
        <f>IF(Human_Data_Entry!BP99="","",Human_Data_Entry!BP99)</f>
        <v/>
      </c>
      <c r="Q101" s="103">
        <f>IF(Human_Data_Entry!BQ99="","",Human_Data_Entry!BQ99)</f>
        <v/>
      </c>
      <c r="R101" s="103">
        <f>IF(Human_Data_Entry!BR99="","",Human_Data_Entry!BR99)</f>
        <v/>
      </c>
      <c r="S101" s="103">
        <f>IF(Human_Data_Entry!BS99="","",Human_Data_Entry!BS99)</f>
        <v/>
      </c>
      <c r="T101" s="103">
        <f>IF(Human_Data_Entry!BT99="","",Human_Data_Entry!BT99)</f>
        <v/>
      </c>
    </row>
    <row r="102" ht="15" customHeight="1" s="241">
      <c r="A102" s="103">
        <f>IF(Human_Data_Entry!A100="","",Human_Data_Entry!A100)</f>
        <v/>
      </c>
      <c r="B102" s="103">
        <f>IF(Human_Data_Entry!B100="","",Human_Data_Entry!B100)</f>
        <v/>
      </c>
      <c r="C102" s="104">
        <f>IF(Human_Data_Entry!C100="","",Human_Data_Entry!C100)</f>
        <v/>
      </c>
      <c r="D102" s="103">
        <f>IF(Human_Data_Entry!D100="","",Human_Data_Entry!D100)</f>
        <v/>
      </c>
      <c r="E102" s="103">
        <f>IF(Human_Data_Entry!G100="","",Human_Data_Entry!G100)</f>
        <v/>
      </c>
      <c r="F102" s="103">
        <f>IF(Human_Data_Entry!X100="","",Human_Data_Entry!X100)</f>
        <v/>
      </c>
      <c r="G102" s="103">
        <f>IF(Human_Data_Entry!AY100="","",Human_Data_Entry!AY100)</f>
        <v/>
      </c>
      <c r="H102" s="103">
        <f>IF(Human_Data_Entry!AZ100="","",Human_Data_Entry!AZ100)</f>
        <v/>
      </c>
      <c r="I102" s="103">
        <f>IF(Human_Data_Entry!AL100="","",Human_Data_Entry!AL100)</f>
        <v/>
      </c>
      <c r="J102" s="103">
        <f>IF(Human_Data_Entry!AM100="","",Human_Data_Entry!AM100)</f>
        <v/>
      </c>
      <c r="K102" s="103">
        <f>IF(Human_Data_Entry!AN100="","",Human_Data_Entry!AN100)</f>
        <v/>
      </c>
      <c r="L102" s="103">
        <f>IF(Human_Data_Entry!AO100="","",Human_Data_Entry!AO100)</f>
        <v/>
      </c>
      <c r="M102" s="103">
        <f>IF(Human_Data_Entry!BM100="","",Human_Data_Entry!BM100)</f>
        <v/>
      </c>
      <c r="N102" s="103">
        <f>IF(Human_Data_Entry!BN100="","",Human_Data_Entry!BN100)</f>
        <v/>
      </c>
      <c r="O102" s="103">
        <f>IF(Human_Data_Entry!BO100="","",Human_Data_Entry!BO100)</f>
        <v/>
      </c>
      <c r="P102" s="103">
        <f>IF(Human_Data_Entry!BP100="","",Human_Data_Entry!BP100)</f>
        <v/>
      </c>
      <c r="Q102" s="103">
        <f>IF(Human_Data_Entry!BQ100="","",Human_Data_Entry!BQ100)</f>
        <v/>
      </c>
      <c r="R102" s="103">
        <f>IF(Human_Data_Entry!BR100="","",Human_Data_Entry!BR100)</f>
        <v/>
      </c>
      <c r="S102" s="103">
        <f>IF(Human_Data_Entry!BS100="","",Human_Data_Entry!BS100)</f>
        <v/>
      </c>
      <c r="T102" s="103">
        <f>IF(Human_Data_Entry!BT100="","",Human_Data_Entry!BT100)</f>
        <v/>
      </c>
    </row>
    <row r="103" ht="15" customHeight="1" s="241">
      <c r="A103" s="103">
        <f>IF(Human_Data_Entry!A101="","",Human_Data_Entry!A101)</f>
        <v/>
      </c>
      <c r="B103" s="103">
        <f>IF(Human_Data_Entry!B101="","",Human_Data_Entry!B101)</f>
        <v/>
      </c>
      <c r="C103" s="104">
        <f>IF(Human_Data_Entry!C101="","",Human_Data_Entry!C101)</f>
        <v/>
      </c>
      <c r="D103" s="103">
        <f>IF(Human_Data_Entry!D101="","",Human_Data_Entry!D101)</f>
        <v/>
      </c>
      <c r="E103" s="103">
        <f>IF(Human_Data_Entry!G101="","",Human_Data_Entry!G101)</f>
        <v/>
      </c>
      <c r="F103" s="103">
        <f>IF(Human_Data_Entry!X101="","",Human_Data_Entry!X101)</f>
        <v/>
      </c>
      <c r="G103" s="103">
        <f>IF(Human_Data_Entry!AY101="","",Human_Data_Entry!AY101)</f>
        <v/>
      </c>
      <c r="H103" s="103">
        <f>IF(Human_Data_Entry!AZ101="","",Human_Data_Entry!AZ101)</f>
        <v/>
      </c>
      <c r="I103" s="103">
        <f>IF(Human_Data_Entry!AL101="","",Human_Data_Entry!AL101)</f>
        <v/>
      </c>
      <c r="J103" s="103">
        <f>IF(Human_Data_Entry!AM101="","",Human_Data_Entry!AM101)</f>
        <v/>
      </c>
      <c r="K103" s="103">
        <f>IF(Human_Data_Entry!AN101="","",Human_Data_Entry!AN101)</f>
        <v/>
      </c>
      <c r="L103" s="103">
        <f>IF(Human_Data_Entry!AO101="","",Human_Data_Entry!AO101)</f>
        <v/>
      </c>
      <c r="M103" s="103">
        <f>IF(Human_Data_Entry!BM101="","",Human_Data_Entry!BM101)</f>
        <v/>
      </c>
      <c r="N103" s="103">
        <f>IF(Human_Data_Entry!BN101="","",Human_Data_Entry!BN101)</f>
        <v/>
      </c>
      <c r="O103" s="103">
        <f>IF(Human_Data_Entry!BO101="","",Human_Data_Entry!BO101)</f>
        <v/>
      </c>
      <c r="P103" s="103">
        <f>IF(Human_Data_Entry!BP101="","",Human_Data_Entry!BP101)</f>
        <v/>
      </c>
      <c r="Q103" s="103">
        <f>IF(Human_Data_Entry!BQ101="","",Human_Data_Entry!BQ101)</f>
        <v/>
      </c>
      <c r="R103" s="103">
        <f>IF(Human_Data_Entry!BR101="","",Human_Data_Entry!BR101)</f>
        <v/>
      </c>
      <c r="S103" s="103">
        <f>IF(Human_Data_Entry!BS101="","",Human_Data_Entry!BS101)</f>
        <v/>
      </c>
      <c r="T103" s="103">
        <f>IF(Human_Data_Entry!BT101="","",Human_Data_Entry!BT101)</f>
        <v/>
      </c>
    </row>
    <row r="104" ht="15" customHeight="1" s="241">
      <c r="A104" s="103">
        <f>IF(Human_Data_Entry!A102="","",Human_Data_Entry!A102)</f>
        <v/>
      </c>
      <c r="B104" s="103">
        <f>IF(Human_Data_Entry!B102="","",Human_Data_Entry!B102)</f>
        <v/>
      </c>
      <c r="C104" s="104">
        <f>IF(Human_Data_Entry!C102="","",Human_Data_Entry!C102)</f>
        <v/>
      </c>
      <c r="D104" s="103">
        <f>IF(Human_Data_Entry!D102="","",Human_Data_Entry!D102)</f>
        <v/>
      </c>
      <c r="E104" s="103">
        <f>IF(Human_Data_Entry!G102="","",Human_Data_Entry!G102)</f>
        <v/>
      </c>
      <c r="F104" s="103">
        <f>IF(Human_Data_Entry!X102="","",Human_Data_Entry!X102)</f>
        <v/>
      </c>
      <c r="G104" s="103">
        <f>IF(Human_Data_Entry!AY102="","",Human_Data_Entry!AY102)</f>
        <v/>
      </c>
      <c r="H104" s="103">
        <f>IF(Human_Data_Entry!AZ102="","",Human_Data_Entry!AZ102)</f>
        <v/>
      </c>
      <c r="I104" s="103">
        <f>IF(Human_Data_Entry!AL102="","",Human_Data_Entry!AL102)</f>
        <v/>
      </c>
      <c r="J104" s="103">
        <f>IF(Human_Data_Entry!AM102="","",Human_Data_Entry!AM102)</f>
        <v/>
      </c>
      <c r="K104" s="103">
        <f>IF(Human_Data_Entry!AN102="","",Human_Data_Entry!AN102)</f>
        <v/>
      </c>
      <c r="L104" s="103">
        <f>IF(Human_Data_Entry!AO102="","",Human_Data_Entry!AO102)</f>
        <v/>
      </c>
      <c r="M104" s="103">
        <f>IF(Human_Data_Entry!BM102="","",Human_Data_Entry!BM102)</f>
        <v/>
      </c>
      <c r="N104" s="103">
        <f>IF(Human_Data_Entry!BN102="","",Human_Data_Entry!BN102)</f>
        <v/>
      </c>
      <c r="O104" s="103">
        <f>IF(Human_Data_Entry!BO102="","",Human_Data_Entry!BO102)</f>
        <v/>
      </c>
      <c r="P104" s="103">
        <f>IF(Human_Data_Entry!BP102="","",Human_Data_Entry!BP102)</f>
        <v/>
      </c>
      <c r="Q104" s="103">
        <f>IF(Human_Data_Entry!BQ102="","",Human_Data_Entry!BQ102)</f>
        <v/>
      </c>
      <c r="R104" s="103">
        <f>IF(Human_Data_Entry!BR102="","",Human_Data_Entry!BR102)</f>
        <v/>
      </c>
      <c r="S104" s="103">
        <f>IF(Human_Data_Entry!BS102="","",Human_Data_Entry!BS102)</f>
        <v/>
      </c>
      <c r="T104" s="103">
        <f>IF(Human_Data_Entry!BT102="","",Human_Data_Entry!BT102)</f>
        <v/>
      </c>
    </row>
    <row r="105" ht="15" customHeight="1" s="241">
      <c r="A105" s="103">
        <f>IF(Human_Data_Entry!A103="","",Human_Data_Entry!A103)</f>
        <v/>
      </c>
      <c r="B105" s="103">
        <f>IF(Human_Data_Entry!B103="","",Human_Data_Entry!B103)</f>
        <v/>
      </c>
      <c r="C105" s="104">
        <f>IF(Human_Data_Entry!C103="","",Human_Data_Entry!C103)</f>
        <v/>
      </c>
      <c r="D105" s="103">
        <f>IF(Human_Data_Entry!D103="","",Human_Data_Entry!D103)</f>
        <v/>
      </c>
      <c r="E105" s="103">
        <f>IF(Human_Data_Entry!G103="","",Human_Data_Entry!G103)</f>
        <v/>
      </c>
      <c r="F105" s="103">
        <f>IF(Human_Data_Entry!X103="","",Human_Data_Entry!X103)</f>
        <v/>
      </c>
      <c r="G105" s="103">
        <f>IF(Human_Data_Entry!AY103="","",Human_Data_Entry!AY103)</f>
        <v/>
      </c>
      <c r="H105" s="103">
        <f>IF(Human_Data_Entry!AZ103="","",Human_Data_Entry!AZ103)</f>
        <v/>
      </c>
      <c r="I105" s="103">
        <f>IF(Human_Data_Entry!AL103="","",Human_Data_Entry!AL103)</f>
        <v/>
      </c>
      <c r="J105" s="103">
        <f>IF(Human_Data_Entry!AM103="","",Human_Data_Entry!AM103)</f>
        <v/>
      </c>
      <c r="K105" s="103">
        <f>IF(Human_Data_Entry!AN103="","",Human_Data_Entry!AN103)</f>
        <v/>
      </c>
      <c r="L105" s="103">
        <f>IF(Human_Data_Entry!AO103="","",Human_Data_Entry!AO103)</f>
        <v/>
      </c>
      <c r="M105" s="103">
        <f>IF(Human_Data_Entry!BM103="","",Human_Data_Entry!BM103)</f>
        <v/>
      </c>
      <c r="N105" s="103">
        <f>IF(Human_Data_Entry!BN103="","",Human_Data_Entry!BN103)</f>
        <v/>
      </c>
      <c r="O105" s="103">
        <f>IF(Human_Data_Entry!BO103="","",Human_Data_Entry!BO103)</f>
        <v/>
      </c>
      <c r="P105" s="103">
        <f>IF(Human_Data_Entry!BP103="","",Human_Data_Entry!BP103)</f>
        <v/>
      </c>
      <c r="Q105" s="103">
        <f>IF(Human_Data_Entry!BQ103="","",Human_Data_Entry!BQ103)</f>
        <v/>
      </c>
      <c r="R105" s="103">
        <f>IF(Human_Data_Entry!BR103="","",Human_Data_Entry!BR103)</f>
        <v/>
      </c>
      <c r="S105" s="103">
        <f>IF(Human_Data_Entry!BS103="","",Human_Data_Entry!BS103)</f>
        <v/>
      </c>
      <c r="T105" s="103">
        <f>IF(Human_Data_Entry!BT103="","",Human_Data_Entry!BT103)</f>
        <v/>
      </c>
    </row>
    <row r="106" ht="15" customHeight="1" s="241">
      <c r="A106" s="103">
        <f>IF(Human_Data_Entry!A104="","",Human_Data_Entry!A104)</f>
        <v/>
      </c>
      <c r="B106" s="103">
        <f>IF(Human_Data_Entry!B104="","",Human_Data_Entry!B104)</f>
        <v/>
      </c>
      <c r="C106" s="104">
        <f>IF(Human_Data_Entry!C104="","",Human_Data_Entry!C104)</f>
        <v/>
      </c>
      <c r="D106" s="103">
        <f>IF(Human_Data_Entry!D104="","",Human_Data_Entry!D104)</f>
        <v/>
      </c>
      <c r="E106" s="103">
        <f>IF(Human_Data_Entry!G104="","",Human_Data_Entry!G104)</f>
        <v/>
      </c>
      <c r="F106" s="103">
        <f>IF(Human_Data_Entry!X104="","",Human_Data_Entry!X104)</f>
        <v/>
      </c>
      <c r="G106" s="103">
        <f>IF(Human_Data_Entry!AY104="","",Human_Data_Entry!AY104)</f>
        <v/>
      </c>
      <c r="H106" s="103">
        <f>IF(Human_Data_Entry!AZ104="","",Human_Data_Entry!AZ104)</f>
        <v/>
      </c>
      <c r="I106" s="103">
        <f>IF(Human_Data_Entry!AL104="","",Human_Data_Entry!AL104)</f>
        <v/>
      </c>
      <c r="J106" s="103">
        <f>IF(Human_Data_Entry!AM104="","",Human_Data_Entry!AM104)</f>
        <v/>
      </c>
      <c r="K106" s="103">
        <f>IF(Human_Data_Entry!AN104="","",Human_Data_Entry!AN104)</f>
        <v/>
      </c>
      <c r="L106" s="103">
        <f>IF(Human_Data_Entry!AO104="","",Human_Data_Entry!AO104)</f>
        <v/>
      </c>
      <c r="M106" s="103">
        <f>IF(Human_Data_Entry!BM104="","",Human_Data_Entry!BM104)</f>
        <v/>
      </c>
      <c r="N106" s="103">
        <f>IF(Human_Data_Entry!BN104="","",Human_Data_Entry!BN104)</f>
        <v/>
      </c>
      <c r="O106" s="103">
        <f>IF(Human_Data_Entry!BO104="","",Human_Data_Entry!BO104)</f>
        <v/>
      </c>
      <c r="P106" s="103">
        <f>IF(Human_Data_Entry!BP104="","",Human_Data_Entry!BP104)</f>
        <v/>
      </c>
      <c r="Q106" s="103">
        <f>IF(Human_Data_Entry!BQ104="","",Human_Data_Entry!BQ104)</f>
        <v/>
      </c>
      <c r="R106" s="103">
        <f>IF(Human_Data_Entry!BR104="","",Human_Data_Entry!BR104)</f>
        <v/>
      </c>
      <c r="S106" s="103">
        <f>IF(Human_Data_Entry!BS104="","",Human_Data_Entry!BS104)</f>
        <v/>
      </c>
      <c r="T106" s="103">
        <f>IF(Human_Data_Entry!BT104="","",Human_Data_Entry!BT104)</f>
        <v/>
      </c>
    </row>
    <row r="107" ht="15" customHeight="1" s="241">
      <c r="A107" s="103">
        <f>IF(Human_Data_Entry!A105="","",Human_Data_Entry!A105)</f>
        <v/>
      </c>
      <c r="B107" s="103">
        <f>IF(Human_Data_Entry!B105="","",Human_Data_Entry!B105)</f>
        <v/>
      </c>
      <c r="C107" s="104">
        <f>IF(Human_Data_Entry!C105="","",Human_Data_Entry!C105)</f>
        <v/>
      </c>
      <c r="D107" s="103">
        <f>IF(Human_Data_Entry!D105="","",Human_Data_Entry!D105)</f>
        <v/>
      </c>
      <c r="E107" s="103">
        <f>IF(Human_Data_Entry!G105="","",Human_Data_Entry!G105)</f>
        <v/>
      </c>
      <c r="F107" s="103">
        <f>IF(Human_Data_Entry!X105="","",Human_Data_Entry!X105)</f>
        <v/>
      </c>
      <c r="G107" s="103">
        <f>IF(Human_Data_Entry!AY105="","",Human_Data_Entry!AY105)</f>
        <v/>
      </c>
      <c r="H107" s="103">
        <f>IF(Human_Data_Entry!AZ105="","",Human_Data_Entry!AZ105)</f>
        <v/>
      </c>
      <c r="I107" s="103">
        <f>IF(Human_Data_Entry!AL105="","",Human_Data_Entry!AL105)</f>
        <v/>
      </c>
      <c r="J107" s="103">
        <f>IF(Human_Data_Entry!AM105="","",Human_Data_Entry!AM105)</f>
        <v/>
      </c>
      <c r="K107" s="103">
        <f>IF(Human_Data_Entry!AN105="","",Human_Data_Entry!AN105)</f>
        <v/>
      </c>
      <c r="L107" s="103">
        <f>IF(Human_Data_Entry!AO105="","",Human_Data_Entry!AO105)</f>
        <v/>
      </c>
      <c r="M107" s="103">
        <f>IF(Human_Data_Entry!BM105="","",Human_Data_Entry!BM105)</f>
        <v/>
      </c>
      <c r="N107" s="103">
        <f>IF(Human_Data_Entry!BN105="","",Human_Data_Entry!BN105)</f>
        <v/>
      </c>
      <c r="O107" s="103">
        <f>IF(Human_Data_Entry!BO105="","",Human_Data_Entry!BO105)</f>
        <v/>
      </c>
      <c r="P107" s="103">
        <f>IF(Human_Data_Entry!BP105="","",Human_Data_Entry!BP105)</f>
        <v/>
      </c>
      <c r="Q107" s="103">
        <f>IF(Human_Data_Entry!BQ105="","",Human_Data_Entry!BQ105)</f>
        <v/>
      </c>
      <c r="R107" s="103">
        <f>IF(Human_Data_Entry!BR105="","",Human_Data_Entry!BR105)</f>
        <v/>
      </c>
      <c r="S107" s="103">
        <f>IF(Human_Data_Entry!BS105="","",Human_Data_Entry!BS105)</f>
        <v/>
      </c>
      <c r="T107" s="103">
        <f>IF(Human_Data_Entry!BT105="","",Human_Data_Entry!BT105)</f>
        <v/>
      </c>
    </row>
    <row r="108" ht="15" customHeight="1" s="241">
      <c r="A108" s="103">
        <f>IF(Human_Data_Entry!A106="","",Human_Data_Entry!A106)</f>
        <v/>
      </c>
      <c r="B108" s="103">
        <f>IF(Human_Data_Entry!B106="","",Human_Data_Entry!B106)</f>
        <v/>
      </c>
      <c r="C108" s="104">
        <f>IF(Human_Data_Entry!C106="","",Human_Data_Entry!C106)</f>
        <v/>
      </c>
      <c r="D108" s="103">
        <f>IF(Human_Data_Entry!D106="","",Human_Data_Entry!D106)</f>
        <v/>
      </c>
      <c r="E108" s="103">
        <f>IF(Human_Data_Entry!G106="","",Human_Data_Entry!G106)</f>
        <v/>
      </c>
      <c r="F108" s="103">
        <f>IF(Human_Data_Entry!X106="","",Human_Data_Entry!X106)</f>
        <v/>
      </c>
      <c r="G108" s="103">
        <f>IF(Human_Data_Entry!AY106="","",Human_Data_Entry!AY106)</f>
        <v/>
      </c>
      <c r="H108" s="103">
        <f>IF(Human_Data_Entry!AZ106="","",Human_Data_Entry!AZ106)</f>
        <v/>
      </c>
      <c r="I108" s="103">
        <f>IF(Human_Data_Entry!AL106="","",Human_Data_Entry!AL106)</f>
        <v/>
      </c>
      <c r="J108" s="103">
        <f>IF(Human_Data_Entry!AM106="","",Human_Data_Entry!AM106)</f>
        <v/>
      </c>
      <c r="K108" s="103">
        <f>IF(Human_Data_Entry!AN106="","",Human_Data_Entry!AN106)</f>
        <v/>
      </c>
      <c r="L108" s="103">
        <f>IF(Human_Data_Entry!AO106="","",Human_Data_Entry!AO106)</f>
        <v/>
      </c>
      <c r="M108" s="103">
        <f>IF(Human_Data_Entry!BM106="","",Human_Data_Entry!BM106)</f>
        <v/>
      </c>
      <c r="N108" s="103">
        <f>IF(Human_Data_Entry!BN106="","",Human_Data_Entry!BN106)</f>
        <v/>
      </c>
      <c r="O108" s="103">
        <f>IF(Human_Data_Entry!BO106="","",Human_Data_Entry!BO106)</f>
        <v/>
      </c>
      <c r="P108" s="103">
        <f>IF(Human_Data_Entry!BP106="","",Human_Data_Entry!BP106)</f>
        <v/>
      </c>
      <c r="Q108" s="103">
        <f>IF(Human_Data_Entry!BQ106="","",Human_Data_Entry!BQ106)</f>
        <v/>
      </c>
      <c r="R108" s="103">
        <f>IF(Human_Data_Entry!BR106="","",Human_Data_Entry!BR106)</f>
        <v/>
      </c>
      <c r="S108" s="103">
        <f>IF(Human_Data_Entry!BS106="","",Human_Data_Entry!BS106)</f>
        <v/>
      </c>
      <c r="T108" s="103">
        <f>IF(Human_Data_Entry!BT106="","",Human_Data_Entry!BT106)</f>
        <v/>
      </c>
    </row>
    <row r="109" ht="15" customHeight="1" s="241">
      <c r="A109" s="103">
        <f>IF(Human_Data_Entry!A107="","",Human_Data_Entry!A107)</f>
        <v/>
      </c>
      <c r="B109" s="103">
        <f>IF(Human_Data_Entry!B107="","",Human_Data_Entry!B107)</f>
        <v/>
      </c>
      <c r="C109" s="104">
        <f>IF(Human_Data_Entry!C107="","",Human_Data_Entry!C107)</f>
        <v/>
      </c>
      <c r="D109" s="103">
        <f>IF(Human_Data_Entry!D107="","",Human_Data_Entry!D107)</f>
        <v/>
      </c>
      <c r="E109" s="103">
        <f>IF(Human_Data_Entry!G107="","",Human_Data_Entry!G107)</f>
        <v/>
      </c>
      <c r="F109" s="103">
        <f>IF(Human_Data_Entry!X107="","",Human_Data_Entry!X107)</f>
        <v/>
      </c>
      <c r="G109" s="103">
        <f>IF(Human_Data_Entry!AY107="","",Human_Data_Entry!AY107)</f>
        <v/>
      </c>
      <c r="H109" s="103">
        <f>IF(Human_Data_Entry!AZ107="","",Human_Data_Entry!AZ107)</f>
        <v/>
      </c>
      <c r="I109" s="103">
        <f>IF(Human_Data_Entry!AL107="","",Human_Data_Entry!AL107)</f>
        <v/>
      </c>
      <c r="J109" s="103">
        <f>IF(Human_Data_Entry!AM107="","",Human_Data_Entry!AM107)</f>
        <v/>
      </c>
      <c r="K109" s="103">
        <f>IF(Human_Data_Entry!AN107="","",Human_Data_Entry!AN107)</f>
        <v/>
      </c>
      <c r="L109" s="103">
        <f>IF(Human_Data_Entry!AO107="","",Human_Data_Entry!AO107)</f>
        <v/>
      </c>
      <c r="M109" s="103">
        <f>IF(Human_Data_Entry!BM107="","",Human_Data_Entry!BM107)</f>
        <v/>
      </c>
      <c r="N109" s="103">
        <f>IF(Human_Data_Entry!BN107="","",Human_Data_Entry!BN107)</f>
        <v/>
      </c>
      <c r="O109" s="103">
        <f>IF(Human_Data_Entry!BO107="","",Human_Data_Entry!BO107)</f>
        <v/>
      </c>
      <c r="P109" s="103">
        <f>IF(Human_Data_Entry!BP107="","",Human_Data_Entry!BP107)</f>
        <v/>
      </c>
      <c r="Q109" s="103">
        <f>IF(Human_Data_Entry!BQ107="","",Human_Data_Entry!BQ107)</f>
        <v/>
      </c>
      <c r="R109" s="103">
        <f>IF(Human_Data_Entry!BR107="","",Human_Data_Entry!BR107)</f>
        <v/>
      </c>
      <c r="S109" s="103">
        <f>IF(Human_Data_Entry!BS107="","",Human_Data_Entry!BS107)</f>
        <v/>
      </c>
      <c r="T109" s="103">
        <f>IF(Human_Data_Entry!BT107="","",Human_Data_Entry!BT107)</f>
        <v/>
      </c>
    </row>
    <row r="110" ht="15" customHeight="1" s="241">
      <c r="A110" s="103">
        <f>IF(Human_Data_Entry!A108="","",Human_Data_Entry!A108)</f>
        <v/>
      </c>
      <c r="B110" s="103">
        <f>IF(Human_Data_Entry!B108="","",Human_Data_Entry!B108)</f>
        <v/>
      </c>
      <c r="C110" s="104">
        <f>IF(Human_Data_Entry!C108="","",Human_Data_Entry!C108)</f>
        <v/>
      </c>
      <c r="D110" s="103">
        <f>IF(Human_Data_Entry!D108="","",Human_Data_Entry!D108)</f>
        <v/>
      </c>
      <c r="E110" s="103">
        <f>IF(Human_Data_Entry!G108="","",Human_Data_Entry!G108)</f>
        <v/>
      </c>
      <c r="F110" s="103">
        <f>IF(Human_Data_Entry!X108="","",Human_Data_Entry!X108)</f>
        <v/>
      </c>
      <c r="G110" s="103">
        <f>IF(Human_Data_Entry!AY108="","",Human_Data_Entry!AY108)</f>
        <v/>
      </c>
      <c r="H110" s="103">
        <f>IF(Human_Data_Entry!AZ108="","",Human_Data_Entry!AZ108)</f>
        <v/>
      </c>
      <c r="I110" s="103">
        <f>IF(Human_Data_Entry!AL108="","",Human_Data_Entry!AL108)</f>
        <v/>
      </c>
      <c r="J110" s="103">
        <f>IF(Human_Data_Entry!AM108="","",Human_Data_Entry!AM108)</f>
        <v/>
      </c>
      <c r="K110" s="103">
        <f>IF(Human_Data_Entry!AN108="","",Human_Data_Entry!AN108)</f>
        <v/>
      </c>
      <c r="L110" s="103">
        <f>IF(Human_Data_Entry!AO108="","",Human_Data_Entry!AO108)</f>
        <v/>
      </c>
      <c r="M110" s="103">
        <f>IF(Human_Data_Entry!BM108="","",Human_Data_Entry!BM108)</f>
        <v/>
      </c>
      <c r="N110" s="103">
        <f>IF(Human_Data_Entry!BN108="","",Human_Data_Entry!BN108)</f>
        <v/>
      </c>
      <c r="O110" s="103">
        <f>IF(Human_Data_Entry!BO108="","",Human_Data_Entry!BO108)</f>
        <v/>
      </c>
      <c r="P110" s="103">
        <f>IF(Human_Data_Entry!BP108="","",Human_Data_Entry!BP108)</f>
        <v/>
      </c>
      <c r="Q110" s="103">
        <f>IF(Human_Data_Entry!BQ108="","",Human_Data_Entry!BQ108)</f>
        <v/>
      </c>
      <c r="R110" s="103">
        <f>IF(Human_Data_Entry!BR108="","",Human_Data_Entry!BR108)</f>
        <v/>
      </c>
      <c r="S110" s="103">
        <f>IF(Human_Data_Entry!BS108="","",Human_Data_Entry!BS108)</f>
        <v/>
      </c>
      <c r="T110" s="103">
        <f>IF(Human_Data_Entry!BT108="","",Human_Data_Entry!BT108)</f>
        <v/>
      </c>
    </row>
    <row r="111" ht="15" customHeight="1" s="241">
      <c r="A111" s="103">
        <f>IF(Human_Data_Entry!A109="","",Human_Data_Entry!A109)</f>
        <v/>
      </c>
      <c r="B111" s="103">
        <f>IF(Human_Data_Entry!B109="","",Human_Data_Entry!B109)</f>
        <v/>
      </c>
      <c r="C111" s="104">
        <f>IF(Human_Data_Entry!C109="","",Human_Data_Entry!C109)</f>
        <v/>
      </c>
      <c r="D111" s="103">
        <f>IF(Human_Data_Entry!D109="","",Human_Data_Entry!D109)</f>
        <v/>
      </c>
      <c r="E111" s="103">
        <f>IF(Human_Data_Entry!G109="","",Human_Data_Entry!G109)</f>
        <v/>
      </c>
      <c r="F111" s="103">
        <f>IF(Human_Data_Entry!X109="","",Human_Data_Entry!X109)</f>
        <v/>
      </c>
      <c r="G111" s="103">
        <f>IF(Human_Data_Entry!AY109="","",Human_Data_Entry!AY109)</f>
        <v/>
      </c>
      <c r="H111" s="103">
        <f>IF(Human_Data_Entry!AZ109="","",Human_Data_Entry!AZ109)</f>
        <v/>
      </c>
      <c r="I111" s="103">
        <f>IF(Human_Data_Entry!AL109="","",Human_Data_Entry!AL109)</f>
        <v/>
      </c>
      <c r="J111" s="103">
        <f>IF(Human_Data_Entry!AM109="","",Human_Data_Entry!AM109)</f>
        <v/>
      </c>
      <c r="K111" s="103">
        <f>IF(Human_Data_Entry!AN109="","",Human_Data_Entry!AN109)</f>
        <v/>
      </c>
      <c r="L111" s="103">
        <f>IF(Human_Data_Entry!AO109="","",Human_Data_Entry!AO109)</f>
        <v/>
      </c>
      <c r="M111" s="103">
        <f>IF(Human_Data_Entry!BM109="","",Human_Data_Entry!BM109)</f>
        <v/>
      </c>
      <c r="N111" s="103">
        <f>IF(Human_Data_Entry!BN109="","",Human_Data_Entry!BN109)</f>
        <v/>
      </c>
      <c r="O111" s="103">
        <f>IF(Human_Data_Entry!BO109="","",Human_Data_Entry!BO109)</f>
        <v/>
      </c>
      <c r="P111" s="103">
        <f>IF(Human_Data_Entry!BP109="","",Human_Data_Entry!BP109)</f>
        <v/>
      </c>
      <c r="Q111" s="103">
        <f>IF(Human_Data_Entry!BQ109="","",Human_Data_Entry!BQ109)</f>
        <v/>
      </c>
      <c r="R111" s="103">
        <f>IF(Human_Data_Entry!BR109="","",Human_Data_Entry!BR109)</f>
        <v/>
      </c>
      <c r="S111" s="103">
        <f>IF(Human_Data_Entry!BS109="","",Human_Data_Entry!BS109)</f>
        <v/>
      </c>
      <c r="T111" s="103">
        <f>IF(Human_Data_Entry!BT109="","",Human_Data_Entry!BT109)</f>
        <v/>
      </c>
    </row>
    <row r="112" ht="15" customHeight="1" s="241">
      <c r="A112" s="103">
        <f>IF(Human_Data_Entry!A110="","",Human_Data_Entry!A110)</f>
        <v/>
      </c>
      <c r="B112" s="103">
        <f>IF(Human_Data_Entry!B110="","",Human_Data_Entry!B110)</f>
        <v/>
      </c>
      <c r="C112" s="104">
        <f>IF(Human_Data_Entry!C110="","",Human_Data_Entry!C110)</f>
        <v/>
      </c>
      <c r="D112" s="103">
        <f>IF(Human_Data_Entry!D110="","",Human_Data_Entry!D110)</f>
        <v/>
      </c>
      <c r="E112" s="103">
        <f>IF(Human_Data_Entry!G110="","",Human_Data_Entry!G110)</f>
        <v/>
      </c>
      <c r="F112" s="103">
        <f>IF(Human_Data_Entry!X110="","",Human_Data_Entry!X110)</f>
        <v/>
      </c>
      <c r="G112" s="103">
        <f>IF(Human_Data_Entry!AY110="","",Human_Data_Entry!AY110)</f>
        <v/>
      </c>
      <c r="H112" s="103">
        <f>IF(Human_Data_Entry!AZ110="","",Human_Data_Entry!AZ110)</f>
        <v/>
      </c>
      <c r="I112" s="103">
        <f>IF(Human_Data_Entry!AL110="","",Human_Data_Entry!AL110)</f>
        <v/>
      </c>
      <c r="J112" s="103">
        <f>IF(Human_Data_Entry!AM110="","",Human_Data_Entry!AM110)</f>
        <v/>
      </c>
      <c r="K112" s="103">
        <f>IF(Human_Data_Entry!AN110="","",Human_Data_Entry!AN110)</f>
        <v/>
      </c>
      <c r="L112" s="103">
        <f>IF(Human_Data_Entry!AO110="","",Human_Data_Entry!AO110)</f>
        <v/>
      </c>
      <c r="M112" s="103">
        <f>IF(Human_Data_Entry!BM110="","",Human_Data_Entry!BM110)</f>
        <v/>
      </c>
      <c r="N112" s="103">
        <f>IF(Human_Data_Entry!BN110="","",Human_Data_Entry!BN110)</f>
        <v/>
      </c>
      <c r="O112" s="103">
        <f>IF(Human_Data_Entry!BO110="","",Human_Data_Entry!BO110)</f>
        <v/>
      </c>
      <c r="P112" s="103">
        <f>IF(Human_Data_Entry!BP110="","",Human_Data_Entry!BP110)</f>
        <v/>
      </c>
      <c r="Q112" s="103">
        <f>IF(Human_Data_Entry!BQ110="","",Human_Data_Entry!BQ110)</f>
        <v/>
      </c>
      <c r="R112" s="103">
        <f>IF(Human_Data_Entry!BR110="","",Human_Data_Entry!BR110)</f>
        <v/>
      </c>
      <c r="S112" s="103">
        <f>IF(Human_Data_Entry!BS110="","",Human_Data_Entry!BS110)</f>
        <v/>
      </c>
      <c r="T112" s="103">
        <f>IF(Human_Data_Entry!BT110="","",Human_Data_Entry!BT110)</f>
        <v/>
      </c>
    </row>
    <row r="113" ht="15" customHeight="1" s="241">
      <c r="A113" s="103">
        <f>IF(Human_Data_Entry!A111="","",Human_Data_Entry!A111)</f>
        <v/>
      </c>
      <c r="B113" s="103">
        <f>IF(Human_Data_Entry!B111="","",Human_Data_Entry!B111)</f>
        <v/>
      </c>
      <c r="C113" s="104">
        <f>IF(Human_Data_Entry!C111="","",Human_Data_Entry!C111)</f>
        <v/>
      </c>
      <c r="D113" s="103">
        <f>IF(Human_Data_Entry!D111="","",Human_Data_Entry!D111)</f>
        <v/>
      </c>
      <c r="E113" s="103">
        <f>IF(Human_Data_Entry!G111="","",Human_Data_Entry!G111)</f>
        <v/>
      </c>
      <c r="F113" s="103">
        <f>IF(Human_Data_Entry!X111="","",Human_Data_Entry!X111)</f>
        <v/>
      </c>
      <c r="G113" s="103">
        <f>IF(Human_Data_Entry!AY111="","",Human_Data_Entry!AY111)</f>
        <v/>
      </c>
      <c r="H113" s="103">
        <f>IF(Human_Data_Entry!AZ111="","",Human_Data_Entry!AZ111)</f>
        <v/>
      </c>
      <c r="I113" s="103">
        <f>IF(Human_Data_Entry!AL111="","",Human_Data_Entry!AL111)</f>
        <v/>
      </c>
      <c r="J113" s="103">
        <f>IF(Human_Data_Entry!AM111="","",Human_Data_Entry!AM111)</f>
        <v/>
      </c>
      <c r="K113" s="103">
        <f>IF(Human_Data_Entry!AN111="","",Human_Data_Entry!AN111)</f>
        <v/>
      </c>
      <c r="L113" s="103">
        <f>IF(Human_Data_Entry!AO111="","",Human_Data_Entry!AO111)</f>
        <v/>
      </c>
      <c r="M113" s="103">
        <f>IF(Human_Data_Entry!BM111="","",Human_Data_Entry!BM111)</f>
        <v/>
      </c>
      <c r="N113" s="103">
        <f>IF(Human_Data_Entry!BN111="","",Human_Data_Entry!BN111)</f>
        <v/>
      </c>
      <c r="O113" s="103">
        <f>IF(Human_Data_Entry!BO111="","",Human_Data_Entry!BO111)</f>
        <v/>
      </c>
      <c r="P113" s="103">
        <f>IF(Human_Data_Entry!BP111="","",Human_Data_Entry!BP111)</f>
        <v/>
      </c>
      <c r="Q113" s="103">
        <f>IF(Human_Data_Entry!BQ111="","",Human_Data_Entry!BQ111)</f>
        <v/>
      </c>
      <c r="R113" s="103">
        <f>IF(Human_Data_Entry!BR111="","",Human_Data_Entry!BR111)</f>
        <v/>
      </c>
      <c r="S113" s="103">
        <f>IF(Human_Data_Entry!BS111="","",Human_Data_Entry!BS111)</f>
        <v/>
      </c>
      <c r="T113" s="103">
        <f>IF(Human_Data_Entry!BT111="","",Human_Data_Entry!BT111)</f>
        <v/>
      </c>
    </row>
    <row r="114" ht="15" customHeight="1" s="241">
      <c r="A114" s="103">
        <f>IF(Human_Data_Entry!A112="","",Human_Data_Entry!A112)</f>
        <v/>
      </c>
      <c r="B114" s="103">
        <f>IF(Human_Data_Entry!B112="","",Human_Data_Entry!B112)</f>
        <v/>
      </c>
      <c r="C114" s="104">
        <f>IF(Human_Data_Entry!C112="","",Human_Data_Entry!C112)</f>
        <v/>
      </c>
      <c r="D114" s="103">
        <f>IF(Human_Data_Entry!D112="","",Human_Data_Entry!D112)</f>
        <v/>
      </c>
      <c r="E114" s="103">
        <f>IF(Human_Data_Entry!G112="","",Human_Data_Entry!G112)</f>
        <v/>
      </c>
      <c r="F114" s="103">
        <f>IF(Human_Data_Entry!X112="","",Human_Data_Entry!X112)</f>
        <v/>
      </c>
      <c r="G114" s="103">
        <f>IF(Human_Data_Entry!AY112="","",Human_Data_Entry!AY112)</f>
        <v/>
      </c>
      <c r="H114" s="103">
        <f>IF(Human_Data_Entry!AZ112="","",Human_Data_Entry!AZ112)</f>
        <v/>
      </c>
      <c r="I114" s="103">
        <f>IF(Human_Data_Entry!AL112="","",Human_Data_Entry!AL112)</f>
        <v/>
      </c>
      <c r="J114" s="103">
        <f>IF(Human_Data_Entry!AM112="","",Human_Data_Entry!AM112)</f>
        <v/>
      </c>
      <c r="K114" s="103">
        <f>IF(Human_Data_Entry!AN112="","",Human_Data_Entry!AN112)</f>
        <v/>
      </c>
      <c r="L114" s="103">
        <f>IF(Human_Data_Entry!AO112="","",Human_Data_Entry!AO112)</f>
        <v/>
      </c>
      <c r="M114" s="103">
        <f>IF(Human_Data_Entry!BM112="","",Human_Data_Entry!BM112)</f>
        <v/>
      </c>
      <c r="N114" s="103">
        <f>IF(Human_Data_Entry!BN112="","",Human_Data_Entry!BN112)</f>
        <v/>
      </c>
      <c r="O114" s="103">
        <f>IF(Human_Data_Entry!BO112="","",Human_Data_Entry!BO112)</f>
        <v/>
      </c>
      <c r="P114" s="103">
        <f>IF(Human_Data_Entry!BP112="","",Human_Data_Entry!BP112)</f>
        <v/>
      </c>
      <c r="Q114" s="103">
        <f>IF(Human_Data_Entry!BQ112="","",Human_Data_Entry!BQ112)</f>
        <v/>
      </c>
      <c r="R114" s="103">
        <f>IF(Human_Data_Entry!BR112="","",Human_Data_Entry!BR112)</f>
        <v/>
      </c>
      <c r="S114" s="103">
        <f>IF(Human_Data_Entry!BS112="","",Human_Data_Entry!BS112)</f>
        <v/>
      </c>
      <c r="T114" s="103">
        <f>IF(Human_Data_Entry!BT112="","",Human_Data_Entry!BT112)</f>
        <v/>
      </c>
    </row>
    <row r="115" ht="15" customHeight="1" s="241">
      <c r="A115" s="103">
        <f>IF(Human_Data_Entry!A113="","",Human_Data_Entry!A113)</f>
        <v/>
      </c>
      <c r="B115" s="103">
        <f>IF(Human_Data_Entry!B113="","",Human_Data_Entry!B113)</f>
        <v/>
      </c>
      <c r="C115" s="104">
        <f>IF(Human_Data_Entry!C113="","",Human_Data_Entry!C113)</f>
        <v/>
      </c>
      <c r="D115" s="103">
        <f>IF(Human_Data_Entry!D113="","",Human_Data_Entry!D113)</f>
        <v/>
      </c>
      <c r="E115" s="103">
        <f>IF(Human_Data_Entry!G113="","",Human_Data_Entry!G113)</f>
        <v/>
      </c>
      <c r="F115" s="103">
        <f>IF(Human_Data_Entry!X113="","",Human_Data_Entry!X113)</f>
        <v/>
      </c>
      <c r="G115" s="103">
        <f>IF(Human_Data_Entry!AY113="","",Human_Data_Entry!AY113)</f>
        <v/>
      </c>
      <c r="H115" s="103">
        <f>IF(Human_Data_Entry!AZ113="","",Human_Data_Entry!AZ113)</f>
        <v/>
      </c>
      <c r="I115" s="103">
        <f>IF(Human_Data_Entry!AL113="","",Human_Data_Entry!AL113)</f>
        <v/>
      </c>
      <c r="J115" s="103">
        <f>IF(Human_Data_Entry!AM113="","",Human_Data_Entry!AM113)</f>
        <v/>
      </c>
      <c r="K115" s="103">
        <f>IF(Human_Data_Entry!AN113="","",Human_Data_Entry!AN113)</f>
        <v/>
      </c>
      <c r="L115" s="103">
        <f>IF(Human_Data_Entry!AO113="","",Human_Data_Entry!AO113)</f>
        <v/>
      </c>
      <c r="M115" s="103">
        <f>IF(Human_Data_Entry!BM113="","",Human_Data_Entry!BM113)</f>
        <v/>
      </c>
      <c r="N115" s="103">
        <f>IF(Human_Data_Entry!BN113="","",Human_Data_Entry!BN113)</f>
        <v/>
      </c>
      <c r="O115" s="103">
        <f>IF(Human_Data_Entry!BO113="","",Human_Data_Entry!BO113)</f>
        <v/>
      </c>
      <c r="P115" s="103">
        <f>IF(Human_Data_Entry!BP113="","",Human_Data_Entry!BP113)</f>
        <v/>
      </c>
      <c r="Q115" s="103">
        <f>IF(Human_Data_Entry!BQ113="","",Human_Data_Entry!BQ113)</f>
        <v/>
      </c>
      <c r="R115" s="103">
        <f>IF(Human_Data_Entry!BR113="","",Human_Data_Entry!BR113)</f>
        <v/>
      </c>
      <c r="S115" s="103">
        <f>IF(Human_Data_Entry!BS113="","",Human_Data_Entry!BS113)</f>
        <v/>
      </c>
      <c r="T115" s="103">
        <f>IF(Human_Data_Entry!BT113="","",Human_Data_Entry!BT113)</f>
        <v/>
      </c>
    </row>
    <row r="116" ht="15" customHeight="1" s="241">
      <c r="A116" s="103">
        <f>IF(Human_Data_Entry!A114="","",Human_Data_Entry!A114)</f>
        <v/>
      </c>
      <c r="B116" s="103">
        <f>IF(Human_Data_Entry!B114="","",Human_Data_Entry!B114)</f>
        <v/>
      </c>
      <c r="C116" s="104">
        <f>IF(Human_Data_Entry!C114="","",Human_Data_Entry!C114)</f>
        <v/>
      </c>
      <c r="D116" s="103">
        <f>IF(Human_Data_Entry!D114="","",Human_Data_Entry!D114)</f>
        <v/>
      </c>
      <c r="E116" s="103">
        <f>IF(Human_Data_Entry!G114="","",Human_Data_Entry!G114)</f>
        <v/>
      </c>
      <c r="F116" s="103">
        <f>IF(Human_Data_Entry!X114="","",Human_Data_Entry!X114)</f>
        <v/>
      </c>
      <c r="G116" s="103">
        <f>IF(Human_Data_Entry!AY114="","",Human_Data_Entry!AY114)</f>
        <v/>
      </c>
      <c r="H116" s="103">
        <f>IF(Human_Data_Entry!AZ114="","",Human_Data_Entry!AZ114)</f>
        <v/>
      </c>
      <c r="I116" s="103">
        <f>IF(Human_Data_Entry!AL114="","",Human_Data_Entry!AL114)</f>
        <v/>
      </c>
      <c r="J116" s="103">
        <f>IF(Human_Data_Entry!AM114="","",Human_Data_Entry!AM114)</f>
        <v/>
      </c>
      <c r="K116" s="103">
        <f>IF(Human_Data_Entry!AN114="","",Human_Data_Entry!AN114)</f>
        <v/>
      </c>
      <c r="L116" s="103">
        <f>IF(Human_Data_Entry!AO114="","",Human_Data_Entry!AO114)</f>
        <v/>
      </c>
      <c r="M116" s="103">
        <f>IF(Human_Data_Entry!BM114="","",Human_Data_Entry!BM114)</f>
        <v/>
      </c>
      <c r="N116" s="103">
        <f>IF(Human_Data_Entry!BN114="","",Human_Data_Entry!BN114)</f>
        <v/>
      </c>
      <c r="O116" s="103">
        <f>IF(Human_Data_Entry!BO114="","",Human_Data_Entry!BO114)</f>
        <v/>
      </c>
      <c r="P116" s="103">
        <f>IF(Human_Data_Entry!BP114="","",Human_Data_Entry!BP114)</f>
        <v/>
      </c>
      <c r="Q116" s="103">
        <f>IF(Human_Data_Entry!BQ114="","",Human_Data_Entry!BQ114)</f>
        <v/>
      </c>
      <c r="R116" s="103">
        <f>IF(Human_Data_Entry!BR114="","",Human_Data_Entry!BR114)</f>
        <v/>
      </c>
      <c r="S116" s="103">
        <f>IF(Human_Data_Entry!BS114="","",Human_Data_Entry!BS114)</f>
        <v/>
      </c>
      <c r="T116" s="103">
        <f>IF(Human_Data_Entry!BT114="","",Human_Data_Entry!BT114)</f>
        <v/>
      </c>
    </row>
    <row r="117" ht="15" customHeight="1" s="241">
      <c r="A117" s="103">
        <f>IF(Human_Data_Entry!A115="","",Human_Data_Entry!A115)</f>
        <v/>
      </c>
      <c r="B117" s="103">
        <f>IF(Human_Data_Entry!B115="","",Human_Data_Entry!B115)</f>
        <v/>
      </c>
      <c r="C117" s="104">
        <f>IF(Human_Data_Entry!C115="","",Human_Data_Entry!C115)</f>
        <v/>
      </c>
      <c r="D117" s="103">
        <f>IF(Human_Data_Entry!D115="","",Human_Data_Entry!D115)</f>
        <v/>
      </c>
      <c r="E117" s="103">
        <f>IF(Human_Data_Entry!G115="","",Human_Data_Entry!G115)</f>
        <v/>
      </c>
      <c r="F117" s="103">
        <f>IF(Human_Data_Entry!X115="","",Human_Data_Entry!X115)</f>
        <v/>
      </c>
      <c r="G117" s="103">
        <f>IF(Human_Data_Entry!AY115="","",Human_Data_Entry!AY115)</f>
        <v/>
      </c>
      <c r="H117" s="103">
        <f>IF(Human_Data_Entry!AZ115="","",Human_Data_Entry!AZ115)</f>
        <v/>
      </c>
      <c r="I117" s="103">
        <f>IF(Human_Data_Entry!AL115="","",Human_Data_Entry!AL115)</f>
        <v/>
      </c>
      <c r="J117" s="103">
        <f>IF(Human_Data_Entry!AM115="","",Human_Data_Entry!AM115)</f>
        <v/>
      </c>
      <c r="K117" s="103">
        <f>IF(Human_Data_Entry!AN115="","",Human_Data_Entry!AN115)</f>
        <v/>
      </c>
      <c r="L117" s="103">
        <f>IF(Human_Data_Entry!AO115="","",Human_Data_Entry!AO115)</f>
        <v/>
      </c>
      <c r="M117" s="103">
        <f>IF(Human_Data_Entry!BM115="","",Human_Data_Entry!BM115)</f>
        <v/>
      </c>
      <c r="N117" s="103">
        <f>IF(Human_Data_Entry!BN115="","",Human_Data_Entry!BN115)</f>
        <v/>
      </c>
      <c r="O117" s="103">
        <f>IF(Human_Data_Entry!BO115="","",Human_Data_Entry!BO115)</f>
        <v/>
      </c>
      <c r="P117" s="103">
        <f>IF(Human_Data_Entry!BP115="","",Human_Data_Entry!BP115)</f>
        <v/>
      </c>
      <c r="Q117" s="103">
        <f>IF(Human_Data_Entry!BQ115="","",Human_Data_Entry!BQ115)</f>
        <v/>
      </c>
      <c r="R117" s="103">
        <f>IF(Human_Data_Entry!BR115="","",Human_Data_Entry!BR115)</f>
        <v/>
      </c>
      <c r="S117" s="103">
        <f>IF(Human_Data_Entry!BS115="","",Human_Data_Entry!BS115)</f>
        <v/>
      </c>
      <c r="T117" s="103">
        <f>IF(Human_Data_Entry!BT115="","",Human_Data_Entry!BT115)</f>
        <v/>
      </c>
    </row>
    <row r="118" ht="15" customHeight="1" s="241">
      <c r="A118" s="103">
        <f>IF(Human_Data_Entry!A116="","",Human_Data_Entry!A116)</f>
        <v/>
      </c>
      <c r="B118" s="103">
        <f>IF(Human_Data_Entry!B116="","",Human_Data_Entry!B116)</f>
        <v/>
      </c>
      <c r="C118" s="104">
        <f>IF(Human_Data_Entry!C116="","",Human_Data_Entry!C116)</f>
        <v/>
      </c>
      <c r="D118" s="103">
        <f>IF(Human_Data_Entry!D116="","",Human_Data_Entry!D116)</f>
        <v/>
      </c>
      <c r="E118" s="103">
        <f>IF(Human_Data_Entry!G116="","",Human_Data_Entry!G116)</f>
        <v/>
      </c>
      <c r="F118" s="103">
        <f>IF(Human_Data_Entry!X116="","",Human_Data_Entry!X116)</f>
        <v/>
      </c>
      <c r="G118" s="103">
        <f>IF(Human_Data_Entry!AY116="","",Human_Data_Entry!AY116)</f>
        <v/>
      </c>
      <c r="H118" s="103">
        <f>IF(Human_Data_Entry!AZ116="","",Human_Data_Entry!AZ116)</f>
        <v/>
      </c>
      <c r="I118" s="103">
        <f>IF(Human_Data_Entry!AL116="","",Human_Data_Entry!AL116)</f>
        <v/>
      </c>
      <c r="J118" s="103">
        <f>IF(Human_Data_Entry!AM116="","",Human_Data_Entry!AM116)</f>
        <v/>
      </c>
      <c r="K118" s="103">
        <f>IF(Human_Data_Entry!AN116="","",Human_Data_Entry!AN116)</f>
        <v/>
      </c>
      <c r="L118" s="103">
        <f>IF(Human_Data_Entry!AO116="","",Human_Data_Entry!AO116)</f>
        <v/>
      </c>
      <c r="M118" s="103">
        <f>IF(Human_Data_Entry!BM116="","",Human_Data_Entry!BM116)</f>
        <v/>
      </c>
      <c r="N118" s="103">
        <f>IF(Human_Data_Entry!BN116="","",Human_Data_Entry!BN116)</f>
        <v/>
      </c>
      <c r="O118" s="103">
        <f>IF(Human_Data_Entry!BO116="","",Human_Data_Entry!BO116)</f>
        <v/>
      </c>
      <c r="P118" s="103">
        <f>IF(Human_Data_Entry!BP116="","",Human_Data_Entry!BP116)</f>
        <v/>
      </c>
      <c r="Q118" s="103">
        <f>IF(Human_Data_Entry!BQ116="","",Human_Data_Entry!BQ116)</f>
        <v/>
      </c>
      <c r="R118" s="103">
        <f>IF(Human_Data_Entry!BR116="","",Human_Data_Entry!BR116)</f>
        <v/>
      </c>
      <c r="S118" s="103">
        <f>IF(Human_Data_Entry!BS116="","",Human_Data_Entry!BS116)</f>
        <v/>
      </c>
      <c r="T118" s="103">
        <f>IF(Human_Data_Entry!BT116="","",Human_Data_Entry!BT116)</f>
        <v/>
      </c>
    </row>
    <row r="119" ht="15" customHeight="1" s="241">
      <c r="A119" s="103">
        <f>IF(Human_Data_Entry!A117="","",Human_Data_Entry!A117)</f>
        <v/>
      </c>
      <c r="B119" s="103">
        <f>IF(Human_Data_Entry!B117="","",Human_Data_Entry!B117)</f>
        <v/>
      </c>
      <c r="C119" s="104">
        <f>IF(Human_Data_Entry!C117="","",Human_Data_Entry!C117)</f>
        <v/>
      </c>
      <c r="D119" s="103">
        <f>IF(Human_Data_Entry!D117="","",Human_Data_Entry!D117)</f>
        <v/>
      </c>
      <c r="E119" s="103">
        <f>IF(Human_Data_Entry!G117="","",Human_Data_Entry!G117)</f>
        <v/>
      </c>
      <c r="F119" s="103">
        <f>IF(Human_Data_Entry!X117="","",Human_Data_Entry!X117)</f>
        <v/>
      </c>
      <c r="G119" s="103">
        <f>IF(Human_Data_Entry!AY117="","",Human_Data_Entry!AY117)</f>
        <v/>
      </c>
      <c r="H119" s="103">
        <f>IF(Human_Data_Entry!AZ117="","",Human_Data_Entry!AZ117)</f>
        <v/>
      </c>
      <c r="I119" s="103">
        <f>IF(Human_Data_Entry!AL117="","",Human_Data_Entry!AL117)</f>
        <v/>
      </c>
      <c r="J119" s="103">
        <f>IF(Human_Data_Entry!AM117="","",Human_Data_Entry!AM117)</f>
        <v/>
      </c>
      <c r="K119" s="103">
        <f>IF(Human_Data_Entry!AN117="","",Human_Data_Entry!AN117)</f>
        <v/>
      </c>
      <c r="L119" s="103">
        <f>IF(Human_Data_Entry!AO117="","",Human_Data_Entry!AO117)</f>
        <v/>
      </c>
      <c r="M119" s="103">
        <f>IF(Human_Data_Entry!BM117="","",Human_Data_Entry!BM117)</f>
        <v/>
      </c>
      <c r="N119" s="103">
        <f>IF(Human_Data_Entry!BN117="","",Human_Data_Entry!BN117)</f>
        <v/>
      </c>
      <c r="O119" s="103">
        <f>IF(Human_Data_Entry!BO117="","",Human_Data_Entry!BO117)</f>
        <v/>
      </c>
      <c r="P119" s="103">
        <f>IF(Human_Data_Entry!BP117="","",Human_Data_Entry!BP117)</f>
        <v/>
      </c>
      <c r="Q119" s="103">
        <f>IF(Human_Data_Entry!BQ117="","",Human_Data_Entry!BQ117)</f>
        <v/>
      </c>
      <c r="R119" s="103">
        <f>IF(Human_Data_Entry!BR117="","",Human_Data_Entry!BR117)</f>
        <v/>
      </c>
      <c r="S119" s="103">
        <f>IF(Human_Data_Entry!BS117="","",Human_Data_Entry!BS117)</f>
        <v/>
      </c>
      <c r="T119" s="103">
        <f>IF(Human_Data_Entry!BT117="","",Human_Data_Entry!BT117)</f>
        <v/>
      </c>
    </row>
    <row r="120" ht="15" customHeight="1" s="241">
      <c r="A120" s="103">
        <f>IF(Human_Data_Entry!A118="","",Human_Data_Entry!A118)</f>
        <v/>
      </c>
      <c r="B120" s="103">
        <f>IF(Human_Data_Entry!B118="","",Human_Data_Entry!B118)</f>
        <v/>
      </c>
      <c r="C120" s="104">
        <f>IF(Human_Data_Entry!C118="","",Human_Data_Entry!C118)</f>
        <v/>
      </c>
      <c r="D120" s="103">
        <f>IF(Human_Data_Entry!D118="","",Human_Data_Entry!D118)</f>
        <v/>
      </c>
      <c r="E120" s="103">
        <f>IF(Human_Data_Entry!G118="","",Human_Data_Entry!G118)</f>
        <v/>
      </c>
      <c r="F120" s="103">
        <f>IF(Human_Data_Entry!X118="","",Human_Data_Entry!X118)</f>
        <v/>
      </c>
      <c r="G120" s="103">
        <f>IF(Human_Data_Entry!AY118="","",Human_Data_Entry!AY118)</f>
        <v/>
      </c>
      <c r="H120" s="103">
        <f>IF(Human_Data_Entry!AZ118="","",Human_Data_Entry!AZ118)</f>
        <v/>
      </c>
      <c r="I120" s="103">
        <f>IF(Human_Data_Entry!AL118="","",Human_Data_Entry!AL118)</f>
        <v/>
      </c>
      <c r="J120" s="103">
        <f>IF(Human_Data_Entry!AM118="","",Human_Data_Entry!AM118)</f>
        <v/>
      </c>
      <c r="K120" s="103">
        <f>IF(Human_Data_Entry!AN118="","",Human_Data_Entry!AN118)</f>
        <v/>
      </c>
      <c r="L120" s="103">
        <f>IF(Human_Data_Entry!AO118="","",Human_Data_Entry!AO118)</f>
        <v/>
      </c>
      <c r="M120" s="103">
        <f>IF(Human_Data_Entry!BM118="","",Human_Data_Entry!BM118)</f>
        <v/>
      </c>
      <c r="N120" s="103">
        <f>IF(Human_Data_Entry!BN118="","",Human_Data_Entry!BN118)</f>
        <v/>
      </c>
      <c r="O120" s="103">
        <f>IF(Human_Data_Entry!BO118="","",Human_Data_Entry!BO118)</f>
        <v/>
      </c>
      <c r="P120" s="103">
        <f>IF(Human_Data_Entry!BP118="","",Human_Data_Entry!BP118)</f>
        <v/>
      </c>
      <c r="Q120" s="103">
        <f>IF(Human_Data_Entry!BQ118="","",Human_Data_Entry!BQ118)</f>
        <v/>
      </c>
      <c r="R120" s="103">
        <f>IF(Human_Data_Entry!BR118="","",Human_Data_Entry!BR118)</f>
        <v/>
      </c>
      <c r="S120" s="103">
        <f>IF(Human_Data_Entry!BS118="","",Human_Data_Entry!BS118)</f>
        <v/>
      </c>
      <c r="T120" s="103">
        <f>IF(Human_Data_Entry!BT118="","",Human_Data_Entry!BT118)</f>
        <v/>
      </c>
    </row>
    <row r="121" ht="15" customHeight="1" s="241">
      <c r="A121" s="103">
        <f>IF(Human_Data_Entry!A119="","",Human_Data_Entry!A119)</f>
        <v/>
      </c>
      <c r="B121" s="103">
        <f>IF(Human_Data_Entry!B119="","",Human_Data_Entry!B119)</f>
        <v/>
      </c>
      <c r="C121" s="104">
        <f>IF(Human_Data_Entry!C119="","",Human_Data_Entry!C119)</f>
        <v/>
      </c>
      <c r="D121" s="103">
        <f>IF(Human_Data_Entry!D119="","",Human_Data_Entry!D119)</f>
        <v/>
      </c>
      <c r="E121" s="103">
        <f>IF(Human_Data_Entry!G119="","",Human_Data_Entry!G119)</f>
        <v/>
      </c>
      <c r="F121" s="103">
        <f>IF(Human_Data_Entry!X119="","",Human_Data_Entry!X119)</f>
        <v/>
      </c>
      <c r="G121" s="103">
        <f>IF(Human_Data_Entry!AY119="","",Human_Data_Entry!AY119)</f>
        <v/>
      </c>
      <c r="H121" s="103">
        <f>IF(Human_Data_Entry!AZ119="","",Human_Data_Entry!AZ119)</f>
        <v/>
      </c>
      <c r="I121" s="103">
        <f>IF(Human_Data_Entry!AL119="","",Human_Data_Entry!AL119)</f>
        <v/>
      </c>
      <c r="J121" s="103">
        <f>IF(Human_Data_Entry!AM119="","",Human_Data_Entry!AM119)</f>
        <v/>
      </c>
      <c r="K121" s="103">
        <f>IF(Human_Data_Entry!AN119="","",Human_Data_Entry!AN119)</f>
        <v/>
      </c>
      <c r="L121" s="103">
        <f>IF(Human_Data_Entry!AO119="","",Human_Data_Entry!AO119)</f>
        <v/>
      </c>
      <c r="M121" s="103">
        <f>IF(Human_Data_Entry!BM119="","",Human_Data_Entry!BM119)</f>
        <v/>
      </c>
      <c r="N121" s="103">
        <f>IF(Human_Data_Entry!BN119="","",Human_Data_Entry!BN119)</f>
        <v/>
      </c>
      <c r="O121" s="103">
        <f>IF(Human_Data_Entry!BO119="","",Human_Data_Entry!BO119)</f>
        <v/>
      </c>
      <c r="P121" s="103">
        <f>IF(Human_Data_Entry!BP119="","",Human_Data_Entry!BP119)</f>
        <v/>
      </c>
      <c r="Q121" s="103">
        <f>IF(Human_Data_Entry!BQ119="","",Human_Data_Entry!BQ119)</f>
        <v/>
      </c>
      <c r="R121" s="103">
        <f>IF(Human_Data_Entry!BR119="","",Human_Data_Entry!BR119)</f>
        <v/>
      </c>
      <c r="S121" s="103">
        <f>IF(Human_Data_Entry!BS119="","",Human_Data_Entry!BS119)</f>
        <v/>
      </c>
      <c r="T121" s="103">
        <f>IF(Human_Data_Entry!BT119="","",Human_Data_Entry!BT119)</f>
        <v/>
      </c>
    </row>
    <row r="122" ht="15" customHeight="1" s="241">
      <c r="A122" s="103">
        <f>IF(Human_Data_Entry!A120="","",Human_Data_Entry!A120)</f>
        <v/>
      </c>
      <c r="B122" s="103">
        <f>IF(Human_Data_Entry!B120="","",Human_Data_Entry!B120)</f>
        <v/>
      </c>
      <c r="C122" s="104">
        <f>IF(Human_Data_Entry!C120="","",Human_Data_Entry!C120)</f>
        <v/>
      </c>
      <c r="D122" s="103">
        <f>IF(Human_Data_Entry!D120="","",Human_Data_Entry!D120)</f>
        <v/>
      </c>
      <c r="E122" s="103">
        <f>IF(Human_Data_Entry!G120="","",Human_Data_Entry!G120)</f>
        <v/>
      </c>
      <c r="F122" s="103">
        <f>IF(Human_Data_Entry!X120="","",Human_Data_Entry!X120)</f>
        <v/>
      </c>
      <c r="G122" s="103">
        <f>IF(Human_Data_Entry!AY120="","",Human_Data_Entry!AY120)</f>
        <v/>
      </c>
      <c r="H122" s="103">
        <f>IF(Human_Data_Entry!AZ120="","",Human_Data_Entry!AZ120)</f>
        <v/>
      </c>
      <c r="I122" s="103">
        <f>IF(Human_Data_Entry!AL120="","",Human_Data_Entry!AL120)</f>
        <v/>
      </c>
      <c r="J122" s="103">
        <f>IF(Human_Data_Entry!AM120="","",Human_Data_Entry!AM120)</f>
        <v/>
      </c>
      <c r="K122" s="103">
        <f>IF(Human_Data_Entry!AN120="","",Human_Data_Entry!AN120)</f>
        <v/>
      </c>
      <c r="L122" s="103">
        <f>IF(Human_Data_Entry!AO120="","",Human_Data_Entry!AO120)</f>
        <v/>
      </c>
      <c r="M122" s="103">
        <f>IF(Human_Data_Entry!BM120="","",Human_Data_Entry!BM120)</f>
        <v/>
      </c>
      <c r="N122" s="103">
        <f>IF(Human_Data_Entry!BN120="","",Human_Data_Entry!BN120)</f>
        <v/>
      </c>
      <c r="O122" s="103">
        <f>IF(Human_Data_Entry!BO120="","",Human_Data_Entry!BO120)</f>
        <v/>
      </c>
      <c r="P122" s="103">
        <f>IF(Human_Data_Entry!BP120="","",Human_Data_Entry!BP120)</f>
        <v/>
      </c>
      <c r="Q122" s="103">
        <f>IF(Human_Data_Entry!BQ120="","",Human_Data_Entry!BQ120)</f>
        <v/>
      </c>
      <c r="R122" s="103">
        <f>IF(Human_Data_Entry!BR120="","",Human_Data_Entry!BR120)</f>
        <v/>
      </c>
      <c r="S122" s="103">
        <f>IF(Human_Data_Entry!BS120="","",Human_Data_Entry!BS120)</f>
        <v/>
      </c>
      <c r="T122" s="103">
        <f>IF(Human_Data_Entry!BT120="","",Human_Data_Entry!BT120)</f>
        <v/>
      </c>
    </row>
    <row r="123" ht="15" customHeight="1" s="241">
      <c r="A123" s="103">
        <f>IF(Human_Data_Entry!A121="","",Human_Data_Entry!A121)</f>
        <v/>
      </c>
      <c r="B123" s="103">
        <f>IF(Human_Data_Entry!B121="","",Human_Data_Entry!B121)</f>
        <v/>
      </c>
      <c r="C123" s="104">
        <f>IF(Human_Data_Entry!C121="","",Human_Data_Entry!C121)</f>
        <v/>
      </c>
      <c r="D123" s="103">
        <f>IF(Human_Data_Entry!D121="","",Human_Data_Entry!D121)</f>
        <v/>
      </c>
      <c r="E123" s="103">
        <f>IF(Human_Data_Entry!G121="","",Human_Data_Entry!G121)</f>
        <v/>
      </c>
      <c r="F123" s="103">
        <f>IF(Human_Data_Entry!X121="","",Human_Data_Entry!X121)</f>
        <v/>
      </c>
      <c r="G123" s="103">
        <f>IF(Human_Data_Entry!AY121="","",Human_Data_Entry!AY121)</f>
        <v/>
      </c>
      <c r="H123" s="103">
        <f>IF(Human_Data_Entry!AZ121="","",Human_Data_Entry!AZ121)</f>
        <v/>
      </c>
      <c r="I123" s="103">
        <f>IF(Human_Data_Entry!AL121="","",Human_Data_Entry!AL121)</f>
        <v/>
      </c>
      <c r="J123" s="103">
        <f>IF(Human_Data_Entry!AM121="","",Human_Data_Entry!AM121)</f>
        <v/>
      </c>
      <c r="K123" s="103">
        <f>IF(Human_Data_Entry!AN121="","",Human_Data_Entry!AN121)</f>
        <v/>
      </c>
      <c r="L123" s="103">
        <f>IF(Human_Data_Entry!AO121="","",Human_Data_Entry!AO121)</f>
        <v/>
      </c>
      <c r="M123" s="103">
        <f>IF(Human_Data_Entry!BM121="","",Human_Data_Entry!BM121)</f>
        <v/>
      </c>
      <c r="N123" s="103">
        <f>IF(Human_Data_Entry!BN121="","",Human_Data_Entry!BN121)</f>
        <v/>
      </c>
      <c r="O123" s="103">
        <f>IF(Human_Data_Entry!BO121="","",Human_Data_Entry!BO121)</f>
        <v/>
      </c>
      <c r="P123" s="103">
        <f>IF(Human_Data_Entry!BP121="","",Human_Data_Entry!BP121)</f>
        <v/>
      </c>
      <c r="Q123" s="103">
        <f>IF(Human_Data_Entry!BQ121="","",Human_Data_Entry!BQ121)</f>
        <v/>
      </c>
      <c r="R123" s="103">
        <f>IF(Human_Data_Entry!BR121="","",Human_Data_Entry!BR121)</f>
        <v/>
      </c>
      <c r="S123" s="103">
        <f>IF(Human_Data_Entry!BS121="","",Human_Data_Entry!BS121)</f>
        <v/>
      </c>
      <c r="T123" s="103">
        <f>IF(Human_Data_Entry!BT121="","",Human_Data_Entry!BT121)</f>
        <v/>
      </c>
    </row>
    <row r="124" ht="15" customHeight="1" s="241">
      <c r="A124" s="103">
        <f>IF(Human_Data_Entry!A122="","",Human_Data_Entry!A122)</f>
        <v/>
      </c>
      <c r="B124" s="103">
        <f>IF(Human_Data_Entry!B122="","",Human_Data_Entry!B122)</f>
        <v/>
      </c>
      <c r="C124" s="104">
        <f>IF(Human_Data_Entry!C122="","",Human_Data_Entry!C122)</f>
        <v/>
      </c>
      <c r="D124" s="103">
        <f>IF(Human_Data_Entry!D122="","",Human_Data_Entry!D122)</f>
        <v/>
      </c>
      <c r="E124" s="103">
        <f>IF(Human_Data_Entry!G122="","",Human_Data_Entry!G122)</f>
        <v/>
      </c>
      <c r="F124" s="103">
        <f>IF(Human_Data_Entry!X122="","",Human_Data_Entry!X122)</f>
        <v/>
      </c>
      <c r="G124" s="103">
        <f>IF(Human_Data_Entry!AY122="","",Human_Data_Entry!AY122)</f>
        <v/>
      </c>
      <c r="H124" s="103">
        <f>IF(Human_Data_Entry!AZ122="","",Human_Data_Entry!AZ122)</f>
        <v/>
      </c>
      <c r="I124" s="103">
        <f>IF(Human_Data_Entry!AL122="","",Human_Data_Entry!AL122)</f>
        <v/>
      </c>
      <c r="J124" s="103">
        <f>IF(Human_Data_Entry!AM122="","",Human_Data_Entry!AM122)</f>
        <v/>
      </c>
      <c r="K124" s="103">
        <f>IF(Human_Data_Entry!AN122="","",Human_Data_Entry!AN122)</f>
        <v/>
      </c>
      <c r="L124" s="103">
        <f>IF(Human_Data_Entry!AO122="","",Human_Data_Entry!AO122)</f>
        <v/>
      </c>
      <c r="M124" s="103">
        <f>IF(Human_Data_Entry!BM122="","",Human_Data_Entry!BM122)</f>
        <v/>
      </c>
      <c r="N124" s="103">
        <f>IF(Human_Data_Entry!BN122="","",Human_Data_Entry!BN122)</f>
        <v/>
      </c>
      <c r="O124" s="103">
        <f>IF(Human_Data_Entry!BO122="","",Human_Data_Entry!BO122)</f>
        <v/>
      </c>
      <c r="P124" s="103">
        <f>IF(Human_Data_Entry!BP122="","",Human_Data_Entry!BP122)</f>
        <v/>
      </c>
      <c r="Q124" s="103">
        <f>IF(Human_Data_Entry!BQ122="","",Human_Data_Entry!BQ122)</f>
        <v/>
      </c>
      <c r="R124" s="103">
        <f>IF(Human_Data_Entry!BR122="","",Human_Data_Entry!BR122)</f>
        <v/>
      </c>
      <c r="S124" s="103">
        <f>IF(Human_Data_Entry!BS122="","",Human_Data_Entry!BS122)</f>
        <v/>
      </c>
      <c r="T124" s="103">
        <f>IF(Human_Data_Entry!BT122="","",Human_Data_Entry!BT122)</f>
        <v/>
      </c>
    </row>
    <row r="125" ht="15" customHeight="1" s="241">
      <c r="A125" s="103">
        <f>IF(Human_Data_Entry!A123="","",Human_Data_Entry!A123)</f>
        <v/>
      </c>
      <c r="B125" s="103">
        <f>IF(Human_Data_Entry!B123="","",Human_Data_Entry!B123)</f>
        <v/>
      </c>
      <c r="C125" s="104">
        <f>IF(Human_Data_Entry!C123="","",Human_Data_Entry!C123)</f>
        <v/>
      </c>
      <c r="D125" s="103">
        <f>IF(Human_Data_Entry!D123="","",Human_Data_Entry!D123)</f>
        <v/>
      </c>
      <c r="E125" s="103">
        <f>IF(Human_Data_Entry!G123="","",Human_Data_Entry!G123)</f>
        <v/>
      </c>
      <c r="F125" s="103">
        <f>IF(Human_Data_Entry!X123="","",Human_Data_Entry!X123)</f>
        <v/>
      </c>
      <c r="G125" s="103">
        <f>IF(Human_Data_Entry!AY123="","",Human_Data_Entry!AY123)</f>
        <v/>
      </c>
      <c r="H125" s="103">
        <f>IF(Human_Data_Entry!AZ123="","",Human_Data_Entry!AZ123)</f>
        <v/>
      </c>
      <c r="I125" s="103">
        <f>IF(Human_Data_Entry!AL123="","",Human_Data_Entry!AL123)</f>
        <v/>
      </c>
      <c r="J125" s="103">
        <f>IF(Human_Data_Entry!AM123="","",Human_Data_Entry!AM123)</f>
        <v/>
      </c>
      <c r="K125" s="103">
        <f>IF(Human_Data_Entry!AN123="","",Human_Data_Entry!AN123)</f>
        <v/>
      </c>
      <c r="L125" s="103">
        <f>IF(Human_Data_Entry!AO123="","",Human_Data_Entry!AO123)</f>
        <v/>
      </c>
      <c r="M125" s="103">
        <f>IF(Human_Data_Entry!BM123="","",Human_Data_Entry!BM123)</f>
        <v/>
      </c>
      <c r="N125" s="103">
        <f>IF(Human_Data_Entry!BN123="","",Human_Data_Entry!BN123)</f>
        <v/>
      </c>
      <c r="O125" s="103">
        <f>IF(Human_Data_Entry!BO123="","",Human_Data_Entry!BO123)</f>
        <v/>
      </c>
      <c r="P125" s="103">
        <f>IF(Human_Data_Entry!BP123="","",Human_Data_Entry!BP123)</f>
        <v/>
      </c>
      <c r="Q125" s="103">
        <f>IF(Human_Data_Entry!BQ123="","",Human_Data_Entry!BQ123)</f>
        <v/>
      </c>
      <c r="R125" s="103">
        <f>IF(Human_Data_Entry!BR123="","",Human_Data_Entry!BR123)</f>
        <v/>
      </c>
      <c r="S125" s="103">
        <f>IF(Human_Data_Entry!BS123="","",Human_Data_Entry!BS123)</f>
        <v/>
      </c>
      <c r="T125" s="103">
        <f>IF(Human_Data_Entry!BT123="","",Human_Data_Entry!BT123)</f>
        <v/>
      </c>
    </row>
    <row r="126" ht="15" customHeight="1" s="241">
      <c r="A126" s="103">
        <f>IF(Human_Data_Entry!A124="","",Human_Data_Entry!A124)</f>
        <v/>
      </c>
      <c r="B126" s="103">
        <f>IF(Human_Data_Entry!B124="","",Human_Data_Entry!B124)</f>
        <v/>
      </c>
      <c r="C126" s="104">
        <f>IF(Human_Data_Entry!C124="","",Human_Data_Entry!C124)</f>
        <v/>
      </c>
      <c r="D126" s="103">
        <f>IF(Human_Data_Entry!D124="","",Human_Data_Entry!D124)</f>
        <v/>
      </c>
      <c r="E126" s="103">
        <f>IF(Human_Data_Entry!G124="","",Human_Data_Entry!G124)</f>
        <v/>
      </c>
      <c r="F126" s="103">
        <f>IF(Human_Data_Entry!X124="","",Human_Data_Entry!X124)</f>
        <v/>
      </c>
      <c r="G126" s="103">
        <f>IF(Human_Data_Entry!AY124="","",Human_Data_Entry!AY124)</f>
        <v/>
      </c>
      <c r="H126" s="103">
        <f>IF(Human_Data_Entry!AZ124="","",Human_Data_Entry!AZ124)</f>
        <v/>
      </c>
      <c r="I126" s="103">
        <f>IF(Human_Data_Entry!AL124="","",Human_Data_Entry!AL124)</f>
        <v/>
      </c>
      <c r="J126" s="103">
        <f>IF(Human_Data_Entry!AM124="","",Human_Data_Entry!AM124)</f>
        <v/>
      </c>
      <c r="K126" s="103">
        <f>IF(Human_Data_Entry!AN124="","",Human_Data_Entry!AN124)</f>
        <v/>
      </c>
      <c r="L126" s="103">
        <f>IF(Human_Data_Entry!AO124="","",Human_Data_Entry!AO124)</f>
        <v/>
      </c>
      <c r="M126" s="103">
        <f>IF(Human_Data_Entry!BM124="","",Human_Data_Entry!BM124)</f>
        <v/>
      </c>
      <c r="N126" s="103">
        <f>IF(Human_Data_Entry!BN124="","",Human_Data_Entry!BN124)</f>
        <v/>
      </c>
      <c r="O126" s="103">
        <f>IF(Human_Data_Entry!BO124="","",Human_Data_Entry!BO124)</f>
        <v/>
      </c>
      <c r="P126" s="103">
        <f>IF(Human_Data_Entry!BP124="","",Human_Data_Entry!BP124)</f>
        <v/>
      </c>
      <c r="Q126" s="103">
        <f>IF(Human_Data_Entry!BQ124="","",Human_Data_Entry!BQ124)</f>
        <v/>
      </c>
      <c r="R126" s="103">
        <f>IF(Human_Data_Entry!BR124="","",Human_Data_Entry!BR124)</f>
        <v/>
      </c>
      <c r="S126" s="103">
        <f>IF(Human_Data_Entry!BS124="","",Human_Data_Entry!BS124)</f>
        <v/>
      </c>
      <c r="T126" s="103">
        <f>IF(Human_Data_Entry!BT124="","",Human_Data_Entry!BT124)</f>
        <v/>
      </c>
    </row>
    <row r="127" ht="15" customHeight="1" s="241">
      <c r="A127" s="103">
        <f>IF(Human_Data_Entry!A125="","",Human_Data_Entry!A125)</f>
        <v/>
      </c>
      <c r="B127" s="103">
        <f>IF(Human_Data_Entry!B125="","",Human_Data_Entry!B125)</f>
        <v/>
      </c>
      <c r="C127" s="104">
        <f>IF(Human_Data_Entry!C125="","",Human_Data_Entry!C125)</f>
        <v/>
      </c>
      <c r="D127" s="103">
        <f>IF(Human_Data_Entry!D125="","",Human_Data_Entry!D125)</f>
        <v/>
      </c>
      <c r="E127" s="103">
        <f>IF(Human_Data_Entry!G125="","",Human_Data_Entry!G125)</f>
        <v/>
      </c>
      <c r="F127" s="103">
        <f>IF(Human_Data_Entry!X125="","",Human_Data_Entry!X125)</f>
        <v/>
      </c>
      <c r="G127" s="103">
        <f>IF(Human_Data_Entry!AY125="","",Human_Data_Entry!AY125)</f>
        <v/>
      </c>
      <c r="H127" s="103">
        <f>IF(Human_Data_Entry!AZ125="","",Human_Data_Entry!AZ125)</f>
        <v/>
      </c>
      <c r="I127" s="103">
        <f>IF(Human_Data_Entry!AL125="","",Human_Data_Entry!AL125)</f>
        <v/>
      </c>
      <c r="J127" s="103">
        <f>IF(Human_Data_Entry!AM125="","",Human_Data_Entry!AM125)</f>
        <v/>
      </c>
      <c r="K127" s="103">
        <f>IF(Human_Data_Entry!AN125="","",Human_Data_Entry!AN125)</f>
        <v/>
      </c>
      <c r="L127" s="103">
        <f>IF(Human_Data_Entry!AO125="","",Human_Data_Entry!AO125)</f>
        <v/>
      </c>
      <c r="M127" s="103">
        <f>IF(Human_Data_Entry!BM125="","",Human_Data_Entry!BM125)</f>
        <v/>
      </c>
      <c r="N127" s="103">
        <f>IF(Human_Data_Entry!BN125="","",Human_Data_Entry!BN125)</f>
        <v/>
      </c>
      <c r="O127" s="103">
        <f>IF(Human_Data_Entry!BO125="","",Human_Data_Entry!BO125)</f>
        <v/>
      </c>
      <c r="P127" s="103">
        <f>IF(Human_Data_Entry!BP125="","",Human_Data_Entry!BP125)</f>
        <v/>
      </c>
      <c r="Q127" s="103">
        <f>IF(Human_Data_Entry!BQ125="","",Human_Data_Entry!BQ125)</f>
        <v/>
      </c>
      <c r="R127" s="103">
        <f>IF(Human_Data_Entry!BR125="","",Human_Data_Entry!BR125)</f>
        <v/>
      </c>
      <c r="S127" s="103">
        <f>IF(Human_Data_Entry!BS125="","",Human_Data_Entry!BS125)</f>
        <v/>
      </c>
      <c r="T127" s="103">
        <f>IF(Human_Data_Entry!BT125="","",Human_Data_Entry!BT125)</f>
        <v/>
      </c>
    </row>
    <row r="128" ht="15" customHeight="1" s="241">
      <c r="A128" s="103">
        <f>IF(Human_Data_Entry!A126="","",Human_Data_Entry!A126)</f>
        <v/>
      </c>
      <c r="B128" s="103">
        <f>IF(Human_Data_Entry!B126="","",Human_Data_Entry!B126)</f>
        <v/>
      </c>
      <c r="C128" s="104">
        <f>IF(Human_Data_Entry!C126="","",Human_Data_Entry!C126)</f>
        <v/>
      </c>
      <c r="D128" s="103">
        <f>IF(Human_Data_Entry!D126="","",Human_Data_Entry!D126)</f>
        <v/>
      </c>
      <c r="E128" s="103">
        <f>IF(Human_Data_Entry!G126="","",Human_Data_Entry!G126)</f>
        <v/>
      </c>
      <c r="F128" s="103">
        <f>IF(Human_Data_Entry!X126="","",Human_Data_Entry!X126)</f>
        <v/>
      </c>
      <c r="G128" s="103">
        <f>IF(Human_Data_Entry!AY126="","",Human_Data_Entry!AY126)</f>
        <v/>
      </c>
      <c r="H128" s="103">
        <f>IF(Human_Data_Entry!AZ126="","",Human_Data_Entry!AZ126)</f>
        <v/>
      </c>
      <c r="I128" s="103">
        <f>IF(Human_Data_Entry!AL126="","",Human_Data_Entry!AL126)</f>
        <v/>
      </c>
      <c r="J128" s="103">
        <f>IF(Human_Data_Entry!AM126="","",Human_Data_Entry!AM126)</f>
        <v/>
      </c>
      <c r="K128" s="103">
        <f>IF(Human_Data_Entry!AN126="","",Human_Data_Entry!AN126)</f>
        <v/>
      </c>
      <c r="L128" s="103">
        <f>IF(Human_Data_Entry!AO126="","",Human_Data_Entry!AO126)</f>
        <v/>
      </c>
      <c r="M128" s="103">
        <f>IF(Human_Data_Entry!BM126="","",Human_Data_Entry!BM126)</f>
        <v/>
      </c>
      <c r="N128" s="103">
        <f>IF(Human_Data_Entry!BN126="","",Human_Data_Entry!BN126)</f>
        <v/>
      </c>
      <c r="O128" s="103">
        <f>IF(Human_Data_Entry!BO126="","",Human_Data_Entry!BO126)</f>
        <v/>
      </c>
      <c r="P128" s="103">
        <f>IF(Human_Data_Entry!BP126="","",Human_Data_Entry!BP126)</f>
        <v/>
      </c>
      <c r="Q128" s="103">
        <f>IF(Human_Data_Entry!BQ126="","",Human_Data_Entry!BQ126)</f>
        <v/>
      </c>
      <c r="R128" s="103">
        <f>IF(Human_Data_Entry!BR126="","",Human_Data_Entry!BR126)</f>
        <v/>
      </c>
      <c r="S128" s="103">
        <f>IF(Human_Data_Entry!BS126="","",Human_Data_Entry!BS126)</f>
        <v/>
      </c>
      <c r="T128" s="103">
        <f>IF(Human_Data_Entry!BT126="","",Human_Data_Entry!BT126)</f>
        <v/>
      </c>
    </row>
    <row r="129" ht="15" customHeight="1" s="241">
      <c r="A129" s="103">
        <f>IF(Human_Data_Entry!A127="","",Human_Data_Entry!A127)</f>
        <v/>
      </c>
      <c r="B129" s="103">
        <f>IF(Human_Data_Entry!B127="","",Human_Data_Entry!B127)</f>
        <v/>
      </c>
      <c r="C129" s="104">
        <f>IF(Human_Data_Entry!C127="","",Human_Data_Entry!C127)</f>
        <v/>
      </c>
      <c r="D129" s="103">
        <f>IF(Human_Data_Entry!D127="","",Human_Data_Entry!D127)</f>
        <v/>
      </c>
      <c r="E129" s="103">
        <f>IF(Human_Data_Entry!G127="","",Human_Data_Entry!G127)</f>
        <v/>
      </c>
      <c r="F129" s="103">
        <f>IF(Human_Data_Entry!X127="","",Human_Data_Entry!X127)</f>
        <v/>
      </c>
      <c r="G129" s="103">
        <f>IF(Human_Data_Entry!AY127="","",Human_Data_Entry!AY127)</f>
        <v/>
      </c>
      <c r="H129" s="103">
        <f>IF(Human_Data_Entry!AZ127="","",Human_Data_Entry!AZ127)</f>
        <v/>
      </c>
      <c r="I129" s="103">
        <f>IF(Human_Data_Entry!AL127="","",Human_Data_Entry!AL127)</f>
        <v/>
      </c>
      <c r="J129" s="103">
        <f>IF(Human_Data_Entry!AM127="","",Human_Data_Entry!AM127)</f>
        <v/>
      </c>
      <c r="K129" s="103">
        <f>IF(Human_Data_Entry!AN127="","",Human_Data_Entry!AN127)</f>
        <v/>
      </c>
      <c r="L129" s="103">
        <f>IF(Human_Data_Entry!AO127="","",Human_Data_Entry!AO127)</f>
        <v/>
      </c>
      <c r="M129" s="103">
        <f>IF(Human_Data_Entry!BM127="","",Human_Data_Entry!BM127)</f>
        <v/>
      </c>
      <c r="N129" s="103">
        <f>IF(Human_Data_Entry!BN127="","",Human_Data_Entry!BN127)</f>
        <v/>
      </c>
      <c r="O129" s="103">
        <f>IF(Human_Data_Entry!BO127="","",Human_Data_Entry!BO127)</f>
        <v/>
      </c>
      <c r="P129" s="103">
        <f>IF(Human_Data_Entry!BP127="","",Human_Data_Entry!BP127)</f>
        <v/>
      </c>
      <c r="Q129" s="103">
        <f>IF(Human_Data_Entry!BQ127="","",Human_Data_Entry!BQ127)</f>
        <v/>
      </c>
      <c r="R129" s="103">
        <f>IF(Human_Data_Entry!BR127="","",Human_Data_Entry!BR127)</f>
        <v/>
      </c>
      <c r="S129" s="103">
        <f>IF(Human_Data_Entry!BS127="","",Human_Data_Entry!BS127)</f>
        <v/>
      </c>
      <c r="T129" s="103">
        <f>IF(Human_Data_Entry!BT127="","",Human_Data_Entry!BT127)</f>
        <v/>
      </c>
    </row>
    <row r="130" ht="15" customHeight="1" s="241">
      <c r="A130" s="103">
        <f>IF(Human_Data_Entry!A128="","",Human_Data_Entry!A128)</f>
        <v/>
      </c>
      <c r="B130" s="103">
        <f>IF(Human_Data_Entry!B128="","",Human_Data_Entry!B128)</f>
        <v/>
      </c>
      <c r="C130" s="104">
        <f>IF(Human_Data_Entry!C128="","",Human_Data_Entry!C128)</f>
        <v/>
      </c>
      <c r="D130" s="103">
        <f>IF(Human_Data_Entry!D128="","",Human_Data_Entry!D128)</f>
        <v/>
      </c>
      <c r="E130" s="103">
        <f>IF(Human_Data_Entry!G128="","",Human_Data_Entry!G128)</f>
        <v/>
      </c>
      <c r="F130" s="103">
        <f>IF(Human_Data_Entry!X128="","",Human_Data_Entry!X128)</f>
        <v/>
      </c>
      <c r="G130" s="103">
        <f>IF(Human_Data_Entry!AY128="","",Human_Data_Entry!AY128)</f>
        <v/>
      </c>
      <c r="H130" s="103">
        <f>IF(Human_Data_Entry!AZ128="","",Human_Data_Entry!AZ128)</f>
        <v/>
      </c>
      <c r="I130" s="103">
        <f>IF(Human_Data_Entry!AL128="","",Human_Data_Entry!AL128)</f>
        <v/>
      </c>
      <c r="J130" s="103">
        <f>IF(Human_Data_Entry!AM128="","",Human_Data_Entry!AM128)</f>
        <v/>
      </c>
      <c r="K130" s="103">
        <f>IF(Human_Data_Entry!AN128="","",Human_Data_Entry!AN128)</f>
        <v/>
      </c>
      <c r="L130" s="103">
        <f>IF(Human_Data_Entry!AO128="","",Human_Data_Entry!AO128)</f>
        <v/>
      </c>
      <c r="M130" s="103">
        <f>IF(Human_Data_Entry!BM128="","",Human_Data_Entry!BM128)</f>
        <v/>
      </c>
      <c r="N130" s="103">
        <f>IF(Human_Data_Entry!BN128="","",Human_Data_Entry!BN128)</f>
        <v/>
      </c>
      <c r="O130" s="103">
        <f>IF(Human_Data_Entry!BO128="","",Human_Data_Entry!BO128)</f>
        <v/>
      </c>
      <c r="P130" s="103">
        <f>IF(Human_Data_Entry!BP128="","",Human_Data_Entry!BP128)</f>
        <v/>
      </c>
      <c r="Q130" s="103">
        <f>IF(Human_Data_Entry!BQ128="","",Human_Data_Entry!BQ128)</f>
        <v/>
      </c>
      <c r="R130" s="103">
        <f>IF(Human_Data_Entry!BR128="","",Human_Data_Entry!BR128)</f>
        <v/>
      </c>
      <c r="S130" s="103">
        <f>IF(Human_Data_Entry!BS128="","",Human_Data_Entry!BS128)</f>
        <v/>
      </c>
      <c r="T130" s="103">
        <f>IF(Human_Data_Entry!BT128="","",Human_Data_Entry!BT128)</f>
        <v/>
      </c>
    </row>
    <row r="131" ht="15" customHeight="1" s="241">
      <c r="A131" s="103">
        <f>IF(Human_Data_Entry!A129="","",Human_Data_Entry!A129)</f>
        <v/>
      </c>
      <c r="B131" s="103">
        <f>IF(Human_Data_Entry!B129="","",Human_Data_Entry!B129)</f>
        <v/>
      </c>
      <c r="C131" s="104">
        <f>IF(Human_Data_Entry!C129="","",Human_Data_Entry!C129)</f>
        <v/>
      </c>
      <c r="D131" s="103">
        <f>IF(Human_Data_Entry!D129="","",Human_Data_Entry!D129)</f>
        <v/>
      </c>
      <c r="E131" s="103">
        <f>IF(Human_Data_Entry!G129="","",Human_Data_Entry!G129)</f>
        <v/>
      </c>
      <c r="F131" s="103">
        <f>IF(Human_Data_Entry!X129="","",Human_Data_Entry!X129)</f>
        <v/>
      </c>
      <c r="G131" s="103">
        <f>IF(Human_Data_Entry!AY129="","",Human_Data_Entry!AY129)</f>
        <v/>
      </c>
      <c r="H131" s="103">
        <f>IF(Human_Data_Entry!AZ129="","",Human_Data_Entry!AZ129)</f>
        <v/>
      </c>
      <c r="I131" s="103">
        <f>IF(Human_Data_Entry!AL129="","",Human_Data_Entry!AL129)</f>
        <v/>
      </c>
      <c r="J131" s="103">
        <f>IF(Human_Data_Entry!AM129="","",Human_Data_Entry!AM129)</f>
        <v/>
      </c>
      <c r="K131" s="103">
        <f>IF(Human_Data_Entry!AN129="","",Human_Data_Entry!AN129)</f>
        <v/>
      </c>
      <c r="L131" s="103">
        <f>IF(Human_Data_Entry!AO129="","",Human_Data_Entry!AO129)</f>
        <v/>
      </c>
      <c r="M131" s="103">
        <f>IF(Human_Data_Entry!BM129="","",Human_Data_Entry!BM129)</f>
        <v/>
      </c>
      <c r="N131" s="103">
        <f>IF(Human_Data_Entry!BN129="","",Human_Data_Entry!BN129)</f>
        <v/>
      </c>
      <c r="O131" s="103">
        <f>IF(Human_Data_Entry!BO129="","",Human_Data_Entry!BO129)</f>
        <v/>
      </c>
      <c r="P131" s="103">
        <f>IF(Human_Data_Entry!BP129="","",Human_Data_Entry!BP129)</f>
        <v/>
      </c>
      <c r="Q131" s="103">
        <f>IF(Human_Data_Entry!BQ129="","",Human_Data_Entry!BQ129)</f>
        <v/>
      </c>
      <c r="R131" s="103">
        <f>IF(Human_Data_Entry!BR129="","",Human_Data_Entry!BR129)</f>
        <v/>
      </c>
      <c r="S131" s="103">
        <f>IF(Human_Data_Entry!BS129="","",Human_Data_Entry!BS129)</f>
        <v/>
      </c>
      <c r="T131" s="103">
        <f>IF(Human_Data_Entry!BT129="","",Human_Data_Entry!BT129)</f>
        <v/>
      </c>
    </row>
    <row r="132" ht="15" customHeight="1" s="241">
      <c r="A132" s="103">
        <f>IF(Human_Data_Entry!A130="","",Human_Data_Entry!A130)</f>
        <v/>
      </c>
      <c r="B132" s="103">
        <f>IF(Human_Data_Entry!B130="","",Human_Data_Entry!B130)</f>
        <v/>
      </c>
      <c r="C132" s="104">
        <f>IF(Human_Data_Entry!C130="","",Human_Data_Entry!C130)</f>
        <v/>
      </c>
      <c r="D132" s="103">
        <f>IF(Human_Data_Entry!D130="","",Human_Data_Entry!D130)</f>
        <v/>
      </c>
      <c r="E132" s="103">
        <f>IF(Human_Data_Entry!G130="","",Human_Data_Entry!G130)</f>
        <v/>
      </c>
      <c r="F132" s="103">
        <f>IF(Human_Data_Entry!X130="","",Human_Data_Entry!X130)</f>
        <v/>
      </c>
      <c r="G132" s="103">
        <f>IF(Human_Data_Entry!AY130="","",Human_Data_Entry!AY130)</f>
        <v/>
      </c>
      <c r="H132" s="103">
        <f>IF(Human_Data_Entry!AZ130="","",Human_Data_Entry!AZ130)</f>
        <v/>
      </c>
      <c r="I132" s="103">
        <f>IF(Human_Data_Entry!AL130="","",Human_Data_Entry!AL130)</f>
        <v/>
      </c>
      <c r="J132" s="103">
        <f>IF(Human_Data_Entry!AM130="","",Human_Data_Entry!AM130)</f>
        <v/>
      </c>
      <c r="K132" s="103">
        <f>IF(Human_Data_Entry!AN130="","",Human_Data_Entry!AN130)</f>
        <v/>
      </c>
      <c r="L132" s="103">
        <f>IF(Human_Data_Entry!AO130="","",Human_Data_Entry!AO130)</f>
        <v/>
      </c>
      <c r="M132" s="103">
        <f>IF(Human_Data_Entry!BM130="","",Human_Data_Entry!BM130)</f>
        <v/>
      </c>
      <c r="N132" s="103">
        <f>IF(Human_Data_Entry!BN130="","",Human_Data_Entry!BN130)</f>
        <v/>
      </c>
      <c r="O132" s="103">
        <f>IF(Human_Data_Entry!BO130="","",Human_Data_Entry!BO130)</f>
        <v/>
      </c>
      <c r="P132" s="103">
        <f>IF(Human_Data_Entry!BP130="","",Human_Data_Entry!BP130)</f>
        <v/>
      </c>
      <c r="Q132" s="103">
        <f>IF(Human_Data_Entry!BQ130="","",Human_Data_Entry!BQ130)</f>
        <v/>
      </c>
      <c r="R132" s="103">
        <f>IF(Human_Data_Entry!BR130="","",Human_Data_Entry!BR130)</f>
        <v/>
      </c>
      <c r="S132" s="103">
        <f>IF(Human_Data_Entry!BS130="","",Human_Data_Entry!BS130)</f>
        <v/>
      </c>
      <c r="T132" s="103">
        <f>IF(Human_Data_Entry!BT130="","",Human_Data_Entry!BT130)</f>
        <v/>
      </c>
    </row>
    <row r="133" ht="15" customHeight="1" s="241">
      <c r="A133" s="103">
        <f>IF(Human_Data_Entry!A131="","",Human_Data_Entry!A131)</f>
        <v/>
      </c>
      <c r="B133" s="103">
        <f>IF(Human_Data_Entry!B131="","",Human_Data_Entry!B131)</f>
        <v/>
      </c>
      <c r="C133" s="104">
        <f>IF(Human_Data_Entry!C131="","",Human_Data_Entry!C131)</f>
        <v/>
      </c>
      <c r="D133" s="103">
        <f>IF(Human_Data_Entry!D131="","",Human_Data_Entry!D131)</f>
        <v/>
      </c>
      <c r="E133" s="103">
        <f>IF(Human_Data_Entry!G131="","",Human_Data_Entry!G131)</f>
        <v/>
      </c>
      <c r="F133" s="103">
        <f>IF(Human_Data_Entry!X131="","",Human_Data_Entry!X131)</f>
        <v/>
      </c>
      <c r="G133" s="103">
        <f>IF(Human_Data_Entry!AY131="","",Human_Data_Entry!AY131)</f>
        <v/>
      </c>
      <c r="H133" s="103">
        <f>IF(Human_Data_Entry!AZ131="","",Human_Data_Entry!AZ131)</f>
        <v/>
      </c>
      <c r="I133" s="103">
        <f>IF(Human_Data_Entry!AL131="","",Human_Data_Entry!AL131)</f>
        <v/>
      </c>
      <c r="J133" s="103">
        <f>IF(Human_Data_Entry!AM131="","",Human_Data_Entry!AM131)</f>
        <v/>
      </c>
      <c r="K133" s="103">
        <f>IF(Human_Data_Entry!AN131="","",Human_Data_Entry!AN131)</f>
        <v/>
      </c>
      <c r="L133" s="103">
        <f>IF(Human_Data_Entry!AO131="","",Human_Data_Entry!AO131)</f>
        <v/>
      </c>
      <c r="M133" s="103">
        <f>IF(Human_Data_Entry!BM131="","",Human_Data_Entry!BM131)</f>
        <v/>
      </c>
      <c r="N133" s="103">
        <f>IF(Human_Data_Entry!BN131="","",Human_Data_Entry!BN131)</f>
        <v/>
      </c>
      <c r="O133" s="103">
        <f>IF(Human_Data_Entry!BO131="","",Human_Data_Entry!BO131)</f>
        <v/>
      </c>
      <c r="P133" s="103">
        <f>IF(Human_Data_Entry!BP131="","",Human_Data_Entry!BP131)</f>
        <v/>
      </c>
      <c r="Q133" s="103">
        <f>IF(Human_Data_Entry!BQ131="","",Human_Data_Entry!BQ131)</f>
        <v/>
      </c>
      <c r="R133" s="103">
        <f>IF(Human_Data_Entry!BR131="","",Human_Data_Entry!BR131)</f>
        <v/>
      </c>
      <c r="S133" s="103">
        <f>IF(Human_Data_Entry!BS131="","",Human_Data_Entry!BS131)</f>
        <v/>
      </c>
      <c r="T133" s="103">
        <f>IF(Human_Data_Entry!BT131="","",Human_Data_Entry!BT131)</f>
        <v/>
      </c>
    </row>
    <row r="134" ht="15" customHeight="1" s="241">
      <c r="A134" s="103">
        <f>IF(Human_Data_Entry!A132="","",Human_Data_Entry!A132)</f>
        <v/>
      </c>
      <c r="B134" s="103">
        <f>IF(Human_Data_Entry!B132="","",Human_Data_Entry!B132)</f>
        <v/>
      </c>
      <c r="C134" s="104">
        <f>IF(Human_Data_Entry!C132="","",Human_Data_Entry!C132)</f>
        <v/>
      </c>
      <c r="D134" s="103">
        <f>IF(Human_Data_Entry!D132="","",Human_Data_Entry!D132)</f>
        <v/>
      </c>
      <c r="E134" s="103">
        <f>IF(Human_Data_Entry!G132="","",Human_Data_Entry!G132)</f>
        <v/>
      </c>
      <c r="F134" s="103">
        <f>IF(Human_Data_Entry!X132="","",Human_Data_Entry!X132)</f>
        <v/>
      </c>
      <c r="G134" s="103">
        <f>IF(Human_Data_Entry!AY132="","",Human_Data_Entry!AY132)</f>
        <v/>
      </c>
      <c r="H134" s="103">
        <f>IF(Human_Data_Entry!AZ132="","",Human_Data_Entry!AZ132)</f>
        <v/>
      </c>
      <c r="I134" s="103">
        <f>IF(Human_Data_Entry!AL132="","",Human_Data_Entry!AL132)</f>
        <v/>
      </c>
      <c r="J134" s="103">
        <f>IF(Human_Data_Entry!AM132="","",Human_Data_Entry!AM132)</f>
        <v/>
      </c>
      <c r="K134" s="103">
        <f>IF(Human_Data_Entry!AN132="","",Human_Data_Entry!AN132)</f>
        <v/>
      </c>
      <c r="L134" s="103">
        <f>IF(Human_Data_Entry!AO132="","",Human_Data_Entry!AO132)</f>
        <v/>
      </c>
      <c r="M134" s="103">
        <f>IF(Human_Data_Entry!BM132="","",Human_Data_Entry!BM132)</f>
        <v/>
      </c>
      <c r="N134" s="103">
        <f>IF(Human_Data_Entry!BN132="","",Human_Data_Entry!BN132)</f>
        <v/>
      </c>
      <c r="O134" s="103">
        <f>IF(Human_Data_Entry!BO132="","",Human_Data_Entry!BO132)</f>
        <v/>
      </c>
      <c r="P134" s="103">
        <f>IF(Human_Data_Entry!BP132="","",Human_Data_Entry!BP132)</f>
        <v/>
      </c>
      <c r="Q134" s="103">
        <f>IF(Human_Data_Entry!BQ132="","",Human_Data_Entry!BQ132)</f>
        <v/>
      </c>
      <c r="R134" s="103">
        <f>IF(Human_Data_Entry!BR132="","",Human_Data_Entry!BR132)</f>
        <v/>
      </c>
      <c r="S134" s="103">
        <f>IF(Human_Data_Entry!BS132="","",Human_Data_Entry!BS132)</f>
        <v/>
      </c>
      <c r="T134" s="103">
        <f>IF(Human_Data_Entry!BT132="","",Human_Data_Entry!BT132)</f>
        <v/>
      </c>
    </row>
    <row r="135" ht="15" customHeight="1" s="241">
      <c r="A135" s="103">
        <f>IF(Human_Data_Entry!A133="","",Human_Data_Entry!A133)</f>
        <v/>
      </c>
      <c r="B135" s="103">
        <f>IF(Human_Data_Entry!B133="","",Human_Data_Entry!B133)</f>
        <v/>
      </c>
      <c r="C135" s="104">
        <f>IF(Human_Data_Entry!C133="","",Human_Data_Entry!C133)</f>
        <v/>
      </c>
      <c r="D135" s="103">
        <f>IF(Human_Data_Entry!D133="","",Human_Data_Entry!D133)</f>
        <v/>
      </c>
      <c r="E135" s="103">
        <f>IF(Human_Data_Entry!G133="","",Human_Data_Entry!G133)</f>
        <v/>
      </c>
      <c r="F135" s="103">
        <f>IF(Human_Data_Entry!X133="","",Human_Data_Entry!X133)</f>
        <v/>
      </c>
      <c r="G135" s="103">
        <f>IF(Human_Data_Entry!AY133="","",Human_Data_Entry!AY133)</f>
        <v/>
      </c>
      <c r="H135" s="103">
        <f>IF(Human_Data_Entry!AZ133="","",Human_Data_Entry!AZ133)</f>
        <v/>
      </c>
      <c r="I135" s="103">
        <f>IF(Human_Data_Entry!AL133="","",Human_Data_Entry!AL133)</f>
        <v/>
      </c>
      <c r="J135" s="103">
        <f>IF(Human_Data_Entry!AM133="","",Human_Data_Entry!AM133)</f>
        <v/>
      </c>
      <c r="K135" s="103">
        <f>IF(Human_Data_Entry!AN133="","",Human_Data_Entry!AN133)</f>
        <v/>
      </c>
      <c r="L135" s="103">
        <f>IF(Human_Data_Entry!AO133="","",Human_Data_Entry!AO133)</f>
        <v/>
      </c>
      <c r="M135" s="103">
        <f>IF(Human_Data_Entry!BM133="","",Human_Data_Entry!BM133)</f>
        <v/>
      </c>
      <c r="N135" s="103">
        <f>IF(Human_Data_Entry!BN133="","",Human_Data_Entry!BN133)</f>
        <v/>
      </c>
      <c r="O135" s="103">
        <f>IF(Human_Data_Entry!BO133="","",Human_Data_Entry!BO133)</f>
        <v/>
      </c>
      <c r="P135" s="103">
        <f>IF(Human_Data_Entry!BP133="","",Human_Data_Entry!BP133)</f>
        <v/>
      </c>
      <c r="Q135" s="103">
        <f>IF(Human_Data_Entry!BQ133="","",Human_Data_Entry!BQ133)</f>
        <v/>
      </c>
      <c r="R135" s="103">
        <f>IF(Human_Data_Entry!BR133="","",Human_Data_Entry!BR133)</f>
        <v/>
      </c>
      <c r="S135" s="103">
        <f>IF(Human_Data_Entry!BS133="","",Human_Data_Entry!BS133)</f>
        <v/>
      </c>
      <c r="T135" s="103">
        <f>IF(Human_Data_Entry!BT133="","",Human_Data_Entry!BT133)</f>
        <v/>
      </c>
    </row>
    <row r="136" ht="15" customHeight="1" s="241">
      <c r="A136" s="103">
        <f>IF(Human_Data_Entry!A134="","",Human_Data_Entry!A134)</f>
        <v/>
      </c>
      <c r="B136" s="103">
        <f>IF(Human_Data_Entry!B134="","",Human_Data_Entry!B134)</f>
        <v/>
      </c>
      <c r="C136" s="104">
        <f>IF(Human_Data_Entry!C134="","",Human_Data_Entry!C134)</f>
        <v/>
      </c>
      <c r="D136" s="103">
        <f>IF(Human_Data_Entry!D134="","",Human_Data_Entry!D134)</f>
        <v/>
      </c>
      <c r="E136" s="103">
        <f>IF(Human_Data_Entry!G134="","",Human_Data_Entry!G134)</f>
        <v/>
      </c>
      <c r="F136" s="103">
        <f>IF(Human_Data_Entry!X134="","",Human_Data_Entry!X134)</f>
        <v/>
      </c>
      <c r="G136" s="103">
        <f>IF(Human_Data_Entry!AY134="","",Human_Data_Entry!AY134)</f>
        <v/>
      </c>
      <c r="H136" s="103">
        <f>IF(Human_Data_Entry!AZ134="","",Human_Data_Entry!AZ134)</f>
        <v/>
      </c>
      <c r="I136" s="103">
        <f>IF(Human_Data_Entry!AL134="","",Human_Data_Entry!AL134)</f>
        <v/>
      </c>
      <c r="J136" s="103">
        <f>IF(Human_Data_Entry!AM134="","",Human_Data_Entry!AM134)</f>
        <v/>
      </c>
      <c r="K136" s="103">
        <f>IF(Human_Data_Entry!AN134="","",Human_Data_Entry!AN134)</f>
        <v/>
      </c>
      <c r="L136" s="103">
        <f>IF(Human_Data_Entry!AO134="","",Human_Data_Entry!AO134)</f>
        <v/>
      </c>
      <c r="M136" s="103">
        <f>IF(Human_Data_Entry!BM134="","",Human_Data_Entry!BM134)</f>
        <v/>
      </c>
      <c r="N136" s="103">
        <f>IF(Human_Data_Entry!BN134="","",Human_Data_Entry!BN134)</f>
        <v/>
      </c>
      <c r="O136" s="103">
        <f>IF(Human_Data_Entry!BO134="","",Human_Data_Entry!BO134)</f>
        <v/>
      </c>
      <c r="P136" s="103">
        <f>IF(Human_Data_Entry!BP134="","",Human_Data_Entry!BP134)</f>
        <v/>
      </c>
      <c r="Q136" s="103">
        <f>IF(Human_Data_Entry!BQ134="","",Human_Data_Entry!BQ134)</f>
        <v/>
      </c>
      <c r="R136" s="103">
        <f>IF(Human_Data_Entry!BR134="","",Human_Data_Entry!BR134)</f>
        <v/>
      </c>
      <c r="S136" s="103">
        <f>IF(Human_Data_Entry!BS134="","",Human_Data_Entry!BS134)</f>
        <v/>
      </c>
      <c r="T136" s="103">
        <f>IF(Human_Data_Entry!BT134="","",Human_Data_Entry!BT134)</f>
        <v/>
      </c>
    </row>
    <row r="137" ht="15" customHeight="1" s="241">
      <c r="A137" s="103">
        <f>IF(Human_Data_Entry!A135="","",Human_Data_Entry!A135)</f>
        <v/>
      </c>
      <c r="B137" s="103">
        <f>IF(Human_Data_Entry!B135="","",Human_Data_Entry!B135)</f>
        <v/>
      </c>
      <c r="C137" s="104">
        <f>IF(Human_Data_Entry!C135="","",Human_Data_Entry!C135)</f>
        <v/>
      </c>
      <c r="D137" s="103">
        <f>IF(Human_Data_Entry!D135="","",Human_Data_Entry!D135)</f>
        <v/>
      </c>
      <c r="E137" s="103">
        <f>IF(Human_Data_Entry!G135="","",Human_Data_Entry!G135)</f>
        <v/>
      </c>
      <c r="F137" s="103">
        <f>IF(Human_Data_Entry!X135="","",Human_Data_Entry!X135)</f>
        <v/>
      </c>
      <c r="G137" s="103">
        <f>IF(Human_Data_Entry!AY135="","",Human_Data_Entry!AY135)</f>
        <v/>
      </c>
      <c r="H137" s="103">
        <f>IF(Human_Data_Entry!AZ135="","",Human_Data_Entry!AZ135)</f>
        <v/>
      </c>
      <c r="I137" s="103">
        <f>IF(Human_Data_Entry!AL135="","",Human_Data_Entry!AL135)</f>
        <v/>
      </c>
      <c r="J137" s="103">
        <f>IF(Human_Data_Entry!AM135="","",Human_Data_Entry!AM135)</f>
        <v/>
      </c>
      <c r="K137" s="103">
        <f>IF(Human_Data_Entry!AN135="","",Human_Data_Entry!AN135)</f>
        <v/>
      </c>
      <c r="L137" s="103">
        <f>IF(Human_Data_Entry!AO135="","",Human_Data_Entry!AO135)</f>
        <v/>
      </c>
      <c r="M137" s="103">
        <f>IF(Human_Data_Entry!BM135="","",Human_Data_Entry!BM135)</f>
        <v/>
      </c>
      <c r="N137" s="103">
        <f>IF(Human_Data_Entry!BN135="","",Human_Data_Entry!BN135)</f>
        <v/>
      </c>
      <c r="O137" s="103">
        <f>IF(Human_Data_Entry!BO135="","",Human_Data_Entry!BO135)</f>
        <v/>
      </c>
      <c r="P137" s="103">
        <f>IF(Human_Data_Entry!BP135="","",Human_Data_Entry!BP135)</f>
        <v/>
      </c>
      <c r="Q137" s="103">
        <f>IF(Human_Data_Entry!BQ135="","",Human_Data_Entry!BQ135)</f>
        <v/>
      </c>
      <c r="R137" s="103">
        <f>IF(Human_Data_Entry!BR135="","",Human_Data_Entry!BR135)</f>
        <v/>
      </c>
      <c r="S137" s="103">
        <f>IF(Human_Data_Entry!BS135="","",Human_Data_Entry!BS135)</f>
        <v/>
      </c>
      <c r="T137" s="103">
        <f>IF(Human_Data_Entry!BT135="","",Human_Data_Entry!BT135)</f>
        <v/>
      </c>
    </row>
    <row r="138" ht="15" customHeight="1" s="241">
      <c r="A138" s="103">
        <f>IF(Human_Data_Entry!A136="","",Human_Data_Entry!A136)</f>
        <v/>
      </c>
      <c r="B138" s="103">
        <f>IF(Human_Data_Entry!B136="","",Human_Data_Entry!B136)</f>
        <v/>
      </c>
      <c r="C138" s="104">
        <f>IF(Human_Data_Entry!C136="","",Human_Data_Entry!C136)</f>
        <v/>
      </c>
      <c r="D138" s="103">
        <f>IF(Human_Data_Entry!D136="","",Human_Data_Entry!D136)</f>
        <v/>
      </c>
      <c r="E138" s="103">
        <f>IF(Human_Data_Entry!G136="","",Human_Data_Entry!G136)</f>
        <v/>
      </c>
      <c r="F138" s="103">
        <f>IF(Human_Data_Entry!X136="","",Human_Data_Entry!X136)</f>
        <v/>
      </c>
      <c r="G138" s="103">
        <f>IF(Human_Data_Entry!AY136="","",Human_Data_Entry!AY136)</f>
        <v/>
      </c>
      <c r="H138" s="103">
        <f>IF(Human_Data_Entry!AZ136="","",Human_Data_Entry!AZ136)</f>
        <v/>
      </c>
      <c r="I138" s="103">
        <f>IF(Human_Data_Entry!AL136="","",Human_Data_Entry!AL136)</f>
        <v/>
      </c>
      <c r="J138" s="103">
        <f>IF(Human_Data_Entry!AM136="","",Human_Data_Entry!AM136)</f>
        <v/>
      </c>
      <c r="K138" s="103">
        <f>IF(Human_Data_Entry!AN136="","",Human_Data_Entry!AN136)</f>
        <v/>
      </c>
      <c r="L138" s="103">
        <f>IF(Human_Data_Entry!AO136="","",Human_Data_Entry!AO136)</f>
        <v/>
      </c>
      <c r="M138" s="103">
        <f>IF(Human_Data_Entry!BM136="","",Human_Data_Entry!BM136)</f>
        <v/>
      </c>
      <c r="N138" s="103">
        <f>IF(Human_Data_Entry!BN136="","",Human_Data_Entry!BN136)</f>
        <v/>
      </c>
      <c r="O138" s="103">
        <f>IF(Human_Data_Entry!BO136="","",Human_Data_Entry!BO136)</f>
        <v/>
      </c>
      <c r="P138" s="103">
        <f>IF(Human_Data_Entry!BP136="","",Human_Data_Entry!BP136)</f>
        <v/>
      </c>
      <c r="Q138" s="103">
        <f>IF(Human_Data_Entry!BQ136="","",Human_Data_Entry!BQ136)</f>
        <v/>
      </c>
      <c r="R138" s="103">
        <f>IF(Human_Data_Entry!BR136="","",Human_Data_Entry!BR136)</f>
        <v/>
      </c>
      <c r="S138" s="103">
        <f>IF(Human_Data_Entry!BS136="","",Human_Data_Entry!BS136)</f>
        <v/>
      </c>
      <c r="T138" s="103">
        <f>IF(Human_Data_Entry!BT136="","",Human_Data_Entry!BT136)</f>
        <v/>
      </c>
    </row>
    <row r="139" ht="15" customHeight="1" s="241">
      <c r="A139" s="103">
        <f>IF(Human_Data_Entry!A137="","",Human_Data_Entry!A137)</f>
        <v/>
      </c>
      <c r="B139" s="103">
        <f>IF(Human_Data_Entry!B137="","",Human_Data_Entry!B137)</f>
        <v/>
      </c>
      <c r="C139" s="104">
        <f>IF(Human_Data_Entry!C137="","",Human_Data_Entry!C137)</f>
        <v/>
      </c>
      <c r="D139" s="103">
        <f>IF(Human_Data_Entry!D137="","",Human_Data_Entry!D137)</f>
        <v/>
      </c>
      <c r="E139" s="103">
        <f>IF(Human_Data_Entry!G137="","",Human_Data_Entry!G137)</f>
        <v/>
      </c>
      <c r="F139" s="103">
        <f>IF(Human_Data_Entry!X137="","",Human_Data_Entry!X137)</f>
        <v/>
      </c>
      <c r="G139" s="103">
        <f>IF(Human_Data_Entry!AY137="","",Human_Data_Entry!AY137)</f>
        <v/>
      </c>
      <c r="H139" s="103">
        <f>IF(Human_Data_Entry!AZ137="","",Human_Data_Entry!AZ137)</f>
        <v/>
      </c>
      <c r="I139" s="103">
        <f>IF(Human_Data_Entry!AL137="","",Human_Data_Entry!AL137)</f>
        <v/>
      </c>
      <c r="J139" s="103">
        <f>IF(Human_Data_Entry!AM137="","",Human_Data_Entry!AM137)</f>
        <v/>
      </c>
      <c r="K139" s="103">
        <f>IF(Human_Data_Entry!AN137="","",Human_Data_Entry!AN137)</f>
        <v/>
      </c>
      <c r="L139" s="103">
        <f>IF(Human_Data_Entry!AO137="","",Human_Data_Entry!AO137)</f>
        <v/>
      </c>
      <c r="M139" s="103">
        <f>IF(Human_Data_Entry!BM137="","",Human_Data_Entry!BM137)</f>
        <v/>
      </c>
      <c r="N139" s="103">
        <f>IF(Human_Data_Entry!BN137="","",Human_Data_Entry!BN137)</f>
        <v/>
      </c>
      <c r="O139" s="103">
        <f>IF(Human_Data_Entry!BO137="","",Human_Data_Entry!BO137)</f>
        <v/>
      </c>
      <c r="P139" s="103">
        <f>IF(Human_Data_Entry!BP137="","",Human_Data_Entry!BP137)</f>
        <v/>
      </c>
      <c r="Q139" s="103">
        <f>IF(Human_Data_Entry!BQ137="","",Human_Data_Entry!BQ137)</f>
        <v/>
      </c>
      <c r="R139" s="103">
        <f>IF(Human_Data_Entry!BR137="","",Human_Data_Entry!BR137)</f>
        <v/>
      </c>
      <c r="S139" s="103">
        <f>IF(Human_Data_Entry!BS137="","",Human_Data_Entry!BS137)</f>
        <v/>
      </c>
      <c r="T139" s="103">
        <f>IF(Human_Data_Entry!BT137="","",Human_Data_Entry!BT137)</f>
        <v/>
      </c>
    </row>
    <row r="140" ht="15" customHeight="1" s="241">
      <c r="A140" s="103">
        <f>IF(Human_Data_Entry!A138="","",Human_Data_Entry!A138)</f>
        <v/>
      </c>
      <c r="B140" s="103">
        <f>IF(Human_Data_Entry!B138="","",Human_Data_Entry!B138)</f>
        <v/>
      </c>
      <c r="C140" s="104">
        <f>IF(Human_Data_Entry!C138="","",Human_Data_Entry!C138)</f>
        <v/>
      </c>
      <c r="D140" s="103">
        <f>IF(Human_Data_Entry!D138="","",Human_Data_Entry!D138)</f>
        <v/>
      </c>
      <c r="E140" s="103">
        <f>IF(Human_Data_Entry!G138="","",Human_Data_Entry!G138)</f>
        <v/>
      </c>
      <c r="F140" s="103">
        <f>IF(Human_Data_Entry!X138="","",Human_Data_Entry!X138)</f>
        <v/>
      </c>
      <c r="G140" s="103">
        <f>IF(Human_Data_Entry!AY138="","",Human_Data_Entry!AY138)</f>
        <v/>
      </c>
      <c r="H140" s="103">
        <f>IF(Human_Data_Entry!AZ138="","",Human_Data_Entry!AZ138)</f>
        <v/>
      </c>
      <c r="I140" s="103">
        <f>IF(Human_Data_Entry!AL138="","",Human_Data_Entry!AL138)</f>
        <v/>
      </c>
      <c r="J140" s="103">
        <f>IF(Human_Data_Entry!AM138="","",Human_Data_Entry!AM138)</f>
        <v/>
      </c>
      <c r="K140" s="103">
        <f>IF(Human_Data_Entry!AN138="","",Human_Data_Entry!AN138)</f>
        <v/>
      </c>
      <c r="L140" s="103">
        <f>IF(Human_Data_Entry!AO138="","",Human_Data_Entry!AO138)</f>
        <v/>
      </c>
      <c r="M140" s="103">
        <f>IF(Human_Data_Entry!BM138="","",Human_Data_Entry!BM138)</f>
        <v/>
      </c>
      <c r="N140" s="103">
        <f>IF(Human_Data_Entry!BN138="","",Human_Data_Entry!BN138)</f>
        <v/>
      </c>
      <c r="O140" s="103">
        <f>IF(Human_Data_Entry!BO138="","",Human_Data_Entry!BO138)</f>
        <v/>
      </c>
      <c r="P140" s="103">
        <f>IF(Human_Data_Entry!BP138="","",Human_Data_Entry!BP138)</f>
        <v/>
      </c>
      <c r="Q140" s="103">
        <f>IF(Human_Data_Entry!BQ138="","",Human_Data_Entry!BQ138)</f>
        <v/>
      </c>
      <c r="R140" s="103">
        <f>IF(Human_Data_Entry!BR138="","",Human_Data_Entry!BR138)</f>
        <v/>
      </c>
      <c r="S140" s="103">
        <f>IF(Human_Data_Entry!BS138="","",Human_Data_Entry!BS138)</f>
        <v/>
      </c>
      <c r="T140" s="103">
        <f>IF(Human_Data_Entry!BT138="","",Human_Data_Entry!BT138)</f>
        <v/>
      </c>
    </row>
    <row r="141" ht="15" customHeight="1" s="241">
      <c r="A141" s="103">
        <f>IF(Human_Data_Entry!A139="","",Human_Data_Entry!A139)</f>
        <v/>
      </c>
      <c r="B141" s="103">
        <f>IF(Human_Data_Entry!B139="","",Human_Data_Entry!B139)</f>
        <v/>
      </c>
      <c r="C141" s="104">
        <f>IF(Human_Data_Entry!C139="","",Human_Data_Entry!C139)</f>
        <v/>
      </c>
      <c r="D141" s="103">
        <f>IF(Human_Data_Entry!D139="","",Human_Data_Entry!D139)</f>
        <v/>
      </c>
      <c r="E141" s="103">
        <f>IF(Human_Data_Entry!G139="","",Human_Data_Entry!G139)</f>
        <v/>
      </c>
      <c r="F141" s="103">
        <f>IF(Human_Data_Entry!X139="","",Human_Data_Entry!X139)</f>
        <v/>
      </c>
      <c r="G141" s="103">
        <f>IF(Human_Data_Entry!AY139="","",Human_Data_Entry!AY139)</f>
        <v/>
      </c>
      <c r="H141" s="103">
        <f>IF(Human_Data_Entry!AZ139="","",Human_Data_Entry!AZ139)</f>
        <v/>
      </c>
      <c r="I141" s="103">
        <f>IF(Human_Data_Entry!AL139="","",Human_Data_Entry!AL139)</f>
        <v/>
      </c>
      <c r="J141" s="103">
        <f>IF(Human_Data_Entry!AM139="","",Human_Data_Entry!AM139)</f>
        <v/>
      </c>
      <c r="K141" s="103">
        <f>IF(Human_Data_Entry!AN139="","",Human_Data_Entry!AN139)</f>
        <v/>
      </c>
      <c r="L141" s="103">
        <f>IF(Human_Data_Entry!AO139="","",Human_Data_Entry!AO139)</f>
        <v/>
      </c>
      <c r="M141" s="103">
        <f>IF(Human_Data_Entry!BM139="","",Human_Data_Entry!BM139)</f>
        <v/>
      </c>
      <c r="N141" s="103">
        <f>IF(Human_Data_Entry!BN139="","",Human_Data_Entry!BN139)</f>
        <v/>
      </c>
      <c r="O141" s="103">
        <f>IF(Human_Data_Entry!BO139="","",Human_Data_Entry!BO139)</f>
        <v/>
      </c>
      <c r="P141" s="103">
        <f>IF(Human_Data_Entry!BP139="","",Human_Data_Entry!BP139)</f>
        <v/>
      </c>
      <c r="Q141" s="103">
        <f>IF(Human_Data_Entry!BQ139="","",Human_Data_Entry!BQ139)</f>
        <v/>
      </c>
      <c r="R141" s="103">
        <f>IF(Human_Data_Entry!BR139="","",Human_Data_Entry!BR139)</f>
        <v/>
      </c>
      <c r="S141" s="103">
        <f>IF(Human_Data_Entry!BS139="","",Human_Data_Entry!BS139)</f>
        <v/>
      </c>
      <c r="T141" s="103">
        <f>IF(Human_Data_Entry!BT139="","",Human_Data_Entry!BT139)</f>
        <v/>
      </c>
    </row>
    <row r="142" ht="15" customHeight="1" s="241">
      <c r="A142" s="103">
        <f>IF(Human_Data_Entry!A140="","",Human_Data_Entry!A140)</f>
        <v/>
      </c>
      <c r="B142" s="103">
        <f>IF(Human_Data_Entry!B140="","",Human_Data_Entry!B140)</f>
        <v/>
      </c>
      <c r="C142" s="104">
        <f>IF(Human_Data_Entry!C140="","",Human_Data_Entry!C140)</f>
        <v/>
      </c>
      <c r="D142" s="103">
        <f>IF(Human_Data_Entry!D140="","",Human_Data_Entry!D140)</f>
        <v/>
      </c>
      <c r="E142" s="103">
        <f>IF(Human_Data_Entry!G140="","",Human_Data_Entry!G140)</f>
        <v/>
      </c>
      <c r="F142" s="103">
        <f>IF(Human_Data_Entry!X140="","",Human_Data_Entry!X140)</f>
        <v/>
      </c>
      <c r="G142" s="103">
        <f>IF(Human_Data_Entry!AY140="","",Human_Data_Entry!AY140)</f>
        <v/>
      </c>
      <c r="H142" s="103">
        <f>IF(Human_Data_Entry!AZ140="","",Human_Data_Entry!AZ140)</f>
        <v/>
      </c>
      <c r="I142" s="103">
        <f>IF(Human_Data_Entry!AL140="","",Human_Data_Entry!AL140)</f>
        <v/>
      </c>
      <c r="J142" s="103">
        <f>IF(Human_Data_Entry!AM140="","",Human_Data_Entry!AM140)</f>
        <v/>
      </c>
      <c r="K142" s="103">
        <f>IF(Human_Data_Entry!AN140="","",Human_Data_Entry!AN140)</f>
        <v/>
      </c>
      <c r="L142" s="103">
        <f>IF(Human_Data_Entry!AO140="","",Human_Data_Entry!AO140)</f>
        <v/>
      </c>
      <c r="M142" s="103">
        <f>IF(Human_Data_Entry!BM140="","",Human_Data_Entry!BM140)</f>
        <v/>
      </c>
      <c r="N142" s="103">
        <f>IF(Human_Data_Entry!BN140="","",Human_Data_Entry!BN140)</f>
        <v/>
      </c>
      <c r="O142" s="103">
        <f>IF(Human_Data_Entry!BO140="","",Human_Data_Entry!BO140)</f>
        <v/>
      </c>
      <c r="P142" s="103">
        <f>IF(Human_Data_Entry!BP140="","",Human_Data_Entry!BP140)</f>
        <v/>
      </c>
      <c r="Q142" s="103">
        <f>IF(Human_Data_Entry!BQ140="","",Human_Data_Entry!BQ140)</f>
        <v/>
      </c>
      <c r="R142" s="103">
        <f>IF(Human_Data_Entry!BR140="","",Human_Data_Entry!BR140)</f>
        <v/>
      </c>
      <c r="S142" s="103">
        <f>IF(Human_Data_Entry!BS140="","",Human_Data_Entry!BS140)</f>
        <v/>
      </c>
      <c r="T142" s="103">
        <f>IF(Human_Data_Entry!BT140="","",Human_Data_Entry!BT140)</f>
        <v/>
      </c>
    </row>
    <row r="143" ht="15" customHeight="1" s="241">
      <c r="A143" s="103">
        <f>IF(Human_Data_Entry!A141="","",Human_Data_Entry!A141)</f>
        <v/>
      </c>
      <c r="B143" s="103">
        <f>IF(Human_Data_Entry!B141="","",Human_Data_Entry!B141)</f>
        <v/>
      </c>
      <c r="C143" s="104">
        <f>IF(Human_Data_Entry!C141="","",Human_Data_Entry!C141)</f>
        <v/>
      </c>
      <c r="D143" s="103">
        <f>IF(Human_Data_Entry!D141="","",Human_Data_Entry!D141)</f>
        <v/>
      </c>
      <c r="E143" s="103">
        <f>IF(Human_Data_Entry!G141="","",Human_Data_Entry!G141)</f>
        <v/>
      </c>
      <c r="F143" s="103">
        <f>IF(Human_Data_Entry!X141="","",Human_Data_Entry!X141)</f>
        <v/>
      </c>
      <c r="G143" s="103">
        <f>IF(Human_Data_Entry!AY141="","",Human_Data_Entry!AY141)</f>
        <v/>
      </c>
      <c r="H143" s="103">
        <f>IF(Human_Data_Entry!AZ141="","",Human_Data_Entry!AZ141)</f>
        <v/>
      </c>
      <c r="I143" s="103">
        <f>IF(Human_Data_Entry!AL141="","",Human_Data_Entry!AL141)</f>
        <v/>
      </c>
      <c r="J143" s="103">
        <f>IF(Human_Data_Entry!AM141="","",Human_Data_Entry!AM141)</f>
        <v/>
      </c>
      <c r="K143" s="103">
        <f>IF(Human_Data_Entry!AN141="","",Human_Data_Entry!AN141)</f>
        <v/>
      </c>
      <c r="L143" s="103">
        <f>IF(Human_Data_Entry!AO141="","",Human_Data_Entry!AO141)</f>
        <v/>
      </c>
      <c r="M143" s="103">
        <f>IF(Human_Data_Entry!BM141="","",Human_Data_Entry!BM141)</f>
        <v/>
      </c>
      <c r="N143" s="103">
        <f>IF(Human_Data_Entry!BN141="","",Human_Data_Entry!BN141)</f>
        <v/>
      </c>
      <c r="O143" s="103">
        <f>IF(Human_Data_Entry!BO141="","",Human_Data_Entry!BO141)</f>
        <v/>
      </c>
      <c r="P143" s="103">
        <f>IF(Human_Data_Entry!BP141="","",Human_Data_Entry!BP141)</f>
        <v/>
      </c>
      <c r="Q143" s="103">
        <f>IF(Human_Data_Entry!BQ141="","",Human_Data_Entry!BQ141)</f>
        <v/>
      </c>
      <c r="R143" s="103">
        <f>IF(Human_Data_Entry!BR141="","",Human_Data_Entry!BR141)</f>
        <v/>
      </c>
      <c r="S143" s="103">
        <f>IF(Human_Data_Entry!BS141="","",Human_Data_Entry!BS141)</f>
        <v/>
      </c>
      <c r="T143" s="103">
        <f>IF(Human_Data_Entry!BT141="","",Human_Data_Entry!BT141)</f>
        <v/>
      </c>
    </row>
    <row r="144" ht="15" customHeight="1" s="241">
      <c r="A144" s="103">
        <f>IF(Human_Data_Entry!A142="","",Human_Data_Entry!A142)</f>
        <v/>
      </c>
      <c r="B144" s="103">
        <f>IF(Human_Data_Entry!B142="","",Human_Data_Entry!B142)</f>
        <v/>
      </c>
      <c r="C144" s="104">
        <f>IF(Human_Data_Entry!C142="","",Human_Data_Entry!C142)</f>
        <v/>
      </c>
      <c r="D144" s="103">
        <f>IF(Human_Data_Entry!D142="","",Human_Data_Entry!D142)</f>
        <v/>
      </c>
      <c r="E144" s="103">
        <f>IF(Human_Data_Entry!G142="","",Human_Data_Entry!G142)</f>
        <v/>
      </c>
      <c r="F144" s="103">
        <f>IF(Human_Data_Entry!X142="","",Human_Data_Entry!X142)</f>
        <v/>
      </c>
      <c r="G144" s="103">
        <f>IF(Human_Data_Entry!AY142="","",Human_Data_Entry!AY142)</f>
        <v/>
      </c>
      <c r="H144" s="103">
        <f>IF(Human_Data_Entry!AZ142="","",Human_Data_Entry!AZ142)</f>
        <v/>
      </c>
      <c r="I144" s="103">
        <f>IF(Human_Data_Entry!AL142="","",Human_Data_Entry!AL142)</f>
        <v/>
      </c>
      <c r="J144" s="103">
        <f>IF(Human_Data_Entry!AM142="","",Human_Data_Entry!AM142)</f>
        <v/>
      </c>
      <c r="K144" s="103">
        <f>IF(Human_Data_Entry!AN142="","",Human_Data_Entry!AN142)</f>
        <v/>
      </c>
      <c r="L144" s="103">
        <f>IF(Human_Data_Entry!AO142="","",Human_Data_Entry!AO142)</f>
        <v/>
      </c>
      <c r="M144" s="103">
        <f>IF(Human_Data_Entry!BM142="","",Human_Data_Entry!BM142)</f>
        <v/>
      </c>
      <c r="N144" s="103">
        <f>IF(Human_Data_Entry!BN142="","",Human_Data_Entry!BN142)</f>
        <v/>
      </c>
      <c r="O144" s="103">
        <f>IF(Human_Data_Entry!BO142="","",Human_Data_Entry!BO142)</f>
        <v/>
      </c>
      <c r="P144" s="103">
        <f>IF(Human_Data_Entry!BP142="","",Human_Data_Entry!BP142)</f>
        <v/>
      </c>
      <c r="Q144" s="103">
        <f>IF(Human_Data_Entry!BQ142="","",Human_Data_Entry!BQ142)</f>
        <v/>
      </c>
      <c r="R144" s="103">
        <f>IF(Human_Data_Entry!BR142="","",Human_Data_Entry!BR142)</f>
        <v/>
      </c>
      <c r="S144" s="103">
        <f>IF(Human_Data_Entry!BS142="","",Human_Data_Entry!BS142)</f>
        <v/>
      </c>
      <c r="T144" s="103">
        <f>IF(Human_Data_Entry!BT142="","",Human_Data_Entry!BT142)</f>
        <v/>
      </c>
    </row>
    <row r="145" ht="15" customHeight="1" s="241">
      <c r="A145" s="103">
        <f>IF(Human_Data_Entry!A143="","",Human_Data_Entry!A143)</f>
        <v/>
      </c>
      <c r="B145" s="103">
        <f>IF(Human_Data_Entry!B143="","",Human_Data_Entry!B143)</f>
        <v/>
      </c>
      <c r="C145" s="104">
        <f>IF(Human_Data_Entry!C143="","",Human_Data_Entry!C143)</f>
        <v/>
      </c>
      <c r="D145" s="103">
        <f>IF(Human_Data_Entry!D143="","",Human_Data_Entry!D143)</f>
        <v/>
      </c>
      <c r="E145" s="103">
        <f>IF(Human_Data_Entry!G143="","",Human_Data_Entry!G143)</f>
        <v/>
      </c>
      <c r="F145" s="103">
        <f>IF(Human_Data_Entry!X143="","",Human_Data_Entry!X143)</f>
        <v/>
      </c>
      <c r="G145" s="103">
        <f>IF(Human_Data_Entry!AY143="","",Human_Data_Entry!AY143)</f>
        <v/>
      </c>
      <c r="H145" s="103">
        <f>IF(Human_Data_Entry!AZ143="","",Human_Data_Entry!AZ143)</f>
        <v/>
      </c>
      <c r="I145" s="103">
        <f>IF(Human_Data_Entry!AL143="","",Human_Data_Entry!AL143)</f>
        <v/>
      </c>
      <c r="J145" s="103">
        <f>IF(Human_Data_Entry!AM143="","",Human_Data_Entry!AM143)</f>
        <v/>
      </c>
      <c r="K145" s="103">
        <f>IF(Human_Data_Entry!AN143="","",Human_Data_Entry!AN143)</f>
        <v/>
      </c>
      <c r="L145" s="103">
        <f>IF(Human_Data_Entry!AO143="","",Human_Data_Entry!AO143)</f>
        <v/>
      </c>
      <c r="M145" s="103">
        <f>IF(Human_Data_Entry!BM143="","",Human_Data_Entry!BM143)</f>
        <v/>
      </c>
      <c r="N145" s="103">
        <f>IF(Human_Data_Entry!BN143="","",Human_Data_Entry!BN143)</f>
        <v/>
      </c>
      <c r="O145" s="103">
        <f>IF(Human_Data_Entry!BO143="","",Human_Data_Entry!BO143)</f>
        <v/>
      </c>
      <c r="P145" s="103">
        <f>IF(Human_Data_Entry!BP143="","",Human_Data_Entry!BP143)</f>
        <v/>
      </c>
      <c r="Q145" s="103">
        <f>IF(Human_Data_Entry!BQ143="","",Human_Data_Entry!BQ143)</f>
        <v/>
      </c>
      <c r="R145" s="103">
        <f>IF(Human_Data_Entry!BR143="","",Human_Data_Entry!BR143)</f>
        <v/>
      </c>
      <c r="S145" s="103">
        <f>IF(Human_Data_Entry!BS143="","",Human_Data_Entry!BS143)</f>
        <v/>
      </c>
      <c r="T145" s="103">
        <f>IF(Human_Data_Entry!BT143="","",Human_Data_Entry!BT143)</f>
        <v/>
      </c>
    </row>
    <row r="146" ht="15" customHeight="1" s="241">
      <c r="A146" s="103">
        <f>IF(Human_Data_Entry!A144="","",Human_Data_Entry!A144)</f>
        <v/>
      </c>
      <c r="B146" s="103">
        <f>IF(Human_Data_Entry!B144="","",Human_Data_Entry!B144)</f>
        <v/>
      </c>
      <c r="C146" s="104">
        <f>IF(Human_Data_Entry!C144="","",Human_Data_Entry!C144)</f>
        <v/>
      </c>
      <c r="D146" s="103">
        <f>IF(Human_Data_Entry!D144="","",Human_Data_Entry!D144)</f>
        <v/>
      </c>
      <c r="E146" s="103">
        <f>IF(Human_Data_Entry!G144="","",Human_Data_Entry!G144)</f>
        <v/>
      </c>
      <c r="F146" s="103">
        <f>IF(Human_Data_Entry!X144="","",Human_Data_Entry!X144)</f>
        <v/>
      </c>
      <c r="G146" s="103">
        <f>IF(Human_Data_Entry!AY144="","",Human_Data_Entry!AY144)</f>
        <v/>
      </c>
      <c r="H146" s="103">
        <f>IF(Human_Data_Entry!AZ144="","",Human_Data_Entry!AZ144)</f>
        <v/>
      </c>
      <c r="I146" s="103">
        <f>IF(Human_Data_Entry!AL144="","",Human_Data_Entry!AL144)</f>
        <v/>
      </c>
      <c r="J146" s="103">
        <f>IF(Human_Data_Entry!AM144="","",Human_Data_Entry!AM144)</f>
        <v/>
      </c>
      <c r="K146" s="103">
        <f>IF(Human_Data_Entry!AN144="","",Human_Data_Entry!AN144)</f>
        <v/>
      </c>
      <c r="L146" s="103">
        <f>IF(Human_Data_Entry!AO144="","",Human_Data_Entry!AO144)</f>
        <v/>
      </c>
      <c r="M146" s="103">
        <f>IF(Human_Data_Entry!BM144="","",Human_Data_Entry!BM144)</f>
        <v/>
      </c>
      <c r="N146" s="103">
        <f>IF(Human_Data_Entry!BN144="","",Human_Data_Entry!BN144)</f>
        <v/>
      </c>
      <c r="O146" s="103">
        <f>IF(Human_Data_Entry!BO144="","",Human_Data_Entry!BO144)</f>
        <v/>
      </c>
      <c r="P146" s="103">
        <f>IF(Human_Data_Entry!BP144="","",Human_Data_Entry!BP144)</f>
        <v/>
      </c>
      <c r="Q146" s="103">
        <f>IF(Human_Data_Entry!BQ144="","",Human_Data_Entry!BQ144)</f>
        <v/>
      </c>
      <c r="R146" s="103">
        <f>IF(Human_Data_Entry!BR144="","",Human_Data_Entry!BR144)</f>
        <v/>
      </c>
      <c r="S146" s="103">
        <f>IF(Human_Data_Entry!BS144="","",Human_Data_Entry!BS144)</f>
        <v/>
      </c>
      <c r="T146" s="103">
        <f>IF(Human_Data_Entry!BT144="","",Human_Data_Entry!BT144)</f>
        <v/>
      </c>
    </row>
    <row r="147" ht="15" customHeight="1" s="241">
      <c r="A147" s="103">
        <f>IF(Human_Data_Entry!A145="","",Human_Data_Entry!A145)</f>
        <v/>
      </c>
      <c r="B147" s="103">
        <f>IF(Human_Data_Entry!B145="","",Human_Data_Entry!B145)</f>
        <v/>
      </c>
      <c r="C147" s="104">
        <f>IF(Human_Data_Entry!C145="","",Human_Data_Entry!C145)</f>
        <v/>
      </c>
      <c r="D147" s="103">
        <f>IF(Human_Data_Entry!D145="","",Human_Data_Entry!D145)</f>
        <v/>
      </c>
      <c r="E147" s="103">
        <f>IF(Human_Data_Entry!G145="","",Human_Data_Entry!G145)</f>
        <v/>
      </c>
      <c r="F147" s="103">
        <f>IF(Human_Data_Entry!X145="","",Human_Data_Entry!X145)</f>
        <v/>
      </c>
      <c r="G147" s="103">
        <f>IF(Human_Data_Entry!AY145="","",Human_Data_Entry!AY145)</f>
        <v/>
      </c>
      <c r="H147" s="103">
        <f>IF(Human_Data_Entry!AZ145="","",Human_Data_Entry!AZ145)</f>
        <v/>
      </c>
      <c r="I147" s="103">
        <f>IF(Human_Data_Entry!AL145="","",Human_Data_Entry!AL145)</f>
        <v/>
      </c>
      <c r="J147" s="103">
        <f>IF(Human_Data_Entry!AM145="","",Human_Data_Entry!AM145)</f>
        <v/>
      </c>
      <c r="K147" s="103">
        <f>IF(Human_Data_Entry!AN145="","",Human_Data_Entry!AN145)</f>
        <v/>
      </c>
      <c r="L147" s="103">
        <f>IF(Human_Data_Entry!AO145="","",Human_Data_Entry!AO145)</f>
        <v/>
      </c>
      <c r="M147" s="103">
        <f>IF(Human_Data_Entry!BM145="","",Human_Data_Entry!BM145)</f>
        <v/>
      </c>
      <c r="N147" s="103">
        <f>IF(Human_Data_Entry!BN145="","",Human_Data_Entry!BN145)</f>
        <v/>
      </c>
      <c r="O147" s="103">
        <f>IF(Human_Data_Entry!BO145="","",Human_Data_Entry!BO145)</f>
        <v/>
      </c>
      <c r="P147" s="103">
        <f>IF(Human_Data_Entry!BP145="","",Human_Data_Entry!BP145)</f>
        <v/>
      </c>
      <c r="Q147" s="103">
        <f>IF(Human_Data_Entry!BQ145="","",Human_Data_Entry!BQ145)</f>
        <v/>
      </c>
      <c r="R147" s="103">
        <f>IF(Human_Data_Entry!BR145="","",Human_Data_Entry!BR145)</f>
        <v/>
      </c>
      <c r="S147" s="103">
        <f>IF(Human_Data_Entry!BS145="","",Human_Data_Entry!BS145)</f>
        <v/>
      </c>
      <c r="T147" s="103">
        <f>IF(Human_Data_Entry!BT145="","",Human_Data_Entry!BT145)</f>
        <v/>
      </c>
    </row>
    <row r="148" ht="15" customHeight="1" s="241">
      <c r="A148" s="103">
        <f>IF(Human_Data_Entry!A146="","",Human_Data_Entry!A146)</f>
        <v/>
      </c>
      <c r="B148" s="103">
        <f>IF(Human_Data_Entry!B146="","",Human_Data_Entry!B146)</f>
        <v/>
      </c>
      <c r="C148" s="104">
        <f>IF(Human_Data_Entry!C146="","",Human_Data_Entry!C146)</f>
        <v/>
      </c>
      <c r="D148" s="103">
        <f>IF(Human_Data_Entry!D146="","",Human_Data_Entry!D146)</f>
        <v/>
      </c>
      <c r="E148" s="103">
        <f>IF(Human_Data_Entry!G146="","",Human_Data_Entry!G146)</f>
        <v/>
      </c>
      <c r="F148" s="103">
        <f>IF(Human_Data_Entry!X146="","",Human_Data_Entry!X146)</f>
        <v/>
      </c>
      <c r="G148" s="103">
        <f>IF(Human_Data_Entry!AY146="","",Human_Data_Entry!AY146)</f>
        <v/>
      </c>
      <c r="H148" s="103">
        <f>IF(Human_Data_Entry!AZ146="","",Human_Data_Entry!AZ146)</f>
        <v/>
      </c>
      <c r="I148" s="103">
        <f>IF(Human_Data_Entry!AL146="","",Human_Data_Entry!AL146)</f>
        <v/>
      </c>
      <c r="J148" s="103">
        <f>IF(Human_Data_Entry!AM146="","",Human_Data_Entry!AM146)</f>
        <v/>
      </c>
      <c r="K148" s="103">
        <f>IF(Human_Data_Entry!AN146="","",Human_Data_Entry!AN146)</f>
        <v/>
      </c>
      <c r="L148" s="103">
        <f>IF(Human_Data_Entry!AO146="","",Human_Data_Entry!AO146)</f>
        <v/>
      </c>
      <c r="M148" s="103">
        <f>IF(Human_Data_Entry!BM146="","",Human_Data_Entry!BM146)</f>
        <v/>
      </c>
      <c r="N148" s="103">
        <f>IF(Human_Data_Entry!BN146="","",Human_Data_Entry!BN146)</f>
        <v/>
      </c>
      <c r="O148" s="103">
        <f>IF(Human_Data_Entry!BO146="","",Human_Data_Entry!BO146)</f>
        <v/>
      </c>
      <c r="P148" s="103">
        <f>IF(Human_Data_Entry!BP146="","",Human_Data_Entry!BP146)</f>
        <v/>
      </c>
      <c r="Q148" s="103">
        <f>IF(Human_Data_Entry!BQ146="","",Human_Data_Entry!BQ146)</f>
        <v/>
      </c>
      <c r="R148" s="103">
        <f>IF(Human_Data_Entry!BR146="","",Human_Data_Entry!BR146)</f>
        <v/>
      </c>
      <c r="S148" s="103">
        <f>IF(Human_Data_Entry!BS146="","",Human_Data_Entry!BS146)</f>
        <v/>
      </c>
      <c r="T148" s="103">
        <f>IF(Human_Data_Entry!BT146="","",Human_Data_Entry!BT146)</f>
        <v/>
      </c>
    </row>
    <row r="149" ht="15" customHeight="1" s="241">
      <c r="A149" s="103">
        <f>IF(Human_Data_Entry!A147="","",Human_Data_Entry!A147)</f>
        <v/>
      </c>
      <c r="B149" s="103">
        <f>IF(Human_Data_Entry!B147="","",Human_Data_Entry!B147)</f>
        <v/>
      </c>
      <c r="C149" s="104">
        <f>IF(Human_Data_Entry!C147="","",Human_Data_Entry!C147)</f>
        <v/>
      </c>
      <c r="D149" s="103">
        <f>IF(Human_Data_Entry!D147="","",Human_Data_Entry!D147)</f>
        <v/>
      </c>
      <c r="E149" s="103">
        <f>IF(Human_Data_Entry!G147="","",Human_Data_Entry!G147)</f>
        <v/>
      </c>
      <c r="F149" s="103">
        <f>IF(Human_Data_Entry!X147="","",Human_Data_Entry!X147)</f>
        <v/>
      </c>
      <c r="G149" s="103">
        <f>IF(Human_Data_Entry!AY147="","",Human_Data_Entry!AY147)</f>
        <v/>
      </c>
      <c r="H149" s="103">
        <f>IF(Human_Data_Entry!AZ147="","",Human_Data_Entry!AZ147)</f>
        <v/>
      </c>
      <c r="I149" s="103">
        <f>IF(Human_Data_Entry!AL147="","",Human_Data_Entry!AL147)</f>
        <v/>
      </c>
      <c r="J149" s="103">
        <f>IF(Human_Data_Entry!AM147="","",Human_Data_Entry!AM147)</f>
        <v/>
      </c>
      <c r="K149" s="103">
        <f>IF(Human_Data_Entry!AN147="","",Human_Data_Entry!AN147)</f>
        <v/>
      </c>
      <c r="L149" s="103">
        <f>IF(Human_Data_Entry!AO147="","",Human_Data_Entry!AO147)</f>
        <v/>
      </c>
      <c r="M149" s="103">
        <f>IF(Human_Data_Entry!BM147="","",Human_Data_Entry!BM147)</f>
        <v/>
      </c>
      <c r="N149" s="103">
        <f>IF(Human_Data_Entry!BN147="","",Human_Data_Entry!BN147)</f>
        <v/>
      </c>
      <c r="O149" s="103">
        <f>IF(Human_Data_Entry!BO147="","",Human_Data_Entry!BO147)</f>
        <v/>
      </c>
      <c r="P149" s="103">
        <f>IF(Human_Data_Entry!BP147="","",Human_Data_Entry!BP147)</f>
        <v/>
      </c>
      <c r="Q149" s="103">
        <f>IF(Human_Data_Entry!BQ147="","",Human_Data_Entry!BQ147)</f>
        <v/>
      </c>
      <c r="R149" s="103">
        <f>IF(Human_Data_Entry!BR147="","",Human_Data_Entry!BR147)</f>
        <v/>
      </c>
      <c r="S149" s="103">
        <f>IF(Human_Data_Entry!BS147="","",Human_Data_Entry!BS147)</f>
        <v/>
      </c>
      <c r="T149" s="103">
        <f>IF(Human_Data_Entry!BT147="","",Human_Data_Entry!BT147)</f>
        <v/>
      </c>
    </row>
    <row r="150" ht="15" customHeight="1" s="241">
      <c r="A150" s="103">
        <f>IF(Human_Data_Entry!A148="","",Human_Data_Entry!A148)</f>
        <v/>
      </c>
      <c r="B150" s="103">
        <f>IF(Human_Data_Entry!B148="","",Human_Data_Entry!B148)</f>
        <v/>
      </c>
      <c r="C150" s="104">
        <f>IF(Human_Data_Entry!C148="","",Human_Data_Entry!C148)</f>
        <v/>
      </c>
      <c r="D150" s="103">
        <f>IF(Human_Data_Entry!D148="","",Human_Data_Entry!D148)</f>
        <v/>
      </c>
      <c r="E150" s="103">
        <f>IF(Human_Data_Entry!G148="","",Human_Data_Entry!G148)</f>
        <v/>
      </c>
      <c r="F150" s="103">
        <f>IF(Human_Data_Entry!X148="","",Human_Data_Entry!X148)</f>
        <v/>
      </c>
      <c r="G150" s="103">
        <f>IF(Human_Data_Entry!AY148="","",Human_Data_Entry!AY148)</f>
        <v/>
      </c>
      <c r="H150" s="103">
        <f>IF(Human_Data_Entry!AZ148="","",Human_Data_Entry!AZ148)</f>
        <v/>
      </c>
      <c r="I150" s="103">
        <f>IF(Human_Data_Entry!AL148="","",Human_Data_Entry!AL148)</f>
        <v/>
      </c>
      <c r="J150" s="103">
        <f>IF(Human_Data_Entry!AM148="","",Human_Data_Entry!AM148)</f>
        <v/>
      </c>
      <c r="K150" s="103">
        <f>IF(Human_Data_Entry!AN148="","",Human_Data_Entry!AN148)</f>
        <v/>
      </c>
      <c r="L150" s="103">
        <f>IF(Human_Data_Entry!AO148="","",Human_Data_Entry!AO148)</f>
        <v/>
      </c>
      <c r="M150" s="103">
        <f>IF(Human_Data_Entry!BM148="","",Human_Data_Entry!BM148)</f>
        <v/>
      </c>
      <c r="N150" s="103">
        <f>IF(Human_Data_Entry!BN148="","",Human_Data_Entry!BN148)</f>
        <v/>
      </c>
      <c r="O150" s="103">
        <f>IF(Human_Data_Entry!BO148="","",Human_Data_Entry!BO148)</f>
        <v/>
      </c>
      <c r="P150" s="103">
        <f>IF(Human_Data_Entry!BP148="","",Human_Data_Entry!BP148)</f>
        <v/>
      </c>
      <c r="Q150" s="103">
        <f>IF(Human_Data_Entry!BQ148="","",Human_Data_Entry!BQ148)</f>
        <v/>
      </c>
      <c r="R150" s="103">
        <f>IF(Human_Data_Entry!BR148="","",Human_Data_Entry!BR148)</f>
        <v/>
      </c>
      <c r="S150" s="103">
        <f>IF(Human_Data_Entry!BS148="","",Human_Data_Entry!BS148)</f>
        <v/>
      </c>
      <c r="T150" s="103">
        <f>IF(Human_Data_Entry!BT148="","",Human_Data_Entry!BT148)</f>
        <v/>
      </c>
    </row>
    <row r="151" ht="15" customHeight="1" s="241">
      <c r="A151" s="103">
        <f>IF(Human_Data_Entry!A149="","",Human_Data_Entry!A149)</f>
        <v/>
      </c>
      <c r="B151" s="103">
        <f>IF(Human_Data_Entry!B149="","",Human_Data_Entry!B149)</f>
        <v/>
      </c>
      <c r="C151" s="104">
        <f>IF(Human_Data_Entry!C149="","",Human_Data_Entry!C149)</f>
        <v/>
      </c>
      <c r="D151" s="103">
        <f>IF(Human_Data_Entry!D149="","",Human_Data_Entry!D149)</f>
        <v/>
      </c>
      <c r="E151" s="103">
        <f>IF(Human_Data_Entry!G149="","",Human_Data_Entry!G149)</f>
        <v/>
      </c>
      <c r="F151" s="103">
        <f>IF(Human_Data_Entry!X149="","",Human_Data_Entry!X149)</f>
        <v/>
      </c>
      <c r="G151" s="103">
        <f>IF(Human_Data_Entry!AY149="","",Human_Data_Entry!AY149)</f>
        <v/>
      </c>
      <c r="H151" s="103">
        <f>IF(Human_Data_Entry!AZ149="","",Human_Data_Entry!AZ149)</f>
        <v/>
      </c>
      <c r="I151" s="103">
        <f>IF(Human_Data_Entry!AL149="","",Human_Data_Entry!AL149)</f>
        <v/>
      </c>
      <c r="J151" s="103">
        <f>IF(Human_Data_Entry!AM149="","",Human_Data_Entry!AM149)</f>
        <v/>
      </c>
      <c r="K151" s="103">
        <f>IF(Human_Data_Entry!AN149="","",Human_Data_Entry!AN149)</f>
        <v/>
      </c>
      <c r="L151" s="103">
        <f>IF(Human_Data_Entry!AO149="","",Human_Data_Entry!AO149)</f>
        <v/>
      </c>
      <c r="M151" s="103">
        <f>IF(Human_Data_Entry!BM149="","",Human_Data_Entry!BM149)</f>
        <v/>
      </c>
      <c r="N151" s="103">
        <f>IF(Human_Data_Entry!BN149="","",Human_Data_Entry!BN149)</f>
        <v/>
      </c>
      <c r="O151" s="103">
        <f>IF(Human_Data_Entry!BO149="","",Human_Data_Entry!BO149)</f>
        <v/>
      </c>
      <c r="P151" s="103">
        <f>IF(Human_Data_Entry!BP149="","",Human_Data_Entry!BP149)</f>
        <v/>
      </c>
      <c r="Q151" s="103">
        <f>IF(Human_Data_Entry!BQ149="","",Human_Data_Entry!BQ149)</f>
        <v/>
      </c>
      <c r="R151" s="103">
        <f>IF(Human_Data_Entry!BR149="","",Human_Data_Entry!BR149)</f>
        <v/>
      </c>
      <c r="S151" s="103">
        <f>IF(Human_Data_Entry!BS149="","",Human_Data_Entry!BS149)</f>
        <v/>
      </c>
      <c r="T151" s="103">
        <f>IF(Human_Data_Entry!BT149="","",Human_Data_Entry!BT149)</f>
        <v/>
      </c>
    </row>
    <row r="152" ht="15" customHeight="1" s="241">
      <c r="A152" s="103">
        <f>IF(Human_Data_Entry!A150="","",Human_Data_Entry!A150)</f>
        <v/>
      </c>
      <c r="B152" s="103">
        <f>IF(Human_Data_Entry!B150="","",Human_Data_Entry!B150)</f>
        <v/>
      </c>
      <c r="C152" s="104">
        <f>IF(Human_Data_Entry!C150="","",Human_Data_Entry!C150)</f>
        <v/>
      </c>
      <c r="D152" s="103">
        <f>IF(Human_Data_Entry!D150="","",Human_Data_Entry!D150)</f>
        <v/>
      </c>
      <c r="E152" s="103">
        <f>IF(Human_Data_Entry!G150="","",Human_Data_Entry!G150)</f>
        <v/>
      </c>
      <c r="F152" s="103">
        <f>IF(Human_Data_Entry!X150="","",Human_Data_Entry!X150)</f>
        <v/>
      </c>
      <c r="G152" s="103">
        <f>IF(Human_Data_Entry!AY150="","",Human_Data_Entry!AY150)</f>
        <v/>
      </c>
      <c r="H152" s="103">
        <f>IF(Human_Data_Entry!AZ150="","",Human_Data_Entry!AZ150)</f>
        <v/>
      </c>
      <c r="I152" s="103">
        <f>IF(Human_Data_Entry!AL150="","",Human_Data_Entry!AL150)</f>
        <v/>
      </c>
      <c r="J152" s="103">
        <f>IF(Human_Data_Entry!AM150="","",Human_Data_Entry!AM150)</f>
        <v/>
      </c>
      <c r="K152" s="103">
        <f>IF(Human_Data_Entry!AN150="","",Human_Data_Entry!AN150)</f>
        <v/>
      </c>
      <c r="L152" s="103">
        <f>IF(Human_Data_Entry!AO150="","",Human_Data_Entry!AO150)</f>
        <v/>
      </c>
      <c r="M152" s="103">
        <f>IF(Human_Data_Entry!BM150="","",Human_Data_Entry!BM150)</f>
        <v/>
      </c>
      <c r="N152" s="103">
        <f>IF(Human_Data_Entry!BN150="","",Human_Data_Entry!BN150)</f>
        <v/>
      </c>
      <c r="O152" s="103">
        <f>IF(Human_Data_Entry!BO150="","",Human_Data_Entry!BO150)</f>
        <v/>
      </c>
      <c r="P152" s="103">
        <f>IF(Human_Data_Entry!BP150="","",Human_Data_Entry!BP150)</f>
        <v/>
      </c>
      <c r="Q152" s="103">
        <f>IF(Human_Data_Entry!BQ150="","",Human_Data_Entry!BQ150)</f>
        <v/>
      </c>
      <c r="R152" s="103">
        <f>IF(Human_Data_Entry!BR150="","",Human_Data_Entry!BR150)</f>
        <v/>
      </c>
      <c r="S152" s="103">
        <f>IF(Human_Data_Entry!BS150="","",Human_Data_Entry!BS150)</f>
        <v/>
      </c>
      <c r="T152" s="103">
        <f>IF(Human_Data_Entry!BT150="","",Human_Data_Entry!BT150)</f>
        <v/>
      </c>
    </row>
    <row r="153" ht="15" customHeight="1" s="241">
      <c r="A153" s="103">
        <f>IF(Human_Data_Entry!A151="","",Human_Data_Entry!A151)</f>
        <v/>
      </c>
      <c r="B153" s="103">
        <f>IF(Human_Data_Entry!B151="","",Human_Data_Entry!B151)</f>
        <v/>
      </c>
      <c r="C153" s="104">
        <f>IF(Human_Data_Entry!C151="","",Human_Data_Entry!C151)</f>
        <v/>
      </c>
      <c r="D153" s="103">
        <f>IF(Human_Data_Entry!D151="","",Human_Data_Entry!D151)</f>
        <v/>
      </c>
      <c r="E153" s="103">
        <f>IF(Human_Data_Entry!G151="","",Human_Data_Entry!G151)</f>
        <v/>
      </c>
      <c r="F153" s="103">
        <f>IF(Human_Data_Entry!X151="","",Human_Data_Entry!X151)</f>
        <v/>
      </c>
      <c r="G153" s="103">
        <f>IF(Human_Data_Entry!AY151="","",Human_Data_Entry!AY151)</f>
        <v/>
      </c>
      <c r="H153" s="103">
        <f>IF(Human_Data_Entry!AZ151="","",Human_Data_Entry!AZ151)</f>
        <v/>
      </c>
      <c r="I153" s="103">
        <f>IF(Human_Data_Entry!AL151="","",Human_Data_Entry!AL151)</f>
        <v/>
      </c>
      <c r="J153" s="103">
        <f>IF(Human_Data_Entry!AM151="","",Human_Data_Entry!AM151)</f>
        <v/>
      </c>
      <c r="K153" s="103">
        <f>IF(Human_Data_Entry!AN151="","",Human_Data_Entry!AN151)</f>
        <v/>
      </c>
      <c r="L153" s="103">
        <f>IF(Human_Data_Entry!AO151="","",Human_Data_Entry!AO151)</f>
        <v/>
      </c>
      <c r="M153" s="103">
        <f>IF(Human_Data_Entry!BM151="","",Human_Data_Entry!BM151)</f>
        <v/>
      </c>
      <c r="N153" s="103">
        <f>IF(Human_Data_Entry!BN151="","",Human_Data_Entry!BN151)</f>
        <v/>
      </c>
      <c r="O153" s="103">
        <f>IF(Human_Data_Entry!BO151="","",Human_Data_Entry!BO151)</f>
        <v/>
      </c>
      <c r="P153" s="103">
        <f>IF(Human_Data_Entry!BP151="","",Human_Data_Entry!BP151)</f>
        <v/>
      </c>
      <c r="Q153" s="103">
        <f>IF(Human_Data_Entry!BQ151="","",Human_Data_Entry!BQ151)</f>
        <v/>
      </c>
      <c r="R153" s="103">
        <f>IF(Human_Data_Entry!BR151="","",Human_Data_Entry!BR151)</f>
        <v/>
      </c>
      <c r="S153" s="103">
        <f>IF(Human_Data_Entry!BS151="","",Human_Data_Entry!BS151)</f>
        <v/>
      </c>
      <c r="T153" s="103">
        <f>IF(Human_Data_Entry!BT151="","",Human_Data_Entry!BT151)</f>
        <v/>
      </c>
    </row>
    <row r="154" ht="15" customHeight="1" s="241">
      <c r="A154" s="103">
        <f>IF(Human_Data_Entry!A152="","",Human_Data_Entry!A152)</f>
        <v/>
      </c>
      <c r="B154" s="103">
        <f>IF(Human_Data_Entry!B152="","",Human_Data_Entry!B152)</f>
        <v/>
      </c>
      <c r="C154" s="104">
        <f>IF(Human_Data_Entry!C152="","",Human_Data_Entry!C152)</f>
        <v/>
      </c>
      <c r="D154" s="103">
        <f>IF(Human_Data_Entry!D152="","",Human_Data_Entry!D152)</f>
        <v/>
      </c>
      <c r="E154" s="103">
        <f>IF(Human_Data_Entry!G152="","",Human_Data_Entry!G152)</f>
        <v/>
      </c>
      <c r="F154" s="103">
        <f>IF(Human_Data_Entry!X152="","",Human_Data_Entry!X152)</f>
        <v/>
      </c>
      <c r="G154" s="103">
        <f>IF(Human_Data_Entry!AY152="","",Human_Data_Entry!AY152)</f>
        <v/>
      </c>
      <c r="H154" s="103">
        <f>IF(Human_Data_Entry!AZ152="","",Human_Data_Entry!AZ152)</f>
        <v/>
      </c>
      <c r="I154" s="103">
        <f>IF(Human_Data_Entry!AL152="","",Human_Data_Entry!AL152)</f>
        <v/>
      </c>
      <c r="J154" s="103">
        <f>IF(Human_Data_Entry!AM152="","",Human_Data_Entry!AM152)</f>
        <v/>
      </c>
      <c r="K154" s="103">
        <f>IF(Human_Data_Entry!AN152="","",Human_Data_Entry!AN152)</f>
        <v/>
      </c>
      <c r="L154" s="103">
        <f>IF(Human_Data_Entry!AO152="","",Human_Data_Entry!AO152)</f>
        <v/>
      </c>
      <c r="M154" s="103">
        <f>IF(Human_Data_Entry!BM152="","",Human_Data_Entry!BM152)</f>
        <v/>
      </c>
      <c r="N154" s="103">
        <f>IF(Human_Data_Entry!BN152="","",Human_Data_Entry!BN152)</f>
        <v/>
      </c>
      <c r="O154" s="103">
        <f>IF(Human_Data_Entry!BO152="","",Human_Data_Entry!BO152)</f>
        <v/>
      </c>
      <c r="P154" s="103">
        <f>IF(Human_Data_Entry!BP152="","",Human_Data_Entry!BP152)</f>
        <v/>
      </c>
      <c r="Q154" s="103">
        <f>IF(Human_Data_Entry!BQ152="","",Human_Data_Entry!BQ152)</f>
        <v/>
      </c>
      <c r="R154" s="103">
        <f>IF(Human_Data_Entry!BR152="","",Human_Data_Entry!BR152)</f>
        <v/>
      </c>
      <c r="S154" s="103">
        <f>IF(Human_Data_Entry!BS152="","",Human_Data_Entry!BS152)</f>
        <v/>
      </c>
      <c r="T154" s="103">
        <f>IF(Human_Data_Entry!BT152="","",Human_Data_Entry!BT152)</f>
        <v/>
      </c>
    </row>
    <row r="155" ht="15" customHeight="1" s="241">
      <c r="A155" s="103">
        <f>IF(Human_Data_Entry!A153="","",Human_Data_Entry!A153)</f>
        <v/>
      </c>
      <c r="B155" s="103">
        <f>IF(Human_Data_Entry!B153="","",Human_Data_Entry!B153)</f>
        <v/>
      </c>
      <c r="C155" s="104">
        <f>IF(Human_Data_Entry!C153="","",Human_Data_Entry!C153)</f>
        <v/>
      </c>
      <c r="D155" s="103">
        <f>IF(Human_Data_Entry!D153="","",Human_Data_Entry!D153)</f>
        <v/>
      </c>
      <c r="E155" s="103">
        <f>IF(Human_Data_Entry!G153="","",Human_Data_Entry!G153)</f>
        <v/>
      </c>
      <c r="F155" s="103">
        <f>IF(Human_Data_Entry!X153="","",Human_Data_Entry!X153)</f>
        <v/>
      </c>
      <c r="G155" s="103">
        <f>IF(Human_Data_Entry!AY153="","",Human_Data_Entry!AY153)</f>
        <v/>
      </c>
      <c r="H155" s="103">
        <f>IF(Human_Data_Entry!AZ153="","",Human_Data_Entry!AZ153)</f>
        <v/>
      </c>
      <c r="I155" s="103">
        <f>IF(Human_Data_Entry!AL153="","",Human_Data_Entry!AL153)</f>
        <v/>
      </c>
      <c r="J155" s="103">
        <f>IF(Human_Data_Entry!AM153="","",Human_Data_Entry!AM153)</f>
        <v/>
      </c>
      <c r="K155" s="103">
        <f>IF(Human_Data_Entry!AN153="","",Human_Data_Entry!AN153)</f>
        <v/>
      </c>
      <c r="L155" s="103">
        <f>IF(Human_Data_Entry!AO153="","",Human_Data_Entry!AO153)</f>
        <v/>
      </c>
      <c r="M155" s="103">
        <f>IF(Human_Data_Entry!BM153="","",Human_Data_Entry!BM153)</f>
        <v/>
      </c>
      <c r="N155" s="103">
        <f>IF(Human_Data_Entry!BN153="","",Human_Data_Entry!BN153)</f>
        <v/>
      </c>
      <c r="O155" s="103">
        <f>IF(Human_Data_Entry!BO153="","",Human_Data_Entry!BO153)</f>
        <v/>
      </c>
      <c r="P155" s="103">
        <f>IF(Human_Data_Entry!BP153="","",Human_Data_Entry!BP153)</f>
        <v/>
      </c>
      <c r="Q155" s="103">
        <f>IF(Human_Data_Entry!BQ153="","",Human_Data_Entry!BQ153)</f>
        <v/>
      </c>
      <c r="R155" s="103">
        <f>IF(Human_Data_Entry!BR153="","",Human_Data_Entry!BR153)</f>
        <v/>
      </c>
      <c r="S155" s="103">
        <f>IF(Human_Data_Entry!BS153="","",Human_Data_Entry!BS153)</f>
        <v/>
      </c>
      <c r="T155" s="103">
        <f>IF(Human_Data_Entry!BT153="","",Human_Data_Entry!BT153)</f>
        <v/>
      </c>
    </row>
    <row r="156" ht="15" customHeight="1" s="241">
      <c r="A156" s="103">
        <f>IF(Human_Data_Entry!A154="","",Human_Data_Entry!A154)</f>
        <v/>
      </c>
      <c r="B156" s="103">
        <f>IF(Human_Data_Entry!B154="","",Human_Data_Entry!B154)</f>
        <v/>
      </c>
      <c r="C156" s="104">
        <f>IF(Human_Data_Entry!C154="","",Human_Data_Entry!C154)</f>
        <v/>
      </c>
      <c r="D156" s="103">
        <f>IF(Human_Data_Entry!D154="","",Human_Data_Entry!D154)</f>
        <v/>
      </c>
      <c r="E156" s="103">
        <f>IF(Human_Data_Entry!G154="","",Human_Data_Entry!G154)</f>
        <v/>
      </c>
      <c r="F156" s="103">
        <f>IF(Human_Data_Entry!X154="","",Human_Data_Entry!X154)</f>
        <v/>
      </c>
      <c r="G156" s="103">
        <f>IF(Human_Data_Entry!AY154="","",Human_Data_Entry!AY154)</f>
        <v/>
      </c>
      <c r="H156" s="103">
        <f>IF(Human_Data_Entry!AZ154="","",Human_Data_Entry!AZ154)</f>
        <v/>
      </c>
      <c r="I156" s="103">
        <f>IF(Human_Data_Entry!AL154="","",Human_Data_Entry!AL154)</f>
        <v/>
      </c>
      <c r="J156" s="103">
        <f>IF(Human_Data_Entry!AM154="","",Human_Data_Entry!AM154)</f>
        <v/>
      </c>
      <c r="K156" s="103">
        <f>IF(Human_Data_Entry!AN154="","",Human_Data_Entry!AN154)</f>
        <v/>
      </c>
      <c r="L156" s="103">
        <f>IF(Human_Data_Entry!AO154="","",Human_Data_Entry!AO154)</f>
        <v/>
      </c>
      <c r="M156" s="103">
        <f>IF(Human_Data_Entry!BM154="","",Human_Data_Entry!BM154)</f>
        <v/>
      </c>
      <c r="N156" s="103">
        <f>IF(Human_Data_Entry!BN154="","",Human_Data_Entry!BN154)</f>
        <v/>
      </c>
      <c r="O156" s="103">
        <f>IF(Human_Data_Entry!BO154="","",Human_Data_Entry!BO154)</f>
        <v/>
      </c>
      <c r="P156" s="103">
        <f>IF(Human_Data_Entry!BP154="","",Human_Data_Entry!BP154)</f>
        <v/>
      </c>
      <c r="Q156" s="103">
        <f>IF(Human_Data_Entry!BQ154="","",Human_Data_Entry!BQ154)</f>
        <v/>
      </c>
      <c r="R156" s="103">
        <f>IF(Human_Data_Entry!BR154="","",Human_Data_Entry!BR154)</f>
        <v/>
      </c>
      <c r="S156" s="103">
        <f>IF(Human_Data_Entry!BS154="","",Human_Data_Entry!BS154)</f>
        <v/>
      </c>
      <c r="T156" s="103">
        <f>IF(Human_Data_Entry!BT154="","",Human_Data_Entry!BT154)</f>
        <v/>
      </c>
    </row>
    <row r="157" ht="15" customHeight="1" s="241">
      <c r="A157" s="103">
        <f>IF(Human_Data_Entry!A155="","",Human_Data_Entry!A155)</f>
        <v/>
      </c>
      <c r="B157" s="103">
        <f>IF(Human_Data_Entry!B155="","",Human_Data_Entry!B155)</f>
        <v/>
      </c>
      <c r="C157" s="104">
        <f>IF(Human_Data_Entry!C155="","",Human_Data_Entry!C155)</f>
        <v/>
      </c>
      <c r="D157" s="103">
        <f>IF(Human_Data_Entry!D155="","",Human_Data_Entry!D155)</f>
        <v/>
      </c>
      <c r="E157" s="103">
        <f>IF(Human_Data_Entry!G155="","",Human_Data_Entry!G155)</f>
        <v/>
      </c>
      <c r="F157" s="103">
        <f>IF(Human_Data_Entry!X155="","",Human_Data_Entry!X155)</f>
        <v/>
      </c>
      <c r="G157" s="103">
        <f>IF(Human_Data_Entry!AY155="","",Human_Data_Entry!AY155)</f>
        <v/>
      </c>
      <c r="H157" s="103">
        <f>IF(Human_Data_Entry!AZ155="","",Human_Data_Entry!AZ155)</f>
        <v/>
      </c>
      <c r="I157" s="103">
        <f>IF(Human_Data_Entry!AL155="","",Human_Data_Entry!AL155)</f>
        <v/>
      </c>
      <c r="J157" s="103">
        <f>IF(Human_Data_Entry!AM155="","",Human_Data_Entry!AM155)</f>
        <v/>
      </c>
      <c r="K157" s="103">
        <f>IF(Human_Data_Entry!AN155="","",Human_Data_Entry!AN155)</f>
        <v/>
      </c>
      <c r="L157" s="103">
        <f>IF(Human_Data_Entry!AO155="","",Human_Data_Entry!AO155)</f>
        <v/>
      </c>
      <c r="M157" s="103">
        <f>IF(Human_Data_Entry!BM155="","",Human_Data_Entry!BM155)</f>
        <v/>
      </c>
      <c r="N157" s="103">
        <f>IF(Human_Data_Entry!BN155="","",Human_Data_Entry!BN155)</f>
        <v/>
      </c>
      <c r="O157" s="103">
        <f>IF(Human_Data_Entry!BO155="","",Human_Data_Entry!BO155)</f>
        <v/>
      </c>
      <c r="P157" s="103">
        <f>IF(Human_Data_Entry!BP155="","",Human_Data_Entry!BP155)</f>
        <v/>
      </c>
      <c r="Q157" s="103">
        <f>IF(Human_Data_Entry!BQ155="","",Human_Data_Entry!BQ155)</f>
        <v/>
      </c>
      <c r="R157" s="103">
        <f>IF(Human_Data_Entry!BR155="","",Human_Data_Entry!BR155)</f>
        <v/>
      </c>
      <c r="S157" s="103">
        <f>IF(Human_Data_Entry!BS155="","",Human_Data_Entry!BS155)</f>
        <v/>
      </c>
      <c r="T157" s="103">
        <f>IF(Human_Data_Entry!BT155="","",Human_Data_Entry!BT155)</f>
        <v/>
      </c>
    </row>
    <row r="158" ht="15" customHeight="1" s="241">
      <c r="A158" s="103">
        <f>IF(Human_Data_Entry!A156="","",Human_Data_Entry!A156)</f>
        <v/>
      </c>
      <c r="B158" s="103">
        <f>IF(Human_Data_Entry!B156="","",Human_Data_Entry!B156)</f>
        <v/>
      </c>
      <c r="C158" s="104">
        <f>IF(Human_Data_Entry!C156="","",Human_Data_Entry!C156)</f>
        <v/>
      </c>
      <c r="D158" s="103">
        <f>IF(Human_Data_Entry!D156="","",Human_Data_Entry!D156)</f>
        <v/>
      </c>
      <c r="E158" s="103">
        <f>IF(Human_Data_Entry!G156="","",Human_Data_Entry!G156)</f>
        <v/>
      </c>
      <c r="F158" s="103">
        <f>IF(Human_Data_Entry!X156="","",Human_Data_Entry!X156)</f>
        <v/>
      </c>
      <c r="G158" s="103">
        <f>IF(Human_Data_Entry!AY156="","",Human_Data_Entry!AY156)</f>
        <v/>
      </c>
      <c r="H158" s="103">
        <f>IF(Human_Data_Entry!AZ156="","",Human_Data_Entry!AZ156)</f>
        <v/>
      </c>
      <c r="I158" s="103">
        <f>IF(Human_Data_Entry!AL156="","",Human_Data_Entry!AL156)</f>
        <v/>
      </c>
      <c r="J158" s="103">
        <f>IF(Human_Data_Entry!AM156="","",Human_Data_Entry!AM156)</f>
        <v/>
      </c>
      <c r="K158" s="103">
        <f>IF(Human_Data_Entry!AN156="","",Human_Data_Entry!AN156)</f>
        <v/>
      </c>
      <c r="L158" s="103">
        <f>IF(Human_Data_Entry!AO156="","",Human_Data_Entry!AO156)</f>
        <v/>
      </c>
      <c r="M158" s="103">
        <f>IF(Human_Data_Entry!BM156="","",Human_Data_Entry!BM156)</f>
        <v/>
      </c>
      <c r="N158" s="103">
        <f>IF(Human_Data_Entry!BN156="","",Human_Data_Entry!BN156)</f>
        <v/>
      </c>
      <c r="O158" s="103">
        <f>IF(Human_Data_Entry!BO156="","",Human_Data_Entry!BO156)</f>
        <v/>
      </c>
      <c r="P158" s="103">
        <f>IF(Human_Data_Entry!BP156="","",Human_Data_Entry!BP156)</f>
        <v/>
      </c>
      <c r="Q158" s="103">
        <f>IF(Human_Data_Entry!BQ156="","",Human_Data_Entry!BQ156)</f>
        <v/>
      </c>
      <c r="R158" s="103">
        <f>IF(Human_Data_Entry!BR156="","",Human_Data_Entry!BR156)</f>
        <v/>
      </c>
      <c r="S158" s="103">
        <f>IF(Human_Data_Entry!BS156="","",Human_Data_Entry!BS156)</f>
        <v/>
      </c>
      <c r="T158" s="103">
        <f>IF(Human_Data_Entry!BT156="","",Human_Data_Entry!BT156)</f>
        <v/>
      </c>
    </row>
    <row r="159" ht="15" customHeight="1" s="241">
      <c r="A159" s="103">
        <f>IF(Human_Data_Entry!A157="","",Human_Data_Entry!A157)</f>
        <v/>
      </c>
      <c r="B159" s="103">
        <f>IF(Human_Data_Entry!B157="","",Human_Data_Entry!B157)</f>
        <v/>
      </c>
      <c r="C159" s="104">
        <f>IF(Human_Data_Entry!C157="","",Human_Data_Entry!C157)</f>
        <v/>
      </c>
      <c r="D159" s="103">
        <f>IF(Human_Data_Entry!D157="","",Human_Data_Entry!D157)</f>
        <v/>
      </c>
      <c r="E159" s="103">
        <f>IF(Human_Data_Entry!G157="","",Human_Data_Entry!G157)</f>
        <v/>
      </c>
      <c r="F159" s="103">
        <f>IF(Human_Data_Entry!X157="","",Human_Data_Entry!X157)</f>
        <v/>
      </c>
      <c r="G159" s="103">
        <f>IF(Human_Data_Entry!AY157="","",Human_Data_Entry!AY157)</f>
        <v/>
      </c>
      <c r="H159" s="103">
        <f>IF(Human_Data_Entry!AZ157="","",Human_Data_Entry!AZ157)</f>
        <v/>
      </c>
      <c r="I159" s="103">
        <f>IF(Human_Data_Entry!AL157="","",Human_Data_Entry!AL157)</f>
        <v/>
      </c>
      <c r="J159" s="103">
        <f>IF(Human_Data_Entry!AM157="","",Human_Data_Entry!AM157)</f>
        <v/>
      </c>
      <c r="K159" s="103">
        <f>IF(Human_Data_Entry!AN157="","",Human_Data_Entry!AN157)</f>
        <v/>
      </c>
      <c r="L159" s="103">
        <f>IF(Human_Data_Entry!AO157="","",Human_Data_Entry!AO157)</f>
        <v/>
      </c>
      <c r="M159" s="103">
        <f>IF(Human_Data_Entry!BM157="","",Human_Data_Entry!BM157)</f>
        <v/>
      </c>
      <c r="N159" s="103">
        <f>IF(Human_Data_Entry!BN157="","",Human_Data_Entry!BN157)</f>
        <v/>
      </c>
      <c r="O159" s="103">
        <f>IF(Human_Data_Entry!BO157="","",Human_Data_Entry!BO157)</f>
        <v/>
      </c>
      <c r="P159" s="103">
        <f>IF(Human_Data_Entry!BP157="","",Human_Data_Entry!BP157)</f>
        <v/>
      </c>
      <c r="Q159" s="103">
        <f>IF(Human_Data_Entry!BQ157="","",Human_Data_Entry!BQ157)</f>
        <v/>
      </c>
      <c r="R159" s="103">
        <f>IF(Human_Data_Entry!BR157="","",Human_Data_Entry!BR157)</f>
        <v/>
      </c>
      <c r="S159" s="103">
        <f>IF(Human_Data_Entry!BS157="","",Human_Data_Entry!BS157)</f>
        <v/>
      </c>
      <c r="T159" s="103">
        <f>IF(Human_Data_Entry!BT157="","",Human_Data_Entry!BT157)</f>
        <v/>
      </c>
    </row>
    <row r="160" ht="15" customHeight="1" s="241">
      <c r="A160" s="103">
        <f>IF(Human_Data_Entry!A158="","",Human_Data_Entry!A158)</f>
        <v/>
      </c>
      <c r="B160" s="103">
        <f>IF(Human_Data_Entry!B158="","",Human_Data_Entry!B158)</f>
        <v/>
      </c>
      <c r="C160" s="104">
        <f>IF(Human_Data_Entry!C158="","",Human_Data_Entry!C158)</f>
        <v/>
      </c>
      <c r="D160" s="103">
        <f>IF(Human_Data_Entry!D158="","",Human_Data_Entry!D158)</f>
        <v/>
      </c>
      <c r="E160" s="103">
        <f>IF(Human_Data_Entry!G158="","",Human_Data_Entry!G158)</f>
        <v/>
      </c>
      <c r="F160" s="103">
        <f>IF(Human_Data_Entry!X158="","",Human_Data_Entry!X158)</f>
        <v/>
      </c>
      <c r="G160" s="103">
        <f>IF(Human_Data_Entry!AY158="","",Human_Data_Entry!AY158)</f>
        <v/>
      </c>
      <c r="H160" s="103">
        <f>IF(Human_Data_Entry!AZ158="","",Human_Data_Entry!AZ158)</f>
        <v/>
      </c>
      <c r="I160" s="103">
        <f>IF(Human_Data_Entry!AL158="","",Human_Data_Entry!AL158)</f>
        <v/>
      </c>
      <c r="J160" s="103">
        <f>IF(Human_Data_Entry!AM158="","",Human_Data_Entry!AM158)</f>
        <v/>
      </c>
      <c r="K160" s="103">
        <f>IF(Human_Data_Entry!AN158="","",Human_Data_Entry!AN158)</f>
        <v/>
      </c>
      <c r="L160" s="103">
        <f>IF(Human_Data_Entry!AO158="","",Human_Data_Entry!AO158)</f>
        <v/>
      </c>
      <c r="M160" s="103">
        <f>IF(Human_Data_Entry!BM158="","",Human_Data_Entry!BM158)</f>
        <v/>
      </c>
      <c r="N160" s="103">
        <f>IF(Human_Data_Entry!BN158="","",Human_Data_Entry!BN158)</f>
        <v/>
      </c>
      <c r="O160" s="103">
        <f>IF(Human_Data_Entry!BO158="","",Human_Data_Entry!BO158)</f>
        <v/>
      </c>
      <c r="P160" s="103">
        <f>IF(Human_Data_Entry!BP158="","",Human_Data_Entry!BP158)</f>
        <v/>
      </c>
      <c r="Q160" s="103">
        <f>IF(Human_Data_Entry!BQ158="","",Human_Data_Entry!BQ158)</f>
        <v/>
      </c>
      <c r="R160" s="103">
        <f>IF(Human_Data_Entry!BR158="","",Human_Data_Entry!BR158)</f>
        <v/>
      </c>
      <c r="S160" s="103">
        <f>IF(Human_Data_Entry!BS158="","",Human_Data_Entry!BS158)</f>
        <v/>
      </c>
      <c r="T160" s="103">
        <f>IF(Human_Data_Entry!BT158="","",Human_Data_Entry!BT158)</f>
        <v/>
      </c>
    </row>
    <row r="161" ht="15" customHeight="1" s="241">
      <c r="A161" s="103">
        <f>IF(Human_Data_Entry!A159="","",Human_Data_Entry!A159)</f>
        <v/>
      </c>
      <c r="B161" s="103">
        <f>IF(Human_Data_Entry!B159="","",Human_Data_Entry!B159)</f>
        <v/>
      </c>
      <c r="C161" s="104">
        <f>IF(Human_Data_Entry!C159="","",Human_Data_Entry!C159)</f>
        <v/>
      </c>
      <c r="D161" s="103">
        <f>IF(Human_Data_Entry!D159="","",Human_Data_Entry!D159)</f>
        <v/>
      </c>
      <c r="E161" s="103">
        <f>IF(Human_Data_Entry!G159="","",Human_Data_Entry!G159)</f>
        <v/>
      </c>
      <c r="F161" s="103">
        <f>IF(Human_Data_Entry!X159="","",Human_Data_Entry!X159)</f>
        <v/>
      </c>
      <c r="G161" s="103">
        <f>IF(Human_Data_Entry!AY159="","",Human_Data_Entry!AY159)</f>
        <v/>
      </c>
      <c r="H161" s="103">
        <f>IF(Human_Data_Entry!AZ159="","",Human_Data_Entry!AZ159)</f>
        <v/>
      </c>
      <c r="I161" s="103">
        <f>IF(Human_Data_Entry!AL159="","",Human_Data_Entry!AL159)</f>
        <v/>
      </c>
      <c r="J161" s="103">
        <f>IF(Human_Data_Entry!AM159="","",Human_Data_Entry!AM159)</f>
        <v/>
      </c>
      <c r="K161" s="103">
        <f>IF(Human_Data_Entry!AN159="","",Human_Data_Entry!AN159)</f>
        <v/>
      </c>
      <c r="L161" s="103">
        <f>IF(Human_Data_Entry!AO159="","",Human_Data_Entry!AO159)</f>
        <v/>
      </c>
      <c r="M161" s="103">
        <f>IF(Human_Data_Entry!BM159="","",Human_Data_Entry!BM159)</f>
        <v/>
      </c>
      <c r="N161" s="103">
        <f>IF(Human_Data_Entry!BN159="","",Human_Data_Entry!BN159)</f>
        <v/>
      </c>
      <c r="O161" s="103">
        <f>IF(Human_Data_Entry!BO159="","",Human_Data_Entry!BO159)</f>
        <v/>
      </c>
      <c r="P161" s="103">
        <f>IF(Human_Data_Entry!BP159="","",Human_Data_Entry!BP159)</f>
        <v/>
      </c>
      <c r="Q161" s="103">
        <f>IF(Human_Data_Entry!BQ159="","",Human_Data_Entry!BQ159)</f>
        <v/>
      </c>
      <c r="R161" s="103">
        <f>IF(Human_Data_Entry!BR159="","",Human_Data_Entry!BR159)</f>
        <v/>
      </c>
      <c r="S161" s="103">
        <f>IF(Human_Data_Entry!BS159="","",Human_Data_Entry!BS159)</f>
        <v/>
      </c>
      <c r="T161" s="103">
        <f>IF(Human_Data_Entry!BT159="","",Human_Data_Entry!BT159)</f>
        <v/>
      </c>
    </row>
    <row r="162" ht="15" customHeight="1" s="241">
      <c r="A162" s="103">
        <f>IF(Human_Data_Entry!A160="","",Human_Data_Entry!A160)</f>
        <v/>
      </c>
      <c r="B162" s="103">
        <f>IF(Human_Data_Entry!B160="","",Human_Data_Entry!B160)</f>
        <v/>
      </c>
      <c r="C162" s="104">
        <f>IF(Human_Data_Entry!C160="","",Human_Data_Entry!C160)</f>
        <v/>
      </c>
      <c r="D162" s="103">
        <f>IF(Human_Data_Entry!D160="","",Human_Data_Entry!D160)</f>
        <v/>
      </c>
      <c r="E162" s="103">
        <f>IF(Human_Data_Entry!G160="","",Human_Data_Entry!G160)</f>
        <v/>
      </c>
      <c r="F162" s="103">
        <f>IF(Human_Data_Entry!X160="","",Human_Data_Entry!X160)</f>
        <v/>
      </c>
      <c r="G162" s="103">
        <f>IF(Human_Data_Entry!AY160="","",Human_Data_Entry!AY160)</f>
        <v/>
      </c>
      <c r="H162" s="103">
        <f>IF(Human_Data_Entry!AZ160="","",Human_Data_Entry!AZ160)</f>
        <v/>
      </c>
      <c r="I162" s="103">
        <f>IF(Human_Data_Entry!AL160="","",Human_Data_Entry!AL160)</f>
        <v/>
      </c>
      <c r="J162" s="103">
        <f>IF(Human_Data_Entry!AM160="","",Human_Data_Entry!AM160)</f>
        <v/>
      </c>
      <c r="K162" s="103">
        <f>IF(Human_Data_Entry!AN160="","",Human_Data_Entry!AN160)</f>
        <v/>
      </c>
      <c r="L162" s="103">
        <f>IF(Human_Data_Entry!AO160="","",Human_Data_Entry!AO160)</f>
        <v/>
      </c>
      <c r="M162" s="103">
        <f>IF(Human_Data_Entry!BM160="","",Human_Data_Entry!BM160)</f>
        <v/>
      </c>
      <c r="N162" s="103">
        <f>IF(Human_Data_Entry!BN160="","",Human_Data_Entry!BN160)</f>
        <v/>
      </c>
      <c r="O162" s="103">
        <f>IF(Human_Data_Entry!BO160="","",Human_Data_Entry!BO160)</f>
        <v/>
      </c>
      <c r="P162" s="103">
        <f>IF(Human_Data_Entry!BP160="","",Human_Data_Entry!BP160)</f>
        <v/>
      </c>
      <c r="Q162" s="103">
        <f>IF(Human_Data_Entry!BQ160="","",Human_Data_Entry!BQ160)</f>
        <v/>
      </c>
      <c r="R162" s="103">
        <f>IF(Human_Data_Entry!BR160="","",Human_Data_Entry!BR160)</f>
        <v/>
      </c>
      <c r="S162" s="103">
        <f>IF(Human_Data_Entry!BS160="","",Human_Data_Entry!BS160)</f>
        <v/>
      </c>
      <c r="T162" s="103">
        <f>IF(Human_Data_Entry!BT160="","",Human_Data_Entry!BT160)</f>
        <v/>
      </c>
    </row>
    <row r="163" ht="15" customHeight="1" s="241">
      <c r="A163" s="103">
        <f>IF(Human_Data_Entry!A161="","",Human_Data_Entry!A161)</f>
        <v/>
      </c>
      <c r="B163" s="103">
        <f>IF(Human_Data_Entry!B161="","",Human_Data_Entry!B161)</f>
        <v/>
      </c>
      <c r="C163" s="104">
        <f>IF(Human_Data_Entry!C161="","",Human_Data_Entry!C161)</f>
        <v/>
      </c>
      <c r="D163" s="103">
        <f>IF(Human_Data_Entry!D161="","",Human_Data_Entry!D161)</f>
        <v/>
      </c>
      <c r="E163" s="103">
        <f>IF(Human_Data_Entry!G161="","",Human_Data_Entry!G161)</f>
        <v/>
      </c>
      <c r="F163" s="103">
        <f>IF(Human_Data_Entry!X161="","",Human_Data_Entry!X161)</f>
        <v/>
      </c>
      <c r="G163" s="103">
        <f>IF(Human_Data_Entry!AY161="","",Human_Data_Entry!AY161)</f>
        <v/>
      </c>
      <c r="H163" s="103">
        <f>IF(Human_Data_Entry!AZ161="","",Human_Data_Entry!AZ161)</f>
        <v/>
      </c>
      <c r="I163" s="103">
        <f>IF(Human_Data_Entry!AL161="","",Human_Data_Entry!AL161)</f>
        <v/>
      </c>
      <c r="J163" s="103">
        <f>IF(Human_Data_Entry!AM161="","",Human_Data_Entry!AM161)</f>
        <v/>
      </c>
      <c r="K163" s="103">
        <f>IF(Human_Data_Entry!AN161="","",Human_Data_Entry!AN161)</f>
        <v/>
      </c>
      <c r="L163" s="103">
        <f>IF(Human_Data_Entry!AO161="","",Human_Data_Entry!AO161)</f>
        <v/>
      </c>
      <c r="M163" s="103">
        <f>IF(Human_Data_Entry!BM161="","",Human_Data_Entry!BM161)</f>
        <v/>
      </c>
      <c r="N163" s="103">
        <f>IF(Human_Data_Entry!BN161="","",Human_Data_Entry!BN161)</f>
        <v/>
      </c>
      <c r="O163" s="103">
        <f>IF(Human_Data_Entry!BO161="","",Human_Data_Entry!BO161)</f>
        <v/>
      </c>
      <c r="P163" s="103">
        <f>IF(Human_Data_Entry!BP161="","",Human_Data_Entry!BP161)</f>
        <v/>
      </c>
      <c r="Q163" s="103">
        <f>IF(Human_Data_Entry!BQ161="","",Human_Data_Entry!BQ161)</f>
        <v/>
      </c>
      <c r="R163" s="103">
        <f>IF(Human_Data_Entry!BR161="","",Human_Data_Entry!BR161)</f>
        <v/>
      </c>
      <c r="S163" s="103">
        <f>IF(Human_Data_Entry!BS161="","",Human_Data_Entry!BS161)</f>
        <v/>
      </c>
      <c r="T163" s="103">
        <f>IF(Human_Data_Entry!BT161="","",Human_Data_Entry!BT161)</f>
        <v/>
      </c>
    </row>
    <row r="164" ht="15" customHeight="1" s="241">
      <c r="A164" s="103">
        <f>IF(Human_Data_Entry!A162="","",Human_Data_Entry!A162)</f>
        <v/>
      </c>
      <c r="B164" s="103">
        <f>IF(Human_Data_Entry!B162="","",Human_Data_Entry!B162)</f>
        <v/>
      </c>
      <c r="C164" s="104">
        <f>IF(Human_Data_Entry!C162="","",Human_Data_Entry!C162)</f>
        <v/>
      </c>
      <c r="D164" s="103">
        <f>IF(Human_Data_Entry!D162="","",Human_Data_Entry!D162)</f>
        <v/>
      </c>
      <c r="E164" s="103">
        <f>IF(Human_Data_Entry!G162="","",Human_Data_Entry!G162)</f>
        <v/>
      </c>
      <c r="F164" s="103">
        <f>IF(Human_Data_Entry!X162="","",Human_Data_Entry!X162)</f>
        <v/>
      </c>
      <c r="G164" s="103">
        <f>IF(Human_Data_Entry!AY162="","",Human_Data_Entry!AY162)</f>
        <v/>
      </c>
      <c r="H164" s="103">
        <f>IF(Human_Data_Entry!AZ162="","",Human_Data_Entry!AZ162)</f>
        <v/>
      </c>
      <c r="I164" s="103">
        <f>IF(Human_Data_Entry!AL162="","",Human_Data_Entry!AL162)</f>
        <v/>
      </c>
      <c r="J164" s="103">
        <f>IF(Human_Data_Entry!AM162="","",Human_Data_Entry!AM162)</f>
        <v/>
      </c>
      <c r="K164" s="103">
        <f>IF(Human_Data_Entry!AN162="","",Human_Data_Entry!AN162)</f>
        <v/>
      </c>
      <c r="L164" s="103">
        <f>IF(Human_Data_Entry!AO162="","",Human_Data_Entry!AO162)</f>
        <v/>
      </c>
      <c r="M164" s="103">
        <f>IF(Human_Data_Entry!BM162="","",Human_Data_Entry!BM162)</f>
        <v/>
      </c>
      <c r="N164" s="103">
        <f>IF(Human_Data_Entry!BN162="","",Human_Data_Entry!BN162)</f>
        <v/>
      </c>
      <c r="O164" s="103">
        <f>IF(Human_Data_Entry!BO162="","",Human_Data_Entry!BO162)</f>
        <v/>
      </c>
      <c r="P164" s="103">
        <f>IF(Human_Data_Entry!BP162="","",Human_Data_Entry!BP162)</f>
        <v/>
      </c>
      <c r="Q164" s="103">
        <f>IF(Human_Data_Entry!BQ162="","",Human_Data_Entry!BQ162)</f>
        <v/>
      </c>
      <c r="R164" s="103">
        <f>IF(Human_Data_Entry!BR162="","",Human_Data_Entry!BR162)</f>
        <v/>
      </c>
      <c r="S164" s="103">
        <f>IF(Human_Data_Entry!BS162="","",Human_Data_Entry!BS162)</f>
        <v/>
      </c>
      <c r="T164" s="103">
        <f>IF(Human_Data_Entry!BT162="","",Human_Data_Entry!BT162)</f>
        <v/>
      </c>
    </row>
    <row r="165" ht="15" customHeight="1" s="241">
      <c r="A165" s="103">
        <f>IF(Human_Data_Entry!A163="","",Human_Data_Entry!A163)</f>
        <v/>
      </c>
      <c r="B165" s="103">
        <f>IF(Human_Data_Entry!B163="","",Human_Data_Entry!B163)</f>
        <v/>
      </c>
      <c r="C165" s="104">
        <f>IF(Human_Data_Entry!C163="","",Human_Data_Entry!C163)</f>
        <v/>
      </c>
      <c r="D165" s="103">
        <f>IF(Human_Data_Entry!D163="","",Human_Data_Entry!D163)</f>
        <v/>
      </c>
      <c r="E165" s="103">
        <f>IF(Human_Data_Entry!G163="","",Human_Data_Entry!G163)</f>
        <v/>
      </c>
      <c r="F165" s="103">
        <f>IF(Human_Data_Entry!X163="","",Human_Data_Entry!X163)</f>
        <v/>
      </c>
      <c r="G165" s="103">
        <f>IF(Human_Data_Entry!AY163="","",Human_Data_Entry!AY163)</f>
        <v/>
      </c>
      <c r="H165" s="103">
        <f>IF(Human_Data_Entry!AZ163="","",Human_Data_Entry!AZ163)</f>
        <v/>
      </c>
      <c r="I165" s="103">
        <f>IF(Human_Data_Entry!AL163="","",Human_Data_Entry!AL163)</f>
        <v/>
      </c>
      <c r="J165" s="103">
        <f>IF(Human_Data_Entry!AM163="","",Human_Data_Entry!AM163)</f>
        <v/>
      </c>
      <c r="K165" s="103">
        <f>IF(Human_Data_Entry!AN163="","",Human_Data_Entry!AN163)</f>
        <v/>
      </c>
      <c r="L165" s="103">
        <f>IF(Human_Data_Entry!AO163="","",Human_Data_Entry!AO163)</f>
        <v/>
      </c>
      <c r="M165" s="103">
        <f>IF(Human_Data_Entry!BM163="","",Human_Data_Entry!BM163)</f>
        <v/>
      </c>
      <c r="N165" s="103">
        <f>IF(Human_Data_Entry!BN163="","",Human_Data_Entry!BN163)</f>
        <v/>
      </c>
      <c r="O165" s="103">
        <f>IF(Human_Data_Entry!BO163="","",Human_Data_Entry!BO163)</f>
        <v/>
      </c>
      <c r="P165" s="103">
        <f>IF(Human_Data_Entry!BP163="","",Human_Data_Entry!BP163)</f>
        <v/>
      </c>
      <c r="Q165" s="103">
        <f>IF(Human_Data_Entry!BQ163="","",Human_Data_Entry!BQ163)</f>
        <v/>
      </c>
      <c r="R165" s="103">
        <f>IF(Human_Data_Entry!BR163="","",Human_Data_Entry!BR163)</f>
        <v/>
      </c>
      <c r="S165" s="103">
        <f>IF(Human_Data_Entry!BS163="","",Human_Data_Entry!BS163)</f>
        <v/>
      </c>
      <c r="T165" s="103">
        <f>IF(Human_Data_Entry!BT163="","",Human_Data_Entry!BT163)</f>
        <v/>
      </c>
    </row>
    <row r="166" ht="15" customHeight="1" s="241">
      <c r="A166" s="103">
        <f>IF(Human_Data_Entry!A164="","",Human_Data_Entry!A164)</f>
        <v/>
      </c>
      <c r="B166" s="103">
        <f>IF(Human_Data_Entry!B164="","",Human_Data_Entry!B164)</f>
        <v/>
      </c>
      <c r="C166" s="104">
        <f>IF(Human_Data_Entry!C164="","",Human_Data_Entry!C164)</f>
        <v/>
      </c>
      <c r="D166" s="103">
        <f>IF(Human_Data_Entry!D164="","",Human_Data_Entry!D164)</f>
        <v/>
      </c>
      <c r="E166" s="103">
        <f>IF(Human_Data_Entry!G164="","",Human_Data_Entry!G164)</f>
        <v/>
      </c>
      <c r="F166" s="103">
        <f>IF(Human_Data_Entry!X164="","",Human_Data_Entry!X164)</f>
        <v/>
      </c>
      <c r="G166" s="103">
        <f>IF(Human_Data_Entry!AY164="","",Human_Data_Entry!AY164)</f>
        <v/>
      </c>
      <c r="H166" s="103">
        <f>IF(Human_Data_Entry!AZ164="","",Human_Data_Entry!AZ164)</f>
        <v/>
      </c>
      <c r="I166" s="103">
        <f>IF(Human_Data_Entry!AL164="","",Human_Data_Entry!AL164)</f>
        <v/>
      </c>
      <c r="J166" s="103">
        <f>IF(Human_Data_Entry!AM164="","",Human_Data_Entry!AM164)</f>
        <v/>
      </c>
      <c r="K166" s="103">
        <f>IF(Human_Data_Entry!AN164="","",Human_Data_Entry!AN164)</f>
        <v/>
      </c>
      <c r="L166" s="103">
        <f>IF(Human_Data_Entry!AO164="","",Human_Data_Entry!AO164)</f>
        <v/>
      </c>
      <c r="M166" s="103">
        <f>IF(Human_Data_Entry!BM164="","",Human_Data_Entry!BM164)</f>
        <v/>
      </c>
      <c r="N166" s="103">
        <f>IF(Human_Data_Entry!BN164="","",Human_Data_Entry!BN164)</f>
        <v/>
      </c>
      <c r="O166" s="103">
        <f>IF(Human_Data_Entry!BO164="","",Human_Data_Entry!BO164)</f>
        <v/>
      </c>
      <c r="P166" s="103">
        <f>IF(Human_Data_Entry!BP164="","",Human_Data_Entry!BP164)</f>
        <v/>
      </c>
      <c r="Q166" s="103">
        <f>IF(Human_Data_Entry!BQ164="","",Human_Data_Entry!BQ164)</f>
        <v/>
      </c>
      <c r="R166" s="103">
        <f>IF(Human_Data_Entry!BR164="","",Human_Data_Entry!BR164)</f>
        <v/>
      </c>
      <c r="S166" s="103">
        <f>IF(Human_Data_Entry!BS164="","",Human_Data_Entry!BS164)</f>
        <v/>
      </c>
      <c r="T166" s="103">
        <f>IF(Human_Data_Entry!BT164="","",Human_Data_Entry!BT164)</f>
        <v/>
      </c>
    </row>
    <row r="167" ht="15" customHeight="1" s="241">
      <c r="A167" s="103">
        <f>IF(Human_Data_Entry!A165="","",Human_Data_Entry!A165)</f>
        <v/>
      </c>
      <c r="B167" s="103">
        <f>IF(Human_Data_Entry!B165="","",Human_Data_Entry!B165)</f>
        <v/>
      </c>
      <c r="C167" s="104">
        <f>IF(Human_Data_Entry!C165="","",Human_Data_Entry!C165)</f>
        <v/>
      </c>
      <c r="D167" s="103">
        <f>IF(Human_Data_Entry!D165="","",Human_Data_Entry!D165)</f>
        <v/>
      </c>
      <c r="E167" s="103">
        <f>IF(Human_Data_Entry!G165="","",Human_Data_Entry!G165)</f>
        <v/>
      </c>
      <c r="F167" s="103">
        <f>IF(Human_Data_Entry!X165="","",Human_Data_Entry!X165)</f>
        <v/>
      </c>
      <c r="G167" s="103">
        <f>IF(Human_Data_Entry!AY165="","",Human_Data_Entry!AY165)</f>
        <v/>
      </c>
      <c r="H167" s="103">
        <f>IF(Human_Data_Entry!AZ165="","",Human_Data_Entry!AZ165)</f>
        <v/>
      </c>
      <c r="I167" s="103">
        <f>IF(Human_Data_Entry!AL165="","",Human_Data_Entry!AL165)</f>
        <v/>
      </c>
      <c r="J167" s="103">
        <f>IF(Human_Data_Entry!AM165="","",Human_Data_Entry!AM165)</f>
        <v/>
      </c>
      <c r="K167" s="103">
        <f>IF(Human_Data_Entry!AN165="","",Human_Data_Entry!AN165)</f>
        <v/>
      </c>
      <c r="L167" s="103">
        <f>IF(Human_Data_Entry!AO165="","",Human_Data_Entry!AO165)</f>
        <v/>
      </c>
      <c r="M167" s="103">
        <f>IF(Human_Data_Entry!BM165="","",Human_Data_Entry!BM165)</f>
        <v/>
      </c>
      <c r="N167" s="103">
        <f>IF(Human_Data_Entry!BN165="","",Human_Data_Entry!BN165)</f>
        <v/>
      </c>
      <c r="O167" s="103">
        <f>IF(Human_Data_Entry!BO165="","",Human_Data_Entry!BO165)</f>
        <v/>
      </c>
      <c r="P167" s="103">
        <f>IF(Human_Data_Entry!BP165="","",Human_Data_Entry!BP165)</f>
        <v/>
      </c>
      <c r="Q167" s="103">
        <f>IF(Human_Data_Entry!BQ165="","",Human_Data_Entry!BQ165)</f>
        <v/>
      </c>
      <c r="R167" s="103">
        <f>IF(Human_Data_Entry!BR165="","",Human_Data_Entry!BR165)</f>
        <v/>
      </c>
      <c r="S167" s="103">
        <f>IF(Human_Data_Entry!BS165="","",Human_Data_Entry!BS165)</f>
        <v/>
      </c>
      <c r="T167" s="103">
        <f>IF(Human_Data_Entry!BT165="","",Human_Data_Entry!BT165)</f>
        <v/>
      </c>
    </row>
    <row r="168" ht="15" customHeight="1" s="241">
      <c r="A168" s="103">
        <f>IF(Human_Data_Entry!A166="","",Human_Data_Entry!A166)</f>
        <v/>
      </c>
      <c r="B168" s="103">
        <f>IF(Human_Data_Entry!B166="","",Human_Data_Entry!B166)</f>
        <v/>
      </c>
      <c r="C168" s="104">
        <f>IF(Human_Data_Entry!C166="","",Human_Data_Entry!C166)</f>
        <v/>
      </c>
      <c r="D168" s="103">
        <f>IF(Human_Data_Entry!D166="","",Human_Data_Entry!D166)</f>
        <v/>
      </c>
      <c r="E168" s="103">
        <f>IF(Human_Data_Entry!G166="","",Human_Data_Entry!G166)</f>
        <v/>
      </c>
      <c r="F168" s="103">
        <f>IF(Human_Data_Entry!X166="","",Human_Data_Entry!X166)</f>
        <v/>
      </c>
      <c r="G168" s="103">
        <f>IF(Human_Data_Entry!AY166="","",Human_Data_Entry!AY166)</f>
        <v/>
      </c>
      <c r="H168" s="103">
        <f>IF(Human_Data_Entry!AZ166="","",Human_Data_Entry!AZ166)</f>
        <v/>
      </c>
      <c r="I168" s="103">
        <f>IF(Human_Data_Entry!AL166="","",Human_Data_Entry!AL166)</f>
        <v/>
      </c>
      <c r="J168" s="103">
        <f>IF(Human_Data_Entry!AM166="","",Human_Data_Entry!AM166)</f>
        <v/>
      </c>
      <c r="K168" s="103">
        <f>IF(Human_Data_Entry!AN166="","",Human_Data_Entry!AN166)</f>
        <v/>
      </c>
      <c r="L168" s="103">
        <f>IF(Human_Data_Entry!AO166="","",Human_Data_Entry!AO166)</f>
        <v/>
      </c>
      <c r="M168" s="103">
        <f>IF(Human_Data_Entry!BM166="","",Human_Data_Entry!BM166)</f>
        <v/>
      </c>
      <c r="N168" s="103">
        <f>IF(Human_Data_Entry!BN166="","",Human_Data_Entry!BN166)</f>
        <v/>
      </c>
      <c r="O168" s="103">
        <f>IF(Human_Data_Entry!BO166="","",Human_Data_Entry!BO166)</f>
        <v/>
      </c>
      <c r="P168" s="103">
        <f>IF(Human_Data_Entry!BP166="","",Human_Data_Entry!BP166)</f>
        <v/>
      </c>
      <c r="Q168" s="103">
        <f>IF(Human_Data_Entry!BQ166="","",Human_Data_Entry!BQ166)</f>
        <v/>
      </c>
      <c r="R168" s="103">
        <f>IF(Human_Data_Entry!BR166="","",Human_Data_Entry!BR166)</f>
        <v/>
      </c>
      <c r="S168" s="103">
        <f>IF(Human_Data_Entry!BS166="","",Human_Data_Entry!BS166)</f>
        <v/>
      </c>
      <c r="T168" s="103">
        <f>IF(Human_Data_Entry!BT166="","",Human_Data_Entry!BT166)</f>
        <v/>
      </c>
    </row>
    <row r="169" ht="15" customHeight="1" s="241">
      <c r="A169" s="103">
        <f>IF(Human_Data_Entry!A167="","",Human_Data_Entry!A167)</f>
        <v/>
      </c>
      <c r="B169" s="103">
        <f>IF(Human_Data_Entry!B167="","",Human_Data_Entry!B167)</f>
        <v/>
      </c>
      <c r="C169" s="104">
        <f>IF(Human_Data_Entry!C167="","",Human_Data_Entry!C167)</f>
        <v/>
      </c>
      <c r="D169" s="103">
        <f>IF(Human_Data_Entry!D167="","",Human_Data_Entry!D167)</f>
        <v/>
      </c>
      <c r="E169" s="103">
        <f>IF(Human_Data_Entry!G167="","",Human_Data_Entry!G167)</f>
        <v/>
      </c>
      <c r="F169" s="103">
        <f>IF(Human_Data_Entry!X167="","",Human_Data_Entry!X167)</f>
        <v/>
      </c>
      <c r="G169" s="103">
        <f>IF(Human_Data_Entry!AY167="","",Human_Data_Entry!AY167)</f>
        <v/>
      </c>
      <c r="H169" s="103">
        <f>IF(Human_Data_Entry!AZ167="","",Human_Data_Entry!AZ167)</f>
        <v/>
      </c>
      <c r="I169" s="103">
        <f>IF(Human_Data_Entry!AL167="","",Human_Data_Entry!AL167)</f>
        <v/>
      </c>
      <c r="J169" s="103">
        <f>IF(Human_Data_Entry!AM167="","",Human_Data_Entry!AM167)</f>
        <v/>
      </c>
      <c r="K169" s="103">
        <f>IF(Human_Data_Entry!AN167="","",Human_Data_Entry!AN167)</f>
        <v/>
      </c>
      <c r="L169" s="103">
        <f>IF(Human_Data_Entry!AO167="","",Human_Data_Entry!AO167)</f>
        <v/>
      </c>
      <c r="M169" s="103">
        <f>IF(Human_Data_Entry!BM167="","",Human_Data_Entry!BM167)</f>
        <v/>
      </c>
      <c r="N169" s="103">
        <f>IF(Human_Data_Entry!BN167="","",Human_Data_Entry!BN167)</f>
        <v/>
      </c>
      <c r="O169" s="103">
        <f>IF(Human_Data_Entry!BO167="","",Human_Data_Entry!BO167)</f>
        <v/>
      </c>
      <c r="P169" s="103">
        <f>IF(Human_Data_Entry!BP167="","",Human_Data_Entry!BP167)</f>
        <v/>
      </c>
      <c r="Q169" s="103">
        <f>IF(Human_Data_Entry!BQ167="","",Human_Data_Entry!BQ167)</f>
        <v/>
      </c>
      <c r="R169" s="103">
        <f>IF(Human_Data_Entry!BR167="","",Human_Data_Entry!BR167)</f>
        <v/>
      </c>
      <c r="S169" s="103">
        <f>IF(Human_Data_Entry!BS167="","",Human_Data_Entry!BS167)</f>
        <v/>
      </c>
      <c r="T169" s="103">
        <f>IF(Human_Data_Entry!BT167="","",Human_Data_Entry!BT167)</f>
        <v/>
      </c>
    </row>
    <row r="170" ht="15" customHeight="1" s="241">
      <c r="A170" s="103">
        <f>IF(Human_Data_Entry!A168="","",Human_Data_Entry!A168)</f>
        <v/>
      </c>
      <c r="B170" s="103">
        <f>IF(Human_Data_Entry!B168="","",Human_Data_Entry!B168)</f>
        <v/>
      </c>
      <c r="C170" s="104">
        <f>IF(Human_Data_Entry!C168="","",Human_Data_Entry!C168)</f>
        <v/>
      </c>
      <c r="D170" s="103">
        <f>IF(Human_Data_Entry!D168="","",Human_Data_Entry!D168)</f>
        <v/>
      </c>
      <c r="E170" s="103">
        <f>IF(Human_Data_Entry!G168="","",Human_Data_Entry!G168)</f>
        <v/>
      </c>
      <c r="F170" s="103">
        <f>IF(Human_Data_Entry!X168="","",Human_Data_Entry!X168)</f>
        <v/>
      </c>
      <c r="G170" s="103">
        <f>IF(Human_Data_Entry!AY168="","",Human_Data_Entry!AY168)</f>
        <v/>
      </c>
      <c r="H170" s="103">
        <f>IF(Human_Data_Entry!AZ168="","",Human_Data_Entry!AZ168)</f>
        <v/>
      </c>
      <c r="I170" s="103">
        <f>IF(Human_Data_Entry!AL168="","",Human_Data_Entry!AL168)</f>
        <v/>
      </c>
      <c r="J170" s="103">
        <f>IF(Human_Data_Entry!AM168="","",Human_Data_Entry!AM168)</f>
        <v/>
      </c>
      <c r="K170" s="103">
        <f>IF(Human_Data_Entry!AN168="","",Human_Data_Entry!AN168)</f>
        <v/>
      </c>
      <c r="L170" s="103">
        <f>IF(Human_Data_Entry!AO168="","",Human_Data_Entry!AO168)</f>
        <v/>
      </c>
      <c r="M170" s="103">
        <f>IF(Human_Data_Entry!BM168="","",Human_Data_Entry!BM168)</f>
        <v/>
      </c>
      <c r="N170" s="103">
        <f>IF(Human_Data_Entry!BN168="","",Human_Data_Entry!BN168)</f>
        <v/>
      </c>
      <c r="O170" s="103">
        <f>IF(Human_Data_Entry!BO168="","",Human_Data_Entry!BO168)</f>
        <v/>
      </c>
      <c r="P170" s="103">
        <f>IF(Human_Data_Entry!BP168="","",Human_Data_Entry!BP168)</f>
        <v/>
      </c>
      <c r="Q170" s="103">
        <f>IF(Human_Data_Entry!BQ168="","",Human_Data_Entry!BQ168)</f>
        <v/>
      </c>
      <c r="R170" s="103">
        <f>IF(Human_Data_Entry!BR168="","",Human_Data_Entry!BR168)</f>
        <v/>
      </c>
      <c r="S170" s="103">
        <f>IF(Human_Data_Entry!BS168="","",Human_Data_Entry!BS168)</f>
        <v/>
      </c>
      <c r="T170" s="103">
        <f>IF(Human_Data_Entry!BT168="","",Human_Data_Entry!BT168)</f>
        <v/>
      </c>
    </row>
    <row r="171" ht="15" customHeight="1" s="241">
      <c r="A171" s="103">
        <f>IF(Human_Data_Entry!A169="","",Human_Data_Entry!A169)</f>
        <v/>
      </c>
      <c r="B171" s="103">
        <f>IF(Human_Data_Entry!B169="","",Human_Data_Entry!B169)</f>
        <v/>
      </c>
      <c r="C171" s="104">
        <f>IF(Human_Data_Entry!C169="","",Human_Data_Entry!C169)</f>
        <v/>
      </c>
      <c r="D171" s="103">
        <f>IF(Human_Data_Entry!D169="","",Human_Data_Entry!D169)</f>
        <v/>
      </c>
      <c r="E171" s="103">
        <f>IF(Human_Data_Entry!G169="","",Human_Data_Entry!G169)</f>
        <v/>
      </c>
      <c r="F171" s="103">
        <f>IF(Human_Data_Entry!X169="","",Human_Data_Entry!X169)</f>
        <v/>
      </c>
      <c r="G171" s="103">
        <f>IF(Human_Data_Entry!AY169="","",Human_Data_Entry!AY169)</f>
        <v/>
      </c>
      <c r="H171" s="103">
        <f>IF(Human_Data_Entry!AZ169="","",Human_Data_Entry!AZ169)</f>
        <v/>
      </c>
      <c r="I171" s="103">
        <f>IF(Human_Data_Entry!AL169="","",Human_Data_Entry!AL169)</f>
        <v/>
      </c>
      <c r="J171" s="103">
        <f>IF(Human_Data_Entry!AM169="","",Human_Data_Entry!AM169)</f>
        <v/>
      </c>
      <c r="K171" s="103">
        <f>IF(Human_Data_Entry!AN169="","",Human_Data_Entry!AN169)</f>
        <v/>
      </c>
      <c r="L171" s="103">
        <f>IF(Human_Data_Entry!AO169="","",Human_Data_Entry!AO169)</f>
        <v/>
      </c>
      <c r="M171" s="103">
        <f>IF(Human_Data_Entry!BM169="","",Human_Data_Entry!BM169)</f>
        <v/>
      </c>
      <c r="N171" s="103">
        <f>IF(Human_Data_Entry!BN169="","",Human_Data_Entry!BN169)</f>
        <v/>
      </c>
      <c r="O171" s="103">
        <f>IF(Human_Data_Entry!BO169="","",Human_Data_Entry!BO169)</f>
        <v/>
      </c>
      <c r="P171" s="103">
        <f>IF(Human_Data_Entry!BP169="","",Human_Data_Entry!BP169)</f>
        <v/>
      </c>
      <c r="Q171" s="103">
        <f>IF(Human_Data_Entry!BQ169="","",Human_Data_Entry!BQ169)</f>
        <v/>
      </c>
      <c r="R171" s="103">
        <f>IF(Human_Data_Entry!BR169="","",Human_Data_Entry!BR169)</f>
        <v/>
      </c>
      <c r="S171" s="103">
        <f>IF(Human_Data_Entry!BS169="","",Human_Data_Entry!BS169)</f>
        <v/>
      </c>
      <c r="T171" s="103">
        <f>IF(Human_Data_Entry!BT169="","",Human_Data_Entry!BT169)</f>
        <v/>
      </c>
    </row>
    <row r="172" ht="15" customHeight="1" s="241">
      <c r="A172" s="103">
        <f>IF(Human_Data_Entry!A170="","",Human_Data_Entry!A170)</f>
        <v/>
      </c>
      <c r="B172" s="103">
        <f>IF(Human_Data_Entry!B170="","",Human_Data_Entry!B170)</f>
        <v/>
      </c>
      <c r="C172" s="104">
        <f>IF(Human_Data_Entry!C170="","",Human_Data_Entry!C170)</f>
        <v/>
      </c>
      <c r="D172" s="103">
        <f>IF(Human_Data_Entry!D170="","",Human_Data_Entry!D170)</f>
        <v/>
      </c>
      <c r="E172" s="103">
        <f>IF(Human_Data_Entry!G170="","",Human_Data_Entry!G170)</f>
        <v/>
      </c>
      <c r="F172" s="103">
        <f>IF(Human_Data_Entry!X170="","",Human_Data_Entry!X170)</f>
        <v/>
      </c>
      <c r="G172" s="103">
        <f>IF(Human_Data_Entry!AY170="","",Human_Data_Entry!AY170)</f>
        <v/>
      </c>
      <c r="H172" s="103">
        <f>IF(Human_Data_Entry!AZ170="","",Human_Data_Entry!AZ170)</f>
        <v/>
      </c>
      <c r="I172" s="103">
        <f>IF(Human_Data_Entry!AL170="","",Human_Data_Entry!AL170)</f>
        <v/>
      </c>
      <c r="J172" s="103">
        <f>IF(Human_Data_Entry!AM170="","",Human_Data_Entry!AM170)</f>
        <v/>
      </c>
      <c r="K172" s="103">
        <f>IF(Human_Data_Entry!AN170="","",Human_Data_Entry!AN170)</f>
        <v/>
      </c>
      <c r="L172" s="103">
        <f>IF(Human_Data_Entry!AO170="","",Human_Data_Entry!AO170)</f>
        <v/>
      </c>
      <c r="M172" s="103">
        <f>IF(Human_Data_Entry!BM170="","",Human_Data_Entry!BM170)</f>
        <v/>
      </c>
      <c r="N172" s="103">
        <f>IF(Human_Data_Entry!BN170="","",Human_Data_Entry!BN170)</f>
        <v/>
      </c>
      <c r="O172" s="103">
        <f>IF(Human_Data_Entry!BO170="","",Human_Data_Entry!BO170)</f>
        <v/>
      </c>
      <c r="P172" s="103">
        <f>IF(Human_Data_Entry!BP170="","",Human_Data_Entry!BP170)</f>
        <v/>
      </c>
      <c r="Q172" s="103">
        <f>IF(Human_Data_Entry!BQ170="","",Human_Data_Entry!BQ170)</f>
        <v/>
      </c>
      <c r="R172" s="103">
        <f>IF(Human_Data_Entry!BR170="","",Human_Data_Entry!BR170)</f>
        <v/>
      </c>
      <c r="S172" s="103">
        <f>IF(Human_Data_Entry!BS170="","",Human_Data_Entry!BS170)</f>
        <v/>
      </c>
      <c r="T172" s="103">
        <f>IF(Human_Data_Entry!BT170="","",Human_Data_Entry!BT170)</f>
        <v/>
      </c>
    </row>
    <row r="173" ht="15" customHeight="1" s="241">
      <c r="A173" s="103">
        <f>IF(Human_Data_Entry!A171="","",Human_Data_Entry!A171)</f>
        <v/>
      </c>
      <c r="B173" s="103">
        <f>IF(Human_Data_Entry!B171="","",Human_Data_Entry!B171)</f>
        <v/>
      </c>
      <c r="C173" s="104">
        <f>IF(Human_Data_Entry!C171="","",Human_Data_Entry!C171)</f>
        <v/>
      </c>
      <c r="D173" s="103">
        <f>IF(Human_Data_Entry!D171="","",Human_Data_Entry!D171)</f>
        <v/>
      </c>
      <c r="E173" s="103">
        <f>IF(Human_Data_Entry!G171="","",Human_Data_Entry!G171)</f>
        <v/>
      </c>
      <c r="F173" s="103">
        <f>IF(Human_Data_Entry!X171="","",Human_Data_Entry!X171)</f>
        <v/>
      </c>
      <c r="G173" s="103">
        <f>IF(Human_Data_Entry!AY171="","",Human_Data_Entry!AY171)</f>
        <v/>
      </c>
      <c r="H173" s="103">
        <f>IF(Human_Data_Entry!AZ171="","",Human_Data_Entry!AZ171)</f>
        <v/>
      </c>
      <c r="I173" s="103">
        <f>IF(Human_Data_Entry!AL171="","",Human_Data_Entry!AL171)</f>
        <v/>
      </c>
      <c r="J173" s="103">
        <f>IF(Human_Data_Entry!AM171="","",Human_Data_Entry!AM171)</f>
        <v/>
      </c>
      <c r="K173" s="103">
        <f>IF(Human_Data_Entry!AN171="","",Human_Data_Entry!AN171)</f>
        <v/>
      </c>
      <c r="L173" s="103">
        <f>IF(Human_Data_Entry!AO171="","",Human_Data_Entry!AO171)</f>
        <v/>
      </c>
      <c r="M173" s="103">
        <f>IF(Human_Data_Entry!BM171="","",Human_Data_Entry!BM171)</f>
        <v/>
      </c>
      <c r="N173" s="103">
        <f>IF(Human_Data_Entry!BN171="","",Human_Data_Entry!BN171)</f>
        <v/>
      </c>
      <c r="O173" s="103">
        <f>IF(Human_Data_Entry!BO171="","",Human_Data_Entry!BO171)</f>
        <v/>
      </c>
      <c r="P173" s="103">
        <f>IF(Human_Data_Entry!BP171="","",Human_Data_Entry!BP171)</f>
        <v/>
      </c>
      <c r="Q173" s="103">
        <f>IF(Human_Data_Entry!BQ171="","",Human_Data_Entry!BQ171)</f>
        <v/>
      </c>
      <c r="R173" s="103">
        <f>IF(Human_Data_Entry!BR171="","",Human_Data_Entry!BR171)</f>
        <v/>
      </c>
      <c r="S173" s="103">
        <f>IF(Human_Data_Entry!BS171="","",Human_Data_Entry!BS171)</f>
        <v/>
      </c>
      <c r="T173" s="103">
        <f>IF(Human_Data_Entry!BT171="","",Human_Data_Entry!BT171)</f>
        <v/>
      </c>
    </row>
    <row r="174" ht="15" customHeight="1" s="241">
      <c r="A174" s="103">
        <f>IF(Human_Data_Entry!A172="","",Human_Data_Entry!A172)</f>
        <v/>
      </c>
      <c r="B174" s="103">
        <f>IF(Human_Data_Entry!B172="","",Human_Data_Entry!B172)</f>
        <v/>
      </c>
      <c r="C174" s="104">
        <f>IF(Human_Data_Entry!C172="","",Human_Data_Entry!C172)</f>
        <v/>
      </c>
      <c r="D174" s="103">
        <f>IF(Human_Data_Entry!D172="","",Human_Data_Entry!D172)</f>
        <v/>
      </c>
      <c r="E174" s="103">
        <f>IF(Human_Data_Entry!G172="","",Human_Data_Entry!G172)</f>
        <v/>
      </c>
      <c r="F174" s="103">
        <f>IF(Human_Data_Entry!X172="","",Human_Data_Entry!X172)</f>
        <v/>
      </c>
      <c r="G174" s="103">
        <f>IF(Human_Data_Entry!AY172="","",Human_Data_Entry!AY172)</f>
        <v/>
      </c>
      <c r="H174" s="103">
        <f>IF(Human_Data_Entry!AZ172="","",Human_Data_Entry!AZ172)</f>
        <v/>
      </c>
      <c r="I174" s="103">
        <f>IF(Human_Data_Entry!AL172="","",Human_Data_Entry!AL172)</f>
        <v/>
      </c>
      <c r="J174" s="103">
        <f>IF(Human_Data_Entry!AM172="","",Human_Data_Entry!AM172)</f>
        <v/>
      </c>
      <c r="K174" s="103">
        <f>IF(Human_Data_Entry!AN172="","",Human_Data_Entry!AN172)</f>
        <v/>
      </c>
      <c r="L174" s="103">
        <f>IF(Human_Data_Entry!AO172="","",Human_Data_Entry!AO172)</f>
        <v/>
      </c>
      <c r="M174" s="103">
        <f>IF(Human_Data_Entry!BM172="","",Human_Data_Entry!BM172)</f>
        <v/>
      </c>
      <c r="N174" s="103">
        <f>IF(Human_Data_Entry!BN172="","",Human_Data_Entry!BN172)</f>
        <v/>
      </c>
      <c r="O174" s="103">
        <f>IF(Human_Data_Entry!BO172="","",Human_Data_Entry!BO172)</f>
        <v/>
      </c>
      <c r="P174" s="103">
        <f>IF(Human_Data_Entry!BP172="","",Human_Data_Entry!BP172)</f>
        <v/>
      </c>
      <c r="Q174" s="103">
        <f>IF(Human_Data_Entry!BQ172="","",Human_Data_Entry!BQ172)</f>
        <v/>
      </c>
      <c r="R174" s="103">
        <f>IF(Human_Data_Entry!BR172="","",Human_Data_Entry!BR172)</f>
        <v/>
      </c>
      <c r="S174" s="103">
        <f>IF(Human_Data_Entry!BS172="","",Human_Data_Entry!BS172)</f>
        <v/>
      </c>
      <c r="T174" s="103">
        <f>IF(Human_Data_Entry!BT172="","",Human_Data_Entry!BT172)</f>
        <v/>
      </c>
    </row>
    <row r="175" ht="15" customHeight="1" s="241">
      <c r="A175" s="103">
        <f>IF(Human_Data_Entry!A173="","",Human_Data_Entry!A173)</f>
        <v/>
      </c>
      <c r="B175" s="103">
        <f>IF(Human_Data_Entry!B173="","",Human_Data_Entry!B173)</f>
        <v/>
      </c>
      <c r="C175" s="104">
        <f>IF(Human_Data_Entry!C173="","",Human_Data_Entry!C173)</f>
        <v/>
      </c>
      <c r="D175" s="103">
        <f>IF(Human_Data_Entry!D173="","",Human_Data_Entry!D173)</f>
        <v/>
      </c>
      <c r="E175" s="103">
        <f>IF(Human_Data_Entry!G173="","",Human_Data_Entry!G173)</f>
        <v/>
      </c>
      <c r="F175" s="103">
        <f>IF(Human_Data_Entry!X173="","",Human_Data_Entry!X173)</f>
        <v/>
      </c>
      <c r="G175" s="103">
        <f>IF(Human_Data_Entry!AY173="","",Human_Data_Entry!AY173)</f>
        <v/>
      </c>
      <c r="H175" s="103">
        <f>IF(Human_Data_Entry!AZ173="","",Human_Data_Entry!AZ173)</f>
        <v/>
      </c>
      <c r="I175" s="103">
        <f>IF(Human_Data_Entry!AL173="","",Human_Data_Entry!AL173)</f>
        <v/>
      </c>
      <c r="J175" s="103">
        <f>IF(Human_Data_Entry!AM173="","",Human_Data_Entry!AM173)</f>
        <v/>
      </c>
      <c r="K175" s="103">
        <f>IF(Human_Data_Entry!AN173="","",Human_Data_Entry!AN173)</f>
        <v/>
      </c>
      <c r="L175" s="103">
        <f>IF(Human_Data_Entry!AO173="","",Human_Data_Entry!AO173)</f>
        <v/>
      </c>
      <c r="M175" s="103">
        <f>IF(Human_Data_Entry!BM173="","",Human_Data_Entry!BM173)</f>
        <v/>
      </c>
      <c r="N175" s="103">
        <f>IF(Human_Data_Entry!BN173="","",Human_Data_Entry!BN173)</f>
        <v/>
      </c>
      <c r="O175" s="103">
        <f>IF(Human_Data_Entry!BO173="","",Human_Data_Entry!BO173)</f>
        <v/>
      </c>
      <c r="P175" s="103">
        <f>IF(Human_Data_Entry!BP173="","",Human_Data_Entry!BP173)</f>
        <v/>
      </c>
      <c r="Q175" s="103">
        <f>IF(Human_Data_Entry!BQ173="","",Human_Data_Entry!BQ173)</f>
        <v/>
      </c>
      <c r="R175" s="103">
        <f>IF(Human_Data_Entry!BR173="","",Human_Data_Entry!BR173)</f>
        <v/>
      </c>
      <c r="S175" s="103">
        <f>IF(Human_Data_Entry!BS173="","",Human_Data_Entry!BS173)</f>
        <v/>
      </c>
      <c r="T175" s="103">
        <f>IF(Human_Data_Entry!BT173="","",Human_Data_Entry!BT173)</f>
        <v/>
      </c>
    </row>
    <row r="176" ht="15" customHeight="1" s="241">
      <c r="A176" s="103">
        <f>IF(Human_Data_Entry!A174="","",Human_Data_Entry!A174)</f>
        <v/>
      </c>
      <c r="B176" s="103">
        <f>IF(Human_Data_Entry!B174="","",Human_Data_Entry!B174)</f>
        <v/>
      </c>
      <c r="C176" s="104">
        <f>IF(Human_Data_Entry!C174="","",Human_Data_Entry!C174)</f>
        <v/>
      </c>
      <c r="D176" s="103">
        <f>IF(Human_Data_Entry!D174="","",Human_Data_Entry!D174)</f>
        <v/>
      </c>
      <c r="E176" s="103">
        <f>IF(Human_Data_Entry!G174="","",Human_Data_Entry!G174)</f>
        <v/>
      </c>
      <c r="F176" s="103">
        <f>IF(Human_Data_Entry!X174="","",Human_Data_Entry!X174)</f>
        <v/>
      </c>
      <c r="G176" s="103">
        <f>IF(Human_Data_Entry!AY174="","",Human_Data_Entry!AY174)</f>
        <v/>
      </c>
      <c r="H176" s="103">
        <f>IF(Human_Data_Entry!AZ174="","",Human_Data_Entry!AZ174)</f>
        <v/>
      </c>
      <c r="I176" s="103">
        <f>IF(Human_Data_Entry!AL174="","",Human_Data_Entry!AL174)</f>
        <v/>
      </c>
      <c r="J176" s="103">
        <f>IF(Human_Data_Entry!AM174="","",Human_Data_Entry!AM174)</f>
        <v/>
      </c>
      <c r="K176" s="103">
        <f>IF(Human_Data_Entry!AN174="","",Human_Data_Entry!AN174)</f>
        <v/>
      </c>
      <c r="L176" s="103">
        <f>IF(Human_Data_Entry!AO174="","",Human_Data_Entry!AO174)</f>
        <v/>
      </c>
      <c r="M176" s="103">
        <f>IF(Human_Data_Entry!BM174="","",Human_Data_Entry!BM174)</f>
        <v/>
      </c>
      <c r="N176" s="103">
        <f>IF(Human_Data_Entry!BN174="","",Human_Data_Entry!BN174)</f>
        <v/>
      </c>
      <c r="O176" s="103">
        <f>IF(Human_Data_Entry!BO174="","",Human_Data_Entry!BO174)</f>
        <v/>
      </c>
      <c r="P176" s="103">
        <f>IF(Human_Data_Entry!BP174="","",Human_Data_Entry!BP174)</f>
        <v/>
      </c>
      <c r="Q176" s="103">
        <f>IF(Human_Data_Entry!BQ174="","",Human_Data_Entry!BQ174)</f>
        <v/>
      </c>
      <c r="R176" s="103">
        <f>IF(Human_Data_Entry!BR174="","",Human_Data_Entry!BR174)</f>
        <v/>
      </c>
      <c r="S176" s="103">
        <f>IF(Human_Data_Entry!BS174="","",Human_Data_Entry!BS174)</f>
        <v/>
      </c>
      <c r="T176" s="103">
        <f>IF(Human_Data_Entry!BT174="","",Human_Data_Entry!BT174)</f>
        <v/>
      </c>
    </row>
    <row r="177" ht="15" customHeight="1" s="241">
      <c r="A177" s="103">
        <f>IF(Human_Data_Entry!A175="","",Human_Data_Entry!A175)</f>
        <v/>
      </c>
      <c r="B177" s="103">
        <f>IF(Human_Data_Entry!B175="","",Human_Data_Entry!B175)</f>
        <v/>
      </c>
      <c r="C177" s="104">
        <f>IF(Human_Data_Entry!C175="","",Human_Data_Entry!C175)</f>
        <v/>
      </c>
      <c r="D177" s="103">
        <f>IF(Human_Data_Entry!D175="","",Human_Data_Entry!D175)</f>
        <v/>
      </c>
      <c r="E177" s="103">
        <f>IF(Human_Data_Entry!G175="","",Human_Data_Entry!G175)</f>
        <v/>
      </c>
      <c r="F177" s="103">
        <f>IF(Human_Data_Entry!X175="","",Human_Data_Entry!X175)</f>
        <v/>
      </c>
      <c r="G177" s="103">
        <f>IF(Human_Data_Entry!AY175="","",Human_Data_Entry!AY175)</f>
        <v/>
      </c>
      <c r="H177" s="103">
        <f>IF(Human_Data_Entry!AZ175="","",Human_Data_Entry!AZ175)</f>
        <v/>
      </c>
      <c r="I177" s="103">
        <f>IF(Human_Data_Entry!AL175="","",Human_Data_Entry!AL175)</f>
        <v/>
      </c>
      <c r="J177" s="103">
        <f>IF(Human_Data_Entry!AM175="","",Human_Data_Entry!AM175)</f>
        <v/>
      </c>
      <c r="K177" s="103">
        <f>IF(Human_Data_Entry!AN175="","",Human_Data_Entry!AN175)</f>
        <v/>
      </c>
      <c r="L177" s="103">
        <f>IF(Human_Data_Entry!AO175="","",Human_Data_Entry!AO175)</f>
        <v/>
      </c>
      <c r="M177" s="103">
        <f>IF(Human_Data_Entry!BM175="","",Human_Data_Entry!BM175)</f>
        <v/>
      </c>
      <c r="N177" s="103">
        <f>IF(Human_Data_Entry!BN175="","",Human_Data_Entry!BN175)</f>
        <v/>
      </c>
      <c r="O177" s="103">
        <f>IF(Human_Data_Entry!BO175="","",Human_Data_Entry!BO175)</f>
        <v/>
      </c>
      <c r="P177" s="103">
        <f>IF(Human_Data_Entry!BP175="","",Human_Data_Entry!BP175)</f>
        <v/>
      </c>
      <c r="Q177" s="103">
        <f>IF(Human_Data_Entry!BQ175="","",Human_Data_Entry!BQ175)</f>
        <v/>
      </c>
      <c r="R177" s="103">
        <f>IF(Human_Data_Entry!BR175="","",Human_Data_Entry!BR175)</f>
        <v/>
      </c>
      <c r="S177" s="103">
        <f>IF(Human_Data_Entry!BS175="","",Human_Data_Entry!BS175)</f>
        <v/>
      </c>
      <c r="T177" s="103">
        <f>IF(Human_Data_Entry!BT175="","",Human_Data_Entry!BT175)</f>
        <v/>
      </c>
    </row>
    <row r="178" ht="15" customHeight="1" s="241">
      <c r="A178" s="103">
        <f>IF(Human_Data_Entry!A176="","",Human_Data_Entry!A176)</f>
        <v/>
      </c>
      <c r="B178" s="103">
        <f>IF(Human_Data_Entry!B176="","",Human_Data_Entry!B176)</f>
        <v/>
      </c>
      <c r="C178" s="104">
        <f>IF(Human_Data_Entry!C176="","",Human_Data_Entry!C176)</f>
        <v/>
      </c>
      <c r="D178" s="103">
        <f>IF(Human_Data_Entry!D176="","",Human_Data_Entry!D176)</f>
        <v/>
      </c>
      <c r="E178" s="103">
        <f>IF(Human_Data_Entry!G176="","",Human_Data_Entry!G176)</f>
        <v/>
      </c>
      <c r="F178" s="103">
        <f>IF(Human_Data_Entry!X176="","",Human_Data_Entry!X176)</f>
        <v/>
      </c>
      <c r="G178" s="103">
        <f>IF(Human_Data_Entry!AY176="","",Human_Data_Entry!AY176)</f>
        <v/>
      </c>
      <c r="H178" s="103">
        <f>IF(Human_Data_Entry!AZ176="","",Human_Data_Entry!AZ176)</f>
        <v/>
      </c>
      <c r="I178" s="103">
        <f>IF(Human_Data_Entry!AL176="","",Human_Data_Entry!AL176)</f>
        <v/>
      </c>
      <c r="J178" s="103">
        <f>IF(Human_Data_Entry!AM176="","",Human_Data_Entry!AM176)</f>
        <v/>
      </c>
      <c r="K178" s="103">
        <f>IF(Human_Data_Entry!AN176="","",Human_Data_Entry!AN176)</f>
        <v/>
      </c>
      <c r="L178" s="103">
        <f>IF(Human_Data_Entry!AO176="","",Human_Data_Entry!AO176)</f>
        <v/>
      </c>
      <c r="M178" s="103">
        <f>IF(Human_Data_Entry!BM176="","",Human_Data_Entry!BM176)</f>
        <v/>
      </c>
      <c r="N178" s="103">
        <f>IF(Human_Data_Entry!BN176="","",Human_Data_Entry!BN176)</f>
        <v/>
      </c>
      <c r="O178" s="103">
        <f>IF(Human_Data_Entry!BO176="","",Human_Data_Entry!BO176)</f>
        <v/>
      </c>
      <c r="P178" s="103">
        <f>IF(Human_Data_Entry!BP176="","",Human_Data_Entry!BP176)</f>
        <v/>
      </c>
      <c r="Q178" s="103">
        <f>IF(Human_Data_Entry!BQ176="","",Human_Data_Entry!BQ176)</f>
        <v/>
      </c>
      <c r="R178" s="103">
        <f>IF(Human_Data_Entry!BR176="","",Human_Data_Entry!BR176)</f>
        <v/>
      </c>
      <c r="S178" s="103">
        <f>IF(Human_Data_Entry!BS176="","",Human_Data_Entry!BS176)</f>
        <v/>
      </c>
      <c r="T178" s="103">
        <f>IF(Human_Data_Entry!BT176="","",Human_Data_Entry!BT176)</f>
        <v/>
      </c>
    </row>
    <row r="179" ht="15" customHeight="1" s="241">
      <c r="A179" s="103">
        <f>IF(Human_Data_Entry!A177="","",Human_Data_Entry!A177)</f>
        <v/>
      </c>
      <c r="B179" s="103">
        <f>IF(Human_Data_Entry!B177="","",Human_Data_Entry!B177)</f>
        <v/>
      </c>
      <c r="C179" s="104">
        <f>IF(Human_Data_Entry!C177="","",Human_Data_Entry!C177)</f>
        <v/>
      </c>
      <c r="D179" s="103">
        <f>IF(Human_Data_Entry!D177="","",Human_Data_Entry!D177)</f>
        <v/>
      </c>
      <c r="E179" s="103">
        <f>IF(Human_Data_Entry!G177="","",Human_Data_Entry!G177)</f>
        <v/>
      </c>
      <c r="F179" s="103">
        <f>IF(Human_Data_Entry!X177="","",Human_Data_Entry!X177)</f>
        <v/>
      </c>
      <c r="G179" s="103">
        <f>IF(Human_Data_Entry!AY177="","",Human_Data_Entry!AY177)</f>
        <v/>
      </c>
      <c r="H179" s="103">
        <f>IF(Human_Data_Entry!AZ177="","",Human_Data_Entry!AZ177)</f>
        <v/>
      </c>
      <c r="I179" s="103">
        <f>IF(Human_Data_Entry!AL177="","",Human_Data_Entry!AL177)</f>
        <v/>
      </c>
      <c r="J179" s="103">
        <f>IF(Human_Data_Entry!AM177="","",Human_Data_Entry!AM177)</f>
        <v/>
      </c>
      <c r="K179" s="103">
        <f>IF(Human_Data_Entry!AN177="","",Human_Data_Entry!AN177)</f>
        <v/>
      </c>
      <c r="L179" s="103">
        <f>IF(Human_Data_Entry!AO177="","",Human_Data_Entry!AO177)</f>
        <v/>
      </c>
      <c r="M179" s="103">
        <f>IF(Human_Data_Entry!BM177="","",Human_Data_Entry!BM177)</f>
        <v/>
      </c>
      <c r="N179" s="103">
        <f>IF(Human_Data_Entry!BN177="","",Human_Data_Entry!BN177)</f>
        <v/>
      </c>
      <c r="O179" s="103">
        <f>IF(Human_Data_Entry!BO177="","",Human_Data_Entry!BO177)</f>
        <v/>
      </c>
      <c r="P179" s="103">
        <f>IF(Human_Data_Entry!BP177="","",Human_Data_Entry!BP177)</f>
        <v/>
      </c>
      <c r="Q179" s="103">
        <f>IF(Human_Data_Entry!BQ177="","",Human_Data_Entry!BQ177)</f>
        <v/>
      </c>
      <c r="R179" s="103">
        <f>IF(Human_Data_Entry!BR177="","",Human_Data_Entry!BR177)</f>
        <v/>
      </c>
      <c r="S179" s="103">
        <f>IF(Human_Data_Entry!BS177="","",Human_Data_Entry!BS177)</f>
        <v/>
      </c>
      <c r="T179" s="103">
        <f>IF(Human_Data_Entry!BT177="","",Human_Data_Entry!BT177)</f>
        <v/>
      </c>
    </row>
    <row r="180" ht="15" customHeight="1" s="241">
      <c r="A180" s="103">
        <f>IF(Human_Data_Entry!A178="","",Human_Data_Entry!A178)</f>
        <v/>
      </c>
      <c r="B180" s="103">
        <f>IF(Human_Data_Entry!B178="","",Human_Data_Entry!B178)</f>
        <v/>
      </c>
      <c r="C180" s="104">
        <f>IF(Human_Data_Entry!C178="","",Human_Data_Entry!C178)</f>
        <v/>
      </c>
      <c r="D180" s="103">
        <f>IF(Human_Data_Entry!D178="","",Human_Data_Entry!D178)</f>
        <v/>
      </c>
      <c r="E180" s="103">
        <f>IF(Human_Data_Entry!G178="","",Human_Data_Entry!G178)</f>
        <v/>
      </c>
      <c r="F180" s="103">
        <f>IF(Human_Data_Entry!X178="","",Human_Data_Entry!X178)</f>
        <v/>
      </c>
      <c r="G180" s="103">
        <f>IF(Human_Data_Entry!AY178="","",Human_Data_Entry!AY178)</f>
        <v/>
      </c>
      <c r="H180" s="103">
        <f>IF(Human_Data_Entry!AZ178="","",Human_Data_Entry!AZ178)</f>
        <v/>
      </c>
      <c r="I180" s="103">
        <f>IF(Human_Data_Entry!AL178="","",Human_Data_Entry!AL178)</f>
        <v/>
      </c>
      <c r="J180" s="103">
        <f>IF(Human_Data_Entry!AM178="","",Human_Data_Entry!AM178)</f>
        <v/>
      </c>
      <c r="K180" s="103">
        <f>IF(Human_Data_Entry!AN178="","",Human_Data_Entry!AN178)</f>
        <v/>
      </c>
      <c r="L180" s="103">
        <f>IF(Human_Data_Entry!AO178="","",Human_Data_Entry!AO178)</f>
        <v/>
      </c>
      <c r="M180" s="103">
        <f>IF(Human_Data_Entry!BM178="","",Human_Data_Entry!BM178)</f>
        <v/>
      </c>
      <c r="N180" s="103">
        <f>IF(Human_Data_Entry!BN178="","",Human_Data_Entry!BN178)</f>
        <v/>
      </c>
      <c r="O180" s="103">
        <f>IF(Human_Data_Entry!BO178="","",Human_Data_Entry!BO178)</f>
        <v/>
      </c>
      <c r="P180" s="103">
        <f>IF(Human_Data_Entry!BP178="","",Human_Data_Entry!BP178)</f>
        <v/>
      </c>
      <c r="Q180" s="103">
        <f>IF(Human_Data_Entry!BQ178="","",Human_Data_Entry!BQ178)</f>
        <v/>
      </c>
      <c r="R180" s="103">
        <f>IF(Human_Data_Entry!BR178="","",Human_Data_Entry!BR178)</f>
        <v/>
      </c>
      <c r="S180" s="103">
        <f>IF(Human_Data_Entry!BS178="","",Human_Data_Entry!BS178)</f>
        <v/>
      </c>
      <c r="T180" s="103">
        <f>IF(Human_Data_Entry!BT178="","",Human_Data_Entry!BT178)</f>
        <v/>
      </c>
    </row>
    <row r="181" ht="15" customHeight="1" s="241">
      <c r="A181" s="103">
        <f>IF(Human_Data_Entry!A179="","",Human_Data_Entry!A179)</f>
        <v/>
      </c>
      <c r="B181" s="103">
        <f>IF(Human_Data_Entry!B179="","",Human_Data_Entry!B179)</f>
        <v/>
      </c>
      <c r="C181" s="104">
        <f>IF(Human_Data_Entry!C179="","",Human_Data_Entry!C179)</f>
        <v/>
      </c>
      <c r="D181" s="103">
        <f>IF(Human_Data_Entry!D179="","",Human_Data_Entry!D179)</f>
        <v/>
      </c>
      <c r="E181" s="103">
        <f>IF(Human_Data_Entry!G179="","",Human_Data_Entry!G179)</f>
        <v/>
      </c>
      <c r="F181" s="103">
        <f>IF(Human_Data_Entry!X179="","",Human_Data_Entry!X179)</f>
        <v/>
      </c>
      <c r="G181" s="103">
        <f>IF(Human_Data_Entry!AY179="","",Human_Data_Entry!AY179)</f>
        <v/>
      </c>
      <c r="H181" s="103">
        <f>IF(Human_Data_Entry!AZ179="","",Human_Data_Entry!AZ179)</f>
        <v/>
      </c>
      <c r="I181" s="103">
        <f>IF(Human_Data_Entry!AL179="","",Human_Data_Entry!AL179)</f>
        <v/>
      </c>
      <c r="J181" s="103">
        <f>IF(Human_Data_Entry!AM179="","",Human_Data_Entry!AM179)</f>
        <v/>
      </c>
      <c r="K181" s="103">
        <f>IF(Human_Data_Entry!AN179="","",Human_Data_Entry!AN179)</f>
        <v/>
      </c>
      <c r="L181" s="103">
        <f>IF(Human_Data_Entry!AO179="","",Human_Data_Entry!AO179)</f>
        <v/>
      </c>
      <c r="M181" s="103">
        <f>IF(Human_Data_Entry!BM179="","",Human_Data_Entry!BM179)</f>
        <v/>
      </c>
      <c r="N181" s="103">
        <f>IF(Human_Data_Entry!BN179="","",Human_Data_Entry!BN179)</f>
        <v/>
      </c>
      <c r="O181" s="103">
        <f>IF(Human_Data_Entry!BO179="","",Human_Data_Entry!BO179)</f>
        <v/>
      </c>
      <c r="P181" s="103">
        <f>IF(Human_Data_Entry!BP179="","",Human_Data_Entry!BP179)</f>
        <v/>
      </c>
      <c r="Q181" s="103">
        <f>IF(Human_Data_Entry!BQ179="","",Human_Data_Entry!BQ179)</f>
        <v/>
      </c>
      <c r="R181" s="103">
        <f>IF(Human_Data_Entry!BR179="","",Human_Data_Entry!BR179)</f>
        <v/>
      </c>
      <c r="S181" s="103">
        <f>IF(Human_Data_Entry!BS179="","",Human_Data_Entry!BS179)</f>
        <v/>
      </c>
      <c r="T181" s="103">
        <f>IF(Human_Data_Entry!BT179="","",Human_Data_Entry!BT179)</f>
        <v/>
      </c>
    </row>
    <row r="182" ht="15" customHeight="1" s="241">
      <c r="A182" s="103">
        <f>IF(Human_Data_Entry!A180="","",Human_Data_Entry!A180)</f>
        <v/>
      </c>
      <c r="B182" s="103">
        <f>IF(Human_Data_Entry!B180="","",Human_Data_Entry!B180)</f>
        <v/>
      </c>
      <c r="C182" s="104">
        <f>IF(Human_Data_Entry!C180="","",Human_Data_Entry!C180)</f>
        <v/>
      </c>
      <c r="D182" s="103">
        <f>IF(Human_Data_Entry!D180="","",Human_Data_Entry!D180)</f>
        <v/>
      </c>
      <c r="E182" s="103">
        <f>IF(Human_Data_Entry!G180="","",Human_Data_Entry!G180)</f>
        <v/>
      </c>
      <c r="F182" s="103">
        <f>IF(Human_Data_Entry!X180="","",Human_Data_Entry!X180)</f>
        <v/>
      </c>
      <c r="G182" s="103">
        <f>IF(Human_Data_Entry!AY180="","",Human_Data_Entry!AY180)</f>
        <v/>
      </c>
      <c r="H182" s="103">
        <f>IF(Human_Data_Entry!AZ180="","",Human_Data_Entry!AZ180)</f>
        <v/>
      </c>
      <c r="I182" s="103">
        <f>IF(Human_Data_Entry!AL180="","",Human_Data_Entry!AL180)</f>
        <v/>
      </c>
      <c r="J182" s="103">
        <f>IF(Human_Data_Entry!AM180="","",Human_Data_Entry!AM180)</f>
        <v/>
      </c>
      <c r="K182" s="103">
        <f>IF(Human_Data_Entry!AN180="","",Human_Data_Entry!AN180)</f>
        <v/>
      </c>
      <c r="L182" s="103">
        <f>IF(Human_Data_Entry!AO180="","",Human_Data_Entry!AO180)</f>
        <v/>
      </c>
      <c r="M182" s="103">
        <f>IF(Human_Data_Entry!BM180="","",Human_Data_Entry!BM180)</f>
        <v/>
      </c>
      <c r="N182" s="103">
        <f>IF(Human_Data_Entry!BN180="","",Human_Data_Entry!BN180)</f>
        <v/>
      </c>
      <c r="O182" s="103">
        <f>IF(Human_Data_Entry!BO180="","",Human_Data_Entry!BO180)</f>
        <v/>
      </c>
      <c r="P182" s="103">
        <f>IF(Human_Data_Entry!BP180="","",Human_Data_Entry!BP180)</f>
        <v/>
      </c>
      <c r="Q182" s="103">
        <f>IF(Human_Data_Entry!BQ180="","",Human_Data_Entry!BQ180)</f>
        <v/>
      </c>
      <c r="R182" s="103">
        <f>IF(Human_Data_Entry!BR180="","",Human_Data_Entry!BR180)</f>
        <v/>
      </c>
      <c r="S182" s="103">
        <f>IF(Human_Data_Entry!BS180="","",Human_Data_Entry!BS180)</f>
        <v/>
      </c>
      <c r="T182" s="103">
        <f>IF(Human_Data_Entry!BT180="","",Human_Data_Entry!BT180)</f>
        <v/>
      </c>
    </row>
    <row r="183" ht="15" customHeight="1" s="241">
      <c r="A183" s="103">
        <f>IF(Human_Data_Entry!A181="","",Human_Data_Entry!A181)</f>
        <v/>
      </c>
      <c r="B183" s="103">
        <f>IF(Human_Data_Entry!B181="","",Human_Data_Entry!B181)</f>
        <v/>
      </c>
      <c r="C183" s="104">
        <f>IF(Human_Data_Entry!C181="","",Human_Data_Entry!C181)</f>
        <v/>
      </c>
      <c r="D183" s="103">
        <f>IF(Human_Data_Entry!D181="","",Human_Data_Entry!D181)</f>
        <v/>
      </c>
      <c r="E183" s="103">
        <f>IF(Human_Data_Entry!G181="","",Human_Data_Entry!G181)</f>
        <v/>
      </c>
      <c r="F183" s="103">
        <f>IF(Human_Data_Entry!X181="","",Human_Data_Entry!X181)</f>
        <v/>
      </c>
      <c r="G183" s="103">
        <f>IF(Human_Data_Entry!AY181="","",Human_Data_Entry!AY181)</f>
        <v/>
      </c>
      <c r="H183" s="103">
        <f>IF(Human_Data_Entry!AZ181="","",Human_Data_Entry!AZ181)</f>
        <v/>
      </c>
      <c r="I183" s="103">
        <f>IF(Human_Data_Entry!AL181="","",Human_Data_Entry!AL181)</f>
        <v/>
      </c>
      <c r="J183" s="103">
        <f>IF(Human_Data_Entry!AM181="","",Human_Data_Entry!AM181)</f>
        <v/>
      </c>
      <c r="K183" s="103">
        <f>IF(Human_Data_Entry!AN181="","",Human_Data_Entry!AN181)</f>
        <v/>
      </c>
      <c r="L183" s="103">
        <f>IF(Human_Data_Entry!AO181="","",Human_Data_Entry!AO181)</f>
        <v/>
      </c>
      <c r="M183" s="103">
        <f>IF(Human_Data_Entry!BM181="","",Human_Data_Entry!BM181)</f>
        <v/>
      </c>
      <c r="N183" s="103">
        <f>IF(Human_Data_Entry!BN181="","",Human_Data_Entry!BN181)</f>
        <v/>
      </c>
      <c r="O183" s="103">
        <f>IF(Human_Data_Entry!BO181="","",Human_Data_Entry!BO181)</f>
        <v/>
      </c>
      <c r="P183" s="103">
        <f>IF(Human_Data_Entry!BP181="","",Human_Data_Entry!BP181)</f>
        <v/>
      </c>
      <c r="Q183" s="103">
        <f>IF(Human_Data_Entry!BQ181="","",Human_Data_Entry!BQ181)</f>
        <v/>
      </c>
      <c r="R183" s="103">
        <f>IF(Human_Data_Entry!BR181="","",Human_Data_Entry!BR181)</f>
        <v/>
      </c>
      <c r="S183" s="103">
        <f>IF(Human_Data_Entry!BS181="","",Human_Data_Entry!BS181)</f>
        <v/>
      </c>
      <c r="T183" s="103">
        <f>IF(Human_Data_Entry!BT181="","",Human_Data_Entry!BT181)</f>
        <v/>
      </c>
    </row>
    <row r="184" ht="15" customHeight="1" s="241">
      <c r="A184" s="103">
        <f>IF(Human_Data_Entry!A182="","",Human_Data_Entry!A182)</f>
        <v/>
      </c>
      <c r="B184" s="103">
        <f>IF(Human_Data_Entry!B182="","",Human_Data_Entry!B182)</f>
        <v/>
      </c>
      <c r="C184" s="104">
        <f>IF(Human_Data_Entry!C182="","",Human_Data_Entry!C182)</f>
        <v/>
      </c>
      <c r="D184" s="103">
        <f>IF(Human_Data_Entry!D182="","",Human_Data_Entry!D182)</f>
        <v/>
      </c>
      <c r="E184" s="103">
        <f>IF(Human_Data_Entry!G182="","",Human_Data_Entry!G182)</f>
        <v/>
      </c>
      <c r="F184" s="103">
        <f>IF(Human_Data_Entry!X182="","",Human_Data_Entry!X182)</f>
        <v/>
      </c>
      <c r="G184" s="103">
        <f>IF(Human_Data_Entry!AY182="","",Human_Data_Entry!AY182)</f>
        <v/>
      </c>
      <c r="H184" s="103">
        <f>IF(Human_Data_Entry!AZ182="","",Human_Data_Entry!AZ182)</f>
        <v/>
      </c>
      <c r="I184" s="103">
        <f>IF(Human_Data_Entry!AL182="","",Human_Data_Entry!AL182)</f>
        <v/>
      </c>
      <c r="J184" s="103">
        <f>IF(Human_Data_Entry!AM182="","",Human_Data_Entry!AM182)</f>
        <v/>
      </c>
      <c r="K184" s="103">
        <f>IF(Human_Data_Entry!AN182="","",Human_Data_Entry!AN182)</f>
        <v/>
      </c>
      <c r="L184" s="103">
        <f>IF(Human_Data_Entry!AO182="","",Human_Data_Entry!AO182)</f>
        <v/>
      </c>
      <c r="M184" s="103">
        <f>IF(Human_Data_Entry!BM182="","",Human_Data_Entry!BM182)</f>
        <v/>
      </c>
      <c r="N184" s="103">
        <f>IF(Human_Data_Entry!BN182="","",Human_Data_Entry!BN182)</f>
        <v/>
      </c>
      <c r="O184" s="103">
        <f>IF(Human_Data_Entry!BO182="","",Human_Data_Entry!BO182)</f>
        <v/>
      </c>
      <c r="P184" s="103">
        <f>IF(Human_Data_Entry!BP182="","",Human_Data_Entry!BP182)</f>
        <v/>
      </c>
      <c r="Q184" s="103">
        <f>IF(Human_Data_Entry!BQ182="","",Human_Data_Entry!BQ182)</f>
        <v/>
      </c>
      <c r="R184" s="103">
        <f>IF(Human_Data_Entry!BR182="","",Human_Data_Entry!BR182)</f>
        <v/>
      </c>
      <c r="S184" s="103">
        <f>IF(Human_Data_Entry!BS182="","",Human_Data_Entry!BS182)</f>
        <v/>
      </c>
      <c r="T184" s="103">
        <f>IF(Human_Data_Entry!BT182="","",Human_Data_Entry!BT182)</f>
        <v/>
      </c>
    </row>
    <row r="185" ht="15" customHeight="1" s="241">
      <c r="A185" s="103">
        <f>IF(Human_Data_Entry!A183="","",Human_Data_Entry!A183)</f>
        <v/>
      </c>
      <c r="B185" s="103">
        <f>IF(Human_Data_Entry!B183="","",Human_Data_Entry!B183)</f>
        <v/>
      </c>
      <c r="C185" s="104">
        <f>IF(Human_Data_Entry!C183="","",Human_Data_Entry!C183)</f>
        <v/>
      </c>
      <c r="D185" s="103">
        <f>IF(Human_Data_Entry!D183="","",Human_Data_Entry!D183)</f>
        <v/>
      </c>
      <c r="E185" s="103">
        <f>IF(Human_Data_Entry!G183="","",Human_Data_Entry!G183)</f>
        <v/>
      </c>
      <c r="F185" s="103">
        <f>IF(Human_Data_Entry!X183="","",Human_Data_Entry!X183)</f>
        <v/>
      </c>
      <c r="G185" s="103">
        <f>IF(Human_Data_Entry!AY183="","",Human_Data_Entry!AY183)</f>
        <v/>
      </c>
      <c r="H185" s="103">
        <f>IF(Human_Data_Entry!AZ183="","",Human_Data_Entry!AZ183)</f>
        <v/>
      </c>
      <c r="I185" s="103">
        <f>IF(Human_Data_Entry!AL183="","",Human_Data_Entry!AL183)</f>
        <v/>
      </c>
      <c r="J185" s="103">
        <f>IF(Human_Data_Entry!AM183="","",Human_Data_Entry!AM183)</f>
        <v/>
      </c>
      <c r="K185" s="103">
        <f>IF(Human_Data_Entry!AN183="","",Human_Data_Entry!AN183)</f>
        <v/>
      </c>
      <c r="L185" s="103">
        <f>IF(Human_Data_Entry!AO183="","",Human_Data_Entry!AO183)</f>
        <v/>
      </c>
      <c r="M185" s="103">
        <f>IF(Human_Data_Entry!BM183="","",Human_Data_Entry!BM183)</f>
        <v/>
      </c>
      <c r="N185" s="103">
        <f>IF(Human_Data_Entry!BN183="","",Human_Data_Entry!BN183)</f>
        <v/>
      </c>
      <c r="O185" s="103">
        <f>IF(Human_Data_Entry!BO183="","",Human_Data_Entry!BO183)</f>
        <v/>
      </c>
      <c r="P185" s="103">
        <f>IF(Human_Data_Entry!BP183="","",Human_Data_Entry!BP183)</f>
        <v/>
      </c>
      <c r="Q185" s="103">
        <f>IF(Human_Data_Entry!BQ183="","",Human_Data_Entry!BQ183)</f>
        <v/>
      </c>
      <c r="R185" s="103">
        <f>IF(Human_Data_Entry!BR183="","",Human_Data_Entry!BR183)</f>
        <v/>
      </c>
      <c r="S185" s="103">
        <f>IF(Human_Data_Entry!BS183="","",Human_Data_Entry!BS183)</f>
        <v/>
      </c>
      <c r="T185" s="103">
        <f>IF(Human_Data_Entry!BT183="","",Human_Data_Entry!BT183)</f>
        <v/>
      </c>
    </row>
    <row r="186" ht="15" customHeight="1" s="241">
      <c r="A186" s="103">
        <f>IF(Human_Data_Entry!A184="","",Human_Data_Entry!A184)</f>
        <v/>
      </c>
      <c r="B186" s="103">
        <f>IF(Human_Data_Entry!B184="","",Human_Data_Entry!B184)</f>
        <v/>
      </c>
      <c r="C186" s="104">
        <f>IF(Human_Data_Entry!C184="","",Human_Data_Entry!C184)</f>
        <v/>
      </c>
      <c r="D186" s="103">
        <f>IF(Human_Data_Entry!D184="","",Human_Data_Entry!D184)</f>
        <v/>
      </c>
      <c r="E186" s="103">
        <f>IF(Human_Data_Entry!G184="","",Human_Data_Entry!G184)</f>
        <v/>
      </c>
      <c r="F186" s="103">
        <f>IF(Human_Data_Entry!X184="","",Human_Data_Entry!X184)</f>
        <v/>
      </c>
      <c r="G186" s="103">
        <f>IF(Human_Data_Entry!AY184="","",Human_Data_Entry!AY184)</f>
        <v/>
      </c>
      <c r="H186" s="103">
        <f>IF(Human_Data_Entry!AZ184="","",Human_Data_Entry!AZ184)</f>
        <v/>
      </c>
      <c r="I186" s="103">
        <f>IF(Human_Data_Entry!AL184="","",Human_Data_Entry!AL184)</f>
        <v/>
      </c>
      <c r="J186" s="103">
        <f>IF(Human_Data_Entry!AM184="","",Human_Data_Entry!AM184)</f>
        <v/>
      </c>
      <c r="K186" s="103">
        <f>IF(Human_Data_Entry!AN184="","",Human_Data_Entry!AN184)</f>
        <v/>
      </c>
      <c r="L186" s="103">
        <f>IF(Human_Data_Entry!AO184="","",Human_Data_Entry!AO184)</f>
        <v/>
      </c>
      <c r="M186" s="103">
        <f>IF(Human_Data_Entry!BM184="","",Human_Data_Entry!BM184)</f>
        <v/>
      </c>
      <c r="N186" s="103">
        <f>IF(Human_Data_Entry!BN184="","",Human_Data_Entry!BN184)</f>
        <v/>
      </c>
      <c r="O186" s="103">
        <f>IF(Human_Data_Entry!BO184="","",Human_Data_Entry!BO184)</f>
        <v/>
      </c>
      <c r="P186" s="103">
        <f>IF(Human_Data_Entry!BP184="","",Human_Data_Entry!BP184)</f>
        <v/>
      </c>
      <c r="Q186" s="103">
        <f>IF(Human_Data_Entry!BQ184="","",Human_Data_Entry!BQ184)</f>
        <v/>
      </c>
      <c r="R186" s="103">
        <f>IF(Human_Data_Entry!BR184="","",Human_Data_Entry!BR184)</f>
        <v/>
      </c>
      <c r="S186" s="103">
        <f>IF(Human_Data_Entry!BS184="","",Human_Data_Entry!BS184)</f>
        <v/>
      </c>
      <c r="T186" s="103">
        <f>IF(Human_Data_Entry!BT184="","",Human_Data_Entry!BT184)</f>
        <v/>
      </c>
    </row>
    <row r="187" ht="15" customHeight="1" s="241">
      <c r="A187" s="103">
        <f>IF(Human_Data_Entry!A185="","",Human_Data_Entry!A185)</f>
        <v/>
      </c>
      <c r="B187" s="103">
        <f>IF(Human_Data_Entry!B185="","",Human_Data_Entry!B185)</f>
        <v/>
      </c>
      <c r="C187" s="104">
        <f>IF(Human_Data_Entry!C185="","",Human_Data_Entry!C185)</f>
        <v/>
      </c>
      <c r="D187" s="103">
        <f>IF(Human_Data_Entry!D185="","",Human_Data_Entry!D185)</f>
        <v/>
      </c>
      <c r="E187" s="103">
        <f>IF(Human_Data_Entry!G185="","",Human_Data_Entry!G185)</f>
        <v/>
      </c>
      <c r="F187" s="103">
        <f>IF(Human_Data_Entry!X185="","",Human_Data_Entry!X185)</f>
        <v/>
      </c>
      <c r="G187" s="103">
        <f>IF(Human_Data_Entry!AY185="","",Human_Data_Entry!AY185)</f>
        <v/>
      </c>
      <c r="H187" s="103">
        <f>IF(Human_Data_Entry!AZ185="","",Human_Data_Entry!AZ185)</f>
        <v/>
      </c>
      <c r="I187" s="103">
        <f>IF(Human_Data_Entry!AL185="","",Human_Data_Entry!AL185)</f>
        <v/>
      </c>
      <c r="J187" s="103">
        <f>IF(Human_Data_Entry!AM185="","",Human_Data_Entry!AM185)</f>
        <v/>
      </c>
      <c r="K187" s="103">
        <f>IF(Human_Data_Entry!AN185="","",Human_Data_Entry!AN185)</f>
        <v/>
      </c>
      <c r="L187" s="103">
        <f>IF(Human_Data_Entry!AO185="","",Human_Data_Entry!AO185)</f>
        <v/>
      </c>
      <c r="M187" s="103">
        <f>IF(Human_Data_Entry!BM185="","",Human_Data_Entry!BM185)</f>
        <v/>
      </c>
      <c r="N187" s="103">
        <f>IF(Human_Data_Entry!BN185="","",Human_Data_Entry!BN185)</f>
        <v/>
      </c>
      <c r="O187" s="103">
        <f>IF(Human_Data_Entry!BO185="","",Human_Data_Entry!BO185)</f>
        <v/>
      </c>
      <c r="P187" s="103">
        <f>IF(Human_Data_Entry!BP185="","",Human_Data_Entry!BP185)</f>
        <v/>
      </c>
      <c r="Q187" s="103">
        <f>IF(Human_Data_Entry!BQ185="","",Human_Data_Entry!BQ185)</f>
        <v/>
      </c>
      <c r="R187" s="103">
        <f>IF(Human_Data_Entry!BR185="","",Human_Data_Entry!BR185)</f>
        <v/>
      </c>
      <c r="S187" s="103">
        <f>IF(Human_Data_Entry!BS185="","",Human_Data_Entry!BS185)</f>
        <v/>
      </c>
      <c r="T187" s="103">
        <f>IF(Human_Data_Entry!BT185="","",Human_Data_Entry!BT185)</f>
        <v/>
      </c>
    </row>
    <row r="188" ht="15" customHeight="1" s="241">
      <c r="A188" s="103">
        <f>IF(Human_Data_Entry!A186="","",Human_Data_Entry!A186)</f>
        <v/>
      </c>
      <c r="B188" s="103">
        <f>IF(Human_Data_Entry!B186="","",Human_Data_Entry!B186)</f>
        <v/>
      </c>
      <c r="C188" s="104">
        <f>IF(Human_Data_Entry!C186="","",Human_Data_Entry!C186)</f>
        <v/>
      </c>
      <c r="D188" s="103">
        <f>IF(Human_Data_Entry!D186="","",Human_Data_Entry!D186)</f>
        <v/>
      </c>
      <c r="E188" s="103">
        <f>IF(Human_Data_Entry!G186="","",Human_Data_Entry!G186)</f>
        <v/>
      </c>
      <c r="F188" s="103">
        <f>IF(Human_Data_Entry!X186="","",Human_Data_Entry!X186)</f>
        <v/>
      </c>
      <c r="G188" s="103">
        <f>IF(Human_Data_Entry!AY186="","",Human_Data_Entry!AY186)</f>
        <v/>
      </c>
      <c r="H188" s="103">
        <f>IF(Human_Data_Entry!AZ186="","",Human_Data_Entry!AZ186)</f>
        <v/>
      </c>
      <c r="I188" s="103">
        <f>IF(Human_Data_Entry!AL186="","",Human_Data_Entry!AL186)</f>
        <v/>
      </c>
      <c r="J188" s="103">
        <f>IF(Human_Data_Entry!AM186="","",Human_Data_Entry!AM186)</f>
        <v/>
      </c>
      <c r="K188" s="103">
        <f>IF(Human_Data_Entry!AN186="","",Human_Data_Entry!AN186)</f>
        <v/>
      </c>
      <c r="L188" s="103">
        <f>IF(Human_Data_Entry!AO186="","",Human_Data_Entry!AO186)</f>
        <v/>
      </c>
      <c r="M188" s="103">
        <f>IF(Human_Data_Entry!BM186="","",Human_Data_Entry!BM186)</f>
        <v/>
      </c>
      <c r="N188" s="103">
        <f>IF(Human_Data_Entry!BN186="","",Human_Data_Entry!BN186)</f>
        <v/>
      </c>
      <c r="O188" s="103">
        <f>IF(Human_Data_Entry!BO186="","",Human_Data_Entry!BO186)</f>
        <v/>
      </c>
      <c r="P188" s="103">
        <f>IF(Human_Data_Entry!BP186="","",Human_Data_Entry!BP186)</f>
        <v/>
      </c>
      <c r="Q188" s="103">
        <f>IF(Human_Data_Entry!BQ186="","",Human_Data_Entry!BQ186)</f>
        <v/>
      </c>
      <c r="R188" s="103">
        <f>IF(Human_Data_Entry!BR186="","",Human_Data_Entry!BR186)</f>
        <v/>
      </c>
      <c r="S188" s="103">
        <f>IF(Human_Data_Entry!BS186="","",Human_Data_Entry!BS186)</f>
        <v/>
      </c>
      <c r="T188" s="103">
        <f>IF(Human_Data_Entry!BT186="","",Human_Data_Entry!BT186)</f>
        <v/>
      </c>
    </row>
    <row r="189" ht="15" customHeight="1" s="241">
      <c r="A189" s="103">
        <f>IF(Human_Data_Entry!A187="","",Human_Data_Entry!A187)</f>
        <v/>
      </c>
      <c r="B189" s="103">
        <f>IF(Human_Data_Entry!B187="","",Human_Data_Entry!B187)</f>
        <v/>
      </c>
      <c r="C189" s="104">
        <f>IF(Human_Data_Entry!C187="","",Human_Data_Entry!C187)</f>
        <v/>
      </c>
      <c r="D189" s="103">
        <f>IF(Human_Data_Entry!D187="","",Human_Data_Entry!D187)</f>
        <v/>
      </c>
      <c r="E189" s="103">
        <f>IF(Human_Data_Entry!G187="","",Human_Data_Entry!G187)</f>
        <v/>
      </c>
      <c r="F189" s="103">
        <f>IF(Human_Data_Entry!X187="","",Human_Data_Entry!X187)</f>
        <v/>
      </c>
      <c r="G189" s="103">
        <f>IF(Human_Data_Entry!AY187="","",Human_Data_Entry!AY187)</f>
        <v/>
      </c>
      <c r="H189" s="103">
        <f>IF(Human_Data_Entry!AZ187="","",Human_Data_Entry!AZ187)</f>
        <v/>
      </c>
      <c r="I189" s="103">
        <f>IF(Human_Data_Entry!AL187="","",Human_Data_Entry!AL187)</f>
        <v/>
      </c>
      <c r="J189" s="103">
        <f>IF(Human_Data_Entry!AM187="","",Human_Data_Entry!AM187)</f>
        <v/>
      </c>
      <c r="K189" s="103">
        <f>IF(Human_Data_Entry!AN187="","",Human_Data_Entry!AN187)</f>
        <v/>
      </c>
      <c r="L189" s="103">
        <f>IF(Human_Data_Entry!AO187="","",Human_Data_Entry!AO187)</f>
        <v/>
      </c>
      <c r="M189" s="103">
        <f>IF(Human_Data_Entry!BM187="","",Human_Data_Entry!BM187)</f>
        <v/>
      </c>
      <c r="N189" s="103">
        <f>IF(Human_Data_Entry!BN187="","",Human_Data_Entry!BN187)</f>
        <v/>
      </c>
      <c r="O189" s="103">
        <f>IF(Human_Data_Entry!BO187="","",Human_Data_Entry!BO187)</f>
        <v/>
      </c>
      <c r="P189" s="103">
        <f>IF(Human_Data_Entry!BP187="","",Human_Data_Entry!BP187)</f>
        <v/>
      </c>
      <c r="Q189" s="103">
        <f>IF(Human_Data_Entry!BQ187="","",Human_Data_Entry!BQ187)</f>
        <v/>
      </c>
      <c r="R189" s="103">
        <f>IF(Human_Data_Entry!BR187="","",Human_Data_Entry!BR187)</f>
        <v/>
      </c>
      <c r="S189" s="103">
        <f>IF(Human_Data_Entry!BS187="","",Human_Data_Entry!BS187)</f>
        <v/>
      </c>
      <c r="T189" s="103">
        <f>IF(Human_Data_Entry!BT187="","",Human_Data_Entry!BT187)</f>
        <v/>
      </c>
    </row>
    <row r="190" ht="15" customHeight="1" s="241">
      <c r="A190" s="103">
        <f>IF(Human_Data_Entry!A188="","",Human_Data_Entry!A188)</f>
        <v/>
      </c>
      <c r="B190" s="103">
        <f>IF(Human_Data_Entry!B188="","",Human_Data_Entry!B188)</f>
        <v/>
      </c>
      <c r="C190" s="104">
        <f>IF(Human_Data_Entry!C188="","",Human_Data_Entry!C188)</f>
        <v/>
      </c>
      <c r="D190" s="103">
        <f>IF(Human_Data_Entry!D188="","",Human_Data_Entry!D188)</f>
        <v/>
      </c>
      <c r="E190" s="103">
        <f>IF(Human_Data_Entry!G188="","",Human_Data_Entry!G188)</f>
        <v/>
      </c>
      <c r="F190" s="103">
        <f>IF(Human_Data_Entry!X188="","",Human_Data_Entry!X188)</f>
        <v/>
      </c>
      <c r="G190" s="103">
        <f>IF(Human_Data_Entry!AY188="","",Human_Data_Entry!AY188)</f>
        <v/>
      </c>
      <c r="H190" s="103">
        <f>IF(Human_Data_Entry!AZ188="","",Human_Data_Entry!AZ188)</f>
        <v/>
      </c>
      <c r="I190" s="103">
        <f>IF(Human_Data_Entry!AL188="","",Human_Data_Entry!AL188)</f>
        <v/>
      </c>
      <c r="J190" s="103">
        <f>IF(Human_Data_Entry!AM188="","",Human_Data_Entry!AM188)</f>
        <v/>
      </c>
      <c r="K190" s="103">
        <f>IF(Human_Data_Entry!AN188="","",Human_Data_Entry!AN188)</f>
        <v/>
      </c>
      <c r="L190" s="103">
        <f>IF(Human_Data_Entry!AO188="","",Human_Data_Entry!AO188)</f>
        <v/>
      </c>
      <c r="M190" s="103">
        <f>IF(Human_Data_Entry!BM188="","",Human_Data_Entry!BM188)</f>
        <v/>
      </c>
      <c r="N190" s="103">
        <f>IF(Human_Data_Entry!BN188="","",Human_Data_Entry!BN188)</f>
        <v/>
      </c>
      <c r="O190" s="103">
        <f>IF(Human_Data_Entry!BO188="","",Human_Data_Entry!BO188)</f>
        <v/>
      </c>
      <c r="P190" s="103">
        <f>IF(Human_Data_Entry!BP188="","",Human_Data_Entry!BP188)</f>
        <v/>
      </c>
      <c r="Q190" s="103">
        <f>IF(Human_Data_Entry!BQ188="","",Human_Data_Entry!BQ188)</f>
        <v/>
      </c>
      <c r="R190" s="103">
        <f>IF(Human_Data_Entry!BR188="","",Human_Data_Entry!BR188)</f>
        <v/>
      </c>
      <c r="S190" s="103">
        <f>IF(Human_Data_Entry!BS188="","",Human_Data_Entry!BS188)</f>
        <v/>
      </c>
      <c r="T190" s="103">
        <f>IF(Human_Data_Entry!BT188="","",Human_Data_Entry!BT188)</f>
        <v/>
      </c>
    </row>
    <row r="191" ht="15" customHeight="1" s="241">
      <c r="A191" s="103">
        <f>IF(Human_Data_Entry!A189="","",Human_Data_Entry!A189)</f>
        <v/>
      </c>
      <c r="B191" s="103">
        <f>IF(Human_Data_Entry!B189="","",Human_Data_Entry!B189)</f>
        <v/>
      </c>
      <c r="C191" s="104">
        <f>IF(Human_Data_Entry!C189="","",Human_Data_Entry!C189)</f>
        <v/>
      </c>
      <c r="D191" s="103">
        <f>IF(Human_Data_Entry!D189="","",Human_Data_Entry!D189)</f>
        <v/>
      </c>
      <c r="E191" s="103">
        <f>IF(Human_Data_Entry!G189="","",Human_Data_Entry!G189)</f>
        <v/>
      </c>
      <c r="F191" s="103">
        <f>IF(Human_Data_Entry!X189="","",Human_Data_Entry!X189)</f>
        <v/>
      </c>
      <c r="G191" s="103">
        <f>IF(Human_Data_Entry!AY189="","",Human_Data_Entry!AY189)</f>
        <v/>
      </c>
      <c r="H191" s="103">
        <f>IF(Human_Data_Entry!AZ189="","",Human_Data_Entry!AZ189)</f>
        <v/>
      </c>
      <c r="I191" s="103">
        <f>IF(Human_Data_Entry!AL189="","",Human_Data_Entry!AL189)</f>
        <v/>
      </c>
      <c r="J191" s="103">
        <f>IF(Human_Data_Entry!AM189="","",Human_Data_Entry!AM189)</f>
        <v/>
      </c>
      <c r="K191" s="103">
        <f>IF(Human_Data_Entry!AN189="","",Human_Data_Entry!AN189)</f>
        <v/>
      </c>
      <c r="L191" s="103">
        <f>IF(Human_Data_Entry!AO189="","",Human_Data_Entry!AO189)</f>
        <v/>
      </c>
      <c r="M191" s="103">
        <f>IF(Human_Data_Entry!BM189="","",Human_Data_Entry!BM189)</f>
        <v/>
      </c>
      <c r="N191" s="103">
        <f>IF(Human_Data_Entry!BN189="","",Human_Data_Entry!BN189)</f>
        <v/>
      </c>
      <c r="O191" s="103">
        <f>IF(Human_Data_Entry!BO189="","",Human_Data_Entry!BO189)</f>
        <v/>
      </c>
      <c r="P191" s="103">
        <f>IF(Human_Data_Entry!BP189="","",Human_Data_Entry!BP189)</f>
        <v/>
      </c>
      <c r="Q191" s="103">
        <f>IF(Human_Data_Entry!BQ189="","",Human_Data_Entry!BQ189)</f>
        <v/>
      </c>
      <c r="R191" s="103">
        <f>IF(Human_Data_Entry!BR189="","",Human_Data_Entry!BR189)</f>
        <v/>
      </c>
      <c r="S191" s="103">
        <f>IF(Human_Data_Entry!BS189="","",Human_Data_Entry!BS189)</f>
        <v/>
      </c>
      <c r="T191" s="103">
        <f>IF(Human_Data_Entry!BT189="","",Human_Data_Entry!BT189)</f>
        <v/>
      </c>
    </row>
    <row r="192" ht="15" customHeight="1" s="241">
      <c r="A192" s="103">
        <f>IF(Human_Data_Entry!A190="","",Human_Data_Entry!A190)</f>
        <v/>
      </c>
      <c r="B192" s="103">
        <f>IF(Human_Data_Entry!B190="","",Human_Data_Entry!B190)</f>
        <v/>
      </c>
      <c r="C192" s="104">
        <f>IF(Human_Data_Entry!C190="","",Human_Data_Entry!C190)</f>
        <v/>
      </c>
      <c r="D192" s="103">
        <f>IF(Human_Data_Entry!D190="","",Human_Data_Entry!D190)</f>
        <v/>
      </c>
      <c r="E192" s="103">
        <f>IF(Human_Data_Entry!G190="","",Human_Data_Entry!G190)</f>
        <v/>
      </c>
      <c r="F192" s="103">
        <f>IF(Human_Data_Entry!X190="","",Human_Data_Entry!X190)</f>
        <v/>
      </c>
      <c r="G192" s="103">
        <f>IF(Human_Data_Entry!AY190="","",Human_Data_Entry!AY190)</f>
        <v/>
      </c>
      <c r="H192" s="103">
        <f>IF(Human_Data_Entry!AZ190="","",Human_Data_Entry!AZ190)</f>
        <v/>
      </c>
      <c r="I192" s="103">
        <f>IF(Human_Data_Entry!AL190="","",Human_Data_Entry!AL190)</f>
        <v/>
      </c>
      <c r="J192" s="103">
        <f>IF(Human_Data_Entry!AM190="","",Human_Data_Entry!AM190)</f>
        <v/>
      </c>
      <c r="K192" s="103">
        <f>IF(Human_Data_Entry!AN190="","",Human_Data_Entry!AN190)</f>
        <v/>
      </c>
      <c r="L192" s="103">
        <f>IF(Human_Data_Entry!AO190="","",Human_Data_Entry!AO190)</f>
        <v/>
      </c>
      <c r="M192" s="103">
        <f>IF(Human_Data_Entry!BM190="","",Human_Data_Entry!BM190)</f>
        <v/>
      </c>
      <c r="N192" s="103">
        <f>IF(Human_Data_Entry!BN190="","",Human_Data_Entry!BN190)</f>
        <v/>
      </c>
      <c r="O192" s="103">
        <f>IF(Human_Data_Entry!BO190="","",Human_Data_Entry!BO190)</f>
        <v/>
      </c>
      <c r="P192" s="103">
        <f>IF(Human_Data_Entry!BP190="","",Human_Data_Entry!BP190)</f>
        <v/>
      </c>
      <c r="Q192" s="103">
        <f>IF(Human_Data_Entry!BQ190="","",Human_Data_Entry!BQ190)</f>
        <v/>
      </c>
      <c r="R192" s="103">
        <f>IF(Human_Data_Entry!BR190="","",Human_Data_Entry!BR190)</f>
        <v/>
      </c>
      <c r="S192" s="103">
        <f>IF(Human_Data_Entry!BS190="","",Human_Data_Entry!BS190)</f>
        <v/>
      </c>
      <c r="T192" s="103">
        <f>IF(Human_Data_Entry!BT190="","",Human_Data_Entry!BT190)</f>
        <v/>
      </c>
    </row>
    <row r="193" ht="15" customHeight="1" s="241">
      <c r="A193" s="103">
        <f>IF(Human_Data_Entry!A191="","",Human_Data_Entry!A191)</f>
        <v/>
      </c>
      <c r="B193" s="103">
        <f>IF(Human_Data_Entry!B191="","",Human_Data_Entry!B191)</f>
        <v/>
      </c>
      <c r="C193" s="104">
        <f>IF(Human_Data_Entry!C191="","",Human_Data_Entry!C191)</f>
        <v/>
      </c>
      <c r="D193" s="103">
        <f>IF(Human_Data_Entry!D191="","",Human_Data_Entry!D191)</f>
        <v/>
      </c>
      <c r="E193" s="103">
        <f>IF(Human_Data_Entry!G191="","",Human_Data_Entry!G191)</f>
        <v/>
      </c>
      <c r="F193" s="103">
        <f>IF(Human_Data_Entry!X191="","",Human_Data_Entry!X191)</f>
        <v/>
      </c>
      <c r="G193" s="103">
        <f>IF(Human_Data_Entry!AY191="","",Human_Data_Entry!AY191)</f>
        <v/>
      </c>
      <c r="H193" s="103">
        <f>IF(Human_Data_Entry!AZ191="","",Human_Data_Entry!AZ191)</f>
        <v/>
      </c>
      <c r="I193" s="103">
        <f>IF(Human_Data_Entry!AL191="","",Human_Data_Entry!AL191)</f>
        <v/>
      </c>
      <c r="J193" s="103">
        <f>IF(Human_Data_Entry!AM191="","",Human_Data_Entry!AM191)</f>
        <v/>
      </c>
      <c r="K193" s="103">
        <f>IF(Human_Data_Entry!AN191="","",Human_Data_Entry!AN191)</f>
        <v/>
      </c>
      <c r="L193" s="103">
        <f>IF(Human_Data_Entry!AO191="","",Human_Data_Entry!AO191)</f>
        <v/>
      </c>
      <c r="M193" s="103">
        <f>IF(Human_Data_Entry!BM191="","",Human_Data_Entry!BM191)</f>
        <v/>
      </c>
      <c r="N193" s="103">
        <f>IF(Human_Data_Entry!BN191="","",Human_Data_Entry!BN191)</f>
        <v/>
      </c>
      <c r="O193" s="103">
        <f>IF(Human_Data_Entry!BO191="","",Human_Data_Entry!BO191)</f>
        <v/>
      </c>
      <c r="P193" s="103">
        <f>IF(Human_Data_Entry!BP191="","",Human_Data_Entry!BP191)</f>
        <v/>
      </c>
      <c r="Q193" s="103">
        <f>IF(Human_Data_Entry!BQ191="","",Human_Data_Entry!BQ191)</f>
        <v/>
      </c>
      <c r="R193" s="103">
        <f>IF(Human_Data_Entry!BR191="","",Human_Data_Entry!BR191)</f>
        <v/>
      </c>
      <c r="S193" s="103">
        <f>IF(Human_Data_Entry!BS191="","",Human_Data_Entry!BS191)</f>
        <v/>
      </c>
      <c r="T193" s="103">
        <f>IF(Human_Data_Entry!BT191="","",Human_Data_Entry!BT191)</f>
        <v/>
      </c>
    </row>
    <row r="194" ht="15" customHeight="1" s="241">
      <c r="A194" s="103">
        <f>IF(Human_Data_Entry!A192="","",Human_Data_Entry!A192)</f>
        <v/>
      </c>
      <c r="B194" s="103">
        <f>IF(Human_Data_Entry!B192="","",Human_Data_Entry!B192)</f>
        <v/>
      </c>
      <c r="C194" s="104">
        <f>IF(Human_Data_Entry!C192="","",Human_Data_Entry!C192)</f>
        <v/>
      </c>
      <c r="D194" s="103">
        <f>IF(Human_Data_Entry!D192="","",Human_Data_Entry!D192)</f>
        <v/>
      </c>
      <c r="E194" s="103">
        <f>IF(Human_Data_Entry!G192="","",Human_Data_Entry!G192)</f>
        <v/>
      </c>
      <c r="F194" s="103">
        <f>IF(Human_Data_Entry!X192="","",Human_Data_Entry!X192)</f>
        <v/>
      </c>
      <c r="G194" s="103">
        <f>IF(Human_Data_Entry!AY192="","",Human_Data_Entry!AY192)</f>
        <v/>
      </c>
      <c r="H194" s="103">
        <f>IF(Human_Data_Entry!AZ192="","",Human_Data_Entry!AZ192)</f>
        <v/>
      </c>
      <c r="I194" s="103">
        <f>IF(Human_Data_Entry!AL192="","",Human_Data_Entry!AL192)</f>
        <v/>
      </c>
      <c r="J194" s="103">
        <f>IF(Human_Data_Entry!AM192="","",Human_Data_Entry!AM192)</f>
        <v/>
      </c>
      <c r="K194" s="103">
        <f>IF(Human_Data_Entry!AN192="","",Human_Data_Entry!AN192)</f>
        <v/>
      </c>
      <c r="L194" s="103">
        <f>IF(Human_Data_Entry!AO192="","",Human_Data_Entry!AO192)</f>
        <v/>
      </c>
      <c r="M194" s="103">
        <f>IF(Human_Data_Entry!BM192="","",Human_Data_Entry!BM192)</f>
        <v/>
      </c>
      <c r="N194" s="103">
        <f>IF(Human_Data_Entry!BN192="","",Human_Data_Entry!BN192)</f>
        <v/>
      </c>
      <c r="O194" s="103">
        <f>IF(Human_Data_Entry!BO192="","",Human_Data_Entry!BO192)</f>
        <v/>
      </c>
      <c r="P194" s="103">
        <f>IF(Human_Data_Entry!BP192="","",Human_Data_Entry!BP192)</f>
        <v/>
      </c>
      <c r="Q194" s="103">
        <f>IF(Human_Data_Entry!BQ192="","",Human_Data_Entry!BQ192)</f>
        <v/>
      </c>
      <c r="R194" s="103">
        <f>IF(Human_Data_Entry!BR192="","",Human_Data_Entry!BR192)</f>
        <v/>
      </c>
      <c r="S194" s="103">
        <f>IF(Human_Data_Entry!BS192="","",Human_Data_Entry!BS192)</f>
        <v/>
      </c>
      <c r="T194" s="103">
        <f>IF(Human_Data_Entry!BT192="","",Human_Data_Entry!BT192)</f>
        <v/>
      </c>
    </row>
    <row r="195" ht="15" customHeight="1" s="241">
      <c r="A195" s="103">
        <f>IF(Human_Data_Entry!A193="","",Human_Data_Entry!A193)</f>
        <v/>
      </c>
      <c r="B195" s="103">
        <f>IF(Human_Data_Entry!B193="","",Human_Data_Entry!B193)</f>
        <v/>
      </c>
      <c r="C195" s="104">
        <f>IF(Human_Data_Entry!C193="","",Human_Data_Entry!C193)</f>
        <v/>
      </c>
      <c r="D195" s="103">
        <f>IF(Human_Data_Entry!D193="","",Human_Data_Entry!D193)</f>
        <v/>
      </c>
      <c r="E195" s="103">
        <f>IF(Human_Data_Entry!G193="","",Human_Data_Entry!G193)</f>
        <v/>
      </c>
      <c r="F195" s="103">
        <f>IF(Human_Data_Entry!X193="","",Human_Data_Entry!X193)</f>
        <v/>
      </c>
      <c r="G195" s="103">
        <f>IF(Human_Data_Entry!AY193="","",Human_Data_Entry!AY193)</f>
        <v/>
      </c>
      <c r="H195" s="103">
        <f>IF(Human_Data_Entry!AZ193="","",Human_Data_Entry!AZ193)</f>
        <v/>
      </c>
      <c r="I195" s="103">
        <f>IF(Human_Data_Entry!AL193="","",Human_Data_Entry!AL193)</f>
        <v/>
      </c>
      <c r="J195" s="103">
        <f>IF(Human_Data_Entry!AM193="","",Human_Data_Entry!AM193)</f>
        <v/>
      </c>
      <c r="K195" s="103">
        <f>IF(Human_Data_Entry!AN193="","",Human_Data_Entry!AN193)</f>
        <v/>
      </c>
      <c r="L195" s="103">
        <f>IF(Human_Data_Entry!AO193="","",Human_Data_Entry!AO193)</f>
        <v/>
      </c>
      <c r="M195" s="103">
        <f>IF(Human_Data_Entry!BM193="","",Human_Data_Entry!BM193)</f>
        <v/>
      </c>
      <c r="N195" s="103">
        <f>IF(Human_Data_Entry!BN193="","",Human_Data_Entry!BN193)</f>
        <v/>
      </c>
      <c r="O195" s="103">
        <f>IF(Human_Data_Entry!BO193="","",Human_Data_Entry!BO193)</f>
        <v/>
      </c>
      <c r="P195" s="103">
        <f>IF(Human_Data_Entry!BP193="","",Human_Data_Entry!BP193)</f>
        <v/>
      </c>
      <c r="Q195" s="103">
        <f>IF(Human_Data_Entry!BQ193="","",Human_Data_Entry!BQ193)</f>
        <v/>
      </c>
      <c r="R195" s="103">
        <f>IF(Human_Data_Entry!BR193="","",Human_Data_Entry!BR193)</f>
        <v/>
      </c>
      <c r="S195" s="103">
        <f>IF(Human_Data_Entry!BS193="","",Human_Data_Entry!BS193)</f>
        <v/>
      </c>
      <c r="T195" s="103">
        <f>IF(Human_Data_Entry!BT193="","",Human_Data_Entry!BT193)</f>
        <v/>
      </c>
    </row>
    <row r="196" ht="15" customHeight="1" s="241">
      <c r="A196" s="103">
        <f>IF(Human_Data_Entry!A194="","",Human_Data_Entry!A194)</f>
        <v/>
      </c>
      <c r="B196" s="103">
        <f>IF(Human_Data_Entry!B194="","",Human_Data_Entry!B194)</f>
        <v/>
      </c>
      <c r="C196" s="104">
        <f>IF(Human_Data_Entry!C194="","",Human_Data_Entry!C194)</f>
        <v/>
      </c>
      <c r="D196" s="103">
        <f>IF(Human_Data_Entry!D194="","",Human_Data_Entry!D194)</f>
        <v/>
      </c>
      <c r="E196" s="103">
        <f>IF(Human_Data_Entry!G194="","",Human_Data_Entry!G194)</f>
        <v/>
      </c>
      <c r="F196" s="103">
        <f>IF(Human_Data_Entry!X194="","",Human_Data_Entry!X194)</f>
        <v/>
      </c>
      <c r="G196" s="103">
        <f>IF(Human_Data_Entry!AY194="","",Human_Data_Entry!AY194)</f>
        <v/>
      </c>
      <c r="H196" s="103">
        <f>IF(Human_Data_Entry!AZ194="","",Human_Data_Entry!AZ194)</f>
        <v/>
      </c>
      <c r="I196" s="103">
        <f>IF(Human_Data_Entry!AL194="","",Human_Data_Entry!AL194)</f>
        <v/>
      </c>
      <c r="J196" s="103">
        <f>IF(Human_Data_Entry!AM194="","",Human_Data_Entry!AM194)</f>
        <v/>
      </c>
      <c r="K196" s="103">
        <f>IF(Human_Data_Entry!AN194="","",Human_Data_Entry!AN194)</f>
        <v/>
      </c>
      <c r="L196" s="103">
        <f>IF(Human_Data_Entry!AO194="","",Human_Data_Entry!AO194)</f>
        <v/>
      </c>
      <c r="M196" s="103">
        <f>IF(Human_Data_Entry!BM194="","",Human_Data_Entry!BM194)</f>
        <v/>
      </c>
      <c r="N196" s="103">
        <f>IF(Human_Data_Entry!BN194="","",Human_Data_Entry!BN194)</f>
        <v/>
      </c>
      <c r="O196" s="103">
        <f>IF(Human_Data_Entry!BO194="","",Human_Data_Entry!BO194)</f>
        <v/>
      </c>
      <c r="P196" s="103">
        <f>IF(Human_Data_Entry!BP194="","",Human_Data_Entry!BP194)</f>
        <v/>
      </c>
      <c r="Q196" s="103">
        <f>IF(Human_Data_Entry!BQ194="","",Human_Data_Entry!BQ194)</f>
        <v/>
      </c>
      <c r="R196" s="103">
        <f>IF(Human_Data_Entry!BR194="","",Human_Data_Entry!BR194)</f>
        <v/>
      </c>
      <c r="S196" s="103">
        <f>IF(Human_Data_Entry!BS194="","",Human_Data_Entry!BS194)</f>
        <v/>
      </c>
      <c r="T196" s="103">
        <f>IF(Human_Data_Entry!BT194="","",Human_Data_Entry!BT194)</f>
        <v/>
      </c>
    </row>
    <row r="197" ht="15" customHeight="1" s="241">
      <c r="A197" s="103">
        <f>IF(Human_Data_Entry!A195="","",Human_Data_Entry!A195)</f>
        <v/>
      </c>
      <c r="B197" s="103">
        <f>IF(Human_Data_Entry!B195="","",Human_Data_Entry!B195)</f>
        <v/>
      </c>
      <c r="C197" s="104">
        <f>IF(Human_Data_Entry!C195="","",Human_Data_Entry!C195)</f>
        <v/>
      </c>
      <c r="D197" s="103">
        <f>IF(Human_Data_Entry!D195="","",Human_Data_Entry!D195)</f>
        <v/>
      </c>
      <c r="E197" s="103">
        <f>IF(Human_Data_Entry!G195="","",Human_Data_Entry!G195)</f>
        <v/>
      </c>
      <c r="F197" s="103">
        <f>IF(Human_Data_Entry!X195="","",Human_Data_Entry!X195)</f>
        <v/>
      </c>
      <c r="G197" s="103">
        <f>IF(Human_Data_Entry!AY195="","",Human_Data_Entry!AY195)</f>
        <v/>
      </c>
      <c r="H197" s="103">
        <f>IF(Human_Data_Entry!AZ195="","",Human_Data_Entry!AZ195)</f>
        <v/>
      </c>
      <c r="I197" s="103">
        <f>IF(Human_Data_Entry!AL195="","",Human_Data_Entry!AL195)</f>
        <v/>
      </c>
      <c r="J197" s="103">
        <f>IF(Human_Data_Entry!AM195="","",Human_Data_Entry!AM195)</f>
        <v/>
      </c>
      <c r="K197" s="103">
        <f>IF(Human_Data_Entry!AN195="","",Human_Data_Entry!AN195)</f>
        <v/>
      </c>
      <c r="L197" s="103">
        <f>IF(Human_Data_Entry!AO195="","",Human_Data_Entry!AO195)</f>
        <v/>
      </c>
      <c r="M197" s="103">
        <f>IF(Human_Data_Entry!BM195="","",Human_Data_Entry!BM195)</f>
        <v/>
      </c>
      <c r="N197" s="103">
        <f>IF(Human_Data_Entry!BN195="","",Human_Data_Entry!BN195)</f>
        <v/>
      </c>
      <c r="O197" s="103">
        <f>IF(Human_Data_Entry!BO195="","",Human_Data_Entry!BO195)</f>
        <v/>
      </c>
      <c r="P197" s="103">
        <f>IF(Human_Data_Entry!BP195="","",Human_Data_Entry!BP195)</f>
        <v/>
      </c>
      <c r="Q197" s="103">
        <f>IF(Human_Data_Entry!BQ195="","",Human_Data_Entry!BQ195)</f>
        <v/>
      </c>
      <c r="R197" s="103">
        <f>IF(Human_Data_Entry!BR195="","",Human_Data_Entry!BR195)</f>
        <v/>
      </c>
      <c r="S197" s="103">
        <f>IF(Human_Data_Entry!BS195="","",Human_Data_Entry!BS195)</f>
        <v/>
      </c>
      <c r="T197" s="103">
        <f>IF(Human_Data_Entry!BT195="","",Human_Data_Entry!BT195)</f>
        <v/>
      </c>
    </row>
    <row r="198" ht="15" customHeight="1" s="241">
      <c r="A198" s="103">
        <f>IF(Human_Data_Entry!A196="","",Human_Data_Entry!A196)</f>
        <v/>
      </c>
      <c r="B198" s="103">
        <f>IF(Human_Data_Entry!B196="","",Human_Data_Entry!B196)</f>
        <v/>
      </c>
      <c r="C198" s="104">
        <f>IF(Human_Data_Entry!C196="","",Human_Data_Entry!C196)</f>
        <v/>
      </c>
      <c r="D198" s="103">
        <f>IF(Human_Data_Entry!D196="","",Human_Data_Entry!D196)</f>
        <v/>
      </c>
      <c r="E198" s="103">
        <f>IF(Human_Data_Entry!G196="","",Human_Data_Entry!G196)</f>
        <v/>
      </c>
      <c r="F198" s="103">
        <f>IF(Human_Data_Entry!X196="","",Human_Data_Entry!X196)</f>
        <v/>
      </c>
      <c r="G198" s="103">
        <f>IF(Human_Data_Entry!AY196="","",Human_Data_Entry!AY196)</f>
        <v/>
      </c>
      <c r="H198" s="103">
        <f>IF(Human_Data_Entry!AZ196="","",Human_Data_Entry!AZ196)</f>
        <v/>
      </c>
      <c r="I198" s="103">
        <f>IF(Human_Data_Entry!AL196="","",Human_Data_Entry!AL196)</f>
        <v/>
      </c>
      <c r="J198" s="103">
        <f>IF(Human_Data_Entry!AM196="","",Human_Data_Entry!AM196)</f>
        <v/>
      </c>
      <c r="K198" s="103">
        <f>IF(Human_Data_Entry!AN196="","",Human_Data_Entry!AN196)</f>
        <v/>
      </c>
      <c r="L198" s="103">
        <f>IF(Human_Data_Entry!AO196="","",Human_Data_Entry!AO196)</f>
        <v/>
      </c>
      <c r="M198" s="103">
        <f>IF(Human_Data_Entry!BM196="","",Human_Data_Entry!BM196)</f>
        <v/>
      </c>
      <c r="N198" s="103">
        <f>IF(Human_Data_Entry!BN196="","",Human_Data_Entry!BN196)</f>
        <v/>
      </c>
      <c r="O198" s="103">
        <f>IF(Human_Data_Entry!BO196="","",Human_Data_Entry!BO196)</f>
        <v/>
      </c>
      <c r="P198" s="103">
        <f>IF(Human_Data_Entry!BP196="","",Human_Data_Entry!BP196)</f>
        <v/>
      </c>
      <c r="Q198" s="103">
        <f>IF(Human_Data_Entry!BQ196="","",Human_Data_Entry!BQ196)</f>
        <v/>
      </c>
      <c r="R198" s="103">
        <f>IF(Human_Data_Entry!BR196="","",Human_Data_Entry!BR196)</f>
        <v/>
      </c>
      <c r="S198" s="103">
        <f>IF(Human_Data_Entry!BS196="","",Human_Data_Entry!BS196)</f>
        <v/>
      </c>
      <c r="T198" s="103">
        <f>IF(Human_Data_Entry!BT196="","",Human_Data_Entry!BT196)</f>
        <v/>
      </c>
    </row>
    <row r="199" ht="15" customHeight="1" s="241">
      <c r="A199" s="103">
        <f>IF(Human_Data_Entry!A197="","",Human_Data_Entry!A197)</f>
        <v/>
      </c>
      <c r="B199" s="103">
        <f>IF(Human_Data_Entry!B197="","",Human_Data_Entry!B197)</f>
        <v/>
      </c>
      <c r="C199" s="104">
        <f>IF(Human_Data_Entry!C197="","",Human_Data_Entry!C197)</f>
        <v/>
      </c>
      <c r="D199" s="103">
        <f>IF(Human_Data_Entry!D197="","",Human_Data_Entry!D197)</f>
        <v/>
      </c>
      <c r="E199" s="103">
        <f>IF(Human_Data_Entry!G197="","",Human_Data_Entry!G197)</f>
        <v/>
      </c>
      <c r="F199" s="103">
        <f>IF(Human_Data_Entry!X197="","",Human_Data_Entry!X197)</f>
        <v/>
      </c>
      <c r="G199" s="103">
        <f>IF(Human_Data_Entry!AY197="","",Human_Data_Entry!AY197)</f>
        <v/>
      </c>
      <c r="H199" s="103">
        <f>IF(Human_Data_Entry!AZ197="","",Human_Data_Entry!AZ197)</f>
        <v/>
      </c>
      <c r="I199" s="103">
        <f>IF(Human_Data_Entry!AL197="","",Human_Data_Entry!AL197)</f>
        <v/>
      </c>
      <c r="J199" s="103">
        <f>IF(Human_Data_Entry!AM197="","",Human_Data_Entry!AM197)</f>
        <v/>
      </c>
      <c r="K199" s="103">
        <f>IF(Human_Data_Entry!AN197="","",Human_Data_Entry!AN197)</f>
        <v/>
      </c>
      <c r="L199" s="103">
        <f>IF(Human_Data_Entry!AO197="","",Human_Data_Entry!AO197)</f>
        <v/>
      </c>
      <c r="M199" s="103">
        <f>IF(Human_Data_Entry!BM197="","",Human_Data_Entry!BM197)</f>
        <v/>
      </c>
      <c r="N199" s="103">
        <f>IF(Human_Data_Entry!BN197="","",Human_Data_Entry!BN197)</f>
        <v/>
      </c>
      <c r="O199" s="103">
        <f>IF(Human_Data_Entry!BO197="","",Human_Data_Entry!BO197)</f>
        <v/>
      </c>
      <c r="P199" s="103">
        <f>IF(Human_Data_Entry!BP197="","",Human_Data_Entry!BP197)</f>
        <v/>
      </c>
      <c r="Q199" s="103">
        <f>IF(Human_Data_Entry!BQ197="","",Human_Data_Entry!BQ197)</f>
        <v/>
      </c>
      <c r="R199" s="103">
        <f>IF(Human_Data_Entry!BR197="","",Human_Data_Entry!BR197)</f>
        <v/>
      </c>
      <c r="S199" s="103">
        <f>IF(Human_Data_Entry!BS197="","",Human_Data_Entry!BS197)</f>
        <v/>
      </c>
      <c r="T199" s="103">
        <f>IF(Human_Data_Entry!BT197="","",Human_Data_Entry!BT197)</f>
        <v/>
      </c>
    </row>
    <row r="200" ht="15" customHeight="1" s="241">
      <c r="A200" s="103">
        <f>IF(Human_Data_Entry!A198="","",Human_Data_Entry!A198)</f>
        <v/>
      </c>
      <c r="B200" s="103">
        <f>IF(Human_Data_Entry!B198="","",Human_Data_Entry!B198)</f>
        <v/>
      </c>
      <c r="C200" s="104">
        <f>IF(Human_Data_Entry!C198="","",Human_Data_Entry!C198)</f>
        <v/>
      </c>
      <c r="D200" s="103">
        <f>IF(Human_Data_Entry!D198="","",Human_Data_Entry!D198)</f>
        <v/>
      </c>
      <c r="E200" s="103">
        <f>IF(Human_Data_Entry!G198="","",Human_Data_Entry!G198)</f>
        <v/>
      </c>
      <c r="F200" s="103">
        <f>IF(Human_Data_Entry!X198="","",Human_Data_Entry!X198)</f>
        <v/>
      </c>
      <c r="G200" s="103">
        <f>IF(Human_Data_Entry!AY198="","",Human_Data_Entry!AY198)</f>
        <v/>
      </c>
      <c r="H200" s="103">
        <f>IF(Human_Data_Entry!AZ198="","",Human_Data_Entry!AZ198)</f>
        <v/>
      </c>
      <c r="I200" s="103">
        <f>IF(Human_Data_Entry!AL198="","",Human_Data_Entry!AL198)</f>
        <v/>
      </c>
      <c r="J200" s="103">
        <f>IF(Human_Data_Entry!AM198="","",Human_Data_Entry!AM198)</f>
        <v/>
      </c>
      <c r="K200" s="103">
        <f>IF(Human_Data_Entry!AN198="","",Human_Data_Entry!AN198)</f>
        <v/>
      </c>
      <c r="L200" s="103">
        <f>IF(Human_Data_Entry!AO198="","",Human_Data_Entry!AO198)</f>
        <v/>
      </c>
      <c r="M200" s="103">
        <f>IF(Human_Data_Entry!BM198="","",Human_Data_Entry!BM198)</f>
        <v/>
      </c>
      <c r="N200" s="103">
        <f>IF(Human_Data_Entry!BN198="","",Human_Data_Entry!BN198)</f>
        <v/>
      </c>
      <c r="O200" s="103">
        <f>IF(Human_Data_Entry!BO198="","",Human_Data_Entry!BO198)</f>
        <v/>
      </c>
      <c r="P200" s="103">
        <f>IF(Human_Data_Entry!BP198="","",Human_Data_Entry!BP198)</f>
        <v/>
      </c>
      <c r="Q200" s="103">
        <f>IF(Human_Data_Entry!BQ198="","",Human_Data_Entry!BQ198)</f>
        <v/>
      </c>
      <c r="R200" s="103">
        <f>IF(Human_Data_Entry!BR198="","",Human_Data_Entry!BR198)</f>
        <v/>
      </c>
      <c r="S200" s="103">
        <f>IF(Human_Data_Entry!BS198="","",Human_Data_Entry!BS198)</f>
        <v/>
      </c>
      <c r="T200" s="103">
        <f>IF(Human_Data_Entry!BT198="","",Human_Data_Entry!BT198)</f>
        <v/>
      </c>
    </row>
    <row r="201" ht="15" customHeight="1" s="241">
      <c r="A201" s="103">
        <f>IF(Human_Data_Entry!A199="","",Human_Data_Entry!A199)</f>
        <v/>
      </c>
      <c r="B201" s="103">
        <f>IF(Human_Data_Entry!B199="","",Human_Data_Entry!B199)</f>
        <v/>
      </c>
      <c r="C201" s="104">
        <f>IF(Human_Data_Entry!C199="","",Human_Data_Entry!C199)</f>
        <v/>
      </c>
      <c r="D201" s="103">
        <f>IF(Human_Data_Entry!D199="","",Human_Data_Entry!D199)</f>
        <v/>
      </c>
      <c r="E201" s="103">
        <f>IF(Human_Data_Entry!G199="","",Human_Data_Entry!G199)</f>
        <v/>
      </c>
      <c r="F201" s="103">
        <f>IF(Human_Data_Entry!X199="","",Human_Data_Entry!X199)</f>
        <v/>
      </c>
      <c r="G201" s="103">
        <f>IF(Human_Data_Entry!AY199="","",Human_Data_Entry!AY199)</f>
        <v/>
      </c>
      <c r="H201" s="103">
        <f>IF(Human_Data_Entry!AZ199="","",Human_Data_Entry!AZ199)</f>
        <v/>
      </c>
      <c r="I201" s="103">
        <f>IF(Human_Data_Entry!AL199="","",Human_Data_Entry!AL199)</f>
        <v/>
      </c>
      <c r="J201" s="103">
        <f>IF(Human_Data_Entry!AM199="","",Human_Data_Entry!AM199)</f>
        <v/>
      </c>
      <c r="K201" s="103">
        <f>IF(Human_Data_Entry!AN199="","",Human_Data_Entry!AN199)</f>
        <v/>
      </c>
      <c r="L201" s="103">
        <f>IF(Human_Data_Entry!AO199="","",Human_Data_Entry!AO199)</f>
        <v/>
      </c>
      <c r="M201" s="103">
        <f>IF(Human_Data_Entry!BM199="","",Human_Data_Entry!BM199)</f>
        <v/>
      </c>
      <c r="N201" s="103">
        <f>IF(Human_Data_Entry!BN199="","",Human_Data_Entry!BN199)</f>
        <v/>
      </c>
      <c r="O201" s="103">
        <f>IF(Human_Data_Entry!BO199="","",Human_Data_Entry!BO199)</f>
        <v/>
      </c>
      <c r="P201" s="103">
        <f>IF(Human_Data_Entry!BP199="","",Human_Data_Entry!BP199)</f>
        <v/>
      </c>
      <c r="Q201" s="103">
        <f>IF(Human_Data_Entry!BQ199="","",Human_Data_Entry!BQ199)</f>
        <v/>
      </c>
      <c r="R201" s="103">
        <f>IF(Human_Data_Entry!BR199="","",Human_Data_Entry!BR199)</f>
        <v/>
      </c>
      <c r="S201" s="103">
        <f>IF(Human_Data_Entry!BS199="","",Human_Data_Entry!BS199)</f>
        <v/>
      </c>
      <c r="T201" s="103">
        <f>IF(Human_Data_Entry!BT199="","",Human_Data_Entry!BT199)</f>
        <v/>
      </c>
    </row>
    <row r="202" ht="15" customHeight="1" s="241">
      <c r="A202" s="103">
        <f>IF(Human_Data_Entry!A200="","",Human_Data_Entry!A200)</f>
        <v/>
      </c>
      <c r="B202" s="103">
        <f>IF(Human_Data_Entry!B200="","",Human_Data_Entry!B200)</f>
        <v/>
      </c>
      <c r="C202" s="104">
        <f>IF(Human_Data_Entry!C200="","",Human_Data_Entry!C200)</f>
        <v/>
      </c>
      <c r="D202" s="103">
        <f>IF(Human_Data_Entry!D200="","",Human_Data_Entry!D200)</f>
        <v/>
      </c>
      <c r="E202" s="103">
        <f>IF(Human_Data_Entry!G200="","",Human_Data_Entry!G200)</f>
        <v/>
      </c>
      <c r="F202" s="103">
        <f>IF(Human_Data_Entry!X200="","",Human_Data_Entry!X200)</f>
        <v/>
      </c>
      <c r="G202" s="103">
        <f>IF(Human_Data_Entry!AY200="","",Human_Data_Entry!AY200)</f>
        <v/>
      </c>
      <c r="H202" s="103">
        <f>IF(Human_Data_Entry!AZ200="","",Human_Data_Entry!AZ200)</f>
        <v/>
      </c>
      <c r="I202" s="103">
        <f>IF(Human_Data_Entry!AL200="","",Human_Data_Entry!AL200)</f>
        <v/>
      </c>
      <c r="J202" s="103">
        <f>IF(Human_Data_Entry!AM200="","",Human_Data_Entry!AM200)</f>
        <v/>
      </c>
      <c r="K202" s="103">
        <f>IF(Human_Data_Entry!AN200="","",Human_Data_Entry!AN200)</f>
        <v/>
      </c>
      <c r="L202" s="103">
        <f>IF(Human_Data_Entry!AO200="","",Human_Data_Entry!AO200)</f>
        <v/>
      </c>
      <c r="M202" s="103">
        <f>IF(Human_Data_Entry!BM200="","",Human_Data_Entry!BM200)</f>
        <v/>
      </c>
      <c r="N202" s="103">
        <f>IF(Human_Data_Entry!BN200="","",Human_Data_Entry!BN200)</f>
        <v/>
      </c>
      <c r="O202" s="103">
        <f>IF(Human_Data_Entry!BO200="","",Human_Data_Entry!BO200)</f>
        <v/>
      </c>
      <c r="P202" s="103">
        <f>IF(Human_Data_Entry!BP200="","",Human_Data_Entry!BP200)</f>
        <v/>
      </c>
      <c r="Q202" s="103">
        <f>IF(Human_Data_Entry!BQ200="","",Human_Data_Entry!BQ200)</f>
        <v/>
      </c>
      <c r="R202" s="103">
        <f>IF(Human_Data_Entry!BR200="","",Human_Data_Entry!BR200)</f>
        <v/>
      </c>
      <c r="S202" s="103">
        <f>IF(Human_Data_Entry!BS200="","",Human_Data_Entry!BS200)</f>
        <v/>
      </c>
      <c r="T202" s="103">
        <f>IF(Human_Data_Entry!BT200="","",Human_Data_Entry!BT200)</f>
        <v/>
      </c>
    </row>
    <row r="203" ht="15" customHeight="1" s="241">
      <c r="A203" s="103">
        <f>IF(Human_Data_Entry!A201="","",Human_Data_Entry!A201)</f>
        <v/>
      </c>
      <c r="B203" s="103">
        <f>IF(Human_Data_Entry!B201="","",Human_Data_Entry!B201)</f>
        <v/>
      </c>
      <c r="C203" s="104">
        <f>IF(Human_Data_Entry!C201="","",Human_Data_Entry!C201)</f>
        <v/>
      </c>
      <c r="D203" s="103">
        <f>IF(Human_Data_Entry!D201="","",Human_Data_Entry!D201)</f>
        <v/>
      </c>
      <c r="E203" s="103">
        <f>IF(Human_Data_Entry!G201="","",Human_Data_Entry!G201)</f>
        <v/>
      </c>
      <c r="F203" s="103">
        <f>IF(Human_Data_Entry!X201="","",Human_Data_Entry!X201)</f>
        <v/>
      </c>
      <c r="G203" s="103">
        <f>IF(Human_Data_Entry!AY201="","",Human_Data_Entry!AY201)</f>
        <v/>
      </c>
      <c r="H203" s="103">
        <f>IF(Human_Data_Entry!AZ201="","",Human_Data_Entry!AZ201)</f>
        <v/>
      </c>
      <c r="I203" s="103">
        <f>IF(Human_Data_Entry!AL201="","",Human_Data_Entry!AL201)</f>
        <v/>
      </c>
      <c r="J203" s="103">
        <f>IF(Human_Data_Entry!AM201="","",Human_Data_Entry!AM201)</f>
        <v/>
      </c>
      <c r="K203" s="103">
        <f>IF(Human_Data_Entry!AN201="","",Human_Data_Entry!AN201)</f>
        <v/>
      </c>
      <c r="L203" s="103">
        <f>IF(Human_Data_Entry!AO201="","",Human_Data_Entry!AO201)</f>
        <v/>
      </c>
      <c r="M203" s="103">
        <f>IF(Human_Data_Entry!BM201="","",Human_Data_Entry!BM201)</f>
        <v/>
      </c>
      <c r="N203" s="103">
        <f>IF(Human_Data_Entry!BN201="","",Human_Data_Entry!BN201)</f>
        <v/>
      </c>
      <c r="O203" s="103">
        <f>IF(Human_Data_Entry!BO201="","",Human_Data_Entry!BO201)</f>
        <v/>
      </c>
      <c r="P203" s="103">
        <f>IF(Human_Data_Entry!BP201="","",Human_Data_Entry!BP201)</f>
        <v/>
      </c>
      <c r="Q203" s="103">
        <f>IF(Human_Data_Entry!BQ201="","",Human_Data_Entry!BQ201)</f>
        <v/>
      </c>
      <c r="R203" s="103">
        <f>IF(Human_Data_Entry!BR201="","",Human_Data_Entry!BR201)</f>
        <v/>
      </c>
      <c r="S203" s="103">
        <f>IF(Human_Data_Entry!BS201="","",Human_Data_Entry!BS201)</f>
        <v/>
      </c>
      <c r="T203" s="103">
        <f>IF(Human_Data_Entry!BT201="","",Human_Data_Entry!BT201)</f>
        <v/>
      </c>
    </row>
    <row r="204" ht="15" customHeight="1" s="241">
      <c r="A204" s="103">
        <f>IF(Human_Data_Entry!A202="","",Human_Data_Entry!A202)</f>
        <v/>
      </c>
      <c r="B204" s="103">
        <f>IF(Human_Data_Entry!B202="","",Human_Data_Entry!B202)</f>
        <v/>
      </c>
      <c r="C204" s="104">
        <f>IF(Human_Data_Entry!C202="","",Human_Data_Entry!C202)</f>
        <v/>
      </c>
      <c r="D204" s="103">
        <f>IF(Human_Data_Entry!D202="","",Human_Data_Entry!D202)</f>
        <v/>
      </c>
      <c r="E204" s="103">
        <f>IF(Human_Data_Entry!G202="","",Human_Data_Entry!G202)</f>
        <v/>
      </c>
      <c r="F204" s="103">
        <f>IF(Human_Data_Entry!X202="","",Human_Data_Entry!X202)</f>
        <v/>
      </c>
      <c r="G204" s="103">
        <f>IF(Human_Data_Entry!AY202="","",Human_Data_Entry!AY202)</f>
        <v/>
      </c>
      <c r="H204" s="103">
        <f>IF(Human_Data_Entry!AZ202="","",Human_Data_Entry!AZ202)</f>
        <v/>
      </c>
      <c r="I204" s="103">
        <f>IF(Human_Data_Entry!AL202="","",Human_Data_Entry!AL202)</f>
        <v/>
      </c>
      <c r="J204" s="103">
        <f>IF(Human_Data_Entry!AM202="","",Human_Data_Entry!AM202)</f>
        <v/>
      </c>
      <c r="K204" s="103">
        <f>IF(Human_Data_Entry!AN202="","",Human_Data_Entry!AN202)</f>
        <v/>
      </c>
      <c r="L204" s="103">
        <f>IF(Human_Data_Entry!AO202="","",Human_Data_Entry!AO202)</f>
        <v/>
      </c>
      <c r="M204" s="103">
        <f>IF(Human_Data_Entry!BM202="","",Human_Data_Entry!BM202)</f>
        <v/>
      </c>
      <c r="N204" s="103">
        <f>IF(Human_Data_Entry!BN202="","",Human_Data_Entry!BN202)</f>
        <v/>
      </c>
      <c r="O204" s="103">
        <f>IF(Human_Data_Entry!BO202="","",Human_Data_Entry!BO202)</f>
        <v/>
      </c>
      <c r="P204" s="103">
        <f>IF(Human_Data_Entry!BP202="","",Human_Data_Entry!BP202)</f>
        <v/>
      </c>
      <c r="Q204" s="103">
        <f>IF(Human_Data_Entry!BQ202="","",Human_Data_Entry!BQ202)</f>
        <v/>
      </c>
      <c r="R204" s="103">
        <f>IF(Human_Data_Entry!BR202="","",Human_Data_Entry!BR202)</f>
        <v/>
      </c>
      <c r="S204" s="103">
        <f>IF(Human_Data_Entry!BS202="","",Human_Data_Entry!BS202)</f>
        <v/>
      </c>
      <c r="T204" s="103">
        <f>IF(Human_Data_Entry!BT202="","",Human_Data_Entry!BT202)</f>
        <v/>
      </c>
    </row>
    <row r="205" ht="15" customHeight="1" s="241">
      <c r="A205" s="103">
        <f>IF(Human_Data_Entry!A203="","",Human_Data_Entry!A203)</f>
        <v/>
      </c>
      <c r="B205" s="103">
        <f>IF(Human_Data_Entry!B203="","",Human_Data_Entry!B203)</f>
        <v/>
      </c>
      <c r="C205" s="104">
        <f>IF(Human_Data_Entry!C203="","",Human_Data_Entry!C203)</f>
        <v/>
      </c>
      <c r="D205" s="103">
        <f>IF(Human_Data_Entry!D203="","",Human_Data_Entry!D203)</f>
        <v/>
      </c>
      <c r="E205" s="103">
        <f>IF(Human_Data_Entry!G203="","",Human_Data_Entry!G203)</f>
        <v/>
      </c>
      <c r="F205" s="103">
        <f>IF(Human_Data_Entry!X203="","",Human_Data_Entry!X203)</f>
        <v/>
      </c>
      <c r="G205" s="103">
        <f>IF(Human_Data_Entry!AY203="","",Human_Data_Entry!AY203)</f>
        <v/>
      </c>
      <c r="H205" s="103">
        <f>IF(Human_Data_Entry!AZ203="","",Human_Data_Entry!AZ203)</f>
        <v/>
      </c>
      <c r="I205" s="103">
        <f>IF(Human_Data_Entry!AL203="","",Human_Data_Entry!AL203)</f>
        <v/>
      </c>
      <c r="J205" s="103">
        <f>IF(Human_Data_Entry!AM203="","",Human_Data_Entry!AM203)</f>
        <v/>
      </c>
      <c r="K205" s="103">
        <f>IF(Human_Data_Entry!AN203="","",Human_Data_Entry!AN203)</f>
        <v/>
      </c>
      <c r="L205" s="103">
        <f>IF(Human_Data_Entry!AO203="","",Human_Data_Entry!AO203)</f>
        <v/>
      </c>
      <c r="M205" s="103">
        <f>IF(Human_Data_Entry!BM203="","",Human_Data_Entry!BM203)</f>
        <v/>
      </c>
      <c r="N205" s="103">
        <f>IF(Human_Data_Entry!BN203="","",Human_Data_Entry!BN203)</f>
        <v/>
      </c>
      <c r="O205" s="103">
        <f>IF(Human_Data_Entry!BO203="","",Human_Data_Entry!BO203)</f>
        <v/>
      </c>
      <c r="P205" s="103">
        <f>IF(Human_Data_Entry!BP203="","",Human_Data_Entry!BP203)</f>
        <v/>
      </c>
      <c r="Q205" s="103">
        <f>IF(Human_Data_Entry!BQ203="","",Human_Data_Entry!BQ203)</f>
        <v/>
      </c>
      <c r="R205" s="103">
        <f>IF(Human_Data_Entry!BR203="","",Human_Data_Entry!BR203)</f>
        <v/>
      </c>
      <c r="S205" s="103">
        <f>IF(Human_Data_Entry!BS203="","",Human_Data_Entry!BS203)</f>
        <v/>
      </c>
      <c r="T205" s="103">
        <f>IF(Human_Data_Entry!BT203="","",Human_Data_Entry!BT203)</f>
        <v/>
      </c>
    </row>
    <row r="206" ht="15" customHeight="1" s="241">
      <c r="A206" s="103">
        <f>IF(Human_Data_Entry!A204="","",Human_Data_Entry!A204)</f>
        <v/>
      </c>
      <c r="B206" s="103">
        <f>IF(Human_Data_Entry!B204="","",Human_Data_Entry!B204)</f>
        <v/>
      </c>
      <c r="C206" s="104">
        <f>IF(Human_Data_Entry!C204="","",Human_Data_Entry!C204)</f>
        <v/>
      </c>
      <c r="D206" s="103">
        <f>IF(Human_Data_Entry!D204="","",Human_Data_Entry!D204)</f>
        <v/>
      </c>
      <c r="E206" s="103">
        <f>IF(Human_Data_Entry!G204="","",Human_Data_Entry!G204)</f>
        <v/>
      </c>
      <c r="F206" s="103">
        <f>IF(Human_Data_Entry!X204="","",Human_Data_Entry!X204)</f>
        <v/>
      </c>
      <c r="G206" s="103">
        <f>IF(Human_Data_Entry!AY204="","",Human_Data_Entry!AY204)</f>
        <v/>
      </c>
      <c r="H206" s="103">
        <f>IF(Human_Data_Entry!AZ204="","",Human_Data_Entry!AZ204)</f>
        <v/>
      </c>
      <c r="I206" s="103">
        <f>IF(Human_Data_Entry!AL204="","",Human_Data_Entry!AL204)</f>
        <v/>
      </c>
      <c r="J206" s="103">
        <f>IF(Human_Data_Entry!AM204="","",Human_Data_Entry!AM204)</f>
        <v/>
      </c>
      <c r="K206" s="103">
        <f>IF(Human_Data_Entry!AN204="","",Human_Data_Entry!AN204)</f>
        <v/>
      </c>
      <c r="L206" s="103">
        <f>IF(Human_Data_Entry!AO204="","",Human_Data_Entry!AO204)</f>
        <v/>
      </c>
      <c r="M206" s="103">
        <f>IF(Human_Data_Entry!BM204="","",Human_Data_Entry!BM204)</f>
        <v/>
      </c>
      <c r="N206" s="103">
        <f>IF(Human_Data_Entry!BN204="","",Human_Data_Entry!BN204)</f>
        <v/>
      </c>
      <c r="O206" s="103">
        <f>IF(Human_Data_Entry!BO204="","",Human_Data_Entry!BO204)</f>
        <v/>
      </c>
      <c r="P206" s="103">
        <f>IF(Human_Data_Entry!BP204="","",Human_Data_Entry!BP204)</f>
        <v/>
      </c>
      <c r="Q206" s="103">
        <f>IF(Human_Data_Entry!BQ204="","",Human_Data_Entry!BQ204)</f>
        <v/>
      </c>
      <c r="R206" s="103">
        <f>IF(Human_Data_Entry!BR204="","",Human_Data_Entry!BR204)</f>
        <v/>
      </c>
      <c r="S206" s="103">
        <f>IF(Human_Data_Entry!BS204="","",Human_Data_Entry!BS204)</f>
        <v/>
      </c>
      <c r="T206" s="103">
        <f>IF(Human_Data_Entry!BT204="","",Human_Data_Entry!BT204)</f>
        <v/>
      </c>
    </row>
    <row r="207" ht="15" customHeight="1" s="241">
      <c r="A207" s="103">
        <f>IF(Human_Data_Entry!A205="","",Human_Data_Entry!A205)</f>
        <v/>
      </c>
      <c r="B207" s="103">
        <f>IF(Human_Data_Entry!B205="","",Human_Data_Entry!B205)</f>
        <v/>
      </c>
      <c r="C207" s="104">
        <f>IF(Human_Data_Entry!C205="","",Human_Data_Entry!C205)</f>
        <v/>
      </c>
      <c r="D207" s="103">
        <f>IF(Human_Data_Entry!D205="","",Human_Data_Entry!D205)</f>
        <v/>
      </c>
      <c r="E207" s="103">
        <f>IF(Human_Data_Entry!G205="","",Human_Data_Entry!G205)</f>
        <v/>
      </c>
      <c r="F207" s="103">
        <f>IF(Human_Data_Entry!X205="","",Human_Data_Entry!X205)</f>
        <v/>
      </c>
      <c r="G207" s="103">
        <f>IF(Human_Data_Entry!AY205="","",Human_Data_Entry!AY205)</f>
        <v/>
      </c>
      <c r="H207" s="103">
        <f>IF(Human_Data_Entry!AZ205="","",Human_Data_Entry!AZ205)</f>
        <v/>
      </c>
      <c r="I207" s="103">
        <f>IF(Human_Data_Entry!AL205="","",Human_Data_Entry!AL205)</f>
        <v/>
      </c>
      <c r="J207" s="103">
        <f>IF(Human_Data_Entry!AM205="","",Human_Data_Entry!AM205)</f>
        <v/>
      </c>
      <c r="K207" s="103">
        <f>IF(Human_Data_Entry!AN205="","",Human_Data_Entry!AN205)</f>
        <v/>
      </c>
      <c r="L207" s="103">
        <f>IF(Human_Data_Entry!AO205="","",Human_Data_Entry!AO205)</f>
        <v/>
      </c>
      <c r="M207" s="103">
        <f>IF(Human_Data_Entry!BM205="","",Human_Data_Entry!BM205)</f>
        <v/>
      </c>
      <c r="N207" s="103">
        <f>IF(Human_Data_Entry!BN205="","",Human_Data_Entry!BN205)</f>
        <v/>
      </c>
      <c r="O207" s="103">
        <f>IF(Human_Data_Entry!BO205="","",Human_Data_Entry!BO205)</f>
        <v/>
      </c>
      <c r="P207" s="103">
        <f>IF(Human_Data_Entry!BP205="","",Human_Data_Entry!BP205)</f>
        <v/>
      </c>
      <c r="Q207" s="103">
        <f>IF(Human_Data_Entry!BQ205="","",Human_Data_Entry!BQ205)</f>
        <v/>
      </c>
      <c r="R207" s="103">
        <f>IF(Human_Data_Entry!BR205="","",Human_Data_Entry!BR205)</f>
        <v/>
      </c>
      <c r="S207" s="103">
        <f>IF(Human_Data_Entry!BS205="","",Human_Data_Entry!BS205)</f>
        <v/>
      </c>
      <c r="T207" s="103">
        <f>IF(Human_Data_Entry!BT205="","",Human_Data_Entry!BT205)</f>
        <v/>
      </c>
    </row>
    <row r="208" ht="15" customHeight="1" s="241">
      <c r="A208" s="103">
        <f>IF(Human_Data_Entry!A206="","",Human_Data_Entry!A206)</f>
        <v/>
      </c>
      <c r="B208" s="103">
        <f>IF(Human_Data_Entry!B206="","",Human_Data_Entry!B206)</f>
        <v/>
      </c>
      <c r="C208" s="104">
        <f>IF(Human_Data_Entry!C206="","",Human_Data_Entry!C206)</f>
        <v/>
      </c>
      <c r="D208" s="103">
        <f>IF(Human_Data_Entry!D206="","",Human_Data_Entry!D206)</f>
        <v/>
      </c>
      <c r="E208" s="103">
        <f>IF(Human_Data_Entry!G206="","",Human_Data_Entry!G206)</f>
        <v/>
      </c>
      <c r="F208" s="103">
        <f>IF(Human_Data_Entry!X206="","",Human_Data_Entry!X206)</f>
        <v/>
      </c>
      <c r="G208" s="103">
        <f>IF(Human_Data_Entry!AY206="","",Human_Data_Entry!AY206)</f>
        <v/>
      </c>
      <c r="H208" s="103">
        <f>IF(Human_Data_Entry!AZ206="","",Human_Data_Entry!AZ206)</f>
        <v/>
      </c>
      <c r="I208" s="103">
        <f>IF(Human_Data_Entry!AL206="","",Human_Data_Entry!AL206)</f>
        <v/>
      </c>
      <c r="J208" s="103">
        <f>IF(Human_Data_Entry!AM206="","",Human_Data_Entry!AM206)</f>
        <v/>
      </c>
      <c r="K208" s="103">
        <f>IF(Human_Data_Entry!AN206="","",Human_Data_Entry!AN206)</f>
        <v/>
      </c>
      <c r="L208" s="103">
        <f>IF(Human_Data_Entry!AO206="","",Human_Data_Entry!AO206)</f>
        <v/>
      </c>
      <c r="M208" s="103">
        <f>IF(Human_Data_Entry!BM206="","",Human_Data_Entry!BM206)</f>
        <v/>
      </c>
      <c r="N208" s="103">
        <f>IF(Human_Data_Entry!BN206="","",Human_Data_Entry!BN206)</f>
        <v/>
      </c>
      <c r="O208" s="103">
        <f>IF(Human_Data_Entry!BO206="","",Human_Data_Entry!BO206)</f>
        <v/>
      </c>
      <c r="P208" s="103">
        <f>IF(Human_Data_Entry!BP206="","",Human_Data_Entry!BP206)</f>
        <v/>
      </c>
      <c r="Q208" s="103">
        <f>IF(Human_Data_Entry!BQ206="","",Human_Data_Entry!BQ206)</f>
        <v/>
      </c>
      <c r="R208" s="103">
        <f>IF(Human_Data_Entry!BR206="","",Human_Data_Entry!BR206)</f>
        <v/>
      </c>
      <c r="S208" s="103">
        <f>IF(Human_Data_Entry!BS206="","",Human_Data_Entry!BS206)</f>
        <v/>
      </c>
      <c r="T208" s="103">
        <f>IF(Human_Data_Entry!BT206="","",Human_Data_Entry!BT206)</f>
        <v/>
      </c>
    </row>
    <row r="209" ht="15" customHeight="1" s="241">
      <c r="A209" s="103">
        <f>IF(Human_Data_Entry!A207="","",Human_Data_Entry!A207)</f>
        <v/>
      </c>
      <c r="B209" s="103">
        <f>IF(Human_Data_Entry!B207="","",Human_Data_Entry!B207)</f>
        <v/>
      </c>
      <c r="C209" s="104">
        <f>IF(Human_Data_Entry!C207="","",Human_Data_Entry!C207)</f>
        <v/>
      </c>
      <c r="D209" s="103">
        <f>IF(Human_Data_Entry!D207="","",Human_Data_Entry!D207)</f>
        <v/>
      </c>
      <c r="E209" s="103">
        <f>IF(Human_Data_Entry!G207="","",Human_Data_Entry!G207)</f>
        <v/>
      </c>
      <c r="F209" s="103">
        <f>IF(Human_Data_Entry!X207="","",Human_Data_Entry!X207)</f>
        <v/>
      </c>
      <c r="G209" s="103">
        <f>IF(Human_Data_Entry!AY207="","",Human_Data_Entry!AY207)</f>
        <v/>
      </c>
      <c r="H209" s="103">
        <f>IF(Human_Data_Entry!AZ207="","",Human_Data_Entry!AZ207)</f>
        <v/>
      </c>
      <c r="I209" s="103">
        <f>IF(Human_Data_Entry!AL207="","",Human_Data_Entry!AL207)</f>
        <v/>
      </c>
      <c r="J209" s="103">
        <f>IF(Human_Data_Entry!AM207="","",Human_Data_Entry!AM207)</f>
        <v/>
      </c>
      <c r="K209" s="103">
        <f>IF(Human_Data_Entry!AN207="","",Human_Data_Entry!AN207)</f>
        <v/>
      </c>
      <c r="L209" s="103">
        <f>IF(Human_Data_Entry!AO207="","",Human_Data_Entry!AO207)</f>
        <v/>
      </c>
      <c r="M209" s="103">
        <f>IF(Human_Data_Entry!BM207="","",Human_Data_Entry!BM207)</f>
        <v/>
      </c>
      <c r="N209" s="103">
        <f>IF(Human_Data_Entry!BN207="","",Human_Data_Entry!BN207)</f>
        <v/>
      </c>
      <c r="O209" s="103">
        <f>IF(Human_Data_Entry!BO207="","",Human_Data_Entry!BO207)</f>
        <v/>
      </c>
      <c r="P209" s="103">
        <f>IF(Human_Data_Entry!BP207="","",Human_Data_Entry!BP207)</f>
        <v/>
      </c>
      <c r="Q209" s="103">
        <f>IF(Human_Data_Entry!BQ207="","",Human_Data_Entry!BQ207)</f>
        <v/>
      </c>
      <c r="R209" s="103">
        <f>IF(Human_Data_Entry!BR207="","",Human_Data_Entry!BR207)</f>
        <v/>
      </c>
      <c r="S209" s="103">
        <f>IF(Human_Data_Entry!BS207="","",Human_Data_Entry!BS207)</f>
        <v/>
      </c>
      <c r="T209" s="103">
        <f>IF(Human_Data_Entry!BT207="","",Human_Data_Entry!BT207)</f>
        <v/>
      </c>
    </row>
    <row r="210" ht="15" customHeight="1" s="241">
      <c r="A210" s="103">
        <f>IF(Human_Data_Entry!A208="","",Human_Data_Entry!A208)</f>
        <v/>
      </c>
      <c r="B210" s="103">
        <f>IF(Human_Data_Entry!B208="","",Human_Data_Entry!B208)</f>
        <v/>
      </c>
      <c r="C210" s="104">
        <f>IF(Human_Data_Entry!C208="","",Human_Data_Entry!C208)</f>
        <v/>
      </c>
      <c r="D210" s="103">
        <f>IF(Human_Data_Entry!D208="","",Human_Data_Entry!D208)</f>
        <v/>
      </c>
      <c r="E210" s="103">
        <f>IF(Human_Data_Entry!G208="","",Human_Data_Entry!G208)</f>
        <v/>
      </c>
      <c r="F210" s="103">
        <f>IF(Human_Data_Entry!X208="","",Human_Data_Entry!X208)</f>
        <v/>
      </c>
      <c r="G210" s="103">
        <f>IF(Human_Data_Entry!AY208="","",Human_Data_Entry!AY208)</f>
        <v/>
      </c>
      <c r="H210" s="103">
        <f>IF(Human_Data_Entry!AZ208="","",Human_Data_Entry!AZ208)</f>
        <v/>
      </c>
      <c r="I210" s="103">
        <f>IF(Human_Data_Entry!AL208="","",Human_Data_Entry!AL208)</f>
        <v/>
      </c>
      <c r="J210" s="103">
        <f>IF(Human_Data_Entry!AM208="","",Human_Data_Entry!AM208)</f>
        <v/>
      </c>
      <c r="K210" s="103">
        <f>IF(Human_Data_Entry!AN208="","",Human_Data_Entry!AN208)</f>
        <v/>
      </c>
      <c r="L210" s="103">
        <f>IF(Human_Data_Entry!AO208="","",Human_Data_Entry!AO208)</f>
        <v/>
      </c>
      <c r="M210" s="103">
        <f>IF(Human_Data_Entry!BM208="","",Human_Data_Entry!BM208)</f>
        <v/>
      </c>
      <c r="N210" s="103">
        <f>IF(Human_Data_Entry!BN208="","",Human_Data_Entry!BN208)</f>
        <v/>
      </c>
      <c r="O210" s="103">
        <f>IF(Human_Data_Entry!BO208="","",Human_Data_Entry!BO208)</f>
        <v/>
      </c>
      <c r="P210" s="103">
        <f>IF(Human_Data_Entry!BP208="","",Human_Data_Entry!BP208)</f>
        <v/>
      </c>
      <c r="Q210" s="103">
        <f>IF(Human_Data_Entry!BQ208="","",Human_Data_Entry!BQ208)</f>
        <v/>
      </c>
      <c r="R210" s="103">
        <f>IF(Human_Data_Entry!BR208="","",Human_Data_Entry!BR208)</f>
        <v/>
      </c>
      <c r="S210" s="103">
        <f>IF(Human_Data_Entry!BS208="","",Human_Data_Entry!BS208)</f>
        <v/>
      </c>
      <c r="T210" s="103">
        <f>IF(Human_Data_Entry!BT208="","",Human_Data_Entry!BT208)</f>
        <v/>
      </c>
    </row>
    <row r="211" ht="15" customHeight="1" s="241">
      <c r="A211" s="103">
        <f>IF(Human_Data_Entry!A209="","",Human_Data_Entry!A209)</f>
        <v/>
      </c>
      <c r="B211" s="103">
        <f>IF(Human_Data_Entry!B209="","",Human_Data_Entry!B209)</f>
        <v/>
      </c>
      <c r="C211" s="104">
        <f>IF(Human_Data_Entry!C209="","",Human_Data_Entry!C209)</f>
        <v/>
      </c>
      <c r="D211" s="103">
        <f>IF(Human_Data_Entry!D209="","",Human_Data_Entry!D209)</f>
        <v/>
      </c>
      <c r="E211" s="103">
        <f>IF(Human_Data_Entry!G209="","",Human_Data_Entry!G209)</f>
        <v/>
      </c>
      <c r="F211" s="103">
        <f>IF(Human_Data_Entry!X209="","",Human_Data_Entry!X209)</f>
        <v/>
      </c>
      <c r="G211" s="103">
        <f>IF(Human_Data_Entry!AY209="","",Human_Data_Entry!AY209)</f>
        <v/>
      </c>
      <c r="H211" s="103">
        <f>IF(Human_Data_Entry!AZ209="","",Human_Data_Entry!AZ209)</f>
        <v/>
      </c>
      <c r="I211" s="103">
        <f>IF(Human_Data_Entry!AL209="","",Human_Data_Entry!AL209)</f>
        <v/>
      </c>
      <c r="J211" s="103">
        <f>IF(Human_Data_Entry!AM209="","",Human_Data_Entry!AM209)</f>
        <v/>
      </c>
      <c r="K211" s="103">
        <f>IF(Human_Data_Entry!AN209="","",Human_Data_Entry!AN209)</f>
        <v/>
      </c>
      <c r="L211" s="103">
        <f>IF(Human_Data_Entry!AO209="","",Human_Data_Entry!AO209)</f>
        <v/>
      </c>
      <c r="M211" s="103">
        <f>IF(Human_Data_Entry!BM209="","",Human_Data_Entry!BM209)</f>
        <v/>
      </c>
      <c r="N211" s="103">
        <f>IF(Human_Data_Entry!BN209="","",Human_Data_Entry!BN209)</f>
        <v/>
      </c>
      <c r="O211" s="103">
        <f>IF(Human_Data_Entry!BO209="","",Human_Data_Entry!BO209)</f>
        <v/>
      </c>
      <c r="P211" s="103">
        <f>IF(Human_Data_Entry!BP209="","",Human_Data_Entry!BP209)</f>
        <v/>
      </c>
      <c r="Q211" s="103">
        <f>IF(Human_Data_Entry!BQ209="","",Human_Data_Entry!BQ209)</f>
        <v/>
      </c>
      <c r="R211" s="103">
        <f>IF(Human_Data_Entry!BR209="","",Human_Data_Entry!BR209)</f>
        <v/>
      </c>
      <c r="S211" s="103">
        <f>IF(Human_Data_Entry!BS209="","",Human_Data_Entry!BS209)</f>
        <v/>
      </c>
      <c r="T211" s="103">
        <f>IF(Human_Data_Entry!BT209="","",Human_Data_Entry!BT209)</f>
        <v/>
      </c>
    </row>
    <row r="212" ht="15" customHeight="1" s="241">
      <c r="A212" s="103">
        <f>IF(Human_Data_Entry!A210="","",Human_Data_Entry!A210)</f>
        <v/>
      </c>
      <c r="B212" s="103">
        <f>IF(Human_Data_Entry!B210="","",Human_Data_Entry!B210)</f>
        <v/>
      </c>
      <c r="C212" s="104">
        <f>IF(Human_Data_Entry!C210="","",Human_Data_Entry!C210)</f>
        <v/>
      </c>
      <c r="D212" s="103">
        <f>IF(Human_Data_Entry!D210="","",Human_Data_Entry!D210)</f>
        <v/>
      </c>
      <c r="E212" s="103">
        <f>IF(Human_Data_Entry!G210="","",Human_Data_Entry!G210)</f>
        <v/>
      </c>
      <c r="F212" s="103">
        <f>IF(Human_Data_Entry!X210="","",Human_Data_Entry!X210)</f>
        <v/>
      </c>
      <c r="G212" s="103">
        <f>IF(Human_Data_Entry!AY210="","",Human_Data_Entry!AY210)</f>
        <v/>
      </c>
      <c r="H212" s="103">
        <f>IF(Human_Data_Entry!AZ210="","",Human_Data_Entry!AZ210)</f>
        <v/>
      </c>
      <c r="I212" s="103">
        <f>IF(Human_Data_Entry!AL210="","",Human_Data_Entry!AL210)</f>
        <v/>
      </c>
      <c r="J212" s="103">
        <f>IF(Human_Data_Entry!AM210="","",Human_Data_Entry!AM210)</f>
        <v/>
      </c>
      <c r="K212" s="103">
        <f>IF(Human_Data_Entry!AN210="","",Human_Data_Entry!AN210)</f>
        <v/>
      </c>
      <c r="L212" s="103">
        <f>IF(Human_Data_Entry!AO210="","",Human_Data_Entry!AO210)</f>
        <v/>
      </c>
      <c r="M212" s="103">
        <f>IF(Human_Data_Entry!BM210="","",Human_Data_Entry!BM210)</f>
        <v/>
      </c>
      <c r="N212" s="103">
        <f>IF(Human_Data_Entry!BN210="","",Human_Data_Entry!BN210)</f>
        <v/>
      </c>
      <c r="O212" s="103">
        <f>IF(Human_Data_Entry!BO210="","",Human_Data_Entry!BO210)</f>
        <v/>
      </c>
      <c r="P212" s="103">
        <f>IF(Human_Data_Entry!BP210="","",Human_Data_Entry!BP210)</f>
        <v/>
      </c>
      <c r="Q212" s="103">
        <f>IF(Human_Data_Entry!BQ210="","",Human_Data_Entry!BQ210)</f>
        <v/>
      </c>
      <c r="R212" s="103">
        <f>IF(Human_Data_Entry!BR210="","",Human_Data_Entry!BR210)</f>
        <v/>
      </c>
      <c r="S212" s="103">
        <f>IF(Human_Data_Entry!BS210="","",Human_Data_Entry!BS210)</f>
        <v/>
      </c>
      <c r="T212" s="103">
        <f>IF(Human_Data_Entry!BT210="","",Human_Data_Entry!BT210)</f>
        <v/>
      </c>
    </row>
    <row r="213" ht="15" customHeight="1" s="241">
      <c r="A213" s="103">
        <f>IF(Human_Data_Entry!A211="","",Human_Data_Entry!A211)</f>
        <v/>
      </c>
      <c r="B213" s="103">
        <f>IF(Human_Data_Entry!B211="","",Human_Data_Entry!B211)</f>
        <v/>
      </c>
      <c r="C213" s="104">
        <f>IF(Human_Data_Entry!C211="","",Human_Data_Entry!C211)</f>
        <v/>
      </c>
      <c r="D213" s="103">
        <f>IF(Human_Data_Entry!D211="","",Human_Data_Entry!D211)</f>
        <v/>
      </c>
      <c r="E213" s="103">
        <f>IF(Human_Data_Entry!G211="","",Human_Data_Entry!G211)</f>
        <v/>
      </c>
      <c r="F213" s="103">
        <f>IF(Human_Data_Entry!X211="","",Human_Data_Entry!X211)</f>
        <v/>
      </c>
      <c r="G213" s="103">
        <f>IF(Human_Data_Entry!AY211="","",Human_Data_Entry!AY211)</f>
        <v/>
      </c>
      <c r="H213" s="103">
        <f>IF(Human_Data_Entry!AZ211="","",Human_Data_Entry!AZ211)</f>
        <v/>
      </c>
      <c r="I213" s="103">
        <f>IF(Human_Data_Entry!AL211="","",Human_Data_Entry!AL211)</f>
        <v/>
      </c>
      <c r="J213" s="103">
        <f>IF(Human_Data_Entry!AM211="","",Human_Data_Entry!AM211)</f>
        <v/>
      </c>
      <c r="K213" s="103">
        <f>IF(Human_Data_Entry!AN211="","",Human_Data_Entry!AN211)</f>
        <v/>
      </c>
      <c r="L213" s="103">
        <f>IF(Human_Data_Entry!AO211="","",Human_Data_Entry!AO211)</f>
        <v/>
      </c>
      <c r="M213" s="103">
        <f>IF(Human_Data_Entry!BM211="","",Human_Data_Entry!BM211)</f>
        <v/>
      </c>
      <c r="N213" s="103">
        <f>IF(Human_Data_Entry!BN211="","",Human_Data_Entry!BN211)</f>
        <v/>
      </c>
      <c r="O213" s="103">
        <f>IF(Human_Data_Entry!BO211="","",Human_Data_Entry!BO211)</f>
        <v/>
      </c>
      <c r="P213" s="103">
        <f>IF(Human_Data_Entry!BP211="","",Human_Data_Entry!BP211)</f>
        <v/>
      </c>
      <c r="Q213" s="103">
        <f>IF(Human_Data_Entry!BQ211="","",Human_Data_Entry!BQ211)</f>
        <v/>
      </c>
      <c r="R213" s="103">
        <f>IF(Human_Data_Entry!BR211="","",Human_Data_Entry!BR211)</f>
        <v/>
      </c>
      <c r="S213" s="103">
        <f>IF(Human_Data_Entry!BS211="","",Human_Data_Entry!BS211)</f>
        <v/>
      </c>
      <c r="T213" s="103">
        <f>IF(Human_Data_Entry!BT211="","",Human_Data_Entry!BT211)</f>
        <v/>
      </c>
    </row>
    <row r="214" ht="15" customHeight="1" s="241">
      <c r="A214" s="103">
        <f>IF(Human_Data_Entry!A212="","",Human_Data_Entry!A212)</f>
        <v/>
      </c>
      <c r="B214" s="103">
        <f>IF(Human_Data_Entry!B212="","",Human_Data_Entry!B212)</f>
        <v/>
      </c>
      <c r="C214" s="104">
        <f>IF(Human_Data_Entry!C212="","",Human_Data_Entry!C212)</f>
        <v/>
      </c>
      <c r="D214" s="103">
        <f>IF(Human_Data_Entry!D212="","",Human_Data_Entry!D212)</f>
        <v/>
      </c>
      <c r="E214" s="103">
        <f>IF(Human_Data_Entry!G212="","",Human_Data_Entry!G212)</f>
        <v/>
      </c>
      <c r="F214" s="103">
        <f>IF(Human_Data_Entry!X212="","",Human_Data_Entry!X212)</f>
        <v/>
      </c>
      <c r="G214" s="103">
        <f>IF(Human_Data_Entry!AY212="","",Human_Data_Entry!AY212)</f>
        <v/>
      </c>
      <c r="H214" s="103">
        <f>IF(Human_Data_Entry!AZ212="","",Human_Data_Entry!AZ212)</f>
        <v/>
      </c>
      <c r="I214" s="103">
        <f>IF(Human_Data_Entry!AL212="","",Human_Data_Entry!AL212)</f>
        <v/>
      </c>
      <c r="J214" s="103">
        <f>IF(Human_Data_Entry!AM212="","",Human_Data_Entry!AM212)</f>
        <v/>
      </c>
      <c r="K214" s="103">
        <f>IF(Human_Data_Entry!AN212="","",Human_Data_Entry!AN212)</f>
        <v/>
      </c>
      <c r="L214" s="103">
        <f>IF(Human_Data_Entry!AO212="","",Human_Data_Entry!AO212)</f>
        <v/>
      </c>
      <c r="M214" s="103">
        <f>IF(Human_Data_Entry!BM212="","",Human_Data_Entry!BM212)</f>
        <v/>
      </c>
      <c r="N214" s="103">
        <f>IF(Human_Data_Entry!BN212="","",Human_Data_Entry!BN212)</f>
        <v/>
      </c>
      <c r="O214" s="103">
        <f>IF(Human_Data_Entry!BO212="","",Human_Data_Entry!BO212)</f>
        <v/>
      </c>
      <c r="P214" s="103">
        <f>IF(Human_Data_Entry!BP212="","",Human_Data_Entry!BP212)</f>
        <v/>
      </c>
      <c r="Q214" s="103">
        <f>IF(Human_Data_Entry!BQ212="","",Human_Data_Entry!BQ212)</f>
        <v/>
      </c>
      <c r="R214" s="103">
        <f>IF(Human_Data_Entry!BR212="","",Human_Data_Entry!BR212)</f>
        <v/>
      </c>
      <c r="S214" s="103">
        <f>IF(Human_Data_Entry!BS212="","",Human_Data_Entry!BS212)</f>
        <v/>
      </c>
      <c r="T214" s="103">
        <f>IF(Human_Data_Entry!BT212="","",Human_Data_Entry!BT212)</f>
        <v/>
      </c>
    </row>
    <row r="215" ht="15" customHeight="1" s="241">
      <c r="A215" s="103">
        <f>IF(Human_Data_Entry!A213="","",Human_Data_Entry!A213)</f>
        <v/>
      </c>
      <c r="B215" s="103">
        <f>IF(Human_Data_Entry!B213="","",Human_Data_Entry!B213)</f>
        <v/>
      </c>
      <c r="C215" s="104">
        <f>IF(Human_Data_Entry!C213="","",Human_Data_Entry!C213)</f>
        <v/>
      </c>
      <c r="D215" s="103">
        <f>IF(Human_Data_Entry!D213="","",Human_Data_Entry!D213)</f>
        <v/>
      </c>
      <c r="E215" s="103">
        <f>IF(Human_Data_Entry!G213="","",Human_Data_Entry!G213)</f>
        <v/>
      </c>
      <c r="F215" s="103">
        <f>IF(Human_Data_Entry!X213="","",Human_Data_Entry!X213)</f>
        <v/>
      </c>
      <c r="G215" s="103">
        <f>IF(Human_Data_Entry!AY213="","",Human_Data_Entry!AY213)</f>
        <v/>
      </c>
      <c r="H215" s="103">
        <f>IF(Human_Data_Entry!AZ213="","",Human_Data_Entry!AZ213)</f>
        <v/>
      </c>
      <c r="I215" s="103">
        <f>IF(Human_Data_Entry!AL213="","",Human_Data_Entry!AL213)</f>
        <v/>
      </c>
      <c r="J215" s="103">
        <f>IF(Human_Data_Entry!AM213="","",Human_Data_Entry!AM213)</f>
        <v/>
      </c>
      <c r="K215" s="103">
        <f>IF(Human_Data_Entry!AN213="","",Human_Data_Entry!AN213)</f>
        <v/>
      </c>
      <c r="L215" s="103">
        <f>IF(Human_Data_Entry!AO213="","",Human_Data_Entry!AO213)</f>
        <v/>
      </c>
      <c r="M215" s="103">
        <f>IF(Human_Data_Entry!BM213="","",Human_Data_Entry!BM213)</f>
        <v/>
      </c>
      <c r="N215" s="103">
        <f>IF(Human_Data_Entry!BN213="","",Human_Data_Entry!BN213)</f>
        <v/>
      </c>
      <c r="O215" s="103">
        <f>IF(Human_Data_Entry!BO213="","",Human_Data_Entry!BO213)</f>
        <v/>
      </c>
      <c r="P215" s="103">
        <f>IF(Human_Data_Entry!BP213="","",Human_Data_Entry!BP213)</f>
        <v/>
      </c>
      <c r="Q215" s="103">
        <f>IF(Human_Data_Entry!BQ213="","",Human_Data_Entry!BQ213)</f>
        <v/>
      </c>
      <c r="R215" s="103">
        <f>IF(Human_Data_Entry!BR213="","",Human_Data_Entry!BR213)</f>
        <v/>
      </c>
      <c r="S215" s="103">
        <f>IF(Human_Data_Entry!BS213="","",Human_Data_Entry!BS213)</f>
        <v/>
      </c>
      <c r="T215" s="103">
        <f>IF(Human_Data_Entry!BT213="","",Human_Data_Entry!BT213)</f>
        <v/>
      </c>
    </row>
    <row r="216" ht="15" customHeight="1" s="241">
      <c r="A216" s="103">
        <f>IF(Human_Data_Entry!A214="","",Human_Data_Entry!A214)</f>
        <v/>
      </c>
      <c r="B216" s="103">
        <f>IF(Human_Data_Entry!B214="","",Human_Data_Entry!B214)</f>
        <v/>
      </c>
      <c r="C216" s="104">
        <f>IF(Human_Data_Entry!C214="","",Human_Data_Entry!C214)</f>
        <v/>
      </c>
      <c r="D216" s="103">
        <f>IF(Human_Data_Entry!D214="","",Human_Data_Entry!D214)</f>
        <v/>
      </c>
      <c r="E216" s="103">
        <f>IF(Human_Data_Entry!G214="","",Human_Data_Entry!G214)</f>
        <v/>
      </c>
      <c r="F216" s="103">
        <f>IF(Human_Data_Entry!X214="","",Human_Data_Entry!X214)</f>
        <v/>
      </c>
      <c r="G216" s="103">
        <f>IF(Human_Data_Entry!AY214="","",Human_Data_Entry!AY214)</f>
        <v/>
      </c>
      <c r="H216" s="103">
        <f>IF(Human_Data_Entry!AZ214="","",Human_Data_Entry!AZ214)</f>
        <v/>
      </c>
      <c r="I216" s="103">
        <f>IF(Human_Data_Entry!AL214="","",Human_Data_Entry!AL214)</f>
        <v/>
      </c>
      <c r="J216" s="103">
        <f>IF(Human_Data_Entry!AM214="","",Human_Data_Entry!AM214)</f>
        <v/>
      </c>
      <c r="K216" s="103">
        <f>IF(Human_Data_Entry!AN214="","",Human_Data_Entry!AN214)</f>
        <v/>
      </c>
      <c r="L216" s="103">
        <f>IF(Human_Data_Entry!AO214="","",Human_Data_Entry!AO214)</f>
        <v/>
      </c>
      <c r="M216" s="103">
        <f>IF(Human_Data_Entry!BM214="","",Human_Data_Entry!BM214)</f>
        <v/>
      </c>
      <c r="N216" s="103">
        <f>IF(Human_Data_Entry!BN214="","",Human_Data_Entry!BN214)</f>
        <v/>
      </c>
      <c r="O216" s="103">
        <f>IF(Human_Data_Entry!BO214="","",Human_Data_Entry!BO214)</f>
        <v/>
      </c>
      <c r="P216" s="103">
        <f>IF(Human_Data_Entry!BP214="","",Human_Data_Entry!BP214)</f>
        <v/>
      </c>
      <c r="Q216" s="103">
        <f>IF(Human_Data_Entry!BQ214="","",Human_Data_Entry!BQ214)</f>
        <v/>
      </c>
      <c r="R216" s="103">
        <f>IF(Human_Data_Entry!BR214="","",Human_Data_Entry!BR214)</f>
        <v/>
      </c>
      <c r="S216" s="103">
        <f>IF(Human_Data_Entry!BS214="","",Human_Data_Entry!BS214)</f>
        <v/>
      </c>
      <c r="T216" s="103">
        <f>IF(Human_Data_Entry!BT214="","",Human_Data_Entry!BT214)</f>
        <v/>
      </c>
    </row>
    <row r="217" ht="15" customHeight="1" s="241">
      <c r="A217" s="103">
        <f>IF(Human_Data_Entry!A215="","",Human_Data_Entry!A215)</f>
        <v/>
      </c>
      <c r="B217" s="103">
        <f>IF(Human_Data_Entry!B215="","",Human_Data_Entry!B215)</f>
        <v/>
      </c>
      <c r="C217" s="104">
        <f>IF(Human_Data_Entry!C215="","",Human_Data_Entry!C215)</f>
        <v/>
      </c>
      <c r="D217" s="103">
        <f>IF(Human_Data_Entry!D215="","",Human_Data_Entry!D215)</f>
        <v/>
      </c>
      <c r="E217" s="103">
        <f>IF(Human_Data_Entry!G215="","",Human_Data_Entry!G215)</f>
        <v/>
      </c>
      <c r="F217" s="103">
        <f>IF(Human_Data_Entry!X215="","",Human_Data_Entry!X215)</f>
        <v/>
      </c>
      <c r="G217" s="103">
        <f>IF(Human_Data_Entry!AY215="","",Human_Data_Entry!AY215)</f>
        <v/>
      </c>
      <c r="H217" s="103">
        <f>IF(Human_Data_Entry!AZ215="","",Human_Data_Entry!AZ215)</f>
        <v/>
      </c>
      <c r="I217" s="103">
        <f>IF(Human_Data_Entry!AL215="","",Human_Data_Entry!AL215)</f>
        <v/>
      </c>
      <c r="J217" s="103">
        <f>IF(Human_Data_Entry!AM215="","",Human_Data_Entry!AM215)</f>
        <v/>
      </c>
      <c r="K217" s="103">
        <f>IF(Human_Data_Entry!AN215="","",Human_Data_Entry!AN215)</f>
        <v/>
      </c>
      <c r="L217" s="103">
        <f>IF(Human_Data_Entry!AO215="","",Human_Data_Entry!AO215)</f>
        <v/>
      </c>
      <c r="M217" s="103">
        <f>IF(Human_Data_Entry!BM215="","",Human_Data_Entry!BM215)</f>
        <v/>
      </c>
      <c r="N217" s="103">
        <f>IF(Human_Data_Entry!BN215="","",Human_Data_Entry!BN215)</f>
        <v/>
      </c>
      <c r="O217" s="103">
        <f>IF(Human_Data_Entry!BO215="","",Human_Data_Entry!BO215)</f>
        <v/>
      </c>
      <c r="P217" s="103">
        <f>IF(Human_Data_Entry!BP215="","",Human_Data_Entry!BP215)</f>
        <v/>
      </c>
      <c r="Q217" s="103">
        <f>IF(Human_Data_Entry!BQ215="","",Human_Data_Entry!BQ215)</f>
        <v/>
      </c>
      <c r="R217" s="103">
        <f>IF(Human_Data_Entry!BR215="","",Human_Data_Entry!BR215)</f>
        <v/>
      </c>
      <c r="S217" s="103">
        <f>IF(Human_Data_Entry!BS215="","",Human_Data_Entry!BS215)</f>
        <v/>
      </c>
      <c r="T217" s="103">
        <f>IF(Human_Data_Entry!BT215="","",Human_Data_Entry!BT215)</f>
        <v/>
      </c>
    </row>
    <row r="218" ht="15" customHeight="1" s="241">
      <c r="A218" s="103">
        <f>IF(Human_Data_Entry!A216="","",Human_Data_Entry!A216)</f>
        <v/>
      </c>
      <c r="B218" s="103">
        <f>IF(Human_Data_Entry!B216="","",Human_Data_Entry!B216)</f>
        <v/>
      </c>
      <c r="C218" s="104">
        <f>IF(Human_Data_Entry!C216="","",Human_Data_Entry!C216)</f>
        <v/>
      </c>
      <c r="D218" s="103">
        <f>IF(Human_Data_Entry!D216="","",Human_Data_Entry!D216)</f>
        <v/>
      </c>
      <c r="E218" s="103">
        <f>IF(Human_Data_Entry!G216="","",Human_Data_Entry!G216)</f>
        <v/>
      </c>
      <c r="F218" s="103">
        <f>IF(Human_Data_Entry!X216="","",Human_Data_Entry!X216)</f>
        <v/>
      </c>
      <c r="G218" s="103">
        <f>IF(Human_Data_Entry!AY216="","",Human_Data_Entry!AY216)</f>
        <v/>
      </c>
      <c r="H218" s="103">
        <f>IF(Human_Data_Entry!AZ216="","",Human_Data_Entry!AZ216)</f>
        <v/>
      </c>
      <c r="I218" s="103">
        <f>IF(Human_Data_Entry!AL216="","",Human_Data_Entry!AL216)</f>
        <v/>
      </c>
      <c r="J218" s="103">
        <f>IF(Human_Data_Entry!AM216="","",Human_Data_Entry!AM216)</f>
        <v/>
      </c>
      <c r="K218" s="103">
        <f>IF(Human_Data_Entry!AN216="","",Human_Data_Entry!AN216)</f>
        <v/>
      </c>
      <c r="L218" s="103">
        <f>IF(Human_Data_Entry!AO216="","",Human_Data_Entry!AO216)</f>
        <v/>
      </c>
      <c r="M218" s="103">
        <f>IF(Human_Data_Entry!BM216="","",Human_Data_Entry!BM216)</f>
        <v/>
      </c>
      <c r="N218" s="103">
        <f>IF(Human_Data_Entry!BN216="","",Human_Data_Entry!BN216)</f>
        <v/>
      </c>
      <c r="O218" s="103">
        <f>IF(Human_Data_Entry!BO216="","",Human_Data_Entry!BO216)</f>
        <v/>
      </c>
      <c r="P218" s="103">
        <f>IF(Human_Data_Entry!BP216="","",Human_Data_Entry!BP216)</f>
        <v/>
      </c>
      <c r="Q218" s="103">
        <f>IF(Human_Data_Entry!BQ216="","",Human_Data_Entry!BQ216)</f>
        <v/>
      </c>
      <c r="R218" s="103">
        <f>IF(Human_Data_Entry!BR216="","",Human_Data_Entry!BR216)</f>
        <v/>
      </c>
      <c r="S218" s="103">
        <f>IF(Human_Data_Entry!BS216="","",Human_Data_Entry!BS216)</f>
        <v/>
      </c>
      <c r="T218" s="103">
        <f>IF(Human_Data_Entry!BT216="","",Human_Data_Entry!BT216)</f>
        <v/>
      </c>
    </row>
    <row r="219" ht="15" customHeight="1" s="241">
      <c r="A219" s="103">
        <f>IF(Human_Data_Entry!A217="","",Human_Data_Entry!A217)</f>
        <v/>
      </c>
      <c r="B219" s="103">
        <f>IF(Human_Data_Entry!B217="","",Human_Data_Entry!B217)</f>
        <v/>
      </c>
      <c r="C219" s="104">
        <f>IF(Human_Data_Entry!C217="","",Human_Data_Entry!C217)</f>
        <v/>
      </c>
      <c r="D219" s="103">
        <f>IF(Human_Data_Entry!D217="","",Human_Data_Entry!D217)</f>
        <v/>
      </c>
      <c r="E219" s="103">
        <f>IF(Human_Data_Entry!G217="","",Human_Data_Entry!G217)</f>
        <v/>
      </c>
      <c r="F219" s="103">
        <f>IF(Human_Data_Entry!X217="","",Human_Data_Entry!X217)</f>
        <v/>
      </c>
      <c r="G219" s="103">
        <f>IF(Human_Data_Entry!AY217="","",Human_Data_Entry!AY217)</f>
        <v/>
      </c>
      <c r="H219" s="103">
        <f>IF(Human_Data_Entry!AZ217="","",Human_Data_Entry!AZ217)</f>
        <v/>
      </c>
      <c r="I219" s="103">
        <f>IF(Human_Data_Entry!AL217="","",Human_Data_Entry!AL217)</f>
        <v/>
      </c>
      <c r="J219" s="103">
        <f>IF(Human_Data_Entry!AM217="","",Human_Data_Entry!AM217)</f>
        <v/>
      </c>
      <c r="K219" s="103">
        <f>IF(Human_Data_Entry!AN217="","",Human_Data_Entry!AN217)</f>
        <v/>
      </c>
      <c r="L219" s="103">
        <f>IF(Human_Data_Entry!AO217="","",Human_Data_Entry!AO217)</f>
        <v/>
      </c>
      <c r="M219" s="103">
        <f>IF(Human_Data_Entry!BM217="","",Human_Data_Entry!BM217)</f>
        <v/>
      </c>
      <c r="N219" s="103">
        <f>IF(Human_Data_Entry!BN217="","",Human_Data_Entry!BN217)</f>
        <v/>
      </c>
      <c r="O219" s="103">
        <f>IF(Human_Data_Entry!BO217="","",Human_Data_Entry!BO217)</f>
        <v/>
      </c>
      <c r="P219" s="103">
        <f>IF(Human_Data_Entry!BP217="","",Human_Data_Entry!BP217)</f>
        <v/>
      </c>
      <c r="Q219" s="103">
        <f>IF(Human_Data_Entry!BQ217="","",Human_Data_Entry!BQ217)</f>
        <v/>
      </c>
      <c r="R219" s="103">
        <f>IF(Human_Data_Entry!BR217="","",Human_Data_Entry!BR217)</f>
        <v/>
      </c>
      <c r="S219" s="103">
        <f>IF(Human_Data_Entry!BS217="","",Human_Data_Entry!BS217)</f>
        <v/>
      </c>
      <c r="T219" s="103">
        <f>IF(Human_Data_Entry!BT217="","",Human_Data_Entry!BT217)</f>
        <v/>
      </c>
    </row>
    <row r="220" ht="15" customHeight="1" s="241">
      <c r="A220" s="103">
        <f>IF(Human_Data_Entry!A218="","",Human_Data_Entry!A218)</f>
        <v/>
      </c>
      <c r="B220" s="103">
        <f>IF(Human_Data_Entry!B218="","",Human_Data_Entry!B218)</f>
        <v/>
      </c>
      <c r="C220" s="104">
        <f>IF(Human_Data_Entry!C218="","",Human_Data_Entry!C218)</f>
        <v/>
      </c>
      <c r="D220" s="103">
        <f>IF(Human_Data_Entry!D218="","",Human_Data_Entry!D218)</f>
        <v/>
      </c>
      <c r="E220" s="103">
        <f>IF(Human_Data_Entry!G218="","",Human_Data_Entry!G218)</f>
        <v/>
      </c>
      <c r="F220" s="103">
        <f>IF(Human_Data_Entry!X218="","",Human_Data_Entry!X218)</f>
        <v/>
      </c>
      <c r="G220" s="103">
        <f>IF(Human_Data_Entry!AY218="","",Human_Data_Entry!AY218)</f>
        <v/>
      </c>
      <c r="H220" s="103">
        <f>IF(Human_Data_Entry!AZ218="","",Human_Data_Entry!AZ218)</f>
        <v/>
      </c>
      <c r="I220" s="103">
        <f>IF(Human_Data_Entry!AL218="","",Human_Data_Entry!AL218)</f>
        <v/>
      </c>
      <c r="J220" s="103">
        <f>IF(Human_Data_Entry!AM218="","",Human_Data_Entry!AM218)</f>
        <v/>
      </c>
      <c r="K220" s="103">
        <f>IF(Human_Data_Entry!AN218="","",Human_Data_Entry!AN218)</f>
        <v/>
      </c>
      <c r="L220" s="103">
        <f>IF(Human_Data_Entry!AO218="","",Human_Data_Entry!AO218)</f>
        <v/>
      </c>
      <c r="M220" s="103">
        <f>IF(Human_Data_Entry!BM218="","",Human_Data_Entry!BM218)</f>
        <v/>
      </c>
      <c r="N220" s="103">
        <f>IF(Human_Data_Entry!BN218="","",Human_Data_Entry!BN218)</f>
        <v/>
      </c>
      <c r="O220" s="103">
        <f>IF(Human_Data_Entry!BO218="","",Human_Data_Entry!BO218)</f>
        <v/>
      </c>
      <c r="P220" s="103">
        <f>IF(Human_Data_Entry!BP218="","",Human_Data_Entry!BP218)</f>
        <v/>
      </c>
      <c r="Q220" s="103">
        <f>IF(Human_Data_Entry!BQ218="","",Human_Data_Entry!BQ218)</f>
        <v/>
      </c>
      <c r="R220" s="103">
        <f>IF(Human_Data_Entry!BR218="","",Human_Data_Entry!BR218)</f>
        <v/>
      </c>
      <c r="S220" s="103">
        <f>IF(Human_Data_Entry!BS218="","",Human_Data_Entry!BS218)</f>
        <v/>
      </c>
      <c r="T220" s="103">
        <f>IF(Human_Data_Entry!BT218="","",Human_Data_Entry!BT218)</f>
        <v/>
      </c>
    </row>
    <row r="221" ht="15" customHeight="1" s="241">
      <c r="A221" s="103">
        <f>IF(Human_Data_Entry!A219="","",Human_Data_Entry!A219)</f>
        <v/>
      </c>
      <c r="B221" s="103">
        <f>IF(Human_Data_Entry!B219="","",Human_Data_Entry!B219)</f>
        <v/>
      </c>
      <c r="C221" s="104">
        <f>IF(Human_Data_Entry!C219="","",Human_Data_Entry!C219)</f>
        <v/>
      </c>
      <c r="D221" s="103">
        <f>IF(Human_Data_Entry!D219="","",Human_Data_Entry!D219)</f>
        <v/>
      </c>
      <c r="E221" s="103">
        <f>IF(Human_Data_Entry!G219="","",Human_Data_Entry!G219)</f>
        <v/>
      </c>
      <c r="F221" s="103">
        <f>IF(Human_Data_Entry!X219="","",Human_Data_Entry!X219)</f>
        <v/>
      </c>
      <c r="G221" s="103">
        <f>IF(Human_Data_Entry!AY219="","",Human_Data_Entry!AY219)</f>
        <v/>
      </c>
      <c r="H221" s="103">
        <f>IF(Human_Data_Entry!AZ219="","",Human_Data_Entry!AZ219)</f>
        <v/>
      </c>
      <c r="I221" s="103">
        <f>IF(Human_Data_Entry!AL219="","",Human_Data_Entry!AL219)</f>
        <v/>
      </c>
      <c r="J221" s="103">
        <f>IF(Human_Data_Entry!AM219="","",Human_Data_Entry!AM219)</f>
        <v/>
      </c>
      <c r="K221" s="103">
        <f>IF(Human_Data_Entry!AN219="","",Human_Data_Entry!AN219)</f>
        <v/>
      </c>
      <c r="L221" s="103">
        <f>IF(Human_Data_Entry!AO219="","",Human_Data_Entry!AO219)</f>
        <v/>
      </c>
      <c r="M221" s="103">
        <f>IF(Human_Data_Entry!BM219="","",Human_Data_Entry!BM219)</f>
        <v/>
      </c>
      <c r="N221" s="103">
        <f>IF(Human_Data_Entry!BN219="","",Human_Data_Entry!BN219)</f>
        <v/>
      </c>
      <c r="O221" s="103">
        <f>IF(Human_Data_Entry!BO219="","",Human_Data_Entry!BO219)</f>
        <v/>
      </c>
      <c r="P221" s="103">
        <f>IF(Human_Data_Entry!BP219="","",Human_Data_Entry!BP219)</f>
        <v/>
      </c>
      <c r="Q221" s="103">
        <f>IF(Human_Data_Entry!BQ219="","",Human_Data_Entry!BQ219)</f>
        <v/>
      </c>
      <c r="R221" s="103">
        <f>IF(Human_Data_Entry!BR219="","",Human_Data_Entry!BR219)</f>
        <v/>
      </c>
      <c r="S221" s="103">
        <f>IF(Human_Data_Entry!BS219="","",Human_Data_Entry!BS219)</f>
        <v/>
      </c>
      <c r="T221" s="103">
        <f>IF(Human_Data_Entry!BT219="","",Human_Data_Entry!BT219)</f>
        <v/>
      </c>
    </row>
    <row r="222" ht="15" customHeight="1" s="241">
      <c r="A222" s="103">
        <f>IF(Human_Data_Entry!A220="","",Human_Data_Entry!A220)</f>
        <v/>
      </c>
      <c r="B222" s="103">
        <f>IF(Human_Data_Entry!B220="","",Human_Data_Entry!B220)</f>
        <v/>
      </c>
      <c r="C222" s="104">
        <f>IF(Human_Data_Entry!C220="","",Human_Data_Entry!C220)</f>
        <v/>
      </c>
      <c r="D222" s="103">
        <f>IF(Human_Data_Entry!D220="","",Human_Data_Entry!D220)</f>
        <v/>
      </c>
      <c r="E222" s="103">
        <f>IF(Human_Data_Entry!G220="","",Human_Data_Entry!G220)</f>
        <v/>
      </c>
      <c r="F222" s="103">
        <f>IF(Human_Data_Entry!X220="","",Human_Data_Entry!X220)</f>
        <v/>
      </c>
      <c r="G222" s="103">
        <f>IF(Human_Data_Entry!AY220="","",Human_Data_Entry!AY220)</f>
        <v/>
      </c>
      <c r="H222" s="103">
        <f>IF(Human_Data_Entry!AZ220="","",Human_Data_Entry!AZ220)</f>
        <v/>
      </c>
      <c r="I222" s="103">
        <f>IF(Human_Data_Entry!AL220="","",Human_Data_Entry!AL220)</f>
        <v/>
      </c>
      <c r="J222" s="103">
        <f>IF(Human_Data_Entry!AM220="","",Human_Data_Entry!AM220)</f>
        <v/>
      </c>
      <c r="K222" s="103">
        <f>IF(Human_Data_Entry!AN220="","",Human_Data_Entry!AN220)</f>
        <v/>
      </c>
      <c r="L222" s="103">
        <f>IF(Human_Data_Entry!AO220="","",Human_Data_Entry!AO220)</f>
        <v/>
      </c>
      <c r="M222" s="103">
        <f>IF(Human_Data_Entry!BM220="","",Human_Data_Entry!BM220)</f>
        <v/>
      </c>
      <c r="N222" s="103">
        <f>IF(Human_Data_Entry!BN220="","",Human_Data_Entry!BN220)</f>
        <v/>
      </c>
      <c r="O222" s="103">
        <f>IF(Human_Data_Entry!BO220="","",Human_Data_Entry!BO220)</f>
        <v/>
      </c>
      <c r="P222" s="103">
        <f>IF(Human_Data_Entry!BP220="","",Human_Data_Entry!BP220)</f>
        <v/>
      </c>
      <c r="Q222" s="103">
        <f>IF(Human_Data_Entry!BQ220="","",Human_Data_Entry!BQ220)</f>
        <v/>
      </c>
      <c r="R222" s="103">
        <f>IF(Human_Data_Entry!BR220="","",Human_Data_Entry!BR220)</f>
        <v/>
      </c>
      <c r="S222" s="103">
        <f>IF(Human_Data_Entry!BS220="","",Human_Data_Entry!BS220)</f>
        <v/>
      </c>
      <c r="T222" s="103">
        <f>IF(Human_Data_Entry!BT220="","",Human_Data_Entry!BT220)</f>
        <v/>
      </c>
    </row>
    <row r="223" ht="15" customHeight="1" s="241">
      <c r="A223" s="103">
        <f>IF(Human_Data_Entry!A221="","",Human_Data_Entry!A221)</f>
        <v/>
      </c>
      <c r="B223" s="103">
        <f>IF(Human_Data_Entry!B221="","",Human_Data_Entry!B221)</f>
        <v/>
      </c>
      <c r="C223" s="104">
        <f>IF(Human_Data_Entry!C221="","",Human_Data_Entry!C221)</f>
        <v/>
      </c>
      <c r="D223" s="103">
        <f>IF(Human_Data_Entry!D221="","",Human_Data_Entry!D221)</f>
        <v/>
      </c>
      <c r="E223" s="103">
        <f>IF(Human_Data_Entry!G221="","",Human_Data_Entry!G221)</f>
        <v/>
      </c>
      <c r="F223" s="103">
        <f>IF(Human_Data_Entry!X221="","",Human_Data_Entry!X221)</f>
        <v/>
      </c>
      <c r="G223" s="103">
        <f>IF(Human_Data_Entry!AY221="","",Human_Data_Entry!AY221)</f>
        <v/>
      </c>
      <c r="H223" s="103">
        <f>IF(Human_Data_Entry!AZ221="","",Human_Data_Entry!AZ221)</f>
        <v/>
      </c>
      <c r="I223" s="103">
        <f>IF(Human_Data_Entry!AL221="","",Human_Data_Entry!AL221)</f>
        <v/>
      </c>
      <c r="J223" s="103">
        <f>IF(Human_Data_Entry!AM221="","",Human_Data_Entry!AM221)</f>
        <v/>
      </c>
      <c r="K223" s="103">
        <f>IF(Human_Data_Entry!AN221="","",Human_Data_Entry!AN221)</f>
        <v/>
      </c>
      <c r="L223" s="103">
        <f>IF(Human_Data_Entry!AO221="","",Human_Data_Entry!AO221)</f>
        <v/>
      </c>
      <c r="M223" s="103">
        <f>IF(Human_Data_Entry!BM221="","",Human_Data_Entry!BM221)</f>
        <v/>
      </c>
      <c r="N223" s="103">
        <f>IF(Human_Data_Entry!BN221="","",Human_Data_Entry!BN221)</f>
        <v/>
      </c>
      <c r="O223" s="103">
        <f>IF(Human_Data_Entry!BO221="","",Human_Data_Entry!BO221)</f>
        <v/>
      </c>
      <c r="P223" s="103">
        <f>IF(Human_Data_Entry!BP221="","",Human_Data_Entry!BP221)</f>
        <v/>
      </c>
      <c r="Q223" s="103">
        <f>IF(Human_Data_Entry!BQ221="","",Human_Data_Entry!BQ221)</f>
        <v/>
      </c>
      <c r="R223" s="103">
        <f>IF(Human_Data_Entry!BR221="","",Human_Data_Entry!BR221)</f>
        <v/>
      </c>
      <c r="S223" s="103">
        <f>IF(Human_Data_Entry!BS221="","",Human_Data_Entry!BS221)</f>
        <v/>
      </c>
      <c r="T223" s="103">
        <f>IF(Human_Data_Entry!BT221="","",Human_Data_Entry!BT221)</f>
        <v/>
      </c>
    </row>
    <row r="224" ht="15" customHeight="1" s="241">
      <c r="A224" s="103">
        <f>IF(Human_Data_Entry!A222="","",Human_Data_Entry!A222)</f>
        <v/>
      </c>
      <c r="B224" s="103">
        <f>IF(Human_Data_Entry!B222="","",Human_Data_Entry!B222)</f>
        <v/>
      </c>
      <c r="C224" s="104">
        <f>IF(Human_Data_Entry!C222="","",Human_Data_Entry!C222)</f>
        <v/>
      </c>
      <c r="D224" s="103">
        <f>IF(Human_Data_Entry!D222="","",Human_Data_Entry!D222)</f>
        <v/>
      </c>
      <c r="E224" s="103">
        <f>IF(Human_Data_Entry!G222="","",Human_Data_Entry!G222)</f>
        <v/>
      </c>
      <c r="F224" s="103">
        <f>IF(Human_Data_Entry!X222="","",Human_Data_Entry!X222)</f>
        <v/>
      </c>
      <c r="G224" s="103">
        <f>IF(Human_Data_Entry!AY222="","",Human_Data_Entry!AY222)</f>
        <v/>
      </c>
      <c r="H224" s="103">
        <f>IF(Human_Data_Entry!AZ222="","",Human_Data_Entry!AZ222)</f>
        <v/>
      </c>
      <c r="I224" s="103">
        <f>IF(Human_Data_Entry!AL222="","",Human_Data_Entry!AL222)</f>
        <v/>
      </c>
      <c r="J224" s="103">
        <f>IF(Human_Data_Entry!AM222="","",Human_Data_Entry!AM222)</f>
        <v/>
      </c>
      <c r="K224" s="103">
        <f>IF(Human_Data_Entry!AN222="","",Human_Data_Entry!AN222)</f>
        <v/>
      </c>
      <c r="L224" s="103">
        <f>IF(Human_Data_Entry!AO222="","",Human_Data_Entry!AO222)</f>
        <v/>
      </c>
      <c r="M224" s="103">
        <f>IF(Human_Data_Entry!BM222="","",Human_Data_Entry!BM222)</f>
        <v/>
      </c>
      <c r="N224" s="103">
        <f>IF(Human_Data_Entry!BN222="","",Human_Data_Entry!BN222)</f>
        <v/>
      </c>
      <c r="O224" s="103">
        <f>IF(Human_Data_Entry!BO222="","",Human_Data_Entry!BO222)</f>
        <v/>
      </c>
      <c r="P224" s="103">
        <f>IF(Human_Data_Entry!BP222="","",Human_Data_Entry!BP222)</f>
        <v/>
      </c>
      <c r="Q224" s="103">
        <f>IF(Human_Data_Entry!BQ222="","",Human_Data_Entry!BQ222)</f>
        <v/>
      </c>
      <c r="R224" s="103">
        <f>IF(Human_Data_Entry!BR222="","",Human_Data_Entry!BR222)</f>
        <v/>
      </c>
      <c r="S224" s="103">
        <f>IF(Human_Data_Entry!BS222="","",Human_Data_Entry!BS222)</f>
        <v/>
      </c>
      <c r="T224" s="103">
        <f>IF(Human_Data_Entry!BT222="","",Human_Data_Entry!BT222)</f>
        <v/>
      </c>
    </row>
    <row r="225" ht="15" customHeight="1" s="241">
      <c r="A225" s="103">
        <f>IF(Human_Data_Entry!A223="","",Human_Data_Entry!A223)</f>
        <v/>
      </c>
      <c r="B225" s="103">
        <f>IF(Human_Data_Entry!B223="","",Human_Data_Entry!B223)</f>
        <v/>
      </c>
      <c r="C225" s="104">
        <f>IF(Human_Data_Entry!C223="","",Human_Data_Entry!C223)</f>
        <v/>
      </c>
      <c r="D225" s="103">
        <f>IF(Human_Data_Entry!D223="","",Human_Data_Entry!D223)</f>
        <v/>
      </c>
      <c r="E225" s="103">
        <f>IF(Human_Data_Entry!G223="","",Human_Data_Entry!G223)</f>
        <v/>
      </c>
      <c r="F225" s="103">
        <f>IF(Human_Data_Entry!X223="","",Human_Data_Entry!X223)</f>
        <v/>
      </c>
      <c r="G225" s="103">
        <f>IF(Human_Data_Entry!AY223="","",Human_Data_Entry!AY223)</f>
        <v/>
      </c>
      <c r="H225" s="103">
        <f>IF(Human_Data_Entry!AZ223="","",Human_Data_Entry!AZ223)</f>
        <v/>
      </c>
      <c r="I225" s="103">
        <f>IF(Human_Data_Entry!AL223="","",Human_Data_Entry!AL223)</f>
        <v/>
      </c>
      <c r="J225" s="103">
        <f>IF(Human_Data_Entry!AM223="","",Human_Data_Entry!AM223)</f>
        <v/>
      </c>
      <c r="K225" s="103">
        <f>IF(Human_Data_Entry!AN223="","",Human_Data_Entry!AN223)</f>
        <v/>
      </c>
      <c r="L225" s="103">
        <f>IF(Human_Data_Entry!AO223="","",Human_Data_Entry!AO223)</f>
        <v/>
      </c>
      <c r="M225" s="103">
        <f>IF(Human_Data_Entry!BM223="","",Human_Data_Entry!BM223)</f>
        <v/>
      </c>
      <c r="N225" s="103">
        <f>IF(Human_Data_Entry!BN223="","",Human_Data_Entry!BN223)</f>
        <v/>
      </c>
      <c r="O225" s="103">
        <f>IF(Human_Data_Entry!BO223="","",Human_Data_Entry!BO223)</f>
        <v/>
      </c>
      <c r="P225" s="103">
        <f>IF(Human_Data_Entry!BP223="","",Human_Data_Entry!BP223)</f>
        <v/>
      </c>
      <c r="Q225" s="103">
        <f>IF(Human_Data_Entry!BQ223="","",Human_Data_Entry!BQ223)</f>
        <v/>
      </c>
      <c r="R225" s="103">
        <f>IF(Human_Data_Entry!BR223="","",Human_Data_Entry!BR223)</f>
        <v/>
      </c>
      <c r="S225" s="103">
        <f>IF(Human_Data_Entry!BS223="","",Human_Data_Entry!BS223)</f>
        <v/>
      </c>
      <c r="T225" s="103">
        <f>IF(Human_Data_Entry!BT223="","",Human_Data_Entry!BT223)</f>
        <v/>
      </c>
    </row>
    <row r="226" ht="15" customHeight="1" s="241">
      <c r="A226" s="103">
        <f>IF(Human_Data_Entry!A224="","",Human_Data_Entry!A224)</f>
        <v/>
      </c>
      <c r="B226" s="103">
        <f>IF(Human_Data_Entry!B224="","",Human_Data_Entry!B224)</f>
        <v/>
      </c>
      <c r="C226" s="104">
        <f>IF(Human_Data_Entry!C224="","",Human_Data_Entry!C224)</f>
        <v/>
      </c>
      <c r="D226" s="103">
        <f>IF(Human_Data_Entry!D224="","",Human_Data_Entry!D224)</f>
        <v/>
      </c>
      <c r="E226" s="103">
        <f>IF(Human_Data_Entry!G224="","",Human_Data_Entry!G224)</f>
        <v/>
      </c>
      <c r="F226" s="103">
        <f>IF(Human_Data_Entry!X224="","",Human_Data_Entry!X224)</f>
        <v/>
      </c>
      <c r="G226" s="103">
        <f>IF(Human_Data_Entry!AY224="","",Human_Data_Entry!AY224)</f>
        <v/>
      </c>
      <c r="H226" s="103">
        <f>IF(Human_Data_Entry!AZ224="","",Human_Data_Entry!AZ224)</f>
        <v/>
      </c>
      <c r="I226" s="103">
        <f>IF(Human_Data_Entry!AL224="","",Human_Data_Entry!AL224)</f>
        <v/>
      </c>
      <c r="J226" s="103">
        <f>IF(Human_Data_Entry!AM224="","",Human_Data_Entry!AM224)</f>
        <v/>
      </c>
      <c r="K226" s="103">
        <f>IF(Human_Data_Entry!AN224="","",Human_Data_Entry!AN224)</f>
        <v/>
      </c>
      <c r="L226" s="103">
        <f>IF(Human_Data_Entry!AO224="","",Human_Data_Entry!AO224)</f>
        <v/>
      </c>
      <c r="M226" s="103">
        <f>IF(Human_Data_Entry!BM224="","",Human_Data_Entry!BM224)</f>
        <v/>
      </c>
      <c r="N226" s="103">
        <f>IF(Human_Data_Entry!BN224="","",Human_Data_Entry!BN224)</f>
        <v/>
      </c>
      <c r="O226" s="103">
        <f>IF(Human_Data_Entry!BO224="","",Human_Data_Entry!BO224)</f>
        <v/>
      </c>
      <c r="P226" s="103">
        <f>IF(Human_Data_Entry!BP224="","",Human_Data_Entry!BP224)</f>
        <v/>
      </c>
      <c r="Q226" s="103">
        <f>IF(Human_Data_Entry!BQ224="","",Human_Data_Entry!BQ224)</f>
        <v/>
      </c>
      <c r="R226" s="103">
        <f>IF(Human_Data_Entry!BR224="","",Human_Data_Entry!BR224)</f>
        <v/>
      </c>
      <c r="S226" s="103">
        <f>IF(Human_Data_Entry!BS224="","",Human_Data_Entry!BS224)</f>
        <v/>
      </c>
      <c r="T226" s="103">
        <f>IF(Human_Data_Entry!BT224="","",Human_Data_Entry!BT224)</f>
        <v/>
      </c>
    </row>
    <row r="227" ht="15" customHeight="1" s="241">
      <c r="A227" s="103">
        <f>IF(Human_Data_Entry!A225="","",Human_Data_Entry!A225)</f>
        <v/>
      </c>
      <c r="B227" s="103">
        <f>IF(Human_Data_Entry!B225="","",Human_Data_Entry!B225)</f>
        <v/>
      </c>
      <c r="C227" s="104">
        <f>IF(Human_Data_Entry!C225="","",Human_Data_Entry!C225)</f>
        <v/>
      </c>
      <c r="D227" s="103">
        <f>IF(Human_Data_Entry!D225="","",Human_Data_Entry!D225)</f>
        <v/>
      </c>
      <c r="E227" s="103">
        <f>IF(Human_Data_Entry!G225="","",Human_Data_Entry!G225)</f>
        <v/>
      </c>
      <c r="F227" s="103">
        <f>IF(Human_Data_Entry!X225="","",Human_Data_Entry!X225)</f>
        <v/>
      </c>
      <c r="G227" s="103">
        <f>IF(Human_Data_Entry!AY225="","",Human_Data_Entry!AY225)</f>
        <v/>
      </c>
      <c r="H227" s="103">
        <f>IF(Human_Data_Entry!AZ225="","",Human_Data_Entry!AZ225)</f>
        <v/>
      </c>
      <c r="I227" s="103">
        <f>IF(Human_Data_Entry!AL225="","",Human_Data_Entry!AL225)</f>
        <v/>
      </c>
      <c r="J227" s="103">
        <f>IF(Human_Data_Entry!AM225="","",Human_Data_Entry!AM225)</f>
        <v/>
      </c>
      <c r="K227" s="103">
        <f>IF(Human_Data_Entry!AN225="","",Human_Data_Entry!AN225)</f>
        <v/>
      </c>
      <c r="L227" s="103">
        <f>IF(Human_Data_Entry!AO225="","",Human_Data_Entry!AO225)</f>
        <v/>
      </c>
      <c r="M227" s="103">
        <f>IF(Human_Data_Entry!BM225="","",Human_Data_Entry!BM225)</f>
        <v/>
      </c>
      <c r="N227" s="103">
        <f>IF(Human_Data_Entry!BN225="","",Human_Data_Entry!BN225)</f>
        <v/>
      </c>
      <c r="O227" s="103">
        <f>IF(Human_Data_Entry!BO225="","",Human_Data_Entry!BO225)</f>
        <v/>
      </c>
      <c r="P227" s="103">
        <f>IF(Human_Data_Entry!BP225="","",Human_Data_Entry!BP225)</f>
        <v/>
      </c>
      <c r="Q227" s="103">
        <f>IF(Human_Data_Entry!BQ225="","",Human_Data_Entry!BQ225)</f>
        <v/>
      </c>
      <c r="R227" s="103">
        <f>IF(Human_Data_Entry!BR225="","",Human_Data_Entry!BR225)</f>
        <v/>
      </c>
      <c r="S227" s="103">
        <f>IF(Human_Data_Entry!BS225="","",Human_Data_Entry!BS225)</f>
        <v/>
      </c>
      <c r="T227" s="103">
        <f>IF(Human_Data_Entry!BT225="","",Human_Data_Entry!BT225)</f>
        <v/>
      </c>
    </row>
    <row r="228" ht="15" customHeight="1" s="241">
      <c r="A228" s="103">
        <f>IF(Human_Data_Entry!A226="","",Human_Data_Entry!A226)</f>
        <v/>
      </c>
      <c r="B228" s="103">
        <f>IF(Human_Data_Entry!B226="","",Human_Data_Entry!B226)</f>
        <v/>
      </c>
      <c r="C228" s="104">
        <f>IF(Human_Data_Entry!C226="","",Human_Data_Entry!C226)</f>
        <v/>
      </c>
      <c r="D228" s="103">
        <f>IF(Human_Data_Entry!D226="","",Human_Data_Entry!D226)</f>
        <v/>
      </c>
      <c r="E228" s="103">
        <f>IF(Human_Data_Entry!G226="","",Human_Data_Entry!G226)</f>
        <v/>
      </c>
      <c r="F228" s="103">
        <f>IF(Human_Data_Entry!X226="","",Human_Data_Entry!X226)</f>
        <v/>
      </c>
      <c r="G228" s="103">
        <f>IF(Human_Data_Entry!AY226="","",Human_Data_Entry!AY226)</f>
        <v/>
      </c>
      <c r="H228" s="103">
        <f>IF(Human_Data_Entry!AZ226="","",Human_Data_Entry!AZ226)</f>
        <v/>
      </c>
      <c r="I228" s="103">
        <f>IF(Human_Data_Entry!AL226="","",Human_Data_Entry!AL226)</f>
        <v/>
      </c>
      <c r="J228" s="103">
        <f>IF(Human_Data_Entry!AM226="","",Human_Data_Entry!AM226)</f>
        <v/>
      </c>
      <c r="K228" s="103">
        <f>IF(Human_Data_Entry!AN226="","",Human_Data_Entry!AN226)</f>
        <v/>
      </c>
      <c r="L228" s="103">
        <f>IF(Human_Data_Entry!AO226="","",Human_Data_Entry!AO226)</f>
        <v/>
      </c>
      <c r="M228" s="103">
        <f>IF(Human_Data_Entry!BM226="","",Human_Data_Entry!BM226)</f>
        <v/>
      </c>
      <c r="N228" s="103">
        <f>IF(Human_Data_Entry!BN226="","",Human_Data_Entry!BN226)</f>
        <v/>
      </c>
      <c r="O228" s="103">
        <f>IF(Human_Data_Entry!BO226="","",Human_Data_Entry!BO226)</f>
        <v/>
      </c>
      <c r="P228" s="103">
        <f>IF(Human_Data_Entry!BP226="","",Human_Data_Entry!BP226)</f>
        <v/>
      </c>
      <c r="Q228" s="103">
        <f>IF(Human_Data_Entry!BQ226="","",Human_Data_Entry!BQ226)</f>
        <v/>
      </c>
      <c r="R228" s="103">
        <f>IF(Human_Data_Entry!BR226="","",Human_Data_Entry!BR226)</f>
        <v/>
      </c>
      <c r="S228" s="103">
        <f>IF(Human_Data_Entry!BS226="","",Human_Data_Entry!BS226)</f>
        <v/>
      </c>
      <c r="T228" s="103">
        <f>IF(Human_Data_Entry!BT226="","",Human_Data_Entry!BT226)</f>
        <v/>
      </c>
    </row>
    <row r="229" ht="15" customHeight="1" s="241">
      <c r="A229" s="103">
        <f>IF(Human_Data_Entry!A227="","",Human_Data_Entry!A227)</f>
        <v/>
      </c>
      <c r="B229" s="103">
        <f>IF(Human_Data_Entry!B227="","",Human_Data_Entry!B227)</f>
        <v/>
      </c>
      <c r="C229" s="104">
        <f>IF(Human_Data_Entry!C227="","",Human_Data_Entry!C227)</f>
        <v/>
      </c>
      <c r="D229" s="103">
        <f>IF(Human_Data_Entry!D227="","",Human_Data_Entry!D227)</f>
        <v/>
      </c>
      <c r="E229" s="103">
        <f>IF(Human_Data_Entry!G227="","",Human_Data_Entry!G227)</f>
        <v/>
      </c>
      <c r="F229" s="103">
        <f>IF(Human_Data_Entry!X227="","",Human_Data_Entry!X227)</f>
        <v/>
      </c>
      <c r="G229" s="103">
        <f>IF(Human_Data_Entry!AY227="","",Human_Data_Entry!AY227)</f>
        <v/>
      </c>
      <c r="H229" s="103">
        <f>IF(Human_Data_Entry!AZ227="","",Human_Data_Entry!AZ227)</f>
        <v/>
      </c>
      <c r="I229" s="103">
        <f>IF(Human_Data_Entry!AL227="","",Human_Data_Entry!AL227)</f>
        <v/>
      </c>
      <c r="J229" s="103">
        <f>IF(Human_Data_Entry!AM227="","",Human_Data_Entry!AM227)</f>
        <v/>
      </c>
      <c r="K229" s="103">
        <f>IF(Human_Data_Entry!AN227="","",Human_Data_Entry!AN227)</f>
        <v/>
      </c>
      <c r="L229" s="103">
        <f>IF(Human_Data_Entry!AO227="","",Human_Data_Entry!AO227)</f>
        <v/>
      </c>
      <c r="M229" s="103">
        <f>IF(Human_Data_Entry!BM227="","",Human_Data_Entry!BM227)</f>
        <v/>
      </c>
      <c r="N229" s="103">
        <f>IF(Human_Data_Entry!BN227="","",Human_Data_Entry!BN227)</f>
        <v/>
      </c>
      <c r="O229" s="103">
        <f>IF(Human_Data_Entry!BO227="","",Human_Data_Entry!BO227)</f>
        <v/>
      </c>
      <c r="P229" s="103">
        <f>IF(Human_Data_Entry!BP227="","",Human_Data_Entry!BP227)</f>
        <v/>
      </c>
      <c r="Q229" s="103">
        <f>IF(Human_Data_Entry!BQ227="","",Human_Data_Entry!BQ227)</f>
        <v/>
      </c>
      <c r="R229" s="103">
        <f>IF(Human_Data_Entry!BR227="","",Human_Data_Entry!BR227)</f>
        <v/>
      </c>
      <c r="S229" s="103">
        <f>IF(Human_Data_Entry!BS227="","",Human_Data_Entry!BS227)</f>
        <v/>
      </c>
      <c r="T229" s="103">
        <f>IF(Human_Data_Entry!BT227="","",Human_Data_Entry!BT227)</f>
        <v/>
      </c>
    </row>
    <row r="230" ht="15" customHeight="1" s="241">
      <c r="A230" s="103">
        <f>IF(Human_Data_Entry!A228="","",Human_Data_Entry!A228)</f>
        <v/>
      </c>
      <c r="B230" s="103">
        <f>IF(Human_Data_Entry!B228="","",Human_Data_Entry!B228)</f>
        <v/>
      </c>
      <c r="C230" s="104">
        <f>IF(Human_Data_Entry!C228="","",Human_Data_Entry!C228)</f>
        <v/>
      </c>
      <c r="D230" s="103">
        <f>IF(Human_Data_Entry!D228="","",Human_Data_Entry!D228)</f>
        <v/>
      </c>
      <c r="E230" s="103">
        <f>IF(Human_Data_Entry!G228="","",Human_Data_Entry!G228)</f>
        <v/>
      </c>
      <c r="F230" s="103">
        <f>IF(Human_Data_Entry!X228="","",Human_Data_Entry!X228)</f>
        <v/>
      </c>
      <c r="G230" s="103">
        <f>IF(Human_Data_Entry!AY228="","",Human_Data_Entry!AY228)</f>
        <v/>
      </c>
      <c r="H230" s="103">
        <f>IF(Human_Data_Entry!AZ228="","",Human_Data_Entry!AZ228)</f>
        <v/>
      </c>
      <c r="I230" s="103">
        <f>IF(Human_Data_Entry!AL228="","",Human_Data_Entry!AL228)</f>
        <v/>
      </c>
      <c r="J230" s="103">
        <f>IF(Human_Data_Entry!AM228="","",Human_Data_Entry!AM228)</f>
        <v/>
      </c>
      <c r="K230" s="103">
        <f>IF(Human_Data_Entry!AN228="","",Human_Data_Entry!AN228)</f>
        <v/>
      </c>
      <c r="L230" s="103">
        <f>IF(Human_Data_Entry!AO228="","",Human_Data_Entry!AO228)</f>
        <v/>
      </c>
      <c r="M230" s="103">
        <f>IF(Human_Data_Entry!BM228="","",Human_Data_Entry!BM228)</f>
        <v/>
      </c>
      <c r="N230" s="103">
        <f>IF(Human_Data_Entry!BN228="","",Human_Data_Entry!BN228)</f>
        <v/>
      </c>
      <c r="O230" s="103">
        <f>IF(Human_Data_Entry!BO228="","",Human_Data_Entry!BO228)</f>
        <v/>
      </c>
      <c r="P230" s="103">
        <f>IF(Human_Data_Entry!BP228="","",Human_Data_Entry!BP228)</f>
        <v/>
      </c>
      <c r="Q230" s="103">
        <f>IF(Human_Data_Entry!BQ228="","",Human_Data_Entry!BQ228)</f>
        <v/>
      </c>
      <c r="R230" s="103">
        <f>IF(Human_Data_Entry!BR228="","",Human_Data_Entry!BR228)</f>
        <v/>
      </c>
      <c r="S230" s="103">
        <f>IF(Human_Data_Entry!BS228="","",Human_Data_Entry!BS228)</f>
        <v/>
      </c>
      <c r="T230" s="103">
        <f>IF(Human_Data_Entry!BT228="","",Human_Data_Entry!BT228)</f>
        <v/>
      </c>
    </row>
    <row r="231" ht="15" customHeight="1" s="241">
      <c r="A231" s="103">
        <f>IF(Human_Data_Entry!A229="","",Human_Data_Entry!A229)</f>
        <v/>
      </c>
      <c r="B231" s="103">
        <f>IF(Human_Data_Entry!B229="","",Human_Data_Entry!B229)</f>
        <v/>
      </c>
      <c r="C231" s="104">
        <f>IF(Human_Data_Entry!C229="","",Human_Data_Entry!C229)</f>
        <v/>
      </c>
      <c r="D231" s="103">
        <f>IF(Human_Data_Entry!D229="","",Human_Data_Entry!D229)</f>
        <v/>
      </c>
      <c r="E231" s="103">
        <f>IF(Human_Data_Entry!G229="","",Human_Data_Entry!G229)</f>
        <v/>
      </c>
      <c r="F231" s="103">
        <f>IF(Human_Data_Entry!X229="","",Human_Data_Entry!X229)</f>
        <v/>
      </c>
      <c r="G231" s="103">
        <f>IF(Human_Data_Entry!AY229="","",Human_Data_Entry!AY229)</f>
        <v/>
      </c>
      <c r="H231" s="103">
        <f>IF(Human_Data_Entry!AZ229="","",Human_Data_Entry!AZ229)</f>
        <v/>
      </c>
      <c r="I231" s="103">
        <f>IF(Human_Data_Entry!AL229="","",Human_Data_Entry!AL229)</f>
        <v/>
      </c>
      <c r="J231" s="103">
        <f>IF(Human_Data_Entry!AM229="","",Human_Data_Entry!AM229)</f>
        <v/>
      </c>
      <c r="K231" s="103">
        <f>IF(Human_Data_Entry!AN229="","",Human_Data_Entry!AN229)</f>
        <v/>
      </c>
      <c r="L231" s="103">
        <f>IF(Human_Data_Entry!AO229="","",Human_Data_Entry!AO229)</f>
        <v/>
      </c>
      <c r="M231" s="103">
        <f>IF(Human_Data_Entry!BM229="","",Human_Data_Entry!BM229)</f>
        <v/>
      </c>
      <c r="N231" s="103">
        <f>IF(Human_Data_Entry!BN229="","",Human_Data_Entry!BN229)</f>
        <v/>
      </c>
      <c r="O231" s="103">
        <f>IF(Human_Data_Entry!BO229="","",Human_Data_Entry!BO229)</f>
        <v/>
      </c>
      <c r="P231" s="103">
        <f>IF(Human_Data_Entry!BP229="","",Human_Data_Entry!BP229)</f>
        <v/>
      </c>
      <c r="Q231" s="103">
        <f>IF(Human_Data_Entry!BQ229="","",Human_Data_Entry!BQ229)</f>
        <v/>
      </c>
      <c r="R231" s="103">
        <f>IF(Human_Data_Entry!BR229="","",Human_Data_Entry!BR229)</f>
        <v/>
      </c>
      <c r="S231" s="103">
        <f>IF(Human_Data_Entry!BS229="","",Human_Data_Entry!BS229)</f>
        <v/>
      </c>
      <c r="T231" s="103">
        <f>IF(Human_Data_Entry!BT229="","",Human_Data_Entry!BT229)</f>
        <v/>
      </c>
    </row>
    <row r="232" ht="15" customHeight="1" s="241">
      <c r="A232" s="103">
        <f>IF(Human_Data_Entry!A230="","",Human_Data_Entry!A230)</f>
        <v/>
      </c>
      <c r="B232" s="103">
        <f>IF(Human_Data_Entry!B230="","",Human_Data_Entry!B230)</f>
        <v/>
      </c>
      <c r="C232" s="104">
        <f>IF(Human_Data_Entry!C230="","",Human_Data_Entry!C230)</f>
        <v/>
      </c>
      <c r="D232" s="103">
        <f>IF(Human_Data_Entry!D230="","",Human_Data_Entry!D230)</f>
        <v/>
      </c>
      <c r="E232" s="103">
        <f>IF(Human_Data_Entry!G230="","",Human_Data_Entry!G230)</f>
        <v/>
      </c>
      <c r="F232" s="103">
        <f>IF(Human_Data_Entry!X230="","",Human_Data_Entry!X230)</f>
        <v/>
      </c>
      <c r="G232" s="103">
        <f>IF(Human_Data_Entry!AY230="","",Human_Data_Entry!AY230)</f>
        <v/>
      </c>
      <c r="H232" s="103">
        <f>IF(Human_Data_Entry!AZ230="","",Human_Data_Entry!AZ230)</f>
        <v/>
      </c>
      <c r="I232" s="103">
        <f>IF(Human_Data_Entry!AL230="","",Human_Data_Entry!AL230)</f>
        <v/>
      </c>
      <c r="J232" s="103">
        <f>IF(Human_Data_Entry!AM230="","",Human_Data_Entry!AM230)</f>
        <v/>
      </c>
      <c r="K232" s="103">
        <f>IF(Human_Data_Entry!AN230="","",Human_Data_Entry!AN230)</f>
        <v/>
      </c>
      <c r="L232" s="103">
        <f>IF(Human_Data_Entry!AO230="","",Human_Data_Entry!AO230)</f>
        <v/>
      </c>
      <c r="M232" s="103">
        <f>IF(Human_Data_Entry!BM230="","",Human_Data_Entry!BM230)</f>
        <v/>
      </c>
      <c r="N232" s="103">
        <f>IF(Human_Data_Entry!BN230="","",Human_Data_Entry!BN230)</f>
        <v/>
      </c>
      <c r="O232" s="103">
        <f>IF(Human_Data_Entry!BO230="","",Human_Data_Entry!BO230)</f>
        <v/>
      </c>
      <c r="P232" s="103">
        <f>IF(Human_Data_Entry!BP230="","",Human_Data_Entry!BP230)</f>
        <v/>
      </c>
      <c r="Q232" s="103">
        <f>IF(Human_Data_Entry!BQ230="","",Human_Data_Entry!BQ230)</f>
        <v/>
      </c>
      <c r="R232" s="103">
        <f>IF(Human_Data_Entry!BR230="","",Human_Data_Entry!BR230)</f>
        <v/>
      </c>
      <c r="S232" s="103">
        <f>IF(Human_Data_Entry!BS230="","",Human_Data_Entry!BS230)</f>
        <v/>
      </c>
      <c r="T232" s="103">
        <f>IF(Human_Data_Entry!BT230="","",Human_Data_Entry!BT230)</f>
        <v/>
      </c>
    </row>
    <row r="233" ht="15" customHeight="1" s="241">
      <c r="A233" s="103">
        <f>IF(Human_Data_Entry!A231="","",Human_Data_Entry!A231)</f>
        <v/>
      </c>
      <c r="B233" s="103">
        <f>IF(Human_Data_Entry!B231="","",Human_Data_Entry!B231)</f>
        <v/>
      </c>
      <c r="C233" s="104">
        <f>IF(Human_Data_Entry!C231="","",Human_Data_Entry!C231)</f>
        <v/>
      </c>
      <c r="D233" s="103">
        <f>IF(Human_Data_Entry!D231="","",Human_Data_Entry!D231)</f>
        <v/>
      </c>
      <c r="E233" s="103">
        <f>IF(Human_Data_Entry!G231="","",Human_Data_Entry!G231)</f>
        <v/>
      </c>
      <c r="F233" s="103">
        <f>IF(Human_Data_Entry!X231="","",Human_Data_Entry!X231)</f>
        <v/>
      </c>
      <c r="G233" s="103">
        <f>IF(Human_Data_Entry!AY231="","",Human_Data_Entry!AY231)</f>
        <v/>
      </c>
      <c r="H233" s="103">
        <f>IF(Human_Data_Entry!AZ231="","",Human_Data_Entry!AZ231)</f>
        <v/>
      </c>
      <c r="I233" s="103">
        <f>IF(Human_Data_Entry!AL231="","",Human_Data_Entry!AL231)</f>
        <v/>
      </c>
      <c r="J233" s="103">
        <f>IF(Human_Data_Entry!AM231="","",Human_Data_Entry!AM231)</f>
        <v/>
      </c>
      <c r="K233" s="103">
        <f>IF(Human_Data_Entry!AN231="","",Human_Data_Entry!AN231)</f>
        <v/>
      </c>
      <c r="L233" s="103">
        <f>IF(Human_Data_Entry!AO231="","",Human_Data_Entry!AO231)</f>
        <v/>
      </c>
      <c r="M233" s="103">
        <f>IF(Human_Data_Entry!BM231="","",Human_Data_Entry!BM231)</f>
        <v/>
      </c>
      <c r="N233" s="103">
        <f>IF(Human_Data_Entry!BN231="","",Human_Data_Entry!BN231)</f>
        <v/>
      </c>
      <c r="O233" s="103">
        <f>IF(Human_Data_Entry!BO231="","",Human_Data_Entry!BO231)</f>
        <v/>
      </c>
      <c r="P233" s="103">
        <f>IF(Human_Data_Entry!BP231="","",Human_Data_Entry!BP231)</f>
        <v/>
      </c>
      <c r="Q233" s="103">
        <f>IF(Human_Data_Entry!BQ231="","",Human_Data_Entry!BQ231)</f>
        <v/>
      </c>
      <c r="R233" s="103">
        <f>IF(Human_Data_Entry!BR231="","",Human_Data_Entry!BR231)</f>
        <v/>
      </c>
      <c r="S233" s="103">
        <f>IF(Human_Data_Entry!BS231="","",Human_Data_Entry!BS231)</f>
        <v/>
      </c>
      <c r="T233" s="103">
        <f>IF(Human_Data_Entry!BT231="","",Human_Data_Entry!BT231)</f>
        <v/>
      </c>
    </row>
    <row r="234" ht="15" customHeight="1" s="241">
      <c r="A234" s="103">
        <f>IF(Human_Data_Entry!A232="","",Human_Data_Entry!A232)</f>
        <v/>
      </c>
      <c r="B234" s="103">
        <f>IF(Human_Data_Entry!B232="","",Human_Data_Entry!B232)</f>
        <v/>
      </c>
      <c r="C234" s="104">
        <f>IF(Human_Data_Entry!C232="","",Human_Data_Entry!C232)</f>
        <v/>
      </c>
      <c r="D234" s="103">
        <f>IF(Human_Data_Entry!D232="","",Human_Data_Entry!D232)</f>
        <v/>
      </c>
      <c r="E234" s="103">
        <f>IF(Human_Data_Entry!G232="","",Human_Data_Entry!G232)</f>
        <v/>
      </c>
      <c r="F234" s="103">
        <f>IF(Human_Data_Entry!X232="","",Human_Data_Entry!X232)</f>
        <v/>
      </c>
      <c r="G234" s="103">
        <f>IF(Human_Data_Entry!AY232="","",Human_Data_Entry!AY232)</f>
        <v/>
      </c>
      <c r="H234" s="103">
        <f>IF(Human_Data_Entry!AZ232="","",Human_Data_Entry!AZ232)</f>
        <v/>
      </c>
      <c r="I234" s="103">
        <f>IF(Human_Data_Entry!AL232="","",Human_Data_Entry!AL232)</f>
        <v/>
      </c>
      <c r="J234" s="103">
        <f>IF(Human_Data_Entry!AM232="","",Human_Data_Entry!AM232)</f>
        <v/>
      </c>
      <c r="K234" s="103">
        <f>IF(Human_Data_Entry!AN232="","",Human_Data_Entry!AN232)</f>
        <v/>
      </c>
      <c r="L234" s="103">
        <f>IF(Human_Data_Entry!AO232="","",Human_Data_Entry!AO232)</f>
        <v/>
      </c>
      <c r="M234" s="103">
        <f>IF(Human_Data_Entry!BM232="","",Human_Data_Entry!BM232)</f>
        <v/>
      </c>
      <c r="N234" s="103">
        <f>IF(Human_Data_Entry!BN232="","",Human_Data_Entry!BN232)</f>
        <v/>
      </c>
      <c r="O234" s="103">
        <f>IF(Human_Data_Entry!BO232="","",Human_Data_Entry!BO232)</f>
        <v/>
      </c>
      <c r="P234" s="103">
        <f>IF(Human_Data_Entry!BP232="","",Human_Data_Entry!BP232)</f>
        <v/>
      </c>
      <c r="Q234" s="103">
        <f>IF(Human_Data_Entry!BQ232="","",Human_Data_Entry!BQ232)</f>
        <v/>
      </c>
      <c r="R234" s="103">
        <f>IF(Human_Data_Entry!BR232="","",Human_Data_Entry!BR232)</f>
        <v/>
      </c>
      <c r="S234" s="103">
        <f>IF(Human_Data_Entry!BS232="","",Human_Data_Entry!BS232)</f>
        <v/>
      </c>
      <c r="T234" s="103">
        <f>IF(Human_Data_Entry!BT232="","",Human_Data_Entry!BT232)</f>
        <v/>
      </c>
    </row>
    <row r="235" ht="15" customHeight="1" s="241">
      <c r="A235" s="103">
        <f>IF(Human_Data_Entry!A233="","",Human_Data_Entry!A233)</f>
        <v/>
      </c>
      <c r="B235" s="103">
        <f>IF(Human_Data_Entry!B233="","",Human_Data_Entry!B233)</f>
        <v/>
      </c>
      <c r="C235" s="104">
        <f>IF(Human_Data_Entry!C233="","",Human_Data_Entry!C233)</f>
        <v/>
      </c>
      <c r="D235" s="103">
        <f>IF(Human_Data_Entry!D233="","",Human_Data_Entry!D233)</f>
        <v/>
      </c>
      <c r="E235" s="103">
        <f>IF(Human_Data_Entry!G233="","",Human_Data_Entry!G233)</f>
        <v/>
      </c>
      <c r="F235" s="103">
        <f>IF(Human_Data_Entry!X233="","",Human_Data_Entry!X233)</f>
        <v/>
      </c>
      <c r="G235" s="103">
        <f>IF(Human_Data_Entry!AY233="","",Human_Data_Entry!AY233)</f>
        <v/>
      </c>
      <c r="H235" s="103">
        <f>IF(Human_Data_Entry!AZ233="","",Human_Data_Entry!AZ233)</f>
        <v/>
      </c>
      <c r="I235" s="103">
        <f>IF(Human_Data_Entry!AL233="","",Human_Data_Entry!AL233)</f>
        <v/>
      </c>
      <c r="J235" s="103">
        <f>IF(Human_Data_Entry!AM233="","",Human_Data_Entry!AM233)</f>
        <v/>
      </c>
      <c r="K235" s="103">
        <f>IF(Human_Data_Entry!AN233="","",Human_Data_Entry!AN233)</f>
        <v/>
      </c>
      <c r="L235" s="103">
        <f>IF(Human_Data_Entry!AO233="","",Human_Data_Entry!AO233)</f>
        <v/>
      </c>
      <c r="M235" s="103">
        <f>IF(Human_Data_Entry!BM233="","",Human_Data_Entry!BM233)</f>
        <v/>
      </c>
      <c r="N235" s="103">
        <f>IF(Human_Data_Entry!BN233="","",Human_Data_Entry!BN233)</f>
        <v/>
      </c>
      <c r="O235" s="103">
        <f>IF(Human_Data_Entry!BO233="","",Human_Data_Entry!BO233)</f>
        <v/>
      </c>
      <c r="P235" s="103">
        <f>IF(Human_Data_Entry!BP233="","",Human_Data_Entry!BP233)</f>
        <v/>
      </c>
      <c r="Q235" s="103">
        <f>IF(Human_Data_Entry!BQ233="","",Human_Data_Entry!BQ233)</f>
        <v/>
      </c>
      <c r="R235" s="103">
        <f>IF(Human_Data_Entry!BR233="","",Human_Data_Entry!BR233)</f>
        <v/>
      </c>
      <c r="S235" s="103">
        <f>IF(Human_Data_Entry!BS233="","",Human_Data_Entry!BS233)</f>
        <v/>
      </c>
      <c r="T235" s="103">
        <f>IF(Human_Data_Entry!BT233="","",Human_Data_Entry!BT233)</f>
        <v/>
      </c>
    </row>
    <row r="236" ht="15" customHeight="1" s="241">
      <c r="A236" s="103">
        <f>IF(Human_Data_Entry!A234="","",Human_Data_Entry!A234)</f>
        <v/>
      </c>
      <c r="B236" s="103">
        <f>IF(Human_Data_Entry!B234="","",Human_Data_Entry!B234)</f>
        <v/>
      </c>
      <c r="C236" s="104">
        <f>IF(Human_Data_Entry!C234="","",Human_Data_Entry!C234)</f>
        <v/>
      </c>
      <c r="D236" s="103">
        <f>IF(Human_Data_Entry!D234="","",Human_Data_Entry!D234)</f>
        <v/>
      </c>
      <c r="E236" s="103">
        <f>IF(Human_Data_Entry!G234="","",Human_Data_Entry!G234)</f>
        <v/>
      </c>
      <c r="F236" s="103">
        <f>IF(Human_Data_Entry!X234="","",Human_Data_Entry!X234)</f>
        <v/>
      </c>
      <c r="G236" s="103">
        <f>IF(Human_Data_Entry!AY234="","",Human_Data_Entry!AY234)</f>
        <v/>
      </c>
      <c r="H236" s="103">
        <f>IF(Human_Data_Entry!AZ234="","",Human_Data_Entry!AZ234)</f>
        <v/>
      </c>
      <c r="I236" s="103">
        <f>IF(Human_Data_Entry!AL234="","",Human_Data_Entry!AL234)</f>
        <v/>
      </c>
      <c r="J236" s="103">
        <f>IF(Human_Data_Entry!AM234="","",Human_Data_Entry!AM234)</f>
        <v/>
      </c>
      <c r="K236" s="103">
        <f>IF(Human_Data_Entry!AN234="","",Human_Data_Entry!AN234)</f>
        <v/>
      </c>
      <c r="L236" s="103">
        <f>IF(Human_Data_Entry!AO234="","",Human_Data_Entry!AO234)</f>
        <v/>
      </c>
      <c r="M236" s="103">
        <f>IF(Human_Data_Entry!BM234="","",Human_Data_Entry!BM234)</f>
        <v/>
      </c>
      <c r="N236" s="103">
        <f>IF(Human_Data_Entry!BN234="","",Human_Data_Entry!BN234)</f>
        <v/>
      </c>
      <c r="O236" s="103">
        <f>IF(Human_Data_Entry!BO234="","",Human_Data_Entry!BO234)</f>
        <v/>
      </c>
      <c r="P236" s="103">
        <f>IF(Human_Data_Entry!BP234="","",Human_Data_Entry!BP234)</f>
        <v/>
      </c>
      <c r="Q236" s="103">
        <f>IF(Human_Data_Entry!BQ234="","",Human_Data_Entry!BQ234)</f>
        <v/>
      </c>
      <c r="R236" s="103">
        <f>IF(Human_Data_Entry!BR234="","",Human_Data_Entry!BR234)</f>
        <v/>
      </c>
      <c r="S236" s="103">
        <f>IF(Human_Data_Entry!BS234="","",Human_Data_Entry!BS234)</f>
        <v/>
      </c>
      <c r="T236" s="103">
        <f>IF(Human_Data_Entry!BT234="","",Human_Data_Entry!BT234)</f>
        <v/>
      </c>
    </row>
    <row r="237" ht="15" customHeight="1" s="241">
      <c r="A237" s="103">
        <f>IF(Human_Data_Entry!A235="","",Human_Data_Entry!A235)</f>
        <v/>
      </c>
      <c r="B237" s="103">
        <f>IF(Human_Data_Entry!B235="","",Human_Data_Entry!B235)</f>
        <v/>
      </c>
      <c r="C237" s="104">
        <f>IF(Human_Data_Entry!C235="","",Human_Data_Entry!C235)</f>
        <v/>
      </c>
      <c r="D237" s="103">
        <f>IF(Human_Data_Entry!D235="","",Human_Data_Entry!D235)</f>
        <v/>
      </c>
      <c r="E237" s="103">
        <f>IF(Human_Data_Entry!G235="","",Human_Data_Entry!G235)</f>
        <v/>
      </c>
      <c r="F237" s="103">
        <f>IF(Human_Data_Entry!X235="","",Human_Data_Entry!X235)</f>
        <v/>
      </c>
      <c r="G237" s="103">
        <f>IF(Human_Data_Entry!AY235="","",Human_Data_Entry!AY235)</f>
        <v/>
      </c>
      <c r="H237" s="103">
        <f>IF(Human_Data_Entry!AZ235="","",Human_Data_Entry!AZ235)</f>
        <v/>
      </c>
      <c r="I237" s="103">
        <f>IF(Human_Data_Entry!AL235="","",Human_Data_Entry!AL235)</f>
        <v/>
      </c>
      <c r="J237" s="103">
        <f>IF(Human_Data_Entry!AM235="","",Human_Data_Entry!AM235)</f>
        <v/>
      </c>
      <c r="K237" s="103">
        <f>IF(Human_Data_Entry!AN235="","",Human_Data_Entry!AN235)</f>
        <v/>
      </c>
      <c r="L237" s="103">
        <f>IF(Human_Data_Entry!AO235="","",Human_Data_Entry!AO235)</f>
        <v/>
      </c>
      <c r="M237" s="103">
        <f>IF(Human_Data_Entry!BM235="","",Human_Data_Entry!BM235)</f>
        <v/>
      </c>
      <c r="N237" s="103">
        <f>IF(Human_Data_Entry!BN235="","",Human_Data_Entry!BN235)</f>
        <v/>
      </c>
      <c r="O237" s="103">
        <f>IF(Human_Data_Entry!BO235="","",Human_Data_Entry!BO235)</f>
        <v/>
      </c>
      <c r="P237" s="103">
        <f>IF(Human_Data_Entry!BP235="","",Human_Data_Entry!BP235)</f>
        <v/>
      </c>
      <c r="Q237" s="103">
        <f>IF(Human_Data_Entry!BQ235="","",Human_Data_Entry!BQ235)</f>
        <v/>
      </c>
      <c r="R237" s="103">
        <f>IF(Human_Data_Entry!BR235="","",Human_Data_Entry!BR235)</f>
        <v/>
      </c>
      <c r="S237" s="103">
        <f>IF(Human_Data_Entry!BS235="","",Human_Data_Entry!BS235)</f>
        <v/>
      </c>
      <c r="T237" s="103">
        <f>IF(Human_Data_Entry!BT235="","",Human_Data_Entry!BT235)</f>
        <v/>
      </c>
    </row>
    <row r="238" ht="15" customHeight="1" s="241">
      <c r="A238" s="103">
        <f>IF(Human_Data_Entry!A236="","",Human_Data_Entry!A236)</f>
        <v/>
      </c>
      <c r="B238" s="103">
        <f>IF(Human_Data_Entry!B236="","",Human_Data_Entry!B236)</f>
        <v/>
      </c>
      <c r="C238" s="104">
        <f>IF(Human_Data_Entry!C236="","",Human_Data_Entry!C236)</f>
        <v/>
      </c>
      <c r="D238" s="103">
        <f>IF(Human_Data_Entry!D236="","",Human_Data_Entry!D236)</f>
        <v/>
      </c>
      <c r="E238" s="103">
        <f>IF(Human_Data_Entry!G236="","",Human_Data_Entry!G236)</f>
        <v/>
      </c>
      <c r="F238" s="103">
        <f>IF(Human_Data_Entry!X236="","",Human_Data_Entry!X236)</f>
        <v/>
      </c>
      <c r="G238" s="103">
        <f>IF(Human_Data_Entry!AY236="","",Human_Data_Entry!AY236)</f>
        <v/>
      </c>
      <c r="H238" s="103">
        <f>IF(Human_Data_Entry!AZ236="","",Human_Data_Entry!AZ236)</f>
        <v/>
      </c>
      <c r="I238" s="103">
        <f>IF(Human_Data_Entry!AL236="","",Human_Data_Entry!AL236)</f>
        <v/>
      </c>
      <c r="J238" s="103">
        <f>IF(Human_Data_Entry!AM236="","",Human_Data_Entry!AM236)</f>
        <v/>
      </c>
      <c r="K238" s="103">
        <f>IF(Human_Data_Entry!AN236="","",Human_Data_Entry!AN236)</f>
        <v/>
      </c>
      <c r="L238" s="103">
        <f>IF(Human_Data_Entry!AO236="","",Human_Data_Entry!AO236)</f>
        <v/>
      </c>
      <c r="M238" s="103">
        <f>IF(Human_Data_Entry!BM236="","",Human_Data_Entry!BM236)</f>
        <v/>
      </c>
      <c r="N238" s="103">
        <f>IF(Human_Data_Entry!BN236="","",Human_Data_Entry!BN236)</f>
        <v/>
      </c>
      <c r="O238" s="103">
        <f>IF(Human_Data_Entry!BO236="","",Human_Data_Entry!BO236)</f>
        <v/>
      </c>
      <c r="P238" s="103">
        <f>IF(Human_Data_Entry!BP236="","",Human_Data_Entry!BP236)</f>
        <v/>
      </c>
      <c r="Q238" s="103">
        <f>IF(Human_Data_Entry!BQ236="","",Human_Data_Entry!BQ236)</f>
        <v/>
      </c>
      <c r="R238" s="103">
        <f>IF(Human_Data_Entry!BR236="","",Human_Data_Entry!BR236)</f>
        <v/>
      </c>
      <c r="S238" s="103">
        <f>IF(Human_Data_Entry!BS236="","",Human_Data_Entry!BS236)</f>
        <v/>
      </c>
      <c r="T238" s="103">
        <f>IF(Human_Data_Entry!BT236="","",Human_Data_Entry!BT236)</f>
        <v/>
      </c>
    </row>
    <row r="239" ht="15" customHeight="1" s="241">
      <c r="A239" s="103">
        <f>IF(Human_Data_Entry!A237="","",Human_Data_Entry!A237)</f>
        <v/>
      </c>
      <c r="B239" s="103">
        <f>IF(Human_Data_Entry!B237="","",Human_Data_Entry!B237)</f>
        <v/>
      </c>
      <c r="C239" s="104">
        <f>IF(Human_Data_Entry!C237="","",Human_Data_Entry!C237)</f>
        <v/>
      </c>
      <c r="D239" s="103">
        <f>IF(Human_Data_Entry!D237="","",Human_Data_Entry!D237)</f>
        <v/>
      </c>
      <c r="E239" s="103">
        <f>IF(Human_Data_Entry!G237="","",Human_Data_Entry!G237)</f>
        <v/>
      </c>
      <c r="F239" s="103">
        <f>IF(Human_Data_Entry!X237="","",Human_Data_Entry!X237)</f>
        <v/>
      </c>
      <c r="G239" s="103">
        <f>IF(Human_Data_Entry!AY237="","",Human_Data_Entry!AY237)</f>
        <v/>
      </c>
      <c r="H239" s="103">
        <f>IF(Human_Data_Entry!AZ237="","",Human_Data_Entry!AZ237)</f>
        <v/>
      </c>
      <c r="I239" s="103">
        <f>IF(Human_Data_Entry!AL237="","",Human_Data_Entry!AL237)</f>
        <v/>
      </c>
      <c r="J239" s="103">
        <f>IF(Human_Data_Entry!AM237="","",Human_Data_Entry!AM237)</f>
        <v/>
      </c>
      <c r="K239" s="103">
        <f>IF(Human_Data_Entry!AN237="","",Human_Data_Entry!AN237)</f>
        <v/>
      </c>
      <c r="L239" s="103">
        <f>IF(Human_Data_Entry!AO237="","",Human_Data_Entry!AO237)</f>
        <v/>
      </c>
      <c r="M239" s="103">
        <f>IF(Human_Data_Entry!BM237="","",Human_Data_Entry!BM237)</f>
        <v/>
      </c>
      <c r="N239" s="103">
        <f>IF(Human_Data_Entry!BN237="","",Human_Data_Entry!BN237)</f>
        <v/>
      </c>
      <c r="O239" s="103">
        <f>IF(Human_Data_Entry!BO237="","",Human_Data_Entry!BO237)</f>
        <v/>
      </c>
      <c r="P239" s="103">
        <f>IF(Human_Data_Entry!BP237="","",Human_Data_Entry!BP237)</f>
        <v/>
      </c>
      <c r="Q239" s="103">
        <f>IF(Human_Data_Entry!BQ237="","",Human_Data_Entry!BQ237)</f>
        <v/>
      </c>
      <c r="R239" s="103">
        <f>IF(Human_Data_Entry!BR237="","",Human_Data_Entry!BR237)</f>
        <v/>
      </c>
      <c r="S239" s="103">
        <f>IF(Human_Data_Entry!BS237="","",Human_Data_Entry!BS237)</f>
        <v/>
      </c>
      <c r="T239" s="103">
        <f>IF(Human_Data_Entry!BT237="","",Human_Data_Entry!BT237)</f>
        <v/>
      </c>
    </row>
    <row r="240" ht="15" customHeight="1" s="241">
      <c r="A240" s="103">
        <f>IF(Human_Data_Entry!A238="","",Human_Data_Entry!A238)</f>
        <v/>
      </c>
      <c r="B240" s="103">
        <f>IF(Human_Data_Entry!B238="","",Human_Data_Entry!B238)</f>
        <v/>
      </c>
      <c r="C240" s="104">
        <f>IF(Human_Data_Entry!C238="","",Human_Data_Entry!C238)</f>
        <v/>
      </c>
      <c r="D240" s="103">
        <f>IF(Human_Data_Entry!D238="","",Human_Data_Entry!D238)</f>
        <v/>
      </c>
      <c r="E240" s="103">
        <f>IF(Human_Data_Entry!G238="","",Human_Data_Entry!G238)</f>
        <v/>
      </c>
      <c r="F240" s="103">
        <f>IF(Human_Data_Entry!X238="","",Human_Data_Entry!X238)</f>
        <v/>
      </c>
      <c r="G240" s="103">
        <f>IF(Human_Data_Entry!AY238="","",Human_Data_Entry!AY238)</f>
        <v/>
      </c>
      <c r="H240" s="103">
        <f>IF(Human_Data_Entry!AZ238="","",Human_Data_Entry!AZ238)</f>
        <v/>
      </c>
      <c r="I240" s="103">
        <f>IF(Human_Data_Entry!AL238="","",Human_Data_Entry!AL238)</f>
        <v/>
      </c>
      <c r="J240" s="103">
        <f>IF(Human_Data_Entry!AM238="","",Human_Data_Entry!AM238)</f>
        <v/>
      </c>
      <c r="K240" s="103">
        <f>IF(Human_Data_Entry!AN238="","",Human_Data_Entry!AN238)</f>
        <v/>
      </c>
      <c r="L240" s="103">
        <f>IF(Human_Data_Entry!AO238="","",Human_Data_Entry!AO238)</f>
        <v/>
      </c>
      <c r="M240" s="103">
        <f>IF(Human_Data_Entry!BM238="","",Human_Data_Entry!BM238)</f>
        <v/>
      </c>
      <c r="N240" s="103">
        <f>IF(Human_Data_Entry!BN238="","",Human_Data_Entry!BN238)</f>
        <v/>
      </c>
      <c r="O240" s="103">
        <f>IF(Human_Data_Entry!BO238="","",Human_Data_Entry!BO238)</f>
        <v/>
      </c>
      <c r="P240" s="103">
        <f>IF(Human_Data_Entry!BP238="","",Human_Data_Entry!BP238)</f>
        <v/>
      </c>
      <c r="Q240" s="103">
        <f>IF(Human_Data_Entry!BQ238="","",Human_Data_Entry!BQ238)</f>
        <v/>
      </c>
      <c r="R240" s="103">
        <f>IF(Human_Data_Entry!BR238="","",Human_Data_Entry!BR238)</f>
        <v/>
      </c>
      <c r="S240" s="103">
        <f>IF(Human_Data_Entry!BS238="","",Human_Data_Entry!BS238)</f>
        <v/>
      </c>
      <c r="T240" s="103">
        <f>IF(Human_Data_Entry!BT238="","",Human_Data_Entry!BT238)</f>
        <v/>
      </c>
    </row>
    <row r="241" ht="15" customHeight="1" s="241">
      <c r="A241" s="103">
        <f>IF(Human_Data_Entry!A239="","",Human_Data_Entry!A239)</f>
        <v/>
      </c>
      <c r="B241" s="103">
        <f>IF(Human_Data_Entry!B239="","",Human_Data_Entry!B239)</f>
        <v/>
      </c>
      <c r="C241" s="104">
        <f>IF(Human_Data_Entry!C239="","",Human_Data_Entry!C239)</f>
        <v/>
      </c>
      <c r="D241" s="103">
        <f>IF(Human_Data_Entry!D239="","",Human_Data_Entry!D239)</f>
        <v/>
      </c>
      <c r="E241" s="103">
        <f>IF(Human_Data_Entry!G239="","",Human_Data_Entry!G239)</f>
        <v/>
      </c>
      <c r="F241" s="103">
        <f>IF(Human_Data_Entry!X239="","",Human_Data_Entry!X239)</f>
        <v/>
      </c>
      <c r="G241" s="103">
        <f>IF(Human_Data_Entry!AY239="","",Human_Data_Entry!AY239)</f>
        <v/>
      </c>
      <c r="H241" s="103">
        <f>IF(Human_Data_Entry!AZ239="","",Human_Data_Entry!AZ239)</f>
        <v/>
      </c>
      <c r="I241" s="103">
        <f>IF(Human_Data_Entry!AL239="","",Human_Data_Entry!AL239)</f>
        <v/>
      </c>
      <c r="J241" s="103">
        <f>IF(Human_Data_Entry!AM239="","",Human_Data_Entry!AM239)</f>
        <v/>
      </c>
      <c r="K241" s="103">
        <f>IF(Human_Data_Entry!AN239="","",Human_Data_Entry!AN239)</f>
        <v/>
      </c>
      <c r="L241" s="103">
        <f>IF(Human_Data_Entry!AO239="","",Human_Data_Entry!AO239)</f>
        <v/>
      </c>
      <c r="M241" s="103">
        <f>IF(Human_Data_Entry!BM239="","",Human_Data_Entry!BM239)</f>
        <v/>
      </c>
      <c r="N241" s="103">
        <f>IF(Human_Data_Entry!BN239="","",Human_Data_Entry!BN239)</f>
        <v/>
      </c>
      <c r="O241" s="103">
        <f>IF(Human_Data_Entry!BO239="","",Human_Data_Entry!BO239)</f>
        <v/>
      </c>
      <c r="P241" s="103">
        <f>IF(Human_Data_Entry!BP239="","",Human_Data_Entry!BP239)</f>
        <v/>
      </c>
      <c r="Q241" s="103">
        <f>IF(Human_Data_Entry!BQ239="","",Human_Data_Entry!BQ239)</f>
        <v/>
      </c>
      <c r="R241" s="103">
        <f>IF(Human_Data_Entry!BR239="","",Human_Data_Entry!BR239)</f>
        <v/>
      </c>
      <c r="S241" s="103">
        <f>IF(Human_Data_Entry!BS239="","",Human_Data_Entry!BS239)</f>
        <v/>
      </c>
      <c r="T241" s="103">
        <f>IF(Human_Data_Entry!BT239="","",Human_Data_Entry!BT239)</f>
        <v/>
      </c>
    </row>
    <row r="242" ht="15" customHeight="1" s="241">
      <c r="A242" s="103">
        <f>IF(Human_Data_Entry!A240="","",Human_Data_Entry!A240)</f>
        <v/>
      </c>
      <c r="B242" s="103">
        <f>IF(Human_Data_Entry!B240="","",Human_Data_Entry!B240)</f>
        <v/>
      </c>
      <c r="C242" s="104">
        <f>IF(Human_Data_Entry!C240="","",Human_Data_Entry!C240)</f>
        <v/>
      </c>
      <c r="D242" s="103">
        <f>IF(Human_Data_Entry!D240="","",Human_Data_Entry!D240)</f>
        <v/>
      </c>
      <c r="E242" s="103">
        <f>IF(Human_Data_Entry!G240="","",Human_Data_Entry!G240)</f>
        <v/>
      </c>
      <c r="F242" s="103">
        <f>IF(Human_Data_Entry!X240="","",Human_Data_Entry!X240)</f>
        <v/>
      </c>
      <c r="G242" s="103">
        <f>IF(Human_Data_Entry!AY240="","",Human_Data_Entry!AY240)</f>
        <v/>
      </c>
      <c r="H242" s="103">
        <f>IF(Human_Data_Entry!AZ240="","",Human_Data_Entry!AZ240)</f>
        <v/>
      </c>
      <c r="I242" s="103">
        <f>IF(Human_Data_Entry!AL240="","",Human_Data_Entry!AL240)</f>
        <v/>
      </c>
      <c r="J242" s="103">
        <f>IF(Human_Data_Entry!AM240="","",Human_Data_Entry!AM240)</f>
        <v/>
      </c>
      <c r="K242" s="103">
        <f>IF(Human_Data_Entry!AN240="","",Human_Data_Entry!AN240)</f>
        <v/>
      </c>
      <c r="L242" s="103">
        <f>IF(Human_Data_Entry!AO240="","",Human_Data_Entry!AO240)</f>
        <v/>
      </c>
      <c r="M242" s="103">
        <f>IF(Human_Data_Entry!BM240="","",Human_Data_Entry!BM240)</f>
        <v/>
      </c>
      <c r="N242" s="103">
        <f>IF(Human_Data_Entry!BN240="","",Human_Data_Entry!BN240)</f>
        <v/>
      </c>
      <c r="O242" s="103">
        <f>IF(Human_Data_Entry!BO240="","",Human_Data_Entry!BO240)</f>
        <v/>
      </c>
      <c r="P242" s="103">
        <f>IF(Human_Data_Entry!BP240="","",Human_Data_Entry!BP240)</f>
        <v/>
      </c>
      <c r="Q242" s="103">
        <f>IF(Human_Data_Entry!BQ240="","",Human_Data_Entry!BQ240)</f>
        <v/>
      </c>
      <c r="R242" s="103">
        <f>IF(Human_Data_Entry!BR240="","",Human_Data_Entry!BR240)</f>
        <v/>
      </c>
      <c r="S242" s="103">
        <f>IF(Human_Data_Entry!BS240="","",Human_Data_Entry!BS240)</f>
        <v/>
      </c>
      <c r="T242" s="103">
        <f>IF(Human_Data_Entry!BT240="","",Human_Data_Entry!BT240)</f>
        <v/>
      </c>
    </row>
    <row r="243" ht="15" customHeight="1" s="241">
      <c r="A243" s="103">
        <f>IF(Human_Data_Entry!A241="","",Human_Data_Entry!A241)</f>
        <v/>
      </c>
      <c r="B243" s="103">
        <f>IF(Human_Data_Entry!B241="","",Human_Data_Entry!B241)</f>
        <v/>
      </c>
      <c r="C243" s="104">
        <f>IF(Human_Data_Entry!C241="","",Human_Data_Entry!C241)</f>
        <v/>
      </c>
      <c r="D243" s="103">
        <f>IF(Human_Data_Entry!D241="","",Human_Data_Entry!D241)</f>
        <v/>
      </c>
      <c r="E243" s="103">
        <f>IF(Human_Data_Entry!G241="","",Human_Data_Entry!G241)</f>
        <v/>
      </c>
      <c r="F243" s="103">
        <f>IF(Human_Data_Entry!X241="","",Human_Data_Entry!X241)</f>
        <v/>
      </c>
      <c r="G243" s="103">
        <f>IF(Human_Data_Entry!AY241="","",Human_Data_Entry!AY241)</f>
        <v/>
      </c>
      <c r="H243" s="103">
        <f>IF(Human_Data_Entry!AZ241="","",Human_Data_Entry!AZ241)</f>
        <v/>
      </c>
      <c r="I243" s="103">
        <f>IF(Human_Data_Entry!AL241="","",Human_Data_Entry!AL241)</f>
        <v/>
      </c>
      <c r="J243" s="103">
        <f>IF(Human_Data_Entry!AM241="","",Human_Data_Entry!AM241)</f>
        <v/>
      </c>
      <c r="K243" s="103">
        <f>IF(Human_Data_Entry!AN241="","",Human_Data_Entry!AN241)</f>
        <v/>
      </c>
      <c r="L243" s="103">
        <f>IF(Human_Data_Entry!AO241="","",Human_Data_Entry!AO241)</f>
        <v/>
      </c>
      <c r="M243" s="103">
        <f>IF(Human_Data_Entry!BM241="","",Human_Data_Entry!BM241)</f>
        <v/>
      </c>
      <c r="N243" s="103">
        <f>IF(Human_Data_Entry!BN241="","",Human_Data_Entry!BN241)</f>
        <v/>
      </c>
      <c r="O243" s="103">
        <f>IF(Human_Data_Entry!BO241="","",Human_Data_Entry!BO241)</f>
        <v/>
      </c>
      <c r="P243" s="103">
        <f>IF(Human_Data_Entry!BP241="","",Human_Data_Entry!BP241)</f>
        <v/>
      </c>
      <c r="Q243" s="103">
        <f>IF(Human_Data_Entry!BQ241="","",Human_Data_Entry!BQ241)</f>
        <v/>
      </c>
      <c r="R243" s="103">
        <f>IF(Human_Data_Entry!BR241="","",Human_Data_Entry!BR241)</f>
        <v/>
      </c>
      <c r="S243" s="103">
        <f>IF(Human_Data_Entry!BS241="","",Human_Data_Entry!BS241)</f>
        <v/>
      </c>
      <c r="T243" s="103">
        <f>IF(Human_Data_Entry!BT241="","",Human_Data_Entry!BT241)</f>
        <v/>
      </c>
    </row>
    <row r="244" ht="15" customHeight="1" s="241">
      <c r="A244" s="103">
        <f>IF(Human_Data_Entry!A242="","",Human_Data_Entry!A242)</f>
        <v/>
      </c>
      <c r="B244" s="103">
        <f>IF(Human_Data_Entry!B242="","",Human_Data_Entry!B242)</f>
        <v/>
      </c>
      <c r="C244" s="104">
        <f>IF(Human_Data_Entry!C242="","",Human_Data_Entry!C242)</f>
        <v/>
      </c>
      <c r="D244" s="103">
        <f>IF(Human_Data_Entry!D242="","",Human_Data_Entry!D242)</f>
        <v/>
      </c>
      <c r="E244" s="103">
        <f>IF(Human_Data_Entry!G242="","",Human_Data_Entry!G242)</f>
        <v/>
      </c>
      <c r="F244" s="103">
        <f>IF(Human_Data_Entry!X242="","",Human_Data_Entry!X242)</f>
        <v/>
      </c>
      <c r="G244" s="103">
        <f>IF(Human_Data_Entry!AY242="","",Human_Data_Entry!AY242)</f>
        <v/>
      </c>
      <c r="H244" s="103">
        <f>IF(Human_Data_Entry!AZ242="","",Human_Data_Entry!AZ242)</f>
        <v/>
      </c>
      <c r="I244" s="103">
        <f>IF(Human_Data_Entry!AL242="","",Human_Data_Entry!AL242)</f>
        <v/>
      </c>
      <c r="J244" s="103">
        <f>IF(Human_Data_Entry!AM242="","",Human_Data_Entry!AM242)</f>
        <v/>
      </c>
      <c r="K244" s="103">
        <f>IF(Human_Data_Entry!AN242="","",Human_Data_Entry!AN242)</f>
        <v/>
      </c>
      <c r="L244" s="103">
        <f>IF(Human_Data_Entry!AO242="","",Human_Data_Entry!AO242)</f>
        <v/>
      </c>
      <c r="M244" s="103">
        <f>IF(Human_Data_Entry!BM242="","",Human_Data_Entry!BM242)</f>
        <v/>
      </c>
      <c r="N244" s="103">
        <f>IF(Human_Data_Entry!BN242="","",Human_Data_Entry!BN242)</f>
        <v/>
      </c>
      <c r="O244" s="103">
        <f>IF(Human_Data_Entry!BO242="","",Human_Data_Entry!BO242)</f>
        <v/>
      </c>
      <c r="P244" s="103">
        <f>IF(Human_Data_Entry!BP242="","",Human_Data_Entry!BP242)</f>
        <v/>
      </c>
      <c r="Q244" s="103">
        <f>IF(Human_Data_Entry!BQ242="","",Human_Data_Entry!BQ242)</f>
        <v/>
      </c>
      <c r="R244" s="103">
        <f>IF(Human_Data_Entry!BR242="","",Human_Data_Entry!BR242)</f>
        <v/>
      </c>
      <c r="S244" s="103">
        <f>IF(Human_Data_Entry!BS242="","",Human_Data_Entry!BS242)</f>
        <v/>
      </c>
      <c r="T244" s="103">
        <f>IF(Human_Data_Entry!BT242="","",Human_Data_Entry!BT242)</f>
        <v/>
      </c>
    </row>
    <row r="245" ht="15" customHeight="1" s="241">
      <c r="A245" s="103">
        <f>IF(Human_Data_Entry!A243="","",Human_Data_Entry!A243)</f>
        <v/>
      </c>
      <c r="B245" s="103">
        <f>IF(Human_Data_Entry!B243="","",Human_Data_Entry!B243)</f>
        <v/>
      </c>
      <c r="C245" s="104">
        <f>IF(Human_Data_Entry!C243="","",Human_Data_Entry!C243)</f>
        <v/>
      </c>
      <c r="D245" s="103">
        <f>IF(Human_Data_Entry!D243="","",Human_Data_Entry!D243)</f>
        <v/>
      </c>
      <c r="E245" s="103">
        <f>IF(Human_Data_Entry!G243="","",Human_Data_Entry!G243)</f>
        <v/>
      </c>
      <c r="F245" s="103">
        <f>IF(Human_Data_Entry!X243="","",Human_Data_Entry!X243)</f>
        <v/>
      </c>
      <c r="G245" s="103">
        <f>IF(Human_Data_Entry!AY243="","",Human_Data_Entry!AY243)</f>
        <v/>
      </c>
      <c r="H245" s="103">
        <f>IF(Human_Data_Entry!AZ243="","",Human_Data_Entry!AZ243)</f>
        <v/>
      </c>
      <c r="I245" s="103">
        <f>IF(Human_Data_Entry!AL243="","",Human_Data_Entry!AL243)</f>
        <v/>
      </c>
      <c r="J245" s="103">
        <f>IF(Human_Data_Entry!AM243="","",Human_Data_Entry!AM243)</f>
        <v/>
      </c>
      <c r="K245" s="103">
        <f>IF(Human_Data_Entry!AN243="","",Human_Data_Entry!AN243)</f>
        <v/>
      </c>
      <c r="L245" s="103">
        <f>IF(Human_Data_Entry!AO243="","",Human_Data_Entry!AO243)</f>
        <v/>
      </c>
      <c r="M245" s="103">
        <f>IF(Human_Data_Entry!BM243="","",Human_Data_Entry!BM243)</f>
        <v/>
      </c>
      <c r="N245" s="103">
        <f>IF(Human_Data_Entry!BN243="","",Human_Data_Entry!BN243)</f>
        <v/>
      </c>
      <c r="O245" s="103">
        <f>IF(Human_Data_Entry!BO243="","",Human_Data_Entry!BO243)</f>
        <v/>
      </c>
      <c r="P245" s="103">
        <f>IF(Human_Data_Entry!BP243="","",Human_Data_Entry!BP243)</f>
        <v/>
      </c>
      <c r="Q245" s="103">
        <f>IF(Human_Data_Entry!BQ243="","",Human_Data_Entry!BQ243)</f>
        <v/>
      </c>
      <c r="R245" s="103">
        <f>IF(Human_Data_Entry!BR243="","",Human_Data_Entry!BR243)</f>
        <v/>
      </c>
      <c r="S245" s="103">
        <f>IF(Human_Data_Entry!BS243="","",Human_Data_Entry!BS243)</f>
        <v/>
      </c>
      <c r="T245" s="103">
        <f>IF(Human_Data_Entry!BT243="","",Human_Data_Entry!BT243)</f>
        <v/>
      </c>
    </row>
    <row r="246" ht="15" customHeight="1" s="241">
      <c r="A246" s="103">
        <f>IF(Human_Data_Entry!A244="","",Human_Data_Entry!A244)</f>
        <v/>
      </c>
      <c r="B246" s="103">
        <f>IF(Human_Data_Entry!B244="","",Human_Data_Entry!B244)</f>
        <v/>
      </c>
      <c r="C246" s="104">
        <f>IF(Human_Data_Entry!C244="","",Human_Data_Entry!C244)</f>
        <v/>
      </c>
      <c r="D246" s="103">
        <f>IF(Human_Data_Entry!D244="","",Human_Data_Entry!D244)</f>
        <v/>
      </c>
      <c r="E246" s="103">
        <f>IF(Human_Data_Entry!G244="","",Human_Data_Entry!G244)</f>
        <v/>
      </c>
      <c r="F246" s="103">
        <f>IF(Human_Data_Entry!X244="","",Human_Data_Entry!X244)</f>
        <v/>
      </c>
      <c r="G246" s="103">
        <f>IF(Human_Data_Entry!AY244="","",Human_Data_Entry!AY244)</f>
        <v/>
      </c>
      <c r="H246" s="103">
        <f>IF(Human_Data_Entry!AZ244="","",Human_Data_Entry!AZ244)</f>
        <v/>
      </c>
      <c r="I246" s="103">
        <f>IF(Human_Data_Entry!AL244="","",Human_Data_Entry!AL244)</f>
        <v/>
      </c>
      <c r="J246" s="103">
        <f>IF(Human_Data_Entry!AM244="","",Human_Data_Entry!AM244)</f>
        <v/>
      </c>
      <c r="K246" s="103">
        <f>IF(Human_Data_Entry!AN244="","",Human_Data_Entry!AN244)</f>
        <v/>
      </c>
      <c r="L246" s="103">
        <f>IF(Human_Data_Entry!AO244="","",Human_Data_Entry!AO244)</f>
        <v/>
      </c>
      <c r="M246" s="103">
        <f>IF(Human_Data_Entry!BM244="","",Human_Data_Entry!BM244)</f>
        <v/>
      </c>
      <c r="N246" s="103">
        <f>IF(Human_Data_Entry!BN244="","",Human_Data_Entry!BN244)</f>
        <v/>
      </c>
      <c r="O246" s="103">
        <f>IF(Human_Data_Entry!BO244="","",Human_Data_Entry!BO244)</f>
        <v/>
      </c>
      <c r="P246" s="103">
        <f>IF(Human_Data_Entry!BP244="","",Human_Data_Entry!BP244)</f>
        <v/>
      </c>
      <c r="Q246" s="103">
        <f>IF(Human_Data_Entry!BQ244="","",Human_Data_Entry!BQ244)</f>
        <v/>
      </c>
      <c r="R246" s="103">
        <f>IF(Human_Data_Entry!BR244="","",Human_Data_Entry!BR244)</f>
        <v/>
      </c>
      <c r="S246" s="103">
        <f>IF(Human_Data_Entry!BS244="","",Human_Data_Entry!BS244)</f>
        <v/>
      </c>
      <c r="T246" s="103">
        <f>IF(Human_Data_Entry!BT244="","",Human_Data_Entry!BT244)</f>
        <v/>
      </c>
    </row>
    <row r="247" ht="15" customHeight="1" s="241">
      <c r="A247" s="103">
        <f>IF(Human_Data_Entry!A245="","",Human_Data_Entry!A245)</f>
        <v/>
      </c>
      <c r="B247" s="103">
        <f>IF(Human_Data_Entry!B245="","",Human_Data_Entry!B245)</f>
        <v/>
      </c>
      <c r="C247" s="104">
        <f>IF(Human_Data_Entry!C245="","",Human_Data_Entry!C245)</f>
        <v/>
      </c>
      <c r="D247" s="103">
        <f>IF(Human_Data_Entry!D245="","",Human_Data_Entry!D245)</f>
        <v/>
      </c>
      <c r="E247" s="103">
        <f>IF(Human_Data_Entry!G245="","",Human_Data_Entry!G245)</f>
        <v/>
      </c>
      <c r="F247" s="103">
        <f>IF(Human_Data_Entry!X245="","",Human_Data_Entry!X245)</f>
        <v/>
      </c>
      <c r="G247" s="103">
        <f>IF(Human_Data_Entry!AY245="","",Human_Data_Entry!AY245)</f>
        <v/>
      </c>
      <c r="H247" s="103">
        <f>IF(Human_Data_Entry!AZ245="","",Human_Data_Entry!AZ245)</f>
        <v/>
      </c>
      <c r="I247" s="103">
        <f>IF(Human_Data_Entry!AL245="","",Human_Data_Entry!AL245)</f>
        <v/>
      </c>
      <c r="J247" s="103">
        <f>IF(Human_Data_Entry!AM245="","",Human_Data_Entry!AM245)</f>
        <v/>
      </c>
      <c r="K247" s="103">
        <f>IF(Human_Data_Entry!AN245="","",Human_Data_Entry!AN245)</f>
        <v/>
      </c>
      <c r="L247" s="103">
        <f>IF(Human_Data_Entry!AO245="","",Human_Data_Entry!AO245)</f>
        <v/>
      </c>
      <c r="M247" s="103">
        <f>IF(Human_Data_Entry!BM245="","",Human_Data_Entry!BM245)</f>
        <v/>
      </c>
      <c r="N247" s="103">
        <f>IF(Human_Data_Entry!BN245="","",Human_Data_Entry!BN245)</f>
        <v/>
      </c>
      <c r="O247" s="103">
        <f>IF(Human_Data_Entry!BO245="","",Human_Data_Entry!BO245)</f>
        <v/>
      </c>
      <c r="P247" s="103">
        <f>IF(Human_Data_Entry!BP245="","",Human_Data_Entry!BP245)</f>
        <v/>
      </c>
      <c r="Q247" s="103">
        <f>IF(Human_Data_Entry!BQ245="","",Human_Data_Entry!BQ245)</f>
        <v/>
      </c>
      <c r="R247" s="103">
        <f>IF(Human_Data_Entry!BR245="","",Human_Data_Entry!BR245)</f>
        <v/>
      </c>
      <c r="S247" s="103">
        <f>IF(Human_Data_Entry!BS245="","",Human_Data_Entry!BS245)</f>
        <v/>
      </c>
      <c r="T247" s="103">
        <f>IF(Human_Data_Entry!BT245="","",Human_Data_Entry!BT245)</f>
        <v/>
      </c>
    </row>
    <row r="248" ht="15" customHeight="1" s="241">
      <c r="A248" s="103">
        <f>IF(Human_Data_Entry!A246="","",Human_Data_Entry!A246)</f>
        <v/>
      </c>
      <c r="B248" s="103">
        <f>IF(Human_Data_Entry!B246="","",Human_Data_Entry!B246)</f>
        <v/>
      </c>
      <c r="C248" s="104">
        <f>IF(Human_Data_Entry!C246="","",Human_Data_Entry!C246)</f>
        <v/>
      </c>
      <c r="D248" s="103">
        <f>IF(Human_Data_Entry!D246="","",Human_Data_Entry!D246)</f>
        <v/>
      </c>
      <c r="E248" s="103">
        <f>IF(Human_Data_Entry!G246="","",Human_Data_Entry!G246)</f>
        <v/>
      </c>
      <c r="F248" s="103">
        <f>IF(Human_Data_Entry!X246="","",Human_Data_Entry!X246)</f>
        <v/>
      </c>
      <c r="G248" s="103">
        <f>IF(Human_Data_Entry!AY246="","",Human_Data_Entry!AY246)</f>
        <v/>
      </c>
      <c r="H248" s="103">
        <f>IF(Human_Data_Entry!AZ246="","",Human_Data_Entry!AZ246)</f>
        <v/>
      </c>
      <c r="I248" s="103">
        <f>IF(Human_Data_Entry!AL246="","",Human_Data_Entry!AL246)</f>
        <v/>
      </c>
      <c r="J248" s="103">
        <f>IF(Human_Data_Entry!AM246="","",Human_Data_Entry!AM246)</f>
        <v/>
      </c>
      <c r="K248" s="103">
        <f>IF(Human_Data_Entry!AN246="","",Human_Data_Entry!AN246)</f>
        <v/>
      </c>
      <c r="L248" s="103">
        <f>IF(Human_Data_Entry!AO246="","",Human_Data_Entry!AO246)</f>
        <v/>
      </c>
      <c r="M248" s="103">
        <f>IF(Human_Data_Entry!BM246="","",Human_Data_Entry!BM246)</f>
        <v/>
      </c>
      <c r="N248" s="103">
        <f>IF(Human_Data_Entry!BN246="","",Human_Data_Entry!BN246)</f>
        <v/>
      </c>
      <c r="O248" s="103">
        <f>IF(Human_Data_Entry!BO246="","",Human_Data_Entry!BO246)</f>
        <v/>
      </c>
      <c r="P248" s="103">
        <f>IF(Human_Data_Entry!BP246="","",Human_Data_Entry!BP246)</f>
        <v/>
      </c>
      <c r="Q248" s="103">
        <f>IF(Human_Data_Entry!BQ246="","",Human_Data_Entry!BQ246)</f>
        <v/>
      </c>
      <c r="R248" s="103">
        <f>IF(Human_Data_Entry!BR246="","",Human_Data_Entry!BR246)</f>
        <v/>
      </c>
      <c r="S248" s="103">
        <f>IF(Human_Data_Entry!BS246="","",Human_Data_Entry!BS246)</f>
        <v/>
      </c>
      <c r="T248" s="103">
        <f>IF(Human_Data_Entry!BT246="","",Human_Data_Entry!BT246)</f>
        <v/>
      </c>
    </row>
    <row r="249" ht="15" customHeight="1" s="241">
      <c r="A249" s="103">
        <f>IF(Human_Data_Entry!A247="","",Human_Data_Entry!A247)</f>
        <v/>
      </c>
      <c r="B249" s="103">
        <f>IF(Human_Data_Entry!B247="","",Human_Data_Entry!B247)</f>
        <v/>
      </c>
      <c r="C249" s="104">
        <f>IF(Human_Data_Entry!C247="","",Human_Data_Entry!C247)</f>
        <v/>
      </c>
      <c r="D249" s="103">
        <f>IF(Human_Data_Entry!D247="","",Human_Data_Entry!D247)</f>
        <v/>
      </c>
      <c r="E249" s="103">
        <f>IF(Human_Data_Entry!G247="","",Human_Data_Entry!G247)</f>
        <v/>
      </c>
      <c r="F249" s="103">
        <f>IF(Human_Data_Entry!X247="","",Human_Data_Entry!X247)</f>
        <v/>
      </c>
      <c r="G249" s="103">
        <f>IF(Human_Data_Entry!AY247="","",Human_Data_Entry!AY247)</f>
        <v/>
      </c>
      <c r="H249" s="103">
        <f>IF(Human_Data_Entry!AZ247="","",Human_Data_Entry!AZ247)</f>
        <v/>
      </c>
      <c r="I249" s="103">
        <f>IF(Human_Data_Entry!AL247="","",Human_Data_Entry!AL247)</f>
        <v/>
      </c>
      <c r="J249" s="103">
        <f>IF(Human_Data_Entry!AM247="","",Human_Data_Entry!AM247)</f>
        <v/>
      </c>
      <c r="K249" s="103">
        <f>IF(Human_Data_Entry!AN247="","",Human_Data_Entry!AN247)</f>
        <v/>
      </c>
      <c r="L249" s="103">
        <f>IF(Human_Data_Entry!AO247="","",Human_Data_Entry!AO247)</f>
        <v/>
      </c>
      <c r="M249" s="103">
        <f>IF(Human_Data_Entry!BM247="","",Human_Data_Entry!BM247)</f>
        <v/>
      </c>
      <c r="N249" s="103">
        <f>IF(Human_Data_Entry!BN247="","",Human_Data_Entry!BN247)</f>
        <v/>
      </c>
      <c r="O249" s="103">
        <f>IF(Human_Data_Entry!BO247="","",Human_Data_Entry!BO247)</f>
        <v/>
      </c>
      <c r="P249" s="103">
        <f>IF(Human_Data_Entry!BP247="","",Human_Data_Entry!BP247)</f>
        <v/>
      </c>
      <c r="Q249" s="103">
        <f>IF(Human_Data_Entry!BQ247="","",Human_Data_Entry!BQ247)</f>
        <v/>
      </c>
      <c r="R249" s="103">
        <f>IF(Human_Data_Entry!BR247="","",Human_Data_Entry!BR247)</f>
        <v/>
      </c>
      <c r="S249" s="103">
        <f>IF(Human_Data_Entry!BS247="","",Human_Data_Entry!BS247)</f>
        <v/>
      </c>
      <c r="T249" s="103">
        <f>IF(Human_Data_Entry!BT247="","",Human_Data_Entry!BT247)</f>
        <v/>
      </c>
    </row>
    <row r="250" ht="15" customHeight="1" s="241">
      <c r="A250" s="103">
        <f>IF(Human_Data_Entry!A248="","",Human_Data_Entry!A248)</f>
        <v/>
      </c>
      <c r="B250" s="103">
        <f>IF(Human_Data_Entry!B248="","",Human_Data_Entry!B248)</f>
        <v/>
      </c>
      <c r="C250" s="104">
        <f>IF(Human_Data_Entry!C248="","",Human_Data_Entry!C248)</f>
        <v/>
      </c>
      <c r="D250" s="103">
        <f>IF(Human_Data_Entry!D248="","",Human_Data_Entry!D248)</f>
        <v/>
      </c>
      <c r="E250" s="103">
        <f>IF(Human_Data_Entry!G248="","",Human_Data_Entry!G248)</f>
        <v/>
      </c>
      <c r="F250" s="103">
        <f>IF(Human_Data_Entry!X248="","",Human_Data_Entry!X248)</f>
        <v/>
      </c>
      <c r="G250" s="103">
        <f>IF(Human_Data_Entry!AY248="","",Human_Data_Entry!AY248)</f>
        <v/>
      </c>
      <c r="H250" s="103">
        <f>IF(Human_Data_Entry!AZ248="","",Human_Data_Entry!AZ248)</f>
        <v/>
      </c>
      <c r="I250" s="103">
        <f>IF(Human_Data_Entry!AL248="","",Human_Data_Entry!AL248)</f>
        <v/>
      </c>
      <c r="J250" s="103">
        <f>IF(Human_Data_Entry!AM248="","",Human_Data_Entry!AM248)</f>
        <v/>
      </c>
      <c r="K250" s="103">
        <f>IF(Human_Data_Entry!AN248="","",Human_Data_Entry!AN248)</f>
        <v/>
      </c>
      <c r="L250" s="103">
        <f>IF(Human_Data_Entry!AO248="","",Human_Data_Entry!AO248)</f>
        <v/>
      </c>
      <c r="M250" s="103">
        <f>IF(Human_Data_Entry!BM248="","",Human_Data_Entry!BM248)</f>
        <v/>
      </c>
      <c r="N250" s="103">
        <f>IF(Human_Data_Entry!BN248="","",Human_Data_Entry!BN248)</f>
        <v/>
      </c>
      <c r="O250" s="103">
        <f>IF(Human_Data_Entry!BO248="","",Human_Data_Entry!BO248)</f>
        <v/>
      </c>
      <c r="P250" s="103">
        <f>IF(Human_Data_Entry!BP248="","",Human_Data_Entry!BP248)</f>
        <v/>
      </c>
      <c r="Q250" s="103">
        <f>IF(Human_Data_Entry!BQ248="","",Human_Data_Entry!BQ248)</f>
        <v/>
      </c>
      <c r="R250" s="103">
        <f>IF(Human_Data_Entry!BR248="","",Human_Data_Entry!BR248)</f>
        <v/>
      </c>
      <c r="S250" s="103">
        <f>IF(Human_Data_Entry!BS248="","",Human_Data_Entry!BS248)</f>
        <v/>
      </c>
      <c r="T250" s="103">
        <f>IF(Human_Data_Entry!BT248="","",Human_Data_Entry!BT248)</f>
        <v/>
      </c>
    </row>
    <row r="251" ht="15" customHeight="1" s="241">
      <c r="A251" s="103">
        <f>IF(Human_Data_Entry!A249="","",Human_Data_Entry!A249)</f>
        <v/>
      </c>
      <c r="B251" s="103">
        <f>IF(Human_Data_Entry!B249="","",Human_Data_Entry!B249)</f>
        <v/>
      </c>
      <c r="C251" s="104">
        <f>IF(Human_Data_Entry!C249="","",Human_Data_Entry!C249)</f>
        <v/>
      </c>
      <c r="D251" s="103">
        <f>IF(Human_Data_Entry!D249="","",Human_Data_Entry!D249)</f>
        <v/>
      </c>
      <c r="E251" s="103">
        <f>IF(Human_Data_Entry!G249="","",Human_Data_Entry!G249)</f>
        <v/>
      </c>
      <c r="F251" s="103">
        <f>IF(Human_Data_Entry!X249="","",Human_Data_Entry!X249)</f>
        <v/>
      </c>
      <c r="G251" s="103">
        <f>IF(Human_Data_Entry!AY249="","",Human_Data_Entry!AY249)</f>
        <v/>
      </c>
      <c r="H251" s="103">
        <f>IF(Human_Data_Entry!AZ249="","",Human_Data_Entry!AZ249)</f>
        <v/>
      </c>
      <c r="I251" s="103">
        <f>IF(Human_Data_Entry!AL249="","",Human_Data_Entry!AL249)</f>
        <v/>
      </c>
      <c r="J251" s="103">
        <f>IF(Human_Data_Entry!AM249="","",Human_Data_Entry!AM249)</f>
        <v/>
      </c>
      <c r="K251" s="103">
        <f>IF(Human_Data_Entry!AN249="","",Human_Data_Entry!AN249)</f>
        <v/>
      </c>
      <c r="L251" s="103">
        <f>IF(Human_Data_Entry!AO249="","",Human_Data_Entry!AO249)</f>
        <v/>
      </c>
      <c r="M251" s="103">
        <f>IF(Human_Data_Entry!BM249="","",Human_Data_Entry!BM249)</f>
        <v/>
      </c>
      <c r="N251" s="103">
        <f>IF(Human_Data_Entry!BN249="","",Human_Data_Entry!BN249)</f>
        <v/>
      </c>
      <c r="O251" s="103">
        <f>IF(Human_Data_Entry!BO249="","",Human_Data_Entry!BO249)</f>
        <v/>
      </c>
      <c r="P251" s="103">
        <f>IF(Human_Data_Entry!BP249="","",Human_Data_Entry!BP249)</f>
        <v/>
      </c>
      <c r="Q251" s="103">
        <f>IF(Human_Data_Entry!BQ249="","",Human_Data_Entry!BQ249)</f>
        <v/>
      </c>
      <c r="R251" s="103">
        <f>IF(Human_Data_Entry!BR249="","",Human_Data_Entry!BR249)</f>
        <v/>
      </c>
      <c r="S251" s="103">
        <f>IF(Human_Data_Entry!BS249="","",Human_Data_Entry!BS249)</f>
        <v/>
      </c>
      <c r="T251" s="103">
        <f>IF(Human_Data_Entry!BT249="","",Human_Data_Entry!BT249)</f>
        <v/>
      </c>
    </row>
    <row r="252" ht="15" customHeight="1" s="241">
      <c r="A252" s="103">
        <f>IF(Human_Data_Entry!A250="","",Human_Data_Entry!A250)</f>
        <v/>
      </c>
      <c r="B252" s="103">
        <f>IF(Human_Data_Entry!B250="","",Human_Data_Entry!B250)</f>
        <v/>
      </c>
      <c r="C252" s="104">
        <f>IF(Human_Data_Entry!C250="","",Human_Data_Entry!C250)</f>
        <v/>
      </c>
      <c r="D252" s="103">
        <f>IF(Human_Data_Entry!D250="","",Human_Data_Entry!D250)</f>
        <v/>
      </c>
      <c r="E252" s="103">
        <f>IF(Human_Data_Entry!G250="","",Human_Data_Entry!G250)</f>
        <v/>
      </c>
      <c r="F252" s="103">
        <f>IF(Human_Data_Entry!X250="","",Human_Data_Entry!X250)</f>
        <v/>
      </c>
      <c r="G252" s="103">
        <f>IF(Human_Data_Entry!AY250="","",Human_Data_Entry!AY250)</f>
        <v/>
      </c>
      <c r="H252" s="103">
        <f>IF(Human_Data_Entry!AZ250="","",Human_Data_Entry!AZ250)</f>
        <v/>
      </c>
      <c r="I252" s="103">
        <f>IF(Human_Data_Entry!AL250="","",Human_Data_Entry!AL250)</f>
        <v/>
      </c>
      <c r="J252" s="103">
        <f>IF(Human_Data_Entry!AM250="","",Human_Data_Entry!AM250)</f>
        <v/>
      </c>
      <c r="K252" s="103">
        <f>IF(Human_Data_Entry!AN250="","",Human_Data_Entry!AN250)</f>
        <v/>
      </c>
      <c r="L252" s="103">
        <f>IF(Human_Data_Entry!AO250="","",Human_Data_Entry!AO250)</f>
        <v/>
      </c>
      <c r="M252" s="103">
        <f>IF(Human_Data_Entry!BM250="","",Human_Data_Entry!BM250)</f>
        <v/>
      </c>
      <c r="N252" s="103">
        <f>IF(Human_Data_Entry!BN250="","",Human_Data_Entry!BN250)</f>
        <v/>
      </c>
      <c r="O252" s="103">
        <f>IF(Human_Data_Entry!BO250="","",Human_Data_Entry!BO250)</f>
        <v/>
      </c>
      <c r="P252" s="103">
        <f>IF(Human_Data_Entry!BP250="","",Human_Data_Entry!BP250)</f>
        <v/>
      </c>
      <c r="Q252" s="103">
        <f>IF(Human_Data_Entry!BQ250="","",Human_Data_Entry!BQ250)</f>
        <v/>
      </c>
      <c r="R252" s="103">
        <f>IF(Human_Data_Entry!BR250="","",Human_Data_Entry!BR250)</f>
        <v/>
      </c>
      <c r="S252" s="103">
        <f>IF(Human_Data_Entry!BS250="","",Human_Data_Entry!BS250)</f>
        <v/>
      </c>
      <c r="T252" s="103">
        <f>IF(Human_Data_Entry!BT250="","",Human_Data_Entry!BT250)</f>
        <v/>
      </c>
    </row>
    <row r="253" ht="15" customHeight="1" s="241">
      <c r="A253" s="103">
        <f>IF(Human_Data_Entry!A251="","",Human_Data_Entry!A251)</f>
        <v/>
      </c>
      <c r="B253" s="103">
        <f>IF(Human_Data_Entry!B251="","",Human_Data_Entry!B251)</f>
        <v/>
      </c>
      <c r="C253" s="104">
        <f>IF(Human_Data_Entry!C251="","",Human_Data_Entry!C251)</f>
        <v/>
      </c>
      <c r="D253" s="103">
        <f>IF(Human_Data_Entry!D251="","",Human_Data_Entry!D251)</f>
        <v/>
      </c>
      <c r="E253" s="103">
        <f>IF(Human_Data_Entry!G251="","",Human_Data_Entry!G251)</f>
        <v/>
      </c>
      <c r="F253" s="103">
        <f>IF(Human_Data_Entry!X251="","",Human_Data_Entry!X251)</f>
        <v/>
      </c>
      <c r="G253" s="103">
        <f>IF(Human_Data_Entry!AY251="","",Human_Data_Entry!AY251)</f>
        <v/>
      </c>
      <c r="H253" s="103">
        <f>IF(Human_Data_Entry!AZ251="","",Human_Data_Entry!AZ251)</f>
        <v/>
      </c>
      <c r="I253" s="103">
        <f>IF(Human_Data_Entry!AL251="","",Human_Data_Entry!AL251)</f>
        <v/>
      </c>
      <c r="J253" s="103">
        <f>IF(Human_Data_Entry!AM251="","",Human_Data_Entry!AM251)</f>
        <v/>
      </c>
      <c r="K253" s="103">
        <f>IF(Human_Data_Entry!AN251="","",Human_Data_Entry!AN251)</f>
        <v/>
      </c>
      <c r="L253" s="103">
        <f>IF(Human_Data_Entry!AO251="","",Human_Data_Entry!AO251)</f>
        <v/>
      </c>
      <c r="M253" s="103">
        <f>IF(Human_Data_Entry!BM251="","",Human_Data_Entry!BM251)</f>
        <v/>
      </c>
      <c r="N253" s="103">
        <f>IF(Human_Data_Entry!BN251="","",Human_Data_Entry!BN251)</f>
        <v/>
      </c>
      <c r="O253" s="103">
        <f>IF(Human_Data_Entry!BO251="","",Human_Data_Entry!BO251)</f>
        <v/>
      </c>
      <c r="P253" s="103">
        <f>IF(Human_Data_Entry!BP251="","",Human_Data_Entry!BP251)</f>
        <v/>
      </c>
      <c r="Q253" s="103">
        <f>IF(Human_Data_Entry!BQ251="","",Human_Data_Entry!BQ251)</f>
        <v/>
      </c>
      <c r="R253" s="103">
        <f>IF(Human_Data_Entry!BR251="","",Human_Data_Entry!BR251)</f>
        <v/>
      </c>
      <c r="S253" s="103">
        <f>IF(Human_Data_Entry!BS251="","",Human_Data_Entry!BS251)</f>
        <v/>
      </c>
      <c r="T253" s="103">
        <f>IF(Human_Data_Entry!BT251="","",Human_Data_Entry!BT251)</f>
        <v/>
      </c>
    </row>
    <row r="254" ht="15" customHeight="1" s="241">
      <c r="A254" s="103">
        <f>IF(Human_Data_Entry!A252="","",Human_Data_Entry!A252)</f>
        <v/>
      </c>
      <c r="B254" s="103">
        <f>IF(Human_Data_Entry!B252="","",Human_Data_Entry!B252)</f>
        <v/>
      </c>
      <c r="C254" s="104">
        <f>IF(Human_Data_Entry!C252="","",Human_Data_Entry!C252)</f>
        <v/>
      </c>
      <c r="D254" s="103">
        <f>IF(Human_Data_Entry!D252="","",Human_Data_Entry!D252)</f>
        <v/>
      </c>
      <c r="E254" s="103">
        <f>IF(Human_Data_Entry!G252="","",Human_Data_Entry!G252)</f>
        <v/>
      </c>
      <c r="F254" s="103">
        <f>IF(Human_Data_Entry!X252="","",Human_Data_Entry!X252)</f>
        <v/>
      </c>
      <c r="G254" s="103">
        <f>IF(Human_Data_Entry!AY252="","",Human_Data_Entry!AY252)</f>
        <v/>
      </c>
      <c r="H254" s="103">
        <f>IF(Human_Data_Entry!AZ252="","",Human_Data_Entry!AZ252)</f>
        <v/>
      </c>
      <c r="I254" s="103">
        <f>IF(Human_Data_Entry!AL252="","",Human_Data_Entry!AL252)</f>
        <v/>
      </c>
      <c r="J254" s="103">
        <f>IF(Human_Data_Entry!AM252="","",Human_Data_Entry!AM252)</f>
        <v/>
      </c>
      <c r="K254" s="103">
        <f>IF(Human_Data_Entry!AN252="","",Human_Data_Entry!AN252)</f>
        <v/>
      </c>
      <c r="L254" s="103">
        <f>IF(Human_Data_Entry!AO252="","",Human_Data_Entry!AO252)</f>
        <v/>
      </c>
      <c r="M254" s="103">
        <f>IF(Human_Data_Entry!BM252="","",Human_Data_Entry!BM252)</f>
        <v/>
      </c>
      <c r="N254" s="103">
        <f>IF(Human_Data_Entry!BN252="","",Human_Data_Entry!BN252)</f>
        <v/>
      </c>
      <c r="O254" s="103">
        <f>IF(Human_Data_Entry!BO252="","",Human_Data_Entry!BO252)</f>
        <v/>
      </c>
      <c r="P254" s="103">
        <f>IF(Human_Data_Entry!BP252="","",Human_Data_Entry!BP252)</f>
        <v/>
      </c>
      <c r="Q254" s="103">
        <f>IF(Human_Data_Entry!BQ252="","",Human_Data_Entry!BQ252)</f>
        <v/>
      </c>
      <c r="R254" s="103">
        <f>IF(Human_Data_Entry!BR252="","",Human_Data_Entry!BR252)</f>
        <v/>
      </c>
      <c r="S254" s="103">
        <f>IF(Human_Data_Entry!BS252="","",Human_Data_Entry!BS252)</f>
        <v/>
      </c>
      <c r="T254" s="103">
        <f>IF(Human_Data_Entry!BT252="","",Human_Data_Entry!BT252)</f>
        <v/>
      </c>
    </row>
    <row r="255" ht="15" customHeight="1" s="241">
      <c r="A255" s="103">
        <f>IF(Human_Data_Entry!A253="","",Human_Data_Entry!A253)</f>
        <v/>
      </c>
      <c r="B255" s="103">
        <f>IF(Human_Data_Entry!B253="","",Human_Data_Entry!B253)</f>
        <v/>
      </c>
      <c r="C255" s="104">
        <f>IF(Human_Data_Entry!C253="","",Human_Data_Entry!C253)</f>
        <v/>
      </c>
      <c r="D255" s="103">
        <f>IF(Human_Data_Entry!D253="","",Human_Data_Entry!D253)</f>
        <v/>
      </c>
      <c r="E255" s="103">
        <f>IF(Human_Data_Entry!G253="","",Human_Data_Entry!G253)</f>
        <v/>
      </c>
      <c r="F255" s="103">
        <f>IF(Human_Data_Entry!X253="","",Human_Data_Entry!X253)</f>
        <v/>
      </c>
      <c r="G255" s="103">
        <f>IF(Human_Data_Entry!AY253="","",Human_Data_Entry!AY253)</f>
        <v/>
      </c>
      <c r="H255" s="103">
        <f>IF(Human_Data_Entry!AZ253="","",Human_Data_Entry!AZ253)</f>
        <v/>
      </c>
      <c r="I255" s="103">
        <f>IF(Human_Data_Entry!AL253="","",Human_Data_Entry!AL253)</f>
        <v/>
      </c>
      <c r="J255" s="103">
        <f>IF(Human_Data_Entry!AM253="","",Human_Data_Entry!AM253)</f>
        <v/>
      </c>
      <c r="K255" s="103">
        <f>IF(Human_Data_Entry!AN253="","",Human_Data_Entry!AN253)</f>
        <v/>
      </c>
      <c r="L255" s="103">
        <f>IF(Human_Data_Entry!AO253="","",Human_Data_Entry!AO253)</f>
        <v/>
      </c>
      <c r="M255" s="103">
        <f>IF(Human_Data_Entry!BM253="","",Human_Data_Entry!BM253)</f>
        <v/>
      </c>
      <c r="N255" s="103">
        <f>IF(Human_Data_Entry!BN253="","",Human_Data_Entry!BN253)</f>
        <v/>
      </c>
      <c r="O255" s="103">
        <f>IF(Human_Data_Entry!BO253="","",Human_Data_Entry!BO253)</f>
        <v/>
      </c>
      <c r="P255" s="103">
        <f>IF(Human_Data_Entry!BP253="","",Human_Data_Entry!BP253)</f>
        <v/>
      </c>
      <c r="Q255" s="103">
        <f>IF(Human_Data_Entry!BQ253="","",Human_Data_Entry!BQ253)</f>
        <v/>
      </c>
      <c r="R255" s="103">
        <f>IF(Human_Data_Entry!BR253="","",Human_Data_Entry!BR253)</f>
        <v/>
      </c>
      <c r="S255" s="103">
        <f>IF(Human_Data_Entry!BS253="","",Human_Data_Entry!BS253)</f>
        <v/>
      </c>
      <c r="T255" s="103">
        <f>IF(Human_Data_Entry!BT253="","",Human_Data_Entry!BT253)</f>
        <v/>
      </c>
    </row>
    <row r="256" ht="15" customHeight="1" s="241">
      <c r="A256" s="103">
        <f>IF(Human_Data_Entry!A254="","",Human_Data_Entry!A254)</f>
        <v/>
      </c>
      <c r="B256" s="103">
        <f>IF(Human_Data_Entry!B254="","",Human_Data_Entry!B254)</f>
        <v/>
      </c>
      <c r="C256" s="104">
        <f>IF(Human_Data_Entry!C254="","",Human_Data_Entry!C254)</f>
        <v/>
      </c>
      <c r="D256" s="103">
        <f>IF(Human_Data_Entry!D254="","",Human_Data_Entry!D254)</f>
        <v/>
      </c>
      <c r="E256" s="103">
        <f>IF(Human_Data_Entry!G254="","",Human_Data_Entry!G254)</f>
        <v/>
      </c>
      <c r="F256" s="103">
        <f>IF(Human_Data_Entry!X254="","",Human_Data_Entry!X254)</f>
        <v/>
      </c>
      <c r="G256" s="103">
        <f>IF(Human_Data_Entry!AY254="","",Human_Data_Entry!AY254)</f>
        <v/>
      </c>
      <c r="H256" s="103">
        <f>IF(Human_Data_Entry!AZ254="","",Human_Data_Entry!AZ254)</f>
        <v/>
      </c>
      <c r="I256" s="103">
        <f>IF(Human_Data_Entry!AL254="","",Human_Data_Entry!AL254)</f>
        <v/>
      </c>
      <c r="J256" s="103">
        <f>IF(Human_Data_Entry!AM254="","",Human_Data_Entry!AM254)</f>
        <v/>
      </c>
      <c r="K256" s="103">
        <f>IF(Human_Data_Entry!AN254="","",Human_Data_Entry!AN254)</f>
        <v/>
      </c>
      <c r="L256" s="103">
        <f>IF(Human_Data_Entry!AO254="","",Human_Data_Entry!AO254)</f>
        <v/>
      </c>
      <c r="M256" s="103">
        <f>IF(Human_Data_Entry!BM254="","",Human_Data_Entry!BM254)</f>
        <v/>
      </c>
      <c r="N256" s="103">
        <f>IF(Human_Data_Entry!BN254="","",Human_Data_Entry!BN254)</f>
        <v/>
      </c>
      <c r="O256" s="103">
        <f>IF(Human_Data_Entry!BO254="","",Human_Data_Entry!BO254)</f>
        <v/>
      </c>
      <c r="P256" s="103">
        <f>IF(Human_Data_Entry!BP254="","",Human_Data_Entry!BP254)</f>
        <v/>
      </c>
      <c r="Q256" s="103">
        <f>IF(Human_Data_Entry!BQ254="","",Human_Data_Entry!BQ254)</f>
        <v/>
      </c>
      <c r="R256" s="103">
        <f>IF(Human_Data_Entry!BR254="","",Human_Data_Entry!BR254)</f>
        <v/>
      </c>
      <c r="S256" s="103">
        <f>IF(Human_Data_Entry!BS254="","",Human_Data_Entry!BS254)</f>
        <v/>
      </c>
      <c r="T256" s="103">
        <f>IF(Human_Data_Entry!BT254="","",Human_Data_Entry!BT254)</f>
        <v/>
      </c>
    </row>
    <row r="257" ht="15" customHeight="1" s="241">
      <c r="A257" s="103">
        <f>IF(Human_Data_Entry!A255="","",Human_Data_Entry!A255)</f>
        <v/>
      </c>
      <c r="B257" s="103">
        <f>IF(Human_Data_Entry!B255="","",Human_Data_Entry!B255)</f>
        <v/>
      </c>
      <c r="C257" s="104">
        <f>IF(Human_Data_Entry!C255="","",Human_Data_Entry!C255)</f>
        <v/>
      </c>
      <c r="D257" s="103">
        <f>IF(Human_Data_Entry!D255="","",Human_Data_Entry!D255)</f>
        <v/>
      </c>
      <c r="E257" s="103">
        <f>IF(Human_Data_Entry!G255="","",Human_Data_Entry!G255)</f>
        <v/>
      </c>
      <c r="F257" s="103">
        <f>IF(Human_Data_Entry!X255="","",Human_Data_Entry!X255)</f>
        <v/>
      </c>
      <c r="G257" s="103">
        <f>IF(Human_Data_Entry!AY255="","",Human_Data_Entry!AY255)</f>
        <v/>
      </c>
      <c r="H257" s="103">
        <f>IF(Human_Data_Entry!AZ255="","",Human_Data_Entry!AZ255)</f>
        <v/>
      </c>
      <c r="I257" s="103">
        <f>IF(Human_Data_Entry!AL255="","",Human_Data_Entry!AL255)</f>
        <v/>
      </c>
      <c r="J257" s="103">
        <f>IF(Human_Data_Entry!AM255="","",Human_Data_Entry!AM255)</f>
        <v/>
      </c>
      <c r="K257" s="103">
        <f>IF(Human_Data_Entry!AN255="","",Human_Data_Entry!AN255)</f>
        <v/>
      </c>
      <c r="L257" s="103">
        <f>IF(Human_Data_Entry!AO255="","",Human_Data_Entry!AO255)</f>
        <v/>
      </c>
      <c r="M257" s="103">
        <f>IF(Human_Data_Entry!BM255="","",Human_Data_Entry!BM255)</f>
        <v/>
      </c>
      <c r="N257" s="103">
        <f>IF(Human_Data_Entry!BN255="","",Human_Data_Entry!BN255)</f>
        <v/>
      </c>
      <c r="O257" s="103">
        <f>IF(Human_Data_Entry!BO255="","",Human_Data_Entry!BO255)</f>
        <v/>
      </c>
      <c r="P257" s="103">
        <f>IF(Human_Data_Entry!BP255="","",Human_Data_Entry!BP255)</f>
        <v/>
      </c>
      <c r="Q257" s="103">
        <f>IF(Human_Data_Entry!BQ255="","",Human_Data_Entry!BQ255)</f>
        <v/>
      </c>
      <c r="R257" s="103">
        <f>IF(Human_Data_Entry!BR255="","",Human_Data_Entry!BR255)</f>
        <v/>
      </c>
      <c r="S257" s="103">
        <f>IF(Human_Data_Entry!BS255="","",Human_Data_Entry!BS255)</f>
        <v/>
      </c>
      <c r="T257" s="103">
        <f>IF(Human_Data_Entry!BT255="","",Human_Data_Entry!BT255)</f>
        <v/>
      </c>
    </row>
    <row r="258" ht="15" customHeight="1" s="241">
      <c r="A258" s="103">
        <f>IF(Human_Data_Entry!A256="","",Human_Data_Entry!A256)</f>
        <v/>
      </c>
      <c r="B258" s="103">
        <f>IF(Human_Data_Entry!B256="","",Human_Data_Entry!B256)</f>
        <v/>
      </c>
      <c r="C258" s="104">
        <f>IF(Human_Data_Entry!C256="","",Human_Data_Entry!C256)</f>
        <v/>
      </c>
      <c r="D258" s="103">
        <f>IF(Human_Data_Entry!D256="","",Human_Data_Entry!D256)</f>
        <v/>
      </c>
      <c r="E258" s="103">
        <f>IF(Human_Data_Entry!G256="","",Human_Data_Entry!G256)</f>
        <v/>
      </c>
      <c r="F258" s="103">
        <f>IF(Human_Data_Entry!X256="","",Human_Data_Entry!X256)</f>
        <v/>
      </c>
      <c r="G258" s="103">
        <f>IF(Human_Data_Entry!AY256="","",Human_Data_Entry!AY256)</f>
        <v/>
      </c>
      <c r="H258" s="103">
        <f>IF(Human_Data_Entry!AZ256="","",Human_Data_Entry!AZ256)</f>
        <v/>
      </c>
      <c r="I258" s="103">
        <f>IF(Human_Data_Entry!AL256="","",Human_Data_Entry!AL256)</f>
        <v/>
      </c>
      <c r="J258" s="103">
        <f>IF(Human_Data_Entry!AM256="","",Human_Data_Entry!AM256)</f>
        <v/>
      </c>
      <c r="K258" s="103">
        <f>IF(Human_Data_Entry!AN256="","",Human_Data_Entry!AN256)</f>
        <v/>
      </c>
      <c r="L258" s="103">
        <f>IF(Human_Data_Entry!AO256="","",Human_Data_Entry!AO256)</f>
        <v/>
      </c>
      <c r="M258" s="103">
        <f>IF(Human_Data_Entry!BM256="","",Human_Data_Entry!BM256)</f>
        <v/>
      </c>
      <c r="N258" s="103">
        <f>IF(Human_Data_Entry!BN256="","",Human_Data_Entry!BN256)</f>
        <v/>
      </c>
      <c r="O258" s="103">
        <f>IF(Human_Data_Entry!BO256="","",Human_Data_Entry!BO256)</f>
        <v/>
      </c>
      <c r="P258" s="103">
        <f>IF(Human_Data_Entry!BP256="","",Human_Data_Entry!BP256)</f>
        <v/>
      </c>
      <c r="Q258" s="103">
        <f>IF(Human_Data_Entry!BQ256="","",Human_Data_Entry!BQ256)</f>
        <v/>
      </c>
      <c r="R258" s="103">
        <f>IF(Human_Data_Entry!BR256="","",Human_Data_Entry!BR256)</f>
        <v/>
      </c>
      <c r="S258" s="103">
        <f>IF(Human_Data_Entry!BS256="","",Human_Data_Entry!BS256)</f>
        <v/>
      </c>
      <c r="T258" s="103">
        <f>IF(Human_Data_Entry!BT256="","",Human_Data_Entry!BT256)</f>
        <v/>
      </c>
    </row>
    <row r="259" ht="15" customHeight="1" s="241">
      <c r="A259" s="103">
        <f>IF(Human_Data_Entry!A257="","",Human_Data_Entry!A257)</f>
        <v/>
      </c>
      <c r="B259" s="103">
        <f>IF(Human_Data_Entry!B257="","",Human_Data_Entry!B257)</f>
        <v/>
      </c>
      <c r="C259" s="104">
        <f>IF(Human_Data_Entry!C257="","",Human_Data_Entry!C257)</f>
        <v/>
      </c>
      <c r="D259" s="103">
        <f>IF(Human_Data_Entry!D257="","",Human_Data_Entry!D257)</f>
        <v/>
      </c>
      <c r="E259" s="103">
        <f>IF(Human_Data_Entry!G257="","",Human_Data_Entry!G257)</f>
        <v/>
      </c>
      <c r="F259" s="103">
        <f>IF(Human_Data_Entry!X257="","",Human_Data_Entry!X257)</f>
        <v/>
      </c>
      <c r="G259" s="103">
        <f>IF(Human_Data_Entry!AY257="","",Human_Data_Entry!AY257)</f>
        <v/>
      </c>
      <c r="H259" s="103">
        <f>IF(Human_Data_Entry!AZ257="","",Human_Data_Entry!AZ257)</f>
        <v/>
      </c>
      <c r="I259" s="103">
        <f>IF(Human_Data_Entry!AL257="","",Human_Data_Entry!AL257)</f>
        <v/>
      </c>
      <c r="J259" s="103">
        <f>IF(Human_Data_Entry!AM257="","",Human_Data_Entry!AM257)</f>
        <v/>
      </c>
      <c r="K259" s="103">
        <f>IF(Human_Data_Entry!AN257="","",Human_Data_Entry!AN257)</f>
        <v/>
      </c>
      <c r="L259" s="103">
        <f>IF(Human_Data_Entry!AO257="","",Human_Data_Entry!AO257)</f>
        <v/>
      </c>
      <c r="M259" s="103">
        <f>IF(Human_Data_Entry!BM257="","",Human_Data_Entry!BM257)</f>
        <v/>
      </c>
      <c r="N259" s="103">
        <f>IF(Human_Data_Entry!BN257="","",Human_Data_Entry!BN257)</f>
        <v/>
      </c>
      <c r="O259" s="103">
        <f>IF(Human_Data_Entry!BO257="","",Human_Data_Entry!BO257)</f>
        <v/>
      </c>
      <c r="P259" s="103">
        <f>IF(Human_Data_Entry!BP257="","",Human_Data_Entry!BP257)</f>
        <v/>
      </c>
      <c r="Q259" s="103">
        <f>IF(Human_Data_Entry!BQ257="","",Human_Data_Entry!BQ257)</f>
        <v/>
      </c>
      <c r="R259" s="103">
        <f>IF(Human_Data_Entry!BR257="","",Human_Data_Entry!BR257)</f>
        <v/>
      </c>
      <c r="S259" s="103">
        <f>IF(Human_Data_Entry!BS257="","",Human_Data_Entry!BS257)</f>
        <v/>
      </c>
      <c r="T259" s="103">
        <f>IF(Human_Data_Entry!BT257="","",Human_Data_Entry!BT257)</f>
        <v/>
      </c>
    </row>
    <row r="260" ht="15" customHeight="1" s="241">
      <c r="A260" s="103">
        <f>IF(Human_Data_Entry!A258="","",Human_Data_Entry!A258)</f>
        <v/>
      </c>
      <c r="B260" s="103">
        <f>IF(Human_Data_Entry!B258="","",Human_Data_Entry!B258)</f>
        <v/>
      </c>
      <c r="C260" s="104">
        <f>IF(Human_Data_Entry!C258="","",Human_Data_Entry!C258)</f>
        <v/>
      </c>
      <c r="D260" s="103">
        <f>IF(Human_Data_Entry!D258="","",Human_Data_Entry!D258)</f>
        <v/>
      </c>
      <c r="E260" s="103">
        <f>IF(Human_Data_Entry!G258="","",Human_Data_Entry!G258)</f>
        <v/>
      </c>
      <c r="F260" s="103">
        <f>IF(Human_Data_Entry!X258="","",Human_Data_Entry!X258)</f>
        <v/>
      </c>
      <c r="G260" s="103">
        <f>IF(Human_Data_Entry!AY258="","",Human_Data_Entry!AY258)</f>
        <v/>
      </c>
      <c r="H260" s="103">
        <f>IF(Human_Data_Entry!AZ258="","",Human_Data_Entry!AZ258)</f>
        <v/>
      </c>
      <c r="I260" s="103">
        <f>IF(Human_Data_Entry!AL258="","",Human_Data_Entry!AL258)</f>
        <v/>
      </c>
      <c r="J260" s="103">
        <f>IF(Human_Data_Entry!AM258="","",Human_Data_Entry!AM258)</f>
        <v/>
      </c>
      <c r="K260" s="103">
        <f>IF(Human_Data_Entry!AN258="","",Human_Data_Entry!AN258)</f>
        <v/>
      </c>
      <c r="L260" s="103">
        <f>IF(Human_Data_Entry!AO258="","",Human_Data_Entry!AO258)</f>
        <v/>
      </c>
      <c r="M260" s="103">
        <f>IF(Human_Data_Entry!BM258="","",Human_Data_Entry!BM258)</f>
        <v/>
      </c>
      <c r="N260" s="103">
        <f>IF(Human_Data_Entry!BN258="","",Human_Data_Entry!BN258)</f>
        <v/>
      </c>
      <c r="O260" s="103">
        <f>IF(Human_Data_Entry!BO258="","",Human_Data_Entry!BO258)</f>
        <v/>
      </c>
      <c r="P260" s="103">
        <f>IF(Human_Data_Entry!BP258="","",Human_Data_Entry!BP258)</f>
        <v/>
      </c>
      <c r="Q260" s="103">
        <f>IF(Human_Data_Entry!BQ258="","",Human_Data_Entry!BQ258)</f>
        <v/>
      </c>
      <c r="R260" s="103">
        <f>IF(Human_Data_Entry!BR258="","",Human_Data_Entry!BR258)</f>
        <v/>
      </c>
      <c r="S260" s="103">
        <f>IF(Human_Data_Entry!BS258="","",Human_Data_Entry!BS258)</f>
        <v/>
      </c>
      <c r="T260" s="103">
        <f>IF(Human_Data_Entry!BT258="","",Human_Data_Entry!BT258)</f>
        <v/>
      </c>
    </row>
    <row r="261" ht="15" customHeight="1" s="241">
      <c r="A261" s="103">
        <f>IF(Human_Data_Entry!A259="","",Human_Data_Entry!A259)</f>
        <v/>
      </c>
      <c r="B261" s="103">
        <f>IF(Human_Data_Entry!B259="","",Human_Data_Entry!B259)</f>
        <v/>
      </c>
      <c r="C261" s="104">
        <f>IF(Human_Data_Entry!C259="","",Human_Data_Entry!C259)</f>
        <v/>
      </c>
      <c r="D261" s="103">
        <f>IF(Human_Data_Entry!D259="","",Human_Data_Entry!D259)</f>
        <v/>
      </c>
      <c r="E261" s="103">
        <f>IF(Human_Data_Entry!G259="","",Human_Data_Entry!G259)</f>
        <v/>
      </c>
      <c r="F261" s="103">
        <f>IF(Human_Data_Entry!X259="","",Human_Data_Entry!X259)</f>
        <v/>
      </c>
      <c r="G261" s="103">
        <f>IF(Human_Data_Entry!AY259="","",Human_Data_Entry!AY259)</f>
        <v/>
      </c>
      <c r="H261" s="103">
        <f>IF(Human_Data_Entry!AZ259="","",Human_Data_Entry!AZ259)</f>
        <v/>
      </c>
      <c r="I261" s="103">
        <f>IF(Human_Data_Entry!AL259="","",Human_Data_Entry!AL259)</f>
        <v/>
      </c>
      <c r="J261" s="103">
        <f>IF(Human_Data_Entry!AM259="","",Human_Data_Entry!AM259)</f>
        <v/>
      </c>
      <c r="K261" s="103">
        <f>IF(Human_Data_Entry!AN259="","",Human_Data_Entry!AN259)</f>
        <v/>
      </c>
      <c r="L261" s="103">
        <f>IF(Human_Data_Entry!AO259="","",Human_Data_Entry!AO259)</f>
        <v/>
      </c>
      <c r="M261" s="103">
        <f>IF(Human_Data_Entry!BM259="","",Human_Data_Entry!BM259)</f>
        <v/>
      </c>
      <c r="N261" s="103">
        <f>IF(Human_Data_Entry!BN259="","",Human_Data_Entry!BN259)</f>
        <v/>
      </c>
      <c r="O261" s="103">
        <f>IF(Human_Data_Entry!BO259="","",Human_Data_Entry!BO259)</f>
        <v/>
      </c>
      <c r="P261" s="103">
        <f>IF(Human_Data_Entry!BP259="","",Human_Data_Entry!BP259)</f>
        <v/>
      </c>
      <c r="Q261" s="103">
        <f>IF(Human_Data_Entry!BQ259="","",Human_Data_Entry!BQ259)</f>
        <v/>
      </c>
      <c r="R261" s="103">
        <f>IF(Human_Data_Entry!BR259="","",Human_Data_Entry!BR259)</f>
        <v/>
      </c>
      <c r="S261" s="103">
        <f>IF(Human_Data_Entry!BS259="","",Human_Data_Entry!BS259)</f>
        <v/>
      </c>
      <c r="T261" s="103">
        <f>IF(Human_Data_Entry!BT259="","",Human_Data_Entry!BT259)</f>
        <v/>
      </c>
    </row>
    <row r="262" ht="15" customHeight="1" s="241">
      <c r="A262" s="103">
        <f>IF(Human_Data_Entry!A260="","",Human_Data_Entry!A260)</f>
        <v/>
      </c>
      <c r="B262" s="103">
        <f>IF(Human_Data_Entry!B260="","",Human_Data_Entry!B260)</f>
        <v/>
      </c>
      <c r="C262" s="104">
        <f>IF(Human_Data_Entry!C260="","",Human_Data_Entry!C260)</f>
        <v/>
      </c>
      <c r="D262" s="103">
        <f>IF(Human_Data_Entry!D260="","",Human_Data_Entry!D260)</f>
        <v/>
      </c>
      <c r="E262" s="103">
        <f>IF(Human_Data_Entry!G260="","",Human_Data_Entry!G260)</f>
        <v/>
      </c>
      <c r="F262" s="103">
        <f>IF(Human_Data_Entry!X260="","",Human_Data_Entry!X260)</f>
        <v/>
      </c>
      <c r="G262" s="103">
        <f>IF(Human_Data_Entry!AY260="","",Human_Data_Entry!AY260)</f>
        <v/>
      </c>
      <c r="H262" s="103">
        <f>IF(Human_Data_Entry!AZ260="","",Human_Data_Entry!AZ260)</f>
        <v/>
      </c>
      <c r="I262" s="103">
        <f>IF(Human_Data_Entry!AL260="","",Human_Data_Entry!AL260)</f>
        <v/>
      </c>
      <c r="J262" s="103">
        <f>IF(Human_Data_Entry!AM260="","",Human_Data_Entry!AM260)</f>
        <v/>
      </c>
      <c r="K262" s="103">
        <f>IF(Human_Data_Entry!AN260="","",Human_Data_Entry!AN260)</f>
        <v/>
      </c>
      <c r="L262" s="103">
        <f>IF(Human_Data_Entry!AO260="","",Human_Data_Entry!AO260)</f>
        <v/>
      </c>
      <c r="M262" s="103">
        <f>IF(Human_Data_Entry!BM260="","",Human_Data_Entry!BM260)</f>
        <v/>
      </c>
      <c r="N262" s="103">
        <f>IF(Human_Data_Entry!BN260="","",Human_Data_Entry!BN260)</f>
        <v/>
      </c>
      <c r="O262" s="103">
        <f>IF(Human_Data_Entry!BO260="","",Human_Data_Entry!BO260)</f>
        <v/>
      </c>
      <c r="P262" s="103">
        <f>IF(Human_Data_Entry!BP260="","",Human_Data_Entry!BP260)</f>
        <v/>
      </c>
      <c r="Q262" s="103">
        <f>IF(Human_Data_Entry!BQ260="","",Human_Data_Entry!BQ260)</f>
        <v/>
      </c>
      <c r="R262" s="103">
        <f>IF(Human_Data_Entry!BR260="","",Human_Data_Entry!BR260)</f>
        <v/>
      </c>
      <c r="S262" s="103">
        <f>IF(Human_Data_Entry!BS260="","",Human_Data_Entry!BS260)</f>
        <v/>
      </c>
      <c r="T262" s="103">
        <f>IF(Human_Data_Entry!BT260="","",Human_Data_Entry!BT260)</f>
        <v/>
      </c>
    </row>
    <row r="263" ht="15" customHeight="1" s="241">
      <c r="A263" s="103">
        <f>IF(Human_Data_Entry!A261="","",Human_Data_Entry!A261)</f>
        <v/>
      </c>
      <c r="B263" s="103">
        <f>IF(Human_Data_Entry!B261="","",Human_Data_Entry!B261)</f>
        <v/>
      </c>
      <c r="C263" s="104">
        <f>IF(Human_Data_Entry!C261="","",Human_Data_Entry!C261)</f>
        <v/>
      </c>
      <c r="D263" s="103">
        <f>IF(Human_Data_Entry!D261="","",Human_Data_Entry!D261)</f>
        <v/>
      </c>
      <c r="E263" s="103">
        <f>IF(Human_Data_Entry!G261="","",Human_Data_Entry!G261)</f>
        <v/>
      </c>
      <c r="F263" s="103">
        <f>IF(Human_Data_Entry!X261="","",Human_Data_Entry!X261)</f>
        <v/>
      </c>
      <c r="G263" s="103">
        <f>IF(Human_Data_Entry!AY261="","",Human_Data_Entry!AY261)</f>
        <v/>
      </c>
      <c r="H263" s="103">
        <f>IF(Human_Data_Entry!AZ261="","",Human_Data_Entry!AZ261)</f>
        <v/>
      </c>
      <c r="I263" s="103">
        <f>IF(Human_Data_Entry!AL261="","",Human_Data_Entry!AL261)</f>
        <v/>
      </c>
      <c r="J263" s="103">
        <f>IF(Human_Data_Entry!AM261="","",Human_Data_Entry!AM261)</f>
        <v/>
      </c>
      <c r="K263" s="103">
        <f>IF(Human_Data_Entry!AN261="","",Human_Data_Entry!AN261)</f>
        <v/>
      </c>
      <c r="L263" s="103">
        <f>IF(Human_Data_Entry!AO261="","",Human_Data_Entry!AO261)</f>
        <v/>
      </c>
      <c r="M263" s="103">
        <f>IF(Human_Data_Entry!BM261="","",Human_Data_Entry!BM261)</f>
        <v/>
      </c>
      <c r="N263" s="103">
        <f>IF(Human_Data_Entry!BN261="","",Human_Data_Entry!BN261)</f>
        <v/>
      </c>
      <c r="O263" s="103">
        <f>IF(Human_Data_Entry!BO261="","",Human_Data_Entry!BO261)</f>
        <v/>
      </c>
      <c r="P263" s="103">
        <f>IF(Human_Data_Entry!BP261="","",Human_Data_Entry!BP261)</f>
        <v/>
      </c>
      <c r="Q263" s="103">
        <f>IF(Human_Data_Entry!BQ261="","",Human_Data_Entry!BQ261)</f>
        <v/>
      </c>
      <c r="R263" s="103">
        <f>IF(Human_Data_Entry!BR261="","",Human_Data_Entry!BR261)</f>
        <v/>
      </c>
      <c r="S263" s="103">
        <f>IF(Human_Data_Entry!BS261="","",Human_Data_Entry!BS261)</f>
        <v/>
      </c>
      <c r="T263" s="103">
        <f>IF(Human_Data_Entry!BT261="","",Human_Data_Entry!BT261)</f>
        <v/>
      </c>
    </row>
    <row r="264" ht="15" customHeight="1" s="241">
      <c r="A264" s="103">
        <f>IF(Human_Data_Entry!A262="","",Human_Data_Entry!A262)</f>
        <v/>
      </c>
      <c r="B264" s="103">
        <f>IF(Human_Data_Entry!B262="","",Human_Data_Entry!B262)</f>
        <v/>
      </c>
      <c r="C264" s="104">
        <f>IF(Human_Data_Entry!C262="","",Human_Data_Entry!C262)</f>
        <v/>
      </c>
      <c r="D264" s="103">
        <f>IF(Human_Data_Entry!D262="","",Human_Data_Entry!D262)</f>
        <v/>
      </c>
      <c r="E264" s="103">
        <f>IF(Human_Data_Entry!G262="","",Human_Data_Entry!G262)</f>
        <v/>
      </c>
      <c r="F264" s="103">
        <f>IF(Human_Data_Entry!X262="","",Human_Data_Entry!X262)</f>
        <v/>
      </c>
      <c r="G264" s="103">
        <f>IF(Human_Data_Entry!AY262="","",Human_Data_Entry!AY262)</f>
        <v/>
      </c>
      <c r="H264" s="103">
        <f>IF(Human_Data_Entry!AZ262="","",Human_Data_Entry!AZ262)</f>
        <v/>
      </c>
      <c r="I264" s="103">
        <f>IF(Human_Data_Entry!AL262="","",Human_Data_Entry!AL262)</f>
        <v/>
      </c>
      <c r="J264" s="103">
        <f>IF(Human_Data_Entry!AM262="","",Human_Data_Entry!AM262)</f>
        <v/>
      </c>
      <c r="K264" s="103">
        <f>IF(Human_Data_Entry!AN262="","",Human_Data_Entry!AN262)</f>
        <v/>
      </c>
      <c r="L264" s="103">
        <f>IF(Human_Data_Entry!AO262="","",Human_Data_Entry!AO262)</f>
        <v/>
      </c>
      <c r="M264" s="103">
        <f>IF(Human_Data_Entry!BM262="","",Human_Data_Entry!BM262)</f>
        <v/>
      </c>
      <c r="N264" s="103">
        <f>IF(Human_Data_Entry!BN262="","",Human_Data_Entry!BN262)</f>
        <v/>
      </c>
      <c r="O264" s="103">
        <f>IF(Human_Data_Entry!BO262="","",Human_Data_Entry!BO262)</f>
        <v/>
      </c>
      <c r="P264" s="103">
        <f>IF(Human_Data_Entry!BP262="","",Human_Data_Entry!BP262)</f>
        <v/>
      </c>
      <c r="Q264" s="103">
        <f>IF(Human_Data_Entry!BQ262="","",Human_Data_Entry!BQ262)</f>
        <v/>
      </c>
      <c r="R264" s="103">
        <f>IF(Human_Data_Entry!BR262="","",Human_Data_Entry!BR262)</f>
        <v/>
      </c>
      <c r="S264" s="103">
        <f>IF(Human_Data_Entry!BS262="","",Human_Data_Entry!BS262)</f>
        <v/>
      </c>
      <c r="T264" s="103">
        <f>IF(Human_Data_Entry!BT262="","",Human_Data_Entry!BT262)</f>
        <v/>
      </c>
    </row>
    <row r="265" ht="15" customHeight="1" s="241">
      <c r="A265" s="103">
        <f>IF(Human_Data_Entry!A263="","",Human_Data_Entry!A263)</f>
        <v/>
      </c>
      <c r="B265" s="103">
        <f>IF(Human_Data_Entry!B263="","",Human_Data_Entry!B263)</f>
        <v/>
      </c>
      <c r="C265" s="104">
        <f>IF(Human_Data_Entry!C263="","",Human_Data_Entry!C263)</f>
        <v/>
      </c>
      <c r="D265" s="103">
        <f>IF(Human_Data_Entry!D263="","",Human_Data_Entry!D263)</f>
        <v/>
      </c>
      <c r="E265" s="103">
        <f>IF(Human_Data_Entry!G263="","",Human_Data_Entry!G263)</f>
        <v/>
      </c>
      <c r="F265" s="103">
        <f>IF(Human_Data_Entry!X263="","",Human_Data_Entry!X263)</f>
        <v/>
      </c>
      <c r="G265" s="103">
        <f>IF(Human_Data_Entry!AY263="","",Human_Data_Entry!AY263)</f>
        <v/>
      </c>
      <c r="H265" s="103">
        <f>IF(Human_Data_Entry!AZ263="","",Human_Data_Entry!AZ263)</f>
        <v/>
      </c>
      <c r="I265" s="103">
        <f>IF(Human_Data_Entry!AL263="","",Human_Data_Entry!AL263)</f>
        <v/>
      </c>
      <c r="J265" s="103">
        <f>IF(Human_Data_Entry!AM263="","",Human_Data_Entry!AM263)</f>
        <v/>
      </c>
      <c r="K265" s="103">
        <f>IF(Human_Data_Entry!AN263="","",Human_Data_Entry!AN263)</f>
        <v/>
      </c>
      <c r="L265" s="103">
        <f>IF(Human_Data_Entry!AO263="","",Human_Data_Entry!AO263)</f>
        <v/>
      </c>
      <c r="M265" s="103">
        <f>IF(Human_Data_Entry!BM263="","",Human_Data_Entry!BM263)</f>
        <v/>
      </c>
      <c r="N265" s="103">
        <f>IF(Human_Data_Entry!BN263="","",Human_Data_Entry!BN263)</f>
        <v/>
      </c>
      <c r="O265" s="103">
        <f>IF(Human_Data_Entry!BO263="","",Human_Data_Entry!BO263)</f>
        <v/>
      </c>
      <c r="P265" s="103">
        <f>IF(Human_Data_Entry!BP263="","",Human_Data_Entry!BP263)</f>
        <v/>
      </c>
      <c r="Q265" s="103">
        <f>IF(Human_Data_Entry!BQ263="","",Human_Data_Entry!BQ263)</f>
        <v/>
      </c>
      <c r="R265" s="103">
        <f>IF(Human_Data_Entry!BR263="","",Human_Data_Entry!BR263)</f>
        <v/>
      </c>
      <c r="S265" s="103">
        <f>IF(Human_Data_Entry!BS263="","",Human_Data_Entry!BS263)</f>
        <v/>
      </c>
      <c r="T265" s="103">
        <f>IF(Human_Data_Entry!BT263="","",Human_Data_Entry!BT263)</f>
        <v/>
      </c>
    </row>
    <row r="266" ht="15" customHeight="1" s="241">
      <c r="A266" s="103">
        <f>IF(Human_Data_Entry!A264="","",Human_Data_Entry!A264)</f>
        <v/>
      </c>
      <c r="B266" s="103">
        <f>IF(Human_Data_Entry!B264="","",Human_Data_Entry!B264)</f>
        <v/>
      </c>
      <c r="C266" s="104">
        <f>IF(Human_Data_Entry!C264="","",Human_Data_Entry!C264)</f>
        <v/>
      </c>
      <c r="D266" s="103">
        <f>IF(Human_Data_Entry!D264="","",Human_Data_Entry!D264)</f>
        <v/>
      </c>
      <c r="E266" s="103">
        <f>IF(Human_Data_Entry!G264="","",Human_Data_Entry!G264)</f>
        <v/>
      </c>
      <c r="F266" s="103">
        <f>IF(Human_Data_Entry!X264="","",Human_Data_Entry!X264)</f>
        <v/>
      </c>
      <c r="G266" s="103">
        <f>IF(Human_Data_Entry!AY264="","",Human_Data_Entry!AY264)</f>
        <v/>
      </c>
      <c r="H266" s="103">
        <f>IF(Human_Data_Entry!AZ264="","",Human_Data_Entry!AZ264)</f>
        <v/>
      </c>
      <c r="I266" s="103">
        <f>IF(Human_Data_Entry!AL264="","",Human_Data_Entry!AL264)</f>
        <v/>
      </c>
      <c r="J266" s="103">
        <f>IF(Human_Data_Entry!AM264="","",Human_Data_Entry!AM264)</f>
        <v/>
      </c>
      <c r="K266" s="103">
        <f>IF(Human_Data_Entry!AN264="","",Human_Data_Entry!AN264)</f>
        <v/>
      </c>
      <c r="L266" s="103">
        <f>IF(Human_Data_Entry!AO264="","",Human_Data_Entry!AO264)</f>
        <v/>
      </c>
      <c r="M266" s="103">
        <f>IF(Human_Data_Entry!BM264="","",Human_Data_Entry!BM264)</f>
        <v/>
      </c>
      <c r="N266" s="103">
        <f>IF(Human_Data_Entry!BN264="","",Human_Data_Entry!BN264)</f>
        <v/>
      </c>
      <c r="O266" s="103">
        <f>IF(Human_Data_Entry!BO264="","",Human_Data_Entry!BO264)</f>
        <v/>
      </c>
      <c r="P266" s="103">
        <f>IF(Human_Data_Entry!BP264="","",Human_Data_Entry!BP264)</f>
        <v/>
      </c>
      <c r="Q266" s="103">
        <f>IF(Human_Data_Entry!BQ264="","",Human_Data_Entry!BQ264)</f>
        <v/>
      </c>
      <c r="R266" s="103">
        <f>IF(Human_Data_Entry!BR264="","",Human_Data_Entry!BR264)</f>
        <v/>
      </c>
      <c r="S266" s="103">
        <f>IF(Human_Data_Entry!BS264="","",Human_Data_Entry!BS264)</f>
        <v/>
      </c>
      <c r="T266" s="103">
        <f>IF(Human_Data_Entry!BT264="","",Human_Data_Entry!BT264)</f>
        <v/>
      </c>
    </row>
    <row r="267" ht="15" customHeight="1" s="241">
      <c r="A267" s="103">
        <f>IF(Human_Data_Entry!A265="","",Human_Data_Entry!A265)</f>
        <v/>
      </c>
      <c r="B267" s="103">
        <f>IF(Human_Data_Entry!B265="","",Human_Data_Entry!B265)</f>
        <v/>
      </c>
      <c r="C267" s="104">
        <f>IF(Human_Data_Entry!C265="","",Human_Data_Entry!C265)</f>
        <v/>
      </c>
      <c r="D267" s="103">
        <f>IF(Human_Data_Entry!D265="","",Human_Data_Entry!D265)</f>
        <v/>
      </c>
      <c r="E267" s="103">
        <f>IF(Human_Data_Entry!G265="","",Human_Data_Entry!G265)</f>
        <v/>
      </c>
      <c r="F267" s="103">
        <f>IF(Human_Data_Entry!X265="","",Human_Data_Entry!X265)</f>
        <v/>
      </c>
      <c r="G267" s="103">
        <f>IF(Human_Data_Entry!AY265="","",Human_Data_Entry!AY265)</f>
        <v/>
      </c>
      <c r="H267" s="103">
        <f>IF(Human_Data_Entry!AZ265="","",Human_Data_Entry!AZ265)</f>
        <v/>
      </c>
      <c r="I267" s="103">
        <f>IF(Human_Data_Entry!AL265="","",Human_Data_Entry!AL265)</f>
        <v/>
      </c>
      <c r="J267" s="103">
        <f>IF(Human_Data_Entry!AM265="","",Human_Data_Entry!AM265)</f>
        <v/>
      </c>
      <c r="K267" s="103">
        <f>IF(Human_Data_Entry!AN265="","",Human_Data_Entry!AN265)</f>
        <v/>
      </c>
      <c r="L267" s="103">
        <f>IF(Human_Data_Entry!AO265="","",Human_Data_Entry!AO265)</f>
        <v/>
      </c>
      <c r="M267" s="103">
        <f>IF(Human_Data_Entry!BM265="","",Human_Data_Entry!BM265)</f>
        <v/>
      </c>
      <c r="N267" s="103">
        <f>IF(Human_Data_Entry!BN265="","",Human_Data_Entry!BN265)</f>
        <v/>
      </c>
      <c r="O267" s="103">
        <f>IF(Human_Data_Entry!BO265="","",Human_Data_Entry!BO265)</f>
        <v/>
      </c>
      <c r="P267" s="103">
        <f>IF(Human_Data_Entry!BP265="","",Human_Data_Entry!BP265)</f>
        <v/>
      </c>
      <c r="Q267" s="103">
        <f>IF(Human_Data_Entry!BQ265="","",Human_Data_Entry!BQ265)</f>
        <v/>
      </c>
      <c r="R267" s="103">
        <f>IF(Human_Data_Entry!BR265="","",Human_Data_Entry!BR265)</f>
        <v/>
      </c>
      <c r="S267" s="103">
        <f>IF(Human_Data_Entry!BS265="","",Human_Data_Entry!BS265)</f>
        <v/>
      </c>
      <c r="T267" s="103">
        <f>IF(Human_Data_Entry!BT265="","",Human_Data_Entry!BT265)</f>
        <v/>
      </c>
    </row>
    <row r="268" ht="15" customHeight="1" s="241">
      <c r="A268" s="103">
        <f>IF(Human_Data_Entry!A266="","",Human_Data_Entry!A266)</f>
        <v/>
      </c>
      <c r="B268" s="103">
        <f>IF(Human_Data_Entry!B266="","",Human_Data_Entry!B266)</f>
        <v/>
      </c>
      <c r="C268" s="104">
        <f>IF(Human_Data_Entry!C266="","",Human_Data_Entry!C266)</f>
        <v/>
      </c>
      <c r="D268" s="103">
        <f>IF(Human_Data_Entry!D266="","",Human_Data_Entry!D266)</f>
        <v/>
      </c>
      <c r="E268" s="103">
        <f>IF(Human_Data_Entry!G266="","",Human_Data_Entry!G266)</f>
        <v/>
      </c>
      <c r="F268" s="103">
        <f>IF(Human_Data_Entry!X266="","",Human_Data_Entry!X266)</f>
        <v/>
      </c>
      <c r="G268" s="103">
        <f>IF(Human_Data_Entry!AY266="","",Human_Data_Entry!AY266)</f>
        <v/>
      </c>
      <c r="H268" s="103">
        <f>IF(Human_Data_Entry!AZ266="","",Human_Data_Entry!AZ266)</f>
        <v/>
      </c>
      <c r="I268" s="103">
        <f>IF(Human_Data_Entry!AL266="","",Human_Data_Entry!AL266)</f>
        <v/>
      </c>
      <c r="J268" s="103">
        <f>IF(Human_Data_Entry!AM266="","",Human_Data_Entry!AM266)</f>
        <v/>
      </c>
      <c r="K268" s="103">
        <f>IF(Human_Data_Entry!AN266="","",Human_Data_Entry!AN266)</f>
        <v/>
      </c>
      <c r="L268" s="103">
        <f>IF(Human_Data_Entry!AO266="","",Human_Data_Entry!AO266)</f>
        <v/>
      </c>
      <c r="M268" s="103">
        <f>IF(Human_Data_Entry!BM266="","",Human_Data_Entry!BM266)</f>
        <v/>
      </c>
      <c r="N268" s="103">
        <f>IF(Human_Data_Entry!BN266="","",Human_Data_Entry!BN266)</f>
        <v/>
      </c>
      <c r="O268" s="103">
        <f>IF(Human_Data_Entry!BO266="","",Human_Data_Entry!BO266)</f>
        <v/>
      </c>
      <c r="P268" s="103">
        <f>IF(Human_Data_Entry!BP266="","",Human_Data_Entry!BP266)</f>
        <v/>
      </c>
      <c r="Q268" s="103">
        <f>IF(Human_Data_Entry!BQ266="","",Human_Data_Entry!BQ266)</f>
        <v/>
      </c>
      <c r="R268" s="103">
        <f>IF(Human_Data_Entry!BR266="","",Human_Data_Entry!BR266)</f>
        <v/>
      </c>
      <c r="S268" s="103">
        <f>IF(Human_Data_Entry!BS266="","",Human_Data_Entry!BS266)</f>
        <v/>
      </c>
      <c r="T268" s="103">
        <f>IF(Human_Data_Entry!BT266="","",Human_Data_Entry!BT266)</f>
        <v/>
      </c>
    </row>
    <row r="269" ht="15" customHeight="1" s="241">
      <c r="A269" s="103">
        <f>IF(Human_Data_Entry!A267="","",Human_Data_Entry!A267)</f>
        <v/>
      </c>
      <c r="B269" s="103">
        <f>IF(Human_Data_Entry!B267="","",Human_Data_Entry!B267)</f>
        <v/>
      </c>
      <c r="C269" s="104">
        <f>IF(Human_Data_Entry!C267="","",Human_Data_Entry!C267)</f>
        <v/>
      </c>
      <c r="D269" s="103">
        <f>IF(Human_Data_Entry!D267="","",Human_Data_Entry!D267)</f>
        <v/>
      </c>
      <c r="E269" s="103">
        <f>IF(Human_Data_Entry!G267="","",Human_Data_Entry!G267)</f>
        <v/>
      </c>
      <c r="F269" s="103">
        <f>IF(Human_Data_Entry!X267="","",Human_Data_Entry!X267)</f>
        <v/>
      </c>
      <c r="G269" s="103">
        <f>IF(Human_Data_Entry!AY267="","",Human_Data_Entry!AY267)</f>
        <v/>
      </c>
      <c r="H269" s="103">
        <f>IF(Human_Data_Entry!AZ267="","",Human_Data_Entry!AZ267)</f>
        <v/>
      </c>
      <c r="I269" s="103">
        <f>IF(Human_Data_Entry!AL267="","",Human_Data_Entry!AL267)</f>
        <v/>
      </c>
      <c r="J269" s="103">
        <f>IF(Human_Data_Entry!AM267="","",Human_Data_Entry!AM267)</f>
        <v/>
      </c>
      <c r="K269" s="103">
        <f>IF(Human_Data_Entry!AN267="","",Human_Data_Entry!AN267)</f>
        <v/>
      </c>
      <c r="L269" s="103">
        <f>IF(Human_Data_Entry!AO267="","",Human_Data_Entry!AO267)</f>
        <v/>
      </c>
      <c r="M269" s="103">
        <f>IF(Human_Data_Entry!BM267="","",Human_Data_Entry!BM267)</f>
        <v/>
      </c>
      <c r="N269" s="103">
        <f>IF(Human_Data_Entry!BN267="","",Human_Data_Entry!BN267)</f>
        <v/>
      </c>
      <c r="O269" s="103">
        <f>IF(Human_Data_Entry!BO267="","",Human_Data_Entry!BO267)</f>
        <v/>
      </c>
      <c r="P269" s="103">
        <f>IF(Human_Data_Entry!BP267="","",Human_Data_Entry!BP267)</f>
        <v/>
      </c>
      <c r="Q269" s="103">
        <f>IF(Human_Data_Entry!BQ267="","",Human_Data_Entry!BQ267)</f>
        <v/>
      </c>
      <c r="R269" s="103">
        <f>IF(Human_Data_Entry!BR267="","",Human_Data_Entry!BR267)</f>
        <v/>
      </c>
      <c r="S269" s="103">
        <f>IF(Human_Data_Entry!BS267="","",Human_Data_Entry!BS267)</f>
        <v/>
      </c>
      <c r="T269" s="103">
        <f>IF(Human_Data_Entry!BT267="","",Human_Data_Entry!BT267)</f>
        <v/>
      </c>
    </row>
    <row r="270" ht="15" customHeight="1" s="241">
      <c r="A270" s="103">
        <f>IF(Human_Data_Entry!A268="","",Human_Data_Entry!A268)</f>
        <v/>
      </c>
      <c r="B270" s="103">
        <f>IF(Human_Data_Entry!B268="","",Human_Data_Entry!B268)</f>
        <v/>
      </c>
      <c r="C270" s="104">
        <f>IF(Human_Data_Entry!C268="","",Human_Data_Entry!C268)</f>
        <v/>
      </c>
      <c r="D270" s="103">
        <f>IF(Human_Data_Entry!D268="","",Human_Data_Entry!D268)</f>
        <v/>
      </c>
      <c r="E270" s="103">
        <f>IF(Human_Data_Entry!G268="","",Human_Data_Entry!G268)</f>
        <v/>
      </c>
      <c r="F270" s="103">
        <f>IF(Human_Data_Entry!X268="","",Human_Data_Entry!X268)</f>
        <v/>
      </c>
      <c r="G270" s="103">
        <f>IF(Human_Data_Entry!AY268="","",Human_Data_Entry!AY268)</f>
        <v/>
      </c>
      <c r="H270" s="103">
        <f>IF(Human_Data_Entry!AZ268="","",Human_Data_Entry!AZ268)</f>
        <v/>
      </c>
      <c r="I270" s="103">
        <f>IF(Human_Data_Entry!AL268="","",Human_Data_Entry!AL268)</f>
        <v/>
      </c>
      <c r="J270" s="103">
        <f>IF(Human_Data_Entry!AM268="","",Human_Data_Entry!AM268)</f>
        <v/>
      </c>
      <c r="K270" s="103">
        <f>IF(Human_Data_Entry!AN268="","",Human_Data_Entry!AN268)</f>
        <v/>
      </c>
      <c r="L270" s="103">
        <f>IF(Human_Data_Entry!AO268="","",Human_Data_Entry!AO268)</f>
        <v/>
      </c>
      <c r="M270" s="103">
        <f>IF(Human_Data_Entry!BM268="","",Human_Data_Entry!BM268)</f>
        <v/>
      </c>
      <c r="N270" s="103">
        <f>IF(Human_Data_Entry!BN268="","",Human_Data_Entry!BN268)</f>
        <v/>
      </c>
      <c r="O270" s="103">
        <f>IF(Human_Data_Entry!BO268="","",Human_Data_Entry!BO268)</f>
        <v/>
      </c>
      <c r="P270" s="103">
        <f>IF(Human_Data_Entry!BP268="","",Human_Data_Entry!BP268)</f>
        <v/>
      </c>
      <c r="Q270" s="103">
        <f>IF(Human_Data_Entry!BQ268="","",Human_Data_Entry!BQ268)</f>
        <v/>
      </c>
      <c r="R270" s="103">
        <f>IF(Human_Data_Entry!BR268="","",Human_Data_Entry!BR268)</f>
        <v/>
      </c>
      <c r="S270" s="103">
        <f>IF(Human_Data_Entry!BS268="","",Human_Data_Entry!BS268)</f>
        <v/>
      </c>
      <c r="T270" s="103">
        <f>IF(Human_Data_Entry!BT268="","",Human_Data_Entry!BT268)</f>
        <v/>
      </c>
    </row>
    <row r="271" ht="15" customHeight="1" s="241">
      <c r="A271" s="103">
        <f>IF(Human_Data_Entry!A269="","",Human_Data_Entry!A269)</f>
        <v/>
      </c>
      <c r="B271" s="103">
        <f>IF(Human_Data_Entry!B269="","",Human_Data_Entry!B269)</f>
        <v/>
      </c>
      <c r="C271" s="104">
        <f>IF(Human_Data_Entry!C269="","",Human_Data_Entry!C269)</f>
        <v/>
      </c>
      <c r="D271" s="103">
        <f>IF(Human_Data_Entry!D269="","",Human_Data_Entry!D269)</f>
        <v/>
      </c>
      <c r="E271" s="103">
        <f>IF(Human_Data_Entry!G269="","",Human_Data_Entry!G269)</f>
        <v/>
      </c>
      <c r="F271" s="103">
        <f>IF(Human_Data_Entry!X269="","",Human_Data_Entry!X269)</f>
        <v/>
      </c>
      <c r="G271" s="103">
        <f>IF(Human_Data_Entry!AY269="","",Human_Data_Entry!AY269)</f>
        <v/>
      </c>
      <c r="H271" s="103">
        <f>IF(Human_Data_Entry!AZ269="","",Human_Data_Entry!AZ269)</f>
        <v/>
      </c>
      <c r="I271" s="103">
        <f>IF(Human_Data_Entry!AL269="","",Human_Data_Entry!AL269)</f>
        <v/>
      </c>
      <c r="J271" s="103">
        <f>IF(Human_Data_Entry!AM269="","",Human_Data_Entry!AM269)</f>
        <v/>
      </c>
      <c r="K271" s="103">
        <f>IF(Human_Data_Entry!AN269="","",Human_Data_Entry!AN269)</f>
        <v/>
      </c>
      <c r="L271" s="103">
        <f>IF(Human_Data_Entry!AO269="","",Human_Data_Entry!AO269)</f>
        <v/>
      </c>
      <c r="M271" s="103">
        <f>IF(Human_Data_Entry!BM269="","",Human_Data_Entry!BM269)</f>
        <v/>
      </c>
      <c r="N271" s="103">
        <f>IF(Human_Data_Entry!BN269="","",Human_Data_Entry!BN269)</f>
        <v/>
      </c>
      <c r="O271" s="103">
        <f>IF(Human_Data_Entry!BO269="","",Human_Data_Entry!BO269)</f>
        <v/>
      </c>
      <c r="P271" s="103">
        <f>IF(Human_Data_Entry!BP269="","",Human_Data_Entry!BP269)</f>
        <v/>
      </c>
      <c r="Q271" s="103">
        <f>IF(Human_Data_Entry!BQ269="","",Human_Data_Entry!BQ269)</f>
        <v/>
      </c>
      <c r="R271" s="103">
        <f>IF(Human_Data_Entry!BR269="","",Human_Data_Entry!BR269)</f>
        <v/>
      </c>
      <c r="S271" s="103">
        <f>IF(Human_Data_Entry!BS269="","",Human_Data_Entry!BS269)</f>
        <v/>
      </c>
      <c r="T271" s="103">
        <f>IF(Human_Data_Entry!BT269="","",Human_Data_Entry!BT269)</f>
        <v/>
      </c>
    </row>
    <row r="272" ht="15" customHeight="1" s="241">
      <c r="A272" s="103">
        <f>IF(Human_Data_Entry!A270="","",Human_Data_Entry!A270)</f>
        <v/>
      </c>
      <c r="B272" s="103">
        <f>IF(Human_Data_Entry!B270="","",Human_Data_Entry!B270)</f>
        <v/>
      </c>
      <c r="C272" s="104">
        <f>IF(Human_Data_Entry!C270="","",Human_Data_Entry!C270)</f>
        <v/>
      </c>
      <c r="D272" s="103">
        <f>IF(Human_Data_Entry!D270="","",Human_Data_Entry!D270)</f>
        <v/>
      </c>
      <c r="E272" s="103">
        <f>IF(Human_Data_Entry!G270="","",Human_Data_Entry!G270)</f>
        <v/>
      </c>
      <c r="F272" s="103">
        <f>IF(Human_Data_Entry!X270="","",Human_Data_Entry!X270)</f>
        <v/>
      </c>
      <c r="G272" s="103">
        <f>IF(Human_Data_Entry!AY270="","",Human_Data_Entry!AY270)</f>
        <v/>
      </c>
      <c r="H272" s="103">
        <f>IF(Human_Data_Entry!AZ270="","",Human_Data_Entry!AZ270)</f>
        <v/>
      </c>
      <c r="I272" s="103">
        <f>IF(Human_Data_Entry!AL270="","",Human_Data_Entry!AL270)</f>
        <v/>
      </c>
      <c r="J272" s="103">
        <f>IF(Human_Data_Entry!AM270="","",Human_Data_Entry!AM270)</f>
        <v/>
      </c>
      <c r="K272" s="103">
        <f>IF(Human_Data_Entry!AN270="","",Human_Data_Entry!AN270)</f>
        <v/>
      </c>
      <c r="L272" s="103">
        <f>IF(Human_Data_Entry!AO270="","",Human_Data_Entry!AO270)</f>
        <v/>
      </c>
      <c r="M272" s="103">
        <f>IF(Human_Data_Entry!BM270="","",Human_Data_Entry!BM270)</f>
        <v/>
      </c>
      <c r="N272" s="103">
        <f>IF(Human_Data_Entry!BN270="","",Human_Data_Entry!BN270)</f>
        <v/>
      </c>
      <c r="O272" s="103">
        <f>IF(Human_Data_Entry!BO270="","",Human_Data_Entry!BO270)</f>
        <v/>
      </c>
      <c r="P272" s="103">
        <f>IF(Human_Data_Entry!BP270="","",Human_Data_Entry!BP270)</f>
        <v/>
      </c>
      <c r="Q272" s="103">
        <f>IF(Human_Data_Entry!BQ270="","",Human_Data_Entry!BQ270)</f>
        <v/>
      </c>
      <c r="R272" s="103">
        <f>IF(Human_Data_Entry!BR270="","",Human_Data_Entry!BR270)</f>
        <v/>
      </c>
      <c r="S272" s="103">
        <f>IF(Human_Data_Entry!BS270="","",Human_Data_Entry!BS270)</f>
        <v/>
      </c>
      <c r="T272" s="103">
        <f>IF(Human_Data_Entry!BT270="","",Human_Data_Entry!BT270)</f>
        <v/>
      </c>
    </row>
    <row r="273" ht="15" customHeight="1" s="241">
      <c r="A273" s="103">
        <f>IF(Human_Data_Entry!A271="","",Human_Data_Entry!A271)</f>
        <v/>
      </c>
      <c r="B273" s="103">
        <f>IF(Human_Data_Entry!B271="","",Human_Data_Entry!B271)</f>
        <v/>
      </c>
      <c r="C273" s="104">
        <f>IF(Human_Data_Entry!C271="","",Human_Data_Entry!C271)</f>
        <v/>
      </c>
      <c r="D273" s="103">
        <f>IF(Human_Data_Entry!D271="","",Human_Data_Entry!D271)</f>
        <v/>
      </c>
      <c r="E273" s="103">
        <f>IF(Human_Data_Entry!G271="","",Human_Data_Entry!G271)</f>
        <v/>
      </c>
      <c r="F273" s="103">
        <f>IF(Human_Data_Entry!X271="","",Human_Data_Entry!X271)</f>
        <v/>
      </c>
      <c r="G273" s="103">
        <f>IF(Human_Data_Entry!AY271="","",Human_Data_Entry!AY271)</f>
        <v/>
      </c>
      <c r="H273" s="103">
        <f>IF(Human_Data_Entry!AZ271="","",Human_Data_Entry!AZ271)</f>
        <v/>
      </c>
      <c r="I273" s="103">
        <f>IF(Human_Data_Entry!AL271="","",Human_Data_Entry!AL271)</f>
        <v/>
      </c>
      <c r="J273" s="103">
        <f>IF(Human_Data_Entry!AM271="","",Human_Data_Entry!AM271)</f>
        <v/>
      </c>
      <c r="K273" s="103">
        <f>IF(Human_Data_Entry!AN271="","",Human_Data_Entry!AN271)</f>
        <v/>
      </c>
      <c r="L273" s="103">
        <f>IF(Human_Data_Entry!AO271="","",Human_Data_Entry!AO271)</f>
        <v/>
      </c>
      <c r="M273" s="103">
        <f>IF(Human_Data_Entry!BM271="","",Human_Data_Entry!BM271)</f>
        <v/>
      </c>
      <c r="N273" s="103">
        <f>IF(Human_Data_Entry!BN271="","",Human_Data_Entry!BN271)</f>
        <v/>
      </c>
      <c r="O273" s="103">
        <f>IF(Human_Data_Entry!BO271="","",Human_Data_Entry!BO271)</f>
        <v/>
      </c>
      <c r="P273" s="103">
        <f>IF(Human_Data_Entry!BP271="","",Human_Data_Entry!BP271)</f>
        <v/>
      </c>
      <c r="Q273" s="103">
        <f>IF(Human_Data_Entry!BQ271="","",Human_Data_Entry!BQ271)</f>
        <v/>
      </c>
      <c r="R273" s="103">
        <f>IF(Human_Data_Entry!BR271="","",Human_Data_Entry!BR271)</f>
        <v/>
      </c>
      <c r="S273" s="103">
        <f>IF(Human_Data_Entry!BS271="","",Human_Data_Entry!BS271)</f>
        <v/>
      </c>
      <c r="T273" s="103">
        <f>IF(Human_Data_Entry!BT271="","",Human_Data_Entry!BT271)</f>
        <v/>
      </c>
    </row>
    <row r="274" ht="15" customHeight="1" s="241">
      <c r="A274" s="103">
        <f>IF(Human_Data_Entry!A272="","",Human_Data_Entry!A272)</f>
        <v/>
      </c>
      <c r="B274" s="103">
        <f>IF(Human_Data_Entry!B272="","",Human_Data_Entry!B272)</f>
        <v/>
      </c>
      <c r="C274" s="104">
        <f>IF(Human_Data_Entry!C272="","",Human_Data_Entry!C272)</f>
        <v/>
      </c>
      <c r="D274" s="103">
        <f>IF(Human_Data_Entry!D272="","",Human_Data_Entry!D272)</f>
        <v/>
      </c>
      <c r="E274" s="103">
        <f>IF(Human_Data_Entry!G272="","",Human_Data_Entry!G272)</f>
        <v/>
      </c>
      <c r="F274" s="103">
        <f>IF(Human_Data_Entry!X272="","",Human_Data_Entry!X272)</f>
        <v/>
      </c>
      <c r="G274" s="103">
        <f>IF(Human_Data_Entry!AY272="","",Human_Data_Entry!AY272)</f>
        <v/>
      </c>
      <c r="H274" s="103">
        <f>IF(Human_Data_Entry!AZ272="","",Human_Data_Entry!AZ272)</f>
        <v/>
      </c>
      <c r="I274" s="103">
        <f>IF(Human_Data_Entry!AL272="","",Human_Data_Entry!AL272)</f>
        <v/>
      </c>
      <c r="J274" s="103">
        <f>IF(Human_Data_Entry!AM272="","",Human_Data_Entry!AM272)</f>
        <v/>
      </c>
      <c r="K274" s="103">
        <f>IF(Human_Data_Entry!AN272="","",Human_Data_Entry!AN272)</f>
        <v/>
      </c>
      <c r="L274" s="103">
        <f>IF(Human_Data_Entry!AO272="","",Human_Data_Entry!AO272)</f>
        <v/>
      </c>
      <c r="M274" s="103">
        <f>IF(Human_Data_Entry!BM272="","",Human_Data_Entry!BM272)</f>
        <v/>
      </c>
      <c r="N274" s="103">
        <f>IF(Human_Data_Entry!BN272="","",Human_Data_Entry!BN272)</f>
        <v/>
      </c>
      <c r="O274" s="103">
        <f>IF(Human_Data_Entry!BO272="","",Human_Data_Entry!BO272)</f>
        <v/>
      </c>
      <c r="P274" s="103">
        <f>IF(Human_Data_Entry!BP272="","",Human_Data_Entry!BP272)</f>
        <v/>
      </c>
      <c r="Q274" s="103">
        <f>IF(Human_Data_Entry!BQ272="","",Human_Data_Entry!BQ272)</f>
        <v/>
      </c>
      <c r="R274" s="103">
        <f>IF(Human_Data_Entry!BR272="","",Human_Data_Entry!BR272)</f>
        <v/>
      </c>
      <c r="S274" s="103">
        <f>IF(Human_Data_Entry!BS272="","",Human_Data_Entry!BS272)</f>
        <v/>
      </c>
      <c r="T274" s="103">
        <f>IF(Human_Data_Entry!BT272="","",Human_Data_Entry!BT272)</f>
        <v/>
      </c>
    </row>
    <row r="275" ht="15" customHeight="1" s="241">
      <c r="A275" s="103">
        <f>IF(Human_Data_Entry!A273="","",Human_Data_Entry!A273)</f>
        <v/>
      </c>
      <c r="B275" s="103">
        <f>IF(Human_Data_Entry!B273="","",Human_Data_Entry!B273)</f>
        <v/>
      </c>
      <c r="C275" s="104">
        <f>IF(Human_Data_Entry!C273="","",Human_Data_Entry!C273)</f>
        <v/>
      </c>
      <c r="D275" s="103">
        <f>IF(Human_Data_Entry!D273="","",Human_Data_Entry!D273)</f>
        <v/>
      </c>
      <c r="E275" s="103">
        <f>IF(Human_Data_Entry!G273="","",Human_Data_Entry!G273)</f>
        <v/>
      </c>
      <c r="F275" s="103">
        <f>IF(Human_Data_Entry!X273="","",Human_Data_Entry!X273)</f>
        <v/>
      </c>
      <c r="G275" s="103">
        <f>IF(Human_Data_Entry!AY273="","",Human_Data_Entry!AY273)</f>
        <v/>
      </c>
      <c r="H275" s="103">
        <f>IF(Human_Data_Entry!AZ273="","",Human_Data_Entry!AZ273)</f>
        <v/>
      </c>
      <c r="I275" s="103">
        <f>IF(Human_Data_Entry!AL273="","",Human_Data_Entry!AL273)</f>
        <v/>
      </c>
      <c r="J275" s="103">
        <f>IF(Human_Data_Entry!AM273="","",Human_Data_Entry!AM273)</f>
        <v/>
      </c>
      <c r="K275" s="103">
        <f>IF(Human_Data_Entry!AN273="","",Human_Data_Entry!AN273)</f>
        <v/>
      </c>
      <c r="L275" s="103">
        <f>IF(Human_Data_Entry!AO273="","",Human_Data_Entry!AO273)</f>
        <v/>
      </c>
      <c r="M275" s="103">
        <f>IF(Human_Data_Entry!BM273="","",Human_Data_Entry!BM273)</f>
        <v/>
      </c>
      <c r="N275" s="103">
        <f>IF(Human_Data_Entry!BN273="","",Human_Data_Entry!BN273)</f>
        <v/>
      </c>
      <c r="O275" s="103">
        <f>IF(Human_Data_Entry!BO273="","",Human_Data_Entry!BO273)</f>
        <v/>
      </c>
      <c r="P275" s="103">
        <f>IF(Human_Data_Entry!BP273="","",Human_Data_Entry!BP273)</f>
        <v/>
      </c>
      <c r="Q275" s="103">
        <f>IF(Human_Data_Entry!BQ273="","",Human_Data_Entry!BQ273)</f>
        <v/>
      </c>
      <c r="R275" s="103">
        <f>IF(Human_Data_Entry!BR273="","",Human_Data_Entry!BR273)</f>
        <v/>
      </c>
      <c r="S275" s="103">
        <f>IF(Human_Data_Entry!BS273="","",Human_Data_Entry!BS273)</f>
        <v/>
      </c>
      <c r="T275" s="103">
        <f>IF(Human_Data_Entry!BT273="","",Human_Data_Entry!BT273)</f>
        <v/>
      </c>
    </row>
    <row r="276" ht="15" customHeight="1" s="241">
      <c r="A276" s="103">
        <f>IF(Human_Data_Entry!A274="","",Human_Data_Entry!A274)</f>
        <v/>
      </c>
      <c r="B276" s="103">
        <f>IF(Human_Data_Entry!B274="","",Human_Data_Entry!B274)</f>
        <v/>
      </c>
      <c r="C276" s="104">
        <f>IF(Human_Data_Entry!C274="","",Human_Data_Entry!C274)</f>
        <v/>
      </c>
      <c r="D276" s="103">
        <f>IF(Human_Data_Entry!D274="","",Human_Data_Entry!D274)</f>
        <v/>
      </c>
      <c r="E276" s="103">
        <f>IF(Human_Data_Entry!G274="","",Human_Data_Entry!G274)</f>
        <v/>
      </c>
      <c r="F276" s="103">
        <f>IF(Human_Data_Entry!X274="","",Human_Data_Entry!X274)</f>
        <v/>
      </c>
      <c r="G276" s="103">
        <f>IF(Human_Data_Entry!AY274="","",Human_Data_Entry!AY274)</f>
        <v/>
      </c>
      <c r="H276" s="103">
        <f>IF(Human_Data_Entry!AZ274="","",Human_Data_Entry!AZ274)</f>
        <v/>
      </c>
      <c r="I276" s="103">
        <f>IF(Human_Data_Entry!AL274="","",Human_Data_Entry!AL274)</f>
        <v/>
      </c>
      <c r="J276" s="103">
        <f>IF(Human_Data_Entry!AM274="","",Human_Data_Entry!AM274)</f>
        <v/>
      </c>
      <c r="K276" s="103">
        <f>IF(Human_Data_Entry!AN274="","",Human_Data_Entry!AN274)</f>
        <v/>
      </c>
      <c r="L276" s="103">
        <f>IF(Human_Data_Entry!AO274="","",Human_Data_Entry!AO274)</f>
        <v/>
      </c>
      <c r="M276" s="103">
        <f>IF(Human_Data_Entry!BM274="","",Human_Data_Entry!BM274)</f>
        <v/>
      </c>
      <c r="N276" s="103">
        <f>IF(Human_Data_Entry!BN274="","",Human_Data_Entry!BN274)</f>
        <v/>
      </c>
      <c r="O276" s="103">
        <f>IF(Human_Data_Entry!BO274="","",Human_Data_Entry!BO274)</f>
        <v/>
      </c>
      <c r="P276" s="103">
        <f>IF(Human_Data_Entry!BP274="","",Human_Data_Entry!BP274)</f>
        <v/>
      </c>
      <c r="Q276" s="103">
        <f>IF(Human_Data_Entry!BQ274="","",Human_Data_Entry!BQ274)</f>
        <v/>
      </c>
      <c r="R276" s="103">
        <f>IF(Human_Data_Entry!BR274="","",Human_Data_Entry!BR274)</f>
        <v/>
      </c>
      <c r="S276" s="103">
        <f>IF(Human_Data_Entry!BS274="","",Human_Data_Entry!BS274)</f>
        <v/>
      </c>
      <c r="T276" s="103">
        <f>IF(Human_Data_Entry!BT274="","",Human_Data_Entry!BT274)</f>
        <v/>
      </c>
    </row>
    <row r="277" ht="15" customHeight="1" s="241">
      <c r="A277" s="103">
        <f>IF(Human_Data_Entry!A275="","",Human_Data_Entry!A275)</f>
        <v/>
      </c>
      <c r="B277" s="103">
        <f>IF(Human_Data_Entry!B275="","",Human_Data_Entry!B275)</f>
        <v/>
      </c>
      <c r="C277" s="104">
        <f>IF(Human_Data_Entry!C275="","",Human_Data_Entry!C275)</f>
        <v/>
      </c>
      <c r="D277" s="103">
        <f>IF(Human_Data_Entry!D275="","",Human_Data_Entry!D275)</f>
        <v/>
      </c>
      <c r="E277" s="103">
        <f>IF(Human_Data_Entry!G275="","",Human_Data_Entry!G275)</f>
        <v/>
      </c>
      <c r="F277" s="103">
        <f>IF(Human_Data_Entry!X275="","",Human_Data_Entry!X275)</f>
        <v/>
      </c>
      <c r="G277" s="103">
        <f>IF(Human_Data_Entry!AY275="","",Human_Data_Entry!AY275)</f>
        <v/>
      </c>
      <c r="H277" s="103">
        <f>IF(Human_Data_Entry!AZ275="","",Human_Data_Entry!AZ275)</f>
        <v/>
      </c>
      <c r="I277" s="103">
        <f>IF(Human_Data_Entry!AL275="","",Human_Data_Entry!AL275)</f>
        <v/>
      </c>
      <c r="J277" s="103">
        <f>IF(Human_Data_Entry!AM275="","",Human_Data_Entry!AM275)</f>
        <v/>
      </c>
      <c r="K277" s="103">
        <f>IF(Human_Data_Entry!AN275="","",Human_Data_Entry!AN275)</f>
        <v/>
      </c>
      <c r="L277" s="103">
        <f>IF(Human_Data_Entry!AO275="","",Human_Data_Entry!AO275)</f>
        <v/>
      </c>
      <c r="M277" s="103">
        <f>IF(Human_Data_Entry!BM275="","",Human_Data_Entry!BM275)</f>
        <v/>
      </c>
      <c r="N277" s="103">
        <f>IF(Human_Data_Entry!BN275="","",Human_Data_Entry!BN275)</f>
        <v/>
      </c>
      <c r="O277" s="103">
        <f>IF(Human_Data_Entry!BO275="","",Human_Data_Entry!BO275)</f>
        <v/>
      </c>
      <c r="P277" s="103">
        <f>IF(Human_Data_Entry!BP275="","",Human_Data_Entry!BP275)</f>
        <v/>
      </c>
      <c r="Q277" s="103">
        <f>IF(Human_Data_Entry!BQ275="","",Human_Data_Entry!BQ275)</f>
        <v/>
      </c>
      <c r="R277" s="103">
        <f>IF(Human_Data_Entry!BR275="","",Human_Data_Entry!BR275)</f>
        <v/>
      </c>
      <c r="S277" s="103">
        <f>IF(Human_Data_Entry!BS275="","",Human_Data_Entry!BS275)</f>
        <v/>
      </c>
      <c r="T277" s="103">
        <f>IF(Human_Data_Entry!BT275="","",Human_Data_Entry!BT275)</f>
        <v/>
      </c>
    </row>
    <row r="278" ht="15" customHeight="1" s="241">
      <c r="A278" s="103">
        <f>IF(Human_Data_Entry!A276="","",Human_Data_Entry!A276)</f>
        <v/>
      </c>
      <c r="B278" s="103">
        <f>IF(Human_Data_Entry!B276="","",Human_Data_Entry!B276)</f>
        <v/>
      </c>
      <c r="C278" s="104">
        <f>IF(Human_Data_Entry!C276="","",Human_Data_Entry!C276)</f>
        <v/>
      </c>
      <c r="D278" s="103">
        <f>IF(Human_Data_Entry!D276="","",Human_Data_Entry!D276)</f>
        <v/>
      </c>
      <c r="E278" s="103">
        <f>IF(Human_Data_Entry!G276="","",Human_Data_Entry!G276)</f>
        <v/>
      </c>
      <c r="F278" s="103">
        <f>IF(Human_Data_Entry!X276="","",Human_Data_Entry!X276)</f>
        <v/>
      </c>
      <c r="G278" s="103">
        <f>IF(Human_Data_Entry!AY276="","",Human_Data_Entry!AY276)</f>
        <v/>
      </c>
      <c r="H278" s="103">
        <f>IF(Human_Data_Entry!AZ276="","",Human_Data_Entry!AZ276)</f>
        <v/>
      </c>
      <c r="I278" s="103">
        <f>IF(Human_Data_Entry!AL276="","",Human_Data_Entry!AL276)</f>
        <v/>
      </c>
      <c r="J278" s="103">
        <f>IF(Human_Data_Entry!AM276="","",Human_Data_Entry!AM276)</f>
        <v/>
      </c>
      <c r="K278" s="103">
        <f>IF(Human_Data_Entry!AN276="","",Human_Data_Entry!AN276)</f>
        <v/>
      </c>
      <c r="L278" s="103">
        <f>IF(Human_Data_Entry!AO276="","",Human_Data_Entry!AO276)</f>
        <v/>
      </c>
      <c r="M278" s="103">
        <f>IF(Human_Data_Entry!BM276="","",Human_Data_Entry!BM276)</f>
        <v/>
      </c>
      <c r="N278" s="103">
        <f>IF(Human_Data_Entry!BN276="","",Human_Data_Entry!BN276)</f>
        <v/>
      </c>
      <c r="O278" s="103">
        <f>IF(Human_Data_Entry!BO276="","",Human_Data_Entry!BO276)</f>
        <v/>
      </c>
      <c r="P278" s="103">
        <f>IF(Human_Data_Entry!BP276="","",Human_Data_Entry!BP276)</f>
        <v/>
      </c>
      <c r="Q278" s="103">
        <f>IF(Human_Data_Entry!BQ276="","",Human_Data_Entry!BQ276)</f>
        <v/>
      </c>
      <c r="R278" s="103">
        <f>IF(Human_Data_Entry!BR276="","",Human_Data_Entry!BR276)</f>
        <v/>
      </c>
      <c r="S278" s="103">
        <f>IF(Human_Data_Entry!BS276="","",Human_Data_Entry!BS276)</f>
        <v/>
      </c>
      <c r="T278" s="103">
        <f>IF(Human_Data_Entry!BT276="","",Human_Data_Entry!BT276)</f>
        <v/>
      </c>
    </row>
    <row r="279" ht="15" customHeight="1" s="241">
      <c r="A279" s="103">
        <f>IF(Human_Data_Entry!A277="","",Human_Data_Entry!A277)</f>
        <v/>
      </c>
      <c r="B279" s="103">
        <f>IF(Human_Data_Entry!B277="","",Human_Data_Entry!B277)</f>
        <v/>
      </c>
      <c r="C279" s="104">
        <f>IF(Human_Data_Entry!C277="","",Human_Data_Entry!C277)</f>
        <v/>
      </c>
      <c r="D279" s="103">
        <f>IF(Human_Data_Entry!D277="","",Human_Data_Entry!D277)</f>
        <v/>
      </c>
      <c r="E279" s="103">
        <f>IF(Human_Data_Entry!G277="","",Human_Data_Entry!G277)</f>
        <v/>
      </c>
      <c r="F279" s="103">
        <f>IF(Human_Data_Entry!X277="","",Human_Data_Entry!X277)</f>
        <v/>
      </c>
      <c r="G279" s="103">
        <f>IF(Human_Data_Entry!AY277="","",Human_Data_Entry!AY277)</f>
        <v/>
      </c>
      <c r="H279" s="103">
        <f>IF(Human_Data_Entry!AZ277="","",Human_Data_Entry!AZ277)</f>
        <v/>
      </c>
      <c r="I279" s="103">
        <f>IF(Human_Data_Entry!AL277="","",Human_Data_Entry!AL277)</f>
        <v/>
      </c>
      <c r="J279" s="103">
        <f>IF(Human_Data_Entry!AM277="","",Human_Data_Entry!AM277)</f>
        <v/>
      </c>
      <c r="K279" s="103">
        <f>IF(Human_Data_Entry!AN277="","",Human_Data_Entry!AN277)</f>
        <v/>
      </c>
      <c r="L279" s="103">
        <f>IF(Human_Data_Entry!AO277="","",Human_Data_Entry!AO277)</f>
        <v/>
      </c>
      <c r="M279" s="103">
        <f>IF(Human_Data_Entry!BM277="","",Human_Data_Entry!BM277)</f>
        <v/>
      </c>
      <c r="N279" s="103">
        <f>IF(Human_Data_Entry!BN277="","",Human_Data_Entry!BN277)</f>
        <v/>
      </c>
      <c r="O279" s="103">
        <f>IF(Human_Data_Entry!BO277="","",Human_Data_Entry!BO277)</f>
        <v/>
      </c>
      <c r="P279" s="103">
        <f>IF(Human_Data_Entry!BP277="","",Human_Data_Entry!BP277)</f>
        <v/>
      </c>
      <c r="Q279" s="103">
        <f>IF(Human_Data_Entry!BQ277="","",Human_Data_Entry!BQ277)</f>
        <v/>
      </c>
      <c r="R279" s="103">
        <f>IF(Human_Data_Entry!BR277="","",Human_Data_Entry!BR277)</f>
        <v/>
      </c>
      <c r="S279" s="103">
        <f>IF(Human_Data_Entry!BS277="","",Human_Data_Entry!BS277)</f>
        <v/>
      </c>
      <c r="T279" s="103">
        <f>IF(Human_Data_Entry!BT277="","",Human_Data_Entry!BT277)</f>
        <v/>
      </c>
    </row>
    <row r="280" ht="15" customHeight="1" s="241">
      <c r="A280" s="103">
        <f>IF(Human_Data_Entry!A278="","",Human_Data_Entry!A278)</f>
        <v/>
      </c>
      <c r="B280" s="103">
        <f>IF(Human_Data_Entry!B278="","",Human_Data_Entry!B278)</f>
        <v/>
      </c>
      <c r="C280" s="104">
        <f>IF(Human_Data_Entry!C278="","",Human_Data_Entry!C278)</f>
        <v/>
      </c>
      <c r="D280" s="103">
        <f>IF(Human_Data_Entry!D278="","",Human_Data_Entry!D278)</f>
        <v/>
      </c>
      <c r="E280" s="103">
        <f>IF(Human_Data_Entry!G278="","",Human_Data_Entry!G278)</f>
        <v/>
      </c>
      <c r="F280" s="103">
        <f>IF(Human_Data_Entry!X278="","",Human_Data_Entry!X278)</f>
        <v/>
      </c>
      <c r="G280" s="103">
        <f>IF(Human_Data_Entry!AY278="","",Human_Data_Entry!AY278)</f>
        <v/>
      </c>
      <c r="H280" s="103">
        <f>IF(Human_Data_Entry!AZ278="","",Human_Data_Entry!AZ278)</f>
        <v/>
      </c>
      <c r="I280" s="103">
        <f>IF(Human_Data_Entry!AL278="","",Human_Data_Entry!AL278)</f>
        <v/>
      </c>
      <c r="J280" s="103">
        <f>IF(Human_Data_Entry!AM278="","",Human_Data_Entry!AM278)</f>
        <v/>
      </c>
      <c r="K280" s="103">
        <f>IF(Human_Data_Entry!AN278="","",Human_Data_Entry!AN278)</f>
        <v/>
      </c>
      <c r="L280" s="103">
        <f>IF(Human_Data_Entry!AO278="","",Human_Data_Entry!AO278)</f>
        <v/>
      </c>
      <c r="M280" s="103">
        <f>IF(Human_Data_Entry!BM278="","",Human_Data_Entry!BM278)</f>
        <v/>
      </c>
      <c r="N280" s="103">
        <f>IF(Human_Data_Entry!BN278="","",Human_Data_Entry!BN278)</f>
        <v/>
      </c>
      <c r="O280" s="103">
        <f>IF(Human_Data_Entry!BO278="","",Human_Data_Entry!BO278)</f>
        <v/>
      </c>
      <c r="P280" s="103">
        <f>IF(Human_Data_Entry!BP278="","",Human_Data_Entry!BP278)</f>
        <v/>
      </c>
      <c r="Q280" s="103">
        <f>IF(Human_Data_Entry!BQ278="","",Human_Data_Entry!BQ278)</f>
        <v/>
      </c>
      <c r="R280" s="103">
        <f>IF(Human_Data_Entry!BR278="","",Human_Data_Entry!BR278)</f>
        <v/>
      </c>
      <c r="S280" s="103">
        <f>IF(Human_Data_Entry!BS278="","",Human_Data_Entry!BS278)</f>
        <v/>
      </c>
      <c r="T280" s="103">
        <f>IF(Human_Data_Entry!BT278="","",Human_Data_Entry!BT278)</f>
        <v/>
      </c>
    </row>
    <row r="281" ht="15" customHeight="1" s="241">
      <c r="A281" s="103">
        <f>IF(Human_Data_Entry!A279="","",Human_Data_Entry!A279)</f>
        <v/>
      </c>
      <c r="B281" s="103">
        <f>IF(Human_Data_Entry!B279="","",Human_Data_Entry!B279)</f>
        <v/>
      </c>
      <c r="C281" s="104">
        <f>IF(Human_Data_Entry!C279="","",Human_Data_Entry!C279)</f>
        <v/>
      </c>
      <c r="D281" s="103">
        <f>IF(Human_Data_Entry!D279="","",Human_Data_Entry!D279)</f>
        <v/>
      </c>
      <c r="E281" s="103">
        <f>IF(Human_Data_Entry!G279="","",Human_Data_Entry!G279)</f>
        <v/>
      </c>
      <c r="F281" s="103">
        <f>IF(Human_Data_Entry!X279="","",Human_Data_Entry!X279)</f>
        <v/>
      </c>
      <c r="G281" s="103">
        <f>IF(Human_Data_Entry!AY279="","",Human_Data_Entry!AY279)</f>
        <v/>
      </c>
      <c r="H281" s="103">
        <f>IF(Human_Data_Entry!AZ279="","",Human_Data_Entry!AZ279)</f>
        <v/>
      </c>
      <c r="I281" s="103">
        <f>IF(Human_Data_Entry!AL279="","",Human_Data_Entry!AL279)</f>
        <v/>
      </c>
      <c r="J281" s="103">
        <f>IF(Human_Data_Entry!AM279="","",Human_Data_Entry!AM279)</f>
        <v/>
      </c>
      <c r="K281" s="103">
        <f>IF(Human_Data_Entry!AN279="","",Human_Data_Entry!AN279)</f>
        <v/>
      </c>
      <c r="L281" s="103">
        <f>IF(Human_Data_Entry!AO279="","",Human_Data_Entry!AO279)</f>
        <v/>
      </c>
      <c r="M281" s="103">
        <f>IF(Human_Data_Entry!BM279="","",Human_Data_Entry!BM279)</f>
        <v/>
      </c>
      <c r="N281" s="103">
        <f>IF(Human_Data_Entry!BN279="","",Human_Data_Entry!BN279)</f>
        <v/>
      </c>
      <c r="O281" s="103">
        <f>IF(Human_Data_Entry!BO279="","",Human_Data_Entry!BO279)</f>
        <v/>
      </c>
      <c r="P281" s="103">
        <f>IF(Human_Data_Entry!BP279="","",Human_Data_Entry!BP279)</f>
        <v/>
      </c>
      <c r="Q281" s="103">
        <f>IF(Human_Data_Entry!BQ279="","",Human_Data_Entry!BQ279)</f>
        <v/>
      </c>
      <c r="R281" s="103">
        <f>IF(Human_Data_Entry!BR279="","",Human_Data_Entry!BR279)</f>
        <v/>
      </c>
      <c r="S281" s="103">
        <f>IF(Human_Data_Entry!BS279="","",Human_Data_Entry!BS279)</f>
        <v/>
      </c>
      <c r="T281" s="103">
        <f>IF(Human_Data_Entry!BT279="","",Human_Data_Entry!BT279)</f>
        <v/>
      </c>
    </row>
    <row r="282" ht="15" customHeight="1" s="241">
      <c r="A282" s="103">
        <f>IF(Human_Data_Entry!A280="","",Human_Data_Entry!A280)</f>
        <v/>
      </c>
      <c r="B282" s="103">
        <f>IF(Human_Data_Entry!B280="","",Human_Data_Entry!B280)</f>
        <v/>
      </c>
      <c r="C282" s="104">
        <f>IF(Human_Data_Entry!C280="","",Human_Data_Entry!C280)</f>
        <v/>
      </c>
      <c r="D282" s="103">
        <f>IF(Human_Data_Entry!D280="","",Human_Data_Entry!D280)</f>
        <v/>
      </c>
      <c r="E282" s="103">
        <f>IF(Human_Data_Entry!G280="","",Human_Data_Entry!G280)</f>
        <v/>
      </c>
      <c r="F282" s="103">
        <f>IF(Human_Data_Entry!X280="","",Human_Data_Entry!X280)</f>
        <v/>
      </c>
      <c r="G282" s="103">
        <f>IF(Human_Data_Entry!AY280="","",Human_Data_Entry!AY280)</f>
        <v/>
      </c>
      <c r="H282" s="103">
        <f>IF(Human_Data_Entry!AZ280="","",Human_Data_Entry!AZ280)</f>
        <v/>
      </c>
      <c r="I282" s="103">
        <f>IF(Human_Data_Entry!AL280="","",Human_Data_Entry!AL280)</f>
        <v/>
      </c>
      <c r="J282" s="103">
        <f>IF(Human_Data_Entry!AM280="","",Human_Data_Entry!AM280)</f>
        <v/>
      </c>
      <c r="K282" s="103">
        <f>IF(Human_Data_Entry!AN280="","",Human_Data_Entry!AN280)</f>
        <v/>
      </c>
      <c r="L282" s="103">
        <f>IF(Human_Data_Entry!AO280="","",Human_Data_Entry!AO280)</f>
        <v/>
      </c>
      <c r="M282" s="103">
        <f>IF(Human_Data_Entry!BM280="","",Human_Data_Entry!BM280)</f>
        <v/>
      </c>
      <c r="N282" s="103">
        <f>IF(Human_Data_Entry!BN280="","",Human_Data_Entry!BN280)</f>
        <v/>
      </c>
      <c r="O282" s="103">
        <f>IF(Human_Data_Entry!BO280="","",Human_Data_Entry!BO280)</f>
        <v/>
      </c>
      <c r="P282" s="103">
        <f>IF(Human_Data_Entry!BP280="","",Human_Data_Entry!BP280)</f>
        <v/>
      </c>
      <c r="Q282" s="103">
        <f>IF(Human_Data_Entry!BQ280="","",Human_Data_Entry!BQ280)</f>
        <v/>
      </c>
      <c r="R282" s="103">
        <f>IF(Human_Data_Entry!BR280="","",Human_Data_Entry!BR280)</f>
        <v/>
      </c>
      <c r="S282" s="103">
        <f>IF(Human_Data_Entry!BS280="","",Human_Data_Entry!BS280)</f>
        <v/>
      </c>
      <c r="T282" s="103">
        <f>IF(Human_Data_Entry!BT280="","",Human_Data_Entry!BT280)</f>
        <v/>
      </c>
    </row>
    <row r="283" ht="15" customHeight="1" s="241">
      <c r="A283" s="103">
        <f>IF(Human_Data_Entry!A281="","",Human_Data_Entry!A281)</f>
        <v/>
      </c>
      <c r="B283" s="103">
        <f>IF(Human_Data_Entry!B281="","",Human_Data_Entry!B281)</f>
        <v/>
      </c>
      <c r="C283" s="104">
        <f>IF(Human_Data_Entry!C281="","",Human_Data_Entry!C281)</f>
        <v/>
      </c>
      <c r="D283" s="103">
        <f>IF(Human_Data_Entry!D281="","",Human_Data_Entry!D281)</f>
        <v/>
      </c>
      <c r="E283" s="103">
        <f>IF(Human_Data_Entry!G281="","",Human_Data_Entry!G281)</f>
        <v/>
      </c>
      <c r="F283" s="103">
        <f>IF(Human_Data_Entry!X281="","",Human_Data_Entry!X281)</f>
        <v/>
      </c>
      <c r="G283" s="103">
        <f>IF(Human_Data_Entry!AY281="","",Human_Data_Entry!AY281)</f>
        <v/>
      </c>
      <c r="H283" s="103">
        <f>IF(Human_Data_Entry!AZ281="","",Human_Data_Entry!AZ281)</f>
        <v/>
      </c>
      <c r="I283" s="103">
        <f>IF(Human_Data_Entry!AL281="","",Human_Data_Entry!AL281)</f>
        <v/>
      </c>
      <c r="J283" s="103">
        <f>IF(Human_Data_Entry!AM281="","",Human_Data_Entry!AM281)</f>
        <v/>
      </c>
      <c r="K283" s="103">
        <f>IF(Human_Data_Entry!AN281="","",Human_Data_Entry!AN281)</f>
        <v/>
      </c>
      <c r="L283" s="103">
        <f>IF(Human_Data_Entry!AO281="","",Human_Data_Entry!AO281)</f>
        <v/>
      </c>
      <c r="M283" s="103">
        <f>IF(Human_Data_Entry!BM281="","",Human_Data_Entry!BM281)</f>
        <v/>
      </c>
      <c r="N283" s="103">
        <f>IF(Human_Data_Entry!BN281="","",Human_Data_Entry!BN281)</f>
        <v/>
      </c>
      <c r="O283" s="103">
        <f>IF(Human_Data_Entry!BO281="","",Human_Data_Entry!BO281)</f>
        <v/>
      </c>
      <c r="P283" s="103">
        <f>IF(Human_Data_Entry!BP281="","",Human_Data_Entry!BP281)</f>
        <v/>
      </c>
      <c r="Q283" s="103">
        <f>IF(Human_Data_Entry!BQ281="","",Human_Data_Entry!BQ281)</f>
        <v/>
      </c>
      <c r="R283" s="103">
        <f>IF(Human_Data_Entry!BR281="","",Human_Data_Entry!BR281)</f>
        <v/>
      </c>
      <c r="S283" s="103">
        <f>IF(Human_Data_Entry!BS281="","",Human_Data_Entry!BS281)</f>
        <v/>
      </c>
      <c r="T283" s="103">
        <f>IF(Human_Data_Entry!BT281="","",Human_Data_Entry!BT281)</f>
        <v/>
      </c>
    </row>
    <row r="284" ht="15" customHeight="1" s="241">
      <c r="A284" s="103">
        <f>IF(Human_Data_Entry!A282="","",Human_Data_Entry!A282)</f>
        <v/>
      </c>
      <c r="B284" s="103">
        <f>IF(Human_Data_Entry!B282="","",Human_Data_Entry!B282)</f>
        <v/>
      </c>
      <c r="C284" s="104">
        <f>IF(Human_Data_Entry!C282="","",Human_Data_Entry!C282)</f>
        <v/>
      </c>
      <c r="D284" s="103">
        <f>IF(Human_Data_Entry!D282="","",Human_Data_Entry!D282)</f>
        <v/>
      </c>
      <c r="E284" s="103">
        <f>IF(Human_Data_Entry!G282="","",Human_Data_Entry!G282)</f>
        <v/>
      </c>
      <c r="F284" s="103">
        <f>IF(Human_Data_Entry!X282="","",Human_Data_Entry!X282)</f>
        <v/>
      </c>
      <c r="G284" s="103">
        <f>IF(Human_Data_Entry!AY282="","",Human_Data_Entry!AY282)</f>
        <v/>
      </c>
      <c r="H284" s="103">
        <f>IF(Human_Data_Entry!AZ282="","",Human_Data_Entry!AZ282)</f>
        <v/>
      </c>
      <c r="I284" s="103">
        <f>IF(Human_Data_Entry!AL282="","",Human_Data_Entry!AL282)</f>
        <v/>
      </c>
      <c r="J284" s="103">
        <f>IF(Human_Data_Entry!AM282="","",Human_Data_Entry!AM282)</f>
        <v/>
      </c>
      <c r="K284" s="103">
        <f>IF(Human_Data_Entry!AN282="","",Human_Data_Entry!AN282)</f>
        <v/>
      </c>
      <c r="L284" s="103">
        <f>IF(Human_Data_Entry!AO282="","",Human_Data_Entry!AO282)</f>
        <v/>
      </c>
      <c r="M284" s="103">
        <f>IF(Human_Data_Entry!BM282="","",Human_Data_Entry!BM282)</f>
        <v/>
      </c>
      <c r="N284" s="103">
        <f>IF(Human_Data_Entry!BN282="","",Human_Data_Entry!BN282)</f>
        <v/>
      </c>
      <c r="O284" s="103">
        <f>IF(Human_Data_Entry!BO282="","",Human_Data_Entry!BO282)</f>
        <v/>
      </c>
      <c r="P284" s="103">
        <f>IF(Human_Data_Entry!BP282="","",Human_Data_Entry!BP282)</f>
        <v/>
      </c>
      <c r="Q284" s="103">
        <f>IF(Human_Data_Entry!BQ282="","",Human_Data_Entry!BQ282)</f>
        <v/>
      </c>
      <c r="R284" s="103">
        <f>IF(Human_Data_Entry!BR282="","",Human_Data_Entry!BR282)</f>
        <v/>
      </c>
      <c r="S284" s="103">
        <f>IF(Human_Data_Entry!BS282="","",Human_Data_Entry!BS282)</f>
        <v/>
      </c>
      <c r="T284" s="103">
        <f>IF(Human_Data_Entry!BT282="","",Human_Data_Entry!BT282)</f>
        <v/>
      </c>
    </row>
    <row r="285" ht="15" customHeight="1" s="241">
      <c r="A285" s="103">
        <f>IF(Human_Data_Entry!A283="","",Human_Data_Entry!A283)</f>
        <v/>
      </c>
      <c r="B285" s="103">
        <f>IF(Human_Data_Entry!B283="","",Human_Data_Entry!B283)</f>
        <v/>
      </c>
      <c r="C285" s="104">
        <f>IF(Human_Data_Entry!C283="","",Human_Data_Entry!C283)</f>
        <v/>
      </c>
      <c r="D285" s="103">
        <f>IF(Human_Data_Entry!D283="","",Human_Data_Entry!D283)</f>
        <v/>
      </c>
      <c r="E285" s="103">
        <f>IF(Human_Data_Entry!G283="","",Human_Data_Entry!G283)</f>
        <v/>
      </c>
      <c r="F285" s="103">
        <f>IF(Human_Data_Entry!X283="","",Human_Data_Entry!X283)</f>
        <v/>
      </c>
      <c r="G285" s="103">
        <f>IF(Human_Data_Entry!AY283="","",Human_Data_Entry!AY283)</f>
        <v/>
      </c>
      <c r="H285" s="103">
        <f>IF(Human_Data_Entry!AZ283="","",Human_Data_Entry!AZ283)</f>
        <v/>
      </c>
      <c r="I285" s="103">
        <f>IF(Human_Data_Entry!AL283="","",Human_Data_Entry!AL283)</f>
        <v/>
      </c>
      <c r="J285" s="103">
        <f>IF(Human_Data_Entry!AM283="","",Human_Data_Entry!AM283)</f>
        <v/>
      </c>
      <c r="K285" s="103">
        <f>IF(Human_Data_Entry!AN283="","",Human_Data_Entry!AN283)</f>
        <v/>
      </c>
      <c r="L285" s="103">
        <f>IF(Human_Data_Entry!AO283="","",Human_Data_Entry!AO283)</f>
        <v/>
      </c>
      <c r="M285" s="103">
        <f>IF(Human_Data_Entry!BM283="","",Human_Data_Entry!BM283)</f>
        <v/>
      </c>
      <c r="N285" s="103">
        <f>IF(Human_Data_Entry!BN283="","",Human_Data_Entry!BN283)</f>
        <v/>
      </c>
      <c r="O285" s="103">
        <f>IF(Human_Data_Entry!BO283="","",Human_Data_Entry!BO283)</f>
        <v/>
      </c>
      <c r="P285" s="103">
        <f>IF(Human_Data_Entry!BP283="","",Human_Data_Entry!BP283)</f>
        <v/>
      </c>
      <c r="Q285" s="103">
        <f>IF(Human_Data_Entry!BQ283="","",Human_Data_Entry!BQ283)</f>
        <v/>
      </c>
      <c r="R285" s="103">
        <f>IF(Human_Data_Entry!BR283="","",Human_Data_Entry!BR283)</f>
        <v/>
      </c>
      <c r="S285" s="103">
        <f>IF(Human_Data_Entry!BS283="","",Human_Data_Entry!BS283)</f>
        <v/>
      </c>
      <c r="T285" s="103">
        <f>IF(Human_Data_Entry!BT283="","",Human_Data_Entry!BT283)</f>
        <v/>
      </c>
    </row>
    <row r="286" ht="15" customHeight="1" s="241">
      <c r="A286" s="103">
        <f>IF(Human_Data_Entry!A284="","",Human_Data_Entry!A284)</f>
        <v/>
      </c>
      <c r="B286" s="103">
        <f>IF(Human_Data_Entry!B284="","",Human_Data_Entry!B284)</f>
        <v/>
      </c>
      <c r="C286" s="104">
        <f>IF(Human_Data_Entry!C284="","",Human_Data_Entry!C284)</f>
        <v/>
      </c>
      <c r="D286" s="103">
        <f>IF(Human_Data_Entry!D284="","",Human_Data_Entry!D284)</f>
        <v/>
      </c>
      <c r="E286" s="103">
        <f>IF(Human_Data_Entry!G284="","",Human_Data_Entry!G284)</f>
        <v/>
      </c>
      <c r="F286" s="103">
        <f>IF(Human_Data_Entry!X284="","",Human_Data_Entry!X284)</f>
        <v/>
      </c>
      <c r="G286" s="103">
        <f>IF(Human_Data_Entry!AY284="","",Human_Data_Entry!AY284)</f>
        <v/>
      </c>
      <c r="H286" s="103">
        <f>IF(Human_Data_Entry!AZ284="","",Human_Data_Entry!AZ284)</f>
        <v/>
      </c>
      <c r="I286" s="103">
        <f>IF(Human_Data_Entry!AL284="","",Human_Data_Entry!AL284)</f>
        <v/>
      </c>
      <c r="J286" s="103">
        <f>IF(Human_Data_Entry!AM284="","",Human_Data_Entry!AM284)</f>
        <v/>
      </c>
      <c r="K286" s="103">
        <f>IF(Human_Data_Entry!AN284="","",Human_Data_Entry!AN284)</f>
        <v/>
      </c>
      <c r="L286" s="103">
        <f>IF(Human_Data_Entry!AO284="","",Human_Data_Entry!AO284)</f>
        <v/>
      </c>
      <c r="M286" s="103">
        <f>IF(Human_Data_Entry!BM284="","",Human_Data_Entry!BM284)</f>
        <v/>
      </c>
      <c r="N286" s="103">
        <f>IF(Human_Data_Entry!BN284="","",Human_Data_Entry!BN284)</f>
        <v/>
      </c>
      <c r="O286" s="103">
        <f>IF(Human_Data_Entry!BO284="","",Human_Data_Entry!BO284)</f>
        <v/>
      </c>
      <c r="P286" s="103">
        <f>IF(Human_Data_Entry!BP284="","",Human_Data_Entry!BP284)</f>
        <v/>
      </c>
      <c r="Q286" s="103">
        <f>IF(Human_Data_Entry!BQ284="","",Human_Data_Entry!BQ284)</f>
        <v/>
      </c>
      <c r="R286" s="103">
        <f>IF(Human_Data_Entry!BR284="","",Human_Data_Entry!BR284)</f>
        <v/>
      </c>
      <c r="S286" s="103">
        <f>IF(Human_Data_Entry!BS284="","",Human_Data_Entry!BS284)</f>
        <v/>
      </c>
      <c r="T286" s="103">
        <f>IF(Human_Data_Entry!BT284="","",Human_Data_Entry!BT284)</f>
        <v/>
      </c>
    </row>
    <row r="287" ht="15" customHeight="1" s="241">
      <c r="A287" s="103">
        <f>IF(Human_Data_Entry!A285="","",Human_Data_Entry!A285)</f>
        <v/>
      </c>
      <c r="B287" s="103">
        <f>IF(Human_Data_Entry!B285="","",Human_Data_Entry!B285)</f>
        <v/>
      </c>
      <c r="C287" s="104">
        <f>IF(Human_Data_Entry!C285="","",Human_Data_Entry!C285)</f>
        <v/>
      </c>
      <c r="D287" s="103">
        <f>IF(Human_Data_Entry!D285="","",Human_Data_Entry!D285)</f>
        <v/>
      </c>
      <c r="E287" s="103">
        <f>IF(Human_Data_Entry!G285="","",Human_Data_Entry!G285)</f>
        <v/>
      </c>
      <c r="F287" s="103">
        <f>IF(Human_Data_Entry!X285="","",Human_Data_Entry!X285)</f>
        <v/>
      </c>
      <c r="G287" s="103">
        <f>IF(Human_Data_Entry!AY285="","",Human_Data_Entry!AY285)</f>
        <v/>
      </c>
      <c r="H287" s="103">
        <f>IF(Human_Data_Entry!AZ285="","",Human_Data_Entry!AZ285)</f>
        <v/>
      </c>
      <c r="I287" s="103">
        <f>IF(Human_Data_Entry!AL285="","",Human_Data_Entry!AL285)</f>
        <v/>
      </c>
      <c r="J287" s="103">
        <f>IF(Human_Data_Entry!AM285="","",Human_Data_Entry!AM285)</f>
        <v/>
      </c>
      <c r="K287" s="103">
        <f>IF(Human_Data_Entry!AN285="","",Human_Data_Entry!AN285)</f>
        <v/>
      </c>
      <c r="L287" s="103">
        <f>IF(Human_Data_Entry!AO285="","",Human_Data_Entry!AO285)</f>
        <v/>
      </c>
      <c r="M287" s="103">
        <f>IF(Human_Data_Entry!BM285="","",Human_Data_Entry!BM285)</f>
        <v/>
      </c>
      <c r="N287" s="103">
        <f>IF(Human_Data_Entry!BN285="","",Human_Data_Entry!BN285)</f>
        <v/>
      </c>
      <c r="O287" s="103">
        <f>IF(Human_Data_Entry!BO285="","",Human_Data_Entry!BO285)</f>
        <v/>
      </c>
      <c r="P287" s="103">
        <f>IF(Human_Data_Entry!BP285="","",Human_Data_Entry!BP285)</f>
        <v/>
      </c>
      <c r="Q287" s="103">
        <f>IF(Human_Data_Entry!BQ285="","",Human_Data_Entry!BQ285)</f>
        <v/>
      </c>
      <c r="R287" s="103">
        <f>IF(Human_Data_Entry!BR285="","",Human_Data_Entry!BR285)</f>
        <v/>
      </c>
      <c r="S287" s="103">
        <f>IF(Human_Data_Entry!BS285="","",Human_Data_Entry!BS285)</f>
        <v/>
      </c>
      <c r="T287" s="103">
        <f>IF(Human_Data_Entry!BT285="","",Human_Data_Entry!BT285)</f>
        <v/>
      </c>
    </row>
    <row r="288" ht="15" customHeight="1" s="241">
      <c r="A288" s="103">
        <f>IF(Human_Data_Entry!A286="","",Human_Data_Entry!A286)</f>
        <v/>
      </c>
      <c r="B288" s="103">
        <f>IF(Human_Data_Entry!B286="","",Human_Data_Entry!B286)</f>
        <v/>
      </c>
      <c r="C288" s="104">
        <f>IF(Human_Data_Entry!C286="","",Human_Data_Entry!C286)</f>
        <v/>
      </c>
      <c r="D288" s="103">
        <f>IF(Human_Data_Entry!D286="","",Human_Data_Entry!D286)</f>
        <v/>
      </c>
      <c r="E288" s="103">
        <f>IF(Human_Data_Entry!G286="","",Human_Data_Entry!G286)</f>
        <v/>
      </c>
      <c r="F288" s="103">
        <f>IF(Human_Data_Entry!X286="","",Human_Data_Entry!X286)</f>
        <v/>
      </c>
      <c r="G288" s="103">
        <f>IF(Human_Data_Entry!AY286="","",Human_Data_Entry!AY286)</f>
        <v/>
      </c>
      <c r="H288" s="103">
        <f>IF(Human_Data_Entry!AZ286="","",Human_Data_Entry!AZ286)</f>
        <v/>
      </c>
      <c r="I288" s="103">
        <f>IF(Human_Data_Entry!AL286="","",Human_Data_Entry!AL286)</f>
        <v/>
      </c>
      <c r="J288" s="103">
        <f>IF(Human_Data_Entry!AM286="","",Human_Data_Entry!AM286)</f>
        <v/>
      </c>
      <c r="K288" s="103">
        <f>IF(Human_Data_Entry!AN286="","",Human_Data_Entry!AN286)</f>
        <v/>
      </c>
      <c r="L288" s="103">
        <f>IF(Human_Data_Entry!AO286="","",Human_Data_Entry!AO286)</f>
        <v/>
      </c>
      <c r="M288" s="103">
        <f>IF(Human_Data_Entry!BM286="","",Human_Data_Entry!BM286)</f>
        <v/>
      </c>
      <c r="N288" s="103">
        <f>IF(Human_Data_Entry!BN286="","",Human_Data_Entry!BN286)</f>
        <v/>
      </c>
      <c r="O288" s="103">
        <f>IF(Human_Data_Entry!BO286="","",Human_Data_Entry!BO286)</f>
        <v/>
      </c>
      <c r="P288" s="103">
        <f>IF(Human_Data_Entry!BP286="","",Human_Data_Entry!BP286)</f>
        <v/>
      </c>
      <c r="Q288" s="103">
        <f>IF(Human_Data_Entry!BQ286="","",Human_Data_Entry!BQ286)</f>
        <v/>
      </c>
      <c r="R288" s="103">
        <f>IF(Human_Data_Entry!BR286="","",Human_Data_Entry!BR286)</f>
        <v/>
      </c>
      <c r="S288" s="103">
        <f>IF(Human_Data_Entry!BS286="","",Human_Data_Entry!BS286)</f>
        <v/>
      </c>
      <c r="T288" s="103">
        <f>IF(Human_Data_Entry!BT286="","",Human_Data_Entry!BT286)</f>
        <v/>
      </c>
    </row>
    <row r="289" ht="15" customHeight="1" s="241">
      <c r="A289" s="103">
        <f>IF(Human_Data_Entry!A287="","",Human_Data_Entry!A287)</f>
        <v/>
      </c>
      <c r="B289" s="103">
        <f>IF(Human_Data_Entry!B287="","",Human_Data_Entry!B287)</f>
        <v/>
      </c>
      <c r="C289" s="104">
        <f>IF(Human_Data_Entry!C287="","",Human_Data_Entry!C287)</f>
        <v/>
      </c>
      <c r="D289" s="103">
        <f>IF(Human_Data_Entry!D287="","",Human_Data_Entry!D287)</f>
        <v/>
      </c>
      <c r="E289" s="103">
        <f>IF(Human_Data_Entry!G287="","",Human_Data_Entry!G287)</f>
        <v/>
      </c>
      <c r="F289" s="103">
        <f>IF(Human_Data_Entry!X287="","",Human_Data_Entry!X287)</f>
        <v/>
      </c>
      <c r="G289" s="103">
        <f>IF(Human_Data_Entry!AY287="","",Human_Data_Entry!AY287)</f>
        <v/>
      </c>
      <c r="H289" s="103">
        <f>IF(Human_Data_Entry!AZ287="","",Human_Data_Entry!AZ287)</f>
        <v/>
      </c>
      <c r="I289" s="103">
        <f>IF(Human_Data_Entry!AL287="","",Human_Data_Entry!AL287)</f>
        <v/>
      </c>
      <c r="J289" s="103">
        <f>IF(Human_Data_Entry!AM287="","",Human_Data_Entry!AM287)</f>
        <v/>
      </c>
      <c r="K289" s="103">
        <f>IF(Human_Data_Entry!AN287="","",Human_Data_Entry!AN287)</f>
        <v/>
      </c>
      <c r="L289" s="103">
        <f>IF(Human_Data_Entry!AO287="","",Human_Data_Entry!AO287)</f>
        <v/>
      </c>
      <c r="M289" s="103">
        <f>IF(Human_Data_Entry!BM287="","",Human_Data_Entry!BM287)</f>
        <v/>
      </c>
      <c r="N289" s="103">
        <f>IF(Human_Data_Entry!BN287="","",Human_Data_Entry!BN287)</f>
        <v/>
      </c>
      <c r="O289" s="103">
        <f>IF(Human_Data_Entry!BO287="","",Human_Data_Entry!BO287)</f>
        <v/>
      </c>
      <c r="P289" s="103">
        <f>IF(Human_Data_Entry!BP287="","",Human_Data_Entry!BP287)</f>
        <v/>
      </c>
      <c r="Q289" s="103">
        <f>IF(Human_Data_Entry!BQ287="","",Human_Data_Entry!BQ287)</f>
        <v/>
      </c>
      <c r="R289" s="103">
        <f>IF(Human_Data_Entry!BR287="","",Human_Data_Entry!BR287)</f>
        <v/>
      </c>
      <c r="S289" s="103">
        <f>IF(Human_Data_Entry!BS287="","",Human_Data_Entry!BS287)</f>
        <v/>
      </c>
      <c r="T289" s="103">
        <f>IF(Human_Data_Entry!BT287="","",Human_Data_Entry!BT287)</f>
        <v/>
      </c>
    </row>
    <row r="290" ht="15" customHeight="1" s="241">
      <c r="A290" s="103">
        <f>IF(Human_Data_Entry!A288="","",Human_Data_Entry!A288)</f>
        <v/>
      </c>
      <c r="B290" s="103">
        <f>IF(Human_Data_Entry!B288="","",Human_Data_Entry!B288)</f>
        <v/>
      </c>
      <c r="C290" s="104">
        <f>IF(Human_Data_Entry!C288="","",Human_Data_Entry!C288)</f>
        <v/>
      </c>
      <c r="D290" s="103">
        <f>IF(Human_Data_Entry!D288="","",Human_Data_Entry!D288)</f>
        <v/>
      </c>
      <c r="E290" s="103">
        <f>IF(Human_Data_Entry!G288="","",Human_Data_Entry!G288)</f>
        <v/>
      </c>
      <c r="F290" s="103">
        <f>IF(Human_Data_Entry!X288="","",Human_Data_Entry!X288)</f>
        <v/>
      </c>
      <c r="G290" s="103">
        <f>IF(Human_Data_Entry!AY288="","",Human_Data_Entry!AY288)</f>
        <v/>
      </c>
      <c r="H290" s="103">
        <f>IF(Human_Data_Entry!AZ288="","",Human_Data_Entry!AZ288)</f>
        <v/>
      </c>
      <c r="I290" s="103">
        <f>IF(Human_Data_Entry!AL288="","",Human_Data_Entry!AL288)</f>
        <v/>
      </c>
      <c r="J290" s="103">
        <f>IF(Human_Data_Entry!AM288="","",Human_Data_Entry!AM288)</f>
        <v/>
      </c>
      <c r="K290" s="103">
        <f>IF(Human_Data_Entry!AN288="","",Human_Data_Entry!AN288)</f>
        <v/>
      </c>
      <c r="L290" s="103">
        <f>IF(Human_Data_Entry!AO288="","",Human_Data_Entry!AO288)</f>
        <v/>
      </c>
      <c r="M290" s="103">
        <f>IF(Human_Data_Entry!BM288="","",Human_Data_Entry!BM288)</f>
        <v/>
      </c>
      <c r="N290" s="103">
        <f>IF(Human_Data_Entry!BN288="","",Human_Data_Entry!BN288)</f>
        <v/>
      </c>
      <c r="O290" s="103">
        <f>IF(Human_Data_Entry!BO288="","",Human_Data_Entry!BO288)</f>
        <v/>
      </c>
      <c r="P290" s="103">
        <f>IF(Human_Data_Entry!BP288="","",Human_Data_Entry!BP288)</f>
        <v/>
      </c>
      <c r="Q290" s="103">
        <f>IF(Human_Data_Entry!BQ288="","",Human_Data_Entry!BQ288)</f>
        <v/>
      </c>
      <c r="R290" s="103">
        <f>IF(Human_Data_Entry!BR288="","",Human_Data_Entry!BR288)</f>
        <v/>
      </c>
      <c r="S290" s="103">
        <f>IF(Human_Data_Entry!BS288="","",Human_Data_Entry!BS288)</f>
        <v/>
      </c>
      <c r="T290" s="103">
        <f>IF(Human_Data_Entry!BT288="","",Human_Data_Entry!BT288)</f>
        <v/>
      </c>
    </row>
    <row r="291" ht="15" customHeight="1" s="241">
      <c r="A291" s="103">
        <f>IF(Human_Data_Entry!A289="","",Human_Data_Entry!A289)</f>
        <v/>
      </c>
      <c r="B291" s="103">
        <f>IF(Human_Data_Entry!B289="","",Human_Data_Entry!B289)</f>
        <v/>
      </c>
      <c r="C291" s="104">
        <f>IF(Human_Data_Entry!C289="","",Human_Data_Entry!C289)</f>
        <v/>
      </c>
      <c r="D291" s="103">
        <f>IF(Human_Data_Entry!D289="","",Human_Data_Entry!D289)</f>
        <v/>
      </c>
      <c r="E291" s="103">
        <f>IF(Human_Data_Entry!G289="","",Human_Data_Entry!G289)</f>
        <v/>
      </c>
      <c r="F291" s="103">
        <f>IF(Human_Data_Entry!X289="","",Human_Data_Entry!X289)</f>
        <v/>
      </c>
      <c r="G291" s="103">
        <f>IF(Human_Data_Entry!AY289="","",Human_Data_Entry!AY289)</f>
        <v/>
      </c>
      <c r="H291" s="103">
        <f>IF(Human_Data_Entry!AZ289="","",Human_Data_Entry!AZ289)</f>
        <v/>
      </c>
      <c r="I291" s="103">
        <f>IF(Human_Data_Entry!AL289="","",Human_Data_Entry!AL289)</f>
        <v/>
      </c>
      <c r="J291" s="103">
        <f>IF(Human_Data_Entry!AM289="","",Human_Data_Entry!AM289)</f>
        <v/>
      </c>
      <c r="K291" s="103">
        <f>IF(Human_Data_Entry!AN289="","",Human_Data_Entry!AN289)</f>
        <v/>
      </c>
      <c r="L291" s="103">
        <f>IF(Human_Data_Entry!AO289="","",Human_Data_Entry!AO289)</f>
        <v/>
      </c>
      <c r="M291" s="103">
        <f>IF(Human_Data_Entry!BM289="","",Human_Data_Entry!BM289)</f>
        <v/>
      </c>
      <c r="N291" s="103">
        <f>IF(Human_Data_Entry!BN289="","",Human_Data_Entry!BN289)</f>
        <v/>
      </c>
      <c r="O291" s="103">
        <f>IF(Human_Data_Entry!BO289="","",Human_Data_Entry!BO289)</f>
        <v/>
      </c>
      <c r="P291" s="103">
        <f>IF(Human_Data_Entry!BP289="","",Human_Data_Entry!BP289)</f>
        <v/>
      </c>
      <c r="Q291" s="103">
        <f>IF(Human_Data_Entry!BQ289="","",Human_Data_Entry!BQ289)</f>
        <v/>
      </c>
      <c r="R291" s="103">
        <f>IF(Human_Data_Entry!BR289="","",Human_Data_Entry!BR289)</f>
        <v/>
      </c>
      <c r="S291" s="103">
        <f>IF(Human_Data_Entry!BS289="","",Human_Data_Entry!BS289)</f>
        <v/>
      </c>
      <c r="T291" s="103">
        <f>IF(Human_Data_Entry!BT289="","",Human_Data_Entry!BT289)</f>
        <v/>
      </c>
    </row>
    <row r="292" ht="15" customHeight="1" s="241">
      <c r="A292" s="103">
        <f>IF(Human_Data_Entry!A290="","",Human_Data_Entry!A290)</f>
        <v/>
      </c>
      <c r="B292" s="103">
        <f>IF(Human_Data_Entry!B290="","",Human_Data_Entry!B290)</f>
        <v/>
      </c>
      <c r="C292" s="104">
        <f>IF(Human_Data_Entry!C290="","",Human_Data_Entry!C290)</f>
        <v/>
      </c>
      <c r="D292" s="103">
        <f>IF(Human_Data_Entry!D290="","",Human_Data_Entry!D290)</f>
        <v/>
      </c>
      <c r="E292" s="103">
        <f>IF(Human_Data_Entry!G290="","",Human_Data_Entry!G290)</f>
        <v/>
      </c>
      <c r="F292" s="103">
        <f>IF(Human_Data_Entry!X290="","",Human_Data_Entry!X290)</f>
        <v/>
      </c>
      <c r="G292" s="103">
        <f>IF(Human_Data_Entry!AY290="","",Human_Data_Entry!AY290)</f>
        <v/>
      </c>
      <c r="H292" s="103">
        <f>IF(Human_Data_Entry!AZ290="","",Human_Data_Entry!AZ290)</f>
        <v/>
      </c>
      <c r="I292" s="103">
        <f>IF(Human_Data_Entry!AL290="","",Human_Data_Entry!AL290)</f>
        <v/>
      </c>
      <c r="J292" s="103">
        <f>IF(Human_Data_Entry!AM290="","",Human_Data_Entry!AM290)</f>
        <v/>
      </c>
      <c r="K292" s="103">
        <f>IF(Human_Data_Entry!AN290="","",Human_Data_Entry!AN290)</f>
        <v/>
      </c>
      <c r="L292" s="103">
        <f>IF(Human_Data_Entry!AO290="","",Human_Data_Entry!AO290)</f>
        <v/>
      </c>
      <c r="M292" s="103">
        <f>IF(Human_Data_Entry!BM290="","",Human_Data_Entry!BM290)</f>
        <v/>
      </c>
      <c r="N292" s="103">
        <f>IF(Human_Data_Entry!BN290="","",Human_Data_Entry!BN290)</f>
        <v/>
      </c>
      <c r="O292" s="103">
        <f>IF(Human_Data_Entry!BO290="","",Human_Data_Entry!BO290)</f>
        <v/>
      </c>
      <c r="P292" s="103">
        <f>IF(Human_Data_Entry!BP290="","",Human_Data_Entry!BP290)</f>
        <v/>
      </c>
      <c r="Q292" s="103">
        <f>IF(Human_Data_Entry!BQ290="","",Human_Data_Entry!BQ290)</f>
        <v/>
      </c>
      <c r="R292" s="103">
        <f>IF(Human_Data_Entry!BR290="","",Human_Data_Entry!BR290)</f>
        <v/>
      </c>
      <c r="S292" s="103">
        <f>IF(Human_Data_Entry!BS290="","",Human_Data_Entry!BS290)</f>
        <v/>
      </c>
      <c r="T292" s="103">
        <f>IF(Human_Data_Entry!BT290="","",Human_Data_Entry!BT290)</f>
        <v/>
      </c>
    </row>
    <row r="293" ht="15" customHeight="1" s="241">
      <c r="A293" s="103">
        <f>IF(Human_Data_Entry!A291="","",Human_Data_Entry!A291)</f>
        <v/>
      </c>
      <c r="B293" s="103">
        <f>IF(Human_Data_Entry!B291="","",Human_Data_Entry!B291)</f>
        <v/>
      </c>
      <c r="C293" s="104">
        <f>IF(Human_Data_Entry!C291="","",Human_Data_Entry!C291)</f>
        <v/>
      </c>
      <c r="D293" s="103">
        <f>IF(Human_Data_Entry!D291="","",Human_Data_Entry!D291)</f>
        <v/>
      </c>
      <c r="E293" s="103">
        <f>IF(Human_Data_Entry!G291="","",Human_Data_Entry!G291)</f>
        <v/>
      </c>
      <c r="F293" s="103">
        <f>IF(Human_Data_Entry!X291="","",Human_Data_Entry!X291)</f>
        <v/>
      </c>
      <c r="G293" s="103">
        <f>IF(Human_Data_Entry!AY291="","",Human_Data_Entry!AY291)</f>
        <v/>
      </c>
      <c r="H293" s="103">
        <f>IF(Human_Data_Entry!AZ291="","",Human_Data_Entry!AZ291)</f>
        <v/>
      </c>
      <c r="I293" s="103">
        <f>IF(Human_Data_Entry!AL291="","",Human_Data_Entry!AL291)</f>
        <v/>
      </c>
      <c r="J293" s="103">
        <f>IF(Human_Data_Entry!AM291="","",Human_Data_Entry!AM291)</f>
        <v/>
      </c>
      <c r="K293" s="103">
        <f>IF(Human_Data_Entry!AN291="","",Human_Data_Entry!AN291)</f>
        <v/>
      </c>
      <c r="L293" s="103">
        <f>IF(Human_Data_Entry!AO291="","",Human_Data_Entry!AO291)</f>
        <v/>
      </c>
      <c r="M293" s="103">
        <f>IF(Human_Data_Entry!BM291="","",Human_Data_Entry!BM291)</f>
        <v/>
      </c>
      <c r="N293" s="103">
        <f>IF(Human_Data_Entry!BN291="","",Human_Data_Entry!BN291)</f>
        <v/>
      </c>
      <c r="O293" s="103">
        <f>IF(Human_Data_Entry!BO291="","",Human_Data_Entry!BO291)</f>
        <v/>
      </c>
      <c r="P293" s="103">
        <f>IF(Human_Data_Entry!BP291="","",Human_Data_Entry!BP291)</f>
        <v/>
      </c>
      <c r="Q293" s="103">
        <f>IF(Human_Data_Entry!BQ291="","",Human_Data_Entry!BQ291)</f>
        <v/>
      </c>
      <c r="R293" s="103">
        <f>IF(Human_Data_Entry!BR291="","",Human_Data_Entry!BR291)</f>
        <v/>
      </c>
      <c r="S293" s="103">
        <f>IF(Human_Data_Entry!BS291="","",Human_Data_Entry!BS291)</f>
        <v/>
      </c>
      <c r="T293" s="103">
        <f>IF(Human_Data_Entry!BT291="","",Human_Data_Entry!BT291)</f>
        <v/>
      </c>
    </row>
    <row r="294" ht="15" customHeight="1" s="241">
      <c r="A294" s="103">
        <f>IF(Human_Data_Entry!A292="","",Human_Data_Entry!A292)</f>
        <v/>
      </c>
      <c r="B294" s="103">
        <f>IF(Human_Data_Entry!B292="","",Human_Data_Entry!B292)</f>
        <v/>
      </c>
      <c r="C294" s="104">
        <f>IF(Human_Data_Entry!C292="","",Human_Data_Entry!C292)</f>
        <v/>
      </c>
      <c r="D294" s="103">
        <f>IF(Human_Data_Entry!D292="","",Human_Data_Entry!D292)</f>
        <v/>
      </c>
      <c r="E294" s="103">
        <f>IF(Human_Data_Entry!G292="","",Human_Data_Entry!G292)</f>
        <v/>
      </c>
      <c r="F294" s="103">
        <f>IF(Human_Data_Entry!X292="","",Human_Data_Entry!X292)</f>
        <v/>
      </c>
      <c r="G294" s="103">
        <f>IF(Human_Data_Entry!AY292="","",Human_Data_Entry!AY292)</f>
        <v/>
      </c>
      <c r="H294" s="103">
        <f>IF(Human_Data_Entry!AZ292="","",Human_Data_Entry!AZ292)</f>
        <v/>
      </c>
      <c r="I294" s="103">
        <f>IF(Human_Data_Entry!AL292="","",Human_Data_Entry!AL292)</f>
        <v/>
      </c>
      <c r="J294" s="103">
        <f>IF(Human_Data_Entry!AM292="","",Human_Data_Entry!AM292)</f>
        <v/>
      </c>
      <c r="K294" s="103">
        <f>IF(Human_Data_Entry!AN292="","",Human_Data_Entry!AN292)</f>
        <v/>
      </c>
      <c r="L294" s="103">
        <f>IF(Human_Data_Entry!AO292="","",Human_Data_Entry!AO292)</f>
        <v/>
      </c>
      <c r="M294" s="103">
        <f>IF(Human_Data_Entry!BM292="","",Human_Data_Entry!BM292)</f>
        <v/>
      </c>
      <c r="N294" s="103">
        <f>IF(Human_Data_Entry!BN292="","",Human_Data_Entry!BN292)</f>
        <v/>
      </c>
      <c r="O294" s="103">
        <f>IF(Human_Data_Entry!BO292="","",Human_Data_Entry!BO292)</f>
        <v/>
      </c>
      <c r="P294" s="103">
        <f>IF(Human_Data_Entry!BP292="","",Human_Data_Entry!BP292)</f>
        <v/>
      </c>
      <c r="Q294" s="103">
        <f>IF(Human_Data_Entry!BQ292="","",Human_Data_Entry!BQ292)</f>
        <v/>
      </c>
      <c r="R294" s="103">
        <f>IF(Human_Data_Entry!BR292="","",Human_Data_Entry!BR292)</f>
        <v/>
      </c>
      <c r="S294" s="103">
        <f>IF(Human_Data_Entry!BS292="","",Human_Data_Entry!BS292)</f>
        <v/>
      </c>
      <c r="T294" s="103">
        <f>IF(Human_Data_Entry!BT292="","",Human_Data_Entry!BT292)</f>
        <v/>
      </c>
    </row>
    <row r="295" ht="15" customHeight="1" s="241">
      <c r="A295" s="103">
        <f>IF(Human_Data_Entry!A293="","",Human_Data_Entry!A293)</f>
        <v/>
      </c>
      <c r="B295" s="103">
        <f>IF(Human_Data_Entry!B293="","",Human_Data_Entry!B293)</f>
        <v/>
      </c>
      <c r="C295" s="104">
        <f>IF(Human_Data_Entry!C293="","",Human_Data_Entry!C293)</f>
        <v/>
      </c>
      <c r="D295" s="103">
        <f>IF(Human_Data_Entry!D293="","",Human_Data_Entry!D293)</f>
        <v/>
      </c>
      <c r="E295" s="103">
        <f>IF(Human_Data_Entry!G293="","",Human_Data_Entry!G293)</f>
        <v/>
      </c>
      <c r="F295" s="103">
        <f>IF(Human_Data_Entry!X293="","",Human_Data_Entry!X293)</f>
        <v/>
      </c>
      <c r="G295" s="103">
        <f>IF(Human_Data_Entry!AY293="","",Human_Data_Entry!AY293)</f>
        <v/>
      </c>
      <c r="H295" s="103">
        <f>IF(Human_Data_Entry!AZ293="","",Human_Data_Entry!AZ293)</f>
        <v/>
      </c>
      <c r="I295" s="103">
        <f>IF(Human_Data_Entry!AL293="","",Human_Data_Entry!AL293)</f>
        <v/>
      </c>
      <c r="J295" s="103">
        <f>IF(Human_Data_Entry!AM293="","",Human_Data_Entry!AM293)</f>
        <v/>
      </c>
      <c r="K295" s="103">
        <f>IF(Human_Data_Entry!AN293="","",Human_Data_Entry!AN293)</f>
        <v/>
      </c>
      <c r="L295" s="103">
        <f>IF(Human_Data_Entry!AO293="","",Human_Data_Entry!AO293)</f>
        <v/>
      </c>
      <c r="M295" s="103">
        <f>IF(Human_Data_Entry!BM293="","",Human_Data_Entry!BM293)</f>
        <v/>
      </c>
      <c r="N295" s="103">
        <f>IF(Human_Data_Entry!BN293="","",Human_Data_Entry!BN293)</f>
        <v/>
      </c>
      <c r="O295" s="103">
        <f>IF(Human_Data_Entry!BO293="","",Human_Data_Entry!BO293)</f>
        <v/>
      </c>
      <c r="P295" s="103">
        <f>IF(Human_Data_Entry!BP293="","",Human_Data_Entry!BP293)</f>
        <v/>
      </c>
      <c r="Q295" s="103">
        <f>IF(Human_Data_Entry!BQ293="","",Human_Data_Entry!BQ293)</f>
        <v/>
      </c>
      <c r="R295" s="103">
        <f>IF(Human_Data_Entry!BR293="","",Human_Data_Entry!BR293)</f>
        <v/>
      </c>
      <c r="S295" s="103">
        <f>IF(Human_Data_Entry!BS293="","",Human_Data_Entry!BS293)</f>
        <v/>
      </c>
      <c r="T295" s="103">
        <f>IF(Human_Data_Entry!BT293="","",Human_Data_Entry!BT293)</f>
        <v/>
      </c>
    </row>
    <row r="296" ht="15" customHeight="1" s="241">
      <c r="A296" s="103">
        <f>IF(Human_Data_Entry!A294="","",Human_Data_Entry!A294)</f>
        <v/>
      </c>
      <c r="B296" s="103">
        <f>IF(Human_Data_Entry!B294="","",Human_Data_Entry!B294)</f>
        <v/>
      </c>
      <c r="C296" s="104">
        <f>IF(Human_Data_Entry!C294="","",Human_Data_Entry!C294)</f>
        <v/>
      </c>
      <c r="D296" s="103">
        <f>IF(Human_Data_Entry!D294="","",Human_Data_Entry!D294)</f>
        <v/>
      </c>
      <c r="E296" s="103">
        <f>IF(Human_Data_Entry!G294="","",Human_Data_Entry!G294)</f>
        <v/>
      </c>
      <c r="F296" s="103">
        <f>IF(Human_Data_Entry!X294="","",Human_Data_Entry!X294)</f>
        <v/>
      </c>
      <c r="G296" s="103">
        <f>IF(Human_Data_Entry!AY294="","",Human_Data_Entry!AY294)</f>
        <v/>
      </c>
      <c r="H296" s="103">
        <f>IF(Human_Data_Entry!AZ294="","",Human_Data_Entry!AZ294)</f>
        <v/>
      </c>
      <c r="I296" s="103">
        <f>IF(Human_Data_Entry!AL294="","",Human_Data_Entry!AL294)</f>
        <v/>
      </c>
      <c r="J296" s="103">
        <f>IF(Human_Data_Entry!AM294="","",Human_Data_Entry!AM294)</f>
        <v/>
      </c>
      <c r="K296" s="103">
        <f>IF(Human_Data_Entry!AN294="","",Human_Data_Entry!AN294)</f>
        <v/>
      </c>
      <c r="L296" s="103">
        <f>IF(Human_Data_Entry!AO294="","",Human_Data_Entry!AO294)</f>
        <v/>
      </c>
      <c r="M296" s="103">
        <f>IF(Human_Data_Entry!BM294="","",Human_Data_Entry!BM294)</f>
        <v/>
      </c>
      <c r="N296" s="103">
        <f>IF(Human_Data_Entry!BN294="","",Human_Data_Entry!BN294)</f>
        <v/>
      </c>
      <c r="O296" s="103">
        <f>IF(Human_Data_Entry!BO294="","",Human_Data_Entry!BO294)</f>
        <v/>
      </c>
      <c r="P296" s="103">
        <f>IF(Human_Data_Entry!BP294="","",Human_Data_Entry!BP294)</f>
        <v/>
      </c>
      <c r="Q296" s="103">
        <f>IF(Human_Data_Entry!BQ294="","",Human_Data_Entry!BQ294)</f>
        <v/>
      </c>
      <c r="R296" s="103">
        <f>IF(Human_Data_Entry!BR294="","",Human_Data_Entry!BR294)</f>
        <v/>
      </c>
      <c r="S296" s="103">
        <f>IF(Human_Data_Entry!BS294="","",Human_Data_Entry!BS294)</f>
        <v/>
      </c>
      <c r="T296" s="103">
        <f>IF(Human_Data_Entry!BT294="","",Human_Data_Entry!BT294)</f>
        <v/>
      </c>
    </row>
    <row r="297" ht="15" customHeight="1" s="241">
      <c r="A297" s="103">
        <f>IF(Human_Data_Entry!A295="","",Human_Data_Entry!A295)</f>
        <v/>
      </c>
      <c r="B297" s="103">
        <f>IF(Human_Data_Entry!B295="","",Human_Data_Entry!B295)</f>
        <v/>
      </c>
      <c r="C297" s="104">
        <f>IF(Human_Data_Entry!C295="","",Human_Data_Entry!C295)</f>
        <v/>
      </c>
      <c r="D297" s="103">
        <f>IF(Human_Data_Entry!D295="","",Human_Data_Entry!D295)</f>
        <v/>
      </c>
      <c r="E297" s="103">
        <f>IF(Human_Data_Entry!G295="","",Human_Data_Entry!G295)</f>
        <v/>
      </c>
      <c r="F297" s="103">
        <f>IF(Human_Data_Entry!X295="","",Human_Data_Entry!X295)</f>
        <v/>
      </c>
      <c r="G297" s="103">
        <f>IF(Human_Data_Entry!AY295="","",Human_Data_Entry!AY295)</f>
        <v/>
      </c>
      <c r="H297" s="103">
        <f>IF(Human_Data_Entry!AZ295="","",Human_Data_Entry!AZ295)</f>
        <v/>
      </c>
      <c r="I297" s="103">
        <f>IF(Human_Data_Entry!AL295="","",Human_Data_Entry!AL295)</f>
        <v/>
      </c>
      <c r="J297" s="103">
        <f>IF(Human_Data_Entry!AM295="","",Human_Data_Entry!AM295)</f>
        <v/>
      </c>
      <c r="K297" s="103">
        <f>IF(Human_Data_Entry!AN295="","",Human_Data_Entry!AN295)</f>
        <v/>
      </c>
      <c r="L297" s="103">
        <f>IF(Human_Data_Entry!AO295="","",Human_Data_Entry!AO295)</f>
        <v/>
      </c>
      <c r="M297" s="103">
        <f>IF(Human_Data_Entry!BM295="","",Human_Data_Entry!BM295)</f>
        <v/>
      </c>
      <c r="N297" s="103">
        <f>IF(Human_Data_Entry!BN295="","",Human_Data_Entry!BN295)</f>
        <v/>
      </c>
      <c r="O297" s="103">
        <f>IF(Human_Data_Entry!BO295="","",Human_Data_Entry!BO295)</f>
        <v/>
      </c>
      <c r="P297" s="103">
        <f>IF(Human_Data_Entry!BP295="","",Human_Data_Entry!BP295)</f>
        <v/>
      </c>
      <c r="Q297" s="103">
        <f>IF(Human_Data_Entry!BQ295="","",Human_Data_Entry!BQ295)</f>
        <v/>
      </c>
      <c r="R297" s="103">
        <f>IF(Human_Data_Entry!BR295="","",Human_Data_Entry!BR295)</f>
        <v/>
      </c>
      <c r="S297" s="103">
        <f>IF(Human_Data_Entry!BS295="","",Human_Data_Entry!BS295)</f>
        <v/>
      </c>
      <c r="T297" s="103">
        <f>IF(Human_Data_Entry!BT295="","",Human_Data_Entry!BT295)</f>
        <v/>
      </c>
    </row>
    <row r="298" ht="15" customHeight="1" s="241">
      <c r="A298" s="103">
        <f>IF(Human_Data_Entry!A296="","",Human_Data_Entry!A296)</f>
        <v/>
      </c>
      <c r="B298" s="103">
        <f>IF(Human_Data_Entry!B296="","",Human_Data_Entry!B296)</f>
        <v/>
      </c>
      <c r="C298" s="104">
        <f>IF(Human_Data_Entry!C296="","",Human_Data_Entry!C296)</f>
        <v/>
      </c>
      <c r="D298" s="103">
        <f>IF(Human_Data_Entry!D296="","",Human_Data_Entry!D296)</f>
        <v/>
      </c>
      <c r="E298" s="103">
        <f>IF(Human_Data_Entry!G296="","",Human_Data_Entry!G296)</f>
        <v/>
      </c>
      <c r="F298" s="103">
        <f>IF(Human_Data_Entry!X296="","",Human_Data_Entry!X296)</f>
        <v/>
      </c>
      <c r="G298" s="103">
        <f>IF(Human_Data_Entry!AY296="","",Human_Data_Entry!AY296)</f>
        <v/>
      </c>
      <c r="H298" s="103">
        <f>IF(Human_Data_Entry!AZ296="","",Human_Data_Entry!AZ296)</f>
        <v/>
      </c>
      <c r="I298" s="103">
        <f>IF(Human_Data_Entry!AL296="","",Human_Data_Entry!AL296)</f>
        <v/>
      </c>
      <c r="J298" s="103">
        <f>IF(Human_Data_Entry!AM296="","",Human_Data_Entry!AM296)</f>
        <v/>
      </c>
      <c r="K298" s="103">
        <f>IF(Human_Data_Entry!AN296="","",Human_Data_Entry!AN296)</f>
        <v/>
      </c>
      <c r="L298" s="103">
        <f>IF(Human_Data_Entry!AO296="","",Human_Data_Entry!AO296)</f>
        <v/>
      </c>
      <c r="M298" s="103">
        <f>IF(Human_Data_Entry!BM296="","",Human_Data_Entry!BM296)</f>
        <v/>
      </c>
      <c r="N298" s="103">
        <f>IF(Human_Data_Entry!BN296="","",Human_Data_Entry!BN296)</f>
        <v/>
      </c>
      <c r="O298" s="103">
        <f>IF(Human_Data_Entry!BO296="","",Human_Data_Entry!BO296)</f>
        <v/>
      </c>
      <c r="P298" s="103">
        <f>IF(Human_Data_Entry!BP296="","",Human_Data_Entry!BP296)</f>
        <v/>
      </c>
      <c r="Q298" s="103">
        <f>IF(Human_Data_Entry!BQ296="","",Human_Data_Entry!BQ296)</f>
        <v/>
      </c>
      <c r="R298" s="103">
        <f>IF(Human_Data_Entry!BR296="","",Human_Data_Entry!BR296)</f>
        <v/>
      </c>
      <c r="S298" s="103">
        <f>IF(Human_Data_Entry!BS296="","",Human_Data_Entry!BS296)</f>
        <v/>
      </c>
      <c r="T298" s="103">
        <f>IF(Human_Data_Entry!BT296="","",Human_Data_Entry!BT296)</f>
        <v/>
      </c>
    </row>
    <row r="299" ht="15" customHeight="1" s="241">
      <c r="A299" s="103">
        <f>IF(Human_Data_Entry!A297="","",Human_Data_Entry!A297)</f>
        <v/>
      </c>
      <c r="B299" s="103">
        <f>IF(Human_Data_Entry!B297="","",Human_Data_Entry!B297)</f>
        <v/>
      </c>
      <c r="C299" s="104">
        <f>IF(Human_Data_Entry!C297="","",Human_Data_Entry!C297)</f>
        <v/>
      </c>
      <c r="D299" s="103">
        <f>IF(Human_Data_Entry!D297="","",Human_Data_Entry!D297)</f>
        <v/>
      </c>
      <c r="E299" s="103">
        <f>IF(Human_Data_Entry!G297="","",Human_Data_Entry!G297)</f>
        <v/>
      </c>
      <c r="F299" s="103">
        <f>IF(Human_Data_Entry!X297="","",Human_Data_Entry!X297)</f>
        <v/>
      </c>
      <c r="G299" s="103">
        <f>IF(Human_Data_Entry!AY297="","",Human_Data_Entry!AY297)</f>
        <v/>
      </c>
      <c r="H299" s="103">
        <f>IF(Human_Data_Entry!AZ297="","",Human_Data_Entry!AZ297)</f>
        <v/>
      </c>
      <c r="I299" s="103">
        <f>IF(Human_Data_Entry!AL297="","",Human_Data_Entry!AL297)</f>
        <v/>
      </c>
      <c r="J299" s="103">
        <f>IF(Human_Data_Entry!AM297="","",Human_Data_Entry!AM297)</f>
        <v/>
      </c>
      <c r="K299" s="103">
        <f>IF(Human_Data_Entry!AN297="","",Human_Data_Entry!AN297)</f>
        <v/>
      </c>
      <c r="L299" s="103">
        <f>IF(Human_Data_Entry!AO297="","",Human_Data_Entry!AO297)</f>
        <v/>
      </c>
      <c r="M299" s="103">
        <f>IF(Human_Data_Entry!BM297="","",Human_Data_Entry!BM297)</f>
        <v/>
      </c>
      <c r="N299" s="103">
        <f>IF(Human_Data_Entry!BN297="","",Human_Data_Entry!BN297)</f>
        <v/>
      </c>
      <c r="O299" s="103">
        <f>IF(Human_Data_Entry!BO297="","",Human_Data_Entry!BO297)</f>
        <v/>
      </c>
      <c r="P299" s="103">
        <f>IF(Human_Data_Entry!BP297="","",Human_Data_Entry!BP297)</f>
        <v/>
      </c>
      <c r="Q299" s="103">
        <f>IF(Human_Data_Entry!BQ297="","",Human_Data_Entry!BQ297)</f>
        <v/>
      </c>
      <c r="R299" s="103">
        <f>IF(Human_Data_Entry!BR297="","",Human_Data_Entry!BR297)</f>
        <v/>
      </c>
      <c r="S299" s="103">
        <f>IF(Human_Data_Entry!BS297="","",Human_Data_Entry!BS297)</f>
        <v/>
      </c>
      <c r="T299" s="103">
        <f>IF(Human_Data_Entry!BT297="","",Human_Data_Entry!BT297)</f>
        <v/>
      </c>
    </row>
    <row r="300" ht="15" customHeight="1" s="241">
      <c r="A300" s="103">
        <f>IF(Human_Data_Entry!A298="","",Human_Data_Entry!A298)</f>
        <v/>
      </c>
      <c r="B300" s="103">
        <f>IF(Human_Data_Entry!B298="","",Human_Data_Entry!B298)</f>
        <v/>
      </c>
      <c r="C300" s="104">
        <f>IF(Human_Data_Entry!C298="","",Human_Data_Entry!C298)</f>
        <v/>
      </c>
      <c r="D300" s="103">
        <f>IF(Human_Data_Entry!D298="","",Human_Data_Entry!D298)</f>
        <v/>
      </c>
      <c r="E300" s="103">
        <f>IF(Human_Data_Entry!G298="","",Human_Data_Entry!G298)</f>
        <v/>
      </c>
      <c r="F300" s="103">
        <f>IF(Human_Data_Entry!X298="","",Human_Data_Entry!X298)</f>
        <v/>
      </c>
      <c r="G300" s="103">
        <f>IF(Human_Data_Entry!AY298="","",Human_Data_Entry!AY298)</f>
        <v/>
      </c>
      <c r="H300" s="103">
        <f>IF(Human_Data_Entry!AZ298="","",Human_Data_Entry!AZ298)</f>
        <v/>
      </c>
      <c r="I300" s="103">
        <f>IF(Human_Data_Entry!AL298="","",Human_Data_Entry!AL298)</f>
        <v/>
      </c>
      <c r="J300" s="103">
        <f>IF(Human_Data_Entry!AM298="","",Human_Data_Entry!AM298)</f>
        <v/>
      </c>
      <c r="K300" s="103">
        <f>IF(Human_Data_Entry!AN298="","",Human_Data_Entry!AN298)</f>
        <v/>
      </c>
      <c r="L300" s="103">
        <f>IF(Human_Data_Entry!AO298="","",Human_Data_Entry!AO298)</f>
        <v/>
      </c>
      <c r="M300" s="103">
        <f>IF(Human_Data_Entry!BM298="","",Human_Data_Entry!BM298)</f>
        <v/>
      </c>
      <c r="N300" s="103">
        <f>IF(Human_Data_Entry!BN298="","",Human_Data_Entry!BN298)</f>
        <v/>
      </c>
      <c r="O300" s="103">
        <f>IF(Human_Data_Entry!BO298="","",Human_Data_Entry!BO298)</f>
        <v/>
      </c>
      <c r="P300" s="103">
        <f>IF(Human_Data_Entry!BP298="","",Human_Data_Entry!BP298)</f>
        <v/>
      </c>
      <c r="Q300" s="103">
        <f>IF(Human_Data_Entry!BQ298="","",Human_Data_Entry!BQ298)</f>
        <v/>
      </c>
      <c r="R300" s="103">
        <f>IF(Human_Data_Entry!BR298="","",Human_Data_Entry!BR298)</f>
        <v/>
      </c>
      <c r="S300" s="103">
        <f>IF(Human_Data_Entry!BS298="","",Human_Data_Entry!BS298)</f>
        <v/>
      </c>
      <c r="T300" s="103">
        <f>IF(Human_Data_Entry!BT298="","",Human_Data_Entry!BT298)</f>
        <v/>
      </c>
    </row>
    <row r="301" ht="15" customHeight="1" s="241">
      <c r="A301" s="103">
        <f>IF(Human_Data_Entry!A299="","",Human_Data_Entry!A299)</f>
        <v/>
      </c>
      <c r="B301" s="103">
        <f>IF(Human_Data_Entry!B299="","",Human_Data_Entry!B299)</f>
        <v/>
      </c>
      <c r="C301" s="104">
        <f>IF(Human_Data_Entry!C299="","",Human_Data_Entry!C299)</f>
        <v/>
      </c>
      <c r="D301" s="103">
        <f>IF(Human_Data_Entry!D299="","",Human_Data_Entry!D299)</f>
        <v/>
      </c>
      <c r="E301" s="103">
        <f>IF(Human_Data_Entry!G299="","",Human_Data_Entry!G299)</f>
        <v/>
      </c>
      <c r="F301" s="103">
        <f>IF(Human_Data_Entry!X299="","",Human_Data_Entry!X299)</f>
        <v/>
      </c>
      <c r="G301" s="103">
        <f>IF(Human_Data_Entry!AY299="","",Human_Data_Entry!AY299)</f>
        <v/>
      </c>
      <c r="H301" s="103">
        <f>IF(Human_Data_Entry!AZ299="","",Human_Data_Entry!AZ299)</f>
        <v/>
      </c>
      <c r="I301" s="103">
        <f>IF(Human_Data_Entry!AL299="","",Human_Data_Entry!AL299)</f>
        <v/>
      </c>
      <c r="J301" s="103">
        <f>IF(Human_Data_Entry!AM299="","",Human_Data_Entry!AM299)</f>
        <v/>
      </c>
      <c r="K301" s="103">
        <f>IF(Human_Data_Entry!AN299="","",Human_Data_Entry!AN299)</f>
        <v/>
      </c>
      <c r="L301" s="103">
        <f>IF(Human_Data_Entry!AO299="","",Human_Data_Entry!AO299)</f>
        <v/>
      </c>
      <c r="M301" s="103">
        <f>IF(Human_Data_Entry!BM299="","",Human_Data_Entry!BM299)</f>
        <v/>
      </c>
      <c r="N301" s="103">
        <f>IF(Human_Data_Entry!BN299="","",Human_Data_Entry!BN299)</f>
        <v/>
      </c>
      <c r="O301" s="103">
        <f>IF(Human_Data_Entry!BO299="","",Human_Data_Entry!BO299)</f>
        <v/>
      </c>
      <c r="P301" s="103">
        <f>IF(Human_Data_Entry!BP299="","",Human_Data_Entry!BP299)</f>
        <v/>
      </c>
      <c r="Q301" s="103">
        <f>IF(Human_Data_Entry!BQ299="","",Human_Data_Entry!BQ299)</f>
        <v/>
      </c>
      <c r="R301" s="103">
        <f>IF(Human_Data_Entry!BR299="","",Human_Data_Entry!BR299)</f>
        <v/>
      </c>
      <c r="S301" s="103">
        <f>IF(Human_Data_Entry!BS299="","",Human_Data_Entry!BS299)</f>
        <v/>
      </c>
      <c r="T301" s="103">
        <f>IF(Human_Data_Entry!BT299="","",Human_Data_Entry!BT299)</f>
        <v/>
      </c>
    </row>
    <row r="302" ht="15" customHeight="1" s="241">
      <c r="A302" s="103">
        <f>IF(Human_Data_Entry!A300="","",Human_Data_Entry!A300)</f>
        <v/>
      </c>
      <c r="B302" s="103">
        <f>IF(Human_Data_Entry!B300="","",Human_Data_Entry!B300)</f>
        <v/>
      </c>
      <c r="C302" s="104">
        <f>IF(Human_Data_Entry!C300="","",Human_Data_Entry!C300)</f>
        <v/>
      </c>
      <c r="D302" s="103">
        <f>IF(Human_Data_Entry!D300="","",Human_Data_Entry!D300)</f>
        <v/>
      </c>
      <c r="E302" s="103">
        <f>IF(Human_Data_Entry!G300="","",Human_Data_Entry!G300)</f>
        <v/>
      </c>
      <c r="F302" s="103">
        <f>IF(Human_Data_Entry!X300="","",Human_Data_Entry!X300)</f>
        <v/>
      </c>
      <c r="G302" s="103">
        <f>IF(Human_Data_Entry!AY300="","",Human_Data_Entry!AY300)</f>
        <v/>
      </c>
      <c r="H302" s="103">
        <f>IF(Human_Data_Entry!AZ300="","",Human_Data_Entry!AZ300)</f>
        <v/>
      </c>
      <c r="I302" s="103">
        <f>IF(Human_Data_Entry!AL300="","",Human_Data_Entry!AL300)</f>
        <v/>
      </c>
      <c r="J302" s="103">
        <f>IF(Human_Data_Entry!AM300="","",Human_Data_Entry!AM300)</f>
        <v/>
      </c>
      <c r="K302" s="103">
        <f>IF(Human_Data_Entry!AN300="","",Human_Data_Entry!AN300)</f>
        <v/>
      </c>
      <c r="L302" s="103">
        <f>IF(Human_Data_Entry!AO300="","",Human_Data_Entry!AO300)</f>
        <v/>
      </c>
      <c r="M302" s="103">
        <f>IF(Human_Data_Entry!BM300="","",Human_Data_Entry!BM300)</f>
        <v/>
      </c>
      <c r="N302" s="103">
        <f>IF(Human_Data_Entry!BN300="","",Human_Data_Entry!BN300)</f>
        <v/>
      </c>
      <c r="O302" s="103">
        <f>IF(Human_Data_Entry!BO300="","",Human_Data_Entry!BO300)</f>
        <v/>
      </c>
      <c r="P302" s="103">
        <f>IF(Human_Data_Entry!BP300="","",Human_Data_Entry!BP300)</f>
        <v/>
      </c>
      <c r="Q302" s="103">
        <f>IF(Human_Data_Entry!BQ300="","",Human_Data_Entry!BQ300)</f>
        <v/>
      </c>
      <c r="R302" s="103">
        <f>IF(Human_Data_Entry!BR300="","",Human_Data_Entry!BR300)</f>
        <v/>
      </c>
      <c r="S302" s="103">
        <f>IF(Human_Data_Entry!BS300="","",Human_Data_Entry!BS300)</f>
        <v/>
      </c>
      <c r="T302" s="103">
        <f>IF(Human_Data_Entry!BT300="","",Human_Data_Entry!BT300)</f>
        <v/>
      </c>
    </row>
    <row r="303" ht="15" customHeight="1" s="241">
      <c r="A303" s="103">
        <f>IF(Human_Data_Entry!A301="","",Human_Data_Entry!A301)</f>
        <v/>
      </c>
      <c r="B303" s="103">
        <f>IF(Human_Data_Entry!B301="","",Human_Data_Entry!B301)</f>
        <v/>
      </c>
      <c r="C303" s="104">
        <f>IF(Human_Data_Entry!C301="","",Human_Data_Entry!C301)</f>
        <v/>
      </c>
      <c r="D303" s="103">
        <f>IF(Human_Data_Entry!D301="","",Human_Data_Entry!D301)</f>
        <v/>
      </c>
      <c r="E303" s="103">
        <f>IF(Human_Data_Entry!G301="","",Human_Data_Entry!G301)</f>
        <v/>
      </c>
      <c r="F303" s="103">
        <f>IF(Human_Data_Entry!X301="","",Human_Data_Entry!X301)</f>
        <v/>
      </c>
      <c r="G303" s="103">
        <f>IF(Human_Data_Entry!AY301="","",Human_Data_Entry!AY301)</f>
        <v/>
      </c>
      <c r="H303" s="103">
        <f>IF(Human_Data_Entry!AZ301="","",Human_Data_Entry!AZ301)</f>
        <v/>
      </c>
      <c r="I303" s="103">
        <f>IF(Human_Data_Entry!AL301="","",Human_Data_Entry!AL301)</f>
        <v/>
      </c>
      <c r="J303" s="103">
        <f>IF(Human_Data_Entry!AM301="","",Human_Data_Entry!AM301)</f>
        <v/>
      </c>
      <c r="K303" s="103">
        <f>IF(Human_Data_Entry!AN301="","",Human_Data_Entry!AN301)</f>
        <v/>
      </c>
      <c r="L303" s="103">
        <f>IF(Human_Data_Entry!AO301="","",Human_Data_Entry!AO301)</f>
        <v/>
      </c>
      <c r="M303" s="103">
        <f>IF(Human_Data_Entry!BM301="","",Human_Data_Entry!BM301)</f>
        <v/>
      </c>
      <c r="N303" s="103">
        <f>IF(Human_Data_Entry!BN301="","",Human_Data_Entry!BN301)</f>
        <v/>
      </c>
      <c r="O303" s="103">
        <f>IF(Human_Data_Entry!BO301="","",Human_Data_Entry!BO301)</f>
        <v/>
      </c>
      <c r="P303" s="103">
        <f>IF(Human_Data_Entry!BP301="","",Human_Data_Entry!BP301)</f>
        <v/>
      </c>
      <c r="Q303" s="103">
        <f>IF(Human_Data_Entry!BQ301="","",Human_Data_Entry!BQ301)</f>
        <v/>
      </c>
      <c r="R303" s="103">
        <f>IF(Human_Data_Entry!BR301="","",Human_Data_Entry!BR301)</f>
        <v/>
      </c>
      <c r="S303" s="103">
        <f>IF(Human_Data_Entry!BS301="","",Human_Data_Entry!BS301)</f>
        <v/>
      </c>
      <c r="T303" s="103">
        <f>IF(Human_Data_Entry!BT301="","",Human_Data_Entry!BT301)</f>
        <v/>
      </c>
    </row>
    <row r="304" ht="15" customHeight="1" s="241">
      <c r="A304" s="103">
        <f>IF(Human_Data_Entry!A302="","",Human_Data_Entry!A302)</f>
        <v/>
      </c>
      <c r="B304" s="103">
        <f>IF(Human_Data_Entry!B302="","",Human_Data_Entry!B302)</f>
        <v/>
      </c>
      <c r="C304" s="104">
        <f>IF(Human_Data_Entry!C302="","",Human_Data_Entry!C302)</f>
        <v/>
      </c>
      <c r="D304" s="103">
        <f>IF(Human_Data_Entry!D302="","",Human_Data_Entry!D302)</f>
        <v/>
      </c>
      <c r="E304" s="103">
        <f>IF(Human_Data_Entry!G302="","",Human_Data_Entry!G302)</f>
        <v/>
      </c>
      <c r="F304" s="103">
        <f>IF(Human_Data_Entry!X302="","",Human_Data_Entry!X302)</f>
        <v/>
      </c>
      <c r="G304" s="103">
        <f>IF(Human_Data_Entry!AY302="","",Human_Data_Entry!AY302)</f>
        <v/>
      </c>
      <c r="H304" s="103">
        <f>IF(Human_Data_Entry!AZ302="","",Human_Data_Entry!AZ302)</f>
        <v/>
      </c>
      <c r="I304" s="103">
        <f>IF(Human_Data_Entry!AL302="","",Human_Data_Entry!AL302)</f>
        <v/>
      </c>
      <c r="J304" s="103">
        <f>IF(Human_Data_Entry!AM302="","",Human_Data_Entry!AM302)</f>
        <v/>
      </c>
      <c r="K304" s="103">
        <f>IF(Human_Data_Entry!AN302="","",Human_Data_Entry!AN302)</f>
        <v/>
      </c>
      <c r="L304" s="103">
        <f>IF(Human_Data_Entry!AO302="","",Human_Data_Entry!AO302)</f>
        <v/>
      </c>
      <c r="M304" s="103">
        <f>IF(Human_Data_Entry!BM302="","",Human_Data_Entry!BM302)</f>
        <v/>
      </c>
      <c r="N304" s="103">
        <f>IF(Human_Data_Entry!BN302="","",Human_Data_Entry!BN302)</f>
        <v/>
      </c>
      <c r="O304" s="103">
        <f>IF(Human_Data_Entry!BO302="","",Human_Data_Entry!BO302)</f>
        <v/>
      </c>
      <c r="P304" s="103">
        <f>IF(Human_Data_Entry!BP302="","",Human_Data_Entry!BP302)</f>
        <v/>
      </c>
      <c r="Q304" s="103">
        <f>IF(Human_Data_Entry!BQ302="","",Human_Data_Entry!BQ302)</f>
        <v/>
      </c>
      <c r="R304" s="103">
        <f>IF(Human_Data_Entry!BR302="","",Human_Data_Entry!BR302)</f>
        <v/>
      </c>
      <c r="S304" s="103">
        <f>IF(Human_Data_Entry!BS302="","",Human_Data_Entry!BS302)</f>
        <v/>
      </c>
      <c r="T304" s="103">
        <f>IF(Human_Data_Entry!BT302="","",Human_Data_Entry!BT302)</f>
        <v/>
      </c>
    </row>
    <row r="305" ht="15" customHeight="1" s="241">
      <c r="A305" s="103">
        <f>IF(Human_Data_Entry!A303="","",Human_Data_Entry!A303)</f>
        <v/>
      </c>
      <c r="B305" s="103">
        <f>IF(Human_Data_Entry!B303="","",Human_Data_Entry!B303)</f>
        <v/>
      </c>
      <c r="C305" s="104">
        <f>IF(Human_Data_Entry!C303="","",Human_Data_Entry!C303)</f>
        <v/>
      </c>
      <c r="D305" s="103">
        <f>IF(Human_Data_Entry!D303="","",Human_Data_Entry!D303)</f>
        <v/>
      </c>
      <c r="E305" s="103">
        <f>IF(Human_Data_Entry!G303="","",Human_Data_Entry!G303)</f>
        <v/>
      </c>
      <c r="F305" s="103">
        <f>IF(Human_Data_Entry!X303="","",Human_Data_Entry!X303)</f>
        <v/>
      </c>
      <c r="G305" s="103">
        <f>IF(Human_Data_Entry!AY303="","",Human_Data_Entry!AY303)</f>
        <v/>
      </c>
      <c r="H305" s="103">
        <f>IF(Human_Data_Entry!AZ303="","",Human_Data_Entry!AZ303)</f>
        <v/>
      </c>
      <c r="I305" s="103">
        <f>IF(Human_Data_Entry!AL303="","",Human_Data_Entry!AL303)</f>
        <v/>
      </c>
      <c r="J305" s="103">
        <f>IF(Human_Data_Entry!AM303="","",Human_Data_Entry!AM303)</f>
        <v/>
      </c>
      <c r="K305" s="103">
        <f>IF(Human_Data_Entry!AN303="","",Human_Data_Entry!AN303)</f>
        <v/>
      </c>
      <c r="L305" s="103">
        <f>IF(Human_Data_Entry!AO303="","",Human_Data_Entry!AO303)</f>
        <v/>
      </c>
      <c r="M305" s="103">
        <f>IF(Human_Data_Entry!BM303="","",Human_Data_Entry!BM303)</f>
        <v/>
      </c>
      <c r="N305" s="103">
        <f>IF(Human_Data_Entry!BN303="","",Human_Data_Entry!BN303)</f>
        <v/>
      </c>
      <c r="O305" s="103">
        <f>IF(Human_Data_Entry!BO303="","",Human_Data_Entry!BO303)</f>
        <v/>
      </c>
      <c r="P305" s="103">
        <f>IF(Human_Data_Entry!BP303="","",Human_Data_Entry!BP303)</f>
        <v/>
      </c>
      <c r="Q305" s="103">
        <f>IF(Human_Data_Entry!BQ303="","",Human_Data_Entry!BQ303)</f>
        <v/>
      </c>
      <c r="R305" s="103">
        <f>IF(Human_Data_Entry!BR303="","",Human_Data_Entry!BR303)</f>
        <v/>
      </c>
      <c r="S305" s="103">
        <f>IF(Human_Data_Entry!BS303="","",Human_Data_Entry!BS303)</f>
        <v/>
      </c>
      <c r="T305" s="103">
        <f>IF(Human_Data_Entry!BT303="","",Human_Data_Entry!BT303)</f>
        <v/>
      </c>
    </row>
    <row r="306" ht="15" customHeight="1" s="241">
      <c r="A306" s="103">
        <f>IF(Human_Data_Entry!A304="","",Human_Data_Entry!A304)</f>
        <v/>
      </c>
      <c r="B306" s="103">
        <f>IF(Human_Data_Entry!B304="","",Human_Data_Entry!B304)</f>
        <v/>
      </c>
      <c r="C306" s="104">
        <f>IF(Human_Data_Entry!C304="","",Human_Data_Entry!C304)</f>
        <v/>
      </c>
      <c r="D306" s="103">
        <f>IF(Human_Data_Entry!D304="","",Human_Data_Entry!D304)</f>
        <v/>
      </c>
      <c r="E306" s="103">
        <f>IF(Human_Data_Entry!G304="","",Human_Data_Entry!G304)</f>
        <v/>
      </c>
      <c r="F306" s="103">
        <f>IF(Human_Data_Entry!X304="","",Human_Data_Entry!X304)</f>
        <v/>
      </c>
      <c r="G306" s="103">
        <f>IF(Human_Data_Entry!AY304="","",Human_Data_Entry!AY304)</f>
        <v/>
      </c>
      <c r="H306" s="103">
        <f>IF(Human_Data_Entry!AZ304="","",Human_Data_Entry!AZ304)</f>
        <v/>
      </c>
      <c r="I306" s="103">
        <f>IF(Human_Data_Entry!AL304="","",Human_Data_Entry!AL304)</f>
        <v/>
      </c>
      <c r="J306" s="103">
        <f>IF(Human_Data_Entry!AM304="","",Human_Data_Entry!AM304)</f>
        <v/>
      </c>
      <c r="K306" s="103">
        <f>IF(Human_Data_Entry!AN304="","",Human_Data_Entry!AN304)</f>
        <v/>
      </c>
      <c r="L306" s="103">
        <f>IF(Human_Data_Entry!AO304="","",Human_Data_Entry!AO304)</f>
        <v/>
      </c>
      <c r="M306" s="103">
        <f>IF(Human_Data_Entry!BM304="","",Human_Data_Entry!BM304)</f>
        <v/>
      </c>
      <c r="N306" s="103">
        <f>IF(Human_Data_Entry!BN304="","",Human_Data_Entry!BN304)</f>
        <v/>
      </c>
      <c r="O306" s="103">
        <f>IF(Human_Data_Entry!BO304="","",Human_Data_Entry!BO304)</f>
        <v/>
      </c>
      <c r="P306" s="103">
        <f>IF(Human_Data_Entry!BP304="","",Human_Data_Entry!BP304)</f>
        <v/>
      </c>
      <c r="Q306" s="103">
        <f>IF(Human_Data_Entry!BQ304="","",Human_Data_Entry!BQ304)</f>
        <v/>
      </c>
      <c r="R306" s="103">
        <f>IF(Human_Data_Entry!BR304="","",Human_Data_Entry!BR304)</f>
        <v/>
      </c>
      <c r="S306" s="103">
        <f>IF(Human_Data_Entry!BS304="","",Human_Data_Entry!BS304)</f>
        <v/>
      </c>
      <c r="T306" s="103">
        <f>IF(Human_Data_Entry!BT304="","",Human_Data_Entry!BT304)</f>
        <v/>
      </c>
    </row>
    <row r="307" ht="15" customHeight="1" s="241">
      <c r="A307" s="103">
        <f>IF(Human_Data_Entry!A305="","",Human_Data_Entry!A305)</f>
        <v/>
      </c>
      <c r="B307" s="103">
        <f>IF(Human_Data_Entry!B305="","",Human_Data_Entry!B305)</f>
        <v/>
      </c>
      <c r="C307" s="104">
        <f>IF(Human_Data_Entry!C305="","",Human_Data_Entry!C305)</f>
        <v/>
      </c>
      <c r="D307" s="103">
        <f>IF(Human_Data_Entry!D305="","",Human_Data_Entry!D305)</f>
        <v/>
      </c>
      <c r="E307" s="103">
        <f>IF(Human_Data_Entry!G305="","",Human_Data_Entry!G305)</f>
        <v/>
      </c>
      <c r="F307" s="103">
        <f>IF(Human_Data_Entry!X305="","",Human_Data_Entry!X305)</f>
        <v/>
      </c>
      <c r="G307" s="103">
        <f>IF(Human_Data_Entry!AY305="","",Human_Data_Entry!AY305)</f>
        <v/>
      </c>
      <c r="H307" s="103">
        <f>IF(Human_Data_Entry!AZ305="","",Human_Data_Entry!AZ305)</f>
        <v/>
      </c>
      <c r="I307" s="103">
        <f>IF(Human_Data_Entry!AL305="","",Human_Data_Entry!AL305)</f>
        <v/>
      </c>
      <c r="J307" s="103">
        <f>IF(Human_Data_Entry!AM305="","",Human_Data_Entry!AM305)</f>
        <v/>
      </c>
      <c r="K307" s="103">
        <f>IF(Human_Data_Entry!AN305="","",Human_Data_Entry!AN305)</f>
        <v/>
      </c>
      <c r="L307" s="103">
        <f>IF(Human_Data_Entry!AO305="","",Human_Data_Entry!AO305)</f>
        <v/>
      </c>
      <c r="M307" s="103">
        <f>IF(Human_Data_Entry!BM305="","",Human_Data_Entry!BM305)</f>
        <v/>
      </c>
      <c r="N307" s="103">
        <f>IF(Human_Data_Entry!BN305="","",Human_Data_Entry!BN305)</f>
        <v/>
      </c>
      <c r="O307" s="103">
        <f>IF(Human_Data_Entry!BO305="","",Human_Data_Entry!BO305)</f>
        <v/>
      </c>
      <c r="P307" s="103">
        <f>IF(Human_Data_Entry!BP305="","",Human_Data_Entry!BP305)</f>
        <v/>
      </c>
      <c r="Q307" s="103">
        <f>IF(Human_Data_Entry!BQ305="","",Human_Data_Entry!BQ305)</f>
        <v/>
      </c>
      <c r="R307" s="103">
        <f>IF(Human_Data_Entry!BR305="","",Human_Data_Entry!BR305)</f>
        <v/>
      </c>
      <c r="S307" s="103">
        <f>IF(Human_Data_Entry!BS305="","",Human_Data_Entry!BS305)</f>
        <v/>
      </c>
      <c r="T307" s="103">
        <f>IF(Human_Data_Entry!BT305="","",Human_Data_Entry!BT305)</f>
        <v/>
      </c>
    </row>
    <row r="308" ht="15" customHeight="1" s="241">
      <c r="A308" s="103">
        <f>IF(Human_Data_Entry!A306="","",Human_Data_Entry!A306)</f>
        <v/>
      </c>
      <c r="B308" s="103">
        <f>IF(Human_Data_Entry!B306="","",Human_Data_Entry!B306)</f>
        <v/>
      </c>
      <c r="C308" s="104">
        <f>IF(Human_Data_Entry!C306="","",Human_Data_Entry!C306)</f>
        <v/>
      </c>
      <c r="D308" s="103">
        <f>IF(Human_Data_Entry!D306="","",Human_Data_Entry!D306)</f>
        <v/>
      </c>
      <c r="E308" s="103">
        <f>IF(Human_Data_Entry!G306="","",Human_Data_Entry!G306)</f>
        <v/>
      </c>
      <c r="F308" s="103">
        <f>IF(Human_Data_Entry!X306="","",Human_Data_Entry!X306)</f>
        <v/>
      </c>
      <c r="G308" s="103">
        <f>IF(Human_Data_Entry!AY306="","",Human_Data_Entry!AY306)</f>
        <v/>
      </c>
      <c r="H308" s="103">
        <f>IF(Human_Data_Entry!AZ306="","",Human_Data_Entry!AZ306)</f>
        <v/>
      </c>
      <c r="I308" s="103">
        <f>IF(Human_Data_Entry!AL306="","",Human_Data_Entry!AL306)</f>
        <v/>
      </c>
      <c r="J308" s="103">
        <f>IF(Human_Data_Entry!AM306="","",Human_Data_Entry!AM306)</f>
        <v/>
      </c>
      <c r="K308" s="103">
        <f>IF(Human_Data_Entry!AN306="","",Human_Data_Entry!AN306)</f>
        <v/>
      </c>
      <c r="L308" s="103">
        <f>IF(Human_Data_Entry!AO306="","",Human_Data_Entry!AO306)</f>
        <v/>
      </c>
      <c r="M308" s="103">
        <f>IF(Human_Data_Entry!BM306="","",Human_Data_Entry!BM306)</f>
        <v/>
      </c>
      <c r="N308" s="103">
        <f>IF(Human_Data_Entry!BN306="","",Human_Data_Entry!BN306)</f>
        <v/>
      </c>
      <c r="O308" s="103">
        <f>IF(Human_Data_Entry!BO306="","",Human_Data_Entry!BO306)</f>
        <v/>
      </c>
      <c r="P308" s="103">
        <f>IF(Human_Data_Entry!BP306="","",Human_Data_Entry!BP306)</f>
        <v/>
      </c>
      <c r="Q308" s="103">
        <f>IF(Human_Data_Entry!BQ306="","",Human_Data_Entry!BQ306)</f>
        <v/>
      </c>
      <c r="R308" s="103">
        <f>IF(Human_Data_Entry!BR306="","",Human_Data_Entry!BR306)</f>
        <v/>
      </c>
      <c r="S308" s="103">
        <f>IF(Human_Data_Entry!BS306="","",Human_Data_Entry!BS306)</f>
        <v/>
      </c>
      <c r="T308" s="103">
        <f>IF(Human_Data_Entry!BT306="","",Human_Data_Entry!BT306)</f>
        <v/>
      </c>
    </row>
    <row r="309" ht="15" customHeight="1" s="241">
      <c r="A309" s="103">
        <f>IF(Human_Data_Entry!A307="","",Human_Data_Entry!A307)</f>
        <v/>
      </c>
      <c r="B309" s="103">
        <f>IF(Human_Data_Entry!B307="","",Human_Data_Entry!B307)</f>
        <v/>
      </c>
      <c r="C309" s="104">
        <f>IF(Human_Data_Entry!C307="","",Human_Data_Entry!C307)</f>
        <v/>
      </c>
      <c r="D309" s="103">
        <f>IF(Human_Data_Entry!D307="","",Human_Data_Entry!D307)</f>
        <v/>
      </c>
      <c r="E309" s="103">
        <f>IF(Human_Data_Entry!G307="","",Human_Data_Entry!G307)</f>
        <v/>
      </c>
      <c r="F309" s="103">
        <f>IF(Human_Data_Entry!X307="","",Human_Data_Entry!X307)</f>
        <v/>
      </c>
      <c r="G309" s="103">
        <f>IF(Human_Data_Entry!AY307="","",Human_Data_Entry!AY307)</f>
        <v/>
      </c>
      <c r="H309" s="103">
        <f>IF(Human_Data_Entry!AZ307="","",Human_Data_Entry!AZ307)</f>
        <v/>
      </c>
      <c r="I309" s="103">
        <f>IF(Human_Data_Entry!AL307="","",Human_Data_Entry!AL307)</f>
        <v/>
      </c>
      <c r="J309" s="103">
        <f>IF(Human_Data_Entry!AM307="","",Human_Data_Entry!AM307)</f>
        <v/>
      </c>
      <c r="K309" s="103">
        <f>IF(Human_Data_Entry!AN307="","",Human_Data_Entry!AN307)</f>
        <v/>
      </c>
      <c r="L309" s="103">
        <f>IF(Human_Data_Entry!AO307="","",Human_Data_Entry!AO307)</f>
        <v/>
      </c>
      <c r="M309" s="103">
        <f>IF(Human_Data_Entry!BM307="","",Human_Data_Entry!BM307)</f>
        <v/>
      </c>
      <c r="N309" s="103">
        <f>IF(Human_Data_Entry!BN307="","",Human_Data_Entry!BN307)</f>
        <v/>
      </c>
      <c r="O309" s="103">
        <f>IF(Human_Data_Entry!BO307="","",Human_Data_Entry!BO307)</f>
        <v/>
      </c>
      <c r="P309" s="103">
        <f>IF(Human_Data_Entry!BP307="","",Human_Data_Entry!BP307)</f>
        <v/>
      </c>
      <c r="Q309" s="103">
        <f>IF(Human_Data_Entry!BQ307="","",Human_Data_Entry!BQ307)</f>
        <v/>
      </c>
      <c r="R309" s="103">
        <f>IF(Human_Data_Entry!BR307="","",Human_Data_Entry!BR307)</f>
        <v/>
      </c>
      <c r="S309" s="103">
        <f>IF(Human_Data_Entry!BS307="","",Human_Data_Entry!BS307)</f>
        <v/>
      </c>
      <c r="T309" s="103">
        <f>IF(Human_Data_Entry!BT307="","",Human_Data_Entry!BT307)</f>
        <v/>
      </c>
    </row>
    <row r="310" ht="15" customHeight="1" s="241">
      <c r="A310" s="103">
        <f>IF(Human_Data_Entry!A308="","",Human_Data_Entry!A308)</f>
        <v/>
      </c>
      <c r="B310" s="103">
        <f>IF(Human_Data_Entry!B308="","",Human_Data_Entry!B308)</f>
        <v/>
      </c>
      <c r="C310" s="104">
        <f>IF(Human_Data_Entry!C308="","",Human_Data_Entry!C308)</f>
        <v/>
      </c>
      <c r="D310" s="103">
        <f>IF(Human_Data_Entry!D308="","",Human_Data_Entry!D308)</f>
        <v/>
      </c>
      <c r="E310" s="103">
        <f>IF(Human_Data_Entry!G308="","",Human_Data_Entry!G308)</f>
        <v/>
      </c>
      <c r="F310" s="103">
        <f>IF(Human_Data_Entry!X308="","",Human_Data_Entry!X308)</f>
        <v/>
      </c>
      <c r="G310" s="103">
        <f>IF(Human_Data_Entry!AY308="","",Human_Data_Entry!AY308)</f>
        <v/>
      </c>
      <c r="H310" s="103">
        <f>IF(Human_Data_Entry!AZ308="","",Human_Data_Entry!AZ308)</f>
        <v/>
      </c>
      <c r="I310" s="103">
        <f>IF(Human_Data_Entry!AL308="","",Human_Data_Entry!AL308)</f>
        <v/>
      </c>
      <c r="J310" s="103">
        <f>IF(Human_Data_Entry!AM308="","",Human_Data_Entry!AM308)</f>
        <v/>
      </c>
      <c r="K310" s="103">
        <f>IF(Human_Data_Entry!AN308="","",Human_Data_Entry!AN308)</f>
        <v/>
      </c>
      <c r="L310" s="103">
        <f>IF(Human_Data_Entry!AO308="","",Human_Data_Entry!AO308)</f>
        <v/>
      </c>
      <c r="M310" s="103">
        <f>IF(Human_Data_Entry!BM308="","",Human_Data_Entry!BM308)</f>
        <v/>
      </c>
      <c r="N310" s="103">
        <f>IF(Human_Data_Entry!BN308="","",Human_Data_Entry!BN308)</f>
        <v/>
      </c>
      <c r="O310" s="103">
        <f>IF(Human_Data_Entry!BO308="","",Human_Data_Entry!BO308)</f>
        <v/>
      </c>
      <c r="P310" s="103">
        <f>IF(Human_Data_Entry!BP308="","",Human_Data_Entry!BP308)</f>
        <v/>
      </c>
      <c r="Q310" s="103">
        <f>IF(Human_Data_Entry!BQ308="","",Human_Data_Entry!BQ308)</f>
        <v/>
      </c>
      <c r="R310" s="103">
        <f>IF(Human_Data_Entry!BR308="","",Human_Data_Entry!BR308)</f>
        <v/>
      </c>
      <c r="S310" s="103">
        <f>IF(Human_Data_Entry!BS308="","",Human_Data_Entry!BS308)</f>
        <v/>
      </c>
      <c r="T310" s="103">
        <f>IF(Human_Data_Entry!BT308="","",Human_Data_Entry!BT308)</f>
        <v/>
      </c>
    </row>
    <row r="311" ht="15" customHeight="1" s="241">
      <c r="A311" s="103">
        <f>IF(Human_Data_Entry!A309="","",Human_Data_Entry!A309)</f>
        <v/>
      </c>
      <c r="B311" s="103">
        <f>IF(Human_Data_Entry!B309="","",Human_Data_Entry!B309)</f>
        <v/>
      </c>
      <c r="C311" s="104">
        <f>IF(Human_Data_Entry!C309="","",Human_Data_Entry!C309)</f>
        <v/>
      </c>
      <c r="D311" s="103">
        <f>IF(Human_Data_Entry!D309="","",Human_Data_Entry!D309)</f>
        <v/>
      </c>
      <c r="E311" s="103">
        <f>IF(Human_Data_Entry!G309="","",Human_Data_Entry!G309)</f>
        <v/>
      </c>
      <c r="F311" s="103">
        <f>IF(Human_Data_Entry!X309="","",Human_Data_Entry!X309)</f>
        <v/>
      </c>
      <c r="G311" s="103">
        <f>IF(Human_Data_Entry!AY309="","",Human_Data_Entry!AY309)</f>
        <v/>
      </c>
      <c r="H311" s="103">
        <f>IF(Human_Data_Entry!AZ309="","",Human_Data_Entry!AZ309)</f>
        <v/>
      </c>
      <c r="I311" s="103">
        <f>IF(Human_Data_Entry!AL309="","",Human_Data_Entry!AL309)</f>
        <v/>
      </c>
      <c r="J311" s="103">
        <f>IF(Human_Data_Entry!AM309="","",Human_Data_Entry!AM309)</f>
        <v/>
      </c>
      <c r="K311" s="103">
        <f>IF(Human_Data_Entry!AN309="","",Human_Data_Entry!AN309)</f>
        <v/>
      </c>
      <c r="L311" s="103">
        <f>IF(Human_Data_Entry!AO309="","",Human_Data_Entry!AO309)</f>
        <v/>
      </c>
      <c r="M311" s="103">
        <f>IF(Human_Data_Entry!BM309="","",Human_Data_Entry!BM309)</f>
        <v/>
      </c>
      <c r="N311" s="103">
        <f>IF(Human_Data_Entry!BN309="","",Human_Data_Entry!BN309)</f>
        <v/>
      </c>
      <c r="O311" s="103">
        <f>IF(Human_Data_Entry!BO309="","",Human_Data_Entry!BO309)</f>
        <v/>
      </c>
      <c r="P311" s="103">
        <f>IF(Human_Data_Entry!BP309="","",Human_Data_Entry!BP309)</f>
        <v/>
      </c>
      <c r="Q311" s="103">
        <f>IF(Human_Data_Entry!BQ309="","",Human_Data_Entry!BQ309)</f>
        <v/>
      </c>
      <c r="R311" s="103">
        <f>IF(Human_Data_Entry!BR309="","",Human_Data_Entry!BR309)</f>
        <v/>
      </c>
      <c r="S311" s="103">
        <f>IF(Human_Data_Entry!BS309="","",Human_Data_Entry!BS309)</f>
        <v/>
      </c>
      <c r="T311" s="103">
        <f>IF(Human_Data_Entry!BT309="","",Human_Data_Entry!BT309)</f>
        <v/>
      </c>
    </row>
    <row r="312" ht="15" customHeight="1" s="241">
      <c r="A312" s="103">
        <f>IF(Human_Data_Entry!A310="","",Human_Data_Entry!A310)</f>
        <v/>
      </c>
      <c r="B312" s="103">
        <f>IF(Human_Data_Entry!B310="","",Human_Data_Entry!B310)</f>
        <v/>
      </c>
      <c r="C312" s="104">
        <f>IF(Human_Data_Entry!C310="","",Human_Data_Entry!C310)</f>
        <v/>
      </c>
      <c r="D312" s="103">
        <f>IF(Human_Data_Entry!D310="","",Human_Data_Entry!D310)</f>
        <v/>
      </c>
      <c r="E312" s="103">
        <f>IF(Human_Data_Entry!G310="","",Human_Data_Entry!G310)</f>
        <v/>
      </c>
      <c r="F312" s="103">
        <f>IF(Human_Data_Entry!X310="","",Human_Data_Entry!X310)</f>
        <v/>
      </c>
      <c r="G312" s="103">
        <f>IF(Human_Data_Entry!AY310="","",Human_Data_Entry!AY310)</f>
        <v/>
      </c>
      <c r="H312" s="103">
        <f>IF(Human_Data_Entry!AZ310="","",Human_Data_Entry!AZ310)</f>
        <v/>
      </c>
      <c r="I312" s="103">
        <f>IF(Human_Data_Entry!AL310="","",Human_Data_Entry!AL310)</f>
        <v/>
      </c>
      <c r="J312" s="103">
        <f>IF(Human_Data_Entry!AM310="","",Human_Data_Entry!AM310)</f>
        <v/>
      </c>
      <c r="K312" s="103">
        <f>IF(Human_Data_Entry!AN310="","",Human_Data_Entry!AN310)</f>
        <v/>
      </c>
      <c r="L312" s="103">
        <f>IF(Human_Data_Entry!AO310="","",Human_Data_Entry!AO310)</f>
        <v/>
      </c>
      <c r="M312" s="103">
        <f>IF(Human_Data_Entry!BM310="","",Human_Data_Entry!BM310)</f>
        <v/>
      </c>
      <c r="N312" s="103">
        <f>IF(Human_Data_Entry!BN310="","",Human_Data_Entry!BN310)</f>
        <v/>
      </c>
      <c r="O312" s="103">
        <f>IF(Human_Data_Entry!BO310="","",Human_Data_Entry!BO310)</f>
        <v/>
      </c>
      <c r="P312" s="103">
        <f>IF(Human_Data_Entry!BP310="","",Human_Data_Entry!BP310)</f>
        <v/>
      </c>
      <c r="Q312" s="103">
        <f>IF(Human_Data_Entry!BQ310="","",Human_Data_Entry!BQ310)</f>
        <v/>
      </c>
      <c r="R312" s="103">
        <f>IF(Human_Data_Entry!BR310="","",Human_Data_Entry!BR310)</f>
        <v/>
      </c>
      <c r="S312" s="103">
        <f>IF(Human_Data_Entry!BS310="","",Human_Data_Entry!BS310)</f>
        <v/>
      </c>
      <c r="T312" s="103">
        <f>IF(Human_Data_Entry!BT310="","",Human_Data_Entry!BT310)</f>
        <v/>
      </c>
    </row>
    <row r="313" ht="15" customHeight="1" s="241">
      <c r="A313" s="103">
        <f>IF(Human_Data_Entry!A311="","",Human_Data_Entry!A311)</f>
        <v/>
      </c>
      <c r="B313" s="103">
        <f>IF(Human_Data_Entry!B311="","",Human_Data_Entry!B311)</f>
        <v/>
      </c>
      <c r="C313" s="104">
        <f>IF(Human_Data_Entry!C311="","",Human_Data_Entry!C311)</f>
        <v/>
      </c>
      <c r="D313" s="103">
        <f>IF(Human_Data_Entry!D311="","",Human_Data_Entry!D311)</f>
        <v/>
      </c>
      <c r="E313" s="103">
        <f>IF(Human_Data_Entry!G311="","",Human_Data_Entry!G311)</f>
        <v/>
      </c>
      <c r="F313" s="103">
        <f>IF(Human_Data_Entry!X311="","",Human_Data_Entry!X311)</f>
        <v/>
      </c>
      <c r="G313" s="103">
        <f>IF(Human_Data_Entry!AY311="","",Human_Data_Entry!AY311)</f>
        <v/>
      </c>
      <c r="H313" s="103">
        <f>IF(Human_Data_Entry!AZ311="","",Human_Data_Entry!AZ311)</f>
        <v/>
      </c>
      <c r="I313" s="103">
        <f>IF(Human_Data_Entry!AL311="","",Human_Data_Entry!AL311)</f>
        <v/>
      </c>
      <c r="J313" s="103">
        <f>IF(Human_Data_Entry!AM311="","",Human_Data_Entry!AM311)</f>
        <v/>
      </c>
      <c r="K313" s="103">
        <f>IF(Human_Data_Entry!AN311="","",Human_Data_Entry!AN311)</f>
        <v/>
      </c>
      <c r="L313" s="103">
        <f>IF(Human_Data_Entry!AO311="","",Human_Data_Entry!AO311)</f>
        <v/>
      </c>
      <c r="M313" s="103">
        <f>IF(Human_Data_Entry!BM311="","",Human_Data_Entry!BM311)</f>
        <v/>
      </c>
      <c r="N313" s="103">
        <f>IF(Human_Data_Entry!BN311="","",Human_Data_Entry!BN311)</f>
        <v/>
      </c>
      <c r="O313" s="103">
        <f>IF(Human_Data_Entry!BO311="","",Human_Data_Entry!BO311)</f>
        <v/>
      </c>
      <c r="P313" s="103">
        <f>IF(Human_Data_Entry!BP311="","",Human_Data_Entry!BP311)</f>
        <v/>
      </c>
      <c r="Q313" s="103">
        <f>IF(Human_Data_Entry!BQ311="","",Human_Data_Entry!BQ311)</f>
        <v/>
      </c>
      <c r="R313" s="103">
        <f>IF(Human_Data_Entry!BR311="","",Human_Data_Entry!BR311)</f>
        <v/>
      </c>
      <c r="S313" s="103">
        <f>IF(Human_Data_Entry!BS311="","",Human_Data_Entry!BS311)</f>
        <v/>
      </c>
      <c r="T313" s="103">
        <f>IF(Human_Data_Entry!BT311="","",Human_Data_Entry!BT311)</f>
        <v/>
      </c>
    </row>
    <row r="314" ht="15" customHeight="1" s="241">
      <c r="A314" s="103">
        <f>IF(Human_Data_Entry!A312="","",Human_Data_Entry!A312)</f>
        <v/>
      </c>
      <c r="B314" s="103">
        <f>IF(Human_Data_Entry!B312="","",Human_Data_Entry!B312)</f>
        <v/>
      </c>
      <c r="C314" s="104">
        <f>IF(Human_Data_Entry!C312="","",Human_Data_Entry!C312)</f>
        <v/>
      </c>
      <c r="D314" s="103">
        <f>IF(Human_Data_Entry!D312="","",Human_Data_Entry!D312)</f>
        <v/>
      </c>
      <c r="E314" s="103">
        <f>IF(Human_Data_Entry!G312="","",Human_Data_Entry!G312)</f>
        <v/>
      </c>
      <c r="F314" s="103">
        <f>IF(Human_Data_Entry!X312="","",Human_Data_Entry!X312)</f>
        <v/>
      </c>
      <c r="G314" s="103">
        <f>IF(Human_Data_Entry!AY312="","",Human_Data_Entry!AY312)</f>
        <v/>
      </c>
      <c r="H314" s="103">
        <f>IF(Human_Data_Entry!AZ312="","",Human_Data_Entry!AZ312)</f>
        <v/>
      </c>
      <c r="I314" s="103">
        <f>IF(Human_Data_Entry!AL312="","",Human_Data_Entry!AL312)</f>
        <v/>
      </c>
      <c r="J314" s="103">
        <f>IF(Human_Data_Entry!AM312="","",Human_Data_Entry!AM312)</f>
        <v/>
      </c>
      <c r="K314" s="103">
        <f>IF(Human_Data_Entry!AN312="","",Human_Data_Entry!AN312)</f>
        <v/>
      </c>
      <c r="L314" s="103">
        <f>IF(Human_Data_Entry!AO312="","",Human_Data_Entry!AO312)</f>
        <v/>
      </c>
      <c r="M314" s="103">
        <f>IF(Human_Data_Entry!BM312="","",Human_Data_Entry!BM312)</f>
        <v/>
      </c>
      <c r="N314" s="103">
        <f>IF(Human_Data_Entry!BN312="","",Human_Data_Entry!BN312)</f>
        <v/>
      </c>
      <c r="O314" s="103">
        <f>IF(Human_Data_Entry!BO312="","",Human_Data_Entry!BO312)</f>
        <v/>
      </c>
      <c r="P314" s="103">
        <f>IF(Human_Data_Entry!BP312="","",Human_Data_Entry!BP312)</f>
        <v/>
      </c>
      <c r="Q314" s="103">
        <f>IF(Human_Data_Entry!BQ312="","",Human_Data_Entry!BQ312)</f>
        <v/>
      </c>
      <c r="R314" s="103">
        <f>IF(Human_Data_Entry!BR312="","",Human_Data_Entry!BR312)</f>
        <v/>
      </c>
      <c r="S314" s="103">
        <f>IF(Human_Data_Entry!BS312="","",Human_Data_Entry!BS312)</f>
        <v/>
      </c>
      <c r="T314" s="103">
        <f>IF(Human_Data_Entry!BT312="","",Human_Data_Entry!BT312)</f>
        <v/>
      </c>
    </row>
    <row r="315" ht="15" customHeight="1" s="241">
      <c r="A315" s="103">
        <f>IF(Human_Data_Entry!A313="","",Human_Data_Entry!A313)</f>
        <v/>
      </c>
      <c r="B315" s="103">
        <f>IF(Human_Data_Entry!B313="","",Human_Data_Entry!B313)</f>
        <v/>
      </c>
      <c r="C315" s="104">
        <f>IF(Human_Data_Entry!C313="","",Human_Data_Entry!C313)</f>
        <v/>
      </c>
      <c r="D315" s="103">
        <f>IF(Human_Data_Entry!D313="","",Human_Data_Entry!D313)</f>
        <v/>
      </c>
      <c r="E315" s="103">
        <f>IF(Human_Data_Entry!G313="","",Human_Data_Entry!G313)</f>
        <v/>
      </c>
      <c r="F315" s="103">
        <f>IF(Human_Data_Entry!X313="","",Human_Data_Entry!X313)</f>
        <v/>
      </c>
      <c r="G315" s="103">
        <f>IF(Human_Data_Entry!AY313="","",Human_Data_Entry!AY313)</f>
        <v/>
      </c>
      <c r="H315" s="103">
        <f>IF(Human_Data_Entry!AZ313="","",Human_Data_Entry!AZ313)</f>
        <v/>
      </c>
      <c r="I315" s="103">
        <f>IF(Human_Data_Entry!AL313="","",Human_Data_Entry!AL313)</f>
        <v/>
      </c>
      <c r="J315" s="103">
        <f>IF(Human_Data_Entry!AM313="","",Human_Data_Entry!AM313)</f>
        <v/>
      </c>
      <c r="K315" s="103">
        <f>IF(Human_Data_Entry!AN313="","",Human_Data_Entry!AN313)</f>
        <v/>
      </c>
      <c r="L315" s="103">
        <f>IF(Human_Data_Entry!AO313="","",Human_Data_Entry!AO313)</f>
        <v/>
      </c>
      <c r="M315" s="103">
        <f>IF(Human_Data_Entry!BM313="","",Human_Data_Entry!BM313)</f>
        <v/>
      </c>
      <c r="N315" s="103">
        <f>IF(Human_Data_Entry!BN313="","",Human_Data_Entry!BN313)</f>
        <v/>
      </c>
      <c r="O315" s="103">
        <f>IF(Human_Data_Entry!BO313="","",Human_Data_Entry!BO313)</f>
        <v/>
      </c>
      <c r="P315" s="103">
        <f>IF(Human_Data_Entry!BP313="","",Human_Data_Entry!BP313)</f>
        <v/>
      </c>
      <c r="Q315" s="103">
        <f>IF(Human_Data_Entry!BQ313="","",Human_Data_Entry!BQ313)</f>
        <v/>
      </c>
      <c r="R315" s="103">
        <f>IF(Human_Data_Entry!BR313="","",Human_Data_Entry!BR313)</f>
        <v/>
      </c>
      <c r="S315" s="103">
        <f>IF(Human_Data_Entry!BS313="","",Human_Data_Entry!BS313)</f>
        <v/>
      </c>
      <c r="T315" s="103">
        <f>IF(Human_Data_Entry!BT313="","",Human_Data_Entry!BT313)</f>
        <v/>
      </c>
    </row>
    <row r="316" ht="15" customHeight="1" s="241">
      <c r="A316" s="103">
        <f>IF(Human_Data_Entry!A314="","",Human_Data_Entry!A314)</f>
        <v/>
      </c>
      <c r="B316" s="103">
        <f>IF(Human_Data_Entry!B314="","",Human_Data_Entry!B314)</f>
        <v/>
      </c>
      <c r="C316" s="104">
        <f>IF(Human_Data_Entry!C314="","",Human_Data_Entry!C314)</f>
        <v/>
      </c>
      <c r="D316" s="103">
        <f>IF(Human_Data_Entry!D314="","",Human_Data_Entry!D314)</f>
        <v/>
      </c>
      <c r="E316" s="103">
        <f>IF(Human_Data_Entry!G314="","",Human_Data_Entry!G314)</f>
        <v/>
      </c>
      <c r="F316" s="103">
        <f>IF(Human_Data_Entry!X314="","",Human_Data_Entry!X314)</f>
        <v/>
      </c>
      <c r="G316" s="103">
        <f>IF(Human_Data_Entry!AY314="","",Human_Data_Entry!AY314)</f>
        <v/>
      </c>
      <c r="H316" s="103">
        <f>IF(Human_Data_Entry!AZ314="","",Human_Data_Entry!AZ314)</f>
        <v/>
      </c>
      <c r="I316" s="103">
        <f>IF(Human_Data_Entry!AL314="","",Human_Data_Entry!AL314)</f>
        <v/>
      </c>
      <c r="J316" s="103">
        <f>IF(Human_Data_Entry!AM314="","",Human_Data_Entry!AM314)</f>
        <v/>
      </c>
      <c r="K316" s="103">
        <f>IF(Human_Data_Entry!AN314="","",Human_Data_Entry!AN314)</f>
        <v/>
      </c>
      <c r="L316" s="103">
        <f>IF(Human_Data_Entry!AO314="","",Human_Data_Entry!AO314)</f>
        <v/>
      </c>
      <c r="M316" s="103">
        <f>IF(Human_Data_Entry!BM314="","",Human_Data_Entry!BM314)</f>
        <v/>
      </c>
      <c r="N316" s="103">
        <f>IF(Human_Data_Entry!BN314="","",Human_Data_Entry!BN314)</f>
        <v/>
      </c>
      <c r="O316" s="103">
        <f>IF(Human_Data_Entry!BO314="","",Human_Data_Entry!BO314)</f>
        <v/>
      </c>
      <c r="P316" s="103">
        <f>IF(Human_Data_Entry!BP314="","",Human_Data_Entry!BP314)</f>
        <v/>
      </c>
      <c r="Q316" s="103">
        <f>IF(Human_Data_Entry!BQ314="","",Human_Data_Entry!BQ314)</f>
        <v/>
      </c>
      <c r="R316" s="103">
        <f>IF(Human_Data_Entry!BR314="","",Human_Data_Entry!BR314)</f>
        <v/>
      </c>
      <c r="S316" s="103">
        <f>IF(Human_Data_Entry!BS314="","",Human_Data_Entry!BS314)</f>
        <v/>
      </c>
      <c r="T316" s="103">
        <f>IF(Human_Data_Entry!BT314="","",Human_Data_Entry!BT314)</f>
        <v/>
      </c>
    </row>
    <row r="317" ht="15" customHeight="1" s="241">
      <c r="A317" s="103">
        <f>IF(Human_Data_Entry!A315="","",Human_Data_Entry!A315)</f>
        <v/>
      </c>
      <c r="B317" s="103">
        <f>IF(Human_Data_Entry!B315="","",Human_Data_Entry!B315)</f>
        <v/>
      </c>
      <c r="C317" s="104">
        <f>IF(Human_Data_Entry!C315="","",Human_Data_Entry!C315)</f>
        <v/>
      </c>
      <c r="D317" s="103">
        <f>IF(Human_Data_Entry!D315="","",Human_Data_Entry!D315)</f>
        <v/>
      </c>
      <c r="E317" s="103">
        <f>IF(Human_Data_Entry!G315="","",Human_Data_Entry!G315)</f>
        <v/>
      </c>
      <c r="F317" s="103">
        <f>IF(Human_Data_Entry!X315="","",Human_Data_Entry!X315)</f>
        <v/>
      </c>
      <c r="G317" s="103">
        <f>IF(Human_Data_Entry!AY315="","",Human_Data_Entry!AY315)</f>
        <v/>
      </c>
      <c r="H317" s="103">
        <f>IF(Human_Data_Entry!AZ315="","",Human_Data_Entry!AZ315)</f>
        <v/>
      </c>
      <c r="I317" s="103">
        <f>IF(Human_Data_Entry!AL315="","",Human_Data_Entry!AL315)</f>
        <v/>
      </c>
      <c r="J317" s="103">
        <f>IF(Human_Data_Entry!AM315="","",Human_Data_Entry!AM315)</f>
        <v/>
      </c>
      <c r="K317" s="103">
        <f>IF(Human_Data_Entry!AN315="","",Human_Data_Entry!AN315)</f>
        <v/>
      </c>
      <c r="L317" s="103">
        <f>IF(Human_Data_Entry!AO315="","",Human_Data_Entry!AO315)</f>
        <v/>
      </c>
      <c r="M317" s="103">
        <f>IF(Human_Data_Entry!BM315="","",Human_Data_Entry!BM315)</f>
        <v/>
      </c>
      <c r="N317" s="103">
        <f>IF(Human_Data_Entry!BN315="","",Human_Data_Entry!BN315)</f>
        <v/>
      </c>
      <c r="O317" s="103">
        <f>IF(Human_Data_Entry!BO315="","",Human_Data_Entry!BO315)</f>
        <v/>
      </c>
      <c r="P317" s="103">
        <f>IF(Human_Data_Entry!BP315="","",Human_Data_Entry!BP315)</f>
        <v/>
      </c>
      <c r="Q317" s="103">
        <f>IF(Human_Data_Entry!BQ315="","",Human_Data_Entry!BQ315)</f>
        <v/>
      </c>
      <c r="R317" s="103">
        <f>IF(Human_Data_Entry!BR315="","",Human_Data_Entry!BR315)</f>
        <v/>
      </c>
      <c r="S317" s="103">
        <f>IF(Human_Data_Entry!BS315="","",Human_Data_Entry!BS315)</f>
        <v/>
      </c>
      <c r="T317" s="103">
        <f>IF(Human_Data_Entry!BT315="","",Human_Data_Entry!BT315)</f>
        <v/>
      </c>
    </row>
    <row r="318" ht="15" customHeight="1" s="241">
      <c r="A318" s="103">
        <f>IF(Human_Data_Entry!A316="","",Human_Data_Entry!A316)</f>
        <v/>
      </c>
      <c r="B318" s="103">
        <f>IF(Human_Data_Entry!B316="","",Human_Data_Entry!B316)</f>
        <v/>
      </c>
      <c r="C318" s="104">
        <f>IF(Human_Data_Entry!C316="","",Human_Data_Entry!C316)</f>
        <v/>
      </c>
      <c r="D318" s="103">
        <f>IF(Human_Data_Entry!D316="","",Human_Data_Entry!D316)</f>
        <v/>
      </c>
      <c r="E318" s="103">
        <f>IF(Human_Data_Entry!G316="","",Human_Data_Entry!G316)</f>
        <v/>
      </c>
      <c r="F318" s="103">
        <f>IF(Human_Data_Entry!X316="","",Human_Data_Entry!X316)</f>
        <v/>
      </c>
      <c r="G318" s="103">
        <f>IF(Human_Data_Entry!AY316="","",Human_Data_Entry!AY316)</f>
        <v/>
      </c>
      <c r="H318" s="103">
        <f>IF(Human_Data_Entry!AZ316="","",Human_Data_Entry!AZ316)</f>
        <v/>
      </c>
      <c r="I318" s="103">
        <f>IF(Human_Data_Entry!AL316="","",Human_Data_Entry!AL316)</f>
        <v/>
      </c>
      <c r="J318" s="103">
        <f>IF(Human_Data_Entry!AM316="","",Human_Data_Entry!AM316)</f>
        <v/>
      </c>
      <c r="K318" s="103">
        <f>IF(Human_Data_Entry!AN316="","",Human_Data_Entry!AN316)</f>
        <v/>
      </c>
      <c r="L318" s="103">
        <f>IF(Human_Data_Entry!AO316="","",Human_Data_Entry!AO316)</f>
        <v/>
      </c>
      <c r="M318" s="103">
        <f>IF(Human_Data_Entry!BM316="","",Human_Data_Entry!BM316)</f>
        <v/>
      </c>
      <c r="N318" s="103">
        <f>IF(Human_Data_Entry!BN316="","",Human_Data_Entry!BN316)</f>
        <v/>
      </c>
      <c r="O318" s="103">
        <f>IF(Human_Data_Entry!BO316="","",Human_Data_Entry!BO316)</f>
        <v/>
      </c>
      <c r="P318" s="103">
        <f>IF(Human_Data_Entry!BP316="","",Human_Data_Entry!BP316)</f>
        <v/>
      </c>
      <c r="Q318" s="103">
        <f>IF(Human_Data_Entry!BQ316="","",Human_Data_Entry!BQ316)</f>
        <v/>
      </c>
      <c r="R318" s="103">
        <f>IF(Human_Data_Entry!BR316="","",Human_Data_Entry!BR316)</f>
        <v/>
      </c>
      <c r="S318" s="103">
        <f>IF(Human_Data_Entry!BS316="","",Human_Data_Entry!BS316)</f>
        <v/>
      </c>
      <c r="T318" s="103">
        <f>IF(Human_Data_Entry!BT316="","",Human_Data_Entry!BT316)</f>
        <v/>
      </c>
    </row>
    <row r="319" ht="15" customHeight="1" s="241">
      <c r="A319" s="103">
        <f>IF(Human_Data_Entry!A317="","",Human_Data_Entry!A317)</f>
        <v/>
      </c>
      <c r="B319" s="103">
        <f>IF(Human_Data_Entry!B317="","",Human_Data_Entry!B317)</f>
        <v/>
      </c>
      <c r="C319" s="104">
        <f>IF(Human_Data_Entry!C317="","",Human_Data_Entry!C317)</f>
        <v/>
      </c>
      <c r="D319" s="103">
        <f>IF(Human_Data_Entry!D317="","",Human_Data_Entry!D317)</f>
        <v/>
      </c>
      <c r="E319" s="103">
        <f>IF(Human_Data_Entry!G317="","",Human_Data_Entry!G317)</f>
        <v/>
      </c>
      <c r="F319" s="103">
        <f>IF(Human_Data_Entry!X317="","",Human_Data_Entry!X317)</f>
        <v/>
      </c>
      <c r="G319" s="103">
        <f>IF(Human_Data_Entry!AY317="","",Human_Data_Entry!AY317)</f>
        <v/>
      </c>
      <c r="H319" s="103">
        <f>IF(Human_Data_Entry!AZ317="","",Human_Data_Entry!AZ317)</f>
        <v/>
      </c>
      <c r="I319" s="103">
        <f>IF(Human_Data_Entry!AL317="","",Human_Data_Entry!AL317)</f>
        <v/>
      </c>
      <c r="J319" s="103">
        <f>IF(Human_Data_Entry!AM317="","",Human_Data_Entry!AM317)</f>
        <v/>
      </c>
      <c r="K319" s="103">
        <f>IF(Human_Data_Entry!AN317="","",Human_Data_Entry!AN317)</f>
        <v/>
      </c>
      <c r="L319" s="103">
        <f>IF(Human_Data_Entry!AO317="","",Human_Data_Entry!AO317)</f>
        <v/>
      </c>
      <c r="M319" s="103">
        <f>IF(Human_Data_Entry!BM317="","",Human_Data_Entry!BM317)</f>
        <v/>
      </c>
      <c r="N319" s="103">
        <f>IF(Human_Data_Entry!BN317="","",Human_Data_Entry!BN317)</f>
        <v/>
      </c>
      <c r="O319" s="103">
        <f>IF(Human_Data_Entry!BO317="","",Human_Data_Entry!BO317)</f>
        <v/>
      </c>
      <c r="P319" s="103">
        <f>IF(Human_Data_Entry!BP317="","",Human_Data_Entry!BP317)</f>
        <v/>
      </c>
      <c r="Q319" s="103">
        <f>IF(Human_Data_Entry!BQ317="","",Human_Data_Entry!BQ317)</f>
        <v/>
      </c>
      <c r="R319" s="103">
        <f>IF(Human_Data_Entry!BR317="","",Human_Data_Entry!BR317)</f>
        <v/>
      </c>
      <c r="S319" s="103">
        <f>IF(Human_Data_Entry!BS317="","",Human_Data_Entry!BS317)</f>
        <v/>
      </c>
      <c r="T319" s="103">
        <f>IF(Human_Data_Entry!BT317="","",Human_Data_Entry!BT317)</f>
        <v/>
      </c>
    </row>
    <row r="320" ht="15" customHeight="1" s="241">
      <c r="A320" s="103">
        <f>IF(Human_Data_Entry!A318="","",Human_Data_Entry!A318)</f>
        <v/>
      </c>
      <c r="B320" s="103">
        <f>IF(Human_Data_Entry!B318="","",Human_Data_Entry!B318)</f>
        <v/>
      </c>
      <c r="C320" s="104">
        <f>IF(Human_Data_Entry!C318="","",Human_Data_Entry!C318)</f>
        <v/>
      </c>
      <c r="D320" s="103">
        <f>IF(Human_Data_Entry!D318="","",Human_Data_Entry!D318)</f>
        <v/>
      </c>
      <c r="E320" s="103">
        <f>IF(Human_Data_Entry!G318="","",Human_Data_Entry!G318)</f>
        <v/>
      </c>
      <c r="F320" s="103">
        <f>IF(Human_Data_Entry!X318="","",Human_Data_Entry!X318)</f>
        <v/>
      </c>
      <c r="G320" s="103">
        <f>IF(Human_Data_Entry!AY318="","",Human_Data_Entry!AY318)</f>
        <v/>
      </c>
      <c r="H320" s="103">
        <f>IF(Human_Data_Entry!AZ318="","",Human_Data_Entry!AZ318)</f>
        <v/>
      </c>
      <c r="I320" s="103">
        <f>IF(Human_Data_Entry!AL318="","",Human_Data_Entry!AL318)</f>
        <v/>
      </c>
      <c r="J320" s="103">
        <f>IF(Human_Data_Entry!AM318="","",Human_Data_Entry!AM318)</f>
        <v/>
      </c>
      <c r="K320" s="103">
        <f>IF(Human_Data_Entry!AN318="","",Human_Data_Entry!AN318)</f>
        <v/>
      </c>
      <c r="L320" s="103">
        <f>IF(Human_Data_Entry!AO318="","",Human_Data_Entry!AO318)</f>
        <v/>
      </c>
      <c r="M320" s="103">
        <f>IF(Human_Data_Entry!BM318="","",Human_Data_Entry!BM318)</f>
        <v/>
      </c>
      <c r="N320" s="103">
        <f>IF(Human_Data_Entry!BN318="","",Human_Data_Entry!BN318)</f>
        <v/>
      </c>
      <c r="O320" s="103">
        <f>IF(Human_Data_Entry!BO318="","",Human_Data_Entry!BO318)</f>
        <v/>
      </c>
      <c r="P320" s="103">
        <f>IF(Human_Data_Entry!BP318="","",Human_Data_Entry!BP318)</f>
        <v/>
      </c>
      <c r="Q320" s="103">
        <f>IF(Human_Data_Entry!BQ318="","",Human_Data_Entry!BQ318)</f>
        <v/>
      </c>
      <c r="R320" s="103">
        <f>IF(Human_Data_Entry!BR318="","",Human_Data_Entry!BR318)</f>
        <v/>
      </c>
      <c r="S320" s="103">
        <f>IF(Human_Data_Entry!BS318="","",Human_Data_Entry!BS318)</f>
        <v/>
      </c>
      <c r="T320" s="103">
        <f>IF(Human_Data_Entry!BT318="","",Human_Data_Entry!BT318)</f>
        <v/>
      </c>
    </row>
    <row r="321" ht="15" customHeight="1" s="241">
      <c r="A321" s="103">
        <f>IF(Human_Data_Entry!A319="","",Human_Data_Entry!A319)</f>
        <v/>
      </c>
      <c r="B321" s="103">
        <f>IF(Human_Data_Entry!B319="","",Human_Data_Entry!B319)</f>
        <v/>
      </c>
      <c r="C321" s="104">
        <f>IF(Human_Data_Entry!C319="","",Human_Data_Entry!C319)</f>
        <v/>
      </c>
      <c r="D321" s="103">
        <f>IF(Human_Data_Entry!D319="","",Human_Data_Entry!D319)</f>
        <v/>
      </c>
      <c r="E321" s="103">
        <f>IF(Human_Data_Entry!G319="","",Human_Data_Entry!G319)</f>
        <v/>
      </c>
      <c r="F321" s="103">
        <f>IF(Human_Data_Entry!X319="","",Human_Data_Entry!X319)</f>
        <v/>
      </c>
      <c r="G321" s="103">
        <f>IF(Human_Data_Entry!AY319="","",Human_Data_Entry!AY319)</f>
        <v/>
      </c>
      <c r="H321" s="103">
        <f>IF(Human_Data_Entry!AZ319="","",Human_Data_Entry!AZ319)</f>
        <v/>
      </c>
      <c r="I321" s="103">
        <f>IF(Human_Data_Entry!AL319="","",Human_Data_Entry!AL319)</f>
        <v/>
      </c>
      <c r="J321" s="103">
        <f>IF(Human_Data_Entry!AM319="","",Human_Data_Entry!AM319)</f>
        <v/>
      </c>
      <c r="K321" s="103">
        <f>IF(Human_Data_Entry!AN319="","",Human_Data_Entry!AN319)</f>
        <v/>
      </c>
      <c r="L321" s="103">
        <f>IF(Human_Data_Entry!AO319="","",Human_Data_Entry!AO319)</f>
        <v/>
      </c>
      <c r="M321" s="103">
        <f>IF(Human_Data_Entry!BM319="","",Human_Data_Entry!BM319)</f>
        <v/>
      </c>
      <c r="N321" s="103">
        <f>IF(Human_Data_Entry!BN319="","",Human_Data_Entry!BN319)</f>
        <v/>
      </c>
      <c r="O321" s="103">
        <f>IF(Human_Data_Entry!BO319="","",Human_Data_Entry!BO319)</f>
        <v/>
      </c>
      <c r="P321" s="103">
        <f>IF(Human_Data_Entry!BP319="","",Human_Data_Entry!BP319)</f>
        <v/>
      </c>
      <c r="Q321" s="103">
        <f>IF(Human_Data_Entry!BQ319="","",Human_Data_Entry!BQ319)</f>
        <v/>
      </c>
      <c r="R321" s="103">
        <f>IF(Human_Data_Entry!BR319="","",Human_Data_Entry!BR319)</f>
        <v/>
      </c>
      <c r="S321" s="103">
        <f>IF(Human_Data_Entry!BS319="","",Human_Data_Entry!BS319)</f>
        <v/>
      </c>
      <c r="T321" s="103">
        <f>IF(Human_Data_Entry!BT319="","",Human_Data_Entry!BT319)</f>
        <v/>
      </c>
    </row>
    <row r="322" ht="15" customHeight="1" s="241">
      <c r="A322" s="103">
        <f>IF(Human_Data_Entry!A320="","",Human_Data_Entry!A320)</f>
        <v/>
      </c>
      <c r="B322" s="103">
        <f>IF(Human_Data_Entry!B320="","",Human_Data_Entry!B320)</f>
        <v/>
      </c>
      <c r="C322" s="104">
        <f>IF(Human_Data_Entry!C320="","",Human_Data_Entry!C320)</f>
        <v/>
      </c>
      <c r="D322" s="103">
        <f>IF(Human_Data_Entry!D320="","",Human_Data_Entry!D320)</f>
        <v/>
      </c>
      <c r="E322" s="103">
        <f>IF(Human_Data_Entry!G320="","",Human_Data_Entry!G320)</f>
        <v/>
      </c>
      <c r="F322" s="103">
        <f>IF(Human_Data_Entry!X320="","",Human_Data_Entry!X320)</f>
        <v/>
      </c>
      <c r="G322" s="103">
        <f>IF(Human_Data_Entry!AY320="","",Human_Data_Entry!AY320)</f>
        <v/>
      </c>
      <c r="H322" s="103">
        <f>IF(Human_Data_Entry!AZ320="","",Human_Data_Entry!AZ320)</f>
        <v/>
      </c>
      <c r="I322" s="103">
        <f>IF(Human_Data_Entry!AL320="","",Human_Data_Entry!AL320)</f>
        <v/>
      </c>
      <c r="J322" s="103">
        <f>IF(Human_Data_Entry!AM320="","",Human_Data_Entry!AM320)</f>
        <v/>
      </c>
      <c r="K322" s="103">
        <f>IF(Human_Data_Entry!AN320="","",Human_Data_Entry!AN320)</f>
        <v/>
      </c>
      <c r="L322" s="103">
        <f>IF(Human_Data_Entry!AO320="","",Human_Data_Entry!AO320)</f>
        <v/>
      </c>
      <c r="M322" s="103">
        <f>IF(Human_Data_Entry!BM320="","",Human_Data_Entry!BM320)</f>
        <v/>
      </c>
      <c r="N322" s="103">
        <f>IF(Human_Data_Entry!BN320="","",Human_Data_Entry!BN320)</f>
        <v/>
      </c>
      <c r="O322" s="103">
        <f>IF(Human_Data_Entry!BO320="","",Human_Data_Entry!BO320)</f>
        <v/>
      </c>
      <c r="P322" s="103">
        <f>IF(Human_Data_Entry!BP320="","",Human_Data_Entry!BP320)</f>
        <v/>
      </c>
      <c r="Q322" s="103">
        <f>IF(Human_Data_Entry!BQ320="","",Human_Data_Entry!BQ320)</f>
        <v/>
      </c>
      <c r="R322" s="103">
        <f>IF(Human_Data_Entry!BR320="","",Human_Data_Entry!BR320)</f>
        <v/>
      </c>
      <c r="S322" s="103">
        <f>IF(Human_Data_Entry!BS320="","",Human_Data_Entry!BS320)</f>
        <v/>
      </c>
      <c r="T322" s="103">
        <f>IF(Human_Data_Entry!BT320="","",Human_Data_Entry!BT320)</f>
        <v/>
      </c>
    </row>
    <row r="323" ht="15" customHeight="1" s="241">
      <c r="A323" s="103">
        <f>IF(Human_Data_Entry!A321="","",Human_Data_Entry!A321)</f>
        <v/>
      </c>
      <c r="B323" s="103">
        <f>IF(Human_Data_Entry!B321="","",Human_Data_Entry!B321)</f>
        <v/>
      </c>
      <c r="C323" s="104">
        <f>IF(Human_Data_Entry!C321="","",Human_Data_Entry!C321)</f>
        <v/>
      </c>
      <c r="D323" s="103">
        <f>IF(Human_Data_Entry!D321="","",Human_Data_Entry!D321)</f>
        <v/>
      </c>
      <c r="E323" s="103">
        <f>IF(Human_Data_Entry!G321="","",Human_Data_Entry!G321)</f>
        <v/>
      </c>
      <c r="F323" s="103">
        <f>IF(Human_Data_Entry!X321="","",Human_Data_Entry!X321)</f>
        <v/>
      </c>
      <c r="G323" s="103">
        <f>IF(Human_Data_Entry!AY321="","",Human_Data_Entry!AY321)</f>
        <v/>
      </c>
      <c r="H323" s="103">
        <f>IF(Human_Data_Entry!AZ321="","",Human_Data_Entry!AZ321)</f>
        <v/>
      </c>
      <c r="I323" s="103">
        <f>IF(Human_Data_Entry!AL321="","",Human_Data_Entry!AL321)</f>
        <v/>
      </c>
      <c r="J323" s="103">
        <f>IF(Human_Data_Entry!AM321="","",Human_Data_Entry!AM321)</f>
        <v/>
      </c>
      <c r="K323" s="103">
        <f>IF(Human_Data_Entry!AN321="","",Human_Data_Entry!AN321)</f>
        <v/>
      </c>
      <c r="L323" s="103">
        <f>IF(Human_Data_Entry!AO321="","",Human_Data_Entry!AO321)</f>
        <v/>
      </c>
      <c r="M323" s="103">
        <f>IF(Human_Data_Entry!BM321="","",Human_Data_Entry!BM321)</f>
        <v/>
      </c>
      <c r="N323" s="103">
        <f>IF(Human_Data_Entry!BN321="","",Human_Data_Entry!BN321)</f>
        <v/>
      </c>
      <c r="O323" s="103">
        <f>IF(Human_Data_Entry!BO321="","",Human_Data_Entry!BO321)</f>
        <v/>
      </c>
      <c r="P323" s="103">
        <f>IF(Human_Data_Entry!BP321="","",Human_Data_Entry!BP321)</f>
        <v/>
      </c>
      <c r="Q323" s="103">
        <f>IF(Human_Data_Entry!BQ321="","",Human_Data_Entry!BQ321)</f>
        <v/>
      </c>
      <c r="R323" s="103">
        <f>IF(Human_Data_Entry!BR321="","",Human_Data_Entry!BR321)</f>
        <v/>
      </c>
      <c r="S323" s="103">
        <f>IF(Human_Data_Entry!BS321="","",Human_Data_Entry!BS321)</f>
        <v/>
      </c>
      <c r="T323" s="103">
        <f>IF(Human_Data_Entry!BT321="","",Human_Data_Entry!BT321)</f>
        <v/>
      </c>
    </row>
    <row r="324" ht="15" customHeight="1" s="241">
      <c r="A324" s="103">
        <f>IF(Human_Data_Entry!A322="","",Human_Data_Entry!A322)</f>
        <v/>
      </c>
      <c r="B324" s="103">
        <f>IF(Human_Data_Entry!B322="","",Human_Data_Entry!B322)</f>
        <v/>
      </c>
      <c r="C324" s="104">
        <f>IF(Human_Data_Entry!C322="","",Human_Data_Entry!C322)</f>
        <v/>
      </c>
      <c r="D324" s="103">
        <f>IF(Human_Data_Entry!D322="","",Human_Data_Entry!D322)</f>
        <v/>
      </c>
      <c r="E324" s="103">
        <f>IF(Human_Data_Entry!G322="","",Human_Data_Entry!G322)</f>
        <v/>
      </c>
      <c r="F324" s="103">
        <f>IF(Human_Data_Entry!X322="","",Human_Data_Entry!X322)</f>
        <v/>
      </c>
      <c r="G324" s="103">
        <f>IF(Human_Data_Entry!AY322="","",Human_Data_Entry!AY322)</f>
        <v/>
      </c>
      <c r="H324" s="103">
        <f>IF(Human_Data_Entry!AZ322="","",Human_Data_Entry!AZ322)</f>
        <v/>
      </c>
      <c r="I324" s="103">
        <f>IF(Human_Data_Entry!AL322="","",Human_Data_Entry!AL322)</f>
        <v/>
      </c>
      <c r="J324" s="103">
        <f>IF(Human_Data_Entry!AM322="","",Human_Data_Entry!AM322)</f>
        <v/>
      </c>
      <c r="K324" s="103">
        <f>IF(Human_Data_Entry!AN322="","",Human_Data_Entry!AN322)</f>
        <v/>
      </c>
      <c r="L324" s="103">
        <f>IF(Human_Data_Entry!AO322="","",Human_Data_Entry!AO322)</f>
        <v/>
      </c>
      <c r="M324" s="103">
        <f>IF(Human_Data_Entry!BM322="","",Human_Data_Entry!BM322)</f>
        <v/>
      </c>
      <c r="N324" s="103">
        <f>IF(Human_Data_Entry!BN322="","",Human_Data_Entry!BN322)</f>
        <v/>
      </c>
      <c r="O324" s="103">
        <f>IF(Human_Data_Entry!BO322="","",Human_Data_Entry!BO322)</f>
        <v/>
      </c>
      <c r="P324" s="103">
        <f>IF(Human_Data_Entry!BP322="","",Human_Data_Entry!BP322)</f>
        <v/>
      </c>
      <c r="Q324" s="103">
        <f>IF(Human_Data_Entry!BQ322="","",Human_Data_Entry!BQ322)</f>
        <v/>
      </c>
      <c r="R324" s="103">
        <f>IF(Human_Data_Entry!BR322="","",Human_Data_Entry!BR322)</f>
        <v/>
      </c>
      <c r="S324" s="103">
        <f>IF(Human_Data_Entry!BS322="","",Human_Data_Entry!BS322)</f>
        <v/>
      </c>
      <c r="T324" s="103">
        <f>IF(Human_Data_Entry!BT322="","",Human_Data_Entry!BT322)</f>
        <v/>
      </c>
    </row>
    <row r="325" ht="15" customHeight="1" s="241">
      <c r="A325" s="103">
        <f>IF(Human_Data_Entry!A323="","",Human_Data_Entry!A323)</f>
        <v/>
      </c>
      <c r="B325" s="103">
        <f>IF(Human_Data_Entry!B323="","",Human_Data_Entry!B323)</f>
        <v/>
      </c>
      <c r="C325" s="104">
        <f>IF(Human_Data_Entry!C323="","",Human_Data_Entry!C323)</f>
        <v/>
      </c>
      <c r="D325" s="103">
        <f>IF(Human_Data_Entry!D323="","",Human_Data_Entry!D323)</f>
        <v/>
      </c>
      <c r="E325" s="103">
        <f>IF(Human_Data_Entry!G323="","",Human_Data_Entry!G323)</f>
        <v/>
      </c>
      <c r="F325" s="103">
        <f>IF(Human_Data_Entry!X323="","",Human_Data_Entry!X323)</f>
        <v/>
      </c>
      <c r="G325" s="103">
        <f>IF(Human_Data_Entry!AY323="","",Human_Data_Entry!AY323)</f>
        <v/>
      </c>
      <c r="H325" s="103">
        <f>IF(Human_Data_Entry!AZ323="","",Human_Data_Entry!AZ323)</f>
        <v/>
      </c>
      <c r="I325" s="103">
        <f>IF(Human_Data_Entry!AL323="","",Human_Data_Entry!AL323)</f>
        <v/>
      </c>
      <c r="J325" s="103">
        <f>IF(Human_Data_Entry!AM323="","",Human_Data_Entry!AM323)</f>
        <v/>
      </c>
      <c r="K325" s="103">
        <f>IF(Human_Data_Entry!AN323="","",Human_Data_Entry!AN323)</f>
        <v/>
      </c>
      <c r="L325" s="103">
        <f>IF(Human_Data_Entry!AO323="","",Human_Data_Entry!AO323)</f>
        <v/>
      </c>
      <c r="M325" s="103">
        <f>IF(Human_Data_Entry!BM323="","",Human_Data_Entry!BM323)</f>
        <v/>
      </c>
      <c r="N325" s="103">
        <f>IF(Human_Data_Entry!BN323="","",Human_Data_Entry!BN323)</f>
        <v/>
      </c>
      <c r="O325" s="103">
        <f>IF(Human_Data_Entry!BO323="","",Human_Data_Entry!BO323)</f>
        <v/>
      </c>
      <c r="P325" s="103">
        <f>IF(Human_Data_Entry!BP323="","",Human_Data_Entry!BP323)</f>
        <v/>
      </c>
      <c r="Q325" s="103">
        <f>IF(Human_Data_Entry!BQ323="","",Human_Data_Entry!BQ323)</f>
        <v/>
      </c>
      <c r="R325" s="103">
        <f>IF(Human_Data_Entry!BR323="","",Human_Data_Entry!BR323)</f>
        <v/>
      </c>
      <c r="S325" s="103">
        <f>IF(Human_Data_Entry!BS323="","",Human_Data_Entry!BS323)</f>
        <v/>
      </c>
      <c r="T325" s="103">
        <f>IF(Human_Data_Entry!BT323="","",Human_Data_Entry!BT323)</f>
        <v/>
      </c>
    </row>
    <row r="326" ht="15" customHeight="1" s="241">
      <c r="A326" s="103">
        <f>IF(Human_Data_Entry!A324="","",Human_Data_Entry!A324)</f>
        <v/>
      </c>
      <c r="B326" s="103">
        <f>IF(Human_Data_Entry!B324="","",Human_Data_Entry!B324)</f>
        <v/>
      </c>
      <c r="C326" s="104">
        <f>IF(Human_Data_Entry!C324="","",Human_Data_Entry!C324)</f>
        <v/>
      </c>
      <c r="D326" s="103">
        <f>IF(Human_Data_Entry!D324="","",Human_Data_Entry!D324)</f>
        <v/>
      </c>
      <c r="E326" s="103">
        <f>IF(Human_Data_Entry!G324="","",Human_Data_Entry!G324)</f>
        <v/>
      </c>
      <c r="F326" s="103">
        <f>IF(Human_Data_Entry!X324="","",Human_Data_Entry!X324)</f>
        <v/>
      </c>
      <c r="G326" s="103">
        <f>IF(Human_Data_Entry!AY324="","",Human_Data_Entry!AY324)</f>
        <v/>
      </c>
      <c r="H326" s="103">
        <f>IF(Human_Data_Entry!AZ324="","",Human_Data_Entry!AZ324)</f>
        <v/>
      </c>
      <c r="I326" s="103">
        <f>IF(Human_Data_Entry!AL324="","",Human_Data_Entry!AL324)</f>
        <v/>
      </c>
      <c r="J326" s="103">
        <f>IF(Human_Data_Entry!AM324="","",Human_Data_Entry!AM324)</f>
        <v/>
      </c>
      <c r="K326" s="103">
        <f>IF(Human_Data_Entry!AN324="","",Human_Data_Entry!AN324)</f>
        <v/>
      </c>
      <c r="L326" s="103">
        <f>IF(Human_Data_Entry!AO324="","",Human_Data_Entry!AO324)</f>
        <v/>
      </c>
      <c r="M326" s="103">
        <f>IF(Human_Data_Entry!BM324="","",Human_Data_Entry!BM324)</f>
        <v/>
      </c>
      <c r="N326" s="103">
        <f>IF(Human_Data_Entry!BN324="","",Human_Data_Entry!BN324)</f>
        <v/>
      </c>
      <c r="O326" s="103">
        <f>IF(Human_Data_Entry!BO324="","",Human_Data_Entry!BO324)</f>
        <v/>
      </c>
      <c r="P326" s="103">
        <f>IF(Human_Data_Entry!BP324="","",Human_Data_Entry!BP324)</f>
        <v/>
      </c>
      <c r="Q326" s="103">
        <f>IF(Human_Data_Entry!BQ324="","",Human_Data_Entry!BQ324)</f>
        <v/>
      </c>
      <c r="R326" s="103">
        <f>IF(Human_Data_Entry!BR324="","",Human_Data_Entry!BR324)</f>
        <v/>
      </c>
      <c r="S326" s="103">
        <f>IF(Human_Data_Entry!BS324="","",Human_Data_Entry!BS324)</f>
        <v/>
      </c>
      <c r="T326" s="103">
        <f>IF(Human_Data_Entry!BT324="","",Human_Data_Entry!BT324)</f>
        <v/>
      </c>
    </row>
    <row r="327" ht="15" customHeight="1" s="241">
      <c r="A327" s="103">
        <f>IF(Human_Data_Entry!A325="","",Human_Data_Entry!A325)</f>
        <v/>
      </c>
      <c r="B327" s="103">
        <f>IF(Human_Data_Entry!B325="","",Human_Data_Entry!B325)</f>
        <v/>
      </c>
      <c r="C327" s="104">
        <f>IF(Human_Data_Entry!C325="","",Human_Data_Entry!C325)</f>
        <v/>
      </c>
      <c r="D327" s="103">
        <f>IF(Human_Data_Entry!D325="","",Human_Data_Entry!D325)</f>
        <v/>
      </c>
      <c r="E327" s="103">
        <f>IF(Human_Data_Entry!G325="","",Human_Data_Entry!G325)</f>
        <v/>
      </c>
      <c r="F327" s="103">
        <f>IF(Human_Data_Entry!X325="","",Human_Data_Entry!X325)</f>
        <v/>
      </c>
      <c r="G327" s="103">
        <f>IF(Human_Data_Entry!AY325="","",Human_Data_Entry!AY325)</f>
        <v/>
      </c>
      <c r="H327" s="103">
        <f>IF(Human_Data_Entry!AZ325="","",Human_Data_Entry!AZ325)</f>
        <v/>
      </c>
      <c r="I327" s="103">
        <f>IF(Human_Data_Entry!AL325="","",Human_Data_Entry!AL325)</f>
        <v/>
      </c>
      <c r="J327" s="103">
        <f>IF(Human_Data_Entry!AM325="","",Human_Data_Entry!AM325)</f>
        <v/>
      </c>
      <c r="K327" s="103">
        <f>IF(Human_Data_Entry!AN325="","",Human_Data_Entry!AN325)</f>
        <v/>
      </c>
      <c r="L327" s="103">
        <f>IF(Human_Data_Entry!AO325="","",Human_Data_Entry!AO325)</f>
        <v/>
      </c>
      <c r="M327" s="103">
        <f>IF(Human_Data_Entry!BM325="","",Human_Data_Entry!BM325)</f>
        <v/>
      </c>
      <c r="N327" s="103">
        <f>IF(Human_Data_Entry!BN325="","",Human_Data_Entry!BN325)</f>
        <v/>
      </c>
      <c r="O327" s="103">
        <f>IF(Human_Data_Entry!BO325="","",Human_Data_Entry!BO325)</f>
        <v/>
      </c>
      <c r="P327" s="103">
        <f>IF(Human_Data_Entry!BP325="","",Human_Data_Entry!BP325)</f>
        <v/>
      </c>
      <c r="Q327" s="103">
        <f>IF(Human_Data_Entry!BQ325="","",Human_Data_Entry!BQ325)</f>
        <v/>
      </c>
      <c r="R327" s="103">
        <f>IF(Human_Data_Entry!BR325="","",Human_Data_Entry!BR325)</f>
        <v/>
      </c>
      <c r="S327" s="103">
        <f>IF(Human_Data_Entry!BS325="","",Human_Data_Entry!BS325)</f>
        <v/>
      </c>
      <c r="T327" s="103">
        <f>IF(Human_Data_Entry!BT325="","",Human_Data_Entry!BT325)</f>
        <v/>
      </c>
    </row>
    <row r="328" ht="15" customHeight="1" s="241">
      <c r="A328" s="103">
        <f>IF(Human_Data_Entry!A326="","",Human_Data_Entry!A326)</f>
        <v/>
      </c>
      <c r="B328" s="103">
        <f>IF(Human_Data_Entry!B326="","",Human_Data_Entry!B326)</f>
        <v/>
      </c>
      <c r="C328" s="104">
        <f>IF(Human_Data_Entry!C326="","",Human_Data_Entry!C326)</f>
        <v/>
      </c>
      <c r="D328" s="103">
        <f>IF(Human_Data_Entry!D326="","",Human_Data_Entry!D326)</f>
        <v/>
      </c>
      <c r="E328" s="103">
        <f>IF(Human_Data_Entry!G326="","",Human_Data_Entry!G326)</f>
        <v/>
      </c>
      <c r="F328" s="103">
        <f>IF(Human_Data_Entry!X326="","",Human_Data_Entry!X326)</f>
        <v/>
      </c>
      <c r="G328" s="103">
        <f>IF(Human_Data_Entry!AY326="","",Human_Data_Entry!AY326)</f>
        <v/>
      </c>
      <c r="H328" s="103">
        <f>IF(Human_Data_Entry!AZ326="","",Human_Data_Entry!AZ326)</f>
        <v/>
      </c>
      <c r="I328" s="103">
        <f>IF(Human_Data_Entry!AL326="","",Human_Data_Entry!AL326)</f>
        <v/>
      </c>
      <c r="J328" s="103">
        <f>IF(Human_Data_Entry!AM326="","",Human_Data_Entry!AM326)</f>
        <v/>
      </c>
      <c r="K328" s="103">
        <f>IF(Human_Data_Entry!AN326="","",Human_Data_Entry!AN326)</f>
        <v/>
      </c>
      <c r="L328" s="103">
        <f>IF(Human_Data_Entry!AO326="","",Human_Data_Entry!AO326)</f>
        <v/>
      </c>
      <c r="M328" s="103">
        <f>IF(Human_Data_Entry!BM326="","",Human_Data_Entry!BM326)</f>
        <v/>
      </c>
      <c r="N328" s="103">
        <f>IF(Human_Data_Entry!BN326="","",Human_Data_Entry!BN326)</f>
        <v/>
      </c>
      <c r="O328" s="103">
        <f>IF(Human_Data_Entry!BO326="","",Human_Data_Entry!BO326)</f>
        <v/>
      </c>
      <c r="P328" s="103">
        <f>IF(Human_Data_Entry!BP326="","",Human_Data_Entry!BP326)</f>
        <v/>
      </c>
      <c r="Q328" s="103">
        <f>IF(Human_Data_Entry!BQ326="","",Human_Data_Entry!BQ326)</f>
        <v/>
      </c>
      <c r="R328" s="103">
        <f>IF(Human_Data_Entry!BR326="","",Human_Data_Entry!BR326)</f>
        <v/>
      </c>
      <c r="S328" s="103">
        <f>IF(Human_Data_Entry!BS326="","",Human_Data_Entry!BS326)</f>
        <v/>
      </c>
      <c r="T328" s="103">
        <f>IF(Human_Data_Entry!BT326="","",Human_Data_Entry!BT326)</f>
        <v/>
      </c>
    </row>
    <row r="329" ht="15" customHeight="1" s="241">
      <c r="A329" s="103">
        <f>IF(Human_Data_Entry!A327="","",Human_Data_Entry!A327)</f>
        <v/>
      </c>
      <c r="B329" s="103">
        <f>IF(Human_Data_Entry!B327="","",Human_Data_Entry!B327)</f>
        <v/>
      </c>
      <c r="C329" s="104">
        <f>IF(Human_Data_Entry!C327="","",Human_Data_Entry!C327)</f>
        <v/>
      </c>
      <c r="D329" s="103">
        <f>IF(Human_Data_Entry!D327="","",Human_Data_Entry!D327)</f>
        <v/>
      </c>
      <c r="E329" s="103">
        <f>IF(Human_Data_Entry!G327="","",Human_Data_Entry!G327)</f>
        <v/>
      </c>
      <c r="F329" s="103">
        <f>IF(Human_Data_Entry!X327="","",Human_Data_Entry!X327)</f>
        <v/>
      </c>
      <c r="G329" s="103">
        <f>IF(Human_Data_Entry!AY327="","",Human_Data_Entry!AY327)</f>
        <v/>
      </c>
      <c r="H329" s="103">
        <f>IF(Human_Data_Entry!AZ327="","",Human_Data_Entry!AZ327)</f>
        <v/>
      </c>
      <c r="I329" s="103">
        <f>IF(Human_Data_Entry!AL327="","",Human_Data_Entry!AL327)</f>
        <v/>
      </c>
      <c r="J329" s="103">
        <f>IF(Human_Data_Entry!AM327="","",Human_Data_Entry!AM327)</f>
        <v/>
      </c>
      <c r="K329" s="103">
        <f>IF(Human_Data_Entry!AN327="","",Human_Data_Entry!AN327)</f>
        <v/>
      </c>
      <c r="L329" s="103">
        <f>IF(Human_Data_Entry!AO327="","",Human_Data_Entry!AO327)</f>
        <v/>
      </c>
      <c r="M329" s="103">
        <f>IF(Human_Data_Entry!BM327="","",Human_Data_Entry!BM327)</f>
        <v/>
      </c>
      <c r="N329" s="103">
        <f>IF(Human_Data_Entry!BN327="","",Human_Data_Entry!BN327)</f>
        <v/>
      </c>
      <c r="O329" s="103">
        <f>IF(Human_Data_Entry!BO327="","",Human_Data_Entry!BO327)</f>
        <v/>
      </c>
      <c r="P329" s="103">
        <f>IF(Human_Data_Entry!BP327="","",Human_Data_Entry!BP327)</f>
        <v/>
      </c>
      <c r="Q329" s="103">
        <f>IF(Human_Data_Entry!BQ327="","",Human_Data_Entry!BQ327)</f>
        <v/>
      </c>
      <c r="R329" s="103">
        <f>IF(Human_Data_Entry!BR327="","",Human_Data_Entry!BR327)</f>
        <v/>
      </c>
      <c r="S329" s="103">
        <f>IF(Human_Data_Entry!BS327="","",Human_Data_Entry!BS327)</f>
        <v/>
      </c>
      <c r="T329" s="103">
        <f>IF(Human_Data_Entry!BT327="","",Human_Data_Entry!BT327)</f>
        <v/>
      </c>
    </row>
    <row r="330" ht="15" customHeight="1" s="241">
      <c r="A330" s="103">
        <f>IF(Human_Data_Entry!A328="","",Human_Data_Entry!A328)</f>
        <v/>
      </c>
      <c r="B330" s="103">
        <f>IF(Human_Data_Entry!B328="","",Human_Data_Entry!B328)</f>
        <v/>
      </c>
      <c r="C330" s="104">
        <f>IF(Human_Data_Entry!C328="","",Human_Data_Entry!C328)</f>
        <v/>
      </c>
      <c r="D330" s="103">
        <f>IF(Human_Data_Entry!D328="","",Human_Data_Entry!D328)</f>
        <v/>
      </c>
      <c r="E330" s="103">
        <f>IF(Human_Data_Entry!G328="","",Human_Data_Entry!G328)</f>
        <v/>
      </c>
      <c r="F330" s="103">
        <f>IF(Human_Data_Entry!X328="","",Human_Data_Entry!X328)</f>
        <v/>
      </c>
      <c r="G330" s="103">
        <f>IF(Human_Data_Entry!AY328="","",Human_Data_Entry!AY328)</f>
        <v/>
      </c>
      <c r="H330" s="103">
        <f>IF(Human_Data_Entry!AZ328="","",Human_Data_Entry!AZ328)</f>
        <v/>
      </c>
      <c r="I330" s="103">
        <f>IF(Human_Data_Entry!AL328="","",Human_Data_Entry!AL328)</f>
        <v/>
      </c>
      <c r="J330" s="103">
        <f>IF(Human_Data_Entry!AM328="","",Human_Data_Entry!AM328)</f>
        <v/>
      </c>
      <c r="K330" s="103">
        <f>IF(Human_Data_Entry!AN328="","",Human_Data_Entry!AN328)</f>
        <v/>
      </c>
      <c r="L330" s="103">
        <f>IF(Human_Data_Entry!AO328="","",Human_Data_Entry!AO328)</f>
        <v/>
      </c>
      <c r="M330" s="103">
        <f>IF(Human_Data_Entry!BM328="","",Human_Data_Entry!BM328)</f>
        <v/>
      </c>
      <c r="N330" s="103">
        <f>IF(Human_Data_Entry!BN328="","",Human_Data_Entry!BN328)</f>
        <v/>
      </c>
      <c r="O330" s="103">
        <f>IF(Human_Data_Entry!BO328="","",Human_Data_Entry!BO328)</f>
        <v/>
      </c>
      <c r="P330" s="103">
        <f>IF(Human_Data_Entry!BP328="","",Human_Data_Entry!BP328)</f>
        <v/>
      </c>
      <c r="Q330" s="103">
        <f>IF(Human_Data_Entry!BQ328="","",Human_Data_Entry!BQ328)</f>
        <v/>
      </c>
      <c r="R330" s="103">
        <f>IF(Human_Data_Entry!BR328="","",Human_Data_Entry!BR328)</f>
        <v/>
      </c>
      <c r="S330" s="103">
        <f>IF(Human_Data_Entry!BS328="","",Human_Data_Entry!BS328)</f>
        <v/>
      </c>
      <c r="T330" s="103">
        <f>IF(Human_Data_Entry!BT328="","",Human_Data_Entry!BT328)</f>
        <v/>
      </c>
    </row>
    <row r="331" ht="15" customHeight="1" s="241">
      <c r="A331" s="103">
        <f>IF(Human_Data_Entry!A329="","",Human_Data_Entry!A329)</f>
        <v/>
      </c>
      <c r="B331" s="103">
        <f>IF(Human_Data_Entry!B329="","",Human_Data_Entry!B329)</f>
        <v/>
      </c>
      <c r="C331" s="104">
        <f>IF(Human_Data_Entry!C329="","",Human_Data_Entry!C329)</f>
        <v/>
      </c>
      <c r="D331" s="103">
        <f>IF(Human_Data_Entry!D329="","",Human_Data_Entry!D329)</f>
        <v/>
      </c>
      <c r="E331" s="103">
        <f>IF(Human_Data_Entry!G329="","",Human_Data_Entry!G329)</f>
        <v/>
      </c>
      <c r="F331" s="103">
        <f>IF(Human_Data_Entry!X329="","",Human_Data_Entry!X329)</f>
        <v/>
      </c>
      <c r="G331" s="103">
        <f>IF(Human_Data_Entry!AY329="","",Human_Data_Entry!AY329)</f>
        <v/>
      </c>
      <c r="H331" s="103">
        <f>IF(Human_Data_Entry!AZ329="","",Human_Data_Entry!AZ329)</f>
        <v/>
      </c>
      <c r="I331" s="103">
        <f>IF(Human_Data_Entry!AL329="","",Human_Data_Entry!AL329)</f>
        <v/>
      </c>
      <c r="J331" s="103">
        <f>IF(Human_Data_Entry!AM329="","",Human_Data_Entry!AM329)</f>
        <v/>
      </c>
      <c r="K331" s="103">
        <f>IF(Human_Data_Entry!AN329="","",Human_Data_Entry!AN329)</f>
        <v/>
      </c>
      <c r="L331" s="103">
        <f>IF(Human_Data_Entry!AO329="","",Human_Data_Entry!AO329)</f>
        <v/>
      </c>
      <c r="M331" s="103">
        <f>IF(Human_Data_Entry!BM329="","",Human_Data_Entry!BM329)</f>
        <v/>
      </c>
      <c r="N331" s="103">
        <f>IF(Human_Data_Entry!BN329="","",Human_Data_Entry!BN329)</f>
        <v/>
      </c>
      <c r="O331" s="103">
        <f>IF(Human_Data_Entry!BO329="","",Human_Data_Entry!BO329)</f>
        <v/>
      </c>
      <c r="P331" s="103">
        <f>IF(Human_Data_Entry!BP329="","",Human_Data_Entry!BP329)</f>
        <v/>
      </c>
      <c r="Q331" s="103">
        <f>IF(Human_Data_Entry!BQ329="","",Human_Data_Entry!BQ329)</f>
        <v/>
      </c>
      <c r="R331" s="103">
        <f>IF(Human_Data_Entry!BR329="","",Human_Data_Entry!BR329)</f>
        <v/>
      </c>
      <c r="S331" s="103">
        <f>IF(Human_Data_Entry!BS329="","",Human_Data_Entry!BS329)</f>
        <v/>
      </c>
      <c r="T331" s="103">
        <f>IF(Human_Data_Entry!BT329="","",Human_Data_Entry!BT329)</f>
        <v/>
      </c>
    </row>
    <row r="332" ht="15" customHeight="1" s="241">
      <c r="A332" s="103">
        <f>IF(Human_Data_Entry!A330="","",Human_Data_Entry!A330)</f>
        <v/>
      </c>
      <c r="B332" s="103">
        <f>IF(Human_Data_Entry!B330="","",Human_Data_Entry!B330)</f>
        <v/>
      </c>
      <c r="C332" s="104">
        <f>IF(Human_Data_Entry!C330="","",Human_Data_Entry!C330)</f>
        <v/>
      </c>
      <c r="D332" s="103">
        <f>IF(Human_Data_Entry!D330="","",Human_Data_Entry!D330)</f>
        <v/>
      </c>
      <c r="E332" s="103">
        <f>IF(Human_Data_Entry!G330="","",Human_Data_Entry!G330)</f>
        <v/>
      </c>
      <c r="F332" s="103">
        <f>IF(Human_Data_Entry!X330="","",Human_Data_Entry!X330)</f>
        <v/>
      </c>
      <c r="G332" s="103">
        <f>IF(Human_Data_Entry!AY330="","",Human_Data_Entry!AY330)</f>
        <v/>
      </c>
      <c r="H332" s="103">
        <f>IF(Human_Data_Entry!AZ330="","",Human_Data_Entry!AZ330)</f>
        <v/>
      </c>
      <c r="I332" s="103">
        <f>IF(Human_Data_Entry!AL330="","",Human_Data_Entry!AL330)</f>
        <v/>
      </c>
      <c r="J332" s="103">
        <f>IF(Human_Data_Entry!AM330="","",Human_Data_Entry!AM330)</f>
        <v/>
      </c>
      <c r="K332" s="103">
        <f>IF(Human_Data_Entry!AN330="","",Human_Data_Entry!AN330)</f>
        <v/>
      </c>
      <c r="L332" s="103">
        <f>IF(Human_Data_Entry!AO330="","",Human_Data_Entry!AO330)</f>
        <v/>
      </c>
      <c r="M332" s="103">
        <f>IF(Human_Data_Entry!BM330="","",Human_Data_Entry!BM330)</f>
        <v/>
      </c>
      <c r="N332" s="103">
        <f>IF(Human_Data_Entry!BN330="","",Human_Data_Entry!BN330)</f>
        <v/>
      </c>
      <c r="O332" s="103">
        <f>IF(Human_Data_Entry!BO330="","",Human_Data_Entry!BO330)</f>
        <v/>
      </c>
      <c r="P332" s="103">
        <f>IF(Human_Data_Entry!BP330="","",Human_Data_Entry!BP330)</f>
        <v/>
      </c>
      <c r="Q332" s="103">
        <f>IF(Human_Data_Entry!BQ330="","",Human_Data_Entry!BQ330)</f>
        <v/>
      </c>
      <c r="R332" s="103">
        <f>IF(Human_Data_Entry!BR330="","",Human_Data_Entry!BR330)</f>
        <v/>
      </c>
      <c r="S332" s="103">
        <f>IF(Human_Data_Entry!BS330="","",Human_Data_Entry!BS330)</f>
        <v/>
      </c>
      <c r="T332" s="103">
        <f>IF(Human_Data_Entry!BT330="","",Human_Data_Entry!BT330)</f>
        <v/>
      </c>
    </row>
    <row r="333" ht="15" customHeight="1" s="241">
      <c r="A333" s="103">
        <f>IF(Human_Data_Entry!A331="","",Human_Data_Entry!A331)</f>
        <v/>
      </c>
      <c r="B333" s="103">
        <f>IF(Human_Data_Entry!B331="","",Human_Data_Entry!B331)</f>
        <v/>
      </c>
      <c r="C333" s="104">
        <f>IF(Human_Data_Entry!C331="","",Human_Data_Entry!C331)</f>
        <v/>
      </c>
      <c r="D333" s="103">
        <f>IF(Human_Data_Entry!D331="","",Human_Data_Entry!D331)</f>
        <v/>
      </c>
      <c r="E333" s="103">
        <f>IF(Human_Data_Entry!G331="","",Human_Data_Entry!G331)</f>
        <v/>
      </c>
      <c r="F333" s="103">
        <f>IF(Human_Data_Entry!X331="","",Human_Data_Entry!X331)</f>
        <v/>
      </c>
      <c r="G333" s="103">
        <f>IF(Human_Data_Entry!AY331="","",Human_Data_Entry!AY331)</f>
        <v/>
      </c>
      <c r="H333" s="103">
        <f>IF(Human_Data_Entry!AZ331="","",Human_Data_Entry!AZ331)</f>
        <v/>
      </c>
      <c r="I333" s="103">
        <f>IF(Human_Data_Entry!AL331="","",Human_Data_Entry!AL331)</f>
        <v/>
      </c>
      <c r="J333" s="103">
        <f>IF(Human_Data_Entry!AM331="","",Human_Data_Entry!AM331)</f>
        <v/>
      </c>
      <c r="K333" s="103">
        <f>IF(Human_Data_Entry!AN331="","",Human_Data_Entry!AN331)</f>
        <v/>
      </c>
      <c r="L333" s="103">
        <f>IF(Human_Data_Entry!AO331="","",Human_Data_Entry!AO331)</f>
        <v/>
      </c>
      <c r="M333" s="103">
        <f>IF(Human_Data_Entry!BM331="","",Human_Data_Entry!BM331)</f>
        <v/>
      </c>
      <c r="N333" s="103">
        <f>IF(Human_Data_Entry!BN331="","",Human_Data_Entry!BN331)</f>
        <v/>
      </c>
      <c r="O333" s="103">
        <f>IF(Human_Data_Entry!BO331="","",Human_Data_Entry!BO331)</f>
        <v/>
      </c>
      <c r="P333" s="103">
        <f>IF(Human_Data_Entry!BP331="","",Human_Data_Entry!BP331)</f>
        <v/>
      </c>
      <c r="Q333" s="103">
        <f>IF(Human_Data_Entry!BQ331="","",Human_Data_Entry!BQ331)</f>
        <v/>
      </c>
      <c r="R333" s="103">
        <f>IF(Human_Data_Entry!BR331="","",Human_Data_Entry!BR331)</f>
        <v/>
      </c>
      <c r="S333" s="103">
        <f>IF(Human_Data_Entry!BS331="","",Human_Data_Entry!BS331)</f>
        <v/>
      </c>
      <c r="T333" s="103">
        <f>IF(Human_Data_Entry!BT331="","",Human_Data_Entry!BT331)</f>
        <v/>
      </c>
    </row>
    <row r="334" ht="15" customHeight="1" s="241">
      <c r="A334" s="103">
        <f>IF(Human_Data_Entry!A332="","",Human_Data_Entry!A332)</f>
        <v/>
      </c>
      <c r="B334" s="103">
        <f>IF(Human_Data_Entry!B332="","",Human_Data_Entry!B332)</f>
        <v/>
      </c>
      <c r="C334" s="104">
        <f>IF(Human_Data_Entry!C332="","",Human_Data_Entry!C332)</f>
        <v/>
      </c>
      <c r="D334" s="103">
        <f>IF(Human_Data_Entry!D332="","",Human_Data_Entry!D332)</f>
        <v/>
      </c>
      <c r="E334" s="103">
        <f>IF(Human_Data_Entry!G332="","",Human_Data_Entry!G332)</f>
        <v/>
      </c>
      <c r="F334" s="103">
        <f>IF(Human_Data_Entry!X332="","",Human_Data_Entry!X332)</f>
        <v/>
      </c>
      <c r="G334" s="103">
        <f>IF(Human_Data_Entry!AY332="","",Human_Data_Entry!AY332)</f>
        <v/>
      </c>
      <c r="H334" s="103">
        <f>IF(Human_Data_Entry!AZ332="","",Human_Data_Entry!AZ332)</f>
        <v/>
      </c>
      <c r="I334" s="103">
        <f>IF(Human_Data_Entry!AL332="","",Human_Data_Entry!AL332)</f>
        <v/>
      </c>
      <c r="J334" s="103">
        <f>IF(Human_Data_Entry!AM332="","",Human_Data_Entry!AM332)</f>
        <v/>
      </c>
      <c r="K334" s="103">
        <f>IF(Human_Data_Entry!AN332="","",Human_Data_Entry!AN332)</f>
        <v/>
      </c>
      <c r="L334" s="103">
        <f>IF(Human_Data_Entry!AO332="","",Human_Data_Entry!AO332)</f>
        <v/>
      </c>
      <c r="M334" s="103">
        <f>IF(Human_Data_Entry!BM332="","",Human_Data_Entry!BM332)</f>
        <v/>
      </c>
      <c r="N334" s="103">
        <f>IF(Human_Data_Entry!BN332="","",Human_Data_Entry!BN332)</f>
        <v/>
      </c>
      <c r="O334" s="103">
        <f>IF(Human_Data_Entry!BO332="","",Human_Data_Entry!BO332)</f>
        <v/>
      </c>
      <c r="P334" s="103">
        <f>IF(Human_Data_Entry!BP332="","",Human_Data_Entry!BP332)</f>
        <v/>
      </c>
      <c r="Q334" s="103">
        <f>IF(Human_Data_Entry!BQ332="","",Human_Data_Entry!BQ332)</f>
        <v/>
      </c>
      <c r="R334" s="103">
        <f>IF(Human_Data_Entry!BR332="","",Human_Data_Entry!BR332)</f>
        <v/>
      </c>
      <c r="S334" s="103">
        <f>IF(Human_Data_Entry!BS332="","",Human_Data_Entry!BS332)</f>
        <v/>
      </c>
      <c r="T334" s="103">
        <f>IF(Human_Data_Entry!BT332="","",Human_Data_Entry!BT332)</f>
        <v/>
      </c>
    </row>
    <row r="335" ht="15" customHeight="1" s="241">
      <c r="A335" s="103">
        <f>IF(Human_Data_Entry!A333="","",Human_Data_Entry!A333)</f>
        <v/>
      </c>
      <c r="B335" s="103">
        <f>IF(Human_Data_Entry!B333="","",Human_Data_Entry!B333)</f>
        <v/>
      </c>
      <c r="C335" s="104">
        <f>IF(Human_Data_Entry!C333="","",Human_Data_Entry!C333)</f>
        <v/>
      </c>
      <c r="D335" s="103">
        <f>IF(Human_Data_Entry!D333="","",Human_Data_Entry!D333)</f>
        <v/>
      </c>
      <c r="E335" s="103">
        <f>IF(Human_Data_Entry!G333="","",Human_Data_Entry!G333)</f>
        <v/>
      </c>
      <c r="F335" s="103">
        <f>IF(Human_Data_Entry!X333="","",Human_Data_Entry!X333)</f>
        <v/>
      </c>
      <c r="G335" s="103">
        <f>IF(Human_Data_Entry!AY333="","",Human_Data_Entry!AY333)</f>
        <v/>
      </c>
      <c r="H335" s="103">
        <f>IF(Human_Data_Entry!AZ333="","",Human_Data_Entry!AZ333)</f>
        <v/>
      </c>
      <c r="I335" s="103">
        <f>IF(Human_Data_Entry!AL333="","",Human_Data_Entry!AL333)</f>
        <v/>
      </c>
      <c r="J335" s="103">
        <f>IF(Human_Data_Entry!AM333="","",Human_Data_Entry!AM333)</f>
        <v/>
      </c>
      <c r="K335" s="103">
        <f>IF(Human_Data_Entry!AN333="","",Human_Data_Entry!AN333)</f>
        <v/>
      </c>
      <c r="L335" s="103">
        <f>IF(Human_Data_Entry!AO333="","",Human_Data_Entry!AO333)</f>
        <v/>
      </c>
      <c r="M335" s="103">
        <f>IF(Human_Data_Entry!BM333="","",Human_Data_Entry!BM333)</f>
        <v/>
      </c>
      <c r="N335" s="103">
        <f>IF(Human_Data_Entry!BN333="","",Human_Data_Entry!BN333)</f>
        <v/>
      </c>
      <c r="O335" s="103">
        <f>IF(Human_Data_Entry!BO333="","",Human_Data_Entry!BO333)</f>
        <v/>
      </c>
      <c r="P335" s="103">
        <f>IF(Human_Data_Entry!BP333="","",Human_Data_Entry!BP333)</f>
        <v/>
      </c>
      <c r="Q335" s="103">
        <f>IF(Human_Data_Entry!BQ333="","",Human_Data_Entry!BQ333)</f>
        <v/>
      </c>
      <c r="R335" s="103">
        <f>IF(Human_Data_Entry!BR333="","",Human_Data_Entry!BR333)</f>
        <v/>
      </c>
      <c r="S335" s="103">
        <f>IF(Human_Data_Entry!BS333="","",Human_Data_Entry!BS333)</f>
        <v/>
      </c>
      <c r="T335" s="103">
        <f>IF(Human_Data_Entry!BT333="","",Human_Data_Entry!BT333)</f>
        <v/>
      </c>
    </row>
    <row r="336" ht="15" customHeight="1" s="241">
      <c r="A336" s="103">
        <f>IF(Human_Data_Entry!A334="","",Human_Data_Entry!A334)</f>
        <v/>
      </c>
      <c r="B336" s="103">
        <f>IF(Human_Data_Entry!B334="","",Human_Data_Entry!B334)</f>
        <v/>
      </c>
      <c r="C336" s="104">
        <f>IF(Human_Data_Entry!C334="","",Human_Data_Entry!C334)</f>
        <v/>
      </c>
      <c r="D336" s="103">
        <f>IF(Human_Data_Entry!D334="","",Human_Data_Entry!D334)</f>
        <v/>
      </c>
      <c r="E336" s="103">
        <f>IF(Human_Data_Entry!G334="","",Human_Data_Entry!G334)</f>
        <v/>
      </c>
      <c r="F336" s="103">
        <f>IF(Human_Data_Entry!X334="","",Human_Data_Entry!X334)</f>
        <v/>
      </c>
      <c r="G336" s="103">
        <f>IF(Human_Data_Entry!AY334="","",Human_Data_Entry!AY334)</f>
        <v/>
      </c>
      <c r="H336" s="103">
        <f>IF(Human_Data_Entry!AZ334="","",Human_Data_Entry!AZ334)</f>
        <v/>
      </c>
      <c r="I336" s="103">
        <f>IF(Human_Data_Entry!AL334="","",Human_Data_Entry!AL334)</f>
        <v/>
      </c>
      <c r="J336" s="103">
        <f>IF(Human_Data_Entry!AM334="","",Human_Data_Entry!AM334)</f>
        <v/>
      </c>
      <c r="K336" s="103">
        <f>IF(Human_Data_Entry!AN334="","",Human_Data_Entry!AN334)</f>
        <v/>
      </c>
      <c r="L336" s="103">
        <f>IF(Human_Data_Entry!AO334="","",Human_Data_Entry!AO334)</f>
        <v/>
      </c>
      <c r="M336" s="103">
        <f>IF(Human_Data_Entry!BM334="","",Human_Data_Entry!BM334)</f>
        <v/>
      </c>
      <c r="N336" s="103">
        <f>IF(Human_Data_Entry!BN334="","",Human_Data_Entry!BN334)</f>
        <v/>
      </c>
      <c r="O336" s="103">
        <f>IF(Human_Data_Entry!BO334="","",Human_Data_Entry!BO334)</f>
        <v/>
      </c>
      <c r="P336" s="103">
        <f>IF(Human_Data_Entry!BP334="","",Human_Data_Entry!BP334)</f>
        <v/>
      </c>
      <c r="Q336" s="103">
        <f>IF(Human_Data_Entry!BQ334="","",Human_Data_Entry!BQ334)</f>
        <v/>
      </c>
      <c r="R336" s="103">
        <f>IF(Human_Data_Entry!BR334="","",Human_Data_Entry!BR334)</f>
        <v/>
      </c>
      <c r="S336" s="103">
        <f>IF(Human_Data_Entry!BS334="","",Human_Data_Entry!BS334)</f>
        <v/>
      </c>
      <c r="T336" s="103">
        <f>IF(Human_Data_Entry!BT334="","",Human_Data_Entry!BT334)</f>
        <v/>
      </c>
    </row>
    <row r="337" ht="15" customHeight="1" s="241">
      <c r="A337" s="103">
        <f>IF(Human_Data_Entry!A335="","",Human_Data_Entry!A335)</f>
        <v/>
      </c>
      <c r="B337" s="103">
        <f>IF(Human_Data_Entry!B335="","",Human_Data_Entry!B335)</f>
        <v/>
      </c>
      <c r="C337" s="104">
        <f>IF(Human_Data_Entry!C335="","",Human_Data_Entry!C335)</f>
        <v/>
      </c>
      <c r="D337" s="103">
        <f>IF(Human_Data_Entry!D335="","",Human_Data_Entry!D335)</f>
        <v/>
      </c>
      <c r="E337" s="103">
        <f>IF(Human_Data_Entry!G335="","",Human_Data_Entry!G335)</f>
        <v/>
      </c>
      <c r="F337" s="103">
        <f>IF(Human_Data_Entry!X335="","",Human_Data_Entry!X335)</f>
        <v/>
      </c>
      <c r="G337" s="103">
        <f>IF(Human_Data_Entry!AY335="","",Human_Data_Entry!AY335)</f>
        <v/>
      </c>
      <c r="H337" s="103">
        <f>IF(Human_Data_Entry!AZ335="","",Human_Data_Entry!AZ335)</f>
        <v/>
      </c>
      <c r="I337" s="103">
        <f>IF(Human_Data_Entry!AL335="","",Human_Data_Entry!AL335)</f>
        <v/>
      </c>
      <c r="J337" s="103">
        <f>IF(Human_Data_Entry!AM335="","",Human_Data_Entry!AM335)</f>
        <v/>
      </c>
      <c r="K337" s="103">
        <f>IF(Human_Data_Entry!AN335="","",Human_Data_Entry!AN335)</f>
        <v/>
      </c>
      <c r="L337" s="103">
        <f>IF(Human_Data_Entry!AO335="","",Human_Data_Entry!AO335)</f>
        <v/>
      </c>
      <c r="M337" s="103">
        <f>IF(Human_Data_Entry!BM335="","",Human_Data_Entry!BM335)</f>
        <v/>
      </c>
      <c r="N337" s="103">
        <f>IF(Human_Data_Entry!BN335="","",Human_Data_Entry!BN335)</f>
        <v/>
      </c>
      <c r="O337" s="103">
        <f>IF(Human_Data_Entry!BO335="","",Human_Data_Entry!BO335)</f>
        <v/>
      </c>
      <c r="P337" s="103">
        <f>IF(Human_Data_Entry!BP335="","",Human_Data_Entry!BP335)</f>
        <v/>
      </c>
      <c r="Q337" s="103">
        <f>IF(Human_Data_Entry!BQ335="","",Human_Data_Entry!BQ335)</f>
        <v/>
      </c>
      <c r="R337" s="103">
        <f>IF(Human_Data_Entry!BR335="","",Human_Data_Entry!BR335)</f>
        <v/>
      </c>
      <c r="S337" s="103">
        <f>IF(Human_Data_Entry!BS335="","",Human_Data_Entry!BS335)</f>
        <v/>
      </c>
      <c r="T337" s="103">
        <f>IF(Human_Data_Entry!BT335="","",Human_Data_Entry!BT335)</f>
        <v/>
      </c>
    </row>
    <row r="338" ht="15" customHeight="1" s="241">
      <c r="A338" s="103">
        <f>IF(Human_Data_Entry!A336="","",Human_Data_Entry!A336)</f>
        <v/>
      </c>
      <c r="B338" s="103">
        <f>IF(Human_Data_Entry!B336="","",Human_Data_Entry!B336)</f>
        <v/>
      </c>
      <c r="C338" s="104">
        <f>IF(Human_Data_Entry!C336="","",Human_Data_Entry!C336)</f>
        <v/>
      </c>
      <c r="D338" s="103">
        <f>IF(Human_Data_Entry!D336="","",Human_Data_Entry!D336)</f>
        <v/>
      </c>
      <c r="E338" s="103">
        <f>IF(Human_Data_Entry!G336="","",Human_Data_Entry!G336)</f>
        <v/>
      </c>
      <c r="F338" s="103">
        <f>IF(Human_Data_Entry!X336="","",Human_Data_Entry!X336)</f>
        <v/>
      </c>
      <c r="G338" s="103">
        <f>IF(Human_Data_Entry!AY336="","",Human_Data_Entry!AY336)</f>
        <v/>
      </c>
      <c r="H338" s="103">
        <f>IF(Human_Data_Entry!AZ336="","",Human_Data_Entry!AZ336)</f>
        <v/>
      </c>
      <c r="I338" s="103">
        <f>IF(Human_Data_Entry!AL336="","",Human_Data_Entry!AL336)</f>
        <v/>
      </c>
      <c r="J338" s="103">
        <f>IF(Human_Data_Entry!AM336="","",Human_Data_Entry!AM336)</f>
        <v/>
      </c>
      <c r="K338" s="103">
        <f>IF(Human_Data_Entry!AN336="","",Human_Data_Entry!AN336)</f>
        <v/>
      </c>
      <c r="L338" s="103">
        <f>IF(Human_Data_Entry!AO336="","",Human_Data_Entry!AO336)</f>
        <v/>
      </c>
      <c r="M338" s="103">
        <f>IF(Human_Data_Entry!BM336="","",Human_Data_Entry!BM336)</f>
        <v/>
      </c>
      <c r="N338" s="103">
        <f>IF(Human_Data_Entry!BN336="","",Human_Data_Entry!BN336)</f>
        <v/>
      </c>
      <c r="O338" s="103">
        <f>IF(Human_Data_Entry!BO336="","",Human_Data_Entry!BO336)</f>
        <v/>
      </c>
      <c r="P338" s="103">
        <f>IF(Human_Data_Entry!BP336="","",Human_Data_Entry!BP336)</f>
        <v/>
      </c>
      <c r="Q338" s="103">
        <f>IF(Human_Data_Entry!BQ336="","",Human_Data_Entry!BQ336)</f>
        <v/>
      </c>
      <c r="R338" s="103">
        <f>IF(Human_Data_Entry!BR336="","",Human_Data_Entry!BR336)</f>
        <v/>
      </c>
      <c r="S338" s="103">
        <f>IF(Human_Data_Entry!BS336="","",Human_Data_Entry!BS336)</f>
        <v/>
      </c>
      <c r="T338" s="103">
        <f>IF(Human_Data_Entry!BT336="","",Human_Data_Entry!BT336)</f>
        <v/>
      </c>
    </row>
    <row r="339" ht="15" customHeight="1" s="241">
      <c r="A339" s="103">
        <f>IF(Human_Data_Entry!A337="","",Human_Data_Entry!A337)</f>
        <v/>
      </c>
      <c r="B339" s="103">
        <f>IF(Human_Data_Entry!B337="","",Human_Data_Entry!B337)</f>
        <v/>
      </c>
      <c r="C339" s="104">
        <f>IF(Human_Data_Entry!C337="","",Human_Data_Entry!C337)</f>
        <v/>
      </c>
      <c r="D339" s="103">
        <f>IF(Human_Data_Entry!D337="","",Human_Data_Entry!D337)</f>
        <v/>
      </c>
      <c r="E339" s="103">
        <f>IF(Human_Data_Entry!G337="","",Human_Data_Entry!G337)</f>
        <v/>
      </c>
      <c r="F339" s="103">
        <f>IF(Human_Data_Entry!X337="","",Human_Data_Entry!X337)</f>
        <v/>
      </c>
      <c r="G339" s="103">
        <f>IF(Human_Data_Entry!AY337="","",Human_Data_Entry!AY337)</f>
        <v/>
      </c>
      <c r="H339" s="103">
        <f>IF(Human_Data_Entry!AZ337="","",Human_Data_Entry!AZ337)</f>
        <v/>
      </c>
      <c r="I339" s="103">
        <f>IF(Human_Data_Entry!AL337="","",Human_Data_Entry!AL337)</f>
        <v/>
      </c>
      <c r="J339" s="103">
        <f>IF(Human_Data_Entry!AM337="","",Human_Data_Entry!AM337)</f>
        <v/>
      </c>
      <c r="K339" s="103">
        <f>IF(Human_Data_Entry!AN337="","",Human_Data_Entry!AN337)</f>
        <v/>
      </c>
      <c r="L339" s="103">
        <f>IF(Human_Data_Entry!AO337="","",Human_Data_Entry!AO337)</f>
        <v/>
      </c>
      <c r="M339" s="103">
        <f>IF(Human_Data_Entry!BM337="","",Human_Data_Entry!BM337)</f>
        <v/>
      </c>
      <c r="N339" s="103">
        <f>IF(Human_Data_Entry!BN337="","",Human_Data_Entry!BN337)</f>
        <v/>
      </c>
      <c r="O339" s="103">
        <f>IF(Human_Data_Entry!BO337="","",Human_Data_Entry!BO337)</f>
        <v/>
      </c>
      <c r="P339" s="103">
        <f>IF(Human_Data_Entry!BP337="","",Human_Data_Entry!BP337)</f>
        <v/>
      </c>
      <c r="Q339" s="103">
        <f>IF(Human_Data_Entry!BQ337="","",Human_Data_Entry!BQ337)</f>
        <v/>
      </c>
      <c r="R339" s="103">
        <f>IF(Human_Data_Entry!BR337="","",Human_Data_Entry!BR337)</f>
        <v/>
      </c>
      <c r="S339" s="103">
        <f>IF(Human_Data_Entry!BS337="","",Human_Data_Entry!BS337)</f>
        <v/>
      </c>
      <c r="T339" s="103">
        <f>IF(Human_Data_Entry!BT337="","",Human_Data_Entry!BT337)</f>
        <v/>
      </c>
    </row>
    <row r="340" ht="15" customHeight="1" s="241">
      <c r="A340" s="103">
        <f>IF(Human_Data_Entry!A338="","",Human_Data_Entry!A338)</f>
        <v/>
      </c>
      <c r="B340" s="103">
        <f>IF(Human_Data_Entry!B338="","",Human_Data_Entry!B338)</f>
        <v/>
      </c>
      <c r="C340" s="104">
        <f>IF(Human_Data_Entry!C338="","",Human_Data_Entry!C338)</f>
        <v/>
      </c>
      <c r="D340" s="103">
        <f>IF(Human_Data_Entry!D338="","",Human_Data_Entry!D338)</f>
        <v/>
      </c>
      <c r="E340" s="103">
        <f>IF(Human_Data_Entry!G338="","",Human_Data_Entry!G338)</f>
        <v/>
      </c>
      <c r="F340" s="103">
        <f>IF(Human_Data_Entry!X338="","",Human_Data_Entry!X338)</f>
        <v/>
      </c>
      <c r="G340" s="103">
        <f>IF(Human_Data_Entry!AY338="","",Human_Data_Entry!AY338)</f>
        <v/>
      </c>
      <c r="H340" s="103">
        <f>IF(Human_Data_Entry!AZ338="","",Human_Data_Entry!AZ338)</f>
        <v/>
      </c>
      <c r="I340" s="103">
        <f>IF(Human_Data_Entry!AL338="","",Human_Data_Entry!AL338)</f>
        <v/>
      </c>
      <c r="J340" s="103">
        <f>IF(Human_Data_Entry!AM338="","",Human_Data_Entry!AM338)</f>
        <v/>
      </c>
      <c r="K340" s="103">
        <f>IF(Human_Data_Entry!AN338="","",Human_Data_Entry!AN338)</f>
        <v/>
      </c>
      <c r="L340" s="103">
        <f>IF(Human_Data_Entry!AO338="","",Human_Data_Entry!AO338)</f>
        <v/>
      </c>
      <c r="M340" s="103">
        <f>IF(Human_Data_Entry!BM338="","",Human_Data_Entry!BM338)</f>
        <v/>
      </c>
      <c r="N340" s="103">
        <f>IF(Human_Data_Entry!BN338="","",Human_Data_Entry!BN338)</f>
        <v/>
      </c>
      <c r="O340" s="103">
        <f>IF(Human_Data_Entry!BO338="","",Human_Data_Entry!BO338)</f>
        <v/>
      </c>
      <c r="P340" s="103">
        <f>IF(Human_Data_Entry!BP338="","",Human_Data_Entry!BP338)</f>
        <v/>
      </c>
      <c r="Q340" s="103">
        <f>IF(Human_Data_Entry!BQ338="","",Human_Data_Entry!BQ338)</f>
        <v/>
      </c>
      <c r="R340" s="103">
        <f>IF(Human_Data_Entry!BR338="","",Human_Data_Entry!BR338)</f>
        <v/>
      </c>
      <c r="S340" s="103">
        <f>IF(Human_Data_Entry!BS338="","",Human_Data_Entry!BS338)</f>
        <v/>
      </c>
      <c r="T340" s="103">
        <f>IF(Human_Data_Entry!BT338="","",Human_Data_Entry!BT338)</f>
        <v/>
      </c>
    </row>
    <row r="341" ht="15" customHeight="1" s="241">
      <c r="A341" s="103">
        <f>IF(Human_Data_Entry!A339="","",Human_Data_Entry!A339)</f>
        <v/>
      </c>
      <c r="B341" s="103">
        <f>IF(Human_Data_Entry!B339="","",Human_Data_Entry!B339)</f>
        <v/>
      </c>
      <c r="C341" s="104">
        <f>IF(Human_Data_Entry!C339="","",Human_Data_Entry!C339)</f>
        <v/>
      </c>
      <c r="D341" s="103">
        <f>IF(Human_Data_Entry!D339="","",Human_Data_Entry!D339)</f>
        <v/>
      </c>
      <c r="E341" s="103">
        <f>IF(Human_Data_Entry!G339="","",Human_Data_Entry!G339)</f>
        <v/>
      </c>
      <c r="F341" s="103">
        <f>IF(Human_Data_Entry!X339="","",Human_Data_Entry!X339)</f>
        <v/>
      </c>
      <c r="G341" s="103">
        <f>IF(Human_Data_Entry!AY339="","",Human_Data_Entry!AY339)</f>
        <v/>
      </c>
      <c r="H341" s="103">
        <f>IF(Human_Data_Entry!AZ339="","",Human_Data_Entry!AZ339)</f>
        <v/>
      </c>
      <c r="I341" s="103">
        <f>IF(Human_Data_Entry!AL339="","",Human_Data_Entry!AL339)</f>
        <v/>
      </c>
      <c r="J341" s="103">
        <f>IF(Human_Data_Entry!AM339="","",Human_Data_Entry!AM339)</f>
        <v/>
      </c>
      <c r="K341" s="103">
        <f>IF(Human_Data_Entry!AN339="","",Human_Data_Entry!AN339)</f>
        <v/>
      </c>
      <c r="L341" s="103">
        <f>IF(Human_Data_Entry!AO339="","",Human_Data_Entry!AO339)</f>
        <v/>
      </c>
      <c r="M341" s="103">
        <f>IF(Human_Data_Entry!BM339="","",Human_Data_Entry!BM339)</f>
        <v/>
      </c>
      <c r="N341" s="103">
        <f>IF(Human_Data_Entry!BN339="","",Human_Data_Entry!BN339)</f>
        <v/>
      </c>
      <c r="O341" s="103">
        <f>IF(Human_Data_Entry!BO339="","",Human_Data_Entry!BO339)</f>
        <v/>
      </c>
      <c r="P341" s="103">
        <f>IF(Human_Data_Entry!BP339="","",Human_Data_Entry!BP339)</f>
        <v/>
      </c>
      <c r="Q341" s="103">
        <f>IF(Human_Data_Entry!BQ339="","",Human_Data_Entry!BQ339)</f>
        <v/>
      </c>
      <c r="R341" s="103">
        <f>IF(Human_Data_Entry!BR339="","",Human_Data_Entry!BR339)</f>
        <v/>
      </c>
      <c r="S341" s="103">
        <f>IF(Human_Data_Entry!BS339="","",Human_Data_Entry!BS339)</f>
        <v/>
      </c>
      <c r="T341" s="103">
        <f>IF(Human_Data_Entry!BT339="","",Human_Data_Entry!BT339)</f>
        <v/>
      </c>
    </row>
    <row r="342" ht="15" customHeight="1" s="241">
      <c r="A342" s="103">
        <f>IF(Human_Data_Entry!A340="","",Human_Data_Entry!A340)</f>
        <v/>
      </c>
      <c r="B342" s="103">
        <f>IF(Human_Data_Entry!B340="","",Human_Data_Entry!B340)</f>
        <v/>
      </c>
      <c r="C342" s="104">
        <f>IF(Human_Data_Entry!C340="","",Human_Data_Entry!C340)</f>
        <v/>
      </c>
      <c r="D342" s="103">
        <f>IF(Human_Data_Entry!D340="","",Human_Data_Entry!D340)</f>
        <v/>
      </c>
      <c r="E342" s="103">
        <f>IF(Human_Data_Entry!G340="","",Human_Data_Entry!G340)</f>
        <v/>
      </c>
      <c r="F342" s="103">
        <f>IF(Human_Data_Entry!X340="","",Human_Data_Entry!X340)</f>
        <v/>
      </c>
      <c r="G342" s="103">
        <f>IF(Human_Data_Entry!AY340="","",Human_Data_Entry!AY340)</f>
        <v/>
      </c>
      <c r="H342" s="103">
        <f>IF(Human_Data_Entry!AZ340="","",Human_Data_Entry!AZ340)</f>
        <v/>
      </c>
      <c r="I342" s="103">
        <f>IF(Human_Data_Entry!AL340="","",Human_Data_Entry!AL340)</f>
        <v/>
      </c>
      <c r="J342" s="103">
        <f>IF(Human_Data_Entry!AM340="","",Human_Data_Entry!AM340)</f>
        <v/>
      </c>
      <c r="K342" s="103">
        <f>IF(Human_Data_Entry!AN340="","",Human_Data_Entry!AN340)</f>
        <v/>
      </c>
      <c r="L342" s="103">
        <f>IF(Human_Data_Entry!AO340="","",Human_Data_Entry!AO340)</f>
        <v/>
      </c>
      <c r="M342" s="103">
        <f>IF(Human_Data_Entry!BM340="","",Human_Data_Entry!BM340)</f>
        <v/>
      </c>
      <c r="N342" s="103">
        <f>IF(Human_Data_Entry!BN340="","",Human_Data_Entry!BN340)</f>
        <v/>
      </c>
      <c r="O342" s="103">
        <f>IF(Human_Data_Entry!BO340="","",Human_Data_Entry!BO340)</f>
        <v/>
      </c>
      <c r="P342" s="103">
        <f>IF(Human_Data_Entry!BP340="","",Human_Data_Entry!BP340)</f>
        <v/>
      </c>
      <c r="Q342" s="103">
        <f>IF(Human_Data_Entry!BQ340="","",Human_Data_Entry!BQ340)</f>
        <v/>
      </c>
      <c r="R342" s="103">
        <f>IF(Human_Data_Entry!BR340="","",Human_Data_Entry!BR340)</f>
        <v/>
      </c>
      <c r="S342" s="103">
        <f>IF(Human_Data_Entry!BS340="","",Human_Data_Entry!BS340)</f>
        <v/>
      </c>
      <c r="T342" s="103">
        <f>IF(Human_Data_Entry!BT340="","",Human_Data_Entry!BT340)</f>
        <v/>
      </c>
    </row>
    <row r="343" ht="15" customHeight="1" s="241">
      <c r="A343" s="103">
        <f>IF(Human_Data_Entry!A341="","",Human_Data_Entry!A341)</f>
        <v/>
      </c>
      <c r="B343" s="103">
        <f>IF(Human_Data_Entry!B341="","",Human_Data_Entry!B341)</f>
        <v/>
      </c>
      <c r="C343" s="104">
        <f>IF(Human_Data_Entry!C341="","",Human_Data_Entry!C341)</f>
        <v/>
      </c>
      <c r="D343" s="103">
        <f>IF(Human_Data_Entry!D341="","",Human_Data_Entry!D341)</f>
        <v/>
      </c>
      <c r="E343" s="103">
        <f>IF(Human_Data_Entry!G341="","",Human_Data_Entry!G341)</f>
        <v/>
      </c>
      <c r="F343" s="103">
        <f>IF(Human_Data_Entry!X341="","",Human_Data_Entry!X341)</f>
        <v/>
      </c>
      <c r="G343" s="103">
        <f>IF(Human_Data_Entry!AY341="","",Human_Data_Entry!AY341)</f>
        <v/>
      </c>
      <c r="H343" s="103">
        <f>IF(Human_Data_Entry!AZ341="","",Human_Data_Entry!AZ341)</f>
        <v/>
      </c>
      <c r="I343" s="103">
        <f>IF(Human_Data_Entry!AL341="","",Human_Data_Entry!AL341)</f>
        <v/>
      </c>
      <c r="J343" s="103">
        <f>IF(Human_Data_Entry!AM341="","",Human_Data_Entry!AM341)</f>
        <v/>
      </c>
      <c r="K343" s="103">
        <f>IF(Human_Data_Entry!AN341="","",Human_Data_Entry!AN341)</f>
        <v/>
      </c>
      <c r="L343" s="103">
        <f>IF(Human_Data_Entry!AO341="","",Human_Data_Entry!AO341)</f>
        <v/>
      </c>
      <c r="M343" s="103">
        <f>IF(Human_Data_Entry!BM341="","",Human_Data_Entry!BM341)</f>
        <v/>
      </c>
      <c r="N343" s="103">
        <f>IF(Human_Data_Entry!BN341="","",Human_Data_Entry!BN341)</f>
        <v/>
      </c>
      <c r="O343" s="103">
        <f>IF(Human_Data_Entry!BO341="","",Human_Data_Entry!BO341)</f>
        <v/>
      </c>
      <c r="P343" s="103">
        <f>IF(Human_Data_Entry!BP341="","",Human_Data_Entry!BP341)</f>
        <v/>
      </c>
      <c r="Q343" s="103">
        <f>IF(Human_Data_Entry!BQ341="","",Human_Data_Entry!BQ341)</f>
        <v/>
      </c>
      <c r="R343" s="103">
        <f>IF(Human_Data_Entry!BR341="","",Human_Data_Entry!BR341)</f>
        <v/>
      </c>
      <c r="S343" s="103">
        <f>IF(Human_Data_Entry!BS341="","",Human_Data_Entry!BS341)</f>
        <v/>
      </c>
      <c r="T343" s="103">
        <f>IF(Human_Data_Entry!BT341="","",Human_Data_Entry!BT341)</f>
        <v/>
      </c>
    </row>
    <row r="344" ht="15" customHeight="1" s="241">
      <c r="A344" s="103">
        <f>IF(Human_Data_Entry!A342="","",Human_Data_Entry!A342)</f>
        <v/>
      </c>
      <c r="B344" s="103">
        <f>IF(Human_Data_Entry!B342="","",Human_Data_Entry!B342)</f>
        <v/>
      </c>
      <c r="C344" s="104">
        <f>IF(Human_Data_Entry!C342="","",Human_Data_Entry!C342)</f>
        <v/>
      </c>
      <c r="D344" s="103">
        <f>IF(Human_Data_Entry!D342="","",Human_Data_Entry!D342)</f>
        <v/>
      </c>
      <c r="E344" s="103">
        <f>IF(Human_Data_Entry!G342="","",Human_Data_Entry!G342)</f>
        <v/>
      </c>
      <c r="F344" s="103">
        <f>IF(Human_Data_Entry!X342="","",Human_Data_Entry!X342)</f>
        <v/>
      </c>
      <c r="G344" s="103">
        <f>IF(Human_Data_Entry!AY342="","",Human_Data_Entry!AY342)</f>
        <v/>
      </c>
      <c r="H344" s="103">
        <f>IF(Human_Data_Entry!AZ342="","",Human_Data_Entry!AZ342)</f>
        <v/>
      </c>
      <c r="I344" s="103">
        <f>IF(Human_Data_Entry!AL342="","",Human_Data_Entry!AL342)</f>
        <v/>
      </c>
      <c r="J344" s="103">
        <f>IF(Human_Data_Entry!AM342="","",Human_Data_Entry!AM342)</f>
        <v/>
      </c>
      <c r="K344" s="103">
        <f>IF(Human_Data_Entry!AN342="","",Human_Data_Entry!AN342)</f>
        <v/>
      </c>
      <c r="L344" s="103">
        <f>IF(Human_Data_Entry!AO342="","",Human_Data_Entry!AO342)</f>
        <v/>
      </c>
      <c r="M344" s="103">
        <f>IF(Human_Data_Entry!BM342="","",Human_Data_Entry!BM342)</f>
        <v/>
      </c>
      <c r="N344" s="103">
        <f>IF(Human_Data_Entry!BN342="","",Human_Data_Entry!BN342)</f>
        <v/>
      </c>
      <c r="O344" s="103">
        <f>IF(Human_Data_Entry!BO342="","",Human_Data_Entry!BO342)</f>
        <v/>
      </c>
      <c r="P344" s="103">
        <f>IF(Human_Data_Entry!BP342="","",Human_Data_Entry!BP342)</f>
        <v/>
      </c>
      <c r="Q344" s="103">
        <f>IF(Human_Data_Entry!BQ342="","",Human_Data_Entry!BQ342)</f>
        <v/>
      </c>
      <c r="R344" s="103">
        <f>IF(Human_Data_Entry!BR342="","",Human_Data_Entry!BR342)</f>
        <v/>
      </c>
      <c r="S344" s="103">
        <f>IF(Human_Data_Entry!BS342="","",Human_Data_Entry!BS342)</f>
        <v/>
      </c>
      <c r="T344" s="103">
        <f>IF(Human_Data_Entry!BT342="","",Human_Data_Entry!BT342)</f>
        <v/>
      </c>
    </row>
    <row r="345" ht="15" customHeight="1" s="241">
      <c r="A345" s="103">
        <f>IF(Human_Data_Entry!A343="","",Human_Data_Entry!A343)</f>
        <v/>
      </c>
      <c r="B345" s="103">
        <f>IF(Human_Data_Entry!B343="","",Human_Data_Entry!B343)</f>
        <v/>
      </c>
      <c r="C345" s="104">
        <f>IF(Human_Data_Entry!C343="","",Human_Data_Entry!C343)</f>
        <v/>
      </c>
      <c r="D345" s="103">
        <f>IF(Human_Data_Entry!D343="","",Human_Data_Entry!D343)</f>
        <v/>
      </c>
      <c r="E345" s="103">
        <f>IF(Human_Data_Entry!G343="","",Human_Data_Entry!G343)</f>
        <v/>
      </c>
      <c r="F345" s="103">
        <f>IF(Human_Data_Entry!X343="","",Human_Data_Entry!X343)</f>
        <v/>
      </c>
      <c r="G345" s="103">
        <f>IF(Human_Data_Entry!AY343="","",Human_Data_Entry!AY343)</f>
        <v/>
      </c>
      <c r="H345" s="103">
        <f>IF(Human_Data_Entry!AZ343="","",Human_Data_Entry!AZ343)</f>
        <v/>
      </c>
      <c r="I345" s="103">
        <f>IF(Human_Data_Entry!AL343="","",Human_Data_Entry!AL343)</f>
        <v/>
      </c>
      <c r="J345" s="103">
        <f>IF(Human_Data_Entry!AM343="","",Human_Data_Entry!AM343)</f>
        <v/>
      </c>
      <c r="K345" s="103">
        <f>IF(Human_Data_Entry!AN343="","",Human_Data_Entry!AN343)</f>
        <v/>
      </c>
      <c r="L345" s="103">
        <f>IF(Human_Data_Entry!AO343="","",Human_Data_Entry!AO343)</f>
        <v/>
      </c>
      <c r="M345" s="103">
        <f>IF(Human_Data_Entry!BM343="","",Human_Data_Entry!BM343)</f>
        <v/>
      </c>
      <c r="N345" s="103">
        <f>IF(Human_Data_Entry!BN343="","",Human_Data_Entry!BN343)</f>
        <v/>
      </c>
      <c r="O345" s="103">
        <f>IF(Human_Data_Entry!BO343="","",Human_Data_Entry!BO343)</f>
        <v/>
      </c>
      <c r="P345" s="103">
        <f>IF(Human_Data_Entry!BP343="","",Human_Data_Entry!BP343)</f>
        <v/>
      </c>
      <c r="Q345" s="103">
        <f>IF(Human_Data_Entry!BQ343="","",Human_Data_Entry!BQ343)</f>
        <v/>
      </c>
      <c r="R345" s="103">
        <f>IF(Human_Data_Entry!BR343="","",Human_Data_Entry!BR343)</f>
        <v/>
      </c>
      <c r="S345" s="103">
        <f>IF(Human_Data_Entry!BS343="","",Human_Data_Entry!BS343)</f>
        <v/>
      </c>
      <c r="T345" s="103">
        <f>IF(Human_Data_Entry!BT343="","",Human_Data_Entry!BT343)</f>
        <v/>
      </c>
    </row>
    <row r="346" ht="15" customHeight="1" s="241">
      <c r="A346" s="103">
        <f>IF(Human_Data_Entry!A344="","",Human_Data_Entry!A344)</f>
        <v/>
      </c>
      <c r="B346" s="103">
        <f>IF(Human_Data_Entry!B344="","",Human_Data_Entry!B344)</f>
        <v/>
      </c>
      <c r="C346" s="104">
        <f>IF(Human_Data_Entry!C344="","",Human_Data_Entry!C344)</f>
        <v/>
      </c>
      <c r="D346" s="103">
        <f>IF(Human_Data_Entry!D344="","",Human_Data_Entry!D344)</f>
        <v/>
      </c>
      <c r="E346" s="103">
        <f>IF(Human_Data_Entry!G344="","",Human_Data_Entry!G344)</f>
        <v/>
      </c>
      <c r="F346" s="103">
        <f>IF(Human_Data_Entry!X344="","",Human_Data_Entry!X344)</f>
        <v/>
      </c>
      <c r="G346" s="103">
        <f>IF(Human_Data_Entry!AY344="","",Human_Data_Entry!AY344)</f>
        <v/>
      </c>
      <c r="H346" s="103">
        <f>IF(Human_Data_Entry!AZ344="","",Human_Data_Entry!AZ344)</f>
        <v/>
      </c>
      <c r="I346" s="103">
        <f>IF(Human_Data_Entry!AL344="","",Human_Data_Entry!AL344)</f>
        <v/>
      </c>
      <c r="J346" s="103">
        <f>IF(Human_Data_Entry!AM344="","",Human_Data_Entry!AM344)</f>
        <v/>
      </c>
      <c r="K346" s="103">
        <f>IF(Human_Data_Entry!AN344="","",Human_Data_Entry!AN344)</f>
        <v/>
      </c>
      <c r="L346" s="103">
        <f>IF(Human_Data_Entry!AO344="","",Human_Data_Entry!AO344)</f>
        <v/>
      </c>
      <c r="M346" s="103">
        <f>IF(Human_Data_Entry!BM344="","",Human_Data_Entry!BM344)</f>
        <v/>
      </c>
      <c r="N346" s="103">
        <f>IF(Human_Data_Entry!BN344="","",Human_Data_Entry!BN344)</f>
        <v/>
      </c>
      <c r="O346" s="103">
        <f>IF(Human_Data_Entry!BO344="","",Human_Data_Entry!BO344)</f>
        <v/>
      </c>
      <c r="P346" s="103">
        <f>IF(Human_Data_Entry!BP344="","",Human_Data_Entry!BP344)</f>
        <v/>
      </c>
      <c r="Q346" s="103">
        <f>IF(Human_Data_Entry!BQ344="","",Human_Data_Entry!BQ344)</f>
        <v/>
      </c>
      <c r="R346" s="103">
        <f>IF(Human_Data_Entry!BR344="","",Human_Data_Entry!BR344)</f>
        <v/>
      </c>
      <c r="S346" s="103">
        <f>IF(Human_Data_Entry!BS344="","",Human_Data_Entry!BS344)</f>
        <v/>
      </c>
      <c r="T346" s="103">
        <f>IF(Human_Data_Entry!BT344="","",Human_Data_Entry!BT344)</f>
        <v/>
      </c>
    </row>
    <row r="347" ht="15" customHeight="1" s="241">
      <c r="A347" s="103">
        <f>IF(Human_Data_Entry!A345="","",Human_Data_Entry!A345)</f>
        <v/>
      </c>
      <c r="B347" s="103">
        <f>IF(Human_Data_Entry!B345="","",Human_Data_Entry!B345)</f>
        <v/>
      </c>
      <c r="C347" s="104">
        <f>IF(Human_Data_Entry!C345="","",Human_Data_Entry!C345)</f>
        <v/>
      </c>
      <c r="D347" s="103">
        <f>IF(Human_Data_Entry!D345="","",Human_Data_Entry!D345)</f>
        <v/>
      </c>
      <c r="E347" s="103">
        <f>IF(Human_Data_Entry!G345="","",Human_Data_Entry!G345)</f>
        <v/>
      </c>
      <c r="F347" s="103">
        <f>IF(Human_Data_Entry!X345="","",Human_Data_Entry!X345)</f>
        <v/>
      </c>
      <c r="G347" s="103">
        <f>IF(Human_Data_Entry!AY345="","",Human_Data_Entry!AY345)</f>
        <v/>
      </c>
      <c r="H347" s="103">
        <f>IF(Human_Data_Entry!AZ345="","",Human_Data_Entry!AZ345)</f>
        <v/>
      </c>
      <c r="I347" s="103">
        <f>IF(Human_Data_Entry!AL345="","",Human_Data_Entry!AL345)</f>
        <v/>
      </c>
      <c r="J347" s="103">
        <f>IF(Human_Data_Entry!AM345="","",Human_Data_Entry!AM345)</f>
        <v/>
      </c>
      <c r="K347" s="103">
        <f>IF(Human_Data_Entry!AN345="","",Human_Data_Entry!AN345)</f>
        <v/>
      </c>
      <c r="L347" s="103">
        <f>IF(Human_Data_Entry!AO345="","",Human_Data_Entry!AO345)</f>
        <v/>
      </c>
      <c r="M347" s="103">
        <f>IF(Human_Data_Entry!BM345="","",Human_Data_Entry!BM345)</f>
        <v/>
      </c>
      <c r="N347" s="103">
        <f>IF(Human_Data_Entry!BN345="","",Human_Data_Entry!BN345)</f>
        <v/>
      </c>
      <c r="O347" s="103">
        <f>IF(Human_Data_Entry!BO345="","",Human_Data_Entry!BO345)</f>
        <v/>
      </c>
      <c r="P347" s="103">
        <f>IF(Human_Data_Entry!BP345="","",Human_Data_Entry!BP345)</f>
        <v/>
      </c>
      <c r="Q347" s="103">
        <f>IF(Human_Data_Entry!BQ345="","",Human_Data_Entry!BQ345)</f>
        <v/>
      </c>
      <c r="R347" s="103">
        <f>IF(Human_Data_Entry!BR345="","",Human_Data_Entry!BR345)</f>
        <v/>
      </c>
      <c r="S347" s="103">
        <f>IF(Human_Data_Entry!BS345="","",Human_Data_Entry!BS345)</f>
        <v/>
      </c>
      <c r="T347" s="103">
        <f>IF(Human_Data_Entry!BT345="","",Human_Data_Entry!BT345)</f>
        <v/>
      </c>
    </row>
    <row r="348" ht="15" customHeight="1" s="241">
      <c r="A348" s="103">
        <f>IF(Human_Data_Entry!A346="","",Human_Data_Entry!A346)</f>
        <v/>
      </c>
      <c r="B348" s="103">
        <f>IF(Human_Data_Entry!B346="","",Human_Data_Entry!B346)</f>
        <v/>
      </c>
      <c r="C348" s="104">
        <f>IF(Human_Data_Entry!C346="","",Human_Data_Entry!C346)</f>
        <v/>
      </c>
      <c r="D348" s="103">
        <f>IF(Human_Data_Entry!D346="","",Human_Data_Entry!D346)</f>
        <v/>
      </c>
      <c r="E348" s="103">
        <f>IF(Human_Data_Entry!G346="","",Human_Data_Entry!G346)</f>
        <v/>
      </c>
      <c r="F348" s="103">
        <f>IF(Human_Data_Entry!X346="","",Human_Data_Entry!X346)</f>
        <v/>
      </c>
      <c r="G348" s="103">
        <f>IF(Human_Data_Entry!AY346="","",Human_Data_Entry!AY346)</f>
        <v/>
      </c>
      <c r="H348" s="103">
        <f>IF(Human_Data_Entry!AZ346="","",Human_Data_Entry!AZ346)</f>
        <v/>
      </c>
      <c r="I348" s="103">
        <f>IF(Human_Data_Entry!AL346="","",Human_Data_Entry!AL346)</f>
        <v/>
      </c>
      <c r="J348" s="103">
        <f>IF(Human_Data_Entry!AM346="","",Human_Data_Entry!AM346)</f>
        <v/>
      </c>
      <c r="K348" s="103">
        <f>IF(Human_Data_Entry!AN346="","",Human_Data_Entry!AN346)</f>
        <v/>
      </c>
      <c r="L348" s="103">
        <f>IF(Human_Data_Entry!AO346="","",Human_Data_Entry!AO346)</f>
        <v/>
      </c>
      <c r="M348" s="103">
        <f>IF(Human_Data_Entry!BM346="","",Human_Data_Entry!BM346)</f>
        <v/>
      </c>
      <c r="N348" s="103">
        <f>IF(Human_Data_Entry!BN346="","",Human_Data_Entry!BN346)</f>
        <v/>
      </c>
      <c r="O348" s="103">
        <f>IF(Human_Data_Entry!BO346="","",Human_Data_Entry!BO346)</f>
        <v/>
      </c>
      <c r="P348" s="103">
        <f>IF(Human_Data_Entry!BP346="","",Human_Data_Entry!BP346)</f>
        <v/>
      </c>
      <c r="Q348" s="103">
        <f>IF(Human_Data_Entry!BQ346="","",Human_Data_Entry!BQ346)</f>
        <v/>
      </c>
      <c r="R348" s="103">
        <f>IF(Human_Data_Entry!BR346="","",Human_Data_Entry!BR346)</f>
        <v/>
      </c>
      <c r="S348" s="103">
        <f>IF(Human_Data_Entry!BS346="","",Human_Data_Entry!BS346)</f>
        <v/>
      </c>
      <c r="T348" s="103">
        <f>IF(Human_Data_Entry!BT346="","",Human_Data_Entry!BT346)</f>
        <v/>
      </c>
    </row>
    <row r="349" ht="15" customHeight="1" s="241">
      <c r="A349" s="103">
        <f>IF(Human_Data_Entry!A347="","",Human_Data_Entry!A347)</f>
        <v/>
      </c>
      <c r="B349" s="103">
        <f>IF(Human_Data_Entry!B347="","",Human_Data_Entry!B347)</f>
        <v/>
      </c>
      <c r="C349" s="104">
        <f>IF(Human_Data_Entry!C347="","",Human_Data_Entry!C347)</f>
        <v/>
      </c>
      <c r="D349" s="103">
        <f>IF(Human_Data_Entry!D347="","",Human_Data_Entry!D347)</f>
        <v/>
      </c>
      <c r="E349" s="103">
        <f>IF(Human_Data_Entry!G347="","",Human_Data_Entry!G347)</f>
        <v/>
      </c>
      <c r="F349" s="103">
        <f>IF(Human_Data_Entry!X347="","",Human_Data_Entry!X347)</f>
        <v/>
      </c>
      <c r="G349" s="103">
        <f>IF(Human_Data_Entry!AY347="","",Human_Data_Entry!AY347)</f>
        <v/>
      </c>
      <c r="H349" s="103">
        <f>IF(Human_Data_Entry!AZ347="","",Human_Data_Entry!AZ347)</f>
        <v/>
      </c>
      <c r="I349" s="103">
        <f>IF(Human_Data_Entry!AL347="","",Human_Data_Entry!AL347)</f>
        <v/>
      </c>
      <c r="J349" s="103">
        <f>IF(Human_Data_Entry!AM347="","",Human_Data_Entry!AM347)</f>
        <v/>
      </c>
      <c r="K349" s="103">
        <f>IF(Human_Data_Entry!AN347="","",Human_Data_Entry!AN347)</f>
        <v/>
      </c>
      <c r="L349" s="103">
        <f>IF(Human_Data_Entry!AO347="","",Human_Data_Entry!AO347)</f>
        <v/>
      </c>
      <c r="M349" s="103">
        <f>IF(Human_Data_Entry!BM347="","",Human_Data_Entry!BM347)</f>
        <v/>
      </c>
      <c r="N349" s="103">
        <f>IF(Human_Data_Entry!BN347="","",Human_Data_Entry!BN347)</f>
        <v/>
      </c>
      <c r="O349" s="103">
        <f>IF(Human_Data_Entry!BO347="","",Human_Data_Entry!BO347)</f>
        <v/>
      </c>
      <c r="P349" s="103">
        <f>IF(Human_Data_Entry!BP347="","",Human_Data_Entry!BP347)</f>
        <v/>
      </c>
      <c r="Q349" s="103">
        <f>IF(Human_Data_Entry!BQ347="","",Human_Data_Entry!BQ347)</f>
        <v/>
      </c>
      <c r="R349" s="103">
        <f>IF(Human_Data_Entry!BR347="","",Human_Data_Entry!BR347)</f>
        <v/>
      </c>
      <c r="S349" s="103">
        <f>IF(Human_Data_Entry!BS347="","",Human_Data_Entry!BS347)</f>
        <v/>
      </c>
      <c r="T349" s="103">
        <f>IF(Human_Data_Entry!BT347="","",Human_Data_Entry!BT347)</f>
        <v/>
      </c>
    </row>
    <row r="350" ht="15" customHeight="1" s="241">
      <c r="A350" s="103">
        <f>IF(Human_Data_Entry!A348="","",Human_Data_Entry!A348)</f>
        <v/>
      </c>
      <c r="B350" s="103">
        <f>IF(Human_Data_Entry!B348="","",Human_Data_Entry!B348)</f>
        <v/>
      </c>
      <c r="C350" s="104">
        <f>IF(Human_Data_Entry!C348="","",Human_Data_Entry!C348)</f>
        <v/>
      </c>
      <c r="D350" s="103">
        <f>IF(Human_Data_Entry!D348="","",Human_Data_Entry!D348)</f>
        <v/>
      </c>
      <c r="E350" s="103">
        <f>IF(Human_Data_Entry!G348="","",Human_Data_Entry!G348)</f>
        <v/>
      </c>
      <c r="F350" s="103">
        <f>IF(Human_Data_Entry!X348="","",Human_Data_Entry!X348)</f>
        <v/>
      </c>
      <c r="G350" s="103">
        <f>IF(Human_Data_Entry!AY348="","",Human_Data_Entry!AY348)</f>
        <v/>
      </c>
      <c r="H350" s="103">
        <f>IF(Human_Data_Entry!AZ348="","",Human_Data_Entry!AZ348)</f>
        <v/>
      </c>
      <c r="I350" s="103">
        <f>IF(Human_Data_Entry!AL348="","",Human_Data_Entry!AL348)</f>
        <v/>
      </c>
      <c r="J350" s="103">
        <f>IF(Human_Data_Entry!AM348="","",Human_Data_Entry!AM348)</f>
        <v/>
      </c>
      <c r="K350" s="103">
        <f>IF(Human_Data_Entry!AN348="","",Human_Data_Entry!AN348)</f>
        <v/>
      </c>
      <c r="L350" s="103">
        <f>IF(Human_Data_Entry!AO348="","",Human_Data_Entry!AO348)</f>
        <v/>
      </c>
      <c r="M350" s="103">
        <f>IF(Human_Data_Entry!BM348="","",Human_Data_Entry!BM348)</f>
        <v/>
      </c>
      <c r="N350" s="103">
        <f>IF(Human_Data_Entry!BN348="","",Human_Data_Entry!BN348)</f>
        <v/>
      </c>
      <c r="O350" s="103">
        <f>IF(Human_Data_Entry!BO348="","",Human_Data_Entry!BO348)</f>
        <v/>
      </c>
      <c r="P350" s="103">
        <f>IF(Human_Data_Entry!BP348="","",Human_Data_Entry!BP348)</f>
        <v/>
      </c>
      <c r="Q350" s="103">
        <f>IF(Human_Data_Entry!BQ348="","",Human_Data_Entry!BQ348)</f>
        <v/>
      </c>
      <c r="R350" s="103">
        <f>IF(Human_Data_Entry!BR348="","",Human_Data_Entry!BR348)</f>
        <v/>
      </c>
      <c r="S350" s="103">
        <f>IF(Human_Data_Entry!BS348="","",Human_Data_Entry!BS348)</f>
        <v/>
      </c>
      <c r="T350" s="103">
        <f>IF(Human_Data_Entry!BT348="","",Human_Data_Entry!BT348)</f>
        <v/>
      </c>
    </row>
    <row r="351" ht="15" customHeight="1" s="241">
      <c r="A351" s="103">
        <f>IF(Human_Data_Entry!A349="","",Human_Data_Entry!A349)</f>
        <v/>
      </c>
      <c r="B351" s="103">
        <f>IF(Human_Data_Entry!B349="","",Human_Data_Entry!B349)</f>
        <v/>
      </c>
      <c r="C351" s="104">
        <f>IF(Human_Data_Entry!C349="","",Human_Data_Entry!C349)</f>
        <v/>
      </c>
      <c r="D351" s="103">
        <f>IF(Human_Data_Entry!D349="","",Human_Data_Entry!D349)</f>
        <v/>
      </c>
      <c r="E351" s="103">
        <f>IF(Human_Data_Entry!G349="","",Human_Data_Entry!G349)</f>
        <v/>
      </c>
      <c r="F351" s="103">
        <f>IF(Human_Data_Entry!X349="","",Human_Data_Entry!X349)</f>
        <v/>
      </c>
      <c r="G351" s="103">
        <f>IF(Human_Data_Entry!AY349="","",Human_Data_Entry!AY349)</f>
        <v/>
      </c>
      <c r="H351" s="103">
        <f>IF(Human_Data_Entry!AZ349="","",Human_Data_Entry!AZ349)</f>
        <v/>
      </c>
      <c r="I351" s="103">
        <f>IF(Human_Data_Entry!AL349="","",Human_Data_Entry!AL349)</f>
        <v/>
      </c>
      <c r="J351" s="103">
        <f>IF(Human_Data_Entry!AM349="","",Human_Data_Entry!AM349)</f>
        <v/>
      </c>
      <c r="K351" s="103">
        <f>IF(Human_Data_Entry!AN349="","",Human_Data_Entry!AN349)</f>
        <v/>
      </c>
      <c r="L351" s="103">
        <f>IF(Human_Data_Entry!AO349="","",Human_Data_Entry!AO349)</f>
        <v/>
      </c>
      <c r="M351" s="103">
        <f>IF(Human_Data_Entry!BM349="","",Human_Data_Entry!BM349)</f>
        <v/>
      </c>
      <c r="N351" s="103">
        <f>IF(Human_Data_Entry!BN349="","",Human_Data_Entry!BN349)</f>
        <v/>
      </c>
      <c r="O351" s="103">
        <f>IF(Human_Data_Entry!BO349="","",Human_Data_Entry!BO349)</f>
        <v/>
      </c>
      <c r="P351" s="103">
        <f>IF(Human_Data_Entry!BP349="","",Human_Data_Entry!BP349)</f>
        <v/>
      </c>
      <c r="Q351" s="103">
        <f>IF(Human_Data_Entry!BQ349="","",Human_Data_Entry!BQ349)</f>
        <v/>
      </c>
      <c r="R351" s="103">
        <f>IF(Human_Data_Entry!BR349="","",Human_Data_Entry!BR349)</f>
        <v/>
      </c>
      <c r="S351" s="103">
        <f>IF(Human_Data_Entry!BS349="","",Human_Data_Entry!BS349)</f>
        <v/>
      </c>
      <c r="T351" s="103">
        <f>IF(Human_Data_Entry!BT349="","",Human_Data_Entry!BT349)</f>
        <v/>
      </c>
    </row>
    <row r="352" ht="15" customHeight="1" s="241">
      <c r="A352" s="103">
        <f>IF(Human_Data_Entry!A350="","",Human_Data_Entry!A350)</f>
        <v/>
      </c>
      <c r="B352" s="103">
        <f>IF(Human_Data_Entry!B350="","",Human_Data_Entry!B350)</f>
        <v/>
      </c>
      <c r="C352" s="104">
        <f>IF(Human_Data_Entry!C350="","",Human_Data_Entry!C350)</f>
        <v/>
      </c>
      <c r="D352" s="103">
        <f>IF(Human_Data_Entry!D350="","",Human_Data_Entry!D350)</f>
        <v/>
      </c>
      <c r="E352" s="103">
        <f>IF(Human_Data_Entry!G350="","",Human_Data_Entry!G350)</f>
        <v/>
      </c>
      <c r="F352" s="103">
        <f>IF(Human_Data_Entry!X350="","",Human_Data_Entry!X350)</f>
        <v/>
      </c>
      <c r="G352" s="103">
        <f>IF(Human_Data_Entry!AY350="","",Human_Data_Entry!AY350)</f>
        <v/>
      </c>
      <c r="H352" s="103">
        <f>IF(Human_Data_Entry!AZ350="","",Human_Data_Entry!AZ350)</f>
        <v/>
      </c>
      <c r="I352" s="103">
        <f>IF(Human_Data_Entry!AL350="","",Human_Data_Entry!AL350)</f>
        <v/>
      </c>
      <c r="J352" s="103">
        <f>IF(Human_Data_Entry!AM350="","",Human_Data_Entry!AM350)</f>
        <v/>
      </c>
      <c r="K352" s="103">
        <f>IF(Human_Data_Entry!AN350="","",Human_Data_Entry!AN350)</f>
        <v/>
      </c>
      <c r="L352" s="103">
        <f>IF(Human_Data_Entry!AO350="","",Human_Data_Entry!AO350)</f>
        <v/>
      </c>
      <c r="M352" s="103">
        <f>IF(Human_Data_Entry!BM350="","",Human_Data_Entry!BM350)</f>
        <v/>
      </c>
      <c r="N352" s="103">
        <f>IF(Human_Data_Entry!BN350="","",Human_Data_Entry!BN350)</f>
        <v/>
      </c>
      <c r="O352" s="103">
        <f>IF(Human_Data_Entry!BO350="","",Human_Data_Entry!BO350)</f>
        <v/>
      </c>
      <c r="P352" s="103">
        <f>IF(Human_Data_Entry!BP350="","",Human_Data_Entry!BP350)</f>
        <v/>
      </c>
      <c r="Q352" s="103">
        <f>IF(Human_Data_Entry!BQ350="","",Human_Data_Entry!BQ350)</f>
        <v/>
      </c>
      <c r="R352" s="103">
        <f>IF(Human_Data_Entry!BR350="","",Human_Data_Entry!BR350)</f>
        <v/>
      </c>
      <c r="S352" s="103">
        <f>IF(Human_Data_Entry!BS350="","",Human_Data_Entry!BS350)</f>
        <v/>
      </c>
      <c r="T352" s="103">
        <f>IF(Human_Data_Entry!BT350="","",Human_Data_Entry!BT350)</f>
        <v/>
      </c>
    </row>
    <row r="353" ht="15" customHeight="1" s="241">
      <c r="A353" s="103">
        <f>IF(Human_Data_Entry!A351="","",Human_Data_Entry!A351)</f>
        <v/>
      </c>
      <c r="B353" s="103">
        <f>IF(Human_Data_Entry!B351="","",Human_Data_Entry!B351)</f>
        <v/>
      </c>
      <c r="C353" s="104">
        <f>IF(Human_Data_Entry!C351="","",Human_Data_Entry!C351)</f>
        <v/>
      </c>
      <c r="D353" s="103">
        <f>IF(Human_Data_Entry!D351="","",Human_Data_Entry!D351)</f>
        <v/>
      </c>
      <c r="E353" s="103">
        <f>IF(Human_Data_Entry!G351="","",Human_Data_Entry!G351)</f>
        <v/>
      </c>
      <c r="F353" s="103">
        <f>IF(Human_Data_Entry!X351="","",Human_Data_Entry!X351)</f>
        <v/>
      </c>
      <c r="G353" s="103">
        <f>IF(Human_Data_Entry!AY351="","",Human_Data_Entry!AY351)</f>
        <v/>
      </c>
      <c r="H353" s="103">
        <f>IF(Human_Data_Entry!AZ351="","",Human_Data_Entry!AZ351)</f>
        <v/>
      </c>
      <c r="I353" s="103">
        <f>IF(Human_Data_Entry!AL351="","",Human_Data_Entry!AL351)</f>
        <v/>
      </c>
      <c r="J353" s="103">
        <f>IF(Human_Data_Entry!AM351="","",Human_Data_Entry!AM351)</f>
        <v/>
      </c>
      <c r="K353" s="103">
        <f>IF(Human_Data_Entry!AN351="","",Human_Data_Entry!AN351)</f>
        <v/>
      </c>
      <c r="L353" s="103">
        <f>IF(Human_Data_Entry!AO351="","",Human_Data_Entry!AO351)</f>
        <v/>
      </c>
      <c r="M353" s="103">
        <f>IF(Human_Data_Entry!BM351="","",Human_Data_Entry!BM351)</f>
        <v/>
      </c>
      <c r="N353" s="103">
        <f>IF(Human_Data_Entry!BN351="","",Human_Data_Entry!BN351)</f>
        <v/>
      </c>
      <c r="O353" s="103">
        <f>IF(Human_Data_Entry!BO351="","",Human_Data_Entry!BO351)</f>
        <v/>
      </c>
      <c r="P353" s="103">
        <f>IF(Human_Data_Entry!BP351="","",Human_Data_Entry!BP351)</f>
        <v/>
      </c>
      <c r="Q353" s="103">
        <f>IF(Human_Data_Entry!BQ351="","",Human_Data_Entry!BQ351)</f>
        <v/>
      </c>
      <c r="R353" s="103">
        <f>IF(Human_Data_Entry!BR351="","",Human_Data_Entry!BR351)</f>
        <v/>
      </c>
      <c r="S353" s="103">
        <f>IF(Human_Data_Entry!BS351="","",Human_Data_Entry!BS351)</f>
        <v/>
      </c>
      <c r="T353" s="103">
        <f>IF(Human_Data_Entry!BT351="","",Human_Data_Entry!BT351)</f>
        <v/>
      </c>
    </row>
    <row r="354" ht="15" customHeight="1" s="241">
      <c r="A354" s="103">
        <f>IF(Human_Data_Entry!A352="","",Human_Data_Entry!A352)</f>
        <v/>
      </c>
      <c r="B354" s="103">
        <f>IF(Human_Data_Entry!B352="","",Human_Data_Entry!B352)</f>
        <v/>
      </c>
      <c r="C354" s="104">
        <f>IF(Human_Data_Entry!C352="","",Human_Data_Entry!C352)</f>
        <v/>
      </c>
      <c r="D354" s="103">
        <f>IF(Human_Data_Entry!D352="","",Human_Data_Entry!D352)</f>
        <v/>
      </c>
      <c r="E354" s="103">
        <f>IF(Human_Data_Entry!G352="","",Human_Data_Entry!G352)</f>
        <v/>
      </c>
      <c r="F354" s="103">
        <f>IF(Human_Data_Entry!X352="","",Human_Data_Entry!X352)</f>
        <v/>
      </c>
      <c r="G354" s="103">
        <f>IF(Human_Data_Entry!AY352="","",Human_Data_Entry!AY352)</f>
        <v/>
      </c>
      <c r="H354" s="103">
        <f>IF(Human_Data_Entry!AZ352="","",Human_Data_Entry!AZ352)</f>
        <v/>
      </c>
      <c r="I354" s="103">
        <f>IF(Human_Data_Entry!AL352="","",Human_Data_Entry!AL352)</f>
        <v/>
      </c>
      <c r="J354" s="103">
        <f>IF(Human_Data_Entry!AM352="","",Human_Data_Entry!AM352)</f>
        <v/>
      </c>
      <c r="K354" s="103">
        <f>IF(Human_Data_Entry!AN352="","",Human_Data_Entry!AN352)</f>
        <v/>
      </c>
      <c r="L354" s="103">
        <f>IF(Human_Data_Entry!AO352="","",Human_Data_Entry!AO352)</f>
        <v/>
      </c>
      <c r="M354" s="103">
        <f>IF(Human_Data_Entry!BM352="","",Human_Data_Entry!BM352)</f>
        <v/>
      </c>
      <c r="N354" s="103">
        <f>IF(Human_Data_Entry!BN352="","",Human_Data_Entry!BN352)</f>
        <v/>
      </c>
      <c r="O354" s="103">
        <f>IF(Human_Data_Entry!BO352="","",Human_Data_Entry!BO352)</f>
        <v/>
      </c>
      <c r="P354" s="103">
        <f>IF(Human_Data_Entry!BP352="","",Human_Data_Entry!BP352)</f>
        <v/>
      </c>
      <c r="Q354" s="103">
        <f>IF(Human_Data_Entry!BQ352="","",Human_Data_Entry!BQ352)</f>
        <v/>
      </c>
      <c r="R354" s="103">
        <f>IF(Human_Data_Entry!BR352="","",Human_Data_Entry!BR352)</f>
        <v/>
      </c>
      <c r="S354" s="103">
        <f>IF(Human_Data_Entry!BS352="","",Human_Data_Entry!BS352)</f>
        <v/>
      </c>
      <c r="T354" s="103">
        <f>IF(Human_Data_Entry!BT352="","",Human_Data_Entry!BT352)</f>
        <v/>
      </c>
    </row>
    <row r="355" ht="15" customHeight="1" s="241">
      <c r="A355" s="103">
        <f>IF(Human_Data_Entry!A353="","",Human_Data_Entry!A353)</f>
        <v/>
      </c>
      <c r="B355" s="103">
        <f>IF(Human_Data_Entry!B353="","",Human_Data_Entry!B353)</f>
        <v/>
      </c>
      <c r="C355" s="104">
        <f>IF(Human_Data_Entry!C353="","",Human_Data_Entry!C353)</f>
        <v/>
      </c>
      <c r="D355" s="103">
        <f>IF(Human_Data_Entry!D353="","",Human_Data_Entry!D353)</f>
        <v/>
      </c>
      <c r="E355" s="103">
        <f>IF(Human_Data_Entry!G353="","",Human_Data_Entry!G353)</f>
        <v/>
      </c>
      <c r="F355" s="103">
        <f>IF(Human_Data_Entry!X353="","",Human_Data_Entry!X353)</f>
        <v/>
      </c>
      <c r="G355" s="103">
        <f>IF(Human_Data_Entry!AY353="","",Human_Data_Entry!AY353)</f>
        <v/>
      </c>
      <c r="H355" s="103">
        <f>IF(Human_Data_Entry!AZ353="","",Human_Data_Entry!AZ353)</f>
        <v/>
      </c>
      <c r="I355" s="103">
        <f>IF(Human_Data_Entry!AL353="","",Human_Data_Entry!AL353)</f>
        <v/>
      </c>
      <c r="J355" s="103">
        <f>IF(Human_Data_Entry!AM353="","",Human_Data_Entry!AM353)</f>
        <v/>
      </c>
      <c r="K355" s="103">
        <f>IF(Human_Data_Entry!AN353="","",Human_Data_Entry!AN353)</f>
        <v/>
      </c>
      <c r="L355" s="103">
        <f>IF(Human_Data_Entry!AO353="","",Human_Data_Entry!AO353)</f>
        <v/>
      </c>
      <c r="M355" s="103">
        <f>IF(Human_Data_Entry!BM353="","",Human_Data_Entry!BM353)</f>
        <v/>
      </c>
      <c r="N355" s="103">
        <f>IF(Human_Data_Entry!BN353="","",Human_Data_Entry!BN353)</f>
        <v/>
      </c>
      <c r="O355" s="103">
        <f>IF(Human_Data_Entry!BO353="","",Human_Data_Entry!BO353)</f>
        <v/>
      </c>
      <c r="P355" s="103">
        <f>IF(Human_Data_Entry!BP353="","",Human_Data_Entry!BP353)</f>
        <v/>
      </c>
      <c r="Q355" s="103">
        <f>IF(Human_Data_Entry!BQ353="","",Human_Data_Entry!BQ353)</f>
        <v/>
      </c>
      <c r="R355" s="103">
        <f>IF(Human_Data_Entry!BR353="","",Human_Data_Entry!BR353)</f>
        <v/>
      </c>
      <c r="S355" s="103">
        <f>IF(Human_Data_Entry!BS353="","",Human_Data_Entry!BS353)</f>
        <v/>
      </c>
      <c r="T355" s="103">
        <f>IF(Human_Data_Entry!BT353="","",Human_Data_Entry!BT353)</f>
        <v/>
      </c>
    </row>
    <row r="356" ht="15" customHeight="1" s="241">
      <c r="A356" s="103">
        <f>IF(Human_Data_Entry!A354="","",Human_Data_Entry!A354)</f>
        <v/>
      </c>
      <c r="B356" s="103">
        <f>IF(Human_Data_Entry!B354="","",Human_Data_Entry!B354)</f>
        <v/>
      </c>
      <c r="C356" s="104">
        <f>IF(Human_Data_Entry!C354="","",Human_Data_Entry!C354)</f>
        <v/>
      </c>
      <c r="D356" s="103">
        <f>IF(Human_Data_Entry!D354="","",Human_Data_Entry!D354)</f>
        <v/>
      </c>
      <c r="E356" s="103">
        <f>IF(Human_Data_Entry!G354="","",Human_Data_Entry!G354)</f>
        <v/>
      </c>
      <c r="F356" s="103">
        <f>IF(Human_Data_Entry!X354="","",Human_Data_Entry!X354)</f>
        <v/>
      </c>
      <c r="G356" s="103">
        <f>IF(Human_Data_Entry!AY354="","",Human_Data_Entry!AY354)</f>
        <v/>
      </c>
      <c r="H356" s="103">
        <f>IF(Human_Data_Entry!AZ354="","",Human_Data_Entry!AZ354)</f>
        <v/>
      </c>
      <c r="I356" s="103">
        <f>IF(Human_Data_Entry!AL354="","",Human_Data_Entry!AL354)</f>
        <v/>
      </c>
      <c r="J356" s="103">
        <f>IF(Human_Data_Entry!AM354="","",Human_Data_Entry!AM354)</f>
        <v/>
      </c>
      <c r="K356" s="103">
        <f>IF(Human_Data_Entry!AN354="","",Human_Data_Entry!AN354)</f>
        <v/>
      </c>
      <c r="L356" s="103">
        <f>IF(Human_Data_Entry!AO354="","",Human_Data_Entry!AO354)</f>
        <v/>
      </c>
      <c r="M356" s="103">
        <f>IF(Human_Data_Entry!BM354="","",Human_Data_Entry!BM354)</f>
        <v/>
      </c>
      <c r="N356" s="103">
        <f>IF(Human_Data_Entry!BN354="","",Human_Data_Entry!BN354)</f>
        <v/>
      </c>
      <c r="O356" s="103">
        <f>IF(Human_Data_Entry!BO354="","",Human_Data_Entry!BO354)</f>
        <v/>
      </c>
      <c r="P356" s="103">
        <f>IF(Human_Data_Entry!BP354="","",Human_Data_Entry!BP354)</f>
        <v/>
      </c>
      <c r="Q356" s="103">
        <f>IF(Human_Data_Entry!BQ354="","",Human_Data_Entry!BQ354)</f>
        <v/>
      </c>
      <c r="R356" s="103">
        <f>IF(Human_Data_Entry!BR354="","",Human_Data_Entry!BR354)</f>
        <v/>
      </c>
      <c r="S356" s="103">
        <f>IF(Human_Data_Entry!BS354="","",Human_Data_Entry!BS354)</f>
        <v/>
      </c>
      <c r="T356" s="103">
        <f>IF(Human_Data_Entry!BT354="","",Human_Data_Entry!BT354)</f>
        <v/>
      </c>
    </row>
    <row r="357" ht="15" customHeight="1" s="241">
      <c r="A357" s="103">
        <f>IF(Human_Data_Entry!A355="","",Human_Data_Entry!A355)</f>
        <v/>
      </c>
      <c r="B357" s="103">
        <f>IF(Human_Data_Entry!B355="","",Human_Data_Entry!B355)</f>
        <v/>
      </c>
      <c r="C357" s="104">
        <f>IF(Human_Data_Entry!C355="","",Human_Data_Entry!C355)</f>
        <v/>
      </c>
      <c r="D357" s="103">
        <f>IF(Human_Data_Entry!D355="","",Human_Data_Entry!D355)</f>
        <v/>
      </c>
      <c r="E357" s="103">
        <f>IF(Human_Data_Entry!G355="","",Human_Data_Entry!G355)</f>
        <v/>
      </c>
      <c r="F357" s="103">
        <f>IF(Human_Data_Entry!X355="","",Human_Data_Entry!X355)</f>
        <v/>
      </c>
      <c r="G357" s="103">
        <f>IF(Human_Data_Entry!AY355="","",Human_Data_Entry!AY355)</f>
        <v/>
      </c>
      <c r="H357" s="103">
        <f>IF(Human_Data_Entry!AZ355="","",Human_Data_Entry!AZ355)</f>
        <v/>
      </c>
      <c r="I357" s="103">
        <f>IF(Human_Data_Entry!AL355="","",Human_Data_Entry!AL355)</f>
        <v/>
      </c>
      <c r="J357" s="103">
        <f>IF(Human_Data_Entry!AM355="","",Human_Data_Entry!AM355)</f>
        <v/>
      </c>
      <c r="K357" s="103">
        <f>IF(Human_Data_Entry!AN355="","",Human_Data_Entry!AN355)</f>
        <v/>
      </c>
      <c r="L357" s="103">
        <f>IF(Human_Data_Entry!AO355="","",Human_Data_Entry!AO355)</f>
        <v/>
      </c>
      <c r="M357" s="103">
        <f>IF(Human_Data_Entry!BM355="","",Human_Data_Entry!BM355)</f>
        <v/>
      </c>
      <c r="N357" s="103">
        <f>IF(Human_Data_Entry!BN355="","",Human_Data_Entry!BN355)</f>
        <v/>
      </c>
      <c r="O357" s="103">
        <f>IF(Human_Data_Entry!BO355="","",Human_Data_Entry!BO355)</f>
        <v/>
      </c>
      <c r="P357" s="103">
        <f>IF(Human_Data_Entry!BP355="","",Human_Data_Entry!BP355)</f>
        <v/>
      </c>
      <c r="Q357" s="103">
        <f>IF(Human_Data_Entry!BQ355="","",Human_Data_Entry!BQ355)</f>
        <v/>
      </c>
      <c r="R357" s="103">
        <f>IF(Human_Data_Entry!BR355="","",Human_Data_Entry!BR355)</f>
        <v/>
      </c>
      <c r="S357" s="103">
        <f>IF(Human_Data_Entry!BS355="","",Human_Data_Entry!BS355)</f>
        <v/>
      </c>
      <c r="T357" s="103">
        <f>IF(Human_Data_Entry!BT355="","",Human_Data_Entry!BT355)</f>
        <v/>
      </c>
    </row>
    <row r="358" ht="15" customHeight="1" s="241">
      <c r="A358" s="103">
        <f>IF(Human_Data_Entry!A356="","",Human_Data_Entry!A356)</f>
        <v/>
      </c>
      <c r="B358" s="103">
        <f>IF(Human_Data_Entry!B356="","",Human_Data_Entry!B356)</f>
        <v/>
      </c>
      <c r="C358" s="104">
        <f>IF(Human_Data_Entry!C356="","",Human_Data_Entry!C356)</f>
        <v/>
      </c>
      <c r="D358" s="103">
        <f>IF(Human_Data_Entry!D356="","",Human_Data_Entry!D356)</f>
        <v/>
      </c>
      <c r="E358" s="103">
        <f>IF(Human_Data_Entry!G356="","",Human_Data_Entry!G356)</f>
        <v/>
      </c>
      <c r="F358" s="103">
        <f>IF(Human_Data_Entry!X356="","",Human_Data_Entry!X356)</f>
        <v/>
      </c>
      <c r="G358" s="103">
        <f>IF(Human_Data_Entry!AY356="","",Human_Data_Entry!AY356)</f>
        <v/>
      </c>
      <c r="H358" s="103">
        <f>IF(Human_Data_Entry!AZ356="","",Human_Data_Entry!AZ356)</f>
        <v/>
      </c>
      <c r="I358" s="103">
        <f>IF(Human_Data_Entry!AL356="","",Human_Data_Entry!AL356)</f>
        <v/>
      </c>
      <c r="J358" s="103">
        <f>IF(Human_Data_Entry!AM356="","",Human_Data_Entry!AM356)</f>
        <v/>
      </c>
      <c r="K358" s="103">
        <f>IF(Human_Data_Entry!AN356="","",Human_Data_Entry!AN356)</f>
        <v/>
      </c>
      <c r="L358" s="103">
        <f>IF(Human_Data_Entry!AO356="","",Human_Data_Entry!AO356)</f>
        <v/>
      </c>
      <c r="M358" s="103">
        <f>IF(Human_Data_Entry!BM356="","",Human_Data_Entry!BM356)</f>
        <v/>
      </c>
      <c r="N358" s="103">
        <f>IF(Human_Data_Entry!BN356="","",Human_Data_Entry!BN356)</f>
        <v/>
      </c>
      <c r="O358" s="103">
        <f>IF(Human_Data_Entry!BO356="","",Human_Data_Entry!BO356)</f>
        <v/>
      </c>
      <c r="P358" s="103">
        <f>IF(Human_Data_Entry!BP356="","",Human_Data_Entry!BP356)</f>
        <v/>
      </c>
      <c r="Q358" s="103">
        <f>IF(Human_Data_Entry!BQ356="","",Human_Data_Entry!BQ356)</f>
        <v/>
      </c>
      <c r="R358" s="103">
        <f>IF(Human_Data_Entry!BR356="","",Human_Data_Entry!BR356)</f>
        <v/>
      </c>
      <c r="S358" s="103">
        <f>IF(Human_Data_Entry!BS356="","",Human_Data_Entry!BS356)</f>
        <v/>
      </c>
      <c r="T358" s="103">
        <f>IF(Human_Data_Entry!BT356="","",Human_Data_Entry!BT356)</f>
        <v/>
      </c>
    </row>
    <row r="359" ht="15" customHeight="1" s="241">
      <c r="A359" s="103">
        <f>IF(Human_Data_Entry!A357="","",Human_Data_Entry!A357)</f>
        <v/>
      </c>
      <c r="B359" s="103">
        <f>IF(Human_Data_Entry!B357="","",Human_Data_Entry!B357)</f>
        <v/>
      </c>
      <c r="C359" s="104">
        <f>IF(Human_Data_Entry!C357="","",Human_Data_Entry!C357)</f>
        <v/>
      </c>
      <c r="D359" s="103">
        <f>IF(Human_Data_Entry!D357="","",Human_Data_Entry!D357)</f>
        <v/>
      </c>
      <c r="E359" s="103">
        <f>IF(Human_Data_Entry!G357="","",Human_Data_Entry!G357)</f>
        <v/>
      </c>
      <c r="F359" s="103">
        <f>IF(Human_Data_Entry!X357="","",Human_Data_Entry!X357)</f>
        <v/>
      </c>
      <c r="G359" s="103">
        <f>IF(Human_Data_Entry!AY357="","",Human_Data_Entry!AY357)</f>
        <v/>
      </c>
      <c r="H359" s="103">
        <f>IF(Human_Data_Entry!AZ357="","",Human_Data_Entry!AZ357)</f>
        <v/>
      </c>
      <c r="I359" s="103">
        <f>IF(Human_Data_Entry!AL357="","",Human_Data_Entry!AL357)</f>
        <v/>
      </c>
      <c r="J359" s="103">
        <f>IF(Human_Data_Entry!AM357="","",Human_Data_Entry!AM357)</f>
        <v/>
      </c>
      <c r="K359" s="103">
        <f>IF(Human_Data_Entry!AN357="","",Human_Data_Entry!AN357)</f>
        <v/>
      </c>
      <c r="L359" s="103">
        <f>IF(Human_Data_Entry!AO357="","",Human_Data_Entry!AO357)</f>
        <v/>
      </c>
      <c r="M359" s="103">
        <f>IF(Human_Data_Entry!BM357="","",Human_Data_Entry!BM357)</f>
        <v/>
      </c>
      <c r="N359" s="103">
        <f>IF(Human_Data_Entry!BN357="","",Human_Data_Entry!BN357)</f>
        <v/>
      </c>
      <c r="O359" s="103">
        <f>IF(Human_Data_Entry!BO357="","",Human_Data_Entry!BO357)</f>
        <v/>
      </c>
      <c r="P359" s="103">
        <f>IF(Human_Data_Entry!BP357="","",Human_Data_Entry!BP357)</f>
        <v/>
      </c>
      <c r="Q359" s="103">
        <f>IF(Human_Data_Entry!BQ357="","",Human_Data_Entry!BQ357)</f>
        <v/>
      </c>
      <c r="R359" s="103">
        <f>IF(Human_Data_Entry!BR357="","",Human_Data_Entry!BR357)</f>
        <v/>
      </c>
      <c r="S359" s="103">
        <f>IF(Human_Data_Entry!BS357="","",Human_Data_Entry!BS357)</f>
        <v/>
      </c>
      <c r="T359" s="103">
        <f>IF(Human_Data_Entry!BT357="","",Human_Data_Entry!BT357)</f>
        <v/>
      </c>
    </row>
    <row r="360" ht="15" customHeight="1" s="241">
      <c r="A360" s="103">
        <f>IF(Human_Data_Entry!A358="","",Human_Data_Entry!A358)</f>
        <v/>
      </c>
      <c r="B360" s="103">
        <f>IF(Human_Data_Entry!B358="","",Human_Data_Entry!B358)</f>
        <v/>
      </c>
      <c r="C360" s="104">
        <f>IF(Human_Data_Entry!C358="","",Human_Data_Entry!C358)</f>
        <v/>
      </c>
      <c r="D360" s="103">
        <f>IF(Human_Data_Entry!D358="","",Human_Data_Entry!D358)</f>
        <v/>
      </c>
      <c r="E360" s="103">
        <f>IF(Human_Data_Entry!G358="","",Human_Data_Entry!G358)</f>
        <v/>
      </c>
      <c r="F360" s="103">
        <f>IF(Human_Data_Entry!X358="","",Human_Data_Entry!X358)</f>
        <v/>
      </c>
      <c r="G360" s="103">
        <f>IF(Human_Data_Entry!AY358="","",Human_Data_Entry!AY358)</f>
        <v/>
      </c>
      <c r="H360" s="103">
        <f>IF(Human_Data_Entry!AZ358="","",Human_Data_Entry!AZ358)</f>
        <v/>
      </c>
      <c r="I360" s="103">
        <f>IF(Human_Data_Entry!AL358="","",Human_Data_Entry!AL358)</f>
        <v/>
      </c>
      <c r="J360" s="103">
        <f>IF(Human_Data_Entry!AM358="","",Human_Data_Entry!AM358)</f>
        <v/>
      </c>
      <c r="K360" s="103">
        <f>IF(Human_Data_Entry!AN358="","",Human_Data_Entry!AN358)</f>
        <v/>
      </c>
      <c r="L360" s="103">
        <f>IF(Human_Data_Entry!AO358="","",Human_Data_Entry!AO358)</f>
        <v/>
      </c>
      <c r="M360" s="103">
        <f>IF(Human_Data_Entry!BM358="","",Human_Data_Entry!BM358)</f>
        <v/>
      </c>
      <c r="N360" s="103">
        <f>IF(Human_Data_Entry!BN358="","",Human_Data_Entry!BN358)</f>
        <v/>
      </c>
      <c r="O360" s="103">
        <f>IF(Human_Data_Entry!BO358="","",Human_Data_Entry!BO358)</f>
        <v/>
      </c>
      <c r="P360" s="103">
        <f>IF(Human_Data_Entry!BP358="","",Human_Data_Entry!BP358)</f>
        <v/>
      </c>
      <c r="Q360" s="103">
        <f>IF(Human_Data_Entry!BQ358="","",Human_Data_Entry!BQ358)</f>
        <v/>
      </c>
      <c r="R360" s="103">
        <f>IF(Human_Data_Entry!BR358="","",Human_Data_Entry!BR358)</f>
        <v/>
      </c>
      <c r="S360" s="103">
        <f>IF(Human_Data_Entry!BS358="","",Human_Data_Entry!BS358)</f>
        <v/>
      </c>
      <c r="T360" s="103">
        <f>IF(Human_Data_Entry!BT358="","",Human_Data_Entry!BT358)</f>
        <v/>
      </c>
    </row>
    <row r="361" ht="15" customHeight="1" s="241">
      <c r="A361" s="103">
        <f>IF(Human_Data_Entry!A359="","",Human_Data_Entry!A359)</f>
        <v/>
      </c>
      <c r="B361" s="103">
        <f>IF(Human_Data_Entry!B359="","",Human_Data_Entry!B359)</f>
        <v/>
      </c>
      <c r="C361" s="104">
        <f>IF(Human_Data_Entry!C359="","",Human_Data_Entry!C359)</f>
        <v/>
      </c>
      <c r="D361" s="103">
        <f>IF(Human_Data_Entry!D359="","",Human_Data_Entry!D359)</f>
        <v/>
      </c>
      <c r="E361" s="103">
        <f>IF(Human_Data_Entry!G359="","",Human_Data_Entry!G359)</f>
        <v/>
      </c>
      <c r="F361" s="103">
        <f>IF(Human_Data_Entry!X359="","",Human_Data_Entry!X359)</f>
        <v/>
      </c>
      <c r="G361" s="103">
        <f>IF(Human_Data_Entry!AY359="","",Human_Data_Entry!AY359)</f>
        <v/>
      </c>
      <c r="H361" s="103">
        <f>IF(Human_Data_Entry!AZ359="","",Human_Data_Entry!AZ359)</f>
        <v/>
      </c>
      <c r="I361" s="103">
        <f>IF(Human_Data_Entry!AL359="","",Human_Data_Entry!AL359)</f>
        <v/>
      </c>
      <c r="J361" s="103">
        <f>IF(Human_Data_Entry!AM359="","",Human_Data_Entry!AM359)</f>
        <v/>
      </c>
      <c r="K361" s="103">
        <f>IF(Human_Data_Entry!AN359="","",Human_Data_Entry!AN359)</f>
        <v/>
      </c>
      <c r="L361" s="103">
        <f>IF(Human_Data_Entry!AO359="","",Human_Data_Entry!AO359)</f>
        <v/>
      </c>
      <c r="M361" s="103">
        <f>IF(Human_Data_Entry!BM359="","",Human_Data_Entry!BM359)</f>
        <v/>
      </c>
      <c r="N361" s="103">
        <f>IF(Human_Data_Entry!BN359="","",Human_Data_Entry!BN359)</f>
        <v/>
      </c>
      <c r="O361" s="103">
        <f>IF(Human_Data_Entry!BO359="","",Human_Data_Entry!BO359)</f>
        <v/>
      </c>
      <c r="P361" s="103">
        <f>IF(Human_Data_Entry!BP359="","",Human_Data_Entry!BP359)</f>
        <v/>
      </c>
      <c r="Q361" s="103">
        <f>IF(Human_Data_Entry!BQ359="","",Human_Data_Entry!BQ359)</f>
        <v/>
      </c>
      <c r="R361" s="103">
        <f>IF(Human_Data_Entry!BR359="","",Human_Data_Entry!BR359)</f>
        <v/>
      </c>
      <c r="S361" s="103">
        <f>IF(Human_Data_Entry!BS359="","",Human_Data_Entry!BS359)</f>
        <v/>
      </c>
      <c r="T361" s="103">
        <f>IF(Human_Data_Entry!BT359="","",Human_Data_Entry!BT359)</f>
        <v/>
      </c>
    </row>
    <row r="362" ht="15" customHeight="1" s="241">
      <c r="A362" s="103">
        <f>IF(Human_Data_Entry!A360="","",Human_Data_Entry!A360)</f>
        <v/>
      </c>
      <c r="B362" s="103">
        <f>IF(Human_Data_Entry!B360="","",Human_Data_Entry!B360)</f>
        <v/>
      </c>
      <c r="C362" s="104">
        <f>IF(Human_Data_Entry!C360="","",Human_Data_Entry!C360)</f>
        <v/>
      </c>
      <c r="D362" s="103">
        <f>IF(Human_Data_Entry!D360="","",Human_Data_Entry!D360)</f>
        <v/>
      </c>
      <c r="E362" s="103">
        <f>IF(Human_Data_Entry!G360="","",Human_Data_Entry!G360)</f>
        <v/>
      </c>
      <c r="F362" s="103">
        <f>IF(Human_Data_Entry!X360="","",Human_Data_Entry!X360)</f>
        <v/>
      </c>
      <c r="G362" s="103">
        <f>IF(Human_Data_Entry!AY360="","",Human_Data_Entry!AY360)</f>
        <v/>
      </c>
      <c r="H362" s="103">
        <f>IF(Human_Data_Entry!AZ360="","",Human_Data_Entry!AZ360)</f>
        <v/>
      </c>
      <c r="I362" s="103">
        <f>IF(Human_Data_Entry!AL360="","",Human_Data_Entry!AL360)</f>
        <v/>
      </c>
      <c r="J362" s="103">
        <f>IF(Human_Data_Entry!AM360="","",Human_Data_Entry!AM360)</f>
        <v/>
      </c>
      <c r="K362" s="103">
        <f>IF(Human_Data_Entry!AN360="","",Human_Data_Entry!AN360)</f>
        <v/>
      </c>
      <c r="L362" s="103">
        <f>IF(Human_Data_Entry!AO360="","",Human_Data_Entry!AO360)</f>
        <v/>
      </c>
      <c r="M362" s="103">
        <f>IF(Human_Data_Entry!BM360="","",Human_Data_Entry!BM360)</f>
        <v/>
      </c>
      <c r="N362" s="103">
        <f>IF(Human_Data_Entry!BN360="","",Human_Data_Entry!BN360)</f>
        <v/>
      </c>
      <c r="O362" s="103">
        <f>IF(Human_Data_Entry!BO360="","",Human_Data_Entry!BO360)</f>
        <v/>
      </c>
      <c r="P362" s="103">
        <f>IF(Human_Data_Entry!BP360="","",Human_Data_Entry!BP360)</f>
        <v/>
      </c>
      <c r="Q362" s="103">
        <f>IF(Human_Data_Entry!BQ360="","",Human_Data_Entry!BQ360)</f>
        <v/>
      </c>
      <c r="R362" s="103">
        <f>IF(Human_Data_Entry!BR360="","",Human_Data_Entry!BR360)</f>
        <v/>
      </c>
      <c r="S362" s="103">
        <f>IF(Human_Data_Entry!BS360="","",Human_Data_Entry!BS360)</f>
        <v/>
      </c>
      <c r="T362" s="103">
        <f>IF(Human_Data_Entry!BT360="","",Human_Data_Entry!BT360)</f>
        <v/>
      </c>
    </row>
    <row r="363" ht="15" customHeight="1" s="241">
      <c r="A363" s="103">
        <f>IF(Human_Data_Entry!A361="","",Human_Data_Entry!A361)</f>
        <v/>
      </c>
      <c r="B363" s="103">
        <f>IF(Human_Data_Entry!B361="","",Human_Data_Entry!B361)</f>
        <v/>
      </c>
      <c r="C363" s="104">
        <f>IF(Human_Data_Entry!C361="","",Human_Data_Entry!C361)</f>
        <v/>
      </c>
      <c r="D363" s="103">
        <f>IF(Human_Data_Entry!D361="","",Human_Data_Entry!D361)</f>
        <v/>
      </c>
      <c r="E363" s="103">
        <f>IF(Human_Data_Entry!G361="","",Human_Data_Entry!G361)</f>
        <v/>
      </c>
      <c r="F363" s="103">
        <f>IF(Human_Data_Entry!X361="","",Human_Data_Entry!X361)</f>
        <v/>
      </c>
      <c r="G363" s="103">
        <f>IF(Human_Data_Entry!AY361="","",Human_Data_Entry!AY361)</f>
        <v/>
      </c>
      <c r="H363" s="103">
        <f>IF(Human_Data_Entry!AZ361="","",Human_Data_Entry!AZ361)</f>
        <v/>
      </c>
      <c r="I363" s="103">
        <f>IF(Human_Data_Entry!AL361="","",Human_Data_Entry!AL361)</f>
        <v/>
      </c>
      <c r="J363" s="103">
        <f>IF(Human_Data_Entry!AM361="","",Human_Data_Entry!AM361)</f>
        <v/>
      </c>
      <c r="K363" s="103">
        <f>IF(Human_Data_Entry!AN361="","",Human_Data_Entry!AN361)</f>
        <v/>
      </c>
      <c r="L363" s="103">
        <f>IF(Human_Data_Entry!AO361="","",Human_Data_Entry!AO361)</f>
        <v/>
      </c>
      <c r="M363" s="103">
        <f>IF(Human_Data_Entry!BM361="","",Human_Data_Entry!BM361)</f>
        <v/>
      </c>
      <c r="N363" s="103">
        <f>IF(Human_Data_Entry!BN361="","",Human_Data_Entry!BN361)</f>
        <v/>
      </c>
      <c r="O363" s="103">
        <f>IF(Human_Data_Entry!BO361="","",Human_Data_Entry!BO361)</f>
        <v/>
      </c>
      <c r="P363" s="103">
        <f>IF(Human_Data_Entry!BP361="","",Human_Data_Entry!BP361)</f>
        <v/>
      </c>
      <c r="Q363" s="103">
        <f>IF(Human_Data_Entry!BQ361="","",Human_Data_Entry!BQ361)</f>
        <v/>
      </c>
      <c r="R363" s="103">
        <f>IF(Human_Data_Entry!BR361="","",Human_Data_Entry!BR361)</f>
        <v/>
      </c>
      <c r="S363" s="103">
        <f>IF(Human_Data_Entry!BS361="","",Human_Data_Entry!BS361)</f>
        <v/>
      </c>
      <c r="T363" s="103">
        <f>IF(Human_Data_Entry!BT361="","",Human_Data_Entry!BT361)</f>
        <v/>
      </c>
    </row>
    <row r="364" ht="15" customHeight="1" s="241">
      <c r="A364" s="103">
        <f>IF(Human_Data_Entry!A362="","",Human_Data_Entry!A362)</f>
        <v/>
      </c>
      <c r="B364" s="103">
        <f>IF(Human_Data_Entry!B362="","",Human_Data_Entry!B362)</f>
        <v/>
      </c>
      <c r="C364" s="104">
        <f>IF(Human_Data_Entry!C362="","",Human_Data_Entry!C362)</f>
        <v/>
      </c>
      <c r="D364" s="103">
        <f>IF(Human_Data_Entry!D362="","",Human_Data_Entry!D362)</f>
        <v/>
      </c>
      <c r="E364" s="103">
        <f>IF(Human_Data_Entry!G362="","",Human_Data_Entry!G362)</f>
        <v/>
      </c>
      <c r="F364" s="103">
        <f>IF(Human_Data_Entry!X362="","",Human_Data_Entry!X362)</f>
        <v/>
      </c>
      <c r="G364" s="103">
        <f>IF(Human_Data_Entry!AY362="","",Human_Data_Entry!AY362)</f>
        <v/>
      </c>
      <c r="H364" s="103">
        <f>IF(Human_Data_Entry!AZ362="","",Human_Data_Entry!AZ362)</f>
        <v/>
      </c>
      <c r="I364" s="103">
        <f>IF(Human_Data_Entry!AL362="","",Human_Data_Entry!AL362)</f>
        <v/>
      </c>
      <c r="J364" s="103">
        <f>IF(Human_Data_Entry!AM362="","",Human_Data_Entry!AM362)</f>
        <v/>
      </c>
      <c r="K364" s="103">
        <f>IF(Human_Data_Entry!AN362="","",Human_Data_Entry!AN362)</f>
        <v/>
      </c>
      <c r="L364" s="103">
        <f>IF(Human_Data_Entry!AO362="","",Human_Data_Entry!AO362)</f>
        <v/>
      </c>
      <c r="M364" s="103">
        <f>IF(Human_Data_Entry!BM362="","",Human_Data_Entry!BM362)</f>
        <v/>
      </c>
      <c r="N364" s="103">
        <f>IF(Human_Data_Entry!BN362="","",Human_Data_Entry!BN362)</f>
        <v/>
      </c>
      <c r="O364" s="103">
        <f>IF(Human_Data_Entry!BO362="","",Human_Data_Entry!BO362)</f>
        <v/>
      </c>
      <c r="P364" s="103">
        <f>IF(Human_Data_Entry!BP362="","",Human_Data_Entry!BP362)</f>
        <v/>
      </c>
      <c r="Q364" s="103">
        <f>IF(Human_Data_Entry!BQ362="","",Human_Data_Entry!BQ362)</f>
        <v/>
      </c>
      <c r="R364" s="103">
        <f>IF(Human_Data_Entry!BR362="","",Human_Data_Entry!BR362)</f>
        <v/>
      </c>
      <c r="S364" s="103">
        <f>IF(Human_Data_Entry!BS362="","",Human_Data_Entry!BS362)</f>
        <v/>
      </c>
      <c r="T364" s="103">
        <f>IF(Human_Data_Entry!BT362="","",Human_Data_Entry!BT362)</f>
        <v/>
      </c>
    </row>
    <row r="365" ht="15" customHeight="1" s="241">
      <c r="A365" s="103">
        <f>IF(Human_Data_Entry!A363="","",Human_Data_Entry!A363)</f>
        <v/>
      </c>
      <c r="B365" s="103">
        <f>IF(Human_Data_Entry!B363="","",Human_Data_Entry!B363)</f>
        <v/>
      </c>
      <c r="C365" s="104">
        <f>IF(Human_Data_Entry!C363="","",Human_Data_Entry!C363)</f>
        <v/>
      </c>
      <c r="D365" s="103">
        <f>IF(Human_Data_Entry!D363="","",Human_Data_Entry!D363)</f>
        <v/>
      </c>
      <c r="E365" s="103">
        <f>IF(Human_Data_Entry!G363="","",Human_Data_Entry!G363)</f>
        <v/>
      </c>
      <c r="F365" s="103">
        <f>IF(Human_Data_Entry!X363="","",Human_Data_Entry!X363)</f>
        <v/>
      </c>
      <c r="G365" s="103">
        <f>IF(Human_Data_Entry!AY363="","",Human_Data_Entry!AY363)</f>
        <v/>
      </c>
      <c r="H365" s="103">
        <f>IF(Human_Data_Entry!AZ363="","",Human_Data_Entry!AZ363)</f>
        <v/>
      </c>
      <c r="I365" s="103">
        <f>IF(Human_Data_Entry!AL363="","",Human_Data_Entry!AL363)</f>
        <v/>
      </c>
      <c r="J365" s="103">
        <f>IF(Human_Data_Entry!AM363="","",Human_Data_Entry!AM363)</f>
        <v/>
      </c>
      <c r="K365" s="103">
        <f>IF(Human_Data_Entry!AN363="","",Human_Data_Entry!AN363)</f>
        <v/>
      </c>
      <c r="L365" s="103">
        <f>IF(Human_Data_Entry!AO363="","",Human_Data_Entry!AO363)</f>
        <v/>
      </c>
      <c r="M365" s="103">
        <f>IF(Human_Data_Entry!BM363="","",Human_Data_Entry!BM363)</f>
        <v/>
      </c>
      <c r="N365" s="103">
        <f>IF(Human_Data_Entry!BN363="","",Human_Data_Entry!BN363)</f>
        <v/>
      </c>
      <c r="O365" s="103">
        <f>IF(Human_Data_Entry!BO363="","",Human_Data_Entry!BO363)</f>
        <v/>
      </c>
      <c r="P365" s="103">
        <f>IF(Human_Data_Entry!BP363="","",Human_Data_Entry!BP363)</f>
        <v/>
      </c>
      <c r="Q365" s="103">
        <f>IF(Human_Data_Entry!BQ363="","",Human_Data_Entry!BQ363)</f>
        <v/>
      </c>
      <c r="R365" s="103">
        <f>IF(Human_Data_Entry!BR363="","",Human_Data_Entry!BR363)</f>
        <v/>
      </c>
      <c r="S365" s="103">
        <f>IF(Human_Data_Entry!BS363="","",Human_Data_Entry!BS363)</f>
        <v/>
      </c>
      <c r="T365" s="103">
        <f>IF(Human_Data_Entry!BT363="","",Human_Data_Entry!BT363)</f>
        <v/>
      </c>
    </row>
    <row r="366" ht="15" customHeight="1" s="241">
      <c r="A366" s="103">
        <f>IF(Human_Data_Entry!A364="","",Human_Data_Entry!A364)</f>
        <v/>
      </c>
      <c r="B366" s="103">
        <f>IF(Human_Data_Entry!B364="","",Human_Data_Entry!B364)</f>
        <v/>
      </c>
      <c r="C366" s="104">
        <f>IF(Human_Data_Entry!C364="","",Human_Data_Entry!C364)</f>
        <v/>
      </c>
      <c r="D366" s="103">
        <f>IF(Human_Data_Entry!D364="","",Human_Data_Entry!D364)</f>
        <v/>
      </c>
      <c r="E366" s="103">
        <f>IF(Human_Data_Entry!G364="","",Human_Data_Entry!G364)</f>
        <v/>
      </c>
      <c r="F366" s="103">
        <f>IF(Human_Data_Entry!X364="","",Human_Data_Entry!X364)</f>
        <v/>
      </c>
      <c r="G366" s="103">
        <f>IF(Human_Data_Entry!AY364="","",Human_Data_Entry!AY364)</f>
        <v/>
      </c>
      <c r="H366" s="103">
        <f>IF(Human_Data_Entry!AZ364="","",Human_Data_Entry!AZ364)</f>
        <v/>
      </c>
      <c r="I366" s="103">
        <f>IF(Human_Data_Entry!AL364="","",Human_Data_Entry!AL364)</f>
        <v/>
      </c>
      <c r="J366" s="103">
        <f>IF(Human_Data_Entry!AM364="","",Human_Data_Entry!AM364)</f>
        <v/>
      </c>
      <c r="K366" s="103">
        <f>IF(Human_Data_Entry!AN364="","",Human_Data_Entry!AN364)</f>
        <v/>
      </c>
      <c r="L366" s="103">
        <f>IF(Human_Data_Entry!AO364="","",Human_Data_Entry!AO364)</f>
        <v/>
      </c>
      <c r="M366" s="103">
        <f>IF(Human_Data_Entry!BM364="","",Human_Data_Entry!BM364)</f>
        <v/>
      </c>
      <c r="N366" s="103">
        <f>IF(Human_Data_Entry!BN364="","",Human_Data_Entry!BN364)</f>
        <v/>
      </c>
      <c r="O366" s="103">
        <f>IF(Human_Data_Entry!BO364="","",Human_Data_Entry!BO364)</f>
        <v/>
      </c>
      <c r="P366" s="103">
        <f>IF(Human_Data_Entry!BP364="","",Human_Data_Entry!BP364)</f>
        <v/>
      </c>
      <c r="Q366" s="103">
        <f>IF(Human_Data_Entry!BQ364="","",Human_Data_Entry!BQ364)</f>
        <v/>
      </c>
      <c r="R366" s="103">
        <f>IF(Human_Data_Entry!BR364="","",Human_Data_Entry!BR364)</f>
        <v/>
      </c>
      <c r="S366" s="103">
        <f>IF(Human_Data_Entry!BS364="","",Human_Data_Entry!BS364)</f>
        <v/>
      </c>
      <c r="T366" s="103">
        <f>IF(Human_Data_Entry!BT364="","",Human_Data_Entry!BT364)</f>
        <v/>
      </c>
    </row>
    <row r="367" ht="15" customHeight="1" s="241">
      <c r="A367" s="103">
        <f>IF(Human_Data_Entry!A365="","",Human_Data_Entry!A365)</f>
        <v/>
      </c>
      <c r="B367" s="103">
        <f>IF(Human_Data_Entry!B365="","",Human_Data_Entry!B365)</f>
        <v/>
      </c>
      <c r="C367" s="104">
        <f>IF(Human_Data_Entry!C365="","",Human_Data_Entry!C365)</f>
        <v/>
      </c>
      <c r="D367" s="103">
        <f>IF(Human_Data_Entry!D365="","",Human_Data_Entry!D365)</f>
        <v/>
      </c>
      <c r="E367" s="103">
        <f>IF(Human_Data_Entry!G365="","",Human_Data_Entry!G365)</f>
        <v/>
      </c>
      <c r="F367" s="103">
        <f>IF(Human_Data_Entry!X365="","",Human_Data_Entry!X365)</f>
        <v/>
      </c>
      <c r="G367" s="103">
        <f>IF(Human_Data_Entry!AY365="","",Human_Data_Entry!AY365)</f>
        <v/>
      </c>
      <c r="H367" s="103">
        <f>IF(Human_Data_Entry!AZ365="","",Human_Data_Entry!AZ365)</f>
        <v/>
      </c>
      <c r="I367" s="103">
        <f>IF(Human_Data_Entry!AL365="","",Human_Data_Entry!AL365)</f>
        <v/>
      </c>
      <c r="J367" s="103">
        <f>IF(Human_Data_Entry!AM365="","",Human_Data_Entry!AM365)</f>
        <v/>
      </c>
      <c r="K367" s="103">
        <f>IF(Human_Data_Entry!AN365="","",Human_Data_Entry!AN365)</f>
        <v/>
      </c>
      <c r="L367" s="103">
        <f>IF(Human_Data_Entry!AO365="","",Human_Data_Entry!AO365)</f>
        <v/>
      </c>
      <c r="M367" s="103">
        <f>IF(Human_Data_Entry!BM365="","",Human_Data_Entry!BM365)</f>
        <v/>
      </c>
      <c r="N367" s="103">
        <f>IF(Human_Data_Entry!BN365="","",Human_Data_Entry!BN365)</f>
        <v/>
      </c>
      <c r="O367" s="103">
        <f>IF(Human_Data_Entry!BO365="","",Human_Data_Entry!BO365)</f>
        <v/>
      </c>
      <c r="P367" s="103">
        <f>IF(Human_Data_Entry!BP365="","",Human_Data_Entry!BP365)</f>
        <v/>
      </c>
      <c r="Q367" s="103">
        <f>IF(Human_Data_Entry!BQ365="","",Human_Data_Entry!BQ365)</f>
        <v/>
      </c>
      <c r="R367" s="103">
        <f>IF(Human_Data_Entry!BR365="","",Human_Data_Entry!BR365)</f>
        <v/>
      </c>
      <c r="S367" s="103">
        <f>IF(Human_Data_Entry!BS365="","",Human_Data_Entry!BS365)</f>
        <v/>
      </c>
      <c r="T367" s="103">
        <f>IF(Human_Data_Entry!BT365="","",Human_Data_Entry!BT365)</f>
        <v/>
      </c>
    </row>
    <row r="368" ht="15" customHeight="1" s="241">
      <c r="A368" s="103">
        <f>IF(Human_Data_Entry!A366="","",Human_Data_Entry!A366)</f>
        <v/>
      </c>
      <c r="B368" s="103">
        <f>IF(Human_Data_Entry!B366="","",Human_Data_Entry!B366)</f>
        <v/>
      </c>
      <c r="C368" s="104">
        <f>IF(Human_Data_Entry!C366="","",Human_Data_Entry!C366)</f>
        <v/>
      </c>
      <c r="D368" s="103">
        <f>IF(Human_Data_Entry!D366="","",Human_Data_Entry!D366)</f>
        <v/>
      </c>
      <c r="E368" s="103">
        <f>IF(Human_Data_Entry!G366="","",Human_Data_Entry!G366)</f>
        <v/>
      </c>
      <c r="F368" s="103">
        <f>IF(Human_Data_Entry!X366="","",Human_Data_Entry!X366)</f>
        <v/>
      </c>
      <c r="G368" s="103">
        <f>IF(Human_Data_Entry!AY366="","",Human_Data_Entry!AY366)</f>
        <v/>
      </c>
      <c r="H368" s="103">
        <f>IF(Human_Data_Entry!AZ366="","",Human_Data_Entry!AZ366)</f>
        <v/>
      </c>
      <c r="I368" s="103">
        <f>IF(Human_Data_Entry!AL366="","",Human_Data_Entry!AL366)</f>
        <v/>
      </c>
      <c r="J368" s="103">
        <f>IF(Human_Data_Entry!AM366="","",Human_Data_Entry!AM366)</f>
        <v/>
      </c>
      <c r="K368" s="103">
        <f>IF(Human_Data_Entry!AN366="","",Human_Data_Entry!AN366)</f>
        <v/>
      </c>
      <c r="L368" s="103">
        <f>IF(Human_Data_Entry!AO366="","",Human_Data_Entry!AO366)</f>
        <v/>
      </c>
      <c r="M368" s="103">
        <f>IF(Human_Data_Entry!BM366="","",Human_Data_Entry!BM366)</f>
        <v/>
      </c>
      <c r="N368" s="103">
        <f>IF(Human_Data_Entry!BN366="","",Human_Data_Entry!BN366)</f>
        <v/>
      </c>
      <c r="O368" s="103">
        <f>IF(Human_Data_Entry!BO366="","",Human_Data_Entry!BO366)</f>
        <v/>
      </c>
      <c r="P368" s="103">
        <f>IF(Human_Data_Entry!BP366="","",Human_Data_Entry!BP366)</f>
        <v/>
      </c>
      <c r="Q368" s="103">
        <f>IF(Human_Data_Entry!BQ366="","",Human_Data_Entry!BQ366)</f>
        <v/>
      </c>
      <c r="R368" s="103">
        <f>IF(Human_Data_Entry!BR366="","",Human_Data_Entry!BR366)</f>
        <v/>
      </c>
      <c r="S368" s="103">
        <f>IF(Human_Data_Entry!BS366="","",Human_Data_Entry!BS366)</f>
        <v/>
      </c>
      <c r="T368" s="103">
        <f>IF(Human_Data_Entry!BT366="","",Human_Data_Entry!BT366)</f>
        <v/>
      </c>
    </row>
    <row r="369" ht="15" customHeight="1" s="241">
      <c r="A369" s="103">
        <f>IF(Human_Data_Entry!A367="","",Human_Data_Entry!A367)</f>
        <v/>
      </c>
      <c r="B369" s="103">
        <f>IF(Human_Data_Entry!B367="","",Human_Data_Entry!B367)</f>
        <v/>
      </c>
      <c r="C369" s="104">
        <f>IF(Human_Data_Entry!C367="","",Human_Data_Entry!C367)</f>
        <v/>
      </c>
      <c r="D369" s="103">
        <f>IF(Human_Data_Entry!D367="","",Human_Data_Entry!D367)</f>
        <v/>
      </c>
      <c r="E369" s="103">
        <f>IF(Human_Data_Entry!G367="","",Human_Data_Entry!G367)</f>
        <v/>
      </c>
      <c r="F369" s="103">
        <f>IF(Human_Data_Entry!X367="","",Human_Data_Entry!X367)</f>
        <v/>
      </c>
      <c r="G369" s="103">
        <f>IF(Human_Data_Entry!AY367="","",Human_Data_Entry!AY367)</f>
        <v/>
      </c>
      <c r="H369" s="103">
        <f>IF(Human_Data_Entry!AZ367="","",Human_Data_Entry!AZ367)</f>
        <v/>
      </c>
      <c r="I369" s="103">
        <f>IF(Human_Data_Entry!AL367="","",Human_Data_Entry!AL367)</f>
        <v/>
      </c>
      <c r="J369" s="103">
        <f>IF(Human_Data_Entry!AM367="","",Human_Data_Entry!AM367)</f>
        <v/>
      </c>
      <c r="K369" s="103">
        <f>IF(Human_Data_Entry!AN367="","",Human_Data_Entry!AN367)</f>
        <v/>
      </c>
      <c r="L369" s="103">
        <f>IF(Human_Data_Entry!AO367="","",Human_Data_Entry!AO367)</f>
        <v/>
      </c>
      <c r="M369" s="103">
        <f>IF(Human_Data_Entry!BM367="","",Human_Data_Entry!BM367)</f>
        <v/>
      </c>
      <c r="N369" s="103">
        <f>IF(Human_Data_Entry!BN367="","",Human_Data_Entry!BN367)</f>
        <v/>
      </c>
      <c r="O369" s="103">
        <f>IF(Human_Data_Entry!BO367="","",Human_Data_Entry!BO367)</f>
        <v/>
      </c>
      <c r="P369" s="103">
        <f>IF(Human_Data_Entry!BP367="","",Human_Data_Entry!BP367)</f>
        <v/>
      </c>
      <c r="Q369" s="103">
        <f>IF(Human_Data_Entry!BQ367="","",Human_Data_Entry!BQ367)</f>
        <v/>
      </c>
      <c r="R369" s="103">
        <f>IF(Human_Data_Entry!BR367="","",Human_Data_Entry!BR367)</f>
        <v/>
      </c>
      <c r="S369" s="103">
        <f>IF(Human_Data_Entry!BS367="","",Human_Data_Entry!BS367)</f>
        <v/>
      </c>
      <c r="T369" s="103">
        <f>IF(Human_Data_Entry!BT367="","",Human_Data_Entry!BT367)</f>
        <v/>
      </c>
    </row>
    <row r="370" ht="15" customHeight="1" s="241">
      <c r="A370" s="103">
        <f>IF(Human_Data_Entry!A368="","",Human_Data_Entry!A368)</f>
        <v/>
      </c>
      <c r="B370" s="103">
        <f>IF(Human_Data_Entry!B368="","",Human_Data_Entry!B368)</f>
        <v/>
      </c>
      <c r="C370" s="104">
        <f>IF(Human_Data_Entry!C368="","",Human_Data_Entry!C368)</f>
        <v/>
      </c>
      <c r="D370" s="103">
        <f>IF(Human_Data_Entry!D368="","",Human_Data_Entry!D368)</f>
        <v/>
      </c>
      <c r="E370" s="103">
        <f>IF(Human_Data_Entry!G368="","",Human_Data_Entry!G368)</f>
        <v/>
      </c>
      <c r="F370" s="103">
        <f>IF(Human_Data_Entry!X368="","",Human_Data_Entry!X368)</f>
        <v/>
      </c>
      <c r="G370" s="103">
        <f>IF(Human_Data_Entry!AY368="","",Human_Data_Entry!AY368)</f>
        <v/>
      </c>
      <c r="H370" s="103">
        <f>IF(Human_Data_Entry!AZ368="","",Human_Data_Entry!AZ368)</f>
        <v/>
      </c>
      <c r="I370" s="103">
        <f>IF(Human_Data_Entry!AL368="","",Human_Data_Entry!AL368)</f>
        <v/>
      </c>
      <c r="J370" s="103">
        <f>IF(Human_Data_Entry!AM368="","",Human_Data_Entry!AM368)</f>
        <v/>
      </c>
      <c r="K370" s="103">
        <f>IF(Human_Data_Entry!AN368="","",Human_Data_Entry!AN368)</f>
        <v/>
      </c>
      <c r="L370" s="103">
        <f>IF(Human_Data_Entry!AO368="","",Human_Data_Entry!AO368)</f>
        <v/>
      </c>
      <c r="M370" s="103">
        <f>IF(Human_Data_Entry!BM368="","",Human_Data_Entry!BM368)</f>
        <v/>
      </c>
      <c r="N370" s="103">
        <f>IF(Human_Data_Entry!BN368="","",Human_Data_Entry!BN368)</f>
        <v/>
      </c>
      <c r="O370" s="103">
        <f>IF(Human_Data_Entry!BO368="","",Human_Data_Entry!BO368)</f>
        <v/>
      </c>
      <c r="P370" s="103">
        <f>IF(Human_Data_Entry!BP368="","",Human_Data_Entry!BP368)</f>
        <v/>
      </c>
      <c r="Q370" s="103">
        <f>IF(Human_Data_Entry!BQ368="","",Human_Data_Entry!BQ368)</f>
        <v/>
      </c>
      <c r="R370" s="103">
        <f>IF(Human_Data_Entry!BR368="","",Human_Data_Entry!BR368)</f>
        <v/>
      </c>
      <c r="S370" s="103">
        <f>IF(Human_Data_Entry!BS368="","",Human_Data_Entry!BS368)</f>
        <v/>
      </c>
      <c r="T370" s="103">
        <f>IF(Human_Data_Entry!BT368="","",Human_Data_Entry!BT368)</f>
        <v/>
      </c>
    </row>
    <row r="371" ht="15" customHeight="1" s="241">
      <c r="A371" s="103">
        <f>IF(Human_Data_Entry!A369="","",Human_Data_Entry!A369)</f>
        <v/>
      </c>
      <c r="B371" s="103">
        <f>IF(Human_Data_Entry!B369="","",Human_Data_Entry!B369)</f>
        <v/>
      </c>
      <c r="C371" s="104">
        <f>IF(Human_Data_Entry!C369="","",Human_Data_Entry!C369)</f>
        <v/>
      </c>
      <c r="D371" s="103">
        <f>IF(Human_Data_Entry!D369="","",Human_Data_Entry!D369)</f>
        <v/>
      </c>
      <c r="E371" s="103">
        <f>IF(Human_Data_Entry!G369="","",Human_Data_Entry!G369)</f>
        <v/>
      </c>
      <c r="F371" s="103">
        <f>IF(Human_Data_Entry!X369="","",Human_Data_Entry!X369)</f>
        <v/>
      </c>
      <c r="G371" s="103">
        <f>IF(Human_Data_Entry!AY369="","",Human_Data_Entry!AY369)</f>
        <v/>
      </c>
      <c r="H371" s="103">
        <f>IF(Human_Data_Entry!AZ369="","",Human_Data_Entry!AZ369)</f>
        <v/>
      </c>
      <c r="I371" s="103">
        <f>IF(Human_Data_Entry!AL369="","",Human_Data_Entry!AL369)</f>
        <v/>
      </c>
      <c r="J371" s="103">
        <f>IF(Human_Data_Entry!AM369="","",Human_Data_Entry!AM369)</f>
        <v/>
      </c>
      <c r="K371" s="103">
        <f>IF(Human_Data_Entry!AN369="","",Human_Data_Entry!AN369)</f>
        <v/>
      </c>
      <c r="L371" s="103">
        <f>IF(Human_Data_Entry!AO369="","",Human_Data_Entry!AO369)</f>
        <v/>
      </c>
      <c r="M371" s="103">
        <f>IF(Human_Data_Entry!BM369="","",Human_Data_Entry!BM369)</f>
        <v/>
      </c>
      <c r="N371" s="103">
        <f>IF(Human_Data_Entry!BN369="","",Human_Data_Entry!BN369)</f>
        <v/>
      </c>
      <c r="O371" s="103">
        <f>IF(Human_Data_Entry!BO369="","",Human_Data_Entry!BO369)</f>
        <v/>
      </c>
      <c r="P371" s="103">
        <f>IF(Human_Data_Entry!BP369="","",Human_Data_Entry!BP369)</f>
        <v/>
      </c>
      <c r="Q371" s="103">
        <f>IF(Human_Data_Entry!BQ369="","",Human_Data_Entry!BQ369)</f>
        <v/>
      </c>
      <c r="R371" s="103">
        <f>IF(Human_Data_Entry!BR369="","",Human_Data_Entry!BR369)</f>
        <v/>
      </c>
      <c r="S371" s="103">
        <f>IF(Human_Data_Entry!BS369="","",Human_Data_Entry!BS369)</f>
        <v/>
      </c>
      <c r="T371" s="103">
        <f>IF(Human_Data_Entry!BT369="","",Human_Data_Entry!BT369)</f>
        <v/>
      </c>
    </row>
    <row r="372" ht="15" customHeight="1" s="241">
      <c r="A372" s="103">
        <f>IF(Human_Data_Entry!A370="","",Human_Data_Entry!A370)</f>
        <v/>
      </c>
      <c r="B372" s="103">
        <f>IF(Human_Data_Entry!B370="","",Human_Data_Entry!B370)</f>
        <v/>
      </c>
      <c r="C372" s="104">
        <f>IF(Human_Data_Entry!C370="","",Human_Data_Entry!C370)</f>
        <v/>
      </c>
      <c r="D372" s="103">
        <f>IF(Human_Data_Entry!D370="","",Human_Data_Entry!D370)</f>
        <v/>
      </c>
      <c r="E372" s="103">
        <f>IF(Human_Data_Entry!G370="","",Human_Data_Entry!G370)</f>
        <v/>
      </c>
      <c r="F372" s="103">
        <f>IF(Human_Data_Entry!X370="","",Human_Data_Entry!X370)</f>
        <v/>
      </c>
      <c r="G372" s="103">
        <f>IF(Human_Data_Entry!AY370="","",Human_Data_Entry!AY370)</f>
        <v/>
      </c>
      <c r="H372" s="103">
        <f>IF(Human_Data_Entry!AZ370="","",Human_Data_Entry!AZ370)</f>
        <v/>
      </c>
      <c r="I372" s="103">
        <f>IF(Human_Data_Entry!AL370="","",Human_Data_Entry!AL370)</f>
        <v/>
      </c>
      <c r="J372" s="103">
        <f>IF(Human_Data_Entry!AM370="","",Human_Data_Entry!AM370)</f>
        <v/>
      </c>
      <c r="K372" s="103">
        <f>IF(Human_Data_Entry!AN370="","",Human_Data_Entry!AN370)</f>
        <v/>
      </c>
      <c r="L372" s="103">
        <f>IF(Human_Data_Entry!AO370="","",Human_Data_Entry!AO370)</f>
        <v/>
      </c>
      <c r="M372" s="103">
        <f>IF(Human_Data_Entry!BM370="","",Human_Data_Entry!BM370)</f>
        <v/>
      </c>
      <c r="N372" s="103">
        <f>IF(Human_Data_Entry!BN370="","",Human_Data_Entry!BN370)</f>
        <v/>
      </c>
      <c r="O372" s="103">
        <f>IF(Human_Data_Entry!BO370="","",Human_Data_Entry!BO370)</f>
        <v/>
      </c>
      <c r="P372" s="103">
        <f>IF(Human_Data_Entry!BP370="","",Human_Data_Entry!BP370)</f>
        <v/>
      </c>
      <c r="Q372" s="103">
        <f>IF(Human_Data_Entry!BQ370="","",Human_Data_Entry!BQ370)</f>
        <v/>
      </c>
      <c r="R372" s="103">
        <f>IF(Human_Data_Entry!BR370="","",Human_Data_Entry!BR370)</f>
        <v/>
      </c>
      <c r="S372" s="103">
        <f>IF(Human_Data_Entry!BS370="","",Human_Data_Entry!BS370)</f>
        <v/>
      </c>
      <c r="T372" s="103">
        <f>IF(Human_Data_Entry!BT370="","",Human_Data_Entry!BT370)</f>
        <v/>
      </c>
    </row>
    <row r="373" ht="15" customHeight="1" s="241">
      <c r="A373" s="103">
        <f>IF(Human_Data_Entry!A371="","",Human_Data_Entry!A371)</f>
        <v/>
      </c>
      <c r="B373" s="103">
        <f>IF(Human_Data_Entry!B371="","",Human_Data_Entry!B371)</f>
        <v/>
      </c>
      <c r="C373" s="104">
        <f>IF(Human_Data_Entry!C371="","",Human_Data_Entry!C371)</f>
        <v/>
      </c>
      <c r="D373" s="103">
        <f>IF(Human_Data_Entry!D371="","",Human_Data_Entry!D371)</f>
        <v/>
      </c>
      <c r="E373" s="103">
        <f>IF(Human_Data_Entry!G371="","",Human_Data_Entry!G371)</f>
        <v/>
      </c>
      <c r="F373" s="103">
        <f>IF(Human_Data_Entry!X371="","",Human_Data_Entry!X371)</f>
        <v/>
      </c>
      <c r="G373" s="103">
        <f>IF(Human_Data_Entry!AY371="","",Human_Data_Entry!AY371)</f>
        <v/>
      </c>
      <c r="H373" s="103">
        <f>IF(Human_Data_Entry!AZ371="","",Human_Data_Entry!AZ371)</f>
        <v/>
      </c>
      <c r="I373" s="103">
        <f>IF(Human_Data_Entry!AL371="","",Human_Data_Entry!AL371)</f>
        <v/>
      </c>
      <c r="J373" s="103">
        <f>IF(Human_Data_Entry!AM371="","",Human_Data_Entry!AM371)</f>
        <v/>
      </c>
      <c r="K373" s="103">
        <f>IF(Human_Data_Entry!AN371="","",Human_Data_Entry!AN371)</f>
        <v/>
      </c>
      <c r="L373" s="103">
        <f>IF(Human_Data_Entry!AO371="","",Human_Data_Entry!AO371)</f>
        <v/>
      </c>
      <c r="M373" s="103">
        <f>IF(Human_Data_Entry!BM371="","",Human_Data_Entry!BM371)</f>
        <v/>
      </c>
      <c r="N373" s="103">
        <f>IF(Human_Data_Entry!BN371="","",Human_Data_Entry!BN371)</f>
        <v/>
      </c>
      <c r="O373" s="103">
        <f>IF(Human_Data_Entry!BO371="","",Human_Data_Entry!BO371)</f>
        <v/>
      </c>
      <c r="P373" s="103">
        <f>IF(Human_Data_Entry!BP371="","",Human_Data_Entry!BP371)</f>
        <v/>
      </c>
      <c r="Q373" s="103">
        <f>IF(Human_Data_Entry!BQ371="","",Human_Data_Entry!BQ371)</f>
        <v/>
      </c>
      <c r="R373" s="103">
        <f>IF(Human_Data_Entry!BR371="","",Human_Data_Entry!BR371)</f>
        <v/>
      </c>
      <c r="S373" s="103">
        <f>IF(Human_Data_Entry!BS371="","",Human_Data_Entry!BS371)</f>
        <v/>
      </c>
      <c r="T373" s="103">
        <f>IF(Human_Data_Entry!BT371="","",Human_Data_Entry!BT371)</f>
        <v/>
      </c>
    </row>
    <row r="374" ht="15" customHeight="1" s="241">
      <c r="A374" s="103">
        <f>IF(Human_Data_Entry!A372="","",Human_Data_Entry!A372)</f>
        <v/>
      </c>
      <c r="B374" s="103">
        <f>IF(Human_Data_Entry!B372="","",Human_Data_Entry!B372)</f>
        <v/>
      </c>
      <c r="C374" s="104">
        <f>IF(Human_Data_Entry!C372="","",Human_Data_Entry!C372)</f>
        <v/>
      </c>
      <c r="D374" s="103">
        <f>IF(Human_Data_Entry!D372="","",Human_Data_Entry!D372)</f>
        <v/>
      </c>
      <c r="E374" s="103">
        <f>IF(Human_Data_Entry!G372="","",Human_Data_Entry!G372)</f>
        <v/>
      </c>
      <c r="F374" s="103">
        <f>IF(Human_Data_Entry!X372="","",Human_Data_Entry!X372)</f>
        <v/>
      </c>
      <c r="G374" s="103">
        <f>IF(Human_Data_Entry!AY372="","",Human_Data_Entry!AY372)</f>
        <v/>
      </c>
      <c r="H374" s="103">
        <f>IF(Human_Data_Entry!AZ372="","",Human_Data_Entry!AZ372)</f>
        <v/>
      </c>
      <c r="I374" s="103">
        <f>IF(Human_Data_Entry!AL372="","",Human_Data_Entry!AL372)</f>
        <v/>
      </c>
      <c r="J374" s="103">
        <f>IF(Human_Data_Entry!AM372="","",Human_Data_Entry!AM372)</f>
        <v/>
      </c>
      <c r="K374" s="103">
        <f>IF(Human_Data_Entry!AN372="","",Human_Data_Entry!AN372)</f>
        <v/>
      </c>
      <c r="L374" s="103">
        <f>IF(Human_Data_Entry!AO372="","",Human_Data_Entry!AO372)</f>
        <v/>
      </c>
      <c r="M374" s="103">
        <f>IF(Human_Data_Entry!BM372="","",Human_Data_Entry!BM372)</f>
        <v/>
      </c>
      <c r="N374" s="103">
        <f>IF(Human_Data_Entry!BN372="","",Human_Data_Entry!BN372)</f>
        <v/>
      </c>
      <c r="O374" s="103">
        <f>IF(Human_Data_Entry!BO372="","",Human_Data_Entry!BO372)</f>
        <v/>
      </c>
      <c r="P374" s="103">
        <f>IF(Human_Data_Entry!BP372="","",Human_Data_Entry!BP372)</f>
        <v/>
      </c>
      <c r="Q374" s="103">
        <f>IF(Human_Data_Entry!BQ372="","",Human_Data_Entry!BQ372)</f>
        <v/>
      </c>
      <c r="R374" s="103">
        <f>IF(Human_Data_Entry!BR372="","",Human_Data_Entry!BR372)</f>
        <v/>
      </c>
      <c r="S374" s="103">
        <f>IF(Human_Data_Entry!BS372="","",Human_Data_Entry!BS372)</f>
        <v/>
      </c>
      <c r="T374" s="103">
        <f>IF(Human_Data_Entry!BT372="","",Human_Data_Entry!BT372)</f>
        <v/>
      </c>
    </row>
    <row r="375" ht="15" customHeight="1" s="241">
      <c r="A375" s="103">
        <f>IF(Human_Data_Entry!A373="","",Human_Data_Entry!A373)</f>
        <v/>
      </c>
      <c r="B375" s="103">
        <f>IF(Human_Data_Entry!B373="","",Human_Data_Entry!B373)</f>
        <v/>
      </c>
      <c r="C375" s="104">
        <f>IF(Human_Data_Entry!C373="","",Human_Data_Entry!C373)</f>
        <v/>
      </c>
      <c r="D375" s="103">
        <f>IF(Human_Data_Entry!D373="","",Human_Data_Entry!D373)</f>
        <v/>
      </c>
      <c r="E375" s="103">
        <f>IF(Human_Data_Entry!G373="","",Human_Data_Entry!G373)</f>
        <v/>
      </c>
      <c r="F375" s="103">
        <f>IF(Human_Data_Entry!X373="","",Human_Data_Entry!X373)</f>
        <v/>
      </c>
      <c r="G375" s="103">
        <f>IF(Human_Data_Entry!AY373="","",Human_Data_Entry!AY373)</f>
        <v/>
      </c>
      <c r="H375" s="103">
        <f>IF(Human_Data_Entry!AZ373="","",Human_Data_Entry!AZ373)</f>
        <v/>
      </c>
      <c r="I375" s="103">
        <f>IF(Human_Data_Entry!AL373="","",Human_Data_Entry!AL373)</f>
        <v/>
      </c>
      <c r="J375" s="103">
        <f>IF(Human_Data_Entry!AM373="","",Human_Data_Entry!AM373)</f>
        <v/>
      </c>
      <c r="K375" s="103">
        <f>IF(Human_Data_Entry!AN373="","",Human_Data_Entry!AN373)</f>
        <v/>
      </c>
      <c r="L375" s="103">
        <f>IF(Human_Data_Entry!AO373="","",Human_Data_Entry!AO373)</f>
        <v/>
      </c>
      <c r="M375" s="103">
        <f>IF(Human_Data_Entry!BM373="","",Human_Data_Entry!BM373)</f>
        <v/>
      </c>
      <c r="N375" s="103">
        <f>IF(Human_Data_Entry!BN373="","",Human_Data_Entry!BN373)</f>
        <v/>
      </c>
      <c r="O375" s="103">
        <f>IF(Human_Data_Entry!BO373="","",Human_Data_Entry!BO373)</f>
        <v/>
      </c>
      <c r="P375" s="103">
        <f>IF(Human_Data_Entry!BP373="","",Human_Data_Entry!BP373)</f>
        <v/>
      </c>
      <c r="Q375" s="103">
        <f>IF(Human_Data_Entry!BQ373="","",Human_Data_Entry!BQ373)</f>
        <v/>
      </c>
      <c r="R375" s="103">
        <f>IF(Human_Data_Entry!BR373="","",Human_Data_Entry!BR373)</f>
        <v/>
      </c>
      <c r="S375" s="103">
        <f>IF(Human_Data_Entry!BS373="","",Human_Data_Entry!BS373)</f>
        <v/>
      </c>
      <c r="T375" s="103">
        <f>IF(Human_Data_Entry!BT373="","",Human_Data_Entry!BT373)</f>
        <v/>
      </c>
    </row>
    <row r="376" ht="15" customHeight="1" s="241">
      <c r="A376" s="103">
        <f>IF(Human_Data_Entry!A374="","",Human_Data_Entry!A374)</f>
        <v/>
      </c>
      <c r="B376" s="103">
        <f>IF(Human_Data_Entry!B374="","",Human_Data_Entry!B374)</f>
        <v/>
      </c>
      <c r="C376" s="104">
        <f>IF(Human_Data_Entry!C374="","",Human_Data_Entry!C374)</f>
        <v/>
      </c>
      <c r="D376" s="103">
        <f>IF(Human_Data_Entry!D374="","",Human_Data_Entry!D374)</f>
        <v/>
      </c>
      <c r="E376" s="103">
        <f>IF(Human_Data_Entry!G374="","",Human_Data_Entry!G374)</f>
        <v/>
      </c>
      <c r="F376" s="103">
        <f>IF(Human_Data_Entry!X374="","",Human_Data_Entry!X374)</f>
        <v/>
      </c>
      <c r="G376" s="103">
        <f>IF(Human_Data_Entry!AY374="","",Human_Data_Entry!AY374)</f>
        <v/>
      </c>
      <c r="H376" s="103">
        <f>IF(Human_Data_Entry!AZ374="","",Human_Data_Entry!AZ374)</f>
        <v/>
      </c>
      <c r="I376" s="103">
        <f>IF(Human_Data_Entry!AL374="","",Human_Data_Entry!AL374)</f>
        <v/>
      </c>
      <c r="J376" s="103">
        <f>IF(Human_Data_Entry!AM374="","",Human_Data_Entry!AM374)</f>
        <v/>
      </c>
      <c r="K376" s="103">
        <f>IF(Human_Data_Entry!AN374="","",Human_Data_Entry!AN374)</f>
        <v/>
      </c>
      <c r="L376" s="103">
        <f>IF(Human_Data_Entry!AO374="","",Human_Data_Entry!AO374)</f>
        <v/>
      </c>
      <c r="M376" s="103">
        <f>IF(Human_Data_Entry!BM374="","",Human_Data_Entry!BM374)</f>
        <v/>
      </c>
      <c r="N376" s="103">
        <f>IF(Human_Data_Entry!BN374="","",Human_Data_Entry!BN374)</f>
        <v/>
      </c>
      <c r="O376" s="103">
        <f>IF(Human_Data_Entry!BO374="","",Human_Data_Entry!BO374)</f>
        <v/>
      </c>
      <c r="P376" s="103">
        <f>IF(Human_Data_Entry!BP374="","",Human_Data_Entry!BP374)</f>
        <v/>
      </c>
      <c r="Q376" s="103">
        <f>IF(Human_Data_Entry!BQ374="","",Human_Data_Entry!BQ374)</f>
        <v/>
      </c>
      <c r="R376" s="103">
        <f>IF(Human_Data_Entry!BR374="","",Human_Data_Entry!BR374)</f>
        <v/>
      </c>
      <c r="S376" s="103">
        <f>IF(Human_Data_Entry!BS374="","",Human_Data_Entry!BS374)</f>
        <v/>
      </c>
      <c r="T376" s="103">
        <f>IF(Human_Data_Entry!BT374="","",Human_Data_Entry!BT374)</f>
        <v/>
      </c>
    </row>
    <row r="377" ht="15" customHeight="1" s="241">
      <c r="A377" s="103">
        <f>IF(Human_Data_Entry!A375="","",Human_Data_Entry!A375)</f>
        <v/>
      </c>
      <c r="B377" s="103">
        <f>IF(Human_Data_Entry!B375="","",Human_Data_Entry!B375)</f>
        <v/>
      </c>
      <c r="C377" s="104">
        <f>IF(Human_Data_Entry!C375="","",Human_Data_Entry!C375)</f>
        <v/>
      </c>
      <c r="D377" s="103">
        <f>IF(Human_Data_Entry!D375="","",Human_Data_Entry!D375)</f>
        <v/>
      </c>
      <c r="E377" s="103">
        <f>IF(Human_Data_Entry!G375="","",Human_Data_Entry!G375)</f>
        <v/>
      </c>
      <c r="F377" s="103">
        <f>IF(Human_Data_Entry!X375="","",Human_Data_Entry!X375)</f>
        <v/>
      </c>
      <c r="G377" s="103">
        <f>IF(Human_Data_Entry!AY375="","",Human_Data_Entry!AY375)</f>
        <v/>
      </c>
      <c r="H377" s="103">
        <f>IF(Human_Data_Entry!AZ375="","",Human_Data_Entry!AZ375)</f>
        <v/>
      </c>
      <c r="I377" s="103">
        <f>IF(Human_Data_Entry!AL375="","",Human_Data_Entry!AL375)</f>
        <v/>
      </c>
      <c r="J377" s="103">
        <f>IF(Human_Data_Entry!AM375="","",Human_Data_Entry!AM375)</f>
        <v/>
      </c>
      <c r="K377" s="103">
        <f>IF(Human_Data_Entry!AN375="","",Human_Data_Entry!AN375)</f>
        <v/>
      </c>
      <c r="L377" s="103">
        <f>IF(Human_Data_Entry!AO375="","",Human_Data_Entry!AO375)</f>
        <v/>
      </c>
      <c r="M377" s="103">
        <f>IF(Human_Data_Entry!BM375="","",Human_Data_Entry!BM375)</f>
        <v/>
      </c>
      <c r="N377" s="103">
        <f>IF(Human_Data_Entry!BN375="","",Human_Data_Entry!BN375)</f>
        <v/>
      </c>
      <c r="O377" s="103">
        <f>IF(Human_Data_Entry!BO375="","",Human_Data_Entry!BO375)</f>
        <v/>
      </c>
      <c r="P377" s="103">
        <f>IF(Human_Data_Entry!BP375="","",Human_Data_Entry!BP375)</f>
        <v/>
      </c>
      <c r="Q377" s="103">
        <f>IF(Human_Data_Entry!BQ375="","",Human_Data_Entry!BQ375)</f>
        <v/>
      </c>
      <c r="R377" s="103">
        <f>IF(Human_Data_Entry!BR375="","",Human_Data_Entry!BR375)</f>
        <v/>
      </c>
      <c r="S377" s="103">
        <f>IF(Human_Data_Entry!BS375="","",Human_Data_Entry!BS375)</f>
        <v/>
      </c>
      <c r="T377" s="103">
        <f>IF(Human_Data_Entry!BT375="","",Human_Data_Entry!BT375)</f>
        <v/>
      </c>
    </row>
    <row r="378" ht="15" customHeight="1" s="241">
      <c r="A378" s="103">
        <f>IF(Human_Data_Entry!A376="","",Human_Data_Entry!A376)</f>
        <v/>
      </c>
      <c r="B378" s="103">
        <f>IF(Human_Data_Entry!B376="","",Human_Data_Entry!B376)</f>
        <v/>
      </c>
      <c r="C378" s="104">
        <f>IF(Human_Data_Entry!C376="","",Human_Data_Entry!C376)</f>
        <v/>
      </c>
      <c r="D378" s="103">
        <f>IF(Human_Data_Entry!D376="","",Human_Data_Entry!D376)</f>
        <v/>
      </c>
      <c r="E378" s="103">
        <f>IF(Human_Data_Entry!G376="","",Human_Data_Entry!G376)</f>
        <v/>
      </c>
      <c r="F378" s="103">
        <f>IF(Human_Data_Entry!X376="","",Human_Data_Entry!X376)</f>
        <v/>
      </c>
      <c r="G378" s="103">
        <f>IF(Human_Data_Entry!AY376="","",Human_Data_Entry!AY376)</f>
        <v/>
      </c>
      <c r="H378" s="103">
        <f>IF(Human_Data_Entry!AZ376="","",Human_Data_Entry!AZ376)</f>
        <v/>
      </c>
      <c r="I378" s="103">
        <f>IF(Human_Data_Entry!AL376="","",Human_Data_Entry!AL376)</f>
        <v/>
      </c>
      <c r="J378" s="103">
        <f>IF(Human_Data_Entry!AM376="","",Human_Data_Entry!AM376)</f>
        <v/>
      </c>
      <c r="K378" s="103">
        <f>IF(Human_Data_Entry!AN376="","",Human_Data_Entry!AN376)</f>
        <v/>
      </c>
      <c r="L378" s="103">
        <f>IF(Human_Data_Entry!AO376="","",Human_Data_Entry!AO376)</f>
        <v/>
      </c>
      <c r="M378" s="103">
        <f>IF(Human_Data_Entry!BM376="","",Human_Data_Entry!BM376)</f>
        <v/>
      </c>
      <c r="N378" s="103">
        <f>IF(Human_Data_Entry!BN376="","",Human_Data_Entry!BN376)</f>
        <v/>
      </c>
      <c r="O378" s="103">
        <f>IF(Human_Data_Entry!BO376="","",Human_Data_Entry!BO376)</f>
        <v/>
      </c>
      <c r="P378" s="103">
        <f>IF(Human_Data_Entry!BP376="","",Human_Data_Entry!BP376)</f>
        <v/>
      </c>
      <c r="Q378" s="103">
        <f>IF(Human_Data_Entry!BQ376="","",Human_Data_Entry!BQ376)</f>
        <v/>
      </c>
      <c r="R378" s="103">
        <f>IF(Human_Data_Entry!BR376="","",Human_Data_Entry!BR376)</f>
        <v/>
      </c>
      <c r="S378" s="103">
        <f>IF(Human_Data_Entry!BS376="","",Human_Data_Entry!BS376)</f>
        <v/>
      </c>
      <c r="T378" s="103">
        <f>IF(Human_Data_Entry!BT376="","",Human_Data_Entry!BT376)</f>
        <v/>
      </c>
    </row>
    <row r="379" ht="15" customHeight="1" s="241">
      <c r="A379" s="103">
        <f>IF(Human_Data_Entry!A377="","",Human_Data_Entry!A377)</f>
        <v/>
      </c>
      <c r="B379" s="103">
        <f>IF(Human_Data_Entry!B377="","",Human_Data_Entry!B377)</f>
        <v/>
      </c>
      <c r="C379" s="104">
        <f>IF(Human_Data_Entry!C377="","",Human_Data_Entry!C377)</f>
        <v/>
      </c>
      <c r="D379" s="103">
        <f>IF(Human_Data_Entry!D377="","",Human_Data_Entry!D377)</f>
        <v/>
      </c>
      <c r="E379" s="103">
        <f>IF(Human_Data_Entry!G377="","",Human_Data_Entry!G377)</f>
        <v/>
      </c>
      <c r="F379" s="103">
        <f>IF(Human_Data_Entry!X377="","",Human_Data_Entry!X377)</f>
        <v/>
      </c>
      <c r="G379" s="103">
        <f>IF(Human_Data_Entry!AY377="","",Human_Data_Entry!AY377)</f>
        <v/>
      </c>
      <c r="H379" s="103">
        <f>IF(Human_Data_Entry!AZ377="","",Human_Data_Entry!AZ377)</f>
        <v/>
      </c>
      <c r="I379" s="103">
        <f>IF(Human_Data_Entry!AL377="","",Human_Data_Entry!AL377)</f>
        <v/>
      </c>
      <c r="J379" s="103">
        <f>IF(Human_Data_Entry!AM377="","",Human_Data_Entry!AM377)</f>
        <v/>
      </c>
      <c r="K379" s="103">
        <f>IF(Human_Data_Entry!AN377="","",Human_Data_Entry!AN377)</f>
        <v/>
      </c>
      <c r="L379" s="103">
        <f>IF(Human_Data_Entry!AO377="","",Human_Data_Entry!AO377)</f>
        <v/>
      </c>
      <c r="M379" s="103">
        <f>IF(Human_Data_Entry!BM377="","",Human_Data_Entry!BM377)</f>
        <v/>
      </c>
      <c r="N379" s="103">
        <f>IF(Human_Data_Entry!BN377="","",Human_Data_Entry!BN377)</f>
        <v/>
      </c>
      <c r="O379" s="103">
        <f>IF(Human_Data_Entry!BO377="","",Human_Data_Entry!BO377)</f>
        <v/>
      </c>
      <c r="P379" s="103">
        <f>IF(Human_Data_Entry!BP377="","",Human_Data_Entry!BP377)</f>
        <v/>
      </c>
      <c r="Q379" s="103">
        <f>IF(Human_Data_Entry!BQ377="","",Human_Data_Entry!BQ377)</f>
        <v/>
      </c>
      <c r="R379" s="103">
        <f>IF(Human_Data_Entry!BR377="","",Human_Data_Entry!BR377)</f>
        <v/>
      </c>
      <c r="S379" s="103">
        <f>IF(Human_Data_Entry!BS377="","",Human_Data_Entry!BS377)</f>
        <v/>
      </c>
      <c r="T379" s="103">
        <f>IF(Human_Data_Entry!BT377="","",Human_Data_Entry!BT377)</f>
        <v/>
      </c>
    </row>
    <row r="380" ht="15" customHeight="1" s="241">
      <c r="A380" s="103">
        <f>IF(Human_Data_Entry!A378="","",Human_Data_Entry!A378)</f>
        <v/>
      </c>
      <c r="B380" s="103">
        <f>IF(Human_Data_Entry!B378="","",Human_Data_Entry!B378)</f>
        <v/>
      </c>
      <c r="C380" s="104">
        <f>IF(Human_Data_Entry!C378="","",Human_Data_Entry!C378)</f>
        <v/>
      </c>
      <c r="D380" s="103">
        <f>IF(Human_Data_Entry!D378="","",Human_Data_Entry!D378)</f>
        <v/>
      </c>
      <c r="E380" s="103">
        <f>IF(Human_Data_Entry!G378="","",Human_Data_Entry!G378)</f>
        <v/>
      </c>
      <c r="F380" s="103">
        <f>IF(Human_Data_Entry!X378="","",Human_Data_Entry!X378)</f>
        <v/>
      </c>
      <c r="G380" s="103">
        <f>IF(Human_Data_Entry!AY378="","",Human_Data_Entry!AY378)</f>
        <v/>
      </c>
      <c r="H380" s="103">
        <f>IF(Human_Data_Entry!AZ378="","",Human_Data_Entry!AZ378)</f>
        <v/>
      </c>
      <c r="I380" s="103">
        <f>IF(Human_Data_Entry!AL378="","",Human_Data_Entry!AL378)</f>
        <v/>
      </c>
      <c r="J380" s="103">
        <f>IF(Human_Data_Entry!AM378="","",Human_Data_Entry!AM378)</f>
        <v/>
      </c>
      <c r="K380" s="103">
        <f>IF(Human_Data_Entry!AN378="","",Human_Data_Entry!AN378)</f>
        <v/>
      </c>
      <c r="L380" s="103">
        <f>IF(Human_Data_Entry!AO378="","",Human_Data_Entry!AO378)</f>
        <v/>
      </c>
      <c r="M380" s="103">
        <f>IF(Human_Data_Entry!BM378="","",Human_Data_Entry!BM378)</f>
        <v/>
      </c>
      <c r="N380" s="103">
        <f>IF(Human_Data_Entry!BN378="","",Human_Data_Entry!BN378)</f>
        <v/>
      </c>
      <c r="O380" s="103">
        <f>IF(Human_Data_Entry!BO378="","",Human_Data_Entry!BO378)</f>
        <v/>
      </c>
      <c r="P380" s="103">
        <f>IF(Human_Data_Entry!BP378="","",Human_Data_Entry!BP378)</f>
        <v/>
      </c>
      <c r="Q380" s="103">
        <f>IF(Human_Data_Entry!BQ378="","",Human_Data_Entry!BQ378)</f>
        <v/>
      </c>
      <c r="R380" s="103">
        <f>IF(Human_Data_Entry!BR378="","",Human_Data_Entry!BR378)</f>
        <v/>
      </c>
      <c r="S380" s="103">
        <f>IF(Human_Data_Entry!BS378="","",Human_Data_Entry!BS378)</f>
        <v/>
      </c>
      <c r="T380" s="103">
        <f>IF(Human_Data_Entry!BT378="","",Human_Data_Entry!BT378)</f>
        <v/>
      </c>
    </row>
    <row r="381" ht="15" customHeight="1" s="241">
      <c r="A381" s="103">
        <f>IF(Human_Data_Entry!A379="","",Human_Data_Entry!A379)</f>
        <v/>
      </c>
      <c r="B381" s="103">
        <f>IF(Human_Data_Entry!B379="","",Human_Data_Entry!B379)</f>
        <v/>
      </c>
      <c r="C381" s="104">
        <f>IF(Human_Data_Entry!C379="","",Human_Data_Entry!C379)</f>
        <v/>
      </c>
      <c r="D381" s="103">
        <f>IF(Human_Data_Entry!D379="","",Human_Data_Entry!D379)</f>
        <v/>
      </c>
      <c r="E381" s="103">
        <f>IF(Human_Data_Entry!G379="","",Human_Data_Entry!G379)</f>
        <v/>
      </c>
      <c r="F381" s="103">
        <f>IF(Human_Data_Entry!X379="","",Human_Data_Entry!X379)</f>
        <v/>
      </c>
      <c r="G381" s="103">
        <f>IF(Human_Data_Entry!AY379="","",Human_Data_Entry!AY379)</f>
        <v/>
      </c>
      <c r="H381" s="103">
        <f>IF(Human_Data_Entry!AZ379="","",Human_Data_Entry!AZ379)</f>
        <v/>
      </c>
      <c r="I381" s="103">
        <f>IF(Human_Data_Entry!AL379="","",Human_Data_Entry!AL379)</f>
        <v/>
      </c>
      <c r="J381" s="103">
        <f>IF(Human_Data_Entry!AM379="","",Human_Data_Entry!AM379)</f>
        <v/>
      </c>
      <c r="K381" s="103">
        <f>IF(Human_Data_Entry!AN379="","",Human_Data_Entry!AN379)</f>
        <v/>
      </c>
      <c r="L381" s="103">
        <f>IF(Human_Data_Entry!AO379="","",Human_Data_Entry!AO379)</f>
        <v/>
      </c>
      <c r="M381" s="103">
        <f>IF(Human_Data_Entry!BM379="","",Human_Data_Entry!BM379)</f>
        <v/>
      </c>
      <c r="N381" s="103">
        <f>IF(Human_Data_Entry!BN379="","",Human_Data_Entry!BN379)</f>
        <v/>
      </c>
      <c r="O381" s="103">
        <f>IF(Human_Data_Entry!BO379="","",Human_Data_Entry!BO379)</f>
        <v/>
      </c>
      <c r="P381" s="103">
        <f>IF(Human_Data_Entry!BP379="","",Human_Data_Entry!BP379)</f>
        <v/>
      </c>
      <c r="Q381" s="103">
        <f>IF(Human_Data_Entry!BQ379="","",Human_Data_Entry!BQ379)</f>
        <v/>
      </c>
      <c r="R381" s="103">
        <f>IF(Human_Data_Entry!BR379="","",Human_Data_Entry!BR379)</f>
        <v/>
      </c>
      <c r="S381" s="103">
        <f>IF(Human_Data_Entry!BS379="","",Human_Data_Entry!BS379)</f>
        <v/>
      </c>
      <c r="T381" s="103">
        <f>IF(Human_Data_Entry!BT379="","",Human_Data_Entry!BT379)</f>
        <v/>
      </c>
    </row>
    <row r="382" ht="15" customHeight="1" s="241">
      <c r="A382" s="103">
        <f>IF(Human_Data_Entry!A380="","",Human_Data_Entry!A380)</f>
        <v/>
      </c>
      <c r="B382" s="103">
        <f>IF(Human_Data_Entry!B380="","",Human_Data_Entry!B380)</f>
        <v/>
      </c>
      <c r="C382" s="104">
        <f>IF(Human_Data_Entry!C380="","",Human_Data_Entry!C380)</f>
        <v/>
      </c>
      <c r="D382" s="103">
        <f>IF(Human_Data_Entry!D380="","",Human_Data_Entry!D380)</f>
        <v/>
      </c>
      <c r="E382" s="103">
        <f>IF(Human_Data_Entry!G380="","",Human_Data_Entry!G380)</f>
        <v/>
      </c>
      <c r="F382" s="103">
        <f>IF(Human_Data_Entry!X380="","",Human_Data_Entry!X380)</f>
        <v/>
      </c>
      <c r="G382" s="103">
        <f>IF(Human_Data_Entry!AY380="","",Human_Data_Entry!AY380)</f>
        <v/>
      </c>
      <c r="H382" s="103">
        <f>IF(Human_Data_Entry!AZ380="","",Human_Data_Entry!AZ380)</f>
        <v/>
      </c>
      <c r="I382" s="103">
        <f>IF(Human_Data_Entry!AL380="","",Human_Data_Entry!AL380)</f>
        <v/>
      </c>
      <c r="J382" s="103">
        <f>IF(Human_Data_Entry!AM380="","",Human_Data_Entry!AM380)</f>
        <v/>
      </c>
      <c r="K382" s="103">
        <f>IF(Human_Data_Entry!AN380="","",Human_Data_Entry!AN380)</f>
        <v/>
      </c>
      <c r="L382" s="103">
        <f>IF(Human_Data_Entry!AO380="","",Human_Data_Entry!AO380)</f>
        <v/>
      </c>
      <c r="M382" s="103">
        <f>IF(Human_Data_Entry!BM380="","",Human_Data_Entry!BM380)</f>
        <v/>
      </c>
      <c r="N382" s="103">
        <f>IF(Human_Data_Entry!BN380="","",Human_Data_Entry!BN380)</f>
        <v/>
      </c>
      <c r="O382" s="103">
        <f>IF(Human_Data_Entry!BO380="","",Human_Data_Entry!BO380)</f>
        <v/>
      </c>
      <c r="P382" s="103">
        <f>IF(Human_Data_Entry!BP380="","",Human_Data_Entry!BP380)</f>
        <v/>
      </c>
      <c r="Q382" s="103">
        <f>IF(Human_Data_Entry!BQ380="","",Human_Data_Entry!BQ380)</f>
        <v/>
      </c>
      <c r="R382" s="103">
        <f>IF(Human_Data_Entry!BR380="","",Human_Data_Entry!BR380)</f>
        <v/>
      </c>
      <c r="S382" s="103">
        <f>IF(Human_Data_Entry!BS380="","",Human_Data_Entry!BS380)</f>
        <v/>
      </c>
      <c r="T382" s="103">
        <f>IF(Human_Data_Entry!BT380="","",Human_Data_Entry!BT380)</f>
        <v/>
      </c>
    </row>
    <row r="383" ht="15" customHeight="1" s="241">
      <c r="A383" s="103">
        <f>IF(Human_Data_Entry!A381="","",Human_Data_Entry!A381)</f>
        <v/>
      </c>
      <c r="B383" s="103">
        <f>IF(Human_Data_Entry!B381="","",Human_Data_Entry!B381)</f>
        <v/>
      </c>
      <c r="C383" s="104">
        <f>IF(Human_Data_Entry!C381="","",Human_Data_Entry!C381)</f>
        <v/>
      </c>
      <c r="D383" s="103">
        <f>IF(Human_Data_Entry!D381="","",Human_Data_Entry!D381)</f>
        <v/>
      </c>
      <c r="E383" s="103">
        <f>IF(Human_Data_Entry!G381="","",Human_Data_Entry!G381)</f>
        <v/>
      </c>
      <c r="F383" s="103">
        <f>IF(Human_Data_Entry!X381="","",Human_Data_Entry!X381)</f>
        <v/>
      </c>
      <c r="G383" s="103">
        <f>IF(Human_Data_Entry!AY381="","",Human_Data_Entry!AY381)</f>
        <v/>
      </c>
      <c r="H383" s="103">
        <f>IF(Human_Data_Entry!AZ381="","",Human_Data_Entry!AZ381)</f>
        <v/>
      </c>
      <c r="I383" s="103">
        <f>IF(Human_Data_Entry!AL381="","",Human_Data_Entry!AL381)</f>
        <v/>
      </c>
      <c r="J383" s="103">
        <f>IF(Human_Data_Entry!AM381="","",Human_Data_Entry!AM381)</f>
        <v/>
      </c>
      <c r="K383" s="103">
        <f>IF(Human_Data_Entry!AN381="","",Human_Data_Entry!AN381)</f>
        <v/>
      </c>
      <c r="L383" s="103">
        <f>IF(Human_Data_Entry!AO381="","",Human_Data_Entry!AO381)</f>
        <v/>
      </c>
      <c r="M383" s="103">
        <f>IF(Human_Data_Entry!BM381="","",Human_Data_Entry!BM381)</f>
        <v/>
      </c>
      <c r="N383" s="103">
        <f>IF(Human_Data_Entry!BN381="","",Human_Data_Entry!BN381)</f>
        <v/>
      </c>
      <c r="O383" s="103">
        <f>IF(Human_Data_Entry!BO381="","",Human_Data_Entry!BO381)</f>
        <v/>
      </c>
      <c r="P383" s="103">
        <f>IF(Human_Data_Entry!BP381="","",Human_Data_Entry!BP381)</f>
        <v/>
      </c>
      <c r="Q383" s="103">
        <f>IF(Human_Data_Entry!BQ381="","",Human_Data_Entry!BQ381)</f>
        <v/>
      </c>
      <c r="R383" s="103">
        <f>IF(Human_Data_Entry!BR381="","",Human_Data_Entry!BR381)</f>
        <v/>
      </c>
      <c r="S383" s="103">
        <f>IF(Human_Data_Entry!BS381="","",Human_Data_Entry!BS381)</f>
        <v/>
      </c>
      <c r="T383" s="103">
        <f>IF(Human_Data_Entry!BT381="","",Human_Data_Entry!BT381)</f>
        <v/>
      </c>
    </row>
    <row r="384" ht="15" customHeight="1" s="241">
      <c r="A384" s="103">
        <f>IF(Human_Data_Entry!A382="","",Human_Data_Entry!A382)</f>
        <v/>
      </c>
      <c r="B384" s="103">
        <f>IF(Human_Data_Entry!B382="","",Human_Data_Entry!B382)</f>
        <v/>
      </c>
      <c r="C384" s="104">
        <f>IF(Human_Data_Entry!C382="","",Human_Data_Entry!C382)</f>
        <v/>
      </c>
      <c r="D384" s="103">
        <f>IF(Human_Data_Entry!D382="","",Human_Data_Entry!D382)</f>
        <v/>
      </c>
      <c r="E384" s="103">
        <f>IF(Human_Data_Entry!G382="","",Human_Data_Entry!G382)</f>
        <v/>
      </c>
      <c r="F384" s="103">
        <f>IF(Human_Data_Entry!X382="","",Human_Data_Entry!X382)</f>
        <v/>
      </c>
      <c r="G384" s="103">
        <f>IF(Human_Data_Entry!AY382="","",Human_Data_Entry!AY382)</f>
        <v/>
      </c>
      <c r="H384" s="103">
        <f>IF(Human_Data_Entry!AZ382="","",Human_Data_Entry!AZ382)</f>
        <v/>
      </c>
      <c r="I384" s="103">
        <f>IF(Human_Data_Entry!AL382="","",Human_Data_Entry!AL382)</f>
        <v/>
      </c>
      <c r="J384" s="103">
        <f>IF(Human_Data_Entry!AM382="","",Human_Data_Entry!AM382)</f>
        <v/>
      </c>
      <c r="K384" s="103">
        <f>IF(Human_Data_Entry!AN382="","",Human_Data_Entry!AN382)</f>
        <v/>
      </c>
      <c r="L384" s="103">
        <f>IF(Human_Data_Entry!AO382="","",Human_Data_Entry!AO382)</f>
        <v/>
      </c>
      <c r="M384" s="103">
        <f>IF(Human_Data_Entry!BM382="","",Human_Data_Entry!BM382)</f>
        <v/>
      </c>
      <c r="N384" s="103">
        <f>IF(Human_Data_Entry!BN382="","",Human_Data_Entry!BN382)</f>
        <v/>
      </c>
      <c r="O384" s="103">
        <f>IF(Human_Data_Entry!BO382="","",Human_Data_Entry!BO382)</f>
        <v/>
      </c>
      <c r="P384" s="103">
        <f>IF(Human_Data_Entry!BP382="","",Human_Data_Entry!BP382)</f>
        <v/>
      </c>
      <c r="Q384" s="103">
        <f>IF(Human_Data_Entry!BQ382="","",Human_Data_Entry!BQ382)</f>
        <v/>
      </c>
      <c r="R384" s="103">
        <f>IF(Human_Data_Entry!BR382="","",Human_Data_Entry!BR382)</f>
        <v/>
      </c>
      <c r="S384" s="103">
        <f>IF(Human_Data_Entry!BS382="","",Human_Data_Entry!BS382)</f>
        <v/>
      </c>
      <c r="T384" s="103">
        <f>IF(Human_Data_Entry!BT382="","",Human_Data_Entry!BT382)</f>
        <v/>
      </c>
    </row>
    <row r="385" ht="15" customHeight="1" s="241">
      <c r="A385" s="103">
        <f>IF(Human_Data_Entry!A383="","",Human_Data_Entry!A383)</f>
        <v/>
      </c>
      <c r="B385" s="103">
        <f>IF(Human_Data_Entry!B383="","",Human_Data_Entry!B383)</f>
        <v/>
      </c>
      <c r="C385" s="104">
        <f>IF(Human_Data_Entry!C383="","",Human_Data_Entry!C383)</f>
        <v/>
      </c>
      <c r="D385" s="103">
        <f>IF(Human_Data_Entry!D383="","",Human_Data_Entry!D383)</f>
        <v/>
      </c>
      <c r="E385" s="103">
        <f>IF(Human_Data_Entry!G383="","",Human_Data_Entry!G383)</f>
        <v/>
      </c>
      <c r="F385" s="103">
        <f>IF(Human_Data_Entry!X383="","",Human_Data_Entry!X383)</f>
        <v/>
      </c>
      <c r="G385" s="103">
        <f>IF(Human_Data_Entry!AY383="","",Human_Data_Entry!AY383)</f>
        <v/>
      </c>
      <c r="H385" s="103">
        <f>IF(Human_Data_Entry!AZ383="","",Human_Data_Entry!AZ383)</f>
        <v/>
      </c>
      <c r="I385" s="103">
        <f>IF(Human_Data_Entry!AL383="","",Human_Data_Entry!AL383)</f>
        <v/>
      </c>
      <c r="J385" s="103">
        <f>IF(Human_Data_Entry!AM383="","",Human_Data_Entry!AM383)</f>
        <v/>
      </c>
      <c r="K385" s="103">
        <f>IF(Human_Data_Entry!AN383="","",Human_Data_Entry!AN383)</f>
        <v/>
      </c>
      <c r="L385" s="103">
        <f>IF(Human_Data_Entry!AO383="","",Human_Data_Entry!AO383)</f>
        <v/>
      </c>
      <c r="M385" s="103">
        <f>IF(Human_Data_Entry!BM383="","",Human_Data_Entry!BM383)</f>
        <v/>
      </c>
      <c r="N385" s="103">
        <f>IF(Human_Data_Entry!BN383="","",Human_Data_Entry!BN383)</f>
        <v/>
      </c>
      <c r="O385" s="103">
        <f>IF(Human_Data_Entry!BO383="","",Human_Data_Entry!BO383)</f>
        <v/>
      </c>
      <c r="P385" s="103">
        <f>IF(Human_Data_Entry!BP383="","",Human_Data_Entry!BP383)</f>
        <v/>
      </c>
      <c r="Q385" s="103">
        <f>IF(Human_Data_Entry!BQ383="","",Human_Data_Entry!BQ383)</f>
        <v/>
      </c>
      <c r="R385" s="103">
        <f>IF(Human_Data_Entry!BR383="","",Human_Data_Entry!BR383)</f>
        <v/>
      </c>
      <c r="S385" s="103">
        <f>IF(Human_Data_Entry!BS383="","",Human_Data_Entry!BS383)</f>
        <v/>
      </c>
      <c r="T385" s="103">
        <f>IF(Human_Data_Entry!BT383="","",Human_Data_Entry!BT383)</f>
        <v/>
      </c>
    </row>
    <row r="386" ht="15" customHeight="1" s="241">
      <c r="A386" s="103">
        <f>IF(Human_Data_Entry!A384="","",Human_Data_Entry!A384)</f>
        <v/>
      </c>
      <c r="B386" s="103">
        <f>IF(Human_Data_Entry!B384="","",Human_Data_Entry!B384)</f>
        <v/>
      </c>
      <c r="C386" s="104">
        <f>IF(Human_Data_Entry!C384="","",Human_Data_Entry!C384)</f>
        <v/>
      </c>
      <c r="D386" s="103">
        <f>IF(Human_Data_Entry!D384="","",Human_Data_Entry!D384)</f>
        <v/>
      </c>
      <c r="E386" s="103">
        <f>IF(Human_Data_Entry!G384="","",Human_Data_Entry!G384)</f>
        <v/>
      </c>
      <c r="F386" s="103">
        <f>IF(Human_Data_Entry!X384="","",Human_Data_Entry!X384)</f>
        <v/>
      </c>
      <c r="G386" s="103">
        <f>IF(Human_Data_Entry!AY384="","",Human_Data_Entry!AY384)</f>
        <v/>
      </c>
      <c r="H386" s="103">
        <f>IF(Human_Data_Entry!AZ384="","",Human_Data_Entry!AZ384)</f>
        <v/>
      </c>
      <c r="I386" s="103">
        <f>IF(Human_Data_Entry!AL384="","",Human_Data_Entry!AL384)</f>
        <v/>
      </c>
      <c r="J386" s="103">
        <f>IF(Human_Data_Entry!AM384="","",Human_Data_Entry!AM384)</f>
        <v/>
      </c>
      <c r="K386" s="103">
        <f>IF(Human_Data_Entry!AN384="","",Human_Data_Entry!AN384)</f>
        <v/>
      </c>
      <c r="L386" s="103">
        <f>IF(Human_Data_Entry!AO384="","",Human_Data_Entry!AO384)</f>
        <v/>
      </c>
      <c r="M386" s="103">
        <f>IF(Human_Data_Entry!BM384="","",Human_Data_Entry!BM384)</f>
        <v/>
      </c>
      <c r="N386" s="103">
        <f>IF(Human_Data_Entry!BN384="","",Human_Data_Entry!BN384)</f>
        <v/>
      </c>
      <c r="O386" s="103">
        <f>IF(Human_Data_Entry!BO384="","",Human_Data_Entry!BO384)</f>
        <v/>
      </c>
      <c r="P386" s="103">
        <f>IF(Human_Data_Entry!BP384="","",Human_Data_Entry!BP384)</f>
        <v/>
      </c>
      <c r="Q386" s="103">
        <f>IF(Human_Data_Entry!BQ384="","",Human_Data_Entry!BQ384)</f>
        <v/>
      </c>
      <c r="R386" s="103">
        <f>IF(Human_Data_Entry!BR384="","",Human_Data_Entry!BR384)</f>
        <v/>
      </c>
      <c r="S386" s="103">
        <f>IF(Human_Data_Entry!BS384="","",Human_Data_Entry!BS384)</f>
        <v/>
      </c>
      <c r="T386" s="103">
        <f>IF(Human_Data_Entry!BT384="","",Human_Data_Entry!BT384)</f>
        <v/>
      </c>
    </row>
    <row r="387" ht="15" customHeight="1" s="241">
      <c r="A387" s="103">
        <f>IF(Human_Data_Entry!A385="","",Human_Data_Entry!A385)</f>
        <v/>
      </c>
      <c r="B387" s="103">
        <f>IF(Human_Data_Entry!B385="","",Human_Data_Entry!B385)</f>
        <v/>
      </c>
      <c r="C387" s="104">
        <f>IF(Human_Data_Entry!C385="","",Human_Data_Entry!C385)</f>
        <v/>
      </c>
      <c r="D387" s="103">
        <f>IF(Human_Data_Entry!D385="","",Human_Data_Entry!D385)</f>
        <v/>
      </c>
      <c r="E387" s="103">
        <f>IF(Human_Data_Entry!G385="","",Human_Data_Entry!G385)</f>
        <v/>
      </c>
      <c r="F387" s="103">
        <f>IF(Human_Data_Entry!X385="","",Human_Data_Entry!X385)</f>
        <v/>
      </c>
      <c r="G387" s="103">
        <f>IF(Human_Data_Entry!AY385="","",Human_Data_Entry!AY385)</f>
        <v/>
      </c>
      <c r="H387" s="103">
        <f>IF(Human_Data_Entry!AZ385="","",Human_Data_Entry!AZ385)</f>
        <v/>
      </c>
      <c r="I387" s="103">
        <f>IF(Human_Data_Entry!AL385="","",Human_Data_Entry!AL385)</f>
        <v/>
      </c>
      <c r="J387" s="103">
        <f>IF(Human_Data_Entry!AM385="","",Human_Data_Entry!AM385)</f>
        <v/>
      </c>
      <c r="K387" s="103">
        <f>IF(Human_Data_Entry!AN385="","",Human_Data_Entry!AN385)</f>
        <v/>
      </c>
      <c r="L387" s="103">
        <f>IF(Human_Data_Entry!AO385="","",Human_Data_Entry!AO385)</f>
        <v/>
      </c>
      <c r="M387" s="103">
        <f>IF(Human_Data_Entry!BM385="","",Human_Data_Entry!BM385)</f>
        <v/>
      </c>
      <c r="N387" s="103">
        <f>IF(Human_Data_Entry!BN385="","",Human_Data_Entry!BN385)</f>
        <v/>
      </c>
      <c r="O387" s="103">
        <f>IF(Human_Data_Entry!BO385="","",Human_Data_Entry!BO385)</f>
        <v/>
      </c>
      <c r="P387" s="103">
        <f>IF(Human_Data_Entry!BP385="","",Human_Data_Entry!BP385)</f>
        <v/>
      </c>
      <c r="Q387" s="103">
        <f>IF(Human_Data_Entry!BQ385="","",Human_Data_Entry!BQ385)</f>
        <v/>
      </c>
      <c r="R387" s="103">
        <f>IF(Human_Data_Entry!BR385="","",Human_Data_Entry!BR385)</f>
        <v/>
      </c>
      <c r="S387" s="103">
        <f>IF(Human_Data_Entry!BS385="","",Human_Data_Entry!BS385)</f>
        <v/>
      </c>
      <c r="T387" s="103">
        <f>IF(Human_Data_Entry!BT385="","",Human_Data_Entry!BT385)</f>
        <v/>
      </c>
    </row>
    <row r="388" ht="15" customHeight="1" s="241">
      <c r="A388" s="103">
        <f>IF(Human_Data_Entry!A386="","",Human_Data_Entry!A386)</f>
        <v/>
      </c>
      <c r="B388" s="103">
        <f>IF(Human_Data_Entry!B386="","",Human_Data_Entry!B386)</f>
        <v/>
      </c>
      <c r="C388" s="104">
        <f>IF(Human_Data_Entry!C386="","",Human_Data_Entry!C386)</f>
        <v/>
      </c>
      <c r="D388" s="103">
        <f>IF(Human_Data_Entry!D386="","",Human_Data_Entry!D386)</f>
        <v/>
      </c>
      <c r="E388" s="103">
        <f>IF(Human_Data_Entry!G386="","",Human_Data_Entry!G386)</f>
        <v/>
      </c>
      <c r="F388" s="103">
        <f>IF(Human_Data_Entry!X386="","",Human_Data_Entry!X386)</f>
        <v/>
      </c>
      <c r="G388" s="103">
        <f>IF(Human_Data_Entry!AY386="","",Human_Data_Entry!AY386)</f>
        <v/>
      </c>
      <c r="H388" s="103">
        <f>IF(Human_Data_Entry!AZ386="","",Human_Data_Entry!AZ386)</f>
        <v/>
      </c>
      <c r="I388" s="103">
        <f>IF(Human_Data_Entry!AL386="","",Human_Data_Entry!AL386)</f>
        <v/>
      </c>
      <c r="J388" s="103">
        <f>IF(Human_Data_Entry!AM386="","",Human_Data_Entry!AM386)</f>
        <v/>
      </c>
      <c r="K388" s="103">
        <f>IF(Human_Data_Entry!AN386="","",Human_Data_Entry!AN386)</f>
        <v/>
      </c>
      <c r="L388" s="103">
        <f>IF(Human_Data_Entry!AO386="","",Human_Data_Entry!AO386)</f>
        <v/>
      </c>
      <c r="M388" s="103">
        <f>IF(Human_Data_Entry!BM386="","",Human_Data_Entry!BM386)</f>
        <v/>
      </c>
      <c r="N388" s="103">
        <f>IF(Human_Data_Entry!BN386="","",Human_Data_Entry!BN386)</f>
        <v/>
      </c>
      <c r="O388" s="103">
        <f>IF(Human_Data_Entry!BO386="","",Human_Data_Entry!BO386)</f>
        <v/>
      </c>
      <c r="P388" s="103">
        <f>IF(Human_Data_Entry!BP386="","",Human_Data_Entry!BP386)</f>
        <v/>
      </c>
      <c r="Q388" s="103">
        <f>IF(Human_Data_Entry!BQ386="","",Human_Data_Entry!BQ386)</f>
        <v/>
      </c>
      <c r="R388" s="103">
        <f>IF(Human_Data_Entry!BR386="","",Human_Data_Entry!BR386)</f>
        <v/>
      </c>
      <c r="S388" s="103">
        <f>IF(Human_Data_Entry!BS386="","",Human_Data_Entry!BS386)</f>
        <v/>
      </c>
      <c r="T388" s="103">
        <f>IF(Human_Data_Entry!BT386="","",Human_Data_Entry!BT386)</f>
        <v/>
      </c>
    </row>
    <row r="389" ht="15" customHeight="1" s="241">
      <c r="A389" s="103">
        <f>IF(Human_Data_Entry!A387="","",Human_Data_Entry!A387)</f>
        <v/>
      </c>
      <c r="B389" s="103">
        <f>IF(Human_Data_Entry!B387="","",Human_Data_Entry!B387)</f>
        <v/>
      </c>
      <c r="C389" s="104">
        <f>IF(Human_Data_Entry!C387="","",Human_Data_Entry!C387)</f>
        <v/>
      </c>
      <c r="D389" s="103">
        <f>IF(Human_Data_Entry!D387="","",Human_Data_Entry!D387)</f>
        <v/>
      </c>
      <c r="E389" s="103">
        <f>IF(Human_Data_Entry!G387="","",Human_Data_Entry!G387)</f>
        <v/>
      </c>
      <c r="F389" s="103">
        <f>IF(Human_Data_Entry!X387="","",Human_Data_Entry!X387)</f>
        <v/>
      </c>
      <c r="G389" s="103">
        <f>IF(Human_Data_Entry!AY387="","",Human_Data_Entry!AY387)</f>
        <v/>
      </c>
      <c r="H389" s="103">
        <f>IF(Human_Data_Entry!AZ387="","",Human_Data_Entry!AZ387)</f>
        <v/>
      </c>
      <c r="I389" s="103">
        <f>IF(Human_Data_Entry!AL387="","",Human_Data_Entry!AL387)</f>
        <v/>
      </c>
      <c r="J389" s="103">
        <f>IF(Human_Data_Entry!AM387="","",Human_Data_Entry!AM387)</f>
        <v/>
      </c>
      <c r="K389" s="103">
        <f>IF(Human_Data_Entry!AN387="","",Human_Data_Entry!AN387)</f>
        <v/>
      </c>
      <c r="L389" s="103">
        <f>IF(Human_Data_Entry!AO387="","",Human_Data_Entry!AO387)</f>
        <v/>
      </c>
      <c r="M389" s="103">
        <f>IF(Human_Data_Entry!BM387="","",Human_Data_Entry!BM387)</f>
        <v/>
      </c>
      <c r="N389" s="103">
        <f>IF(Human_Data_Entry!BN387="","",Human_Data_Entry!BN387)</f>
        <v/>
      </c>
      <c r="O389" s="103">
        <f>IF(Human_Data_Entry!BO387="","",Human_Data_Entry!BO387)</f>
        <v/>
      </c>
      <c r="P389" s="103">
        <f>IF(Human_Data_Entry!BP387="","",Human_Data_Entry!BP387)</f>
        <v/>
      </c>
      <c r="Q389" s="103">
        <f>IF(Human_Data_Entry!BQ387="","",Human_Data_Entry!BQ387)</f>
        <v/>
      </c>
      <c r="R389" s="103">
        <f>IF(Human_Data_Entry!BR387="","",Human_Data_Entry!BR387)</f>
        <v/>
      </c>
      <c r="S389" s="103">
        <f>IF(Human_Data_Entry!BS387="","",Human_Data_Entry!BS387)</f>
        <v/>
      </c>
      <c r="T389" s="103">
        <f>IF(Human_Data_Entry!BT387="","",Human_Data_Entry!BT387)</f>
        <v/>
      </c>
    </row>
    <row r="390" ht="15" customHeight="1" s="241">
      <c r="A390" s="103">
        <f>IF(Human_Data_Entry!A388="","",Human_Data_Entry!A388)</f>
        <v/>
      </c>
      <c r="B390" s="103">
        <f>IF(Human_Data_Entry!B388="","",Human_Data_Entry!B388)</f>
        <v/>
      </c>
      <c r="C390" s="104">
        <f>IF(Human_Data_Entry!C388="","",Human_Data_Entry!C388)</f>
        <v/>
      </c>
      <c r="D390" s="103">
        <f>IF(Human_Data_Entry!D388="","",Human_Data_Entry!D388)</f>
        <v/>
      </c>
      <c r="E390" s="103">
        <f>IF(Human_Data_Entry!G388="","",Human_Data_Entry!G388)</f>
        <v/>
      </c>
      <c r="F390" s="103">
        <f>IF(Human_Data_Entry!X388="","",Human_Data_Entry!X388)</f>
        <v/>
      </c>
      <c r="G390" s="103">
        <f>IF(Human_Data_Entry!AY388="","",Human_Data_Entry!AY388)</f>
        <v/>
      </c>
      <c r="H390" s="103">
        <f>IF(Human_Data_Entry!AZ388="","",Human_Data_Entry!AZ388)</f>
        <v/>
      </c>
      <c r="I390" s="103">
        <f>IF(Human_Data_Entry!AL388="","",Human_Data_Entry!AL388)</f>
        <v/>
      </c>
      <c r="J390" s="103">
        <f>IF(Human_Data_Entry!AM388="","",Human_Data_Entry!AM388)</f>
        <v/>
      </c>
      <c r="K390" s="103">
        <f>IF(Human_Data_Entry!AN388="","",Human_Data_Entry!AN388)</f>
        <v/>
      </c>
      <c r="L390" s="103">
        <f>IF(Human_Data_Entry!AO388="","",Human_Data_Entry!AO388)</f>
        <v/>
      </c>
      <c r="M390" s="103">
        <f>IF(Human_Data_Entry!BM388="","",Human_Data_Entry!BM388)</f>
        <v/>
      </c>
      <c r="N390" s="103">
        <f>IF(Human_Data_Entry!BN388="","",Human_Data_Entry!BN388)</f>
        <v/>
      </c>
      <c r="O390" s="103">
        <f>IF(Human_Data_Entry!BO388="","",Human_Data_Entry!BO388)</f>
        <v/>
      </c>
      <c r="P390" s="103">
        <f>IF(Human_Data_Entry!BP388="","",Human_Data_Entry!BP388)</f>
        <v/>
      </c>
      <c r="Q390" s="103">
        <f>IF(Human_Data_Entry!BQ388="","",Human_Data_Entry!BQ388)</f>
        <v/>
      </c>
      <c r="R390" s="103">
        <f>IF(Human_Data_Entry!BR388="","",Human_Data_Entry!BR388)</f>
        <v/>
      </c>
      <c r="S390" s="103">
        <f>IF(Human_Data_Entry!BS388="","",Human_Data_Entry!BS388)</f>
        <v/>
      </c>
      <c r="T390" s="103">
        <f>IF(Human_Data_Entry!BT388="","",Human_Data_Entry!BT388)</f>
        <v/>
      </c>
    </row>
    <row r="391" ht="15" customHeight="1" s="241">
      <c r="A391" s="103">
        <f>IF(Human_Data_Entry!A389="","",Human_Data_Entry!A389)</f>
        <v/>
      </c>
      <c r="B391" s="103">
        <f>IF(Human_Data_Entry!B389="","",Human_Data_Entry!B389)</f>
        <v/>
      </c>
      <c r="C391" s="104">
        <f>IF(Human_Data_Entry!C389="","",Human_Data_Entry!C389)</f>
        <v/>
      </c>
      <c r="D391" s="103">
        <f>IF(Human_Data_Entry!D389="","",Human_Data_Entry!D389)</f>
        <v/>
      </c>
      <c r="E391" s="103">
        <f>IF(Human_Data_Entry!G389="","",Human_Data_Entry!G389)</f>
        <v/>
      </c>
      <c r="F391" s="103">
        <f>IF(Human_Data_Entry!X389="","",Human_Data_Entry!X389)</f>
        <v/>
      </c>
      <c r="G391" s="103">
        <f>IF(Human_Data_Entry!AY389="","",Human_Data_Entry!AY389)</f>
        <v/>
      </c>
      <c r="H391" s="103">
        <f>IF(Human_Data_Entry!AZ389="","",Human_Data_Entry!AZ389)</f>
        <v/>
      </c>
      <c r="I391" s="103">
        <f>IF(Human_Data_Entry!AL389="","",Human_Data_Entry!AL389)</f>
        <v/>
      </c>
      <c r="J391" s="103">
        <f>IF(Human_Data_Entry!AM389="","",Human_Data_Entry!AM389)</f>
        <v/>
      </c>
      <c r="K391" s="103">
        <f>IF(Human_Data_Entry!AN389="","",Human_Data_Entry!AN389)</f>
        <v/>
      </c>
      <c r="L391" s="103">
        <f>IF(Human_Data_Entry!AO389="","",Human_Data_Entry!AO389)</f>
        <v/>
      </c>
      <c r="M391" s="103">
        <f>IF(Human_Data_Entry!BM389="","",Human_Data_Entry!BM389)</f>
        <v/>
      </c>
      <c r="N391" s="103">
        <f>IF(Human_Data_Entry!BN389="","",Human_Data_Entry!BN389)</f>
        <v/>
      </c>
      <c r="O391" s="103">
        <f>IF(Human_Data_Entry!BO389="","",Human_Data_Entry!BO389)</f>
        <v/>
      </c>
      <c r="P391" s="103">
        <f>IF(Human_Data_Entry!BP389="","",Human_Data_Entry!BP389)</f>
        <v/>
      </c>
      <c r="Q391" s="103">
        <f>IF(Human_Data_Entry!BQ389="","",Human_Data_Entry!BQ389)</f>
        <v/>
      </c>
      <c r="R391" s="103">
        <f>IF(Human_Data_Entry!BR389="","",Human_Data_Entry!BR389)</f>
        <v/>
      </c>
      <c r="S391" s="103">
        <f>IF(Human_Data_Entry!BS389="","",Human_Data_Entry!BS389)</f>
        <v/>
      </c>
      <c r="T391" s="103">
        <f>IF(Human_Data_Entry!BT389="","",Human_Data_Entry!BT389)</f>
        <v/>
      </c>
    </row>
    <row r="392" ht="15" customHeight="1" s="241">
      <c r="A392" s="103">
        <f>IF(Human_Data_Entry!A390="","",Human_Data_Entry!A390)</f>
        <v/>
      </c>
      <c r="B392" s="103">
        <f>IF(Human_Data_Entry!B390="","",Human_Data_Entry!B390)</f>
        <v/>
      </c>
      <c r="C392" s="104">
        <f>IF(Human_Data_Entry!C390="","",Human_Data_Entry!C390)</f>
        <v/>
      </c>
      <c r="D392" s="103">
        <f>IF(Human_Data_Entry!D390="","",Human_Data_Entry!D390)</f>
        <v/>
      </c>
      <c r="E392" s="103">
        <f>IF(Human_Data_Entry!G390="","",Human_Data_Entry!G390)</f>
        <v/>
      </c>
      <c r="F392" s="103">
        <f>IF(Human_Data_Entry!X390="","",Human_Data_Entry!X390)</f>
        <v/>
      </c>
      <c r="G392" s="103">
        <f>IF(Human_Data_Entry!AY390="","",Human_Data_Entry!AY390)</f>
        <v/>
      </c>
      <c r="H392" s="103">
        <f>IF(Human_Data_Entry!AZ390="","",Human_Data_Entry!AZ390)</f>
        <v/>
      </c>
      <c r="I392" s="103">
        <f>IF(Human_Data_Entry!AL390="","",Human_Data_Entry!AL390)</f>
        <v/>
      </c>
      <c r="J392" s="103">
        <f>IF(Human_Data_Entry!AM390="","",Human_Data_Entry!AM390)</f>
        <v/>
      </c>
      <c r="K392" s="103">
        <f>IF(Human_Data_Entry!AN390="","",Human_Data_Entry!AN390)</f>
        <v/>
      </c>
      <c r="L392" s="103">
        <f>IF(Human_Data_Entry!AO390="","",Human_Data_Entry!AO390)</f>
        <v/>
      </c>
      <c r="M392" s="103">
        <f>IF(Human_Data_Entry!BM390="","",Human_Data_Entry!BM390)</f>
        <v/>
      </c>
      <c r="N392" s="103">
        <f>IF(Human_Data_Entry!BN390="","",Human_Data_Entry!BN390)</f>
        <v/>
      </c>
      <c r="O392" s="103">
        <f>IF(Human_Data_Entry!BO390="","",Human_Data_Entry!BO390)</f>
        <v/>
      </c>
      <c r="P392" s="103">
        <f>IF(Human_Data_Entry!BP390="","",Human_Data_Entry!BP390)</f>
        <v/>
      </c>
      <c r="Q392" s="103">
        <f>IF(Human_Data_Entry!BQ390="","",Human_Data_Entry!BQ390)</f>
        <v/>
      </c>
      <c r="R392" s="103">
        <f>IF(Human_Data_Entry!BR390="","",Human_Data_Entry!BR390)</f>
        <v/>
      </c>
      <c r="S392" s="103">
        <f>IF(Human_Data_Entry!BS390="","",Human_Data_Entry!BS390)</f>
        <v/>
      </c>
      <c r="T392" s="103">
        <f>IF(Human_Data_Entry!BT390="","",Human_Data_Entry!BT390)</f>
        <v/>
      </c>
    </row>
    <row r="393" ht="15" customHeight="1" s="241">
      <c r="A393" s="103">
        <f>IF(Human_Data_Entry!A391="","",Human_Data_Entry!A391)</f>
        <v/>
      </c>
      <c r="B393" s="103">
        <f>IF(Human_Data_Entry!B391="","",Human_Data_Entry!B391)</f>
        <v/>
      </c>
      <c r="C393" s="104">
        <f>IF(Human_Data_Entry!C391="","",Human_Data_Entry!C391)</f>
        <v/>
      </c>
      <c r="D393" s="103">
        <f>IF(Human_Data_Entry!D391="","",Human_Data_Entry!D391)</f>
        <v/>
      </c>
      <c r="E393" s="103">
        <f>IF(Human_Data_Entry!G391="","",Human_Data_Entry!G391)</f>
        <v/>
      </c>
      <c r="F393" s="103">
        <f>IF(Human_Data_Entry!X391="","",Human_Data_Entry!X391)</f>
        <v/>
      </c>
      <c r="G393" s="103">
        <f>IF(Human_Data_Entry!AY391="","",Human_Data_Entry!AY391)</f>
        <v/>
      </c>
      <c r="H393" s="103">
        <f>IF(Human_Data_Entry!AZ391="","",Human_Data_Entry!AZ391)</f>
        <v/>
      </c>
      <c r="I393" s="103">
        <f>IF(Human_Data_Entry!AL391="","",Human_Data_Entry!AL391)</f>
        <v/>
      </c>
      <c r="J393" s="103">
        <f>IF(Human_Data_Entry!AM391="","",Human_Data_Entry!AM391)</f>
        <v/>
      </c>
      <c r="K393" s="103">
        <f>IF(Human_Data_Entry!AN391="","",Human_Data_Entry!AN391)</f>
        <v/>
      </c>
      <c r="L393" s="103">
        <f>IF(Human_Data_Entry!AO391="","",Human_Data_Entry!AO391)</f>
        <v/>
      </c>
      <c r="M393" s="103">
        <f>IF(Human_Data_Entry!BM391="","",Human_Data_Entry!BM391)</f>
        <v/>
      </c>
      <c r="N393" s="103">
        <f>IF(Human_Data_Entry!BN391="","",Human_Data_Entry!BN391)</f>
        <v/>
      </c>
      <c r="O393" s="103">
        <f>IF(Human_Data_Entry!BO391="","",Human_Data_Entry!BO391)</f>
        <v/>
      </c>
      <c r="P393" s="103">
        <f>IF(Human_Data_Entry!BP391="","",Human_Data_Entry!BP391)</f>
        <v/>
      </c>
      <c r="Q393" s="103">
        <f>IF(Human_Data_Entry!BQ391="","",Human_Data_Entry!BQ391)</f>
        <v/>
      </c>
      <c r="R393" s="103">
        <f>IF(Human_Data_Entry!BR391="","",Human_Data_Entry!BR391)</f>
        <v/>
      </c>
      <c r="S393" s="103">
        <f>IF(Human_Data_Entry!BS391="","",Human_Data_Entry!BS391)</f>
        <v/>
      </c>
      <c r="T393" s="103">
        <f>IF(Human_Data_Entry!BT391="","",Human_Data_Entry!BT391)</f>
        <v/>
      </c>
    </row>
    <row r="394" ht="15" customHeight="1" s="241">
      <c r="A394" s="103">
        <f>IF(Human_Data_Entry!A392="","",Human_Data_Entry!A392)</f>
        <v/>
      </c>
      <c r="B394" s="103">
        <f>IF(Human_Data_Entry!B392="","",Human_Data_Entry!B392)</f>
        <v/>
      </c>
      <c r="C394" s="104">
        <f>IF(Human_Data_Entry!C392="","",Human_Data_Entry!C392)</f>
        <v/>
      </c>
      <c r="D394" s="103">
        <f>IF(Human_Data_Entry!D392="","",Human_Data_Entry!D392)</f>
        <v/>
      </c>
      <c r="E394" s="103">
        <f>IF(Human_Data_Entry!G392="","",Human_Data_Entry!G392)</f>
        <v/>
      </c>
      <c r="F394" s="103">
        <f>IF(Human_Data_Entry!X392="","",Human_Data_Entry!X392)</f>
        <v/>
      </c>
      <c r="G394" s="103">
        <f>IF(Human_Data_Entry!AY392="","",Human_Data_Entry!AY392)</f>
        <v/>
      </c>
      <c r="H394" s="103">
        <f>IF(Human_Data_Entry!AZ392="","",Human_Data_Entry!AZ392)</f>
        <v/>
      </c>
      <c r="I394" s="103">
        <f>IF(Human_Data_Entry!AL392="","",Human_Data_Entry!AL392)</f>
        <v/>
      </c>
      <c r="J394" s="103">
        <f>IF(Human_Data_Entry!AM392="","",Human_Data_Entry!AM392)</f>
        <v/>
      </c>
      <c r="K394" s="103">
        <f>IF(Human_Data_Entry!AN392="","",Human_Data_Entry!AN392)</f>
        <v/>
      </c>
      <c r="L394" s="103">
        <f>IF(Human_Data_Entry!AO392="","",Human_Data_Entry!AO392)</f>
        <v/>
      </c>
      <c r="M394" s="103">
        <f>IF(Human_Data_Entry!BM392="","",Human_Data_Entry!BM392)</f>
        <v/>
      </c>
      <c r="N394" s="103">
        <f>IF(Human_Data_Entry!BN392="","",Human_Data_Entry!BN392)</f>
        <v/>
      </c>
      <c r="O394" s="103">
        <f>IF(Human_Data_Entry!BO392="","",Human_Data_Entry!BO392)</f>
        <v/>
      </c>
      <c r="P394" s="103">
        <f>IF(Human_Data_Entry!BP392="","",Human_Data_Entry!BP392)</f>
        <v/>
      </c>
      <c r="Q394" s="103">
        <f>IF(Human_Data_Entry!BQ392="","",Human_Data_Entry!BQ392)</f>
        <v/>
      </c>
      <c r="R394" s="103">
        <f>IF(Human_Data_Entry!BR392="","",Human_Data_Entry!BR392)</f>
        <v/>
      </c>
      <c r="S394" s="103">
        <f>IF(Human_Data_Entry!BS392="","",Human_Data_Entry!BS392)</f>
        <v/>
      </c>
      <c r="T394" s="103">
        <f>IF(Human_Data_Entry!BT392="","",Human_Data_Entry!BT392)</f>
        <v/>
      </c>
    </row>
    <row r="395" ht="15" customHeight="1" s="241">
      <c r="A395" s="103">
        <f>IF(Human_Data_Entry!A393="","",Human_Data_Entry!A393)</f>
        <v/>
      </c>
      <c r="B395" s="103">
        <f>IF(Human_Data_Entry!B393="","",Human_Data_Entry!B393)</f>
        <v/>
      </c>
      <c r="C395" s="104">
        <f>IF(Human_Data_Entry!C393="","",Human_Data_Entry!C393)</f>
        <v/>
      </c>
      <c r="D395" s="103">
        <f>IF(Human_Data_Entry!D393="","",Human_Data_Entry!D393)</f>
        <v/>
      </c>
      <c r="E395" s="103">
        <f>IF(Human_Data_Entry!G393="","",Human_Data_Entry!G393)</f>
        <v/>
      </c>
      <c r="F395" s="103">
        <f>IF(Human_Data_Entry!X393="","",Human_Data_Entry!X393)</f>
        <v/>
      </c>
      <c r="G395" s="103">
        <f>IF(Human_Data_Entry!AY393="","",Human_Data_Entry!AY393)</f>
        <v/>
      </c>
      <c r="H395" s="103">
        <f>IF(Human_Data_Entry!AZ393="","",Human_Data_Entry!AZ393)</f>
        <v/>
      </c>
      <c r="I395" s="103">
        <f>IF(Human_Data_Entry!AL393="","",Human_Data_Entry!AL393)</f>
        <v/>
      </c>
      <c r="J395" s="103">
        <f>IF(Human_Data_Entry!AM393="","",Human_Data_Entry!AM393)</f>
        <v/>
      </c>
      <c r="K395" s="103">
        <f>IF(Human_Data_Entry!AN393="","",Human_Data_Entry!AN393)</f>
        <v/>
      </c>
      <c r="L395" s="103">
        <f>IF(Human_Data_Entry!AO393="","",Human_Data_Entry!AO393)</f>
        <v/>
      </c>
      <c r="M395" s="103">
        <f>IF(Human_Data_Entry!BM393="","",Human_Data_Entry!BM393)</f>
        <v/>
      </c>
      <c r="N395" s="103">
        <f>IF(Human_Data_Entry!BN393="","",Human_Data_Entry!BN393)</f>
        <v/>
      </c>
      <c r="O395" s="103">
        <f>IF(Human_Data_Entry!BO393="","",Human_Data_Entry!BO393)</f>
        <v/>
      </c>
      <c r="P395" s="103">
        <f>IF(Human_Data_Entry!BP393="","",Human_Data_Entry!BP393)</f>
        <v/>
      </c>
      <c r="Q395" s="103">
        <f>IF(Human_Data_Entry!BQ393="","",Human_Data_Entry!BQ393)</f>
        <v/>
      </c>
      <c r="R395" s="103">
        <f>IF(Human_Data_Entry!BR393="","",Human_Data_Entry!BR393)</f>
        <v/>
      </c>
      <c r="S395" s="103">
        <f>IF(Human_Data_Entry!BS393="","",Human_Data_Entry!BS393)</f>
        <v/>
      </c>
      <c r="T395" s="103">
        <f>IF(Human_Data_Entry!BT393="","",Human_Data_Entry!BT393)</f>
        <v/>
      </c>
    </row>
    <row r="396" ht="15" customHeight="1" s="241">
      <c r="A396" s="103">
        <f>IF(Human_Data_Entry!A394="","",Human_Data_Entry!A394)</f>
        <v/>
      </c>
      <c r="B396" s="103">
        <f>IF(Human_Data_Entry!B394="","",Human_Data_Entry!B394)</f>
        <v/>
      </c>
      <c r="C396" s="104">
        <f>IF(Human_Data_Entry!C394="","",Human_Data_Entry!C394)</f>
        <v/>
      </c>
      <c r="D396" s="103">
        <f>IF(Human_Data_Entry!D394="","",Human_Data_Entry!D394)</f>
        <v/>
      </c>
      <c r="E396" s="103">
        <f>IF(Human_Data_Entry!G394="","",Human_Data_Entry!G394)</f>
        <v/>
      </c>
      <c r="F396" s="103">
        <f>IF(Human_Data_Entry!X394="","",Human_Data_Entry!X394)</f>
        <v/>
      </c>
      <c r="G396" s="103">
        <f>IF(Human_Data_Entry!AY394="","",Human_Data_Entry!AY394)</f>
        <v/>
      </c>
      <c r="H396" s="103">
        <f>IF(Human_Data_Entry!AZ394="","",Human_Data_Entry!AZ394)</f>
        <v/>
      </c>
      <c r="I396" s="103">
        <f>IF(Human_Data_Entry!AL394="","",Human_Data_Entry!AL394)</f>
        <v/>
      </c>
      <c r="J396" s="103">
        <f>IF(Human_Data_Entry!AM394="","",Human_Data_Entry!AM394)</f>
        <v/>
      </c>
      <c r="K396" s="103">
        <f>IF(Human_Data_Entry!AN394="","",Human_Data_Entry!AN394)</f>
        <v/>
      </c>
      <c r="L396" s="103">
        <f>IF(Human_Data_Entry!AO394="","",Human_Data_Entry!AO394)</f>
        <v/>
      </c>
      <c r="M396" s="103">
        <f>IF(Human_Data_Entry!BM394="","",Human_Data_Entry!BM394)</f>
        <v/>
      </c>
      <c r="N396" s="103">
        <f>IF(Human_Data_Entry!BN394="","",Human_Data_Entry!BN394)</f>
        <v/>
      </c>
      <c r="O396" s="103">
        <f>IF(Human_Data_Entry!BO394="","",Human_Data_Entry!BO394)</f>
        <v/>
      </c>
      <c r="P396" s="103">
        <f>IF(Human_Data_Entry!BP394="","",Human_Data_Entry!BP394)</f>
        <v/>
      </c>
      <c r="Q396" s="103">
        <f>IF(Human_Data_Entry!BQ394="","",Human_Data_Entry!BQ394)</f>
        <v/>
      </c>
      <c r="R396" s="103">
        <f>IF(Human_Data_Entry!BR394="","",Human_Data_Entry!BR394)</f>
        <v/>
      </c>
      <c r="S396" s="103">
        <f>IF(Human_Data_Entry!BS394="","",Human_Data_Entry!BS394)</f>
        <v/>
      </c>
      <c r="T396" s="103">
        <f>IF(Human_Data_Entry!BT394="","",Human_Data_Entry!BT394)</f>
        <v/>
      </c>
    </row>
    <row r="397" ht="15" customHeight="1" s="241">
      <c r="A397" s="103">
        <f>IF(Human_Data_Entry!A395="","",Human_Data_Entry!A395)</f>
        <v/>
      </c>
      <c r="B397" s="103">
        <f>IF(Human_Data_Entry!B395="","",Human_Data_Entry!B395)</f>
        <v/>
      </c>
      <c r="C397" s="104">
        <f>IF(Human_Data_Entry!C395="","",Human_Data_Entry!C395)</f>
        <v/>
      </c>
      <c r="D397" s="103">
        <f>IF(Human_Data_Entry!D395="","",Human_Data_Entry!D395)</f>
        <v/>
      </c>
      <c r="E397" s="103">
        <f>IF(Human_Data_Entry!G395="","",Human_Data_Entry!G395)</f>
        <v/>
      </c>
      <c r="F397" s="103">
        <f>IF(Human_Data_Entry!X395="","",Human_Data_Entry!X395)</f>
        <v/>
      </c>
      <c r="G397" s="103">
        <f>IF(Human_Data_Entry!AY395="","",Human_Data_Entry!AY395)</f>
        <v/>
      </c>
      <c r="H397" s="103">
        <f>IF(Human_Data_Entry!AZ395="","",Human_Data_Entry!AZ395)</f>
        <v/>
      </c>
      <c r="I397" s="103">
        <f>IF(Human_Data_Entry!AL395="","",Human_Data_Entry!AL395)</f>
        <v/>
      </c>
      <c r="J397" s="103">
        <f>IF(Human_Data_Entry!AM395="","",Human_Data_Entry!AM395)</f>
        <v/>
      </c>
      <c r="K397" s="103">
        <f>IF(Human_Data_Entry!AN395="","",Human_Data_Entry!AN395)</f>
        <v/>
      </c>
      <c r="L397" s="103">
        <f>IF(Human_Data_Entry!AO395="","",Human_Data_Entry!AO395)</f>
        <v/>
      </c>
      <c r="M397" s="103">
        <f>IF(Human_Data_Entry!BM395="","",Human_Data_Entry!BM395)</f>
        <v/>
      </c>
      <c r="N397" s="103">
        <f>IF(Human_Data_Entry!BN395="","",Human_Data_Entry!BN395)</f>
        <v/>
      </c>
      <c r="O397" s="103">
        <f>IF(Human_Data_Entry!BO395="","",Human_Data_Entry!BO395)</f>
        <v/>
      </c>
      <c r="P397" s="103">
        <f>IF(Human_Data_Entry!BP395="","",Human_Data_Entry!BP395)</f>
        <v/>
      </c>
      <c r="Q397" s="103">
        <f>IF(Human_Data_Entry!BQ395="","",Human_Data_Entry!BQ395)</f>
        <v/>
      </c>
      <c r="R397" s="103">
        <f>IF(Human_Data_Entry!BR395="","",Human_Data_Entry!BR395)</f>
        <v/>
      </c>
      <c r="S397" s="103">
        <f>IF(Human_Data_Entry!BS395="","",Human_Data_Entry!BS395)</f>
        <v/>
      </c>
      <c r="T397" s="103">
        <f>IF(Human_Data_Entry!BT395="","",Human_Data_Entry!BT395)</f>
        <v/>
      </c>
    </row>
    <row r="398" ht="15" customHeight="1" s="241">
      <c r="A398" s="103">
        <f>IF(Human_Data_Entry!A396="","",Human_Data_Entry!A396)</f>
        <v/>
      </c>
      <c r="B398" s="103">
        <f>IF(Human_Data_Entry!B396="","",Human_Data_Entry!B396)</f>
        <v/>
      </c>
      <c r="C398" s="104">
        <f>IF(Human_Data_Entry!C396="","",Human_Data_Entry!C396)</f>
        <v/>
      </c>
      <c r="D398" s="103">
        <f>IF(Human_Data_Entry!D396="","",Human_Data_Entry!D396)</f>
        <v/>
      </c>
      <c r="E398" s="103">
        <f>IF(Human_Data_Entry!G396="","",Human_Data_Entry!G396)</f>
        <v/>
      </c>
      <c r="F398" s="103">
        <f>IF(Human_Data_Entry!X396="","",Human_Data_Entry!X396)</f>
        <v/>
      </c>
      <c r="G398" s="103">
        <f>IF(Human_Data_Entry!AY396="","",Human_Data_Entry!AY396)</f>
        <v/>
      </c>
      <c r="H398" s="103">
        <f>IF(Human_Data_Entry!AZ396="","",Human_Data_Entry!AZ396)</f>
        <v/>
      </c>
      <c r="I398" s="103">
        <f>IF(Human_Data_Entry!AL396="","",Human_Data_Entry!AL396)</f>
        <v/>
      </c>
      <c r="J398" s="103">
        <f>IF(Human_Data_Entry!AM396="","",Human_Data_Entry!AM396)</f>
        <v/>
      </c>
      <c r="K398" s="103">
        <f>IF(Human_Data_Entry!AN396="","",Human_Data_Entry!AN396)</f>
        <v/>
      </c>
      <c r="L398" s="103">
        <f>IF(Human_Data_Entry!AO396="","",Human_Data_Entry!AO396)</f>
        <v/>
      </c>
      <c r="M398" s="103">
        <f>IF(Human_Data_Entry!BM396="","",Human_Data_Entry!BM396)</f>
        <v/>
      </c>
      <c r="N398" s="103">
        <f>IF(Human_Data_Entry!BN396="","",Human_Data_Entry!BN396)</f>
        <v/>
      </c>
      <c r="O398" s="103">
        <f>IF(Human_Data_Entry!BO396="","",Human_Data_Entry!BO396)</f>
        <v/>
      </c>
      <c r="P398" s="103">
        <f>IF(Human_Data_Entry!BP396="","",Human_Data_Entry!BP396)</f>
        <v/>
      </c>
      <c r="Q398" s="103">
        <f>IF(Human_Data_Entry!BQ396="","",Human_Data_Entry!BQ396)</f>
        <v/>
      </c>
      <c r="R398" s="103">
        <f>IF(Human_Data_Entry!BR396="","",Human_Data_Entry!BR396)</f>
        <v/>
      </c>
      <c r="S398" s="103">
        <f>IF(Human_Data_Entry!BS396="","",Human_Data_Entry!BS396)</f>
        <v/>
      </c>
      <c r="T398" s="103">
        <f>IF(Human_Data_Entry!BT396="","",Human_Data_Entry!BT396)</f>
        <v/>
      </c>
    </row>
    <row r="399" ht="15" customHeight="1" s="241">
      <c r="A399" s="103">
        <f>IF(Human_Data_Entry!A397="","",Human_Data_Entry!A397)</f>
        <v/>
      </c>
      <c r="B399" s="103">
        <f>IF(Human_Data_Entry!B397="","",Human_Data_Entry!B397)</f>
        <v/>
      </c>
      <c r="C399" s="104">
        <f>IF(Human_Data_Entry!C397="","",Human_Data_Entry!C397)</f>
        <v/>
      </c>
      <c r="D399" s="103">
        <f>IF(Human_Data_Entry!D397="","",Human_Data_Entry!D397)</f>
        <v/>
      </c>
      <c r="E399" s="103">
        <f>IF(Human_Data_Entry!G397="","",Human_Data_Entry!G397)</f>
        <v/>
      </c>
      <c r="F399" s="103">
        <f>IF(Human_Data_Entry!X397="","",Human_Data_Entry!X397)</f>
        <v/>
      </c>
      <c r="G399" s="103">
        <f>IF(Human_Data_Entry!AY397="","",Human_Data_Entry!AY397)</f>
        <v/>
      </c>
      <c r="H399" s="103">
        <f>IF(Human_Data_Entry!AZ397="","",Human_Data_Entry!AZ397)</f>
        <v/>
      </c>
      <c r="I399" s="103">
        <f>IF(Human_Data_Entry!AL397="","",Human_Data_Entry!AL397)</f>
        <v/>
      </c>
      <c r="J399" s="103">
        <f>IF(Human_Data_Entry!AM397="","",Human_Data_Entry!AM397)</f>
        <v/>
      </c>
      <c r="K399" s="103">
        <f>IF(Human_Data_Entry!AN397="","",Human_Data_Entry!AN397)</f>
        <v/>
      </c>
      <c r="L399" s="103">
        <f>IF(Human_Data_Entry!AO397="","",Human_Data_Entry!AO397)</f>
        <v/>
      </c>
      <c r="M399" s="103">
        <f>IF(Human_Data_Entry!BM397="","",Human_Data_Entry!BM397)</f>
        <v/>
      </c>
      <c r="N399" s="103">
        <f>IF(Human_Data_Entry!BN397="","",Human_Data_Entry!BN397)</f>
        <v/>
      </c>
      <c r="O399" s="103">
        <f>IF(Human_Data_Entry!BO397="","",Human_Data_Entry!BO397)</f>
        <v/>
      </c>
      <c r="P399" s="103">
        <f>IF(Human_Data_Entry!BP397="","",Human_Data_Entry!BP397)</f>
        <v/>
      </c>
      <c r="Q399" s="103">
        <f>IF(Human_Data_Entry!BQ397="","",Human_Data_Entry!BQ397)</f>
        <v/>
      </c>
      <c r="R399" s="103">
        <f>IF(Human_Data_Entry!BR397="","",Human_Data_Entry!BR397)</f>
        <v/>
      </c>
      <c r="S399" s="103">
        <f>IF(Human_Data_Entry!BS397="","",Human_Data_Entry!BS397)</f>
        <v/>
      </c>
      <c r="T399" s="103">
        <f>IF(Human_Data_Entry!BT397="","",Human_Data_Entry!BT397)</f>
        <v/>
      </c>
    </row>
    <row r="400" ht="15" customHeight="1" s="241">
      <c r="A400" s="103">
        <f>IF(Human_Data_Entry!A398="","",Human_Data_Entry!A398)</f>
        <v/>
      </c>
      <c r="B400" s="103">
        <f>IF(Human_Data_Entry!B398="","",Human_Data_Entry!B398)</f>
        <v/>
      </c>
      <c r="C400" s="104">
        <f>IF(Human_Data_Entry!C398="","",Human_Data_Entry!C398)</f>
        <v/>
      </c>
      <c r="D400" s="103">
        <f>IF(Human_Data_Entry!D398="","",Human_Data_Entry!D398)</f>
        <v/>
      </c>
      <c r="E400" s="103">
        <f>IF(Human_Data_Entry!G398="","",Human_Data_Entry!G398)</f>
        <v/>
      </c>
      <c r="F400" s="103">
        <f>IF(Human_Data_Entry!X398="","",Human_Data_Entry!X398)</f>
        <v/>
      </c>
      <c r="G400" s="103">
        <f>IF(Human_Data_Entry!AY398="","",Human_Data_Entry!AY398)</f>
        <v/>
      </c>
      <c r="H400" s="103">
        <f>IF(Human_Data_Entry!AZ398="","",Human_Data_Entry!AZ398)</f>
        <v/>
      </c>
      <c r="I400" s="103">
        <f>IF(Human_Data_Entry!AL398="","",Human_Data_Entry!AL398)</f>
        <v/>
      </c>
      <c r="J400" s="103">
        <f>IF(Human_Data_Entry!AM398="","",Human_Data_Entry!AM398)</f>
        <v/>
      </c>
      <c r="K400" s="103">
        <f>IF(Human_Data_Entry!AN398="","",Human_Data_Entry!AN398)</f>
        <v/>
      </c>
      <c r="L400" s="103">
        <f>IF(Human_Data_Entry!AO398="","",Human_Data_Entry!AO398)</f>
        <v/>
      </c>
      <c r="M400" s="103">
        <f>IF(Human_Data_Entry!BM398="","",Human_Data_Entry!BM398)</f>
        <v/>
      </c>
      <c r="N400" s="103">
        <f>IF(Human_Data_Entry!BN398="","",Human_Data_Entry!BN398)</f>
        <v/>
      </c>
      <c r="O400" s="103">
        <f>IF(Human_Data_Entry!BO398="","",Human_Data_Entry!BO398)</f>
        <v/>
      </c>
      <c r="P400" s="103">
        <f>IF(Human_Data_Entry!BP398="","",Human_Data_Entry!BP398)</f>
        <v/>
      </c>
      <c r="Q400" s="103">
        <f>IF(Human_Data_Entry!BQ398="","",Human_Data_Entry!BQ398)</f>
        <v/>
      </c>
      <c r="R400" s="103">
        <f>IF(Human_Data_Entry!BR398="","",Human_Data_Entry!BR398)</f>
        <v/>
      </c>
      <c r="S400" s="103">
        <f>IF(Human_Data_Entry!BS398="","",Human_Data_Entry!BS398)</f>
        <v/>
      </c>
      <c r="T400" s="103">
        <f>IF(Human_Data_Entry!BT398="","",Human_Data_Entry!BT398)</f>
        <v/>
      </c>
    </row>
    <row r="401" ht="15" customHeight="1" s="241">
      <c r="A401" s="103">
        <f>IF(Human_Data_Entry!A399="","",Human_Data_Entry!A399)</f>
        <v/>
      </c>
      <c r="B401" s="103">
        <f>IF(Human_Data_Entry!B399="","",Human_Data_Entry!B399)</f>
        <v/>
      </c>
      <c r="C401" s="104">
        <f>IF(Human_Data_Entry!C399="","",Human_Data_Entry!C399)</f>
        <v/>
      </c>
      <c r="D401" s="103">
        <f>IF(Human_Data_Entry!D399="","",Human_Data_Entry!D399)</f>
        <v/>
      </c>
      <c r="E401" s="103">
        <f>IF(Human_Data_Entry!G399="","",Human_Data_Entry!G399)</f>
        <v/>
      </c>
      <c r="F401" s="103">
        <f>IF(Human_Data_Entry!X399="","",Human_Data_Entry!X399)</f>
        <v/>
      </c>
      <c r="G401" s="103">
        <f>IF(Human_Data_Entry!AY399="","",Human_Data_Entry!AY399)</f>
        <v/>
      </c>
      <c r="H401" s="103">
        <f>IF(Human_Data_Entry!AZ399="","",Human_Data_Entry!AZ399)</f>
        <v/>
      </c>
      <c r="I401" s="103">
        <f>IF(Human_Data_Entry!AL399="","",Human_Data_Entry!AL399)</f>
        <v/>
      </c>
      <c r="J401" s="103">
        <f>IF(Human_Data_Entry!AM399="","",Human_Data_Entry!AM399)</f>
        <v/>
      </c>
      <c r="K401" s="103">
        <f>IF(Human_Data_Entry!AN399="","",Human_Data_Entry!AN399)</f>
        <v/>
      </c>
      <c r="L401" s="103">
        <f>IF(Human_Data_Entry!AO399="","",Human_Data_Entry!AO399)</f>
        <v/>
      </c>
      <c r="M401" s="103">
        <f>IF(Human_Data_Entry!BM399="","",Human_Data_Entry!BM399)</f>
        <v/>
      </c>
      <c r="N401" s="103">
        <f>IF(Human_Data_Entry!BN399="","",Human_Data_Entry!BN399)</f>
        <v/>
      </c>
      <c r="O401" s="103">
        <f>IF(Human_Data_Entry!BO399="","",Human_Data_Entry!BO399)</f>
        <v/>
      </c>
      <c r="P401" s="103">
        <f>IF(Human_Data_Entry!BP399="","",Human_Data_Entry!BP399)</f>
        <v/>
      </c>
      <c r="Q401" s="103">
        <f>IF(Human_Data_Entry!BQ399="","",Human_Data_Entry!BQ399)</f>
        <v/>
      </c>
      <c r="R401" s="103">
        <f>IF(Human_Data_Entry!BR399="","",Human_Data_Entry!BR399)</f>
        <v/>
      </c>
      <c r="S401" s="103">
        <f>IF(Human_Data_Entry!BS399="","",Human_Data_Entry!BS399)</f>
        <v/>
      </c>
      <c r="T401" s="103">
        <f>IF(Human_Data_Entry!BT399="","",Human_Data_Entry!BT399)</f>
        <v/>
      </c>
    </row>
    <row r="402" ht="15" customHeight="1" s="241">
      <c r="A402" s="103">
        <f>IF(Human_Data_Entry!A400="","",Human_Data_Entry!A400)</f>
        <v/>
      </c>
      <c r="B402" s="103">
        <f>IF(Human_Data_Entry!B400="","",Human_Data_Entry!B400)</f>
        <v/>
      </c>
      <c r="C402" s="104">
        <f>IF(Human_Data_Entry!C400="","",Human_Data_Entry!C400)</f>
        <v/>
      </c>
      <c r="D402" s="103">
        <f>IF(Human_Data_Entry!D400="","",Human_Data_Entry!D400)</f>
        <v/>
      </c>
      <c r="E402" s="103">
        <f>IF(Human_Data_Entry!G400="","",Human_Data_Entry!G400)</f>
        <v/>
      </c>
      <c r="F402" s="103">
        <f>IF(Human_Data_Entry!X400="","",Human_Data_Entry!X400)</f>
        <v/>
      </c>
      <c r="G402" s="103">
        <f>IF(Human_Data_Entry!AY400="","",Human_Data_Entry!AY400)</f>
        <v/>
      </c>
      <c r="H402" s="103">
        <f>IF(Human_Data_Entry!AZ400="","",Human_Data_Entry!AZ400)</f>
        <v/>
      </c>
      <c r="I402" s="103">
        <f>IF(Human_Data_Entry!AL400="","",Human_Data_Entry!AL400)</f>
        <v/>
      </c>
      <c r="J402" s="103">
        <f>IF(Human_Data_Entry!AM400="","",Human_Data_Entry!AM400)</f>
        <v/>
      </c>
      <c r="K402" s="103">
        <f>IF(Human_Data_Entry!AN400="","",Human_Data_Entry!AN400)</f>
        <v/>
      </c>
      <c r="L402" s="103">
        <f>IF(Human_Data_Entry!AO400="","",Human_Data_Entry!AO400)</f>
        <v/>
      </c>
      <c r="M402" s="103">
        <f>IF(Human_Data_Entry!BM400="","",Human_Data_Entry!BM400)</f>
        <v/>
      </c>
      <c r="N402" s="103">
        <f>IF(Human_Data_Entry!BN400="","",Human_Data_Entry!BN400)</f>
        <v/>
      </c>
      <c r="O402" s="103">
        <f>IF(Human_Data_Entry!BO400="","",Human_Data_Entry!BO400)</f>
        <v/>
      </c>
      <c r="P402" s="103">
        <f>IF(Human_Data_Entry!BP400="","",Human_Data_Entry!BP400)</f>
        <v/>
      </c>
      <c r="Q402" s="103">
        <f>IF(Human_Data_Entry!BQ400="","",Human_Data_Entry!BQ400)</f>
        <v/>
      </c>
      <c r="R402" s="103">
        <f>IF(Human_Data_Entry!BR400="","",Human_Data_Entry!BR400)</f>
        <v/>
      </c>
      <c r="S402" s="103">
        <f>IF(Human_Data_Entry!BS400="","",Human_Data_Entry!BS400)</f>
        <v/>
      </c>
      <c r="T402" s="103">
        <f>IF(Human_Data_Entry!BT400="","",Human_Data_Entry!BT400)</f>
        <v/>
      </c>
    </row>
    <row r="403" ht="15" customHeight="1" s="241">
      <c r="A403" s="103">
        <f>IF(Human_Data_Entry!A401="","",Human_Data_Entry!A401)</f>
        <v/>
      </c>
      <c r="B403" s="103">
        <f>IF(Human_Data_Entry!B401="","",Human_Data_Entry!B401)</f>
        <v/>
      </c>
      <c r="C403" s="104">
        <f>IF(Human_Data_Entry!C401="","",Human_Data_Entry!C401)</f>
        <v/>
      </c>
      <c r="D403" s="103">
        <f>IF(Human_Data_Entry!D401="","",Human_Data_Entry!D401)</f>
        <v/>
      </c>
      <c r="E403" s="103">
        <f>IF(Human_Data_Entry!G401="","",Human_Data_Entry!G401)</f>
        <v/>
      </c>
      <c r="F403" s="103">
        <f>IF(Human_Data_Entry!X401="","",Human_Data_Entry!X401)</f>
        <v/>
      </c>
      <c r="G403" s="103">
        <f>IF(Human_Data_Entry!AY401="","",Human_Data_Entry!AY401)</f>
        <v/>
      </c>
      <c r="H403" s="103">
        <f>IF(Human_Data_Entry!AZ401="","",Human_Data_Entry!AZ401)</f>
        <v/>
      </c>
      <c r="I403" s="103">
        <f>IF(Human_Data_Entry!AL401="","",Human_Data_Entry!AL401)</f>
        <v/>
      </c>
      <c r="J403" s="103">
        <f>IF(Human_Data_Entry!AM401="","",Human_Data_Entry!AM401)</f>
        <v/>
      </c>
      <c r="K403" s="103">
        <f>IF(Human_Data_Entry!AN401="","",Human_Data_Entry!AN401)</f>
        <v/>
      </c>
      <c r="L403" s="103">
        <f>IF(Human_Data_Entry!AO401="","",Human_Data_Entry!AO401)</f>
        <v/>
      </c>
      <c r="M403" s="103">
        <f>IF(Human_Data_Entry!BM401="","",Human_Data_Entry!BM401)</f>
        <v/>
      </c>
      <c r="N403" s="103">
        <f>IF(Human_Data_Entry!BN401="","",Human_Data_Entry!BN401)</f>
        <v/>
      </c>
      <c r="O403" s="103">
        <f>IF(Human_Data_Entry!BO401="","",Human_Data_Entry!BO401)</f>
        <v/>
      </c>
      <c r="P403" s="103">
        <f>IF(Human_Data_Entry!BP401="","",Human_Data_Entry!BP401)</f>
        <v/>
      </c>
      <c r="Q403" s="103">
        <f>IF(Human_Data_Entry!BQ401="","",Human_Data_Entry!BQ401)</f>
        <v/>
      </c>
      <c r="R403" s="103">
        <f>IF(Human_Data_Entry!BR401="","",Human_Data_Entry!BR401)</f>
        <v/>
      </c>
      <c r="S403" s="103">
        <f>IF(Human_Data_Entry!BS401="","",Human_Data_Entry!BS401)</f>
        <v/>
      </c>
      <c r="T403" s="103">
        <f>IF(Human_Data_Entry!BT401="","",Human_Data_Entry!BT401)</f>
        <v/>
      </c>
    </row>
    <row r="404" ht="15" customHeight="1" s="241">
      <c r="A404" s="103">
        <f>IF(Human_Data_Entry!A402="","",Human_Data_Entry!A402)</f>
        <v/>
      </c>
      <c r="B404" s="103">
        <f>IF(Human_Data_Entry!B402="","",Human_Data_Entry!B402)</f>
        <v/>
      </c>
      <c r="C404" s="104">
        <f>IF(Human_Data_Entry!C402="","",Human_Data_Entry!C402)</f>
        <v/>
      </c>
      <c r="D404" s="103">
        <f>IF(Human_Data_Entry!D402="","",Human_Data_Entry!D402)</f>
        <v/>
      </c>
      <c r="E404" s="103">
        <f>IF(Human_Data_Entry!G402="","",Human_Data_Entry!G402)</f>
        <v/>
      </c>
      <c r="F404" s="103">
        <f>IF(Human_Data_Entry!X402="","",Human_Data_Entry!X402)</f>
        <v/>
      </c>
      <c r="G404" s="103">
        <f>IF(Human_Data_Entry!AY402="","",Human_Data_Entry!AY402)</f>
        <v/>
      </c>
      <c r="H404" s="103">
        <f>IF(Human_Data_Entry!AZ402="","",Human_Data_Entry!AZ402)</f>
        <v/>
      </c>
      <c r="I404" s="103">
        <f>IF(Human_Data_Entry!AL402="","",Human_Data_Entry!AL402)</f>
        <v/>
      </c>
      <c r="J404" s="103">
        <f>IF(Human_Data_Entry!AM402="","",Human_Data_Entry!AM402)</f>
        <v/>
      </c>
      <c r="K404" s="103">
        <f>IF(Human_Data_Entry!AN402="","",Human_Data_Entry!AN402)</f>
        <v/>
      </c>
      <c r="L404" s="103">
        <f>IF(Human_Data_Entry!AO402="","",Human_Data_Entry!AO402)</f>
        <v/>
      </c>
      <c r="M404" s="103">
        <f>IF(Human_Data_Entry!BM402="","",Human_Data_Entry!BM402)</f>
        <v/>
      </c>
      <c r="N404" s="103">
        <f>IF(Human_Data_Entry!BN402="","",Human_Data_Entry!BN402)</f>
        <v/>
      </c>
      <c r="O404" s="103">
        <f>IF(Human_Data_Entry!BO402="","",Human_Data_Entry!BO402)</f>
        <v/>
      </c>
      <c r="P404" s="103">
        <f>IF(Human_Data_Entry!BP402="","",Human_Data_Entry!BP402)</f>
        <v/>
      </c>
      <c r="Q404" s="103">
        <f>IF(Human_Data_Entry!BQ402="","",Human_Data_Entry!BQ402)</f>
        <v/>
      </c>
      <c r="R404" s="103">
        <f>IF(Human_Data_Entry!BR402="","",Human_Data_Entry!BR402)</f>
        <v/>
      </c>
      <c r="S404" s="103">
        <f>IF(Human_Data_Entry!BS402="","",Human_Data_Entry!BS402)</f>
        <v/>
      </c>
      <c r="T404" s="103">
        <f>IF(Human_Data_Entry!BT402="","",Human_Data_Entry!BT402)</f>
        <v/>
      </c>
    </row>
    <row r="405" ht="15" customHeight="1" s="241">
      <c r="A405" s="103">
        <f>IF(Human_Data_Entry!A403="","",Human_Data_Entry!A403)</f>
        <v/>
      </c>
      <c r="B405" s="103">
        <f>IF(Human_Data_Entry!B403="","",Human_Data_Entry!B403)</f>
        <v/>
      </c>
      <c r="C405" s="104">
        <f>IF(Human_Data_Entry!C403="","",Human_Data_Entry!C403)</f>
        <v/>
      </c>
      <c r="D405" s="103">
        <f>IF(Human_Data_Entry!D403="","",Human_Data_Entry!D403)</f>
        <v/>
      </c>
      <c r="E405" s="103">
        <f>IF(Human_Data_Entry!G403="","",Human_Data_Entry!G403)</f>
        <v/>
      </c>
      <c r="F405" s="103">
        <f>IF(Human_Data_Entry!X403="","",Human_Data_Entry!X403)</f>
        <v/>
      </c>
      <c r="G405" s="103">
        <f>IF(Human_Data_Entry!AY403="","",Human_Data_Entry!AY403)</f>
        <v/>
      </c>
      <c r="H405" s="103">
        <f>IF(Human_Data_Entry!AZ403="","",Human_Data_Entry!AZ403)</f>
        <v/>
      </c>
      <c r="I405" s="103">
        <f>IF(Human_Data_Entry!AL403="","",Human_Data_Entry!AL403)</f>
        <v/>
      </c>
      <c r="J405" s="103">
        <f>IF(Human_Data_Entry!AM403="","",Human_Data_Entry!AM403)</f>
        <v/>
      </c>
      <c r="K405" s="103">
        <f>IF(Human_Data_Entry!AN403="","",Human_Data_Entry!AN403)</f>
        <v/>
      </c>
      <c r="L405" s="103">
        <f>IF(Human_Data_Entry!AO403="","",Human_Data_Entry!AO403)</f>
        <v/>
      </c>
      <c r="M405" s="103">
        <f>IF(Human_Data_Entry!BM403="","",Human_Data_Entry!BM403)</f>
        <v/>
      </c>
      <c r="N405" s="103">
        <f>IF(Human_Data_Entry!BN403="","",Human_Data_Entry!BN403)</f>
        <v/>
      </c>
      <c r="O405" s="103">
        <f>IF(Human_Data_Entry!BO403="","",Human_Data_Entry!BO403)</f>
        <v/>
      </c>
      <c r="P405" s="103">
        <f>IF(Human_Data_Entry!BP403="","",Human_Data_Entry!BP403)</f>
        <v/>
      </c>
      <c r="Q405" s="103">
        <f>IF(Human_Data_Entry!BQ403="","",Human_Data_Entry!BQ403)</f>
        <v/>
      </c>
      <c r="R405" s="103">
        <f>IF(Human_Data_Entry!BR403="","",Human_Data_Entry!BR403)</f>
        <v/>
      </c>
      <c r="S405" s="103">
        <f>IF(Human_Data_Entry!BS403="","",Human_Data_Entry!BS403)</f>
        <v/>
      </c>
      <c r="T405" s="103">
        <f>IF(Human_Data_Entry!BT403="","",Human_Data_Entry!BT403)</f>
        <v/>
      </c>
    </row>
    <row r="406" ht="15" customHeight="1" s="241">
      <c r="A406" s="103">
        <f>IF(Human_Data_Entry!A404="","",Human_Data_Entry!A404)</f>
        <v/>
      </c>
      <c r="B406" s="103">
        <f>IF(Human_Data_Entry!B404="","",Human_Data_Entry!B404)</f>
        <v/>
      </c>
      <c r="C406" s="104">
        <f>IF(Human_Data_Entry!C404="","",Human_Data_Entry!C404)</f>
        <v/>
      </c>
      <c r="D406" s="103">
        <f>IF(Human_Data_Entry!D404="","",Human_Data_Entry!D404)</f>
        <v/>
      </c>
      <c r="E406" s="103">
        <f>IF(Human_Data_Entry!G404="","",Human_Data_Entry!G404)</f>
        <v/>
      </c>
      <c r="F406" s="103">
        <f>IF(Human_Data_Entry!X404="","",Human_Data_Entry!X404)</f>
        <v/>
      </c>
      <c r="G406" s="103">
        <f>IF(Human_Data_Entry!AY404="","",Human_Data_Entry!AY404)</f>
        <v/>
      </c>
      <c r="H406" s="103">
        <f>IF(Human_Data_Entry!AZ404="","",Human_Data_Entry!AZ404)</f>
        <v/>
      </c>
      <c r="I406" s="103">
        <f>IF(Human_Data_Entry!AL404="","",Human_Data_Entry!AL404)</f>
        <v/>
      </c>
      <c r="J406" s="103">
        <f>IF(Human_Data_Entry!AM404="","",Human_Data_Entry!AM404)</f>
        <v/>
      </c>
      <c r="K406" s="103">
        <f>IF(Human_Data_Entry!AN404="","",Human_Data_Entry!AN404)</f>
        <v/>
      </c>
      <c r="L406" s="103">
        <f>IF(Human_Data_Entry!AO404="","",Human_Data_Entry!AO404)</f>
        <v/>
      </c>
      <c r="M406" s="103">
        <f>IF(Human_Data_Entry!BM404="","",Human_Data_Entry!BM404)</f>
        <v/>
      </c>
      <c r="N406" s="103">
        <f>IF(Human_Data_Entry!BN404="","",Human_Data_Entry!BN404)</f>
        <v/>
      </c>
      <c r="O406" s="103">
        <f>IF(Human_Data_Entry!BO404="","",Human_Data_Entry!BO404)</f>
        <v/>
      </c>
      <c r="P406" s="103">
        <f>IF(Human_Data_Entry!BP404="","",Human_Data_Entry!BP404)</f>
        <v/>
      </c>
      <c r="Q406" s="103">
        <f>IF(Human_Data_Entry!BQ404="","",Human_Data_Entry!BQ404)</f>
        <v/>
      </c>
      <c r="R406" s="103">
        <f>IF(Human_Data_Entry!BR404="","",Human_Data_Entry!BR404)</f>
        <v/>
      </c>
      <c r="S406" s="103">
        <f>IF(Human_Data_Entry!BS404="","",Human_Data_Entry!BS404)</f>
        <v/>
      </c>
      <c r="T406" s="103">
        <f>IF(Human_Data_Entry!BT404="","",Human_Data_Entry!BT404)</f>
        <v/>
      </c>
    </row>
    <row r="407" ht="15" customHeight="1" s="241">
      <c r="A407" s="103">
        <f>IF(Human_Data_Entry!A405="","",Human_Data_Entry!A405)</f>
        <v/>
      </c>
      <c r="B407" s="103">
        <f>IF(Human_Data_Entry!B405="","",Human_Data_Entry!B405)</f>
        <v/>
      </c>
      <c r="C407" s="104">
        <f>IF(Human_Data_Entry!C405="","",Human_Data_Entry!C405)</f>
        <v/>
      </c>
      <c r="D407" s="103">
        <f>IF(Human_Data_Entry!D405="","",Human_Data_Entry!D405)</f>
        <v/>
      </c>
      <c r="E407" s="103">
        <f>IF(Human_Data_Entry!G405="","",Human_Data_Entry!G405)</f>
        <v/>
      </c>
      <c r="F407" s="103">
        <f>IF(Human_Data_Entry!X405="","",Human_Data_Entry!X405)</f>
        <v/>
      </c>
      <c r="G407" s="103">
        <f>IF(Human_Data_Entry!AY405="","",Human_Data_Entry!AY405)</f>
        <v/>
      </c>
      <c r="H407" s="103">
        <f>IF(Human_Data_Entry!AZ405="","",Human_Data_Entry!AZ405)</f>
        <v/>
      </c>
      <c r="I407" s="103">
        <f>IF(Human_Data_Entry!AL405="","",Human_Data_Entry!AL405)</f>
        <v/>
      </c>
      <c r="J407" s="103">
        <f>IF(Human_Data_Entry!AM405="","",Human_Data_Entry!AM405)</f>
        <v/>
      </c>
      <c r="K407" s="103">
        <f>IF(Human_Data_Entry!AN405="","",Human_Data_Entry!AN405)</f>
        <v/>
      </c>
      <c r="L407" s="103">
        <f>IF(Human_Data_Entry!AO405="","",Human_Data_Entry!AO405)</f>
        <v/>
      </c>
      <c r="M407" s="103">
        <f>IF(Human_Data_Entry!BM405="","",Human_Data_Entry!BM405)</f>
        <v/>
      </c>
      <c r="N407" s="103">
        <f>IF(Human_Data_Entry!BN405="","",Human_Data_Entry!BN405)</f>
        <v/>
      </c>
      <c r="O407" s="103">
        <f>IF(Human_Data_Entry!BO405="","",Human_Data_Entry!BO405)</f>
        <v/>
      </c>
      <c r="P407" s="103">
        <f>IF(Human_Data_Entry!BP405="","",Human_Data_Entry!BP405)</f>
        <v/>
      </c>
      <c r="Q407" s="103">
        <f>IF(Human_Data_Entry!BQ405="","",Human_Data_Entry!BQ405)</f>
        <v/>
      </c>
      <c r="R407" s="103">
        <f>IF(Human_Data_Entry!BR405="","",Human_Data_Entry!BR405)</f>
        <v/>
      </c>
      <c r="S407" s="103">
        <f>IF(Human_Data_Entry!BS405="","",Human_Data_Entry!BS405)</f>
        <v/>
      </c>
      <c r="T407" s="103">
        <f>IF(Human_Data_Entry!BT405="","",Human_Data_Entry!BT405)</f>
        <v/>
      </c>
    </row>
    <row r="408" ht="15" customHeight="1" s="241">
      <c r="A408" s="103">
        <f>IF(Human_Data_Entry!A406="","",Human_Data_Entry!A406)</f>
        <v/>
      </c>
      <c r="B408" s="103">
        <f>IF(Human_Data_Entry!B406="","",Human_Data_Entry!B406)</f>
        <v/>
      </c>
      <c r="C408" s="104">
        <f>IF(Human_Data_Entry!C406="","",Human_Data_Entry!C406)</f>
        <v/>
      </c>
      <c r="D408" s="103">
        <f>IF(Human_Data_Entry!D406="","",Human_Data_Entry!D406)</f>
        <v/>
      </c>
      <c r="E408" s="103">
        <f>IF(Human_Data_Entry!G406="","",Human_Data_Entry!G406)</f>
        <v/>
      </c>
      <c r="F408" s="103">
        <f>IF(Human_Data_Entry!X406="","",Human_Data_Entry!X406)</f>
        <v/>
      </c>
      <c r="G408" s="103">
        <f>IF(Human_Data_Entry!AY406="","",Human_Data_Entry!AY406)</f>
        <v/>
      </c>
      <c r="H408" s="103">
        <f>IF(Human_Data_Entry!AZ406="","",Human_Data_Entry!AZ406)</f>
        <v/>
      </c>
      <c r="I408" s="103">
        <f>IF(Human_Data_Entry!AL406="","",Human_Data_Entry!AL406)</f>
        <v/>
      </c>
      <c r="J408" s="103">
        <f>IF(Human_Data_Entry!AM406="","",Human_Data_Entry!AM406)</f>
        <v/>
      </c>
      <c r="K408" s="103">
        <f>IF(Human_Data_Entry!AN406="","",Human_Data_Entry!AN406)</f>
        <v/>
      </c>
      <c r="L408" s="103">
        <f>IF(Human_Data_Entry!AO406="","",Human_Data_Entry!AO406)</f>
        <v/>
      </c>
      <c r="M408" s="103">
        <f>IF(Human_Data_Entry!BM406="","",Human_Data_Entry!BM406)</f>
        <v/>
      </c>
      <c r="N408" s="103">
        <f>IF(Human_Data_Entry!BN406="","",Human_Data_Entry!BN406)</f>
        <v/>
      </c>
      <c r="O408" s="103">
        <f>IF(Human_Data_Entry!BO406="","",Human_Data_Entry!BO406)</f>
        <v/>
      </c>
      <c r="P408" s="103">
        <f>IF(Human_Data_Entry!BP406="","",Human_Data_Entry!BP406)</f>
        <v/>
      </c>
      <c r="Q408" s="103">
        <f>IF(Human_Data_Entry!BQ406="","",Human_Data_Entry!BQ406)</f>
        <v/>
      </c>
      <c r="R408" s="103">
        <f>IF(Human_Data_Entry!BR406="","",Human_Data_Entry!BR406)</f>
        <v/>
      </c>
      <c r="S408" s="103">
        <f>IF(Human_Data_Entry!BS406="","",Human_Data_Entry!BS406)</f>
        <v/>
      </c>
      <c r="T408" s="103">
        <f>IF(Human_Data_Entry!BT406="","",Human_Data_Entry!BT406)</f>
        <v/>
      </c>
    </row>
    <row r="409" ht="15" customHeight="1" s="241">
      <c r="A409" s="103">
        <f>IF(Human_Data_Entry!A407="","",Human_Data_Entry!A407)</f>
        <v/>
      </c>
      <c r="B409" s="103">
        <f>IF(Human_Data_Entry!B407="","",Human_Data_Entry!B407)</f>
        <v/>
      </c>
      <c r="C409" s="104">
        <f>IF(Human_Data_Entry!C407="","",Human_Data_Entry!C407)</f>
        <v/>
      </c>
      <c r="D409" s="103">
        <f>IF(Human_Data_Entry!D407="","",Human_Data_Entry!D407)</f>
        <v/>
      </c>
      <c r="E409" s="103">
        <f>IF(Human_Data_Entry!G407="","",Human_Data_Entry!G407)</f>
        <v/>
      </c>
      <c r="F409" s="103">
        <f>IF(Human_Data_Entry!X407="","",Human_Data_Entry!X407)</f>
        <v/>
      </c>
      <c r="G409" s="103">
        <f>IF(Human_Data_Entry!AY407="","",Human_Data_Entry!AY407)</f>
        <v/>
      </c>
      <c r="H409" s="103">
        <f>IF(Human_Data_Entry!AZ407="","",Human_Data_Entry!AZ407)</f>
        <v/>
      </c>
      <c r="I409" s="103">
        <f>IF(Human_Data_Entry!AL407="","",Human_Data_Entry!AL407)</f>
        <v/>
      </c>
      <c r="J409" s="103">
        <f>IF(Human_Data_Entry!AM407="","",Human_Data_Entry!AM407)</f>
        <v/>
      </c>
      <c r="K409" s="103">
        <f>IF(Human_Data_Entry!AN407="","",Human_Data_Entry!AN407)</f>
        <v/>
      </c>
      <c r="L409" s="103">
        <f>IF(Human_Data_Entry!AO407="","",Human_Data_Entry!AO407)</f>
        <v/>
      </c>
      <c r="M409" s="103">
        <f>IF(Human_Data_Entry!BM407="","",Human_Data_Entry!BM407)</f>
        <v/>
      </c>
      <c r="N409" s="103">
        <f>IF(Human_Data_Entry!BN407="","",Human_Data_Entry!BN407)</f>
        <v/>
      </c>
      <c r="O409" s="103">
        <f>IF(Human_Data_Entry!BO407="","",Human_Data_Entry!BO407)</f>
        <v/>
      </c>
      <c r="P409" s="103">
        <f>IF(Human_Data_Entry!BP407="","",Human_Data_Entry!BP407)</f>
        <v/>
      </c>
      <c r="Q409" s="103">
        <f>IF(Human_Data_Entry!BQ407="","",Human_Data_Entry!BQ407)</f>
        <v/>
      </c>
      <c r="R409" s="103">
        <f>IF(Human_Data_Entry!BR407="","",Human_Data_Entry!BR407)</f>
        <v/>
      </c>
      <c r="S409" s="103">
        <f>IF(Human_Data_Entry!BS407="","",Human_Data_Entry!BS407)</f>
        <v/>
      </c>
      <c r="T409" s="103">
        <f>IF(Human_Data_Entry!BT407="","",Human_Data_Entry!BT407)</f>
        <v/>
      </c>
    </row>
    <row r="410" ht="15" customHeight="1" s="241">
      <c r="A410" s="103">
        <f>IF(Human_Data_Entry!A408="","",Human_Data_Entry!A408)</f>
        <v/>
      </c>
      <c r="B410" s="103">
        <f>IF(Human_Data_Entry!B408="","",Human_Data_Entry!B408)</f>
        <v/>
      </c>
      <c r="C410" s="104">
        <f>IF(Human_Data_Entry!C408="","",Human_Data_Entry!C408)</f>
        <v/>
      </c>
      <c r="D410" s="103">
        <f>IF(Human_Data_Entry!D408="","",Human_Data_Entry!D408)</f>
        <v/>
      </c>
      <c r="E410" s="103">
        <f>IF(Human_Data_Entry!G408="","",Human_Data_Entry!G408)</f>
        <v/>
      </c>
      <c r="F410" s="103">
        <f>IF(Human_Data_Entry!X408="","",Human_Data_Entry!X408)</f>
        <v/>
      </c>
      <c r="G410" s="103">
        <f>IF(Human_Data_Entry!AY408="","",Human_Data_Entry!AY408)</f>
        <v/>
      </c>
      <c r="H410" s="103">
        <f>IF(Human_Data_Entry!AZ408="","",Human_Data_Entry!AZ408)</f>
        <v/>
      </c>
      <c r="I410" s="103">
        <f>IF(Human_Data_Entry!AL408="","",Human_Data_Entry!AL408)</f>
        <v/>
      </c>
      <c r="J410" s="103">
        <f>IF(Human_Data_Entry!AM408="","",Human_Data_Entry!AM408)</f>
        <v/>
      </c>
      <c r="K410" s="103">
        <f>IF(Human_Data_Entry!AN408="","",Human_Data_Entry!AN408)</f>
        <v/>
      </c>
      <c r="L410" s="103">
        <f>IF(Human_Data_Entry!AO408="","",Human_Data_Entry!AO408)</f>
        <v/>
      </c>
      <c r="M410" s="103">
        <f>IF(Human_Data_Entry!BM408="","",Human_Data_Entry!BM408)</f>
        <v/>
      </c>
      <c r="N410" s="103">
        <f>IF(Human_Data_Entry!BN408="","",Human_Data_Entry!BN408)</f>
        <v/>
      </c>
      <c r="O410" s="103">
        <f>IF(Human_Data_Entry!BO408="","",Human_Data_Entry!BO408)</f>
        <v/>
      </c>
      <c r="P410" s="103">
        <f>IF(Human_Data_Entry!BP408="","",Human_Data_Entry!BP408)</f>
        <v/>
      </c>
      <c r="Q410" s="103">
        <f>IF(Human_Data_Entry!BQ408="","",Human_Data_Entry!BQ408)</f>
        <v/>
      </c>
      <c r="R410" s="103">
        <f>IF(Human_Data_Entry!BR408="","",Human_Data_Entry!BR408)</f>
        <v/>
      </c>
      <c r="S410" s="103">
        <f>IF(Human_Data_Entry!BS408="","",Human_Data_Entry!BS408)</f>
        <v/>
      </c>
      <c r="T410" s="103">
        <f>IF(Human_Data_Entry!BT408="","",Human_Data_Entry!BT408)</f>
        <v/>
      </c>
    </row>
    <row r="411" ht="15" customHeight="1" s="241">
      <c r="A411" s="103">
        <f>IF(Human_Data_Entry!A409="","",Human_Data_Entry!A409)</f>
        <v/>
      </c>
      <c r="B411" s="103">
        <f>IF(Human_Data_Entry!B409="","",Human_Data_Entry!B409)</f>
        <v/>
      </c>
      <c r="C411" s="104">
        <f>IF(Human_Data_Entry!C409="","",Human_Data_Entry!C409)</f>
        <v/>
      </c>
      <c r="D411" s="103">
        <f>IF(Human_Data_Entry!D409="","",Human_Data_Entry!D409)</f>
        <v/>
      </c>
      <c r="E411" s="103">
        <f>IF(Human_Data_Entry!G409="","",Human_Data_Entry!G409)</f>
        <v/>
      </c>
      <c r="F411" s="103">
        <f>IF(Human_Data_Entry!X409="","",Human_Data_Entry!X409)</f>
        <v/>
      </c>
      <c r="G411" s="103">
        <f>IF(Human_Data_Entry!AY409="","",Human_Data_Entry!AY409)</f>
        <v/>
      </c>
      <c r="H411" s="103">
        <f>IF(Human_Data_Entry!AZ409="","",Human_Data_Entry!AZ409)</f>
        <v/>
      </c>
      <c r="I411" s="103">
        <f>IF(Human_Data_Entry!AL409="","",Human_Data_Entry!AL409)</f>
        <v/>
      </c>
      <c r="J411" s="103">
        <f>IF(Human_Data_Entry!AM409="","",Human_Data_Entry!AM409)</f>
        <v/>
      </c>
      <c r="K411" s="103">
        <f>IF(Human_Data_Entry!AN409="","",Human_Data_Entry!AN409)</f>
        <v/>
      </c>
      <c r="L411" s="103">
        <f>IF(Human_Data_Entry!AO409="","",Human_Data_Entry!AO409)</f>
        <v/>
      </c>
      <c r="M411" s="103">
        <f>IF(Human_Data_Entry!BM409="","",Human_Data_Entry!BM409)</f>
        <v/>
      </c>
      <c r="N411" s="103">
        <f>IF(Human_Data_Entry!BN409="","",Human_Data_Entry!BN409)</f>
        <v/>
      </c>
      <c r="O411" s="103">
        <f>IF(Human_Data_Entry!BO409="","",Human_Data_Entry!BO409)</f>
        <v/>
      </c>
      <c r="P411" s="103">
        <f>IF(Human_Data_Entry!BP409="","",Human_Data_Entry!BP409)</f>
        <v/>
      </c>
      <c r="Q411" s="103">
        <f>IF(Human_Data_Entry!BQ409="","",Human_Data_Entry!BQ409)</f>
        <v/>
      </c>
      <c r="R411" s="103">
        <f>IF(Human_Data_Entry!BR409="","",Human_Data_Entry!BR409)</f>
        <v/>
      </c>
      <c r="S411" s="103">
        <f>IF(Human_Data_Entry!BS409="","",Human_Data_Entry!BS409)</f>
        <v/>
      </c>
      <c r="T411" s="103">
        <f>IF(Human_Data_Entry!BT409="","",Human_Data_Entry!BT409)</f>
        <v/>
      </c>
    </row>
    <row r="412" ht="15" customHeight="1" s="241">
      <c r="A412" s="103">
        <f>IF(Human_Data_Entry!A410="","",Human_Data_Entry!A410)</f>
        <v/>
      </c>
      <c r="B412" s="103">
        <f>IF(Human_Data_Entry!B410="","",Human_Data_Entry!B410)</f>
        <v/>
      </c>
      <c r="C412" s="104">
        <f>IF(Human_Data_Entry!C410="","",Human_Data_Entry!C410)</f>
        <v/>
      </c>
      <c r="D412" s="103">
        <f>IF(Human_Data_Entry!D410="","",Human_Data_Entry!D410)</f>
        <v/>
      </c>
      <c r="E412" s="103">
        <f>IF(Human_Data_Entry!G410="","",Human_Data_Entry!G410)</f>
        <v/>
      </c>
      <c r="F412" s="103">
        <f>IF(Human_Data_Entry!X410="","",Human_Data_Entry!X410)</f>
        <v/>
      </c>
      <c r="G412" s="103">
        <f>IF(Human_Data_Entry!AY410="","",Human_Data_Entry!AY410)</f>
        <v/>
      </c>
      <c r="H412" s="103">
        <f>IF(Human_Data_Entry!AZ410="","",Human_Data_Entry!AZ410)</f>
        <v/>
      </c>
      <c r="I412" s="103">
        <f>IF(Human_Data_Entry!AL410="","",Human_Data_Entry!AL410)</f>
        <v/>
      </c>
      <c r="J412" s="103">
        <f>IF(Human_Data_Entry!AM410="","",Human_Data_Entry!AM410)</f>
        <v/>
      </c>
      <c r="K412" s="103">
        <f>IF(Human_Data_Entry!AN410="","",Human_Data_Entry!AN410)</f>
        <v/>
      </c>
      <c r="L412" s="103">
        <f>IF(Human_Data_Entry!AO410="","",Human_Data_Entry!AO410)</f>
        <v/>
      </c>
      <c r="M412" s="103">
        <f>IF(Human_Data_Entry!BM410="","",Human_Data_Entry!BM410)</f>
        <v/>
      </c>
      <c r="N412" s="103">
        <f>IF(Human_Data_Entry!BN410="","",Human_Data_Entry!BN410)</f>
        <v/>
      </c>
      <c r="O412" s="103">
        <f>IF(Human_Data_Entry!BO410="","",Human_Data_Entry!BO410)</f>
        <v/>
      </c>
      <c r="P412" s="103">
        <f>IF(Human_Data_Entry!BP410="","",Human_Data_Entry!BP410)</f>
        <v/>
      </c>
      <c r="Q412" s="103">
        <f>IF(Human_Data_Entry!BQ410="","",Human_Data_Entry!BQ410)</f>
        <v/>
      </c>
      <c r="R412" s="103">
        <f>IF(Human_Data_Entry!BR410="","",Human_Data_Entry!BR410)</f>
        <v/>
      </c>
      <c r="S412" s="103">
        <f>IF(Human_Data_Entry!BS410="","",Human_Data_Entry!BS410)</f>
        <v/>
      </c>
      <c r="T412" s="103">
        <f>IF(Human_Data_Entry!BT410="","",Human_Data_Entry!BT410)</f>
        <v/>
      </c>
    </row>
    <row r="413" ht="15" customHeight="1" s="241">
      <c r="A413" s="103">
        <f>IF(Human_Data_Entry!A411="","",Human_Data_Entry!A411)</f>
        <v/>
      </c>
      <c r="B413" s="103">
        <f>IF(Human_Data_Entry!B411="","",Human_Data_Entry!B411)</f>
        <v/>
      </c>
      <c r="C413" s="104">
        <f>IF(Human_Data_Entry!C411="","",Human_Data_Entry!C411)</f>
        <v/>
      </c>
      <c r="D413" s="103">
        <f>IF(Human_Data_Entry!D411="","",Human_Data_Entry!D411)</f>
        <v/>
      </c>
      <c r="E413" s="103">
        <f>IF(Human_Data_Entry!G411="","",Human_Data_Entry!G411)</f>
        <v/>
      </c>
      <c r="F413" s="103">
        <f>IF(Human_Data_Entry!X411="","",Human_Data_Entry!X411)</f>
        <v/>
      </c>
      <c r="G413" s="103">
        <f>IF(Human_Data_Entry!AY411="","",Human_Data_Entry!AY411)</f>
        <v/>
      </c>
      <c r="H413" s="103">
        <f>IF(Human_Data_Entry!AZ411="","",Human_Data_Entry!AZ411)</f>
        <v/>
      </c>
      <c r="I413" s="103">
        <f>IF(Human_Data_Entry!AL411="","",Human_Data_Entry!AL411)</f>
        <v/>
      </c>
      <c r="J413" s="103">
        <f>IF(Human_Data_Entry!AM411="","",Human_Data_Entry!AM411)</f>
        <v/>
      </c>
      <c r="K413" s="103">
        <f>IF(Human_Data_Entry!AN411="","",Human_Data_Entry!AN411)</f>
        <v/>
      </c>
      <c r="L413" s="103">
        <f>IF(Human_Data_Entry!AO411="","",Human_Data_Entry!AO411)</f>
        <v/>
      </c>
      <c r="M413" s="103">
        <f>IF(Human_Data_Entry!BM411="","",Human_Data_Entry!BM411)</f>
        <v/>
      </c>
      <c r="N413" s="103">
        <f>IF(Human_Data_Entry!BN411="","",Human_Data_Entry!BN411)</f>
        <v/>
      </c>
      <c r="O413" s="103">
        <f>IF(Human_Data_Entry!BO411="","",Human_Data_Entry!BO411)</f>
        <v/>
      </c>
      <c r="P413" s="103">
        <f>IF(Human_Data_Entry!BP411="","",Human_Data_Entry!BP411)</f>
        <v/>
      </c>
      <c r="Q413" s="103">
        <f>IF(Human_Data_Entry!BQ411="","",Human_Data_Entry!BQ411)</f>
        <v/>
      </c>
      <c r="R413" s="103">
        <f>IF(Human_Data_Entry!BR411="","",Human_Data_Entry!BR411)</f>
        <v/>
      </c>
      <c r="S413" s="103">
        <f>IF(Human_Data_Entry!BS411="","",Human_Data_Entry!BS411)</f>
        <v/>
      </c>
      <c r="T413" s="103">
        <f>IF(Human_Data_Entry!BT411="","",Human_Data_Entry!BT411)</f>
        <v/>
      </c>
    </row>
    <row r="414" ht="15" customHeight="1" s="241">
      <c r="A414" s="103">
        <f>IF(Human_Data_Entry!A412="","",Human_Data_Entry!A412)</f>
        <v/>
      </c>
      <c r="B414" s="103">
        <f>IF(Human_Data_Entry!B412="","",Human_Data_Entry!B412)</f>
        <v/>
      </c>
      <c r="C414" s="104">
        <f>IF(Human_Data_Entry!C412="","",Human_Data_Entry!C412)</f>
        <v/>
      </c>
      <c r="D414" s="103">
        <f>IF(Human_Data_Entry!D412="","",Human_Data_Entry!D412)</f>
        <v/>
      </c>
      <c r="E414" s="103">
        <f>IF(Human_Data_Entry!G412="","",Human_Data_Entry!G412)</f>
        <v/>
      </c>
      <c r="F414" s="103">
        <f>IF(Human_Data_Entry!X412="","",Human_Data_Entry!X412)</f>
        <v/>
      </c>
      <c r="G414" s="103">
        <f>IF(Human_Data_Entry!AY412="","",Human_Data_Entry!AY412)</f>
        <v/>
      </c>
      <c r="H414" s="103">
        <f>IF(Human_Data_Entry!AZ412="","",Human_Data_Entry!AZ412)</f>
        <v/>
      </c>
      <c r="I414" s="103">
        <f>IF(Human_Data_Entry!AL412="","",Human_Data_Entry!AL412)</f>
        <v/>
      </c>
      <c r="J414" s="103">
        <f>IF(Human_Data_Entry!AM412="","",Human_Data_Entry!AM412)</f>
        <v/>
      </c>
      <c r="K414" s="103">
        <f>IF(Human_Data_Entry!AN412="","",Human_Data_Entry!AN412)</f>
        <v/>
      </c>
      <c r="L414" s="103">
        <f>IF(Human_Data_Entry!AO412="","",Human_Data_Entry!AO412)</f>
        <v/>
      </c>
      <c r="M414" s="103">
        <f>IF(Human_Data_Entry!BM412="","",Human_Data_Entry!BM412)</f>
        <v/>
      </c>
      <c r="N414" s="103">
        <f>IF(Human_Data_Entry!BN412="","",Human_Data_Entry!BN412)</f>
        <v/>
      </c>
      <c r="O414" s="103">
        <f>IF(Human_Data_Entry!BO412="","",Human_Data_Entry!BO412)</f>
        <v/>
      </c>
      <c r="P414" s="103">
        <f>IF(Human_Data_Entry!BP412="","",Human_Data_Entry!BP412)</f>
        <v/>
      </c>
      <c r="Q414" s="103">
        <f>IF(Human_Data_Entry!BQ412="","",Human_Data_Entry!BQ412)</f>
        <v/>
      </c>
      <c r="R414" s="103">
        <f>IF(Human_Data_Entry!BR412="","",Human_Data_Entry!BR412)</f>
        <v/>
      </c>
      <c r="S414" s="103">
        <f>IF(Human_Data_Entry!BS412="","",Human_Data_Entry!BS412)</f>
        <v/>
      </c>
      <c r="T414" s="103">
        <f>IF(Human_Data_Entry!BT412="","",Human_Data_Entry!BT412)</f>
        <v/>
      </c>
    </row>
    <row r="415" ht="15" customHeight="1" s="241">
      <c r="A415" s="103">
        <f>IF(Human_Data_Entry!A413="","",Human_Data_Entry!A413)</f>
        <v/>
      </c>
      <c r="B415" s="103">
        <f>IF(Human_Data_Entry!B413="","",Human_Data_Entry!B413)</f>
        <v/>
      </c>
      <c r="C415" s="104">
        <f>IF(Human_Data_Entry!C413="","",Human_Data_Entry!C413)</f>
        <v/>
      </c>
      <c r="D415" s="103">
        <f>IF(Human_Data_Entry!D413="","",Human_Data_Entry!D413)</f>
        <v/>
      </c>
      <c r="E415" s="103">
        <f>IF(Human_Data_Entry!G413="","",Human_Data_Entry!G413)</f>
        <v/>
      </c>
      <c r="F415" s="103">
        <f>IF(Human_Data_Entry!X413="","",Human_Data_Entry!X413)</f>
        <v/>
      </c>
      <c r="G415" s="103">
        <f>IF(Human_Data_Entry!AY413="","",Human_Data_Entry!AY413)</f>
        <v/>
      </c>
      <c r="H415" s="103">
        <f>IF(Human_Data_Entry!AZ413="","",Human_Data_Entry!AZ413)</f>
        <v/>
      </c>
      <c r="I415" s="103">
        <f>IF(Human_Data_Entry!AL413="","",Human_Data_Entry!AL413)</f>
        <v/>
      </c>
      <c r="J415" s="103">
        <f>IF(Human_Data_Entry!AM413="","",Human_Data_Entry!AM413)</f>
        <v/>
      </c>
      <c r="K415" s="103">
        <f>IF(Human_Data_Entry!AN413="","",Human_Data_Entry!AN413)</f>
        <v/>
      </c>
      <c r="L415" s="103">
        <f>IF(Human_Data_Entry!AO413="","",Human_Data_Entry!AO413)</f>
        <v/>
      </c>
      <c r="M415" s="103">
        <f>IF(Human_Data_Entry!BM413="","",Human_Data_Entry!BM413)</f>
        <v/>
      </c>
      <c r="N415" s="103">
        <f>IF(Human_Data_Entry!BN413="","",Human_Data_Entry!BN413)</f>
        <v/>
      </c>
      <c r="O415" s="103">
        <f>IF(Human_Data_Entry!BO413="","",Human_Data_Entry!BO413)</f>
        <v/>
      </c>
      <c r="P415" s="103">
        <f>IF(Human_Data_Entry!BP413="","",Human_Data_Entry!BP413)</f>
        <v/>
      </c>
      <c r="Q415" s="103">
        <f>IF(Human_Data_Entry!BQ413="","",Human_Data_Entry!BQ413)</f>
        <v/>
      </c>
      <c r="R415" s="103">
        <f>IF(Human_Data_Entry!BR413="","",Human_Data_Entry!BR413)</f>
        <v/>
      </c>
      <c r="S415" s="103">
        <f>IF(Human_Data_Entry!BS413="","",Human_Data_Entry!BS413)</f>
        <v/>
      </c>
      <c r="T415" s="103">
        <f>IF(Human_Data_Entry!BT413="","",Human_Data_Entry!BT413)</f>
        <v/>
      </c>
    </row>
    <row r="416" ht="15" customHeight="1" s="241">
      <c r="A416" s="103">
        <f>IF(Human_Data_Entry!A414="","",Human_Data_Entry!A414)</f>
        <v/>
      </c>
      <c r="B416" s="103">
        <f>IF(Human_Data_Entry!B414="","",Human_Data_Entry!B414)</f>
        <v/>
      </c>
      <c r="C416" s="104">
        <f>IF(Human_Data_Entry!C414="","",Human_Data_Entry!C414)</f>
        <v/>
      </c>
      <c r="D416" s="103">
        <f>IF(Human_Data_Entry!D414="","",Human_Data_Entry!D414)</f>
        <v/>
      </c>
      <c r="E416" s="103">
        <f>IF(Human_Data_Entry!G414="","",Human_Data_Entry!G414)</f>
        <v/>
      </c>
      <c r="F416" s="103">
        <f>IF(Human_Data_Entry!X414="","",Human_Data_Entry!X414)</f>
        <v/>
      </c>
      <c r="G416" s="103">
        <f>IF(Human_Data_Entry!AY414="","",Human_Data_Entry!AY414)</f>
        <v/>
      </c>
      <c r="H416" s="103">
        <f>IF(Human_Data_Entry!AZ414="","",Human_Data_Entry!AZ414)</f>
        <v/>
      </c>
      <c r="I416" s="103">
        <f>IF(Human_Data_Entry!AL414="","",Human_Data_Entry!AL414)</f>
        <v/>
      </c>
      <c r="J416" s="103">
        <f>IF(Human_Data_Entry!AM414="","",Human_Data_Entry!AM414)</f>
        <v/>
      </c>
      <c r="K416" s="103">
        <f>IF(Human_Data_Entry!AN414="","",Human_Data_Entry!AN414)</f>
        <v/>
      </c>
      <c r="L416" s="103">
        <f>IF(Human_Data_Entry!AO414="","",Human_Data_Entry!AO414)</f>
        <v/>
      </c>
      <c r="M416" s="103">
        <f>IF(Human_Data_Entry!BM414="","",Human_Data_Entry!BM414)</f>
        <v/>
      </c>
      <c r="N416" s="103">
        <f>IF(Human_Data_Entry!BN414="","",Human_Data_Entry!BN414)</f>
        <v/>
      </c>
      <c r="O416" s="103">
        <f>IF(Human_Data_Entry!BO414="","",Human_Data_Entry!BO414)</f>
        <v/>
      </c>
      <c r="P416" s="103">
        <f>IF(Human_Data_Entry!BP414="","",Human_Data_Entry!BP414)</f>
        <v/>
      </c>
      <c r="Q416" s="103">
        <f>IF(Human_Data_Entry!BQ414="","",Human_Data_Entry!BQ414)</f>
        <v/>
      </c>
      <c r="R416" s="103">
        <f>IF(Human_Data_Entry!BR414="","",Human_Data_Entry!BR414)</f>
        <v/>
      </c>
      <c r="S416" s="103">
        <f>IF(Human_Data_Entry!BS414="","",Human_Data_Entry!BS414)</f>
        <v/>
      </c>
      <c r="T416" s="103">
        <f>IF(Human_Data_Entry!BT414="","",Human_Data_Entry!BT414)</f>
        <v/>
      </c>
    </row>
    <row r="417" ht="15" customHeight="1" s="241">
      <c r="A417" s="103">
        <f>IF(Human_Data_Entry!A415="","",Human_Data_Entry!A415)</f>
        <v/>
      </c>
      <c r="B417" s="103">
        <f>IF(Human_Data_Entry!B415="","",Human_Data_Entry!B415)</f>
        <v/>
      </c>
      <c r="C417" s="104">
        <f>IF(Human_Data_Entry!C415="","",Human_Data_Entry!C415)</f>
        <v/>
      </c>
      <c r="D417" s="103">
        <f>IF(Human_Data_Entry!D415="","",Human_Data_Entry!D415)</f>
        <v/>
      </c>
      <c r="E417" s="103">
        <f>IF(Human_Data_Entry!G415="","",Human_Data_Entry!G415)</f>
        <v/>
      </c>
      <c r="F417" s="103">
        <f>IF(Human_Data_Entry!X415="","",Human_Data_Entry!X415)</f>
        <v/>
      </c>
      <c r="G417" s="103">
        <f>IF(Human_Data_Entry!AY415="","",Human_Data_Entry!AY415)</f>
        <v/>
      </c>
      <c r="H417" s="103">
        <f>IF(Human_Data_Entry!AZ415="","",Human_Data_Entry!AZ415)</f>
        <v/>
      </c>
      <c r="I417" s="103">
        <f>IF(Human_Data_Entry!AL415="","",Human_Data_Entry!AL415)</f>
        <v/>
      </c>
      <c r="J417" s="103">
        <f>IF(Human_Data_Entry!AM415="","",Human_Data_Entry!AM415)</f>
        <v/>
      </c>
      <c r="K417" s="103">
        <f>IF(Human_Data_Entry!AN415="","",Human_Data_Entry!AN415)</f>
        <v/>
      </c>
      <c r="L417" s="103">
        <f>IF(Human_Data_Entry!AO415="","",Human_Data_Entry!AO415)</f>
        <v/>
      </c>
      <c r="M417" s="103">
        <f>IF(Human_Data_Entry!BM415="","",Human_Data_Entry!BM415)</f>
        <v/>
      </c>
      <c r="N417" s="103">
        <f>IF(Human_Data_Entry!BN415="","",Human_Data_Entry!BN415)</f>
        <v/>
      </c>
      <c r="O417" s="103">
        <f>IF(Human_Data_Entry!BO415="","",Human_Data_Entry!BO415)</f>
        <v/>
      </c>
      <c r="P417" s="103">
        <f>IF(Human_Data_Entry!BP415="","",Human_Data_Entry!BP415)</f>
        <v/>
      </c>
      <c r="Q417" s="103">
        <f>IF(Human_Data_Entry!BQ415="","",Human_Data_Entry!BQ415)</f>
        <v/>
      </c>
      <c r="R417" s="103">
        <f>IF(Human_Data_Entry!BR415="","",Human_Data_Entry!BR415)</f>
        <v/>
      </c>
      <c r="S417" s="103">
        <f>IF(Human_Data_Entry!BS415="","",Human_Data_Entry!BS415)</f>
        <v/>
      </c>
      <c r="T417" s="103">
        <f>IF(Human_Data_Entry!BT415="","",Human_Data_Entry!BT415)</f>
        <v/>
      </c>
    </row>
    <row r="418" ht="15" customHeight="1" s="241">
      <c r="A418" s="103">
        <f>IF(Human_Data_Entry!A416="","",Human_Data_Entry!A416)</f>
        <v/>
      </c>
      <c r="B418" s="103">
        <f>IF(Human_Data_Entry!B416="","",Human_Data_Entry!B416)</f>
        <v/>
      </c>
      <c r="C418" s="104">
        <f>IF(Human_Data_Entry!C416="","",Human_Data_Entry!C416)</f>
        <v/>
      </c>
      <c r="D418" s="103">
        <f>IF(Human_Data_Entry!D416="","",Human_Data_Entry!D416)</f>
        <v/>
      </c>
      <c r="E418" s="103">
        <f>IF(Human_Data_Entry!G416="","",Human_Data_Entry!G416)</f>
        <v/>
      </c>
      <c r="F418" s="103">
        <f>IF(Human_Data_Entry!X416="","",Human_Data_Entry!X416)</f>
        <v/>
      </c>
      <c r="G418" s="103">
        <f>IF(Human_Data_Entry!AY416="","",Human_Data_Entry!AY416)</f>
        <v/>
      </c>
      <c r="H418" s="103">
        <f>IF(Human_Data_Entry!AZ416="","",Human_Data_Entry!AZ416)</f>
        <v/>
      </c>
      <c r="I418" s="103">
        <f>IF(Human_Data_Entry!AL416="","",Human_Data_Entry!AL416)</f>
        <v/>
      </c>
      <c r="J418" s="103">
        <f>IF(Human_Data_Entry!AM416="","",Human_Data_Entry!AM416)</f>
        <v/>
      </c>
      <c r="K418" s="103">
        <f>IF(Human_Data_Entry!AN416="","",Human_Data_Entry!AN416)</f>
        <v/>
      </c>
      <c r="L418" s="103">
        <f>IF(Human_Data_Entry!AO416="","",Human_Data_Entry!AO416)</f>
        <v/>
      </c>
      <c r="M418" s="103">
        <f>IF(Human_Data_Entry!BM416="","",Human_Data_Entry!BM416)</f>
        <v/>
      </c>
      <c r="N418" s="103">
        <f>IF(Human_Data_Entry!BN416="","",Human_Data_Entry!BN416)</f>
        <v/>
      </c>
      <c r="O418" s="103">
        <f>IF(Human_Data_Entry!BO416="","",Human_Data_Entry!BO416)</f>
        <v/>
      </c>
      <c r="P418" s="103">
        <f>IF(Human_Data_Entry!BP416="","",Human_Data_Entry!BP416)</f>
        <v/>
      </c>
      <c r="Q418" s="103">
        <f>IF(Human_Data_Entry!BQ416="","",Human_Data_Entry!BQ416)</f>
        <v/>
      </c>
      <c r="R418" s="103">
        <f>IF(Human_Data_Entry!BR416="","",Human_Data_Entry!BR416)</f>
        <v/>
      </c>
      <c r="S418" s="103">
        <f>IF(Human_Data_Entry!BS416="","",Human_Data_Entry!BS416)</f>
        <v/>
      </c>
      <c r="T418" s="103">
        <f>IF(Human_Data_Entry!BT416="","",Human_Data_Entry!BT416)</f>
        <v/>
      </c>
    </row>
    <row r="419" ht="15" customHeight="1" s="241">
      <c r="A419" s="103">
        <f>IF(Human_Data_Entry!A417="","",Human_Data_Entry!A417)</f>
        <v/>
      </c>
      <c r="B419" s="103">
        <f>IF(Human_Data_Entry!B417="","",Human_Data_Entry!B417)</f>
        <v/>
      </c>
      <c r="C419" s="104">
        <f>IF(Human_Data_Entry!C417="","",Human_Data_Entry!C417)</f>
        <v/>
      </c>
      <c r="D419" s="103">
        <f>IF(Human_Data_Entry!D417="","",Human_Data_Entry!D417)</f>
        <v/>
      </c>
      <c r="E419" s="103">
        <f>IF(Human_Data_Entry!G417="","",Human_Data_Entry!G417)</f>
        <v/>
      </c>
      <c r="F419" s="103">
        <f>IF(Human_Data_Entry!X417="","",Human_Data_Entry!X417)</f>
        <v/>
      </c>
      <c r="G419" s="103">
        <f>IF(Human_Data_Entry!AY417="","",Human_Data_Entry!AY417)</f>
        <v/>
      </c>
      <c r="H419" s="103">
        <f>IF(Human_Data_Entry!AZ417="","",Human_Data_Entry!AZ417)</f>
        <v/>
      </c>
      <c r="I419" s="103">
        <f>IF(Human_Data_Entry!AL417="","",Human_Data_Entry!AL417)</f>
        <v/>
      </c>
      <c r="J419" s="103">
        <f>IF(Human_Data_Entry!AM417="","",Human_Data_Entry!AM417)</f>
        <v/>
      </c>
      <c r="K419" s="103">
        <f>IF(Human_Data_Entry!AN417="","",Human_Data_Entry!AN417)</f>
        <v/>
      </c>
      <c r="L419" s="103">
        <f>IF(Human_Data_Entry!AO417="","",Human_Data_Entry!AO417)</f>
        <v/>
      </c>
      <c r="M419" s="103">
        <f>IF(Human_Data_Entry!BM417="","",Human_Data_Entry!BM417)</f>
        <v/>
      </c>
      <c r="N419" s="103">
        <f>IF(Human_Data_Entry!BN417="","",Human_Data_Entry!BN417)</f>
        <v/>
      </c>
      <c r="O419" s="103">
        <f>IF(Human_Data_Entry!BO417="","",Human_Data_Entry!BO417)</f>
        <v/>
      </c>
      <c r="P419" s="103">
        <f>IF(Human_Data_Entry!BP417="","",Human_Data_Entry!BP417)</f>
        <v/>
      </c>
      <c r="Q419" s="103">
        <f>IF(Human_Data_Entry!BQ417="","",Human_Data_Entry!BQ417)</f>
        <v/>
      </c>
      <c r="R419" s="103">
        <f>IF(Human_Data_Entry!BR417="","",Human_Data_Entry!BR417)</f>
        <v/>
      </c>
      <c r="S419" s="103">
        <f>IF(Human_Data_Entry!BS417="","",Human_Data_Entry!BS417)</f>
        <v/>
      </c>
      <c r="T419" s="103">
        <f>IF(Human_Data_Entry!BT417="","",Human_Data_Entry!BT417)</f>
        <v/>
      </c>
    </row>
    <row r="420" ht="15" customHeight="1" s="241">
      <c r="A420" s="103">
        <f>IF(Human_Data_Entry!A418="","",Human_Data_Entry!A418)</f>
        <v/>
      </c>
      <c r="B420" s="103">
        <f>IF(Human_Data_Entry!B418="","",Human_Data_Entry!B418)</f>
        <v/>
      </c>
      <c r="C420" s="104">
        <f>IF(Human_Data_Entry!C418="","",Human_Data_Entry!C418)</f>
        <v/>
      </c>
      <c r="D420" s="103">
        <f>IF(Human_Data_Entry!D418="","",Human_Data_Entry!D418)</f>
        <v/>
      </c>
      <c r="E420" s="103">
        <f>IF(Human_Data_Entry!G418="","",Human_Data_Entry!G418)</f>
        <v/>
      </c>
      <c r="F420" s="103">
        <f>IF(Human_Data_Entry!X418="","",Human_Data_Entry!X418)</f>
        <v/>
      </c>
      <c r="G420" s="103">
        <f>IF(Human_Data_Entry!AY418="","",Human_Data_Entry!AY418)</f>
        <v/>
      </c>
      <c r="H420" s="103">
        <f>IF(Human_Data_Entry!AZ418="","",Human_Data_Entry!AZ418)</f>
        <v/>
      </c>
      <c r="I420" s="103">
        <f>IF(Human_Data_Entry!AL418="","",Human_Data_Entry!AL418)</f>
        <v/>
      </c>
      <c r="J420" s="103">
        <f>IF(Human_Data_Entry!AM418="","",Human_Data_Entry!AM418)</f>
        <v/>
      </c>
      <c r="K420" s="103">
        <f>IF(Human_Data_Entry!AN418="","",Human_Data_Entry!AN418)</f>
        <v/>
      </c>
      <c r="L420" s="103">
        <f>IF(Human_Data_Entry!AO418="","",Human_Data_Entry!AO418)</f>
        <v/>
      </c>
      <c r="M420" s="103">
        <f>IF(Human_Data_Entry!BM418="","",Human_Data_Entry!BM418)</f>
        <v/>
      </c>
      <c r="N420" s="103">
        <f>IF(Human_Data_Entry!BN418="","",Human_Data_Entry!BN418)</f>
        <v/>
      </c>
      <c r="O420" s="103">
        <f>IF(Human_Data_Entry!BO418="","",Human_Data_Entry!BO418)</f>
        <v/>
      </c>
      <c r="P420" s="103">
        <f>IF(Human_Data_Entry!BP418="","",Human_Data_Entry!BP418)</f>
        <v/>
      </c>
      <c r="Q420" s="103">
        <f>IF(Human_Data_Entry!BQ418="","",Human_Data_Entry!BQ418)</f>
        <v/>
      </c>
      <c r="R420" s="103">
        <f>IF(Human_Data_Entry!BR418="","",Human_Data_Entry!BR418)</f>
        <v/>
      </c>
      <c r="S420" s="103">
        <f>IF(Human_Data_Entry!BS418="","",Human_Data_Entry!BS418)</f>
        <v/>
      </c>
      <c r="T420" s="103">
        <f>IF(Human_Data_Entry!BT418="","",Human_Data_Entry!BT418)</f>
        <v/>
      </c>
    </row>
    <row r="421" ht="15" customHeight="1" s="241">
      <c r="A421" s="103">
        <f>IF(Human_Data_Entry!A419="","",Human_Data_Entry!A419)</f>
        <v/>
      </c>
      <c r="B421" s="103">
        <f>IF(Human_Data_Entry!B419="","",Human_Data_Entry!B419)</f>
        <v/>
      </c>
      <c r="C421" s="104">
        <f>IF(Human_Data_Entry!C419="","",Human_Data_Entry!C419)</f>
        <v/>
      </c>
      <c r="D421" s="103">
        <f>IF(Human_Data_Entry!D419="","",Human_Data_Entry!D419)</f>
        <v/>
      </c>
      <c r="E421" s="103">
        <f>IF(Human_Data_Entry!G419="","",Human_Data_Entry!G419)</f>
        <v/>
      </c>
      <c r="F421" s="103">
        <f>IF(Human_Data_Entry!X419="","",Human_Data_Entry!X419)</f>
        <v/>
      </c>
      <c r="G421" s="103">
        <f>IF(Human_Data_Entry!AY419="","",Human_Data_Entry!AY419)</f>
        <v/>
      </c>
      <c r="H421" s="103">
        <f>IF(Human_Data_Entry!AZ419="","",Human_Data_Entry!AZ419)</f>
        <v/>
      </c>
      <c r="I421" s="103">
        <f>IF(Human_Data_Entry!AL419="","",Human_Data_Entry!AL419)</f>
        <v/>
      </c>
      <c r="J421" s="103">
        <f>IF(Human_Data_Entry!AM419="","",Human_Data_Entry!AM419)</f>
        <v/>
      </c>
      <c r="K421" s="103">
        <f>IF(Human_Data_Entry!AN419="","",Human_Data_Entry!AN419)</f>
        <v/>
      </c>
      <c r="L421" s="103">
        <f>IF(Human_Data_Entry!AO419="","",Human_Data_Entry!AO419)</f>
        <v/>
      </c>
      <c r="M421" s="103">
        <f>IF(Human_Data_Entry!BM419="","",Human_Data_Entry!BM419)</f>
        <v/>
      </c>
      <c r="N421" s="103">
        <f>IF(Human_Data_Entry!BN419="","",Human_Data_Entry!BN419)</f>
        <v/>
      </c>
      <c r="O421" s="103">
        <f>IF(Human_Data_Entry!BO419="","",Human_Data_Entry!BO419)</f>
        <v/>
      </c>
      <c r="P421" s="103">
        <f>IF(Human_Data_Entry!BP419="","",Human_Data_Entry!BP419)</f>
        <v/>
      </c>
      <c r="Q421" s="103">
        <f>IF(Human_Data_Entry!BQ419="","",Human_Data_Entry!BQ419)</f>
        <v/>
      </c>
      <c r="R421" s="103">
        <f>IF(Human_Data_Entry!BR419="","",Human_Data_Entry!BR419)</f>
        <v/>
      </c>
      <c r="S421" s="103">
        <f>IF(Human_Data_Entry!BS419="","",Human_Data_Entry!BS419)</f>
        <v/>
      </c>
      <c r="T421" s="103">
        <f>IF(Human_Data_Entry!BT419="","",Human_Data_Entry!BT419)</f>
        <v/>
      </c>
    </row>
    <row r="422" ht="15" customHeight="1" s="241">
      <c r="A422" s="103">
        <f>IF(Human_Data_Entry!A420="","",Human_Data_Entry!A420)</f>
        <v/>
      </c>
      <c r="B422" s="103">
        <f>IF(Human_Data_Entry!B420="","",Human_Data_Entry!B420)</f>
        <v/>
      </c>
      <c r="C422" s="104">
        <f>IF(Human_Data_Entry!C420="","",Human_Data_Entry!C420)</f>
        <v/>
      </c>
      <c r="D422" s="103">
        <f>IF(Human_Data_Entry!D420="","",Human_Data_Entry!D420)</f>
        <v/>
      </c>
      <c r="E422" s="103">
        <f>IF(Human_Data_Entry!G420="","",Human_Data_Entry!G420)</f>
        <v/>
      </c>
      <c r="F422" s="103">
        <f>IF(Human_Data_Entry!X420="","",Human_Data_Entry!X420)</f>
        <v/>
      </c>
      <c r="G422" s="103">
        <f>IF(Human_Data_Entry!AY420="","",Human_Data_Entry!AY420)</f>
        <v/>
      </c>
      <c r="H422" s="103">
        <f>IF(Human_Data_Entry!AZ420="","",Human_Data_Entry!AZ420)</f>
        <v/>
      </c>
      <c r="I422" s="103">
        <f>IF(Human_Data_Entry!AL420="","",Human_Data_Entry!AL420)</f>
        <v/>
      </c>
      <c r="J422" s="103">
        <f>IF(Human_Data_Entry!AM420="","",Human_Data_Entry!AM420)</f>
        <v/>
      </c>
      <c r="K422" s="103">
        <f>IF(Human_Data_Entry!AN420="","",Human_Data_Entry!AN420)</f>
        <v/>
      </c>
      <c r="L422" s="103">
        <f>IF(Human_Data_Entry!AO420="","",Human_Data_Entry!AO420)</f>
        <v/>
      </c>
      <c r="M422" s="103">
        <f>IF(Human_Data_Entry!BM420="","",Human_Data_Entry!BM420)</f>
        <v/>
      </c>
      <c r="N422" s="103">
        <f>IF(Human_Data_Entry!BN420="","",Human_Data_Entry!BN420)</f>
        <v/>
      </c>
      <c r="O422" s="103">
        <f>IF(Human_Data_Entry!BO420="","",Human_Data_Entry!BO420)</f>
        <v/>
      </c>
      <c r="P422" s="103">
        <f>IF(Human_Data_Entry!BP420="","",Human_Data_Entry!BP420)</f>
        <v/>
      </c>
      <c r="Q422" s="103">
        <f>IF(Human_Data_Entry!BQ420="","",Human_Data_Entry!BQ420)</f>
        <v/>
      </c>
      <c r="R422" s="103">
        <f>IF(Human_Data_Entry!BR420="","",Human_Data_Entry!BR420)</f>
        <v/>
      </c>
      <c r="S422" s="103">
        <f>IF(Human_Data_Entry!BS420="","",Human_Data_Entry!BS420)</f>
        <v/>
      </c>
      <c r="T422" s="103">
        <f>IF(Human_Data_Entry!BT420="","",Human_Data_Entry!BT420)</f>
        <v/>
      </c>
    </row>
    <row r="423" ht="15" customHeight="1" s="241">
      <c r="A423" s="103">
        <f>IF(Human_Data_Entry!A421="","",Human_Data_Entry!A421)</f>
        <v/>
      </c>
      <c r="B423" s="103">
        <f>IF(Human_Data_Entry!B421="","",Human_Data_Entry!B421)</f>
        <v/>
      </c>
      <c r="C423" s="104">
        <f>IF(Human_Data_Entry!C421="","",Human_Data_Entry!C421)</f>
        <v/>
      </c>
      <c r="D423" s="103">
        <f>IF(Human_Data_Entry!D421="","",Human_Data_Entry!D421)</f>
        <v/>
      </c>
      <c r="E423" s="103">
        <f>IF(Human_Data_Entry!G421="","",Human_Data_Entry!G421)</f>
        <v/>
      </c>
      <c r="F423" s="103">
        <f>IF(Human_Data_Entry!X421="","",Human_Data_Entry!X421)</f>
        <v/>
      </c>
      <c r="G423" s="103">
        <f>IF(Human_Data_Entry!AY421="","",Human_Data_Entry!AY421)</f>
        <v/>
      </c>
      <c r="H423" s="103">
        <f>IF(Human_Data_Entry!AZ421="","",Human_Data_Entry!AZ421)</f>
        <v/>
      </c>
      <c r="I423" s="103">
        <f>IF(Human_Data_Entry!AL421="","",Human_Data_Entry!AL421)</f>
        <v/>
      </c>
      <c r="J423" s="103">
        <f>IF(Human_Data_Entry!AM421="","",Human_Data_Entry!AM421)</f>
        <v/>
      </c>
      <c r="K423" s="103">
        <f>IF(Human_Data_Entry!AN421="","",Human_Data_Entry!AN421)</f>
        <v/>
      </c>
      <c r="L423" s="103">
        <f>IF(Human_Data_Entry!AO421="","",Human_Data_Entry!AO421)</f>
        <v/>
      </c>
      <c r="M423" s="103">
        <f>IF(Human_Data_Entry!BM421="","",Human_Data_Entry!BM421)</f>
        <v/>
      </c>
      <c r="N423" s="103">
        <f>IF(Human_Data_Entry!BN421="","",Human_Data_Entry!BN421)</f>
        <v/>
      </c>
      <c r="O423" s="103">
        <f>IF(Human_Data_Entry!BO421="","",Human_Data_Entry!BO421)</f>
        <v/>
      </c>
      <c r="P423" s="103">
        <f>IF(Human_Data_Entry!BP421="","",Human_Data_Entry!BP421)</f>
        <v/>
      </c>
      <c r="Q423" s="103">
        <f>IF(Human_Data_Entry!BQ421="","",Human_Data_Entry!BQ421)</f>
        <v/>
      </c>
      <c r="R423" s="103">
        <f>IF(Human_Data_Entry!BR421="","",Human_Data_Entry!BR421)</f>
        <v/>
      </c>
      <c r="S423" s="103">
        <f>IF(Human_Data_Entry!BS421="","",Human_Data_Entry!BS421)</f>
        <v/>
      </c>
      <c r="T423" s="103">
        <f>IF(Human_Data_Entry!BT421="","",Human_Data_Entry!BT421)</f>
        <v/>
      </c>
    </row>
    <row r="424" ht="15" customHeight="1" s="241">
      <c r="A424" s="103">
        <f>IF(Human_Data_Entry!A422="","",Human_Data_Entry!A422)</f>
        <v/>
      </c>
      <c r="B424" s="103">
        <f>IF(Human_Data_Entry!B422="","",Human_Data_Entry!B422)</f>
        <v/>
      </c>
      <c r="C424" s="104">
        <f>IF(Human_Data_Entry!C422="","",Human_Data_Entry!C422)</f>
        <v/>
      </c>
      <c r="D424" s="103">
        <f>IF(Human_Data_Entry!D422="","",Human_Data_Entry!D422)</f>
        <v/>
      </c>
      <c r="E424" s="103">
        <f>IF(Human_Data_Entry!G422="","",Human_Data_Entry!G422)</f>
        <v/>
      </c>
      <c r="F424" s="103">
        <f>IF(Human_Data_Entry!X422="","",Human_Data_Entry!X422)</f>
        <v/>
      </c>
      <c r="G424" s="103">
        <f>IF(Human_Data_Entry!AY422="","",Human_Data_Entry!AY422)</f>
        <v/>
      </c>
      <c r="H424" s="103">
        <f>IF(Human_Data_Entry!AZ422="","",Human_Data_Entry!AZ422)</f>
        <v/>
      </c>
      <c r="I424" s="103">
        <f>IF(Human_Data_Entry!AL422="","",Human_Data_Entry!AL422)</f>
        <v/>
      </c>
      <c r="J424" s="103">
        <f>IF(Human_Data_Entry!AM422="","",Human_Data_Entry!AM422)</f>
        <v/>
      </c>
      <c r="K424" s="103">
        <f>IF(Human_Data_Entry!AN422="","",Human_Data_Entry!AN422)</f>
        <v/>
      </c>
      <c r="L424" s="103">
        <f>IF(Human_Data_Entry!AO422="","",Human_Data_Entry!AO422)</f>
        <v/>
      </c>
      <c r="M424" s="103">
        <f>IF(Human_Data_Entry!BM422="","",Human_Data_Entry!BM422)</f>
        <v/>
      </c>
      <c r="N424" s="103">
        <f>IF(Human_Data_Entry!BN422="","",Human_Data_Entry!BN422)</f>
        <v/>
      </c>
      <c r="O424" s="103">
        <f>IF(Human_Data_Entry!BO422="","",Human_Data_Entry!BO422)</f>
        <v/>
      </c>
      <c r="P424" s="103">
        <f>IF(Human_Data_Entry!BP422="","",Human_Data_Entry!BP422)</f>
        <v/>
      </c>
      <c r="Q424" s="103">
        <f>IF(Human_Data_Entry!BQ422="","",Human_Data_Entry!BQ422)</f>
        <v/>
      </c>
      <c r="R424" s="103">
        <f>IF(Human_Data_Entry!BR422="","",Human_Data_Entry!BR422)</f>
        <v/>
      </c>
      <c r="S424" s="103">
        <f>IF(Human_Data_Entry!BS422="","",Human_Data_Entry!BS422)</f>
        <v/>
      </c>
      <c r="T424" s="103">
        <f>IF(Human_Data_Entry!BT422="","",Human_Data_Entry!BT422)</f>
        <v/>
      </c>
    </row>
  </sheetData>
  <autoFilter ref="A4:T424"/>
  <mergeCells count="1">
    <mergeCell ref="A2:J2"/>
  </mergeCells>
  <pageMargins left="0.75" right="0.75" top="1" bottom="1" header="0.5" footer="0.5"/>
  <pageSetup orientation="landscape" fitToHeight="0"/>
</worksheet>
</file>

<file path=xl/worksheets/sheet15.xml><?xml version="1.0" encoding="utf-8"?>
<worksheet xmlns="http://schemas.openxmlformats.org/spreadsheetml/2006/main">
  <sheetPr>
    <tabColor rgb="FFBFBFBF"/>
    <outlinePr summaryBelow="1" summaryRight="1"/>
    <pageSetUpPr fitToPage="1"/>
  </sheetPr>
  <dimension ref="A1:X424"/>
  <sheetViews>
    <sheetView showGridLines="0" workbookViewId="0">
      <pane ySplit="4" topLeftCell="A237" activePane="bottomLeft" state="frozen"/>
      <selection pane="bottomLeft" activeCell="A1" sqref="A1"/>
    </sheetView>
  </sheetViews>
  <sheetFormatPr baseColWidth="8" defaultColWidth="8.85546875" defaultRowHeight="15"/>
  <cols>
    <col width="20" customWidth="1" style="241" min="1" max="1"/>
    <col width="9" customWidth="1" style="241" min="2" max="2"/>
    <col width="7" customWidth="1" style="241" min="3" max="3"/>
    <col width="8" customWidth="1" style="241" min="4" max="4"/>
    <col width="12" customWidth="1" style="241" min="5" max="5"/>
    <col width="20" customWidth="1" style="241" min="6" max="6"/>
    <col width="13" customWidth="1" style="241" min="7" max="7"/>
    <col width="17" customWidth="1" style="241" min="8" max="8"/>
    <col width="15" customWidth="1" style="241" min="9" max="9"/>
    <col width="7" customWidth="1" style="241" min="10" max="10"/>
    <col width="8" customWidth="1" style="241" min="11" max="11"/>
    <col width="12" customWidth="1" style="241" min="12" max="12"/>
    <col width="10" customWidth="1" style="241" min="13" max="15"/>
    <col width="9" customWidth="1" style="241" min="16" max="16"/>
    <col width="26" customWidth="1" style="241" min="17" max="17"/>
    <col width="10" customWidth="1" style="241" min="18" max="18"/>
    <col width="30" customWidth="1" style="241" min="19" max="19"/>
    <col width="24" customWidth="1" style="241" min="20" max="20"/>
    <col width="12" customWidth="1" style="241" min="21" max="21"/>
    <col width="11" customWidth="1" style="241" min="22" max="22"/>
    <col width="10" customWidth="1" style="241" min="23" max="23"/>
    <col width="12" customWidth="1" style="241" min="24" max="24"/>
  </cols>
  <sheetData>
    <row r="1" ht="18.95" customHeight="1" s="241">
      <c r="A1" s="102" t="inlineStr">
        <is>
          <t>Human arm — reading protocol</t>
        </is>
      </c>
    </row>
    <row r="2" ht="39.95" customHeight="1" s="241">
      <c r="A2" s="238" t="inlineStr">
        <is>
          <t>Blind-reading protocol and rater discipline record. Information Set records what each rater read: full, transcript only, qanda, financials, guidance, presentation only, or press release document only. Section-level reads are a separate experiment from full-document reads and must not be pooled with them.</t>
        </is>
      </c>
    </row>
    <row r="4" ht="30" customHeight="1" s="241">
      <c r="A4" s="151" t="inlineStr">
        <is>
          <t>Company</t>
        </is>
      </c>
      <c r="B4" s="151" t="inlineStr">
        <is>
          <t>Ticker</t>
        </is>
      </c>
      <c r="C4" s="151" t="inlineStr">
        <is>
          <t>Year</t>
        </is>
      </c>
      <c r="D4" s="151" t="inlineStr">
        <is>
          <t>Quarter</t>
        </is>
      </c>
      <c r="E4" s="151" t="inlineStr">
        <is>
          <t>Rater</t>
        </is>
      </c>
      <c r="F4" s="151" t="inlineStr">
        <is>
          <t>Event Key</t>
        </is>
      </c>
      <c r="G4" s="151" t="inlineStr">
        <is>
          <t>Event Set</t>
        </is>
      </c>
      <c r="H4" s="151" t="inlineStr">
        <is>
          <t>Information Set</t>
        </is>
      </c>
      <c r="I4" s="151" t="inlineStr">
        <is>
          <t>Section</t>
        </is>
      </c>
      <c r="J4" s="151" t="inlineStr">
        <is>
          <t>Pass</t>
        </is>
      </c>
      <c r="K4" s="151" t="inlineStr">
        <is>
          <t>Passes</t>
        </is>
      </c>
      <c r="L4" s="151" t="inlineStr">
        <is>
          <t>First Reading</t>
        </is>
      </c>
      <c r="M4" s="151" t="inlineStr">
        <is>
          <t>Pass 1 Min</t>
        </is>
      </c>
      <c r="N4" s="151" t="inlineStr">
        <is>
          <t>Pass 2 Min</t>
        </is>
      </c>
      <c r="O4" s="151" t="inlineStr">
        <is>
          <t>Pass 1 Score</t>
        </is>
      </c>
      <c r="P4" s="151" t="inlineStr">
        <is>
          <t>Peeked</t>
        </is>
      </c>
      <c r="Q4" s="151" t="inlineStr">
        <is>
          <t>Peeked Basis</t>
        </is>
      </c>
      <c r="R4" s="151" t="inlineStr">
        <is>
          <t>AI Declared</t>
        </is>
      </c>
      <c r="S4" s="151" t="inlineStr">
        <is>
          <t>Expectation</t>
        </is>
      </c>
      <c r="T4" s="151" t="inlineStr">
        <is>
          <t>Rater Record</t>
        </is>
      </c>
      <c r="U4" s="151" t="inlineStr">
        <is>
          <t>In LLM Universe</t>
        </is>
      </c>
      <c r="V4" s="151" t="inlineStr">
        <is>
          <t>First Rater</t>
        </is>
      </c>
      <c r="W4" s="151" t="inlineStr">
        <is>
          <t>In Window</t>
        </is>
      </c>
      <c r="X4" s="151" t="inlineStr">
        <is>
          <t>Decisions Agree</t>
        </is>
      </c>
    </row>
    <row r="5" ht="15" customHeight="1" s="241">
      <c r="A5" s="103">
        <f>IF(Human_Data_Entry!A3="","",Human_Data_Entry!A3)</f>
        <v/>
      </c>
      <c r="B5" s="103">
        <f>IF(Human_Data_Entry!B3="","",Human_Data_Entry!B3)</f>
        <v/>
      </c>
      <c r="C5" s="104">
        <f>IF(Human_Data_Entry!C3="","",Human_Data_Entry!C3)</f>
        <v/>
      </c>
      <c r="D5" s="103">
        <f>IF(Human_Data_Entry!D3="","",Human_Data_Entry!D3)</f>
        <v/>
      </c>
      <c r="E5" s="103">
        <f>IF(Human_Data_Entry!G3="","",Human_Data_Entry!G3)</f>
        <v/>
      </c>
      <c r="F5" s="103">
        <f>IF(Human_Data_Entry!X3="","",Human_Data_Entry!X3)</f>
        <v/>
      </c>
      <c r="G5" s="103">
        <f>IF(Human_Data_Entry!AY3="","",Human_Data_Entry!AY3)</f>
        <v/>
      </c>
      <c r="H5" s="103">
        <f>IF(Human_Data_Entry!AS3="","",Human_Data_Entry!AS3)</f>
        <v/>
      </c>
      <c r="I5" s="103">
        <f>IF(Human_Data_Entry!F3="","",Human_Data_Entry!F3)</f>
        <v/>
      </c>
      <c r="J5" s="103">
        <f>IF(Human_Data_Entry!BA3="","",Human_Data_Entry!BA3)</f>
        <v/>
      </c>
      <c r="K5" s="103">
        <f>IF(Human_Data_Entry!BB3="","",Human_Data_Entry!BB3)</f>
        <v/>
      </c>
      <c r="L5" s="103">
        <f>IF(Human_Data_Entry!BC3="","",Human_Data_Entry!BC3)</f>
        <v/>
      </c>
      <c r="M5" s="104">
        <f>IF(Human_Data_Entry!BD3="","",Human_Data_Entry!BD3)</f>
        <v/>
      </c>
      <c r="N5" s="104">
        <f>IF(Human_Data_Entry!BE3="","",Human_Data_Entry!BE3)</f>
        <v/>
      </c>
      <c r="O5" s="105">
        <f>IF(Human_Data_Entry!BF3="","",Human_Data_Entry!BF3)</f>
        <v/>
      </c>
      <c r="P5" s="103">
        <f>IF(Human_Data_Entry!BG3="","",Human_Data_Entry!BG3)</f>
        <v/>
      </c>
      <c r="Q5" s="103">
        <f>IF(Human_Data_Entry!BL3="","",Human_Data_Entry!BL3)</f>
        <v/>
      </c>
      <c r="R5" s="103">
        <f>IF(Human_Data_Entry!BH3="","",Human_Data_Entry!BH3)</f>
        <v/>
      </c>
      <c r="S5" s="103">
        <f>IF(Human_Data_Entry!BI3="","",Human_Data_Entry!BI3)</f>
        <v/>
      </c>
      <c r="T5" s="103">
        <f>IF(Human_Data_Entry!BJ3="","",Human_Data_Entry!BJ3)</f>
        <v/>
      </c>
      <c r="U5" s="103">
        <f>IF(Human_Data_Entry!AP3="","",Human_Data_Entry!AP3)</f>
        <v/>
      </c>
      <c r="V5" s="103">
        <f>IF(Human_Data_Entry!AQ3="","",Human_Data_Entry!AQ3)</f>
        <v/>
      </c>
      <c r="W5" s="103">
        <f>IF(Human_Data_Entry!AR3="","",Human_Data_Entry!AR3)</f>
        <v/>
      </c>
      <c r="X5" s="103">
        <f>IF(Human_Data_Entry!BK3="","",Human_Data_Entry!BK3)</f>
        <v/>
      </c>
    </row>
    <row r="6" ht="15" customHeight="1" s="241">
      <c r="A6" s="103">
        <f>IF(Human_Data_Entry!A4="","",Human_Data_Entry!A4)</f>
        <v/>
      </c>
      <c r="B6" s="103">
        <f>IF(Human_Data_Entry!B4="","",Human_Data_Entry!B4)</f>
        <v/>
      </c>
      <c r="C6" s="104">
        <f>IF(Human_Data_Entry!C4="","",Human_Data_Entry!C4)</f>
        <v/>
      </c>
      <c r="D6" s="103">
        <f>IF(Human_Data_Entry!D4="","",Human_Data_Entry!D4)</f>
        <v/>
      </c>
      <c r="E6" s="103">
        <f>IF(Human_Data_Entry!G4="","",Human_Data_Entry!G4)</f>
        <v/>
      </c>
      <c r="F6" s="103">
        <f>IF(Human_Data_Entry!X4="","",Human_Data_Entry!X4)</f>
        <v/>
      </c>
      <c r="G6" s="103">
        <f>IF(Human_Data_Entry!AY4="","",Human_Data_Entry!AY4)</f>
        <v/>
      </c>
      <c r="H6" s="103">
        <f>IF(Human_Data_Entry!AS4="","",Human_Data_Entry!AS4)</f>
        <v/>
      </c>
      <c r="I6" s="103">
        <f>IF(Human_Data_Entry!F4="","",Human_Data_Entry!F4)</f>
        <v/>
      </c>
      <c r="J6" s="103">
        <f>IF(Human_Data_Entry!BA4="","",Human_Data_Entry!BA4)</f>
        <v/>
      </c>
      <c r="K6" s="103">
        <f>IF(Human_Data_Entry!BB4="","",Human_Data_Entry!BB4)</f>
        <v/>
      </c>
      <c r="L6" s="103">
        <f>IF(Human_Data_Entry!BC4="","",Human_Data_Entry!BC4)</f>
        <v/>
      </c>
      <c r="M6" s="104">
        <f>IF(Human_Data_Entry!BD4="","",Human_Data_Entry!BD4)</f>
        <v/>
      </c>
      <c r="N6" s="104">
        <f>IF(Human_Data_Entry!BE4="","",Human_Data_Entry!BE4)</f>
        <v/>
      </c>
      <c r="O6" s="105">
        <f>IF(Human_Data_Entry!BF4="","",Human_Data_Entry!BF4)</f>
        <v/>
      </c>
      <c r="P6" s="103">
        <f>IF(Human_Data_Entry!BG4="","",Human_Data_Entry!BG4)</f>
        <v/>
      </c>
      <c r="Q6" s="103">
        <f>IF(Human_Data_Entry!BL4="","",Human_Data_Entry!BL4)</f>
        <v/>
      </c>
      <c r="R6" s="103">
        <f>IF(Human_Data_Entry!BH4="","",Human_Data_Entry!BH4)</f>
        <v/>
      </c>
      <c r="S6" s="103">
        <f>IF(Human_Data_Entry!BI4="","",Human_Data_Entry!BI4)</f>
        <v/>
      </c>
      <c r="T6" s="103">
        <f>IF(Human_Data_Entry!BJ4="","",Human_Data_Entry!BJ4)</f>
        <v/>
      </c>
      <c r="U6" s="103">
        <f>IF(Human_Data_Entry!AP4="","",Human_Data_Entry!AP4)</f>
        <v/>
      </c>
      <c r="V6" s="103">
        <f>IF(Human_Data_Entry!AQ4="","",Human_Data_Entry!AQ4)</f>
        <v/>
      </c>
      <c r="W6" s="103">
        <f>IF(Human_Data_Entry!AR4="","",Human_Data_Entry!AR4)</f>
        <v/>
      </c>
      <c r="X6" s="103">
        <f>IF(Human_Data_Entry!BK4="","",Human_Data_Entry!BK4)</f>
        <v/>
      </c>
    </row>
    <row r="7" ht="15" customHeight="1" s="241">
      <c r="A7" s="103">
        <f>IF(Human_Data_Entry!A5="","",Human_Data_Entry!A5)</f>
        <v/>
      </c>
      <c r="B7" s="103">
        <f>IF(Human_Data_Entry!B5="","",Human_Data_Entry!B5)</f>
        <v/>
      </c>
      <c r="C7" s="104">
        <f>IF(Human_Data_Entry!C5="","",Human_Data_Entry!C5)</f>
        <v/>
      </c>
      <c r="D7" s="103">
        <f>IF(Human_Data_Entry!D5="","",Human_Data_Entry!D5)</f>
        <v/>
      </c>
      <c r="E7" s="103">
        <f>IF(Human_Data_Entry!G5="","",Human_Data_Entry!G5)</f>
        <v/>
      </c>
      <c r="F7" s="103">
        <f>IF(Human_Data_Entry!X5="","",Human_Data_Entry!X5)</f>
        <v/>
      </c>
      <c r="G7" s="103">
        <f>IF(Human_Data_Entry!AY5="","",Human_Data_Entry!AY5)</f>
        <v/>
      </c>
      <c r="H7" s="103">
        <f>IF(Human_Data_Entry!AS5="","",Human_Data_Entry!AS5)</f>
        <v/>
      </c>
      <c r="I7" s="103">
        <f>IF(Human_Data_Entry!F5="","",Human_Data_Entry!F5)</f>
        <v/>
      </c>
      <c r="J7" s="103">
        <f>IF(Human_Data_Entry!BA5="","",Human_Data_Entry!BA5)</f>
        <v/>
      </c>
      <c r="K7" s="103">
        <f>IF(Human_Data_Entry!BB5="","",Human_Data_Entry!BB5)</f>
        <v/>
      </c>
      <c r="L7" s="103">
        <f>IF(Human_Data_Entry!BC5="","",Human_Data_Entry!BC5)</f>
        <v/>
      </c>
      <c r="M7" s="104">
        <f>IF(Human_Data_Entry!BD5="","",Human_Data_Entry!BD5)</f>
        <v/>
      </c>
      <c r="N7" s="104">
        <f>IF(Human_Data_Entry!BE5="","",Human_Data_Entry!BE5)</f>
        <v/>
      </c>
      <c r="O7" s="105">
        <f>IF(Human_Data_Entry!BF5="","",Human_Data_Entry!BF5)</f>
        <v/>
      </c>
      <c r="P7" s="103">
        <f>IF(Human_Data_Entry!BG5="","",Human_Data_Entry!BG5)</f>
        <v/>
      </c>
      <c r="Q7" s="103">
        <f>IF(Human_Data_Entry!BL5="","",Human_Data_Entry!BL5)</f>
        <v/>
      </c>
      <c r="R7" s="103">
        <f>IF(Human_Data_Entry!BH5="","",Human_Data_Entry!BH5)</f>
        <v/>
      </c>
      <c r="S7" s="103">
        <f>IF(Human_Data_Entry!BI5="","",Human_Data_Entry!BI5)</f>
        <v/>
      </c>
      <c r="T7" s="103">
        <f>IF(Human_Data_Entry!BJ5="","",Human_Data_Entry!BJ5)</f>
        <v/>
      </c>
      <c r="U7" s="103">
        <f>IF(Human_Data_Entry!AP5="","",Human_Data_Entry!AP5)</f>
        <v/>
      </c>
      <c r="V7" s="103">
        <f>IF(Human_Data_Entry!AQ5="","",Human_Data_Entry!AQ5)</f>
        <v/>
      </c>
      <c r="W7" s="103">
        <f>IF(Human_Data_Entry!AR5="","",Human_Data_Entry!AR5)</f>
        <v/>
      </c>
      <c r="X7" s="103">
        <f>IF(Human_Data_Entry!BK5="","",Human_Data_Entry!BK5)</f>
        <v/>
      </c>
    </row>
    <row r="8" ht="15" customHeight="1" s="241">
      <c r="A8" s="103">
        <f>IF(Human_Data_Entry!A6="","",Human_Data_Entry!A6)</f>
        <v/>
      </c>
      <c r="B8" s="103">
        <f>IF(Human_Data_Entry!B6="","",Human_Data_Entry!B6)</f>
        <v/>
      </c>
      <c r="C8" s="104">
        <f>IF(Human_Data_Entry!C6="","",Human_Data_Entry!C6)</f>
        <v/>
      </c>
      <c r="D8" s="103">
        <f>IF(Human_Data_Entry!D6="","",Human_Data_Entry!D6)</f>
        <v/>
      </c>
      <c r="E8" s="103">
        <f>IF(Human_Data_Entry!G6="","",Human_Data_Entry!G6)</f>
        <v/>
      </c>
      <c r="F8" s="103">
        <f>IF(Human_Data_Entry!X6="","",Human_Data_Entry!X6)</f>
        <v/>
      </c>
      <c r="G8" s="103">
        <f>IF(Human_Data_Entry!AY6="","",Human_Data_Entry!AY6)</f>
        <v/>
      </c>
      <c r="H8" s="103">
        <f>IF(Human_Data_Entry!AS6="","",Human_Data_Entry!AS6)</f>
        <v/>
      </c>
      <c r="I8" s="103">
        <f>IF(Human_Data_Entry!F6="","",Human_Data_Entry!F6)</f>
        <v/>
      </c>
      <c r="J8" s="103">
        <f>IF(Human_Data_Entry!BA6="","",Human_Data_Entry!BA6)</f>
        <v/>
      </c>
      <c r="K8" s="103">
        <f>IF(Human_Data_Entry!BB6="","",Human_Data_Entry!BB6)</f>
        <v/>
      </c>
      <c r="L8" s="103">
        <f>IF(Human_Data_Entry!BC6="","",Human_Data_Entry!BC6)</f>
        <v/>
      </c>
      <c r="M8" s="104">
        <f>IF(Human_Data_Entry!BD6="","",Human_Data_Entry!BD6)</f>
        <v/>
      </c>
      <c r="N8" s="104">
        <f>IF(Human_Data_Entry!BE6="","",Human_Data_Entry!BE6)</f>
        <v/>
      </c>
      <c r="O8" s="105">
        <f>IF(Human_Data_Entry!BF6="","",Human_Data_Entry!BF6)</f>
        <v/>
      </c>
      <c r="P8" s="103">
        <f>IF(Human_Data_Entry!BG6="","",Human_Data_Entry!BG6)</f>
        <v/>
      </c>
      <c r="Q8" s="103">
        <f>IF(Human_Data_Entry!BL6="","",Human_Data_Entry!BL6)</f>
        <v/>
      </c>
      <c r="R8" s="103">
        <f>IF(Human_Data_Entry!BH6="","",Human_Data_Entry!BH6)</f>
        <v/>
      </c>
      <c r="S8" s="103">
        <f>IF(Human_Data_Entry!BI6="","",Human_Data_Entry!BI6)</f>
        <v/>
      </c>
      <c r="T8" s="103">
        <f>IF(Human_Data_Entry!BJ6="","",Human_Data_Entry!BJ6)</f>
        <v/>
      </c>
      <c r="U8" s="103">
        <f>IF(Human_Data_Entry!AP6="","",Human_Data_Entry!AP6)</f>
        <v/>
      </c>
      <c r="V8" s="103">
        <f>IF(Human_Data_Entry!AQ6="","",Human_Data_Entry!AQ6)</f>
        <v/>
      </c>
      <c r="W8" s="103">
        <f>IF(Human_Data_Entry!AR6="","",Human_Data_Entry!AR6)</f>
        <v/>
      </c>
      <c r="X8" s="103">
        <f>IF(Human_Data_Entry!BK6="","",Human_Data_Entry!BK6)</f>
        <v/>
      </c>
    </row>
    <row r="9" ht="15" customHeight="1" s="241">
      <c r="A9" s="103">
        <f>IF(Human_Data_Entry!A7="","",Human_Data_Entry!A7)</f>
        <v/>
      </c>
      <c r="B9" s="103">
        <f>IF(Human_Data_Entry!B7="","",Human_Data_Entry!B7)</f>
        <v/>
      </c>
      <c r="C9" s="104">
        <f>IF(Human_Data_Entry!C7="","",Human_Data_Entry!C7)</f>
        <v/>
      </c>
      <c r="D9" s="103">
        <f>IF(Human_Data_Entry!D7="","",Human_Data_Entry!D7)</f>
        <v/>
      </c>
      <c r="E9" s="103">
        <f>IF(Human_Data_Entry!G7="","",Human_Data_Entry!G7)</f>
        <v/>
      </c>
      <c r="F9" s="103">
        <f>IF(Human_Data_Entry!X7="","",Human_Data_Entry!X7)</f>
        <v/>
      </c>
      <c r="G9" s="103">
        <f>IF(Human_Data_Entry!AY7="","",Human_Data_Entry!AY7)</f>
        <v/>
      </c>
      <c r="H9" s="103">
        <f>IF(Human_Data_Entry!AS7="","",Human_Data_Entry!AS7)</f>
        <v/>
      </c>
      <c r="I9" s="103">
        <f>IF(Human_Data_Entry!F7="","",Human_Data_Entry!F7)</f>
        <v/>
      </c>
      <c r="J9" s="103">
        <f>IF(Human_Data_Entry!BA7="","",Human_Data_Entry!BA7)</f>
        <v/>
      </c>
      <c r="K9" s="103">
        <f>IF(Human_Data_Entry!BB7="","",Human_Data_Entry!BB7)</f>
        <v/>
      </c>
      <c r="L9" s="103">
        <f>IF(Human_Data_Entry!BC7="","",Human_Data_Entry!BC7)</f>
        <v/>
      </c>
      <c r="M9" s="104">
        <f>IF(Human_Data_Entry!BD7="","",Human_Data_Entry!BD7)</f>
        <v/>
      </c>
      <c r="N9" s="104">
        <f>IF(Human_Data_Entry!BE7="","",Human_Data_Entry!BE7)</f>
        <v/>
      </c>
      <c r="O9" s="105">
        <f>IF(Human_Data_Entry!BF7="","",Human_Data_Entry!BF7)</f>
        <v/>
      </c>
      <c r="P9" s="103">
        <f>IF(Human_Data_Entry!BG7="","",Human_Data_Entry!BG7)</f>
        <v/>
      </c>
      <c r="Q9" s="103">
        <f>IF(Human_Data_Entry!BL7="","",Human_Data_Entry!BL7)</f>
        <v/>
      </c>
      <c r="R9" s="103">
        <f>IF(Human_Data_Entry!BH7="","",Human_Data_Entry!BH7)</f>
        <v/>
      </c>
      <c r="S9" s="103">
        <f>IF(Human_Data_Entry!BI7="","",Human_Data_Entry!BI7)</f>
        <v/>
      </c>
      <c r="T9" s="103">
        <f>IF(Human_Data_Entry!BJ7="","",Human_Data_Entry!BJ7)</f>
        <v/>
      </c>
      <c r="U9" s="103">
        <f>IF(Human_Data_Entry!AP7="","",Human_Data_Entry!AP7)</f>
        <v/>
      </c>
      <c r="V9" s="103">
        <f>IF(Human_Data_Entry!AQ7="","",Human_Data_Entry!AQ7)</f>
        <v/>
      </c>
      <c r="W9" s="103">
        <f>IF(Human_Data_Entry!AR7="","",Human_Data_Entry!AR7)</f>
        <v/>
      </c>
      <c r="X9" s="103">
        <f>IF(Human_Data_Entry!BK7="","",Human_Data_Entry!BK7)</f>
        <v/>
      </c>
    </row>
    <row r="10" ht="15" customHeight="1" s="241">
      <c r="A10" s="103">
        <f>IF(Human_Data_Entry!A8="","",Human_Data_Entry!A8)</f>
        <v/>
      </c>
      <c r="B10" s="103">
        <f>IF(Human_Data_Entry!B8="","",Human_Data_Entry!B8)</f>
        <v/>
      </c>
      <c r="C10" s="104">
        <f>IF(Human_Data_Entry!C8="","",Human_Data_Entry!C8)</f>
        <v/>
      </c>
      <c r="D10" s="103">
        <f>IF(Human_Data_Entry!D8="","",Human_Data_Entry!D8)</f>
        <v/>
      </c>
      <c r="E10" s="103">
        <f>IF(Human_Data_Entry!G8="","",Human_Data_Entry!G8)</f>
        <v/>
      </c>
      <c r="F10" s="103">
        <f>IF(Human_Data_Entry!X8="","",Human_Data_Entry!X8)</f>
        <v/>
      </c>
      <c r="G10" s="103">
        <f>IF(Human_Data_Entry!AY8="","",Human_Data_Entry!AY8)</f>
        <v/>
      </c>
      <c r="H10" s="103">
        <f>IF(Human_Data_Entry!AS8="","",Human_Data_Entry!AS8)</f>
        <v/>
      </c>
      <c r="I10" s="103">
        <f>IF(Human_Data_Entry!F8="","",Human_Data_Entry!F8)</f>
        <v/>
      </c>
      <c r="J10" s="103">
        <f>IF(Human_Data_Entry!BA8="","",Human_Data_Entry!BA8)</f>
        <v/>
      </c>
      <c r="K10" s="103">
        <f>IF(Human_Data_Entry!BB8="","",Human_Data_Entry!BB8)</f>
        <v/>
      </c>
      <c r="L10" s="103">
        <f>IF(Human_Data_Entry!BC8="","",Human_Data_Entry!BC8)</f>
        <v/>
      </c>
      <c r="M10" s="104">
        <f>IF(Human_Data_Entry!BD8="","",Human_Data_Entry!BD8)</f>
        <v/>
      </c>
      <c r="N10" s="104">
        <f>IF(Human_Data_Entry!BE8="","",Human_Data_Entry!BE8)</f>
        <v/>
      </c>
      <c r="O10" s="105">
        <f>IF(Human_Data_Entry!BF8="","",Human_Data_Entry!BF8)</f>
        <v/>
      </c>
      <c r="P10" s="103">
        <f>IF(Human_Data_Entry!BG8="","",Human_Data_Entry!BG8)</f>
        <v/>
      </c>
      <c r="Q10" s="103">
        <f>IF(Human_Data_Entry!BL8="","",Human_Data_Entry!BL8)</f>
        <v/>
      </c>
      <c r="R10" s="103">
        <f>IF(Human_Data_Entry!BH8="","",Human_Data_Entry!BH8)</f>
        <v/>
      </c>
      <c r="S10" s="103">
        <f>IF(Human_Data_Entry!BI8="","",Human_Data_Entry!BI8)</f>
        <v/>
      </c>
      <c r="T10" s="103">
        <f>IF(Human_Data_Entry!BJ8="","",Human_Data_Entry!BJ8)</f>
        <v/>
      </c>
      <c r="U10" s="103">
        <f>IF(Human_Data_Entry!AP8="","",Human_Data_Entry!AP8)</f>
        <v/>
      </c>
      <c r="V10" s="103">
        <f>IF(Human_Data_Entry!AQ8="","",Human_Data_Entry!AQ8)</f>
        <v/>
      </c>
      <c r="W10" s="103">
        <f>IF(Human_Data_Entry!AR8="","",Human_Data_Entry!AR8)</f>
        <v/>
      </c>
      <c r="X10" s="103">
        <f>IF(Human_Data_Entry!BK8="","",Human_Data_Entry!BK8)</f>
        <v/>
      </c>
    </row>
    <row r="11" ht="15" customHeight="1" s="241">
      <c r="A11" s="103">
        <f>IF(Human_Data_Entry!A9="","",Human_Data_Entry!A9)</f>
        <v/>
      </c>
      <c r="B11" s="103">
        <f>IF(Human_Data_Entry!B9="","",Human_Data_Entry!B9)</f>
        <v/>
      </c>
      <c r="C11" s="104">
        <f>IF(Human_Data_Entry!C9="","",Human_Data_Entry!C9)</f>
        <v/>
      </c>
      <c r="D11" s="103">
        <f>IF(Human_Data_Entry!D9="","",Human_Data_Entry!D9)</f>
        <v/>
      </c>
      <c r="E11" s="103">
        <f>IF(Human_Data_Entry!G9="","",Human_Data_Entry!G9)</f>
        <v/>
      </c>
      <c r="F11" s="103">
        <f>IF(Human_Data_Entry!X9="","",Human_Data_Entry!X9)</f>
        <v/>
      </c>
      <c r="G11" s="103">
        <f>IF(Human_Data_Entry!AY9="","",Human_Data_Entry!AY9)</f>
        <v/>
      </c>
      <c r="H11" s="103">
        <f>IF(Human_Data_Entry!AS9="","",Human_Data_Entry!AS9)</f>
        <v/>
      </c>
      <c r="I11" s="103">
        <f>IF(Human_Data_Entry!F9="","",Human_Data_Entry!F9)</f>
        <v/>
      </c>
      <c r="J11" s="103">
        <f>IF(Human_Data_Entry!BA9="","",Human_Data_Entry!BA9)</f>
        <v/>
      </c>
      <c r="K11" s="103">
        <f>IF(Human_Data_Entry!BB9="","",Human_Data_Entry!BB9)</f>
        <v/>
      </c>
      <c r="L11" s="103">
        <f>IF(Human_Data_Entry!BC9="","",Human_Data_Entry!BC9)</f>
        <v/>
      </c>
      <c r="M11" s="104">
        <f>IF(Human_Data_Entry!BD9="","",Human_Data_Entry!BD9)</f>
        <v/>
      </c>
      <c r="N11" s="104">
        <f>IF(Human_Data_Entry!BE9="","",Human_Data_Entry!BE9)</f>
        <v/>
      </c>
      <c r="O11" s="105">
        <f>IF(Human_Data_Entry!BF9="","",Human_Data_Entry!BF9)</f>
        <v/>
      </c>
      <c r="P11" s="103">
        <f>IF(Human_Data_Entry!BG9="","",Human_Data_Entry!BG9)</f>
        <v/>
      </c>
      <c r="Q11" s="103">
        <f>IF(Human_Data_Entry!BL9="","",Human_Data_Entry!BL9)</f>
        <v/>
      </c>
      <c r="R11" s="103">
        <f>IF(Human_Data_Entry!BH9="","",Human_Data_Entry!BH9)</f>
        <v/>
      </c>
      <c r="S11" s="103">
        <f>IF(Human_Data_Entry!BI9="","",Human_Data_Entry!BI9)</f>
        <v/>
      </c>
      <c r="T11" s="103">
        <f>IF(Human_Data_Entry!BJ9="","",Human_Data_Entry!BJ9)</f>
        <v/>
      </c>
      <c r="U11" s="103">
        <f>IF(Human_Data_Entry!AP9="","",Human_Data_Entry!AP9)</f>
        <v/>
      </c>
      <c r="V11" s="103">
        <f>IF(Human_Data_Entry!AQ9="","",Human_Data_Entry!AQ9)</f>
        <v/>
      </c>
      <c r="W11" s="103">
        <f>IF(Human_Data_Entry!AR9="","",Human_Data_Entry!AR9)</f>
        <v/>
      </c>
      <c r="X11" s="103">
        <f>IF(Human_Data_Entry!BK9="","",Human_Data_Entry!BK9)</f>
        <v/>
      </c>
    </row>
    <row r="12" ht="15" customHeight="1" s="241">
      <c r="A12" s="103">
        <f>IF(Human_Data_Entry!A10="","",Human_Data_Entry!A10)</f>
        <v/>
      </c>
      <c r="B12" s="103">
        <f>IF(Human_Data_Entry!B10="","",Human_Data_Entry!B10)</f>
        <v/>
      </c>
      <c r="C12" s="104">
        <f>IF(Human_Data_Entry!C10="","",Human_Data_Entry!C10)</f>
        <v/>
      </c>
      <c r="D12" s="103">
        <f>IF(Human_Data_Entry!D10="","",Human_Data_Entry!D10)</f>
        <v/>
      </c>
      <c r="E12" s="103">
        <f>IF(Human_Data_Entry!G10="","",Human_Data_Entry!G10)</f>
        <v/>
      </c>
      <c r="F12" s="103">
        <f>IF(Human_Data_Entry!X10="","",Human_Data_Entry!X10)</f>
        <v/>
      </c>
      <c r="G12" s="103">
        <f>IF(Human_Data_Entry!AY10="","",Human_Data_Entry!AY10)</f>
        <v/>
      </c>
      <c r="H12" s="103">
        <f>IF(Human_Data_Entry!AS10="","",Human_Data_Entry!AS10)</f>
        <v/>
      </c>
      <c r="I12" s="103">
        <f>IF(Human_Data_Entry!F10="","",Human_Data_Entry!F10)</f>
        <v/>
      </c>
      <c r="J12" s="103">
        <f>IF(Human_Data_Entry!BA10="","",Human_Data_Entry!BA10)</f>
        <v/>
      </c>
      <c r="K12" s="103">
        <f>IF(Human_Data_Entry!BB10="","",Human_Data_Entry!BB10)</f>
        <v/>
      </c>
      <c r="L12" s="103">
        <f>IF(Human_Data_Entry!BC10="","",Human_Data_Entry!BC10)</f>
        <v/>
      </c>
      <c r="M12" s="104">
        <f>IF(Human_Data_Entry!BD10="","",Human_Data_Entry!BD10)</f>
        <v/>
      </c>
      <c r="N12" s="104">
        <f>IF(Human_Data_Entry!BE10="","",Human_Data_Entry!BE10)</f>
        <v/>
      </c>
      <c r="O12" s="105">
        <f>IF(Human_Data_Entry!BF10="","",Human_Data_Entry!BF10)</f>
        <v/>
      </c>
      <c r="P12" s="103">
        <f>IF(Human_Data_Entry!BG10="","",Human_Data_Entry!BG10)</f>
        <v/>
      </c>
      <c r="Q12" s="103">
        <f>IF(Human_Data_Entry!BL10="","",Human_Data_Entry!BL10)</f>
        <v/>
      </c>
      <c r="R12" s="103">
        <f>IF(Human_Data_Entry!BH10="","",Human_Data_Entry!BH10)</f>
        <v/>
      </c>
      <c r="S12" s="103">
        <f>IF(Human_Data_Entry!BI10="","",Human_Data_Entry!BI10)</f>
        <v/>
      </c>
      <c r="T12" s="103">
        <f>IF(Human_Data_Entry!BJ10="","",Human_Data_Entry!BJ10)</f>
        <v/>
      </c>
      <c r="U12" s="103">
        <f>IF(Human_Data_Entry!AP10="","",Human_Data_Entry!AP10)</f>
        <v/>
      </c>
      <c r="V12" s="103">
        <f>IF(Human_Data_Entry!AQ10="","",Human_Data_Entry!AQ10)</f>
        <v/>
      </c>
      <c r="W12" s="103">
        <f>IF(Human_Data_Entry!AR10="","",Human_Data_Entry!AR10)</f>
        <v/>
      </c>
      <c r="X12" s="103">
        <f>IF(Human_Data_Entry!BK10="","",Human_Data_Entry!BK10)</f>
        <v/>
      </c>
    </row>
    <row r="13" ht="15" customHeight="1" s="241">
      <c r="A13" s="103">
        <f>IF(Human_Data_Entry!A11="","",Human_Data_Entry!A11)</f>
        <v/>
      </c>
      <c r="B13" s="103">
        <f>IF(Human_Data_Entry!B11="","",Human_Data_Entry!B11)</f>
        <v/>
      </c>
      <c r="C13" s="104">
        <f>IF(Human_Data_Entry!C11="","",Human_Data_Entry!C11)</f>
        <v/>
      </c>
      <c r="D13" s="103">
        <f>IF(Human_Data_Entry!D11="","",Human_Data_Entry!D11)</f>
        <v/>
      </c>
      <c r="E13" s="103">
        <f>IF(Human_Data_Entry!G11="","",Human_Data_Entry!G11)</f>
        <v/>
      </c>
      <c r="F13" s="103">
        <f>IF(Human_Data_Entry!X11="","",Human_Data_Entry!X11)</f>
        <v/>
      </c>
      <c r="G13" s="103">
        <f>IF(Human_Data_Entry!AY11="","",Human_Data_Entry!AY11)</f>
        <v/>
      </c>
      <c r="H13" s="103">
        <f>IF(Human_Data_Entry!AS11="","",Human_Data_Entry!AS11)</f>
        <v/>
      </c>
      <c r="I13" s="103">
        <f>IF(Human_Data_Entry!F11="","",Human_Data_Entry!F11)</f>
        <v/>
      </c>
      <c r="J13" s="103">
        <f>IF(Human_Data_Entry!BA11="","",Human_Data_Entry!BA11)</f>
        <v/>
      </c>
      <c r="K13" s="103">
        <f>IF(Human_Data_Entry!BB11="","",Human_Data_Entry!BB11)</f>
        <v/>
      </c>
      <c r="L13" s="103">
        <f>IF(Human_Data_Entry!BC11="","",Human_Data_Entry!BC11)</f>
        <v/>
      </c>
      <c r="M13" s="104">
        <f>IF(Human_Data_Entry!BD11="","",Human_Data_Entry!BD11)</f>
        <v/>
      </c>
      <c r="N13" s="104">
        <f>IF(Human_Data_Entry!BE11="","",Human_Data_Entry!BE11)</f>
        <v/>
      </c>
      <c r="O13" s="105">
        <f>IF(Human_Data_Entry!BF11="","",Human_Data_Entry!BF11)</f>
        <v/>
      </c>
      <c r="P13" s="103">
        <f>IF(Human_Data_Entry!BG11="","",Human_Data_Entry!BG11)</f>
        <v/>
      </c>
      <c r="Q13" s="103">
        <f>IF(Human_Data_Entry!BL11="","",Human_Data_Entry!BL11)</f>
        <v/>
      </c>
      <c r="R13" s="103">
        <f>IF(Human_Data_Entry!BH11="","",Human_Data_Entry!BH11)</f>
        <v/>
      </c>
      <c r="S13" s="103">
        <f>IF(Human_Data_Entry!BI11="","",Human_Data_Entry!BI11)</f>
        <v/>
      </c>
      <c r="T13" s="103">
        <f>IF(Human_Data_Entry!BJ11="","",Human_Data_Entry!BJ11)</f>
        <v/>
      </c>
      <c r="U13" s="103">
        <f>IF(Human_Data_Entry!AP11="","",Human_Data_Entry!AP11)</f>
        <v/>
      </c>
      <c r="V13" s="103">
        <f>IF(Human_Data_Entry!AQ11="","",Human_Data_Entry!AQ11)</f>
        <v/>
      </c>
      <c r="W13" s="103">
        <f>IF(Human_Data_Entry!AR11="","",Human_Data_Entry!AR11)</f>
        <v/>
      </c>
      <c r="X13" s="103">
        <f>IF(Human_Data_Entry!BK11="","",Human_Data_Entry!BK11)</f>
        <v/>
      </c>
    </row>
    <row r="14" ht="15" customHeight="1" s="241">
      <c r="A14" s="103">
        <f>IF(Human_Data_Entry!A12="","",Human_Data_Entry!A12)</f>
        <v/>
      </c>
      <c r="B14" s="103">
        <f>IF(Human_Data_Entry!B12="","",Human_Data_Entry!B12)</f>
        <v/>
      </c>
      <c r="C14" s="104">
        <f>IF(Human_Data_Entry!C12="","",Human_Data_Entry!C12)</f>
        <v/>
      </c>
      <c r="D14" s="103">
        <f>IF(Human_Data_Entry!D12="","",Human_Data_Entry!D12)</f>
        <v/>
      </c>
      <c r="E14" s="103">
        <f>IF(Human_Data_Entry!G12="","",Human_Data_Entry!G12)</f>
        <v/>
      </c>
      <c r="F14" s="103">
        <f>IF(Human_Data_Entry!X12="","",Human_Data_Entry!X12)</f>
        <v/>
      </c>
      <c r="G14" s="103">
        <f>IF(Human_Data_Entry!AY12="","",Human_Data_Entry!AY12)</f>
        <v/>
      </c>
      <c r="H14" s="103">
        <f>IF(Human_Data_Entry!AS12="","",Human_Data_Entry!AS12)</f>
        <v/>
      </c>
      <c r="I14" s="103">
        <f>IF(Human_Data_Entry!F12="","",Human_Data_Entry!F12)</f>
        <v/>
      </c>
      <c r="J14" s="103">
        <f>IF(Human_Data_Entry!BA12="","",Human_Data_Entry!BA12)</f>
        <v/>
      </c>
      <c r="K14" s="103">
        <f>IF(Human_Data_Entry!BB12="","",Human_Data_Entry!BB12)</f>
        <v/>
      </c>
      <c r="L14" s="103">
        <f>IF(Human_Data_Entry!BC12="","",Human_Data_Entry!BC12)</f>
        <v/>
      </c>
      <c r="M14" s="104">
        <f>IF(Human_Data_Entry!BD12="","",Human_Data_Entry!BD12)</f>
        <v/>
      </c>
      <c r="N14" s="104">
        <f>IF(Human_Data_Entry!BE12="","",Human_Data_Entry!BE12)</f>
        <v/>
      </c>
      <c r="O14" s="105">
        <f>IF(Human_Data_Entry!BF12="","",Human_Data_Entry!BF12)</f>
        <v/>
      </c>
      <c r="P14" s="103">
        <f>IF(Human_Data_Entry!BG12="","",Human_Data_Entry!BG12)</f>
        <v/>
      </c>
      <c r="Q14" s="103">
        <f>IF(Human_Data_Entry!BL12="","",Human_Data_Entry!BL12)</f>
        <v/>
      </c>
      <c r="R14" s="103">
        <f>IF(Human_Data_Entry!BH12="","",Human_Data_Entry!BH12)</f>
        <v/>
      </c>
      <c r="S14" s="103">
        <f>IF(Human_Data_Entry!BI12="","",Human_Data_Entry!BI12)</f>
        <v/>
      </c>
      <c r="T14" s="103">
        <f>IF(Human_Data_Entry!BJ12="","",Human_Data_Entry!BJ12)</f>
        <v/>
      </c>
      <c r="U14" s="103">
        <f>IF(Human_Data_Entry!AP12="","",Human_Data_Entry!AP12)</f>
        <v/>
      </c>
      <c r="V14" s="103">
        <f>IF(Human_Data_Entry!AQ12="","",Human_Data_Entry!AQ12)</f>
        <v/>
      </c>
      <c r="W14" s="103">
        <f>IF(Human_Data_Entry!AR12="","",Human_Data_Entry!AR12)</f>
        <v/>
      </c>
      <c r="X14" s="103">
        <f>IF(Human_Data_Entry!BK12="","",Human_Data_Entry!BK12)</f>
        <v/>
      </c>
    </row>
    <row r="15" ht="15" customHeight="1" s="241">
      <c r="A15" s="103">
        <f>IF(Human_Data_Entry!A13="","",Human_Data_Entry!A13)</f>
        <v/>
      </c>
      <c r="B15" s="103">
        <f>IF(Human_Data_Entry!B13="","",Human_Data_Entry!B13)</f>
        <v/>
      </c>
      <c r="C15" s="104">
        <f>IF(Human_Data_Entry!C13="","",Human_Data_Entry!C13)</f>
        <v/>
      </c>
      <c r="D15" s="103">
        <f>IF(Human_Data_Entry!D13="","",Human_Data_Entry!D13)</f>
        <v/>
      </c>
      <c r="E15" s="103">
        <f>IF(Human_Data_Entry!G13="","",Human_Data_Entry!G13)</f>
        <v/>
      </c>
      <c r="F15" s="103">
        <f>IF(Human_Data_Entry!X13="","",Human_Data_Entry!X13)</f>
        <v/>
      </c>
      <c r="G15" s="103">
        <f>IF(Human_Data_Entry!AY13="","",Human_Data_Entry!AY13)</f>
        <v/>
      </c>
      <c r="H15" s="103">
        <f>IF(Human_Data_Entry!AS13="","",Human_Data_Entry!AS13)</f>
        <v/>
      </c>
      <c r="I15" s="103">
        <f>IF(Human_Data_Entry!F13="","",Human_Data_Entry!F13)</f>
        <v/>
      </c>
      <c r="J15" s="103">
        <f>IF(Human_Data_Entry!BA13="","",Human_Data_Entry!BA13)</f>
        <v/>
      </c>
      <c r="K15" s="103">
        <f>IF(Human_Data_Entry!BB13="","",Human_Data_Entry!BB13)</f>
        <v/>
      </c>
      <c r="L15" s="103">
        <f>IF(Human_Data_Entry!BC13="","",Human_Data_Entry!BC13)</f>
        <v/>
      </c>
      <c r="M15" s="104">
        <f>IF(Human_Data_Entry!BD13="","",Human_Data_Entry!BD13)</f>
        <v/>
      </c>
      <c r="N15" s="104">
        <f>IF(Human_Data_Entry!BE13="","",Human_Data_Entry!BE13)</f>
        <v/>
      </c>
      <c r="O15" s="105">
        <f>IF(Human_Data_Entry!BF13="","",Human_Data_Entry!BF13)</f>
        <v/>
      </c>
      <c r="P15" s="103">
        <f>IF(Human_Data_Entry!BG13="","",Human_Data_Entry!BG13)</f>
        <v/>
      </c>
      <c r="Q15" s="103">
        <f>IF(Human_Data_Entry!BL13="","",Human_Data_Entry!BL13)</f>
        <v/>
      </c>
      <c r="R15" s="103">
        <f>IF(Human_Data_Entry!BH13="","",Human_Data_Entry!BH13)</f>
        <v/>
      </c>
      <c r="S15" s="103">
        <f>IF(Human_Data_Entry!BI13="","",Human_Data_Entry!BI13)</f>
        <v/>
      </c>
      <c r="T15" s="103">
        <f>IF(Human_Data_Entry!BJ13="","",Human_Data_Entry!BJ13)</f>
        <v/>
      </c>
      <c r="U15" s="103">
        <f>IF(Human_Data_Entry!AP13="","",Human_Data_Entry!AP13)</f>
        <v/>
      </c>
      <c r="V15" s="103">
        <f>IF(Human_Data_Entry!AQ13="","",Human_Data_Entry!AQ13)</f>
        <v/>
      </c>
      <c r="W15" s="103">
        <f>IF(Human_Data_Entry!AR13="","",Human_Data_Entry!AR13)</f>
        <v/>
      </c>
      <c r="X15" s="103">
        <f>IF(Human_Data_Entry!BK13="","",Human_Data_Entry!BK13)</f>
        <v/>
      </c>
    </row>
    <row r="16" ht="15" customHeight="1" s="241">
      <c r="A16" s="103">
        <f>IF(Human_Data_Entry!A14="","",Human_Data_Entry!A14)</f>
        <v/>
      </c>
      <c r="B16" s="103">
        <f>IF(Human_Data_Entry!B14="","",Human_Data_Entry!B14)</f>
        <v/>
      </c>
      <c r="C16" s="104">
        <f>IF(Human_Data_Entry!C14="","",Human_Data_Entry!C14)</f>
        <v/>
      </c>
      <c r="D16" s="103">
        <f>IF(Human_Data_Entry!D14="","",Human_Data_Entry!D14)</f>
        <v/>
      </c>
      <c r="E16" s="103">
        <f>IF(Human_Data_Entry!G14="","",Human_Data_Entry!G14)</f>
        <v/>
      </c>
      <c r="F16" s="103">
        <f>IF(Human_Data_Entry!X14="","",Human_Data_Entry!X14)</f>
        <v/>
      </c>
      <c r="G16" s="103">
        <f>IF(Human_Data_Entry!AY14="","",Human_Data_Entry!AY14)</f>
        <v/>
      </c>
      <c r="H16" s="103">
        <f>IF(Human_Data_Entry!AS14="","",Human_Data_Entry!AS14)</f>
        <v/>
      </c>
      <c r="I16" s="103">
        <f>IF(Human_Data_Entry!F14="","",Human_Data_Entry!F14)</f>
        <v/>
      </c>
      <c r="J16" s="103">
        <f>IF(Human_Data_Entry!BA14="","",Human_Data_Entry!BA14)</f>
        <v/>
      </c>
      <c r="K16" s="103">
        <f>IF(Human_Data_Entry!BB14="","",Human_Data_Entry!BB14)</f>
        <v/>
      </c>
      <c r="L16" s="103">
        <f>IF(Human_Data_Entry!BC14="","",Human_Data_Entry!BC14)</f>
        <v/>
      </c>
      <c r="M16" s="104">
        <f>IF(Human_Data_Entry!BD14="","",Human_Data_Entry!BD14)</f>
        <v/>
      </c>
      <c r="N16" s="104">
        <f>IF(Human_Data_Entry!BE14="","",Human_Data_Entry!BE14)</f>
        <v/>
      </c>
      <c r="O16" s="105">
        <f>IF(Human_Data_Entry!BF14="","",Human_Data_Entry!BF14)</f>
        <v/>
      </c>
      <c r="P16" s="103">
        <f>IF(Human_Data_Entry!BG14="","",Human_Data_Entry!BG14)</f>
        <v/>
      </c>
      <c r="Q16" s="103">
        <f>IF(Human_Data_Entry!BL14="","",Human_Data_Entry!BL14)</f>
        <v/>
      </c>
      <c r="R16" s="103">
        <f>IF(Human_Data_Entry!BH14="","",Human_Data_Entry!BH14)</f>
        <v/>
      </c>
      <c r="S16" s="103">
        <f>IF(Human_Data_Entry!BI14="","",Human_Data_Entry!BI14)</f>
        <v/>
      </c>
      <c r="T16" s="103">
        <f>IF(Human_Data_Entry!BJ14="","",Human_Data_Entry!BJ14)</f>
        <v/>
      </c>
      <c r="U16" s="103">
        <f>IF(Human_Data_Entry!AP14="","",Human_Data_Entry!AP14)</f>
        <v/>
      </c>
      <c r="V16" s="103">
        <f>IF(Human_Data_Entry!AQ14="","",Human_Data_Entry!AQ14)</f>
        <v/>
      </c>
      <c r="W16" s="103">
        <f>IF(Human_Data_Entry!AR14="","",Human_Data_Entry!AR14)</f>
        <v/>
      </c>
      <c r="X16" s="103">
        <f>IF(Human_Data_Entry!BK14="","",Human_Data_Entry!BK14)</f>
        <v/>
      </c>
    </row>
    <row r="17" ht="15" customHeight="1" s="241">
      <c r="A17" s="103">
        <f>IF(Human_Data_Entry!A15="","",Human_Data_Entry!A15)</f>
        <v/>
      </c>
      <c r="B17" s="103">
        <f>IF(Human_Data_Entry!B15="","",Human_Data_Entry!B15)</f>
        <v/>
      </c>
      <c r="C17" s="104">
        <f>IF(Human_Data_Entry!C15="","",Human_Data_Entry!C15)</f>
        <v/>
      </c>
      <c r="D17" s="103">
        <f>IF(Human_Data_Entry!D15="","",Human_Data_Entry!D15)</f>
        <v/>
      </c>
      <c r="E17" s="103">
        <f>IF(Human_Data_Entry!G15="","",Human_Data_Entry!G15)</f>
        <v/>
      </c>
      <c r="F17" s="103">
        <f>IF(Human_Data_Entry!X15="","",Human_Data_Entry!X15)</f>
        <v/>
      </c>
      <c r="G17" s="103">
        <f>IF(Human_Data_Entry!AY15="","",Human_Data_Entry!AY15)</f>
        <v/>
      </c>
      <c r="H17" s="103">
        <f>IF(Human_Data_Entry!AS15="","",Human_Data_Entry!AS15)</f>
        <v/>
      </c>
      <c r="I17" s="103">
        <f>IF(Human_Data_Entry!F15="","",Human_Data_Entry!F15)</f>
        <v/>
      </c>
      <c r="J17" s="103">
        <f>IF(Human_Data_Entry!BA15="","",Human_Data_Entry!BA15)</f>
        <v/>
      </c>
      <c r="K17" s="103">
        <f>IF(Human_Data_Entry!BB15="","",Human_Data_Entry!BB15)</f>
        <v/>
      </c>
      <c r="L17" s="103">
        <f>IF(Human_Data_Entry!BC15="","",Human_Data_Entry!BC15)</f>
        <v/>
      </c>
      <c r="M17" s="104">
        <f>IF(Human_Data_Entry!BD15="","",Human_Data_Entry!BD15)</f>
        <v/>
      </c>
      <c r="N17" s="104">
        <f>IF(Human_Data_Entry!BE15="","",Human_Data_Entry!BE15)</f>
        <v/>
      </c>
      <c r="O17" s="105">
        <f>IF(Human_Data_Entry!BF15="","",Human_Data_Entry!BF15)</f>
        <v/>
      </c>
      <c r="P17" s="103">
        <f>IF(Human_Data_Entry!BG15="","",Human_Data_Entry!BG15)</f>
        <v/>
      </c>
      <c r="Q17" s="103">
        <f>IF(Human_Data_Entry!BL15="","",Human_Data_Entry!BL15)</f>
        <v/>
      </c>
      <c r="R17" s="103">
        <f>IF(Human_Data_Entry!BH15="","",Human_Data_Entry!BH15)</f>
        <v/>
      </c>
      <c r="S17" s="103">
        <f>IF(Human_Data_Entry!BI15="","",Human_Data_Entry!BI15)</f>
        <v/>
      </c>
      <c r="T17" s="103">
        <f>IF(Human_Data_Entry!BJ15="","",Human_Data_Entry!BJ15)</f>
        <v/>
      </c>
      <c r="U17" s="103">
        <f>IF(Human_Data_Entry!AP15="","",Human_Data_Entry!AP15)</f>
        <v/>
      </c>
      <c r="V17" s="103">
        <f>IF(Human_Data_Entry!AQ15="","",Human_Data_Entry!AQ15)</f>
        <v/>
      </c>
      <c r="W17" s="103">
        <f>IF(Human_Data_Entry!AR15="","",Human_Data_Entry!AR15)</f>
        <v/>
      </c>
      <c r="X17" s="103">
        <f>IF(Human_Data_Entry!BK15="","",Human_Data_Entry!BK15)</f>
        <v/>
      </c>
    </row>
    <row r="18" ht="15" customHeight="1" s="241">
      <c r="A18" s="103">
        <f>IF(Human_Data_Entry!A16="","",Human_Data_Entry!A16)</f>
        <v/>
      </c>
      <c r="B18" s="103">
        <f>IF(Human_Data_Entry!B16="","",Human_Data_Entry!B16)</f>
        <v/>
      </c>
      <c r="C18" s="104">
        <f>IF(Human_Data_Entry!C16="","",Human_Data_Entry!C16)</f>
        <v/>
      </c>
      <c r="D18" s="103">
        <f>IF(Human_Data_Entry!D16="","",Human_Data_Entry!D16)</f>
        <v/>
      </c>
      <c r="E18" s="103">
        <f>IF(Human_Data_Entry!G16="","",Human_Data_Entry!G16)</f>
        <v/>
      </c>
      <c r="F18" s="103">
        <f>IF(Human_Data_Entry!X16="","",Human_Data_Entry!X16)</f>
        <v/>
      </c>
      <c r="G18" s="103">
        <f>IF(Human_Data_Entry!AY16="","",Human_Data_Entry!AY16)</f>
        <v/>
      </c>
      <c r="H18" s="103">
        <f>IF(Human_Data_Entry!AS16="","",Human_Data_Entry!AS16)</f>
        <v/>
      </c>
      <c r="I18" s="103">
        <f>IF(Human_Data_Entry!F16="","",Human_Data_Entry!F16)</f>
        <v/>
      </c>
      <c r="J18" s="103">
        <f>IF(Human_Data_Entry!BA16="","",Human_Data_Entry!BA16)</f>
        <v/>
      </c>
      <c r="K18" s="103">
        <f>IF(Human_Data_Entry!BB16="","",Human_Data_Entry!BB16)</f>
        <v/>
      </c>
      <c r="L18" s="103">
        <f>IF(Human_Data_Entry!BC16="","",Human_Data_Entry!BC16)</f>
        <v/>
      </c>
      <c r="M18" s="104">
        <f>IF(Human_Data_Entry!BD16="","",Human_Data_Entry!BD16)</f>
        <v/>
      </c>
      <c r="N18" s="104">
        <f>IF(Human_Data_Entry!BE16="","",Human_Data_Entry!BE16)</f>
        <v/>
      </c>
      <c r="O18" s="105">
        <f>IF(Human_Data_Entry!BF16="","",Human_Data_Entry!BF16)</f>
        <v/>
      </c>
      <c r="P18" s="103">
        <f>IF(Human_Data_Entry!BG16="","",Human_Data_Entry!BG16)</f>
        <v/>
      </c>
      <c r="Q18" s="103">
        <f>IF(Human_Data_Entry!BL16="","",Human_Data_Entry!BL16)</f>
        <v/>
      </c>
      <c r="R18" s="103">
        <f>IF(Human_Data_Entry!BH16="","",Human_Data_Entry!BH16)</f>
        <v/>
      </c>
      <c r="S18" s="103">
        <f>IF(Human_Data_Entry!BI16="","",Human_Data_Entry!BI16)</f>
        <v/>
      </c>
      <c r="T18" s="103">
        <f>IF(Human_Data_Entry!BJ16="","",Human_Data_Entry!BJ16)</f>
        <v/>
      </c>
      <c r="U18" s="103">
        <f>IF(Human_Data_Entry!AP16="","",Human_Data_Entry!AP16)</f>
        <v/>
      </c>
      <c r="V18" s="103">
        <f>IF(Human_Data_Entry!AQ16="","",Human_Data_Entry!AQ16)</f>
        <v/>
      </c>
      <c r="W18" s="103">
        <f>IF(Human_Data_Entry!AR16="","",Human_Data_Entry!AR16)</f>
        <v/>
      </c>
      <c r="X18" s="103">
        <f>IF(Human_Data_Entry!BK16="","",Human_Data_Entry!BK16)</f>
        <v/>
      </c>
    </row>
    <row r="19" ht="15" customHeight="1" s="241">
      <c r="A19" s="103">
        <f>IF(Human_Data_Entry!A17="","",Human_Data_Entry!A17)</f>
        <v/>
      </c>
      <c r="B19" s="103">
        <f>IF(Human_Data_Entry!B17="","",Human_Data_Entry!B17)</f>
        <v/>
      </c>
      <c r="C19" s="104">
        <f>IF(Human_Data_Entry!C17="","",Human_Data_Entry!C17)</f>
        <v/>
      </c>
      <c r="D19" s="103">
        <f>IF(Human_Data_Entry!D17="","",Human_Data_Entry!D17)</f>
        <v/>
      </c>
      <c r="E19" s="103">
        <f>IF(Human_Data_Entry!G17="","",Human_Data_Entry!G17)</f>
        <v/>
      </c>
      <c r="F19" s="103">
        <f>IF(Human_Data_Entry!X17="","",Human_Data_Entry!X17)</f>
        <v/>
      </c>
      <c r="G19" s="103">
        <f>IF(Human_Data_Entry!AY17="","",Human_Data_Entry!AY17)</f>
        <v/>
      </c>
      <c r="H19" s="103">
        <f>IF(Human_Data_Entry!AS17="","",Human_Data_Entry!AS17)</f>
        <v/>
      </c>
      <c r="I19" s="103">
        <f>IF(Human_Data_Entry!F17="","",Human_Data_Entry!F17)</f>
        <v/>
      </c>
      <c r="J19" s="103">
        <f>IF(Human_Data_Entry!BA17="","",Human_Data_Entry!BA17)</f>
        <v/>
      </c>
      <c r="K19" s="103">
        <f>IF(Human_Data_Entry!BB17="","",Human_Data_Entry!BB17)</f>
        <v/>
      </c>
      <c r="L19" s="103">
        <f>IF(Human_Data_Entry!BC17="","",Human_Data_Entry!BC17)</f>
        <v/>
      </c>
      <c r="M19" s="104">
        <f>IF(Human_Data_Entry!BD17="","",Human_Data_Entry!BD17)</f>
        <v/>
      </c>
      <c r="N19" s="104">
        <f>IF(Human_Data_Entry!BE17="","",Human_Data_Entry!BE17)</f>
        <v/>
      </c>
      <c r="O19" s="105">
        <f>IF(Human_Data_Entry!BF17="","",Human_Data_Entry!BF17)</f>
        <v/>
      </c>
      <c r="P19" s="103">
        <f>IF(Human_Data_Entry!BG17="","",Human_Data_Entry!BG17)</f>
        <v/>
      </c>
      <c r="Q19" s="103">
        <f>IF(Human_Data_Entry!BL17="","",Human_Data_Entry!BL17)</f>
        <v/>
      </c>
      <c r="R19" s="103">
        <f>IF(Human_Data_Entry!BH17="","",Human_Data_Entry!BH17)</f>
        <v/>
      </c>
      <c r="S19" s="103">
        <f>IF(Human_Data_Entry!BI17="","",Human_Data_Entry!BI17)</f>
        <v/>
      </c>
      <c r="T19" s="103">
        <f>IF(Human_Data_Entry!BJ17="","",Human_Data_Entry!BJ17)</f>
        <v/>
      </c>
      <c r="U19" s="103">
        <f>IF(Human_Data_Entry!AP17="","",Human_Data_Entry!AP17)</f>
        <v/>
      </c>
      <c r="V19" s="103">
        <f>IF(Human_Data_Entry!AQ17="","",Human_Data_Entry!AQ17)</f>
        <v/>
      </c>
      <c r="W19" s="103">
        <f>IF(Human_Data_Entry!AR17="","",Human_Data_Entry!AR17)</f>
        <v/>
      </c>
      <c r="X19" s="103">
        <f>IF(Human_Data_Entry!BK17="","",Human_Data_Entry!BK17)</f>
        <v/>
      </c>
    </row>
    <row r="20" ht="15" customHeight="1" s="241">
      <c r="A20" s="103">
        <f>IF(Human_Data_Entry!A18="","",Human_Data_Entry!A18)</f>
        <v/>
      </c>
      <c r="B20" s="103">
        <f>IF(Human_Data_Entry!B18="","",Human_Data_Entry!B18)</f>
        <v/>
      </c>
      <c r="C20" s="104">
        <f>IF(Human_Data_Entry!C18="","",Human_Data_Entry!C18)</f>
        <v/>
      </c>
      <c r="D20" s="103">
        <f>IF(Human_Data_Entry!D18="","",Human_Data_Entry!D18)</f>
        <v/>
      </c>
      <c r="E20" s="103">
        <f>IF(Human_Data_Entry!G18="","",Human_Data_Entry!G18)</f>
        <v/>
      </c>
      <c r="F20" s="103">
        <f>IF(Human_Data_Entry!X18="","",Human_Data_Entry!X18)</f>
        <v/>
      </c>
      <c r="G20" s="103">
        <f>IF(Human_Data_Entry!AY18="","",Human_Data_Entry!AY18)</f>
        <v/>
      </c>
      <c r="H20" s="103">
        <f>IF(Human_Data_Entry!AS18="","",Human_Data_Entry!AS18)</f>
        <v/>
      </c>
      <c r="I20" s="103">
        <f>IF(Human_Data_Entry!F18="","",Human_Data_Entry!F18)</f>
        <v/>
      </c>
      <c r="J20" s="103">
        <f>IF(Human_Data_Entry!BA18="","",Human_Data_Entry!BA18)</f>
        <v/>
      </c>
      <c r="K20" s="103">
        <f>IF(Human_Data_Entry!BB18="","",Human_Data_Entry!BB18)</f>
        <v/>
      </c>
      <c r="L20" s="103">
        <f>IF(Human_Data_Entry!BC18="","",Human_Data_Entry!BC18)</f>
        <v/>
      </c>
      <c r="M20" s="104">
        <f>IF(Human_Data_Entry!BD18="","",Human_Data_Entry!BD18)</f>
        <v/>
      </c>
      <c r="N20" s="104">
        <f>IF(Human_Data_Entry!BE18="","",Human_Data_Entry!BE18)</f>
        <v/>
      </c>
      <c r="O20" s="105">
        <f>IF(Human_Data_Entry!BF18="","",Human_Data_Entry!BF18)</f>
        <v/>
      </c>
      <c r="P20" s="103">
        <f>IF(Human_Data_Entry!BG18="","",Human_Data_Entry!BG18)</f>
        <v/>
      </c>
      <c r="Q20" s="103">
        <f>IF(Human_Data_Entry!BL18="","",Human_Data_Entry!BL18)</f>
        <v/>
      </c>
      <c r="R20" s="103">
        <f>IF(Human_Data_Entry!BH18="","",Human_Data_Entry!BH18)</f>
        <v/>
      </c>
      <c r="S20" s="103">
        <f>IF(Human_Data_Entry!BI18="","",Human_Data_Entry!BI18)</f>
        <v/>
      </c>
      <c r="T20" s="103">
        <f>IF(Human_Data_Entry!BJ18="","",Human_Data_Entry!BJ18)</f>
        <v/>
      </c>
      <c r="U20" s="103">
        <f>IF(Human_Data_Entry!AP18="","",Human_Data_Entry!AP18)</f>
        <v/>
      </c>
      <c r="V20" s="103">
        <f>IF(Human_Data_Entry!AQ18="","",Human_Data_Entry!AQ18)</f>
        <v/>
      </c>
      <c r="W20" s="103">
        <f>IF(Human_Data_Entry!AR18="","",Human_Data_Entry!AR18)</f>
        <v/>
      </c>
      <c r="X20" s="103">
        <f>IF(Human_Data_Entry!BK18="","",Human_Data_Entry!BK18)</f>
        <v/>
      </c>
    </row>
    <row r="21" ht="15" customHeight="1" s="241">
      <c r="A21" s="103">
        <f>IF(Human_Data_Entry!A19="","",Human_Data_Entry!A19)</f>
        <v/>
      </c>
      <c r="B21" s="103">
        <f>IF(Human_Data_Entry!B19="","",Human_Data_Entry!B19)</f>
        <v/>
      </c>
      <c r="C21" s="104">
        <f>IF(Human_Data_Entry!C19="","",Human_Data_Entry!C19)</f>
        <v/>
      </c>
      <c r="D21" s="103">
        <f>IF(Human_Data_Entry!D19="","",Human_Data_Entry!D19)</f>
        <v/>
      </c>
      <c r="E21" s="103">
        <f>IF(Human_Data_Entry!G19="","",Human_Data_Entry!G19)</f>
        <v/>
      </c>
      <c r="F21" s="103">
        <f>IF(Human_Data_Entry!X19="","",Human_Data_Entry!X19)</f>
        <v/>
      </c>
      <c r="G21" s="103">
        <f>IF(Human_Data_Entry!AY19="","",Human_Data_Entry!AY19)</f>
        <v/>
      </c>
      <c r="H21" s="103">
        <f>IF(Human_Data_Entry!AS19="","",Human_Data_Entry!AS19)</f>
        <v/>
      </c>
      <c r="I21" s="103">
        <f>IF(Human_Data_Entry!F19="","",Human_Data_Entry!F19)</f>
        <v/>
      </c>
      <c r="J21" s="103">
        <f>IF(Human_Data_Entry!BA19="","",Human_Data_Entry!BA19)</f>
        <v/>
      </c>
      <c r="K21" s="103">
        <f>IF(Human_Data_Entry!BB19="","",Human_Data_Entry!BB19)</f>
        <v/>
      </c>
      <c r="L21" s="103">
        <f>IF(Human_Data_Entry!BC19="","",Human_Data_Entry!BC19)</f>
        <v/>
      </c>
      <c r="M21" s="104">
        <f>IF(Human_Data_Entry!BD19="","",Human_Data_Entry!BD19)</f>
        <v/>
      </c>
      <c r="N21" s="104">
        <f>IF(Human_Data_Entry!BE19="","",Human_Data_Entry!BE19)</f>
        <v/>
      </c>
      <c r="O21" s="105">
        <f>IF(Human_Data_Entry!BF19="","",Human_Data_Entry!BF19)</f>
        <v/>
      </c>
      <c r="P21" s="103">
        <f>IF(Human_Data_Entry!BG19="","",Human_Data_Entry!BG19)</f>
        <v/>
      </c>
      <c r="Q21" s="103">
        <f>IF(Human_Data_Entry!BL19="","",Human_Data_Entry!BL19)</f>
        <v/>
      </c>
      <c r="R21" s="103">
        <f>IF(Human_Data_Entry!BH19="","",Human_Data_Entry!BH19)</f>
        <v/>
      </c>
      <c r="S21" s="103">
        <f>IF(Human_Data_Entry!BI19="","",Human_Data_Entry!BI19)</f>
        <v/>
      </c>
      <c r="T21" s="103">
        <f>IF(Human_Data_Entry!BJ19="","",Human_Data_Entry!BJ19)</f>
        <v/>
      </c>
      <c r="U21" s="103">
        <f>IF(Human_Data_Entry!AP19="","",Human_Data_Entry!AP19)</f>
        <v/>
      </c>
      <c r="V21" s="103">
        <f>IF(Human_Data_Entry!AQ19="","",Human_Data_Entry!AQ19)</f>
        <v/>
      </c>
      <c r="W21" s="103">
        <f>IF(Human_Data_Entry!AR19="","",Human_Data_Entry!AR19)</f>
        <v/>
      </c>
      <c r="X21" s="103">
        <f>IF(Human_Data_Entry!BK19="","",Human_Data_Entry!BK19)</f>
        <v/>
      </c>
    </row>
    <row r="22" ht="15" customHeight="1" s="241">
      <c r="A22" s="103">
        <f>IF(Human_Data_Entry!A20="","",Human_Data_Entry!A20)</f>
        <v/>
      </c>
      <c r="B22" s="103">
        <f>IF(Human_Data_Entry!B20="","",Human_Data_Entry!B20)</f>
        <v/>
      </c>
      <c r="C22" s="104">
        <f>IF(Human_Data_Entry!C20="","",Human_Data_Entry!C20)</f>
        <v/>
      </c>
      <c r="D22" s="103">
        <f>IF(Human_Data_Entry!D20="","",Human_Data_Entry!D20)</f>
        <v/>
      </c>
      <c r="E22" s="103">
        <f>IF(Human_Data_Entry!G20="","",Human_Data_Entry!G20)</f>
        <v/>
      </c>
      <c r="F22" s="103">
        <f>IF(Human_Data_Entry!X20="","",Human_Data_Entry!X20)</f>
        <v/>
      </c>
      <c r="G22" s="103">
        <f>IF(Human_Data_Entry!AY20="","",Human_Data_Entry!AY20)</f>
        <v/>
      </c>
      <c r="H22" s="103">
        <f>IF(Human_Data_Entry!AS20="","",Human_Data_Entry!AS20)</f>
        <v/>
      </c>
      <c r="I22" s="103">
        <f>IF(Human_Data_Entry!F20="","",Human_Data_Entry!F20)</f>
        <v/>
      </c>
      <c r="J22" s="103">
        <f>IF(Human_Data_Entry!BA20="","",Human_Data_Entry!BA20)</f>
        <v/>
      </c>
      <c r="K22" s="103">
        <f>IF(Human_Data_Entry!BB20="","",Human_Data_Entry!BB20)</f>
        <v/>
      </c>
      <c r="L22" s="103">
        <f>IF(Human_Data_Entry!BC20="","",Human_Data_Entry!BC20)</f>
        <v/>
      </c>
      <c r="M22" s="104">
        <f>IF(Human_Data_Entry!BD20="","",Human_Data_Entry!BD20)</f>
        <v/>
      </c>
      <c r="N22" s="104">
        <f>IF(Human_Data_Entry!BE20="","",Human_Data_Entry!BE20)</f>
        <v/>
      </c>
      <c r="O22" s="105">
        <f>IF(Human_Data_Entry!BF20="","",Human_Data_Entry!BF20)</f>
        <v/>
      </c>
      <c r="P22" s="103">
        <f>IF(Human_Data_Entry!BG20="","",Human_Data_Entry!BG20)</f>
        <v/>
      </c>
      <c r="Q22" s="103">
        <f>IF(Human_Data_Entry!BL20="","",Human_Data_Entry!BL20)</f>
        <v/>
      </c>
      <c r="R22" s="103">
        <f>IF(Human_Data_Entry!BH20="","",Human_Data_Entry!BH20)</f>
        <v/>
      </c>
      <c r="S22" s="103">
        <f>IF(Human_Data_Entry!BI20="","",Human_Data_Entry!BI20)</f>
        <v/>
      </c>
      <c r="T22" s="103">
        <f>IF(Human_Data_Entry!BJ20="","",Human_Data_Entry!BJ20)</f>
        <v/>
      </c>
      <c r="U22" s="103">
        <f>IF(Human_Data_Entry!AP20="","",Human_Data_Entry!AP20)</f>
        <v/>
      </c>
      <c r="V22" s="103">
        <f>IF(Human_Data_Entry!AQ20="","",Human_Data_Entry!AQ20)</f>
        <v/>
      </c>
      <c r="W22" s="103">
        <f>IF(Human_Data_Entry!AR20="","",Human_Data_Entry!AR20)</f>
        <v/>
      </c>
      <c r="X22" s="103">
        <f>IF(Human_Data_Entry!BK20="","",Human_Data_Entry!BK20)</f>
        <v/>
      </c>
    </row>
    <row r="23" ht="15" customHeight="1" s="241">
      <c r="A23" s="103">
        <f>IF(Human_Data_Entry!A21="","",Human_Data_Entry!A21)</f>
        <v/>
      </c>
      <c r="B23" s="103">
        <f>IF(Human_Data_Entry!B21="","",Human_Data_Entry!B21)</f>
        <v/>
      </c>
      <c r="C23" s="104">
        <f>IF(Human_Data_Entry!C21="","",Human_Data_Entry!C21)</f>
        <v/>
      </c>
      <c r="D23" s="103">
        <f>IF(Human_Data_Entry!D21="","",Human_Data_Entry!D21)</f>
        <v/>
      </c>
      <c r="E23" s="103">
        <f>IF(Human_Data_Entry!G21="","",Human_Data_Entry!G21)</f>
        <v/>
      </c>
      <c r="F23" s="103">
        <f>IF(Human_Data_Entry!X21="","",Human_Data_Entry!X21)</f>
        <v/>
      </c>
      <c r="G23" s="103">
        <f>IF(Human_Data_Entry!AY21="","",Human_Data_Entry!AY21)</f>
        <v/>
      </c>
      <c r="H23" s="103">
        <f>IF(Human_Data_Entry!AS21="","",Human_Data_Entry!AS21)</f>
        <v/>
      </c>
      <c r="I23" s="103">
        <f>IF(Human_Data_Entry!F21="","",Human_Data_Entry!F21)</f>
        <v/>
      </c>
      <c r="J23" s="103">
        <f>IF(Human_Data_Entry!BA21="","",Human_Data_Entry!BA21)</f>
        <v/>
      </c>
      <c r="K23" s="103">
        <f>IF(Human_Data_Entry!BB21="","",Human_Data_Entry!BB21)</f>
        <v/>
      </c>
      <c r="L23" s="103">
        <f>IF(Human_Data_Entry!BC21="","",Human_Data_Entry!BC21)</f>
        <v/>
      </c>
      <c r="M23" s="104">
        <f>IF(Human_Data_Entry!BD21="","",Human_Data_Entry!BD21)</f>
        <v/>
      </c>
      <c r="N23" s="104">
        <f>IF(Human_Data_Entry!BE21="","",Human_Data_Entry!BE21)</f>
        <v/>
      </c>
      <c r="O23" s="105">
        <f>IF(Human_Data_Entry!BF21="","",Human_Data_Entry!BF21)</f>
        <v/>
      </c>
      <c r="P23" s="103">
        <f>IF(Human_Data_Entry!BG21="","",Human_Data_Entry!BG21)</f>
        <v/>
      </c>
      <c r="Q23" s="103">
        <f>IF(Human_Data_Entry!BL21="","",Human_Data_Entry!BL21)</f>
        <v/>
      </c>
      <c r="R23" s="103">
        <f>IF(Human_Data_Entry!BH21="","",Human_Data_Entry!BH21)</f>
        <v/>
      </c>
      <c r="S23" s="103">
        <f>IF(Human_Data_Entry!BI21="","",Human_Data_Entry!BI21)</f>
        <v/>
      </c>
      <c r="T23" s="103">
        <f>IF(Human_Data_Entry!BJ21="","",Human_Data_Entry!BJ21)</f>
        <v/>
      </c>
      <c r="U23" s="103">
        <f>IF(Human_Data_Entry!AP21="","",Human_Data_Entry!AP21)</f>
        <v/>
      </c>
      <c r="V23" s="103">
        <f>IF(Human_Data_Entry!AQ21="","",Human_Data_Entry!AQ21)</f>
        <v/>
      </c>
      <c r="W23" s="103">
        <f>IF(Human_Data_Entry!AR21="","",Human_Data_Entry!AR21)</f>
        <v/>
      </c>
      <c r="X23" s="103">
        <f>IF(Human_Data_Entry!BK21="","",Human_Data_Entry!BK21)</f>
        <v/>
      </c>
    </row>
    <row r="24" ht="15" customHeight="1" s="241">
      <c r="A24" s="103">
        <f>IF(Human_Data_Entry!A22="","",Human_Data_Entry!A22)</f>
        <v/>
      </c>
      <c r="B24" s="103">
        <f>IF(Human_Data_Entry!B22="","",Human_Data_Entry!B22)</f>
        <v/>
      </c>
      <c r="C24" s="104">
        <f>IF(Human_Data_Entry!C22="","",Human_Data_Entry!C22)</f>
        <v/>
      </c>
      <c r="D24" s="103">
        <f>IF(Human_Data_Entry!D22="","",Human_Data_Entry!D22)</f>
        <v/>
      </c>
      <c r="E24" s="103">
        <f>IF(Human_Data_Entry!G22="","",Human_Data_Entry!G22)</f>
        <v/>
      </c>
      <c r="F24" s="103">
        <f>IF(Human_Data_Entry!X22="","",Human_Data_Entry!X22)</f>
        <v/>
      </c>
      <c r="G24" s="103">
        <f>IF(Human_Data_Entry!AY22="","",Human_Data_Entry!AY22)</f>
        <v/>
      </c>
      <c r="H24" s="103">
        <f>IF(Human_Data_Entry!AS22="","",Human_Data_Entry!AS22)</f>
        <v/>
      </c>
      <c r="I24" s="103">
        <f>IF(Human_Data_Entry!F22="","",Human_Data_Entry!F22)</f>
        <v/>
      </c>
      <c r="J24" s="103">
        <f>IF(Human_Data_Entry!BA22="","",Human_Data_Entry!BA22)</f>
        <v/>
      </c>
      <c r="K24" s="103">
        <f>IF(Human_Data_Entry!BB22="","",Human_Data_Entry!BB22)</f>
        <v/>
      </c>
      <c r="L24" s="103">
        <f>IF(Human_Data_Entry!BC22="","",Human_Data_Entry!BC22)</f>
        <v/>
      </c>
      <c r="M24" s="104">
        <f>IF(Human_Data_Entry!BD22="","",Human_Data_Entry!BD22)</f>
        <v/>
      </c>
      <c r="N24" s="104">
        <f>IF(Human_Data_Entry!BE22="","",Human_Data_Entry!BE22)</f>
        <v/>
      </c>
      <c r="O24" s="105">
        <f>IF(Human_Data_Entry!BF22="","",Human_Data_Entry!BF22)</f>
        <v/>
      </c>
      <c r="P24" s="103">
        <f>IF(Human_Data_Entry!BG22="","",Human_Data_Entry!BG22)</f>
        <v/>
      </c>
      <c r="Q24" s="103">
        <f>IF(Human_Data_Entry!BL22="","",Human_Data_Entry!BL22)</f>
        <v/>
      </c>
      <c r="R24" s="103">
        <f>IF(Human_Data_Entry!BH22="","",Human_Data_Entry!BH22)</f>
        <v/>
      </c>
      <c r="S24" s="103">
        <f>IF(Human_Data_Entry!BI22="","",Human_Data_Entry!BI22)</f>
        <v/>
      </c>
      <c r="T24" s="103">
        <f>IF(Human_Data_Entry!BJ22="","",Human_Data_Entry!BJ22)</f>
        <v/>
      </c>
      <c r="U24" s="103">
        <f>IF(Human_Data_Entry!AP22="","",Human_Data_Entry!AP22)</f>
        <v/>
      </c>
      <c r="V24" s="103">
        <f>IF(Human_Data_Entry!AQ22="","",Human_Data_Entry!AQ22)</f>
        <v/>
      </c>
      <c r="W24" s="103">
        <f>IF(Human_Data_Entry!AR22="","",Human_Data_Entry!AR22)</f>
        <v/>
      </c>
      <c r="X24" s="103">
        <f>IF(Human_Data_Entry!BK22="","",Human_Data_Entry!BK22)</f>
        <v/>
      </c>
    </row>
    <row r="25" ht="15" customHeight="1" s="241">
      <c r="A25" s="103">
        <f>IF(Human_Data_Entry!A23="","",Human_Data_Entry!A23)</f>
        <v/>
      </c>
      <c r="B25" s="103">
        <f>IF(Human_Data_Entry!B23="","",Human_Data_Entry!B23)</f>
        <v/>
      </c>
      <c r="C25" s="104">
        <f>IF(Human_Data_Entry!C23="","",Human_Data_Entry!C23)</f>
        <v/>
      </c>
      <c r="D25" s="103">
        <f>IF(Human_Data_Entry!D23="","",Human_Data_Entry!D23)</f>
        <v/>
      </c>
      <c r="E25" s="103">
        <f>IF(Human_Data_Entry!G23="","",Human_Data_Entry!G23)</f>
        <v/>
      </c>
      <c r="F25" s="103">
        <f>IF(Human_Data_Entry!X23="","",Human_Data_Entry!X23)</f>
        <v/>
      </c>
      <c r="G25" s="103">
        <f>IF(Human_Data_Entry!AY23="","",Human_Data_Entry!AY23)</f>
        <v/>
      </c>
      <c r="H25" s="103">
        <f>IF(Human_Data_Entry!AS23="","",Human_Data_Entry!AS23)</f>
        <v/>
      </c>
      <c r="I25" s="103">
        <f>IF(Human_Data_Entry!F23="","",Human_Data_Entry!F23)</f>
        <v/>
      </c>
      <c r="J25" s="103">
        <f>IF(Human_Data_Entry!BA23="","",Human_Data_Entry!BA23)</f>
        <v/>
      </c>
      <c r="K25" s="103">
        <f>IF(Human_Data_Entry!BB23="","",Human_Data_Entry!BB23)</f>
        <v/>
      </c>
      <c r="L25" s="103">
        <f>IF(Human_Data_Entry!BC23="","",Human_Data_Entry!BC23)</f>
        <v/>
      </c>
      <c r="M25" s="104">
        <f>IF(Human_Data_Entry!BD23="","",Human_Data_Entry!BD23)</f>
        <v/>
      </c>
      <c r="N25" s="104">
        <f>IF(Human_Data_Entry!BE23="","",Human_Data_Entry!BE23)</f>
        <v/>
      </c>
      <c r="O25" s="105">
        <f>IF(Human_Data_Entry!BF23="","",Human_Data_Entry!BF23)</f>
        <v/>
      </c>
      <c r="P25" s="103">
        <f>IF(Human_Data_Entry!BG23="","",Human_Data_Entry!BG23)</f>
        <v/>
      </c>
      <c r="Q25" s="103">
        <f>IF(Human_Data_Entry!BL23="","",Human_Data_Entry!BL23)</f>
        <v/>
      </c>
      <c r="R25" s="103">
        <f>IF(Human_Data_Entry!BH23="","",Human_Data_Entry!BH23)</f>
        <v/>
      </c>
      <c r="S25" s="103">
        <f>IF(Human_Data_Entry!BI23="","",Human_Data_Entry!BI23)</f>
        <v/>
      </c>
      <c r="T25" s="103">
        <f>IF(Human_Data_Entry!BJ23="","",Human_Data_Entry!BJ23)</f>
        <v/>
      </c>
      <c r="U25" s="103">
        <f>IF(Human_Data_Entry!AP23="","",Human_Data_Entry!AP23)</f>
        <v/>
      </c>
      <c r="V25" s="103">
        <f>IF(Human_Data_Entry!AQ23="","",Human_Data_Entry!AQ23)</f>
        <v/>
      </c>
      <c r="W25" s="103">
        <f>IF(Human_Data_Entry!AR23="","",Human_Data_Entry!AR23)</f>
        <v/>
      </c>
      <c r="X25" s="103">
        <f>IF(Human_Data_Entry!BK23="","",Human_Data_Entry!BK23)</f>
        <v/>
      </c>
    </row>
    <row r="26" ht="15" customHeight="1" s="241">
      <c r="A26" s="103">
        <f>IF(Human_Data_Entry!A24="","",Human_Data_Entry!A24)</f>
        <v/>
      </c>
      <c r="B26" s="103">
        <f>IF(Human_Data_Entry!B24="","",Human_Data_Entry!B24)</f>
        <v/>
      </c>
      <c r="C26" s="104">
        <f>IF(Human_Data_Entry!C24="","",Human_Data_Entry!C24)</f>
        <v/>
      </c>
      <c r="D26" s="103">
        <f>IF(Human_Data_Entry!D24="","",Human_Data_Entry!D24)</f>
        <v/>
      </c>
      <c r="E26" s="103">
        <f>IF(Human_Data_Entry!G24="","",Human_Data_Entry!G24)</f>
        <v/>
      </c>
      <c r="F26" s="103">
        <f>IF(Human_Data_Entry!X24="","",Human_Data_Entry!X24)</f>
        <v/>
      </c>
      <c r="G26" s="103">
        <f>IF(Human_Data_Entry!AY24="","",Human_Data_Entry!AY24)</f>
        <v/>
      </c>
      <c r="H26" s="103">
        <f>IF(Human_Data_Entry!AS24="","",Human_Data_Entry!AS24)</f>
        <v/>
      </c>
      <c r="I26" s="103">
        <f>IF(Human_Data_Entry!F24="","",Human_Data_Entry!F24)</f>
        <v/>
      </c>
      <c r="J26" s="103">
        <f>IF(Human_Data_Entry!BA24="","",Human_Data_Entry!BA24)</f>
        <v/>
      </c>
      <c r="K26" s="103">
        <f>IF(Human_Data_Entry!BB24="","",Human_Data_Entry!BB24)</f>
        <v/>
      </c>
      <c r="L26" s="103">
        <f>IF(Human_Data_Entry!BC24="","",Human_Data_Entry!BC24)</f>
        <v/>
      </c>
      <c r="M26" s="104">
        <f>IF(Human_Data_Entry!BD24="","",Human_Data_Entry!BD24)</f>
        <v/>
      </c>
      <c r="N26" s="104">
        <f>IF(Human_Data_Entry!BE24="","",Human_Data_Entry!BE24)</f>
        <v/>
      </c>
      <c r="O26" s="105">
        <f>IF(Human_Data_Entry!BF24="","",Human_Data_Entry!BF24)</f>
        <v/>
      </c>
      <c r="P26" s="103">
        <f>IF(Human_Data_Entry!BG24="","",Human_Data_Entry!BG24)</f>
        <v/>
      </c>
      <c r="Q26" s="103">
        <f>IF(Human_Data_Entry!BL24="","",Human_Data_Entry!BL24)</f>
        <v/>
      </c>
      <c r="R26" s="103">
        <f>IF(Human_Data_Entry!BH24="","",Human_Data_Entry!BH24)</f>
        <v/>
      </c>
      <c r="S26" s="103">
        <f>IF(Human_Data_Entry!BI24="","",Human_Data_Entry!BI24)</f>
        <v/>
      </c>
      <c r="T26" s="103">
        <f>IF(Human_Data_Entry!BJ24="","",Human_Data_Entry!BJ24)</f>
        <v/>
      </c>
      <c r="U26" s="103">
        <f>IF(Human_Data_Entry!AP24="","",Human_Data_Entry!AP24)</f>
        <v/>
      </c>
      <c r="V26" s="103">
        <f>IF(Human_Data_Entry!AQ24="","",Human_Data_Entry!AQ24)</f>
        <v/>
      </c>
      <c r="W26" s="103">
        <f>IF(Human_Data_Entry!AR24="","",Human_Data_Entry!AR24)</f>
        <v/>
      </c>
      <c r="X26" s="103">
        <f>IF(Human_Data_Entry!BK24="","",Human_Data_Entry!BK24)</f>
        <v/>
      </c>
    </row>
    <row r="27" ht="15" customHeight="1" s="241">
      <c r="A27" s="103">
        <f>IF(Human_Data_Entry!A25="","",Human_Data_Entry!A25)</f>
        <v/>
      </c>
      <c r="B27" s="103">
        <f>IF(Human_Data_Entry!B25="","",Human_Data_Entry!B25)</f>
        <v/>
      </c>
      <c r="C27" s="104">
        <f>IF(Human_Data_Entry!C25="","",Human_Data_Entry!C25)</f>
        <v/>
      </c>
      <c r="D27" s="103">
        <f>IF(Human_Data_Entry!D25="","",Human_Data_Entry!D25)</f>
        <v/>
      </c>
      <c r="E27" s="103">
        <f>IF(Human_Data_Entry!G25="","",Human_Data_Entry!G25)</f>
        <v/>
      </c>
      <c r="F27" s="103">
        <f>IF(Human_Data_Entry!X25="","",Human_Data_Entry!X25)</f>
        <v/>
      </c>
      <c r="G27" s="103">
        <f>IF(Human_Data_Entry!AY25="","",Human_Data_Entry!AY25)</f>
        <v/>
      </c>
      <c r="H27" s="103">
        <f>IF(Human_Data_Entry!AS25="","",Human_Data_Entry!AS25)</f>
        <v/>
      </c>
      <c r="I27" s="103">
        <f>IF(Human_Data_Entry!F25="","",Human_Data_Entry!F25)</f>
        <v/>
      </c>
      <c r="J27" s="103">
        <f>IF(Human_Data_Entry!BA25="","",Human_Data_Entry!BA25)</f>
        <v/>
      </c>
      <c r="K27" s="103">
        <f>IF(Human_Data_Entry!BB25="","",Human_Data_Entry!BB25)</f>
        <v/>
      </c>
      <c r="L27" s="103">
        <f>IF(Human_Data_Entry!BC25="","",Human_Data_Entry!BC25)</f>
        <v/>
      </c>
      <c r="M27" s="104">
        <f>IF(Human_Data_Entry!BD25="","",Human_Data_Entry!BD25)</f>
        <v/>
      </c>
      <c r="N27" s="104">
        <f>IF(Human_Data_Entry!BE25="","",Human_Data_Entry!BE25)</f>
        <v/>
      </c>
      <c r="O27" s="105">
        <f>IF(Human_Data_Entry!BF25="","",Human_Data_Entry!BF25)</f>
        <v/>
      </c>
      <c r="P27" s="103">
        <f>IF(Human_Data_Entry!BG25="","",Human_Data_Entry!BG25)</f>
        <v/>
      </c>
      <c r="Q27" s="103">
        <f>IF(Human_Data_Entry!BL25="","",Human_Data_Entry!BL25)</f>
        <v/>
      </c>
      <c r="R27" s="103">
        <f>IF(Human_Data_Entry!BH25="","",Human_Data_Entry!BH25)</f>
        <v/>
      </c>
      <c r="S27" s="103">
        <f>IF(Human_Data_Entry!BI25="","",Human_Data_Entry!BI25)</f>
        <v/>
      </c>
      <c r="T27" s="103">
        <f>IF(Human_Data_Entry!BJ25="","",Human_Data_Entry!BJ25)</f>
        <v/>
      </c>
      <c r="U27" s="103">
        <f>IF(Human_Data_Entry!AP25="","",Human_Data_Entry!AP25)</f>
        <v/>
      </c>
      <c r="V27" s="103">
        <f>IF(Human_Data_Entry!AQ25="","",Human_Data_Entry!AQ25)</f>
        <v/>
      </c>
      <c r="W27" s="103">
        <f>IF(Human_Data_Entry!AR25="","",Human_Data_Entry!AR25)</f>
        <v/>
      </c>
      <c r="X27" s="103">
        <f>IF(Human_Data_Entry!BK25="","",Human_Data_Entry!BK25)</f>
        <v/>
      </c>
    </row>
    <row r="28" ht="15" customHeight="1" s="241">
      <c r="A28" s="103">
        <f>IF(Human_Data_Entry!A26="","",Human_Data_Entry!A26)</f>
        <v/>
      </c>
      <c r="B28" s="103">
        <f>IF(Human_Data_Entry!B26="","",Human_Data_Entry!B26)</f>
        <v/>
      </c>
      <c r="C28" s="104">
        <f>IF(Human_Data_Entry!C26="","",Human_Data_Entry!C26)</f>
        <v/>
      </c>
      <c r="D28" s="103">
        <f>IF(Human_Data_Entry!D26="","",Human_Data_Entry!D26)</f>
        <v/>
      </c>
      <c r="E28" s="103">
        <f>IF(Human_Data_Entry!G26="","",Human_Data_Entry!G26)</f>
        <v/>
      </c>
      <c r="F28" s="103">
        <f>IF(Human_Data_Entry!X26="","",Human_Data_Entry!X26)</f>
        <v/>
      </c>
      <c r="G28" s="103">
        <f>IF(Human_Data_Entry!AY26="","",Human_Data_Entry!AY26)</f>
        <v/>
      </c>
      <c r="H28" s="103">
        <f>IF(Human_Data_Entry!AS26="","",Human_Data_Entry!AS26)</f>
        <v/>
      </c>
      <c r="I28" s="103">
        <f>IF(Human_Data_Entry!F26="","",Human_Data_Entry!F26)</f>
        <v/>
      </c>
      <c r="J28" s="103">
        <f>IF(Human_Data_Entry!BA26="","",Human_Data_Entry!BA26)</f>
        <v/>
      </c>
      <c r="K28" s="103">
        <f>IF(Human_Data_Entry!BB26="","",Human_Data_Entry!BB26)</f>
        <v/>
      </c>
      <c r="L28" s="103">
        <f>IF(Human_Data_Entry!BC26="","",Human_Data_Entry!BC26)</f>
        <v/>
      </c>
      <c r="M28" s="104">
        <f>IF(Human_Data_Entry!BD26="","",Human_Data_Entry!BD26)</f>
        <v/>
      </c>
      <c r="N28" s="104">
        <f>IF(Human_Data_Entry!BE26="","",Human_Data_Entry!BE26)</f>
        <v/>
      </c>
      <c r="O28" s="105">
        <f>IF(Human_Data_Entry!BF26="","",Human_Data_Entry!BF26)</f>
        <v/>
      </c>
      <c r="P28" s="103">
        <f>IF(Human_Data_Entry!BG26="","",Human_Data_Entry!BG26)</f>
        <v/>
      </c>
      <c r="Q28" s="103">
        <f>IF(Human_Data_Entry!BL26="","",Human_Data_Entry!BL26)</f>
        <v/>
      </c>
      <c r="R28" s="103">
        <f>IF(Human_Data_Entry!BH26="","",Human_Data_Entry!BH26)</f>
        <v/>
      </c>
      <c r="S28" s="103">
        <f>IF(Human_Data_Entry!BI26="","",Human_Data_Entry!BI26)</f>
        <v/>
      </c>
      <c r="T28" s="103">
        <f>IF(Human_Data_Entry!BJ26="","",Human_Data_Entry!BJ26)</f>
        <v/>
      </c>
      <c r="U28" s="103">
        <f>IF(Human_Data_Entry!AP26="","",Human_Data_Entry!AP26)</f>
        <v/>
      </c>
      <c r="V28" s="103">
        <f>IF(Human_Data_Entry!AQ26="","",Human_Data_Entry!AQ26)</f>
        <v/>
      </c>
      <c r="W28" s="103">
        <f>IF(Human_Data_Entry!AR26="","",Human_Data_Entry!AR26)</f>
        <v/>
      </c>
      <c r="X28" s="103">
        <f>IF(Human_Data_Entry!BK26="","",Human_Data_Entry!BK26)</f>
        <v/>
      </c>
    </row>
    <row r="29" ht="15" customHeight="1" s="241">
      <c r="A29" s="103">
        <f>IF(Human_Data_Entry!A27="","",Human_Data_Entry!A27)</f>
        <v/>
      </c>
      <c r="B29" s="103">
        <f>IF(Human_Data_Entry!B27="","",Human_Data_Entry!B27)</f>
        <v/>
      </c>
      <c r="C29" s="104">
        <f>IF(Human_Data_Entry!C27="","",Human_Data_Entry!C27)</f>
        <v/>
      </c>
      <c r="D29" s="103">
        <f>IF(Human_Data_Entry!D27="","",Human_Data_Entry!D27)</f>
        <v/>
      </c>
      <c r="E29" s="103">
        <f>IF(Human_Data_Entry!G27="","",Human_Data_Entry!G27)</f>
        <v/>
      </c>
      <c r="F29" s="103">
        <f>IF(Human_Data_Entry!X27="","",Human_Data_Entry!X27)</f>
        <v/>
      </c>
      <c r="G29" s="103">
        <f>IF(Human_Data_Entry!AY27="","",Human_Data_Entry!AY27)</f>
        <v/>
      </c>
      <c r="H29" s="103">
        <f>IF(Human_Data_Entry!AS27="","",Human_Data_Entry!AS27)</f>
        <v/>
      </c>
      <c r="I29" s="103">
        <f>IF(Human_Data_Entry!F27="","",Human_Data_Entry!F27)</f>
        <v/>
      </c>
      <c r="J29" s="103">
        <f>IF(Human_Data_Entry!BA27="","",Human_Data_Entry!BA27)</f>
        <v/>
      </c>
      <c r="K29" s="103">
        <f>IF(Human_Data_Entry!BB27="","",Human_Data_Entry!BB27)</f>
        <v/>
      </c>
      <c r="L29" s="103">
        <f>IF(Human_Data_Entry!BC27="","",Human_Data_Entry!BC27)</f>
        <v/>
      </c>
      <c r="M29" s="104">
        <f>IF(Human_Data_Entry!BD27="","",Human_Data_Entry!BD27)</f>
        <v/>
      </c>
      <c r="N29" s="104">
        <f>IF(Human_Data_Entry!BE27="","",Human_Data_Entry!BE27)</f>
        <v/>
      </c>
      <c r="O29" s="105">
        <f>IF(Human_Data_Entry!BF27="","",Human_Data_Entry!BF27)</f>
        <v/>
      </c>
      <c r="P29" s="103">
        <f>IF(Human_Data_Entry!BG27="","",Human_Data_Entry!BG27)</f>
        <v/>
      </c>
      <c r="Q29" s="103">
        <f>IF(Human_Data_Entry!BL27="","",Human_Data_Entry!BL27)</f>
        <v/>
      </c>
      <c r="R29" s="103">
        <f>IF(Human_Data_Entry!BH27="","",Human_Data_Entry!BH27)</f>
        <v/>
      </c>
      <c r="S29" s="103">
        <f>IF(Human_Data_Entry!BI27="","",Human_Data_Entry!BI27)</f>
        <v/>
      </c>
      <c r="T29" s="103">
        <f>IF(Human_Data_Entry!BJ27="","",Human_Data_Entry!BJ27)</f>
        <v/>
      </c>
      <c r="U29" s="103">
        <f>IF(Human_Data_Entry!AP27="","",Human_Data_Entry!AP27)</f>
        <v/>
      </c>
      <c r="V29" s="103">
        <f>IF(Human_Data_Entry!AQ27="","",Human_Data_Entry!AQ27)</f>
        <v/>
      </c>
      <c r="W29" s="103">
        <f>IF(Human_Data_Entry!AR27="","",Human_Data_Entry!AR27)</f>
        <v/>
      </c>
      <c r="X29" s="103">
        <f>IF(Human_Data_Entry!BK27="","",Human_Data_Entry!BK27)</f>
        <v/>
      </c>
    </row>
    <row r="30" ht="15" customHeight="1" s="241">
      <c r="A30" s="103">
        <f>IF(Human_Data_Entry!A28="","",Human_Data_Entry!A28)</f>
        <v/>
      </c>
      <c r="B30" s="103">
        <f>IF(Human_Data_Entry!B28="","",Human_Data_Entry!B28)</f>
        <v/>
      </c>
      <c r="C30" s="104">
        <f>IF(Human_Data_Entry!C28="","",Human_Data_Entry!C28)</f>
        <v/>
      </c>
      <c r="D30" s="103">
        <f>IF(Human_Data_Entry!D28="","",Human_Data_Entry!D28)</f>
        <v/>
      </c>
      <c r="E30" s="103">
        <f>IF(Human_Data_Entry!G28="","",Human_Data_Entry!G28)</f>
        <v/>
      </c>
      <c r="F30" s="103">
        <f>IF(Human_Data_Entry!X28="","",Human_Data_Entry!X28)</f>
        <v/>
      </c>
      <c r="G30" s="103">
        <f>IF(Human_Data_Entry!AY28="","",Human_Data_Entry!AY28)</f>
        <v/>
      </c>
      <c r="H30" s="103">
        <f>IF(Human_Data_Entry!AS28="","",Human_Data_Entry!AS28)</f>
        <v/>
      </c>
      <c r="I30" s="103">
        <f>IF(Human_Data_Entry!F28="","",Human_Data_Entry!F28)</f>
        <v/>
      </c>
      <c r="J30" s="103">
        <f>IF(Human_Data_Entry!BA28="","",Human_Data_Entry!BA28)</f>
        <v/>
      </c>
      <c r="K30" s="103">
        <f>IF(Human_Data_Entry!BB28="","",Human_Data_Entry!BB28)</f>
        <v/>
      </c>
      <c r="L30" s="103">
        <f>IF(Human_Data_Entry!BC28="","",Human_Data_Entry!BC28)</f>
        <v/>
      </c>
      <c r="M30" s="104">
        <f>IF(Human_Data_Entry!BD28="","",Human_Data_Entry!BD28)</f>
        <v/>
      </c>
      <c r="N30" s="104">
        <f>IF(Human_Data_Entry!BE28="","",Human_Data_Entry!BE28)</f>
        <v/>
      </c>
      <c r="O30" s="105">
        <f>IF(Human_Data_Entry!BF28="","",Human_Data_Entry!BF28)</f>
        <v/>
      </c>
      <c r="P30" s="103">
        <f>IF(Human_Data_Entry!BG28="","",Human_Data_Entry!BG28)</f>
        <v/>
      </c>
      <c r="Q30" s="103">
        <f>IF(Human_Data_Entry!BL28="","",Human_Data_Entry!BL28)</f>
        <v/>
      </c>
      <c r="R30" s="103">
        <f>IF(Human_Data_Entry!BH28="","",Human_Data_Entry!BH28)</f>
        <v/>
      </c>
      <c r="S30" s="103">
        <f>IF(Human_Data_Entry!BI28="","",Human_Data_Entry!BI28)</f>
        <v/>
      </c>
      <c r="T30" s="103">
        <f>IF(Human_Data_Entry!BJ28="","",Human_Data_Entry!BJ28)</f>
        <v/>
      </c>
      <c r="U30" s="103">
        <f>IF(Human_Data_Entry!AP28="","",Human_Data_Entry!AP28)</f>
        <v/>
      </c>
      <c r="V30" s="103">
        <f>IF(Human_Data_Entry!AQ28="","",Human_Data_Entry!AQ28)</f>
        <v/>
      </c>
      <c r="W30" s="103">
        <f>IF(Human_Data_Entry!AR28="","",Human_Data_Entry!AR28)</f>
        <v/>
      </c>
      <c r="X30" s="103">
        <f>IF(Human_Data_Entry!BK28="","",Human_Data_Entry!BK28)</f>
        <v/>
      </c>
    </row>
    <row r="31" ht="15" customHeight="1" s="241">
      <c r="A31" s="103">
        <f>IF(Human_Data_Entry!A29="","",Human_Data_Entry!A29)</f>
        <v/>
      </c>
      <c r="B31" s="103">
        <f>IF(Human_Data_Entry!B29="","",Human_Data_Entry!B29)</f>
        <v/>
      </c>
      <c r="C31" s="104">
        <f>IF(Human_Data_Entry!C29="","",Human_Data_Entry!C29)</f>
        <v/>
      </c>
      <c r="D31" s="103">
        <f>IF(Human_Data_Entry!D29="","",Human_Data_Entry!D29)</f>
        <v/>
      </c>
      <c r="E31" s="103">
        <f>IF(Human_Data_Entry!G29="","",Human_Data_Entry!G29)</f>
        <v/>
      </c>
      <c r="F31" s="103">
        <f>IF(Human_Data_Entry!X29="","",Human_Data_Entry!X29)</f>
        <v/>
      </c>
      <c r="G31" s="103">
        <f>IF(Human_Data_Entry!AY29="","",Human_Data_Entry!AY29)</f>
        <v/>
      </c>
      <c r="H31" s="103">
        <f>IF(Human_Data_Entry!AS29="","",Human_Data_Entry!AS29)</f>
        <v/>
      </c>
      <c r="I31" s="103">
        <f>IF(Human_Data_Entry!F29="","",Human_Data_Entry!F29)</f>
        <v/>
      </c>
      <c r="J31" s="103">
        <f>IF(Human_Data_Entry!BA29="","",Human_Data_Entry!BA29)</f>
        <v/>
      </c>
      <c r="K31" s="103">
        <f>IF(Human_Data_Entry!BB29="","",Human_Data_Entry!BB29)</f>
        <v/>
      </c>
      <c r="L31" s="103">
        <f>IF(Human_Data_Entry!BC29="","",Human_Data_Entry!BC29)</f>
        <v/>
      </c>
      <c r="M31" s="104">
        <f>IF(Human_Data_Entry!BD29="","",Human_Data_Entry!BD29)</f>
        <v/>
      </c>
      <c r="N31" s="104">
        <f>IF(Human_Data_Entry!BE29="","",Human_Data_Entry!BE29)</f>
        <v/>
      </c>
      <c r="O31" s="105">
        <f>IF(Human_Data_Entry!BF29="","",Human_Data_Entry!BF29)</f>
        <v/>
      </c>
      <c r="P31" s="103">
        <f>IF(Human_Data_Entry!BG29="","",Human_Data_Entry!BG29)</f>
        <v/>
      </c>
      <c r="Q31" s="103">
        <f>IF(Human_Data_Entry!BL29="","",Human_Data_Entry!BL29)</f>
        <v/>
      </c>
      <c r="R31" s="103">
        <f>IF(Human_Data_Entry!BH29="","",Human_Data_Entry!BH29)</f>
        <v/>
      </c>
      <c r="S31" s="103">
        <f>IF(Human_Data_Entry!BI29="","",Human_Data_Entry!BI29)</f>
        <v/>
      </c>
      <c r="T31" s="103">
        <f>IF(Human_Data_Entry!BJ29="","",Human_Data_Entry!BJ29)</f>
        <v/>
      </c>
      <c r="U31" s="103">
        <f>IF(Human_Data_Entry!AP29="","",Human_Data_Entry!AP29)</f>
        <v/>
      </c>
      <c r="V31" s="103">
        <f>IF(Human_Data_Entry!AQ29="","",Human_Data_Entry!AQ29)</f>
        <v/>
      </c>
      <c r="W31" s="103">
        <f>IF(Human_Data_Entry!AR29="","",Human_Data_Entry!AR29)</f>
        <v/>
      </c>
      <c r="X31" s="103">
        <f>IF(Human_Data_Entry!BK29="","",Human_Data_Entry!BK29)</f>
        <v/>
      </c>
    </row>
    <row r="32" ht="15" customHeight="1" s="241">
      <c r="A32" s="103">
        <f>IF(Human_Data_Entry!A30="","",Human_Data_Entry!A30)</f>
        <v/>
      </c>
      <c r="B32" s="103">
        <f>IF(Human_Data_Entry!B30="","",Human_Data_Entry!B30)</f>
        <v/>
      </c>
      <c r="C32" s="104">
        <f>IF(Human_Data_Entry!C30="","",Human_Data_Entry!C30)</f>
        <v/>
      </c>
      <c r="D32" s="103">
        <f>IF(Human_Data_Entry!D30="","",Human_Data_Entry!D30)</f>
        <v/>
      </c>
      <c r="E32" s="103">
        <f>IF(Human_Data_Entry!G30="","",Human_Data_Entry!G30)</f>
        <v/>
      </c>
      <c r="F32" s="103">
        <f>IF(Human_Data_Entry!X30="","",Human_Data_Entry!X30)</f>
        <v/>
      </c>
      <c r="G32" s="103">
        <f>IF(Human_Data_Entry!AY30="","",Human_Data_Entry!AY30)</f>
        <v/>
      </c>
      <c r="H32" s="103">
        <f>IF(Human_Data_Entry!AS30="","",Human_Data_Entry!AS30)</f>
        <v/>
      </c>
      <c r="I32" s="103">
        <f>IF(Human_Data_Entry!F30="","",Human_Data_Entry!F30)</f>
        <v/>
      </c>
      <c r="J32" s="103">
        <f>IF(Human_Data_Entry!BA30="","",Human_Data_Entry!BA30)</f>
        <v/>
      </c>
      <c r="K32" s="103">
        <f>IF(Human_Data_Entry!BB30="","",Human_Data_Entry!BB30)</f>
        <v/>
      </c>
      <c r="L32" s="103">
        <f>IF(Human_Data_Entry!BC30="","",Human_Data_Entry!BC30)</f>
        <v/>
      </c>
      <c r="M32" s="104">
        <f>IF(Human_Data_Entry!BD30="","",Human_Data_Entry!BD30)</f>
        <v/>
      </c>
      <c r="N32" s="104">
        <f>IF(Human_Data_Entry!BE30="","",Human_Data_Entry!BE30)</f>
        <v/>
      </c>
      <c r="O32" s="105">
        <f>IF(Human_Data_Entry!BF30="","",Human_Data_Entry!BF30)</f>
        <v/>
      </c>
      <c r="P32" s="103">
        <f>IF(Human_Data_Entry!BG30="","",Human_Data_Entry!BG30)</f>
        <v/>
      </c>
      <c r="Q32" s="103">
        <f>IF(Human_Data_Entry!BL30="","",Human_Data_Entry!BL30)</f>
        <v/>
      </c>
      <c r="R32" s="103">
        <f>IF(Human_Data_Entry!BH30="","",Human_Data_Entry!BH30)</f>
        <v/>
      </c>
      <c r="S32" s="103">
        <f>IF(Human_Data_Entry!BI30="","",Human_Data_Entry!BI30)</f>
        <v/>
      </c>
      <c r="T32" s="103">
        <f>IF(Human_Data_Entry!BJ30="","",Human_Data_Entry!BJ30)</f>
        <v/>
      </c>
      <c r="U32" s="103">
        <f>IF(Human_Data_Entry!AP30="","",Human_Data_Entry!AP30)</f>
        <v/>
      </c>
      <c r="V32" s="103">
        <f>IF(Human_Data_Entry!AQ30="","",Human_Data_Entry!AQ30)</f>
        <v/>
      </c>
      <c r="W32" s="103">
        <f>IF(Human_Data_Entry!AR30="","",Human_Data_Entry!AR30)</f>
        <v/>
      </c>
      <c r="X32" s="103">
        <f>IF(Human_Data_Entry!BK30="","",Human_Data_Entry!BK30)</f>
        <v/>
      </c>
    </row>
    <row r="33" ht="15" customHeight="1" s="241">
      <c r="A33" s="103">
        <f>IF(Human_Data_Entry!A31="","",Human_Data_Entry!A31)</f>
        <v/>
      </c>
      <c r="B33" s="103">
        <f>IF(Human_Data_Entry!B31="","",Human_Data_Entry!B31)</f>
        <v/>
      </c>
      <c r="C33" s="104">
        <f>IF(Human_Data_Entry!C31="","",Human_Data_Entry!C31)</f>
        <v/>
      </c>
      <c r="D33" s="103">
        <f>IF(Human_Data_Entry!D31="","",Human_Data_Entry!D31)</f>
        <v/>
      </c>
      <c r="E33" s="103">
        <f>IF(Human_Data_Entry!G31="","",Human_Data_Entry!G31)</f>
        <v/>
      </c>
      <c r="F33" s="103">
        <f>IF(Human_Data_Entry!X31="","",Human_Data_Entry!X31)</f>
        <v/>
      </c>
      <c r="G33" s="103">
        <f>IF(Human_Data_Entry!AY31="","",Human_Data_Entry!AY31)</f>
        <v/>
      </c>
      <c r="H33" s="103">
        <f>IF(Human_Data_Entry!AS31="","",Human_Data_Entry!AS31)</f>
        <v/>
      </c>
      <c r="I33" s="103">
        <f>IF(Human_Data_Entry!F31="","",Human_Data_Entry!F31)</f>
        <v/>
      </c>
      <c r="J33" s="103">
        <f>IF(Human_Data_Entry!BA31="","",Human_Data_Entry!BA31)</f>
        <v/>
      </c>
      <c r="K33" s="103">
        <f>IF(Human_Data_Entry!BB31="","",Human_Data_Entry!BB31)</f>
        <v/>
      </c>
      <c r="L33" s="103">
        <f>IF(Human_Data_Entry!BC31="","",Human_Data_Entry!BC31)</f>
        <v/>
      </c>
      <c r="M33" s="104">
        <f>IF(Human_Data_Entry!BD31="","",Human_Data_Entry!BD31)</f>
        <v/>
      </c>
      <c r="N33" s="104">
        <f>IF(Human_Data_Entry!BE31="","",Human_Data_Entry!BE31)</f>
        <v/>
      </c>
      <c r="O33" s="105">
        <f>IF(Human_Data_Entry!BF31="","",Human_Data_Entry!BF31)</f>
        <v/>
      </c>
      <c r="P33" s="103">
        <f>IF(Human_Data_Entry!BG31="","",Human_Data_Entry!BG31)</f>
        <v/>
      </c>
      <c r="Q33" s="103">
        <f>IF(Human_Data_Entry!BL31="","",Human_Data_Entry!BL31)</f>
        <v/>
      </c>
      <c r="R33" s="103">
        <f>IF(Human_Data_Entry!BH31="","",Human_Data_Entry!BH31)</f>
        <v/>
      </c>
      <c r="S33" s="103">
        <f>IF(Human_Data_Entry!BI31="","",Human_Data_Entry!BI31)</f>
        <v/>
      </c>
      <c r="T33" s="103">
        <f>IF(Human_Data_Entry!BJ31="","",Human_Data_Entry!BJ31)</f>
        <v/>
      </c>
      <c r="U33" s="103">
        <f>IF(Human_Data_Entry!AP31="","",Human_Data_Entry!AP31)</f>
        <v/>
      </c>
      <c r="V33" s="103">
        <f>IF(Human_Data_Entry!AQ31="","",Human_Data_Entry!AQ31)</f>
        <v/>
      </c>
      <c r="W33" s="103">
        <f>IF(Human_Data_Entry!AR31="","",Human_Data_Entry!AR31)</f>
        <v/>
      </c>
      <c r="X33" s="103">
        <f>IF(Human_Data_Entry!BK31="","",Human_Data_Entry!BK31)</f>
        <v/>
      </c>
    </row>
    <row r="34" ht="15" customHeight="1" s="241">
      <c r="A34" s="103">
        <f>IF(Human_Data_Entry!A32="","",Human_Data_Entry!A32)</f>
        <v/>
      </c>
      <c r="B34" s="103">
        <f>IF(Human_Data_Entry!B32="","",Human_Data_Entry!B32)</f>
        <v/>
      </c>
      <c r="C34" s="104">
        <f>IF(Human_Data_Entry!C32="","",Human_Data_Entry!C32)</f>
        <v/>
      </c>
      <c r="D34" s="103">
        <f>IF(Human_Data_Entry!D32="","",Human_Data_Entry!D32)</f>
        <v/>
      </c>
      <c r="E34" s="103">
        <f>IF(Human_Data_Entry!G32="","",Human_Data_Entry!G32)</f>
        <v/>
      </c>
      <c r="F34" s="103">
        <f>IF(Human_Data_Entry!X32="","",Human_Data_Entry!X32)</f>
        <v/>
      </c>
      <c r="G34" s="103">
        <f>IF(Human_Data_Entry!AY32="","",Human_Data_Entry!AY32)</f>
        <v/>
      </c>
      <c r="H34" s="103">
        <f>IF(Human_Data_Entry!AS32="","",Human_Data_Entry!AS32)</f>
        <v/>
      </c>
      <c r="I34" s="103">
        <f>IF(Human_Data_Entry!F32="","",Human_Data_Entry!F32)</f>
        <v/>
      </c>
      <c r="J34" s="103">
        <f>IF(Human_Data_Entry!BA32="","",Human_Data_Entry!BA32)</f>
        <v/>
      </c>
      <c r="K34" s="103">
        <f>IF(Human_Data_Entry!BB32="","",Human_Data_Entry!BB32)</f>
        <v/>
      </c>
      <c r="L34" s="103">
        <f>IF(Human_Data_Entry!BC32="","",Human_Data_Entry!BC32)</f>
        <v/>
      </c>
      <c r="M34" s="104">
        <f>IF(Human_Data_Entry!BD32="","",Human_Data_Entry!BD32)</f>
        <v/>
      </c>
      <c r="N34" s="104">
        <f>IF(Human_Data_Entry!BE32="","",Human_Data_Entry!BE32)</f>
        <v/>
      </c>
      <c r="O34" s="105">
        <f>IF(Human_Data_Entry!BF32="","",Human_Data_Entry!BF32)</f>
        <v/>
      </c>
      <c r="P34" s="103">
        <f>IF(Human_Data_Entry!BG32="","",Human_Data_Entry!BG32)</f>
        <v/>
      </c>
      <c r="Q34" s="103">
        <f>IF(Human_Data_Entry!BL32="","",Human_Data_Entry!BL32)</f>
        <v/>
      </c>
      <c r="R34" s="103">
        <f>IF(Human_Data_Entry!BH32="","",Human_Data_Entry!BH32)</f>
        <v/>
      </c>
      <c r="S34" s="103">
        <f>IF(Human_Data_Entry!BI32="","",Human_Data_Entry!BI32)</f>
        <v/>
      </c>
      <c r="T34" s="103">
        <f>IF(Human_Data_Entry!BJ32="","",Human_Data_Entry!BJ32)</f>
        <v/>
      </c>
      <c r="U34" s="103">
        <f>IF(Human_Data_Entry!AP32="","",Human_Data_Entry!AP32)</f>
        <v/>
      </c>
      <c r="V34" s="103">
        <f>IF(Human_Data_Entry!AQ32="","",Human_Data_Entry!AQ32)</f>
        <v/>
      </c>
      <c r="W34" s="103">
        <f>IF(Human_Data_Entry!AR32="","",Human_Data_Entry!AR32)</f>
        <v/>
      </c>
      <c r="X34" s="103">
        <f>IF(Human_Data_Entry!BK32="","",Human_Data_Entry!BK32)</f>
        <v/>
      </c>
    </row>
    <row r="35" ht="15" customHeight="1" s="241">
      <c r="A35" s="103">
        <f>IF(Human_Data_Entry!A33="","",Human_Data_Entry!A33)</f>
        <v/>
      </c>
      <c r="B35" s="103">
        <f>IF(Human_Data_Entry!B33="","",Human_Data_Entry!B33)</f>
        <v/>
      </c>
      <c r="C35" s="104">
        <f>IF(Human_Data_Entry!C33="","",Human_Data_Entry!C33)</f>
        <v/>
      </c>
      <c r="D35" s="103">
        <f>IF(Human_Data_Entry!D33="","",Human_Data_Entry!D33)</f>
        <v/>
      </c>
      <c r="E35" s="103">
        <f>IF(Human_Data_Entry!G33="","",Human_Data_Entry!G33)</f>
        <v/>
      </c>
      <c r="F35" s="103">
        <f>IF(Human_Data_Entry!X33="","",Human_Data_Entry!X33)</f>
        <v/>
      </c>
      <c r="G35" s="103">
        <f>IF(Human_Data_Entry!AY33="","",Human_Data_Entry!AY33)</f>
        <v/>
      </c>
      <c r="H35" s="103">
        <f>IF(Human_Data_Entry!AS33="","",Human_Data_Entry!AS33)</f>
        <v/>
      </c>
      <c r="I35" s="103">
        <f>IF(Human_Data_Entry!F33="","",Human_Data_Entry!F33)</f>
        <v/>
      </c>
      <c r="J35" s="103">
        <f>IF(Human_Data_Entry!BA33="","",Human_Data_Entry!BA33)</f>
        <v/>
      </c>
      <c r="K35" s="103">
        <f>IF(Human_Data_Entry!BB33="","",Human_Data_Entry!BB33)</f>
        <v/>
      </c>
      <c r="L35" s="103">
        <f>IF(Human_Data_Entry!BC33="","",Human_Data_Entry!BC33)</f>
        <v/>
      </c>
      <c r="M35" s="104">
        <f>IF(Human_Data_Entry!BD33="","",Human_Data_Entry!BD33)</f>
        <v/>
      </c>
      <c r="N35" s="104">
        <f>IF(Human_Data_Entry!BE33="","",Human_Data_Entry!BE33)</f>
        <v/>
      </c>
      <c r="O35" s="105">
        <f>IF(Human_Data_Entry!BF33="","",Human_Data_Entry!BF33)</f>
        <v/>
      </c>
      <c r="P35" s="103">
        <f>IF(Human_Data_Entry!BG33="","",Human_Data_Entry!BG33)</f>
        <v/>
      </c>
      <c r="Q35" s="103">
        <f>IF(Human_Data_Entry!BL33="","",Human_Data_Entry!BL33)</f>
        <v/>
      </c>
      <c r="R35" s="103">
        <f>IF(Human_Data_Entry!BH33="","",Human_Data_Entry!BH33)</f>
        <v/>
      </c>
      <c r="S35" s="103">
        <f>IF(Human_Data_Entry!BI33="","",Human_Data_Entry!BI33)</f>
        <v/>
      </c>
      <c r="T35" s="103">
        <f>IF(Human_Data_Entry!BJ33="","",Human_Data_Entry!BJ33)</f>
        <v/>
      </c>
      <c r="U35" s="103">
        <f>IF(Human_Data_Entry!AP33="","",Human_Data_Entry!AP33)</f>
        <v/>
      </c>
      <c r="V35" s="103">
        <f>IF(Human_Data_Entry!AQ33="","",Human_Data_Entry!AQ33)</f>
        <v/>
      </c>
      <c r="W35" s="103">
        <f>IF(Human_Data_Entry!AR33="","",Human_Data_Entry!AR33)</f>
        <v/>
      </c>
      <c r="X35" s="103">
        <f>IF(Human_Data_Entry!BK33="","",Human_Data_Entry!BK33)</f>
        <v/>
      </c>
    </row>
    <row r="36" ht="15" customHeight="1" s="241">
      <c r="A36" s="103">
        <f>IF(Human_Data_Entry!A34="","",Human_Data_Entry!A34)</f>
        <v/>
      </c>
      <c r="B36" s="103">
        <f>IF(Human_Data_Entry!B34="","",Human_Data_Entry!B34)</f>
        <v/>
      </c>
      <c r="C36" s="104">
        <f>IF(Human_Data_Entry!C34="","",Human_Data_Entry!C34)</f>
        <v/>
      </c>
      <c r="D36" s="103">
        <f>IF(Human_Data_Entry!D34="","",Human_Data_Entry!D34)</f>
        <v/>
      </c>
      <c r="E36" s="103">
        <f>IF(Human_Data_Entry!G34="","",Human_Data_Entry!G34)</f>
        <v/>
      </c>
      <c r="F36" s="103">
        <f>IF(Human_Data_Entry!X34="","",Human_Data_Entry!X34)</f>
        <v/>
      </c>
      <c r="G36" s="103">
        <f>IF(Human_Data_Entry!AY34="","",Human_Data_Entry!AY34)</f>
        <v/>
      </c>
      <c r="H36" s="103">
        <f>IF(Human_Data_Entry!AS34="","",Human_Data_Entry!AS34)</f>
        <v/>
      </c>
      <c r="I36" s="103">
        <f>IF(Human_Data_Entry!F34="","",Human_Data_Entry!F34)</f>
        <v/>
      </c>
      <c r="J36" s="103">
        <f>IF(Human_Data_Entry!BA34="","",Human_Data_Entry!BA34)</f>
        <v/>
      </c>
      <c r="K36" s="103">
        <f>IF(Human_Data_Entry!BB34="","",Human_Data_Entry!BB34)</f>
        <v/>
      </c>
      <c r="L36" s="103">
        <f>IF(Human_Data_Entry!BC34="","",Human_Data_Entry!BC34)</f>
        <v/>
      </c>
      <c r="M36" s="104">
        <f>IF(Human_Data_Entry!BD34="","",Human_Data_Entry!BD34)</f>
        <v/>
      </c>
      <c r="N36" s="104">
        <f>IF(Human_Data_Entry!BE34="","",Human_Data_Entry!BE34)</f>
        <v/>
      </c>
      <c r="O36" s="105">
        <f>IF(Human_Data_Entry!BF34="","",Human_Data_Entry!BF34)</f>
        <v/>
      </c>
      <c r="P36" s="103">
        <f>IF(Human_Data_Entry!BG34="","",Human_Data_Entry!BG34)</f>
        <v/>
      </c>
      <c r="Q36" s="103">
        <f>IF(Human_Data_Entry!BL34="","",Human_Data_Entry!BL34)</f>
        <v/>
      </c>
      <c r="R36" s="103">
        <f>IF(Human_Data_Entry!BH34="","",Human_Data_Entry!BH34)</f>
        <v/>
      </c>
      <c r="S36" s="103">
        <f>IF(Human_Data_Entry!BI34="","",Human_Data_Entry!BI34)</f>
        <v/>
      </c>
      <c r="T36" s="103">
        <f>IF(Human_Data_Entry!BJ34="","",Human_Data_Entry!BJ34)</f>
        <v/>
      </c>
      <c r="U36" s="103">
        <f>IF(Human_Data_Entry!AP34="","",Human_Data_Entry!AP34)</f>
        <v/>
      </c>
      <c r="V36" s="103">
        <f>IF(Human_Data_Entry!AQ34="","",Human_Data_Entry!AQ34)</f>
        <v/>
      </c>
      <c r="W36" s="103">
        <f>IF(Human_Data_Entry!AR34="","",Human_Data_Entry!AR34)</f>
        <v/>
      </c>
      <c r="X36" s="103">
        <f>IF(Human_Data_Entry!BK34="","",Human_Data_Entry!BK34)</f>
        <v/>
      </c>
    </row>
    <row r="37" ht="15" customHeight="1" s="241">
      <c r="A37" s="103">
        <f>IF(Human_Data_Entry!A35="","",Human_Data_Entry!A35)</f>
        <v/>
      </c>
      <c r="B37" s="103">
        <f>IF(Human_Data_Entry!B35="","",Human_Data_Entry!B35)</f>
        <v/>
      </c>
      <c r="C37" s="104">
        <f>IF(Human_Data_Entry!C35="","",Human_Data_Entry!C35)</f>
        <v/>
      </c>
      <c r="D37" s="103">
        <f>IF(Human_Data_Entry!D35="","",Human_Data_Entry!D35)</f>
        <v/>
      </c>
      <c r="E37" s="103">
        <f>IF(Human_Data_Entry!G35="","",Human_Data_Entry!G35)</f>
        <v/>
      </c>
      <c r="F37" s="103">
        <f>IF(Human_Data_Entry!X35="","",Human_Data_Entry!X35)</f>
        <v/>
      </c>
      <c r="G37" s="103">
        <f>IF(Human_Data_Entry!AY35="","",Human_Data_Entry!AY35)</f>
        <v/>
      </c>
      <c r="H37" s="103">
        <f>IF(Human_Data_Entry!AS35="","",Human_Data_Entry!AS35)</f>
        <v/>
      </c>
      <c r="I37" s="103">
        <f>IF(Human_Data_Entry!F35="","",Human_Data_Entry!F35)</f>
        <v/>
      </c>
      <c r="J37" s="103">
        <f>IF(Human_Data_Entry!BA35="","",Human_Data_Entry!BA35)</f>
        <v/>
      </c>
      <c r="K37" s="103">
        <f>IF(Human_Data_Entry!BB35="","",Human_Data_Entry!BB35)</f>
        <v/>
      </c>
      <c r="L37" s="103">
        <f>IF(Human_Data_Entry!BC35="","",Human_Data_Entry!BC35)</f>
        <v/>
      </c>
      <c r="M37" s="104">
        <f>IF(Human_Data_Entry!BD35="","",Human_Data_Entry!BD35)</f>
        <v/>
      </c>
      <c r="N37" s="104">
        <f>IF(Human_Data_Entry!BE35="","",Human_Data_Entry!BE35)</f>
        <v/>
      </c>
      <c r="O37" s="105">
        <f>IF(Human_Data_Entry!BF35="","",Human_Data_Entry!BF35)</f>
        <v/>
      </c>
      <c r="P37" s="103">
        <f>IF(Human_Data_Entry!BG35="","",Human_Data_Entry!BG35)</f>
        <v/>
      </c>
      <c r="Q37" s="103">
        <f>IF(Human_Data_Entry!BL35="","",Human_Data_Entry!BL35)</f>
        <v/>
      </c>
      <c r="R37" s="103">
        <f>IF(Human_Data_Entry!BH35="","",Human_Data_Entry!BH35)</f>
        <v/>
      </c>
      <c r="S37" s="103">
        <f>IF(Human_Data_Entry!BI35="","",Human_Data_Entry!BI35)</f>
        <v/>
      </c>
      <c r="T37" s="103">
        <f>IF(Human_Data_Entry!BJ35="","",Human_Data_Entry!BJ35)</f>
        <v/>
      </c>
      <c r="U37" s="103">
        <f>IF(Human_Data_Entry!AP35="","",Human_Data_Entry!AP35)</f>
        <v/>
      </c>
      <c r="V37" s="103">
        <f>IF(Human_Data_Entry!AQ35="","",Human_Data_Entry!AQ35)</f>
        <v/>
      </c>
      <c r="W37" s="103">
        <f>IF(Human_Data_Entry!AR35="","",Human_Data_Entry!AR35)</f>
        <v/>
      </c>
      <c r="X37" s="103">
        <f>IF(Human_Data_Entry!BK35="","",Human_Data_Entry!BK35)</f>
        <v/>
      </c>
    </row>
    <row r="38" ht="15" customHeight="1" s="241">
      <c r="A38" s="103">
        <f>IF(Human_Data_Entry!A36="","",Human_Data_Entry!A36)</f>
        <v/>
      </c>
      <c r="B38" s="103">
        <f>IF(Human_Data_Entry!B36="","",Human_Data_Entry!B36)</f>
        <v/>
      </c>
      <c r="C38" s="104">
        <f>IF(Human_Data_Entry!C36="","",Human_Data_Entry!C36)</f>
        <v/>
      </c>
      <c r="D38" s="103">
        <f>IF(Human_Data_Entry!D36="","",Human_Data_Entry!D36)</f>
        <v/>
      </c>
      <c r="E38" s="103">
        <f>IF(Human_Data_Entry!G36="","",Human_Data_Entry!G36)</f>
        <v/>
      </c>
      <c r="F38" s="103">
        <f>IF(Human_Data_Entry!X36="","",Human_Data_Entry!X36)</f>
        <v/>
      </c>
      <c r="G38" s="103">
        <f>IF(Human_Data_Entry!AY36="","",Human_Data_Entry!AY36)</f>
        <v/>
      </c>
      <c r="H38" s="103">
        <f>IF(Human_Data_Entry!AS36="","",Human_Data_Entry!AS36)</f>
        <v/>
      </c>
      <c r="I38" s="103">
        <f>IF(Human_Data_Entry!F36="","",Human_Data_Entry!F36)</f>
        <v/>
      </c>
      <c r="J38" s="103">
        <f>IF(Human_Data_Entry!BA36="","",Human_Data_Entry!BA36)</f>
        <v/>
      </c>
      <c r="K38" s="103">
        <f>IF(Human_Data_Entry!BB36="","",Human_Data_Entry!BB36)</f>
        <v/>
      </c>
      <c r="L38" s="103">
        <f>IF(Human_Data_Entry!BC36="","",Human_Data_Entry!BC36)</f>
        <v/>
      </c>
      <c r="M38" s="104">
        <f>IF(Human_Data_Entry!BD36="","",Human_Data_Entry!BD36)</f>
        <v/>
      </c>
      <c r="N38" s="104">
        <f>IF(Human_Data_Entry!BE36="","",Human_Data_Entry!BE36)</f>
        <v/>
      </c>
      <c r="O38" s="105">
        <f>IF(Human_Data_Entry!BF36="","",Human_Data_Entry!BF36)</f>
        <v/>
      </c>
      <c r="P38" s="103">
        <f>IF(Human_Data_Entry!BG36="","",Human_Data_Entry!BG36)</f>
        <v/>
      </c>
      <c r="Q38" s="103">
        <f>IF(Human_Data_Entry!BL36="","",Human_Data_Entry!BL36)</f>
        <v/>
      </c>
      <c r="R38" s="103">
        <f>IF(Human_Data_Entry!BH36="","",Human_Data_Entry!BH36)</f>
        <v/>
      </c>
      <c r="S38" s="103">
        <f>IF(Human_Data_Entry!BI36="","",Human_Data_Entry!BI36)</f>
        <v/>
      </c>
      <c r="T38" s="103">
        <f>IF(Human_Data_Entry!BJ36="","",Human_Data_Entry!BJ36)</f>
        <v/>
      </c>
      <c r="U38" s="103">
        <f>IF(Human_Data_Entry!AP36="","",Human_Data_Entry!AP36)</f>
        <v/>
      </c>
      <c r="V38" s="103">
        <f>IF(Human_Data_Entry!AQ36="","",Human_Data_Entry!AQ36)</f>
        <v/>
      </c>
      <c r="W38" s="103">
        <f>IF(Human_Data_Entry!AR36="","",Human_Data_Entry!AR36)</f>
        <v/>
      </c>
      <c r="X38" s="103">
        <f>IF(Human_Data_Entry!BK36="","",Human_Data_Entry!BK36)</f>
        <v/>
      </c>
    </row>
    <row r="39" ht="15" customHeight="1" s="241">
      <c r="A39" s="103">
        <f>IF(Human_Data_Entry!A37="","",Human_Data_Entry!A37)</f>
        <v/>
      </c>
      <c r="B39" s="103">
        <f>IF(Human_Data_Entry!B37="","",Human_Data_Entry!B37)</f>
        <v/>
      </c>
      <c r="C39" s="104">
        <f>IF(Human_Data_Entry!C37="","",Human_Data_Entry!C37)</f>
        <v/>
      </c>
      <c r="D39" s="103">
        <f>IF(Human_Data_Entry!D37="","",Human_Data_Entry!D37)</f>
        <v/>
      </c>
      <c r="E39" s="103">
        <f>IF(Human_Data_Entry!G37="","",Human_Data_Entry!G37)</f>
        <v/>
      </c>
      <c r="F39" s="103">
        <f>IF(Human_Data_Entry!X37="","",Human_Data_Entry!X37)</f>
        <v/>
      </c>
      <c r="G39" s="103">
        <f>IF(Human_Data_Entry!AY37="","",Human_Data_Entry!AY37)</f>
        <v/>
      </c>
      <c r="H39" s="103">
        <f>IF(Human_Data_Entry!AS37="","",Human_Data_Entry!AS37)</f>
        <v/>
      </c>
      <c r="I39" s="103">
        <f>IF(Human_Data_Entry!F37="","",Human_Data_Entry!F37)</f>
        <v/>
      </c>
      <c r="J39" s="103">
        <f>IF(Human_Data_Entry!BA37="","",Human_Data_Entry!BA37)</f>
        <v/>
      </c>
      <c r="K39" s="103">
        <f>IF(Human_Data_Entry!BB37="","",Human_Data_Entry!BB37)</f>
        <v/>
      </c>
      <c r="L39" s="103">
        <f>IF(Human_Data_Entry!BC37="","",Human_Data_Entry!BC37)</f>
        <v/>
      </c>
      <c r="M39" s="104">
        <f>IF(Human_Data_Entry!BD37="","",Human_Data_Entry!BD37)</f>
        <v/>
      </c>
      <c r="N39" s="104">
        <f>IF(Human_Data_Entry!BE37="","",Human_Data_Entry!BE37)</f>
        <v/>
      </c>
      <c r="O39" s="105">
        <f>IF(Human_Data_Entry!BF37="","",Human_Data_Entry!BF37)</f>
        <v/>
      </c>
      <c r="P39" s="103">
        <f>IF(Human_Data_Entry!BG37="","",Human_Data_Entry!BG37)</f>
        <v/>
      </c>
      <c r="Q39" s="103">
        <f>IF(Human_Data_Entry!BL37="","",Human_Data_Entry!BL37)</f>
        <v/>
      </c>
      <c r="R39" s="103">
        <f>IF(Human_Data_Entry!BH37="","",Human_Data_Entry!BH37)</f>
        <v/>
      </c>
      <c r="S39" s="103">
        <f>IF(Human_Data_Entry!BI37="","",Human_Data_Entry!BI37)</f>
        <v/>
      </c>
      <c r="T39" s="103">
        <f>IF(Human_Data_Entry!BJ37="","",Human_Data_Entry!BJ37)</f>
        <v/>
      </c>
      <c r="U39" s="103">
        <f>IF(Human_Data_Entry!AP37="","",Human_Data_Entry!AP37)</f>
        <v/>
      </c>
      <c r="V39" s="103">
        <f>IF(Human_Data_Entry!AQ37="","",Human_Data_Entry!AQ37)</f>
        <v/>
      </c>
      <c r="W39" s="103">
        <f>IF(Human_Data_Entry!AR37="","",Human_Data_Entry!AR37)</f>
        <v/>
      </c>
      <c r="X39" s="103">
        <f>IF(Human_Data_Entry!BK37="","",Human_Data_Entry!BK37)</f>
        <v/>
      </c>
    </row>
    <row r="40" ht="15" customHeight="1" s="241">
      <c r="A40" s="103">
        <f>IF(Human_Data_Entry!A38="","",Human_Data_Entry!A38)</f>
        <v/>
      </c>
      <c r="B40" s="103">
        <f>IF(Human_Data_Entry!B38="","",Human_Data_Entry!B38)</f>
        <v/>
      </c>
      <c r="C40" s="104">
        <f>IF(Human_Data_Entry!C38="","",Human_Data_Entry!C38)</f>
        <v/>
      </c>
      <c r="D40" s="103">
        <f>IF(Human_Data_Entry!D38="","",Human_Data_Entry!D38)</f>
        <v/>
      </c>
      <c r="E40" s="103">
        <f>IF(Human_Data_Entry!G38="","",Human_Data_Entry!G38)</f>
        <v/>
      </c>
      <c r="F40" s="103">
        <f>IF(Human_Data_Entry!X38="","",Human_Data_Entry!X38)</f>
        <v/>
      </c>
      <c r="G40" s="103">
        <f>IF(Human_Data_Entry!AY38="","",Human_Data_Entry!AY38)</f>
        <v/>
      </c>
      <c r="H40" s="103">
        <f>IF(Human_Data_Entry!AS38="","",Human_Data_Entry!AS38)</f>
        <v/>
      </c>
      <c r="I40" s="103">
        <f>IF(Human_Data_Entry!F38="","",Human_Data_Entry!F38)</f>
        <v/>
      </c>
      <c r="J40" s="103">
        <f>IF(Human_Data_Entry!BA38="","",Human_Data_Entry!BA38)</f>
        <v/>
      </c>
      <c r="K40" s="103">
        <f>IF(Human_Data_Entry!BB38="","",Human_Data_Entry!BB38)</f>
        <v/>
      </c>
      <c r="L40" s="103">
        <f>IF(Human_Data_Entry!BC38="","",Human_Data_Entry!BC38)</f>
        <v/>
      </c>
      <c r="M40" s="104">
        <f>IF(Human_Data_Entry!BD38="","",Human_Data_Entry!BD38)</f>
        <v/>
      </c>
      <c r="N40" s="104">
        <f>IF(Human_Data_Entry!BE38="","",Human_Data_Entry!BE38)</f>
        <v/>
      </c>
      <c r="O40" s="105">
        <f>IF(Human_Data_Entry!BF38="","",Human_Data_Entry!BF38)</f>
        <v/>
      </c>
      <c r="P40" s="103">
        <f>IF(Human_Data_Entry!BG38="","",Human_Data_Entry!BG38)</f>
        <v/>
      </c>
      <c r="Q40" s="103">
        <f>IF(Human_Data_Entry!BL38="","",Human_Data_Entry!BL38)</f>
        <v/>
      </c>
      <c r="R40" s="103">
        <f>IF(Human_Data_Entry!BH38="","",Human_Data_Entry!BH38)</f>
        <v/>
      </c>
      <c r="S40" s="103">
        <f>IF(Human_Data_Entry!BI38="","",Human_Data_Entry!BI38)</f>
        <v/>
      </c>
      <c r="T40" s="103">
        <f>IF(Human_Data_Entry!BJ38="","",Human_Data_Entry!BJ38)</f>
        <v/>
      </c>
      <c r="U40" s="103">
        <f>IF(Human_Data_Entry!AP38="","",Human_Data_Entry!AP38)</f>
        <v/>
      </c>
      <c r="V40" s="103">
        <f>IF(Human_Data_Entry!AQ38="","",Human_Data_Entry!AQ38)</f>
        <v/>
      </c>
      <c r="W40" s="103">
        <f>IF(Human_Data_Entry!AR38="","",Human_Data_Entry!AR38)</f>
        <v/>
      </c>
      <c r="X40" s="103">
        <f>IF(Human_Data_Entry!BK38="","",Human_Data_Entry!BK38)</f>
        <v/>
      </c>
    </row>
    <row r="41" ht="15" customHeight="1" s="241">
      <c r="A41" s="103">
        <f>IF(Human_Data_Entry!A39="","",Human_Data_Entry!A39)</f>
        <v/>
      </c>
      <c r="B41" s="103">
        <f>IF(Human_Data_Entry!B39="","",Human_Data_Entry!B39)</f>
        <v/>
      </c>
      <c r="C41" s="104">
        <f>IF(Human_Data_Entry!C39="","",Human_Data_Entry!C39)</f>
        <v/>
      </c>
      <c r="D41" s="103">
        <f>IF(Human_Data_Entry!D39="","",Human_Data_Entry!D39)</f>
        <v/>
      </c>
      <c r="E41" s="103">
        <f>IF(Human_Data_Entry!G39="","",Human_Data_Entry!G39)</f>
        <v/>
      </c>
      <c r="F41" s="103">
        <f>IF(Human_Data_Entry!X39="","",Human_Data_Entry!X39)</f>
        <v/>
      </c>
      <c r="G41" s="103">
        <f>IF(Human_Data_Entry!AY39="","",Human_Data_Entry!AY39)</f>
        <v/>
      </c>
      <c r="H41" s="103">
        <f>IF(Human_Data_Entry!AS39="","",Human_Data_Entry!AS39)</f>
        <v/>
      </c>
      <c r="I41" s="103">
        <f>IF(Human_Data_Entry!F39="","",Human_Data_Entry!F39)</f>
        <v/>
      </c>
      <c r="J41" s="103">
        <f>IF(Human_Data_Entry!BA39="","",Human_Data_Entry!BA39)</f>
        <v/>
      </c>
      <c r="K41" s="103">
        <f>IF(Human_Data_Entry!BB39="","",Human_Data_Entry!BB39)</f>
        <v/>
      </c>
      <c r="L41" s="103">
        <f>IF(Human_Data_Entry!BC39="","",Human_Data_Entry!BC39)</f>
        <v/>
      </c>
      <c r="M41" s="104">
        <f>IF(Human_Data_Entry!BD39="","",Human_Data_Entry!BD39)</f>
        <v/>
      </c>
      <c r="N41" s="104">
        <f>IF(Human_Data_Entry!BE39="","",Human_Data_Entry!BE39)</f>
        <v/>
      </c>
      <c r="O41" s="105">
        <f>IF(Human_Data_Entry!BF39="","",Human_Data_Entry!BF39)</f>
        <v/>
      </c>
      <c r="P41" s="103">
        <f>IF(Human_Data_Entry!BG39="","",Human_Data_Entry!BG39)</f>
        <v/>
      </c>
      <c r="Q41" s="103">
        <f>IF(Human_Data_Entry!BL39="","",Human_Data_Entry!BL39)</f>
        <v/>
      </c>
      <c r="R41" s="103">
        <f>IF(Human_Data_Entry!BH39="","",Human_Data_Entry!BH39)</f>
        <v/>
      </c>
      <c r="S41" s="103">
        <f>IF(Human_Data_Entry!BI39="","",Human_Data_Entry!BI39)</f>
        <v/>
      </c>
      <c r="T41" s="103">
        <f>IF(Human_Data_Entry!BJ39="","",Human_Data_Entry!BJ39)</f>
        <v/>
      </c>
      <c r="U41" s="103">
        <f>IF(Human_Data_Entry!AP39="","",Human_Data_Entry!AP39)</f>
        <v/>
      </c>
      <c r="V41" s="103">
        <f>IF(Human_Data_Entry!AQ39="","",Human_Data_Entry!AQ39)</f>
        <v/>
      </c>
      <c r="W41" s="103">
        <f>IF(Human_Data_Entry!AR39="","",Human_Data_Entry!AR39)</f>
        <v/>
      </c>
      <c r="X41" s="103">
        <f>IF(Human_Data_Entry!BK39="","",Human_Data_Entry!BK39)</f>
        <v/>
      </c>
    </row>
    <row r="42" ht="15" customHeight="1" s="241">
      <c r="A42" s="103">
        <f>IF(Human_Data_Entry!A40="","",Human_Data_Entry!A40)</f>
        <v/>
      </c>
      <c r="B42" s="103">
        <f>IF(Human_Data_Entry!B40="","",Human_Data_Entry!B40)</f>
        <v/>
      </c>
      <c r="C42" s="104">
        <f>IF(Human_Data_Entry!C40="","",Human_Data_Entry!C40)</f>
        <v/>
      </c>
      <c r="D42" s="103">
        <f>IF(Human_Data_Entry!D40="","",Human_Data_Entry!D40)</f>
        <v/>
      </c>
      <c r="E42" s="103">
        <f>IF(Human_Data_Entry!G40="","",Human_Data_Entry!G40)</f>
        <v/>
      </c>
      <c r="F42" s="103">
        <f>IF(Human_Data_Entry!X40="","",Human_Data_Entry!X40)</f>
        <v/>
      </c>
      <c r="G42" s="103">
        <f>IF(Human_Data_Entry!AY40="","",Human_Data_Entry!AY40)</f>
        <v/>
      </c>
      <c r="H42" s="103">
        <f>IF(Human_Data_Entry!AS40="","",Human_Data_Entry!AS40)</f>
        <v/>
      </c>
      <c r="I42" s="103">
        <f>IF(Human_Data_Entry!F40="","",Human_Data_Entry!F40)</f>
        <v/>
      </c>
      <c r="J42" s="103">
        <f>IF(Human_Data_Entry!BA40="","",Human_Data_Entry!BA40)</f>
        <v/>
      </c>
      <c r="K42" s="103">
        <f>IF(Human_Data_Entry!BB40="","",Human_Data_Entry!BB40)</f>
        <v/>
      </c>
      <c r="L42" s="103">
        <f>IF(Human_Data_Entry!BC40="","",Human_Data_Entry!BC40)</f>
        <v/>
      </c>
      <c r="M42" s="104">
        <f>IF(Human_Data_Entry!BD40="","",Human_Data_Entry!BD40)</f>
        <v/>
      </c>
      <c r="N42" s="104">
        <f>IF(Human_Data_Entry!BE40="","",Human_Data_Entry!BE40)</f>
        <v/>
      </c>
      <c r="O42" s="105">
        <f>IF(Human_Data_Entry!BF40="","",Human_Data_Entry!BF40)</f>
        <v/>
      </c>
      <c r="P42" s="103">
        <f>IF(Human_Data_Entry!BG40="","",Human_Data_Entry!BG40)</f>
        <v/>
      </c>
      <c r="Q42" s="103">
        <f>IF(Human_Data_Entry!BL40="","",Human_Data_Entry!BL40)</f>
        <v/>
      </c>
      <c r="R42" s="103">
        <f>IF(Human_Data_Entry!BH40="","",Human_Data_Entry!BH40)</f>
        <v/>
      </c>
      <c r="S42" s="103">
        <f>IF(Human_Data_Entry!BI40="","",Human_Data_Entry!BI40)</f>
        <v/>
      </c>
      <c r="T42" s="103">
        <f>IF(Human_Data_Entry!BJ40="","",Human_Data_Entry!BJ40)</f>
        <v/>
      </c>
      <c r="U42" s="103">
        <f>IF(Human_Data_Entry!AP40="","",Human_Data_Entry!AP40)</f>
        <v/>
      </c>
      <c r="V42" s="103">
        <f>IF(Human_Data_Entry!AQ40="","",Human_Data_Entry!AQ40)</f>
        <v/>
      </c>
      <c r="W42" s="103">
        <f>IF(Human_Data_Entry!AR40="","",Human_Data_Entry!AR40)</f>
        <v/>
      </c>
      <c r="X42" s="103">
        <f>IF(Human_Data_Entry!BK40="","",Human_Data_Entry!BK40)</f>
        <v/>
      </c>
    </row>
    <row r="43" ht="15" customHeight="1" s="241">
      <c r="A43" s="103">
        <f>IF(Human_Data_Entry!A41="","",Human_Data_Entry!A41)</f>
        <v/>
      </c>
      <c r="B43" s="103">
        <f>IF(Human_Data_Entry!B41="","",Human_Data_Entry!B41)</f>
        <v/>
      </c>
      <c r="C43" s="104">
        <f>IF(Human_Data_Entry!C41="","",Human_Data_Entry!C41)</f>
        <v/>
      </c>
      <c r="D43" s="103">
        <f>IF(Human_Data_Entry!D41="","",Human_Data_Entry!D41)</f>
        <v/>
      </c>
      <c r="E43" s="103">
        <f>IF(Human_Data_Entry!G41="","",Human_Data_Entry!G41)</f>
        <v/>
      </c>
      <c r="F43" s="103">
        <f>IF(Human_Data_Entry!X41="","",Human_Data_Entry!X41)</f>
        <v/>
      </c>
      <c r="G43" s="103">
        <f>IF(Human_Data_Entry!AY41="","",Human_Data_Entry!AY41)</f>
        <v/>
      </c>
      <c r="H43" s="103">
        <f>IF(Human_Data_Entry!AS41="","",Human_Data_Entry!AS41)</f>
        <v/>
      </c>
      <c r="I43" s="103">
        <f>IF(Human_Data_Entry!F41="","",Human_Data_Entry!F41)</f>
        <v/>
      </c>
      <c r="J43" s="103">
        <f>IF(Human_Data_Entry!BA41="","",Human_Data_Entry!BA41)</f>
        <v/>
      </c>
      <c r="K43" s="103">
        <f>IF(Human_Data_Entry!BB41="","",Human_Data_Entry!BB41)</f>
        <v/>
      </c>
      <c r="L43" s="103">
        <f>IF(Human_Data_Entry!BC41="","",Human_Data_Entry!BC41)</f>
        <v/>
      </c>
      <c r="M43" s="104">
        <f>IF(Human_Data_Entry!BD41="","",Human_Data_Entry!BD41)</f>
        <v/>
      </c>
      <c r="N43" s="104">
        <f>IF(Human_Data_Entry!BE41="","",Human_Data_Entry!BE41)</f>
        <v/>
      </c>
      <c r="O43" s="105">
        <f>IF(Human_Data_Entry!BF41="","",Human_Data_Entry!BF41)</f>
        <v/>
      </c>
      <c r="P43" s="103">
        <f>IF(Human_Data_Entry!BG41="","",Human_Data_Entry!BG41)</f>
        <v/>
      </c>
      <c r="Q43" s="103">
        <f>IF(Human_Data_Entry!BL41="","",Human_Data_Entry!BL41)</f>
        <v/>
      </c>
      <c r="R43" s="103">
        <f>IF(Human_Data_Entry!BH41="","",Human_Data_Entry!BH41)</f>
        <v/>
      </c>
      <c r="S43" s="103">
        <f>IF(Human_Data_Entry!BI41="","",Human_Data_Entry!BI41)</f>
        <v/>
      </c>
      <c r="T43" s="103">
        <f>IF(Human_Data_Entry!BJ41="","",Human_Data_Entry!BJ41)</f>
        <v/>
      </c>
      <c r="U43" s="103">
        <f>IF(Human_Data_Entry!AP41="","",Human_Data_Entry!AP41)</f>
        <v/>
      </c>
      <c r="V43" s="103">
        <f>IF(Human_Data_Entry!AQ41="","",Human_Data_Entry!AQ41)</f>
        <v/>
      </c>
      <c r="W43" s="103">
        <f>IF(Human_Data_Entry!AR41="","",Human_Data_Entry!AR41)</f>
        <v/>
      </c>
      <c r="X43" s="103">
        <f>IF(Human_Data_Entry!BK41="","",Human_Data_Entry!BK41)</f>
        <v/>
      </c>
    </row>
    <row r="44" ht="15" customHeight="1" s="241">
      <c r="A44" s="103">
        <f>IF(Human_Data_Entry!A42="","",Human_Data_Entry!A42)</f>
        <v/>
      </c>
      <c r="B44" s="103">
        <f>IF(Human_Data_Entry!B42="","",Human_Data_Entry!B42)</f>
        <v/>
      </c>
      <c r="C44" s="104">
        <f>IF(Human_Data_Entry!C42="","",Human_Data_Entry!C42)</f>
        <v/>
      </c>
      <c r="D44" s="103">
        <f>IF(Human_Data_Entry!D42="","",Human_Data_Entry!D42)</f>
        <v/>
      </c>
      <c r="E44" s="103">
        <f>IF(Human_Data_Entry!G42="","",Human_Data_Entry!G42)</f>
        <v/>
      </c>
      <c r="F44" s="103">
        <f>IF(Human_Data_Entry!X42="","",Human_Data_Entry!X42)</f>
        <v/>
      </c>
      <c r="G44" s="103">
        <f>IF(Human_Data_Entry!AY42="","",Human_Data_Entry!AY42)</f>
        <v/>
      </c>
      <c r="H44" s="103">
        <f>IF(Human_Data_Entry!AS42="","",Human_Data_Entry!AS42)</f>
        <v/>
      </c>
      <c r="I44" s="103">
        <f>IF(Human_Data_Entry!F42="","",Human_Data_Entry!F42)</f>
        <v/>
      </c>
      <c r="J44" s="103">
        <f>IF(Human_Data_Entry!BA42="","",Human_Data_Entry!BA42)</f>
        <v/>
      </c>
      <c r="K44" s="103">
        <f>IF(Human_Data_Entry!BB42="","",Human_Data_Entry!BB42)</f>
        <v/>
      </c>
      <c r="L44" s="103">
        <f>IF(Human_Data_Entry!BC42="","",Human_Data_Entry!BC42)</f>
        <v/>
      </c>
      <c r="M44" s="104">
        <f>IF(Human_Data_Entry!BD42="","",Human_Data_Entry!BD42)</f>
        <v/>
      </c>
      <c r="N44" s="104">
        <f>IF(Human_Data_Entry!BE42="","",Human_Data_Entry!BE42)</f>
        <v/>
      </c>
      <c r="O44" s="105">
        <f>IF(Human_Data_Entry!BF42="","",Human_Data_Entry!BF42)</f>
        <v/>
      </c>
      <c r="P44" s="103">
        <f>IF(Human_Data_Entry!BG42="","",Human_Data_Entry!BG42)</f>
        <v/>
      </c>
      <c r="Q44" s="103">
        <f>IF(Human_Data_Entry!BL42="","",Human_Data_Entry!BL42)</f>
        <v/>
      </c>
      <c r="R44" s="103">
        <f>IF(Human_Data_Entry!BH42="","",Human_Data_Entry!BH42)</f>
        <v/>
      </c>
      <c r="S44" s="103">
        <f>IF(Human_Data_Entry!BI42="","",Human_Data_Entry!BI42)</f>
        <v/>
      </c>
      <c r="T44" s="103">
        <f>IF(Human_Data_Entry!BJ42="","",Human_Data_Entry!BJ42)</f>
        <v/>
      </c>
      <c r="U44" s="103">
        <f>IF(Human_Data_Entry!AP42="","",Human_Data_Entry!AP42)</f>
        <v/>
      </c>
      <c r="V44" s="103">
        <f>IF(Human_Data_Entry!AQ42="","",Human_Data_Entry!AQ42)</f>
        <v/>
      </c>
      <c r="W44" s="103">
        <f>IF(Human_Data_Entry!AR42="","",Human_Data_Entry!AR42)</f>
        <v/>
      </c>
      <c r="X44" s="103">
        <f>IF(Human_Data_Entry!BK42="","",Human_Data_Entry!BK42)</f>
        <v/>
      </c>
    </row>
    <row r="45" ht="15" customHeight="1" s="241">
      <c r="A45" s="103">
        <f>IF(Human_Data_Entry!A43="","",Human_Data_Entry!A43)</f>
        <v/>
      </c>
      <c r="B45" s="103">
        <f>IF(Human_Data_Entry!B43="","",Human_Data_Entry!B43)</f>
        <v/>
      </c>
      <c r="C45" s="104">
        <f>IF(Human_Data_Entry!C43="","",Human_Data_Entry!C43)</f>
        <v/>
      </c>
      <c r="D45" s="103">
        <f>IF(Human_Data_Entry!D43="","",Human_Data_Entry!D43)</f>
        <v/>
      </c>
      <c r="E45" s="103">
        <f>IF(Human_Data_Entry!G43="","",Human_Data_Entry!G43)</f>
        <v/>
      </c>
      <c r="F45" s="103">
        <f>IF(Human_Data_Entry!X43="","",Human_Data_Entry!X43)</f>
        <v/>
      </c>
      <c r="G45" s="103">
        <f>IF(Human_Data_Entry!AY43="","",Human_Data_Entry!AY43)</f>
        <v/>
      </c>
      <c r="H45" s="103">
        <f>IF(Human_Data_Entry!AS43="","",Human_Data_Entry!AS43)</f>
        <v/>
      </c>
      <c r="I45" s="103">
        <f>IF(Human_Data_Entry!F43="","",Human_Data_Entry!F43)</f>
        <v/>
      </c>
      <c r="J45" s="103">
        <f>IF(Human_Data_Entry!BA43="","",Human_Data_Entry!BA43)</f>
        <v/>
      </c>
      <c r="K45" s="103">
        <f>IF(Human_Data_Entry!BB43="","",Human_Data_Entry!BB43)</f>
        <v/>
      </c>
      <c r="L45" s="103">
        <f>IF(Human_Data_Entry!BC43="","",Human_Data_Entry!BC43)</f>
        <v/>
      </c>
      <c r="M45" s="104">
        <f>IF(Human_Data_Entry!BD43="","",Human_Data_Entry!BD43)</f>
        <v/>
      </c>
      <c r="N45" s="104">
        <f>IF(Human_Data_Entry!BE43="","",Human_Data_Entry!BE43)</f>
        <v/>
      </c>
      <c r="O45" s="105">
        <f>IF(Human_Data_Entry!BF43="","",Human_Data_Entry!BF43)</f>
        <v/>
      </c>
      <c r="P45" s="103">
        <f>IF(Human_Data_Entry!BG43="","",Human_Data_Entry!BG43)</f>
        <v/>
      </c>
      <c r="Q45" s="103">
        <f>IF(Human_Data_Entry!BL43="","",Human_Data_Entry!BL43)</f>
        <v/>
      </c>
      <c r="R45" s="103">
        <f>IF(Human_Data_Entry!BH43="","",Human_Data_Entry!BH43)</f>
        <v/>
      </c>
      <c r="S45" s="103">
        <f>IF(Human_Data_Entry!BI43="","",Human_Data_Entry!BI43)</f>
        <v/>
      </c>
      <c r="T45" s="103">
        <f>IF(Human_Data_Entry!BJ43="","",Human_Data_Entry!BJ43)</f>
        <v/>
      </c>
      <c r="U45" s="103">
        <f>IF(Human_Data_Entry!AP43="","",Human_Data_Entry!AP43)</f>
        <v/>
      </c>
      <c r="V45" s="103">
        <f>IF(Human_Data_Entry!AQ43="","",Human_Data_Entry!AQ43)</f>
        <v/>
      </c>
      <c r="W45" s="103">
        <f>IF(Human_Data_Entry!AR43="","",Human_Data_Entry!AR43)</f>
        <v/>
      </c>
      <c r="X45" s="103">
        <f>IF(Human_Data_Entry!BK43="","",Human_Data_Entry!BK43)</f>
        <v/>
      </c>
    </row>
    <row r="46" ht="15" customHeight="1" s="241">
      <c r="A46" s="103">
        <f>IF(Human_Data_Entry!A44="","",Human_Data_Entry!A44)</f>
        <v/>
      </c>
      <c r="B46" s="103">
        <f>IF(Human_Data_Entry!B44="","",Human_Data_Entry!B44)</f>
        <v/>
      </c>
      <c r="C46" s="104">
        <f>IF(Human_Data_Entry!C44="","",Human_Data_Entry!C44)</f>
        <v/>
      </c>
      <c r="D46" s="103">
        <f>IF(Human_Data_Entry!D44="","",Human_Data_Entry!D44)</f>
        <v/>
      </c>
      <c r="E46" s="103">
        <f>IF(Human_Data_Entry!G44="","",Human_Data_Entry!G44)</f>
        <v/>
      </c>
      <c r="F46" s="103">
        <f>IF(Human_Data_Entry!X44="","",Human_Data_Entry!X44)</f>
        <v/>
      </c>
      <c r="G46" s="103">
        <f>IF(Human_Data_Entry!AY44="","",Human_Data_Entry!AY44)</f>
        <v/>
      </c>
      <c r="H46" s="103">
        <f>IF(Human_Data_Entry!AS44="","",Human_Data_Entry!AS44)</f>
        <v/>
      </c>
      <c r="I46" s="103">
        <f>IF(Human_Data_Entry!F44="","",Human_Data_Entry!F44)</f>
        <v/>
      </c>
      <c r="J46" s="103">
        <f>IF(Human_Data_Entry!BA44="","",Human_Data_Entry!BA44)</f>
        <v/>
      </c>
      <c r="K46" s="103">
        <f>IF(Human_Data_Entry!BB44="","",Human_Data_Entry!BB44)</f>
        <v/>
      </c>
      <c r="L46" s="103">
        <f>IF(Human_Data_Entry!BC44="","",Human_Data_Entry!BC44)</f>
        <v/>
      </c>
      <c r="M46" s="104">
        <f>IF(Human_Data_Entry!BD44="","",Human_Data_Entry!BD44)</f>
        <v/>
      </c>
      <c r="N46" s="104">
        <f>IF(Human_Data_Entry!BE44="","",Human_Data_Entry!BE44)</f>
        <v/>
      </c>
      <c r="O46" s="105">
        <f>IF(Human_Data_Entry!BF44="","",Human_Data_Entry!BF44)</f>
        <v/>
      </c>
      <c r="P46" s="103">
        <f>IF(Human_Data_Entry!BG44="","",Human_Data_Entry!BG44)</f>
        <v/>
      </c>
      <c r="Q46" s="103">
        <f>IF(Human_Data_Entry!BL44="","",Human_Data_Entry!BL44)</f>
        <v/>
      </c>
      <c r="R46" s="103">
        <f>IF(Human_Data_Entry!BH44="","",Human_Data_Entry!BH44)</f>
        <v/>
      </c>
      <c r="S46" s="103">
        <f>IF(Human_Data_Entry!BI44="","",Human_Data_Entry!BI44)</f>
        <v/>
      </c>
      <c r="T46" s="103">
        <f>IF(Human_Data_Entry!BJ44="","",Human_Data_Entry!BJ44)</f>
        <v/>
      </c>
      <c r="U46" s="103">
        <f>IF(Human_Data_Entry!AP44="","",Human_Data_Entry!AP44)</f>
        <v/>
      </c>
      <c r="V46" s="103">
        <f>IF(Human_Data_Entry!AQ44="","",Human_Data_Entry!AQ44)</f>
        <v/>
      </c>
      <c r="W46" s="103">
        <f>IF(Human_Data_Entry!AR44="","",Human_Data_Entry!AR44)</f>
        <v/>
      </c>
      <c r="X46" s="103">
        <f>IF(Human_Data_Entry!BK44="","",Human_Data_Entry!BK44)</f>
        <v/>
      </c>
    </row>
    <row r="47" ht="15" customHeight="1" s="241">
      <c r="A47" s="103">
        <f>IF(Human_Data_Entry!A45="","",Human_Data_Entry!A45)</f>
        <v/>
      </c>
      <c r="B47" s="103">
        <f>IF(Human_Data_Entry!B45="","",Human_Data_Entry!B45)</f>
        <v/>
      </c>
      <c r="C47" s="104">
        <f>IF(Human_Data_Entry!C45="","",Human_Data_Entry!C45)</f>
        <v/>
      </c>
      <c r="D47" s="103">
        <f>IF(Human_Data_Entry!D45="","",Human_Data_Entry!D45)</f>
        <v/>
      </c>
      <c r="E47" s="103">
        <f>IF(Human_Data_Entry!G45="","",Human_Data_Entry!G45)</f>
        <v/>
      </c>
      <c r="F47" s="103">
        <f>IF(Human_Data_Entry!X45="","",Human_Data_Entry!X45)</f>
        <v/>
      </c>
      <c r="G47" s="103">
        <f>IF(Human_Data_Entry!AY45="","",Human_Data_Entry!AY45)</f>
        <v/>
      </c>
      <c r="H47" s="103">
        <f>IF(Human_Data_Entry!AS45="","",Human_Data_Entry!AS45)</f>
        <v/>
      </c>
      <c r="I47" s="103">
        <f>IF(Human_Data_Entry!F45="","",Human_Data_Entry!F45)</f>
        <v/>
      </c>
      <c r="J47" s="103">
        <f>IF(Human_Data_Entry!BA45="","",Human_Data_Entry!BA45)</f>
        <v/>
      </c>
      <c r="K47" s="103">
        <f>IF(Human_Data_Entry!BB45="","",Human_Data_Entry!BB45)</f>
        <v/>
      </c>
      <c r="L47" s="103">
        <f>IF(Human_Data_Entry!BC45="","",Human_Data_Entry!BC45)</f>
        <v/>
      </c>
      <c r="M47" s="104">
        <f>IF(Human_Data_Entry!BD45="","",Human_Data_Entry!BD45)</f>
        <v/>
      </c>
      <c r="N47" s="104">
        <f>IF(Human_Data_Entry!BE45="","",Human_Data_Entry!BE45)</f>
        <v/>
      </c>
      <c r="O47" s="105">
        <f>IF(Human_Data_Entry!BF45="","",Human_Data_Entry!BF45)</f>
        <v/>
      </c>
      <c r="P47" s="103">
        <f>IF(Human_Data_Entry!BG45="","",Human_Data_Entry!BG45)</f>
        <v/>
      </c>
      <c r="Q47" s="103">
        <f>IF(Human_Data_Entry!BL45="","",Human_Data_Entry!BL45)</f>
        <v/>
      </c>
      <c r="R47" s="103">
        <f>IF(Human_Data_Entry!BH45="","",Human_Data_Entry!BH45)</f>
        <v/>
      </c>
      <c r="S47" s="103">
        <f>IF(Human_Data_Entry!BI45="","",Human_Data_Entry!BI45)</f>
        <v/>
      </c>
      <c r="T47" s="103">
        <f>IF(Human_Data_Entry!BJ45="","",Human_Data_Entry!BJ45)</f>
        <v/>
      </c>
      <c r="U47" s="103">
        <f>IF(Human_Data_Entry!AP45="","",Human_Data_Entry!AP45)</f>
        <v/>
      </c>
      <c r="V47" s="103">
        <f>IF(Human_Data_Entry!AQ45="","",Human_Data_Entry!AQ45)</f>
        <v/>
      </c>
      <c r="W47" s="103">
        <f>IF(Human_Data_Entry!AR45="","",Human_Data_Entry!AR45)</f>
        <v/>
      </c>
      <c r="X47" s="103">
        <f>IF(Human_Data_Entry!BK45="","",Human_Data_Entry!BK45)</f>
        <v/>
      </c>
    </row>
    <row r="48" ht="15" customHeight="1" s="241">
      <c r="A48" s="103">
        <f>IF(Human_Data_Entry!A46="","",Human_Data_Entry!A46)</f>
        <v/>
      </c>
      <c r="B48" s="103">
        <f>IF(Human_Data_Entry!B46="","",Human_Data_Entry!B46)</f>
        <v/>
      </c>
      <c r="C48" s="104">
        <f>IF(Human_Data_Entry!C46="","",Human_Data_Entry!C46)</f>
        <v/>
      </c>
      <c r="D48" s="103">
        <f>IF(Human_Data_Entry!D46="","",Human_Data_Entry!D46)</f>
        <v/>
      </c>
      <c r="E48" s="103">
        <f>IF(Human_Data_Entry!G46="","",Human_Data_Entry!G46)</f>
        <v/>
      </c>
      <c r="F48" s="103">
        <f>IF(Human_Data_Entry!X46="","",Human_Data_Entry!X46)</f>
        <v/>
      </c>
      <c r="G48" s="103">
        <f>IF(Human_Data_Entry!AY46="","",Human_Data_Entry!AY46)</f>
        <v/>
      </c>
      <c r="H48" s="103">
        <f>IF(Human_Data_Entry!AS46="","",Human_Data_Entry!AS46)</f>
        <v/>
      </c>
      <c r="I48" s="103">
        <f>IF(Human_Data_Entry!F46="","",Human_Data_Entry!F46)</f>
        <v/>
      </c>
      <c r="J48" s="103">
        <f>IF(Human_Data_Entry!BA46="","",Human_Data_Entry!BA46)</f>
        <v/>
      </c>
      <c r="K48" s="103">
        <f>IF(Human_Data_Entry!BB46="","",Human_Data_Entry!BB46)</f>
        <v/>
      </c>
      <c r="L48" s="103">
        <f>IF(Human_Data_Entry!BC46="","",Human_Data_Entry!BC46)</f>
        <v/>
      </c>
      <c r="M48" s="104">
        <f>IF(Human_Data_Entry!BD46="","",Human_Data_Entry!BD46)</f>
        <v/>
      </c>
      <c r="N48" s="104">
        <f>IF(Human_Data_Entry!BE46="","",Human_Data_Entry!BE46)</f>
        <v/>
      </c>
      <c r="O48" s="105">
        <f>IF(Human_Data_Entry!BF46="","",Human_Data_Entry!BF46)</f>
        <v/>
      </c>
      <c r="P48" s="103">
        <f>IF(Human_Data_Entry!BG46="","",Human_Data_Entry!BG46)</f>
        <v/>
      </c>
      <c r="Q48" s="103">
        <f>IF(Human_Data_Entry!BL46="","",Human_Data_Entry!BL46)</f>
        <v/>
      </c>
      <c r="R48" s="103">
        <f>IF(Human_Data_Entry!BH46="","",Human_Data_Entry!BH46)</f>
        <v/>
      </c>
      <c r="S48" s="103">
        <f>IF(Human_Data_Entry!BI46="","",Human_Data_Entry!BI46)</f>
        <v/>
      </c>
      <c r="T48" s="103">
        <f>IF(Human_Data_Entry!BJ46="","",Human_Data_Entry!BJ46)</f>
        <v/>
      </c>
      <c r="U48" s="103">
        <f>IF(Human_Data_Entry!AP46="","",Human_Data_Entry!AP46)</f>
        <v/>
      </c>
      <c r="V48" s="103">
        <f>IF(Human_Data_Entry!AQ46="","",Human_Data_Entry!AQ46)</f>
        <v/>
      </c>
      <c r="W48" s="103">
        <f>IF(Human_Data_Entry!AR46="","",Human_Data_Entry!AR46)</f>
        <v/>
      </c>
      <c r="X48" s="103">
        <f>IF(Human_Data_Entry!BK46="","",Human_Data_Entry!BK46)</f>
        <v/>
      </c>
    </row>
    <row r="49" ht="15" customHeight="1" s="241">
      <c r="A49" s="103">
        <f>IF(Human_Data_Entry!A47="","",Human_Data_Entry!A47)</f>
        <v/>
      </c>
      <c r="B49" s="103">
        <f>IF(Human_Data_Entry!B47="","",Human_Data_Entry!B47)</f>
        <v/>
      </c>
      <c r="C49" s="104">
        <f>IF(Human_Data_Entry!C47="","",Human_Data_Entry!C47)</f>
        <v/>
      </c>
      <c r="D49" s="103">
        <f>IF(Human_Data_Entry!D47="","",Human_Data_Entry!D47)</f>
        <v/>
      </c>
      <c r="E49" s="103">
        <f>IF(Human_Data_Entry!G47="","",Human_Data_Entry!G47)</f>
        <v/>
      </c>
      <c r="F49" s="103">
        <f>IF(Human_Data_Entry!X47="","",Human_Data_Entry!X47)</f>
        <v/>
      </c>
      <c r="G49" s="103">
        <f>IF(Human_Data_Entry!AY47="","",Human_Data_Entry!AY47)</f>
        <v/>
      </c>
      <c r="H49" s="103">
        <f>IF(Human_Data_Entry!AS47="","",Human_Data_Entry!AS47)</f>
        <v/>
      </c>
      <c r="I49" s="103">
        <f>IF(Human_Data_Entry!F47="","",Human_Data_Entry!F47)</f>
        <v/>
      </c>
      <c r="J49" s="103">
        <f>IF(Human_Data_Entry!BA47="","",Human_Data_Entry!BA47)</f>
        <v/>
      </c>
      <c r="K49" s="103">
        <f>IF(Human_Data_Entry!BB47="","",Human_Data_Entry!BB47)</f>
        <v/>
      </c>
      <c r="L49" s="103">
        <f>IF(Human_Data_Entry!BC47="","",Human_Data_Entry!BC47)</f>
        <v/>
      </c>
      <c r="M49" s="104">
        <f>IF(Human_Data_Entry!BD47="","",Human_Data_Entry!BD47)</f>
        <v/>
      </c>
      <c r="N49" s="104">
        <f>IF(Human_Data_Entry!BE47="","",Human_Data_Entry!BE47)</f>
        <v/>
      </c>
      <c r="O49" s="105">
        <f>IF(Human_Data_Entry!BF47="","",Human_Data_Entry!BF47)</f>
        <v/>
      </c>
      <c r="P49" s="103">
        <f>IF(Human_Data_Entry!BG47="","",Human_Data_Entry!BG47)</f>
        <v/>
      </c>
      <c r="Q49" s="103">
        <f>IF(Human_Data_Entry!BL47="","",Human_Data_Entry!BL47)</f>
        <v/>
      </c>
      <c r="R49" s="103">
        <f>IF(Human_Data_Entry!BH47="","",Human_Data_Entry!BH47)</f>
        <v/>
      </c>
      <c r="S49" s="103">
        <f>IF(Human_Data_Entry!BI47="","",Human_Data_Entry!BI47)</f>
        <v/>
      </c>
      <c r="T49" s="103">
        <f>IF(Human_Data_Entry!BJ47="","",Human_Data_Entry!BJ47)</f>
        <v/>
      </c>
      <c r="U49" s="103">
        <f>IF(Human_Data_Entry!AP47="","",Human_Data_Entry!AP47)</f>
        <v/>
      </c>
      <c r="V49" s="103">
        <f>IF(Human_Data_Entry!AQ47="","",Human_Data_Entry!AQ47)</f>
        <v/>
      </c>
      <c r="W49" s="103">
        <f>IF(Human_Data_Entry!AR47="","",Human_Data_Entry!AR47)</f>
        <v/>
      </c>
      <c r="X49" s="103">
        <f>IF(Human_Data_Entry!BK47="","",Human_Data_Entry!BK47)</f>
        <v/>
      </c>
    </row>
    <row r="50" ht="15" customHeight="1" s="241">
      <c r="A50" s="103">
        <f>IF(Human_Data_Entry!A48="","",Human_Data_Entry!A48)</f>
        <v/>
      </c>
      <c r="B50" s="103">
        <f>IF(Human_Data_Entry!B48="","",Human_Data_Entry!B48)</f>
        <v/>
      </c>
      <c r="C50" s="104">
        <f>IF(Human_Data_Entry!C48="","",Human_Data_Entry!C48)</f>
        <v/>
      </c>
      <c r="D50" s="103">
        <f>IF(Human_Data_Entry!D48="","",Human_Data_Entry!D48)</f>
        <v/>
      </c>
      <c r="E50" s="103">
        <f>IF(Human_Data_Entry!G48="","",Human_Data_Entry!G48)</f>
        <v/>
      </c>
      <c r="F50" s="103">
        <f>IF(Human_Data_Entry!X48="","",Human_Data_Entry!X48)</f>
        <v/>
      </c>
      <c r="G50" s="103">
        <f>IF(Human_Data_Entry!AY48="","",Human_Data_Entry!AY48)</f>
        <v/>
      </c>
      <c r="H50" s="103">
        <f>IF(Human_Data_Entry!AS48="","",Human_Data_Entry!AS48)</f>
        <v/>
      </c>
      <c r="I50" s="103">
        <f>IF(Human_Data_Entry!F48="","",Human_Data_Entry!F48)</f>
        <v/>
      </c>
      <c r="J50" s="103">
        <f>IF(Human_Data_Entry!BA48="","",Human_Data_Entry!BA48)</f>
        <v/>
      </c>
      <c r="K50" s="103">
        <f>IF(Human_Data_Entry!BB48="","",Human_Data_Entry!BB48)</f>
        <v/>
      </c>
      <c r="L50" s="103">
        <f>IF(Human_Data_Entry!BC48="","",Human_Data_Entry!BC48)</f>
        <v/>
      </c>
      <c r="M50" s="104">
        <f>IF(Human_Data_Entry!BD48="","",Human_Data_Entry!BD48)</f>
        <v/>
      </c>
      <c r="N50" s="104">
        <f>IF(Human_Data_Entry!BE48="","",Human_Data_Entry!BE48)</f>
        <v/>
      </c>
      <c r="O50" s="105">
        <f>IF(Human_Data_Entry!BF48="","",Human_Data_Entry!BF48)</f>
        <v/>
      </c>
      <c r="P50" s="103">
        <f>IF(Human_Data_Entry!BG48="","",Human_Data_Entry!BG48)</f>
        <v/>
      </c>
      <c r="Q50" s="103">
        <f>IF(Human_Data_Entry!BL48="","",Human_Data_Entry!BL48)</f>
        <v/>
      </c>
      <c r="R50" s="103">
        <f>IF(Human_Data_Entry!BH48="","",Human_Data_Entry!BH48)</f>
        <v/>
      </c>
      <c r="S50" s="103">
        <f>IF(Human_Data_Entry!BI48="","",Human_Data_Entry!BI48)</f>
        <v/>
      </c>
      <c r="T50" s="103">
        <f>IF(Human_Data_Entry!BJ48="","",Human_Data_Entry!BJ48)</f>
        <v/>
      </c>
      <c r="U50" s="103">
        <f>IF(Human_Data_Entry!AP48="","",Human_Data_Entry!AP48)</f>
        <v/>
      </c>
      <c r="V50" s="103">
        <f>IF(Human_Data_Entry!AQ48="","",Human_Data_Entry!AQ48)</f>
        <v/>
      </c>
      <c r="W50" s="103">
        <f>IF(Human_Data_Entry!AR48="","",Human_Data_Entry!AR48)</f>
        <v/>
      </c>
      <c r="X50" s="103">
        <f>IF(Human_Data_Entry!BK48="","",Human_Data_Entry!BK48)</f>
        <v/>
      </c>
    </row>
    <row r="51" ht="15" customHeight="1" s="241">
      <c r="A51" s="103">
        <f>IF(Human_Data_Entry!A49="","",Human_Data_Entry!A49)</f>
        <v/>
      </c>
      <c r="B51" s="103">
        <f>IF(Human_Data_Entry!B49="","",Human_Data_Entry!B49)</f>
        <v/>
      </c>
      <c r="C51" s="104">
        <f>IF(Human_Data_Entry!C49="","",Human_Data_Entry!C49)</f>
        <v/>
      </c>
      <c r="D51" s="103">
        <f>IF(Human_Data_Entry!D49="","",Human_Data_Entry!D49)</f>
        <v/>
      </c>
      <c r="E51" s="103">
        <f>IF(Human_Data_Entry!G49="","",Human_Data_Entry!G49)</f>
        <v/>
      </c>
      <c r="F51" s="103">
        <f>IF(Human_Data_Entry!X49="","",Human_Data_Entry!X49)</f>
        <v/>
      </c>
      <c r="G51" s="103">
        <f>IF(Human_Data_Entry!AY49="","",Human_Data_Entry!AY49)</f>
        <v/>
      </c>
      <c r="H51" s="103">
        <f>IF(Human_Data_Entry!AS49="","",Human_Data_Entry!AS49)</f>
        <v/>
      </c>
      <c r="I51" s="103">
        <f>IF(Human_Data_Entry!F49="","",Human_Data_Entry!F49)</f>
        <v/>
      </c>
      <c r="J51" s="103">
        <f>IF(Human_Data_Entry!BA49="","",Human_Data_Entry!BA49)</f>
        <v/>
      </c>
      <c r="K51" s="103">
        <f>IF(Human_Data_Entry!BB49="","",Human_Data_Entry!BB49)</f>
        <v/>
      </c>
      <c r="L51" s="103">
        <f>IF(Human_Data_Entry!BC49="","",Human_Data_Entry!BC49)</f>
        <v/>
      </c>
      <c r="M51" s="104">
        <f>IF(Human_Data_Entry!BD49="","",Human_Data_Entry!BD49)</f>
        <v/>
      </c>
      <c r="N51" s="104">
        <f>IF(Human_Data_Entry!BE49="","",Human_Data_Entry!BE49)</f>
        <v/>
      </c>
      <c r="O51" s="105">
        <f>IF(Human_Data_Entry!BF49="","",Human_Data_Entry!BF49)</f>
        <v/>
      </c>
      <c r="P51" s="103">
        <f>IF(Human_Data_Entry!BG49="","",Human_Data_Entry!BG49)</f>
        <v/>
      </c>
      <c r="Q51" s="103">
        <f>IF(Human_Data_Entry!BL49="","",Human_Data_Entry!BL49)</f>
        <v/>
      </c>
      <c r="R51" s="103">
        <f>IF(Human_Data_Entry!BH49="","",Human_Data_Entry!BH49)</f>
        <v/>
      </c>
      <c r="S51" s="103">
        <f>IF(Human_Data_Entry!BI49="","",Human_Data_Entry!BI49)</f>
        <v/>
      </c>
      <c r="T51" s="103">
        <f>IF(Human_Data_Entry!BJ49="","",Human_Data_Entry!BJ49)</f>
        <v/>
      </c>
      <c r="U51" s="103">
        <f>IF(Human_Data_Entry!AP49="","",Human_Data_Entry!AP49)</f>
        <v/>
      </c>
      <c r="V51" s="103">
        <f>IF(Human_Data_Entry!AQ49="","",Human_Data_Entry!AQ49)</f>
        <v/>
      </c>
      <c r="W51" s="103">
        <f>IF(Human_Data_Entry!AR49="","",Human_Data_Entry!AR49)</f>
        <v/>
      </c>
      <c r="X51" s="103">
        <f>IF(Human_Data_Entry!BK49="","",Human_Data_Entry!BK49)</f>
        <v/>
      </c>
    </row>
    <row r="52" ht="15" customHeight="1" s="241">
      <c r="A52" s="103">
        <f>IF(Human_Data_Entry!A50="","",Human_Data_Entry!A50)</f>
        <v/>
      </c>
      <c r="B52" s="103">
        <f>IF(Human_Data_Entry!B50="","",Human_Data_Entry!B50)</f>
        <v/>
      </c>
      <c r="C52" s="104">
        <f>IF(Human_Data_Entry!C50="","",Human_Data_Entry!C50)</f>
        <v/>
      </c>
      <c r="D52" s="103">
        <f>IF(Human_Data_Entry!D50="","",Human_Data_Entry!D50)</f>
        <v/>
      </c>
      <c r="E52" s="103">
        <f>IF(Human_Data_Entry!G50="","",Human_Data_Entry!G50)</f>
        <v/>
      </c>
      <c r="F52" s="103">
        <f>IF(Human_Data_Entry!X50="","",Human_Data_Entry!X50)</f>
        <v/>
      </c>
      <c r="G52" s="103">
        <f>IF(Human_Data_Entry!AY50="","",Human_Data_Entry!AY50)</f>
        <v/>
      </c>
      <c r="H52" s="103">
        <f>IF(Human_Data_Entry!AS50="","",Human_Data_Entry!AS50)</f>
        <v/>
      </c>
      <c r="I52" s="103">
        <f>IF(Human_Data_Entry!F50="","",Human_Data_Entry!F50)</f>
        <v/>
      </c>
      <c r="J52" s="103">
        <f>IF(Human_Data_Entry!BA50="","",Human_Data_Entry!BA50)</f>
        <v/>
      </c>
      <c r="K52" s="103">
        <f>IF(Human_Data_Entry!BB50="","",Human_Data_Entry!BB50)</f>
        <v/>
      </c>
      <c r="L52" s="103">
        <f>IF(Human_Data_Entry!BC50="","",Human_Data_Entry!BC50)</f>
        <v/>
      </c>
      <c r="M52" s="104">
        <f>IF(Human_Data_Entry!BD50="","",Human_Data_Entry!BD50)</f>
        <v/>
      </c>
      <c r="N52" s="104">
        <f>IF(Human_Data_Entry!BE50="","",Human_Data_Entry!BE50)</f>
        <v/>
      </c>
      <c r="O52" s="105">
        <f>IF(Human_Data_Entry!BF50="","",Human_Data_Entry!BF50)</f>
        <v/>
      </c>
      <c r="P52" s="103">
        <f>IF(Human_Data_Entry!BG50="","",Human_Data_Entry!BG50)</f>
        <v/>
      </c>
      <c r="Q52" s="103">
        <f>IF(Human_Data_Entry!BL50="","",Human_Data_Entry!BL50)</f>
        <v/>
      </c>
      <c r="R52" s="103">
        <f>IF(Human_Data_Entry!BH50="","",Human_Data_Entry!BH50)</f>
        <v/>
      </c>
      <c r="S52" s="103">
        <f>IF(Human_Data_Entry!BI50="","",Human_Data_Entry!BI50)</f>
        <v/>
      </c>
      <c r="T52" s="103">
        <f>IF(Human_Data_Entry!BJ50="","",Human_Data_Entry!BJ50)</f>
        <v/>
      </c>
      <c r="U52" s="103">
        <f>IF(Human_Data_Entry!AP50="","",Human_Data_Entry!AP50)</f>
        <v/>
      </c>
      <c r="V52" s="103">
        <f>IF(Human_Data_Entry!AQ50="","",Human_Data_Entry!AQ50)</f>
        <v/>
      </c>
      <c r="W52" s="103">
        <f>IF(Human_Data_Entry!AR50="","",Human_Data_Entry!AR50)</f>
        <v/>
      </c>
      <c r="X52" s="103">
        <f>IF(Human_Data_Entry!BK50="","",Human_Data_Entry!BK50)</f>
        <v/>
      </c>
    </row>
    <row r="53" ht="15" customHeight="1" s="241">
      <c r="A53" s="103">
        <f>IF(Human_Data_Entry!A51="","",Human_Data_Entry!A51)</f>
        <v/>
      </c>
      <c r="B53" s="103">
        <f>IF(Human_Data_Entry!B51="","",Human_Data_Entry!B51)</f>
        <v/>
      </c>
      <c r="C53" s="104">
        <f>IF(Human_Data_Entry!C51="","",Human_Data_Entry!C51)</f>
        <v/>
      </c>
      <c r="D53" s="103">
        <f>IF(Human_Data_Entry!D51="","",Human_Data_Entry!D51)</f>
        <v/>
      </c>
      <c r="E53" s="103">
        <f>IF(Human_Data_Entry!G51="","",Human_Data_Entry!G51)</f>
        <v/>
      </c>
      <c r="F53" s="103">
        <f>IF(Human_Data_Entry!X51="","",Human_Data_Entry!X51)</f>
        <v/>
      </c>
      <c r="G53" s="103">
        <f>IF(Human_Data_Entry!AY51="","",Human_Data_Entry!AY51)</f>
        <v/>
      </c>
      <c r="H53" s="103">
        <f>IF(Human_Data_Entry!AS51="","",Human_Data_Entry!AS51)</f>
        <v/>
      </c>
      <c r="I53" s="103">
        <f>IF(Human_Data_Entry!F51="","",Human_Data_Entry!F51)</f>
        <v/>
      </c>
      <c r="J53" s="103">
        <f>IF(Human_Data_Entry!BA51="","",Human_Data_Entry!BA51)</f>
        <v/>
      </c>
      <c r="K53" s="103">
        <f>IF(Human_Data_Entry!BB51="","",Human_Data_Entry!BB51)</f>
        <v/>
      </c>
      <c r="L53" s="103">
        <f>IF(Human_Data_Entry!BC51="","",Human_Data_Entry!BC51)</f>
        <v/>
      </c>
      <c r="M53" s="104">
        <f>IF(Human_Data_Entry!BD51="","",Human_Data_Entry!BD51)</f>
        <v/>
      </c>
      <c r="N53" s="104">
        <f>IF(Human_Data_Entry!BE51="","",Human_Data_Entry!BE51)</f>
        <v/>
      </c>
      <c r="O53" s="105">
        <f>IF(Human_Data_Entry!BF51="","",Human_Data_Entry!BF51)</f>
        <v/>
      </c>
      <c r="P53" s="103">
        <f>IF(Human_Data_Entry!BG51="","",Human_Data_Entry!BG51)</f>
        <v/>
      </c>
      <c r="Q53" s="103">
        <f>IF(Human_Data_Entry!BL51="","",Human_Data_Entry!BL51)</f>
        <v/>
      </c>
      <c r="R53" s="103">
        <f>IF(Human_Data_Entry!BH51="","",Human_Data_Entry!BH51)</f>
        <v/>
      </c>
      <c r="S53" s="103">
        <f>IF(Human_Data_Entry!BI51="","",Human_Data_Entry!BI51)</f>
        <v/>
      </c>
      <c r="T53" s="103">
        <f>IF(Human_Data_Entry!BJ51="","",Human_Data_Entry!BJ51)</f>
        <v/>
      </c>
      <c r="U53" s="103">
        <f>IF(Human_Data_Entry!AP51="","",Human_Data_Entry!AP51)</f>
        <v/>
      </c>
      <c r="V53" s="103">
        <f>IF(Human_Data_Entry!AQ51="","",Human_Data_Entry!AQ51)</f>
        <v/>
      </c>
      <c r="W53" s="103">
        <f>IF(Human_Data_Entry!AR51="","",Human_Data_Entry!AR51)</f>
        <v/>
      </c>
      <c r="X53" s="103">
        <f>IF(Human_Data_Entry!BK51="","",Human_Data_Entry!BK51)</f>
        <v/>
      </c>
    </row>
    <row r="54" ht="15" customHeight="1" s="241">
      <c r="A54" s="103">
        <f>IF(Human_Data_Entry!A52="","",Human_Data_Entry!A52)</f>
        <v/>
      </c>
      <c r="B54" s="103">
        <f>IF(Human_Data_Entry!B52="","",Human_Data_Entry!B52)</f>
        <v/>
      </c>
      <c r="C54" s="104">
        <f>IF(Human_Data_Entry!C52="","",Human_Data_Entry!C52)</f>
        <v/>
      </c>
      <c r="D54" s="103">
        <f>IF(Human_Data_Entry!D52="","",Human_Data_Entry!D52)</f>
        <v/>
      </c>
      <c r="E54" s="103">
        <f>IF(Human_Data_Entry!G52="","",Human_Data_Entry!G52)</f>
        <v/>
      </c>
      <c r="F54" s="103">
        <f>IF(Human_Data_Entry!X52="","",Human_Data_Entry!X52)</f>
        <v/>
      </c>
      <c r="G54" s="103">
        <f>IF(Human_Data_Entry!AY52="","",Human_Data_Entry!AY52)</f>
        <v/>
      </c>
      <c r="H54" s="103">
        <f>IF(Human_Data_Entry!AS52="","",Human_Data_Entry!AS52)</f>
        <v/>
      </c>
      <c r="I54" s="103">
        <f>IF(Human_Data_Entry!F52="","",Human_Data_Entry!F52)</f>
        <v/>
      </c>
      <c r="J54" s="103">
        <f>IF(Human_Data_Entry!BA52="","",Human_Data_Entry!BA52)</f>
        <v/>
      </c>
      <c r="K54" s="103">
        <f>IF(Human_Data_Entry!BB52="","",Human_Data_Entry!BB52)</f>
        <v/>
      </c>
      <c r="L54" s="103">
        <f>IF(Human_Data_Entry!BC52="","",Human_Data_Entry!BC52)</f>
        <v/>
      </c>
      <c r="M54" s="104">
        <f>IF(Human_Data_Entry!BD52="","",Human_Data_Entry!BD52)</f>
        <v/>
      </c>
      <c r="N54" s="104">
        <f>IF(Human_Data_Entry!BE52="","",Human_Data_Entry!BE52)</f>
        <v/>
      </c>
      <c r="O54" s="105">
        <f>IF(Human_Data_Entry!BF52="","",Human_Data_Entry!BF52)</f>
        <v/>
      </c>
      <c r="P54" s="103">
        <f>IF(Human_Data_Entry!BG52="","",Human_Data_Entry!BG52)</f>
        <v/>
      </c>
      <c r="Q54" s="103">
        <f>IF(Human_Data_Entry!BL52="","",Human_Data_Entry!BL52)</f>
        <v/>
      </c>
      <c r="R54" s="103">
        <f>IF(Human_Data_Entry!BH52="","",Human_Data_Entry!BH52)</f>
        <v/>
      </c>
      <c r="S54" s="103">
        <f>IF(Human_Data_Entry!BI52="","",Human_Data_Entry!BI52)</f>
        <v/>
      </c>
      <c r="T54" s="103">
        <f>IF(Human_Data_Entry!BJ52="","",Human_Data_Entry!BJ52)</f>
        <v/>
      </c>
      <c r="U54" s="103">
        <f>IF(Human_Data_Entry!AP52="","",Human_Data_Entry!AP52)</f>
        <v/>
      </c>
      <c r="V54" s="103">
        <f>IF(Human_Data_Entry!AQ52="","",Human_Data_Entry!AQ52)</f>
        <v/>
      </c>
      <c r="W54" s="103">
        <f>IF(Human_Data_Entry!AR52="","",Human_Data_Entry!AR52)</f>
        <v/>
      </c>
      <c r="X54" s="103">
        <f>IF(Human_Data_Entry!BK52="","",Human_Data_Entry!BK52)</f>
        <v/>
      </c>
    </row>
    <row r="55" ht="15" customHeight="1" s="241">
      <c r="A55" s="103">
        <f>IF(Human_Data_Entry!A53="","",Human_Data_Entry!A53)</f>
        <v/>
      </c>
      <c r="B55" s="103">
        <f>IF(Human_Data_Entry!B53="","",Human_Data_Entry!B53)</f>
        <v/>
      </c>
      <c r="C55" s="104">
        <f>IF(Human_Data_Entry!C53="","",Human_Data_Entry!C53)</f>
        <v/>
      </c>
      <c r="D55" s="103">
        <f>IF(Human_Data_Entry!D53="","",Human_Data_Entry!D53)</f>
        <v/>
      </c>
      <c r="E55" s="103">
        <f>IF(Human_Data_Entry!G53="","",Human_Data_Entry!G53)</f>
        <v/>
      </c>
      <c r="F55" s="103">
        <f>IF(Human_Data_Entry!X53="","",Human_Data_Entry!X53)</f>
        <v/>
      </c>
      <c r="G55" s="103">
        <f>IF(Human_Data_Entry!AY53="","",Human_Data_Entry!AY53)</f>
        <v/>
      </c>
      <c r="H55" s="103">
        <f>IF(Human_Data_Entry!AS53="","",Human_Data_Entry!AS53)</f>
        <v/>
      </c>
      <c r="I55" s="103">
        <f>IF(Human_Data_Entry!F53="","",Human_Data_Entry!F53)</f>
        <v/>
      </c>
      <c r="J55" s="103">
        <f>IF(Human_Data_Entry!BA53="","",Human_Data_Entry!BA53)</f>
        <v/>
      </c>
      <c r="K55" s="103">
        <f>IF(Human_Data_Entry!BB53="","",Human_Data_Entry!BB53)</f>
        <v/>
      </c>
      <c r="L55" s="103">
        <f>IF(Human_Data_Entry!BC53="","",Human_Data_Entry!BC53)</f>
        <v/>
      </c>
      <c r="M55" s="104">
        <f>IF(Human_Data_Entry!BD53="","",Human_Data_Entry!BD53)</f>
        <v/>
      </c>
      <c r="N55" s="104">
        <f>IF(Human_Data_Entry!BE53="","",Human_Data_Entry!BE53)</f>
        <v/>
      </c>
      <c r="O55" s="105">
        <f>IF(Human_Data_Entry!BF53="","",Human_Data_Entry!BF53)</f>
        <v/>
      </c>
      <c r="P55" s="103">
        <f>IF(Human_Data_Entry!BG53="","",Human_Data_Entry!BG53)</f>
        <v/>
      </c>
      <c r="Q55" s="103">
        <f>IF(Human_Data_Entry!BL53="","",Human_Data_Entry!BL53)</f>
        <v/>
      </c>
      <c r="R55" s="103">
        <f>IF(Human_Data_Entry!BH53="","",Human_Data_Entry!BH53)</f>
        <v/>
      </c>
      <c r="S55" s="103">
        <f>IF(Human_Data_Entry!BI53="","",Human_Data_Entry!BI53)</f>
        <v/>
      </c>
      <c r="T55" s="103">
        <f>IF(Human_Data_Entry!BJ53="","",Human_Data_Entry!BJ53)</f>
        <v/>
      </c>
      <c r="U55" s="103">
        <f>IF(Human_Data_Entry!AP53="","",Human_Data_Entry!AP53)</f>
        <v/>
      </c>
      <c r="V55" s="103">
        <f>IF(Human_Data_Entry!AQ53="","",Human_Data_Entry!AQ53)</f>
        <v/>
      </c>
      <c r="W55" s="103">
        <f>IF(Human_Data_Entry!AR53="","",Human_Data_Entry!AR53)</f>
        <v/>
      </c>
      <c r="X55" s="103">
        <f>IF(Human_Data_Entry!BK53="","",Human_Data_Entry!BK53)</f>
        <v/>
      </c>
    </row>
    <row r="56" ht="15" customHeight="1" s="241">
      <c r="A56" s="103">
        <f>IF(Human_Data_Entry!A54="","",Human_Data_Entry!A54)</f>
        <v/>
      </c>
      <c r="B56" s="103">
        <f>IF(Human_Data_Entry!B54="","",Human_Data_Entry!B54)</f>
        <v/>
      </c>
      <c r="C56" s="104">
        <f>IF(Human_Data_Entry!C54="","",Human_Data_Entry!C54)</f>
        <v/>
      </c>
      <c r="D56" s="103">
        <f>IF(Human_Data_Entry!D54="","",Human_Data_Entry!D54)</f>
        <v/>
      </c>
      <c r="E56" s="103">
        <f>IF(Human_Data_Entry!G54="","",Human_Data_Entry!G54)</f>
        <v/>
      </c>
      <c r="F56" s="103">
        <f>IF(Human_Data_Entry!X54="","",Human_Data_Entry!X54)</f>
        <v/>
      </c>
      <c r="G56" s="103">
        <f>IF(Human_Data_Entry!AY54="","",Human_Data_Entry!AY54)</f>
        <v/>
      </c>
      <c r="H56" s="103">
        <f>IF(Human_Data_Entry!AS54="","",Human_Data_Entry!AS54)</f>
        <v/>
      </c>
      <c r="I56" s="103">
        <f>IF(Human_Data_Entry!F54="","",Human_Data_Entry!F54)</f>
        <v/>
      </c>
      <c r="J56" s="103">
        <f>IF(Human_Data_Entry!BA54="","",Human_Data_Entry!BA54)</f>
        <v/>
      </c>
      <c r="K56" s="103">
        <f>IF(Human_Data_Entry!BB54="","",Human_Data_Entry!BB54)</f>
        <v/>
      </c>
      <c r="L56" s="103">
        <f>IF(Human_Data_Entry!BC54="","",Human_Data_Entry!BC54)</f>
        <v/>
      </c>
      <c r="M56" s="104">
        <f>IF(Human_Data_Entry!BD54="","",Human_Data_Entry!BD54)</f>
        <v/>
      </c>
      <c r="N56" s="104">
        <f>IF(Human_Data_Entry!BE54="","",Human_Data_Entry!BE54)</f>
        <v/>
      </c>
      <c r="O56" s="105">
        <f>IF(Human_Data_Entry!BF54="","",Human_Data_Entry!BF54)</f>
        <v/>
      </c>
      <c r="P56" s="103">
        <f>IF(Human_Data_Entry!BG54="","",Human_Data_Entry!BG54)</f>
        <v/>
      </c>
      <c r="Q56" s="103">
        <f>IF(Human_Data_Entry!BL54="","",Human_Data_Entry!BL54)</f>
        <v/>
      </c>
      <c r="R56" s="103">
        <f>IF(Human_Data_Entry!BH54="","",Human_Data_Entry!BH54)</f>
        <v/>
      </c>
      <c r="S56" s="103">
        <f>IF(Human_Data_Entry!BI54="","",Human_Data_Entry!BI54)</f>
        <v/>
      </c>
      <c r="T56" s="103">
        <f>IF(Human_Data_Entry!BJ54="","",Human_Data_Entry!BJ54)</f>
        <v/>
      </c>
      <c r="U56" s="103">
        <f>IF(Human_Data_Entry!AP54="","",Human_Data_Entry!AP54)</f>
        <v/>
      </c>
      <c r="V56" s="103">
        <f>IF(Human_Data_Entry!AQ54="","",Human_Data_Entry!AQ54)</f>
        <v/>
      </c>
      <c r="W56" s="103">
        <f>IF(Human_Data_Entry!AR54="","",Human_Data_Entry!AR54)</f>
        <v/>
      </c>
      <c r="X56" s="103">
        <f>IF(Human_Data_Entry!BK54="","",Human_Data_Entry!BK54)</f>
        <v/>
      </c>
    </row>
    <row r="57" ht="15" customHeight="1" s="241">
      <c r="A57" s="103">
        <f>IF(Human_Data_Entry!A55="","",Human_Data_Entry!A55)</f>
        <v/>
      </c>
      <c r="B57" s="103">
        <f>IF(Human_Data_Entry!B55="","",Human_Data_Entry!B55)</f>
        <v/>
      </c>
      <c r="C57" s="104">
        <f>IF(Human_Data_Entry!C55="","",Human_Data_Entry!C55)</f>
        <v/>
      </c>
      <c r="D57" s="103">
        <f>IF(Human_Data_Entry!D55="","",Human_Data_Entry!D55)</f>
        <v/>
      </c>
      <c r="E57" s="103">
        <f>IF(Human_Data_Entry!G55="","",Human_Data_Entry!G55)</f>
        <v/>
      </c>
      <c r="F57" s="103">
        <f>IF(Human_Data_Entry!X55="","",Human_Data_Entry!X55)</f>
        <v/>
      </c>
      <c r="G57" s="103">
        <f>IF(Human_Data_Entry!AY55="","",Human_Data_Entry!AY55)</f>
        <v/>
      </c>
      <c r="H57" s="103">
        <f>IF(Human_Data_Entry!AS55="","",Human_Data_Entry!AS55)</f>
        <v/>
      </c>
      <c r="I57" s="103">
        <f>IF(Human_Data_Entry!F55="","",Human_Data_Entry!F55)</f>
        <v/>
      </c>
      <c r="J57" s="103">
        <f>IF(Human_Data_Entry!BA55="","",Human_Data_Entry!BA55)</f>
        <v/>
      </c>
      <c r="K57" s="103">
        <f>IF(Human_Data_Entry!BB55="","",Human_Data_Entry!BB55)</f>
        <v/>
      </c>
      <c r="L57" s="103">
        <f>IF(Human_Data_Entry!BC55="","",Human_Data_Entry!BC55)</f>
        <v/>
      </c>
      <c r="M57" s="104">
        <f>IF(Human_Data_Entry!BD55="","",Human_Data_Entry!BD55)</f>
        <v/>
      </c>
      <c r="N57" s="104">
        <f>IF(Human_Data_Entry!BE55="","",Human_Data_Entry!BE55)</f>
        <v/>
      </c>
      <c r="O57" s="105">
        <f>IF(Human_Data_Entry!BF55="","",Human_Data_Entry!BF55)</f>
        <v/>
      </c>
      <c r="P57" s="103">
        <f>IF(Human_Data_Entry!BG55="","",Human_Data_Entry!BG55)</f>
        <v/>
      </c>
      <c r="Q57" s="103">
        <f>IF(Human_Data_Entry!BL55="","",Human_Data_Entry!BL55)</f>
        <v/>
      </c>
      <c r="R57" s="103">
        <f>IF(Human_Data_Entry!BH55="","",Human_Data_Entry!BH55)</f>
        <v/>
      </c>
      <c r="S57" s="103">
        <f>IF(Human_Data_Entry!BI55="","",Human_Data_Entry!BI55)</f>
        <v/>
      </c>
      <c r="T57" s="103">
        <f>IF(Human_Data_Entry!BJ55="","",Human_Data_Entry!BJ55)</f>
        <v/>
      </c>
      <c r="U57" s="103">
        <f>IF(Human_Data_Entry!AP55="","",Human_Data_Entry!AP55)</f>
        <v/>
      </c>
      <c r="V57" s="103">
        <f>IF(Human_Data_Entry!AQ55="","",Human_Data_Entry!AQ55)</f>
        <v/>
      </c>
      <c r="W57" s="103">
        <f>IF(Human_Data_Entry!AR55="","",Human_Data_Entry!AR55)</f>
        <v/>
      </c>
      <c r="X57" s="103">
        <f>IF(Human_Data_Entry!BK55="","",Human_Data_Entry!BK55)</f>
        <v/>
      </c>
    </row>
    <row r="58" ht="15" customHeight="1" s="241">
      <c r="A58" s="103">
        <f>IF(Human_Data_Entry!A56="","",Human_Data_Entry!A56)</f>
        <v/>
      </c>
      <c r="B58" s="103">
        <f>IF(Human_Data_Entry!B56="","",Human_Data_Entry!B56)</f>
        <v/>
      </c>
      <c r="C58" s="104">
        <f>IF(Human_Data_Entry!C56="","",Human_Data_Entry!C56)</f>
        <v/>
      </c>
      <c r="D58" s="103">
        <f>IF(Human_Data_Entry!D56="","",Human_Data_Entry!D56)</f>
        <v/>
      </c>
      <c r="E58" s="103">
        <f>IF(Human_Data_Entry!G56="","",Human_Data_Entry!G56)</f>
        <v/>
      </c>
      <c r="F58" s="103">
        <f>IF(Human_Data_Entry!X56="","",Human_Data_Entry!X56)</f>
        <v/>
      </c>
      <c r="G58" s="103">
        <f>IF(Human_Data_Entry!AY56="","",Human_Data_Entry!AY56)</f>
        <v/>
      </c>
      <c r="H58" s="103">
        <f>IF(Human_Data_Entry!AS56="","",Human_Data_Entry!AS56)</f>
        <v/>
      </c>
      <c r="I58" s="103">
        <f>IF(Human_Data_Entry!F56="","",Human_Data_Entry!F56)</f>
        <v/>
      </c>
      <c r="J58" s="103">
        <f>IF(Human_Data_Entry!BA56="","",Human_Data_Entry!BA56)</f>
        <v/>
      </c>
      <c r="K58" s="103">
        <f>IF(Human_Data_Entry!BB56="","",Human_Data_Entry!BB56)</f>
        <v/>
      </c>
      <c r="L58" s="103">
        <f>IF(Human_Data_Entry!BC56="","",Human_Data_Entry!BC56)</f>
        <v/>
      </c>
      <c r="M58" s="104">
        <f>IF(Human_Data_Entry!BD56="","",Human_Data_Entry!BD56)</f>
        <v/>
      </c>
      <c r="N58" s="104">
        <f>IF(Human_Data_Entry!BE56="","",Human_Data_Entry!BE56)</f>
        <v/>
      </c>
      <c r="O58" s="105">
        <f>IF(Human_Data_Entry!BF56="","",Human_Data_Entry!BF56)</f>
        <v/>
      </c>
      <c r="P58" s="103">
        <f>IF(Human_Data_Entry!BG56="","",Human_Data_Entry!BG56)</f>
        <v/>
      </c>
      <c r="Q58" s="103">
        <f>IF(Human_Data_Entry!BL56="","",Human_Data_Entry!BL56)</f>
        <v/>
      </c>
      <c r="R58" s="103">
        <f>IF(Human_Data_Entry!BH56="","",Human_Data_Entry!BH56)</f>
        <v/>
      </c>
      <c r="S58" s="103">
        <f>IF(Human_Data_Entry!BI56="","",Human_Data_Entry!BI56)</f>
        <v/>
      </c>
      <c r="T58" s="103">
        <f>IF(Human_Data_Entry!BJ56="","",Human_Data_Entry!BJ56)</f>
        <v/>
      </c>
      <c r="U58" s="103">
        <f>IF(Human_Data_Entry!AP56="","",Human_Data_Entry!AP56)</f>
        <v/>
      </c>
      <c r="V58" s="103">
        <f>IF(Human_Data_Entry!AQ56="","",Human_Data_Entry!AQ56)</f>
        <v/>
      </c>
      <c r="W58" s="103">
        <f>IF(Human_Data_Entry!AR56="","",Human_Data_Entry!AR56)</f>
        <v/>
      </c>
      <c r="X58" s="103">
        <f>IF(Human_Data_Entry!BK56="","",Human_Data_Entry!BK56)</f>
        <v/>
      </c>
    </row>
    <row r="59" ht="15" customHeight="1" s="241">
      <c r="A59" s="103">
        <f>IF(Human_Data_Entry!A57="","",Human_Data_Entry!A57)</f>
        <v/>
      </c>
      <c r="B59" s="103">
        <f>IF(Human_Data_Entry!B57="","",Human_Data_Entry!B57)</f>
        <v/>
      </c>
      <c r="C59" s="104">
        <f>IF(Human_Data_Entry!C57="","",Human_Data_Entry!C57)</f>
        <v/>
      </c>
      <c r="D59" s="103">
        <f>IF(Human_Data_Entry!D57="","",Human_Data_Entry!D57)</f>
        <v/>
      </c>
      <c r="E59" s="103">
        <f>IF(Human_Data_Entry!G57="","",Human_Data_Entry!G57)</f>
        <v/>
      </c>
      <c r="F59" s="103">
        <f>IF(Human_Data_Entry!X57="","",Human_Data_Entry!X57)</f>
        <v/>
      </c>
      <c r="G59" s="103">
        <f>IF(Human_Data_Entry!AY57="","",Human_Data_Entry!AY57)</f>
        <v/>
      </c>
      <c r="H59" s="103">
        <f>IF(Human_Data_Entry!AS57="","",Human_Data_Entry!AS57)</f>
        <v/>
      </c>
      <c r="I59" s="103">
        <f>IF(Human_Data_Entry!F57="","",Human_Data_Entry!F57)</f>
        <v/>
      </c>
      <c r="J59" s="103">
        <f>IF(Human_Data_Entry!BA57="","",Human_Data_Entry!BA57)</f>
        <v/>
      </c>
      <c r="K59" s="103">
        <f>IF(Human_Data_Entry!BB57="","",Human_Data_Entry!BB57)</f>
        <v/>
      </c>
      <c r="L59" s="103">
        <f>IF(Human_Data_Entry!BC57="","",Human_Data_Entry!BC57)</f>
        <v/>
      </c>
      <c r="M59" s="104">
        <f>IF(Human_Data_Entry!BD57="","",Human_Data_Entry!BD57)</f>
        <v/>
      </c>
      <c r="N59" s="104">
        <f>IF(Human_Data_Entry!BE57="","",Human_Data_Entry!BE57)</f>
        <v/>
      </c>
      <c r="O59" s="105">
        <f>IF(Human_Data_Entry!BF57="","",Human_Data_Entry!BF57)</f>
        <v/>
      </c>
      <c r="P59" s="103">
        <f>IF(Human_Data_Entry!BG57="","",Human_Data_Entry!BG57)</f>
        <v/>
      </c>
      <c r="Q59" s="103">
        <f>IF(Human_Data_Entry!BL57="","",Human_Data_Entry!BL57)</f>
        <v/>
      </c>
      <c r="R59" s="103">
        <f>IF(Human_Data_Entry!BH57="","",Human_Data_Entry!BH57)</f>
        <v/>
      </c>
      <c r="S59" s="103">
        <f>IF(Human_Data_Entry!BI57="","",Human_Data_Entry!BI57)</f>
        <v/>
      </c>
      <c r="T59" s="103">
        <f>IF(Human_Data_Entry!BJ57="","",Human_Data_Entry!BJ57)</f>
        <v/>
      </c>
      <c r="U59" s="103">
        <f>IF(Human_Data_Entry!AP57="","",Human_Data_Entry!AP57)</f>
        <v/>
      </c>
      <c r="V59" s="103">
        <f>IF(Human_Data_Entry!AQ57="","",Human_Data_Entry!AQ57)</f>
        <v/>
      </c>
      <c r="W59" s="103">
        <f>IF(Human_Data_Entry!AR57="","",Human_Data_Entry!AR57)</f>
        <v/>
      </c>
      <c r="X59" s="103">
        <f>IF(Human_Data_Entry!BK57="","",Human_Data_Entry!BK57)</f>
        <v/>
      </c>
    </row>
    <row r="60" ht="15" customHeight="1" s="241">
      <c r="A60" s="103">
        <f>IF(Human_Data_Entry!A58="","",Human_Data_Entry!A58)</f>
        <v/>
      </c>
      <c r="B60" s="103">
        <f>IF(Human_Data_Entry!B58="","",Human_Data_Entry!B58)</f>
        <v/>
      </c>
      <c r="C60" s="104">
        <f>IF(Human_Data_Entry!C58="","",Human_Data_Entry!C58)</f>
        <v/>
      </c>
      <c r="D60" s="103">
        <f>IF(Human_Data_Entry!D58="","",Human_Data_Entry!D58)</f>
        <v/>
      </c>
      <c r="E60" s="103">
        <f>IF(Human_Data_Entry!G58="","",Human_Data_Entry!G58)</f>
        <v/>
      </c>
      <c r="F60" s="103">
        <f>IF(Human_Data_Entry!X58="","",Human_Data_Entry!X58)</f>
        <v/>
      </c>
      <c r="G60" s="103">
        <f>IF(Human_Data_Entry!AY58="","",Human_Data_Entry!AY58)</f>
        <v/>
      </c>
      <c r="H60" s="103">
        <f>IF(Human_Data_Entry!AS58="","",Human_Data_Entry!AS58)</f>
        <v/>
      </c>
      <c r="I60" s="103">
        <f>IF(Human_Data_Entry!F58="","",Human_Data_Entry!F58)</f>
        <v/>
      </c>
      <c r="J60" s="103">
        <f>IF(Human_Data_Entry!BA58="","",Human_Data_Entry!BA58)</f>
        <v/>
      </c>
      <c r="K60" s="103">
        <f>IF(Human_Data_Entry!BB58="","",Human_Data_Entry!BB58)</f>
        <v/>
      </c>
      <c r="L60" s="103">
        <f>IF(Human_Data_Entry!BC58="","",Human_Data_Entry!BC58)</f>
        <v/>
      </c>
      <c r="M60" s="104">
        <f>IF(Human_Data_Entry!BD58="","",Human_Data_Entry!BD58)</f>
        <v/>
      </c>
      <c r="N60" s="104">
        <f>IF(Human_Data_Entry!BE58="","",Human_Data_Entry!BE58)</f>
        <v/>
      </c>
      <c r="O60" s="105">
        <f>IF(Human_Data_Entry!BF58="","",Human_Data_Entry!BF58)</f>
        <v/>
      </c>
      <c r="P60" s="103">
        <f>IF(Human_Data_Entry!BG58="","",Human_Data_Entry!BG58)</f>
        <v/>
      </c>
      <c r="Q60" s="103">
        <f>IF(Human_Data_Entry!BL58="","",Human_Data_Entry!BL58)</f>
        <v/>
      </c>
      <c r="R60" s="103">
        <f>IF(Human_Data_Entry!BH58="","",Human_Data_Entry!BH58)</f>
        <v/>
      </c>
      <c r="S60" s="103">
        <f>IF(Human_Data_Entry!BI58="","",Human_Data_Entry!BI58)</f>
        <v/>
      </c>
      <c r="T60" s="103">
        <f>IF(Human_Data_Entry!BJ58="","",Human_Data_Entry!BJ58)</f>
        <v/>
      </c>
      <c r="U60" s="103">
        <f>IF(Human_Data_Entry!AP58="","",Human_Data_Entry!AP58)</f>
        <v/>
      </c>
      <c r="V60" s="103">
        <f>IF(Human_Data_Entry!AQ58="","",Human_Data_Entry!AQ58)</f>
        <v/>
      </c>
      <c r="W60" s="103">
        <f>IF(Human_Data_Entry!AR58="","",Human_Data_Entry!AR58)</f>
        <v/>
      </c>
      <c r="X60" s="103">
        <f>IF(Human_Data_Entry!BK58="","",Human_Data_Entry!BK58)</f>
        <v/>
      </c>
    </row>
    <row r="61" ht="15" customHeight="1" s="241">
      <c r="A61" s="103">
        <f>IF(Human_Data_Entry!A59="","",Human_Data_Entry!A59)</f>
        <v/>
      </c>
      <c r="B61" s="103">
        <f>IF(Human_Data_Entry!B59="","",Human_Data_Entry!B59)</f>
        <v/>
      </c>
      <c r="C61" s="104">
        <f>IF(Human_Data_Entry!C59="","",Human_Data_Entry!C59)</f>
        <v/>
      </c>
      <c r="D61" s="103">
        <f>IF(Human_Data_Entry!D59="","",Human_Data_Entry!D59)</f>
        <v/>
      </c>
      <c r="E61" s="103">
        <f>IF(Human_Data_Entry!G59="","",Human_Data_Entry!G59)</f>
        <v/>
      </c>
      <c r="F61" s="103">
        <f>IF(Human_Data_Entry!X59="","",Human_Data_Entry!X59)</f>
        <v/>
      </c>
      <c r="G61" s="103">
        <f>IF(Human_Data_Entry!AY59="","",Human_Data_Entry!AY59)</f>
        <v/>
      </c>
      <c r="H61" s="103">
        <f>IF(Human_Data_Entry!AS59="","",Human_Data_Entry!AS59)</f>
        <v/>
      </c>
      <c r="I61" s="103">
        <f>IF(Human_Data_Entry!F59="","",Human_Data_Entry!F59)</f>
        <v/>
      </c>
      <c r="J61" s="103">
        <f>IF(Human_Data_Entry!BA59="","",Human_Data_Entry!BA59)</f>
        <v/>
      </c>
      <c r="K61" s="103">
        <f>IF(Human_Data_Entry!BB59="","",Human_Data_Entry!BB59)</f>
        <v/>
      </c>
      <c r="L61" s="103">
        <f>IF(Human_Data_Entry!BC59="","",Human_Data_Entry!BC59)</f>
        <v/>
      </c>
      <c r="M61" s="104">
        <f>IF(Human_Data_Entry!BD59="","",Human_Data_Entry!BD59)</f>
        <v/>
      </c>
      <c r="N61" s="104">
        <f>IF(Human_Data_Entry!BE59="","",Human_Data_Entry!BE59)</f>
        <v/>
      </c>
      <c r="O61" s="105">
        <f>IF(Human_Data_Entry!BF59="","",Human_Data_Entry!BF59)</f>
        <v/>
      </c>
      <c r="P61" s="103">
        <f>IF(Human_Data_Entry!BG59="","",Human_Data_Entry!BG59)</f>
        <v/>
      </c>
      <c r="Q61" s="103">
        <f>IF(Human_Data_Entry!BL59="","",Human_Data_Entry!BL59)</f>
        <v/>
      </c>
      <c r="R61" s="103">
        <f>IF(Human_Data_Entry!BH59="","",Human_Data_Entry!BH59)</f>
        <v/>
      </c>
      <c r="S61" s="103">
        <f>IF(Human_Data_Entry!BI59="","",Human_Data_Entry!BI59)</f>
        <v/>
      </c>
      <c r="T61" s="103">
        <f>IF(Human_Data_Entry!BJ59="","",Human_Data_Entry!BJ59)</f>
        <v/>
      </c>
      <c r="U61" s="103">
        <f>IF(Human_Data_Entry!AP59="","",Human_Data_Entry!AP59)</f>
        <v/>
      </c>
      <c r="V61" s="103">
        <f>IF(Human_Data_Entry!AQ59="","",Human_Data_Entry!AQ59)</f>
        <v/>
      </c>
      <c r="W61" s="103">
        <f>IF(Human_Data_Entry!AR59="","",Human_Data_Entry!AR59)</f>
        <v/>
      </c>
      <c r="X61" s="103">
        <f>IF(Human_Data_Entry!BK59="","",Human_Data_Entry!BK59)</f>
        <v/>
      </c>
    </row>
    <row r="62" ht="15" customHeight="1" s="241">
      <c r="A62" s="103">
        <f>IF(Human_Data_Entry!A60="","",Human_Data_Entry!A60)</f>
        <v/>
      </c>
      <c r="B62" s="103">
        <f>IF(Human_Data_Entry!B60="","",Human_Data_Entry!B60)</f>
        <v/>
      </c>
      <c r="C62" s="104">
        <f>IF(Human_Data_Entry!C60="","",Human_Data_Entry!C60)</f>
        <v/>
      </c>
      <c r="D62" s="103">
        <f>IF(Human_Data_Entry!D60="","",Human_Data_Entry!D60)</f>
        <v/>
      </c>
      <c r="E62" s="103">
        <f>IF(Human_Data_Entry!G60="","",Human_Data_Entry!G60)</f>
        <v/>
      </c>
      <c r="F62" s="103">
        <f>IF(Human_Data_Entry!X60="","",Human_Data_Entry!X60)</f>
        <v/>
      </c>
      <c r="G62" s="103">
        <f>IF(Human_Data_Entry!AY60="","",Human_Data_Entry!AY60)</f>
        <v/>
      </c>
      <c r="H62" s="103">
        <f>IF(Human_Data_Entry!AS60="","",Human_Data_Entry!AS60)</f>
        <v/>
      </c>
      <c r="I62" s="103">
        <f>IF(Human_Data_Entry!F60="","",Human_Data_Entry!F60)</f>
        <v/>
      </c>
      <c r="J62" s="103">
        <f>IF(Human_Data_Entry!BA60="","",Human_Data_Entry!BA60)</f>
        <v/>
      </c>
      <c r="K62" s="103">
        <f>IF(Human_Data_Entry!BB60="","",Human_Data_Entry!BB60)</f>
        <v/>
      </c>
      <c r="L62" s="103">
        <f>IF(Human_Data_Entry!BC60="","",Human_Data_Entry!BC60)</f>
        <v/>
      </c>
      <c r="M62" s="104">
        <f>IF(Human_Data_Entry!BD60="","",Human_Data_Entry!BD60)</f>
        <v/>
      </c>
      <c r="N62" s="104">
        <f>IF(Human_Data_Entry!BE60="","",Human_Data_Entry!BE60)</f>
        <v/>
      </c>
      <c r="O62" s="105">
        <f>IF(Human_Data_Entry!BF60="","",Human_Data_Entry!BF60)</f>
        <v/>
      </c>
      <c r="P62" s="103">
        <f>IF(Human_Data_Entry!BG60="","",Human_Data_Entry!BG60)</f>
        <v/>
      </c>
      <c r="Q62" s="103">
        <f>IF(Human_Data_Entry!BL60="","",Human_Data_Entry!BL60)</f>
        <v/>
      </c>
      <c r="R62" s="103">
        <f>IF(Human_Data_Entry!BH60="","",Human_Data_Entry!BH60)</f>
        <v/>
      </c>
      <c r="S62" s="103">
        <f>IF(Human_Data_Entry!BI60="","",Human_Data_Entry!BI60)</f>
        <v/>
      </c>
      <c r="T62" s="103">
        <f>IF(Human_Data_Entry!BJ60="","",Human_Data_Entry!BJ60)</f>
        <v/>
      </c>
      <c r="U62" s="103">
        <f>IF(Human_Data_Entry!AP60="","",Human_Data_Entry!AP60)</f>
        <v/>
      </c>
      <c r="V62" s="103">
        <f>IF(Human_Data_Entry!AQ60="","",Human_Data_Entry!AQ60)</f>
        <v/>
      </c>
      <c r="W62" s="103">
        <f>IF(Human_Data_Entry!AR60="","",Human_Data_Entry!AR60)</f>
        <v/>
      </c>
      <c r="X62" s="103">
        <f>IF(Human_Data_Entry!BK60="","",Human_Data_Entry!BK60)</f>
        <v/>
      </c>
    </row>
    <row r="63" ht="15" customHeight="1" s="241">
      <c r="A63" s="103">
        <f>IF(Human_Data_Entry!A61="","",Human_Data_Entry!A61)</f>
        <v/>
      </c>
      <c r="B63" s="103">
        <f>IF(Human_Data_Entry!B61="","",Human_Data_Entry!B61)</f>
        <v/>
      </c>
      <c r="C63" s="104">
        <f>IF(Human_Data_Entry!C61="","",Human_Data_Entry!C61)</f>
        <v/>
      </c>
      <c r="D63" s="103">
        <f>IF(Human_Data_Entry!D61="","",Human_Data_Entry!D61)</f>
        <v/>
      </c>
      <c r="E63" s="103">
        <f>IF(Human_Data_Entry!G61="","",Human_Data_Entry!G61)</f>
        <v/>
      </c>
      <c r="F63" s="103">
        <f>IF(Human_Data_Entry!X61="","",Human_Data_Entry!X61)</f>
        <v/>
      </c>
      <c r="G63" s="103">
        <f>IF(Human_Data_Entry!AY61="","",Human_Data_Entry!AY61)</f>
        <v/>
      </c>
      <c r="H63" s="103">
        <f>IF(Human_Data_Entry!AS61="","",Human_Data_Entry!AS61)</f>
        <v/>
      </c>
      <c r="I63" s="103">
        <f>IF(Human_Data_Entry!F61="","",Human_Data_Entry!F61)</f>
        <v/>
      </c>
      <c r="J63" s="103">
        <f>IF(Human_Data_Entry!BA61="","",Human_Data_Entry!BA61)</f>
        <v/>
      </c>
      <c r="K63" s="103">
        <f>IF(Human_Data_Entry!BB61="","",Human_Data_Entry!BB61)</f>
        <v/>
      </c>
      <c r="L63" s="103">
        <f>IF(Human_Data_Entry!BC61="","",Human_Data_Entry!BC61)</f>
        <v/>
      </c>
      <c r="M63" s="104">
        <f>IF(Human_Data_Entry!BD61="","",Human_Data_Entry!BD61)</f>
        <v/>
      </c>
      <c r="N63" s="104">
        <f>IF(Human_Data_Entry!BE61="","",Human_Data_Entry!BE61)</f>
        <v/>
      </c>
      <c r="O63" s="105">
        <f>IF(Human_Data_Entry!BF61="","",Human_Data_Entry!BF61)</f>
        <v/>
      </c>
      <c r="P63" s="103">
        <f>IF(Human_Data_Entry!BG61="","",Human_Data_Entry!BG61)</f>
        <v/>
      </c>
      <c r="Q63" s="103">
        <f>IF(Human_Data_Entry!BL61="","",Human_Data_Entry!BL61)</f>
        <v/>
      </c>
      <c r="R63" s="103">
        <f>IF(Human_Data_Entry!BH61="","",Human_Data_Entry!BH61)</f>
        <v/>
      </c>
      <c r="S63" s="103">
        <f>IF(Human_Data_Entry!BI61="","",Human_Data_Entry!BI61)</f>
        <v/>
      </c>
      <c r="T63" s="103">
        <f>IF(Human_Data_Entry!BJ61="","",Human_Data_Entry!BJ61)</f>
        <v/>
      </c>
      <c r="U63" s="103">
        <f>IF(Human_Data_Entry!AP61="","",Human_Data_Entry!AP61)</f>
        <v/>
      </c>
      <c r="V63" s="103">
        <f>IF(Human_Data_Entry!AQ61="","",Human_Data_Entry!AQ61)</f>
        <v/>
      </c>
      <c r="W63" s="103">
        <f>IF(Human_Data_Entry!AR61="","",Human_Data_Entry!AR61)</f>
        <v/>
      </c>
      <c r="X63" s="103">
        <f>IF(Human_Data_Entry!BK61="","",Human_Data_Entry!BK61)</f>
        <v/>
      </c>
    </row>
    <row r="64" ht="15" customHeight="1" s="241">
      <c r="A64" s="103">
        <f>IF(Human_Data_Entry!A62="","",Human_Data_Entry!A62)</f>
        <v/>
      </c>
      <c r="B64" s="103">
        <f>IF(Human_Data_Entry!B62="","",Human_Data_Entry!B62)</f>
        <v/>
      </c>
      <c r="C64" s="104">
        <f>IF(Human_Data_Entry!C62="","",Human_Data_Entry!C62)</f>
        <v/>
      </c>
      <c r="D64" s="103">
        <f>IF(Human_Data_Entry!D62="","",Human_Data_Entry!D62)</f>
        <v/>
      </c>
      <c r="E64" s="103">
        <f>IF(Human_Data_Entry!G62="","",Human_Data_Entry!G62)</f>
        <v/>
      </c>
      <c r="F64" s="103">
        <f>IF(Human_Data_Entry!X62="","",Human_Data_Entry!X62)</f>
        <v/>
      </c>
      <c r="G64" s="103">
        <f>IF(Human_Data_Entry!AY62="","",Human_Data_Entry!AY62)</f>
        <v/>
      </c>
      <c r="H64" s="103">
        <f>IF(Human_Data_Entry!AS62="","",Human_Data_Entry!AS62)</f>
        <v/>
      </c>
      <c r="I64" s="103">
        <f>IF(Human_Data_Entry!F62="","",Human_Data_Entry!F62)</f>
        <v/>
      </c>
      <c r="J64" s="103">
        <f>IF(Human_Data_Entry!BA62="","",Human_Data_Entry!BA62)</f>
        <v/>
      </c>
      <c r="K64" s="103">
        <f>IF(Human_Data_Entry!BB62="","",Human_Data_Entry!BB62)</f>
        <v/>
      </c>
      <c r="L64" s="103">
        <f>IF(Human_Data_Entry!BC62="","",Human_Data_Entry!BC62)</f>
        <v/>
      </c>
      <c r="M64" s="104">
        <f>IF(Human_Data_Entry!BD62="","",Human_Data_Entry!BD62)</f>
        <v/>
      </c>
      <c r="N64" s="104">
        <f>IF(Human_Data_Entry!BE62="","",Human_Data_Entry!BE62)</f>
        <v/>
      </c>
      <c r="O64" s="105">
        <f>IF(Human_Data_Entry!BF62="","",Human_Data_Entry!BF62)</f>
        <v/>
      </c>
      <c r="P64" s="103">
        <f>IF(Human_Data_Entry!BG62="","",Human_Data_Entry!BG62)</f>
        <v/>
      </c>
      <c r="Q64" s="103">
        <f>IF(Human_Data_Entry!BL62="","",Human_Data_Entry!BL62)</f>
        <v/>
      </c>
      <c r="R64" s="103">
        <f>IF(Human_Data_Entry!BH62="","",Human_Data_Entry!BH62)</f>
        <v/>
      </c>
      <c r="S64" s="103">
        <f>IF(Human_Data_Entry!BI62="","",Human_Data_Entry!BI62)</f>
        <v/>
      </c>
      <c r="T64" s="103">
        <f>IF(Human_Data_Entry!BJ62="","",Human_Data_Entry!BJ62)</f>
        <v/>
      </c>
      <c r="U64" s="103">
        <f>IF(Human_Data_Entry!AP62="","",Human_Data_Entry!AP62)</f>
        <v/>
      </c>
      <c r="V64" s="103">
        <f>IF(Human_Data_Entry!AQ62="","",Human_Data_Entry!AQ62)</f>
        <v/>
      </c>
      <c r="W64" s="103">
        <f>IF(Human_Data_Entry!AR62="","",Human_Data_Entry!AR62)</f>
        <v/>
      </c>
      <c r="X64" s="103">
        <f>IF(Human_Data_Entry!BK62="","",Human_Data_Entry!BK62)</f>
        <v/>
      </c>
    </row>
    <row r="65" ht="15" customHeight="1" s="241">
      <c r="A65" s="103">
        <f>IF(Human_Data_Entry!A63="","",Human_Data_Entry!A63)</f>
        <v/>
      </c>
      <c r="B65" s="103">
        <f>IF(Human_Data_Entry!B63="","",Human_Data_Entry!B63)</f>
        <v/>
      </c>
      <c r="C65" s="104">
        <f>IF(Human_Data_Entry!C63="","",Human_Data_Entry!C63)</f>
        <v/>
      </c>
      <c r="D65" s="103">
        <f>IF(Human_Data_Entry!D63="","",Human_Data_Entry!D63)</f>
        <v/>
      </c>
      <c r="E65" s="103">
        <f>IF(Human_Data_Entry!G63="","",Human_Data_Entry!G63)</f>
        <v/>
      </c>
      <c r="F65" s="103">
        <f>IF(Human_Data_Entry!X63="","",Human_Data_Entry!X63)</f>
        <v/>
      </c>
      <c r="G65" s="103">
        <f>IF(Human_Data_Entry!AY63="","",Human_Data_Entry!AY63)</f>
        <v/>
      </c>
      <c r="H65" s="103">
        <f>IF(Human_Data_Entry!AS63="","",Human_Data_Entry!AS63)</f>
        <v/>
      </c>
      <c r="I65" s="103">
        <f>IF(Human_Data_Entry!F63="","",Human_Data_Entry!F63)</f>
        <v/>
      </c>
      <c r="J65" s="103">
        <f>IF(Human_Data_Entry!BA63="","",Human_Data_Entry!BA63)</f>
        <v/>
      </c>
      <c r="K65" s="103">
        <f>IF(Human_Data_Entry!BB63="","",Human_Data_Entry!BB63)</f>
        <v/>
      </c>
      <c r="L65" s="103">
        <f>IF(Human_Data_Entry!BC63="","",Human_Data_Entry!BC63)</f>
        <v/>
      </c>
      <c r="M65" s="104">
        <f>IF(Human_Data_Entry!BD63="","",Human_Data_Entry!BD63)</f>
        <v/>
      </c>
      <c r="N65" s="104">
        <f>IF(Human_Data_Entry!BE63="","",Human_Data_Entry!BE63)</f>
        <v/>
      </c>
      <c r="O65" s="105">
        <f>IF(Human_Data_Entry!BF63="","",Human_Data_Entry!BF63)</f>
        <v/>
      </c>
      <c r="P65" s="103">
        <f>IF(Human_Data_Entry!BG63="","",Human_Data_Entry!BG63)</f>
        <v/>
      </c>
      <c r="Q65" s="103">
        <f>IF(Human_Data_Entry!BL63="","",Human_Data_Entry!BL63)</f>
        <v/>
      </c>
      <c r="R65" s="103">
        <f>IF(Human_Data_Entry!BH63="","",Human_Data_Entry!BH63)</f>
        <v/>
      </c>
      <c r="S65" s="103">
        <f>IF(Human_Data_Entry!BI63="","",Human_Data_Entry!BI63)</f>
        <v/>
      </c>
      <c r="T65" s="103">
        <f>IF(Human_Data_Entry!BJ63="","",Human_Data_Entry!BJ63)</f>
        <v/>
      </c>
      <c r="U65" s="103">
        <f>IF(Human_Data_Entry!AP63="","",Human_Data_Entry!AP63)</f>
        <v/>
      </c>
      <c r="V65" s="103">
        <f>IF(Human_Data_Entry!AQ63="","",Human_Data_Entry!AQ63)</f>
        <v/>
      </c>
      <c r="W65" s="103">
        <f>IF(Human_Data_Entry!AR63="","",Human_Data_Entry!AR63)</f>
        <v/>
      </c>
      <c r="X65" s="103">
        <f>IF(Human_Data_Entry!BK63="","",Human_Data_Entry!BK63)</f>
        <v/>
      </c>
    </row>
    <row r="66" ht="15" customHeight="1" s="241">
      <c r="A66" s="103">
        <f>IF(Human_Data_Entry!A64="","",Human_Data_Entry!A64)</f>
        <v/>
      </c>
      <c r="B66" s="103">
        <f>IF(Human_Data_Entry!B64="","",Human_Data_Entry!B64)</f>
        <v/>
      </c>
      <c r="C66" s="104">
        <f>IF(Human_Data_Entry!C64="","",Human_Data_Entry!C64)</f>
        <v/>
      </c>
      <c r="D66" s="103">
        <f>IF(Human_Data_Entry!D64="","",Human_Data_Entry!D64)</f>
        <v/>
      </c>
      <c r="E66" s="103">
        <f>IF(Human_Data_Entry!G64="","",Human_Data_Entry!G64)</f>
        <v/>
      </c>
      <c r="F66" s="103">
        <f>IF(Human_Data_Entry!X64="","",Human_Data_Entry!X64)</f>
        <v/>
      </c>
      <c r="G66" s="103">
        <f>IF(Human_Data_Entry!AY64="","",Human_Data_Entry!AY64)</f>
        <v/>
      </c>
      <c r="H66" s="103">
        <f>IF(Human_Data_Entry!AS64="","",Human_Data_Entry!AS64)</f>
        <v/>
      </c>
      <c r="I66" s="103">
        <f>IF(Human_Data_Entry!F64="","",Human_Data_Entry!F64)</f>
        <v/>
      </c>
      <c r="J66" s="103">
        <f>IF(Human_Data_Entry!BA64="","",Human_Data_Entry!BA64)</f>
        <v/>
      </c>
      <c r="K66" s="103">
        <f>IF(Human_Data_Entry!BB64="","",Human_Data_Entry!BB64)</f>
        <v/>
      </c>
      <c r="L66" s="103">
        <f>IF(Human_Data_Entry!BC64="","",Human_Data_Entry!BC64)</f>
        <v/>
      </c>
      <c r="M66" s="104">
        <f>IF(Human_Data_Entry!BD64="","",Human_Data_Entry!BD64)</f>
        <v/>
      </c>
      <c r="N66" s="104">
        <f>IF(Human_Data_Entry!BE64="","",Human_Data_Entry!BE64)</f>
        <v/>
      </c>
      <c r="O66" s="105">
        <f>IF(Human_Data_Entry!BF64="","",Human_Data_Entry!BF64)</f>
        <v/>
      </c>
      <c r="P66" s="103">
        <f>IF(Human_Data_Entry!BG64="","",Human_Data_Entry!BG64)</f>
        <v/>
      </c>
      <c r="Q66" s="103">
        <f>IF(Human_Data_Entry!BL64="","",Human_Data_Entry!BL64)</f>
        <v/>
      </c>
      <c r="R66" s="103">
        <f>IF(Human_Data_Entry!BH64="","",Human_Data_Entry!BH64)</f>
        <v/>
      </c>
      <c r="S66" s="103">
        <f>IF(Human_Data_Entry!BI64="","",Human_Data_Entry!BI64)</f>
        <v/>
      </c>
      <c r="T66" s="103">
        <f>IF(Human_Data_Entry!BJ64="","",Human_Data_Entry!BJ64)</f>
        <v/>
      </c>
      <c r="U66" s="103">
        <f>IF(Human_Data_Entry!AP64="","",Human_Data_Entry!AP64)</f>
        <v/>
      </c>
      <c r="V66" s="103">
        <f>IF(Human_Data_Entry!AQ64="","",Human_Data_Entry!AQ64)</f>
        <v/>
      </c>
      <c r="W66" s="103">
        <f>IF(Human_Data_Entry!AR64="","",Human_Data_Entry!AR64)</f>
        <v/>
      </c>
      <c r="X66" s="103">
        <f>IF(Human_Data_Entry!BK64="","",Human_Data_Entry!BK64)</f>
        <v/>
      </c>
    </row>
    <row r="67" ht="15" customHeight="1" s="241">
      <c r="A67" s="103">
        <f>IF(Human_Data_Entry!A65="","",Human_Data_Entry!A65)</f>
        <v/>
      </c>
      <c r="B67" s="103">
        <f>IF(Human_Data_Entry!B65="","",Human_Data_Entry!B65)</f>
        <v/>
      </c>
      <c r="C67" s="104">
        <f>IF(Human_Data_Entry!C65="","",Human_Data_Entry!C65)</f>
        <v/>
      </c>
      <c r="D67" s="103">
        <f>IF(Human_Data_Entry!D65="","",Human_Data_Entry!D65)</f>
        <v/>
      </c>
      <c r="E67" s="103">
        <f>IF(Human_Data_Entry!G65="","",Human_Data_Entry!G65)</f>
        <v/>
      </c>
      <c r="F67" s="103">
        <f>IF(Human_Data_Entry!X65="","",Human_Data_Entry!X65)</f>
        <v/>
      </c>
      <c r="G67" s="103">
        <f>IF(Human_Data_Entry!AY65="","",Human_Data_Entry!AY65)</f>
        <v/>
      </c>
      <c r="H67" s="103">
        <f>IF(Human_Data_Entry!AS65="","",Human_Data_Entry!AS65)</f>
        <v/>
      </c>
      <c r="I67" s="103">
        <f>IF(Human_Data_Entry!F65="","",Human_Data_Entry!F65)</f>
        <v/>
      </c>
      <c r="J67" s="103">
        <f>IF(Human_Data_Entry!BA65="","",Human_Data_Entry!BA65)</f>
        <v/>
      </c>
      <c r="K67" s="103">
        <f>IF(Human_Data_Entry!BB65="","",Human_Data_Entry!BB65)</f>
        <v/>
      </c>
      <c r="L67" s="103">
        <f>IF(Human_Data_Entry!BC65="","",Human_Data_Entry!BC65)</f>
        <v/>
      </c>
      <c r="M67" s="104">
        <f>IF(Human_Data_Entry!BD65="","",Human_Data_Entry!BD65)</f>
        <v/>
      </c>
      <c r="N67" s="104">
        <f>IF(Human_Data_Entry!BE65="","",Human_Data_Entry!BE65)</f>
        <v/>
      </c>
      <c r="O67" s="105">
        <f>IF(Human_Data_Entry!BF65="","",Human_Data_Entry!BF65)</f>
        <v/>
      </c>
      <c r="P67" s="103">
        <f>IF(Human_Data_Entry!BG65="","",Human_Data_Entry!BG65)</f>
        <v/>
      </c>
      <c r="Q67" s="103">
        <f>IF(Human_Data_Entry!BL65="","",Human_Data_Entry!BL65)</f>
        <v/>
      </c>
      <c r="R67" s="103">
        <f>IF(Human_Data_Entry!BH65="","",Human_Data_Entry!BH65)</f>
        <v/>
      </c>
      <c r="S67" s="103">
        <f>IF(Human_Data_Entry!BI65="","",Human_Data_Entry!BI65)</f>
        <v/>
      </c>
      <c r="T67" s="103">
        <f>IF(Human_Data_Entry!BJ65="","",Human_Data_Entry!BJ65)</f>
        <v/>
      </c>
      <c r="U67" s="103">
        <f>IF(Human_Data_Entry!AP65="","",Human_Data_Entry!AP65)</f>
        <v/>
      </c>
      <c r="V67" s="103">
        <f>IF(Human_Data_Entry!AQ65="","",Human_Data_Entry!AQ65)</f>
        <v/>
      </c>
      <c r="W67" s="103">
        <f>IF(Human_Data_Entry!AR65="","",Human_Data_Entry!AR65)</f>
        <v/>
      </c>
      <c r="X67" s="103">
        <f>IF(Human_Data_Entry!BK65="","",Human_Data_Entry!BK65)</f>
        <v/>
      </c>
    </row>
    <row r="68" ht="15" customHeight="1" s="241">
      <c r="A68" s="103">
        <f>IF(Human_Data_Entry!A66="","",Human_Data_Entry!A66)</f>
        <v/>
      </c>
      <c r="B68" s="103">
        <f>IF(Human_Data_Entry!B66="","",Human_Data_Entry!B66)</f>
        <v/>
      </c>
      <c r="C68" s="104">
        <f>IF(Human_Data_Entry!C66="","",Human_Data_Entry!C66)</f>
        <v/>
      </c>
      <c r="D68" s="103">
        <f>IF(Human_Data_Entry!D66="","",Human_Data_Entry!D66)</f>
        <v/>
      </c>
      <c r="E68" s="103">
        <f>IF(Human_Data_Entry!G66="","",Human_Data_Entry!G66)</f>
        <v/>
      </c>
      <c r="F68" s="103">
        <f>IF(Human_Data_Entry!X66="","",Human_Data_Entry!X66)</f>
        <v/>
      </c>
      <c r="G68" s="103">
        <f>IF(Human_Data_Entry!AY66="","",Human_Data_Entry!AY66)</f>
        <v/>
      </c>
      <c r="H68" s="103">
        <f>IF(Human_Data_Entry!AS66="","",Human_Data_Entry!AS66)</f>
        <v/>
      </c>
      <c r="I68" s="103">
        <f>IF(Human_Data_Entry!F66="","",Human_Data_Entry!F66)</f>
        <v/>
      </c>
      <c r="J68" s="103">
        <f>IF(Human_Data_Entry!BA66="","",Human_Data_Entry!BA66)</f>
        <v/>
      </c>
      <c r="K68" s="103">
        <f>IF(Human_Data_Entry!BB66="","",Human_Data_Entry!BB66)</f>
        <v/>
      </c>
      <c r="L68" s="103">
        <f>IF(Human_Data_Entry!BC66="","",Human_Data_Entry!BC66)</f>
        <v/>
      </c>
      <c r="M68" s="104">
        <f>IF(Human_Data_Entry!BD66="","",Human_Data_Entry!BD66)</f>
        <v/>
      </c>
      <c r="N68" s="104">
        <f>IF(Human_Data_Entry!BE66="","",Human_Data_Entry!BE66)</f>
        <v/>
      </c>
      <c r="O68" s="105">
        <f>IF(Human_Data_Entry!BF66="","",Human_Data_Entry!BF66)</f>
        <v/>
      </c>
      <c r="P68" s="103">
        <f>IF(Human_Data_Entry!BG66="","",Human_Data_Entry!BG66)</f>
        <v/>
      </c>
      <c r="Q68" s="103">
        <f>IF(Human_Data_Entry!BL66="","",Human_Data_Entry!BL66)</f>
        <v/>
      </c>
      <c r="R68" s="103">
        <f>IF(Human_Data_Entry!BH66="","",Human_Data_Entry!BH66)</f>
        <v/>
      </c>
      <c r="S68" s="103">
        <f>IF(Human_Data_Entry!BI66="","",Human_Data_Entry!BI66)</f>
        <v/>
      </c>
      <c r="T68" s="103">
        <f>IF(Human_Data_Entry!BJ66="","",Human_Data_Entry!BJ66)</f>
        <v/>
      </c>
      <c r="U68" s="103">
        <f>IF(Human_Data_Entry!AP66="","",Human_Data_Entry!AP66)</f>
        <v/>
      </c>
      <c r="V68" s="103">
        <f>IF(Human_Data_Entry!AQ66="","",Human_Data_Entry!AQ66)</f>
        <v/>
      </c>
      <c r="W68" s="103">
        <f>IF(Human_Data_Entry!AR66="","",Human_Data_Entry!AR66)</f>
        <v/>
      </c>
      <c r="X68" s="103">
        <f>IF(Human_Data_Entry!BK66="","",Human_Data_Entry!BK66)</f>
        <v/>
      </c>
    </row>
    <row r="69" ht="15" customHeight="1" s="241">
      <c r="A69" s="103">
        <f>IF(Human_Data_Entry!A67="","",Human_Data_Entry!A67)</f>
        <v/>
      </c>
      <c r="B69" s="103">
        <f>IF(Human_Data_Entry!B67="","",Human_Data_Entry!B67)</f>
        <v/>
      </c>
      <c r="C69" s="104">
        <f>IF(Human_Data_Entry!C67="","",Human_Data_Entry!C67)</f>
        <v/>
      </c>
      <c r="D69" s="103">
        <f>IF(Human_Data_Entry!D67="","",Human_Data_Entry!D67)</f>
        <v/>
      </c>
      <c r="E69" s="103">
        <f>IF(Human_Data_Entry!G67="","",Human_Data_Entry!G67)</f>
        <v/>
      </c>
      <c r="F69" s="103">
        <f>IF(Human_Data_Entry!X67="","",Human_Data_Entry!X67)</f>
        <v/>
      </c>
      <c r="G69" s="103">
        <f>IF(Human_Data_Entry!AY67="","",Human_Data_Entry!AY67)</f>
        <v/>
      </c>
      <c r="H69" s="103">
        <f>IF(Human_Data_Entry!AS67="","",Human_Data_Entry!AS67)</f>
        <v/>
      </c>
      <c r="I69" s="103">
        <f>IF(Human_Data_Entry!F67="","",Human_Data_Entry!F67)</f>
        <v/>
      </c>
      <c r="J69" s="103">
        <f>IF(Human_Data_Entry!BA67="","",Human_Data_Entry!BA67)</f>
        <v/>
      </c>
      <c r="K69" s="103">
        <f>IF(Human_Data_Entry!BB67="","",Human_Data_Entry!BB67)</f>
        <v/>
      </c>
      <c r="L69" s="103">
        <f>IF(Human_Data_Entry!BC67="","",Human_Data_Entry!BC67)</f>
        <v/>
      </c>
      <c r="M69" s="104">
        <f>IF(Human_Data_Entry!BD67="","",Human_Data_Entry!BD67)</f>
        <v/>
      </c>
      <c r="N69" s="104">
        <f>IF(Human_Data_Entry!BE67="","",Human_Data_Entry!BE67)</f>
        <v/>
      </c>
      <c r="O69" s="105">
        <f>IF(Human_Data_Entry!BF67="","",Human_Data_Entry!BF67)</f>
        <v/>
      </c>
      <c r="P69" s="103">
        <f>IF(Human_Data_Entry!BG67="","",Human_Data_Entry!BG67)</f>
        <v/>
      </c>
      <c r="Q69" s="103">
        <f>IF(Human_Data_Entry!BL67="","",Human_Data_Entry!BL67)</f>
        <v/>
      </c>
      <c r="R69" s="103">
        <f>IF(Human_Data_Entry!BH67="","",Human_Data_Entry!BH67)</f>
        <v/>
      </c>
      <c r="S69" s="103">
        <f>IF(Human_Data_Entry!BI67="","",Human_Data_Entry!BI67)</f>
        <v/>
      </c>
      <c r="T69" s="103">
        <f>IF(Human_Data_Entry!BJ67="","",Human_Data_Entry!BJ67)</f>
        <v/>
      </c>
      <c r="U69" s="103">
        <f>IF(Human_Data_Entry!AP67="","",Human_Data_Entry!AP67)</f>
        <v/>
      </c>
      <c r="V69" s="103">
        <f>IF(Human_Data_Entry!AQ67="","",Human_Data_Entry!AQ67)</f>
        <v/>
      </c>
      <c r="W69" s="103">
        <f>IF(Human_Data_Entry!AR67="","",Human_Data_Entry!AR67)</f>
        <v/>
      </c>
      <c r="X69" s="103">
        <f>IF(Human_Data_Entry!BK67="","",Human_Data_Entry!BK67)</f>
        <v/>
      </c>
    </row>
    <row r="70" ht="15" customHeight="1" s="241">
      <c r="A70" s="103">
        <f>IF(Human_Data_Entry!A68="","",Human_Data_Entry!A68)</f>
        <v/>
      </c>
      <c r="B70" s="103">
        <f>IF(Human_Data_Entry!B68="","",Human_Data_Entry!B68)</f>
        <v/>
      </c>
      <c r="C70" s="104">
        <f>IF(Human_Data_Entry!C68="","",Human_Data_Entry!C68)</f>
        <v/>
      </c>
      <c r="D70" s="103">
        <f>IF(Human_Data_Entry!D68="","",Human_Data_Entry!D68)</f>
        <v/>
      </c>
      <c r="E70" s="103">
        <f>IF(Human_Data_Entry!G68="","",Human_Data_Entry!G68)</f>
        <v/>
      </c>
      <c r="F70" s="103">
        <f>IF(Human_Data_Entry!X68="","",Human_Data_Entry!X68)</f>
        <v/>
      </c>
      <c r="G70" s="103">
        <f>IF(Human_Data_Entry!AY68="","",Human_Data_Entry!AY68)</f>
        <v/>
      </c>
      <c r="H70" s="103">
        <f>IF(Human_Data_Entry!AS68="","",Human_Data_Entry!AS68)</f>
        <v/>
      </c>
      <c r="I70" s="103">
        <f>IF(Human_Data_Entry!F68="","",Human_Data_Entry!F68)</f>
        <v/>
      </c>
      <c r="J70" s="103">
        <f>IF(Human_Data_Entry!BA68="","",Human_Data_Entry!BA68)</f>
        <v/>
      </c>
      <c r="K70" s="103">
        <f>IF(Human_Data_Entry!BB68="","",Human_Data_Entry!BB68)</f>
        <v/>
      </c>
      <c r="L70" s="103">
        <f>IF(Human_Data_Entry!BC68="","",Human_Data_Entry!BC68)</f>
        <v/>
      </c>
      <c r="M70" s="104">
        <f>IF(Human_Data_Entry!BD68="","",Human_Data_Entry!BD68)</f>
        <v/>
      </c>
      <c r="N70" s="104">
        <f>IF(Human_Data_Entry!BE68="","",Human_Data_Entry!BE68)</f>
        <v/>
      </c>
      <c r="O70" s="105">
        <f>IF(Human_Data_Entry!BF68="","",Human_Data_Entry!BF68)</f>
        <v/>
      </c>
      <c r="P70" s="103">
        <f>IF(Human_Data_Entry!BG68="","",Human_Data_Entry!BG68)</f>
        <v/>
      </c>
      <c r="Q70" s="103">
        <f>IF(Human_Data_Entry!BL68="","",Human_Data_Entry!BL68)</f>
        <v/>
      </c>
      <c r="R70" s="103">
        <f>IF(Human_Data_Entry!BH68="","",Human_Data_Entry!BH68)</f>
        <v/>
      </c>
      <c r="S70" s="103">
        <f>IF(Human_Data_Entry!BI68="","",Human_Data_Entry!BI68)</f>
        <v/>
      </c>
      <c r="T70" s="103">
        <f>IF(Human_Data_Entry!BJ68="","",Human_Data_Entry!BJ68)</f>
        <v/>
      </c>
      <c r="U70" s="103">
        <f>IF(Human_Data_Entry!AP68="","",Human_Data_Entry!AP68)</f>
        <v/>
      </c>
      <c r="V70" s="103">
        <f>IF(Human_Data_Entry!AQ68="","",Human_Data_Entry!AQ68)</f>
        <v/>
      </c>
      <c r="W70" s="103">
        <f>IF(Human_Data_Entry!AR68="","",Human_Data_Entry!AR68)</f>
        <v/>
      </c>
      <c r="X70" s="103">
        <f>IF(Human_Data_Entry!BK68="","",Human_Data_Entry!BK68)</f>
        <v/>
      </c>
    </row>
    <row r="71" ht="15" customHeight="1" s="241">
      <c r="A71" s="103">
        <f>IF(Human_Data_Entry!A69="","",Human_Data_Entry!A69)</f>
        <v/>
      </c>
      <c r="B71" s="103">
        <f>IF(Human_Data_Entry!B69="","",Human_Data_Entry!B69)</f>
        <v/>
      </c>
      <c r="C71" s="104">
        <f>IF(Human_Data_Entry!C69="","",Human_Data_Entry!C69)</f>
        <v/>
      </c>
      <c r="D71" s="103">
        <f>IF(Human_Data_Entry!D69="","",Human_Data_Entry!D69)</f>
        <v/>
      </c>
      <c r="E71" s="103">
        <f>IF(Human_Data_Entry!G69="","",Human_Data_Entry!G69)</f>
        <v/>
      </c>
      <c r="F71" s="103">
        <f>IF(Human_Data_Entry!X69="","",Human_Data_Entry!X69)</f>
        <v/>
      </c>
      <c r="G71" s="103">
        <f>IF(Human_Data_Entry!AY69="","",Human_Data_Entry!AY69)</f>
        <v/>
      </c>
      <c r="H71" s="103">
        <f>IF(Human_Data_Entry!AS69="","",Human_Data_Entry!AS69)</f>
        <v/>
      </c>
      <c r="I71" s="103">
        <f>IF(Human_Data_Entry!F69="","",Human_Data_Entry!F69)</f>
        <v/>
      </c>
      <c r="J71" s="103">
        <f>IF(Human_Data_Entry!BA69="","",Human_Data_Entry!BA69)</f>
        <v/>
      </c>
      <c r="K71" s="103">
        <f>IF(Human_Data_Entry!BB69="","",Human_Data_Entry!BB69)</f>
        <v/>
      </c>
      <c r="L71" s="103">
        <f>IF(Human_Data_Entry!BC69="","",Human_Data_Entry!BC69)</f>
        <v/>
      </c>
      <c r="M71" s="104">
        <f>IF(Human_Data_Entry!BD69="","",Human_Data_Entry!BD69)</f>
        <v/>
      </c>
      <c r="N71" s="104">
        <f>IF(Human_Data_Entry!BE69="","",Human_Data_Entry!BE69)</f>
        <v/>
      </c>
      <c r="O71" s="105">
        <f>IF(Human_Data_Entry!BF69="","",Human_Data_Entry!BF69)</f>
        <v/>
      </c>
      <c r="P71" s="103">
        <f>IF(Human_Data_Entry!BG69="","",Human_Data_Entry!BG69)</f>
        <v/>
      </c>
      <c r="Q71" s="103">
        <f>IF(Human_Data_Entry!BL69="","",Human_Data_Entry!BL69)</f>
        <v/>
      </c>
      <c r="R71" s="103">
        <f>IF(Human_Data_Entry!BH69="","",Human_Data_Entry!BH69)</f>
        <v/>
      </c>
      <c r="S71" s="103">
        <f>IF(Human_Data_Entry!BI69="","",Human_Data_Entry!BI69)</f>
        <v/>
      </c>
      <c r="T71" s="103">
        <f>IF(Human_Data_Entry!BJ69="","",Human_Data_Entry!BJ69)</f>
        <v/>
      </c>
      <c r="U71" s="103">
        <f>IF(Human_Data_Entry!AP69="","",Human_Data_Entry!AP69)</f>
        <v/>
      </c>
      <c r="V71" s="103">
        <f>IF(Human_Data_Entry!AQ69="","",Human_Data_Entry!AQ69)</f>
        <v/>
      </c>
      <c r="W71" s="103">
        <f>IF(Human_Data_Entry!AR69="","",Human_Data_Entry!AR69)</f>
        <v/>
      </c>
      <c r="X71" s="103">
        <f>IF(Human_Data_Entry!BK69="","",Human_Data_Entry!BK69)</f>
        <v/>
      </c>
    </row>
    <row r="72" ht="15" customHeight="1" s="241">
      <c r="A72" s="103">
        <f>IF(Human_Data_Entry!A70="","",Human_Data_Entry!A70)</f>
        <v/>
      </c>
      <c r="B72" s="103">
        <f>IF(Human_Data_Entry!B70="","",Human_Data_Entry!B70)</f>
        <v/>
      </c>
      <c r="C72" s="104">
        <f>IF(Human_Data_Entry!C70="","",Human_Data_Entry!C70)</f>
        <v/>
      </c>
      <c r="D72" s="103">
        <f>IF(Human_Data_Entry!D70="","",Human_Data_Entry!D70)</f>
        <v/>
      </c>
      <c r="E72" s="103">
        <f>IF(Human_Data_Entry!G70="","",Human_Data_Entry!G70)</f>
        <v/>
      </c>
      <c r="F72" s="103">
        <f>IF(Human_Data_Entry!X70="","",Human_Data_Entry!X70)</f>
        <v/>
      </c>
      <c r="G72" s="103">
        <f>IF(Human_Data_Entry!AY70="","",Human_Data_Entry!AY70)</f>
        <v/>
      </c>
      <c r="H72" s="103">
        <f>IF(Human_Data_Entry!AS70="","",Human_Data_Entry!AS70)</f>
        <v/>
      </c>
      <c r="I72" s="103">
        <f>IF(Human_Data_Entry!F70="","",Human_Data_Entry!F70)</f>
        <v/>
      </c>
      <c r="J72" s="103">
        <f>IF(Human_Data_Entry!BA70="","",Human_Data_Entry!BA70)</f>
        <v/>
      </c>
      <c r="K72" s="103">
        <f>IF(Human_Data_Entry!BB70="","",Human_Data_Entry!BB70)</f>
        <v/>
      </c>
      <c r="L72" s="103">
        <f>IF(Human_Data_Entry!BC70="","",Human_Data_Entry!BC70)</f>
        <v/>
      </c>
      <c r="M72" s="104">
        <f>IF(Human_Data_Entry!BD70="","",Human_Data_Entry!BD70)</f>
        <v/>
      </c>
      <c r="N72" s="104">
        <f>IF(Human_Data_Entry!BE70="","",Human_Data_Entry!BE70)</f>
        <v/>
      </c>
      <c r="O72" s="105">
        <f>IF(Human_Data_Entry!BF70="","",Human_Data_Entry!BF70)</f>
        <v/>
      </c>
      <c r="P72" s="103">
        <f>IF(Human_Data_Entry!BG70="","",Human_Data_Entry!BG70)</f>
        <v/>
      </c>
      <c r="Q72" s="103">
        <f>IF(Human_Data_Entry!BL70="","",Human_Data_Entry!BL70)</f>
        <v/>
      </c>
      <c r="R72" s="103">
        <f>IF(Human_Data_Entry!BH70="","",Human_Data_Entry!BH70)</f>
        <v/>
      </c>
      <c r="S72" s="103">
        <f>IF(Human_Data_Entry!BI70="","",Human_Data_Entry!BI70)</f>
        <v/>
      </c>
      <c r="T72" s="103">
        <f>IF(Human_Data_Entry!BJ70="","",Human_Data_Entry!BJ70)</f>
        <v/>
      </c>
      <c r="U72" s="103">
        <f>IF(Human_Data_Entry!AP70="","",Human_Data_Entry!AP70)</f>
        <v/>
      </c>
      <c r="V72" s="103">
        <f>IF(Human_Data_Entry!AQ70="","",Human_Data_Entry!AQ70)</f>
        <v/>
      </c>
      <c r="W72" s="103">
        <f>IF(Human_Data_Entry!AR70="","",Human_Data_Entry!AR70)</f>
        <v/>
      </c>
      <c r="X72" s="103">
        <f>IF(Human_Data_Entry!BK70="","",Human_Data_Entry!BK70)</f>
        <v/>
      </c>
    </row>
    <row r="73" ht="15" customHeight="1" s="241">
      <c r="A73" s="103">
        <f>IF(Human_Data_Entry!A71="","",Human_Data_Entry!A71)</f>
        <v/>
      </c>
      <c r="B73" s="103">
        <f>IF(Human_Data_Entry!B71="","",Human_Data_Entry!B71)</f>
        <v/>
      </c>
      <c r="C73" s="104">
        <f>IF(Human_Data_Entry!C71="","",Human_Data_Entry!C71)</f>
        <v/>
      </c>
      <c r="D73" s="103">
        <f>IF(Human_Data_Entry!D71="","",Human_Data_Entry!D71)</f>
        <v/>
      </c>
      <c r="E73" s="103">
        <f>IF(Human_Data_Entry!G71="","",Human_Data_Entry!G71)</f>
        <v/>
      </c>
      <c r="F73" s="103">
        <f>IF(Human_Data_Entry!X71="","",Human_Data_Entry!X71)</f>
        <v/>
      </c>
      <c r="G73" s="103">
        <f>IF(Human_Data_Entry!AY71="","",Human_Data_Entry!AY71)</f>
        <v/>
      </c>
      <c r="H73" s="103">
        <f>IF(Human_Data_Entry!AS71="","",Human_Data_Entry!AS71)</f>
        <v/>
      </c>
      <c r="I73" s="103">
        <f>IF(Human_Data_Entry!F71="","",Human_Data_Entry!F71)</f>
        <v/>
      </c>
      <c r="J73" s="103">
        <f>IF(Human_Data_Entry!BA71="","",Human_Data_Entry!BA71)</f>
        <v/>
      </c>
      <c r="K73" s="103">
        <f>IF(Human_Data_Entry!BB71="","",Human_Data_Entry!BB71)</f>
        <v/>
      </c>
      <c r="L73" s="103">
        <f>IF(Human_Data_Entry!BC71="","",Human_Data_Entry!BC71)</f>
        <v/>
      </c>
      <c r="M73" s="104">
        <f>IF(Human_Data_Entry!BD71="","",Human_Data_Entry!BD71)</f>
        <v/>
      </c>
      <c r="N73" s="104">
        <f>IF(Human_Data_Entry!BE71="","",Human_Data_Entry!BE71)</f>
        <v/>
      </c>
      <c r="O73" s="105">
        <f>IF(Human_Data_Entry!BF71="","",Human_Data_Entry!BF71)</f>
        <v/>
      </c>
      <c r="P73" s="103">
        <f>IF(Human_Data_Entry!BG71="","",Human_Data_Entry!BG71)</f>
        <v/>
      </c>
      <c r="Q73" s="103">
        <f>IF(Human_Data_Entry!BL71="","",Human_Data_Entry!BL71)</f>
        <v/>
      </c>
      <c r="R73" s="103">
        <f>IF(Human_Data_Entry!BH71="","",Human_Data_Entry!BH71)</f>
        <v/>
      </c>
      <c r="S73" s="103">
        <f>IF(Human_Data_Entry!BI71="","",Human_Data_Entry!BI71)</f>
        <v/>
      </c>
      <c r="T73" s="103">
        <f>IF(Human_Data_Entry!BJ71="","",Human_Data_Entry!BJ71)</f>
        <v/>
      </c>
      <c r="U73" s="103">
        <f>IF(Human_Data_Entry!AP71="","",Human_Data_Entry!AP71)</f>
        <v/>
      </c>
      <c r="V73" s="103">
        <f>IF(Human_Data_Entry!AQ71="","",Human_Data_Entry!AQ71)</f>
        <v/>
      </c>
      <c r="W73" s="103">
        <f>IF(Human_Data_Entry!AR71="","",Human_Data_Entry!AR71)</f>
        <v/>
      </c>
      <c r="X73" s="103">
        <f>IF(Human_Data_Entry!BK71="","",Human_Data_Entry!BK71)</f>
        <v/>
      </c>
    </row>
    <row r="74" ht="15" customHeight="1" s="241">
      <c r="A74" s="103">
        <f>IF(Human_Data_Entry!A72="","",Human_Data_Entry!A72)</f>
        <v/>
      </c>
      <c r="B74" s="103">
        <f>IF(Human_Data_Entry!B72="","",Human_Data_Entry!B72)</f>
        <v/>
      </c>
      <c r="C74" s="104">
        <f>IF(Human_Data_Entry!C72="","",Human_Data_Entry!C72)</f>
        <v/>
      </c>
      <c r="D74" s="103">
        <f>IF(Human_Data_Entry!D72="","",Human_Data_Entry!D72)</f>
        <v/>
      </c>
      <c r="E74" s="103">
        <f>IF(Human_Data_Entry!G72="","",Human_Data_Entry!G72)</f>
        <v/>
      </c>
      <c r="F74" s="103">
        <f>IF(Human_Data_Entry!X72="","",Human_Data_Entry!X72)</f>
        <v/>
      </c>
      <c r="G74" s="103">
        <f>IF(Human_Data_Entry!AY72="","",Human_Data_Entry!AY72)</f>
        <v/>
      </c>
      <c r="H74" s="103">
        <f>IF(Human_Data_Entry!AS72="","",Human_Data_Entry!AS72)</f>
        <v/>
      </c>
      <c r="I74" s="103">
        <f>IF(Human_Data_Entry!F72="","",Human_Data_Entry!F72)</f>
        <v/>
      </c>
      <c r="J74" s="103">
        <f>IF(Human_Data_Entry!BA72="","",Human_Data_Entry!BA72)</f>
        <v/>
      </c>
      <c r="K74" s="103">
        <f>IF(Human_Data_Entry!BB72="","",Human_Data_Entry!BB72)</f>
        <v/>
      </c>
      <c r="L74" s="103">
        <f>IF(Human_Data_Entry!BC72="","",Human_Data_Entry!BC72)</f>
        <v/>
      </c>
      <c r="M74" s="104">
        <f>IF(Human_Data_Entry!BD72="","",Human_Data_Entry!BD72)</f>
        <v/>
      </c>
      <c r="N74" s="104">
        <f>IF(Human_Data_Entry!BE72="","",Human_Data_Entry!BE72)</f>
        <v/>
      </c>
      <c r="O74" s="105">
        <f>IF(Human_Data_Entry!BF72="","",Human_Data_Entry!BF72)</f>
        <v/>
      </c>
      <c r="P74" s="103">
        <f>IF(Human_Data_Entry!BG72="","",Human_Data_Entry!BG72)</f>
        <v/>
      </c>
      <c r="Q74" s="103">
        <f>IF(Human_Data_Entry!BL72="","",Human_Data_Entry!BL72)</f>
        <v/>
      </c>
      <c r="R74" s="103">
        <f>IF(Human_Data_Entry!BH72="","",Human_Data_Entry!BH72)</f>
        <v/>
      </c>
      <c r="S74" s="103">
        <f>IF(Human_Data_Entry!BI72="","",Human_Data_Entry!BI72)</f>
        <v/>
      </c>
      <c r="T74" s="103">
        <f>IF(Human_Data_Entry!BJ72="","",Human_Data_Entry!BJ72)</f>
        <v/>
      </c>
      <c r="U74" s="103">
        <f>IF(Human_Data_Entry!AP72="","",Human_Data_Entry!AP72)</f>
        <v/>
      </c>
      <c r="V74" s="103">
        <f>IF(Human_Data_Entry!AQ72="","",Human_Data_Entry!AQ72)</f>
        <v/>
      </c>
      <c r="W74" s="103">
        <f>IF(Human_Data_Entry!AR72="","",Human_Data_Entry!AR72)</f>
        <v/>
      </c>
      <c r="X74" s="103">
        <f>IF(Human_Data_Entry!BK72="","",Human_Data_Entry!BK72)</f>
        <v/>
      </c>
    </row>
    <row r="75" ht="15" customHeight="1" s="241">
      <c r="A75" s="103">
        <f>IF(Human_Data_Entry!A73="","",Human_Data_Entry!A73)</f>
        <v/>
      </c>
      <c r="B75" s="103">
        <f>IF(Human_Data_Entry!B73="","",Human_Data_Entry!B73)</f>
        <v/>
      </c>
      <c r="C75" s="104">
        <f>IF(Human_Data_Entry!C73="","",Human_Data_Entry!C73)</f>
        <v/>
      </c>
      <c r="D75" s="103">
        <f>IF(Human_Data_Entry!D73="","",Human_Data_Entry!D73)</f>
        <v/>
      </c>
      <c r="E75" s="103">
        <f>IF(Human_Data_Entry!G73="","",Human_Data_Entry!G73)</f>
        <v/>
      </c>
      <c r="F75" s="103">
        <f>IF(Human_Data_Entry!X73="","",Human_Data_Entry!X73)</f>
        <v/>
      </c>
      <c r="G75" s="103">
        <f>IF(Human_Data_Entry!AY73="","",Human_Data_Entry!AY73)</f>
        <v/>
      </c>
      <c r="H75" s="103">
        <f>IF(Human_Data_Entry!AS73="","",Human_Data_Entry!AS73)</f>
        <v/>
      </c>
      <c r="I75" s="103">
        <f>IF(Human_Data_Entry!F73="","",Human_Data_Entry!F73)</f>
        <v/>
      </c>
      <c r="J75" s="103">
        <f>IF(Human_Data_Entry!BA73="","",Human_Data_Entry!BA73)</f>
        <v/>
      </c>
      <c r="K75" s="103">
        <f>IF(Human_Data_Entry!BB73="","",Human_Data_Entry!BB73)</f>
        <v/>
      </c>
      <c r="L75" s="103">
        <f>IF(Human_Data_Entry!BC73="","",Human_Data_Entry!BC73)</f>
        <v/>
      </c>
      <c r="M75" s="104">
        <f>IF(Human_Data_Entry!BD73="","",Human_Data_Entry!BD73)</f>
        <v/>
      </c>
      <c r="N75" s="104">
        <f>IF(Human_Data_Entry!BE73="","",Human_Data_Entry!BE73)</f>
        <v/>
      </c>
      <c r="O75" s="105">
        <f>IF(Human_Data_Entry!BF73="","",Human_Data_Entry!BF73)</f>
        <v/>
      </c>
      <c r="P75" s="103">
        <f>IF(Human_Data_Entry!BG73="","",Human_Data_Entry!BG73)</f>
        <v/>
      </c>
      <c r="Q75" s="103">
        <f>IF(Human_Data_Entry!BL73="","",Human_Data_Entry!BL73)</f>
        <v/>
      </c>
      <c r="R75" s="103">
        <f>IF(Human_Data_Entry!BH73="","",Human_Data_Entry!BH73)</f>
        <v/>
      </c>
      <c r="S75" s="103">
        <f>IF(Human_Data_Entry!BI73="","",Human_Data_Entry!BI73)</f>
        <v/>
      </c>
      <c r="T75" s="103">
        <f>IF(Human_Data_Entry!BJ73="","",Human_Data_Entry!BJ73)</f>
        <v/>
      </c>
      <c r="U75" s="103">
        <f>IF(Human_Data_Entry!AP73="","",Human_Data_Entry!AP73)</f>
        <v/>
      </c>
      <c r="V75" s="103">
        <f>IF(Human_Data_Entry!AQ73="","",Human_Data_Entry!AQ73)</f>
        <v/>
      </c>
      <c r="W75" s="103">
        <f>IF(Human_Data_Entry!AR73="","",Human_Data_Entry!AR73)</f>
        <v/>
      </c>
      <c r="X75" s="103">
        <f>IF(Human_Data_Entry!BK73="","",Human_Data_Entry!BK73)</f>
        <v/>
      </c>
    </row>
    <row r="76" ht="15" customHeight="1" s="241">
      <c r="A76" s="103">
        <f>IF(Human_Data_Entry!A74="","",Human_Data_Entry!A74)</f>
        <v/>
      </c>
      <c r="B76" s="103">
        <f>IF(Human_Data_Entry!B74="","",Human_Data_Entry!B74)</f>
        <v/>
      </c>
      <c r="C76" s="104">
        <f>IF(Human_Data_Entry!C74="","",Human_Data_Entry!C74)</f>
        <v/>
      </c>
      <c r="D76" s="103">
        <f>IF(Human_Data_Entry!D74="","",Human_Data_Entry!D74)</f>
        <v/>
      </c>
      <c r="E76" s="103">
        <f>IF(Human_Data_Entry!G74="","",Human_Data_Entry!G74)</f>
        <v/>
      </c>
      <c r="F76" s="103">
        <f>IF(Human_Data_Entry!X74="","",Human_Data_Entry!X74)</f>
        <v/>
      </c>
      <c r="G76" s="103">
        <f>IF(Human_Data_Entry!AY74="","",Human_Data_Entry!AY74)</f>
        <v/>
      </c>
      <c r="H76" s="103">
        <f>IF(Human_Data_Entry!AS74="","",Human_Data_Entry!AS74)</f>
        <v/>
      </c>
      <c r="I76" s="103">
        <f>IF(Human_Data_Entry!F74="","",Human_Data_Entry!F74)</f>
        <v/>
      </c>
      <c r="J76" s="103">
        <f>IF(Human_Data_Entry!BA74="","",Human_Data_Entry!BA74)</f>
        <v/>
      </c>
      <c r="K76" s="103">
        <f>IF(Human_Data_Entry!BB74="","",Human_Data_Entry!BB74)</f>
        <v/>
      </c>
      <c r="L76" s="103">
        <f>IF(Human_Data_Entry!BC74="","",Human_Data_Entry!BC74)</f>
        <v/>
      </c>
      <c r="M76" s="104">
        <f>IF(Human_Data_Entry!BD74="","",Human_Data_Entry!BD74)</f>
        <v/>
      </c>
      <c r="N76" s="104">
        <f>IF(Human_Data_Entry!BE74="","",Human_Data_Entry!BE74)</f>
        <v/>
      </c>
      <c r="O76" s="105">
        <f>IF(Human_Data_Entry!BF74="","",Human_Data_Entry!BF74)</f>
        <v/>
      </c>
      <c r="P76" s="103">
        <f>IF(Human_Data_Entry!BG74="","",Human_Data_Entry!BG74)</f>
        <v/>
      </c>
      <c r="Q76" s="103">
        <f>IF(Human_Data_Entry!BL74="","",Human_Data_Entry!BL74)</f>
        <v/>
      </c>
      <c r="R76" s="103">
        <f>IF(Human_Data_Entry!BH74="","",Human_Data_Entry!BH74)</f>
        <v/>
      </c>
      <c r="S76" s="103">
        <f>IF(Human_Data_Entry!BI74="","",Human_Data_Entry!BI74)</f>
        <v/>
      </c>
      <c r="T76" s="103">
        <f>IF(Human_Data_Entry!BJ74="","",Human_Data_Entry!BJ74)</f>
        <v/>
      </c>
      <c r="U76" s="103">
        <f>IF(Human_Data_Entry!AP74="","",Human_Data_Entry!AP74)</f>
        <v/>
      </c>
      <c r="V76" s="103">
        <f>IF(Human_Data_Entry!AQ74="","",Human_Data_Entry!AQ74)</f>
        <v/>
      </c>
      <c r="W76" s="103">
        <f>IF(Human_Data_Entry!AR74="","",Human_Data_Entry!AR74)</f>
        <v/>
      </c>
      <c r="X76" s="103">
        <f>IF(Human_Data_Entry!BK74="","",Human_Data_Entry!BK74)</f>
        <v/>
      </c>
    </row>
    <row r="77" ht="15" customHeight="1" s="241">
      <c r="A77" s="103">
        <f>IF(Human_Data_Entry!A75="","",Human_Data_Entry!A75)</f>
        <v/>
      </c>
      <c r="B77" s="103">
        <f>IF(Human_Data_Entry!B75="","",Human_Data_Entry!B75)</f>
        <v/>
      </c>
      <c r="C77" s="104">
        <f>IF(Human_Data_Entry!C75="","",Human_Data_Entry!C75)</f>
        <v/>
      </c>
      <c r="D77" s="103">
        <f>IF(Human_Data_Entry!D75="","",Human_Data_Entry!D75)</f>
        <v/>
      </c>
      <c r="E77" s="103">
        <f>IF(Human_Data_Entry!G75="","",Human_Data_Entry!G75)</f>
        <v/>
      </c>
      <c r="F77" s="103">
        <f>IF(Human_Data_Entry!X75="","",Human_Data_Entry!X75)</f>
        <v/>
      </c>
      <c r="G77" s="103">
        <f>IF(Human_Data_Entry!AY75="","",Human_Data_Entry!AY75)</f>
        <v/>
      </c>
      <c r="H77" s="103">
        <f>IF(Human_Data_Entry!AS75="","",Human_Data_Entry!AS75)</f>
        <v/>
      </c>
      <c r="I77" s="103">
        <f>IF(Human_Data_Entry!F75="","",Human_Data_Entry!F75)</f>
        <v/>
      </c>
      <c r="J77" s="103">
        <f>IF(Human_Data_Entry!BA75="","",Human_Data_Entry!BA75)</f>
        <v/>
      </c>
      <c r="K77" s="103">
        <f>IF(Human_Data_Entry!BB75="","",Human_Data_Entry!BB75)</f>
        <v/>
      </c>
      <c r="L77" s="103">
        <f>IF(Human_Data_Entry!BC75="","",Human_Data_Entry!BC75)</f>
        <v/>
      </c>
      <c r="M77" s="104">
        <f>IF(Human_Data_Entry!BD75="","",Human_Data_Entry!BD75)</f>
        <v/>
      </c>
      <c r="N77" s="104">
        <f>IF(Human_Data_Entry!BE75="","",Human_Data_Entry!BE75)</f>
        <v/>
      </c>
      <c r="O77" s="105">
        <f>IF(Human_Data_Entry!BF75="","",Human_Data_Entry!BF75)</f>
        <v/>
      </c>
      <c r="P77" s="103">
        <f>IF(Human_Data_Entry!BG75="","",Human_Data_Entry!BG75)</f>
        <v/>
      </c>
      <c r="Q77" s="103">
        <f>IF(Human_Data_Entry!BL75="","",Human_Data_Entry!BL75)</f>
        <v/>
      </c>
      <c r="R77" s="103">
        <f>IF(Human_Data_Entry!BH75="","",Human_Data_Entry!BH75)</f>
        <v/>
      </c>
      <c r="S77" s="103">
        <f>IF(Human_Data_Entry!BI75="","",Human_Data_Entry!BI75)</f>
        <v/>
      </c>
      <c r="T77" s="103">
        <f>IF(Human_Data_Entry!BJ75="","",Human_Data_Entry!BJ75)</f>
        <v/>
      </c>
      <c r="U77" s="103">
        <f>IF(Human_Data_Entry!AP75="","",Human_Data_Entry!AP75)</f>
        <v/>
      </c>
      <c r="V77" s="103">
        <f>IF(Human_Data_Entry!AQ75="","",Human_Data_Entry!AQ75)</f>
        <v/>
      </c>
      <c r="W77" s="103">
        <f>IF(Human_Data_Entry!AR75="","",Human_Data_Entry!AR75)</f>
        <v/>
      </c>
      <c r="X77" s="103">
        <f>IF(Human_Data_Entry!BK75="","",Human_Data_Entry!BK75)</f>
        <v/>
      </c>
    </row>
    <row r="78" ht="15" customHeight="1" s="241">
      <c r="A78" s="103">
        <f>IF(Human_Data_Entry!A76="","",Human_Data_Entry!A76)</f>
        <v/>
      </c>
      <c r="B78" s="103">
        <f>IF(Human_Data_Entry!B76="","",Human_Data_Entry!B76)</f>
        <v/>
      </c>
      <c r="C78" s="104">
        <f>IF(Human_Data_Entry!C76="","",Human_Data_Entry!C76)</f>
        <v/>
      </c>
      <c r="D78" s="103">
        <f>IF(Human_Data_Entry!D76="","",Human_Data_Entry!D76)</f>
        <v/>
      </c>
      <c r="E78" s="103">
        <f>IF(Human_Data_Entry!G76="","",Human_Data_Entry!G76)</f>
        <v/>
      </c>
      <c r="F78" s="103">
        <f>IF(Human_Data_Entry!X76="","",Human_Data_Entry!X76)</f>
        <v/>
      </c>
      <c r="G78" s="103">
        <f>IF(Human_Data_Entry!AY76="","",Human_Data_Entry!AY76)</f>
        <v/>
      </c>
      <c r="H78" s="103">
        <f>IF(Human_Data_Entry!AS76="","",Human_Data_Entry!AS76)</f>
        <v/>
      </c>
      <c r="I78" s="103">
        <f>IF(Human_Data_Entry!F76="","",Human_Data_Entry!F76)</f>
        <v/>
      </c>
      <c r="J78" s="103">
        <f>IF(Human_Data_Entry!BA76="","",Human_Data_Entry!BA76)</f>
        <v/>
      </c>
      <c r="K78" s="103">
        <f>IF(Human_Data_Entry!BB76="","",Human_Data_Entry!BB76)</f>
        <v/>
      </c>
      <c r="L78" s="103">
        <f>IF(Human_Data_Entry!BC76="","",Human_Data_Entry!BC76)</f>
        <v/>
      </c>
      <c r="M78" s="104">
        <f>IF(Human_Data_Entry!BD76="","",Human_Data_Entry!BD76)</f>
        <v/>
      </c>
      <c r="N78" s="104">
        <f>IF(Human_Data_Entry!BE76="","",Human_Data_Entry!BE76)</f>
        <v/>
      </c>
      <c r="O78" s="105">
        <f>IF(Human_Data_Entry!BF76="","",Human_Data_Entry!BF76)</f>
        <v/>
      </c>
      <c r="P78" s="103">
        <f>IF(Human_Data_Entry!BG76="","",Human_Data_Entry!BG76)</f>
        <v/>
      </c>
      <c r="Q78" s="103">
        <f>IF(Human_Data_Entry!BL76="","",Human_Data_Entry!BL76)</f>
        <v/>
      </c>
      <c r="R78" s="103">
        <f>IF(Human_Data_Entry!BH76="","",Human_Data_Entry!BH76)</f>
        <v/>
      </c>
      <c r="S78" s="103">
        <f>IF(Human_Data_Entry!BI76="","",Human_Data_Entry!BI76)</f>
        <v/>
      </c>
      <c r="T78" s="103">
        <f>IF(Human_Data_Entry!BJ76="","",Human_Data_Entry!BJ76)</f>
        <v/>
      </c>
      <c r="U78" s="103">
        <f>IF(Human_Data_Entry!AP76="","",Human_Data_Entry!AP76)</f>
        <v/>
      </c>
      <c r="V78" s="103">
        <f>IF(Human_Data_Entry!AQ76="","",Human_Data_Entry!AQ76)</f>
        <v/>
      </c>
      <c r="W78" s="103">
        <f>IF(Human_Data_Entry!AR76="","",Human_Data_Entry!AR76)</f>
        <v/>
      </c>
      <c r="X78" s="103">
        <f>IF(Human_Data_Entry!BK76="","",Human_Data_Entry!BK76)</f>
        <v/>
      </c>
    </row>
    <row r="79" ht="15" customHeight="1" s="241">
      <c r="A79" s="103">
        <f>IF(Human_Data_Entry!A77="","",Human_Data_Entry!A77)</f>
        <v/>
      </c>
      <c r="B79" s="103">
        <f>IF(Human_Data_Entry!B77="","",Human_Data_Entry!B77)</f>
        <v/>
      </c>
      <c r="C79" s="104">
        <f>IF(Human_Data_Entry!C77="","",Human_Data_Entry!C77)</f>
        <v/>
      </c>
      <c r="D79" s="103">
        <f>IF(Human_Data_Entry!D77="","",Human_Data_Entry!D77)</f>
        <v/>
      </c>
      <c r="E79" s="103">
        <f>IF(Human_Data_Entry!G77="","",Human_Data_Entry!G77)</f>
        <v/>
      </c>
      <c r="F79" s="103">
        <f>IF(Human_Data_Entry!X77="","",Human_Data_Entry!X77)</f>
        <v/>
      </c>
      <c r="G79" s="103">
        <f>IF(Human_Data_Entry!AY77="","",Human_Data_Entry!AY77)</f>
        <v/>
      </c>
      <c r="H79" s="103">
        <f>IF(Human_Data_Entry!AS77="","",Human_Data_Entry!AS77)</f>
        <v/>
      </c>
      <c r="I79" s="103">
        <f>IF(Human_Data_Entry!F77="","",Human_Data_Entry!F77)</f>
        <v/>
      </c>
      <c r="J79" s="103">
        <f>IF(Human_Data_Entry!BA77="","",Human_Data_Entry!BA77)</f>
        <v/>
      </c>
      <c r="K79" s="103">
        <f>IF(Human_Data_Entry!BB77="","",Human_Data_Entry!BB77)</f>
        <v/>
      </c>
      <c r="L79" s="103">
        <f>IF(Human_Data_Entry!BC77="","",Human_Data_Entry!BC77)</f>
        <v/>
      </c>
      <c r="M79" s="104">
        <f>IF(Human_Data_Entry!BD77="","",Human_Data_Entry!BD77)</f>
        <v/>
      </c>
      <c r="N79" s="104">
        <f>IF(Human_Data_Entry!BE77="","",Human_Data_Entry!BE77)</f>
        <v/>
      </c>
      <c r="O79" s="105">
        <f>IF(Human_Data_Entry!BF77="","",Human_Data_Entry!BF77)</f>
        <v/>
      </c>
      <c r="P79" s="103">
        <f>IF(Human_Data_Entry!BG77="","",Human_Data_Entry!BG77)</f>
        <v/>
      </c>
      <c r="Q79" s="103">
        <f>IF(Human_Data_Entry!BL77="","",Human_Data_Entry!BL77)</f>
        <v/>
      </c>
      <c r="R79" s="103">
        <f>IF(Human_Data_Entry!BH77="","",Human_Data_Entry!BH77)</f>
        <v/>
      </c>
      <c r="S79" s="103">
        <f>IF(Human_Data_Entry!BI77="","",Human_Data_Entry!BI77)</f>
        <v/>
      </c>
      <c r="T79" s="103">
        <f>IF(Human_Data_Entry!BJ77="","",Human_Data_Entry!BJ77)</f>
        <v/>
      </c>
      <c r="U79" s="103">
        <f>IF(Human_Data_Entry!AP77="","",Human_Data_Entry!AP77)</f>
        <v/>
      </c>
      <c r="V79" s="103">
        <f>IF(Human_Data_Entry!AQ77="","",Human_Data_Entry!AQ77)</f>
        <v/>
      </c>
      <c r="W79" s="103">
        <f>IF(Human_Data_Entry!AR77="","",Human_Data_Entry!AR77)</f>
        <v/>
      </c>
      <c r="X79" s="103">
        <f>IF(Human_Data_Entry!BK77="","",Human_Data_Entry!BK77)</f>
        <v/>
      </c>
    </row>
    <row r="80" ht="15" customHeight="1" s="241">
      <c r="A80" s="103">
        <f>IF(Human_Data_Entry!A78="","",Human_Data_Entry!A78)</f>
        <v/>
      </c>
      <c r="B80" s="103">
        <f>IF(Human_Data_Entry!B78="","",Human_Data_Entry!B78)</f>
        <v/>
      </c>
      <c r="C80" s="104">
        <f>IF(Human_Data_Entry!C78="","",Human_Data_Entry!C78)</f>
        <v/>
      </c>
      <c r="D80" s="103">
        <f>IF(Human_Data_Entry!D78="","",Human_Data_Entry!D78)</f>
        <v/>
      </c>
      <c r="E80" s="103">
        <f>IF(Human_Data_Entry!G78="","",Human_Data_Entry!G78)</f>
        <v/>
      </c>
      <c r="F80" s="103">
        <f>IF(Human_Data_Entry!X78="","",Human_Data_Entry!X78)</f>
        <v/>
      </c>
      <c r="G80" s="103">
        <f>IF(Human_Data_Entry!AY78="","",Human_Data_Entry!AY78)</f>
        <v/>
      </c>
      <c r="H80" s="103">
        <f>IF(Human_Data_Entry!AS78="","",Human_Data_Entry!AS78)</f>
        <v/>
      </c>
      <c r="I80" s="103">
        <f>IF(Human_Data_Entry!F78="","",Human_Data_Entry!F78)</f>
        <v/>
      </c>
      <c r="J80" s="103">
        <f>IF(Human_Data_Entry!BA78="","",Human_Data_Entry!BA78)</f>
        <v/>
      </c>
      <c r="K80" s="103">
        <f>IF(Human_Data_Entry!BB78="","",Human_Data_Entry!BB78)</f>
        <v/>
      </c>
      <c r="L80" s="103">
        <f>IF(Human_Data_Entry!BC78="","",Human_Data_Entry!BC78)</f>
        <v/>
      </c>
      <c r="M80" s="104">
        <f>IF(Human_Data_Entry!BD78="","",Human_Data_Entry!BD78)</f>
        <v/>
      </c>
      <c r="N80" s="104">
        <f>IF(Human_Data_Entry!BE78="","",Human_Data_Entry!BE78)</f>
        <v/>
      </c>
      <c r="O80" s="105">
        <f>IF(Human_Data_Entry!BF78="","",Human_Data_Entry!BF78)</f>
        <v/>
      </c>
      <c r="P80" s="103">
        <f>IF(Human_Data_Entry!BG78="","",Human_Data_Entry!BG78)</f>
        <v/>
      </c>
      <c r="Q80" s="103">
        <f>IF(Human_Data_Entry!BL78="","",Human_Data_Entry!BL78)</f>
        <v/>
      </c>
      <c r="R80" s="103">
        <f>IF(Human_Data_Entry!BH78="","",Human_Data_Entry!BH78)</f>
        <v/>
      </c>
      <c r="S80" s="103">
        <f>IF(Human_Data_Entry!BI78="","",Human_Data_Entry!BI78)</f>
        <v/>
      </c>
      <c r="T80" s="103">
        <f>IF(Human_Data_Entry!BJ78="","",Human_Data_Entry!BJ78)</f>
        <v/>
      </c>
      <c r="U80" s="103">
        <f>IF(Human_Data_Entry!AP78="","",Human_Data_Entry!AP78)</f>
        <v/>
      </c>
      <c r="V80" s="103">
        <f>IF(Human_Data_Entry!AQ78="","",Human_Data_Entry!AQ78)</f>
        <v/>
      </c>
      <c r="W80" s="103">
        <f>IF(Human_Data_Entry!AR78="","",Human_Data_Entry!AR78)</f>
        <v/>
      </c>
      <c r="X80" s="103">
        <f>IF(Human_Data_Entry!BK78="","",Human_Data_Entry!BK78)</f>
        <v/>
      </c>
    </row>
    <row r="81" ht="15" customHeight="1" s="241">
      <c r="A81" s="103">
        <f>IF(Human_Data_Entry!A79="","",Human_Data_Entry!A79)</f>
        <v/>
      </c>
      <c r="B81" s="103">
        <f>IF(Human_Data_Entry!B79="","",Human_Data_Entry!B79)</f>
        <v/>
      </c>
      <c r="C81" s="104">
        <f>IF(Human_Data_Entry!C79="","",Human_Data_Entry!C79)</f>
        <v/>
      </c>
      <c r="D81" s="103">
        <f>IF(Human_Data_Entry!D79="","",Human_Data_Entry!D79)</f>
        <v/>
      </c>
      <c r="E81" s="103">
        <f>IF(Human_Data_Entry!G79="","",Human_Data_Entry!G79)</f>
        <v/>
      </c>
      <c r="F81" s="103">
        <f>IF(Human_Data_Entry!X79="","",Human_Data_Entry!X79)</f>
        <v/>
      </c>
      <c r="G81" s="103">
        <f>IF(Human_Data_Entry!AY79="","",Human_Data_Entry!AY79)</f>
        <v/>
      </c>
      <c r="H81" s="103">
        <f>IF(Human_Data_Entry!AS79="","",Human_Data_Entry!AS79)</f>
        <v/>
      </c>
      <c r="I81" s="103">
        <f>IF(Human_Data_Entry!F79="","",Human_Data_Entry!F79)</f>
        <v/>
      </c>
      <c r="J81" s="103">
        <f>IF(Human_Data_Entry!BA79="","",Human_Data_Entry!BA79)</f>
        <v/>
      </c>
      <c r="K81" s="103">
        <f>IF(Human_Data_Entry!BB79="","",Human_Data_Entry!BB79)</f>
        <v/>
      </c>
      <c r="L81" s="103">
        <f>IF(Human_Data_Entry!BC79="","",Human_Data_Entry!BC79)</f>
        <v/>
      </c>
      <c r="M81" s="104">
        <f>IF(Human_Data_Entry!BD79="","",Human_Data_Entry!BD79)</f>
        <v/>
      </c>
      <c r="N81" s="104">
        <f>IF(Human_Data_Entry!BE79="","",Human_Data_Entry!BE79)</f>
        <v/>
      </c>
      <c r="O81" s="105">
        <f>IF(Human_Data_Entry!BF79="","",Human_Data_Entry!BF79)</f>
        <v/>
      </c>
      <c r="P81" s="103">
        <f>IF(Human_Data_Entry!BG79="","",Human_Data_Entry!BG79)</f>
        <v/>
      </c>
      <c r="Q81" s="103">
        <f>IF(Human_Data_Entry!BL79="","",Human_Data_Entry!BL79)</f>
        <v/>
      </c>
      <c r="R81" s="103">
        <f>IF(Human_Data_Entry!BH79="","",Human_Data_Entry!BH79)</f>
        <v/>
      </c>
      <c r="S81" s="103">
        <f>IF(Human_Data_Entry!BI79="","",Human_Data_Entry!BI79)</f>
        <v/>
      </c>
      <c r="T81" s="103">
        <f>IF(Human_Data_Entry!BJ79="","",Human_Data_Entry!BJ79)</f>
        <v/>
      </c>
      <c r="U81" s="103">
        <f>IF(Human_Data_Entry!AP79="","",Human_Data_Entry!AP79)</f>
        <v/>
      </c>
      <c r="V81" s="103">
        <f>IF(Human_Data_Entry!AQ79="","",Human_Data_Entry!AQ79)</f>
        <v/>
      </c>
      <c r="W81" s="103">
        <f>IF(Human_Data_Entry!AR79="","",Human_Data_Entry!AR79)</f>
        <v/>
      </c>
      <c r="X81" s="103">
        <f>IF(Human_Data_Entry!BK79="","",Human_Data_Entry!BK79)</f>
        <v/>
      </c>
    </row>
    <row r="82" ht="15" customHeight="1" s="241">
      <c r="A82" s="103">
        <f>IF(Human_Data_Entry!A80="","",Human_Data_Entry!A80)</f>
        <v/>
      </c>
      <c r="B82" s="103">
        <f>IF(Human_Data_Entry!B80="","",Human_Data_Entry!B80)</f>
        <v/>
      </c>
      <c r="C82" s="104">
        <f>IF(Human_Data_Entry!C80="","",Human_Data_Entry!C80)</f>
        <v/>
      </c>
      <c r="D82" s="103">
        <f>IF(Human_Data_Entry!D80="","",Human_Data_Entry!D80)</f>
        <v/>
      </c>
      <c r="E82" s="103">
        <f>IF(Human_Data_Entry!G80="","",Human_Data_Entry!G80)</f>
        <v/>
      </c>
      <c r="F82" s="103">
        <f>IF(Human_Data_Entry!X80="","",Human_Data_Entry!X80)</f>
        <v/>
      </c>
      <c r="G82" s="103">
        <f>IF(Human_Data_Entry!AY80="","",Human_Data_Entry!AY80)</f>
        <v/>
      </c>
      <c r="H82" s="103">
        <f>IF(Human_Data_Entry!AS80="","",Human_Data_Entry!AS80)</f>
        <v/>
      </c>
      <c r="I82" s="103">
        <f>IF(Human_Data_Entry!F80="","",Human_Data_Entry!F80)</f>
        <v/>
      </c>
      <c r="J82" s="103">
        <f>IF(Human_Data_Entry!BA80="","",Human_Data_Entry!BA80)</f>
        <v/>
      </c>
      <c r="K82" s="103">
        <f>IF(Human_Data_Entry!BB80="","",Human_Data_Entry!BB80)</f>
        <v/>
      </c>
      <c r="L82" s="103">
        <f>IF(Human_Data_Entry!BC80="","",Human_Data_Entry!BC80)</f>
        <v/>
      </c>
      <c r="M82" s="104">
        <f>IF(Human_Data_Entry!BD80="","",Human_Data_Entry!BD80)</f>
        <v/>
      </c>
      <c r="N82" s="104">
        <f>IF(Human_Data_Entry!BE80="","",Human_Data_Entry!BE80)</f>
        <v/>
      </c>
      <c r="O82" s="105">
        <f>IF(Human_Data_Entry!BF80="","",Human_Data_Entry!BF80)</f>
        <v/>
      </c>
      <c r="P82" s="103">
        <f>IF(Human_Data_Entry!BG80="","",Human_Data_Entry!BG80)</f>
        <v/>
      </c>
      <c r="Q82" s="103">
        <f>IF(Human_Data_Entry!BL80="","",Human_Data_Entry!BL80)</f>
        <v/>
      </c>
      <c r="R82" s="103">
        <f>IF(Human_Data_Entry!BH80="","",Human_Data_Entry!BH80)</f>
        <v/>
      </c>
      <c r="S82" s="103">
        <f>IF(Human_Data_Entry!BI80="","",Human_Data_Entry!BI80)</f>
        <v/>
      </c>
      <c r="T82" s="103">
        <f>IF(Human_Data_Entry!BJ80="","",Human_Data_Entry!BJ80)</f>
        <v/>
      </c>
      <c r="U82" s="103">
        <f>IF(Human_Data_Entry!AP80="","",Human_Data_Entry!AP80)</f>
        <v/>
      </c>
      <c r="V82" s="103">
        <f>IF(Human_Data_Entry!AQ80="","",Human_Data_Entry!AQ80)</f>
        <v/>
      </c>
      <c r="W82" s="103">
        <f>IF(Human_Data_Entry!AR80="","",Human_Data_Entry!AR80)</f>
        <v/>
      </c>
      <c r="X82" s="103">
        <f>IF(Human_Data_Entry!BK80="","",Human_Data_Entry!BK80)</f>
        <v/>
      </c>
    </row>
    <row r="83" ht="15" customHeight="1" s="241">
      <c r="A83" s="103">
        <f>IF(Human_Data_Entry!A81="","",Human_Data_Entry!A81)</f>
        <v/>
      </c>
      <c r="B83" s="103">
        <f>IF(Human_Data_Entry!B81="","",Human_Data_Entry!B81)</f>
        <v/>
      </c>
      <c r="C83" s="104">
        <f>IF(Human_Data_Entry!C81="","",Human_Data_Entry!C81)</f>
        <v/>
      </c>
      <c r="D83" s="103">
        <f>IF(Human_Data_Entry!D81="","",Human_Data_Entry!D81)</f>
        <v/>
      </c>
      <c r="E83" s="103">
        <f>IF(Human_Data_Entry!G81="","",Human_Data_Entry!G81)</f>
        <v/>
      </c>
      <c r="F83" s="103">
        <f>IF(Human_Data_Entry!X81="","",Human_Data_Entry!X81)</f>
        <v/>
      </c>
      <c r="G83" s="103">
        <f>IF(Human_Data_Entry!AY81="","",Human_Data_Entry!AY81)</f>
        <v/>
      </c>
      <c r="H83" s="103">
        <f>IF(Human_Data_Entry!AS81="","",Human_Data_Entry!AS81)</f>
        <v/>
      </c>
      <c r="I83" s="103">
        <f>IF(Human_Data_Entry!F81="","",Human_Data_Entry!F81)</f>
        <v/>
      </c>
      <c r="J83" s="103">
        <f>IF(Human_Data_Entry!BA81="","",Human_Data_Entry!BA81)</f>
        <v/>
      </c>
      <c r="K83" s="103">
        <f>IF(Human_Data_Entry!BB81="","",Human_Data_Entry!BB81)</f>
        <v/>
      </c>
      <c r="L83" s="103">
        <f>IF(Human_Data_Entry!BC81="","",Human_Data_Entry!BC81)</f>
        <v/>
      </c>
      <c r="M83" s="104">
        <f>IF(Human_Data_Entry!BD81="","",Human_Data_Entry!BD81)</f>
        <v/>
      </c>
      <c r="N83" s="104">
        <f>IF(Human_Data_Entry!BE81="","",Human_Data_Entry!BE81)</f>
        <v/>
      </c>
      <c r="O83" s="105">
        <f>IF(Human_Data_Entry!BF81="","",Human_Data_Entry!BF81)</f>
        <v/>
      </c>
      <c r="P83" s="103">
        <f>IF(Human_Data_Entry!BG81="","",Human_Data_Entry!BG81)</f>
        <v/>
      </c>
      <c r="Q83" s="103">
        <f>IF(Human_Data_Entry!BL81="","",Human_Data_Entry!BL81)</f>
        <v/>
      </c>
      <c r="R83" s="103">
        <f>IF(Human_Data_Entry!BH81="","",Human_Data_Entry!BH81)</f>
        <v/>
      </c>
      <c r="S83" s="103">
        <f>IF(Human_Data_Entry!BI81="","",Human_Data_Entry!BI81)</f>
        <v/>
      </c>
      <c r="T83" s="103">
        <f>IF(Human_Data_Entry!BJ81="","",Human_Data_Entry!BJ81)</f>
        <v/>
      </c>
      <c r="U83" s="103">
        <f>IF(Human_Data_Entry!AP81="","",Human_Data_Entry!AP81)</f>
        <v/>
      </c>
      <c r="V83" s="103">
        <f>IF(Human_Data_Entry!AQ81="","",Human_Data_Entry!AQ81)</f>
        <v/>
      </c>
      <c r="W83" s="103">
        <f>IF(Human_Data_Entry!AR81="","",Human_Data_Entry!AR81)</f>
        <v/>
      </c>
      <c r="X83" s="103">
        <f>IF(Human_Data_Entry!BK81="","",Human_Data_Entry!BK81)</f>
        <v/>
      </c>
    </row>
    <row r="84" ht="15" customHeight="1" s="241">
      <c r="A84" s="103">
        <f>IF(Human_Data_Entry!A82="","",Human_Data_Entry!A82)</f>
        <v/>
      </c>
      <c r="B84" s="103">
        <f>IF(Human_Data_Entry!B82="","",Human_Data_Entry!B82)</f>
        <v/>
      </c>
      <c r="C84" s="104">
        <f>IF(Human_Data_Entry!C82="","",Human_Data_Entry!C82)</f>
        <v/>
      </c>
      <c r="D84" s="103">
        <f>IF(Human_Data_Entry!D82="","",Human_Data_Entry!D82)</f>
        <v/>
      </c>
      <c r="E84" s="103">
        <f>IF(Human_Data_Entry!G82="","",Human_Data_Entry!G82)</f>
        <v/>
      </c>
      <c r="F84" s="103">
        <f>IF(Human_Data_Entry!X82="","",Human_Data_Entry!X82)</f>
        <v/>
      </c>
      <c r="G84" s="103">
        <f>IF(Human_Data_Entry!AY82="","",Human_Data_Entry!AY82)</f>
        <v/>
      </c>
      <c r="H84" s="103">
        <f>IF(Human_Data_Entry!AS82="","",Human_Data_Entry!AS82)</f>
        <v/>
      </c>
      <c r="I84" s="103">
        <f>IF(Human_Data_Entry!F82="","",Human_Data_Entry!F82)</f>
        <v/>
      </c>
      <c r="J84" s="103">
        <f>IF(Human_Data_Entry!BA82="","",Human_Data_Entry!BA82)</f>
        <v/>
      </c>
      <c r="K84" s="103">
        <f>IF(Human_Data_Entry!BB82="","",Human_Data_Entry!BB82)</f>
        <v/>
      </c>
      <c r="L84" s="103">
        <f>IF(Human_Data_Entry!BC82="","",Human_Data_Entry!BC82)</f>
        <v/>
      </c>
      <c r="M84" s="104">
        <f>IF(Human_Data_Entry!BD82="","",Human_Data_Entry!BD82)</f>
        <v/>
      </c>
      <c r="N84" s="104">
        <f>IF(Human_Data_Entry!BE82="","",Human_Data_Entry!BE82)</f>
        <v/>
      </c>
      <c r="O84" s="105">
        <f>IF(Human_Data_Entry!BF82="","",Human_Data_Entry!BF82)</f>
        <v/>
      </c>
      <c r="P84" s="103">
        <f>IF(Human_Data_Entry!BG82="","",Human_Data_Entry!BG82)</f>
        <v/>
      </c>
      <c r="Q84" s="103">
        <f>IF(Human_Data_Entry!BL82="","",Human_Data_Entry!BL82)</f>
        <v/>
      </c>
      <c r="R84" s="103">
        <f>IF(Human_Data_Entry!BH82="","",Human_Data_Entry!BH82)</f>
        <v/>
      </c>
      <c r="S84" s="103">
        <f>IF(Human_Data_Entry!BI82="","",Human_Data_Entry!BI82)</f>
        <v/>
      </c>
      <c r="T84" s="103">
        <f>IF(Human_Data_Entry!BJ82="","",Human_Data_Entry!BJ82)</f>
        <v/>
      </c>
      <c r="U84" s="103">
        <f>IF(Human_Data_Entry!AP82="","",Human_Data_Entry!AP82)</f>
        <v/>
      </c>
      <c r="V84" s="103">
        <f>IF(Human_Data_Entry!AQ82="","",Human_Data_Entry!AQ82)</f>
        <v/>
      </c>
      <c r="W84" s="103">
        <f>IF(Human_Data_Entry!AR82="","",Human_Data_Entry!AR82)</f>
        <v/>
      </c>
      <c r="X84" s="103">
        <f>IF(Human_Data_Entry!BK82="","",Human_Data_Entry!BK82)</f>
        <v/>
      </c>
    </row>
    <row r="85" ht="15" customHeight="1" s="241">
      <c r="A85" s="103">
        <f>IF(Human_Data_Entry!A83="","",Human_Data_Entry!A83)</f>
        <v/>
      </c>
      <c r="B85" s="103">
        <f>IF(Human_Data_Entry!B83="","",Human_Data_Entry!B83)</f>
        <v/>
      </c>
      <c r="C85" s="104">
        <f>IF(Human_Data_Entry!C83="","",Human_Data_Entry!C83)</f>
        <v/>
      </c>
      <c r="D85" s="103">
        <f>IF(Human_Data_Entry!D83="","",Human_Data_Entry!D83)</f>
        <v/>
      </c>
      <c r="E85" s="103">
        <f>IF(Human_Data_Entry!G83="","",Human_Data_Entry!G83)</f>
        <v/>
      </c>
      <c r="F85" s="103">
        <f>IF(Human_Data_Entry!X83="","",Human_Data_Entry!X83)</f>
        <v/>
      </c>
      <c r="G85" s="103">
        <f>IF(Human_Data_Entry!AY83="","",Human_Data_Entry!AY83)</f>
        <v/>
      </c>
      <c r="H85" s="103">
        <f>IF(Human_Data_Entry!AS83="","",Human_Data_Entry!AS83)</f>
        <v/>
      </c>
      <c r="I85" s="103">
        <f>IF(Human_Data_Entry!F83="","",Human_Data_Entry!F83)</f>
        <v/>
      </c>
      <c r="J85" s="103">
        <f>IF(Human_Data_Entry!BA83="","",Human_Data_Entry!BA83)</f>
        <v/>
      </c>
      <c r="K85" s="103">
        <f>IF(Human_Data_Entry!BB83="","",Human_Data_Entry!BB83)</f>
        <v/>
      </c>
      <c r="L85" s="103">
        <f>IF(Human_Data_Entry!BC83="","",Human_Data_Entry!BC83)</f>
        <v/>
      </c>
      <c r="M85" s="104">
        <f>IF(Human_Data_Entry!BD83="","",Human_Data_Entry!BD83)</f>
        <v/>
      </c>
      <c r="N85" s="104">
        <f>IF(Human_Data_Entry!BE83="","",Human_Data_Entry!BE83)</f>
        <v/>
      </c>
      <c r="O85" s="105">
        <f>IF(Human_Data_Entry!BF83="","",Human_Data_Entry!BF83)</f>
        <v/>
      </c>
      <c r="P85" s="103">
        <f>IF(Human_Data_Entry!BG83="","",Human_Data_Entry!BG83)</f>
        <v/>
      </c>
      <c r="Q85" s="103">
        <f>IF(Human_Data_Entry!BL83="","",Human_Data_Entry!BL83)</f>
        <v/>
      </c>
      <c r="R85" s="103">
        <f>IF(Human_Data_Entry!BH83="","",Human_Data_Entry!BH83)</f>
        <v/>
      </c>
      <c r="S85" s="103">
        <f>IF(Human_Data_Entry!BI83="","",Human_Data_Entry!BI83)</f>
        <v/>
      </c>
      <c r="T85" s="103">
        <f>IF(Human_Data_Entry!BJ83="","",Human_Data_Entry!BJ83)</f>
        <v/>
      </c>
      <c r="U85" s="103">
        <f>IF(Human_Data_Entry!AP83="","",Human_Data_Entry!AP83)</f>
        <v/>
      </c>
      <c r="V85" s="103">
        <f>IF(Human_Data_Entry!AQ83="","",Human_Data_Entry!AQ83)</f>
        <v/>
      </c>
      <c r="W85" s="103">
        <f>IF(Human_Data_Entry!AR83="","",Human_Data_Entry!AR83)</f>
        <v/>
      </c>
      <c r="X85" s="103">
        <f>IF(Human_Data_Entry!BK83="","",Human_Data_Entry!BK83)</f>
        <v/>
      </c>
    </row>
    <row r="86" ht="15" customHeight="1" s="241">
      <c r="A86" s="103">
        <f>IF(Human_Data_Entry!A84="","",Human_Data_Entry!A84)</f>
        <v/>
      </c>
      <c r="B86" s="103">
        <f>IF(Human_Data_Entry!B84="","",Human_Data_Entry!B84)</f>
        <v/>
      </c>
      <c r="C86" s="104">
        <f>IF(Human_Data_Entry!C84="","",Human_Data_Entry!C84)</f>
        <v/>
      </c>
      <c r="D86" s="103">
        <f>IF(Human_Data_Entry!D84="","",Human_Data_Entry!D84)</f>
        <v/>
      </c>
      <c r="E86" s="103">
        <f>IF(Human_Data_Entry!G84="","",Human_Data_Entry!G84)</f>
        <v/>
      </c>
      <c r="F86" s="103">
        <f>IF(Human_Data_Entry!X84="","",Human_Data_Entry!X84)</f>
        <v/>
      </c>
      <c r="G86" s="103">
        <f>IF(Human_Data_Entry!AY84="","",Human_Data_Entry!AY84)</f>
        <v/>
      </c>
      <c r="H86" s="103">
        <f>IF(Human_Data_Entry!AS84="","",Human_Data_Entry!AS84)</f>
        <v/>
      </c>
      <c r="I86" s="103">
        <f>IF(Human_Data_Entry!F84="","",Human_Data_Entry!F84)</f>
        <v/>
      </c>
      <c r="J86" s="103">
        <f>IF(Human_Data_Entry!BA84="","",Human_Data_Entry!BA84)</f>
        <v/>
      </c>
      <c r="K86" s="103">
        <f>IF(Human_Data_Entry!BB84="","",Human_Data_Entry!BB84)</f>
        <v/>
      </c>
      <c r="L86" s="103">
        <f>IF(Human_Data_Entry!BC84="","",Human_Data_Entry!BC84)</f>
        <v/>
      </c>
      <c r="M86" s="104">
        <f>IF(Human_Data_Entry!BD84="","",Human_Data_Entry!BD84)</f>
        <v/>
      </c>
      <c r="N86" s="104">
        <f>IF(Human_Data_Entry!BE84="","",Human_Data_Entry!BE84)</f>
        <v/>
      </c>
      <c r="O86" s="105">
        <f>IF(Human_Data_Entry!BF84="","",Human_Data_Entry!BF84)</f>
        <v/>
      </c>
      <c r="P86" s="103">
        <f>IF(Human_Data_Entry!BG84="","",Human_Data_Entry!BG84)</f>
        <v/>
      </c>
      <c r="Q86" s="103">
        <f>IF(Human_Data_Entry!BL84="","",Human_Data_Entry!BL84)</f>
        <v/>
      </c>
      <c r="R86" s="103">
        <f>IF(Human_Data_Entry!BH84="","",Human_Data_Entry!BH84)</f>
        <v/>
      </c>
      <c r="S86" s="103">
        <f>IF(Human_Data_Entry!BI84="","",Human_Data_Entry!BI84)</f>
        <v/>
      </c>
      <c r="T86" s="103">
        <f>IF(Human_Data_Entry!BJ84="","",Human_Data_Entry!BJ84)</f>
        <v/>
      </c>
      <c r="U86" s="103">
        <f>IF(Human_Data_Entry!AP84="","",Human_Data_Entry!AP84)</f>
        <v/>
      </c>
      <c r="V86" s="103">
        <f>IF(Human_Data_Entry!AQ84="","",Human_Data_Entry!AQ84)</f>
        <v/>
      </c>
      <c r="W86" s="103">
        <f>IF(Human_Data_Entry!AR84="","",Human_Data_Entry!AR84)</f>
        <v/>
      </c>
      <c r="X86" s="103">
        <f>IF(Human_Data_Entry!BK84="","",Human_Data_Entry!BK84)</f>
        <v/>
      </c>
    </row>
    <row r="87" ht="15" customHeight="1" s="241">
      <c r="A87" s="103">
        <f>IF(Human_Data_Entry!A85="","",Human_Data_Entry!A85)</f>
        <v/>
      </c>
      <c r="B87" s="103">
        <f>IF(Human_Data_Entry!B85="","",Human_Data_Entry!B85)</f>
        <v/>
      </c>
      <c r="C87" s="104">
        <f>IF(Human_Data_Entry!C85="","",Human_Data_Entry!C85)</f>
        <v/>
      </c>
      <c r="D87" s="103">
        <f>IF(Human_Data_Entry!D85="","",Human_Data_Entry!D85)</f>
        <v/>
      </c>
      <c r="E87" s="103">
        <f>IF(Human_Data_Entry!G85="","",Human_Data_Entry!G85)</f>
        <v/>
      </c>
      <c r="F87" s="103">
        <f>IF(Human_Data_Entry!X85="","",Human_Data_Entry!X85)</f>
        <v/>
      </c>
      <c r="G87" s="103">
        <f>IF(Human_Data_Entry!AY85="","",Human_Data_Entry!AY85)</f>
        <v/>
      </c>
      <c r="H87" s="103">
        <f>IF(Human_Data_Entry!AS85="","",Human_Data_Entry!AS85)</f>
        <v/>
      </c>
      <c r="I87" s="103">
        <f>IF(Human_Data_Entry!F85="","",Human_Data_Entry!F85)</f>
        <v/>
      </c>
      <c r="J87" s="103">
        <f>IF(Human_Data_Entry!BA85="","",Human_Data_Entry!BA85)</f>
        <v/>
      </c>
      <c r="K87" s="103">
        <f>IF(Human_Data_Entry!BB85="","",Human_Data_Entry!BB85)</f>
        <v/>
      </c>
      <c r="L87" s="103">
        <f>IF(Human_Data_Entry!BC85="","",Human_Data_Entry!BC85)</f>
        <v/>
      </c>
      <c r="M87" s="104">
        <f>IF(Human_Data_Entry!BD85="","",Human_Data_Entry!BD85)</f>
        <v/>
      </c>
      <c r="N87" s="104">
        <f>IF(Human_Data_Entry!BE85="","",Human_Data_Entry!BE85)</f>
        <v/>
      </c>
      <c r="O87" s="105">
        <f>IF(Human_Data_Entry!BF85="","",Human_Data_Entry!BF85)</f>
        <v/>
      </c>
      <c r="P87" s="103">
        <f>IF(Human_Data_Entry!BG85="","",Human_Data_Entry!BG85)</f>
        <v/>
      </c>
      <c r="Q87" s="103">
        <f>IF(Human_Data_Entry!BL85="","",Human_Data_Entry!BL85)</f>
        <v/>
      </c>
      <c r="R87" s="103">
        <f>IF(Human_Data_Entry!BH85="","",Human_Data_Entry!BH85)</f>
        <v/>
      </c>
      <c r="S87" s="103">
        <f>IF(Human_Data_Entry!BI85="","",Human_Data_Entry!BI85)</f>
        <v/>
      </c>
      <c r="T87" s="103">
        <f>IF(Human_Data_Entry!BJ85="","",Human_Data_Entry!BJ85)</f>
        <v/>
      </c>
      <c r="U87" s="103">
        <f>IF(Human_Data_Entry!AP85="","",Human_Data_Entry!AP85)</f>
        <v/>
      </c>
      <c r="V87" s="103">
        <f>IF(Human_Data_Entry!AQ85="","",Human_Data_Entry!AQ85)</f>
        <v/>
      </c>
      <c r="W87" s="103">
        <f>IF(Human_Data_Entry!AR85="","",Human_Data_Entry!AR85)</f>
        <v/>
      </c>
      <c r="X87" s="103">
        <f>IF(Human_Data_Entry!BK85="","",Human_Data_Entry!BK85)</f>
        <v/>
      </c>
    </row>
    <row r="88" ht="15" customHeight="1" s="241">
      <c r="A88" s="103">
        <f>IF(Human_Data_Entry!A86="","",Human_Data_Entry!A86)</f>
        <v/>
      </c>
      <c r="B88" s="103">
        <f>IF(Human_Data_Entry!B86="","",Human_Data_Entry!B86)</f>
        <v/>
      </c>
      <c r="C88" s="104">
        <f>IF(Human_Data_Entry!C86="","",Human_Data_Entry!C86)</f>
        <v/>
      </c>
      <c r="D88" s="103">
        <f>IF(Human_Data_Entry!D86="","",Human_Data_Entry!D86)</f>
        <v/>
      </c>
      <c r="E88" s="103">
        <f>IF(Human_Data_Entry!G86="","",Human_Data_Entry!G86)</f>
        <v/>
      </c>
      <c r="F88" s="103">
        <f>IF(Human_Data_Entry!X86="","",Human_Data_Entry!X86)</f>
        <v/>
      </c>
      <c r="G88" s="103">
        <f>IF(Human_Data_Entry!AY86="","",Human_Data_Entry!AY86)</f>
        <v/>
      </c>
      <c r="H88" s="103">
        <f>IF(Human_Data_Entry!AS86="","",Human_Data_Entry!AS86)</f>
        <v/>
      </c>
      <c r="I88" s="103">
        <f>IF(Human_Data_Entry!F86="","",Human_Data_Entry!F86)</f>
        <v/>
      </c>
      <c r="J88" s="103">
        <f>IF(Human_Data_Entry!BA86="","",Human_Data_Entry!BA86)</f>
        <v/>
      </c>
      <c r="K88" s="103">
        <f>IF(Human_Data_Entry!BB86="","",Human_Data_Entry!BB86)</f>
        <v/>
      </c>
      <c r="L88" s="103">
        <f>IF(Human_Data_Entry!BC86="","",Human_Data_Entry!BC86)</f>
        <v/>
      </c>
      <c r="M88" s="104">
        <f>IF(Human_Data_Entry!BD86="","",Human_Data_Entry!BD86)</f>
        <v/>
      </c>
      <c r="N88" s="104">
        <f>IF(Human_Data_Entry!BE86="","",Human_Data_Entry!BE86)</f>
        <v/>
      </c>
      <c r="O88" s="105">
        <f>IF(Human_Data_Entry!BF86="","",Human_Data_Entry!BF86)</f>
        <v/>
      </c>
      <c r="P88" s="103">
        <f>IF(Human_Data_Entry!BG86="","",Human_Data_Entry!BG86)</f>
        <v/>
      </c>
      <c r="Q88" s="103">
        <f>IF(Human_Data_Entry!BL86="","",Human_Data_Entry!BL86)</f>
        <v/>
      </c>
      <c r="R88" s="103">
        <f>IF(Human_Data_Entry!BH86="","",Human_Data_Entry!BH86)</f>
        <v/>
      </c>
      <c r="S88" s="103">
        <f>IF(Human_Data_Entry!BI86="","",Human_Data_Entry!BI86)</f>
        <v/>
      </c>
      <c r="T88" s="103">
        <f>IF(Human_Data_Entry!BJ86="","",Human_Data_Entry!BJ86)</f>
        <v/>
      </c>
      <c r="U88" s="103">
        <f>IF(Human_Data_Entry!AP86="","",Human_Data_Entry!AP86)</f>
        <v/>
      </c>
      <c r="V88" s="103">
        <f>IF(Human_Data_Entry!AQ86="","",Human_Data_Entry!AQ86)</f>
        <v/>
      </c>
      <c r="W88" s="103">
        <f>IF(Human_Data_Entry!AR86="","",Human_Data_Entry!AR86)</f>
        <v/>
      </c>
      <c r="X88" s="103">
        <f>IF(Human_Data_Entry!BK86="","",Human_Data_Entry!BK86)</f>
        <v/>
      </c>
    </row>
    <row r="89" ht="15" customHeight="1" s="241">
      <c r="A89" s="103">
        <f>IF(Human_Data_Entry!A87="","",Human_Data_Entry!A87)</f>
        <v/>
      </c>
      <c r="B89" s="103">
        <f>IF(Human_Data_Entry!B87="","",Human_Data_Entry!B87)</f>
        <v/>
      </c>
      <c r="C89" s="104">
        <f>IF(Human_Data_Entry!C87="","",Human_Data_Entry!C87)</f>
        <v/>
      </c>
      <c r="D89" s="103">
        <f>IF(Human_Data_Entry!D87="","",Human_Data_Entry!D87)</f>
        <v/>
      </c>
      <c r="E89" s="103">
        <f>IF(Human_Data_Entry!G87="","",Human_Data_Entry!G87)</f>
        <v/>
      </c>
      <c r="F89" s="103">
        <f>IF(Human_Data_Entry!X87="","",Human_Data_Entry!X87)</f>
        <v/>
      </c>
      <c r="G89" s="103">
        <f>IF(Human_Data_Entry!AY87="","",Human_Data_Entry!AY87)</f>
        <v/>
      </c>
      <c r="H89" s="103">
        <f>IF(Human_Data_Entry!AS87="","",Human_Data_Entry!AS87)</f>
        <v/>
      </c>
      <c r="I89" s="103">
        <f>IF(Human_Data_Entry!F87="","",Human_Data_Entry!F87)</f>
        <v/>
      </c>
      <c r="J89" s="103">
        <f>IF(Human_Data_Entry!BA87="","",Human_Data_Entry!BA87)</f>
        <v/>
      </c>
      <c r="K89" s="103">
        <f>IF(Human_Data_Entry!BB87="","",Human_Data_Entry!BB87)</f>
        <v/>
      </c>
      <c r="L89" s="103">
        <f>IF(Human_Data_Entry!BC87="","",Human_Data_Entry!BC87)</f>
        <v/>
      </c>
      <c r="M89" s="104">
        <f>IF(Human_Data_Entry!BD87="","",Human_Data_Entry!BD87)</f>
        <v/>
      </c>
      <c r="N89" s="104">
        <f>IF(Human_Data_Entry!BE87="","",Human_Data_Entry!BE87)</f>
        <v/>
      </c>
      <c r="O89" s="105">
        <f>IF(Human_Data_Entry!BF87="","",Human_Data_Entry!BF87)</f>
        <v/>
      </c>
      <c r="P89" s="103">
        <f>IF(Human_Data_Entry!BG87="","",Human_Data_Entry!BG87)</f>
        <v/>
      </c>
      <c r="Q89" s="103">
        <f>IF(Human_Data_Entry!BL87="","",Human_Data_Entry!BL87)</f>
        <v/>
      </c>
      <c r="R89" s="103">
        <f>IF(Human_Data_Entry!BH87="","",Human_Data_Entry!BH87)</f>
        <v/>
      </c>
      <c r="S89" s="103">
        <f>IF(Human_Data_Entry!BI87="","",Human_Data_Entry!BI87)</f>
        <v/>
      </c>
      <c r="T89" s="103">
        <f>IF(Human_Data_Entry!BJ87="","",Human_Data_Entry!BJ87)</f>
        <v/>
      </c>
      <c r="U89" s="103">
        <f>IF(Human_Data_Entry!AP87="","",Human_Data_Entry!AP87)</f>
        <v/>
      </c>
      <c r="V89" s="103">
        <f>IF(Human_Data_Entry!AQ87="","",Human_Data_Entry!AQ87)</f>
        <v/>
      </c>
      <c r="W89" s="103">
        <f>IF(Human_Data_Entry!AR87="","",Human_Data_Entry!AR87)</f>
        <v/>
      </c>
      <c r="X89" s="103">
        <f>IF(Human_Data_Entry!BK87="","",Human_Data_Entry!BK87)</f>
        <v/>
      </c>
    </row>
    <row r="90" ht="15" customHeight="1" s="241">
      <c r="A90" s="103">
        <f>IF(Human_Data_Entry!A88="","",Human_Data_Entry!A88)</f>
        <v/>
      </c>
      <c r="B90" s="103">
        <f>IF(Human_Data_Entry!B88="","",Human_Data_Entry!B88)</f>
        <v/>
      </c>
      <c r="C90" s="104">
        <f>IF(Human_Data_Entry!C88="","",Human_Data_Entry!C88)</f>
        <v/>
      </c>
      <c r="D90" s="103">
        <f>IF(Human_Data_Entry!D88="","",Human_Data_Entry!D88)</f>
        <v/>
      </c>
      <c r="E90" s="103">
        <f>IF(Human_Data_Entry!G88="","",Human_Data_Entry!G88)</f>
        <v/>
      </c>
      <c r="F90" s="103">
        <f>IF(Human_Data_Entry!X88="","",Human_Data_Entry!X88)</f>
        <v/>
      </c>
      <c r="G90" s="103">
        <f>IF(Human_Data_Entry!AY88="","",Human_Data_Entry!AY88)</f>
        <v/>
      </c>
      <c r="H90" s="103">
        <f>IF(Human_Data_Entry!AS88="","",Human_Data_Entry!AS88)</f>
        <v/>
      </c>
      <c r="I90" s="103">
        <f>IF(Human_Data_Entry!F88="","",Human_Data_Entry!F88)</f>
        <v/>
      </c>
      <c r="J90" s="103">
        <f>IF(Human_Data_Entry!BA88="","",Human_Data_Entry!BA88)</f>
        <v/>
      </c>
      <c r="K90" s="103">
        <f>IF(Human_Data_Entry!BB88="","",Human_Data_Entry!BB88)</f>
        <v/>
      </c>
      <c r="L90" s="103">
        <f>IF(Human_Data_Entry!BC88="","",Human_Data_Entry!BC88)</f>
        <v/>
      </c>
      <c r="M90" s="104">
        <f>IF(Human_Data_Entry!BD88="","",Human_Data_Entry!BD88)</f>
        <v/>
      </c>
      <c r="N90" s="104">
        <f>IF(Human_Data_Entry!BE88="","",Human_Data_Entry!BE88)</f>
        <v/>
      </c>
      <c r="O90" s="105">
        <f>IF(Human_Data_Entry!BF88="","",Human_Data_Entry!BF88)</f>
        <v/>
      </c>
      <c r="P90" s="103">
        <f>IF(Human_Data_Entry!BG88="","",Human_Data_Entry!BG88)</f>
        <v/>
      </c>
      <c r="Q90" s="103">
        <f>IF(Human_Data_Entry!BL88="","",Human_Data_Entry!BL88)</f>
        <v/>
      </c>
      <c r="R90" s="103">
        <f>IF(Human_Data_Entry!BH88="","",Human_Data_Entry!BH88)</f>
        <v/>
      </c>
      <c r="S90" s="103">
        <f>IF(Human_Data_Entry!BI88="","",Human_Data_Entry!BI88)</f>
        <v/>
      </c>
      <c r="T90" s="103">
        <f>IF(Human_Data_Entry!BJ88="","",Human_Data_Entry!BJ88)</f>
        <v/>
      </c>
      <c r="U90" s="103">
        <f>IF(Human_Data_Entry!AP88="","",Human_Data_Entry!AP88)</f>
        <v/>
      </c>
      <c r="V90" s="103">
        <f>IF(Human_Data_Entry!AQ88="","",Human_Data_Entry!AQ88)</f>
        <v/>
      </c>
      <c r="W90" s="103">
        <f>IF(Human_Data_Entry!AR88="","",Human_Data_Entry!AR88)</f>
        <v/>
      </c>
      <c r="X90" s="103">
        <f>IF(Human_Data_Entry!BK88="","",Human_Data_Entry!BK88)</f>
        <v/>
      </c>
    </row>
    <row r="91" ht="15" customHeight="1" s="241">
      <c r="A91" s="103">
        <f>IF(Human_Data_Entry!A89="","",Human_Data_Entry!A89)</f>
        <v/>
      </c>
      <c r="B91" s="103">
        <f>IF(Human_Data_Entry!B89="","",Human_Data_Entry!B89)</f>
        <v/>
      </c>
      <c r="C91" s="104">
        <f>IF(Human_Data_Entry!C89="","",Human_Data_Entry!C89)</f>
        <v/>
      </c>
      <c r="D91" s="103">
        <f>IF(Human_Data_Entry!D89="","",Human_Data_Entry!D89)</f>
        <v/>
      </c>
      <c r="E91" s="103">
        <f>IF(Human_Data_Entry!G89="","",Human_Data_Entry!G89)</f>
        <v/>
      </c>
      <c r="F91" s="103">
        <f>IF(Human_Data_Entry!X89="","",Human_Data_Entry!X89)</f>
        <v/>
      </c>
      <c r="G91" s="103">
        <f>IF(Human_Data_Entry!AY89="","",Human_Data_Entry!AY89)</f>
        <v/>
      </c>
      <c r="H91" s="103">
        <f>IF(Human_Data_Entry!AS89="","",Human_Data_Entry!AS89)</f>
        <v/>
      </c>
      <c r="I91" s="103">
        <f>IF(Human_Data_Entry!F89="","",Human_Data_Entry!F89)</f>
        <v/>
      </c>
      <c r="J91" s="103">
        <f>IF(Human_Data_Entry!BA89="","",Human_Data_Entry!BA89)</f>
        <v/>
      </c>
      <c r="K91" s="103">
        <f>IF(Human_Data_Entry!BB89="","",Human_Data_Entry!BB89)</f>
        <v/>
      </c>
      <c r="L91" s="103">
        <f>IF(Human_Data_Entry!BC89="","",Human_Data_Entry!BC89)</f>
        <v/>
      </c>
      <c r="M91" s="104">
        <f>IF(Human_Data_Entry!BD89="","",Human_Data_Entry!BD89)</f>
        <v/>
      </c>
      <c r="N91" s="104">
        <f>IF(Human_Data_Entry!BE89="","",Human_Data_Entry!BE89)</f>
        <v/>
      </c>
      <c r="O91" s="105">
        <f>IF(Human_Data_Entry!BF89="","",Human_Data_Entry!BF89)</f>
        <v/>
      </c>
      <c r="P91" s="103">
        <f>IF(Human_Data_Entry!BG89="","",Human_Data_Entry!BG89)</f>
        <v/>
      </c>
      <c r="Q91" s="103">
        <f>IF(Human_Data_Entry!BL89="","",Human_Data_Entry!BL89)</f>
        <v/>
      </c>
      <c r="R91" s="103">
        <f>IF(Human_Data_Entry!BH89="","",Human_Data_Entry!BH89)</f>
        <v/>
      </c>
      <c r="S91" s="103">
        <f>IF(Human_Data_Entry!BI89="","",Human_Data_Entry!BI89)</f>
        <v/>
      </c>
      <c r="T91" s="103">
        <f>IF(Human_Data_Entry!BJ89="","",Human_Data_Entry!BJ89)</f>
        <v/>
      </c>
      <c r="U91" s="103">
        <f>IF(Human_Data_Entry!AP89="","",Human_Data_Entry!AP89)</f>
        <v/>
      </c>
      <c r="V91" s="103">
        <f>IF(Human_Data_Entry!AQ89="","",Human_Data_Entry!AQ89)</f>
        <v/>
      </c>
      <c r="W91" s="103">
        <f>IF(Human_Data_Entry!AR89="","",Human_Data_Entry!AR89)</f>
        <v/>
      </c>
      <c r="X91" s="103">
        <f>IF(Human_Data_Entry!BK89="","",Human_Data_Entry!BK89)</f>
        <v/>
      </c>
    </row>
    <row r="92" ht="15" customHeight="1" s="241">
      <c r="A92" s="103">
        <f>IF(Human_Data_Entry!A90="","",Human_Data_Entry!A90)</f>
        <v/>
      </c>
      <c r="B92" s="103">
        <f>IF(Human_Data_Entry!B90="","",Human_Data_Entry!B90)</f>
        <v/>
      </c>
      <c r="C92" s="104">
        <f>IF(Human_Data_Entry!C90="","",Human_Data_Entry!C90)</f>
        <v/>
      </c>
      <c r="D92" s="103">
        <f>IF(Human_Data_Entry!D90="","",Human_Data_Entry!D90)</f>
        <v/>
      </c>
      <c r="E92" s="103">
        <f>IF(Human_Data_Entry!G90="","",Human_Data_Entry!G90)</f>
        <v/>
      </c>
      <c r="F92" s="103">
        <f>IF(Human_Data_Entry!X90="","",Human_Data_Entry!X90)</f>
        <v/>
      </c>
      <c r="G92" s="103">
        <f>IF(Human_Data_Entry!AY90="","",Human_Data_Entry!AY90)</f>
        <v/>
      </c>
      <c r="H92" s="103">
        <f>IF(Human_Data_Entry!AS90="","",Human_Data_Entry!AS90)</f>
        <v/>
      </c>
      <c r="I92" s="103">
        <f>IF(Human_Data_Entry!F90="","",Human_Data_Entry!F90)</f>
        <v/>
      </c>
      <c r="J92" s="103">
        <f>IF(Human_Data_Entry!BA90="","",Human_Data_Entry!BA90)</f>
        <v/>
      </c>
      <c r="K92" s="103">
        <f>IF(Human_Data_Entry!BB90="","",Human_Data_Entry!BB90)</f>
        <v/>
      </c>
      <c r="L92" s="103">
        <f>IF(Human_Data_Entry!BC90="","",Human_Data_Entry!BC90)</f>
        <v/>
      </c>
      <c r="M92" s="104">
        <f>IF(Human_Data_Entry!BD90="","",Human_Data_Entry!BD90)</f>
        <v/>
      </c>
      <c r="N92" s="104">
        <f>IF(Human_Data_Entry!BE90="","",Human_Data_Entry!BE90)</f>
        <v/>
      </c>
      <c r="O92" s="105">
        <f>IF(Human_Data_Entry!BF90="","",Human_Data_Entry!BF90)</f>
        <v/>
      </c>
      <c r="P92" s="103">
        <f>IF(Human_Data_Entry!BG90="","",Human_Data_Entry!BG90)</f>
        <v/>
      </c>
      <c r="Q92" s="103">
        <f>IF(Human_Data_Entry!BL90="","",Human_Data_Entry!BL90)</f>
        <v/>
      </c>
      <c r="R92" s="103">
        <f>IF(Human_Data_Entry!BH90="","",Human_Data_Entry!BH90)</f>
        <v/>
      </c>
      <c r="S92" s="103">
        <f>IF(Human_Data_Entry!BI90="","",Human_Data_Entry!BI90)</f>
        <v/>
      </c>
      <c r="T92" s="103">
        <f>IF(Human_Data_Entry!BJ90="","",Human_Data_Entry!BJ90)</f>
        <v/>
      </c>
      <c r="U92" s="103">
        <f>IF(Human_Data_Entry!AP90="","",Human_Data_Entry!AP90)</f>
        <v/>
      </c>
      <c r="V92" s="103">
        <f>IF(Human_Data_Entry!AQ90="","",Human_Data_Entry!AQ90)</f>
        <v/>
      </c>
      <c r="W92" s="103">
        <f>IF(Human_Data_Entry!AR90="","",Human_Data_Entry!AR90)</f>
        <v/>
      </c>
      <c r="X92" s="103">
        <f>IF(Human_Data_Entry!BK90="","",Human_Data_Entry!BK90)</f>
        <v/>
      </c>
    </row>
    <row r="93" ht="15" customHeight="1" s="241">
      <c r="A93" s="103">
        <f>IF(Human_Data_Entry!A91="","",Human_Data_Entry!A91)</f>
        <v/>
      </c>
      <c r="B93" s="103">
        <f>IF(Human_Data_Entry!B91="","",Human_Data_Entry!B91)</f>
        <v/>
      </c>
      <c r="C93" s="104">
        <f>IF(Human_Data_Entry!C91="","",Human_Data_Entry!C91)</f>
        <v/>
      </c>
      <c r="D93" s="103">
        <f>IF(Human_Data_Entry!D91="","",Human_Data_Entry!D91)</f>
        <v/>
      </c>
      <c r="E93" s="103">
        <f>IF(Human_Data_Entry!G91="","",Human_Data_Entry!G91)</f>
        <v/>
      </c>
      <c r="F93" s="103">
        <f>IF(Human_Data_Entry!X91="","",Human_Data_Entry!X91)</f>
        <v/>
      </c>
      <c r="G93" s="103">
        <f>IF(Human_Data_Entry!AY91="","",Human_Data_Entry!AY91)</f>
        <v/>
      </c>
      <c r="H93" s="103">
        <f>IF(Human_Data_Entry!AS91="","",Human_Data_Entry!AS91)</f>
        <v/>
      </c>
      <c r="I93" s="103">
        <f>IF(Human_Data_Entry!F91="","",Human_Data_Entry!F91)</f>
        <v/>
      </c>
      <c r="J93" s="103">
        <f>IF(Human_Data_Entry!BA91="","",Human_Data_Entry!BA91)</f>
        <v/>
      </c>
      <c r="K93" s="103">
        <f>IF(Human_Data_Entry!BB91="","",Human_Data_Entry!BB91)</f>
        <v/>
      </c>
      <c r="L93" s="103">
        <f>IF(Human_Data_Entry!BC91="","",Human_Data_Entry!BC91)</f>
        <v/>
      </c>
      <c r="M93" s="104">
        <f>IF(Human_Data_Entry!BD91="","",Human_Data_Entry!BD91)</f>
        <v/>
      </c>
      <c r="N93" s="104">
        <f>IF(Human_Data_Entry!BE91="","",Human_Data_Entry!BE91)</f>
        <v/>
      </c>
      <c r="O93" s="105">
        <f>IF(Human_Data_Entry!BF91="","",Human_Data_Entry!BF91)</f>
        <v/>
      </c>
      <c r="P93" s="103">
        <f>IF(Human_Data_Entry!BG91="","",Human_Data_Entry!BG91)</f>
        <v/>
      </c>
      <c r="Q93" s="103">
        <f>IF(Human_Data_Entry!BL91="","",Human_Data_Entry!BL91)</f>
        <v/>
      </c>
      <c r="R93" s="103">
        <f>IF(Human_Data_Entry!BH91="","",Human_Data_Entry!BH91)</f>
        <v/>
      </c>
      <c r="S93" s="103">
        <f>IF(Human_Data_Entry!BI91="","",Human_Data_Entry!BI91)</f>
        <v/>
      </c>
      <c r="T93" s="103">
        <f>IF(Human_Data_Entry!BJ91="","",Human_Data_Entry!BJ91)</f>
        <v/>
      </c>
      <c r="U93" s="103">
        <f>IF(Human_Data_Entry!AP91="","",Human_Data_Entry!AP91)</f>
        <v/>
      </c>
      <c r="V93" s="103">
        <f>IF(Human_Data_Entry!AQ91="","",Human_Data_Entry!AQ91)</f>
        <v/>
      </c>
      <c r="W93" s="103">
        <f>IF(Human_Data_Entry!AR91="","",Human_Data_Entry!AR91)</f>
        <v/>
      </c>
      <c r="X93" s="103">
        <f>IF(Human_Data_Entry!BK91="","",Human_Data_Entry!BK91)</f>
        <v/>
      </c>
    </row>
    <row r="94" ht="15" customHeight="1" s="241">
      <c r="A94" s="103">
        <f>IF(Human_Data_Entry!A92="","",Human_Data_Entry!A92)</f>
        <v/>
      </c>
      <c r="B94" s="103">
        <f>IF(Human_Data_Entry!B92="","",Human_Data_Entry!B92)</f>
        <v/>
      </c>
      <c r="C94" s="104">
        <f>IF(Human_Data_Entry!C92="","",Human_Data_Entry!C92)</f>
        <v/>
      </c>
      <c r="D94" s="103">
        <f>IF(Human_Data_Entry!D92="","",Human_Data_Entry!D92)</f>
        <v/>
      </c>
      <c r="E94" s="103">
        <f>IF(Human_Data_Entry!G92="","",Human_Data_Entry!G92)</f>
        <v/>
      </c>
      <c r="F94" s="103">
        <f>IF(Human_Data_Entry!X92="","",Human_Data_Entry!X92)</f>
        <v/>
      </c>
      <c r="G94" s="103">
        <f>IF(Human_Data_Entry!AY92="","",Human_Data_Entry!AY92)</f>
        <v/>
      </c>
      <c r="H94" s="103">
        <f>IF(Human_Data_Entry!AS92="","",Human_Data_Entry!AS92)</f>
        <v/>
      </c>
      <c r="I94" s="103">
        <f>IF(Human_Data_Entry!F92="","",Human_Data_Entry!F92)</f>
        <v/>
      </c>
      <c r="J94" s="103">
        <f>IF(Human_Data_Entry!BA92="","",Human_Data_Entry!BA92)</f>
        <v/>
      </c>
      <c r="K94" s="103">
        <f>IF(Human_Data_Entry!BB92="","",Human_Data_Entry!BB92)</f>
        <v/>
      </c>
      <c r="L94" s="103">
        <f>IF(Human_Data_Entry!BC92="","",Human_Data_Entry!BC92)</f>
        <v/>
      </c>
      <c r="M94" s="104">
        <f>IF(Human_Data_Entry!BD92="","",Human_Data_Entry!BD92)</f>
        <v/>
      </c>
      <c r="N94" s="104">
        <f>IF(Human_Data_Entry!BE92="","",Human_Data_Entry!BE92)</f>
        <v/>
      </c>
      <c r="O94" s="105">
        <f>IF(Human_Data_Entry!BF92="","",Human_Data_Entry!BF92)</f>
        <v/>
      </c>
      <c r="P94" s="103">
        <f>IF(Human_Data_Entry!BG92="","",Human_Data_Entry!BG92)</f>
        <v/>
      </c>
      <c r="Q94" s="103">
        <f>IF(Human_Data_Entry!BL92="","",Human_Data_Entry!BL92)</f>
        <v/>
      </c>
      <c r="R94" s="103">
        <f>IF(Human_Data_Entry!BH92="","",Human_Data_Entry!BH92)</f>
        <v/>
      </c>
      <c r="S94" s="103">
        <f>IF(Human_Data_Entry!BI92="","",Human_Data_Entry!BI92)</f>
        <v/>
      </c>
      <c r="T94" s="103">
        <f>IF(Human_Data_Entry!BJ92="","",Human_Data_Entry!BJ92)</f>
        <v/>
      </c>
      <c r="U94" s="103">
        <f>IF(Human_Data_Entry!AP92="","",Human_Data_Entry!AP92)</f>
        <v/>
      </c>
      <c r="V94" s="103">
        <f>IF(Human_Data_Entry!AQ92="","",Human_Data_Entry!AQ92)</f>
        <v/>
      </c>
      <c r="W94" s="103">
        <f>IF(Human_Data_Entry!AR92="","",Human_Data_Entry!AR92)</f>
        <v/>
      </c>
      <c r="X94" s="103">
        <f>IF(Human_Data_Entry!BK92="","",Human_Data_Entry!BK92)</f>
        <v/>
      </c>
    </row>
    <row r="95" ht="15" customHeight="1" s="241">
      <c r="A95" s="103">
        <f>IF(Human_Data_Entry!A93="","",Human_Data_Entry!A93)</f>
        <v/>
      </c>
      <c r="B95" s="103">
        <f>IF(Human_Data_Entry!B93="","",Human_Data_Entry!B93)</f>
        <v/>
      </c>
      <c r="C95" s="104">
        <f>IF(Human_Data_Entry!C93="","",Human_Data_Entry!C93)</f>
        <v/>
      </c>
      <c r="D95" s="103">
        <f>IF(Human_Data_Entry!D93="","",Human_Data_Entry!D93)</f>
        <v/>
      </c>
      <c r="E95" s="103">
        <f>IF(Human_Data_Entry!G93="","",Human_Data_Entry!G93)</f>
        <v/>
      </c>
      <c r="F95" s="103">
        <f>IF(Human_Data_Entry!X93="","",Human_Data_Entry!X93)</f>
        <v/>
      </c>
      <c r="G95" s="103">
        <f>IF(Human_Data_Entry!AY93="","",Human_Data_Entry!AY93)</f>
        <v/>
      </c>
      <c r="H95" s="103">
        <f>IF(Human_Data_Entry!AS93="","",Human_Data_Entry!AS93)</f>
        <v/>
      </c>
      <c r="I95" s="103">
        <f>IF(Human_Data_Entry!F93="","",Human_Data_Entry!F93)</f>
        <v/>
      </c>
      <c r="J95" s="103">
        <f>IF(Human_Data_Entry!BA93="","",Human_Data_Entry!BA93)</f>
        <v/>
      </c>
      <c r="K95" s="103">
        <f>IF(Human_Data_Entry!BB93="","",Human_Data_Entry!BB93)</f>
        <v/>
      </c>
      <c r="L95" s="103">
        <f>IF(Human_Data_Entry!BC93="","",Human_Data_Entry!BC93)</f>
        <v/>
      </c>
      <c r="M95" s="104">
        <f>IF(Human_Data_Entry!BD93="","",Human_Data_Entry!BD93)</f>
        <v/>
      </c>
      <c r="N95" s="104">
        <f>IF(Human_Data_Entry!BE93="","",Human_Data_Entry!BE93)</f>
        <v/>
      </c>
      <c r="O95" s="105">
        <f>IF(Human_Data_Entry!BF93="","",Human_Data_Entry!BF93)</f>
        <v/>
      </c>
      <c r="P95" s="103">
        <f>IF(Human_Data_Entry!BG93="","",Human_Data_Entry!BG93)</f>
        <v/>
      </c>
      <c r="Q95" s="103">
        <f>IF(Human_Data_Entry!BL93="","",Human_Data_Entry!BL93)</f>
        <v/>
      </c>
      <c r="R95" s="103">
        <f>IF(Human_Data_Entry!BH93="","",Human_Data_Entry!BH93)</f>
        <v/>
      </c>
      <c r="S95" s="103">
        <f>IF(Human_Data_Entry!BI93="","",Human_Data_Entry!BI93)</f>
        <v/>
      </c>
      <c r="T95" s="103">
        <f>IF(Human_Data_Entry!BJ93="","",Human_Data_Entry!BJ93)</f>
        <v/>
      </c>
      <c r="U95" s="103">
        <f>IF(Human_Data_Entry!AP93="","",Human_Data_Entry!AP93)</f>
        <v/>
      </c>
      <c r="V95" s="103">
        <f>IF(Human_Data_Entry!AQ93="","",Human_Data_Entry!AQ93)</f>
        <v/>
      </c>
      <c r="W95" s="103">
        <f>IF(Human_Data_Entry!AR93="","",Human_Data_Entry!AR93)</f>
        <v/>
      </c>
      <c r="X95" s="103">
        <f>IF(Human_Data_Entry!BK93="","",Human_Data_Entry!BK93)</f>
        <v/>
      </c>
    </row>
    <row r="96" ht="15" customHeight="1" s="241">
      <c r="A96" s="103">
        <f>IF(Human_Data_Entry!A94="","",Human_Data_Entry!A94)</f>
        <v/>
      </c>
      <c r="B96" s="103">
        <f>IF(Human_Data_Entry!B94="","",Human_Data_Entry!B94)</f>
        <v/>
      </c>
      <c r="C96" s="104">
        <f>IF(Human_Data_Entry!C94="","",Human_Data_Entry!C94)</f>
        <v/>
      </c>
      <c r="D96" s="103">
        <f>IF(Human_Data_Entry!D94="","",Human_Data_Entry!D94)</f>
        <v/>
      </c>
      <c r="E96" s="103">
        <f>IF(Human_Data_Entry!G94="","",Human_Data_Entry!G94)</f>
        <v/>
      </c>
      <c r="F96" s="103">
        <f>IF(Human_Data_Entry!X94="","",Human_Data_Entry!X94)</f>
        <v/>
      </c>
      <c r="G96" s="103">
        <f>IF(Human_Data_Entry!AY94="","",Human_Data_Entry!AY94)</f>
        <v/>
      </c>
      <c r="H96" s="103">
        <f>IF(Human_Data_Entry!AS94="","",Human_Data_Entry!AS94)</f>
        <v/>
      </c>
      <c r="I96" s="103">
        <f>IF(Human_Data_Entry!F94="","",Human_Data_Entry!F94)</f>
        <v/>
      </c>
      <c r="J96" s="103">
        <f>IF(Human_Data_Entry!BA94="","",Human_Data_Entry!BA94)</f>
        <v/>
      </c>
      <c r="K96" s="103">
        <f>IF(Human_Data_Entry!BB94="","",Human_Data_Entry!BB94)</f>
        <v/>
      </c>
      <c r="L96" s="103">
        <f>IF(Human_Data_Entry!BC94="","",Human_Data_Entry!BC94)</f>
        <v/>
      </c>
      <c r="M96" s="104">
        <f>IF(Human_Data_Entry!BD94="","",Human_Data_Entry!BD94)</f>
        <v/>
      </c>
      <c r="N96" s="104">
        <f>IF(Human_Data_Entry!BE94="","",Human_Data_Entry!BE94)</f>
        <v/>
      </c>
      <c r="O96" s="105">
        <f>IF(Human_Data_Entry!BF94="","",Human_Data_Entry!BF94)</f>
        <v/>
      </c>
      <c r="P96" s="103">
        <f>IF(Human_Data_Entry!BG94="","",Human_Data_Entry!BG94)</f>
        <v/>
      </c>
      <c r="Q96" s="103">
        <f>IF(Human_Data_Entry!BL94="","",Human_Data_Entry!BL94)</f>
        <v/>
      </c>
      <c r="R96" s="103">
        <f>IF(Human_Data_Entry!BH94="","",Human_Data_Entry!BH94)</f>
        <v/>
      </c>
      <c r="S96" s="103">
        <f>IF(Human_Data_Entry!BI94="","",Human_Data_Entry!BI94)</f>
        <v/>
      </c>
      <c r="T96" s="103">
        <f>IF(Human_Data_Entry!BJ94="","",Human_Data_Entry!BJ94)</f>
        <v/>
      </c>
      <c r="U96" s="103">
        <f>IF(Human_Data_Entry!AP94="","",Human_Data_Entry!AP94)</f>
        <v/>
      </c>
      <c r="V96" s="103">
        <f>IF(Human_Data_Entry!AQ94="","",Human_Data_Entry!AQ94)</f>
        <v/>
      </c>
      <c r="W96" s="103">
        <f>IF(Human_Data_Entry!AR94="","",Human_Data_Entry!AR94)</f>
        <v/>
      </c>
      <c r="X96" s="103">
        <f>IF(Human_Data_Entry!BK94="","",Human_Data_Entry!BK94)</f>
        <v/>
      </c>
    </row>
    <row r="97" ht="15" customHeight="1" s="241">
      <c r="A97" s="103">
        <f>IF(Human_Data_Entry!A95="","",Human_Data_Entry!A95)</f>
        <v/>
      </c>
      <c r="B97" s="103">
        <f>IF(Human_Data_Entry!B95="","",Human_Data_Entry!B95)</f>
        <v/>
      </c>
      <c r="C97" s="104">
        <f>IF(Human_Data_Entry!C95="","",Human_Data_Entry!C95)</f>
        <v/>
      </c>
      <c r="D97" s="103">
        <f>IF(Human_Data_Entry!D95="","",Human_Data_Entry!D95)</f>
        <v/>
      </c>
      <c r="E97" s="103">
        <f>IF(Human_Data_Entry!G95="","",Human_Data_Entry!G95)</f>
        <v/>
      </c>
      <c r="F97" s="103">
        <f>IF(Human_Data_Entry!X95="","",Human_Data_Entry!X95)</f>
        <v/>
      </c>
      <c r="G97" s="103">
        <f>IF(Human_Data_Entry!AY95="","",Human_Data_Entry!AY95)</f>
        <v/>
      </c>
      <c r="H97" s="103">
        <f>IF(Human_Data_Entry!AS95="","",Human_Data_Entry!AS95)</f>
        <v/>
      </c>
      <c r="I97" s="103">
        <f>IF(Human_Data_Entry!F95="","",Human_Data_Entry!F95)</f>
        <v/>
      </c>
      <c r="J97" s="103">
        <f>IF(Human_Data_Entry!BA95="","",Human_Data_Entry!BA95)</f>
        <v/>
      </c>
      <c r="K97" s="103">
        <f>IF(Human_Data_Entry!BB95="","",Human_Data_Entry!BB95)</f>
        <v/>
      </c>
      <c r="L97" s="103">
        <f>IF(Human_Data_Entry!BC95="","",Human_Data_Entry!BC95)</f>
        <v/>
      </c>
      <c r="M97" s="104">
        <f>IF(Human_Data_Entry!BD95="","",Human_Data_Entry!BD95)</f>
        <v/>
      </c>
      <c r="N97" s="104">
        <f>IF(Human_Data_Entry!BE95="","",Human_Data_Entry!BE95)</f>
        <v/>
      </c>
      <c r="O97" s="105">
        <f>IF(Human_Data_Entry!BF95="","",Human_Data_Entry!BF95)</f>
        <v/>
      </c>
      <c r="P97" s="103">
        <f>IF(Human_Data_Entry!BG95="","",Human_Data_Entry!BG95)</f>
        <v/>
      </c>
      <c r="Q97" s="103">
        <f>IF(Human_Data_Entry!BL95="","",Human_Data_Entry!BL95)</f>
        <v/>
      </c>
      <c r="R97" s="103">
        <f>IF(Human_Data_Entry!BH95="","",Human_Data_Entry!BH95)</f>
        <v/>
      </c>
      <c r="S97" s="103">
        <f>IF(Human_Data_Entry!BI95="","",Human_Data_Entry!BI95)</f>
        <v/>
      </c>
      <c r="T97" s="103">
        <f>IF(Human_Data_Entry!BJ95="","",Human_Data_Entry!BJ95)</f>
        <v/>
      </c>
      <c r="U97" s="103">
        <f>IF(Human_Data_Entry!AP95="","",Human_Data_Entry!AP95)</f>
        <v/>
      </c>
      <c r="V97" s="103">
        <f>IF(Human_Data_Entry!AQ95="","",Human_Data_Entry!AQ95)</f>
        <v/>
      </c>
      <c r="W97" s="103">
        <f>IF(Human_Data_Entry!AR95="","",Human_Data_Entry!AR95)</f>
        <v/>
      </c>
      <c r="X97" s="103">
        <f>IF(Human_Data_Entry!BK95="","",Human_Data_Entry!BK95)</f>
        <v/>
      </c>
    </row>
    <row r="98" ht="15" customHeight="1" s="241">
      <c r="A98" s="103">
        <f>IF(Human_Data_Entry!A96="","",Human_Data_Entry!A96)</f>
        <v/>
      </c>
      <c r="B98" s="103">
        <f>IF(Human_Data_Entry!B96="","",Human_Data_Entry!B96)</f>
        <v/>
      </c>
      <c r="C98" s="104">
        <f>IF(Human_Data_Entry!C96="","",Human_Data_Entry!C96)</f>
        <v/>
      </c>
      <c r="D98" s="103">
        <f>IF(Human_Data_Entry!D96="","",Human_Data_Entry!D96)</f>
        <v/>
      </c>
      <c r="E98" s="103">
        <f>IF(Human_Data_Entry!G96="","",Human_Data_Entry!G96)</f>
        <v/>
      </c>
      <c r="F98" s="103">
        <f>IF(Human_Data_Entry!X96="","",Human_Data_Entry!X96)</f>
        <v/>
      </c>
      <c r="G98" s="103">
        <f>IF(Human_Data_Entry!AY96="","",Human_Data_Entry!AY96)</f>
        <v/>
      </c>
      <c r="H98" s="103">
        <f>IF(Human_Data_Entry!AS96="","",Human_Data_Entry!AS96)</f>
        <v/>
      </c>
      <c r="I98" s="103">
        <f>IF(Human_Data_Entry!F96="","",Human_Data_Entry!F96)</f>
        <v/>
      </c>
      <c r="J98" s="103">
        <f>IF(Human_Data_Entry!BA96="","",Human_Data_Entry!BA96)</f>
        <v/>
      </c>
      <c r="K98" s="103">
        <f>IF(Human_Data_Entry!BB96="","",Human_Data_Entry!BB96)</f>
        <v/>
      </c>
      <c r="L98" s="103">
        <f>IF(Human_Data_Entry!BC96="","",Human_Data_Entry!BC96)</f>
        <v/>
      </c>
      <c r="M98" s="104">
        <f>IF(Human_Data_Entry!BD96="","",Human_Data_Entry!BD96)</f>
        <v/>
      </c>
      <c r="N98" s="104">
        <f>IF(Human_Data_Entry!BE96="","",Human_Data_Entry!BE96)</f>
        <v/>
      </c>
      <c r="O98" s="105">
        <f>IF(Human_Data_Entry!BF96="","",Human_Data_Entry!BF96)</f>
        <v/>
      </c>
      <c r="P98" s="103">
        <f>IF(Human_Data_Entry!BG96="","",Human_Data_Entry!BG96)</f>
        <v/>
      </c>
      <c r="Q98" s="103">
        <f>IF(Human_Data_Entry!BL96="","",Human_Data_Entry!BL96)</f>
        <v/>
      </c>
      <c r="R98" s="103">
        <f>IF(Human_Data_Entry!BH96="","",Human_Data_Entry!BH96)</f>
        <v/>
      </c>
      <c r="S98" s="103">
        <f>IF(Human_Data_Entry!BI96="","",Human_Data_Entry!BI96)</f>
        <v/>
      </c>
      <c r="T98" s="103">
        <f>IF(Human_Data_Entry!BJ96="","",Human_Data_Entry!BJ96)</f>
        <v/>
      </c>
      <c r="U98" s="103">
        <f>IF(Human_Data_Entry!AP96="","",Human_Data_Entry!AP96)</f>
        <v/>
      </c>
      <c r="V98" s="103">
        <f>IF(Human_Data_Entry!AQ96="","",Human_Data_Entry!AQ96)</f>
        <v/>
      </c>
      <c r="W98" s="103">
        <f>IF(Human_Data_Entry!AR96="","",Human_Data_Entry!AR96)</f>
        <v/>
      </c>
      <c r="X98" s="103">
        <f>IF(Human_Data_Entry!BK96="","",Human_Data_Entry!BK96)</f>
        <v/>
      </c>
    </row>
    <row r="99" ht="15" customHeight="1" s="241">
      <c r="A99" s="103">
        <f>IF(Human_Data_Entry!A97="","",Human_Data_Entry!A97)</f>
        <v/>
      </c>
      <c r="B99" s="103">
        <f>IF(Human_Data_Entry!B97="","",Human_Data_Entry!B97)</f>
        <v/>
      </c>
      <c r="C99" s="104">
        <f>IF(Human_Data_Entry!C97="","",Human_Data_Entry!C97)</f>
        <v/>
      </c>
      <c r="D99" s="103">
        <f>IF(Human_Data_Entry!D97="","",Human_Data_Entry!D97)</f>
        <v/>
      </c>
      <c r="E99" s="103">
        <f>IF(Human_Data_Entry!G97="","",Human_Data_Entry!G97)</f>
        <v/>
      </c>
      <c r="F99" s="103">
        <f>IF(Human_Data_Entry!X97="","",Human_Data_Entry!X97)</f>
        <v/>
      </c>
      <c r="G99" s="103">
        <f>IF(Human_Data_Entry!AY97="","",Human_Data_Entry!AY97)</f>
        <v/>
      </c>
      <c r="H99" s="103">
        <f>IF(Human_Data_Entry!AS97="","",Human_Data_Entry!AS97)</f>
        <v/>
      </c>
      <c r="I99" s="103">
        <f>IF(Human_Data_Entry!F97="","",Human_Data_Entry!F97)</f>
        <v/>
      </c>
      <c r="J99" s="103">
        <f>IF(Human_Data_Entry!BA97="","",Human_Data_Entry!BA97)</f>
        <v/>
      </c>
      <c r="K99" s="103">
        <f>IF(Human_Data_Entry!BB97="","",Human_Data_Entry!BB97)</f>
        <v/>
      </c>
      <c r="L99" s="103">
        <f>IF(Human_Data_Entry!BC97="","",Human_Data_Entry!BC97)</f>
        <v/>
      </c>
      <c r="M99" s="104">
        <f>IF(Human_Data_Entry!BD97="","",Human_Data_Entry!BD97)</f>
        <v/>
      </c>
      <c r="N99" s="104">
        <f>IF(Human_Data_Entry!BE97="","",Human_Data_Entry!BE97)</f>
        <v/>
      </c>
      <c r="O99" s="105">
        <f>IF(Human_Data_Entry!BF97="","",Human_Data_Entry!BF97)</f>
        <v/>
      </c>
      <c r="P99" s="103">
        <f>IF(Human_Data_Entry!BG97="","",Human_Data_Entry!BG97)</f>
        <v/>
      </c>
      <c r="Q99" s="103">
        <f>IF(Human_Data_Entry!BL97="","",Human_Data_Entry!BL97)</f>
        <v/>
      </c>
      <c r="R99" s="103">
        <f>IF(Human_Data_Entry!BH97="","",Human_Data_Entry!BH97)</f>
        <v/>
      </c>
      <c r="S99" s="103">
        <f>IF(Human_Data_Entry!BI97="","",Human_Data_Entry!BI97)</f>
        <v/>
      </c>
      <c r="T99" s="103">
        <f>IF(Human_Data_Entry!BJ97="","",Human_Data_Entry!BJ97)</f>
        <v/>
      </c>
      <c r="U99" s="103">
        <f>IF(Human_Data_Entry!AP97="","",Human_Data_Entry!AP97)</f>
        <v/>
      </c>
      <c r="V99" s="103">
        <f>IF(Human_Data_Entry!AQ97="","",Human_Data_Entry!AQ97)</f>
        <v/>
      </c>
      <c r="W99" s="103">
        <f>IF(Human_Data_Entry!AR97="","",Human_Data_Entry!AR97)</f>
        <v/>
      </c>
      <c r="X99" s="103">
        <f>IF(Human_Data_Entry!BK97="","",Human_Data_Entry!BK97)</f>
        <v/>
      </c>
    </row>
    <row r="100" ht="15" customHeight="1" s="241">
      <c r="A100" s="103">
        <f>IF(Human_Data_Entry!A98="","",Human_Data_Entry!A98)</f>
        <v/>
      </c>
      <c r="B100" s="103">
        <f>IF(Human_Data_Entry!B98="","",Human_Data_Entry!B98)</f>
        <v/>
      </c>
      <c r="C100" s="104">
        <f>IF(Human_Data_Entry!C98="","",Human_Data_Entry!C98)</f>
        <v/>
      </c>
      <c r="D100" s="103">
        <f>IF(Human_Data_Entry!D98="","",Human_Data_Entry!D98)</f>
        <v/>
      </c>
      <c r="E100" s="103">
        <f>IF(Human_Data_Entry!G98="","",Human_Data_Entry!G98)</f>
        <v/>
      </c>
      <c r="F100" s="103">
        <f>IF(Human_Data_Entry!X98="","",Human_Data_Entry!X98)</f>
        <v/>
      </c>
      <c r="G100" s="103">
        <f>IF(Human_Data_Entry!AY98="","",Human_Data_Entry!AY98)</f>
        <v/>
      </c>
      <c r="H100" s="103">
        <f>IF(Human_Data_Entry!AS98="","",Human_Data_Entry!AS98)</f>
        <v/>
      </c>
      <c r="I100" s="103">
        <f>IF(Human_Data_Entry!F98="","",Human_Data_Entry!F98)</f>
        <v/>
      </c>
      <c r="J100" s="103">
        <f>IF(Human_Data_Entry!BA98="","",Human_Data_Entry!BA98)</f>
        <v/>
      </c>
      <c r="K100" s="103">
        <f>IF(Human_Data_Entry!BB98="","",Human_Data_Entry!BB98)</f>
        <v/>
      </c>
      <c r="L100" s="103">
        <f>IF(Human_Data_Entry!BC98="","",Human_Data_Entry!BC98)</f>
        <v/>
      </c>
      <c r="M100" s="104">
        <f>IF(Human_Data_Entry!BD98="","",Human_Data_Entry!BD98)</f>
        <v/>
      </c>
      <c r="N100" s="104">
        <f>IF(Human_Data_Entry!BE98="","",Human_Data_Entry!BE98)</f>
        <v/>
      </c>
      <c r="O100" s="105">
        <f>IF(Human_Data_Entry!BF98="","",Human_Data_Entry!BF98)</f>
        <v/>
      </c>
      <c r="P100" s="103">
        <f>IF(Human_Data_Entry!BG98="","",Human_Data_Entry!BG98)</f>
        <v/>
      </c>
      <c r="Q100" s="103">
        <f>IF(Human_Data_Entry!BL98="","",Human_Data_Entry!BL98)</f>
        <v/>
      </c>
      <c r="R100" s="103">
        <f>IF(Human_Data_Entry!BH98="","",Human_Data_Entry!BH98)</f>
        <v/>
      </c>
      <c r="S100" s="103">
        <f>IF(Human_Data_Entry!BI98="","",Human_Data_Entry!BI98)</f>
        <v/>
      </c>
      <c r="T100" s="103">
        <f>IF(Human_Data_Entry!BJ98="","",Human_Data_Entry!BJ98)</f>
        <v/>
      </c>
      <c r="U100" s="103">
        <f>IF(Human_Data_Entry!AP98="","",Human_Data_Entry!AP98)</f>
        <v/>
      </c>
      <c r="V100" s="103">
        <f>IF(Human_Data_Entry!AQ98="","",Human_Data_Entry!AQ98)</f>
        <v/>
      </c>
      <c r="W100" s="103">
        <f>IF(Human_Data_Entry!AR98="","",Human_Data_Entry!AR98)</f>
        <v/>
      </c>
      <c r="X100" s="103">
        <f>IF(Human_Data_Entry!BK98="","",Human_Data_Entry!BK98)</f>
        <v/>
      </c>
    </row>
    <row r="101" ht="15" customHeight="1" s="241">
      <c r="A101" s="103">
        <f>IF(Human_Data_Entry!A99="","",Human_Data_Entry!A99)</f>
        <v/>
      </c>
      <c r="B101" s="103">
        <f>IF(Human_Data_Entry!B99="","",Human_Data_Entry!B99)</f>
        <v/>
      </c>
      <c r="C101" s="104">
        <f>IF(Human_Data_Entry!C99="","",Human_Data_Entry!C99)</f>
        <v/>
      </c>
      <c r="D101" s="103">
        <f>IF(Human_Data_Entry!D99="","",Human_Data_Entry!D99)</f>
        <v/>
      </c>
      <c r="E101" s="103">
        <f>IF(Human_Data_Entry!G99="","",Human_Data_Entry!G99)</f>
        <v/>
      </c>
      <c r="F101" s="103">
        <f>IF(Human_Data_Entry!X99="","",Human_Data_Entry!X99)</f>
        <v/>
      </c>
      <c r="G101" s="103">
        <f>IF(Human_Data_Entry!AY99="","",Human_Data_Entry!AY99)</f>
        <v/>
      </c>
      <c r="H101" s="103">
        <f>IF(Human_Data_Entry!AS99="","",Human_Data_Entry!AS99)</f>
        <v/>
      </c>
      <c r="I101" s="103">
        <f>IF(Human_Data_Entry!F99="","",Human_Data_Entry!F99)</f>
        <v/>
      </c>
      <c r="J101" s="103">
        <f>IF(Human_Data_Entry!BA99="","",Human_Data_Entry!BA99)</f>
        <v/>
      </c>
      <c r="K101" s="103">
        <f>IF(Human_Data_Entry!BB99="","",Human_Data_Entry!BB99)</f>
        <v/>
      </c>
      <c r="L101" s="103">
        <f>IF(Human_Data_Entry!BC99="","",Human_Data_Entry!BC99)</f>
        <v/>
      </c>
      <c r="M101" s="104">
        <f>IF(Human_Data_Entry!BD99="","",Human_Data_Entry!BD99)</f>
        <v/>
      </c>
      <c r="N101" s="104">
        <f>IF(Human_Data_Entry!BE99="","",Human_Data_Entry!BE99)</f>
        <v/>
      </c>
      <c r="O101" s="105">
        <f>IF(Human_Data_Entry!BF99="","",Human_Data_Entry!BF99)</f>
        <v/>
      </c>
      <c r="P101" s="103">
        <f>IF(Human_Data_Entry!BG99="","",Human_Data_Entry!BG99)</f>
        <v/>
      </c>
      <c r="Q101" s="103">
        <f>IF(Human_Data_Entry!BL99="","",Human_Data_Entry!BL99)</f>
        <v/>
      </c>
      <c r="R101" s="103">
        <f>IF(Human_Data_Entry!BH99="","",Human_Data_Entry!BH99)</f>
        <v/>
      </c>
      <c r="S101" s="103">
        <f>IF(Human_Data_Entry!BI99="","",Human_Data_Entry!BI99)</f>
        <v/>
      </c>
      <c r="T101" s="103">
        <f>IF(Human_Data_Entry!BJ99="","",Human_Data_Entry!BJ99)</f>
        <v/>
      </c>
      <c r="U101" s="103">
        <f>IF(Human_Data_Entry!AP99="","",Human_Data_Entry!AP99)</f>
        <v/>
      </c>
      <c r="V101" s="103">
        <f>IF(Human_Data_Entry!AQ99="","",Human_Data_Entry!AQ99)</f>
        <v/>
      </c>
      <c r="W101" s="103">
        <f>IF(Human_Data_Entry!AR99="","",Human_Data_Entry!AR99)</f>
        <v/>
      </c>
      <c r="X101" s="103">
        <f>IF(Human_Data_Entry!BK99="","",Human_Data_Entry!BK99)</f>
        <v/>
      </c>
    </row>
    <row r="102" ht="15" customHeight="1" s="241">
      <c r="A102" s="103">
        <f>IF(Human_Data_Entry!A100="","",Human_Data_Entry!A100)</f>
        <v/>
      </c>
      <c r="B102" s="103">
        <f>IF(Human_Data_Entry!B100="","",Human_Data_Entry!B100)</f>
        <v/>
      </c>
      <c r="C102" s="104">
        <f>IF(Human_Data_Entry!C100="","",Human_Data_Entry!C100)</f>
        <v/>
      </c>
      <c r="D102" s="103">
        <f>IF(Human_Data_Entry!D100="","",Human_Data_Entry!D100)</f>
        <v/>
      </c>
      <c r="E102" s="103">
        <f>IF(Human_Data_Entry!G100="","",Human_Data_Entry!G100)</f>
        <v/>
      </c>
      <c r="F102" s="103">
        <f>IF(Human_Data_Entry!X100="","",Human_Data_Entry!X100)</f>
        <v/>
      </c>
      <c r="G102" s="103">
        <f>IF(Human_Data_Entry!AY100="","",Human_Data_Entry!AY100)</f>
        <v/>
      </c>
      <c r="H102" s="103">
        <f>IF(Human_Data_Entry!AS100="","",Human_Data_Entry!AS100)</f>
        <v/>
      </c>
      <c r="I102" s="103">
        <f>IF(Human_Data_Entry!F100="","",Human_Data_Entry!F100)</f>
        <v/>
      </c>
      <c r="J102" s="103">
        <f>IF(Human_Data_Entry!BA100="","",Human_Data_Entry!BA100)</f>
        <v/>
      </c>
      <c r="K102" s="103">
        <f>IF(Human_Data_Entry!BB100="","",Human_Data_Entry!BB100)</f>
        <v/>
      </c>
      <c r="L102" s="103">
        <f>IF(Human_Data_Entry!BC100="","",Human_Data_Entry!BC100)</f>
        <v/>
      </c>
      <c r="M102" s="104">
        <f>IF(Human_Data_Entry!BD100="","",Human_Data_Entry!BD100)</f>
        <v/>
      </c>
      <c r="N102" s="104">
        <f>IF(Human_Data_Entry!BE100="","",Human_Data_Entry!BE100)</f>
        <v/>
      </c>
      <c r="O102" s="105">
        <f>IF(Human_Data_Entry!BF100="","",Human_Data_Entry!BF100)</f>
        <v/>
      </c>
      <c r="P102" s="103">
        <f>IF(Human_Data_Entry!BG100="","",Human_Data_Entry!BG100)</f>
        <v/>
      </c>
      <c r="Q102" s="103">
        <f>IF(Human_Data_Entry!BL100="","",Human_Data_Entry!BL100)</f>
        <v/>
      </c>
      <c r="R102" s="103">
        <f>IF(Human_Data_Entry!BH100="","",Human_Data_Entry!BH100)</f>
        <v/>
      </c>
      <c r="S102" s="103">
        <f>IF(Human_Data_Entry!BI100="","",Human_Data_Entry!BI100)</f>
        <v/>
      </c>
      <c r="T102" s="103">
        <f>IF(Human_Data_Entry!BJ100="","",Human_Data_Entry!BJ100)</f>
        <v/>
      </c>
      <c r="U102" s="103">
        <f>IF(Human_Data_Entry!AP100="","",Human_Data_Entry!AP100)</f>
        <v/>
      </c>
      <c r="V102" s="103">
        <f>IF(Human_Data_Entry!AQ100="","",Human_Data_Entry!AQ100)</f>
        <v/>
      </c>
      <c r="W102" s="103">
        <f>IF(Human_Data_Entry!AR100="","",Human_Data_Entry!AR100)</f>
        <v/>
      </c>
      <c r="X102" s="103">
        <f>IF(Human_Data_Entry!BK100="","",Human_Data_Entry!BK100)</f>
        <v/>
      </c>
    </row>
    <row r="103" ht="15" customHeight="1" s="241">
      <c r="A103" s="103">
        <f>IF(Human_Data_Entry!A101="","",Human_Data_Entry!A101)</f>
        <v/>
      </c>
      <c r="B103" s="103">
        <f>IF(Human_Data_Entry!B101="","",Human_Data_Entry!B101)</f>
        <v/>
      </c>
      <c r="C103" s="104">
        <f>IF(Human_Data_Entry!C101="","",Human_Data_Entry!C101)</f>
        <v/>
      </c>
      <c r="D103" s="103">
        <f>IF(Human_Data_Entry!D101="","",Human_Data_Entry!D101)</f>
        <v/>
      </c>
      <c r="E103" s="103">
        <f>IF(Human_Data_Entry!G101="","",Human_Data_Entry!G101)</f>
        <v/>
      </c>
      <c r="F103" s="103">
        <f>IF(Human_Data_Entry!X101="","",Human_Data_Entry!X101)</f>
        <v/>
      </c>
      <c r="G103" s="103">
        <f>IF(Human_Data_Entry!AY101="","",Human_Data_Entry!AY101)</f>
        <v/>
      </c>
      <c r="H103" s="103">
        <f>IF(Human_Data_Entry!AS101="","",Human_Data_Entry!AS101)</f>
        <v/>
      </c>
      <c r="I103" s="103">
        <f>IF(Human_Data_Entry!F101="","",Human_Data_Entry!F101)</f>
        <v/>
      </c>
      <c r="J103" s="103">
        <f>IF(Human_Data_Entry!BA101="","",Human_Data_Entry!BA101)</f>
        <v/>
      </c>
      <c r="K103" s="103">
        <f>IF(Human_Data_Entry!BB101="","",Human_Data_Entry!BB101)</f>
        <v/>
      </c>
      <c r="L103" s="103">
        <f>IF(Human_Data_Entry!BC101="","",Human_Data_Entry!BC101)</f>
        <v/>
      </c>
      <c r="M103" s="104">
        <f>IF(Human_Data_Entry!BD101="","",Human_Data_Entry!BD101)</f>
        <v/>
      </c>
      <c r="N103" s="104">
        <f>IF(Human_Data_Entry!BE101="","",Human_Data_Entry!BE101)</f>
        <v/>
      </c>
      <c r="O103" s="105">
        <f>IF(Human_Data_Entry!BF101="","",Human_Data_Entry!BF101)</f>
        <v/>
      </c>
      <c r="P103" s="103">
        <f>IF(Human_Data_Entry!BG101="","",Human_Data_Entry!BG101)</f>
        <v/>
      </c>
      <c r="Q103" s="103">
        <f>IF(Human_Data_Entry!BL101="","",Human_Data_Entry!BL101)</f>
        <v/>
      </c>
      <c r="R103" s="103">
        <f>IF(Human_Data_Entry!BH101="","",Human_Data_Entry!BH101)</f>
        <v/>
      </c>
      <c r="S103" s="103">
        <f>IF(Human_Data_Entry!BI101="","",Human_Data_Entry!BI101)</f>
        <v/>
      </c>
      <c r="T103" s="103">
        <f>IF(Human_Data_Entry!BJ101="","",Human_Data_Entry!BJ101)</f>
        <v/>
      </c>
      <c r="U103" s="103">
        <f>IF(Human_Data_Entry!AP101="","",Human_Data_Entry!AP101)</f>
        <v/>
      </c>
      <c r="V103" s="103">
        <f>IF(Human_Data_Entry!AQ101="","",Human_Data_Entry!AQ101)</f>
        <v/>
      </c>
      <c r="W103" s="103">
        <f>IF(Human_Data_Entry!AR101="","",Human_Data_Entry!AR101)</f>
        <v/>
      </c>
      <c r="X103" s="103">
        <f>IF(Human_Data_Entry!BK101="","",Human_Data_Entry!BK101)</f>
        <v/>
      </c>
    </row>
    <row r="104" ht="15" customHeight="1" s="241">
      <c r="A104" s="103">
        <f>IF(Human_Data_Entry!A102="","",Human_Data_Entry!A102)</f>
        <v/>
      </c>
      <c r="B104" s="103">
        <f>IF(Human_Data_Entry!B102="","",Human_Data_Entry!B102)</f>
        <v/>
      </c>
      <c r="C104" s="104">
        <f>IF(Human_Data_Entry!C102="","",Human_Data_Entry!C102)</f>
        <v/>
      </c>
      <c r="D104" s="103">
        <f>IF(Human_Data_Entry!D102="","",Human_Data_Entry!D102)</f>
        <v/>
      </c>
      <c r="E104" s="103">
        <f>IF(Human_Data_Entry!G102="","",Human_Data_Entry!G102)</f>
        <v/>
      </c>
      <c r="F104" s="103">
        <f>IF(Human_Data_Entry!X102="","",Human_Data_Entry!X102)</f>
        <v/>
      </c>
      <c r="G104" s="103">
        <f>IF(Human_Data_Entry!AY102="","",Human_Data_Entry!AY102)</f>
        <v/>
      </c>
      <c r="H104" s="103">
        <f>IF(Human_Data_Entry!AS102="","",Human_Data_Entry!AS102)</f>
        <v/>
      </c>
      <c r="I104" s="103">
        <f>IF(Human_Data_Entry!F102="","",Human_Data_Entry!F102)</f>
        <v/>
      </c>
      <c r="J104" s="103">
        <f>IF(Human_Data_Entry!BA102="","",Human_Data_Entry!BA102)</f>
        <v/>
      </c>
      <c r="K104" s="103">
        <f>IF(Human_Data_Entry!BB102="","",Human_Data_Entry!BB102)</f>
        <v/>
      </c>
      <c r="L104" s="103">
        <f>IF(Human_Data_Entry!BC102="","",Human_Data_Entry!BC102)</f>
        <v/>
      </c>
      <c r="M104" s="104">
        <f>IF(Human_Data_Entry!BD102="","",Human_Data_Entry!BD102)</f>
        <v/>
      </c>
      <c r="N104" s="104">
        <f>IF(Human_Data_Entry!BE102="","",Human_Data_Entry!BE102)</f>
        <v/>
      </c>
      <c r="O104" s="105">
        <f>IF(Human_Data_Entry!BF102="","",Human_Data_Entry!BF102)</f>
        <v/>
      </c>
      <c r="P104" s="103">
        <f>IF(Human_Data_Entry!BG102="","",Human_Data_Entry!BG102)</f>
        <v/>
      </c>
      <c r="Q104" s="103">
        <f>IF(Human_Data_Entry!BL102="","",Human_Data_Entry!BL102)</f>
        <v/>
      </c>
      <c r="R104" s="103">
        <f>IF(Human_Data_Entry!BH102="","",Human_Data_Entry!BH102)</f>
        <v/>
      </c>
      <c r="S104" s="103">
        <f>IF(Human_Data_Entry!BI102="","",Human_Data_Entry!BI102)</f>
        <v/>
      </c>
      <c r="T104" s="103">
        <f>IF(Human_Data_Entry!BJ102="","",Human_Data_Entry!BJ102)</f>
        <v/>
      </c>
      <c r="U104" s="103">
        <f>IF(Human_Data_Entry!AP102="","",Human_Data_Entry!AP102)</f>
        <v/>
      </c>
      <c r="V104" s="103">
        <f>IF(Human_Data_Entry!AQ102="","",Human_Data_Entry!AQ102)</f>
        <v/>
      </c>
      <c r="W104" s="103">
        <f>IF(Human_Data_Entry!AR102="","",Human_Data_Entry!AR102)</f>
        <v/>
      </c>
      <c r="X104" s="103">
        <f>IF(Human_Data_Entry!BK102="","",Human_Data_Entry!BK102)</f>
        <v/>
      </c>
    </row>
    <row r="105" ht="15" customHeight="1" s="241">
      <c r="A105" s="103">
        <f>IF(Human_Data_Entry!A103="","",Human_Data_Entry!A103)</f>
        <v/>
      </c>
      <c r="B105" s="103">
        <f>IF(Human_Data_Entry!B103="","",Human_Data_Entry!B103)</f>
        <v/>
      </c>
      <c r="C105" s="104">
        <f>IF(Human_Data_Entry!C103="","",Human_Data_Entry!C103)</f>
        <v/>
      </c>
      <c r="D105" s="103">
        <f>IF(Human_Data_Entry!D103="","",Human_Data_Entry!D103)</f>
        <v/>
      </c>
      <c r="E105" s="103">
        <f>IF(Human_Data_Entry!G103="","",Human_Data_Entry!G103)</f>
        <v/>
      </c>
      <c r="F105" s="103">
        <f>IF(Human_Data_Entry!X103="","",Human_Data_Entry!X103)</f>
        <v/>
      </c>
      <c r="G105" s="103">
        <f>IF(Human_Data_Entry!AY103="","",Human_Data_Entry!AY103)</f>
        <v/>
      </c>
      <c r="H105" s="103">
        <f>IF(Human_Data_Entry!AS103="","",Human_Data_Entry!AS103)</f>
        <v/>
      </c>
      <c r="I105" s="103">
        <f>IF(Human_Data_Entry!F103="","",Human_Data_Entry!F103)</f>
        <v/>
      </c>
      <c r="J105" s="103">
        <f>IF(Human_Data_Entry!BA103="","",Human_Data_Entry!BA103)</f>
        <v/>
      </c>
      <c r="K105" s="103">
        <f>IF(Human_Data_Entry!BB103="","",Human_Data_Entry!BB103)</f>
        <v/>
      </c>
      <c r="L105" s="103">
        <f>IF(Human_Data_Entry!BC103="","",Human_Data_Entry!BC103)</f>
        <v/>
      </c>
      <c r="M105" s="104">
        <f>IF(Human_Data_Entry!BD103="","",Human_Data_Entry!BD103)</f>
        <v/>
      </c>
      <c r="N105" s="104">
        <f>IF(Human_Data_Entry!BE103="","",Human_Data_Entry!BE103)</f>
        <v/>
      </c>
      <c r="O105" s="105">
        <f>IF(Human_Data_Entry!BF103="","",Human_Data_Entry!BF103)</f>
        <v/>
      </c>
      <c r="P105" s="103">
        <f>IF(Human_Data_Entry!BG103="","",Human_Data_Entry!BG103)</f>
        <v/>
      </c>
      <c r="Q105" s="103">
        <f>IF(Human_Data_Entry!BL103="","",Human_Data_Entry!BL103)</f>
        <v/>
      </c>
      <c r="R105" s="103">
        <f>IF(Human_Data_Entry!BH103="","",Human_Data_Entry!BH103)</f>
        <v/>
      </c>
      <c r="S105" s="103">
        <f>IF(Human_Data_Entry!BI103="","",Human_Data_Entry!BI103)</f>
        <v/>
      </c>
      <c r="T105" s="103">
        <f>IF(Human_Data_Entry!BJ103="","",Human_Data_Entry!BJ103)</f>
        <v/>
      </c>
      <c r="U105" s="103">
        <f>IF(Human_Data_Entry!AP103="","",Human_Data_Entry!AP103)</f>
        <v/>
      </c>
      <c r="V105" s="103">
        <f>IF(Human_Data_Entry!AQ103="","",Human_Data_Entry!AQ103)</f>
        <v/>
      </c>
      <c r="W105" s="103">
        <f>IF(Human_Data_Entry!AR103="","",Human_Data_Entry!AR103)</f>
        <v/>
      </c>
      <c r="X105" s="103">
        <f>IF(Human_Data_Entry!BK103="","",Human_Data_Entry!BK103)</f>
        <v/>
      </c>
    </row>
    <row r="106" ht="15" customHeight="1" s="241">
      <c r="A106" s="103">
        <f>IF(Human_Data_Entry!A104="","",Human_Data_Entry!A104)</f>
        <v/>
      </c>
      <c r="B106" s="103">
        <f>IF(Human_Data_Entry!B104="","",Human_Data_Entry!B104)</f>
        <v/>
      </c>
      <c r="C106" s="104">
        <f>IF(Human_Data_Entry!C104="","",Human_Data_Entry!C104)</f>
        <v/>
      </c>
      <c r="D106" s="103">
        <f>IF(Human_Data_Entry!D104="","",Human_Data_Entry!D104)</f>
        <v/>
      </c>
      <c r="E106" s="103">
        <f>IF(Human_Data_Entry!G104="","",Human_Data_Entry!G104)</f>
        <v/>
      </c>
      <c r="F106" s="103">
        <f>IF(Human_Data_Entry!X104="","",Human_Data_Entry!X104)</f>
        <v/>
      </c>
      <c r="G106" s="103">
        <f>IF(Human_Data_Entry!AY104="","",Human_Data_Entry!AY104)</f>
        <v/>
      </c>
      <c r="H106" s="103">
        <f>IF(Human_Data_Entry!AS104="","",Human_Data_Entry!AS104)</f>
        <v/>
      </c>
      <c r="I106" s="103">
        <f>IF(Human_Data_Entry!F104="","",Human_Data_Entry!F104)</f>
        <v/>
      </c>
      <c r="J106" s="103">
        <f>IF(Human_Data_Entry!BA104="","",Human_Data_Entry!BA104)</f>
        <v/>
      </c>
      <c r="K106" s="103">
        <f>IF(Human_Data_Entry!BB104="","",Human_Data_Entry!BB104)</f>
        <v/>
      </c>
      <c r="L106" s="103">
        <f>IF(Human_Data_Entry!BC104="","",Human_Data_Entry!BC104)</f>
        <v/>
      </c>
      <c r="M106" s="104">
        <f>IF(Human_Data_Entry!BD104="","",Human_Data_Entry!BD104)</f>
        <v/>
      </c>
      <c r="N106" s="104">
        <f>IF(Human_Data_Entry!BE104="","",Human_Data_Entry!BE104)</f>
        <v/>
      </c>
      <c r="O106" s="105">
        <f>IF(Human_Data_Entry!BF104="","",Human_Data_Entry!BF104)</f>
        <v/>
      </c>
      <c r="P106" s="103">
        <f>IF(Human_Data_Entry!BG104="","",Human_Data_Entry!BG104)</f>
        <v/>
      </c>
      <c r="Q106" s="103">
        <f>IF(Human_Data_Entry!BL104="","",Human_Data_Entry!BL104)</f>
        <v/>
      </c>
      <c r="R106" s="103">
        <f>IF(Human_Data_Entry!BH104="","",Human_Data_Entry!BH104)</f>
        <v/>
      </c>
      <c r="S106" s="103">
        <f>IF(Human_Data_Entry!BI104="","",Human_Data_Entry!BI104)</f>
        <v/>
      </c>
      <c r="T106" s="103">
        <f>IF(Human_Data_Entry!BJ104="","",Human_Data_Entry!BJ104)</f>
        <v/>
      </c>
      <c r="U106" s="103">
        <f>IF(Human_Data_Entry!AP104="","",Human_Data_Entry!AP104)</f>
        <v/>
      </c>
      <c r="V106" s="103">
        <f>IF(Human_Data_Entry!AQ104="","",Human_Data_Entry!AQ104)</f>
        <v/>
      </c>
      <c r="W106" s="103">
        <f>IF(Human_Data_Entry!AR104="","",Human_Data_Entry!AR104)</f>
        <v/>
      </c>
      <c r="X106" s="103">
        <f>IF(Human_Data_Entry!BK104="","",Human_Data_Entry!BK104)</f>
        <v/>
      </c>
    </row>
    <row r="107" ht="15" customHeight="1" s="241">
      <c r="A107" s="103">
        <f>IF(Human_Data_Entry!A105="","",Human_Data_Entry!A105)</f>
        <v/>
      </c>
      <c r="B107" s="103">
        <f>IF(Human_Data_Entry!B105="","",Human_Data_Entry!B105)</f>
        <v/>
      </c>
      <c r="C107" s="104">
        <f>IF(Human_Data_Entry!C105="","",Human_Data_Entry!C105)</f>
        <v/>
      </c>
      <c r="D107" s="103">
        <f>IF(Human_Data_Entry!D105="","",Human_Data_Entry!D105)</f>
        <v/>
      </c>
      <c r="E107" s="103">
        <f>IF(Human_Data_Entry!G105="","",Human_Data_Entry!G105)</f>
        <v/>
      </c>
      <c r="F107" s="103">
        <f>IF(Human_Data_Entry!X105="","",Human_Data_Entry!X105)</f>
        <v/>
      </c>
      <c r="G107" s="103">
        <f>IF(Human_Data_Entry!AY105="","",Human_Data_Entry!AY105)</f>
        <v/>
      </c>
      <c r="H107" s="103">
        <f>IF(Human_Data_Entry!AS105="","",Human_Data_Entry!AS105)</f>
        <v/>
      </c>
      <c r="I107" s="103">
        <f>IF(Human_Data_Entry!F105="","",Human_Data_Entry!F105)</f>
        <v/>
      </c>
      <c r="J107" s="103">
        <f>IF(Human_Data_Entry!BA105="","",Human_Data_Entry!BA105)</f>
        <v/>
      </c>
      <c r="K107" s="103">
        <f>IF(Human_Data_Entry!BB105="","",Human_Data_Entry!BB105)</f>
        <v/>
      </c>
      <c r="L107" s="103">
        <f>IF(Human_Data_Entry!BC105="","",Human_Data_Entry!BC105)</f>
        <v/>
      </c>
      <c r="M107" s="104">
        <f>IF(Human_Data_Entry!BD105="","",Human_Data_Entry!BD105)</f>
        <v/>
      </c>
      <c r="N107" s="104">
        <f>IF(Human_Data_Entry!BE105="","",Human_Data_Entry!BE105)</f>
        <v/>
      </c>
      <c r="O107" s="105">
        <f>IF(Human_Data_Entry!BF105="","",Human_Data_Entry!BF105)</f>
        <v/>
      </c>
      <c r="P107" s="103">
        <f>IF(Human_Data_Entry!BG105="","",Human_Data_Entry!BG105)</f>
        <v/>
      </c>
      <c r="Q107" s="103">
        <f>IF(Human_Data_Entry!BL105="","",Human_Data_Entry!BL105)</f>
        <v/>
      </c>
      <c r="R107" s="103">
        <f>IF(Human_Data_Entry!BH105="","",Human_Data_Entry!BH105)</f>
        <v/>
      </c>
      <c r="S107" s="103">
        <f>IF(Human_Data_Entry!BI105="","",Human_Data_Entry!BI105)</f>
        <v/>
      </c>
      <c r="T107" s="103">
        <f>IF(Human_Data_Entry!BJ105="","",Human_Data_Entry!BJ105)</f>
        <v/>
      </c>
      <c r="U107" s="103">
        <f>IF(Human_Data_Entry!AP105="","",Human_Data_Entry!AP105)</f>
        <v/>
      </c>
      <c r="V107" s="103">
        <f>IF(Human_Data_Entry!AQ105="","",Human_Data_Entry!AQ105)</f>
        <v/>
      </c>
      <c r="W107" s="103">
        <f>IF(Human_Data_Entry!AR105="","",Human_Data_Entry!AR105)</f>
        <v/>
      </c>
      <c r="X107" s="103">
        <f>IF(Human_Data_Entry!BK105="","",Human_Data_Entry!BK105)</f>
        <v/>
      </c>
    </row>
    <row r="108" ht="15" customHeight="1" s="241">
      <c r="A108" s="103">
        <f>IF(Human_Data_Entry!A106="","",Human_Data_Entry!A106)</f>
        <v/>
      </c>
      <c r="B108" s="103">
        <f>IF(Human_Data_Entry!B106="","",Human_Data_Entry!B106)</f>
        <v/>
      </c>
      <c r="C108" s="104">
        <f>IF(Human_Data_Entry!C106="","",Human_Data_Entry!C106)</f>
        <v/>
      </c>
      <c r="D108" s="103">
        <f>IF(Human_Data_Entry!D106="","",Human_Data_Entry!D106)</f>
        <v/>
      </c>
      <c r="E108" s="103">
        <f>IF(Human_Data_Entry!G106="","",Human_Data_Entry!G106)</f>
        <v/>
      </c>
      <c r="F108" s="103">
        <f>IF(Human_Data_Entry!X106="","",Human_Data_Entry!X106)</f>
        <v/>
      </c>
      <c r="G108" s="103">
        <f>IF(Human_Data_Entry!AY106="","",Human_Data_Entry!AY106)</f>
        <v/>
      </c>
      <c r="H108" s="103">
        <f>IF(Human_Data_Entry!AS106="","",Human_Data_Entry!AS106)</f>
        <v/>
      </c>
      <c r="I108" s="103">
        <f>IF(Human_Data_Entry!F106="","",Human_Data_Entry!F106)</f>
        <v/>
      </c>
      <c r="J108" s="103">
        <f>IF(Human_Data_Entry!BA106="","",Human_Data_Entry!BA106)</f>
        <v/>
      </c>
      <c r="K108" s="103">
        <f>IF(Human_Data_Entry!BB106="","",Human_Data_Entry!BB106)</f>
        <v/>
      </c>
      <c r="L108" s="103">
        <f>IF(Human_Data_Entry!BC106="","",Human_Data_Entry!BC106)</f>
        <v/>
      </c>
      <c r="M108" s="104">
        <f>IF(Human_Data_Entry!BD106="","",Human_Data_Entry!BD106)</f>
        <v/>
      </c>
      <c r="N108" s="104">
        <f>IF(Human_Data_Entry!BE106="","",Human_Data_Entry!BE106)</f>
        <v/>
      </c>
      <c r="O108" s="105">
        <f>IF(Human_Data_Entry!BF106="","",Human_Data_Entry!BF106)</f>
        <v/>
      </c>
      <c r="P108" s="103">
        <f>IF(Human_Data_Entry!BG106="","",Human_Data_Entry!BG106)</f>
        <v/>
      </c>
      <c r="Q108" s="103">
        <f>IF(Human_Data_Entry!BL106="","",Human_Data_Entry!BL106)</f>
        <v/>
      </c>
      <c r="R108" s="103">
        <f>IF(Human_Data_Entry!BH106="","",Human_Data_Entry!BH106)</f>
        <v/>
      </c>
      <c r="S108" s="103">
        <f>IF(Human_Data_Entry!BI106="","",Human_Data_Entry!BI106)</f>
        <v/>
      </c>
      <c r="T108" s="103">
        <f>IF(Human_Data_Entry!BJ106="","",Human_Data_Entry!BJ106)</f>
        <v/>
      </c>
      <c r="U108" s="103">
        <f>IF(Human_Data_Entry!AP106="","",Human_Data_Entry!AP106)</f>
        <v/>
      </c>
      <c r="V108" s="103">
        <f>IF(Human_Data_Entry!AQ106="","",Human_Data_Entry!AQ106)</f>
        <v/>
      </c>
      <c r="W108" s="103">
        <f>IF(Human_Data_Entry!AR106="","",Human_Data_Entry!AR106)</f>
        <v/>
      </c>
      <c r="X108" s="103">
        <f>IF(Human_Data_Entry!BK106="","",Human_Data_Entry!BK106)</f>
        <v/>
      </c>
    </row>
    <row r="109" ht="15" customHeight="1" s="241">
      <c r="A109" s="103">
        <f>IF(Human_Data_Entry!A107="","",Human_Data_Entry!A107)</f>
        <v/>
      </c>
      <c r="B109" s="103">
        <f>IF(Human_Data_Entry!B107="","",Human_Data_Entry!B107)</f>
        <v/>
      </c>
      <c r="C109" s="104">
        <f>IF(Human_Data_Entry!C107="","",Human_Data_Entry!C107)</f>
        <v/>
      </c>
      <c r="D109" s="103">
        <f>IF(Human_Data_Entry!D107="","",Human_Data_Entry!D107)</f>
        <v/>
      </c>
      <c r="E109" s="103">
        <f>IF(Human_Data_Entry!G107="","",Human_Data_Entry!G107)</f>
        <v/>
      </c>
      <c r="F109" s="103">
        <f>IF(Human_Data_Entry!X107="","",Human_Data_Entry!X107)</f>
        <v/>
      </c>
      <c r="G109" s="103">
        <f>IF(Human_Data_Entry!AY107="","",Human_Data_Entry!AY107)</f>
        <v/>
      </c>
      <c r="H109" s="103">
        <f>IF(Human_Data_Entry!AS107="","",Human_Data_Entry!AS107)</f>
        <v/>
      </c>
      <c r="I109" s="103">
        <f>IF(Human_Data_Entry!F107="","",Human_Data_Entry!F107)</f>
        <v/>
      </c>
      <c r="J109" s="103">
        <f>IF(Human_Data_Entry!BA107="","",Human_Data_Entry!BA107)</f>
        <v/>
      </c>
      <c r="K109" s="103">
        <f>IF(Human_Data_Entry!BB107="","",Human_Data_Entry!BB107)</f>
        <v/>
      </c>
      <c r="L109" s="103">
        <f>IF(Human_Data_Entry!BC107="","",Human_Data_Entry!BC107)</f>
        <v/>
      </c>
      <c r="M109" s="104">
        <f>IF(Human_Data_Entry!BD107="","",Human_Data_Entry!BD107)</f>
        <v/>
      </c>
      <c r="N109" s="104">
        <f>IF(Human_Data_Entry!BE107="","",Human_Data_Entry!BE107)</f>
        <v/>
      </c>
      <c r="O109" s="105">
        <f>IF(Human_Data_Entry!BF107="","",Human_Data_Entry!BF107)</f>
        <v/>
      </c>
      <c r="P109" s="103">
        <f>IF(Human_Data_Entry!BG107="","",Human_Data_Entry!BG107)</f>
        <v/>
      </c>
      <c r="Q109" s="103">
        <f>IF(Human_Data_Entry!BL107="","",Human_Data_Entry!BL107)</f>
        <v/>
      </c>
      <c r="R109" s="103">
        <f>IF(Human_Data_Entry!BH107="","",Human_Data_Entry!BH107)</f>
        <v/>
      </c>
      <c r="S109" s="103">
        <f>IF(Human_Data_Entry!BI107="","",Human_Data_Entry!BI107)</f>
        <v/>
      </c>
      <c r="T109" s="103">
        <f>IF(Human_Data_Entry!BJ107="","",Human_Data_Entry!BJ107)</f>
        <v/>
      </c>
      <c r="U109" s="103">
        <f>IF(Human_Data_Entry!AP107="","",Human_Data_Entry!AP107)</f>
        <v/>
      </c>
      <c r="V109" s="103">
        <f>IF(Human_Data_Entry!AQ107="","",Human_Data_Entry!AQ107)</f>
        <v/>
      </c>
      <c r="W109" s="103">
        <f>IF(Human_Data_Entry!AR107="","",Human_Data_Entry!AR107)</f>
        <v/>
      </c>
      <c r="X109" s="103">
        <f>IF(Human_Data_Entry!BK107="","",Human_Data_Entry!BK107)</f>
        <v/>
      </c>
    </row>
    <row r="110" ht="15" customHeight="1" s="241">
      <c r="A110" s="103">
        <f>IF(Human_Data_Entry!A108="","",Human_Data_Entry!A108)</f>
        <v/>
      </c>
      <c r="B110" s="103">
        <f>IF(Human_Data_Entry!B108="","",Human_Data_Entry!B108)</f>
        <v/>
      </c>
      <c r="C110" s="104">
        <f>IF(Human_Data_Entry!C108="","",Human_Data_Entry!C108)</f>
        <v/>
      </c>
      <c r="D110" s="103">
        <f>IF(Human_Data_Entry!D108="","",Human_Data_Entry!D108)</f>
        <v/>
      </c>
      <c r="E110" s="103">
        <f>IF(Human_Data_Entry!G108="","",Human_Data_Entry!G108)</f>
        <v/>
      </c>
      <c r="F110" s="103">
        <f>IF(Human_Data_Entry!X108="","",Human_Data_Entry!X108)</f>
        <v/>
      </c>
      <c r="G110" s="103">
        <f>IF(Human_Data_Entry!AY108="","",Human_Data_Entry!AY108)</f>
        <v/>
      </c>
      <c r="H110" s="103">
        <f>IF(Human_Data_Entry!AS108="","",Human_Data_Entry!AS108)</f>
        <v/>
      </c>
      <c r="I110" s="103">
        <f>IF(Human_Data_Entry!F108="","",Human_Data_Entry!F108)</f>
        <v/>
      </c>
      <c r="J110" s="103">
        <f>IF(Human_Data_Entry!BA108="","",Human_Data_Entry!BA108)</f>
        <v/>
      </c>
      <c r="K110" s="103">
        <f>IF(Human_Data_Entry!BB108="","",Human_Data_Entry!BB108)</f>
        <v/>
      </c>
      <c r="L110" s="103">
        <f>IF(Human_Data_Entry!BC108="","",Human_Data_Entry!BC108)</f>
        <v/>
      </c>
      <c r="M110" s="104">
        <f>IF(Human_Data_Entry!BD108="","",Human_Data_Entry!BD108)</f>
        <v/>
      </c>
      <c r="N110" s="104">
        <f>IF(Human_Data_Entry!BE108="","",Human_Data_Entry!BE108)</f>
        <v/>
      </c>
      <c r="O110" s="105">
        <f>IF(Human_Data_Entry!BF108="","",Human_Data_Entry!BF108)</f>
        <v/>
      </c>
      <c r="P110" s="103">
        <f>IF(Human_Data_Entry!BG108="","",Human_Data_Entry!BG108)</f>
        <v/>
      </c>
      <c r="Q110" s="103">
        <f>IF(Human_Data_Entry!BL108="","",Human_Data_Entry!BL108)</f>
        <v/>
      </c>
      <c r="R110" s="103">
        <f>IF(Human_Data_Entry!BH108="","",Human_Data_Entry!BH108)</f>
        <v/>
      </c>
      <c r="S110" s="103">
        <f>IF(Human_Data_Entry!BI108="","",Human_Data_Entry!BI108)</f>
        <v/>
      </c>
      <c r="T110" s="103">
        <f>IF(Human_Data_Entry!BJ108="","",Human_Data_Entry!BJ108)</f>
        <v/>
      </c>
      <c r="U110" s="103">
        <f>IF(Human_Data_Entry!AP108="","",Human_Data_Entry!AP108)</f>
        <v/>
      </c>
      <c r="V110" s="103">
        <f>IF(Human_Data_Entry!AQ108="","",Human_Data_Entry!AQ108)</f>
        <v/>
      </c>
      <c r="W110" s="103">
        <f>IF(Human_Data_Entry!AR108="","",Human_Data_Entry!AR108)</f>
        <v/>
      </c>
      <c r="X110" s="103">
        <f>IF(Human_Data_Entry!BK108="","",Human_Data_Entry!BK108)</f>
        <v/>
      </c>
    </row>
    <row r="111" ht="15" customHeight="1" s="241">
      <c r="A111" s="103">
        <f>IF(Human_Data_Entry!A109="","",Human_Data_Entry!A109)</f>
        <v/>
      </c>
      <c r="B111" s="103">
        <f>IF(Human_Data_Entry!B109="","",Human_Data_Entry!B109)</f>
        <v/>
      </c>
      <c r="C111" s="104">
        <f>IF(Human_Data_Entry!C109="","",Human_Data_Entry!C109)</f>
        <v/>
      </c>
      <c r="D111" s="103">
        <f>IF(Human_Data_Entry!D109="","",Human_Data_Entry!D109)</f>
        <v/>
      </c>
      <c r="E111" s="103">
        <f>IF(Human_Data_Entry!G109="","",Human_Data_Entry!G109)</f>
        <v/>
      </c>
      <c r="F111" s="103">
        <f>IF(Human_Data_Entry!X109="","",Human_Data_Entry!X109)</f>
        <v/>
      </c>
      <c r="G111" s="103">
        <f>IF(Human_Data_Entry!AY109="","",Human_Data_Entry!AY109)</f>
        <v/>
      </c>
      <c r="H111" s="103">
        <f>IF(Human_Data_Entry!AS109="","",Human_Data_Entry!AS109)</f>
        <v/>
      </c>
      <c r="I111" s="103">
        <f>IF(Human_Data_Entry!F109="","",Human_Data_Entry!F109)</f>
        <v/>
      </c>
      <c r="J111" s="103">
        <f>IF(Human_Data_Entry!BA109="","",Human_Data_Entry!BA109)</f>
        <v/>
      </c>
      <c r="K111" s="103">
        <f>IF(Human_Data_Entry!BB109="","",Human_Data_Entry!BB109)</f>
        <v/>
      </c>
      <c r="L111" s="103">
        <f>IF(Human_Data_Entry!BC109="","",Human_Data_Entry!BC109)</f>
        <v/>
      </c>
      <c r="M111" s="104">
        <f>IF(Human_Data_Entry!BD109="","",Human_Data_Entry!BD109)</f>
        <v/>
      </c>
      <c r="N111" s="104">
        <f>IF(Human_Data_Entry!BE109="","",Human_Data_Entry!BE109)</f>
        <v/>
      </c>
      <c r="O111" s="105">
        <f>IF(Human_Data_Entry!BF109="","",Human_Data_Entry!BF109)</f>
        <v/>
      </c>
      <c r="P111" s="103">
        <f>IF(Human_Data_Entry!BG109="","",Human_Data_Entry!BG109)</f>
        <v/>
      </c>
      <c r="Q111" s="103">
        <f>IF(Human_Data_Entry!BL109="","",Human_Data_Entry!BL109)</f>
        <v/>
      </c>
      <c r="R111" s="103">
        <f>IF(Human_Data_Entry!BH109="","",Human_Data_Entry!BH109)</f>
        <v/>
      </c>
      <c r="S111" s="103">
        <f>IF(Human_Data_Entry!BI109="","",Human_Data_Entry!BI109)</f>
        <v/>
      </c>
      <c r="T111" s="103">
        <f>IF(Human_Data_Entry!BJ109="","",Human_Data_Entry!BJ109)</f>
        <v/>
      </c>
      <c r="U111" s="103">
        <f>IF(Human_Data_Entry!AP109="","",Human_Data_Entry!AP109)</f>
        <v/>
      </c>
      <c r="V111" s="103">
        <f>IF(Human_Data_Entry!AQ109="","",Human_Data_Entry!AQ109)</f>
        <v/>
      </c>
      <c r="W111" s="103">
        <f>IF(Human_Data_Entry!AR109="","",Human_Data_Entry!AR109)</f>
        <v/>
      </c>
      <c r="X111" s="103">
        <f>IF(Human_Data_Entry!BK109="","",Human_Data_Entry!BK109)</f>
        <v/>
      </c>
    </row>
    <row r="112" ht="15" customHeight="1" s="241">
      <c r="A112" s="103">
        <f>IF(Human_Data_Entry!A110="","",Human_Data_Entry!A110)</f>
        <v/>
      </c>
      <c r="B112" s="103">
        <f>IF(Human_Data_Entry!B110="","",Human_Data_Entry!B110)</f>
        <v/>
      </c>
      <c r="C112" s="104">
        <f>IF(Human_Data_Entry!C110="","",Human_Data_Entry!C110)</f>
        <v/>
      </c>
      <c r="D112" s="103">
        <f>IF(Human_Data_Entry!D110="","",Human_Data_Entry!D110)</f>
        <v/>
      </c>
      <c r="E112" s="103">
        <f>IF(Human_Data_Entry!G110="","",Human_Data_Entry!G110)</f>
        <v/>
      </c>
      <c r="F112" s="103">
        <f>IF(Human_Data_Entry!X110="","",Human_Data_Entry!X110)</f>
        <v/>
      </c>
      <c r="G112" s="103">
        <f>IF(Human_Data_Entry!AY110="","",Human_Data_Entry!AY110)</f>
        <v/>
      </c>
      <c r="H112" s="103">
        <f>IF(Human_Data_Entry!AS110="","",Human_Data_Entry!AS110)</f>
        <v/>
      </c>
      <c r="I112" s="103">
        <f>IF(Human_Data_Entry!F110="","",Human_Data_Entry!F110)</f>
        <v/>
      </c>
      <c r="J112" s="103">
        <f>IF(Human_Data_Entry!BA110="","",Human_Data_Entry!BA110)</f>
        <v/>
      </c>
      <c r="K112" s="103">
        <f>IF(Human_Data_Entry!BB110="","",Human_Data_Entry!BB110)</f>
        <v/>
      </c>
      <c r="L112" s="103">
        <f>IF(Human_Data_Entry!BC110="","",Human_Data_Entry!BC110)</f>
        <v/>
      </c>
      <c r="M112" s="104">
        <f>IF(Human_Data_Entry!BD110="","",Human_Data_Entry!BD110)</f>
        <v/>
      </c>
      <c r="N112" s="104">
        <f>IF(Human_Data_Entry!BE110="","",Human_Data_Entry!BE110)</f>
        <v/>
      </c>
      <c r="O112" s="105">
        <f>IF(Human_Data_Entry!BF110="","",Human_Data_Entry!BF110)</f>
        <v/>
      </c>
      <c r="P112" s="103">
        <f>IF(Human_Data_Entry!BG110="","",Human_Data_Entry!BG110)</f>
        <v/>
      </c>
      <c r="Q112" s="103">
        <f>IF(Human_Data_Entry!BL110="","",Human_Data_Entry!BL110)</f>
        <v/>
      </c>
      <c r="R112" s="103">
        <f>IF(Human_Data_Entry!BH110="","",Human_Data_Entry!BH110)</f>
        <v/>
      </c>
      <c r="S112" s="103">
        <f>IF(Human_Data_Entry!BI110="","",Human_Data_Entry!BI110)</f>
        <v/>
      </c>
      <c r="T112" s="103">
        <f>IF(Human_Data_Entry!BJ110="","",Human_Data_Entry!BJ110)</f>
        <v/>
      </c>
      <c r="U112" s="103">
        <f>IF(Human_Data_Entry!AP110="","",Human_Data_Entry!AP110)</f>
        <v/>
      </c>
      <c r="V112" s="103">
        <f>IF(Human_Data_Entry!AQ110="","",Human_Data_Entry!AQ110)</f>
        <v/>
      </c>
      <c r="W112" s="103">
        <f>IF(Human_Data_Entry!AR110="","",Human_Data_Entry!AR110)</f>
        <v/>
      </c>
      <c r="X112" s="103">
        <f>IF(Human_Data_Entry!BK110="","",Human_Data_Entry!BK110)</f>
        <v/>
      </c>
    </row>
    <row r="113" ht="15" customHeight="1" s="241">
      <c r="A113" s="103">
        <f>IF(Human_Data_Entry!A111="","",Human_Data_Entry!A111)</f>
        <v/>
      </c>
      <c r="B113" s="103">
        <f>IF(Human_Data_Entry!B111="","",Human_Data_Entry!B111)</f>
        <v/>
      </c>
      <c r="C113" s="104">
        <f>IF(Human_Data_Entry!C111="","",Human_Data_Entry!C111)</f>
        <v/>
      </c>
      <c r="D113" s="103">
        <f>IF(Human_Data_Entry!D111="","",Human_Data_Entry!D111)</f>
        <v/>
      </c>
      <c r="E113" s="103">
        <f>IF(Human_Data_Entry!G111="","",Human_Data_Entry!G111)</f>
        <v/>
      </c>
      <c r="F113" s="103">
        <f>IF(Human_Data_Entry!X111="","",Human_Data_Entry!X111)</f>
        <v/>
      </c>
      <c r="G113" s="103">
        <f>IF(Human_Data_Entry!AY111="","",Human_Data_Entry!AY111)</f>
        <v/>
      </c>
      <c r="H113" s="103">
        <f>IF(Human_Data_Entry!AS111="","",Human_Data_Entry!AS111)</f>
        <v/>
      </c>
      <c r="I113" s="103">
        <f>IF(Human_Data_Entry!F111="","",Human_Data_Entry!F111)</f>
        <v/>
      </c>
      <c r="J113" s="103">
        <f>IF(Human_Data_Entry!BA111="","",Human_Data_Entry!BA111)</f>
        <v/>
      </c>
      <c r="K113" s="103">
        <f>IF(Human_Data_Entry!BB111="","",Human_Data_Entry!BB111)</f>
        <v/>
      </c>
      <c r="L113" s="103">
        <f>IF(Human_Data_Entry!BC111="","",Human_Data_Entry!BC111)</f>
        <v/>
      </c>
      <c r="M113" s="104">
        <f>IF(Human_Data_Entry!BD111="","",Human_Data_Entry!BD111)</f>
        <v/>
      </c>
      <c r="N113" s="104">
        <f>IF(Human_Data_Entry!BE111="","",Human_Data_Entry!BE111)</f>
        <v/>
      </c>
      <c r="O113" s="105">
        <f>IF(Human_Data_Entry!BF111="","",Human_Data_Entry!BF111)</f>
        <v/>
      </c>
      <c r="P113" s="103">
        <f>IF(Human_Data_Entry!BG111="","",Human_Data_Entry!BG111)</f>
        <v/>
      </c>
      <c r="Q113" s="103">
        <f>IF(Human_Data_Entry!BL111="","",Human_Data_Entry!BL111)</f>
        <v/>
      </c>
      <c r="R113" s="103">
        <f>IF(Human_Data_Entry!BH111="","",Human_Data_Entry!BH111)</f>
        <v/>
      </c>
      <c r="S113" s="103">
        <f>IF(Human_Data_Entry!BI111="","",Human_Data_Entry!BI111)</f>
        <v/>
      </c>
      <c r="T113" s="103">
        <f>IF(Human_Data_Entry!BJ111="","",Human_Data_Entry!BJ111)</f>
        <v/>
      </c>
      <c r="U113" s="103">
        <f>IF(Human_Data_Entry!AP111="","",Human_Data_Entry!AP111)</f>
        <v/>
      </c>
      <c r="V113" s="103">
        <f>IF(Human_Data_Entry!AQ111="","",Human_Data_Entry!AQ111)</f>
        <v/>
      </c>
      <c r="W113" s="103">
        <f>IF(Human_Data_Entry!AR111="","",Human_Data_Entry!AR111)</f>
        <v/>
      </c>
      <c r="X113" s="103">
        <f>IF(Human_Data_Entry!BK111="","",Human_Data_Entry!BK111)</f>
        <v/>
      </c>
    </row>
    <row r="114" ht="15" customHeight="1" s="241">
      <c r="A114" s="103">
        <f>IF(Human_Data_Entry!A112="","",Human_Data_Entry!A112)</f>
        <v/>
      </c>
      <c r="B114" s="103">
        <f>IF(Human_Data_Entry!B112="","",Human_Data_Entry!B112)</f>
        <v/>
      </c>
      <c r="C114" s="104">
        <f>IF(Human_Data_Entry!C112="","",Human_Data_Entry!C112)</f>
        <v/>
      </c>
      <c r="D114" s="103">
        <f>IF(Human_Data_Entry!D112="","",Human_Data_Entry!D112)</f>
        <v/>
      </c>
      <c r="E114" s="103">
        <f>IF(Human_Data_Entry!G112="","",Human_Data_Entry!G112)</f>
        <v/>
      </c>
      <c r="F114" s="103">
        <f>IF(Human_Data_Entry!X112="","",Human_Data_Entry!X112)</f>
        <v/>
      </c>
      <c r="G114" s="103">
        <f>IF(Human_Data_Entry!AY112="","",Human_Data_Entry!AY112)</f>
        <v/>
      </c>
      <c r="H114" s="103">
        <f>IF(Human_Data_Entry!AS112="","",Human_Data_Entry!AS112)</f>
        <v/>
      </c>
      <c r="I114" s="103">
        <f>IF(Human_Data_Entry!F112="","",Human_Data_Entry!F112)</f>
        <v/>
      </c>
      <c r="J114" s="103">
        <f>IF(Human_Data_Entry!BA112="","",Human_Data_Entry!BA112)</f>
        <v/>
      </c>
      <c r="K114" s="103">
        <f>IF(Human_Data_Entry!BB112="","",Human_Data_Entry!BB112)</f>
        <v/>
      </c>
      <c r="L114" s="103">
        <f>IF(Human_Data_Entry!BC112="","",Human_Data_Entry!BC112)</f>
        <v/>
      </c>
      <c r="M114" s="104">
        <f>IF(Human_Data_Entry!BD112="","",Human_Data_Entry!BD112)</f>
        <v/>
      </c>
      <c r="N114" s="104">
        <f>IF(Human_Data_Entry!BE112="","",Human_Data_Entry!BE112)</f>
        <v/>
      </c>
      <c r="O114" s="105">
        <f>IF(Human_Data_Entry!BF112="","",Human_Data_Entry!BF112)</f>
        <v/>
      </c>
      <c r="P114" s="103">
        <f>IF(Human_Data_Entry!BG112="","",Human_Data_Entry!BG112)</f>
        <v/>
      </c>
      <c r="Q114" s="103">
        <f>IF(Human_Data_Entry!BL112="","",Human_Data_Entry!BL112)</f>
        <v/>
      </c>
      <c r="R114" s="103">
        <f>IF(Human_Data_Entry!BH112="","",Human_Data_Entry!BH112)</f>
        <v/>
      </c>
      <c r="S114" s="103">
        <f>IF(Human_Data_Entry!BI112="","",Human_Data_Entry!BI112)</f>
        <v/>
      </c>
      <c r="T114" s="103">
        <f>IF(Human_Data_Entry!BJ112="","",Human_Data_Entry!BJ112)</f>
        <v/>
      </c>
      <c r="U114" s="103">
        <f>IF(Human_Data_Entry!AP112="","",Human_Data_Entry!AP112)</f>
        <v/>
      </c>
      <c r="V114" s="103">
        <f>IF(Human_Data_Entry!AQ112="","",Human_Data_Entry!AQ112)</f>
        <v/>
      </c>
      <c r="W114" s="103">
        <f>IF(Human_Data_Entry!AR112="","",Human_Data_Entry!AR112)</f>
        <v/>
      </c>
      <c r="X114" s="103">
        <f>IF(Human_Data_Entry!BK112="","",Human_Data_Entry!BK112)</f>
        <v/>
      </c>
    </row>
    <row r="115" ht="15" customHeight="1" s="241">
      <c r="A115" s="103">
        <f>IF(Human_Data_Entry!A113="","",Human_Data_Entry!A113)</f>
        <v/>
      </c>
      <c r="B115" s="103">
        <f>IF(Human_Data_Entry!B113="","",Human_Data_Entry!B113)</f>
        <v/>
      </c>
      <c r="C115" s="104">
        <f>IF(Human_Data_Entry!C113="","",Human_Data_Entry!C113)</f>
        <v/>
      </c>
      <c r="D115" s="103">
        <f>IF(Human_Data_Entry!D113="","",Human_Data_Entry!D113)</f>
        <v/>
      </c>
      <c r="E115" s="103">
        <f>IF(Human_Data_Entry!G113="","",Human_Data_Entry!G113)</f>
        <v/>
      </c>
      <c r="F115" s="103">
        <f>IF(Human_Data_Entry!X113="","",Human_Data_Entry!X113)</f>
        <v/>
      </c>
      <c r="G115" s="103">
        <f>IF(Human_Data_Entry!AY113="","",Human_Data_Entry!AY113)</f>
        <v/>
      </c>
      <c r="H115" s="103">
        <f>IF(Human_Data_Entry!AS113="","",Human_Data_Entry!AS113)</f>
        <v/>
      </c>
      <c r="I115" s="103">
        <f>IF(Human_Data_Entry!F113="","",Human_Data_Entry!F113)</f>
        <v/>
      </c>
      <c r="J115" s="103">
        <f>IF(Human_Data_Entry!BA113="","",Human_Data_Entry!BA113)</f>
        <v/>
      </c>
      <c r="K115" s="103">
        <f>IF(Human_Data_Entry!BB113="","",Human_Data_Entry!BB113)</f>
        <v/>
      </c>
      <c r="L115" s="103">
        <f>IF(Human_Data_Entry!BC113="","",Human_Data_Entry!BC113)</f>
        <v/>
      </c>
      <c r="M115" s="104">
        <f>IF(Human_Data_Entry!BD113="","",Human_Data_Entry!BD113)</f>
        <v/>
      </c>
      <c r="N115" s="104">
        <f>IF(Human_Data_Entry!BE113="","",Human_Data_Entry!BE113)</f>
        <v/>
      </c>
      <c r="O115" s="105">
        <f>IF(Human_Data_Entry!BF113="","",Human_Data_Entry!BF113)</f>
        <v/>
      </c>
      <c r="P115" s="103">
        <f>IF(Human_Data_Entry!BG113="","",Human_Data_Entry!BG113)</f>
        <v/>
      </c>
      <c r="Q115" s="103">
        <f>IF(Human_Data_Entry!BL113="","",Human_Data_Entry!BL113)</f>
        <v/>
      </c>
      <c r="R115" s="103">
        <f>IF(Human_Data_Entry!BH113="","",Human_Data_Entry!BH113)</f>
        <v/>
      </c>
      <c r="S115" s="103">
        <f>IF(Human_Data_Entry!BI113="","",Human_Data_Entry!BI113)</f>
        <v/>
      </c>
      <c r="T115" s="103">
        <f>IF(Human_Data_Entry!BJ113="","",Human_Data_Entry!BJ113)</f>
        <v/>
      </c>
      <c r="U115" s="103">
        <f>IF(Human_Data_Entry!AP113="","",Human_Data_Entry!AP113)</f>
        <v/>
      </c>
      <c r="V115" s="103">
        <f>IF(Human_Data_Entry!AQ113="","",Human_Data_Entry!AQ113)</f>
        <v/>
      </c>
      <c r="W115" s="103">
        <f>IF(Human_Data_Entry!AR113="","",Human_Data_Entry!AR113)</f>
        <v/>
      </c>
      <c r="X115" s="103">
        <f>IF(Human_Data_Entry!BK113="","",Human_Data_Entry!BK113)</f>
        <v/>
      </c>
    </row>
    <row r="116" ht="15" customHeight="1" s="241">
      <c r="A116" s="103">
        <f>IF(Human_Data_Entry!A114="","",Human_Data_Entry!A114)</f>
        <v/>
      </c>
      <c r="B116" s="103">
        <f>IF(Human_Data_Entry!B114="","",Human_Data_Entry!B114)</f>
        <v/>
      </c>
      <c r="C116" s="104">
        <f>IF(Human_Data_Entry!C114="","",Human_Data_Entry!C114)</f>
        <v/>
      </c>
      <c r="D116" s="103">
        <f>IF(Human_Data_Entry!D114="","",Human_Data_Entry!D114)</f>
        <v/>
      </c>
      <c r="E116" s="103">
        <f>IF(Human_Data_Entry!G114="","",Human_Data_Entry!G114)</f>
        <v/>
      </c>
      <c r="F116" s="103">
        <f>IF(Human_Data_Entry!X114="","",Human_Data_Entry!X114)</f>
        <v/>
      </c>
      <c r="G116" s="103">
        <f>IF(Human_Data_Entry!AY114="","",Human_Data_Entry!AY114)</f>
        <v/>
      </c>
      <c r="H116" s="103">
        <f>IF(Human_Data_Entry!AS114="","",Human_Data_Entry!AS114)</f>
        <v/>
      </c>
      <c r="I116" s="103">
        <f>IF(Human_Data_Entry!F114="","",Human_Data_Entry!F114)</f>
        <v/>
      </c>
      <c r="J116" s="103">
        <f>IF(Human_Data_Entry!BA114="","",Human_Data_Entry!BA114)</f>
        <v/>
      </c>
      <c r="K116" s="103">
        <f>IF(Human_Data_Entry!BB114="","",Human_Data_Entry!BB114)</f>
        <v/>
      </c>
      <c r="L116" s="103">
        <f>IF(Human_Data_Entry!BC114="","",Human_Data_Entry!BC114)</f>
        <v/>
      </c>
      <c r="M116" s="104">
        <f>IF(Human_Data_Entry!BD114="","",Human_Data_Entry!BD114)</f>
        <v/>
      </c>
      <c r="N116" s="104">
        <f>IF(Human_Data_Entry!BE114="","",Human_Data_Entry!BE114)</f>
        <v/>
      </c>
      <c r="O116" s="105">
        <f>IF(Human_Data_Entry!BF114="","",Human_Data_Entry!BF114)</f>
        <v/>
      </c>
      <c r="P116" s="103">
        <f>IF(Human_Data_Entry!BG114="","",Human_Data_Entry!BG114)</f>
        <v/>
      </c>
      <c r="Q116" s="103">
        <f>IF(Human_Data_Entry!BL114="","",Human_Data_Entry!BL114)</f>
        <v/>
      </c>
      <c r="R116" s="103">
        <f>IF(Human_Data_Entry!BH114="","",Human_Data_Entry!BH114)</f>
        <v/>
      </c>
      <c r="S116" s="103">
        <f>IF(Human_Data_Entry!BI114="","",Human_Data_Entry!BI114)</f>
        <v/>
      </c>
      <c r="T116" s="103">
        <f>IF(Human_Data_Entry!BJ114="","",Human_Data_Entry!BJ114)</f>
        <v/>
      </c>
      <c r="U116" s="103">
        <f>IF(Human_Data_Entry!AP114="","",Human_Data_Entry!AP114)</f>
        <v/>
      </c>
      <c r="V116" s="103">
        <f>IF(Human_Data_Entry!AQ114="","",Human_Data_Entry!AQ114)</f>
        <v/>
      </c>
      <c r="W116" s="103">
        <f>IF(Human_Data_Entry!AR114="","",Human_Data_Entry!AR114)</f>
        <v/>
      </c>
      <c r="X116" s="103">
        <f>IF(Human_Data_Entry!BK114="","",Human_Data_Entry!BK114)</f>
        <v/>
      </c>
    </row>
    <row r="117" ht="15" customHeight="1" s="241">
      <c r="A117" s="103">
        <f>IF(Human_Data_Entry!A115="","",Human_Data_Entry!A115)</f>
        <v/>
      </c>
      <c r="B117" s="103">
        <f>IF(Human_Data_Entry!B115="","",Human_Data_Entry!B115)</f>
        <v/>
      </c>
      <c r="C117" s="104">
        <f>IF(Human_Data_Entry!C115="","",Human_Data_Entry!C115)</f>
        <v/>
      </c>
      <c r="D117" s="103">
        <f>IF(Human_Data_Entry!D115="","",Human_Data_Entry!D115)</f>
        <v/>
      </c>
      <c r="E117" s="103">
        <f>IF(Human_Data_Entry!G115="","",Human_Data_Entry!G115)</f>
        <v/>
      </c>
      <c r="F117" s="103">
        <f>IF(Human_Data_Entry!X115="","",Human_Data_Entry!X115)</f>
        <v/>
      </c>
      <c r="G117" s="103">
        <f>IF(Human_Data_Entry!AY115="","",Human_Data_Entry!AY115)</f>
        <v/>
      </c>
      <c r="H117" s="103">
        <f>IF(Human_Data_Entry!AS115="","",Human_Data_Entry!AS115)</f>
        <v/>
      </c>
      <c r="I117" s="103">
        <f>IF(Human_Data_Entry!F115="","",Human_Data_Entry!F115)</f>
        <v/>
      </c>
      <c r="J117" s="103">
        <f>IF(Human_Data_Entry!BA115="","",Human_Data_Entry!BA115)</f>
        <v/>
      </c>
      <c r="K117" s="103">
        <f>IF(Human_Data_Entry!BB115="","",Human_Data_Entry!BB115)</f>
        <v/>
      </c>
      <c r="L117" s="103">
        <f>IF(Human_Data_Entry!BC115="","",Human_Data_Entry!BC115)</f>
        <v/>
      </c>
      <c r="M117" s="104">
        <f>IF(Human_Data_Entry!BD115="","",Human_Data_Entry!BD115)</f>
        <v/>
      </c>
      <c r="N117" s="104">
        <f>IF(Human_Data_Entry!BE115="","",Human_Data_Entry!BE115)</f>
        <v/>
      </c>
      <c r="O117" s="105">
        <f>IF(Human_Data_Entry!BF115="","",Human_Data_Entry!BF115)</f>
        <v/>
      </c>
      <c r="P117" s="103">
        <f>IF(Human_Data_Entry!BG115="","",Human_Data_Entry!BG115)</f>
        <v/>
      </c>
      <c r="Q117" s="103">
        <f>IF(Human_Data_Entry!BL115="","",Human_Data_Entry!BL115)</f>
        <v/>
      </c>
      <c r="R117" s="103">
        <f>IF(Human_Data_Entry!BH115="","",Human_Data_Entry!BH115)</f>
        <v/>
      </c>
      <c r="S117" s="103">
        <f>IF(Human_Data_Entry!BI115="","",Human_Data_Entry!BI115)</f>
        <v/>
      </c>
      <c r="T117" s="103">
        <f>IF(Human_Data_Entry!BJ115="","",Human_Data_Entry!BJ115)</f>
        <v/>
      </c>
      <c r="U117" s="103">
        <f>IF(Human_Data_Entry!AP115="","",Human_Data_Entry!AP115)</f>
        <v/>
      </c>
      <c r="V117" s="103">
        <f>IF(Human_Data_Entry!AQ115="","",Human_Data_Entry!AQ115)</f>
        <v/>
      </c>
      <c r="W117" s="103">
        <f>IF(Human_Data_Entry!AR115="","",Human_Data_Entry!AR115)</f>
        <v/>
      </c>
      <c r="X117" s="103">
        <f>IF(Human_Data_Entry!BK115="","",Human_Data_Entry!BK115)</f>
        <v/>
      </c>
    </row>
    <row r="118" ht="15" customHeight="1" s="241">
      <c r="A118" s="103">
        <f>IF(Human_Data_Entry!A116="","",Human_Data_Entry!A116)</f>
        <v/>
      </c>
      <c r="B118" s="103">
        <f>IF(Human_Data_Entry!B116="","",Human_Data_Entry!B116)</f>
        <v/>
      </c>
      <c r="C118" s="104">
        <f>IF(Human_Data_Entry!C116="","",Human_Data_Entry!C116)</f>
        <v/>
      </c>
      <c r="D118" s="103">
        <f>IF(Human_Data_Entry!D116="","",Human_Data_Entry!D116)</f>
        <v/>
      </c>
      <c r="E118" s="103">
        <f>IF(Human_Data_Entry!G116="","",Human_Data_Entry!G116)</f>
        <v/>
      </c>
      <c r="F118" s="103">
        <f>IF(Human_Data_Entry!X116="","",Human_Data_Entry!X116)</f>
        <v/>
      </c>
      <c r="G118" s="103">
        <f>IF(Human_Data_Entry!AY116="","",Human_Data_Entry!AY116)</f>
        <v/>
      </c>
      <c r="H118" s="103">
        <f>IF(Human_Data_Entry!AS116="","",Human_Data_Entry!AS116)</f>
        <v/>
      </c>
      <c r="I118" s="103">
        <f>IF(Human_Data_Entry!F116="","",Human_Data_Entry!F116)</f>
        <v/>
      </c>
      <c r="J118" s="103">
        <f>IF(Human_Data_Entry!BA116="","",Human_Data_Entry!BA116)</f>
        <v/>
      </c>
      <c r="K118" s="103">
        <f>IF(Human_Data_Entry!BB116="","",Human_Data_Entry!BB116)</f>
        <v/>
      </c>
      <c r="L118" s="103">
        <f>IF(Human_Data_Entry!BC116="","",Human_Data_Entry!BC116)</f>
        <v/>
      </c>
      <c r="M118" s="104">
        <f>IF(Human_Data_Entry!BD116="","",Human_Data_Entry!BD116)</f>
        <v/>
      </c>
      <c r="N118" s="104">
        <f>IF(Human_Data_Entry!BE116="","",Human_Data_Entry!BE116)</f>
        <v/>
      </c>
      <c r="O118" s="105">
        <f>IF(Human_Data_Entry!BF116="","",Human_Data_Entry!BF116)</f>
        <v/>
      </c>
      <c r="P118" s="103">
        <f>IF(Human_Data_Entry!BG116="","",Human_Data_Entry!BG116)</f>
        <v/>
      </c>
      <c r="Q118" s="103">
        <f>IF(Human_Data_Entry!BL116="","",Human_Data_Entry!BL116)</f>
        <v/>
      </c>
      <c r="R118" s="103">
        <f>IF(Human_Data_Entry!BH116="","",Human_Data_Entry!BH116)</f>
        <v/>
      </c>
      <c r="S118" s="103">
        <f>IF(Human_Data_Entry!BI116="","",Human_Data_Entry!BI116)</f>
        <v/>
      </c>
      <c r="T118" s="103">
        <f>IF(Human_Data_Entry!BJ116="","",Human_Data_Entry!BJ116)</f>
        <v/>
      </c>
      <c r="U118" s="103">
        <f>IF(Human_Data_Entry!AP116="","",Human_Data_Entry!AP116)</f>
        <v/>
      </c>
      <c r="V118" s="103">
        <f>IF(Human_Data_Entry!AQ116="","",Human_Data_Entry!AQ116)</f>
        <v/>
      </c>
      <c r="W118" s="103">
        <f>IF(Human_Data_Entry!AR116="","",Human_Data_Entry!AR116)</f>
        <v/>
      </c>
      <c r="X118" s="103">
        <f>IF(Human_Data_Entry!BK116="","",Human_Data_Entry!BK116)</f>
        <v/>
      </c>
    </row>
    <row r="119" ht="15" customHeight="1" s="241">
      <c r="A119" s="103">
        <f>IF(Human_Data_Entry!A117="","",Human_Data_Entry!A117)</f>
        <v/>
      </c>
      <c r="B119" s="103">
        <f>IF(Human_Data_Entry!B117="","",Human_Data_Entry!B117)</f>
        <v/>
      </c>
      <c r="C119" s="104">
        <f>IF(Human_Data_Entry!C117="","",Human_Data_Entry!C117)</f>
        <v/>
      </c>
      <c r="D119" s="103">
        <f>IF(Human_Data_Entry!D117="","",Human_Data_Entry!D117)</f>
        <v/>
      </c>
      <c r="E119" s="103">
        <f>IF(Human_Data_Entry!G117="","",Human_Data_Entry!G117)</f>
        <v/>
      </c>
      <c r="F119" s="103">
        <f>IF(Human_Data_Entry!X117="","",Human_Data_Entry!X117)</f>
        <v/>
      </c>
      <c r="G119" s="103">
        <f>IF(Human_Data_Entry!AY117="","",Human_Data_Entry!AY117)</f>
        <v/>
      </c>
      <c r="H119" s="103">
        <f>IF(Human_Data_Entry!AS117="","",Human_Data_Entry!AS117)</f>
        <v/>
      </c>
      <c r="I119" s="103">
        <f>IF(Human_Data_Entry!F117="","",Human_Data_Entry!F117)</f>
        <v/>
      </c>
      <c r="J119" s="103">
        <f>IF(Human_Data_Entry!BA117="","",Human_Data_Entry!BA117)</f>
        <v/>
      </c>
      <c r="K119" s="103">
        <f>IF(Human_Data_Entry!BB117="","",Human_Data_Entry!BB117)</f>
        <v/>
      </c>
      <c r="L119" s="103">
        <f>IF(Human_Data_Entry!BC117="","",Human_Data_Entry!BC117)</f>
        <v/>
      </c>
      <c r="M119" s="104">
        <f>IF(Human_Data_Entry!BD117="","",Human_Data_Entry!BD117)</f>
        <v/>
      </c>
      <c r="N119" s="104">
        <f>IF(Human_Data_Entry!BE117="","",Human_Data_Entry!BE117)</f>
        <v/>
      </c>
      <c r="O119" s="105">
        <f>IF(Human_Data_Entry!BF117="","",Human_Data_Entry!BF117)</f>
        <v/>
      </c>
      <c r="P119" s="103">
        <f>IF(Human_Data_Entry!BG117="","",Human_Data_Entry!BG117)</f>
        <v/>
      </c>
      <c r="Q119" s="103">
        <f>IF(Human_Data_Entry!BL117="","",Human_Data_Entry!BL117)</f>
        <v/>
      </c>
      <c r="R119" s="103">
        <f>IF(Human_Data_Entry!BH117="","",Human_Data_Entry!BH117)</f>
        <v/>
      </c>
      <c r="S119" s="103">
        <f>IF(Human_Data_Entry!BI117="","",Human_Data_Entry!BI117)</f>
        <v/>
      </c>
      <c r="T119" s="103">
        <f>IF(Human_Data_Entry!BJ117="","",Human_Data_Entry!BJ117)</f>
        <v/>
      </c>
      <c r="U119" s="103">
        <f>IF(Human_Data_Entry!AP117="","",Human_Data_Entry!AP117)</f>
        <v/>
      </c>
      <c r="V119" s="103">
        <f>IF(Human_Data_Entry!AQ117="","",Human_Data_Entry!AQ117)</f>
        <v/>
      </c>
      <c r="W119" s="103">
        <f>IF(Human_Data_Entry!AR117="","",Human_Data_Entry!AR117)</f>
        <v/>
      </c>
      <c r="X119" s="103">
        <f>IF(Human_Data_Entry!BK117="","",Human_Data_Entry!BK117)</f>
        <v/>
      </c>
    </row>
    <row r="120" ht="15" customHeight="1" s="241">
      <c r="A120" s="103">
        <f>IF(Human_Data_Entry!A118="","",Human_Data_Entry!A118)</f>
        <v/>
      </c>
      <c r="B120" s="103">
        <f>IF(Human_Data_Entry!B118="","",Human_Data_Entry!B118)</f>
        <v/>
      </c>
      <c r="C120" s="104">
        <f>IF(Human_Data_Entry!C118="","",Human_Data_Entry!C118)</f>
        <v/>
      </c>
      <c r="D120" s="103">
        <f>IF(Human_Data_Entry!D118="","",Human_Data_Entry!D118)</f>
        <v/>
      </c>
      <c r="E120" s="103">
        <f>IF(Human_Data_Entry!G118="","",Human_Data_Entry!G118)</f>
        <v/>
      </c>
      <c r="F120" s="103">
        <f>IF(Human_Data_Entry!X118="","",Human_Data_Entry!X118)</f>
        <v/>
      </c>
      <c r="G120" s="103">
        <f>IF(Human_Data_Entry!AY118="","",Human_Data_Entry!AY118)</f>
        <v/>
      </c>
      <c r="H120" s="103">
        <f>IF(Human_Data_Entry!AS118="","",Human_Data_Entry!AS118)</f>
        <v/>
      </c>
      <c r="I120" s="103">
        <f>IF(Human_Data_Entry!F118="","",Human_Data_Entry!F118)</f>
        <v/>
      </c>
      <c r="J120" s="103">
        <f>IF(Human_Data_Entry!BA118="","",Human_Data_Entry!BA118)</f>
        <v/>
      </c>
      <c r="K120" s="103">
        <f>IF(Human_Data_Entry!BB118="","",Human_Data_Entry!BB118)</f>
        <v/>
      </c>
      <c r="L120" s="103">
        <f>IF(Human_Data_Entry!BC118="","",Human_Data_Entry!BC118)</f>
        <v/>
      </c>
      <c r="M120" s="104">
        <f>IF(Human_Data_Entry!BD118="","",Human_Data_Entry!BD118)</f>
        <v/>
      </c>
      <c r="N120" s="104">
        <f>IF(Human_Data_Entry!BE118="","",Human_Data_Entry!BE118)</f>
        <v/>
      </c>
      <c r="O120" s="105">
        <f>IF(Human_Data_Entry!BF118="","",Human_Data_Entry!BF118)</f>
        <v/>
      </c>
      <c r="P120" s="103">
        <f>IF(Human_Data_Entry!BG118="","",Human_Data_Entry!BG118)</f>
        <v/>
      </c>
      <c r="Q120" s="103">
        <f>IF(Human_Data_Entry!BL118="","",Human_Data_Entry!BL118)</f>
        <v/>
      </c>
      <c r="R120" s="103">
        <f>IF(Human_Data_Entry!BH118="","",Human_Data_Entry!BH118)</f>
        <v/>
      </c>
      <c r="S120" s="103">
        <f>IF(Human_Data_Entry!BI118="","",Human_Data_Entry!BI118)</f>
        <v/>
      </c>
      <c r="T120" s="103">
        <f>IF(Human_Data_Entry!BJ118="","",Human_Data_Entry!BJ118)</f>
        <v/>
      </c>
      <c r="U120" s="103">
        <f>IF(Human_Data_Entry!AP118="","",Human_Data_Entry!AP118)</f>
        <v/>
      </c>
      <c r="V120" s="103">
        <f>IF(Human_Data_Entry!AQ118="","",Human_Data_Entry!AQ118)</f>
        <v/>
      </c>
      <c r="W120" s="103">
        <f>IF(Human_Data_Entry!AR118="","",Human_Data_Entry!AR118)</f>
        <v/>
      </c>
      <c r="X120" s="103">
        <f>IF(Human_Data_Entry!BK118="","",Human_Data_Entry!BK118)</f>
        <v/>
      </c>
    </row>
    <row r="121" ht="15" customHeight="1" s="241">
      <c r="A121" s="103">
        <f>IF(Human_Data_Entry!A119="","",Human_Data_Entry!A119)</f>
        <v/>
      </c>
      <c r="B121" s="103">
        <f>IF(Human_Data_Entry!B119="","",Human_Data_Entry!B119)</f>
        <v/>
      </c>
      <c r="C121" s="104">
        <f>IF(Human_Data_Entry!C119="","",Human_Data_Entry!C119)</f>
        <v/>
      </c>
      <c r="D121" s="103">
        <f>IF(Human_Data_Entry!D119="","",Human_Data_Entry!D119)</f>
        <v/>
      </c>
      <c r="E121" s="103">
        <f>IF(Human_Data_Entry!G119="","",Human_Data_Entry!G119)</f>
        <v/>
      </c>
      <c r="F121" s="103">
        <f>IF(Human_Data_Entry!X119="","",Human_Data_Entry!X119)</f>
        <v/>
      </c>
      <c r="G121" s="103">
        <f>IF(Human_Data_Entry!AY119="","",Human_Data_Entry!AY119)</f>
        <v/>
      </c>
      <c r="H121" s="103">
        <f>IF(Human_Data_Entry!AS119="","",Human_Data_Entry!AS119)</f>
        <v/>
      </c>
      <c r="I121" s="103">
        <f>IF(Human_Data_Entry!F119="","",Human_Data_Entry!F119)</f>
        <v/>
      </c>
      <c r="J121" s="103">
        <f>IF(Human_Data_Entry!BA119="","",Human_Data_Entry!BA119)</f>
        <v/>
      </c>
      <c r="K121" s="103">
        <f>IF(Human_Data_Entry!BB119="","",Human_Data_Entry!BB119)</f>
        <v/>
      </c>
      <c r="L121" s="103">
        <f>IF(Human_Data_Entry!BC119="","",Human_Data_Entry!BC119)</f>
        <v/>
      </c>
      <c r="M121" s="104">
        <f>IF(Human_Data_Entry!BD119="","",Human_Data_Entry!BD119)</f>
        <v/>
      </c>
      <c r="N121" s="104">
        <f>IF(Human_Data_Entry!BE119="","",Human_Data_Entry!BE119)</f>
        <v/>
      </c>
      <c r="O121" s="105">
        <f>IF(Human_Data_Entry!BF119="","",Human_Data_Entry!BF119)</f>
        <v/>
      </c>
      <c r="P121" s="103">
        <f>IF(Human_Data_Entry!BG119="","",Human_Data_Entry!BG119)</f>
        <v/>
      </c>
      <c r="Q121" s="103">
        <f>IF(Human_Data_Entry!BL119="","",Human_Data_Entry!BL119)</f>
        <v/>
      </c>
      <c r="R121" s="103">
        <f>IF(Human_Data_Entry!BH119="","",Human_Data_Entry!BH119)</f>
        <v/>
      </c>
      <c r="S121" s="103">
        <f>IF(Human_Data_Entry!BI119="","",Human_Data_Entry!BI119)</f>
        <v/>
      </c>
      <c r="T121" s="103">
        <f>IF(Human_Data_Entry!BJ119="","",Human_Data_Entry!BJ119)</f>
        <v/>
      </c>
      <c r="U121" s="103">
        <f>IF(Human_Data_Entry!AP119="","",Human_Data_Entry!AP119)</f>
        <v/>
      </c>
      <c r="V121" s="103">
        <f>IF(Human_Data_Entry!AQ119="","",Human_Data_Entry!AQ119)</f>
        <v/>
      </c>
      <c r="W121" s="103">
        <f>IF(Human_Data_Entry!AR119="","",Human_Data_Entry!AR119)</f>
        <v/>
      </c>
      <c r="X121" s="103">
        <f>IF(Human_Data_Entry!BK119="","",Human_Data_Entry!BK119)</f>
        <v/>
      </c>
    </row>
    <row r="122" ht="15" customHeight="1" s="241">
      <c r="A122" s="103">
        <f>IF(Human_Data_Entry!A120="","",Human_Data_Entry!A120)</f>
        <v/>
      </c>
      <c r="B122" s="103">
        <f>IF(Human_Data_Entry!B120="","",Human_Data_Entry!B120)</f>
        <v/>
      </c>
      <c r="C122" s="104">
        <f>IF(Human_Data_Entry!C120="","",Human_Data_Entry!C120)</f>
        <v/>
      </c>
      <c r="D122" s="103">
        <f>IF(Human_Data_Entry!D120="","",Human_Data_Entry!D120)</f>
        <v/>
      </c>
      <c r="E122" s="103">
        <f>IF(Human_Data_Entry!G120="","",Human_Data_Entry!G120)</f>
        <v/>
      </c>
      <c r="F122" s="103">
        <f>IF(Human_Data_Entry!X120="","",Human_Data_Entry!X120)</f>
        <v/>
      </c>
      <c r="G122" s="103">
        <f>IF(Human_Data_Entry!AY120="","",Human_Data_Entry!AY120)</f>
        <v/>
      </c>
      <c r="H122" s="103">
        <f>IF(Human_Data_Entry!AS120="","",Human_Data_Entry!AS120)</f>
        <v/>
      </c>
      <c r="I122" s="103">
        <f>IF(Human_Data_Entry!F120="","",Human_Data_Entry!F120)</f>
        <v/>
      </c>
      <c r="J122" s="103">
        <f>IF(Human_Data_Entry!BA120="","",Human_Data_Entry!BA120)</f>
        <v/>
      </c>
      <c r="K122" s="103">
        <f>IF(Human_Data_Entry!BB120="","",Human_Data_Entry!BB120)</f>
        <v/>
      </c>
      <c r="L122" s="103">
        <f>IF(Human_Data_Entry!BC120="","",Human_Data_Entry!BC120)</f>
        <v/>
      </c>
      <c r="M122" s="104">
        <f>IF(Human_Data_Entry!BD120="","",Human_Data_Entry!BD120)</f>
        <v/>
      </c>
      <c r="N122" s="104">
        <f>IF(Human_Data_Entry!BE120="","",Human_Data_Entry!BE120)</f>
        <v/>
      </c>
      <c r="O122" s="105">
        <f>IF(Human_Data_Entry!BF120="","",Human_Data_Entry!BF120)</f>
        <v/>
      </c>
      <c r="P122" s="103">
        <f>IF(Human_Data_Entry!BG120="","",Human_Data_Entry!BG120)</f>
        <v/>
      </c>
      <c r="Q122" s="103">
        <f>IF(Human_Data_Entry!BL120="","",Human_Data_Entry!BL120)</f>
        <v/>
      </c>
      <c r="R122" s="103">
        <f>IF(Human_Data_Entry!BH120="","",Human_Data_Entry!BH120)</f>
        <v/>
      </c>
      <c r="S122" s="103">
        <f>IF(Human_Data_Entry!BI120="","",Human_Data_Entry!BI120)</f>
        <v/>
      </c>
      <c r="T122" s="103">
        <f>IF(Human_Data_Entry!BJ120="","",Human_Data_Entry!BJ120)</f>
        <v/>
      </c>
      <c r="U122" s="103">
        <f>IF(Human_Data_Entry!AP120="","",Human_Data_Entry!AP120)</f>
        <v/>
      </c>
      <c r="V122" s="103">
        <f>IF(Human_Data_Entry!AQ120="","",Human_Data_Entry!AQ120)</f>
        <v/>
      </c>
      <c r="W122" s="103">
        <f>IF(Human_Data_Entry!AR120="","",Human_Data_Entry!AR120)</f>
        <v/>
      </c>
      <c r="X122" s="103">
        <f>IF(Human_Data_Entry!BK120="","",Human_Data_Entry!BK120)</f>
        <v/>
      </c>
    </row>
    <row r="123" ht="15" customHeight="1" s="241">
      <c r="A123" s="103">
        <f>IF(Human_Data_Entry!A121="","",Human_Data_Entry!A121)</f>
        <v/>
      </c>
      <c r="B123" s="103">
        <f>IF(Human_Data_Entry!B121="","",Human_Data_Entry!B121)</f>
        <v/>
      </c>
      <c r="C123" s="104">
        <f>IF(Human_Data_Entry!C121="","",Human_Data_Entry!C121)</f>
        <v/>
      </c>
      <c r="D123" s="103">
        <f>IF(Human_Data_Entry!D121="","",Human_Data_Entry!D121)</f>
        <v/>
      </c>
      <c r="E123" s="103">
        <f>IF(Human_Data_Entry!G121="","",Human_Data_Entry!G121)</f>
        <v/>
      </c>
      <c r="F123" s="103">
        <f>IF(Human_Data_Entry!X121="","",Human_Data_Entry!X121)</f>
        <v/>
      </c>
      <c r="G123" s="103">
        <f>IF(Human_Data_Entry!AY121="","",Human_Data_Entry!AY121)</f>
        <v/>
      </c>
      <c r="H123" s="103">
        <f>IF(Human_Data_Entry!AS121="","",Human_Data_Entry!AS121)</f>
        <v/>
      </c>
      <c r="I123" s="103">
        <f>IF(Human_Data_Entry!F121="","",Human_Data_Entry!F121)</f>
        <v/>
      </c>
      <c r="J123" s="103">
        <f>IF(Human_Data_Entry!BA121="","",Human_Data_Entry!BA121)</f>
        <v/>
      </c>
      <c r="K123" s="103">
        <f>IF(Human_Data_Entry!BB121="","",Human_Data_Entry!BB121)</f>
        <v/>
      </c>
      <c r="L123" s="103">
        <f>IF(Human_Data_Entry!BC121="","",Human_Data_Entry!BC121)</f>
        <v/>
      </c>
      <c r="M123" s="104">
        <f>IF(Human_Data_Entry!BD121="","",Human_Data_Entry!BD121)</f>
        <v/>
      </c>
      <c r="N123" s="104">
        <f>IF(Human_Data_Entry!BE121="","",Human_Data_Entry!BE121)</f>
        <v/>
      </c>
      <c r="O123" s="105">
        <f>IF(Human_Data_Entry!BF121="","",Human_Data_Entry!BF121)</f>
        <v/>
      </c>
      <c r="P123" s="103">
        <f>IF(Human_Data_Entry!BG121="","",Human_Data_Entry!BG121)</f>
        <v/>
      </c>
      <c r="Q123" s="103">
        <f>IF(Human_Data_Entry!BL121="","",Human_Data_Entry!BL121)</f>
        <v/>
      </c>
      <c r="R123" s="103">
        <f>IF(Human_Data_Entry!BH121="","",Human_Data_Entry!BH121)</f>
        <v/>
      </c>
      <c r="S123" s="103">
        <f>IF(Human_Data_Entry!BI121="","",Human_Data_Entry!BI121)</f>
        <v/>
      </c>
      <c r="T123" s="103">
        <f>IF(Human_Data_Entry!BJ121="","",Human_Data_Entry!BJ121)</f>
        <v/>
      </c>
      <c r="U123" s="103">
        <f>IF(Human_Data_Entry!AP121="","",Human_Data_Entry!AP121)</f>
        <v/>
      </c>
      <c r="V123" s="103">
        <f>IF(Human_Data_Entry!AQ121="","",Human_Data_Entry!AQ121)</f>
        <v/>
      </c>
      <c r="W123" s="103">
        <f>IF(Human_Data_Entry!AR121="","",Human_Data_Entry!AR121)</f>
        <v/>
      </c>
      <c r="X123" s="103">
        <f>IF(Human_Data_Entry!BK121="","",Human_Data_Entry!BK121)</f>
        <v/>
      </c>
    </row>
    <row r="124" ht="15" customHeight="1" s="241">
      <c r="A124" s="103">
        <f>IF(Human_Data_Entry!A122="","",Human_Data_Entry!A122)</f>
        <v/>
      </c>
      <c r="B124" s="103">
        <f>IF(Human_Data_Entry!B122="","",Human_Data_Entry!B122)</f>
        <v/>
      </c>
      <c r="C124" s="104">
        <f>IF(Human_Data_Entry!C122="","",Human_Data_Entry!C122)</f>
        <v/>
      </c>
      <c r="D124" s="103">
        <f>IF(Human_Data_Entry!D122="","",Human_Data_Entry!D122)</f>
        <v/>
      </c>
      <c r="E124" s="103">
        <f>IF(Human_Data_Entry!G122="","",Human_Data_Entry!G122)</f>
        <v/>
      </c>
      <c r="F124" s="103">
        <f>IF(Human_Data_Entry!X122="","",Human_Data_Entry!X122)</f>
        <v/>
      </c>
      <c r="G124" s="103">
        <f>IF(Human_Data_Entry!AY122="","",Human_Data_Entry!AY122)</f>
        <v/>
      </c>
      <c r="H124" s="103">
        <f>IF(Human_Data_Entry!AS122="","",Human_Data_Entry!AS122)</f>
        <v/>
      </c>
      <c r="I124" s="103">
        <f>IF(Human_Data_Entry!F122="","",Human_Data_Entry!F122)</f>
        <v/>
      </c>
      <c r="J124" s="103">
        <f>IF(Human_Data_Entry!BA122="","",Human_Data_Entry!BA122)</f>
        <v/>
      </c>
      <c r="K124" s="103">
        <f>IF(Human_Data_Entry!BB122="","",Human_Data_Entry!BB122)</f>
        <v/>
      </c>
      <c r="L124" s="103">
        <f>IF(Human_Data_Entry!BC122="","",Human_Data_Entry!BC122)</f>
        <v/>
      </c>
      <c r="M124" s="104">
        <f>IF(Human_Data_Entry!BD122="","",Human_Data_Entry!BD122)</f>
        <v/>
      </c>
      <c r="N124" s="104">
        <f>IF(Human_Data_Entry!BE122="","",Human_Data_Entry!BE122)</f>
        <v/>
      </c>
      <c r="O124" s="105">
        <f>IF(Human_Data_Entry!BF122="","",Human_Data_Entry!BF122)</f>
        <v/>
      </c>
      <c r="P124" s="103">
        <f>IF(Human_Data_Entry!BG122="","",Human_Data_Entry!BG122)</f>
        <v/>
      </c>
      <c r="Q124" s="103">
        <f>IF(Human_Data_Entry!BL122="","",Human_Data_Entry!BL122)</f>
        <v/>
      </c>
      <c r="R124" s="103">
        <f>IF(Human_Data_Entry!BH122="","",Human_Data_Entry!BH122)</f>
        <v/>
      </c>
      <c r="S124" s="103">
        <f>IF(Human_Data_Entry!BI122="","",Human_Data_Entry!BI122)</f>
        <v/>
      </c>
      <c r="T124" s="103">
        <f>IF(Human_Data_Entry!BJ122="","",Human_Data_Entry!BJ122)</f>
        <v/>
      </c>
      <c r="U124" s="103">
        <f>IF(Human_Data_Entry!AP122="","",Human_Data_Entry!AP122)</f>
        <v/>
      </c>
      <c r="V124" s="103">
        <f>IF(Human_Data_Entry!AQ122="","",Human_Data_Entry!AQ122)</f>
        <v/>
      </c>
      <c r="W124" s="103">
        <f>IF(Human_Data_Entry!AR122="","",Human_Data_Entry!AR122)</f>
        <v/>
      </c>
      <c r="X124" s="103">
        <f>IF(Human_Data_Entry!BK122="","",Human_Data_Entry!BK122)</f>
        <v/>
      </c>
    </row>
    <row r="125" ht="15" customHeight="1" s="241">
      <c r="A125" s="103">
        <f>IF(Human_Data_Entry!A123="","",Human_Data_Entry!A123)</f>
        <v/>
      </c>
      <c r="B125" s="103">
        <f>IF(Human_Data_Entry!B123="","",Human_Data_Entry!B123)</f>
        <v/>
      </c>
      <c r="C125" s="104">
        <f>IF(Human_Data_Entry!C123="","",Human_Data_Entry!C123)</f>
        <v/>
      </c>
      <c r="D125" s="103">
        <f>IF(Human_Data_Entry!D123="","",Human_Data_Entry!D123)</f>
        <v/>
      </c>
      <c r="E125" s="103">
        <f>IF(Human_Data_Entry!G123="","",Human_Data_Entry!G123)</f>
        <v/>
      </c>
      <c r="F125" s="103">
        <f>IF(Human_Data_Entry!X123="","",Human_Data_Entry!X123)</f>
        <v/>
      </c>
      <c r="G125" s="103">
        <f>IF(Human_Data_Entry!AY123="","",Human_Data_Entry!AY123)</f>
        <v/>
      </c>
      <c r="H125" s="103">
        <f>IF(Human_Data_Entry!AS123="","",Human_Data_Entry!AS123)</f>
        <v/>
      </c>
      <c r="I125" s="103">
        <f>IF(Human_Data_Entry!F123="","",Human_Data_Entry!F123)</f>
        <v/>
      </c>
      <c r="J125" s="103">
        <f>IF(Human_Data_Entry!BA123="","",Human_Data_Entry!BA123)</f>
        <v/>
      </c>
      <c r="K125" s="103">
        <f>IF(Human_Data_Entry!BB123="","",Human_Data_Entry!BB123)</f>
        <v/>
      </c>
      <c r="L125" s="103">
        <f>IF(Human_Data_Entry!BC123="","",Human_Data_Entry!BC123)</f>
        <v/>
      </c>
      <c r="M125" s="104">
        <f>IF(Human_Data_Entry!BD123="","",Human_Data_Entry!BD123)</f>
        <v/>
      </c>
      <c r="N125" s="104">
        <f>IF(Human_Data_Entry!BE123="","",Human_Data_Entry!BE123)</f>
        <v/>
      </c>
      <c r="O125" s="105">
        <f>IF(Human_Data_Entry!BF123="","",Human_Data_Entry!BF123)</f>
        <v/>
      </c>
      <c r="P125" s="103">
        <f>IF(Human_Data_Entry!BG123="","",Human_Data_Entry!BG123)</f>
        <v/>
      </c>
      <c r="Q125" s="103">
        <f>IF(Human_Data_Entry!BL123="","",Human_Data_Entry!BL123)</f>
        <v/>
      </c>
      <c r="R125" s="103">
        <f>IF(Human_Data_Entry!BH123="","",Human_Data_Entry!BH123)</f>
        <v/>
      </c>
      <c r="S125" s="103">
        <f>IF(Human_Data_Entry!BI123="","",Human_Data_Entry!BI123)</f>
        <v/>
      </c>
      <c r="T125" s="103">
        <f>IF(Human_Data_Entry!BJ123="","",Human_Data_Entry!BJ123)</f>
        <v/>
      </c>
      <c r="U125" s="103">
        <f>IF(Human_Data_Entry!AP123="","",Human_Data_Entry!AP123)</f>
        <v/>
      </c>
      <c r="V125" s="103">
        <f>IF(Human_Data_Entry!AQ123="","",Human_Data_Entry!AQ123)</f>
        <v/>
      </c>
      <c r="W125" s="103">
        <f>IF(Human_Data_Entry!AR123="","",Human_Data_Entry!AR123)</f>
        <v/>
      </c>
      <c r="X125" s="103">
        <f>IF(Human_Data_Entry!BK123="","",Human_Data_Entry!BK123)</f>
        <v/>
      </c>
    </row>
    <row r="126" ht="15" customHeight="1" s="241">
      <c r="A126" s="103">
        <f>IF(Human_Data_Entry!A124="","",Human_Data_Entry!A124)</f>
        <v/>
      </c>
      <c r="B126" s="103">
        <f>IF(Human_Data_Entry!B124="","",Human_Data_Entry!B124)</f>
        <v/>
      </c>
      <c r="C126" s="104">
        <f>IF(Human_Data_Entry!C124="","",Human_Data_Entry!C124)</f>
        <v/>
      </c>
      <c r="D126" s="103">
        <f>IF(Human_Data_Entry!D124="","",Human_Data_Entry!D124)</f>
        <v/>
      </c>
      <c r="E126" s="103">
        <f>IF(Human_Data_Entry!G124="","",Human_Data_Entry!G124)</f>
        <v/>
      </c>
      <c r="F126" s="103">
        <f>IF(Human_Data_Entry!X124="","",Human_Data_Entry!X124)</f>
        <v/>
      </c>
      <c r="G126" s="103">
        <f>IF(Human_Data_Entry!AY124="","",Human_Data_Entry!AY124)</f>
        <v/>
      </c>
      <c r="H126" s="103">
        <f>IF(Human_Data_Entry!AS124="","",Human_Data_Entry!AS124)</f>
        <v/>
      </c>
      <c r="I126" s="103">
        <f>IF(Human_Data_Entry!F124="","",Human_Data_Entry!F124)</f>
        <v/>
      </c>
      <c r="J126" s="103">
        <f>IF(Human_Data_Entry!BA124="","",Human_Data_Entry!BA124)</f>
        <v/>
      </c>
      <c r="K126" s="103">
        <f>IF(Human_Data_Entry!BB124="","",Human_Data_Entry!BB124)</f>
        <v/>
      </c>
      <c r="L126" s="103">
        <f>IF(Human_Data_Entry!BC124="","",Human_Data_Entry!BC124)</f>
        <v/>
      </c>
      <c r="M126" s="104">
        <f>IF(Human_Data_Entry!BD124="","",Human_Data_Entry!BD124)</f>
        <v/>
      </c>
      <c r="N126" s="104">
        <f>IF(Human_Data_Entry!BE124="","",Human_Data_Entry!BE124)</f>
        <v/>
      </c>
      <c r="O126" s="105">
        <f>IF(Human_Data_Entry!BF124="","",Human_Data_Entry!BF124)</f>
        <v/>
      </c>
      <c r="P126" s="103">
        <f>IF(Human_Data_Entry!BG124="","",Human_Data_Entry!BG124)</f>
        <v/>
      </c>
      <c r="Q126" s="103">
        <f>IF(Human_Data_Entry!BL124="","",Human_Data_Entry!BL124)</f>
        <v/>
      </c>
      <c r="R126" s="103">
        <f>IF(Human_Data_Entry!BH124="","",Human_Data_Entry!BH124)</f>
        <v/>
      </c>
      <c r="S126" s="103">
        <f>IF(Human_Data_Entry!BI124="","",Human_Data_Entry!BI124)</f>
        <v/>
      </c>
      <c r="T126" s="103">
        <f>IF(Human_Data_Entry!BJ124="","",Human_Data_Entry!BJ124)</f>
        <v/>
      </c>
      <c r="U126" s="103">
        <f>IF(Human_Data_Entry!AP124="","",Human_Data_Entry!AP124)</f>
        <v/>
      </c>
      <c r="V126" s="103">
        <f>IF(Human_Data_Entry!AQ124="","",Human_Data_Entry!AQ124)</f>
        <v/>
      </c>
      <c r="W126" s="103">
        <f>IF(Human_Data_Entry!AR124="","",Human_Data_Entry!AR124)</f>
        <v/>
      </c>
      <c r="X126" s="103">
        <f>IF(Human_Data_Entry!BK124="","",Human_Data_Entry!BK124)</f>
        <v/>
      </c>
    </row>
    <row r="127" ht="15" customHeight="1" s="241">
      <c r="A127" s="103">
        <f>IF(Human_Data_Entry!A125="","",Human_Data_Entry!A125)</f>
        <v/>
      </c>
      <c r="B127" s="103">
        <f>IF(Human_Data_Entry!B125="","",Human_Data_Entry!B125)</f>
        <v/>
      </c>
      <c r="C127" s="104">
        <f>IF(Human_Data_Entry!C125="","",Human_Data_Entry!C125)</f>
        <v/>
      </c>
      <c r="D127" s="103">
        <f>IF(Human_Data_Entry!D125="","",Human_Data_Entry!D125)</f>
        <v/>
      </c>
      <c r="E127" s="103">
        <f>IF(Human_Data_Entry!G125="","",Human_Data_Entry!G125)</f>
        <v/>
      </c>
      <c r="F127" s="103">
        <f>IF(Human_Data_Entry!X125="","",Human_Data_Entry!X125)</f>
        <v/>
      </c>
      <c r="G127" s="103">
        <f>IF(Human_Data_Entry!AY125="","",Human_Data_Entry!AY125)</f>
        <v/>
      </c>
      <c r="H127" s="103">
        <f>IF(Human_Data_Entry!AS125="","",Human_Data_Entry!AS125)</f>
        <v/>
      </c>
      <c r="I127" s="103">
        <f>IF(Human_Data_Entry!F125="","",Human_Data_Entry!F125)</f>
        <v/>
      </c>
      <c r="J127" s="103">
        <f>IF(Human_Data_Entry!BA125="","",Human_Data_Entry!BA125)</f>
        <v/>
      </c>
      <c r="K127" s="103">
        <f>IF(Human_Data_Entry!BB125="","",Human_Data_Entry!BB125)</f>
        <v/>
      </c>
      <c r="L127" s="103">
        <f>IF(Human_Data_Entry!BC125="","",Human_Data_Entry!BC125)</f>
        <v/>
      </c>
      <c r="M127" s="104">
        <f>IF(Human_Data_Entry!BD125="","",Human_Data_Entry!BD125)</f>
        <v/>
      </c>
      <c r="N127" s="104">
        <f>IF(Human_Data_Entry!BE125="","",Human_Data_Entry!BE125)</f>
        <v/>
      </c>
      <c r="O127" s="105">
        <f>IF(Human_Data_Entry!BF125="","",Human_Data_Entry!BF125)</f>
        <v/>
      </c>
      <c r="P127" s="103">
        <f>IF(Human_Data_Entry!BG125="","",Human_Data_Entry!BG125)</f>
        <v/>
      </c>
      <c r="Q127" s="103">
        <f>IF(Human_Data_Entry!BL125="","",Human_Data_Entry!BL125)</f>
        <v/>
      </c>
      <c r="R127" s="103">
        <f>IF(Human_Data_Entry!BH125="","",Human_Data_Entry!BH125)</f>
        <v/>
      </c>
      <c r="S127" s="103">
        <f>IF(Human_Data_Entry!BI125="","",Human_Data_Entry!BI125)</f>
        <v/>
      </c>
      <c r="T127" s="103">
        <f>IF(Human_Data_Entry!BJ125="","",Human_Data_Entry!BJ125)</f>
        <v/>
      </c>
      <c r="U127" s="103">
        <f>IF(Human_Data_Entry!AP125="","",Human_Data_Entry!AP125)</f>
        <v/>
      </c>
      <c r="V127" s="103">
        <f>IF(Human_Data_Entry!AQ125="","",Human_Data_Entry!AQ125)</f>
        <v/>
      </c>
      <c r="W127" s="103">
        <f>IF(Human_Data_Entry!AR125="","",Human_Data_Entry!AR125)</f>
        <v/>
      </c>
      <c r="X127" s="103">
        <f>IF(Human_Data_Entry!BK125="","",Human_Data_Entry!BK125)</f>
        <v/>
      </c>
    </row>
    <row r="128" ht="15" customHeight="1" s="241">
      <c r="A128" s="103">
        <f>IF(Human_Data_Entry!A126="","",Human_Data_Entry!A126)</f>
        <v/>
      </c>
      <c r="B128" s="103">
        <f>IF(Human_Data_Entry!B126="","",Human_Data_Entry!B126)</f>
        <v/>
      </c>
      <c r="C128" s="104">
        <f>IF(Human_Data_Entry!C126="","",Human_Data_Entry!C126)</f>
        <v/>
      </c>
      <c r="D128" s="103">
        <f>IF(Human_Data_Entry!D126="","",Human_Data_Entry!D126)</f>
        <v/>
      </c>
      <c r="E128" s="103">
        <f>IF(Human_Data_Entry!G126="","",Human_Data_Entry!G126)</f>
        <v/>
      </c>
      <c r="F128" s="103">
        <f>IF(Human_Data_Entry!X126="","",Human_Data_Entry!X126)</f>
        <v/>
      </c>
      <c r="G128" s="103">
        <f>IF(Human_Data_Entry!AY126="","",Human_Data_Entry!AY126)</f>
        <v/>
      </c>
      <c r="H128" s="103">
        <f>IF(Human_Data_Entry!AS126="","",Human_Data_Entry!AS126)</f>
        <v/>
      </c>
      <c r="I128" s="103">
        <f>IF(Human_Data_Entry!F126="","",Human_Data_Entry!F126)</f>
        <v/>
      </c>
      <c r="J128" s="103">
        <f>IF(Human_Data_Entry!BA126="","",Human_Data_Entry!BA126)</f>
        <v/>
      </c>
      <c r="K128" s="103">
        <f>IF(Human_Data_Entry!BB126="","",Human_Data_Entry!BB126)</f>
        <v/>
      </c>
      <c r="L128" s="103">
        <f>IF(Human_Data_Entry!BC126="","",Human_Data_Entry!BC126)</f>
        <v/>
      </c>
      <c r="M128" s="104">
        <f>IF(Human_Data_Entry!BD126="","",Human_Data_Entry!BD126)</f>
        <v/>
      </c>
      <c r="N128" s="104">
        <f>IF(Human_Data_Entry!BE126="","",Human_Data_Entry!BE126)</f>
        <v/>
      </c>
      <c r="O128" s="105">
        <f>IF(Human_Data_Entry!BF126="","",Human_Data_Entry!BF126)</f>
        <v/>
      </c>
      <c r="P128" s="103">
        <f>IF(Human_Data_Entry!BG126="","",Human_Data_Entry!BG126)</f>
        <v/>
      </c>
      <c r="Q128" s="103">
        <f>IF(Human_Data_Entry!BL126="","",Human_Data_Entry!BL126)</f>
        <v/>
      </c>
      <c r="R128" s="103">
        <f>IF(Human_Data_Entry!BH126="","",Human_Data_Entry!BH126)</f>
        <v/>
      </c>
      <c r="S128" s="103">
        <f>IF(Human_Data_Entry!BI126="","",Human_Data_Entry!BI126)</f>
        <v/>
      </c>
      <c r="T128" s="103">
        <f>IF(Human_Data_Entry!BJ126="","",Human_Data_Entry!BJ126)</f>
        <v/>
      </c>
      <c r="U128" s="103">
        <f>IF(Human_Data_Entry!AP126="","",Human_Data_Entry!AP126)</f>
        <v/>
      </c>
      <c r="V128" s="103">
        <f>IF(Human_Data_Entry!AQ126="","",Human_Data_Entry!AQ126)</f>
        <v/>
      </c>
      <c r="W128" s="103">
        <f>IF(Human_Data_Entry!AR126="","",Human_Data_Entry!AR126)</f>
        <v/>
      </c>
      <c r="X128" s="103">
        <f>IF(Human_Data_Entry!BK126="","",Human_Data_Entry!BK126)</f>
        <v/>
      </c>
    </row>
    <row r="129" ht="15" customHeight="1" s="241">
      <c r="A129" s="103">
        <f>IF(Human_Data_Entry!A127="","",Human_Data_Entry!A127)</f>
        <v/>
      </c>
      <c r="B129" s="103">
        <f>IF(Human_Data_Entry!B127="","",Human_Data_Entry!B127)</f>
        <v/>
      </c>
      <c r="C129" s="104">
        <f>IF(Human_Data_Entry!C127="","",Human_Data_Entry!C127)</f>
        <v/>
      </c>
      <c r="D129" s="103">
        <f>IF(Human_Data_Entry!D127="","",Human_Data_Entry!D127)</f>
        <v/>
      </c>
      <c r="E129" s="103">
        <f>IF(Human_Data_Entry!G127="","",Human_Data_Entry!G127)</f>
        <v/>
      </c>
      <c r="F129" s="103">
        <f>IF(Human_Data_Entry!X127="","",Human_Data_Entry!X127)</f>
        <v/>
      </c>
      <c r="G129" s="103">
        <f>IF(Human_Data_Entry!AY127="","",Human_Data_Entry!AY127)</f>
        <v/>
      </c>
      <c r="H129" s="103">
        <f>IF(Human_Data_Entry!AS127="","",Human_Data_Entry!AS127)</f>
        <v/>
      </c>
      <c r="I129" s="103">
        <f>IF(Human_Data_Entry!F127="","",Human_Data_Entry!F127)</f>
        <v/>
      </c>
      <c r="J129" s="103">
        <f>IF(Human_Data_Entry!BA127="","",Human_Data_Entry!BA127)</f>
        <v/>
      </c>
      <c r="K129" s="103">
        <f>IF(Human_Data_Entry!BB127="","",Human_Data_Entry!BB127)</f>
        <v/>
      </c>
      <c r="L129" s="103">
        <f>IF(Human_Data_Entry!BC127="","",Human_Data_Entry!BC127)</f>
        <v/>
      </c>
      <c r="M129" s="104">
        <f>IF(Human_Data_Entry!BD127="","",Human_Data_Entry!BD127)</f>
        <v/>
      </c>
      <c r="N129" s="104">
        <f>IF(Human_Data_Entry!BE127="","",Human_Data_Entry!BE127)</f>
        <v/>
      </c>
      <c r="O129" s="105">
        <f>IF(Human_Data_Entry!BF127="","",Human_Data_Entry!BF127)</f>
        <v/>
      </c>
      <c r="P129" s="103">
        <f>IF(Human_Data_Entry!BG127="","",Human_Data_Entry!BG127)</f>
        <v/>
      </c>
      <c r="Q129" s="103">
        <f>IF(Human_Data_Entry!BL127="","",Human_Data_Entry!BL127)</f>
        <v/>
      </c>
      <c r="R129" s="103">
        <f>IF(Human_Data_Entry!BH127="","",Human_Data_Entry!BH127)</f>
        <v/>
      </c>
      <c r="S129" s="103">
        <f>IF(Human_Data_Entry!BI127="","",Human_Data_Entry!BI127)</f>
        <v/>
      </c>
      <c r="T129" s="103">
        <f>IF(Human_Data_Entry!BJ127="","",Human_Data_Entry!BJ127)</f>
        <v/>
      </c>
      <c r="U129" s="103">
        <f>IF(Human_Data_Entry!AP127="","",Human_Data_Entry!AP127)</f>
        <v/>
      </c>
      <c r="V129" s="103">
        <f>IF(Human_Data_Entry!AQ127="","",Human_Data_Entry!AQ127)</f>
        <v/>
      </c>
      <c r="W129" s="103">
        <f>IF(Human_Data_Entry!AR127="","",Human_Data_Entry!AR127)</f>
        <v/>
      </c>
      <c r="X129" s="103">
        <f>IF(Human_Data_Entry!BK127="","",Human_Data_Entry!BK127)</f>
        <v/>
      </c>
    </row>
    <row r="130" ht="15" customHeight="1" s="241">
      <c r="A130" s="103">
        <f>IF(Human_Data_Entry!A128="","",Human_Data_Entry!A128)</f>
        <v/>
      </c>
      <c r="B130" s="103">
        <f>IF(Human_Data_Entry!B128="","",Human_Data_Entry!B128)</f>
        <v/>
      </c>
      <c r="C130" s="104">
        <f>IF(Human_Data_Entry!C128="","",Human_Data_Entry!C128)</f>
        <v/>
      </c>
      <c r="D130" s="103">
        <f>IF(Human_Data_Entry!D128="","",Human_Data_Entry!D128)</f>
        <v/>
      </c>
      <c r="E130" s="103">
        <f>IF(Human_Data_Entry!G128="","",Human_Data_Entry!G128)</f>
        <v/>
      </c>
      <c r="F130" s="103">
        <f>IF(Human_Data_Entry!X128="","",Human_Data_Entry!X128)</f>
        <v/>
      </c>
      <c r="G130" s="103">
        <f>IF(Human_Data_Entry!AY128="","",Human_Data_Entry!AY128)</f>
        <v/>
      </c>
      <c r="H130" s="103">
        <f>IF(Human_Data_Entry!AS128="","",Human_Data_Entry!AS128)</f>
        <v/>
      </c>
      <c r="I130" s="103">
        <f>IF(Human_Data_Entry!F128="","",Human_Data_Entry!F128)</f>
        <v/>
      </c>
      <c r="J130" s="103">
        <f>IF(Human_Data_Entry!BA128="","",Human_Data_Entry!BA128)</f>
        <v/>
      </c>
      <c r="K130" s="103">
        <f>IF(Human_Data_Entry!BB128="","",Human_Data_Entry!BB128)</f>
        <v/>
      </c>
      <c r="L130" s="103">
        <f>IF(Human_Data_Entry!BC128="","",Human_Data_Entry!BC128)</f>
        <v/>
      </c>
      <c r="M130" s="104">
        <f>IF(Human_Data_Entry!BD128="","",Human_Data_Entry!BD128)</f>
        <v/>
      </c>
      <c r="N130" s="104">
        <f>IF(Human_Data_Entry!BE128="","",Human_Data_Entry!BE128)</f>
        <v/>
      </c>
      <c r="O130" s="105">
        <f>IF(Human_Data_Entry!BF128="","",Human_Data_Entry!BF128)</f>
        <v/>
      </c>
      <c r="P130" s="103">
        <f>IF(Human_Data_Entry!BG128="","",Human_Data_Entry!BG128)</f>
        <v/>
      </c>
      <c r="Q130" s="103">
        <f>IF(Human_Data_Entry!BL128="","",Human_Data_Entry!BL128)</f>
        <v/>
      </c>
      <c r="R130" s="103">
        <f>IF(Human_Data_Entry!BH128="","",Human_Data_Entry!BH128)</f>
        <v/>
      </c>
      <c r="S130" s="103">
        <f>IF(Human_Data_Entry!BI128="","",Human_Data_Entry!BI128)</f>
        <v/>
      </c>
      <c r="T130" s="103">
        <f>IF(Human_Data_Entry!BJ128="","",Human_Data_Entry!BJ128)</f>
        <v/>
      </c>
      <c r="U130" s="103">
        <f>IF(Human_Data_Entry!AP128="","",Human_Data_Entry!AP128)</f>
        <v/>
      </c>
      <c r="V130" s="103">
        <f>IF(Human_Data_Entry!AQ128="","",Human_Data_Entry!AQ128)</f>
        <v/>
      </c>
      <c r="W130" s="103">
        <f>IF(Human_Data_Entry!AR128="","",Human_Data_Entry!AR128)</f>
        <v/>
      </c>
      <c r="X130" s="103">
        <f>IF(Human_Data_Entry!BK128="","",Human_Data_Entry!BK128)</f>
        <v/>
      </c>
    </row>
    <row r="131" ht="15" customHeight="1" s="241">
      <c r="A131" s="103">
        <f>IF(Human_Data_Entry!A129="","",Human_Data_Entry!A129)</f>
        <v/>
      </c>
      <c r="B131" s="103">
        <f>IF(Human_Data_Entry!B129="","",Human_Data_Entry!B129)</f>
        <v/>
      </c>
      <c r="C131" s="104">
        <f>IF(Human_Data_Entry!C129="","",Human_Data_Entry!C129)</f>
        <v/>
      </c>
      <c r="D131" s="103">
        <f>IF(Human_Data_Entry!D129="","",Human_Data_Entry!D129)</f>
        <v/>
      </c>
      <c r="E131" s="103">
        <f>IF(Human_Data_Entry!G129="","",Human_Data_Entry!G129)</f>
        <v/>
      </c>
      <c r="F131" s="103">
        <f>IF(Human_Data_Entry!X129="","",Human_Data_Entry!X129)</f>
        <v/>
      </c>
      <c r="G131" s="103">
        <f>IF(Human_Data_Entry!AY129="","",Human_Data_Entry!AY129)</f>
        <v/>
      </c>
      <c r="H131" s="103">
        <f>IF(Human_Data_Entry!AS129="","",Human_Data_Entry!AS129)</f>
        <v/>
      </c>
      <c r="I131" s="103">
        <f>IF(Human_Data_Entry!F129="","",Human_Data_Entry!F129)</f>
        <v/>
      </c>
      <c r="J131" s="103">
        <f>IF(Human_Data_Entry!BA129="","",Human_Data_Entry!BA129)</f>
        <v/>
      </c>
      <c r="K131" s="103">
        <f>IF(Human_Data_Entry!BB129="","",Human_Data_Entry!BB129)</f>
        <v/>
      </c>
      <c r="L131" s="103">
        <f>IF(Human_Data_Entry!BC129="","",Human_Data_Entry!BC129)</f>
        <v/>
      </c>
      <c r="M131" s="104">
        <f>IF(Human_Data_Entry!BD129="","",Human_Data_Entry!BD129)</f>
        <v/>
      </c>
      <c r="N131" s="104">
        <f>IF(Human_Data_Entry!BE129="","",Human_Data_Entry!BE129)</f>
        <v/>
      </c>
      <c r="O131" s="105">
        <f>IF(Human_Data_Entry!BF129="","",Human_Data_Entry!BF129)</f>
        <v/>
      </c>
      <c r="P131" s="103">
        <f>IF(Human_Data_Entry!BG129="","",Human_Data_Entry!BG129)</f>
        <v/>
      </c>
      <c r="Q131" s="103">
        <f>IF(Human_Data_Entry!BL129="","",Human_Data_Entry!BL129)</f>
        <v/>
      </c>
      <c r="R131" s="103">
        <f>IF(Human_Data_Entry!BH129="","",Human_Data_Entry!BH129)</f>
        <v/>
      </c>
      <c r="S131" s="103">
        <f>IF(Human_Data_Entry!BI129="","",Human_Data_Entry!BI129)</f>
        <v/>
      </c>
      <c r="T131" s="103">
        <f>IF(Human_Data_Entry!BJ129="","",Human_Data_Entry!BJ129)</f>
        <v/>
      </c>
      <c r="U131" s="103">
        <f>IF(Human_Data_Entry!AP129="","",Human_Data_Entry!AP129)</f>
        <v/>
      </c>
      <c r="V131" s="103">
        <f>IF(Human_Data_Entry!AQ129="","",Human_Data_Entry!AQ129)</f>
        <v/>
      </c>
      <c r="W131" s="103">
        <f>IF(Human_Data_Entry!AR129="","",Human_Data_Entry!AR129)</f>
        <v/>
      </c>
      <c r="X131" s="103">
        <f>IF(Human_Data_Entry!BK129="","",Human_Data_Entry!BK129)</f>
        <v/>
      </c>
    </row>
    <row r="132" ht="15" customHeight="1" s="241">
      <c r="A132" s="103">
        <f>IF(Human_Data_Entry!A130="","",Human_Data_Entry!A130)</f>
        <v/>
      </c>
      <c r="B132" s="103">
        <f>IF(Human_Data_Entry!B130="","",Human_Data_Entry!B130)</f>
        <v/>
      </c>
      <c r="C132" s="104">
        <f>IF(Human_Data_Entry!C130="","",Human_Data_Entry!C130)</f>
        <v/>
      </c>
      <c r="D132" s="103">
        <f>IF(Human_Data_Entry!D130="","",Human_Data_Entry!D130)</f>
        <v/>
      </c>
      <c r="E132" s="103">
        <f>IF(Human_Data_Entry!G130="","",Human_Data_Entry!G130)</f>
        <v/>
      </c>
      <c r="F132" s="103">
        <f>IF(Human_Data_Entry!X130="","",Human_Data_Entry!X130)</f>
        <v/>
      </c>
      <c r="G132" s="103">
        <f>IF(Human_Data_Entry!AY130="","",Human_Data_Entry!AY130)</f>
        <v/>
      </c>
      <c r="H132" s="103">
        <f>IF(Human_Data_Entry!AS130="","",Human_Data_Entry!AS130)</f>
        <v/>
      </c>
      <c r="I132" s="103">
        <f>IF(Human_Data_Entry!F130="","",Human_Data_Entry!F130)</f>
        <v/>
      </c>
      <c r="J132" s="103">
        <f>IF(Human_Data_Entry!BA130="","",Human_Data_Entry!BA130)</f>
        <v/>
      </c>
      <c r="K132" s="103">
        <f>IF(Human_Data_Entry!BB130="","",Human_Data_Entry!BB130)</f>
        <v/>
      </c>
      <c r="L132" s="103">
        <f>IF(Human_Data_Entry!BC130="","",Human_Data_Entry!BC130)</f>
        <v/>
      </c>
      <c r="M132" s="104">
        <f>IF(Human_Data_Entry!BD130="","",Human_Data_Entry!BD130)</f>
        <v/>
      </c>
      <c r="N132" s="104">
        <f>IF(Human_Data_Entry!BE130="","",Human_Data_Entry!BE130)</f>
        <v/>
      </c>
      <c r="O132" s="105">
        <f>IF(Human_Data_Entry!BF130="","",Human_Data_Entry!BF130)</f>
        <v/>
      </c>
      <c r="P132" s="103">
        <f>IF(Human_Data_Entry!BG130="","",Human_Data_Entry!BG130)</f>
        <v/>
      </c>
      <c r="Q132" s="103">
        <f>IF(Human_Data_Entry!BL130="","",Human_Data_Entry!BL130)</f>
        <v/>
      </c>
      <c r="R132" s="103">
        <f>IF(Human_Data_Entry!BH130="","",Human_Data_Entry!BH130)</f>
        <v/>
      </c>
      <c r="S132" s="103">
        <f>IF(Human_Data_Entry!BI130="","",Human_Data_Entry!BI130)</f>
        <v/>
      </c>
      <c r="T132" s="103">
        <f>IF(Human_Data_Entry!BJ130="","",Human_Data_Entry!BJ130)</f>
        <v/>
      </c>
      <c r="U132" s="103">
        <f>IF(Human_Data_Entry!AP130="","",Human_Data_Entry!AP130)</f>
        <v/>
      </c>
      <c r="V132" s="103">
        <f>IF(Human_Data_Entry!AQ130="","",Human_Data_Entry!AQ130)</f>
        <v/>
      </c>
      <c r="W132" s="103">
        <f>IF(Human_Data_Entry!AR130="","",Human_Data_Entry!AR130)</f>
        <v/>
      </c>
      <c r="X132" s="103">
        <f>IF(Human_Data_Entry!BK130="","",Human_Data_Entry!BK130)</f>
        <v/>
      </c>
    </row>
    <row r="133" ht="15" customHeight="1" s="241">
      <c r="A133" s="103">
        <f>IF(Human_Data_Entry!A131="","",Human_Data_Entry!A131)</f>
        <v/>
      </c>
      <c r="B133" s="103">
        <f>IF(Human_Data_Entry!B131="","",Human_Data_Entry!B131)</f>
        <v/>
      </c>
      <c r="C133" s="104">
        <f>IF(Human_Data_Entry!C131="","",Human_Data_Entry!C131)</f>
        <v/>
      </c>
      <c r="D133" s="103">
        <f>IF(Human_Data_Entry!D131="","",Human_Data_Entry!D131)</f>
        <v/>
      </c>
      <c r="E133" s="103">
        <f>IF(Human_Data_Entry!G131="","",Human_Data_Entry!G131)</f>
        <v/>
      </c>
      <c r="F133" s="103">
        <f>IF(Human_Data_Entry!X131="","",Human_Data_Entry!X131)</f>
        <v/>
      </c>
      <c r="G133" s="103">
        <f>IF(Human_Data_Entry!AY131="","",Human_Data_Entry!AY131)</f>
        <v/>
      </c>
      <c r="H133" s="103">
        <f>IF(Human_Data_Entry!AS131="","",Human_Data_Entry!AS131)</f>
        <v/>
      </c>
      <c r="I133" s="103">
        <f>IF(Human_Data_Entry!F131="","",Human_Data_Entry!F131)</f>
        <v/>
      </c>
      <c r="J133" s="103">
        <f>IF(Human_Data_Entry!BA131="","",Human_Data_Entry!BA131)</f>
        <v/>
      </c>
      <c r="K133" s="103">
        <f>IF(Human_Data_Entry!BB131="","",Human_Data_Entry!BB131)</f>
        <v/>
      </c>
      <c r="L133" s="103">
        <f>IF(Human_Data_Entry!BC131="","",Human_Data_Entry!BC131)</f>
        <v/>
      </c>
      <c r="M133" s="104">
        <f>IF(Human_Data_Entry!BD131="","",Human_Data_Entry!BD131)</f>
        <v/>
      </c>
      <c r="N133" s="104">
        <f>IF(Human_Data_Entry!BE131="","",Human_Data_Entry!BE131)</f>
        <v/>
      </c>
      <c r="O133" s="105">
        <f>IF(Human_Data_Entry!BF131="","",Human_Data_Entry!BF131)</f>
        <v/>
      </c>
      <c r="P133" s="103">
        <f>IF(Human_Data_Entry!BG131="","",Human_Data_Entry!BG131)</f>
        <v/>
      </c>
      <c r="Q133" s="103">
        <f>IF(Human_Data_Entry!BL131="","",Human_Data_Entry!BL131)</f>
        <v/>
      </c>
      <c r="R133" s="103">
        <f>IF(Human_Data_Entry!BH131="","",Human_Data_Entry!BH131)</f>
        <v/>
      </c>
      <c r="S133" s="103">
        <f>IF(Human_Data_Entry!BI131="","",Human_Data_Entry!BI131)</f>
        <v/>
      </c>
      <c r="T133" s="103">
        <f>IF(Human_Data_Entry!BJ131="","",Human_Data_Entry!BJ131)</f>
        <v/>
      </c>
      <c r="U133" s="103">
        <f>IF(Human_Data_Entry!AP131="","",Human_Data_Entry!AP131)</f>
        <v/>
      </c>
      <c r="V133" s="103">
        <f>IF(Human_Data_Entry!AQ131="","",Human_Data_Entry!AQ131)</f>
        <v/>
      </c>
      <c r="W133" s="103">
        <f>IF(Human_Data_Entry!AR131="","",Human_Data_Entry!AR131)</f>
        <v/>
      </c>
      <c r="X133" s="103">
        <f>IF(Human_Data_Entry!BK131="","",Human_Data_Entry!BK131)</f>
        <v/>
      </c>
    </row>
    <row r="134" ht="15" customHeight="1" s="241">
      <c r="A134" s="103">
        <f>IF(Human_Data_Entry!A132="","",Human_Data_Entry!A132)</f>
        <v/>
      </c>
      <c r="B134" s="103">
        <f>IF(Human_Data_Entry!B132="","",Human_Data_Entry!B132)</f>
        <v/>
      </c>
      <c r="C134" s="104">
        <f>IF(Human_Data_Entry!C132="","",Human_Data_Entry!C132)</f>
        <v/>
      </c>
      <c r="D134" s="103">
        <f>IF(Human_Data_Entry!D132="","",Human_Data_Entry!D132)</f>
        <v/>
      </c>
      <c r="E134" s="103">
        <f>IF(Human_Data_Entry!G132="","",Human_Data_Entry!G132)</f>
        <v/>
      </c>
      <c r="F134" s="103">
        <f>IF(Human_Data_Entry!X132="","",Human_Data_Entry!X132)</f>
        <v/>
      </c>
      <c r="G134" s="103">
        <f>IF(Human_Data_Entry!AY132="","",Human_Data_Entry!AY132)</f>
        <v/>
      </c>
      <c r="H134" s="103">
        <f>IF(Human_Data_Entry!AS132="","",Human_Data_Entry!AS132)</f>
        <v/>
      </c>
      <c r="I134" s="103">
        <f>IF(Human_Data_Entry!F132="","",Human_Data_Entry!F132)</f>
        <v/>
      </c>
      <c r="J134" s="103">
        <f>IF(Human_Data_Entry!BA132="","",Human_Data_Entry!BA132)</f>
        <v/>
      </c>
      <c r="K134" s="103">
        <f>IF(Human_Data_Entry!BB132="","",Human_Data_Entry!BB132)</f>
        <v/>
      </c>
      <c r="L134" s="103">
        <f>IF(Human_Data_Entry!BC132="","",Human_Data_Entry!BC132)</f>
        <v/>
      </c>
      <c r="M134" s="104">
        <f>IF(Human_Data_Entry!BD132="","",Human_Data_Entry!BD132)</f>
        <v/>
      </c>
      <c r="N134" s="104">
        <f>IF(Human_Data_Entry!BE132="","",Human_Data_Entry!BE132)</f>
        <v/>
      </c>
      <c r="O134" s="105">
        <f>IF(Human_Data_Entry!BF132="","",Human_Data_Entry!BF132)</f>
        <v/>
      </c>
      <c r="P134" s="103">
        <f>IF(Human_Data_Entry!BG132="","",Human_Data_Entry!BG132)</f>
        <v/>
      </c>
      <c r="Q134" s="103">
        <f>IF(Human_Data_Entry!BL132="","",Human_Data_Entry!BL132)</f>
        <v/>
      </c>
      <c r="R134" s="103">
        <f>IF(Human_Data_Entry!BH132="","",Human_Data_Entry!BH132)</f>
        <v/>
      </c>
      <c r="S134" s="103">
        <f>IF(Human_Data_Entry!BI132="","",Human_Data_Entry!BI132)</f>
        <v/>
      </c>
      <c r="T134" s="103">
        <f>IF(Human_Data_Entry!BJ132="","",Human_Data_Entry!BJ132)</f>
        <v/>
      </c>
      <c r="U134" s="103">
        <f>IF(Human_Data_Entry!AP132="","",Human_Data_Entry!AP132)</f>
        <v/>
      </c>
      <c r="V134" s="103">
        <f>IF(Human_Data_Entry!AQ132="","",Human_Data_Entry!AQ132)</f>
        <v/>
      </c>
      <c r="W134" s="103">
        <f>IF(Human_Data_Entry!AR132="","",Human_Data_Entry!AR132)</f>
        <v/>
      </c>
      <c r="X134" s="103">
        <f>IF(Human_Data_Entry!BK132="","",Human_Data_Entry!BK132)</f>
        <v/>
      </c>
    </row>
    <row r="135" ht="15" customHeight="1" s="241">
      <c r="A135" s="103">
        <f>IF(Human_Data_Entry!A133="","",Human_Data_Entry!A133)</f>
        <v/>
      </c>
      <c r="B135" s="103">
        <f>IF(Human_Data_Entry!B133="","",Human_Data_Entry!B133)</f>
        <v/>
      </c>
      <c r="C135" s="104">
        <f>IF(Human_Data_Entry!C133="","",Human_Data_Entry!C133)</f>
        <v/>
      </c>
      <c r="D135" s="103">
        <f>IF(Human_Data_Entry!D133="","",Human_Data_Entry!D133)</f>
        <v/>
      </c>
      <c r="E135" s="103">
        <f>IF(Human_Data_Entry!G133="","",Human_Data_Entry!G133)</f>
        <v/>
      </c>
      <c r="F135" s="103">
        <f>IF(Human_Data_Entry!X133="","",Human_Data_Entry!X133)</f>
        <v/>
      </c>
      <c r="G135" s="103">
        <f>IF(Human_Data_Entry!AY133="","",Human_Data_Entry!AY133)</f>
        <v/>
      </c>
      <c r="H135" s="103">
        <f>IF(Human_Data_Entry!AS133="","",Human_Data_Entry!AS133)</f>
        <v/>
      </c>
      <c r="I135" s="103">
        <f>IF(Human_Data_Entry!F133="","",Human_Data_Entry!F133)</f>
        <v/>
      </c>
      <c r="J135" s="103">
        <f>IF(Human_Data_Entry!BA133="","",Human_Data_Entry!BA133)</f>
        <v/>
      </c>
      <c r="K135" s="103">
        <f>IF(Human_Data_Entry!BB133="","",Human_Data_Entry!BB133)</f>
        <v/>
      </c>
      <c r="L135" s="103">
        <f>IF(Human_Data_Entry!BC133="","",Human_Data_Entry!BC133)</f>
        <v/>
      </c>
      <c r="M135" s="104">
        <f>IF(Human_Data_Entry!BD133="","",Human_Data_Entry!BD133)</f>
        <v/>
      </c>
      <c r="N135" s="104">
        <f>IF(Human_Data_Entry!BE133="","",Human_Data_Entry!BE133)</f>
        <v/>
      </c>
      <c r="O135" s="105">
        <f>IF(Human_Data_Entry!BF133="","",Human_Data_Entry!BF133)</f>
        <v/>
      </c>
      <c r="P135" s="103">
        <f>IF(Human_Data_Entry!BG133="","",Human_Data_Entry!BG133)</f>
        <v/>
      </c>
      <c r="Q135" s="103">
        <f>IF(Human_Data_Entry!BL133="","",Human_Data_Entry!BL133)</f>
        <v/>
      </c>
      <c r="R135" s="103">
        <f>IF(Human_Data_Entry!BH133="","",Human_Data_Entry!BH133)</f>
        <v/>
      </c>
      <c r="S135" s="103">
        <f>IF(Human_Data_Entry!BI133="","",Human_Data_Entry!BI133)</f>
        <v/>
      </c>
      <c r="T135" s="103">
        <f>IF(Human_Data_Entry!BJ133="","",Human_Data_Entry!BJ133)</f>
        <v/>
      </c>
      <c r="U135" s="103">
        <f>IF(Human_Data_Entry!AP133="","",Human_Data_Entry!AP133)</f>
        <v/>
      </c>
      <c r="V135" s="103">
        <f>IF(Human_Data_Entry!AQ133="","",Human_Data_Entry!AQ133)</f>
        <v/>
      </c>
      <c r="W135" s="103">
        <f>IF(Human_Data_Entry!AR133="","",Human_Data_Entry!AR133)</f>
        <v/>
      </c>
      <c r="X135" s="103">
        <f>IF(Human_Data_Entry!BK133="","",Human_Data_Entry!BK133)</f>
        <v/>
      </c>
    </row>
    <row r="136" ht="15" customHeight="1" s="241">
      <c r="A136" s="103">
        <f>IF(Human_Data_Entry!A134="","",Human_Data_Entry!A134)</f>
        <v/>
      </c>
      <c r="B136" s="103">
        <f>IF(Human_Data_Entry!B134="","",Human_Data_Entry!B134)</f>
        <v/>
      </c>
      <c r="C136" s="104">
        <f>IF(Human_Data_Entry!C134="","",Human_Data_Entry!C134)</f>
        <v/>
      </c>
      <c r="D136" s="103">
        <f>IF(Human_Data_Entry!D134="","",Human_Data_Entry!D134)</f>
        <v/>
      </c>
      <c r="E136" s="103">
        <f>IF(Human_Data_Entry!G134="","",Human_Data_Entry!G134)</f>
        <v/>
      </c>
      <c r="F136" s="103">
        <f>IF(Human_Data_Entry!X134="","",Human_Data_Entry!X134)</f>
        <v/>
      </c>
      <c r="G136" s="103">
        <f>IF(Human_Data_Entry!AY134="","",Human_Data_Entry!AY134)</f>
        <v/>
      </c>
      <c r="H136" s="103">
        <f>IF(Human_Data_Entry!AS134="","",Human_Data_Entry!AS134)</f>
        <v/>
      </c>
      <c r="I136" s="103">
        <f>IF(Human_Data_Entry!F134="","",Human_Data_Entry!F134)</f>
        <v/>
      </c>
      <c r="J136" s="103">
        <f>IF(Human_Data_Entry!BA134="","",Human_Data_Entry!BA134)</f>
        <v/>
      </c>
      <c r="K136" s="103">
        <f>IF(Human_Data_Entry!BB134="","",Human_Data_Entry!BB134)</f>
        <v/>
      </c>
      <c r="L136" s="103">
        <f>IF(Human_Data_Entry!BC134="","",Human_Data_Entry!BC134)</f>
        <v/>
      </c>
      <c r="M136" s="104">
        <f>IF(Human_Data_Entry!BD134="","",Human_Data_Entry!BD134)</f>
        <v/>
      </c>
      <c r="N136" s="104">
        <f>IF(Human_Data_Entry!BE134="","",Human_Data_Entry!BE134)</f>
        <v/>
      </c>
      <c r="O136" s="105">
        <f>IF(Human_Data_Entry!BF134="","",Human_Data_Entry!BF134)</f>
        <v/>
      </c>
      <c r="P136" s="103">
        <f>IF(Human_Data_Entry!BG134="","",Human_Data_Entry!BG134)</f>
        <v/>
      </c>
      <c r="Q136" s="103">
        <f>IF(Human_Data_Entry!BL134="","",Human_Data_Entry!BL134)</f>
        <v/>
      </c>
      <c r="R136" s="103">
        <f>IF(Human_Data_Entry!BH134="","",Human_Data_Entry!BH134)</f>
        <v/>
      </c>
      <c r="S136" s="103">
        <f>IF(Human_Data_Entry!BI134="","",Human_Data_Entry!BI134)</f>
        <v/>
      </c>
      <c r="T136" s="103">
        <f>IF(Human_Data_Entry!BJ134="","",Human_Data_Entry!BJ134)</f>
        <v/>
      </c>
      <c r="U136" s="103">
        <f>IF(Human_Data_Entry!AP134="","",Human_Data_Entry!AP134)</f>
        <v/>
      </c>
      <c r="V136" s="103">
        <f>IF(Human_Data_Entry!AQ134="","",Human_Data_Entry!AQ134)</f>
        <v/>
      </c>
      <c r="W136" s="103">
        <f>IF(Human_Data_Entry!AR134="","",Human_Data_Entry!AR134)</f>
        <v/>
      </c>
      <c r="X136" s="103">
        <f>IF(Human_Data_Entry!BK134="","",Human_Data_Entry!BK134)</f>
        <v/>
      </c>
    </row>
    <row r="137" ht="15" customHeight="1" s="241">
      <c r="A137" s="103">
        <f>IF(Human_Data_Entry!A135="","",Human_Data_Entry!A135)</f>
        <v/>
      </c>
      <c r="B137" s="103">
        <f>IF(Human_Data_Entry!B135="","",Human_Data_Entry!B135)</f>
        <v/>
      </c>
      <c r="C137" s="104">
        <f>IF(Human_Data_Entry!C135="","",Human_Data_Entry!C135)</f>
        <v/>
      </c>
      <c r="D137" s="103">
        <f>IF(Human_Data_Entry!D135="","",Human_Data_Entry!D135)</f>
        <v/>
      </c>
      <c r="E137" s="103">
        <f>IF(Human_Data_Entry!G135="","",Human_Data_Entry!G135)</f>
        <v/>
      </c>
      <c r="F137" s="103">
        <f>IF(Human_Data_Entry!X135="","",Human_Data_Entry!X135)</f>
        <v/>
      </c>
      <c r="G137" s="103">
        <f>IF(Human_Data_Entry!AY135="","",Human_Data_Entry!AY135)</f>
        <v/>
      </c>
      <c r="H137" s="103">
        <f>IF(Human_Data_Entry!AS135="","",Human_Data_Entry!AS135)</f>
        <v/>
      </c>
      <c r="I137" s="103">
        <f>IF(Human_Data_Entry!F135="","",Human_Data_Entry!F135)</f>
        <v/>
      </c>
      <c r="J137" s="103">
        <f>IF(Human_Data_Entry!BA135="","",Human_Data_Entry!BA135)</f>
        <v/>
      </c>
      <c r="K137" s="103">
        <f>IF(Human_Data_Entry!BB135="","",Human_Data_Entry!BB135)</f>
        <v/>
      </c>
      <c r="L137" s="103">
        <f>IF(Human_Data_Entry!BC135="","",Human_Data_Entry!BC135)</f>
        <v/>
      </c>
      <c r="M137" s="104">
        <f>IF(Human_Data_Entry!BD135="","",Human_Data_Entry!BD135)</f>
        <v/>
      </c>
      <c r="N137" s="104">
        <f>IF(Human_Data_Entry!BE135="","",Human_Data_Entry!BE135)</f>
        <v/>
      </c>
      <c r="O137" s="105">
        <f>IF(Human_Data_Entry!BF135="","",Human_Data_Entry!BF135)</f>
        <v/>
      </c>
      <c r="P137" s="103">
        <f>IF(Human_Data_Entry!BG135="","",Human_Data_Entry!BG135)</f>
        <v/>
      </c>
      <c r="Q137" s="103">
        <f>IF(Human_Data_Entry!BL135="","",Human_Data_Entry!BL135)</f>
        <v/>
      </c>
      <c r="R137" s="103">
        <f>IF(Human_Data_Entry!BH135="","",Human_Data_Entry!BH135)</f>
        <v/>
      </c>
      <c r="S137" s="103">
        <f>IF(Human_Data_Entry!BI135="","",Human_Data_Entry!BI135)</f>
        <v/>
      </c>
      <c r="T137" s="103">
        <f>IF(Human_Data_Entry!BJ135="","",Human_Data_Entry!BJ135)</f>
        <v/>
      </c>
      <c r="U137" s="103">
        <f>IF(Human_Data_Entry!AP135="","",Human_Data_Entry!AP135)</f>
        <v/>
      </c>
      <c r="V137" s="103">
        <f>IF(Human_Data_Entry!AQ135="","",Human_Data_Entry!AQ135)</f>
        <v/>
      </c>
      <c r="W137" s="103">
        <f>IF(Human_Data_Entry!AR135="","",Human_Data_Entry!AR135)</f>
        <v/>
      </c>
      <c r="X137" s="103">
        <f>IF(Human_Data_Entry!BK135="","",Human_Data_Entry!BK135)</f>
        <v/>
      </c>
    </row>
    <row r="138" ht="15" customHeight="1" s="241">
      <c r="A138" s="103">
        <f>IF(Human_Data_Entry!A136="","",Human_Data_Entry!A136)</f>
        <v/>
      </c>
      <c r="B138" s="103">
        <f>IF(Human_Data_Entry!B136="","",Human_Data_Entry!B136)</f>
        <v/>
      </c>
      <c r="C138" s="104">
        <f>IF(Human_Data_Entry!C136="","",Human_Data_Entry!C136)</f>
        <v/>
      </c>
      <c r="D138" s="103">
        <f>IF(Human_Data_Entry!D136="","",Human_Data_Entry!D136)</f>
        <v/>
      </c>
      <c r="E138" s="103">
        <f>IF(Human_Data_Entry!G136="","",Human_Data_Entry!G136)</f>
        <v/>
      </c>
      <c r="F138" s="103">
        <f>IF(Human_Data_Entry!X136="","",Human_Data_Entry!X136)</f>
        <v/>
      </c>
      <c r="G138" s="103">
        <f>IF(Human_Data_Entry!AY136="","",Human_Data_Entry!AY136)</f>
        <v/>
      </c>
      <c r="H138" s="103">
        <f>IF(Human_Data_Entry!AS136="","",Human_Data_Entry!AS136)</f>
        <v/>
      </c>
      <c r="I138" s="103">
        <f>IF(Human_Data_Entry!F136="","",Human_Data_Entry!F136)</f>
        <v/>
      </c>
      <c r="J138" s="103">
        <f>IF(Human_Data_Entry!BA136="","",Human_Data_Entry!BA136)</f>
        <v/>
      </c>
      <c r="K138" s="103">
        <f>IF(Human_Data_Entry!BB136="","",Human_Data_Entry!BB136)</f>
        <v/>
      </c>
      <c r="L138" s="103">
        <f>IF(Human_Data_Entry!BC136="","",Human_Data_Entry!BC136)</f>
        <v/>
      </c>
      <c r="M138" s="104">
        <f>IF(Human_Data_Entry!BD136="","",Human_Data_Entry!BD136)</f>
        <v/>
      </c>
      <c r="N138" s="104">
        <f>IF(Human_Data_Entry!BE136="","",Human_Data_Entry!BE136)</f>
        <v/>
      </c>
      <c r="O138" s="105">
        <f>IF(Human_Data_Entry!BF136="","",Human_Data_Entry!BF136)</f>
        <v/>
      </c>
      <c r="P138" s="103">
        <f>IF(Human_Data_Entry!BG136="","",Human_Data_Entry!BG136)</f>
        <v/>
      </c>
      <c r="Q138" s="103">
        <f>IF(Human_Data_Entry!BL136="","",Human_Data_Entry!BL136)</f>
        <v/>
      </c>
      <c r="R138" s="103">
        <f>IF(Human_Data_Entry!BH136="","",Human_Data_Entry!BH136)</f>
        <v/>
      </c>
      <c r="S138" s="103">
        <f>IF(Human_Data_Entry!BI136="","",Human_Data_Entry!BI136)</f>
        <v/>
      </c>
      <c r="T138" s="103">
        <f>IF(Human_Data_Entry!BJ136="","",Human_Data_Entry!BJ136)</f>
        <v/>
      </c>
      <c r="U138" s="103">
        <f>IF(Human_Data_Entry!AP136="","",Human_Data_Entry!AP136)</f>
        <v/>
      </c>
      <c r="V138" s="103">
        <f>IF(Human_Data_Entry!AQ136="","",Human_Data_Entry!AQ136)</f>
        <v/>
      </c>
      <c r="W138" s="103">
        <f>IF(Human_Data_Entry!AR136="","",Human_Data_Entry!AR136)</f>
        <v/>
      </c>
      <c r="X138" s="103">
        <f>IF(Human_Data_Entry!BK136="","",Human_Data_Entry!BK136)</f>
        <v/>
      </c>
    </row>
    <row r="139" ht="15" customHeight="1" s="241">
      <c r="A139" s="103">
        <f>IF(Human_Data_Entry!A137="","",Human_Data_Entry!A137)</f>
        <v/>
      </c>
      <c r="B139" s="103">
        <f>IF(Human_Data_Entry!B137="","",Human_Data_Entry!B137)</f>
        <v/>
      </c>
      <c r="C139" s="104">
        <f>IF(Human_Data_Entry!C137="","",Human_Data_Entry!C137)</f>
        <v/>
      </c>
      <c r="D139" s="103">
        <f>IF(Human_Data_Entry!D137="","",Human_Data_Entry!D137)</f>
        <v/>
      </c>
      <c r="E139" s="103">
        <f>IF(Human_Data_Entry!G137="","",Human_Data_Entry!G137)</f>
        <v/>
      </c>
      <c r="F139" s="103">
        <f>IF(Human_Data_Entry!X137="","",Human_Data_Entry!X137)</f>
        <v/>
      </c>
      <c r="G139" s="103">
        <f>IF(Human_Data_Entry!AY137="","",Human_Data_Entry!AY137)</f>
        <v/>
      </c>
      <c r="H139" s="103">
        <f>IF(Human_Data_Entry!AS137="","",Human_Data_Entry!AS137)</f>
        <v/>
      </c>
      <c r="I139" s="103">
        <f>IF(Human_Data_Entry!F137="","",Human_Data_Entry!F137)</f>
        <v/>
      </c>
      <c r="J139" s="103">
        <f>IF(Human_Data_Entry!BA137="","",Human_Data_Entry!BA137)</f>
        <v/>
      </c>
      <c r="K139" s="103">
        <f>IF(Human_Data_Entry!BB137="","",Human_Data_Entry!BB137)</f>
        <v/>
      </c>
      <c r="L139" s="103">
        <f>IF(Human_Data_Entry!BC137="","",Human_Data_Entry!BC137)</f>
        <v/>
      </c>
      <c r="M139" s="104">
        <f>IF(Human_Data_Entry!BD137="","",Human_Data_Entry!BD137)</f>
        <v/>
      </c>
      <c r="N139" s="104">
        <f>IF(Human_Data_Entry!BE137="","",Human_Data_Entry!BE137)</f>
        <v/>
      </c>
      <c r="O139" s="105">
        <f>IF(Human_Data_Entry!BF137="","",Human_Data_Entry!BF137)</f>
        <v/>
      </c>
      <c r="P139" s="103">
        <f>IF(Human_Data_Entry!BG137="","",Human_Data_Entry!BG137)</f>
        <v/>
      </c>
      <c r="Q139" s="103">
        <f>IF(Human_Data_Entry!BL137="","",Human_Data_Entry!BL137)</f>
        <v/>
      </c>
      <c r="R139" s="103">
        <f>IF(Human_Data_Entry!BH137="","",Human_Data_Entry!BH137)</f>
        <v/>
      </c>
      <c r="S139" s="103">
        <f>IF(Human_Data_Entry!BI137="","",Human_Data_Entry!BI137)</f>
        <v/>
      </c>
      <c r="T139" s="103">
        <f>IF(Human_Data_Entry!BJ137="","",Human_Data_Entry!BJ137)</f>
        <v/>
      </c>
      <c r="U139" s="103">
        <f>IF(Human_Data_Entry!AP137="","",Human_Data_Entry!AP137)</f>
        <v/>
      </c>
      <c r="V139" s="103">
        <f>IF(Human_Data_Entry!AQ137="","",Human_Data_Entry!AQ137)</f>
        <v/>
      </c>
      <c r="W139" s="103">
        <f>IF(Human_Data_Entry!AR137="","",Human_Data_Entry!AR137)</f>
        <v/>
      </c>
      <c r="X139" s="103">
        <f>IF(Human_Data_Entry!BK137="","",Human_Data_Entry!BK137)</f>
        <v/>
      </c>
    </row>
    <row r="140" ht="15" customHeight="1" s="241">
      <c r="A140" s="103">
        <f>IF(Human_Data_Entry!A138="","",Human_Data_Entry!A138)</f>
        <v/>
      </c>
      <c r="B140" s="103">
        <f>IF(Human_Data_Entry!B138="","",Human_Data_Entry!B138)</f>
        <v/>
      </c>
      <c r="C140" s="104">
        <f>IF(Human_Data_Entry!C138="","",Human_Data_Entry!C138)</f>
        <v/>
      </c>
      <c r="D140" s="103">
        <f>IF(Human_Data_Entry!D138="","",Human_Data_Entry!D138)</f>
        <v/>
      </c>
      <c r="E140" s="103">
        <f>IF(Human_Data_Entry!G138="","",Human_Data_Entry!G138)</f>
        <v/>
      </c>
      <c r="F140" s="103">
        <f>IF(Human_Data_Entry!X138="","",Human_Data_Entry!X138)</f>
        <v/>
      </c>
      <c r="G140" s="103">
        <f>IF(Human_Data_Entry!AY138="","",Human_Data_Entry!AY138)</f>
        <v/>
      </c>
      <c r="H140" s="103">
        <f>IF(Human_Data_Entry!AS138="","",Human_Data_Entry!AS138)</f>
        <v/>
      </c>
      <c r="I140" s="103">
        <f>IF(Human_Data_Entry!F138="","",Human_Data_Entry!F138)</f>
        <v/>
      </c>
      <c r="J140" s="103">
        <f>IF(Human_Data_Entry!BA138="","",Human_Data_Entry!BA138)</f>
        <v/>
      </c>
      <c r="K140" s="103">
        <f>IF(Human_Data_Entry!BB138="","",Human_Data_Entry!BB138)</f>
        <v/>
      </c>
      <c r="L140" s="103">
        <f>IF(Human_Data_Entry!BC138="","",Human_Data_Entry!BC138)</f>
        <v/>
      </c>
      <c r="M140" s="104">
        <f>IF(Human_Data_Entry!BD138="","",Human_Data_Entry!BD138)</f>
        <v/>
      </c>
      <c r="N140" s="104">
        <f>IF(Human_Data_Entry!BE138="","",Human_Data_Entry!BE138)</f>
        <v/>
      </c>
      <c r="O140" s="105">
        <f>IF(Human_Data_Entry!BF138="","",Human_Data_Entry!BF138)</f>
        <v/>
      </c>
      <c r="P140" s="103">
        <f>IF(Human_Data_Entry!BG138="","",Human_Data_Entry!BG138)</f>
        <v/>
      </c>
      <c r="Q140" s="103">
        <f>IF(Human_Data_Entry!BL138="","",Human_Data_Entry!BL138)</f>
        <v/>
      </c>
      <c r="R140" s="103">
        <f>IF(Human_Data_Entry!BH138="","",Human_Data_Entry!BH138)</f>
        <v/>
      </c>
      <c r="S140" s="103">
        <f>IF(Human_Data_Entry!BI138="","",Human_Data_Entry!BI138)</f>
        <v/>
      </c>
      <c r="T140" s="103">
        <f>IF(Human_Data_Entry!BJ138="","",Human_Data_Entry!BJ138)</f>
        <v/>
      </c>
      <c r="U140" s="103">
        <f>IF(Human_Data_Entry!AP138="","",Human_Data_Entry!AP138)</f>
        <v/>
      </c>
      <c r="V140" s="103">
        <f>IF(Human_Data_Entry!AQ138="","",Human_Data_Entry!AQ138)</f>
        <v/>
      </c>
      <c r="W140" s="103">
        <f>IF(Human_Data_Entry!AR138="","",Human_Data_Entry!AR138)</f>
        <v/>
      </c>
      <c r="X140" s="103">
        <f>IF(Human_Data_Entry!BK138="","",Human_Data_Entry!BK138)</f>
        <v/>
      </c>
    </row>
    <row r="141" ht="15" customHeight="1" s="241">
      <c r="A141" s="103">
        <f>IF(Human_Data_Entry!A139="","",Human_Data_Entry!A139)</f>
        <v/>
      </c>
      <c r="B141" s="103">
        <f>IF(Human_Data_Entry!B139="","",Human_Data_Entry!B139)</f>
        <v/>
      </c>
      <c r="C141" s="104">
        <f>IF(Human_Data_Entry!C139="","",Human_Data_Entry!C139)</f>
        <v/>
      </c>
      <c r="D141" s="103">
        <f>IF(Human_Data_Entry!D139="","",Human_Data_Entry!D139)</f>
        <v/>
      </c>
      <c r="E141" s="103">
        <f>IF(Human_Data_Entry!G139="","",Human_Data_Entry!G139)</f>
        <v/>
      </c>
      <c r="F141" s="103">
        <f>IF(Human_Data_Entry!X139="","",Human_Data_Entry!X139)</f>
        <v/>
      </c>
      <c r="G141" s="103">
        <f>IF(Human_Data_Entry!AY139="","",Human_Data_Entry!AY139)</f>
        <v/>
      </c>
      <c r="H141" s="103">
        <f>IF(Human_Data_Entry!AS139="","",Human_Data_Entry!AS139)</f>
        <v/>
      </c>
      <c r="I141" s="103">
        <f>IF(Human_Data_Entry!F139="","",Human_Data_Entry!F139)</f>
        <v/>
      </c>
      <c r="J141" s="103">
        <f>IF(Human_Data_Entry!BA139="","",Human_Data_Entry!BA139)</f>
        <v/>
      </c>
      <c r="K141" s="103">
        <f>IF(Human_Data_Entry!BB139="","",Human_Data_Entry!BB139)</f>
        <v/>
      </c>
      <c r="L141" s="103">
        <f>IF(Human_Data_Entry!BC139="","",Human_Data_Entry!BC139)</f>
        <v/>
      </c>
      <c r="M141" s="104">
        <f>IF(Human_Data_Entry!BD139="","",Human_Data_Entry!BD139)</f>
        <v/>
      </c>
      <c r="N141" s="104">
        <f>IF(Human_Data_Entry!BE139="","",Human_Data_Entry!BE139)</f>
        <v/>
      </c>
      <c r="O141" s="105">
        <f>IF(Human_Data_Entry!BF139="","",Human_Data_Entry!BF139)</f>
        <v/>
      </c>
      <c r="P141" s="103">
        <f>IF(Human_Data_Entry!BG139="","",Human_Data_Entry!BG139)</f>
        <v/>
      </c>
      <c r="Q141" s="103">
        <f>IF(Human_Data_Entry!BL139="","",Human_Data_Entry!BL139)</f>
        <v/>
      </c>
      <c r="R141" s="103">
        <f>IF(Human_Data_Entry!BH139="","",Human_Data_Entry!BH139)</f>
        <v/>
      </c>
      <c r="S141" s="103">
        <f>IF(Human_Data_Entry!BI139="","",Human_Data_Entry!BI139)</f>
        <v/>
      </c>
      <c r="T141" s="103">
        <f>IF(Human_Data_Entry!BJ139="","",Human_Data_Entry!BJ139)</f>
        <v/>
      </c>
      <c r="U141" s="103">
        <f>IF(Human_Data_Entry!AP139="","",Human_Data_Entry!AP139)</f>
        <v/>
      </c>
      <c r="V141" s="103">
        <f>IF(Human_Data_Entry!AQ139="","",Human_Data_Entry!AQ139)</f>
        <v/>
      </c>
      <c r="W141" s="103">
        <f>IF(Human_Data_Entry!AR139="","",Human_Data_Entry!AR139)</f>
        <v/>
      </c>
      <c r="X141" s="103">
        <f>IF(Human_Data_Entry!BK139="","",Human_Data_Entry!BK139)</f>
        <v/>
      </c>
    </row>
    <row r="142" ht="15" customHeight="1" s="241">
      <c r="A142" s="103">
        <f>IF(Human_Data_Entry!A140="","",Human_Data_Entry!A140)</f>
        <v/>
      </c>
      <c r="B142" s="103">
        <f>IF(Human_Data_Entry!B140="","",Human_Data_Entry!B140)</f>
        <v/>
      </c>
      <c r="C142" s="104">
        <f>IF(Human_Data_Entry!C140="","",Human_Data_Entry!C140)</f>
        <v/>
      </c>
      <c r="D142" s="103">
        <f>IF(Human_Data_Entry!D140="","",Human_Data_Entry!D140)</f>
        <v/>
      </c>
      <c r="E142" s="103">
        <f>IF(Human_Data_Entry!G140="","",Human_Data_Entry!G140)</f>
        <v/>
      </c>
      <c r="F142" s="103">
        <f>IF(Human_Data_Entry!X140="","",Human_Data_Entry!X140)</f>
        <v/>
      </c>
      <c r="G142" s="103">
        <f>IF(Human_Data_Entry!AY140="","",Human_Data_Entry!AY140)</f>
        <v/>
      </c>
      <c r="H142" s="103">
        <f>IF(Human_Data_Entry!AS140="","",Human_Data_Entry!AS140)</f>
        <v/>
      </c>
      <c r="I142" s="103">
        <f>IF(Human_Data_Entry!F140="","",Human_Data_Entry!F140)</f>
        <v/>
      </c>
      <c r="J142" s="103">
        <f>IF(Human_Data_Entry!BA140="","",Human_Data_Entry!BA140)</f>
        <v/>
      </c>
      <c r="K142" s="103">
        <f>IF(Human_Data_Entry!BB140="","",Human_Data_Entry!BB140)</f>
        <v/>
      </c>
      <c r="L142" s="103">
        <f>IF(Human_Data_Entry!BC140="","",Human_Data_Entry!BC140)</f>
        <v/>
      </c>
      <c r="M142" s="104">
        <f>IF(Human_Data_Entry!BD140="","",Human_Data_Entry!BD140)</f>
        <v/>
      </c>
      <c r="N142" s="104">
        <f>IF(Human_Data_Entry!BE140="","",Human_Data_Entry!BE140)</f>
        <v/>
      </c>
      <c r="O142" s="105">
        <f>IF(Human_Data_Entry!BF140="","",Human_Data_Entry!BF140)</f>
        <v/>
      </c>
      <c r="P142" s="103">
        <f>IF(Human_Data_Entry!BG140="","",Human_Data_Entry!BG140)</f>
        <v/>
      </c>
      <c r="Q142" s="103">
        <f>IF(Human_Data_Entry!BL140="","",Human_Data_Entry!BL140)</f>
        <v/>
      </c>
      <c r="R142" s="103">
        <f>IF(Human_Data_Entry!BH140="","",Human_Data_Entry!BH140)</f>
        <v/>
      </c>
      <c r="S142" s="103">
        <f>IF(Human_Data_Entry!BI140="","",Human_Data_Entry!BI140)</f>
        <v/>
      </c>
      <c r="T142" s="103">
        <f>IF(Human_Data_Entry!BJ140="","",Human_Data_Entry!BJ140)</f>
        <v/>
      </c>
      <c r="U142" s="103">
        <f>IF(Human_Data_Entry!AP140="","",Human_Data_Entry!AP140)</f>
        <v/>
      </c>
      <c r="V142" s="103">
        <f>IF(Human_Data_Entry!AQ140="","",Human_Data_Entry!AQ140)</f>
        <v/>
      </c>
      <c r="W142" s="103">
        <f>IF(Human_Data_Entry!AR140="","",Human_Data_Entry!AR140)</f>
        <v/>
      </c>
      <c r="X142" s="103">
        <f>IF(Human_Data_Entry!BK140="","",Human_Data_Entry!BK140)</f>
        <v/>
      </c>
    </row>
    <row r="143" ht="15" customHeight="1" s="241">
      <c r="A143" s="103">
        <f>IF(Human_Data_Entry!A141="","",Human_Data_Entry!A141)</f>
        <v/>
      </c>
      <c r="B143" s="103">
        <f>IF(Human_Data_Entry!B141="","",Human_Data_Entry!B141)</f>
        <v/>
      </c>
      <c r="C143" s="104">
        <f>IF(Human_Data_Entry!C141="","",Human_Data_Entry!C141)</f>
        <v/>
      </c>
      <c r="D143" s="103">
        <f>IF(Human_Data_Entry!D141="","",Human_Data_Entry!D141)</f>
        <v/>
      </c>
      <c r="E143" s="103">
        <f>IF(Human_Data_Entry!G141="","",Human_Data_Entry!G141)</f>
        <v/>
      </c>
      <c r="F143" s="103">
        <f>IF(Human_Data_Entry!X141="","",Human_Data_Entry!X141)</f>
        <v/>
      </c>
      <c r="G143" s="103">
        <f>IF(Human_Data_Entry!AY141="","",Human_Data_Entry!AY141)</f>
        <v/>
      </c>
      <c r="H143" s="103">
        <f>IF(Human_Data_Entry!AS141="","",Human_Data_Entry!AS141)</f>
        <v/>
      </c>
      <c r="I143" s="103">
        <f>IF(Human_Data_Entry!F141="","",Human_Data_Entry!F141)</f>
        <v/>
      </c>
      <c r="J143" s="103">
        <f>IF(Human_Data_Entry!BA141="","",Human_Data_Entry!BA141)</f>
        <v/>
      </c>
      <c r="K143" s="103">
        <f>IF(Human_Data_Entry!BB141="","",Human_Data_Entry!BB141)</f>
        <v/>
      </c>
      <c r="L143" s="103">
        <f>IF(Human_Data_Entry!BC141="","",Human_Data_Entry!BC141)</f>
        <v/>
      </c>
      <c r="M143" s="104">
        <f>IF(Human_Data_Entry!BD141="","",Human_Data_Entry!BD141)</f>
        <v/>
      </c>
      <c r="N143" s="104">
        <f>IF(Human_Data_Entry!BE141="","",Human_Data_Entry!BE141)</f>
        <v/>
      </c>
      <c r="O143" s="105">
        <f>IF(Human_Data_Entry!BF141="","",Human_Data_Entry!BF141)</f>
        <v/>
      </c>
      <c r="P143" s="103">
        <f>IF(Human_Data_Entry!BG141="","",Human_Data_Entry!BG141)</f>
        <v/>
      </c>
      <c r="Q143" s="103">
        <f>IF(Human_Data_Entry!BL141="","",Human_Data_Entry!BL141)</f>
        <v/>
      </c>
      <c r="R143" s="103">
        <f>IF(Human_Data_Entry!BH141="","",Human_Data_Entry!BH141)</f>
        <v/>
      </c>
      <c r="S143" s="103">
        <f>IF(Human_Data_Entry!BI141="","",Human_Data_Entry!BI141)</f>
        <v/>
      </c>
      <c r="T143" s="103">
        <f>IF(Human_Data_Entry!BJ141="","",Human_Data_Entry!BJ141)</f>
        <v/>
      </c>
      <c r="U143" s="103">
        <f>IF(Human_Data_Entry!AP141="","",Human_Data_Entry!AP141)</f>
        <v/>
      </c>
      <c r="V143" s="103">
        <f>IF(Human_Data_Entry!AQ141="","",Human_Data_Entry!AQ141)</f>
        <v/>
      </c>
      <c r="W143" s="103">
        <f>IF(Human_Data_Entry!AR141="","",Human_Data_Entry!AR141)</f>
        <v/>
      </c>
      <c r="X143" s="103">
        <f>IF(Human_Data_Entry!BK141="","",Human_Data_Entry!BK141)</f>
        <v/>
      </c>
    </row>
    <row r="144" ht="15" customHeight="1" s="241">
      <c r="A144" s="103">
        <f>IF(Human_Data_Entry!A142="","",Human_Data_Entry!A142)</f>
        <v/>
      </c>
      <c r="B144" s="103">
        <f>IF(Human_Data_Entry!B142="","",Human_Data_Entry!B142)</f>
        <v/>
      </c>
      <c r="C144" s="104">
        <f>IF(Human_Data_Entry!C142="","",Human_Data_Entry!C142)</f>
        <v/>
      </c>
      <c r="D144" s="103">
        <f>IF(Human_Data_Entry!D142="","",Human_Data_Entry!D142)</f>
        <v/>
      </c>
      <c r="E144" s="103">
        <f>IF(Human_Data_Entry!G142="","",Human_Data_Entry!G142)</f>
        <v/>
      </c>
      <c r="F144" s="103">
        <f>IF(Human_Data_Entry!X142="","",Human_Data_Entry!X142)</f>
        <v/>
      </c>
      <c r="G144" s="103">
        <f>IF(Human_Data_Entry!AY142="","",Human_Data_Entry!AY142)</f>
        <v/>
      </c>
      <c r="H144" s="103">
        <f>IF(Human_Data_Entry!AS142="","",Human_Data_Entry!AS142)</f>
        <v/>
      </c>
      <c r="I144" s="103">
        <f>IF(Human_Data_Entry!F142="","",Human_Data_Entry!F142)</f>
        <v/>
      </c>
      <c r="J144" s="103">
        <f>IF(Human_Data_Entry!BA142="","",Human_Data_Entry!BA142)</f>
        <v/>
      </c>
      <c r="K144" s="103">
        <f>IF(Human_Data_Entry!BB142="","",Human_Data_Entry!BB142)</f>
        <v/>
      </c>
      <c r="L144" s="103">
        <f>IF(Human_Data_Entry!BC142="","",Human_Data_Entry!BC142)</f>
        <v/>
      </c>
      <c r="M144" s="104">
        <f>IF(Human_Data_Entry!BD142="","",Human_Data_Entry!BD142)</f>
        <v/>
      </c>
      <c r="N144" s="104">
        <f>IF(Human_Data_Entry!BE142="","",Human_Data_Entry!BE142)</f>
        <v/>
      </c>
      <c r="O144" s="105">
        <f>IF(Human_Data_Entry!BF142="","",Human_Data_Entry!BF142)</f>
        <v/>
      </c>
      <c r="P144" s="103">
        <f>IF(Human_Data_Entry!BG142="","",Human_Data_Entry!BG142)</f>
        <v/>
      </c>
      <c r="Q144" s="103">
        <f>IF(Human_Data_Entry!BL142="","",Human_Data_Entry!BL142)</f>
        <v/>
      </c>
      <c r="R144" s="103">
        <f>IF(Human_Data_Entry!BH142="","",Human_Data_Entry!BH142)</f>
        <v/>
      </c>
      <c r="S144" s="103">
        <f>IF(Human_Data_Entry!BI142="","",Human_Data_Entry!BI142)</f>
        <v/>
      </c>
      <c r="T144" s="103">
        <f>IF(Human_Data_Entry!BJ142="","",Human_Data_Entry!BJ142)</f>
        <v/>
      </c>
      <c r="U144" s="103">
        <f>IF(Human_Data_Entry!AP142="","",Human_Data_Entry!AP142)</f>
        <v/>
      </c>
      <c r="V144" s="103">
        <f>IF(Human_Data_Entry!AQ142="","",Human_Data_Entry!AQ142)</f>
        <v/>
      </c>
      <c r="W144" s="103">
        <f>IF(Human_Data_Entry!AR142="","",Human_Data_Entry!AR142)</f>
        <v/>
      </c>
      <c r="X144" s="103">
        <f>IF(Human_Data_Entry!BK142="","",Human_Data_Entry!BK142)</f>
        <v/>
      </c>
    </row>
    <row r="145" ht="15" customHeight="1" s="241">
      <c r="A145" s="103">
        <f>IF(Human_Data_Entry!A143="","",Human_Data_Entry!A143)</f>
        <v/>
      </c>
      <c r="B145" s="103">
        <f>IF(Human_Data_Entry!B143="","",Human_Data_Entry!B143)</f>
        <v/>
      </c>
      <c r="C145" s="104">
        <f>IF(Human_Data_Entry!C143="","",Human_Data_Entry!C143)</f>
        <v/>
      </c>
      <c r="D145" s="103">
        <f>IF(Human_Data_Entry!D143="","",Human_Data_Entry!D143)</f>
        <v/>
      </c>
      <c r="E145" s="103">
        <f>IF(Human_Data_Entry!G143="","",Human_Data_Entry!G143)</f>
        <v/>
      </c>
      <c r="F145" s="103">
        <f>IF(Human_Data_Entry!X143="","",Human_Data_Entry!X143)</f>
        <v/>
      </c>
      <c r="G145" s="103">
        <f>IF(Human_Data_Entry!AY143="","",Human_Data_Entry!AY143)</f>
        <v/>
      </c>
      <c r="H145" s="103">
        <f>IF(Human_Data_Entry!AS143="","",Human_Data_Entry!AS143)</f>
        <v/>
      </c>
      <c r="I145" s="103">
        <f>IF(Human_Data_Entry!F143="","",Human_Data_Entry!F143)</f>
        <v/>
      </c>
      <c r="J145" s="103">
        <f>IF(Human_Data_Entry!BA143="","",Human_Data_Entry!BA143)</f>
        <v/>
      </c>
      <c r="K145" s="103">
        <f>IF(Human_Data_Entry!BB143="","",Human_Data_Entry!BB143)</f>
        <v/>
      </c>
      <c r="L145" s="103">
        <f>IF(Human_Data_Entry!BC143="","",Human_Data_Entry!BC143)</f>
        <v/>
      </c>
      <c r="M145" s="104">
        <f>IF(Human_Data_Entry!BD143="","",Human_Data_Entry!BD143)</f>
        <v/>
      </c>
      <c r="N145" s="104">
        <f>IF(Human_Data_Entry!BE143="","",Human_Data_Entry!BE143)</f>
        <v/>
      </c>
      <c r="O145" s="105">
        <f>IF(Human_Data_Entry!BF143="","",Human_Data_Entry!BF143)</f>
        <v/>
      </c>
      <c r="P145" s="103">
        <f>IF(Human_Data_Entry!BG143="","",Human_Data_Entry!BG143)</f>
        <v/>
      </c>
      <c r="Q145" s="103">
        <f>IF(Human_Data_Entry!BL143="","",Human_Data_Entry!BL143)</f>
        <v/>
      </c>
      <c r="R145" s="103">
        <f>IF(Human_Data_Entry!BH143="","",Human_Data_Entry!BH143)</f>
        <v/>
      </c>
      <c r="S145" s="103">
        <f>IF(Human_Data_Entry!BI143="","",Human_Data_Entry!BI143)</f>
        <v/>
      </c>
      <c r="T145" s="103">
        <f>IF(Human_Data_Entry!BJ143="","",Human_Data_Entry!BJ143)</f>
        <v/>
      </c>
      <c r="U145" s="103">
        <f>IF(Human_Data_Entry!AP143="","",Human_Data_Entry!AP143)</f>
        <v/>
      </c>
      <c r="V145" s="103">
        <f>IF(Human_Data_Entry!AQ143="","",Human_Data_Entry!AQ143)</f>
        <v/>
      </c>
      <c r="W145" s="103">
        <f>IF(Human_Data_Entry!AR143="","",Human_Data_Entry!AR143)</f>
        <v/>
      </c>
      <c r="X145" s="103">
        <f>IF(Human_Data_Entry!BK143="","",Human_Data_Entry!BK143)</f>
        <v/>
      </c>
    </row>
    <row r="146" ht="15" customHeight="1" s="241">
      <c r="A146" s="103">
        <f>IF(Human_Data_Entry!A144="","",Human_Data_Entry!A144)</f>
        <v/>
      </c>
      <c r="B146" s="103">
        <f>IF(Human_Data_Entry!B144="","",Human_Data_Entry!B144)</f>
        <v/>
      </c>
      <c r="C146" s="104">
        <f>IF(Human_Data_Entry!C144="","",Human_Data_Entry!C144)</f>
        <v/>
      </c>
      <c r="D146" s="103">
        <f>IF(Human_Data_Entry!D144="","",Human_Data_Entry!D144)</f>
        <v/>
      </c>
      <c r="E146" s="103">
        <f>IF(Human_Data_Entry!G144="","",Human_Data_Entry!G144)</f>
        <v/>
      </c>
      <c r="F146" s="103">
        <f>IF(Human_Data_Entry!X144="","",Human_Data_Entry!X144)</f>
        <v/>
      </c>
      <c r="G146" s="103">
        <f>IF(Human_Data_Entry!AY144="","",Human_Data_Entry!AY144)</f>
        <v/>
      </c>
      <c r="H146" s="103">
        <f>IF(Human_Data_Entry!AS144="","",Human_Data_Entry!AS144)</f>
        <v/>
      </c>
      <c r="I146" s="103">
        <f>IF(Human_Data_Entry!F144="","",Human_Data_Entry!F144)</f>
        <v/>
      </c>
      <c r="J146" s="103">
        <f>IF(Human_Data_Entry!BA144="","",Human_Data_Entry!BA144)</f>
        <v/>
      </c>
      <c r="K146" s="103">
        <f>IF(Human_Data_Entry!BB144="","",Human_Data_Entry!BB144)</f>
        <v/>
      </c>
      <c r="L146" s="103">
        <f>IF(Human_Data_Entry!BC144="","",Human_Data_Entry!BC144)</f>
        <v/>
      </c>
      <c r="M146" s="104">
        <f>IF(Human_Data_Entry!BD144="","",Human_Data_Entry!BD144)</f>
        <v/>
      </c>
      <c r="N146" s="104">
        <f>IF(Human_Data_Entry!BE144="","",Human_Data_Entry!BE144)</f>
        <v/>
      </c>
      <c r="O146" s="105">
        <f>IF(Human_Data_Entry!BF144="","",Human_Data_Entry!BF144)</f>
        <v/>
      </c>
      <c r="P146" s="103">
        <f>IF(Human_Data_Entry!BG144="","",Human_Data_Entry!BG144)</f>
        <v/>
      </c>
      <c r="Q146" s="103">
        <f>IF(Human_Data_Entry!BL144="","",Human_Data_Entry!BL144)</f>
        <v/>
      </c>
      <c r="R146" s="103">
        <f>IF(Human_Data_Entry!BH144="","",Human_Data_Entry!BH144)</f>
        <v/>
      </c>
      <c r="S146" s="103">
        <f>IF(Human_Data_Entry!BI144="","",Human_Data_Entry!BI144)</f>
        <v/>
      </c>
      <c r="T146" s="103">
        <f>IF(Human_Data_Entry!BJ144="","",Human_Data_Entry!BJ144)</f>
        <v/>
      </c>
      <c r="U146" s="103">
        <f>IF(Human_Data_Entry!AP144="","",Human_Data_Entry!AP144)</f>
        <v/>
      </c>
      <c r="V146" s="103">
        <f>IF(Human_Data_Entry!AQ144="","",Human_Data_Entry!AQ144)</f>
        <v/>
      </c>
      <c r="W146" s="103">
        <f>IF(Human_Data_Entry!AR144="","",Human_Data_Entry!AR144)</f>
        <v/>
      </c>
      <c r="X146" s="103">
        <f>IF(Human_Data_Entry!BK144="","",Human_Data_Entry!BK144)</f>
        <v/>
      </c>
    </row>
    <row r="147" ht="15" customHeight="1" s="241">
      <c r="A147" s="103">
        <f>IF(Human_Data_Entry!A145="","",Human_Data_Entry!A145)</f>
        <v/>
      </c>
      <c r="B147" s="103">
        <f>IF(Human_Data_Entry!B145="","",Human_Data_Entry!B145)</f>
        <v/>
      </c>
      <c r="C147" s="104">
        <f>IF(Human_Data_Entry!C145="","",Human_Data_Entry!C145)</f>
        <v/>
      </c>
      <c r="D147" s="103">
        <f>IF(Human_Data_Entry!D145="","",Human_Data_Entry!D145)</f>
        <v/>
      </c>
      <c r="E147" s="103">
        <f>IF(Human_Data_Entry!G145="","",Human_Data_Entry!G145)</f>
        <v/>
      </c>
      <c r="F147" s="103">
        <f>IF(Human_Data_Entry!X145="","",Human_Data_Entry!X145)</f>
        <v/>
      </c>
      <c r="G147" s="103">
        <f>IF(Human_Data_Entry!AY145="","",Human_Data_Entry!AY145)</f>
        <v/>
      </c>
      <c r="H147" s="103">
        <f>IF(Human_Data_Entry!AS145="","",Human_Data_Entry!AS145)</f>
        <v/>
      </c>
      <c r="I147" s="103">
        <f>IF(Human_Data_Entry!F145="","",Human_Data_Entry!F145)</f>
        <v/>
      </c>
      <c r="J147" s="103">
        <f>IF(Human_Data_Entry!BA145="","",Human_Data_Entry!BA145)</f>
        <v/>
      </c>
      <c r="K147" s="103">
        <f>IF(Human_Data_Entry!BB145="","",Human_Data_Entry!BB145)</f>
        <v/>
      </c>
      <c r="L147" s="103">
        <f>IF(Human_Data_Entry!BC145="","",Human_Data_Entry!BC145)</f>
        <v/>
      </c>
      <c r="M147" s="104">
        <f>IF(Human_Data_Entry!BD145="","",Human_Data_Entry!BD145)</f>
        <v/>
      </c>
      <c r="N147" s="104">
        <f>IF(Human_Data_Entry!BE145="","",Human_Data_Entry!BE145)</f>
        <v/>
      </c>
      <c r="O147" s="105">
        <f>IF(Human_Data_Entry!BF145="","",Human_Data_Entry!BF145)</f>
        <v/>
      </c>
      <c r="P147" s="103">
        <f>IF(Human_Data_Entry!BG145="","",Human_Data_Entry!BG145)</f>
        <v/>
      </c>
      <c r="Q147" s="103">
        <f>IF(Human_Data_Entry!BL145="","",Human_Data_Entry!BL145)</f>
        <v/>
      </c>
      <c r="R147" s="103">
        <f>IF(Human_Data_Entry!BH145="","",Human_Data_Entry!BH145)</f>
        <v/>
      </c>
      <c r="S147" s="103">
        <f>IF(Human_Data_Entry!BI145="","",Human_Data_Entry!BI145)</f>
        <v/>
      </c>
      <c r="T147" s="103">
        <f>IF(Human_Data_Entry!BJ145="","",Human_Data_Entry!BJ145)</f>
        <v/>
      </c>
      <c r="U147" s="103">
        <f>IF(Human_Data_Entry!AP145="","",Human_Data_Entry!AP145)</f>
        <v/>
      </c>
      <c r="V147" s="103">
        <f>IF(Human_Data_Entry!AQ145="","",Human_Data_Entry!AQ145)</f>
        <v/>
      </c>
      <c r="W147" s="103">
        <f>IF(Human_Data_Entry!AR145="","",Human_Data_Entry!AR145)</f>
        <v/>
      </c>
      <c r="X147" s="103">
        <f>IF(Human_Data_Entry!BK145="","",Human_Data_Entry!BK145)</f>
        <v/>
      </c>
    </row>
    <row r="148" ht="15" customHeight="1" s="241">
      <c r="A148" s="103">
        <f>IF(Human_Data_Entry!A146="","",Human_Data_Entry!A146)</f>
        <v/>
      </c>
      <c r="B148" s="103">
        <f>IF(Human_Data_Entry!B146="","",Human_Data_Entry!B146)</f>
        <v/>
      </c>
      <c r="C148" s="104">
        <f>IF(Human_Data_Entry!C146="","",Human_Data_Entry!C146)</f>
        <v/>
      </c>
      <c r="D148" s="103">
        <f>IF(Human_Data_Entry!D146="","",Human_Data_Entry!D146)</f>
        <v/>
      </c>
      <c r="E148" s="103">
        <f>IF(Human_Data_Entry!G146="","",Human_Data_Entry!G146)</f>
        <v/>
      </c>
      <c r="F148" s="103">
        <f>IF(Human_Data_Entry!X146="","",Human_Data_Entry!X146)</f>
        <v/>
      </c>
      <c r="G148" s="103">
        <f>IF(Human_Data_Entry!AY146="","",Human_Data_Entry!AY146)</f>
        <v/>
      </c>
      <c r="H148" s="103">
        <f>IF(Human_Data_Entry!AS146="","",Human_Data_Entry!AS146)</f>
        <v/>
      </c>
      <c r="I148" s="103">
        <f>IF(Human_Data_Entry!F146="","",Human_Data_Entry!F146)</f>
        <v/>
      </c>
      <c r="J148" s="103">
        <f>IF(Human_Data_Entry!BA146="","",Human_Data_Entry!BA146)</f>
        <v/>
      </c>
      <c r="K148" s="103">
        <f>IF(Human_Data_Entry!BB146="","",Human_Data_Entry!BB146)</f>
        <v/>
      </c>
      <c r="L148" s="103">
        <f>IF(Human_Data_Entry!BC146="","",Human_Data_Entry!BC146)</f>
        <v/>
      </c>
      <c r="M148" s="104">
        <f>IF(Human_Data_Entry!BD146="","",Human_Data_Entry!BD146)</f>
        <v/>
      </c>
      <c r="N148" s="104">
        <f>IF(Human_Data_Entry!BE146="","",Human_Data_Entry!BE146)</f>
        <v/>
      </c>
      <c r="O148" s="105">
        <f>IF(Human_Data_Entry!BF146="","",Human_Data_Entry!BF146)</f>
        <v/>
      </c>
      <c r="P148" s="103">
        <f>IF(Human_Data_Entry!BG146="","",Human_Data_Entry!BG146)</f>
        <v/>
      </c>
      <c r="Q148" s="103">
        <f>IF(Human_Data_Entry!BL146="","",Human_Data_Entry!BL146)</f>
        <v/>
      </c>
      <c r="R148" s="103">
        <f>IF(Human_Data_Entry!BH146="","",Human_Data_Entry!BH146)</f>
        <v/>
      </c>
      <c r="S148" s="103">
        <f>IF(Human_Data_Entry!BI146="","",Human_Data_Entry!BI146)</f>
        <v/>
      </c>
      <c r="T148" s="103">
        <f>IF(Human_Data_Entry!BJ146="","",Human_Data_Entry!BJ146)</f>
        <v/>
      </c>
      <c r="U148" s="103">
        <f>IF(Human_Data_Entry!AP146="","",Human_Data_Entry!AP146)</f>
        <v/>
      </c>
      <c r="V148" s="103">
        <f>IF(Human_Data_Entry!AQ146="","",Human_Data_Entry!AQ146)</f>
        <v/>
      </c>
      <c r="W148" s="103">
        <f>IF(Human_Data_Entry!AR146="","",Human_Data_Entry!AR146)</f>
        <v/>
      </c>
      <c r="X148" s="103">
        <f>IF(Human_Data_Entry!BK146="","",Human_Data_Entry!BK146)</f>
        <v/>
      </c>
    </row>
    <row r="149" ht="15" customHeight="1" s="241">
      <c r="A149" s="103">
        <f>IF(Human_Data_Entry!A147="","",Human_Data_Entry!A147)</f>
        <v/>
      </c>
      <c r="B149" s="103">
        <f>IF(Human_Data_Entry!B147="","",Human_Data_Entry!B147)</f>
        <v/>
      </c>
      <c r="C149" s="104">
        <f>IF(Human_Data_Entry!C147="","",Human_Data_Entry!C147)</f>
        <v/>
      </c>
      <c r="D149" s="103">
        <f>IF(Human_Data_Entry!D147="","",Human_Data_Entry!D147)</f>
        <v/>
      </c>
      <c r="E149" s="103">
        <f>IF(Human_Data_Entry!G147="","",Human_Data_Entry!G147)</f>
        <v/>
      </c>
      <c r="F149" s="103">
        <f>IF(Human_Data_Entry!X147="","",Human_Data_Entry!X147)</f>
        <v/>
      </c>
      <c r="G149" s="103">
        <f>IF(Human_Data_Entry!AY147="","",Human_Data_Entry!AY147)</f>
        <v/>
      </c>
      <c r="H149" s="103">
        <f>IF(Human_Data_Entry!AS147="","",Human_Data_Entry!AS147)</f>
        <v/>
      </c>
      <c r="I149" s="103">
        <f>IF(Human_Data_Entry!F147="","",Human_Data_Entry!F147)</f>
        <v/>
      </c>
      <c r="J149" s="103">
        <f>IF(Human_Data_Entry!BA147="","",Human_Data_Entry!BA147)</f>
        <v/>
      </c>
      <c r="K149" s="103">
        <f>IF(Human_Data_Entry!BB147="","",Human_Data_Entry!BB147)</f>
        <v/>
      </c>
      <c r="L149" s="103">
        <f>IF(Human_Data_Entry!BC147="","",Human_Data_Entry!BC147)</f>
        <v/>
      </c>
      <c r="M149" s="104">
        <f>IF(Human_Data_Entry!BD147="","",Human_Data_Entry!BD147)</f>
        <v/>
      </c>
      <c r="N149" s="104">
        <f>IF(Human_Data_Entry!BE147="","",Human_Data_Entry!BE147)</f>
        <v/>
      </c>
      <c r="O149" s="105">
        <f>IF(Human_Data_Entry!BF147="","",Human_Data_Entry!BF147)</f>
        <v/>
      </c>
      <c r="P149" s="103">
        <f>IF(Human_Data_Entry!BG147="","",Human_Data_Entry!BG147)</f>
        <v/>
      </c>
      <c r="Q149" s="103">
        <f>IF(Human_Data_Entry!BL147="","",Human_Data_Entry!BL147)</f>
        <v/>
      </c>
      <c r="R149" s="103">
        <f>IF(Human_Data_Entry!BH147="","",Human_Data_Entry!BH147)</f>
        <v/>
      </c>
      <c r="S149" s="103">
        <f>IF(Human_Data_Entry!BI147="","",Human_Data_Entry!BI147)</f>
        <v/>
      </c>
      <c r="T149" s="103">
        <f>IF(Human_Data_Entry!BJ147="","",Human_Data_Entry!BJ147)</f>
        <v/>
      </c>
      <c r="U149" s="103">
        <f>IF(Human_Data_Entry!AP147="","",Human_Data_Entry!AP147)</f>
        <v/>
      </c>
      <c r="V149" s="103">
        <f>IF(Human_Data_Entry!AQ147="","",Human_Data_Entry!AQ147)</f>
        <v/>
      </c>
      <c r="W149" s="103">
        <f>IF(Human_Data_Entry!AR147="","",Human_Data_Entry!AR147)</f>
        <v/>
      </c>
      <c r="X149" s="103">
        <f>IF(Human_Data_Entry!BK147="","",Human_Data_Entry!BK147)</f>
        <v/>
      </c>
    </row>
    <row r="150" ht="15" customHeight="1" s="241">
      <c r="A150" s="103">
        <f>IF(Human_Data_Entry!A148="","",Human_Data_Entry!A148)</f>
        <v/>
      </c>
      <c r="B150" s="103">
        <f>IF(Human_Data_Entry!B148="","",Human_Data_Entry!B148)</f>
        <v/>
      </c>
      <c r="C150" s="104">
        <f>IF(Human_Data_Entry!C148="","",Human_Data_Entry!C148)</f>
        <v/>
      </c>
      <c r="D150" s="103">
        <f>IF(Human_Data_Entry!D148="","",Human_Data_Entry!D148)</f>
        <v/>
      </c>
      <c r="E150" s="103">
        <f>IF(Human_Data_Entry!G148="","",Human_Data_Entry!G148)</f>
        <v/>
      </c>
      <c r="F150" s="103">
        <f>IF(Human_Data_Entry!X148="","",Human_Data_Entry!X148)</f>
        <v/>
      </c>
      <c r="G150" s="103">
        <f>IF(Human_Data_Entry!AY148="","",Human_Data_Entry!AY148)</f>
        <v/>
      </c>
      <c r="H150" s="103">
        <f>IF(Human_Data_Entry!AS148="","",Human_Data_Entry!AS148)</f>
        <v/>
      </c>
      <c r="I150" s="103">
        <f>IF(Human_Data_Entry!F148="","",Human_Data_Entry!F148)</f>
        <v/>
      </c>
      <c r="J150" s="103">
        <f>IF(Human_Data_Entry!BA148="","",Human_Data_Entry!BA148)</f>
        <v/>
      </c>
      <c r="K150" s="103">
        <f>IF(Human_Data_Entry!BB148="","",Human_Data_Entry!BB148)</f>
        <v/>
      </c>
      <c r="L150" s="103">
        <f>IF(Human_Data_Entry!BC148="","",Human_Data_Entry!BC148)</f>
        <v/>
      </c>
      <c r="M150" s="104">
        <f>IF(Human_Data_Entry!BD148="","",Human_Data_Entry!BD148)</f>
        <v/>
      </c>
      <c r="N150" s="104">
        <f>IF(Human_Data_Entry!BE148="","",Human_Data_Entry!BE148)</f>
        <v/>
      </c>
      <c r="O150" s="105">
        <f>IF(Human_Data_Entry!BF148="","",Human_Data_Entry!BF148)</f>
        <v/>
      </c>
      <c r="P150" s="103">
        <f>IF(Human_Data_Entry!BG148="","",Human_Data_Entry!BG148)</f>
        <v/>
      </c>
      <c r="Q150" s="103">
        <f>IF(Human_Data_Entry!BL148="","",Human_Data_Entry!BL148)</f>
        <v/>
      </c>
      <c r="R150" s="103">
        <f>IF(Human_Data_Entry!BH148="","",Human_Data_Entry!BH148)</f>
        <v/>
      </c>
      <c r="S150" s="103">
        <f>IF(Human_Data_Entry!BI148="","",Human_Data_Entry!BI148)</f>
        <v/>
      </c>
      <c r="T150" s="103">
        <f>IF(Human_Data_Entry!BJ148="","",Human_Data_Entry!BJ148)</f>
        <v/>
      </c>
      <c r="U150" s="103">
        <f>IF(Human_Data_Entry!AP148="","",Human_Data_Entry!AP148)</f>
        <v/>
      </c>
      <c r="V150" s="103">
        <f>IF(Human_Data_Entry!AQ148="","",Human_Data_Entry!AQ148)</f>
        <v/>
      </c>
      <c r="W150" s="103">
        <f>IF(Human_Data_Entry!AR148="","",Human_Data_Entry!AR148)</f>
        <v/>
      </c>
      <c r="X150" s="103">
        <f>IF(Human_Data_Entry!BK148="","",Human_Data_Entry!BK148)</f>
        <v/>
      </c>
    </row>
    <row r="151" ht="15" customHeight="1" s="241">
      <c r="A151" s="103">
        <f>IF(Human_Data_Entry!A149="","",Human_Data_Entry!A149)</f>
        <v/>
      </c>
      <c r="B151" s="103">
        <f>IF(Human_Data_Entry!B149="","",Human_Data_Entry!B149)</f>
        <v/>
      </c>
      <c r="C151" s="104">
        <f>IF(Human_Data_Entry!C149="","",Human_Data_Entry!C149)</f>
        <v/>
      </c>
      <c r="D151" s="103">
        <f>IF(Human_Data_Entry!D149="","",Human_Data_Entry!D149)</f>
        <v/>
      </c>
      <c r="E151" s="103">
        <f>IF(Human_Data_Entry!G149="","",Human_Data_Entry!G149)</f>
        <v/>
      </c>
      <c r="F151" s="103">
        <f>IF(Human_Data_Entry!X149="","",Human_Data_Entry!X149)</f>
        <v/>
      </c>
      <c r="G151" s="103">
        <f>IF(Human_Data_Entry!AY149="","",Human_Data_Entry!AY149)</f>
        <v/>
      </c>
      <c r="H151" s="103">
        <f>IF(Human_Data_Entry!AS149="","",Human_Data_Entry!AS149)</f>
        <v/>
      </c>
      <c r="I151" s="103">
        <f>IF(Human_Data_Entry!F149="","",Human_Data_Entry!F149)</f>
        <v/>
      </c>
      <c r="J151" s="103">
        <f>IF(Human_Data_Entry!BA149="","",Human_Data_Entry!BA149)</f>
        <v/>
      </c>
      <c r="K151" s="103">
        <f>IF(Human_Data_Entry!BB149="","",Human_Data_Entry!BB149)</f>
        <v/>
      </c>
      <c r="L151" s="103">
        <f>IF(Human_Data_Entry!BC149="","",Human_Data_Entry!BC149)</f>
        <v/>
      </c>
      <c r="M151" s="104">
        <f>IF(Human_Data_Entry!BD149="","",Human_Data_Entry!BD149)</f>
        <v/>
      </c>
      <c r="N151" s="104">
        <f>IF(Human_Data_Entry!BE149="","",Human_Data_Entry!BE149)</f>
        <v/>
      </c>
      <c r="O151" s="105">
        <f>IF(Human_Data_Entry!BF149="","",Human_Data_Entry!BF149)</f>
        <v/>
      </c>
      <c r="P151" s="103">
        <f>IF(Human_Data_Entry!BG149="","",Human_Data_Entry!BG149)</f>
        <v/>
      </c>
      <c r="Q151" s="103">
        <f>IF(Human_Data_Entry!BL149="","",Human_Data_Entry!BL149)</f>
        <v/>
      </c>
      <c r="R151" s="103">
        <f>IF(Human_Data_Entry!BH149="","",Human_Data_Entry!BH149)</f>
        <v/>
      </c>
      <c r="S151" s="103">
        <f>IF(Human_Data_Entry!BI149="","",Human_Data_Entry!BI149)</f>
        <v/>
      </c>
      <c r="T151" s="103">
        <f>IF(Human_Data_Entry!BJ149="","",Human_Data_Entry!BJ149)</f>
        <v/>
      </c>
      <c r="U151" s="103">
        <f>IF(Human_Data_Entry!AP149="","",Human_Data_Entry!AP149)</f>
        <v/>
      </c>
      <c r="V151" s="103">
        <f>IF(Human_Data_Entry!AQ149="","",Human_Data_Entry!AQ149)</f>
        <v/>
      </c>
      <c r="W151" s="103">
        <f>IF(Human_Data_Entry!AR149="","",Human_Data_Entry!AR149)</f>
        <v/>
      </c>
      <c r="X151" s="103">
        <f>IF(Human_Data_Entry!BK149="","",Human_Data_Entry!BK149)</f>
        <v/>
      </c>
    </row>
    <row r="152" ht="15" customHeight="1" s="241">
      <c r="A152" s="103">
        <f>IF(Human_Data_Entry!A150="","",Human_Data_Entry!A150)</f>
        <v/>
      </c>
      <c r="B152" s="103">
        <f>IF(Human_Data_Entry!B150="","",Human_Data_Entry!B150)</f>
        <v/>
      </c>
      <c r="C152" s="104">
        <f>IF(Human_Data_Entry!C150="","",Human_Data_Entry!C150)</f>
        <v/>
      </c>
      <c r="D152" s="103">
        <f>IF(Human_Data_Entry!D150="","",Human_Data_Entry!D150)</f>
        <v/>
      </c>
      <c r="E152" s="103">
        <f>IF(Human_Data_Entry!G150="","",Human_Data_Entry!G150)</f>
        <v/>
      </c>
      <c r="F152" s="103">
        <f>IF(Human_Data_Entry!X150="","",Human_Data_Entry!X150)</f>
        <v/>
      </c>
      <c r="G152" s="103">
        <f>IF(Human_Data_Entry!AY150="","",Human_Data_Entry!AY150)</f>
        <v/>
      </c>
      <c r="H152" s="103">
        <f>IF(Human_Data_Entry!AS150="","",Human_Data_Entry!AS150)</f>
        <v/>
      </c>
      <c r="I152" s="103">
        <f>IF(Human_Data_Entry!F150="","",Human_Data_Entry!F150)</f>
        <v/>
      </c>
      <c r="J152" s="103">
        <f>IF(Human_Data_Entry!BA150="","",Human_Data_Entry!BA150)</f>
        <v/>
      </c>
      <c r="K152" s="103">
        <f>IF(Human_Data_Entry!BB150="","",Human_Data_Entry!BB150)</f>
        <v/>
      </c>
      <c r="L152" s="103">
        <f>IF(Human_Data_Entry!BC150="","",Human_Data_Entry!BC150)</f>
        <v/>
      </c>
      <c r="M152" s="104">
        <f>IF(Human_Data_Entry!BD150="","",Human_Data_Entry!BD150)</f>
        <v/>
      </c>
      <c r="N152" s="104">
        <f>IF(Human_Data_Entry!BE150="","",Human_Data_Entry!BE150)</f>
        <v/>
      </c>
      <c r="O152" s="105">
        <f>IF(Human_Data_Entry!BF150="","",Human_Data_Entry!BF150)</f>
        <v/>
      </c>
      <c r="P152" s="103">
        <f>IF(Human_Data_Entry!BG150="","",Human_Data_Entry!BG150)</f>
        <v/>
      </c>
      <c r="Q152" s="103">
        <f>IF(Human_Data_Entry!BL150="","",Human_Data_Entry!BL150)</f>
        <v/>
      </c>
      <c r="R152" s="103">
        <f>IF(Human_Data_Entry!BH150="","",Human_Data_Entry!BH150)</f>
        <v/>
      </c>
      <c r="S152" s="103">
        <f>IF(Human_Data_Entry!BI150="","",Human_Data_Entry!BI150)</f>
        <v/>
      </c>
      <c r="T152" s="103">
        <f>IF(Human_Data_Entry!BJ150="","",Human_Data_Entry!BJ150)</f>
        <v/>
      </c>
      <c r="U152" s="103">
        <f>IF(Human_Data_Entry!AP150="","",Human_Data_Entry!AP150)</f>
        <v/>
      </c>
      <c r="V152" s="103">
        <f>IF(Human_Data_Entry!AQ150="","",Human_Data_Entry!AQ150)</f>
        <v/>
      </c>
      <c r="W152" s="103">
        <f>IF(Human_Data_Entry!AR150="","",Human_Data_Entry!AR150)</f>
        <v/>
      </c>
      <c r="X152" s="103">
        <f>IF(Human_Data_Entry!BK150="","",Human_Data_Entry!BK150)</f>
        <v/>
      </c>
    </row>
    <row r="153" ht="15" customHeight="1" s="241">
      <c r="A153" s="103">
        <f>IF(Human_Data_Entry!A151="","",Human_Data_Entry!A151)</f>
        <v/>
      </c>
      <c r="B153" s="103">
        <f>IF(Human_Data_Entry!B151="","",Human_Data_Entry!B151)</f>
        <v/>
      </c>
      <c r="C153" s="104">
        <f>IF(Human_Data_Entry!C151="","",Human_Data_Entry!C151)</f>
        <v/>
      </c>
      <c r="D153" s="103">
        <f>IF(Human_Data_Entry!D151="","",Human_Data_Entry!D151)</f>
        <v/>
      </c>
      <c r="E153" s="103">
        <f>IF(Human_Data_Entry!G151="","",Human_Data_Entry!G151)</f>
        <v/>
      </c>
      <c r="F153" s="103">
        <f>IF(Human_Data_Entry!X151="","",Human_Data_Entry!X151)</f>
        <v/>
      </c>
      <c r="G153" s="103">
        <f>IF(Human_Data_Entry!AY151="","",Human_Data_Entry!AY151)</f>
        <v/>
      </c>
      <c r="H153" s="103">
        <f>IF(Human_Data_Entry!AS151="","",Human_Data_Entry!AS151)</f>
        <v/>
      </c>
      <c r="I153" s="103">
        <f>IF(Human_Data_Entry!F151="","",Human_Data_Entry!F151)</f>
        <v/>
      </c>
      <c r="J153" s="103">
        <f>IF(Human_Data_Entry!BA151="","",Human_Data_Entry!BA151)</f>
        <v/>
      </c>
      <c r="K153" s="103">
        <f>IF(Human_Data_Entry!BB151="","",Human_Data_Entry!BB151)</f>
        <v/>
      </c>
      <c r="L153" s="103">
        <f>IF(Human_Data_Entry!BC151="","",Human_Data_Entry!BC151)</f>
        <v/>
      </c>
      <c r="M153" s="104">
        <f>IF(Human_Data_Entry!BD151="","",Human_Data_Entry!BD151)</f>
        <v/>
      </c>
      <c r="N153" s="104">
        <f>IF(Human_Data_Entry!BE151="","",Human_Data_Entry!BE151)</f>
        <v/>
      </c>
      <c r="O153" s="105">
        <f>IF(Human_Data_Entry!BF151="","",Human_Data_Entry!BF151)</f>
        <v/>
      </c>
      <c r="P153" s="103">
        <f>IF(Human_Data_Entry!BG151="","",Human_Data_Entry!BG151)</f>
        <v/>
      </c>
      <c r="Q153" s="103">
        <f>IF(Human_Data_Entry!BL151="","",Human_Data_Entry!BL151)</f>
        <v/>
      </c>
      <c r="R153" s="103">
        <f>IF(Human_Data_Entry!BH151="","",Human_Data_Entry!BH151)</f>
        <v/>
      </c>
      <c r="S153" s="103">
        <f>IF(Human_Data_Entry!BI151="","",Human_Data_Entry!BI151)</f>
        <v/>
      </c>
      <c r="T153" s="103">
        <f>IF(Human_Data_Entry!BJ151="","",Human_Data_Entry!BJ151)</f>
        <v/>
      </c>
      <c r="U153" s="103">
        <f>IF(Human_Data_Entry!AP151="","",Human_Data_Entry!AP151)</f>
        <v/>
      </c>
      <c r="V153" s="103">
        <f>IF(Human_Data_Entry!AQ151="","",Human_Data_Entry!AQ151)</f>
        <v/>
      </c>
      <c r="W153" s="103">
        <f>IF(Human_Data_Entry!AR151="","",Human_Data_Entry!AR151)</f>
        <v/>
      </c>
      <c r="X153" s="103">
        <f>IF(Human_Data_Entry!BK151="","",Human_Data_Entry!BK151)</f>
        <v/>
      </c>
    </row>
    <row r="154" ht="15" customHeight="1" s="241">
      <c r="A154" s="103">
        <f>IF(Human_Data_Entry!A152="","",Human_Data_Entry!A152)</f>
        <v/>
      </c>
      <c r="B154" s="103">
        <f>IF(Human_Data_Entry!B152="","",Human_Data_Entry!B152)</f>
        <v/>
      </c>
      <c r="C154" s="104">
        <f>IF(Human_Data_Entry!C152="","",Human_Data_Entry!C152)</f>
        <v/>
      </c>
      <c r="D154" s="103">
        <f>IF(Human_Data_Entry!D152="","",Human_Data_Entry!D152)</f>
        <v/>
      </c>
      <c r="E154" s="103">
        <f>IF(Human_Data_Entry!G152="","",Human_Data_Entry!G152)</f>
        <v/>
      </c>
      <c r="F154" s="103">
        <f>IF(Human_Data_Entry!X152="","",Human_Data_Entry!X152)</f>
        <v/>
      </c>
      <c r="G154" s="103">
        <f>IF(Human_Data_Entry!AY152="","",Human_Data_Entry!AY152)</f>
        <v/>
      </c>
      <c r="H154" s="103">
        <f>IF(Human_Data_Entry!AS152="","",Human_Data_Entry!AS152)</f>
        <v/>
      </c>
      <c r="I154" s="103">
        <f>IF(Human_Data_Entry!F152="","",Human_Data_Entry!F152)</f>
        <v/>
      </c>
      <c r="J154" s="103">
        <f>IF(Human_Data_Entry!BA152="","",Human_Data_Entry!BA152)</f>
        <v/>
      </c>
      <c r="K154" s="103">
        <f>IF(Human_Data_Entry!BB152="","",Human_Data_Entry!BB152)</f>
        <v/>
      </c>
      <c r="L154" s="103">
        <f>IF(Human_Data_Entry!BC152="","",Human_Data_Entry!BC152)</f>
        <v/>
      </c>
      <c r="M154" s="104">
        <f>IF(Human_Data_Entry!BD152="","",Human_Data_Entry!BD152)</f>
        <v/>
      </c>
      <c r="N154" s="104">
        <f>IF(Human_Data_Entry!BE152="","",Human_Data_Entry!BE152)</f>
        <v/>
      </c>
      <c r="O154" s="105">
        <f>IF(Human_Data_Entry!BF152="","",Human_Data_Entry!BF152)</f>
        <v/>
      </c>
      <c r="P154" s="103">
        <f>IF(Human_Data_Entry!BG152="","",Human_Data_Entry!BG152)</f>
        <v/>
      </c>
      <c r="Q154" s="103">
        <f>IF(Human_Data_Entry!BL152="","",Human_Data_Entry!BL152)</f>
        <v/>
      </c>
      <c r="R154" s="103">
        <f>IF(Human_Data_Entry!BH152="","",Human_Data_Entry!BH152)</f>
        <v/>
      </c>
      <c r="S154" s="103">
        <f>IF(Human_Data_Entry!BI152="","",Human_Data_Entry!BI152)</f>
        <v/>
      </c>
      <c r="T154" s="103">
        <f>IF(Human_Data_Entry!BJ152="","",Human_Data_Entry!BJ152)</f>
        <v/>
      </c>
      <c r="U154" s="103">
        <f>IF(Human_Data_Entry!AP152="","",Human_Data_Entry!AP152)</f>
        <v/>
      </c>
      <c r="V154" s="103">
        <f>IF(Human_Data_Entry!AQ152="","",Human_Data_Entry!AQ152)</f>
        <v/>
      </c>
      <c r="W154" s="103">
        <f>IF(Human_Data_Entry!AR152="","",Human_Data_Entry!AR152)</f>
        <v/>
      </c>
      <c r="X154" s="103">
        <f>IF(Human_Data_Entry!BK152="","",Human_Data_Entry!BK152)</f>
        <v/>
      </c>
    </row>
    <row r="155" ht="15" customHeight="1" s="241">
      <c r="A155" s="103">
        <f>IF(Human_Data_Entry!A153="","",Human_Data_Entry!A153)</f>
        <v/>
      </c>
      <c r="B155" s="103">
        <f>IF(Human_Data_Entry!B153="","",Human_Data_Entry!B153)</f>
        <v/>
      </c>
      <c r="C155" s="104">
        <f>IF(Human_Data_Entry!C153="","",Human_Data_Entry!C153)</f>
        <v/>
      </c>
      <c r="D155" s="103">
        <f>IF(Human_Data_Entry!D153="","",Human_Data_Entry!D153)</f>
        <v/>
      </c>
      <c r="E155" s="103">
        <f>IF(Human_Data_Entry!G153="","",Human_Data_Entry!G153)</f>
        <v/>
      </c>
      <c r="F155" s="103">
        <f>IF(Human_Data_Entry!X153="","",Human_Data_Entry!X153)</f>
        <v/>
      </c>
      <c r="G155" s="103">
        <f>IF(Human_Data_Entry!AY153="","",Human_Data_Entry!AY153)</f>
        <v/>
      </c>
      <c r="H155" s="103">
        <f>IF(Human_Data_Entry!AS153="","",Human_Data_Entry!AS153)</f>
        <v/>
      </c>
      <c r="I155" s="103">
        <f>IF(Human_Data_Entry!F153="","",Human_Data_Entry!F153)</f>
        <v/>
      </c>
      <c r="J155" s="103">
        <f>IF(Human_Data_Entry!BA153="","",Human_Data_Entry!BA153)</f>
        <v/>
      </c>
      <c r="K155" s="103">
        <f>IF(Human_Data_Entry!BB153="","",Human_Data_Entry!BB153)</f>
        <v/>
      </c>
      <c r="L155" s="103">
        <f>IF(Human_Data_Entry!BC153="","",Human_Data_Entry!BC153)</f>
        <v/>
      </c>
      <c r="M155" s="104">
        <f>IF(Human_Data_Entry!BD153="","",Human_Data_Entry!BD153)</f>
        <v/>
      </c>
      <c r="N155" s="104">
        <f>IF(Human_Data_Entry!BE153="","",Human_Data_Entry!BE153)</f>
        <v/>
      </c>
      <c r="O155" s="105">
        <f>IF(Human_Data_Entry!BF153="","",Human_Data_Entry!BF153)</f>
        <v/>
      </c>
      <c r="P155" s="103">
        <f>IF(Human_Data_Entry!BG153="","",Human_Data_Entry!BG153)</f>
        <v/>
      </c>
      <c r="Q155" s="103">
        <f>IF(Human_Data_Entry!BL153="","",Human_Data_Entry!BL153)</f>
        <v/>
      </c>
      <c r="R155" s="103">
        <f>IF(Human_Data_Entry!BH153="","",Human_Data_Entry!BH153)</f>
        <v/>
      </c>
      <c r="S155" s="103">
        <f>IF(Human_Data_Entry!BI153="","",Human_Data_Entry!BI153)</f>
        <v/>
      </c>
      <c r="T155" s="103">
        <f>IF(Human_Data_Entry!BJ153="","",Human_Data_Entry!BJ153)</f>
        <v/>
      </c>
      <c r="U155" s="103">
        <f>IF(Human_Data_Entry!AP153="","",Human_Data_Entry!AP153)</f>
        <v/>
      </c>
      <c r="V155" s="103">
        <f>IF(Human_Data_Entry!AQ153="","",Human_Data_Entry!AQ153)</f>
        <v/>
      </c>
      <c r="W155" s="103">
        <f>IF(Human_Data_Entry!AR153="","",Human_Data_Entry!AR153)</f>
        <v/>
      </c>
      <c r="X155" s="103">
        <f>IF(Human_Data_Entry!BK153="","",Human_Data_Entry!BK153)</f>
        <v/>
      </c>
    </row>
    <row r="156" ht="15" customHeight="1" s="241">
      <c r="A156" s="103">
        <f>IF(Human_Data_Entry!A154="","",Human_Data_Entry!A154)</f>
        <v/>
      </c>
      <c r="B156" s="103">
        <f>IF(Human_Data_Entry!B154="","",Human_Data_Entry!B154)</f>
        <v/>
      </c>
      <c r="C156" s="104">
        <f>IF(Human_Data_Entry!C154="","",Human_Data_Entry!C154)</f>
        <v/>
      </c>
      <c r="D156" s="103">
        <f>IF(Human_Data_Entry!D154="","",Human_Data_Entry!D154)</f>
        <v/>
      </c>
      <c r="E156" s="103">
        <f>IF(Human_Data_Entry!G154="","",Human_Data_Entry!G154)</f>
        <v/>
      </c>
      <c r="F156" s="103">
        <f>IF(Human_Data_Entry!X154="","",Human_Data_Entry!X154)</f>
        <v/>
      </c>
      <c r="G156" s="103">
        <f>IF(Human_Data_Entry!AY154="","",Human_Data_Entry!AY154)</f>
        <v/>
      </c>
      <c r="H156" s="103">
        <f>IF(Human_Data_Entry!AS154="","",Human_Data_Entry!AS154)</f>
        <v/>
      </c>
      <c r="I156" s="103">
        <f>IF(Human_Data_Entry!F154="","",Human_Data_Entry!F154)</f>
        <v/>
      </c>
      <c r="J156" s="103">
        <f>IF(Human_Data_Entry!BA154="","",Human_Data_Entry!BA154)</f>
        <v/>
      </c>
      <c r="K156" s="103">
        <f>IF(Human_Data_Entry!BB154="","",Human_Data_Entry!BB154)</f>
        <v/>
      </c>
      <c r="L156" s="103">
        <f>IF(Human_Data_Entry!BC154="","",Human_Data_Entry!BC154)</f>
        <v/>
      </c>
      <c r="M156" s="104">
        <f>IF(Human_Data_Entry!BD154="","",Human_Data_Entry!BD154)</f>
        <v/>
      </c>
      <c r="N156" s="104">
        <f>IF(Human_Data_Entry!BE154="","",Human_Data_Entry!BE154)</f>
        <v/>
      </c>
      <c r="O156" s="105">
        <f>IF(Human_Data_Entry!BF154="","",Human_Data_Entry!BF154)</f>
        <v/>
      </c>
      <c r="P156" s="103">
        <f>IF(Human_Data_Entry!BG154="","",Human_Data_Entry!BG154)</f>
        <v/>
      </c>
      <c r="Q156" s="103">
        <f>IF(Human_Data_Entry!BL154="","",Human_Data_Entry!BL154)</f>
        <v/>
      </c>
      <c r="R156" s="103">
        <f>IF(Human_Data_Entry!BH154="","",Human_Data_Entry!BH154)</f>
        <v/>
      </c>
      <c r="S156" s="103">
        <f>IF(Human_Data_Entry!BI154="","",Human_Data_Entry!BI154)</f>
        <v/>
      </c>
      <c r="T156" s="103">
        <f>IF(Human_Data_Entry!BJ154="","",Human_Data_Entry!BJ154)</f>
        <v/>
      </c>
      <c r="U156" s="103">
        <f>IF(Human_Data_Entry!AP154="","",Human_Data_Entry!AP154)</f>
        <v/>
      </c>
      <c r="V156" s="103">
        <f>IF(Human_Data_Entry!AQ154="","",Human_Data_Entry!AQ154)</f>
        <v/>
      </c>
      <c r="W156" s="103">
        <f>IF(Human_Data_Entry!AR154="","",Human_Data_Entry!AR154)</f>
        <v/>
      </c>
      <c r="X156" s="103">
        <f>IF(Human_Data_Entry!BK154="","",Human_Data_Entry!BK154)</f>
        <v/>
      </c>
    </row>
    <row r="157" ht="15" customHeight="1" s="241">
      <c r="A157" s="103">
        <f>IF(Human_Data_Entry!A155="","",Human_Data_Entry!A155)</f>
        <v/>
      </c>
      <c r="B157" s="103">
        <f>IF(Human_Data_Entry!B155="","",Human_Data_Entry!B155)</f>
        <v/>
      </c>
      <c r="C157" s="104">
        <f>IF(Human_Data_Entry!C155="","",Human_Data_Entry!C155)</f>
        <v/>
      </c>
      <c r="D157" s="103">
        <f>IF(Human_Data_Entry!D155="","",Human_Data_Entry!D155)</f>
        <v/>
      </c>
      <c r="E157" s="103">
        <f>IF(Human_Data_Entry!G155="","",Human_Data_Entry!G155)</f>
        <v/>
      </c>
      <c r="F157" s="103">
        <f>IF(Human_Data_Entry!X155="","",Human_Data_Entry!X155)</f>
        <v/>
      </c>
      <c r="G157" s="103">
        <f>IF(Human_Data_Entry!AY155="","",Human_Data_Entry!AY155)</f>
        <v/>
      </c>
      <c r="H157" s="103">
        <f>IF(Human_Data_Entry!AS155="","",Human_Data_Entry!AS155)</f>
        <v/>
      </c>
      <c r="I157" s="103">
        <f>IF(Human_Data_Entry!F155="","",Human_Data_Entry!F155)</f>
        <v/>
      </c>
      <c r="J157" s="103">
        <f>IF(Human_Data_Entry!BA155="","",Human_Data_Entry!BA155)</f>
        <v/>
      </c>
      <c r="K157" s="103">
        <f>IF(Human_Data_Entry!BB155="","",Human_Data_Entry!BB155)</f>
        <v/>
      </c>
      <c r="L157" s="103">
        <f>IF(Human_Data_Entry!BC155="","",Human_Data_Entry!BC155)</f>
        <v/>
      </c>
      <c r="M157" s="104">
        <f>IF(Human_Data_Entry!BD155="","",Human_Data_Entry!BD155)</f>
        <v/>
      </c>
      <c r="N157" s="104">
        <f>IF(Human_Data_Entry!BE155="","",Human_Data_Entry!BE155)</f>
        <v/>
      </c>
      <c r="O157" s="105">
        <f>IF(Human_Data_Entry!BF155="","",Human_Data_Entry!BF155)</f>
        <v/>
      </c>
      <c r="P157" s="103">
        <f>IF(Human_Data_Entry!BG155="","",Human_Data_Entry!BG155)</f>
        <v/>
      </c>
      <c r="Q157" s="103">
        <f>IF(Human_Data_Entry!BL155="","",Human_Data_Entry!BL155)</f>
        <v/>
      </c>
      <c r="R157" s="103">
        <f>IF(Human_Data_Entry!BH155="","",Human_Data_Entry!BH155)</f>
        <v/>
      </c>
      <c r="S157" s="103">
        <f>IF(Human_Data_Entry!BI155="","",Human_Data_Entry!BI155)</f>
        <v/>
      </c>
      <c r="T157" s="103">
        <f>IF(Human_Data_Entry!BJ155="","",Human_Data_Entry!BJ155)</f>
        <v/>
      </c>
      <c r="U157" s="103">
        <f>IF(Human_Data_Entry!AP155="","",Human_Data_Entry!AP155)</f>
        <v/>
      </c>
      <c r="V157" s="103">
        <f>IF(Human_Data_Entry!AQ155="","",Human_Data_Entry!AQ155)</f>
        <v/>
      </c>
      <c r="W157" s="103">
        <f>IF(Human_Data_Entry!AR155="","",Human_Data_Entry!AR155)</f>
        <v/>
      </c>
      <c r="X157" s="103">
        <f>IF(Human_Data_Entry!BK155="","",Human_Data_Entry!BK155)</f>
        <v/>
      </c>
    </row>
    <row r="158" ht="15" customHeight="1" s="241">
      <c r="A158" s="103">
        <f>IF(Human_Data_Entry!A156="","",Human_Data_Entry!A156)</f>
        <v/>
      </c>
      <c r="B158" s="103">
        <f>IF(Human_Data_Entry!B156="","",Human_Data_Entry!B156)</f>
        <v/>
      </c>
      <c r="C158" s="104">
        <f>IF(Human_Data_Entry!C156="","",Human_Data_Entry!C156)</f>
        <v/>
      </c>
      <c r="D158" s="103">
        <f>IF(Human_Data_Entry!D156="","",Human_Data_Entry!D156)</f>
        <v/>
      </c>
      <c r="E158" s="103">
        <f>IF(Human_Data_Entry!G156="","",Human_Data_Entry!G156)</f>
        <v/>
      </c>
      <c r="F158" s="103">
        <f>IF(Human_Data_Entry!X156="","",Human_Data_Entry!X156)</f>
        <v/>
      </c>
      <c r="G158" s="103">
        <f>IF(Human_Data_Entry!AY156="","",Human_Data_Entry!AY156)</f>
        <v/>
      </c>
      <c r="H158" s="103">
        <f>IF(Human_Data_Entry!AS156="","",Human_Data_Entry!AS156)</f>
        <v/>
      </c>
      <c r="I158" s="103">
        <f>IF(Human_Data_Entry!F156="","",Human_Data_Entry!F156)</f>
        <v/>
      </c>
      <c r="J158" s="103">
        <f>IF(Human_Data_Entry!BA156="","",Human_Data_Entry!BA156)</f>
        <v/>
      </c>
      <c r="K158" s="103">
        <f>IF(Human_Data_Entry!BB156="","",Human_Data_Entry!BB156)</f>
        <v/>
      </c>
      <c r="L158" s="103">
        <f>IF(Human_Data_Entry!BC156="","",Human_Data_Entry!BC156)</f>
        <v/>
      </c>
      <c r="M158" s="104">
        <f>IF(Human_Data_Entry!BD156="","",Human_Data_Entry!BD156)</f>
        <v/>
      </c>
      <c r="N158" s="104">
        <f>IF(Human_Data_Entry!BE156="","",Human_Data_Entry!BE156)</f>
        <v/>
      </c>
      <c r="O158" s="105">
        <f>IF(Human_Data_Entry!BF156="","",Human_Data_Entry!BF156)</f>
        <v/>
      </c>
      <c r="P158" s="103">
        <f>IF(Human_Data_Entry!BG156="","",Human_Data_Entry!BG156)</f>
        <v/>
      </c>
      <c r="Q158" s="103">
        <f>IF(Human_Data_Entry!BL156="","",Human_Data_Entry!BL156)</f>
        <v/>
      </c>
      <c r="R158" s="103">
        <f>IF(Human_Data_Entry!BH156="","",Human_Data_Entry!BH156)</f>
        <v/>
      </c>
      <c r="S158" s="103">
        <f>IF(Human_Data_Entry!BI156="","",Human_Data_Entry!BI156)</f>
        <v/>
      </c>
      <c r="T158" s="103">
        <f>IF(Human_Data_Entry!BJ156="","",Human_Data_Entry!BJ156)</f>
        <v/>
      </c>
      <c r="U158" s="103">
        <f>IF(Human_Data_Entry!AP156="","",Human_Data_Entry!AP156)</f>
        <v/>
      </c>
      <c r="V158" s="103">
        <f>IF(Human_Data_Entry!AQ156="","",Human_Data_Entry!AQ156)</f>
        <v/>
      </c>
      <c r="W158" s="103">
        <f>IF(Human_Data_Entry!AR156="","",Human_Data_Entry!AR156)</f>
        <v/>
      </c>
      <c r="X158" s="103">
        <f>IF(Human_Data_Entry!BK156="","",Human_Data_Entry!BK156)</f>
        <v/>
      </c>
    </row>
    <row r="159" ht="15" customHeight="1" s="241">
      <c r="A159" s="103">
        <f>IF(Human_Data_Entry!A157="","",Human_Data_Entry!A157)</f>
        <v/>
      </c>
      <c r="B159" s="103">
        <f>IF(Human_Data_Entry!B157="","",Human_Data_Entry!B157)</f>
        <v/>
      </c>
      <c r="C159" s="104">
        <f>IF(Human_Data_Entry!C157="","",Human_Data_Entry!C157)</f>
        <v/>
      </c>
      <c r="D159" s="103">
        <f>IF(Human_Data_Entry!D157="","",Human_Data_Entry!D157)</f>
        <v/>
      </c>
      <c r="E159" s="103">
        <f>IF(Human_Data_Entry!G157="","",Human_Data_Entry!G157)</f>
        <v/>
      </c>
      <c r="F159" s="103">
        <f>IF(Human_Data_Entry!X157="","",Human_Data_Entry!X157)</f>
        <v/>
      </c>
      <c r="G159" s="103">
        <f>IF(Human_Data_Entry!AY157="","",Human_Data_Entry!AY157)</f>
        <v/>
      </c>
      <c r="H159" s="103">
        <f>IF(Human_Data_Entry!AS157="","",Human_Data_Entry!AS157)</f>
        <v/>
      </c>
      <c r="I159" s="103">
        <f>IF(Human_Data_Entry!F157="","",Human_Data_Entry!F157)</f>
        <v/>
      </c>
      <c r="J159" s="103">
        <f>IF(Human_Data_Entry!BA157="","",Human_Data_Entry!BA157)</f>
        <v/>
      </c>
      <c r="K159" s="103">
        <f>IF(Human_Data_Entry!BB157="","",Human_Data_Entry!BB157)</f>
        <v/>
      </c>
      <c r="L159" s="103">
        <f>IF(Human_Data_Entry!BC157="","",Human_Data_Entry!BC157)</f>
        <v/>
      </c>
      <c r="M159" s="104">
        <f>IF(Human_Data_Entry!BD157="","",Human_Data_Entry!BD157)</f>
        <v/>
      </c>
      <c r="N159" s="104">
        <f>IF(Human_Data_Entry!BE157="","",Human_Data_Entry!BE157)</f>
        <v/>
      </c>
      <c r="O159" s="105">
        <f>IF(Human_Data_Entry!BF157="","",Human_Data_Entry!BF157)</f>
        <v/>
      </c>
      <c r="P159" s="103">
        <f>IF(Human_Data_Entry!BG157="","",Human_Data_Entry!BG157)</f>
        <v/>
      </c>
      <c r="Q159" s="103">
        <f>IF(Human_Data_Entry!BL157="","",Human_Data_Entry!BL157)</f>
        <v/>
      </c>
      <c r="R159" s="103">
        <f>IF(Human_Data_Entry!BH157="","",Human_Data_Entry!BH157)</f>
        <v/>
      </c>
      <c r="S159" s="103">
        <f>IF(Human_Data_Entry!BI157="","",Human_Data_Entry!BI157)</f>
        <v/>
      </c>
      <c r="T159" s="103">
        <f>IF(Human_Data_Entry!BJ157="","",Human_Data_Entry!BJ157)</f>
        <v/>
      </c>
      <c r="U159" s="103">
        <f>IF(Human_Data_Entry!AP157="","",Human_Data_Entry!AP157)</f>
        <v/>
      </c>
      <c r="V159" s="103">
        <f>IF(Human_Data_Entry!AQ157="","",Human_Data_Entry!AQ157)</f>
        <v/>
      </c>
      <c r="W159" s="103">
        <f>IF(Human_Data_Entry!AR157="","",Human_Data_Entry!AR157)</f>
        <v/>
      </c>
      <c r="X159" s="103">
        <f>IF(Human_Data_Entry!BK157="","",Human_Data_Entry!BK157)</f>
        <v/>
      </c>
    </row>
    <row r="160" ht="15" customHeight="1" s="241">
      <c r="A160" s="103">
        <f>IF(Human_Data_Entry!A158="","",Human_Data_Entry!A158)</f>
        <v/>
      </c>
      <c r="B160" s="103">
        <f>IF(Human_Data_Entry!B158="","",Human_Data_Entry!B158)</f>
        <v/>
      </c>
      <c r="C160" s="104">
        <f>IF(Human_Data_Entry!C158="","",Human_Data_Entry!C158)</f>
        <v/>
      </c>
      <c r="D160" s="103">
        <f>IF(Human_Data_Entry!D158="","",Human_Data_Entry!D158)</f>
        <v/>
      </c>
      <c r="E160" s="103">
        <f>IF(Human_Data_Entry!G158="","",Human_Data_Entry!G158)</f>
        <v/>
      </c>
      <c r="F160" s="103">
        <f>IF(Human_Data_Entry!X158="","",Human_Data_Entry!X158)</f>
        <v/>
      </c>
      <c r="G160" s="103">
        <f>IF(Human_Data_Entry!AY158="","",Human_Data_Entry!AY158)</f>
        <v/>
      </c>
      <c r="H160" s="103">
        <f>IF(Human_Data_Entry!AS158="","",Human_Data_Entry!AS158)</f>
        <v/>
      </c>
      <c r="I160" s="103">
        <f>IF(Human_Data_Entry!F158="","",Human_Data_Entry!F158)</f>
        <v/>
      </c>
      <c r="J160" s="103">
        <f>IF(Human_Data_Entry!BA158="","",Human_Data_Entry!BA158)</f>
        <v/>
      </c>
      <c r="K160" s="103">
        <f>IF(Human_Data_Entry!BB158="","",Human_Data_Entry!BB158)</f>
        <v/>
      </c>
      <c r="L160" s="103">
        <f>IF(Human_Data_Entry!BC158="","",Human_Data_Entry!BC158)</f>
        <v/>
      </c>
      <c r="M160" s="104">
        <f>IF(Human_Data_Entry!BD158="","",Human_Data_Entry!BD158)</f>
        <v/>
      </c>
      <c r="N160" s="104">
        <f>IF(Human_Data_Entry!BE158="","",Human_Data_Entry!BE158)</f>
        <v/>
      </c>
      <c r="O160" s="105">
        <f>IF(Human_Data_Entry!BF158="","",Human_Data_Entry!BF158)</f>
        <v/>
      </c>
      <c r="P160" s="103">
        <f>IF(Human_Data_Entry!BG158="","",Human_Data_Entry!BG158)</f>
        <v/>
      </c>
      <c r="Q160" s="103">
        <f>IF(Human_Data_Entry!BL158="","",Human_Data_Entry!BL158)</f>
        <v/>
      </c>
      <c r="R160" s="103">
        <f>IF(Human_Data_Entry!BH158="","",Human_Data_Entry!BH158)</f>
        <v/>
      </c>
      <c r="S160" s="103">
        <f>IF(Human_Data_Entry!BI158="","",Human_Data_Entry!BI158)</f>
        <v/>
      </c>
      <c r="T160" s="103">
        <f>IF(Human_Data_Entry!BJ158="","",Human_Data_Entry!BJ158)</f>
        <v/>
      </c>
      <c r="U160" s="103">
        <f>IF(Human_Data_Entry!AP158="","",Human_Data_Entry!AP158)</f>
        <v/>
      </c>
      <c r="V160" s="103">
        <f>IF(Human_Data_Entry!AQ158="","",Human_Data_Entry!AQ158)</f>
        <v/>
      </c>
      <c r="W160" s="103">
        <f>IF(Human_Data_Entry!AR158="","",Human_Data_Entry!AR158)</f>
        <v/>
      </c>
      <c r="X160" s="103">
        <f>IF(Human_Data_Entry!BK158="","",Human_Data_Entry!BK158)</f>
        <v/>
      </c>
    </row>
    <row r="161" ht="15" customHeight="1" s="241">
      <c r="A161" s="103">
        <f>IF(Human_Data_Entry!A159="","",Human_Data_Entry!A159)</f>
        <v/>
      </c>
      <c r="B161" s="103">
        <f>IF(Human_Data_Entry!B159="","",Human_Data_Entry!B159)</f>
        <v/>
      </c>
      <c r="C161" s="104">
        <f>IF(Human_Data_Entry!C159="","",Human_Data_Entry!C159)</f>
        <v/>
      </c>
      <c r="D161" s="103">
        <f>IF(Human_Data_Entry!D159="","",Human_Data_Entry!D159)</f>
        <v/>
      </c>
      <c r="E161" s="103">
        <f>IF(Human_Data_Entry!G159="","",Human_Data_Entry!G159)</f>
        <v/>
      </c>
      <c r="F161" s="103">
        <f>IF(Human_Data_Entry!X159="","",Human_Data_Entry!X159)</f>
        <v/>
      </c>
      <c r="G161" s="103">
        <f>IF(Human_Data_Entry!AY159="","",Human_Data_Entry!AY159)</f>
        <v/>
      </c>
      <c r="H161" s="103">
        <f>IF(Human_Data_Entry!AS159="","",Human_Data_Entry!AS159)</f>
        <v/>
      </c>
      <c r="I161" s="103">
        <f>IF(Human_Data_Entry!F159="","",Human_Data_Entry!F159)</f>
        <v/>
      </c>
      <c r="J161" s="103">
        <f>IF(Human_Data_Entry!BA159="","",Human_Data_Entry!BA159)</f>
        <v/>
      </c>
      <c r="K161" s="103">
        <f>IF(Human_Data_Entry!BB159="","",Human_Data_Entry!BB159)</f>
        <v/>
      </c>
      <c r="L161" s="103">
        <f>IF(Human_Data_Entry!BC159="","",Human_Data_Entry!BC159)</f>
        <v/>
      </c>
      <c r="M161" s="104">
        <f>IF(Human_Data_Entry!BD159="","",Human_Data_Entry!BD159)</f>
        <v/>
      </c>
      <c r="N161" s="104">
        <f>IF(Human_Data_Entry!BE159="","",Human_Data_Entry!BE159)</f>
        <v/>
      </c>
      <c r="O161" s="105">
        <f>IF(Human_Data_Entry!BF159="","",Human_Data_Entry!BF159)</f>
        <v/>
      </c>
      <c r="P161" s="103">
        <f>IF(Human_Data_Entry!BG159="","",Human_Data_Entry!BG159)</f>
        <v/>
      </c>
      <c r="Q161" s="103">
        <f>IF(Human_Data_Entry!BL159="","",Human_Data_Entry!BL159)</f>
        <v/>
      </c>
      <c r="R161" s="103">
        <f>IF(Human_Data_Entry!BH159="","",Human_Data_Entry!BH159)</f>
        <v/>
      </c>
      <c r="S161" s="103">
        <f>IF(Human_Data_Entry!BI159="","",Human_Data_Entry!BI159)</f>
        <v/>
      </c>
      <c r="T161" s="103">
        <f>IF(Human_Data_Entry!BJ159="","",Human_Data_Entry!BJ159)</f>
        <v/>
      </c>
      <c r="U161" s="103">
        <f>IF(Human_Data_Entry!AP159="","",Human_Data_Entry!AP159)</f>
        <v/>
      </c>
      <c r="V161" s="103">
        <f>IF(Human_Data_Entry!AQ159="","",Human_Data_Entry!AQ159)</f>
        <v/>
      </c>
      <c r="W161" s="103">
        <f>IF(Human_Data_Entry!AR159="","",Human_Data_Entry!AR159)</f>
        <v/>
      </c>
      <c r="X161" s="103">
        <f>IF(Human_Data_Entry!BK159="","",Human_Data_Entry!BK159)</f>
        <v/>
      </c>
    </row>
    <row r="162" ht="15" customHeight="1" s="241">
      <c r="A162" s="103">
        <f>IF(Human_Data_Entry!A160="","",Human_Data_Entry!A160)</f>
        <v/>
      </c>
      <c r="B162" s="103">
        <f>IF(Human_Data_Entry!B160="","",Human_Data_Entry!B160)</f>
        <v/>
      </c>
      <c r="C162" s="104">
        <f>IF(Human_Data_Entry!C160="","",Human_Data_Entry!C160)</f>
        <v/>
      </c>
      <c r="D162" s="103">
        <f>IF(Human_Data_Entry!D160="","",Human_Data_Entry!D160)</f>
        <v/>
      </c>
      <c r="E162" s="103">
        <f>IF(Human_Data_Entry!G160="","",Human_Data_Entry!G160)</f>
        <v/>
      </c>
      <c r="F162" s="103">
        <f>IF(Human_Data_Entry!X160="","",Human_Data_Entry!X160)</f>
        <v/>
      </c>
      <c r="G162" s="103">
        <f>IF(Human_Data_Entry!AY160="","",Human_Data_Entry!AY160)</f>
        <v/>
      </c>
      <c r="H162" s="103">
        <f>IF(Human_Data_Entry!AS160="","",Human_Data_Entry!AS160)</f>
        <v/>
      </c>
      <c r="I162" s="103">
        <f>IF(Human_Data_Entry!F160="","",Human_Data_Entry!F160)</f>
        <v/>
      </c>
      <c r="J162" s="103">
        <f>IF(Human_Data_Entry!BA160="","",Human_Data_Entry!BA160)</f>
        <v/>
      </c>
      <c r="K162" s="103">
        <f>IF(Human_Data_Entry!BB160="","",Human_Data_Entry!BB160)</f>
        <v/>
      </c>
      <c r="L162" s="103">
        <f>IF(Human_Data_Entry!BC160="","",Human_Data_Entry!BC160)</f>
        <v/>
      </c>
      <c r="M162" s="104">
        <f>IF(Human_Data_Entry!BD160="","",Human_Data_Entry!BD160)</f>
        <v/>
      </c>
      <c r="N162" s="104">
        <f>IF(Human_Data_Entry!BE160="","",Human_Data_Entry!BE160)</f>
        <v/>
      </c>
      <c r="O162" s="105">
        <f>IF(Human_Data_Entry!BF160="","",Human_Data_Entry!BF160)</f>
        <v/>
      </c>
      <c r="P162" s="103">
        <f>IF(Human_Data_Entry!BG160="","",Human_Data_Entry!BG160)</f>
        <v/>
      </c>
      <c r="Q162" s="103">
        <f>IF(Human_Data_Entry!BL160="","",Human_Data_Entry!BL160)</f>
        <v/>
      </c>
      <c r="R162" s="103">
        <f>IF(Human_Data_Entry!BH160="","",Human_Data_Entry!BH160)</f>
        <v/>
      </c>
      <c r="S162" s="103">
        <f>IF(Human_Data_Entry!BI160="","",Human_Data_Entry!BI160)</f>
        <v/>
      </c>
      <c r="T162" s="103">
        <f>IF(Human_Data_Entry!BJ160="","",Human_Data_Entry!BJ160)</f>
        <v/>
      </c>
      <c r="U162" s="103">
        <f>IF(Human_Data_Entry!AP160="","",Human_Data_Entry!AP160)</f>
        <v/>
      </c>
      <c r="V162" s="103">
        <f>IF(Human_Data_Entry!AQ160="","",Human_Data_Entry!AQ160)</f>
        <v/>
      </c>
      <c r="W162" s="103">
        <f>IF(Human_Data_Entry!AR160="","",Human_Data_Entry!AR160)</f>
        <v/>
      </c>
      <c r="X162" s="103">
        <f>IF(Human_Data_Entry!BK160="","",Human_Data_Entry!BK160)</f>
        <v/>
      </c>
    </row>
    <row r="163" ht="15" customHeight="1" s="241">
      <c r="A163" s="103">
        <f>IF(Human_Data_Entry!A161="","",Human_Data_Entry!A161)</f>
        <v/>
      </c>
      <c r="B163" s="103">
        <f>IF(Human_Data_Entry!B161="","",Human_Data_Entry!B161)</f>
        <v/>
      </c>
      <c r="C163" s="104">
        <f>IF(Human_Data_Entry!C161="","",Human_Data_Entry!C161)</f>
        <v/>
      </c>
      <c r="D163" s="103">
        <f>IF(Human_Data_Entry!D161="","",Human_Data_Entry!D161)</f>
        <v/>
      </c>
      <c r="E163" s="103">
        <f>IF(Human_Data_Entry!G161="","",Human_Data_Entry!G161)</f>
        <v/>
      </c>
      <c r="F163" s="103">
        <f>IF(Human_Data_Entry!X161="","",Human_Data_Entry!X161)</f>
        <v/>
      </c>
      <c r="G163" s="103">
        <f>IF(Human_Data_Entry!AY161="","",Human_Data_Entry!AY161)</f>
        <v/>
      </c>
      <c r="H163" s="103">
        <f>IF(Human_Data_Entry!AS161="","",Human_Data_Entry!AS161)</f>
        <v/>
      </c>
      <c r="I163" s="103">
        <f>IF(Human_Data_Entry!F161="","",Human_Data_Entry!F161)</f>
        <v/>
      </c>
      <c r="J163" s="103">
        <f>IF(Human_Data_Entry!BA161="","",Human_Data_Entry!BA161)</f>
        <v/>
      </c>
      <c r="K163" s="103">
        <f>IF(Human_Data_Entry!BB161="","",Human_Data_Entry!BB161)</f>
        <v/>
      </c>
      <c r="L163" s="103">
        <f>IF(Human_Data_Entry!BC161="","",Human_Data_Entry!BC161)</f>
        <v/>
      </c>
      <c r="M163" s="104">
        <f>IF(Human_Data_Entry!BD161="","",Human_Data_Entry!BD161)</f>
        <v/>
      </c>
      <c r="N163" s="104">
        <f>IF(Human_Data_Entry!BE161="","",Human_Data_Entry!BE161)</f>
        <v/>
      </c>
      <c r="O163" s="105">
        <f>IF(Human_Data_Entry!BF161="","",Human_Data_Entry!BF161)</f>
        <v/>
      </c>
      <c r="P163" s="103">
        <f>IF(Human_Data_Entry!BG161="","",Human_Data_Entry!BG161)</f>
        <v/>
      </c>
      <c r="Q163" s="103">
        <f>IF(Human_Data_Entry!BL161="","",Human_Data_Entry!BL161)</f>
        <v/>
      </c>
      <c r="R163" s="103">
        <f>IF(Human_Data_Entry!BH161="","",Human_Data_Entry!BH161)</f>
        <v/>
      </c>
      <c r="S163" s="103">
        <f>IF(Human_Data_Entry!BI161="","",Human_Data_Entry!BI161)</f>
        <v/>
      </c>
      <c r="T163" s="103">
        <f>IF(Human_Data_Entry!BJ161="","",Human_Data_Entry!BJ161)</f>
        <v/>
      </c>
      <c r="U163" s="103">
        <f>IF(Human_Data_Entry!AP161="","",Human_Data_Entry!AP161)</f>
        <v/>
      </c>
      <c r="V163" s="103">
        <f>IF(Human_Data_Entry!AQ161="","",Human_Data_Entry!AQ161)</f>
        <v/>
      </c>
      <c r="W163" s="103">
        <f>IF(Human_Data_Entry!AR161="","",Human_Data_Entry!AR161)</f>
        <v/>
      </c>
      <c r="X163" s="103">
        <f>IF(Human_Data_Entry!BK161="","",Human_Data_Entry!BK161)</f>
        <v/>
      </c>
    </row>
    <row r="164" ht="15" customHeight="1" s="241">
      <c r="A164" s="103">
        <f>IF(Human_Data_Entry!A162="","",Human_Data_Entry!A162)</f>
        <v/>
      </c>
      <c r="B164" s="103">
        <f>IF(Human_Data_Entry!B162="","",Human_Data_Entry!B162)</f>
        <v/>
      </c>
      <c r="C164" s="104">
        <f>IF(Human_Data_Entry!C162="","",Human_Data_Entry!C162)</f>
        <v/>
      </c>
      <c r="D164" s="103">
        <f>IF(Human_Data_Entry!D162="","",Human_Data_Entry!D162)</f>
        <v/>
      </c>
      <c r="E164" s="103">
        <f>IF(Human_Data_Entry!G162="","",Human_Data_Entry!G162)</f>
        <v/>
      </c>
      <c r="F164" s="103">
        <f>IF(Human_Data_Entry!X162="","",Human_Data_Entry!X162)</f>
        <v/>
      </c>
      <c r="G164" s="103">
        <f>IF(Human_Data_Entry!AY162="","",Human_Data_Entry!AY162)</f>
        <v/>
      </c>
      <c r="H164" s="103">
        <f>IF(Human_Data_Entry!AS162="","",Human_Data_Entry!AS162)</f>
        <v/>
      </c>
      <c r="I164" s="103">
        <f>IF(Human_Data_Entry!F162="","",Human_Data_Entry!F162)</f>
        <v/>
      </c>
      <c r="J164" s="103">
        <f>IF(Human_Data_Entry!BA162="","",Human_Data_Entry!BA162)</f>
        <v/>
      </c>
      <c r="K164" s="103">
        <f>IF(Human_Data_Entry!BB162="","",Human_Data_Entry!BB162)</f>
        <v/>
      </c>
      <c r="L164" s="103">
        <f>IF(Human_Data_Entry!BC162="","",Human_Data_Entry!BC162)</f>
        <v/>
      </c>
      <c r="M164" s="104">
        <f>IF(Human_Data_Entry!BD162="","",Human_Data_Entry!BD162)</f>
        <v/>
      </c>
      <c r="N164" s="104">
        <f>IF(Human_Data_Entry!BE162="","",Human_Data_Entry!BE162)</f>
        <v/>
      </c>
      <c r="O164" s="105">
        <f>IF(Human_Data_Entry!BF162="","",Human_Data_Entry!BF162)</f>
        <v/>
      </c>
      <c r="P164" s="103">
        <f>IF(Human_Data_Entry!BG162="","",Human_Data_Entry!BG162)</f>
        <v/>
      </c>
      <c r="Q164" s="103">
        <f>IF(Human_Data_Entry!BL162="","",Human_Data_Entry!BL162)</f>
        <v/>
      </c>
      <c r="R164" s="103">
        <f>IF(Human_Data_Entry!BH162="","",Human_Data_Entry!BH162)</f>
        <v/>
      </c>
      <c r="S164" s="103">
        <f>IF(Human_Data_Entry!BI162="","",Human_Data_Entry!BI162)</f>
        <v/>
      </c>
      <c r="T164" s="103">
        <f>IF(Human_Data_Entry!BJ162="","",Human_Data_Entry!BJ162)</f>
        <v/>
      </c>
      <c r="U164" s="103">
        <f>IF(Human_Data_Entry!AP162="","",Human_Data_Entry!AP162)</f>
        <v/>
      </c>
      <c r="V164" s="103">
        <f>IF(Human_Data_Entry!AQ162="","",Human_Data_Entry!AQ162)</f>
        <v/>
      </c>
      <c r="W164" s="103">
        <f>IF(Human_Data_Entry!AR162="","",Human_Data_Entry!AR162)</f>
        <v/>
      </c>
      <c r="X164" s="103">
        <f>IF(Human_Data_Entry!BK162="","",Human_Data_Entry!BK162)</f>
        <v/>
      </c>
    </row>
    <row r="165" ht="15" customHeight="1" s="241">
      <c r="A165" s="103">
        <f>IF(Human_Data_Entry!A163="","",Human_Data_Entry!A163)</f>
        <v/>
      </c>
      <c r="B165" s="103">
        <f>IF(Human_Data_Entry!B163="","",Human_Data_Entry!B163)</f>
        <v/>
      </c>
      <c r="C165" s="104">
        <f>IF(Human_Data_Entry!C163="","",Human_Data_Entry!C163)</f>
        <v/>
      </c>
      <c r="D165" s="103">
        <f>IF(Human_Data_Entry!D163="","",Human_Data_Entry!D163)</f>
        <v/>
      </c>
      <c r="E165" s="103">
        <f>IF(Human_Data_Entry!G163="","",Human_Data_Entry!G163)</f>
        <v/>
      </c>
      <c r="F165" s="103">
        <f>IF(Human_Data_Entry!X163="","",Human_Data_Entry!X163)</f>
        <v/>
      </c>
      <c r="G165" s="103">
        <f>IF(Human_Data_Entry!AY163="","",Human_Data_Entry!AY163)</f>
        <v/>
      </c>
      <c r="H165" s="103">
        <f>IF(Human_Data_Entry!AS163="","",Human_Data_Entry!AS163)</f>
        <v/>
      </c>
      <c r="I165" s="103">
        <f>IF(Human_Data_Entry!F163="","",Human_Data_Entry!F163)</f>
        <v/>
      </c>
      <c r="J165" s="103">
        <f>IF(Human_Data_Entry!BA163="","",Human_Data_Entry!BA163)</f>
        <v/>
      </c>
      <c r="K165" s="103">
        <f>IF(Human_Data_Entry!BB163="","",Human_Data_Entry!BB163)</f>
        <v/>
      </c>
      <c r="L165" s="103">
        <f>IF(Human_Data_Entry!BC163="","",Human_Data_Entry!BC163)</f>
        <v/>
      </c>
      <c r="M165" s="104">
        <f>IF(Human_Data_Entry!BD163="","",Human_Data_Entry!BD163)</f>
        <v/>
      </c>
      <c r="N165" s="104">
        <f>IF(Human_Data_Entry!BE163="","",Human_Data_Entry!BE163)</f>
        <v/>
      </c>
      <c r="O165" s="105">
        <f>IF(Human_Data_Entry!BF163="","",Human_Data_Entry!BF163)</f>
        <v/>
      </c>
      <c r="P165" s="103">
        <f>IF(Human_Data_Entry!BG163="","",Human_Data_Entry!BG163)</f>
        <v/>
      </c>
      <c r="Q165" s="103">
        <f>IF(Human_Data_Entry!BL163="","",Human_Data_Entry!BL163)</f>
        <v/>
      </c>
      <c r="R165" s="103">
        <f>IF(Human_Data_Entry!BH163="","",Human_Data_Entry!BH163)</f>
        <v/>
      </c>
      <c r="S165" s="103">
        <f>IF(Human_Data_Entry!BI163="","",Human_Data_Entry!BI163)</f>
        <v/>
      </c>
      <c r="T165" s="103">
        <f>IF(Human_Data_Entry!BJ163="","",Human_Data_Entry!BJ163)</f>
        <v/>
      </c>
      <c r="U165" s="103">
        <f>IF(Human_Data_Entry!AP163="","",Human_Data_Entry!AP163)</f>
        <v/>
      </c>
      <c r="V165" s="103">
        <f>IF(Human_Data_Entry!AQ163="","",Human_Data_Entry!AQ163)</f>
        <v/>
      </c>
      <c r="W165" s="103">
        <f>IF(Human_Data_Entry!AR163="","",Human_Data_Entry!AR163)</f>
        <v/>
      </c>
      <c r="X165" s="103">
        <f>IF(Human_Data_Entry!BK163="","",Human_Data_Entry!BK163)</f>
        <v/>
      </c>
    </row>
    <row r="166" ht="15" customHeight="1" s="241">
      <c r="A166" s="103">
        <f>IF(Human_Data_Entry!A164="","",Human_Data_Entry!A164)</f>
        <v/>
      </c>
      <c r="B166" s="103">
        <f>IF(Human_Data_Entry!B164="","",Human_Data_Entry!B164)</f>
        <v/>
      </c>
      <c r="C166" s="104">
        <f>IF(Human_Data_Entry!C164="","",Human_Data_Entry!C164)</f>
        <v/>
      </c>
      <c r="D166" s="103">
        <f>IF(Human_Data_Entry!D164="","",Human_Data_Entry!D164)</f>
        <v/>
      </c>
      <c r="E166" s="103">
        <f>IF(Human_Data_Entry!G164="","",Human_Data_Entry!G164)</f>
        <v/>
      </c>
      <c r="F166" s="103">
        <f>IF(Human_Data_Entry!X164="","",Human_Data_Entry!X164)</f>
        <v/>
      </c>
      <c r="G166" s="103">
        <f>IF(Human_Data_Entry!AY164="","",Human_Data_Entry!AY164)</f>
        <v/>
      </c>
      <c r="H166" s="103">
        <f>IF(Human_Data_Entry!AS164="","",Human_Data_Entry!AS164)</f>
        <v/>
      </c>
      <c r="I166" s="103">
        <f>IF(Human_Data_Entry!F164="","",Human_Data_Entry!F164)</f>
        <v/>
      </c>
      <c r="J166" s="103">
        <f>IF(Human_Data_Entry!BA164="","",Human_Data_Entry!BA164)</f>
        <v/>
      </c>
      <c r="K166" s="103">
        <f>IF(Human_Data_Entry!BB164="","",Human_Data_Entry!BB164)</f>
        <v/>
      </c>
      <c r="L166" s="103">
        <f>IF(Human_Data_Entry!BC164="","",Human_Data_Entry!BC164)</f>
        <v/>
      </c>
      <c r="M166" s="104">
        <f>IF(Human_Data_Entry!BD164="","",Human_Data_Entry!BD164)</f>
        <v/>
      </c>
      <c r="N166" s="104">
        <f>IF(Human_Data_Entry!BE164="","",Human_Data_Entry!BE164)</f>
        <v/>
      </c>
      <c r="O166" s="105">
        <f>IF(Human_Data_Entry!BF164="","",Human_Data_Entry!BF164)</f>
        <v/>
      </c>
      <c r="P166" s="103">
        <f>IF(Human_Data_Entry!BG164="","",Human_Data_Entry!BG164)</f>
        <v/>
      </c>
      <c r="Q166" s="103">
        <f>IF(Human_Data_Entry!BL164="","",Human_Data_Entry!BL164)</f>
        <v/>
      </c>
      <c r="R166" s="103">
        <f>IF(Human_Data_Entry!BH164="","",Human_Data_Entry!BH164)</f>
        <v/>
      </c>
      <c r="S166" s="103">
        <f>IF(Human_Data_Entry!BI164="","",Human_Data_Entry!BI164)</f>
        <v/>
      </c>
      <c r="T166" s="103">
        <f>IF(Human_Data_Entry!BJ164="","",Human_Data_Entry!BJ164)</f>
        <v/>
      </c>
      <c r="U166" s="103">
        <f>IF(Human_Data_Entry!AP164="","",Human_Data_Entry!AP164)</f>
        <v/>
      </c>
      <c r="V166" s="103">
        <f>IF(Human_Data_Entry!AQ164="","",Human_Data_Entry!AQ164)</f>
        <v/>
      </c>
      <c r="W166" s="103">
        <f>IF(Human_Data_Entry!AR164="","",Human_Data_Entry!AR164)</f>
        <v/>
      </c>
      <c r="X166" s="103">
        <f>IF(Human_Data_Entry!BK164="","",Human_Data_Entry!BK164)</f>
        <v/>
      </c>
    </row>
    <row r="167" ht="15" customHeight="1" s="241">
      <c r="A167" s="103">
        <f>IF(Human_Data_Entry!A165="","",Human_Data_Entry!A165)</f>
        <v/>
      </c>
      <c r="B167" s="103">
        <f>IF(Human_Data_Entry!B165="","",Human_Data_Entry!B165)</f>
        <v/>
      </c>
      <c r="C167" s="104">
        <f>IF(Human_Data_Entry!C165="","",Human_Data_Entry!C165)</f>
        <v/>
      </c>
      <c r="D167" s="103">
        <f>IF(Human_Data_Entry!D165="","",Human_Data_Entry!D165)</f>
        <v/>
      </c>
      <c r="E167" s="103">
        <f>IF(Human_Data_Entry!G165="","",Human_Data_Entry!G165)</f>
        <v/>
      </c>
      <c r="F167" s="103">
        <f>IF(Human_Data_Entry!X165="","",Human_Data_Entry!X165)</f>
        <v/>
      </c>
      <c r="G167" s="103">
        <f>IF(Human_Data_Entry!AY165="","",Human_Data_Entry!AY165)</f>
        <v/>
      </c>
      <c r="H167" s="103">
        <f>IF(Human_Data_Entry!AS165="","",Human_Data_Entry!AS165)</f>
        <v/>
      </c>
      <c r="I167" s="103">
        <f>IF(Human_Data_Entry!F165="","",Human_Data_Entry!F165)</f>
        <v/>
      </c>
      <c r="J167" s="103">
        <f>IF(Human_Data_Entry!BA165="","",Human_Data_Entry!BA165)</f>
        <v/>
      </c>
      <c r="K167" s="103">
        <f>IF(Human_Data_Entry!BB165="","",Human_Data_Entry!BB165)</f>
        <v/>
      </c>
      <c r="L167" s="103">
        <f>IF(Human_Data_Entry!BC165="","",Human_Data_Entry!BC165)</f>
        <v/>
      </c>
      <c r="M167" s="104">
        <f>IF(Human_Data_Entry!BD165="","",Human_Data_Entry!BD165)</f>
        <v/>
      </c>
      <c r="N167" s="104">
        <f>IF(Human_Data_Entry!BE165="","",Human_Data_Entry!BE165)</f>
        <v/>
      </c>
      <c r="O167" s="105">
        <f>IF(Human_Data_Entry!BF165="","",Human_Data_Entry!BF165)</f>
        <v/>
      </c>
      <c r="P167" s="103">
        <f>IF(Human_Data_Entry!BG165="","",Human_Data_Entry!BG165)</f>
        <v/>
      </c>
      <c r="Q167" s="103">
        <f>IF(Human_Data_Entry!BL165="","",Human_Data_Entry!BL165)</f>
        <v/>
      </c>
      <c r="R167" s="103">
        <f>IF(Human_Data_Entry!BH165="","",Human_Data_Entry!BH165)</f>
        <v/>
      </c>
      <c r="S167" s="103">
        <f>IF(Human_Data_Entry!BI165="","",Human_Data_Entry!BI165)</f>
        <v/>
      </c>
      <c r="T167" s="103">
        <f>IF(Human_Data_Entry!BJ165="","",Human_Data_Entry!BJ165)</f>
        <v/>
      </c>
      <c r="U167" s="103">
        <f>IF(Human_Data_Entry!AP165="","",Human_Data_Entry!AP165)</f>
        <v/>
      </c>
      <c r="V167" s="103">
        <f>IF(Human_Data_Entry!AQ165="","",Human_Data_Entry!AQ165)</f>
        <v/>
      </c>
      <c r="W167" s="103">
        <f>IF(Human_Data_Entry!AR165="","",Human_Data_Entry!AR165)</f>
        <v/>
      </c>
      <c r="X167" s="103">
        <f>IF(Human_Data_Entry!BK165="","",Human_Data_Entry!BK165)</f>
        <v/>
      </c>
    </row>
    <row r="168" ht="15" customHeight="1" s="241">
      <c r="A168" s="103">
        <f>IF(Human_Data_Entry!A166="","",Human_Data_Entry!A166)</f>
        <v/>
      </c>
      <c r="B168" s="103">
        <f>IF(Human_Data_Entry!B166="","",Human_Data_Entry!B166)</f>
        <v/>
      </c>
      <c r="C168" s="104">
        <f>IF(Human_Data_Entry!C166="","",Human_Data_Entry!C166)</f>
        <v/>
      </c>
      <c r="D168" s="103">
        <f>IF(Human_Data_Entry!D166="","",Human_Data_Entry!D166)</f>
        <v/>
      </c>
      <c r="E168" s="103">
        <f>IF(Human_Data_Entry!G166="","",Human_Data_Entry!G166)</f>
        <v/>
      </c>
      <c r="F168" s="103">
        <f>IF(Human_Data_Entry!X166="","",Human_Data_Entry!X166)</f>
        <v/>
      </c>
      <c r="G168" s="103">
        <f>IF(Human_Data_Entry!AY166="","",Human_Data_Entry!AY166)</f>
        <v/>
      </c>
      <c r="H168" s="103">
        <f>IF(Human_Data_Entry!AS166="","",Human_Data_Entry!AS166)</f>
        <v/>
      </c>
      <c r="I168" s="103">
        <f>IF(Human_Data_Entry!F166="","",Human_Data_Entry!F166)</f>
        <v/>
      </c>
      <c r="J168" s="103">
        <f>IF(Human_Data_Entry!BA166="","",Human_Data_Entry!BA166)</f>
        <v/>
      </c>
      <c r="K168" s="103">
        <f>IF(Human_Data_Entry!BB166="","",Human_Data_Entry!BB166)</f>
        <v/>
      </c>
      <c r="L168" s="103">
        <f>IF(Human_Data_Entry!BC166="","",Human_Data_Entry!BC166)</f>
        <v/>
      </c>
      <c r="M168" s="104">
        <f>IF(Human_Data_Entry!BD166="","",Human_Data_Entry!BD166)</f>
        <v/>
      </c>
      <c r="N168" s="104">
        <f>IF(Human_Data_Entry!BE166="","",Human_Data_Entry!BE166)</f>
        <v/>
      </c>
      <c r="O168" s="105">
        <f>IF(Human_Data_Entry!BF166="","",Human_Data_Entry!BF166)</f>
        <v/>
      </c>
      <c r="P168" s="103">
        <f>IF(Human_Data_Entry!BG166="","",Human_Data_Entry!BG166)</f>
        <v/>
      </c>
      <c r="Q168" s="103">
        <f>IF(Human_Data_Entry!BL166="","",Human_Data_Entry!BL166)</f>
        <v/>
      </c>
      <c r="R168" s="103">
        <f>IF(Human_Data_Entry!BH166="","",Human_Data_Entry!BH166)</f>
        <v/>
      </c>
      <c r="S168" s="103">
        <f>IF(Human_Data_Entry!BI166="","",Human_Data_Entry!BI166)</f>
        <v/>
      </c>
      <c r="T168" s="103">
        <f>IF(Human_Data_Entry!BJ166="","",Human_Data_Entry!BJ166)</f>
        <v/>
      </c>
      <c r="U168" s="103">
        <f>IF(Human_Data_Entry!AP166="","",Human_Data_Entry!AP166)</f>
        <v/>
      </c>
      <c r="V168" s="103">
        <f>IF(Human_Data_Entry!AQ166="","",Human_Data_Entry!AQ166)</f>
        <v/>
      </c>
      <c r="W168" s="103">
        <f>IF(Human_Data_Entry!AR166="","",Human_Data_Entry!AR166)</f>
        <v/>
      </c>
      <c r="X168" s="103">
        <f>IF(Human_Data_Entry!BK166="","",Human_Data_Entry!BK166)</f>
        <v/>
      </c>
    </row>
    <row r="169" ht="15" customHeight="1" s="241">
      <c r="A169" s="103">
        <f>IF(Human_Data_Entry!A167="","",Human_Data_Entry!A167)</f>
        <v/>
      </c>
      <c r="B169" s="103">
        <f>IF(Human_Data_Entry!B167="","",Human_Data_Entry!B167)</f>
        <v/>
      </c>
      <c r="C169" s="104">
        <f>IF(Human_Data_Entry!C167="","",Human_Data_Entry!C167)</f>
        <v/>
      </c>
      <c r="D169" s="103">
        <f>IF(Human_Data_Entry!D167="","",Human_Data_Entry!D167)</f>
        <v/>
      </c>
      <c r="E169" s="103">
        <f>IF(Human_Data_Entry!G167="","",Human_Data_Entry!G167)</f>
        <v/>
      </c>
      <c r="F169" s="103">
        <f>IF(Human_Data_Entry!X167="","",Human_Data_Entry!X167)</f>
        <v/>
      </c>
      <c r="G169" s="103">
        <f>IF(Human_Data_Entry!AY167="","",Human_Data_Entry!AY167)</f>
        <v/>
      </c>
      <c r="H169" s="103">
        <f>IF(Human_Data_Entry!AS167="","",Human_Data_Entry!AS167)</f>
        <v/>
      </c>
      <c r="I169" s="103">
        <f>IF(Human_Data_Entry!F167="","",Human_Data_Entry!F167)</f>
        <v/>
      </c>
      <c r="J169" s="103">
        <f>IF(Human_Data_Entry!BA167="","",Human_Data_Entry!BA167)</f>
        <v/>
      </c>
      <c r="K169" s="103">
        <f>IF(Human_Data_Entry!BB167="","",Human_Data_Entry!BB167)</f>
        <v/>
      </c>
      <c r="L169" s="103">
        <f>IF(Human_Data_Entry!BC167="","",Human_Data_Entry!BC167)</f>
        <v/>
      </c>
      <c r="M169" s="104">
        <f>IF(Human_Data_Entry!BD167="","",Human_Data_Entry!BD167)</f>
        <v/>
      </c>
      <c r="N169" s="104">
        <f>IF(Human_Data_Entry!BE167="","",Human_Data_Entry!BE167)</f>
        <v/>
      </c>
      <c r="O169" s="105">
        <f>IF(Human_Data_Entry!BF167="","",Human_Data_Entry!BF167)</f>
        <v/>
      </c>
      <c r="P169" s="103">
        <f>IF(Human_Data_Entry!BG167="","",Human_Data_Entry!BG167)</f>
        <v/>
      </c>
      <c r="Q169" s="103">
        <f>IF(Human_Data_Entry!BL167="","",Human_Data_Entry!BL167)</f>
        <v/>
      </c>
      <c r="R169" s="103">
        <f>IF(Human_Data_Entry!BH167="","",Human_Data_Entry!BH167)</f>
        <v/>
      </c>
      <c r="S169" s="103">
        <f>IF(Human_Data_Entry!BI167="","",Human_Data_Entry!BI167)</f>
        <v/>
      </c>
      <c r="T169" s="103">
        <f>IF(Human_Data_Entry!BJ167="","",Human_Data_Entry!BJ167)</f>
        <v/>
      </c>
      <c r="U169" s="103">
        <f>IF(Human_Data_Entry!AP167="","",Human_Data_Entry!AP167)</f>
        <v/>
      </c>
      <c r="V169" s="103">
        <f>IF(Human_Data_Entry!AQ167="","",Human_Data_Entry!AQ167)</f>
        <v/>
      </c>
      <c r="W169" s="103">
        <f>IF(Human_Data_Entry!AR167="","",Human_Data_Entry!AR167)</f>
        <v/>
      </c>
      <c r="X169" s="103">
        <f>IF(Human_Data_Entry!BK167="","",Human_Data_Entry!BK167)</f>
        <v/>
      </c>
    </row>
    <row r="170" ht="15" customHeight="1" s="241">
      <c r="A170" s="103">
        <f>IF(Human_Data_Entry!A168="","",Human_Data_Entry!A168)</f>
        <v/>
      </c>
      <c r="B170" s="103">
        <f>IF(Human_Data_Entry!B168="","",Human_Data_Entry!B168)</f>
        <v/>
      </c>
      <c r="C170" s="104">
        <f>IF(Human_Data_Entry!C168="","",Human_Data_Entry!C168)</f>
        <v/>
      </c>
      <c r="D170" s="103">
        <f>IF(Human_Data_Entry!D168="","",Human_Data_Entry!D168)</f>
        <v/>
      </c>
      <c r="E170" s="103">
        <f>IF(Human_Data_Entry!G168="","",Human_Data_Entry!G168)</f>
        <v/>
      </c>
      <c r="F170" s="103">
        <f>IF(Human_Data_Entry!X168="","",Human_Data_Entry!X168)</f>
        <v/>
      </c>
      <c r="G170" s="103">
        <f>IF(Human_Data_Entry!AY168="","",Human_Data_Entry!AY168)</f>
        <v/>
      </c>
      <c r="H170" s="103">
        <f>IF(Human_Data_Entry!AS168="","",Human_Data_Entry!AS168)</f>
        <v/>
      </c>
      <c r="I170" s="103">
        <f>IF(Human_Data_Entry!F168="","",Human_Data_Entry!F168)</f>
        <v/>
      </c>
      <c r="J170" s="103">
        <f>IF(Human_Data_Entry!BA168="","",Human_Data_Entry!BA168)</f>
        <v/>
      </c>
      <c r="K170" s="103">
        <f>IF(Human_Data_Entry!BB168="","",Human_Data_Entry!BB168)</f>
        <v/>
      </c>
      <c r="L170" s="103">
        <f>IF(Human_Data_Entry!BC168="","",Human_Data_Entry!BC168)</f>
        <v/>
      </c>
      <c r="M170" s="104">
        <f>IF(Human_Data_Entry!BD168="","",Human_Data_Entry!BD168)</f>
        <v/>
      </c>
      <c r="N170" s="104">
        <f>IF(Human_Data_Entry!BE168="","",Human_Data_Entry!BE168)</f>
        <v/>
      </c>
      <c r="O170" s="105">
        <f>IF(Human_Data_Entry!BF168="","",Human_Data_Entry!BF168)</f>
        <v/>
      </c>
      <c r="P170" s="103">
        <f>IF(Human_Data_Entry!BG168="","",Human_Data_Entry!BG168)</f>
        <v/>
      </c>
      <c r="Q170" s="103">
        <f>IF(Human_Data_Entry!BL168="","",Human_Data_Entry!BL168)</f>
        <v/>
      </c>
      <c r="R170" s="103">
        <f>IF(Human_Data_Entry!BH168="","",Human_Data_Entry!BH168)</f>
        <v/>
      </c>
      <c r="S170" s="103">
        <f>IF(Human_Data_Entry!BI168="","",Human_Data_Entry!BI168)</f>
        <v/>
      </c>
      <c r="T170" s="103">
        <f>IF(Human_Data_Entry!BJ168="","",Human_Data_Entry!BJ168)</f>
        <v/>
      </c>
      <c r="U170" s="103">
        <f>IF(Human_Data_Entry!AP168="","",Human_Data_Entry!AP168)</f>
        <v/>
      </c>
      <c r="V170" s="103">
        <f>IF(Human_Data_Entry!AQ168="","",Human_Data_Entry!AQ168)</f>
        <v/>
      </c>
      <c r="W170" s="103">
        <f>IF(Human_Data_Entry!AR168="","",Human_Data_Entry!AR168)</f>
        <v/>
      </c>
      <c r="X170" s="103">
        <f>IF(Human_Data_Entry!BK168="","",Human_Data_Entry!BK168)</f>
        <v/>
      </c>
    </row>
    <row r="171" ht="15" customHeight="1" s="241">
      <c r="A171" s="103">
        <f>IF(Human_Data_Entry!A169="","",Human_Data_Entry!A169)</f>
        <v/>
      </c>
      <c r="B171" s="103">
        <f>IF(Human_Data_Entry!B169="","",Human_Data_Entry!B169)</f>
        <v/>
      </c>
      <c r="C171" s="104">
        <f>IF(Human_Data_Entry!C169="","",Human_Data_Entry!C169)</f>
        <v/>
      </c>
      <c r="D171" s="103">
        <f>IF(Human_Data_Entry!D169="","",Human_Data_Entry!D169)</f>
        <v/>
      </c>
      <c r="E171" s="103">
        <f>IF(Human_Data_Entry!G169="","",Human_Data_Entry!G169)</f>
        <v/>
      </c>
      <c r="F171" s="103">
        <f>IF(Human_Data_Entry!X169="","",Human_Data_Entry!X169)</f>
        <v/>
      </c>
      <c r="G171" s="103">
        <f>IF(Human_Data_Entry!AY169="","",Human_Data_Entry!AY169)</f>
        <v/>
      </c>
      <c r="H171" s="103">
        <f>IF(Human_Data_Entry!AS169="","",Human_Data_Entry!AS169)</f>
        <v/>
      </c>
      <c r="I171" s="103">
        <f>IF(Human_Data_Entry!F169="","",Human_Data_Entry!F169)</f>
        <v/>
      </c>
      <c r="J171" s="103">
        <f>IF(Human_Data_Entry!BA169="","",Human_Data_Entry!BA169)</f>
        <v/>
      </c>
      <c r="K171" s="103">
        <f>IF(Human_Data_Entry!BB169="","",Human_Data_Entry!BB169)</f>
        <v/>
      </c>
      <c r="L171" s="103">
        <f>IF(Human_Data_Entry!BC169="","",Human_Data_Entry!BC169)</f>
        <v/>
      </c>
      <c r="M171" s="104">
        <f>IF(Human_Data_Entry!BD169="","",Human_Data_Entry!BD169)</f>
        <v/>
      </c>
      <c r="N171" s="104">
        <f>IF(Human_Data_Entry!BE169="","",Human_Data_Entry!BE169)</f>
        <v/>
      </c>
      <c r="O171" s="105">
        <f>IF(Human_Data_Entry!BF169="","",Human_Data_Entry!BF169)</f>
        <v/>
      </c>
      <c r="P171" s="103">
        <f>IF(Human_Data_Entry!BG169="","",Human_Data_Entry!BG169)</f>
        <v/>
      </c>
      <c r="Q171" s="103">
        <f>IF(Human_Data_Entry!BL169="","",Human_Data_Entry!BL169)</f>
        <v/>
      </c>
      <c r="R171" s="103">
        <f>IF(Human_Data_Entry!BH169="","",Human_Data_Entry!BH169)</f>
        <v/>
      </c>
      <c r="S171" s="103">
        <f>IF(Human_Data_Entry!BI169="","",Human_Data_Entry!BI169)</f>
        <v/>
      </c>
      <c r="T171" s="103">
        <f>IF(Human_Data_Entry!BJ169="","",Human_Data_Entry!BJ169)</f>
        <v/>
      </c>
      <c r="U171" s="103">
        <f>IF(Human_Data_Entry!AP169="","",Human_Data_Entry!AP169)</f>
        <v/>
      </c>
      <c r="V171" s="103">
        <f>IF(Human_Data_Entry!AQ169="","",Human_Data_Entry!AQ169)</f>
        <v/>
      </c>
      <c r="W171" s="103">
        <f>IF(Human_Data_Entry!AR169="","",Human_Data_Entry!AR169)</f>
        <v/>
      </c>
      <c r="X171" s="103">
        <f>IF(Human_Data_Entry!BK169="","",Human_Data_Entry!BK169)</f>
        <v/>
      </c>
    </row>
    <row r="172" ht="15" customHeight="1" s="241">
      <c r="A172" s="103">
        <f>IF(Human_Data_Entry!A170="","",Human_Data_Entry!A170)</f>
        <v/>
      </c>
      <c r="B172" s="103">
        <f>IF(Human_Data_Entry!B170="","",Human_Data_Entry!B170)</f>
        <v/>
      </c>
      <c r="C172" s="104">
        <f>IF(Human_Data_Entry!C170="","",Human_Data_Entry!C170)</f>
        <v/>
      </c>
      <c r="D172" s="103">
        <f>IF(Human_Data_Entry!D170="","",Human_Data_Entry!D170)</f>
        <v/>
      </c>
      <c r="E172" s="103">
        <f>IF(Human_Data_Entry!G170="","",Human_Data_Entry!G170)</f>
        <v/>
      </c>
      <c r="F172" s="103">
        <f>IF(Human_Data_Entry!X170="","",Human_Data_Entry!X170)</f>
        <v/>
      </c>
      <c r="G172" s="103">
        <f>IF(Human_Data_Entry!AY170="","",Human_Data_Entry!AY170)</f>
        <v/>
      </c>
      <c r="H172" s="103">
        <f>IF(Human_Data_Entry!AS170="","",Human_Data_Entry!AS170)</f>
        <v/>
      </c>
      <c r="I172" s="103">
        <f>IF(Human_Data_Entry!F170="","",Human_Data_Entry!F170)</f>
        <v/>
      </c>
      <c r="J172" s="103">
        <f>IF(Human_Data_Entry!BA170="","",Human_Data_Entry!BA170)</f>
        <v/>
      </c>
      <c r="K172" s="103">
        <f>IF(Human_Data_Entry!BB170="","",Human_Data_Entry!BB170)</f>
        <v/>
      </c>
      <c r="L172" s="103">
        <f>IF(Human_Data_Entry!BC170="","",Human_Data_Entry!BC170)</f>
        <v/>
      </c>
      <c r="M172" s="104">
        <f>IF(Human_Data_Entry!BD170="","",Human_Data_Entry!BD170)</f>
        <v/>
      </c>
      <c r="N172" s="104">
        <f>IF(Human_Data_Entry!BE170="","",Human_Data_Entry!BE170)</f>
        <v/>
      </c>
      <c r="O172" s="105">
        <f>IF(Human_Data_Entry!BF170="","",Human_Data_Entry!BF170)</f>
        <v/>
      </c>
      <c r="P172" s="103">
        <f>IF(Human_Data_Entry!BG170="","",Human_Data_Entry!BG170)</f>
        <v/>
      </c>
      <c r="Q172" s="103">
        <f>IF(Human_Data_Entry!BL170="","",Human_Data_Entry!BL170)</f>
        <v/>
      </c>
      <c r="R172" s="103">
        <f>IF(Human_Data_Entry!BH170="","",Human_Data_Entry!BH170)</f>
        <v/>
      </c>
      <c r="S172" s="103">
        <f>IF(Human_Data_Entry!BI170="","",Human_Data_Entry!BI170)</f>
        <v/>
      </c>
      <c r="T172" s="103">
        <f>IF(Human_Data_Entry!BJ170="","",Human_Data_Entry!BJ170)</f>
        <v/>
      </c>
      <c r="U172" s="103">
        <f>IF(Human_Data_Entry!AP170="","",Human_Data_Entry!AP170)</f>
        <v/>
      </c>
      <c r="V172" s="103">
        <f>IF(Human_Data_Entry!AQ170="","",Human_Data_Entry!AQ170)</f>
        <v/>
      </c>
      <c r="W172" s="103">
        <f>IF(Human_Data_Entry!AR170="","",Human_Data_Entry!AR170)</f>
        <v/>
      </c>
      <c r="X172" s="103">
        <f>IF(Human_Data_Entry!BK170="","",Human_Data_Entry!BK170)</f>
        <v/>
      </c>
    </row>
    <row r="173" ht="15" customHeight="1" s="241">
      <c r="A173" s="103">
        <f>IF(Human_Data_Entry!A171="","",Human_Data_Entry!A171)</f>
        <v/>
      </c>
      <c r="B173" s="103">
        <f>IF(Human_Data_Entry!B171="","",Human_Data_Entry!B171)</f>
        <v/>
      </c>
      <c r="C173" s="104">
        <f>IF(Human_Data_Entry!C171="","",Human_Data_Entry!C171)</f>
        <v/>
      </c>
      <c r="D173" s="103">
        <f>IF(Human_Data_Entry!D171="","",Human_Data_Entry!D171)</f>
        <v/>
      </c>
      <c r="E173" s="103">
        <f>IF(Human_Data_Entry!G171="","",Human_Data_Entry!G171)</f>
        <v/>
      </c>
      <c r="F173" s="103">
        <f>IF(Human_Data_Entry!X171="","",Human_Data_Entry!X171)</f>
        <v/>
      </c>
      <c r="G173" s="103">
        <f>IF(Human_Data_Entry!AY171="","",Human_Data_Entry!AY171)</f>
        <v/>
      </c>
      <c r="H173" s="103">
        <f>IF(Human_Data_Entry!AS171="","",Human_Data_Entry!AS171)</f>
        <v/>
      </c>
      <c r="I173" s="103">
        <f>IF(Human_Data_Entry!F171="","",Human_Data_Entry!F171)</f>
        <v/>
      </c>
      <c r="J173" s="103">
        <f>IF(Human_Data_Entry!BA171="","",Human_Data_Entry!BA171)</f>
        <v/>
      </c>
      <c r="K173" s="103">
        <f>IF(Human_Data_Entry!BB171="","",Human_Data_Entry!BB171)</f>
        <v/>
      </c>
      <c r="L173" s="103">
        <f>IF(Human_Data_Entry!BC171="","",Human_Data_Entry!BC171)</f>
        <v/>
      </c>
      <c r="M173" s="104">
        <f>IF(Human_Data_Entry!BD171="","",Human_Data_Entry!BD171)</f>
        <v/>
      </c>
      <c r="N173" s="104">
        <f>IF(Human_Data_Entry!BE171="","",Human_Data_Entry!BE171)</f>
        <v/>
      </c>
      <c r="O173" s="105">
        <f>IF(Human_Data_Entry!BF171="","",Human_Data_Entry!BF171)</f>
        <v/>
      </c>
      <c r="P173" s="103">
        <f>IF(Human_Data_Entry!BG171="","",Human_Data_Entry!BG171)</f>
        <v/>
      </c>
      <c r="Q173" s="103">
        <f>IF(Human_Data_Entry!BL171="","",Human_Data_Entry!BL171)</f>
        <v/>
      </c>
      <c r="R173" s="103">
        <f>IF(Human_Data_Entry!BH171="","",Human_Data_Entry!BH171)</f>
        <v/>
      </c>
      <c r="S173" s="103">
        <f>IF(Human_Data_Entry!BI171="","",Human_Data_Entry!BI171)</f>
        <v/>
      </c>
      <c r="T173" s="103">
        <f>IF(Human_Data_Entry!BJ171="","",Human_Data_Entry!BJ171)</f>
        <v/>
      </c>
      <c r="U173" s="103">
        <f>IF(Human_Data_Entry!AP171="","",Human_Data_Entry!AP171)</f>
        <v/>
      </c>
      <c r="V173" s="103">
        <f>IF(Human_Data_Entry!AQ171="","",Human_Data_Entry!AQ171)</f>
        <v/>
      </c>
      <c r="W173" s="103">
        <f>IF(Human_Data_Entry!AR171="","",Human_Data_Entry!AR171)</f>
        <v/>
      </c>
      <c r="X173" s="103">
        <f>IF(Human_Data_Entry!BK171="","",Human_Data_Entry!BK171)</f>
        <v/>
      </c>
    </row>
    <row r="174" ht="15" customHeight="1" s="241">
      <c r="A174" s="103">
        <f>IF(Human_Data_Entry!A172="","",Human_Data_Entry!A172)</f>
        <v/>
      </c>
      <c r="B174" s="103">
        <f>IF(Human_Data_Entry!B172="","",Human_Data_Entry!B172)</f>
        <v/>
      </c>
      <c r="C174" s="104">
        <f>IF(Human_Data_Entry!C172="","",Human_Data_Entry!C172)</f>
        <v/>
      </c>
      <c r="D174" s="103">
        <f>IF(Human_Data_Entry!D172="","",Human_Data_Entry!D172)</f>
        <v/>
      </c>
      <c r="E174" s="103">
        <f>IF(Human_Data_Entry!G172="","",Human_Data_Entry!G172)</f>
        <v/>
      </c>
      <c r="F174" s="103">
        <f>IF(Human_Data_Entry!X172="","",Human_Data_Entry!X172)</f>
        <v/>
      </c>
      <c r="G174" s="103">
        <f>IF(Human_Data_Entry!AY172="","",Human_Data_Entry!AY172)</f>
        <v/>
      </c>
      <c r="H174" s="103">
        <f>IF(Human_Data_Entry!AS172="","",Human_Data_Entry!AS172)</f>
        <v/>
      </c>
      <c r="I174" s="103">
        <f>IF(Human_Data_Entry!F172="","",Human_Data_Entry!F172)</f>
        <v/>
      </c>
      <c r="J174" s="103">
        <f>IF(Human_Data_Entry!BA172="","",Human_Data_Entry!BA172)</f>
        <v/>
      </c>
      <c r="K174" s="103">
        <f>IF(Human_Data_Entry!BB172="","",Human_Data_Entry!BB172)</f>
        <v/>
      </c>
      <c r="L174" s="103">
        <f>IF(Human_Data_Entry!BC172="","",Human_Data_Entry!BC172)</f>
        <v/>
      </c>
      <c r="M174" s="104">
        <f>IF(Human_Data_Entry!BD172="","",Human_Data_Entry!BD172)</f>
        <v/>
      </c>
      <c r="N174" s="104">
        <f>IF(Human_Data_Entry!BE172="","",Human_Data_Entry!BE172)</f>
        <v/>
      </c>
      <c r="O174" s="105">
        <f>IF(Human_Data_Entry!BF172="","",Human_Data_Entry!BF172)</f>
        <v/>
      </c>
      <c r="P174" s="103">
        <f>IF(Human_Data_Entry!BG172="","",Human_Data_Entry!BG172)</f>
        <v/>
      </c>
      <c r="Q174" s="103">
        <f>IF(Human_Data_Entry!BL172="","",Human_Data_Entry!BL172)</f>
        <v/>
      </c>
      <c r="R174" s="103">
        <f>IF(Human_Data_Entry!BH172="","",Human_Data_Entry!BH172)</f>
        <v/>
      </c>
      <c r="S174" s="103">
        <f>IF(Human_Data_Entry!BI172="","",Human_Data_Entry!BI172)</f>
        <v/>
      </c>
      <c r="T174" s="103">
        <f>IF(Human_Data_Entry!BJ172="","",Human_Data_Entry!BJ172)</f>
        <v/>
      </c>
      <c r="U174" s="103">
        <f>IF(Human_Data_Entry!AP172="","",Human_Data_Entry!AP172)</f>
        <v/>
      </c>
      <c r="V174" s="103">
        <f>IF(Human_Data_Entry!AQ172="","",Human_Data_Entry!AQ172)</f>
        <v/>
      </c>
      <c r="W174" s="103">
        <f>IF(Human_Data_Entry!AR172="","",Human_Data_Entry!AR172)</f>
        <v/>
      </c>
      <c r="X174" s="103">
        <f>IF(Human_Data_Entry!BK172="","",Human_Data_Entry!BK172)</f>
        <v/>
      </c>
    </row>
    <row r="175" ht="15" customHeight="1" s="241">
      <c r="A175" s="103">
        <f>IF(Human_Data_Entry!A173="","",Human_Data_Entry!A173)</f>
        <v/>
      </c>
      <c r="B175" s="103">
        <f>IF(Human_Data_Entry!B173="","",Human_Data_Entry!B173)</f>
        <v/>
      </c>
      <c r="C175" s="104">
        <f>IF(Human_Data_Entry!C173="","",Human_Data_Entry!C173)</f>
        <v/>
      </c>
      <c r="D175" s="103">
        <f>IF(Human_Data_Entry!D173="","",Human_Data_Entry!D173)</f>
        <v/>
      </c>
      <c r="E175" s="103">
        <f>IF(Human_Data_Entry!G173="","",Human_Data_Entry!G173)</f>
        <v/>
      </c>
      <c r="F175" s="103">
        <f>IF(Human_Data_Entry!X173="","",Human_Data_Entry!X173)</f>
        <v/>
      </c>
      <c r="G175" s="103">
        <f>IF(Human_Data_Entry!AY173="","",Human_Data_Entry!AY173)</f>
        <v/>
      </c>
      <c r="H175" s="103">
        <f>IF(Human_Data_Entry!AS173="","",Human_Data_Entry!AS173)</f>
        <v/>
      </c>
      <c r="I175" s="103">
        <f>IF(Human_Data_Entry!F173="","",Human_Data_Entry!F173)</f>
        <v/>
      </c>
      <c r="J175" s="103">
        <f>IF(Human_Data_Entry!BA173="","",Human_Data_Entry!BA173)</f>
        <v/>
      </c>
      <c r="K175" s="103">
        <f>IF(Human_Data_Entry!BB173="","",Human_Data_Entry!BB173)</f>
        <v/>
      </c>
      <c r="L175" s="103">
        <f>IF(Human_Data_Entry!BC173="","",Human_Data_Entry!BC173)</f>
        <v/>
      </c>
      <c r="M175" s="104">
        <f>IF(Human_Data_Entry!BD173="","",Human_Data_Entry!BD173)</f>
        <v/>
      </c>
      <c r="N175" s="104">
        <f>IF(Human_Data_Entry!BE173="","",Human_Data_Entry!BE173)</f>
        <v/>
      </c>
      <c r="O175" s="105">
        <f>IF(Human_Data_Entry!BF173="","",Human_Data_Entry!BF173)</f>
        <v/>
      </c>
      <c r="P175" s="103">
        <f>IF(Human_Data_Entry!BG173="","",Human_Data_Entry!BG173)</f>
        <v/>
      </c>
      <c r="Q175" s="103">
        <f>IF(Human_Data_Entry!BL173="","",Human_Data_Entry!BL173)</f>
        <v/>
      </c>
      <c r="R175" s="103">
        <f>IF(Human_Data_Entry!BH173="","",Human_Data_Entry!BH173)</f>
        <v/>
      </c>
      <c r="S175" s="103">
        <f>IF(Human_Data_Entry!BI173="","",Human_Data_Entry!BI173)</f>
        <v/>
      </c>
      <c r="T175" s="103">
        <f>IF(Human_Data_Entry!BJ173="","",Human_Data_Entry!BJ173)</f>
        <v/>
      </c>
      <c r="U175" s="103">
        <f>IF(Human_Data_Entry!AP173="","",Human_Data_Entry!AP173)</f>
        <v/>
      </c>
      <c r="V175" s="103">
        <f>IF(Human_Data_Entry!AQ173="","",Human_Data_Entry!AQ173)</f>
        <v/>
      </c>
      <c r="W175" s="103">
        <f>IF(Human_Data_Entry!AR173="","",Human_Data_Entry!AR173)</f>
        <v/>
      </c>
      <c r="X175" s="103">
        <f>IF(Human_Data_Entry!BK173="","",Human_Data_Entry!BK173)</f>
        <v/>
      </c>
    </row>
    <row r="176" ht="15" customHeight="1" s="241">
      <c r="A176" s="103">
        <f>IF(Human_Data_Entry!A174="","",Human_Data_Entry!A174)</f>
        <v/>
      </c>
      <c r="B176" s="103">
        <f>IF(Human_Data_Entry!B174="","",Human_Data_Entry!B174)</f>
        <v/>
      </c>
      <c r="C176" s="104">
        <f>IF(Human_Data_Entry!C174="","",Human_Data_Entry!C174)</f>
        <v/>
      </c>
      <c r="D176" s="103">
        <f>IF(Human_Data_Entry!D174="","",Human_Data_Entry!D174)</f>
        <v/>
      </c>
      <c r="E176" s="103">
        <f>IF(Human_Data_Entry!G174="","",Human_Data_Entry!G174)</f>
        <v/>
      </c>
      <c r="F176" s="103">
        <f>IF(Human_Data_Entry!X174="","",Human_Data_Entry!X174)</f>
        <v/>
      </c>
      <c r="G176" s="103">
        <f>IF(Human_Data_Entry!AY174="","",Human_Data_Entry!AY174)</f>
        <v/>
      </c>
      <c r="H176" s="103">
        <f>IF(Human_Data_Entry!AS174="","",Human_Data_Entry!AS174)</f>
        <v/>
      </c>
      <c r="I176" s="103">
        <f>IF(Human_Data_Entry!F174="","",Human_Data_Entry!F174)</f>
        <v/>
      </c>
      <c r="J176" s="103">
        <f>IF(Human_Data_Entry!BA174="","",Human_Data_Entry!BA174)</f>
        <v/>
      </c>
      <c r="K176" s="103">
        <f>IF(Human_Data_Entry!BB174="","",Human_Data_Entry!BB174)</f>
        <v/>
      </c>
      <c r="L176" s="103">
        <f>IF(Human_Data_Entry!BC174="","",Human_Data_Entry!BC174)</f>
        <v/>
      </c>
      <c r="M176" s="104">
        <f>IF(Human_Data_Entry!BD174="","",Human_Data_Entry!BD174)</f>
        <v/>
      </c>
      <c r="N176" s="104">
        <f>IF(Human_Data_Entry!BE174="","",Human_Data_Entry!BE174)</f>
        <v/>
      </c>
      <c r="O176" s="105">
        <f>IF(Human_Data_Entry!BF174="","",Human_Data_Entry!BF174)</f>
        <v/>
      </c>
      <c r="P176" s="103">
        <f>IF(Human_Data_Entry!BG174="","",Human_Data_Entry!BG174)</f>
        <v/>
      </c>
      <c r="Q176" s="103">
        <f>IF(Human_Data_Entry!BL174="","",Human_Data_Entry!BL174)</f>
        <v/>
      </c>
      <c r="R176" s="103">
        <f>IF(Human_Data_Entry!BH174="","",Human_Data_Entry!BH174)</f>
        <v/>
      </c>
      <c r="S176" s="103">
        <f>IF(Human_Data_Entry!BI174="","",Human_Data_Entry!BI174)</f>
        <v/>
      </c>
      <c r="T176" s="103">
        <f>IF(Human_Data_Entry!BJ174="","",Human_Data_Entry!BJ174)</f>
        <v/>
      </c>
      <c r="U176" s="103">
        <f>IF(Human_Data_Entry!AP174="","",Human_Data_Entry!AP174)</f>
        <v/>
      </c>
      <c r="V176" s="103">
        <f>IF(Human_Data_Entry!AQ174="","",Human_Data_Entry!AQ174)</f>
        <v/>
      </c>
      <c r="W176" s="103">
        <f>IF(Human_Data_Entry!AR174="","",Human_Data_Entry!AR174)</f>
        <v/>
      </c>
      <c r="X176" s="103">
        <f>IF(Human_Data_Entry!BK174="","",Human_Data_Entry!BK174)</f>
        <v/>
      </c>
    </row>
    <row r="177" ht="15" customHeight="1" s="241">
      <c r="A177" s="103">
        <f>IF(Human_Data_Entry!A175="","",Human_Data_Entry!A175)</f>
        <v/>
      </c>
      <c r="B177" s="103">
        <f>IF(Human_Data_Entry!B175="","",Human_Data_Entry!B175)</f>
        <v/>
      </c>
      <c r="C177" s="104">
        <f>IF(Human_Data_Entry!C175="","",Human_Data_Entry!C175)</f>
        <v/>
      </c>
      <c r="D177" s="103">
        <f>IF(Human_Data_Entry!D175="","",Human_Data_Entry!D175)</f>
        <v/>
      </c>
      <c r="E177" s="103">
        <f>IF(Human_Data_Entry!G175="","",Human_Data_Entry!G175)</f>
        <v/>
      </c>
      <c r="F177" s="103">
        <f>IF(Human_Data_Entry!X175="","",Human_Data_Entry!X175)</f>
        <v/>
      </c>
      <c r="G177" s="103">
        <f>IF(Human_Data_Entry!AY175="","",Human_Data_Entry!AY175)</f>
        <v/>
      </c>
      <c r="H177" s="103">
        <f>IF(Human_Data_Entry!AS175="","",Human_Data_Entry!AS175)</f>
        <v/>
      </c>
      <c r="I177" s="103">
        <f>IF(Human_Data_Entry!F175="","",Human_Data_Entry!F175)</f>
        <v/>
      </c>
      <c r="J177" s="103">
        <f>IF(Human_Data_Entry!BA175="","",Human_Data_Entry!BA175)</f>
        <v/>
      </c>
      <c r="K177" s="103">
        <f>IF(Human_Data_Entry!BB175="","",Human_Data_Entry!BB175)</f>
        <v/>
      </c>
      <c r="L177" s="103">
        <f>IF(Human_Data_Entry!BC175="","",Human_Data_Entry!BC175)</f>
        <v/>
      </c>
      <c r="M177" s="104">
        <f>IF(Human_Data_Entry!BD175="","",Human_Data_Entry!BD175)</f>
        <v/>
      </c>
      <c r="N177" s="104">
        <f>IF(Human_Data_Entry!BE175="","",Human_Data_Entry!BE175)</f>
        <v/>
      </c>
      <c r="O177" s="105">
        <f>IF(Human_Data_Entry!BF175="","",Human_Data_Entry!BF175)</f>
        <v/>
      </c>
      <c r="P177" s="103">
        <f>IF(Human_Data_Entry!BG175="","",Human_Data_Entry!BG175)</f>
        <v/>
      </c>
      <c r="Q177" s="103">
        <f>IF(Human_Data_Entry!BL175="","",Human_Data_Entry!BL175)</f>
        <v/>
      </c>
      <c r="R177" s="103">
        <f>IF(Human_Data_Entry!BH175="","",Human_Data_Entry!BH175)</f>
        <v/>
      </c>
      <c r="S177" s="103">
        <f>IF(Human_Data_Entry!BI175="","",Human_Data_Entry!BI175)</f>
        <v/>
      </c>
      <c r="T177" s="103">
        <f>IF(Human_Data_Entry!BJ175="","",Human_Data_Entry!BJ175)</f>
        <v/>
      </c>
      <c r="U177" s="103">
        <f>IF(Human_Data_Entry!AP175="","",Human_Data_Entry!AP175)</f>
        <v/>
      </c>
      <c r="V177" s="103">
        <f>IF(Human_Data_Entry!AQ175="","",Human_Data_Entry!AQ175)</f>
        <v/>
      </c>
      <c r="W177" s="103">
        <f>IF(Human_Data_Entry!AR175="","",Human_Data_Entry!AR175)</f>
        <v/>
      </c>
      <c r="X177" s="103">
        <f>IF(Human_Data_Entry!BK175="","",Human_Data_Entry!BK175)</f>
        <v/>
      </c>
    </row>
    <row r="178" ht="15" customHeight="1" s="241">
      <c r="A178" s="103">
        <f>IF(Human_Data_Entry!A176="","",Human_Data_Entry!A176)</f>
        <v/>
      </c>
      <c r="B178" s="103">
        <f>IF(Human_Data_Entry!B176="","",Human_Data_Entry!B176)</f>
        <v/>
      </c>
      <c r="C178" s="104">
        <f>IF(Human_Data_Entry!C176="","",Human_Data_Entry!C176)</f>
        <v/>
      </c>
      <c r="D178" s="103">
        <f>IF(Human_Data_Entry!D176="","",Human_Data_Entry!D176)</f>
        <v/>
      </c>
      <c r="E178" s="103">
        <f>IF(Human_Data_Entry!G176="","",Human_Data_Entry!G176)</f>
        <v/>
      </c>
      <c r="F178" s="103">
        <f>IF(Human_Data_Entry!X176="","",Human_Data_Entry!X176)</f>
        <v/>
      </c>
      <c r="G178" s="103">
        <f>IF(Human_Data_Entry!AY176="","",Human_Data_Entry!AY176)</f>
        <v/>
      </c>
      <c r="H178" s="103">
        <f>IF(Human_Data_Entry!AS176="","",Human_Data_Entry!AS176)</f>
        <v/>
      </c>
      <c r="I178" s="103">
        <f>IF(Human_Data_Entry!F176="","",Human_Data_Entry!F176)</f>
        <v/>
      </c>
      <c r="J178" s="103">
        <f>IF(Human_Data_Entry!BA176="","",Human_Data_Entry!BA176)</f>
        <v/>
      </c>
      <c r="K178" s="103">
        <f>IF(Human_Data_Entry!BB176="","",Human_Data_Entry!BB176)</f>
        <v/>
      </c>
      <c r="L178" s="103">
        <f>IF(Human_Data_Entry!BC176="","",Human_Data_Entry!BC176)</f>
        <v/>
      </c>
      <c r="M178" s="104">
        <f>IF(Human_Data_Entry!BD176="","",Human_Data_Entry!BD176)</f>
        <v/>
      </c>
      <c r="N178" s="104">
        <f>IF(Human_Data_Entry!BE176="","",Human_Data_Entry!BE176)</f>
        <v/>
      </c>
      <c r="O178" s="105">
        <f>IF(Human_Data_Entry!BF176="","",Human_Data_Entry!BF176)</f>
        <v/>
      </c>
      <c r="P178" s="103">
        <f>IF(Human_Data_Entry!BG176="","",Human_Data_Entry!BG176)</f>
        <v/>
      </c>
      <c r="Q178" s="103">
        <f>IF(Human_Data_Entry!BL176="","",Human_Data_Entry!BL176)</f>
        <v/>
      </c>
      <c r="R178" s="103">
        <f>IF(Human_Data_Entry!BH176="","",Human_Data_Entry!BH176)</f>
        <v/>
      </c>
      <c r="S178" s="103">
        <f>IF(Human_Data_Entry!BI176="","",Human_Data_Entry!BI176)</f>
        <v/>
      </c>
      <c r="T178" s="103">
        <f>IF(Human_Data_Entry!BJ176="","",Human_Data_Entry!BJ176)</f>
        <v/>
      </c>
      <c r="U178" s="103">
        <f>IF(Human_Data_Entry!AP176="","",Human_Data_Entry!AP176)</f>
        <v/>
      </c>
      <c r="V178" s="103">
        <f>IF(Human_Data_Entry!AQ176="","",Human_Data_Entry!AQ176)</f>
        <v/>
      </c>
      <c r="W178" s="103">
        <f>IF(Human_Data_Entry!AR176="","",Human_Data_Entry!AR176)</f>
        <v/>
      </c>
      <c r="X178" s="103">
        <f>IF(Human_Data_Entry!BK176="","",Human_Data_Entry!BK176)</f>
        <v/>
      </c>
    </row>
    <row r="179" ht="15" customHeight="1" s="241">
      <c r="A179" s="103">
        <f>IF(Human_Data_Entry!A177="","",Human_Data_Entry!A177)</f>
        <v/>
      </c>
      <c r="B179" s="103">
        <f>IF(Human_Data_Entry!B177="","",Human_Data_Entry!B177)</f>
        <v/>
      </c>
      <c r="C179" s="104">
        <f>IF(Human_Data_Entry!C177="","",Human_Data_Entry!C177)</f>
        <v/>
      </c>
      <c r="D179" s="103">
        <f>IF(Human_Data_Entry!D177="","",Human_Data_Entry!D177)</f>
        <v/>
      </c>
      <c r="E179" s="103">
        <f>IF(Human_Data_Entry!G177="","",Human_Data_Entry!G177)</f>
        <v/>
      </c>
      <c r="F179" s="103">
        <f>IF(Human_Data_Entry!X177="","",Human_Data_Entry!X177)</f>
        <v/>
      </c>
      <c r="G179" s="103">
        <f>IF(Human_Data_Entry!AY177="","",Human_Data_Entry!AY177)</f>
        <v/>
      </c>
      <c r="H179" s="103">
        <f>IF(Human_Data_Entry!AS177="","",Human_Data_Entry!AS177)</f>
        <v/>
      </c>
      <c r="I179" s="103">
        <f>IF(Human_Data_Entry!F177="","",Human_Data_Entry!F177)</f>
        <v/>
      </c>
      <c r="J179" s="103">
        <f>IF(Human_Data_Entry!BA177="","",Human_Data_Entry!BA177)</f>
        <v/>
      </c>
      <c r="K179" s="103">
        <f>IF(Human_Data_Entry!BB177="","",Human_Data_Entry!BB177)</f>
        <v/>
      </c>
      <c r="L179" s="103">
        <f>IF(Human_Data_Entry!BC177="","",Human_Data_Entry!BC177)</f>
        <v/>
      </c>
      <c r="M179" s="104">
        <f>IF(Human_Data_Entry!BD177="","",Human_Data_Entry!BD177)</f>
        <v/>
      </c>
      <c r="N179" s="104">
        <f>IF(Human_Data_Entry!BE177="","",Human_Data_Entry!BE177)</f>
        <v/>
      </c>
      <c r="O179" s="105">
        <f>IF(Human_Data_Entry!BF177="","",Human_Data_Entry!BF177)</f>
        <v/>
      </c>
      <c r="P179" s="103">
        <f>IF(Human_Data_Entry!BG177="","",Human_Data_Entry!BG177)</f>
        <v/>
      </c>
      <c r="Q179" s="103">
        <f>IF(Human_Data_Entry!BL177="","",Human_Data_Entry!BL177)</f>
        <v/>
      </c>
      <c r="R179" s="103">
        <f>IF(Human_Data_Entry!BH177="","",Human_Data_Entry!BH177)</f>
        <v/>
      </c>
      <c r="S179" s="103">
        <f>IF(Human_Data_Entry!BI177="","",Human_Data_Entry!BI177)</f>
        <v/>
      </c>
      <c r="T179" s="103">
        <f>IF(Human_Data_Entry!BJ177="","",Human_Data_Entry!BJ177)</f>
        <v/>
      </c>
      <c r="U179" s="103">
        <f>IF(Human_Data_Entry!AP177="","",Human_Data_Entry!AP177)</f>
        <v/>
      </c>
      <c r="V179" s="103">
        <f>IF(Human_Data_Entry!AQ177="","",Human_Data_Entry!AQ177)</f>
        <v/>
      </c>
      <c r="W179" s="103">
        <f>IF(Human_Data_Entry!AR177="","",Human_Data_Entry!AR177)</f>
        <v/>
      </c>
      <c r="X179" s="103">
        <f>IF(Human_Data_Entry!BK177="","",Human_Data_Entry!BK177)</f>
        <v/>
      </c>
    </row>
    <row r="180" ht="15" customHeight="1" s="241">
      <c r="A180" s="103">
        <f>IF(Human_Data_Entry!A178="","",Human_Data_Entry!A178)</f>
        <v/>
      </c>
      <c r="B180" s="103">
        <f>IF(Human_Data_Entry!B178="","",Human_Data_Entry!B178)</f>
        <v/>
      </c>
      <c r="C180" s="104">
        <f>IF(Human_Data_Entry!C178="","",Human_Data_Entry!C178)</f>
        <v/>
      </c>
      <c r="D180" s="103">
        <f>IF(Human_Data_Entry!D178="","",Human_Data_Entry!D178)</f>
        <v/>
      </c>
      <c r="E180" s="103">
        <f>IF(Human_Data_Entry!G178="","",Human_Data_Entry!G178)</f>
        <v/>
      </c>
      <c r="F180" s="103">
        <f>IF(Human_Data_Entry!X178="","",Human_Data_Entry!X178)</f>
        <v/>
      </c>
      <c r="G180" s="103">
        <f>IF(Human_Data_Entry!AY178="","",Human_Data_Entry!AY178)</f>
        <v/>
      </c>
      <c r="H180" s="103">
        <f>IF(Human_Data_Entry!AS178="","",Human_Data_Entry!AS178)</f>
        <v/>
      </c>
      <c r="I180" s="103">
        <f>IF(Human_Data_Entry!F178="","",Human_Data_Entry!F178)</f>
        <v/>
      </c>
      <c r="J180" s="103">
        <f>IF(Human_Data_Entry!BA178="","",Human_Data_Entry!BA178)</f>
        <v/>
      </c>
      <c r="K180" s="103">
        <f>IF(Human_Data_Entry!BB178="","",Human_Data_Entry!BB178)</f>
        <v/>
      </c>
      <c r="L180" s="103">
        <f>IF(Human_Data_Entry!BC178="","",Human_Data_Entry!BC178)</f>
        <v/>
      </c>
      <c r="M180" s="104">
        <f>IF(Human_Data_Entry!BD178="","",Human_Data_Entry!BD178)</f>
        <v/>
      </c>
      <c r="N180" s="104">
        <f>IF(Human_Data_Entry!BE178="","",Human_Data_Entry!BE178)</f>
        <v/>
      </c>
      <c r="O180" s="105">
        <f>IF(Human_Data_Entry!BF178="","",Human_Data_Entry!BF178)</f>
        <v/>
      </c>
      <c r="P180" s="103">
        <f>IF(Human_Data_Entry!BG178="","",Human_Data_Entry!BG178)</f>
        <v/>
      </c>
      <c r="Q180" s="103">
        <f>IF(Human_Data_Entry!BL178="","",Human_Data_Entry!BL178)</f>
        <v/>
      </c>
      <c r="R180" s="103">
        <f>IF(Human_Data_Entry!BH178="","",Human_Data_Entry!BH178)</f>
        <v/>
      </c>
      <c r="S180" s="103">
        <f>IF(Human_Data_Entry!BI178="","",Human_Data_Entry!BI178)</f>
        <v/>
      </c>
      <c r="T180" s="103">
        <f>IF(Human_Data_Entry!BJ178="","",Human_Data_Entry!BJ178)</f>
        <v/>
      </c>
      <c r="U180" s="103">
        <f>IF(Human_Data_Entry!AP178="","",Human_Data_Entry!AP178)</f>
        <v/>
      </c>
      <c r="V180" s="103">
        <f>IF(Human_Data_Entry!AQ178="","",Human_Data_Entry!AQ178)</f>
        <v/>
      </c>
      <c r="W180" s="103">
        <f>IF(Human_Data_Entry!AR178="","",Human_Data_Entry!AR178)</f>
        <v/>
      </c>
      <c r="X180" s="103">
        <f>IF(Human_Data_Entry!BK178="","",Human_Data_Entry!BK178)</f>
        <v/>
      </c>
    </row>
    <row r="181" ht="15" customHeight="1" s="241">
      <c r="A181" s="103">
        <f>IF(Human_Data_Entry!A179="","",Human_Data_Entry!A179)</f>
        <v/>
      </c>
      <c r="B181" s="103">
        <f>IF(Human_Data_Entry!B179="","",Human_Data_Entry!B179)</f>
        <v/>
      </c>
      <c r="C181" s="104">
        <f>IF(Human_Data_Entry!C179="","",Human_Data_Entry!C179)</f>
        <v/>
      </c>
      <c r="D181" s="103">
        <f>IF(Human_Data_Entry!D179="","",Human_Data_Entry!D179)</f>
        <v/>
      </c>
      <c r="E181" s="103">
        <f>IF(Human_Data_Entry!G179="","",Human_Data_Entry!G179)</f>
        <v/>
      </c>
      <c r="F181" s="103">
        <f>IF(Human_Data_Entry!X179="","",Human_Data_Entry!X179)</f>
        <v/>
      </c>
      <c r="G181" s="103">
        <f>IF(Human_Data_Entry!AY179="","",Human_Data_Entry!AY179)</f>
        <v/>
      </c>
      <c r="H181" s="103">
        <f>IF(Human_Data_Entry!AS179="","",Human_Data_Entry!AS179)</f>
        <v/>
      </c>
      <c r="I181" s="103">
        <f>IF(Human_Data_Entry!F179="","",Human_Data_Entry!F179)</f>
        <v/>
      </c>
      <c r="J181" s="103">
        <f>IF(Human_Data_Entry!BA179="","",Human_Data_Entry!BA179)</f>
        <v/>
      </c>
      <c r="K181" s="103">
        <f>IF(Human_Data_Entry!BB179="","",Human_Data_Entry!BB179)</f>
        <v/>
      </c>
      <c r="L181" s="103">
        <f>IF(Human_Data_Entry!BC179="","",Human_Data_Entry!BC179)</f>
        <v/>
      </c>
      <c r="M181" s="104">
        <f>IF(Human_Data_Entry!BD179="","",Human_Data_Entry!BD179)</f>
        <v/>
      </c>
      <c r="N181" s="104">
        <f>IF(Human_Data_Entry!BE179="","",Human_Data_Entry!BE179)</f>
        <v/>
      </c>
      <c r="O181" s="105">
        <f>IF(Human_Data_Entry!BF179="","",Human_Data_Entry!BF179)</f>
        <v/>
      </c>
      <c r="P181" s="103">
        <f>IF(Human_Data_Entry!BG179="","",Human_Data_Entry!BG179)</f>
        <v/>
      </c>
      <c r="Q181" s="103">
        <f>IF(Human_Data_Entry!BL179="","",Human_Data_Entry!BL179)</f>
        <v/>
      </c>
      <c r="R181" s="103">
        <f>IF(Human_Data_Entry!BH179="","",Human_Data_Entry!BH179)</f>
        <v/>
      </c>
      <c r="S181" s="103">
        <f>IF(Human_Data_Entry!BI179="","",Human_Data_Entry!BI179)</f>
        <v/>
      </c>
      <c r="T181" s="103">
        <f>IF(Human_Data_Entry!BJ179="","",Human_Data_Entry!BJ179)</f>
        <v/>
      </c>
      <c r="U181" s="103">
        <f>IF(Human_Data_Entry!AP179="","",Human_Data_Entry!AP179)</f>
        <v/>
      </c>
      <c r="V181" s="103">
        <f>IF(Human_Data_Entry!AQ179="","",Human_Data_Entry!AQ179)</f>
        <v/>
      </c>
      <c r="W181" s="103">
        <f>IF(Human_Data_Entry!AR179="","",Human_Data_Entry!AR179)</f>
        <v/>
      </c>
      <c r="X181" s="103">
        <f>IF(Human_Data_Entry!BK179="","",Human_Data_Entry!BK179)</f>
        <v/>
      </c>
    </row>
    <row r="182" ht="15" customHeight="1" s="241">
      <c r="A182" s="103">
        <f>IF(Human_Data_Entry!A180="","",Human_Data_Entry!A180)</f>
        <v/>
      </c>
      <c r="B182" s="103">
        <f>IF(Human_Data_Entry!B180="","",Human_Data_Entry!B180)</f>
        <v/>
      </c>
      <c r="C182" s="104">
        <f>IF(Human_Data_Entry!C180="","",Human_Data_Entry!C180)</f>
        <v/>
      </c>
      <c r="D182" s="103">
        <f>IF(Human_Data_Entry!D180="","",Human_Data_Entry!D180)</f>
        <v/>
      </c>
      <c r="E182" s="103">
        <f>IF(Human_Data_Entry!G180="","",Human_Data_Entry!G180)</f>
        <v/>
      </c>
      <c r="F182" s="103">
        <f>IF(Human_Data_Entry!X180="","",Human_Data_Entry!X180)</f>
        <v/>
      </c>
      <c r="G182" s="103">
        <f>IF(Human_Data_Entry!AY180="","",Human_Data_Entry!AY180)</f>
        <v/>
      </c>
      <c r="H182" s="103">
        <f>IF(Human_Data_Entry!AS180="","",Human_Data_Entry!AS180)</f>
        <v/>
      </c>
      <c r="I182" s="103">
        <f>IF(Human_Data_Entry!F180="","",Human_Data_Entry!F180)</f>
        <v/>
      </c>
      <c r="J182" s="103">
        <f>IF(Human_Data_Entry!BA180="","",Human_Data_Entry!BA180)</f>
        <v/>
      </c>
      <c r="K182" s="103">
        <f>IF(Human_Data_Entry!BB180="","",Human_Data_Entry!BB180)</f>
        <v/>
      </c>
      <c r="L182" s="103">
        <f>IF(Human_Data_Entry!BC180="","",Human_Data_Entry!BC180)</f>
        <v/>
      </c>
      <c r="M182" s="104">
        <f>IF(Human_Data_Entry!BD180="","",Human_Data_Entry!BD180)</f>
        <v/>
      </c>
      <c r="N182" s="104">
        <f>IF(Human_Data_Entry!BE180="","",Human_Data_Entry!BE180)</f>
        <v/>
      </c>
      <c r="O182" s="105">
        <f>IF(Human_Data_Entry!BF180="","",Human_Data_Entry!BF180)</f>
        <v/>
      </c>
      <c r="P182" s="103">
        <f>IF(Human_Data_Entry!BG180="","",Human_Data_Entry!BG180)</f>
        <v/>
      </c>
      <c r="Q182" s="103">
        <f>IF(Human_Data_Entry!BL180="","",Human_Data_Entry!BL180)</f>
        <v/>
      </c>
      <c r="R182" s="103">
        <f>IF(Human_Data_Entry!BH180="","",Human_Data_Entry!BH180)</f>
        <v/>
      </c>
      <c r="S182" s="103">
        <f>IF(Human_Data_Entry!BI180="","",Human_Data_Entry!BI180)</f>
        <v/>
      </c>
      <c r="T182" s="103">
        <f>IF(Human_Data_Entry!BJ180="","",Human_Data_Entry!BJ180)</f>
        <v/>
      </c>
      <c r="U182" s="103">
        <f>IF(Human_Data_Entry!AP180="","",Human_Data_Entry!AP180)</f>
        <v/>
      </c>
      <c r="V182" s="103">
        <f>IF(Human_Data_Entry!AQ180="","",Human_Data_Entry!AQ180)</f>
        <v/>
      </c>
      <c r="W182" s="103">
        <f>IF(Human_Data_Entry!AR180="","",Human_Data_Entry!AR180)</f>
        <v/>
      </c>
      <c r="X182" s="103">
        <f>IF(Human_Data_Entry!BK180="","",Human_Data_Entry!BK180)</f>
        <v/>
      </c>
    </row>
    <row r="183" ht="15" customHeight="1" s="241">
      <c r="A183" s="103">
        <f>IF(Human_Data_Entry!A181="","",Human_Data_Entry!A181)</f>
        <v/>
      </c>
      <c r="B183" s="103">
        <f>IF(Human_Data_Entry!B181="","",Human_Data_Entry!B181)</f>
        <v/>
      </c>
      <c r="C183" s="104">
        <f>IF(Human_Data_Entry!C181="","",Human_Data_Entry!C181)</f>
        <v/>
      </c>
      <c r="D183" s="103">
        <f>IF(Human_Data_Entry!D181="","",Human_Data_Entry!D181)</f>
        <v/>
      </c>
      <c r="E183" s="103">
        <f>IF(Human_Data_Entry!G181="","",Human_Data_Entry!G181)</f>
        <v/>
      </c>
      <c r="F183" s="103">
        <f>IF(Human_Data_Entry!X181="","",Human_Data_Entry!X181)</f>
        <v/>
      </c>
      <c r="G183" s="103">
        <f>IF(Human_Data_Entry!AY181="","",Human_Data_Entry!AY181)</f>
        <v/>
      </c>
      <c r="H183" s="103">
        <f>IF(Human_Data_Entry!AS181="","",Human_Data_Entry!AS181)</f>
        <v/>
      </c>
      <c r="I183" s="103">
        <f>IF(Human_Data_Entry!F181="","",Human_Data_Entry!F181)</f>
        <v/>
      </c>
      <c r="J183" s="103">
        <f>IF(Human_Data_Entry!BA181="","",Human_Data_Entry!BA181)</f>
        <v/>
      </c>
      <c r="K183" s="103">
        <f>IF(Human_Data_Entry!BB181="","",Human_Data_Entry!BB181)</f>
        <v/>
      </c>
      <c r="L183" s="103">
        <f>IF(Human_Data_Entry!BC181="","",Human_Data_Entry!BC181)</f>
        <v/>
      </c>
      <c r="M183" s="104">
        <f>IF(Human_Data_Entry!BD181="","",Human_Data_Entry!BD181)</f>
        <v/>
      </c>
      <c r="N183" s="104">
        <f>IF(Human_Data_Entry!BE181="","",Human_Data_Entry!BE181)</f>
        <v/>
      </c>
      <c r="O183" s="105">
        <f>IF(Human_Data_Entry!BF181="","",Human_Data_Entry!BF181)</f>
        <v/>
      </c>
      <c r="P183" s="103">
        <f>IF(Human_Data_Entry!BG181="","",Human_Data_Entry!BG181)</f>
        <v/>
      </c>
      <c r="Q183" s="103">
        <f>IF(Human_Data_Entry!BL181="","",Human_Data_Entry!BL181)</f>
        <v/>
      </c>
      <c r="R183" s="103">
        <f>IF(Human_Data_Entry!BH181="","",Human_Data_Entry!BH181)</f>
        <v/>
      </c>
      <c r="S183" s="103">
        <f>IF(Human_Data_Entry!BI181="","",Human_Data_Entry!BI181)</f>
        <v/>
      </c>
      <c r="T183" s="103">
        <f>IF(Human_Data_Entry!BJ181="","",Human_Data_Entry!BJ181)</f>
        <v/>
      </c>
      <c r="U183" s="103">
        <f>IF(Human_Data_Entry!AP181="","",Human_Data_Entry!AP181)</f>
        <v/>
      </c>
      <c r="V183" s="103">
        <f>IF(Human_Data_Entry!AQ181="","",Human_Data_Entry!AQ181)</f>
        <v/>
      </c>
      <c r="W183" s="103">
        <f>IF(Human_Data_Entry!AR181="","",Human_Data_Entry!AR181)</f>
        <v/>
      </c>
      <c r="X183" s="103">
        <f>IF(Human_Data_Entry!BK181="","",Human_Data_Entry!BK181)</f>
        <v/>
      </c>
    </row>
    <row r="184" ht="15" customHeight="1" s="241">
      <c r="A184" s="103">
        <f>IF(Human_Data_Entry!A182="","",Human_Data_Entry!A182)</f>
        <v/>
      </c>
      <c r="B184" s="103">
        <f>IF(Human_Data_Entry!B182="","",Human_Data_Entry!B182)</f>
        <v/>
      </c>
      <c r="C184" s="104">
        <f>IF(Human_Data_Entry!C182="","",Human_Data_Entry!C182)</f>
        <v/>
      </c>
      <c r="D184" s="103">
        <f>IF(Human_Data_Entry!D182="","",Human_Data_Entry!D182)</f>
        <v/>
      </c>
      <c r="E184" s="103">
        <f>IF(Human_Data_Entry!G182="","",Human_Data_Entry!G182)</f>
        <v/>
      </c>
      <c r="F184" s="103">
        <f>IF(Human_Data_Entry!X182="","",Human_Data_Entry!X182)</f>
        <v/>
      </c>
      <c r="G184" s="103">
        <f>IF(Human_Data_Entry!AY182="","",Human_Data_Entry!AY182)</f>
        <v/>
      </c>
      <c r="H184" s="103">
        <f>IF(Human_Data_Entry!AS182="","",Human_Data_Entry!AS182)</f>
        <v/>
      </c>
      <c r="I184" s="103">
        <f>IF(Human_Data_Entry!F182="","",Human_Data_Entry!F182)</f>
        <v/>
      </c>
      <c r="J184" s="103">
        <f>IF(Human_Data_Entry!BA182="","",Human_Data_Entry!BA182)</f>
        <v/>
      </c>
      <c r="K184" s="103">
        <f>IF(Human_Data_Entry!BB182="","",Human_Data_Entry!BB182)</f>
        <v/>
      </c>
      <c r="L184" s="103">
        <f>IF(Human_Data_Entry!BC182="","",Human_Data_Entry!BC182)</f>
        <v/>
      </c>
      <c r="M184" s="104">
        <f>IF(Human_Data_Entry!BD182="","",Human_Data_Entry!BD182)</f>
        <v/>
      </c>
      <c r="N184" s="104">
        <f>IF(Human_Data_Entry!BE182="","",Human_Data_Entry!BE182)</f>
        <v/>
      </c>
      <c r="O184" s="105">
        <f>IF(Human_Data_Entry!BF182="","",Human_Data_Entry!BF182)</f>
        <v/>
      </c>
      <c r="P184" s="103">
        <f>IF(Human_Data_Entry!BG182="","",Human_Data_Entry!BG182)</f>
        <v/>
      </c>
      <c r="Q184" s="103">
        <f>IF(Human_Data_Entry!BL182="","",Human_Data_Entry!BL182)</f>
        <v/>
      </c>
      <c r="R184" s="103">
        <f>IF(Human_Data_Entry!BH182="","",Human_Data_Entry!BH182)</f>
        <v/>
      </c>
      <c r="S184" s="103">
        <f>IF(Human_Data_Entry!BI182="","",Human_Data_Entry!BI182)</f>
        <v/>
      </c>
      <c r="T184" s="103">
        <f>IF(Human_Data_Entry!BJ182="","",Human_Data_Entry!BJ182)</f>
        <v/>
      </c>
      <c r="U184" s="103">
        <f>IF(Human_Data_Entry!AP182="","",Human_Data_Entry!AP182)</f>
        <v/>
      </c>
      <c r="V184" s="103">
        <f>IF(Human_Data_Entry!AQ182="","",Human_Data_Entry!AQ182)</f>
        <v/>
      </c>
      <c r="W184" s="103">
        <f>IF(Human_Data_Entry!AR182="","",Human_Data_Entry!AR182)</f>
        <v/>
      </c>
      <c r="X184" s="103">
        <f>IF(Human_Data_Entry!BK182="","",Human_Data_Entry!BK182)</f>
        <v/>
      </c>
    </row>
    <row r="185" ht="15" customHeight="1" s="241">
      <c r="A185" s="103">
        <f>IF(Human_Data_Entry!A183="","",Human_Data_Entry!A183)</f>
        <v/>
      </c>
      <c r="B185" s="103">
        <f>IF(Human_Data_Entry!B183="","",Human_Data_Entry!B183)</f>
        <v/>
      </c>
      <c r="C185" s="104">
        <f>IF(Human_Data_Entry!C183="","",Human_Data_Entry!C183)</f>
        <v/>
      </c>
      <c r="D185" s="103">
        <f>IF(Human_Data_Entry!D183="","",Human_Data_Entry!D183)</f>
        <v/>
      </c>
      <c r="E185" s="103">
        <f>IF(Human_Data_Entry!G183="","",Human_Data_Entry!G183)</f>
        <v/>
      </c>
      <c r="F185" s="103">
        <f>IF(Human_Data_Entry!X183="","",Human_Data_Entry!X183)</f>
        <v/>
      </c>
      <c r="G185" s="103">
        <f>IF(Human_Data_Entry!AY183="","",Human_Data_Entry!AY183)</f>
        <v/>
      </c>
      <c r="H185" s="103">
        <f>IF(Human_Data_Entry!AS183="","",Human_Data_Entry!AS183)</f>
        <v/>
      </c>
      <c r="I185" s="103">
        <f>IF(Human_Data_Entry!F183="","",Human_Data_Entry!F183)</f>
        <v/>
      </c>
      <c r="J185" s="103">
        <f>IF(Human_Data_Entry!BA183="","",Human_Data_Entry!BA183)</f>
        <v/>
      </c>
      <c r="K185" s="103">
        <f>IF(Human_Data_Entry!BB183="","",Human_Data_Entry!BB183)</f>
        <v/>
      </c>
      <c r="L185" s="103">
        <f>IF(Human_Data_Entry!BC183="","",Human_Data_Entry!BC183)</f>
        <v/>
      </c>
      <c r="M185" s="104">
        <f>IF(Human_Data_Entry!BD183="","",Human_Data_Entry!BD183)</f>
        <v/>
      </c>
      <c r="N185" s="104">
        <f>IF(Human_Data_Entry!BE183="","",Human_Data_Entry!BE183)</f>
        <v/>
      </c>
      <c r="O185" s="105">
        <f>IF(Human_Data_Entry!BF183="","",Human_Data_Entry!BF183)</f>
        <v/>
      </c>
      <c r="P185" s="103">
        <f>IF(Human_Data_Entry!BG183="","",Human_Data_Entry!BG183)</f>
        <v/>
      </c>
      <c r="Q185" s="103">
        <f>IF(Human_Data_Entry!BL183="","",Human_Data_Entry!BL183)</f>
        <v/>
      </c>
      <c r="R185" s="103">
        <f>IF(Human_Data_Entry!BH183="","",Human_Data_Entry!BH183)</f>
        <v/>
      </c>
      <c r="S185" s="103">
        <f>IF(Human_Data_Entry!BI183="","",Human_Data_Entry!BI183)</f>
        <v/>
      </c>
      <c r="T185" s="103">
        <f>IF(Human_Data_Entry!BJ183="","",Human_Data_Entry!BJ183)</f>
        <v/>
      </c>
      <c r="U185" s="103">
        <f>IF(Human_Data_Entry!AP183="","",Human_Data_Entry!AP183)</f>
        <v/>
      </c>
      <c r="V185" s="103">
        <f>IF(Human_Data_Entry!AQ183="","",Human_Data_Entry!AQ183)</f>
        <v/>
      </c>
      <c r="W185" s="103">
        <f>IF(Human_Data_Entry!AR183="","",Human_Data_Entry!AR183)</f>
        <v/>
      </c>
      <c r="X185" s="103">
        <f>IF(Human_Data_Entry!BK183="","",Human_Data_Entry!BK183)</f>
        <v/>
      </c>
    </row>
    <row r="186" ht="15" customHeight="1" s="241">
      <c r="A186" s="103">
        <f>IF(Human_Data_Entry!A184="","",Human_Data_Entry!A184)</f>
        <v/>
      </c>
      <c r="B186" s="103">
        <f>IF(Human_Data_Entry!B184="","",Human_Data_Entry!B184)</f>
        <v/>
      </c>
      <c r="C186" s="104">
        <f>IF(Human_Data_Entry!C184="","",Human_Data_Entry!C184)</f>
        <v/>
      </c>
      <c r="D186" s="103">
        <f>IF(Human_Data_Entry!D184="","",Human_Data_Entry!D184)</f>
        <v/>
      </c>
      <c r="E186" s="103">
        <f>IF(Human_Data_Entry!G184="","",Human_Data_Entry!G184)</f>
        <v/>
      </c>
      <c r="F186" s="103">
        <f>IF(Human_Data_Entry!X184="","",Human_Data_Entry!X184)</f>
        <v/>
      </c>
      <c r="G186" s="103">
        <f>IF(Human_Data_Entry!AY184="","",Human_Data_Entry!AY184)</f>
        <v/>
      </c>
      <c r="H186" s="103">
        <f>IF(Human_Data_Entry!AS184="","",Human_Data_Entry!AS184)</f>
        <v/>
      </c>
      <c r="I186" s="103">
        <f>IF(Human_Data_Entry!F184="","",Human_Data_Entry!F184)</f>
        <v/>
      </c>
      <c r="J186" s="103">
        <f>IF(Human_Data_Entry!BA184="","",Human_Data_Entry!BA184)</f>
        <v/>
      </c>
      <c r="K186" s="103">
        <f>IF(Human_Data_Entry!BB184="","",Human_Data_Entry!BB184)</f>
        <v/>
      </c>
      <c r="L186" s="103">
        <f>IF(Human_Data_Entry!BC184="","",Human_Data_Entry!BC184)</f>
        <v/>
      </c>
      <c r="M186" s="104">
        <f>IF(Human_Data_Entry!BD184="","",Human_Data_Entry!BD184)</f>
        <v/>
      </c>
      <c r="N186" s="104">
        <f>IF(Human_Data_Entry!BE184="","",Human_Data_Entry!BE184)</f>
        <v/>
      </c>
      <c r="O186" s="105">
        <f>IF(Human_Data_Entry!BF184="","",Human_Data_Entry!BF184)</f>
        <v/>
      </c>
      <c r="P186" s="103">
        <f>IF(Human_Data_Entry!BG184="","",Human_Data_Entry!BG184)</f>
        <v/>
      </c>
      <c r="Q186" s="103">
        <f>IF(Human_Data_Entry!BL184="","",Human_Data_Entry!BL184)</f>
        <v/>
      </c>
      <c r="R186" s="103">
        <f>IF(Human_Data_Entry!BH184="","",Human_Data_Entry!BH184)</f>
        <v/>
      </c>
      <c r="S186" s="103">
        <f>IF(Human_Data_Entry!BI184="","",Human_Data_Entry!BI184)</f>
        <v/>
      </c>
      <c r="T186" s="103">
        <f>IF(Human_Data_Entry!BJ184="","",Human_Data_Entry!BJ184)</f>
        <v/>
      </c>
      <c r="U186" s="103">
        <f>IF(Human_Data_Entry!AP184="","",Human_Data_Entry!AP184)</f>
        <v/>
      </c>
      <c r="V186" s="103">
        <f>IF(Human_Data_Entry!AQ184="","",Human_Data_Entry!AQ184)</f>
        <v/>
      </c>
      <c r="W186" s="103">
        <f>IF(Human_Data_Entry!AR184="","",Human_Data_Entry!AR184)</f>
        <v/>
      </c>
      <c r="X186" s="103">
        <f>IF(Human_Data_Entry!BK184="","",Human_Data_Entry!BK184)</f>
        <v/>
      </c>
    </row>
    <row r="187" ht="15" customHeight="1" s="241">
      <c r="A187" s="103">
        <f>IF(Human_Data_Entry!A185="","",Human_Data_Entry!A185)</f>
        <v/>
      </c>
      <c r="B187" s="103">
        <f>IF(Human_Data_Entry!B185="","",Human_Data_Entry!B185)</f>
        <v/>
      </c>
      <c r="C187" s="104">
        <f>IF(Human_Data_Entry!C185="","",Human_Data_Entry!C185)</f>
        <v/>
      </c>
      <c r="D187" s="103">
        <f>IF(Human_Data_Entry!D185="","",Human_Data_Entry!D185)</f>
        <v/>
      </c>
      <c r="E187" s="103">
        <f>IF(Human_Data_Entry!G185="","",Human_Data_Entry!G185)</f>
        <v/>
      </c>
      <c r="F187" s="103">
        <f>IF(Human_Data_Entry!X185="","",Human_Data_Entry!X185)</f>
        <v/>
      </c>
      <c r="G187" s="103">
        <f>IF(Human_Data_Entry!AY185="","",Human_Data_Entry!AY185)</f>
        <v/>
      </c>
      <c r="H187" s="103">
        <f>IF(Human_Data_Entry!AS185="","",Human_Data_Entry!AS185)</f>
        <v/>
      </c>
      <c r="I187" s="103">
        <f>IF(Human_Data_Entry!F185="","",Human_Data_Entry!F185)</f>
        <v/>
      </c>
      <c r="J187" s="103">
        <f>IF(Human_Data_Entry!BA185="","",Human_Data_Entry!BA185)</f>
        <v/>
      </c>
      <c r="K187" s="103">
        <f>IF(Human_Data_Entry!BB185="","",Human_Data_Entry!BB185)</f>
        <v/>
      </c>
      <c r="L187" s="103">
        <f>IF(Human_Data_Entry!BC185="","",Human_Data_Entry!BC185)</f>
        <v/>
      </c>
      <c r="M187" s="104">
        <f>IF(Human_Data_Entry!BD185="","",Human_Data_Entry!BD185)</f>
        <v/>
      </c>
      <c r="N187" s="104">
        <f>IF(Human_Data_Entry!BE185="","",Human_Data_Entry!BE185)</f>
        <v/>
      </c>
      <c r="O187" s="105">
        <f>IF(Human_Data_Entry!BF185="","",Human_Data_Entry!BF185)</f>
        <v/>
      </c>
      <c r="P187" s="103">
        <f>IF(Human_Data_Entry!BG185="","",Human_Data_Entry!BG185)</f>
        <v/>
      </c>
      <c r="Q187" s="103">
        <f>IF(Human_Data_Entry!BL185="","",Human_Data_Entry!BL185)</f>
        <v/>
      </c>
      <c r="R187" s="103">
        <f>IF(Human_Data_Entry!BH185="","",Human_Data_Entry!BH185)</f>
        <v/>
      </c>
      <c r="S187" s="103">
        <f>IF(Human_Data_Entry!BI185="","",Human_Data_Entry!BI185)</f>
        <v/>
      </c>
      <c r="T187" s="103">
        <f>IF(Human_Data_Entry!BJ185="","",Human_Data_Entry!BJ185)</f>
        <v/>
      </c>
      <c r="U187" s="103">
        <f>IF(Human_Data_Entry!AP185="","",Human_Data_Entry!AP185)</f>
        <v/>
      </c>
      <c r="V187" s="103">
        <f>IF(Human_Data_Entry!AQ185="","",Human_Data_Entry!AQ185)</f>
        <v/>
      </c>
      <c r="W187" s="103">
        <f>IF(Human_Data_Entry!AR185="","",Human_Data_Entry!AR185)</f>
        <v/>
      </c>
      <c r="X187" s="103">
        <f>IF(Human_Data_Entry!BK185="","",Human_Data_Entry!BK185)</f>
        <v/>
      </c>
    </row>
    <row r="188" ht="15" customHeight="1" s="241">
      <c r="A188" s="103">
        <f>IF(Human_Data_Entry!A186="","",Human_Data_Entry!A186)</f>
        <v/>
      </c>
      <c r="B188" s="103">
        <f>IF(Human_Data_Entry!B186="","",Human_Data_Entry!B186)</f>
        <v/>
      </c>
      <c r="C188" s="104">
        <f>IF(Human_Data_Entry!C186="","",Human_Data_Entry!C186)</f>
        <v/>
      </c>
      <c r="D188" s="103">
        <f>IF(Human_Data_Entry!D186="","",Human_Data_Entry!D186)</f>
        <v/>
      </c>
      <c r="E188" s="103">
        <f>IF(Human_Data_Entry!G186="","",Human_Data_Entry!G186)</f>
        <v/>
      </c>
      <c r="F188" s="103">
        <f>IF(Human_Data_Entry!X186="","",Human_Data_Entry!X186)</f>
        <v/>
      </c>
      <c r="G188" s="103">
        <f>IF(Human_Data_Entry!AY186="","",Human_Data_Entry!AY186)</f>
        <v/>
      </c>
      <c r="H188" s="103">
        <f>IF(Human_Data_Entry!AS186="","",Human_Data_Entry!AS186)</f>
        <v/>
      </c>
      <c r="I188" s="103">
        <f>IF(Human_Data_Entry!F186="","",Human_Data_Entry!F186)</f>
        <v/>
      </c>
      <c r="J188" s="103">
        <f>IF(Human_Data_Entry!BA186="","",Human_Data_Entry!BA186)</f>
        <v/>
      </c>
      <c r="K188" s="103">
        <f>IF(Human_Data_Entry!BB186="","",Human_Data_Entry!BB186)</f>
        <v/>
      </c>
      <c r="L188" s="103">
        <f>IF(Human_Data_Entry!BC186="","",Human_Data_Entry!BC186)</f>
        <v/>
      </c>
      <c r="M188" s="104">
        <f>IF(Human_Data_Entry!BD186="","",Human_Data_Entry!BD186)</f>
        <v/>
      </c>
      <c r="N188" s="104">
        <f>IF(Human_Data_Entry!BE186="","",Human_Data_Entry!BE186)</f>
        <v/>
      </c>
      <c r="O188" s="105">
        <f>IF(Human_Data_Entry!BF186="","",Human_Data_Entry!BF186)</f>
        <v/>
      </c>
      <c r="P188" s="103">
        <f>IF(Human_Data_Entry!BG186="","",Human_Data_Entry!BG186)</f>
        <v/>
      </c>
      <c r="Q188" s="103">
        <f>IF(Human_Data_Entry!BL186="","",Human_Data_Entry!BL186)</f>
        <v/>
      </c>
      <c r="R188" s="103">
        <f>IF(Human_Data_Entry!BH186="","",Human_Data_Entry!BH186)</f>
        <v/>
      </c>
      <c r="S188" s="103">
        <f>IF(Human_Data_Entry!BI186="","",Human_Data_Entry!BI186)</f>
        <v/>
      </c>
      <c r="T188" s="103">
        <f>IF(Human_Data_Entry!BJ186="","",Human_Data_Entry!BJ186)</f>
        <v/>
      </c>
      <c r="U188" s="103">
        <f>IF(Human_Data_Entry!AP186="","",Human_Data_Entry!AP186)</f>
        <v/>
      </c>
      <c r="V188" s="103">
        <f>IF(Human_Data_Entry!AQ186="","",Human_Data_Entry!AQ186)</f>
        <v/>
      </c>
      <c r="W188" s="103">
        <f>IF(Human_Data_Entry!AR186="","",Human_Data_Entry!AR186)</f>
        <v/>
      </c>
      <c r="X188" s="103">
        <f>IF(Human_Data_Entry!BK186="","",Human_Data_Entry!BK186)</f>
        <v/>
      </c>
    </row>
    <row r="189" ht="15" customHeight="1" s="241">
      <c r="A189" s="103">
        <f>IF(Human_Data_Entry!A187="","",Human_Data_Entry!A187)</f>
        <v/>
      </c>
      <c r="B189" s="103">
        <f>IF(Human_Data_Entry!B187="","",Human_Data_Entry!B187)</f>
        <v/>
      </c>
      <c r="C189" s="104">
        <f>IF(Human_Data_Entry!C187="","",Human_Data_Entry!C187)</f>
        <v/>
      </c>
      <c r="D189" s="103">
        <f>IF(Human_Data_Entry!D187="","",Human_Data_Entry!D187)</f>
        <v/>
      </c>
      <c r="E189" s="103">
        <f>IF(Human_Data_Entry!G187="","",Human_Data_Entry!G187)</f>
        <v/>
      </c>
      <c r="F189" s="103">
        <f>IF(Human_Data_Entry!X187="","",Human_Data_Entry!X187)</f>
        <v/>
      </c>
      <c r="G189" s="103">
        <f>IF(Human_Data_Entry!AY187="","",Human_Data_Entry!AY187)</f>
        <v/>
      </c>
      <c r="H189" s="103">
        <f>IF(Human_Data_Entry!AS187="","",Human_Data_Entry!AS187)</f>
        <v/>
      </c>
      <c r="I189" s="103">
        <f>IF(Human_Data_Entry!F187="","",Human_Data_Entry!F187)</f>
        <v/>
      </c>
      <c r="J189" s="103">
        <f>IF(Human_Data_Entry!BA187="","",Human_Data_Entry!BA187)</f>
        <v/>
      </c>
      <c r="K189" s="103">
        <f>IF(Human_Data_Entry!BB187="","",Human_Data_Entry!BB187)</f>
        <v/>
      </c>
      <c r="L189" s="103">
        <f>IF(Human_Data_Entry!BC187="","",Human_Data_Entry!BC187)</f>
        <v/>
      </c>
      <c r="M189" s="104">
        <f>IF(Human_Data_Entry!BD187="","",Human_Data_Entry!BD187)</f>
        <v/>
      </c>
      <c r="N189" s="104">
        <f>IF(Human_Data_Entry!BE187="","",Human_Data_Entry!BE187)</f>
        <v/>
      </c>
      <c r="O189" s="105">
        <f>IF(Human_Data_Entry!BF187="","",Human_Data_Entry!BF187)</f>
        <v/>
      </c>
      <c r="P189" s="103">
        <f>IF(Human_Data_Entry!BG187="","",Human_Data_Entry!BG187)</f>
        <v/>
      </c>
      <c r="Q189" s="103">
        <f>IF(Human_Data_Entry!BL187="","",Human_Data_Entry!BL187)</f>
        <v/>
      </c>
      <c r="R189" s="103">
        <f>IF(Human_Data_Entry!BH187="","",Human_Data_Entry!BH187)</f>
        <v/>
      </c>
      <c r="S189" s="103">
        <f>IF(Human_Data_Entry!BI187="","",Human_Data_Entry!BI187)</f>
        <v/>
      </c>
      <c r="T189" s="103">
        <f>IF(Human_Data_Entry!BJ187="","",Human_Data_Entry!BJ187)</f>
        <v/>
      </c>
      <c r="U189" s="103">
        <f>IF(Human_Data_Entry!AP187="","",Human_Data_Entry!AP187)</f>
        <v/>
      </c>
      <c r="V189" s="103">
        <f>IF(Human_Data_Entry!AQ187="","",Human_Data_Entry!AQ187)</f>
        <v/>
      </c>
      <c r="W189" s="103">
        <f>IF(Human_Data_Entry!AR187="","",Human_Data_Entry!AR187)</f>
        <v/>
      </c>
      <c r="X189" s="103">
        <f>IF(Human_Data_Entry!BK187="","",Human_Data_Entry!BK187)</f>
        <v/>
      </c>
    </row>
    <row r="190" ht="15" customHeight="1" s="241">
      <c r="A190" s="103">
        <f>IF(Human_Data_Entry!A188="","",Human_Data_Entry!A188)</f>
        <v/>
      </c>
      <c r="B190" s="103">
        <f>IF(Human_Data_Entry!B188="","",Human_Data_Entry!B188)</f>
        <v/>
      </c>
      <c r="C190" s="104">
        <f>IF(Human_Data_Entry!C188="","",Human_Data_Entry!C188)</f>
        <v/>
      </c>
      <c r="D190" s="103">
        <f>IF(Human_Data_Entry!D188="","",Human_Data_Entry!D188)</f>
        <v/>
      </c>
      <c r="E190" s="103">
        <f>IF(Human_Data_Entry!G188="","",Human_Data_Entry!G188)</f>
        <v/>
      </c>
      <c r="F190" s="103">
        <f>IF(Human_Data_Entry!X188="","",Human_Data_Entry!X188)</f>
        <v/>
      </c>
      <c r="G190" s="103">
        <f>IF(Human_Data_Entry!AY188="","",Human_Data_Entry!AY188)</f>
        <v/>
      </c>
      <c r="H190" s="103">
        <f>IF(Human_Data_Entry!AS188="","",Human_Data_Entry!AS188)</f>
        <v/>
      </c>
      <c r="I190" s="103">
        <f>IF(Human_Data_Entry!F188="","",Human_Data_Entry!F188)</f>
        <v/>
      </c>
      <c r="J190" s="103">
        <f>IF(Human_Data_Entry!BA188="","",Human_Data_Entry!BA188)</f>
        <v/>
      </c>
      <c r="K190" s="103">
        <f>IF(Human_Data_Entry!BB188="","",Human_Data_Entry!BB188)</f>
        <v/>
      </c>
      <c r="L190" s="103">
        <f>IF(Human_Data_Entry!BC188="","",Human_Data_Entry!BC188)</f>
        <v/>
      </c>
      <c r="M190" s="104">
        <f>IF(Human_Data_Entry!BD188="","",Human_Data_Entry!BD188)</f>
        <v/>
      </c>
      <c r="N190" s="104">
        <f>IF(Human_Data_Entry!BE188="","",Human_Data_Entry!BE188)</f>
        <v/>
      </c>
      <c r="O190" s="105">
        <f>IF(Human_Data_Entry!BF188="","",Human_Data_Entry!BF188)</f>
        <v/>
      </c>
      <c r="P190" s="103">
        <f>IF(Human_Data_Entry!BG188="","",Human_Data_Entry!BG188)</f>
        <v/>
      </c>
      <c r="Q190" s="103">
        <f>IF(Human_Data_Entry!BL188="","",Human_Data_Entry!BL188)</f>
        <v/>
      </c>
      <c r="R190" s="103">
        <f>IF(Human_Data_Entry!BH188="","",Human_Data_Entry!BH188)</f>
        <v/>
      </c>
      <c r="S190" s="103">
        <f>IF(Human_Data_Entry!BI188="","",Human_Data_Entry!BI188)</f>
        <v/>
      </c>
      <c r="T190" s="103">
        <f>IF(Human_Data_Entry!BJ188="","",Human_Data_Entry!BJ188)</f>
        <v/>
      </c>
      <c r="U190" s="103">
        <f>IF(Human_Data_Entry!AP188="","",Human_Data_Entry!AP188)</f>
        <v/>
      </c>
      <c r="V190" s="103">
        <f>IF(Human_Data_Entry!AQ188="","",Human_Data_Entry!AQ188)</f>
        <v/>
      </c>
      <c r="W190" s="103">
        <f>IF(Human_Data_Entry!AR188="","",Human_Data_Entry!AR188)</f>
        <v/>
      </c>
      <c r="X190" s="103">
        <f>IF(Human_Data_Entry!BK188="","",Human_Data_Entry!BK188)</f>
        <v/>
      </c>
    </row>
    <row r="191" ht="15" customHeight="1" s="241">
      <c r="A191" s="103">
        <f>IF(Human_Data_Entry!A189="","",Human_Data_Entry!A189)</f>
        <v/>
      </c>
      <c r="B191" s="103">
        <f>IF(Human_Data_Entry!B189="","",Human_Data_Entry!B189)</f>
        <v/>
      </c>
      <c r="C191" s="104">
        <f>IF(Human_Data_Entry!C189="","",Human_Data_Entry!C189)</f>
        <v/>
      </c>
      <c r="D191" s="103">
        <f>IF(Human_Data_Entry!D189="","",Human_Data_Entry!D189)</f>
        <v/>
      </c>
      <c r="E191" s="103">
        <f>IF(Human_Data_Entry!G189="","",Human_Data_Entry!G189)</f>
        <v/>
      </c>
      <c r="F191" s="103">
        <f>IF(Human_Data_Entry!X189="","",Human_Data_Entry!X189)</f>
        <v/>
      </c>
      <c r="G191" s="103">
        <f>IF(Human_Data_Entry!AY189="","",Human_Data_Entry!AY189)</f>
        <v/>
      </c>
      <c r="H191" s="103">
        <f>IF(Human_Data_Entry!AS189="","",Human_Data_Entry!AS189)</f>
        <v/>
      </c>
      <c r="I191" s="103">
        <f>IF(Human_Data_Entry!F189="","",Human_Data_Entry!F189)</f>
        <v/>
      </c>
      <c r="J191" s="103">
        <f>IF(Human_Data_Entry!BA189="","",Human_Data_Entry!BA189)</f>
        <v/>
      </c>
      <c r="K191" s="103">
        <f>IF(Human_Data_Entry!BB189="","",Human_Data_Entry!BB189)</f>
        <v/>
      </c>
      <c r="L191" s="103">
        <f>IF(Human_Data_Entry!BC189="","",Human_Data_Entry!BC189)</f>
        <v/>
      </c>
      <c r="M191" s="104">
        <f>IF(Human_Data_Entry!BD189="","",Human_Data_Entry!BD189)</f>
        <v/>
      </c>
      <c r="N191" s="104">
        <f>IF(Human_Data_Entry!BE189="","",Human_Data_Entry!BE189)</f>
        <v/>
      </c>
      <c r="O191" s="105">
        <f>IF(Human_Data_Entry!BF189="","",Human_Data_Entry!BF189)</f>
        <v/>
      </c>
      <c r="P191" s="103">
        <f>IF(Human_Data_Entry!BG189="","",Human_Data_Entry!BG189)</f>
        <v/>
      </c>
      <c r="Q191" s="103">
        <f>IF(Human_Data_Entry!BL189="","",Human_Data_Entry!BL189)</f>
        <v/>
      </c>
      <c r="R191" s="103">
        <f>IF(Human_Data_Entry!BH189="","",Human_Data_Entry!BH189)</f>
        <v/>
      </c>
      <c r="S191" s="103">
        <f>IF(Human_Data_Entry!BI189="","",Human_Data_Entry!BI189)</f>
        <v/>
      </c>
      <c r="T191" s="103">
        <f>IF(Human_Data_Entry!BJ189="","",Human_Data_Entry!BJ189)</f>
        <v/>
      </c>
      <c r="U191" s="103">
        <f>IF(Human_Data_Entry!AP189="","",Human_Data_Entry!AP189)</f>
        <v/>
      </c>
      <c r="V191" s="103">
        <f>IF(Human_Data_Entry!AQ189="","",Human_Data_Entry!AQ189)</f>
        <v/>
      </c>
      <c r="W191" s="103">
        <f>IF(Human_Data_Entry!AR189="","",Human_Data_Entry!AR189)</f>
        <v/>
      </c>
      <c r="X191" s="103">
        <f>IF(Human_Data_Entry!BK189="","",Human_Data_Entry!BK189)</f>
        <v/>
      </c>
    </row>
    <row r="192" ht="15" customHeight="1" s="241">
      <c r="A192" s="103">
        <f>IF(Human_Data_Entry!A190="","",Human_Data_Entry!A190)</f>
        <v/>
      </c>
      <c r="B192" s="103">
        <f>IF(Human_Data_Entry!B190="","",Human_Data_Entry!B190)</f>
        <v/>
      </c>
      <c r="C192" s="104">
        <f>IF(Human_Data_Entry!C190="","",Human_Data_Entry!C190)</f>
        <v/>
      </c>
      <c r="D192" s="103">
        <f>IF(Human_Data_Entry!D190="","",Human_Data_Entry!D190)</f>
        <v/>
      </c>
      <c r="E192" s="103">
        <f>IF(Human_Data_Entry!G190="","",Human_Data_Entry!G190)</f>
        <v/>
      </c>
      <c r="F192" s="103">
        <f>IF(Human_Data_Entry!X190="","",Human_Data_Entry!X190)</f>
        <v/>
      </c>
      <c r="G192" s="103">
        <f>IF(Human_Data_Entry!AY190="","",Human_Data_Entry!AY190)</f>
        <v/>
      </c>
      <c r="H192" s="103">
        <f>IF(Human_Data_Entry!AS190="","",Human_Data_Entry!AS190)</f>
        <v/>
      </c>
      <c r="I192" s="103">
        <f>IF(Human_Data_Entry!F190="","",Human_Data_Entry!F190)</f>
        <v/>
      </c>
      <c r="J192" s="103">
        <f>IF(Human_Data_Entry!BA190="","",Human_Data_Entry!BA190)</f>
        <v/>
      </c>
      <c r="K192" s="103">
        <f>IF(Human_Data_Entry!BB190="","",Human_Data_Entry!BB190)</f>
        <v/>
      </c>
      <c r="L192" s="103">
        <f>IF(Human_Data_Entry!BC190="","",Human_Data_Entry!BC190)</f>
        <v/>
      </c>
      <c r="M192" s="104">
        <f>IF(Human_Data_Entry!BD190="","",Human_Data_Entry!BD190)</f>
        <v/>
      </c>
      <c r="N192" s="104">
        <f>IF(Human_Data_Entry!BE190="","",Human_Data_Entry!BE190)</f>
        <v/>
      </c>
      <c r="O192" s="105">
        <f>IF(Human_Data_Entry!BF190="","",Human_Data_Entry!BF190)</f>
        <v/>
      </c>
      <c r="P192" s="103">
        <f>IF(Human_Data_Entry!BG190="","",Human_Data_Entry!BG190)</f>
        <v/>
      </c>
      <c r="Q192" s="103">
        <f>IF(Human_Data_Entry!BL190="","",Human_Data_Entry!BL190)</f>
        <v/>
      </c>
      <c r="R192" s="103">
        <f>IF(Human_Data_Entry!BH190="","",Human_Data_Entry!BH190)</f>
        <v/>
      </c>
      <c r="S192" s="103">
        <f>IF(Human_Data_Entry!BI190="","",Human_Data_Entry!BI190)</f>
        <v/>
      </c>
      <c r="T192" s="103">
        <f>IF(Human_Data_Entry!BJ190="","",Human_Data_Entry!BJ190)</f>
        <v/>
      </c>
      <c r="U192" s="103">
        <f>IF(Human_Data_Entry!AP190="","",Human_Data_Entry!AP190)</f>
        <v/>
      </c>
      <c r="V192" s="103">
        <f>IF(Human_Data_Entry!AQ190="","",Human_Data_Entry!AQ190)</f>
        <v/>
      </c>
      <c r="W192" s="103">
        <f>IF(Human_Data_Entry!AR190="","",Human_Data_Entry!AR190)</f>
        <v/>
      </c>
      <c r="X192" s="103">
        <f>IF(Human_Data_Entry!BK190="","",Human_Data_Entry!BK190)</f>
        <v/>
      </c>
    </row>
    <row r="193" ht="15" customHeight="1" s="241">
      <c r="A193" s="103">
        <f>IF(Human_Data_Entry!A191="","",Human_Data_Entry!A191)</f>
        <v/>
      </c>
      <c r="B193" s="103">
        <f>IF(Human_Data_Entry!B191="","",Human_Data_Entry!B191)</f>
        <v/>
      </c>
      <c r="C193" s="104">
        <f>IF(Human_Data_Entry!C191="","",Human_Data_Entry!C191)</f>
        <v/>
      </c>
      <c r="D193" s="103">
        <f>IF(Human_Data_Entry!D191="","",Human_Data_Entry!D191)</f>
        <v/>
      </c>
      <c r="E193" s="103">
        <f>IF(Human_Data_Entry!G191="","",Human_Data_Entry!G191)</f>
        <v/>
      </c>
      <c r="F193" s="103">
        <f>IF(Human_Data_Entry!X191="","",Human_Data_Entry!X191)</f>
        <v/>
      </c>
      <c r="G193" s="103">
        <f>IF(Human_Data_Entry!AY191="","",Human_Data_Entry!AY191)</f>
        <v/>
      </c>
      <c r="H193" s="103">
        <f>IF(Human_Data_Entry!AS191="","",Human_Data_Entry!AS191)</f>
        <v/>
      </c>
      <c r="I193" s="103">
        <f>IF(Human_Data_Entry!F191="","",Human_Data_Entry!F191)</f>
        <v/>
      </c>
      <c r="J193" s="103">
        <f>IF(Human_Data_Entry!BA191="","",Human_Data_Entry!BA191)</f>
        <v/>
      </c>
      <c r="K193" s="103">
        <f>IF(Human_Data_Entry!BB191="","",Human_Data_Entry!BB191)</f>
        <v/>
      </c>
      <c r="L193" s="103">
        <f>IF(Human_Data_Entry!BC191="","",Human_Data_Entry!BC191)</f>
        <v/>
      </c>
      <c r="M193" s="104">
        <f>IF(Human_Data_Entry!BD191="","",Human_Data_Entry!BD191)</f>
        <v/>
      </c>
      <c r="N193" s="104">
        <f>IF(Human_Data_Entry!BE191="","",Human_Data_Entry!BE191)</f>
        <v/>
      </c>
      <c r="O193" s="105">
        <f>IF(Human_Data_Entry!BF191="","",Human_Data_Entry!BF191)</f>
        <v/>
      </c>
      <c r="P193" s="103">
        <f>IF(Human_Data_Entry!BG191="","",Human_Data_Entry!BG191)</f>
        <v/>
      </c>
      <c r="Q193" s="103">
        <f>IF(Human_Data_Entry!BL191="","",Human_Data_Entry!BL191)</f>
        <v/>
      </c>
      <c r="R193" s="103">
        <f>IF(Human_Data_Entry!BH191="","",Human_Data_Entry!BH191)</f>
        <v/>
      </c>
      <c r="S193" s="103">
        <f>IF(Human_Data_Entry!BI191="","",Human_Data_Entry!BI191)</f>
        <v/>
      </c>
      <c r="T193" s="103">
        <f>IF(Human_Data_Entry!BJ191="","",Human_Data_Entry!BJ191)</f>
        <v/>
      </c>
      <c r="U193" s="103">
        <f>IF(Human_Data_Entry!AP191="","",Human_Data_Entry!AP191)</f>
        <v/>
      </c>
      <c r="V193" s="103">
        <f>IF(Human_Data_Entry!AQ191="","",Human_Data_Entry!AQ191)</f>
        <v/>
      </c>
      <c r="W193" s="103">
        <f>IF(Human_Data_Entry!AR191="","",Human_Data_Entry!AR191)</f>
        <v/>
      </c>
      <c r="X193" s="103">
        <f>IF(Human_Data_Entry!BK191="","",Human_Data_Entry!BK191)</f>
        <v/>
      </c>
    </row>
    <row r="194" ht="15" customHeight="1" s="241">
      <c r="A194" s="103">
        <f>IF(Human_Data_Entry!A192="","",Human_Data_Entry!A192)</f>
        <v/>
      </c>
      <c r="B194" s="103">
        <f>IF(Human_Data_Entry!B192="","",Human_Data_Entry!B192)</f>
        <v/>
      </c>
      <c r="C194" s="104">
        <f>IF(Human_Data_Entry!C192="","",Human_Data_Entry!C192)</f>
        <v/>
      </c>
      <c r="D194" s="103">
        <f>IF(Human_Data_Entry!D192="","",Human_Data_Entry!D192)</f>
        <v/>
      </c>
      <c r="E194" s="103">
        <f>IF(Human_Data_Entry!G192="","",Human_Data_Entry!G192)</f>
        <v/>
      </c>
      <c r="F194" s="103">
        <f>IF(Human_Data_Entry!X192="","",Human_Data_Entry!X192)</f>
        <v/>
      </c>
      <c r="G194" s="103">
        <f>IF(Human_Data_Entry!AY192="","",Human_Data_Entry!AY192)</f>
        <v/>
      </c>
      <c r="H194" s="103">
        <f>IF(Human_Data_Entry!AS192="","",Human_Data_Entry!AS192)</f>
        <v/>
      </c>
      <c r="I194" s="103">
        <f>IF(Human_Data_Entry!F192="","",Human_Data_Entry!F192)</f>
        <v/>
      </c>
      <c r="J194" s="103">
        <f>IF(Human_Data_Entry!BA192="","",Human_Data_Entry!BA192)</f>
        <v/>
      </c>
      <c r="K194" s="103">
        <f>IF(Human_Data_Entry!BB192="","",Human_Data_Entry!BB192)</f>
        <v/>
      </c>
      <c r="L194" s="103">
        <f>IF(Human_Data_Entry!BC192="","",Human_Data_Entry!BC192)</f>
        <v/>
      </c>
      <c r="M194" s="104">
        <f>IF(Human_Data_Entry!BD192="","",Human_Data_Entry!BD192)</f>
        <v/>
      </c>
      <c r="N194" s="104">
        <f>IF(Human_Data_Entry!BE192="","",Human_Data_Entry!BE192)</f>
        <v/>
      </c>
      <c r="O194" s="105">
        <f>IF(Human_Data_Entry!BF192="","",Human_Data_Entry!BF192)</f>
        <v/>
      </c>
      <c r="P194" s="103">
        <f>IF(Human_Data_Entry!BG192="","",Human_Data_Entry!BG192)</f>
        <v/>
      </c>
      <c r="Q194" s="103">
        <f>IF(Human_Data_Entry!BL192="","",Human_Data_Entry!BL192)</f>
        <v/>
      </c>
      <c r="R194" s="103">
        <f>IF(Human_Data_Entry!BH192="","",Human_Data_Entry!BH192)</f>
        <v/>
      </c>
      <c r="S194" s="103">
        <f>IF(Human_Data_Entry!BI192="","",Human_Data_Entry!BI192)</f>
        <v/>
      </c>
      <c r="T194" s="103">
        <f>IF(Human_Data_Entry!BJ192="","",Human_Data_Entry!BJ192)</f>
        <v/>
      </c>
      <c r="U194" s="103">
        <f>IF(Human_Data_Entry!AP192="","",Human_Data_Entry!AP192)</f>
        <v/>
      </c>
      <c r="V194" s="103">
        <f>IF(Human_Data_Entry!AQ192="","",Human_Data_Entry!AQ192)</f>
        <v/>
      </c>
      <c r="W194" s="103">
        <f>IF(Human_Data_Entry!AR192="","",Human_Data_Entry!AR192)</f>
        <v/>
      </c>
      <c r="X194" s="103">
        <f>IF(Human_Data_Entry!BK192="","",Human_Data_Entry!BK192)</f>
        <v/>
      </c>
    </row>
    <row r="195" ht="15" customHeight="1" s="241">
      <c r="A195" s="103">
        <f>IF(Human_Data_Entry!A193="","",Human_Data_Entry!A193)</f>
        <v/>
      </c>
      <c r="B195" s="103">
        <f>IF(Human_Data_Entry!B193="","",Human_Data_Entry!B193)</f>
        <v/>
      </c>
      <c r="C195" s="104">
        <f>IF(Human_Data_Entry!C193="","",Human_Data_Entry!C193)</f>
        <v/>
      </c>
      <c r="D195" s="103">
        <f>IF(Human_Data_Entry!D193="","",Human_Data_Entry!D193)</f>
        <v/>
      </c>
      <c r="E195" s="103">
        <f>IF(Human_Data_Entry!G193="","",Human_Data_Entry!G193)</f>
        <v/>
      </c>
      <c r="F195" s="103">
        <f>IF(Human_Data_Entry!X193="","",Human_Data_Entry!X193)</f>
        <v/>
      </c>
      <c r="G195" s="103">
        <f>IF(Human_Data_Entry!AY193="","",Human_Data_Entry!AY193)</f>
        <v/>
      </c>
      <c r="H195" s="103">
        <f>IF(Human_Data_Entry!AS193="","",Human_Data_Entry!AS193)</f>
        <v/>
      </c>
      <c r="I195" s="103">
        <f>IF(Human_Data_Entry!F193="","",Human_Data_Entry!F193)</f>
        <v/>
      </c>
      <c r="J195" s="103">
        <f>IF(Human_Data_Entry!BA193="","",Human_Data_Entry!BA193)</f>
        <v/>
      </c>
      <c r="K195" s="103">
        <f>IF(Human_Data_Entry!BB193="","",Human_Data_Entry!BB193)</f>
        <v/>
      </c>
      <c r="L195" s="103">
        <f>IF(Human_Data_Entry!BC193="","",Human_Data_Entry!BC193)</f>
        <v/>
      </c>
      <c r="M195" s="104">
        <f>IF(Human_Data_Entry!BD193="","",Human_Data_Entry!BD193)</f>
        <v/>
      </c>
      <c r="N195" s="104">
        <f>IF(Human_Data_Entry!BE193="","",Human_Data_Entry!BE193)</f>
        <v/>
      </c>
      <c r="O195" s="105">
        <f>IF(Human_Data_Entry!BF193="","",Human_Data_Entry!BF193)</f>
        <v/>
      </c>
      <c r="P195" s="103">
        <f>IF(Human_Data_Entry!BG193="","",Human_Data_Entry!BG193)</f>
        <v/>
      </c>
      <c r="Q195" s="103">
        <f>IF(Human_Data_Entry!BL193="","",Human_Data_Entry!BL193)</f>
        <v/>
      </c>
      <c r="R195" s="103">
        <f>IF(Human_Data_Entry!BH193="","",Human_Data_Entry!BH193)</f>
        <v/>
      </c>
      <c r="S195" s="103">
        <f>IF(Human_Data_Entry!BI193="","",Human_Data_Entry!BI193)</f>
        <v/>
      </c>
      <c r="T195" s="103">
        <f>IF(Human_Data_Entry!BJ193="","",Human_Data_Entry!BJ193)</f>
        <v/>
      </c>
      <c r="U195" s="103">
        <f>IF(Human_Data_Entry!AP193="","",Human_Data_Entry!AP193)</f>
        <v/>
      </c>
      <c r="V195" s="103">
        <f>IF(Human_Data_Entry!AQ193="","",Human_Data_Entry!AQ193)</f>
        <v/>
      </c>
      <c r="W195" s="103">
        <f>IF(Human_Data_Entry!AR193="","",Human_Data_Entry!AR193)</f>
        <v/>
      </c>
      <c r="X195" s="103">
        <f>IF(Human_Data_Entry!BK193="","",Human_Data_Entry!BK193)</f>
        <v/>
      </c>
    </row>
    <row r="196" ht="15" customHeight="1" s="241">
      <c r="A196" s="103">
        <f>IF(Human_Data_Entry!A194="","",Human_Data_Entry!A194)</f>
        <v/>
      </c>
      <c r="B196" s="103">
        <f>IF(Human_Data_Entry!B194="","",Human_Data_Entry!B194)</f>
        <v/>
      </c>
      <c r="C196" s="104">
        <f>IF(Human_Data_Entry!C194="","",Human_Data_Entry!C194)</f>
        <v/>
      </c>
      <c r="D196" s="103">
        <f>IF(Human_Data_Entry!D194="","",Human_Data_Entry!D194)</f>
        <v/>
      </c>
      <c r="E196" s="103">
        <f>IF(Human_Data_Entry!G194="","",Human_Data_Entry!G194)</f>
        <v/>
      </c>
      <c r="F196" s="103">
        <f>IF(Human_Data_Entry!X194="","",Human_Data_Entry!X194)</f>
        <v/>
      </c>
      <c r="G196" s="103">
        <f>IF(Human_Data_Entry!AY194="","",Human_Data_Entry!AY194)</f>
        <v/>
      </c>
      <c r="H196" s="103">
        <f>IF(Human_Data_Entry!AS194="","",Human_Data_Entry!AS194)</f>
        <v/>
      </c>
      <c r="I196" s="103">
        <f>IF(Human_Data_Entry!F194="","",Human_Data_Entry!F194)</f>
        <v/>
      </c>
      <c r="J196" s="103">
        <f>IF(Human_Data_Entry!BA194="","",Human_Data_Entry!BA194)</f>
        <v/>
      </c>
      <c r="K196" s="103">
        <f>IF(Human_Data_Entry!BB194="","",Human_Data_Entry!BB194)</f>
        <v/>
      </c>
      <c r="L196" s="103">
        <f>IF(Human_Data_Entry!BC194="","",Human_Data_Entry!BC194)</f>
        <v/>
      </c>
      <c r="M196" s="104">
        <f>IF(Human_Data_Entry!BD194="","",Human_Data_Entry!BD194)</f>
        <v/>
      </c>
      <c r="N196" s="104">
        <f>IF(Human_Data_Entry!BE194="","",Human_Data_Entry!BE194)</f>
        <v/>
      </c>
      <c r="O196" s="105">
        <f>IF(Human_Data_Entry!BF194="","",Human_Data_Entry!BF194)</f>
        <v/>
      </c>
      <c r="P196" s="103">
        <f>IF(Human_Data_Entry!BG194="","",Human_Data_Entry!BG194)</f>
        <v/>
      </c>
      <c r="Q196" s="103">
        <f>IF(Human_Data_Entry!BL194="","",Human_Data_Entry!BL194)</f>
        <v/>
      </c>
      <c r="R196" s="103">
        <f>IF(Human_Data_Entry!BH194="","",Human_Data_Entry!BH194)</f>
        <v/>
      </c>
      <c r="S196" s="103">
        <f>IF(Human_Data_Entry!BI194="","",Human_Data_Entry!BI194)</f>
        <v/>
      </c>
      <c r="T196" s="103">
        <f>IF(Human_Data_Entry!BJ194="","",Human_Data_Entry!BJ194)</f>
        <v/>
      </c>
      <c r="U196" s="103">
        <f>IF(Human_Data_Entry!AP194="","",Human_Data_Entry!AP194)</f>
        <v/>
      </c>
      <c r="V196" s="103">
        <f>IF(Human_Data_Entry!AQ194="","",Human_Data_Entry!AQ194)</f>
        <v/>
      </c>
      <c r="W196" s="103">
        <f>IF(Human_Data_Entry!AR194="","",Human_Data_Entry!AR194)</f>
        <v/>
      </c>
      <c r="X196" s="103">
        <f>IF(Human_Data_Entry!BK194="","",Human_Data_Entry!BK194)</f>
        <v/>
      </c>
    </row>
    <row r="197" ht="15" customHeight="1" s="241">
      <c r="A197" s="103">
        <f>IF(Human_Data_Entry!A195="","",Human_Data_Entry!A195)</f>
        <v/>
      </c>
      <c r="B197" s="103">
        <f>IF(Human_Data_Entry!B195="","",Human_Data_Entry!B195)</f>
        <v/>
      </c>
      <c r="C197" s="104">
        <f>IF(Human_Data_Entry!C195="","",Human_Data_Entry!C195)</f>
        <v/>
      </c>
      <c r="D197" s="103">
        <f>IF(Human_Data_Entry!D195="","",Human_Data_Entry!D195)</f>
        <v/>
      </c>
      <c r="E197" s="103">
        <f>IF(Human_Data_Entry!G195="","",Human_Data_Entry!G195)</f>
        <v/>
      </c>
      <c r="F197" s="103">
        <f>IF(Human_Data_Entry!X195="","",Human_Data_Entry!X195)</f>
        <v/>
      </c>
      <c r="G197" s="103">
        <f>IF(Human_Data_Entry!AY195="","",Human_Data_Entry!AY195)</f>
        <v/>
      </c>
      <c r="H197" s="103">
        <f>IF(Human_Data_Entry!AS195="","",Human_Data_Entry!AS195)</f>
        <v/>
      </c>
      <c r="I197" s="103">
        <f>IF(Human_Data_Entry!F195="","",Human_Data_Entry!F195)</f>
        <v/>
      </c>
      <c r="J197" s="103">
        <f>IF(Human_Data_Entry!BA195="","",Human_Data_Entry!BA195)</f>
        <v/>
      </c>
      <c r="K197" s="103">
        <f>IF(Human_Data_Entry!BB195="","",Human_Data_Entry!BB195)</f>
        <v/>
      </c>
      <c r="L197" s="103">
        <f>IF(Human_Data_Entry!BC195="","",Human_Data_Entry!BC195)</f>
        <v/>
      </c>
      <c r="M197" s="104">
        <f>IF(Human_Data_Entry!BD195="","",Human_Data_Entry!BD195)</f>
        <v/>
      </c>
      <c r="N197" s="104">
        <f>IF(Human_Data_Entry!BE195="","",Human_Data_Entry!BE195)</f>
        <v/>
      </c>
      <c r="O197" s="105">
        <f>IF(Human_Data_Entry!BF195="","",Human_Data_Entry!BF195)</f>
        <v/>
      </c>
      <c r="P197" s="103">
        <f>IF(Human_Data_Entry!BG195="","",Human_Data_Entry!BG195)</f>
        <v/>
      </c>
      <c r="Q197" s="103">
        <f>IF(Human_Data_Entry!BL195="","",Human_Data_Entry!BL195)</f>
        <v/>
      </c>
      <c r="R197" s="103">
        <f>IF(Human_Data_Entry!BH195="","",Human_Data_Entry!BH195)</f>
        <v/>
      </c>
      <c r="S197" s="103">
        <f>IF(Human_Data_Entry!BI195="","",Human_Data_Entry!BI195)</f>
        <v/>
      </c>
      <c r="T197" s="103">
        <f>IF(Human_Data_Entry!BJ195="","",Human_Data_Entry!BJ195)</f>
        <v/>
      </c>
      <c r="U197" s="103">
        <f>IF(Human_Data_Entry!AP195="","",Human_Data_Entry!AP195)</f>
        <v/>
      </c>
      <c r="V197" s="103">
        <f>IF(Human_Data_Entry!AQ195="","",Human_Data_Entry!AQ195)</f>
        <v/>
      </c>
      <c r="W197" s="103">
        <f>IF(Human_Data_Entry!AR195="","",Human_Data_Entry!AR195)</f>
        <v/>
      </c>
      <c r="X197" s="103">
        <f>IF(Human_Data_Entry!BK195="","",Human_Data_Entry!BK195)</f>
        <v/>
      </c>
    </row>
    <row r="198" ht="15" customHeight="1" s="241">
      <c r="A198" s="103">
        <f>IF(Human_Data_Entry!A196="","",Human_Data_Entry!A196)</f>
        <v/>
      </c>
      <c r="B198" s="103">
        <f>IF(Human_Data_Entry!B196="","",Human_Data_Entry!B196)</f>
        <v/>
      </c>
      <c r="C198" s="104">
        <f>IF(Human_Data_Entry!C196="","",Human_Data_Entry!C196)</f>
        <v/>
      </c>
      <c r="D198" s="103">
        <f>IF(Human_Data_Entry!D196="","",Human_Data_Entry!D196)</f>
        <v/>
      </c>
      <c r="E198" s="103">
        <f>IF(Human_Data_Entry!G196="","",Human_Data_Entry!G196)</f>
        <v/>
      </c>
      <c r="F198" s="103">
        <f>IF(Human_Data_Entry!X196="","",Human_Data_Entry!X196)</f>
        <v/>
      </c>
      <c r="G198" s="103">
        <f>IF(Human_Data_Entry!AY196="","",Human_Data_Entry!AY196)</f>
        <v/>
      </c>
      <c r="H198" s="103">
        <f>IF(Human_Data_Entry!AS196="","",Human_Data_Entry!AS196)</f>
        <v/>
      </c>
      <c r="I198" s="103">
        <f>IF(Human_Data_Entry!F196="","",Human_Data_Entry!F196)</f>
        <v/>
      </c>
      <c r="J198" s="103">
        <f>IF(Human_Data_Entry!BA196="","",Human_Data_Entry!BA196)</f>
        <v/>
      </c>
      <c r="K198" s="103">
        <f>IF(Human_Data_Entry!BB196="","",Human_Data_Entry!BB196)</f>
        <v/>
      </c>
      <c r="L198" s="103">
        <f>IF(Human_Data_Entry!BC196="","",Human_Data_Entry!BC196)</f>
        <v/>
      </c>
      <c r="M198" s="104">
        <f>IF(Human_Data_Entry!BD196="","",Human_Data_Entry!BD196)</f>
        <v/>
      </c>
      <c r="N198" s="104">
        <f>IF(Human_Data_Entry!BE196="","",Human_Data_Entry!BE196)</f>
        <v/>
      </c>
      <c r="O198" s="105">
        <f>IF(Human_Data_Entry!BF196="","",Human_Data_Entry!BF196)</f>
        <v/>
      </c>
      <c r="P198" s="103">
        <f>IF(Human_Data_Entry!BG196="","",Human_Data_Entry!BG196)</f>
        <v/>
      </c>
      <c r="Q198" s="103">
        <f>IF(Human_Data_Entry!BL196="","",Human_Data_Entry!BL196)</f>
        <v/>
      </c>
      <c r="R198" s="103">
        <f>IF(Human_Data_Entry!BH196="","",Human_Data_Entry!BH196)</f>
        <v/>
      </c>
      <c r="S198" s="103">
        <f>IF(Human_Data_Entry!BI196="","",Human_Data_Entry!BI196)</f>
        <v/>
      </c>
      <c r="T198" s="103">
        <f>IF(Human_Data_Entry!BJ196="","",Human_Data_Entry!BJ196)</f>
        <v/>
      </c>
      <c r="U198" s="103">
        <f>IF(Human_Data_Entry!AP196="","",Human_Data_Entry!AP196)</f>
        <v/>
      </c>
      <c r="V198" s="103">
        <f>IF(Human_Data_Entry!AQ196="","",Human_Data_Entry!AQ196)</f>
        <v/>
      </c>
      <c r="W198" s="103">
        <f>IF(Human_Data_Entry!AR196="","",Human_Data_Entry!AR196)</f>
        <v/>
      </c>
      <c r="X198" s="103">
        <f>IF(Human_Data_Entry!BK196="","",Human_Data_Entry!BK196)</f>
        <v/>
      </c>
    </row>
    <row r="199" ht="15" customHeight="1" s="241">
      <c r="A199" s="103">
        <f>IF(Human_Data_Entry!A197="","",Human_Data_Entry!A197)</f>
        <v/>
      </c>
      <c r="B199" s="103">
        <f>IF(Human_Data_Entry!B197="","",Human_Data_Entry!B197)</f>
        <v/>
      </c>
      <c r="C199" s="104">
        <f>IF(Human_Data_Entry!C197="","",Human_Data_Entry!C197)</f>
        <v/>
      </c>
      <c r="D199" s="103">
        <f>IF(Human_Data_Entry!D197="","",Human_Data_Entry!D197)</f>
        <v/>
      </c>
      <c r="E199" s="103">
        <f>IF(Human_Data_Entry!G197="","",Human_Data_Entry!G197)</f>
        <v/>
      </c>
      <c r="F199" s="103">
        <f>IF(Human_Data_Entry!X197="","",Human_Data_Entry!X197)</f>
        <v/>
      </c>
      <c r="G199" s="103">
        <f>IF(Human_Data_Entry!AY197="","",Human_Data_Entry!AY197)</f>
        <v/>
      </c>
      <c r="H199" s="103">
        <f>IF(Human_Data_Entry!AS197="","",Human_Data_Entry!AS197)</f>
        <v/>
      </c>
      <c r="I199" s="103">
        <f>IF(Human_Data_Entry!F197="","",Human_Data_Entry!F197)</f>
        <v/>
      </c>
      <c r="J199" s="103">
        <f>IF(Human_Data_Entry!BA197="","",Human_Data_Entry!BA197)</f>
        <v/>
      </c>
      <c r="K199" s="103">
        <f>IF(Human_Data_Entry!BB197="","",Human_Data_Entry!BB197)</f>
        <v/>
      </c>
      <c r="L199" s="103">
        <f>IF(Human_Data_Entry!BC197="","",Human_Data_Entry!BC197)</f>
        <v/>
      </c>
      <c r="M199" s="104">
        <f>IF(Human_Data_Entry!BD197="","",Human_Data_Entry!BD197)</f>
        <v/>
      </c>
      <c r="N199" s="104">
        <f>IF(Human_Data_Entry!BE197="","",Human_Data_Entry!BE197)</f>
        <v/>
      </c>
      <c r="O199" s="105">
        <f>IF(Human_Data_Entry!BF197="","",Human_Data_Entry!BF197)</f>
        <v/>
      </c>
      <c r="P199" s="103">
        <f>IF(Human_Data_Entry!BG197="","",Human_Data_Entry!BG197)</f>
        <v/>
      </c>
      <c r="Q199" s="103">
        <f>IF(Human_Data_Entry!BL197="","",Human_Data_Entry!BL197)</f>
        <v/>
      </c>
      <c r="R199" s="103">
        <f>IF(Human_Data_Entry!BH197="","",Human_Data_Entry!BH197)</f>
        <v/>
      </c>
      <c r="S199" s="103">
        <f>IF(Human_Data_Entry!BI197="","",Human_Data_Entry!BI197)</f>
        <v/>
      </c>
      <c r="T199" s="103">
        <f>IF(Human_Data_Entry!BJ197="","",Human_Data_Entry!BJ197)</f>
        <v/>
      </c>
      <c r="U199" s="103">
        <f>IF(Human_Data_Entry!AP197="","",Human_Data_Entry!AP197)</f>
        <v/>
      </c>
      <c r="V199" s="103">
        <f>IF(Human_Data_Entry!AQ197="","",Human_Data_Entry!AQ197)</f>
        <v/>
      </c>
      <c r="W199" s="103">
        <f>IF(Human_Data_Entry!AR197="","",Human_Data_Entry!AR197)</f>
        <v/>
      </c>
      <c r="X199" s="103">
        <f>IF(Human_Data_Entry!BK197="","",Human_Data_Entry!BK197)</f>
        <v/>
      </c>
    </row>
    <row r="200" ht="15" customHeight="1" s="241">
      <c r="A200" s="103">
        <f>IF(Human_Data_Entry!A198="","",Human_Data_Entry!A198)</f>
        <v/>
      </c>
      <c r="B200" s="103">
        <f>IF(Human_Data_Entry!B198="","",Human_Data_Entry!B198)</f>
        <v/>
      </c>
      <c r="C200" s="104">
        <f>IF(Human_Data_Entry!C198="","",Human_Data_Entry!C198)</f>
        <v/>
      </c>
      <c r="D200" s="103">
        <f>IF(Human_Data_Entry!D198="","",Human_Data_Entry!D198)</f>
        <v/>
      </c>
      <c r="E200" s="103">
        <f>IF(Human_Data_Entry!G198="","",Human_Data_Entry!G198)</f>
        <v/>
      </c>
      <c r="F200" s="103">
        <f>IF(Human_Data_Entry!X198="","",Human_Data_Entry!X198)</f>
        <v/>
      </c>
      <c r="G200" s="103">
        <f>IF(Human_Data_Entry!AY198="","",Human_Data_Entry!AY198)</f>
        <v/>
      </c>
      <c r="H200" s="103">
        <f>IF(Human_Data_Entry!AS198="","",Human_Data_Entry!AS198)</f>
        <v/>
      </c>
      <c r="I200" s="103">
        <f>IF(Human_Data_Entry!F198="","",Human_Data_Entry!F198)</f>
        <v/>
      </c>
      <c r="J200" s="103">
        <f>IF(Human_Data_Entry!BA198="","",Human_Data_Entry!BA198)</f>
        <v/>
      </c>
      <c r="K200" s="103">
        <f>IF(Human_Data_Entry!BB198="","",Human_Data_Entry!BB198)</f>
        <v/>
      </c>
      <c r="L200" s="103">
        <f>IF(Human_Data_Entry!BC198="","",Human_Data_Entry!BC198)</f>
        <v/>
      </c>
      <c r="M200" s="104">
        <f>IF(Human_Data_Entry!BD198="","",Human_Data_Entry!BD198)</f>
        <v/>
      </c>
      <c r="N200" s="104">
        <f>IF(Human_Data_Entry!BE198="","",Human_Data_Entry!BE198)</f>
        <v/>
      </c>
      <c r="O200" s="105">
        <f>IF(Human_Data_Entry!BF198="","",Human_Data_Entry!BF198)</f>
        <v/>
      </c>
      <c r="P200" s="103">
        <f>IF(Human_Data_Entry!BG198="","",Human_Data_Entry!BG198)</f>
        <v/>
      </c>
      <c r="Q200" s="103">
        <f>IF(Human_Data_Entry!BL198="","",Human_Data_Entry!BL198)</f>
        <v/>
      </c>
      <c r="R200" s="103">
        <f>IF(Human_Data_Entry!BH198="","",Human_Data_Entry!BH198)</f>
        <v/>
      </c>
      <c r="S200" s="103">
        <f>IF(Human_Data_Entry!BI198="","",Human_Data_Entry!BI198)</f>
        <v/>
      </c>
      <c r="T200" s="103">
        <f>IF(Human_Data_Entry!BJ198="","",Human_Data_Entry!BJ198)</f>
        <v/>
      </c>
      <c r="U200" s="103">
        <f>IF(Human_Data_Entry!AP198="","",Human_Data_Entry!AP198)</f>
        <v/>
      </c>
      <c r="V200" s="103">
        <f>IF(Human_Data_Entry!AQ198="","",Human_Data_Entry!AQ198)</f>
        <v/>
      </c>
      <c r="W200" s="103">
        <f>IF(Human_Data_Entry!AR198="","",Human_Data_Entry!AR198)</f>
        <v/>
      </c>
      <c r="X200" s="103">
        <f>IF(Human_Data_Entry!BK198="","",Human_Data_Entry!BK198)</f>
        <v/>
      </c>
    </row>
    <row r="201" ht="15" customHeight="1" s="241">
      <c r="A201" s="103">
        <f>IF(Human_Data_Entry!A199="","",Human_Data_Entry!A199)</f>
        <v/>
      </c>
      <c r="B201" s="103">
        <f>IF(Human_Data_Entry!B199="","",Human_Data_Entry!B199)</f>
        <v/>
      </c>
      <c r="C201" s="104">
        <f>IF(Human_Data_Entry!C199="","",Human_Data_Entry!C199)</f>
        <v/>
      </c>
      <c r="D201" s="103">
        <f>IF(Human_Data_Entry!D199="","",Human_Data_Entry!D199)</f>
        <v/>
      </c>
      <c r="E201" s="103">
        <f>IF(Human_Data_Entry!G199="","",Human_Data_Entry!G199)</f>
        <v/>
      </c>
      <c r="F201" s="103">
        <f>IF(Human_Data_Entry!X199="","",Human_Data_Entry!X199)</f>
        <v/>
      </c>
      <c r="G201" s="103">
        <f>IF(Human_Data_Entry!AY199="","",Human_Data_Entry!AY199)</f>
        <v/>
      </c>
      <c r="H201" s="103">
        <f>IF(Human_Data_Entry!AS199="","",Human_Data_Entry!AS199)</f>
        <v/>
      </c>
      <c r="I201" s="103">
        <f>IF(Human_Data_Entry!F199="","",Human_Data_Entry!F199)</f>
        <v/>
      </c>
      <c r="J201" s="103">
        <f>IF(Human_Data_Entry!BA199="","",Human_Data_Entry!BA199)</f>
        <v/>
      </c>
      <c r="K201" s="103">
        <f>IF(Human_Data_Entry!BB199="","",Human_Data_Entry!BB199)</f>
        <v/>
      </c>
      <c r="L201" s="103">
        <f>IF(Human_Data_Entry!BC199="","",Human_Data_Entry!BC199)</f>
        <v/>
      </c>
      <c r="M201" s="104">
        <f>IF(Human_Data_Entry!BD199="","",Human_Data_Entry!BD199)</f>
        <v/>
      </c>
      <c r="N201" s="104">
        <f>IF(Human_Data_Entry!BE199="","",Human_Data_Entry!BE199)</f>
        <v/>
      </c>
      <c r="O201" s="105">
        <f>IF(Human_Data_Entry!BF199="","",Human_Data_Entry!BF199)</f>
        <v/>
      </c>
      <c r="P201" s="103">
        <f>IF(Human_Data_Entry!BG199="","",Human_Data_Entry!BG199)</f>
        <v/>
      </c>
      <c r="Q201" s="103">
        <f>IF(Human_Data_Entry!BL199="","",Human_Data_Entry!BL199)</f>
        <v/>
      </c>
      <c r="R201" s="103">
        <f>IF(Human_Data_Entry!BH199="","",Human_Data_Entry!BH199)</f>
        <v/>
      </c>
      <c r="S201" s="103">
        <f>IF(Human_Data_Entry!BI199="","",Human_Data_Entry!BI199)</f>
        <v/>
      </c>
      <c r="T201" s="103">
        <f>IF(Human_Data_Entry!BJ199="","",Human_Data_Entry!BJ199)</f>
        <v/>
      </c>
      <c r="U201" s="103">
        <f>IF(Human_Data_Entry!AP199="","",Human_Data_Entry!AP199)</f>
        <v/>
      </c>
      <c r="V201" s="103">
        <f>IF(Human_Data_Entry!AQ199="","",Human_Data_Entry!AQ199)</f>
        <v/>
      </c>
      <c r="W201" s="103">
        <f>IF(Human_Data_Entry!AR199="","",Human_Data_Entry!AR199)</f>
        <v/>
      </c>
      <c r="X201" s="103">
        <f>IF(Human_Data_Entry!BK199="","",Human_Data_Entry!BK199)</f>
        <v/>
      </c>
    </row>
    <row r="202" ht="15" customHeight="1" s="241">
      <c r="A202" s="103">
        <f>IF(Human_Data_Entry!A200="","",Human_Data_Entry!A200)</f>
        <v/>
      </c>
      <c r="B202" s="103">
        <f>IF(Human_Data_Entry!B200="","",Human_Data_Entry!B200)</f>
        <v/>
      </c>
      <c r="C202" s="104">
        <f>IF(Human_Data_Entry!C200="","",Human_Data_Entry!C200)</f>
        <v/>
      </c>
      <c r="D202" s="103">
        <f>IF(Human_Data_Entry!D200="","",Human_Data_Entry!D200)</f>
        <v/>
      </c>
      <c r="E202" s="103">
        <f>IF(Human_Data_Entry!G200="","",Human_Data_Entry!G200)</f>
        <v/>
      </c>
      <c r="F202" s="103">
        <f>IF(Human_Data_Entry!X200="","",Human_Data_Entry!X200)</f>
        <v/>
      </c>
      <c r="G202" s="103">
        <f>IF(Human_Data_Entry!AY200="","",Human_Data_Entry!AY200)</f>
        <v/>
      </c>
      <c r="H202" s="103">
        <f>IF(Human_Data_Entry!AS200="","",Human_Data_Entry!AS200)</f>
        <v/>
      </c>
      <c r="I202" s="103">
        <f>IF(Human_Data_Entry!F200="","",Human_Data_Entry!F200)</f>
        <v/>
      </c>
      <c r="J202" s="103">
        <f>IF(Human_Data_Entry!BA200="","",Human_Data_Entry!BA200)</f>
        <v/>
      </c>
      <c r="K202" s="103">
        <f>IF(Human_Data_Entry!BB200="","",Human_Data_Entry!BB200)</f>
        <v/>
      </c>
      <c r="L202" s="103">
        <f>IF(Human_Data_Entry!BC200="","",Human_Data_Entry!BC200)</f>
        <v/>
      </c>
      <c r="M202" s="104">
        <f>IF(Human_Data_Entry!BD200="","",Human_Data_Entry!BD200)</f>
        <v/>
      </c>
      <c r="N202" s="104">
        <f>IF(Human_Data_Entry!BE200="","",Human_Data_Entry!BE200)</f>
        <v/>
      </c>
      <c r="O202" s="105">
        <f>IF(Human_Data_Entry!BF200="","",Human_Data_Entry!BF200)</f>
        <v/>
      </c>
      <c r="P202" s="103">
        <f>IF(Human_Data_Entry!BG200="","",Human_Data_Entry!BG200)</f>
        <v/>
      </c>
      <c r="Q202" s="103">
        <f>IF(Human_Data_Entry!BL200="","",Human_Data_Entry!BL200)</f>
        <v/>
      </c>
      <c r="R202" s="103">
        <f>IF(Human_Data_Entry!BH200="","",Human_Data_Entry!BH200)</f>
        <v/>
      </c>
      <c r="S202" s="103">
        <f>IF(Human_Data_Entry!BI200="","",Human_Data_Entry!BI200)</f>
        <v/>
      </c>
      <c r="T202" s="103">
        <f>IF(Human_Data_Entry!BJ200="","",Human_Data_Entry!BJ200)</f>
        <v/>
      </c>
      <c r="U202" s="103">
        <f>IF(Human_Data_Entry!AP200="","",Human_Data_Entry!AP200)</f>
        <v/>
      </c>
      <c r="V202" s="103">
        <f>IF(Human_Data_Entry!AQ200="","",Human_Data_Entry!AQ200)</f>
        <v/>
      </c>
      <c r="W202" s="103">
        <f>IF(Human_Data_Entry!AR200="","",Human_Data_Entry!AR200)</f>
        <v/>
      </c>
      <c r="X202" s="103">
        <f>IF(Human_Data_Entry!BK200="","",Human_Data_Entry!BK200)</f>
        <v/>
      </c>
    </row>
    <row r="203" ht="15" customHeight="1" s="241">
      <c r="A203" s="103">
        <f>IF(Human_Data_Entry!A201="","",Human_Data_Entry!A201)</f>
        <v/>
      </c>
      <c r="B203" s="103">
        <f>IF(Human_Data_Entry!B201="","",Human_Data_Entry!B201)</f>
        <v/>
      </c>
      <c r="C203" s="104">
        <f>IF(Human_Data_Entry!C201="","",Human_Data_Entry!C201)</f>
        <v/>
      </c>
      <c r="D203" s="103">
        <f>IF(Human_Data_Entry!D201="","",Human_Data_Entry!D201)</f>
        <v/>
      </c>
      <c r="E203" s="103">
        <f>IF(Human_Data_Entry!G201="","",Human_Data_Entry!G201)</f>
        <v/>
      </c>
      <c r="F203" s="103">
        <f>IF(Human_Data_Entry!X201="","",Human_Data_Entry!X201)</f>
        <v/>
      </c>
      <c r="G203" s="103">
        <f>IF(Human_Data_Entry!AY201="","",Human_Data_Entry!AY201)</f>
        <v/>
      </c>
      <c r="H203" s="103">
        <f>IF(Human_Data_Entry!AS201="","",Human_Data_Entry!AS201)</f>
        <v/>
      </c>
      <c r="I203" s="103">
        <f>IF(Human_Data_Entry!F201="","",Human_Data_Entry!F201)</f>
        <v/>
      </c>
      <c r="J203" s="103">
        <f>IF(Human_Data_Entry!BA201="","",Human_Data_Entry!BA201)</f>
        <v/>
      </c>
      <c r="K203" s="103">
        <f>IF(Human_Data_Entry!BB201="","",Human_Data_Entry!BB201)</f>
        <v/>
      </c>
      <c r="L203" s="103">
        <f>IF(Human_Data_Entry!BC201="","",Human_Data_Entry!BC201)</f>
        <v/>
      </c>
      <c r="M203" s="104">
        <f>IF(Human_Data_Entry!BD201="","",Human_Data_Entry!BD201)</f>
        <v/>
      </c>
      <c r="N203" s="104">
        <f>IF(Human_Data_Entry!BE201="","",Human_Data_Entry!BE201)</f>
        <v/>
      </c>
      <c r="O203" s="105">
        <f>IF(Human_Data_Entry!BF201="","",Human_Data_Entry!BF201)</f>
        <v/>
      </c>
      <c r="P203" s="103">
        <f>IF(Human_Data_Entry!BG201="","",Human_Data_Entry!BG201)</f>
        <v/>
      </c>
      <c r="Q203" s="103">
        <f>IF(Human_Data_Entry!BL201="","",Human_Data_Entry!BL201)</f>
        <v/>
      </c>
      <c r="R203" s="103">
        <f>IF(Human_Data_Entry!BH201="","",Human_Data_Entry!BH201)</f>
        <v/>
      </c>
      <c r="S203" s="103">
        <f>IF(Human_Data_Entry!BI201="","",Human_Data_Entry!BI201)</f>
        <v/>
      </c>
      <c r="T203" s="103">
        <f>IF(Human_Data_Entry!BJ201="","",Human_Data_Entry!BJ201)</f>
        <v/>
      </c>
      <c r="U203" s="103">
        <f>IF(Human_Data_Entry!AP201="","",Human_Data_Entry!AP201)</f>
        <v/>
      </c>
      <c r="V203" s="103">
        <f>IF(Human_Data_Entry!AQ201="","",Human_Data_Entry!AQ201)</f>
        <v/>
      </c>
      <c r="W203" s="103">
        <f>IF(Human_Data_Entry!AR201="","",Human_Data_Entry!AR201)</f>
        <v/>
      </c>
      <c r="X203" s="103">
        <f>IF(Human_Data_Entry!BK201="","",Human_Data_Entry!BK201)</f>
        <v/>
      </c>
    </row>
    <row r="204" ht="15" customHeight="1" s="241">
      <c r="A204" s="103">
        <f>IF(Human_Data_Entry!A202="","",Human_Data_Entry!A202)</f>
        <v/>
      </c>
      <c r="B204" s="103">
        <f>IF(Human_Data_Entry!B202="","",Human_Data_Entry!B202)</f>
        <v/>
      </c>
      <c r="C204" s="104">
        <f>IF(Human_Data_Entry!C202="","",Human_Data_Entry!C202)</f>
        <v/>
      </c>
      <c r="D204" s="103">
        <f>IF(Human_Data_Entry!D202="","",Human_Data_Entry!D202)</f>
        <v/>
      </c>
      <c r="E204" s="103">
        <f>IF(Human_Data_Entry!G202="","",Human_Data_Entry!G202)</f>
        <v/>
      </c>
      <c r="F204" s="103">
        <f>IF(Human_Data_Entry!X202="","",Human_Data_Entry!X202)</f>
        <v/>
      </c>
      <c r="G204" s="103">
        <f>IF(Human_Data_Entry!AY202="","",Human_Data_Entry!AY202)</f>
        <v/>
      </c>
      <c r="H204" s="103">
        <f>IF(Human_Data_Entry!AS202="","",Human_Data_Entry!AS202)</f>
        <v/>
      </c>
      <c r="I204" s="103">
        <f>IF(Human_Data_Entry!F202="","",Human_Data_Entry!F202)</f>
        <v/>
      </c>
      <c r="J204" s="103">
        <f>IF(Human_Data_Entry!BA202="","",Human_Data_Entry!BA202)</f>
        <v/>
      </c>
      <c r="K204" s="103">
        <f>IF(Human_Data_Entry!BB202="","",Human_Data_Entry!BB202)</f>
        <v/>
      </c>
      <c r="L204" s="103">
        <f>IF(Human_Data_Entry!BC202="","",Human_Data_Entry!BC202)</f>
        <v/>
      </c>
      <c r="M204" s="104">
        <f>IF(Human_Data_Entry!BD202="","",Human_Data_Entry!BD202)</f>
        <v/>
      </c>
      <c r="N204" s="104">
        <f>IF(Human_Data_Entry!BE202="","",Human_Data_Entry!BE202)</f>
        <v/>
      </c>
      <c r="O204" s="105">
        <f>IF(Human_Data_Entry!BF202="","",Human_Data_Entry!BF202)</f>
        <v/>
      </c>
      <c r="P204" s="103">
        <f>IF(Human_Data_Entry!BG202="","",Human_Data_Entry!BG202)</f>
        <v/>
      </c>
      <c r="Q204" s="103">
        <f>IF(Human_Data_Entry!BL202="","",Human_Data_Entry!BL202)</f>
        <v/>
      </c>
      <c r="R204" s="103">
        <f>IF(Human_Data_Entry!BH202="","",Human_Data_Entry!BH202)</f>
        <v/>
      </c>
      <c r="S204" s="103">
        <f>IF(Human_Data_Entry!BI202="","",Human_Data_Entry!BI202)</f>
        <v/>
      </c>
      <c r="T204" s="103">
        <f>IF(Human_Data_Entry!BJ202="","",Human_Data_Entry!BJ202)</f>
        <v/>
      </c>
      <c r="U204" s="103">
        <f>IF(Human_Data_Entry!AP202="","",Human_Data_Entry!AP202)</f>
        <v/>
      </c>
      <c r="V204" s="103">
        <f>IF(Human_Data_Entry!AQ202="","",Human_Data_Entry!AQ202)</f>
        <v/>
      </c>
      <c r="W204" s="103">
        <f>IF(Human_Data_Entry!AR202="","",Human_Data_Entry!AR202)</f>
        <v/>
      </c>
      <c r="X204" s="103">
        <f>IF(Human_Data_Entry!BK202="","",Human_Data_Entry!BK202)</f>
        <v/>
      </c>
    </row>
    <row r="205" ht="15" customHeight="1" s="241">
      <c r="A205" s="103">
        <f>IF(Human_Data_Entry!A203="","",Human_Data_Entry!A203)</f>
        <v/>
      </c>
      <c r="B205" s="103">
        <f>IF(Human_Data_Entry!B203="","",Human_Data_Entry!B203)</f>
        <v/>
      </c>
      <c r="C205" s="104">
        <f>IF(Human_Data_Entry!C203="","",Human_Data_Entry!C203)</f>
        <v/>
      </c>
      <c r="D205" s="103">
        <f>IF(Human_Data_Entry!D203="","",Human_Data_Entry!D203)</f>
        <v/>
      </c>
      <c r="E205" s="103">
        <f>IF(Human_Data_Entry!G203="","",Human_Data_Entry!G203)</f>
        <v/>
      </c>
      <c r="F205" s="103">
        <f>IF(Human_Data_Entry!X203="","",Human_Data_Entry!X203)</f>
        <v/>
      </c>
      <c r="G205" s="103">
        <f>IF(Human_Data_Entry!AY203="","",Human_Data_Entry!AY203)</f>
        <v/>
      </c>
      <c r="H205" s="103">
        <f>IF(Human_Data_Entry!AS203="","",Human_Data_Entry!AS203)</f>
        <v/>
      </c>
      <c r="I205" s="103">
        <f>IF(Human_Data_Entry!F203="","",Human_Data_Entry!F203)</f>
        <v/>
      </c>
      <c r="J205" s="103">
        <f>IF(Human_Data_Entry!BA203="","",Human_Data_Entry!BA203)</f>
        <v/>
      </c>
      <c r="K205" s="103">
        <f>IF(Human_Data_Entry!BB203="","",Human_Data_Entry!BB203)</f>
        <v/>
      </c>
      <c r="L205" s="103">
        <f>IF(Human_Data_Entry!BC203="","",Human_Data_Entry!BC203)</f>
        <v/>
      </c>
      <c r="M205" s="104">
        <f>IF(Human_Data_Entry!BD203="","",Human_Data_Entry!BD203)</f>
        <v/>
      </c>
      <c r="N205" s="104">
        <f>IF(Human_Data_Entry!BE203="","",Human_Data_Entry!BE203)</f>
        <v/>
      </c>
      <c r="O205" s="105">
        <f>IF(Human_Data_Entry!BF203="","",Human_Data_Entry!BF203)</f>
        <v/>
      </c>
      <c r="P205" s="103">
        <f>IF(Human_Data_Entry!BG203="","",Human_Data_Entry!BG203)</f>
        <v/>
      </c>
      <c r="Q205" s="103">
        <f>IF(Human_Data_Entry!BL203="","",Human_Data_Entry!BL203)</f>
        <v/>
      </c>
      <c r="R205" s="103">
        <f>IF(Human_Data_Entry!BH203="","",Human_Data_Entry!BH203)</f>
        <v/>
      </c>
      <c r="S205" s="103">
        <f>IF(Human_Data_Entry!BI203="","",Human_Data_Entry!BI203)</f>
        <v/>
      </c>
      <c r="T205" s="103">
        <f>IF(Human_Data_Entry!BJ203="","",Human_Data_Entry!BJ203)</f>
        <v/>
      </c>
      <c r="U205" s="103">
        <f>IF(Human_Data_Entry!AP203="","",Human_Data_Entry!AP203)</f>
        <v/>
      </c>
      <c r="V205" s="103">
        <f>IF(Human_Data_Entry!AQ203="","",Human_Data_Entry!AQ203)</f>
        <v/>
      </c>
      <c r="W205" s="103">
        <f>IF(Human_Data_Entry!AR203="","",Human_Data_Entry!AR203)</f>
        <v/>
      </c>
      <c r="X205" s="103">
        <f>IF(Human_Data_Entry!BK203="","",Human_Data_Entry!BK203)</f>
        <v/>
      </c>
    </row>
    <row r="206" ht="15" customHeight="1" s="241">
      <c r="A206" s="103">
        <f>IF(Human_Data_Entry!A204="","",Human_Data_Entry!A204)</f>
        <v/>
      </c>
      <c r="B206" s="103">
        <f>IF(Human_Data_Entry!B204="","",Human_Data_Entry!B204)</f>
        <v/>
      </c>
      <c r="C206" s="104">
        <f>IF(Human_Data_Entry!C204="","",Human_Data_Entry!C204)</f>
        <v/>
      </c>
      <c r="D206" s="103">
        <f>IF(Human_Data_Entry!D204="","",Human_Data_Entry!D204)</f>
        <v/>
      </c>
      <c r="E206" s="103">
        <f>IF(Human_Data_Entry!G204="","",Human_Data_Entry!G204)</f>
        <v/>
      </c>
      <c r="F206" s="103">
        <f>IF(Human_Data_Entry!X204="","",Human_Data_Entry!X204)</f>
        <v/>
      </c>
      <c r="G206" s="103">
        <f>IF(Human_Data_Entry!AY204="","",Human_Data_Entry!AY204)</f>
        <v/>
      </c>
      <c r="H206" s="103">
        <f>IF(Human_Data_Entry!AS204="","",Human_Data_Entry!AS204)</f>
        <v/>
      </c>
      <c r="I206" s="103">
        <f>IF(Human_Data_Entry!F204="","",Human_Data_Entry!F204)</f>
        <v/>
      </c>
      <c r="J206" s="103">
        <f>IF(Human_Data_Entry!BA204="","",Human_Data_Entry!BA204)</f>
        <v/>
      </c>
      <c r="K206" s="103">
        <f>IF(Human_Data_Entry!BB204="","",Human_Data_Entry!BB204)</f>
        <v/>
      </c>
      <c r="L206" s="103">
        <f>IF(Human_Data_Entry!BC204="","",Human_Data_Entry!BC204)</f>
        <v/>
      </c>
      <c r="M206" s="104">
        <f>IF(Human_Data_Entry!BD204="","",Human_Data_Entry!BD204)</f>
        <v/>
      </c>
      <c r="N206" s="104">
        <f>IF(Human_Data_Entry!BE204="","",Human_Data_Entry!BE204)</f>
        <v/>
      </c>
      <c r="O206" s="105">
        <f>IF(Human_Data_Entry!BF204="","",Human_Data_Entry!BF204)</f>
        <v/>
      </c>
      <c r="P206" s="103">
        <f>IF(Human_Data_Entry!BG204="","",Human_Data_Entry!BG204)</f>
        <v/>
      </c>
      <c r="Q206" s="103">
        <f>IF(Human_Data_Entry!BL204="","",Human_Data_Entry!BL204)</f>
        <v/>
      </c>
      <c r="R206" s="103">
        <f>IF(Human_Data_Entry!BH204="","",Human_Data_Entry!BH204)</f>
        <v/>
      </c>
      <c r="S206" s="103">
        <f>IF(Human_Data_Entry!BI204="","",Human_Data_Entry!BI204)</f>
        <v/>
      </c>
      <c r="T206" s="103">
        <f>IF(Human_Data_Entry!BJ204="","",Human_Data_Entry!BJ204)</f>
        <v/>
      </c>
      <c r="U206" s="103">
        <f>IF(Human_Data_Entry!AP204="","",Human_Data_Entry!AP204)</f>
        <v/>
      </c>
      <c r="V206" s="103">
        <f>IF(Human_Data_Entry!AQ204="","",Human_Data_Entry!AQ204)</f>
        <v/>
      </c>
      <c r="W206" s="103">
        <f>IF(Human_Data_Entry!AR204="","",Human_Data_Entry!AR204)</f>
        <v/>
      </c>
      <c r="X206" s="103">
        <f>IF(Human_Data_Entry!BK204="","",Human_Data_Entry!BK204)</f>
        <v/>
      </c>
    </row>
    <row r="207" ht="15" customHeight="1" s="241">
      <c r="A207" s="103">
        <f>IF(Human_Data_Entry!A205="","",Human_Data_Entry!A205)</f>
        <v/>
      </c>
      <c r="B207" s="103">
        <f>IF(Human_Data_Entry!B205="","",Human_Data_Entry!B205)</f>
        <v/>
      </c>
      <c r="C207" s="104">
        <f>IF(Human_Data_Entry!C205="","",Human_Data_Entry!C205)</f>
        <v/>
      </c>
      <c r="D207" s="103">
        <f>IF(Human_Data_Entry!D205="","",Human_Data_Entry!D205)</f>
        <v/>
      </c>
      <c r="E207" s="103">
        <f>IF(Human_Data_Entry!G205="","",Human_Data_Entry!G205)</f>
        <v/>
      </c>
      <c r="F207" s="103">
        <f>IF(Human_Data_Entry!X205="","",Human_Data_Entry!X205)</f>
        <v/>
      </c>
      <c r="G207" s="103">
        <f>IF(Human_Data_Entry!AY205="","",Human_Data_Entry!AY205)</f>
        <v/>
      </c>
      <c r="H207" s="103">
        <f>IF(Human_Data_Entry!AS205="","",Human_Data_Entry!AS205)</f>
        <v/>
      </c>
      <c r="I207" s="103">
        <f>IF(Human_Data_Entry!F205="","",Human_Data_Entry!F205)</f>
        <v/>
      </c>
      <c r="J207" s="103">
        <f>IF(Human_Data_Entry!BA205="","",Human_Data_Entry!BA205)</f>
        <v/>
      </c>
      <c r="K207" s="103">
        <f>IF(Human_Data_Entry!BB205="","",Human_Data_Entry!BB205)</f>
        <v/>
      </c>
      <c r="L207" s="103">
        <f>IF(Human_Data_Entry!BC205="","",Human_Data_Entry!BC205)</f>
        <v/>
      </c>
      <c r="M207" s="104">
        <f>IF(Human_Data_Entry!BD205="","",Human_Data_Entry!BD205)</f>
        <v/>
      </c>
      <c r="N207" s="104">
        <f>IF(Human_Data_Entry!BE205="","",Human_Data_Entry!BE205)</f>
        <v/>
      </c>
      <c r="O207" s="105">
        <f>IF(Human_Data_Entry!BF205="","",Human_Data_Entry!BF205)</f>
        <v/>
      </c>
      <c r="P207" s="103">
        <f>IF(Human_Data_Entry!BG205="","",Human_Data_Entry!BG205)</f>
        <v/>
      </c>
      <c r="Q207" s="103">
        <f>IF(Human_Data_Entry!BL205="","",Human_Data_Entry!BL205)</f>
        <v/>
      </c>
      <c r="R207" s="103">
        <f>IF(Human_Data_Entry!BH205="","",Human_Data_Entry!BH205)</f>
        <v/>
      </c>
      <c r="S207" s="103">
        <f>IF(Human_Data_Entry!BI205="","",Human_Data_Entry!BI205)</f>
        <v/>
      </c>
      <c r="T207" s="103">
        <f>IF(Human_Data_Entry!BJ205="","",Human_Data_Entry!BJ205)</f>
        <v/>
      </c>
      <c r="U207" s="103">
        <f>IF(Human_Data_Entry!AP205="","",Human_Data_Entry!AP205)</f>
        <v/>
      </c>
      <c r="V207" s="103">
        <f>IF(Human_Data_Entry!AQ205="","",Human_Data_Entry!AQ205)</f>
        <v/>
      </c>
      <c r="W207" s="103">
        <f>IF(Human_Data_Entry!AR205="","",Human_Data_Entry!AR205)</f>
        <v/>
      </c>
      <c r="X207" s="103">
        <f>IF(Human_Data_Entry!BK205="","",Human_Data_Entry!BK205)</f>
        <v/>
      </c>
    </row>
    <row r="208" ht="15" customHeight="1" s="241">
      <c r="A208" s="103">
        <f>IF(Human_Data_Entry!A206="","",Human_Data_Entry!A206)</f>
        <v/>
      </c>
      <c r="B208" s="103">
        <f>IF(Human_Data_Entry!B206="","",Human_Data_Entry!B206)</f>
        <v/>
      </c>
      <c r="C208" s="104">
        <f>IF(Human_Data_Entry!C206="","",Human_Data_Entry!C206)</f>
        <v/>
      </c>
      <c r="D208" s="103">
        <f>IF(Human_Data_Entry!D206="","",Human_Data_Entry!D206)</f>
        <v/>
      </c>
      <c r="E208" s="103">
        <f>IF(Human_Data_Entry!G206="","",Human_Data_Entry!G206)</f>
        <v/>
      </c>
      <c r="F208" s="103">
        <f>IF(Human_Data_Entry!X206="","",Human_Data_Entry!X206)</f>
        <v/>
      </c>
      <c r="G208" s="103">
        <f>IF(Human_Data_Entry!AY206="","",Human_Data_Entry!AY206)</f>
        <v/>
      </c>
      <c r="H208" s="103">
        <f>IF(Human_Data_Entry!AS206="","",Human_Data_Entry!AS206)</f>
        <v/>
      </c>
      <c r="I208" s="103">
        <f>IF(Human_Data_Entry!F206="","",Human_Data_Entry!F206)</f>
        <v/>
      </c>
      <c r="J208" s="103">
        <f>IF(Human_Data_Entry!BA206="","",Human_Data_Entry!BA206)</f>
        <v/>
      </c>
      <c r="K208" s="103">
        <f>IF(Human_Data_Entry!BB206="","",Human_Data_Entry!BB206)</f>
        <v/>
      </c>
      <c r="L208" s="103">
        <f>IF(Human_Data_Entry!BC206="","",Human_Data_Entry!BC206)</f>
        <v/>
      </c>
      <c r="M208" s="104">
        <f>IF(Human_Data_Entry!BD206="","",Human_Data_Entry!BD206)</f>
        <v/>
      </c>
      <c r="N208" s="104">
        <f>IF(Human_Data_Entry!BE206="","",Human_Data_Entry!BE206)</f>
        <v/>
      </c>
      <c r="O208" s="105">
        <f>IF(Human_Data_Entry!BF206="","",Human_Data_Entry!BF206)</f>
        <v/>
      </c>
      <c r="P208" s="103">
        <f>IF(Human_Data_Entry!BG206="","",Human_Data_Entry!BG206)</f>
        <v/>
      </c>
      <c r="Q208" s="103">
        <f>IF(Human_Data_Entry!BL206="","",Human_Data_Entry!BL206)</f>
        <v/>
      </c>
      <c r="R208" s="103">
        <f>IF(Human_Data_Entry!BH206="","",Human_Data_Entry!BH206)</f>
        <v/>
      </c>
      <c r="S208" s="103">
        <f>IF(Human_Data_Entry!BI206="","",Human_Data_Entry!BI206)</f>
        <v/>
      </c>
      <c r="T208" s="103">
        <f>IF(Human_Data_Entry!BJ206="","",Human_Data_Entry!BJ206)</f>
        <v/>
      </c>
      <c r="U208" s="103">
        <f>IF(Human_Data_Entry!AP206="","",Human_Data_Entry!AP206)</f>
        <v/>
      </c>
      <c r="V208" s="103">
        <f>IF(Human_Data_Entry!AQ206="","",Human_Data_Entry!AQ206)</f>
        <v/>
      </c>
      <c r="W208" s="103">
        <f>IF(Human_Data_Entry!AR206="","",Human_Data_Entry!AR206)</f>
        <v/>
      </c>
      <c r="X208" s="103">
        <f>IF(Human_Data_Entry!BK206="","",Human_Data_Entry!BK206)</f>
        <v/>
      </c>
    </row>
    <row r="209" ht="15" customHeight="1" s="241">
      <c r="A209" s="103">
        <f>IF(Human_Data_Entry!A207="","",Human_Data_Entry!A207)</f>
        <v/>
      </c>
      <c r="B209" s="103">
        <f>IF(Human_Data_Entry!B207="","",Human_Data_Entry!B207)</f>
        <v/>
      </c>
      <c r="C209" s="104">
        <f>IF(Human_Data_Entry!C207="","",Human_Data_Entry!C207)</f>
        <v/>
      </c>
      <c r="D209" s="103">
        <f>IF(Human_Data_Entry!D207="","",Human_Data_Entry!D207)</f>
        <v/>
      </c>
      <c r="E209" s="103">
        <f>IF(Human_Data_Entry!G207="","",Human_Data_Entry!G207)</f>
        <v/>
      </c>
      <c r="F209" s="103">
        <f>IF(Human_Data_Entry!X207="","",Human_Data_Entry!X207)</f>
        <v/>
      </c>
      <c r="G209" s="103">
        <f>IF(Human_Data_Entry!AY207="","",Human_Data_Entry!AY207)</f>
        <v/>
      </c>
      <c r="H209" s="103">
        <f>IF(Human_Data_Entry!AS207="","",Human_Data_Entry!AS207)</f>
        <v/>
      </c>
      <c r="I209" s="103">
        <f>IF(Human_Data_Entry!F207="","",Human_Data_Entry!F207)</f>
        <v/>
      </c>
      <c r="J209" s="103">
        <f>IF(Human_Data_Entry!BA207="","",Human_Data_Entry!BA207)</f>
        <v/>
      </c>
      <c r="K209" s="103">
        <f>IF(Human_Data_Entry!BB207="","",Human_Data_Entry!BB207)</f>
        <v/>
      </c>
      <c r="L209" s="103">
        <f>IF(Human_Data_Entry!BC207="","",Human_Data_Entry!BC207)</f>
        <v/>
      </c>
      <c r="M209" s="104">
        <f>IF(Human_Data_Entry!BD207="","",Human_Data_Entry!BD207)</f>
        <v/>
      </c>
      <c r="N209" s="104">
        <f>IF(Human_Data_Entry!BE207="","",Human_Data_Entry!BE207)</f>
        <v/>
      </c>
      <c r="O209" s="105">
        <f>IF(Human_Data_Entry!BF207="","",Human_Data_Entry!BF207)</f>
        <v/>
      </c>
      <c r="P209" s="103">
        <f>IF(Human_Data_Entry!BG207="","",Human_Data_Entry!BG207)</f>
        <v/>
      </c>
      <c r="Q209" s="103">
        <f>IF(Human_Data_Entry!BL207="","",Human_Data_Entry!BL207)</f>
        <v/>
      </c>
      <c r="R209" s="103">
        <f>IF(Human_Data_Entry!BH207="","",Human_Data_Entry!BH207)</f>
        <v/>
      </c>
      <c r="S209" s="103">
        <f>IF(Human_Data_Entry!BI207="","",Human_Data_Entry!BI207)</f>
        <v/>
      </c>
      <c r="T209" s="103">
        <f>IF(Human_Data_Entry!BJ207="","",Human_Data_Entry!BJ207)</f>
        <v/>
      </c>
      <c r="U209" s="103">
        <f>IF(Human_Data_Entry!AP207="","",Human_Data_Entry!AP207)</f>
        <v/>
      </c>
      <c r="V209" s="103">
        <f>IF(Human_Data_Entry!AQ207="","",Human_Data_Entry!AQ207)</f>
        <v/>
      </c>
      <c r="W209" s="103">
        <f>IF(Human_Data_Entry!AR207="","",Human_Data_Entry!AR207)</f>
        <v/>
      </c>
      <c r="X209" s="103">
        <f>IF(Human_Data_Entry!BK207="","",Human_Data_Entry!BK207)</f>
        <v/>
      </c>
    </row>
    <row r="210" ht="15" customHeight="1" s="241">
      <c r="A210" s="103">
        <f>IF(Human_Data_Entry!A208="","",Human_Data_Entry!A208)</f>
        <v/>
      </c>
      <c r="B210" s="103">
        <f>IF(Human_Data_Entry!B208="","",Human_Data_Entry!B208)</f>
        <v/>
      </c>
      <c r="C210" s="104">
        <f>IF(Human_Data_Entry!C208="","",Human_Data_Entry!C208)</f>
        <v/>
      </c>
      <c r="D210" s="103">
        <f>IF(Human_Data_Entry!D208="","",Human_Data_Entry!D208)</f>
        <v/>
      </c>
      <c r="E210" s="103">
        <f>IF(Human_Data_Entry!G208="","",Human_Data_Entry!G208)</f>
        <v/>
      </c>
      <c r="F210" s="103">
        <f>IF(Human_Data_Entry!X208="","",Human_Data_Entry!X208)</f>
        <v/>
      </c>
      <c r="G210" s="103">
        <f>IF(Human_Data_Entry!AY208="","",Human_Data_Entry!AY208)</f>
        <v/>
      </c>
      <c r="H210" s="103">
        <f>IF(Human_Data_Entry!AS208="","",Human_Data_Entry!AS208)</f>
        <v/>
      </c>
      <c r="I210" s="103">
        <f>IF(Human_Data_Entry!F208="","",Human_Data_Entry!F208)</f>
        <v/>
      </c>
      <c r="J210" s="103">
        <f>IF(Human_Data_Entry!BA208="","",Human_Data_Entry!BA208)</f>
        <v/>
      </c>
      <c r="K210" s="103">
        <f>IF(Human_Data_Entry!BB208="","",Human_Data_Entry!BB208)</f>
        <v/>
      </c>
      <c r="L210" s="103">
        <f>IF(Human_Data_Entry!BC208="","",Human_Data_Entry!BC208)</f>
        <v/>
      </c>
      <c r="M210" s="104">
        <f>IF(Human_Data_Entry!BD208="","",Human_Data_Entry!BD208)</f>
        <v/>
      </c>
      <c r="N210" s="104">
        <f>IF(Human_Data_Entry!BE208="","",Human_Data_Entry!BE208)</f>
        <v/>
      </c>
      <c r="O210" s="105">
        <f>IF(Human_Data_Entry!BF208="","",Human_Data_Entry!BF208)</f>
        <v/>
      </c>
      <c r="P210" s="103">
        <f>IF(Human_Data_Entry!BG208="","",Human_Data_Entry!BG208)</f>
        <v/>
      </c>
      <c r="Q210" s="103">
        <f>IF(Human_Data_Entry!BL208="","",Human_Data_Entry!BL208)</f>
        <v/>
      </c>
      <c r="R210" s="103">
        <f>IF(Human_Data_Entry!BH208="","",Human_Data_Entry!BH208)</f>
        <v/>
      </c>
      <c r="S210" s="103">
        <f>IF(Human_Data_Entry!BI208="","",Human_Data_Entry!BI208)</f>
        <v/>
      </c>
      <c r="T210" s="103">
        <f>IF(Human_Data_Entry!BJ208="","",Human_Data_Entry!BJ208)</f>
        <v/>
      </c>
      <c r="U210" s="103">
        <f>IF(Human_Data_Entry!AP208="","",Human_Data_Entry!AP208)</f>
        <v/>
      </c>
      <c r="V210" s="103">
        <f>IF(Human_Data_Entry!AQ208="","",Human_Data_Entry!AQ208)</f>
        <v/>
      </c>
      <c r="W210" s="103">
        <f>IF(Human_Data_Entry!AR208="","",Human_Data_Entry!AR208)</f>
        <v/>
      </c>
      <c r="X210" s="103">
        <f>IF(Human_Data_Entry!BK208="","",Human_Data_Entry!BK208)</f>
        <v/>
      </c>
    </row>
    <row r="211" ht="15" customHeight="1" s="241">
      <c r="A211" s="103">
        <f>IF(Human_Data_Entry!A209="","",Human_Data_Entry!A209)</f>
        <v/>
      </c>
      <c r="B211" s="103">
        <f>IF(Human_Data_Entry!B209="","",Human_Data_Entry!B209)</f>
        <v/>
      </c>
      <c r="C211" s="104">
        <f>IF(Human_Data_Entry!C209="","",Human_Data_Entry!C209)</f>
        <v/>
      </c>
      <c r="D211" s="103">
        <f>IF(Human_Data_Entry!D209="","",Human_Data_Entry!D209)</f>
        <v/>
      </c>
      <c r="E211" s="103">
        <f>IF(Human_Data_Entry!G209="","",Human_Data_Entry!G209)</f>
        <v/>
      </c>
      <c r="F211" s="103">
        <f>IF(Human_Data_Entry!X209="","",Human_Data_Entry!X209)</f>
        <v/>
      </c>
      <c r="G211" s="103">
        <f>IF(Human_Data_Entry!AY209="","",Human_Data_Entry!AY209)</f>
        <v/>
      </c>
      <c r="H211" s="103">
        <f>IF(Human_Data_Entry!AS209="","",Human_Data_Entry!AS209)</f>
        <v/>
      </c>
      <c r="I211" s="103">
        <f>IF(Human_Data_Entry!F209="","",Human_Data_Entry!F209)</f>
        <v/>
      </c>
      <c r="J211" s="103">
        <f>IF(Human_Data_Entry!BA209="","",Human_Data_Entry!BA209)</f>
        <v/>
      </c>
      <c r="K211" s="103">
        <f>IF(Human_Data_Entry!BB209="","",Human_Data_Entry!BB209)</f>
        <v/>
      </c>
      <c r="L211" s="103">
        <f>IF(Human_Data_Entry!BC209="","",Human_Data_Entry!BC209)</f>
        <v/>
      </c>
      <c r="M211" s="104">
        <f>IF(Human_Data_Entry!BD209="","",Human_Data_Entry!BD209)</f>
        <v/>
      </c>
      <c r="N211" s="104">
        <f>IF(Human_Data_Entry!BE209="","",Human_Data_Entry!BE209)</f>
        <v/>
      </c>
      <c r="O211" s="105">
        <f>IF(Human_Data_Entry!BF209="","",Human_Data_Entry!BF209)</f>
        <v/>
      </c>
      <c r="P211" s="103">
        <f>IF(Human_Data_Entry!BG209="","",Human_Data_Entry!BG209)</f>
        <v/>
      </c>
      <c r="Q211" s="103">
        <f>IF(Human_Data_Entry!BL209="","",Human_Data_Entry!BL209)</f>
        <v/>
      </c>
      <c r="R211" s="103">
        <f>IF(Human_Data_Entry!BH209="","",Human_Data_Entry!BH209)</f>
        <v/>
      </c>
      <c r="S211" s="103">
        <f>IF(Human_Data_Entry!BI209="","",Human_Data_Entry!BI209)</f>
        <v/>
      </c>
      <c r="T211" s="103">
        <f>IF(Human_Data_Entry!BJ209="","",Human_Data_Entry!BJ209)</f>
        <v/>
      </c>
      <c r="U211" s="103">
        <f>IF(Human_Data_Entry!AP209="","",Human_Data_Entry!AP209)</f>
        <v/>
      </c>
      <c r="V211" s="103">
        <f>IF(Human_Data_Entry!AQ209="","",Human_Data_Entry!AQ209)</f>
        <v/>
      </c>
      <c r="W211" s="103">
        <f>IF(Human_Data_Entry!AR209="","",Human_Data_Entry!AR209)</f>
        <v/>
      </c>
      <c r="X211" s="103">
        <f>IF(Human_Data_Entry!BK209="","",Human_Data_Entry!BK209)</f>
        <v/>
      </c>
    </row>
    <row r="212" ht="15" customHeight="1" s="241">
      <c r="A212" s="103">
        <f>IF(Human_Data_Entry!A210="","",Human_Data_Entry!A210)</f>
        <v/>
      </c>
      <c r="B212" s="103">
        <f>IF(Human_Data_Entry!B210="","",Human_Data_Entry!B210)</f>
        <v/>
      </c>
      <c r="C212" s="104">
        <f>IF(Human_Data_Entry!C210="","",Human_Data_Entry!C210)</f>
        <v/>
      </c>
      <c r="D212" s="103">
        <f>IF(Human_Data_Entry!D210="","",Human_Data_Entry!D210)</f>
        <v/>
      </c>
      <c r="E212" s="103">
        <f>IF(Human_Data_Entry!G210="","",Human_Data_Entry!G210)</f>
        <v/>
      </c>
      <c r="F212" s="103">
        <f>IF(Human_Data_Entry!X210="","",Human_Data_Entry!X210)</f>
        <v/>
      </c>
      <c r="G212" s="103">
        <f>IF(Human_Data_Entry!AY210="","",Human_Data_Entry!AY210)</f>
        <v/>
      </c>
      <c r="H212" s="103">
        <f>IF(Human_Data_Entry!AS210="","",Human_Data_Entry!AS210)</f>
        <v/>
      </c>
      <c r="I212" s="103">
        <f>IF(Human_Data_Entry!F210="","",Human_Data_Entry!F210)</f>
        <v/>
      </c>
      <c r="J212" s="103">
        <f>IF(Human_Data_Entry!BA210="","",Human_Data_Entry!BA210)</f>
        <v/>
      </c>
      <c r="K212" s="103">
        <f>IF(Human_Data_Entry!BB210="","",Human_Data_Entry!BB210)</f>
        <v/>
      </c>
      <c r="L212" s="103">
        <f>IF(Human_Data_Entry!BC210="","",Human_Data_Entry!BC210)</f>
        <v/>
      </c>
      <c r="M212" s="104">
        <f>IF(Human_Data_Entry!BD210="","",Human_Data_Entry!BD210)</f>
        <v/>
      </c>
      <c r="N212" s="104">
        <f>IF(Human_Data_Entry!BE210="","",Human_Data_Entry!BE210)</f>
        <v/>
      </c>
      <c r="O212" s="105">
        <f>IF(Human_Data_Entry!BF210="","",Human_Data_Entry!BF210)</f>
        <v/>
      </c>
      <c r="P212" s="103">
        <f>IF(Human_Data_Entry!BG210="","",Human_Data_Entry!BG210)</f>
        <v/>
      </c>
      <c r="Q212" s="103">
        <f>IF(Human_Data_Entry!BL210="","",Human_Data_Entry!BL210)</f>
        <v/>
      </c>
      <c r="R212" s="103">
        <f>IF(Human_Data_Entry!BH210="","",Human_Data_Entry!BH210)</f>
        <v/>
      </c>
      <c r="S212" s="103">
        <f>IF(Human_Data_Entry!BI210="","",Human_Data_Entry!BI210)</f>
        <v/>
      </c>
      <c r="T212" s="103">
        <f>IF(Human_Data_Entry!BJ210="","",Human_Data_Entry!BJ210)</f>
        <v/>
      </c>
      <c r="U212" s="103">
        <f>IF(Human_Data_Entry!AP210="","",Human_Data_Entry!AP210)</f>
        <v/>
      </c>
      <c r="V212" s="103">
        <f>IF(Human_Data_Entry!AQ210="","",Human_Data_Entry!AQ210)</f>
        <v/>
      </c>
      <c r="W212" s="103">
        <f>IF(Human_Data_Entry!AR210="","",Human_Data_Entry!AR210)</f>
        <v/>
      </c>
      <c r="X212" s="103">
        <f>IF(Human_Data_Entry!BK210="","",Human_Data_Entry!BK210)</f>
        <v/>
      </c>
    </row>
    <row r="213" ht="15" customHeight="1" s="241">
      <c r="A213" s="103">
        <f>IF(Human_Data_Entry!A211="","",Human_Data_Entry!A211)</f>
        <v/>
      </c>
      <c r="B213" s="103">
        <f>IF(Human_Data_Entry!B211="","",Human_Data_Entry!B211)</f>
        <v/>
      </c>
      <c r="C213" s="104">
        <f>IF(Human_Data_Entry!C211="","",Human_Data_Entry!C211)</f>
        <v/>
      </c>
      <c r="D213" s="103">
        <f>IF(Human_Data_Entry!D211="","",Human_Data_Entry!D211)</f>
        <v/>
      </c>
      <c r="E213" s="103">
        <f>IF(Human_Data_Entry!G211="","",Human_Data_Entry!G211)</f>
        <v/>
      </c>
      <c r="F213" s="103">
        <f>IF(Human_Data_Entry!X211="","",Human_Data_Entry!X211)</f>
        <v/>
      </c>
      <c r="G213" s="103">
        <f>IF(Human_Data_Entry!AY211="","",Human_Data_Entry!AY211)</f>
        <v/>
      </c>
      <c r="H213" s="103">
        <f>IF(Human_Data_Entry!AS211="","",Human_Data_Entry!AS211)</f>
        <v/>
      </c>
      <c r="I213" s="103">
        <f>IF(Human_Data_Entry!F211="","",Human_Data_Entry!F211)</f>
        <v/>
      </c>
      <c r="J213" s="103">
        <f>IF(Human_Data_Entry!BA211="","",Human_Data_Entry!BA211)</f>
        <v/>
      </c>
      <c r="K213" s="103">
        <f>IF(Human_Data_Entry!BB211="","",Human_Data_Entry!BB211)</f>
        <v/>
      </c>
      <c r="L213" s="103">
        <f>IF(Human_Data_Entry!BC211="","",Human_Data_Entry!BC211)</f>
        <v/>
      </c>
      <c r="M213" s="104">
        <f>IF(Human_Data_Entry!BD211="","",Human_Data_Entry!BD211)</f>
        <v/>
      </c>
      <c r="N213" s="104">
        <f>IF(Human_Data_Entry!BE211="","",Human_Data_Entry!BE211)</f>
        <v/>
      </c>
      <c r="O213" s="105">
        <f>IF(Human_Data_Entry!BF211="","",Human_Data_Entry!BF211)</f>
        <v/>
      </c>
      <c r="P213" s="103">
        <f>IF(Human_Data_Entry!BG211="","",Human_Data_Entry!BG211)</f>
        <v/>
      </c>
      <c r="Q213" s="103">
        <f>IF(Human_Data_Entry!BL211="","",Human_Data_Entry!BL211)</f>
        <v/>
      </c>
      <c r="R213" s="103">
        <f>IF(Human_Data_Entry!BH211="","",Human_Data_Entry!BH211)</f>
        <v/>
      </c>
      <c r="S213" s="103">
        <f>IF(Human_Data_Entry!BI211="","",Human_Data_Entry!BI211)</f>
        <v/>
      </c>
      <c r="T213" s="103">
        <f>IF(Human_Data_Entry!BJ211="","",Human_Data_Entry!BJ211)</f>
        <v/>
      </c>
      <c r="U213" s="103">
        <f>IF(Human_Data_Entry!AP211="","",Human_Data_Entry!AP211)</f>
        <v/>
      </c>
      <c r="V213" s="103">
        <f>IF(Human_Data_Entry!AQ211="","",Human_Data_Entry!AQ211)</f>
        <v/>
      </c>
      <c r="W213" s="103">
        <f>IF(Human_Data_Entry!AR211="","",Human_Data_Entry!AR211)</f>
        <v/>
      </c>
      <c r="X213" s="103">
        <f>IF(Human_Data_Entry!BK211="","",Human_Data_Entry!BK211)</f>
        <v/>
      </c>
    </row>
    <row r="214" ht="15" customHeight="1" s="241">
      <c r="A214" s="103">
        <f>IF(Human_Data_Entry!A212="","",Human_Data_Entry!A212)</f>
        <v/>
      </c>
      <c r="B214" s="103">
        <f>IF(Human_Data_Entry!B212="","",Human_Data_Entry!B212)</f>
        <v/>
      </c>
      <c r="C214" s="104">
        <f>IF(Human_Data_Entry!C212="","",Human_Data_Entry!C212)</f>
        <v/>
      </c>
      <c r="D214" s="103">
        <f>IF(Human_Data_Entry!D212="","",Human_Data_Entry!D212)</f>
        <v/>
      </c>
      <c r="E214" s="103">
        <f>IF(Human_Data_Entry!G212="","",Human_Data_Entry!G212)</f>
        <v/>
      </c>
      <c r="F214" s="103">
        <f>IF(Human_Data_Entry!X212="","",Human_Data_Entry!X212)</f>
        <v/>
      </c>
      <c r="G214" s="103">
        <f>IF(Human_Data_Entry!AY212="","",Human_Data_Entry!AY212)</f>
        <v/>
      </c>
      <c r="H214" s="103">
        <f>IF(Human_Data_Entry!AS212="","",Human_Data_Entry!AS212)</f>
        <v/>
      </c>
      <c r="I214" s="103">
        <f>IF(Human_Data_Entry!F212="","",Human_Data_Entry!F212)</f>
        <v/>
      </c>
      <c r="J214" s="103">
        <f>IF(Human_Data_Entry!BA212="","",Human_Data_Entry!BA212)</f>
        <v/>
      </c>
      <c r="K214" s="103">
        <f>IF(Human_Data_Entry!BB212="","",Human_Data_Entry!BB212)</f>
        <v/>
      </c>
      <c r="L214" s="103">
        <f>IF(Human_Data_Entry!BC212="","",Human_Data_Entry!BC212)</f>
        <v/>
      </c>
      <c r="M214" s="104">
        <f>IF(Human_Data_Entry!BD212="","",Human_Data_Entry!BD212)</f>
        <v/>
      </c>
      <c r="N214" s="104">
        <f>IF(Human_Data_Entry!BE212="","",Human_Data_Entry!BE212)</f>
        <v/>
      </c>
      <c r="O214" s="105">
        <f>IF(Human_Data_Entry!BF212="","",Human_Data_Entry!BF212)</f>
        <v/>
      </c>
      <c r="P214" s="103">
        <f>IF(Human_Data_Entry!BG212="","",Human_Data_Entry!BG212)</f>
        <v/>
      </c>
      <c r="Q214" s="103">
        <f>IF(Human_Data_Entry!BL212="","",Human_Data_Entry!BL212)</f>
        <v/>
      </c>
      <c r="R214" s="103">
        <f>IF(Human_Data_Entry!BH212="","",Human_Data_Entry!BH212)</f>
        <v/>
      </c>
      <c r="S214" s="103">
        <f>IF(Human_Data_Entry!BI212="","",Human_Data_Entry!BI212)</f>
        <v/>
      </c>
      <c r="T214" s="103">
        <f>IF(Human_Data_Entry!BJ212="","",Human_Data_Entry!BJ212)</f>
        <v/>
      </c>
      <c r="U214" s="103">
        <f>IF(Human_Data_Entry!AP212="","",Human_Data_Entry!AP212)</f>
        <v/>
      </c>
      <c r="V214" s="103">
        <f>IF(Human_Data_Entry!AQ212="","",Human_Data_Entry!AQ212)</f>
        <v/>
      </c>
      <c r="W214" s="103">
        <f>IF(Human_Data_Entry!AR212="","",Human_Data_Entry!AR212)</f>
        <v/>
      </c>
      <c r="X214" s="103">
        <f>IF(Human_Data_Entry!BK212="","",Human_Data_Entry!BK212)</f>
        <v/>
      </c>
    </row>
    <row r="215" ht="15" customHeight="1" s="241">
      <c r="A215" s="103">
        <f>IF(Human_Data_Entry!A213="","",Human_Data_Entry!A213)</f>
        <v/>
      </c>
      <c r="B215" s="103">
        <f>IF(Human_Data_Entry!B213="","",Human_Data_Entry!B213)</f>
        <v/>
      </c>
      <c r="C215" s="104">
        <f>IF(Human_Data_Entry!C213="","",Human_Data_Entry!C213)</f>
        <v/>
      </c>
      <c r="D215" s="103">
        <f>IF(Human_Data_Entry!D213="","",Human_Data_Entry!D213)</f>
        <v/>
      </c>
      <c r="E215" s="103">
        <f>IF(Human_Data_Entry!G213="","",Human_Data_Entry!G213)</f>
        <v/>
      </c>
      <c r="F215" s="103">
        <f>IF(Human_Data_Entry!X213="","",Human_Data_Entry!X213)</f>
        <v/>
      </c>
      <c r="G215" s="103">
        <f>IF(Human_Data_Entry!AY213="","",Human_Data_Entry!AY213)</f>
        <v/>
      </c>
      <c r="H215" s="103">
        <f>IF(Human_Data_Entry!AS213="","",Human_Data_Entry!AS213)</f>
        <v/>
      </c>
      <c r="I215" s="103">
        <f>IF(Human_Data_Entry!F213="","",Human_Data_Entry!F213)</f>
        <v/>
      </c>
      <c r="J215" s="103">
        <f>IF(Human_Data_Entry!BA213="","",Human_Data_Entry!BA213)</f>
        <v/>
      </c>
      <c r="K215" s="103">
        <f>IF(Human_Data_Entry!BB213="","",Human_Data_Entry!BB213)</f>
        <v/>
      </c>
      <c r="L215" s="103">
        <f>IF(Human_Data_Entry!BC213="","",Human_Data_Entry!BC213)</f>
        <v/>
      </c>
      <c r="M215" s="104">
        <f>IF(Human_Data_Entry!BD213="","",Human_Data_Entry!BD213)</f>
        <v/>
      </c>
      <c r="N215" s="104">
        <f>IF(Human_Data_Entry!BE213="","",Human_Data_Entry!BE213)</f>
        <v/>
      </c>
      <c r="O215" s="105">
        <f>IF(Human_Data_Entry!BF213="","",Human_Data_Entry!BF213)</f>
        <v/>
      </c>
      <c r="P215" s="103">
        <f>IF(Human_Data_Entry!BG213="","",Human_Data_Entry!BG213)</f>
        <v/>
      </c>
      <c r="Q215" s="103">
        <f>IF(Human_Data_Entry!BL213="","",Human_Data_Entry!BL213)</f>
        <v/>
      </c>
      <c r="R215" s="103">
        <f>IF(Human_Data_Entry!BH213="","",Human_Data_Entry!BH213)</f>
        <v/>
      </c>
      <c r="S215" s="103">
        <f>IF(Human_Data_Entry!BI213="","",Human_Data_Entry!BI213)</f>
        <v/>
      </c>
      <c r="T215" s="103">
        <f>IF(Human_Data_Entry!BJ213="","",Human_Data_Entry!BJ213)</f>
        <v/>
      </c>
      <c r="U215" s="103">
        <f>IF(Human_Data_Entry!AP213="","",Human_Data_Entry!AP213)</f>
        <v/>
      </c>
      <c r="V215" s="103">
        <f>IF(Human_Data_Entry!AQ213="","",Human_Data_Entry!AQ213)</f>
        <v/>
      </c>
      <c r="W215" s="103">
        <f>IF(Human_Data_Entry!AR213="","",Human_Data_Entry!AR213)</f>
        <v/>
      </c>
      <c r="X215" s="103">
        <f>IF(Human_Data_Entry!BK213="","",Human_Data_Entry!BK213)</f>
        <v/>
      </c>
    </row>
    <row r="216" ht="15" customHeight="1" s="241">
      <c r="A216" s="103">
        <f>IF(Human_Data_Entry!A214="","",Human_Data_Entry!A214)</f>
        <v/>
      </c>
      <c r="B216" s="103">
        <f>IF(Human_Data_Entry!B214="","",Human_Data_Entry!B214)</f>
        <v/>
      </c>
      <c r="C216" s="104">
        <f>IF(Human_Data_Entry!C214="","",Human_Data_Entry!C214)</f>
        <v/>
      </c>
      <c r="D216" s="103">
        <f>IF(Human_Data_Entry!D214="","",Human_Data_Entry!D214)</f>
        <v/>
      </c>
      <c r="E216" s="103">
        <f>IF(Human_Data_Entry!G214="","",Human_Data_Entry!G214)</f>
        <v/>
      </c>
      <c r="F216" s="103">
        <f>IF(Human_Data_Entry!X214="","",Human_Data_Entry!X214)</f>
        <v/>
      </c>
      <c r="G216" s="103">
        <f>IF(Human_Data_Entry!AY214="","",Human_Data_Entry!AY214)</f>
        <v/>
      </c>
      <c r="H216" s="103">
        <f>IF(Human_Data_Entry!AS214="","",Human_Data_Entry!AS214)</f>
        <v/>
      </c>
      <c r="I216" s="103">
        <f>IF(Human_Data_Entry!F214="","",Human_Data_Entry!F214)</f>
        <v/>
      </c>
      <c r="J216" s="103">
        <f>IF(Human_Data_Entry!BA214="","",Human_Data_Entry!BA214)</f>
        <v/>
      </c>
      <c r="K216" s="103">
        <f>IF(Human_Data_Entry!BB214="","",Human_Data_Entry!BB214)</f>
        <v/>
      </c>
      <c r="L216" s="103">
        <f>IF(Human_Data_Entry!BC214="","",Human_Data_Entry!BC214)</f>
        <v/>
      </c>
      <c r="M216" s="104">
        <f>IF(Human_Data_Entry!BD214="","",Human_Data_Entry!BD214)</f>
        <v/>
      </c>
      <c r="N216" s="104">
        <f>IF(Human_Data_Entry!BE214="","",Human_Data_Entry!BE214)</f>
        <v/>
      </c>
      <c r="O216" s="105">
        <f>IF(Human_Data_Entry!BF214="","",Human_Data_Entry!BF214)</f>
        <v/>
      </c>
      <c r="P216" s="103">
        <f>IF(Human_Data_Entry!BG214="","",Human_Data_Entry!BG214)</f>
        <v/>
      </c>
      <c r="Q216" s="103">
        <f>IF(Human_Data_Entry!BL214="","",Human_Data_Entry!BL214)</f>
        <v/>
      </c>
      <c r="R216" s="103">
        <f>IF(Human_Data_Entry!BH214="","",Human_Data_Entry!BH214)</f>
        <v/>
      </c>
      <c r="S216" s="103">
        <f>IF(Human_Data_Entry!BI214="","",Human_Data_Entry!BI214)</f>
        <v/>
      </c>
      <c r="T216" s="103">
        <f>IF(Human_Data_Entry!BJ214="","",Human_Data_Entry!BJ214)</f>
        <v/>
      </c>
      <c r="U216" s="103">
        <f>IF(Human_Data_Entry!AP214="","",Human_Data_Entry!AP214)</f>
        <v/>
      </c>
      <c r="V216" s="103">
        <f>IF(Human_Data_Entry!AQ214="","",Human_Data_Entry!AQ214)</f>
        <v/>
      </c>
      <c r="W216" s="103">
        <f>IF(Human_Data_Entry!AR214="","",Human_Data_Entry!AR214)</f>
        <v/>
      </c>
      <c r="X216" s="103">
        <f>IF(Human_Data_Entry!BK214="","",Human_Data_Entry!BK214)</f>
        <v/>
      </c>
    </row>
    <row r="217" ht="15" customHeight="1" s="241">
      <c r="A217" s="103">
        <f>IF(Human_Data_Entry!A215="","",Human_Data_Entry!A215)</f>
        <v/>
      </c>
      <c r="B217" s="103">
        <f>IF(Human_Data_Entry!B215="","",Human_Data_Entry!B215)</f>
        <v/>
      </c>
      <c r="C217" s="104">
        <f>IF(Human_Data_Entry!C215="","",Human_Data_Entry!C215)</f>
        <v/>
      </c>
      <c r="D217" s="103">
        <f>IF(Human_Data_Entry!D215="","",Human_Data_Entry!D215)</f>
        <v/>
      </c>
      <c r="E217" s="103">
        <f>IF(Human_Data_Entry!G215="","",Human_Data_Entry!G215)</f>
        <v/>
      </c>
      <c r="F217" s="103">
        <f>IF(Human_Data_Entry!X215="","",Human_Data_Entry!X215)</f>
        <v/>
      </c>
      <c r="G217" s="103">
        <f>IF(Human_Data_Entry!AY215="","",Human_Data_Entry!AY215)</f>
        <v/>
      </c>
      <c r="H217" s="103">
        <f>IF(Human_Data_Entry!AS215="","",Human_Data_Entry!AS215)</f>
        <v/>
      </c>
      <c r="I217" s="103">
        <f>IF(Human_Data_Entry!F215="","",Human_Data_Entry!F215)</f>
        <v/>
      </c>
      <c r="J217" s="103">
        <f>IF(Human_Data_Entry!BA215="","",Human_Data_Entry!BA215)</f>
        <v/>
      </c>
      <c r="K217" s="103">
        <f>IF(Human_Data_Entry!BB215="","",Human_Data_Entry!BB215)</f>
        <v/>
      </c>
      <c r="L217" s="103">
        <f>IF(Human_Data_Entry!BC215="","",Human_Data_Entry!BC215)</f>
        <v/>
      </c>
      <c r="M217" s="104">
        <f>IF(Human_Data_Entry!BD215="","",Human_Data_Entry!BD215)</f>
        <v/>
      </c>
      <c r="N217" s="104">
        <f>IF(Human_Data_Entry!BE215="","",Human_Data_Entry!BE215)</f>
        <v/>
      </c>
      <c r="O217" s="105">
        <f>IF(Human_Data_Entry!BF215="","",Human_Data_Entry!BF215)</f>
        <v/>
      </c>
      <c r="P217" s="103">
        <f>IF(Human_Data_Entry!BG215="","",Human_Data_Entry!BG215)</f>
        <v/>
      </c>
      <c r="Q217" s="103">
        <f>IF(Human_Data_Entry!BL215="","",Human_Data_Entry!BL215)</f>
        <v/>
      </c>
      <c r="R217" s="103">
        <f>IF(Human_Data_Entry!BH215="","",Human_Data_Entry!BH215)</f>
        <v/>
      </c>
      <c r="S217" s="103">
        <f>IF(Human_Data_Entry!BI215="","",Human_Data_Entry!BI215)</f>
        <v/>
      </c>
      <c r="T217" s="103">
        <f>IF(Human_Data_Entry!BJ215="","",Human_Data_Entry!BJ215)</f>
        <v/>
      </c>
      <c r="U217" s="103">
        <f>IF(Human_Data_Entry!AP215="","",Human_Data_Entry!AP215)</f>
        <v/>
      </c>
      <c r="V217" s="103">
        <f>IF(Human_Data_Entry!AQ215="","",Human_Data_Entry!AQ215)</f>
        <v/>
      </c>
      <c r="W217" s="103">
        <f>IF(Human_Data_Entry!AR215="","",Human_Data_Entry!AR215)</f>
        <v/>
      </c>
      <c r="X217" s="103">
        <f>IF(Human_Data_Entry!BK215="","",Human_Data_Entry!BK215)</f>
        <v/>
      </c>
    </row>
    <row r="218" ht="15" customHeight="1" s="241">
      <c r="A218" s="103">
        <f>IF(Human_Data_Entry!A216="","",Human_Data_Entry!A216)</f>
        <v/>
      </c>
      <c r="B218" s="103">
        <f>IF(Human_Data_Entry!B216="","",Human_Data_Entry!B216)</f>
        <v/>
      </c>
      <c r="C218" s="104">
        <f>IF(Human_Data_Entry!C216="","",Human_Data_Entry!C216)</f>
        <v/>
      </c>
      <c r="D218" s="103">
        <f>IF(Human_Data_Entry!D216="","",Human_Data_Entry!D216)</f>
        <v/>
      </c>
      <c r="E218" s="103">
        <f>IF(Human_Data_Entry!G216="","",Human_Data_Entry!G216)</f>
        <v/>
      </c>
      <c r="F218" s="103">
        <f>IF(Human_Data_Entry!X216="","",Human_Data_Entry!X216)</f>
        <v/>
      </c>
      <c r="G218" s="103">
        <f>IF(Human_Data_Entry!AY216="","",Human_Data_Entry!AY216)</f>
        <v/>
      </c>
      <c r="H218" s="103">
        <f>IF(Human_Data_Entry!AS216="","",Human_Data_Entry!AS216)</f>
        <v/>
      </c>
      <c r="I218" s="103">
        <f>IF(Human_Data_Entry!F216="","",Human_Data_Entry!F216)</f>
        <v/>
      </c>
      <c r="J218" s="103">
        <f>IF(Human_Data_Entry!BA216="","",Human_Data_Entry!BA216)</f>
        <v/>
      </c>
      <c r="K218" s="103">
        <f>IF(Human_Data_Entry!BB216="","",Human_Data_Entry!BB216)</f>
        <v/>
      </c>
      <c r="L218" s="103">
        <f>IF(Human_Data_Entry!BC216="","",Human_Data_Entry!BC216)</f>
        <v/>
      </c>
      <c r="M218" s="104">
        <f>IF(Human_Data_Entry!BD216="","",Human_Data_Entry!BD216)</f>
        <v/>
      </c>
      <c r="N218" s="104">
        <f>IF(Human_Data_Entry!BE216="","",Human_Data_Entry!BE216)</f>
        <v/>
      </c>
      <c r="O218" s="105">
        <f>IF(Human_Data_Entry!BF216="","",Human_Data_Entry!BF216)</f>
        <v/>
      </c>
      <c r="P218" s="103">
        <f>IF(Human_Data_Entry!BG216="","",Human_Data_Entry!BG216)</f>
        <v/>
      </c>
      <c r="Q218" s="103">
        <f>IF(Human_Data_Entry!BL216="","",Human_Data_Entry!BL216)</f>
        <v/>
      </c>
      <c r="R218" s="103">
        <f>IF(Human_Data_Entry!BH216="","",Human_Data_Entry!BH216)</f>
        <v/>
      </c>
      <c r="S218" s="103">
        <f>IF(Human_Data_Entry!BI216="","",Human_Data_Entry!BI216)</f>
        <v/>
      </c>
      <c r="T218" s="103">
        <f>IF(Human_Data_Entry!BJ216="","",Human_Data_Entry!BJ216)</f>
        <v/>
      </c>
      <c r="U218" s="103">
        <f>IF(Human_Data_Entry!AP216="","",Human_Data_Entry!AP216)</f>
        <v/>
      </c>
      <c r="V218" s="103">
        <f>IF(Human_Data_Entry!AQ216="","",Human_Data_Entry!AQ216)</f>
        <v/>
      </c>
      <c r="W218" s="103">
        <f>IF(Human_Data_Entry!AR216="","",Human_Data_Entry!AR216)</f>
        <v/>
      </c>
      <c r="X218" s="103">
        <f>IF(Human_Data_Entry!BK216="","",Human_Data_Entry!BK216)</f>
        <v/>
      </c>
    </row>
    <row r="219" ht="15" customHeight="1" s="241">
      <c r="A219" s="103">
        <f>IF(Human_Data_Entry!A217="","",Human_Data_Entry!A217)</f>
        <v/>
      </c>
      <c r="B219" s="103">
        <f>IF(Human_Data_Entry!B217="","",Human_Data_Entry!B217)</f>
        <v/>
      </c>
      <c r="C219" s="104">
        <f>IF(Human_Data_Entry!C217="","",Human_Data_Entry!C217)</f>
        <v/>
      </c>
      <c r="D219" s="103">
        <f>IF(Human_Data_Entry!D217="","",Human_Data_Entry!D217)</f>
        <v/>
      </c>
      <c r="E219" s="103">
        <f>IF(Human_Data_Entry!G217="","",Human_Data_Entry!G217)</f>
        <v/>
      </c>
      <c r="F219" s="103">
        <f>IF(Human_Data_Entry!X217="","",Human_Data_Entry!X217)</f>
        <v/>
      </c>
      <c r="G219" s="103">
        <f>IF(Human_Data_Entry!AY217="","",Human_Data_Entry!AY217)</f>
        <v/>
      </c>
      <c r="H219" s="103">
        <f>IF(Human_Data_Entry!AS217="","",Human_Data_Entry!AS217)</f>
        <v/>
      </c>
      <c r="I219" s="103">
        <f>IF(Human_Data_Entry!F217="","",Human_Data_Entry!F217)</f>
        <v/>
      </c>
      <c r="J219" s="103">
        <f>IF(Human_Data_Entry!BA217="","",Human_Data_Entry!BA217)</f>
        <v/>
      </c>
      <c r="K219" s="103">
        <f>IF(Human_Data_Entry!BB217="","",Human_Data_Entry!BB217)</f>
        <v/>
      </c>
      <c r="L219" s="103">
        <f>IF(Human_Data_Entry!BC217="","",Human_Data_Entry!BC217)</f>
        <v/>
      </c>
      <c r="M219" s="104">
        <f>IF(Human_Data_Entry!BD217="","",Human_Data_Entry!BD217)</f>
        <v/>
      </c>
      <c r="N219" s="104">
        <f>IF(Human_Data_Entry!BE217="","",Human_Data_Entry!BE217)</f>
        <v/>
      </c>
      <c r="O219" s="105">
        <f>IF(Human_Data_Entry!BF217="","",Human_Data_Entry!BF217)</f>
        <v/>
      </c>
      <c r="P219" s="103">
        <f>IF(Human_Data_Entry!BG217="","",Human_Data_Entry!BG217)</f>
        <v/>
      </c>
      <c r="Q219" s="103">
        <f>IF(Human_Data_Entry!BL217="","",Human_Data_Entry!BL217)</f>
        <v/>
      </c>
      <c r="R219" s="103">
        <f>IF(Human_Data_Entry!BH217="","",Human_Data_Entry!BH217)</f>
        <v/>
      </c>
      <c r="S219" s="103">
        <f>IF(Human_Data_Entry!BI217="","",Human_Data_Entry!BI217)</f>
        <v/>
      </c>
      <c r="T219" s="103">
        <f>IF(Human_Data_Entry!BJ217="","",Human_Data_Entry!BJ217)</f>
        <v/>
      </c>
      <c r="U219" s="103">
        <f>IF(Human_Data_Entry!AP217="","",Human_Data_Entry!AP217)</f>
        <v/>
      </c>
      <c r="V219" s="103">
        <f>IF(Human_Data_Entry!AQ217="","",Human_Data_Entry!AQ217)</f>
        <v/>
      </c>
      <c r="W219" s="103">
        <f>IF(Human_Data_Entry!AR217="","",Human_Data_Entry!AR217)</f>
        <v/>
      </c>
      <c r="X219" s="103">
        <f>IF(Human_Data_Entry!BK217="","",Human_Data_Entry!BK217)</f>
        <v/>
      </c>
    </row>
    <row r="220" ht="15" customHeight="1" s="241">
      <c r="A220" s="103">
        <f>IF(Human_Data_Entry!A218="","",Human_Data_Entry!A218)</f>
        <v/>
      </c>
      <c r="B220" s="103">
        <f>IF(Human_Data_Entry!B218="","",Human_Data_Entry!B218)</f>
        <v/>
      </c>
      <c r="C220" s="104">
        <f>IF(Human_Data_Entry!C218="","",Human_Data_Entry!C218)</f>
        <v/>
      </c>
      <c r="D220" s="103">
        <f>IF(Human_Data_Entry!D218="","",Human_Data_Entry!D218)</f>
        <v/>
      </c>
      <c r="E220" s="103">
        <f>IF(Human_Data_Entry!G218="","",Human_Data_Entry!G218)</f>
        <v/>
      </c>
      <c r="F220" s="103">
        <f>IF(Human_Data_Entry!X218="","",Human_Data_Entry!X218)</f>
        <v/>
      </c>
      <c r="G220" s="103">
        <f>IF(Human_Data_Entry!AY218="","",Human_Data_Entry!AY218)</f>
        <v/>
      </c>
      <c r="H220" s="103">
        <f>IF(Human_Data_Entry!AS218="","",Human_Data_Entry!AS218)</f>
        <v/>
      </c>
      <c r="I220" s="103">
        <f>IF(Human_Data_Entry!F218="","",Human_Data_Entry!F218)</f>
        <v/>
      </c>
      <c r="J220" s="103">
        <f>IF(Human_Data_Entry!BA218="","",Human_Data_Entry!BA218)</f>
        <v/>
      </c>
      <c r="K220" s="103">
        <f>IF(Human_Data_Entry!BB218="","",Human_Data_Entry!BB218)</f>
        <v/>
      </c>
      <c r="L220" s="103">
        <f>IF(Human_Data_Entry!BC218="","",Human_Data_Entry!BC218)</f>
        <v/>
      </c>
      <c r="M220" s="104">
        <f>IF(Human_Data_Entry!BD218="","",Human_Data_Entry!BD218)</f>
        <v/>
      </c>
      <c r="N220" s="104">
        <f>IF(Human_Data_Entry!BE218="","",Human_Data_Entry!BE218)</f>
        <v/>
      </c>
      <c r="O220" s="105">
        <f>IF(Human_Data_Entry!BF218="","",Human_Data_Entry!BF218)</f>
        <v/>
      </c>
      <c r="P220" s="103">
        <f>IF(Human_Data_Entry!BG218="","",Human_Data_Entry!BG218)</f>
        <v/>
      </c>
      <c r="Q220" s="103">
        <f>IF(Human_Data_Entry!BL218="","",Human_Data_Entry!BL218)</f>
        <v/>
      </c>
      <c r="R220" s="103">
        <f>IF(Human_Data_Entry!BH218="","",Human_Data_Entry!BH218)</f>
        <v/>
      </c>
      <c r="S220" s="103">
        <f>IF(Human_Data_Entry!BI218="","",Human_Data_Entry!BI218)</f>
        <v/>
      </c>
      <c r="T220" s="103">
        <f>IF(Human_Data_Entry!BJ218="","",Human_Data_Entry!BJ218)</f>
        <v/>
      </c>
      <c r="U220" s="103">
        <f>IF(Human_Data_Entry!AP218="","",Human_Data_Entry!AP218)</f>
        <v/>
      </c>
      <c r="V220" s="103">
        <f>IF(Human_Data_Entry!AQ218="","",Human_Data_Entry!AQ218)</f>
        <v/>
      </c>
      <c r="W220" s="103">
        <f>IF(Human_Data_Entry!AR218="","",Human_Data_Entry!AR218)</f>
        <v/>
      </c>
      <c r="X220" s="103">
        <f>IF(Human_Data_Entry!BK218="","",Human_Data_Entry!BK218)</f>
        <v/>
      </c>
    </row>
    <row r="221" ht="15" customHeight="1" s="241">
      <c r="A221" s="103">
        <f>IF(Human_Data_Entry!A219="","",Human_Data_Entry!A219)</f>
        <v/>
      </c>
      <c r="B221" s="103">
        <f>IF(Human_Data_Entry!B219="","",Human_Data_Entry!B219)</f>
        <v/>
      </c>
      <c r="C221" s="104">
        <f>IF(Human_Data_Entry!C219="","",Human_Data_Entry!C219)</f>
        <v/>
      </c>
      <c r="D221" s="103">
        <f>IF(Human_Data_Entry!D219="","",Human_Data_Entry!D219)</f>
        <v/>
      </c>
      <c r="E221" s="103">
        <f>IF(Human_Data_Entry!G219="","",Human_Data_Entry!G219)</f>
        <v/>
      </c>
      <c r="F221" s="103">
        <f>IF(Human_Data_Entry!X219="","",Human_Data_Entry!X219)</f>
        <v/>
      </c>
      <c r="G221" s="103">
        <f>IF(Human_Data_Entry!AY219="","",Human_Data_Entry!AY219)</f>
        <v/>
      </c>
      <c r="H221" s="103">
        <f>IF(Human_Data_Entry!AS219="","",Human_Data_Entry!AS219)</f>
        <v/>
      </c>
      <c r="I221" s="103">
        <f>IF(Human_Data_Entry!F219="","",Human_Data_Entry!F219)</f>
        <v/>
      </c>
      <c r="J221" s="103">
        <f>IF(Human_Data_Entry!BA219="","",Human_Data_Entry!BA219)</f>
        <v/>
      </c>
      <c r="K221" s="103">
        <f>IF(Human_Data_Entry!BB219="","",Human_Data_Entry!BB219)</f>
        <v/>
      </c>
      <c r="L221" s="103">
        <f>IF(Human_Data_Entry!BC219="","",Human_Data_Entry!BC219)</f>
        <v/>
      </c>
      <c r="M221" s="104">
        <f>IF(Human_Data_Entry!BD219="","",Human_Data_Entry!BD219)</f>
        <v/>
      </c>
      <c r="N221" s="104">
        <f>IF(Human_Data_Entry!BE219="","",Human_Data_Entry!BE219)</f>
        <v/>
      </c>
      <c r="O221" s="105">
        <f>IF(Human_Data_Entry!BF219="","",Human_Data_Entry!BF219)</f>
        <v/>
      </c>
      <c r="P221" s="103">
        <f>IF(Human_Data_Entry!BG219="","",Human_Data_Entry!BG219)</f>
        <v/>
      </c>
      <c r="Q221" s="103">
        <f>IF(Human_Data_Entry!BL219="","",Human_Data_Entry!BL219)</f>
        <v/>
      </c>
      <c r="R221" s="103">
        <f>IF(Human_Data_Entry!BH219="","",Human_Data_Entry!BH219)</f>
        <v/>
      </c>
      <c r="S221" s="103">
        <f>IF(Human_Data_Entry!BI219="","",Human_Data_Entry!BI219)</f>
        <v/>
      </c>
      <c r="T221" s="103">
        <f>IF(Human_Data_Entry!BJ219="","",Human_Data_Entry!BJ219)</f>
        <v/>
      </c>
      <c r="U221" s="103">
        <f>IF(Human_Data_Entry!AP219="","",Human_Data_Entry!AP219)</f>
        <v/>
      </c>
      <c r="V221" s="103">
        <f>IF(Human_Data_Entry!AQ219="","",Human_Data_Entry!AQ219)</f>
        <v/>
      </c>
      <c r="W221" s="103">
        <f>IF(Human_Data_Entry!AR219="","",Human_Data_Entry!AR219)</f>
        <v/>
      </c>
      <c r="X221" s="103">
        <f>IF(Human_Data_Entry!BK219="","",Human_Data_Entry!BK219)</f>
        <v/>
      </c>
    </row>
    <row r="222" ht="15" customHeight="1" s="241">
      <c r="A222" s="103">
        <f>IF(Human_Data_Entry!A220="","",Human_Data_Entry!A220)</f>
        <v/>
      </c>
      <c r="B222" s="103">
        <f>IF(Human_Data_Entry!B220="","",Human_Data_Entry!B220)</f>
        <v/>
      </c>
      <c r="C222" s="104">
        <f>IF(Human_Data_Entry!C220="","",Human_Data_Entry!C220)</f>
        <v/>
      </c>
      <c r="D222" s="103">
        <f>IF(Human_Data_Entry!D220="","",Human_Data_Entry!D220)</f>
        <v/>
      </c>
      <c r="E222" s="103">
        <f>IF(Human_Data_Entry!G220="","",Human_Data_Entry!G220)</f>
        <v/>
      </c>
      <c r="F222" s="103">
        <f>IF(Human_Data_Entry!X220="","",Human_Data_Entry!X220)</f>
        <v/>
      </c>
      <c r="G222" s="103">
        <f>IF(Human_Data_Entry!AY220="","",Human_Data_Entry!AY220)</f>
        <v/>
      </c>
      <c r="H222" s="103">
        <f>IF(Human_Data_Entry!AS220="","",Human_Data_Entry!AS220)</f>
        <v/>
      </c>
      <c r="I222" s="103">
        <f>IF(Human_Data_Entry!F220="","",Human_Data_Entry!F220)</f>
        <v/>
      </c>
      <c r="J222" s="103">
        <f>IF(Human_Data_Entry!BA220="","",Human_Data_Entry!BA220)</f>
        <v/>
      </c>
      <c r="K222" s="103">
        <f>IF(Human_Data_Entry!BB220="","",Human_Data_Entry!BB220)</f>
        <v/>
      </c>
      <c r="L222" s="103">
        <f>IF(Human_Data_Entry!BC220="","",Human_Data_Entry!BC220)</f>
        <v/>
      </c>
      <c r="M222" s="104">
        <f>IF(Human_Data_Entry!BD220="","",Human_Data_Entry!BD220)</f>
        <v/>
      </c>
      <c r="N222" s="104">
        <f>IF(Human_Data_Entry!BE220="","",Human_Data_Entry!BE220)</f>
        <v/>
      </c>
      <c r="O222" s="105">
        <f>IF(Human_Data_Entry!BF220="","",Human_Data_Entry!BF220)</f>
        <v/>
      </c>
      <c r="P222" s="103">
        <f>IF(Human_Data_Entry!BG220="","",Human_Data_Entry!BG220)</f>
        <v/>
      </c>
      <c r="Q222" s="103">
        <f>IF(Human_Data_Entry!BL220="","",Human_Data_Entry!BL220)</f>
        <v/>
      </c>
      <c r="R222" s="103">
        <f>IF(Human_Data_Entry!BH220="","",Human_Data_Entry!BH220)</f>
        <v/>
      </c>
      <c r="S222" s="103">
        <f>IF(Human_Data_Entry!BI220="","",Human_Data_Entry!BI220)</f>
        <v/>
      </c>
      <c r="T222" s="103">
        <f>IF(Human_Data_Entry!BJ220="","",Human_Data_Entry!BJ220)</f>
        <v/>
      </c>
      <c r="U222" s="103">
        <f>IF(Human_Data_Entry!AP220="","",Human_Data_Entry!AP220)</f>
        <v/>
      </c>
      <c r="V222" s="103">
        <f>IF(Human_Data_Entry!AQ220="","",Human_Data_Entry!AQ220)</f>
        <v/>
      </c>
      <c r="W222" s="103">
        <f>IF(Human_Data_Entry!AR220="","",Human_Data_Entry!AR220)</f>
        <v/>
      </c>
      <c r="X222" s="103">
        <f>IF(Human_Data_Entry!BK220="","",Human_Data_Entry!BK220)</f>
        <v/>
      </c>
    </row>
    <row r="223" ht="15" customHeight="1" s="241">
      <c r="A223" s="103">
        <f>IF(Human_Data_Entry!A221="","",Human_Data_Entry!A221)</f>
        <v/>
      </c>
      <c r="B223" s="103">
        <f>IF(Human_Data_Entry!B221="","",Human_Data_Entry!B221)</f>
        <v/>
      </c>
      <c r="C223" s="104">
        <f>IF(Human_Data_Entry!C221="","",Human_Data_Entry!C221)</f>
        <v/>
      </c>
      <c r="D223" s="103">
        <f>IF(Human_Data_Entry!D221="","",Human_Data_Entry!D221)</f>
        <v/>
      </c>
      <c r="E223" s="103">
        <f>IF(Human_Data_Entry!G221="","",Human_Data_Entry!G221)</f>
        <v/>
      </c>
      <c r="F223" s="103">
        <f>IF(Human_Data_Entry!X221="","",Human_Data_Entry!X221)</f>
        <v/>
      </c>
      <c r="G223" s="103">
        <f>IF(Human_Data_Entry!AY221="","",Human_Data_Entry!AY221)</f>
        <v/>
      </c>
      <c r="H223" s="103">
        <f>IF(Human_Data_Entry!AS221="","",Human_Data_Entry!AS221)</f>
        <v/>
      </c>
      <c r="I223" s="103">
        <f>IF(Human_Data_Entry!F221="","",Human_Data_Entry!F221)</f>
        <v/>
      </c>
      <c r="J223" s="103">
        <f>IF(Human_Data_Entry!BA221="","",Human_Data_Entry!BA221)</f>
        <v/>
      </c>
      <c r="K223" s="103">
        <f>IF(Human_Data_Entry!BB221="","",Human_Data_Entry!BB221)</f>
        <v/>
      </c>
      <c r="L223" s="103">
        <f>IF(Human_Data_Entry!BC221="","",Human_Data_Entry!BC221)</f>
        <v/>
      </c>
      <c r="M223" s="104">
        <f>IF(Human_Data_Entry!BD221="","",Human_Data_Entry!BD221)</f>
        <v/>
      </c>
      <c r="N223" s="104">
        <f>IF(Human_Data_Entry!BE221="","",Human_Data_Entry!BE221)</f>
        <v/>
      </c>
      <c r="O223" s="105">
        <f>IF(Human_Data_Entry!BF221="","",Human_Data_Entry!BF221)</f>
        <v/>
      </c>
      <c r="P223" s="103">
        <f>IF(Human_Data_Entry!BG221="","",Human_Data_Entry!BG221)</f>
        <v/>
      </c>
      <c r="Q223" s="103">
        <f>IF(Human_Data_Entry!BL221="","",Human_Data_Entry!BL221)</f>
        <v/>
      </c>
      <c r="R223" s="103">
        <f>IF(Human_Data_Entry!BH221="","",Human_Data_Entry!BH221)</f>
        <v/>
      </c>
      <c r="S223" s="103">
        <f>IF(Human_Data_Entry!BI221="","",Human_Data_Entry!BI221)</f>
        <v/>
      </c>
      <c r="T223" s="103">
        <f>IF(Human_Data_Entry!BJ221="","",Human_Data_Entry!BJ221)</f>
        <v/>
      </c>
      <c r="U223" s="103">
        <f>IF(Human_Data_Entry!AP221="","",Human_Data_Entry!AP221)</f>
        <v/>
      </c>
      <c r="V223" s="103">
        <f>IF(Human_Data_Entry!AQ221="","",Human_Data_Entry!AQ221)</f>
        <v/>
      </c>
      <c r="W223" s="103">
        <f>IF(Human_Data_Entry!AR221="","",Human_Data_Entry!AR221)</f>
        <v/>
      </c>
      <c r="X223" s="103">
        <f>IF(Human_Data_Entry!BK221="","",Human_Data_Entry!BK221)</f>
        <v/>
      </c>
    </row>
    <row r="224" ht="15" customHeight="1" s="241">
      <c r="A224" s="103">
        <f>IF(Human_Data_Entry!A222="","",Human_Data_Entry!A222)</f>
        <v/>
      </c>
      <c r="B224" s="103">
        <f>IF(Human_Data_Entry!B222="","",Human_Data_Entry!B222)</f>
        <v/>
      </c>
      <c r="C224" s="104">
        <f>IF(Human_Data_Entry!C222="","",Human_Data_Entry!C222)</f>
        <v/>
      </c>
      <c r="D224" s="103">
        <f>IF(Human_Data_Entry!D222="","",Human_Data_Entry!D222)</f>
        <v/>
      </c>
      <c r="E224" s="103">
        <f>IF(Human_Data_Entry!G222="","",Human_Data_Entry!G222)</f>
        <v/>
      </c>
      <c r="F224" s="103">
        <f>IF(Human_Data_Entry!X222="","",Human_Data_Entry!X222)</f>
        <v/>
      </c>
      <c r="G224" s="103">
        <f>IF(Human_Data_Entry!AY222="","",Human_Data_Entry!AY222)</f>
        <v/>
      </c>
      <c r="H224" s="103">
        <f>IF(Human_Data_Entry!AS222="","",Human_Data_Entry!AS222)</f>
        <v/>
      </c>
      <c r="I224" s="103">
        <f>IF(Human_Data_Entry!F222="","",Human_Data_Entry!F222)</f>
        <v/>
      </c>
      <c r="J224" s="103">
        <f>IF(Human_Data_Entry!BA222="","",Human_Data_Entry!BA222)</f>
        <v/>
      </c>
      <c r="K224" s="103">
        <f>IF(Human_Data_Entry!BB222="","",Human_Data_Entry!BB222)</f>
        <v/>
      </c>
      <c r="L224" s="103">
        <f>IF(Human_Data_Entry!BC222="","",Human_Data_Entry!BC222)</f>
        <v/>
      </c>
      <c r="M224" s="104">
        <f>IF(Human_Data_Entry!BD222="","",Human_Data_Entry!BD222)</f>
        <v/>
      </c>
      <c r="N224" s="104">
        <f>IF(Human_Data_Entry!BE222="","",Human_Data_Entry!BE222)</f>
        <v/>
      </c>
      <c r="O224" s="105">
        <f>IF(Human_Data_Entry!BF222="","",Human_Data_Entry!BF222)</f>
        <v/>
      </c>
      <c r="P224" s="103">
        <f>IF(Human_Data_Entry!BG222="","",Human_Data_Entry!BG222)</f>
        <v/>
      </c>
      <c r="Q224" s="103">
        <f>IF(Human_Data_Entry!BL222="","",Human_Data_Entry!BL222)</f>
        <v/>
      </c>
      <c r="R224" s="103">
        <f>IF(Human_Data_Entry!BH222="","",Human_Data_Entry!BH222)</f>
        <v/>
      </c>
      <c r="S224" s="103">
        <f>IF(Human_Data_Entry!BI222="","",Human_Data_Entry!BI222)</f>
        <v/>
      </c>
      <c r="T224" s="103">
        <f>IF(Human_Data_Entry!BJ222="","",Human_Data_Entry!BJ222)</f>
        <v/>
      </c>
      <c r="U224" s="103">
        <f>IF(Human_Data_Entry!AP222="","",Human_Data_Entry!AP222)</f>
        <v/>
      </c>
      <c r="V224" s="103">
        <f>IF(Human_Data_Entry!AQ222="","",Human_Data_Entry!AQ222)</f>
        <v/>
      </c>
      <c r="W224" s="103">
        <f>IF(Human_Data_Entry!AR222="","",Human_Data_Entry!AR222)</f>
        <v/>
      </c>
      <c r="X224" s="103">
        <f>IF(Human_Data_Entry!BK222="","",Human_Data_Entry!BK222)</f>
        <v/>
      </c>
    </row>
    <row r="225" ht="15" customHeight="1" s="241">
      <c r="A225" s="103">
        <f>IF(Human_Data_Entry!A223="","",Human_Data_Entry!A223)</f>
        <v/>
      </c>
      <c r="B225" s="103">
        <f>IF(Human_Data_Entry!B223="","",Human_Data_Entry!B223)</f>
        <v/>
      </c>
      <c r="C225" s="104">
        <f>IF(Human_Data_Entry!C223="","",Human_Data_Entry!C223)</f>
        <v/>
      </c>
      <c r="D225" s="103">
        <f>IF(Human_Data_Entry!D223="","",Human_Data_Entry!D223)</f>
        <v/>
      </c>
      <c r="E225" s="103">
        <f>IF(Human_Data_Entry!G223="","",Human_Data_Entry!G223)</f>
        <v/>
      </c>
      <c r="F225" s="103">
        <f>IF(Human_Data_Entry!X223="","",Human_Data_Entry!X223)</f>
        <v/>
      </c>
      <c r="G225" s="103">
        <f>IF(Human_Data_Entry!AY223="","",Human_Data_Entry!AY223)</f>
        <v/>
      </c>
      <c r="H225" s="103">
        <f>IF(Human_Data_Entry!AS223="","",Human_Data_Entry!AS223)</f>
        <v/>
      </c>
      <c r="I225" s="103">
        <f>IF(Human_Data_Entry!F223="","",Human_Data_Entry!F223)</f>
        <v/>
      </c>
      <c r="J225" s="103">
        <f>IF(Human_Data_Entry!BA223="","",Human_Data_Entry!BA223)</f>
        <v/>
      </c>
      <c r="K225" s="103">
        <f>IF(Human_Data_Entry!BB223="","",Human_Data_Entry!BB223)</f>
        <v/>
      </c>
      <c r="L225" s="103">
        <f>IF(Human_Data_Entry!BC223="","",Human_Data_Entry!BC223)</f>
        <v/>
      </c>
      <c r="M225" s="104">
        <f>IF(Human_Data_Entry!BD223="","",Human_Data_Entry!BD223)</f>
        <v/>
      </c>
      <c r="N225" s="104">
        <f>IF(Human_Data_Entry!BE223="","",Human_Data_Entry!BE223)</f>
        <v/>
      </c>
      <c r="O225" s="105">
        <f>IF(Human_Data_Entry!BF223="","",Human_Data_Entry!BF223)</f>
        <v/>
      </c>
      <c r="P225" s="103">
        <f>IF(Human_Data_Entry!BG223="","",Human_Data_Entry!BG223)</f>
        <v/>
      </c>
      <c r="Q225" s="103">
        <f>IF(Human_Data_Entry!BL223="","",Human_Data_Entry!BL223)</f>
        <v/>
      </c>
      <c r="R225" s="103">
        <f>IF(Human_Data_Entry!BH223="","",Human_Data_Entry!BH223)</f>
        <v/>
      </c>
      <c r="S225" s="103">
        <f>IF(Human_Data_Entry!BI223="","",Human_Data_Entry!BI223)</f>
        <v/>
      </c>
      <c r="T225" s="103">
        <f>IF(Human_Data_Entry!BJ223="","",Human_Data_Entry!BJ223)</f>
        <v/>
      </c>
      <c r="U225" s="103">
        <f>IF(Human_Data_Entry!AP223="","",Human_Data_Entry!AP223)</f>
        <v/>
      </c>
      <c r="V225" s="103">
        <f>IF(Human_Data_Entry!AQ223="","",Human_Data_Entry!AQ223)</f>
        <v/>
      </c>
      <c r="W225" s="103">
        <f>IF(Human_Data_Entry!AR223="","",Human_Data_Entry!AR223)</f>
        <v/>
      </c>
      <c r="X225" s="103">
        <f>IF(Human_Data_Entry!BK223="","",Human_Data_Entry!BK223)</f>
        <v/>
      </c>
    </row>
    <row r="226" ht="15" customHeight="1" s="241">
      <c r="A226" s="103">
        <f>IF(Human_Data_Entry!A224="","",Human_Data_Entry!A224)</f>
        <v/>
      </c>
      <c r="B226" s="103">
        <f>IF(Human_Data_Entry!B224="","",Human_Data_Entry!B224)</f>
        <v/>
      </c>
      <c r="C226" s="104">
        <f>IF(Human_Data_Entry!C224="","",Human_Data_Entry!C224)</f>
        <v/>
      </c>
      <c r="D226" s="103">
        <f>IF(Human_Data_Entry!D224="","",Human_Data_Entry!D224)</f>
        <v/>
      </c>
      <c r="E226" s="103">
        <f>IF(Human_Data_Entry!G224="","",Human_Data_Entry!G224)</f>
        <v/>
      </c>
      <c r="F226" s="103">
        <f>IF(Human_Data_Entry!X224="","",Human_Data_Entry!X224)</f>
        <v/>
      </c>
      <c r="G226" s="103">
        <f>IF(Human_Data_Entry!AY224="","",Human_Data_Entry!AY224)</f>
        <v/>
      </c>
      <c r="H226" s="103">
        <f>IF(Human_Data_Entry!AS224="","",Human_Data_Entry!AS224)</f>
        <v/>
      </c>
      <c r="I226" s="103">
        <f>IF(Human_Data_Entry!F224="","",Human_Data_Entry!F224)</f>
        <v/>
      </c>
      <c r="J226" s="103">
        <f>IF(Human_Data_Entry!BA224="","",Human_Data_Entry!BA224)</f>
        <v/>
      </c>
      <c r="K226" s="103">
        <f>IF(Human_Data_Entry!BB224="","",Human_Data_Entry!BB224)</f>
        <v/>
      </c>
      <c r="L226" s="103">
        <f>IF(Human_Data_Entry!BC224="","",Human_Data_Entry!BC224)</f>
        <v/>
      </c>
      <c r="M226" s="104">
        <f>IF(Human_Data_Entry!BD224="","",Human_Data_Entry!BD224)</f>
        <v/>
      </c>
      <c r="N226" s="104">
        <f>IF(Human_Data_Entry!BE224="","",Human_Data_Entry!BE224)</f>
        <v/>
      </c>
      <c r="O226" s="105">
        <f>IF(Human_Data_Entry!BF224="","",Human_Data_Entry!BF224)</f>
        <v/>
      </c>
      <c r="P226" s="103">
        <f>IF(Human_Data_Entry!BG224="","",Human_Data_Entry!BG224)</f>
        <v/>
      </c>
      <c r="Q226" s="103">
        <f>IF(Human_Data_Entry!BL224="","",Human_Data_Entry!BL224)</f>
        <v/>
      </c>
      <c r="R226" s="103">
        <f>IF(Human_Data_Entry!BH224="","",Human_Data_Entry!BH224)</f>
        <v/>
      </c>
      <c r="S226" s="103">
        <f>IF(Human_Data_Entry!BI224="","",Human_Data_Entry!BI224)</f>
        <v/>
      </c>
      <c r="T226" s="103">
        <f>IF(Human_Data_Entry!BJ224="","",Human_Data_Entry!BJ224)</f>
        <v/>
      </c>
      <c r="U226" s="103">
        <f>IF(Human_Data_Entry!AP224="","",Human_Data_Entry!AP224)</f>
        <v/>
      </c>
      <c r="V226" s="103">
        <f>IF(Human_Data_Entry!AQ224="","",Human_Data_Entry!AQ224)</f>
        <v/>
      </c>
      <c r="W226" s="103">
        <f>IF(Human_Data_Entry!AR224="","",Human_Data_Entry!AR224)</f>
        <v/>
      </c>
      <c r="X226" s="103">
        <f>IF(Human_Data_Entry!BK224="","",Human_Data_Entry!BK224)</f>
        <v/>
      </c>
    </row>
    <row r="227" ht="15" customHeight="1" s="241">
      <c r="A227" s="103">
        <f>IF(Human_Data_Entry!A225="","",Human_Data_Entry!A225)</f>
        <v/>
      </c>
      <c r="B227" s="103">
        <f>IF(Human_Data_Entry!B225="","",Human_Data_Entry!B225)</f>
        <v/>
      </c>
      <c r="C227" s="104">
        <f>IF(Human_Data_Entry!C225="","",Human_Data_Entry!C225)</f>
        <v/>
      </c>
      <c r="D227" s="103">
        <f>IF(Human_Data_Entry!D225="","",Human_Data_Entry!D225)</f>
        <v/>
      </c>
      <c r="E227" s="103">
        <f>IF(Human_Data_Entry!G225="","",Human_Data_Entry!G225)</f>
        <v/>
      </c>
      <c r="F227" s="103">
        <f>IF(Human_Data_Entry!X225="","",Human_Data_Entry!X225)</f>
        <v/>
      </c>
      <c r="G227" s="103">
        <f>IF(Human_Data_Entry!AY225="","",Human_Data_Entry!AY225)</f>
        <v/>
      </c>
      <c r="H227" s="103">
        <f>IF(Human_Data_Entry!AS225="","",Human_Data_Entry!AS225)</f>
        <v/>
      </c>
      <c r="I227" s="103">
        <f>IF(Human_Data_Entry!F225="","",Human_Data_Entry!F225)</f>
        <v/>
      </c>
      <c r="J227" s="103">
        <f>IF(Human_Data_Entry!BA225="","",Human_Data_Entry!BA225)</f>
        <v/>
      </c>
      <c r="K227" s="103">
        <f>IF(Human_Data_Entry!BB225="","",Human_Data_Entry!BB225)</f>
        <v/>
      </c>
      <c r="L227" s="103">
        <f>IF(Human_Data_Entry!BC225="","",Human_Data_Entry!BC225)</f>
        <v/>
      </c>
      <c r="M227" s="104">
        <f>IF(Human_Data_Entry!BD225="","",Human_Data_Entry!BD225)</f>
        <v/>
      </c>
      <c r="N227" s="104">
        <f>IF(Human_Data_Entry!BE225="","",Human_Data_Entry!BE225)</f>
        <v/>
      </c>
      <c r="O227" s="105">
        <f>IF(Human_Data_Entry!BF225="","",Human_Data_Entry!BF225)</f>
        <v/>
      </c>
      <c r="P227" s="103">
        <f>IF(Human_Data_Entry!BG225="","",Human_Data_Entry!BG225)</f>
        <v/>
      </c>
      <c r="Q227" s="103">
        <f>IF(Human_Data_Entry!BL225="","",Human_Data_Entry!BL225)</f>
        <v/>
      </c>
      <c r="R227" s="103">
        <f>IF(Human_Data_Entry!BH225="","",Human_Data_Entry!BH225)</f>
        <v/>
      </c>
      <c r="S227" s="103">
        <f>IF(Human_Data_Entry!BI225="","",Human_Data_Entry!BI225)</f>
        <v/>
      </c>
      <c r="T227" s="103">
        <f>IF(Human_Data_Entry!BJ225="","",Human_Data_Entry!BJ225)</f>
        <v/>
      </c>
      <c r="U227" s="103">
        <f>IF(Human_Data_Entry!AP225="","",Human_Data_Entry!AP225)</f>
        <v/>
      </c>
      <c r="V227" s="103">
        <f>IF(Human_Data_Entry!AQ225="","",Human_Data_Entry!AQ225)</f>
        <v/>
      </c>
      <c r="W227" s="103">
        <f>IF(Human_Data_Entry!AR225="","",Human_Data_Entry!AR225)</f>
        <v/>
      </c>
      <c r="X227" s="103">
        <f>IF(Human_Data_Entry!BK225="","",Human_Data_Entry!BK225)</f>
        <v/>
      </c>
    </row>
    <row r="228" ht="15" customHeight="1" s="241">
      <c r="A228" s="103">
        <f>IF(Human_Data_Entry!A226="","",Human_Data_Entry!A226)</f>
        <v/>
      </c>
      <c r="B228" s="103">
        <f>IF(Human_Data_Entry!B226="","",Human_Data_Entry!B226)</f>
        <v/>
      </c>
      <c r="C228" s="104">
        <f>IF(Human_Data_Entry!C226="","",Human_Data_Entry!C226)</f>
        <v/>
      </c>
      <c r="D228" s="103">
        <f>IF(Human_Data_Entry!D226="","",Human_Data_Entry!D226)</f>
        <v/>
      </c>
      <c r="E228" s="103">
        <f>IF(Human_Data_Entry!G226="","",Human_Data_Entry!G226)</f>
        <v/>
      </c>
      <c r="F228" s="103">
        <f>IF(Human_Data_Entry!X226="","",Human_Data_Entry!X226)</f>
        <v/>
      </c>
      <c r="G228" s="103">
        <f>IF(Human_Data_Entry!AY226="","",Human_Data_Entry!AY226)</f>
        <v/>
      </c>
      <c r="H228" s="103">
        <f>IF(Human_Data_Entry!AS226="","",Human_Data_Entry!AS226)</f>
        <v/>
      </c>
      <c r="I228" s="103">
        <f>IF(Human_Data_Entry!F226="","",Human_Data_Entry!F226)</f>
        <v/>
      </c>
      <c r="J228" s="103">
        <f>IF(Human_Data_Entry!BA226="","",Human_Data_Entry!BA226)</f>
        <v/>
      </c>
      <c r="K228" s="103">
        <f>IF(Human_Data_Entry!BB226="","",Human_Data_Entry!BB226)</f>
        <v/>
      </c>
      <c r="L228" s="103">
        <f>IF(Human_Data_Entry!BC226="","",Human_Data_Entry!BC226)</f>
        <v/>
      </c>
      <c r="M228" s="104">
        <f>IF(Human_Data_Entry!BD226="","",Human_Data_Entry!BD226)</f>
        <v/>
      </c>
      <c r="N228" s="104">
        <f>IF(Human_Data_Entry!BE226="","",Human_Data_Entry!BE226)</f>
        <v/>
      </c>
      <c r="O228" s="105">
        <f>IF(Human_Data_Entry!BF226="","",Human_Data_Entry!BF226)</f>
        <v/>
      </c>
      <c r="P228" s="103">
        <f>IF(Human_Data_Entry!BG226="","",Human_Data_Entry!BG226)</f>
        <v/>
      </c>
      <c r="Q228" s="103">
        <f>IF(Human_Data_Entry!BL226="","",Human_Data_Entry!BL226)</f>
        <v/>
      </c>
      <c r="R228" s="103">
        <f>IF(Human_Data_Entry!BH226="","",Human_Data_Entry!BH226)</f>
        <v/>
      </c>
      <c r="S228" s="103">
        <f>IF(Human_Data_Entry!BI226="","",Human_Data_Entry!BI226)</f>
        <v/>
      </c>
      <c r="T228" s="103">
        <f>IF(Human_Data_Entry!BJ226="","",Human_Data_Entry!BJ226)</f>
        <v/>
      </c>
      <c r="U228" s="103">
        <f>IF(Human_Data_Entry!AP226="","",Human_Data_Entry!AP226)</f>
        <v/>
      </c>
      <c r="V228" s="103">
        <f>IF(Human_Data_Entry!AQ226="","",Human_Data_Entry!AQ226)</f>
        <v/>
      </c>
      <c r="W228" s="103">
        <f>IF(Human_Data_Entry!AR226="","",Human_Data_Entry!AR226)</f>
        <v/>
      </c>
      <c r="X228" s="103">
        <f>IF(Human_Data_Entry!BK226="","",Human_Data_Entry!BK226)</f>
        <v/>
      </c>
    </row>
    <row r="229" ht="15" customHeight="1" s="241">
      <c r="A229" s="103">
        <f>IF(Human_Data_Entry!A227="","",Human_Data_Entry!A227)</f>
        <v/>
      </c>
      <c r="B229" s="103">
        <f>IF(Human_Data_Entry!B227="","",Human_Data_Entry!B227)</f>
        <v/>
      </c>
      <c r="C229" s="104">
        <f>IF(Human_Data_Entry!C227="","",Human_Data_Entry!C227)</f>
        <v/>
      </c>
      <c r="D229" s="103">
        <f>IF(Human_Data_Entry!D227="","",Human_Data_Entry!D227)</f>
        <v/>
      </c>
      <c r="E229" s="103">
        <f>IF(Human_Data_Entry!G227="","",Human_Data_Entry!G227)</f>
        <v/>
      </c>
      <c r="F229" s="103">
        <f>IF(Human_Data_Entry!X227="","",Human_Data_Entry!X227)</f>
        <v/>
      </c>
      <c r="G229" s="103">
        <f>IF(Human_Data_Entry!AY227="","",Human_Data_Entry!AY227)</f>
        <v/>
      </c>
      <c r="H229" s="103">
        <f>IF(Human_Data_Entry!AS227="","",Human_Data_Entry!AS227)</f>
        <v/>
      </c>
      <c r="I229" s="103">
        <f>IF(Human_Data_Entry!F227="","",Human_Data_Entry!F227)</f>
        <v/>
      </c>
      <c r="J229" s="103">
        <f>IF(Human_Data_Entry!BA227="","",Human_Data_Entry!BA227)</f>
        <v/>
      </c>
      <c r="K229" s="103">
        <f>IF(Human_Data_Entry!BB227="","",Human_Data_Entry!BB227)</f>
        <v/>
      </c>
      <c r="L229" s="103">
        <f>IF(Human_Data_Entry!BC227="","",Human_Data_Entry!BC227)</f>
        <v/>
      </c>
      <c r="M229" s="104">
        <f>IF(Human_Data_Entry!BD227="","",Human_Data_Entry!BD227)</f>
        <v/>
      </c>
      <c r="N229" s="104">
        <f>IF(Human_Data_Entry!BE227="","",Human_Data_Entry!BE227)</f>
        <v/>
      </c>
      <c r="O229" s="105">
        <f>IF(Human_Data_Entry!BF227="","",Human_Data_Entry!BF227)</f>
        <v/>
      </c>
      <c r="P229" s="103">
        <f>IF(Human_Data_Entry!BG227="","",Human_Data_Entry!BG227)</f>
        <v/>
      </c>
      <c r="Q229" s="103">
        <f>IF(Human_Data_Entry!BL227="","",Human_Data_Entry!BL227)</f>
        <v/>
      </c>
      <c r="R229" s="103">
        <f>IF(Human_Data_Entry!BH227="","",Human_Data_Entry!BH227)</f>
        <v/>
      </c>
      <c r="S229" s="103">
        <f>IF(Human_Data_Entry!BI227="","",Human_Data_Entry!BI227)</f>
        <v/>
      </c>
      <c r="T229" s="103">
        <f>IF(Human_Data_Entry!BJ227="","",Human_Data_Entry!BJ227)</f>
        <v/>
      </c>
      <c r="U229" s="103">
        <f>IF(Human_Data_Entry!AP227="","",Human_Data_Entry!AP227)</f>
        <v/>
      </c>
      <c r="V229" s="103">
        <f>IF(Human_Data_Entry!AQ227="","",Human_Data_Entry!AQ227)</f>
        <v/>
      </c>
      <c r="W229" s="103">
        <f>IF(Human_Data_Entry!AR227="","",Human_Data_Entry!AR227)</f>
        <v/>
      </c>
      <c r="X229" s="103">
        <f>IF(Human_Data_Entry!BK227="","",Human_Data_Entry!BK227)</f>
        <v/>
      </c>
    </row>
    <row r="230" ht="15" customHeight="1" s="241">
      <c r="A230" s="103">
        <f>IF(Human_Data_Entry!A228="","",Human_Data_Entry!A228)</f>
        <v/>
      </c>
      <c r="B230" s="103">
        <f>IF(Human_Data_Entry!B228="","",Human_Data_Entry!B228)</f>
        <v/>
      </c>
      <c r="C230" s="104">
        <f>IF(Human_Data_Entry!C228="","",Human_Data_Entry!C228)</f>
        <v/>
      </c>
      <c r="D230" s="103">
        <f>IF(Human_Data_Entry!D228="","",Human_Data_Entry!D228)</f>
        <v/>
      </c>
      <c r="E230" s="103">
        <f>IF(Human_Data_Entry!G228="","",Human_Data_Entry!G228)</f>
        <v/>
      </c>
      <c r="F230" s="103">
        <f>IF(Human_Data_Entry!X228="","",Human_Data_Entry!X228)</f>
        <v/>
      </c>
      <c r="G230" s="103">
        <f>IF(Human_Data_Entry!AY228="","",Human_Data_Entry!AY228)</f>
        <v/>
      </c>
      <c r="H230" s="103">
        <f>IF(Human_Data_Entry!AS228="","",Human_Data_Entry!AS228)</f>
        <v/>
      </c>
      <c r="I230" s="103">
        <f>IF(Human_Data_Entry!F228="","",Human_Data_Entry!F228)</f>
        <v/>
      </c>
      <c r="J230" s="103">
        <f>IF(Human_Data_Entry!BA228="","",Human_Data_Entry!BA228)</f>
        <v/>
      </c>
      <c r="K230" s="103">
        <f>IF(Human_Data_Entry!BB228="","",Human_Data_Entry!BB228)</f>
        <v/>
      </c>
      <c r="L230" s="103">
        <f>IF(Human_Data_Entry!BC228="","",Human_Data_Entry!BC228)</f>
        <v/>
      </c>
      <c r="M230" s="104">
        <f>IF(Human_Data_Entry!BD228="","",Human_Data_Entry!BD228)</f>
        <v/>
      </c>
      <c r="N230" s="104">
        <f>IF(Human_Data_Entry!BE228="","",Human_Data_Entry!BE228)</f>
        <v/>
      </c>
      <c r="O230" s="105">
        <f>IF(Human_Data_Entry!BF228="","",Human_Data_Entry!BF228)</f>
        <v/>
      </c>
      <c r="P230" s="103">
        <f>IF(Human_Data_Entry!BG228="","",Human_Data_Entry!BG228)</f>
        <v/>
      </c>
      <c r="Q230" s="103">
        <f>IF(Human_Data_Entry!BL228="","",Human_Data_Entry!BL228)</f>
        <v/>
      </c>
      <c r="R230" s="103">
        <f>IF(Human_Data_Entry!BH228="","",Human_Data_Entry!BH228)</f>
        <v/>
      </c>
      <c r="S230" s="103">
        <f>IF(Human_Data_Entry!BI228="","",Human_Data_Entry!BI228)</f>
        <v/>
      </c>
      <c r="T230" s="103">
        <f>IF(Human_Data_Entry!BJ228="","",Human_Data_Entry!BJ228)</f>
        <v/>
      </c>
      <c r="U230" s="103">
        <f>IF(Human_Data_Entry!AP228="","",Human_Data_Entry!AP228)</f>
        <v/>
      </c>
      <c r="V230" s="103">
        <f>IF(Human_Data_Entry!AQ228="","",Human_Data_Entry!AQ228)</f>
        <v/>
      </c>
      <c r="W230" s="103">
        <f>IF(Human_Data_Entry!AR228="","",Human_Data_Entry!AR228)</f>
        <v/>
      </c>
      <c r="X230" s="103">
        <f>IF(Human_Data_Entry!BK228="","",Human_Data_Entry!BK228)</f>
        <v/>
      </c>
    </row>
    <row r="231" ht="15" customHeight="1" s="241">
      <c r="A231" s="103">
        <f>IF(Human_Data_Entry!A229="","",Human_Data_Entry!A229)</f>
        <v/>
      </c>
      <c r="B231" s="103">
        <f>IF(Human_Data_Entry!B229="","",Human_Data_Entry!B229)</f>
        <v/>
      </c>
      <c r="C231" s="104">
        <f>IF(Human_Data_Entry!C229="","",Human_Data_Entry!C229)</f>
        <v/>
      </c>
      <c r="D231" s="103">
        <f>IF(Human_Data_Entry!D229="","",Human_Data_Entry!D229)</f>
        <v/>
      </c>
      <c r="E231" s="103">
        <f>IF(Human_Data_Entry!G229="","",Human_Data_Entry!G229)</f>
        <v/>
      </c>
      <c r="F231" s="103">
        <f>IF(Human_Data_Entry!X229="","",Human_Data_Entry!X229)</f>
        <v/>
      </c>
      <c r="G231" s="103">
        <f>IF(Human_Data_Entry!AY229="","",Human_Data_Entry!AY229)</f>
        <v/>
      </c>
      <c r="H231" s="103">
        <f>IF(Human_Data_Entry!AS229="","",Human_Data_Entry!AS229)</f>
        <v/>
      </c>
      <c r="I231" s="103">
        <f>IF(Human_Data_Entry!F229="","",Human_Data_Entry!F229)</f>
        <v/>
      </c>
      <c r="J231" s="103">
        <f>IF(Human_Data_Entry!BA229="","",Human_Data_Entry!BA229)</f>
        <v/>
      </c>
      <c r="K231" s="103">
        <f>IF(Human_Data_Entry!BB229="","",Human_Data_Entry!BB229)</f>
        <v/>
      </c>
      <c r="L231" s="103">
        <f>IF(Human_Data_Entry!BC229="","",Human_Data_Entry!BC229)</f>
        <v/>
      </c>
      <c r="M231" s="104">
        <f>IF(Human_Data_Entry!BD229="","",Human_Data_Entry!BD229)</f>
        <v/>
      </c>
      <c r="N231" s="104">
        <f>IF(Human_Data_Entry!BE229="","",Human_Data_Entry!BE229)</f>
        <v/>
      </c>
      <c r="O231" s="105">
        <f>IF(Human_Data_Entry!BF229="","",Human_Data_Entry!BF229)</f>
        <v/>
      </c>
      <c r="P231" s="103">
        <f>IF(Human_Data_Entry!BG229="","",Human_Data_Entry!BG229)</f>
        <v/>
      </c>
      <c r="Q231" s="103">
        <f>IF(Human_Data_Entry!BL229="","",Human_Data_Entry!BL229)</f>
        <v/>
      </c>
      <c r="R231" s="103">
        <f>IF(Human_Data_Entry!BH229="","",Human_Data_Entry!BH229)</f>
        <v/>
      </c>
      <c r="S231" s="103">
        <f>IF(Human_Data_Entry!BI229="","",Human_Data_Entry!BI229)</f>
        <v/>
      </c>
      <c r="T231" s="103">
        <f>IF(Human_Data_Entry!BJ229="","",Human_Data_Entry!BJ229)</f>
        <v/>
      </c>
      <c r="U231" s="103">
        <f>IF(Human_Data_Entry!AP229="","",Human_Data_Entry!AP229)</f>
        <v/>
      </c>
      <c r="V231" s="103">
        <f>IF(Human_Data_Entry!AQ229="","",Human_Data_Entry!AQ229)</f>
        <v/>
      </c>
      <c r="W231" s="103">
        <f>IF(Human_Data_Entry!AR229="","",Human_Data_Entry!AR229)</f>
        <v/>
      </c>
      <c r="X231" s="103">
        <f>IF(Human_Data_Entry!BK229="","",Human_Data_Entry!BK229)</f>
        <v/>
      </c>
    </row>
    <row r="232" ht="15" customHeight="1" s="241">
      <c r="A232" s="103">
        <f>IF(Human_Data_Entry!A230="","",Human_Data_Entry!A230)</f>
        <v/>
      </c>
      <c r="B232" s="103">
        <f>IF(Human_Data_Entry!B230="","",Human_Data_Entry!B230)</f>
        <v/>
      </c>
      <c r="C232" s="104">
        <f>IF(Human_Data_Entry!C230="","",Human_Data_Entry!C230)</f>
        <v/>
      </c>
      <c r="D232" s="103">
        <f>IF(Human_Data_Entry!D230="","",Human_Data_Entry!D230)</f>
        <v/>
      </c>
      <c r="E232" s="103">
        <f>IF(Human_Data_Entry!G230="","",Human_Data_Entry!G230)</f>
        <v/>
      </c>
      <c r="F232" s="103">
        <f>IF(Human_Data_Entry!X230="","",Human_Data_Entry!X230)</f>
        <v/>
      </c>
      <c r="G232" s="103">
        <f>IF(Human_Data_Entry!AY230="","",Human_Data_Entry!AY230)</f>
        <v/>
      </c>
      <c r="H232" s="103">
        <f>IF(Human_Data_Entry!AS230="","",Human_Data_Entry!AS230)</f>
        <v/>
      </c>
      <c r="I232" s="103">
        <f>IF(Human_Data_Entry!F230="","",Human_Data_Entry!F230)</f>
        <v/>
      </c>
      <c r="J232" s="103">
        <f>IF(Human_Data_Entry!BA230="","",Human_Data_Entry!BA230)</f>
        <v/>
      </c>
      <c r="K232" s="103">
        <f>IF(Human_Data_Entry!BB230="","",Human_Data_Entry!BB230)</f>
        <v/>
      </c>
      <c r="L232" s="103">
        <f>IF(Human_Data_Entry!BC230="","",Human_Data_Entry!BC230)</f>
        <v/>
      </c>
      <c r="M232" s="104">
        <f>IF(Human_Data_Entry!BD230="","",Human_Data_Entry!BD230)</f>
        <v/>
      </c>
      <c r="N232" s="104">
        <f>IF(Human_Data_Entry!BE230="","",Human_Data_Entry!BE230)</f>
        <v/>
      </c>
      <c r="O232" s="105">
        <f>IF(Human_Data_Entry!BF230="","",Human_Data_Entry!BF230)</f>
        <v/>
      </c>
      <c r="P232" s="103">
        <f>IF(Human_Data_Entry!BG230="","",Human_Data_Entry!BG230)</f>
        <v/>
      </c>
      <c r="Q232" s="103">
        <f>IF(Human_Data_Entry!BL230="","",Human_Data_Entry!BL230)</f>
        <v/>
      </c>
      <c r="R232" s="103">
        <f>IF(Human_Data_Entry!BH230="","",Human_Data_Entry!BH230)</f>
        <v/>
      </c>
      <c r="S232" s="103">
        <f>IF(Human_Data_Entry!BI230="","",Human_Data_Entry!BI230)</f>
        <v/>
      </c>
      <c r="T232" s="103">
        <f>IF(Human_Data_Entry!BJ230="","",Human_Data_Entry!BJ230)</f>
        <v/>
      </c>
      <c r="U232" s="103">
        <f>IF(Human_Data_Entry!AP230="","",Human_Data_Entry!AP230)</f>
        <v/>
      </c>
      <c r="V232" s="103">
        <f>IF(Human_Data_Entry!AQ230="","",Human_Data_Entry!AQ230)</f>
        <v/>
      </c>
      <c r="W232" s="103">
        <f>IF(Human_Data_Entry!AR230="","",Human_Data_Entry!AR230)</f>
        <v/>
      </c>
      <c r="X232" s="103">
        <f>IF(Human_Data_Entry!BK230="","",Human_Data_Entry!BK230)</f>
        <v/>
      </c>
    </row>
    <row r="233" ht="15" customHeight="1" s="241">
      <c r="A233" s="103">
        <f>IF(Human_Data_Entry!A231="","",Human_Data_Entry!A231)</f>
        <v/>
      </c>
      <c r="B233" s="103">
        <f>IF(Human_Data_Entry!B231="","",Human_Data_Entry!B231)</f>
        <v/>
      </c>
      <c r="C233" s="104">
        <f>IF(Human_Data_Entry!C231="","",Human_Data_Entry!C231)</f>
        <v/>
      </c>
      <c r="D233" s="103">
        <f>IF(Human_Data_Entry!D231="","",Human_Data_Entry!D231)</f>
        <v/>
      </c>
      <c r="E233" s="103">
        <f>IF(Human_Data_Entry!G231="","",Human_Data_Entry!G231)</f>
        <v/>
      </c>
      <c r="F233" s="103">
        <f>IF(Human_Data_Entry!X231="","",Human_Data_Entry!X231)</f>
        <v/>
      </c>
      <c r="G233" s="103">
        <f>IF(Human_Data_Entry!AY231="","",Human_Data_Entry!AY231)</f>
        <v/>
      </c>
      <c r="H233" s="103">
        <f>IF(Human_Data_Entry!AS231="","",Human_Data_Entry!AS231)</f>
        <v/>
      </c>
      <c r="I233" s="103">
        <f>IF(Human_Data_Entry!F231="","",Human_Data_Entry!F231)</f>
        <v/>
      </c>
      <c r="J233" s="103">
        <f>IF(Human_Data_Entry!BA231="","",Human_Data_Entry!BA231)</f>
        <v/>
      </c>
      <c r="K233" s="103">
        <f>IF(Human_Data_Entry!BB231="","",Human_Data_Entry!BB231)</f>
        <v/>
      </c>
      <c r="L233" s="103">
        <f>IF(Human_Data_Entry!BC231="","",Human_Data_Entry!BC231)</f>
        <v/>
      </c>
      <c r="M233" s="104">
        <f>IF(Human_Data_Entry!BD231="","",Human_Data_Entry!BD231)</f>
        <v/>
      </c>
      <c r="N233" s="104">
        <f>IF(Human_Data_Entry!BE231="","",Human_Data_Entry!BE231)</f>
        <v/>
      </c>
      <c r="O233" s="105">
        <f>IF(Human_Data_Entry!BF231="","",Human_Data_Entry!BF231)</f>
        <v/>
      </c>
      <c r="P233" s="103">
        <f>IF(Human_Data_Entry!BG231="","",Human_Data_Entry!BG231)</f>
        <v/>
      </c>
      <c r="Q233" s="103">
        <f>IF(Human_Data_Entry!BL231="","",Human_Data_Entry!BL231)</f>
        <v/>
      </c>
      <c r="R233" s="103">
        <f>IF(Human_Data_Entry!BH231="","",Human_Data_Entry!BH231)</f>
        <v/>
      </c>
      <c r="S233" s="103">
        <f>IF(Human_Data_Entry!BI231="","",Human_Data_Entry!BI231)</f>
        <v/>
      </c>
      <c r="T233" s="103">
        <f>IF(Human_Data_Entry!BJ231="","",Human_Data_Entry!BJ231)</f>
        <v/>
      </c>
      <c r="U233" s="103">
        <f>IF(Human_Data_Entry!AP231="","",Human_Data_Entry!AP231)</f>
        <v/>
      </c>
      <c r="V233" s="103">
        <f>IF(Human_Data_Entry!AQ231="","",Human_Data_Entry!AQ231)</f>
        <v/>
      </c>
      <c r="W233" s="103">
        <f>IF(Human_Data_Entry!AR231="","",Human_Data_Entry!AR231)</f>
        <v/>
      </c>
      <c r="X233" s="103">
        <f>IF(Human_Data_Entry!BK231="","",Human_Data_Entry!BK231)</f>
        <v/>
      </c>
    </row>
    <row r="234" ht="15" customHeight="1" s="241">
      <c r="A234" s="103">
        <f>IF(Human_Data_Entry!A232="","",Human_Data_Entry!A232)</f>
        <v/>
      </c>
      <c r="B234" s="103">
        <f>IF(Human_Data_Entry!B232="","",Human_Data_Entry!B232)</f>
        <v/>
      </c>
      <c r="C234" s="104">
        <f>IF(Human_Data_Entry!C232="","",Human_Data_Entry!C232)</f>
        <v/>
      </c>
      <c r="D234" s="103">
        <f>IF(Human_Data_Entry!D232="","",Human_Data_Entry!D232)</f>
        <v/>
      </c>
      <c r="E234" s="103">
        <f>IF(Human_Data_Entry!G232="","",Human_Data_Entry!G232)</f>
        <v/>
      </c>
      <c r="F234" s="103">
        <f>IF(Human_Data_Entry!X232="","",Human_Data_Entry!X232)</f>
        <v/>
      </c>
      <c r="G234" s="103">
        <f>IF(Human_Data_Entry!AY232="","",Human_Data_Entry!AY232)</f>
        <v/>
      </c>
      <c r="H234" s="103">
        <f>IF(Human_Data_Entry!AS232="","",Human_Data_Entry!AS232)</f>
        <v/>
      </c>
      <c r="I234" s="103">
        <f>IF(Human_Data_Entry!F232="","",Human_Data_Entry!F232)</f>
        <v/>
      </c>
      <c r="J234" s="103">
        <f>IF(Human_Data_Entry!BA232="","",Human_Data_Entry!BA232)</f>
        <v/>
      </c>
      <c r="K234" s="103">
        <f>IF(Human_Data_Entry!BB232="","",Human_Data_Entry!BB232)</f>
        <v/>
      </c>
      <c r="L234" s="103">
        <f>IF(Human_Data_Entry!BC232="","",Human_Data_Entry!BC232)</f>
        <v/>
      </c>
      <c r="M234" s="104">
        <f>IF(Human_Data_Entry!BD232="","",Human_Data_Entry!BD232)</f>
        <v/>
      </c>
      <c r="N234" s="104">
        <f>IF(Human_Data_Entry!BE232="","",Human_Data_Entry!BE232)</f>
        <v/>
      </c>
      <c r="O234" s="105">
        <f>IF(Human_Data_Entry!BF232="","",Human_Data_Entry!BF232)</f>
        <v/>
      </c>
      <c r="P234" s="103">
        <f>IF(Human_Data_Entry!BG232="","",Human_Data_Entry!BG232)</f>
        <v/>
      </c>
      <c r="Q234" s="103">
        <f>IF(Human_Data_Entry!BL232="","",Human_Data_Entry!BL232)</f>
        <v/>
      </c>
      <c r="R234" s="103">
        <f>IF(Human_Data_Entry!BH232="","",Human_Data_Entry!BH232)</f>
        <v/>
      </c>
      <c r="S234" s="103">
        <f>IF(Human_Data_Entry!BI232="","",Human_Data_Entry!BI232)</f>
        <v/>
      </c>
      <c r="T234" s="103">
        <f>IF(Human_Data_Entry!BJ232="","",Human_Data_Entry!BJ232)</f>
        <v/>
      </c>
      <c r="U234" s="103">
        <f>IF(Human_Data_Entry!AP232="","",Human_Data_Entry!AP232)</f>
        <v/>
      </c>
      <c r="V234" s="103">
        <f>IF(Human_Data_Entry!AQ232="","",Human_Data_Entry!AQ232)</f>
        <v/>
      </c>
      <c r="W234" s="103">
        <f>IF(Human_Data_Entry!AR232="","",Human_Data_Entry!AR232)</f>
        <v/>
      </c>
      <c r="X234" s="103">
        <f>IF(Human_Data_Entry!BK232="","",Human_Data_Entry!BK232)</f>
        <v/>
      </c>
    </row>
    <row r="235" ht="15" customHeight="1" s="241">
      <c r="A235" s="103">
        <f>IF(Human_Data_Entry!A233="","",Human_Data_Entry!A233)</f>
        <v/>
      </c>
      <c r="B235" s="103">
        <f>IF(Human_Data_Entry!B233="","",Human_Data_Entry!B233)</f>
        <v/>
      </c>
      <c r="C235" s="104">
        <f>IF(Human_Data_Entry!C233="","",Human_Data_Entry!C233)</f>
        <v/>
      </c>
      <c r="D235" s="103">
        <f>IF(Human_Data_Entry!D233="","",Human_Data_Entry!D233)</f>
        <v/>
      </c>
      <c r="E235" s="103">
        <f>IF(Human_Data_Entry!G233="","",Human_Data_Entry!G233)</f>
        <v/>
      </c>
      <c r="F235" s="103">
        <f>IF(Human_Data_Entry!X233="","",Human_Data_Entry!X233)</f>
        <v/>
      </c>
      <c r="G235" s="103">
        <f>IF(Human_Data_Entry!AY233="","",Human_Data_Entry!AY233)</f>
        <v/>
      </c>
      <c r="H235" s="103">
        <f>IF(Human_Data_Entry!AS233="","",Human_Data_Entry!AS233)</f>
        <v/>
      </c>
      <c r="I235" s="103">
        <f>IF(Human_Data_Entry!F233="","",Human_Data_Entry!F233)</f>
        <v/>
      </c>
      <c r="J235" s="103">
        <f>IF(Human_Data_Entry!BA233="","",Human_Data_Entry!BA233)</f>
        <v/>
      </c>
      <c r="K235" s="103">
        <f>IF(Human_Data_Entry!BB233="","",Human_Data_Entry!BB233)</f>
        <v/>
      </c>
      <c r="L235" s="103">
        <f>IF(Human_Data_Entry!BC233="","",Human_Data_Entry!BC233)</f>
        <v/>
      </c>
      <c r="M235" s="104">
        <f>IF(Human_Data_Entry!BD233="","",Human_Data_Entry!BD233)</f>
        <v/>
      </c>
      <c r="N235" s="104">
        <f>IF(Human_Data_Entry!BE233="","",Human_Data_Entry!BE233)</f>
        <v/>
      </c>
      <c r="O235" s="105">
        <f>IF(Human_Data_Entry!BF233="","",Human_Data_Entry!BF233)</f>
        <v/>
      </c>
      <c r="P235" s="103">
        <f>IF(Human_Data_Entry!BG233="","",Human_Data_Entry!BG233)</f>
        <v/>
      </c>
      <c r="Q235" s="103">
        <f>IF(Human_Data_Entry!BL233="","",Human_Data_Entry!BL233)</f>
        <v/>
      </c>
      <c r="R235" s="103">
        <f>IF(Human_Data_Entry!BH233="","",Human_Data_Entry!BH233)</f>
        <v/>
      </c>
      <c r="S235" s="103">
        <f>IF(Human_Data_Entry!BI233="","",Human_Data_Entry!BI233)</f>
        <v/>
      </c>
      <c r="T235" s="103">
        <f>IF(Human_Data_Entry!BJ233="","",Human_Data_Entry!BJ233)</f>
        <v/>
      </c>
      <c r="U235" s="103">
        <f>IF(Human_Data_Entry!AP233="","",Human_Data_Entry!AP233)</f>
        <v/>
      </c>
      <c r="V235" s="103">
        <f>IF(Human_Data_Entry!AQ233="","",Human_Data_Entry!AQ233)</f>
        <v/>
      </c>
      <c r="W235" s="103">
        <f>IF(Human_Data_Entry!AR233="","",Human_Data_Entry!AR233)</f>
        <v/>
      </c>
      <c r="X235" s="103">
        <f>IF(Human_Data_Entry!BK233="","",Human_Data_Entry!BK233)</f>
        <v/>
      </c>
    </row>
    <row r="236" ht="15" customHeight="1" s="241">
      <c r="A236" s="103">
        <f>IF(Human_Data_Entry!A234="","",Human_Data_Entry!A234)</f>
        <v/>
      </c>
      <c r="B236" s="103">
        <f>IF(Human_Data_Entry!B234="","",Human_Data_Entry!B234)</f>
        <v/>
      </c>
      <c r="C236" s="104">
        <f>IF(Human_Data_Entry!C234="","",Human_Data_Entry!C234)</f>
        <v/>
      </c>
      <c r="D236" s="103">
        <f>IF(Human_Data_Entry!D234="","",Human_Data_Entry!D234)</f>
        <v/>
      </c>
      <c r="E236" s="103">
        <f>IF(Human_Data_Entry!G234="","",Human_Data_Entry!G234)</f>
        <v/>
      </c>
      <c r="F236" s="103">
        <f>IF(Human_Data_Entry!X234="","",Human_Data_Entry!X234)</f>
        <v/>
      </c>
      <c r="G236" s="103">
        <f>IF(Human_Data_Entry!AY234="","",Human_Data_Entry!AY234)</f>
        <v/>
      </c>
      <c r="H236" s="103">
        <f>IF(Human_Data_Entry!AS234="","",Human_Data_Entry!AS234)</f>
        <v/>
      </c>
      <c r="I236" s="103">
        <f>IF(Human_Data_Entry!F234="","",Human_Data_Entry!F234)</f>
        <v/>
      </c>
      <c r="J236" s="103">
        <f>IF(Human_Data_Entry!BA234="","",Human_Data_Entry!BA234)</f>
        <v/>
      </c>
      <c r="K236" s="103">
        <f>IF(Human_Data_Entry!BB234="","",Human_Data_Entry!BB234)</f>
        <v/>
      </c>
      <c r="L236" s="103">
        <f>IF(Human_Data_Entry!BC234="","",Human_Data_Entry!BC234)</f>
        <v/>
      </c>
      <c r="M236" s="104">
        <f>IF(Human_Data_Entry!BD234="","",Human_Data_Entry!BD234)</f>
        <v/>
      </c>
      <c r="N236" s="104">
        <f>IF(Human_Data_Entry!BE234="","",Human_Data_Entry!BE234)</f>
        <v/>
      </c>
      <c r="O236" s="105">
        <f>IF(Human_Data_Entry!BF234="","",Human_Data_Entry!BF234)</f>
        <v/>
      </c>
      <c r="P236" s="103">
        <f>IF(Human_Data_Entry!BG234="","",Human_Data_Entry!BG234)</f>
        <v/>
      </c>
      <c r="Q236" s="103">
        <f>IF(Human_Data_Entry!BL234="","",Human_Data_Entry!BL234)</f>
        <v/>
      </c>
      <c r="R236" s="103">
        <f>IF(Human_Data_Entry!BH234="","",Human_Data_Entry!BH234)</f>
        <v/>
      </c>
      <c r="S236" s="103">
        <f>IF(Human_Data_Entry!BI234="","",Human_Data_Entry!BI234)</f>
        <v/>
      </c>
      <c r="T236" s="103">
        <f>IF(Human_Data_Entry!BJ234="","",Human_Data_Entry!BJ234)</f>
        <v/>
      </c>
      <c r="U236" s="103">
        <f>IF(Human_Data_Entry!AP234="","",Human_Data_Entry!AP234)</f>
        <v/>
      </c>
      <c r="V236" s="103">
        <f>IF(Human_Data_Entry!AQ234="","",Human_Data_Entry!AQ234)</f>
        <v/>
      </c>
      <c r="W236" s="103">
        <f>IF(Human_Data_Entry!AR234="","",Human_Data_Entry!AR234)</f>
        <v/>
      </c>
      <c r="X236" s="103">
        <f>IF(Human_Data_Entry!BK234="","",Human_Data_Entry!BK234)</f>
        <v/>
      </c>
    </row>
    <row r="237" ht="15" customHeight="1" s="241">
      <c r="A237" s="103">
        <f>IF(Human_Data_Entry!A235="","",Human_Data_Entry!A235)</f>
        <v/>
      </c>
      <c r="B237" s="103">
        <f>IF(Human_Data_Entry!B235="","",Human_Data_Entry!B235)</f>
        <v/>
      </c>
      <c r="C237" s="104">
        <f>IF(Human_Data_Entry!C235="","",Human_Data_Entry!C235)</f>
        <v/>
      </c>
      <c r="D237" s="103">
        <f>IF(Human_Data_Entry!D235="","",Human_Data_Entry!D235)</f>
        <v/>
      </c>
      <c r="E237" s="103">
        <f>IF(Human_Data_Entry!G235="","",Human_Data_Entry!G235)</f>
        <v/>
      </c>
      <c r="F237" s="103">
        <f>IF(Human_Data_Entry!X235="","",Human_Data_Entry!X235)</f>
        <v/>
      </c>
      <c r="G237" s="103">
        <f>IF(Human_Data_Entry!AY235="","",Human_Data_Entry!AY235)</f>
        <v/>
      </c>
      <c r="H237" s="103">
        <f>IF(Human_Data_Entry!AS235="","",Human_Data_Entry!AS235)</f>
        <v/>
      </c>
      <c r="I237" s="103">
        <f>IF(Human_Data_Entry!F235="","",Human_Data_Entry!F235)</f>
        <v/>
      </c>
      <c r="J237" s="103">
        <f>IF(Human_Data_Entry!BA235="","",Human_Data_Entry!BA235)</f>
        <v/>
      </c>
      <c r="K237" s="103">
        <f>IF(Human_Data_Entry!BB235="","",Human_Data_Entry!BB235)</f>
        <v/>
      </c>
      <c r="L237" s="103">
        <f>IF(Human_Data_Entry!BC235="","",Human_Data_Entry!BC235)</f>
        <v/>
      </c>
      <c r="M237" s="104">
        <f>IF(Human_Data_Entry!BD235="","",Human_Data_Entry!BD235)</f>
        <v/>
      </c>
      <c r="N237" s="104">
        <f>IF(Human_Data_Entry!BE235="","",Human_Data_Entry!BE235)</f>
        <v/>
      </c>
      <c r="O237" s="105">
        <f>IF(Human_Data_Entry!BF235="","",Human_Data_Entry!BF235)</f>
        <v/>
      </c>
      <c r="P237" s="103">
        <f>IF(Human_Data_Entry!BG235="","",Human_Data_Entry!BG235)</f>
        <v/>
      </c>
      <c r="Q237" s="103">
        <f>IF(Human_Data_Entry!BL235="","",Human_Data_Entry!BL235)</f>
        <v/>
      </c>
      <c r="R237" s="103">
        <f>IF(Human_Data_Entry!BH235="","",Human_Data_Entry!BH235)</f>
        <v/>
      </c>
      <c r="S237" s="103">
        <f>IF(Human_Data_Entry!BI235="","",Human_Data_Entry!BI235)</f>
        <v/>
      </c>
      <c r="T237" s="103">
        <f>IF(Human_Data_Entry!BJ235="","",Human_Data_Entry!BJ235)</f>
        <v/>
      </c>
      <c r="U237" s="103">
        <f>IF(Human_Data_Entry!AP235="","",Human_Data_Entry!AP235)</f>
        <v/>
      </c>
      <c r="V237" s="103">
        <f>IF(Human_Data_Entry!AQ235="","",Human_Data_Entry!AQ235)</f>
        <v/>
      </c>
      <c r="W237" s="103">
        <f>IF(Human_Data_Entry!AR235="","",Human_Data_Entry!AR235)</f>
        <v/>
      </c>
      <c r="X237" s="103">
        <f>IF(Human_Data_Entry!BK235="","",Human_Data_Entry!BK235)</f>
        <v/>
      </c>
    </row>
    <row r="238" ht="15" customHeight="1" s="241">
      <c r="A238" s="103">
        <f>IF(Human_Data_Entry!A236="","",Human_Data_Entry!A236)</f>
        <v/>
      </c>
      <c r="B238" s="103">
        <f>IF(Human_Data_Entry!B236="","",Human_Data_Entry!B236)</f>
        <v/>
      </c>
      <c r="C238" s="104">
        <f>IF(Human_Data_Entry!C236="","",Human_Data_Entry!C236)</f>
        <v/>
      </c>
      <c r="D238" s="103">
        <f>IF(Human_Data_Entry!D236="","",Human_Data_Entry!D236)</f>
        <v/>
      </c>
      <c r="E238" s="103">
        <f>IF(Human_Data_Entry!G236="","",Human_Data_Entry!G236)</f>
        <v/>
      </c>
      <c r="F238" s="103">
        <f>IF(Human_Data_Entry!X236="","",Human_Data_Entry!X236)</f>
        <v/>
      </c>
      <c r="G238" s="103">
        <f>IF(Human_Data_Entry!AY236="","",Human_Data_Entry!AY236)</f>
        <v/>
      </c>
      <c r="H238" s="103">
        <f>IF(Human_Data_Entry!AS236="","",Human_Data_Entry!AS236)</f>
        <v/>
      </c>
      <c r="I238" s="103">
        <f>IF(Human_Data_Entry!F236="","",Human_Data_Entry!F236)</f>
        <v/>
      </c>
      <c r="J238" s="103">
        <f>IF(Human_Data_Entry!BA236="","",Human_Data_Entry!BA236)</f>
        <v/>
      </c>
      <c r="K238" s="103">
        <f>IF(Human_Data_Entry!BB236="","",Human_Data_Entry!BB236)</f>
        <v/>
      </c>
      <c r="L238" s="103">
        <f>IF(Human_Data_Entry!BC236="","",Human_Data_Entry!BC236)</f>
        <v/>
      </c>
      <c r="M238" s="104">
        <f>IF(Human_Data_Entry!BD236="","",Human_Data_Entry!BD236)</f>
        <v/>
      </c>
      <c r="N238" s="104">
        <f>IF(Human_Data_Entry!BE236="","",Human_Data_Entry!BE236)</f>
        <v/>
      </c>
      <c r="O238" s="105">
        <f>IF(Human_Data_Entry!BF236="","",Human_Data_Entry!BF236)</f>
        <v/>
      </c>
      <c r="P238" s="103">
        <f>IF(Human_Data_Entry!BG236="","",Human_Data_Entry!BG236)</f>
        <v/>
      </c>
      <c r="Q238" s="103">
        <f>IF(Human_Data_Entry!BL236="","",Human_Data_Entry!BL236)</f>
        <v/>
      </c>
      <c r="R238" s="103">
        <f>IF(Human_Data_Entry!BH236="","",Human_Data_Entry!BH236)</f>
        <v/>
      </c>
      <c r="S238" s="103">
        <f>IF(Human_Data_Entry!BI236="","",Human_Data_Entry!BI236)</f>
        <v/>
      </c>
      <c r="T238" s="103">
        <f>IF(Human_Data_Entry!BJ236="","",Human_Data_Entry!BJ236)</f>
        <v/>
      </c>
      <c r="U238" s="103">
        <f>IF(Human_Data_Entry!AP236="","",Human_Data_Entry!AP236)</f>
        <v/>
      </c>
      <c r="V238" s="103">
        <f>IF(Human_Data_Entry!AQ236="","",Human_Data_Entry!AQ236)</f>
        <v/>
      </c>
      <c r="W238" s="103">
        <f>IF(Human_Data_Entry!AR236="","",Human_Data_Entry!AR236)</f>
        <v/>
      </c>
      <c r="X238" s="103">
        <f>IF(Human_Data_Entry!BK236="","",Human_Data_Entry!BK236)</f>
        <v/>
      </c>
    </row>
    <row r="239" ht="15" customHeight="1" s="241">
      <c r="A239" s="103">
        <f>IF(Human_Data_Entry!A237="","",Human_Data_Entry!A237)</f>
        <v/>
      </c>
      <c r="B239" s="103">
        <f>IF(Human_Data_Entry!B237="","",Human_Data_Entry!B237)</f>
        <v/>
      </c>
      <c r="C239" s="104">
        <f>IF(Human_Data_Entry!C237="","",Human_Data_Entry!C237)</f>
        <v/>
      </c>
      <c r="D239" s="103">
        <f>IF(Human_Data_Entry!D237="","",Human_Data_Entry!D237)</f>
        <v/>
      </c>
      <c r="E239" s="103">
        <f>IF(Human_Data_Entry!G237="","",Human_Data_Entry!G237)</f>
        <v/>
      </c>
      <c r="F239" s="103">
        <f>IF(Human_Data_Entry!X237="","",Human_Data_Entry!X237)</f>
        <v/>
      </c>
      <c r="G239" s="103">
        <f>IF(Human_Data_Entry!AY237="","",Human_Data_Entry!AY237)</f>
        <v/>
      </c>
      <c r="H239" s="103">
        <f>IF(Human_Data_Entry!AS237="","",Human_Data_Entry!AS237)</f>
        <v/>
      </c>
      <c r="I239" s="103">
        <f>IF(Human_Data_Entry!F237="","",Human_Data_Entry!F237)</f>
        <v/>
      </c>
      <c r="J239" s="103">
        <f>IF(Human_Data_Entry!BA237="","",Human_Data_Entry!BA237)</f>
        <v/>
      </c>
      <c r="K239" s="103">
        <f>IF(Human_Data_Entry!BB237="","",Human_Data_Entry!BB237)</f>
        <v/>
      </c>
      <c r="L239" s="103">
        <f>IF(Human_Data_Entry!BC237="","",Human_Data_Entry!BC237)</f>
        <v/>
      </c>
      <c r="M239" s="104">
        <f>IF(Human_Data_Entry!BD237="","",Human_Data_Entry!BD237)</f>
        <v/>
      </c>
      <c r="N239" s="104">
        <f>IF(Human_Data_Entry!BE237="","",Human_Data_Entry!BE237)</f>
        <v/>
      </c>
      <c r="O239" s="105">
        <f>IF(Human_Data_Entry!BF237="","",Human_Data_Entry!BF237)</f>
        <v/>
      </c>
      <c r="P239" s="103">
        <f>IF(Human_Data_Entry!BG237="","",Human_Data_Entry!BG237)</f>
        <v/>
      </c>
      <c r="Q239" s="103">
        <f>IF(Human_Data_Entry!BL237="","",Human_Data_Entry!BL237)</f>
        <v/>
      </c>
      <c r="R239" s="103">
        <f>IF(Human_Data_Entry!BH237="","",Human_Data_Entry!BH237)</f>
        <v/>
      </c>
      <c r="S239" s="103">
        <f>IF(Human_Data_Entry!BI237="","",Human_Data_Entry!BI237)</f>
        <v/>
      </c>
      <c r="T239" s="103">
        <f>IF(Human_Data_Entry!BJ237="","",Human_Data_Entry!BJ237)</f>
        <v/>
      </c>
      <c r="U239" s="103">
        <f>IF(Human_Data_Entry!AP237="","",Human_Data_Entry!AP237)</f>
        <v/>
      </c>
      <c r="V239" s="103">
        <f>IF(Human_Data_Entry!AQ237="","",Human_Data_Entry!AQ237)</f>
        <v/>
      </c>
      <c r="W239" s="103">
        <f>IF(Human_Data_Entry!AR237="","",Human_Data_Entry!AR237)</f>
        <v/>
      </c>
      <c r="X239" s="103">
        <f>IF(Human_Data_Entry!BK237="","",Human_Data_Entry!BK237)</f>
        <v/>
      </c>
    </row>
    <row r="240" ht="15" customHeight="1" s="241">
      <c r="A240" s="103">
        <f>IF(Human_Data_Entry!A238="","",Human_Data_Entry!A238)</f>
        <v/>
      </c>
      <c r="B240" s="103">
        <f>IF(Human_Data_Entry!B238="","",Human_Data_Entry!B238)</f>
        <v/>
      </c>
      <c r="C240" s="104">
        <f>IF(Human_Data_Entry!C238="","",Human_Data_Entry!C238)</f>
        <v/>
      </c>
      <c r="D240" s="103">
        <f>IF(Human_Data_Entry!D238="","",Human_Data_Entry!D238)</f>
        <v/>
      </c>
      <c r="E240" s="103">
        <f>IF(Human_Data_Entry!G238="","",Human_Data_Entry!G238)</f>
        <v/>
      </c>
      <c r="F240" s="103">
        <f>IF(Human_Data_Entry!X238="","",Human_Data_Entry!X238)</f>
        <v/>
      </c>
      <c r="G240" s="103">
        <f>IF(Human_Data_Entry!AY238="","",Human_Data_Entry!AY238)</f>
        <v/>
      </c>
      <c r="H240" s="103">
        <f>IF(Human_Data_Entry!AS238="","",Human_Data_Entry!AS238)</f>
        <v/>
      </c>
      <c r="I240" s="103">
        <f>IF(Human_Data_Entry!F238="","",Human_Data_Entry!F238)</f>
        <v/>
      </c>
      <c r="J240" s="103">
        <f>IF(Human_Data_Entry!BA238="","",Human_Data_Entry!BA238)</f>
        <v/>
      </c>
      <c r="K240" s="103">
        <f>IF(Human_Data_Entry!BB238="","",Human_Data_Entry!BB238)</f>
        <v/>
      </c>
      <c r="L240" s="103">
        <f>IF(Human_Data_Entry!BC238="","",Human_Data_Entry!BC238)</f>
        <v/>
      </c>
      <c r="M240" s="104">
        <f>IF(Human_Data_Entry!BD238="","",Human_Data_Entry!BD238)</f>
        <v/>
      </c>
      <c r="N240" s="104">
        <f>IF(Human_Data_Entry!BE238="","",Human_Data_Entry!BE238)</f>
        <v/>
      </c>
      <c r="O240" s="105">
        <f>IF(Human_Data_Entry!BF238="","",Human_Data_Entry!BF238)</f>
        <v/>
      </c>
      <c r="P240" s="103">
        <f>IF(Human_Data_Entry!BG238="","",Human_Data_Entry!BG238)</f>
        <v/>
      </c>
      <c r="Q240" s="103">
        <f>IF(Human_Data_Entry!BL238="","",Human_Data_Entry!BL238)</f>
        <v/>
      </c>
      <c r="R240" s="103">
        <f>IF(Human_Data_Entry!BH238="","",Human_Data_Entry!BH238)</f>
        <v/>
      </c>
      <c r="S240" s="103">
        <f>IF(Human_Data_Entry!BI238="","",Human_Data_Entry!BI238)</f>
        <v/>
      </c>
      <c r="T240" s="103">
        <f>IF(Human_Data_Entry!BJ238="","",Human_Data_Entry!BJ238)</f>
        <v/>
      </c>
      <c r="U240" s="103">
        <f>IF(Human_Data_Entry!AP238="","",Human_Data_Entry!AP238)</f>
        <v/>
      </c>
      <c r="V240" s="103">
        <f>IF(Human_Data_Entry!AQ238="","",Human_Data_Entry!AQ238)</f>
        <v/>
      </c>
      <c r="W240" s="103">
        <f>IF(Human_Data_Entry!AR238="","",Human_Data_Entry!AR238)</f>
        <v/>
      </c>
      <c r="X240" s="103">
        <f>IF(Human_Data_Entry!BK238="","",Human_Data_Entry!BK238)</f>
        <v/>
      </c>
    </row>
    <row r="241" ht="15" customHeight="1" s="241">
      <c r="A241" s="103">
        <f>IF(Human_Data_Entry!A239="","",Human_Data_Entry!A239)</f>
        <v/>
      </c>
      <c r="B241" s="103">
        <f>IF(Human_Data_Entry!B239="","",Human_Data_Entry!B239)</f>
        <v/>
      </c>
      <c r="C241" s="104">
        <f>IF(Human_Data_Entry!C239="","",Human_Data_Entry!C239)</f>
        <v/>
      </c>
      <c r="D241" s="103">
        <f>IF(Human_Data_Entry!D239="","",Human_Data_Entry!D239)</f>
        <v/>
      </c>
      <c r="E241" s="103">
        <f>IF(Human_Data_Entry!G239="","",Human_Data_Entry!G239)</f>
        <v/>
      </c>
      <c r="F241" s="103">
        <f>IF(Human_Data_Entry!X239="","",Human_Data_Entry!X239)</f>
        <v/>
      </c>
      <c r="G241" s="103">
        <f>IF(Human_Data_Entry!AY239="","",Human_Data_Entry!AY239)</f>
        <v/>
      </c>
      <c r="H241" s="103">
        <f>IF(Human_Data_Entry!AS239="","",Human_Data_Entry!AS239)</f>
        <v/>
      </c>
      <c r="I241" s="103">
        <f>IF(Human_Data_Entry!F239="","",Human_Data_Entry!F239)</f>
        <v/>
      </c>
      <c r="J241" s="103">
        <f>IF(Human_Data_Entry!BA239="","",Human_Data_Entry!BA239)</f>
        <v/>
      </c>
      <c r="K241" s="103">
        <f>IF(Human_Data_Entry!BB239="","",Human_Data_Entry!BB239)</f>
        <v/>
      </c>
      <c r="L241" s="103">
        <f>IF(Human_Data_Entry!BC239="","",Human_Data_Entry!BC239)</f>
        <v/>
      </c>
      <c r="M241" s="104">
        <f>IF(Human_Data_Entry!BD239="","",Human_Data_Entry!BD239)</f>
        <v/>
      </c>
      <c r="N241" s="104">
        <f>IF(Human_Data_Entry!BE239="","",Human_Data_Entry!BE239)</f>
        <v/>
      </c>
      <c r="O241" s="105">
        <f>IF(Human_Data_Entry!BF239="","",Human_Data_Entry!BF239)</f>
        <v/>
      </c>
      <c r="P241" s="103">
        <f>IF(Human_Data_Entry!BG239="","",Human_Data_Entry!BG239)</f>
        <v/>
      </c>
      <c r="Q241" s="103">
        <f>IF(Human_Data_Entry!BL239="","",Human_Data_Entry!BL239)</f>
        <v/>
      </c>
      <c r="R241" s="103">
        <f>IF(Human_Data_Entry!BH239="","",Human_Data_Entry!BH239)</f>
        <v/>
      </c>
      <c r="S241" s="103">
        <f>IF(Human_Data_Entry!BI239="","",Human_Data_Entry!BI239)</f>
        <v/>
      </c>
      <c r="T241" s="103">
        <f>IF(Human_Data_Entry!BJ239="","",Human_Data_Entry!BJ239)</f>
        <v/>
      </c>
      <c r="U241" s="103">
        <f>IF(Human_Data_Entry!AP239="","",Human_Data_Entry!AP239)</f>
        <v/>
      </c>
      <c r="V241" s="103">
        <f>IF(Human_Data_Entry!AQ239="","",Human_Data_Entry!AQ239)</f>
        <v/>
      </c>
      <c r="W241" s="103">
        <f>IF(Human_Data_Entry!AR239="","",Human_Data_Entry!AR239)</f>
        <v/>
      </c>
      <c r="X241" s="103">
        <f>IF(Human_Data_Entry!BK239="","",Human_Data_Entry!BK239)</f>
        <v/>
      </c>
    </row>
    <row r="242" ht="15" customHeight="1" s="241">
      <c r="A242" s="103">
        <f>IF(Human_Data_Entry!A240="","",Human_Data_Entry!A240)</f>
        <v/>
      </c>
      <c r="B242" s="103">
        <f>IF(Human_Data_Entry!B240="","",Human_Data_Entry!B240)</f>
        <v/>
      </c>
      <c r="C242" s="104">
        <f>IF(Human_Data_Entry!C240="","",Human_Data_Entry!C240)</f>
        <v/>
      </c>
      <c r="D242" s="103">
        <f>IF(Human_Data_Entry!D240="","",Human_Data_Entry!D240)</f>
        <v/>
      </c>
      <c r="E242" s="103">
        <f>IF(Human_Data_Entry!G240="","",Human_Data_Entry!G240)</f>
        <v/>
      </c>
      <c r="F242" s="103">
        <f>IF(Human_Data_Entry!X240="","",Human_Data_Entry!X240)</f>
        <v/>
      </c>
      <c r="G242" s="103">
        <f>IF(Human_Data_Entry!AY240="","",Human_Data_Entry!AY240)</f>
        <v/>
      </c>
      <c r="H242" s="103">
        <f>IF(Human_Data_Entry!AS240="","",Human_Data_Entry!AS240)</f>
        <v/>
      </c>
      <c r="I242" s="103">
        <f>IF(Human_Data_Entry!F240="","",Human_Data_Entry!F240)</f>
        <v/>
      </c>
      <c r="J242" s="103">
        <f>IF(Human_Data_Entry!BA240="","",Human_Data_Entry!BA240)</f>
        <v/>
      </c>
      <c r="K242" s="103">
        <f>IF(Human_Data_Entry!BB240="","",Human_Data_Entry!BB240)</f>
        <v/>
      </c>
      <c r="L242" s="103">
        <f>IF(Human_Data_Entry!BC240="","",Human_Data_Entry!BC240)</f>
        <v/>
      </c>
      <c r="M242" s="104">
        <f>IF(Human_Data_Entry!BD240="","",Human_Data_Entry!BD240)</f>
        <v/>
      </c>
      <c r="N242" s="104">
        <f>IF(Human_Data_Entry!BE240="","",Human_Data_Entry!BE240)</f>
        <v/>
      </c>
      <c r="O242" s="105">
        <f>IF(Human_Data_Entry!BF240="","",Human_Data_Entry!BF240)</f>
        <v/>
      </c>
      <c r="P242" s="103">
        <f>IF(Human_Data_Entry!BG240="","",Human_Data_Entry!BG240)</f>
        <v/>
      </c>
      <c r="Q242" s="103">
        <f>IF(Human_Data_Entry!BL240="","",Human_Data_Entry!BL240)</f>
        <v/>
      </c>
      <c r="R242" s="103">
        <f>IF(Human_Data_Entry!BH240="","",Human_Data_Entry!BH240)</f>
        <v/>
      </c>
      <c r="S242" s="103">
        <f>IF(Human_Data_Entry!BI240="","",Human_Data_Entry!BI240)</f>
        <v/>
      </c>
      <c r="T242" s="103">
        <f>IF(Human_Data_Entry!BJ240="","",Human_Data_Entry!BJ240)</f>
        <v/>
      </c>
      <c r="U242" s="103">
        <f>IF(Human_Data_Entry!AP240="","",Human_Data_Entry!AP240)</f>
        <v/>
      </c>
      <c r="V242" s="103">
        <f>IF(Human_Data_Entry!AQ240="","",Human_Data_Entry!AQ240)</f>
        <v/>
      </c>
      <c r="W242" s="103">
        <f>IF(Human_Data_Entry!AR240="","",Human_Data_Entry!AR240)</f>
        <v/>
      </c>
      <c r="X242" s="103">
        <f>IF(Human_Data_Entry!BK240="","",Human_Data_Entry!BK240)</f>
        <v/>
      </c>
    </row>
    <row r="243" ht="15" customHeight="1" s="241">
      <c r="A243" s="103">
        <f>IF(Human_Data_Entry!A241="","",Human_Data_Entry!A241)</f>
        <v/>
      </c>
      <c r="B243" s="103">
        <f>IF(Human_Data_Entry!B241="","",Human_Data_Entry!B241)</f>
        <v/>
      </c>
      <c r="C243" s="104">
        <f>IF(Human_Data_Entry!C241="","",Human_Data_Entry!C241)</f>
        <v/>
      </c>
      <c r="D243" s="103">
        <f>IF(Human_Data_Entry!D241="","",Human_Data_Entry!D241)</f>
        <v/>
      </c>
      <c r="E243" s="103">
        <f>IF(Human_Data_Entry!G241="","",Human_Data_Entry!G241)</f>
        <v/>
      </c>
      <c r="F243" s="103">
        <f>IF(Human_Data_Entry!X241="","",Human_Data_Entry!X241)</f>
        <v/>
      </c>
      <c r="G243" s="103">
        <f>IF(Human_Data_Entry!AY241="","",Human_Data_Entry!AY241)</f>
        <v/>
      </c>
      <c r="H243" s="103">
        <f>IF(Human_Data_Entry!AS241="","",Human_Data_Entry!AS241)</f>
        <v/>
      </c>
      <c r="I243" s="103">
        <f>IF(Human_Data_Entry!F241="","",Human_Data_Entry!F241)</f>
        <v/>
      </c>
      <c r="J243" s="103">
        <f>IF(Human_Data_Entry!BA241="","",Human_Data_Entry!BA241)</f>
        <v/>
      </c>
      <c r="K243" s="103">
        <f>IF(Human_Data_Entry!BB241="","",Human_Data_Entry!BB241)</f>
        <v/>
      </c>
      <c r="L243" s="103">
        <f>IF(Human_Data_Entry!BC241="","",Human_Data_Entry!BC241)</f>
        <v/>
      </c>
      <c r="M243" s="104">
        <f>IF(Human_Data_Entry!BD241="","",Human_Data_Entry!BD241)</f>
        <v/>
      </c>
      <c r="N243" s="104">
        <f>IF(Human_Data_Entry!BE241="","",Human_Data_Entry!BE241)</f>
        <v/>
      </c>
      <c r="O243" s="105">
        <f>IF(Human_Data_Entry!BF241="","",Human_Data_Entry!BF241)</f>
        <v/>
      </c>
      <c r="P243" s="103">
        <f>IF(Human_Data_Entry!BG241="","",Human_Data_Entry!BG241)</f>
        <v/>
      </c>
      <c r="Q243" s="103">
        <f>IF(Human_Data_Entry!BL241="","",Human_Data_Entry!BL241)</f>
        <v/>
      </c>
      <c r="R243" s="103">
        <f>IF(Human_Data_Entry!BH241="","",Human_Data_Entry!BH241)</f>
        <v/>
      </c>
      <c r="S243" s="103">
        <f>IF(Human_Data_Entry!BI241="","",Human_Data_Entry!BI241)</f>
        <v/>
      </c>
      <c r="T243" s="103">
        <f>IF(Human_Data_Entry!BJ241="","",Human_Data_Entry!BJ241)</f>
        <v/>
      </c>
      <c r="U243" s="103">
        <f>IF(Human_Data_Entry!AP241="","",Human_Data_Entry!AP241)</f>
        <v/>
      </c>
      <c r="V243" s="103">
        <f>IF(Human_Data_Entry!AQ241="","",Human_Data_Entry!AQ241)</f>
        <v/>
      </c>
      <c r="W243" s="103">
        <f>IF(Human_Data_Entry!AR241="","",Human_Data_Entry!AR241)</f>
        <v/>
      </c>
      <c r="X243" s="103">
        <f>IF(Human_Data_Entry!BK241="","",Human_Data_Entry!BK241)</f>
        <v/>
      </c>
    </row>
    <row r="244" ht="15" customHeight="1" s="241">
      <c r="A244" s="103">
        <f>IF(Human_Data_Entry!A242="","",Human_Data_Entry!A242)</f>
        <v/>
      </c>
      <c r="B244" s="103">
        <f>IF(Human_Data_Entry!B242="","",Human_Data_Entry!B242)</f>
        <v/>
      </c>
      <c r="C244" s="104">
        <f>IF(Human_Data_Entry!C242="","",Human_Data_Entry!C242)</f>
        <v/>
      </c>
      <c r="D244" s="103">
        <f>IF(Human_Data_Entry!D242="","",Human_Data_Entry!D242)</f>
        <v/>
      </c>
      <c r="E244" s="103">
        <f>IF(Human_Data_Entry!G242="","",Human_Data_Entry!G242)</f>
        <v/>
      </c>
      <c r="F244" s="103">
        <f>IF(Human_Data_Entry!X242="","",Human_Data_Entry!X242)</f>
        <v/>
      </c>
      <c r="G244" s="103">
        <f>IF(Human_Data_Entry!AY242="","",Human_Data_Entry!AY242)</f>
        <v/>
      </c>
      <c r="H244" s="103">
        <f>IF(Human_Data_Entry!AS242="","",Human_Data_Entry!AS242)</f>
        <v/>
      </c>
      <c r="I244" s="103">
        <f>IF(Human_Data_Entry!F242="","",Human_Data_Entry!F242)</f>
        <v/>
      </c>
      <c r="J244" s="103">
        <f>IF(Human_Data_Entry!BA242="","",Human_Data_Entry!BA242)</f>
        <v/>
      </c>
      <c r="K244" s="103">
        <f>IF(Human_Data_Entry!BB242="","",Human_Data_Entry!BB242)</f>
        <v/>
      </c>
      <c r="L244" s="103">
        <f>IF(Human_Data_Entry!BC242="","",Human_Data_Entry!BC242)</f>
        <v/>
      </c>
      <c r="M244" s="104">
        <f>IF(Human_Data_Entry!BD242="","",Human_Data_Entry!BD242)</f>
        <v/>
      </c>
      <c r="N244" s="104">
        <f>IF(Human_Data_Entry!BE242="","",Human_Data_Entry!BE242)</f>
        <v/>
      </c>
      <c r="O244" s="105">
        <f>IF(Human_Data_Entry!BF242="","",Human_Data_Entry!BF242)</f>
        <v/>
      </c>
      <c r="P244" s="103">
        <f>IF(Human_Data_Entry!BG242="","",Human_Data_Entry!BG242)</f>
        <v/>
      </c>
      <c r="Q244" s="103">
        <f>IF(Human_Data_Entry!BL242="","",Human_Data_Entry!BL242)</f>
        <v/>
      </c>
      <c r="R244" s="103">
        <f>IF(Human_Data_Entry!BH242="","",Human_Data_Entry!BH242)</f>
        <v/>
      </c>
      <c r="S244" s="103">
        <f>IF(Human_Data_Entry!BI242="","",Human_Data_Entry!BI242)</f>
        <v/>
      </c>
      <c r="T244" s="103">
        <f>IF(Human_Data_Entry!BJ242="","",Human_Data_Entry!BJ242)</f>
        <v/>
      </c>
      <c r="U244" s="103">
        <f>IF(Human_Data_Entry!AP242="","",Human_Data_Entry!AP242)</f>
        <v/>
      </c>
      <c r="V244" s="103">
        <f>IF(Human_Data_Entry!AQ242="","",Human_Data_Entry!AQ242)</f>
        <v/>
      </c>
      <c r="W244" s="103">
        <f>IF(Human_Data_Entry!AR242="","",Human_Data_Entry!AR242)</f>
        <v/>
      </c>
      <c r="X244" s="103">
        <f>IF(Human_Data_Entry!BK242="","",Human_Data_Entry!BK242)</f>
        <v/>
      </c>
    </row>
    <row r="245" ht="15" customHeight="1" s="241">
      <c r="A245" s="103">
        <f>IF(Human_Data_Entry!A243="","",Human_Data_Entry!A243)</f>
        <v/>
      </c>
      <c r="B245" s="103">
        <f>IF(Human_Data_Entry!B243="","",Human_Data_Entry!B243)</f>
        <v/>
      </c>
      <c r="C245" s="104">
        <f>IF(Human_Data_Entry!C243="","",Human_Data_Entry!C243)</f>
        <v/>
      </c>
      <c r="D245" s="103">
        <f>IF(Human_Data_Entry!D243="","",Human_Data_Entry!D243)</f>
        <v/>
      </c>
      <c r="E245" s="103">
        <f>IF(Human_Data_Entry!G243="","",Human_Data_Entry!G243)</f>
        <v/>
      </c>
      <c r="F245" s="103">
        <f>IF(Human_Data_Entry!X243="","",Human_Data_Entry!X243)</f>
        <v/>
      </c>
      <c r="G245" s="103">
        <f>IF(Human_Data_Entry!AY243="","",Human_Data_Entry!AY243)</f>
        <v/>
      </c>
      <c r="H245" s="103">
        <f>IF(Human_Data_Entry!AS243="","",Human_Data_Entry!AS243)</f>
        <v/>
      </c>
      <c r="I245" s="103">
        <f>IF(Human_Data_Entry!F243="","",Human_Data_Entry!F243)</f>
        <v/>
      </c>
      <c r="J245" s="103">
        <f>IF(Human_Data_Entry!BA243="","",Human_Data_Entry!BA243)</f>
        <v/>
      </c>
      <c r="K245" s="103">
        <f>IF(Human_Data_Entry!BB243="","",Human_Data_Entry!BB243)</f>
        <v/>
      </c>
      <c r="L245" s="103">
        <f>IF(Human_Data_Entry!BC243="","",Human_Data_Entry!BC243)</f>
        <v/>
      </c>
      <c r="M245" s="104">
        <f>IF(Human_Data_Entry!BD243="","",Human_Data_Entry!BD243)</f>
        <v/>
      </c>
      <c r="N245" s="104">
        <f>IF(Human_Data_Entry!BE243="","",Human_Data_Entry!BE243)</f>
        <v/>
      </c>
      <c r="O245" s="105">
        <f>IF(Human_Data_Entry!BF243="","",Human_Data_Entry!BF243)</f>
        <v/>
      </c>
      <c r="P245" s="103">
        <f>IF(Human_Data_Entry!BG243="","",Human_Data_Entry!BG243)</f>
        <v/>
      </c>
      <c r="Q245" s="103">
        <f>IF(Human_Data_Entry!BL243="","",Human_Data_Entry!BL243)</f>
        <v/>
      </c>
      <c r="R245" s="103">
        <f>IF(Human_Data_Entry!BH243="","",Human_Data_Entry!BH243)</f>
        <v/>
      </c>
      <c r="S245" s="103">
        <f>IF(Human_Data_Entry!BI243="","",Human_Data_Entry!BI243)</f>
        <v/>
      </c>
      <c r="T245" s="103">
        <f>IF(Human_Data_Entry!BJ243="","",Human_Data_Entry!BJ243)</f>
        <v/>
      </c>
      <c r="U245" s="103">
        <f>IF(Human_Data_Entry!AP243="","",Human_Data_Entry!AP243)</f>
        <v/>
      </c>
      <c r="V245" s="103">
        <f>IF(Human_Data_Entry!AQ243="","",Human_Data_Entry!AQ243)</f>
        <v/>
      </c>
      <c r="W245" s="103">
        <f>IF(Human_Data_Entry!AR243="","",Human_Data_Entry!AR243)</f>
        <v/>
      </c>
      <c r="X245" s="103">
        <f>IF(Human_Data_Entry!BK243="","",Human_Data_Entry!BK243)</f>
        <v/>
      </c>
    </row>
    <row r="246" ht="15" customHeight="1" s="241">
      <c r="A246" s="103">
        <f>IF(Human_Data_Entry!A244="","",Human_Data_Entry!A244)</f>
        <v/>
      </c>
      <c r="B246" s="103">
        <f>IF(Human_Data_Entry!B244="","",Human_Data_Entry!B244)</f>
        <v/>
      </c>
      <c r="C246" s="104">
        <f>IF(Human_Data_Entry!C244="","",Human_Data_Entry!C244)</f>
        <v/>
      </c>
      <c r="D246" s="103">
        <f>IF(Human_Data_Entry!D244="","",Human_Data_Entry!D244)</f>
        <v/>
      </c>
      <c r="E246" s="103">
        <f>IF(Human_Data_Entry!G244="","",Human_Data_Entry!G244)</f>
        <v/>
      </c>
      <c r="F246" s="103">
        <f>IF(Human_Data_Entry!X244="","",Human_Data_Entry!X244)</f>
        <v/>
      </c>
      <c r="G246" s="103">
        <f>IF(Human_Data_Entry!AY244="","",Human_Data_Entry!AY244)</f>
        <v/>
      </c>
      <c r="H246" s="103">
        <f>IF(Human_Data_Entry!AS244="","",Human_Data_Entry!AS244)</f>
        <v/>
      </c>
      <c r="I246" s="103">
        <f>IF(Human_Data_Entry!F244="","",Human_Data_Entry!F244)</f>
        <v/>
      </c>
      <c r="J246" s="103">
        <f>IF(Human_Data_Entry!BA244="","",Human_Data_Entry!BA244)</f>
        <v/>
      </c>
      <c r="K246" s="103">
        <f>IF(Human_Data_Entry!BB244="","",Human_Data_Entry!BB244)</f>
        <v/>
      </c>
      <c r="L246" s="103">
        <f>IF(Human_Data_Entry!BC244="","",Human_Data_Entry!BC244)</f>
        <v/>
      </c>
      <c r="M246" s="104">
        <f>IF(Human_Data_Entry!BD244="","",Human_Data_Entry!BD244)</f>
        <v/>
      </c>
      <c r="N246" s="104">
        <f>IF(Human_Data_Entry!BE244="","",Human_Data_Entry!BE244)</f>
        <v/>
      </c>
      <c r="O246" s="105">
        <f>IF(Human_Data_Entry!BF244="","",Human_Data_Entry!BF244)</f>
        <v/>
      </c>
      <c r="P246" s="103">
        <f>IF(Human_Data_Entry!BG244="","",Human_Data_Entry!BG244)</f>
        <v/>
      </c>
      <c r="Q246" s="103">
        <f>IF(Human_Data_Entry!BL244="","",Human_Data_Entry!BL244)</f>
        <v/>
      </c>
      <c r="R246" s="103">
        <f>IF(Human_Data_Entry!BH244="","",Human_Data_Entry!BH244)</f>
        <v/>
      </c>
      <c r="S246" s="103">
        <f>IF(Human_Data_Entry!BI244="","",Human_Data_Entry!BI244)</f>
        <v/>
      </c>
      <c r="T246" s="103">
        <f>IF(Human_Data_Entry!BJ244="","",Human_Data_Entry!BJ244)</f>
        <v/>
      </c>
      <c r="U246" s="103">
        <f>IF(Human_Data_Entry!AP244="","",Human_Data_Entry!AP244)</f>
        <v/>
      </c>
      <c r="V246" s="103">
        <f>IF(Human_Data_Entry!AQ244="","",Human_Data_Entry!AQ244)</f>
        <v/>
      </c>
      <c r="W246" s="103">
        <f>IF(Human_Data_Entry!AR244="","",Human_Data_Entry!AR244)</f>
        <v/>
      </c>
      <c r="X246" s="103">
        <f>IF(Human_Data_Entry!BK244="","",Human_Data_Entry!BK244)</f>
        <v/>
      </c>
    </row>
    <row r="247" ht="15" customHeight="1" s="241">
      <c r="A247" s="103">
        <f>IF(Human_Data_Entry!A245="","",Human_Data_Entry!A245)</f>
        <v/>
      </c>
      <c r="B247" s="103">
        <f>IF(Human_Data_Entry!B245="","",Human_Data_Entry!B245)</f>
        <v/>
      </c>
      <c r="C247" s="104">
        <f>IF(Human_Data_Entry!C245="","",Human_Data_Entry!C245)</f>
        <v/>
      </c>
      <c r="D247" s="103">
        <f>IF(Human_Data_Entry!D245="","",Human_Data_Entry!D245)</f>
        <v/>
      </c>
      <c r="E247" s="103">
        <f>IF(Human_Data_Entry!G245="","",Human_Data_Entry!G245)</f>
        <v/>
      </c>
      <c r="F247" s="103">
        <f>IF(Human_Data_Entry!X245="","",Human_Data_Entry!X245)</f>
        <v/>
      </c>
      <c r="G247" s="103">
        <f>IF(Human_Data_Entry!AY245="","",Human_Data_Entry!AY245)</f>
        <v/>
      </c>
      <c r="H247" s="103">
        <f>IF(Human_Data_Entry!AS245="","",Human_Data_Entry!AS245)</f>
        <v/>
      </c>
      <c r="I247" s="103">
        <f>IF(Human_Data_Entry!F245="","",Human_Data_Entry!F245)</f>
        <v/>
      </c>
      <c r="J247" s="103">
        <f>IF(Human_Data_Entry!BA245="","",Human_Data_Entry!BA245)</f>
        <v/>
      </c>
      <c r="K247" s="103">
        <f>IF(Human_Data_Entry!BB245="","",Human_Data_Entry!BB245)</f>
        <v/>
      </c>
      <c r="L247" s="103">
        <f>IF(Human_Data_Entry!BC245="","",Human_Data_Entry!BC245)</f>
        <v/>
      </c>
      <c r="M247" s="104">
        <f>IF(Human_Data_Entry!BD245="","",Human_Data_Entry!BD245)</f>
        <v/>
      </c>
      <c r="N247" s="104">
        <f>IF(Human_Data_Entry!BE245="","",Human_Data_Entry!BE245)</f>
        <v/>
      </c>
      <c r="O247" s="105">
        <f>IF(Human_Data_Entry!BF245="","",Human_Data_Entry!BF245)</f>
        <v/>
      </c>
      <c r="P247" s="103">
        <f>IF(Human_Data_Entry!BG245="","",Human_Data_Entry!BG245)</f>
        <v/>
      </c>
      <c r="Q247" s="103">
        <f>IF(Human_Data_Entry!BL245="","",Human_Data_Entry!BL245)</f>
        <v/>
      </c>
      <c r="R247" s="103">
        <f>IF(Human_Data_Entry!BH245="","",Human_Data_Entry!BH245)</f>
        <v/>
      </c>
      <c r="S247" s="103">
        <f>IF(Human_Data_Entry!BI245="","",Human_Data_Entry!BI245)</f>
        <v/>
      </c>
      <c r="T247" s="103">
        <f>IF(Human_Data_Entry!BJ245="","",Human_Data_Entry!BJ245)</f>
        <v/>
      </c>
      <c r="U247" s="103">
        <f>IF(Human_Data_Entry!AP245="","",Human_Data_Entry!AP245)</f>
        <v/>
      </c>
      <c r="V247" s="103">
        <f>IF(Human_Data_Entry!AQ245="","",Human_Data_Entry!AQ245)</f>
        <v/>
      </c>
      <c r="W247" s="103">
        <f>IF(Human_Data_Entry!AR245="","",Human_Data_Entry!AR245)</f>
        <v/>
      </c>
      <c r="X247" s="103">
        <f>IF(Human_Data_Entry!BK245="","",Human_Data_Entry!BK245)</f>
        <v/>
      </c>
    </row>
    <row r="248" ht="15" customHeight="1" s="241">
      <c r="A248" s="103">
        <f>IF(Human_Data_Entry!A246="","",Human_Data_Entry!A246)</f>
        <v/>
      </c>
      <c r="B248" s="103">
        <f>IF(Human_Data_Entry!B246="","",Human_Data_Entry!B246)</f>
        <v/>
      </c>
      <c r="C248" s="104">
        <f>IF(Human_Data_Entry!C246="","",Human_Data_Entry!C246)</f>
        <v/>
      </c>
      <c r="D248" s="103">
        <f>IF(Human_Data_Entry!D246="","",Human_Data_Entry!D246)</f>
        <v/>
      </c>
      <c r="E248" s="103">
        <f>IF(Human_Data_Entry!G246="","",Human_Data_Entry!G246)</f>
        <v/>
      </c>
      <c r="F248" s="103">
        <f>IF(Human_Data_Entry!X246="","",Human_Data_Entry!X246)</f>
        <v/>
      </c>
      <c r="G248" s="103">
        <f>IF(Human_Data_Entry!AY246="","",Human_Data_Entry!AY246)</f>
        <v/>
      </c>
      <c r="H248" s="103">
        <f>IF(Human_Data_Entry!AS246="","",Human_Data_Entry!AS246)</f>
        <v/>
      </c>
      <c r="I248" s="103">
        <f>IF(Human_Data_Entry!F246="","",Human_Data_Entry!F246)</f>
        <v/>
      </c>
      <c r="J248" s="103">
        <f>IF(Human_Data_Entry!BA246="","",Human_Data_Entry!BA246)</f>
        <v/>
      </c>
      <c r="K248" s="103">
        <f>IF(Human_Data_Entry!BB246="","",Human_Data_Entry!BB246)</f>
        <v/>
      </c>
      <c r="L248" s="103">
        <f>IF(Human_Data_Entry!BC246="","",Human_Data_Entry!BC246)</f>
        <v/>
      </c>
      <c r="M248" s="104">
        <f>IF(Human_Data_Entry!BD246="","",Human_Data_Entry!BD246)</f>
        <v/>
      </c>
      <c r="N248" s="104">
        <f>IF(Human_Data_Entry!BE246="","",Human_Data_Entry!BE246)</f>
        <v/>
      </c>
      <c r="O248" s="105">
        <f>IF(Human_Data_Entry!BF246="","",Human_Data_Entry!BF246)</f>
        <v/>
      </c>
      <c r="P248" s="103">
        <f>IF(Human_Data_Entry!BG246="","",Human_Data_Entry!BG246)</f>
        <v/>
      </c>
      <c r="Q248" s="103">
        <f>IF(Human_Data_Entry!BL246="","",Human_Data_Entry!BL246)</f>
        <v/>
      </c>
      <c r="R248" s="103">
        <f>IF(Human_Data_Entry!BH246="","",Human_Data_Entry!BH246)</f>
        <v/>
      </c>
      <c r="S248" s="103">
        <f>IF(Human_Data_Entry!BI246="","",Human_Data_Entry!BI246)</f>
        <v/>
      </c>
      <c r="T248" s="103">
        <f>IF(Human_Data_Entry!BJ246="","",Human_Data_Entry!BJ246)</f>
        <v/>
      </c>
      <c r="U248" s="103">
        <f>IF(Human_Data_Entry!AP246="","",Human_Data_Entry!AP246)</f>
        <v/>
      </c>
      <c r="V248" s="103">
        <f>IF(Human_Data_Entry!AQ246="","",Human_Data_Entry!AQ246)</f>
        <v/>
      </c>
      <c r="W248" s="103">
        <f>IF(Human_Data_Entry!AR246="","",Human_Data_Entry!AR246)</f>
        <v/>
      </c>
      <c r="X248" s="103">
        <f>IF(Human_Data_Entry!BK246="","",Human_Data_Entry!BK246)</f>
        <v/>
      </c>
    </row>
    <row r="249" ht="15" customHeight="1" s="241">
      <c r="A249" s="103">
        <f>IF(Human_Data_Entry!A247="","",Human_Data_Entry!A247)</f>
        <v/>
      </c>
      <c r="B249" s="103">
        <f>IF(Human_Data_Entry!B247="","",Human_Data_Entry!B247)</f>
        <v/>
      </c>
      <c r="C249" s="104">
        <f>IF(Human_Data_Entry!C247="","",Human_Data_Entry!C247)</f>
        <v/>
      </c>
      <c r="D249" s="103">
        <f>IF(Human_Data_Entry!D247="","",Human_Data_Entry!D247)</f>
        <v/>
      </c>
      <c r="E249" s="103">
        <f>IF(Human_Data_Entry!G247="","",Human_Data_Entry!G247)</f>
        <v/>
      </c>
      <c r="F249" s="103">
        <f>IF(Human_Data_Entry!X247="","",Human_Data_Entry!X247)</f>
        <v/>
      </c>
      <c r="G249" s="103">
        <f>IF(Human_Data_Entry!AY247="","",Human_Data_Entry!AY247)</f>
        <v/>
      </c>
      <c r="H249" s="103">
        <f>IF(Human_Data_Entry!AS247="","",Human_Data_Entry!AS247)</f>
        <v/>
      </c>
      <c r="I249" s="103">
        <f>IF(Human_Data_Entry!F247="","",Human_Data_Entry!F247)</f>
        <v/>
      </c>
      <c r="J249" s="103">
        <f>IF(Human_Data_Entry!BA247="","",Human_Data_Entry!BA247)</f>
        <v/>
      </c>
      <c r="K249" s="103">
        <f>IF(Human_Data_Entry!BB247="","",Human_Data_Entry!BB247)</f>
        <v/>
      </c>
      <c r="L249" s="103">
        <f>IF(Human_Data_Entry!BC247="","",Human_Data_Entry!BC247)</f>
        <v/>
      </c>
      <c r="M249" s="104">
        <f>IF(Human_Data_Entry!BD247="","",Human_Data_Entry!BD247)</f>
        <v/>
      </c>
      <c r="N249" s="104">
        <f>IF(Human_Data_Entry!BE247="","",Human_Data_Entry!BE247)</f>
        <v/>
      </c>
      <c r="O249" s="105">
        <f>IF(Human_Data_Entry!BF247="","",Human_Data_Entry!BF247)</f>
        <v/>
      </c>
      <c r="P249" s="103">
        <f>IF(Human_Data_Entry!BG247="","",Human_Data_Entry!BG247)</f>
        <v/>
      </c>
      <c r="Q249" s="103">
        <f>IF(Human_Data_Entry!BL247="","",Human_Data_Entry!BL247)</f>
        <v/>
      </c>
      <c r="R249" s="103">
        <f>IF(Human_Data_Entry!BH247="","",Human_Data_Entry!BH247)</f>
        <v/>
      </c>
      <c r="S249" s="103">
        <f>IF(Human_Data_Entry!BI247="","",Human_Data_Entry!BI247)</f>
        <v/>
      </c>
      <c r="T249" s="103">
        <f>IF(Human_Data_Entry!BJ247="","",Human_Data_Entry!BJ247)</f>
        <v/>
      </c>
      <c r="U249" s="103">
        <f>IF(Human_Data_Entry!AP247="","",Human_Data_Entry!AP247)</f>
        <v/>
      </c>
      <c r="V249" s="103">
        <f>IF(Human_Data_Entry!AQ247="","",Human_Data_Entry!AQ247)</f>
        <v/>
      </c>
      <c r="W249" s="103">
        <f>IF(Human_Data_Entry!AR247="","",Human_Data_Entry!AR247)</f>
        <v/>
      </c>
      <c r="X249" s="103">
        <f>IF(Human_Data_Entry!BK247="","",Human_Data_Entry!BK247)</f>
        <v/>
      </c>
    </row>
    <row r="250" ht="15" customHeight="1" s="241">
      <c r="A250" s="103">
        <f>IF(Human_Data_Entry!A248="","",Human_Data_Entry!A248)</f>
        <v/>
      </c>
      <c r="B250" s="103">
        <f>IF(Human_Data_Entry!B248="","",Human_Data_Entry!B248)</f>
        <v/>
      </c>
      <c r="C250" s="104">
        <f>IF(Human_Data_Entry!C248="","",Human_Data_Entry!C248)</f>
        <v/>
      </c>
      <c r="D250" s="103">
        <f>IF(Human_Data_Entry!D248="","",Human_Data_Entry!D248)</f>
        <v/>
      </c>
      <c r="E250" s="103">
        <f>IF(Human_Data_Entry!G248="","",Human_Data_Entry!G248)</f>
        <v/>
      </c>
      <c r="F250" s="103">
        <f>IF(Human_Data_Entry!X248="","",Human_Data_Entry!X248)</f>
        <v/>
      </c>
      <c r="G250" s="103">
        <f>IF(Human_Data_Entry!AY248="","",Human_Data_Entry!AY248)</f>
        <v/>
      </c>
      <c r="H250" s="103">
        <f>IF(Human_Data_Entry!AS248="","",Human_Data_Entry!AS248)</f>
        <v/>
      </c>
      <c r="I250" s="103">
        <f>IF(Human_Data_Entry!F248="","",Human_Data_Entry!F248)</f>
        <v/>
      </c>
      <c r="J250" s="103">
        <f>IF(Human_Data_Entry!BA248="","",Human_Data_Entry!BA248)</f>
        <v/>
      </c>
      <c r="K250" s="103">
        <f>IF(Human_Data_Entry!BB248="","",Human_Data_Entry!BB248)</f>
        <v/>
      </c>
      <c r="L250" s="103">
        <f>IF(Human_Data_Entry!BC248="","",Human_Data_Entry!BC248)</f>
        <v/>
      </c>
      <c r="M250" s="104">
        <f>IF(Human_Data_Entry!BD248="","",Human_Data_Entry!BD248)</f>
        <v/>
      </c>
      <c r="N250" s="104">
        <f>IF(Human_Data_Entry!BE248="","",Human_Data_Entry!BE248)</f>
        <v/>
      </c>
      <c r="O250" s="105">
        <f>IF(Human_Data_Entry!BF248="","",Human_Data_Entry!BF248)</f>
        <v/>
      </c>
      <c r="P250" s="103">
        <f>IF(Human_Data_Entry!BG248="","",Human_Data_Entry!BG248)</f>
        <v/>
      </c>
      <c r="Q250" s="103">
        <f>IF(Human_Data_Entry!BL248="","",Human_Data_Entry!BL248)</f>
        <v/>
      </c>
      <c r="R250" s="103">
        <f>IF(Human_Data_Entry!BH248="","",Human_Data_Entry!BH248)</f>
        <v/>
      </c>
      <c r="S250" s="103">
        <f>IF(Human_Data_Entry!BI248="","",Human_Data_Entry!BI248)</f>
        <v/>
      </c>
      <c r="T250" s="103">
        <f>IF(Human_Data_Entry!BJ248="","",Human_Data_Entry!BJ248)</f>
        <v/>
      </c>
      <c r="U250" s="103">
        <f>IF(Human_Data_Entry!AP248="","",Human_Data_Entry!AP248)</f>
        <v/>
      </c>
      <c r="V250" s="103">
        <f>IF(Human_Data_Entry!AQ248="","",Human_Data_Entry!AQ248)</f>
        <v/>
      </c>
      <c r="W250" s="103">
        <f>IF(Human_Data_Entry!AR248="","",Human_Data_Entry!AR248)</f>
        <v/>
      </c>
      <c r="X250" s="103">
        <f>IF(Human_Data_Entry!BK248="","",Human_Data_Entry!BK248)</f>
        <v/>
      </c>
    </row>
    <row r="251" ht="15" customHeight="1" s="241">
      <c r="A251" s="103">
        <f>IF(Human_Data_Entry!A249="","",Human_Data_Entry!A249)</f>
        <v/>
      </c>
      <c r="B251" s="103">
        <f>IF(Human_Data_Entry!B249="","",Human_Data_Entry!B249)</f>
        <v/>
      </c>
      <c r="C251" s="104">
        <f>IF(Human_Data_Entry!C249="","",Human_Data_Entry!C249)</f>
        <v/>
      </c>
      <c r="D251" s="103">
        <f>IF(Human_Data_Entry!D249="","",Human_Data_Entry!D249)</f>
        <v/>
      </c>
      <c r="E251" s="103">
        <f>IF(Human_Data_Entry!G249="","",Human_Data_Entry!G249)</f>
        <v/>
      </c>
      <c r="F251" s="103">
        <f>IF(Human_Data_Entry!X249="","",Human_Data_Entry!X249)</f>
        <v/>
      </c>
      <c r="G251" s="103">
        <f>IF(Human_Data_Entry!AY249="","",Human_Data_Entry!AY249)</f>
        <v/>
      </c>
      <c r="H251" s="103">
        <f>IF(Human_Data_Entry!AS249="","",Human_Data_Entry!AS249)</f>
        <v/>
      </c>
      <c r="I251" s="103">
        <f>IF(Human_Data_Entry!F249="","",Human_Data_Entry!F249)</f>
        <v/>
      </c>
      <c r="J251" s="103">
        <f>IF(Human_Data_Entry!BA249="","",Human_Data_Entry!BA249)</f>
        <v/>
      </c>
      <c r="K251" s="103">
        <f>IF(Human_Data_Entry!BB249="","",Human_Data_Entry!BB249)</f>
        <v/>
      </c>
      <c r="L251" s="103">
        <f>IF(Human_Data_Entry!BC249="","",Human_Data_Entry!BC249)</f>
        <v/>
      </c>
      <c r="M251" s="104">
        <f>IF(Human_Data_Entry!BD249="","",Human_Data_Entry!BD249)</f>
        <v/>
      </c>
      <c r="N251" s="104">
        <f>IF(Human_Data_Entry!BE249="","",Human_Data_Entry!BE249)</f>
        <v/>
      </c>
      <c r="O251" s="105">
        <f>IF(Human_Data_Entry!BF249="","",Human_Data_Entry!BF249)</f>
        <v/>
      </c>
      <c r="P251" s="103">
        <f>IF(Human_Data_Entry!BG249="","",Human_Data_Entry!BG249)</f>
        <v/>
      </c>
      <c r="Q251" s="103">
        <f>IF(Human_Data_Entry!BL249="","",Human_Data_Entry!BL249)</f>
        <v/>
      </c>
      <c r="R251" s="103">
        <f>IF(Human_Data_Entry!BH249="","",Human_Data_Entry!BH249)</f>
        <v/>
      </c>
      <c r="S251" s="103">
        <f>IF(Human_Data_Entry!BI249="","",Human_Data_Entry!BI249)</f>
        <v/>
      </c>
      <c r="T251" s="103">
        <f>IF(Human_Data_Entry!BJ249="","",Human_Data_Entry!BJ249)</f>
        <v/>
      </c>
      <c r="U251" s="103">
        <f>IF(Human_Data_Entry!AP249="","",Human_Data_Entry!AP249)</f>
        <v/>
      </c>
      <c r="V251" s="103">
        <f>IF(Human_Data_Entry!AQ249="","",Human_Data_Entry!AQ249)</f>
        <v/>
      </c>
      <c r="W251" s="103">
        <f>IF(Human_Data_Entry!AR249="","",Human_Data_Entry!AR249)</f>
        <v/>
      </c>
      <c r="X251" s="103">
        <f>IF(Human_Data_Entry!BK249="","",Human_Data_Entry!BK249)</f>
        <v/>
      </c>
    </row>
    <row r="252" ht="15" customHeight="1" s="241">
      <c r="A252" s="103">
        <f>IF(Human_Data_Entry!A250="","",Human_Data_Entry!A250)</f>
        <v/>
      </c>
      <c r="B252" s="103">
        <f>IF(Human_Data_Entry!B250="","",Human_Data_Entry!B250)</f>
        <v/>
      </c>
      <c r="C252" s="104">
        <f>IF(Human_Data_Entry!C250="","",Human_Data_Entry!C250)</f>
        <v/>
      </c>
      <c r="D252" s="103">
        <f>IF(Human_Data_Entry!D250="","",Human_Data_Entry!D250)</f>
        <v/>
      </c>
      <c r="E252" s="103">
        <f>IF(Human_Data_Entry!G250="","",Human_Data_Entry!G250)</f>
        <v/>
      </c>
      <c r="F252" s="103">
        <f>IF(Human_Data_Entry!X250="","",Human_Data_Entry!X250)</f>
        <v/>
      </c>
      <c r="G252" s="103">
        <f>IF(Human_Data_Entry!AY250="","",Human_Data_Entry!AY250)</f>
        <v/>
      </c>
      <c r="H252" s="103">
        <f>IF(Human_Data_Entry!AS250="","",Human_Data_Entry!AS250)</f>
        <v/>
      </c>
      <c r="I252" s="103">
        <f>IF(Human_Data_Entry!F250="","",Human_Data_Entry!F250)</f>
        <v/>
      </c>
      <c r="J252" s="103">
        <f>IF(Human_Data_Entry!BA250="","",Human_Data_Entry!BA250)</f>
        <v/>
      </c>
      <c r="K252" s="103">
        <f>IF(Human_Data_Entry!BB250="","",Human_Data_Entry!BB250)</f>
        <v/>
      </c>
      <c r="L252" s="103">
        <f>IF(Human_Data_Entry!BC250="","",Human_Data_Entry!BC250)</f>
        <v/>
      </c>
      <c r="M252" s="104">
        <f>IF(Human_Data_Entry!BD250="","",Human_Data_Entry!BD250)</f>
        <v/>
      </c>
      <c r="N252" s="104">
        <f>IF(Human_Data_Entry!BE250="","",Human_Data_Entry!BE250)</f>
        <v/>
      </c>
      <c r="O252" s="105">
        <f>IF(Human_Data_Entry!BF250="","",Human_Data_Entry!BF250)</f>
        <v/>
      </c>
      <c r="P252" s="103">
        <f>IF(Human_Data_Entry!BG250="","",Human_Data_Entry!BG250)</f>
        <v/>
      </c>
      <c r="Q252" s="103">
        <f>IF(Human_Data_Entry!BL250="","",Human_Data_Entry!BL250)</f>
        <v/>
      </c>
      <c r="R252" s="103">
        <f>IF(Human_Data_Entry!BH250="","",Human_Data_Entry!BH250)</f>
        <v/>
      </c>
      <c r="S252" s="103">
        <f>IF(Human_Data_Entry!BI250="","",Human_Data_Entry!BI250)</f>
        <v/>
      </c>
      <c r="T252" s="103">
        <f>IF(Human_Data_Entry!BJ250="","",Human_Data_Entry!BJ250)</f>
        <v/>
      </c>
      <c r="U252" s="103">
        <f>IF(Human_Data_Entry!AP250="","",Human_Data_Entry!AP250)</f>
        <v/>
      </c>
      <c r="V252" s="103">
        <f>IF(Human_Data_Entry!AQ250="","",Human_Data_Entry!AQ250)</f>
        <v/>
      </c>
      <c r="W252" s="103">
        <f>IF(Human_Data_Entry!AR250="","",Human_Data_Entry!AR250)</f>
        <v/>
      </c>
      <c r="X252" s="103">
        <f>IF(Human_Data_Entry!BK250="","",Human_Data_Entry!BK250)</f>
        <v/>
      </c>
    </row>
    <row r="253" ht="15" customHeight="1" s="241">
      <c r="A253" s="103">
        <f>IF(Human_Data_Entry!A251="","",Human_Data_Entry!A251)</f>
        <v/>
      </c>
      <c r="B253" s="103">
        <f>IF(Human_Data_Entry!B251="","",Human_Data_Entry!B251)</f>
        <v/>
      </c>
      <c r="C253" s="104">
        <f>IF(Human_Data_Entry!C251="","",Human_Data_Entry!C251)</f>
        <v/>
      </c>
      <c r="D253" s="103">
        <f>IF(Human_Data_Entry!D251="","",Human_Data_Entry!D251)</f>
        <v/>
      </c>
      <c r="E253" s="103">
        <f>IF(Human_Data_Entry!G251="","",Human_Data_Entry!G251)</f>
        <v/>
      </c>
      <c r="F253" s="103">
        <f>IF(Human_Data_Entry!X251="","",Human_Data_Entry!X251)</f>
        <v/>
      </c>
      <c r="G253" s="103">
        <f>IF(Human_Data_Entry!AY251="","",Human_Data_Entry!AY251)</f>
        <v/>
      </c>
      <c r="H253" s="103">
        <f>IF(Human_Data_Entry!AS251="","",Human_Data_Entry!AS251)</f>
        <v/>
      </c>
      <c r="I253" s="103">
        <f>IF(Human_Data_Entry!F251="","",Human_Data_Entry!F251)</f>
        <v/>
      </c>
      <c r="J253" s="103">
        <f>IF(Human_Data_Entry!BA251="","",Human_Data_Entry!BA251)</f>
        <v/>
      </c>
      <c r="K253" s="103">
        <f>IF(Human_Data_Entry!BB251="","",Human_Data_Entry!BB251)</f>
        <v/>
      </c>
      <c r="L253" s="103">
        <f>IF(Human_Data_Entry!BC251="","",Human_Data_Entry!BC251)</f>
        <v/>
      </c>
      <c r="M253" s="104">
        <f>IF(Human_Data_Entry!BD251="","",Human_Data_Entry!BD251)</f>
        <v/>
      </c>
      <c r="N253" s="104">
        <f>IF(Human_Data_Entry!BE251="","",Human_Data_Entry!BE251)</f>
        <v/>
      </c>
      <c r="O253" s="105">
        <f>IF(Human_Data_Entry!BF251="","",Human_Data_Entry!BF251)</f>
        <v/>
      </c>
      <c r="P253" s="103">
        <f>IF(Human_Data_Entry!BG251="","",Human_Data_Entry!BG251)</f>
        <v/>
      </c>
      <c r="Q253" s="103">
        <f>IF(Human_Data_Entry!BL251="","",Human_Data_Entry!BL251)</f>
        <v/>
      </c>
      <c r="R253" s="103">
        <f>IF(Human_Data_Entry!BH251="","",Human_Data_Entry!BH251)</f>
        <v/>
      </c>
      <c r="S253" s="103">
        <f>IF(Human_Data_Entry!BI251="","",Human_Data_Entry!BI251)</f>
        <v/>
      </c>
      <c r="T253" s="103">
        <f>IF(Human_Data_Entry!BJ251="","",Human_Data_Entry!BJ251)</f>
        <v/>
      </c>
      <c r="U253" s="103">
        <f>IF(Human_Data_Entry!AP251="","",Human_Data_Entry!AP251)</f>
        <v/>
      </c>
      <c r="V253" s="103">
        <f>IF(Human_Data_Entry!AQ251="","",Human_Data_Entry!AQ251)</f>
        <v/>
      </c>
      <c r="W253" s="103">
        <f>IF(Human_Data_Entry!AR251="","",Human_Data_Entry!AR251)</f>
        <v/>
      </c>
      <c r="X253" s="103">
        <f>IF(Human_Data_Entry!BK251="","",Human_Data_Entry!BK251)</f>
        <v/>
      </c>
    </row>
    <row r="254" ht="15" customHeight="1" s="241">
      <c r="A254" s="103">
        <f>IF(Human_Data_Entry!A252="","",Human_Data_Entry!A252)</f>
        <v/>
      </c>
      <c r="B254" s="103">
        <f>IF(Human_Data_Entry!B252="","",Human_Data_Entry!B252)</f>
        <v/>
      </c>
      <c r="C254" s="104">
        <f>IF(Human_Data_Entry!C252="","",Human_Data_Entry!C252)</f>
        <v/>
      </c>
      <c r="D254" s="103">
        <f>IF(Human_Data_Entry!D252="","",Human_Data_Entry!D252)</f>
        <v/>
      </c>
      <c r="E254" s="103">
        <f>IF(Human_Data_Entry!G252="","",Human_Data_Entry!G252)</f>
        <v/>
      </c>
      <c r="F254" s="103">
        <f>IF(Human_Data_Entry!X252="","",Human_Data_Entry!X252)</f>
        <v/>
      </c>
      <c r="G254" s="103">
        <f>IF(Human_Data_Entry!AY252="","",Human_Data_Entry!AY252)</f>
        <v/>
      </c>
      <c r="H254" s="103">
        <f>IF(Human_Data_Entry!AS252="","",Human_Data_Entry!AS252)</f>
        <v/>
      </c>
      <c r="I254" s="103">
        <f>IF(Human_Data_Entry!F252="","",Human_Data_Entry!F252)</f>
        <v/>
      </c>
      <c r="J254" s="103">
        <f>IF(Human_Data_Entry!BA252="","",Human_Data_Entry!BA252)</f>
        <v/>
      </c>
      <c r="K254" s="103">
        <f>IF(Human_Data_Entry!BB252="","",Human_Data_Entry!BB252)</f>
        <v/>
      </c>
      <c r="L254" s="103">
        <f>IF(Human_Data_Entry!BC252="","",Human_Data_Entry!BC252)</f>
        <v/>
      </c>
      <c r="M254" s="104">
        <f>IF(Human_Data_Entry!BD252="","",Human_Data_Entry!BD252)</f>
        <v/>
      </c>
      <c r="N254" s="104">
        <f>IF(Human_Data_Entry!BE252="","",Human_Data_Entry!BE252)</f>
        <v/>
      </c>
      <c r="O254" s="105">
        <f>IF(Human_Data_Entry!BF252="","",Human_Data_Entry!BF252)</f>
        <v/>
      </c>
      <c r="P254" s="103">
        <f>IF(Human_Data_Entry!BG252="","",Human_Data_Entry!BG252)</f>
        <v/>
      </c>
      <c r="Q254" s="103">
        <f>IF(Human_Data_Entry!BL252="","",Human_Data_Entry!BL252)</f>
        <v/>
      </c>
      <c r="R254" s="103">
        <f>IF(Human_Data_Entry!BH252="","",Human_Data_Entry!BH252)</f>
        <v/>
      </c>
      <c r="S254" s="103">
        <f>IF(Human_Data_Entry!BI252="","",Human_Data_Entry!BI252)</f>
        <v/>
      </c>
      <c r="T254" s="103">
        <f>IF(Human_Data_Entry!BJ252="","",Human_Data_Entry!BJ252)</f>
        <v/>
      </c>
      <c r="U254" s="103">
        <f>IF(Human_Data_Entry!AP252="","",Human_Data_Entry!AP252)</f>
        <v/>
      </c>
      <c r="V254" s="103">
        <f>IF(Human_Data_Entry!AQ252="","",Human_Data_Entry!AQ252)</f>
        <v/>
      </c>
      <c r="W254" s="103">
        <f>IF(Human_Data_Entry!AR252="","",Human_Data_Entry!AR252)</f>
        <v/>
      </c>
      <c r="X254" s="103">
        <f>IF(Human_Data_Entry!BK252="","",Human_Data_Entry!BK252)</f>
        <v/>
      </c>
    </row>
    <row r="255" ht="15" customHeight="1" s="241">
      <c r="A255" s="103">
        <f>IF(Human_Data_Entry!A253="","",Human_Data_Entry!A253)</f>
        <v/>
      </c>
      <c r="B255" s="103">
        <f>IF(Human_Data_Entry!B253="","",Human_Data_Entry!B253)</f>
        <v/>
      </c>
      <c r="C255" s="104">
        <f>IF(Human_Data_Entry!C253="","",Human_Data_Entry!C253)</f>
        <v/>
      </c>
      <c r="D255" s="103">
        <f>IF(Human_Data_Entry!D253="","",Human_Data_Entry!D253)</f>
        <v/>
      </c>
      <c r="E255" s="103">
        <f>IF(Human_Data_Entry!G253="","",Human_Data_Entry!G253)</f>
        <v/>
      </c>
      <c r="F255" s="103">
        <f>IF(Human_Data_Entry!X253="","",Human_Data_Entry!X253)</f>
        <v/>
      </c>
      <c r="G255" s="103">
        <f>IF(Human_Data_Entry!AY253="","",Human_Data_Entry!AY253)</f>
        <v/>
      </c>
      <c r="H255" s="103">
        <f>IF(Human_Data_Entry!AS253="","",Human_Data_Entry!AS253)</f>
        <v/>
      </c>
      <c r="I255" s="103">
        <f>IF(Human_Data_Entry!F253="","",Human_Data_Entry!F253)</f>
        <v/>
      </c>
      <c r="J255" s="103">
        <f>IF(Human_Data_Entry!BA253="","",Human_Data_Entry!BA253)</f>
        <v/>
      </c>
      <c r="K255" s="103">
        <f>IF(Human_Data_Entry!BB253="","",Human_Data_Entry!BB253)</f>
        <v/>
      </c>
      <c r="L255" s="103">
        <f>IF(Human_Data_Entry!BC253="","",Human_Data_Entry!BC253)</f>
        <v/>
      </c>
      <c r="M255" s="104">
        <f>IF(Human_Data_Entry!BD253="","",Human_Data_Entry!BD253)</f>
        <v/>
      </c>
      <c r="N255" s="104">
        <f>IF(Human_Data_Entry!BE253="","",Human_Data_Entry!BE253)</f>
        <v/>
      </c>
      <c r="O255" s="105">
        <f>IF(Human_Data_Entry!BF253="","",Human_Data_Entry!BF253)</f>
        <v/>
      </c>
      <c r="P255" s="103">
        <f>IF(Human_Data_Entry!BG253="","",Human_Data_Entry!BG253)</f>
        <v/>
      </c>
      <c r="Q255" s="103">
        <f>IF(Human_Data_Entry!BL253="","",Human_Data_Entry!BL253)</f>
        <v/>
      </c>
      <c r="R255" s="103">
        <f>IF(Human_Data_Entry!BH253="","",Human_Data_Entry!BH253)</f>
        <v/>
      </c>
      <c r="S255" s="103">
        <f>IF(Human_Data_Entry!BI253="","",Human_Data_Entry!BI253)</f>
        <v/>
      </c>
      <c r="T255" s="103">
        <f>IF(Human_Data_Entry!BJ253="","",Human_Data_Entry!BJ253)</f>
        <v/>
      </c>
      <c r="U255" s="103">
        <f>IF(Human_Data_Entry!AP253="","",Human_Data_Entry!AP253)</f>
        <v/>
      </c>
      <c r="V255" s="103">
        <f>IF(Human_Data_Entry!AQ253="","",Human_Data_Entry!AQ253)</f>
        <v/>
      </c>
      <c r="W255" s="103">
        <f>IF(Human_Data_Entry!AR253="","",Human_Data_Entry!AR253)</f>
        <v/>
      </c>
      <c r="X255" s="103">
        <f>IF(Human_Data_Entry!BK253="","",Human_Data_Entry!BK253)</f>
        <v/>
      </c>
    </row>
    <row r="256" ht="15" customHeight="1" s="241">
      <c r="A256" s="103">
        <f>IF(Human_Data_Entry!A254="","",Human_Data_Entry!A254)</f>
        <v/>
      </c>
      <c r="B256" s="103">
        <f>IF(Human_Data_Entry!B254="","",Human_Data_Entry!B254)</f>
        <v/>
      </c>
      <c r="C256" s="104">
        <f>IF(Human_Data_Entry!C254="","",Human_Data_Entry!C254)</f>
        <v/>
      </c>
      <c r="D256" s="103">
        <f>IF(Human_Data_Entry!D254="","",Human_Data_Entry!D254)</f>
        <v/>
      </c>
      <c r="E256" s="103">
        <f>IF(Human_Data_Entry!G254="","",Human_Data_Entry!G254)</f>
        <v/>
      </c>
      <c r="F256" s="103">
        <f>IF(Human_Data_Entry!X254="","",Human_Data_Entry!X254)</f>
        <v/>
      </c>
      <c r="G256" s="103">
        <f>IF(Human_Data_Entry!AY254="","",Human_Data_Entry!AY254)</f>
        <v/>
      </c>
      <c r="H256" s="103">
        <f>IF(Human_Data_Entry!AS254="","",Human_Data_Entry!AS254)</f>
        <v/>
      </c>
      <c r="I256" s="103">
        <f>IF(Human_Data_Entry!F254="","",Human_Data_Entry!F254)</f>
        <v/>
      </c>
      <c r="J256" s="103">
        <f>IF(Human_Data_Entry!BA254="","",Human_Data_Entry!BA254)</f>
        <v/>
      </c>
      <c r="K256" s="103">
        <f>IF(Human_Data_Entry!BB254="","",Human_Data_Entry!BB254)</f>
        <v/>
      </c>
      <c r="L256" s="103">
        <f>IF(Human_Data_Entry!BC254="","",Human_Data_Entry!BC254)</f>
        <v/>
      </c>
      <c r="M256" s="104">
        <f>IF(Human_Data_Entry!BD254="","",Human_Data_Entry!BD254)</f>
        <v/>
      </c>
      <c r="N256" s="104">
        <f>IF(Human_Data_Entry!BE254="","",Human_Data_Entry!BE254)</f>
        <v/>
      </c>
      <c r="O256" s="105">
        <f>IF(Human_Data_Entry!BF254="","",Human_Data_Entry!BF254)</f>
        <v/>
      </c>
      <c r="P256" s="103">
        <f>IF(Human_Data_Entry!BG254="","",Human_Data_Entry!BG254)</f>
        <v/>
      </c>
      <c r="Q256" s="103">
        <f>IF(Human_Data_Entry!BL254="","",Human_Data_Entry!BL254)</f>
        <v/>
      </c>
      <c r="R256" s="103">
        <f>IF(Human_Data_Entry!BH254="","",Human_Data_Entry!BH254)</f>
        <v/>
      </c>
      <c r="S256" s="103">
        <f>IF(Human_Data_Entry!BI254="","",Human_Data_Entry!BI254)</f>
        <v/>
      </c>
      <c r="T256" s="103">
        <f>IF(Human_Data_Entry!BJ254="","",Human_Data_Entry!BJ254)</f>
        <v/>
      </c>
      <c r="U256" s="103">
        <f>IF(Human_Data_Entry!AP254="","",Human_Data_Entry!AP254)</f>
        <v/>
      </c>
      <c r="V256" s="103">
        <f>IF(Human_Data_Entry!AQ254="","",Human_Data_Entry!AQ254)</f>
        <v/>
      </c>
      <c r="W256" s="103">
        <f>IF(Human_Data_Entry!AR254="","",Human_Data_Entry!AR254)</f>
        <v/>
      </c>
      <c r="X256" s="103">
        <f>IF(Human_Data_Entry!BK254="","",Human_Data_Entry!BK254)</f>
        <v/>
      </c>
    </row>
    <row r="257" ht="15" customHeight="1" s="241">
      <c r="A257" s="103">
        <f>IF(Human_Data_Entry!A255="","",Human_Data_Entry!A255)</f>
        <v/>
      </c>
      <c r="B257" s="103">
        <f>IF(Human_Data_Entry!B255="","",Human_Data_Entry!B255)</f>
        <v/>
      </c>
      <c r="C257" s="104">
        <f>IF(Human_Data_Entry!C255="","",Human_Data_Entry!C255)</f>
        <v/>
      </c>
      <c r="D257" s="103">
        <f>IF(Human_Data_Entry!D255="","",Human_Data_Entry!D255)</f>
        <v/>
      </c>
      <c r="E257" s="103">
        <f>IF(Human_Data_Entry!G255="","",Human_Data_Entry!G255)</f>
        <v/>
      </c>
      <c r="F257" s="103">
        <f>IF(Human_Data_Entry!X255="","",Human_Data_Entry!X255)</f>
        <v/>
      </c>
      <c r="G257" s="103">
        <f>IF(Human_Data_Entry!AY255="","",Human_Data_Entry!AY255)</f>
        <v/>
      </c>
      <c r="H257" s="103">
        <f>IF(Human_Data_Entry!AS255="","",Human_Data_Entry!AS255)</f>
        <v/>
      </c>
      <c r="I257" s="103">
        <f>IF(Human_Data_Entry!F255="","",Human_Data_Entry!F255)</f>
        <v/>
      </c>
      <c r="J257" s="103">
        <f>IF(Human_Data_Entry!BA255="","",Human_Data_Entry!BA255)</f>
        <v/>
      </c>
      <c r="K257" s="103">
        <f>IF(Human_Data_Entry!BB255="","",Human_Data_Entry!BB255)</f>
        <v/>
      </c>
      <c r="L257" s="103">
        <f>IF(Human_Data_Entry!BC255="","",Human_Data_Entry!BC255)</f>
        <v/>
      </c>
      <c r="M257" s="104">
        <f>IF(Human_Data_Entry!BD255="","",Human_Data_Entry!BD255)</f>
        <v/>
      </c>
      <c r="N257" s="104">
        <f>IF(Human_Data_Entry!BE255="","",Human_Data_Entry!BE255)</f>
        <v/>
      </c>
      <c r="O257" s="105">
        <f>IF(Human_Data_Entry!BF255="","",Human_Data_Entry!BF255)</f>
        <v/>
      </c>
      <c r="P257" s="103">
        <f>IF(Human_Data_Entry!BG255="","",Human_Data_Entry!BG255)</f>
        <v/>
      </c>
      <c r="Q257" s="103">
        <f>IF(Human_Data_Entry!BL255="","",Human_Data_Entry!BL255)</f>
        <v/>
      </c>
      <c r="R257" s="103">
        <f>IF(Human_Data_Entry!BH255="","",Human_Data_Entry!BH255)</f>
        <v/>
      </c>
      <c r="S257" s="103">
        <f>IF(Human_Data_Entry!BI255="","",Human_Data_Entry!BI255)</f>
        <v/>
      </c>
      <c r="T257" s="103">
        <f>IF(Human_Data_Entry!BJ255="","",Human_Data_Entry!BJ255)</f>
        <v/>
      </c>
      <c r="U257" s="103">
        <f>IF(Human_Data_Entry!AP255="","",Human_Data_Entry!AP255)</f>
        <v/>
      </c>
      <c r="V257" s="103">
        <f>IF(Human_Data_Entry!AQ255="","",Human_Data_Entry!AQ255)</f>
        <v/>
      </c>
      <c r="W257" s="103">
        <f>IF(Human_Data_Entry!AR255="","",Human_Data_Entry!AR255)</f>
        <v/>
      </c>
      <c r="X257" s="103">
        <f>IF(Human_Data_Entry!BK255="","",Human_Data_Entry!BK255)</f>
        <v/>
      </c>
    </row>
    <row r="258" ht="15" customHeight="1" s="241">
      <c r="A258" s="103">
        <f>IF(Human_Data_Entry!A256="","",Human_Data_Entry!A256)</f>
        <v/>
      </c>
      <c r="B258" s="103">
        <f>IF(Human_Data_Entry!B256="","",Human_Data_Entry!B256)</f>
        <v/>
      </c>
      <c r="C258" s="104">
        <f>IF(Human_Data_Entry!C256="","",Human_Data_Entry!C256)</f>
        <v/>
      </c>
      <c r="D258" s="103">
        <f>IF(Human_Data_Entry!D256="","",Human_Data_Entry!D256)</f>
        <v/>
      </c>
      <c r="E258" s="103">
        <f>IF(Human_Data_Entry!G256="","",Human_Data_Entry!G256)</f>
        <v/>
      </c>
      <c r="F258" s="103">
        <f>IF(Human_Data_Entry!X256="","",Human_Data_Entry!X256)</f>
        <v/>
      </c>
      <c r="G258" s="103">
        <f>IF(Human_Data_Entry!AY256="","",Human_Data_Entry!AY256)</f>
        <v/>
      </c>
      <c r="H258" s="103">
        <f>IF(Human_Data_Entry!AS256="","",Human_Data_Entry!AS256)</f>
        <v/>
      </c>
      <c r="I258" s="103">
        <f>IF(Human_Data_Entry!F256="","",Human_Data_Entry!F256)</f>
        <v/>
      </c>
      <c r="J258" s="103">
        <f>IF(Human_Data_Entry!BA256="","",Human_Data_Entry!BA256)</f>
        <v/>
      </c>
      <c r="K258" s="103">
        <f>IF(Human_Data_Entry!BB256="","",Human_Data_Entry!BB256)</f>
        <v/>
      </c>
      <c r="L258" s="103">
        <f>IF(Human_Data_Entry!BC256="","",Human_Data_Entry!BC256)</f>
        <v/>
      </c>
      <c r="M258" s="104">
        <f>IF(Human_Data_Entry!BD256="","",Human_Data_Entry!BD256)</f>
        <v/>
      </c>
      <c r="N258" s="104">
        <f>IF(Human_Data_Entry!BE256="","",Human_Data_Entry!BE256)</f>
        <v/>
      </c>
      <c r="O258" s="105">
        <f>IF(Human_Data_Entry!BF256="","",Human_Data_Entry!BF256)</f>
        <v/>
      </c>
      <c r="P258" s="103">
        <f>IF(Human_Data_Entry!BG256="","",Human_Data_Entry!BG256)</f>
        <v/>
      </c>
      <c r="Q258" s="103">
        <f>IF(Human_Data_Entry!BL256="","",Human_Data_Entry!BL256)</f>
        <v/>
      </c>
      <c r="R258" s="103">
        <f>IF(Human_Data_Entry!BH256="","",Human_Data_Entry!BH256)</f>
        <v/>
      </c>
      <c r="S258" s="103">
        <f>IF(Human_Data_Entry!BI256="","",Human_Data_Entry!BI256)</f>
        <v/>
      </c>
      <c r="T258" s="103">
        <f>IF(Human_Data_Entry!BJ256="","",Human_Data_Entry!BJ256)</f>
        <v/>
      </c>
      <c r="U258" s="103">
        <f>IF(Human_Data_Entry!AP256="","",Human_Data_Entry!AP256)</f>
        <v/>
      </c>
      <c r="V258" s="103">
        <f>IF(Human_Data_Entry!AQ256="","",Human_Data_Entry!AQ256)</f>
        <v/>
      </c>
      <c r="W258" s="103">
        <f>IF(Human_Data_Entry!AR256="","",Human_Data_Entry!AR256)</f>
        <v/>
      </c>
      <c r="X258" s="103">
        <f>IF(Human_Data_Entry!BK256="","",Human_Data_Entry!BK256)</f>
        <v/>
      </c>
    </row>
    <row r="259" ht="15" customHeight="1" s="241">
      <c r="A259" s="103">
        <f>IF(Human_Data_Entry!A257="","",Human_Data_Entry!A257)</f>
        <v/>
      </c>
      <c r="B259" s="103">
        <f>IF(Human_Data_Entry!B257="","",Human_Data_Entry!B257)</f>
        <v/>
      </c>
      <c r="C259" s="104">
        <f>IF(Human_Data_Entry!C257="","",Human_Data_Entry!C257)</f>
        <v/>
      </c>
      <c r="D259" s="103">
        <f>IF(Human_Data_Entry!D257="","",Human_Data_Entry!D257)</f>
        <v/>
      </c>
      <c r="E259" s="103">
        <f>IF(Human_Data_Entry!G257="","",Human_Data_Entry!G257)</f>
        <v/>
      </c>
      <c r="F259" s="103">
        <f>IF(Human_Data_Entry!X257="","",Human_Data_Entry!X257)</f>
        <v/>
      </c>
      <c r="G259" s="103">
        <f>IF(Human_Data_Entry!AY257="","",Human_Data_Entry!AY257)</f>
        <v/>
      </c>
      <c r="H259" s="103">
        <f>IF(Human_Data_Entry!AS257="","",Human_Data_Entry!AS257)</f>
        <v/>
      </c>
      <c r="I259" s="103">
        <f>IF(Human_Data_Entry!F257="","",Human_Data_Entry!F257)</f>
        <v/>
      </c>
      <c r="J259" s="103">
        <f>IF(Human_Data_Entry!BA257="","",Human_Data_Entry!BA257)</f>
        <v/>
      </c>
      <c r="K259" s="103">
        <f>IF(Human_Data_Entry!BB257="","",Human_Data_Entry!BB257)</f>
        <v/>
      </c>
      <c r="L259" s="103">
        <f>IF(Human_Data_Entry!BC257="","",Human_Data_Entry!BC257)</f>
        <v/>
      </c>
      <c r="M259" s="104">
        <f>IF(Human_Data_Entry!BD257="","",Human_Data_Entry!BD257)</f>
        <v/>
      </c>
      <c r="N259" s="104">
        <f>IF(Human_Data_Entry!BE257="","",Human_Data_Entry!BE257)</f>
        <v/>
      </c>
      <c r="O259" s="105">
        <f>IF(Human_Data_Entry!BF257="","",Human_Data_Entry!BF257)</f>
        <v/>
      </c>
      <c r="P259" s="103">
        <f>IF(Human_Data_Entry!BG257="","",Human_Data_Entry!BG257)</f>
        <v/>
      </c>
      <c r="Q259" s="103">
        <f>IF(Human_Data_Entry!BL257="","",Human_Data_Entry!BL257)</f>
        <v/>
      </c>
      <c r="R259" s="103">
        <f>IF(Human_Data_Entry!BH257="","",Human_Data_Entry!BH257)</f>
        <v/>
      </c>
      <c r="S259" s="103">
        <f>IF(Human_Data_Entry!BI257="","",Human_Data_Entry!BI257)</f>
        <v/>
      </c>
      <c r="T259" s="103">
        <f>IF(Human_Data_Entry!BJ257="","",Human_Data_Entry!BJ257)</f>
        <v/>
      </c>
      <c r="U259" s="103">
        <f>IF(Human_Data_Entry!AP257="","",Human_Data_Entry!AP257)</f>
        <v/>
      </c>
      <c r="V259" s="103">
        <f>IF(Human_Data_Entry!AQ257="","",Human_Data_Entry!AQ257)</f>
        <v/>
      </c>
      <c r="W259" s="103">
        <f>IF(Human_Data_Entry!AR257="","",Human_Data_Entry!AR257)</f>
        <v/>
      </c>
      <c r="X259" s="103">
        <f>IF(Human_Data_Entry!BK257="","",Human_Data_Entry!BK257)</f>
        <v/>
      </c>
    </row>
    <row r="260" ht="15" customHeight="1" s="241">
      <c r="A260" s="103">
        <f>IF(Human_Data_Entry!A258="","",Human_Data_Entry!A258)</f>
        <v/>
      </c>
      <c r="B260" s="103">
        <f>IF(Human_Data_Entry!B258="","",Human_Data_Entry!B258)</f>
        <v/>
      </c>
      <c r="C260" s="104">
        <f>IF(Human_Data_Entry!C258="","",Human_Data_Entry!C258)</f>
        <v/>
      </c>
      <c r="D260" s="103">
        <f>IF(Human_Data_Entry!D258="","",Human_Data_Entry!D258)</f>
        <v/>
      </c>
      <c r="E260" s="103">
        <f>IF(Human_Data_Entry!G258="","",Human_Data_Entry!G258)</f>
        <v/>
      </c>
      <c r="F260" s="103">
        <f>IF(Human_Data_Entry!X258="","",Human_Data_Entry!X258)</f>
        <v/>
      </c>
      <c r="G260" s="103">
        <f>IF(Human_Data_Entry!AY258="","",Human_Data_Entry!AY258)</f>
        <v/>
      </c>
      <c r="H260" s="103">
        <f>IF(Human_Data_Entry!AS258="","",Human_Data_Entry!AS258)</f>
        <v/>
      </c>
      <c r="I260" s="103">
        <f>IF(Human_Data_Entry!F258="","",Human_Data_Entry!F258)</f>
        <v/>
      </c>
      <c r="J260" s="103">
        <f>IF(Human_Data_Entry!BA258="","",Human_Data_Entry!BA258)</f>
        <v/>
      </c>
      <c r="K260" s="103">
        <f>IF(Human_Data_Entry!BB258="","",Human_Data_Entry!BB258)</f>
        <v/>
      </c>
      <c r="L260" s="103">
        <f>IF(Human_Data_Entry!BC258="","",Human_Data_Entry!BC258)</f>
        <v/>
      </c>
      <c r="M260" s="104">
        <f>IF(Human_Data_Entry!BD258="","",Human_Data_Entry!BD258)</f>
        <v/>
      </c>
      <c r="N260" s="104">
        <f>IF(Human_Data_Entry!BE258="","",Human_Data_Entry!BE258)</f>
        <v/>
      </c>
      <c r="O260" s="105">
        <f>IF(Human_Data_Entry!BF258="","",Human_Data_Entry!BF258)</f>
        <v/>
      </c>
      <c r="P260" s="103">
        <f>IF(Human_Data_Entry!BG258="","",Human_Data_Entry!BG258)</f>
        <v/>
      </c>
      <c r="Q260" s="103">
        <f>IF(Human_Data_Entry!BL258="","",Human_Data_Entry!BL258)</f>
        <v/>
      </c>
      <c r="R260" s="103">
        <f>IF(Human_Data_Entry!BH258="","",Human_Data_Entry!BH258)</f>
        <v/>
      </c>
      <c r="S260" s="103">
        <f>IF(Human_Data_Entry!BI258="","",Human_Data_Entry!BI258)</f>
        <v/>
      </c>
      <c r="T260" s="103">
        <f>IF(Human_Data_Entry!BJ258="","",Human_Data_Entry!BJ258)</f>
        <v/>
      </c>
      <c r="U260" s="103">
        <f>IF(Human_Data_Entry!AP258="","",Human_Data_Entry!AP258)</f>
        <v/>
      </c>
      <c r="V260" s="103">
        <f>IF(Human_Data_Entry!AQ258="","",Human_Data_Entry!AQ258)</f>
        <v/>
      </c>
      <c r="W260" s="103">
        <f>IF(Human_Data_Entry!AR258="","",Human_Data_Entry!AR258)</f>
        <v/>
      </c>
      <c r="X260" s="103">
        <f>IF(Human_Data_Entry!BK258="","",Human_Data_Entry!BK258)</f>
        <v/>
      </c>
    </row>
    <row r="261" ht="15" customHeight="1" s="241">
      <c r="A261" s="103">
        <f>IF(Human_Data_Entry!A259="","",Human_Data_Entry!A259)</f>
        <v/>
      </c>
      <c r="B261" s="103">
        <f>IF(Human_Data_Entry!B259="","",Human_Data_Entry!B259)</f>
        <v/>
      </c>
      <c r="C261" s="104">
        <f>IF(Human_Data_Entry!C259="","",Human_Data_Entry!C259)</f>
        <v/>
      </c>
      <c r="D261" s="103">
        <f>IF(Human_Data_Entry!D259="","",Human_Data_Entry!D259)</f>
        <v/>
      </c>
      <c r="E261" s="103">
        <f>IF(Human_Data_Entry!G259="","",Human_Data_Entry!G259)</f>
        <v/>
      </c>
      <c r="F261" s="103">
        <f>IF(Human_Data_Entry!X259="","",Human_Data_Entry!X259)</f>
        <v/>
      </c>
      <c r="G261" s="103">
        <f>IF(Human_Data_Entry!AY259="","",Human_Data_Entry!AY259)</f>
        <v/>
      </c>
      <c r="H261" s="103">
        <f>IF(Human_Data_Entry!AS259="","",Human_Data_Entry!AS259)</f>
        <v/>
      </c>
      <c r="I261" s="103">
        <f>IF(Human_Data_Entry!F259="","",Human_Data_Entry!F259)</f>
        <v/>
      </c>
      <c r="J261" s="103">
        <f>IF(Human_Data_Entry!BA259="","",Human_Data_Entry!BA259)</f>
        <v/>
      </c>
      <c r="K261" s="103">
        <f>IF(Human_Data_Entry!BB259="","",Human_Data_Entry!BB259)</f>
        <v/>
      </c>
      <c r="L261" s="103">
        <f>IF(Human_Data_Entry!BC259="","",Human_Data_Entry!BC259)</f>
        <v/>
      </c>
      <c r="M261" s="104">
        <f>IF(Human_Data_Entry!BD259="","",Human_Data_Entry!BD259)</f>
        <v/>
      </c>
      <c r="N261" s="104">
        <f>IF(Human_Data_Entry!BE259="","",Human_Data_Entry!BE259)</f>
        <v/>
      </c>
      <c r="O261" s="105">
        <f>IF(Human_Data_Entry!BF259="","",Human_Data_Entry!BF259)</f>
        <v/>
      </c>
      <c r="P261" s="103">
        <f>IF(Human_Data_Entry!BG259="","",Human_Data_Entry!BG259)</f>
        <v/>
      </c>
      <c r="Q261" s="103">
        <f>IF(Human_Data_Entry!BL259="","",Human_Data_Entry!BL259)</f>
        <v/>
      </c>
      <c r="R261" s="103">
        <f>IF(Human_Data_Entry!BH259="","",Human_Data_Entry!BH259)</f>
        <v/>
      </c>
      <c r="S261" s="103">
        <f>IF(Human_Data_Entry!BI259="","",Human_Data_Entry!BI259)</f>
        <v/>
      </c>
      <c r="T261" s="103">
        <f>IF(Human_Data_Entry!BJ259="","",Human_Data_Entry!BJ259)</f>
        <v/>
      </c>
      <c r="U261" s="103">
        <f>IF(Human_Data_Entry!AP259="","",Human_Data_Entry!AP259)</f>
        <v/>
      </c>
      <c r="V261" s="103">
        <f>IF(Human_Data_Entry!AQ259="","",Human_Data_Entry!AQ259)</f>
        <v/>
      </c>
      <c r="W261" s="103">
        <f>IF(Human_Data_Entry!AR259="","",Human_Data_Entry!AR259)</f>
        <v/>
      </c>
      <c r="X261" s="103">
        <f>IF(Human_Data_Entry!BK259="","",Human_Data_Entry!BK259)</f>
        <v/>
      </c>
    </row>
    <row r="262" ht="15" customHeight="1" s="241">
      <c r="A262" s="103">
        <f>IF(Human_Data_Entry!A260="","",Human_Data_Entry!A260)</f>
        <v/>
      </c>
      <c r="B262" s="103">
        <f>IF(Human_Data_Entry!B260="","",Human_Data_Entry!B260)</f>
        <v/>
      </c>
      <c r="C262" s="104">
        <f>IF(Human_Data_Entry!C260="","",Human_Data_Entry!C260)</f>
        <v/>
      </c>
      <c r="D262" s="103">
        <f>IF(Human_Data_Entry!D260="","",Human_Data_Entry!D260)</f>
        <v/>
      </c>
      <c r="E262" s="103">
        <f>IF(Human_Data_Entry!G260="","",Human_Data_Entry!G260)</f>
        <v/>
      </c>
      <c r="F262" s="103">
        <f>IF(Human_Data_Entry!X260="","",Human_Data_Entry!X260)</f>
        <v/>
      </c>
      <c r="G262" s="103">
        <f>IF(Human_Data_Entry!AY260="","",Human_Data_Entry!AY260)</f>
        <v/>
      </c>
      <c r="H262" s="103">
        <f>IF(Human_Data_Entry!AS260="","",Human_Data_Entry!AS260)</f>
        <v/>
      </c>
      <c r="I262" s="103">
        <f>IF(Human_Data_Entry!F260="","",Human_Data_Entry!F260)</f>
        <v/>
      </c>
      <c r="J262" s="103">
        <f>IF(Human_Data_Entry!BA260="","",Human_Data_Entry!BA260)</f>
        <v/>
      </c>
      <c r="K262" s="103">
        <f>IF(Human_Data_Entry!BB260="","",Human_Data_Entry!BB260)</f>
        <v/>
      </c>
      <c r="L262" s="103">
        <f>IF(Human_Data_Entry!BC260="","",Human_Data_Entry!BC260)</f>
        <v/>
      </c>
      <c r="M262" s="104">
        <f>IF(Human_Data_Entry!BD260="","",Human_Data_Entry!BD260)</f>
        <v/>
      </c>
      <c r="N262" s="104">
        <f>IF(Human_Data_Entry!BE260="","",Human_Data_Entry!BE260)</f>
        <v/>
      </c>
      <c r="O262" s="105">
        <f>IF(Human_Data_Entry!BF260="","",Human_Data_Entry!BF260)</f>
        <v/>
      </c>
      <c r="P262" s="103">
        <f>IF(Human_Data_Entry!BG260="","",Human_Data_Entry!BG260)</f>
        <v/>
      </c>
      <c r="Q262" s="103">
        <f>IF(Human_Data_Entry!BL260="","",Human_Data_Entry!BL260)</f>
        <v/>
      </c>
      <c r="R262" s="103">
        <f>IF(Human_Data_Entry!BH260="","",Human_Data_Entry!BH260)</f>
        <v/>
      </c>
      <c r="S262" s="103">
        <f>IF(Human_Data_Entry!BI260="","",Human_Data_Entry!BI260)</f>
        <v/>
      </c>
      <c r="T262" s="103">
        <f>IF(Human_Data_Entry!BJ260="","",Human_Data_Entry!BJ260)</f>
        <v/>
      </c>
      <c r="U262" s="103">
        <f>IF(Human_Data_Entry!AP260="","",Human_Data_Entry!AP260)</f>
        <v/>
      </c>
      <c r="V262" s="103">
        <f>IF(Human_Data_Entry!AQ260="","",Human_Data_Entry!AQ260)</f>
        <v/>
      </c>
      <c r="W262" s="103">
        <f>IF(Human_Data_Entry!AR260="","",Human_Data_Entry!AR260)</f>
        <v/>
      </c>
      <c r="X262" s="103">
        <f>IF(Human_Data_Entry!BK260="","",Human_Data_Entry!BK260)</f>
        <v/>
      </c>
    </row>
    <row r="263" ht="15" customHeight="1" s="241">
      <c r="A263" s="103">
        <f>IF(Human_Data_Entry!A261="","",Human_Data_Entry!A261)</f>
        <v/>
      </c>
      <c r="B263" s="103">
        <f>IF(Human_Data_Entry!B261="","",Human_Data_Entry!B261)</f>
        <v/>
      </c>
      <c r="C263" s="104">
        <f>IF(Human_Data_Entry!C261="","",Human_Data_Entry!C261)</f>
        <v/>
      </c>
      <c r="D263" s="103">
        <f>IF(Human_Data_Entry!D261="","",Human_Data_Entry!D261)</f>
        <v/>
      </c>
      <c r="E263" s="103">
        <f>IF(Human_Data_Entry!G261="","",Human_Data_Entry!G261)</f>
        <v/>
      </c>
      <c r="F263" s="103">
        <f>IF(Human_Data_Entry!X261="","",Human_Data_Entry!X261)</f>
        <v/>
      </c>
      <c r="G263" s="103">
        <f>IF(Human_Data_Entry!AY261="","",Human_Data_Entry!AY261)</f>
        <v/>
      </c>
      <c r="H263" s="103">
        <f>IF(Human_Data_Entry!AS261="","",Human_Data_Entry!AS261)</f>
        <v/>
      </c>
      <c r="I263" s="103">
        <f>IF(Human_Data_Entry!F261="","",Human_Data_Entry!F261)</f>
        <v/>
      </c>
      <c r="J263" s="103">
        <f>IF(Human_Data_Entry!BA261="","",Human_Data_Entry!BA261)</f>
        <v/>
      </c>
      <c r="K263" s="103">
        <f>IF(Human_Data_Entry!BB261="","",Human_Data_Entry!BB261)</f>
        <v/>
      </c>
      <c r="L263" s="103">
        <f>IF(Human_Data_Entry!BC261="","",Human_Data_Entry!BC261)</f>
        <v/>
      </c>
      <c r="M263" s="104">
        <f>IF(Human_Data_Entry!BD261="","",Human_Data_Entry!BD261)</f>
        <v/>
      </c>
      <c r="N263" s="104">
        <f>IF(Human_Data_Entry!BE261="","",Human_Data_Entry!BE261)</f>
        <v/>
      </c>
      <c r="O263" s="105">
        <f>IF(Human_Data_Entry!BF261="","",Human_Data_Entry!BF261)</f>
        <v/>
      </c>
      <c r="P263" s="103">
        <f>IF(Human_Data_Entry!BG261="","",Human_Data_Entry!BG261)</f>
        <v/>
      </c>
      <c r="Q263" s="103">
        <f>IF(Human_Data_Entry!BL261="","",Human_Data_Entry!BL261)</f>
        <v/>
      </c>
      <c r="R263" s="103">
        <f>IF(Human_Data_Entry!BH261="","",Human_Data_Entry!BH261)</f>
        <v/>
      </c>
      <c r="S263" s="103">
        <f>IF(Human_Data_Entry!BI261="","",Human_Data_Entry!BI261)</f>
        <v/>
      </c>
      <c r="T263" s="103">
        <f>IF(Human_Data_Entry!BJ261="","",Human_Data_Entry!BJ261)</f>
        <v/>
      </c>
      <c r="U263" s="103">
        <f>IF(Human_Data_Entry!AP261="","",Human_Data_Entry!AP261)</f>
        <v/>
      </c>
      <c r="V263" s="103">
        <f>IF(Human_Data_Entry!AQ261="","",Human_Data_Entry!AQ261)</f>
        <v/>
      </c>
      <c r="W263" s="103">
        <f>IF(Human_Data_Entry!AR261="","",Human_Data_Entry!AR261)</f>
        <v/>
      </c>
      <c r="X263" s="103">
        <f>IF(Human_Data_Entry!BK261="","",Human_Data_Entry!BK261)</f>
        <v/>
      </c>
    </row>
    <row r="264" ht="15" customHeight="1" s="241">
      <c r="A264" s="103">
        <f>IF(Human_Data_Entry!A262="","",Human_Data_Entry!A262)</f>
        <v/>
      </c>
      <c r="B264" s="103">
        <f>IF(Human_Data_Entry!B262="","",Human_Data_Entry!B262)</f>
        <v/>
      </c>
      <c r="C264" s="104">
        <f>IF(Human_Data_Entry!C262="","",Human_Data_Entry!C262)</f>
        <v/>
      </c>
      <c r="D264" s="103">
        <f>IF(Human_Data_Entry!D262="","",Human_Data_Entry!D262)</f>
        <v/>
      </c>
      <c r="E264" s="103">
        <f>IF(Human_Data_Entry!G262="","",Human_Data_Entry!G262)</f>
        <v/>
      </c>
      <c r="F264" s="103">
        <f>IF(Human_Data_Entry!X262="","",Human_Data_Entry!X262)</f>
        <v/>
      </c>
      <c r="G264" s="103">
        <f>IF(Human_Data_Entry!AY262="","",Human_Data_Entry!AY262)</f>
        <v/>
      </c>
      <c r="H264" s="103">
        <f>IF(Human_Data_Entry!AS262="","",Human_Data_Entry!AS262)</f>
        <v/>
      </c>
      <c r="I264" s="103">
        <f>IF(Human_Data_Entry!F262="","",Human_Data_Entry!F262)</f>
        <v/>
      </c>
      <c r="J264" s="103">
        <f>IF(Human_Data_Entry!BA262="","",Human_Data_Entry!BA262)</f>
        <v/>
      </c>
      <c r="K264" s="103">
        <f>IF(Human_Data_Entry!BB262="","",Human_Data_Entry!BB262)</f>
        <v/>
      </c>
      <c r="L264" s="103">
        <f>IF(Human_Data_Entry!BC262="","",Human_Data_Entry!BC262)</f>
        <v/>
      </c>
      <c r="M264" s="104">
        <f>IF(Human_Data_Entry!BD262="","",Human_Data_Entry!BD262)</f>
        <v/>
      </c>
      <c r="N264" s="104">
        <f>IF(Human_Data_Entry!BE262="","",Human_Data_Entry!BE262)</f>
        <v/>
      </c>
      <c r="O264" s="105">
        <f>IF(Human_Data_Entry!BF262="","",Human_Data_Entry!BF262)</f>
        <v/>
      </c>
      <c r="P264" s="103">
        <f>IF(Human_Data_Entry!BG262="","",Human_Data_Entry!BG262)</f>
        <v/>
      </c>
      <c r="Q264" s="103">
        <f>IF(Human_Data_Entry!BL262="","",Human_Data_Entry!BL262)</f>
        <v/>
      </c>
      <c r="R264" s="103">
        <f>IF(Human_Data_Entry!BH262="","",Human_Data_Entry!BH262)</f>
        <v/>
      </c>
      <c r="S264" s="103">
        <f>IF(Human_Data_Entry!BI262="","",Human_Data_Entry!BI262)</f>
        <v/>
      </c>
      <c r="T264" s="103">
        <f>IF(Human_Data_Entry!BJ262="","",Human_Data_Entry!BJ262)</f>
        <v/>
      </c>
      <c r="U264" s="103">
        <f>IF(Human_Data_Entry!AP262="","",Human_Data_Entry!AP262)</f>
        <v/>
      </c>
      <c r="V264" s="103">
        <f>IF(Human_Data_Entry!AQ262="","",Human_Data_Entry!AQ262)</f>
        <v/>
      </c>
      <c r="W264" s="103">
        <f>IF(Human_Data_Entry!AR262="","",Human_Data_Entry!AR262)</f>
        <v/>
      </c>
      <c r="X264" s="103">
        <f>IF(Human_Data_Entry!BK262="","",Human_Data_Entry!BK262)</f>
        <v/>
      </c>
    </row>
    <row r="265" ht="15" customHeight="1" s="241">
      <c r="A265" s="103">
        <f>IF(Human_Data_Entry!A263="","",Human_Data_Entry!A263)</f>
        <v/>
      </c>
      <c r="B265" s="103">
        <f>IF(Human_Data_Entry!B263="","",Human_Data_Entry!B263)</f>
        <v/>
      </c>
      <c r="C265" s="104">
        <f>IF(Human_Data_Entry!C263="","",Human_Data_Entry!C263)</f>
        <v/>
      </c>
      <c r="D265" s="103">
        <f>IF(Human_Data_Entry!D263="","",Human_Data_Entry!D263)</f>
        <v/>
      </c>
      <c r="E265" s="103">
        <f>IF(Human_Data_Entry!G263="","",Human_Data_Entry!G263)</f>
        <v/>
      </c>
      <c r="F265" s="103">
        <f>IF(Human_Data_Entry!X263="","",Human_Data_Entry!X263)</f>
        <v/>
      </c>
      <c r="G265" s="103">
        <f>IF(Human_Data_Entry!AY263="","",Human_Data_Entry!AY263)</f>
        <v/>
      </c>
      <c r="H265" s="103">
        <f>IF(Human_Data_Entry!AS263="","",Human_Data_Entry!AS263)</f>
        <v/>
      </c>
      <c r="I265" s="103">
        <f>IF(Human_Data_Entry!F263="","",Human_Data_Entry!F263)</f>
        <v/>
      </c>
      <c r="J265" s="103">
        <f>IF(Human_Data_Entry!BA263="","",Human_Data_Entry!BA263)</f>
        <v/>
      </c>
      <c r="K265" s="103">
        <f>IF(Human_Data_Entry!BB263="","",Human_Data_Entry!BB263)</f>
        <v/>
      </c>
      <c r="L265" s="103">
        <f>IF(Human_Data_Entry!BC263="","",Human_Data_Entry!BC263)</f>
        <v/>
      </c>
      <c r="M265" s="104">
        <f>IF(Human_Data_Entry!BD263="","",Human_Data_Entry!BD263)</f>
        <v/>
      </c>
      <c r="N265" s="104">
        <f>IF(Human_Data_Entry!BE263="","",Human_Data_Entry!BE263)</f>
        <v/>
      </c>
      <c r="O265" s="105">
        <f>IF(Human_Data_Entry!BF263="","",Human_Data_Entry!BF263)</f>
        <v/>
      </c>
      <c r="P265" s="103">
        <f>IF(Human_Data_Entry!BG263="","",Human_Data_Entry!BG263)</f>
        <v/>
      </c>
      <c r="Q265" s="103">
        <f>IF(Human_Data_Entry!BL263="","",Human_Data_Entry!BL263)</f>
        <v/>
      </c>
      <c r="R265" s="103">
        <f>IF(Human_Data_Entry!BH263="","",Human_Data_Entry!BH263)</f>
        <v/>
      </c>
      <c r="S265" s="103">
        <f>IF(Human_Data_Entry!BI263="","",Human_Data_Entry!BI263)</f>
        <v/>
      </c>
      <c r="T265" s="103">
        <f>IF(Human_Data_Entry!BJ263="","",Human_Data_Entry!BJ263)</f>
        <v/>
      </c>
      <c r="U265" s="103">
        <f>IF(Human_Data_Entry!AP263="","",Human_Data_Entry!AP263)</f>
        <v/>
      </c>
      <c r="V265" s="103">
        <f>IF(Human_Data_Entry!AQ263="","",Human_Data_Entry!AQ263)</f>
        <v/>
      </c>
      <c r="W265" s="103">
        <f>IF(Human_Data_Entry!AR263="","",Human_Data_Entry!AR263)</f>
        <v/>
      </c>
      <c r="X265" s="103">
        <f>IF(Human_Data_Entry!BK263="","",Human_Data_Entry!BK263)</f>
        <v/>
      </c>
    </row>
    <row r="266" ht="15" customHeight="1" s="241">
      <c r="A266" s="103">
        <f>IF(Human_Data_Entry!A264="","",Human_Data_Entry!A264)</f>
        <v/>
      </c>
      <c r="B266" s="103">
        <f>IF(Human_Data_Entry!B264="","",Human_Data_Entry!B264)</f>
        <v/>
      </c>
      <c r="C266" s="104">
        <f>IF(Human_Data_Entry!C264="","",Human_Data_Entry!C264)</f>
        <v/>
      </c>
      <c r="D266" s="103">
        <f>IF(Human_Data_Entry!D264="","",Human_Data_Entry!D264)</f>
        <v/>
      </c>
      <c r="E266" s="103">
        <f>IF(Human_Data_Entry!G264="","",Human_Data_Entry!G264)</f>
        <v/>
      </c>
      <c r="F266" s="103">
        <f>IF(Human_Data_Entry!X264="","",Human_Data_Entry!X264)</f>
        <v/>
      </c>
      <c r="G266" s="103">
        <f>IF(Human_Data_Entry!AY264="","",Human_Data_Entry!AY264)</f>
        <v/>
      </c>
      <c r="H266" s="103">
        <f>IF(Human_Data_Entry!AS264="","",Human_Data_Entry!AS264)</f>
        <v/>
      </c>
      <c r="I266" s="103">
        <f>IF(Human_Data_Entry!F264="","",Human_Data_Entry!F264)</f>
        <v/>
      </c>
      <c r="J266" s="103">
        <f>IF(Human_Data_Entry!BA264="","",Human_Data_Entry!BA264)</f>
        <v/>
      </c>
      <c r="K266" s="103">
        <f>IF(Human_Data_Entry!BB264="","",Human_Data_Entry!BB264)</f>
        <v/>
      </c>
      <c r="L266" s="103">
        <f>IF(Human_Data_Entry!BC264="","",Human_Data_Entry!BC264)</f>
        <v/>
      </c>
      <c r="M266" s="104">
        <f>IF(Human_Data_Entry!BD264="","",Human_Data_Entry!BD264)</f>
        <v/>
      </c>
      <c r="N266" s="104">
        <f>IF(Human_Data_Entry!BE264="","",Human_Data_Entry!BE264)</f>
        <v/>
      </c>
      <c r="O266" s="105">
        <f>IF(Human_Data_Entry!BF264="","",Human_Data_Entry!BF264)</f>
        <v/>
      </c>
      <c r="P266" s="103">
        <f>IF(Human_Data_Entry!BG264="","",Human_Data_Entry!BG264)</f>
        <v/>
      </c>
      <c r="Q266" s="103">
        <f>IF(Human_Data_Entry!BL264="","",Human_Data_Entry!BL264)</f>
        <v/>
      </c>
      <c r="R266" s="103">
        <f>IF(Human_Data_Entry!BH264="","",Human_Data_Entry!BH264)</f>
        <v/>
      </c>
      <c r="S266" s="103">
        <f>IF(Human_Data_Entry!BI264="","",Human_Data_Entry!BI264)</f>
        <v/>
      </c>
      <c r="T266" s="103">
        <f>IF(Human_Data_Entry!BJ264="","",Human_Data_Entry!BJ264)</f>
        <v/>
      </c>
      <c r="U266" s="103">
        <f>IF(Human_Data_Entry!AP264="","",Human_Data_Entry!AP264)</f>
        <v/>
      </c>
      <c r="V266" s="103">
        <f>IF(Human_Data_Entry!AQ264="","",Human_Data_Entry!AQ264)</f>
        <v/>
      </c>
      <c r="W266" s="103">
        <f>IF(Human_Data_Entry!AR264="","",Human_Data_Entry!AR264)</f>
        <v/>
      </c>
      <c r="X266" s="103">
        <f>IF(Human_Data_Entry!BK264="","",Human_Data_Entry!BK264)</f>
        <v/>
      </c>
    </row>
    <row r="267" ht="15" customHeight="1" s="241">
      <c r="A267" s="103">
        <f>IF(Human_Data_Entry!A265="","",Human_Data_Entry!A265)</f>
        <v/>
      </c>
      <c r="B267" s="103">
        <f>IF(Human_Data_Entry!B265="","",Human_Data_Entry!B265)</f>
        <v/>
      </c>
      <c r="C267" s="104">
        <f>IF(Human_Data_Entry!C265="","",Human_Data_Entry!C265)</f>
        <v/>
      </c>
      <c r="D267" s="103">
        <f>IF(Human_Data_Entry!D265="","",Human_Data_Entry!D265)</f>
        <v/>
      </c>
      <c r="E267" s="103">
        <f>IF(Human_Data_Entry!G265="","",Human_Data_Entry!G265)</f>
        <v/>
      </c>
      <c r="F267" s="103">
        <f>IF(Human_Data_Entry!X265="","",Human_Data_Entry!X265)</f>
        <v/>
      </c>
      <c r="G267" s="103">
        <f>IF(Human_Data_Entry!AY265="","",Human_Data_Entry!AY265)</f>
        <v/>
      </c>
      <c r="H267" s="103">
        <f>IF(Human_Data_Entry!AS265="","",Human_Data_Entry!AS265)</f>
        <v/>
      </c>
      <c r="I267" s="103">
        <f>IF(Human_Data_Entry!F265="","",Human_Data_Entry!F265)</f>
        <v/>
      </c>
      <c r="J267" s="103">
        <f>IF(Human_Data_Entry!BA265="","",Human_Data_Entry!BA265)</f>
        <v/>
      </c>
      <c r="K267" s="103">
        <f>IF(Human_Data_Entry!BB265="","",Human_Data_Entry!BB265)</f>
        <v/>
      </c>
      <c r="L267" s="103">
        <f>IF(Human_Data_Entry!BC265="","",Human_Data_Entry!BC265)</f>
        <v/>
      </c>
      <c r="M267" s="104">
        <f>IF(Human_Data_Entry!BD265="","",Human_Data_Entry!BD265)</f>
        <v/>
      </c>
      <c r="N267" s="104">
        <f>IF(Human_Data_Entry!BE265="","",Human_Data_Entry!BE265)</f>
        <v/>
      </c>
      <c r="O267" s="105">
        <f>IF(Human_Data_Entry!BF265="","",Human_Data_Entry!BF265)</f>
        <v/>
      </c>
      <c r="P267" s="103">
        <f>IF(Human_Data_Entry!BG265="","",Human_Data_Entry!BG265)</f>
        <v/>
      </c>
      <c r="Q267" s="103">
        <f>IF(Human_Data_Entry!BL265="","",Human_Data_Entry!BL265)</f>
        <v/>
      </c>
      <c r="R267" s="103">
        <f>IF(Human_Data_Entry!BH265="","",Human_Data_Entry!BH265)</f>
        <v/>
      </c>
      <c r="S267" s="103">
        <f>IF(Human_Data_Entry!BI265="","",Human_Data_Entry!BI265)</f>
        <v/>
      </c>
      <c r="T267" s="103">
        <f>IF(Human_Data_Entry!BJ265="","",Human_Data_Entry!BJ265)</f>
        <v/>
      </c>
      <c r="U267" s="103">
        <f>IF(Human_Data_Entry!AP265="","",Human_Data_Entry!AP265)</f>
        <v/>
      </c>
      <c r="V267" s="103">
        <f>IF(Human_Data_Entry!AQ265="","",Human_Data_Entry!AQ265)</f>
        <v/>
      </c>
      <c r="W267" s="103">
        <f>IF(Human_Data_Entry!AR265="","",Human_Data_Entry!AR265)</f>
        <v/>
      </c>
      <c r="X267" s="103">
        <f>IF(Human_Data_Entry!BK265="","",Human_Data_Entry!BK265)</f>
        <v/>
      </c>
    </row>
    <row r="268" ht="15" customHeight="1" s="241">
      <c r="A268" s="103">
        <f>IF(Human_Data_Entry!A266="","",Human_Data_Entry!A266)</f>
        <v/>
      </c>
      <c r="B268" s="103">
        <f>IF(Human_Data_Entry!B266="","",Human_Data_Entry!B266)</f>
        <v/>
      </c>
      <c r="C268" s="104">
        <f>IF(Human_Data_Entry!C266="","",Human_Data_Entry!C266)</f>
        <v/>
      </c>
      <c r="D268" s="103">
        <f>IF(Human_Data_Entry!D266="","",Human_Data_Entry!D266)</f>
        <v/>
      </c>
      <c r="E268" s="103">
        <f>IF(Human_Data_Entry!G266="","",Human_Data_Entry!G266)</f>
        <v/>
      </c>
      <c r="F268" s="103">
        <f>IF(Human_Data_Entry!X266="","",Human_Data_Entry!X266)</f>
        <v/>
      </c>
      <c r="G268" s="103">
        <f>IF(Human_Data_Entry!AY266="","",Human_Data_Entry!AY266)</f>
        <v/>
      </c>
      <c r="H268" s="103">
        <f>IF(Human_Data_Entry!AS266="","",Human_Data_Entry!AS266)</f>
        <v/>
      </c>
      <c r="I268" s="103">
        <f>IF(Human_Data_Entry!F266="","",Human_Data_Entry!F266)</f>
        <v/>
      </c>
      <c r="J268" s="103">
        <f>IF(Human_Data_Entry!BA266="","",Human_Data_Entry!BA266)</f>
        <v/>
      </c>
      <c r="K268" s="103">
        <f>IF(Human_Data_Entry!BB266="","",Human_Data_Entry!BB266)</f>
        <v/>
      </c>
      <c r="L268" s="103">
        <f>IF(Human_Data_Entry!BC266="","",Human_Data_Entry!BC266)</f>
        <v/>
      </c>
      <c r="M268" s="104">
        <f>IF(Human_Data_Entry!BD266="","",Human_Data_Entry!BD266)</f>
        <v/>
      </c>
      <c r="N268" s="104">
        <f>IF(Human_Data_Entry!BE266="","",Human_Data_Entry!BE266)</f>
        <v/>
      </c>
      <c r="O268" s="105">
        <f>IF(Human_Data_Entry!BF266="","",Human_Data_Entry!BF266)</f>
        <v/>
      </c>
      <c r="P268" s="103">
        <f>IF(Human_Data_Entry!BG266="","",Human_Data_Entry!BG266)</f>
        <v/>
      </c>
      <c r="Q268" s="103">
        <f>IF(Human_Data_Entry!BL266="","",Human_Data_Entry!BL266)</f>
        <v/>
      </c>
      <c r="R268" s="103">
        <f>IF(Human_Data_Entry!BH266="","",Human_Data_Entry!BH266)</f>
        <v/>
      </c>
      <c r="S268" s="103">
        <f>IF(Human_Data_Entry!BI266="","",Human_Data_Entry!BI266)</f>
        <v/>
      </c>
      <c r="T268" s="103">
        <f>IF(Human_Data_Entry!BJ266="","",Human_Data_Entry!BJ266)</f>
        <v/>
      </c>
      <c r="U268" s="103">
        <f>IF(Human_Data_Entry!AP266="","",Human_Data_Entry!AP266)</f>
        <v/>
      </c>
      <c r="V268" s="103">
        <f>IF(Human_Data_Entry!AQ266="","",Human_Data_Entry!AQ266)</f>
        <v/>
      </c>
      <c r="W268" s="103">
        <f>IF(Human_Data_Entry!AR266="","",Human_Data_Entry!AR266)</f>
        <v/>
      </c>
      <c r="X268" s="103">
        <f>IF(Human_Data_Entry!BK266="","",Human_Data_Entry!BK266)</f>
        <v/>
      </c>
    </row>
    <row r="269" ht="15" customHeight="1" s="241">
      <c r="A269" s="103">
        <f>IF(Human_Data_Entry!A267="","",Human_Data_Entry!A267)</f>
        <v/>
      </c>
      <c r="B269" s="103">
        <f>IF(Human_Data_Entry!B267="","",Human_Data_Entry!B267)</f>
        <v/>
      </c>
      <c r="C269" s="104">
        <f>IF(Human_Data_Entry!C267="","",Human_Data_Entry!C267)</f>
        <v/>
      </c>
      <c r="D269" s="103">
        <f>IF(Human_Data_Entry!D267="","",Human_Data_Entry!D267)</f>
        <v/>
      </c>
      <c r="E269" s="103">
        <f>IF(Human_Data_Entry!G267="","",Human_Data_Entry!G267)</f>
        <v/>
      </c>
      <c r="F269" s="103">
        <f>IF(Human_Data_Entry!X267="","",Human_Data_Entry!X267)</f>
        <v/>
      </c>
      <c r="G269" s="103">
        <f>IF(Human_Data_Entry!AY267="","",Human_Data_Entry!AY267)</f>
        <v/>
      </c>
      <c r="H269" s="103">
        <f>IF(Human_Data_Entry!AS267="","",Human_Data_Entry!AS267)</f>
        <v/>
      </c>
      <c r="I269" s="103">
        <f>IF(Human_Data_Entry!F267="","",Human_Data_Entry!F267)</f>
        <v/>
      </c>
      <c r="J269" s="103">
        <f>IF(Human_Data_Entry!BA267="","",Human_Data_Entry!BA267)</f>
        <v/>
      </c>
      <c r="K269" s="103">
        <f>IF(Human_Data_Entry!BB267="","",Human_Data_Entry!BB267)</f>
        <v/>
      </c>
      <c r="L269" s="103">
        <f>IF(Human_Data_Entry!BC267="","",Human_Data_Entry!BC267)</f>
        <v/>
      </c>
      <c r="M269" s="104">
        <f>IF(Human_Data_Entry!BD267="","",Human_Data_Entry!BD267)</f>
        <v/>
      </c>
      <c r="N269" s="104">
        <f>IF(Human_Data_Entry!BE267="","",Human_Data_Entry!BE267)</f>
        <v/>
      </c>
      <c r="O269" s="105">
        <f>IF(Human_Data_Entry!BF267="","",Human_Data_Entry!BF267)</f>
        <v/>
      </c>
      <c r="P269" s="103">
        <f>IF(Human_Data_Entry!BG267="","",Human_Data_Entry!BG267)</f>
        <v/>
      </c>
      <c r="Q269" s="103">
        <f>IF(Human_Data_Entry!BL267="","",Human_Data_Entry!BL267)</f>
        <v/>
      </c>
      <c r="R269" s="103">
        <f>IF(Human_Data_Entry!BH267="","",Human_Data_Entry!BH267)</f>
        <v/>
      </c>
      <c r="S269" s="103">
        <f>IF(Human_Data_Entry!BI267="","",Human_Data_Entry!BI267)</f>
        <v/>
      </c>
      <c r="T269" s="103">
        <f>IF(Human_Data_Entry!BJ267="","",Human_Data_Entry!BJ267)</f>
        <v/>
      </c>
      <c r="U269" s="103">
        <f>IF(Human_Data_Entry!AP267="","",Human_Data_Entry!AP267)</f>
        <v/>
      </c>
      <c r="V269" s="103">
        <f>IF(Human_Data_Entry!AQ267="","",Human_Data_Entry!AQ267)</f>
        <v/>
      </c>
      <c r="W269" s="103">
        <f>IF(Human_Data_Entry!AR267="","",Human_Data_Entry!AR267)</f>
        <v/>
      </c>
      <c r="X269" s="103">
        <f>IF(Human_Data_Entry!BK267="","",Human_Data_Entry!BK267)</f>
        <v/>
      </c>
    </row>
    <row r="270" ht="15" customHeight="1" s="241">
      <c r="A270" s="103">
        <f>IF(Human_Data_Entry!A268="","",Human_Data_Entry!A268)</f>
        <v/>
      </c>
      <c r="B270" s="103">
        <f>IF(Human_Data_Entry!B268="","",Human_Data_Entry!B268)</f>
        <v/>
      </c>
      <c r="C270" s="104">
        <f>IF(Human_Data_Entry!C268="","",Human_Data_Entry!C268)</f>
        <v/>
      </c>
      <c r="D270" s="103">
        <f>IF(Human_Data_Entry!D268="","",Human_Data_Entry!D268)</f>
        <v/>
      </c>
      <c r="E270" s="103">
        <f>IF(Human_Data_Entry!G268="","",Human_Data_Entry!G268)</f>
        <v/>
      </c>
      <c r="F270" s="103">
        <f>IF(Human_Data_Entry!X268="","",Human_Data_Entry!X268)</f>
        <v/>
      </c>
      <c r="G270" s="103">
        <f>IF(Human_Data_Entry!AY268="","",Human_Data_Entry!AY268)</f>
        <v/>
      </c>
      <c r="H270" s="103">
        <f>IF(Human_Data_Entry!AS268="","",Human_Data_Entry!AS268)</f>
        <v/>
      </c>
      <c r="I270" s="103">
        <f>IF(Human_Data_Entry!F268="","",Human_Data_Entry!F268)</f>
        <v/>
      </c>
      <c r="J270" s="103">
        <f>IF(Human_Data_Entry!BA268="","",Human_Data_Entry!BA268)</f>
        <v/>
      </c>
      <c r="K270" s="103">
        <f>IF(Human_Data_Entry!BB268="","",Human_Data_Entry!BB268)</f>
        <v/>
      </c>
      <c r="L270" s="103">
        <f>IF(Human_Data_Entry!BC268="","",Human_Data_Entry!BC268)</f>
        <v/>
      </c>
      <c r="M270" s="104">
        <f>IF(Human_Data_Entry!BD268="","",Human_Data_Entry!BD268)</f>
        <v/>
      </c>
      <c r="N270" s="104">
        <f>IF(Human_Data_Entry!BE268="","",Human_Data_Entry!BE268)</f>
        <v/>
      </c>
      <c r="O270" s="105">
        <f>IF(Human_Data_Entry!BF268="","",Human_Data_Entry!BF268)</f>
        <v/>
      </c>
      <c r="P270" s="103">
        <f>IF(Human_Data_Entry!BG268="","",Human_Data_Entry!BG268)</f>
        <v/>
      </c>
      <c r="Q270" s="103">
        <f>IF(Human_Data_Entry!BL268="","",Human_Data_Entry!BL268)</f>
        <v/>
      </c>
      <c r="R270" s="103">
        <f>IF(Human_Data_Entry!BH268="","",Human_Data_Entry!BH268)</f>
        <v/>
      </c>
      <c r="S270" s="103">
        <f>IF(Human_Data_Entry!BI268="","",Human_Data_Entry!BI268)</f>
        <v/>
      </c>
      <c r="T270" s="103">
        <f>IF(Human_Data_Entry!BJ268="","",Human_Data_Entry!BJ268)</f>
        <v/>
      </c>
      <c r="U270" s="103">
        <f>IF(Human_Data_Entry!AP268="","",Human_Data_Entry!AP268)</f>
        <v/>
      </c>
      <c r="V270" s="103">
        <f>IF(Human_Data_Entry!AQ268="","",Human_Data_Entry!AQ268)</f>
        <v/>
      </c>
      <c r="W270" s="103">
        <f>IF(Human_Data_Entry!AR268="","",Human_Data_Entry!AR268)</f>
        <v/>
      </c>
      <c r="X270" s="103">
        <f>IF(Human_Data_Entry!BK268="","",Human_Data_Entry!BK268)</f>
        <v/>
      </c>
    </row>
    <row r="271" ht="15" customHeight="1" s="241">
      <c r="A271" s="103">
        <f>IF(Human_Data_Entry!A269="","",Human_Data_Entry!A269)</f>
        <v/>
      </c>
      <c r="B271" s="103">
        <f>IF(Human_Data_Entry!B269="","",Human_Data_Entry!B269)</f>
        <v/>
      </c>
      <c r="C271" s="104">
        <f>IF(Human_Data_Entry!C269="","",Human_Data_Entry!C269)</f>
        <v/>
      </c>
      <c r="D271" s="103">
        <f>IF(Human_Data_Entry!D269="","",Human_Data_Entry!D269)</f>
        <v/>
      </c>
      <c r="E271" s="103">
        <f>IF(Human_Data_Entry!G269="","",Human_Data_Entry!G269)</f>
        <v/>
      </c>
      <c r="F271" s="103">
        <f>IF(Human_Data_Entry!X269="","",Human_Data_Entry!X269)</f>
        <v/>
      </c>
      <c r="G271" s="103">
        <f>IF(Human_Data_Entry!AY269="","",Human_Data_Entry!AY269)</f>
        <v/>
      </c>
      <c r="H271" s="103">
        <f>IF(Human_Data_Entry!AS269="","",Human_Data_Entry!AS269)</f>
        <v/>
      </c>
      <c r="I271" s="103">
        <f>IF(Human_Data_Entry!F269="","",Human_Data_Entry!F269)</f>
        <v/>
      </c>
      <c r="J271" s="103">
        <f>IF(Human_Data_Entry!BA269="","",Human_Data_Entry!BA269)</f>
        <v/>
      </c>
      <c r="K271" s="103">
        <f>IF(Human_Data_Entry!BB269="","",Human_Data_Entry!BB269)</f>
        <v/>
      </c>
      <c r="L271" s="103">
        <f>IF(Human_Data_Entry!BC269="","",Human_Data_Entry!BC269)</f>
        <v/>
      </c>
      <c r="M271" s="104">
        <f>IF(Human_Data_Entry!BD269="","",Human_Data_Entry!BD269)</f>
        <v/>
      </c>
      <c r="N271" s="104">
        <f>IF(Human_Data_Entry!BE269="","",Human_Data_Entry!BE269)</f>
        <v/>
      </c>
      <c r="O271" s="105">
        <f>IF(Human_Data_Entry!BF269="","",Human_Data_Entry!BF269)</f>
        <v/>
      </c>
      <c r="P271" s="103">
        <f>IF(Human_Data_Entry!BG269="","",Human_Data_Entry!BG269)</f>
        <v/>
      </c>
      <c r="Q271" s="103">
        <f>IF(Human_Data_Entry!BL269="","",Human_Data_Entry!BL269)</f>
        <v/>
      </c>
      <c r="R271" s="103">
        <f>IF(Human_Data_Entry!BH269="","",Human_Data_Entry!BH269)</f>
        <v/>
      </c>
      <c r="S271" s="103">
        <f>IF(Human_Data_Entry!BI269="","",Human_Data_Entry!BI269)</f>
        <v/>
      </c>
      <c r="T271" s="103">
        <f>IF(Human_Data_Entry!BJ269="","",Human_Data_Entry!BJ269)</f>
        <v/>
      </c>
      <c r="U271" s="103">
        <f>IF(Human_Data_Entry!AP269="","",Human_Data_Entry!AP269)</f>
        <v/>
      </c>
      <c r="V271" s="103">
        <f>IF(Human_Data_Entry!AQ269="","",Human_Data_Entry!AQ269)</f>
        <v/>
      </c>
      <c r="W271" s="103">
        <f>IF(Human_Data_Entry!AR269="","",Human_Data_Entry!AR269)</f>
        <v/>
      </c>
      <c r="X271" s="103">
        <f>IF(Human_Data_Entry!BK269="","",Human_Data_Entry!BK269)</f>
        <v/>
      </c>
    </row>
    <row r="272" ht="15" customHeight="1" s="241">
      <c r="A272" s="103">
        <f>IF(Human_Data_Entry!A270="","",Human_Data_Entry!A270)</f>
        <v/>
      </c>
      <c r="B272" s="103">
        <f>IF(Human_Data_Entry!B270="","",Human_Data_Entry!B270)</f>
        <v/>
      </c>
      <c r="C272" s="104">
        <f>IF(Human_Data_Entry!C270="","",Human_Data_Entry!C270)</f>
        <v/>
      </c>
      <c r="D272" s="103">
        <f>IF(Human_Data_Entry!D270="","",Human_Data_Entry!D270)</f>
        <v/>
      </c>
      <c r="E272" s="103">
        <f>IF(Human_Data_Entry!G270="","",Human_Data_Entry!G270)</f>
        <v/>
      </c>
      <c r="F272" s="103">
        <f>IF(Human_Data_Entry!X270="","",Human_Data_Entry!X270)</f>
        <v/>
      </c>
      <c r="G272" s="103">
        <f>IF(Human_Data_Entry!AY270="","",Human_Data_Entry!AY270)</f>
        <v/>
      </c>
      <c r="H272" s="103">
        <f>IF(Human_Data_Entry!AS270="","",Human_Data_Entry!AS270)</f>
        <v/>
      </c>
      <c r="I272" s="103">
        <f>IF(Human_Data_Entry!F270="","",Human_Data_Entry!F270)</f>
        <v/>
      </c>
      <c r="J272" s="103">
        <f>IF(Human_Data_Entry!BA270="","",Human_Data_Entry!BA270)</f>
        <v/>
      </c>
      <c r="K272" s="103">
        <f>IF(Human_Data_Entry!BB270="","",Human_Data_Entry!BB270)</f>
        <v/>
      </c>
      <c r="L272" s="103">
        <f>IF(Human_Data_Entry!BC270="","",Human_Data_Entry!BC270)</f>
        <v/>
      </c>
      <c r="M272" s="104">
        <f>IF(Human_Data_Entry!BD270="","",Human_Data_Entry!BD270)</f>
        <v/>
      </c>
      <c r="N272" s="104">
        <f>IF(Human_Data_Entry!BE270="","",Human_Data_Entry!BE270)</f>
        <v/>
      </c>
      <c r="O272" s="105">
        <f>IF(Human_Data_Entry!BF270="","",Human_Data_Entry!BF270)</f>
        <v/>
      </c>
      <c r="P272" s="103">
        <f>IF(Human_Data_Entry!BG270="","",Human_Data_Entry!BG270)</f>
        <v/>
      </c>
      <c r="Q272" s="103">
        <f>IF(Human_Data_Entry!BL270="","",Human_Data_Entry!BL270)</f>
        <v/>
      </c>
      <c r="R272" s="103">
        <f>IF(Human_Data_Entry!BH270="","",Human_Data_Entry!BH270)</f>
        <v/>
      </c>
      <c r="S272" s="103">
        <f>IF(Human_Data_Entry!BI270="","",Human_Data_Entry!BI270)</f>
        <v/>
      </c>
      <c r="T272" s="103">
        <f>IF(Human_Data_Entry!BJ270="","",Human_Data_Entry!BJ270)</f>
        <v/>
      </c>
      <c r="U272" s="103">
        <f>IF(Human_Data_Entry!AP270="","",Human_Data_Entry!AP270)</f>
        <v/>
      </c>
      <c r="V272" s="103">
        <f>IF(Human_Data_Entry!AQ270="","",Human_Data_Entry!AQ270)</f>
        <v/>
      </c>
      <c r="W272" s="103">
        <f>IF(Human_Data_Entry!AR270="","",Human_Data_Entry!AR270)</f>
        <v/>
      </c>
      <c r="X272" s="103">
        <f>IF(Human_Data_Entry!BK270="","",Human_Data_Entry!BK270)</f>
        <v/>
      </c>
    </row>
    <row r="273" ht="15" customHeight="1" s="241">
      <c r="A273" s="103">
        <f>IF(Human_Data_Entry!A271="","",Human_Data_Entry!A271)</f>
        <v/>
      </c>
      <c r="B273" s="103">
        <f>IF(Human_Data_Entry!B271="","",Human_Data_Entry!B271)</f>
        <v/>
      </c>
      <c r="C273" s="104">
        <f>IF(Human_Data_Entry!C271="","",Human_Data_Entry!C271)</f>
        <v/>
      </c>
      <c r="D273" s="103">
        <f>IF(Human_Data_Entry!D271="","",Human_Data_Entry!D271)</f>
        <v/>
      </c>
      <c r="E273" s="103">
        <f>IF(Human_Data_Entry!G271="","",Human_Data_Entry!G271)</f>
        <v/>
      </c>
      <c r="F273" s="103">
        <f>IF(Human_Data_Entry!X271="","",Human_Data_Entry!X271)</f>
        <v/>
      </c>
      <c r="G273" s="103">
        <f>IF(Human_Data_Entry!AY271="","",Human_Data_Entry!AY271)</f>
        <v/>
      </c>
      <c r="H273" s="103">
        <f>IF(Human_Data_Entry!AS271="","",Human_Data_Entry!AS271)</f>
        <v/>
      </c>
      <c r="I273" s="103">
        <f>IF(Human_Data_Entry!F271="","",Human_Data_Entry!F271)</f>
        <v/>
      </c>
      <c r="J273" s="103">
        <f>IF(Human_Data_Entry!BA271="","",Human_Data_Entry!BA271)</f>
        <v/>
      </c>
      <c r="K273" s="103">
        <f>IF(Human_Data_Entry!BB271="","",Human_Data_Entry!BB271)</f>
        <v/>
      </c>
      <c r="L273" s="103">
        <f>IF(Human_Data_Entry!BC271="","",Human_Data_Entry!BC271)</f>
        <v/>
      </c>
      <c r="M273" s="104">
        <f>IF(Human_Data_Entry!BD271="","",Human_Data_Entry!BD271)</f>
        <v/>
      </c>
      <c r="N273" s="104">
        <f>IF(Human_Data_Entry!BE271="","",Human_Data_Entry!BE271)</f>
        <v/>
      </c>
      <c r="O273" s="105">
        <f>IF(Human_Data_Entry!BF271="","",Human_Data_Entry!BF271)</f>
        <v/>
      </c>
      <c r="P273" s="103">
        <f>IF(Human_Data_Entry!BG271="","",Human_Data_Entry!BG271)</f>
        <v/>
      </c>
      <c r="Q273" s="103">
        <f>IF(Human_Data_Entry!BL271="","",Human_Data_Entry!BL271)</f>
        <v/>
      </c>
      <c r="R273" s="103">
        <f>IF(Human_Data_Entry!BH271="","",Human_Data_Entry!BH271)</f>
        <v/>
      </c>
      <c r="S273" s="103">
        <f>IF(Human_Data_Entry!BI271="","",Human_Data_Entry!BI271)</f>
        <v/>
      </c>
      <c r="T273" s="103">
        <f>IF(Human_Data_Entry!BJ271="","",Human_Data_Entry!BJ271)</f>
        <v/>
      </c>
      <c r="U273" s="103">
        <f>IF(Human_Data_Entry!AP271="","",Human_Data_Entry!AP271)</f>
        <v/>
      </c>
      <c r="V273" s="103">
        <f>IF(Human_Data_Entry!AQ271="","",Human_Data_Entry!AQ271)</f>
        <v/>
      </c>
      <c r="W273" s="103">
        <f>IF(Human_Data_Entry!AR271="","",Human_Data_Entry!AR271)</f>
        <v/>
      </c>
      <c r="X273" s="103">
        <f>IF(Human_Data_Entry!BK271="","",Human_Data_Entry!BK271)</f>
        <v/>
      </c>
    </row>
    <row r="274" ht="15" customHeight="1" s="241">
      <c r="A274" s="103">
        <f>IF(Human_Data_Entry!A272="","",Human_Data_Entry!A272)</f>
        <v/>
      </c>
      <c r="B274" s="103">
        <f>IF(Human_Data_Entry!B272="","",Human_Data_Entry!B272)</f>
        <v/>
      </c>
      <c r="C274" s="104">
        <f>IF(Human_Data_Entry!C272="","",Human_Data_Entry!C272)</f>
        <v/>
      </c>
      <c r="D274" s="103">
        <f>IF(Human_Data_Entry!D272="","",Human_Data_Entry!D272)</f>
        <v/>
      </c>
      <c r="E274" s="103">
        <f>IF(Human_Data_Entry!G272="","",Human_Data_Entry!G272)</f>
        <v/>
      </c>
      <c r="F274" s="103">
        <f>IF(Human_Data_Entry!X272="","",Human_Data_Entry!X272)</f>
        <v/>
      </c>
      <c r="G274" s="103">
        <f>IF(Human_Data_Entry!AY272="","",Human_Data_Entry!AY272)</f>
        <v/>
      </c>
      <c r="H274" s="103">
        <f>IF(Human_Data_Entry!AS272="","",Human_Data_Entry!AS272)</f>
        <v/>
      </c>
      <c r="I274" s="103">
        <f>IF(Human_Data_Entry!F272="","",Human_Data_Entry!F272)</f>
        <v/>
      </c>
      <c r="J274" s="103">
        <f>IF(Human_Data_Entry!BA272="","",Human_Data_Entry!BA272)</f>
        <v/>
      </c>
      <c r="K274" s="103">
        <f>IF(Human_Data_Entry!BB272="","",Human_Data_Entry!BB272)</f>
        <v/>
      </c>
      <c r="L274" s="103">
        <f>IF(Human_Data_Entry!BC272="","",Human_Data_Entry!BC272)</f>
        <v/>
      </c>
      <c r="M274" s="104">
        <f>IF(Human_Data_Entry!BD272="","",Human_Data_Entry!BD272)</f>
        <v/>
      </c>
      <c r="N274" s="104">
        <f>IF(Human_Data_Entry!BE272="","",Human_Data_Entry!BE272)</f>
        <v/>
      </c>
      <c r="O274" s="105">
        <f>IF(Human_Data_Entry!BF272="","",Human_Data_Entry!BF272)</f>
        <v/>
      </c>
      <c r="P274" s="103">
        <f>IF(Human_Data_Entry!BG272="","",Human_Data_Entry!BG272)</f>
        <v/>
      </c>
      <c r="Q274" s="103">
        <f>IF(Human_Data_Entry!BL272="","",Human_Data_Entry!BL272)</f>
        <v/>
      </c>
      <c r="R274" s="103">
        <f>IF(Human_Data_Entry!BH272="","",Human_Data_Entry!BH272)</f>
        <v/>
      </c>
      <c r="S274" s="103">
        <f>IF(Human_Data_Entry!BI272="","",Human_Data_Entry!BI272)</f>
        <v/>
      </c>
      <c r="T274" s="103">
        <f>IF(Human_Data_Entry!BJ272="","",Human_Data_Entry!BJ272)</f>
        <v/>
      </c>
      <c r="U274" s="103">
        <f>IF(Human_Data_Entry!AP272="","",Human_Data_Entry!AP272)</f>
        <v/>
      </c>
      <c r="V274" s="103">
        <f>IF(Human_Data_Entry!AQ272="","",Human_Data_Entry!AQ272)</f>
        <v/>
      </c>
      <c r="W274" s="103">
        <f>IF(Human_Data_Entry!AR272="","",Human_Data_Entry!AR272)</f>
        <v/>
      </c>
      <c r="X274" s="103">
        <f>IF(Human_Data_Entry!BK272="","",Human_Data_Entry!BK272)</f>
        <v/>
      </c>
    </row>
    <row r="275" ht="15" customHeight="1" s="241">
      <c r="A275" s="103">
        <f>IF(Human_Data_Entry!A273="","",Human_Data_Entry!A273)</f>
        <v/>
      </c>
      <c r="B275" s="103">
        <f>IF(Human_Data_Entry!B273="","",Human_Data_Entry!B273)</f>
        <v/>
      </c>
      <c r="C275" s="104">
        <f>IF(Human_Data_Entry!C273="","",Human_Data_Entry!C273)</f>
        <v/>
      </c>
      <c r="D275" s="103">
        <f>IF(Human_Data_Entry!D273="","",Human_Data_Entry!D273)</f>
        <v/>
      </c>
      <c r="E275" s="103">
        <f>IF(Human_Data_Entry!G273="","",Human_Data_Entry!G273)</f>
        <v/>
      </c>
      <c r="F275" s="103">
        <f>IF(Human_Data_Entry!X273="","",Human_Data_Entry!X273)</f>
        <v/>
      </c>
      <c r="G275" s="103">
        <f>IF(Human_Data_Entry!AY273="","",Human_Data_Entry!AY273)</f>
        <v/>
      </c>
      <c r="H275" s="103">
        <f>IF(Human_Data_Entry!AS273="","",Human_Data_Entry!AS273)</f>
        <v/>
      </c>
      <c r="I275" s="103">
        <f>IF(Human_Data_Entry!F273="","",Human_Data_Entry!F273)</f>
        <v/>
      </c>
      <c r="J275" s="103">
        <f>IF(Human_Data_Entry!BA273="","",Human_Data_Entry!BA273)</f>
        <v/>
      </c>
      <c r="K275" s="103">
        <f>IF(Human_Data_Entry!BB273="","",Human_Data_Entry!BB273)</f>
        <v/>
      </c>
      <c r="L275" s="103">
        <f>IF(Human_Data_Entry!BC273="","",Human_Data_Entry!BC273)</f>
        <v/>
      </c>
      <c r="M275" s="104">
        <f>IF(Human_Data_Entry!BD273="","",Human_Data_Entry!BD273)</f>
        <v/>
      </c>
      <c r="N275" s="104">
        <f>IF(Human_Data_Entry!BE273="","",Human_Data_Entry!BE273)</f>
        <v/>
      </c>
      <c r="O275" s="105">
        <f>IF(Human_Data_Entry!BF273="","",Human_Data_Entry!BF273)</f>
        <v/>
      </c>
      <c r="P275" s="103">
        <f>IF(Human_Data_Entry!BG273="","",Human_Data_Entry!BG273)</f>
        <v/>
      </c>
      <c r="Q275" s="103">
        <f>IF(Human_Data_Entry!BL273="","",Human_Data_Entry!BL273)</f>
        <v/>
      </c>
      <c r="R275" s="103">
        <f>IF(Human_Data_Entry!BH273="","",Human_Data_Entry!BH273)</f>
        <v/>
      </c>
      <c r="S275" s="103">
        <f>IF(Human_Data_Entry!BI273="","",Human_Data_Entry!BI273)</f>
        <v/>
      </c>
      <c r="T275" s="103">
        <f>IF(Human_Data_Entry!BJ273="","",Human_Data_Entry!BJ273)</f>
        <v/>
      </c>
      <c r="U275" s="103">
        <f>IF(Human_Data_Entry!AP273="","",Human_Data_Entry!AP273)</f>
        <v/>
      </c>
      <c r="V275" s="103">
        <f>IF(Human_Data_Entry!AQ273="","",Human_Data_Entry!AQ273)</f>
        <v/>
      </c>
      <c r="W275" s="103">
        <f>IF(Human_Data_Entry!AR273="","",Human_Data_Entry!AR273)</f>
        <v/>
      </c>
      <c r="X275" s="103">
        <f>IF(Human_Data_Entry!BK273="","",Human_Data_Entry!BK273)</f>
        <v/>
      </c>
    </row>
    <row r="276" ht="15" customHeight="1" s="241">
      <c r="A276" s="103">
        <f>IF(Human_Data_Entry!A274="","",Human_Data_Entry!A274)</f>
        <v/>
      </c>
      <c r="B276" s="103">
        <f>IF(Human_Data_Entry!B274="","",Human_Data_Entry!B274)</f>
        <v/>
      </c>
      <c r="C276" s="104">
        <f>IF(Human_Data_Entry!C274="","",Human_Data_Entry!C274)</f>
        <v/>
      </c>
      <c r="D276" s="103">
        <f>IF(Human_Data_Entry!D274="","",Human_Data_Entry!D274)</f>
        <v/>
      </c>
      <c r="E276" s="103">
        <f>IF(Human_Data_Entry!G274="","",Human_Data_Entry!G274)</f>
        <v/>
      </c>
      <c r="F276" s="103">
        <f>IF(Human_Data_Entry!X274="","",Human_Data_Entry!X274)</f>
        <v/>
      </c>
      <c r="G276" s="103">
        <f>IF(Human_Data_Entry!AY274="","",Human_Data_Entry!AY274)</f>
        <v/>
      </c>
      <c r="H276" s="103">
        <f>IF(Human_Data_Entry!AS274="","",Human_Data_Entry!AS274)</f>
        <v/>
      </c>
      <c r="I276" s="103">
        <f>IF(Human_Data_Entry!F274="","",Human_Data_Entry!F274)</f>
        <v/>
      </c>
      <c r="J276" s="103">
        <f>IF(Human_Data_Entry!BA274="","",Human_Data_Entry!BA274)</f>
        <v/>
      </c>
      <c r="K276" s="103">
        <f>IF(Human_Data_Entry!BB274="","",Human_Data_Entry!BB274)</f>
        <v/>
      </c>
      <c r="L276" s="103">
        <f>IF(Human_Data_Entry!BC274="","",Human_Data_Entry!BC274)</f>
        <v/>
      </c>
      <c r="M276" s="104">
        <f>IF(Human_Data_Entry!BD274="","",Human_Data_Entry!BD274)</f>
        <v/>
      </c>
      <c r="N276" s="104">
        <f>IF(Human_Data_Entry!BE274="","",Human_Data_Entry!BE274)</f>
        <v/>
      </c>
      <c r="O276" s="105">
        <f>IF(Human_Data_Entry!BF274="","",Human_Data_Entry!BF274)</f>
        <v/>
      </c>
      <c r="P276" s="103">
        <f>IF(Human_Data_Entry!BG274="","",Human_Data_Entry!BG274)</f>
        <v/>
      </c>
      <c r="Q276" s="103">
        <f>IF(Human_Data_Entry!BL274="","",Human_Data_Entry!BL274)</f>
        <v/>
      </c>
      <c r="R276" s="103">
        <f>IF(Human_Data_Entry!BH274="","",Human_Data_Entry!BH274)</f>
        <v/>
      </c>
      <c r="S276" s="103">
        <f>IF(Human_Data_Entry!BI274="","",Human_Data_Entry!BI274)</f>
        <v/>
      </c>
      <c r="T276" s="103">
        <f>IF(Human_Data_Entry!BJ274="","",Human_Data_Entry!BJ274)</f>
        <v/>
      </c>
      <c r="U276" s="103">
        <f>IF(Human_Data_Entry!AP274="","",Human_Data_Entry!AP274)</f>
        <v/>
      </c>
      <c r="V276" s="103">
        <f>IF(Human_Data_Entry!AQ274="","",Human_Data_Entry!AQ274)</f>
        <v/>
      </c>
      <c r="W276" s="103">
        <f>IF(Human_Data_Entry!AR274="","",Human_Data_Entry!AR274)</f>
        <v/>
      </c>
      <c r="X276" s="103">
        <f>IF(Human_Data_Entry!BK274="","",Human_Data_Entry!BK274)</f>
        <v/>
      </c>
    </row>
    <row r="277" ht="15" customHeight="1" s="241">
      <c r="A277" s="103">
        <f>IF(Human_Data_Entry!A275="","",Human_Data_Entry!A275)</f>
        <v/>
      </c>
      <c r="B277" s="103">
        <f>IF(Human_Data_Entry!B275="","",Human_Data_Entry!B275)</f>
        <v/>
      </c>
      <c r="C277" s="104">
        <f>IF(Human_Data_Entry!C275="","",Human_Data_Entry!C275)</f>
        <v/>
      </c>
      <c r="D277" s="103">
        <f>IF(Human_Data_Entry!D275="","",Human_Data_Entry!D275)</f>
        <v/>
      </c>
      <c r="E277" s="103">
        <f>IF(Human_Data_Entry!G275="","",Human_Data_Entry!G275)</f>
        <v/>
      </c>
      <c r="F277" s="103">
        <f>IF(Human_Data_Entry!X275="","",Human_Data_Entry!X275)</f>
        <v/>
      </c>
      <c r="G277" s="103">
        <f>IF(Human_Data_Entry!AY275="","",Human_Data_Entry!AY275)</f>
        <v/>
      </c>
      <c r="H277" s="103">
        <f>IF(Human_Data_Entry!AS275="","",Human_Data_Entry!AS275)</f>
        <v/>
      </c>
      <c r="I277" s="103">
        <f>IF(Human_Data_Entry!F275="","",Human_Data_Entry!F275)</f>
        <v/>
      </c>
      <c r="J277" s="103">
        <f>IF(Human_Data_Entry!BA275="","",Human_Data_Entry!BA275)</f>
        <v/>
      </c>
      <c r="K277" s="103">
        <f>IF(Human_Data_Entry!BB275="","",Human_Data_Entry!BB275)</f>
        <v/>
      </c>
      <c r="L277" s="103">
        <f>IF(Human_Data_Entry!BC275="","",Human_Data_Entry!BC275)</f>
        <v/>
      </c>
      <c r="M277" s="104">
        <f>IF(Human_Data_Entry!BD275="","",Human_Data_Entry!BD275)</f>
        <v/>
      </c>
      <c r="N277" s="104">
        <f>IF(Human_Data_Entry!BE275="","",Human_Data_Entry!BE275)</f>
        <v/>
      </c>
      <c r="O277" s="105">
        <f>IF(Human_Data_Entry!BF275="","",Human_Data_Entry!BF275)</f>
        <v/>
      </c>
      <c r="P277" s="103">
        <f>IF(Human_Data_Entry!BG275="","",Human_Data_Entry!BG275)</f>
        <v/>
      </c>
      <c r="Q277" s="103">
        <f>IF(Human_Data_Entry!BL275="","",Human_Data_Entry!BL275)</f>
        <v/>
      </c>
      <c r="R277" s="103">
        <f>IF(Human_Data_Entry!BH275="","",Human_Data_Entry!BH275)</f>
        <v/>
      </c>
      <c r="S277" s="103">
        <f>IF(Human_Data_Entry!BI275="","",Human_Data_Entry!BI275)</f>
        <v/>
      </c>
      <c r="T277" s="103">
        <f>IF(Human_Data_Entry!BJ275="","",Human_Data_Entry!BJ275)</f>
        <v/>
      </c>
      <c r="U277" s="103">
        <f>IF(Human_Data_Entry!AP275="","",Human_Data_Entry!AP275)</f>
        <v/>
      </c>
      <c r="V277" s="103">
        <f>IF(Human_Data_Entry!AQ275="","",Human_Data_Entry!AQ275)</f>
        <v/>
      </c>
      <c r="W277" s="103">
        <f>IF(Human_Data_Entry!AR275="","",Human_Data_Entry!AR275)</f>
        <v/>
      </c>
      <c r="X277" s="103">
        <f>IF(Human_Data_Entry!BK275="","",Human_Data_Entry!BK275)</f>
        <v/>
      </c>
    </row>
    <row r="278" ht="15" customHeight="1" s="241">
      <c r="A278" s="103">
        <f>IF(Human_Data_Entry!A276="","",Human_Data_Entry!A276)</f>
        <v/>
      </c>
      <c r="B278" s="103">
        <f>IF(Human_Data_Entry!B276="","",Human_Data_Entry!B276)</f>
        <v/>
      </c>
      <c r="C278" s="104">
        <f>IF(Human_Data_Entry!C276="","",Human_Data_Entry!C276)</f>
        <v/>
      </c>
      <c r="D278" s="103">
        <f>IF(Human_Data_Entry!D276="","",Human_Data_Entry!D276)</f>
        <v/>
      </c>
      <c r="E278" s="103">
        <f>IF(Human_Data_Entry!G276="","",Human_Data_Entry!G276)</f>
        <v/>
      </c>
      <c r="F278" s="103">
        <f>IF(Human_Data_Entry!X276="","",Human_Data_Entry!X276)</f>
        <v/>
      </c>
      <c r="G278" s="103">
        <f>IF(Human_Data_Entry!AY276="","",Human_Data_Entry!AY276)</f>
        <v/>
      </c>
      <c r="H278" s="103">
        <f>IF(Human_Data_Entry!AS276="","",Human_Data_Entry!AS276)</f>
        <v/>
      </c>
      <c r="I278" s="103">
        <f>IF(Human_Data_Entry!F276="","",Human_Data_Entry!F276)</f>
        <v/>
      </c>
      <c r="J278" s="103">
        <f>IF(Human_Data_Entry!BA276="","",Human_Data_Entry!BA276)</f>
        <v/>
      </c>
      <c r="K278" s="103">
        <f>IF(Human_Data_Entry!BB276="","",Human_Data_Entry!BB276)</f>
        <v/>
      </c>
      <c r="L278" s="103">
        <f>IF(Human_Data_Entry!BC276="","",Human_Data_Entry!BC276)</f>
        <v/>
      </c>
      <c r="M278" s="104">
        <f>IF(Human_Data_Entry!BD276="","",Human_Data_Entry!BD276)</f>
        <v/>
      </c>
      <c r="N278" s="104">
        <f>IF(Human_Data_Entry!BE276="","",Human_Data_Entry!BE276)</f>
        <v/>
      </c>
      <c r="O278" s="105">
        <f>IF(Human_Data_Entry!BF276="","",Human_Data_Entry!BF276)</f>
        <v/>
      </c>
      <c r="P278" s="103">
        <f>IF(Human_Data_Entry!BG276="","",Human_Data_Entry!BG276)</f>
        <v/>
      </c>
      <c r="Q278" s="103">
        <f>IF(Human_Data_Entry!BL276="","",Human_Data_Entry!BL276)</f>
        <v/>
      </c>
      <c r="R278" s="103">
        <f>IF(Human_Data_Entry!BH276="","",Human_Data_Entry!BH276)</f>
        <v/>
      </c>
      <c r="S278" s="103">
        <f>IF(Human_Data_Entry!BI276="","",Human_Data_Entry!BI276)</f>
        <v/>
      </c>
      <c r="T278" s="103">
        <f>IF(Human_Data_Entry!BJ276="","",Human_Data_Entry!BJ276)</f>
        <v/>
      </c>
      <c r="U278" s="103">
        <f>IF(Human_Data_Entry!AP276="","",Human_Data_Entry!AP276)</f>
        <v/>
      </c>
      <c r="V278" s="103">
        <f>IF(Human_Data_Entry!AQ276="","",Human_Data_Entry!AQ276)</f>
        <v/>
      </c>
      <c r="W278" s="103">
        <f>IF(Human_Data_Entry!AR276="","",Human_Data_Entry!AR276)</f>
        <v/>
      </c>
      <c r="X278" s="103">
        <f>IF(Human_Data_Entry!BK276="","",Human_Data_Entry!BK276)</f>
        <v/>
      </c>
    </row>
    <row r="279" ht="15" customHeight="1" s="241">
      <c r="A279" s="103">
        <f>IF(Human_Data_Entry!A277="","",Human_Data_Entry!A277)</f>
        <v/>
      </c>
      <c r="B279" s="103">
        <f>IF(Human_Data_Entry!B277="","",Human_Data_Entry!B277)</f>
        <v/>
      </c>
      <c r="C279" s="104">
        <f>IF(Human_Data_Entry!C277="","",Human_Data_Entry!C277)</f>
        <v/>
      </c>
      <c r="D279" s="103">
        <f>IF(Human_Data_Entry!D277="","",Human_Data_Entry!D277)</f>
        <v/>
      </c>
      <c r="E279" s="103">
        <f>IF(Human_Data_Entry!G277="","",Human_Data_Entry!G277)</f>
        <v/>
      </c>
      <c r="F279" s="103">
        <f>IF(Human_Data_Entry!X277="","",Human_Data_Entry!X277)</f>
        <v/>
      </c>
      <c r="G279" s="103">
        <f>IF(Human_Data_Entry!AY277="","",Human_Data_Entry!AY277)</f>
        <v/>
      </c>
      <c r="H279" s="103">
        <f>IF(Human_Data_Entry!AS277="","",Human_Data_Entry!AS277)</f>
        <v/>
      </c>
      <c r="I279" s="103">
        <f>IF(Human_Data_Entry!F277="","",Human_Data_Entry!F277)</f>
        <v/>
      </c>
      <c r="J279" s="103">
        <f>IF(Human_Data_Entry!BA277="","",Human_Data_Entry!BA277)</f>
        <v/>
      </c>
      <c r="K279" s="103">
        <f>IF(Human_Data_Entry!BB277="","",Human_Data_Entry!BB277)</f>
        <v/>
      </c>
      <c r="L279" s="103">
        <f>IF(Human_Data_Entry!BC277="","",Human_Data_Entry!BC277)</f>
        <v/>
      </c>
      <c r="M279" s="104">
        <f>IF(Human_Data_Entry!BD277="","",Human_Data_Entry!BD277)</f>
        <v/>
      </c>
      <c r="N279" s="104">
        <f>IF(Human_Data_Entry!BE277="","",Human_Data_Entry!BE277)</f>
        <v/>
      </c>
      <c r="O279" s="105">
        <f>IF(Human_Data_Entry!BF277="","",Human_Data_Entry!BF277)</f>
        <v/>
      </c>
      <c r="P279" s="103">
        <f>IF(Human_Data_Entry!BG277="","",Human_Data_Entry!BG277)</f>
        <v/>
      </c>
      <c r="Q279" s="103">
        <f>IF(Human_Data_Entry!BL277="","",Human_Data_Entry!BL277)</f>
        <v/>
      </c>
      <c r="R279" s="103">
        <f>IF(Human_Data_Entry!BH277="","",Human_Data_Entry!BH277)</f>
        <v/>
      </c>
      <c r="S279" s="103">
        <f>IF(Human_Data_Entry!BI277="","",Human_Data_Entry!BI277)</f>
        <v/>
      </c>
      <c r="T279" s="103">
        <f>IF(Human_Data_Entry!BJ277="","",Human_Data_Entry!BJ277)</f>
        <v/>
      </c>
      <c r="U279" s="103">
        <f>IF(Human_Data_Entry!AP277="","",Human_Data_Entry!AP277)</f>
        <v/>
      </c>
      <c r="V279" s="103">
        <f>IF(Human_Data_Entry!AQ277="","",Human_Data_Entry!AQ277)</f>
        <v/>
      </c>
      <c r="W279" s="103">
        <f>IF(Human_Data_Entry!AR277="","",Human_Data_Entry!AR277)</f>
        <v/>
      </c>
      <c r="X279" s="103">
        <f>IF(Human_Data_Entry!BK277="","",Human_Data_Entry!BK277)</f>
        <v/>
      </c>
    </row>
    <row r="280" ht="15" customHeight="1" s="241">
      <c r="A280" s="103">
        <f>IF(Human_Data_Entry!A278="","",Human_Data_Entry!A278)</f>
        <v/>
      </c>
      <c r="B280" s="103">
        <f>IF(Human_Data_Entry!B278="","",Human_Data_Entry!B278)</f>
        <v/>
      </c>
      <c r="C280" s="104">
        <f>IF(Human_Data_Entry!C278="","",Human_Data_Entry!C278)</f>
        <v/>
      </c>
      <c r="D280" s="103">
        <f>IF(Human_Data_Entry!D278="","",Human_Data_Entry!D278)</f>
        <v/>
      </c>
      <c r="E280" s="103">
        <f>IF(Human_Data_Entry!G278="","",Human_Data_Entry!G278)</f>
        <v/>
      </c>
      <c r="F280" s="103">
        <f>IF(Human_Data_Entry!X278="","",Human_Data_Entry!X278)</f>
        <v/>
      </c>
      <c r="G280" s="103">
        <f>IF(Human_Data_Entry!AY278="","",Human_Data_Entry!AY278)</f>
        <v/>
      </c>
      <c r="H280" s="103">
        <f>IF(Human_Data_Entry!AS278="","",Human_Data_Entry!AS278)</f>
        <v/>
      </c>
      <c r="I280" s="103">
        <f>IF(Human_Data_Entry!F278="","",Human_Data_Entry!F278)</f>
        <v/>
      </c>
      <c r="J280" s="103">
        <f>IF(Human_Data_Entry!BA278="","",Human_Data_Entry!BA278)</f>
        <v/>
      </c>
      <c r="K280" s="103">
        <f>IF(Human_Data_Entry!BB278="","",Human_Data_Entry!BB278)</f>
        <v/>
      </c>
      <c r="L280" s="103">
        <f>IF(Human_Data_Entry!BC278="","",Human_Data_Entry!BC278)</f>
        <v/>
      </c>
      <c r="M280" s="104">
        <f>IF(Human_Data_Entry!BD278="","",Human_Data_Entry!BD278)</f>
        <v/>
      </c>
      <c r="N280" s="104">
        <f>IF(Human_Data_Entry!BE278="","",Human_Data_Entry!BE278)</f>
        <v/>
      </c>
      <c r="O280" s="105">
        <f>IF(Human_Data_Entry!BF278="","",Human_Data_Entry!BF278)</f>
        <v/>
      </c>
      <c r="P280" s="103">
        <f>IF(Human_Data_Entry!BG278="","",Human_Data_Entry!BG278)</f>
        <v/>
      </c>
      <c r="Q280" s="103">
        <f>IF(Human_Data_Entry!BL278="","",Human_Data_Entry!BL278)</f>
        <v/>
      </c>
      <c r="R280" s="103">
        <f>IF(Human_Data_Entry!BH278="","",Human_Data_Entry!BH278)</f>
        <v/>
      </c>
      <c r="S280" s="103">
        <f>IF(Human_Data_Entry!BI278="","",Human_Data_Entry!BI278)</f>
        <v/>
      </c>
      <c r="T280" s="103">
        <f>IF(Human_Data_Entry!BJ278="","",Human_Data_Entry!BJ278)</f>
        <v/>
      </c>
      <c r="U280" s="103">
        <f>IF(Human_Data_Entry!AP278="","",Human_Data_Entry!AP278)</f>
        <v/>
      </c>
      <c r="V280" s="103">
        <f>IF(Human_Data_Entry!AQ278="","",Human_Data_Entry!AQ278)</f>
        <v/>
      </c>
      <c r="W280" s="103">
        <f>IF(Human_Data_Entry!AR278="","",Human_Data_Entry!AR278)</f>
        <v/>
      </c>
      <c r="X280" s="103">
        <f>IF(Human_Data_Entry!BK278="","",Human_Data_Entry!BK278)</f>
        <v/>
      </c>
    </row>
    <row r="281" ht="15" customHeight="1" s="241">
      <c r="A281" s="103">
        <f>IF(Human_Data_Entry!A279="","",Human_Data_Entry!A279)</f>
        <v/>
      </c>
      <c r="B281" s="103">
        <f>IF(Human_Data_Entry!B279="","",Human_Data_Entry!B279)</f>
        <v/>
      </c>
      <c r="C281" s="104">
        <f>IF(Human_Data_Entry!C279="","",Human_Data_Entry!C279)</f>
        <v/>
      </c>
      <c r="D281" s="103">
        <f>IF(Human_Data_Entry!D279="","",Human_Data_Entry!D279)</f>
        <v/>
      </c>
      <c r="E281" s="103">
        <f>IF(Human_Data_Entry!G279="","",Human_Data_Entry!G279)</f>
        <v/>
      </c>
      <c r="F281" s="103">
        <f>IF(Human_Data_Entry!X279="","",Human_Data_Entry!X279)</f>
        <v/>
      </c>
      <c r="G281" s="103">
        <f>IF(Human_Data_Entry!AY279="","",Human_Data_Entry!AY279)</f>
        <v/>
      </c>
      <c r="H281" s="103">
        <f>IF(Human_Data_Entry!AS279="","",Human_Data_Entry!AS279)</f>
        <v/>
      </c>
      <c r="I281" s="103">
        <f>IF(Human_Data_Entry!F279="","",Human_Data_Entry!F279)</f>
        <v/>
      </c>
      <c r="J281" s="103">
        <f>IF(Human_Data_Entry!BA279="","",Human_Data_Entry!BA279)</f>
        <v/>
      </c>
      <c r="K281" s="103">
        <f>IF(Human_Data_Entry!BB279="","",Human_Data_Entry!BB279)</f>
        <v/>
      </c>
      <c r="L281" s="103">
        <f>IF(Human_Data_Entry!BC279="","",Human_Data_Entry!BC279)</f>
        <v/>
      </c>
      <c r="M281" s="104">
        <f>IF(Human_Data_Entry!BD279="","",Human_Data_Entry!BD279)</f>
        <v/>
      </c>
      <c r="N281" s="104">
        <f>IF(Human_Data_Entry!BE279="","",Human_Data_Entry!BE279)</f>
        <v/>
      </c>
      <c r="O281" s="105">
        <f>IF(Human_Data_Entry!BF279="","",Human_Data_Entry!BF279)</f>
        <v/>
      </c>
      <c r="P281" s="103">
        <f>IF(Human_Data_Entry!BG279="","",Human_Data_Entry!BG279)</f>
        <v/>
      </c>
      <c r="Q281" s="103">
        <f>IF(Human_Data_Entry!BL279="","",Human_Data_Entry!BL279)</f>
        <v/>
      </c>
      <c r="R281" s="103">
        <f>IF(Human_Data_Entry!BH279="","",Human_Data_Entry!BH279)</f>
        <v/>
      </c>
      <c r="S281" s="103">
        <f>IF(Human_Data_Entry!BI279="","",Human_Data_Entry!BI279)</f>
        <v/>
      </c>
      <c r="T281" s="103">
        <f>IF(Human_Data_Entry!BJ279="","",Human_Data_Entry!BJ279)</f>
        <v/>
      </c>
      <c r="U281" s="103">
        <f>IF(Human_Data_Entry!AP279="","",Human_Data_Entry!AP279)</f>
        <v/>
      </c>
      <c r="V281" s="103">
        <f>IF(Human_Data_Entry!AQ279="","",Human_Data_Entry!AQ279)</f>
        <v/>
      </c>
      <c r="W281" s="103">
        <f>IF(Human_Data_Entry!AR279="","",Human_Data_Entry!AR279)</f>
        <v/>
      </c>
      <c r="X281" s="103">
        <f>IF(Human_Data_Entry!BK279="","",Human_Data_Entry!BK279)</f>
        <v/>
      </c>
    </row>
    <row r="282" ht="15" customHeight="1" s="241">
      <c r="A282" s="103">
        <f>IF(Human_Data_Entry!A280="","",Human_Data_Entry!A280)</f>
        <v/>
      </c>
      <c r="B282" s="103">
        <f>IF(Human_Data_Entry!B280="","",Human_Data_Entry!B280)</f>
        <v/>
      </c>
      <c r="C282" s="104">
        <f>IF(Human_Data_Entry!C280="","",Human_Data_Entry!C280)</f>
        <v/>
      </c>
      <c r="D282" s="103">
        <f>IF(Human_Data_Entry!D280="","",Human_Data_Entry!D280)</f>
        <v/>
      </c>
      <c r="E282" s="103">
        <f>IF(Human_Data_Entry!G280="","",Human_Data_Entry!G280)</f>
        <v/>
      </c>
      <c r="F282" s="103">
        <f>IF(Human_Data_Entry!X280="","",Human_Data_Entry!X280)</f>
        <v/>
      </c>
      <c r="G282" s="103">
        <f>IF(Human_Data_Entry!AY280="","",Human_Data_Entry!AY280)</f>
        <v/>
      </c>
      <c r="H282" s="103">
        <f>IF(Human_Data_Entry!AS280="","",Human_Data_Entry!AS280)</f>
        <v/>
      </c>
      <c r="I282" s="103">
        <f>IF(Human_Data_Entry!F280="","",Human_Data_Entry!F280)</f>
        <v/>
      </c>
      <c r="J282" s="103">
        <f>IF(Human_Data_Entry!BA280="","",Human_Data_Entry!BA280)</f>
        <v/>
      </c>
      <c r="K282" s="103">
        <f>IF(Human_Data_Entry!BB280="","",Human_Data_Entry!BB280)</f>
        <v/>
      </c>
      <c r="L282" s="103">
        <f>IF(Human_Data_Entry!BC280="","",Human_Data_Entry!BC280)</f>
        <v/>
      </c>
      <c r="M282" s="104">
        <f>IF(Human_Data_Entry!BD280="","",Human_Data_Entry!BD280)</f>
        <v/>
      </c>
      <c r="N282" s="104">
        <f>IF(Human_Data_Entry!BE280="","",Human_Data_Entry!BE280)</f>
        <v/>
      </c>
      <c r="O282" s="105">
        <f>IF(Human_Data_Entry!BF280="","",Human_Data_Entry!BF280)</f>
        <v/>
      </c>
      <c r="P282" s="103">
        <f>IF(Human_Data_Entry!BG280="","",Human_Data_Entry!BG280)</f>
        <v/>
      </c>
      <c r="Q282" s="103">
        <f>IF(Human_Data_Entry!BL280="","",Human_Data_Entry!BL280)</f>
        <v/>
      </c>
      <c r="R282" s="103">
        <f>IF(Human_Data_Entry!BH280="","",Human_Data_Entry!BH280)</f>
        <v/>
      </c>
      <c r="S282" s="103">
        <f>IF(Human_Data_Entry!BI280="","",Human_Data_Entry!BI280)</f>
        <v/>
      </c>
      <c r="T282" s="103">
        <f>IF(Human_Data_Entry!BJ280="","",Human_Data_Entry!BJ280)</f>
        <v/>
      </c>
      <c r="U282" s="103">
        <f>IF(Human_Data_Entry!AP280="","",Human_Data_Entry!AP280)</f>
        <v/>
      </c>
      <c r="V282" s="103">
        <f>IF(Human_Data_Entry!AQ280="","",Human_Data_Entry!AQ280)</f>
        <v/>
      </c>
      <c r="W282" s="103">
        <f>IF(Human_Data_Entry!AR280="","",Human_Data_Entry!AR280)</f>
        <v/>
      </c>
      <c r="X282" s="103">
        <f>IF(Human_Data_Entry!BK280="","",Human_Data_Entry!BK280)</f>
        <v/>
      </c>
    </row>
    <row r="283" ht="15" customHeight="1" s="241">
      <c r="A283" s="103">
        <f>IF(Human_Data_Entry!A281="","",Human_Data_Entry!A281)</f>
        <v/>
      </c>
      <c r="B283" s="103">
        <f>IF(Human_Data_Entry!B281="","",Human_Data_Entry!B281)</f>
        <v/>
      </c>
      <c r="C283" s="104">
        <f>IF(Human_Data_Entry!C281="","",Human_Data_Entry!C281)</f>
        <v/>
      </c>
      <c r="D283" s="103">
        <f>IF(Human_Data_Entry!D281="","",Human_Data_Entry!D281)</f>
        <v/>
      </c>
      <c r="E283" s="103">
        <f>IF(Human_Data_Entry!G281="","",Human_Data_Entry!G281)</f>
        <v/>
      </c>
      <c r="F283" s="103">
        <f>IF(Human_Data_Entry!X281="","",Human_Data_Entry!X281)</f>
        <v/>
      </c>
      <c r="G283" s="103">
        <f>IF(Human_Data_Entry!AY281="","",Human_Data_Entry!AY281)</f>
        <v/>
      </c>
      <c r="H283" s="103">
        <f>IF(Human_Data_Entry!AS281="","",Human_Data_Entry!AS281)</f>
        <v/>
      </c>
      <c r="I283" s="103">
        <f>IF(Human_Data_Entry!F281="","",Human_Data_Entry!F281)</f>
        <v/>
      </c>
      <c r="J283" s="103">
        <f>IF(Human_Data_Entry!BA281="","",Human_Data_Entry!BA281)</f>
        <v/>
      </c>
      <c r="K283" s="103">
        <f>IF(Human_Data_Entry!BB281="","",Human_Data_Entry!BB281)</f>
        <v/>
      </c>
      <c r="L283" s="103">
        <f>IF(Human_Data_Entry!BC281="","",Human_Data_Entry!BC281)</f>
        <v/>
      </c>
      <c r="M283" s="104">
        <f>IF(Human_Data_Entry!BD281="","",Human_Data_Entry!BD281)</f>
        <v/>
      </c>
      <c r="N283" s="104">
        <f>IF(Human_Data_Entry!BE281="","",Human_Data_Entry!BE281)</f>
        <v/>
      </c>
      <c r="O283" s="105">
        <f>IF(Human_Data_Entry!BF281="","",Human_Data_Entry!BF281)</f>
        <v/>
      </c>
      <c r="P283" s="103">
        <f>IF(Human_Data_Entry!BG281="","",Human_Data_Entry!BG281)</f>
        <v/>
      </c>
      <c r="Q283" s="103">
        <f>IF(Human_Data_Entry!BL281="","",Human_Data_Entry!BL281)</f>
        <v/>
      </c>
      <c r="R283" s="103">
        <f>IF(Human_Data_Entry!BH281="","",Human_Data_Entry!BH281)</f>
        <v/>
      </c>
      <c r="S283" s="103">
        <f>IF(Human_Data_Entry!BI281="","",Human_Data_Entry!BI281)</f>
        <v/>
      </c>
      <c r="T283" s="103">
        <f>IF(Human_Data_Entry!BJ281="","",Human_Data_Entry!BJ281)</f>
        <v/>
      </c>
      <c r="U283" s="103">
        <f>IF(Human_Data_Entry!AP281="","",Human_Data_Entry!AP281)</f>
        <v/>
      </c>
      <c r="V283" s="103">
        <f>IF(Human_Data_Entry!AQ281="","",Human_Data_Entry!AQ281)</f>
        <v/>
      </c>
      <c r="W283" s="103">
        <f>IF(Human_Data_Entry!AR281="","",Human_Data_Entry!AR281)</f>
        <v/>
      </c>
      <c r="X283" s="103">
        <f>IF(Human_Data_Entry!BK281="","",Human_Data_Entry!BK281)</f>
        <v/>
      </c>
    </row>
    <row r="284" ht="15" customHeight="1" s="241">
      <c r="A284" s="103">
        <f>IF(Human_Data_Entry!A282="","",Human_Data_Entry!A282)</f>
        <v/>
      </c>
      <c r="B284" s="103">
        <f>IF(Human_Data_Entry!B282="","",Human_Data_Entry!B282)</f>
        <v/>
      </c>
      <c r="C284" s="104">
        <f>IF(Human_Data_Entry!C282="","",Human_Data_Entry!C282)</f>
        <v/>
      </c>
      <c r="D284" s="103">
        <f>IF(Human_Data_Entry!D282="","",Human_Data_Entry!D282)</f>
        <v/>
      </c>
      <c r="E284" s="103">
        <f>IF(Human_Data_Entry!G282="","",Human_Data_Entry!G282)</f>
        <v/>
      </c>
      <c r="F284" s="103">
        <f>IF(Human_Data_Entry!X282="","",Human_Data_Entry!X282)</f>
        <v/>
      </c>
      <c r="G284" s="103">
        <f>IF(Human_Data_Entry!AY282="","",Human_Data_Entry!AY282)</f>
        <v/>
      </c>
      <c r="H284" s="103">
        <f>IF(Human_Data_Entry!AS282="","",Human_Data_Entry!AS282)</f>
        <v/>
      </c>
      <c r="I284" s="103">
        <f>IF(Human_Data_Entry!F282="","",Human_Data_Entry!F282)</f>
        <v/>
      </c>
      <c r="J284" s="103">
        <f>IF(Human_Data_Entry!BA282="","",Human_Data_Entry!BA282)</f>
        <v/>
      </c>
      <c r="K284" s="103">
        <f>IF(Human_Data_Entry!BB282="","",Human_Data_Entry!BB282)</f>
        <v/>
      </c>
      <c r="L284" s="103">
        <f>IF(Human_Data_Entry!BC282="","",Human_Data_Entry!BC282)</f>
        <v/>
      </c>
      <c r="M284" s="104">
        <f>IF(Human_Data_Entry!BD282="","",Human_Data_Entry!BD282)</f>
        <v/>
      </c>
      <c r="N284" s="104">
        <f>IF(Human_Data_Entry!BE282="","",Human_Data_Entry!BE282)</f>
        <v/>
      </c>
      <c r="O284" s="105">
        <f>IF(Human_Data_Entry!BF282="","",Human_Data_Entry!BF282)</f>
        <v/>
      </c>
      <c r="P284" s="103">
        <f>IF(Human_Data_Entry!BG282="","",Human_Data_Entry!BG282)</f>
        <v/>
      </c>
      <c r="Q284" s="103">
        <f>IF(Human_Data_Entry!BL282="","",Human_Data_Entry!BL282)</f>
        <v/>
      </c>
      <c r="R284" s="103">
        <f>IF(Human_Data_Entry!BH282="","",Human_Data_Entry!BH282)</f>
        <v/>
      </c>
      <c r="S284" s="103">
        <f>IF(Human_Data_Entry!BI282="","",Human_Data_Entry!BI282)</f>
        <v/>
      </c>
      <c r="T284" s="103">
        <f>IF(Human_Data_Entry!BJ282="","",Human_Data_Entry!BJ282)</f>
        <v/>
      </c>
      <c r="U284" s="103">
        <f>IF(Human_Data_Entry!AP282="","",Human_Data_Entry!AP282)</f>
        <v/>
      </c>
      <c r="V284" s="103">
        <f>IF(Human_Data_Entry!AQ282="","",Human_Data_Entry!AQ282)</f>
        <v/>
      </c>
      <c r="W284" s="103">
        <f>IF(Human_Data_Entry!AR282="","",Human_Data_Entry!AR282)</f>
        <v/>
      </c>
      <c r="X284" s="103">
        <f>IF(Human_Data_Entry!BK282="","",Human_Data_Entry!BK282)</f>
        <v/>
      </c>
    </row>
    <row r="285" ht="15" customHeight="1" s="241">
      <c r="A285" s="103">
        <f>IF(Human_Data_Entry!A283="","",Human_Data_Entry!A283)</f>
        <v/>
      </c>
      <c r="B285" s="103">
        <f>IF(Human_Data_Entry!B283="","",Human_Data_Entry!B283)</f>
        <v/>
      </c>
      <c r="C285" s="104">
        <f>IF(Human_Data_Entry!C283="","",Human_Data_Entry!C283)</f>
        <v/>
      </c>
      <c r="D285" s="103">
        <f>IF(Human_Data_Entry!D283="","",Human_Data_Entry!D283)</f>
        <v/>
      </c>
      <c r="E285" s="103">
        <f>IF(Human_Data_Entry!G283="","",Human_Data_Entry!G283)</f>
        <v/>
      </c>
      <c r="F285" s="103">
        <f>IF(Human_Data_Entry!X283="","",Human_Data_Entry!X283)</f>
        <v/>
      </c>
      <c r="G285" s="103">
        <f>IF(Human_Data_Entry!AY283="","",Human_Data_Entry!AY283)</f>
        <v/>
      </c>
      <c r="H285" s="103">
        <f>IF(Human_Data_Entry!AS283="","",Human_Data_Entry!AS283)</f>
        <v/>
      </c>
      <c r="I285" s="103">
        <f>IF(Human_Data_Entry!F283="","",Human_Data_Entry!F283)</f>
        <v/>
      </c>
      <c r="J285" s="103">
        <f>IF(Human_Data_Entry!BA283="","",Human_Data_Entry!BA283)</f>
        <v/>
      </c>
      <c r="K285" s="103">
        <f>IF(Human_Data_Entry!BB283="","",Human_Data_Entry!BB283)</f>
        <v/>
      </c>
      <c r="L285" s="103">
        <f>IF(Human_Data_Entry!BC283="","",Human_Data_Entry!BC283)</f>
        <v/>
      </c>
      <c r="M285" s="104">
        <f>IF(Human_Data_Entry!BD283="","",Human_Data_Entry!BD283)</f>
        <v/>
      </c>
      <c r="N285" s="104">
        <f>IF(Human_Data_Entry!BE283="","",Human_Data_Entry!BE283)</f>
        <v/>
      </c>
      <c r="O285" s="105">
        <f>IF(Human_Data_Entry!BF283="","",Human_Data_Entry!BF283)</f>
        <v/>
      </c>
      <c r="P285" s="103">
        <f>IF(Human_Data_Entry!BG283="","",Human_Data_Entry!BG283)</f>
        <v/>
      </c>
      <c r="Q285" s="103">
        <f>IF(Human_Data_Entry!BL283="","",Human_Data_Entry!BL283)</f>
        <v/>
      </c>
      <c r="R285" s="103">
        <f>IF(Human_Data_Entry!BH283="","",Human_Data_Entry!BH283)</f>
        <v/>
      </c>
      <c r="S285" s="103">
        <f>IF(Human_Data_Entry!BI283="","",Human_Data_Entry!BI283)</f>
        <v/>
      </c>
      <c r="T285" s="103">
        <f>IF(Human_Data_Entry!BJ283="","",Human_Data_Entry!BJ283)</f>
        <v/>
      </c>
      <c r="U285" s="103">
        <f>IF(Human_Data_Entry!AP283="","",Human_Data_Entry!AP283)</f>
        <v/>
      </c>
      <c r="V285" s="103">
        <f>IF(Human_Data_Entry!AQ283="","",Human_Data_Entry!AQ283)</f>
        <v/>
      </c>
      <c r="W285" s="103">
        <f>IF(Human_Data_Entry!AR283="","",Human_Data_Entry!AR283)</f>
        <v/>
      </c>
      <c r="X285" s="103">
        <f>IF(Human_Data_Entry!BK283="","",Human_Data_Entry!BK283)</f>
        <v/>
      </c>
    </row>
    <row r="286" ht="15" customHeight="1" s="241">
      <c r="A286" s="103">
        <f>IF(Human_Data_Entry!A284="","",Human_Data_Entry!A284)</f>
        <v/>
      </c>
      <c r="B286" s="103">
        <f>IF(Human_Data_Entry!B284="","",Human_Data_Entry!B284)</f>
        <v/>
      </c>
      <c r="C286" s="104">
        <f>IF(Human_Data_Entry!C284="","",Human_Data_Entry!C284)</f>
        <v/>
      </c>
      <c r="D286" s="103">
        <f>IF(Human_Data_Entry!D284="","",Human_Data_Entry!D284)</f>
        <v/>
      </c>
      <c r="E286" s="103">
        <f>IF(Human_Data_Entry!G284="","",Human_Data_Entry!G284)</f>
        <v/>
      </c>
      <c r="F286" s="103">
        <f>IF(Human_Data_Entry!X284="","",Human_Data_Entry!X284)</f>
        <v/>
      </c>
      <c r="G286" s="103">
        <f>IF(Human_Data_Entry!AY284="","",Human_Data_Entry!AY284)</f>
        <v/>
      </c>
      <c r="H286" s="103">
        <f>IF(Human_Data_Entry!AS284="","",Human_Data_Entry!AS284)</f>
        <v/>
      </c>
      <c r="I286" s="103">
        <f>IF(Human_Data_Entry!F284="","",Human_Data_Entry!F284)</f>
        <v/>
      </c>
      <c r="J286" s="103">
        <f>IF(Human_Data_Entry!BA284="","",Human_Data_Entry!BA284)</f>
        <v/>
      </c>
      <c r="K286" s="103">
        <f>IF(Human_Data_Entry!BB284="","",Human_Data_Entry!BB284)</f>
        <v/>
      </c>
      <c r="L286" s="103">
        <f>IF(Human_Data_Entry!BC284="","",Human_Data_Entry!BC284)</f>
        <v/>
      </c>
      <c r="M286" s="104">
        <f>IF(Human_Data_Entry!BD284="","",Human_Data_Entry!BD284)</f>
        <v/>
      </c>
      <c r="N286" s="104">
        <f>IF(Human_Data_Entry!BE284="","",Human_Data_Entry!BE284)</f>
        <v/>
      </c>
      <c r="O286" s="105">
        <f>IF(Human_Data_Entry!BF284="","",Human_Data_Entry!BF284)</f>
        <v/>
      </c>
      <c r="P286" s="103">
        <f>IF(Human_Data_Entry!BG284="","",Human_Data_Entry!BG284)</f>
        <v/>
      </c>
      <c r="Q286" s="103">
        <f>IF(Human_Data_Entry!BL284="","",Human_Data_Entry!BL284)</f>
        <v/>
      </c>
      <c r="R286" s="103">
        <f>IF(Human_Data_Entry!BH284="","",Human_Data_Entry!BH284)</f>
        <v/>
      </c>
      <c r="S286" s="103">
        <f>IF(Human_Data_Entry!BI284="","",Human_Data_Entry!BI284)</f>
        <v/>
      </c>
      <c r="T286" s="103">
        <f>IF(Human_Data_Entry!BJ284="","",Human_Data_Entry!BJ284)</f>
        <v/>
      </c>
      <c r="U286" s="103">
        <f>IF(Human_Data_Entry!AP284="","",Human_Data_Entry!AP284)</f>
        <v/>
      </c>
      <c r="V286" s="103">
        <f>IF(Human_Data_Entry!AQ284="","",Human_Data_Entry!AQ284)</f>
        <v/>
      </c>
      <c r="W286" s="103">
        <f>IF(Human_Data_Entry!AR284="","",Human_Data_Entry!AR284)</f>
        <v/>
      </c>
      <c r="X286" s="103">
        <f>IF(Human_Data_Entry!BK284="","",Human_Data_Entry!BK284)</f>
        <v/>
      </c>
    </row>
    <row r="287" ht="15" customHeight="1" s="241">
      <c r="A287" s="103">
        <f>IF(Human_Data_Entry!A285="","",Human_Data_Entry!A285)</f>
        <v/>
      </c>
      <c r="B287" s="103">
        <f>IF(Human_Data_Entry!B285="","",Human_Data_Entry!B285)</f>
        <v/>
      </c>
      <c r="C287" s="104">
        <f>IF(Human_Data_Entry!C285="","",Human_Data_Entry!C285)</f>
        <v/>
      </c>
      <c r="D287" s="103">
        <f>IF(Human_Data_Entry!D285="","",Human_Data_Entry!D285)</f>
        <v/>
      </c>
      <c r="E287" s="103">
        <f>IF(Human_Data_Entry!G285="","",Human_Data_Entry!G285)</f>
        <v/>
      </c>
      <c r="F287" s="103">
        <f>IF(Human_Data_Entry!X285="","",Human_Data_Entry!X285)</f>
        <v/>
      </c>
      <c r="G287" s="103">
        <f>IF(Human_Data_Entry!AY285="","",Human_Data_Entry!AY285)</f>
        <v/>
      </c>
      <c r="H287" s="103">
        <f>IF(Human_Data_Entry!AS285="","",Human_Data_Entry!AS285)</f>
        <v/>
      </c>
      <c r="I287" s="103">
        <f>IF(Human_Data_Entry!F285="","",Human_Data_Entry!F285)</f>
        <v/>
      </c>
      <c r="J287" s="103">
        <f>IF(Human_Data_Entry!BA285="","",Human_Data_Entry!BA285)</f>
        <v/>
      </c>
      <c r="K287" s="103">
        <f>IF(Human_Data_Entry!BB285="","",Human_Data_Entry!BB285)</f>
        <v/>
      </c>
      <c r="L287" s="103">
        <f>IF(Human_Data_Entry!BC285="","",Human_Data_Entry!BC285)</f>
        <v/>
      </c>
      <c r="M287" s="104">
        <f>IF(Human_Data_Entry!BD285="","",Human_Data_Entry!BD285)</f>
        <v/>
      </c>
      <c r="N287" s="104">
        <f>IF(Human_Data_Entry!BE285="","",Human_Data_Entry!BE285)</f>
        <v/>
      </c>
      <c r="O287" s="105">
        <f>IF(Human_Data_Entry!BF285="","",Human_Data_Entry!BF285)</f>
        <v/>
      </c>
      <c r="P287" s="103">
        <f>IF(Human_Data_Entry!BG285="","",Human_Data_Entry!BG285)</f>
        <v/>
      </c>
      <c r="Q287" s="103">
        <f>IF(Human_Data_Entry!BL285="","",Human_Data_Entry!BL285)</f>
        <v/>
      </c>
      <c r="R287" s="103">
        <f>IF(Human_Data_Entry!BH285="","",Human_Data_Entry!BH285)</f>
        <v/>
      </c>
      <c r="S287" s="103">
        <f>IF(Human_Data_Entry!BI285="","",Human_Data_Entry!BI285)</f>
        <v/>
      </c>
      <c r="T287" s="103">
        <f>IF(Human_Data_Entry!BJ285="","",Human_Data_Entry!BJ285)</f>
        <v/>
      </c>
      <c r="U287" s="103">
        <f>IF(Human_Data_Entry!AP285="","",Human_Data_Entry!AP285)</f>
        <v/>
      </c>
      <c r="V287" s="103">
        <f>IF(Human_Data_Entry!AQ285="","",Human_Data_Entry!AQ285)</f>
        <v/>
      </c>
      <c r="W287" s="103">
        <f>IF(Human_Data_Entry!AR285="","",Human_Data_Entry!AR285)</f>
        <v/>
      </c>
      <c r="X287" s="103">
        <f>IF(Human_Data_Entry!BK285="","",Human_Data_Entry!BK285)</f>
        <v/>
      </c>
    </row>
    <row r="288" ht="15" customHeight="1" s="241">
      <c r="A288" s="103">
        <f>IF(Human_Data_Entry!A286="","",Human_Data_Entry!A286)</f>
        <v/>
      </c>
      <c r="B288" s="103">
        <f>IF(Human_Data_Entry!B286="","",Human_Data_Entry!B286)</f>
        <v/>
      </c>
      <c r="C288" s="104">
        <f>IF(Human_Data_Entry!C286="","",Human_Data_Entry!C286)</f>
        <v/>
      </c>
      <c r="D288" s="103">
        <f>IF(Human_Data_Entry!D286="","",Human_Data_Entry!D286)</f>
        <v/>
      </c>
      <c r="E288" s="103">
        <f>IF(Human_Data_Entry!G286="","",Human_Data_Entry!G286)</f>
        <v/>
      </c>
      <c r="F288" s="103">
        <f>IF(Human_Data_Entry!X286="","",Human_Data_Entry!X286)</f>
        <v/>
      </c>
      <c r="G288" s="103">
        <f>IF(Human_Data_Entry!AY286="","",Human_Data_Entry!AY286)</f>
        <v/>
      </c>
      <c r="H288" s="103">
        <f>IF(Human_Data_Entry!AS286="","",Human_Data_Entry!AS286)</f>
        <v/>
      </c>
      <c r="I288" s="103">
        <f>IF(Human_Data_Entry!F286="","",Human_Data_Entry!F286)</f>
        <v/>
      </c>
      <c r="J288" s="103">
        <f>IF(Human_Data_Entry!BA286="","",Human_Data_Entry!BA286)</f>
        <v/>
      </c>
      <c r="K288" s="103">
        <f>IF(Human_Data_Entry!BB286="","",Human_Data_Entry!BB286)</f>
        <v/>
      </c>
      <c r="L288" s="103">
        <f>IF(Human_Data_Entry!BC286="","",Human_Data_Entry!BC286)</f>
        <v/>
      </c>
      <c r="M288" s="104">
        <f>IF(Human_Data_Entry!BD286="","",Human_Data_Entry!BD286)</f>
        <v/>
      </c>
      <c r="N288" s="104">
        <f>IF(Human_Data_Entry!BE286="","",Human_Data_Entry!BE286)</f>
        <v/>
      </c>
      <c r="O288" s="105">
        <f>IF(Human_Data_Entry!BF286="","",Human_Data_Entry!BF286)</f>
        <v/>
      </c>
      <c r="P288" s="103">
        <f>IF(Human_Data_Entry!BG286="","",Human_Data_Entry!BG286)</f>
        <v/>
      </c>
      <c r="Q288" s="103">
        <f>IF(Human_Data_Entry!BL286="","",Human_Data_Entry!BL286)</f>
        <v/>
      </c>
      <c r="R288" s="103">
        <f>IF(Human_Data_Entry!BH286="","",Human_Data_Entry!BH286)</f>
        <v/>
      </c>
      <c r="S288" s="103">
        <f>IF(Human_Data_Entry!BI286="","",Human_Data_Entry!BI286)</f>
        <v/>
      </c>
      <c r="T288" s="103">
        <f>IF(Human_Data_Entry!BJ286="","",Human_Data_Entry!BJ286)</f>
        <v/>
      </c>
      <c r="U288" s="103">
        <f>IF(Human_Data_Entry!AP286="","",Human_Data_Entry!AP286)</f>
        <v/>
      </c>
      <c r="V288" s="103">
        <f>IF(Human_Data_Entry!AQ286="","",Human_Data_Entry!AQ286)</f>
        <v/>
      </c>
      <c r="W288" s="103">
        <f>IF(Human_Data_Entry!AR286="","",Human_Data_Entry!AR286)</f>
        <v/>
      </c>
      <c r="X288" s="103">
        <f>IF(Human_Data_Entry!BK286="","",Human_Data_Entry!BK286)</f>
        <v/>
      </c>
    </row>
    <row r="289" ht="15" customHeight="1" s="241">
      <c r="A289" s="103">
        <f>IF(Human_Data_Entry!A287="","",Human_Data_Entry!A287)</f>
        <v/>
      </c>
      <c r="B289" s="103">
        <f>IF(Human_Data_Entry!B287="","",Human_Data_Entry!B287)</f>
        <v/>
      </c>
      <c r="C289" s="104">
        <f>IF(Human_Data_Entry!C287="","",Human_Data_Entry!C287)</f>
        <v/>
      </c>
      <c r="D289" s="103">
        <f>IF(Human_Data_Entry!D287="","",Human_Data_Entry!D287)</f>
        <v/>
      </c>
      <c r="E289" s="103">
        <f>IF(Human_Data_Entry!G287="","",Human_Data_Entry!G287)</f>
        <v/>
      </c>
      <c r="F289" s="103">
        <f>IF(Human_Data_Entry!X287="","",Human_Data_Entry!X287)</f>
        <v/>
      </c>
      <c r="G289" s="103">
        <f>IF(Human_Data_Entry!AY287="","",Human_Data_Entry!AY287)</f>
        <v/>
      </c>
      <c r="H289" s="103">
        <f>IF(Human_Data_Entry!AS287="","",Human_Data_Entry!AS287)</f>
        <v/>
      </c>
      <c r="I289" s="103">
        <f>IF(Human_Data_Entry!F287="","",Human_Data_Entry!F287)</f>
        <v/>
      </c>
      <c r="J289" s="103">
        <f>IF(Human_Data_Entry!BA287="","",Human_Data_Entry!BA287)</f>
        <v/>
      </c>
      <c r="K289" s="103">
        <f>IF(Human_Data_Entry!BB287="","",Human_Data_Entry!BB287)</f>
        <v/>
      </c>
      <c r="L289" s="103">
        <f>IF(Human_Data_Entry!BC287="","",Human_Data_Entry!BC287)</f>
        <v/>
      </c>
      <c r="M289" s="104">
        <f>IF(Human_Data_Entry!BD287="","",Human_Data_Entry!BD287)</f>
        <v/>
      </c>
      <c r="N289" s="104">
        <f>IF(Human_Data_Entry!BE287="","",Human_Data_Entry!BE287)</f>
        <v/>
      </c>
      <c r="O289" s="105">
        <f>IF(Human_Data_Entry!BF287="","",Human_Data_Entry!BF287)</f>
        <v/>
      </c>
      <c r="P289" s="103">
        <f>IF(Human_Data_Entry!BG287="","",Human_Data_Entry!BG287)</f>
        <v/>
      </c>
      <c r="Q289" s="103">
        <f>IF(Human_Data_Entry!BL287="","",Human_Data_Entry!BL287)</f>
        <v/>
      </c>
      <c r="R289" s="103">
        <f>IF(Human_Data_Entry!BH287="","",Human_Data_Entry!BH287)</f>
        <v/>
      </c>
      <c r="S289" s="103">
        <f>IF(Human_Data_Entry!BI287="","",Human_Data_Entry!BI287)</f>
        <v/>
      </c>
      <c r="T289" s="103">
        <f>IF(Human_Data_Entry!BJ287="","",Human_Data_Entry!BJ287)</f>
        <v/>
      </c>
      <c r="U289" s="103">
        <f>IF(Human_Data_Entry!AP287="","",Human_Data_Entry!AP287)</f>
        <v/>
      </c>
      <c r="V289" s="103">
        <f>IF(Human_Data_Entry!AQ287="","",Human_Data_Entry!AQ287)</f>
        <v/>
      </c>
      <c r="W289" s="103">
        <f>IF(Human_Data_Entry!AR287="","",Human_Data_Entry!AR287)</f>
        <v/>
      </c>
      <c r="X289" s="103">
        <f>IF(Human_Data_Entry!BK287="","",Human_Data_Entry!BK287)</f>
        <v/>
      </c>
    </row>
    <row r="290" ht="15" customHeight="1" s="241">
      <c r="A290" s="103">
        <f>IF(Human_Data_Entry!A288="","",Human_Data_Entry!A288)</f>
        <v/>
      </c>
      <c r="B290" s="103">
        <f>IF(Human_Data_Entry!B288="","",Human_Data_Entry!B288)</f>
        <v/>
      </c>
      <c r="C290" s="104">
        <f>IF(Human_Data_Entry!C288="","",Human_Data_Entry!C288)</f>
        <v/>
      </c>
      <c r="D290" s="103">
        <f>IF(Human_Data_Entry!D288="","",Human_Data_Entry!D288)</f>
        <v/>
      </c>
      <c r="E290" s="103">
        <f>IF(Human_Data_Entry!G288="","",Human_Data_Entry!G288)</f>
        <v/>
      </c>
      <c r="F290" s="103">
        <f>IF(Human_Data_Entry!X288="","",Human_Data_Entry!X288)</f>
        <v/>
      </c>
      <c r="G290" s="103">
        <f>IF(Human_Data_Entry!AY288="","",Human_Data_Entry!AY288)</f>
        <v/>
      </c>
      <c r="H290" s="103">
        <f>IF(Human_Data_Entry!AS288="","",Human_Data_Entry!AS288)</f>
        <v/>
      </c>
      <c r="I290" s="103">
        <f>IF(Human_Data_Entry!F288="","",Human_Data_Entry!F288)</f>
        <v/>
      </c>
      <c r="J290" s="103">
        <f>IF(Human_Data_Entry!BA288="","",Human_Data_Entry!BA288)</f>
        <v/>
      </c>
      <c r="K290" s="103">
        <f>IF(Human_Data_Entry!BB288="","",Human_Data_Entry!BB288)</f>
        <v/>
      </c>
      <c r="L290" s="103">
        <f>IF(Human_Data_Entry!BC288="","",Human_Data_Entry!BC288)</f>
        <v/>
      </c>
      <c r="M290" s="104">
        <f>IF(Human_Data_Entry!BD288="","",Human_Data_Entry!BD288)</f>
        <v/>
      </c>
      <c r="N290" s="104">
        <f>IF(Human_Data_Entry!BE288="","",Human_Data_Entry!BE288)</f>
        <v/>
      </c>
      <c r="O290" s="105">
        <f>IF(Human_Data_Entry!BF288="","",Human_Data_Entry!BF288)</f>
        <v/>
      </c>
      <c r="P290" s="103">
        <f>IF(Human_Data_Entry!BG288="","",Human_Data_Entry!BG288)</f>
        <v/>
      </c>
      <c r="Q290" s="103">
        <f>IF(Human_Data_Entry!BL288="","",Human_Data_Entry!BL288)</f>
        <v/>
      </c>
      <c r="R290" s="103">
        <f>IF(Human_Data_Entry!BH288="","",Human_Data_Entry!BH288)</f>
        <v/>
      </c>
      <c r="S290" s="103">
        <f>IF(Human_Data_Entry!BI288="","",Human_Data_Entry!BI288)</f>
        <v/>
      </c>
      <c r="T290" s="103">
        <f>IF(Human_Data_Entry!BJ288="","",Human_Data_Entry!BJ288)</f>
        <v/>
      </c>
      <c r="U290" s="103">
        <f>IF(Human_Data_Entry!AP288="","",Human_Data_Entry!AP288)</f>
        <v/>
      </c>
      <c r="V290" s="103">
        <f>IF(Human_Data_Entry!AQ288="","",Human_Data_Entry!AQ288)</f>
        <v/>
      </c>
      <c r="W290" s="103">
        <f>IF(Human_Data_Entry!AR288="","",Human_Data_Entry!AR288)</f>
        <v/>
      </c>
      <c r="X290" s="103">
        <f>IF(Human_Data_Entry!BK288="","",Human_Data_Entry!BK288)</f>
        <v/>
      </c>
    </row>
    <row r="291" ht="15" customHeight="1" s="241">
      <c r="A291" s="103">
        <f>IF(Human_Data_Entry!A289="","",Human_Data_Entry!A289)</f>
        <v/>
      </c>
      <c r="B291" s="103">
        <f>IF(Human_Data_Entry!B289="","",Human_Data_Entry!B289)</f>
        <v/>
      </c>
      <c r="C291" s="104">
        <f>IF(Human_Data_Entry!C289="","",Human_Data_Entry!C289)</f>
        <v/>
      </c>
      <c r="D291" s="103">
        <f>IF(Human_Data_Entry!D289="","",Human_Data_Entry!D289)</f>
        <v/>
      </c>
      <c r="E291" s="103">
        <f>IF(Human_Data_Entry!G289="","",Human_Data_Entry!G289)</f>
        <v/>
      </c>
      <c r="F291" s="103">
        <f>IF(Human_Data_Entry!X289="","",Human_Data_Entry!X289)</f>
        <v/>
      </c>
      <c r="G291" s="103">
        <f>IF(Human_Data_Entry!AY289="","",Human_Data_Entry!AY289)</f>
        <v/>
      </c>
      <c r="H291" s="103">
        <f>IF(Human_Data_Entry!AS289="","",Human_Data_Entry!AS289)</f>
        <v/>
      </c>
      <c r="I291" s="103">
        <f>IF(Human_Data_Entry!F289="","",Human_Data_Entry!F289)</f>
        <v/>
      </c>
      <c r="J291" s="103">
        <f>IF(Human_Data_Entry!BA289="","",Human_Data_Entry!BA289)</f>
        <v/>
      </c>
      <c r="K291" s="103">
        <f>IF(Human_Data_Entry!BB289="","",Human_Data_Entry!BB289)</f>
        <v/>
      </c>
      <c r="L291" s="103">
        <f>IF(Human_Data_Entry!BC289="","",Human_Data_Entry!BC289)</f>
        <v/>
      </c>
      <c r="M291" s="104">
        <f>IF(Human_Data_Entry!BD289="","",Human_Data_Entry!BD289)</f>
        <v/>
      </c>
      <c r="N291" s="104">
        <f>IF(Human_Data_Entry!BE289="","",Human_Data_Entry!BE289)</f>
        <v/>
      </c>
      <c r="O291" s="105">
        <f>IF(Human_Data_Entry!BF289="","",Human_Data_Entry!BF289)</f>
        <v/>
      </c>
      <c r="P291" s="103">
        <f>IF(Human_Data_Entry!BG289="","",Human_Data_Entry!BG289)</f>
        <v/>
      </c>
      <c r="Q291" s="103">
        <f>IF(Human_Data_Entry!BL289="","",Human_Data_Entry!BL289)</f>
        <v/>
      </c>
      <c r="R291" s="103">
        <f>IF(Human_Data_Entry!BH289="","",Human_Data_Entry!BH289)</f>
        <v/>
      </c>
      <c r="S291" s="103">
        <f>IF(Human_Data_Entry!BI289="","",Human_Data_Entry!BI289)</f>
        <v/>
      </c>
      <c r="T291" s="103">
        <f>IF(Human_Data_Entry!BJ289="","",Human_Data_Entry!BJ289)</f>
        <v/>
      </c>
      <c r="U291" s="103">
        <f>IF(Human_Data_Entry!AP289="","",Human_Data_Entry!AP289)</f>
        <v/>
      </c>
      <c r="V291" s="103">
        <f>IF(Human_Data_Entry!AQ289="","",Human_Data_Entry!AQ289)</f>
        <v/>
      </c>
      <c r="W291" s="103">
        <f>IF(Human_Data_Entry!AR289="","",Human_Data_Entry!AR289)</f>
        <v/>
      </c>
      <c r="X291" s="103">
        <f>IF(Human_Data_Entry!BK289="","",Human_Data_Entry!BK289)</f>
        <v/>
      </c>
    </row>
    <row r="292" ht="15" customHeight="1" s="241">
      <c r="A292" s="103">
        <f>IF(Human_Data_Entry!A290="","",Human_Data_Entry!A290)</f>
        <v/>
      </c>
      <c r="B292" s="103">
        <f>IF(Human_Data_Entry!B290="","",Human_Data_Entry!B290)</f>
        <v/>
      </c>
      <c r="C292" s="104">
        <f>IF(Human_Data_Entry!C290="","",Human_Data_Entry!C290)</f>
        <v/>
      </c>
      <c r="D292" s="103">
        <f>IF(Human_Data_Entry!D290="","",Human_Data_Entry!D290)</f>
        <v/>
      </c>
      <c r="E292" s="103">
        <f>IF(Human_Data_Entry!G290="","",Human_Data_Entry!G290)</f>
        <v/>
      </c>
      <c r="F292" s="103">
        <f>IF(Human_Data_Entry!X290="","",Human_Data_Entry!X290)</f>
        <v/>
      </c>
      <c r="G292" s="103">
        <f>IF(Human_Data_Entry!AY290="","",Human_Data_Entry!AY290)</f>
        <v/>
      </c>
      <c r="H292" s="103">
        <f>IF(Human_Data_Entry!AS290="","",Human_Data_Entry!AS290)</f>
        <v/>
      </c>
      <c r="I292" s="103">
        <f>IF(Human_Data_Entry!F290="","",Human_Data_Entry!F290)</f>
        <v/>
      </c>
      <c r="J292" s="103">
        <f>IF(Human_Data_Entry!BA290="","",Human_Data_Entry!BA290)</f>
        <v/>
      </c>
      <c r="K292" s="103">
        <f>IF(Human_Data_Entry!BB290="","",Human_Data_Entry!BB290)</f>
        <v/>
      </c>
      <c r="L292" s="103">
        <f>IF(Human_Data_Entry!BC290="","",Human_Data_Entry!BC290)</f>
        <v/>
      </c>
      <c r="M292" s="104">
        <f>IF(Human_Data_Entry!BD290="","",Human_Data_Entry!BD290)</f>
        <v/>
      </c>
      <c r="N292" s="104">
        <f>IF(Human_Data_Entry!BE290="","",Human_Data_Entry!BE290)</f>
        <v/>
      </c>
      <c r="O292" s="105">
        <f>IF(Human_Data_Entry!BF290="","",Human_Data_Entry!BF290)</f>
        <v/>
      </c>
      <c r="P292" s="103">
        <f>IF(Human_Data_Entry!BG290="","",Human_Data_Entry!BG290)</f>
        <v/>
      </c>
      <c r="Q292" s="103">
        <f>IF(Human_Data_Entry!BL290="","",Human_Data_Entry!BL290)</f>
        <v/>
      </c>
      <c r="R292" s="103">
        <f>IF(Human_Data_Entry!BH290="","",Human_Data_Entry!BH290)</f>
        <v/>
      </c>
      <c r="S292" s="103">
        <f>IF(Human_Data_Entry!BI290="","",Human_Data_Entry!BI290)</f>
        <v/>
      </c>
      <c r="T292" s="103">
        <f>IF(Human_Data_Entry!BJ290="","",Human_Data_Entry!BJ290)</f>
        <v/>
      </c>
      <c r="U292" s="103">
        <f>IF(Human_Data_Entry!AP290="","",Human_Data_Entry!AP290)</f>
        <v/>
      </c>
      <c r="V292" s="103">
        <f>IF(Human_Data_Entry!AQ290="","",Human_Data_Entry!AQ290)</f>
        <v/>
      </c>
      <c r="W292" s="103">
        <f>IF(Human_Data_Entry!AR290="","",Human_Data_Entry!AR290)</f>
        <v/>
      </c>
      <c r="X292" s="103">
        <f>IF(Human_Data_Entry!BK290="","",Human_Data_Entry!BK290)</f>
        <v/>
      </c>
    </row>
    <row r="293" ht="15" customHeight="1" s="241">
      <c r="A293" s="103">
        <f>IF(Human_Data_Entry!A291="","",Human_Data_Entry!A291)</f>
        <v/>
      </c>
      <c r="B293" s="103">
        <f>IF(Human_Data_Entry!B291="","",Human_Data_Entry!B291)</f>
        <v/>
      </c>
      <c r="C293" s="104">
        <f>IF(Human_Data_Entry!C291="","",Human_Data_Entry!C291)</f>
        <v/>
      </c>
      <c r="D293" s="103">
        <f>IF(Human_Data_Entry!D291="","",Human_Data_Entry!D291)</f>
        <v/>
      </c>
      <c r="E293" s="103">
        <f>IF(Human_Data_Entry!G291="","",Human_Data_Entry!G291)</f>
        <v/>
      </c>
      <c r="F293" s="103">
        <f>IF(Human_Data_Entry!X291="","",Human_Data_Entry!X291)</f>
        <v/>
      </c>
      <c r="G293" s="103">
        <f>IF(Human_Data_Entry!AY291="","",Human_Data_Entry!AY291)</f>
        <v/>
      </c>
      <c r="H293" s="103">
        <f>IF(Human_Data_Entry!AS291="","",Human_Data_Entry!AS291)</f>
        <v/>
      </c>
      <c r="I293" s="103">
        <f>IF(Human_Data_Entry!F291="","",Human_Data_Entry!F291)</f>
        <v/>
      </c>
      <c r="J293" s="103">
        <f>IF(Human_Data_Entry!BA291="","",Human_Data_Entry!BA291)</f>
        <v/>
      </c>
      <c r="K293" s="103">
        <f>IF(Human_Data_Entry!BB291="","",Human_Data_Entry!BB291)</f>
        <v/>
      </c>
      <c r="L293" s="103">
        <f>IF(Human_Data_Entry!BC291="","",Human_Data_Entry!BC291)</f>
        <v/>
      </c>
      <c r="M293" s="104">
        <f>IF(Human_Data_Entry!BD291="","",Human_Data_Entry!BD291)</f>
        <v/>
      </c>
      <c r="N293" s="104">
        <f>IF(Human_Data_Entry!BE291="","",Human_Data_Entry!BE291)</f>
        <v/>
      </c>
      <c r="O293" s="105">
        <f>IF(Human_Data_Entry!BF291="","",Human_Data_Entry!BF291)</f>
        <v/>
      </c>
      <c r="P293" s="103">
        <f>IF(Human_Data_Entry!BG291="","",Human_Data_Entry!BG291)</f>
        <v/>
      </c>
      <c r="Q293" s="103">
        <f>IF(Human_Data_Entry!BL291="","",Human_Data_Entry!BL291)</f>
        <v/>
      </c>
      <c r="R293" s="103">
        <f>IF(Human_Data_Entry!BH291="","",Human_Data_Entry!BH291)</f>
        <v/>
      </c>
      <c r="S293" s="103">
        <f>IF(Human_Data_Entry!BI291="","",Human_Data_Entry!BI291)</f>
        <v/>
      </c>
      <c r="T293" s="103">
        <f>IF(Human_Data_Entry!BJ291="","",Human_Data_Entry!BJ291)</f>
        <v/>
      </c>
      <c r="U293" s="103">
        <f>IF(Human_Data_Entry!AP291="","",Human_Data_Entry!AP291)</f>
        <v/>
      </c>
      <c r="V293" s="103">
        <f>IF(Human_Data_Entry!AQ291="","",Human_Data_Entry!AQ291)</f>
        <v/>
      </c>
      <c r="W293" s="103">
        <f>IF(Human_Data_Entry!AR291="","",Human_Data_Entry!AR291)</f>
        <v/>
      </c>
      <c r="X293" s="103">
        <f>IF(Human_Data_Entry!BK291="","",Human_Data_Entry!BK291)</f>
        <v/>
      </c>
    </row>
    <row r="294" ht="15" customHeight="1" s="241">
      <c r="A294" s="103">
        <f>IF(Human_Data_Entry!A292="","",Human_Data_Entry!A292)</f>
        <v/>
      </c>
      <c r="B294" s="103">
        <f>IF(Human_Data_Entry!B292="","",Human_Data_Entry!B292)</f>
        <v/>
      </c>
      <c r="C294" s="104">
        <f>IF(Human_Data_Entry!C292="","",Human_Data_Entry!C292)</f>
        <v/>
      </c>
      <c r="D294" s="103">
        <f>IF(Human_Data_Entry!D292="","",Human_Data_Entry!D292)</f>
        <v/>
      </c>
      <c r="E294" s="103">
        <f>IF(Human_Data_Entry!G292="","",Human_Data_Entry!G292)</f>
        <v/>
      </c>
      <c r="F294" s="103">
        <f>IF(Human_Data_Entry!X292="","",Human_Data_Entry!X292)</f>
        <v/>
      </c>
      <c r="G294" s="103">
        <f>IF(Human_Data_Entry!AY292="","",Human_Data_Entry!AY292)</f>
        <v/>
      </c>
      <c r="H294" s="103">
        <f>IF(Human_Data_Entry!AS292="","",Human_Data_Entry!AS292)</f>
        <v/>
      </c>
      <c r="I294" s="103">
        <f>IF(Human_Data_Entry!F292="","",Human_Data_Entry!F292)</f>
        <v/>
      </c>
      <c r="J294" s="103">
        <f>IF(Human_Data_Entry!BA292="","",Human_Data_Entry!BA292)</f>
        <v/>
      </c>
      <c r="K294" s="103">
        <f>IF(Human_Data_Entry!BB292="","",Human_Data_Entry!BB292)</f>
        <v/>
      </c>
      <c r="L294" s="103">
        <f>IF(Human_Data_Entry!BC292="","",Human_Data_Entry!BC292)</f>
        <v/>
      </c>
      <c r="M294" s="104">
        <f>IF(Human_Data_Entry!BD292="","",Human_Data_Entry!BD292)</f>
        <v/>
      </c>
      <c r="N294" s="104">
        <f>IF(Human_Data_Entry!BE292="","",Human_Data_Entry!BE292)</f>
        <v/>
      </c>
      <c r="O294" s="105">
        <f>IF(Human_Data_Entry!BF292="","",Human_Data_Entry!BF292)</f>
        <v/>
      </c>
      <c r="P294" s="103">
        <f>IF(Human_Data_Entry!BG292="","",Human_Data_Entry!BG292)</f>
        <v/>
      </c>
      <c r="Q294" s="103">
        <f>IF(Human_Data_Entry!BL292="","",Human_Data_Entry!BL292)</f>
        <v/>
      </c>
      <c r="R294" s="103">
        <f>IF(Human_Data_Entry!BH292="","",Human_Data_Entry!BH292)</f>
        <v/>
      </c>
      <c r="S294" s="103">
        <f>IF(Human_Data_Entry!BI292="","",Human_Data_Entry!BI292)</f>
        <v/>
      </c>
      <c r="T294" s="103">
        <f>IF(Human_Data_Entry!BJ292="","",Human_Data_Entry!BJ292)</f>
        <v/>
      </c>
      <c r="U294" s="103">
        <f>IF(Human_Data_Entry!AP292="","",Human_Data_Entry!AP292)</f>
        <v/>
      </c>
      <c r="V294" s="103">
        <f>IF(Human_Data_Entry!AQ292="","",Human_Data_Entry!AQ292)</f>
        <v/>
      </c>
      <c r="W294" s="103">
        <f>IF(Human_Data_Entry!AR292="","",Human_Data_Entry!AR292)</f>
        <v/>
      </c>
      <c r="X294" s="103">
        <f>IF(Human_Data_Entry!BK292="","",Human_Data_Entry!BK292)</f>
        <v/>
      </c>
    </row>
    <row r="295" ht="15" customHeight="1" s="241">
      <c r="A295" s="103">
        <f>IF(Human_Data_Entry!A293="","",Human_Data_Entry!A293)</f>
        <v/>
      </c>
      <c r="B295" s="103">
        <f>IF(Human_Data_Entry!B293="","",Human_Data_Entry!B293)</f>
        <v/>
      </c>
      <c r="C295" s="104">
        <f>IF(Human_Data_Entry!C293="","",Human_Data_Entry!C293)</f>
        <v/>
      </c>
      <c r="D295" s="103">
        <f>IF(Human_Data_Entry!D293="","",Human_Data_Entry!D293)</f>
        <v/>
      </c>
      <c r="E295" s="103">
        <f>IF(Human_Data_Entry!G293="","",Human_Data_Entry!G293)</f>
        <v/>
      </c>
      <c r="F295" s="103">
        <f>IF(Human_Data_Entry!X293="","",Human_Data_Entry!X293)</f>
        <v/>
      </c>
      <c r="G295" s="103">
        <f>IF(Human_Data_Entry!AY293="","",Human_Data_Entry!AY293)</f>
        <v/>
      </c>
      <c r="H295" s="103">
        <f>IF(Human_Data_Entry!AS293="","",Human_Data_Entry!AS293)</f>
        <v/>
      </c>
      <c r="I295" s="103">
        <f>IF(Human_Data_Entry!F293="","",Human_Data_Entry!F293)</f>
        <v/>
      </c>
      <c r="J295" s="103">
        <f>IF(Human_Data_Entry!BA293="","",Human_Data_Entry!BA293)</f>
        <v/>
      </c>
      <c r="K295" s="103">
        <f>IF(Human_Data_Entry!BB293="","",Human_Data_Entry!BB293)</f>
        <v/>
      </c>
      <c r="L295" s="103">
        <f>IF(Human_Data_Entry!BC293="","",Human_Data_Entry!BC293)</f>
        <v/>
      </c>
      <c r="M295" s="104">
        <f>IF(Human_Data_Entry!BD293="","",Human_Data_Entry!BD293)</f>
        <v/>
      </c>
      <c r="N295" s="104">
        <f>IF(Human_Data_Entry!BE293="","",Human_Data_Entry!BE293)</f>
        <v/>
      </c>
      <c r="O295" s="105">
        <f>IF(Human_Data_Entry!BF293="","",Human_Data_Entry!BF293)</f>
        <v/>
      </c>
      <c r="P295" s="103">
        <f>IF(Human_Data_Entry!BG293="","",Human_Data_Entry!BG293)</f>
        <v/>
      </c>
      <c r="Q295" s="103">
        <f>IF(Human_Data_Entry!BL293="","",Human_Data_Entry!BL293)</f>
        <v/>
      </c>
      <c r="R295" s="103">
        <f>IF(Human_Data_Entry!BH293="","",Human_Data_Entry!BH293)</f>
        <v/>
      </c>
      <c r="S295" s="103">
        <f>IF(Human_Data_Entry!BI293="","",Human_Data_Entry!BI293)</f>
        <v/>
      </c>
      <c r="T295" s="103">
        <f>IF(Human_Data_Entry!BJ293="","",Human_Data_Entry!BJ293)</f>
        <v/>
      </c>
      <c r="U295" s="103">
        <f>IF(Human_Data_Entry!AP293="","",Human_Data_Entry!AP293)</f>
        <v/>
      </c>
      <c r="V295" s="103">
        <f>IF(Human_Data_Entry!AQ293="","",Human_Data_Entry!AQ293)</f>
        <v/>
      </c>
      <c r="W295" s="103">
        <f>IF(Human_Data_Entry!AR293="","",Human_Data_Entry!AR293)</f>
        <v/>
      </c>
      <c r="X295" s="103">
        <f>IF(Human_Data_Entry!BK293="","",Human_Data_Entry!BK293)</f>
        <v/>
      </c>
    </row>
    <row r="296" ht="15" customHeight="1" s="241">
      <c r="A296" s="103">
        <f>IF(Human_Data_Entry!A294="","",Human_Data_Entry!A294)</f>
        <v/>
      </c>
      <c r="B296" s="103">
        <f>IF(Human_Data_Entry!B294="","",Human_Data_Entry!B294)</f>
        <v/>
      </c>
      <c r="C296" s="104">
        <f>IF(Human_Data_Entry!C294="","",Human_Data_Entry!C294)</f>
        <v/>
      </c>
      <c r="D296" s="103">
        <f>IF(Human_Data_Entry!D294="","",Human_Data_Entry!D294)</f>
        <v/>
      </c>
      <c r="E296" s="103">
        <f>IF(Human_Data_Entry!G294="","",Human_Data_Entry!G294)</f>
        <v/>
      </c>
      <c r="F296" s="103">
        <f>IF(Human_Data_Entry!X294="","",Human_Data_Entry!X294)</f>
        <v/>
      </c>
      <c r="G296" s="103">
        <f>IF(Human_Data_Entry!AY294="","",Human_Data_Entry!AY294)</f>
        <v/>
      </c>
      <c r="H296" s="103">
        <f>IF(Human_Data_Entry!AS294="","",Human_Data_Entry!AS294)</f>
        <v/>
      </c>
      <c r="I296" s="103">
        <f>IF(Human_Data_Entry!F294="","",Human_Data_Entry!F294)</f>
        <v/>
      </c>
      <c r="J296" s="103">
        <f>IF(Human_Data_Entry!BA294="","",Human_Data_Entry!BA294)</f>
        <v/>
      </c>
      <c r="K296" s="103">
        <f>IF(Human_Data_Entry!BB294="","",Human_Data_Entry!BB294)</f>
        <v/>
      </c>
      <c r="L296" s="103">
        <f>IF(Human_Data_Entry!BC294="","",Human_Data_Entry!BC294)</f>
        <v/>
      </c>
      <c r="M296" s="104">
        <f>IF(Human_Data_Entry!BD294="","",Human_Data_Entry!BD294)</f>
        <v/>
      </c>
      <c r="N296" s="104">
        <f>IF(Human_Data_Entry!BE294="","",Human_Data_Entry!BE294)</f>
        <v/>
      </c>
      <c r="O296" s="105">
        <f>IF(Human_Data_Entry!BF294="","",Human_Data_Entry!BF294)</f>
        <v/>
      </c>
      <c r="P296" s="103">
        <f>IF(Human_Data_Entry!BG294="","",Human_Data_Entry!BG294)</f>
        <v/>
      </c>
      <c r="Q296" s="103">
        <f>IF(Human_Data_Entry!BL294="","",Human_Data_Entry!BL294)</f>
        <v/>
      </c>
      <c r="R296" s="103">
        <f>IF(Human_Data_Entry!BH294="","",Human_Data_Entry!BH294)</f>
        <v/>
      </c>
      <c r="S296" s="103">
        <f>IF(Human_Data_Entry!BI294="","",Human_Data_Entry!BI294)</f>
        <v/>
      </c>
      <c r="T296" s="103">
        <f>IF(Human_Data_Entry!BJ294="","",Human_Data_Entry!BJ294)</f>
        <v/>
      </c>
      <c r="U296" s="103">
        <f>IF(Human_Data_Entry!AP294="","",Human_Data_Entry!AP294)</f>
        <v/>
      </c>
      <c r="V296" s="103">
        <f>IF(Human_Data_Entry!AQ294="","",Human_Data_Entry!AQ294)</f>
        <v/>
      </c>
      <c r="W296" s="103">
        <f>IF(Human_Data_Entry!AR294="","",Human_Data_Entry!AR294)</f>
        <v/>
      </c>
      <c r="X296" s="103">
        <f>IF(Human_Data_Entry!BK294="","",Human_Data_Entry!BK294)</f>
        <v/>
      </c>
    </row>
    <row r="297" ht="15" customHeight="1" s="241">
      <c r="A297" s="103">
        <f>IF(Human_Data_Entry!A295="","",Human_Data_Entry!A295)</f>
        <v/>
      </c>
      <c r="B297" s="103">
        <f>IF(Human_Data_Entry!B295="","",Human_Data_Entry!B295)</f>
        <v/>
      </c>
      <c r="C297" s="104">
        <f>IF(Human_Data_Entry!C295="","",Human_Data_Entry!C295)</f>
        <v/>
      </c>
      <c r="D297" s="103">
        <f>IF(Human_Data_Entry!D295="","",Human_Data_Entry!D295)</f>
        <v/>
      </c>
      <c r="E297" s="103">
        <f>IF(Human_Data_Entry!G295="","",Human_Data_Entry!G295)</f>
        <v/>
      </c>
      <c r="F297" s="103">
        <f>IF(Human_Data_Entry!X295="","",Human_Data_Entry!X295)</f>
        <v/>
      </c>
      <c r="G297" s="103">
        <f>IF(Human_Data_Entry!AY295="","",Human_Data_Entry!AY295)</f>
        <v/>
      </c>
      <c r="H297" s="103">
        <f>IF(Human_Data_Entry!AS295="","",Human_Data_Entry!AS295)</f>
        <v/>
      </c>
      <c r="I297" s="103">
        <f>IF(Human_Data_Entry!F295="","",Human_Data_Entry!F295)</f>
        <v/>
      </c>
      <c r="J297" s="103">
        <f>IF(Human_Data_Entry!BA295="","",Human_Data_Entry!BA295)</f>
        <v/>
      </c>
      <c r="K297" s="103">
        <f>IF(Human_Data_Entry!BB295="","",Human_Data_Entry!BB295)</f>
        <v/>
      </c>
      <c r="L297" s="103">
        <f>IF(Human_Data_Entry!BC295="","",Human_Data_Entry!BC295)</f>
        <v/>
      </c>
      <c r="M297" s="104">
        <f>IF(Human_Data_Entry!BD295="","",Human_Data_Entry!BD295)</f>
        <v/>
      </c>
      <c r="N297" s="104">
        <f>IF(Human_Data_Entry!BE295="","",Human_Data_Entry!BE295)</f>
        <v/>
      </c>
      <c r="O297" s="105">
        <f>IF(Human_Data_Entry!BF295="","",Human_Data_Entry!BF295)</f>
        <v/>
      </c>
      <c r="P297" s="103">
        <f>IF(Human_Data_Entry!BG295="","",Human_Data_Entry!BG295)</f>
        <v/>
      </c>
      <c r="Q297" s="103">
        <f>IF(Human_Data_Entry!BL295="","",Human_Data_Entry!BL295)</f>
        <v/>
      </c>
      <c r="R297" s="103">
        <f>IF(Human_Data_Entry!BH295="","",Human_Data_Entry!BH295)</f>
        <v/>
      </c>
      <c r="S297" s="103">
        <f>IF(Human_Data_Entry!BI295="","",Human_Data_Entry!BI295)</f>
        <v/>
      </c>
      <c r="T297" s="103">
        <f>IF(Human_Data_Entry!BJ295="","",Human_Data_Entry!BJ295)</f>
        <v/>
      </c>
      <c r="U297" s="103">
        <f>IF(Human_Data_Entry!AP295="","",Human_Data_Entry!AP295)</f>
        <v/>
      </c>
      <c r="V297" s="103">
        <f>IF(Human_Data_Entry!AQ295="","",Human_Data_Entry!AQ295)</f>
        <v/>
      </c>
      <c r="W297" s="103">
        <f>IF(Human_Data_Entry!AR295="","",Human_Data_Entry!AR295)</f>
        <v/>
      </c>
      <c r="X297" s="103">
        <f>IF(Human_Data_Entry!BK295="","",Human_Data_Entry!BK295)</f>
        <v/>
      </c>
    </row>
    <row r="298" ht="15" customHeight="1" s="241">
      <c r="A298" s="103">
        <f>IF(Human_Data_Entry!A296="","",Human_Data_Entry!A296)</f>
        <v/>
      </c>
      <c r="B298" s="103">
        <f>IF(Human_Data_Entry!B296="","",Human_Data_Entry!B296)</f>
        <v/>
      </c>
      <c r="C298" s="104">
        <f>IF(Human_Data_Entry!C296="","",Human_Data_Entry!C296)</f>
        <v/>
      </c>
      <c r="D298" s="103">
        <f>IF(Human_Data_Entry!D296="","",Human_Data_Entry!D296)</f>
        <v/>
      </c>
      <c r="E298" s="103">
        <f>IF(Human_Data_Entry!G296="","",Human_Data_Entry!G296)</f>
        <v/>
      </c>
      <c r="F298" s="103">
        <f>IF(Human_Data_Entry!X296="","",Human_Data_Entry!X296)</f>
        <v/>
      </c>
      <c r="G298" s="103">
        <f>IF(Human_Data_Entry!AY296="","",Human_Data_Entry!AY296)</f>
        <v/>
      </c>
      <c r="H298" s="103">
        <f>IF(Human_Data_Entry!AS296="","",Human_Data_Entry!AS296)</f>
        <v/>
      </c>
      <c r="I298" s="103">
        <f>IF(Human_Data_Entry!F296="","",Human_Data_Entry!F296)</f>
        <v/>
      </c>
      <c r="J298" s="103">
        <f>IF(Human_Data_Entry!BA296="","",Human_Data_Entry!BA296)</f>
        <v/>
      </c>
      <c r="K298" s="103">
        <f>IF(Human_Data_Entry!BB296="","",Human_Data_Entry!BB296)</f>
        <v/>
      </c>
      <c r="L298" s="103">
        <f>IF(Human_Data_Entry!BC296="","",Human_Data_Entry!BC296)</f>
        <v/>
      </c>
      <c r="M298" s="104">
        <f>IF(Human_Data_Entry!BD296="","",Human_Data_Entry!BD296)</f>
        <v/>
      </c>
      <c r="N298" s="104">
        <f>IF(Human_Data_Entry!BE296="","",Human_Data_Entry!BE296)</f>
        <v/>
      </c>
      <c r="O298" s="105">
        <f>IF(Human_Data_Entry!BF296="","",Human_Data_Entry!BF296)</f>
        <v/>
      </c>
      <c r="P298" s="103">
        <f>IF(Human_Data_Entry!BG296="","",Human_Data_Entry!BG296)</f>
        <v/>
      </c>
      <c r="Q298" s="103">
        <f>IF(Human_Data_Entry!BL296="","",Human_Data_Entry!BL296)</f>
        <v/>
      </c>
      <c r="R298" s="103">
        <f>IF(Human_Data_Entry!BH296="","",Human_Data_Entry!BH296)</f>
        <v/>
      </c>
      <c r="S298" s="103">
        <f>IF(Human_Data_Entry!BI296="","",Human_Data_Entry!BI296)</f>
        <v/>
      </c>
      <c r="T298" s="103">
        <f>IF(Human_Data_Entry!BJ296="","",Human_Data_Entry!BJ296)</f>
        <v/>
      </c>
      <c r="U298" s="103">
        <f>IF(Human_Data_Entry!AP296="","",Human_Data_Entry!AP296)</f>
        <v/>
      </c>
      <c r="V298" s="103">
        <f>IF(Human_Data_Entry!AQ296="","",Human_Data_Entry!AQ296)</f>
        <v/>
      </c>
      <c r="W298" s="103">
        <f>IF(Human_Data_Entry!AR296="","",Human_Data_Entry!AR296)</f>
        <v/>
      </c>
      <c r="X298" s="103">
        <f>IF(Human_Data_Entry!BK296="","",Human_Data_Entry!BK296)</f>
        <v/>
      </c>
    </row>
    <row r="299" ht="15" customHeight="1" s="241">
      <c r="A299" s="103">
        <f>IF(Human_Data_Entry!A297="","",Human_Data_Entry!A297)</f>
        <v/>
      </c>
      <c r="B299" s="103">
        <f>IF(Human_Data_Entry!B297="","",Human_Data_Entry!B297)</f>
        <v/>
      </c>
      <c r="C299" s="104">
        <f>IF(Human_Data_Entry!C297="","",Human_Data_Entry!C297)</f>
        <v/>
      </c>
      <c r="D299" s="103">
        <f>IF(Human_Data_Entry!D297="","",Human_Data_Entry!D297)</f>
        <v/>
      </c>
      <c r="E299" s="103">
        <f>IF(Human_Data_Entry!G297="","",Human_Data_Entry!G297)</f>
        <v/>
      </c>
      <c r="F299" s="103">
        <f>IF(Human_Data_Entry!X297="","",Human_Data_Entry!X297)</f>
        <v/>
      </c>
      <c r="G299" s="103">
        <f>IF(Human_Data_Entry!AY297="","",Human_Data_Entry!AY297)</f>
        <v/>
      </c>
      <c r="H299" s="103">
        <f>IF(Human_Data_Entry!AS297="","",Human_Data_Entry!AS297)</f>
        <v/>
      </c>
      <c r="I299" s="103">
        <f>IF(Human_Data_Entry!F297="","",Human_Data_Entry!F297)</f>
        <v/>
      </c>
      <c r="J299" s="103">
        <f>IF(Human_Data_Entry!BA297="","",Human_Data_Entry!BA297)</f>
        <v/>
      </c>
      <c r="K299" s="103">
        <f>IF(Human_Data_Entry!BB297="","",Human_Data_Entry!BB297)</f>
        <v/>
      </c>
      <c r="L299" s="103">
        <f>IF(Human_Data_Entry!BC297="","",Human_Data_Entry!BC297)</f>
        <v/>
      </c>
      <c r="M299" s="104">
        <f>IF(Human_Data_Entry!BD297="","",Human_Data_Entry!BD297)</f>
        <v/>
      </c>
      <c r="N299" s="104">
        <f>IF(Human_Data_Entry!BE297="","",Human_Data_Entry!BE297)</f>
        <v/>
      </c>
      <c r="O299" s="105">
        <f>IF(Human_Data_Entry!BF297="","",Human_Data_Entry!BF297)</f>
        <v/>
      </c>
      <c r="P299" s="103">
        <f>IF(Human_Data_Entry!BG297="","",Human_Data_Entry!BG297)</f>
        <v/>
      </c>
      <c r="Q299" s="103">
        <f>IF(Human_Data_Entry!BL297="","",Human_Data_Entry!BL297)</f>
        <v/>
      </c>
      <c r="R299" s="103">
        <f>IF(Human_Data_Entry!BH297="","",Human_Data_Entry!BH297)</f>
        <v/>
      </c>
      <c r="S299" s="103">
        <f>IF(Human_Data_Entry!BI297="","",Human_Data_Entry!BI297)</f>
        <v/>
      </c>
      <c r="T299" s="103">
        <f>IF(Human_Data_Entry!BJ297="","",Human_Data_Entry!BJ297)</f>
        <v/>
      </c>
      <c r="U299" s="103">
        <f>IF(Human_Data_Entry!AP297="","",Human_Data_Entry!AP297)</f>
        <v/>
      </c>
      <c r="V299" s="103">
        <f>IF(Human_Data_Entry!AQ297="","",Human_Data_Entry!AQ297)</f>
        <v/>
      </c>
      <c r="W299" s="103">
        <f>IF(Human_Data_Entry!AR297="","",Human_Data_Entry!AR297)</f>
        <v/>
      </c>
      <c r="X299" s="103">
        <f>IF(Human_Data_Entry!BK297="","",Human_Data_Entry!BK297)</f>
        <v/>
      </c>
    </row>
    <row r="300" ht="15" customHeight="1" s="241">
      <c r="A300" s="103">
        <f>IF(Human_Data_Entry!A298="","",Human_Data_Entry!A298)</f>
        <v/>
      </c>
      <c r="B300" s="103">
        <f>IF(Human_Data_Entry!B298="","",Human_Data_Entry!B298)</f>
        <v/>
      </c>
      <c r="C300" s="104">
        <f>IF(Human_Data_Entry!C298="","",Human_Data_Entry!C298)</f>
        <v/>
      </c>
      <c r="D300" s="103">
        <f>IF(Human_Data_Entry!D298="","",Human_Data_Entry!D298)</f>
        <v/>
      </c>
      <c r="E300" s="103">
        <f>IF(Human_Data_Entry!G298="","",Human_Data_Entry!G298)</f>
        <v/>
      </c>
      <c r="F300" s="103">
        <f>IF(Human_Data_Entry!X298="","",Human_Data_Entry!X298)</f>
        <v/>
      </c>
      <c r="G300" s="103">
        <f>IF(Human_Data_Entry!AY298="","",Human_Data_Entry!AY298)</f>
        <v/>
      </c>
      <c r="H300" s="103">
        <f>IF(Human_Data_Entry!AS298="","",Human_Data_Entry!AS298)</f>
        <v/>
      </c>
      <c r="I300" s="103">
        <f>IF(Human_Data_Entry!F298="","",Human_Data_Entry!F298)</f>
        <v/>
      </c>
      <c r="J300" s="103">
        <f>IF(Human_Data_Entry!BA298="","",Human_Data_Entry!BA298)</f>
        <v/>
      </c>
      <c r="K300" s="103">
        <f>IF(Human_Data_Entry!BB298="","",Human_Data_Entry!BB298)</f>
        <v/>
      </c>
      <c r="L300" s="103">
        <f>IF(Human_Data_Entry!BC298="","",Human_Data_Entry!BC298)</f>
        <v/>
      </c>
      <c r="M300" s="104">
        <f>IF(Human_Data_Entry!BD298="","",Human_Data_Entry!BD298)</f>
        <v/>
      </c>
      <c r="N300" s="104">
        <f>IF(Human_Data_Entry!BE298="","",Human_Data_Entry!BE298)</f>
        <v/>
      </c>
      <c r="O300" s="105">
        <f>IF(Human_Data_Entry!BF298="","",Human_Data_Entry!BF298)</f>
        <v/>
      </c>
      <c r="P300" s="103">
        <f>IF(Human_Data_Entry!BG298="","",Human_Data_Entry!BG298)</f>
        <v/>
      </c>
      <c r="Q300" s="103">
        <f>IF(Human_Data_Entry!BL298="","",Human_Data_Entry!BL298)</f>
        <v/>
      </c>
      <c r="R300" s="103">
        <f>IF(Human_Data_Entry!BH298="","",Human_Data_Entry!BH298)</f>
        <v/>
      </c>
      <c r="S300" s="103">
        <f>IF(Human_Data_Entry!BI298="","",Human_Data_Entry!BI298)</f>
        <v/>
      </c>
      <c r="T300" s="103">
        <f>IF(Human_Data_Entry!BJ298="","",Human_Data_Entry!BJ298)</f>
        <v/>
      </c>
      <c r="U300" s="103">
        <f>IF(Human_Data_Entry!AP298="","",Human_Data_Entry!AP298)</f>
        <v/>
      </c>
      <c r="V300" s="103">
        <f>IF(Human_Data_Entry!AQ298="","",Human_Data_Entry!AQ298)</f>
        <v/>
      </c>
      <c r="W300" s="103">
        <f>IF(Human_Data_Entry!AR298="","",Human_Data_Entry!AR298)</f>
        <v/>
      </c>
      <c r="X300" s="103">
        <f>IF(Human_Data_Entry!BK298="","",Human_Data_Entry!BK298)</f>
        <v/>
      </c>
    </row>
    <row r="301" ht="15" customHeight="1" s="241">
      <c r="A301" s="103">
        <f>IF(Human_Data_Entry!A299="","",Human_Data_Entry!A299)</f>
        <v/>
      </c>
      <c r="B301" s="103">
        <f>IF(Human_Data_Entry!B299="","",Human_Data_Entry!B299)</f>
        <v/>
      </c>
      <c r="C301" s="104">
        <f>IF(Human_Data_Entry!C299="","",Human_Data_Entry!C299)</f>
        <v/>
      </c>
      <c r="D301" s="103">
        <f>IF(Human_Data_Entry!D299="","",Human_Data_Entry!D299)</f>
        <v/>
      </c>
      <c r="E301" s="103">
        <f>IF(Human_Data_Entry!G299="","",Human_Data_Entry!G299)</f>
        <v/>
      </c>
      <c r="F301" s="103">
        <f>IF(Human_Data_Entry!X299="","",Human_Data_Entry!X299)</f>
        <v/>
      </c>
      <c r="G301" s="103">
        <f>IF(Human_Data_Entry!AY299="","",Human_Data_Entry!AY299)</f>
        <v/>
      </c>
      <c r="H301" s="103">
        <f>IF(Human_Data_Entry!AS299="","",Human_Data_Entry!AS299)</f>
        <v/>
      </c>
      <c r="I301" s="103">
        <f>IF(Human_Data_Entry!F299="","",Human_Data_Entry!F299)</f>
        <v/>
      </c>
      <c r="J301" s="103">
        <f>IF(Human_Data_Entry!BA299="","",Human_Data_Entry!BA299)</f>
        <v/>
      </c>
      <c r="K301" s="103">
        <f>IF(Human_Data_Entry!BB299="","",Human_Data_Entry!BB299)</f>
        <v/>
      </c>
      <c r="L301" s="103">
        <f>IF(Human_Data_Entry!BC299="","",Human_Data_Entry!BC299)</f>
        <v/>
      </c>
      <c r="M301" s="104">
        <f>IF(Human_Data_Entry!BD299="","",Human_Data_Entry!BD299)</f>
        <v/>
      </c>
      <c r="N301" s="104">
        <f>IF(Human_Data_Entry!BE299="","",Human_Data_Entry!BE299)</f>
        <v/>
      </c>
      <c r="O301" s="105">
        <f>IF(Human_Data_Entry!BF299="","",Human_Data_Entry!BF299)</f>
        <v/>
      </c>
      <c r="P301" s="103">
        <f>IF(Human_Data_Entry!BG299="","",Human_Data_Entry!BG299)</f>
        <v/>
      </c>
      <c r="Q301" s="103">
        <f>IF(Human_Data_Entry!BL299="","",Human_Data_Entry!BL299)</f>
        <v/>
      </c>
      <c r="R301" s="103">
        <f>IF(Human_Data_Entry!BH299="","",Human_Data_Entry!BH299)</f>
        <v/>
      </c>
      <c r="S301" s="103">
        <f>IF(Human_Data_Entry!BI299="","",Human_Data_Entry!BI299)</f>
        <v/>
      </c>
      <c r="T301" s="103">
        <f>IF(Human_Data_Entry!BJ299="","",Human_Data_Entry!BJ299)</f>
        <v/>
      </c>
      <c r="U301" s="103">
        <f>IF(Human_Data_Entry!AP299="","",Human_Data_Entry!AP299)</f>
        <v/>
      </c>
      <c r="V301" s="103">
        <f>IF(Human_Data_Entry!AQ299="","",Human_Data_Entry!AQ299)</f>
        <v/>
      </c>
      <c r="W301" s="103">
        <f>IF(Human_Data_Entry!AR299="","",Human_Data_Entry!AR299)</f>
        <v/>
      </c>
      <c r="X301" s="103">
        <f>IF(Human_Data_Entry!BK299="","",Human_Data_Entry!BK299)</f>
        <v/>
      </c>
    </row>
    <row r="302" ht="15" customHeight="1" s="241">
      <c r="A302" s="103">
        <f>IF(Human_Data_Entry!A300="","",Human_Data_Entry!A300)</f>
        <v/>
      </c>
      <c r="B302" s="103">
        <f>IF(Human_Data_Entry!B300="","",Human_Data_Entry!B300)</f>
        <v/>
      </c>
      <c r="C302" s="104">
        <f>IF(Human_Data_Entry!C300="","",Human_Data_Entry!C300)</f>
        <v/>
      </c>
      <c r="D302" s="103">
        <f>IF(Human_Data_Entry!D300="","",Human_Data_Entry!D300)</f>
        <v/>
      </c>
      <c r="E302" s="103">
        <f>IF(Human_Data_Entry!G300="","",Human_Data_Entry!G300)</f>
        <v/>
      </c>
      <c r="F302" s="103">
        <f>IF(Human_Data_Entry!X300="","",Human_Data_Entry!X300)</f>
        <v/>
      </c>
      <c r="G302" s="103">
        <f>IF(Human_Data_Entry!AY300="","",Human_Data_Entry!AY300)</f>
        <v/>
      </c>
      <c r="H302" s="103">
        <f>IF(Human_Data_Entry!AS300="","",Human_Data_Entry!AS300)</f>
        <v/>
      </c>
      <c r="I302" s="103">
        <f>IF(Human_Data_Entry!F300="","",Human_Data_Entry!F300)</f>
        <v/>
      </c>
      <c r="J302" s="103">
        <f>IF(Human_Data_Entry!BA300="","",Human_Data_Entry!BA300)</f>
        <v/>
      </c>
      <c r="K302" s="103">
        <f>IF(Human_Data_Entry!BB300="","",Human_Data_Entry!BB300)</f>
        <v/>
      </c>
      <c r="L302" s="103">
        <f>IF(Human_Data_Entry!BC300="","",Human_Data_Entry!BC300)</f>
        <v/>
      </c>
      <c r="M302" s="104">
        <f>IF(Human_Data_Entry!BD300="","",Human_Data_Entry!BD300)</f>
        <v/>
      </c>
      <c r="N302" s="104">
        <f>IF(Human_Data_Entry!BE300="","",Human_Data_Entry!BE300)</f>
        <v/>
      </c>
      <c r="O302" s="105">
        <f>IF(Human_Data_Entry!BF300="","",Human_Data_Entry!BF300)</f>
        <v/>
      </c>
      <c r="P302" s="103">
        <f>IF(Human_Data_Entry!BG300="","",Human_Data_Entry!BG300)</f>
        <v/>
      </c>
      <c r="Q302" s="103">
        <f>IF(Human_Data_Entry!BL300="","",Human_Data_Entry!BL300)</f>
        <v/>
      </c>
      <c r="R302" s="103">
        <f>IF(Human_Data_Entry!BH300="","",Human_Data_Entry!BH300)</f>
        <v/>
      </c>
      <c r="S302" s="103">
        <f>IF(Human_Data_Entry!BI300="","",Human_Data_Entry!BI300)</f>
        <v/>
      </c>
      <c r="T302" s="103">
        <f>IF(Human_Data_Entry!BJ300="","",Human_Data_Entry!BJ300)</f>
        <v/>
      </c>
      <c r="U302" s="103">
        <f>IF(Human_Data_Entry!AP300="","",Human_Data_Entry!AP300)</f>
        <v/>
      </c>
      <c r="V302" s="103">
        <f>IF(Human_Data_Entry!AQ300="","",Human_Data_Entry!AQ300)</f>
        <v/>
      </c>
      <c r="W302" s="103">
        <f>IF(Human_Data_Entry!AR300="","",Human_Data_Entry!AR300)</f>
        <v/>
      </c>
      <c r="X302" s="103">
        <f>IF(Human_Data_Entry!BK300="","",Human_Data_Entry!BK300)</f>
        <v/>
      </c>
    </row>
    <row r="303" ht="15" customHeight="1" s="241">
      <c r="A303" s="103">
        <f>IF(Human_Data_Entry!A301="","",Human_Data_Entry!A301)</f>
        <v/>
      </c>
      <c r="B303" s="103">
        <f>IF(Human_Data_Entry!B301="","",Human_Data_Entry!B301)</f>
        <v/>
      </c>
      <c r="C303" s="104">
        <f>IF(Human_Data_Entry!C301="","",Human_Data_Entry!C301)</f>
        <v/>
      </c>
      <c r="D303" s="103">
        <f>IF(Human_Data_Entry!D301="","",Human_Data_Entry!D301)</f>
        <v/>
      </c>
      <c r="E303" s="103">
        <f>IF(Human_Data_Entry!G301="","",Human_Data_Entry!G301)</f>
        <v/>
      </c>
      <c r="F303" s="103">
        <f>IF(Human_Data_Entry!X301="","",Human_Data_Entry!X301)</f>
        <v/>
      </c>
      <c r="G303" s="103">
        <f>IF(Human_Data_Entry!AY301="","",Human_Data_Entry!AY301)</f>
        <v/>
      </c>
      <c r="H303" s="103">
        <f>IF(Human_Data_Entry!AS301="","",Human_Data_Entry!AS301)</f>
        <v/>
      </c>
      <c r="I303" s="103">
        <f>IF(Human_Data_Entry!F301="","",Human_Data_Entry!F301)</f>
        <v/>
      </c>
      <c r="J303" s="103">
        <f>IF(Human_Data_Entry!BA301="","",Human_Data_Entry!BA301)</f>
        <v/>
      </c>
      <c r="K303" s="103">
        <f>IF(Human_Data_Entry!BB301="","",Human_Data_Entry!BB301)</f>
        <v/>
      </c>
      <c r="L303" s="103">
        <f>IF(Human_Data_Entry!BC301="","",Human_Data_Entry!BC301)</f>
        <v/>
      </c>
      <c r="M303" s="104">
        <f>IF(Human_Data_Entry!BD301="","",Human_Data_Entry!BD301)</f>
        <v/>
      </c>
      <c r="N303" s="104">
        <f>IF(Human_Data_Entry!BE301="","",Human_Data_Entry!BE301)</f>
        <v/>
      </c>
      <c r="O303" s="105">
        <f>IF(Human_Data_Entry!BF301="","",Human_Data_Entry!BF301)</f>
        <v/>
      </c>
      <c r="P303" s="103">
        <f>IF(Human_Data_Entry!BG301="","",Human_Data_Entry!BG301)</f>
        <v/>
      </c>
      <c r="Q303" s="103">
        <f>IF(Human_Data_Entry!BL301="","",Human_Data_Entry!BL301)</f>
        <v/>
      </c>
      <c r="R303" s="103">
        <f>IF(Human_Data_Entry!BH301="","",Human_Data_Entry!BH301)</f>
        <v/>
      </c>
      <c r="S303" s="103">
        <f>IF(Human_Data_Entry!BI301="","",Human_Data_Entry!BI301)</f>
        <v/>
      </c>
      <c r="T303" s="103">
        <f>IF(Human_Data_Entry!BJ301="","",Human_Data_Entry!BJ301)</f>
        <v/>
      </c>
      <c r="U303" s="103">
        <f>IF(Human_Data_Entry!AP301="","",Human_Data_Entry!AP301)</f>
        <v/>
      </c>
      <c r="V303" s="103">
        <f>IF(Human_Data_Entry!AQ301="","",Human_Data_Entry!AQ301)</f>
        <v/>
      </c>
      <c r="W303" s="103">
        <f>IF(Human_Data_Entry!AR301="","",Human_Data_Entry!AR301)</f>
        <v/>
      </c>
      <c r="X303" s="103">
        <f>IF(Human_Data_Entry!BK301="","",Human_Data_Entry!BK301)</f>
        <v/>
      </c>
    </row>
    <row r="304" ht="15" customHeight="1" s="241">
      <c r="A304" s="103">
        <f>IF(Human_Data_Entry!A302="","",Human_Data_Entry!A302)</f>
        <v/>
      </c>
      <c r="B304" s="103">
        <f>IF(Human_Data_Entry!B302="","",Human_Data_Entry!B302)</f>
        <v/>
      </c>
      <c r="C304" s="104">
        <f>IF(Human_Data_Entry!C302="","",Human_Data_Entry!C302)</f>
        <v/>
      </c>
      <c r="D304" s="103">
        <f>IF(Human_Data_Entry!D302="","",Human_Data_Entry!D302)</f>
        <v/>
      </c>
      <c r="E304" s="103">
        <f>IF(Human_Data_Entry!G302="","",Human_Data_Entry!G302)</f>
        <v/>
      </c>
      <c r="F304" s="103">
        <f>IF(Human_Data_Entry!X302="","",Human_Data_Entry!X302)</f>
        <v/>
      </c>
      <c r="G304" s="103">
        <f>IF(Human_Data_Entry!AY302="","",Human_Data_Entry!AY302)</f>
        <v/>
      </c>
      <c r="H304" s="103">
        <f>IF(Human_Data_Entry!AS302="","",Human_Data_Entry!AS302)</f>
        <v/>
      </c>
      <c r="I304" s="103">
        <f>IF(Human_Data_Entry!F302="","",Human_Data_Entry!F302)</f>
        <v/>
      </c>
      <c r="J304" s="103">
        <f>IF(Human_Data_Entry!BA302="","",Human_Data_Entry!BA302)</f>
        <v/>
      </c>
      <c r="K304" s="103">
        <f>IF(Human_Data_Entry!BB302="","",Human_Data_Entry!BB302)</f>
        <v/>
      </c>
      <c r="L304" s="103">
        <f>IF(Human_Data_Entry!BC302="","",Human_Data_Entry!BC302)</f>
        <v/>
      </c>
      <c r="M304" s="104">
        <f>IF(Human_Data_Entry!BD302="","",Human_Data_Entry!BD302)</f>
        <v/>
      </c>
      <c r="N304" s="104">
        <f>IF(Human_Data_Entry!BE302="","",Human_Data_Entry!BE302)</f>
        <v/>
      </c>
      <c r="O304" s="105">
        <f>IF(Human_Data_Entry!BF302="","",Human_Data_Entry!BF302)</f>
        <v/>
      </c>
      <c r="P304" s="103">
        <f>IF(Human_Data_Entry!BG302="","",Human_Data_Entry!BG302)</f>
        <v/>
      </c>
      <c r="Q304" s="103">
        <f>IF(Human_Data_Entry!BL302="","",Human_Data_Entry!BL302)</f>
        <v/>
      </c>
      <c r="R304" s="103">
        <f>IF(Human_Data_Entry!BH302="","",Human_Data_Entry!BH302)</f>
        <v/>
      </c>
      <c r="S304" s="103">
        <f>IF(Human_Data_Entry!BI302="","",Human_Data_Entry!BI302)</f>
        <v/>
      </c>
      <c r="T304" s="103">
        <f>IF(Human_Data_Entry!BJ302="","",Human_Data_Entry!BJ302)</f>
        <v/>
      </c>
      <c r="U304" s="103">
        <f>IF(Human_Data_Entry!AP302="","",Human_Data_Entry!AP302)</f>
        <v/>
      </c>
      <c r="V304" s="103">
        <f>IF(Human_Data_Entry!AQ302="","",Human_Data_Entry!AQ302)</f>
        <v/>
      </c>
      <c r="W304" s="103">
        <f>IF(Human_Data_Entry!AR302="","",Human_Data_Entry!AR302)</f>
        <v/>
      </c>
      <c r="X304" s="103">
        <f>IF(Human_Data_Entry!BK302="","",Human_Data_Entry!BK302)</f>
        <v/>
      </c>
    </row>
    <row r="305" ht="15" customHeight="1" s="241">
      <c r="A305" s="103">
        <f>IF(Human_Data_Entry!A303="","",Human_Data_Entry!A303)</f>
        <v/>
      </c>
      <c r="B305" s="103">
        <f>IF(Human_Data_Entry!B303="","",Human_Data_Entry!B303)</f>
        <v/>
      </c>
      <c r="C305" s="104">
        <f>IF(Human_Data_Entry!C303="","",Human_Data_Entry!C303)</f>
        <v/>
      </c>
      <c r="D305" s="103">
        <f>IF(Human_Data_Entry!D303="","",Human_Data_Entry!D303)</f>
        <v/>
      </c>
      <c r="E305" s="103">
        <f>IF(Human_Data_Entry!G303="","",Human_Data_Entry!G303)</f>
        <v/>
      </c>
      <c r="F305" s="103">
        <f>IF(Human_Data_Entry!X303="","",Human_Data_Entry!X303)</f>
        <v/>
      </c>
      <c r="G305" s="103">
        <f>IF(Human_Data_Entry!AY303="","",Human_Data_Entry!AY303)</f>
        <v/>
      </c>
      <c r="H305" s="103">
        <f>IF(Human_Data_Entry!AS303="","",Human_Data_Entry!AS303)</f>
        <v/>
      </c>
      <c r="I305" s="103">
        <f>IF(Human_Data_Entry!F303="","",Human_Data_Entry!F303)</f>
        <v/>
      </c>
      <c r="J305" s="103">
        <f>IF(Human_Data_Entry!BA303="","",Human_Data_Entry!BA303)</f>
        <v/>
      </c>
      <c r="K305" s="103">
        <f>IF(Human_Data_Entry!BB303="","",Human_Data_Entry!BB303)</f>
        <v/>
      </c>
      <c r="L305" s="103">
        <f>IF(Human_Data_Entry!BC303="","",Human_Data_Entry!BC303)</f>
        <v/>
      </c>
      <c r="M305" s="104">
        <f>IF(Human_Data_Entry!BD303="","",Human_Data_Entry!BD303)</f>
        <v/>
      </c>
      <c r="N305" s="104">
        <f>IF(Human_Data_Entry!BE303="","",Human_Data_Entry!BE303)</f>
        <v/>
      </c>
      <c r="O305" s="105">
        <f>IF(Human_Data_Entry!BF303="","",Human_Data_Entry!BF303)</f>
        <v/>
      </c>
      <c r="P305" s="103">
        <f>IF(Human_Data_Entry!BG303="","",Human_Data_Entry!BG303)</f>
        <v/>
      </c>
      <c r="Q305" s="103">
        <f>IF(Human_Data_Entry!BL303="","",Human_Data_Entry!BL303)</f>
        <v/>
      </c>
      <c r="R305" s="103">
        <f>IF(Human_Data_Entry!BH303="","",Human_Data_Entry!BH303)</f>
        <v/>
      </c>
      <c r="S305" s="103">
        <f>IF(Human_Data_Entry!BI303="","",Human_Data_Entry!BI303)</f>
        <v/>
      </c>
      <c r="T305" s="103">
        <f>IF(Human_Data_Entry!BJ303="","",Human_Data_Entry!BJ303)</f>
        <v/>
      </c>
      <c r="U305" s="103">
        <f>IF(Human_Data_Entry!AP303="","",Human_Data_Entry!AP303)</f>
        <v/>
      </c>
      <c r="V305" s="103">
        <f>IF(Human_Data_Entry!AQ303="","",Human_Data_Entry!AQ303)</f>
        <v/>
      </c>
      <c r="W305" s="103">
        <f>IF(Human_Data_Entry!AR303="","",Human_Data_Entry!AR303)</f>
        <v/>
      </c>
      <c r="X305" s="103">
        <f>IF(Human_Data_Entry!BK303="","",Human_Data_Entry!BK303)</f>
        <v/>
      </c>
    </row>
    <row r="306" ht="15" customHeight="1" s="241">
      <c r="A306" s="103">
        <f>IF(Human_Data_Entry!A304="","",Human_Data_Entry!A304)</f>
        <v/>
      </c>
      <c r="B306" s="103">
        <f>IF(Human_Data_Entry!B304="","",Human_Data_Entry!B304)</f>
        <v/>
      </c>
      <c r="C306" s="104">
        <f>IF(Human_Data_Entry!C304="","",Human_Data_Entry!C304)</f>
        <v/>
      </c>
      <c r="D306" s="103">
        <f>IF(Human_Data_Entry!D304="","",Human_Data_Entry!D304)</f>
        <v/>
      </c>
      <c r="E306" s="103">
        <f>IF(Human_Data_Entry!G304="","",Human_Data_Entry!G304)</f>
        <v/>
      </c>
      <c r="F306" s="103">
        <f>IF(Human_Data_Entry!X304="","",Human_Data_Entry!X304)</f>
        <v/>
      </c>
      <c r="G306" s="103">
        <f>IF(Human_Data_Entry!AY304="","",Human_Data_Entry!AY304)</f>
        <v/>
      </c>
      <c r="H306" s="103">
        <f>IF(Human_Data_Entry!AS304="","",Human_Data_Entry!AS304)</f>
        <v/>
      </c>
      <c r="I306" s="103">
        <f>IF(Human_Data_Entry!F304="","",Human_Data_Entry!F304)</f>
        <v/>
      </c>
      <c r="J306" s="103">
        <f>IF(Human_Data_Entry!BA304="","",Human_Data_Entry!BA304)</f>
        <v/>
      </c>
      <c r="K306" s="103">
        <f>IF(Human_Data_Entry!BB304="","",Human_Data_Entry!BB304)</f>
        <v/>
      </c>
      <c r="L306" s="103">
        <f>IF(Human_Data_Entry!BC304="","",Human_Data_Entry!BC304)</f>
        <v/>
      </c>
      <c r="M306" s="104">
        <f>IF(Human_Data_Entry!BD304="","",Human_Data_Entry!BD304)</f>
        <v/>
      </c>
      <c r="N306" s="104">
        <f>IF(Human_Data_Entry!BE304="","",Human_Data_Entry!BE304)</f>
        <v/>
      </c>
      <c r="O306" s="105">
        <f>IF(Human_Data_Entry!BF304="","",Human_Data_Entry!BF304)</f>
        <v/>
      </c>
      <c r="P306" s="103">
        <f>IF(Human_Data_Entry!BG304="","",Human_Data_Entry!BG304)</f>
        <v/>
      </c>
      <c r="Q306" s="103">
        <f>IF(Human_Data_Entry!BL304="","",Human_Data_Entry!BL304)</f>
        <v/>
      </c>
      <c r="R306" s="103">
        <f>IF(Human_Data_Entry!BH304="","",Human_Data_Entry!BH304)</f>
        <v/>
      </c>
      <c r="S306" s="103">
        <f>IF(Human_Data_Entry!BI304="","",Human_Data_Entry!BI304)</f>
        <v/>
      </c>
      <c r="T306" s="103">
        <f>IF(Human_Data_Entry!BJ304="","",Human_Data_Entry!BJ304)</f>
        <v/>
      </c>
      <c r="U306" s="103">
        <f>IF(Human_Data_Entry!AP304="","",Human_Data_Entry!AP304)</f>
        <v/>
      </c>
      <c r="V306" s="103">
        <f>IF(Human_Data_Entry!AQ304="","",Human_Data_Entry!AQ304)</f>
        <v/>
      </c>
      <c r="W306" s="103">
        <f>IF(Human_Data_Entry!AR304="","",Human_Data_Entry!AR304)</f>
        <v/>
      </c>
      <c r="X306" s="103">
        <f>IF(Human_Data_Entry!BK304="","",Human_Data_Entry!BK304)</f>
        <v/>
      </c>
    </row>
    <row r="307" ht="15" customHeight="1" s="241">
      <c r="A307" s="103">
        <f>IF(Human_Data_Entry!A305="","",Human_Data_Entry!A305)</f>
        <v/>
      </c>
      <c r="B307" s="103">
        <f>IF(Human_Data_Entry!B305="","",Human_Data_Entry!B305)</f>
        <v/>
      </c>
      <c r="C307" s="104">
        <f>IF(Human_Data_Entry!C305="","",Human_Data_Entry!C305)</f>
        <v/>
      </c>
      <c r="D307" s="103">
        <f>IF(Human_Data_Entry!D305="","",Human_Data_Entry!D305)</f>
        <v/>
      </c>
      <c r="E307" s="103">
        <f>IF(Human_Data_Entry!G305="","",Human_Data_Entry!G305)</f>
        <v/>
      </c>
      <c r="F307" s="103">
        <f>IF(Human_Data_Entry!X305="","",Human_Data_Entry!X305)</f>
        <v/>
      </c>
      <c r="G307" s="103">
        <f>IF(Human_Data_Entry!AY305="","",Human_Data_Entry!AY305)</f>
        <v/>
      </c>
      <c r="H307" s="103">
        <f>IF(Human_Data_Entry!AS305="","",Human_Data_Entry!AS305)</f>
        <v/>
      </c>
      <c r="I307" s="103">
        <f>IF(Human_Data_Entry!F305="","",Human_Data_Entry!F305)</f>
        <v/>
      </c>
      <c r="J307" s="103">
        <f>IF(Human_Data_Entry!BA305="","",Human_Data_Entry!BA305)</f>
        <v/>
      </c>
      <c r="K307" s="103">
        <f>IF(Human_Data_Entry!BB305="","",Human_Data_Entry!BB305)</f>
        <v/>
      </c>
      <c r="L307" s="103">
        <f>IF(Human_Data_Entry!BC305="","",Human_Data_Entry!BC305)</f>
        <v/>
      </c>
      <c r="M307" s="104">
        <f>IF(Human_Data_Entry!BD305="","",Human_Data_Entry!BD305)</f>
        <v/>
      </c>
      <c r="N307" s="104">
        <f>IF(Human_Data_Entry!BE305="","",Human_Data_Entry!BE305)</f>
        <v/>
      </c>
      <c r="O307" s="105">
        <f>IF(Human_Data_Entry!BF305="","",Human_Data_Entry!BF305)</f>
        <v/>
      </c>
      <c r="P307" s="103">
        <f>IF(Human_Data_Entry!BG305="","",Human_Data_Entry!BG305)</f>
        <v/>
      </c>
      <c r="Q307" s="103">
        <f>IF(Human_Data_Entry!BL305="","",Human_Data_Entry!BL305)</f>
        <v/>
      </c>
      <c r="R307" s="103">
        <f>IF(Human_Data_Entry!BH305="","",Human_Data_Entry!BH305)</f>
        <v/>
      </c>
      <c r="S307" s="103">
        <f>IF(Human_Data_Entry!BI305="","",Human_Data_Entry!BI305)</f>
        <v/>
      </c>
      <c r="T307" s="103">
        <f>IF(Human_Data_Entry!BJ305="","",Human_Data_Entry!BJ305)</f>
        <v/>
      </c>
      <c r="U307" s="103">
        <f>IF(Human_Data_Entry!AP305="","",Human_Data_Entry!AP305)</f>
        <v/>
      </c>
      <c r="V307" s="103">
        <f>IF(Human_Data_Entry!AQ305="","",Human_Data_Entry!AQ305)</f>
        <v/>
      </c>
      <c r="W307" s="103">
        <f>IF(Human_Data_Entry!AR305="","",Human_Data_Entry!AR305)</f>
        <v/>
      </c>
      <c r="X307" s="103">
        <f>IF(Human_Data_Entry!BK305="","",Human_Data_Entry!BK305)</f>
        <v/>
      </c>
    </row>
    <row r="308" ht="15" customHeight="1" s="241">
      <c r="A308" s="103">
        <f>IF(Human_Data_Entry!A306="","",Human_Data_Entry!A306)</f>
        <v/>
      </c>
      <c r="B308" s="103">
        <f>IF(Human_Data_Entry!B306="","",Human_Data_Entry!B306)</f>
        <v/>
      </c>
      <c r="C308" s="104">
        <f>IF(Human_Data_Entry!C306="","",Human_Data_Entry!C306)</f>
        <v/>
      </c>
      <c r="D308" s="103">
        <f>IF(Human_Data_Entry!D306="","",Human_Data_Entry!D306)</f>
        <v/>
      </c>
      <c r="E308" s="103">
        <f>IF(Human_Data_Entry!G306="","",Human_Data_Entry!G306)</f>
        <v/>
      </c>
      <c r="F308" s="103">
        <f>IF(Human_Data_Entry!X306="","",Human_Data_Entry!X306)</f>
        <v/>
      </c>
      <c r="G308" s="103">
        <f>IF(Human_Data_Entry!AY306="","",Human_Data_Entry!AY306)</f>
        <v/>
      </c>
      <c r="H308" s="103">
        <f>IF(Human_Data_Entry!AS306="","",Human_Data_Entry!AS306)</f>
        <v/>
      </c>
      <c r="I308" s="103">
        <f>IF(Human_Data_Entry!F306="","",Human_Data_Entry!F306)</f>
        <v/>
      </c>
      <c r="J308" s="103">
        <f>IF(Human_Data_Entry!BA306="","",Human_Data_Entry!BA306)</f>
        <v/>
      </c>
      <c r="K308" s="103">
        <f>IF(Human_Data_Entry!BB306="","",Human_Data_Entry!BB306)</f>
        <v/>
      </c>
      <c r="L308" s="103">
        <f>IF(Human_Data_Entry!BC306="","",Human_Data_Entry!BC306)</f>
        <v/>
      </c>
      <c r="M308" s="104">
        <f>IF(Human_Data_Entry!BD306="","",Human_Data_Entry!BD306)</f>
        <v/>
      </c>
      <c r="N308" s="104">
        <f>IF(Human_Data_Entry!BE306="","",Human_Data_Entry!BE306)</f>
        <v/>
      </c>
      <c r="O308" s="105">
        <f>IF(Human_Data_Entry!BF306="","",Human_Data_Entry!BF306)</f>
        <v/>
      </c>
      <c r="P308" s="103">
        <f>IF(Human_Data_Entry!BG306="","",Human_Data_Entry!BG306)</f>
        <v/>
      </c>
      <c r="Q308" s="103">
        <f>IF(Human_Data_Entry!BL306="","",Human_Data_Entry!BL306)</f>
        <v/>
      </c>
      <c r="R308" s="103">
        <f>IF(Human_Data_Entry!BH306="","",Human_Data_Entry!BH306)</f>
        <v/>
      </c>
      <c r="S308" s="103">
        <f>IF(Human_Data_Entry!BI306="","",Human_Data_Entry!BI306)</f>
        <v/>
      </c>
      <c r="T308" s="103">
        <f>IF(Human_Data_Entry!BJ306="","",Human_Data_Entry!BJ306)</f>
        <v/>
      </c>
      <c r="U308" s="103">
        <f>IF(Human_Data_Entry!AP306="","",Human_Data_Entry!AP306)</f>
        <v/>
      </c>
      <c r="V308" s="103">
        <f>IF(Human_Data_Entry!AQ306="","",Human_Data_Entry!AQ306)</f>
        <v/>
      </c>
      <c r="W308" s="103">
        <f>IF(Human_Data_Entry!AR306="","",Human_Data_Entry!AR306)</f>
        <v/>
      </c>
      <c r="X308" s="103">
        <f>IF(Human_Data_Entry!BK306="","",Human_Data_Entry!BK306)</f>
        <v/>
      </c>
    </row>
    <row r="309" ht="15" customHeight="1" s="241">
      <c r="A309" s="103">
        <f>IF(Human_Data_Entry!A307="","",Human_Data_Entry!A307)</f>
        <v/>
      </c>
      <c r="B309" s="103">
        <f>IF(Human_Data_Entry!B307="","",Human_Data_Entry!B307)</f>
        <v/>
      </c>
      <c r="C309" s="104">
        <f>IF(Human_Data_Entry!C307="","",Human_Data_Entry!C307)</f>
        <v/>
      </c>
      <c r="D309" s="103">
        <f>IF(Human_Data_Entry!D307="","",Human_Data_Entry!D307)</f>
        <v/>
      </c>
      <c r="E309" s="103">
        <f>IF(Human_Data_Entry!G307="","",Human_Data_Entry!G307)</f>
        <v/>
      </c>
      <c r="F309" s="103">
        <f>IF(Human_Data_Entry!X307="","",Human_Data_Entry!X307)</f>
        <v/>
      </c>
      <c r="G309" s="103">
        <f>IF(Human_Data_Entry!AY307="","",Human_Data_Entry!AY307)</f>
        <v/>
      </c>
      <c r="H309" s="103">
        <f>IF(Human_Data_Entry!AS307="","",Human_Data_Entry!AS307)</f>
        <v/>
      </c>
      <c r="I309" s="103">
        <f>IF(Human_Data_Entry!F307="","",Human_Data_Entry!F307)</f>
        <v/>
      </c>
      <c r="J309" s="103">
        <f>IF(Human_Data_Entry!BA307="","",Human_Data_Entry!BA307)</f>
        <v/>
      </c>
      <c r="K309" s="103">
        <f>IF(Human_Data_Entry!BB307="","",Human_Data_Entry!BB307)</f>
        <v/>
      </c>
      <c r="L309" s="103">
        <f>IF(Human_Data_Entry!BC307="","",Human_Data_Entry!BC307)</f>
        <v/>
      </c>
      <c r="M309" s="104">
        <f>IF(Human_Data_Entry!BD307="","",Human_Data_Entry!BD307)</f>
        <v/>
      </c>
      <c r="N309" s="104">
        <f>IF(Human_Data_Entry!BE307="","",Human_Data_Entry!BE307)</f>
        <v/>
      </c>
      <c r="O309" s="105">
        <f>IF(Human_Data_Entry!BF307="","",Human_Data_Entry!BF307)</f>
        <v/>
      </c>
      <c r="P309" s="103">
        <f>IF(Human_Data_Entry!BG307="","",Human_Data_Entry!BG307)</f>
        <v/>
      </c>
      <c r="Q309" s="103">
        <f>IF(Human_Data_Entry!BL307="","",Human_Data_Entry!BL307)</f>
        <v/>
      </c>
      <c r="R309" s="103">
        <f>IF(Human_Data_Entry!BH307="","",Human_Data_Entry!BH307)</f>
        <v/>
      </c>
      <c r="S309" s="103">
        <f>IF(Human_Data_Entry!BI307="","",Human_Data_Entry!BI307)</f>
        <v/>
      </c>
      <c r="T309" s="103">
        <f>IF(Human_Data_Entry!BJ307="","",Human_Data_Entry!BJ307)</f>
        <v/>
      </c>
      <c r="U309" s="103">
        <f>IF(Human_Data_Entry!AP307="","",Human_Data_Entry!AP307)</f>
        <v/>
      </c>
      <c r="V309" s="103">
        <f>IF(Human_Data_Entry!AQ307="","",Human_Data_Entry!AQ307)</f>
        <v/>
      </c>
      <c r="W309" s="103">
        <f>IF(Human_Data_Entry!AR307="","",Human_Data_Entry!AR307)</f>
        <v/>
      </c>
      <c r="X309" s="103">
        <f>IF(Human_Data_Entry!BK307="","",Human_Data_Entry!BK307)</f>
        <v/>
      </c>
    </row>
    <row r="310" ht="15" customHeight="1" s="241">
      <c r="A310" s="103">
        <f>IF(Human_Data_Entry!A308="","",Human_Data_Entry!A308)</f>
        <v/>
      </c>
      <c r="B310" s="103">
        <f>IF(Human_Data_Entry!B308="","",Human_Data_Entry!B308)</f>
        <v/>
      </c>
      <c r="C310" s="104">
        <f>IF(Human_Data_Entry!C308="","",Human_Data_Entry!C308)</f>
        <v/>
      </c>
      <c r="D310" s="103">
        <f>IF(Human_Data_Entry!D308="","",Human_Data_Entry!D308)</f>
        <v/>
      </c>
      <c r="E310" s="103">
        <f>IF(Human_Data_Entry!G308="","",Human_Data_Entry!G308)</f>
        <v/>
      </c>
      <c r="F310" s="103">
        <f>IF(Human_Data_Entry!X308="","",Human_Data_Entry!X308)</f>
        <v/>
      </c>
      <c r="G310" s="103">
        <f>IF(Human_Data_Entry!AY308="","",Human_Data_Entry!AY308)</f>
        <v/>
      </c>
      <c r="H310" s="103">
        <f>IF(Human_Data_Entry!AS308="","",Human_Data_Entry!AS308)</f>
        <v/>
      </c>
      <c r="I310" s="103">
        <f>IF(Human_Data_Entry!F308="","",Human_Data_Entry!F308)</f>
        <v/>
      </c>
      <c r="J310" s="103">
        <f>IF(Human_Data_Entry!BA308="","",Human_Data_Entry!BA308)</f>
        <v/>
      </c>
      <c r="K310" s="103">
        <f>IF(Human_Data_Entry!BB308="","",Human_Data_Entry!BB308)</f>
        <v/>
      </c>
      <c r="L310" s="103">
        <f>IF(Human_Data_Entry!BC308="","",Human_Data_Entry!BC308)</f>
        <v/>
      </c>
      <c r="M310" s="104">
        <f>IF(Human_Data_Entry!BD308="","",Human_Data_Entry!BD308)</f>
        <v/>
      </c>
      <c r="N310" s="104">
        <f>IF(Human_Data_Entry!BE308="","",Human_Data_Entry!BE308)</f>
        <v/>
      </c>
      <c r="O310" s="105">
        <f>IF(Human_Data_Entry!BF308="","",Human_Data_Entry!BF308)</f>
        <v/>
      </c>
      <c r="P310" s="103">
        <f>IF(Human_Data_Entry!BG308="","",Human_Data_Entry!BG308)</f>
        <v/>
      </c>
      <c r="Q310" s="103">
        <f>IF(Human_Data_Entry!BL308="","",Human_Data_Entry!BL308)</f>
        <v/>
      </c>
      <c r="R310" s="103">
        <f>IF(Human_Data_Entry!BH308="","",Human_Data_Entry!BH308)</f>
        <v/>
      </c>
      <c r="S310" s="103">
        <f>IF(Human_Data_Entry!BI308="","",Human_Data_Entry!BI308)</f>
        <v/>
      </c>
      <c r="T310" s="103">
        <f>IF(Human_Data_Entry!BJ308="","",Human_Data_Entry!BJ308)</f>
        <v/>
      </c>
      <c r="U310" s="103">
        <f>IF(Human_Data_Entry!AP308="","",Human_Data_Entry!AP308)</f>
        <v/>
      </c>
      <c r="V310" s="103">
        <f>IF(Human_Data_Entry!AQ308="","",Human_Data_Entry!AQ308)</f>
        <v/>
      </c>
      <c r="W310" s="103">
        <f>IF(Human_Data_Entry!AR308="","",Human_Data_Entry!AR308)</f>
        <v/>
      </c>
      <c r="X310" s="103">
        <f>IF(Human_Data_Entry!BK308="","",Human_Data_Entry!BK308)</f>
        <v/>
      </c>
    </row>
    <row r="311" ht="15" customHeight="1" s="241">
      <c r="A311" s="103">
        <f>IF(Human_Data_Entry!A309="","",Human_Data_Entry!A309)</f>
        <v/>
      </c>
      <c r="B311" s="103">
        <f>IF(Human_Data_Entry!B309="","",Human_Data_Entry!B309)</f>
        <v/>
      </c>
      <c r="C311" s="104">
        <f>IF(Human_Data_Entry!C309="","",Human_Data_Entry!C309)</f>
        <v/>
      </c>
      <c r="D311" s="103">
        <f>IF(Human_Data_Entry!D309="","",Human_Data_Entry!D309)</f>
        <v/>
      </c>
      <c r="E311" s="103">
        <f>IF(Human_Data_Entry!G309="","",Human_Data_Entry!G309)</f>
        <v/>
      </c>
      <c r="F311" s="103">
        <f>IF(Human_Data_Entry!X309="","",Human_Data_Entry!X309)</f>
        <v/>
      </c>
      <c r="G311" s="103">
        <f>IF(Human_Data_Entry!AY309="","",Human_Data_Entry!AY309)</f>
        <v/>
      </c>
      <c r="H311" s="103">
        <f>IF(Human_Data_Entry!AS309="","",Human_Data_Entry!AS309)</f>
        <v/>
      </c>
      <c r="I311" s="103">
        <f>IF(Human_Data_Entry!F309="","",Human_Data_Entry!F309)</f>
        <v/>
      </c>
      <c r="J311" s="103">
        <f>IF(Human_Data_Entry!BA309="","",Human_Data_Entry!BA309)</f>
        <v/>
      </c>
      <c r="K311" s="103">
        <f>IF(Human_Data_Entry!BB309="","",Human_Data_Entry!BB309)</f>
        <v/>
      </c>
      <c r="L311" s="103">
        <f>IF(Human_Data_Entry!BC309="","",Human_Data_Entry!BC309)</f>
        <v/>
      </c>
      <c r="M311" s="104">
        <f>IF(Human_Data_Entry!BD309="","",Human_Data_Entry!BD309)</f>
        <v/>
      </c>
      <c r="N311" s="104">
        <f>IF(Human_Data_Entry!BE309="","",Human_Data_Entry!BE309)</f>
        <v/>
      </c>
      <c r="O311" s="105">
        <f>IF(Human_Data_Entry!BF309="","",Human_Data_Entry!BF309)</f>
        <v/>
      </c>
      <c r="P311" s="103">
        <f>IF(Human_Data_Entry!BG309="","",Human_Data_Entry!BG309)</f>
        <v/>
      </c>
      <c r="Q311" s="103">
        <f>IF(Human_Data_Entry!BL309="","",Human_Data_Entry!BL309)</f>
        <v/>
      </c>
      <c r="R311" s="103">
        <f>IF(Human_Data_Entry!BH309="","",Human_Data_Entry!BH309)</f>
        <v/>
      </c>
      <c r="S311" s="103">
        <f>IF(Human_Data_Entry!BI309="","",Human_Data_Entry!BI309)</f>
        <v/>
      </c>
      <c r="T311" s="103">
        <f>IF(Human_Data_Entry!BJ309="","",Human_Data_Entry!BJ309)</f>
        <v/>
      </c>
      <c r="U311" s="103">
        <f>IF(Human_Data_Entry!AP309="","",Human_Data_Entry!AP309)</f>
        <v/>
      </c>
      <c r="V311" s="103">
        <f>IF(Human_Data_Entry!AQ309="","",Human_Data_Entry!AQ309)</f>
        <v/>
      </c>
      <c r="W311" s="103">
        <f>IF(Human_Data_Entry!AR309="","",Human_Data_Entry!AR309)</f>
        <v/>
      </c>
      <c r="X311" s="103">
        <f>IF(Human_Data_Entry!BK309="","",Human_Data_Entry!BK309)</f>
        <v/>
      </c>
    </row>
    <row r="312" ht="15" customHeight="1" s="241">
      <c r="A312" s="103">
        <f>IF(Human_Data_Entry!A310="","",Human_Data_Entry!A310)</f>
        <v/>
      </c>
      <c r="B312" s="103">
        <f>IF(Human_Data_Entry!B310="","",Human_Data_Entry!B310)</f>
        <v/>
      </c>
      <c r="C312" s="104">
        <f>IF(Human_Data_Entry!C310="","",Human_Data_Entry!C310)</f>
        <v/>
      </c>
      <c r="D312" s="103">
        <f>IF(Human_Data_Entry!D310="","",Human_Data_Entry!D310)</f>
        <v/>
      </c>
      <c r="E312" s="103">
        <f>IF(Human_Data_Entry!G310="","",Human_Data_Entry!G310)</f>
        <v/>
      </c>
      <c r="F312" s="103">
        <f>IF(Human_Data_Entry!X310="","",Human_Data_Entry!X310)</f>
        <v/>
      </c>
      <c r="G312" s="103">
        <f>IF(Human_Data_Entry!AY310="","",Human_Data_Entry!AY310)</f>
        <v/>
      </c>
      <c r="H312" s="103">
        <f>IF(Human_Data_Entry!AS310="","",Human_Data_Entry!AS310)</f>
        <v/>
      </c>
      <c r="I312" s="103">
        <f>IF(Human_Data_Entry!F310="","",Human_Data_Entry!F310)</f>
        <v/>
      </c>
      <c r="J312" s="103">
        <f>IF(Human_Data_Entry!BA310="","",Human_Data_Entry!BA310)</f>
        <v/>
      </c>
      <c r="K312" s="103">
        <f>IF(Human_Data_Entry!BB310="","",Human_Data_Entry!BB310)</f>
        <v/>
      </c>
      <c r="L312" s="103">
        <f>IF(Human_Data_Entry!BC310="","",Human_Data_Entry!BC310)</f>
        <v/>
      </c>
      <c r="M312" s="104">
        <f>IF(Human_Data_Entry!BD310="","",Human_Data_Entry!BD310)</f>
        <v/>
      </c>
      <c r="N312" s="104">
        <f>IF(Human_Data_Entry!BE310="","",Human_Data_Entry!BE310)</f>
        <v/>
      </c>
      <c r="O312" s="105">
        <f>IF(Human_Data_Entry!BF310="","",Human_Data_Entry!BF310)</f>
        <v/>
      </c>
      <c r="P312" s="103">
        <f>IF(Human_Data_Entry!BG310="","",Human_Data_Entry!BG310)</f>
        <v/>
      </c>
      <c r="Q312" s="103">
        <f>IF(Human_Data_Entry!BL310="","",Human_Data_Entry!BL310)</f>
        <v/>
      </c>
      <c r="R312" s="103">
        <f>IF(Human_Data_Entry!BH310="","",Human_Data_Entry!BH310)</f>
        <v/>
      </c>
      <c r="S312" s="103">
        <f>IF(Human_Data_Entry!BI310="","",Human_Data_Entry!BI310)</f>
        <v/>
      </c>
      <c r="T312" s="103">
        <f>IF(Human_Data_Entry!BJ310="","",Human_Data_Entry!BJ310)</f>
        <v/>
      </c>
      <c r="U312" s="103">
        <f>IF(Human_Data_Entry!AP310="","",Human_Data_Entry!AP310)</f>
        <v/>
      </c>
      <c r="V312" s="103">
        <f>IF(Human_Data_Entry!AQ310="","",Human_Data_Entry!AQ310)</f>
        <v/>
      </c>
      <c r="W312" s="103">
        <f>IF(Human_Data_Entry!AR310="","",Human_Data_Entry!AR310)</f>
        <v/>
      </c>
      <c r="X312" s="103">
        <f>IF(Human_Data_Entry!BK310="","",Human_Data_Entry!BK310)</f>
        <v/>
      </c>
    </row>
    <row r="313" ht="15" customHeight="1" s="241">
      <c r="A313" s="103">
        <f>IF(Human_Data_Entry!A311="","",Human_Data_Entry!A311)</f>
        <v/>
      </c>
      <c r="B313" s="103">
        <f>IF(Human_Data_Entry!B311="","",Human_Data_Entry!B311)</f>
        <v/>
      </c>
      <c r="C313" s="104">
        <f>IF(Human_Data_Entry!C311="","",Human_Data_Entry!C311)</f>
        <v/>
      </c>
      <c r="D313" s="103">
        <f>IF(Human_Data_Entry!D311="","",Human_Data_Entry!D311)</f>
        <v/>
      </c>
      <c r="E313" s="103">
        <f>IF(Human_Data_Entry!G311="","",Human_Data_Entry!G311)</f>
        <v/>
      </c>
      <c r="F313" s="103">
        <f>IF(Human_Data_Entry!X311="","",Human_Data_Entry!X311)</f>
        <v/>
      </c>
      <c r="G313" s="103">
        <f>IF(Human_Data_Entry!AY311="","",Human_Data_Entry!AY311)</f>
        <v/>
      </c>
      <c r="H313" s="103">
        <f>IF(Human_Data_Entry!AS311="","",Human_Data_Entry!AS311)</f>
        <v/>
      </c>
      <c r="I313" s="103">
        <f>IF(Human_Data_Entry!F311="","",Human_Data_Entry!F311)</f>
        <v/>
      </c>
      <c r="J313" s="103">
        <f>IF(Human_Data_Entry!BA311="","",Human_Data_Entry!BA311)</f>
        <v/>
      </c>
      <c r="K313" s="103">
        <f>IF(Human_Data_Entry!BB311="","",Human_Data_Entry!BB311)</f>
        <v/>
      </c>
      <c r="L313" s="103">
        <f>IF(Human_Data_Entry!BC311="","",Human_Data_Entry!BC311)</f>
        <v/>
      </c>
      <c r="M313" s="104">
        <f>IF(Human_Data_Entry!BD311="","",Human_Data_Entry!BD311)</f>
        <v/>
      </c>
      <c r="N313" s="104">
        <f>IF(Human_Data_Entry!BE311="","",Human_Data_Entry!BE311)</f>
        <v/>
      </c>
      <c r="O313" s="105">
        <f>IF(Human_Data_Entry!BF311="","",Human_Data_Entry!BF311)</f>
        <v/>
      </c>
      <c r="P313" s="103">
        <f>IF(Human_Data_Entry!BG311="","",Human_Data_Entry!BG311)</f>
        <v/>
      </c>
      <c r="Q313" s="103">
        <f>IF(Human_Data_Entry!BL311="","",Human_Data_Entry!BL311)</f>
        <v/>
      </c>
      <c r="R313" s="103">
        <f>IF(Human_Data_Entry!BH311="","",Human_Data_Entry!BH311)</f>
        <v/>
      </c>
      <c r="S313" s="103">
        <f>IF(Human_Data_Entry!BI311="","",Human_Data_Entry!BI311)</f>
        <v/>
      </c>
      <c r="T313" s="103">
        <f>IF(Human_Data_Entry!BJ311="","",Human_Data_Entry!BJ311)</f>
        <v/>
      </c>
      <c r="U313" s="103">
        <f>IF(Human_Data_Entry!AP311="","",Human_Data_Entry!AP311)</f>
        <v/>
      </c>
      <c r="V313" s="103">
        <f>IF(Human_Data_Entry!AQ311="","",Human_Data_Entry!AQ311)</f>
        <v/>
      </c>
      <c r="W313" s="103">
        <f>IF(Human_Data_Entry!AR311="","",Human_Data_Entry!AR311)</f>
        <v/>
      </c>
      <c r="X313" s="103">
        <f>IF(Human_Data_Entry!BK311="","",Human_Data_Entry!BK311)</f>
        <v/>
      </c>
    </row>
    <row r="314" ht="15" customHeight="1" s="241">
      <c r="A314" s="103">
        <f>IF(Human_Data_Entry!A312="","",Human_Data_Entry!A312)</f>
        <v/>
      </c>
      <c r="B314" s="103">
        <f>IF(Human_Data_Entry!B312="","",Human_Data_Entry!B312)</f>
        <v/>
      </c>
      <c r="C314" s="104">
        <f>IF(Human_Data_Entry!C312="","",Human_Data_Entry!C312)</f>
        <v/>
      </c>
      <c r="D314" s="103">
        <f>IF(Human_Data_Entry!D312="","",Human_Data_Entry!D312)</f>
        <v/>
      </c>
      <c r="E314" s="103">
        <f>IF(Human_Data_Entry!G312="","",Human_Data_Entry!G312)</f>
        <v/>
      </c>
      <c r="F314" s="103">
        <f>IF(Human_Data_Entry!X312="","",Human_Data_Entry!X312)</f>
        <v/>
      </c>
      <c r="G314" s="103">
        <f>IF(Human_Data_Entry!AY312="","",Human_Data_Entry!AY312)</f>
        <v/>
      </c>
      <c r="H314" s="103">
        <f>IF(Human_Data_Entry!AS312="","",Human_Data_Entry!AS312)</f>
        <v/>
      </c>
      <c r="I314" s="103">
        <f>IF(Human_Data_Entry!F312="","",Human_Data_Entry!F312)</f>
        <v/>
      </c>
      <c r="J314" s="103">
        <f>IF(Human_Data_Entry!BA312="","",Human_Data_Entry!BA312)</f>
        <v/>
      </c>
      <c r="K314" s="103">
        <f>IF(Human_Data_Entry!BB312="","",Human_Data_Entry!BB312)</f>
        <v/>
      </c>
      <c r="L314" s="103">
        <f>IF(Human_Data_Entry!BC312="","",Human_Data_Entry!BC312)</f>
        <v/>
      </c>
      <c r="M314" s="104">
        <f>IF(Human_Data_Entry!BD312="","",Human_Data_Entry!BD312)</f>
        <v/>
      </c>
      <c r="N314" s="104">
        <f>IF(Human_Data_Entry!BE312="","",Human_Data_Entry!BE312)</f>
        <v/>
      </c>
      <c r="O314" s="105">
        <f>IF(Human_Data_Entry!BF312="","",Human_Data_Entry!BF312)</f>
        <v/>
      </c>
      <c r="P314" s="103">
        <f>IF(Human_Data_Entry!BG312="","",Human_Data_Entry!BG312)</f>
        <v/>
      </c>
      <c r="Q314" s="103">
        <f>IF(Human_Data_Entry!BL312="","",Human_Data_Entry!BL312)</f>
        <v/>
      </c>
      <c r="R314" s="103">
        <f>IF(Human_Data_Entry!BH312="","",Human_Data_Entry!BH312)</f>
        <v/>
      </c>
      <c r="S314" s="103">
        <f>IF(Human_Data_Entry!BI312="","",Human_Data_Entry!BI312)</f>
        <v/>
      </c>
      <c r="T314" s="103">
        <f>IF(Human_Data_Entry!BJ312="","",Human_Data_Entry!BJ312)</f>
        <v/>
      </c>
      <c r="U314" s="103">
        <f>IF(Human_Data_Entry!AP312="","",Human_Data_Entry!AP312)</f>
        <v/>
      </c>
      <c r="V314" s="103">
        <f>IF(Human_Data_Entry!AQ312="","",Human_Data_Entry!AQ312)</f>
        <v/>
      </c>
      <c r="W314" s="103">
        <f>IF(Human_Data_Entry!AR312="","",Human_Data_Entry!AR312)</f>
        <v/>
      </c>
      <c r="X314" s="103">
        <f>IF(Human_Data_Entry!BK312="","",Human_Data_Entry!BK312)</f>
        <v/>
      </c>
    </row>
    <row r="315" ht="15" customHeight="1" s="241">
      <c r="A315" s="103">
        <f>IF(Human_Data_Entry!A313="","",Human_Data_Entry!A313)</f>
        <v/>
      </c>
      <c r="B315" s="103">
        <f>IF(Human_Data_Entry!B313="","",Human_Data_Entry!B313)</f>
        <v/>
      </c>
      <c r="C315" s="104">
        <f>IF(Human_Data_Entry!C313="","",Human_Data_Entry!C313)</f>
        <v/>
      </c>
      <c r="D315" s="103">
        <f>IF(Human_Data_Entry!D313="","",Human_Data_Entry!D313)</f>
        <v/>
      </c>
      <c r="E315" s="103">
        <f>IF(Human_Data_Entry!G313="","",Human_Data_Entry!G313)</f>
        <v/>
      </c>
      <c r="F315" s="103">
        <f>IF(Human_Data_Entry!X313="","",Human_Data_Entry!X313)</f>
        <v/>
      </c>
      <c r="G315" s="103">
        <f>IF(Human_Data_Entry!AY313="","",Human_Data_Entry!AY313)</f>
        <v/>
      </c>
      <c r="H315" s="103">
        <f>IF(Human_Data_Entry!AS313="","",Human_Data_Entry!AS313)</f>
        <v/>
      </c>
      <c r="I315" s="103">
        <f>IF(Human_Data_Entry!F313="","",Human_Data_Entry!F313)</f>
        <v/>
      </c>
      <c r="J315" s="103">
        <f>IF(Human_Data_Entry!BA313="","",Human_Data_Entry!BA313)</f>
        <v/>
      </c>
      <c r="K315" s="103">
        <f>IF(Human_Data_Entry!BB313="","",Human_Data_Entry!BB313)</f>
        <v/>
      </c>
      <c r="L315" s="103">
        <f>IF(Human_Data_Entry!BC313="","",Human_Data_Entry!BC313)</f>
        <v/>
      </c>
      <c r="M315" s="104">
        <f>IF(Human_Data_Entry!BD313="","",Human_Data_Entry!BD313)</f>
        <v/>
      </c>
      <c r="N315" s="104">
        <f>IF(Human_Data_Entry!BE313="","",Human_Data_Entry!BE313)</f>
        <v/>
      </c>
      <c r="O315" s="105">
        <f>IF(Human_Data_Entry!BF313="","",Human_Data_Entry!BF313)</f>
        <v/>
      </c>
      <c r="P315" s="103">
        <f>IF(Human_Data_Entry!BG313="","",Human_Data_Entry!BG313)</f>
        <v/>
      </c>
      <c r="Q315" s="103">
        <f>IF(Human_Data_Entry!BL313="","",Human_Data_Entry!BL313)</f>
        <v/>
      </c>
      <c r="R315" s="103">
        <f>IF(Human_Data_Entry!BH313="","",Human_Data_Entry!BH313)</f>
        <v/>
      </c>
      <c r="S315" s="103">
        <f>IF(Human_Data_Entry!BI313="","",Human_Data_Entry!BI313)</f>
        <v/>
      </c>
      <c r="T315" s="103">
        <f>IF(Human_Data_Entry!BJ313="","",Human_Data_Entry!BJ313)</f>
        <v/>
      </c>
      <c r="U315" s="103">
        <f>IF(Human_Data_Entry!AP313="","",Human_Data_Entry!AP313)</f>
        <v/>
      </c>
      <c r="V315" s="103">
        <f>IF(Human_Data_Entry!AQ313="","",Human_Data_Entry!AQ313)</f>
        <v/>
      </c>
      <c r="W315" s="103">
        <f>IF(Human_Data_Entry!AR313="","",Human_Data_Entry!AR313)</f>
        <v/>
      </c>
      <c r="X315" s="103">
        <f>IF(Human_Data_Entry!BK313="","",Human_Data_Entry!BK313)</f>
        <v/>
      </c>
    </row>
    <row r="316" ht="15" customHeight="1" s="241">
      <c r="A316" s="103">
        <f>IF(Human_Data_Entry!A314="","",Human_Data_Entry!A314)</f>
        <v/>
      </c>
      <c r="B316" s="103">
        <f>IF(Human_Data_Entry!B314="","",Human_Data_Entry!B314)</f>
        <v/>
      </c>
      <c r="C316" s="104">
        <f>IF(Human_Data_Entry!C314="","",Human_Data_Entry!C314)</f>
        <v/>
      </c>
      <c r="D316" s="103">
        <f>IF(Human_Data_Entry!D314="","",Human_Data_Entry!D314)</f>
        <v/>
      </c>
      <c r="E316" s="103">
        <f>IF(Human_Data_Entry!G314="","",Human_Data_Entry!G314)</f>
        <v/>
      </c>
      <c r="F316" s="103">
        <f>IF(Human_Data_Entry!X314="","",Human_Data_Entry!X314)</f>
        <v/>
      </c>
      <c r="G316" s="103">
        <f>IF(Human_Data_Entry!AY314="","",Human_Data_Entry!AY314)</f>
        <v/>
      </c>
      <c r="H316" s="103">
        <f>IF(Human_Data_Entry!AS314="","",Human_Data_Entry!AS314)</f>
        <v/>
      </c>
      <c r="I316" s="103">
        <f>IF(Human_Data_Entry!F314="","",Human_Data_Entry!F314)</f>
        <v/>
      </c>
      <c r="J316" s="103">
        <f>IF(Human_Data_Entry!BA314="","",Human_Data_Entry!BA314)</f>
        <v/>
      </c>
      <c r="K316" s="103">
        <f>IF(Human_Data_Entry!BB314="","",Human_Data_Entry!BB314)</f>
        <v/>
      </c>
      <c r="L316" s="103">
        <f>IF(Human_Data_Entry!BC314="","",Human_Data_Entry!BC314)</f>
        <v/>
      </c>
      <c r="M316" s="104">
        <f>IF(Human_Data_Entry!BD314="","",Human_Data_Entry!BD314)</f>
        <v/>
      </c>
      <c r="N316" s="104">
        <f>IF(Human_Data_Entry!BE314="","",Human_Data_Entry!BE314)</f>
        <v/>
      </c>
      <c r="O316" s="105">
        <f>IF(Human_Data_Entry!BF314="","",Human_Data_Entry!BF314)</f>
        <v/>
      </c>
      <c r="P316" s="103">
        <f>IF(Human_Data_Entry!BG314="","",Human_Data_Entry!BG314)</f>
        <v/>
      </c>
      <c r="Q316" s="103">
        <f>IF(Human_Data_Entry!BL314="","",Human_Data_Entry!BL314)</f>
        <v/>
      </c>
      <c r="R316" s="103">
        <f>IF(Human_Data_Entry!BH314="","",Human_Data_Entry!BH314)</f>
        <v/>
      </c>
      <c r="S316" s="103">
        <f>IF(Human_Data_Entry!BI314="","",Human_Data_Entry!BI314)</f>
        <v/>
      </c>
      <c r="T316" s="103">
        <f>IF(Human_Data_Entry!BJ314="","",Human_Data_Entry!BJ314)</f>
        <v/>
      </c>
      <c r="U316" s="103">
        <f>IF(Human_Data_Entry!AP314="","",Human_Data_Entry!AP314)</f>
        <v/>
      </c>
      <c r="V316" s="103">
        <f>IF(Human_Data_Entry!AQ314="","",Human_Data_Entry!AQ314)</f>
        <v/>
      </c>
      <c r="W316" s="103">
        <f>IF(Human_Data_Entry!AR314="","",Human_Data_Entry!AR314)</f>
        <v/>
      </c>
      <c r="X316" s="103">
        <f>IF(Human_Data_Entry!BK314="","",Human_Data_Entry!BK314)</f>
        <v/>
      </c>
    </row>
    <row r="317" ht="15" customHeight="1" s="241">
      <c r="A317" s="103">
        <f>IF(Human_Data_Entry!A315="","",Human_Data_Entry!A315)</f>
        <v/>
      </c>
      <c r="B317" s="103">
        <f>IF(Human_Data_Entry!B315="","",Human_Data_Entry!B315)</f>
        <v/>
      </c>
      <c r="C317" s="104">
        <f>IF(Human_Data_Entry!C315="","",Human_Data_Entry!C315)</f>
        <v/>
      </c>
      <c r="D317" s="103">
        <f>IF(Human_Data_Entry!D315="","",Human_Data_Entry!D315)</f>
        <v/>
      </c>
      <c r="E317" s="103">
        <f>IF(Human_Data_Entry!G315="","",Human_Data_Entry!G315)</f>
        <v/>
      </c>
      <c r="F317" s="103">
        <f>IF(Human_Data_Entry!X315="","",Human_Data_Entry!X315)</f>
        <v/>
      </c>
      <c r="G317" s="103">
        <f>IF(Human_Data_Entry!AY315="","",Human_Data_Entry!AY315)</f>
        <v/>
      </c>
      <c r="H317" s="103">
        <f>IF(Human_Data_Entry!AS315="","",Human_Data_Entry!AS315)</f>
        <v/>
      </c>
      <c r="I317" s="103">
        <f>IF(Human_Data_Entry!F315="","",Human_Data_Entry!F315)</f>
        <v/>
      </c>
      <c r="J317" s="103">
        <f>IF(Human_Data_Entry!BA315="","",Human_Data_Entry!BA315)</f>
        <v/>
      </c>
      <c r="K317" s="103">
        <f>IF(Human_Data_Entry!BB315="","",Human_Data_Entry!BB315)</f>
        <v/>
      </c>
      <c r="L317" s="103">
        <f>IF(Human_Data_Entry!BC315="","",Human_Data_Entry!BC315)</f>
        <v/>
      </c>
      <c r="M317" s="104">
        <f>IF(Human_Data_Entry!BD315="","",Human_Data_Entry!BD315)</f>
        <v/>
      </c>
      <c r="N317" s="104">
        <f>IF(Human_Data_Entry!BE315="","",Human_Data_Entry!BE315)</f>
        <v/>
      </c>
      <c r="O317" s="105">
        <f>IF(Human_Data_Entry!BF315="","",Human_Data_Entry!BF315)</f>
        <v/>
      </c>
      <c r="P317" s="103">
        <f>IF(Human_Data_Entry!BG315="","",Human_Data_Entry!BG315)</f>
        <v/>
      </c>
      <c r="Q317" s="103">
        <f>IF(Human_Data_Entry!BL315="","",Human_Data_Entry!BL315)</f>
        <v/>
      </c>
      <c r="R317" s="103">
        <f>IF(Human_Data_Entry!BH315="","",Human_Data_Entry!BH315)</f>
        <v/>
      </c>
      <c r="S317" s="103">
        <f>IF(Human_Data_Entry!BI315="","",Human_Data_Entry!BI315)</f>
        <v/>
      </c>
      <c r="T317" s="103">
        <f>IF(Human_Data_Entry!BJ315="","",Human_Data_Entry!BJ315)</f>
        <v/>
      </c>
      <c r="U317" s="103">
        <f>IF(Human_Data_Entry!AP315="","",Human_Data_Entry!AP315)</f>
        <v/>
      </c>
      <c r="V317" s="103">
        <f>IF(Human_Data_Entry!AQ315="","",Human_Data_Entry!AQ315)</f>
        <v/>
      </c>
      <c r="W317" s="103">
        <f>IF(Human_Data_Entry!AR315="","",Human_Data_Entry!AR315)</f>
        <v/>
      </c>
      <c r="X317" s="103">
        <f>IF(Human_Data_Entry!BK315="","",Human_Data_Entry!BK315)</f>
        <v/>
      </c>
    </row>
    <row r="318" ht="15" customHeight="1" s="241">
      <c r="A318" s="103">
        <f>IF(Human_Data_Entry!A316="","",Human_Data_Entry!A316)</f>
        <v/>
      </c>
      <c r="B318" s="103">
        <f>IF(Human_Data_Entry!B316="","",Human_Data_Entry!B316)</f>
        <v/>
      </c>
      <c r="C318" s="104">
        <f>IF(Human_Data_Entry!C316="","",Human_Data_Entry!C316)</f>
        <v/>
      </c>
      <c r="D318" s="103">
        <f>IF(Human_Data_Entry!D316="","",Human_Data_Entry!D316)</f>
        <v/>
      </c>
      <c r="E318" s="103">
        <f>IF(Human_Data_Entry!G316="","",Human_Data_Entry!G316)</f>
        <v/>
      </c>
      <c r="F318" s="103">
        <f>IF(Human_Data_Entry!X316="","",Human_Data_Entry!X316)</f>
        <v/>
      </c>
      <c r="G318" s="103">
        <f>IF(Human_Data_Entry!AY316="","",Human_Data_Entry!AY316)</f>
        <v/>
      </c>
      <c r="H318" s="103">
        <f>IF(Human_Data_Entry!AS316="","",Human_Data_Entry!AS316)</f>
        <v/>
      </c>
      <c r="I318" s="103">
        <f>IF(Human_Data_Entry!F316="","",Human_Data_Entry!F316)</f>
        <v/>
      </c>
      <c r="J318" s="103">
        <f>IF(Human_Data_Entry!BA316="","",Human_Data_Entry!BA316)</f>
        <v/>
      </c>
      <c r="K318" s="103">
        <f>IF(Human_Data_Entry!BB316="","",Human_Data_Entry!BB316)</f>
        <v/>
      </c>
      <c r="L318" s="103">
        <f>IF(Human_Data_Entry!BC316="","",Human_Data_Entry!BC316)</f>
        <v/>
      </c>
      <c r="M318" s="104">
        <f>IF(Human_Data_Entry!BD316="","",Human_Data_Entry!BD316)</f>
        <v/>
      </c>
      <c r="N318" s="104">
        <f>IF(Human_Data_Entry!BE316="","",Human_Data_Entry!BE316)</f>
        <v/>
      </c>
      <c r="O318" s="105">
        <f>IF(Human_Data_Entry!BF316="","",Human_Data_Entry!BF316)</f>
        <v/>
      </c>
      <c r="P318" s="103">
        <f>IF(Human_Data_Entry!BG316="","",Human_Data_Entry!BG316)</f>
        <v/>
      </c>
      <c r="Q318" s="103">
        <f>IF(Human_Data_Entry!BL316="","",Human_Data_Entry!BL316)</f>
        <v/>
      </c>
      <c r="R318" s="103">
        <f>IF(Human_Data_Entry!BH316="","",Human_Data_Entry!BH316)</f>
        <v/>
      </c>
      <c r="S318" s="103">
        <f>IF(Human_Data_Entry!BI316="","",Human_Data_Entry!BI316)</f>
        <v/>
      </c>
      <c r="T318" s="103">
        <f>IF(Human_Data_Entry!BJ316="","",Human_Data_Entry!BJ316)</f>
        <v/>
      </c>
      <c r="U318" s="103">
        <f>IF(Human_Data_Entry!AP316="","",Human_Data_Entry!AP316)</f>
        <v/>
      </c>
      <c r="V318" s="103">
        <f>IF(Human_Data_Entry!AQ316="","",Human_Data_Entry!AQ316)</f>
        <v/>
      </c>
      <c r="W318" s="103">
        <f>IF(Human_Data_Entry!AR316="","",Human_Data_Entry!AR316)</f>
        <v/>
      </c>
      <c r="X318" s="103">
        <f>IF(Human_Data_Entry!BK316="","",Human_Data_Entry!BK316)</f>
        <v/>
      </c>
    </row>
    <row r="319" ht="15" customHeight="1" s="241">
      <c r="A319" s="103">
        <f>IF(Human_Data_Entry!A317="","",Human_Data_Entry!A317)</f>
        <v/>
      </c>
      <c r="B319" s="103">
        <f>IF(Human_Data_Entry!B317="","",Human_Data_Entry!B317)</f>
        <v/>
      </c>
      <c r="C319" s="104">
        <f>IF(Human_Data_Entry!C317="","",Human_Data_Entry!C317)</f>
        <v/>
      </c>
      <c r="D319" s="103">
        <f>IF(Human_Data_Entry!D317="","",Human_Data_Entry!D317)</f>
        <v/>
      </c>
      <c r="E319" s="103">
        <f>IF(Human_Data_Entry!G317="","",Human_Data_Entry!G317)</f>
        <v/>
      </c>
      <c r="F319" s="103">
        <f>IF(Human_Data_Entry!X317="","",Human_Data_Entry!X317)</f>
        <v/>
      </c>
      <c r="G319" s="103">
        <f>IF(Human_Data_Entry!AY317="","",Human_Data_Entry!AY317)</f>
        <v/>
      </c>
      <c r="H319" s="103">
        <f>IF(Human_Data_Entry!AS317="","",Human_Data_Entry!AS317)</f>
        <v/>
      </c>
      <c r="I319" s="103">
        <f>IF(Human_Data_Entry!F317="","",Human_Data_Entry!F317)</f>
        <v/>
      </c>
      <c r="J319" s="103">
        <f>IF(Human_Data_Entry!BA317="","",Human_Data_Entry!BA317)</f>
        <v/>
      </c>
      <c r="K319" s="103">
        <f>IF(Human_Data_Entry!BB317="","",Human_Data_Entry!BB317)</f>
        <v/>
      </c>
      <c r="L319" s="103">
        <f>IF(Human_Data_Entry!BC317="","",Human_Data_Entry!BC317)</f>
        <v/>
      </c>
      <c r="M319" s="104">
        <f>IF(Human_Data_Entry!BD317="","",Human_Data_Entry!BD317)</f>
        <v/>
      </c>
      <c r="N319" s="104">
        <f>IF(Human_Data_Entry!BE317="","",Human_Data_Entry!BE317)</f>
        <v/>
      </c>
      <c r="O319" s="105">
        <f>IF(Human_Data_Entry!BF317="","",Human_Data_Entry!BF317)</f>
        <v/>
      </c>
      <c r="P319" s="103">
        <f>IF(Human_Data_Entry!BG317="","",Human_Data_Entry!BG317)</f>
        <v/>
      </c>
      <c r="Q319" s="103">
        <f>IF(Human_Data_Entry!BL317="","",Human_Data_Entry!BL317)</f>
        <v/>
      </c>
      <c r="R319" s="103">
        <f>IF(Human_Data_Entry!BH317="","",Human_Data_Entry!BH317)</f>
        <v/>
      </c>
      <c r="S319" s="103">
        <f>IF(Human_Data_Entry!BI317="","",Human_Data_Entry!BI317)</f>
        <v/>
      </c>
      <c r="T319" s="103">
        <f>IF(Human_Data_Entry!BJ317="","",Human_Data_Entry!BJ317)</f>
        <v/>
      </c>
      <c r="U319" s="103">
        <f>IF(Human_Data_Entry!AP317="","",Human_Data_Entry!AP317)</f>
        <v/>
      </c>
      <c r="V319" s="103">
        <f>IF(Human_Data_Entry!AQ317="","",Human_Data_Entry!AQ317)</f>
        <v/>
      </c>
      <c r="W319" s="103">
        <f>IF(Human_Data_Entry!AR317="","",Human_Data_Entry!AR317)</f>
        <v/>
      </c>
      <c r="X319" s="103">
        <f>IF(Human_Data_Entry!BK317="","",Human_Data_Entry!BK317)</f>
        <v/>
      </c>
    </row>
    <row r="320" ht="15" customHeight="1" s="241">
      <c r="A320" s="103">
        <f>IF(Human_Data_Entry!A318="","",Human_Data_Entry!A318)</f>
        <v/>
      </c>
      <c r="B320" s="103">
        <f>IF(Human_Data_Entry!B318="","",Human_Data_Entry!B318)</f>
        <v/>
      </c>
      <c r="C320" s="104">
        <f>IF(Human_Data_Entry!C318="","",Human_Data_Entry!C318)</f>
        <v/>
      </c>
      <c r="D320" s="103">
        <f>IF(Human_Data_Entry!D318="","",Human_Data_Entry!D318)</f>
        <v/>
      </c>
      <c r="E320" s="103">
        <f>IF(Human_Data_Entry!G318="","",Human_Data_Entry!G318)</f>
        <v/>
      </c>
      <c r="F320" s="103">
        <f>IF(Human_Data_Entry!X318="","",Human_Data_Entry!X318)</f>
        <v/>
      </c>
      <c r="G320" s="103">
        <f>IF(Human_Data_Entry!AY318="","",Human_Data_Entry!AY318)</f>
        <v/>
      </c>
      <c r="H320" s="103">
        <f>IF(Human_Data_Entry!AS318="","",Human_Data_Entry!AS318)</f>
        <v/>
      </c>
      <c r="I320" s="103">
        <f>IF(Human_Data_Entry!F318="","",Human_Data_Entry!F318)</f>
        <v/>
      </c>
      <c r="J320" s="103">
        <f>IF(Human_Data_Entry!BA318="","",Human_Data_Entry!BA318)</f>
        <v/>
      </c>
      <c r="K320" s="103">
        <f>IF(Human_Data_Entry!BB318="","",Human_Data_Entry!BB318)</f>
        <v/>
      </c>
      <c r="L320" s="103">
        <f>IF(Human_Data_Entry!BC318="","",Human_Data_Entry!BC318)</f>
        <v/>
      </c>
      <c r="M320" s="104">
        <f>IF(Human_Data_Entry!BD318="","",Human_Data_Entry!BD318)</f>
        <v/>
      </c>
      <c r="N320" s="104">
        <f>IF(Human_Data_Entry!BE318="","",Human_Data_Entry!BE318)</f>
        <v/>
      </c>
      <c r="O320" s="105">
        <f>IF(Human_Data_Entry!BF318="","",Human_Data_Entry!BF318)</f>
        <v/>
      </c>
      <c r="P320" s="103">
        <f>IF(Human_Data_Entry!BG318="","",Human_Data_Entry!BG318)</f>
        <v/>
      </c>
      <c r="Q320" s="103">
        <f>IF(Human_Data_Entry!BL318="","",Human_Data_Entry!BL318)</f>
        <v/>
      </c>
      <c r="R320" s="103">
        <f>IF(Human_Data_Entry!BH318="","",Human_Data_Entry!BH318)</f>
        <v/>
      </c>
      <c r="S320" s="103">
        <f>IF(Human_Data_Entry!BI318="","",Human_Data_Entry!BI318)</f>
        <v/>
      </c>
      <c r="T320" s="103">
        <f>IF(Human_Data_Entry!BJ318="","",Human_Data_Entry!BJ318)</f>
        <v/>
      </c>
      <c r="U320" s="103">
        <f>IF(Human_Data_Entry!AP318="","",Human_Data_Entry!AP318)</f>
        <v/>
      </c>
      <c r="V320" s="103">
        <f>IF(Human_Data_Entry!AQ318="","",Human_Data_Entry!AQ318)</f>
        <v/>
      </c>
      <c r="W320" s="103">
        <f>IF(Human_Data_Entry!AR318="","",Human_Data_Entry!AR318)</f>
        <v/>
      </c>
      <c r="X320" s="103">
        <f>IF(Human_Data_Entry!BK318="","",Human_Data_Entry!BK318)</f>
        <v/>
      </c>
    </row>
    <row r="321" ht="15" customHeight="1" s="241">
      <c r="A321" s="103">
        <f>IF(Human_Data_Entry!A319="","",Human_Data_Entry!A319)</f>
        <v/>
      </c>
      <c r="B321" s="103">
        <f>IF(Human_Data_Entry!B319="","",Human_Data_Entry!B319)</f>
        <v/>
      </c>
      <c r="C321" s="104">
        <f>IF(Human_Data_Entry!C319="","",Human_Data_Entry!C319)</f>
        <v/>
      </c>
      <c r="D321" s="103">
        <f>IF(Human_Data_Entry!D319="","",Human_Data_Entry!D319)</f>
        <v/>
      </c>
      <c r="E321" s="103">
        <f>IF(Human_Data_Entry!G319="","",Human_Data_Entry!G319)</f>
        <v/>
      </c>
      <c r="F321" s="103">
        <f>IF(Human_Data_Entry!X319="","",Human_Data_Entry!X319)</f>
        <v/>
      </c>
      <c r="G321" s="103">
        <f>IF(Human_Data_Entry!AY319="","",Human_Data_Entry!AY319)</f>
        <v/>
      </c>
      <c r="H321" s="103">
        <f>IF(Human_Data_Entry!AS319="","",Human_Data_Entry!AS319)</f>
        <v/>
      </c>
      <c r="I321" s="103">
        <f>IF(Human_Data_Entry!F319="","",Human_Data_Entry!F319)</f>
        <v/>
      </c>
      <c r="J321" s="103">
        <f>IF(Human_Data_Entry!BA319="","",Human_Data_Entry!BA319)</f>
        <v/>
      </c>
      <c r="K321" s="103">
        <f>IF(Human_Data_Entry!BB319="","",Human_Data_Entry!BB319)</f>
        <v/>
      </c>
      <c r="L321" s="103">
        <f>IF(Human_Data_Entry!BC319="","",Human_Data_Entry!BC319)</f>
        <v/>
      </c>
      <c r="M321" s="104">
        <f>IF(Human_Data_Entry!BD319="","",Human_Data_Entry!BD319)</f>
        <v/>
      </c>
      <c r="N321" s="104">
        <f>IF(Human_Data_Entry!BE319="","",Human_Data_Entry!BE319)</f>
        <v/>
      </c>
      <c r="O321" s="105">
        <f>IF(Human_Data_Entry!BF319="","",Human_Data_Entry!BF319)</f>
        <v/>
      </c>
      <c r="P321" s="103">
        <f>IF(Human_Data_Entry!BG319="","",Human_Data_Entry!BG319)</f>
        <v/>
      </c>
      <c r="Q321" s="103">
        <f>IF(Human_Data_Entry!BL319="","",Human_Data_Entry!BL319)</f>
        <v/>
      </c>
      <c r="R321" s="103">
        <f>IF(Human_Data_Entry!BH319="","",Human_Data_Entry!BH319)</f>
        <v/>
      </c>
      <c r="S321" s="103">
        <f>IF(Human_Data_Entry!BI319="","",Human_Data_Entry!BI319)</f>
        <v/>
      </c>
      <c r="T321" s="103">
        <f>IF(Human_Data_Entry!BJ319="","",Human_Data_Entry!BJ319)</f>
        <v/>
      </c>
      <c r="U321" s="103">
        <f>IF(Human_Data_Entry!AP319="","",Human_Data_Entry!AP319)</f>
        <v/>
      </c>
      <c r="V321" s="103">
        <f>IF(Human_Data_Entry!AQ319="","",Human_Data_Entry!AQ319)</f>
        <v/>
      </c>
      <c r="W321" s="103">
        <f>IF(Human_Data_Entry!AR319="","",Human_Data_Entry!AR319)</f>
        <v/>
      </c>
      <c r="X321" s="103">
        <f>IF(Human_Data_Entry!BK319="","",Human_Data_Entry!BK319)</f>
        <v/>
      </c>
    </row>
    <row r="322" ht="15" customHeight="1" s="241">
      <c r="A322" s="103">
        <f>IF(Human_Data_Entry!A320="","",Human_Data_Entry!A320)</f>
        <v/>
      </c>
      <c r="B322" s="103">
        <f>IF(Human_Data_Entry!B320="","",Human_Data_Entry!B320)</f>
        <v/>
      </c>
      <c r="C322" s="104">
        <f>IF(Human_Data_Entry!C320="","",Human_Data_Entry!C320)</f>
        <v/>
      </c>
      <c r="D322" s="103">
        <f>IF(Human_Data_Entry!D320="","",Human_Data_Entry!D320)</f>
        <v/>
      </c>
      <c r="E322" s="103">
        <f>IF(Human_Data_Entry!G320="","",Human_Data_Entry!G320)</f>
        <v/>
      </c>
      <c r="F322" s="103">
        <f>IF(Human_Data_Entry!X320="","",Human_Data_Entry!X320)</f>
        <v/>
      </c>
      <c r="G322" s="103">
        <f>IF(Human_Data_Entry!AY320="","",Human_Data_Entry!AY320)</f>
        <v/>
      </c>
      <c r="H322" s="103">
        <f>IF(Human_Data_Entry!AS320="","",Human_Data_Entry!AS320)</f>
        <v/>
      </c>
      <c r="I322" s="103">
        <f>IF(Human_Data_Entry!F320="","",Human_Data_Entry!F320)</f>
        <v/>
      </c>
      <c r="J322" s="103">
        <f>IF(Human_Data_Entry!BA320="","",Human_Data_Entry!BA320)</f>
        <v/>
      </c>
      <c r="K322" s="103">
        <f>IF(Human_Data_Entry!BB320="","",Human_Data_Entry!BB320)</f>
        <v/>
      </c>
      <c r="L322" s="103">
        <f>IF(Human_Data_Entry!BC320="","",Human_Data_Entry!BC320)</f>
        <v/>
      </c>
      <c r="M322" s="104">
        <f>IF(Human_Data_Entry!BD320="","",Human_Data_Entry!BD320)</f>
        <v/>
      </c>
      <c r="N322" s="104">
        <f>IF(Human_Data_Entry!BE320="","",Human_Data_Entry!BE320)</f>
        <v/>
      </c>
      <c r="O322" s="105">
        <f>IF(Human_Data_Entry!BF320="","",Human_Data_Entry!BF320)</f>
        <v/>
      </c>
      <c r="P322" s="103">
        <f>IF(Human_Data_Entry!BG320="","",Human_Data_Entry!BG320)</f>
        <v/>
      </c>
      <c r="Q322" s="103">
        <f>IF(Human_Data_Entry!BL320="","",Human_Data_Entry!BL320)</f>
        <v/>
      </c>
      <c r="R322" s="103">
        <f>IF(Human_Data_Entry!BH320="","",Human_Data_Entry!BH320)</f>
        <v/>
      </c>
      <c r="S322" s="103">
        <f>IF(Human_Data_Entry!BI320="","",Human_Data_Entry!BI320)</f>
        <v/>
      </c>
      <c r="T322" s="103">
        <f>IF(Human_Data_Entry!BJ320="","",Human_Data_Entry!BJ320)</f>
        <v/>
      </c>
      <c r="U322" s="103">
        <f>IF(Human_Data_Entry!AP320="","",Human_Data_Entry!AP320)</f>
        <v/>
      </c>
      <c r="V322" s="103">
        <f>IF(Human_Data_Entry!AQ320="","",Human_Data_Entry!AQ320)</f>
        <v/>
      </c>
      <c r="W322" s="103">
        <f>IF(Human_Data_Entry!AR320="","",Human_Data_Entry!AR320)</f>
        <v/>
      </c>
      <c r="X322" s="103">
        <f>IF(Human_Data_Entry!BK320="","",Human_Data_Entry!BK320)</f>
        <v/>
      </c>
    </row>
    <row r="323" ht="15" customHeight="1" s="241">
      <c r="A323" s="103">
        <f>IF(Human_Data_Entry!A321="","",Human_Data_Entry!A321)</f>
        <v/>
      </c>
      <c r="B323" s="103">
        <f>IF(Human_Data_Entry!B321="","",Human_Data_Entry!B321)</f>
        <v/>
      </c>
      <c r="C323" s="104">
        <f>IF(Human_Data_Entry!C321="","",Human_Data_Entry!C321)</f>
        <v/>
      </c>
      <c r="D323" s="103">
        <f>IF(Human_Data_Entry!D321="","",Human_Data_Entry!D321)</f>
        <v/>
      </c>
      <c r="E323" s="103">
        <f>IF(Human_Data_Entry!G321="","",Human_Data_Entry!G321)</f>
        <v/>
      </c>
      <c r="F323" s="103">
        <f>IF(Human_Data_Entry!X321="","",Human_Data_Entry!X321)</f>
        <v/>
      </c>
      <c r="G323" s="103">
        <f>IF(Human_Data_Entry!AY321="","",Human_Data_Entry!AY321)</f>
        <v/>
      </c>
      <c r="H323" s="103">
        <f>IF(Human_Data_Entry!AS321="","",Human_Data_Entry!AS321)</f>
        <v/>
      </c>
      <c r="I323" s="103">
        <f>IF(Human_Data_Entry!F321="","",Human_Data_Entry!F321)</f>
        <v/>
      </c>
      <c r="J323" s="103">
        <f>IF(Human_Data_Entry!BA321="","",Human_Data_Entry!BA321)</f>
        <v/>
      </c>
      <c r="K323" s="103">
        <f>IF(Human_Data_Entry!BB321="","",Human_Data_Entry!BB321)</f>
        <v/>
      </c>
      <c r="L323" s="103">
        <f>IF(Human_Data_Entry!BC321="","",Human_Data_Entry!BC321)</f>
        <v/>
      </c>
      <c r="M323" s="104">
        <f>IF(Human_Data_Entry!BD321="","",Human_Data_Entry!BD321)</f>
        <v/>
      </c>
      <c r="N323" s="104">
        <f>IF(Human_Data_Entry!BE321="","",Human_Data_Entry!BE321)</f>
        <v/>
      </c>
      <c r="O323" s="105">
        <f>IF(Human_Data_Entry!BF321="","",Human_Data_Entry!BF321)</f>
        <v/>
      </c>
      <c r="P323" s="103">
        <f>IF(Human_Data_Entry!BG321="","",Human_Data_Entry!BG321)</f>
        <v/>
      </c>
      <c r="Q323" s="103">
        <f>IF(Human_Data_Entry!BL321="","",Human_Data_Entry!BL321)</f>
        <v/>
      </c>
      <c r="R323" s="103">
        <f>IF(Human_Data_Entry!BH321="","",Human_Data_Entry!BH321)</f>
        <v/>
      </c>
      <c r="S323" s="103">
        <f>IF(Human_Data_Entry!BI321="","",Human_Data_Entry!BI321)</f>
        <v/>
      </c>
      <c r="T323" s="103">
        <f>IF(Human_Data_Entry!BJ321="","",Human_Data_Entry!BJ321)</f>
        <v/>
      </c>
      <c r="U323" s="103">
        <f>IF(Human_Data_Entry!AP321="","",Human_Data_Entry!AP321)</f>
        <v/>
      </c>
      <c r="V323" s="103">
        <f>IF(Human_Data_Entry!AQ321="","",Human_Data_Entry!AQ321)</f>
        <v/>
      </c>
      <c r="W323" s="103">
        <f>IF(Human_Data_Entry!AR321="","",Human_Data_Entry!AR321)</f>
        <v/>
      </c>
      <c r="X323" s="103">
        <f>IF(Human_Data_Entry!BK321="","",Human_Data_Entry!BK321)</f>
        <v/>
      </c>
    </row>
    <row r="324" ht="15" customHeight="1" s="241">
      <c r="A324" s="103">
        <f>IF(Human_Data_Entry!A322="","",Human_Data_Entry!A322)</f>
        <v/>
      </c>
      <c r="B324" s="103">
        <f>IF(Human_Data_Entry!B322="","",Human_Data_Entry!B322)</f>
        <v/>
      </c>
      <c r="C324" s="104">
        <f>IF(Human_Data_Entry!C322="","",Human_Data_Entry!C322)</f>
        <v/>
      </c>
      <c r="D324" s="103">
        <f>IF(Human_Data_Entry!D322="","",Human_Data_Entry!D322)</f>
        <v/>
      </c>
      <c r="E324" s="103">
        <f>IF(Human_Data_Entry!G322="","",Human_Data_Entry!G322)</f>
        <v/>
      </c>
      <c r="F324" s="103">
        <f>IF(Human_Data_Entry!X322="","",Human_Data_Entry!X322)</f>
        <v/>
      </c>
      <c r="G324" s="103">
        <f>IF(Human_Data_Entry!AY322="","",Human_Data_Entry!AY322)</f>
        <v/>
      </c>
      <c r="H324" s="103">
        <f>IF(Human_Data_Entry!AS322="","",Human_Data_Entry!AS322)</f>
        <v/>
      </c>
      <c r="I324" s="103">
        <f>IF(Human_Data_Entry!F322="","",Human_Data_Entry!F322)</f>
        <v/>
      </c>
      <c r="J324" s="103">
        <f>IF(Human_Data_Entry!BA322="","",Human_Data_Entry!BA322)</f>
        <v/>
      </c>
      <c r="K324" s="103">
        <f>IF(Human_Data_Entry!BB322="","",Human_Data_Entry!BB322)</f>
        <v/>
      </c>
      <c r="L324" s="103">
        <f>IF(Human_Data_Entry!BC322="","",Human_Data_Entry!BC322)</f>
        <v/>
      </c>
      <c r="M324" s="104">
        <f>IF(Human_Data_Entry!BD322="","",Human_Data_Entry!BD322)</f>
        <v/>
      </c>
      <c r="N324" s="104">
        <f>IF(Human_Data_Entry!BE322="","",Human_Data_Entry!BE322)</f>
        <v/>
      </c>
      <c r="O324" s="105">
        <f>IF(Human_Data_Entry!BF322="","",Human_Data_Entry!BF322)</f>
        <v/>
      </c>
      <c r="P324" s="103">
        <f>IF(Human_Data_Entry!BG322="","",Human_Data_Entry!BG322)</f>
        <v/>
      </c>
      <c r="Q324" s="103">
        <f>IF(Human_Data_Entry!BL322="","",Human_Data_Entry!BL322)</f>
        <v/>
      </c>
      <c r="R324" s="103">
        <f>IF(Human_Data_Entry!BH322="","",Human_Data_Entry!BH322)</f>
        <v/>
      </c>
      <c r="S324" s="103">
        <f>IF(Human_Data_Entry!BI322="","",Human_Data_Entry!BI322)</f>
        <v/>
      </c>
      <c r="T324" s="103">
        <f>IF(Human_Data_Entry!BJ322="","",Human_Data_Entry!BJ322)</f>
        <v/>
      </c>
      <c r="U324" s="103">
        <f>IF(Human_Data_Entry!AP322="","",Human_Data_Entry!AP322)</f>
        <v/>
      </c>
      <c r="V324" s="103">
        <f>IF(Human_Data_Entry!AQ322="","",Human_Data_Entry!AQ322)</f>
        <v/>
      </c>
      <c r="W324" s="103">
        <f>IF(Human_Data_Entry!AR322="","",Human_Data_Entry!AR322)</f>
        <v/>
      </c>
      <c r="X324" s="103">
        <f>IF(Human_Data_Entry!BK322="","",Human_Data_Entry!BK322)</f>
        <v/>
      </c>
    </row>
    <row r="325" ht="15" customHeight="1" s="241">
      <c r="A325" s="103">
        <f>IF(Human_Data_Entry!A323="","",Human_Data_Entry!A323)</f>
        <v/>
      </c>
      <c r="B325" s="103">
        <f>IF(Human_Data_Entry!B323="","",Human_Data_Entry!B323)</f>
        <v/>
      </c>
      <c r="C325" s="104">
        <f>IF(Human_Data_Entry!C323="","",Human_Data_Entry!C323)</f>
        <v/>
      </c>
      <c r="D325" s="103">
        <f>IF(Human_Data_Entry!D323="","",Human_Data_Entry!D323)</f>
        <v/>
      </c>
      <c r="E325" s="103">
        <f>IF(Human_Data_Entry!G323="","",Human_Data_Entry!G323)</f>
        <v/>
      </c>
      <c r="F325" s="103">
        <f>IF(Human_Data_Entry!X323="","",Human_Data_Entry!X323)</f>
        <v/>
      </c>
      <c r="G325" s="103">
        <f>IF(Human_Data_Entry!AY323="","",Human_Data_Entry!AY323)</f>
        <v/>
      </c>
      <c r="H325" s="103">
        <f>IF(Human_Data_Entry!AS323="","",Human_Data_Entry!AS323)</f>
        <v/>
      </c>
      <c r="I325" s="103">
        <f>IF(Human_Data_Entry!F323="","",Human_Data_Entry!F323)</f>
        <v/>
      </c>
      <c r="J325" s="103">
        <f>IF(Human_Data_Entry!BA323="","",Human_Data_Entry!BA323)</f>
        <v/>
      </c>
      <c r="K325" s="103">
        <f>IF(Human_Data_Entry!BB323="","",Human_Data_Entry!BB323)</f>
        <v/>
      </c>
      <c r="L325" s="103">
        <f>IF(Human_Data_Entry!BC323="","",Human_Data_Entry!BC323)</f>
        <v/>
      </c>
      <c r="M325" s="104">
        <f>IF(Human_Data_Entry!BD323="","",Human_Data_Entry!BD323)</f>
        <v/>
      </c>
      <c r="N325" s="104">
        <f>IF(Human_Data_Entry!BE323="","",Human_Data_Entry!BE323)</f>
        <v/>
      </c>
      <c r="O325" s="105">
        <f>IF(Human_Data_Entry!BF323="","",Human_Data_Entry!BF323)</f>
        <v/>
      </c>
      <c r="P325" s="103">
        <f>IF(Human_Data_Entry!BG323="","",Human_Data_Entry!BG323)</f>
        <v/>
      </c>
      <c r="Q325" s="103">
        <f>IF(Human_Data_Entry!BL323="","",Human_Data_Entry!BL323)</f>
        <v/>
      </c>
      <c r="R325" s="103">
        <f>IF(Human_Data_Entry!BH323="","",Human_Data_Entry!BH323)</f>
        <v/>
      </c>
      <c r="S325" s="103">
        <f>IF(Human_Data_Entry!BI323="","",Human_Data_Entry!BI323)</f>
        <v/>
      </c>
      <c r="T325" s="103">
        <f>IF(Human_Data_Entry!BJ323="","",Human_Data_Entry!BJ323)</f>
        <v/>
      </c>
      <c r="U325" s="103">
        <f>IF(Human_Data_Entry!AP323="","",Human_Data_Entry!AP323)</f>
        <v/>
      </c>
      <c r="V325" s="103">
        <f>IF(Human_Data_Entry!AQ323="","",Human_Data_Entry!AQ323)</f>
        <v/>
      </c>
      <c r="W325" s="103">
        <f>IF(Human_Data_Entry!AR323="","",Human_Data_Entry!AR323)</f>
        <v/>
      </c>
      <c r="X325" s="103">
        <f>IF(Human_Data_Entry!BK323="","",Human_Data_Entry!BK323)</f>
        <v/>
      </c>
    </row>
    <row r="326" ht="15" customHeight="1" s="241">
      <c r="A326" s="103">
        <f>IF(Human_Data_Entry!A324="","",Human_Data_Entry!A324)</f>
        <v/>
      </c>
      <c r="B326" s="103">
        <f>IF(Human_Data_Entry!B324="","",Human_Data_Entry!B324)</f>
        <v/>
      </c>
      <c r="C326" s="104">
        <f>IF(Human_Data_Entry!C324="","",Human_Data_Entry!C324)</f>
        <v/>
      </c>
      <c r="D326" s="103">
        <f>IF(Human_Data_Entry!D324="","",Human_Data_Entry!D324)</f>
        <v/>
      </c>
      <c r="E326" s="103">
        <f>IF(Human_Data_Entry!G324="","",Human_Data_Entry!G324)</f>
        <v/>
      </c>
      <c r="F326" s="103">
        <f>IF(Human_Data_Entry!X324="","",Human_Data_Entry!X324)</f>
        <v/>
      </c>
      <c r="G326" s="103">
        <f>IF(Human_Data_Entry!AY324="","",Human_Data_Entry!AY324)</f>
        <v/>
      </c>
      <c r="H326" s="103">
        <f>IF(Human_Data_Entry!AS324="","",Human_Data_Entry!AS324)</f>
        <v/>
      </c>
      <c r="I326" s="103">
        <f>IF(Human_Data_Entry!F324="","",Human_Data_Entry!F324)</f>
        <v/>
      </c>
      <c r="J326" s="103">
        <f>IF(Human_Data_Entry!BA324="","",Human_Data_Entry!BA324)</f>
        <v/>
      </c>
      <c r="K326" s="103">
        <f>IF(Human_Data_Entry!BB324="","",Human_Data_Entry!BB324)</f>
        <v/>
      </c>
      <c r="L326" s="103">
        <f>IF(Human_Data_Entry!BC324="","",Human_Data_Entry!BC324)</f>
        <v/>
      </c>
      <c r="M326" s="104">
        <f>IF(Human_Data_Entry!BD324="","",Human_Data_Entry!BD324)</f>
        <v/>
      </c>
      <c r="N326" s="104">
        <f>IF(Human_Data_Entry!BE324="","",Human_Data_Entry!BE324)</f>
        <v/>
      </c>
      <c r="O326" s="105">
        <f>IF(Human_Data_Entry!BF324="","",Human_Data_Entry!BF324)</f>
        <v/>
      </c>
      <c r="P326" s="103">
        <f>IF(Human_Data_Entry!BG324="","",Human_Data_Entry!BG324)</f>
        <v/>
      </c>
      <c r="Q326" s="103">
        <f>IF(Human_Data_Entry!BL324="","",Human_Data_Entry!BL324)</f>
        <v/>
      </c>
      <c r="R326" s="103">
        <f>IF(Human_Data_Entry!BH324="","",Human_Data_Entry!BH324)</f>
        <v/>
      </c>
      <c r="S326" s="103">
        <f>IF(Human_Data_Entry!BI324="","",Human_Data_Entry!BI324)</f>
        <v/>
      </c>
      <c r="T326" s="103">
        <f>IF(Human_Data_Entry!BJ324="","",Human_Data_Entry!BJ324)</f>
        <v/>
      </c>
      <c r="U326" s="103">
        <f>IF(Human_Data_Entry!AP324="","",Human_Data_Entry!AP324)</f>
        <v/>
      </c>
      <c r="V326" s="103">
        <f>IF(Human_Data_Entry!AQ324="","",Human_Data_Entry!AQ324)</f>
        <v/>
      </c>
      <c r="W326" s="103">
        <f>IF(Human_Data_Entry!AR324="","",Human_Data_Entry!AR324)</f>
        <v/>
      </c>
      <c r="X326" s="103">
        <f>IF(Human_Data_Entry!BK324="","",Human_Data_Entry!BK324)</f>
        <v/>
      </c>
    </row>
    <row r="327" ht="15" customHeight="1" s="241">
      <c r="A327" s="103">
        <f>IF(Human_Data_Entry!A325="","",Human_Data_Entry!A325)</f>
        <v/>
      </c>
      <c r="B327" s="103">
        <f>IF(Human_Data_Entry!B325="","",Human_Data_Entry!B325)</f>
        <v/>
      </c>
      <c r="C327" s="104">
        <f>IF(Human_Data_Entry!C325="","",Human_Data_Entry!C325)</f>
        <v/>
      </c>
      <c r="D327" s="103">
        <f>IF(Human_Data_Entry!D325="","",Human_Data_Entry!D325)</f>
        <v/>
      </c>
      <c r="E327" s="103">
        <f>IF(Human_Data_Entry!G325="","",Human_Data_Entry!G325)</f>
        <v/>
      </c>
      <c r="F327" s="103">
        <f>IF(Human_Data_Entry!X325="","",Human_Data_Entry!X325)</f>
        <v/>
      </c>
      <c r="G327" s="103">
        <f>IF(Human_Data_Entry!AY325="","",Human_Data_Entry!AY325)</f>
        <v/>
      </c>
      <c r="H327" s="103">
        <f>IF(Human_Data_Entry!AS325="","",Human_Data_Entry!AS325)</f>
        <v/>
      </c>
      <c r="I327" s="103">
        <f>IF(Human_Data_Entry!F325="","",Human_Data_Entry!F325)</f>
        <v/>
      </c>
      <c r="J327" s="103">
        <f>IF(Human_Data_Entry!BA325="","",Human_Data_Entry!BA325)</f>
        <v/>
      </c>
      <c r="K327" s="103">
        <f>IF(Human_Data_Entry!BB325="","",Human_Data_Entry!BB325)</f>
        <v/>
      </c>
      <c r="L327" s="103">
        <f>IF(Human_Data_Entry!BC325="","",Human_Data_Entry!BC325)</f>
        <v/>
      </c>
      <c r="M327" s="104">
        <f>IF(Human_Data_Entry!BD325="","",Human_Data_Entry!BD325)</f>
        <v/>
      </c>
      <c r="N327" s="104">
        <f>IF(Human_Data_Entry!BE325="","",Human_Data_Entry!BE325)</f>
        <v/>
      </c>
      <c r="O327" s="105">
        <f>IF(Human_Data_Entry!BF325="","",Human_Data_Entry!BF325)</f>
        <v/>
      </c>
      <c r="P327" s="103">
        <f>IF(Human_Data_Entry!BG325="","",Human_Data_Entry!BG325)</f>
        <v/>
      </c>
      <c r="Q327" s="103">
        <f>IF(Human_Data_Entry!BL325="","",Human_Data_Entry!BL325)</f>
        <v/>
      </c>
      <c r="R327" s="103">
        <f>IF(Human_Data_Entry!BH325="","",Human_Data_Entry!BH325)</f>
        <v/>
      </c>
      <c r="S327" s="103">
        <f>IF(Human_Data_Entry!BI325="","",Human_Data_Entry!BI325)</f>
        <v/>
      </c>
      <c r="T327" s="103">
        <f>IF(Human_Data_Entry!BJ325="","",Human_Data_Entry!BJ325)</f>
        <v/>
      </c>
      <c r="U327" s="103">
        <f>IF(Human_Data_Entry!AP325="","",Human_Data_Entry!AP325)</f>
        <v/>
      </c>
      <c r="V327" s="103">
        <f>IF(Human_Data_Entry!AQ325="","",Human_Data_Entry!AQ325)</f>
        <v/>
      </c>
      <c r="W327" s="103">
        <f>IF(Human_Data_Entry!AR325="","",Human_Data_Entry!AR325)</f>
        <v/>
      </c>
      <c r="X327" s="103">
        <f>IF(Human_Data_Entry!BK325="","",Human_Data_Entry!BK325)</f>
        <v/>
      </c>
    </row>
    <row r="328" ht="15" customHeight="1" s="241">
      <c r="A328" s="103">
        <f>IF(Human_Data_Entry!A326="","",Human_Data_Entry!A326)</f>
        <v/>
      </c>
      <c r="B328" s="103">
        <f>IF(Human_Data_Entry!B326="","",Human_Data_Entry!B326)</f>
        <v/>
      </c>
      <c r="C328" s="104">
        <f>IF(Human_Data_Entry!C326="","",Human_Data_Entry!C326)</f>
        <v/>
      </c>
      <c r="D328" s="103">
        <f>IF(Human_Data_Entry!D326="","",Human_Data_Entry!D326)</f>
        <v/>
      </c>
      <c r="E328" s="103">
        <f>IF(Human_Data_Entry!G326="","",Human_Data_Entry!G326)</f>
        <v/>
      </c>
      <c r="F328" s="103">
        <f>IF(Human_Data_Entry!X326="","",Human_Data_Entry!X326)</f>
        <v/>
      </c>
      <c r="G328" s="103">
        <f>IF(Human_Data_Entry!AY326="","",Human_Data_Entry!AY326)</f>
        <v/>
      </c>
      <c r="H328" s="103">
        <f>IF(Human_Data_Entry!AS326="","",Human_Data_Entry!AS326)</f>
        <v/>
      </c>
      <c r="I328" s="103">
        <f>IF(Human_Data_Entry!F326="","",Human_Data_Entry!F326)</f>
        <v/>
      </c>
      <c r="J328" s="103">
        <f>IF(Human_Data_Entry!BA326="","",Human_Data_Entry!BA326)</f>
        <v/>
      </c>
      <c r="K328" s="103">
        <f>IF(Human_Data_Entry!BB326="","",Human_Data_Entry!BB326)</f>
        <v/>
      </c>
      <c r="L328" s="103">
        <f>IF(Human_Data_Entry!BC326="","",Human_Data_Entry!BC326)</f>
        <v/>
      </c>
      <c r="M328" s="104">
        <f>IF(Human_Data_Entry!BD326="","",Human_Data_Entry!BD326)</f>
        <v/>
      </c>
      <c r="N328" s="104">
        <f>IF(Human_Data_Entry!BE326="","",Human_Data_Entry!BE326)</f>
        <v/>
      </c>
      <c r="O328" s="105">
        <f>IF(Human_Data_Entry!BF326="","",Human_Data_Entry!BF326)</f>
        <v/>
      </c>
      <c r="P328" s="103">
        <f>IF(Human_Data_Entry!BG326="","",Human_Data_Entry!BG326)</f>
        <v/>
      </c>
      <c r="Q328" s="103">
        <f>IF(Human_Data_Entry!BL326="","",Human_Data_Entry!BL326)</f>
        <v/>
      </c>
      <c r="R328" s="103">
        <f>IF(Human_Data_Entry!BH326="","",Human_Data_Entry!BH326)</f>
        <v/>
      </c>
      <c r="S328" s="103">
        <f>IF(Human_Data_Entry!BI326="","",Human_Data_Entry!BI326)</f>
        <v/>
      </c>
      <c r="T328" s="103">
        <f>IF(Human_Data_Entry!BJ326="","",Human_Data_Entry!BJ326)</f>
        <v/>
      </c>
      <c r="U328" s="103">
        <f>IF(Human_Data_Entry!AP326="","",Human_Data_Entry!AP326)</f>
        <v/>
      </c>
      <c r="V328" s="103">
        <f>IF(Human_Data_Entry!AQ326="","",Human_Data_Entry!AQ326)</f>
        <v/>
      </c>
      <c r="W328" s="103">
        <f>IF(Human_Data_Entry!AR326="","",Human_Data_Entry!AR326)</f>
        <v/>
      </c>
      <c r="X328" s="103">
        <f>IF(Human_Data_Entry!BK326="","",Human_Data_Entry!BK326)</f>
        <v/>
      </c>
    </row>
    <row r="329" ht="15" customHeight="1" s="241">
      <c r="A329" s="103">
        <f>IF(Human_Data_Entry!A327="","",Human_Data_Entry!A327)</f>
        <v/>
      </c>
      <c r="B329" s="103">
        <f>IF(Human_Data_Entry!B327="","",Human_Data_Entry!B327)</f>
        <v/>
      </c>
      <c r="C329" s="104">
        <f>IF(Human_Data_Entry!C327="","",Human_Data_Entry!C327)</f>
        <v/>
      </c>
      <c r="D329" s="103">
        <f>IF(Human_Data_Entry!D327="","",Human_Data_Entry!D327)</f>
        <v/>
      </c>
      <c r="E329" s="103">
        <f>IF(Human_Data_Entry!G327="","",Human_Data_Entry!G327)</f>
        <v/>
      </c>
      <c r="F329" s="103">
        <f>IF(Human_Data_Entry!X327="","",Human_Data_Entry!X327)</f>
        <v/>
      </c>
      <c r="G329" s="103">
        <f>IF(Human_Data_Entry!AY327="","",Human_Data_Entry!AY327)</f>
        <v/>
      </c>
      <c r="H329" s="103">
        <f>IF(Human_Data_Entry!AS327="","",Human_Data_Entry!AS327)</f>
        <v/>
      </c>
      <c r="I329" s="103">
        <f>IF(Human_Data_Entry!F327="","",Human_Data_Entry!F327)</f>
        <v/>
      </c>
      <c r="J329" s="103">
        <f>IF(Human_Data_Entry!BA327="","",Human_Data_Entry!BA327)</f>
        <v/>
      </c>
      <c r="K329" s="103">
        <f>IF(Human_Data_Entry!BB327="","",Human_Data_Entry!BB327)</f>
        <v/>
      </c>
      <c r="L329" s="103">
        <f>IF(Human_Data_Entry!BC327="","",Human_Data_Entry!BC327)</f>
        <v/>
      </c>
      <c r="M329" s="104">
        <f>IF(Human_Data_Entry!BD327="","",Human_Data_Entry!BD327)</f>
        <v/>
      </c>
      <c r="N329" s="104">
        <f>IF(Human_Data_Entry!BE327="","",Human_Data_Entry!BE327)</f>
        <v/>
      </c>
      <c r="O329" s="105">
        <f>IF(Human_Data_Entry!BF327="","",Human_Data_Entry!BF327)</f>
        <v/>
      </c>
      <c r="P329" s="103">
        <f>IF(Human_Data_Entry!BG327="","",Human_Data_Entry!BG327)</f>
        <v/>
      </c>
      <c r="Q329" s="103">
        <f>IF(Human_Data_Entry!BL327="","",Human_Data_Entry!BL327)</f>
        <v/>
      </c>
      <c r="R329" s="103">
        <f>IF(Human_Data_Entry!BH327="","",Human_Data_Entry!BH327)</f>
        <v/>
      </c>
      <c r="S329" s="103">
        <f>IF(Human_Data_Entry!BI327="","",Human_Data_Entry!BI327)</f>
        <v/>
      </c>
      <c r="T329" s="103">
        <f>IF(Human_Data_Entry!BJ327="","",Human_Data_Entry!BJ327)</f>
        <v/>
      </c>
      <c r="U329" s="103">
        <f>IF(Human_Data_Entry!AP327="","",Human_Data_Entry!AP327)</f>
        <v/>
      </c>
      <c r="V329" s="103">
        <f>IF(Human_Data_Entry!AQ327="","",Human_Data_Entry!AQ327)</f>
        <v/>
      </c>
      <c r="W329" s="103">
        <f>IF(Human_Data_Entry!AR327="","",Human_Data_Entry!AR327)</f>
        <v/>
      </c>
      <c r="X329" s="103">
        <f>IF(Human_Data_Entry!BK327="","",Human_Data_Entry!BK327)</f>
        <v/>
      </c>
    </row>
    <row r="330" ht="15" customHeight="1" s="241">
      <c r="A330" s="103">
        <f>IF(Human_Data_Entry!A328="","",Human_Data_Entry!A328)</f>
        <v/>
      </c>
      <c r="B330" s="103">
        <f>IF(Human_Data_Entry!B328="","",Human_Data_Entry!B328)</f>
        <v/>
      </c>
      <c r="C330" s="104">
        <f>IF(Human_Data_Entry!C328="","",Human_Data_Entry!C328)</f>
        <v/>
      </c>
      <c r="D330" s="103">
        <f>IF(Human_Data_Entry!D328="","",Human_Data_Entry!D328)</f>
        <v/>
      </c>
      <c r="E330" s="103">
        <f>IF(Human_Data_Entry!G328="","",Human_Data_Entry!G328)</f>
        <v/>
      </c>
      <c r="F330" s="103">
        <f>IF(Human_Data_Entry!X328="","",Human_Data_Entry!X328)</f>
        <v/>
      </c>
      <c r="G330" s="103">
        <f>IF(Human_Data_Entry!AY328="","",Human_Data_Entry!AY328)</f>
        <v/>
      </c>
      <c r="H330" s="103">
        <f>IF(Human_Data_Entry!AS328="","",Human_Data_Entry!AS328)</f>
        <v/>
      </c>
      <c r="I330" s="103">
        <f>IF(Human_Data_Entry!F328="","",Human_Data_Entry!F328)</f>
        <v/>
      </c>
      <c r="J330" s="103">
        <f>IF(Human_Data_Entry!BA328="","",Human_Data_Entry!BA328)</f>
        <v/>
      </c>
      <c r="K330" s="103">
        <f>IF(Human_Data_Entry!BB328="","",Human_Data_Entry!BB328)</f>
        <v/>
      </c>
      <c r="L330" s="103">
        <f>IF(Human_Data_Entry!BC328="","",Human_Data_Entry!BC328)</f>
        <v/>
      </c>
      <c r="M330" s="104">
        <f>IF(Human_Data_Entry!BD328="","",Human_Data_Entry!BD328)</f>
        <v/>
      </c>
      <c r="N330" s="104">
        <f>IF(Human_Data_Entry!BE328="","",Human_Data_Entry!BE328)</f>
        <v/>
      </c>
      <c r="O330" s="105">
        <f>IF(Human_Data_Entry!BF328="","",Human_Data_Entry!BF328)</f>
        <v/>
      </c>
      <c r="P330" s="103">
        <f>IF(Human_Data_Entry!BG328="","",Human_Data_Entry!BG328)</f>
        <v/>
      </c>
      <c r="Q330" s="103">
        <f>IF(Human_Data_Entry!BL328="","",Human_Data_Entry!BL328)</f>
        <v/>
      </c>
      <c r="R330" s="103">
        <f>IF(Human_Data_Entry!BH328="","",Human_Data_Entry!BH328)</f>
        <v/>
      </c>
      <c r="S330" s="103">
        <f>IF(Human_Data_Entry!BI328="","",Human_Data_Entry!BI328)</f>
        <v/>
      </c>
      <c r="T330" s="103">
        <f>IF(Human_Data_Entry!BJ328="","",Human_Data_Entry!BJ328)</f>
        <v/>
      </c>
      <c r="U330" s="103">
        <f>IF(Human_Data_Entry!AP328="","",Human_Data_Entry!AP328)</f>
        <v/>
      </c>
      <c r="V330" s="103">
        <f>IF(Human_Data_Entry!AQ328="","",Human_Data_Entry!AQ328)</f>
        <v/>
      </c>
      <c r="W330" s="103">
        <f>IF(Human_Data_Entry!AR328="","",Human_Data_Entry!AR328)</f>
        <v/>
      </c>
      <c r="X330" s="103">
        <f>IF(Human_Data_Entry!BK328="","",Human_Data_Entry!BK328)</f>
        <v/>
      </c>
    </row>
    <row r="331" ht="15" customHeight="1" s="241">
      <c r="A331" s="103">
        <f>IF(Human_Data_Entry!A329="","",Human_Data_Entry!A329)</f>
        <v/>
      </c>
      <c r="B331" s="103">
        <f>IF(Human_Data_Entry!B329="","",Human_Data_Entry!B329)</f>
        <v/>
      </c>
      <c r="C331" s="104">
        <f>IF(Human_Data_Entry!C329="","",Human_Data_Entry!C329)</f>
        <v/>
      </c>
      <c r="D331" s="103">
        <f>IF(Human_Data_Entry!D329="","",Human_Data_Entry!D329)</f>
        <v/>
      </c>
      <c r="E331" s="103">
        <f>IF(Human_Data_Entry!G329="","",Human_Data_Entry!G329)</f>
        <v/>
      </c>
      <c r="F331" s="103">
        <f>IF(Human_Data_Entry!X329="","",Human_Data_Entry!X329)</f>
        <v/>
      </c>
      <c r="G331" s="103">
        <f>IF(Human_Data_Entry!AY329="","",Human_Data_Entry!AY329)</f>
        <v/>
      </c>
      <c r="H331" s="103">
        <f>IF(Human_Data_Entry!AS329="","",Human_Data_Entry!AS329)</f>
        <v/>
      </c>
      <c r="I331" s="103">
        <f>IF(Human_Data_Entry!F329="","",Human_Data_Entry!F329)</f>
        <v/>
      </c>
      <c r="J331" s="103">
        <f>IF(Human_Data_Entry!BA329="","",Human_Data_Entry!BA329)</f>
        <v/>
      </c>
      <c r="K331" s="103">
        <f>IF(Human_Data_Entry!BB329="","",Human_Data_Entry!BB329)</f>
        <v/>
      </c>
      <c r="L331" s="103">
        <f>IF(Human_Data_Entry!BC329="","",Human_Data_Entry!BC329)</f>
        <v/>
      </c>
      <c r="M331" s="104">
        <f>IF(Human_Data_Entry!BD329="","",Human_Data_Entry!BD329)</f>
        <v/>
      </c>
      <c r="N331" s="104">
        <f>IF(Human_Data_Entry!BE329="","",Human_Data_Entry!BE329)</f>
        <v/>
      </c>
      <c r="O331" s="105">
        <f>IF(Human_Data_Entry!BF329="","",Human_Data_Entry!BF329)</f>
        <v/>
      </c>
      <c r="P331" s="103">
        <f>IF(Human_Data_Entry!BG329="","",Human_Data_Entry!BG329)</f>
        <v/>
      </c>
      <c r="Q331" s="103">
        <f>IF(Human_Data_Entry!BL329="","",Human_Data_Entry!BL329)</f>
        <v/>
      </c>
      <c r="R331" s="103">
        <f>IF(Human_Data_Entry!BH329="","",Human_Data_Entry!BH329)</f>
        <v/>
      </c>
      <c r="S331" s="103">
        <f>IF(Human_Data_Entry!BI329="","",Human_Data_Entry!BI329)</f>
        <v/>
      </c>
      <c r="T331" s="103">
        <f>IF(Human_Data_Entry!BJ329="","",Human_Data_Entry!BJ329)</f>
        <v/>
      </c>
      <c r="U331" s="103">
        <f>IF(Human_Data_Entry!AP329="","",Human_Data_Entry!AP329)</f>
        <v/>
      </c>
      <c r="V331" s="103">
        <f>IF(Human_Data_Entry!AQ329="","",Human_Data_Entry!AQ329)</f>
        <v/>
      </c>
      <c r="W331" s="103">
        <f>IF(Human_Data_Entry!AR329="","",Human_Data_Entry!AR329)</f>
        <v/>
      </c>
      <c r="X331" s="103">
        <f>IF(Human_Data_Entry!BK329="","",Human_Data_Entry!BK329)</f>
        <v/>
      </c>
    </row>
    <row r="332" ht="15" customHeight="1" s="241">
      <c r="A332" s="103">
        <f>IF(Human_Data_Entry!A330="","",Human_Data_Entry!A330)</f>
        <v/>
      </c>
      <c r="B332" s="103">
        <f>IF(Human_Data_Entry!B330="","",Human_Data_Entry!B330)</f>
        <v/>
      </c>
      <c r="C332" s="104">
        <f>IF(Human_Data_Entry!C330="","",Human_Data_Entry!C330)</f>
        <v/>
      </c>
      <c r="D332" s="103">
        <f>IF(Human_Data_Entry!D330="","",Human_Data_Entry!D330)</f>
        <v/>
      </c>
      <c r="E332" s="103">
        <f>IF(Human_Data_Entry!G330="","",Human_Data_Entry!G330)</f>
        <v/>
      </c>
      <c r="F332" s="103">
        <f>IF(Human_Data_Entry!X330="","",Human_Data_Entry!X330)</f>
        <v/>
      </c>
      <c r="G332" s="103">
        <f>IF(Human_Data_Entry!AY330="","",Human_Data_Entry!AY330)</f>
        <v/>
      </c>
      <c r="H332" s="103">
        <f>IF(Human_Data_Entry!AS330="","",Human_Data_Entry!AS330)</f>
        <v/>
      </c>
      <c r="I332" s="103">
        <f>IF(Human_Data_Entry!F330="","",Human_Data_Entry!F330)</f>
        <v/>
      </c>
      <c r="J332" s="103">
        <f>IF(Human_Data_Entry!BA330="","",Human_Data_Entry!BA330)</f>
        <v/>
      </c>
      <c r="K332" s="103">
        <f>IF(Human_Data_Entry!BB330="","",Human_Data_Entry!BB330)</f>
        <v/>
      </c>
      <c r="L332" s="103">
        <f>IF(Human_Data_Entry!BC330="","",Human_Data_Entry!BC330)</f>
        <v/>
      </c>
      <c r="M332" s="104">
        <f>IF(Human_Data_Entry!BD330="","",Human_Data_Entry!BD330)</f>
        <v/>
      </c>
      <c r="N332" s="104">
        <f>IF(Human_Data_Entry!BE330="","",Human_Data_Entry!BE330)</f>
        <v/>
      </c>
      <c r="O332" s="105">
        <f>IF(Human_Data_Entry!BF330="","",Human_Data_Entry!BF330)</f>
        <v/>
      </c>
      <c r="P332" s="103">
        <f>IF(Human_Data_Entry!BG330="","",Human_Data_Entry!BG330)</f>
        <v/>
      </c>
      <c r="Q332" s="103">
        <f>IF(Human_Data_Entry!BL330="","",Human_Data_Entry!BL330)</f>
        <v/>
      </c>
      <c r="R332" s="103">
        <f>IF(Human_Data_Entry!BH330="","",Human_Data_Entry!BH330)</f>
        <v/>
      </c>
      <c r="S332" s="103">
        <f>IF(Human_Data_Entry!BI330="","",Human_Data_Entry!BI330)</f>
        <v/>
      </c>
      <c r="T332" s="103">
        <f>IF(Human_Data_Entry!BJ330="","",Human_Data_Entry!BJ330)</f>
        <v/>
      </c>
      <c r="U332" s="103">
        <f>IF(Human_Data_Entry!AP330="","",Human_Data_Entry!AP330)</f>
        <v/>
      </c>
      <c r="V332" s="103">
        <f>IF(Human_Data_Entry!AQ330="","",Human_Data_Entry!AQ330)</f>
        <v/>
      </c>
      <c r="W332" s="103">
        <f>IF(Human_Data_Entry!AR330="","",Human_Data_Entry!AR330)</f>
        <v/>
      </c>
      <c r="X332" s="103">
        <f>IF(Human_Data_Entry!BK330="","",Human_Data_Entry!BK330)</f>
        <v/>
      </c>
    </row>
    <row r="333" ht="15" customHeight="1" s="241">
      <c r="A333" s="103">
        <f>IF(Human_Data_Entry!A331="","",Human_Data_Entry!A331)</f>
        <v/>
      </c>
      <c r="B333" s="103">
        <f>IF(Human_Data_Entry!B331="","",Human_Data_Entry!B331)</f>
        <v/>
      </c>
      <c r="C333" s="104">
        <f>IF(Human_Data_Entry!C331="","",Human_Data_Entry!C331)</f>
        <v/>
      </c>
      <c r="D333" s="103">
        <f>IF(Human_Data_Entry!D331="","",Human_Data_Entry!D331)</f>
        <v/>
      </c>
      <c r="E333" s="103">
        <f>IF(Human_Data_Entry!G331="","",Human_Data_Entry!G331)</f>
        <v/>
      </c>
      <c r="F333" s="103">
        <f>IF(Human_Data_Entry!X331="","",Human_Data_Entry!X331)</f>
        <v/>
      </c>
      <c r="G333" s="103">
        <f>IF(Human_Data_Entry!AY331="","",Human_Data_Entry!AY331)</f>
        <v/>
      </c>
      <c r="H333" s="103">
        <f>IF(Human_Data_Entry!AS331="","",Human_Data_Entry!AS331)</f>
        <v/>
      </c>
      <c r="I333" s="103">
        <f>IF(Human_Data_Entry!F331="","",Human_Data_Entry!F331)</f>
        <v/>
      </c>
      <c r="J333" s="103">
        <f>IF(Human_Data_Entry!BA331="","",Human_Data_Entry!BA331)</f>
        <v/>
      </c>
      <c r="K333" s="103">
        <f>IF(Human_Data_Entry!BB331="","",Human_Data_Entry!BB331)</f>
        <v/>
      </c>
      <c r="L333" s="103">
        <f>IF(Human_Data_Entry!BC331="","",Human_Data_Entry!BC331)</f>
        <v/>
      </c>
      <c r="M333" s="104">
        <f>IF(Human_Data_Entry!BD331="","",Human_Data_Entry!BD331)</f>
        <v/>
      </c>
      <c r="N333" s="104">
        <f>IF(Human_Data_Entry!BE331="","",Human_Data_Entry!BE331)</f>
        <v/>
      </c>
      <c r="O333" s="105">
        <f>IF(Human_Data_Entry!BF331="","",Human_Data_Entry!BF331)</f>
        <v/>
      </c>
      <c r="P333" s="103">
        <f>IF(Human_Data_Entry!BG331="","",Human_Data_Entry!BG331)</f>
        <v/>
      </c>
      <c r="Q333" s="103">
        <f>IF(Human_Data_Entry!BL331="","",Human_Data_Entry!BL331)</f>
        <v/>
      </c>
      <c r="R333" s="103">
        <f>IF(Human_Data_Entry!BH331="","",Human_Data_Entry!BH331)</f>
        <v/>
      </c>
      <c r="S333" s="103">
        <f>IF(Human_Data_Entry!BI331="","",Human_Data_Entry!BI331)</f>
        <v/>
      </c>
      <c r="T333" s="103">
        <f>IF(Human_Data_Entry!BJ331="","",Human_Data_Entry!BJ331)</f>
        <v/>
      </c>
      <c r="U333" s="103">
        <f>IF(Human_Data_Entry!AP331="","",Human_Data_Entry!AP331)</f>
        <v/>
      </c>
      <c r="V333" s="103">
        <f>IF(Human_Data_Entry!AQ331="","",Human_Data_Entry!AQ331)</f>
        <v/>
      </c>
      <c r="W333" s="103">
        <f>IF(Human_Data_Entry!AR331="","",Human_Data_Entry!AR331)</f>
        <v/>
      </c>
      <c r="X333" s="103">
        <f>IF(Human_Data_Entry!BK331="","",Human_Data_Entry!BK331)</f>
        <v/>
      </c>
    </row>
    <row r="334" ht="15" customHeight="1" s="241">
      <c r="A334" s="103">
        <f>IF(Human_Data_Entry!A332="","",Human_Data_Entry!A332)</f>
        <v/>
      </c>
      <c r="B334" s="103">
        <f>IF(Human_Data_Entry!B332="","",Human_Data_Entry!B332)</f>
        <v/>
      </c>
      <c r="C334" s="104">
        <f>IF(Human_Data_Entry!C332="","",Human_Data_Entry!C332)</f>
        <v/>
      </c>
      <c r="D334" s="103">
        <f>IF(Human_Data_Entry!D332="","",Human_Data_Entry!D332)</f>
        <v/>
      </c>
      <c r="E334" s="103">
        <f>IF(Human_Data_Entry!G332="","",Human_Data_Entry!G332)</f>
        <v/>
      </c>
      <c r="F334" s="103">
        <f>IF(Human_Data_Entry!X332="","",Human_Data_Entry!X332)</f>
        <v/>
      </c>
      <c r="G334" s="103">
        <f>IF(Human_Data_Entry!AY332="","",Human_Data_Entry!AY332)</f>
        <v/>
      </c>
      <c r="H334" s="103">
        <f>IF(Human_Data_Entry!AS332="","",Human_Data_Entry!AS332)</f>
        <v/>
      </c>
      <c r="I334" s="103">
        <f>IF(Human_Data_Entry!F332="","",Human_Data_Entry!F332)</f>
        <v/>
      </c>
      <c r="J334" s="103">
        <f>IF(Human_Data_Entry!BA332="","",Human_Data_Entry!BA332)</f>
        <v/>
      </c>
      <c r="K334" s="103">
        <f>IF(Human_Data_Entry!BB332="","",Human_Data_Entry!BB332)</f>
        <v/>
      </c>
      <c r="L334" s="103">
        <f>IF(Human_Data_Entry!BC332="","",Human_Data_Entry!BC332)</f>
        <v/>
      </c>
      <c r="M334" s="104">
        <f>IF(Human_Data_Entry!BD332="","",Human_Data_Entry!BD332)</f>
        <v/>
      </c>
      <c r="N334" s="104">
        <f>IF(Human_Data_Entry!BE332="","",Human_Data_Entry!BE332)</f>
        <v/>
      </c>
      <c r="O334" s="105">
        <f>IF(Human_Data_Entry!BF332="","",Human_Data_Entry!BF332)</f>
        <v/>
      </c>
      <c r="P334" s="103">
        <f>IF(Human_Data_Entry!BG332="","",Human_Data_Entry!BG332)</f>
        <v/>
      </c>
      <c r="Q334" s="103">
        <f>IF(Human_Data_Entry!BL332="","",Human_Data_Entry!BL332)</f>
        <v/>
      </c>
      <c r="R334" s="103">
        <f>IF(Human_Data_Entry!BH332="","",Human_Data_Entry!BH332)</f>
        <v/>
      </c>
      <c r="S334" s="103">
        <f>IF(Human_Data_Entry!BI332="","",Human_Data_Entry!BI332)</f>
        <v/>
      </c>
      <c r="T334" s="103">
        <f>IF(Human_Data_Entry!BJ332="","",Human_Data_Entry!BJ332)</f>
        <v/>
      </c>
      <c r="U334" s="103">
        <f>IF(Human_Data_Entry!AP332="","",Human_Data_Entry!AP332)</f>
        <v/>
      </c>
      <c r="V334" s="103">
        <f>IF(Human_Data_Entry!AQ332="","",Human_Data_Entry!AQ332)</f>
        <v/>
      </c>
      <c r="W334" s="103">
        <f>IF(Human_Data_Entry!AR332="","",Human_Data_Entry!AR332)</f>
        <v/>
      </c>
      <c r="X334" s="103">
        <f>IF(Human_Data_Entry!BK332="","",Human_Data_Entry!BK332)</f>
        <v/>
      </c>
    </row>
    <row r="335" ht="15" customHeight="1" s="241">
      <c r="A335" s="103">
        <f>IF(Human_Data_Entry!A333="","",Human_Data_Entry!A333)</f>
        <v/>
      </c>
      <c r="B335" s="103">
        <f>IF(Human_Data_Entry!B333="","",Human_Data_Entry!B333)</f>
        <v/>
      </c>
      <c r="C335" s="104">
        <f>IF(Human_Data_Entry!C333="","",Human_Data_Entry!C333)</f>
        <v/>
      </c>
      <c r="D335" s="103">
        <f>IF(Human_Data_Entry!D333="","",Human_Data_Entry!D333)</f>
        <v/>
      </c>
      <c r="E335" s="103">
        <f>IF(Human_Data_Entry!G333="","",Human_Data_Entry!G333)</f>
        <v/>
      </c>
      <c r="F335" s="103">
        <f>IF(Human_Data_Entry!X333="","",Human_Data_Entry!X333)</f>
        <v/>
      </c>
      <c r="G335" s="103">
        <f>IF(Human_Data_Entry!AY333="","",Human_Data_Entry!AY333)</f>
        <v/>
      </c>
      <c r="H335" s="103">
        <f>IF(Human_Data_Entry!AS333="","",Human_Data_Entry!AS333)</f>
        <v/>
      </c>
      <c r="I335" s="103">
        <f>IF(Human_Data_Entry!F333="","",Human_Data_Entry!F333)</f>
        <v/>
      </c>
      <c r="J335" s="103">
        <f>IF(Human_Data_Entry!BA333="","",Human_Data_Entry!BA333)</f>
        <v/>
      </c>
      <c r="K335" s="103">
        <f>IF(Human_Data_Entry!BB333="","",Human_Data_Entry!BB333)</f>
        <v/>
      </c>
      <c r="L335" s="103">
        <f>IF(Human_Data_Entry!BC333="","",Human_Data_Entry!BC333)</f>
        <v/>
      </c>
      <c r="M335" s="104">
        <f>IF(Human_Data_Entry!BD333="","",Human_Data_Entry!BD333)</f>
        <v/>
      </c>
      <c r="N335" s="104">
        <f>IF(Human_Data_Entry!BE333="","",Human_Data_Entry!BE333)</f>
        <v/>
      </c>
      <c r="O335" s="105">
        <f>IF(Human_Data_Entry!BF333="","",Human_Data_Entry!BF333)</f>
        <v/>
      </c>
      <c r="P335" s="103">
        <f>IF(Human_Data_Entry!BG333="","",Human_Data_Entry!BG333)</f>
        <v/>
      </c>
      <c r="Q335" s="103">
        <f>IF(Human_Data_Entry!BL333="","",Human_Data_Entry!BL333)</f>
        <v/>
      </c>
      <c r="R335" s="103">
        <f>IF(Human_Data_Entry!BH333="","",Human_Data_Entry!BH333)</f>
        <v/>
      </c>
      <c r="S335" s="103">
        <f>IF(Human_Data_Entry!BI333="","",Human_Data_Entry!BI333)</f>
        <v/>
      </c>
      <c r="T335" s="103">
        <f>IF(Human_Data_Entry!BJ333="","",Human_Data_Entry!BJ333)</f>
        <v/>
      </c>
      <c r="U335" s="103">
        <f>IF(Human_Data_Entry!AP333="","",Human_Data_Entry!AP333)</f>
        <v/>
      </c>
      <c r="V335" s="103">
        <f>IF(Human_Data_Entry!AQ333="","",Human_Data_Entry!AQ333)</f>
        <v/>
      </c>
      <c r="W335" s="103">
        <f>IF(Human_Data_Entry!AR333="","",Human_Data_Entry!AR333)</f>
        <v/>
      </c>
      <c r="X335" s="103">
        <f>IF(Human_Data_Entry!BK333="","",Human_Data_Entry!BK333)</f>
        <v/>
      </c>
    </row>
    <row r="336" ht="15" customHeight="1" s="241">
      <c r="A336" s="103">
        <f>IF(Human_Data_Entry!A334="","",Human_Data_Entry!A334)</f>
        <v/>
      </c>
      <c r="B336" s="103">
        <f>IF(Human_Data_Entry!B334="","",Human_Data_Entry!B334)</f>
        <v/>
      </c>
      <c r="C336" s="104">
        <f>IF(Human_Data_Entry!C334="","",Human_Data_Entry!C334)</f>
        <v/>
      </c>
      <c r="D336" s="103">
        <f>IF(Human_Data_Entry!D334="","",Human_Data_Entry!D334)</f>
        <v/>
      </c>
      <c r="E336" s="103">
        <f>IF(Human_Data_Entry!G334="","",Human_Data_Entry!G334)</f>
        <v/>
      </c>
      <c r="F336" s="103">
        <f>IF(Human_Data_Entry!X334="","",Human_Data_Entry!X334)</f>
        <v/>
      </c>
      <c r="G336" s="103">
        <f>IF(Human_Data_Entry!AY334="","",Human_Data_Entry!AY334)</f>
        <v/>
      </c>
      <c r="H336" s="103">
        <f>IF(Human_Data_Entry!AS334="","",Human_Data_Entry!AS334)</f>
        <v/>
      </c>
      <c r="I336" s="103">
        <f>IF(Human_Data_Entry!F334="","",Human_Data_Entry!F334)</f>
        <v/>
      </c>
      <c r="J336" s="103">
        <f>IF(Human_Data_Entry!BA334="","",Human_Data_Entry!BA334)</f>
        <v/>
      </c>
      <c r="K336" s="103">
        <f>IF(Human_Data_Entry!BB334="","",Human_Data_Entry!BB334)</f>
        <v/>
      </c>
      <c r="L336" s="103">
        <f>IF(Human_Data_Entry!BC334="","",Human_Data_Entry!BC334)</f>
        <v/>
      </c>
      <c r="M336" s="104">
        <f>IF(Human_Data_Entry!BD334="","",Human_Data_Entry!BD334)</f>
        <v/>
      </c>
      <c r="N336" s="104">
        <f>IF(Human_Data_Entry!BE334="","",Human_Data_Entry!BE334)</f>
        <v/>
      </c>
      <c r="O336" s="105">
        <f>IF(Human_Data_Entry!BF334="","",Human_Data_Entry!BF334)</f>
        <v/>
      </c>
      <c r="P336" s="103">
        <f>IF(Human_Data_Entry!BG334="","",Human_Data_Entry!BG334)</f>
        <v/>
      </c>
      <c r="Q336" s="103">
        <f>IF(Human_Data_Entry!BL334="","",Human_Data_Entry!BL334)</f>
        <v/>
      </c>
      <c r="R336" s="103">
        <f>IF(Human_Data_Entry!BH334="","",Human_Data_Entry!BH334)</f>
        <v/>
      </c>
      <c r="S336" s="103">
        <f>IF(Human_Data_Entry!BI334="","",Human_Data_Entry!BI334)</f>
        <v/>
      </c>
      <c r="T336" s="103">
        <f>IF(Human_Data_Entry!BJ334="","",Human_Data_Entry!BJ334)</f>
        <v/>
      </c>
      <c r="U336" s="103">
        <f>IF(Human_Data_Entry!AP334="","",Human_Data_Entry!AP334)</f>
        <v/>
      </c>
      <c r="V336" s="103">
        <f>IF(Human_Data_Entry!AQ334="","",Human_Data_Entry!AQ334)</f>
        <v/>
      </c>
      <c r="W336" s="103">
        <f>IF(Human_Data_Entry!AR334="","",Human_Data_Entry!AR334)</f>
        <v/>
      </c>
      <c r="X336" s="103">
        <f>IF(Human_Data_Entry!BK334="","",Human_Data_Entry!BK334)</f>
        <v/>
      </c>
    </row>
    <row r="337" ht="15" customHeight="1" s="241">
      <c r="A337" s="103">
        <f>IF(Human_Data_Entry!A335="","",Human_Data_Entry!A335)</f>
        <v/>
      </c>
      <c r="B337" s="103">
        <f>IF(Human_Data_Entry!B335="","",Human_Data_Entry!B335)</f>
        <v/>
      </c>
      <c r="C337" s="104">
        <f>IF(Human_Data_Entry!C335="","",Human_Data_Entry!C335)</f>
        <v/>
      </c>
      <c r="D337" s="103">
        <f>IF(Human_Data_Entry!D335="","",Human_Data_Entry!D335)</f>
        <v/>
      </c>
      <c r="E337" s="103">
        <f>IF(Human_Data_Entry!G335="","",Human_Data_Entry!G335)</f>
        <v/>
      </c>
      <c r="F337" s="103">
        <f>IF(Human_Data_Entry!X335="","",Human_Data_Entry!X335)</f>
        <v/>
      </c>
      <c r="G337" s="103">
        <f>IF(Human_Data_Entry!AY335="","",Human_Data_Entry!AY335)</f>
        <v/>
      </c>
      <c r="H337" s="103">
        <f>IF(Human_Data_Entry!AS335="","",Human_Data_Entry!AS335)</f>
        <v/>
      </c>
      <c r="I337" s="103">
        <f>IF(Human_Data_Entry!F335="","",Human_Data_Entry!F335)</f>
        <v/>
      </c>
      <c r="J337" s="103">
        <f>IF(Human_Data_Entry!BA335="","",Human_Data_Entry!BA335)</f>
        <v/>
      </c>
      <c r="K337" s="103">
        <f>IF(Human_Data_Entry!BB335="","",Human_Data_Entry!BB335)</f>
        <v/>
      </c>
      <c r="L337" s="103">
        <f>IF(Human_Data_Entry!BC335="","",Human_Data_Entry!BC335)</f>
        <v/>
      </c>
      <c r="M337" s="104">
        <f>IF(Human_Data_Entry!BD335="","",Human_Data_Entry!BD335)</f>
        <v/>
      </c>
      <c r="N337" s="104">
        <f>IF(Human_Data_Entry!BE335="","",Human_Data_Entry!BE335)</f>
        <v/>
      </c>
      <c r="O337" s="105">
        <f>IF(Human_Data_Entry!BF335="","",Human_Data_Entry!BF335)</f>
        <v/>
      </c>
      <c r="P337" s="103">
        <f>IF(Human_Data_Entry!BG335="","",Human_Data_Entry!BG335)</f>
        <v/>
      </c>
      <c r="Q337" s="103">
        <f>IF(Human_Data_Entry!BL335="","",Human_Data_Entry!BL335)</f>
        <v/>
      </c>
      <c r="R337" s="103">
        <f>IF(Human_Data_Entry!BH335="","",Human_Data_Entry!BH335)</f>
        <v/>
      </c>
      <c r="S337" s="103">
        <f>IF(Human_Data_Entry!BI335="","",Human_Data_Entry!BI335)</f>
        <v/>
      </c>
      <c r="T337" s="103">
        <f>IF(Human_Data_Entry!BJ335="","",Human_Data_Entry!BJ335)</f>
        <v/>
      </c>
      <c r="U337" s="103">
        <f>IF(Human_Data_Entry!AP335="","",Human_Data_Entry!AP335)</f>
        <v/>
      </c>
      <c r="V337" s="103">
        <f>IF(Human_Data_Entry!AQ335="","",Human_Data_Entry!AQ335)</f>
        <v/>
      </c>
      <c r="W337" s="103">
        <f>IF(Human_Data_Entry!AR335="","",Human_Data_Entry!AR335)</f>
        <v/>
      </c>
      <c r="X337" s="103">
        <f>IF(Human_Data_Entry!BK335="","",Human_Data_Entry!BK335)</f>
        <v/>
      </c>
    </row>
    <row r="338" ht="15" customHeight="1" s="241">
      <c r="A338" s="103">
        <f>IF(Human_Data_Entry!A336="","",Human_Data_Entry!A336)</f>
        <v/>
      </c>
      <c r="B338" s="103">
        <f>IF(Human_Data_Entry!B336="","",Human_Data_Entry!B336)</f>
        <v/>
      </c>
      <c r="C338" s="104">
        <f>IF(Human_Data_Entry!C336="","",Human_Data_Entry!C336)</f>
        <v/>
      </c>
      <c r="D338" s="103">
        <f>IF(Human_Data_Entry!D336="","",Human_Data_Entry!D336)</f>
        <v/>
      </c>
      <c r="E338" s="103">
        <f>IF(Human_Data_Entry!G336="","",Human_Data_Entry!G336)</f>
        <v/>
      </c>
      <c r="F338" s="103">
        <f>IF(Human_Data_Entry!X336="","",Human_Data_Entry!X336)</f>
        <v/>
      </c>
      <c r="G338" s="103">
        <f>IF(Human_Data_Entry!AY336="","",Human_Data_Entry!AY336)</f>
        <v/>
      </c>
      <c r="H338" s="103">
        <f>IF(Human_Data_Entry!AS336="","",Human_Data_Entry!AS336)</f>
        <v/>
      </c>
      <c r="I338" s="103">
        <f>IF(Human_Data_Entry!F336="","",Human_Data_Entry!F336)</f>
        <v/>
      </c>
      <c r="J338" s="103">
        <f>IF(Human_Data_Entry!BA336="","",Human_Data_Entry!BA336)</f>
        <v/>
      </c>
      <c r="K338" s="103">
        <f>IF(Human_Data_Entry!BB336="","",Human_Data_Entry!BB336)</f>
        <v/>
      </c>
      <c r="L338" s="103">
        <f>IF(Human_Data_Entry!BC336="","",Human_Data_Entry!BC336)</f>
        <v/>
      </c>
      <c r="M338" s="104">
        <f>IF(Human_Data_Entry!BD336="","",Human_Data_Entry!BD336)</f>
        <v/>
      </c>
      <c r="N338" s="104">
        <f>IF(Human_Data_Entry!BE336="","",Human_Data_Entry!BE336)</f>
        <v/>
      </c>
      <c r="O338" s="105">
        <f>IF(Human_Data_Entry!BF336="","",Human_Data_Entry!BF336)</f>
        <v/>
      </c>
      <c r="P338" s="103">
        <f>IF(Human_Data_Entry!BG336="","",Human_Data_Entry!BG336)</f>
        <v/>
      </c>
      <c r="Q338" s="103">
        <f>IF(Human_Data_Entry!BL336="","",Human_Data_Entry!BL336)</f>
        <v/>
      </c>
      <c r="R338" s="103">
        <f>IF(Human_Data_Entry!BH336="","",Human_Data_Entry!BH336)</f>
        <v/>
      </c>
      <c r="S338" s="103">
        <f>IF(Human_Data_Entry!BI336="","",Human_Data_Entry!BI336)</f>
        <v/>
      </c>
      <c r="T338" s="103">
        <f>IF(Human_Data_Entry!BJ336="","",Human_Data_Entry!BJ336)</f>
        <v/>
      </c>
      <c r="U338" s="103">
        <f>IF(Human_Data_Entry!AP336="","",Human_Data_Entry!AP336)</f>
        <v/>
      </c>
      <c r="V338" s="103">
        <f>IF(Human_Data_Entry!AQ336="","",Human_Data_Entry!AQ336)</f>
        <v/>
      </c>
      <c r="W338" s="103">
        <f>IF(Human_Data_Entry!AR336="","",Human_Data_Entry!AR336)</f>
        <v/>
      </c>
      <c r="X338" s="103">
        <f>IF(Human_Data_Entry!BK336="","",Human_Data_Entry!BK336)</f>
        <v/>
      </c>
    </row>
    <row r="339" ht="15" customHeight="1" s="241">
      <c r="A339" s="103">
        <f>IF(Human_Data_Entry!A337="","",Human_Data_Entry!A337)</f>
        <v/>
      </c>
      <c r="B339" s="103">
        <f>IF(Human_Data_Entry!B337="","",Human_Data_Entry!B337)</f>
        <v/>
      </c>
      <c r="C339" s="104">
        <f>IF(Human_Data_Entry!C337="","",Human_Data_Entry!C337)</f>
        <v/>
      </c>
      <c r="D339" s="103">
        <f>IF(Human_Data_Entry!D337="","",Human_Data_Entry!D337)</f>
        <v/>
      </c>
      <c r="E339" s="103">
        <f>IF(Human_Data_Entry!G337="","",Human_Data_Entry!G337)</f>
        <v/>
      </c>
      <c r="F339" s="103">
        <f>IF(Human_Data_Entry!X337="","",Human_Data_Entry!X337)</f>
        <v/>
      </c>
      <c r="G339" s="103">
        <f>IF(Human_Data_Entry!AY337="","",Human_Data_Entry!AY337)</f>
        <v/>
      </c>
      <c r="H339" s="103">
        <f>IF(Human_Data_Entry!AS337="","",Human_Data_Entry!AS337)</f>
        <v/>
      </c>
      <c r="I339" s="103">
        <f>IF(Human_Data_Entry!F337="","",Human_Data_Entry!F337)</f>
        <v/>
      </c>
      <c r="J339" s="103">
        <f>IF(Human_Data_Entry!BA337="","",Human_Data_Entry!BA337)</f>
        <v/>
      </c>
      <c r="K339" s="103">
        <f>IF(Human_Data_Entry!BB337="","",Human_Data_Entry!BB337)</f>
        <v/>
      </c>
      <c r="L339" s="103">
        <f>IF(Human_Data_Entry!BC337="","",Human_Data_Entry!BC337)</f>
        <v/>
      </c>
      <c r="M339" s="104">
        <f>IF(Human_Data_Entry!BD337="","",Human_Data_Entry!BD337)</f>
        <v/>
      </c>
      <c r="N339" s="104">
        <f>IF(Human_Data_Entry!BE337="","",Human_Data_Entry!BE337)</f>
        <v/>
      </c>
      <c r="O339" s="105">
        <f>IF(Human_Data_Entry!BF337="","",Human_Data_Entry!BF337)</f>
        <v/>
      </c>
      <c r="P339" s="103">
        <f>IF(Human_Data_Entry!BG337="","",Human_Data_Entry!BG337)</f>
        <v/>
      </c>
      <c r="Q339" s="103">
        <f>IF(Human_Data_Entry!BL337="","",Human_Data_Entry!BL337)</f>
        <v/>
      </c>
      <c r="R339" s="103">
        <f>IF(Human_Data_Entry!BH337="","",Human_Data_Entry!BH337)</f>
        <v/>
      </c>
      <c r="S339" s="103">
        <f>IF(Human_Data_Entry!BI337="","",Human_Data_Entry!BI337)</f>
        <v/>
      </c>
      <c r="T339" s="103">
        <f>IF(Human_Data_Entry!BJ337="","",Human_Data_Entry!BJ337)</f>
        <v/>
      </c>
      <c r="U339" s="103">
        <f>IF(Human_Data_Entry!AP337="","",Human_Data_Entry!AP337)</f>
        <v/>
      </c>
      <c r="V339" s="103">
        <f>IF(Human_Data_Entry!AQ337="","",Human_Data_Entry!AQ337)</f>
        <v/>
      </c>
      <c r="W339" s="103">
        <f>IF(Human_Data_Entry!AR337="","",Human_Data_Entry!AR337)</f>
        <v/>
      </c>
      <c r="X339" s="103">
        <f>IF(Human_Data_Entry!BK337="","",Human_Data_Entry!BK337)</f>
        <v/>
      </c>
    </row>
    <row r="340" ht="15" customHeight="1" s="241">
      <c r="A340" s="103">
        <f>IF(Human_Data_Entry!A338="","",Human_Data_Entry!A338)</f>
        <v/>
      </c>
      <c r="B340" s="103">
        <f>IF(Human_Data_Entry!B338="","",Human_Data_Entry!B338)</f>
        <v/>
      </c>
      <c r="C340" s="104">
        <f>IF(Human_Data_Entry!C338="","",Human_Data_Entry!C338)</f>
        <v/>
      </c>
      <c r="D340" s="103">
        <f>IF(Human_Data_Entry!D338="","",Human_Data_Entry!D338)</f>
        <v/>
      </c>
      <c r="E340" s="103">
        <f>IF(Human_Data_Entry!G338="","",Human_Data_Entry!G338)</f>
        <v/>
      </c>
      <c r="F340" s="103">
        <f>IF(Human_Data_Entry!X338="","",Human_Data_Entry!X338)</f>
        <v/>
      </c>
      <c r="G340" s="103">
        <f>IF(Human_Data_Entry!AY338="","",Human_Data_Entry!AY338)</f>
        <v/>
      </c>
      <c r="H340" s="103">
        <f>IF(Human_Data_Entry!AS338="","",Human_Data_Entry!AS338)</f>
        <v/>
      </c>
      <c r="I340" s="103">
        <f>IF(Human_Data_Entry!F338="","",Human_Data_Entry!F338)</f>
        <v/>
      </c>
      <c r="J340" s="103">
        <f>IF(Human_Data_Entry!BA338="","",Human_Data_Entry!BA338)</f>
        <v/>
      </c>
      <c r="K340" s="103">
        <f>IF(Human_Data_Entry!BB338="","",Human_Data_Entry!BB338)</f>
        <v/>
      </c>
      <c r="L340" s="103">
        <f>IF(Human_Data_Entry!BC338="","",Human_Data_Entry!BC338)</f>
        <v/>
      </c>
      <c r="M340" s="104">
        <f>IF(Human_Data_Entry!BD338="","",Human_Data_Entry!BD338)</f>
        <v/>
      </c>
      <c r="N340" s="104">
        <f>IF(Human_Data_Entry!BE338="","",Human_Data_Entry!BE338)</f>
        <v/>
      </c>
      <c r="O340" s="105">
        <f>IF(Human_Data_Entry!BF338="","",Human_Data_Entry!BF338)</f>
        <v/>
      </c>
      <c r="P340" s="103">
        <f>IF(Human_Data_Entry!BG338="","",Human_Data_Entry!BG338)</f>
        <v/>
      </c>
      <c r="Q340" s="103">
        <f>IF(Human_Data_Entry!BL338="","",Human_Data_Entry!BL338)</f>
        <v/>
      </c>
      <c r="R340" s="103">
        <f>IF(Human_Data_Entry!BH338="","",Human_Data_Entry!BH338)</f>
        <v/>
      </c>
      <c r="S340" s="103">
        <f>IF(Human_Data_Entry!BI338="","",Human_Data_Entry!BI338)</f>
        <v/>
      </c>
      <c r="T340" s="103">
        <f>IF(Human_Data_Entry!BJ338="","",Human_Data_Entry!BJ338)</f>
        <v/>
      </c>
      <c r="U340" s="103">
        <f>IF(Human_Data_Entry!AP338="","",Human_Data_Entry!AP338)</f>
        <v/>
      </c>
      <c r="V340" s="103">
        <f>IF(Human_Data_Entry!AQ338="","",Human_Data_Entry!AQ338)</f>
        <v/>
      </c>
      <c r="W340" s="103">
        <f>IF(Human_Data_Entry!AR338="","",Human_Data_Entry!AR338)</f>
        <v/>
      </c>
      <c r="X340" s="103">
        <f>IF(Human_Data_Entry!BK338="","",Human_Data_Entry!BK338)</f>
        <v/>
      </c>
    </row>
    <row r="341" ht="15" customHeight="1" s="241">
      <c r="A341" s="103">
        <f>IF(Human_Data_Entry!A339="","",Human_Data_Entry!A339)</f>
        <v/>
      </c>
      <c r="B341" s="103">
        <f>IF(Human_Data_Entry!B339="","",Human_Data_Entry!B339)</f>
        <v/>
      </c>
      <c r="C341" s="104">
        <f>IF(Human_Data_Entry!C339="","",Human_Data_Entry!C339)</f>
        <v/>
      </c>
      <c r="D341" s="103">
        <f>IF(Human_Data_Entry!D339="","",Human_Data_Entry!D339)</f>
        <v/>
      </c>
      <c r="E341" s="103">
        <f>IF(Human_Data_Entry!G339="","",Human_Data_Entry!G339)</f>
        <v/>
      </c>
      <c r="F341" s="103">
        <f>IF(Human_Data_Entry!X339="","",Human_Data_Entry!X339)</f>
        <v/>
      </c>
      <c r="G341" s="103">
        <f>IF(Human_Data_Entry!AY339="","",Human_Data_Entry!AY339)</f>
        <v/>
      </c>
      <c r="H341" s="103">
        <f>IF(Human_Data_Entry!AS339="","",Human_Data_Entry!AS339)</f>
        <v/>
      </c>
      <c r="I341" s="103">
        <f>IF(Human_Data_Entry!F339="","",Human_Data_Entry!F339)</f>
        <v/>
      </c>
      <c r="J341" s="103">
        <f>IF(Human_Data_Entry!BA339="","",Human_Data_Entry!BA339)</f>
        <v/>
      </c>
      <c r="K341" s="103">
        <f>IF(Human_Data_Entry!BB339="","",Human_Data_Entry!BB339)</f>
        <v/>
      </c>
      <c r="L341" s="103">
        <f>IF(Human_Data_Entry!BC339="","",Human_Data_Entry!BC339)</f>
        <v/>
      </c>
      <c r="M341" s="104">
        <f>IF(Human_Data_Entry!BD339="","",Human_Data_Entry!BD339)</f>
        <v/>
      </c>
      <c r="N341" s="104">
        <f>IF(Human_Data_Entry!BE339="","",Human_Data_Entry!BE339)</f>
        <v/>
      </c>
      <c r="O341" s="105">
        <f>IF(Human_Data_Entry!BF339="","",Human_Data_Entry!BF339)</f>
        <v/>
      </c>
      <c r="P341" s="103">
        <f>IF(Human_Data_Entry!BG339="","",Human_Data_Entry!BG339)</f>
        <v/>
      </c>
      <c r="Q341" s="103">
        <f>IF(Human_Data_Entry!BL339="","",Human_Data_Entry!BL339)</f>
        <v/>
      </c>
      <c r="R341" s="103">
        <f>IF(Human_Data_Entry!BH339="","",Human_Data_Entry!BH339)</f>
        <v/>
      </c>
      <c r="S341" s="103">
        <f>IF(Human_Data_Entry!BI339="","",Human_Data_Entry!BI339)</f>
        <v/>
      </c>
      <c r="T341" s="103">
        <f>IF(Human_Data_Entry!BJ339="","",Human_Data_Entry!BJ339)</f>
        <v/>
      </c>
      <c r="U341" s="103">
        <f>IF(Human_Data_Entry!AP339="","",Human_Data_Entry!AP339)</f>
        <v/>
      </c>
      <c r="V341" s="103">
        <f>IF(Human_Data_Entry!AQ339="","",Human_Data_Entry!AQ339)</f>
        <v/>
      </c>
      <c r="W341" s="103">
        <f>IF(Human_Data_Entry!AR339="","",Human_Data_Entry!AR339)</f>
        <v/>
      </c>
      <c r="X341" s="103">
        <f>IF(Human_Data_Entry!BK339="","",Human_Data_Entry!BK339)</f>
        <v/>
      </c>
    </row>
    <row r="342" ht="15" customHeight="1" s="241">
      <c r="A342" s="103">
        <f>IF(Human_Data_Entry!A340="","",Human_Data_Entry!A340)</f>
        <v/>
      </c>
      <c r="B342" s="103">
        <f>IF(Human_Data_Entry!B340="","",Human_Data_Entry!B340)</f>
        <v/>
      </c>
      <c r="C342" s="104">
        <f>IF(Human_Data_Entry!C340="","",Human_Data_Entry!C340)</f>
        <v/>
      </c>
      <c r="D342" s="103">
        <f>IF(Human_Data_Entry!D340="","",Human_Data_Entry!D340)</f>
        <v/>
      </c>
      <c r="E342" s="103">
        <f>IF(Human_Data_Entry!G340="","",Human_Data_Entry!G340)</f>
        <v/>
      </c>
      <c r="F342" s="103">
        <f>IF(Human_Data_Entry!X340="","",Human_Data_Entry!X340)</f>
        <v/>
      </c>
      <c r="G342" s="103">
        <f>IF(Human_Data_Entry!AY340="","",Human_Data_Entry!AY340)</f>
        <v/>
      </c>
      <c r="H342" s="103">
        <f>IF(Human_Data_Entry!AS340="","",Human_Data_Entry!AS340)</f>
        <v/>
      </c>
      <c r="I342" s="103">
        <f>IF(Human_Data_Entry!F340="","",Human_Data_Entry!F340)</f>
        <v/>
      </c>
      <c r="J342" s="103">
        <f>IF(Human_Data_Entry!BA340="","",Human_Data_Entry!BA340)</f>
        <v/>
      </c>
      <c r="K342" s="103">
        <f>IF(Human_Data_Entry!BB340="","",Human_Data_Entry!BB340)</f>
        <v/>
      </c>
      <c r="L342" s="103">
        <f>IF(Human_Data_Entry!BC340="","",Human_Data_Entry!BC340)</f>
        <v/>
      </c>
      <c r="M342" s="104">
        <f>IF(Human_Data_Entry!BD340="","",Human_Data_Entry!BD340)</f>
        <v/>
      </c>
      <c r="N342" s="104">
        <f>IF(Human_Data_Entry!BE340="","",Human_Data_Entry!BE340)</f>
        <v/>
      </c>
      <c r="O342" s="105">
        <f>IF(Human_Data_Entry!BF340="","",Human_Data_Entry!BF340)</f>
        <v/>
      </c>
      <c r="P342" s="103">
        <f>IF(Human_Data_Entry!BG340="","",Human_Data_Entry!BG340)</f>
        <v/>
      </c>
      <c r="Q342" s="103">
        <f>IF(Human_Data_Entry!BL340="","",Human_Data_Entry!BL340)</f>
        <v/>
      </c>
      <c r="R342" s="103">
        <f>IF(Human_Data_Entry!BH340="","",Human_Data_Entry!BH340)</f>
        <v/>
      </c>
      <c r="S342" s="103">
        <f>IF(Human_Data_Entry!BI340="","",Human_Data_Entry!BI340)</f>
        <v/>
      </c>
      <c r="T342" s="103">
        <f>IF(Human_Data_Entry!BJ340="","",Human_Data_Entry!BJ340)</f>
        <v/>
      </c>
      <c r="U342" s="103">
        <f>IF(Human_Data_Entry!AP340="","",Human_Data_Entry!AP340)</f>
        <v/>
      </c>
      <c r="V342" s="103">
        <f>IF(Human_Data_Entry!AQ340="","",Human_Data_Entry!AQ340)</f>
        <v/>
      </c>
      <c r="W342" s="103">
        <f>IF(Human_Data_Entry!AR340="","",Human_Data_Entry!AR340)</f>
        <v/>
      </c>
      <c r="X342" s="103">
        <f>IF(Human_Data_Entry!BK340="","",Human_Data_Entry!BK340)</f>
        <v/>
      </c>
    </row>
    <row r="343" ht="15" customHeight="1" s="241">
      <c r="A343" s="103">
        <f>IF(Human_Data_Entry!A341="","",Human_Data_Entry!A341)</f>
        <v/>
      </c>
      <c r="B343" s="103">
        <f>IF(Human_Data_Entry!B341="","",Human_Data_Entry!B341)</f>
        <v/>
      </c>
      <c r="C343" s="104">
        <f>IF(Human_Data_Entry!C341="","",Human_Data_Entry!C341)</f>
        <v/>
      </c>
      <c r="D343" s="103">
        <f>IF(Human_Data_Entry!D341="","",Human_Data_Entry!D341)</f>
        <v/>
      </c>
      <c r="E343" s="103">
        <f>IF(Human_Data_Entry!G341="","",Human_Data_Entry!G341)</f>
        <v/>
      </c>
      <c r="F343" s="103">
        <f>IF(Human_Data_Entry!X341="","",Human_Data_Entry!X341)</f>
        <v/>
      </c>
      <c r="G343" s="103">
        <f>IF(Human_Data_Entry!AY341="","",Human_Data_Entry!AY341)</f>
        <v/>
      </c>
      <c r="H343" s="103">
        <f>IF(Human_Data_Entry!AS341="","",Human_Data_Entry!AS341)</f>
        <v/>
      </c>
      <c r="I343" s="103">
        <f>IF(Human_Data_Entry!F341="","",Human_Data_Entry!F341)</f>
        <v/>
      </c>
      <c r="J343" s="103">
        <f>IF(Human_Data_Entry!BA341="","",Human_Data_Entry!BA341)</f>
        <v/>
      </c>
      <c r="K343" s="103">
        <f>IF(Human_Data_Entry!BB341="","",Human_Data_Entry!BB341)</f>
        <v/>
      </c>
      <c r="L343" s="103">
        <f>IF(Human_Data_Entry!BC341="","",Human_Data_Entry!BC341)</f>
        <v/>
      </c>
      <c r="M343" s="104">
        <f>IF(Human_Data_Entry!BD341="","",Human_Data_Entry!BD341)</f>
        <v/>
      </c>
      <c r="N343" s="104">
        <f>IF(Human_Data_Entry!BE341="","",Human_Data_Entry!BE341)</f>
        <v/>
      </c>
      <c r="O343" s="105">
        <f>IF(Human_Data_Entry!BF341="","",Human_Data_Entry!BF341)</f>
        <v/>
      </c>
      <c r="P343" s="103">
        <f>IF(Human_Data_Entry!BG341="","",Human_Data_Entry!BG341)</f>
        <v/>
      </c>
      <c r="Q343" s="103">
        <f>IF(Human_Data_Entry!BL341="","",Human_Data_Entry!BL341)</f>
        <v/>
      </c>
      <c r="R343" s="103">
        <f>IF(Human_Data_Entry!BH341="","",Human_Data_Entry!BH341)</f>
        <v/>
      </c>
      <c r="S343" s="103">
        <f>IF(Human_Data_Entry!BI341="","",Human_Data_Entry!BI341)</f>
        <v/>
      </c>
      <c r="T343" s="103">
        <f>IF(Human_Data_Entry!BJ341="","",Human_Data_Entry!BJ341)</f>
        <v/>
      </c>
      <c r="U343" s="103">
        <f>IF(Human_Data_Entry!AP341="","",Human_Data_Entry!AP341)</f>
        <v/>
      </c>
      <c r="V343" s="103">
        <f>IF(Human_Data_Entry!AQ341="","",Human_Data_Entry!AQ341)</f>
        <v/>
      </c>
      <c r="W343" s="103">
        <f>IF(Human_Data_Entry!AR341="","",Human_Data_Entry!AR341)</f>
        <v/>
      </c>
      <c r="X343" s="103">
        <f>IF(Human_Data_Entry!BK341="","",Human_Data_Entry!BK341)</f>
        <v/>
      </c>
    </row>
    <row r="344" ht="15" customHeight="1" s="241">
      <c r="A344" s="103">
        <f>IF(Human_Data_Entry!A342="","",Human_Data_Entry!A342)</f>
        <v/>
      </c>
      <c r="B344" s="103">
        <f>IF(Human_Data_Entry!B342="","",Human_Data_Entry!B342)</f>
        <v/>
      </c>
      <c r="C344" s="104">
        <f>IF(Human_Data_Entry!C342="","",Human_Data_Entry!C342)</f>
        <v/>
      </c>
      <c r="D344" s="103">
        <f>IF(Human_Data_Entry!D342="","",Human_Data_Entry!D342)</f>
        <v/>
      </c>
      <c r="E344" s="103">
        <f>IF(Human_Data_Entry!G342="","",Human_Data_Entry!G342)</f>
        <v/>
      </c>
      <c r="F344" s="103">
        <f>IF(Human_Data_Entry!X342="","",Human_Data_Entry!X342)</f>
        <v/>
      </c>
      <c r="G344" s="103">
        <f>IF(Human_Data_Entry!AY342="","",Human_Data_Entry!AY342)</f>
        <v/>
      </c>
      <c r="H344" s="103">
        <f>IF(Human_Data_Entry!AS342="","",Human_Data_Entry!AS342)</f>
        <v/>
      </c>
      <c r="I344" s="103">
        <f>IF(Human_Data_Entry!F342="","",Human_Data_Entry!F342)</f>
        <v/>
      </c>
      <c r="J344" s="103">
        <f>IF(Human_Data_Entry!BA342="","",Human_Data_Entry!BA342)</f>
        <v/>
      </c>
      <c r="K344" s="103">
        <f>IF(Human_Data_Entry!BB342="","",Human_Data_Entry!BB342)</f>
        <v/>
      </c>
      <c r="L344" s="103">
        <f>IF(Human_Data_Entry!BC342="","",Human_Data_Entry!BC342)</f>
        <v/>
      </c>
      <c r="M344" s="104">
        <f>IF(Human_Data_Entry!BD342="","",Human_Data_Entry!BD342)</f>
        <v/>
      </c>
      <c r="N344" s="104">
        <f>IF(Human_Data_Entry!BE342="","",Human_Data_Entry!BE342)</f>
        <v/>
      </c>
      <c r="O344" s="105">
        <f>IF(Human_Data_Entry!BF342="","",Human_Data_Entry!BF342)</f>
        <v/>
      </c>
      <c r="P344" s="103">
        <f>IF(Human_Data_Entry!BG342="","",Human_Data_Entry!BG342)</f>
        <v/>
      </c>
      <c r="Q344" s="103">
        <f>IF(Human_Data_Entry!BL342="","",Human_Data_Entry!BL342)</f>
        <v/>
      </c>
      <c r="R344" s="103">
        <f>IF(Human_Data_Entry!BH342="","",Human_Data_Entry!BH342)</f>
        <v/>
      </c>
      <c r="S344" s="103">
        <f>IF(Human_Data_Entry!BI342="","",Human_Data_Entry!BI342)</f>
        <v/>
      </c>
      <c r="T344" s="103">
        <f>IF(Human_Data_Entry!BJ342="","",Human_Data_Entry!BJ342)</f>
        <v/>
      </c>
      <c r="U344" s="103">
        <f>IF(Human_Data_Entry!AP342="","",Human_Data_Entry!AP342)</f>
        <v/>
      </c>
      <c r="V344" s="103">
        <f>IF(Human_Data_Entry!AQ342="","",Human_Data_Entry!AQ342)</f>
        <v/>
      </c>
      <c r="W344" s="103">
        <f>IF(Human_Data_Entry!AR342="","",Human_Data_Entry!AR342)</f>
        <v/>
      </c>
      <c r="X344" s="103">
        <f>IF(Human_Data_Entry!BK342="","",Human_Data_Entry!BK342)</f>
        <v/>
      </c>
    </row>
    <row r="345" ht="15" customHeight="1" s="241">
      <c r="A345" s="103">
        <f>IF(Human_Data_Entry!A343="","",Human_Data_Entry!A343)</f>
        <v/>
      </c>
      <c r="B345" s="103">
        <f>IF(Human_Data_Entry!B343="","",Human_Data_Entry!B343)</f>
        <v/>
      </c>
      <c r="C345" s="104">
        <f>IF(Human_Data_Entry!C343="","",Human_Data_Entry!C343)</f>
        <v/>
      </c>
      <c r="D345" s="103">
        <f>IF(Human_Data_Entry!D343="","",Human_Data_Entry!D343)</f>
        <v/>
      </c>
      <c r="E345" s="103">
        <f>IF(Human_Data_Entry!G343="","",Human_Data_Entry!G343)</f>
        <v/>
      </c>
      <c r="F345" s="103">
        <f>IF(Human_Data_Entry!X343="","",Human_Data_Entry!X343)</f>
        <v/>
      </c>
      <c r="G345" s="103">
        <f>IF(Human_Data_Entry!AY343="","",Human_Data_Entry!AY343)</f>
        <v/>
      </c>
      <c r="H345" s="103">
        <f>IF(Human_Data_Entry!AS343="","",Human_Data_Entry!AS343)</f>
        <v/>
      </c>
      <c r="I345" s="103">
        <f>IF(Human_Data_Entry!F343="","",Human_Data_Entry!F343)</f>
        <v/>
      </c>
      <c r="J345" s="103">
        <f>IF(Human_Data_Entry!BA343="","",Human_Data_Entry!BA343)</f>
        <v/>
      </c>
      <c r="K345" s="103">
        <f>IF(Human_Data_Entry!BB343="","",Human_Data_Entry!BB343)</f>
        <v/>
      </c>
      <c r="L345" s="103">
        <f>IF(Human_Data_Entry!BC343="","",Human_Data_Entry!BC343)</f>
        <v/>
      </c>
      <c r="M345" s="104">
        <f>IF(Human_Data_Entry!BD343="","",Human_Data_Entry!BD343)</f>
        <v/>
      </c>
      <c r="N345" s="104">
        <f>IF(Human_Data_Entry!BE343="","",Human_Data_Entry!BE343)</f>
        <v/>
      </c>
      <c r="O345" s="105">
        <f>IF(Human_Data_Entry!BF343="","",Human_Data_Entry!BF343)</f>
        <v/>
      </c>
      <c r="P345" s="103">
        <f>IF(Human_Data_Entry!BG343="","",Human_Data_Entry!BG343)</f>
        <v/>
      </c>
      <c r="Q345" s="103">
        <f>IF(Human_Data_Entry!BL343="","",Human_Data_Entry!BL343)</f>
        <v/>
      </c>
      <c r="R345" s="103">
        <f>IF(Human_Data_Entry!BH343="","",Human_Data_Entry!BH343)</f>
        <v/>
      </c>
      <c r="S345" s="103">
        <f>IF(Human_Data_Entry!BI343="","",Human_Data_Entry!BI343)</f>
        <v/>
      </c>
      <c r="T345" s="103">
        <f>IF(Human_Data_Entry!BJ343="","",Human_Data_Entry!BJ343)</f>
        <v/>
      </c>
      <c r="U345" s="103">
        <f>IF(Human_Data_Entry!AP343="","",Human_Data_Entry!AP343)</f>
        <v/>
      </c>
      <c r="V345" s="103">
        <f>IF(Human_Data_Entry!AQ343="","",Human_Data_Entry!AQ343)</f>
        <v/>
      </c>
      <c r="W345" s="103">
        <f>IF(Human_Data_Entry!AR343="","",Human_Data_Entry!AR343)</f>
        <v/>
      </c>
      <c r="X345" s="103">
        <f>IF(Human_Data_Entry!BK343="","",Human_Data_Entry!BK343)</f>
        <v/>
      </c>
    </row>
    <row r="346" ht="15" customHeight="1" s="241">
      <c r="A346" s="103">
        <f>IF(Human_Data_Entry!A344="","",Human_Data_Entry!A344)</f>
        <v/>
      </c>
      <c r="B346" s="103">
        <f>IF(Human_Data_Entry!B344="","",Human_Data_Entry!B344)</f>
        <v/>
      </c>
      <c r="C346" s="104">
        <f>IF(Human_Data_Entry!C344="","",Human_Data_Entry!C344)</f>
        <v/>
      </c>
      <c r="D346" s="103">
        <f>IF(Human_Data_Entry!D344="","",Human_Data_Entry!D344)</f>
        <v/>
      </c>
      <c r="E346" s="103">
        <f>IF(Human_Data_Entry!G344="","",Human_Data_Entry!G344)</f>
        <v/>
      </c>
      <c r="F346" s="103">
        <f>IF(Human_Data_Entry!X344="","",Human_Data_Entry!X344)</f>
        <v/>
      </c>
      <c r="G346" s="103">
        <f>IF(Human_Data_Entry!AY344="","",Human_Data_Entry!AY344)</f>
        <v/>
      </c>
      <c r="H346" s="103">
        <f>IF(Human_Data_Entry!AS344="","",Human_Data_Entry!AS344)</f>
        <v/>
      </c>
      <c r="I346" s="103">
        <f>IF(Human_Data_Entry!F344="","",Human_Data_Entry!F344)</f>
        <v/>
      </c>
      <c r="J346" s="103">
        <f>IF(Human_Data_Entry!BA344="","",Human_Data_Entry!BA344)</f>
        <v/>
      </c>
      <c r="K346" s="103">
        <f>IF(Human_Data_Entry!BB344="","",Human_Data_Entry!BB344)</f>
        <v/>
      </c>
      <c r="L346" s="103">
        <f>IF(Human_Data_Entry!BC344="","",Human_Data_Entry!BC344)</f>
        <v/>
      </c>
      <c r="M346" s="104">
        <f>IF(Human_Data_Entry!BD344="","",Human_Data_Entry!BD344)</f>
        <v/>
      </c>
      <c r="N346" s="104">
        <f>IF(Human_Data_Entry!BE344="","",Human_Data_Entry!BE344)</f>
        <v/>
      </c>
      <c r="O346" s="105">
        <f>IF(Human_Data_Entry!BF344="","",Human_Data_Entry!BF344)</f>
        <v/>
      </c>
      <c r="P346" s="103">
        <f>IF(Human_Data_Entry!BG344="","",Human_Data_Entry!BG344)</f>
        <v/>
      </c>
      <c r="Q346" s="103">
        <f>IF(Human_Data_Entry!BL344="","",Human_Data_Entry!BL344)</f>
        <v/>
      </c>
      <c r="R346" s="103">
        <f>IF(Human_Data_Entry!BH344="","",Human_Data_Entry!BH344)</f>
        <v/>
      </c>
      <c r="S346" s="103">
        <f>IF(Human_Data_Entry!BI344="","",Human_Data_Entry!BI344)</f>
        <v/>
      </c>
      <c r="T346" s="103">
        <f>IF(Human_Data_Entry!BJ344="","",Human_Data_Entry!BJ344)</f>
        <v/>
      </c>
      <c r="U346" s="103">
        <f>IF(Human_Data_Entry!AP344="","",Human_Data_Entry!AP344)</f>
        <v/>
      </c>
      <c r="V346" s="103">
        <f>IF(Human_Data_Entry!AQ344="","",Human_Data_Entry!AQ344)</f>
        <v/>
      </c>
      <c r="W346" s="103">
        <f>IF(Human_Data_Entry!AR344="","",Human_Data_Entry!AR344)</f>
        <v/>
      </c>
      <c r="X346" s="103">
        <f>IF(Human_Data_Entry!BK344="","",Human_Data_Entry!BK344)</f>
        <v/>
      </c>
    </row>
    <row r="347" ht="15" customHeight="1" s="241">
      <c r="A347" s="103">
        <f>IF(Human_Data_Entry!A345="","",Human_Data_Entry!A345)</f>
        <v/>
      </c>
      <c r="B347" s="103">
        <f>IF(Human_Data_Entry!B345="","",Human_Data_Entry!B345)</f>
        <v/>
      </c>
      <c r="C347" s="104">
        <f>IF(Human_Data_Entry!C345="","",Human_Data_Entry!C345)</f>
        <v/>
      </c>
      <c r="D347" s="103">
        <f>IF(Human_Data_Entry!D345="","",Human_Data_Entry!D345)</f>
        <v/>
      </c>
      <c r="E347" s="103">
        <f>IF(Human_Data_Entry!G345="","",Human_Data_Entry!G345)</f>
        <v/>
      </c>
      <c r="F347" s="103">
        <f>IF(Human_Data_Entry!X345="","",Human_Data_Entry!X345)</f>
        <v/>
      </c>
      <c r="G347" s="103">
        <f>IF(Human_Data_Entry!AY345="","",Human_Data_Entry!AY345)</f>
        <v/>
      </c>
      <c r="H347" s="103">
        <f>IF(Human_Data_Entry!AS345="","",Human_Data_Entry!AS345)</f>
        <v/>
      </c>
      <c r="I347" s="103">
        <f>IF(Human_Data_Entry!F345="","",Human_Data_Entry!F345)</f>
        <v/>
      </c>
      <c r="J347" s="103">
        <f>IF(Human_Data_Entry!BA345="","",Human_Data_Entry!BA345)</f>
        <v/>
      </c>
      <c r="K347" s="103">
        <f>IF(Human_Data_Entry!BB345="","",Human_Data_Entry!BB345)</f>
        <v/>
      </c>
      <c r="L347" s="103">
        <f>IF(Human_Data_Entry!BC345="","",Human_Data_Entry!BC345)</f>
        <v/>
      </c>
      <c r="M347" s="104">
        <f>IF(Human_Data_Entry!BD345="","",Human_Data_Entry!BD345)</f>
        <v/>
      </c>
      <c r="N347" s="104">
        <f>IF(Human_Data_Entry!BE345="","",Human_Data_Entry!BE345)</f>
        <v/>
      </c>
      <c r="O347" s="105">
        <f>IF(Human_Data_Entry!BF345="","",Human_Data_Entry!BF345)</f>
        <v/>
      </c>
      <c r="P347" s="103">
        <f>IF(Human_Data_Entry!BG345="","",Human_Data_Entry!BG345)</f>
        <v/>
      </c>
      <c r="Q347" s="103">
        <f>IF(Human_Data_Entry!BL345="","",Human_Data_Entry!BL345)</f>
        <v/>
      </c>
      <c r="R347" s="103">
        <f>IF(Human_Data_Entry!BH345="","",Human_Data_Entry!BH345)</f>
        <v/>
      </c>
      <c r="S347" s="103">
        <f>IF(Human_Data_Entry!BI345="","",Human_Data_Entry!BI345)</f>
        <v/>
      </c>
      <c r="T347" s="103">
        <f>IF(Human_Data_Entry!BJ345="","",Human_Data_Entry!BJ345)</f>
        <v/>
      </c>
      <c r="U347" s="103">
        <f>IF(Human_Data_Entry!AP345="","",Human_Data_Entry!AP345)</f>
        <v/>
      </c>
      <c r="V347" s="103">
        <f>IF(Human_Data_Entry!AQ345="","",Human_Data_Entry!AQ345)</f>
        <v/>
      </c>
      <c r="W347" s="103">
        <f>IF(Human_Data_Entry!AR345="","",Human_Data_Entry!AR345)</f>
        <v/>
      </c>
      <c r="X347" s="103">
        <f>IF(Human_Data_Entry!BK345="","",Human_Data_Entry!BK345)</f>
        <v/>
      </c>
    </row>
    <row r="348" ht="15" customHeight="1" s="241">
      <c r="A348" s="103">
        <f>IF(Human_Data_Entry!A346="","",Human_Data_Entry!A346)</f>
        <v/>
      </c>
      <c r="B348" s="103">
        <f>IF(Human_Data_Entry!B346="","",Human_Data_Entry!B346)</f>
        <v/>
      </c>
      <c r="C348" s="104">
        <f>IF(Human_Data_Entry!C346="","",Human_Data_Entry!C346)</f>
        <v/>
      </c>
      <c r="D348" s="103">
        <f>IF(Human_Data_Entry!D346="","",Human_Data_Entry!D346)</f>
        <v/>
      </c>
      <c r="E348" s="103">
        <f>IF(Human_Data_Entry!G346="","",Human_Data_Entry!G346)</f>
        <v/>
      </c>
      <c r="F348" s="103">
        <f>IF(Human_Data_Entry!X346="","",Human_Data_Entry!X346)</f>
        <v/>
      </c>
      <c r="G348" s="103">
        <f>IF(Human_Data_Entry!AY346="","",Human_Data_Entry!AY346)</f>
        <v/>
      </c>
      <c r="H348" s="103">
        <f>IF(Human_Data_Entry!AS346="","",Human_Data_Entry!AS346)</f>
        <v/>
      </c>
      <c r="I348" s="103">
        <f>IF(Human_Data_Entry!F346="","",Human_Data_Entry!F346)</f>
        <v/>
      </c>
      <c r="J348" s="103">
        <f>IF(Human_Data_Entry!BA346="","",Human_Data_Entry!BA346)</f>
        <v/>
      </c>
      <c r="K348" s="103">
        <f>IF(Human_Data_Entry!BB346="","",Human_Data_Entry!BB346)</f>
        <v/>
      </c>
      <c r="L348" s="103">
        <f>IF(Human_Data_Entry!BC346="","",Human_Data_Entry!BC346)</f>
        <v/>
      </c>
      <c r="M348" s="104">
        <f>IF(Human_Data_Entry!BD346="","",Human_Data_Entry!BD346)</f>
        <v/>
      </c>
      <c r="N348" s="104">
        <f>IF(Human_Data_Entry!BE346="","",Human_Data_Entry!BE346)</f>
        <v/>
      </c>
      <c r="O348" s="105">
        <f>IF(Human_Data_Entry!BF346="","",Human_Data_Entry!BF346)</f>
        <v/>
      </c>
      <c r="P348" s="103">
        <f>IF(Human_Data_Entry!BG346="","",Human_Data_Entry!BG346)</f>
        <v/>
      </c>
      <c r="Q348" s="103">
        <f>IF(Human_Data_Entry!BL346="","",Human_Data_Entry!BL346)</f>
        <v/>
      </c>
      <c r="R348" s="103">
        <f>IF(Human_Data_Entry!BH346="","",Human_Data_Entry!BH346)</f>
        <v/>
      </c>
      <c r="S348" s="103">
        <f>IF(Human_Data_Entry!BI346="","",Human_Data_Entry!BI346)</f>
        <v/>
      </c>
      <c r="T348" s="103">
        <f>IF(Human_Data_Entry!BJ346="","",Human_Data_Entry!BJ346)</f>
        <v/>
      </c>
      <c r="U348" s="103">
        <f>IF(Human_Data_Entry!AP346="","",Human_Data_Entry!AP346)</f>
        <v/>
      </c>
      <c r="V348" s="103">
        <f>IF(Human_Data_Entry!AQ346="","",Human_Data_Entry!AQ346)</f>
        <v/>
      </c>
      <c r="W348" s="103">
        <f>IF(Human_Data_Entry!AR346="","",Human_Data_Entry!AR346)</f>
        <v/>
      </c>
      <c r="X348" s="103">
        <f>IF(Human_Data_Entry!BK346="","",Human_Data_Entry!BK346)</f>
        <v/>
      </c>
    </row>
    <row r="349" ht="15" customHeight="1" s="241">
      <c r="A349" s="103">
        <f>IF(Human_Data_Entry!A347="","",Human_Data_Entry!A347)</f>
        <v/>
      </c>
      <c r="B349" s="103">
        <f>IF(Human_Data_Entry!B347="","",Human_Data_Entry!B347)</f>
        <v/>
      </c>
      <c r="C349" s="104">
        <f>IF(Human_Data_Entry!C347="","",Human_Data_Entry!C347)</f>
        <v/>
      </c>
      <c r="D349" s="103">
        <f>IF(Human_Data_Entry!D347="","",Human_Data_Entry!D347)</f>
        <v/>
      </c>
      <c r="E349" s="103">
        <f>IF(Human_Data_Entry!G347="","",Human_Data_Entry!G347)</f>
        <v/>
      </c>
      <c r="F349" s="103">
        <f>IF(Human_Data_Entry!X347="","",Human_Data_Entry!X347)</f>
        <v/>
      </c>
      <c r="G349" s="103">
        <f>IF(Human_Data_Entry!AY347="","",Human_Data_Entry!AY347)</f>
        <v/>
      </c>
      <c r="H349" s="103">
        <f>IF(Human_Data_Entry!AS347="","",Human_Data_Entry!AS347)</f>
        <v/>
      </c>
      <c r="I349" s="103">
        <f>IF(Human_Data_Entry!F347="","",Human_Data_Entry!F347)</f>
        <v/>
      </c>
      <c r="J349" s="103">
        <f>IF(Human_Data_Entry!BA347="","",Human_Data_Entry!BA347)</f>
        <v/>
      </c>
      <c r="K349" s="103">
        <f>IF(Human_Data_Entry!BB347="","",Human_Data_Entry!BB347)</f>
        <v/>
      </c>
      <c r="L349" s="103">
        <f>IF(Human_Data_Entry!BC347="","",Human_Data_Entry!BC347)</f>
        <v/>
      </c>
      <c r="M349" s="104">
        <f>IF(Human_Data_Entry!BD347="","",Human_Data_Entry!BD347)</f>
        <v/>
      </c>
      <c r="N349" s="104">
        <f>IF(Human_Data_Entry!BE347="","",Human_Data_Entry!BE347)</f>
        <v/>
      </c>
      <c r="O349" s="105">
        <f>IF(Human_Data_Entry!BF347="","",Human_Data_Entry!BF347)</f>
        <v/>
      </c>
      <c r="P349" s="103">
        <f>IF(Human_Data_Entry!BG347="","",Human_Data_Entry!BG347)</f>
        <v/>
      </c>
      <c r="Q349" s="103">
        <f>IF(Human_Data_Entry!BL347="","",Human_Data_Entry!BL347)</f>
        <v/>
      </c>
      <c r="R349" s="103">
        <f>IF(Human_Data_Entry!BH347="","",Human_Data_Entry!BH347)</f>
        <v/>
      </c>
      <c r="S349" s="103">
        <f>IF(Human_Data_Entry!BI347="","",Human_Data_Entry!BI347)</f>
        <v/>
      </c>
      <c r="T349" s="103">
        <f>IF(Human_Data_Entry!BJ347="","",Human_Data_Entry!BJ347)</f>
        <v/>
      </c>
      <c r="U349" s="103">
        <f>IF(Human_Data_Entry!AP347="","",Human_Data_Entry!AP347)</f>
        <v/>
      </c>
      <c r="V349" s="103">
        <f>IF(Human_Data_Entry!AQ347="","",Human_Data_Entry!AQ347)</f>
        <v/>
      </c>
      <c r="W349" s="103">
        <f>IF(Human_Data_Entry!AR347="","",Human_Data_Entry!AR347)</f>
        <v/>
      </c>
      <c r="X349" s="103">
        <f>IF(Human_Data_Entry!BK347="","",Human_Data_Entry!BK347)</f>
        <v/>
      </c>
    </row>
    <row r="350" ht="15" customHeight="1" s="241">
      <c r="A350" s="103">
        <f>IF(Human_Data_Entry!A348="","",Human_Data_Entry!A348)</f>
        <v/>
      </c>
      <c r="B350" s="103">
        <f>IF(Human_Data_Entry!B348="","",Human_Data_Entry!B348)</f>
        <v/>
      </c>
      <c r="C350" s="104">
        <f>IF(Human_Data_Entry!C348="","",Human_Data_Entry!C348)</f>
        <v/>
      </c>
      <c r="D350" s="103">
        <f>IF(Human_Data_Entry!D348="","",Human_Data_Entry!D348)</f>
        <v/>
      </c>
      <c r="E350" s="103">
        <f>IF(Human_Data_Entry!G348="","",Human_Data_Entry!G348)</f>
        <v/>
      </c>
      <c r="F350" s="103">
        <f>IF(Human_Data_Entry!X348="","",Human_Data_Entry!X348)</f>
        <v/>
      </c>
      <c r="G350" s="103">
        <f>IF(Human_Data_Entry!AY348="","",Human_Data_Entry!AY348)</f>
        <v/>
      </c>
      <c r="H350" s="103">
        <f>IF(Human_Data_Entry!AS348="","",Human_Data_Entry!AS348)</f>
        <v/>
      </c>
      <c r="I350" s="103">
        <f>IF(Human_Data_Entry!F348="","",Human_Data_Entry!F348)</f>
        <v/>
      </c>
      <c r="J350" s="103">
        <f>IF(Human_Data_Entry!BA348="","",Human_Data_Entry!BA348)</f>
        <v/>
      </c>
      <c r="K350" s="103">
        <f>IF(Human_Data_Entry!BB348="","",Human_Data_Entry!BB348)</f>
        <v/>
      </c>
      <c r="L350" s="103">
        <f>IF(Human_Data_Entry!BC348="","",Human_Data_Entry!BC348)</f>
        <v/>
      </c>
      <c r="M350" s="104">
        <f>IF(Human_Data_Entry!BD348="","",Human_Data_Entry!BD348)</f>
        <v/>
      </c>
      <c r="N350" s="104">
        <f>IF(Human_Data_Entry!BE348="","",Human_Data_Entry!BE348)</f>
        <v/>
      </c>
      <c r="O350" s="105">
        <f>IF(Human_Data_Entry!BF348="","",Human_Data_Entry!BF348)</f>
        <v/>
      </c>
      <c r="P350" s="103">
        <f>IF(Human_Data_Entry!BG348="","",Human_Data_Entry!BG348)</f>
        <v/>
      </c>
      <c r="Q350" s="103">
        <f>IF(Human_Data_Entry!BL348="","",Human_Data_Entry!BL348)</f>
        <v/>
      </c>
      <c r="R350" s="103">
        <f>IF(Human_Data_Entry!BH348="","",Human_Data_Entry!BH348)</f>
        <v/>
      </c>
      <c r="S350" s="103">
        <f>IF(Human_Data_Entry!BI348="","",Human_Data_Entry!BI348)</f>
        <v/>
      </c>
      <c r="T350" s="103">
        <f>IF(Human_Data_Entry!BJ348="","",Human_Data_Entry!BJ348)</f>
        <v/>
      </c>
      <c r="U350" s="103">
        <f>IF(Human_Data_Entry!AP348="","",Human_Data_Entry!AP348)</f>
        <v/>
      </c>
      <c r="V350" s="103">
        <f>IF(Human_Data_Entry!AQ348="","",Human_Data_Entry!AQ348)</f>
        <v/>
      </c>
      <c r="W350" s="103">
        <f>IF(Human_Data_Entry!AR348="","",Human_Data_Entry!AR348)</f>
        <v/>
      </c>
      <c r="X350" s="103">
        <f>IF(Human_Data_Entry!BK348="","",Human_Data_Entry!BK348)</f>
        <v/>
      </c>
    </row>
    <row r="351" ht="15" customHeight="1" s="241">
      <c r="A351" s="103">
        <f>IF(Human_Data_Entry!A349="","",Human_Data_Entry!A349)</f>
        <v/>
      </c>
      <c r="B351" s="103">
        <f>IF(Human_Data_Entry!B349="","",Human_Data_Entry!B349)</f>
        <v/>
      </c>
      <c r="C351" s="104">
        <f>IF(Human_Data_Entry!C349="","",Human_Data_Entry!C349)</f>
        <v/>
      </c>
      <c r="D351" s="103">
        <f>IF(Human_Data_Entry!D349="","",Human_Data_Entry!D349)</f>
        <v/>
      </c>
      <c r="E351" s="103">
        <f>IF(Human_Data_Entry!G349="","",Human_Data_Entry!G349)</f>
        <v/>
      </c>
      <c r="F351" s="103">
        <f>IF(Human_Data_Entry!X349="","",Human_Data_Entry!X349)</f>
        <v/>
      </c>
      <c r="G351" s="103">
        <f>IF(Human_Data_Entry!AY349="","",Human_Data_Entry!AY349)</f>
        <v/>
      </c>
      <c r="H351" s="103">
        <f>IF(Human_Data_Entry!AS349="","",Human_Data_Entry!AS349)</f>
        <v/>
      </c>
      <c r="I351" s="103">
        <f>IF(Human_Data_Entry!F349="","",Human_Data_Entry!F349)</f>
        <v/>
      </c>
      <c r="J351" s="103">
        <f>IF(Human_Data_Entry!BA349="","",Human_Data_Entry!BA349)</f>
        <v/>
      </c>
      <c r="K351" s="103">
        <f>IF(Human_Data_Entry!BB349="","",Human_Data_Entry!BB349)</f>
        <v/>
      </c>
      <c r="L351" s="103">
        <f>IF(Human_Data_Entry!BC349="","",Human_Data_Entry!BC349)</f>
        <v/>
      </c>
      <c r="M351" s="104">
        <f>IF(Human_Data_Entry!BD349="","",Human_Data_Entry!BD349)</f>
        <v/>
      </c>
      <c r="N351" s="104">
        <f>IF(Human_Data_Entry!BE349="","",Human_Data_Entry!BE349)</f>
        <v/>
      </c>
      <c r="O351" s="105">
        <f>IF(Human_Data_Entry!BF349="","",Human_Data_Entry!BF349)</f>
        <v/>
      </c>
      <c r="P351" s="103">
        <f>IF(Human_Data_Entry!BG349="","",Human_Data_Entry!BG349)</f>
        <v/>
      </c>
      <c r="Q351" s="103">
        <f>IF(Human_Data_Entry!BL349="","",Human_Data_Entry!BL349)</f>
        <v/>
      </c>
      <c r="R351" s="103">
        <f>IF(Human_Data_Entry!BH349="","",Human_Data_Entry!BH349)</f>
        <v/>
      </c>
      <c r="S351" s="103">
        <f>IF(Human_Data_Entry!BI349="","",Human_Data_Entry!BI349)</f>
        <v/>
      </c>
      <c r="T351" s="103">
        <f>IF(Human_Data_Entry!BJ349="","",Human_Data_Entry!BJ349)</f>
        <v/>
      </c>
      <c r="U351" s="103">
        <f>IF(Human_Data_Entry!AP349="","",Human_Data_Entry!AP349)</f>
        <v/>
      </c>
      <c r="V351" s="103">
        <f>IF(Human_Data_Entry!AQ349="","",Human_Data_Entry!AQ349)</f>
        <v/>
      </c>
      <c r="W351" s="103">
        <f>IF(Human_Data_Entry!AR349="","",Human_Data_Entry!AR349)</f>
        <v/>
      </c>
      <c r="X351" s="103">
        <f>IF(Human_Data_Entry!BK349="","",Human_Data_Entry!BK349)</f>
        <v/>
      </c>
    </row>
    <row r="352" ht="15" customHeight="1" s="241">
      <c r="A352" s="103">
        <f>IF(Human_Data_Entry!A350="","",Human_Data_Entry!A350)</f>
        <v/>
      </c>
      <c r="B352" s="103">
        <f>IF(Human_Data_Entry!B350="","",Human_Data_Entry!B350)</f>
        <v/>
      </c>
      <c r="C352" s="104">
        <f>IF(Human_Data_Entry!C350="","",Human_Data_Entry!C350)</f>
        <v/>
      </c>
      <c r="D352" s="103">
        <f>IF(Human_Data_Entry!D350="","",Human_Data_Entry!D350)</f>
        <v/>
      </c>
      <c r="E352" s="103">
        <f>IF(Human_Data_Entry!G350="","",Human_Data_Entry!G350)</f>
        <v/>
      </c>
      <c r="F352" s="103">
        <f>IF(Human_Data_Entry!X350="","",Human_Data_Entry!X350)</f>
        <v/>
      </c>
      <c r="G352" s="103">
        <f>IF(Human_Data_Entry!AY350="","",Human_Data_Entry!AY350)</f>
        <v/>
      </c>
      <c r="H352" s="103">
        <f>IF(Human_Data_Entry!AS350="","",Human_Data_Entry!AS350)</f>
        <v/>
      </c>
      <c r="I352" s="103">
        <f>IF(Human_Data_Entry!F350="","",Human_Data_Entry!F350)</f>
        <v/>
      </c>
      <c r="J352" s="103">
        <f>IF(Human_Data_Entry!BA350="","",Human_Data_Entry!BA350)</f>
        <v/>
      </c>
      <c r="K352" s="103">
        <f>IF(Human_Data_Entry!BB350="","",Human_Data_Entry!BB350)</f>
        <v/>
      </c>
      <c r="L352" s="103">
        <f>IF(Human_Data_Entry!BC350="","",Human_Data_Entry!BC350)</f>
        <v/>
      </c>
      <c r="M352" s="104">
        <f>IF(Human_Data_Entry!BD350="","",Human_Data_Entry!BD350)</f>
        <v/>
      </c>
      <c r="N352" s="104">
        <f>IF(Human_Data_Entry!BE350="","",Human_Data_Entry!BE350)</f>
        <v/>
      </c>
      <c r="O352" s="105">
        <f>IF(Human_Data_Entry!BF350="","",Human_Data_Entry!BF350)</f>
        <v/>
      </c>
      <c r="P352" s="103">
        <f>IF(Human_Data_Entry!BG350="","",Human_Data_Entry!BG350)</f>
        <v/>
      </c>
      <c r="Q352" s="103">
        <f>IF(Human_Data_Entry!BL350="","",Human_Data_Entry!BL350)</f>
        <v/>
      </c>
      <c r="R352" s="103">
        <f>IF(Human_Data_Entry!BH350="","",Human_Data_Entry!BH350)</f>
        <v/>
      </c>
      <c r="S352" s="103">
        <f>IF(Human_Data_Entry!BI350="","",Human_Data_Entry!BI350)</f>
        <v/>
      </c>
      <c r="T352" s="103">
        <f>IF(Human_Data_Entry!BJ350="","",Human_Data_Entry!BJ350)</f>
        <v/>
      </c>
      <c r="U352" s="103">
        <f>IF(Human_Data_Entry!AP350="","",Human_Data_Entry!AP350)</f>
        <v/>
      </c>
      <c r="V352" s="103">
        <f>IF(Human_Data_Entry!AQ350="","",Human_Data_Entry!AQ350)</f>
        <v/>
      </c>
      <c r="W352" s="103">
        <f>IF(Human_Data_Entry!AR350="","",Human_Data_Entry!AR350)</f>
        <v/>
      </c>
      <c r="X352" s="103">
        <f>IF(Human_Data_Entry!BK350="","",Human_Data_Entry!BK350)</f>
        <v/>
      </c>
    </row>
    <row r="353" ht="15" customHeight="1" s="241">
      <c r="A353" s="103">
        <f>IF(Human_Data_Entry!A351="","",Human_Data_Entry!A351)</f>
        <v/>
      </c>
      <c r="B353" s="103">
        <f>IF(Human_Data_Entry!B351="","",Human_Data_Entry!B351)</f>
        <v/>
      </c>
      <c r="C353" s="104">
        <f>IF(Human_Data_Entry!C351="","",Human_Data_Entry!C351)</f>
        <v/>
      </c>
      <c r="D353" s="103">
        <f>IF(Human_Data_Entry!D351="","",Human_Data_Entry!D351)</f>
        <v/>
      </c>
      <c r="E353" s="103">
        <f>IF(Human_Data_Entry!G351="","",Human_Data_Entry!G351)</f>
        <v/>
      </c>
      <c r="F353" s="103">
        <f>IF(Human_Data_Entry!X351="","",Human_Data_Entry!X351)</f>
        <v/>
      </c>
      <c r="G353" s="103">
        <f>IF(Human_Data_Entry!AY351="","",Human_Data_Entry!AY351)</f>
        <v/>
      </c>
      <c r="H353" s="103">
        <f>IF(Human_Data_Entry!AS351="","",Human_Data_Entry!AS351)</f>
        <v/>
      </c>
      <c r="I353" s="103">
        <f>IF(Human_Data_Entry!F351="","",Human_Data_Entry!F351)</f>
        <v/>
      </c>
      <c r="J353" s="103">
        <f>IF(Human_Data_Entry!BA351="","",Human_Data_Entry!BA351)</f>
        <v/>
      </c>
      <c r="K353" s="103">
        <f>IF(Human_Data_Entry!BB351="","",Human_Data_Entry!BB351)</f>
        <v/>
      </c>
      <c r="L353" s="103">
        <f>IF(Human_Data_Entry!BC351="","",Human_Data_Entry!BC351)</f>
        <v/>
      </c>
      <c r="M353" s="104">
        <f>IF(Human_Data_Entry!BD351="","",Human_Data_Entry!BD351)</f>
        <v/>
      </c>
      <c r="N353" s="104">
        <f>IF(Human_Data_Entry!BE351="","",Human_Data_Entry!BE351)</f>
        <v/>
      </c>
      <c r="O353" s="105">
        <f>IF(Human_Data_Entry!BF351="","",Human_Data_Entry!BF351)</f>
        <v/>
      </c>
      <c r="P353" s="103">
        <f>IF(Human_Data_Entry!BG351="","",Human_Data_Entry!BG351)</f>
        <v/>
      </c>
      <c r="Q353" s="103">
        <f>IF(Human_Data_Entry!BL351="","",Human_Data_Entry!BL351)</f>
        <v/>
      </c>
      <c r="R353" s="103">
        <f>IF(Human_Data_Entry!BH351="","",Human_Data_Entry!BH351)</f>
        <v/>
      </c>
      <c r="S353" s="103">
        <f>IF(Human_Data_Entry!BI351="","",Human_Data_Entry!BI351)</f>
        <v/>
      </c>
      <c r="T353" s="103">
        <f>IF(Human_Data_Entry!BJ351="","",Human_Data_Entry!BJ351)</f>
        <v/>
      </c>
      <c r="U353" s="103">
        <f>IF(Human_Data_Entry!AP351="","",Human_Data_Entry!AP351)</f>
        <v/>
      </c>
      <c r="V353" s="103">
        <f>IF(Human_Data_Entry!AQ351="","",Human_Data_Entry!AQ351)</f>
        <v/>
      </c>
      <c r="W353" s="103">
        <f>IF(Human_Data_Entry!AR351="","",Human_Data_Entry!AR351)</f>
        <v/>
      </c>
      <c r="X353" s="103">
        <f>IF(Human_Data_Entry!BK351="","",Human_Data_Entry!BK351)</f>
        <v/>
      </c>
    </row>
    <row r="354" ht="15" customHeight="1" s="241">
      <c r="A354" s="103">
        <f>IF(Human_Data_Entry!A352="","",Human_Data_Entry!A352)</f>
        <v/>
      </c>
      <c r="B354" s="103">
        <f>IF(Human_Data_Entry!B352="","",Human_Data_Entry!B352)</f>
        <v/>
      </c>
      <c r="C354" s="104">
        <f>IF(Human_Data_Entry!C352="","",Human_Data_Entry!C352)</f>
        <v/>
      </c>
      <c r="D354" s="103">
        <f>IF(Human_Data_Entry!D352="","",Human_Data_Entry!D352)</f>
        <v/>
      </c>
      <c r="E354" s="103">
        <f>IF(Human_Data_Entry!G352="","",Human_Data_Entry!G352)</f>
        <v/>
      </c>
      <c r="F354" s="103">
        <f>IF(Human_Data_Entry!X352="","",Human_Data_Entry!X352)</f>
        <v/>
      </c>
      <c r="G354" s="103">
        <f>IF(Human_Data_Entry!AY352="","",Human_Data_Entry!AY352)</f>
        <v/>
      </c>
      <c r="H354" s="103">
        <f>IF(Human_Data_Entry!AS352="","",Human_Data_Entry!AS352)</f>
        <v/>
      </c>
      <c r="I354" s="103">
        <f>IF(Human_Data_Entry!F352="","",Human_Data_Entry!F352)</f>
        <v/>
      </c>
      <c r="J354" s="103">
        <f>IF(Human_Data_Entry!BA352="","",Human_Data_Entry!BA352)</f>
        <v/>
      </c>
      <c r="K354" s="103">
        <f>IF(Human_Data_Entry!BB352="","",Human_Data_Entry!BB352)</f>
        <v/>
      </c>
      <c r="L354" s="103">
        <f>IF(Human_Data_Entry!BC352="","",Human_Data_Entry!BC352)</f>
        <v/>
      </c>
      <c r="M354" s="104">
        <f>IF(Human_Data_Entry!BD352="","",Human_Data_Entry!BD352)</f>
        <v/>
      </c>
      <c r="N354" s="104">
        <f>IF(Human_Data_Entry!BE352="","",Human_Data_Entry!BE352)</f>
        <v/>
      </c>
      <c r="O354" s="105">
        <f>IF(Human_Data_Entry!BF352="","",Human_Data_Entry!BF352)</f>
        <v/>
      </c>
      <c r="P354" s="103">
        <f>IF(Human_Data_Entry!BG352="","",Human_Data_Entry!BG352)</f>
        <v/>
      </c>
      <c r="Q354" s="103">
        <f>IF(Human_Data_Entry!BL352="","",Human_Data_Entry!BL352)</f>
        <v/>
      </c>
      <c r="R354" s="103">
        <f>IF(Human_Data_Entry!BH352="","",Human_Data_Entry!BH352)</f>
        <v/>
      </c>
      <c r="S354" s="103">
        <f>IF(Human_Data_Entry!BI352="","",Human_Data_Entry!BI352)</f>
        <v/>
      </c>
      <c r="T354" s="103">
        <f>IF(Human_Data_Entry!BJ352="","",Human_Data_Entry!BJ352)</f>
        <v/>
      </c>
      <c r="U354" s="103">
        <f>IF(Human_Data_Entry!AP352="","",Human_Data_Entry!AP352)</f>
        <v/>
      </c>
      <c r="V354" s="103">
        <f>IF(Human_Data_Entry!AQ352="","",Human_Data_Entry!AQ352)</f>
        <v/>
      </c>
      <c r="W354" s="103">
        <f>IF(Human_Data_Entry!AR352="","",Human_Data_Entry!AR352)</f>
        <v/>
      </c>
      <c r="X354" s="103">
        <f>IF(Human_Data_Entry!BK352="","",Human_Data_Entry!BK352)</f>
        <v/>
      </c>
    </row>
    <row r="355" ht="15" customHeight="1" s="241">
      <c r="A355" s="103">
        <f>IF(Human_Data_Entry!A353="","",Human_Data_Entry!A353)</f>
        <v/>
      </c>
      <c r="B355" s="103">
        <f>IF(Human_Data_Entry!B353="","",Human_Data_Entry!B353)</f>
        <v/>
      </c>
      <c r="C355" s="104">
        <f>IF(Human_Data_Entry!C353="","",Human_Data_Entry!C353)</f>
        <v/>
      </c>
      <c r="D355" s="103">
        <f>IF(Human_Data_Entry!D353="","",Human_Data_Entry!D353)</f>
        <v/>
      </c>
      <c r="E355" s="103">
        <f>IF(Human_Data_Entry!G353="","",Human_Data_Entry!G353)</f>
        <v/>
      </c>
      <c r="F355" s="103">
        <f>IF(Human_Data_Entry!X353="","",Human_Data_Entry!X353)</f>
        <v/>
      </c>
      <c r="G355" s="103">
        <f>IF(Human_Data_Entry!AY353="","",Human_Data_Entry!AY353)</f>
        <v/>
      </c>
      <c r="H355" s="103">
        <f>IF(Human_Data_Entry!AS353="","",Human_Data_Entry!AS353)</f>
        <v/>
      </c>
      <c r="I355" s="103">
        <f>IF(Human_Data_Entry!F353="","",Human_Data_Entry!F353)</f>
        <v/>
      </c>
      <c r="J355" s="103">
        <f>IF(Human_Data_Entry!BA353="","",Human_Data_Entry!BA353)</f>
        <v/>
      </c>
      <c r="K355" s="103">
        <f>IF(Human_Data_Entry!BB353="","",Human_Data_Entry!BB353)</f>
        <v/>
      </c>
      <c r="L355" s="103">
        <f>IF(Human_Data_Entry!BC353="","",Human_Data_Entry!BC353)</f>
        <v/>
      </c>
      <c r="M355" s="104">
        <f>IF(Human_Data_Entry!BD353="","",Human_Data_Entry!BD353)</f>
        <v/>
      </c>
      <c r="N355" s="104">
        <f>IF(Human_Data_Entry!BE353="","",Human_Data_Entry!BE353)</f>
        <v/>
      </c>
      <c r="O355" s="105">
        <f>IF(Human_Data_Entry!BF353="","",Human_Data_Entry!BF353)</f>
        <v/>
      </c>
      <c r="P355" s="103">
        <f>IF(Human_Data_Entry!BG353="","",Human_Data_Entry!BG353)</f>
        <v/>
      </c>
      <c r="Q355" s="103">
        <f>IF(Human_Data_Entry!BL353="","",Human_Data_Entry!BL353)</f>
        <v/>
      </c>
      <c r="R355" s="103">
        <f>IF(Human_Data_Entry!BH353="","",Human_Data_Entry!BH353)</f>
        <v/>
      </c>
      <c r="S355" s="103">
        <f>IF(Human_Data_Entry!BI353="","",Human_Data_Entry!BI353)</f>
        <v/>
      </c>
      <c r="T355" s="103">
        <f>IF(Human_Data_Entry!BJ353="","",Human_Data_Entry!BJ353)</f>
        <v/>
      </c>
      <c r="U355" s="103">
        <f>IF(Human_Data_Entry!AP353="","",Human_Data_Entry!AP353)</f>
        <v/>
      </c>
      <c r="V355" s="103">
        <f>IF(Human_Data_Entry!AQ353="","",Human_Data_Entry!AQ353)</f>
        <v/>
      </c>
      <c r="W355" s="103">
        <f>IF(Human_Data_Entry!AR353="","",Human_Data_Entry!AR353)</f>
        <v/>
      </c>
      <c r="X355" s="103">
        <f>IF(Human_Data_Entry!BK353="","",Human_Data_Entry!BK353)</f>
        <v/>
      </c>
    </row>
    <row r="356" ht="15" customHeight="1" s="241">
      <c r="A356" s="103">
        <f>IF(Human_Data_Entry!A354="","",Human_Data_Entry!A354)</f>
        <v/>
      </c>
      <c r="B356" s="103">
        <f>IF(Human_Data_Entry!B354="","",Human_Data_Entry!B354)</f>
        <v/>
      </c>
      <c r="C356" s="104">
        <f>IF(Human_Data_Entry!C354="","",Human_Data_Entry!C354)</f>
        <v/>
      </c>
      <c r="D356" s="103">
        <f>IF(Human_Data_Entry!D354="","",Human_Data_Entry!D354)</f>
        <v/>
      </c>
      <c r="E356" s="103">
        <f>IF(Human_Data_Entry!G354="","",Human_Data_Entry!G354)</f>
        <v/>
      </c>
      <c r="F356" s="103">
        <f>IF(Human_Data_Entry!X354="","",Human_Data_Entry!X354)</f>
        <v/>
      </c>
      <c r="G356" s="103">
        <f>IF(Human_Data_Entry!AY354="","",Human_Data_Entry!AY354)</f>
        <v/>
      </c>
      <c r="H356" s="103">
        <f>IF(Human_Data_Entry!AS354="","",Human_Data_Entry!AS354)</f>
        <v/>
      </c>
      <c r="I356" s="103">
        <f>IF(Human_Data_Entry!F354="","",Human_Data_Entry!F354)</f>
        <v/>
      </c>
      <c r="J356" s="103">
        <f>IF(Human_Data_Entry!BA354="","",Human_Data_Entry!BA354)</f>
        <v/>
      </c>
      <c r="K356" s="103">
        <f>IF(Human_Data_Entry!BB354="","",Human_Data_Entry!BB354)</f>
        <v/>
      </c>
      <c r="L356" s="103">
        <f>IF(Human_Data_Entry!BC354="","",Human_Data_Entry!BC354)</f>
        <v/>
      </c>
      <c r="M356" s="104">
        <f>IF(Human_Data_Entry!BD354="","",Human_Data_Entry!BD354)</f>
        <v/>
      </c>
      <c r="N356" s="104">
        <f>IF(Human_Data_Entry!BE354="","",Human_Data_Entry!BE354)</f>
        <v/>
      </c>
      <c r="O356" s="105">
        <f>IF(Human_Data_Entry!BF354="","",Human_Data_Entry!BF354)</f>
        <v/>
      </c>
      <c r="P356" s="103">
        <f>IF(Human_Data_Entry!BG354="","",Human_Data_Entry!BG354)</f>
        <v/>
      </c>
      <c r="Q356" s="103">
        <f>IF(Human_Data_Entry!BL354="","",Human_Data_Entry!BL354)</f>
        <v/>
      </c>
      <c r="R356" s="103">
        <f>IF(Human_Data_Entry!BH354="","",Human_Data_Entry!BH354)</f>
        <v/>
      </c>
      <c r="S356" s="103">
        <f>IF(Human_Data_Entry!BI354="","",Human_Data_Entry!BI354)</f>
        <v/>
      </c>
      <c r="T356" s="103">
        <f>IF(Human_Data_Entry!BJ354="","",Human_Data_Entry!BJ354)</f>
        <v/>
      </c>
      <c r="U356" s="103">
        <f>IF(Human_Data_Entry!AP354="","",Human_Data_Entry!AP354)</f>
        <v/>
      </c>
      <c r="V356" s="103">
        <f>IF(Human_Data_Entry!AQ354="","",Human_Data_Entry!AQ354)</f>
        <v/>
      </c>
      <c r="W356" s="103">
        <f>IF(Human_Data_Entry!AR354="","",Human_Data_Entry!AR354)</f>
        <v/>
      </c>
      <c r="X356" s="103">
        <f>IF(Human_Data_Entry!BK354="","",Human_Data_Entry!BK354)</f>
        <v/>
      </c>
    </row>
    <row r="357" ht="15" customHeight="1" s="241">
      <c r="A357" s="103">
        <f>IF(Human_Data_Entry!A355="","",Human_Data_Entry!A355)</f>
        <v/>
      </c>
      <c r="B357" s="103">
        <f>IF(Human_Data_Entry!B355="","",Human_Data_Entry!B355)</f>
        <v/>
      </c>
      <c r="C357" s="104">
        <f>IF(Human_Data_Entry!C355="","",Human_Data_Entry!C355)</f>
        <v/>
      </c>
      <c r="D357" s="103">
        <f>IF(Human_Data_Entry!D355="","",Human_Data_Entry!D355)</f>
        <v/>
      </c>
      <c r="E357" s="103">
        <f>IF(Human_Data_Entry!G355="","",Human_Data_Entry!G355)</f>
        <v/>
      </c>
      <c r="F357" s="103">
        <f>IF(Human_Data_Entry!X355="","",Human_Data_Entry!X355)</f>
        <v/>
      </c>
      <c r="G357" s="103">
        <f>IF(Human_Data_Entry!AY355="","",Human_Data_Entry!AY355)</f>
        <v/>
      </c>
      <c r="H357" s="103">
        <f>IF(Human_Data_Entry!AS355="","",Human_Data_Entry!AS355)</f>
        <v/>
      </c>
      <c r="I357" s="103">
        <f>IF(Human_Data_Entry!F355="","",Human_Data_Entry!F355)</f>
        <v/>
      </c>
      <c r="J357" s="103">
        <f>IF(Human_Data_Entry!BA355="","",Human_Data_Entry!BA355)</f>
        <v/>
      </c>
      <c r="K357" s="103">
        <f>IF(Human_Data_Entry!BB355="","",Human_Data_Entry!BB355)</f>
        <v/>
      </c>
      <c r="L357" s="103">
        <f>IF(Human_Data_Entry!BC355="","",Human_Data_Entry!BC355)</f>
        <v/>
      </c>
      <c r="M357" s="104">
        <f>IF(Human_Data_Entry!BD355="","",Human_Data_Entry!BD355)</f>
        <v/>
      </c>
      <c r="N357" s="104">
        <f>IF(Human_Data_Entry!BE355="","",Human_Data_Entry!BE355)</f>
        <v/>
      </c>
      <c r="O357" s="105">
        <f>IF(Human_Data_Entry!BF355="","",Human_Data_Entry!BF355)</f>
        <v/>
      </c>
      <c r="P357" s="103">
        <f>IF(Human_Data_Entry!BG355="","",Human_Data_Entry!BG355)</f>
        <v/>
      </c>
      <c r="Q357" s="103">
        <f>IF(Human_Data_Entry!BL355="","",Human_Data_Entry!BL355)</f>
        <v/>
      </c>
      <c r="R357" s="103">
        <f>IF(Human_Data_Entry!BH355="","",Human_Data_Entry!BH355)</f>
        <v/>
      </c>
      <c r="S357" s="103">
        <f>IF(Human_Data_Entry!BI355="","",Human_Data_Entry!BI355)</f>
        <v/>
      </c>
      <c r="T357" s="103">
        <f>IF(Human_Data_Entry!BJ355="","",Human_Data_Entry!BJ355)</f>
        <v/>
      </c>
      <c r="U357" s="103">
        <f>IF(Human_Data_Entry!AP355="","",Human_Data_Entry!AP355)</f>
        <v/>
      </c>
      <c r="V357" s="103">
        <f>IF(Human_Data_Entry!AQ355="","",Human_Data_Entry!AQ355)</f>
        <v/>
      </c>
      <c r="W357" s="103">
        <f>IF(Human_Data_Entry!AR355="","",Human_Data_Entry!AR355)</f>
        <v/>
      </c>
      <c r="X357" s="103">
        <f>IF(Human_Data_Entry!BK355="","",Human_Data_Entry!BK355)</f>
        <v/>
      </c>
    </row>
    <row r="358" ht="15" customHeight="1" s="241">
      <c r="A358" s="103">
        <f>IF(Human_Data_Entry!A356="","",Human_Data_Entry!A356)</f>
        <v/>
      </c>
      <c r="B358" s="103">
        <f>IF(Human_Data_Entry!B356="","",Human_Data_Entry!B356)</f>
        <v/>
      </c>
      <c r="C358" s="104">
        <f>IF(Human_Data_Entry!C356="","",Human_Data_Entry!C356)</f>
        <v/>
      </c>
      <c r="D358" s="103">
        <f>IF(Human_Data_Entry!D356="","",Human_Data_Entry!D356)</f>
        <v/>
      </c>
      <c r="E358" s="103">
        <f>IF(Human_Data_Entry!G356="","",Human_Data_Entry!G356)</f>
        <v/>
      </c>
      <c r="F358" s="103">
        <f>IF(Human_Data_Entry!X356="","",Human_Data_Entry!X356)</f>
        <v/>
      </c>
      <c r="G358" s="103">
        <f>IF(Human_Data_Entry!AY356="","",Human_Data_Entry!AY356)</f>
        <v/>
      </c>
      <c r="H358" s="103">
        <f>IF(Human_Data_Entry!AS356="","",Human_Data_Entry!AS356)</f>
        <v/>
      </c>
      <c r="I358" s="103">
        <f>IF(Human_Data_Entry!F356="","",Human_Data_Entry!F356)</f>
        <v/>
      </c>
      <c r="J358" s="103">
        <f>IF(Human_Data_Entry!BA356="","",Human_Data_Entry!BA356)</f>
        <v/>
      </c>
      <c r="K358" s="103">
        <f>IF(Human_Data_Entry!BB356="","",Human_Data_Entry!BB356)</f>
        <v/>
      </c>
      <c r="L358" s="103">
        <f>IF(Human_Data_Entry!BC356="","",Human_Data_Entry!BC356)</f>
        <v/>
      </c>
      <c r="M358" s="104">
        <f>IF(Human_Data_Entry!BD356="","",Human_Data_Entry!BD356)</f>
        <v/>
      </c>
      <c r="N358" s="104">
        <f>IF(Human_Data_Entry!BE356="","",Human_Data_Entry!BE356)</f>
        <v/>
      </c>
      <c r="O358" s="105">
        <f>IF(Human_Data_Entry!BF356="","",Human_Data_Entry!BF356)</f>
        <v/>
      </c>
      <c r="P358" s="103">
        <f>IF(Human_Data_Entry!BG356="","",Human_Data_Entry!BG356)</f>
        <v/>
      </c>
      <c r="Q358" s="103">
        <f>IF(Human_Data_Entry!BL356="","",Human_Data_Entry!BL356)</f>
        <v/>
      </c>
      <c r="R358" s="103">
        <f>IF(Human_Data_Entry!BH356="","",Human_Data_Entry!BH356)</f>
        <v/>
      </c>
      <c r="S358" s="103">
        <f>IF(Human_Data_Entry!BI356="","",Human_Data_Entry!BI356)</f>
        <v/>
      </c>
      <c r="T358" s="103">
        <f>IF(Human_Data_Entry!BJ356="","",Human_Data_Entry!BJ356)</f>
        <v/>
      </c>
      <c r="U358" s="103">
        <f>IF(Human_Data_Entry!AP356="","",Human_Data_Entry!AP356)</f>
        <v/>
      </c>
      <c r="V358" s="103">
        <f>IF(Human_Data_Entry!AQ356="","",Human_Data_Entry!AQ356)</f>
        <v/>
      </c>
      <c r="W358" s="103">
        <f>IF(Human_Data_Entry!AR356="","",Human_Data_Entry!AR356)</f>
        <v/>
      </c>
      <c r="X358" s="103">
        <f>IF(Human_Data_Entry!BK356="","",Human_Data_Entry!BK356)</f>
        <v/>
      </c>
    </row>
    <row r="359" ht="15" customHeight="1" s="241">
      <c r="A359" s="103">
        <f>IF(Human_Data_Entry!A357="","",Human_Data_Entry!A357)</f>
        <v/>
      </c>
      <c r="B359" s="103">
        <f>IF(Human_Data_Entry!B357="","",Human_Data_Entry!B357)</f>
        <v/>
      </c>
      <c r="C359" s="104">
        <f>IF(Human_Data_Entry!C357="","",Human_Data_Entry!C357)</f>
        <v/>
      </c>
      <c r="D359" s="103">
        <f>IF(Human_Data_Entry!D357="","",Human_Data_Entry!D357)</f>
        <v/>
      </c>
      <c r="E359" s="103">
        <f>IF(Human_Data_Entry!G357="","",Human_Data_Entry!G357)</f>
        <v/>
      </c>
      <c r="F359" s="103">
        <f>IF(Human_Data_Entry!X357="","",Human_Data_Entry!X357)</f>
        <v/>
      </c>
      <c r="G359" s="103">
        <f>IF(Human_Data_Entry!AY357="","",Human_Data_Entry!AY357)</f>
        <v/>
      </c>
      <c r="H359" s="103">
        <f>IF(Human_Data_Entry!AS357="","",Human_Data_Entry!AS357)</f>
        <v/>
      </c>
      <c r="I359" s="103">
        <f>IF(Human_Data_Entry!F357="","",Human_Data_Entry!F357)</f>
        <v/>
      </c>
      <c r="J359" s="103">
        <f>IF(Human_Data_Entry!BA357="","",Human_Data_Entry!BA357)</f>
        <v/>
      </c>
      <c r="K359" s="103">
        <f>IF(Human_Data_Entry!BB357="","",Human_Data_Entry!BB357)</f>
        <v/>
      </c>
      <c r="L359" s="103">
        <f>IF(Human_Data_Entry!BC357="","",Human_Data_Entry!BC357)</f>
        <v/>
      </c>
      <c r="M359" s="104">
        <f>IF(Human_Data_Entry!BD357="","",Human_Data_Entry!BD357)</f>
        <v/>
      </c>
      <c r="N359" s="104">
        <f>IF(Human_Data_Entry!BE357="","",Human_Data_Entry!BE357)</f>
        <v/>
      </c>
      <c r="O359" s="105">
        <f>IF(Human_Data_Entry!BF357="","",Human_Data_Entry!BF357)</f>
        <v/>
      </c>
      <c r="P359" s="103">
        <f>IF(Human_Data_Entry!BG357="","",Human_Data_Entry!BG357)</f>
        <v/>
      </c>
      <c r="Q359" s="103">
        <f>IF(Human_Data_Entry!BL357="","",Human_Data_Entry!BL357)</f>
        <v/>
      </c>
      <c r="R359" s="103">
        <f>IF(Human_Data_Entry!BH357="","",Human_Data_Entry!BH357)</f>
        <v/>
      </c>
      <c r="S359" s="103">
        <f>IF(Human_Data_Entry!BI357="","",Human_Data_Entry!BI357)</f>
        <v/>
      </c>
      <c r="T359" s="103">
        <f>IF(Human_Data_Entry!BJ357="","",Human_Data_Entry!BJ357)</f>
        <v/>
      </c>
      <c r="U359" s="103">
        <f>IF(Human_Data_Entry!AP357="","",Human_Data_Entry!AP357)</f>
        <v/>
      </c>
      <c r="V359" s="103">
        <f>IF(Human_Data_Entry!AQ357="","",Human_Data_Entry!AQ357)</f>
        <v/>
      </c>
      <c r="W359" s="103">
        <f>IF(Human_Data_Entry!AR357="","",Human_Data_Entry!AR357)</f>
        <v/>
      </c>
      <c r="X359" s="103">
        <f>IF(Human_Data_Entry!BK357="","",Human_Data_Entry!BK357)</f>
        <v/>
      </c>
    </row>
    <row r="360" ht="15" customHeight="1" s="241">
      <c r="A360" s="103">
        <f>IF(Human_Data_Entry!A358="","",Human_Data_Entry!A358)</f>
        <v/>
      </c>
      <c r="B360" s="103">
        <f>IF(Human_Data_Entry!B358="","",Human_Data_Entry!B358)</f>
        <v/>
      </c>
      <c r="C360" s="104">
        <f>IF(Human_Data_Entry!C358="","",Human_Data_Entry!C358)</f>
        <v/>
      </c>
      <c r="D360" s="103">
        <f>IF(Human_Data_Entry!D358="","",Human_Data_Entry!D358)</f>
        <v/>
      </c>
      <c r="E360" s="103">
        <f>IF(Human_Data_Entry!G358="","",Human_Data_Entry!G358)</f>
        <v/>
      </c>
      <c r="F360" s="103">
        <f>IF(Human_Data_Entry!X358="","",Human_Data_Entry!X358)</f>
        <v/>
      </c>
      <c r="G360" s="103">
        <f>IF(Human_Data_Entry!AY358="","",Human_Data_Entry!AY358)</f>
        <v/>
      </c>
      <c r="H360" s="103">
        <f>IF(Human_Data_Entry!AS358="","",Human_Data_Entry!AS358)</f>
        <v/>
      </c>
      <c r="I360" s="103">
        <f>IF(Human_Data_Entry!F358="","",Human_Data_Entry!F358)</f>
        <v/>
      </c>
      <c r="J360" s="103">
        <f>IF(Human_Data_Entry!BA358="","",Human_Data_Entry!BA358)</f>
        <v/>
      </c>
      <c r="K360" s="103">
        <f>IF(Human_Data_Entry!BB358="","",Human_Data_Entry!BB358)</f>
        <v/>
      </c>
      <c r="L360" s="103">
        <f>IF(Human_Data_Entry!BC358="","",Human_Data_Entry!BC358)</f>
        <v/>
      </c>
      <c r="M360" s="104">
        <f>IF(Human_Data_Entry!BD358="","",Human_Data_Entry!BD358)</f>
        <v/>
      </c>
      <c r="N360" s="104">
        <f>IF(Human_Data_Entry!BE358="","",Human_Data_Entry!BE358)</f>
        <v/>
      </c>
      <c r="O360" s="105">
        <f>IF(Human_Data_Entry!BF358="","",Human_Data_Entry!BF358)</f>
        <v/>
      </c>
      <c r="P360" s="103">
        <f>IF(Human_Data_Entry!BG358="","",Human_Data_Entry!BG358)</f>
        <v/>
      </c>
      <c r="Q360" s="103">
        <f>IF(Human_Data_Entry!BL358="","",Human_Data_Entry!BL358)</f>
        <v/>
      </c>
      <c r="R360" s="103">
        <f>IF(Human_Data_Entry!BH358="","",Human_Data_Entry!BH358)</f>
        <v/>
      </c>
      <c r="S360" s="103">
        <f>IF(Human_Data_Entry!BI358="","",Human_Data_Entry!BI358)</f>
        <v/>
      </c>
      <c r="T360" s="103">
        <f>IF(Human_Data_Entry!BJ358="","",Human_Data_Entry!BJ358)</f>
        <v/>
      </c>
      <c r="U360" s="103">
        <f>IF(Human_Data_Entry!AP358="","",Human_Data_Entry!AP358)</f>
        <v/>
      </c>
      <c r="V360" s="103">
        <f>IF(Human_Data_Entry!AQ358="","",Human_Data_Entry!AQ358)</f>
        <v/>
      </c>
      <c r="W360" s="103">
        <f>IF(Human_Data_Entry!AR358="","",Human_Data_Entry!AR358)</f>
        <v/>
      </c>
      <c r="X360" s="103">
        <f>IF(Human_Data_Entry!BK358="","",Human_Data_Entry!BK358)</f>
        <v/>
      </c>
    </row>
    <row r="361" ht="15" customHeight="1" s="241">
      <c r="A361" s="103">
        <f>IF(Human_Data_Entry!A359="","",Human_Data_Entry!A359)</f>
        <v/>
      </c>
      <c r="B361" s="103">
        <f>IF(Human_Data_Entry!B359="","",Human_Data_Entry!B359)</f>
        <v/>
      </c>
      <c r="C361" s="104">
        <f>IF(Human_Data_Entry!C359="","",Human_Data_Entry!C359)</f>
        <v/>
      </c>
      <c r="D361" s="103">
        <f>IF(Human_Data_Entry!D359="","",Human_Data_Entry!D359)</f>
        <v/>
      </c>
      <c r="E361" s="103">
        <f>IF(Human_Data_Entry!G359="","",Human_Data_Entry!G359)</f>
        <v/>
      </c>
      <c r="F361" s="103">
        <f>IF(Human_Data_Entry!X359="","",Human_Data_Entry!X359)</f>
        <v/>
      </c>
      <c r="G361" s="103">
        <f>IF(Human_Data_Entry!AY359="","",Human_Data_Entry!AY359)</f>
        <v/>
      </c>
      <c r="H361" s="103">
        <f>IF(Human_Data_Entry!AS359="","",Human_Data_Entry!AS359)</f>
        <v/>
      </c>
      <c r="I361" s="103">
        <f>IF(Human_Data_Entry!F359="","",Human_Data_Entry!F359)</f>
        <v/>
      </c>
      <c r="J361" s="103">
        <f>IF(Human_Data_Entry!BA359="","",Human_Data_Entry!BA359)</f>
        <v/>
      </c>
      <c r="K361" s="103">
        <f>IF(Human_Data_Entry!BB359="","",Human_Data_Entry!BB359)</f>
        <v/>
      </c>
      <c r="L361" s="103">
        <f>IF(Human_Data_Entry!BC359="","",Human_Data_Entry!BC359)</f>
        <v/>
      </c>
      <c r="M361" s="104">
        <f>IF(Human_Data_Entry!BD359="","",Human_Data_Entry!BD359)</f>
        <v/>
      </c>
      <c r="N361" s="104">
        <f>IF(Human_Data_Entry!BE359="","",Human_Data_Entry!BE359)</f>
        <v/>
      </c>
      <c r="O361" s="105">
        <f>IF(Human_Data_Entry!BF359="","",Human_Data_Entry!BF359)</f>
        <v/>
      </c>
      <c r="P361" s="103">
        <f>IF(Human_Data_Entry!BG359="","",Human_Data_Entry!BG359)</f>
        <v/>
      </c>
      <c r="Q361" s="103">
        <f>IF(Human_Data_Entry!BL359="","",Human_Data_Entry!BL359)</f>
        <v/>
      </c>
      <c r="R361" s="103">
        <f>IF(Human_Data_Entry!BH359="","",Human_Data_Entry!BH359)</f>
        <v/>
      </c>
      <c r="S361" s="103">
        <f>IF(Human_Data_Entry!BI359="","",Human_Data_Entry!BI359)</f>
        <v/>
      </c>
      <c r="T361" s="103">
        <f>IF(Human_Data_Entry!BJ359="","",Human_Data_Entry!BJ359)</f>
        <v/>
      </c>
      <c r="U361" s="103">
        <f>IF(Human_Data_Entry!AP359="","",Human_Data_Entry!AP359)</f>
        <v/>
      </c>
      <c r="V361" s="103">
        <f>IF(Human_Data_Entry!AQ359="","",Human_Data_Entry!AQ359)</f>
        <v/>
      </c>
      <c r="W361" s="103">
        <f>IF(Human_Data_Entry!AR359="","",Human_Data_Entry!AR359)</f>
        <v/>
      </c>
      <c r="X361" s="103">
        <f>IF(Human_Data_Entry!BK359="","",Human_Data_Entry!BK359)</f>
        <v/>
      </c>
    </row>
    <row r="362" ht="15" customHeight="1" s="241">
      <c r="A362" s="103">
        <f>IF(Human_Data_Entry!A360="","",Human_Data_Entry!A360)</f>
        <v/>
      </c>
      <c r="B362" s="103">
        <f>IF(Human_Data_Entry!B360="","",Human_Data_Entry!B360)</f>
        <v/>
      </c>
      <c r="C362" s="104">
        <f>IF(Human_Data_Entry!C360="","",Human_Data_Entry!C360)</f>
        <v/>
      </c>
      <c r="D362" s="103">
        <f>IF(Human_Data_Entry!D360="","",Human_Data_Entry!D360)</f>
        <v/>
      </c>
      <c r="E362" s="103">
        <f>IF(Human_Data_Entry!G360="","",Human_Data_Entry!G360)</f>
        <v/>
      </c>
      <c r="F362" s="103">
        <f>IF(Human_Data_Entry!X360="","",Human_Data_Entry!X360)</f>
        <v/>
      </c>
      <c r="G362" s="103">
        <f>IF(Human_Data_Entry!AY360="","",Human_Data_Entry!AY360)</f>
        <v/>
      </c>
      <c r="H362" s="103">
        <f>IF(Human_Data_Entry!AS360="","",Human_Data_Entry!AS360)</f>
        <v/>
      </c>
      <c r="I362" s="103">
        <f>IF(Human_Data_Entry!F360="","",Human_Data_Entry!F360)</f>
        <v/>
      </c>
      <c r="J362" s="103">
        <f>IF(Human_Data_Entry!BA360="","",Human_Data_Entry!BA360)</f>
        <v/>
      </c>
      <c r="K362" s="103">
        <f>IF(Human_Data_Entry!BB360="","",Human_Data_Entry!BB360)</f>
        <v/>
      </c>
      <c r="L362" s="103">
        <f>IF(Human_Data_Entry!BC360="","",Human_Data_Entry!BC360)</f>
        <v/>
      </c>
      <c r="M362" s="104">
        <f>IF(Human_Data_Entry!BD360="","",Human_Data_Entry!BD360)</f>
        <v/>
      </c>
      <c r="N362" s="104">
        <f>IF(Human_Data_Entry!BE360="","",Human_Data_Entry!BE360)</f>
        <v/>
      </c>
      <c r="O362" s="105">
        <f>IF(Human_Data_Entry!BF360="","",Human_Data_Entry!BF360)</f>
        <v/>
      </c>
      <c r="P362" s="103">
        <f>IF(Human_Data_Entry!BG360="","",Human_Data_Entry!BG360)</f>
        <v/>
      </c>
      <c r="Q362" s="103">
        <f>IF(Human_Data_Entry!BL360="","",Human_Data_Entry!BL360)</f>
        <v/>
      </c>
      <c r="R362" s="103">
        <f>IF(Human_Data_Entry!BH360="","",Human_Data_Entry!BH360)</f>
        <v/>
      </c>
      <c r="S362" s="103">
        <f>IF(Human_Data_Entry!BI360="","",Human_Data_Entry!BI360)</f>
        <v/>
      </c>
      <c r="T362" s="103">
        <f>IF(Human_Data_Entry!BJ360="","",Human_Data_Entry!BJ360)</f>
        <v/>
      </c>
      <c r="U362" s="103">
        <f>IF(Human_Data_Entry!AP360="","",Human_Data_Entry!AP360)</f>
        <v/>
      </c>
      <c r="V362" s="103">
        <f>IF(Human_Data_Entry!AQ360="","",Human_Data_Entry!AQ360)</f>
        <v/>
      </c>
      <c r="W362" s="103">
        <f>IF(Human_Data_Entry!AR360="","",Human_Data_Entry!AR360)</f>
        <v/>
      </c>
      <c r="X362" s="103">
        <f>IF(Human_Data_Entry!BK360="","",Human_Data_Entry!BK360)</f>
        <v/>
      </c>
    </row>
    <row r="363" ht="15" customHeight="1" s="241">
      <c r="A363" s="103">
        <f>IF(Human_Data_Entry!A361="","",Human_Data_Entry!A361)</f>
        <v/>
      </c>
      <c r="B363" s="103">
        <f>IF(Human_Data_Entry!B361="","",Human_Data_Entry!B361)</f>
        <v/>
      </c>
      <c r="C363" s="104">
        <f>IF(Human_Data_Entry!C361="","",Human_Data_Entry!C361)</f>
        <v/>
      </c>
      <c r="D363" s="103">
        <f>IF(Human_Data_Entry!D361="","",Human_Data_Entry!D361)</f>
        <v/>
      </c>
      <c r="E363" s="103">
        <f>IF(Human_Data_Entry!G361="","",Human_Data_Entry!G361)</f>
        <v/>
      </c>
      <c r="F363" s="103">
        <f>IF(Human_Data_Entry!X361="","",Human_Data_Entry!X361)</f>
        <v/>
      </c>
      <c r="G363" s="103">
        <f>IF(Human_Data_Entry!AY361="","",Human_Data_Entry!AY361)</f>
        <v/>
      </c>
      <c r="H363" s="103">
        <f>IF(Human_Data_Entry!AS361="","",Human_Data_Entry!AS361)</f>
        <v/>
      </c>
      <c r="I363" s="103">
        <f>IF(Human_Data_Entry!F361="","",Human_Data_Entry!F361)</f>
        <v/>
      </c>
      <c r="J363" s="103">
        <f>IF(Human_Data_Entry!BA361="","",Human_Data_Entry!BA361)</f>
        <v/>
      </c>
      <c r="K363" s="103">
        <f>IF(Human_Data_Entry!BB361="","",Human_Data_Entry!BB361)</f>
        <v/>
      </c>
      <c r="L363" s="103">
        <f>IF(Human_Data_Entry!BC361="","",Human_Data_Entry!BC361)</f>
        <v/>
      </c>
      <c r="M363" s="104">
        <f>IF(Human_Data_Entry!BD361="","",Human_Data_Entry!BD361)</f>
        <v/>
      </c>
      <c r="N363" s="104">
        <f>IF(Human_Data_Entry!BE361="","",Human_Data_Entry!BE361)</f>
        <v/>
      </c>
      <c r="O363" s="105">
        <f>IF(Human_Data_Entry!BF361="","",Human_Data_Entry!BF361)</f>
        <v/>
      </c>
      <c r="P363" s="103">
        <f>IF(Human_Data_Entry!BG361="","",Human_Data_Entry!BG361)</f>
        <v/>
      </c>
      <c r="Q363" s="103">
        <f>IF(Human_Data_Entry!BL361="","",Human_Data_Entry!BL361)</f>
        <v/>
      </c>
      <c r="R363" s="103">
        <f>IF(Human_Data_Entry!BH361="","",Human_Data_Entry!BH361)</f>
        <v/>
      </c>
      <c r="S363" s="103">
        <f>IF(Human_Data_Entry!BI361="","",Human_Data_Entry!BI361)</f>
        <v/>
      </c>
      <c r="T363" s="103">
        <f>IF(Human_Data_Entry!BJ361="","",Human_Data_Entry!BJ361)</f>
        <v/>
      </c>
      <c r="U363" s="103">
        <f>IF(Human_Data_Entry!AP361="","",Human_Data_Entry!AP361)</f>
        <v/>
      </c>
      <c r="V363" s="103">
        <f>IF(Human_Data_Entry!AQ361="","",Human_Data_Entry!AQ361)</f>
        <v/>
      </c>
      <c r="W363" s="103">
        <f>IF(Human_Data_Entry!AR361="","",Human_Data_Entry!AR361)</f>
        <v/>
      </c>
      <c r="X363" s="103">
        <f>IF(Human_Data_Entry!BK361="","",Human_Data_Entry!BK361)</f>
        <v/>
      </c>
    </row>
    <row r="364" ht="15" customHeight="1" s="241">
      <c r="A364" s="103">
        <f>IF(Human_Data_Entry!A362="","",Human_Data_Entry!A362)</f>
        <v/>
      </c>
      <c r="B364" s="103">
        <f>IF(Human_Data_Entry!B362="","",Human_Data_Entry!B362)</f>
        <v/>
      </c>
      <c r="C364" s="104">
        <f>IF(Human_Data_Entry!C362="","",Human_Data_Entry!C362)</f>
        <v/>
      </c>
      <c r="D364" s="103">
        <f>IF(Human_Data_Entry!D362="","",Human_Data_Entry!D362)</f>
        <v/>
      </c>
      <c r="E364" s="103">
        <f>IF(Human_Data_Entry!G362="","",Human_Data_Entry!G362)</f>
        <v/>
      </c>
      <c r="F364" s="103">
        <f>IF(Human_Data_Entry!X362="","",Human_Data_Entry!X362)</f>
        <v/>
      </c>
      <c r="G364" s="103">
        <f>IF(Human_Data_Entry!AY362="","",Human_Data_Entry!AY362)</f>
        <v/>
      </c>
      <c r="H364" s="103">
        <f>IF(Human_Data_Entry!AS362="","",Human_Data_Entry!AS362)</f>
        <v/>
      </c>
      <c r="I364" s="103">
        <f>IF(Human_Data_Entry!F362="","",Human_Data_Entry!F362)</f>
        <v/>
      </c>
      <c r="J364" s="103">
        <f>IF(Human_Data_Entry!BA362="","",Human_Data_Entry!BA362)</f>
        <v/>
      </c>
      <c r="K364" s="103">
        <f>IF(Human_Data_Entry!BB362="","",Human_Data_Entry!BB362)</f>
        <v/>
      </c>
      <c r="L364" s="103">
        <f>IF(Human_Data_Entry!BC362="","",Human_Data_Entry!BC362)</f>
        <v/>
      </c>
      <c r="M364" s="104">
        <f>IF(Human_Data_Entry!BD362="","",Human_Data_Entry!BD362)</f>
        <v/>
      </c>
      <c r="N364" s="104">
        <f>IF(Human_Data_Entry!BE362="","",Human_Data_Entry!BE362)</f>
        <v/>
      </c>
      <c r="O364" s="105">
        <f>IF(Human_Data_Entry!BF362="","",Human_Data_Entry!BF362)</f>
        <v/>
      </c>
      <c r="P364" s="103">
        <f>IF(Human_Data_Entry!BG362="","",Human_Data_Entry!BG362)</f>
        <v/>
      </c>
      <c r="Q364" s="103">
        <f>IF(Human_Data_Entry!BL362="","",Human_Data_Entry!BL362)</f>
        <v/>
      </c>
      <c r="R364" s="103">
        <f>IF(Human_Data_Entry!BH362="","",Human_Data_Entry!BH362)</f>
        <v/>
      </c>
      <c r="S364" s="103">
        <f>IF(Human_Data_Entry!BI362="","",Human_Data_Entry!BI362)</f>
        <v/>
      </c>
      <c r="T364" s="103">
        <f>IF(Human_Data_Entry!BJ362="","",Human_Data_Entry!BJ362)</f>
        <v/>
      </c>
      <c r="U364" s="103">
        <f>IF(Human_Data_Entry!AP362="","",Human_Data_Entry!AP362)</f>
        <v/>
      </c>
      <c r="V364" s="103">
        <f>IF(Human_Data_Entry!AQ362="","",Human_Data_Entry!AQ362)</f>
        <v/>
      </c>
      <c r="W364" s="103">
        <f>IF(Human_Data_Entry!AR362="","",Human_Data_Entry!AR362)</f>
        <v/>
      </c>
      <c r="X364" s="103">
        <f>IF(Human_Data_Entry!BK362="","",Human_Data_Entry!BK362)</f>
        <v/>
      </c>
    </row>
    <row r="365" ht="15" customHeight="1" s="241">
      <c r="A365" s="103">
        <f>IF(Human_Data_Entry!A363="","",Human_Data_Entry!A363)</f>
        <v/>
      </c>
      <c r="B365" s="103">
        <f>IF(Human_Data_Entry!B363="","",Human_Data_Entry!B363)</f>
        <v/>
      </c>
      <c r="C365" s="104">
        <f>IF(Human_Data_Entry!C363="","",Human_Data_Entry!C363)</f>
        <v/>
      </c>
      <c r="D365" s="103">
        <f>IF(Human_Data_Entry!D363="","",Human_Data_Entry!D363)</f>
        <v/>
      </c>
      <c r="E365" s="103">
        <f>IF(Human_Data_Entry!G363="","",Human_Data_Entry!G363)</f>
        <v/>
      </c>
      <c r="F365" s="103">
        <f>IF(Human_Data_Entry!X363="","",Human_Data_Entry!X363)</f>
        <v/>
      </c>
      <c r="G365" s="103">
        <f>IF(Human_Data_Entry!AY363="","",Human_Data_Entry!AY363)</f>
        <v/>
      </c>
      <c r="H365" s="103">
        <f>IF(Human_Data_Entry!AS363="","",Human_Data_Entry!AS363)</f>
        <v/>
      </c>
      <c r="I365" s="103">
        <f>IF(Human_Data_Entry!F363="","",Human_Data_Entry!F363)</f>
        <v/>
      </c>
      <c r="J365" s="103">
        <f>IF(Human_Data_Entry!BA363="","",Human_Data_Entry!BA363)</f>
        <v/>
      </c>
      <c r="K365" s="103">
        <f>IF(Human_Data_Entry!BB363="","",Human_Data_Entry!BB363)</f>
        <v/>
      </c>
      <c r="L365" s="103">
        <f>IF(Human_Data_Entry!BC363="","",Human_Data_Entry!BC363)</f>
        <v/>
      </c>
      <c r="M365" s="104">
        <f>IF(Human_Data_Entry!BD363="","",Human_Data_Entry!BD363)</f>
        <v/>
      </c>
      <c r="N365" s="104">
        <f>IF(Human_Data_Entry!BE363="","",Human_Data_Entry!BE363)</f>
        <v/>
      </c>
      <c r="O365" s="105">
        <f>IF(Human_Data_Entry!BF363="","",Human_Data_Entry!BF363)</f>
        <v/>
      </c>
      <c r="P365" s="103">
        <f>IF(Human_Data_Entry!BG363="","",Human_Data_Entry!BG363)</f>
        <v/>
      </c>
      <c r="Q365" s="103">
        <f>IF(Human_Data_Entry!BL363="","",Human_Data_Entry!BL363)</f>
        <v/>
      </c>
      <c r="R365" s="103">
        <f>IF(Human_Data_Entry!BH363="","",Human_Data_Entry!BH363)</f>
        <v/>
      </c>
      <c r="S365" s="103">
        <f>IF(Human_Data_Entry!BI363="","",Human_Data_Entry!BI363)</f>
        <v/>
      </c>
      <c r="T365" s="103">
        <f>IF(Human_Data_Entry!BJ363="","",Human_Data_Entry!BJ363)</f>
        <v/>
      </c>
      <c r="U365" s="103">
        <f>IF(Human_Data_Entry!AP363="","",Human_Data_Entry!AP363)</f>
        <v/>
      </c>
      <c r="V365" s="103">
        <f>IF(Human_Data_Entry!AQ363="","",Human_Data_Entry!AQ363)</f>
        <v/>
      </c>
      <c r="W365" s="103">
        <f>IF(Human_Data_Entry!AR363="","",Human_Data_Entry!AR363)</f>
        <v/>
      </c>
      <c r="X365" s="103">
        <f>IF(Human_Data_Entry!BK363="","",Human_Data_Entry!BK363)</f>
        <v/>
      </c>
    </row>
    <row r="366" ht="15" customHeight="1" s="241">
      <c r="A366" s="103">
        <f>IF(Human_Data_Entry!A364="","",Human_Data_Entry!A364)</f>
        <v/>
      </c>
      <c r="B366" s="103">
        <f>IF(Human_Data_Entry!B364="","",Human_Data_Entry!B364)</f>
        <v/>
      </c>
      <c r="C366" s="104">
        <f>IF(Human_Data_Entry!C364="","",Human_Data_Entry!C364)</f>
        <v/>
      </c>
      <c r="D366" s="103">
        <f>IF(Human_Data_Entry!D364="","",Human_Data_Entry!D364)</f>
        <v/>
      </c>
      <c r="E366" s="103">
        <f>IF(Human_Data_Entry!G364="","",Human_Data_Entry!G364)</f>
        <v/>
      </c>
      <c r="F366" s="103">
        <f>IF(Human_Data_Entry!X364="","",Human_Data_Entry!X364)</f>
        <v/>
      </c>
      <c r="G366" s="103">
        <f>IF(Human_Data_Entry!AY364="","",Human_Data_Entry!AY364)</f>
        <v/>
      </c>
      <c r="H366" s="103">
        <f>IF(Human_Data_Entry!AS364="","",Human_Data_Entry!AS364)</f>
        <v/>
      </c>
      <c r="I366" s="103">
        <f>IF(Human_Data_Entry!F364="","",Human_Data_Entry!F364)</f>
        <v/>
      </c>
      <c r="J366" s="103">
        <f>IF(Human_Data_Entry!BA364="","",Human_Data_Entry!BA364)</f>
        <v/>
      </c>
      <c r="K366" s="103">
        <f>IF(Human_Data_Entry!BB364="","",Human_Data_Entry!BB364)</f>
        <v/>
      </c>
      <c r="L366" s="103">
        <f>IF(Human_Data_Entry!BC364="","",Human_Data_Entry!BC364)</f>
        <v/>
      </c>
      <c r="M366" s="104">
        <f>IF(Human_Data_Entry!BD364="","",Human_Data_Entry!BD364)</f>
        <v/>
      </c>
      <c r="N366" s="104">
        <f>IF(Human_Data_Entry!BE364="","",Human_Data_Entry!BE364)</f>
        <v/>
      </c>
      <c r="O366" s="105">
        <f>IF(Human_Data_Entry!BF364="","",Human_Data_Entry!BF364)</f>
        <v/>
      </c>
      <c r="P366" s="103">
        <f>IF(Human_Data_Entry!BG364="","",Human_Data_Entry!BG364)</f>
        <v/>
      </c>
      <c r="Q366" s="103">
        <f>IF(Human_Data_Entry!BL364="","",Human_Data_Entry!BL364)</f>
        <v/>
      </c>
      <c r="R366" s="103">
        <f>IF(Human_Data_Entry!BH364="","",Human_Data_Entry!BH364)</f>
        <v/>
      </c>
      <c r="S366" s="103">
        <f>IF(Human_Data_Entry!BI364="","",Human_Data_Entry!BI364)</f>
        <v/>
      </c>
      <c r="T366" s="103">
        <f>IF(Human_Data_Entry!BJ364="","",Human_Data_Entry!BJ364)</f>
        <v/>
      </c>
      <c r="U366" s="103">
        <f>IF(Human_Data_Entry!AP364="","",Human_Data_Entry!AP364)</f>
        <v/>
      </c>
      <c r="V366" s="103">
        <f>IF(Human_Data_Entry!AQ364="","",Human_Data_Entry!AQ364)</f>
        <v/>
      </c>
      <c r="W366" s="103">
        <f>IF(Human_Data_Entry!AR364="","",Human_Data_Entry!AR364)</f>
        <v/>
      </c>
      <c r="X366" s="103">
        <f>IF(Human_Data_Entry!BK364="","",Human_Data_Entry!BK364)</f>
        <v/>
      </c>
    </row>
    <row r="367" ht="15" customHeight="1" s="241">
      <c r="A367" s="103">
        <f>IF(Human_Data_Entry!A365="","",Human_Data_Entry!A365)</f>
        <v/>
      </c>
      <c r="B367" s="103">
        <f>IF(Human_Data_Entry!B365="","",Human_Data_Entry!B365)</f>
        <v/>
      </c>
      <c r="C367" s="104">
        <f>IF(Human_Data_Entry!C365="","",Human_Data_Entry!C365)</f>
        <v/>
      </c>
      <c r="D367" s="103">
        <f>IF(Human_Data_Entry!D365="","",Human_Data_Entry!D365)</f>
        <v/>
      </c>
      <c r="E367" s="103">
        <f>IF(Human_Data_Entry!G365="","",Human_Data_Entry!G365)</f>
        <v/>
      </c>
      <c r="F367" s="103">
        <f>IF(Human_Data_Entry!X365="","",Human_Data_Entry!X365)</f>
        <v/>
      </c>
      <c r="G367" s="103">
        <f>IF(Human_Data_Entry!AY365="","",Human_Data_Entry!AY365)</f>
        <v/>
      </c>
      <c r="H367" s="103">
        <f>IF(Human_Data_Entry!AS365="","",Human_Data_Entry!AS365)</f>
        <v/>
      </c>
      <c r="I367" s="103">
        <f>IF(Human_Data_Entry!F365="","",Human_Data_Entry!F365)</f>
        <v/>
      </c>
      <c r="J367" s="103">
        <f>IF(Human_Data_Entry!BA365="","",Human_Data_Entry!BA365)</f>
        <v/>
      </c>
      <c r="K367" s="103">
        <f>IF(Human_Data_Entry!BB365="","",Human_Data_Entry!BB365)</f>
        <v/>
      </c>
      <c r="L367" s="103">
        <f>IF(Human_Data_Entry!BC365="","",Human_Data_Entry!BC365)</f>
        <v/>
      </c>
      <c r="M367" s="104">
        <f>IF(Human_Data_Entry!BD365="","",Human_Data_Entry!BD365)</f>
        <v/>
      </c>
      <c r="N367" s="104">
        <f>IF(Human_Data_Entry!BE365="","",Human_Data_Entry!BE365)</f>
        <v/>
      </c>
      <c r="O367" s="105">
        <f>IF(Human_Data_Entry!BF365="","",Human_Data_Entry!BF365)</f>
        <v/>
      </c>
      <c r="P367" s="103">
        <f>IF(Human_Data_Entry!BG365="","",Human_Data_Entry!BG365)</f>
        <v/>
      </c>
      <c r="Q367" s="103">
        <f>IF(Human_Data_Entry!BL365="","",Human_Data_Entry!BL365)</f>
        <v/>
      </c>
      <c r="R367" s="103">
        <f>IF(Human_Data_Entry!BH365="","",Human_Data_Entry!BH365)</f>
        <v/>
      </c>
      <c r="S367" s="103">
        <f>IF(Human_Data_Entry!BI365="","",Human_Data_Entry!BI365)</f>
        <v/>
      </c>
      <c r="T367" s="103">
        <f>IF(Human_Data_Entry!BJ365="","",Human_Data_Entry!BJ365)</f>
        <v/>
      </c>
      <c r="U367" s="103">
        <f>IF(Human_Data_Entry!AP365="","",Human_Data_Entry!AP365)</f>
        <v/>
      </c>
      <c r="V367" s="103">
        <f>IF(Human_Data_Entry!AQ365="","",Human_Data_Entry!AQ365)</f>
        <v/>
      </c>
      <c r="W367" s="103">
        <f>IF(Human_Data_Entry!AR365="","",Human_Data_Entry!AR365)</f>
        <v/>
      </c>
      <c r="X367" s="103">
        <f>IF(Human_Data_Entry!BK365="","",Human_Data_Entry!BK365)</f>
        <v/>
      </c>
    </row>
    <row r="368" ht="15" customHeight="1" s="241">
      <c r="A368" s="103">
        <f>IF(Human_Data_Entry!A366="","",Human_Data_Entry!A366)</f>
        <v/>
      </c>
      <c r="B368" s="103">
        <f>IF(Human_Data_Entry!B366="","",Human_Data_Entry!B366)</f>
        <v/>
      </c>
      <c r="C368" s="104">
        <f>IF(Human_Data_Entry!C366="","",Human_Data_Entry!C366)</f>
        <v/>
      </c>
      <c r="D368" s="103">
        <f>IF(Human_Data_Entry!D366="","",Human_Data_Entry!D366)</f>
        <v/>
      </c>
      <c r="E368" s="103">
        <f>IF(Human_Data_Entry!G366="","",Human_Data_Entry!G366)</f>
        <v/>
      </c>
      <c r="F368" s="103">
        <f>IF(Human_Data_Entry!X366="","",Human_Data_Entry!X366)</f>
        <v/>
      </c>
      <c r="G368" s="103">
        <f>IF(Human_Data_Entry!AY366="","",Human_Data_Entry!AY366)</f>
        <v/>
      </c>
      <c r="H368" s="103">
        <f>IF(Human_Data_Entry!AS366="","",Human_Data_Entry!AS366)</f>
        <v/>
      </c>
      <c r="I368" s="103">
        <f>IF(Human_Data_Entry!F366="","",Human_Data_Entry!F366)</f>
        <v/>
      </c>
      <c r="J368" s="103">
        <f>IF(Human_Data_Entry!BA366="","",Human_Data_Entry!BA366)</f>
        <v/>
      </c>
      <c r="K368" s="103">
        <f>IF(Human_Data_Entry!BB366="","",Human_Data_Entry!BB366)</f>
        <v/>
      </c>
      <c r="L368" s="103">
        <f>IF(Human_Data_Entry!BC366="","",Human_Data_Entry!BC366)</f>
        <v/>
      </c>
      <c r="M368" s="104">
        <f>IF(Human_Data_Entry!BD366="","",Human_Data_Entry!BD366)</f>
        <v/>
      </c>
      <c r="N368" s="104">
        <f>IF(Human_Data_Entry!BE366="","",Human_Data_Entry!BE366)</f>
        <v/>
      </c>
      <c r="O368" s="105">
        <f>IF(Human_Data_Entry!BF366="","",Human_Data_Entry!BF366)</f>
        <v/>
      </c>
      <c r="P368" s="103">
        <f>IF(Human_Data_Entry!BG366="","",Human_Data_Entry!BG366)</f>
        <v/>
      </c>
      <c r="Q368" s="103">
        <f>IF(Human_Data_Entry!BL366="","",Human_Data_Entry!BL366)</f>
        <v/>
      </c>
      <c r="R368" s="103">
        <f>IF(Human_Data_Entry!BH366="","",Human_Data_Entry!BH366)</f>
        <v/>
      </c>
      <c r="S368" s="103">
        <f>IF(Human_Data_Entry!BI366="","",Human_Data_Entry!BI366)</f>
        <v/>
      </c>
      <c r="T368" s="103">
        <f>IF(Human_Data_Entry!BJ366="","",Human_Data_Entry!BJ366)</f>
        <v/>
      </c>
      <c r="U368" s="103">
        <f>IF(Human_Data_Entry!AP366="","",Human_Data_Entry!AP366)</f>
        <v/>
      </c>
      <c r="V368" s="103">
        <f>IF(Human_Data_Entry!AQ366="","",Human_Data_Entry!AQ366)</f>
        <v/>
      </c>
      <c r="W368" s="103">
        <f>IF(Human_Data_Entry!AR366="","",Human_Data_Entry!AR366)</f>
        <v/>
      </c>
      <c r="X368" s="103">
        <f>IF(Human_Data_Entry!BK366="","",Human_Data_Entry!BK366)</f>
        <v/>
      </c>
    </row>
    <row r="369" ht="15" customHeight="1" s="241">
      <c r="A369" s="103">
        <f>IF(Human_Data_Entry!A367="","",Human_Data_Entry!A367)</f>
        <v/>
      </c>
      <c r="B369" s="103">
        <f>IF(Human_Data_Entry!B367="","",Human_Data_Entry!B367)</f>
        <v/>
      </c>
      <c r="C369" s="104">
        <f>IF(Human_Data_Entry!C367="","",Human_Data_Entry!C367)</f>
        <v/>
      </c>
      <c r="D369" s="103">
        <f>IF(Human_Data_Entry!D367="","",Human_Data_Entry!D367)</f>
        <v/>
      </c>
      <c r="E369" s="103">
        <f>IF(Human_Data_Entry!G367="","",Human_Data_Entry!G367)</f>
        <v/>
      </c>
      <c r="F369" s="103">
        <f>IF(Human_Data_Entry!X367="","",Human_Data_Entry!X367)</f>
        <v/>
      </c>
      <c r="G369" s="103">
        <f>IF(Human_Data_Entry!AY367="","",Human_Data_Entry!AY367)</f>
        <v/>
      </c>
      <c r="H369" s="103">
        <f>IF(Human_Data_Entry!AS367="","",Human_Data_Entry!AS367)</f>
        <v/>
      </c>
      <c r="I369" s="103">
        <f>IF(Human_Data_Entry!F367="","",Human_Data_Entry!F367)</f>
        <v/>
      </c>
      <c r="J369" s="103">
        <f>IF(Human_Data_Entry!BA367="","",Human_Data_Entry!BA367)</f>
        <v/>
      </c>
      <c r="K369" s="103">
        <f>IF(Human_Data_Entry!BB367="","",Human_Data_Entry!BB367)</f>
        <v/>
      </c>
      <c r="L369" s="103">
        <f>IF(Human_Data_Entry!BC367="","",Human_Data_Entry!BC367)</f>
        <v/>
      </c>
      <c r="M369" s="104">
        <f>IF(Human_Data_Entry!BD367="","",Human_Data_Entry!BD367)</f>
        <v/>
      </c>
      <c r="N369" s="104">
        <f>IF(Human_Data_Entry!BE367="","",Human_Data_Entry!BE367)</f>
        <v/>
      </c>
      <c r="O369" s="105">
        <f>IF(Human_Data_Entry!BF367="","",Human_Data_Entry!BF367)</f>
        <v/>
      </c>
      <c r="P369" s="103">
        <f>IF(Human_Data_Entry!BG367="","",Human_Data_Entry!BG367)</f>
        <v/>
      </c>
      <c r="Q369" s="103">
        <f>IF(Human_Data_Entry!BL367="","",Human_Data_Entry!BL367)</f>
        <v/>
      </c>
      <c r="R369" s="103">
        <f>IF(Human_Data_Entry!BH367="","",Human_Data_Entry!BH367)</f>
        <v/>
      </c>
      <c r="S369" s="103">
        <f>IF(Human_Data_Entry!BI367="","",Human_Data_Entry!BI367)</f>
        <v/>
      </c>
      <c r="T369" s="103">
        <f>IF(Human_Data_Entry!BJ367="","",Human_Data_Entry!BJ367)</f>
        <v/>
      </c>
      <c r="U369" s="103">
        <f>IF(Human_Data_Entry!AP367="","",Human_Data_Entry!AP367)</f>
        <v/>
      </c>
      <c r="V369" s="103">
        <f>IF(Human_Data_Entry!AQ367="","",Human_Data_Entry!AQ367)</f>
        <v/>
      </c>
      <c r="W369" s="103">
        <f>IF(Human_Data_Entry!AR367="","",Human_Data_Entry!AR367)</f>
        <v/>
      </c>
      <c r="X369" s="103">
        <f>IF(Human_Data_Entry!BK367="","",Human_Data_Entry!BK367)</f>
        <v/>
      </c>
    </row>
    <row r="370" ht="15" customHeight="1" s="241">
      <c r="A370" s="103">
        <f>IF(Human_Data_Entry!A368="","",Human_Data_Entry!A368)</f>
        <v/>
      </c>
      <c r="B370" s="103">
        <f>IF(Human_Data_Entry!B368="","",Human_Data_Entry!B368)</f>
        <v/>
      </c>
      <c r="C370" s="104">
        <f>IF(Human_Data_Entry!C368="","",Human_Data_Entry!C368)</f>
        <v/>
      </c>
      <c r="D370" s="103">
        <f>IF(Human_Data_Entry!D368="","",Human_Data_Entry!D368)</f>
        <v/>
      </c>
      <c r="E370" s="103">
        <f>IF(Human_Data_Entry!G368="","",Human_Data_Entry!G368)</f>
        <v/>
      </c>
      <c r="F370" s="103">
        <f>IF(Human_Data_Entry!X368="","",Human_Data_Entry!X368)</f>
        <v/>
      </c>
      <c r="G370" s="103">
        <f>IF(Human_Data_Entry!AY368="","",Human_Data_Entry!AY368)</f>
        <v/>
      </c>
      <c r="H370" s="103">
        <f>IF(Human_Data_Entry!AS368="","",Human_Data_Entry!AS368)</f>
        <v/>
      </c>
      <c r="I370" s="103">
        <f>IF(Human_Data_Entry!F368="","",Human_Data_Entry!F368)</f>
        <v/>
      </c>
      <c r="J370" s="103">
        <f>IF(Human_Data_Entry!BA368="","",Human_Data_Entry!BA368)</f>
        <v/>
      </c>
      <c r="K370" s="103">
        <f>IF(Human_Data_Entry!BB368="","",Human_Data_Entry!BB368)</f>
        <v/>
      </c>
      <c r="L370" s="103">
        <f>IF(Human_Data_Entry!BC368="","",Human_Data_Entry!BC368)</f>
        <v/>
      </c>
      <c r="M370" s="104">
        <f>IF(Human_Data_Entry!BD368="","",Human_Data_Entry!BD368)</f>
        <v/>
      </c>
      <c r="N370" s="104">
        <f>IF(Human_Data_Entry!BE368="","",Human_Data_Entry!BE368)</f>
        <v/>
      </c>
      <c r="O370" s="105">
        <f>IF(Human_Data_Entry!BF368="","",Human_Data_Entry!BF368)</f>
        <v/>
      </c>
      <c r="P370" s="103">
        <f>IF(Human_Data_Entry!BG368="","",Human_Data_Entry!BG368)</f>
        <v/>
      </c>
      <c r="Q370" s="103">
        <f>IF(Human_Data_Entry!BL368="","",Human_Data_Entry!BL368)</f>
        <v/>
      </c>
      <c r="R370" s="103">
        <f>IF(Human_Data_Entry!BH368="","",Human_Data_Entry!BH368)</f>
        <v/>
      </c>
      <c r="S370" s="103">
        <f>IF(Human_Data_Entry!BI368="","",Human_Data_Entry!BI368)</f>
        <v/>
      </c>
      <c r="T370" s="103">
        <f>IF(Human_Data_Entry!BJ368="","",Human_Data_Entry!BJ368)</f>
        <v/>
      </c>
      <c r="U370" s="103">
        <f>IF(Human_Data_Entry!AP368="","",Human_Data_Entry!AP368)</f>
        <v/>
      </c>
      <c r="V370" s="103">
        <f>IF(Human_Data_Entry!AQ368="","",Human_Data_Entry!AQ368)</f>
        <v/>
      </c>
      <c r="W370" s="103">
        <f>IF(Human_Data_Entry!AR368="","",Human_Data_Entry!AR368)</f>
        <v/>
      </c>
      <c r="X370" s="103">
        <f>IF(Human_Data_Entry!BK368="","",Human_Data_Entry!BK368)</f>
        <v/>
      </c>
    </row>
    <row r="371" ht="15" customHeight="1" s="241">
      <c r="A371" s="103">
        <f>IF(Human_Data_Entry!A369="","",Human_Data_Entry!A369)</f>
        <v/>
      </c>
      <c r="B371" s="103">
        <f>IF(Human_Data_Entry!B369="","",Human_Data_Entry!B369)</f>
        <v/>
      </c>
      <c r="C371" s="104">
        <f>IF(Human_Data_Entry!C369="","",Human_Data_Entry!C369)</f>
        <v/>
      </c>
      <c r="D371" s="103">
        <f>IF(Human_Data_Entry!D369="","",Human_Data_Entry!D369)</f>
        <v/>
      </c>
      <c r="E371" s="103">
        <f>IF(Human_Data_Entry!G369="","",Human_Data_Entry!G369)</f>
        <v/>
      </c>
      <c r="F371" s="103">
        <f>IF(Human_Data_Entry!X369="","",Human_Data_Entry!X369)</f>
        <v/>
      </c>
      <c r="G371" s="103">
        <f>IF(Human_Data_Entry!AY369="","",Human_Data_Entry!AY369)</f>
        <v/>
      </c>
      <c r="H371" s="103">
        <f>IF(Human_Data_Entry!AS369="","",Human_Data_Entry!AS369)</f>
        <v/>
      </c>
      <c r="I371" s="103">
        <f>IF(Human_Data_Entry!F369="","",Human_Data_Entry!F369)</f>
        <v/>
      </c>
      <c r="J371" s="103">
        <f>IF(Human_Data_Entry!BA369="","",Human_Data_Entry!BA369)</f>
        <v/>
      </c>
      <c r="K371" s="103">
        <f>IF(Human_Data_Entry!BB369="","",Human_Data_Entry!BB369)</f>
        <v/>
      </c>
      <c r="L371" s="103">
        <f>IF(Human_Data_Entry!BC369="","",Human_Data_Entry!BC369)</f>
        <v/>
      </c>
      <c r="M371" s="104">
        <f>IF(Human_Data_Entry!BD369="","",Human_Data_Entry!BD369)</f>
        <v/>
      </c>
      <c r="N371" s="104">
        <f>IF(Human_Data_Entry!BE369="","",Human_Data_Entry!BE369)</f>
        <v/>
      </c>
      <c r="O371" s="105">
        <f>IF(Human_Data_Entry!BF369="","",Human_Data_Entry!BF369)</f>
        <v/>
      </c>
      <c r="P371" s="103">
        <f>IF(Human_Data_Entry!BG369="","",Human_Data_Entry!BG369)</f>
        <v/>
      </c>
      <c r="Q371" s="103">
        <f>IF(Human_Data_Entry!BL369="","",Human_Data_Entry!BL369)</f>
        <v/>
      </c>
      <c r="R371" s="103">
        <f>IF(Human_Data_Entry!BH369="","",Human_Data_Entry!BH369)</f>
        <v/>
      </c>
      <c r="S371" s="103">
        <f>IF(Human_Data_Entry!BI369="","",Human_Data_Entry!BI369)</f>
        <v/>
      </c>
      <c r="T371" s="103">
        <f>IF(Human_Data_Entry!BJ369="","",Human_Data_Entry!BJ369)</f>
        <v/>
      </c>
      <c r="U371" s="103">
        <f>IF(Human_Data_Entry!AP369="","",Human_Data_Entry!AP369)</f>
        <v/>
      </c>
      <c r="V371" s="103">
        <f>IF(Human_Data_Entry!AQ369="","",Human_Data_Entry!AQ369)</f>
        <v/>
      </c>
      <c r="W371" s="103">
        <f>IF(Human_Data_Entry!AR369="","",Human_Data_Entry!AR369)</f>
        <v/>
      </c>
      <c r="X371" s="103">
        <f>IF(Human_Data_Entry!BK369="","",Human_Data_Entry!BK369)</f>
        <v/>
      </c>
    </row>
    <row r="372" ht="15" customHeight="1" s="241">
      <c r="A372" s="103">
        <f>IF(Human_Data_Entry!A370="","",Human_Data_Entry!A370)</f>
        <v/>
      </c>
      <c r="B372" s="103">
        <f>IF(Human_Data_Entry!B370="","",Human_Data_Entry!B370)</f>
        <v/>
      </c>
      <c r="C372" s="104">
        <f>IF(Human_Data_Entry!C370="","",Human_Data_Entry!C370)</f>
        <v/>
      </c>
      <c r="D372" s="103">
        <f>IF(Human_Data_Entry!D370="","",Human_Data_Entry!D370)</f>
        <v/>
      </c>
      <c r="E372" s="103">
        <f>IF(Human_Data_Entry!G370="","",Human_Data_Entry!G370)</f>
        <v/>
      </c>
      <c r="F372" s="103">
        <f>IF(Human_Data_Entry!X370="","",Human_Data_Entry!X370)</f>
        <v/>
      </c>
      <c r="G372" s="103">
        <f>IF(Human_Data_Entry!AY370="","",Human_Data_Entry!AY370)</f>
        <v/>
      </c>
      <c r="H372" s="103">
        <f>IF(Human_Data_Entry!AS370="","",Human_Data_Entry!AS370)</f>
        <v/>
      </c>
      <c r="I372" s="103">
        <f>IF(Human_Data_Entry!F370="","",Human_Data_Entry!F370)</f>
        <v/>
      </c>
      <c r="J372" s="103">
        <f>IF(Human_Data_Entry!BA370="","",Human_Data_Entry!BA370)</f>
        <v/>
      </c>
      <c r="K372" s="103">
        <f>IF(Human_Data_Entry!BB370="","",Human_Data_Entry!BB370)</f>
        <v/>
      </c>
      <c r="L372" s="103">
        <f>IF(Human_Data_Entry!BC370="","",Human_Data_Entry!BC370)</f>
        <v/>
      </c>
      <c r="M372" s="104">
        <f>IF(Human_Data_Entry!BD370="","",Human_Data_Entry!BD370)</f>
        <v/>
      </c>
      <c r="N372" s="104">
        <f>IF(Human_Data_Entry!BE370="","",Human_Data_Entry!BE370)</f>
        <v/>
      </c>
      <c r="O372" s="105">
        <f>IF(Human_Data_Entry!BF370="","",Human_Data_Entry!BF370)</f>
        <v/>
      </c>
      <c r="P372" s="103">
        <f>IF(Human_Data_Entry!BG370="","",Human_Data_Entry!BG370)</f>
        <v/>
      </c>
      <c r="Q372" s="103">
        <f>IF(Human_Data_Entry!BL370="","",Human_Data_Entry!BL370)</f>
        <v/>
      </c>
      <c r="R372" s="103">
        <f>IF(Human_Data_Entry!BH370="","",Human_Data_Entry!BH370)</f>
        <v/>
      </c>
      <c r="S372" s="103">
        <f>IF(Human_Data_Entry!BI370="","",Human_Data_Entry!BI370)</f>
        <v/>
      </c>
      <c r="T372" s="103">
        <f>IF(Human_Data_Entry!BJ370="","",Human_Data_Entry!BJ370)</f>
        <v/>
      </c>
      <c r="U372" s="103">
        <f>IF(Human_Data_Entry!AP370="","",Human_Data_Entry!AP370)</f>
        <v/>
      </c>
      <c r="V372" s="103">
        <f>IF(Human_Data_Entry!AQ370="","",Human_Data_Entry!AQ370)</f>
        <v/>
      </c>
      <c r="W372" s="103">
        <f>IF(Human_Data_Entry!AR370="","",Human_Data_Entry!AR370)</f>
        <v/>
      </c>
      <c r="X372" s="103">
        <f>IF(Human_Data_Entry!BK370="","",Human_Data_Entry!BK370)</f>
        <v/>
      </c>
    </row>
    <row r="373" ht="15" customHeight="1" s="241">
      <c r="A373" s="103">
        <f>IF(Human_Data_Entry!A371="","",Human_Data_Entry!A371)</f>
        <v/>
      </c>
      <c r="B373" s="103">
        <f>IF(Human_Data_Entry!B371="","",Human_Data_Entry!B371)</f>
        <v/>
      </c>
      <c r="C373" s="104">
        <f>IF(Human_Data_Entry!C371="","",Human_Data_Entry!C371)</f>
        <v/>
      </c>
      <c r="D373" s="103">
        <f>IF(Human_Data_Entry!D371="","",Human_Data_Entry!D371)</f>
        <v/>
      </c>
      <c r="E373" s="103">
        <f>IF(Human_Data_Entry!G371="","",Human_Data_Entry!G371)</f>
        <v/>
      </c>
      <c r="F373" s="103">
        <f>IF(Human_Data_Entry!X371="","",Human_Data_Entry!X371)</f>
        <v/>
      </c>
      <c r="G373" s="103">
        <f>IF(Human_Data_Entry!AY371="","",Human_Data_Entry!AY371)</f>
        <v/>
      </c>
      <c r="H373" s="103">
        <f>IF(Human_Data_Entry!AS371="","",Human_Data_Entry!AS371)</f>
        <v/>
      </c>
      <c r="I373" s="103">
        <f>IF(Human_Data_Entry!F371="","",Human_Data_Entry!F371)</f>
        <v/>
      </c>
      <c r="J373" s="103">
        <f>IF(Human_Data_Entry!BA371="","",Human_Data_Entry!BA371)</f>
        <v/>
      </c>
      <c r="K373" s="103">
        <f>IF(Human_Data_Entry!BB371="","",Human_Data_Entry!BB371)</f>
        <v/>
      </c>
      <c r="L373" s="103">
        <f>IF(Human_Data_Entry!BC371="","",Human_Data_Entry!BC371)</f>
        <v/>
      </c>
      <c r="M373" s="104">
        <f>IF(Human_Data_Entry!BD371="","",Human_Data_Entry!BD371)</f>
        <v/>
      </c>
      <c r="N373" s="104">
        <f>IF(Human_Data_Entry!BE371="","",Human_Data_Entry!BE371)</f>
        <v/>
      </c>
      <c r="O373" s="105">
        <f>IF(Human_Data_Entry!BF371="","",Human_Data_Entry!BF371)</f>
        <v/>
      </c>
      <c r="P373" s="103">
        <f>IF(Human_Data_Entry!BG371="","",Human_Data_Entry!BG371)</f>
        <v/>
      </c>
      <c r="Q373" s="103">
        <f>IF(Human_Data_Entry!BL371="","",Human_Data_Entry!BL371)</f>
        <v/>
      </c>
      <c r="R373" s="103">
        <f>IF(Human_Data_Entry!BH371="","",Human_Data_Entry!BH371)</f>
        <v/>
      </c>
      <c r="S373" s="103">
        <f>IF(Human_Data_Entry!BI371="","",Human_Data_Entry!BI371)</f>
        <v/>
      </c>
      <c r="T373" s="103">
        <f>IF(Human_Data_Entry!BJ371="","",Human_Data_Entry!BJ371)</f>
        <v/>
      </c>
      <c r="U373" s="103">
        <f>IF(Human_Data_Entry!AP371="","",Human_Data_Entry!AP371)</f>
        <v/>
      </c>
      <c r="V373" s="103">
        <f>IF(Human_Data_Entry!AQ371="","",Human_Data_Entry!AQ371)</f>
        <v/>
      </c>
      <c r="W373" s="103">
        <f>IF(Human_Data_Entry!AR371="","",Human_Data_Entry!AR371)</f>
        <v/>
      </c>
      <c r="X373" s="103">
        <f>IF(Human_Data_Entry!BK371="","",Human_Data_Entry!BK371)</f>
        <v/>
      </c>
    </row>
    <row r="374" ht="15" customHeight="1" s="241">
      <c r="A374" s="103">
        <f>IF(Human_Data_Entry!A372="","",Human_Data_Entry!A372)</f>
        <v/>
      </c>
      <c r="B374" s="103">
        <f>IF(Human_Data_Entry!B372="","",Human_Data_Entry!B372)</f>
        <v/>
      </c>
      <c r="C374" s="104">
        <f>IF(Human_Data_Entry!C372="","",Human_Data_Entry!C372)</f>
        <v/>
      </c>
      <c r="D374" s="103">
        <f>IF(Human_Data_Entry!D372="","",Human_Data_Entry!D372)</f>
        <v/>
      </c>
      <c r="E374" s="103">
        <f>IF(Human_Data_Entry!G372="","",Human_Data_Entry!G372)</f>
        <v/>
      </c>
      <c r="F374" s="103">
        <f>IF(Human_Data_Entry!X372="","",Human_Data_Entry!X372)</f>
        <v/>
      </c>
      <c r="G374" s="103">
        <f>IF(Human_Data_Entry!AY372="","",Human_Data_Entry!AY372)</f>
        <v/>
      </c>
      <c r="H374" s="103">
        <f>IF(Human_Data_Entry!AS372="","",Human_Data_Entry!AS372)</f>
        <v/>
      </c>
      <c r="I374" s="103">
        <f>IF(Human_Data_Entry!F372="","",Human_Data_Entry!F372)</f>
        <v/>
      </c>
      <c r="J374" s="103">
        <f>IF(Human_Data_Entry!BA372="","",Human_Data_Entry!BA372)</f>
        <v/>
      </c>
      <c r="K374" s="103">
        <f>IF(Human_Data_Entry!BB372="","",Human_Data_Entry!BB372)</f>
        <v/>
      </c>
      <c r="L374" s="103">
        <f>IF(Human_Data_Entry!BC372="","",Human_Data_Entry!BC372)</f>
        <v/>
      </c>
      <c r="M374" s="104">
        <f>IF(Human_Data_Entry!BD372="","",Human_Data_Entry!BD372)</f>
        <v/>
      </c>
      <c r="N374" s="104">
        <f>IF(Human_Data_Entry!BE372="","",Human_Data_Entry!BE372)</f>
        <v/>
      </c>
      <c r="O374" s="105">
        <f>IF(Human_Data_Entry!BF372="","",Human_Data_Entry!BF372)</f>
        <v/>
      </c>
      <c r="P374" s="103">
        <f>IF(Human_Data_Entry!BG372="","",Human_Data_Entry!BG372)</f>
        <v/>
      </c>
      <c r="Q374" s="103">
        <f>IF(Human_Data_Entry!BL372="","",Human_Data_Entry!BL372)</f>
        <v/>
      </c>
      <c r="R374" s="103">
        <f>IF(Human_Data_Entry!BH372="","",Human_Data_Entry!BH372)</f>
        <v/>
      </c>
      <c r="S374" s="103">
        <f>IF(Human_Data_Entry!BI372="","",Human_Data_Entry!BI372)</f>
        <v/>
      </c>
      <c r="T374" s="103">
        <f>IF(Human_Data_Entry!BJ372="","",Human_Data_Entry!BJ372)</f>
        <v/>
      </c>
      <c r="U374" s="103">
        <f>IF(Human_Data_Entry!AP372="","",Human_Data_Entry!AP372)</f>
        <v/>
      </c>
      <c r="V374" s="103">
        <f>IF(Human_Data_Entry!AQ372="","",Human_Data_Entry!AQ372)</f>
        <v/>
      </c>
      <c r="W374" s="103">
        <f>IF(Human_Data_Entry!AR372="","",Human_Data_Entry!AR372)</f>
        <v/>
      </c>
      <c r="X374" s="103">
        <f>IF(Human_Data_Entry!BK372="","",Human_Data_Entry!BK372)</f>
        <v/>
      </c>
    </row>
    <row r="375" ht="15" customHeight="1" s="241">
      <c r="A375" s="103">
        <f>IF(Human_Data_Entry!A373="","",Human_Data_Entry!A373)</f>
        <v/>
      </c>
      <c r="B375" s="103">
        <f>IF(Human_Data_Entry!B373="","",Human_Data_Entry!B373)</f>
        <v/>
      </c>
      <c r="C375" s="104">
        <f>IF(Human_Data_Entry!C373="","",Human_Data_Entry!C373)</f>
        <v/>
      </c>
      <c r="D375" s="103">
        <f>IF(Human_Data_Entry!D373="","",Human_Data_Entry!D373)</f>
        <v/>
      </c>
      <c r="E375" s="103">
        <f>IF(Human_Data_Entry!G373="","",Human_Data_Entry!G373)</f>
        <v/>
      </c>
      <c r="F375" s="103">
        <f>IF(Human_Data_Entry!X373="","",Human_Data_Entry!X373)</f>
        <v/>
      </c>
      <c r="G375" s="103">
        <f>IF(Human_Data_Entry!AY373="","",Human_Data_Entry!AY373)</f>
        <v/>
      </c>
      <c r="H375" s="103">
        <f>IF(Human_Data_Entry!AS373="","",Human_Data_Entry!AS373)</f>
        <v/>
      </c>
      <c r="I375" s="103">
        <f>IF(Human_Data_Entry!F373="","",Human_Data_Entry!F373)</f>
        <v/>
      </c>
      <c r="J375" s="103">
        <f>IF(Human_Data_Entry!BA373="","",Human_Data_Entry!BA373)</f>
        <v/>
      </c>
      <c r="K375" s="103">
        <f>IF(Human_Data_Entry!BB373="","",Human_Data_Entry!BB373)</f>
        <v/>
      </c>
      <c r="L375" s="103">
        <f>IF(Human_Data_Entry!BC373="","",Human_Data_Entry!BC373)</f>
        <v/>
      </c>
      <c r="M375" s="104">
        <f>IF(Human_Data_Entry!BD373="","",Human_Data_Entry!BD373)</f>
        <v/>
      </c>
      <c r="N375" s="104">
        <f>IF(Human_Data_Entry!BE373="","",Human_Data_Entry!BE373)</f>
        <v/>
      </c>
      <c r="O375" s="105">
        <f>IF(Human_Data_Entry!BF373="","",Human_Data_Entry!BF373)</f>
        <v/>
      </c>
      <c r="P375" s="103">
        <f>IF(Human_Data_Entry!BG373="","",Human_Data_Entry!BG373)</f>
        <v/>
      </c>
      <c r="Q375" s="103">
        <f>IF(Human_Data_Entry!BL373="","",Human_Data_Entry!BL373)</f>
        <v/>
      </c>
      <c r="R375" s="103">
        <f>IF(Human_Data_Entry!BH373="","",Human_Data_Entry!BH373)</f>
        <v/>
      </c>
      <c r="S375" s="103">
        <f>IF(Human_Data_Entry!BI373="","",Human_Data_Entry!BI373)</f>
        <v/>
      </c>
      <c r="T375" s="103">
        <f>IF(Human_Data_Entry!BJ373="","",Human_Data_Entry!BJ373)</f>
        <v/>
      </c>
      <c r="U375" s="103">
        <f>IF(Human_Data_Entry!AP373="","",Human_Data_Entry!AP373)</f>
        <v/>
      </c>
      <c r="V375" s="103">
        <f>IF(Human_Data_Entry!AQ373="","",Human_Data_Entry!AQ373)</f>
        <v/>
      </c>
      <c r="W375" s="103">
        <f>IF(Human_Data_Entry!AR373="","",Human_Data_Entry!AR373)</f>
        <v/>
      </c>
      <c r="X375" s="103">
        <f>IF(Human_Data_Entry!BK373="","",Human_Data_Entry!BK373)</f>
        <v/>
      </c>
    </row>
    <row r="376" ht="15" customHeight="1" s="241">
      <c r="A376" s="103">
        <f>IF(Human_Data_Entry!A374="","",Human_Data_Entry!A374)</f>
        <v/>
      </c>
      <c r="B376" s="103">
        <f>IF(Human_Data_Entry!B374="","",Human_Data_Entry!B374)</f>
        <v/>
      </c>
      <c r="C376" s="104">
        <f>IF(Human_Data_Entry!C374="","",Human_Data_Entry!C374)</f>
        <v/>
      </c>
      <c r="D376" s="103">
        <f>IF(Human_Data_Entry!D374="","",Human_Data_Entry!D374)</f>
        <v/>
      </c>
      <c r="E376" s="103">
        <f>IF(Human_Data_Entry!G374="","",Human_Data_Entry!G374)</f>
        <v/>
      </c>
      <c r="F376" s="103">
        <f>IF(Human_Data_Entry!X374="","",Human_Data_Entry!X374)</f>
        <v/>
      </c>
      <c r="G376" s="103">
        <f>IF(Human_Data_Entry!AY374="","",Human_Data_Entry!AY374)</f>
        <v/>
      </c>
      <c r="H376" s="103">
        <f>IF(Human_Data_Entry!AS374="","",Human_Data_Entry!AS374)</f>
        <v/>
      </c>
      <c r="I376" s="103">
        <f>IF(Human_Data_Entry!F374="","",Human_Data_Entry!F374)</f>
        <v/>
      </c>
      <c r="J376" s="103">
        <f>IF(Human_Data_Entry!BA374="","",Human_Data_Entry!BA374)</f>
        <v/>
      </c>
      <c r="K376" s="103">
        <f>IF(Human_Data_Entry!BB374="","",Human_Data_Entry!BB374)</f>
        <v/>
      </c>
      <c r="L376" s="103">
        <f>IF(Human_Data_Entry!BC374="","",Human_Data_Entry!BC374)</f>
        <v/>
      </c>
      <c r="M376" s="104">
        <f>IF(Human_Data_Entry!BD374="","",Human_Data_Entry!BD374)</f>
        <v/>
      </c>
      <c r="N376" s="104">
        <f>IF(Human_Data_Entry!BE374="","",Human_Data_Entry!BE374)</f>
        <v/>
      </c>
      <c r="O376" s="105">
        <f>IF(Human_Data_Entry!BF374="","",Human_Data_Entry!BF374)</f>
        <v/>
      </c>
      <c r="P376" s="103">
        <f>IF(Human_Data_Entry!BG374="","",Human_Data_Entry!BG374)</f>
        <v/>
      </c>
      <c r="Q376" s="103">
        <f>IF(Human_Data_Entry!BL374="","",Human_Data_Entry!BL374)</f>
        <v/>
      </c>
      <c r="R376" s="103">
        <f>IF(Human_Data_Entry!BH374="","",Human_Data_Entry!BH374)</f>
        <v/>
      </c>
      <c r="S376" s="103">
        <f>IF(Human_Data_Entry!BI374="","",Human_Data_Entry!BI374)</f>
        <v/>
      </c>
      <c r="T376" s="103">
        <f>IF(Human_Data_Entry!BJ374="","",Human_Data_Entry!BJ374)</f>
        <v/>
      </c>
      <c r="U376" s="103">
        <f>IF(Human_Data_Entry!AP374="","",Human_Data_Entry!AP374)</f>
        <v/>
      </c>
      <c r="V376" s="103">
        <f>IF(Human_Data_Entry!AQ374="","",Human_Data_Entry!AQ374)</f>
        <v/>
      </c>
      <c r="W376" s="103">
        <f>IF(Human_Data_Entry!AR374="","",Human_Data_Entry!AR374)</f>
        <v/>
      </c>
      <c r="X376" s="103">
        <f>IF(Human_Data_Entry!BK374="","",Human_Data_Entry!BK374)</f>
        <v/>
      </c>
    </row>
    <row r="377" ht="15" customHeight="1" s="241">
      <c r="A377" s="103">
        <f>IF(Human_Data_Entry!A375="","",Human_Data_Entry!A375)</f>
        <v/>
      </c>
      <c r="B377" s="103">
        <f>IF(Human_Data_Entry!B375="","",Human_Data_Entry!B375)</f>
        <v/>
      </c>
      <c r="C377" s="104">
        <f>IF(Human_Data_Entry!C375="","",Human_Data_Entry!C375)</f>
        <v/>
      </c>
      <c r="D377" s="103">
        <f>IF(Human_Data_Entry!D375="","",Human_Data_Entry!D375)</f>
        <v/>
      </c>
      <c r="E377" s="103">
        <f>IF(Human_Data_Entry!G375="","",Human_Data_Entry!G375)</f>
        <v/>
      </c>
      <c r="F377" s="103">
        <f>IF(Human_Data_Entry!X375="","",Human_Data_Entry!X375)</f>
        <v/>
      </c>
      <c r="G377" s="103">
        <f>IF(Human_Data_Entry!AY375="","",Human_Data_Entry!AY375)</f>
        <v/>
      </c>
      <c r="H377" s="103">
        <f>IF(Human_Data_Entry!AS375="","",Human_Data_Entry!AS375)</f>
        <v/>
      </c>
      <c r="I377" s="103">
        <f>IF(Human_Data_Entry!F375="","",Human_Data_Entry!F375)</f>
        <v/>
      </c>
      <c r="J377" s="103">
        <f>IF(Human_Data_Entry!BA375="","",Human_Data_Entry!BA375)</f>
        <v/>
      </c>
      <c r="K377" s="103">
        <f>IF(Human_Data_Entry!BB375="","",Human_Data_Entry!BB375)</f>
        <v/>
      </c>
      <c r="L377" s="103">
        <f>IF(Human_Data_Entry!BC375="","",Human_Data_Entry!BC375)</f>
        <v/>
      </c>
      <c r="M377" s="104">
        <f>IF(Human_Data_Entry!BD375="","",Human_Data_Entry!BD375)</f>
        <v/>
      </c>
      <c r="N377" s="104">
        <f>IF(Human_Data_Entry!BE375="","",Human_Data_Entry!BE375)</f>
        <v/>
      </c>
      <c r="O377" s="105">
        <f>IF(Human_Data_Entry!BF375="","",Human_Data_Entry!BF375)</f>
        <v/>
      </c>
      <c r="P377" s="103">
        <f>IF(Human_Data_Entry!BG375="","",Human_Data_Entry!BG375)</f>
        <v/>
      </c>
      <c r="Q377" s="103">
        <f>IF(Human_Data_Entry!BL375="","",Human_Data_Entry!BL375)</f>
        <v/>
      </c>
      <c r="R377" s="103">
        <f>IF(Human_Data_Entry!BH375="","",Human_Data_Entry!BH375)</f>
        <v/>
      </c>
      <c r="S377" s="103">
        <f>IF(Human_Data_Entry!BI375="","",Human_Data_Entry!BI375)</f>
        <v/>
      </c>
      <c r="T377" s="103">
        <f>IF(Human_Data_Entry!BJ375="","",Human_Data_Entry!BJ375)</f>
        <v/>
      </c>
      <c r="U377" s="103">
        <f>IF(Human_Data_Entry!AP375="","",Human_Data_Entry!AP375)</f>
        <v/>
      </c>
      <c r="V377" s="103">
        <f>IF(Human_Data_Entry!AQ375="","",Human_Data_Entry!AQ375)</f>
        <v/>
      </c>
      <c r="W377" s="103">
        <f>IF(Human_Data_Entry!AR375="","",Human_Data_Entry!AR375)</f>
        <v/>
      </c>
      <c r="X377" s="103">
        <f>IF(Human_Data_Entry!BK375="","",Human_Data_Entry!BK375)</f>
        <v/>
      </c>
    </row>
    <row r="378" ht="15" customHeight="1" s="241">
      <c r="A378" s="103">
        <f>IF(Human_Data_Entry!A376="","",Human_Data_Entry!A376)</f>
        <v/>
      </c>
      <c r="B378" s="103">
        <f>IF(Human_Data_Entry!B376="","",Human_Data_Entry!B376)</f>
        <v/>
      </c>
      <c r="C378" s="104">
        <f>IF(Human_Data_Entry!C376="","",Human_Data_Entry!C376)</f>
        <v/>
      </c>
      <c r="D378" s="103">
        <f>IF(Human_Data_Entry!D376="","",Human_Data_Entry!D376)</f>
        <v/>
      </c>
      <c r="E378" s="103">
        <f>IF(Human_Data_Entry!G376="","",Human_Data_Entry!G376)</f>
        <v/>
      </c>
      <c r="F378" s="103">
        <f>IF(Human_Data_Entry!X376="","",Human_Data_Entry!X376)</f>
        <v/>
      </c>
      <c r="G378" s="103">
        <f>IF(Human_Data_Entry!AY376="","",Human_Data_Entry!AY376)</f>
        <v/>
      </c>
      <c r="H378" s="103">
        <f>IF(Human_Data_Entry!AS376="","",Human_Data_Entry!AS376)</f>
        <v/>
      </c>
      <c r="I378" s="103">
        <f>IF(Human_Data_Entry!F376="","",Human_Data_Entry!F376)</f>
        <v/>
      </c>
      <c r="J378" s="103">
        <f>IF(Human_Data_Entry!BA376="","",Human_Data_Entry!BA376)</f>
        <v/>
      </c>
      <c r="K378" s="103">
        <f>IF(Human_Data_Entry!BB376="","",Human_Data_Entry!BB376)</f>
        <v/>
      </c>
      <c r="L378" s="103">
        <f>IF(Human_Data_Entry!BC376="","",Human_Data_Entry!BC376)</f>
        <v/>
      </c>
      <c r="M378" s="104">
        <f>IF(Human_Data_Entry!BD376="","",Human_Data_Entry!BD376)</f>
        <v/>
      </c>
      <c r="N378" s="104">
        <f>IF(Human_Data_Entry!BE376="","",Human_Data_Entry!BE376)</f>
        <v/>
      </c>
      <c r="O378" s="105">
        <f>IF(Human_Data_Entry!BF376="","",Human_Data_Entry!BF376)</f>
        <v/>
      </c>
      <c r="P378" s="103">
        <f>IF(Human_Data_Entry!BG376="","",Human_Data_Entry!BG376)</f>
        <v/>
      </c>
      <c r="Q378" s="103">
        <f>IF(Human_Data_Entry!BL376="","",Human_Data_Entry!BL376)</f>
        <v/>
      </c>
      <c r="R378" s="103">
        <f>IF(Human_Data_Entry!BH376="","",Human_Data_Entry!BH376)</f>
        <v/>
      </c>
      <c r="S378" s="103">
        <f>IF(Human_Data_Entry!BI376="","",Human_Data_Entry!BI376)</f>
        <v/>
      </c>
      <c r="T378" s="103">
        <f>IF(Human_Data_Entry!BJ376="","",Human_Data_Entry!BJ376)</f>
        <v/>
      </c>
      <c r="U378" s="103">
        <f>IF(Human_Data_Entry!AP376="","",Human_Data_Entry!AP376)</f>
        <v/>
      </c>
      <c r="V378" s="103">
        <f>IF(Human_Data_Entry!AQ376="","",Human_Data_Entry!AQ376)</f>
        <v/>
      </c>
      <c r="W378" s="103">
        <f>IF(Human_Data_Entry!AR376="","",Human_Data_Entry!AR376)</f>
        <v/>
      </c>
      <c r="X378" s="103">
        <f>IF(Human_Data_Entry!BK376="","",Human_Data_Entry!BK376)</f>
        <v/>
      </c>
    </row>
    <row r="379" ht="15" customHeight="1" s="241">
      <c r="A379" s="103">
        <f>IF(Human_Data_Entry!A377="","",Human_Data_Entry!A377)</f>
        <v/>
      </c>
      <c r="B379" s="103">
        <f>IF(Human_Data_Entry!B377="","",Human_Data_Entry!B377)</f>
        <v/>
      </c>
      <c r="C379" s="104">
        <f>IF(Human_Data_Entry!C377="","",Human_Data_Entry!C377)</f>
        <v/>
      </c>
      <c r="D379" s="103">
        <f>IF(Human_Data_Entry!D377="","",Human_Data_Entry!D377)</f>
        <v/>
      </c>
      <c r="E379" s="103">
        <f>IF(Human_Data_Entry!G377="","",Human_Data_Entry!G377)</f>
        <v/>
      </c>
      <c r="F379" s="103">
        <f>IF(Human_Data_Entry!X377="","",Human_Data_Entry!X377)</f>
        <v/>
      </c>
      <c r="G379" s="103">
        <f>IF(Human_Data_Entry!AY377="","",Human_Data_Entry!AY377)</f>
        <v/>
      </c>
      <c r="H379" s="103">
        <f>IF(Human_Data_Entry!AS377="","",Human_Data_Entry!AS377)</f>
        <v/>
      </c>
      <c r="I379" s="103">
        <f>IF(Human_Data_Entry!F377="","",Human_Data_Entry!F377)</f>
        <v/>
      </c>
      <c r="J379" s="103">
        <f>IF(Human_Data_Entry!BA377="","",Human_Data_Entry!BA377)</f>
        <v/>
      </c>
      <c r="K379" s="103">
        <f>IF(Human_Data_Entry!BB377="","",Human_Data_Entry!BB377)</f>
        <v/>
      </c>
      <c r="L379" s="103">
        <f>IF(Human_Data_Entry!BC377="","",Human_Data_Entry!BC377)</f>
        <v/>
      </c>
      <c r="M379" s="104">
        <f>IF(Human_Data_Entry!BD377="","",Human_Data_Entry!BD377)</f>
        <v/>
      </c>
      <c r="N379" s="104">
        <f>IF(Human_Data_Entry!BE377="","",Human_Data_Entry!BE377)</f>
        <v/>
      </c>
      <c r="O379" s="105">
        <f>IF(Human_Data_Entry!BF377="","",Human_Data_Entry!BF377)</f>
        <v/>
      </c>
      <c r="P379" s="103">
        <f>IF(Human_Data_Entry!BG377="","",Human_Data_Entry!BG377)</f>
        <v/>
      </c>
      <c r="Q379" s="103">
        <f>IF(Human_Data_Entry!BL377="","",Human_Data_Entry!BL377)</f>
        <v/>
      </c>
      <c r="R379" s="103">
        <f>IF(Human_Data_Entry!BH377="","",Human_Data_Entry!BH377)</f>
        <v/>
      </c>
      <c r="S379" s="103">
        <f>IF(Human_Data_Entry!BI377="","",Human_Data_Entry!BI377)</f>
        <v/>
      </c>
      <c r="T379" s="103">
        <f>IF(Human_Data_Entry!BJ377="","",Human_Data_Entry!BJ377)</f>
        <v/>
      </c>
      <c r="U379" s="103">
        <f>IF(Human_Data_Entry!AP377="","",Human_Data_Entry!AP377)</f>
        <v/>
      </c>
      <c r="V379" s="103">
        <f>IF(Human_Data_Entry!AQ377="","",Human_Data_Entry!AQ377)</f>
        <v/>
      </c>
      <c r="W379" s="103">
        <f>IF(Human_Data_Entry!AR377="","",Human_Data_Entry!AR377)</f>
        <v/>
      </c>
      <c r="X379" s="103">
        <f>IF(Human_Data_Entry!BK377="","",Human_Data_Entry!BK377)</f>
        <v/>
      </c>
    </row>
    <row r="380" ht="15" customHeight="1" s="241">
      <c r="A380" s="103">
        <f>IF(Human_Data_Entry!A378="","",Human_Data_Entry!A378)</f>
        <v/>
      </c>
      <c r="B380" s="103">
        <f>IF(Human_Data_Entry!B378="","",Human_Data_Entry!B378)</f>
        <v/>
      </c>
      <c r="C380" s="104">
        <f>IF(Human_Data_Entry!C378="","",Human_Data_Entry!C378)</f>
        <v/>
      </c>
      <c r="D380" s="103">
        <f>IF(Human_Data_Entry!D378="","",Human_Data_Entry!D378)</f>
        <v/>
      </c>
      <c r="E380" s="103">
        <f>IF(Human_Data_Entry!G378="","",Human_Data_Entry!G378)</f>
        <v/>
      </c>
      <c r="F380" s="103">
        <f>IF(Human_Data_Entry!X378="","",Human_Data_Entry!X378)</f>
        <v/>
      </c>
      <c r="G380" s="103">
        <f>IF(Human_Data_Entry!AY378="","",Human_Data_Entry!AY378)</f>
        <v/>
      </c>
      <c r="H380" s="103">
        <f>IF(Human_Data_Entry!AS378="","",Human_Data_Entry!AS378)</f>
        <v/>
      </c>
      <c r="I380" s="103">
        <f>IF(Human_Data_Entry!F378="","",Human_Data_Entry!F378)</f>
        <v/>
      </c>
      <c r="J380" s="103">
        <f>IF(Human_Data_Entry!BA378="","",Human_Data_Entry!BA378)</f>
        <v/>
      </c>
      <c r="K380" s="103">
        <f>IF(Human_Data_Entry!BB378="","",Human_Data_Entry!BB378)</f>
        <v/>
      </c>
      <c r="L380" s="103">
        <f>IF(Human_Data_Entry!BC378="","",Human_Data_Entry!BC378)</f>
        <v/>
      </c>
      <c r="M380" s="104">
        <f>IF(Human_Data_Entry!BD378="","",Human_Data_Entry!BD378)</f>
        <v/>
      </c>
      <c r="N380" s="104">
        <f>IF(Human_Data_Entry!BE378="","",Human_Data_Entry!BE378)</f>
        <v/>
      </c>
      <c r="O380" s="105">
        <f>IF(Human_Data_Entry!BF378="","",Human_Data_Entry!BF378)</f>
        <v/>
      </c>
      <c r="P380" s="103">
        <f>IF(Human_Data_Entry!BG378="","",Human_Data_Entry!BG378)</f>
        <v/>
      </c>
      <c r="Q380" s="103">
        <f>IF(Human_Data_Entry!BL378="","",Human_Data_Entry!BL378)</f>
        <v/>
      </c>
      <c r="R380" s="103">
        <f>IF(Human_Data_Entry!BH378="","",Human_Data_Entry!BH378)</f>
        <v/>
      </c>
      <c r="S380" s="103">
        <f>IF(Human_Data_Entry!BI378="","",Human_Data_Entry!BI378)</f>
        <v/>
      </c>
      <c r="T380" s="103">
        <f>IF(Human_Data_Entry!BJ378="","",Human_Data_Entry!BJ378)</f>
        <v/>
      </c>
      <c r="U380" s="103">
        <f>IF(Human_Data_Entry!AP378="","",Human_Data_Entry!AP378)</f>
        <v/>
      </c>
      <c r="V380" s="103">
        <f>IF(Human_Data_Entry!AQ378="","",Human_Data_Entry!AQ378)</f>
        <v/>
      </c>
      <c r="W380" s="103">
        <f>IF(Human_Data_Entry!AR378="","",Human_Data_Entry!AR378)</f>
        <v/>
      </c>
      <c r="X380" s="103">
        <f>IF(Human_Data_Entry!BK378="","",Human_Data_Entry!BK378)</f>
        <v/>
      </c>
    </row>
    <row r="381" ht="15" customHeight="1" s="241">
      <c r="A381" s="103">
        <f>IF(Human_Data_Entry!A379="","",Human_Data_Entry!A379)</f>
        <v/>
      </c>
      <c r="B381" s="103">
        <f>IF(Human_Data_Entry!B379="","",Human_Data_Entry!B379)</f>
        <v/>
      </c>
      <c r="C381" s="104">
        <f>IF(Human_Data_Entry!C379="","",Human_Data_Entry!C379)</f>
        <v/>
      </c>
      <c r="D381" s="103">
        <f>IF(Human_Data_Entry!D379="","",Human_Data_Entry!D379)</f>
        <v/>
      </c>
      <c r="E381" s="103">
        <f>IF(Human_Data_Entry!G379="","",Human_Data_Entry!G379)</f>
        <v/>
      </c>
      <c r="F381" s="103">
        <f>IF(Human_Data_Entry!X379="","",Human_Data_Entry!X379)</f>
        <v/>
      </c>
      <c r="G381" s="103">
        <f>IF(Human_Data_Entry!AY379="","",Human_Data_Entry!AY379)</f>
        <v/>
      </c>
      <c r="H381" s="103">
        <f>IF(Human_Data_Entry!AS379="","",Human_Data_Entry!AS379)</f>
        <v/>
      </c>
      <c r="I381" s="103">
        <f>IF(Human_Data_Entry!F379="","",Human_Data_Entry!F379)</f>
        <v/>
      </c>
      <c r="J381" s="103">
        <f>IF(Human_Data_Entry!BA379="","",Human_Data_Entry!BA379)</f>
        <v/>
      </c>
      <c r="K381" s="103">
        <f>IF(Human_Data_Entry!BB379="","",Human_Data_Entry!BB379)</f>
        <v/>
      </c>
      <c r="L381" s="103">
        <f>IF(Human_Data_Entry!BC379="","",Human_Data_Entry!BC379)</f>
        <v/>
      </c>
      <c r="M381" s="104">
        <f>IF(Human_Data_Entry!BD379="","",Human_Data_Entry!BD379)</f>
        <v/>
      </c>
      <c r="N381" s="104">
        <f>IF(Human_Data_Entry!BE379="","",Human_Data_Entry!BE379)</f>
        <v/>
      </c>
      <c r="O381" s="105">
        <f>IF(Human_Data_Entry!BF379="","",Human_Data_Entry!BF379)</f>
        <v/>
      </c>
      <c r="P381" s="103">
        <f>IF(Human_Data_Entry!BG379="","",Human_Data_Entry!BG379)</f>
        <v/>
      </c>
      <c r="Q381" s="103">
        <f>IF(Human_Data_Entry!BL379="","",Human_Data_Entry!BL379)</f>
        <v/>
      </c>
      <c r="R381" s="103">
        <f>IF(Human_Data_Entry!BH379="","",Human_Data_Entry!BH379)</f>
        <v/>
      </c>
      <c r="S381" s="103">
        <f>IF(Human_Data_Entry!BI379="","",Human_Data_Entry!BI379)</f>
        <v/>
      </c>
      <c r="T381" s="103">
        <f>IF(Human_Data_Entry!BJ379="","",Human_Data_Entry!BJ379)</f>
        <v/>
      </c>
      <c r="U381" s="103">
        <f>IF(Human_Data_Entry!AP379="","",Human_Data_Entry!AP379)</f>
        <v/>
      </c>
      <c r="V381" s="103">
        <f>IF(Human_Data_Entry!AQ379="","",Human_Data_Entry!AQ379)</f>
        <v/>
      </c>
      <c r="W381" s="103">
        <f>IF(Human_Data_Entry!AR379="","",Human_Data_Entry!AR379)</f>
        <v/>
      </c>
      <c r="X381" s="103">
        <f>IF(Human_Data_Entry!BK379="","",Human_Data_Entry!BK379)</f>
        <v/>
      </c>
    </row>
    <row r="382" ht="15" customHeight="1" s="241">
      <c r="A382" s="103">
        <f>IF(Human_Data_Entry!A380="","",Human_Data_Entry!A380)</f>
        <v/>
      </c>
      <c r="B382" s="103">
        <f>IF(Human_Data_Entry!B380="","",Human_Data_Entry!B380)</f>
        <v/>
      </c>
      <c r="C382" s="104">
        <f>IF(Human_Data_Entry!C380="","",Human_Data_Entry!C380)</f>
        <v/>
      </c>
      <c r="D382" s="103">
        <f>IF(Human_Data_Entry!D380="","",Human_Data_Entry!D380)</f>
        <v/>
      </c>
      <c r="E382" s="103">
        <f>IF(Human_Data_Entry!G380="","",Human_Data_Entry!G380)</f>
        <v/>
      </c>
      <c r="F382" s="103">
        <f>IF(Human_Data_Entry!X380="","",Human_Data_Entry!X380)</f>
        <v/>
      </c>
      <c r="G382" s="103">
        <f>IF(Human_Data_Entry!AY380="","",Human_Data_Entry!AY380)</f>
        <v/>
      </c>
      <c r="H382" s="103">
        <f>IF(Human_Data_Entry!AS380="","",Human_Data_Entry!AS380)</f>
        <v/>
      </c>
      <c r="I382" s="103">
        <f>IF(Human_Data_Entry!F380="","",Human_Data_Entry!F380)</f>
        <v/>
      </c>
      <c r="J382" s="103">
        <f>IF(Human_Data_Entry!BA380="","",Human_Data_Entry!BA380)</f>
        <v/>
      </c>
      <c r="K382" s="103">
        <f>IF(Human_Data_Entry!BB380="","",Human_Data_Entry!BB380)</f>
        <v/>
      </c>
      <c r="L382" s="103">
        <f>IF(Human_Data_Entry!BC380="","",Human_Data_Entry!BC380)</f>
        <v/>
      </c>
      <c r="M382" s="104">
        <f>IF(Human_Data_Entry!BD380="","",Human_Data_Entry!BD380)</f>
        <v/>
      </c>
      <c r="N382" s="104">
        <f>IF(Human_Data_Entry!BE380="","",Human_Data_Entry!BE380)</f>
        <v/>
      </c>
      <c r="O382" s="105">
        <f>IF(Human_Data_Entry!BF380="","",Human_Data_Entry!BF380)</f>
        <v/>
      </c>
      <c r="P382" s="103">
        <f>IF(Human_Data_Entry!BG380="","",Human_Data_Entry!BG380)</f>
        <v/>
      </c>
      <c r="Q382" s="103">
        <f>IF(Human_Data_Entry!BL380="","",Human_Data_Entry!BL380)</f>
        <v/>
      </c>
      <c r="R382" s="103">
        <f>IF(Human_Data_Entry!BH380="","",Human_Data_Entry!BH380)</f>
        <v/>
      </c>
      <c r="S382" s="103">
        <f>IF(Human_Data_Entry!BI380="","",Human_Data_Entry!BI380)</f>
        <v/>
      </c>
      <c r="T382" s="103">
        <f>IF(Human_Data_Entry!BJ380="","",Human_Data_Entry!BJ380)</f>
        <v/>
      </c>
      <c r="U382" s="103">
        <f>IF(Human_Data_Entry!AP380="","",Human_Data_Entry!AP380)</f>
        <v/>
      </c>
      <c r="V382" s="103">
        <f>IF(Human_Data_Entry!AQ380="","",Human_Data_Entry!AQ380)</f>
        <v/>
      </c>
      <c r="W382" s="103">
        <f>IF(Human_Data_Entry!AR380="","",Human_Data_Entry!AR380)</f>
        <v/>
      </c>
      <c r="X382" s="103">
        <f>IF(Human_Data_Entry!BK380="","",Human_Data_Entry!BK380)</f>
        <v/>
      </c>
    </row>
    <row r="383" ht="15" customHeight="1" s="241">
      <c r="A383" s="103">
        <f>IF(Human_Data_Entry!A381="","",Human_Data_Entry!A381)</f>
        <v/>
      </c>
      <c r="B383" s="103">
        <f>IF(Human_Data_Entry!B381="","",Human_Data_Entry!B381)</f>
        <v/>
      </c>
      <c r="C383" s="104">
        <f>IF(Human_Data_Entry!C381="","",Human_Data_Entry!C381)</f>
        <v/>
      </c>
      <c r="D383" s="103">
        <f>IF(Human_Data_Entry!D381="","",Human_Data_Entry!D381)</f>
        <v/>
      </c>
      <c r="E383" s="103">
        <f>IF(Human_Data_Entry!G381="","",Human_Data_Entry!G381)</f>
        <v/>
      </c>
      <c r="F383" s="103">
        <f>IF(Human_Data_Entry!X381="","",Human_Data_Entry!X381)</f>
        <v/>
      </c>
      <c r="G383" s="103">
        <f>IF(Human_Data_Entry!AY381="","",Human_Data_Entry!AY381)</f>
        <v/>
      </c>
      <c r="H383" s="103">
        <f>IF(Human_Data_Entry!AS381="","",Human_Data_Entry!AS381)</f>
        <v/>
      </c>
      <c r="I383" s="103">
        <f>IF(Human_Data_Entry!F381="","",Human_Data_Entry!F381)</f>
        <v/>
      </c>
      <c r="J383" s="103">
        <f>IF(Human_Data_Entry!BA381="","",Human_Data_Entry!BA381)</f>
        <v/>
      </c>
      <c r="K383" s="103">
        <f>IF(Human_Data_Entry!BB381="","",Human_Data_Entry!BB381)</f>
        <v/>
      </c>
      <c r="L383" s="103">
        <f>IF(Human_Data_Entry!BC381="","",Human_Data_Entry!BC381)</f>
        <v/>
      </c>
      <c r="M383" s="104">
        <f>IF(Human_Data_Entry!BD381="","",Human_Data_Entry!BD381)</f>
        <v/>
      </c>
      <c r="N383" s="104">
        <f>IF(Human_Data_Entry!BE381="","",Human_Data_Entry!BE381)</f>
        <v/>
      </c>
      <c r="O383" s="105">
        <f>IF(Human_Data_Entry!BF381="","",Human_Data_Entry!BF381)</f>
        <v/>
      </c>
      <c r="P383" s="103">
        <f>IF(Human_Data_Entry!BG381="","",Human_Data_Entry!BG381)</f>
        <v/>
      </c>
      <c r="Q383" s="103">
        <f>IF(Human_Data_Entry!BL381="","",Human_Data_Entry!BL381)</f>
        <v/>
      </c>
      <c r="R383" s="103">
        <f>IF(Human_Data_Entry!BH381="","",Human_Data_Entry!BH381)</f>
        <v/>
      </c>
      <c r="S383" s="103">
        <f>IF(Human_Data_Entry!BI381="","",Human_Data_Entry!BI381)</f>
        <v/>
      </c>
      <c r="T383" s="103">
        <f>IF(Human_Data_Entry!BJ381="","",Human_Data_Entry!BJ381)</f>
        <v/>
      </c>
      <c r="U383" s="103">
        <f>IF(Human_Data_Entry!AP381="","",Human_Data_Entry!AP381)</f>
        <v/>
      </c>
      <c r="V383" s="103">
        <f>IF(Human_Data_Entry!AQ381="","",Human_Data_Entry!AQ381)</f>
        <v/>
      </c>
      <c r="W383" s="103">
        <f>IF(Human_Data_Entry!AR381="","",Human_Data_Entry!AR381)</f>
        <v/>
      </c>
      <c r="X383" s="103">
        <f>IF(Human_Data_Entry!BK381="","",Human_Data_Entry!BK381)</f>
        <v/>
      </c>
    </row>
    <row r="384" ht="15" customHeight="1" s="241">
      <c r="A384" s="103">
        <f>IF(Human_Data_Entry!A382="","",Human_Data_Entry!A382)</f>
        <v/>
      </c>
      <c r="B384" s="103">
        <f>IF(Human_Data_Entry!B382="","",Human_Data_Entry!B382)</f>
        <v/>
      </c>
      <c r="C384" s="104">
        <f>IF(Human_Data_Entry!C382="","",Human_Data_Entry!C382)</f>
        <v/>
      </c>
      <c r="D384" s="103">
        <f>IF(Human_Data_Entry!D382="","",Human_Data_Entry!D382)</f>
        <v/>
      </c>
      <c r="E384" s="103">
        <f>IF(Human_Data_Entry!G382="","",Human_Data_Entry!G382)</f>
        <v/>
      </c>
      <c r="F384" s="103">
        <f>IF(Human_Data_Entry!X382="","",Human_Data_Entry!X382)</f>
        <v/>
      </c>
      <c r="G384" s="103">
        <f>IF(Human_Data_Entry!AY382="","",Human_Data_Entry!AY382)</f>
        <v/>
      </c>
      <c r="H384" s="103">
        <f>IF(Human_Data_Entry!AS382="","",Human_Data_Entry!AS382)</f>
        <v/>
      </c>
      <c r="I384" s="103">
        <f>IF(Human_Data_Entry!F382="","",Human_Data_Entry!F382)</f>
        <v/>
      </c>
      <c r="J384" s="103">
        <f>IF(Human_Data_Entry!BA382="","",Human_Data_Entry!BA382)</f>
        <v/>
      </c>
      <c r="K384" s="103">
        <f>IF(Human_Data_Entry!BB382="","",Human_Data_Entry!BB382)</f>
        <v/>
      </c>
      <c r="L384" s="103">
        <f>IF(Human_Data_Entry!BC382="","",Human_Data_Entry!BC382)</f>
        <v/>
      </c>
      <c r="M384" s="104">
        <f>IF(Human_Data_Entry!BD382="","",Human_Data_Entry!BD382)</f>
        <v/>
      </c>
      <c r="N384" s="104">
        <f>IF(Human_Data_Entry!BE382="","",Human_Data_Entry!BE382)</f>
        <v/>
      </c>
      <c r="O384" s="105">
        <f>IF(Human_Data_Entry!BF382="","",Human_Data_Entry!BF382)</f>
        <v/>
      </c>
      <c r="P384" s="103">
        <f>IF(Human_Data_Entry!BG382="","",Human_Data_Entry!BG382)</f>
        <v/>
      </c>
      <c r="Q384" s="103">
        <f>IF(Human_Data_Entry!BL382="","",Human_Data_Entry!BL382)</f>
        <v/>
      </c>
      <c r="R384" s="103">
        <f>IF(Human_Data_Entry!BH382="","",Human_Data_Entry!BH382)</f>
        <v/>
      </c>
      <c r="S384" s="103">
        <f>IF(Human_Data_Entry!BI382="","",Human_Data_Entry!BI382)</f>
        <v/>
      </c>
      <c r="T384" s="103">
        <f>IF(Human_Data_Entry!BJ382="","",Human_Data_Entry!BJ382)</f>
        <v/>
      </c>
      <c r="U384" s="103">
        <f>IF(Human_Data_Entry!AP382="","",Human_Data_Entry!AP382)</f>
        <v/>
      </c>
      <c r="V384" s="103">
        <f>IF(Human_Data_Entry!AQ382="","",Human_Data_Entry!AQ382)</f>
        <v/>
      </c>
      <c r="W384" s="103">
        <f>IF(Human_Data_Entry!AR382="","",Human_Data_Entry!AR382)</f>
        <v/>
      </c>
      <c r="X384" s="103">
        <f>IF(Human_Data_Entry!BK382="","",Human_Data_Entry!BK382)</f>
        <v/>
      </c>
    </row>
    <row r="385" ht="15" customHeight="1" s="241">
      <c r="A385" s="103">
        <f>IF(Human_Data_Entry!A383="","",Human_Data_Entry!A383)</f>
        <v/>
      </c>
      <c r="B385" s="103">
        <f>IF(Human_Data_Entry!B383="","",Human_Data_Entry!B383)</f>
        <v/>
      </c>
      <c r="C385" s="104">
        <f>IF(Human_Data_Entry!C383="","",Human_Data_Entry!C383)</f>
        <v/>
      </c>
      <c r="D385" s="103">
        <f>IF(Human_Data_Entry!D383="","",Human_Data_Entry!D383)</f>
        <v/>
      </c>
      <c r="E385" s="103">
        <f>IF(Human_Data_Entry!G383="","",Human_Data_Entry!G383)</f>
        <v/>
      </c>
      <c r="F385" s="103">
        <f>IF(Human_Data_Entry!X383="","",Human_Data_Entry!X383)</f>
        <v/>
      </c>
      <c r="G385" s="103">
        <f>IF(Human_Data_Entry!AY383="","",Human_Data_Entry!AY383)</f>
        <v/>
      </c>
      <c r="H385" s="103">
        <f>IF(Human_Data_Entry!AS383="","",Human_Data_Entry!AS383)</f>
        <v/>
      </c>
      <c r="I385" s="103">
        <f>IF(Human_Data_Entry!F383="","",Human_Data_Entry!F383)</f>
        <v/>
      </c>
      <c r="J385" s="103">
        <f>IF(Human_Data_Entry!BA383="","",Human_Data_Entry!BA383)</f>
        <v/>
      </c>
      <c r="K385" s="103">
        <f>IF(Human_Data_Entry!BB383="","",Human_Data_Entry!BB383)</f>
        <v/>
      </c>
      <c r="L385" s="103">
        <f>IF(Human_Data_Entry!BC383="","",Human_Data_Entry!BC383)</f>
        <v/>
      </c>
      <c r="M385" s="104">
        <f>IF(Human_Data_Entry!BD383="","",Human_Data_Entry!BD383)</f>
        <v/>
      </c>
      <c r="N385" s="104">
        <f>IF(Human_Data_Entry!BE383="","",Human_Data_Entry!BE383)</f>
        <v/>
      </c>
      <c r="O385" s="105">
        <f>IF(Human_Data_Entry!BF383="","",Human_Data_Entry!BF383)</f>
        <v/>
      </c>
      <c r="P385" s="103">
        <f>IF(Human_Data_Entry!BG383="","",Human_Data_Entry!BG383)</f>
        <v/>
      </c>
      <c r="Q385" s="103">
        <f>IF(Human_Data_Entry!BL383="","",Human_Data_Entry!BL383)</f>
        <v/>
      </c>
      <c r="R385" s="103">
        <f>IF(Human_Data_Entry!BH383="","",Human_Data_Entry!BH383)</f>
        <v/>
      </c>
      <c r="S385" s="103">
        <f>IF(Human_Data_Entry!BI383="","",Human_Data_Entry!BI383)</f>
        <v/>
      </c>
      <c r="T385" s="103">
        <f>IF(Human_Data_Entry!BJ383="","",Human_Data_Entry!BJ383)</f>
        <v/>
      </c>
      <c r="U385" s="103">
        <f>IF(Human_Data_Entry!AP383="","",Human_Data_Entry!AP383)</f>
        <v/>
      </c>
      <c r="V385" s="103">
        <f>IF(Human_Data_Entry!AQ383="","",Human_Data_Entry!AQ383)</f>
        <v/>
      </c>
      <c r="W385" s="103">
        <f>IF(Human_Data_Entry!AR383="","",Human_Data_Entry!AR383)</f>
        <v/>
      </c>
      <c r="X385" s="103">
        <f>IF(Human_Data_Entry!BK383="","",Human_Data_Entry!BK383)</f>
        <v/>
      </c>
    </row>
    <row r="386" ht="15" customHeight="1" s="241">
      <c r="A386" s="103">
        <f>IF(Human_Data_Entry!A384="","",Human_Data_Entry!A384)</f>
        <v/>
      </c>
      <c r="B386" s="103">
        <f>IF(Human_Data_Entry!B384="","",Human_Data_Entry!B384)</f>
        <v/>
      </c>
      <c r="C386" s="104">
        <f>IF(Human_Data_Entry!C384="","",Human_Data_Entry!C384)</f>
        <v/>
      </c>
      <c r="D386" s="103">
        <f>IF(Human_Data_Entry!D384="","",Human_Data_Entry!D384)</f>
        <v/>
      </c>
      <c r="E386" s="103">
        <f>IF(Human_Data_Entry!G384="","",Human_Data_Entry!G384)</f>
        <v/>
      </c>
      <c r="F386" s="103">
        <f>IF(Human_Data_Entry!X384="","",Human_Data_Entry!X384)</f>
        <v/>
      </c>
      <c r="G386" s="103">
        <f>IF(Human_Data_Entry!AY384="","",Human_Data_Entry!AY384)</f>
        <v/>
      </c>
      <c r="H386" s="103">
        <f>IF(Human_Data_Entry!AS384="","",Human_Data_Entry!AS384)</f>
        <v/>
      </c>
      <c r="I386" s="103">
        <f>IF(Human_Data_Entry!F384="","",Human_Data_Entry!F384)</f>
        <v/>
      </c>
      <c r="J386" s="103">
        <f>IF(Human_Data_Entry!BA384="","",Human_Data_Entry!BA384)</f>
        <v/>
      </c>
      <c r="K386" s="103">
        <f>IF(Human_Data_Entry!BB384="","",Human_Data_Entry!BB384)</f>
        <v/>
      </c>
      <c r="L386" s="103">
        <f>IF(Human_Data_Entry!BC384="","",Human_Data_Entry!BC384)</f>
        <v/>
      </c>
      <c r="M386" s="104">
        <f>IF(Human_Data_Entry!BD384="","",Human_Data_Entry!BD384)</f>
        <v/>
      </c>
      <c r="N386" s="104">
        <f>IF(Human_Data_Entry!BE384="","",Human_Data_Entry!BE384)</f>
        <v/>
      </c>
      <c r="O386" s="105">
        <f>IF(Human_Data_Entry!BF384="","",Human_Data_Entry!BF384)</f>
        <v/>
      </c>
      <c r="P386" s="103">
        <f>IF(Human_Data_Entry!BG384="","",Human_Data_Entry!BG384)</f>
        <v/>
      </c>
      <c r="Q386" s="103">
        <f>IF(Human_Data_Entry!BL384="","",Human_Data_Entry!BL384)</f>
        <v/>
      </c>
      <c r="R386" s="103">
        <f>IF(Human_Data_Entry!BH384="","",Human_Data_Entry!BH384)</f>
        <v/>
      </c>
      <c r="S386" s="103">
        <f>IF(Human_Data_Entry!BI384="","",Human_Data_Entry!BI384)</f>
        <v/>
      </c>
      <c r="T386" s="103">
        <f>IF(Human_Data_Entry!BJ384="","",Human_Data_Entry!BJ384)</f>
        <v/>
      </c>
      <c r="U386" s="103">
        <f>IF(Human_Data_Entry!AP384="","",Human_Data_Entry!AP384)</f>
        <v/>
      </c>
      <c r="V386" s="103">
        <f>IF(Human_Data_Entry!AQ384="","",Human_Data_Entry!AQ384)</f>
        <v/>
      </c>
      <c r="W386" s="103">
        <f>IF(Human_Data_Entry!AR384="","",Human_Data_Entry!AR384)</f>
        <v/>
      </c>
      <c r="X386" s="103">
        <f>IF(Human_Data_Entry!BK384="","",Human_Data_Entry!BK384)</f>
        <v/>
      </c>
    </row>
    <row r="387" ht="15" customHeight="1" s="241">
      <c r="A387" s="103">
        <f>IF(Human_Data_Entry!A385="","",Human_Data_Entry!A385)</f>
        <v/>
      </c>
      <c r="B387" s="103">
        <f>IF(Human_Data_Entry!B385="","",Human_Data_Entry!B385)</f>
        <v/>
      </c>
      <c r="C387" s="104">
        <f>IF(Human_Data_Entry!C385="","",Human_Data_Entry!C385)</f>
        <v/>
      </c>
      <c r="D387" s="103">
        <f>IF(Human_Data_Entry!D385="","",Human_Data_Entry!D385)</f>
        <v/>
      </c>
      <c r="E387" s="103">
        <f>IF(Human_Data_Entry!G385="","",Human_Data_Entry!G385)</f>
        <v/>
      </c>
      <c r="F387" s="103">
        <f>IF(Human_Data_Entry!X385="","",Human_Data_Entry!X385)</f>
        <v/>
      </c>
      <c r="G387" s="103">
        <f>IF(Human_Data_Entry!AY385="","",Human_Data_Entry!AY385)</f>
        <v/>
      </c>
      <c r="H387" s="103">
        <f>IF(Human_Data_Entry!AS385="","",Human_Data_Entry!AS385)</f>
        <v/>
      </c>
      <c r="I387" s="103">
        <f>IF(Human_Data_Entry!F385="","",Human_Data_Entry!F385)</f>
        <v/>
      </c>
      <c r="J387" s="103">
        <f>IF(Human_Data_Entry!BA385="","",Human_Data_Entry!BA385)</f>
        <v/>
      </c>
      <c r="K387" s="103">
        <f>IF(Human_Data_Entry!BB385="","",Human_Data_Entry!BB385)</f>
        <v/>
      </c>
      <c r="L387" s="103">
        <f>IF(Human_Data_Entry!BC385="","",Human_Data_Entry!BC385)</f>
        <v/>
      </c>
      <c r="M387" s="104">
        <f>IF(Human_Data_Entry!BD385="","",Human_Data_Entry!BD385)</f>
        <v/>
      </c>
      <c r="N387" s="104">
        <f>IF(Human_Data_Entry!BE385="","",Human_Data_Entry!BE385)</f>
        <v/>
      </c>
      <c r="O387" s="105">
        <f>IF(Human_Data_Entry!BF385="","",Human_Data_Entry!BF385)</f>
        <v/>
      </c>
      <c r="P387" s="103">
        <f>IF(Human_Data_Entry!BG385="","",Human_Data_Entry!BG385)</f>
        <v/>
      </c>
      <c r="Q387" s="103">
        <f>IF(Human_Data_Entry!BL385="","",Human_Data_Entry!BL385)</f>
        <v/>
      </c>
      <c r="R387" s="103">
        <f>IF(Human_Data_Entry!BH385="","",Human_Data_Entry!BH385)</f>
        <v/>
      </c>
      <c r="S387" s="103">
        <f>IF(Human_Data_Entry!BI385="","",Human_Data_Entry!BI385)</f>
        <v/>
      </c>
      <c r="T387" s="103">
        <f>IF(Human_Data_Entry!BJ385="","",Human_Data_Entry!BJ385)</f>
        <v/>
      </c>
      <c r="U387" s="103">
        <f>IF(Human_Data_Entry!AP385="","",Human_Data_Entry!AP385)</f>
        <v/>
      </c>
      <c r="V387" s="103">
        <f>IF(Human_Data_Entry!AQ385="","",Human_Data_Entry!AQ385)</f>
        <v/>
      </c>
      <c r="W387" s="103">
        <f>IF(Human_Data_Entry!AR385="","",Human_Data_Entry!AR385)</f>
        <v/>
      </c>
      <c r="X387" s="103">
        <f>IF(Human_Data_Entry!BK385="","",Human_Data_Entry!BK385)</f>
        <v/>
      </c>
    </row>
    <row r="388" ht="15" customHeight="1" s="241">
      <c r="A388" s="103">
        <f>IF(Human_Data_Entry!A386="","",Human_Data_Entry!A386)</f>
        <v/>
      </c>
      <c r="B388" s="103">
        <f>IF(Human_Data_Entry!B386="","",Human_Data_Entry!B386)</f>
        <v/>
      </c>
      <c r="C388" s="104">
        <f>IF(Human_Data_Entry!C386="","",Human_Data_Entry!C386)</f>
        <v/>
      </c>
      <c r="D388" s="103">
        <f>IF(Human_Data_Entry!D386="","",Human_Data_Entry!D386)</f>
        <v/>
      </c>
      <c r="E388" s="103">
        <f>IF(Human_Data_Entry!G386="","",Human_Data_Entry!G386)</f>
        <v/>
      </c>
      <c r="F388" s="103">
        <f>IF(Human_Data_Entry!X386="","",Human_Data_Entry!X386)</f>
        <v/>
      </c>
      <c r="G388" s="103">
        <f>IF(Human_Data_Entry!AY386="","",Human_Data_Entry!AY386)</f>
        <v/>
      </c>
      <c r="H388" s="103">
        <f>IF(Human_Data_Entry!AS386="","",Human_Data_Entry!AS386)</f>
        <v/>
      </c>
      <c r="I388" s="103">
        <f>IF(Human_Data_Entry!F386="","",Human_Data_Entry!F386)</f>
        <v/>
      </c>
      <c r="J388" s="103">
        <f>IF(Human_Data_Entry!BA386="","",Human_Data_Entry!BA386)</f>
        <v/>
      </c>
      <c r="K388" s="103">
        <f>IF(Human_Data_Entry!BB386="","",Human_Data_Entry!BB386)</f>
        <v/>
      </c>
      <c r="L388" s="103">
        <f>IF(Human_Data_Entry!BC386="","",Human_Data_Entry!BC386)</f>
        <v/>
      </c>
      <c r="M388" s="104">
        <f>IF(Human_Data_Entry!BD386="","",Human_Data_Entry!BD386)</f>
        <v/>
      </c>
      <c r="N388" s="104">
        <f>IF(Human_Data_Entry!BE386="","",Human_Data_Entry!BE386)</f>
        <v/>
      </c>
      <c r="O388" s="105">
        <f>IF(Human_Data_Entry!BF386="","",Human_Data_Entry!BF386)</f>
        <v/>
      </c>
      <c r="P388" s="103">
        <f>IF(Human_Data_Entry!BG386="","",Human_Data_Entry!BG386)</f>
        <v/>
      </c>
      <c r="Q388" s="103">
        <f>IF(Human_Data_Entry!BL386="","",Human_Data_Entry!BL386)</f>
        <v/>
      </c>
      <c r="R388" s="103">
        <f>IF(Human_Data_Entry!BH386="","",Human_Data_Entry!BH386)</f>
        <v/>
      </c>
      <c r="S388" s="103">
        <f>IF(Human_Data_Entry!BI386="","",Human_Data_Entry!BI386)</f>
        <v/>
      </c>
      <c r="T388" s="103">
        <f>IF(Human_Data_Entry!BJ386="","",Human_Data_Entry!BJ386)</f>
        <v/>
      </c>
      <c r="U388" s="103">
        <f>IF(Human_Data_Entry!AP386="","",Human_Data_Entry!AP386)</f>
        <v/>
      </c>
      <c r="V388" s="103">
        <f>IF(Human_Data_Entry!AQ386="","",Human_Data_Entry!AQ386)</f>
        <v/>
      </c>
      <c r="W388" s="103">
        <f>IF(Human_Data_Entry!AR386="","",Human_Data_Entry!AR386)</f>
        <v/>
      </c>
      <c r="X388" s="103">
        <f>IF(Human_Data_Entry!BK386="","",Human_Data_Entry!BK386)</f>
        <v/>
      </c>
    </row>
    <row r="389" ht="15" customHeight="1" s="241">
      <c r="A389" s="103">
        <f>IF(Human_Data_Entry!A387="","",Human_Data_Entry!A387)</f>
        <v/>
      </c>
      <c r="B389" s="103">
        <f>IF(Human_Data_Entry!B387="","",Human_Data_Entry!B387)</f>
        <v/>
      </c>
      <c r="C389" s="104">
        <f>IF(Human_Data_Entry!C387="","",Human_Data_Entry!C387)</f>
        <v/>
      </c>
      <c r="D389" s="103">
        <f>IF(Human_Data_Entry!D387="","",Human_Data_Entry!D387)</f>
        <v/>
      </c>
      <c r="E389" s="103">
        <f>IF(Human_Data_Entry!G387="","",Human_Data_Entry!G387)</f>
        <v/>
      </c>
      <c r="F389" s="103">
        <f>IF(Human_Data_Entry!X387="","",Human_Data_Entry!X387)</f>
        <v/>
      </c>
      <c r="G389" s="103">
        <f>IF(Human_Data_Entry!AY387="","",Human_Data_Entry!AY387)</f>
        <v/>
      </c>
      <c r="H389" s="103">
        <f>IF(Human_Data_Entry!AS387="","",Human_Data_Entry!AS387)</f>
        <v/>
      </c>
      <c r="I389" s="103">
        <f>IF(Human_Data_Entry!F387="","",Human_Data_Entry!F387)</f>
        <v/>
      </c>
      <c r="J389" s="103">
        <f>IF(Human_Data_Entry!BA387="","",Human_Data_Entry!BA387)</f>
        <v/>
      </c>
      <c r="K389" s="103">
        <f>IF(Human_Data_Entry!BB387="","",Human_Data_Entry!BB387)</f>
        <v/>
      </c>
      <c r="L389" s="103">
        <f>IF(Human_Data_Entry!BC387="","",Human_Data_Entry!BC387)</f>
        <v/>
      </c>
      <c r="M389" s="104">
        <f>IF(Human_Data_Entry!BD387="","",Human_Data_Entry!BD387)</f>
        <v/>
      </c>
      <c r="N389" s="104">
        <f>IF(Human_Data_Entry!BE387="","",Human_Data_Entry!BE387)</f>
        <v/>
      </c>
      <c r="O389" s="105">
        <f>IF(Human_Data_Entry!BF387="","",Human_Data_Entry!BF387)</f>
        <v/>
      </c>
      <c r="P389" s="103">
        <f>IF(Human_Data_Entry!BG387="","",Human_Data_Entry!BG387)</f>
        <v/>
      </c>
      <c r="Q389" s="103">
        <f>IF(Human_Data_Entry!BL387="","",Human_Data_Entry!BL387)</f>
        <v/>
      </c>
      <c r="R389" s="103">
        <f>IF(Human_Data_Entry!BH387="","",Human_Data_Entry!BH387)</f>
        <v/>
      </c>
      <c r="S389" s="103">
        <f>IF(Human_Data_Entry!BI387="","",Human_Data_Entry!BI387)</f>
        <v/>
      </c>
      <c r="T389" s="103">
        <f>IF(Human_Data_Entry!BJ387="","",Human_Data_Entry!BJ387)</f>
        <v/>
      </c>
      <c r="U389" s="103">
        <f>IF(Human_Data_Entry!AP387="","",Human_Data_Entry!AP387)</f>
        <v/>
      </c>
      <c r="V389" s="103">
        <f>IF(Human_Data_Entry!AQ387="","",Human_Data_Entry!AQ387)</f>
        <v/>
      </c>
      <c r="W389" s="103">
        <f>IF(Human_Data_Entry!AR387="","",Human_Data_Entry!AR387)</f>
        <v/>
      </c>
      <c r="X389" s="103">
        <f>IF(Human_Data_Entry!BK387="","",Human_Data_Entry!BK387)</f>
        <v/>
      </c>
    </row>
    <row r="390" ht="15" customHeight="1" s="241">
      <c r="A390" s="103">
        <f>IF(Human_Data_Entry!A388="","",Human_Data_Entry!A388)</f>
        <v/>
      </c>
      <c r="B390" s="103">
        <f>IF(Human_Data_Entry!B388="","",Human_Data_Entry!B388)</f>
        <v/>
      </c>
      <c r="C390" s="104">
        <f>IF(Human_Data_Entry!C388="","",Human_Data_Entry!C388)</f>
        <v/>
      </c>
      <c r="D390" s="103">
        <f>IF(Human_Data_Entry!D388="","",Human_Data_Entry!D388)</f>
        <v/>
      </c>
      <c r="E390" s="103">
        <f>IF(Human_Data_Entry!G388="","",Human_Data_Entry!G388)</f>
        <v/>
      </c>
      <c r="F390" s="103">
        <f>IF(Human_Data_Entry!X388="","",Human_Data_Entry!X388)</f>
        <v/>
      </c>
      <c r="G390" s="103">
        <f>IF(Human_Data_Entry!AY388="","",Human_Data_Entry!AY388)</f>
        <v/>
      </c>
      <c r="H390" s="103">
        <f>IF(Human_Data_Entry!AS388="","",Human_Data_Entry!AS388)</f>
        <v/>
      </c>
      <c r="I390" s="103">
        <f>IF(Human_Data_Entry!F388="","",Human_Data_Entry!F388)</f>
        <v/>
      </c>
      <c r="J390" s="103">
        <f>IF(Human_Data_Entry!BA388="","",Human_Data_Entry!BA388)</f>
        <v/>
      </c>
      <c r="K390" s="103">
        <f>IF(Human_Data_Entry!BB388="","",Human_Data_Entry!BB388)</f>
        <v/>
      </c>
      <c r="L390" s="103">
        <f>IF(Human_Data_Entry!BC388="","",Human_Data_Entry!BC388)</f>
        <v/>
      </c>
      <c r="M390" s="104">
        <f>IF(Human_Data_Entry!BD388="","",Human_Data_Entry!BD388)</f>
        <v/>
      </c>
      <c r="N390" s="104">
        <f>IF(Human_Data_Entry!BE388="","",Human_Data_Entry!BE388)</f>
        <v/>
      </c>
      <c r="O390" s="105">
        <f>IF(Human_Data_Entry!BF388="","",Human_Data_Entry!BF388)</f>
        <v/>
      </c>
      <c r="P390" s="103">
        <f>IF(Human_Data_Entry!BG388="","",Human_Data_Entry!BG388)</f>
        <v/>
      </c>
      <c r="Q390" s="103">
        <f>IF(Human_Data_Entry!BL388="","",Human_Data_Entry!BL388)</f>
        <v/>
      </c>
      <c r="R390" s="103">
        <f>IF(Human_Data_Entry!BH388="","",Human_Data_Entry!BH388)</f>
        <v/>
      </c>
      <c r="S390" s="103">
        <f>IF(Human_Data_Entry!BI388="","",Human_Data_Entry!BI388)</f>
        <v/>
      </c>
      <c r="T390" s="103">
        <f>IF(Human_Data_Entry!BJ388="","",Human_Data_Entry!BJ388)</f>
        <v/>
      </c>
      <c r="U390" s="103">
        <f>IF(Human_Data_Entry!AP388="","",Human_Data_Entry!AP388)</f>
        <v/>
      </c>
      <c r="V390" s="103">
        <f>IF(Human_Data_Entry!AQ388="","",Human_Data_Entry!AQ388)</f>
        <v/>
      </c>
      <c r="W390" s="103">
        <f>IF(Human_Data_Entry!AR388="","",Human_Data_Entry!AR388)</f>
        <v/>
      </c>
      <c r="X390" s="103">
        <f>IF(Human_Data_Entry!BK388="","",Human_Data_Entry!BK388)</f>
        <v/>
      </c>
    </row>
    <row r="391" ht="15" customHeight="1" s="241">
      <c r="A391" s="103">
        <f>IF(Human_Data_Entry!A389="","",Human_Data_Entry!A389)</f>
        <v/>
      </c>
      <c r="B391" s="103">
        <f>IF(Human_Data_Entry!B389="","",Human_Data_Entry!B389)</f>
        <v/>
      </c>
      <c r="C391" s="104">
        <f>IF(Human_Data_Entry!C389="","",Human_Data_Entry!C389)</f>
        <v/>
      </c>
      <c r="D391" s="103">
        <f>IF(Human_Data_Entry!D389="","",Human_Data_Entry!D389)</f>
        <v/>
      </c>
      <c r="E391" s="103">
        <f>IF(Human_Data_Entry!G389="","",Human_Data_Entry!G389)</f>
        <v/>
      </c>
      <c r="F391" s="103">
        <f>IF(Human_Data_Entry!X389="","",Human_Data_Entry!X389)</f>
        <v/>
      </c>
      <c r="G391" s="103">
        <f>IF(Human_Data_Entry!AY389="","",Human_Data_Entry!AY389)</f>
        <v/>
      </c>
      <c r="H391" s="103">
        <f>IF(Human_Data_Entry!AS389="","",Human_Data_Entry!AS389)</f>
        <v/>
      </c>
      <c r="I391" s="103">
        <f>IF(Human_Data_Entry!F389="","",Human_Data_Entry!F389)</f>
        <v/>
      </c>
      <c r="J391" s="103">
        <f>IF(Human_Data_Entry!BA389="","",Human_Data_Entry!BA389)</f>
        <v/>
      </c>
      <c r="K391" s="103">
        <f>IF(Human_Data_Entry!BB389="","",Human_Data_Entry!BB389)</f>
        <v/>
      </c>
      <c r="L391" s="103">
        <f>IF(Human_Data_Entry!BC389="","",Human_Data_Entry!BC389)</f>
        <v/>
      </c>
      <c r="M391" s="104">
        <f>IF(Human_Data_Entry!BD389="","",Human_Data_Entry!BD389)</f>
        <v/>
      </c>
      <c r="N391" s="104">
        <f>IF(Human_Data_Entry!BE389="","",Human_Data_Entry!BE389)</f>
        <v/>
      </c>
      <c r="O391" s="105">
        <f>IF(Human_Data_Entry!BF389="","",Human_Data_Entry!BF389)</f>
        <v/>
      </c>
      <c r="P391" s="103">
        <f>IF(Human_Data_Entry!BG389="","",Human_Data_Entry!BG389)</f>
        <v/>
      </c>
      <c r="Q391" s="103">
        <f>IF(Human_Data_Entry!BL389="","",Human_Data_Entry!BL389)</f>
        <v/>
      </c>
      <c r="R391" s="103">
        <f>IF(Human_Data_Entry!BH389="","",Human_Data_Entry!BH389)</f>
        <v/>
      </c>
      <c r="S391" s="103">
        <f>IF(Human_Data_Entry!BI389="","",Human_Data_Entry!BI389)</f>
        <v/>
      </c>
      <c r="T391" s="103">
        <f>IF(Human_Data_Entry!BJ389="","",Human_Data_Entry!BJ389)</f>
        <v/>
      </c>
      <c r="U391" s="103">
        <f>IF(Human_Data_Entry!AP389="","",Human_Data_Entry!AP389)</f>
        <v/>
      </c>
      <c r="V391" s="103">
        <f>IF(Human_Data_Entry!AQ389="","",Human_Data_Entry!AQ389)</f>
        <v/>
      </c>
      <c r="W391" s="103">
        <f>IF(Human_Data_Entry!AR389="","",Human_Data_Entry!AR389)</f>
        <v/>
      </c>
      <c r="X391" s="103">
        <f>IF(Human_Data_Entry!BK389="","",Human_Data_Entry!BK389)</f>
        <v/>
      </c>
    </row>
    <row r="392" ht="15" customHeight="1" s="241">
      <c r="A392" s="103">
        <f>IF(Human_Data_Entry!A390="","",Human_Data_Entry!A390)</f>
        <v/>
      </c>
      <c r="B392" s="103">
        <f>IF(Human_Data_Entry!B390="","",Human_Data_Entry!B390)</f>
        <v/>
      </c>
      <c r="C392" s="104">
        <f>IF(Human_Data_Entry!C390="","",Human_Data_Entry!C390)</f>
        <v/>
      </c>
      <c r="D392" s="103">
        <f>IF(Human_Data_Entry!D390="","",Human_Data_Entry!D390)</f>
        <v/>
      </c>
      <c r="E392" s="103">
        <f>IF(Human_Data_Entry!G390="","",Human_Data_Entry!G390)</f>
        <v/>
      </c>
      <c r="F392" s="103">
        <f>IF(Human_Data_Entry!X390="","",Human_Data_Entry!X390)</f>
        <v/>
      </c>
      <c r="G392" s="103">
        <f>IF(Human_Data_Entry!AY390="","",Human_Data_Entry!AY390)</f>
        <v/>
      </c>
      <c r="H392" s="103">
        <f>IF(Human_Data_Entry!AS390="","",Human_Data_Entry!AS390)</f>
        <v/>
      </c>
      <c r="I392" s="103">
        <f>IF(Human_Data_Entry!F390="","",Human_Data_Entry!F390)</f>
        <v/>
      </c>
      <c r="J392" s="103">
        <f>IF(Human_Data_Entry!BA390="","",Human_Data_Entry!BA390)</f>
        <v/>
      </c>
      <c r="K392" s="103">
        <f>IF(Human_Data_Entry!BB390="","",Human_Data_Entry!BB390)</f>
        <v/>
      </c>
      <c r="L392" s="103">
        <f>IF(Human_Data_Entry!BC390="","",Human_Data_Entry!BC390)</f>
        <v/>
      </c>
      <c r="M392" s="104">
        <f>IF(Human_Data_Entry!BD390="","",Human_Data_Entry!BD390)</f>
        <v/>
      </c>
      <c r="N392" s="104">
        <f>IF(Human_Data_Entry!BE390="","",Human_Data_Entry!BE390)</f>
        <v/>
      </c>
      <c r="O392" s="105">
        <f>IF(Human_Data_Entry!BF390="","",Human_Data_Entry!BF390)</f>
        <v/>
      </c>
      <c r="P392" s="103">
        <f>IF(Human_Data_Entry!BG390="","",Human_Data_Entry!BG390)</f>
        <v/>
      </c>
      <c r="Q392" s="103">
        <f>IF(Human_Data_Entry!BL390="","",Human_Data_Entry!BL390)</f>
        <v/>
      </c>
      <c r="R392" s="103">
        <f>IF(Human_Data_Entry!BH390="","",Human_Data_Entry!BH390)</f>
        <v/>
      </c>
      <c r="S392" s="103">
        <f>IF(Human_Data_Entry!BI390="","",Human_Data_Entry!BI390)</f>
        <v/>
      </c>
      <c r="T392" s="103">
        <f>IF(Human_Data_Entry!BJ390="","",Human_Data_Entry!BJ390)</f>
        <v/>
      </c>
      <c r="U392" s="103">
        <f>IF(Human_Data_Entry!AP390="","",Human_Data_Entry!AP390)</f>
        <v/>
      </c>
      <c r="V392" s="103">
        <f>IF(Human_Data_Entry!AQ390="","",Human_Data_Entry!AQ390)</f>
        <v/>
      </c>
      <c r="W392" s="103">
        <f>IF(Human_Data_Entry!AR390="","",Human_Data_Entry!AR390)</f>
        <v/>
      </c>
      <c r="X392" s="103">
        <f>IF(Human_Data_Entry!BK390="","",Human_Data_Entry!BK390)</f>
        <v/>
      </c>
    </row>
    <row r="393" ht="15" customHeight="1" s="241">
      <c r="A393" s="103">
        <f>IF(Human_Data_Entry!A391="","",Human_Data_Entry!A391)</f>
        <v/>
      </c>
      <c r="B393" s="103">
        <f>IF(Human_Data_Entry!B391="","",Human_Data_Entry!B391)</f>
        <v/>
      </c>
      <c r="C393" s="104">
        <f>IF(Human_Data_Entry!C391="","",Human_Data_Entry!C391)</f>
        <v/>
      </c>
      <c r="D393" s="103">
        <f>IF(Human_Data_Entry!D391="","",Human_Data_Entry!D391)</f>
        <v/>
      </c>
      <c r="E393" s="103">
        <f>IF(Human_Data_Entry!G391="","",Human_Data_Entry!G391)</f>
        <v/>
      </c>
      <c r="F393" s="103">
        <f>IF(Human_Data_Entry!X391="","",Human_Data_Entry!X391)</f>
        <v/>
      </c>
      <c r="G393" s="103">
        <f>IF(Human_Data_Entry!AY391="","",Human_Data_Entry!AY391)</f>
        <v/>
      </c>
      <c r="H393" s="103">
        <f>IF(Human_Data_Entry!AS391="","",Human_Data_Entry!AS391)</f>
        <v/>
      </c>
      <c r="I393" s="103">
        <f>IF(Human_Data_Entry!F391="","",Human_Data_Entry!F391)</f>
        <v/>
      </c>
      <c r="J393" s="103">
        <f>IF(Human_Data_Entry!BA391="","",Human_Data_Entry!BA391)</f>
        <v/>
      </c>
      <c r="K393" s="103">
        <f>IF(Human_Data_Entry!BB391="","",Human_Data_Entry!BB391)</f>
        <v/>
      </c>
      <c r="L393" s="103">
        <f>IF(Human_Data_Entry!BC391="","",Human_Data_Entry!BC391)</f>
        <v/>
      </c>
      <c r="M393" s="104">
        <f>IF(Human_Data_Entry!BD391="","",Human_Data_Entry!BD391)</f>
        <v/>
      </c>
      <c r="N393" s="104">
        <f>IF(Human_Data_Entry!BE391="","",Human_Data_Entry!BE391)</f>
        <v/>
      </c>
      <c r="O393" s="105">
        <f>IF(Human_Data_Entry!BF391="","",Human_Data_Entry!BF391)</f>
        <v/>
      </c>
      <c r="P393" s="103">
        <f>IF(Human_Data_Entry!BG391="","",Human_Data_Entry!BG391)</f>
        <v/>
      </c>
      <c r="Q393" s="103">
        <f>IF(Human_Data_Entry!BL391="","",Human_Data_Entry!BL391)</f>
        <v/>
      </c>
      <c r="R393" s="103">
        <f>IF(Human_Data_Entry!BH391="","",Human_Data_Entry!BH391)</f>
        <v/>
      </c>
      <c r="S393" s="103">
        <f>IF(Human_Data_Entry!BI391="","",Human_Data_Entry!BI391)</f>
        <v/>
      </c>
      <c r="T393" s="103">
        <f>IF(Human_Data_Entry!BJ391="","",Human_Data_Entry!BJ391)</f>
        <v/>
      </c>
      <c r="U393" s="103">
        <f>IF(Human_Data_Entry!AP391="","",Human_Data_Entry!AP391)</f>
        <v/>
      </c>
      <c r="V393" s="103">
        <f>IF(Human_Data_Entry!AQ391="","",Human_Data_Entry!AQ391)</f>
        <v/>
      </c>
      <c r="W393" s="103">
        <f>IF(Human_Data_Entry!AR391="","",Human_Data_Entry!AR391)</f>
        <v/>
      </c>
      <c r="X393" s="103">
        <f>IF(Human_Data_Entry!BK391="","",Human_Data_Entry!BK391)</f>
        <v/>
      </c>
    </row>
    <row r="394" ht="15" customHeight="1" s="241">
      <c r="A394" s="103">
        <f>IF(Human_Data_Entry!A392="","",Human_Data_Entry!A392)</f>
        <v/>
      </c>
      <c r="B394" s="103">
        <f>IF(Human_Data_Entry!B392="","",Human_Data_Entry!B392)</f>
        <v/>
      </c>
      <c r="C394" s="104">
        <f>IF(Human_Data_Entry!C392="","",Human_Data_Entry!C392)</f>
        <v/>
      </c>
      <c r="D394" s="103">
        <f>IF(Human_Data_Entry!D392="","",Human_Data_Entry!D392)</f>
        <v/>
      </c>
      <c r="E394" s="103">
        <f>IF(Human_Data_Entry!G392="","",Human_Data_Entry!G392)</f>
        <v/>
      </c>
      <c r="F394" s="103">
        <f>IF(Human_Data_Entry!X392="","",Human_Data_Entry!X392)</f>
        <v/>
      </c>
      <c r="G394" s="103">
        <f>IF(Human_Data_Entry!AY392="","",Human_Data_Entry!AY392)</f>
        <v/>
      </c>
      <c r="H394" s="103">
        <f>IF(Human_Data_Entry!AS392="","",Human_Data_Entry!AS392)</f>
        <v/>
      </c>
      <c r="I394" s="103">
        <f>IF(Human_Data_Entry!F392="","",Human_Data_Entry!F392)</f>
        <v/>
      </c>
      <c r="J394" s="103">
        <f>IF(Human_Data_Entry!BA392="","",Human_Data_Entry!BA392)</f>
        <v/>
      </c>
      <c r="K394" s="103">
        <f>IF(Human_Data_Entry!BB392="","",Human_Data_Entry!BB392)</f>
        <v/>
      </c>
      <c r="L394" s="103">
        <f>IF(Human_Data_Entry!BC392="","",Human_Data_Entry!BC392)</f>
        <v/>
      </c>
      <c r="M394" s="104">
        <f>IF(Human_Data_Entry!BD392="","",Human_Data_Entry!BD392)</f>
        <v/>
      </c>
      <c r="N394" s="104">
        <f>IF(Human_Data_Entry!BE392="","",Human_Data_Entry!BE392)</f>
        <v/>
      </c>
      <c r="O394" s="105">
        <f>IF(Human_Data_Entry!BF392="","",Human_Data_Entry!BF392)</f>
        <v/>
      </c>
      <c r="P394" s="103">
        <f>IF(Human_Data_Entry!BG392="","",Human_Data_Entry!BG392)</f>
        <v/>
      </c>
      <c r="Q394" s="103">
        <f>IF(Human_Data_Entry!BL392="","",Human_Data_Entry!BL392)</f>
        <v/>
      </c>
      <c r="R394" s="103">
        <f>IF(Human_Data_Entry!BH392="","",Human_Data_Entry!BH392)</f>
        <v/>
      </c>
      <c r="S394" s="103">
        <f>IF(Human_Data_Entry!BI392="","",Human_Data_Entry!BI392)</f>
        <v/>
      </c>
      <c r="T394" s="103">
        <f>IF(Human_Data_Entry!BJ392="","",Human_Data_Entry!BJ392)</f>
        <v/>
      </c>
      <c r="U394" s="103">
        <f>IF(Human_Data_Entry!AP392="","",Human_Data_Entry!AP392)</f>
        <v/>
      </c>
      <c r="V394" s="103">
        <f>IF(Human_Data_Entry!AQ392="","",Human_Data_Entry!AQ392)</f>
        <v/>
      </c>
      <c r="W394" s="103">
        <f>IF(Human_Data_Entry!AR392="","",Human_Data_Entry!AR392)</f>
        <v/>
      </c>
      <c r="X394" s="103">
        <f>IF(Human_Data_Entry!BK392="","",Human_Data_Entry!BK392)</f>
        <v/>
      </c>
    </row>
    <row r="395" ht="15" customHeight="1" s="241">
      <c r="A395" s="103">
        <f>IF(Human_Data_Entry!A393="","",Human_Data_Entry!A393)</f>
        <v/>
      </c>
      <c r="B395" s="103">
        <f>IF(Human_Data_Entry!B393="","",Human_Data_Entry!B393)</f>
        <v/>
      </c>
      <c r="C395" s="104">
        <f>IF(Human_Data_Entry!C393="","",Human_Data_Entry!C393)</f>
        <v/>
      </c>
      <c r="D395" s="103">
        <f>IF(Human_Data_Entry!D393="","",Human_Data_Entry!D393)</f>
        <v/>
      </c>
      <c r="E395" s="103">
        <f>IF(Human_Data_Entry!G393="","",Human_Data_Entry!G393)</f>
        <v/>
      </c>
      <c r="F395" s="103">
        <f>IF(Human_Data_Entry!X393="","",Human_Data_Entry!X393)</f>
        <v/>
      </c>
      <c r="G395" s="103">
        <f>IF(Human_Data_Entry!AY393="","",Human_Data_Entry!AY393)</f>
        <v/>
      </c>
      <c r="H395" s="103">
        <f>IF(Human_Data_Entry!AS393="","",Human_Data_Entry!AS393)</f>
        <v/>
      </c>
      <c r="I395" s="103">
        <f>IF(Human_Data_Entry!F393="","",Human_Data_Entry!F393)</f>
        <v/>
      </c>
      <c r="J395" s="103">
        <f>IF(Human_Data_Entry!BA393="","",Human_Data_Entry!BA393)</f>
        <v/>
      </c>
      <c r="K395" s="103">
        <f>IF(Human_Data_Entry!BB393="","",Human_Data_Entry!BB393)</f>
        <v/>
      </c>
      <c r="L395" s="103">
        <f>IF(Human_Data_Entry!BC393="","",Human_Data_Entry!BC393)</f>
        <v/>
      </c>
      <c r="M395" s="104">
        <f>IF(Human_Data_Entry!BD393="","",Human_Data_Entry!BD393)</f>
        <v/>
      </c>
      <c r="N395" s="104">
        <f>IF(Human_Data_Entry!BE393="","",Human_Data_Entry!BE393)</f>
        <v/>
      </c>
      <c r="O395" s="105">
        <f>IF(Human_Data_Entry!BF393="","",Human_Data_Entry!BF393)</f>
        <v/>
      </c>
      <c r="P395" s="103">
        <f>IF(Human_Data_Entry!BG393="","",Human_Data_Entry!BG393)</f>
        <v/>
      </c>
      <c r="Q395" s="103">
        <f>IF(Human_Data_Entry!BL393="","",Human_Data_Entry!BL393)</f>
        <v/>
      </c>
      <c r="R395" s="103">
        <f>IF(Human_Data_Entry!BH393="","",Human_Data_Entry!BH393)</f>
        <v/>
      </c>
      <c r="S395" s="103">
        <f>IF(Human_Data_Entry!BI393="","",Human_Data_Entry!BI393)</f>
        <v/>
      </c>
      <c r="T395" s="103">
        <f>IF(Human_Data_Entry!BJ393="","",Human_Data_Entry!BJ393)</f>
        <v/>
      </c>
      <c r="U395" s="103">
        <f>IF(Human_Data_Entry!AP393="","",Human_Data_Entry!AP393)</f>
        <v/>
      </c>
      <c r="V395" s="103">
        <f>IF(Human_Data_Entry!AQ393="","",Human_Data_Entry!AQ393)</f>
        <v/>
      </c>
      <c r="W395" s="103">
        <f>IF(Human_Data_Entry!AR393="","",Human_Data_Entry!AR393)</f>
        <v/>
      </c>
      <c r="X395" s="103">
        <f>IF(Human_Data_Entry!BK393="","",Human_Data_Entry!BK393)</f>
        <v/>
      </c>
    </row>
    <row r="396" ht="15" customHeight="1" s="241">
      <c r="A396" s="103">
        <f>IF(Human_Data_Entry!A394="","",Human_Data_Entry!A394)</f>
        <v/>
      </c>
      <c r="B396" s="103">
        <f>IF(Human_Data_Entry!B394="","",Human_Data_Entry!B394)</f>
        <v/>
      </c>
      <c r="C396" s="104">
        <f>IF(Human_Data_Entry!C394="","",Human_Data_Entry!C394)</f>
        <v/>
      </c>
      <c r="D396" s="103">
        <f>IF(Human_Data_Entry!D394="","",Human_Data_Entry!D394)</f>
        <v/>
      </c>
      <c r="E396" s="103">
        <f>IF(Human_Data_Entry!G394="","",Human_Data_Entry!G394)</f>
        <v/>
      </c>
      <c r="F396" s="103">
        <f>IF(Human_Data_Entry!X394="","",Human_Data_Entry!X394)</f>
        <v/>
      </c>
      <c r="G396" s="103">
        <f>IF(Human_Data_Entry!AY394="","",Human_Data_Entry!AY394)</f>
        <v/>
      </c>
      <c r="H396" s="103">
        <f>IF(Human_Data_Entry!AS394="","",Human_Data_Entry!AS394)</f>
        <v/>
      </c>
      <c r="I396" s="103">
        <f>IF(Human_Data_Entry!F394="","",Human_Data_Entry!F394)</f>
        <v/>
      </c>
      <c r="J396" s="103">
        <f>IF(Human_Data_Entry!BA394="","",Human_Data_Entry!BA394)</f>
        <v/>
      </c>
      <c r="K396" s="103">
        <f>IF(Human_Data_Entry!BB394="","",Human_Data_Entry!BB394)</f>
        <v/>
      </c>
      <c r="L396" s="103">
        <f>IF(Human_Data_Entry!BC394="","",Human_Data_Entry!BC394)</f>
        <v/>
      </c>
      <c r="M396" s="104">
        <f>IF(Human_Data_Entry!BD394="","",Human_Data_Entry!BD394)</f>
        <v/>
      </c>
      <c r="N396" s="104">
        <f>IF(Human_Data_Entry!BE394="","",Human_Data_Entry!BE394)</f>
        <v/>
      </c>
      <c r="O396" s="105">
        <f>IF(Human_Data_Entry!BF394="","",Human_Data_Entry!BF394)</f>
        <v/>
      </c>
      <c r="P396" s="103">
        <f>IF(Human_Data_Entry!BG394="","",Human_Data_Entry!BG394)</f>
        <v/>
      </c>
      <c r="Q396" s="103">
        <f>IF(Human_Data_Entry!BL394="","",Human_Data_Entry!BL394)</f>
        <v/>
      </c>
      <c r="R396" s="103">
        <f>IF(Human_Data_Entry!BH394="","",Human_Data_Entry!BH394)</f>
        <v/>
      </c>
      <c r="S396" s="103">
        <f>IF(Human_Data_Entry!BI394="","",Human_Data_Entry!BI394)</f>
        <v/>
      </c>
      <c r="T396" s="103">
        <f>IF(Human_Data_Entry!BJ394="","",Human_Data_Entry!BJ394)</f>
        <v/>
      </c>
      <c r="U396" s="103">
        <f>IF(Human_Data_Entry!AP394="","",Human_Data_Entry!AP394)</f>
        <v/>
      </c>
      <c r="V396" s="103">
        <f>IF(Human_Data_Entry!AQ394="","",Human_Data_Entry!AQ394)</f>
        <v/>
      </c>
      <c r="W396" s="103">
        <f>IF(Human_Data_Entry!AR394="","",Human_Data_Entry!AR394)</f>
        <v/>
      </c>
      <c r="X396" s="103">
        <f>IF(Human_Data_Entry!BK394="","",Human_Data_Entry!BK394)</f>
        <v/>
      </c>
    </row>
    <row r="397" ht="15" customHeight="1" s="241">
      <c r="A397" s="103">
        <f>IF(Human_Data_Entry!A395="","",Human_Data_Entry!A395)</f>
        <v/>
      </c>
      <c r="B397" s="103">
        <f>IF(Human_Data_Entry!B395="","",Human_Data_Entry!B395)</f>
        <v/>
      </c>
      <c r="C397" s="104">
        <f>IF(Human_Data_Entry!C395="","",Human_Data_Entry!C395)</f>
        <v/>
      </c>
      <c r="D397" s="103">
        <f>IF(Human_Data_Entry!D395="","",Human_Data_Entry!D395)</f>
        <v/>
      </c>
      <c r="E397" s="103">
        <f>IF(Human_Data_Entry!G395="","",Human_Data_Entry!G395)</f>
        <v/>
      </c>
      <c r="F397" s="103">
        <f>IF(Human_Data_Entry!X395="","",Human_Data_Entry!X395)</f>
        <v/>
      </c>
      <c r="G397" s="103">
        <f>IF(Human_Data_Entry!AY395="","",Human_Data_Entry!AY395)</f>
        <v/>
      </c>
      <c r="H397" s="103">
        <f>IF(Human_Data_Entry!AS395="","",Human_Data_Entry!AS395)</f>
        <v/>
      </c>
      <c r="I397" s="103">
        <f>IF(Human_Data_Entry!F395="","",Human_Data_Entry!F395)</f>
        <v/>
      </c>
      <c r="J397" s="103">
        <f>IF(Human_Data_Entry!BA395="","",Human_Data_Entry!BA395)</f>
        <v/>
      </c>
      <c r="K397" s="103">
        <f>IF(Human_Data_Entry!BB395="","",Human_Data_Entry!BB395)</f>
        <v/>
      </c>
      <c r="L397" s="103">
        <f>IF(Human_Data_Entry!BC395="","",Human_Data_Entry!BC395)</f>
        <v/>
      </c>
      <c r="M397" s="104">
        <f>IF(Human_Data_Entry!BD395="","",Human_Data_Entry!BD395)</f>
        <v/>
      </c>
      <c r="N397" s="104">
        <f>IF(Human_Data_Entry!BE395="","",Human_Data_Entry!BE395)</f>
        <v/>
      </c>
      <c r="O397" s="105">
        <f>IF(Human_Data_Entry!BF395="","",Human_Data_Entry!BF395)</f>
        <v/>
      </c>
      <c r="P397" s="103">
        <f>IF(Human_Data_Entry!BG395="","",Human_Data_Entry!BG395)</f>
        <v/>
      </c>
      <c r="Q397" s="103">
        <f>IF(Human_Data_Entry!BL395="","",Human_Data_Entry!BL395)</f>
        <v/>
      </c>
      <c r="R397" s="103">
        <f>IF(Human_Data_Entry!BH395="","",Human_Data_Entry!BH395)</f>
        <v/>
      </c>
      <c r="S397" s="103">
        <f>IF(Human_Data_Entry!BI395="","",Human_Data_Entry!BI395)</f>
        <v/>
      </c>
      <c r="T397" s="103">
        <f>IF(Human_Data_Entry!BJ395="","",Human_Data_Entry!BJ395)</f>
        <v/>
      </c>
      <c r="U397" s="103">
        <f>IF(Human_Data_Entry!AP395="","",Human_Data_Entry!AP395)</f>
        <v/>
      </c>
      <c r="V397" s="103">
        <f>IF(Human_Data_Entry!AQ395="","",Human_Data_Entry!AQ395)</f>
        <v/>
      </c>
      <c r="W397" s="103">
        <f>IF(Human_Data_Entry!AR395="","",Human_Data_Entry!AR395)</f>
        <v/>
      </c>
      <c r="X397" s="103">
        <f>IF(Human_Data_Entry!BK395="","",Human_Data_Entry!BK395)</f>
        <v/>
      </c>
    </row>
    <row r="398" ht="15" customHeight="1" s="241">
      <c r="A398" s="103">
        <f>IF(Human_Data_Entry!A396="","",Human_Data_Entry!A396)</f>
        <v/>
      </c>
      <c r="B398" s="103">
        <f>IF(Human_Data_Entry!B396="","",Human_Data_Entry!B396)</f>
        <v/>
      </c>
      <c r="C398" s="104">
        <f>IF(Human_Data_Entry!C396="","",Human_Data_Entry!C396)</f>
        <v/>
      </c>
      <c r="D398" s="103">
        <f>IF(Human_Data_Entry!D396="","",Human_Data_Entry!D396)</f>
        <v/>
      </c>
      <c r="E398" s="103">
        <f>IF(Human_Data_Entry!G396="","",Human_Data_Entry!G396)</f>
        <v/>
      </c>
      <c r="F398" s="103">
        <f>IF(Human_Data_Entry!X396="","",Human_Data_Entry!X396)</f>
        <v/>
      </c>
      <c r="G398" s="103">
        <f>IF(Human_Data_Entry!AY396="","",Human_Data_Entry!AY396)</f>
        <v/>
      </c>
      <c r="H398" s="103">
        <f>IF(Human_Data_Entry!AS396="","",Human_Data_Entry!AS396)</f>
        <v/>
      </c>
      <c r="I398" s="103">
        <f>IF(Human_Data_Entry!F396="","",Human_Data_Entry!F396)</f>
        <v/>
      </c>
      <c r="J398" s="103">
        <f>IF(Human_Data_Entry!BA396="","",Human_Data_Entry!BA396)</f>
        <v/>
      </c>
      <c r="K398" s="103">
        <f>IF(Human_Data_Entry!BB396="","",Human_Data_Entry!BB396)</f>
        <v/>
      </c>
      <c r="L398" s="103">
        <f>IF(Human_Data_Entry!BC396="","",Human_Data_Entry!BC396)</f>
        <v/>
      </c>
      <c r="M398" s="104">
        <f>IF(Human_Data_Entry!BD396="","",Human_Data_Entry!BD396)</f>
        <v/>
      </c>
      <c r="N398" s="104">
        <f>IF(Human_Data_Entry!BE396="","",Human_Data_Entry!BE396)</f>
        <v/>
      </c>
      <c r="O398" s="105">
        <f>IF(Human_Data_Entry!BF396="","",Human_Data_Entry!BF396)</f>
        <v/>
      </c>
      <c r="P398" s="103">
        <f>IF(Human_Data_Entry!BG396="","",Human_Data_Entry!BG396)</f>
        <v/>
      </c>
      <c r="Q398" s="103">
        <f>IF(Human_Data_Entry!BL396="","",Human_Data_Entry!BL396)</f>
        <v/>
      </c>
      <c r="R398" s="103">
        <f>IF(Human_Data_Entry!BH396="","",Human_Data_Entry!BH396)</f>
        <v/>
      </c>
      <c r="S398" s="103">
        <f>IF(Human_Data_Entry!BI396="","",Human_Data_Entry!BI396)</f>
        <v/>
      </c>
      <c r="T398" s="103">
        <f>IF(Human_Data_Entry!BJ396="","",Human_Data_Entry!BJ396)</f>
        <v/>
      </c>
      <c r="U398" s="103">
        <f>IF(Human_Data_Entry!AP396="","",Human_Data_Entry!AP396)</f>
        <v/>
      </c>
      <c r="V398" s="103">
        <f>IF(Human_Data_Entry!AQ396="","",Human_Data_Entry!AQ396)</f>
        <v/>
      </c>
      <c r="W398" s="103">
        <f>IF(Human_Data_Entry!AR396="","",Human_Data_Entry!AR396)</f>
        <v/>
      </c>
      <c r="X398" s="103">
        <f>IF(Human_Data_Entry!BK396="","",Human_Data_Entry!BK396)</f>
        <v/>
      </c>
    </row>
    <row r="399" ht="15" customHeight="1" s="241">
      <c r="A399" s="103">
        <f>IF(Human_Data_Entry!A397="","",Human_Data_Entry!A397)</f>
        <v/>
      </c>
      <c r="B399" s="103">
        <f>IF(Human_Data_Entry!B397="","",Human_Data_Entry!B397)</f>
        <v/>
      </c>
      <c r="C399" s="104">
        <f>IF(Human_Data_Entry!C397="","",Human_Data_Entry!C397)</f>
        <v/>
      </c>
      <c r="D399" s="103">
        <f>IF(Human_Data_Entry!D397="","",Human_Data_Entry!D397)</f>
        <v/>
      </c>
      <c r="E399" s="103">
        <f>IF(Human_Data_Entry!G397="","",Human_Data_Entry!G397)</f>
        <v/>
      </c>
      <c r="F399" s="103">
        <f>IF(Human_Data_Entry!X397="","",Human_Data_Entry!X397)</f>
        <v/>
      </c>
      <c r="G399" s="103">
        <f>IF(Human_Data_Entry!AY397="","",Human_Data_Entry!AY397)</f>
        <v/>
      </c>
      <c r="H399" s="103">
        <f>IF(Human_Data_Entry!AS397="","",Human_Data_Entry!AS397)</f>
        <v/>
      </c>
      <c r="I399" s="103">
        <f>IF(Human_Data_Entry!F397="","",Human_Data_Entry!F397)</f>
        <v/>
      </c>
      <c r="J399" s="103">
        <f>IF(Human_Data_Entry!BA397="","",Human_Data_Entry!BA397)</f>
        <v/>
      </c>
      <c r="K399" s="103">
        <f>IF(Human_Data_Entry!BB397="","",Human_Data_Entry!BB397)</f>
        <v/>
      </c>
      <c r="L399" s="103">
        <f>IF(Human_Data_Entry!BC397="","",Human_Data_Entry!BC397)</f>
        <v/>
      </c>
      <c r="M399" s="104">
        <f>IF(Human_Data_Entry!BD397="","",Human_Data_Entry!BD397)</f>
        <v/>
      </c>
      <c r="N399" s="104">
        <f>IF(Human_Data_Entry!BE397="","",Human_Data_Entry!BE397)</f>
        <v/>
      </c>
      <c r="O399" s="105">
        <f>IF(Human_Data_Entry!BF397="","",Human_Data_Entry!BF397)</f>
        <v/>
      </c>
      <c r="P399" s="103">
        <f>IF(Human_Data_Entry!BG397="","",Human_Data_Entry!BG397)</f>
        <v/>
      </c>
      <c r="Q399" s="103">
        <f>IF(Human_Data_Entry!BL397="","",Human_Data_Entry!BL397)</f>
        <v/>
      </c>
      <c r="R399" s="103">
        <f>IF(Human_Data_Entry!BH397="","",Human_Data_Entry!BH397)</f>
        <v/>
      </c>
      <c r="S399" s="103">
        <f>IF(Human_Data_Entry!BI397="","",Human_Data_Entry!BI397)</f>
        <v/>
      </c>
      <c r="T399" s="103">
        <f>IF(Human_Data_Entry!BJ397="","",Human_Data_Entry!BJ397)</f>
        <v/>
      </c>
      <c r="U399" s="103">
        <f>IF(Human_Data_Entry!AP397="","",Human_Data_Entry!AP397)</f>
        <v/>
      </c>
      <c r="V399" s="103">
        <f>IF(Human_Data_Entry!AQ397="","",Human_Data_Entry!AQ397)</f>
        <v/>
      </c>
      <c r="W399" s="103">
        <f>IF(Human_Data_Entry!AR397="","",Human_Data_Entry!AR397)</f>
        <v/>
      </c>
      <c r="X399" s="103">
        <f>IF(Human_Data_Entry!BK397="","",Human_Data_Entry!BK397)</f>
        <v/>
      </c>
    </row>
    <row r="400" ht="15" customHeight="1" s="241">
      <c r="A400" s="103">
        <f>IF(Human_Data_Entry!A398="","",Human_Data_Entry!A398)</f>
        <v/>
      </c>
      <c r="B400" s="103">
        <f>IF(Human_Data_Entry!B398="","",Human_Data_Entry!B398)</f>
        <v/>
      </c>
      <c r="C400" s="104">
        <f>IF(Human_Data_Entry!C398="","",Human_Data_Entry!C398)</f>
        <v/>
      </c>
      <c r="D400" s="103">
        <f>IF(Human_Data_Entry!D398="","",Human_Data_Entry!D398)</f>
        <v/>
      </c>
      <c r="E400" s="103">
        <f>IF(Human_Data_Entry!G398="","",Human_Data_Entry!G398)</f>
        <v/>
      </c>
      <c r="F400" s="103">
        <f>IF(Human_Data_Entry!X398="","",Human_Data_Entry!X398)</f>
        <v/>
      </c>
      <c r="G400" s="103">
        <f>IF(Human_Data_Entry!AY398="","",Human_Data_Entry!AY398)</f>
        <v/>
      </c>
      <c r="H400" s="103">
        <f>IF(Human_Data_Entry!AS398="","",Human_Data_Entry!AS398)</f>
        <v/>
      </c>
      <c r="I400" s="103">
        <f>IF(Human_Data_Entry!F398="","",Human_Data_Entry!F398)</f>
        <v/>
      </c>
      <c r="J400" s="103">
        <f>IF(Human_Data_Entry!BA398="","",Human_Data_Entry!BA398)</f>
        <v/>
      </c>
      <c r="K400" s="103">
        <f>IF(Human_Data_Entry!BB398="","",Human_Data_Entry!BB398)</f>
        <v/>
      </c>
      <c r="L400" s="103">
        <f>IF(Human_Data_Entry!BC398="","",Human_Data_Entry!BC398)</f>
        <v/>
      </c>
      <c r="M400" s="104">
        <f>IF(Human_Data_Entry!BD398="","",Human_Data_Entry!BD398)</f>
        <v/>
      </c>
      <c r="N400" s="104">
        <f>IF(Human_Data_Entry!BE398="","",Human_Data_Entry!BE398)</f>
        <v/>
      </c>
      <c r="O400" s="105">
        <f>IF(Human_Data_Entry!BF398="","",Human_Data_Entry!BF398)</f>
        <v/>
      </c>
      <c r="P400" s="103">
        <f>IF(Human_Data_Entry!BG398="","",Human_Data_Entry!BG398)</f>
        <v/>
      </c>
      <c r="Q400" s="103">
        <f>IF(Human_Data_Entry!BL398="","",Human_Data_Entry!BL398)</f>
        <v/>
      </c>
      <c r="R400" s="103">
        <f>IF(Human_Data_Entry!BH398="","",Human_Data_Entry!BH398)</f>
        <v/>
      </c>
      <c r="S400" s="103">
        <f>IF(Human_Data_Entry!BI398="","",Human_Data_Entry!BI398)</f>
        <v/>
      </c>
      <c r="T400" s="103">
        <f>IF(Human_Data_Entry!BJ398="","",Human_Data_Entry!BJ398)</f>
        <v/>
      </c>
      <c r="U400" s="103">
        <f>IF(Human_Data_Entry!AP398="","",Human_Data_Entry!AP398)</f>
        <v/>
      </c>
      <c r="V400" s="103">
        <f>IF(Human_Data_Entry!AQ398="","",Human_Data_Entry!AQ398)</f>
        <v/>
      </c>
      <c r="W400" s="103">
        <f>IF(Human_Data_Entry!AR398="","",Human_Data_Entry!AR398)</f>
        <v/>
      </c>
      <c r="X400" s="103">
        <f>IF(Human_Data_Entry!BK398="","",Human_Data_Entry!BK398)</f>
        <v/>
      </c>
    </row>
    <row r="401" ht="15" customHeight="1" s="241">
      <c r="A401" s="103">
        <f>IF(Human_Data_Entry!A399="","",Human_Data_Entry!A399)</f>
        <v/>
      </c>
      <c r="B401" s="103">
        <f>IF(Human_Data_Entry!B399="","",Human_Data_Entry!B399)</f>
        <v/>
      </c>
      <c r="C401" s="104">
        <f>IF(Human_Data_Entry!C399="","",Human_Data_Entry!C399)</f>
        <v/>
      </c>
      <c r="D401" s="103">
        <f>IF(Human_Data_Entry!D399="","",Human_Data_Entry!D399)</f>
        <v/>
      </c>
      <c r="E401" s="103">
        <f>IF(Human_Data_Entry!G399="","",Human_Data_Entry!G399)</f>
        <v/>
      </c>
      <c r="F401" s="103">
        <f>IF(Human_Data_Entry!X399="","",Human_Data_Entry!X399)</f>
        <v/>
      </c>
      <c r="G401" s="103">
        <f>IF(Human_Data_Entry!AY399="","",Human_Data_Entry!AY399)</f>
        <v/>
      </c>
      <c r="H401" s="103">
        <f>IF(Human_Data_Entry!AS399="","",Human_Data_Entry!AS399)</f>
        <v/>
      </c>
      <c r="I401" s="103">
        <f>IF(Human_Data_Entry!F399="","",Human_Data_Entry!F399)</f>
        <v/>
      </c>
      <c r="J401" s="103">
        <f>IF(Human_Data_Entry!BA399="","",Human_Data_Entry!BA399)</f>
        <v/>
      </c>
      <c r="K401" s="103">
        <f>IF(Human_Data_Entry!BB399="","",Human_Data_Entry!BB399)</f>
        <v/>
      </c>
      <c r="L401" s="103">
        <f>IF(Human_Data_Entry!BC399="","",Human_Data_Entry!BC399)</f>
        <v/>
      </c>
      <c r="M401" s="104">
        <f>IF(Human_Data_Entry!BD399="","",Human_Data_Entry!BD399)</f>
        <v/>
      </c>
      <c r="N401" s="104">
        <f>IF(Human_Data_Entry!BE399="","",Human_Data_Entry!BE399)</f>
        <v/>
      </c>
      <c r="O401" s="105">
        <f>IF(Human_Data_Entry!BF399="","",Human_Data_Entry!BF399)</f>
        <v/>
      </c>
      <c r="P401" s="103">
        <f>IF(Human_Data_Entry!BG399="","",Human_Data_Entry!BG399)</f>
        <v/>
      </c>
      <c r="Q401" s="103">
        <f>IF(Human_Data_Entry!BL399="","",Human_Data_Entry!BL399)</f>
        <v/>
      </c>
      <c r="R401" s="103">
        <f>IF(Human_Data_Entry!BH399="","",Human_Data_Entry!BH399)</f>
        <v/>
      </c>
      <c r="S401" s="103">
        <f>IF(Human_Data_Entry!BI399="","",Human_Data_Entry!BI399)</f>
        <v/>
      </c>
      <c r="T401" s="103">
        <f>IF(Human_Data_Entry!BJ399="","",Human_Data_Entry!BJ399)</f>
        <v/>
      </c>
      <c r="U401" s="103">
        <f>IF(Human_Data_Entry!AP399="","",Human_Data_Entry!AP399)</f>
        <v/>
      </c>
      <c r="V401" s="103">
        <f>IF(Human_Data_Entry!AQ399="","",Human_Data_Entry!AQ399)</f>
        <v/>
      </c>
      <c r="W401" s="103">
        <f>IF(Human_Data_Entry!AR399="","",Human_Data_Entry!AR399)</f>
        <v/>
      </c>
      <c r="X401" s="103">
        <f>IF(Human_Data_Entry!BK399="","",Human_Data_Entry!BK399)</f>
        <v/>
      </c>
    </row>
    <row r="402" ht="15" customHeight="1" s="241">
      <c r="A402" s="103">
        <f>IF(Human_Data_Entry!A400="","",Human_Data_Entry!A400)</f>
        <v/>
      </c>
      <c r="B402" s="103">
        <f>IF(Human_Data_Entry!B400="","",Human_Data_Entry!B400)</f>
        <v/>
      </c>
      <c r="C402" s="104">
        <f>IF(Human_Data_Entry!C400="","",Human_Data_Entry!C400)</f>
        <v/>
      </c>
      <c r="D402" s="103">
        <f>IF(Human_Data_Entry!D400="","",Human_Data_Entry!D400)</f>
        <v/>
      </c>
      <c r="E402" s="103">
        <f>IF(Human_Data_Entry!G400="","",Human_Data_Entry!G400)</f>
        <v/>
      </c>
      <c r="F402" s="103">
        <f>IF(Human_Data_Entry!X400="","",Human_Data_Entry!X400)</f>
        <v/>
      </c>
      <c r="G402" s="103">
        <f>IF(Human_Data_Entry!AY400="","",Human_Data_Entry!AY400)</f>
        <v/>
      </c>
      <c r="H402" s="103">
        <f>IF(Human_Data_Entry!AS400="","",Human_Data_Entry!AS400)</f>
        <v/>
      </c>
      <c r="I402" s="103">
        <f>IF(Human_Data_Entry!F400="","",Human_Data_Entry!F400)</f>
        <v/>
      </c>
      <c r="J402" s="103">
        <f>IF(Human_Data_Entry!BA400="","",Human_Data_Entry!BA400)</f>
        <v/>
      </c>
      <c r="K402" s="103">
        <f>IF(Human_Data_Entry!BB400="","",Human_Data_Entry!BB400)</f>
        <v/>
      </c>
      <c r="L402" s="103">
        <f>IF(Human_Data_Entry!BC400="","",Human_Data_Entry!BC400)</f>
        <v/>
      </c>
      <c r="M402" s="104">
        <f>IF(Human_Data_Entry!BD400="","",Human_Data_Entry!BD400)</f>
        <v/>
      </c>
      <c r="N402" s="104">
        <f>IF(Human_Data_Entry!BE400="","",Human_Data_Entry!BE400)</f>
        <v/>
      </c>
      <c r="O402" s="105">
        <f>IF(Human_Data_Entry!BF400="","",Human_Data_Entry!BF400)</f>
        <v/>
      </c>
      <c r="P402" s="103">
        <f>IF(Human_Data_Entry!BG400="","",Human_Data_Entry!BG400)</f>
        <v/>
      </c>
      <c r="Q402" s="103">
        <f>IF(Human_Data_Entry!BL400="","",Human_Data_Entry!BL400)</f>
        <v/>
      </c>
      <c r="R402" s="103">
        <f>IF(Human_Data_Entry!BH400="","",Human_Data_Entry!BH400)</f>
        <v/>
      </c>
      <c r="S402" s="103">
        <f>IF(Human_Data_Entry!BI400="","",Human_Data_Entry!BI400)</f>
        <v/>
      </c>
      <c r="T402" s="103">
        <f>IF(Human_Data_Entry!BJ400="","",Human_Data_Entry!BJ400)</f>
        <v/>
      </c>
      <c r="U402" s="103">
        <f>IF(Human_Data_Entry!AP400="","",Human_Data_Entry!AP400)</f>
        <v/>
      </c>
      <c r="V402" s="103">
        <f>IF(Human_Data_Entry!AQ400="","",Human_Data_Entry!AQ400)</f>
        <v/>
      </c>
      <c r="W402" s="103">
        <f>IF(Human_Data_Entry!AR400="","",Human_Data_Entry!AR400)</f>
        <v/>
      </c>
      <c r="X402" s="103">
        <f>IF(Human_Data_Entry!BK400="","",Human_Data_Entry!BK400)</f>
        <v/>
      </c>
    </row>
    <row r="403" ht="15" customHeight="1" s="241">
      <c r="A403" s="103">
        <f>IF(Human_Data_Entry!A401="","",Human_Data_Entry!A401)</f>
        <v/>
      </c>
      <c r="B403" s="103">
        <f>IF(Human_Data_Entry!B401="","",Human_Data_Entry!B401)</f>
        <v/>
      </c>
      <c r="C403" s="104">
        <f>IF(Human_Data_Entry!C401="","",Human_Data_Entry!C401)</f>
        <v/>
      </c>
      <c r="D403" s="103">
        <f>IF(Human_Data_Entry!D401="","",Human_Data_Entry!D401)</f>
        <v/>
      </c>
      <c r="E403" s="103">
        <f>IF(Human_Data_Entry!G401="","",Human_Data_Entry!G401)</f>
        <v/>
      </c>
      <c r="F403" s="103">
        <f>IF(Human_Data_Entry!X401="","",Human_Data_Entry!X401)</f>
        <v/>
      </c>
      <c r="G403" s="103">
        <f>IF(Human_Data_Entry!AY401="","",Human_Data_Entry!AY401)</f>
        <v/>
      </c>
      <c r="H403" s="103">
        <f>IF(Human_Data_Entry!AS401="","",Human_Data_Entry!AS401)</f>
        <v/>
      </c>
      <c r="I403" s="103">
        <f>IF(Human_Data_Entry!F401="","",Human_Data_Entry!F401)</f>
        <v/>
      </c>
      <c r="J403" s="103">
        <f>IF(Human_Data_Entry!BA401="","",Human_Data_Entry!BA401)</f>
        <v/>
      </c>
      <c r="K403" s="103">
        <f>IF(Human_Data_Entry!BB401="","",Human_Data_Entry!BB401)</f>
        <v/>
      </c>
      <c r="L403" s="103">
        <f>IF(Human_Data_Entry!BC401="","",Human_Data_Entry!BC401)</f>
        <v/>
      </c>
      <c r="M403" s="104">
        <f>IF(Human_Data_Entry!BD401="","",Human_Data_Entry!BD401)</f>
        <v/>
      </c>
      <c r="N403" s="104">
        <f>IF(Human_Data_Entry!BE401="","",Human_Data_Entry!BE401)</f>
        <v/>
      </c>
      <c r="O403" s="105">
        <f>IF(Human_Data_Entry!BF401="","",Human_Data_Entry!BF401)</f>
        <v/>
      </c>
      <c r="P403" s="103">
        <f>IF(Human_Data_Entry!BG401="","",Human_Data_Entry!BG401)</f>
        <v/>
      </c>
      <c r="Q403" s="103">
        <f>IF(Human_Data_Entry!BL401="","",Human_Data_Entry!BL401)</f>
        <v/>
      </c>
      <c r="R403" s="103">
        <f>IF(Human_Data_Entry!BH401="","",Human_Data_Entry!BH401)</f>
        <v/>
      </c>
      <c r="S403" s="103">
        <f>IF(Human_Data_Entry!BI401="","",Human_Data_Entry!BI401)</f>
        <v/>
      </c>
      <c r="T403" s="103">
        <f>IF(Human_Data_Entry!BJ401="","",Human_Data_Entry!BJ401)</f>
        <v/>
      </c>
      <c r="U403" s="103">
        <f>IF(Human_Data_Entry!AP401="","",Human_Data_Entry!AP401)</f>
        <v/>
      </c>
      <c r="V403" s="103">
        <f>IF(Human_Data_Entry!AQ401="","",Human_Data_Entry!AQ401)</f>
        <v/>
      </c>
      <c r="W403" s="103">
        <f>IF(Human_Data_Entry!AR401="","",Human_Data_Entry!AR401)</f>
        <v/>
      </c>
      <c r="X403" s="103">
        <f>IF(Human_Data_Entry!BK401="","",Human_Data_Entry!BK401)</f>
        <v/>
      </c>
    </row>
    <row r="404" ht="15" customHeight="1" s="241">
      <c r="A404" s="103">
        <f>IF(Human_Data_Entry!A402="","",Human_Data_Entry!A402)</f>
        <v/>
      </c>
      <c r="B404" s="103">
        <f>IF(Human_Data_Entry!B402="","",Human_Data_Entry!B402)</f>
        <v/>
      </c>
      <c r="C404" s="104">
        <f>IF(Human_Data_Entry!C402="","",Human_Data_Entry!C402)</f>
        <v/>
      </c>
      <c r="D404" s="103">
        <f>IF(Human_Data_Entry!D402="","",Human_Data_Entry!D402)</f>
        <v/>
      </c>
      <c r="E404" s="103">
        <f>IF(Human_Data_Entry!G402="","",Human_Data_Entry!G402)</f>
        <v/>
      </c>
      <c r="F404" s="103">
        <f>IF(Human_Data_Entry!X402="","",Human_Data_Entry!X402)</f>
        <v/>
      </c>
      <c r="G404" s="103">
        <f>IF(Human_Data_Entry!AY402="","",Human_Data_Entry!AY402)</f>
        <v/>
      </c>
      <c r="H404" s="103">
        <f>IF(Human_Data_Entry!AS402="","",Human_Data_Entry!AS402)</f>
        <v/>
      </c>
      <c r="I404" s="103">
        <f>IF(Human_Data_Entry!F402="","",Human_Data_Entry!F402)</f>
        <v/>
      </c>
      <c r="J404" s="103">
        <f>IF(Human_Data_Entry!BA402="","",Human_Data_Entry!BA402)</f>
        <v/>
      </c>
      <c r="K404" s="103">
        <f>IF(Human_Data_Entry!BB402="","",Human_Data_Entry!BB402)</f>
        <v/>
      </c>
      <c r="L404" s="103">
        <f>IF(Human_Data_Entry!BC402="","",Human_Data_Entry!BC402)</f>
        <v/>
      </c>
      <c r="M404" s="104">
        <f>IF(Human_Data_Entry!BD402="","",Human_Data_Entry!BD402)</f>
        <v/>
      </c>
      <c r="N404" s="104">
        <f>IF(Human_Data_Entry!BE402="","",Human_Data_Entry!BE402)</f>
        <v/>
      </c>
      <c r="O404" s="105">
        <f>IF(Human_Data_Entry!BF402="","",Human_Data_Entry!BF402)</f>
        <v/>
      </c>
      <c r="P404" s="103">
        <f>IF(Human_Data_Entry!BG402="","",Human_Data_Entry!BG402)</f>
        <v/>
      </c>
      <c r="Q404" s="103">
        <f>IF(Human_Data_Entry!BL402="","",Human_Data_Entry!BL402)</f>
        <v/>
      </c>
      <c r="R404" s="103">
        <f>IF(Human_Data_Entry!BH402="","",Human_Data_Entry!BH402)</f>
        <v/>
      </c>
      <c r="S404" s="103">
        <f>IF(Human_Data_Entry!BI402="","",Human_Data_Entry!BI402)</f>
        <v/>
      </c>
      <c r="T404" s="103">
        <f>IF(Human_Data_Entry!BJ402="","",Human_Data_Entry!BJ402)</f>
        <v/>
      </c>
      <c r="U404" s="103">
        <f>IF(Human_Data_Entry!AP402="","",Human_Data_Entry!AP402)</f>
        <v/>
      </c>
      <c r="V404" s="103">
        <f>IF(Human_Data_Entry!AQ402="","",Human_Data_Entry!AQ402)</f>
        <v/>
      </c>
      <c r="W404" s="103">
        <f>IF(Human_Data_Entry!AR402="","",Human_Data_Entry!AR402)</f>
        <v/>
      </c>
      <c r="X404" s="103">
        <f>IF(Human_Data_Entry!BK402="","",Human_Data_Entry!BK402)</f>
        <v/>
      </c>
    </row>
    <row r="405" ht="15" customHeight="1" s="241">
      <c r="A405" s="103">
        <f>IF(Human_Data_Entry!A403="","",Human_Data_Entry!A403)</f>
        <v/>
      </c>
      <c r="B405" s="103">
        <f>IF(Human_Data_Entry!B403="","",Human_Data_Entry!B403)</f>
        <v/>
      </c>
      <c r="C405" s="104">
        <f>IF(Human_Data_Entry!C403="","",Human_Data_Entry!C403)</f>
        <v/>
      </c>
      <c r="D405" s="103">
        <f>IF(Human_Data_Entry!D403="","",Human_Data_Entry!D403)</f>
        <v/>
      </c>
      <c r="E405" s="103">
        <f>IF(Human_Data_Entry!G403="","",Human_Data_Entry!G403)</f>
        <v/>
      </c>
      <c r="F405" s="103">
        <f>IF(Human_Data_Entry!X403="","",Human_Data_Entry!X403)</f>
        <v/>
      </c>
      <c r="G405" s="103">
        <f>IF(Human_Data_Entry!AY403="","",Human_Data_Entry!AY403)</f>
        <v/>
      </c>
      <c r="H405" s="103">
        <f>IF(Human_Data_Entry!AS403="","",Human_Data_Entry!AS403)</f>
        <v/>
      </c>
      <c r="I405" s="103">
        <f>IF(Human_Data_Entry!F403="","",Human_Data_Entry!F403)</f>
        <v/>
      </c>
      <c r="J405" s="103">
        <f>IF(Human_Data_Entry!BA403="","",Human_Data_Entry!BA403)</f>
        <v/>
      </c>
      <c r="K405" s="103">
        <f>IF(Human_Data_Entry!BB403="","",Human_Data_Entry!BB403)</f>
        <v/>
      </c>
      <c r="L405" s="103">
        <f>IF(Human_Data_Entry!BC403="","",Human_Data_Entry!BC403)</f>
        <v/>
      </c>
      <c r="M405" s="104">
        <f>IF(Human_Data_Entry!BD403="","",Human_Data_Entry!BD403)</f>
        <v/>
      </c>
      <c r="N405" s="104">
        <f>IF(Human_Data_Entry!BE403="","",Human_Data_Entry!BE403)</f>
        <v/>
      </c>
      <c r="O405" s="105">
        <f>IF(Human_Data_Entry!BF403="","",Human_Data_Entry!BF403)</f>
        <v/>
      </c>
      <c r="P405" s="103">
        <f>IF(Human_Data_Entry!BG403="","",Human_Data_Entry!BG403)</f>
        <v/>
      </c>
      <c r="Q405" s="103">
        <f>IF(Human_Data_Entry!BL403="","",Human_Data_Entry!BL403)</f>
        <v/>
      </c>
      <c r="R405" s="103">
        <f>IF(Human_Data_Entry!BH403="","",Human_Data_Entry!BH403)</f>
        <v/>
      </c>
      <c r="S405" s="103">
        <f>IF(Human_Data_Entry!BI403="","",Human_Data_Entry!BI403)</f>
        <v/>
      </c>
      <c r="T405" s="103">
        <f>IF(Human_Data_Entry!BJ403="","",Human_Data_Entry!BJ403)</f>
        <v/>
      </c>
      <c r="U405" s="103">
        <f>IF(Human_Data_Entry!AP403="","",Human_Data_Entry!AP403)</f>
        <v/>
      </c>
      <c r="V405" s="103">
        <f>IF(Human_Data_Entry!AQ403="","",Human_Data_Entry!AQ403)</f>
        <v/>
      </c>
      <c r="W405" s="103">
        <f>IF(Human_Data_Entry!AR403="","",Human_Data_Entry!AR403)</f>
        <v/>
      </c>
      <c r="X405" s="103">
        <f>IF(Human_Data_Entry!BK403="","",Human_Data_Entry!BK403)</f>
        <v/>
      </c>
    </row>
    <row r="406" ht="15" customHeight="1" s="241">
      <c r="A406" s="103">
        <f>IF(Human_Data_Entry!A404="","",Human_Data_Entry!A404)</f>
        <v/>
      </c>
      <c r="B406" s="103">
        <f>IF(Human_Data_Entry!B404="","",Human_Data_Entry!B404)</f>
        <v/>
      </c>
      <c r="C406" s="104">
        <f>IF(Human_Data_Entry!C404="","",Human_Data_Entry!C404)</f>
        <v/>
      </c>
      <c r="D406" s="103">
        <f>IF(Human_Data_Entry!D404="","",Human_Data_Entry!D404)</f>
        <v/>
      </c>
      <c r="E406" s="103">
        <f>IF(Human_Data_Entry!G404="","",Human_Data_Entry!G404)</f>
        <v/>
      </c>
      <c r="F406" s="103">
        <f>IF(Human_Data_Entry!X404="","",Human_Data_Entry!X404)</f>
        <v/>
      </c>
      <c r="G406" s="103">
        <f>IF(Human_Data_Entry!AY404="","",Human_Data_Entry!AY404)</f>
        <v/>
      </c>
      <c r="H406" s="103">
        <f>IF(Human_Data_Entry!AS404="","",Human_Data_Entry!AS404)</f>
        <v/>
      </c>
      <c r="I406" s="103">
        <f>IF(Human_Data_Entry!F404="","",Human_Data_Entry!F404)</f>
        <v/>
      </c>
      <c r="J406" s="103">
        <f>IF(Human_Data_Entry!BA404="","",Human_Data_Entry!BA404)</f>
        <v/>
      </c>
      <c r="K406" s="103">
        <f>IF(Human_Data_Entry!BB404="","",Human_Data_Entry!BB404)</f>
        <v/>
      </c>
      <c r="L406" s="103">
        <f>IF(Human_Data_Entry!BC404="","",Human_Data_Entry!BC404)</f>
        <v/>
      </c>
      <c r="M406" s="104">
        <f>IF(Human_Data_Entry!BD404="","",Human_Data_Entry!BD404)</f>
        <v/>
      </c>
      <c r="N406" s="104">
        <f>IF(Human_Data_Entry!BE404="","",Human_Data_Entry!BE404)</f>
        <v/>
      </c>
      <c r="O406" s="105">
        <f>IF(Human_Data_Entry!BF404="","",Human_Data_Entry!BF404)</f>
        <v/>
      </c>
      <c r="P406" s="103">
        <f>IF(Human_Data_Entry!BG404="","",Human_Data_Entry!BG404)</f>
        <v/>
      </c>
      <c r="Q406" s="103">
        <f>IF(Human_Data_Entry!BL404="","",Human_Data_Entry!BL404)</f>
        <v/>
      </c>
      <c r="R406" s="103">
        <f>IF(Human_Data_Entry!BH404="","",Human_Data_Entry!BH404)</f>
        <v/>
      </c>
      <c r="S406" s="103">
        <f>IF(Human_Data_Entry!BI404="","",Human_Data_Entry!BI404)</f>
        <v/>
      </c>
      <c r="T406" s="103">
        <f>IF(Human_Data_Entry!BJ404="","",Human_Data_Entry!BJ404)</f>
        <v/>
      </c>
      <c r="U406" s="103">
        <f>IF(Human_Data_Entry!AP404="","",Human_Data_Entry!AP404)</f>
        <v/>
      </c>
      <c r="V406" s="103">
        <f>IF(Human_Data_Entry!AQ404="","",Human_Data_Entry!AQ404)</f>
        <v/>
      </c>
      <c r="W406" s="103">
        <f>IF(Human_Data_Entry!AR404="","",Human_Data_Entry!AR404)</f>
        <v/>
      </c>
      <c r="X406" s="103">
        <f>IF(Human_Data_Entry!BK404="","",Human_Data_Entry!BK404)</f>
        <v/>
      </c>
    </row>
    <row r="407" ht="15" customHeight="1" s="241">
      <c r="A407" s="103">
        <f>IF(Human_Data_Entry!A405="","",Human_Data_Entry!A405)</f>
        <v/>
      </c>
      <c r="B407" s="103">
        <f>IF(Human_Data_Entry!B405="","",Human_Data_Entry!B405)</f>
        <v/>
      </c>
      <c r="C407" s="104">
        <f>IF(Human_Data_Entry!C405="","",Human_Data_Entry!C405)</f>
        <v/>
      </c>
      <c r="D407" s="103">
        <f>IF(Human_Data_Entry!D405="","",Human_Data_Entry!D405)</f>
        <v/>
      </c>
      <c r="E407" s="103">
        <f>IF(Human_Data_Entry!G405="","",Human_Data_Entry!G405)</f>
        <v/>
      </c>
      <c r="F407" s="103">
        <f>IF(Human_Data_Entry!X405="","",Human_Data_Entry!X405)</f>
        <v/>
      </c>
      <c r="G407" s="103">
        <f>IF(Human_Data_Entry!AY405="","",Human_Data_Entry!AY405)</f>
        <v/>
      </c>
      <c r="H407" s="103">
        <f>IF(Human_Data_Entry!AS405="","",Human_Data_Entry!AS405)</f>
        <v/>
      </c>
      <c r="I407" s="103">
        <f>IF(Human_Data_Entry!F405="","",Human_Data_Entry!F405)</f>
        <v/>
      </c>
      <c r="J407" s="103">
        <f>IF(Human_Data_Entry!BA405="","",Human_Data_Entry!BA405)</f>
        <v/>
      </c>
      <c r="K407" s="103">
        <f>IF(Human_Data_Entry!BB405="","",Human_Data_Entry!BB405)</f>
        <v/>
      </c>
      <c r="L407" s="103">
        <f>IF(Human_Data_Entry!BC405="","",Human_Data_Entry!BC405)</f>
        <v/>
      </c>
      <c r="M407" s="104">
        <f>IF(Human_Data_Entry!BD405="","",Human_Data_Entry!BD405)</f>
        <v/>
      </c>
      <c r="N407" s="104">
        <f>IF(Human_Data_Entry!BE405="","",Human_Data_Entry!BE405)</f>
        <v/>
      </c>
      <c r="O407" s="105">
        <f>IF(Human_Data_Entry!BF405="","",Human_Data_Entry!BF405)</f>
        <v/>
      </c>
      <c r="P407" s="103">
        <f>IF(Human_Data_Entry!BG405="","",Human_Data_Entry!BG405)</f>
        <v/>
      </c>
      <c r="Q407" s="103">
        <f>IF(Human_Data_Entry!BL405="","",Human_Data_Entry!BL405)</f>
        <v/>
      </c>
      <c r="R407" s="103">
        <f>IF(Human_Data_Entry!BH405="","",Human_Data_Entry!BH405)</f>
        <v/>
      </c>
      <c r="S407" s="103">
        <f>IF(Human_Data_Entry!BI405="","",Human_Data_Entry!BI405)</f>
        <v/>
      </c>
      <c r="T407" s="103">
        <f>IF(Human_Data_Entry!BJ405="","",Human_Data_Entry!BJ405)</f>
        <v/>
      </c>
      <c r="U407" s="103">
        <f>IF(Human_Data_Entry!AP405="","",Human_Data_Entry!AP405)</f>
        <v/>
      </c>
      <c r="V407" s="103">
        <f>IF(Human_Data_Entry!AQ405="","",Human_Data_Entry!AQ405)</f>
        <v/>
      </c>
      <c r="W407" s="103">
        <f>IF(Human_Data_Entry!AR405="","",Human_Data_Entry!AR405)</f>
        <v/>
      </c>
      <c r="X407" s="103">
        <f>IF(Human_Data_Entry!BK405="","",Human_Data_Entry!BK405)</f>
        <v/>
      </c>
    </row>
    <row r="408" ht="15" customHeight="1" s="241">
      <c r="A408" s="103">
        <f>IF(Human_Data_Entry!A406="","",Human_Data_Entry!A406)</f>
        <v/>
      </c>
      <c r="B408" s="103">
        <f>IF(Human_Data_Entry!B406="","",Human_Data_Entry!B406)</f>
        <v/>
      </c>
      <c r="C408" s="104">
        <f>IF(Human_Data_Entry!C406="","",Human_Data_Entry!C406)</f>
        <v/>
      </c>
      <c r="D408" s="103">
        <f>IF(Human_Data_Entry!D406="","",Human_Data_Entry!D406)</f>
        <v/>
      </c>
      <c r="E408" s="103">
        <f>IF(Human_Data_Entry!G406="","",Human_Data_Entry!G406)</f>
        <v/>
      </c>
      <c r="F408" s="103">
        <f>IF(Human_Data_Entry!X406="","",Human_Data_Entry!X406)</f>
        <v/>
      </c>
      <c r="G408" s="103">
        <f>IF(Human_Data_Entry!AY406="","",Human_Data_Entry!AY406)</f>
        <v/>
      </c>
      <c r="H408" s="103">
        <f>IF(Human_Data_Entry!AS406="","",Human_Data_Entry!AS406)</f>
        <v/>
      </c>
      <c r="I408" s="103">
        <f>IF(Human_Data_Entry!F406="","",Human_Data_Entry!F406)</f>
        <v/>
      </c>
      <c r="J408" s="103">
        <f>IF(Human_Data_Entry!BA406="","",Human_Data_Entry!BA406)</f>
        <v/>
      </c>
      <c r="K408" s="103">
        <f>IF(Human_Data_Entry!BB406="","",Human_Data_Entry!BB406)</f>
        <v/>
      </c>
      <c r="L408" s="103">
        <f>IF(Human_Data_Entry!BC406="","",Human_Data_Entry!BC406)</f>
        <v/>
      </c>
      <c r="M408" s="104">
        <f>IF(Human_Data_Entry!BD406="","",Human_Data_Entry!BD406)</f>
        <v/>
      </c>
      <c r="N408" s="104">
        <f>IF(Human_Data_Entry!BE406="","",Human_Data_Entry!BE406)</f>
        <v/>
      </c>
      <c r="O408" s="105">
        <f>IF(Human_Data_Entry!BF406="","",Human_Data_Entry!BF406)</f>
        <v/>
      </c>
      <c r="P408" s="103">
        <f>IF(Human_Data_Entry!BG406="","",Human_Data_Entry!BG406)</f>
        <v/>
      </c>
      <c r="Q408" s="103">
        <f>IF(Human_Data_Entry!BL406="","",Human_Data_Entry!BL406)</f>
        <v/>
      </c>
      <c r="R408" s="103">
        <f>IF(Human_Data_Entry!BH406="","",Human_Data_Entry!BH406)</f>
        <v/>
      </c>
      <c r="S408" s="103">
        <f>IF(Human_Data_Entry!BI406="","",Human_Data_Entry!BI406)</f>
        <v/>
      </c>
      <c r="T408" s="103">
        <f>IF(Human_Data_Entry!BJ406="","",Human_Data_Entry!BJ406)</f>
        <v/>
      </c>
      <c r="U408" s="103">
        <f>IF(Human_Data_Entry!AP406="","",Human_Data_Entry!AP406)</f>
        <v/>
      </c>
      <c r="V408" s="103">
        <f>IF(Human_Data_Entry!AQ406="","",Human_Data_Entry!AQ406)</f>
        <v/>
      </c>
      <c r="W408" s="103">
        <f>IF(Human_Data_Entry!AR406="","",Human_Data_Entry!AR406)</f>
        <v/>
      </c>
      <c r="X408" s="103">
        <f>IF(Human_Data_Entry!BK406="","",Human_Data_Entry!BK406)</f>
        <v/>
      </c>
    </row>
    <row r="409" ht="15" customHeight="1" s="241">
      <c r="A409" s="103">
        <f>IF(Human_Data_Entry!A407="","",Human_Data_Entry!A407)</f>
        <v/>
      </c>
      <c r="B409" s="103">
        <f>IF(Human_Data_Entry!B407="","",Human_Data_Entry!B407)</f>
        <v/>
      </c>
      <c r="C409" s="104">
        <f>IF(Human_Data_Entry!C407="","",Human_Data_Entry!C407)</f>
        <v/>
      </c>
      <c r="D409" s="103">
        <f>IF(Human_Data_Entry!D407="","",Human_Data_Entry!D407)</f>
        <v/>
      </c>
      <c r="E409" s="103">
        <f>IF(Human_Data_Entry!G407="","",Human_Data_Entry!G407)</f>
        <v/>
      </c>
      <c r="F409" s="103">
        <f>IF(Human_Data_Entry!X407="","",Human_Data_Entry!X407)</f>
        <v/>
      </c>
      <c r="G409" s="103">
        <f>IF(Human_Data_Entry!AY407="","",Human_Data_Entry!AY407)</f>
        <v/>
      </c>
      <c r="H409" s="103">
        <f>IF(Human_Data_Entry!AS407="","",Human_Data_Entry!AS407)</f>
        <v/>
      </c>
      <c r="I409" s="103">
        <f>IF(Human_Data_Entry!F407="","",Human_Data_Entry!F407)</f>
        <v/>
      </c>
      <c r="J409" s="103">
        <f>IF(Human_Data_Entry!BA407="","",Human_Data_Entry!BA407)</f>
        <v/>
      </c>
      <c r="K409" s="103">
        <f>IF(Human_Data_Entry!BB407="","",Human_Data_Entry!BB407)</f>
        <v/>
      </c>
      <c r="L409" s="103">
        <f>IF(Human_Data_Entry!BC407="","",Human_Data_Entry!BC407)</f>
        <v/>
      </c>
      <c r="M409" s="104">
        <f>IF(Human_Data_Entry!BD407="","",Human_Data_Entry!BD407)</f>
        <v/>
      </c>
      <c r="N409" s="104">
        <f>IF(Human_Data_Entry!BE407="","",Human_Data_Entry!BE407)</f>
        <v/>
      </c>
      <c r="O409" s="105">
        <f>IF(Human_Data_Entry!BF407="","",Human_Data_Entry!BF407)</f>
        <v/>
      </c>
      <c r="P409" s="103">
        <f>IF(Human_Data_Entry!BG407="","",Human_Data_Entry!BG407)</f>
        <v/>
      </c>
      <c r="Q409" s="103">
        <f>IF(Human_Data_Entry!BL407="","",Human_Data_Entry!BL407)</f>
        <v/>
      </c>
      <c r="R409" s="103">
        <f>IF(Human_Data_Entry!BH407="","",Human_Data_Entry!BH407)</f>
        <v/>
      </c>
      <c r="S409" s="103">
        <f>IF(Human_Data_Entry!BI407="","",Human_Data_Entry!BI407)</f>
        <v/>
      </c>
      <c r="T409" s="103">
        <f>IF(Human_Data_Entry!BJ407="","",Human_Data_Entry!BJ407)</f>
        <v/>
      </c>
      <c r="U409" s="103">
        <f>IF(Human_Data_Entry!AP407="","",Human_Data_Entry!AP407)</f>
        <v/>
      </c>
      <c r="V409" s="103">
        <f>IF(Human_Data_Entry!AQ407="","",Human_Data_Entry!AQ407)</f>
        <v/>
      </c>
      <c r="W409" s="103">
        <f>IF(Human_Data_Entry!AR407="","",Human_Data_Entry!AR407)</f>
        <v/>
      </c>
      <c r="X409" s="103">
        <f>IF(Human_Data_Entry!BK407="","",Human_Data_Entry!BK407)</f>
        <v/>
      </c>
    </row>
    <row r="410" ht="15" customHeight="1" s="241">
      <c r="A410" s="103">
        <f>IF(Human_Data_Entry!A408="","",Human_Data_Entry!A408)</f>
        <v/>
      </c>
      <c r="B410" s="103">
        <f>IF(Human_Data_Entry!B408="","",Human_Data_Entry!B408)</f>
        <v/>
      </c>
      <c r="C410" s="104">
        <f>IF(Human_Data_Entry!C408="","",Human_Data_Entry!C408)</f>
        <v/>
      </c>
      <c r="D410" s="103">
        <f>IF(Human_Data_Entry!D408="","",Human_Data_Entry!D408)</f>
        <v/>
      </c>
      <c r="E410" s="103">
        <f>IF(Human_Data_Entry!G408="","",Human_Data_Entry!G408)</f>
        <v/>
      </c>
      <c r="F410" s="103">
        <f>IF(Human_Data_Entry!X408="","",Human_Data_Entry!X408)</f>
        <v/>
      </c>
      <c r="G410" s="103">
        <f>IF(Human_Data_Entry!AY408="","",Human_Data_Entry!AY408)</f>
        <v/>
      </c>
      <c r="H410" s="103">
        <f>IF(Human_Data_Entry!AS408="","",Human_Data_Entry!AS408)</f>
        <v/>
      </c>
      <c r="I410" s="103">
        <f>IF(Human_Data_Entry!F408="","",Human_Data_Entry!F408)</f>
        <v/>
      </c>
      <c r="J410" s="103">
        <f>IF(Human_Data_Entry!BA408="","",Human_Data_Entry!BA408)</f>
        <v/>
      </c>
      <c r="K410" s="103">
        <f>IF(Human_Data_Entry!BB408="","",Human_Data_Entry!BB408)</f>
        <v/>
      </c>
      <c r="L410" s="103">
        <f>IF(Human_Data_Entry!BC408="","",Human_Data_Entry!BC408)</f>
        <v/>
      </c>
      <c r="M410" s="104">
        <f>IF(Human_Data_Entry!BD408="","",Human_Data_Entry!BD408)</f>
        <v/>
      </c>
      <c r="N410" s="104">
        <f>IF(Human_Data_Entry!BE408="","",Human_Data_Entry!BE408)</f>
        <v/>
      </c>
      <c r="O410" s="105">
        <f>IF(Human_Data_Entry!BF408="","",Human_Data_Entry!BF408)</f>
        <v/>
      </c>
      <c r="P410" s="103">
        <f>IF(Human_Data_Entry!BG408="","",Human_Data_Entry!BG408)</f>
        <v/>
      </c>
      <c r="Q410" s="103">
        <f>IF(Human_Data_Entry!BL408="","",Human_Data_Entry!BL408)</f>
        <v/>
      </c>
      <c r="R410" s="103">
        <f>IF(Human_Data_Entry!BH408="","",Human_Data_Entry!BH408)</f>
        <v/>
      </c>
      <c r="S410" s="103">
        <f>IF(Human_Data_Entry!BI408="","",Human_Data_Entry!BI408)</f>
        <v/>
      </c>
      <c r="T410" s="103">
        <f>IF(Human_Data_Entry!BJ408="","",Human_Data_Entry!BJ408)</f>
        <v/>
      </c>
      <c r="U410" s="103">
        <f>IF(Human_Data_Entry!AP408="","",Human_Data_Entry!AP408)</f>
        <v/>
      </c>
      <c r="V410" s="103">
        <f>IF(Human_Data_Entry!AQ408="","",Human_Data_Entry!AQ408)</f>
        <v/>
      </c>
      <c r="W410" s="103">
        <f>IF(Human_Data_Entry!AR408="","",Human_Data_Entry!AR408)</f>
        <v/>
      </c>
      <c r="X410" s="103">
        <f>IF(Human_Data_Entry!BK408="","",Human_Data_Entry!BK408)</f>
        <v/>
      </c>
    </row>
    <row r="411" ht="15" customHeight="1" s="241">
      <c r="A411" s="103">
        <f>IF(Human_Data_Entry!A409="","",Human_Data_Entry!A409)</f>
        <v/>
      </c>
      <c r="B411" s="103">
        <f>IF(Human_Data_Entry!B409="","",Human_Data_Entry!B409)</f>
        <v/>
      </c>
      <c r="C411" s="104">
        <f>IF(Human_Data_Entry!C409="","",Human_Data_Entry!C409)</f>
        <v/>
      </c>
      <c r="D411" s="103">
        <f>IF(Human_Data_Entry!D409="","",Human_Data_Entry!D409)</f>
        <v/>
      </c>
      <c r="E411" s="103">
        <f>IF(Human_Data_Entry!G409="","",Human_Data_Entry!G409)</f>
        <v/>
      </c>
      <c r="F411" s="103">
        <f>IF(Human_Data_Entry!X409="","",Human_Data_Entry!X409)</f>
        <v/>
      </c>
      <c r="G411" s="103">
        <f>IF(Human_Data_Entry!AY409="","",Human_Data_Entry!AY409)</f>
        <v/>
      </c>
      <c r="H411" s="103">
        <f>IF(Human_Data_Entry!AS409="","",Human_Data_Entry!AS409)</f>
        <v/>
      </c>
      <c r="I411" s="103">
        <f>IF(Human_Data_Entry!F409="","",Human_Data_Entry!F409)</f>
        <v/>
      </c>
      <c r="J411" s="103">
        <f>IF(Human_Data_Entry!BA409="","",Human_Data_Entry!BA409)</f>
        <v/>
      </c>
      <c r="K411" s="103">
        <f>IF(Human_Data_Entry!BB409="","",Human_Data_Entry!BB409)</f>
        <v/>
      </c>
      <c r="L411" s="103">
        <f>IF(Human_Data_Entry!BC409="","",Human_Data_Entry!BC409)</f>
        <v/>
      </c>
      <c r="M411" s="104">
        <f>IF(Human_Data_Entry!BD409="","",Human_Data_Entry!BD409)</f>
        <v/>
      </c>
      <c r="N411" s="104">
        <f>IF(Human_Data_Entry!BE409="","",Human_Data_Entry!BE409)</f>
        <v/>
      </c>
      <c r="O411" s="105">
        <f>IF(Human_Data_Entry!BF409="","",Human_Data_Entry!BF409)</f>
        <v/>
      </c>
      <c r="P411" s="103">
        <f>IF(Human_Data_Entry!BG409="","",Human_Data_Entry!BG409)</f>
        <v/>
      </c>
      <c r="Q411" s="103">
        <f>IF(Human_Data_Entry!BL409="","",Human_Data_Entry!BL409)</f>
        <v/>
      </c>
      <c r="R411" s="103">
        <f>IF(Human_Data_Entry!BH409="","",Human_Data_Entry!BH409)</f>
        <v/>
      </c>
      <c r="S411" s="103">
        <f>IF(Human_Data_Entry!BI409="","",Human_Data_Entry!BI409)</f>
        <v/>
      </c>
      <c r="T411" s="103">
        <f>IF(Human_Data_Entry!BJ409="","",Human_Data_Entry!BJ409)</f>
        <v/>
      </c>
      <c r="U411" s="103">
        <f>IF(Human_Data_Entry!AP409="","",Human_Data_Entry!AP409)</f>
        <v/>
      </c>
      <c r="V411" s="103">
        <f>IF(Human_Data_Entry!AQ409="","",Human_Data_Entry!AQ409)</f>
        <v/>
      </c>
      <c r="W411" s="103">
        <f>IF(Human_Data_Entry!AR409="","",Human_Data_Entry!AR409)</f>
        <v/>
      </c>
      <c r="X411" s="103">
        <f>IF(Human_Data_Entry!BK409="","",Human_Data_Entry!BK409)</f>
        <v/>
      </c>
    </row>
    <row r="412" ht="15" customHeight="1" s="241">
      <c r="A412" s="103">
        <f>IF(Human_Data_Entry!A410="","",Human_Data_Entry!A410)</f>
        <v/>
      </c>
      <c r="B412" s="103">
        <f>IF(Human_Data_Entry!B410="","",Human_Data_Entry!B410)</f>
        <v/>
      </c>
      <c r="C412" s="104">
        <f>IF(Human_Data_Entry!C410="","",Human_Data_Entry!C410)</f>
        <v/>
      </c>
      <c r="D412" s="103">
        <f>IF(Human_Data_Entry!D410="","",Human_Data_Entry!D410)</f>
        <v/>
      </c>
      <c r="E412" s="103">
        <f>IF(Human_Data_Entry!G410="","",Human_Data_Entry!G410)</f>
        <v/>
      </c>
      <c r="F412" s="103">
        <f>IF(Human_Data_Entry!X410="","",Human_Data_Entry!X410)</f>
        <v/>
      </c>
      <c r="G412" s="103">
        <f>IF(Human_Data_Entry!AY410="","",Human_Data_Entry!AY410)</f>
        <v/>
      </c>
      <c r="H412" s="103">
        <f>IF(Human_Data_Entry!AS410="","",Human_Data_Entry!AS410)</f>
        <v/>
      </c>
      <c r="I412" s="103">
        <f>IF(Human_Data_Entry!F410="","",Human_Data_Entry!F410)</f>
        <v/>
      </c>
      <c r="J412" s="103">
        <f>IF(Human_Data_Entry!BA410="","",Human_Data_Entry!BA410)</f>
        <v/>
      </c>
      <c r="K412" s="103">
        <f>IF(Human_Data_Entry!BB410="","",Human_Data_Entry!BB410)</f>
        <v/>
      </c>
      <c r="L412" s="103">
        <f>IF(Human_Data_Entry!BC410="","",Human_Data_Entry!BC410)</f>
        <v/>
      </c>
      <c r="M412" s="104">
        <f>IF(Human_Data_Entry!BD410="","",Human_Data_Entry!BD410)</f>
        <v/>
      </c>
      <c r="N412" s="104">
        <f>IF(Human_Data_Entry!BE410="","",Human_Data_Entry!BE410)</f>
        <v/>
      </c>
      <c r="O412" s="105">
        <f>IF(Human_Data_Entry!BF410="","",Human_Data_Entry!BF410)</f>
        <v/>
      </c>
      <c r="P412" s="103">
        <f>IF(Human_Data_Entry!BG410="","",Human_Data_Entry!BG410)</f>
        <v/>
      </c>
      <c r="Q412" s="103">
        <f>IF(Human_Data_Entry!BL410="","",Human_Data_Entry!BL410)</f>
        <v/>
      </c>
      <c r="R412" s="103">
        <f>IF(Human_Data_Entry!BH410="","",Human_Data_Entry!BH410)</f>
        <v/>
      </c>
      <c r="S412" s="103">
        <f>IF(Human_Data_Entry!BI410="","",Human_Data_Entry!BI410)</f>
        <v/>
      </c>
      <c r="T412" s="103">
        <f>IF(Human_Data_Entry!BJ410="","",Human_Data_Entry!BJ410)</f>
        <v/>
      </c>
      <c r="U412" s="103">
        <f>IF(Human_Data_Entry!AP410="","",Human_Data_Entry!AP410)</f>
        <v/>
      </c>
      <c r="V412" s="103">
        <f>IF(Human_Data_Entry!AQ410="","",Human_Data_Entry!AQ410)</f>
        <v/>
      </c>
      <c r="W412" s="103">
        <f>IF(Human_Data_Entry!AR410="","",Human_Data_Entry!AR410)</f>
        <v/>
      </c>
      <c r="X412" s="103">
        <f>IF(Human_Data_Entry!BK410="","",Human_Data_Entry!BK410)</f>
        <v/>
      </c>
    </row>
    <row r="413" ht="15" customHeight="1" s="241">
      <c r="A413" s="103">
        <f>IF(Human_Data_Entry!A411="","",Human_Data_Entry!A411)</f>
        <v/>
      </c>
      <c r="B413" s="103">
        <f>IF(Human_Data_Entry!B411="","",Human_Data_Entry!B411)</f>
        <v/>
      </c>
      <c r="C413" s="104">
        <f>IF(Human_Data_Entry!C411="","",Human_Data_Entry!C411)</f>
        <v/>
      </c>
      <c r="D413" s="103">
        <f>IF(Human_Data_Entry!D411="","",Human_Data_Entry!D411)</f>
        <v/>
      </c>
      <c r="E413" s="103">
        <f>IF(Human_Data_Entry!G411="","",Human_Data_Entry!G411)</f>
        <v/>
      </c>
      <c r="F413" s="103">
        <f>IF(Human_Data_Entry!X411="","",Human_Data_Entry!X411)</f>
        <v/>
      </c>
      <c r="G413" s="103">
        <f>IF(Human_Data_Entry!AY411="","",Human_Data_Entry!AY411)</f>
        <v/>
      </c>
      <c r="H413" s="103">
        <f>IF(Human_Data_Entry!AS411="","",Human_Data_Entry!AS411)</f>
        <v/>
      </c>
      <c r="I413" s="103">
        <f>IF(Human_Data_Entry!F411="","",Human_Data_Entry!F411)</f>
        <v/>
      </c>
      <c r="J413" s="103">
        <f>IF(Human_Data_Entry!BA411="","",Human_Data_Entry!BA411)</f>
        <v/>
      </c>
      <c r="K413" s="103">
        <f>IF(Human_Data_Entry!BB411="","",Human_Data_Entry!BB411)</f>
        <v/>
      </c>
      <c r="L413" s="103">
        <f>IF(Human_Data_Entry!BC411="","",Human_Data_Entry!BC411)</f>
        <v/>
      </c>
      <c r="M413" s="104">
        <f>IF(Human_Data_Entry!BD411="","",Human_Data_Entry!BD411)</f>
        <v/>
      </c>
      <c r="N413" s="104">
        <f>IF(Human_Data_Entry!BE411="","",Human_Data_Entry!BE411)</f>
        <v/>
      </c>
      <c r="O413" s="105">
        <f>IF(Human_Data_Entry!BF411="","",Human_Data_Entry!BF411)</f>
        <v/>
      </c>
      <c r="P413" s="103">
        <f>IF(Human_Data_Entry!BG411="","",Human_Data_Entry!BG411)</f>
        <v/>
      </c>
      <c r="Q413" s="103">
        <f>IF(Human_Data_Entry!BL411="","",Human_Data_Entry!BL411)</f>
        <v/>
      </c>
      <c r="R413" s="103">
        <f>IF(Human_Data_Entry!BH411="","",Human_Data_Entry!BH411)</f>
        <v/>
      </c>
      <c r="S413" s="103">
        <f>IF(Human_Data_Entry!BI411="","",Human_Data_Entry!BI411)</f>
        <v/>
      </c>
      <c r="T413" s="103">
        <f>IF(Human_Data_Entry!BJ411="","",Human_Data_Entry!BJ411)</f>
        <v/>
      </c>
      <c r="U413" s="103">
        <f>IF(Human_Data_Entry!AP411="","",Human_Data_Entry!AP411)</f>
        <v/>
      </c>
      <c r="V413" s="103">
        <f>IF(Human_Data_Entry!AQ411="","",Human_Data_Entry!AQ411)</f>
        <v/>
      </c>
      <c r="W413" s="103">
        <f>IF(Human_Data_Entry!AR411="","",Human_Data_Entry!AR411)</f>
        <v/>
      </c>
      <c r="X413" s="103">
        <f>IF(Human_Data_Entry!BK411="","",Human_Data_Entry!BK411)</f>
        <v/>
      </c>
    </row>
    <row r="414" ht="15" customHeight="1" s="241">
      <c r="A414" s="103">
        <f>IF(Human_Data_Entry!A412="","",Human_Data_Entry!A412)</f>
        <v/>
      </c>
      <c r="B414" s="103">
        <f>IF(Human_Data_Entry!B412="","",Human_Data_Entry!B412)</f>
        <v/>
      </c>
      <c r="C414" s="104">
        <f>IF(Human_Data_Entry!C412="","",Human_Data_Entry!C412)</f>
        <v/>
      </c>
      <c r="D414" s="103">
        <f>IF(Human_Data_Entry!D412="","",Human_Data_Entry!D412)</f>
        <v/>
      </c>
      <c r="E414" s="103">
        <f>IF(Human_Data_Entry!G412="","",Human_Data_Entry!G412)</f>
        <v/>
      </c>
      <c r="F414" s="103">
        <f>IF(Human_Data_Entry!X412="","",Human_Data_Entry!X412)</f>
        <v/>
      </c>
      <c r="G414" s="103">
        <f>IF(Human_Data_Entry!AY412="","",Human_Data_Entry!AY412)</f>
        <v/>
      </c>
      <c r="H414" s="103">
        <f>IF(Human_Data_Entry!AS412="","",Human_Data_Entry!AS412)</f>
        <v/>
      </c>
      <c r="I414" s="103">
        <f>IF(Human_Data_Entry!F412="","",Human_Data_Entry!F412)</f>
        <v/>
      </c>
      <c r="J414" s="103">
        <f>IF(Human_Data_Entry!BA412="","",Human_Data_Entry!BA412)</f>
        <v/>
      </c>
      <c r="K414" s="103">
        <f>IF(Human_Data_Entry!BB412="","",Human_Data_Entry!BB412)</f>
        <v/>
      </c>
      <c r="L414" s="103">
        <f>IF(Human_Data_Entry!BC412="","",Human_Data_Entry!BC412)</f>
        <v/>
      </c>
      <c r="M414" s="104">
        <f>IF(Human_Data_Entry!BD412="","",Human_Data_Entry!BD412)</f>
        <v/>
      </c>
      <c r="N414" s="104">
        <f>IF(Human_Data_Entry!BE412="","",Human_Data_Entry!BE412)</f>
        <v/>
      </c>
      <c r="O414" s="105">
        <f>IF(Human_Data_Entry!BF412="","",Human_Data_Entry!BF412)</f>
        <v/>
      </c>
      <c r="P414" s="103">
        <f>IF(Human_Data_Entry!BG412="","",Human_Data_Entry!BG412)</f>
        <v/>
      </c>
      <c r="Q414" s="103">
        <f>IF(Human_Data_Entry!BL412="","",Human_Data_Entry!BL412)</f>
        <v/>
      </c>
      <c r="R414" s="103">
        <f>IF(Human_Data_Entry!BH412="","",Human_Data_Entry!BH412)</f>
        <v/>
      </c>
      <c r="S414" s="103">
        <f>IF(Human_Data_Entry!BI412="","",Human_Data_Entry!BI412)</f>
        <v/>
      </c>
      <c r="T414" s="103">
        <f>IF(Human_Data_Entry!BJ412="","",Human_Data_Entry!BJ412)</f>
        <v/>
      </c>
      <c r="U414" s="103">
        <f>IF(Human_Data_Entry!AP412="","",Human_Data_Entry!AP412)</f>
        <v/>
      </c>
      <c r="V414" s="103">
        <f>IF(Human_Data_Entry!AQ412="","",Human_Data_Entry!AQ412)</f>
        <v/>
      </c>
      <c r="W414" s="103">
        <f>IF(Human_Data_Entry!AR412="","",Human_Data_Entry!AR412)</f>
        <v/>
      </c>
      <c r="X414" s="103">
        <f>IF(Human_Data_Entry!BK412="","",Human_Data_Entry!BK412)</f>
        <v/>
      </c>
    </row>
    <row r="415" ht="15" customHeight="1" s="241">
      <c r="A415" s="103">
        <f>IF(Human_Data_Entry!A413="","",Human_Data_Entry!A413)</f>
        <v/>
      </c>
      <c r="B415" s="103">
        <f>IF(Human_Data_Entry!B413="","",Human_Data_Entry!B413)</f>
        <v/>
      </c>
      <c r="C415" s="104">
        <f>IF(Human_Data_Entry!C413="","",Human_Data_Entry!C413)</f>
        <v/>
      </c>
      <c r="D415" s="103">
        <f>IF(Human_Data_Entry!D413="","",Human_Data_Entry!D413)</f>
        <v/>
      </c>
      <c r="E415" s="103">
        <f>IF(Human_Data_Entry!G413="","",Human_Data_Entry!G413)</f>
        <v/>
      </c>
      <c r="F415" s="103">
        <f>IF(Human_Data_Entry!X413="","",Human_Data_Entry!X413)</f>
        <v/>
      </c>
      <c r="G415" s="103">
        <f>IF(Human_Data_Entry!AY413="","",Human_Data_Entry!AY413)</f>
        <v/>
      </c>
      <c r="H415" s="103">
        <f>IF(Human_Data_Entry!AS413="","",Human_Data_Entry!AS413)</f>
        <v/>
      </c>
      <c r="I415" s="103">
        <f>IF(Human_Data_Entry!F413="","",Human_Data_Entry!F413)</f>
        <v/>
      </c>
      <c r="J415" s="103">
        <f>IF(Human_Data_Entry!BA413="","",Human_Data_Entry!BA413)</f>
        <v/>
      </c>
      <c r="K415" s="103">
        <f>IF(Human_Data_Entry!BB413="","",Human_Data_Entry!BB413)</f>
        <v/>
      </c>
      <c r="L415" s="103">
        <f>IF(Human_Data_Entry!BC413="","",Human_Data_Entry!BC413)</f>
        <v/>
      </c>
      <c r="M415" s="104">
        <f>IF(Human_Data_Entry!BD413="","",Human_Data_Entry!BD413)</f>
        <v/>
      </c>
      <c r="N415" s="104">
        <f>IF(Human_Data_Entry!BE413="","",Human_Data_Entry!BE413)</f>
        <v/>
      </c>
      <c r="O415" s="105">
        <f>IF(Human_Data_Entry!BF413="","",Human_Data_Entry!BF413)</f>
        <v/>
      </c>
      <c r="P415" s="103">
        <f>IF(Human_Data_Entry!BG413="","",Human_Data_Entry!BG413)</f>
        <v/>
      </c>
      <c r="Q415" s="103">
        <f>IF(Human_Data_Entry!BL413="","",Human_Data_Entry!BL413)</f>
        <v/>
      </c>
      <c r="R415" s="103">
        <f>IF(Human_Data_Entry!BH413="","",Human_Data_Entry!BH413)</f>
        <v/>
      </c>
      <c r="S415" s="103">
        <f>IF(Human_Data_Entry!BI413="","",Human_Data_Entry!BI413)</f>
        <v/>
      </c>
      <c r="T415" s="103">
        <f>IF(Human_Data_Entry!BJ413="","",Human_Data_Entry!BJ413)</f>
        <v/>
      </c>
      <c r="U415" s="103">
        <f>IF(Human_Data_Entry!AP413="","",Human_Data_Entry!AP413)</f>
        <v/>
      </c>
      <c r="V415" s="103">
        <f>IF(Human_Data_Entry!AQ413="","",Human_Data_Entry!AQ413)</f>
        <v/>
      </c>
      <c r="W415" s="103">
        <f>IF(Human_Data_Entry!AR413="","",Human_Data_Entry!AR413)</f>
        <v/>
      </c>
      <c r="X415" s="103">
        <f>IF(Human_Data_Entry!BK413="","",Human_Data_Entry!BK413)</f>
        <v/>
      </c>
    </row>
    <row r="416" ht="15" customHeight="1" s="241">
      <c r="A416" s="103">
        <f>IF(Human_Data_Entry!A414="","",Human_Data_Entry!A414)</f>
        <v/>
      </c>
      <c r="B416" s="103">
        <f>IF(Human_Data_Entry!B414="","",Human_Data_Entry!B414)</f>
        <v/>
      </c>
      <c r="C416" s="104">
        <f>IF(Human_Data_Entry!C414="","",Human_Data_Entry!C414)</f>
        <v/>
      </c>
      <c r="D416" s="103">
        <f>IF(Human_Data_Entry!D414="","",Human_Data_Entry!D414)</f>
        <v/>
      </c>
      <c r="E416" s="103">
        <f>IF(Human_Data_Entry!G414="","",Human_Data_Entry!G414)</f>
        <v/>
      </c>
      <c r="F416" s="103">
        <f>IF(Human_Data_Entry!X414="","",Human_Data_Entry!X414)</f>
        <v/>
      </c>
      <c r="G416" s="103">
        <f>IF(Human_Data_Entry!AY414="","",Human_Data_Entry!AY414)</f>
        <v/>
      </c>
      <c r="H416" s="103">
        <f>IF(Human_Data_Entry!AS414="","",Human_Data_Entry!AS414)</f>
        <v/>
      </c>
      <c r="I416" s="103">
        <f>IF(Human_Data_Entry!F414="","",Human_Data_Entry!F414)</f>
        <v/>
      </c>
      <c r="J416" s="103">
        <f>IF(Human_Data_Entry!BA414="","",Human_Data_Entry!BA414)</f>
        <v/>
      </c>
      <c r="K416" s="103">
        <f>IF(Human_Data_Entry!BB414="","",Human_Data_Entry!BB414)</f>
        <v/>
      </c>
      <c r="L416" s="103">
        <f>IF(Human_Data_Entry!BC414="","",Human_Data_Entry!BC414)</f>
        <v/>
      </c>
      <c r="M416" s="104">
        <f>IF(Human_Data_Entry!BD414="","",Human_Data_Entry!BD414)</f>
        <v/>
      </c>
      <c r="N416" s="104">
        <f>IF(Human_Data_Entry!BE414="","",Human_Data_Entry!BE414)</f>
        <v/>
      </c>
      <c r="O416" s="105">
        <f>IF(Human_Data_Entry!BF414="","",Human_Data_Entry!BF414)</f>
        <v/>
      </c>
      <c r="P416" s="103">
        <f>IF(Human_Data_Entry!BG414="","",Human_Data_Entry!BG414)</f>
        <v/>
      </c>
      <c r="Q416" s="103">
        <f>IF(Human_Data_Entry!BL414="","",Human_Data_Entry!BL414)</f>
        <v/>
      </c>
      <c r="R416" s="103">
        <f>IF(Human_Data_Entry!BH414="","",Human_Data_Entry!BH414)</f>
        <v/>
      </c>
      <c r="S416" s="103">
        <f>IF(Human_Data_Entry!BI414="","",Human_Data_Entry!BI414)</f>
        <v/>
      </c>
      <c r="T416" s="103">
        <f>IF(Human_Data_Entry!BJ414="","",Human_Data_Entry!BJ414)</f>
        <v/>
      </c>
      <c r="U416" s="103">
        <f>IF(Human_Data_Entry!AP414="","",Human_Data_Entry!AP414)</f>
        <v/>
      </c>
      <c r="V416" s="103">
        <f>IF(Human_Data_Entry!AQ414="","",Human_Data_Entry!AQ414)</f>
        <v/>
      </c>
      <c r="W416" s="103">
        <f>IF(Human_Data_Entry!AR414="","",Human_Data_Entry!AR414)</f>
        <v/>
      </c>
      <c r="X416" s="103">
        <f>IF(Human_Data_Entry!BK414="","",Human_Data_Entry!BK414)</f>
        <v/>
      </c>
    </row>
    <row r="417" ht="15" customHeight="1" s="241">
      <c r="A417" s="103">
        <f>IF(Human_Data_Entry!A415="","",Human_Data_Entry!A415)</f>
        <v/>
      </c>
      <c r="B417" s="103">
        <f>IF(Human_Data_Entry!B415="","",Human_Data_Entry!B415)</f>
        <v/>
      </c>
      <c r="C417" s="104">
        <f>IF(Human_Data_Entry!C415="","",Human_Data_Entry!C415)</f>
        <v/>
      </c>
      <c r="D417" s="103">
        <f>IF(Human_Data_Entry!D415="","",Human_Data_Entry!D415)</f>
        <v/>
      </c>
      <c r="E417" s="103">
        <f>IF(Human_Data_Entry!G415="","",Human_Data_Entry!G415)</f>
        <v/>
      </c>
      <c r="F417" s="103">
        <f>IF(Human_Data_Entry!X415="","",Human_Data_Entry!X415)</f>
        <v/>
      </c>
      <c r="G417" s="103">
        <f>IF(Human_Data_Entry!AY415="","",Human_Data_Entry!AY415)</f>
        <v/>
      </c>
      <c r="H417" s="103">
        <f>IF(Human_Data_Entry!AS415="","",Human_Data_Entry!AS415)</f>
        <v/>
      </c>
      <c r="I417" s="103">
        <f>IF(Human_Data_Entry!F415="","",Human_Data_Entry!F415)</f>
        <v/>
      </c>
      <c r="J417" s="103">
        <f>IF(Human_Data_Entry!BA415="","",Human_Data_Entry!BA415)</f>
        <v/>
      </c>
      <c r="K417" s="103">
        <f>IF(Human_Data_Entry!BB415="","",Human_Data_Entry!BB415)</f>
        <v/>
      </c>
      <c r="L417" s="103">
        <f>IF(Human_Data_Entry!BC415="","",Human_Data_Entry!BC415)</f>
        <v/>
      </c>
      <c r="M417" s="104">
        <f>IF(Human_Data_Entry!BD415="","",Human_Data_Entry!BD415)</f>
        <v/>
      </c>
      <c r="N417" s="104">
        <f>IF(Human_Data_Entry!BE415="","",Human_Data_Entry!BE415)</f>
        <v/>
      </c>
      <c r="O417" s="105">
        <f>IF(Human_Data_Entry!BF415="","",Human_Data_Entry!BF415)</f>
        <v/>
      </c>
      <c r="P417" s="103">
        <f>IF(Human_Data_Entry!BG415="","",Human_Data_Entry!BG415)</f>
        <v/>
      </c>
      <c r="Q417" s="103">
        <f>IF(Human_Data_Entry!BL415="","",Human_Data_Entry!BL415)</f>
        <v/>
      </c>
      <c r="R417" s="103">
        <f>IF(Human_Data_Entry!BH415="","",Human_Data_Entry!BH415)</f>
        <v/>
      </c>
      <c r="S417" s="103">
        <f>IF(Human_Data_Entry!BI415="","",Human_Data_Entry!BI415)</f>
        <v/>
      </c>
      <c r="T417" s="103">
        <f>IF(Human_Data_Entry!BJ415="","",Human_Data_Entry!BJ415)</f>
        <v/>
      </c>
      <c r="U417" s="103">
        <f>IF(Human_Data_Entry!AP415="","",Human_Data_Entry!AP415)</f>
        <v/>
      </c>
      <c r="V417" s="103">
        <f>IF(Human_Data_Entry!AQ415="","",Human_Data_Entry!AQ415)</f>
        <v/>
      </c>
      <c r="W417" s="103">
        <f>IF(Human_Data_Entry!AR415="","",Human_Data_Entry!AR415)</f>
        <v/>
      </c>
      <c r="X417" s="103">
        <f>IF(Human_Data_Entry!BK415="","",Human_Data_Entry!BK415)</f>
        <v/>
      </c>
    </row>
    <row r="418" ht="15" customHeight="1" s="241">
      <c r="A418" s="103">
        <f>IF(Human_Data_Entry!A416="","",Human_Data_Entry!A416)</f>
        <v/>
      </c>
      <c r="B418" s="103">
        <f>IF(Human_Data_Entry!B416="","",Human_Data_Entry!B416)</f>
        <v/>
      </c>
      <c r="C418" s="104">
        <f>IF(Human_Data_Entry!C416="","",Human_Data_Entry!C416)</f>
        <v/>
      </c>
      <c r="D418" s="103">
        <f>IF(Human_Data_Entry!D416="","",Human_Data_Entry!D416)</f>
        <v/>
      </c>
      <c r="E418" s="103">
        <f>IF(Human_Data_Entry!G416="","",Human_Data_Entry!G416)</f>
        <v/>
      </c>
      <c r="F418" s="103">
        <f>IF(Human_Data_Entry!X416="","",Human_Data_Entry!X416)</f>
        <v/>
      </c>
      <c r="G418" s="103">
        <f>IF(Human_Data_Entry!AY416="","",Human_Data_Entry!AY416)</f>
        <v/>
      </c>
      <c r="H418" s="103">
        <f>IF(Human_Data_Entry!AS416="","",Human_Data_Entry!AS416)</f>
        <v/>
      </c>
      <c r="I418" s="103">
        <f>IF(Human_Data_Entry!F416="","",Human_Data_Entry!F416)</f>
        <v/>
      </c>
      <c r="J418" s="103">
        <f>IF(Human_Data_Entry!BA416="","",Human_Data_Entry!BA416)</f>
        <v/>
      </c>
      <c r="K418" s="103">
        <f>IF(Human_Data_Entry!BB416="","",Human_Data_Entry!BB416)</f>
        <v/>
      </c>
      <c r="L418" s="103">
        <f>IF(Human_Data_Entry!BC416="","",Human_Data_Entry!BC416)</f>
        <v/>
      </c>
      <c r="M418" s="104">
        <f>IF(Human_Data_Entry!BD416="","",Human_Data_Entry!BD416)</f>
        <v/>
      </c>
      <c r="N418" s="104">
        <f>IF(Human_Data_Entry!BE416="","",Human_Data_Entry!BE416)</f>
        <v/>
      </c>
      <c r="O418" s="105">
        <f>IF(Human_Data_Entry!BF416="","",Human_Data_Entry!BF416)</f>
        <v/>
      </c>
      <c r="P418" s="103">
        <f>IF(Human_Data_Entry!BG416="","",Human_Data_Entry!BG416)</f>
        <v/>
      </c>
      <c r="Q418" s="103">
        <f>IF(Human_Data_Entry!BL416="","",Human_Data_Entry!BL416)</f>
        <v/>
      </c>
      <c r="R418" s="103">
        <f>IF(Human_Data_Entry!BH416="","",Human_Data_Entry!BH416)</f>
        <v/>
      </c>
      <c r="S418" s="103">
        <f>IF(Human_Data_Entry!BI416="","",Human_Data_Entry!BI416)</f>
        <v/>
      </c>
      <c r="T418" s="103">
        <f>IF(Human_Data_Entry!BJ416="","",Human_Data_Entry!BJ416)</f>
        <v/>
      </c>
      <c r="U418" s="103">
        <f>IF(Human_Data_Entry!AP416="","",Human_Data_Entry!AP416)</f>
        <v/>
      </c>
      <c r="V418" s="103">
        <f>IF(Human_Data_Entry!AQ416="","",Human_Data_Entry!AQ416)</f>
        <v/>
      </c>
      <c r="W418" s="103">
        <f>IF(Human_Data_Entry!AR416="","",Human_Data_Entry!AR416)</f>
        <v/>
      </c>
      <c r="X418" s="103">
        <f>IF(Human_Data_Entry!BK416="","",Human_Data_Entry!BK416)</f>
        <v/>
      </c>
    </row>
    <row r="419" ht="15" customHeight="1" s="241">
      <c r="A419" s="103">
        <f>IF(Human_Data_Entry!A417="","",Human_Data_Entry!A417)</f>
        <v/>
      </c>
      <c r="B419" s="103">
        <f>IF(Human_Data_Entry!B417="","",Human_Data_Entry!B417)</f>
        <v/>
      </c>
      <c r="C419" s="104">
        <f>IF(Human_Data_Entry!C417="","",Human_Data_Entry!C417)</f>
        <v/>
      </c>
      <c r="D419" s="103">
        <f>IF(Human_Data_Entry!D417="","",Human_Data_Entry!D417)</f>
        <v/>
      </c>
      <c r="E419" s="103">
        <f>IF(Human_Data_Entry!G417="","",Human_Data_Entry!G417)</f>
        <v/>
      </c>
      <c r="F419" s="103">
        <f>IF(Human_Data_Entry!X417="","",Human_Data_Entry!X417)</f>
        <v/>
      </c>
      <c r="G419" s="103">
        <f>IF(Human_Data_Entry!AY417="","",Human_Data_Entry!AY417)</f>
        <v/>
      </c>
      <c r="H419" s="103">
        <f>IF(Human_Data_Entry!AS417="","",Human_Data_Entry!AS417)</f>
        <v/>
      </c>
      <c r="I419" s="103">
        <f>IF(Human_Data_Entry!F417="","",Human_Data_Entry!F417)</f>
        <v/>
      </c>
      <c r="J419" s="103">
        <f>IF(Human_Data_Entry!BA417="","",Human_Data_Entry!BA417)</f>
        <v/>
      </c>
      <c r="K419" s="103">
        <f>IF(Human_Data_Entry!BB417="","",Human_Data_Entry!BB417)</f>
        <v/>
      </c>
      <c r="L419" s="103">
        <f>IF(Human_Data_Entry!BC417="","",Human_Data_Entry!BC417)</f>
        <v/>
      </c>
      <c r="M419" s="104">
        <f>IF(Human_Data_Entry!BD417="","",Human_Data_Entry!BD417)</f>
        <v/>
      </c>
      <c r="N419" s="104">
        <f>IF(Human_Data_Entry!BE417="","",Human_Data_Entry!BE417)</f>
        <v/>
      </c>
      <c r="O419" s="105">
        <f>IF(Human_Data_Entry!BF417="","",Human_Data_Entry!BF417)</f>
        <v/>
      </c>
      <c r="P419" s="103">
        <f>IF(Human_Data_Entry!BG417="","",Human_Data_Entry!BG417)</f>
        <v/>
      </c>
      <c r="Q419" s="103">
        <f>IF(Human_Data_Entry!BL417="","",Human_Data_Entry!BL417)</f>
        <v/>
      </c>
      <c r="R419" s="103">
        <f>IF(Human_Data_Entry!BH417="","",Human_Data_Entry!BH417)</f>
        <v/>
      </c>
      <c r="S419" s="103">
        <f>IF(Human_Data_Entry!BI417="","",Human_Data_Entry!BI417)</f>
        <v/>
      </c>
      <c r="T419" s="103">
        <f>IF(Human_Data_Entry!BJ417="","",Human_Data_Entry!BJ417)</f>
        <v/>
      </c>
      <c r="U419" s="103">
        <f>IF(Human_Data_Entry!AP417="","",Human_Data_Entry!AP417)</f>
        <v/>
      </c>
      <c r="V419" s="103">
        <f>IF(Human_Data_Entry!AQ417="","",Human_Data_Entry!AQ417)</f>
        <v/>
      </c>
      <c r="W419" s="103">
        <f>IF(Human_Data_Entry!AR417="","",Human_Data_Entry!AR417)</f>
        <v/>
      </c>
      <c r="X419" s="103">
        <f>IF(Human_Data_Entry!BK417="","",Human_Data_Entry!BK417)</f>
        <v/>
      </c>
    </row>
    <row r="420" ht="15" customHeight="1" s="241">
      <c r="A420" s="103">
        <f>IF(Human_Data_Entry!A418="","",Human_Data_Entry!A418)</f>
        <v/>
      </c>
      <c r="B420" s="103">
        <f>IF(Human_Data_Entry!B418="","",Human_Data_Entry!B418)</f>
        <v/>
      </c>
      <c r="C420" s="104">
        <f>IF(Human_Data_Entry!C418="","",Human_Data_Entry!C418)</f>
        <v/>
      </c>
      <c r="D420" s="103">
        <f>IF(Human_Data_Entry!D418="","",Human_Data_Entry!D418)</f>
        <v/>
      </c>
      <c r="E420" s="103">
        <f>IF(Human_Data_Entry!G418="","",Human_Data_Entry!G418)</f>
        <v/>
      </c>
      <c r="F420" s="103">
        <f>IF(Human_Data_Entry!X418="","",Human_Data_Entry!X418)</f>
        <v/>
      </c>
      <c r="G420" s="103">
        <f>IF(Human_Data_Entry!AY418="","",Human_Data_Entry!AY418)</f>
        <v/>
      </c>
      <c r="H420" s="103">
        <f>IF(Human_Data_Entry!AS418="","",Human_Data_Entry!AS418)</f>
        <v/>
      </c>
      <c r="I420" s="103">
        <f>IF(Human_Data_Entry!F418="","",Human_Data_Entry!F418)</f>
        <v/>
      </c>
      <c r="J420" s="103">
        <f>IF(Human_Data_Entry!BA418="","",Human_Data_Entry!BA418)</f>
        <v/>
      </c>
      <c r="K420" s="103">
        <f>IF(Human_Data_Entry!BB418="","",Human_Data_Entry!BB418)</f>
        <v/>
      </c>
      <c r="L420" s="103">
        <f>IF(Human_Data_Entry!BC418="","",Human_Data_Entry!BC418)</f>
        <v/>
      </c>
      <c r="M420" s="104">
        <f>IF(Human_Data_Entry!BD418="","",Human_Data_Entry!BD418)</f>
        <v/>
      </c>
      <c r="N420" s="104">
        <f>IF(Human_Data_Entry!BE418="","",Human_Data_Entry!BE418)</f>
        <v/>
      </c>
      <c r="O420" s="105">
        <f>IF(Human_Data_Entry!BF418="","",Human_Data_Entry!BF418)</f>
        <v/>
      </c>
      <c r="P420" s="103">
        <f>IF(Human_Data_Entry!BG418="","",Human_Data_Entry!BG418)</f>
        <v/>
      </c>
      <c r="Q420" s="103">
        <f>IF(Human_Data_Entry!BL418="","",Human_Data_Entry!BL418)</f>
        <v/>
      </c>
      <c r="R420" s="103">
        <f>IF(Human_Data_Entry!BH418="","",Human_Data_Entry!BH418)</f>
        <v/>
      </c>
      <c r="S420" s="103">
        <f>IF(Human_Data_Entry!BI418="","",Human_Data_Entry!BI418)</f>
        <v/>
      </c>
      <c r="T420" s="103">
        <f>IF(Human_Data_Entry!BJ418="","",Human_Data_Entry!BJ418)</f>
        <v/>
      </c>
      <c r="U420" s="103">
        <f>IF(Human_Data_Entry!AP418="","",Human_Data_Entry!AP418)</f>
        <v/>
      </c>
      <c r="V420" s="103">
        <f>IF(Human_Data_Entry!AQ418="","",Human_Data_Entry!AQ418)</f>
        <v/>
      </c>
      <c r="W420" s="103">
        <f>IF(Human_Data_Entry!AR418="","",Human_Data_Entry!AR418)</f>
        <v/>
      </c>
      <c r="X420" s="103">
        <f>IF(Human_Data_Entry!BK418="","",Human_Data_Entry!BK418)</f>
        <v/>
      </c>
    </row>
    <row r="421" ht="15" customHeight="1" s="241">
      <c r="A421" s="103">
        <f>IF(Human_Data_Entry!A419="","",Human_Data_Entry!A419)</f>
        <v/>
      </c>
      <c r="B421" s="103">
        <f>IF(Human_Data_Entry!B419="","",Human_Data_Entry!B419)</f>
        <v/>
      </c>
      <c r="C421" s="104">
        <f>IF(Human_Data_Entry!C419="","",Human_Data_Entry!C419)</f>
        <v/>
      </c>
      <c r="D421" s="103">
        <f>IF(Human_Data_Entry!D419="","",Human_Data_Entry!D419)</f>
        <v/>
      </c>
      <c r="E421" s="103">
        <f>IF(Human_Data_Entry!G419="","",Human_Data_Entry!G419)</f>
        <v/>
      </c>
      <c r="F421" s="103">
        <f>IF(Human_Data_Entry!X419="","",Human_Data_Entry!X419)</f>
        <v/>
      </c>
      <c r="G421" s="103">
        <f>IF(Human_Data_Entry!AY419="","",Human_Data_Entry!AY419)</f>
        <v/>
      </c>
      <c r="H421" s="103">
        <f>IF(Human_Data_Entry!AS419="","",Human_Data_Entry!AS419)</f>
        <v/>
      </c>
      <c r="I421" s="103">
        <f>IF(Human_Data_Entry!F419="","",Human_Data_Entry!F419)</f>
        <v/>
      </c>
      <c r="J421" s="103">
        <f>IF(Human_Data_Entry!BA419="","",Human_Data_Entry!BA419)</f>
        <v/>
      </c>
      <c r="K421" s="103">
        <f>IF(Human_Data_Entry!BB419="","",Human_Data_Entry!BB419)</f>
        <v/>
      </c>
      <c r="L421" s="103">
        <f>IF(Human_Data_Entry!BC419="","",Human_Data_Entry!BC419)</f>
        <v/>
      </c>
      <c r="M421" s="104">
        <f>IF(Human_Data_Entry!BD419="","",Human_Data_Entry!BD419)</f>
        <v/>
      </c>
      <c r="N421" s="104">
        <f>IF(Human_Data_Entry!BE419="","",Human_Data_Entry!BE419)</f>
        <v/>
      </c>
      <c r="O421" s="105">
        <f>IF(Human_Data_Entry!BF419="","",Human_Data_Entry!BF419)</f>
        <v/>
      </c>
      <c r="P421" s="103">
        <f>IF(Human_Data_Entry!BG419="","",Human_Data_Entry!BG419)</f>
        <v/>
      </c>
      <c r="Q421" s="103">
        <f>IF(Human_Data_Entry!BL419="","",Human_Data_Entry!BL419)</f>
        <v/>
      </c>
      <c r="R421" s="103">
        <f>IF(Human_Data_Entry!BH419="","",Human_Data_Entry!BH419)</f>
        <v/>
      </c>
      <c r="S421" s="103">
        <f>IF(Human_Data_Entry!BI419="","",Human_Data_Entry!BI419)</f>
        <v/>
      </c>
      <c r="T421" s="103">
        <f>IF(Human_Data_Entry!BJ419="","",Human_Data_Entry!BJ419)</f>
        <v/>
      </c>
      <c r="U421" s="103">
        <f>IF(Human_Data_Entry!AP419="","",Human_Data_Entry!AP419)</f>
        <v/>
      </c>
      <c r="V421" s="103">
        <f>IF(Human_Data_Entry!AQ419="","",Human_Data_Entry!AQ419)</f>
        <v/>
      </c>
      <c r="W421" s="103">
        <f>IF(Human_Data_Entry!AR419="","",Human_Data_Entry!AR419)</f>
        <v/>
      </c>
      <c r="X421" s="103">
        <f>IF(Human_Data_Entry!BK419="","",Human_Data_Entry!BK419)</f>
        <v/>
      </c>
    </row>
    <row r="422" ht="15" customHeight="1" s="241">
      <c r="A422" s="103">
        <f>IF(Human_Data_Entry!A420="","",Human_Data_Entry!A420)</f>
        <v/>
      </c>
      <c r="B422" s="103">
        <f>IF(Human_Data_Entry!B420="","",Human_Data_Entry!B420)</f>
        <v/>
      </c>
      <c r="C422" s="104">
        <f>IF(Human_Data_Entry!C420="","",Human_Data_Entry!C420)</f>
        <v/>
      </c>
      <c r="D422" s="103">
        <f>IF(Human_Data_Entry!D420="","",Human_Data_Entry!D420)</f>
        <v/>
      </c>
      <c r="E422" s="103">
        <f>IF(Human_Data_Entry!G420="","",Human_Data_Entry!G420)</f>
        <v/>
      </c>
      <c r="F422" s="103">
        <f>IF(Human_Data_Entry!X420="","",Human_Data_Entry!X420)</f>
        <v/>
      </c>
      <c r="G422" s="103">
        <f>IF(Human_Data_Entry!AY420="","",Human_Data_Entry!AY420)</f>
        <v/>
      </c>
      <c r="H422" s="103">
        <f>IF(Human_Data_Entry!AS420="","",Human_Data_Entry!AS420)</f>
        <v/>
      </c>
      <c r="I422" s="103">
        <f>IF(Human_Data_Entry!F420="","",Human_Data_Entry!F420)</f>
        <v/>
      </c>
      <c r="J422" s="103">
        <f>IF(Human_Data_Entry!BA420="","",Human_Data_Entry!BA420)</f>
        <v/>
      </c>
      <c r="K422" s="103">
        <f>IF(Human_Data_Entry!BB420="","",Human_Data_Entry!BB420)</f>
        <v/>
      </c>
      <c r="L422" s="103">
        <f>IF(Human_Data_Entry!BC420="","",Human_Data_Entry!BC420)</f>
        <v/>
      </c>
      <c r="M422" s="104">
        <f>IF(Human_Data_Entry!BD420="","",Human_Data_Entry!BD420)</f>
        <v/>
      </c>
      <c r="N422" s="104">
        <f>IF(Human_Data_Entry!BE420="","",Human_Data_Entry!BE420)</f>
        <v/>
      </c>
      <c r="O422" s="105">
        <f>IF(Human_Data_Entry!BF420="","",Human_Data_Entry!BF420)</f>
        <v/>
      </c>
      <c r="P422" s="103">
        <f>IF(Human_Data_Entry!BG420="","",Human_Data_Entry!BG420)</f>
        <v/>
      </c>
      <c r="Q422" s="103">
        <f>IF(Human_Data_Entry!BL420="","",Human_Data_Entry!BL420)</f>
        <v/>
      </c>
      <c r="R422" s="103">
        <f>IF(Human_Data_Entry!BH420="","",Human_Data_Entry!BH420)</f>
        <v/>
      </c>
      <c r="S422" s="103">
        <f>IF(Human_Data_Entry!BI420="","",Human_Data_Entry!BI420)</f>
        <v/>
      </c>
      <c r="T422" s="103">
        <f>IF(Human_Data_Entry!BJ420="","",Human_Data_Entry!BJ420)</f>
        <v/>
      </c>
      <c r="U422" s="103">
        <f>IF(Human_Data_Entry!AP420="","",Human_Data_Entry!AP420)</f>
        <v/>
      </c>
      <c r="V422" s="103">
        <f>IF(Human_Data_Entry!AQ420="","",Human_Data_Entry!AQ420)</f>
        <v/>
      </c>
      <c r="W422" s="103">
        <f>IF(Human_Data_Entry!AR420="","",Human_Data_Entry!AR420)</f>
        <v/>
      </c>
      <c r="X422" s="103">
        <f>IF(Human_Data_Entry!BK420="","",Human_Data_Entry!BK420)</f>
        <v/>
      </c>
    </row>
    <row r="423" ht="15" customHeight="1" s="241">
      <c r="A423" s="103">
        <f>IF(Human_Data_Entry!A421="","",Human_Data_Entry!A421)</f>
        <v/>
      </c>
      <c r="B423" s="103">
        <f>IF(Human_Data_Entry!B421="","",Human_Data_Entry!B421)</f>
        <v/>
      </c>
      <c r="C423" s="104">
        <f>IF(Human_Data_Entry!C421="","",Human_Data_Entry!C421)</f>
        <v/>
      </c>
      <c r="D423" s="103">
        <f>IF(Human_Data_Entry!D421="","",Human_Data_Entry!D421)</f>
        <v/>
      </c>
      <c r="E423" s="103">
        <f>IF(Human_Data_Entry!G421="","",Human_Data_Entry!G421)</f>
        <v/>
      </c>
      <c r="F423" s="103">
        <f>IF(Human_Data_Entry!X421="","",Human_Data_Entry!X421)</f>
        <v/>
      </c>
      <c r="G423" s="103">
        <f>IF(Human_Data_Entry!AY421="","",Human_Data_Entry!AY421)</f>
        <v/>
      </c>
      <c r="H423" s="103">
        <f>IF(Human_Data_Entry!AS421="","",Human_Data_Entry!AS421)</f>
        <v/>
      </c>
      <c r="I423" s="103">
        <f>IF(Human_Data_Entry!F421="","",Human_Data_Entry!F421)</f>
        <v/>
      </c>
      <c r="J423" s="103">
        <f>IF(Human_Data_Entry!BA421="","",Human_Data_Entry!BA421)</f>
        <v/>
      </c>
      <c r="K423" s="103">
        <f>IF(Human_Data_Entry!BB421="","",Human_Data_Entry!BB421)</f>
        <v/>
      </c>
      <c r="L423" s="103">
        <f>IF(Human_Data_Entry!BC421="","",Human_Data_Entry!BC421)</f>
        <v/>
      </c>
      <c r="M423" s="104">
        <f>IF(Human_Data_Entry!BD421="","",Human_Data_Entry!BD421)</f>
        <v/>
      </c>
      <c r="N423" s="104">
        <f>IF(Human_Data_Entry!BE421="","",Human_Data_Entry!BE421)</f>
        <v/>
      </c>
      <c r="O423" s="105">
        <f>IF(Human_Data_Entry!BF421="","",Human_Data_Entry!BF421)</f>
        <v/>
      </c>
      <c r="P423" s="103">
        <f>IF(Human_Data_Entry!BG421="","",Human_Data_Entry!BG421)</f>
        <v/>
      </c>
      <c r="Q423" s="103">
        <f>IF(Human_Data_Entry!BL421="","",Human_Data_Entry!BL421)</f>
        <v/>
      </c>
      <c r="R423" s="103">
        <f>IF(Human_Data_Entry!BH421="","",Human_Data_Entry!BH421)</f>
        <v/>
      </c>
      <c r="S423" s="103">
        <f>IF(Human_Data_Entry!BI421="","",Human_Data_Entry!BI421)</f>
        <v/>
      </c>
      <c r="T423" s="103">
        <f>IF(Human_Data_Entry!BJ421="","",Human_Data_Entry!BJ421)</f>
        <v/>
      </c>
      <c r="U423" s="103">
        <f>IF(Human_Data_Entry!AP421="","",Human_Data_Entry!AP421)</f>
        <v/>
      </c>
      <c r="V423" s="103">
        <f>IF(Human_Data_Entry!AQ421="","",Human_Data_Entry!AQ421)</f>
        <v/>
      </c>
      <c r="W423" s="103">
        <f>IF(Human_Data_Entry!AR421="","",Human_Data_Entry!AR421)</f>
        <v/>
      </c>
      <c r="X423" s="103">
        <f>IF(Human_Data_Entry!BK421="","",Human_Data_Entry!BK421)</f>
        <v/>
      </c>
    </row>
    <row r="424" ht="15" customHeight="1" s="241">
      <c r="A424" s="103">
        <f>IF(Human_Data_Entry!A422="","",Human_Data_Entry!A422)</f>
        <v/>
      </c>
      <c r="B424" s="103">
        <f>IF(Human_Data_Entry!B422="","",Human_Data_Entry!B422)</f>
        <v/>
      </c>
      <c r="C424" s="104">
        <f>IF(Human_Data_Entry!C422="","",Human_Data_Entry!C422)</f>
        <v/>
      </c>
      <c r="D424" s="103">
        <f>IF(Human_Data_Entry!D422="","",Human_Data_Entry!D422)</f>
        <v/>
      </c>
      <c r="E424" s="103">
        <f>IF(Human_Data_Entry!G422="","",Human_Data_Entry!G422)</f>
        <v/>
      </c>
      <c r="F424" s="103">
        <f>IF(Human_Data_Entry!X422="","",Human_Data_Entry!X422)</f>
        <v/>
      </c>
      <c r="G424" s="103">
        <f>IF(Human_Data_Entry!AY422="","",Human_Data_Entry!AY422)</f>
        <v/>
      </c>
      <c r="H424" s="103">
        <f>IF(Human_Data_Entry!AS422="","",Human_Data_Entry!AS422)</f>
        <v/>
      </c>
      <c r="I424" s="103">
        <f>IF(Human_Data_Entry!F422="","",Human_Data_Entry!F422)</f>
        <v/>
      </c>
      <c r="J424" s="103">
        <f>IF(Human_Data_Entry!BA422="","",Human_Data_Entry!BA422)</f>
        <v/>
      </c>
      <c r="K424" s="103">
        <f>IF(Human_Data_Entry!BB422="","",Human_Data_Entry!BB422)</f>
        <v/>
      </c>
      <c r="L424" s="103">
        <f>IF(Human_Data_Entry!BC422="","",Human_Data_Entry!BC422)</f>
        <v/>
      </c>
      <c r="M424" s="104">
        <f>IF(Human_Data_Entry!BD422="","",Human_Data_Entry!BD422)</f>
        <v/>
      </c>
      <c r="N424" s="104">
        <f>IF(Human_Data_Entry!BE422="","",Human_Data_Entry!BE422)</f>
        <v/>
      </c>
      <c r="O424" s="105">
        <f>IF(Human_Data_Entry!BF422="","",Human_Data_Entry!BF422)</f>
        <v/>
      </c>
      <c r="P424" s="103">
        <f>IF(Human_Data_Entry!BG422="","",Human_Data_Entry!BG422)</f>
        <v/>
      </c>
      <c r="Q424" s="103">
        <f>IF(Human_Data_Entry!BL422="","",Human_Data_Entry!BL422)</f>
        <v/>
      </c>
      <c r="R424" s="103">
        <f>IF(Human_Data_Entry!BH422="","",Human_Data_Entry!BH422)</f>
        <v/>
      </c>
      <c r="S424" s="103">
        <f>IF(Human_Data_Entry!BI422="","",Human_Data_Entry!BI422)</f>
        <v/>
      </c>
      <c r="T424" s="103">
        <f>IF(Human_Data_Entry!BJ422="","",Human_Data_Entry!BJ422)</f>
        <v/>
      </c>
      <c r="U424" s="103">
        <f>IF(Human_Data_Entry!AP422="","",Human_Data_Entry!AP422)</f>
        <v/>
      </c>
      <c r="V424" s="103">
        <f>IF(Human_Data_Entry!AQ422="","",Human_Data_Entry!AQ422)</f>
        <v/>
      </c>
      <c r="W424" s="103">
        <f>IF(Human_Data_Entry!AR422="","",Human_Data_Entry!AR422)</f>
        <v/>
      </c>
      <c r="X424" s="103">
        <f>IF(Human_Data_Entry!BK422="","",Human_Data_Entry!BK422)</f>
        <v/>
      </c>
    </row>
  </sheetData>
  <autoFilter ref="A4:X424"/>
  <mergeCells count="1">
    <mergeCell ref="A2:J2"/>
  </mergeCells>
  <pageMargins left="0.75" right="0.75" top="1" bottom="1" header="0.5" footer="0.5"/>
  <pageSetup orientation="landscape" fitToHeight="0"/>
</worksheet>
</file>

<file path=xl/worksheets/sheet16.xml><?xml version="1.0" encoding="utf-8"?>
<worksheet xmlns="http://schemas.openxmlformats.org/spreadsheetml/2006/main">
  <sheetPr>
    <tabColor rgb="FFBFBFBF"/>
    <outlinePr summaryBelow="1" summaryRight="1"/>
    <pageSetUpPr fitToPage="1"/>
  </sheetPr>
  <dimension ref="A1:V365"/>
  <sheetViews>
    <sheetView showGridLines="0" workbookViewId="0">
      <pane ySplit="4" topLeftCell="A5" activePane="bottomLeft" state="frozen"/>
      <selection pane="bottomLeft" activeCell="A1" sqref="A1"/>
    </sheetView>
  </sheetViews>
  <sheetFormatPr baseColWidth="8" defaultColWidth="8.85546875" defaultRowHeight="15"/>
  <cols>
    <col width="20" customWidth="1" style="241" min="1" max="1"/>
    <col width="9" customWidth="1" style="241" min="2" max="2"/>
    <col width="7" customWidth="1" style="241" min="3" max="3"/>
    <col width="8" customWidth="1" style="241" min="4" max="4"/>
    <col width="13" customWidth="1" style="241" min="5" max="5"/>
    <col width="18" customWidth="1" style="241" min="6" max="6"/>
    <col width="8" customWidth="1" style="241" min="7" max="7"/>
    <col width="13" customWidth="1" style="241" min="8" max="8"/>
    <col width="28" customWidth="1" style="241" min="9" max="9"/>
    <col width="36" customWidth="1" style="241" min="10" max="10"/>
    <col width="46" customWidth="1" style="241" min="11" max="11"/>
    <col width="24" customWidth="1" style="241" min="12" max="12"/>
    <col width="22" customWidth="1" style="241" min="13" max="14"/>
    <col width="16" customWidth="1" style="241" min="15" max="15"/>
    <col width="12" customWidth="1" style="241" min="16" max="17"/>
    <col width="13" customWidth="1" style="241" min="18" max="18"/>
    <col width="10" customWidth="1" style="241" min="19" max="19"/>
    <col width="13" customWidth="1" style="241" min="20" max="20"/>
    <col width="34" customWidth="1" style="241" min="21" max="21"/>
    <col width="12" customWidth="1" style="241" min="22" max="22"/>
  </cols>
  <sheetData>
    <row r="1" ht="18.95" customHeight="1" s="241">
      <c r="A1" s="102" t="inlineStr">
        <is>
          <t>Model arm — provenance and run metadata</t>
        </is>
      </c>
    </row>
    <row r="2" ht="39.95" customHeight="1" s="241">
      <c r="A2" s="238" t="inlineStr">
        <is>
          <t>Document provenance and run metadata for every model reading. Event Set marks FROZEN for the original 268 events and EXTENSION for the 93 added on 2026-08-14. All reported figures use the 233-event clean universe within the frozen set; any figure computed on all 268 frozen rows is not the reported universe.</t>
        </is>
      </c>
    </row>
    <row r="4" ht="30" customHeight="1" s="241">
      <c r="A4" s="151" t="inlineStr">
        <is>
          <t>Company</t>
        </is>
      </c>
      <c r="B4" s="151" t="inlineStr">
        <is>
          <t>Ticker</t>
        </is>
      </c>
      <c r="C4" s="151" t="inlineStr">
        <is>
          <t>Year</t>
        </is>
      </c>
      <c r="D4" s="151" t="inlineStr">
        <is>
          <t>Quarter</t>
        </is>
      </c>
      <c r="E4" s="151" t="inlineStr">
        <is>
          <t>Event Set</t>
        </is>
      </c>
      <c r="F4" s="151" t="inlineStr">
        <is>
          <t>Sector</t>
        </is>
      </c>
      <c r="G4" s="151" t="inlineStr">
        <is>
          <t>Phase</t>
        </is>
      </c>
      <c r="H4" s="151" t="inlineStr">
        <is>
          <t>Run</t>
        </is>
      </c>
      <c r="I4" s="151" t="inlineStr">
        <is>
          <t>Run Evidence</t>
        </is>
      </c>
      <c r="J4" s="151" t="inlineStr">
        <is>
          <t>Source File</t>
        </is>
      </c>
      <c r="K4" s="151" t="inlineStr">
        <is>
          <t>Source URL</t>
        </is>
      </c>
      <c r="L4" s="151" t="inlineStr">
        <is>
          <t>Source Basis</t>
        </is>
      </c>
      <c r="M4" s="151" t="inlineStr">
        <is>
          <t>Documents Cited</t>
        </is>
      </c>
      <c r="N4" s="151" t="inlineStr">
        <is>
          <t>Publisher</t>
        </is>
      </c>
      <c r="O4" s="151" t="inlineStr">
        <is>
          <t>Licence Class</t>
        </is>
      </c>
      <c r="P4" s="151" t="inlineStr">
        <is>
          <t>SEC Filing</t>
        </is>
      </c>
      <c r="Q4" s="151" t="inlineStr">
        <is>
          <t>In Manifest</t>
        </is>
      </c>
      <c r="R4" s="151" t="inlineStr">
        <is>
          <t>In Human Universe</t>
        </is>
      </c>
      <c r="S4" s="151" t="inlineStr">
        <is>
          <t>In Window</t>
        </is>
      </c>
      <c r="T4" s="151" t="inlineStr">
        <is>
          <t>In Clean Universe</t>
        </is>
      </c>
      <c r="U4" s="151" t="inlineStr">
        <is>
          <t>Exclusion Reason</t>
        </is>
      </c>
      <c r="V4" s="151" t="inlineStr">
        <is>
          <t>Token Cost</t>
        </is>
      </c>
    </row>
    <row r="5" ht="15" customHeight="1" s="241">
      <c r="A5" s="103">
        <f>IF(LLM_Data_Entry!A3="","",LLM_Data_Entry!A3)</f>
        <v/>
      </c>
      <c r="B5" s="103">
        <f>IF(LLM_Data_Entry!B3="","",LLM_Data_Entry!B3)</f>
        <v/>
      </c>
      <c r="C5" s="104">
        <f>IF(LLM_Data_Entry!C3="","",LLM_Data_Entry!C3)</f>
        <v/>
      </c>
      <c r="D5" s="103">
        <f>IF(LLM_Data_Entry!D3="","",LLM_Data_Entry!D3)</f>
        <v/>
      </c>
      <c r="E5" s="103">
        <f>IF(LLM_Data_Entry!V3="","",LLM_Data_Entry!V3)</f>
        <v/>
      </c>
      <c r="F5" s="103">
        <f>IF(LLM_Data_Entry!AS3="","",LLM_Data_Entry!AS3)</f>
        <v/>
      </c>
      <c r="G5" s="103">
        <f>IF(LLM_Data_Entry!AG3="","",LLM_Data_Entry!AG3)</f>
        <v/>
      </c>
      <c r="H5" s="103">
        <f>IF(LLM_Data_Entry!AT3="","",LLM_Data_Entry!AT3)</f>
        <v/>
      </c>
      <c r="I5" s="103">
        <f>IF(LLM_Data_Entry!AU3="","",LLM_Data_Entry!AU3)</f>
        <v/>
      </c>
      <c r="J5" s="103">
        <f>IF(LLM_Data_Entry!AH3="","",LLM_Data_Entry!AH3)</f>
        <v/>
      </c>
      <c r="K5" s="103">
        <f>IF(LLM_Data_Entry!AI3="","",LLM_Data_Entry!AI3)</f>
        <v/>
      </c>
      <c r="L5" s="103">
        <f>IF(LLM_Data_Entry!AJ3="","",LLM_Data_Entry!AJ3)</f>
        <v/>
      </c>
      <c r="M5" s="103">
        <f>IF(LLM_Data_Entry!AV3="","",LLM_Data_Entry!AV3)</f>
        <v/>
      </c>
      <c r="N5" s="103">
        <f>IF(LLM_Data_Entry!AW3="","",LLM_Data_Entry!AW3)</f>
        <v/>
      </c>
      <c r="O5" s="103">
        <f>IF(LLM_Data_Entry!AX3="","",LLM_Data_Entry!AX3)</f>
        <v/>
      </c>
      <c r="P5" s="103">
        <f>IF(LLM_Data_Entry!AY3="","",LLM_Data_Entry!AY3)</f>
        <v/>
      </c>
      <c r="Q5" s="103">
        <f>IF(LLM_Data_Entry!AZ3="","",LLM_Data_Entry!AZ3)</f>
        <v/>
      </c>
      <c r="R5" s="103">
        <f>IF(LLM_Data_Entry!AK3="","",LLM_Data_Entry!AK3)</f>
        <v/>
      </c>
      <c r="S5" s="103">
        <f>IF(LLM_Data_Entry!AL3="","",LLM_Data_Entry!AL3)</f>
        <v/>
      </c>
      <c r="T5" s="103">
        <f>IF(LLM_Data_Entry!BA3="","",LLM_Data_Entry!BA3)</f>
        <v/>
      </c>
      <c r="U5" s="103">
        <f>IF(LLM_Data_Entry!BB3="","",LLM_Data_Entry!BB3)</f>
        <v/>
      </c>
      <c r="V5" s="106">
        <f>IF(LLM_Data_Entry!O3="","",LLM_Data_Entry!O3)</f>
        <v/>
      </c>
    </row>
    <row r="6" ht="15" customHeight="1" s="241">
      <c r="A6" s="103">
        <f>IF(LLM_Data_Entry!A4="","",LLM_Data_Entry!A4)</f>
        <v/>
      </c>
      <c r="B6" s="103">
        <f>IF(LLM_Data_Entry!B4="","",LLM_Data_Entry!B4)</f>
        <v/>
      </c>
      <c r="C6" s="104">
        <f>IF(LLM_Data_Entry!C4="","",LLM_Data_Entry!C4)</f>
        <v/>
      </c>
      <c r="D6" s="103">
        <f>IF(LLM_Data_Entry!D4="","",LLM_Data_Entry!D4)</f>
        <v/>
      </c>
      <c r="E6" s="103">
        <f>IF(LLM_Data_Entry!V4="","",LLM_Data_Entry!V4)</f>
        <v/>
      </c>
      <c r="F6" s="103">
        <f>IF(LLM_Data_Entry!AS4="","",LLM_Data_Entry!AS4)</f>
        <v/>
      </c>
      <c r="G6" s="103">
        <f>IF(LLM_Data_Entry!AG4="","",LLM_Data_Entry!AG4)</f>
        <v/>
      </c>
      <c r="H6" s="103">
        <f>IF(LLM_Data_Entry!AT4="","",LLM_Data_Entry!AT4)</f>
        <v/>
      </c>
      <c r="I6" s="103">
        <f>IF(LLM_Data_Entry!AU4="","",LLM_Data_Entry!AU4)</f>
        <v/>
      </c>
      <c r="J6" s="103">
        <f>IF(LLM_Data_Entry!AH4="","",LLM_Data_Entry!AH4)</f>
        <v/>
      </c>
      <c r="K6" s="103">
        <f>IF(LLM_Data_Entry!AI4="","",LLM_Data_Entry!AI4)</f>
        <v/>
      </c>
      <c r="L6" s="103">
        <f>IF(LLM_Data_Entry!AJ4="","",LLM_Data_Entry!AJ4)</f>
        <v/>
      </c>
      <c r="M6" s="103">
        <f>IF(LLM_Data_Entry!AV4="","",LLM_Data_Entry!AV4)</f>
        <v/>
      </c>
      <c r="N6" s="103">
        <f>IF(LLM_Data_Entry!AW4="","",LLM_Data_Entry!AW4)</f>
        <v/>
      </c>
      <c r="O6" s="103">
        <f>IF(LLM_Data_Entry!AX4="","",LLM_Data_Entry!AX4)</f>
        <v/>
      </c>
      <c r="P6" s="103">
        <f>IF(LLM_Data_Entry!AY4="","",LLM_Data_Entry!AY4)</f>
        <v/>
      </c>
      <c r="Q6" s="103">
        <f>IF(LLM_Data_Entry!AZ4="","",LLM_Data_Entry!AZ4)</f>
        <v/>
      </c>
      <c r="R6" s="103">
        <f>IF(LLM_Data_Entry!AK4="","",LLM_Data_Entry!AK4)</f>
        <v/>
      </c>
      <c r="S6" s="103">
        <f>IF(LLM_Data_Entry!AL4="","",LLM_Data_Entry!AL4)</f>
        <v/>
      </c>
      <c r="T6" s="103">
        <f>IF(LLM_Data_Entry!BA4="","",LLM_Data_Entry!BA4)</f>
        <v/>
      </c>
      <c r="U6" s="103">
        <f>IF(LLM_Data_Entry!BB4="","",LLM_Data_Entry!BB4)</f>
        <v/>
      </c>
      <c r="V6" s="106">
        <f>IF(LLM_Data_Entry!O4="","",LLM_Data_Entry!O4)</f>
        <v/>
      </c>
    </row>
    <row r="7" ht="15" customHeight="1" s="241">
      <c r="A7" s="103">
        <f>IF(LLM_Data_Entry!A5="","",LLM_Data_Entry!A5)</f>
        <v/>
      </c>
      <c r="B7" s="103">
        <f>IF(LLM_Data_Entry!B5="","",LLM_Data_Entry!B5)</f>
        <v/>
      </c>
      <c r="C7" s="104">
        <f>IF(LLM_Data_Entry!C5="","",LLM_Data_Entry!C5)</f>
        <v/>
      </c>
      <c r="D7" s="103">
        <f>IF(LLM_Data_Entry!D5="","",LLM_Data_Entry!D5)</f>
        <v/>
      </c>
      <c r="E7" s="103">
        <f>IF(LLM_Data_Entry!V5="","",LLM_Data_Entry!V5)</f>
        <v/>
      </c>
      <c r="F7" s="103">
        <f>IF(LLM_Data_Entry!AS5="","",LLM_Data_Entry!AS5)</f>
        <v/>
      </c>
      <c r="G7" s="103">
        <f>IF(LLM_Data_Entry!AG5="","",LLM_Data_Entry!AG5)</f>
        <v/>
      </c>
      <c r="H7" s="103">
        <f>IF(LLM_Data_Entry!AT5="","",LLM_Data_Entry!AT5)</f>
        <v/>
      </c>
      <c r="I7" s="103">
        <f>IF(LLM_Data_Entry!AU5="","",LLM_Data_Entry!AU5)</f>
        <v/>
      </c>
      <c r="J7" s="103">
        <f>IF(LLM_Data_Entry!AH5="","",LLM_Data_Entry!AH5)</f>
        <v/>
      </c>
      <c r="K7" s="103">
        <f>IF(LLM_Data_Entry!AI5="","",LLM_Data_Entry!AI5)</f>
        <v/>
      </c>
      <c r="L7" s="103">
        <f>IF(LLM_Data_Entry!AJ5="","",LLM_Data_Entry!AJ5)</f>
        <v/>
      </c>
      <c r="M7" s="103">
        <f>IF(LLM_Data_Entry!AV5="","",LLM_Data_Entry!AV5)</f>
        <v/>
      </c>
      <c r="N7" s="103">
        <f>IF(LLM_Data_Entry!AW5="","",LLM_Data_Entry!AW5)</f>
        <v/>
      </c>
      <c r="O7" s="103">
        <f>IF(LLM_Data_Entry!AX5="","",LLM_Data_Entry!AX5)</f>
        <v/>
      </c>
      <c r="P7" s="103">
        <f>IF(LLM_Data_Entry!AY5="","",LLM_Data_Entry!AY5)</f>
        <v/>
      </c>
      <c r="Q7" s="103">
        <f>IF(LLM_Data_Entry!AZ5="","",LLM_Data_Entry!AZ5)</f>
        <v/>
      </c>
      <c r="R7" s="103">
        <f>IF(LLM_Data_Entry!AK5="","",LLM_Data_Entry!AK5)</f>
        <v/>
      </c>
      <c r="S7" s="103">
        <f>IF(LLM_Data_Entry!AL5="","",LLM_Data_Entry!AL5)</f>
        <v/>
      </c>
      <c r="T7" s="103">
        <f>IF(LLM_Data_Entry!BA5="","",LLM_Data_Entry!BA5)</f>
        <v/>
      </c>
      <c r="U7" s="103">
        <f>IF(LLM_Data_Entry!BB5="","",LLM_Data_Entry!BB5)</f>
        <v/>
      </c>
      <c r="V7" s="106">
        <f>IF(LLM_Data_Entry!O5="","",LLM_Data_Entry!O5)</f>
        <v/>
      </c>
    </row>
    <row r="8" ht="15" customHeight="1" s="241">
      <c r="A8" s="103">
        <f>IF(LLM_Data_Entry!A6="","",LLM_Data_Entry!A6)</f>
        <v/>
      </c>
      <c r="B8" s="103">
        <f>IF(LLM_Data_Entry!B6="","",LLM_Data_Entry!B6)</f>
        <v/>
      </c>
      <c r="C8" s="104">
        <f>IF(LLM_Data_Entry!C6="","",LLM_Data_Entry!C6)</f>
        <v/>
      </c>
      <c r="D8" s="103">
        <f>IF(LLM_Data_Entry!D6="","",LLM_Data_Entry!D6)</f>
        <v/>
      </c>
      <c r="E8" s="103">
        <f>IF(LLM_Data_Entry!V6="","",LLM_Data_Entry!V6)</f>
        <v/>
      </c>
      <c r="F8" s="103">
        <f>IF(LLM_Data_Entry!AS6="","",LLM_Data_Entry!AS6)</f>
        <v/>
      </c>
      <c r="G8" s="103">
        <f>IF(LLM_Data_Entry!AG6="","",LLM_Data_Entry!AG6)</f>
        <v/>
      </c>
      <c r="H8" s="103">
        <f>IF(LLM_Data_Entry!AT6="","",LLM_Data_Entry!AT6)</f>
        <v/>
      </c>
      <c r="I8" s="103">
        <f>IF(LLM_Data_Entry!AU6="","",LLM_Data_Entry!AU6)</f>
        <v/>
      </c>
      <c r="J8" s="103">
        <f>IF(LLM_Data_Entry!AH6="","",LLM_Data_Entry!AH6)</f>
        <v/>
      </c>
      <c r="K8" s="103">
        <f>IF(LLM_Data_Entry!AI6="","",LLM_Data_Entry!AI6)</f>
        <v/>
      </c>
      <c r="L8" s="103">
        <f>IF(LLM_Data_Entry!AJ6="","",LLM_Data_Entry!AJ6)</f>
        <v/>
      </c>
      <c r="M8" s="103">
        <f>IF(LLM_Data_Entry!AV6="","",LLM_Data_Entry!AV6)</f>
        <v/>
      </c>
      <c r="N8" s="103">
        <f>IF(LLM_Data_Entry!AW6="","",LLM_Data_Entry!AW6)</f>
        <v/>
      </c>
      <c r="O8" s="103">
        <f>IF(LLM_Data_Entry!AX6="","",LLM_Data_Entry!AX6)</f>
        <v/>
      </c>
      <c r="P8" s="103">
        <f>IF(LLM_Data_Entry!AY6="","",LLM_Data_Entry!AY6)</f>
        <v/>
      </c>
      <c r="Q8" s="103">
        <f>IF(LLM_Data_Entry!AZ6="","",LLM_Data_Entry!AZ6)</f>
        <v/>
      </c>
      <c r="R8" s="103">
        <f>IF(LLM_Data_Entry!AK6="","",LLM_Data_Entry!AK6)</f>
        <v/>
      </c>
      <c r="S8" s="103">
        <f>IF(LLM_Data_Entry!AL6="","",LLM_Data_Entry!AL6)</f>
        <v/>
      </c>
      <c r="T8" s="103">
        <f>IF(LLM_Data_Entry!BA6="","",LLM_Data_Entry!BA6)</f>
        <v/>
      </c>
      <c r="U8" s="103">
        <f>IF(LLM_Data_Entry!BB6="","",LLM_Data_Entry!BB6)</f>
        <v/>
      </c>
      <c r="V8" s="106">
        <f>IF(LLM_Data_Entry!O6="","",LLM_Data_Entry!O6)</f>
        <v/>
      </c>
    </row>
    <row r="9" ht="15" customHeight="1" s="241">
      <c r="A9" s="103">
        <f>IF(LLM_Data_Entry!A7="","",LLM_Data_Entry!A7)</f>
        <v/>
      </c>
      <c r="B9" s="103">
        <f>IF(LLM_Data_Entry!B7="","",LLM_Data_Entry!B7)</f>
        <v/>
      </c>
      <c r="C9" s="104">
        <f>IF(LLM_Data_Entry!C7="","",LLM_Data_Entry!C7)</f>
        <v/>
      </c>
      <c r="D9" s="103">
        <f>IF(LLM_Data_Entry!D7="","",LLM_Data_Entry!D7)</f>
        <v/>
      </c>
      <c r="E9" s="103">
        <f>IF(LLM_Data_Entry!V7="","",LLM_Data_Entry!V7)</f>
        <v/>
      </c>
      <c r="F9" s="103">
        <f>IF(LLM_Data_Entry!AS7="","",LLM_Data_Entry!AS7)</f>
        <v/>
      </c>
      <c r="G9" s="103">
        <f>IF(LLM_Data_Entry!AG7="","",LLM_Data_Entry!AG7)</f>
        <v/>
      </c>
      <c r="H9" s="103">
        <f>IF(LLM_Data_Entry!AT7="","",LLM_Data_Entry!AT7)</f>
        <v/>
      </c>
      <c r="I9" s="103">
        <f>IF(LLM_Data_Entry!AU7="","",LLM_Data_Entry!AU7)</f>
        <v/>
      </c>
      <c r="J9" s="103">
        <f>IF(LLM_Data_Entry!AH7="","",LLM_Data_Entry!AH7)</f>
        <v/>
      </c>
      <c r="K9" s="103">
        <f>IF(LLM_Data_Entry!AI7="","",LLM_Data_Entry!AI7)</f>
        <v/>
      </c>
      <c r="L9" s="103">
        <f>IF(LLM_Data_Entry!AJ7="","",LLM_Data_Entry!AJ7)</f>
        <v/>
      </c>
      <c r="M9" s="103">
        <f>IF(LLM_Data_Entry!AV7="","",LLM_Data_Entry!AV7)</f>
        <v/>
      </c>
      <c r="N9" s="103">
        <f>IF(LLM_Data_Entry!AW7="","",LLM_Data_Entry!AW7)</f>
        <v/>
      </c>
      <c r="O9" s="103">
        <f>IF(LLM_Data_Entry!AX7="","",LLM_Data_Entry!AX7)</f>
        <v/>
      </c>
      <c r="P9" s="103">
        <f>IF(LLM_Data_Entry!AY7="","",LLM_Data_Entry!AY7)</f>
        <v/>
      </c>
      <c r="Q9" s="103">
        <f>IF(LLM_Data_Entry!AZ7="","",LLM_Data_Entry!AZ7)</f>
        <v/>
      </c>
      <c r="R9" s="103">
        <f>IF(LLM_Data_Entry!AK7="","",LLM_Data_Entry!AK7)</f>
        <v/>
      </c>
      <c r="S9" s="103">
        <f>IF(LLM_Data_Entry!AL7="","",LLM_Data_Entry!AL7)</f>
        <v/>
      </c>
      <c r="T9" s="103">
        <f>IF(LLM_Data_Entry!BA7="","",LLM_Data_Entry!BA7)</f>
        <v/>
      </c>
      <c r="U9" s="103">
        <f>IF(LLM_Data_Entry!BB7="","",LLM_Data_Entry!BB7)</f>
        <v/>
      </c>
      <c r="V9" s="106">
        <f>IF(LLM_Data_Entry!O7="","",LLM_Data_Entry!O7)</f>
        <v/>
      </c>
    </row>
    <row r="10" ht="15" customHeight="1" s="241">
      <c r="A10" s="103">
        <f>IF(LLM_Data_Entry!A8="","",LLM_Data_Entry!A8)</f>
        <v/>
      </c>
      <c r="B10" s="103">
        <f>IF(LLM_Data_Entry!B8="","",LLM_Data_Entry!B8)</f>
        <v/>
      </c>
      <c r="C10" s="104">
        <f>IF(LLM_Data_Entry!C8="","",LLM_Data_Entry!C8)</f>
        <v/>
      </c>
      <c r="D10" s="103">
        <f>IF(LLM_Data_Entry!D8="","",LLM_Data_Entry!D8)</f>
        <v/>
      </c>
      <c r="E10" s="103">
        <f>IF(LLM_Data_Entry!V8="","",LLM_Data_Entry!V8)</f>
        <v/>
      </c>
      <c r="F10" s="103">
        <f>IF(LLM_Data_Entry!AS8="","",LLM_Data_Entry!AS8)</f>
        <v/>
      </c>
      <c r="G10" s="103">
        <f>IF(LLM_Data_Entry!AG8="","",LLM_Data_Entry!AG8)</f>
        <v/>
      </c>
      <c r="H10" s="103">
        <f>IF(LLM_Data_Entry!AT8="","",LLM_Data_Entry!AT8)</f>
        <v/>
      </c>
      <c r="I10" s="103">
        <f>IF(LLM_Data_Entry!AU8="","",LLM_Data_Entry!AU8)</f>
        <v/>
      </c>
      <c r="J10" s="103">
        <f>IF(LLM_Data_Entry!AH8="","",LLM_Data_Entry!AH8)</f>
        <v/>
      </c>
      <c r="K10" s="103">
        <f>IF(LLM_Data_Entry!AI8="","",LLM_Data_Entry!AI8)</f>
        <v/>
      </c>
      <c r="L10" s="103">
        <f>IF(LLM_Data_Entry!AJ8="","",LLM_Data_Entry!AJ8)</f>
        <v/>
      </c>
      <c r="M10" s="103">
        <f>IF(LLM_Data_Entry!AV8="","",LLM_Data_Entry!AV8)</f>
        <v/>
      </c>
      <c r="N10" s="103">
        <f>IF(LLM_Data_Entry!AW8="","",LLM_Data_Entry!AW8)</f>
        <v/>
      </c>
      <c r="O10" s="103">
        <f>IF(LLM_Data_Entry!AX8="","",LLM_Data_Entry!AX8)</f>
        <v/>
      </c>
      <c r="P10" s="103">
        <f>IF(LLM_Data_Entry!AY8="","",LLM_Data_Entry!AY8)</f>
        <v/>
      </c>
      <c r="Q10" s="103">
        <f>IF(LLM_Data_Entry!AZ8="","",LLM_Data_Entry!AZ8)</f>
        <v/>
      </c>
      <c r="R10" s="103">
        <f>IF(LLM_Data_Entry!AK8="","",LLM_Data_Entry!AK8)</f>
        <v/>
      </c>
      <c r="S10" s="103">
        <f>IF(LLM_Data_Entry!AL8="","",LLM_Data_Entry!AL8)</f>
        <v/>
      </c>
      <c r="T10" s="103">
        <f>IF(LLM_Data_Entry!BA8="","",LLM_Data_Entry!BA8)</f>
        <v/>
      </c>
      <c r="U10" s="103">
        <f>IF(LLM_Data_Entry!BB8="","",LLM_Data_Entry!BB8)</f>
        <v/>
      </c>
      <c r="V10" s="106">
        <f>IF(LLM_Data_Entry!O8="","",LLM_Data_Entry!O8)</f>
        <v/>
      </c>
    </row>
    <row r="11" ht="15" customHeight="1" s="241">
      <c r="A11" s="103">
        <f>IF(LLM_Data_Entry!A9="","",LLM_Data_Entry!A9)</f>
        <v/>
      </c>
      <c r="B11" s="103">
        <f>IF(LLM_Data_Entry!B9="","",LLM_Data_Entry!B9)</f>
        <v/>
      </c>
      <c r="C11" s="104">
        <f>IF(LLM_Data_Entry!C9="","",LLM_Data_Entry!C9)</f>
        <v/>
      </c>
      <c r="D11" s="103">
        <f>IF(LLM_Data_Entry!D9="","",LLM_Data_Entry!D9)</f>
        <v/>
      </c>
      <c r="E11" s="103">
        <f>IF(LLM_Data_Entry!V9="","",LLM_Data_Entry!V9)</f>
        <v/>
      </c>
      <c r="F11" s="103">
        <f>IF(LLM_Data_Entry!AS9="","",LLM_Data_Entry!AS9)</f>
        <v/>
      </c>
      <c r="G11" s="103">
        <f>IF(LLM_Data_Entry!AG9="","",LLM_Data_Entry!AG9)</f>
        <v/>
      </c>
      <c r="H11" s="103">
        <f>IF(LLM_Data_Entry!AT9="","",LLM_Data_Entry!AT9)</f>
        <v/>
      </c>
      <c r="I11" s="103">
        <f>IF(LLM_Data_Entry!AU9="","",LLM_Data_Entry!AU9)</f>
        <v/>
      </c>
      <c r="J11" s="103">
        <f>IF(LLM_Data_Entry!AH9="","",LLM_Data_Entry!AH9)</f>
        <v/>
      </c>
      <c r="K11" s="103">
        <f>IF(LLM_Data_Entry!AI9="","",LLM_Data_Entry!AI9)</f>
        <v/>
      </c>
      <c r="L11" s="103">
        <f>IF(LLM_Data_Entry!AJ9="","",LLM_Data_Entry!AJ9)</f>
        <v/>
      </c>
      <c r="M11" s="103">
        <f>IF(LLM_Data_Entry!AV9="","",LLM_Data_Entry!AV9)</f>
        <v/>
      </c>
      <c r="N11" s="103">
        <f>IF(LLM_Data_Entry!AW9="","",LLM_Data_Entry!AW9)</f>
        <v/>
      </c>
      <c r="O11" s="103">
        <f>IF(LLM_Data_Entry!AX9="","",LLM_Data_Entry!AX9)</f>
        <v/>
      </c>
      <c r="P11" s="103">
        <f>IF(LLM_Data_Entry!AY9="","",LLM_Data_Entry!AY9)</f>
        <v/>
      </c>
      <c r="Q11" s="103">
        <f>IF(LLM_Data_Entry!AZ9="","",LLM_Data_Entry!AZ9)</f>
        <v/>
      </c>
      <c r="R11" s="103">
        <f>IF(LLM_Data_Entry!AK9="","",LLM_Data_Entry!AK9)</f>
        <v/>
      </c>
      <c r="S11" s="103">
        <f>IF(LLM_Data_Entry!AL9="","",LLM_Data_Entry!AL9)</f>
        <v/>
      </c>
      <c r="T11" s="103">
        <f>IF(LLM_Data_Entry!BA9="","",LLM_Data_Entry!BA9)</f>
        <v/>
      </c>
      <c r="U11" s="103">
        <f>IF(LLM_Data_Entry!BB9="","",LLM_Data_Entry!BB9)</f>
        <v/>
      </c>
      <c r="V11" s="106">
        <f>IF(LLM_Data_Entry!O9="","",LLM_Data_Entry!O9)</f>
        <v/>
      </c>
    </row>
    <row r="12" ht="15" customHeight="1" s="241">
      <c r="A12" s="103">
        <f>IF(LLM_Data_Entry!A10="","",LLM_Data_Entry!A10)</f>
        <v/>
      </c>
      <c r="B12" s="103">
        <f>IF(LLM_Data_Entry!B10="","",LLM_Data_Entry!B10)</f>
        <v/>
      </c>
      <c r="C12" s="104">
        <f>IF(LLM_Data_Entry!C10="","",LLM_Data_Entry!C10)</f>
        <v/>
      </c>
      <c r="D12" s="103">
        <f>IF(LLM_Data_Entry!D10="","",LLM_Data_Entry!D10)</f>
        <v/>
      </c>
      <c r="E12" s="103">
        <f>IF(LLM_Data_Entry!V10="","",LLM_Data_Entry!V10)</f>
        <v/>
      </c>
      <c r="F12" s="103">
        <f>IF(LLM_Data_Entry!AS10="","",LLM_Data_Entry!AS10)</f>
        <v/>
      </c>
      <c r="G12" s="103">
        <f>IF(LLM_Data_Entry!AG10="","",LLM_Data_Entry!AG10)</f>
        <v/>
      </c>
      <c r="H12" s="103">
        <f>IF(LLM_Data_Entry!AT10="","",LLM_Data_Entry!AT10)</f>
        <v/>
      </c>
      <c r="I12" s="103">
        <f>IF(LLM_Data_Entry!AU10="","",LLM_Data_Entry!AU10)</f>
        <v/>
      </c>
      <c r="J12" s="103">
        <f>IF(LLM_Data_Entry!AH10="","",LLM_Data_Entry!AH10)</f>
        <v/>
      </c>
      <c r="K12" s="103">
        <f>IF(LLM_Data_Entry!AI10="","",LLM_Data_Entry!AI10)</f>
        <v/>
      </c>
      <c r="L12" s="103">
        <f>IF(LLM_Data_Entry!AJ10="","",LLM_Data_Entry!AJ10)</f>
        <v/>
      </c>
      <c r="M12" s="103">
        <f>IF(LLM_Data_Entry!AV10="","",LLM_Data_Entry!AV10)</f>
        <v/>
      </c>
      <c r="N12" s="103">
        <f>IF(LLM_Data_Entry!AW10="","",LLM_Data_Entry!AW10)</f>
        <v/>
      </c>
      <c r="O12" s="103">
        <f>IF(LLM_Data_Entry!AX10="","",LLM_Data_Entry!AX10)</f>
        <v/>
      </c>
      <c r="P12" s="103">
        <f>IF(LLM_Data_Entry!AY10="","",LLM_Data_Entry!AY10)</f>
        <v/>
      </c>
      <c r="Q12" s="103">
        <f>IF(LLM_Data_Entry!AZ10="","",LLM_Data_Entry!AZ10)</f>
        <v/>
      </c>
      <c r="R12" s="103">
        <f>IF(LLM_Data_Entry!AK10="","",LLM_Data_Entry!AK10)</f>
        <v/>
      </c>
      <c r="S12" s="103">
        <f>IF(LLM_Data_Entry!AL10="","",LLM_Data_Entry!AL10)</f>
        <v/>
      </c>
      <c r="T12" s="103">
        <f>IF(LLM_Data_Entry!BA10="","",LLM_Data_Entry!BA10)</f>
        <v/>
      </c>
      <c r="U12" s="103">
        <f>IF(LLM_Data_Entry!BB10="","",LLM_Data_Entry!BB10)</f>
        <v/>
      </c>
      <c r="V12" s="106">
        <f>IF(LLM_Data_Entry!O10="","",LLM_Data_Entry!O10)</f>
        <v/>
      </c>
    </row>
    <row r="13" ht="15" customHeight="1" s="241">
      <c r="A13" s="103">
        <f>IF(LLM_Data_Entry!A11="","",LLM_Data_Entry!A11)</f>
        <v/>
      </c>
      <c r="B13" s="103">
        <f>IF(LLM_Data_Entry!B11="","",LLM_Data_Entry!B11)</f>
        <v/>
      </c>
      <c r="C13" s="104">
        <f>IF(LLM_Data_Entry!C11="","",LLM_Data_Entry!C11)</f>
        <v/>
      </c>
      <c r="D13" s="103">
        <f>IF(LLM_Data_Entry!D11="","",LLM_Data_Entry!D11)</f>
        <v/>
      </c>
      <c r="E13" s="103">
        <f>IF(LLM_Data_Entry!V11="","",LLM_Data_Entry!V11)</f>
        <v/>
      </c>
      <c r="F13" s="103">
        <f>IF(LLM_Data_Entry!AS11="","",LLM_Data_Entry!AS11)</f>
        <v/>
      </c>
      <c r="G13" s="103">
        <f>IF(LLM_Data_Entry!AG11="","",LLM_Data_Entry!AG11)</f>
        <v/>
      </c>
      <c r="H13" s="103">
        <f>IF(LLM_Data_Entry!AT11="","",LLM_Data_Entry!AT11)</f>
        <v/>
      </c>
      <c r="I13" s="103">
        <f>IF(LLM_Data_Entry!AU11="","",LLM_Data_Entry!AU11)</f>
        <v/>
      </c>
      <c r="J13" s="103">
        <f>IF(LLM_Data_Entry!AH11="","",LLM_Data_Entry!AH11)</f>
        <v/>
      </c>
      <c r="K13" s="103">
        <f>IF(LLM_Data_Entry!AI11="","",LLM_Data_Entry!AI11)</f>
        <v/>
      </c>
      <c r="L13" s="103">
        <f>IF(LLM_Data_Entry!AJ11="","",LLM_Data_Entry!AJ11)</f>
        <v/>
      </c>
      <c r="M13" s="103">
        <f>IF(LLM_Data_Entry!AV11="","",LLM_Data_Entry!AV11)</f>
        <v/>
      </c>
      <c r="N13" s="103">
        <f>IF(LLM_Data_Entry!AW11="","",LLM_Data_Entry!AW11)</f>
        <v/>
      </c>
      <c r="O13" s="103">
        <f>IF(LLM_Data_Entry!AX11="","",LLM_Data_Entry!AX11)</f>
        <v/>
      </c>
      <c r="P13" s="103">
        <f>IF(LLM_Data_Entry!AY11="","",LLM_Data_Entry!AY11)</f>
        <v/>
      </c>
      <c r="Q13" s="103">
        <f>IF(LLM_Data_Entry!AZ11="","",LLM_Data_Entry!AZ11)</f>
        <v/>
      </c>
      <c r="R13" s="103">
        <f>IF(LLM_Data_Entry!AK11="","",LLM_Data_Entry!AK11)</f>
        <v/>
      </c>
      <c r="S13" s="103">
        <f>IF(LLM_Data_Entry!AL11="","",LLM_Data_Entry!AL11)</f>
        <v/>
      </c>
      <c r="T13" s="103">
        <f>IF(LLM_Data_Entry!BA11="","",LLM_Data_Entry!BA11)</f>
        <v/>
      </c>
      <c r="U13" s="103">
        <f>IF(LLM_Data_Entry!BB11="","",LLM_Data_Entry!BB11)</f>
        <v/>
      </c>
      <c r="V13" s="106">
        <f>IF(LLM_Data_Entry!O11="","",LLM_Data_Entry!O11)</f>
        <v/>
      </c>
    </row>
    <row r="14" ht="15" customHeight="1" s="241">
      <c r="A14" s="103">
        <f>IF(LLM_Data_Entry!A12="","",LLM_Data_Entry!A12)</f>
        <v/>
      </c>
      <c r="B14" s="103">
        <f>IF(LLM_Data_Entry!B12="","",LLM_Data_Entry!B12)</f>
        <v/>
      </c>
      <c r="C14" s="104">
        <f>IF(LLM_Data_Entry!C12="","",LLM_Data_Entry!C12)</f>
        <v/>
      </c>
      <c r="D14" s="103">
        <f>IF(LLM_Data_Entry!D12="","",LLM_Data_Entry!D12)</f>
        <v/>
      </c>
      <c r="E14" s="103">
        <f>IF(LLM_Data_Entry!V12="","",LLM_Data_Entry!V12)</f>
        <v/>
      </c>
      <c r="F14" s="103">
        <f>IF(LLM_Data_Entry!AS12="","",LLM_Data_Entry!AS12)</f>
        <v/>
      </c>
      <c r="G14" s="103">
        <f>IF(LLM_Data_Entry!AG12="","",LLM_Data_Entry!AG12)</f>
        <v/>
      </c>
      <c r="H14" s="103">
        <f>IF(LLM_Data_Entry!AT12="","",LLM_Data_Entry!AT12)</f>
        <v/>
      </c>
      <c r="I14" s="103">
        <f>IF(LLM_Data_Entry!AU12="","",LLM_Data_Entry!AU12)</f>
        <v/>
      </c>
      <c r="J14" s="103">
        <f>IF(LLM_Data_Entry!AH12="","",LLM_Data_Entry!AH12)</f>
        <v/>
      </c>
      <c r="K14" s="103">
        <f>IF(LLM_Data_Entry!AI12="","",LLM_Data_Entry!AI12)</f>
        <v/>
      </c>
      <c r="L14" s="103">
        <f>IF(LLM_Data_Entry!AJ12="","",LLM_Data_Entry!AJ12)</f>
        <v/>
      </c>
      <c r="M14" s="103">
        <f>IF(LLM_Data_Entry!AV12="","",LLM_Data_Entry!AV12)</f>
        <v/>
      </c>
      <c r="N14" s="103">
        <f>IF(LLM_Data_Entry!AW12="","",LLM_Data_Entry!AW12)</f>
        <v/>
      </c>
      <c r="O14" s="103">
        <f>IF(LLM_Data_Entry!AX12="","",LLM_Data_Entry!AX12)</f>
        <v/>
      </c>
      <c r="P14" s="103">
        <f>IF(LLM_Data_Entry!AY12="","",LLM_Data_Entry!AY12)</f>
        <v/>
      </c>
      <c r="Q14" s="103">
        <f>IF(LLM_Data_Entry!AZ12="","",LLM_Data_Entry!AZ12)</f>
        <v/>
      </c>
      <c r="R14" s="103">
        <f>IF(LLM_Data_Entry!AK12="","",LLM_Data_Entry!AK12)</f>
        <v/>
      </c>
      <c r="S14" s="103">
        <f>IF(LLM_Data_Entry!AL12="","",LLM_Data_Entry!AL12)</f>
        <v/>
      </c>
      <c r="T14" s="103">
        <f>IF(LLM_Data_Entry!BA12="","",LLM_Data_Entry!BA12)</f>
        <v/>
      </c>
      <c r="U14" s="103">
        <f>IF(LLM_Data_Entry!BB12="","",LLM_Data_Entry!BB12)</f>
        <v/>
      </c>
      <c r="V14" s="106">
        <f>IF(LLM_Data_Entry!O12="","",LLM_Data_Entry!O12)</f>
        <v/>
      </c>
    </row>
    <row r="15" ht="15" customHeight="1" s="241">
      <c r="A15" s="103">
        <f>IF(LLM_Data_Entry!A13="","",LLM_Data_Entry!A13)</f>
        <v/>
      </c>
      <c r="B15" s="103">
        <f>IF(LLM_Data_Entry!B13="","",LLM_Data_Entry!B13)</f>
        <v/>
      </c>
      <c r="C15" s="104">
        <f>IF(LLM_Data_Entry!C13="","",LLM_Data_Entry!C13)</f>
        <v/>
      </c>
      <c r="D15" s="103">
        <f>IF(LLM_Data_Entry!D13="","",LLM_Data_Entry!D13)</f>
        <v/>
      </c>
      <c r="E15" s="103">
        <f>IF(LLM_Data_Entry!V13="","",LLM_Data_Entry!V13)</f>
        <v/>
      </c>
      <c r="F15" s="103">
        <f>IF(LLM_Data_Entry!AS13="","",LLM_Data_Entry!AS13)</f>
        <v/>
      </c>
      <c r="G15" s="103">
        <f>IF(LLM_Data_Entry!AG13="","",LLM_Data_Entry!AG13)</f>
        <v/>
      </c>
      <c r="H15" s="103">
        <f>IF(LLM_Data_Entry!AT13="","",LLM_Data_Entry!AT13)</f>
        <v/>
      </c>
      <c r="I15" s="103">
        <f>IF(LLM_Data_Entry!AU13="","",LLM_Data_Entry!AU13)</f>
        <v/>
      </c>
      <c r="J15" s="103">
        <f>IF(LLM_Data_Entry!AH13="","",LLM_Data_Entry!AH13)</f>
        <v/>
      </c>
      <c r="K15" s="103">
        <f>IF(LLM_Data_Entry!AI13="","",LLM_Data_Entry!AI13)</f>
        <v/>
      </c>
      <c r="L15" s="103">
        <f>IF(LLM_Data_Entry!AJ13="","",LLM_Data_Entry!AJ13)</f>
        <v/>
      </c>
      <c r="M15" s="103">
        <f>IF(LLM_Data_Entry!AV13="","",LLM_Data_Entry!AV13)</f>
        <v/>
      </c>
      <c r="N15" s="103">
        <f>IF(LLM_Data_Entry!AW13="","",LLM_Data_Entry!AW13)</f>
        <v/>
      </c>
      <c r="O15" s="103">
        <f>IF(LLM_Data_Entry!AX13="","",LLM_Data_Entry!AX13)</f>
        <v/>
      </c>
      <c r="P15" s="103">
        <f>IF(LLM_Data_Entry!AY13="","",LLM_Data_Entry!AY13)</f>
        <v/>
      </c>
      <c r="Q15" s="103">
        <f>IF(LLM_Data_Entry!AZ13="","",LLM_Data_Entry!AZ13)</f>
        <v/>
      </c>
      <c r="R15" s="103">
        <f>IF(LLM_Data_Entry!AK13="","",LLM_Data_Entry!AK13)</f>
        <v/>
      </c>
      <c r="S15" s="103">
        <f>IF(LLM_Data_Entry!AL13="","",LLM_Data_Entry!AL13)</f>
        <v/>
      </c>
      <c r="T15" s="103">
        <f>IF(LLM_Data_Entry!BA13="","",LLM_Data_Entry!BA13)</f>
        <v/>
      </c>
      <c r="U15" s="103">
        <f>IF(LLM_Data_Entry!BB13="","",LLM_Data_Entry!BB13)</f>
        <v/>
      </c>
      <c r="V15" s="106">
        <f>IF(LLM_Data_Entry!O13="","",LLM_Data_Entry!O13)</f>
        <v/>
      </c>
    </row>
    <row r="16" ht="15" customHeight="1" s="241">
      <c r="A16" s="103">
        <f>IF(LLM_Data_Entry!A14="","",LLM_Data_Entry!A14)</f>
        <v/>
      </c>
      <c r="B16" s="103">
        <f>IF(LLM_Data_Entry!B14="","",LLM_Data_Entry!B14)</f>
        <v/>
      </c>
      <c r="C16" s="104">
        <f>IF(LLM_Data_Entry!C14="","",LLM_Data_Entry!C14)</f>
        <v/>
      </c>
      <c r="D16" s="103">
        <f>IF(LLM_Data_Entry!D14="","",LLM_Data_Entry!D14)</f>
        <v/>
      </c>
      <c r="E16" s="103">
        <f>IF(LLM_Data_Entry!V14="","",LLM_Data_Entry!V14)</f>
        <v/>
      </c>
      <c r="F16" s="103">
        <f>IF(LLM_Data_Entry!AS14="","",LLM_Data_Entry!AS14)</f>
        <v/>
      </c>
      <c r="G16" s="103">
        <f>IF(LLM_Data_Entry!AG14="","",LLM_Data_Entry!AG14)</f>
        <v/>
      </c>
      <c r="H16" s="103">
        <f>IF(LLM_Data_Entry!AT14="","",LLM_Data_Entry!AT14)</f>
        <v/>
      </c>
      <c r="I16" s="103">
        <f>IF(LLM_Data_Entry!AU14="","",LLM_Data_Entry!AU14)</f>
        <v/>
      </c>
      <c r="J16" s="103">
        <f>IF(LLM_Data_Entry!AH14="","",LLM_Data_Entry!AH14)</f>
        <v/>
      </c>
      <c r="K16" s="103">
        <f>IF(LLM_Data_Entry!AI14="","",LLM_Data_Entry!AI14)</f>
        <v/>
      </c>
      <c r="L16" s="103">
        <f>IF(LLM_Data_Entry!AJ14="","",LLM_Data_Entry!AJ14)</f>
        <v/>
      </c>
      <c r="M16" s="103">
        <f>IF(LLM_Data_Entry!AV14="","",LLM_Data_Entry!AV14)</f>
        <v/>
      </c>
      <c r="N16" s="103">
        <f>IF(LLM_Data_Entry!AW14="","",LLM_Data_Entry!AW14)</f>
        <v/>
      </c>
      <c r="O16" s="103">
        <f>IF(LLM_Data_Entry!AX14="","",LLM_Data_Entry!AX14)</f>
        <v/>
      </c>
      <c r="P16" s="103">
        <f>IF(LLM_Data_Entry!AY14="","",LLM_Data_Entry!AY14)</f>
        <v/>
      </c>
      <c r="Q16" s="103">
        <f>IF(LLM_Data_Entry!AZ14="","",LLM_Data_Entry!AZ14)</f>
        <v/>
      </c>
      <c r="R16" s="103">
        <f>IF(LLM_Data_Entry!AK14="","",LLM_Data_Entry!AK14)</f>
        <v/>
      </c>
      <c r="S16" s="103">
        <f>IF(LLM_Data_Entry!AL14="","",LLM_Data_Entry!AL14)</f>
        <v/>
      </c>
      <c r="T16" s="103">
        <f>IF(LLM_Data_Entry!BA14="","",LLM_Data_Entry!BA14)</f>
        <v/>
      </c>
      <c r="U16" s="103">
        <f>IF(LLM_Data_Entry!BB14="","",LLM_Data_Entry!BB14)</f>
        <v/>
      </c>
      <c r="V16" s="106">
        <f>IF(LLM_Data_Entry!O14="","",LLM_Data_Entry!O14)</f>
        <v/>
      </c>
    </row>
    <row r="17" ht="15" customHeight="1" s="241">
      <c r="A17" s="103">
        <f>IF(LLM_Data_Entry!A15="","",LLM_Data_Entry!A15)</f>
        <v/>
      </c>
      <c r="B17" s="103">
        <f>IF(LLM_Data_Entry!B15="","",LLM_Data_Entry!B15)</f>
        <v/>
      </c>
      <c r="C17" s="104">
        <f>IF(LLM_Data_Entry!C15="","",LLM_Data_Entry!C15)</f>
        <v/>
      </c>
      <c r="D17" s="103">
        <f>IF(LLM_Data_Entry!D15="","",LLM_Data_Entry!D15)</f>
        <v/>
      </c>
      <c r="E17" s="103">
        <f>IF(LLM_Data_Entry!V15="","",LLM_Data_Entry!V15)</f>
        <v/>
      </c>
      <c r="F17" s="103">
        <f>IF(LLM_Data_Entry!AS15="","",LLM_Data_Entry!AS15)</f>
        <v/>
      </c>
      <c r="G17" s="103">
        <f>IF(LLM_Data_Entry!AG15="","",LLM_Data_Entry!AG15)</f>
        <v/>
      </c>
      <c r="H17" s="103">
        <f>IF(LLM_Data_Entry!AT15="","",LLM_Data_Entry!AT15)</f>
        <v/>
      </c>
      <c r="I17" s="103">
        <f>IF(LLM_Data_Entry!AU15="","",LLM_Data_Entry!AU15)</f>
        <v/>
      </c>
      <c r="J17" s="103">
        <f>IF(LLM_Data_Entry!AH15="","",LLM_Data_Entry!AH15)</f>
        <v/>
      </c>
      <c r="K17" s="103">
        <f>IF(LLM_Data_Entry!AI15="","",LLM_Data_Entry!AI15)</f>
        <v/>
      </c>
      <c r="L17" s="103">
        <f>IF(LLM_Data_Entry!AJ15="","",LLM_Data_Entry!AJ15)</f>
        <v/>
      </c>
      <c r="M17" s="103">
        <f>IF(LLM_Data_Entry!AV15="","",LLM_Data_Entry!AV15)</f>
        <v/>
      </c>
      <c r="N17" s="103">
        <f>IF(LLM_Data_Entry!AW15="","",LLM_Data_Entry!AW15)</f>
        <v/>
      </c>
      <c r="O17" s="103">
        <f>IF(LLM_Data_Entry!AX15="","",LLM_Data_Entry!AX15)</f>
        <v/>
      </c>
      <c r="P17" s="103">
        <f>IF(LLM_Data_Entry!AY15="","",LLM_Data_Entry!AY15)</f>
        <v/>
      </c>
      <c r="Q17" s="103">
        <f>IF(LLM_Data_Entry!AZ15="","",LLM_Data_Entry!AZ15)</f>
        <v/>
      </c>
      <c r="R17" s="103">
        <f>IF(LLM_Data_Entry!AK15="","",LLM_Data_Entry!AK15)</f>
        <v/>
      </c>
      <c r="S17" s="103">
        <f>IF(LLM_Data_Entry!AL15="","",LLM_Data_Entry!AL15)</f>
        <v/>
      </c>
      <c r="T17" s="103">
        <f>IF(LLM_Data_Entry!BA15="","",LLM_Data_Entry!BA15)</f>
        <v/>
      </c>
      <c r="U17" s="103">
        <f>IF(LLM_Data_Entry!BB15="","",LLM_Data_Entry!BB15)</f>
        <v/>
      </c>
      <c r="V17" s="106">
        <f>IF(LLM_Data_Entry!O15="","",LLM_Data_Entry!O15)</f>
        <v/>
      </c>
    </row>
    <row r="18" ht="15" customHeight="1" s="241">
      <c r="A18" s="103">
        <f>IF(LLM_Data_Entry!A16="","",LLM_Data_Entry!A16)</f>
        <v/>
      </c>
      <c r="B18" s="103">
        <f>IF(LLM_Data_Entry!B16="","",LLM_Data_Entry!B16)</f>
        <v/>
      </c>
      <c r="C18" s="104">
        <f>IF(LLM_Data_Entry!C16="","",LLM_Data_Entry!C16)</f>
        <v/>
      </c>
      <c r="D18" s="103">
        <f>IF(LLM_Data_Entry!D16="","",LLM_Data_Entry!D16)</f>
        <v/>
      </c>
      <c r="E18" s="103">
        <f>IF(LLM_Data_Entry!V16="","",LLM_Data_Entry!V16)</f>
        <v/>
      </c>
      <c r="F18" s="103">
        <f>IF(LLM_Data_Entry!AS16="","",LLM_Data_Entry!AS16)</f>
        <v/>
      </c>
      <c r="G18" s="103">
        <f>IF(LLM_Data_Entry!AG16="","",LLM_Data_Entry!AG16)</f>
        <v/>
      </c>
      <c r="H18" s="103">
        <f>IF(LLM_Data_Entry!AT16="","",LLM_Data_Entry!AT16)</f>
        <v/>
      </c>
      <c r="I18" s="103">
        <f>IF(LLM_Data_Entry!AU16="","",LLM_Data_Entry!AU16)</f>
        <v/>
      </c>
      <c r="J18" s="103">
        <f>IF(LLM_Data_Entry!AH16="","",LLM_Data_Entry!AH16)</f>
        <v/>
      </c>
      <c r="K18" s="103">
        <f>IF(LLM_Data_Entry!AI16="","",LLM_Data_Entry!AI16)</f>
        <v/>
      </c>
      <c r="L18" s="103">
        <f>IF(LLM_Data_Entry!AJ16="","",LLM_Data_Entry!AJ16)</f>
        <v/>
      </c>
      <c r="M18" s="103">
        <f>IF(LLM_Data_Entry!AV16="","",LLM_Data_Entry!AV16)</f>
        <v/>
      </c>
      <c r="N18" s="103">
        <f>IF(LLM_Data_Entry!AW16="","",LLM_Data_Entry!AW16)</f>
        <v/>
      </c>
      <c r="O18" s="103">
        <f>IF(LLM_Data_Entry!AX16="","",LLM_Data_Entry!AX16)</f>
        <v/>
      </c>
      <c r="P18" s="103">
        <f>IF(LLM_Data_Entry!AY16="","",LLM_Data_Entry!AY16)</f>
        <v/>
      </c>
      <c r="Q18" s="103">
        <f>IF(LLM_Data_Entry!AZ16="","",LLM_Data_Entry!AZ16)</f>
        <v/>
      </c>
      <c r="R18" s="103">
        <f>IF(LLM_Data_Entry!AK16="","",LLM_Data_Entry!AK16)</f>
        <v/>
      </c>
      <c r="S18" s="103">
        <f>IF(LLM_Data_Entry!AL16="","",LLM_Data_Entry!AL16)</f>
        <v/>
      </c>
      <c r="T18" s="103">
        <f>IF(LLM_Data_Entry!BA16="","",LLM_Data_Entry!BA16)</f>
        <v/>
      </c>
      <c r="U18" s="103">
        <f>IF(LLM_Data_Entry!BB16="","",LLM_Data_Entry!BB16)</f>
        <v/>
      </c>
      <c r="V18" s="106">
        <f>IF(LLM_Data_Entry!O16="","",LLM_Data_Entry!O16)</f>
        <v/>
      </c>
    </row>
    <row r="19" ht="15" customHeight="1" s="241">
      <c r="A19" s="103">
        <f>IF(LLM_Data_Entry!A17="","",LLM_Data_Entry!A17)</f>
        <v/>
      </c>
      <c r="B19" s="103">
        <f>IF(LLM_Data_Entry!B17="","",LLM_Data_Entry!B17)</f>
        <v/>
      </c>
      <c r="C19" s="104">
        <f>IF(LLM_Data_Entry!C17="","",LLM_Data_Entry!C17)</f>
        <v/>
      </c>
      <c r="D19" s="103">
        <f>IF(LLM_Data_Entry!D17="","",LLM_Data_Entry!D17)</f>
        <v/>
      </c>
      <c r="E19" s="103">
        <f>IF(LLM_Data_Entry!V17="","",LLM_Data_Entry!V17)</f>
        <v/>
      </c>
      <c r="F19" s="103">
        <f>IF(LLM_Data_Entry!AS17="","",LLM_Data_Entry!AS17)</f>
        <v/>
      </c>
      <c r="G19" s="103">
        <f>IF(LLM_Data_Entry!AG17="","",LLM_Data_Entry!AG17)</f>
        <v/>
      </c>
      <c r="H19" s="103">
        <f>IF(LLM_Data_Entry!AT17="","",LLM_Data_Entry!AT17)</f>
        <v/>
      </c>
      <c r="I19" s="103">
        <f>IF(LLM_Data_Entry!AU17="","",LLM_Data_Entry!AU17)</f>
        <v/>
      </c>
      <c r="J19" s="103">
        <f>IF(LLM_Data_Entry!AH17="","",LLM_Data_Entry!AH17)</f>
        <v/>
      </c>
      <c r="K19" s="103">
        <f>IF(LLM_Data_Entry!AI17="","",LLM_Data_Entry!AI17)</f>
        <v/>
      </c>
      <c r="L19" s="103">
        <f>IF(LLM_Data_Entry!AJ17="","",LLM_Data_Entry!AJ17)</f>
        <v/>
      </c>
      <c r="M19" s="103">
        <f>IF(LLM_Data_Entry!AV17="","",LLM_Data_Entry!AV17)</f>
        <v/>
      </c>
      <c r="N19" s="103">
        <f>IF(LLM_Data_Entry!AW17="","",LLM_Data_Entry!AW17)</f>
        <v/>
      </c>
      <c r="O19" s="103">
        <f>IF(LLM_Data_Entry!AX17="","",LLM_Data_Entry!AX17)</f>
        <v/>
      </c>
      <c r="P19" s="103">
        <f>IF(LLM_Data_Entry!AY17="","",LLM_Data_Entry!AY17)</f>
        <v/>
      </c>
      <c r="Q19" s="103">
        <f>IF(LLM_Data_Entry!AZ17="","",LLM_Data_Entry!AZ17)</f>
        <v/>
      </c>
      <c r="R19" s="103">
        <f>IF(LLM_Data_Entry!AK17="","",LLM_Data_Entry!AK17)</f>
        <v/>
      </c>
      <c r="S19" s="103">
        <f>IF(LLM_Data_Entry!AL17="","",LLM_Data_Entry!AL17)</f>
        <v/>
      </c>
      <c r="T19" s="103">
        <f>IF(LLM_Data_Entry!BA17="","",LLM_Data_Entry!BA17)</f>
        <v/>
      </c>
      <c r="U19" s="103">
        <f>IF(LLM_Data_Entry!BB17="","",LLM_Data_Entry!BB17)</f>
        <v/>
      </c>
      <c r="V19" s="106">
        <f>IF(LLM_Data_Entry!O17="","",LLM_Data_Entry!O17)</f>
        <v/>
      </c>
    </row>
    <row r="20" ht="15" customHeight="1" s="241">
      <c r="A20" s="103">
        <f>IF(LLM_Data_Entry!A18="","",LLM_Data_Entry!A18)</f>
        <v/>
      </c>
      <c r="B20" s="103">
        <f>IF(LLM_Data_Entry!B18="","",LLM_Data_Entry!B18)</f>
        <v/>
      </c>
      <c r="C20" s="104">
        <f>IF(LLM_Data_Entry!C18="","",LLM_Data_Entry!C18)</f>
        <v/>
      </c>
      <c r="D20" s="103">
        <f>IF(LLM_Data_Entry!D18="","",LLM_Data_Entry!D18)</f>
        <v/>
      </c>
      <c r="E20" s="103">
        <f>IF(LLM_Data_Entry!V18="","",LLM_Data_Entry!V18)</f>
        <v/>
      </c>
      <c r="F20" s="103">
        <f>IF(LLM_Data_Entry!AS18="","",LLM_Data_Entry!AS18)</f>
        <v/>
      </c>
      <c r="G20" s="103">
        <f>IF(LLM_Data_Entry!AG18="","",LLM_Data_Entry!AG18)</f>
        <v/>
      </c>
      <c r="H20" s="103">
        <f>IF(LLM_Data_Entry!AT18="","",LLM_Data_Entry!AT18)</f>
        <v/>
      </c>
      <c r="I20" s="103">
        <f>IF(LLM_Data_Entry!AU18="","",LLM_Data_Entry!AU18)</f>
        <v/>
      </c>
      <c r="J20" s="103">
        <f>IF(LLM_Data_Entry!AH18="","",LLM_Data_Entry!AH18)</f>
        <v/>
      </c>
      <c r="K20" s="103">
        <f>IF(LLM_Data_Entry!AI18="","",LLM_Data_Entry!AI18)</f>
        <v/>
      </c>
      <c r="L20" s="103">
        <f>IF(LLM_Data_Entry!AJ18="","",LLM_Data_Entry!AJ18)</f>
        <v/>
      </c>
      <c r="M20" s="103">
        <f>IF(LLM_Data_Entry!AV18="","",LLM_Data_Entry!AV18)</f>
        <v/>
      </c>
      <c r="N20" s="103">
        <f>IF(LLM_Data_Entry!AW18="","",LLM_Data_Entry!AW18)</f>
        <v/>
      </c>
      <c r="O20" s="103">
        <f>IF(LLM_Data_Entry!AX18="","",LLM_Data_Entry!AX18)</f>
        <v/>
      </c>
      <c r="P20" s="103">
        <f>IF(LLM_Data_Entry!AY18="","",LLM_Data_Entry!AY18)</f>
        <v/>
      </c>
      <c r="Q20" s="103">
        <f>IF(LLM_Data_Entry!AZ18="","",LLM_Data_Entry!AZ18)</f>
        <v/>
      </c>
      <c r="R20" s="103">
        <f>IF(LLM_Data_Entry!AK18="","",LLM_Data_Entry!AK18)</f>
        <v/>
      </c>
      <c r="S20" s="103">
        <f>IF(LLM_Data_Entry!AL18="","",LLM_Data_Entry!AL18)</f>
        <v/>
      </c>
      <c r="T20" s="103">
        <f>IF(LLM_Data_Entry!BA18="","",LLM_Data_Entry!BA18)</f>
        <v/>
      </c>
      <c r="U20" s="103">
        <f>IF(LLM_Data_Entry!BB18="","",LLM_Data_Entry!BB18)</f>
        <v/>
      </c>
      <c r="V20" s="106">
        <f>IF(LLM_Data_Entry!O18="","",LLM_Data_Entry!O18)</f>
        <v/>
      </c>
    </row>
    <row r="21" ht="15" customHeight="1" s="241">
      <c r="A21" s="103">
        <f>IF(LLM_Data_Entry!A19="","",LLM_Data_Entry!A19)</f>
        <v/>
      </c>
      <c r="B21" s="103">
        <f>IF(LLM_Data_Entry!B19="","",LLM_Data_Entry!B19)</f>
        <v/>
      </c>
      <c r="C21" s="104">
        <f>IF(LLM_Data_Entry!C19="","",LLM_Data_Entry!C19)</f>
        <v/>
      </c>
      <c r="D21" s="103">
        <f>IF(LLM_Data_Entry!D19="","",LLM_Data_Entry!D19)</f>
        <v/>
      </c>
      <c r="E21" s="103">
        <f>IF(LLM_Data_Entry!V19="","",LLM_Data_Entry!V19)</f>
        <v/>
      </c>
      <c r="F21" s="103">
        <f>IF(LLM_Data_Entry!AS19="","",LLM_Data_Entry!AS19)</f>
        <v/>
      </c>
      <c r="G21" s="103">
        <f>IF(LLM_Data_Entry!AG19="","",LLM_Data_Entry!AG19)</f>
        <v/>
      </c>
      <c r="H21" s="103">
        <f>IF(LLM_Data_Entry!AT19="","",LLM_Data_Entry!AT19)</f>
        <v/>
      </c>
      <c r="I21" s="103">
        <f>IF(LLM_Data_Entry!AU19="","",LLM_Data_Entry!AU19)</f>
        <v/>
      </c>
      <c r="J21" s="103">
        <f>IF(LLM_Data_Entry!AH19="","",LLM_Data_Entry!AH19)</f>
        <v/>
      </c>
      <c r="K21" s="103">
        <f>IF(LLM_Data_Entry!AI19="","",LLM_Data_Entry!AI19)</f>
        <v/>
      </c>
      <c r="L21" s="103">
        <f>IF(LLM_Data_Entry!AJ19="","",LLM_Data_Entry!AJ19)</f>
        <v/>
      </c>
      <c r="M21" s="103">
        <f>IF(LLM_Data_Entry!AV19="","",LLM_Data_Entry!AV19)</f>
        <v/>
      </c>
      <c r="N21" s="103">
        <f>IF(LLM_Data_Entry!AW19="","",LLM_Data_Entry!AW19)</f>
        <v/>
      </c>
      <c r="O21" s="103">
        <f>IF(LLM_Data_Entry!AX19="","",LLM_Data_Entry!AX19)</f>
        <v/>
      </c>
      <c r="P21" s="103">
        <f>IF(LLM_Data_Entry!AY19="","",LLM_Data_Entry!AY19)</f>
        <v/>
      </c>
      <c r="Q21" s="103">
        <f>IF(LLM_Data_Entry!AZ19="","",LLM_Data_Entry!AZ19)</f>
        <v/>
      </c>
      <c r="R21" s="103">
        <f>IF(LLM_Data_Entry!AK19="","",LLM_Data_Entry!AK19)</f>
        <v/>
      </c>
      <c r="S21" s="103">
        <f>IF(LLM_Data_Entry!AL19="","",LLM_Data_Entry!AL19)</f>
        <v/>
      </c>
      <c r="T21" s="103">
        <f>IF(LLM_Data_Entry!BA19="","",LLM_Data_Entry!BA19)</f>
        <v/>
      </c>
      <c r="U21" s="103">
        <f>IF(LLM_Data_Entry!BB19="","",LLM_Data_Entry!BB19)</f>
        <v/>
      </c>
      <c r="V21" s="106">
        <f>IF(LLM_Data_Entry!O19="","",LLM_Data_Entry!O19)</f>
        <v/>
      </c>
    </row>
    <row r="22" ht="15" customHeight="1" s="241">
      <c r="A22" s="103">
        <f>IF(LLM_Data_Entry!A20="","",LLM_Data_Entry!A20)</f>
        <v/>
      </c>
      <c r="B22" s="103">
        <f>IF(LLM_Data_Entry!B20="","",LLM_Data_Entry!B20)</f>
        <v/>
      </c>
      <c r="C22" s="104">
        <f>IF(LLM_Data_Entry!C20="","",LLM_Data_Entry!C20)</f>
        <v/>
      </c>
      <c r="D22" s="103">
        <f>IF(LLM_Data_Entry!D20="","",LLM_Data_Entry!D20)</f>
        <v/>
      </c>
      <c r="E22" s="103">
        <f>IF(LLM_Data_Entry!V20="","",LLM_Data_Entry!V20)</f>
        <v/>
      </c>
      <c r="F22" s="103">
        <f>IF(LLM_Data_Entry!AS20="","",LLM_Data_Entry!AS20)</f>
        <v/>
      </c>
      <c r="G22" s="103">
        <f>IF(LLM_Data_Entry!AG20="","",LLM_Data_Entry!AG20)</f>
        <v/>
      </c>
      <c r="H22" s="103">
        <f>IF(LLM_Data_Entry!AT20="","",LLM_Data_Entry!AT20)</f>
        <v/>
      </c>
      <c r="I22" s="103">
        <f>IF(LLM_Data_Entry!AU20="","",LLM_Data_Entry!AU20)</f>
        <v/>
      </c>
      <c r="J22" s="103">
        <f>IF(LLM_Data_Entry!AH20="","",LLM_Data_Entry!AH20)</f>
        <v/>
      </c>
      <c r="K22" s="103">
        <f>IF(LLM_Data_Entry!AI20="","",LLM_Data_Entry!AI20)</f>
        <v/>
      </c>
      <c r="L22" s="103">
        <f>IF(LLM_Data_Entry!AJ20="","",LLM_Data_Entry!AJ20)</f>
        <v/>
      </c>
      <c r="M22" s="103">
        <f>IF(LLM_Data_Entry!AV20="","",LLM_Data_Entry!AV20)</f>
        <v/>
      </c>
      <c r="N22" s="103">
        <f>IF(LLM_Data_Entry!AW20="","",LLM_Data_Entry!AW20)</f>
        <v/>
      </c>
      <c r="O22" s="103">
        <f>IF(LLM_Data_Entry!AX20="","",LLM_Data_Entry!AX20)</f>
        <v/>
      </c>
      <c r="P22" s="103">
        <f>IF(LLM_Data_Entry!AY20="","",LLM_Data_Entry!AY20)</f>
        <v/>
      </c>
      <c r="Q22" s="103">
        <f>IF(LLM_Data_Entry!AZ20="","",LLM_Data_Entry!AZ20)</f>
        <v/>
      </c>
      <c r="R22" s="103">
        <f>IF(LLM_Data_Entry!AK20="","",LLM_Data_Entry!AK20)</f>
        <v/>
      </c>
      <c r="S22" s="103">
        <f>IF(LLM_Data_Entry!AL20="","",LLM_Data_Entry!AL20)</f>
        <v/>
      </c>
      <c r="T22" s="103">
        <f>IF(LLM_Data_Entry!BA20="","",LLM_Data_Entry!BA20)</f>
        <v/>
      </c>
      <c r="U22" s="103">
        <f>IF(LLM_Data_Entry!BB20="","",LLM_Data_Entry!BB20)</f>
        <v/>
      </c>
      <c r="V22" s="106">
        <f>IF(LLM_Data_Entry!O20="","",LLM_Data_Entry!O20)</f>
        <v/>
      </c>
    </row>
    <row r="23" ht="15" customHeight="1" s="241">
      <c r="A23" s="103">
        <f>IF(LLM_Data_Entry!A21="","",LLM_Data_Entry!A21)</f>
        <v/>
      </c>
      <c r="B23" s="103">
        <f>IF(LLM_Data_Entry!B21="","",LLM_Data_Entry!B21)</f>
        <v/>
      </c>
      <c r="C23" s="104">
        <f>IF(LLM_Data_Entry!C21="","",LLM_Data_Entry!C21)</f>
        <v/>
      </c>
      <c r="D23" s="103">
        <f>IF(LLM_Data_Entry!D21="","",LLM_Data_Entry!D21)</f>
        <v/>
      </c>
      <c r="E23" s="103">
        <f>IF(LLM_Data_Entry!V21="","",LLM_Data_Entry!V21)</f>
        <v/>
      </c>
      <c r="F23" s="103">
        <f>IF(LLM_Data_Entry!AS21="","",LLM_Data_Entry!AS21)</f>
        <v/>
      </c>
      <c r="G23" s="103">
        <f>IF(LLM_Data_Entry!AG21="","",LLM_Data_Entry!AG21)</f>
        <v/>
      </c>
      <c r="H23" s="103">
        <f>IF(LLM_Data_Entry!AT21="","",LLM_Data_Entry!AT21)</f>
        <v/>
      </c>
      <c r="I23" s="103">
        <f>IF(LLM_Data_Entry!AU21="","",LLM_Data_Entry!AU21)</f>
        <v/>
      </c>
      <c r="J23" s="103">
        <f>IF(LLM_Data_Entry!AH21="","",LLM_Data_Entry!AH21)</f>
        <v/>
      </c>
      <c r="K23" s="103">
        <f>IF(LLM_Data_Entry!AI21="","",LLM_Data_Entry!AI21)</f>
        <v/>
      </c>
      <c r="L23" s="103">
        <f>IF(LLM_Data_Entry!AJ21="","",LLM_Data_Entry!AJ21)</f>
        <v/>
      </c>
      <c r="M23" s="103">
        <f>IF(LLM_Data_Entry!AV21="","",LLM_Data_Entry!AV21)</f>
        <v/>
      </c>
      <c r="N23" s="103">
        <f>IF(LLM_Data_Entry!AW21="","",LLM_Data_Entry!AW21)</f>
        <v/>
      </c>
      <c r="O23" s="103">
        <f>IF(LLM_Data_Entry!AX21="","",LLM_Data_Entry!AX21)</f>
        <v/>
      </c>
      <c r="P23" s="103">
        <f>IF(LLM_Data_Entry!AY21="","",LLM_Data_Entry!AY21)</f>
        <v/>
      </c>
      <c r="Q23" s="103">
        <f>IF(LLM_Data_Entry!AZ21="","",LLM_Data_Entry!AZ21)</f>
        <v/>
      </c>
      <c r="R23" s="103">
        <f>IF(LLM_Data_Entry!AK21="","",LLM_Data_Entry!AK21)</f>
        <v/>
      </c>
      <c r="S23" s="103">
        <f>IF(LLM_Data_Entry!AL21="","",LLM_Data_Entry!AL21)</f>
        <v/>
      </c>
      <c r="T23" s="103">
        <f>IF(LLM_Data_Entry!BA21="","",LLM_Data_Entry!BA21)</f>
        <v/>
      </c>
      <c r="U23" s="103">
        <f>IF(LLM_Data_Entry!BB21="","",LLM_Data_Entry!BB21)</f>
        <v/>
      </c>
      <c r="V23" s="106">
        <f>IF(LLM_Data_Entry!O21="","",LLM_Data_Entry!O21)</f>
        <v/>
      </c>
    </row>
    <row r="24" ht="15" customHeight="1" s="241">
      <c r="A24" s="103">
        <f>IF(LLM_Data_Entry!A22="","",LLM_Data_Entry!A22)</f>
        <v/>
      </c>
      <c r="B24" s="103">
        <f>IF(LLM_Data_Entry!B22="","",LLM_Data_Entry!B22)</f>
        <v/>
      </c>
      <c r="C24" s="104">
        <f>IF(LLM_Data_Entry!C22="","",LLM_Data_Entry!C22)</f>
        <v/>
      </c>
      <c r="D24" s="103">
        <f>IF(LLM_Data_Entry!D22="","",LLM_Data_Entry!D22)</f>
        <v/>
      </c>
      <c r="E24" s="103">
        <f>IF(LLM_Data_Entry!V22="","",LLM_Data_Entry!V22)</f>
        <v/>
      </c>
      <c r="F24" s="103">
        <f>IF(LLM_Data_Entry!AS22="","",LLM_Data_Entry!AS22)</f>
        <v/>
      </c>
      <c r="G24" s="103">
        <f>IF(LLM_Data_Entry!AG22="","",LLM_Data_Entry!AG22)</f>
        <v/>
      </c>
      <c r="H24" s="103">
        <f>IF(LLM_Data_Entry!AT22="","",LLM_Data_Entry!AT22)</f>
        <v/>
      </c>
      <c r="I24" s="103">
        <f>IF(LLM_Data_Entry!AU22="","",LLM_Data_Entry!AU22)</f>
        <v/>
      </c>
      <c r="J24" s="103">
        <f>IF(LLM_Data_Entry!AH22="","",LLM_Data_Entry!AH22)</f>
        <v/>
      </c>
      <c r="K24" s="103">
        <f>IF(LLM_Data_Entry!AI22="","",LLM_Data_Entry!AI22)</f>
        <v/>
      </c>
      <c r="L24" s="103">
        <f>IF(LLM_Data_Entry!AJ22="","",LLM_Data_Entry!AJ22)</f>
        <v/>
      </c>
      <c r="M24" s="103">
        <f>IF(LLM_Data_Entry!AV22="","",LLM_Data_Entry!AV22)</f>
        <v/>
      </c>
      <c r="N24" s="103">
        <f>IF(LLM_Data_Entry!AW22="","",LLM_Data_Entry!AW22)</f>
        <v/>
      </c>
      <c r="O24" s="103">
        <f>IF(LLM_Data_Entry!AX22="","",LLM_Data_Entry!AX22)</f>
        <v/>
      </c>
      <c r="P24" s="103">
        <f>IF(LLM_Data_Entry!AY22="","",LLM_Data_Entry!AY22)</f>
        <v/>
      </c>
      <c r="Q24" s="103">
        <f>IF(LLM_Data_Entry!AZ22="","",LLM_Data_Entry!AZ22)</f>
        <v/>
      </c>
      <c r="R24" s="103">
        <f>IF(LLM_Data_Entry!AK22="","",LLM_Data_Entry!AK22)</f>
        <v/>
      </c>
      <c r="S24" s="103">
        <f>IF(LLM_Data_Entry!AL22="","",LLM_Data_Entry!AL22)</f>
        <v/>
      </c>
      <c r="T24" s="103">
        <f>IF(LLM_Data_Entry!BA22="","",LLM_Data_Entry!BA22)</f>
        <v/>
      </c>
      <c r="U24" s="103">
        <f>IF(LLM_Data_Entry!BB22="","",LLM_Data_Entry!BB22)</f>
        <v/>
      </c>
      <c r="V24" s="106">
        <f>IF(LLM_Data_Entry!O22="","",LLM_Data_Entry!O22)</f>
        <v/>
      </c>
    </row>
    <row r="25" ht="15" customHeight="1" s="241">
      <c r="A25" s="103">
        <f>IF(LLM_Data_Entry!A23="","",LLM_Data_Entry!A23)</f>
        <v/>
      </c>
      <c r="B25" s="103">
        <f>IF(LLM_Data_Entry!B23="","",LLM_Data_Entry!B23)</f>
        <v/>
      </c>
      <c r="C25" s="104">
        <f>IF(LLM_Data_Entry!C23="","",LLM_Data_Entry!C23)</f>
        <v/>
      </c>
      <c r="D25" s="103">
        <f>IF(LLM_Data_Entry!D23="","",LLM_Data_Entry!D23)</f>
        <v/>
      </c>
      <c r="E25" s="103">
        <f>IF(LLM_Data_Entry!V23="","",LLM_Data_Entry!V23)</f>
        <v/>
      </c>
      <c r="F25" s="103">
        <f>IF(LLM_Data_Entry!AS23="","",LLM_Data_Entry!AS23)</f>
        <v/>
      </c>
      <c r="G25" s="103">
        <f>IF(LLM_Data_Entry!AG23="","",LLM_Data_Entry!AG23)</f>
        <v/>
      </c>
      <c r="H25" s="103">
        <f>IF(LLM_Data_Entry!AT23="","",LLM_Data_Entry!AT23)</f>
        <v/>
      </c>
      <c r="I25" s="103">
        <f>IF(LLM_Data_Entry!AU23="","",LLM_Data_Entry!AU23)</f>
        <v/>
      </c>
      <c r="J25" s="103">
        <f>IF(LLM_Data_Entry!AH23="","",LLM_Data_Entry!AH23)</f>
        <v/>
      </c>
      <c r="K25" s="103">
        <f>IF(LLM_Data_Entry!AI23="","",LLM_Data_Entry!AI23)</f>
        <v/>
      </c>
      <c r="L25" s="103">
        <f>IF(LLM_Data_Entry!AJ23="","",LLM_Data_Entry!AJ23)</f>
        <v/>
      </c>
      <c r="M25" s="103">
        <f>IF(LLM_Data_Entry!AV23="","",LLM_Data_Entry!AV23)</f>
        <v/>
      </c>
      <c r="N25" s="103">
        <f>IF(LLM_Data_Entry!AW23="","",LLM_Data_Entry!AW23)</f>
        <v/>
      </c>
      <c r="O25" s="103">
        <f>IF(LLM_Data_Entry!AX23="","",LLM_Data_Entry!AX23)</f>
        <v/>
      </c>
      <c r="P25" s="103">
        <f>IF(LLM_Data_Entry!AY23="","",LLM_Data_Entry!AY23)</f>
        <v/>
      </c>
      <c r="Q25" s="103">
        <f>IF(LLM_Data_Entry!AZ23="","",LLM_Data_Entry!AZ23)</f>
        <v/>
      </c>
      <c r="R25" s="103">
        <f>IF(LLM_Data_Entry!AK23="","",LLM_Data_Entry!AK23)</f>
        <v/>
      </c>
      <c r="S25" s="103">
        <f>IF(LLM_Data_Entry!AL23="","",LLM_Data_Entry!AL23)</f>
        <v/>
      </c>
      <c r="T25" s="103">
        <f>IF(LLM_Data_Entry!BA23="","",LLM_Data_Entry!BA23)</f>
        <v/>
      </c>
      <c r="U25" s="103">
        <f>IF(LLM_Data_Entry!BB23="","",LLM_Data_Entry!BB23)</f>
        <v/>
      </c>
      <c r="V25" s="106">
        <f>IF(LLM_Data_Entry!O23="","",LLM_Data_Entry!O23)</f>
        <v/>
      </c>
    </row>
    <row r="26" ht="15" customHeight="1" s="241">
      <c r="A26" s="103">
        <f>IF(LLM_Data_Entry!A24="","",LLM_Data_Entry!A24)</f>
        <v/>
      </c>
      <c r="B26" s="103">
        <f>IF(LLM_Data_Entry!B24="","",LLM_Data_Entry!B24)</f>
        <v/>
      </c>
      <c r="C26" s="104">
        <f>IF(LLM_Data_Entry!C24="","",LLM_Data_Entry!C24)</f>
        <v/>
      </c>
      <c r="D26" s="103">
        <f>IF(LLM_Data_Entry!D24="","",LLM_Data_Entry!D24)</f>
        <v/>
      </c>
      <c r="E26" s="103">
        <f>IF(LLM_Data_Entry!V24="","",LLM_Data_Entry!V24)</f>
        <v/>
      </c>
      <c r="F26" s="103">
        <f>IF(LLM_Data_Entry!AS24="","",LLM_Data_Entry!AS24)</f>
        <v/>
      </c>
      <c r="G26" s="103">
        <f>IF(LLM_Data_Entry!AG24="","",LLM_Data_Entry!AG24)</f>
        <v/>
      </c>
      <c r="H26" s="103">
        <f>IF(LLM_Data_Entry!AT24="","",LLM_Data_Entry!AT24)</f>
        <v/>
      </c>
      <c r="I26" s="103">
        <f>IF(LLM_Data_Entry!AU24="","",LLM_Data_Entry!AU24)</f>
        <v/>
      </c>
      <c r="J26" s="103">
        <f>IF(LLM_Data_Entry!AH24="","",LLM_Data_Entry!AH24)</f>
        <v/>
      </c>
      <c r="K26" s="103">
        <f>IF(LLM_Data_Entry!AI24="","",LLM_Data_Entry!AI24)</f>
        <v/>
      </c>
      <c r="L26" s="103">
        <f>IF(LLM_Data_Entry!AJ24="","",LLM_Data_Entry!AJ24)</f>
        <v/>
      </c>
      <c r="M26" s="103">
        <f>IF(LLM_Data_Entry!AV24="","",LLM_Data_Entry!AV24)</f>
        <v/>
      </c>
      <c r="N26" s="103">
        <f>IF(LLM_Data_Entry!AW24="","",LLM_Data_Entry!AW24)</f>
        <v/>
      </c>
      <c r="O26" s="103">
        <f>IF(LLM_Data_Entry!AX24="","",LLM_Data_Entry!AX24)</f>
        <v/>
      </c>
      <c r="P26" s="103">
        <f>IF(LLM_Data_Entry!AY24="","",LLM_Data_Entry!AY24)</f>
        <v/>
      </c>
      <c r="Q26" s="103">
        <f>IF(LLM_Data_Entry!AZ24="","",LLM_Data_Entry!AZ24)</f>
        <v/>
      </c>
      <c r="R26" s="103">
        <f>IF(LLM_Data_Entry!AK24="","",LLM_Data_Entry!AK24)</f>
        <v/>
      </c>
      <c r="S26" s="103">
        <f>IF(LLM_Data_Entry!AL24="","",LLM_Data_Entry!AL24)</f>
        <v/>
      </c>
      <c r="T26" s="103">
        <f>IF(LLM_Data_Entry!BA24="","",LLM_Data_Entry!BA24)</f>
        <v/>
      </c>
      <c r="U26" s="103">
        <f>IF(LLM_Data_Entry!BB24="","",LLM_Data_Entry!BB24)</f>
        <v/>
      </c>
      <c r="V26" s="106">
        <f>IF(LLM_Data_Entry!O24="","",LLM_Data_Entry!O24)</f>
        <v/>
      </c>
    </row>
    <row r="27" ht="15" customHeight="1" s="241">
      <c r="A27" s="103">
        <f>IF(LLM_Data_Entry!A25="","",LLM_Data_Entry!A25)</f>
        <v/>
      </c>
      <c r="B27" s="103">
        <f>IF(LLM_Data_Entry!B25="","",LLM_Data_Entry!B25)</f>
        <v/>
      </c>
      <c r="C27" s="104">
        <f>IF(LLM_Data_Entry!C25="","",LLM_Data_Entry!C25)</f>
        <v/>
      </c>
      <c r="D27" s="103">
        <f>IF(LLM_Data_Entry!D25="","",LLM_Data_Entry!D25)</f>
        <v/>
      </c>
      <c r="E27" s="103">
        <f>IF(LLM_Data_Entry!V25="","",LLM_Data_Entry!V25)</f>
        <v/>
      </c>
      <c r="F27" s="103">
        <f>IF(LLM_Data_Entry!AS25="","",LLM_Data_Entry!AS25)</f>
        <v/>
      </c>
      <c r="G27" s="103">
        <f>IF(LLM_Data_Entry!AG25="","",LLM_Data_Entry!AG25)</f>
        <v/>
      </c>
      <c r="H27" s="103">
        <f>IF(LLM_Data_Entry!AT25="","",LLM_Data_Entry!AT25)</f>
        <v/>
      </c>
      <c r="I27" s="103">
        <f>IF(LLM_Data_Entry!AU25="","",LLM_Data_Entry!AU25)</f>
        <v/>
      </c>
      <c r="J27" s="103">
        <f>IF(LLM_Data_Entry!AH25="","",LLM_Data_Entry!AH25)</f>
        <v/>
      </c>
      <c r="K27" s="103">
        <f>IF(LLM_Data_Entry!AI25="","",LLM_Data_Entry!AI25)</f>
        <v/>
      </c>
      <c r="L27" s="103">
        <f>IF(LLM_Data_Entry!AJ25="","",LLM_Data_Entry!AJ25)</f>
        <v/>
      </c>
      <c r="M27" s="103">
        <f>IF(LLM_Data_Entry!AV25="","",LLM_Data_Entry!AV25)</f>
        <v/>
      </c>
      <c r="N27" s="103">
        <f>IF(LLM_Data_Entry!AW25="","",LLM_Data_Entry!AW25)</f>
        <v/>
      </c>
      <c r="O27" s="103">
        <f>IF(LLM_Data_Entry!AX25="","",LLM_Data_Entry!AX25)</f>
        <v/>
      </c>
      <c r="P27" s="103">
        <f>IF(LLM_Data_Entry!AY25="","",LLM_Data_Entry!AY25)</f>
        <v/>
      </c>
      <c r="Q27" s="103">
        <f>IF(LLM_Data_Entry!AZ25="","",LLM_Data_Entry!AZ25)</f>
        <v/>
      </c>
      <c r="R27" s="103">
        <f>IF(LLM_Data_Entry!AK25="","",LLM_Data_Entry!AK25)</f>
        <v/>
      </c>
      <c r="S27" s="103">
        <f>IF(LLM_Data_Entry!AL25="","",LLM_Data_Entry!AL25)</f>
        <v/>
      </c>
      <c r="T27" s="103">
        <f>IF(LLM_Data_Entry!BA25="","",LLM_Data_Entry!BA25)</f>
        <v/>
      </c>
      <c r="U27" s="103">
        <f>IF(LLM_Data_Entry!BB25="","",LLM_Data_Entry!BB25)</f>
        <v/>
      </c>
      <c r="V27" s="106">
        <f>IF(LLM_Data_Entry!O25="","",LLM_Data_Entry!O25)</f>
        <v/>
      </c>
    </row>
    <row r="28" ht="15" customHeight="1" s="241">
      <c r="A28" s="103">
        <f>IF(LLM_Data_Entry!A26="","",LLM_Data_Entry!A26)</f>
        <v/>
      </c>
      <c r="B28" s="103">
        <f>IF(LLM_Data_Entry!B26="","",LLM_Data_Entry!B26)</f>
        <v/>
      </c>
      <c r="C28" s="104">
        <f>IF(LLM_Data_Entry!C26="","",LLM_Data_Entry!C26)</f>
        <v/>
      </c>
      <c r="D28" s="103">
        <f>IF(LLM_Data_Entry!D26="","",LLM_Data_Entry!D26)</f>
        <v/>
      </c>
      <c r="E28" s="103">
        <f>IF(LLM_Data_Entry!V26="","",LLM_Data_Entry!V26)</f>
        <v/>
      </c>
      <c r="F28" s="103">
        <f>IF(LLM_Data_Entry!AS26="","",LLM_Data_Entry!AS26)</f>
        <v/>
      </c>
      <c r="G28" s="103">
        <f>IF(LLM_Data_Entry!AG26="","",LLM_Data_Entry!AG26)</f>
        <v/>
      </c>
      <c r="H28" s="103">
        <f>IF(LLM_Data_Entry!AT26="","",LLM_Data_Entry!AT26)</f>
        <v/>
      </c>
      <c r="I28" s="103">
        <f>IF(LLM_Data_Entry!AU26="","",LLM_Data_Entry!AU26)</f>
        <v/>
      </c>
      <c r="J28" s="103">
        <f>IF(LLM_Data_Entry!AH26="","",LLM_Data_Entry!AH26)</f>
        <v/>
      </c>
      <c r="K28" s="103">
        <f>IF(LLM_Data_Entry!AI26="","",LLM_Data_Entry!AI26)</f>
        <v/>
      </c>
      <c r="L28" s="103">
        <f>IF(LLM_Data_Entry!AJ26="","",LLM_Data_Entry!AJ26)</f>
        <v/>
      </c>
      <c r="M28" s="103">
        <f>IF(LLM_Data_Entry!AV26="","",LLM_Data_Entry!AV26)</f>
        <v/>
      </c>
      <c r="N28" s="103">
        <f>IF(LLM_Data_Entry!AW26="","",LLM_Data_Entry!AW26)</f>
        <v/>
      </c>
      <c r="O28" s="103">
        <f>IF(LLM_Data_Entry!AX26="","",LLM_Data_Entry!AX26)</f>
        <v/>
      </c>
      <c r="P28" s="103">
        <f>IF(LLM_Data_Entry!AY26="","",LLM_Data_Entry!AY26)</f>
        <v/>
      </c>
      <c r="Q28" s="103">
        <f>IF(LLM_Data_Entry!AZ26="","",LLM_Data_Entry!AZ26)</f>
        <v/>
      </c>
      <c r="R28" s="103">
        <f>IF(LLM_Data_Entry!AK26="","",LLM_Data_Entry!AK26)</f>
        <v/>
      </c>
      <c r="S28" s="103">
        <f>IF(LLM_Data_Entry!AL26="","",LLM_Data_Entry!AL26)</f>
        <v/>
      </c>
      <c r="T28" s="103">
        <f>IF(LLM_Data_Entry!BA26="","",LLM_Data_Entry!BA26)</f>
        <v/>
      </c>
      <c r="U28" s="103">
        <f>IF(LLM_Data_Entry!BB26="","",LLM_Data_Entry!BB26)</f>
        <v/>
      </c>
      <c r="V28" s="106">
        <f>IF(LLM_Data_Entry!O26="","",LLM_Data_Entry!O26)</f>
        <v/>
      </c>
    </row>
    <row r="29" ht="15" customHeight="1" s="241">
      <c r="A29" s="103">
        <f>IF(LLM_Data_Entry!A27="","",LLM_Data_Entry!A27)</f>
        <v/>
      </c>
      <c r="B29" s="103">
        <f>IF(LLM_Data_Entry!B27="","",LLM_Data_Entry!B27)</f>
        <v/>
      </c>
      <c r="C29" s="104">
        <f>IF(LLM_Data_Entry!C27="","",LLM_Data_Entry!C27)</f>
        <v/>
      </c>
      <c r="D29" s="103">
        <f>IF(LLM_Data_Entry!D27="","",LLM_Data_Entry!D27)</f>
        <v/>
      </c>
      <c r="E29" s="103">
        <f>IF(LLM_Data_Entry!V27="","",LLM_Data_Entry!V27)</f>
        <v/>
      </c>
      <c r="F29" s="103">
        <f>IF(LLM_Data_Entry!AS27="","",LLM_Data_Entry!AS27)</f>
        <v/>
      </c>
      <c r="G29" s="103">
        <f>IF(LLM_Data_Entry!AG27="","",LLM_Data_Entry!AG27)</f>
        <v/>
      </c>
      <c r="H29" s="103">
        <f>IF(LLM_Data_Entry!AT27="","",LLM_Data_Entry!AT27)</f>
        <v/>
      </c>
      <c r="I29" s="103">
        <f>IF(LLM_Data_Entry!AU27="","",LLM_Data_Entry!AU27)</f>
        <v/>
      </c>
      <c r="J29" s="103">
        <f>IF(LLM_Data_Entry!AH27="","",LLM_Data_Entry!AH27)</f>
        <v/>
      </c>
      <c r="K29" s="103">
        <f>IF(LLM_Data_Entry!AI27="","",LLM_Data_Entry!AI27)</f>
        <v/>
      </c>
      <c r="L29" s="103">
        <f>IF(LLM_Data_Entry!AJ27="","",LLM_Data_Entry!AJ27)</f>
        <v/>
      </c>
      <c r="M29" s="103">
        <f>IF(LLM_Data_Entry!AV27="","",LLM_Data_Entry!AV27)</f>
        <v/>
      </c>
      <c r="N29" s="103">
        <f>IF(LLM_Data_Entry!AW27="","",LLM_Data_Entry!AW27)</f>
        <v/>
      </c>
      <c r="O29" s="103">
        <f>IF(LLM_Data_Entry!AX27="","",LLM_Data_Entry!AX27)</f>
        <v/>
      </c>
      <c r="P29" s="103">
        <f>IF(LLM_Data_Entry!AY27="","",LLM_Data_Entry!AY27)</f>
        <v/>
      </c>
      <c r="Q29" s="103">
        <f>IF(LLM_Data_Entry!AZ27="","",LLM_Data_Entry!AZ27)</f>
        <v/>
      </c>
      <c r="R29" s="103">
        <f>IF(LLM_Data_Entry!AK27="","",LLM_Data_Entry!AK27)</f>
        <v/>
      </c>
      <c r="S29" s="103">
        <f>IF(LLM_Data_Entry!AL27="","",LLM_Data_Entry!AL27)</f>
        <v/>
      </c>
      <c r="T29" s="103">
        <f>IF(LLM_Data_Entry!BA27="","",LLM_Data_Entry!BA27)</f>
        <v/>
      </c>
      <c r="U29" s="103">
        <f>IF(LLM_Data_Entry!BB27="","",LLM_Data_Entry!BB27)</f>
        <v/>
      </c>
      <c r="V29" s="106">
        <f>IF(LLM_Data_Entry!O27="","",LLM_Data_Entry!O27)</f>
        <v/>
      </c>
    </row>
    <row r="30" ht="15" customHeight="1" s="241">
      <c r="A30" s="103">
        <f>IF(LLM_Data_Entry!A28="","",LLM_Data_Entry!A28)</f>
        <v/>
      </c>
      <c r="B30" s="103">
        <f>IF(LLM_Data_Entry!B28="","",LLM_Data_Entry!B28)</f>
        <v/>
      </c>
      <c r="C30" s="104">
        <f>IF(LLM_Data_Entry!C28="","",LLM_Data_Entry!C28)</f>
        <v/>
      </c>
      <c r="D30" s="103">
        <f>IF(LLM_Data_Entry!D28="","",LLM_Data_Entry!D28)</f>
        <v/>
      </c>
      <c r="E30" s="103">
        <f>IF(LLM_Data_Entry!V28="","",LLM_Data_Entry!V28)</f>
        <v/>
      </c>
      <c r="F30" s="103">
        <f>IF(LLM_Data_Entry!AS28="","",LLM_Data_Entry!AS28)</f>
        <v/>
      </c>
      <c r="G30" s="103">
        <f>IF(LLM_Data_Entry!AG28="","",LLM_Data_Entry!AG28)</f>
        <v/>
      </c>
      <c r="H30" s="103">
        <f>IF(LLM_Data_Entry!AT28="","",LLM_Data_Entry!AT28)</f>
        <v/>
      </c>
      <c r="I30" s="103">
        <f>IF(LLM_Data_Entry!AU28="","",LLM_Data_Entry!AU28)</f>
        <v/>
      </c>
      <c r="J30" s="103">
        <f>IF(LLM_Data_Entry!AH28="","",LLM_Data_Entry!AH28)</f>
        <v/>
      </c>
      <c r="K30" s="103">
        <f>IF(LLM_Data_Entry!AI28="","",LLM_Data_Entry!AI28)</f>
        <v/>
      </c>
      <c r="L30" s="103">
        <f>IF(LLM_Data_Entry!AJ28="","",LLM_Data_Entry!AJ28)</f>
        <v/>
      </c>
      <c r="M30" s="103">
        <f>IF(LLM_Data_Entry!AV28="","",LLM_Data_Entry!AV28)</f>
        <v/>
      </c>
      <c r="N30" s="103">
        <f>IF(LLM_Data_Entry!AW28="","",LLM_Data_Entry!AW28)</f>
        <v/>
      </c>
      <c r="O30" s="103">
        <f>IF(LLM_Data_Entry!AX28="","",LLM_Data_Entry!AX28)</f>
        <v/>
      </c>
      <c r="P30" s="103">
        <f>IF(LLM_Data_Entry!AY28="","",LLM_Data_Entry!AY28)</f>
        <v/>
      </c>
      <c r="Q30" s="103">
        <f>IF(LLM_Data_Entry!AZ28="","",LLM_Data_Entry!AZ28)</f>
        <v/>
      </c>
      <c r="R30" s="103">
        <f>IF(LLM_Data_Entry!AK28="","",LLM_Data_Entry!AK28)</f>
        <v/>
      </c>
      <c r="S30" s="103">
        <f>IF(LLM_Data_Entry!AL28="","",LLM_Data_Entry!AL28)</f>
        <v/>
      </c>
      <c r="T30" s="103">
        <f>IF(LLM_Data_Entry!BA28="","",LLM_Data_Entry!BA28)</f>
        <v/>
      </c>
      <c r="U30" s="103">
        <f>IF(LLM_Data_Entry!BB28="","",LLM_Data_Entry!BB28)</f>
        <v/>
      </c>
      <c r="V30" s="106">
        <f>IF(LLM_Data_Entry!O28="","",LLM_Data_Entry!O28)</f>
        <v/>
      </c>
    </row>
    <row r="31" ht="15" customHeight="1" s="241">
      <c r="A31" s="103">
        <f>IF(LLM_Data_Entry!A29="","",LLM_Data_Entry!A29)</f>
        <v/>
      </c>
      <c r="B31" s="103">
        <f>IF(LLM_Data_Entry!B29="","",LLM_Data_Entry!B29)</f>
        <v/>
      </c>
      <c r="C31" s="104">
        <f>IF(LLM_Data_Entry!C29="","",LLM_Data_Entry!C29)</f>
        <v/>
      </c>
      <c r="D31" s="103">
        <f>IF(LLM_Data_Entry!D29="","",LLM_Data_Entry!D29)</f>
        <v/>
      </c>
      <c r="E31" s="103">
        <f>IF(LLM_Data_Entry!V29="","",LLM_Data_Entry!V29)</f>
        <v/>
      </c>
      <c r="F31" s="103">
        <f>IF(LLM_Data_Entry!AS29="","",LLM_Data_Entry!AS29)</f>
        <v/>
      </c>
      <c r="G31" s="103">
        <f>IF(LLM_Data_Entry!AG29="","",LLM_Data_Entry!AG29)</f>
        <v/>
      </c>
      <c r="H31" s="103">
        <f>IF(LLM_Data_Entry!AT29="","",LLM_Data_Entry!AT29)</f>
        <v/>
      </c>
      <c r="I31" s="103">
        <f>IF(LLM_Data_Entry!AU29="","",LLM_Data_Entry!AU29)</f>
        <v/>
      </c>
      <c r="J31" s="103">
        <f>IF(LLM_Data_Entry!AH29="","",LLM_Data_Entry!AH29)</f>
        <v/>
      </c>
      <c r="K31" s="103">
        <f>IF(LLM_Data_Entry!AI29="","",LLM_Data_Entry!AI29)</f>
        <v/>
      </c>
      <c r="L31" s="103">
        <f>IF(LLM_Data_Entry!AJ29="","",LLM_Data_Entry!AJ29)</f>
        <v/>
      </c>
      <c r="M31" s="103">
        <f>IF(LLM_Data_Entry!AV29="","",LLM_Data_Entry!AV29)</f>
        <v/>
      </c>
      <c r="N31" s="103">
        <f>IF(LLM_Data_Entry!AW29="","",LLM_Data_Entry!AW29)</f>
        <v/>
      </c>
      <c r="O31" s="103">
        <f>IF(LLM_Data_Entry!AX29="","",LLM_Data_Entry!AX29)</f>
        <v/>
      </c>
      <c r="P31" s="103">
        <f>IF(LLM_Data_Entry!AY29="","",LLM_Data_Entry!AY29)</f>
        <v/>
      </c>
      <c r="Q31" s="103">
        <f>IF(LLM_Data_Entry!AZ29="","",LLM_Data_Entry!AZ29)</f>
        <v/>
      </c>
      <c r="R31" s="103">
        <f>IF(LLM_Data_Entry!AK29="","",LLM_Data_Entry!AK29)</f>
        <v/>
      </c>
      <c r="S31" s="103">
        <f>IF(LLM_Data_Entry!AL29="","",LLM_Data_Entry!AL29)</f>
        <v/>
      </c>
      <c r="T31" s="103">
        <f>IF(LLM_Data_Entry!BA29="","",LLM_Data_Entry!BA29)</f>
        <v/>
      </c>
      <c r="U31" s="103">
        <f>IF(LLM_Data_Entry!BB29="","",LLM_Data_Entry!BB29)</f>
        <v/>
      </c>
      <c r="V31" s="106">
        <f>IF(LLM_Data_Entry!O29="","",LLM_Data_Entry!O29)</f>
        <v/>
      </c>
    </row>
    <row r="32" ht="15" customHeight="1" s="241">
      <c r="A32" s="103">
        <f>IF(LLM_Data_Entry!A30="","",LLM_Data_Entry!A30)</f>
        <v/>
      </c>
      <c r="B32" s="103">
        <f>IF(LLM_Data_Entry!B30="","",LLM_Data_Entry!B30)</f>
        <v/>
      </c>
      <c r="C32" s="104">
        <f>IF(LLM_Data_Entry!C30="","",LLM_Data_Entry!C30)</f>
        <v/>
      </c>
      <c r="D32" s="103">
        <f>IF(LLM_Data_Entry!D30="","",LLM_Data_Entry!D30)</f>
        <v/>
      </c>
      <c r="E32" s="103">
        <f>IF(LLM_Data_Entry!V30="","",LLM_Data_Entry!V30)</f>
        <v/>
      </c>
      <c r="F32" s="103">
        <f>IF(LLM_Data_Entry!AS30="","",LLM_Data_Entry!AS30)</f>
        <v/>
      </c>
      <c r="G32" s="103">
        <f>IF(LLM_Data_Entry!AG30="","",LLM_Data_Entry!AG30)</f>
        <v/>
      </c>
      <c r="H32" s="103">
        <f>IF(LLM_Data_Entry!AT30="","",LLM_Data_Entry!AT30)</f>
        <v/>
      </c>
      <c r="I32" s="103">
        <f>IF(LLM_Data_Entry!AU30="","",LLM_Data_Entry!AU30)</f>
        <v/>
      </c>
      <c r="J32" s="103">
        <f>IF(LLM_Data_Entry!AH30="","",LLM_Data_Entry!AH30)</f>
        <v/>
      </c>
      <c r="K32" s="103">
        <f>IF(LLM_Data_Entry!AI30="","",LLM_Data_Entry!AI30)</f>
        <v/>
      </c>
      <c r="L32" s="103">
        <f>IF(LLM_Data_Entry!AJ30="","",LLM_Data_Entry!AJ30)</f>
        <v/>
      </c>
      <c r="M32" s="103">
        <f>IF(LLM_Data_Entry!AV30="","",LLM_Data_Entry!AV30)</f>
        <v/>
      </c>
      <c r="N32" s="103">
        <f>IF(LLM_Data_Entry!AW30="","",LLM_Data_Entry!AW30)</f>
        <v/>
      </c>
      <c r="O32" s="103">
        <f>IF(LLM_Data_Entry!AX30="","",LLM_Data_Entry!AX30)</f>
        <v/>
      </c>
      <c r="P32" s="103">
        <f>IF(LLM_Data_Entry!AY30="","",LLM_Data_Entry!AY30)</f>
        <v/>
      </c>
      <c r="Q32" s="103">
        <f>IF(LLM_Data_Entry!AZ30="","",LLM_Data_Entry!AZ30)</f>
        <v/>
      </c>
      <c r="R32" s="103">
        <f>IF(LLM_Data_Entry!AK30="","",LLM_Data_Entry!AK30)</f>
        <v/>
      </c>
      <c r="S32" s="103">
        <f>IF(LLM_Data_Entry!AL30="","",LLM_Data_Entry!AL30)</f>
        <v/>
      </c>
      <c r="T32" s="103">
        <f>IF(LLM_Data_Entry!BA30="","",LLM_Data_Entry!BA30)</f>
        <v/>
      </c>
      <c r="U32" s="103">
        <f>IF(LLM_Data_Entry!BB30="","",LLM_Data_Entry!BB30)</f>
        <v/>
      </c>
      <c r="V32" s="106">
        <f>IF(LLM_Data_Entry!O30="","",LLM_Data_Entry!O30)</f>
        <v/>
      </c>
    </row>
    <row r="33" ht="15" customHeight="1" s="241">
      <c r="A33" s="103">
        <f>IF(LLM_Data_Entry!A31="","",LLM_Data_Entry!A31)</f>
        <v/>
      </c>
      <c r="B33" s="103">
        <f>IF(LLM_Data_Entry!B31="","",LLM_Data_Entry!B31)</f>
        <v/>
      </c>
      <c r="C33" s="104">
        <f>IF(LLM_Data_Entry!C31="","",LLM_Data_Entry!C31)</f>
        <v/>
      </c>
      <c r="D33" s="103">
        <f>IF(LLM_Data_Entry!D31="","",LLM_Data_Entry!D31)</f>
        <v/>
      </c>
      <c r="E33" s="103">
        <f>IF(LLM_Data_Entry!V31="","",LLM_Data_Entry!V31)</f>
        <v/>
      </c>
      <c r="F33" s="103">
        <f>IF(LLM_Data_Entry!AS31="","",LLM_Data_Entry!AS31)</f>
        <v/>
      </c>
      <c r="G33" s="103">
        <f>IF(LLM_Data_Entry!AG31="","",LLM_Data_Entry!AG31)</f>
        <v/>
      </c>
      <c r="H33" s="103">
        <f>IF(LLM_Data_Entry!AT31="","",LLM_Data_Entry!AT31)</f>
        <v/>
      </c>
      <c r="I33" s="103">
        <f>IF(LLM_Data_Entry!AU31="","",LLM_Data_Entry!AU31)</f>
        <v/>
      </c>
      <c r="J33" s="103">
        <f>IF(LLM_Data_Entry!AH31="","",LLM_Data_Entry!AH31)</f>
        <v/>
      </c>
      <c r="K33" s="103">
        <f>IF(LLM_Data_Entry!AI31="","",LLM_Data_Entry!AI31)</f>
        <v/>
      </c>
      <c r="L33" s="103">
        <f>IF(LLM_Data_Entry!AJ31="","",LLM_Data_Entry!AJ31)</f>
        <v/>
      </c>
      <c r="M33" s="103">
        <f>IF(LLM_Data_Entry!AV31="","",LLM_Data_Entry!AV31)</f>
        <v/>
      </c>
      <c r="N33" s="103">
        <f>IF(LLM_Data_Entry!AW31="","",LLM_Data_Entry!AW31)</f>
        <v/>
      </c>
      <c r="O33" s="103">
        <f>IF(LLM_Data_Entry!AX31="","",LLM_Data_Entry!AX31)</f>
        <v/>
      </c>
      <c r="P33" s="103">
        <f>IF(LLM_Data_Entry!AY31="","",LLM_Data_Entry!AY31)</f>
        <v/>
      </c>
      <c r="Q33" s="103">
        <f>IF(LLM_Data_Entry!AZ31="","",LLM_Data_Entry!AZ31)</f>
        <v/>
      </c>
      <c r="R33" s="103">
        <f>IF(LLM_Data_Entry!AK31="","",LLM_Data_Entry!AK31)</f>
        <v/>
      </c>
      <c r="S33" s="103">
        <f>IF(LLM_Data_Entry!AL31="","",LLM_Data_Entry!AL31)</f>
        <v/>
      </c>
      <c r="T33" s="103">
        <f>IF(LLM_Data_Entry!BA31="","",LLM_Data_Entry!BA31)</f>
        <v/>
      </c>
      <c r="U33" s="103">
        <f>IF(LLM_Data_Entry!BB31="","",LLM_Data_Entry!BB31)</f>
        <v/>
      </c>
      <c r="V33" s="106">
        <f>IF(LLM_Data_Entry!O31="","",LLM_Data_Entry!O31)</f>
        <v/>
      </c>
    </row>
    <row r="34" ht="15" customHeight="1" s="241">
      <c r="A34" s="103">
        <f>IF(LLM_Data_Entry!A32="","",LLM_Data_Entry!A32)</f>
        <v/>
      </c>
      <c r="B34" s="103">
        <f>IF(LLM_Data_Entry!B32="","",LLM_Data_Entry!B32)</f>
        <v/>
      </c>
      <c r="C34" s="104">
        <f>IF(LLM_Data_Entry!C32="","",LLM_Data_Entry!C32)</f>
        <v/>
      </c>
      <c r="D34" s="103">
        <f>IF(LLM_Data_Entry!D32="","",LLM_Data_Entry!D32)</f>
        <v/>
      </c>
      <c r="E34" s="103">
        <f>IF(LLM_Data_Entry!V32="","",LLM_Data_Entry!V32)</f>
        <v/>
      </c>
      <c r="F34" s="103">
        <f>IF(LLM_Data_Entry!AS32="","",LLM_Data_Entry!AS32)</f>
        <v/>
      </c>
      <c r="G34" s="103">
        <f>IF(LLM_Data_Entry!AG32="","",LLM_Data_Entry!AG32)</f>
        <v/>
      </c>
      <c r="H34" s="103">
        <f>IF(LLM_Data_Entry!AT32="","",LLM_Data_Entry!AT32)</f>
        <v/>
      </c>
      <c r="I34" s="103">
        <f>IF(LLM_Data_Entry!AU32="","",LLM_Data_Entry!AU32)</f>
        <v/>
      </c>
      <c r="J34" s="103">
        <f>IF(LLM_Data_Entry!AH32="","",LLM_Data_Entry!AH32)</f>
        <v/>
      </c>
      <c r="K34" s="103">
        <f>IF(LLM_Data_Entry!AI32="","",LLM_Data_Entry!AI32)</f>
        <v/>
      </c>
      <c r="L34" s="103">
        <f>IF(LLM_Data_Entry!AJ32="","",LLM_Data_Entry!AJ32)</f>
        <v/>
      </c>
      <c r="M34" s="103">
        <f>IF(LLM_Data_Entry!AV32="","",LLM_Data_Entry!AV32)</f>
        <v/>
      </c>
      <c r="N34" s="103">
        <f>IF(LLM_Data_Entry!AW32="","",LLM_Data_Entry!AW32)</f>
        <v/>
      </c>
      <c r="O34" s="103">
        <f>IF(LLM_Data_Entry!AX32="","",LLM_Data_Entry!AX32)</f>
        <v/>
      </c>
      <c r="P34" s="103">
        <f>IF(LLM_Data_Entry!AY32="","",LLM_Data_Entry!AY32)</f>
        <v/>
      </c>
      <c r="Q34" s="103">
        <f>IF(LLM_Data_Entry!AZ32="","",LLM_Data_Entry!AZ32)</f>
        <v/>
      </c>
      <c r="R34" s="103">
        <f>IF(LLM_Data_Entry!AK32="","",LLM_Data_Entry!AK32)</f>
        <v/>
      </c>
      <c r="S34" s="103">
        <f>IF(LLM_Data_Entry!AL32="","",LLM_Data_Entry!AL32)</f>
        <v/>
      </c>
      <c r="T34" s="103">
        <f>IF(LLM_Data_Entry!BA32="","",LLM_Data_Entry!BA32)</f>
        <v/>
      </c>
      <c r="U34" s="103">
        <f>IF(LLM_Data_Entry!BB32="","",LLM_Data_Entry!BB32)</f>
        <v/>
      </c>
      <c r="V34" s="106">
        <f>IF(LLM_Data_Entry!O32="","",LLM_Data_Entry!O32)</f>
        <v/>
      </c>
    </row>
    <row r="35" ht="15" customHeight="1" s="241">
      <c r="A35" s="103">
        <f>IF(LLM_Data_Entry!A33="","",LLM_Data_Entry!A33)</f>
        <v/>
      </c>
      <c r="B35" s="103">
        <f>IF(LLM_Data_Entry!B33="","",LLM_Data_Entry!B33)</f>
        <v/>
      </c>
      <c r="C35" s="104">
        <f>IF(LLM_Data_Entry!C33="","",LLM_Data_Entry!C33)</f>
        <v/>
      </c>
      <c r="D35" s="103">
        <f>IF(LLM_Data_Entry!D33="","",LLM_Data_Entry!D33)</f>
        <v/>
      </c>
      <c r="E35" s="103">
        <f>IF(LLM_Data_Entry!V33="","",LLM_Data_Entry!V33)</f>
        <v/>
      </c>
      <c r="F35" s="103">
        <f>IF(LLM_Data_Entry!AS33="","",LLM_Data_Entry!AS33)</f>
        <v/>
      </c>
      <c r="G35" s="103">
        <f>IF(LLM_Data_Entry!AG33="","",LLM_Data_Entry!AG33)</f>
        <v/>
      </c>
      <c r="H35" s="103">
        <f>IF(LLM_Data_Entry!AT33="","",LLM_Data_Entry!AT33)</f>
        <v/>
      </c>
      <c r="I35" s="103">
        <f>IF(LLM_Data_Entry!AU33="","",LLM_Data_Entry!AU33)</f>
        <v/>
      </c>
      <c r="J35" s="103">
        <f>IF(LLM_Data_Entry!AH33="","",LLM_Data_Entry!AH33)</f>
        <v/>
      </c>
      <c r="K35" s="103">
        <f>IF(LLM_Data_Entry!AI33="","",LLM_Data_Entry!AI33)</f>
        <v/>
      </c>
      <c r="L35" s="103">
        <f>IF(LLM_Data_Entry!AJ33="","",LLM_Data_Entry!AJ33)</f>
        <v/>
      </c>
      <c r="M35" s="103">
        <f>IF(LLM_Data_Entry!AV33="","",LLM_Data_Entry!AV33)</f>
        <v/>
      </c>
      <c r="N35" s="103">
        <f>IF(LLM_Data_Entry!AW33="","",LLM_Data_Entry!AW33)</f>
        <v/>
      </c>
      <c r="O35" s="103">
        <f>IF(LLM_Data_Entry!AX33="","",LLM_Data_Entry!AX33)</f>
        <v/>
      </c>
      <c r="P35" s="103">
        <f>IF(LLM_Data_Entry!AY33="","",LLM_Data_Entry!AY33)</f>
        <v/>
      </c>
      <c r="Q35" s="103">
        <f>IF(LLM_Data_Entry!AZ33="","",LLM_Data_Entry!AZ33)</f>
        <v/>
      </c>
      <c r="R35" s="103">
        <f>IF(LLM_Data_Entry!AK33="","",LLM_Data_Entry!AK33)</f>
        <v/>
      </c>
      <c r="S35" s="103">
        <f>IF(LLM_Data_Entry!AL33="","",LLM_Data_Entry!AL33)</f>
        <v/>
      </c>
      <c r="T35" s="103">
        <f>IF(LLM_Data_Entry!BA33="","",LLM_Data_Entry!BA33)</f>
        <v/>
      </c>
      <c r="U35" s="103">
        <f>IF(LLM_Data_Entry!BB33="","",LLM_Data_Entry!BB33)</f>
        <v/>
      </c>
      <c r="V35" s="106">
        <f>IF(LLM_Data_Entry!O33="","",LLM_Data_Entry!O33)</f>
        <v/>
      </c>
    </row>
    <row r="36" ht="15" customHeight="1" s="241">
      <c r="A36" s="103">
        <f>IF(LLM_Data_Entry!A34="","",LLM_Data_Entry!A34)</f>
        <v/>
      </c>
      <c r="B36" s="103">
        <f>IF(LLM_Data_Entry!B34="","",LLM_Data_Entry!B34)</f>
        <v/>
      </c>
      <c r="C36" s="104">
        <f>IF(LLM_Data_Entry!C34="","",LLM_Data_Entry!C34)</f>
        <v/>
      </c>
      <c r="D36" s="103">
        <f>IF(LLM_Data_Entry!D34="","",LLM_Data_Entry!D34)</f>
        <v/>
      </c>
      <c r="E36" s="103">
        <f>IF(LLM_Data_Entry!V34="","",LLM_Data_Entry!V34)</f>
        <v/>
      </c>
      <c r="F36" s="103">
        <f>IF(LLM_Data_Entry!AS34="","",LLM_Data_Entry!AS34)</f>
        <v/>
      </c>
      <c r="G36" s="103">
        <f>IF(LLM_Data_Entry!AG34="","",LLM_Data_Entry!AG34)</f>
        <v/>
      </c>
      <c r="H36" s="103">
        <f>IF(LLM_Data_Entry!AT34="","",LLM_Data_Entry!AT34)</f>
        <v/>
      </c>
      <c r="I36" s="103">
        <f>IF(LLM_Data_Entry!AU34="","",LLM_Data_Entry!AU34)</f>
        <v/>
      </c>
      <c r="J36" s="103">
        <f>IF(LLM_Data_Entry!AH34="","",LLM_Data_Entry!AH34)</f>
        <v/>
      </c>
      <c r="K36" s="103">
        <f>IF(LLM_Data_Entry!AI34="","",LLM_Data_Entry!AI34)</f>
        <v/>
      </c>
      <c r="L36" s="103">
        <f>IF(LLM_Data_Entry!AJ34="","",LLM_Data_Entry!AJ34)</f>
        <v/>
      </c>
      <c r="M36" s="103">
        <f>IF(LLM_Data_Entry!AV34="","",LLM_Data_Entry!AV34)</f>
        <v/>
      </c>
      <c r="N36" s="103">
        <f>IF(LLM_Data_Entry!AW34="","",LLM_Data_Entry!AW34)</f>
        <v/>
      </c>
      <c r="O36" s="103">
        <f>IF(LLM_Data_Entry!AX34="","",LLM_Data_Entry!AX34)</f>
        <v/>
      </c>
      <c r="P36" s="103">
        <f>IF(LLM_Data_Entry!AY34="","",LLM_Data_Entry!AY34)</f>
        <v/>
      </c>
      <c r="Q36" s="103">
        <f>IF(LLM_Data_Entry!AZ34="","",LLM_Data_Entry!AZ34)</f>
        <v/>
      </c>
      <c r="R36" s="103">
        <f>IF(LLM_Data_Entry!AK34="","",LLM_Data_Entry!AK34)</f>
        <v/>
      </c>
      <c r="S36" s="103">
        <f>IF(LLM_Data_Entry!AL34="","",LLM_Data_Entry!AL34)</f>
        <v/>
      </c>
      <c r="T36" s="103">
        <f>IF(LLM_Data_Entry!BA34="","",LLM_Data_Entry!BA34)</f>
        <v/>
      </c>
      <c r="U36" s="103">
        <f>IF(LLM_Data_Entry!BB34="","",LLM_Data_Entry!BB34)</f>
        <v/>
      </c>
      <c r="V36" s="106">
        <f>IF(LLM_Data_Entry!O34="","",LLM_Data_Entry!O34)</f>
        <v/>
      </c>
    </row>
    <row r="37" ht="15" customHeight="1" s="241">
      <c r="A37" s="103">
        <f>IF(LLM_Data_Entry!A35="","",LLM_Data_Entry!A35)</f>
        <v/>
      </c>
      <c r="B37" s="103">
        <f>IF(LLM_Data_Entry!B35="","",LLM_Data_Entry!B35)</f>
        <v/>
      </c>
      <c r="C37" s="104">
        <f>IF(LLM_Data_Entry!C35="","",LLM_Data_Entry!C35)</f>
        <v/>
      </c>
      <c r="D37" s="103">
        <f>IF(LLM_Data_Entry!D35="","",LLM_Data_Entry!D35)</f>
        <v/>
      </c>
      <c r="E37" s="103">
        <f>IF(LLM_Data_Entry!V35="","",LLM_Data_Entry!V35)</f>
        <v/>
      </c>
      <c r="F37" s="103">
        <f>IF(LLM_Data_Entry!AS35="","",LLM_Data_Entry!AS35)</f>
        <v/>
      </c>
      <c r="G37" s="103">
        <f>IF(LLM_Data_Entry!AG35="","",LLM_Data_Entry!AG35)</f>
        <v/>
      </c>
      <c r="H37" s="103">
        <f>IF(LLM_Data_Entry!AT35="","",LLM_Data_Entry!AT35)</f>
        <v/>
      </c>
      <c r="I37" s="103">
        <f>IF(LLM_Data_Entry!AU35="","",LLM_Data_Entry!AU35)</f>
        <v/>
      </c>
      <c r="J37" s="103">
        <f>IF(LLM_Data_Entry!AH35="","",LLM_Data_Entry!AH35)</f>
        <v/>
      </c>
      <c r="K37" s="103">
        <f>IF(LLM_Data_Entry!AI35="","",LLM_Data_Entry!AI35)</f>
        <v/>
      </c>
      <c r="L37" s="103">
        <f>IF(LLM_Data_Entry!AJ35="","",LLM_Data_Entry!AJ35)</f>
        <v/>
      </c>
      <c r="M37" s="103">
        <f>IF(LLM_Data_Entry!AV35="","",LLM_Data_Entry!AV35)</f>
        <v/>
      </c>
      <c r="N37" s="103">
        <f>IF(LLM_Data_Entry!AW35="","",LLM_Data_Entry!AW35)</f>
        <v/>
      </c>
      <c r="O37" s="103">
        <f>IF(LLM_Data_Entry!AX35="","",LLM_Data_Entry!AX35)</f>
        <v/>
      </c>
      <c r="P37" s="103">
        <f>IF(LLM_Data_Entry!AY35="","",LLM_Data_Entry!AY35)</f>
        <v/>
      </c>
      <c r="Q37" s="103">
        <f>IF(LLM_Data_Entry!AZ35="","",LLM_Data_Entry!AZ35)</f>
        <v/>
      </c>
      <c r="R37" s="103">
        <f>IF(LLM_Data_Entry!AK35="","",LLM_Data_Entry!AK35)</f>
        <v/>
      </c>
      <c r="S37" s="103">
        <f>IF(LLM_Data_Entry!AL35="","",LLM_Data_Entry!AL35)</f>
        <v/>
      </c>
      <c r="T37" s="103">
        <f>IF(LLM_Data_Entry!BA35="","",LLM_Data_Entry!BA35)</f>
        <v/>
      </c>
      <c r="U37" s="103">
        <f>IF(LLM_Data_Entry!BB35="","",LLM_Data_Entry!BB35)</f>
        <v/>
      </c>
      <c r="V37" s="106">
        <f>IF(LLM_Data_Entry!O35="","",LLM_Data_Entry!O35)</f>
        <v/>
      </c>
    </row>
    <row r="38" ht="15" customHeight="1" s="241">
      <c r="A38" s="103">
        <f>IF(LLM_Data_Entry!A36="","",LLM_Data_Entry!A36)</f>
        <v/>
      </c>
      <c r="B38" s="103">
        <f>IF(LLM_Data_Entry!B36="","",LLM_Data_Entry!B36)</f>
        <v/>
      </c>
      <c r="C38" s="104">
        <f>IF(LLM_Data_Entry!C36="","",LLM_Data_Entry!C36)</f>
        <v/>
      </c>
      <c r="D38" s="103">
        <f>IF(LLM_Data_Entry!D36="","",LLM_Data_Entry!D36)</f>
        <v/>
      </c>
      <c r="E38" s="103">
        <f>IF(LLM_Data_Entry!V36="","",LLM_Data_Entry!V36)</f>
        <v/>
      </c>
      <c r="F38" s="103">
        <f>IF(LLM_Data_Entry!AS36="","",LLM_Data_Entry!AS36)</f>
        <v/>
      </c>
      <c r="G38" s="103">
        <f>IF(LLM_Data_Entry!AG36="","",LLM_Data_Entry!AG36)</f>
        <v/>
      </c>
      <c r="H38" s="103">
        <f>IF(LLM_Data_Entry!AT36="","",LLM_Data_Entry!AT36)</f>
        <v/>
      </c>
      <c r="I38" s="103">
        <f>IF(LLM_Data_Entry!AU36="","",LLM_Data_Entry!AU36)</f>
        <v/>
      </c>
      <c r="J38" s="103">
        <f>IF(LLM_Data_Entry!AH36="","",LLM_Data_Entry!AH36)</f>
        <v/>
      </c>
      <c r="K38" s="103">
        <f>IF(LLM_Data_Entry!AI36="","",LLM_Data_Entry!AI36)</f>
        <v/>
      </c>
      <c r="L38" s="103">
        <f>IF(LLM_Data_Entry!AJ36="","",LLM_Data_Entry!AJ36)</f>
        <v/>
      </c>
      <c r="M38" s="103">
        <f>IF(LLM_Data_Entry!AV36="","",LLM_Data_Entry!AV36)</f>
        <v/>
      </c>
      <c r="N38" s="103">
        <f>IF(LLM_Data_Entry!AW36="","",LLM_Data_Entry!AW36)</f>
        <v/>
      </c>
      <c r="O38" s="103">
        <f>IF(LLM_Data_Entry!AX36="","",LLM_Data_Entry!AX36)</f>
        <v/>
      </c>
      <c r="P38" s="103">
        <f>IF(LLM_Data_Entry!AY36="","",LLM_Data_Entry!AY36)</f>
        <v/>
      </c>
      <c r="Q38" s="103">
        <f>IF(LLM_Data_Entry!AZ36="","",LLM_Data_Entry!AZ36)</f>
        <v/>
      </c>
      <c r="R38" s="103">
        <f>IF(LLM_Data_Entry!AK36="","",LLM_Data_Entry!AK36)</f>
        <v/>
      </c>
      <c r="S38" s="103">
        <f>IF(LLM_Data_Entry!AL36="","",LLM_Data_Entry!AL36)</f>
        <v/>
      </c>
      <c r="T38" s="103">
        <f>IF(LLM_Data_Entry!BA36="","",LLM_Data_Entry!BA36)</f>
        <v/>
      </c>
      <c r="U38" s="103">
        <f>IF(LLM_Data_Entry!BB36="","",LLM_Data_Entry!BB36)</f>
        <v/>
      </c>
      <c r="V38" s="106">
        <f>IF(LLM_Data_Entry!O36="","",LLM_Data_Entry!O36)</f>
        <v/>
      </c>
    </row>
    <row r="39" ht="15" customHeight="1" s="241">
      <c r="A39" s="103">
        <f>IF(LLM_Data_Entry!A37="","",LLM_Data_Entry!A37)</f>
        <v/>
      </c>
      <c r="B39" s="103">
        <f>IF(LLM_Data_Entry!B37="","",LLM_Data_Entry!B37)</f>
        <v/>
      </c>
      <c r="C39" s="104">
        <f>IF(LLM_Data_Entry!C37="","",LLM_Data_Entry!C37)</f>
        <v/>
      </c>
      <c r="D39" s="103">
        <f>IF(LLM_Data_Entry!D37="","",LLM_Data_Entry!D37)</f>
        <v/>
      </c>
      <c r="E39" s="103">
        <f>IF(LLM_Data_Entry!V37="","",LLM_Data_Entry!V37)</f>
        <v/>
      </c>
      <c r="F39" s="103">
        <f>IF(LLM_Data_Entry!AS37="","",LLM_Data_Entry!AS37)</f>
        <v/>
      </c>
      <c r="G39" s="103">
        <f>IF(LLM_Data_Entry!AG37="","",LLM_Data_Entry!AG37)</f>
        <v/>
      </c>
      <c r="H39" s="103">
        <f>IF(LLM_Data_Entry!AT37="","",LLM_Data_Entry!AT37)</f>
        <v/>
      </c>
      <c r="I39" s="103">
        <f>IF(LLM_Data_Entry!AU37="","",LLM_Data_Entry!AU37)</f>
        <v/>
      </c>
      <c r="J39" s="103">
        <f>IF(LLM_Data_Entry!AH37="","",LLM_Data_Entry!AH37)</f>
        <v/>
      </c>
      <c r="K39" s="103">
        <f>IF(LLM_Data_Entry!AI37="","",LLM_Data_Entry!AI37)</f>
        <v/>
      </c>
      <c r="L39" s="103">
        <f>IF(LLM_Data_Entry!AJ37="","",LLM_Data_Entry!AJ37)</f>
        <v/>
      </c>
      <c r="M39" s="103">
        <f>IF(LLM_Data_Entry!AV37="","",LLM_Data_Entry!AV37)</f>
        <v/>
      </c>
      <c r="N39" s="103">
        <f>IF(LLM_Data_Entry!AW37="","",LLM_Data_Entry!AW37)</f>
        <v/>
      </c>
      <c r="O39" s="103">
        <f>IF(LLM_Data_Entry!AX37="","",LLM_Data_Entry!AX37)</f>
        <v/>
      </c>
      <c r="P39" s="103">
        <f>IF(LLM_Data_Entry!AY37="","",LLM_Data_Entry!AY37)</f>
        <v/>
      </c>
      <c r="Q39" s="103">
        <f>IF(LLM_Data_Entry!AZ37="","",LLM_Data_Entry!AZ37)</f>
        <v/>
      </c>
      <c r="R39" s="103">
        <f>IF(LLM_Data_Entry!AK37="","",LLM_Data_Entry!AK37)</f>
        <v/>
      </c>
      <c r="S39" s="103">
        <f>IF(LLM_Data_Entry!AL37="","",LLM_Data_Entry!AL37)</f>
        <v/>
      </c>
      <c r="T39" s="103">
        <f>IF(LLM_Data_Entry!BA37="","",LLM_Data_Entry!BA37)</f>
        <v/>
      </c>
      <c r="U39" s="103">
        <f>IF(LLM_Data_Entry!BB37="","",LLM_Data_Entry!BB37)</f>
        <v/>
      </c>
      <c r="V39" s="106">
        <f>IF(LLM_Data_Entry!O37="","",LLM_Data_Entry!O37)</f>
        <v/>
      </c>
    </row>
    <row r="40" ht="15" customHeight="1" s="241">
      <c r="A40" s="103">
        <f>IF(LLM_Data_Entry!A38="","",LLM_Data_Entry!A38)</f>
        <v/>
      </c>
      <c r="B40" s="103">
        <f>IF(LLM_Data_Entry!B38="","",LLM_Data_Entry!B38)</f>
        <v/>
      </c>
      <c r="C40" s="104">
        <f>IF(LLM_Data_Entry!C38="","",LLM_Data_Entry!C38)</f>
        <v/>
      </c>
      <c r="D40" s="103">
        <f>IF(LLM_Data_Entry!D38="","",LLM_Data_Entry!D38)</f>
        <v/>
      </c>
      <c r="E40" s="103">
        <f>IF(LLM_Data_Entry!V38="","",LLM_Data_Entry!V38)</f>
        <v/>
      </c>
      <c r="F40" s="103">
        <f>IF(LLM_Data_Entry!AS38="","",LLM_Data_Entry!AS38)</f>
        <v/>
      </c>
      <c r="G40" s="103">
        <f>IF(LLM_Data_Entry!AG38="","",LLM_Data_Entry!AG38)</f>
        <v/>
      </c>
      <c r="H40" s="103">
        <f>IF(LLM_Data_Entry!AT38="","",LLM_Data_Entry!AT38)</f>
        <v/>
      </c>
      <c r="I40" s="103">
        <f>IF(LLM_Data_Entry!AU38="","",LLM_Data_Entry!AU38)</f>
        <v/>
      </c>
      <c r="J40" s="103">
        <f>IF(LLM_Data_Entry!AH38="","",LLM_Data_Entry!AH38)</f>
        <v/>
      </c>
      <c r="K40" s="103">
        <f>IF(LLM_Data_Entry!AI38="","",LLM_Data_Entry!AI38)</f>
        <v/>
      </c>
      <c r="L40" s="103">
        <f>IF(LLM_Data_Entry!AJ38="","",LLM_Data_Entry!AJ38)</f>
        <v/>
      </c>
      <c r="M40" s="103">
        <f>IF(LLM_Data_Entry!AV38="","",LLM_Data_Entry!AV38)</f>
        <v/>
      </c>
      <c r="N40" s="103">
        <f>IF(LLM_Data_Entry!AW38="","",LLM_Data_Entry!AW38)</f>
        <v/>
      </c>
      <c r="O40" s="103">
        <f>IF(LLM_Data_Entry!AX38="","",LLM_Data_Entry!AX38)</f>
        <v/>
      </c>
      <c r="P40" s="103">
        <f>IF(LLM_Data_Entry!AY38="","",LLM_Data_Entry!AY38)</f>
        <v/>
      </c>
      <c r="Q40" s="103">
        <f>IF(LLM_Data_Entry!AZ38="","",LLM_Data_Entry!AZ38)</f>
        <v/>
      </c>
      <c r="R40" s="103">
        <f>IF(LLM_Data_Entry!AK38="","",LLM_Data_Entry!AK38)</f>
        <v/>
      </c>
      <c r="S40" s="103">
        <f>IF(LLM_Data_Entry!AL38="","",LLM_Data_Entry!AL38)</f>
        <v/>
      </c>
      <c r="T40" s="103">
        <f>IF(LLM_Data_Entry!BA38="","",LLM_Data_Entry!BA38)</f>
        <v/>
      </c>
      <c r="U40" s="103">
        <f>IF(LLM_Data_Entry!BB38="","",LLM_Data_Entry!BB38)</f>
        <v/>
      </c>
      <c r="V40" s="106">
        <f>IF(LLM_Data_Entry!O38="","",LLM_Data_Entry!O38)</f>
        <v/>
      </c>
    </row>
    <row r="41" ht="15" customHeight="1" s="241">
      <c r="A41" s="103">
        <f>IF(LLM_Data_Entry!A39="","",LLM_Data_Entry!A39)</f>
        <v/>
      </c>
      <c r="B41" s="103">
        <f>IF(LLM_Data_Entry!B39="","",LLM_Data_Entry!B39)</f>
        <v/>
      </c>
      <c r="C41" s="104">
        <f>IF(LLM_Data_Entry!C39="","",LLM_Data_Entry!C39)</f>
        <v/>
      </c>
      <c r="D41" s="103">
        <f>IF(LLM_Data_Entry!D39="","",LLM_Data_Entry!D39)</f>
        <v/>
      </c>
      <c r="E41" s="103">
        <f>IF(LLM_Data_Entry!V39="","",LLM_Data_Entry!V39)</f>
        <v/>
      </c>
      <c r="F41" s="103">
        <f>IF(LLM_Data_Entry!AS39="","",LLM_Data_Entry!AS39)</f>
        <v/>
      </c>
      <c r="G41" s="103">
        <f>IF(LLM_Data_Entry!AG39="","",LLM_Data_Entry!AG39)</f>
        <v/>
      </c>
      <c r="H41" s="103">
        <f>IF(LLM_Data_Entry!AT39="","",LLM_Data_Entry!AT39)</f>
        <v/>
      </c>
      <c r="I41" s="103">
        <f>IF(LLM_Data_Entry!AU39="","",LLM_Data_Entry!AU39)</f>
        <v/>
      </c>
      <c r="J41" s="103">
        <f>IF(LLM_Data_Entry!AH39="","",LLM_Data_Entry!AH39)</f>
        <v/>
      </c>
      <c r="K41" s="103">
        <f>IF(LLM_Data_Entry!AI39="","",LLM_Data_Entry!AI39)</f>
        <v/>
      </c>
      <c r="L41" s="103">
        <f>IF(LLM_Data_Entry!AJ39="","",LLM_Data_Entry!AJ39)</f>
        <v/>
      </c>
      <c r="M41" s="103">
        <f>IF(LLM_Data_Entry!AV39="","",LLM_Data_Entry!AV39)</f>
        <v/>
      </c>
      <c r="N41" s="103">
        <f>IF(LLM_Data_Entry!AW39="","",LLM_Data_Entry!AW39)</f>
        <v/>
      </c>
      <c r="O41" s="103">
        <f>IF(LLM_Data_Entry!AX39="","",LLM_Data_Entry!AX39)</f>
        <v/>
      </c>
      <c r="P41" s="103">
        <f>IF(LLM_Data_Entry!AY39="","",LLM_Data_Entry!AY39)</f>
        <v/>
      </c>
      <c r="Q41" s="103">
        <f>IF(LLM_Data_Entry!AZ39="","",LLM_Data_Entry!AZ39)</f>
        <v/>
      </c>
      <c r="R41" s="103">
        <f>IF(LLM_Data_Entry!AK39="","",LLM_Data_Entry!AK39)</f>
        <v/>
      </c>
      <c r="S41" s="103">
        <f>IF(LLM_Data_Entry!AL39="","",LLM_Data_Entry!AL39)</f>
        <v/>
      </c>
      <c r="T41" s="103">
        <f>IF(LLM_Data_Entry!BA39="","",LLM_Data_Entry!BA39)</f>
        <v/>
      </c>
      <c r="U41" s="103">
        <f>IF(LLM_Data_Entry!BB39="","",LLM_Data_Entry!BB39)</f>
        <v/>
      </c>
      <c r="V41" s="106">
        <f>IF(LLM_Data_Entry!O39="","",LLM_Data_Entry!O39)</f>
        <v/>
      </c>
    </row>
    <row r="42" ht="15" customHeight="1" s="241">
      <c r="A42" s="103">
        <f>IF(LLM_Data_Entry!A40="","",LLM_Data_Entry!A40)</f>
        <v/>
      </c>
      <c r="B42" s="103">
        <f>IF(LLM_Data_Entry!B40="","",LLM_Data_Entry!B40)</f>
        <v/>
      </c>
      <c r="C42" s="104">
        <f>IF(LLM_Data_Entry!C40="","",LLM_Data_Entry!C40)</f>
        <v/>
      </c>
      <c r="D42" s="103">
        <f>IF(LLM_Data_Entry!D40="","",LLM_Data_Entry!D40)</f>
        <v/>
      </c>
      <c r="E42" s="103">
        <f>IF(LLM_Data_Entry!V40="","",LLM_Data_Entry!V40)</f>
        <v/>
      </c>
      <c r="F42" s="103">
        <f>IF(LLM_Data_Entry!AS40="","",LLM_Data_Entry!AS40)</f>
        <v/>
      </c>
      <c r="G42" s="103">
        <f>IF(LLM_Data_Entry!AG40="","",LLM_Data_Entry!AG40)</f>
        <v/>
      </c>
      <c r="H42" s="103">
        <f>IF(LLM_Data_Entry!AT40="","",LLM_Data_Entry!AT40)</f>
        <v/>
      </c>
      <c r="I42" s="103">
        <f>IF(LLM_Data_Entry!AU40="","",LLM_Data_Entry!AU40)</f>
        <v/>
      </c>
      <c r="J42" s="103">
        <f>IF(LLM_Data_Entry!AH40="","",LLM_Data_Entry!AH40)</f>
        <v/>
      </c>
      <c r="K42" s="103">
        <f>IF(LLM_Data_Entry!AI40="","",LLM_Data_Entry!AI40)</f>
        <v/>
      </c>
      <c r="L42" s="103">
        <f>IF(LLM_Data_Entry!AJ40="","",LLM_Data_Entry!AJ40)</f>
        <v/>
      </c>
      <c r="M42" s="103">
        <f>IF(LLM_Data_Entry!AV40="","",LLM_Data_Entry!AV40)</f>
        <v/>
      </c>
      <c r="N42" s="103">
        <f>IF(LLM_Data_Entry!AW40="","",LLM_Data_Entry!AW40)</f>
        <v/>
      </c>
      <c r="O42" s="103">
        <f>IF(LLM_Data_Entry!AX40="","",LLM_Data_Entry!AX40)</f>
        <v/>
      </c>
      <c r="P42" s="103">
        <f>IF(LLM_Data_Entry!AY40="","",LLM_Data_Entry!AY40)</f>
        <v/>
      </c>
      <c r="Q42" s="103">
        <f>IF(LLM_Data_Entry!AZ40="","",LLM_Data_Entry!AZ40)</f>
        <v/>
      </c>
      <c r="R42" s="103">
        <f>IF(LLM_Data_Entry!AK40="","",LLM_Data_Entry!AK40)</f>
        <v/>
      </c>
      <c r="S42" s="103">
        <f>IF(LLM_Data_Entry!AL40="","",LLM_Data_Entry!AL40)</f>
        <v/>
      </c>
      <c r="T42" s="103">
        <f>IF(LLM_Data_Entry!BA40="","",LLM_Data_Entry!BA40)</f>
        <v/>
      </c>
      <c r="U42" s="103">
        <f>IF(LLM_Data_Entry!BB40="","",LLM_Data_Entry!BB40)</f>
        <v/>
      </c>
      <c r="V42" s="106">
        <f>IF(LLM_Data_Entry!O40="","",LLM_Data_Entry!O40)</f>
        <v/>
      </c>
    </row>
    <row r="43" ht="15" customHeight="1" s="241">
      <c r="A43" s="103">
        <f>IF(LLM_Data_Entry!A41="","",LLM_Data_Entry!A41)</f>
        <v/>
      </c>
      <c r="B43" s="103">
        <f>IF(LLM_Data_Entry!B41="","",LLM_Data_Entry!B41)</f>
        <v/>
      </c>
      <c r="C43" s="104">
        <f>IF(LLM_Data_Entry!C41="","",LLM_Data_Entry!C41)</f>
        <v/>
      </c>
      <c r="D43" s="103">
        <f>IF(LLM_Data_Entry!D41="","",LLM_Data_Entry!D41)</f>
        <v/>
      </c>
      <c r="E43" s="103">
        <f>IF(LLM_Data_Entry!V41="","",LLM_Data_Entry!V41)</f>
        <v/>
      </c>
      <c r="F43" s="103">
        <f>IF(LLM_Data_Entry!AS41="","",LLM_Data_Entry!AS41)</f>
        <v/>
      </c>
      <c r="G43" s="103">
        <f>IF(LLM_Data_Entry!AG41="","",LLM_Data_Entry!AG41)</f>
        <v/>
      </c>
      <c r="H43" s="103">
        <f>IF(LLM_Data_Entry!AT41="","",LLM_Data_Entry!AT41)</f>
        <v/>
      </c>
      <c r="I43" s="103">
        <f>IF(LLM_Data_Entry!AU41="","",LLM_Data_Entry!AU41)</f>
        <v/>
      </c>
      <c r="J43" s="103">
        <f>IF(LLM_Data_Entry!AH41="","",LLM_Data_Entry!AH41)</f>
        <v/>
      </c>
      <c r="K43" s="103">
        <f>IF(LLM_Data_Entry!AI41="","",LLM_Data_Entry!AI41)</f>
        <v/>
      </c>
      <c r="L43" s="103">
        <f>IF(LLM_Data_Entry!AJ41="","",LLM_Data_Entry!AJ41)</f>
        <v/>
      </c>
      <c r="M43" s="103">
        <f>IF(LLM_Data_Entry!AV41="","",LLM_Data_Entry!AV41)</f>
        <v/>
      </c>
      <c r="N43" s="103">
        <f>IF(LLM_Data_Entry!AW41="","",LLM_Data_Entry!AW41)</f>
        <v/>
      </c>
      <c r="O43" s="103">
        <f>IF(LLM_Data_Entry!AX41="","",LLM_Data_Entry!AX41)</f>
        <v/>
      </c>
      <c r="P43" s="103">
        <f>IF(LLM_Data_Entry!AY41="","",LLM_Data_Entry!AY41)</f>
        <v/>
      </c>
      <c r="Q43" s="103">
        <f>IF(LLM_Data_Entry!AZ41="","",LLM_Data_Entry!AZ41)</f>
        <v/>
      </c>
      <c r="R43" s="103">
        <f>IF(LLM_Data_Entry!AK41="","",LLM_Data_Entry!AK41)</f>
        <v/>
      </c>
      <c r="S43" s="103">
        <f>IF(LLM_Data_Entry!AL41="","",LLM_Data_Entry!AL41)</f>
        <v/>
      </c>
      <c r="T43" s="103">
        <f>IF(LLM_Data_Entry!BA41="","",LLM_Data_Entry!BA41)</f>
        <v/>
      </c>
      <c r="U43" s="103">
        <f>IF(LLM_Data_Entry!BB41="","",LLM_Data_Entry!BB41)</f>
        <v/>
      </c>
      <c r="V43" s="106">
        <f>IF(LLM_Data_Entry!O41="","",LLM_Data_Entry!O41)</f>
        <v/>
      </c>
    </row>
    <row r="44" ht="15" customHeight="1" s="241">
      <c r="A44" s="103">
        <f>IF(LLM_Data_Entry!A42="","",LLM_Data_Entry!A42)</f>
        <v/>
      </c>
      <c r="B44" s="103">
        <f>IF(LLM_Data_Entry!B42="","",LLM_Data_Entry!B42)</f>
        <v/>
      </c>
      <c r="C44" s="104">
        <f>IF(LLM_Data_Entry!C42="","",LLM_Data_Entry!C42)</f>
        <v/>
      </c>
      <c r="D44" s="103">
        <f>IF(LLM_Data_Entry!D42="","",LLM_Data_Entry!D42)</f>
        <v/>
      </c>
      <c r="E44" s="103">
        <f>IF(LLM_Data_Entry!V42="","",LLM_Data_Entry!V42)</f>
        <v/>
      </c>
      <c r="F44" s="103">
        <f>IF(LLM_Data_Entry!AS42="","",LLM_Data_Entry!AS42)</f>
        <v/>
      </c>
      <c r="G44" s="103">
        <f>IF(LLM_Data_Entry!AG42="","",LLM_Data_Entry!AG42)</f>
        <v/>
      </c>
      <c r="H44" s="103">
        <f>IF(LLM_Data_Entry!AT42="","",LLM_Data_Entry!AT42)</f>
        <v/>
      </c>
      <c r="I44" s="103">
        <f>IF(LLM_Data_Entry!AU42="","",LLM_Data_Entry!AU42)</f>
        <v/>
      </c>
      <c r="J44" s="103">
        <f>IF(LLM_Data_Entry!AH42="","",LLM_Data_Entry!AH42)</f>
        <v/>
      </c>
      <c r="K44" s="103">
        <f>IF(LLM_Data_Entry!AI42="","",LLM_Data_Entry!AI42)</f>
        <v/>
      </c>
      <c r="L44" s="103">
        <f>IF(LLM_Data_Entry!AJ42="","",LLM_Data_Entry!AJ42)</f>
        <v/>
      </c>
      <c r="M44" s="103">
        <f>IF(LLM_Data_Entry!AV42="","",LLM_Data_Entry!AV42)</f>
        <v/>
      </c>
      <c r="N44" s="103">
        <f>IF(LLM_Data_Entry!AW42="","",LLM_Data_Entry!AW42)</f>
        <v/>
      </c>
      <c r="O44" s="103">
        <f>IF(LLM_Data_Entry!AX42="","",LLM_Data_Entry!AX42)</f>
        <v/>
      </c>
      <c r="P44" s="103">
        <f>IF(LLM_Data_Entry!AY42="","",LLM_Data_Entry!AY42)</f>
        <v/>
      </c>
      <c r="Q44" s="103">
        <f>IF(LLM_Data_Entry!AZ42="","",LLM_Data_Entry!AZ42)</f>
        <v/>
      </c>
      <c r="R44" s="103">
        <f>IF(LLM_Data_Entry!AK42="","",LLM_Data_Entry!AK42)</f>
        <v/>
      </c>
      <c r="S44" s="103">
        <f>IF(LLM_Data_Entry!AL42="","",LLM_Data_Entry!AL42)</f>
        <v/>
      </c>
      <c r="T44" s="103">
        <f>IF(LLM_Data_Entry!BA42="","",LLM_Data_Entry!BA42)</f>
        <v/>
      </c>
      <c r="U44" s="103">
        <f>IF(LLM_Data_Entry!BB42="","",LLM_Data_Entry!BB42)</f>
        <v/>
      </c>
      <c r="V44" s="106">
        <f>IF(LLM_Data_Entry!O42="","",LLM_Data_Entry!O42)</f>
        <v/>
      </c>
    </row>
    <row r="45" ht="15" customHeight="1" s="241">
      <c r="A45" s="103">
        <f>IF(LLM_Data_Entry!A43="","",LLM_Data_Entry!A43)</f>
        <v/>
      </c>
      <c r="B45" s="103">
        <f>IF(LLM_Data_Entry!B43="","",LLM_Data_Entry!B43)</f>
        <v/>
      </c>
      <c r="C45" s="104">
        <f>IF(LLM_Data_Entry!C43="","",LLM_Data_Entry!C43)</f>
        <v/>
      </c>
      <c r="D45" s="103">
        <f>IF(LLM_Data_Entry!D43="","",LLM_Data_Entry!D43)</f>
        <v/>
      </c>
      <c r="E45" s="103">
        <f>IF(LLM_Data_Entry!V43="","",LLM_Data_Entry!V43)</f>
        <v/>
      </c>
      <c r="F45" s="103">
        <f>IF(LLM_Data_Entry!AS43="","",LLM_Data_Entry!AS43)</f>
        <v/>
      </c>
      <c r="G45" s="103">
        <f>IF(LLM_Data_Entry!AG43="","",LLM_Data_Entry!AG43)</f>
        <v/>
      </c>
      <c r="H45" s="103">
        <f>IF(LLM_Data_Entry!AT43="","",LLM_Data_Entry!AT43)</f>
        <v/>
      </c>
      <c r="I45" s="103">
        <f>IF(LLM_Data_Entry!AU43="","",LLM_Data_Entry!AU43)</f>
        <v/>
      </c>
      <c r="J45" s="103">
        <f>IF(LLM_Data_Entry!AH43="","",LLM_Data_Entry!AH43)</f>
        <v/>
      </c>
      <c r="K45" s="103">
        <f>IF(LLM_Data_Entry!AI43="","",LLM_Data_Entry!AI43)</f>
        <v/>
      </c>
      <c r="L45" s="103">
        <f>IF(LLM_Data_Entry!AJ43="","",LLM_Data_Entry!AJ43)</f>
        <v/>
      </c>
      <c r="M45" s="103">
        <f>IF(LLM_Data_Entry!AV43="","",LLM_Data_Entry!AV43)</f>
        <v/>
      </c>
      <c r="N45" s="103">
        <f>IF(LLM_Data_Entry!AW43="","",LLM_Data_Entry!AW43)</f>
        <v/>
      </c>
      <c r="O45" s="103">
        <f>IF(LLM_Data_Entry!AX43="","",LLM_Data_Entry!AX43)</f>
        <v/>
      </c>
      <c r="P45" s="103">
        <f>IF(LLM_Data_Entry!AY43="","",LLM_Data_Entry!AY43)</f>
        <v/>
      </c>
      <c r="Q45" s="103">
        <f>IF(LLM_Data_Entry!AZ43="","",LLM_Data_Entry!AZ43)</f>
        <v/>
      </c>
      <c r="R45" s="103">
        <f>IF(LLM_Data_Entry!AK43="","",LLM_Data_Entry!AK43)</f>
        <v/>
      </c>
      <c r="S45" s="103">
        <f>IF(LLM_Data_Entry!AL43="","",LLM_Data_Entry!AL43)</f>
        <v/>
      </c>
      <c r="T45" s="103">
        <f>IF(LLM_Data_Entry!BA43="","",LLM_Data_Entry!BA43)</f>
        <v/>
      </c>
      <c r="U45" s="103">
        <f>IF(LLM_Data_Entry!BB43="","",LLM_Data_Entry!BB43)</f>
        <v/>
      </c>
      <c r="V45" s="106">
        <f>IF(LLM_Data_Entry!O43="","",LLM_Data_Entry!O43)</f>
        <v/>
      </c>
    </row>
    <row r="46" ht="15" customHeight="1" s="241">
      <c r="A46" s="103">
        <f>IF(LLM_Data_Entry!A44="","",LLM_Data_Entry!A44)</f>
        <v/>
      </c>
      <c r="B46" s="103">
        <f>IF(LLM_Data_Entry!B44="","",LLM_Data_Entry!B44)</f>
        <v/>
      </c>
      <c r="C46" s="104">
        <f>IF(LLM_Data_Entry!C44="","",LLM_Data_Entry!C44)</f>
        <v/>
      </c>
      <c r="D46" s="103">
        <f>IF(LLM_Data_Entry!D44="","",LLM_Data_Entry!D44)</f>
        <v/>
      </c>
      <c r="E46" s="103">
        <f>IF(LLM_Data_Entry!V44="","",LLM_Data_Entry!V44)</f>
        <v/>
      </c>
      <c r="F46" s="103">
        <f>IF(LLM_Data_Entry!AS44="","",LLM_Data_Entry!AS44)</f>
        <v/>
      </c>
      <c r="G46" s="103">
        <f>IF(LLM_Data_Entry!AG44="","",LLM_Data_Entry!AG44)</f>
        <v/>
      </c>
      <c r="H46" s="103">
        <f>IF(LLM_Data_Entry!AT44="","",LLM_Data_Entry!AT44)</f>
        <v/>
      </c>
      <c r="I46" s="103">
        <f>IF(LLM_Data_Entry!AU44="","",LLM_Data_Entry!AU44)</f>
        <v/>
      </c>
      <c r="J46" s="103">
        <f>IF(LLM_Data_Entry!AH44="","",LLM_Data_Entry!AH44)</f>
        <v/>
      </c>
      <c r="K46" s="103">
        <f>IF(LLM_Data_Entry!AI44="","",LLM_Data_Entry!AI44)</f>
        <v/>
      </c>
      <c r="L46" s="103">
        <f>IF(LLM_Data_Entry!AJ44="","",LLM_Data_Entry!AJ44)</f>
        <v/>
      </c>
      <c r="M46" s="103">
        <f>IF(LLM_Data_Entry!AV44="","",LLM_Data_Entry!AV44)</f>
        <v/>
      </c>
      <c r="N46" s="103">
        <f>IF(LLM_Data_Entry!AW44="","",LLM_Data_Entry!AW44)</f>
        <v/>
      </c>
      <c r="O46" s="103">
        <f>IF(LLM_Data_Entry!AX44="","",LLM_Data_Entry!AX44)</f>
        <v/>
      </c>
      <c r="P46" s="103">
        <f>IF(LLM_Data_Entry!AY44="","",LLM_Data_Entry!AY44)</f>
        <v/>
      </c>
      <c r="Q46" s="103">
        <f>IF(LLM_Data_Entry!AZ44="","",LLM_Data_Entry!AZ44)</f>
        <v/>
      </c>
      <c r="R46" s="103">
        <f>IF(LLM_Data_Entry!AK44="","",LLM_Data_Entry!AK44)</f>
        <v/>
      </c>
      <c r="S46" s="103">
        <f>IF(LLM_Data_Entry!AL44="","",LLM_Data_Entry!AL44)</f>
        <v/>
      </c>
      <c r="T46" s="103">
        <f>IF(LLM_Data_Entry!BA44="","",LLM_Data_Entry!BA44)</f>
        <v/>
      </c>
      <c r="U46" s="103">
        <f>IF(LLM_Data_Entry!BB44="","",LLM_Data_Entry!BB44)</f>
        <v/>
      </c>
      <c r="V46" s="106">
        <f>IF(LLM_Data_Entry!O44="","",LLM_Data_Entry!O44)</f>
        <v/>
      </c>
    </row>
    <row r="47" ht="15" customHeight="1" s="241">
      <c r="A47" s="103">
        <f>IF(LLM_Data_Entry!A45="","",LLM_Data_Entry!A45)</f>
        <v/>
      </c>
      <c r="B47" s="103">
        <f>IF(LLM_Data_Entry!B45="","",LLM_Data_Entry!B45)</f>
        <v/>
      </c>
      <c r="C47" s="104">
        <f>IF(LLM_Data_Entry!C45="","",LLM_Data_Entry!C45)</f>
        <v/>
      </c>
      <c r="D47" s="103">
        <f>IF(LLM_Data_Entry!D45="","",LLM_Data_Entry!D45)</f>
        <v/>
      </c>
      <c r="E47" s="103">
        <f>IF(LLM_Data_Entry!V45="","",LLM_Data_Entry!V45)</f>
        <v/>
      </c>
      <c r="F47" s="103">
        <f>IF(LLM_Data_Entry!AS45="","",LLM_Data_Entry!AS45)</f>
        <v/>
      </c>
      <c r="G47" s="103">
        <f>IF(LLM_Data_Entry!AG45="","",LLM_Data_Entry!AG45)</f>
        <v/>
      </c>
      <c r="H47" s="103">
        <f>IF(LLM_Data_Entry!AT45="","",LLM_Data_Entry!AT45)</f>
        <v/>
      </c>
      <c r="I47" s="103">
        <f>IF(LLM_Data_Entry!AU45="","",LLM_Data_Entry!AU45)</f>
        <v/>
      </c>
      <c r="J47" s="103">
        <f>IF(LLM_Data_Entry!AH45="","",LLM_Data_Entry!AH45)</f>
        <v/>
      </c>
      <c r="K47" s="103">
        <f>IF(LLM_Data_Entry!AI45="","",LLM_Data_Entry!AI45)</f>
        <v/>
      </c>
      <c r="L47" s="103">
        <f>IF(LLM_Data_Entry!AJ45="","",LLM_Data_Entry!AJ45)</f>
        <v/>
      </c>
      <c r="M47" s="103">
        <f>IF(LLM_Data_Entry!AV45="","",LLM_Data_Entry!AV45)</f>
        <v/>
      </c>
      <c r="N47" s="103">
        <f>IF(LLM_Data_Entry!AW45="","",LLM_Data_Entry!AW45)</f>
        <v/>
      </c>
      <c r="O47" s="103">
        <f>IF(LLM_Data_Entry!AX45="","",LLM_Data_Entry!AX45)</f>
        <v/>
      </c>
      <c r="P47" s="103">
        <f>IF(LLM_Data_Entry!AY45="","",LLM_Data_Entry!AY45)</f>
        <v/>
      </c>
      <c r="Q47" s="103">
        <f>IF(LLM_Data_Entry!AZ45="","",LLM_Data_Entry!AZ45)</f>
        <v/>
      </c>
      <c r="R47" s="103">
        <f>IF(LLM_Data_Entry!AK45="","",LLM_Data_Entry!AK45)</f>
        <v/>
      </c>
      <c r="S47" s="103">
        <f>IF(LLM_Data_Entry!AL45="","",LLM_Data_Entry!AL45)</f>
        <v/>
      </c>
      <c r="T47" s="103">
        <f>IF(LLM_Data_Entry!BA45="","",LLM_Data_Entry!BA45)</f>
        <v/>
      </c>
      <c r="U47" s="103">
        <f>IF(LLM_Data_Entry!BB45="","",LLM_Data_Entry!BB45)</f>
        <v/>
      </c>
      <c r="V47" s="106">
        <f>IF(LLM_Data_Entry!O45="","",LLM_Data_Entry!O45)</f>
        <v/>
      </c>
    </row>
    <row r="48" ht="15" customHeight="1" s="241">
      <c r="A48" s="103">
        <f>IF(LLM_Data_Entry!A46="","",LLM_Data_Entry!A46)</f>
        <v/>
      </c>
      <c r="B48" s="103">
        <f>IF(LLM_Data_Entry!B46="","",LLM_Data_Entry!B46)</f>
        <v/>
      </c>
      <c r="C48" s="104">
        <f>IF(LLM_Data_Entry!C46="","",LLM_Data_Entry!C46)</f>
        <v/>
      </c>
      <c r="D48" s="103">
        <f>IF(LLM_Data_Entry!D46="","",LLM_Data_Entry!D46)</f>
        <v/>
      </c>
      <c r="E48" s="103">
        <f>IF(LLM_Data_Entry!V46="","",LLM_Data_Entry!V46)</f>
        <v/>
      </c>
      <c r="F48" s="103">
        <f>IF(LLM_Data_Entry!AS46="","",LLM_Data_Entry!AS46)</f>
        <v/>
      </c>
      <c r="G48" s="103">
        <f>IF(LLM_Data_Entry!AG46="","",LLM_Data_Entry!AG46)</f>
        <v/>
      </c>
      <c r="H48" s="103">
        <f>IF(LLM_Data_Entry!AT46="","",LLM_Data_Entry!AT46)</f>
        <v/>
      </c>
      <c r="I48" s="103">
        <f>IF(LLM_Data_Entry!AU46="","",LLM_Data_Entry!AU46)</f>
        <v/>
      </c>
      <c r="J48" s="103">
        <f>IF(LLM_Data_Entry!AH46="","",LLM_Data_Entry!AH46)</f>
        <v/>
      </c>
      <c r="K48" s="103">
        <f>IF(LLM_Data_Entry!AI46="","",LLM_Data_Entry!AI46)</f>
        <v/>
      </c>
      <c r="L48" s="103">
        <f>IF(LLM_Data_Entry!AJ46="","",LLM_Data_Entry!AJ46)</f>
        <v/>
      </c>
      <c r="M48" s="103">
        <f>IF(LLM_Data_Entry!AV46="","",LLM_Data_Entry!AV46)</f>
        <v/>
      </c>
      <c r="N48" s="103">
        <f>IF(LLM_Data_Entry!AW46="","",LLM_Data_Entry!AW46)</f>
        <v/>
      </c>
      <c r="O48" s="103">
        <f>IF(LLM_Data_Entry!AX46="","",LLM_Data_Entry!AX46)</f>
        <v/>
      </c>
      <c r="P48" s="103">
        <f>IF(LLM_Data_Entry!AY46="","",LLM_Data_Entry!AY46)</f>
        <v/>
      </c>
      <c r="Q48" s="103">
        <f>IF(LLM_Data_Entry!AZ46="","",LLM_Data_Entry!AZ46)</f>
        <v/>
      </c>
      <c r="R48" s="103">
        <f>IF(LLM_Data_Entry!AK46="","",LLM_Data_Entry!AK46)</f>
        <v/>
      </c>
      <c r="S48" s="103">
        <f>IF(LLM_Data_Entry!AL46="","",LLM_Data_Entry!AL46)</f>
        <v/>
      </c>
      <c r="T48" s="103">
        <f>IF(LLM_Data_Entry!BA46="","",LLM_Data_Entry!BA46)</f>
        <v/>
      </c>
      <c r="U48" s="103">
        <f>IF(LLM_Data_Entry!BB46="","",LLM_Data_Entry!BB46)</f>
        <v/>
      </c>
      <c r="V48" s="106">
        <f>IF(LLM_Data_Entry!O46="","",LLM_Data_Entry!O46)</f>
        <v/>
      </c>
    </row>
    <row r="49" ht="15" customHeight="1" s="241">
      <c r="A49" s="103">
        <f>IF(LLM_Data_Entry!A47="","",LLM_Data_Entry!A47)</f>
        <v/>
      </c>
      <c r="B49" s="103">
        <f>IF(LLM_Data_Entry!B47="","",LLM_Data_Entry!B47)</f>
        <v/>
      </c>
      <c r="C49" s="104">
        <f>IF(LLM_Data_Entry!C47="","",LLM_Data_Entry!C47)</f>
        <v/>
      </c>
      <c r="D49" s="103">
        <f>IF(LLM_Data_Entry!D47="","",LLM_Data_Entry!D47)</f>
        <v/>
      </c>
      <c r="E49" s="103">
        <f>IF(LLM_Data_Entry!V47="","",LLM_Data_Entry!V47)</f>
        <v/>
      </c>
      <c r="F49" s="103">
        <f>IF(LLM_Data_Entry!AS47="","",LLM_Data_Entry!AS47)</f>
        <v/>
      </c>
      <c r="G49" s="103">
        <f>IF(LLM_Data_Entry!AG47="","",LLM_Data_Entry!AG47)</f>
        <v/>
      </c>
      <c r="H49" s="103">
        <f>IF(LLM_Data_Entry!AT47="","",LLM_Data_Entry!AT47)</f>
        <v/>
      </c>
      <c r="I49" s="103">
        <f>IF(LLM_Data_Entry!AU47="","",LLM_Data_Entry!AU47)</f>
        <v/>
      </c>
      <c r="J49" s="103">
        <f>IF(LLM_Data_Entry!AH47="","",LLM_Data_Entry!AH47)</f>
        <v/>
      </c>
      <c r="K49" s="103">
        <f>IF(LLM_Data_Entry!AI47="","",LLM_Data_Entry!AI47)</f>
        <v/>
      </c>
      <c r="L49" s="103">
        <f>IF(LLM_Data_Entry!AJ47="","",LLM_Data_Entry!AJ47)</f>
        <v/>
      </c>
      <c r="M49" s="103">
        <f>IF(LLM_Data_Entry!AV47="","",LLM_Data_Entry!AV47)</f>
        <v/>
      </c>
      <c r="N49" s="103">
        <f>IF(LLM_Data_Entry!AW47="","",LLM_Data_Entry!AW47)</f>
        <v/>
      </c>
      <c r="O49" s="103">
        <f>IF(LLM_Data_Entry!AX47="","",LLM_Data_Entry!AX47)</f>
        <v/>
      </c>
      <c r="P49" s="103">
        <f>IF(LLM_Data_Entry!AY47="","",LLM_Data_Entry!AY47)</f>
        <v/>
      </c>
      <c r="Q49" s="103">
        <f>IF(LLM_Data_Entry!AZ47="","",LLM_Data_Entry!AZ47)</f>
        <v/>
      </c>
      <c r="R49" s="103">
        <f>IF(LLM_Data_Entry!AK47="","",LLM_Data_Entry!AK47)</f>
        <v/>
      </c>
      <c r="S49" s="103">
        <f>IF(LLM_Data_Entry!AL47="","",LLM_Data_Entry!AL47)</f>
        <v/>
      </c>
      <c r="T49" s="103">
        <f>IF(LLM_Data_Entry!BA47="","",LLM_Data_Entry!BA47)</f>
        <v/>
      </c>
      <c r="U49" s="103">
        <f>IF(LLM_Data_Entry!BB47="","",LLM_Data_Entry!BB47)</f>
        <v/>
      </c>
      <c r="V49" s="106">
        <f>IF(LLM_Data_Entry!O47="","",LLM_Data_Entry!O47)</f>
        <v/>
      </c>
    </row>
    <row r="50" ht="15" customHeight="1" s="241">
      <c r="A50" s="103">
        <f>IF(LLM_Data_Entry!A48="","",LLM_Data_Entry!A48)</f>
        <v/>
      </c>
      <c r="B50" s="103">
        <f>IF(LLM_Data_Entry!B48="","",LLM_Data_Entry!B48)</f>
        <v/>
      </c>
      <c r="C50" s="104">
        <f>IF(LLM_Data_Entry!C48="","",LLM_Data_Entry!C48)</f>
        <v/>
      </c>
      <c r="D50" s="103">
        <f>IF(LLM_Data_Entry!D48="","",LLM_Data_Entry!D48)</f>
        <v/>
      </c>
      <c r="E50" s="103">
        <f>IF(LLM_Data_Entry!V48="","",LLM_Data_Entry!V48)</f>
        <v/>
      </c>
      <c r="F50" s="103">
        <f>IF(LLM_Data_Entry!AS48="","",LLM_Data_Entry!AS48)</f>
        <v/>
      </c>
      <c r="G50" s="103">
        <f>IF(LLM_Data_Entry!AG48="","",LLM_Data_Entry!AG48)</f>
        <v/>
      </c>
      <c r="H50" s="103">
        <f>IF(LLM_Data_Entry!AT48="","",LLM_Data_Entry!AT48)</f>
        <v/>
      </c>
      <c r="I50" s="103">
        <f>IF(LLM_Data_Entry!AU48="","",LLM_Data_Entry!AU48)</f>
        <v/>
      </c>
      <c r="J50" s="103">
        <f>IF(LLM_Data_Entry!AH48="","",LLM_Data_Entry!AH48)</f>
        <v/>
      </c>
      <c r="K50" s="103">
        <f>IF(LLM_Data_Entry!AI48="","",LLM_Data_Entry!AI48)</f>
        <v/>
      </c>
      <c r="L50" s="103">
        <f>IF(LLM_Data_Entry!AJ48="","",LLM_Data_Entry!AJ48)</f>
        <v/>
      </c>
      <c r="M50" s="103">
        <f>IF(LLM_Data_Entry!AV48="","",LLM_Data_Entry!AV48)</f>
        <v/>
      </c>
      <c r="N50" s="103">
        <f>IF(LLM_Data_Entry!AW48="","",LLM_Data_Entry!AW48)</f>
        <v/>
      </c>
      <c r="O50" s="103">
        <f>IF(LLM_Data_Entry!AX48="","",LLM_Data_Entry!AX48)</f>
        <v/>
      </c>
      <c r="P50" s="103">
        <f>IF(LLM_Data_Entry!AY48="","",LLM_Data_Entry!AY48)</f>
        <v/>
      </c>
      <c r="Q50" s="103">
        <f>IF(LLM_Data_Entry!AZ48="","",LLM_Data_Entry!AZ48)</f>
        <v/>
      </c>
      <c r="R50" s="103">
        <f>IF(LLM_Data_Entry!AK48="","",LLM_Data_Entry!AK48)</f>
        <v/>
      </c>
      <c r="S50" s="103">
        <f>IF(LLM_Data_Entry!AL48="","",LLM_Data_Entry!AL48)</f>
        <v/>
      </c>
      <c r="T50" s="103">
        <f>IF(LLM_Data_Entry!BA48="","",LLM_Data_Entry!BA48)</f>
        <v/>
      </c>
      <c r="U50" s="103">
        <f>IF(LLM_Data_Entry!BB48="","",LLM_Data_Entry!BB48)</f>
        <v/>
      </c>
      <c r="V50" s="106">
        <f>IF(LLM_Data_Entry!O48="","",LLM_Data_Entry!O48)</f>
        <v/>
      </c>
    </row>
    <row r="51" ht="15" customHeight="1" s="241">
      <c r="A51" s="103">
        <f>IF(LLM_Data_Entry!A49="","",LLM_Data_Entry!A49)</f>
        <v/>
      </c>
      <c r="B51" s="103">
        <f>IF(LLM_Data_Entry!B49="","",LLM_Data_Entry!B49)</f>
        <v/>
      </c>
      <c r="C51" s="104">
        <f>IF(LLM_Data_Entry!C49="","",LLM_Data_Entry!C49)</f>
        <v/>
      </c>
      <c r="D51" s="103">
        <f>IF(LLM_Data_Entry!D49="","",LLM_Data_Entry!D49)</f>
        <v/>
      </c>
      <c r="E51" s="103">
        <f>IF(LLM_Data_Entry!V49="","",LLM_Data_Entry!V49)</f>
        <v/>
      </c>
      <c r="F51" s="103">
        <f>IF(LLM_Data_Entry!AS49="","",LLM_Data_Entry!AS49)</f>
        <v/>
      </c>
      <c r="G51" s="103">
        <f>IF(LLM_Data_Entry!AG49="","",LLM_Data_Entry!AG49)</f>
        <v/>
      </c>
      <c r="H51" s="103">
        <f>IF(LLM_Data_Entry!AT49="","",LLM_Data_Entry!AT49)</f>
        <v/>
      </c>
      <c r="I51" s="103">
        <f>IF(LLM_Data_Entry!AU49="","",LLM_Data_Entry!AU49)</f>
        <v/>
      </c>
      <c r="J51" s="103">
        <f>IF(LLM_Data_Entry!AH49="","",LLM_Data_Entry!AH49)</f>
        <v/>
      </c>
      <c r="K51" s="103">
        <f>IF(LLM_Data_Entry!AI49="","",LLM_Data_Entry!AI49)</f>
        <v/>
      </c>
      <c r="L51" s="103">
        <f>IF(LLM_Data_Entry!AJ49="","",LLM_Data_Entry!AJ49)</f>
        <v/>
      </c>
      <c r="M51" s="103">
        <f>IF(LLM_Data_Entry!AV49="","",LLM_Data_Entry!AV49)</f>
        <v/>
      </c>
      <c r="N51" s="103">
        <f>IF(LLM_Data_Entry!AW49="","",LLM_Data_Entry!AW49)</f>
        <v/>
      </c>
      <c r="O51" s="103">
        <f>IF(LLM_Data_Entry!AX49="","",LLM_Data_Entry!AX49)</f>
        <v/>
      </c>
      <c r="P51" s="103">
        <f>IF(LLM_Data_Entry!AY49="","",LLM_Data_Entry!AY49)</f>
        <v/>
      </c>
      <c r="Q51" s="103">
        <f>IF(LLM_Data_Entry!AZ49="","",LLM_Data_Entry!AZ49)</f>
        <v/>
      </c>
      <c r="R51" s="103">
        <f>IF(LLM_Data_Entry!AK49="","",LLM_Data_Entry!AK49)</f>
        <v/>
      </c>
      <c r="S51" s="103">
        <f>IF(LLM_Data_Entry!AL49="","",LLM_Data_Entry!AL49)</f>
        <v/>
      </c>
      <c r="T51" s="103">
        <f>IF(LLM_Data_Entry!BA49="","",LLM_Data_Entry!BA49)</f>
        <v/>
      </c>
      <c r="U51" s="103">
        <f>IF(LLM_Data_Entry!BB49="","",LLM_Data_Entry!BB49)</f>
        <v/>
      </c>
      <c r="V51" s="106">
        <f>IF(LLM_Data_Entry!O49="","",LLM_Data_Entry!O49)</f>
        <v/>
      </c>
    </row>
    <row r="52" ht="15" customHeight="1" s="241">
      <c r="A52" s="103">
        <f>IF(LLM_Data_Entry!A50="","",LLM_Data_Entry!A50)</f>
        <v/>
      </c>
      <c r="B52" s="103">
        <f>IF(LLM_Data_Entry!B50="","",LLM_Data_Entry!B50)</f>
        <v/>
      </c>
      <c r="C52" s="104">
        <f>IF(LLM_Data_Entry!C50="","",LLM_Data_Entry!C50)</f>
        <v/>
      </c>
      <c r="D52" s="103">
        <f>IF(LLM_Data_Entry!D50="","",LLM_Data_Entry!D50)</f>
        <v/>
      </c>
      <c r="E52" s="103">
        <f>IF(LLM_Data_Entry!V50="","",LLM_Data_Entry!V50)</f>
        <v/>
      </c>
      <c r="F52" s="103">
        <f>IF(LLM_Data_Entry!AS50="","",LLM_Data_Entry!AS50)</f>
        <v/>
      </c>
      <c r="G52" s="103">
        <f>IF(LLM_Data_Entry!AG50="","",LLM_Data_Entry!AG50)</f>
        <v/>
      </c>
      <c r="H52" s="103">
        <f>IF(LLM_Data_Entry!AT50="","",LLM_Data_Entry!AT50)</f>
        <v/>
      </c>
      <c r="I52" s="103">
        <f>IF(LLM_Data_Entry!AU50="","",LLM_Data_Entry!AU50)</f>
        <v/>
      </c>
      <c r="J52" s="103">
        <f>IF(LLM_Data_Entry!AH50="","",LLM_Data_Entry!AH50)</f>
        <v/>
      </c>
      <c r="K52" s="103">
        <f>IF(LLM_Data_Entry!AI50="","",LLM_Data_Entry!AI50)</f>
        <v/>
      </c>
      <c r="L52" s="103">
        <f>IF(LLM_Data_Entry!AJ50="","",LLM_Data_Entry!AJ50)</f>
        <v/>
      </c>
      <c r="M52" s="103">
        <f>IF(LLM_Data_Entry!AV50="","",LLM_Data_Entry!AV50)</f>
        <v/>
      </c>
      <c r="N52" s="103">
        <f>IF(LLM_Data_Entry!AW50="","",LLM_Data_Entry!AW50)</f>
        <v/>
      </c>
      <c r="O52" s="103">
        <f>IF(LLM_Data_Entry!AX50="","",LLM_Data_Entry!AX50)</f>
        <v/>
      </c>
      <c r="P52" s="103">
        <f>IF(LLM_Data_Entry!AY50="","",LLM_Data_Entry!AY50)</f>
        <v/>
      </c>
      <c r="Q52" s="103">
        <f>IF(LLM_Data_Entry!AZ50="","",LLM_Data_Entry!AZ50)</f>
        <v/>
      </c>
      <c r="R52" s="103">
        <f>IF(LLM_Data_Entry!AK50="","",LLM_Data_Entry!AK50)</f>
        <v/>
      </c>
      <c r="S52" s="103">
        <f>IF(LLM_Data_Entry!AL50="","",LLM_Data_Entry!AL50)</f>
        <v/>
      </c>
      <c r="T52" s="103">
        <f>IF(LLM_Data_Entry!BA50="","",LLM_Data_Entry!BA50)</f>
        <v/>
      </c>
      <c r="U52" s="103">
        <f>IF(LLM_Data_Entry!BB50="","",LLM_Data_Entry!BB50)</f>
        <v/>
      </c>
      <c r="V52" s="106">
        <f>IF(LLM_Data_Entry!O50="","",LLM_Data_Entry!O50)</f>
        <v/>
      </c>
    </row>
    <row r="53" ht="15" customHeight="1" s="241">
      <c r="A53" s="103">
        <f>IF(LLM_Data_Entry!A51="","",LLM_Data_Entry!A51)</f>
        <v/>
      </c>
      <c r="B53" s="103">
        <f>IF(LLM_Data_Entry!B51="","",LLM_Data_Entry!B51)</f>
        <v/>
      </c>
      <c r="C53" s="104">
        <f>IF(LLM_Data_Entry!C51="","",LLM_Data_Entry!C51)</f>
        <v/>
      </c>
      <c r="D53" s="103">
        <f>IF(LLM_Data_Entry!D51="","",LLM_Data_Entry!D51)</f>
        <v/>
      </c>
      <c r="E53" s="103">
        <f>IF(LLM_Data_Entry!V51="","",LLM_Data_Entry!V51)</f>
        <v/>
      </c>
      <c r="F53" s="103">
        <f>IF(LLM_Data_Entry!AS51="","",LLM_Data_Entry!AS51)</f>
        <v/>
      </c>
      <c r="G53" s="103">
        <f>IF(LLM_Data_Entry!AG51="","",LLM_Data_Entry!AG51)</f>
        <v/>
      </c>
      <c r="H53" s="103">
        <f>IF(LLM_Data_Entry!AT51="","",LLM_Data_Entry!AT51)</f>
        <v/>
      </c>
      <c r="I53" s="103">
        <f>IF(LLM_Data_Entry!AU51="","",LLM_Data_Entry!AU51)</f>
        <v/>
      </c>
      <c r="J53" s="103">
        <f>IF(LLM_Data_Entry!AH51="","",LLM_Data_Entry!AH51)</f>
        <v/>
      </c>
      <c r="K53" s="103">
        <f>IF(LLM_Data_Entry!AI51="","",LLM_Data_Entry!AI51)</f>
        <v/>
      </c>
      <c r="L53" s="103">
        <f>IF(LLM_Data_Entry!AJ51="","",LLM_Data_Entry!AJ51)</f>
        <v/>
      </c>
      <c r="M53" s="103">
        <f>IF(LLM_Data_Entry!AV51="","",LLM_Data_Entry!AV51)</f>
        <v/>
      </c>
      <c r="N53" s="103">
        <f>IF(LLM_Data_Entry!AW51="","",LLM_Data_Entry!AW51)</f>
        <v/>
      </c>
      <c r="O53" s="103">
        <f>IF(LLM_Data_Entry!AX51="","",LLM_Data_Entry!AX51)</f>
        <v/>
      </c>
      <c r="P53" s="103">
        <f>IF(LLM_Data_Entry!AY51="","",LLM_Data_Entry!AY51)</f>
        <v/>
      </c>
      <c r="Q53" s="103">
        <f>IF(LLM_Data_Entry!AZ51="","",LLM_Data_Entry!AZ51)</f>
        <v/>
      </c>
      <c r="R53" s="103">
        <f>IF(LLM_Data_Entry!AK51="","",LLM_Data_Entry!AK51)</f>
        <v/>
      </c>
      <c r="S53" s="103">
        <f>IF(LLM_Data_Entry!AL51="","",LLM_Data_Entry!AL51)</f>
        <v/>
      </c>
      <c r="T53" s="103">
        <f>IF(LLM_Data_Entry!BA51="","",LLM_Data_Entry!BA51)</f>
        <v/>
      </c>
      <c r="U53" s="103">
        <f>IF(LLM_Data_Entry!BB51="","",LLM_Data_Entry!BB51)</f>
        <v/>
      </c>
      <c r="V53" s="106">
        <f>IF(LLM_Data_Entry!O51="","",LLM_Data_Entry!O51)</f>
        <v/>
      </c>
    </row>
    <row r="54" ht="15" customHeight="1" s="241">
      <c r="A54" s="103">
        <f>IF(LLM_Data_Entry!A52="","",LLM_Data_Entry!A52)</f>
        <v/>
      </c>
      <c r="B54" s="103">
        <f>IF(LLM_Data_Entry!B52="","",LLM_Data_Entry!B52)</f>
        <v/>
      </c>
      <c r="C54" s="104">
        <f>IF(LLM_Data_Entry!C52="","",LLM_Data_Entry!C52)</f>
        <v/>
      </c>
      <c r="D54" s="103">
        <f>IF(LLM_Data_Entry!D52="","",LLM_Data_Entry!D52)</f>
        <v/>
      </c>
      <c r="E54" s="103">
        <f>IF(LLM_Data_Entry!V52="","",LLM_Data_Entry!V52)</f>
        <v/>
      </c>
      <c r="F54" s="103">
        <f>IF(LLM_Data_Entry!AS52="","",LLM_Data_Entry!AS52)</f>
        <v/>
      </c>
      <c r="G54" s="103">
        <f>IF(LLM_Data_Entry!AG52="","",LLM_Data_Entry!AG52)</f>
        <v/>
      </c>
      <c r="H54" s="103">
        <f>IF(LLM_Data_Entry!AT52="","",LLM_Data_Entry!AT52)</f>
        <v/>
      </c>
      <c r="I54" s="103">
        <f>IF(LLM_Data_Entry!AU52="","",LLM_Data_Entry!AU52)</f>
        <v/>
      </c>
      <c r="J54" s="103">
        <f>IF(LLM_Data_Entry!AH52="","",LLM_Data_Entry!AH52)</f>
        <v/>
      </c>
      <c r="K54" s="103">
        <f>IF(LLM_Data_Entry!AI52="","",LLM_Data_Entry!AI52)</f>
        <v/>
      </c>
      <c r="L54" s="103">
        <f>IF(LLM_Data_Entry!AJ52="","",LLM_Data_Entry!AJ52)</f>
        <v/>
      </c>
      <c r="M54" s="103">
        <f>IF(LLM_Data_Entry!AV52="","",LLM_Data_Entry!AV52)</f>
        <v/>
      </c>
      <c r="N54" s="103">
        <f>IF(LLM_Data_Entry!AW52="","",LLM_Data_Entry!AW52)</f>
        <v/>
      </c>
      <c r="O54" s="103">
        <f>IF(LLM_Data_Entry!AX52="","",LLM_Data_Entry!AX52)</f>
        <v/>
      </c>
      <c r="P54" s="103">
        <f>IF(LLM_Data_Entry!AY52="","",LLM_Data_Entry!AY52)</f>
        <v/>
      </c>
      <c r="Q54" s="103">
        <f>IF(LLM_Data_Entry!AZ52="","",LLM_Data_Entry!AZ52)</f>
        <v/>
      </c>
      <c r="R54" s="103">
        <f>IF(LLM_Data_Entry!AK52="","",LLM_Data_Entry!AK52)</f>
        <v/>
      </c>
      <c r="S54" s="103">
        <f>IF(LLM_Data_Entry!AL52="","",LLM_Data_Entry!AL52)</f>
        <v/>
      </c>
      <c r="T54" s="103">
        <f>IF(LLM_Data_Entry!BA52="","",LLM_Data_Entry!BA52)</f>
        <v/>
      </c>
      <c r="U54" s="103">
        <f>IF(LLM_Data_Entry!BB52="","",LLM_Data_Entry!BB52)</f>
        <v/>
      </c>
      <c r="V54" s="106">
        <f>IF(LLM_Data_Entry!O52="","",LLM_Data_Entry!O52)</f>
        <v/>
      </c>
    </row>
    <row r="55" ht="15" customHeight="1" s="241">
      <c r="A55" s="103">
        <f>IF(LLM_Data_Entry!A53="","",LLM_Data_Entry!A53)</f>
        <v/>
      </c>
      <c r="B55" s="103">
        <f>IF(LLM_Data_Entry!B53="","",LLM_Data_Entry!B53)</f>
        <v/>
      </c>
      <c r="C55" s="104">
        <f>IF(LLM_Data_Entry!C53="","",LLM_Data_Entry!C53)</f>
        <v/>
      </c>
      <c r="D55" s="103">
        <f>IF(LLM_Data_Entry!D53="","",LLM_Data_Entry!D53)</f>
        <v/>
      </c>
      <c r="E55" s="103">
        <f>IF(LLM_Data_Entry!V53="","",LLM_Data_Entry!V53)</f>
        <v/>
      </c>
      <c r="F55" s="103">
        <f>IF(LLM_Data_Entry!AS53="","",LLM_Data_Entry!AS53)</f>
        <v/>
      </c>
      <c r="G55" s="103">
        <f>IF(LLM_Data_Entry!AG53="","",LLM_Data_Entry!AG53)</f>
        <v/>
      </c>
      <c r="H55" s="103">
        <f>IF(LLM_Data_Entry!AT53="","",LLM_Data_Entry!AT53)</f>
        <v/>
      </c>
      <c r="I55" s="103">
        <f>IF(LLM_Data_Entry!AU53="","",LLM_Data_Entry!AU53)</f>
        <v/>
      </c>
      <c r="J55" s="103">
        <f>IF(LLM_Data_Entry!AH53="","",LLM_Data_Entry!AH53)</f>
        <v/>
      </c>
      <c r="K55" s="103">
        <f>IF(LLM_Data_Entry!AI53="","",LLM_Data_Entry!AI53)</f>
        <v/>
      </c>
      <c r="L55" s="103">
        <f>IF(LLM_Data_Entry!AJ53="","",LLM_Data_Entry!AJ53)</f>
        <v/>
      </c>
      <c r="M55" s="103">
        <f>IF(LLM_Data_Entry!AV53="","",LLM_Data_Entry!AV53)</f>
        <v/>
      </c>
      <c r="N55" s="103">
        <f>IF(LLM_Data_Entry!AW53="","",LLM_Data_Entry!AW53)</f>
        <v/>
      </c>
      <c r="O55" s="103">
        <f>IF(LLM_Data_Entry!AX53="","",LLM_Data_Entry!AX53)</f>
        <v/>
      </c>
      <c r="P55" s="103">
        <f>IF(LLM_Data_Entry!AY53="","",LLM_Data_Entry!AY53)</f>
        <v/>
      </c>
      <c r="Q55" s="103">
        <f>IF(LLM_Data_Entry!AZ53="","",LLM_Data_Entry!AZ53)</f>
        <v/>
      </c>
      <c r="R55" s="103">
        <f>IF(LLM_Data_Entry!AK53="","",LLM_Data_Entry!AK53)</f>
        <v/>
      </c>
      <c r="S55" s="103">
        <f>IF(LLM_Data_Entry!AL53="","",LLM_Data_Entry!AL53)</f>
        <v/>
      </c>
      <c r="T55" s="103">
        <f>IF(LLM_Data_Entry!BA53="","",LLM_Data_Entry!BA53)</f>
        <v/>
      </c>
      <c r="U55" s="103">
        <f>IF(LLM_Data_Entry!BB53="","",LLM_Data_Entry!BB53)</f>
        <v/>
      </c>
      <c r="V55" s="106">
        <f>IF(LLM_Data_Entry!O53="","",LLM_Data_Entry!O53)</f>
        <v/>
      </c>
    </row>
    <row r="56" ht="15" customHeight="1" s="241">
      <c r="A56" s="103">
        <f>IF(LLM_Data_Entry!A54="","",LLM_Data_Entry!A54)</f>
        <v/>
      </c>
      <c r="B56" s="103">
        <f>IF(LLM_Data_Entry!B54="","",LLM_Data_Entry!B54)</f>
        <v/>
      </c>
      <c r="C56" s="104">
        <f>IF(LLM_Data_Entry!C54="","",LLM_Data_Entry!C54)</f>
        <v/>
      </c>
      <c r="D56" s="103">
        <f>IF(LLM_Data_Entry!D54="","",LLM_Data_Entry!D54)</f>
        <v/>
      </c>
      <c r="E56" s="103">
        <f>IF(LLM_Data_Entry!V54="","",LLM_Data_Entry!V54)</f>
        <v/>
      </c>
      <c r="F56" s="103">
        <f>IF(LLM_Data_Entry!AS54="","",LLM_Data_Entry!AS54)</f>
        <v/>
      </c>
      <c r="G56" s="103">
        <f>IF(LLM_Data_Entry!AG54="","",LLM_Data_Entry!AG54)</f>
        <v/>
      </c>
      <c r="H56" s="103">
        <f>IF(LLM_Data_Entry!AT54="","",LLM_Data_Entry!AT54)</f>
        <v/>
      </c>
      <c r="I56" s="103">
        <f>IF(LLM_Data_Entry!AU54="","",LLM_Data_Entry!AU54)</f>
        <v/>
      </c>
      <c r="J56" s="103">
        <f>IF(LLM_Data_Entry!AH54="","",LLM_Data_Entry!AH54)</f>
        <v/>
      </c>
      <c r="K56" s="103">
        <f>IF(LLM_Data_Entry!AI54="","",LLM_Data_Entry!AI54)</f>
        <v/>
      </c>
      <c r="L56" s="103">
        <f>IF(LLM_Data_Entry!AJ54="","",LLM_Data_Entry!AJ54)</f>
        <v/>
      </c>
      <c r="M56" s="103">
        <f>IF(LLM_Data_Entry!AV54="","",LLM_Data_Entry!AV54)</f>
        <v/>
      </c>
      <c r="N56" s="103">
        <f>IF(LLM_Data_Entry!AW54="","",LLM_Data_Entry!AW54)</f>
        <v/>
      </c>
      <c r="O56" s="103">
        <f>IF(LLM_Data_Entry!AX54="","",LLM_Data_Entry!AX54)</f>
        <v/>
      </c>
      <c r="P56" s="103">
        <f>IF(LLM_Data_Entry!AY54="","",LLM_Data_Entry!AY54)</f>
        <v/>
      </c>
      <c r="Q56" s="103">
        <f>IF(LLM_Data_Entry!AZ54="","",LLM_Data_Entry!AZ54)</f>
        <v/>
      </c>
      <c r="R56" s="103">
        <f>IF(LLM_Data_Entry!AK54="","",LLM_Data_Entry!AK54)</f>
        <v/>
      </c>
      <c r="S56" s="103">
        <f>IF(LLM_Data_Entry!AL54="","",LLM_Data_Entry!AL54)</f>
        <v/>
      </c>
      <c r="T56" s="103">
        <f>IF(LLM_Data_Entry!BA54="","",LLM_Data_Entry!BA54)</f>
        <v/>
      </c>
      <c r="U56" s="103">
        <f>IF(LLM_Data_Entry!BB54="","",LLM_Data_Entry!BB54)</f>
        <v/>
      </c>
      <c r="V56" s="106">
        <f>IF(LLM_Data_Entry!O54="","",LLM_Data_Entry!O54)</f>
        <v/>
      </c>
    </row>
    <row r="57" ht="15" customHeight="1" s="241">
      <c r="A57" s="103">
        <f>IF(LLM_Data_Entry!A55="","",LLM_Data_Entry!A55)</f>
        <v/>
      </c>
      <c r="B57" s="103">
        <f>IF(LLM_Data_Entry!B55="","",LLM_Data_Entry!B55)</f>
        <v/>
      </c>
      <c r="C57" s="104">
        <f>IF(LLM_Data_Entry!C55="","",LLM_Data_Entry!C55)</f>
        <v/>
      </c>
      <c r="D57" s="103">
        <f>IF(LLM_Data_Entry!D55="","",LLM_Data_Entry!D55)</f>
        <v/>
      </c>
      <c r="E57" s="103">
        <f>IF(LLM_Data_Entry!V55="","",LLM_Data_Entry!V55)</f>
        <v/>
      </c>
      <c r="F57" s="103">
        <f>IF(LLM_Data_Entry!AS55="","",LLM_Data_Entry!AS55)</f>
        <v/>
      </c>
      <c r="G57" s="103">
        <f>IF(LLM_Data_Entry!AG55="","",LLM_Data_Entry!AG55)</f>
        <v/>
      </c>
      <c r="H57" s="103">
        <f>IF(LLM_Data_Entry!AT55="","",LLM_Data_Entry!AT55)</f>
        <v/>
      </c>
      <c r="I57" s="103">
        <f>IF(LLM_Data_Entry!AU55="","",LLM_Data_Entry!AU55)</f>
        <v/>
      </c>
      <c r="J57" s="103">
        <f>IF(LLM_Data_Entry!AH55="","",LLM_Data_Entry!AH55)</f>
        <v/>
      </c>
      <c r="K57" s="103">
        <f>IF(LLM_Data_Entry!AI55="","",LLM_Data_Entry!AI55)</f>
        <v/>
      </c>
      <c r="L57" s="103">
        <f>IF(LLM_Data_Entry!AJ55="","",LLM_Data_Entry!AJ55)</f>
        <v/>
      </c>
      <c r="M57" s="103">
        <f>IF(LLM_Data_Entry!AV55="","",LLM_Data_Entry!AV55)</f>
        <v/>
      </c>
      <c r="N57" s="103">
        <f>IF(LLM_Data_Entry!AW55="","",LLM_Data_Entry!AW55)</f>
        <v/>
      </c>
      <c r="O57" s="103">
        <f>IF(LLM_Data_Entry!AX55="","",LLM_Data_Entry!AX55)</f>
        <v/>
      </c>
      <c r="P57" s="103">
        <f>IF(LLM_Data_Entry!AY55="","",LLM_Data_Entry!AY55)</f>
        <v/>
      </c>
      <c r="Q57" s="103">
        <f>IF(LLM_Data_Entry!AZ55="","",LLM_Data_Entry!AZ55)</f>
        <v/>
      </c>
      <c r="R57" s="103">
        <f>IF(LLM_Data_Entry!AK55="","",LLM_Data_Entry!AK55)</f>
        <v/>
      </c>
      <c r="S57" s="103">
        <f>IF(LLM_Data_Entry!AL55="","",LLM_Data_Entry!AL55)</f>
        <v/>
      </c>
      <c r="T57" s="103">
        <f>IF(LLM_Data_Entry!BA55="","",LLM_Data_Entry!BA55)</f>
        <v/>
      </c>
      <c r="U57" s="103">
        <f>IF(LLM_Data_Entry!BB55="","",LLM_Data_Entry!BB55)</f>
        <v/>
      </c>
      <c r="V57" s="106">
        <f>IF(LLM_Data_Entry!O55="","",LLM_Data_Entry!O55)</f>
        <v/>
      </c>
    </row>
    <row r="58" ht="15" customHeight="1" s="241">
      <c r="A58" s="103">
        <f>IF(LLM_Data_Entry!A56="","",LLM_Data_Entry!A56)</f>
        <v/>
      </c>
      <c r="B58" s="103">
        <f>IF(LLM_Data_Entry!B56="","",LLM_Data_Entry!B56)</f>
        <v/>
      </c>
      <c r="C58" s="104">
        <f>IF(LLM_Data_Entry!C56="","",LLM_Data_Entry!C56)</f>
        <v/>
      </c>
      <c r="D58" s="103">
        <f>IF(LLM_Data_Entry!D56="","",LLM_Data_Entry!D56)</f>
        <v/>
      </c>
      <c r="E58" s="103">
        <f>IF(LLM_Data_Entry!V56="","",LLM_Data_Entry!V56)</f>
        <v/>
      </c>
      <c r="F58" s="103">
        <f>IF(LLM_Data_Entry!AS56="","",LLM_Data_Entry!AS56)</f>
        <v/>
      </c>
      <c r="G58" s="103">
        <f>IF(LLM_Data_Entry!AG56="","",LLM_Data_Entry!AG56)</f>
        <v/>
      </c>
      <c r="H58" s="103">
        <f>IF(LLM_Data_Entry!AT56="","",LLM_Data_Entry!AT56)</f>
        <v/>
      </c>
      <c r="I58" s="103">
        <f>IF(LLM_Data_Entry!AU56="","",LLM_Data_Entry!AU56)</f>
        <v/>
      </c>
      <c r="J58" s="103">
        <f>IF(LLM_Data_Entry!AH56="","",LLM_Data_Entry!AH56)</f>
        <v/>
      </c>
      <c r="K58" s="103">
        <f>IF(LLM_Data_Entry!AI56="","",LLM_Data_Entry!AI56)</f>
        <v/>
      </c>
      <c r="L58" s="103">
        <f>IF(LLM_Data_Entry!AJ56="","",LLM_Data_Entry!AJ56)</f>
        <v/>
      </c>
      <c r="M58" s="103">
        <f>IF(LLM_Data_Entry!AV56="","",LLM_Data_Entry!AV56)</f>
        <v/>
      </c>
      <c r="N58" s="103">
        <f>IF(LLM_Data_Entry!AW56="","",LLM_Data_Entry!AW56)</f>
        <v/>
      </c>
      <c r="O58" s="103">
        <f>IF(LLM_Data_Entry!AX56="","",LLM_Data_Entry!AX56)</f>
        <v/>
      </c>
      <c r="P58" s="103">
        <f>IF(LLM_Data_Entry!AY56="","",LLM_Data_Entry!AY56)</f>
        <v/>
      </c>
      <c r="Q58" s="103">
        <f>IF(LLM_Data_Entry!AZ56="","",LLM_Data_Entry!AZ56)</f>
        <v/>
      </c>
      <c r="R58" s="103">
        <f>IF(LLM_Data_Entry!AK56="","",LLM_Data_Entry!AK56)</f>
        <v/>
      </c>
      <c r="S58" s="103">
        <f>IF(LLM_Data_Entry!AL56="","",LLM_Data_Entry!AL56)</f>
        <v/>
      </c>
      <c r="T58" s="103">
        <f>IF(LLM_Data_Entry!BA56="","",LLM_Data_Entry!BA56)</f>
        <v/>
      </c>
      <c r="U58" s="103">
        <f>IF(LLM_Data_Entry!BB56="","",LLM_Data_Entry!BB56)</f>
        <v/>
      </c>
      <c r="V58" s="106">
        <f>IF(LLM_Data_Entry!O56="","",LLM_Data_Entry!O56)</f>
        <v/>
      </c>
    </row>
    <row r="59" ht="15" customHeight="1" s="241">
      <c r="A59" s="103">
        <f>IF(LLM_Data_Entry!A57="","",LLM_Data_Entry!A57)</f>
        <v/>
      </c>
      <c r="B59" s="103">
        <f>IF(LLM_Data_Entry!B57="","",LLM_Data_Entry!B57)</f>
        <v/>
      </c>
      <c r="C59" s="104">
        <f>IF(LLM_Data_Entry!C57="","",LLM_Data_Entry!C57)</f>
        <v/>
      </c>
      <c r="D59" s="103">
        <f>IF(LLM_Data_Entry!D57="","",LLM_Data_Entry!D57)</f>
        <v/>
      </c>
      <c r="E59" s="103">
        <f>IF(LLM_Data_Entry!V57="","",LLM_Data_Entry!V57)</f>
        <v/>
      </c>
      <c r="F59" s="103">
        <f>IF(LLM_Data_Entry!AS57="","",LLM_Data_Entry!AS57)</f>
        <v/>
      </c>
      <c r="G59" s="103">
        <f>IF(LLM_Data_Entry!AG57="","",LLM_Data_Entry!AG57)</f>
        <v/>
      </c>
      <c r="H59" s="103">
        <f>IF(LLM_Data_Entry!AT57="","",LLM_Data_Entry!AT57)</f>
        <v/>
      </c>
      <c r="I59" s="103">
        <f>IF(LLM_Data_Entry!AU57="","",LLM_Data_Entry!AU57)</f>
        <v/>
      </c>
      <c r="J59" s="103">
        <f>IF(LLM_Data_Entry!AH57="","",LLM_Data_Entry!AH57)</f>
        <v/>
      </c>
      <c r="K59" s="103">
        <f>IF(LLM_Data_Entry!AI57="","",LLM_Data_Entry!AI57)</f>
        <v/>
      </c>
      <c r="L59" s="103">
        <f>IF(LLM_Data_Entry!AJ57="","",LLM_Data_Entry!AJ57)</f>
        <v/>
      </c>
      <c r="M59" s="103">
        <f>IF(LLM_Data_Entry!AV57="","",LLM_Data_Entry!AV57)</f>
        <v/>
      </c>
      <c r="N59" s="103">
        <f>IF(LLM_Data_Entry!AW57="","",LLM_Data_Entry!AW57)</f>
        <v/>
      </c>
      <c r="O59" s="103">
        <f>IF(LLM_Data_Entry!AX57="","",LLM_Data_Entry!AX57)</f>
        <v/>
      </c>
      <c r="P59" s="103">
        <f>IF(LLM_Data_Entry!AY57="","",LLM_Data_Entry!AY57)</f>
        <v/>
      </c>
      <c r="Q59" s="103">
        <f>IF(LLM_Data_Entry!AZ57="","",LLM_Data_Entry!AZ57)</f>
        <v/>
      </c>
      <c r="R59" s="103">
        <f>IF(LLM_Data_Entry!AK57="","",LLM_Data_Entry!AK57)</f>
        <v/>
      </c>
      <c r="S59" s="103">
        <f>IF(LLM_Data_Entry!AL57="","",LLM_Data_Entry!AL57)</f>
        <v/>
      </c>
      <c r="T59" s="103">
        <f>IF(LLM_Data_Entry!BA57="","",LLM_Data_Entry!BA57)</f>
        <v/>
      </c>
      <c r="U59" s="103">
        <f>IF(LLM_Data_Entry!BB57="","",LLM_Data_Entry!BB57)</f>
        <v/>
      </c>
      <c r="V59" s="106">
        <f>IF(LLM_Data_Entry!O57="","",LLM_Data_Entry!O57)</f>
        <v/>
      </c>
    </row>
    <row r="60" ht="15" customHeight="1" s="241">
      <c r="A60" s="103">
        <f>IF(LLM_Data_Entry!A58="","",LLM_Data_Entry!A58)</f>
        <v/>
      </c>
      <c r="B60" s="103">
        <f>IF(LLM_Data_Entry!B58="","",LLM_Data_Entry!B58)</f>
        <v/>
      </c>
      <c r="C60" s="104">
        <f>IF(LLM_Data_Entry!C58="","",LLM_Data_Entry!C58)</f>
        <v/>
      </c>
      <c r="D60" s="103">
        <f>IF(LLM_Data_Entry!D58="","",LLM_Data_Entry!D58)</f>
        <v/>
      </c>
      <c r="E60" s="103">
        <f>IF(LLM_Data_Entry!V58="","",LLM_Data_Entry!V58)</f>
        <v/>
      </c>
      <c r="F60" s="103">
        <f>IF(LLM_Data_Entry!AS58="","",LLM_Data_Entry!AS58)</f>
        <v/>
      </c>
      <c r="G60" s="103">
        <f>IF(LLM_Data_Entry!AG58="","",LLM_Data_Entry!AG58)</f>
        <v/>
      </c>
      <c r="H60" s="103">
        <f>IF(LLM_Data_Entry!AT58="","",LLM_Data_Entry!AT58)</f>
        <v/>
      </c>
      <c r="I60" s="103">
        <f>IF(LLM_Data_Entry!AU58="","",LLM_Data_Entry!AU58)</f>
        <v/>
      </c>
      <c r="J60" s="103">
        <f>IF(LLM_Data_Entry!AH58="","",LLM_Data_Entry!AH58)</f>
        <v/>
      </c>
      <c r="K60" s="103">
        <f>IF(LLM_Data_Entry!AI58="","",LLM_Data_Entry!AI58)</f>
        <v/>
      </c>
      <c r="L60" s="103">
        <f>IF(LLM_Data_Entry!AJ58="","",LLM_Data_Entry!AJ58)</f>
        <v/>
      </c>
      <c r="M60" s="103">
        <f>IF(LLM_Data_Entry!AV58="","",LLM_Data_Entry!AV58)</f>
        <v/>
      </c>
      <c r="N60" s="103">
        <f>IF(LLM_Data_Entry!AW58="","",LLM_Data_Entry!AW58)</f>
        <v/>
      </c>
      <c r="O60" s="103">
        <f>IF(LLM_Data_Entry!AX58="","",LLM_Data_Entry!AX58)</f>
        <v/>
      </c>
      <c r="P60" s="103">
        <f>IF(LLM_Data_Entry!AY58="","",LLM_Data_Entry!AY58)</f>
        <v/>
      </c>
      <c r="Q60" s="103">
        <f>IF(LLM_Data_Entry!AZ58="","",LLM_Data_Entry!AZ58)</f>
        <v/>
      </c>
      <c r="R60" s="103">
        <f>IF(LLM_Data_Entry!AK58="","",LLM_Data_Entry!AK58)</f>
        <v/>
      </c>
      <c r="S60" s="103">
        <f>IF(LLM_Data_Entry!AL58="","",LLM_Data_Entry!AL58)</f>
        <v/>
      </c>
      <c r="T60" s="103">
        <f>IF(LLM_Data_Entry!BA58="","",LLM_Data_Entry!BA58)</f>
        <v/>
      </c>
      <c r="U60" s="103">
        <f>IF(LLM_Data_Entry!BB58="","",LLM_Data_Entry!BB58)</f>
        <v/>
      </c>
      <c r="V60" s="106">
        <f>IF(LLM_Data_Entry!O58="","",LLM_Data_Entry!O58)</f>
        <v/>
      </c>
    </row>
    <row r="61" ht="15" customHeight="1" s="241">
      <c r="A61" s="103">
        <f>IF(LLM_Data_Entry!A59="","",LLM_Data_Entry!A59)</f>
        <v/>
      </c>
      <c r="B61" s="103">
        <f>IF(LLM_Data_Entry!B59="","",LLM_Data_Entry!B59)</f>
        <v/>
      </c>
      <c r="C61" s="104">
        <f>IF(LLM_Data_Entry!C59="","",LLM_Data_Entry!C59)</f>
        <v/>
      </c>
      <c r="D61" s="103">
        <f>IF(LLM_Data_Entry!D59="","",LLM_Data_Entry!D59)</f>
        <v/>
      </c>
      <c r="E61" s="103">
        <f>IF(LLM_Data_Entry!V59="","",LLM_Data_Entry!V59)</f>
        <v/>
      </c>
      <c r="F61" s="103">
        <f>IF(LLM_Data_Entry!AS59="","",LLM_Data_Entry!AS59)</f>
        <v/>
      </c>
      <c r="G61" s="103">
        <f>IF(LLM_Data_Entry!AG59="","",LLM_Data_Entry!AG59)</f>
        <v/>
      </c>
      <c r="H61" s="103">
        <f>IF(LLM_Data_Entry!AT59="","",LLM_Data_Entry!AT59)</f>
        <v/>
      </c>
      <c r="I61" s="103">
        <f>IF(LLM_Data_Entry!AU59="","",LLM_Data_Entry!AU59)</f>
        <v/>
      </c>
      <c r="J61" s="103">
        <f>IF(LLM_Data_Entry!AH59="","",LLM_Data_Entry!AH59)</f>
        <v/>
      </c>
      <c r="K61" s="103">
        <f>IF(LLM_Data_Entry!AI59="","",LLM_Data_Entry!AI59)</f>
        <v/>
      </c>
      <c r="L61" s="103">
        <f>IF(LLM_Data_Entry!AJ59="","",LLM_Data_Entry!AJ59)</f>
        <v/>
      </c>
      <c r="M61" s="103">
        <f>IF(LLM_Data_Entry!AV59="","",LLM_Data_Entry!AV59)</f>
        <v/>
      </c>
      <c r="N61" s="103">
        <f>IF(LLM_Data_Entry!AW59="","",LLM_Data_Entry!AW59)</f>
        <v/>
      </c>
      <c r="O61" s="103">
        <f>IF(LLM_Data_Entry!AX59="","",LLM_Data_Entry!AX59)</f>
        <v/>
      </c>
      <c r="P61" s="103">
        <f>IF(LLM_Data_Entry!AY59="","",LLM_Data_Entry!AY59)</f>
        <v/>
      </c>
      <c r="Q61" s="103">
        <f>IF(LLM_Data_Entry!AZ59="","",LLM_Data_Entry!AZ59)</f>
        <v/>
      </c>
      <c r="R61" s="103">
        <f>IF(LLM_Data_Entry!AK59="","",LLM_Data_Entry!AK59)</f>
        <v/>
      </c>
      <c r="S61" s="103">
        <f>IF(LLM_Data_Entry!AL59="","",LLM_Data_Entry!AL59)</f>
        <v/>
      </c>
      <c r="T61" s="103">
        <f>IF(LLM_Data_Entry!BA59="","",LLM_Data_Entry!BA59)</f>
        <v/>
      </c>
      <c r="U61" s="103">
        <f>IF(LLM_Data_Entry!BB59="","",LLM_Data_Entry!BB59)</f>
        <v/>
      </c>
      <c r="V61" s="106">
        <f>IF(LLM_Data_Entry!O59="","",LLM_Data_Entry!O59)</f>
        <v/>
      </c>
    </row>
    <row r="62" ht="15" customHeight="1" s="241">
      <c r="A62" s="103">
        <f>IF(LLM_Data_Entry!A60="","",LLM_Data_Entry!A60)</f>
        <v/>
      </c>
      <c r="B62" s="103">
        <f>IF(LLM_Data_Entry!B60="","",LLM_Data_Entry!B60)</f>
        <v/>
      </c>
      <c r="C62" s="104">
        <f>IF(LLM_Data_Entry!C60="","",LLM_Data_Entry!C60)</f>
        <v/>
      </c>
      <c r="D62" s="103">
        <f>IF(LLM_Data_Entry!D60="","",LLM_Data_Entry!D60)</f>
        <v/>
      </c>
      <c r="E62" s="103">
        <f>IF(LLM_Data_Entry!V60="","",LLM_Data_Entry!V60)</f>
        <v/>
      </c>
      <c r="F62" s="103">
        <f>IF(LLM_Data_Entry!AS60="","",LLM_Data_Entry!AS60)</f>
        <v/>
      </c>
      <c r="G62" s="103">
        <f>IF(LLM_Data_Entry!AG60="","",LLM_Data_Entry!AG60)</f>
        <v/>
      </c>
      <c r="H62" s="103">
        <f>IF(LLM_Data_Entry!AT60="","",LLM_Data_Entry!AT60)</f>
        <v/>
      </c>
      <c r="I62" s="103">
        <f>IF(LLM_Data_Entry!AU60="","",LLM_Data_Entry!AU60)</f>
        <v/>
      </c>
      <c r="J62" s="103">
        <f>IF(LLM_Data_Entry!AH60="","",LLM_Data_Entry!AH60)</f>
        <v/>
      </c>
      <c r="K62" s="103">
        <f>IF(LLM_Data_Entry!AI60="","",LLM_Data_Entry!AI60)</f>
        <v/>
      </c>
      <c r="L62" s="103">
        <f>IF(LLM_Data_Entry!AJ60="","",LLM_Data_Entry!AJ60)</f>
        <v/>
      </c>
      <c r="M62" s="103">
        <f>IF(LLM_Data_Entry!AV60="","",LLM_Data_Entry!AV60)</f>
        <v/>
      </c>
      <c r="N62" s="103">
        <f>IF(LLM_Data_Entry!AW60="","",LLM_Data_Entry!AW60)</f>
        <v/>
      </c>
      <c r="O62" s="103">
        <f>IF(LLM_Data_Entry!AX60="","",LLM_Data_Entry!AX60)</f>
        <v/>
      </c>
      <c r="P62" s="103">
        <f>IF(LLM_Data_Entry!AY60="","",LLM_Data_Entry!AY60)</f>
        <v/>
      </c>
      <c r="Q62" s="103">
        <f>IF(LLM_Data_Entry!AZ60="","",LLM_Data_Entry!AZ60)</f>
        <v/>
      </c>
      <c r="R62" s="103">
        <f>IF(LLM_Data_Entry!AK60="","",LLM_Data_Entry!AK60)</f>
        <v/>
      </c>
      <c r="S62" s="103">
        <f>IF(LLM_Data_Entry!AL60="","",LLM_Data_Entry!AL60)</f>
        <v/>
      </c>
      <c r="T62" s="103">
        <f>IF(LLM_Data_Entry!BA60="","",LLM_Data_Entry!BA60)</f>
        <v/>
      </c>
      <c r="U62" s="103">
        <f>IF(LLM_Data_Entry!BB60="","",LLM_Data_Entry!BB60)</f>
        <v/>
      </c>
      <c r="V62" s="106">
        <f>IF(LLM_Data_Entry!O60="","",LLM_Data_Entry!O60)</f>
        <v/>
      </c>
    </row>
    <row r="63" ht="15" customHeight="1" s="241">
      <c r="A63" s="103">
        <f>IF(LLM_Data_Entry!A61="","",LLM_Data_Entry!A61)</f>
        <v/>
      </c>
      <c r="B63" s="103">
        <f>IF(LLM_Data_Entry!B61="","",LLM_Data_Entry!B61)</f>
        <v/>
      </c>
      <c r="C63" s="104">
        <f>IF(LLM_Data_Entry!C61="","",LLM_Data_Entry!C61)</f>
        <v/>
      </c>
      <c r="D63" s="103">
        <f>IF(LLM_Data_Entry!D61="","",LLM_Data_Entry!D61)</f>
        <v/>
      </c>
      <c r="E63" s="103">
        <f>IF(LLM_Data_Entry!V61="","",LLM_Data_Entry!V61)</f>
        <v/>
      </c>
      <c r="F63" s="103">
        <f>IF(LLM_Data_Entry!AS61="","",LLM_Data_Entry!AS61)</f>
        <v/>
      </c>
      <c r="G63" s="103">
        <f>IF(LLM_Data_Entry!AG61="","",LLM_Data_Entry!AG61)</f>
        <v/>
      </c>
      <c r="H63" s="103">
        <f>IF(LLM_Data_Entry!AT61="","",LLM_Data_Entry!AT61)</f>
        <v/>
      </c>
      <c r="I63" s="103">
        <f>IF(LLM_Data_Entry!AU61="","",LLM_Data_Entry!AU61)</f>
        <v/>
      </c>
      <c r="J63" s="103">
        <f>IF(LLM_Data_Entry!AH61="","",LLM_Data_Entry!AH61)</f>
        <v/>
      </c>
      <c r="K63" s="103">
        <f>IF(LLM_Data_Entry!AI61="","",LLM_Data_Entry!AI61)</f>
        <v/>
      </c>
      <c r="L63" s="103">
        <f>IF(LLM_Data_Entry!AJ61="","",LLM_Data_Entry!AJ61)</f>
        <v/>
      </c>
      <c r="M63" s="103">
        <f>IF(LLM_Data_Entry!AV61="","",LLM_Data_Entry!AV61)</f>
        <v/>
      </c>
      <c r="N63" s="103">
        <f>IF(LLM_Data_Entry!AW61="","",LLM_Data_Entry!AW61)</f>
        <v/>
      </c>
      <c r="O63" s="103">
        <f>IF(LLM_Data_Entry!AX61="","",LLM_Data_Entry!AX61)</f>
        <v/>
      </c>
      <c r="P63" s="103">
        <f>IF(LLM_Data_Entry!AY61="","",LLM_Data_Entry!AY61)</f>
        <v/>
      </c>
      <c r="Q63" s="103">
        <f>IF(LLM_Data_Entry!AZ61="","",LLM_Data_Entry!AZ61)</f>
        <v/>
      </c>
      <c r="R63" s="103">
        <f>IF(LLM_Data_Entry!AK61="","",LLM_Data_Entry!AK61)</f>
        <v/>
      </c>
      <c r="S63" s="103">
        <f>IF(LLM_Data_Entry!AL61="","",LLM_Data_Entry!AL61)</f>
        <v/>
      </c>
      <c r="T63" s="103">
        <f>IF(LLM_Data_Entry!BA61="","",LLM_Data_Entry!BA61)</f>
        <v/>
      </c>
      <c r="U63" s="103">
        <f>IF(LLM_Data_Entry!BB61="","",LLM_Data_Entry!BB61)</f>
        <v/>
      </c>
      <c r="V63" s="106">
        <f>IF(LLM_Data_Entry!O61="","",LLM_Data_Entry!O61)</f>
        <v/>
      </c>
    </row>
    <row r="64" ht="15" customHeight="1" s="241">
      <c r="A64" s="103">
        <f>IF(LLM_Data_Entry!A62="","",LLM_Data_Entry!A62)</f>
        <v/>
      </c>
      <c r="B64" s="103">
        <f>IF(LLM_Data_Entry!B62="","",LLM_Data_Entry!B62)</f>
        <v/>
      </c>
      <c r="C64" s="104">
        <f>IF(LLM_Data_Entry!C62="","",LLM_Data_Entry!C62)</f>
        <v/>
      </c>
      <c r="D64" s="103">
        <f>IF(LLM_Data_Entry!D62="","",LLM_Data_Entry!D62)</f>
        <v/>
      </c>
      <c r="E64" s="103">
        <f>IF(LLM_Data_Entry!V62="","",LLM_Data_Entry!V62)</f>
        <v/>
      </c>
      <c r="F64" s="103">
        <f>IF(LLM_Data_Entry!AS62="","",LLM_Data_Entry!AS62)</f>
        <v/>
      </c>
      <c r="G64" s="103">
        <f>IF(LLM_Data_Entry!AG62="","",LLM_Data_Entry!AG62)</f>
        <v/>
      </c>
      <c r="H64" s="103">
        <f>IF(LLM_Data_Entry!AT62="","",LLM_Data_Entry!AT62)</f>
        <v/>
      </c>
      <c r="I64" s="103">
        <f>IF(LLM_Data_Entry!AU62="","",LLM_Data_Entry!AU62)</f>
        <v/>
      </c>
      <c r="J64" s="103">
        <f>IF(LLM_Data_Entry!AH62="","",LLM_Data_Entry!AH62)</f>
        <v/>
      </c>
      <c r="K64" s="103">
        <f>IF(LLM_Data_Entry!AI62="","",LLM_Data_Entry!AI62)</f>
        <v/>
      </c>
      <c r="L64" s="103">
        <f>IF(LLM_Data_Entry!AJ62="","",LLM_Data_Entry!AJ62)</f>
        <v/>
      </c>
      <c r="M64" s="103">
        <f>IF(LLM_Data_Entry!AV62="","",LLM_Data_Entry!AV62)</f>
        <v/>
      </c>
      <c r="N64" s="103">
        <f>IF(LLM_Data_Entry!AW62="","",LLM_Data_Entry!AW62)</f>
        <v/>
      </c>
      <c r="O64" s="103">
        <f>IF(LLM_Data_Entry!AX62="","",LLM_Data_Entry!AX62)</f>
        <v/>
      </c>
      <c r="P64" s="103">
        <f>IF(LLM_Data_Entry!AY62="","",LLM_Data_Entry!AY62)</f>
        <v/>
      </c>
      <c r="Q64" s="103">
        <f>IF(LLM_Data_Entry!AZ62="","",LLM_Data_Entry!AZ62)</f>
        <v/>
      </c>
      <c r="R64" s="103">
        <f>IF(LLM_Data_Entry!AK62="","",LLM_Data_Entry!AK62)</f>
        <v/>
      </c>
      <c r="S64" s="103">
        <f>IF(LLM_Data_Entry!AL62="","",LLM_Data_Entry!AL62)</f>
        <v/>
      </c>
      <c r="T64" s="103">
        <f>IF(LLM_Data_Entry!BA62="","",LLM_Data_Entry!BA62)</f>
        <v/>
      </c>
      <c r="U64" s="103">
        <f>IF(LLM_Data_Entry!BB62="","",LLM_Data_Entry!BB62)</f>
        <v/>
      </c>
      <c r="V64" s="106">
        <f>IF(LLM_Data_Entry!O62="","",LLM_Data_Entry!O62)</f>
        <v/>
      </c>
    </row>
    <row r="65" ht="15" customHeight="1" s="241">
      <c r="A65" s="103">
        <f>IF(LLM_Data_Entry!A63="","",LLM_Data_Entry!A63)</f>
        <v/>
      </c>
      <c r="B65" s="103">
        <f>IF(LLM_Data_Entry!B63="","",LLM_Data_Entry!B63)</f>
        <v/>
      </c>
      <c r="C65" s="104">
        <f>IF(LLM_Data_Entry!C63="","",LLM_Data_Entry!C63)</f>
        <v/>
      </c>
      <c r="D65" s="103">
        <f>IF(LLM_Data_Entry!D63="","",LLM_Data_Entry!D63)</f>
        <v/>
      </c>
      <c r="E65" s="103">
        <f>IF(LLM_Data_Entry!V63="","",LLM_Data_Entry!V63)</f>
        <v/>
      </c>
      <c r="F65" s="103">
        <f>IF(LLM_Data_Entry!AS63="","",LLM_Data_Entry!AS63)</f>
        <v/>
      </c>
      <c r="G65" s="103">
        <f>IF(LLM_Data_Entry!AG63="","",LLM_Data_Entry!AG63)</f>
        <v/>
      </c>
      <c r="H65" s="103">
        <f>IF(LLM_Data_Entry!AT63="","",LLM_Data_Entry!AT63)</f>
        <v/>
      </c>
      <c r="I65" s="103">
        <f>IF(LLM_Data_Entry!AU63="","",LLM_Data_Entry!AU63)</f>
        <v/>
      </c>
      <c r="J65" s="103">
        <f>IF(LLM_Data_Entry!AH63="","",LLM_Data_Entry!AH63)</f>
        <v/>
      </c>
      <c r="K65" s="103">
        <f>IF(LLM_Data_Entry!AI63="","",LLM_Data_Entry!AI63)</f>
        <v/>
      </c>
      <c r="L65" s="103">
        <f>IF(LLM_Data_Entry!AJ63="","",LLM_Data_Entry!AJ63)</f>
        <v/>
      </c>
      <c r="M65" s="103">
        <f>IF(LLM_Data_Entry!AV63="","",LLM_Data_Entry!AV63)</f>
        <v/>
      </c>
      <c r="N65" s="103">
        <f>IF(LLM_Data_Entry!AW63="","",LLM_Data_Entry!AW63)</f>
        <v/>
      </c>
      <c r="O65" s="103">
        <f>IF(LLM_Data_Entry!AX63="","",LLM_Data_Entry!AX63)</f>
        <v/>
      </c>
      <c r="P65" s="103">
        <f>IF(LLM_Data_Entry!AY63="","",LLM_Data_Entry!AY63)</f>
        <v/>
      </c>
      <c r="Q65" s="103">
        <f>IF(LLM_Data_Entry!AZ63="","",LLM_Data_Entry!AZ63)</f>
        <v/>
      </c>
      <c r="R65" s="103">
        <f>IF(LLM_Data_Entry!AK63="","",LLM_Data_Entry!AK63)</f>
        <v/>
      </c>
      <c r="S65" s="103">
        <f>IF(LLM_Data_Entry!AL63="","",LLM_Data_Entry!AL63)</f>
        <v/>
      </c>
      <c r="T65" s="103">
        <f>IF(LLM_Data_Entry!BA63="","",LLM_Data_Entry!BA63)</f>
        <v/>
      </c>
      <c r="U65" s="103">
        <f>IF(LLM_Data_Entry!BB63="","",LLM_Data_Entry!BB63)</f>
        <v/>
      </c>
      <c r="V65" s="106">
        <f>IF(LLM_Data_Entry!O63="","",LLM_Data_Entry!O63)</f>
        <v/>
      </c>
    </row>
    <row r="66" ht="15" customHeight="1" s="241">
      <c r="A66" s="103">
        <f>IF(LLM_Data_Entry!A64="","",LLM_Data_Entry!A64)</f>
        <v/>
      </c>
      <c r="B66" s="103">
        <f>IF(LLM_Data_Entry!B64="","",LLM_Data_Entry!B64)</f>
        <v/>
      </c>
      <c r="C66" s="104">
        <f>IF(LLM_Data_Entry!C64="","",LLM_Data_Entry!C64)</f>
        <v/>
      </c>
      <c r="D66" s="103">
        <f>IF(LLM_Data_Entry!D64="","",LLM_Data_Entry!D64)</f>
        <v/>
      </c>
      <c r="E66" s="103">
        <f>IF(LLM_Data_Entry!V64="","",LLM_Data_Entry!V64)</f>
        <v/>
      </c>
      <c r="F66" s="103">
        <f>IF(LLM_Data_Entry!AS64="","",LLM_Data_Entry!AS64)</f>
        <v/>
      </c>
      <c r="G66" s="103">
        <f>IF(LLM_Data_Entry!AG64="","",LLM_Data_Entry!AG64)</f>
        <v/>
      </c>
      <c r="H66" s="103">
        <f>IF(LLM_Data_Entry!AT64="","",LLM_Data_Entry!AT64)</f>
        <v/>
      </c>
      <c r="I66" s="103">
        <f>IF(LLM_Data_Entry!AU64="","",LLM_Data_Entry!AU64)</f>
        <v/>
      </c>
      <c r="J66" s="103">
        <f>IF(LLM_Data_Entry!AH64="","",LLM_Data_Entry!AH64)</f>
        <v/>
      </c>
      <c r="K66" s="103">
        <f>IF(LLM_Data_Entry!AI64="","",LLM_Data_Entry!AI64)</f>
        <v/>
      </c>
      <c r="L66" s="103">
        <f>IF(LLM_Data_Entry!AJ64="","",LLM_Data_Entry!AJ64)</f>
        <v/>
      </c>
      <c r="M66" s="103">
        <f>IF(LLM_Data_Entry!AV64="","",LLM_Data_Entry!AV64)</f>
        <v/>
      </c>
      <c r="N66" s="103">
        <f>IF(LLM_Data_Entry!AW64="","",LLM_Data_Entry!AW64)</f>
        <v/>
      </c>
      <c r="O66" s="103">
        <f>IF(LLM_Data_Entry!AX64="","",LLM_Data_Entry!AX64)</f>
        <v/>
      </c>
      <c r="P66" s="103">
        <f>IF(LLM_Data_Entry!AY64="","",LLM_Data_Entry!AY64)</f>
        <v/>
      </c>
      <c r="Q66" s="103">
        <f>IF(LLM_Data_Entry!AZ64="","",LLM_Data_Entry!AZ64)</f>
        <v/>
      </c>
      <c r="R66" s="103">
        <f>IF(LLM_Data_Entry!AK64="","",LLM_Data_Entry!AK64)</f>
        <v/>
      </c>
      <c r="S66" s="103">
        <f>IF(LLM_Data_Entry!AL64="","",LLM_Data_Entry!AL64)</f>
        <v/>
      </c>
      <c r="T66" s="103">
        <f>IF(LLM_Data_Entry!BA64="","",LLM_Data_Entry!BA64)</f>
        <v/>
      </c>
      <c r="U66" s="103">
        <f>IF(LLM_Data_Entry!BB64="","",LLM_Data_Entry!BB64)</f>
        <v/>
      </c>
      <c r="V66" s="106">
        <f>IF(LLM_Data_Entry!O64="","",LLM_Data_Entry!O64)</f>
        <v/>
      </c>
    </row>
    <row r="67" ht="15" customHeight="1" s="241">
      <c r="A67" s="103">
        <f>IF(LLM_Data_Entry!A65="","",LLM_Data_Entry!A65)</f>
        <v/>
      </c>
      <c r="B67" s="103">
        <f>IF(LLM_Data_Entry!B65="","",LLM_Data_Entry!B65)</f>
        <v/>
      </c>
      <c r="C67" s="104">
        <f>IF(LLM_Data_Entry!C65="","",LLM_Data_Entry!C65)</f>
        <v/>
      </c>
      <c r="D67" s="103">
        <f>IF(LLM_Data_Entry!D65="","",LLM_Data_Entry!D65)</f>
        <v/>
      </c>
      <c r="E67" s="103">
        <f>IF(LLM_Data_Entry!V65="","",LLM_Data_Entry!V65)</f>
        <v/>
      </c>
      <c r="F67" s="103">
        <f>IF(LLM_Data_Entry!AS65="","",LLM_Data_Entry!AS65)</f>
        <v/>
      </c>
      <c r="G67" s="103">
        <f>IF(LLM_Data_Entry!AG65="","",LLM_Data_Entry!AG65)</f>
        <v/>
      </c>
      <c r="H67" s="103">
        <f>IF(LLM_Data_Entry!AT65="","",LLM_Data_Entry!AT65)</f>
        <v/>
      </c>
      <c r="I67" s="103">
        <f>IF(LLM_Data_Entry!AU65="","",LLM_Data_Entry!AU65)</f>
        <v/>
      </c>
      <c r="J67" s="103">
        <f>IF(LLM_Data_Entry!AH65="","",LLM_Data_Entry!AH65)</f>
        <v/>
      </c>
      <c r="K67" s="103">
        <f>IF(LLM_Data_Entry!AI65="","",LLM_Data_Entry!AI65)</f>
        <v/>
      </c>
      <c r="L67" s="103">
        <f>IF(LLM_Data_Entry!AJ65="","",LLM_Data_Entry!AJ65)</f>
        <v/>
      </c>
      <c r="M67" s="103">
        <f>IF(LLM_Data_Entry!AV65="","",LLM_Data_Entry!AV65)</f>
        <v/>
      </c>
      <c r="N67" s="103">
        <f>IF(LLM_Data_Entry!AW65="","",LLM_Data_Entry!AW65)</f>
        <v/>
      </c>
      <c r="O67" s="103">
        <f>IF(LLM_Data_Entry!AX65="","",LLM_Data_Entry!AX65)</f>
        <v/>
      </c>
      <c r="P67" s="103">
        <f>IF(LLM_Data_Entry!AY65="","",LLM_Data_Entry!AY65)</f>
        <v/>
      </c>
      <c r="Q67" s="103">
        <f>IF(LLM_Data_Entry!AZ65="","",LLM_Data_Entry!AZ65)</f>
        <v/>
      </c>
      <c r="R67" s="103">
        <f>IF(LLM_Data_Entry!AK65="","",LLM_Data_Entry!AK65)</f>
        <v/>
      </c>
      <c r="S67" s="103">
        <f>IF(LLM_Data_Entry!AL65="","",LLM_Data_Entry!AL65)</f>
        <v/>
      </c>
      <c r="T67" s="103">
        <f>IF(LLM_Data_Entry!BA65="","",LLM_Data_Entry!BA65)</f>
        <v/>
      </c>
      <c r="U67" s="103">
        <f>IF(LLM_Data_Entry!BB65="","",LLM_Data_Entry!BB65)</f>
        <v/>
      </c>
      <c r="V67" s="106">
        <f>IF(LLM_Data_Entry!O65="","",LLM_Data_Entry!O65)</f>
        <v/>
      </c>
    </row>
    <row r="68" ht="15" customHeight="1" s="241">
      <c r="A68" s="103">
        <f>IF(LLM_Data_Entry!A66="","",LLM_Data_Entry!A66)</f>
        <v/>
      </c>
      <c r="B68" s="103">
        <f>IF(LLM_Data_Entry!B66="","",LLM_Data_Entry!B66)</f>
        <v/>
      </c>
      <c r="C68" s="104">
        <f>IF(LLM_Data_Entry!C66="","",LLM_Data_Entry!C66)</f>
        <v/>
      </c>
      <c r="D68" s="103">
        <f>IF(LLM_Data_Entry!D66="","",LLM_Data_Entry!D66)</f>
        <v/>
      </c>
      <c r="E68" s="103">
        <f>IF(LLM_Data_Entry!V66="","",LLM_Data_Entry!V66)</f>
        <v/>
      </c>
      <c r="F68" s="103">
        <f>IF(LLM_Data_Entry!AS66="","",LLM_Data_Entry!AS66)</f>
        <v/>
      </c>
      <c r="G68" s="103">
        <f>IF(LLM_Data_Entry!AG66="","",LLM_Data_Entry!AG66)</f>
        <v/>
      </c>
      <c r="H68" s="103">
        <f>IF(LLM_Data_Entry!AT66="","",LLM_Data_Entry!AT66)</f>
        <v/>
      </c>
      <c r="I68" s="103">
        <f>IF(LLM_Data_Entry!AU66="","",LLM_Data_Entry!AU66)</f>
        <v/>
      </c>
      <c r="J68" s="103">
        <f>IF(LLM_Data_Entry!AH66="","",LLM_Data_Entry!AH66)</f>
        <v/>
      </c>
      <c r="K68" s="103">
        <f>IF(LLM_Data_Entry!AI66="","",LLM_Data_Entry!AI66)</f>
        <v/>
      </c>
      <c r="L68" s="103">
        <f>IF(LLM_Data_Entry!AJ66="","",LLM_Data_Entry!AJ66)</f>
        <v/>
      </c>
      <c r="M68" s="103">
        <f>IF(LLM_Data_Entry!AV66="","",LLM_Data_Entry!AV66)</f>
        <v/>
      </c>
      <c r="N68" s="103">
        <f>IF(LLM_Data_Entry!AW66="","",LLM_Data_Entry!AW66)</f>
        <v/>
      </c>
      <c r="O68" s="103">
        <f>IF(LLM_Data_Entry!AX66="","",LLM_Data_Entry!AX66)</f>
        <v/>
      </c>
      <c r="P68" s="103">
        <f>IF(LLM_Data_Entry!AY66="","",LLM_Data_Entry!AY66)</f>
        <v/>
      </c>
      <c r="Q68" s="103">
        <f>IF(LLM_Data_Entry!AZ66="","",LLM_Data_Entry!AZ66)</f>
        <v/>
      </c>
      <c r="R68" s="103">
        <f>IF(LLM_Data_Entry!AK66="","",LLM_Data_Entry!AK66)</f>
        <v/>
      </c>
      <c r="S68" s="103">
        <f>IF(LLM_Data_Entry!AL66="","",LLM_Data_Entry!AL66)</f>
        <v/>
      </c>
      <c r="T68" s="103">
        <f>IF(LLM_Data_Entry!BA66="","",LLM_Data_Entry!BA66)</f>
        <v/>
      </c>
      <c r="U68" s="103">
        <f>IF(LLM_Data_Entry!BB66="","",LLM_Data_Entry!BB66)</f>
        <v/>
      </c>
      <c r="V68" s="106">
        <f>IF(LLM_Data_Entry!O66="","",LLM_Data_Entry!O66)</f>
        <v/>
      </c>
    </row>
    <row r="69" ht="15" customHeight="1" s="241">
      <c r="A69" s="103">
        <f>IF(LLM_Data_Entry!A67="","",LLM_Data_Entry!A67)</f>
        <v/>
      </c>
      <c r="B69" s="103">
        <f>IF(LLM_Data_Entry!B67="","",LLM_Data_Entry!B67)</f>
        <v/>
      </c>
      <c r="C69" s="104">
        <f>IF(LLM_Data_Entry!C67="","",LLM_Data_Entry!C67)</f>
        <v/>
      </c>
      <c r="D69" s="103">
        <f>IF(LLM_Data_Entry!D67="","",LLM_Data_Entry!D67)</f>
        <v/>
      </c>
      <c r="E69" s="103">
        <f>IF(LLM_Data_Entry!V67="","",LLM_Data_Entry!V67)</f>
        <v/>
      </c>
      <c r="F69" s="103">
        <f>IF(LLM_Data_Entry!AS67="","",LLM_Data_Entry!AS67)</f>
        <v/>
      </c>
      <c r="G69" s="103">
        <f>IF(LLM_Data_Entry!AG67="","",LLM_Data_Entry!AG67)</f>
        <v/>
      </c>
      <c r="H69" s="103">
        <f>IF(LLM_Data_Entry!AT67="","",LLM_Data_Entry!AT67)</f>
        <v/>
      </c>
      <c r="I69" s="103">
        <f>IF(LLM_Data_Entry!AU67="","",LLM_Data_Entry!AU67)</f>
        <v/>
      </c>
      <c r="J69" s="103">
        <f>IF(LLM_Data_Entry!AH67="","",LLM_Data_Entry!AH67)</f>
        <v/>
      </c>
      <c r="K69" s="103">
        <f>IF(LLM_Data_Entry!AI67="","",LLM_Data_Entry!AI67)</f>
        <v/>
      </c>
      <c r="L69" s="103">
        <f>IF(LLM_Data_Entry!AJ67="","",LLM_Data_Entry!AJ67)</f>
        <v/>
      </c>
      <c r="M69" s="103">
        <f>IF(LLM_Data_Entry!AV67="","",LLM_Data_Entry!AV67)</f>
        <v/>
      </c>
      <c r="N69" s="103">
        <f>IF(LLM_Data_Entry!AW67="","",LLM_Data_Entry!AW67)</f>
        <v/>
      </c>
      <c r="O69" s="103">
        <f>IF(LLM_Data_Entry!AX67="","",LLM_Data_Entry!AX67)</f>
        <v/>
      </c>
      <c r="P69" s="103">
        <f>IF(LLM_Data_Entry!AY67="","",LLM_Data_Entry!AY67)</f>
        <v/>
      </c>
      <c r="Q69" s="103">
        <f>IF(LLM_Data_Entry!AZ67="","",LLM_Data_Entry!AZ67)</f>
        <v/>
      </c>
      <c r="R69" s="103">
        <f>IF(LLM_Data_Entry!AK67="","",LLM_Data_Entry!AK67)</f>
        <v/>
      </c>
      <c r="S69" s="103">
        <f>IF(LLM_Data_Entry!AL67="","",LLM_Data_Entry!AL67)</f>
        <v/>
      </c>
      <c r="T69" s="103">
        <f>IF(LLM_Data_Entry!BA67="","",LLM_Data_Entry!BA67)</f>
        <v/>
      </c>
      <c r="U69" s="103">
        <f>IF(LLM_Data_Entry!BB67="","",LLM_Data_Entry!BB67)</f>
        <v/>
      </c>
      <c r="V69" s="106">
        <f>IF(LLM_Data_Entry!O67="","",LLM_Data_Entry!O67)</f>
        <v/>
      </c>
    </row>
    <row r="70" ht="15" customHeight="1" s="241">
      <c r="A70" s="103">
        <f>IF(LLM_Data_Entry!A68="","",LLM_Data_Entry!A68)</f>
        <v/>
      </c>
      <c r="B70" s="103">
        <f>IF(LLM_Data_Entry!B68="","",LLM_Data_Entry!B68)</f>
        <v/>
      </c>
      <c r="C70" s="104">
        <f>IF(LLM_Data_Entry!C68="","",LLM_Data_Entry!C68)</f>
        <v/>
      </c>
      <c r="D70" s="103">
        <f>IF(LLM_Data_Entry!D68="","",LLM_Data_Entry!D68)</f>
        <v/>
      </c>
      <c r="E70" s="103">
        <f>IF(LLM_Data_Entry!V68="","",LLM_Data_Entry!V68)</f>
        <v/>
      </c>
      <c r="F70" s="103">
        <f>IF(LLM_Data_Entry!AS68="","",LLM_Data_Entry!AS68)</f>
        <v/>
      </c>
      <c r="G70" s="103">
        <f>IF(LLM_Data_Entry!AG68="","",LLM_Data_Entry!AG68)</f>
        <v/>
      </c>
      <c r="H70" s="103">
        <f>IF(LLM_Data_Entry!AT68="","",LLM_Data_Entry!AT68)</f>
        <v/>
      </c>
      <c r="I70" s="103">
        <f>IF(LLM_Data_Entry!AU68="","",LLM_Data_Entry!AU68)</f>
        <v/>
      </c>
      <c r="J70" s="103">
        <f>IF(LLM_Data_Entry!AH68="","",LLM_Data_Entry!AH68)</f>
        <v/>
      </c>
      <c r="K70" s="103">
        <f>IF(LLM_Data_Entry!AI68="","",LLM_Data_Entry!AI68)</f>
        <v/>
      </c>
      <c r="L70" s="103">
        <f>IF(LLM_Data_Entry!AJ68="","",LLM_Data_Entry!AJ68)</f>
        <v/>
      </c>
      <c r="M70" s="103">
        <f>IF(LLM_Data_Entry!AV68="","",LLM_Data_Entry!AV68)</f>
        <v/>
      </c>
      <c r="N70" s="103">
        <f>IF(LLM_Data_Entry!AW68="","",LLM_Data_Entry!AW68)</f>
        <v/>
      </c>
      <c r="O70" s="103">
        <f>IF(LLM_Data_Entry!AX68="","",LLM_Data_Entry!AX68)</f>
        <v/>
      </c>
      <c r="P70" s="103">
        <f>IF(LLM_Data_Entry!AY68="","",LLM_Data_Entry!AY68)</f>
        <v/>
      </c>
      <c r="Q70" s="103">
        <f>IF(LLM_Data_Entry!AZ68="","",LLM_Data_Entry!AZ68)</f>
        <v/>
      </c>
      <c r="R70" s="103">
        <f>IF(LLM_Data_Entry!AK68="","",LLM_Data_Entry!AK68)</f>
        <v/>
      </c>
      <c r="S70" s="103">
        <f>IF(LLM_Data_Entry!AL68="","",LLM_Data_Entry!AL68)</f>
        <v/>
      </c>
      <c r="T70" s="103">
        <f>IF(LLM_Data_Entry!BA68="","",LLM_Data_Entry!BA68)</f>
        <v/>
      </c>
      <c r="U70" s="103">
        <f>IF(LLM_Data_Entry!BB68="","",LLM_Data_Entry!BB68)</f>
        <v/>
      </c>
      <c r="V70" s="106">
        <f>IF(LLM_Data_Entry!O68="","",LLM_Data_Entry!O68)</f>
        <v/>
      </c>
    </row>
    <row r="71" ht="15" customHeight="1" s="241">
      <c r="A71" s="103">
        <f>IF(LLM_Data_Entry!A69="","",LLM_Data_Entry!A69)</f>
        <v/>
      </c>
      <c r="B71" s="103">
        <f>IF(LLM_Data_Entry!B69="","",LLM_Data_Entry!B69)</f>
        <v/>
      </c>
      <c r="C71" s="104">
        <f>IF(LLM_Data_Entry!C69="","",LLM_Data_Entry!C69)</f>
        <v/>
      </c>
      <c r="D71" s="103">
        <f>IF(LLM_Data_Entry!D69="","",LLM_Data_Entry!D69)</f>
        <v/>
      </c>
      <c r="E71" s="103">
        <f>IF(LLM_Data_Entry!V69="","",LLM_Data_Entry!V69)</f>
        <v/>
      </c>
      <c r="F71" s="103">
        <f>IF(LLM_Data_Entry!AS69="","",LLM_Data_Entry!AS69)</f>
        <v/>
      </c>
      <c r="G71" s="103">
        <f>IF(LLM_Data_Entry!AG69="","",LLM_Data_Entry!AG69)</f>
        <v/>
      </c>
      <c r="H71" s="103">
        <f>IF(LLM_Data_Entry!AT69="","",LLM_Data_Entry!AT69)</f>
        <v/>
      </c>
      <c r="I71" s="103">
        <f>IF(LLM_Data_Entry!AU69="","",LLM_Data_Entry!AU69)</f>
        <v/>
      </c>
      <c r="J71" s="103">
        <f>IF(LLM_Data_Entry!AH69="","",LLM_Data_Entry!AH69)</f>
        <v/>
      </c>
      <c r="K71" s="103">
        <f>IF(LLM_Data_Entry!AI69="","",LLM_Data_Entry!AI69)</f>
        <v/>
      </c>
      <c r="L71" s="103">
        <f>IF(LLM_Data_Entry!AJ69="","",LLM_Data_Entry!AJ69)</f>
        <v/>
      </c>
      <c r="M71" s="103">
        <f>IF(LLM_Data_Entry!AV69="","",LLM_Data_Entry!AV69)</f>
        <v/>
      </c>
      <c r="N71" s="103">
        <f>IF(LLM_Data_Entry!AW69="","",LLM_Data_Entry!AW69)</f>
        <v/>
      </c>
      <c r="O71" s="103">
        <f>IF(LLM_Data_Entry!AX69="","",LLM_Data_Entry!AX69)</f>
        <v/>
      </c>
      <c r="P71" s="103">
        <f>IF(LLM_Data_Entry!AY69="","",LLM_Data_Entry!AY69)</f>
        <v/>
      </c>
      <c r="Q71" s="103">
        <f>IF(LLM_Data_Entry!AZ69="","",LLM_Data_Entry!AZ69)</f>
        <v/>
      </c>
      <c r="R71" s="103">
        <f>IF(LLM_Data_Entry!AK69="","",LLM_Data_Entry!AK69)</f>
        <v/>
      </c>
      <c r="S71" s="103">
        <f>IF(LLM_Data_Entry!AL69="","",LLM_Data_Entry!AL69)</f>
        <v/>
      </c>
      <c r="T71" s="103">
        <f>IF(LLM_Data_Entry!BA69="","",LLM_Data_Entry!BA69)</f>
        <v/>
      </c>
      <c r="U71" s="103">
        <f>IF(LLM_Data_Entry!BB69="","",LLM_Data_Entry!BB69)</f>
        <v/>
      </c>
      <c r="V71" s="106">
        <f>IF(LLM_Data_Entry!O69="","",LLM_Data_Entry!O69)</f>
        <v/>
      </c>
    </row>
    <row r="72" ht="15" customHeight="1" s="241">
      <c r="A72" s="103">
        <f>IF(LLM_Data_Entry!A70="","",LLM_Data_Entry!A70)</f>
        <v/>
      </c>
      <c r="B72" s="103">
        <f>IF(LLM_Data_Entry!B70="","",LLM_Data_Entry!B70)</f>
        <v/>
      </c>
      <c r="C72" s="104">
        <f>IF(LLM_Data_Entry!C70="","",LLM_Data_Entry!C70)</f>
        <v/>
      </c>
      <c r="D72" s="103">
        <f>IF(LLM_Data_Entry!D70="","",LLM_Data_Entry!D70)</f>
        <v/>
      </c>
      <c r="E72" s="103">
        <f>IF(LLM_Data_Entry!V70="","",LLM_Data_Entry!V70)</f>
        <v/>
      </c>
      <c r="F72" s="103">
        <f>IF(LLM_Data_Entry!AS70="","",LLM_Data_Entry!AS70)</f>
        <v/>
      </c>
      <c r="G72" s="103">
        <f>IF(LLM_Data_Entry!AG70="","",LLM_Data_Entry!AG70)</f>
        <v/>
      </c>
      <c r="H72" s="103">
        <f>IF(LLM_Data_Entry!AT70="","",LLM_Data_Entry!AT70)</f>
        <v/>
      </c>
      <c r="I72" s="103">
        <f>IF(LLM_Data_Entry!AU70="","",LLM_Data_Entry!AU70)</f>
        <v/>
      </c>
      <c r="J72" s="103">
        <f>IF(LLM_Data_Entry!AH70="","",LLM_Data_Entry!AH70)</f>
        <v/>
      </c>
      <c r="K72" s="103">
        <f>IF(LLM_Data_Entry!AI70="","",LLM_Data_Entry!AI70)</f>
        <v/>
      </c>
      <c r="L72" s="103">
        <f>IF(LLM_Data_Entry!AJ70="","",LLM_Data_Entry!AJ70)</f>
        <v/>
      </c>
      <c r="M72" s="103">
        <f>IF(LLM_Data_Entry!AV70="","",LLM_Data_Entry!AV70)</f>
        <v/>
      </c>
      <c r="N72" s="103">
        <f>IF(LLM_Data_Entry!AW70="","",LLM_Data_Entry!AW70)</f>
        <v/>
      </c>
      <c r="O72" s="103">
        <f>IF(LLM_Data_Entry!AX70="","",LLM_Data_Entry!AX70)</f>
        <v/>
      </c>
      <c r="P72" s="103">
        <f>IF(LLM_Data_Entry!AY70="","",LLM_Data_Entry!AY70)</f>
        <v/>
      </c>
      <c r="Q72" s="103">
        <f>IF(LLM_Data_Entry!AZ70="","",LLM_Data_Entry!AZ70)</f>
        <v/>
      </c>
      <c r="R72" s="103">
        <f>IF(LLM_Data_Entry!AK70="","",LLM_Data_Entry!AK70)</f>
        <v/>
      </c>
      <c r="S72" s="103">
        <f>IF(LLM_Data_Entry!AL70="","",LLM_Data_Entry!AL70)</f>
        <v/>
      </c>
      <c r="T72" s="103">
        <f>IF(LLM_Data_Entry!BA70="","",LLM_Data_Entry!BA70)</f>
        <v/>
      </c>
      <c r="U72" s="103">
        <f>IF(LLM_Data_Entry!BB70="","",LLM_Data_Entry!BB70)</f>
        <v/>
      </c>
      <c r="V72" s="106">
        <f>IF(LLM_Data_Entry!O70="","",LLM_Data_Entry!O70)</f>
        <v/>
      </c>
    </row>
    <row r="73" ht="15" customHeight="1" s="241">
      <c r="A73" s="103">
        <f>IF(LLM_Data_Entry!A71="","",LLM_Data_Entry!A71)</f>
        <v/>
      </c>
      <c r="B73" s="103">
        <f>IF(LLM_Data_Entry!B71="","",LLM_Data_Entry!B71)</f>
        <v/>
      </c>
      <c r="C73" s="104">
        <f>IF(LLM_Data_Entry!C71="","",LLM_Data_Entry!C71)</f>
        <v/>
      </c>
      <c r="D73" s="103">
        <f>IF(LLM_Data_Entry!D71="","",LLM_Data_Entry!D71)</f>
        <v/>
      </c>
      <c r="E73" s="103">
        <f>IF(LLM_Data_Entry!V71="","",LLM_Data_Entry!V71)</f>
        <v/>
      </c>
      <c r="F73" s="103">
        <f>IF(LLM_Data_Entry!AS71="","",LLM_Data_Entry!AS71)</f>
        <v/>
      </c>
      <c r="G73" s="103">
        <f>IF(LLM_Data_Entry!AG71="","",LLM_Data_Entry!AG71)</f>
        <v/>
      </c>
      <c r="H73" s="103">
        <f>IF(LLM_Data_Entry!AT71="","",LLM_Data_Entry!AT71)</f>
        <v/>
      </c>
      <c r="I73" s="103">
        <f>IF(LLM_Data_Entry!AU71="","",LLM_Data_Entry!AU71)</f>
        <v/>
      </c>
      <c r="J73" s="103">
        <f>IF(LLM_Data_Entry!AH71="","",LLM_Data_Entry!AH71)</f>
        <v/>
      </c>
      <c r="K73" s="103">
        <f>IF(LLM_Data_Entry!AI71="","",LLM_Data_Entry!AI71)</f>
        <v/>
      </c>
      <c r="L73" s="103">
        <f>IF(LLM_Data_Entry!AJ71="","",LLM_Data_Entry!AJ71)</f>
        <v/>
      </c>
      <c r="M73" s="103">
        <f>IF(LLM_Data_Entry!AV71="","",LLM_Data_Entry!AV71)</f>
        <v/>
      </c>
      <c r="N73" s="103">
        <f>IF(LLM_Data_Entry!AW71="","",LLM_Data_Entry!AW71)</f>
        <v/>
      </c>
      <c r="O73" s="103">
        <f>IF(LLM_Data_Entry!AX71="","",LLM_Data_Entry!AX71)</f>
        <v/>
      </c>
      <c r="P73" s="103">
        <f>IF(LLM_Data_Entry!AY71="","",LLM_Data_Entry!AY71)</f>
        <v/>
      </c>
      <c r="Q73" s="103">
        <f>IF(LLM_Data_Entry!AZ71="","",LLM_Data_Entry!AZ71)</f>
        <v/>
      </c>
      <c r="R73" s="103">
        <f>IF(LLM_Data_Entry!AK71="","",LLM_Data_Entry!AK71)</f>
        <v/>
      </c>
      <c r="S73" s="103">
        <f>IF(LLM_Data_Entry!AL71="","",LLM_Data_Entry!AL71)</f>
        <v/>
      </c>
      <c r="T73" s="103">
        <f>IF(LLM_Data_Entry!BA71="","",LLM_Data_Entry!BA71)</f>
        <v/>
      </c>
      <c r="U73" s="103">
        <f>IF(LLM_Data_Entry!BB71="","",LLM_Data_Entry!BB71)</f>
        <v/>
      </c>
      <c r="V73" s="106">
        <f>IF(LLM_Data_Entry!O71="","",LLM_Data_Entry!O71)</f>
        <v/>
      </c>
    </row>
    <row r="74" ht="15" customHeight="1" s="241">
      <c r="A74" s="103">
        <f>IF(LLM_Data_Entry!A72="","",LLM_Data_Entry!A72)</f>
        <v/>
      </c>
      <c r="B74" s="103">
        <f>IF(LLM_Data_Entry!B72="","",LLM_Data_Entry!B72)</f>
        <v/>
      </c>
      <c r="C74" s="104">
        <f>IF(LLM_Data_Entry!C72="","",LLM_Data_Entry!C72)</f>
        <v/>
      </c>
      <c r="D74" s="103">
        <f>IF(LLM_Data_Entry!D72="","",LLM_Data_Entry!D72)</f>
        <v/>
      </c>
      <c r="E74" s="103">
        <f>IF(LLM_Data_Entry!V72="","",LLM_Data_Entry!V72)</f>
        <v/>
      </c>
      <c r="F74" s="103">
        <f>IF(LLM_Data_Entry!AS72="","",LLM_Data_Entry!AS72)</f>
        <v/>
      </c>
      <c r="G74" s="103">
        <f>IF(LLM_Data_Entry!AG72="","",LLM_Data_Entry!AG72)</f>
        <v/>
      </c>
      <c r="H74" s="103">
        <f>IF(LLM_Data_Entry!AT72="","",LLM_Data_Entry!AT72)</f>
        <v/>
      </c>
      <c r="I74" s="103">
        <f>IF(LLM_Data_Entry!AU72="","",LLM_Data_Entry!AU72)</f>
        <v/>
      </c>
      <c r="J74" s="103">
        <f>IF(LLM_Data_Entry!AH72="","",LLM_Data_Entry!AH72)</f>
        <v/>
      </c>
      <c r="K74" s="103">
        <f>IF(LLM_Data_Entry!AI72="","",LLM_Data_Entry!AI72)</f>
        <v/>
      </c>
      <c r="L74" s="103">
        <f>IF(LLM_Data_Entry!AJ72="","",LLM_Data_Entry!AJ72)</f>
        <v/>
      </c>
      <c r="M74" s="103">
        <f>IF(LLM_Data_Entry!AV72="","",LLM_Data_Entry!AV72)</f>
        <v/>
      </c>
      <c r="N74" s="103">
        <f>IF(LLM_Data_Entry!AW72="","",LLM_Data_Entry!AW72)</f>
        <v/>
      </c>
      <c r="O74" s="103">
        <f>IF(LLM_Data_Entry!AX72="","",LLM_Data_Entry!AX72)</f>
        <v/>
      </c>
      <c r="P74" s="103">
        <f>IF(LLM_Data_Entry!AY72="","",LLM_Data_Entry!AY72)</f>
        <v/>
      </c>
      <c r="Q74" s="103">
        <f>IF(LLM_Data_Entry!AZ72="","",LLM_Data_Entry!AZ72)</f>
        <v/>
      </c>
      <c r="R74" s="103">
        <f>IF(LLM_Data_Entry!AK72="","",LLM_Data_Entry!AK72)</f>
        <v/>
      </c>
      <c r="S74" s="103">
        <f>IF(LLM_Data_Entry!AL72="","",LLM_Data_Entry!AL72)</f>
        <v/>
      </c>
      <c r="T74" s="103">
        <f>IF(LLM_Data_Entry!BA72="","",LLM_Data_Entry!BA72)</f>
        <v/>
      </c>
      <c r="U74" s="103">
        <f>IF(LLM_Data_Entry!BB72="","",LLM_Data_Entry!BB72)</f>
        <v/>
      </c>
      <c r="V74" s="106">
        <f>IF(LLM_Data_Entry!O72="","",LLM_Data_Entry!O72)</f>
        <v/>
      </c>
    </row>
    <row r="75" ht="15" customHeight="1" s="241">
      <c r="A75" s="103">
        <f>IF(LLM_Data_Entry!A73="","",LLM_Data_Entry!A73)</f>
        <v/>
      </c>
      <c r="B75" s="103">
        <f>IF(LLM_Data_Entry!B73="","",LLM_Data_Entry!B73)</f>
        <v/>
      </c>
      <c r="C75" s="104">
        <f>IF(LLM_Data_Entry!C73="","",LLM_Data_Entry!C73)</f>
        <v/>
      </c>
      <c r="D75" s="103">
        <f>IF(LLM_Data_Entry!D73="","",LLM_Data_Entry!D73)</f>
        <v/>
      </c>
      <c r="E75" s="103">
        <f>IF(LLM_Data_Entry!V73="","",LLM_Data_Entry!V73)</f>
        <v/>
      </c>
      <c r="F75" s="103">
        <f>IF(LLM_Data_Entry!AS73="","",LLM_Data_Entry!AS73)</f>
        <v/>
      </c>
      <c r="G75" s="103">
        <f>IF(LLM_Data_Entry!AG73="","",LLM_Data_Entry!AG73)</f>
        <v/>
      </c>
      <c r="H75" s="103">
        <f>IF(LLM_Data_Entry!AT73="","",LLM_Data_Entry!AT73)</f>
        <v/>
      </c>
      <c r="I75" s="103">
        <f>IF(LLM_Data_Entry!AU73="","",LLM_Data_Entry!AU73)</f>
        <v/>
      </c>
      <c r="J75" s="103">
        <f>IF(LLM_Data_Entry!AH73="","",LLM_Data_Entry!AH73)</f>
        <v/>
      </c>
      <c r="K75" s="103">
        <f>IF(LLM_Data_Entry!AI73="","",LLM_Data_Entry!AI73)</f>
        <v/>
      </c>
      <c r="L75" s="103">
        <f>IF(LLM_Data_Entry!AJ73="","",LLM_Data_Entry!AJ73)</f>
        <v/>
      </c>
      <c r="M75" s="103">
        <f>IF(LLM_Data_Entry!AV73="","",LLM_Data_Entry!AV73)</f>
        <v/>
      </c>
      <c r="N75" s="103">
        <f>IF(LLM_Data_Entry!AW73="","",LLM_Data_Entry!AW73)</f>
        <v/>
      </c>
      <c r="O75" s="103">
        <f>IF(LLM_Data_Entry!AX73="","",LLM_Data_Entry!AX73)</f>
        <v/>
      </c>
      <c r="P75" s="103">
        <f>IF(LLM_Data_Entry!AY73="","",LLM_Data_Entry!AY73)</f>
        <v/>
      </c>
      <c r="Q75" s="103">
        <f>IF(LLM_Data_Entry!AZ73="","",LLM_Data_Entry!AZ73)</f>
        <v/>
      </c>
      <c r="R75" s="103">
        <f>IF(LLM_Data_Entry!AK73="","",LLM_Data_Entry!AK73)</f>
        <v/>
      </c>
      <c r="S75" s="103">
        <f>IF(LLM_Data_Entry!AL73="","",LLM_Data_Entry!AL73)</f>
        <v/>
      </c>
      <c r="T75" s="103">
        <f>IF(LLM_Data_Entry!BA73="","",LLM_Data_Entry!BA73)</f>
        <v/>
      </c>
      <c r="U75" s="103">
        <f>IF(LLM_Data_Entry!BB73="","",LLM_Data_Entry!BB73)</f>
        <v/>
      </c>
      <c r="V75" s="106">
        <f>IF(LLM_Data_Entry!O73="","",LLM_Data_Entry!O73)</f>
        <v/>
      </c>
    </row>
    <row r="76" ht="15" customHeight="1" s="241">
      <c r="A76" s="103">
        <f>IF(LLM_Data_Entry!A74="","",LLM_Data_Entry!A74)</f>
        <v/>
      </c>
      <c r="B76" s="103">
        <f>IF(LLM_Data_Entry!B74="","",LLM_Data_Entry!B74)</f>
        <v/>
      </c>
      <c r="C76" s="104">
        <f>IF(LLM_Data_Entry!C74="","",LLM_Data_Entry!C74)</f>
        <v/>
      </c>
      <c r="D76" s="103">
        <f>IF(LLM_Data_Entry!D74="","",LLM_Data_Entry!D74)</f>
        <v/>
      </c>
      <c r="E76" s="103">
        <f>IF(LLM_Data_Entry!V74="","",LLM_Data_Entry!V74)</f>
        <v/>
      </c>
      <c r="F76" s="103">
        <f>IF(LLM_Data_Entry!AS74="","",LLM_Data_Entry!AS74)</f>
        <v/>
      </c>
      <c r="G76" s="103">
        <f>IF(LLM_Data_Entry!AG74="","",LLM_Data_Entry!AG74)</f>
        <v/>
      </c>
      <c r="H76" s="103">
        <f>IF(LLM_Data_Entry!AT74="","",LLM_Data_Entry!AT74)</f>
        <v/>
      </c>
      <c r="I76" s="103">
        <f>IF(LLM_Data_Entry!AU74="","",LLM_Data_Entry!AU74)</f>
        <v/>
      </c>
      <c r="J76" s="103">
        <f>IF(LLM_Data_Entry!AH74="","",LLM_Data_Entry!AH74)</f>
        <v/>
      </c>
      <c r="K76" s="103">
        <f>IF(LLM_Data_Entry!AI74="","",LLM_Data_Entry!AI74)</f>
        <v/>
      </c>
      <c r="L76" s="103">
        <f>IF(LLM_Data_Entry!AJ74="","",LLM_Data_Entry!AJ74)</f>
        <v/>
      </c>
      <c r="M76" s="103">
        <f>IF(LLM_Data_Entry!AV74="","",LLM_Data_Entry!AV74)</f>
        <v/>
      </c>
      <c r="N76" s="103">
        <f>IF(LLM_Data_Entry!AW74="","",LLM_Data_Entry!AW74)</f>
        <v/>
      </c>
      <c r="O76" s="103">
        <f>IF(LLM_Data_Entry!AX74="","",LLM_Data_Entry!AX74)</f>
        <v/>
      </c>
      <c r="P76" s="103">
        <f>IF(LLM_Data_Entry!AY74="","",LLM_Data_Entry!AY74)</f>
        <v/>
      </c>
      <c r="Q76" s="103">
        <f>IF(LLM_Data_Entry!AZ74="","",LLM_Data_Entry!AZ74)</f>
        <v/>
      </c>
      <c r="R76" s="103">
        <f>IF(LLM_Data_Entry!AK74="","",LLM_Data_Entry!AK74)</f>
        <v/>
      </c>
      <c r="S76" s="103">
        <f>IF(LLM_Data_Entry!AL74="","",LLM_Data_Entry!AL74)</f>
        <v/>
      </c>
      <c r="T76" s="103">
        <f>IF(LLM_Data_Entry!BA74="","",LLM_Data_Entry!BA74)</f>
        <v/>
      </c>
      <c r="U76" s="103">
        <f>IF(LLM_Data_Entry!BB74="","",LLM_Data_Entry!BB74)</f>
        <v/>
      </c>
      <c r="V76" s="106">
        <f>IF(LLM_Data_Entry!O74="","",LLM_Data_Entry!O74)</f>
        <v/>
      </c>
    </row>
    <row r="77" ht="15" customHeight="1" s="241">
      <c r="A77" s="103">
        <f>IF(LLM_Data_Entry!A75="","",LLM_Data_Entry!A75)</f>
        <v/>
      </c>
      <c r="B77" s="103">
        <f>IF(LLM_Data_Entry!B75="","",LLM_Data_Entry!B75)</f>
        <v/>
      </c>
      <c r="C77" s="104">
        <f>IF(LLM_Data_Entry!C75="","",LLM_Data_Entry!C75)</f>
        <v/>
      </c>
      <c r="D77" s="103">
        <f>IF(LLM_Data_Entry!D75="","",LLM_Data_Entry!D75)</f>
        <v/>
      </c>
      <c r="E77" s="103">
        <f>IF(LLM_Data_Entry!V75="","",LLM_Data_Entry!V75)</f>
        <v/>
      </c>
      <c r="F77" s="103">
        <f>IF(LLM_Data_Entry!AS75="","",LLM_Data_Entry!AS75)</f>
        <v/>
      </c>
      <c r="G77" s="103">
        <f>IF(LLM_Data_Entry!AG75="","",LLM_Data_Entry!AG75)</f>
        <v/>
      </c>
      <c r="H77" s="103">
        <f>IF(LLM_Data_Entry!AT75="","",LLM_Data_Entry!AT75)</f>
        <v/>
      </c>
      <c r="I77" s="103">
        <f>IF(LLM_Data_Entry!AU75="","",LLM_Data_Entry!AU75)</f>
        <v/>
      </c>
      <c r="J77" s="103">
        <f>IF(LLM_Data_Entry!AH75="","",LLM_Data_Entry!AH75)</f>
        <v/>
      </c>
      <c r="K77" s="103">
        <f>IF(LLM_Data_Entry!AI75="","",LLM_Data_Entry!AI75)</f>
        <v/>
      </c>
      <c r="L77" s="103">
        <f>IF(LLM_Data_Entry!AJ75="","",LLM_Data_Entry!AJ75)</f>
        <v/>
      </c>
      <c r="M77" s="103">
        <f>IF(LLM_Data_Entry!AV75="","",LLM_Data_Entry!AV75)</f>
        <v/>
      </c>
      <c r="N77" s="103">
        <f>IF(LLM_Data_Entry!AW75="","",LLM_Data_Entry!AW75)</f>
        <v/>
      </c>
      <c r="O77" s="103">
        <f>IF(LLM_Data_Entry!AX75="","",LLM_Data_Entry!AX75)</f>
        <v/>
      </c>
      <c r="P77" s="103">
        <f>IF(LLM_Data_Entry!AY75="","",LLM_Data_Entry!AY75)</f>
        <v/>
      </c>
      <c r="Q77" s="103">
        <f>IF(LLM_Data_Entry!AZ75="","",LLM_Data_Entry!AZ75)</f>
        <v/>
      </c>
      <c r="R77" s="103">
        <f>IF(LLM_Data_Entry!AK75="","",LLM_Data_Entry!AK75)</f>
        <v/>
      </c>
      <c r="S77" s="103">
        <f>IF(LLM_Data_Entry!AL75="","",LLM_Data_Entry!AL75)</f>
        <v/>
      </c>
      <c r="T77" s="103">
        <f>IF(LLM_Data_Entry!BA75="","",LLM_Data_Entry!BA75)</f>
        <v/>
      </c>
      <c r="U77" s="103">
        <f>IF(LLM_Data_Entry!BB75="","",LLM_Data_Entry!BB75)</f>
        <v/>
      </c>
      <c r="V77" s="106">
        <f>IF(LLM_Data_Entry!O75="","",LLM_Data_Entry!O75)</f>
        <v/>
      </c>
    </row>
    <row r="78" ht="15" customHeight="1" s="241">
      <c r="A78" s="103">
        <f>IF(LLM_Data_Entry!A76="","",LLM_Data_Entry!A76)</f>
        <v/>
      </c>
      <c r="B78" s="103">
        <f>IF(LLM_Data_Entry!B76="","",LLM_Data_Entry!B76)</f>
        <v/>
      </c>
      <c r="C78" s="104">
        <f>IF(LLM_Data_Entry!C76="","",LLM_Data_Entry!C76)</f>
        <v/>
      </c>
      <c r="D78" s="103">
        <f>IF(LLM_Data_Entry!D76="","",LLM_Data_Entry!D76)</f>
        <v/>
      </c>
      <c r="E78" s="103">
        <f>IF(LLM_Data_Entry!V76="","",LLM_Data_Entry!V76)</f>
        <v/>
      </c>
      <c r="F78" s="103">
        <f>IF(LLM_Data_Entry!AS76="","",LLM_Data_Entry!AS76)</f>
        <v/>
      </c>
      <c r="G78" s="103">
        <f>IF(LLM_Data_Entry!AG76="","",LLM_Data_Entry!AG76)</f>
        <v/>
      </c>
      <c r="H78" s="103">
        <f>IF(LLM_Data_Entry!AT76="","",LLM_Data_Entry!AT76)</f>
        <v/>
      </c>
      <c r="I78" s="103">
        <f>IF(LLM_Data_Entry!AU76="","",LLM_Data_Entry!AU76)</f>
        <v/>
      </c>
      <c r="J78" s="103">
        <f>IF(LLM_Data_Entry!AH76="","",LLM_Data_Entry!AH76)</f>
        <v/>
      </c>
      <c r="K78" s="103">
        <f>IF(LLM_Data_Entry!AI76="","",LLM_Data_Entry!AI76)</f>
        <v/>
      </c>
      <c r="L78" s="103">
        <f>IF(LLM_Data_Entry!AJ76="","",LLM_Data_Entry!AJ76)</f>
        <v/>
      </c>
      <c r="M78" s="103">
        <f>IF(LLM_Data_Entry!AV76="","",LLM_Data_Entry!AV76)</f>
        <v/>
      </c>
      <c r="N78" s="103">
        <f>IF(LLM_Data_Entry!AW76="","",LLM_Data_Entry!AW76)</f>
        <v/>
      </c>
      <c r="O78" s="103">
        <f>IF(LLM_Data_Entry!AX76="","",LLM_Data_Entry!AX76)</f>
        <v/>
      </c>
      <c r="P78" s="103">
        <f>IF(LLM_Data_Entry!AY76="","",LLM_Data_Entry!AY76)</f>
        <v/>
      </c>
      <c r="Q78" s="103">
        <f>IF(LLM_Data_Entry!AZ76="","",LLM_Data_Entry!AZ76)</f>
        <v/>
      </c>
      <c r="R78" s="103">
        <f>IF(LLM_Data_Entry!AK76="","",LLM_Data_Entry!AK76)</f>
        <v/>
      </c>
      <c r="S78" s="103">
        <f>IF(LLM_Data_Entry!AL76="","",LLM_Data_Entry!AL76)</f>
        <v/>
      </c>
      <c r="T78" s="103">
        <f>IF(LLM_Data_Entry!BA76="","",LLM_Data_Entry!BA76)</f>
        <v/>
      </c>
      <c r="U78" s="103">
        <f>IF(LLM_Data_Entry!BB76="","",LLM_Data_Entry!BB76)</f>
        <v/>
      </c>
      <c r="V78" s="106">
        <f>IF(LLM_Data_Entry!O76="","",LLM_Data_Entry!O76)</f>
        <v/>
      </c>
    </row>
    <row r="79" ht="15" customHeight="1" s="241">
      <c r="A79" s="103">
        <f>IF(LLM_Data_Entry!A77="","",LLM_Data_Entry!A77)</f>
        <v/>
      </c>
      <c r="B79" s="103">
        <f>IF(LLM_Data_Entry!B77="","",LLM_Data_Entry!B77)</f>
        <v/>
      </c>
      <c r="C79" s="104">
        <f>IF(LLM_Data_Entry!C77="","",LLM_Data_Entry!C77)</f>
        <v/>
      </c>
      <c r="D79" s="103">
        <f>IF(LLM_Data_Entry!D77="","",LLM_Data_Entry!D77)</f>
        <v/>
      </c>
      <c r="E79" s="103">
        <f>IF(LLM_Data_Entry!V77="","",LLM_Data_Entry!V77)</f>
        <v/>
      </c>
      <c r="F79" s="103">
        <f>IF(LLM_Data_Entry!AS77="","",LLM_Data_Entry!AS77)</f>
        <v/>
      </c>
      <c r="G79" s="103">
        <f>IF(LLM_Data_Entry!AG77="","",LLM_Data_Entry!AG77)</f>
        <v/>
      </c>
      <c r="H79" s="103">
        <f>IF(LLM_Data_Entry!AT77="","",LLM_Data_Entry!AT77)</f>
        <v/>
      </c>
      <c r="I79" s="103">
        <f>IF(LLM_Data_Entry!AU77="","",LLM_Data_Entry!AU77)</f>
        <v/>
      </c>
      <c r="J79" s="103">
        <f>IF(LLM_Data_Entry!AH77="","",LLM_Data_Entry!AH77)</f>
        <v/>
      </c>
      <c r="K79" s="103">
        <f>IF(LLM_Data_Entry!AI77="","",LLM_Data_Entry!AI77)</f>
        <v/>
      </c>
      <c r="L79" s="103">
        <f>IF(LLM_Data_Entry!AJ77="","",LLM_Data_Entry!AJ77)</f>
        <v/>
      </c>
      <c r="M79" s="103">
        <f>IF(LLM_Data_Entry!AV77="","",LLM_Data_Entry!AV77)</f>
        <v/>
      </c>
      <c r="N79" s="103">
        <f>IF(LLM_Data_Entry!AW77="","",LLM_Data_Entry!AW77)</f>
        <v/>
      </c>
      <c r="O79" s="103">
        <f>IF(LLM_Data_Entry!AX77="","",LLM_Data_Entry!AX77)</f>
        <v/>
      </c>
      <c r="P79" s="103">
        <f>IF(LLM_Data_Entry!AY77="","",LLM_Data_Entry!AY77)</f>
        <v/>
      </c>
      <c r="Q79" s="103">
        <f>IF(LLM_Data_Entry!AZ77="","",LLM_Data_Entry!AZ77)</f>
        <v/>
      </c>
      <c r="R79" s="103">
        <f>IF(LLM_Data_Entry!AK77="","",LLM_Data_Entry!AK77)</f>
        <v/>
      </c>
      <c r="S79" s="103">
        <f>IF(LLM_Data_Entry!AL77="","",LLM_Data_Entry!AL77)</f>
        <v/>
      </c>
      <c r="T79" s="103">
        <f>IF(LLM_Data_Entry!BA77="","",LLM_Data_Entry!BA77)</f>
        <v/>
      </c>
      <c r="U79" s="103">
        <f>IF(LLM_Data_Entry!BB77="","",LLM_Data_Entry!BB77)</f>
        <v/>
      </c>
      <c r="V79" s="106">
        <f>IF(LLM_Data_Entry!O77="","",LLM_Data_Entry!O77)</f>
        <v/>
      </c>
    </row>
    <row r="80" ht="15" customHeight="1" s="241">
      <c r="A80" s="103">
        <f>IF(LLM_Data_Entry!A78="","",LLM_Data_Entry!A78)</f>
        <v/>
      </c>
      <c r="B80" s="103">
        <f>IF(LLM_Data_Entry!B78="","",LLM_Data_Entry!B78)</f>
        <v/>
      </c>
      <c r="C80" s="104">
        <f>IF(LLM_Data_Entry!C78="","",LLM_Data_Entry!C78)</f>
        <v/>
      </c>
      <c r="D80" s="103">
        <f>IF(LLM_Data_Entry!D78="","",LLM_Data_Entry!D78)</f>
        <v/>
      </c>
      <c r="E80" s="103">
        <f>IF(LLM_Data_Entry!V78="","",LLM_Data_Entry!V78)</f>
        <v/>
      </c>
      <c r="F80" s="103">
        <f>IF(LLM_Data_Entry!AS78="","",LLM_Data_Entry!AS78)</f>
        <v/>
      </c>
      <c r="G80" s="103">
        <f>IF(LLM_Data_Entry!AG78="","",LLM_Data_Entry!AG78)</f>
        <v/>
      </c>
      <c r="H80" s="103">
        <f>IF(LLM_Data_Entry!AT78="","",LLM_Data_Entry!AT78)</f>
        <v/>
      </c>
      <c r="I80" s="103">
        <f>IF(LLM_Data_Entry!AU78="","",LLM_Data_Entry!AU78)</f>
        <v/>
      </c>
      <c r="J80" s="103">
        <f>IF(LLM_Data_Entry!AH78="","",LLM_Data_Entry!AH78)</f>
        <v/>
      </c>
      <c r="K80" s="103">
        <f>IF(LLM_Data_Entry!AI78="","",LLM_Data_Entry!AI78)</f>
        <v/>
      </c>
      <c r="L80" s="103">
        <f>IF(LLM_Data_Entry!AJ78="","",LLM_Data_Entry!AJ78)</f>
        <v/>
      </c>
      <c r="M80" s="103">
        <f>IF(LLM_Data_Entry!AV78="","",LLM_Data_Entry!AV78)</f>
        <v/>
      </c>
      <c r="N80" s="103">
        <f>IF(LLM_Data_Entry!AW78="","",LLM_Data_Entry!AW78)</f>
        <v/>
      </c>
      <c r="O80" s="103">
        <f>IF(LLM_Data_Entry!AX78="","",LLM_Data_Entry!AX78)</f>
        <v/>
      </c>
      <c r="P80" s="103">
        <f>IF(LLM_Data_Entry!AY78="","",LLM_Data_Entry!AY78)</f>
        <v/>
      </c>
      <c r="Q80" s="103">
        <f>IF(LLM_Data_Entry!AZ78="","",LLM_Data_Entry!AZ78)</f>
        <v/>
      </c>
      <c r="R80" s="103">
        <f>IF(LLM_Data_Entry!AK78="","",LLM_Data_Entry!AK78)</f>
        <v/>
      </c>
      <c r="S80" s="103">
        <f>IF(LLM_Data_Entry!AL78="","",LLM_Data_Entry!AL78)</f>
        <v/>
      </c>
      <c r="T80" s="103">
        <f>IF(LLM_Data_Entry!BA78="","",LLM_Data_Entry!BA78)</f>
        <v/>
      </c>
      <c r="U80" s="103">
        <f>IF(LLM_Data_Entry!BB78="","",LLM_Data_Entry!BB78)</f>
        <v/>
      </c>
      <c r="V80" s="106">
        <f>IF(LLM_Data_Entry!O78="","",LLM_Data_Entry!O78)</f>
        <v/>
      </c>
    </row>
    <row r="81" ht="15" customHeight="1" s="241">
      <c r="A81" s="103">
        <f>IF(LLM_Data_Entry!A79="","",LLM_Data_Entry!A79)</f>
        <v/>
      </c>
      <c r="B81" s="103">
        <f>IF(LLM_Data_Entry!B79="","",LLM_Data_Entry!B79)</f>
        <v/>
      </c>
      <c r="C81" s="104">
        <f>IF(LLM_Data_Entry!C79="","",LLM_Data_Entry!C79)</f>
        <v/>
      </c>
      <c r="D81" s="103">
        <f>IF(LLM_Data_Entry!D79="","",LLM_Data_Entry!D79)</f>
        <v/>
      </c>
      <c r="E81" s="103">
        <f>IF(LLM_Data_Entry!V79="","",LLM_Data_Entry!V79)</f>
        <v/>
      </c>
      <c r="F81" s="103">
        <f>IF(LLM_Data_Entry!AS79="","",LLM_Data_Entry!AS79)</f>
        <v/>
      </c>
      <c r="G81" s="103">
        <f>IF(LLM_Data_Entry!AG79="","",LLM_Data_Entry!AG79)</f>
        <v/>
      </c>
      <c r="H81" s="103">
        <f>IF(LLM_Data_Entry!AT79="","",LLM_Data_Entry!AT79)</f>
        <v/>
      </c>
      <c r="I81" s="103">
        <f>IF(LLM_Data_Entry!AU79="","",LLM_Data_Entry!AU79)</f>
        <v/>
      </c>
      <c r="J81" s="103">
        <f>IF(LLM_Data_Entry!AH79="","",LLM_Data_Entry!AH79)</f>
        <v/>
      </c>
      <c r="K81" s="103">
        <f>IF(LLM_Data_Entry!AI79="","",LLM_Data_Entry!AI79)</f>
        <v/>
      </c>
      <c r="L81" s="103">
        <f>IF(LLM_Data_Entry!AJ79="","",LLM_Data_Entry!AJ79)</f>
        <v/>
      </c>
      <c r="M81" s="103">
        <f>IF(LLM_Data_Entry!AV79="","",LLM_Data_Entry!AV79)</f>
        <v/>
      </c>
      <c r="N81" s="103">
        <f>IF(LLM_Data_Entry!AW79="","",LLM_Data_Entry!AW79)</f>
        <v/>
      </c>
      <c r="O81" s="103">
        <f>IF(LLM_Data_Entry!AX79="","",LLM_Data_Entry!AX79)</f>
        <v/>
      </c>
      <c r="P81" s="103">
        <f>IF(LLM_Data_Entry!AY79="","",LLM_Data_Entry!AY79)</f>
        <v/>
      </c>
      <c r="Q81" s="103">
        <f>IF(LLM_Data_Entry!AZ79="","",LLM_Data_Entry!AZ79)</f>
        <v/>
      </c>
      <c r="R81" s="103">
        <f>IF(LLM_Data_Entry!AK79="","",LLM_Data_Entry!AK79)</f>
        <v/>
      </c>
      <c r="S81" s="103">
        <f>IF(LLM_Data_Entry!AL79="","",LLM_Data_Entry!AL79)</f>
        <v/>
      </c>
      <c r="T81" s="103">
        <f>IF(LLM_Data_Entry!BA79="","",LLM_Data_Entry!BA79)</f>
        <v/>
      </c>
      <c r="U81" s="103">
        <f>IF(LLM_Data_Entry!BB79="","",LLM_Data_Entry!BB79)</f>
        <v/>
      </c>
      <c r="V81" s="106">
        <f>IF(LLM_Data_Entry!O79="","",LLM_Data_Entry!O79)</f>
        <v/>
      </c>
    </row>
    <row r="82" ht="15" customHeight="1" s="241">
      <c r="A82" s="103">
        <f>IF(LLM_Data_Entry!A80="","",LLM_Data_Entry!A80)</f>
        <v/>
      </c>
      <c r="B82" s="103">
        <f>IF(LLM_Data_Entry!B80="","",LLM_Data_Entry!B80)</f>
        <v/>
      </c>
      <c r="C82" s="104">
        <f>IF(LLM_Data_Entry!C80="","",LLM_Data_Entry!C80)</f>
        <v/>
      </c>
      <c r="D82" s="103">
        <f>IF(LLM_Data_Entry!D80="","",LLM_Data_Entry!D80)</f>
        <v/>
      </c>
      <c r="E82" s="103">
        <f>IF(LLM_Data_Entry!V80="","",LLM_Data_Entry!V80)</f>
        <v/>
      </c>
      <c r="F82" s="103">
        <f>IF(LLM_Data_Entry!AS80="","",LLM_Data_Entry!AS80)</f>
        <v/>
      </c>
      <c r="G82" s="103">
        <f>IF(LLM_Data_Entry!AG80="","",LLM_Data_Entry!AG80)</f>
        <v/>
      </c>
      <c r="H82" s="103">
        <f>IF(LLM_Data_Entry!AT80="","",LLM_Data_Entry!AT80)</f>
        <v/>
      </c>
      <c r="I82" s="103">
        <f>IF(LLM_Data_Entry!AU80="","",LLM_Data_Entry!AU80)</f>
        <v/>
      </c>
      <c r="J82" s="103">
        <f>IF(LLM_Data_Entry!AH80="","",LLM_Data_Entry!AH80)</f>
        <v/>
      </c>
      <c r="K82" s="103">
        <f>IF(LLM_Data_Entry!AI80="","",LLM_Data_Entry!AI80)</f>
        <v/>
      </c>
      <c r="L82" s="103">
        <f>IF(LLM_Data_Entry!AJ80="","",LLM_Data_Entry!AJ80)</f>
        <v/>
      </c>
      <c r="M82" s="103">
        <f>IF(LLM_Data_Entry!AV80="","",LLM_Data_Entry!AV80)</f>
        <v/>
      </c>
      <c r="N82" s="103">
        <f>IF(LLM_Data_Entry!AW80="","",LLM_Data_Entry!AW80)</f>
        <v/>
      </c>
      <c r="O82" s="103">
        <f>IF(LLM_Data_Entry!AX80="","",LLM_Data_Entry!AX80)</f>
        <v/>
      </c>
      <c r="P82" s="103">
        <f>IF(LLM_Data_Entry!AY80="","",LLM_Data_Entry!AY80)</f>
        <v/>
      </c>
      <c r="Q82" s="103">
        <f>IF(LLM_Data_Entry!AZ80="","",LLM_Data_Entry!AZ80)</f>
        <v/>
      </c>
      <c r="R82" s="103">
        <f>IF(LLM_Data_Entry!AK80="","",LLM_Data_Entry!AK80)</f>
        <v/>
      </c>
      <c r="S82" s="103">
        <f>IF(LLM_Data_Entry!AL80="","",LLM_Data_Entry!AL80)</f>
        <v/>
      </c>
      <c r="T82" s="103">
        <f>IF(LLM_Data_Entry!BA80="","",LLM_Data_Entry!BA80)</f>
        <v/>
      </c>
      <c r="U82" s="103">
        <f>IF(LLM_Data_Entry!BB80="","",LLM_Data_Entry!BB80)</f>
        <v/>
      </c>
      <c r="V82" s="106">
        <f>IF(LLM_Data_Entry!O80="","",LLM_Data_Entry!O80)</f>
        <v/>
      </c>
    </row>
    <row r="83" ht="15" customHeight="1" s="241">
      <c r="A83" s="103">
        <f>IF(LLM_Data_Entry!A81="","",LLM_Data_Entry!A81)</f>
        <v/>
      </c>
      <c r="B83" s="103">
        <f>IF(LLM_Data_Entry!B81="","",LLM_Data_Entry!B81)</f>
        <v/>
      </c>
      <c r="C83" s="104">
        <f>IF(LLM_Data_Entry!C81="","",LLM_Data_Entry!C81)</f>
        <v/>
      </c>
      <c r="D83" s="103">
        <f>IF(LLM_Data_Entry!D81="","",LLM_Data_Entry!D81)</f>
        <v/>
      </c>
      <c r="E83" s="103">
        <f>IF(LLM_Data_Entry!V81="","",LLM_Data_Entry!V81)</f>
        <v/>
      </c>
      <c r="F83" s="103">
        <f>IF(LLM_Data_Entry!AS81="","",LLM_Data_Entry!AS81)</f>
        <v/>
      </c>
      <c r="G83" s="103">
        <f>IF(LLM_Data_Entry!AG81="","",LLM_Data_Entry!AG81)</f>
        <v/>
      </c>
      <c r="H83" s="103">
        <f>IF(LLM_Data_Entry!AT81="","",LLM_Data_Entry!AT81)</f>
        <v/>
      </c>
      <c r="I83" s="103">
        <f>IF(LLM_Data_Entry!AU81="","",LLM_Data_Entry!AU81)</f>
        <v/>
      </c>
      <c r="J83" s="103">
        <f>IF(LLM_Data_Entry!AH81="","",LLM_Data_Entry!AH81)</f>
        <v/>
      </c>
      <c r="K83" s="103">
        <f>IF(LLM_Data_Entry!AI81="","",LLM_Data_Entry!AI81)</f>
        <v/>
      </c>
      <c r="L83" s="103">
        <f>IF(LLM_Data_Entry!AJ81="","",LLM_Data_Entry!AJ81)</f>
        <v/>
      </c>
      <c r="M83" s="103">
        <f>IF(LLM_Data_Entry!AV81="","",LLM_Data_Entry!AV81)</f>
        <v/>
      </c>
      <c r="N83" s="103">
        <f>IF(LLM_Data_Entry!AW81="","",LLM_Data_Entry!AW81)</f>
        <v/>
      </c>
      <c r="O83" s="103">
        <f>IF(LLM_Data_Entry!AX81="","",LLM_Data_Entry!AX81)</f>
        <v/>
      </c>
      <c r="P83" s="103">
        <f>IF(LLM_Data_Entry!AY81="","",LLM_Data_Entry!AY81)</f>
        <v/>
      </c>
      <c r="Q83" s="103">
        <f>IF(LLM_Data_Entry!AZ81="","",LLM_Data_Entry!AZ81)</f>
        <v/>
      </c>
      <c r="R83" s="103">
        <f>IF(LLM_Data_Entry!AK81="","",LLM_Data_Entry!AK81)</f>
        <v/>
      </c>
      <c r="S83" s="103">
        <f>IF(LLM_Data_Entry!AL81="","",LLM_Data_Entry!AL81)</f>
        <v/>
      </c>
      <c r="T83" s="103">
        <f>IF(LLM_Data_Entry!BA81="","",LLM_Data_Entry!BA81)</f>
        <v/>
      </c>
      <c r="U83" s="103">
        <f>IF(LLM_Data_Entry!BB81="","",LLM_Data_Entry!BB81)</f>
        <v/>
      </c>
      <c r="V83" s="106">
        <f>IF(LLM_Data_Entry!O81="","",LLM_Data_Entry!O81)</f>
        <v/>
      </c>
    </row>
    <row r="84" ht="15" customHeight="1" s="241">
      <c r="A84" s="103">
        <f>IF(LLM_Data_Entry!A82="","",LLM_Data_Entry!A82)</f>
        <v/>
      </c>
      <c r="B84" s="103">
        <f>IF(LLM_Data_Entry!B82="","",LLM_Data_Entry!B82)</f>
        <v/>
      </c>
      <c r="C84" s="104">
        <f>IF(LLM_Data_Entry!C82="","",LLM_Data_Entry!C82)</f>
        <v/>
      </c>
      <c r="D84" s="103">
        <f>IF(LLM_Data_Entry!D82="","",LLM_Data_Entry!D82)</f>
        <v/>
      </c>
      <c r="E84" s="103">
        <f>IF(LLM_Data_Entry!V82="","",LLM_Data_Entry!V82)</f>
        <v/>
      </c>
      <c r="F84" s="103">
        <f>IF(LLM_Data_Entry!AS82="","",LLM_Data_Entry!AS82)</f>
        <v/>
      </c>
      <c r="G84" s="103">
        <f>IF(LLM_Data_Entry!AG82="","",LLM_Data_Entry!AG82)</f>
        <v/>
      </c>
      <c r="H84" s="103">
        <f>IF(LLM_Data_Entry!AT82="","",LLM_Data_Entry!AT82)</f>
        <v/>
      </c>
      <c r="I84" s="103">
        <f>IF(LLM_Data_Entry!AU82="","",LLM_Data_Entry!AU82)</f>
        <v/>
      </c>
      <c r="J84" s="103">
        <f>IF(LLM_Data_Entry!AH82="","",LLM_Data_Entry!AH82)</f>
        <v/>
      </c>
      <c r="K84" s="103">
        <f>IF(LLM_Data_Entry!AI82="","",LLM_Data_Entry!AI82)</f>
        <v/>
      </c>
      <c r="L84" s="103">
        <f>IF(LLM_Data_Entry!AJ82="","",LLM_Data_Entry!AJ82)</f>
        <v/>
      </c>
      <c r="M84" s="103">
        <f>IF(LLM_Data_Entry!AV82="","",LLM_Data_Entry!AV82)</f>
        <v/>
      </c>
      <c r="N84" s="103">
        <f>IF(LLM_Data_Entry!AW82="","",LLM_Data_Entry!AW82)</f>
        <v/>
      </c>
      <c r="O84" s="103">
        <f>IF(LLM_Data_Entry!AX82="","",LLM_Data_Entry!AX82)</f>
        <v/>
      </c>
      <c r="P84" s="103">
        <f>IF(LLM_Data_Entry!AY82="","",LLM_Data_Entry!AY82)</f>
        <v/>
      </c>
      <c r="Q84" s="103">
        <f>IF(LLM_Data_Entry!AZ82="","",LLM_Data_Entry!AZ82)</f>
        <v/>
      </c>
      <c r="R84" s="103">
        <f>IF(LLM_Data_Entry!AK82="","",LLM_Data_Entry!AK82)</f>
        <v/>
      </c>
      <c r="S84" s="103">
        <f>IF(LLM_Data_Entry!AL82="","",LLM_Data_Entry!AL82)</f>
        <v/>
      </c>
      <c r="T84" s="103">
        <f>IF(LLM_Data_Entry!BA82="","",LLM_Data_Entry!BA82)</f>
        <v/>
      </c>
      <c r="U84" s="103">
        <f>IF(LLM_Data_Entry!BB82="","",LLM_Data_Entry!BB82)</f>
        <v/>
      </c>
      <c r="V84" s="106">
        <f>IF(LLM_Data_Entry!O82="","",LLM_Data_Entry!O82)</f>
        <v/>
      </c>
    </row>
    <row r="85" ht="15" customHeight="1" s="241">
      <c r="A85" s="103">
        <f>IF(LLM_Data_Entry!A83="","",LLM_Data_Entry!A83)</f>
        <v/>
      </c>
      <c r="B85" s="103">
        <f>IF(LLM_Data_Entry!B83="","",LLM_Data_Entry!B83)</f>
        <v/>
      </c>
      <c r="C85" s="104">
        <f>IF(LLM_Data_Entry!C83="","",LLM_Data_Entry!C83)</f>
        <v/>
      </c>
      <c r="D85" s="103">
        <f>IF(LLM_Data_Entry!D83="","",LLM_Data_Entry!D83)</f>
        <v/>
      </c>
      <c r="E85" s="103">
        <f>IF(LLM_Data_Entry!V83="","",LLM_Data_Entry!V83)</f>
        <v/>
      </c>
      <c r="F85" s="103">
        <f>IF(LLM_Data_Entry!AS83="","",LLM_Data_Entry!AS83)</f>
        <v/>
      </c>
      <c r="G85" s="103">
        <f>IF(LLM_Data_Entry!AG83="","",LLM_Data_Entry!AG83)</f>
        <v/>
      </c>
      <c r="H85" s="103">
        <f>IF(LLM_Data_Entry!AT83="","",LLM_Data_Entry!AT83)</f>
        <v/>
      </c>
      <c r="I85" s="103">
        <f>IF(LLM_Data_Entry!AU83="","",LLM_Data_Entry!AU83)</f>
        <v/>
      </c>
      <c r="J85" s="103">
        <f>IF(LLM_Data_Entry!AH83="","",LLM_Data_Entry!AH83)</f>
        <v/>
      </c>
      <c r="K85" s="103">
        <f>IF(LLM_Data_Entry!AI83="","",LLM_Data_Entry!AI83)</f>
        <v/>
      </c>
      <c r="L85" s="103">
        <f>IF(LLM_Data_Entry!AJ83="","",LLM_Data_Entry!AJ83)</f>
        <v/>
      </c>
      <c r="M85" s="103">
        <f>IF(LLM_Data_Entry!AV83="","",LLM_Data_Entry!AV83)</f>
        <v/>
      </c>
      <c r="N85" s="103">
        <f>IF(LLM_Data_Entry!AW83="","",LLM_Data_Entry!AW83)</f>
        <v/>
      </c>
      <c r="O85" s="103">
        <f>IF(LLM_Data_Entry!AX83="","",LLM_Data_Entry!AX83)</f>
        <v/>
      </c>
      <c r="P85" s="103">
        <f>IF(LLM_Data_Entry!AY83="","",LLM_Data_Entry!AY83)</f>
        <v/>
      </c>
      <c r="Q85" s="103">
        <f>IF(LLM_Data_Entry!AZ83="","",LLM_Data_Entry!AZ83)</f>
        <v/>
      </c>
      <c r="R85" s="103">
        <f>IF(LLM_Data_Entry!AK83="","",LLM_Data_Entry!AK83)</f>
        <v/>
      </c>
      <c r="S85" s="103">
        <f>IF(LLM_Data_Entry!AL83="","",LLM_Data_Entry!AL83)</f>
        <v/>
      </c>
      <c r="T85" s="103">
        <f>IF(LLM_Data_Entry!BA83="","",LLM_Data_Entry!BA83)</f>
        <v/>
      </c>
      <c r="U85" s="103">
        <f>IF(LLM_Data_Entry!BB83="","",LLM_Data_Entry!BB83)</f>
        <v/>
      </c>
      <c r="V85" s="106">
        <f>IF(LLM_Data_Entry!O83="","",LLM_Data_Entry!O83)</f>
        <v/>
      </c>
    </row>
    <row r="86" ht="15" customHeight="1" s="241">
      <c r="A86" s="103">
        <f>IF(LLM_Data_Entry!A84="","",LLM_Data_Entry!A84)</f>
        <v/>
      </c>
      <c r="B86" s="103">
        <f>IF(LLM_Data_Entry!B84="","",LLM_Data_Entry!B84)</f>
        <v/>
      </c>
      <c r="C86" s="104">
        <f>IF(LLM_Data_Entry!C84="","",LLM_Data_Entry!C84)</f>
        <v/>
      </c>
      <c r="D86" s="103">
        <f>IF(LLM_Data_Entry!D84="","",LLM_Data_Entry!D84)</f>
        <v/>
      </c>
      <c r="E86" s="103">
        <f>IF(LLM_Data_Entry!V84="","",LLM_Data_Entry!V84)</f>
        <v/>
      </c>
      <c r="F86" s="103">
        <f>IF(LLM_Data_Entry!AS84="","",LLM_Data_Entry!AS84)</f>
        <v/>
      </c>
      <c r="G86" s="103">
        <f>IF(LLM_Data_Entry!AG84="","",LLM_Data_Entry!AG84)</f>
        <v/>
      </c>
      <c r="H86" s="103">
        <f>IF(LLM_Data_Entry!AT84="","",LLM_Data_Entry!AT84)</f>
        <v/>
      </c>
      <c r="I86" s="103">
        <f>IF(LLM_Data_Entry!AU84="","",LLM_Data_Entry!AU84)</f>
        <v/>
      </c>
      <c r="J86" s="103">
        <f>IF(LLM_Data_Entry!AH84="","",LLM_Data_Entry!AH84)</f>
        <v/>
      </c>
      <c r="K86" s="103">
        <f>IF(LLM_Data_Entry!AI84="","",LLM_Data_Entry!AI84)</f>
        <v/>
      </c>
      <c r="L86" s="103">
        <f>IF(LLM_Data_Entry!AJ84="","",LLM_Data_Entry!AJ84)</f>
        <v/>
      </c>
      <c r="M86" s="103">
        <f>IF(LLM_Data_Entry!AV84="","",LLM_Data_Entry!AV84)</f>
        <v/>
      </c>
      <c r="N86" s="103">
        <f>IF(LLM_Data_Entry!AW84="","",LLM_Data_Entry!AW84)</f>
        <v/>
      </c>
      <c r="O86" s="103">
        <f>IF(LLM_Data_Entry!AX84="","",LLM_Data_Entry!AX84)</f>
        <v/>
      </c>
      <c r="P86" s="103">
        <f>IF(LLM_Data_Entry!AY84="","",LLM_Data_Entry!AY84)</f>
        <v/>
      </c>
      <c r="Q86" s="103">
        <f>IF(LLM_Data_Entry!AZ84="","",LLM_Data_Entry!AZ84)</f>
        <v/>
      </c>
      <c r="R86" s="103">
        <f>IF(LLM_Data_Entry!AK84="","",LLM_Data_Entry!AK84)</f>
        <v/>
      </c>
      <c r="S86" s="103">
        <f>IF(LLM_Data_Entry!AL84="","",LLM_Data_Entry!AL84)</f>
        <v/>
      </c>
      <c r="T86" s="103">
        <f>IF(LLM_Data_Entry!BA84="","",LLM_Data_Entry!BA84)</f>
        <v/>
      </c>
      <c r="U86" s="103">
        <f>IF(LLM_Data_Entry!BB84="","",LLM_Data_Entry!BB84)</f>
        <v/>
      </c>
      <c r="V86" s="106">
        <f>IF(LLM_Data_Entry!O84="","",LLM_Data_Entry!O84)</f>
        <v/>
      </c>
    </row>
    <row r="87" ht="15" customHeight="1" s="241">
      <c r="A87" s="103">
        <f>IF(LLM_Data_Entry!A85="","",LLM_Data_Entry!A85)</f>
        <v/>
      </c>
      <c r="B87" s="103">
        <f>IF(LLM_Data_Entry!B85="","",LLM_Data_Entry!B85)</f>
        <v/>
      </c>
      <c r="C87" s="104">
        <f>IF(LLM_Data_Entry!C85="","",LLM_Data_Entry!C85)</f>
        <v/>
      </c>
      <c r="D87" s="103">
        <f>IF(LLM_Data_Entry!D85="","",LLM_Data_Entry!D85)</f>
        <v/>
      </c>
      <c r="E87" s="103">
        <f>IF(LLM_Data_Entry!V85="","",LLM_Data_Entry!V85)</f>
        <v/>
      </c>
      <c r="F87" s="103">
        <f>IF(LLM_Data_Entry!AS85="","",LLM_Data_Entry!AS85)</f>
        <v/>
      </c>
      <c r="G87" s="103">
        <f>IF(LLM_Data_Entry!AG85="","",LLM_Data_Entry!AG85)</f>
        <v/>
      </c>
      <c r="H87" s="103">
        <f>IF(LLM_Data_Entry!AT85="","",LLM_Data_Entry!AT85)</f>
        <v/>
      </c>
      <c r="I87" s="103">
        <f>IF(LLM_Data_Entry!AU85="","",LLM_Data_Entry!AU85)</f>
        <v/>
      </c>
      <c r="J87" s="103">
        <f>IF(LLM_Data_Entry!AH85="","",LLM_Data_Entry!AH85)</f>
        <v/>
      </c>
      <c r="K87" s="103">
        <f>IF(LLM_Data_Entry!AI85="","",LLM_Data_Entry!AI85)</f>
        <v/>
      </c>
      <c r="L87" s="103">
        <f>IF(LLM_Data_Entry!AJ85="","",LLM_Data_Entry!AJ85)</f>
        <v/>
      </c>
      <c r="M87" s="103">
        <f>IF(LLM_Data_Entry!AV85="","",LLM_Data_Entry!AV85)</f>
        <v/>
      </c>
      <c r="N87" s="103">
        <f>IF(LLM_Data_Entry!AW85="","",LLM_Data_Entry!AW85)</f>
        <v/>
      </c>
      <c r="O87" s="103">
        <f>IF(LLM_Data_Entry!AX85="","",LLM_Data_Entry!AX85)</f>
        <v/>
      </c>
      <c r="P87" s="103">
        <f>IF(LLM_Data_Entry!AY85="","",LLM_Data_Entry!AY85)</f>
        <v/>
      </c>
      <c r="Q87" s="103">
        <f>IF(LLM_Data_Entry!AZ85="","",LLM_Data_Entry!AZ85)</f>
        <v/>
      </c>
      <c r="R87" s="103">
        <f>IF(LLM_Data_Entry!AK85="","",LLM_Data_Entry!AK85)</f>
        <v/>
      </c>
      <c r="S87" s="103">
        <f>IF(LLM_Data_Entry!AL85="","",LLM_Data_Entry!AL85)</f>
        <v/>
      </c>
      <c r="T87" s="103">
        <f>IF(LLM_Data_Entry!BA85="","",LLM_Data_Entry!BA85)</f>
        <v/>
      </c>
      <c r="U87" s="103">
        <f>IF(LLM_Data_Entry!BB85="","",LLM_Data_Entry!BB85)</f>
        <v/>
      </c>
      <c r="V87" s="106">
        <f>IF(LLM_Data_Entry!O85="","",LLM_Data_Entry!O85)</f>
        <v/>
      </c>
    </row>
    <row r="88" ht="15" customHeight="1" s="241">
      <c r="A88" s="103">
        <f>IF(LLM_Data_Entry!A86="","",LLM_Data_Entry!A86)</f>
        <v/>
      </c>
      <c r="B88" s="103">
        <f>IF(LLM_Data_Entry!B86="","",LLM_Data_Entry!B86)</f>
        <v/>
      </c>
      <c r="C88" s="104">
        <f>IF(LLM_Data_Entry!C86="","",LLM_Data_Entry!C86)</f>
        <v/>
      </c>
      <c r="D88" s="103">
        <f>IF(LLM_Data_Entry!D86="","",LLM_Data_Entry!D86)</f>
        <v/>
      </c>
      <c r="E88" s="103">
        <f>IF(LLM_Data_Entry!V86="","",LLM_Data_Entry!V86)</f>
        <v/>
      </c>
      <c r="F88" s="103">
        <f>IF(LLM_Data_Entry!AS86="","",LLM_Data_Entry!AS86)</f>
        <v/>
      </c>
      <c r="G88" s="103">
        <f>IF(LLM_Data_Entry!AG86="","",LLM_Data_Entry!AG86)</f>
        <v/>
      </c>
      <c r="H88" s="103">
        <f>IF(LLM_Data_Entry!AT86="","",LLM_Data_Entry!AT86)</f>
        <v/>
      </c>
      <c r="I88" s="103">
        <f>IF(LLM_Data_Entry!AU86="","",LLM_Data_Entry!AU86)</f>
        <v/>
      </c>
      <c r="J88" s="103">
        <f>IF(LLM_Data_Entry!AH86="","",LLM_Data_Entry!AH86)</f>
        <v/>
      </c>
      <c r="K88" s="103">
        <f>IF(LLM_Data_Entry!AI86="","",LLM_Data_Entry!AI86)</f>
        <v/>
      </c>
      <c r="L88" s="103">
        <f>IF(LLM_Data_Entry!AJ86="","",LLM_Data_Entry!AJ86)</f>
        <v/>
      </c>
      <c r="M88" s="103">
        <f>IF(LLM_Data_Entry!AV86="","",LLM_Data_Entry!AV86)</f>
        <v/>
      </c>
      <c r="N88" s="103">
        <f>IF(LLM_Data_Entry!AW86="","",LLM_Data_Entry!AW86)</f>
        <v/>
      </c>
      <c r="O88" s="103">
        <f>IF(LLM_Data_Entry!AX86="","",LLM_Data_Entry!AX86)</f>
        <v/>
      </c>
      <c r="P88" s="103">
        <f>IF(LLM_Data_Entry!AY86="","",LLM_Data_Entry!AY86)</f>
        <v/>
      </c>
      <c r="Q88" s="103">
        <f>IF(LLM_Data_Entry!AZ86="","",LLM_Data_Entry!AZ86)</f>
        <v/>
      </c>
      <c r="R88" s="103">
        <f>IF(LLM_Data_Entry!AK86="","",LLM_Data_Entry!AK86)</f>
        <v/>
      </c>
      <c r="S88" s="103">
        <f>IF(LLM_Data_Entry!AL86="","",LLM_Data_Entry!AL86)</f>
        <v/>
      </c>
      <c r="T88" s="103">
        <f>IF(LLM_Data_Entry!BA86="","",LLM_Data_Entry!BA86)</f>
        <v/>
      </c>
      <c r="U88" s="103">
        <f>IF(LLM_Data_Entry!BB86="","",LLM_Data_Entry!BB86)</f>
        <v/>
      </c>
      <c r="V88" s="106">
        <f>IF(LLM_Data_Entry!O86="","",LLM_Data_Entry!O86)</f>
        <v/>
      </c>
    </row>
    <row r="89" ht="15" customHeight="1" s="241">
      <c r="A89" s="103">
        <f>IF(LLM_Data_Entry!A87="","",LLM_Data_Entry!A87)</f>
        <v/>
      </c>
      <c r="B89" s="103">
        <f>IF(LLM_Data_Entry!B87="","",LLM_Data_Entry!B87)</f>
        <v/>
      </c>
      <c r="C89" s="104">
        <f>IF(LLM_Data_Entry!C87="","",LLM_Data_Entry!C87)</f>
        <v/>
      </c>
      <c r="D89" s="103">
        <f>IF(LLM_Data_Entry!D87="","",LLM_Data_Entry!D87)</f>
        <v/>
      </c>
      <c r="E89" s="103">
        <f>IF(LLM_Data_Entry!V87="","",LLM_Data_Entry!V87)</f>
        <v/>
      </c>
      <c r="F89" s="103">
        <f>IF(LLM_Data_Entry!AS87="","",LLM_Data_Entry!AS87)</f>
        <v/>
      </c>
      <c r="G89" s="103">
        <f>IF(LLM_Data_Entry!AG87="","",LLM_Data_Entry!AG87)</f>
        <v/>
      </c>
      <c r="H89" s="103">
        <f>IF(LLM_Data_Entry!AT87="","",LLM_Data_Entry!AT87)</f>
        <v/>
      </c>
      <c r="I89" s="103">
        <f>IF(LLM_Data_Entry!AU87="","",LLM_Data_Entry!AU87)</f>
        <v/>
      </c>
      <c r="J89" s="103">
        <f>IF(LLM_Data_Entry!AH87="","",LLM_Data_Entry!AH87)</f>
        <v/>
      </c>
      <c r="K89" s="103">
        <f>IF(LLM_Data_Entry!AI87="","",LLM_Data_Entry!AI87)</f>
        <v/>
      </c>
      <c r="L89" s="103">
        <f>IF(LLM_Data_Entry!AJ87="","",LLM_Data_Entry!AJ87)</f>
        <v/>
      </c>
      <c r="M89" s="103">
        <f>IF(LLM_Data_Entry!AV87="","",LLM_Data_Entry!AV87)</f>
        <v/>
      </c>
      <c r="N89" s="103">
        <f>IF(LLM_Data_Entry!AW87="","",LLM_Data_Entry!AW87)</f>
        <v/>
      </c>
      <c r="O89" s="103">
        <f>IF(LLM_Data_Entry!AX87="","",LLM_Data_Entry!AX87)</f>
        <v/>
      </c>
      <c r="P89" s="103">
        <f>IF(LLM_Data_Entry!AY87="","",LLM_Data_Entry!AY87)</f>
        <v/>
      </c>
      <c r="Q89" s="103">
        <f>IF(LLM_Data_Entry!AZ87="","",LLM_Data_Entry!AZ87)</f>
        <v/>
      </c>
      <c r="R89" s="103">
        <f>IF(LLM_Data_Entry!AK87="","",LLM_Data_Entry!AK87)</f>
        <v/>
      </c>
      <c r="S89" s="103">
        <f>IF(LLM_Data_Entry!AL87="","",LLM_Data_Entry!AL87)</f>
        <v/>
      </c>
      <c r="T89" s="103">
        <f>IF(LLM_Data_Entry!BA87="","",LLM_Data_Entry!BA87)</f>
        <v/>
      </c>
      <c r="U89" s="103">
        <f>IF(LLM_Data_Entry!BB87="","",LLM_Data_Entry!BB87)</f>
        <v/>
      </c>
      <c r="V89" s="106">
        <f>IF(LLM_Data_Entry!O87="","",LLM_Data_Entry!O87)</f>
        <v/>
      </c>
    </row>
    <row r="90" ht="15" customHeight="1" s="241">
      <c r="A90" s="103">
        <f>IF(LLM_Data_Entry!A88="","",LLM_Data_Entry!A88)</f>
        <v/>
      </c>
      <c r="B90" s="103">
        <f>IF(LLM_Data_Entry!B88="","",LLM_Data_Entry!B88)</f>
        <v/>
      </c>
      <c r="C90" s="104">
        <f>IF(LLM_Data_Entry!C88="","",LLM_Data_Entry!C88)</f>
        <v/>
      </c>
      <c r="D90" s="103">
        <f>IF(LLM_Data_Entry!D88="","",LLM_Data_Entry!D88)</f>
        <v/>
      </c>
      <c r="E90" s="103">
        <f>IF(LLM_Data_Entry!V88="","",LLM_Data_Entry!V88)</f>
        <v/>
      </c>
      <c r="F90" s="103">
        <f>IF(LLM_Data_Entry!AS88="","",LLM_Data_Entry!AS88)</f>
        <v/>
      </c>
      <c r="G90" s="103">
        <f>IF(LLM_Data_Entry!AG88="","",LLM_Data_Entry!AG88)</f>
        <v/>
      </c>
      <c r="H90" s="103">
        <f>IF(LLM_Data_Entry!AT88="","",LLM_Data_Entry!AT88)</f>
        <v/>
      </c>
      <c r="I90" s="103">
        <f>IF(LLM_Data_Entry!AU88="","",LLM_Data_Entry!AU88)</f>
        <v/>
      </c>
      <c r="J90" s="103">
        <f>IF(LLM_Data_Entry!AH88="","",LLM_Data_Entry!AH88)</f>
        <v/>
      </c>
      <c r="K90" s="103">
        <f>IF(LLM_Data_Entry!AI88="","",LLM_Data_Entry!AI88)</f>
        <v/>
      </c>
      <c r="L90" s="103">
        <f>IF(LLM_Data_Entry!AJ88="","",LLM_Data_Entry!AJ88)</f>
        <v/>
      </c>
      <c r="M90" s="103">
        <f>IF(LLM_Data_Entry!AV88="","",LLM_Data_Entry!AV88)</f>
        <v/>
      </c>
      <c r="N90" s="103">
        <f>IF(LLM_Data_Entry!AW88="","",LLM_Data_Entry!AW88)</f>
        <v/>
      </c>
      <c r="O90" s="103">
        <f>IF(LLM_Data_Entry!AX88="","",LLM_Data_Entry!AX88)</f>
        <v/>
      </c>
      <c r="P90" s="103">
        <f>IF(LLM_Data_Entry!AY88="","",LLM_Data_Entry!AY88)</f>
        <v/>
      </c>
      <c r="Q90" s="103">
        <f>IF(LLM_Data_Entry!AZ88="","",LLM_Data_Entry!AZ88)</f>
        <v/>
      </c>
      <c r="R90" s="103">
        <f>IF(LLM_Data_Entry!AK88="","",LLM_Data_Entry!AK88)</f>
        <v/>
      </c>
      <c r="S90" s="103">
        <f>IF(LLM_Data_Entry!AL88="","",LLM_Data_Entry!AL88)</f>
        <v/>
      </c>
      <c r="T90" s="103">
        <f>IF(LLM_Data_Entry!BA88="","",LLM_Data_Entry!BA88)</f>
        <v/>
      </c>
      <c r="U90" s="103">
        <f>IF(LLM_Data_Entry!BB88="","",LLM_Data_Entry!BB88)</f>
        <v/>
      </c>
      <c r="V90" s="106">
        <f>IF(LLM_Data_Entry!O88="","",LLM_Data_Entry!O88)</f>
        <v/>
      </c>
    </row>
    <row r="91" ht="15" customHeight="1" s="241">
      <c r="A91" s="103">
        <f>IF(LLM_Data_Entry!A89="","",LLM_Data_Entry!A89)</f>
        <v/>
      </c>
      <c r="B91" s="103">
        <f>IF(LLM_Data_Entry!B89="","",LLM_Data_Entry!B89)</f>
        <v/>
      </c>
      <c r="C91" s="104">
        <f>IF(LLM_Data_Entry!C89="","",LLM_Data_Entry!C89)</f>
        <v/>
      </c>
      <c r="D91" s="103">
        <f>IF(LLM_Data_Entry!D89="","",LLM_Data_Entry!D89)</f>
        <v/>
      </c>
      <c r="E91" s="103">
        <f>IF(LLM_Data_Entry!V89="","",LLM_Data_Entry!V89)</f>
        <v/>
      </c>
      <c r="F91" s="103">
        <f>IF(LLM_Data_Entry!AS89="","",LLM_Data_Entry!AS89)</f>
        <v/>
      </c>
      <c r="G91" s="103">
        <f>IF(LLM_Data_Entry!AG89="","",LLM_Data_Entry!AG89)</f>
        <v/>
      </c>
      <c r="H91" s="103">
        <f>IF(LLM_Data_Entry!AT89="","",LLM_Data_Entry!AT89)</f>
        <v/>
      </c>
      <c r="I91" s="103">
        <f>IF(LLM_Data_Entry!AU89="","",LLM_Data_Entry!AU89)</f>
        <v/>
      </c>
      <c r="J91" s="103">
        <f>IF(LLM_Data_Entry!AH89="","",LLM_Data_Entry!AH89)</f>
        <v/>
      </c>
      <c r="K91" s="103">
        <f>IF(LLM_Data_Entry!AI89="","",LLM_Data_Entry!AI89)</f>
        <v/>
      </c>
      <c r="L91" s="103">
        <f>IF(LLM_Data_Entry!AJ89="","",LLM_Data_Entry!AJ89)</f>
        <v/>
      </c>
      <c r="M91" s="103">
        <f>IF(LLM_Data_Entry!AV89="","",LLM_Data_Entry!AV89)</f>
        <v/>
      </c>
      <c r="N91" s="103">
        <f>IF(LLM_Data_Entry!AW89="","",LLM_Data_Entry!AW89)</f>
        <v/>
      </c>
      <c r="O91" s="103">
        <f>IF(LLM_Data_Entry!AX89="","",LLM_Data_Entry!AX89)</f>
        <v/>
      </c>
      <c r="P91" s="103">
        <f>IF(LLM_Data_Entry!AY89="","",LLM_Data_Entry!AY89)</f>
        <v/>
      </c>
      <c r="Q91" s="103">
        <f>IF(LLM_Data_Entry!AZ89="","",LLM_Data_Entry!AZ89)</f>
        <v/>
      </c>
      <c r="R91" s="103">
        <f>IF(LLM_Data_Entry!AK89="","",LLM_Data_Entry!AK89)</f>
        <v/>
      </c>
      <c r="S91" s="103">
        <f>IF(LLM_Data_Entry!AL89="","",LLM_Data_Entry!AL89)</f>
        <v/>
      </c>
      <c r="T91" s="103">
        <f>IF(LLM_Data_Entry!BA89="","",LLM_Data_Entry!BA89)</f>
        <v/>
      </c>
      <c r="U91" s="103">
        <f>IF(LLM_Data_Entry!BB89="","",LLM_Data_Entry!BB89)</f>
        <v/>
      </c>
      <c r="V91" s="106">
        <f>IF(LLM_Data_Entry!O89="","",LLM_Data_Entry!O89)</f>
        <v/>
      </c>
    </row>
    <row r="92" ht="15" customHeight="1" s="241">
      <c r="A92" s="103">
        <f>IF(LLM_Data_Entry!A90="","",LLM_Data_Entry!A90)</f>
        <v/>
      </c>
      <c r="B92" s="103">
        <f>IF(LLM_Data_Entry!B90="","",LLM_Data_Entry!B90)</f>
        <v/>
      </c>
      <c r="C92" s="104">
        <f>IF(LLM_Data_Entry!C90="","",LLM_Data_Entry!C90)</f>
        <v/>
      </c>
      <c r="D92" s="103">
        <f>IF(LLM_Data_Entry!D90="","",LLM_Data_Entry!D90)</f>
        <v/>
      </c>
      <c r="E92" s="103">
        <f>IF(LLM_Data_Entry!V90="","",LLM_Data_Entry!V90)</f>
        <v/>
      </c>
      <c r="F92" s="103">
        <f>IF(LLM_Data_Entry!AS90="","",LLM_Data_Entry!AS90)</f>
        <v/>
      </c>
      <c r="G92" s="103">
        <f>IF(LLM_Data_Entry!AG90="","",LLM_Data_Entry!AG90)</f>
        <v/>
      </c>
      <c r="H92" s="103">
        <f>IF(LLM_Data_Entry!AT90="","",LLM_Data_Entry!AT90)</f>
        <v/>
      </c>
      <c r="I92" s="103">
        <f>IF(LLM_Data_Entry!AU90="","",LLM_Data_Entry!AU90)</f>
        <v/>
      </c>
      <c r="J92" s="103">
        <f>IF(LLM_Data_Entry!AH90="","",LLM_Data_Entry!AH90)</f>
        <v/>
      </c>
      <c r="K92" s="103">
        <f>IF(LLM_Data_Entry!AI90="","",LLM_Data_Entry!AI90)</f>
        <v/>
      </c>
      <c r="L92" s="103">
        <f>IF(LLM_Data_Entry!AJ90="","",LLM_Data_Entry!AJ90)</f>
        <v/>
      </c>
      <c r="M92" s="103">
        <f>IF(LLM_Data_Entry!AV90="","",LLM_Data_Entry!AV90)</f>
        <v/>
      </c>
      <c r="N92" s="103">
        <f>IF(LLM_Data_Entry!AW90="","",LLM_Data_Entry!AW90)</f>
        <v/>
      </c>
      <c r="O92" s="103">
        <f>IF(LLM_Data_Entry!AX90="","",LLM_Data_Entry!AX90)</f>
        <v/>
      </c>
      <c r="P92" s="103">
        <f>IF(LLM_Data_Entry!AY90="","",LLM_Data_Entry!AY90)</f>
        <v/>
      </c>
      <c r="Q92" s="103">
        <f>IF(LLM_Data_Entry!AZ90="","",LLM_Data_Entry!AZ90)</f>
        <v/>
      </c>
      <c r="R92" s="103">
        <f>IF(LLM_Data_Entry!AK90="","",LLM_Data_Entry!AK90)</f>
        <v/>
      </c>
      <c r="S92" s="103">
        <f>IF(LLM_Data_Entry!AL90="","",LLM_Data_Entry!AL90)</f>
        <v/>
      </c>
      <c r="T92" s="103">
        <f>IF(LLM_Data_Entry!BA90="","",LLM_Data_Entry!BA90)</f>
        <v/>
      </c>
      <c r="U92" s="103">
        <f>IF(LLM_Data_Entry!BB90="","",LLM_Data_Entry!BB90)</f>
        <v/>
      </c>
      <c r="V92" s="106">
        <f>IF(LLM_Data_Entry!O90="","",LLM_Data_Entry!O90)</f>
        <v/>
      </c>
    </row>
    <row r="93" ht="15" customHeight="1" s="241">
      <c r="A93" s="103">
        <f>IF(LLM_Data_Entry!A91="","",LLM_Data_Entry!A91)</f>
        <v/>
      </c>
      <c r="B93" s="103">
        <f>IF(LLM_Data_Entry!B91="","",LLM_Data_Entry!B91)</f>
        <v/>
      </c>
      <c r="C93" s="104">
        <f>IF(LLM_Data_Entry!C91="","",LLM_Data_Entry!C91)</f>
        <v/>
      </c>
      <c r="D93" s="103">
        <f>IF(LLM_Data_Entry!D91="","",LLM_Data_Entry!D91)</f>
        <v/>
      </c>
      <c r="E93" s="103">
        <f>IF(LLM_Data_Entry!V91="","",LLM_Data_Entry!V91)</f>
        <v/>
      </c>
      <c r="F93" s="103">
        <f>IF(LLM_Data_Entry!AS91="","",LLM_Data_Entry!AS91)</f>
        <v/>
      </c>
      <c r="G93" s="103">
        <f>IF(LLM_Data_Entry!AG91="","",LLM_Data_Entry!AG91)</f>
        <v/>
      </c>
      <c r="H93" s="103">
        <f>IF(LLM_Data_Entry!AT91="","",LLM_Data_Entry!AT91)</f>
        <v/>
      </c>
      <c r="I93" s="103">
        <f>IF(LLM_Data_Entry!AU91="","",LLM_Data_Entry!AU91)</f>
        <v/>
      </c>
      <c r="J93" s="103">
        <f>IF(LLM_Data_Entry!AH91="","",LLM_Data_Entry!AH91)</f>
        <v/>
      </c>
      <c r="K93" s="103">
        <f>IF(LLM_Data_Entry!AI91="","",LLM_Data_Entry!AI91)</f>
        <v/>
      </c>
      <c r="L93" s="103">
        <f>IF(LLM_Data_Entry!AJ91="","",LLM_Data_Entry!AJ91)</f>
        <v/>
      </c>
      <c r="M93" s="103">
        <f>IF(LLM_Data_Entry!AV91="","",LLM_Data_Entry!AV91)</f>
        <v/>
      </c>
      <c r="N93" s="103">
        <f>IF(LLM_Data_Entry!AW91="","",LLM_Data_Entry!AW91)</f>
        <v/>
      </c>
      <c r="O93" s="103">
        <f>IF(LLM_Data_Entry!AX91="","",LLM_Data_Entry!AX91)</f>
        <v/>
      </c>
      <c r="P93" s="103">
        <f>IF(LLM_Data_Entry!AY91="","",LLM_Data_Entry!AY91)</f>
        <v/>
      </c>
      <c r="Q93" s="103">
        <f>IF(LLM_Data_Entry!AZ91="","",LLM_Data_Entry!AZ91)</f>
        <v/>
      </c>
      <c r="R93" s="103">
        <f>IF(LLM_Data_Entry!AK91="","",LLM_Data_Entry!AK91)</f>
        <v/>
      </c>
      <c r="S93" s="103">
        <f>IF(LLM_Data_Entry!AL91="","",LLM_Data_Entry!AL91)</f>
        <v/>
      </c>
      <c r="T93" s="103">
        <f>IF(LLM_Data_Entry!BA91="","",LLM_Data_Entry!BA91)</f>
        <v/>
      </c>
      <c r="U93" s="103">
        <f>IF(LLM_Data_Entry!BB91="","",LLM_Data_Entry!BB91)</f>
        <v/>
      </c>
      <c r="V93" s="106">
        <f>IF(LLM_Data_Entry!O91="","",LLM_Data_Entry!O91)</f>
        <v/>
      </c>
    </row>
    <row r="94" ht="15" customHeight="1" s="241">
      <c r="A94" s="103">
        <f>IF(LLM_Data_Entry!A92="","",LLM_Data_Entry!A92)</f>
        <v/>
      </c>
      <c r="B94" s="103">
        <f>IF(LLM_Data_Entry!B92="","",LLM_Data_Entry!B92)</f>
        <v/>
      </c>
      <c r="C94" s="104">
        <f>IF(LLM_Data_Entry!C92="","",LLM_Data_Entry!C92)</f>
        <v/>
      </c>
      <c r="D94" s="103">
        <f>IF(LLM_Data_Entry!D92="","",LLM_Data_Entry!D92)</f>
        <v/>
      </c>
      <c r="E94" s="103">
        <f>IF(LLM_Data_Entry!V92="","",LLM_Data_Entry!V92)</f>
        <v/>
      </c>
      <c r="F94" s="103">
        <f>IF(LLM_Data_Entry!AS92="","",LLM_Data_Entry!AS92)</f>
        <v/>
      </c>
      <c r="G94" s="103">
        <f>IF(LLM_Data_Entry!AG92="","",LLM_Data_Entry!AG92)</f>
        <v/>
      </c>
      <c r="H94" s="103">
        <f>IF(LLM_Data_Entry!AT92="","",LLM_Data_Entry!AT92)</f>
        <v/>
      </c>
      <c r="I94" s="103">
        <f>IF(LLM_Data_Entry!AU92="","",LLM_Data_Entry!AU92)</f>
        <v/>
      </c>
      <c r="J94" s="103">
        <f>IF(LLM_Data_Entry!AH92="","",LLM_Data_Entry!AH92)</f>
        <v/>
      </c>
      <c r="K94" s="103">
        <f>IF(LLM_Data_Entry!AI92="","",LLM_Data_Entry!AI92)</f>
        <v/>
      </c>
      <c r="L94" s="103">
        <f>IF(LLM_Data_Entry!AJ92="","",LLM_Data_Entry!AJ92)</f>
        <v/>
      </c>
      <c r="M94" s="103">
        <f>IF(LLM_Data_Entry!AV92="","",LLM_Data_Entry!AV92)</f>
        <v/>
      </c>
      <c r="N94" s="103">
        <f>IF(LLM_Data_Entry!AW92="","",LLM_Data_Entry!AW92)</f>
        <v/>
      </c>
      <c r="O94" s="103">
        <f>IF(LLM_Data_Entry!AX92="","",LLM_Data_Entry!AX92)</f>
        <v/>
      </c>
      <c r="P94" s="103">
        <f>IF(LLM_Data_Entry!AY92="","",LLM_Data_Entry!AY92)</f>
        <v/>
      </c>
      <c r="Q94" s="103">
        <f>IF(LLM_Data_Entry!AZ92="","",LLM_Data_Entry!AZ92)</f>
        <v/>
      </c>
      <c r="R94" s="103">
        <f>IF(LLM_Data_Entry!AK92="","",LLM_Data_Entry!AK92)</f>
        <v/>
      </c>
      <c r="S94" s="103">
        <f>IF(LLM_Data_Entry!AL92="","",LLM_Data_Entry!AL92)</f>
        <v/>
      </c>
      <c r="T94" s="103">
        <f>IF(LLM_Data_Entry!BA92="","",LLM_Data_Entry!BA92)</f>
        <v/>
      </c>
      <c r="U94" s="103">
        <f>IF(LLM_Data_Entry!BB92="","",LLM_Data_Entry!BB92)</f>
        <v/>
      </c>
      <c r="V94" s="106">
        <f>IF(LLM_Data_Entry!O92="","",LLM_Data_Entry!O92)</f>
        <v/>
      </c>
    </row>
    <row r="95" ht="15" customHeight="1" s="241">
      <c r="A95" s="103">
        <f>IF(LLM_Data_Entry!A93="","",LLM_Data_Entry!A93)</f>
        <v/>
      </c>
      <c r="B95" s="103">
        <f>IF(LLM_Data_Entry!B93="","",LLM_Data_Entry!B93)</f>
        <v/>
      </c>
      <c r="C95" s="104">
        <f>IF(LLM_Data_Entry!C93="","",LLM_Data_Entry!C93)</f>
        <v/>
      </c>
      <c r="D95" s="103">
        <f>IF(LLM_Data_Entry!D93="","",LLM_Data_Entry!D93)</f>
        <v/>
      </c>
      <c r="E95" s="103">
        <f>IF(LLM_Data_Entry!V93="","",LLM_Data_Entry!V93)</f>
        <v/>
      </c>
      <c r="F95" s="103">
        <f>IF(LLM_Data_Entry!AS93="","",LLM_Data_Entry!AS93)</f>
        <v/>
      </c>
      <c r="G95" s="103">
        <f>IF(LLM_Data_Entry!AG93="","",LLM_Data_Entry!AG93)</f>
        <v/>
      </c>
      <c r="H95" s="103">
        <f>IF(LLM_Data_Entry!AT93="","",LLM_Data_Entry!AT93)</f>
        <v/>
      </c>
      <c r="I95" s="103">
        <f>IF(LLM_Data_Entry!AU93="","",LLM_Data_Entry!AU93)</f>
        <v/>
      </c>
      <c r="J95" s="103">
        <f>IF(LLM_Data_Entry!AH93="","",LLM_Data_Entry!AH93)</f>
        <v/>
      </c>
      <c r="K95" s="103">
        <f>IF(LLM_Data_Entry!AI93="","",LLM_Data_Entry!AI93)</f>
        <v/>
      </c>
      <c r="L95" s="103">
        <f>IF(LLM_Data_Entry!AJ93="","",LLM_Data_Entry!AJ93)</f>
        <v/>
      </c>
      <c r="M95" s="103">
        <f>IF(LLM_Data_Entry!AV93="","",LLM_Data_Entry!AV93)</f>
        <v/>
      </c>
      <c r="N95" s="103">
        <f>IF(LLM_Data_Entry!AW93="","",LLM_Data_Entry!AW93)</f>
        <v/>
      </c>
      <c r="O95" s="103">
        <f>IF(LLM_Data_Entry!AX93="","",LLM_Data_Entry!AX93)</f>
        <v/>
      </c>
      <c r="P95" s="103">
        <f>IF(LLM_Data_Entry!AY93="","",LLM_Data_Entry!AY93)</f>
        <v/>
      </c>
      <c r="Q95" s="103">
        <f>IF(LLM_Data_Entry!AZ93="","",LLM_Data_Entry!AZ93)</f>
        <v/>
      </c>
      <c r="R95" s="103">
        <f>IF(LLM_Data_Entry!AK93="","",LLM_Data_Entry!AK93)</f>
        <v/>
      </c>
      <c r="S95" s="103">
        <f>IF(LLM_Data_Entry!AL93="","",LLM_Data_Entry!AL93)</f>
        <v/>
      </c>
      <c r="T95" s="103">
        <f>IF(LLM_Data_Entry!BA93="","",LLM_Data_Entry!BA93)</f>
        <v/>
      </c>
      <c r="U95" s="103">
        <f>IF(LLM_Data_Entry!BB93="","",LLM_Data_Entry!BB93)</f>
        <v/>
      </c>
      <c r="V95" s="106">
        <f>IF(LLM_Data_Entry!O93="","",LLM_Data_Entry!O93)</f>
        <v/>
      </c>
    </row>
    <row r="96" ht="15" customHeight="1" s="241">
      <c r="A96" s="103">
        <f>IF(LLM_Data_Entry!A94="","",LLM_Data_Entry!A94)</f>
        <v/>
      </c>
      <c r="B96" s="103">
        <f>IF(LLM_Data_Entry!B94="","",LLM_Data_Entry!B94)</f>
        <v/>
      </c>
      <c r="C96" s="104">
        <f>IF(LLM_Data_Entry!C94="","",LLM_Data_Entry!C94)</f>
        <v/>
      </c>
      <c r="D96" s="103">
        <f>IF(LLM_Data_Entry!D94="","",LLM_Data_Entry!D94)</f>
        <v/>
      </c>
      <c r="E96" s="103">
        <f>IF(LLM_Data_Entry!V94="","",LLM_Data_Entry!V94)</f>
        <v/>
      </c>
      <c r="F96" s="103">
        <f>IF(LLM_Data_Entry!AS94="","",LLM_Data_Entry!AS94)</f>
        <v/>
      </c>
      <c r="G96" s="103">
        <f>IF(LLM_Data_Entry!AG94="","",LLM_Data_Entry!AG94)</f>
        <v/>
      </c>
      <c r="H96" s="103">
        <f>IF(LLM_Data_Entry!AT94="","",LLM_Data_Entry!AT94)</f>
        <v/>
      </c>
      <c r="I96" s="103">
        <f>IF(LLM_Data_Entry!AU94="","",LLM_Data_Entry!AU94)</f>
        <v/>
      </c>
      <c r="J96" s="103">
        <f>IF(LLM_Data_Entry!AH94="","",LLM_Data_Entry!AH94)</f>
        <v/>
      </c>
      <c r="K96" s="103">
        <f>IF(LLM_Data_Entry!AI94="","",LLM_Data_Entry!AI94)</f>
        <v/>
      </c>
      <c r="L96" s="103">
        <f>IF(LLM_Data_Entry!AJ94="","",LLM_Data_Entry!AJ94)</f>
        <v/>
      </c>
      <c r="M96" s="103">
        <f>IF(LLM_Data_Entry!AV94="","",LLM_Data_Entry!AV94)</f>
        <v/>
      </c>
      <c r="N96" s="103">
        <f>IF(LLM_Data_Entry!AW94="","",LLM_Data_Entry!AW94)</f>
        <v/>
      </c>
      <c r="O96" s="103">
        <f>IF(LLM_Data_Entry!AX94="","",LLM_Data_Entry!AX94)</f>
        <v/>
      </c>
      <c r="P96" s="103">
        <f>IF(LLM_Data_Entry!AY94="","",LLM_Data_Entry!AY94)</f>
        <v/>
      </c>
      <c r="Q96" s="103">
        <f>IF(LLM_Data_Entry!AZ94="","",LLM_Data_Entry!AZ94)</f>
        <v/>
      </c>
      <c r="R96" s="103">
        <f>IF(LLM_Data_Entry!AK94="","",LLM_Data_Entry!AK94)</f>
        <v/>
      </c>
      <c r="S96" s="103">
        <f>IF(LLM_Data_Entry!AL94="","",LLM_Data_Entry!AL94)</f>
        <v/>
      </c>
      <c r="T96" s="103">
        <f>IF(LLM_Data_Entry!BA94="","",LLM_Data_Entry!BA94)</f>
        <v/>
      </c>
      <c r="U96" s="103">
        <f>IF(LLM_Data_Entry!BB94="","",LLM_Data_Entry!BB94)</f>
        <v/>
      </c>
      <c r="V96" s="106">
        <f>IF(LLM_Data_Entry!O94="","",LLM_Data_Entry!O94)</f>
        <v/>
      </c>
    </row>
    <row r="97" ht="15" customHeight="1" s="241">
      <c r="A97" s="103">
        <f>IF(LLM_Data_Entry!A95="","",LLM_Data_Entry!A95)</f>
        <v/>
      </c>
      <c r="B97" s="103">
        <f>IF(LLM_Data_Entry!B95="","",LLM_Data_Entry!B95)</f>
        <v/>
      </c>
      <c r="C97" s="104">
        <f>IF(LLM_Data_Entry!C95="","",LLM_Data_Entry!C95)</f>
        <v/>
      </c>
      <c r="D97" s="103">
        <f>IF(LLM_Data_Entry!D95="","",LLM_Data_Entry!D95)</f>
        <v/>
      </c>
      <c r="E97" s="103">
        <f>IF(LLM_Data_Entry!V95="","",LLM_Data_Entry!V95)</f>
        <v/>
      </c>
      <c r="F97" s="103">
        <f>IF(LLM_Data_Entry!AS95="","",LLM_Data_Entry!AS95)</f>
        <v/>
      </c>
      <c r="G97" s="103">
        <f>IF(LLM_Data_Entry!AG95="","",LLM_Data_Entry!AG95)</f>
        <v/>
      </c>
      <c r="H97" s="103">
        <f>IF(LLM_Data_Entry!AT95="","",LLM_Data_Entry!AT95)</f>
        <v/>
      </c>
      <c r="I97" s="103">
        <f>IF(LLM_Data_Entry!AU95="","",LLM_Data_Entry!AU95)</f>
        <v/>
      </c>
      <c r="J97" s="103">
        <f>IF(LLM_Data_Entry!AH95="","",LLM_Data_Entry!AH95)</f>
        <v/>
      </c>
      <c r="K97" s="103">
        <f>IF(LLM_Data_Entry!AI95="","",LLM_Data_Entry!AI95)</f>
        <v/>
      </c>
      <c r="L97" s="103">
        <f>IF(LLM_Data_Entry!AJ95="","",LLM_Data_Entry!AJ95)</f>
        <v/>
      </c>
      <c r="M97" s="103">
        <f>IF(LLM_Data_Entry!AV95="","",LLM_Data_Entry!AV95)</f>
        <v/>
      </c>
      <c r="N97" s="103">
        <f>IF(LLM_Data_Entry!AW95="","",LLM_Data_Entry!AW95)</f>
        <v/>
      </c>
      <c r="O97" s="103">
        <f>IF(LLM_Data_Entry!AX95="","",LLM_Data_Entry!AX95)</f>
        <v/>
      </c>
      <c r="P97" s="103">
        <f>IF(LLM_Data_Entry!AY95="","",LLM_Data_Entry!AY95)</f>
        <v/>
      </c>
      <c r="Q97" s="103">
        <f>IF(LLM_Data_Entry!AZ95="","",LLM_Data_Entry!AZ95)</f>
        <v/>
      </c>
      <c r="R97" s="103">
        <f>IF(LLM_Data_Entry!AK95="","",LLM_Data_Entry!AK95)</f>
        <v/>
      </c>
      <c r="S97" s="103">
        <f>IF(LLM_Data_Entry!AL95="","",LLM_Data_Entry!AL95)</f>
        <v/>
      </c>
      <c r="T97" s="103">
        <f>IF(LLM_Data_Entry!BA95="","",LLM_Data_Entry!BA95)</f>
        <v/>
      </c>
      <c r="U97" s="103">
        <f>IF(LLM_Data_Entry!BB95="","",LLM_Data_Entry!BB95)</f>
        <v/>
      </c>
      <c r="V97" s="106">
        <f>IF(LLM_Data_Entry!O95="","",LLM_Data_Entry!O95)</f>
        <v/>
      </c>
    </row>
    <row r="98" ht="15" customHeight="1" s="241">
      <c r="A98" s="103">
        <f>IF(LLM_Data_Entry!A96="","",LLM_Data_Entry!A96)</f>
        <v/>
      </c>
      <c r="B98" s="103">
        <f>IF(LLM_Data_Entry!B96="","",LLM_Data_Entry!B96)</f>
        <v/>
      </c>
      <c r="C98" s="104">
        <f>IF(LLM_Data_Entry!C96="","",LLM_Data_Entry!C96)</f>
        <v/>
      </c>
      <c r="D98" s="103">
        <f>IF(LLM_Data_Entry!D96="","",LLM_Data_Entry!D96)</f>
        <v/>
      </c>
      <c r="E98" s="103">
        <f>IF(LLM_Data_Entry!V96="","",LLM_Data_Entry!V96)</f>
        <v/>
      </c>
      <c r="F98" s="103">
        <f>IF(LLM_Data_Entry!AS96="","",LLM_Data_Entry!AS96)</f>
        <v/>
      </c>
      <c r="G98" s="103">
        <f>IF(LLM_Data_Entry!AG96="","",LLM_Data_Entry!AG96)</f>
        <v/>
      </c>
      <c r="H98" s="103">
        <f>IF(LLM_Data_Entry!AT96="","",LLM_Data_Entry!AT96)</f>
        <v/>
      </c>
      <c r="I98" s="103">
        <f>IF(LLM_Data_Entry!AU96="","",LLM_Data_Entry!AU96)</f>
        <v/>
      </c>
      <c r="J98" s="103">
        <f>IF(LLM_Data_Entry!AH96="","",LLM_Data_Entry!AH96)</f>
        <v/>
      </c>
      <c r="K98" s="103">
        <f>IF(LLM_Data_Entry!AI96="","",LLM_Data_Entry!AI96)</f>
        <v/>
      </c>
      <c r="L98" s="103">
        <f>IF(LLM_Data_Entry!AJ96="","",LLM_Data_Entry!AJ96)</f>
        <v/>
      </c>
      <c r="M98" s="103">
        <f>IF(LLM_Data_Entry!AV96="","",LLM_Data_Entry!AV96)</f>
        <v/>
      </c>
      <c r="N98" s="103">
        <f>IF(LLM_Data_Entry!AW96="","",LLM_Data_Entry!AW96)</f>
        <v/>
      </c>
      <c r="O98" s="103">
        <f>IF(LLM_Data_Entry!AX96="","",LLM_Data_Entry!AX96)</f>
        <v/>
      </c>
      <c r="P98" s="103">
        <f>IF(LLM_Data_Entry!AY96="","",LLM_Data_Entry!AY96)</f>
        <v/>
      </c>
      <c r="Q98" s="103">
        <f>IF(LLM_Data_Entry!AZ96="","",LLM_Data_Entry!AZ96)</f>
        <v/>
      </c>
      <c r="R98" s="103">
        <f>IF(LLM_Data_Entry!AK96="","",LLM_Data_Entry!AK96)</f>
        <v/>
      </c>
      <c r="S98" s="103">
        <f>IF(LLM_Data_Entry!AL96="","",LLM_Data_Entry!AL96)</f>
        <v/>
      </c>
      <c r="T98" s="103">
        <f>IF(LLM_Data_Entry!BA96="","",LLM_Data_Entry!BA96)</f>
        <v/>
      </c>
      <c r="U98" s="103">
        <f>IF(LLM_Data_Entry!BB96="","",LLM_Data_Entry!BB96)</f>
        <v/>
      </c>
      <c r="V98" s="106">
        <f>IF(LLM_Data_Entry!O96="","",LLM_Data_Entry!O96)</f>
        <v/>
      </c>
    </row>
    <row r="99" ht="15" customHeight="1" s="241">
      <c r="A99" s="103">
        <f>IF(LLM_Data_Entry!A97="","",LLM_Data_Entry!A97)</f>
        <v/>
      </c>
      <c r="B99" s="103">
        <f>IF(LLM_Data_Entry!B97="","",LLM_Data_Entry!B97)</f>
        <v/>
      </c>
      <c r="C99" s="104">
        <f>IF(LLM_Data_Entry!C97="","",LLM_Data_Entry!C97)</f>
        <v/>
      </c>
      <c r="D99" s="103">
        <f>IF(LLM_Data_Entry!D97="","",LLM_Data_Entry!D97)</f>
        <v/>
      </c>
      <c r="E99" s="103">
        <f>IF(LLM_Data_Entry!V97="","",LLM_Data_Entry!V97)</f>
        <v/>
      </c>
      <c r="F99" s="103">
        <f>IF(LLM_Data_Entry!AS97="","",LLM_Data_Entry!AS97)</f>
        <v/>
      </c>
      <c r="G99" s="103">
        <f>IF(LLM_Data_Entry!AG97="","",LLM_Data_Entry!AG97)</f>
        <v/>
      </c>
      <c r="H99" s="103">
        <f>IF(LLM_Data_Entry!AT97="","",LLM_Data_Entry!AT97)</f>
        <v/>
      </c>
      <c r="I99" s="103">
        <f>IF(LLM_Data_Entry!AU97="","",LLM_Data_Entry!AU97)</f>
        <v/>
      </c>
      <c r="J99" s="103">
        <f>IF(LLM_Data_Entry!AH97="","",LLM_Data_Entry!AH97)</f>
        <v/>
      </c>
      <c r="K99" s="103">
        <f>IF(LLM_Data_Entry!AI97="","",LLM_Data_Entry!AI97)</f>
        <v/>
      </c>
      <c r="L99" s="103">
        <f>IF(LLM_Data_Entry!AJ97="","",LLM_Data_Entry!AJ97)</f>
        <v/>
      </c>
      <c r="M99" s="103">
        <f>IF(LLM_Data_Entry!AV97="","",LLM_Data_Entry!AV97)</f>
        <v/>
      </c>
      <c r="N99" s="103">
        <f>IF(LLM_Data_Entry!AW97="","",LLM_Data_Entry!AW97)</f>
        <v/>
      </c>
      <c r="O99" s="103">
        <f>IF(LLM_Data_Entry!AX97="","",LLM_Data_Entry!AX97)</f>
        <v/>
      </c>
      <c r="P99" s="103">
        <f>IF(LLM_Data_Entry!AY97="","",LLM_Data_Entry!AY97)</f>
        <v/>
      </c>
      <c r="Q99" s="103">
        <f>IF(LLM_Data_Entry!AZ97="","",LLM_Data_Entry!AZ97)</f>
        <v/>
      </c>
      <c r="R99" s="103">
        <f>IF(LLM_Data_Entry!AK97="","",LLM_Data_Entry!AK97)</f>
        <v/>
      </c>
      <c r="S99" s="103">
        <f>IF(LLM_Data_Entry!AL97="","",LLM_Data_Entry!AL97)</f>
        <v/>
      </c>
      <c r="T99" s="103">
        <f>IF(LLM_Data_Entry!BA97="","",LLM_Data_Entry!BA97)</f>
        <v/>
      </c>
      <c r="U99" s="103">
        <f>IF(LLM_Data_Entry!BB97="","",LLM_Data_Entry!BB97)</f>
        <v/>
      </c>
      <c r="V99" s="106">
        <f>IF(LLM_Data_Entry!O97="","",LLM_Data_Entry!O97)</f>
        <v/>
      </c>
    </row>
    <row r="100" ht="15" customHeight="1" s="241">
      <c r="A100" s="103">
        <f>IF(LLM_Data_Entry!A98="","",LLM_Data_Entry!A98)</f>
        <v/>
      </c>
      <c r="B100" s="103">
        <f>IF(LLM_Data_Entry!B98="","",LLM_Data_Entry!B98)</f>
        <v/>
      </c>
      <c r="C100" s="104">
        <f>IF(LLM_Data_Entry!C98="","",LLM_Data_Entry!C98)</f>
        <v/>
      </c>
      <c r="D100" s="103">
        <f>IF(LLM_Data_Entry!D98="","",LLM_Data_Entry!D98)</f>
        <v/>
      </c>
      <c r="E100" s="103">
        <f>IF(LLM_Data_Entry!V98="","",LLM_Data_Entry!V98)</f>
        <v/>
      </c>
      <c r="F100" s="103">
        <f>IF(LLM_Data_Entry!AS98="","",LLM_Data_Entry!AS98)</f>
        <v/>
      </c>
      <c r="G100" s="103">
        <f>IF(LLM_Data_Entry!AG98="","",LLM_Data_Entry!AG98)</f>
        <v/>
      </c>
      <c r="H100" s="103">
        <f>IF(LLM_Data_Entry!AT98="","",LLM_Data_Entry!AT98)</f>
        <v/>
      </c>
      <c r="I100" s="103">
        <f>IF(LLM_Data_Entry!AU98="","",LLM_Data_Entry!AU98)</f>
        <v/>
      </c>
      <c r="J100" s="103">
        <f>IF(LLM_Data_Entry!AH98="","",LLM_Data_Entry!AH98)</f>
        <v/>
      </c>
      <c r="K100" s="103">
        <f>IF(LLM_Data_Entry!AI98="","",LLM_Data_Entry!AI98)</f>
        <v/>
      </c>
      <c r="L100" s="103">
        <f>IF(LLM_Data_Entry!AJ98="","",LLM_Data_Entry!AJ98)</f>
        <v/>
      </c>
      <c r="M100" s="103">
        <f>IF(LLM_Data_Entry!AV98="","",LLM_Data_Entry!AV98)</f>
        <v/>
      </c>
      <c r="N100" s="103">
        <f>IF(LLM_Data_Entry!AW98="","",LLM_Data_Entry!AW98)</f>
        <v/>
      </c>
      <c r="O100" s="103">
        <f>IF(LLM_Data_Entry!AX98="","",LLM_Data_Entry!AX98)</f>
        <v/>
      </c>
      <c r="P100" s="103">
        <f>IF(LLM_Data_Entry!AY98="","",LLM_Data_Entry!AY98)</f>
        <v/>
      </c>
      <c r="Q100" s="103">
        <f>IF(LLM_Data_Entry!AZ98="","",LLM_Data_Entry!AZ98)</f>
        <v/>
      </c>
      <c r="R100" s="103">
        <f>IF(LLM_Data_Entry!AK98="","",LLM_Data_Entry!AK98)</f>
        <v/>
      </c>
      <c r="S100" s="103">
        <f>IF(LLM_Data_Entry!AL98="","",LLM_Data_Entry!AL98)</f>
        <v/>
      </c>
      <c r="T100" s="103">
        <f>IF(LLM_Data_Entry!BA98="","",LLM_Data_Entry!BA98)</f>
        <v/>
      </c>
      <c r="U100" s="103">
        <f>IF(LLM_Data_Entry!BB98="","",LLM_Data_Entry!BB98)</f>
        <v/>
      </c>
      <c r="V100" s="106">
        <f>IF(LLM_Data_Entry!O98="","",LLM_Data_Entry!O98)</f>
        <v/>
      </c>
    </row>
    <row r="101" ht="15" customHeight="1" s="241">
      <c r="A101" s="103">
        <f>IF(LLM_Data_Entry!A99="","",LLM_Data_Entry!A99)</f>
        <v/>
      </c>
      <c r="B101" s="103">
        <f>IF(LLM_Data_Entry!B99="","",LLM_Data_Entry!B99)</f>
        <v/>
      </c>
      <c r="C101" s="104">
        <f>IF(LLM_Data_Entry!C99="","",LLM_Data_Entry!C99)</f>
        <v/>
      </c>
      <c r="D101" s="103">
        <f>IF(LLM_Data_Entry!D99="","",LLM_Data_Entry!D99)</f>
        <v/>
      </c>
      <c r="E101" s="103">
        <f>IF(LLM_Data_Entry!V99="","",LLM_Data_Entry!V99)</f>
        <v/>
      </c>
      <c r="F101" s="103">
        <f>IF(LLM_Data_Entry!AS99="","",LLM_Data_Entry!AS99)</f>
        <v/>
      </c>
      <c r="G101" s="103">
        <f>IF(LLM_Data_Entry!AG99="","",LLM_Data_Entry!AG99)</f>
        <v/>
      </c>
      <c r="H101" s="103">
        <f>IF(LLM_Data_Entry!AT99="","",LLM_Data_Entry!AT99)</f>
        <v/>
      </c>
      <c r="I101" s="103">
        <f>IF(LLM_Data_Entry!AU99="","",LLM_Data_Entry!AU99)</f>
        <v/>
      </c>
      <c r="J101" s="103">
        <f>IF(LLM_Data_Entry!AH99="","",LLM_Data_Entry!AH99)</f>
        <v/>
      </c>
      <c r="K101" s="103">
        <f>IF(LLM_Data_Entry!AI99="","",LLM_Data_Entry!AI99)</f>
        <v/>
      </c>
      <c r="L101" s="103">
        <f>IF(LLM_Data_Entry!AJ99="","",LLM_Data_Entry!AJ99)</f>
        <v/>
      </c>
      <c r="M101" s="103">
        <f>IF(LLM_Data_Entry!AV99="","",LLM_Data_Entry!AV99)</f>
        <v/>
      </c>
      <c r="N101" s="103">
        <f>IF(LLM_Data_Entry!AW99="","",LLM_Data_Entry!AW99)</f>
        <v/>
      </c>
      <c r="O101" s="103">
        <f>IF(LLM_Data_Entry!AX99="","",LLM_Data_Entry!AX99)</f>
        <v/>
      </c>
      <c r="P101" s="103">
        <f>IF(LLM_Data_Entry!AY99="","",LLM_Data_Entry!AY99)</f>
        <v/>
      </c>
      <c r="Q101" s="103">
        <f>IF(LLM_Data_Entry!AZ99="","",LLM_Data_Entry!AZ99)</f>
        <v/>
      </c>
      <c r="R101" s="103">
        <f>IF(LLM_Data_Entry!AK99="","",LLM_Data_Entry!AK99)</f>
        <v/>
      </c>
      <c r="S101" s="103">
        <f>IF(LLM_Data_Entry!AL99="","",LLM_Data_Entry!AL99)</f>
        <v/>
      </c>
      <c r="T101" s="103">
        <f>IF(LLM_Data_Entry!BA99="","",LLM_Data_Entry!BA99)</f>
        <v/>
      </c>
      <c r="U101" s="103">
        <f>IF(LLM_Data_Entry!BB99="","",LLM_Data_Entry!BB99)</f>
        <v/>
      </c>
      <c r="V101" s="106">
        <f>IF(LLM_Data_Entry!O99="","",LLM_Data_Entry!O99)</f>
        <v/>
      </c>
    </row>
    <row r="102" ht="15" customHeight="1" s="241">
      <c r="A102" s="103">
        <f>IF(LLM_Data_Entry!A100="","",LLM_Data_Entry!A100)</f>
        <v/>
      </c>
      <c r="B102" s="103">
        <f>IF(LLM_Data_Entry!B100="","",LLM_Data_Entry!B100)</f>
        <v/>
      </c>
      <c r="C102" s="104">
        <f>IF(LLM_Data_Entry!C100="","",LLM_Data_Entry!C100)</f>
        <v/>
      </c>
      <c r="D102" s="103">
        <f>IF(LLM_Data_Entry!D100="","",LLM_Data_Entry!D100)</f>
        <v/>
      </c>
      <c r="E102" s="103">
        <f>IF(LLM_Data_Entry!V100="","",LLM_Data_Entry!V100)</f>
        <v/>
      </c>
      <c r="F102" s="103">
        <f>IF(LLM_Data_Entry!AS100="","",LLM_Data_Entry!AS100)</f>
        <v/>
      </c>
      <c r="G102" s="103">
        <f>IF(LLM_Data_Entry!AG100="","",LLM_Data_Entry!AG100)</f>
        <v/>
      </c>
      <c r="H102" s="103">
        <f>IF(LLM_Data_Entry!AT100="","",LLM_Data_Entry!AT100)</f>
        <v/>
      </c>
      <c r="I102" s="103">
        <f>IF(LLM_Data_Entry!AU100="","",LLM_Data_Entry!AU100)</f>
        <v/>
      </c>
      <c r="J102" s="103">
        <f>IF(LLM_Data_Entry!AH100="","",LLM_Data_Entry!AH100)</f>
        <v/>
      </c>
      <c r="K102" s="103">
        <f>IF(LLM_Data_Entry!AI100="","",LLM_Data_Entry!AI100)</f>
        <v/>
      </c>
      <c r="L102" s="103">
        <f>IF(LLM_Data_Entry!AJ100="","",LLM_Data_Entry!AJ100)</f>
        <v/>
      </c>
      <c r="M102" s="103">
        <f>IF(LLM_Data_Entry!AV100="","",LLM_Data_Entry!AV100)</f>
        <v/>
      </c>
      <c r="N102" s="103">
        <f>IF(LLM_Data_Entry!AW100="","",LLM_Data_Entry!AW100)</f>
        <v/>
      </c>
      <c r="O102" s="103">
        <f>IF(LLM_Data_Entry!AX100="","",LLM_Data_Entry!AX100)</f>
        <v/>
      </c>
      <c r="P102" s="103">
        <f>IF(LLM_Data_Entry!AY100="","",LLM_Data_Entry!AY100)</f>
        <v/>
      </c>
      <c r="Q102" s="103">
        <f>IF(LLM_Data_Entry!AZ100="","",LLM_Data_Entry!AZ100)</f>
        <v/>
      </c>
      <c r="R102" s="103">
        <f>IF(LLM_Data_Entry!AK100="","",LLM_Data_Entry!AK100)</f>
        <v/>
      </c>
      <c r="S102" s="103">
        <f>IF(LLM_Data_Entry!AL100="","",LLM_Data_Entry!AL100)</f>
        <v/>
      </c>
      <c r="T102" s="103">
        <f>IF(LLM_Data_Entry!BA100="","",LLM_Data_Entry!BA100)</f>
        <v/>
      </c>
      <c r="U102" s="103">
        <f>IF(LLM_Data_Entry!BB100="","",LLM_Data_Entry!BB100)</f>
        <v/>
      </c>
      <c r="V102" s="106">
        <f>IF(LLM_Data_Entry!O100="","",LLM_Data_Entry!O100)</f>
        <v/>
      </c>
    </row>
    <row r="103" ht="15" customHeight="1" s="241">
      <c r="A103" s="103">
        <f>IF(LLM_Data_Entry!A101="","",LLM_Data_Entry!A101)</f>
        <v/>
      </c>
      <c r="B103" s="103">
        <f>IF(LLM_Data_Entry!B101="","",LLM_Data_Entry!B101)</f>
        <v/>
      </c>
      <c r="C103" s="104">
        <f>IF(LLM_Data_Entry!C101="","",LLM_Data_Entry!C101)</f>
        <v/>
      </c>
      <c r="D103" s="103">
        <f>IF(LLM_Data_Entry!D101="","",LLM_Data_Entry!D101)</f>
        <v/>
      </c>
      <c r="E103" s="103">
        <f>IF(LLM_Data_Entry!V101="","",LLM_Data_Entry!V101)</f>
        <v/>
      </c>
      <c r="F103" s="103">
        <f>IF(LLM_Data_Entry!AS101="","",LLM_Data_Entry!AS101)</f>
        <v/>
      </c>
      <c r="G103" s="103">
        <f>IF(LLM_Data_Entry!AG101="","",LLM_Data_Entry!AG101)</f>
        <v/>
      </c>
      <c r="H103" s="103">
        <f>IF(LLM_Data_Entry!AT101="","",LLM_Data_Entry!AT101)</f>
        <v/>
      </c>
      <c r="I103" s="103">
        <f>IF(LLM_Data_Entry!AU101="","",LLM_Data_Entry!AU101)</f>
        <v/>
      </c>
      <c r="J103" s="103">
        <f>IF(LLM_Data_Entry!AH101="","",LLM_Data_Entry!AH101)</f>
        <v/>
      </c>
      <c r="K103" s="103">
        <f>IF(LLM_Data_Entry!AI101="","",LLM_Data_Entry!AI101)</f>
        <v/>
      </c>
      <c r="L103" s="103">
        <f>IF(LLM_Data_Entry!AJ101="","",LLM_Data_Entry!AJ101)</f>
        <v/>
      </c>
      <c r="M103" s="103">
        <f>IF(LLM_Data_Entry!AV101="","",LLM_Data_Entry!AV101)</f>
        <v/>
      </c>
      <c r="N103" s="103">
        <f>IF(LLM_Data_Entry!AW101="","",LLM_Data_Entry!AW101)</f>
        <v/>
      </c>
      <c r="O103" s="103">
        <f>IF(LLM_Data_Entry!AX101="","",LLM_Data_Entry!AX101)</f>
        <v/>
      </c>
      <c r="P103" s="103">
        <f>IF(LLM_Data_Entry!AY101="","",LLM_Data_Entry!AY101)</f>
        <v/>
      </c>
      <c r="Q103" s="103">
        <f>IF(LLM_Data_Entry!AZ101="","",LLM_Data_Entry!AZ101)</f>
        <v/>
      </c>
      <c r="R103" s="103">
        <f>IF(LLM_Data_Entry!AK101="","",LLM_Data_Entry!AK101)</f>
        <v/>
      </c>
      <c r="S103" s="103">
        <f>IF(LLM_Data_Entry!AL101="","",LLM_Data_Entry!AL101)</f>
        <v/>
      </c>
      <c r="T103" s="103">
        <f>IF(LLM_Data_Entry!BA101="","",LLM_Data_Entry!BA101)</f>
        <v/>
      </c>
      <c r="U103" s="103">
        <f>IF(LLM_Data_Entry!BB101="","",LLM_Data_Entry!BB101)</f>
        <v/>
      </c>
      <c r="V103" s="106">
        <f>IF(LLM_Data_Entry!O101="","",LLM_Data_Entry!O101)</f>
        <v/>
      </c>
    </row>
    <row r="104" ht="15" customHeight="1" s="241">
      <c r="A104" s="103">
        <f>IF(LLM_Data_Entry!A102="","",LLM_Data_Entry!A102)</f>
        <v/>
      </c>
      <c r="B104" s="103">
        <f>IF(LLM_Data_Entry!B102="","",LLM_Data_Entry!B102)</f>
        <v/>
      </c>
      <c r="C104" s="104">
        <f>IF(LLM_Data_Entry!C102="","",LLM_Data_Entry!C102)</f>
        <v/>
      </c>
      <c r="D104" s="103">
        <f>IF(LLM_Data_Entry!D102="","",LLM_Data_Entry!D102)</f>
        <v/>
      </c>
      <c r="E104" s="103">
        <f>IF(LLM_Data_Entry!V102="","",LLM_Data_Entry!V102)</f>
        <v/>
      </c>
      <c r="F104" s="103">
        <f>IF(LLM_Data_Entry!AS102="","",LLM_Data_Entry!AS102)</f>
        <v/>
      </c>
      <c r="G104" s="103">
        <f>IF(LLM_Data_Entry!AG102="","",LLM_Data_Entry!AG102)</f>
        <v/>
      </c>
      <c r="H104" s="103">
        <f>IF(LLM_Data_Entry!AT102="","",LLM_Data_Entry!AT102)</f>
        <v/>
      </c>
      <c r="I104" s="103">
        <f>IF(LLM_Data_Entry!AU102="","",LLM_Data_Entry!AU102)</f>
        <v/>
      </c>
      <c r="J104" s="103">
        <f>IF(LLM_Data_Entry!AH102="","",LLM_Data_Entry!AH102)</f>
        <v/>
      </c>
      <c r="K104" s="103">
        <f>IF(LLM_Data_Entry!AI102="","",LLM_Data_Entry!AI102)</f>
        <v/>
      </c>
      <c r="L104" s="103">
        <f>IF(LLM_Data_Entry!AJ102="","",LLM_Data_Entry!AJ102)</f>
        <v/>
      </c>
      <c r="M104" s="103">
        <f>IF(LLM_Data_Entry!AV102="","",LLM_Data_Entry!AV102)</f>
        <v/>
      </c>
      <c r="N104" s="103">
        <f>IF(LLM_Data_Entry!AW102="","",LLM_Data_Entry!AW102)</f>
        <v/>
      </c>
      <c r="O104" s="103">
        <f>IF(LLM_Data_Entry!AX102="","",LLM_Data_Entry!AX102)</f>
        <v/>
      </c>
      <c r="P104" s="103">
        <f>IF(LLM_Data_Entry!AY102="","",LLM_Data_Entry!AY102)</f>
        <v/>
      </c>
      <c r="Q104" s="103">
        <f>IF(LLM_Data_Entry!AZ102="","",LLM_Data_Entry!AZ102)</f>
        <v/>
      </c>
      <c r="R104" s="103">
        <f>IF(LLM_Data_Entry!AK102="","",LLM_Data_Entry!AK102)</f>
        <v/>
      </c>
      <c r="S104" s="103">
        <f>IF(LLM_Data_Entry!AL102="","",LLM_Data_Entry!AL102)</f>
        <v/>
      </c>
      <c r="T104" s="103">
        <f>IF(LLM_Data_Entry!BA102="","",LLM_Data_Entry!BA102)</f>
        <v/>
      </c>
      <c r="U104" s="103">
        <f>IF(LLM_Data_Entry!BB102="","",LLM_Data_Entry!BB102)</f>
        <v/>
      </c>
      <c r="V104" s="106">
        <f>IF(LLM_Data_Entry!O102="","",LLM_Data_Entry!O102)</f>
        <v/>
      </c>
    </row>
    <row r="105" ht="15" customHeight="1" s="241">
      <c r="A105" s="103">
        <f>IF(LLM_Data_Entry!A103="","",LLM_Data_Entry!A103)</f>
        <v/>
      </c>
      <c r="B105" s="103">
        <f>IF(LLM_Data_Entry!B103="","",LLM_Data_Entry!B103)</f>
        <v/>
      </c>
      <c r="C105" s="104">
        <f>IF(LLM_Data_Entry!C103="","",LLM_Data_Entry!C103)</f>
        <v/>
      </c>
      <c r="D105" s="103">
        <f>IF(LLM_Data_Entry!D103="","",LLM_Data_Entry!D103)</f>
        <v/>
      </c>
      <c r="E105" s="103">
        <f>IF(LLM_Data_Entry!V103="","",LLM_Data_Entry!V103)</f>
        <v/>
      </c>
      <c r="F105" s="103">
        <f>IF(LLM_Data_Entry!AS103="","",LLM_Data_Entry!AS103)</f>
        <v/>
      </c>
      <c r="G105" s="103">
        <f>IF(LLM_Data_Entry!AG103="","",LLM_Data_Entry!AG103)</f>
        <v/>
      </c>
      <c r="H105" s="103">
        <f>IF(LLM_Data_Entry!AT103="","",LLM_Data_Entry!AT103)</f>
        <v/>
      </c>
      <c r="I105" s="103">
        <f>IF(LLM_Data_Entry!AU103="","",LLM_Data_Entry!AU103)</f>
        <v/>
      </c>
      <c r="J105" s="103">
        <f>IF(LLM_Data_Entry!AH103="","",LLM_Data_Entry!AH103)</f>
        <v/>
      </c>
      <c r="K105" s="103">
        <f>IF(LLM_Data_Entry!AI103="","",LLM_Data_Entry!AI103)</f>
        <v/>
      </c>
      <c r="L105" s="103">
        <f>IF(LLM_Data_Entry!AJ103="","",LLM_Data_Entry!AJ103)</f>
        <v/>
      </c>
      <c r="M105" s="103">
        <f>IF(LLM_Data_Entry!AV103="","",LLM_Data_Entry!AV103)</f>
        <v/>
      </c>
      <c r="N105" s="103">
        <f>IF(LLM_Data_Entry!AW103="","",LLM_Data_Entry!AW103)</f>
        <v/>
      </c>
      <c r="O105" s="103">
        <f>IF(LLM_Data_Entry!AX103="","",LLM_Data_Entry!AX103)</f>
        <v/>
      </c>
      <c r="P105" s="103">
        <f>IF(LLM_Data_Entry!AY103="","",LLM_Data_Entry!AY103)</f>
        <v/>
      </c>
      <c r="Q105" s="103">
        <f>IF(LLM_Data_Entry!AZ103="","",LLM_Data_Entry!AZ103)</f>
        <v/>
      </c>
      <c r="R105" s="103">
        <f>IF(LLM_Data_Entry!AK103="","",LLM_Data_Entry!AK103)</f>
        <v/>
      </c>
      <c r="S105" s="103">
        <f>IF(LLM_Data_Entry!AL103="","",LLM_Data_Entry!AL103)</f>
        <v/>
      </c>
      <c r="T105" s="103">
        <f>IF(LLM_Data_Entry!BA103="","",LLM_Data_Entry!BA103)</f>
        <v/>
      </c>
      <c r="U105" s="103">
        <f>IF(LLM_Data_Entry!BB103="","",LLM_Data_Entry!BB103)</f>
        <v/>
      </c>
      <c r="V105" s="106">
        <f>IF(LLM_Data_Entry!O103="","",LLM_Data_Entry!O103)</f>
        <v/>
      </c>
    </row>
    <row r="106" ht="15" customHeight="1" s="241">
      <c r="A106" s="103">
        <f>IF(LLM_Data_Entry!A104="","",LLM_Data_Entry!A104)</f>
        <v/>
      </c>
      <c r="B106" s="103">
        <f>IF(LLM_Data_Entry!B104="","",LLM_Data_Entry!B104)</f>
        <v/>
      </c>
      <c r="C106" s="104">
        <f>IF(LLM_Data_Entry!C104="","",LLM_Data_Entry!C104)</f>
        <v/>
      </c>
      <c r="D106" s="103">
        <f>IF(LLM_Data_Entry!D104="","",LLM_Data_Entry!D104)</f>
        <v/>
      </c>
      <c r="E106" s="103">
        <f>IF(LLM_Data_Entry!V104="","",LLM_Data_Entry!V104)</f>
        <v/>
      </c>
      <c r="F106" s="103">
        <f>IF(LLM_Data_Entry!AS104="","",LLM_Data_Entry!AS104)</f>
        <v/>
      </c>
      <c r="G106" s="103">
        <f>IF(LLM_Data_Entry!AG104="","",LLM_Data_Entry!AG104)</f>
        <v/>
      </c>
      <c r="H106" s="103">
        <f>IF(LLM_Data_Entry!AT104="","",LLM_Data_Entry!AT104)</f>
        <v/>
      </c>
      <c r="I106" s="103">
        <f>IF(LLM_Data_Entry!AU104="","",LLM_Data_Entry!AU104)</f>
        <v/>
      </c>
      <c r="J106" s="103">
        <f>IF(LLM_Data_Entry!AH104="","",LLM_Data_Entry!AH104)</f>
        <v/>
      </c>
      <c r="K106" s="103">
        <f>IF(LLM_Data_Entry!AI104="","",LLM_Data_Entry!AI104)</f>
        <v/>
      </c>
      <c r="L106" s="103">
        <f>IF(LLM_Data_Entry!AJ104="","",LLM_Data_Entry!AJ104)</f>
        <v/>
      </c>
      <c r="M106" s="103">
        <f>IF(LLM_Data_Entry!AV104="","",LLM_Data_Entry!AV104)</f>
        <v/>
      </c>
      <c r="N106" s="103">
        <f>IF(LLM_Data_Entry!AW104="","",LLM_Data_Entry!AW104)</f>
        <v/>
      </c>
      <c r="O106" s="103">
        <f>IF(LLM_Data_Entry!AX104="","",LLM_Data_Entry!AX104)</f>
        <v/>
      </c>
      <c r="P106" s="103">
        <f>IF(LLM_Data_Entry!AY104="","",LLM_Data_Entry!AY104)</f>
        <v/>
      </c>
      <c r="Q106" s="103">
        <f>IF(LLM_Data_Entry!AZ104="","",LLM_Data_Entry!AZ104)</f>
        <v/>
      </c>
      <c r="R106" s="103">
        <f>IF(LLM_Data_Entry!AK104="","",LLM_Data_Entry!AK104)</f>
        <v/>
      </c>
      <c r="S106" s="103">
        <f>IF(LLM_Data_Entry!AL104="","",LLM_Data_Entry!AL104)</f>
        <v/>
      </c>
      <c r="T106" s="103">
        <f>IF(LLM_Data_Entry!BA104="","",LLM_Data_Entry!BA104)</f>
        <v/>
      </c>
      <c r="U106" s="103">
        <f>IF(LLM_Data_Entry!BB104="","",LLM_Data_Entry!BB104)</f>
        <v/>
      </c>
      <c r="V106" s="106">
        <f>IF(LLM_Data_Entry!O104="","",LLM_Data_Entry!O104)</f>
        <v/>
      </c>
    </row>
    <row r="107" ht="15" customHeight="1" s="241">
      <c r="A107" s="103">
        <f>IF(LLM_Data_Entry!A105="","",LLM_Data_Entry!A105)</f>
        <v/>
      </c>
      <c r="B107" s="103">
        <f>IF(LLM_Data_Entry!B105="","",LLM_Data_Entry!B105)</f>
        <v/>
      </c>
      <c r="C107" s="104">
        <f>IF(LLM_Data_Entry!C105="","",LLM_Data_Entry!C105)</f>
        <v/>
      </c>
      <c r="D107" s="103">
        <f>IF(LLM_Data_Entry!D105="","",LLM_Data_Entry!D105)</f>
        <v/>
      </c>
      <c r="E107" s="103">
        <f>IF(LLM_Data_Entry!V105="","",LLM_Data_Entry!V105)</f>
        <v/>
      </c>
      <c r="F107" s="103">
        <f>IF(LLM_Data_Entry!AS105="","",LLM_Data_Entry!AS105)</f>
        <v/>
      </c>
      <c r="G107" s="103">
        <f>IF(LLM_Data_Entry!AG105="","",LLM_Data_Entry!AG105)</f>
        <v/>
      </c>
      <c r="H107" s="103">
        <f>IF(LLM_Data_Entry!AT105="","",LLM_Data_Entry!AT105)</f>
        <v/>
      </c>
      <c r="I107" s="103">
        <f>IF(LLM_Data_Entry!AU105="","",LLM_Data_Entry!AU105)</f>
        <v/>
      </c>
      <c r="J107" s="103">
        <f>IF(LLM_Data_Entry!AH105="","",LLM_Data_Entry!AH105)</f>
        <v/>
      </c>
      <c r="K107" s="103">
        <f>IF(LLM_Data_Entry!AI105="","",LLM_Data_Entry!AI105)</f>
        <v/>
      </c>
      <c r="L107" s="103">
        <f>IF(LLM_Data_Entry!AJ105="","",LLM_Data_Entry!AJ105)</f>
        <v/>
      </c>
      <c r="M107" s="103">
        <f>IF(LLM_Data_Entry!AV105="","",LLM_Data_Entry!AV105)</f>
        <v/>
      </c>
      <c r="N107" s="103">
        <f>IF(LLM_Data_Entry!AW105="","",LLM_Data_Entry!AW105)</f>
        <v/>
      </c>
      <c r="O107" s="103">
        <f>IF(LLM_Data_Entry!AX105="","",LLM_Data_Entry!AX105)</f>
        <v/>
      </c>
      <c r="P107" s="103">
        <f>IF(LLM_Data_Entry!AY105="","",LLM_Data_Entry!AY105)</f>
        <v/>
      </c>
      <c r="Q107" s="103">
        <f>IF(LLM_Data_Entry!AZ105="","",LLM_Data_Entry!AZ105)</f>
        <v/>
      </c>
      <c r="R107" s="103">
        <f>IF(LLM_Data_Entry!AK105="","",LLM_Data_Entry!AK105)</f>
        <v/>
      </c>
      <c r="S107" s="103">
        <f>IF(LLM_Data_Entry!AL105="","",LLM_Data_Entry!AL105)</f>
        <v/>
      </c>
      <c r="T107" s="103">
        <f>IF(LLM_Data_Entry!BA105="","",LLM_Data_Entry!BA105)</f>
        <v/>
      </c>
      <c r="U107" s="103">
        <f>IF(LLM_Data_Entry!BB105="","",LLM_Data_Entry!BB105)</f>
        <v/>
      </c>
      <c r="V107" s="106">
        <f>IF(LLM_Data_Entry!O105="","",LLM_Data_Entry!O105)</f>
        <v/>
      </c>
    </row>
    <row r="108" ht="15" customHeight="1" s="241">
      <c r="A108" s="103">
        <f>IF(LLM_Data_Entry!A106="","",LLM_Data_Entry!A106)</f>
        <v/>
      </c>
      <c r="B108" s="103">
        <f>IF(LLM_Data_Entry!B106="","",LLM_Data_Entry!B106)</f>
        <v/>
      </c>
      <c r="C108" s="104">
        <f>IF(LLM_Data_Entry!C106="","",LLM_Data_Entry!C106)</f>
        <v/>
      </c>
      <c r="D108" s="103">
        <f>IF(LLM_Data_Entry!D106="","",LLM_Data_Entry!D106)</f>
        <v/>
      </c>
      <c r="E108" s="103">
        <f>IF(LLM_Data_Entry!V106="","",LLM_Data_Entry!V106)</f>
        <v/>
      </c>
      <c r="F108" s="103">
        <f>IF(LLM_Data_Entry!AS106="","",LLM_Data_Entry!AS106)</f>
        <v/>
      </c>
      <c r="G108" s="103">
        <f>IF(LLM_Data_Entry!AG106="","",LLM_Data_Entry!AG106)</f>
        <v/>
      </c>
      <c r="H108" s="103">
        <f>IF(LLM_Data_Entry!AT106="","",LLM_Data_Entry!AT106)</f>
        <v/>
      </c>
      <c r="I108" s="103">
        <f>IF(LLM_Data_Entry!AU106="","",LLM_Data_Entry!AU106)</f>
        <v/>
      </c>
      <c r="J108" s="103">
        <f>IF(LLM_Data_Entry!AH106="","",LLM_Data_Entry!AH106)</f>
        <v/>
      </c>
      <c r="K108" s="103">
        <f>IF(LLM_Data_Entry!AI106="","",LLM_Data_Entry!AI106)</f>
        <v/>
      </c>
      <c r="L108" s="103">
        <f>IF(LLM_Data_Entry!AJ106="","",LLM_Data_Entry!AJ106)</f>
        <v/>
      </c>
      <c r="M108" s="103">
        <f>IF(LLM_Data_Entry!AV106="","",LLM_Data_Entry!AV106)</f>
        <v/>
      </c>
      <c r="N108" s="103">
        <f>IF(LLM_Data_Entry!AW106="","",LLM_Data_Entry!AW106)</f>
        <v/>
      </c>
      <c r="O108" s="103">
        <f>IF(LLM_Data_Entry!AX106="","",LLM_Data_Entry!AX106)</f>
        <v/>
      </c>
      <c r="P108" s="103">
        <f>IF(LLM_Data_Entry!AY106="","",LLM_Data_Entry!AY106)</f>
        <v/>
      </c>
      <c r="Q108" s="103">
        <f>IF(LLM_Data_Entry!AZ106="","",LLM_Data_Entry!AZ106)</f>
        <v/>
      </c>
      <c r="R108" s="103">
        <f>IF(LLM_Data_Entry!AK106="","",LLM_Data_Entry!AK106)</f>
        <v/>
      </c>
      <c r="S108" s="103">
        <f>IF(LLM_Data_Entry!AL106="","",LLM_Data_Entry!AL106)</f>
        <v/>
      </c>
      <c r="T108" s="103">
        <f>IF(LLM_Data_Entry!BA106="","",LLM_Data_Entry!BA106)</f>
        <v/>
      </c>
      <c r="U108" s="103">
        <f>IF(LLM_Data_Entry!BB106="","",LLM_Data_Entry!BB106)</f>
        <v/>
      </c>
      <c r="V108" s="106">
        <f>IF(LLM_Data_Entry!O106="","",LLM_Data_Entry!O106)</f>
        <v/>
      </c>
    </row>
    <row r="109" ht="15" customHeight="1" s="241">
      <c r="A109" s="103">
        <f>IF(LLM_Data_Entry!A107="","",LLM_Data_Entry!A107)</f>
        <v/>
      </c>
      <c r="B109" s="103">
        <f>IF(LLM_Data_Entry!B107="","",LLM_Data_Entry!B107)</f>
        <v/>
      </c>
      <c r="C109" s="104">
        <f>IF(LLM_Data_Entry!C107="","",LLM_Data_Entry!C107)</f>
        <v/>
      </c>
      <c r="D109" s="103">
        <f>IF(LLM_Data_Entry!D107="","",LLM_Data_Entry!D107)</f>
        <v/>
      </c>
      <c r="E109" s="103">
        <f>IF(LLM_Data_Entry!V107="","",LLM_Data_Entry!V107)</f>
        <v/>
      </c>
      <c r="F109" s="103">
        <f>IF(LLM_Data_Entry!AS107="","",LLM_Data_Entry!AS107)</f>
        <v/>
      </c>
      <c r="G109" s="103">
        <f>IF(LLM_Data_Entry!AG107="","",LLM_Data_Entry!AG107)</f>
        <v/>
      </c>
      <c r="H109" s="103">
        <f>IF(LLM_Data_Entry!AT107="","",LLM_Data_Entry!AT107)</f>
        <v/>
      </c>
      <c r="I109" s="103">
        <f>IF(LLM_Data_Entry!AU107="","",LLM_Data_Entry!AU107)</f>
        <v/>
      </c>
      <c r="J109" s="103">
        <f>IF(LLM_Data_Entry!AH107="","",LLM_Data_Entry!AH107)</f>
        <v/>
      </c>
      <c r="K109" s="103">
        <f>IF(LLM_Data_Entry!AI107="","",LLM_Data_Entry!AI107)</f>
        <v/>
      </c>
      <c r="L109" s="103">
        <f>IF(LLM_Data_Entry!AJ107="","",LLM_Data_Entry!AJ107)</f>
        <v/>
      </c>
      <c r="M109" s="103">
        <f>IF(LLM_Data_Entry!AV107="","",LLM_Data_Entry!AV107)</f>
        <v/>
      </c>
      <c r="N109" s="103">
        <f>IF(LLM_Data_Entry!AW107="","",LLM_Data_Entry!AW107)</f>
        <v/>
      </c>
      <c r="O109" s="103">
        <f>IF(LLM_Data_Entry!AX107="","",LLM_Data_Entry!AX107)</f>
        <v/>
      </c>
      <c r="P109" s="103">
        <f>IF(LLM_Data_Entry!AY107="","",LLM_Data_Entry!AY107)</f>
        <v/>
      </c>
      <c r="Q109" s="103">
        <f>IF(LLM_Data_Entry!AZ107="","",LLM_Data_Entry!AZ107)</f>
        <v/>
      </c>
      <c r="R109" s="103">
        <f>IF(LLM_Data_Entry!AK107="","",LLM_Data_Entry!AK107)</f>
        <v/>
      </c>
      <c r="S109" s="103">
        <f>IF(LLM_Data_Entry!AL107="","",LLM_Data_Entry!AL107)</f>
        <v/>
      </c>
      <c r="T109" s="103">
        <f>IF(LLM_Data_Entry!BA107="","",LLM_Data_Entry!BA107)</f>
        <v/>
      </c>
      <c r="U109" s="103">
        <f>IF(LLM_Data_Entry!BB107="","",LLM_Data_Entry!BB107)</f>
        <v/>
      </c>
      <c r="V109" s="106">
        <f>IF(LLM_Data_Entry!O107="","",LLM_Data_Entry!O107)</f>
        <v/>
      </c>
    </row>
    <row r="110" ht="15" customHeight="1" s="241">
      <c r="A110" s="103">
        <f>IF(LLM_Data_Entry!A108="","",LLM_Data_Entry!A108)</f>
        <v/>
      </c>
      <c r="B110" s="103">
        <f>IF(LLM_Data_Entry!B108="","",LLM_Data_Entry!B108)</f>
        <v/>
      </c>
      <c r="C110" s="104">
        <f>IF(LLM_Data_Entry!C108="","",LLM_Data_Entry!C108)</f>
        <v/>
      </c>
      <c r="D110" s="103">
        <f>IF(LLM_Data_Entry!D108="","",LLM_Data_Entry!D108)</f>
        <v/>
      </c>
      <c r="E110" s="103">
        <f>IF(LLM_Data_Entry!V108="","",LLM_Data_Entry!V108)</f>
        <v/>
      </c>
      <c r="F110" s="103">
        <f>IF(LLM_Data_Entry!AS108="","",LLM_Data_Entry!AS108)</f>
        <v/>
      </c>
      <c r="G110" s="103">
        <f>IF(LLM_Data_Entry!AG108="","",LLM_Data_Entry!AG108)</f>
        <v/>
      </c>
      <c r="H110" s="103">
        <f>IF(LLM_Data_Entry!AT108="","",LLM_Data_Entry!AT108)</f>
        <v/>
      </c>
      <c r="I110" s="103">
        <f>IF(LLM_Data_Entry!AU108="","",LLM_Data_Entry!AU108)</f>
        <v/>
      </c>
      <c r="J110" s="103">
        <f>IF(LLM_Data_Entry!AH108="","",LLM_Data_Entry!AH108)</f>
        <v/>
      </c>
      <c r="K110" s="103">
        <f>IF(LLM_Data_Entry!AI108="","",LLM_Data_Entry!AI108)</f>
        <v/>
      </c>
      <c r="L110" s="103">
        <f>IF(LLM_Data_Entry!AJ108="","",LLM_Data_Entry!AJ108)</f>
        <v/>
      </c>
      <c r="M110" s="103">
        <f>IF(LLM_Data_Entry!AV108="","",LLM_Data_Entry!AV108)</f>
        <v/>
      </c>
      <c r="N110" s="103">
        <f>IF(LLM_Data_Entry!AW108="","",LLM_Data_Entry!AW108)</f>
        <v/>
      </c>
      <c r="O110" s="103">
        <f>IF(LLM_Data_Entry!AX108="","",LLM_Data_Entry!AX108)</f>
        <v/>
      </c>
      <c r="P110" s="103">
        <f>IF(LLM_Data_Entry!AY108="","",LLM_Data_Entry!AY108)</f>
        <v/>
      </c>
      <c r="Q110" s="103">
        <f>IF(LLM_Data_Entry!AZ108="","",LLM_Data_Entry!AZ108)</f>
        <v/>
      </c>
      <c r="R110" s="103">
        <f>IF(LLM_Data_Entry!AK108="","",LLM_Data_Entry!AK108)</f>
        <v/>
      </c>
      <c r="S110" s="103">
        <f>IF(LLM_Data_Entry!AL108="","",LLM_Data_Entry!AL108)</f>
        <v/>
      </c>
      <c r="T110" s="103">
        <f>IF(LLM_Data_Entry!BA108="","",LLM_Data_Entry!BA108)</f>
        <v/>
      </c>
      <c r="U110" s="103">
        <f>IF(LLM_Data_Entry!BB108="","",LLM_Data_Entry!BB108)</f>
        <v/>
      </c>
      <c r="V110" s="106">
        <f>IF(LLM_Data_Entry!O108="","",LLM_Data_Entry!O108)</f>
        <v/>
      </c>
    </row>
    <row r="111" ht="15" customHeight="1" s="241">
      <c r="A111" s="103">
        <f>IF(LLM_Data_Entry!A109="","",LLM_Data_Entry!A109)</f>
        <v/>
      </c>
      <c r="B111" s="103">
        <f>IF(LLM_Data_Entry!B109="","",LLM_Data_Entry!B109)</f>
        <v/>
      </c>
      <c r="C111" s="104">
        <f>IF(LLM_Data_Entry!C109="","",LLM_Data_Entry!C109)</f>
        <v/>
      </c>
      <c r="D111" s="103">
        <f>IF(LLM_Data_Entry!D109="","",LLM_Data_Entry!D109)</f>
        <v/>
      </c>
      <c r="E111" s="103">
        <f>IF(LLM_Data_Entry!V109="","",LLM_Data_Entry!V109)</f>
        <v/>
      </c>
      <c r="F111" s="103">
        <f>IF(LLM_Data_Entry!AS109="","",LLM_Data_Entry!AS109)</f>
        <v/>
      </c>
      <c r="G111" s="103">
        <f>IF(LLM_Data_Entry!AG109="","",LLM_Data_Entry!AG109)</f>
        <v/>
      </c>
      <c r="H111" s="103">
        <f>IF(LLM_Data_Entry!AT109="","",LLM_Data_Entry!AT109)</f>
        <v/>
      </c>
      <c r="I111" s="103">
        <f>IF(LLM_Data_Entry!AU109="","",LLM_Data_Entry!AU109)</f>
        <v/>
      </c>
      <c r="J111" s="103">
        <f>IF(LLM_Data_Entry!AH109="","",LLM_Data_Entry!AH109)</f>
        <v/>
      </c>
      <c r="K111" s="103">
        <f>IF(LLM_Data_Entry!AI109="","",LLM_Data_Entry!AI109)</f>
        <v/>
      </c>
      <c r="L111" s="103">
        <f>IF(LLM_Data_Entry!AJ109="","",LLM_Data_Entry!AJ109)</f>
        <v/>
      </c>
      <c r="M111" s="103">
        <f>IF(LLM_Data_Entry!AV109="","",LLM_Data_Entry!AV109)</f>
        <v/>
      </c>
      <c r="N111" s="103">
        <f>IF(LLM_Data_Entry!AW109="","",LLM_Data_Entry!AW109)</f>
        <v/>
      </c>
      <c r="O111" s="103">
        <f>IF(LLM_Data_Entry!AX109="","",LLM_Data_Entry!AX109)</f>
        <v/>
      </c>
      <c r="P111" s="103">
        <f>IF(LLM_Data_Entry!AY109="","",LLM_Data_Entry!AY109)</f>
        <v/>
      </c>
      <c r="Q111" s="103">
        <f>IF(LLM_Data_Entry!AZ109="","",LLM_Data_Entry!AZ109)</f>
        <v/>
      </c>
      <c r="R111" s="103">
        <f>IF(LLM_Data_Entry!AK109="","",LLM_Data_Entry!AK109)</f>
        <v/>
      </c>
      <c r="S111" s="103">
        <f>IF(LLM_Data_Entry!AL109="","",LLM_Data_Entry!AL109)</f>
        <v/>
      </c>
      <c r="T111" s="103">
        <f>IF(LLM_Data_Entry!BA109="","",LLM_Data_Entry!BA109)</f>
        <v/>
      </c>
      <c r="U111" s="103">
        <f>IF(LLM_Data_Entry!BB109="","",LLM_Data_Entry!BB109)</f>
        <v/>
      </c>
      <c r="V111" s="106">
        <f>IF(LLM_Data_Entry!O109="","",LLM_Data_Entry!O109)</f>
        <v/>
      </c>
    </row>
    <row r="112" ht="15" customHeight="1" s="241">
      <c r="A112" s="103">
        <f>IF(LLM_Data_Entry!A110="","",LLM_Data_Entry!A110)</f>
        <v/>
      </c>
      <c r="B112" s="103">
        <f>IF(LLM_Data_Entry!B110="","",LLM_Data_Entry!B110)</f>
        <v/>
      </c>
      <c r="C112" s="104">
        <f>IF(LLM_Data_Entry!C110="","",LLM_Data_Entry!C110)</f>
        <v/>
      </c>
      <c r="D112" s="103">
        <f>IF(LLM_Data_Entry!D110="","",LLM_Data_Entry!D110)</f>
        <v/>
      </c>
      <c r="E112" s="103">
        <f>IF(LLM_Data_Entry!V110="","",LLM_Data_Entry!V110)</f>
        <v/>
      </c>
      <c r="F112" s="103">
        <f>IF(LLM_Data_Entry!AS110="","",LLM_Data_Entry!AS110)</f>
        <v/>
      </c>
      <c r="G112" s="103">
        <f>IF(LLM_Data_Entry!AG110="","",LLM_Data_Entry!AG110)</f>
        <v/>
      </c>
      <c r="H112" s="103">
        <f>IF(LLM_Data_Entry!AT110="","",LLM_Data_Entry!AT110)</f>
        <v/>
      </c>
      <c r="I112" s="103">
        <f>IF(LLM_Data_Entry!AU110="","",LLM_Data_Entry!AU110)</f>
        <v/>
      </c>
      <c r="J112" s="103">
        <f>IF(LLM_Data_Entry!AH110="","",LLM_Data_Entry!AH110)</f>
        <v/>
      </c>
      <c r="K112" s="103">
        <f>IF(LLM_Data_Entry!AI110="","",LLM_Data_Entry!AI110)</f>
        <v/>
      </c>
      <c r="L112" s="103">
        <f>IF(LLM_Data_Entry!AJ110="","",LLM_Data_Entry!AJ110)</f>
        <v/>
      </c>
      <c r="M112" s="103">
        <f>IF(LLM_Data_Entry!AV110="","",LLM_Data_Entry!AV110)</f>
        <v/>
      </c>
      <c r="N112" s="103">
        <f>IF(LLM_Data_Entry!AW110="","",LLM_Data_Entry!AW110)</f>
        <v/>
      </c>
      <c r="O112" s="103">
        <f>IF(LLM_Data_Entry!AX110="","",LLM_Data_Entry!AX110)</f>
        <v/>
      </c>
      <c r="P112" s="103">
        <f>IF(LLM_Data_Entry!AY110="","",LLM_Data_Entry!AY110)</f>
        <v/>
      </c>
      <c r="Q112" s="103">
        <f>IF(LLM_Data_Entry!AZ110="","",LLM_Data_Entry!AZ110)</f>
        <v/>
      </c>
      <c r="R112" s="103">
        <f>IF(LLM_Data_Entry!AK110="","",LLM_Data_Entry!AK110)</f>
        <v/>
      </c>
      <c r="S112" s="103">
        <f>IF(LLM_Data_Entry!AL110="","",LLM_Data_Entry!AL110)</f>
        <v/>
      </c>
      <c r="T112" s="103">
        <f>IF(LLM_Data_Entry!BA110="","",LLM_Data_Entry!BA110)</f>
        <v/>
      </c>
      <c r="U112" s="103">
        <f>IF(LLM_Data_Entry!BB110="","",LLM_Data_Entry!BB110)</f>
        <v/>
      </c>
      <c r="V112" s="106">
        <f>IF(LLM_Data_Entry!O110="","",LLM_Data_Entry!O110)</f>
        <v/>
      </c>
    </row>
    <row r="113" ht="15" customHeight="1" s="241">
      <c r="A113" s="103">
        <f>IF(LLM_Data_Entry!A111="","",LLM_Data_Entry!A111)</f>
        <v/>
      </c>
      <c r="B113" s="103">
        <f>IF(LLM_Data_Entry!B111="","",LLM_Data_Entry!B111)</f>
        <v/>
      </c>
      <c r="C113" s="104">
        <f>IF(LLM_Data_Entry!C111="","",LLM_Data_Entry!C111)</f>
        <v/>
      </c>
      <c r="D113" s="103">
        <f>IF(LLM_Data_Entry!D111="","",LLM_Data_Entry!D111)</f>
        <v/>
      </c>
      <c r="E113" s="103">
        <f>IF(LLM_Data_Entry!V111="","",LLM_Data_Entry!V111)</f>
        <v/>
      </c>
      <c r="F113" s="103">
        <f>IF(LLM_Data_Entry!AS111="","",LLM_Data_Entry!AS111)</f>
        <v/>
      </c>
      <c r="G113" s="103">
        <f>IF(LLM_Data_Entry!AG111="","",LLM_Data_Entry!AG111)</f>
        <v/>
      </c>
      <c r="H113" s="103">
        <f>IF(LLM_Data_Entry!AT111="","",LLM_Data_Entry!AT111)</f>
        <v/>
      </c>
      <c r="I113" s="103">
        <f>IF(LLM_Data_Entry!AU111="","",LLM_Data_Entry!AU111)</f>
        <v/>
      </c>
      <c r="J113" s="103">
        <f>IF(LLM_Data_Entry!AH111="","",LLM_Data_Entry!AH111)</f>
        <v/>
      </c>
      <c r="K113" s="103">
        <f>IF(LLM_Data_Entry!AI111="","",LLM_Data_Entry!AI111)</f>
        <v/>
      </c>
      <c r="L113" s="103">
        <f>IF(LLM_Data_Entry!AJ111="","",LLM_Data_Entry!AJ111)</f>
        <v/>
      </c>
      <c r="M113" s="103">
        <f>IF(LLM_Data_Entry!AV111="","",LLM_Data_Entry!AV111)</f>
        <v/>
      </c>
      <c r="N113" s="103">
        <f>IF(LLM_Data_Entry!AW111="","",LLM_Data_Entry!AW111)</f>
        <v/>
      </c>
      <c r="O113" s="103">
        <f>IF(LLM_Data_Entry!AX111="","",LLM_Data_Entry!AX111)</f>
        <v/>
      </c>
      <c r="P113" s="103">
        <f>IF(LLM_Data_Entry!AY111="","",LLM_Data_Entry!AY111)</f>
        <v/>
      </c>
      <c r="Q113" s="103">
        <f>IF(LLM_Data_Entry!AZ111="","",LLM_Data_Entry!AZ111)</f>
        <v/>
      </c>
      <c r="R113" s="103">
        <f>IF(LLM_Data_Entry!AK111="","",LLM_Data_Entry!AK111)</f>
        <v/>
      </c>
      <c r="S113" s="103">
        <f>IF(LLM_Data_Entry!AL111="","",LLM_Data_Entry!AL111)</f>
        <v/>
      </c>
      <c r="T113" s="103">
        <f>IF(LLM_Data_Entry!BA111="","",LLM_Data_Entry!BA111)</f>
        <v/>
      </c>
      <c r="U113" s="103">
        <f>IF(LLM_Data_Entry!BB111="","",LLM_Data_Entry!BB111)</f>
        <v/>
      </c>
      <c r="V113" s="106">
        <f>IF(LLM_Data_Entry!O111="","",LLM_Data_Entry!O111)</f>
        <v/>
      </c>
    </row>
    <row r="114" ht="15" customHeight="1" s="241">
      <c r="A114" s="103">
        <f>IF(LLM_Data_Entry!A112="","",LLM_Data_Entry!A112)</f>
        <v/>
      </c>
      <c r="B114" s="103">
        <f>IF(LLM_Data_Entry!B112="","",LLM_Data_Entry!B112)</f>
        <v/>
      </c>
      <c r="C114" s="104">
        <f>IF(LLM_Data_Entry!C112="","",LLM_Data_Entry!C112)</f>
        <v/>
      </c>
      <c r="D114" s="103">
        <f>IF(LLM_Data_Entry!D112="","",LLM_Data_Entry!D112)</f>
        <v/>
      </c>
      <c r="E114" s="103">
        <f>IF(LLM_Data_Entry!V112="","",LLM_Data_Entry!V112)</f>
        <v/>
      </c>
      <c r="F114" s="103">
        <f>IF(LLM_Data_Entry!AS112="","",LLM_Data_Entry!AS112)</f>
        <v/>
      </c>
      <c r="G114" s="103">
        <f>IF(LLM_Data_Entry!AG112="","",LLM_Data_Entry!AG112)</f>
        <v/>
      </c>
      <c r="H114" s="103">
        <f>IF(LLM_Data_Entry!AT112="","",LLM_Data_Entry!AT112)</f>
        <v/>
      </c>
      <c r="I114" s="103">
        <f>IF(LLM_Data_Entry!AU112="","",LLM_Data_Entry!AU112)</f>
        <v/>
      </c>
      <c r="J114" s="103">
        <f>IF(LLM_Data_Entry!AH112="","",LLM_Data_Entry!AH112)</f>
        <v/>
      </c>
      <c r="K114" s="103">
        <f>IF(LLM_Data_Entry!AI112="","",LLM_Data_Entry!AI112)</f>
        <v/>
      </c>
      <c r="L114" s="103">
        <f>IF(LLM_Data_Entry!AJ112="","",LLM_Data_Entry!AJ112)</f>
        <v/>
      </c>
      <c r="M114" s="103">
        <f>IF(LLM_Data_Entry!AV112="","",LLM_Data_Entry!AV112)</f>
        <v/>
      </c>
      <c r="N114" s="103">
        <f>IF(LLM_Data_Entry!AW112="","",LLM_Data_Entry!AW112)</f>
        <v/>
      </c>
      <c r="O114" s="103">
        <f>IF(LLM_Data_Entry!AX112="","",LLM_Data_Entry!AX112)</f>
        <v/>
      </c>
      <c r="P114" s="103">
        <f>IF(LLM_Data_Entry!AY112="","",LLM_Data_Entry!AY112)</f>
        <v/>
      </c>
      <c r="Q114" s="103">
        <f>IF(LLM_Data_Entry!AZ112="","",LLM_Data_Entry!AZ112)</f>
        <v/>
      </c>
      <c r="R114" s="103">
        <f>IF(LLM_Data_Entry!AK112="","",LLM_Data_Entry!AK112)</f>
        <v/>
      </c>
      <c r="S114" s="103">
        <f>IF(LLM_Data_Entry!AL112="","",LLM_Data_Entry!AL112)</f>
        <v/>
      </c>
      <c r="T114" s="103">
        <f>IF(LLM_Data_Entry!BA112="","",LLM_Data_Entry!BA112)</f>
        <v/>
      </c>
      <c r="U114" s="103">
        <f>IF(LLM_Data_Entry!BB112="","",LLM_Data_Entry!BB112)</f>
        <v/>
      </c>
      <c r="V114" s="106">
        <f>IF(LLM_Data_Entry!O112="","",LLM_Data_Entry!O112)</f>
        <v/>
      </c>
    </row>
    <row r="115" ht="15" customHeight="1" s="241">
      <c r="A115" s="103">
        <f>IF(LLM_Data_Entry!A113="","",LLM_Data_Entry!A113)</f>
        <v/>
      </c>
      <c r="B115" s="103">
        <f>IF(LLM_Data_Entry!B113="","",LLM_Data_Entry!B113)</f>
        <v/>
      </c>
      <c r="C115" s="104">
        <f>IF(LLM_Data_Entry!C113="","",LLM_Data_Entry!C113)</f>
        <v/>
      </c>
      <c r="D115" s="103">
        <f>IF(LLM_Data_Entry!D113="","",LLM_Data_Entry!D113)</f>
        <v/>
      </c>
      <c r="E115" s="103">
        <f>IF(LLM_Data_Entry!V113="","",LLM_Data_Entry!V113)</f>
        <v/>
      </c>
      <c r="F115" s="103">
        <f>IF(LLM_Data_Entry!AS113="","",LLM_Data_Entry!AS113)</f>
        <v/>
      </c>
      <c r="G115" s="103">
        <f>IF(LLM_Data_Entry!AG113="","",LLM_Data_Entry!AG113)</f>
        <v/>
      </c>
      <c r="H115" s="103">
        <f>IF(LLM_Data_Entry!AT113="","",LLM_Data_Entry!AT113)</f>
        <v/>
      </c>
      <c r="I115" s="103">
        <f>IF(LLM_Data_Entry!AU113="","",LLM_Data_Entry!AU113)</f>
        <v/>
      </c>
      <c r="J115" s="103">
        <f>IF(LLM_Data_Entry!AH113="","",LLM_Data_Entry!AH113)</f>
        <v/>
      </c>
      <c r="K115" s="103">
        <f>IF(LLM_Data_Entry!AI113="","",LLM_Data_Entry!AI113)</f>
        <v/>
      </c>
      <c r="L115" s="103">
        <f>IF(LLM_Data_Entry!AJ113="","",LLM_Data_Entry!AJ113)</f>
        <v/>
      </c>
      <c r="M115" s="103">
        <f>IF(LLM_Data_Entry!AV113="","",LLM_Data_Entry!AV113)</f>
        <v/>
      </c>
      <c r="N115" s="103">
        <f>IF(LLM_Data_Entry!AW113="","",LLM_Data_Entry!AW113)</f>
        <v/>
      </c>
      <c r="O115" s="103">
        <f>IF(LLM_Data_Entry!AX113="","",LLM_Data_Entry!AX113)</f>
        <v/>
      </c>
      <c r="P115" s="103">
        <f>IF(LLM_Data_Entry!AY113="","",LLM_Data_Entry!AY113)</f>
        <v/>
      </c>
      <c r="Q115" s="103">
        <f>IF(LLM_Data_Entry!AZ113="","",LLM_Data_Entry!AZ113)</f>
        <v/>
      </c>
      <c r="R115" s="103">
        <f>IF(LLM_Data_Entry!AK113="","",LLM_Data_Entry!AK113)</f>
        <v/>
      </c>
      <c r="S115" s="103">
        <f>IF(LLM_Data_Entry!AL113="","",LLM_Data_Entry!AL113)</f>
        <v/>
      </c>
      <c r="T115" s="103">
        <f>IF(LLM_Data_Entry!BA113="","",LLM_Data_Entry!BA113)</f>
        <v/>
      </c>
      <c r="U115" s="103">
        <f>IF(LLM_Data_Entry!BB113="","",LLM_Data_Entry!BB113)</f>
        <v/>
      </c>
      <c r="V115" s="106">
        <f>IF(LLM_Data_Entry!O113="","",LLM_Data_Entry!O113)</f>
        <v/>
      </c>
    </row>
    <row r="116" ht="15" customHeight="1" s="241">
      <c r="A116" s="103">
        <f>IF(LLM_Data_Entry!A114="","",LLM_Data_Entry!A114)</f>
        <v/>
      </c>
      <c r="B116" s="103">
        <f>IF(LLM_Data_Entry!B114="","",LLM_Data_Entry!B114)</f>
        <v/>
      </c>
      <c r="C116" s="104">
        <f>IF(LLM_Data_Entry!C114="","",LLM_Data_Entry!C114)</f>
        <v/>
      </c>
      <c r="D116" s="103">
        <f>IF(LLM_Data_Entry!D114="","",LLM_Data_Entry!D114)</f>
        <v/>
      </c>
      <c r="E116" s="103">
        <f>IF(LLM_Data_Entry!V114="","",LLM_Data_Entry!V114)</f>
        <v/>
      </c>
      <c r="F116" s="103">
        <f>IF(LLM_Data_Entry!AS114="","",LLM_Data_Entry!AS114)</f>
        <v/>
      </c>
      <c r="G116" s="103">
        <f>IF(LLM_Data_Entry!AG114="","",LLM_Data_Entry!AG114)</f>
        <v/>
      </c>
      <c r="H116" s="103">
        <f>IF(LLM_Data_Entry!AT114="","",LLM_Data_Entry!AT114)</f>
        <v/>
      </c>
      <c r="I116" s="103">
        <f>IF(LLM_Data_Entry!AU114="","",LLM_Data_Entry!AU114)</f>
        <v/>
      </c>
      <c r="J116" s="103">
        <f>IF(LLM_Data_Entry!AH114="","",LLM_Data_Entry!AH114)</f>
        <v/>
      </c>
      <c r="K116" s="103">
        <f>IF(LLM_Data_Entry!AI114="","",LLM_Data_Entry!AI114)</f>
        <v/>
      </c>
      <c r="L116" s="103">
        <f>IF(LLM_Data_Entry!AJ114="","",LLM_Data_Entry!AJ114)</f>
        <v/>
      </c>
      <c r="M116" s="103">
        <f>IF(LLM_Data_Entry!AV114="","",LLM_Data_Entry!AV114)</f>
        <v/>
      </c>
      <c r="N116" s="103">
        <f>IF(LLM_Data_Entry!AW114="","",LLM_Data_Entry!AW114)</f>
        <v/>
      </c>
      <c r="O116" s="103">
        <f>IF(LLM_Data_Entry!AX114="","",LLM_Data_Entry!AX114)</f>
        <v/>
      </c>
      <c r="P116" s="103">
        <f>IF(LLM_Data_Entry!AY114="","",LLM_Data_Entry!AY114)</f>
        <v/>
      </c>
      <c r="Q116" s="103">
        <f>IF(LLM_Data_Entry!AZ114="","",LLM_Data_Entry!AZ114)</f>
        <v/>
      </c>
      <c r="R116" s="103">
        <f>IF(LLM_Data_Entry!AK114="","",LLM_Data_Entry!AK114)</f>
        <v/>
      </c>
      <c r="S116" s="103">
        <f>IF(LLM_Data_Entry!AL114="","",LLM_Data_Entry!AL114)</f>
        <v/>
      </c>
      <c r="T116" s="103">
        <f>IF(LLM_Data_Entry!BA114="","",LLM_Data_Entry!BA114)</f>
        <v/>
      </c>
      <c r="U116" s="103">
        <f>IF(LLM_Data_Entry!BB114="","",LLM_Data_Entry!BB114)</f>
        <v/>
      </c>
      <c r="V116" s="106">
        <f>IF(LLM_Data_Entry!O114="","",LLM_Data_Entry!O114)</f>
        <v/>
      </c>
    </row>
    <row r="117" ht="15" customHeight="1" s="241">
      <c r="A117" s="103">
        <f>IF(LLM_Data_Entry!A115="","",LLM_Data_Entry!A115)</f>
        <v/>
      </c>
      <c r="B117" s="103">
        <f>IF(LLM_Data_Entry!B115="","",LLM_Data_Entry!B115)</f>
        <v/>
      </c>
      <c r="C117" s="104">
        <f>IF(LLM_Data_Entry!C115="","",LLM_Data_Entry!C115)</f>
        <v/>
      </c>
      <c r="D117" s="103">
        <f>IF(LLM_Data_Entry!D115="","",LLM_Data_Entry!D115)</f>
        <v/>
      </c>
      <c r="E117" s="103">
        <f>IF(LLM_Data_Entry!V115="","",LLM_Data_Entry!V115)</f>
        <v/>
      </c>
      <c r="F117" s="103">
        <f>IF(LLM_Data_Entry!AS115="","",LLM_Data_Entry!AS115)</f>
        <v/>
      </c>
      <c r="G117" s="103">
        <f>IF(LLM_Data_Entry!AG115="","",LLM_Data_Entry!AG115)</f>
        <v/>
      </c>
      <c r="H117" s="103">
        <f>IF(LLM_Data_Entry!AT115="","",LLM_Data_Entry!AT115)</f>
        <v/>
      </c>
      <c r="I117" s="103">
        <f>IF(LLM_Data_Entry!AU115="","",LLM_Data_Entry!AU115)</f>
        <v/>
      </c>
      <c r="J117" s="103">
        <f>IF(LLM_Data_Entry!AH115="","",LLM_Data_Entry!AH115)</f>
        <v/>
      </c>
      <c r="K117" s="103">
        <f>IF(LLM_Data_Entry!AI115="","",LLM_Data_Entry!AI115)</f>
        <v/>
      </c>
      <c r="L117" s="103">
        <f>IF(LLM_Data_Entry!AJ115="","",LLM_Data_Entry!AJ115)</f>
        <v/>
      </c>
      <c r="M117" s="103">
        <f>IF(LLM_Data_Entry!AV115="","",LLM_Data_Entry!AV115)</f>
        <v/>
      </c>
      <c r="N117" s="103">
        <f>IF(LLM_Data_Entry!AW115="","",LLM_Data_Entry!AW115)</f>
        <v/>
      </c>
      <c r="O117" s="103">
        <f>IF(LLM_Data_Entry!AX115="","",LLM_Data_Entry!AX115)</f>
        <v/>
      </c>
      <c r="P117" s="103">
        <f>IF(LLM_Data_Entry!AY115="","",LLM_Data_Entry!AY115)</f>
        <v/>
      </c>
      <c r="Q117" s="103">
        <f>IF(LLM_Data_Entry!AZ115="","",LLM_Data_Entry!AZ115)</f>
        <v/>
      </c>
      <c r="R117" s="103">
        <f>IF(LLM_Data_Entry!AK115="","",LLM_Data_Entry!AK115)</f>
        <v/>
      </c>
      <c r="S117" s="103">
        <f>IF(LLM_Data_Entry!AL115="","",LLM_Data_Entry!AL115)</f>
        <v/>
      </c>
      <c r="T117" s="103">
        <f>IF(LLM_Data_Entry!BA115="","",LLM_Data_Entry!BA115)</f>
        <v/>
      </c>
      <c r="U117" s="103">
        <f>IF(LLM_Data_Entry!BB115="","",LLM_Data_Entry!BB115)</f>
        <v/>
      </c>
      <c r="V117" s="106">
        <f>IF(LLM_Data_Entry!O115="","",LLM_Data_Entry!O115)</f>
        <v/>
      </c>
    </row>
    <row r="118" ht="15" customHeight="1" s="241">
      <c r="A118" s="103">
        <f>IF(LLM_Data_Entry!A116="","",LLM_Data_Entry!A116)</f>
        <v/>
      </c>
      <c r="B118" s="103">
        <f>IF(LLM_Data_Entry!B116="","",LLM_Data_Entry!B116)</f>
        <v/>
      </c>
      <c r="C118" s="104">
        <f>IF(LLM_Data_Entry!C116="","",LLM_Data_Entry!C116)</f>
        <v/>
      </c>
      <c r="D118" s="103">
        <f>IF(LLM_Data_Entry!D116="","",LLM_Data_Entry!D116)</f>
        <v/>
      </c>
      <c r="E118" s="103">
        <f>IF(LLM_Data_Entry!V116="","",LLM_Data_Entry!V116)</f>
        <v/>
      </c>
      <c r="F118" s="103">
        <f>IF(LLM_Data_Entry!AS116="","",LLM_Data_Entry!AS116)</f>
        <v/>
      </c>
      <c r="G118" s="103">
        <f>IF(LLM_Data_Entry!AG116="","",LLM_Data_Entry!AG116)</f>
        <v/>
      </c>
      <c r="H118" s="103">
        <f>IF(LLM_Data_Entry!AT116="","",LLM_Data_Entry!AT116)</f>
        <v/>
      </c>
      <c r="I118" s="103">
        <f>IF(LLM_Data_Entry!AU116="","",LLM_Data_Entry!AU116)</f>
        <v/>
      </c>
      <c r="J118" s="103">
        <f>IF(LLM_Data_Entry!AH116="","",LLM_Data_Entry!AH116)</f>
        <v/>
      </c>
      <c r="K118" s="103">
        <f>IF(LLM_Data_Entry!AI116="","",LLM_Data_Entry!AI116)</f>
        <v/>
      </c>
      <c r="L118" s="103">
        <f>IF(LLM_Data_Entry!AJ116="","",LLM_Data_Entry!AJ116)</f>
        <v/>
      </c>
      <c r="M118" s="103">
        <f>IF(LLM_Data_Entry!AV116="","",LLM_Data_Entry!AV116)</f>
        <v/>
      </c>
      <c r="N118" s="103">
        <f>IF(LLM_Data_Entry!AW116="","",LLM_Data_Entry!AW116)</f>
        <v/>
      </c>
      <c r="O118" s="103">
        <f>IF(LLM_Data_Entry!AX116="","",LLM_Data_Entry!AX116)</f>
        <v/>
      </c>
      <c r="P118" s="103">
        <f>IF(LLM_Data_Entry!AY116="","",LLM_Data_Entry!AY116)</f>
        <v/>
      </c>
      <c r="Q118" s="103">
        <f>IF(LLM_Data_Entry!AZ116="","",LLM_Data_Entry!AZ116)</f>
        <v/>
      </c>
      <c r="R118" s="103">
        <f>IF(LLM_Data_Entry!AK116="","",LLM_Data_Entry!AK116)</f>
        <v/>
      </c>
      <c r="S118" s="103">
        <f>IF(LLM_Data_Entry!AL116="","",LLM_Data_Entry!AL116)</f>
        <v/>
      </c>
      <c r="T118" s="103">
        <f>IF(LLM_Data_Entry!BA116="","",LLM_Data_Entry!BA116)</f>
        <v/>
      </c>
      <c r="U118" s="103">
        <f>IF(LLM_Data_Entry!BB116="","",LLM_Data_Entry!BB116)</f>
        <v/>
      </c>
      <c r="V118" s="106">
        <f>IF(LLM_Data_Entry!O116="","",LLM_Data_Entry!O116)</f>
        <v/>
      </c>
    </row>
    <row r="119" ht="15" customHeight="1" s="241">
      <c r="A119" s="103">
        <f>IF(LLM_Data_Entry!A117="","",LLM_Data_Entry!A117)</f>
        <v/>
      </c>
      <c r="B119" s="103">
        <f>IF(LLM_Data_Entry!B117="","",LLM_Data_Entry!B117)</f>
        <v/>
      </c>
      <c r="C119" s="104">
        <f>IF(LLM_Data_Entry!C117="","",LLM_Data_Entry!C117)</f>
        <v/>
      </c>
      <c r="D119" s="103">
        <f>IF(LLM_Data_Entry!D117="","",LLM_Data_Entry!D117)</f>
        <v/>
      </c>
      <c r="E119" s="103">
        <f>IF(LLM_Data_Entry!V117="","",LLM_Data_Entry!V117)</f>
        <v/>
      </c>
      <c r="F119" s="103">
        <f>IF(LLM_Data_Entry!AS117="","",LLM_Data_Entry!AS117)</f>
        <v/>
      </c>
      <c r="G119" s="103">
        <f>IF(LLM_Data_Entry!AG117="","",LLM_Data_Entry!AG117)</f>
        <v/>
      </c>
      <c r="H119" s="103">
        <f>IF(LLM_Data_Entry!AT117="","",LLM_Data_Entry!AT117)</f>
        <v/>
      </c>
      <c r="I119" s="103">
        <f>IF(LLM_Data_Entry!AU117="","",LLM_Data_Entry!AU117)</f>
        <v/>
      </c>
      <c r="J119" s="103">
        <f>IF(LLM_Data_Entry!AH117="","",LLM_Data_Entry!AH117)</f>
        <v/>
      </c>
      <c r="K119" s="103">
        <f>IF(LLM_Data_Entry!AI117="","",LLM_Data_Entry!AI117)</f>
        <v/>
      </c>
      <c r="L119" s="103">
        <f>IF(LLM_Data_Entry!AJ117="","",LLM_Data_Entry!AJ117)</f>
        <v/>
      </c>
      <c r="M119" s="103">
        <f>IF(LLM_Data_Entry!AV117="","",LLM_Data_Entry!AV117)</f>
        <v/>
      </c>
      <c r="N119" s="103">
        <f>IF(LLM_Data_Entry!AW117="","",LLM_Data_Entry!AW117)</f>
        <v/>
      </c>
      <c r="O119" s="103">
        <f>IF(LLM_Data_Entry!AX117="","",LLM_Data_Entry!AX117)</f>
        <v/>
      </c>
      <c r="P119" s="103">
        <f>IF(LLM_Data_Entry!AY117="","",LLM_Data_Entry!AY117)</f>
        <v/>
      </c>
      <c r="Q119" s="103">
        <f>IF(LLM_Data_Entry!AZ117="","",LLM_Data_Entry!AZ117)</f>
        <v/>
      </c>
      <c r="R119" s="103">
        <f>IF(LLM_Data_Entry!AK117="","",LLM_Data_Entry!AK117)</f>
        <v/>
      </c>
      <c r="S119" s="103">
        <f>IF(LLM_Data_Entry!AL117="","",LLM_Data_Entry!AL117)</f>
        <v/>
      </c>
      <c r="T119" s="103">
        <f>IF(LLM_Data_Entry!BA117="","",LLM_Data_Entry!BA117)</f>
        <v/>
      </c>
      <c r="U119" s="103">
        <f>IF(LLM_Data_Entry!BB117="","",LLM_Data_Entry!BB117)</f>
        <v/>
      </c>
      <c r="V119" s="106">
        <f>IF(LLM_Data_Entry!O117="","",LLM_Data_Entry!O117)</f>
        <v/>
      </c>
    </row>
    <row r="120" ht="15" customHeight="1" s="241">
      <c r="A120" s="103">
        <f>IF(LLM_Data_Entry!A118="","",LLM_Data_Entry!A118)</f>
        <v/>
      </c>
      <c r="B120" s="103">
        <f>IF(LLM_Data_Entry!B118="","",LLM_Data_Entry!B118)</f>
        <v/>
      </c>
      <c r="C120" s="104">
        <f>IF(LLM_Data_Entry!C118="","",LLM_Data_Entry!C118)</f>
        <v/>
      </c>
      <c r="D120" s="103">
        <f>IF(LLM_Data_Entry!D118="","",LLM_Data_Entry!D118)</f>
        <v/>
      </c>
      <c r="E120" s="103">
        <f>IF(LLM_Data_Entry!V118="","",LLM_Data_Entry!V118)</f>
        <v/>
      </c>
      <c r="F120" s="103">
        <f>IF(LLM_Data_Entry!AS118="","",LLM_Data_Entry!AS118)</f>
        <v/>
      </c>
      <c r="G120" s="103">
        <f>IF(LLM_Data_Entry!AG118="","",LLM_Data_Entry!AG118)</f>
        <v/>
      </c>
      <c r="H120" s="103">
        <f>IF(LLM_Data_Entry!AT118="","",LLM_Data_Entry!AT118)</f>
        <v/>
      </c>
      <c r="I120" s="103">
        <f>IF(LLM_Data_Entry!AU118="","",LLM_Data_Entry!AU118)</f>
        <v/>
      </c>
      <c r="J120" s="103">
        <f>IF(LLM_Data_Entry!AH118="","",LLM_Data_Entry!AH118)</f>
        <v/>
      </c>
      <c r="K120" s="103">
        <f>IF(LLM_Data_Entry!AI118="","",LLM_Data_Entry!AI118)</f>
        <v/>
      </c>
      <c r="L120" s="103">
        <f>IF(LLM_Data_Entry!AJ118="","",LLM_Data_Entry!AJ118)</f>
        <v/>
      </c>
      <c r="M120" s="103">
        <f>IF(LLM_Data_Entry!AV118="","",LLM_Data_Entry!AV118)</f>
        <v/>
      </c>
      <c r="N120" s="103">
        <f>IF(LLM_Data_Entry!AW118="","",LLM_Data_Entry!AW118)</f>
        <v/>
      </c>
      <c r="O120" s="103">
        <f>IF(LLM_Data_Entry!AX118="","",LLM_Data_Entry!AX118)</f>
        <v/>
      </c>
      <c r="P120" s="103">
        <f>IF(LLM_Data_Entry!AY118="","",LLM_Data_Entry!AY118)</f>
        <v/>
      </c>
      <c r="Q120" s="103">
        <f>IF(LLM_Data_Entry!AZ118="","",LLM_Data_Entry!AZ118)</f>
        <v/>
      </c>
      <c r="R120" s="103">
        <f>IF(LLM_Data_Entry!AK118="","",LLM_Data_Entry!AK118)</f>
        <v/>
      </c>
      <c r="S120" s="103">
        <f>IF(LLM_Data_Entry!AL118="","",LLM_Data_Entry!AL118)</f>
        <v/>
      </c>
      <c r="T120" s="103">
        <f>IF(LLM_Data_Entry!BA118="","",LLM_Data_Entry!BA118)</f>
        <v/>
      </c>
      <c r="U120" s="103">
        <f>IF(LLM_Data_Entry!BB118="","",LLM_Data_Entry!BB118)</f>
        <v/>
      </c>
      <c r="V120" s="106">
        <f>IF(LLM_Data_Entry!O118="","",LLM_Data_Entry!O118)</f>
        <v/>
      </c>
    </row>
    <row r="121" ht="15" customHeight="1" s="241">
      <c r="A121" s="103">
        <f>IF(LLM_Data_Entry!A119="","",LLM_Data_Entry!A119)</f>
        <v/>
      </c>
      <c r="B121" s="103">
        <f>IF(LLM_Data_Entry!B119="","",LLM_Data_Entry!B119)</f>
        <v/>
      </c>
      <c r="C121" s="104">
        <f>IF(LLM_Data_Entry!C119="","",LLM_Data_Entry!C119)</f>
        <v/>
      </c>
      <c r="D121" s="103">
        <f>IF(LLM_Data_Entry!D119="","",LLM_Data_Entry!D119)</f>
        <v/>
      </c>
      <c r="E121" s="103">
        <f>IF(LLM_Data_Entry!V119="","",LLM_Data_Entry!V119)</f>
        <v/>
      </c>
      <c r="F121" s="103">
        <f>IF(LLM_Data_Entry!AS119="","",LLM_Data_Entry!AS119)</f>
        <v/>
      </c>
      <c r="G121" s="103">
        <f>IF(LLM_Data_Entry!AG119="","",LLM_Data_Entry!AG119)</f>
        <v/>
      </c>
      <c r="H121" s="103">
        <f>IF(LLM_Data_Entry!AT119="","",LLM_Data_Entry!AT119)</f>
        <v/>
      </c>
      <c r="I121" s="103">
        <f>IF(LLM_Data_Entry!AU119="","",LLM_Data_Entry!AU119)</f>
        <v/>
      </c>
      <c r="J121" s="103">
        <f>IF(LLM_Data_Entry!AH119="","",LLM_Data_Entry!AH119)</f>
        <v/>
      </c>
      <c r="K121" s="103">
        <f>IF(LLM_Data_Entry!AI119="","",LLM_Data_Entry!AI119)</f>
        <v/>
      </c>
      <c r="L121" s="103">
        <f>IF(LLM_Data_Entry!AJ119="","",LLM_Data_Entry!AJ119)</f>
        <v/>
      </c>
      <c r="M121" s="103">
        <f>IF(LLM_Data_Entry!AV119="","",LLM_Data_Entry!AV119)</f>
        <v/>
      </c>
      <c r="N121" s="103">
        <f>IF(LLM_Data_Entry!AW119="","",LLM_Data_Entry!AW119)</f>
        <v/>
      </c>
      <c r="O121" s="103">
        <f>IF(LLM_Data_Entry!AX119="","",LLM_Data_Entry!AX119)</f>
        <v/>
      </c>
      <c r="P121" s="103">
        <f>IF(LLM_Data_Entry!AY119="","",LLM_Data_Entry!AY119)</f>
        <v/>
      </c>
      <c r="Q121" s="103">
        <f>IF(LLM_Data_Entry!AZ119="","",LLM_Data_Entry!AZ119)</f>
        <v/>
      </c>
      <c r="R121" s="103">
        <f>IF(LLM_Data_Entry!AK119="","",LLM_Data_Entry!AK119)</f>
        <v/>
      </c>
      <c r="S121" s="103">
        <f>IF(LLM_Data_Entry!AL119="","",LLM_Data_Entry!AL119)</f>
        <v/>
      </c>
      <c r="T121" s="103">
        <f>IF(LLM_Data_Entry!BA119="","",LLM_Data_Entry!BA119)</f>
        <v/>
      </c>
      <c r="U121" s="103">
        <f>IF(LLM_Data_Entry!BB119="","",LLM_Data_Entry!BB119)</f>
        <v/>
      </c>
      <c r="V121" s="106">
        <f>IF(LLM_Data_Entry!O119="","",LLM_Data_Entry!O119)</f>
        <v/>
      </c>
    </row>
    <row r="122" ht="15" customHeight="1" s="241">
      <c r="A122" s="103">
        <f>IF(LLM_Data_Entry!A120="","",LLM_Data_Entry!A120)</f>
        <v/>
      </c>
      <c r="B122" s="103">
        <f>IF(LLM_Data_Entry!B120="","",LLM_Data_Entry!B120)</f>
        <v/>
      </c>
      <c r="C122" s="104">
        <f>IF(LLM_Data_Entry!C120="","",LLM_Data_Entry!C120)</f>
        <v/>
      </c>
      <c r="D122" s="103">
        <f>IF(LLM_Data_Entry!D120="","",LLM_Data_Entry!D120)</f>
        <v/>
      </c>
      <c r="E122" s="103">
        <f>IF(LLM_Data_Entry!V120="","",LLM_Data_Entry!V120)</f>
        <v/>
      </c>
      <c r="F122" s="103">
        <f>IF(LLM_Data_Entry!AS120="","",LLM_Data_Entry!AS120)</f>
        <v/>
      </c>
      <c r="G122" s="103">
        <f>IF(LLM_Data_Entry!AG120="","",LLM_Data_Entry!AG120)</f>
        <v/>
      </c>
      <c r="H122" s="103">
        <f>IF(LLM_Data_Entry!AT120="","",LLM_Data_Entry!AT120)</f>
        <v/>
      </c>
      <c r="I122" s="103">
        <f>IF(LLM_Data_Entry!AU120="","",LLM_Data_Entry!AU120)</f>
        <v/>
      </c>
      <c r="J122" s="103">
        <f>IF(LLM_Data_Entry!AH120="","",LLM_Data_Entry!AH120)</f>
        <v/>
      </c>
      <c r="K122" s="103">
        <f>IF(LLM_Data_Entry!AI120="","",LLM_Data_Entry!AI120)</f>
        <v/>
      </c>
      <c r="L122" s="103">
        <f>IF(LLM_Data_Entry!AJ120="","",LLM_Data_Entry!AJ120)</f>
        <v/>
      </c>
      <c r="M122" s="103">
        <f>IF(LLM_Data_Entry!AV120="","",LLM_Data_Entry!AV120)</f>
        <v/>
      </c>
      <c r="N122" s="103">
        <f>IF(LLM_Data_Entry!AW120="","",LLM_Data_Entry!AW120)</f>
        <v/>
      </c>
      <c r="O122" s="103">
        <f>IF(LLM_Data_Entry!AX120="","",LLM_Data_Entry!AX120)</f>
        <v/>
      </c>
      <c r="P122" s="103">
        <f>IF(LLM_Data_Entry!AY120="","",LLM_Data_Entry!AY120)</f>
        <v/>
      </c>
      <c r="Q122" s="103">
        <f>IF(LLM_Data_Entry!AZ120="","",LLM_Data_Entry!AZ120)</f>
        <v/>
      </c>
      <c r="R122" s="103">
        <f>IF(LLM_Data_Entry!AK120="","",LLM_Data_Entry!AK120)</f>
        <v/>
      </c>
      <c r="S122" s="103">
        <f>IF(LLM_Data_Entry!AL120="","",LLM_Data_Entry!AL120)</f>
        <v/>
      </c>
      <c r="T122" s="103">
        <f>IF(LLM_Data_Entry!BA120="","",LLM_Data_Entry!BA120)</f>
        <v/>
      </c>
      <c r="U122" s="103">
        <f>IF(LLM_Data_Entry!BB120="","",LLM_Data_Entry!BB120)</f>
        <v/>
      </c>
      <c r="V122" s="106">
        <f>IF(LLM_Data_Entry!O120="","",LLM_Data_Entry!O120)</f>
        <v/>
      </c>
    </row>
    <row r="123" ht="15" customHeight="1" s="241">
      <c r="A123" s="103">
        <f>IF(LLM_Data_Entry!A121="","",LLM_Data_Entry!A121)</f>
        <v/>
      </c>
      <c r="B123" s="103">
        <f>IF(LLM_Data_Entry!B121="","",LLM_Data_Entry!B121)</f>
        <v/>
      </c>
      <c r="C123" s="104">
        <f>IF(LLM_Data_Entry!C121="","",LLM_Data_Entry!C121)</f>
        <v/>
      </c>
      <c r="D123" s="103">
        <f>IF(LLM_Data_Entry!D121="","",LLM_Data_Entry!D121)</f>
        <v/>
      </c>
      <c r="E123" s="103">
        <f>IF(LLM_Data_Entry!V121="","",LLM_Data_Entry!V121)</f>
        <v/>
      </c>
      <c r="F123" s="103">
        <f>IF(LLM_Data_Entry!AS121="","",LLM_Data_Entry!AS121)</f>
        <v/>
      </c>
      <c r="G123" s="103">
        <f>IF(LLM_Data_Entry!AG121="","",LLM_Data_Entry!AG121)</f>
        <v/>
      </c>
      <c r="H123" s="103">
        <f>IF(LLM_Data_Entry!AT121="","",LLM_Data_Entry!AT121)</f>
        <v/>
      </c>
      <c r="I123" s="103">
        <f>IF(LLM_Data_Entry!AU121="","",LLM_Data_Entry!AU121)</f>
        <v/>
      </c>
      <c r="J123" s="103">
        <f>IF(LLM_Data_Entry!AH121="","",LLM_Data_Entry!AH121)</f>
        <v/>
      </c>
      <c r="K123" s="103">
        <f>IF(LLM_Data_Entry!AI121="","",LLM_Data_Entry!AI121)</f>
        <v/>
      </c>
      <c r="L123" s="103">
        <f>IF(LLM_Data_Entry!AJ121="","",LLM_Data_Entry!AJ121)</f>
        <v/>
      </c>
      <c r="M123" s="103">
        <f>IF(LLM_Data_Entry!AV121="","",LLM_Data_Entry!AV121)</f>
        <v/>
      </c>
      <c r="N123" s="103">
        <f>IF(LLM_Data_Entry!AW121="","",LLM_Data_Entry!AW121)</f>
        <v/>
      </c>
      <c r="O123" s="103">
        <f>IF(LLM_Data_Entry!AX121="","",LLM_Data_Entry!AX121)</f>
        <v/>
      </c>
      <c r="P123" s="103">
        <f>IF(LLM_Data_Entry!AY121="","",LLM_Data_Entry!AY121)</f>
        <v/>
      </c>
      <c r="Q123" s="103">
        <f>IF(LLM_Data_Entry!AZ121="","",LLM_Data_Entry!AZ121)</f>
        <v/>
      </c>
      <c r="R123" s="103">
        <f>IF(LLM_Data_Entry!AK121="","",LLM_Data_Entry!AK121)</f>
        <v/>
      </c>
      <c r="S123" s="103">
        <f>IF(LLM_Data_Entry!AL121="","",LLM_Data_Entry!AL121)</f>
        <v/>
      </c>
      <c r="T123" s="103">
        <f>IF(LLM_Data_Entry!BA121="","",LLM_Data_Entry!BA121)</f>
        <v/>
      </c>
      <c r="U123" s="103">
        <f>IF(LLM_Data_Entry!BB121="","",LLM_Data_Entry!BB121)</f>
        <v/>
      </c>
      <c r="V123" s="106">
        <f>IF(LLM_Data_Entry!O121="","",LLM_Data_Entry!O121)</f>
        <v/>
      </c>
    </row>
    <row r="124" ht="15" customHeight="1" s="241">
      <c r="A124" s="103">
        <f>IF(LLM_Data_Entry!A122="","",LLM_Data_Entry!A122)</f>
        <v/>
      </c>
      <c r="B124" s="103">
        <f>IF(LLM_Data_Entry!B122="","",LLM_Data_Entry!B122)</f>
        <v/>
      </c>
      <c r="C124" s="104">
        <f>IF(LLM_Data_Entry!C122="","",LLM_Data_Entry!C122)</f>
        <v/>
      </c>
      <c r="D124" s="103">
        <f>IF(LLM_Data_Entry!D122="","",LLM_Data_Entry!D122)</f>
        <v/>
      </c>
      <c r="E124" s="103">
        <f>IF(LLM_Data_Entry!V122="","",LLM_Data_Entry!V122)</f>
        <v/>
      </c>
      <c r="F124" s="103">
        <f>IF(LLM_Data_Entry!AS122="","",LLM_Data_Entry!AS122)</f>
        <v/>
      </c>
      <c r="G124" s="103">
        <f>IF(LLM_Data_Entry!AG122="","",LLM_Data_Entry!AG122)</f>
        <v/>
      </c>
      <c r="H124" s="103">
        <f>IF(LLM_Data_Entry!AT122="","",LLM_Data_Entry!AT122)</f>
        <v/>
      </c>
      <c r="I124" s="103">
        <f>IF(LLM_Data_Entry!AU122="","",LLM_Data_Entry!AU122)</f>
        <v/>
      </c>
      <c r="J124" s="103">
        <f>IF(LLM_Data_Entry!AH122="","",LLM_Data_Entry!AH122)</f>
        <v/>
      </c>
      <c r="K124" s="103">
        <f>IF(LLM_Data_Entry!AI122="","",LLM_Data_Entry!AI122)</f>
        <v/>
      </c>
      <c r="L124" s="103">
        <f>IF(LLM_Data_Entry!AJ122="","",LLM_Data_Entry!AJ122)</f>
        <v/>
      </c>
      <c r="M124" s="103">
        <f>IF(LLM_Data_Entry!AV122="","",LLM_Data_Entry!AV122)</f>
        <v/>
      </c>
      <c r="N124" s="103">
        <f>IF(LLM_Data_Entry!AW122="","",LLM_Data_Entry!AW122)</f>
        <v/>
      </c>
      <c r="O124" s="103">
        <f>IF(LLM_Data_Entry!AX122="","",LLM_Data_Entry!AX122)</f>
        <v/>
      </c>
      <c r="P124" s="103">
        <f>IF(LLM_Data_Entry!AY122="","",LLM_Data_Entry!AY122)</f>
        <v/>
      </c>
      <c r="Q124" s="103">
        <f>IF(LLM_Data_Entry!AZ122="","",LLM_Data_Entry!AZ122)</f>
        <v/>
      </c>
      <c r="R124" s="103">
        <f>IF(LLM_Data_Entry!AK122="","",LLM_Data_Entry!AK122)</f>
        <v/>
      </c>
      <c r="S124" s="103">
        <f>IF(LLM_Data_Entry!AL122="","",LLM_Data_Entry!AL122)</f>
        <v/>
      </c>
      <c r="T124" s="103">
        <f>IF(LLM_Data_Entry!BA122="","",LLM_Data_Entry!BA122)</f>
        <v/>
      </c>
      <c r="U124" s="103">
        <f>IF(LLM_Data_Entry!BB122="","",LLM_Data_Entry!BB122)</f>
        <v/>
      </c>
      <c r="V124" s="106">
        <f>IF(LLM_Data_Entry!O122="","",LLM_Data_Entry!O122)</f>
        <v/>
      </c>
    </row>
    <row r="125" ht="15" customHeight="1" s="241">
      <c r="A125" s="103">
        <f>IF(LLM_Data_Entry!A123="","",LLM_Data_Entry!A123)</f>
        <v/>
      </c>
      <c r="B125" s="103">
        <f>IF(LLM_Data_Entry!B123="","",LLM_Data_Entry!B123)</f>
        <v/>
      </c>
      <c r="C125" s="104">
        <f>IF(LLM_Data_Entry!C123="","",LLM_Data_Entry!C123)</f>
        <v/>
      </c>
      <c r="D125" s="103">
        <f>IF(LLM_Data_Entry!D123="","",LLM_Data_Entry!D123)</f>
        <v/>
      </c>
      <c r="E125" s="103">
        <f>IF(LLM_Data_Entry!V123="","",LLM_Data_Entry!V123)</f>
        <v/>
      </c>
      <c r="F125" s="103">
        <f>IF(LLM_Data_Entry!AS123="","",LLM_Data_Entry!AS123)</f>
        <v/>
      </c>
      <c r="G125" s="103">
        <f>IF(LLM_Data_Entry!AG123="","",LLM_Data_Entry!AG123)</f>
        <v/>
      </c>
      <c r="H125" s="103">
        <f>IF(LLM_Data_Entry!AT123="","",LLM_Data_Entry!AT123)</f>
        <v/>
      </c>
      <c r="I125" s="103">
        <f>IF(LLM_Data_Entry!AU123="","",LLM_Data_Entry!AU123)</f>
        <v/>
      </c>
      <c r="J125" s="103">
        <f>IF(LLM_Data_Entry!AH123="","",LLM_Data_Entry!AH123)</f>
        <v/>
      </c>
      <c r="K125" s="103">
        <f>IF(LLM_Data_Entry!AI123="","",LLM_Data_Entry!AI123)</f>
        <v/>
      </c>
      <c r="L125" s="103">
        <f>IF(LLM_Data_Entry!AJ123="","",LLM_Data_Entry!AJ123)</f>
        <v/>
      </c>
      <c r="M125" s="103">
        <f>IF(LLM_Data_Entry!AV123="","",LLM_Data_Entry!AV123)</f>
        <v/>
      </c>
      <c r="N125" s="103">
        <f>IF(LLM_Data_Entry!AW123="","",LLM_Data_Entry!AW123)</f>
        <v/>
      </c>
      <c r="O125" s="103">
        <f>IF(LLM_Data_Entry!AX123="","",LLM_Data_Entry!AX123)</f>
        <v/>
      </c>
      <c r="P125" s="103">
        <f>IF(LLM_Data_Entry!AY123="","",LLM_Data_Entry!AY123)</f>
        <v/>
      </c>
      <c r="Q125" s="103">
        <f>IF(LLM_Data_Entry!AZ123="","",LLM_Data_Entry!AZ123)</f>
        <v/>
      </c>
      <c r="R125" s="103">
        <f>IF(LLM_Data_Entry!AK123="","",LLM_Data_Entry!AK123)</f>
        <v/>
      </c>
      <c r="S125" s="103">
        <f>IF(LLM_Data_Entry!AL123="","",LLM_Data_Entry!AL123)</f>
        <v/>
      </c>
      <c r="T125" s="103">
        <f>IF(LLM_Data_Entry!BA123="","",LLM_Data_Entry!BA123)</f>
        <v/>
      </c>
      <c r="U125" s="103">
        <f>IF(LLM_Data_Entry!BB123="","",LLM_Data_Entry!BB123)</f>
        <v/>
      </c>
      <c r="V125" s="106">
        <f>IF(LLM_Data_Entry!O123="","",LLM_Data_Entry!O123)</f>
        <v/>
      </c>
    </row>
    <row r="126" ht="15" customHeight="1" s="241">
      <c r="A126" s="103">
        <f>IF(LLM_Data_Entry!A124="","",LLM_Data_Entry!A124)</f>
        <v/>
      </c>
      <c r="B126" s="103">
        <f>IF(LLM_Data_Entry!B124="","",LLM_Data_Entry!B124)</f>
        <v/>
      </c>
      <c r="C126" s="104">
        <f>IF(LLM_Data_Entry!C124="","",LLM_Data_Entry!C124)</f>
        <v/>
      </c>
      <c r="D126" s="103">
        <f>IF(LLM_Data_Entry!D124="","",LLM_Data_Entry!D124)</f>
        <v/>
      </c>
      <c r="E126" s="103">
        <f>IF(LLM_Data_Entry!V124="","",LLM_Data_Entry!V124)</f>
        <v/>
      </c>
      <c r="F126" s="103">
        <f>IF(LLM_Data_Entry!AS124="","",LLM_Data_Entry!AS124)</f>
        <v/>
      </c>
      <c r="G126" s="103">
        <f>IF(LLM_Data_Entry!AG124="","",LLM_Data_Entry!AG124)</f>
        <v/>
      </c>
      <c r="H126" s="103">
        <f>IF(LLM_Data_Entry!AT124="","",LLM_Data_Entry!AT124)</f>
        <v/>
      </c>
      <c r="I126" s="103">
        <f>IF(LLM_Data_Entry!AU124="","",LLM_Data_Entry!AU124)</f>
        <v/>
      </c>
      <c r="J126" s="103">
        <f>IF(LLM_Data_Entry!AH124="","",LLM_Data_Entry!AH124)</f>
        <v/>
      </c>
      <c r="K126" s="103">
        <f>IF(LLM_Data_Entry!AI124="","",LLM_Data_Entry!AI124)</f>
        <v/>
      </c>
      <c r="L126" s="103">
        <f>IF(LLM_Data_Entry!AJ124="","",LLM_Data_Entry!AJ124)</f>
        <v/>
      </c>
      <c r="M126" s="103">
        <f>IF(LLM_Data_Entry!AV124="","",LLM_Data_Entry!AV124)</f>
        <v/>
      </c>
      <c r="N126" s="103">
        <f>IF(LLM_Data_Entry!AW124="","",LLM_Data_Entry!AW124)</f>
        <v/>
      </c>
      <c r="O126" s="103">
        <f>IF(LLM_Data_Entry!AX124="","",LLM_Data_Entry!AX124)</f>
        <v/>
      </c>
      <c r="P126" s="103">
        <f>IF(LLM_Data_Entry!AY124="","",LLM_Data_Entry!AY124)</f>
        <v/>
      </c>
      <c r="Q126" s="103">
        <f>IF(LLM_Data_Entry!AZ124="","",LLM_Data_Entry!AZ124)</f>
        <v/>
      </c>
      <c r="R126" s="103">
        <f>IF(LLM_Data_Entry!AK124="","",LLM_Data_Entry!AK124)</f>
        <v/>
      </c>
      <c r="S126" s="103">
        <f>IF(LLM_Data_Entry!AL124="","",LLM_Data_Entry!AL124)</f>
        <v/>
      </c>
      <c r="T126" s="103">
        <f>IF(LLM_Data_Entry!BA124="","",LLM_Data_Entry!BA124)</f>
        <v/>
      </c>
      <c r="U126" s="103">
        <f>IF(LLM_Data_Entry!BB124="","",LLM_Data_Entry!BB124)</f>
        <v/>
      </c>
      <c r="V126" s="106">
        <f>IF(LLM_Data_Entry!O124="","",LLM_Data_Entry!O124)</f>
        <v/>
      </c>
    </row>
    <row r="127" ht="15" customHeight="1" s="241">
      <c r="A127" s="103">
        <f>IF(LLM_Data_Entry!A125="","",LLM_Data_Entry!A125)</f>
        <v/>
      </c>
      <c r="B127" s="103">
        <f>IF(LLM_Data_Entry!B125="","",LLM_Data_Entry!B125)</f>
        <v/>
      </c>
      <c r="C127" s="104">
        <f>IF(LLM_Data_Entry!C125="","",LLM_Data_Entry!C125)</f>
        <v/>
      </c>
      <c r="D127" s="103">
        <f>IF(LLM_Data_Entry!D125="","",LLM_Data_Entry!D125)</f>
        <v/>
      </c>
      <c r="E127" s="103">
        <f>IF(LLM_Data_Entry!V125="","",LLM_Data_Entry!V125)</f>
        <v/>
      </c>
      <c r="F127" s="103">
        <f>IF(LLM_Data_Entry!AS125="","",LLM_Data_Entry!AS125)</f>
        <v/>
      </c>
      <c r="G127" s="103">
        <f>IF(LLM_Data_Entry!AG125="","",LLM_Data_Entry!AG125)</f>
        <v/>
      </c>
      <c r="H127" s="103">
        <f>IF(LLM_Data_Entry!AT125="","",LLM_Data_Entry!AT125)</f>
        <v/>
      </c>
      <c r="I127" s="103">
        <f>IF(LLM_Data_Entry!AU125="","",LLM_Data_Entry!AU125)</f>
        <v/>
      </c>
      <c r="J127" s="103">
        <f>IF(LLM_Data_Entry!AH125="","",LLM_Data_Entry!AH125)</f>
        <v/>
      </c>
      <c r="K127" s="103">
        <f>IF(LLM_Data_Entry!AI125="","",LLM_Data_Entry!AI125)</f>
        <v/>
      </c>
      <c r="L127" s="103">
        <f>IF(LLM_Data_Entry!AJ125="","",LLM_Data_Entry!AJ125)</f>
        <v/>
      </c>
      <c r="M127" s="103">
        <f>IF(LLM_Data_Entry!AV125="","",LLM_Data_Entry!AV125)</f>
        <v/>
      </c>
      <c r="N127" s="103">
        <f>IF(LLM_Data_Entry!AW125="","",LLM_Data_Entry!AW125)</f>
        <v/>
      </c>
      <c r="O127" s="103">
        <f>IF(LLM_Data_Entry!AX125="","",LLM_Data_Entry!AX125)</f>
        <v/>
      </c>
      <c r="P127" s="103">
        <f>IF(LLM_Data_Entry!AY125="","",LLM_Data_Entry!AY125)</f>
        <v/>
      </c>
      <c r="Q127" s="103">
        <f>IF(LLM_Data_Entry!AZ125="","",LLM_Data_Entry!AZ125)</f>
        <v/>
      </c>
      <c r="R127" s="103">
        <f>IF(LLM_Data_Entry!AK125="","",LLM_Data_Entry!AK125)</f>
        <v/>
      </c>
      <c r="S127" s="103">
        <f>IF(LLM_Data_Entry!AL125="","",LLM_Data_Entry!AL125)</f>
        <v/>
      </c>
      <c r="T127" s="103">
        <f>IF(LLM_Data_Entry!BA125="","",LLM_Data_Entry!BA125)</f>
        <v/>
      </c>
      <c r="U127" s="103">
        <f>IF(LLM_Data_Entry!BB125="","",LLM_Data_Entry!BB125)</f>
        <v/>
      </c>
      <c r="V127" s="106">
        <f>IF(LLM_Data_Entry!O125="","",LLM_Data_Entry!O125)</f>
        <v/>
      </c>
    </row>
    <row r="128" ht="15" customHeight="1" s="241">
      <c r="A128" s="103">
        <f>IF(LLM_Data_Entry!A126="","",LLM_Data_Entry!A126)</f>
        <v/>
      </c>
      <c r="B128" s="103">
        <f>IF(LLM_Data_Entry!B126="","",LLM_Data_Entry!B126)</f>
        <v/>
      </c>
      <c r="C128" s="104">
        <f>IF(LLM_Data_Entry!C126="","",LLM_Data_Entry!C126)</f>
        <v/>
      </c>
      <c r="D128" s="103">
        <f>IF(LLM_Data_Entry!D126="","",LLM_Data_Entry!D126)</f>
        <v/>
      </c>
      <c r="E128" s="103">
        <f>IF(LLM_Data_Entry!V126="","",LLM_Data_Entry!V126)</f>
        <v/>
      </c>
      <c r="F128" s="103">
        <f>IF(LLM_Data_Entry!AS126="","",LLM_Data_Entry!AS126)</f>
        <v/>
      </c>
      <c r="G128" s="103">
        <f>IF(LLM_Data_Entry!AG126="","",LLM_Data_Entry!AG126)</f>
        <v/>
      </c>
      <c r="H128" s="103">
        <f>IF(LLM_Data_Entry!AT126="","",LLM_Data_Entry!AT126)</f>
        <v/>
      </c>
      <c r="I128" s="103">
        <f>IF(LLM_Data_Entry!AU126="","",LLM_Data_Entry!AU126)</f>
        <v/>
      </c>
      <c r="J128" s="103">
        <f>IF(LLM_Data_Entry!AH126="","",LLM_Data_Entry!AH126)</f>
        <v/>
      </c>
      <c r="K128" s="103">
        <f>IF(LLM_Data_Entry!AI126="","",LLM_Data_Entry!AI126)</f>
        <v/>
      </c>
      <c r="L128" s="103">
        <f>IF(LLM_Data_Entry!AJ126="","",LLM_Data_Entry!AJ126)</f>
        <v/>
      </c>
      <c r="M128" s="103">
        <f>IF(LLM_Data_Entry!AV126="","",LLM_Data_Entry!AV126)</f>
        <v/>
      </c>
      <c r="N128" s="103">
        <f>IF(LLM_Data_Entry!AW126="","",LLM_Data_Entry!AW126)</f>
        <v/>
      </c>
      <c r="O128" s="103">
        <f>IF(LLM_Data_Entry!AX126="","",LLM_Data_Entry!AX126)</f>
        <v/>
      </c>
      <c r="P128" s="103">
        <f>IF(LLM_Data_Entry!AY126="","",LLM_Data_Entry!AY126)</f>
        <v/>
      </c>
      <c r="Q128" s="103">
        <f>IF(LLM_Data_Entry!AZ126="","",LLM_Data_Entry!AZ126)</f>
        <v/>
      </c>
      <c r="R128" s="103">
        <f>IF(LLM_Data_Entry!AK126="","",LLM_Data_Entry!AK126)</f>
        <v/>
      </c>
      <c r="S128" s="103">
        <f>IF(LLM_Data_Entry!AL126="","",LLM_Data_Entry!AL126)</f>
        <v/>
      </c>
      <c r="T128" s="103">
        <f>IF(LLM_Data_Entry!BA126="","",LLM_Data_Entry!BA126)</f>
        <v/>
      </c>
      <c r="U128" s="103">
        <f>IF(LLM_Data_Entry!BB126="","",LLM_Data_Entry!BB126)</f>
        <v/>
      </c>
      <c r="V128" s="106">
        <f>IF(LLM_Data_Entry!O126="","",LLM_Data_Entry!O126)</f>
        <v/>
      </c>
    </row>
    <row r="129" ht="15" customHeight="1" s="241">
      <c r="A129" s="103">
        <f>IF(LLM_Data_Entry!A127="","",LLM_Data_Entry!A127)</f>
        <v/>
      </c>
      <c r="B129" s="103">
        <f>IF(LLM_Data_Entry!B127="","",LLM_Data_Entry!B127)</f>
        <v/>
      </c>
      <c r="C129" s="104">
        <f>IF(LLM_Data_Entry!C127="","",LLM_Data_Entry!C127)</f>
        <v/>
      </c>
      <c r="D129" s="103">
        <f>IF(LLM_Data_Entry!D127="","",LLM_Data_Entry!D127)</f>
        <v/>
      </c>
      <c r="E129" s="103">
        <f>IF(LLM_Data_Entry!V127="","",LLM_Data_Entry!V127)</f>
        <v/>
      </c>
      <c r="F129" s="103">
        <f>IF(LLM_Data_Entry!AS127="","",LLM_Data_Entry!AS127)</f>
        <v/>
      </c>
      <c r="G129" s="103">
        <f>IF(LLM_Data_Entry!AG127="","",LLM_Data_Entry!AG127)</f>
        <v/>
      </c>
      <c r="H129" s="103">
        <f>IF(LLM_Data_Entry!AT127="","",LLM_Data_Entry!AT127)</f>
        <v/>
      </c>
      <c r="I129" s="103">
        <f>IF(LLM_Data_Entry!AU127="","",LLM_Data_Entry!AU127)</f>
        <v/>
      </c>
      <c r="J129" s="103">
        <f>IF(LLM_Data_Entry!AH127="","",LLM_Data_Entry!AH127)</f>
        <v/>
      </c>
      <c r="K129" s="103">
        <f>IF(LLM_Data_Entry!AI127="","",LLM_Data_Entry!AI127)</f>
        <v/>
      </c>
      <c r="L129" s="103">
        <f>IF(LLM_Data_Entry!AJ127="","",LLM_Data_Entry!AJ127)</f>
        <v/>
      </c>
      <c r="M129" s="103">
        <f>IF(LLM_Data_Entry!AV127="","",LLM_Data_Entry!AV127)</f>
        <v/>
      </c>
      <c r="N129" s="103">
        <f>IF(LLM_Data_Entry!AW127="","",LLM_Data_Entry!AW127)</f>
        <v/>
      </c>
      <c r="O129" s="103">
        <f>IF(LLM_Data_Entry!AX127="","",LLM_Data_Entry!AX127)</f>
        <v/>
      </c>
      <c r="P129" s="103">
        <f>IF(LLM_Data_Entry!AY127="","",LLM_Data_Entry!AY127)</f>
        <v/>
      </c>
      <c r="Q129" s="103">
        <f>IF(LLM_Data_Entry!AZ127="","",LLM_Data_Entry!AZ127)</f>
        <v/>
      </c>
      <c r="R129" s="103">
        <f>IF(LLM_Data_Entry!AK127="","",LLM_Data_Entry!AK127)</f>
        <v/>
      </c>
      <c r="S129" s="103">
        <f>IF(LLM_Data_Entry!AL127="","",LLM_Data_Entry!AL127)</f>
        <v/>
      </c>
      <c r="T129" s="103">
        <f>IF(LLM_Data_Entry!BA127="","",LLM_Data_Entry!BA127)</f>
        <v/>
      </c>
      <c r="U129" s="103">
        <f>IF(LLM_Data_Entry!BB127="","",LLM_Data_Entry!BB127)</f>
        <v/>
      </c>
      <c r="V129" s="106">
        <f>IF(LLM_Data_Entry!O127="","",LLM_Data_Entry!O127)</f>
        <v/>
      </c>
    </row>
    <row r="130" ht="15" customHeight="1" s="241">
      <c r="A130" s="103">
        <f>IF(LLM_Data_Entry!A128="","",LLM_Data_Entry!A128)</f>
        <v/>
      </c>
      <c r="B130" s="103">
        <f>IF(LLM_Data_Entry!B128="","",LLM_Data_Entry!B128)</f>
        <v/>
      </c>
      <c r="C130" s="104">
        <f>IF(LLM_Data_Entry!C128="","",LLM_Data_Entry!C128)</f>
        <v/>
      </c>
      <c r="D130" s="103">
        <f>IF(LLM_Data_Entry!D128="","",LLM_Data_Entry!D128)</f>
        <v/>
      </c>
      <c r="E130" s="103">
        <f>IF(LLM_Data_Entry!V128="","",LLM_Data_Entry!V128)</f>
        <v/>
      </c>
      <c r="F130" s="103">
        <f>IF(LLM_Data_Entry!AS128="","",LLM_Data_Entry!AS128)</f>
        <v/>
      </c>
      <c r="G130" s="103">
        <f>IF(LLM_Data_Entry!AG128="","",LLM_Data_Entry!AG128)</f>
        <v/>
      </c>
      <c r="H130" s="103">
        <f>IF(LLM_Data_Entry!AT128="","",LLM_Data_Entry!AT128)</f>
        <v/>
      </c>
      <c r="I130" s="103">
        <f>IF(LLM_Data_Entry!AU128="","",LLM_Data_Entry!AU128)</f>
        <v/>
      </c>
      <c r="J130" s="103">
        <f>IF(LLM_Data_Entry!AH128="","",LLM_Data_Entry!AH128)</f>
        <v/>
      </c>
      <c r="K130" s="103">
        <f>IF(LLM_Data_Entry!AI128="","",LLM_Data_Entry!AI128)</f>
        <v/>
      </c>
      <c r="L130" s="103">
        <f>IF(LLM_Data_Entry!AJ128="","",LLM_Data_Entry!AJ128)</f>
        <v/>
      </c>
      <c r="M130" s="103">
        <f>IF(LLM_Data_Entry!AV128="","",LLM_Data_Entry!AV128)</f>
        <v/>
      </c>
      <c r="N130" s="103">
        <f>IF(LLM_Data_Entry!AW128="","",LLM_Data_Entry!AW128)</f>
        <v/>
      </c>
      <c r="O130" s="103">
        <f>IF(LLM_Data_Entry!AX128="","",LLM_Data_Entry!AX128)</f>
        <v/>
      </c>
      <c r="P130" s="103">
        <f>IF(LLM_Data_Entry!AY128="","",LLM_Data_Entry!AY128)</f>
        <v/>
      </c>
      <c r="Q130" s="103">
        <f>IF(LLM_Data_Entry!AZ128="","",LLM_Data_Entry!AZ128)</f>
        <v/>
      </c>
      <c r="R130" s="103">
        <f>IF(LLM_Data_Entry!AK128="","",LLM_Data_Entry!AK128)</f>
        <v/>
      </c>
      <c r="S130" s="103">
        <f>IF(LLM_Data_Entry!AL128="","",LLM_Data_Entry!AL128)</f>
        <v/>
      </c>
      <c r="T130" s="103">
        <f>IF(LLM_Data_Entry!BA128="","",LLM_Data_Entry!BA128)</f>
        <v/>
      </c>
      <c r="U130" s="103">
        <f>IF(LLM_Data_Entry!BB128="","",LLM_Data_Entry!BB128)</f>
        <v/>
      </c>
      <c r="V130" s="106">
        <f>IF(LLM_Data_Entry!O128="","",LLM_Data_Entry!O128)</f>
        <v/>
      </c>
    </row>
    <row r="131" ht="15" customHeight="1" s="241">
      <c r="A131" s="103">
        <f>IF(LLM_Data_Entry!A129="","",LLM_Data_Entry!A129)</f>
        <v/>
      </c>
      <c r="B131" s="103">
        <f>IF(LLM_Data_Entry!B129="","",LLM_Data_Entry!B129)</f>
        <v/>
      </c>
      <c r="C131" s="104">
        <f>IF(LLM_Data_Entry!C129="","",LLM_Data_Entry!C129)</f>
        <v/>
      </c>
      <c r="D131" s="103">
        <f>IF(LLM_Data_Entry!D129="","",LLM_Data_Entry!D129)</f>
        <v/>
      </c>
      <c r="E131" s="103">
        <f>IF(LLM_Data_Entry!V129="","",LLM_Data_Entry!V129)</f>
        <v/>
      </c>
      <c r="F131" s="103">
        <f>IF(LLM_Data_Entry!AS129="","",LLM_Data_Entry!AS129)</f>
        <v/>
      </c>
      <c r="G131" s="103">
        <f>IF(LLM_Data_Entry!AG129="","",LLM_Data_Entry!AG129)</f>
        <v/>
      </c>
      <c r="H131" s="103">
        <f>IF(LLM_Data_Entry!AT129="","",LLM_Data_Entry!AT129)</f>
        <v/>
      </c>
      <c r="I131" s="103">
        <f>IF(LLM_Data_Entry!AU129="","",LLM_Data_Entry!AU129)</f>
        <v/>
      </c>
      <c r="J131" s="103">
        <f>IF(LLM_Data_Entry!AH129="","",LLM_Data_Entry!AH129)</f>
        <v/>
      </c>
      <c r="K131" s="103">
        <f>IF(LLM_Data_Entry!AI129="","",LLM_Data_Entry!AI129)</f>
        <v/>
      </c>
      <c r="L131" s="103">
        <f>IF(LLM_Data_Entry!AJ129="","",LLM_Data_Entry!AJ129)</f>
        <v/>
      </c>
      <c r="M131" s="103">
        <f>IF(LLM_Data_Entry!AV129="","",LLM_Data_Entry!AV129)</f>
        <v/>
      </c>
      <c r="N131" s="103">
        <f>IF(LLM_Data_Entry!AW129="","",LLM_Data_Entry!AW129)</f>
        <v/>
      </c>
      <c r="O131" s="103">
        <f>IF(LLM_Data_Entry!AX129="","",LLM_Data_Entry!AX129)</f>
        <v/>
      </c>
      <c r="P131" s="103">
        <f>IF(LLM_Data_Entry!AY129="","",LLM_Data_Entry!AY129)</f>
        <v/>
      </c>
      <c r="Q131" s="103">
        <f>IF(LLM_Data_Entry!AZ129="","",LLM_Data_Entry!AZ129)</f>
        <v/>
      </c>
      <c r="R131" s="103">
        <f>IF(LLM_Data_Entry!AK129="","",LLM_Data_Entry!AK129)</f>
        <v/>
      </c>
      <c r="S131" s="103">
        <f>IF(LLM_Data_Entry!AL129="","",LLM_Data_Entry!AL129)</f>
        <v/>
      </c>
      <c r="T131" s="103">
        <f>IF(LLM_Data_Entry!BA129="","",LLM_Data_Entry!BA129)</f>
        <v/>
      </c>
      <c r="U131" s="103">
        <f>IF(LLM_Data_Entry!BB129="","",LLM_Data_Entry!BB129)</f>
        <v/>
      </c>
      <c r="V131" s="106">
        <f>IF(LLM_Data_Entry!O129="","",LLM_Data_Entry!O129)</f>
        <v/>
      </c>
    </row>
    <row r="132" ht="15" customHeight="1" s="241">
      <c r="A132" s="103">
        <f>IF(LLM_Data_Entry!A130="","",LLM_Data_Entry!A130)</f>
        <v/>
      </c>
      <c r="B132" s="103">
        <f>IF(LLM_Data_Entry!B130="","",LLM_Data_Entry!B130)</f>
        <v/>
      </c>
      <c r="C132" s="104">
        <f>IF(LLM_Data_Entry!C130="","",LLM_Data_Entry!C130)</f>
        <v/>
      </c>
      <c r="D132" s="103">
        <f>IF(LLM_Data_Entry!D130="","",LLM_Data_Entry!D130)</f>
        <v/>
      </c>
      <c r="E132" s="103">
        <f>IF(LLM_Data_Entry!V130="","",LLM_Data_Entry!V130)</f>
        <v/>
      </c>
      <c r="F132" s="103">
        <f>IF(LLM_Data_Entry!AS130="","",LLM_Data_Entry!AS130)</f>
        <v/>
      </c>
      <c r="G132" s="103">
        <f>IF(LLM_Data_Entry!AG130="","",LLM_Data_Entry!AG130)</f>
        <v/>
      </c>
      <c r="H132" s="103">
        <f>IF(LLM_Data_Entry!AT130="","",LLM_Data_Entry!AT130)</f>
        <v/>
      </c>
      <c r="I132" s="103">
        <f>IF(LLM_Data_Entry!AU130="","",LLM_Data_Entry!AU130)</f>
        <v/>
      </c>
      <c r="J132" s="103">
        <f>IF(LLM_Data_Entry!AH130="","",LLM_Data_Entry!AH130)</f>
        <v/>
      </c>
      <c r="K132" s="103">
        <f>IF(LLM_Data_Entry!AI130="","",LLM_Data_Entry!AI130)</f>
        <v/>
      </c>
      <c r="L132" s="103">
        <f>IF(LLM_Data_Entry!AJ130="","",LLM_Data_Entry!AJ130)</f>
        <v/>
      </c>
      <c r="M132" s="103">
        <f>IF(LLM_Data_Entry!AV130="","",LLM_Data_Entry!AV130)</f>
        <v/>
      </c>
      <c r="N132" s="103">
        <f>IF(LLM_Data_Entry!AW130="","",LLM_Data_Entry!AW130)</f>
        <v/>
      </c>
      <c r="O132" s="103">
        <f>IF(LLM_Data_Entry!AX130="","",LLM_Data_Entry!AX130)</f>
        <v/>
      </c>
      <c r="P132" s="103">
        <f>IF(LLM_Data_Entry!AY130="","",LLM_Data_Entry!AY130)</f>
        <v/>
      </c>
      <c r="Q132" s="103">
        <f>IF(LLM_Data_Entry!AZ130="","",LLM_Data_Entry!AZ130)</f>
        <v/>
      </c>
      <c r="R132" s="103">
        <f>IF(LLM_Data_Entry!AK130="","",LLM_Data_Entry!AK130)</f>
        <v/>
      </c>
      <c r="S132" s="103">
        <f>IF(LLM_Data_Entry!AL130="","",LLM_Data_Entry!AL130)</f>
        <v/>
      </c>
      <c r="T132" s="103">
        <f>IF(LLM_Data_Entry!BA130="","",LLM_Data_Entry!BA130)</f>
        <v/>
      </c>
      <c r="U132" s="103">
        <f>IF(LLM_Data_Entry!BB130="","",LLM_Data_Entry!BB130)</f>
        <v/>
      </c>
      <c r="V132" s="106">
        <f>IF(LLM_Data_Entry!O130="","",LLM_Data_Entry!O130)</f>
        <v/>
      </c>
    </row>
    <row r="133" ht="15" customHeight="1" s="241">
      <c r="A133" s="103">
        <f>IF(LLM_Data_Entry!A131="","",LLM_Data_Entry!A131)</f>
        <v/>
      </c>
      <c r="B133" s="103">
        <f>IF(LLM_Data_Entry!B131="","",LLM_Data_Entry!B131)</f>
        <v/>
      </c>
      <c r="C133" s="104">
        <f>IF(LLM_Data_Entry!C131="","",LLM_Data_Entry!C131)</f>
        <v/>
      </c>
      <c r="D133" s="103">
        <f>IF(LLM_Data_Entry!D131="","",LLM_Data_Entry!D131)</f>
        <v/>
      </c>
      <c r="E133" s="103">
        <f>IF(LLM_Data_Entry!V131="","",LLM_Data_Entry!V131)</f>
        <v/>
      </c>
      <c r="F133" s="103">
        <f>IF(LLM_Data_Entry!AS131="","",LLM_Data_Entry!AS131)</f>
        <v/>
      </c>
      <c r="G133" s="103">
        <f>IF(LLM_Data_Entry!AG131="","",LLM_Data_Entry!AG131)</f>
        <v/>
      </c>
      <c r="H133" s="103">
        <f>IF(LLM_Data_Entry!AT131="","",LLM_Data_Entry!AT131)</f>
        <v/>
      </c>
      <c r="I133" s="103">
        <f>IF(LLM_Data_Entry!AU131="","",LLM_Data_Entry!AU131)</f>
        <v/>
      </c>
      <c r="J133" s="103">
        <f>IF(LLM_Data_Entry!AH131="","",LLM_Data_Entry!AH131)</f>
        <v/>
      </c>
      <c r="K133" s="103">
        <f>IF(LLM_Data_Entry!AI131="","",LLM_Data_Entry!AI131)</f>
        <v/>
      </c>
      <c r="L133" s="103">
        <f>IF(LLM_Data_Entry!AJ131="","",LLM_Data_Entry!AJ131)</f>
        <v/>
      </c>
      <c r="M133" s="103">
        <f>IF(LLM_Data_Entry!AV131="","",LLM_Data_Entry!AV131)</f>
        <v/>
      </c>
      <c r="N133" s="103">
        <f>IF(LLM_Data_Entry!AW131="","",LLM_Data_Entry!AW131)</f>
        <v/>
      </c>
      <c r="O133" s="103">
        <f>IF(LLM_Data_Entry!AX131="","",LLM_Data_Entry!AX131)</f>
        <v/>
      </c>
      <c r="P133" s="103">
        <f>IF(LLM_Data_Entry!AY131="","",LLM_Data_Entry!AY131)</f>
        <v/>
      </c>
      <c r="Q133" s="103">
        <f>IF(LLM_Data_Entry!AZ131="","",LLM_Data_Entry!AZ131)</f>
        <v/>
      </c>
      <c r="R133" s="103">
        <f>IF(LLM_Data_Entry!AK131="","",LLM_Data_Entry!AK131)</f>
        <v/>
      </c>
      <c r="S133" s="103">
        <f>IF(LLM_Data_Entry!AL131="","",LLM_Data_Entry!AL131)</f>
        <v/>
      </c>
      <c r="T133" s="103">
        <f>IF(LLM_Data_Entry!BA131="","",LLM_Data_Entry!BA131)</f>
        <v/>
      </c>
      <c r="U133" s="103">
        <f>IF(LLM_Data_Entry!BB131="","",LLM_Data_Entry!BB131)</f>
        <v/>
      </c>
      <c r="V133" s="106">
        <f>IF(LLM_Data_Entry!O131="","",LLM_Data_Entry!O131)</f>
        <v/>
      </c>
    </row>
    <row r="134" ht="15" customHeight="1" s="241">
      <c r="A134" s="103">
        <f>IF(LLM_Data_Entry!A132="","",LLM_Data_Entry!A132)</f>
        <v/>
      </c>
      <c r="B134" s="103">
        <f>IF(LLM_Data_Entry!B132="","",LLM_Data_Entry!B132)</f>
        <v/>
      </c>
      <c r="C134" s="104">
        <f>IF(LLM_Data_Entry!C132="","",LLM_Data_Entry!C132)</f>
        <v/>
      </c>
      <c r="D134" s="103">
        <f>IF(LLM_Data_Entry!D132="","",LLM_Data_Entry!D132)</f>
        <v/>
      </c>
      <c r="E134" s="103">
        <f>IF(LLM_Data_Entry!V132="","",LLM_Data_Entry!V132)</f>
        <v/>
      </c>
      <c r="F134" s="103">
        <f>IF(LLM_Data_Entry!AS132="","",LLM_Data_Entry!AS132)</f>
        <v/>
      </c>
      <c r="G134" s="103">
        <f>IF(LLM_Data_Entry!AG132="","",LLM_Data_Entry!AG132)</f>
        <v/>
      </c>
      <c r="H134" s="103">
        <f>IF(LLM_Data_Entry!AT132="","",LLM_Data_Entry!AT132)</f>
        <v/>
      </c>
      <c r="I134" s="103">
        <f>IF(LLM_Data_Entry!AU132="","",LLM_Data_Entry!AU132)</f>
        <v/>
      </c>
      <c r="J134" s="103">
        <f>IF(LLM_Data_Entry!AH132="","",LLM_Data_Entry!AH132)</f>
        <v/>
      </c>
      <c r="K134" s="103">
        <f>IF(LLM_Data_Entry!AI132="","",LLM_Data_Entry!AI132)</f>
        <v/>
      </c>
      <c r="L134" s="103">
        <f>IF(LLM_Data_Entry!AJ132="","",LLM_Data_Entry!AJ132)</f>
        <v/>
      </c>
      <c r="M134" s="103">
        <f>IF(LLM_Data_Entry!AV132="","",LLM_Data_Entry!AV132)</f>
        <v/>
      </c>
      <c r="N134" s="103">
        <f>IF(LLM_Data_Entry!AW132="","",LLM_Data_Entry!AW132)</f>
        <v/>
      </c>
      <c r="O134" s="103">
        <f>IF(LLM_Data_Entry!AX132="","",LLM_Data_Entry!AX132)</f>
        <v/>
      </c>
      <c r="P134" s="103">
        <f>IF(LLM_Data_Entry!AY132="","",LLM_Data_Entry!AY132)</f>
        <v/>
      </c>
      <c r="Q134" s="103">
        <f>IF(LLM_Data_Entry!AZ132="","",LLM_Data_Entry!AZ132)</f>
        <v/>
      </c>
      <c r="R134" s="103">
        <f>IF(LLM_Data_Entry!AK132="","",LLM_Data_Entry!AK132)</f>
        <v/>
      </c>
      <c r="S134" s="103">
        <f>IF(LLM_Data_Entry!AL132="","",LLM_Data_Entry!AL132)</f>
        <v/>
      </c>
      <c r="T134" s="103">
        <f>IF(LLM_Data_Entry!BA132="","",LLM_Data_Entry!BA132)</f>
        <v/>
      </c>
      <c r="U134" s="103">
        <f>IF(LLM_Data_Entry!BB132="","",LLM_Data_Entry!BB132)</f>
        <v/>
      </c>
      <c r="V134" s="106">
        <f>IF(LLM_Data_Entry!O132="","",LLM_Data_Entry!O132)</f>
        <v/>
      </c>
    </row>
    <row r="135" ht="15" customHeight="1" s="241">
      <c r="A135" s="103">
        <f>IF(LLM_Data_Entry!A133="","",LLM_Data_Entry!A133)</f>
        <v/>
      </c>
      <c r="B135" s="103">
        <f>IF(LLM_Data_Entry!B133="","",LLM_Data_Entry!B133)</f>
        <v/>
      </c>
      <c r="C135" s="104">
        <f>IF(LLM_Data_Entry!C133="","",LLM_Data_Entry!C133)</f>
        <v/>
      </c>
      <c r="D135" s="103">
        <f>IF(LLM_Data_Entry!D133="","",LLM_Data_Entry!D133)</f>
        <v/>
      </c>
      <c r="E135" s="103">
        <f>IF(LLM_Data_Entry!V133="","",LLM_Data_Entry!V133)</f>
        <v/>
      </c>
      <c r="F135" s="103">
        <f>IF(LLM_Data_Entry!AS133="","",LLM_Data_Entry!AS133)</f>
        <v/>
      </c>
      <c r="G135" s="103">
        <f>IF(LLM_Data_Entry!AG133="","",LLM_Data_Entry!AG133)</f>
        <v/>
      </c>
      <c r="H135" s="103">
        <f>IF(LLM_Data_Entry!AT133="","",LLM_Data_Entry!AT133)</f>
        <v/>
      </c>
      <c r="I135" s="103">
        <f>IF(LLM_Data_Entry!AU133="","",LLM_Data_Entry!AU133)</f>
        <v/>
      </c>
      <c r="J135" s="103">
        <f>IF(LLM_Data_Entry!AH133="","",LLM_Data_Entry!AH133)</f>
        <v/>
      </c>
      <c r="K135" s="103">
        <f>IF(LLM_Data_Entry!AI133="","",LLM_Data_Entry!AI133)</f>
        <v/>
      </c>
      <c r="L135" s="103">
        <f>IF(LLM_Data_Entry!AJ133="","",LLM_Data_Entry!AJ133)</f>
        <v/>
      </c>
      <c r="M135" s="103">
        <f>IF(LLM_Data_Entry!AV133="","",LLM_Data_Entry!AV133)</f>
        <v/>
      </c>
      <c r="N135" s="103">
        <f>IF(LLM_Data_Entry!AW133="","",LLM_Data_Entry!AW133)</f>
        <v/>
      </c>
      <c r="O135" s="103">
        <f>IF(LLM_Data_Entry!AX133="","",LLM_Data_Entry!AX133)</f>
        <v/>
      </c>
      <c r="P135" s="103">
        <f>IF(LLM_Data_Entry!AY133="","",LLM_Data_Entry!AY133)</f>
        <v/>
      </c>
      <c r="Q135" s="103">
        <f>IF(LLM_Data_Entry!AZ133="","",LLM_Data_Entry!AZ133)</f>
        <v/>
      </c>
      <c r="R135" s="103">
        <f>IF(LLM_Data_Entry!AK133="","",LLM_Data_Entry!AK133)</f>
        <v/>
      </c>
      <c r="S135" s="103">
        <f>IF(LLM_Data_Entry!AL133="","",LLM_Data_Entry!AL133)</f>
        <v/>
      </c>
      <c r="T135" s="103">
        <f>IF(LLM_Data_Entry!BA133="","",LLM_Data_Entry!BA133)</f>
        <v/>
      </c>
      <c r="U135" s="103">
        <f>IF(LLM_Data_Entry!BB133="","",LLM_Data_Entry!BB133)</f>
        <v/>
      </c>
      <c r="V135" s="106">
        <f>IF(LLM_Data_Entry!O133="","",LLM_Data_Entry!O133)</f>
        <v/>
      </c>
    </row>
    <row r="136" ht="15" customHeight="1" s="241">
      <c r="A136" s="103">
        <f>IF(LLM_Data_Entry!A134="","",LLM_Data_Entry!A134)</f>
        <v/>
      </c>
      <c r="B136" s="103">
        <f>IF(LLM_Data_Entry!B134="","",LLM_Data_Entry!B134)</f>
        <v/>
      </c>
      <c r="C136" s="104">
        <f>IF(LLM_Data_Entry!C134="","",LLM_Data_Entry!C134)</f>
        <v/>
      </c>
      <c r="D136" s="103">
        <f>IF(LLM_Data_Entry!D134="","",LLM_Data_Entry!D134)</f>
        <v/>
      </c>
      <c r="E136" s="103">
        <f>IF(LLM_Data_Entry!V134="","",LLM_Data_Entry!V134)</f>
        <v/>
      </c>
      <c r="F136" s="103">
        <f>IF(LLM_Data_Entry!AS134="","",LLM_Data_Entry!AS134)</f>
        <v/>
      </c>
      <c r="G136" s="103">
        <f>IF(LLM_Data_Entry!AG134="","",LLM_Data_Entry!AG134)</f>
        <v/>
      </c>
      <c r="H136" s="103">
        <f>IF(LLM_Data_Entry!AT134="","",LLM_Data_Entry!AT134)</f>
        <v/>
      </c>
      <c r="I136" s="103">
        <f>IF(LLM_Data_Entry!AU134="","",LLM_Data_Entry!AU134)</f>
        <v/>
      </c>
      <c r="J136" s="103">
        <f>IF(LLM_Data_Entry!AH134="","",LLM_Data_Entry!AH134)</f>
        <v/>
      </c>
      <c r="K136" s="103">
        <f>IF(LLM_Data_Entry!AI134="","",LLM_Data_Entry!AI134)</f>
        <v/>
      </c>
      <c r="L136" s="103">
        <f>IF(LLM_Data_Entry!AJ134="","",LLM_Data_Entry!AJ134)</f>
        <v/>
      </c>
      <c r="M136" s="103">
        <f>IF(LLM_Data_Entry!AV134="","",LLM_Data_Entry!AV134)</f>
        <v/>
      </c>
      <c r="N136" s="103">
        <f>IF(LLM_Data_Entry!AW134="","",LLM_Data_Entry!AW134)</f>
        <v/>
      </c>
      <c r="O136" s="103">
        <f>IF(LLM_Data_Entry!AX134="","",LLM_Data_Entry!AX134)</f>
        <v/>
      </c>
      <c r="P136" s="103">
        <f>IF(LLM_Data_Entry!AY134="","",LLM_Data_Entry!AY134)</f>
        <v/>
      </c>
      <c r="Q136" s="103">
        <f>IF(LLM_Data_Entry!AZ134="","",LLM_Data_Entry!AZ134)</f>
        <v/>
      </c>
      <c r="R136" s="103">
        <f>IF(LLM_Data_Entry!AK134="","",LLM_Data_Entry!AK134)</f>
        <v/>
      </c>
      <c r="S136" s="103">
        <f>IF(LLM_Data_Entry!AL134="","",LLM_Data_Entry!AL134)</f>
        <v/>
      </c>
      <c r="T136" s="103">
        <f>IF(LLM_Data_Entry!BA134="","",LLM_Data_Entry!BA134)</f>
        <v/>
      </c>
      <c r="U136" s="103">
        <f>IF(LLM_Data_Entry!BB134="","",LLM_Data_Entry!BB134)</f>
        <v/>
      </c>
      <c r="V136" s="106">
        <f>IF(LLM_Data_Entry!O134="","",LLM_Data_Entry!O134)</f>
        <v/>
      </c>
    </row>
    <row r="137" ht="15" customHeight="1" s="241">
      <c r="A137" s="103">
        <f>IF(LLM_Data_Entry!A135="","",LLM_Data_Entry!A135)</f>
        <v/>
      </c>
      <c r="B137" s="103">
        <f>IF(LLM_Data_Entry!B135="","",LLM_Data_Entry!B135)</f>
        <v/>
      </c>
      <c r="C137" s="104">
        <f>IF(LLM_Data_Entry!C135="","",LLM_Data_Entry!C135)</f>
        <v/>
      </c>
      <c r="D137" s="103">
        <f>IF(LLM_Data_Entry!D135="","",LLM_Data_Entry!D135)</f>
        <v/>
      </c>
      <c r="E137" s="103">
        <f>IF(LLM_Data_Entry!V135="","",LLM_Data_Entry!V135)</f>
        <v/>
      </c>
      <c r="F137" s="103">
        <f>IF(LLM_Data_Entry!AS135="","",LLM_Data_Entry!AS135)</f>
        <v/>
      </c>
      <c r="G137" s="103">
        <f>IF(LLM_Data_Entry!AG135="","",LLM_Data_Entry!AG135)</f>
        <v/>
      </c>
      <c r="H137" s="103">
        <f>IF(LLM_Data_Entry!AT135="","",LLM_Data_Entry!AT135)</f>
        <v/>
      </c>
      <c r="I137" s="103">
        <f>IF(LLM_Data_Entry!AU135="","",LLM_Data_Entry!AU135)</f>
        <v/>
      </c>
      <c r="J137" s="103">
        <f>IF(LLM_Data_Entry!AH135="","",LLM_Data_Entry!AH135)</f>
        <v/>
      </c>
      <c r="K137" s="103">
        <f>IF(LLM_Data_Entry!AI135="","",LLM_Data_Entry!AI135)</f>
        <v/>
      </c>
      <c r="L137" s="103">
        <f>IF(LLM_Data_Entry!AJ135="","",LLM_Data_Entry!AJ135)</f>
        <v/>
      </c>
      <c r="M137" s="103">
        <f>IF(LLM_Data_Entry!AV135="","",LLM_Data_Entry!AV135)</f>
        <v/>
      </c>
      <c r="N137" s="103">
        <f>IF(LLM_Data_Entry!AW135="","",LLM_Data_Entry!AW135)</f>
        <v/>
      </c>
      <c r="O137" s="103">
        <f>IF(LLM_Data_Entry!AX135="","",LLM_Data_Entry!AX135)</f>
        <v/>
      </c>
      <c r="P137" s="103">
        <f>IF(LLM_Data_Entry!AY135="","",LLM_Data_Entry!AY135)</f>
        <v/>
      </c>
      <c r="Q137" s="103">
        <f>IF(LLM_Data_Entry!AZ135="","",LLM_Data_Entry!AZ135)</f>
        <v/>
      </c>
      <c r="R137" s="103">
        <f>IF(LLM_Data_Entry!AK135="","",LLM_Data_Entry!AK135)</f>
        <v/>
      </c>
      <c r="S137" s="103">
        <f>IF(LLM_Data_Entry!AL135="","",LLM_Data_Entry!AL135)</f>
        <v/>
      </c>
      <c r="T137" s="103">
        <f>IF(LLM_Data_Entry!BA135="","",LLM_Data_Entry!BA135)</f>
        <v/>
      </c>
      <c r="U137" s="103">
        <f>IF(LLM_Data_Entry!BB135="","",LLM_Data_Entry!BB135)</f>
        <v/>
      </c>
      <c r="V137" s="106">
        <f>IF(LLM_Data_Entry!O135="","",LLM_Data_Entry!O135)</f>
        <v/>
      </c>
    </row>
    <row r="138" ht="15" customHeight="1" s="241">
      <c r="A138" s="103">
        <f>IF(LLM_Data_Entry!A136="","",LLM_Data_Entry!A136)</f>
        <v/>
      </c>
      <c r="B138" s="103">
        <f>IF(LLM_Data_Entry!B136="","",LLM_Data_Entry!B136)</f>
        <v/>
      </c>
      <c r="C138" s="104">
        <f>IF(LLM_Data_Entry!C136="","",LLM_Data_Entry!C136)</f>
        <v/>
      </c>
      <c r="D138" s="103">
        <f>IF(LLM_Data_Entry!D136="","",LLM_Data_Entry!D136)</f>
        <v/>
      </c>
      <c r="E138" s="103">
        <f>IF(LLM_Data_Entry!V136="","",LLM_Data_Entry!V136)</f>
        <v/>
      </c>
      <c r="F138" s="103">
        <f>IF(LLM_Data_Entry!AS136="","",LLM_Data_Entry!AS136)</f>
        <v/>
      </c>
      <c r="G138" s="103">
        <f>IF(LLM_Data_Entry!AG136="","",LLM_Data_Entry!AG136)</f>
        <v/>
      </c>
      <c r="H138" s="103">
        <f>IF(LLM_Data_Entry!AT136="","",LLM_Data_Entry!AT136)</f>
        <v/>
      </c>
      <c r="I138" s="103">
        <f>IF(LLM_Data_Entry!AU136="","",LLM_Data_Entry!AU136)</f>
        <v/>
      </c>
      <c r="J138" s="103">
        <f>IF(LLM_Data_Entry!AH136="","",LLM_Data_Entry!AH136)</f>
        <v/>
      </c>
      <c r="K138" s="103">
        <f>IF(LLM_Data_Entry!AI136="","",LLM_Data_Entry!AI136)</f>
        <v/>
      </c>
      <c r="L138" s="103">
        <f>IF(LLM_Data_Entry!AJ136="","",LLM_Data_Entry!AJ136)</f>
        <v/>
      </c>
      <c r="M138" s="103">
        <f>IF(LLM_Data_Entry!AV136="","",LLM_Data_Entry!AV136)</f>
        <v/>
      </c>
      <c r="N138" s="103">
        <f>IF(LLM_Data_Entry!AW136="","",LLM_Data_Entry!AW136)</f>
        <v/>
      </c>
      <c r="O138" s="103">
        <f>IF(LLM_Data_Entry!AX136="","",LLM_Data_Entry!AX136)</f>
        <v/>
      </c>
      <c r="P138" s="103">
        <f>IF(LLM_Data_Entry!AY136="","",LLM_Data_Entry!AY136)</f>
        <v/>
      </c>
      <c r="Q138" s="103">
        <f>IF(LLM_Data_Entry!AZ136="","",LLM_Data_Entry!AZ136)</f>
        <v/>
      </c>
      <c r="R138" s="103">
        <f>IF(LLM_Data_Entry!AK136="","",LLM_Data_Entry!AK136)</f>
        <v/>
      </c>
      <c r="S138" s="103">
        <f>IF(LLM_Data_Entry!AL136="","",LLM_Data_Entry!AL136)</f>
        <v/>
      </c>
      <c r="T138" s="103">
        <f>IF(LLM_Data_Entry!BA136="","",LLM_Data_Entry!BA136)</f>
        <v/>
      </c>
      <c r="U138" s="103">
        <f>IF(LLM_Data_Entry!BB136="","",LLM_Data_Entry!BB136)</f>
        <v/>
      </c>
      <c r="V138" s="106">
        <f>IF(LLM_Data_Entry!O136="","",LLM_Data_Entry!O136)</f>
        <v/>
      </c>
    </row>
    <row r="139" ht="15" customHeight="1" s="241">
      <c r="A139" s="103">
        <f>IF(LLM_Data_Entry!A137="","",LLM_Data_Entry!A137)</f>
        <v/>
      </c>
      <c r="B139" s="103">
        <f>IF(LLM_Data_Entry!B137="","",LLM_Data_Entry!B137)</f>
        <v/>
      </c>
      <c r="C139" s="104">
        <f>IF(LLM_Data_Entry!C137="","",LLM_Data_Entry!C137)</f>
        <v/>
      </c>
      <c r="D139" s="103">
        <f>IF(LLM_Data_Entry!D137="","",LLM_Data_Entry!D137)</f>
        <v/>
      </c>
      <c r="E139" s="103">
        <f>IF(LLM_Data_Entry!V137="","",LLM_Data_Entry!V137)</f>
        <v/>
      </c>
      <c r="F139" s="103">
        <f>IF(LLM_Data_Entry!AS137="","",LLM_Data_Entry!AS137)</f>
        <v/>
      </c>
      <c r="G139" s="103">
        <f>IF(LLM_Data_Entry!AG137="","",LLM_Data_Entry!AG137)</f>
        <v/>
      </c>
      <c r="H139" s="103">
        <f>IF(LLM_Data_Entry!AT137="","",LLM_Data_Entry!AT137)</f>
        <v/>
      </c>
      <c r="I139" s="103">
        <f>IF(LLM_Data_Entry!AU137="","",LLM_Data_Entry!AU137)</f>
        <v/>
      </c>
      <c r="J139" s="103">
        <f>IF(LLM_Data_Entry!AH137="","",LLM_Data_Entry!AH137)</f>
        <v/>
      </c>
      <c r="K139" s="103">
        <f>IF(LLM_Data_Entry!AI137="","",LLM_Data_Entry!AI137)</f>
        <v/>
      </c>
      <c r="L139" s="103">
        <f>IF(LLM_Data_Entry!AJ137="","",LLM_Data_Entry!AJ137)</f>
        <v/>
      </c>
      <c r="M139" s="103">
        <f>IF(LLM_Data_Entry!AV137="","",LLM_Data_Entry!AV137)</f>
        <v/>
      </c>
      <c r="N139" s="103">
        <f>IF(LLM_Data_Entry!AW137="","",LLM_Data_Entry!AW137)</f>
        <v/>
      </c>
      <c r="O139" s="103">
        <f>IF(LLM_Data_Entry!AX137="","",LLM_Data_Entry!AX137)</f>
        <v/>
      </c>
      <c r="P139" s="103">
        <f>IF(LLM_Data_Entry!AY137="","",LLM_Data_Entry!AY137)</f>
        <v/>
      </c>
      <c r="Q139" s="103">
        <f>IF(LLM_Data_Entry!AZ137="","",LLM_Data_Entry!AZ137)</f>
        <v/>
      </c>
      <c r="R139" s="103">
        <f>IF(LLM_Data_Entry!AK137="","",LLM_Data_Entry!AK137)</f>
        <v/>
      </c>
      <c r="S139" s="103">
        <f>IF(LLM_Data_Entry!AL137="","",LLM_Data_Entry!AL137)</f>
        <v/>
      </c>
      <c r="T139" s="103">
        <f>IF(LLM_Data_Entry!BA137="","",LLM_Data_Entry!BA137)</f>
        <v/>
      </c>
      <c r="U139" s="103">
        <f>IF(LLM_Data_Entry!BB137="","",LLM_Data_Entry!BB137)</f>
        <v/>
      </c>
      <c r="V139" s="106">
        <f>IF(LLM_Data_Entry!O137="","",LLM_Data_Entry!O137)</f>
        <v/>
      </c>
    </row>
    <row r="140" ht="15" customHeight="1" s="241">
      <c r="A140" s="103">
        <f>IF(LLM_Data_Entry!A138="","",LLM_Data_Entry!A138)</f>
        <v/>
      </c>
      <c r="B140" s="103">
        <f>IF(LLM_Data_Entry!B138="","",LLM_Data_Entry!B138)</f>
        <v/>
      </c>
      <c r="C140" s="104">
        <f>IF(LLM_Data_Entry!C138="","",LLM_Data_Entry!C138)</f>
        <v/>
      </c>
      <c r="D140" s="103">
        <f>IF(LLM_Data_Entry!D138="","",LLM_Data_Entry!D138)</f>
        <v/>
      </c>
      <c r="E140" s="103">
        <f>IF(LLM_Data_Entry!V138="","",LLM_Data_Entry!V138)</f>
        <v/>
      </c>
      <c r="F140" s="103">
        <f>IF(LLM_Data_Entry!AS138="","",LLM_Data_Entry!AS138)</f>
        <v/>
      </c>
      <c r="G140" s="103">
        <f>IF(LLM_Data_Entry!AG138="","",LLM_Data_Entry!AG138)</f>
        <v/>
      </c>
      <c r="H140" s="103">
        <f>IF(LLM_Data_Entry!AT138="","",LLM_Data_Entry!AT138)</f>
        <v/>
      </c>
      <c r="I140" s="103">
        <f>IF(LLM_Data_Entry!AU138="","",LLM_Data_Entry!AU138)</f>
        <v/>
      </c>
      <c r="J140" s="103">
        <f>IF(LLM_Data_Entry!AH138="","",LLM_Data_Entry!AH138)</f>
        <v/>
      </c>
      <c r="K140" s="103">
        <f>IF(LLM_Data_Entry!AI138="","",LLM_Data_Entry!AI138)</f>
        <v/>
      </c>
      <c r="L140" s="103">
        <f>IF(LLM_Data_Entry!AJ138="","",LLM_Data_Entry!AJ138)</f>
        <v/>
      </c>
      <c r="M140" s="103">
        <f>IF(LLM_Data_Entry!AV138="","",LLM_Data_Entry!AV138)</f>
        <v/>
      </c>
      <c r="N140" s="103">
        <f>IF(LLM_Data_Entry!AW138="","",LLM_Data_Entry!AW138)</f>
        <v/>
      </c>
      <c r="O140" s="103">
        <f>IF(LLM_Data_Entry!AX138="","",LLM_Data_Entry!AX138)</f>
        <v/>
      </c>
      <c r="P140" s="103">
        <f>IF(LLM_Data_Entry!AY138="","",LLM_Data_Entry!AY138)</f>
        <v/>
      </c>
      <c r="Q140" s="103">
        <f>IF(LLM_Data_Entry!AZ138="","",LLM_Data_Entry!AZ138)</f>
        <v/>
      </c>
      <c r="R140" s="103">
        <f>IF(LLM_Data_Entry!AK138="","",LLM_Data_Entry!AK138)</f>
        <v/>
      </c>
      <c r="S140" s="103">
        <f>IF(LLM_Data_Entry!AL138="","",LLM_Data_Entry!AL138)</f>
        <v/>
      </c>
      <c r="T140" s="103">
        <f>IF(LLM_Data_Entry!BA138="","",LLM_Data_Entry!BA138)</f>
        <v/>
      </c>
      <c r="U140" s="103">
        <f>IF(LLM_Data_Entry!BB138="","",LLM_Data_Entry!BB138)</f>
        <v/>
      </c>
      <c r="V140" s="106">
        <f>IF(LLM_Data_Entry!O138="","",LLM_Data_Entry!O138)</f>
        <v/>
      </c>
    </row>
    <row r="141" ht="15" customHeight="1" s="241">
      <c r="A141" s="103">
        <f>IF(LLM_Data_Entry!A139="","",LLM_Data_Entry!A139)</f>
        <v/>
      </c>
      <c r="B141" s="103">
        <f>IF(LLM_Data_Entry!B139="","",LLM_Data_Entry!B139)</f>
        <v/>
      </c>
      <c r="C141" s="104">
        <f>IF(LLM_Data_Entry!C139="","",LLM_Data_Entry!C139)</f>
        <v/>
      </c>
      <c r="D141" s="103">
        <f>IF(LLM_Data_Entry!D139="","",LLM_Data_Entry!D139)</f>
        <v/>
      </c>
      <c r="E141" s="103">
        <f>IF(LLM_Data_Entry!V139="","",LLM_Data_Entry!V139)</f>
        <v/>
      </c>
      <c r="F141" s="103">
        <f>IF(LLM_Data_Entry!AS139="","",LLM_Data_Entry!AS139)</f>
        <v/>
      </c>
      <c r="G141" s="103">
        <f>IF(LLM_Data_Entry!AG139="","",LLM_Data_Entry!AG139)</f>
        <v/>
      </c>
      <c r="H141" s="103">
        <f>IF(LLM_Data_Entry!AT139="","",LLM_Data_Entry!AT139)</f>
        <v/>
      </c>
      <c r="I141" s="103">
        <f>IF(LLM_Data_Entry!AU139="","",LLM_Data_Entry!AU139)</f>
        <v/>
      </c>
      <c r="J141" s="103">
        <f>IF(LLM_Data_Entry!AH139="","",LLM_Data_Entry!AH139)</f>
        <v/>
      </c>
      <c r="K141" s="103">
        <f>IF(LLM_Data_Entry!AI139="","",LLM_Data_Entry!AI139)</f>
        <v/>
      </c>
      <c r="L141" s="103">
        <f>IF(LLM_Data_Entry!AJ139="","",LLM_Data_Entry!AJ139)</f>
        <v/>
      </c>
      <c r="M141" s="103">
        <f>IF(LLM_Data_Entry!AV139="","",LLM_Data_Entry!AV139)</f>
        <v/>
      </c>
      <c r="N141" s="103">
        <f>IF(LLM_Data_Entry!AW139="","",LLM_Data_Entry!AW139)</f>
        <v/>
      </c>
      <c r="O141" s="103">
        <f>IF(LLM_Data_Entry!AX139="","",LLM_Data_Entry!AX139)</f>
        <v/>
      </c>
      <c r="P141" s="103">
        <f>IF(LLM_Data_Entry!AY139="","",LLM_Data_Entry!AY139)</f>
        <v/>
      </c>
      <c r="Q141" s="103">
        <f>IF(LLM_Data_Entry!AZ139="","",LLM_Data_Entry!AZ139)</f>
        <v/>
      </c>
      <c r="R141" s="103">
        <f>IF(LLM_Data_Entry!AK139="","",LLM_Data_Entry!AK139)</f>
        <v/>
      </c>
      <c r="S141" s="103">
        <f>IF(LLM_Data_Entry!AL139="","",LLM_Data_Entry!AL139)</f>
        <v/>
      </c>
      <c r="T141" s="103">
        <f>IF(LLM_Data_Entry!BA139="","",LLM_Data_Entry!BA139)</f>
        <v/>
      </c>
      <c r="U141" s="103">
        <f>IF(LLM_Data_Entry!BB139="","",LLM_Data_Entry!BB139)</f>
        <v/>
      </c>
      <c r="V141" s="106">
        <f>IF(LLM_Data_Entry!O139="","",LLM_Data_Entry!O139)</f>
        <v/>
      </c>
    </row>
    <row r="142" ht="15" customHeight="1" s="241">
      <c r="A142" s="103">
        <f>IF(LLM_Data_Entry!A140="","",LLM_Data_Entry!A140)</f>
        <v/>
      </c>
      <c r="B142" s="103">
        <f>IF(LLM_Data_Entry!B140="","",LLM_Data_Entry!B140)</f>
        <v/>
      </c>
      <c r="C142" s="104">
        <f>IF(LLM_Data_Entry!C140="","",LLM_Data_Entry!C140)</f>
        <v/>
      </c>
      <c r="D142" s="103">
        <f>IF(LLM_Data_Entry!D140="","",LLM_Data_Entry!D140)</f>
        <v/>
      </c>
      <c r="E142" s="103">
        <f>IF(LLM_Data_Entry!V140="","",LLM_Data_Entry!V140)</f>
        <v/>
      </c>
      <c r="F142" s="103">
        <f>IF(LLM_Data_Entry!AS140="","",LLM_Data_Entry!AS140)</f>
        <v/>
      </c>
      <c r="G142" s="103">
        <f>IF(LLM_Data_Entry!AG140="","",LLM_Data_Entry!AG140)</f>
        <v/>
      </c>
      <c r="H142" s="103">
        <f>IF(LLM_Data_Entry!AT140="","",LLM_Data_Entry!AT140)</f>
        <v/>
      </c>
      <c r="I142" s="103">
        <f>IF(LLM_Data_Entry!AU140="","",LLM_Data_Entry!AU140)</f>
        <v/>
      </c>
      <c r="J142" s="103">
        <f>IF(LLM_Data_Entry!AH140="","",LLM_Data_Entry!AH140)</f>
        <v/>
      </c>
      <c r="K142" s="103">
        <f>IF(LLM_Data_Entry!AI140="","",LLM_Data_Entry!AI140)</f>
        <v/>
      </c>
      <c r="L142" s="103">
        <f>IF(LLM_Data_Entry!AJ140="","",LLM_Data_Entry!AJ140)</f>
        <v/>
      </c>
      <c r="M142" s="103">
        <f>IF(LLM_Data_Entry!AV140="","",LLM_Data_Entry!AV140)</f>
        <v/>
      </c>
      <c r="N142" s="103">
        <f>IF(LLM_Data_Entry!AW140="","",LLM_Data_Entry!AW140)</f>
        <v/>
      </c>
      <c r="O142" s="103">
        <f>IF(LLM_Data_Entry!AX140="","",LLM_Data_Entry!AX140)</f>
        <v/>
      </c>
      <c r="P142" s="103">
        <f>IF(LLM_Data_Entry!AY140="","",LLM_Data_Entry!AY140)</f>
        <v/>
      </c>
      <c r="Q142" s="103">
        <f>IF(LLM_Data_Entry!AZ140="","",LLM_Data_Entry!AZ140)</f>
        <v/>
      </c>
      <c r="R142" s="103">
        <f>IF(LLM_Data_Entry!AK140="","",LLM_Data_Entry!AK140)</f>
        <v/>
      </c>
      <c r="S142" s="103">
        <f>IF(LLM_Data_Entry!AL140="","",LLM_Data_Entry!AL140)</f>
        <v/>
      </c>
      <c r="T142" s="103">
        <f>IF(LLM_Data_Entry!BA140="","",LLM_Data_Entry!BA140)</f>
        <v/>
      </c>
      <c r="U142" s="103">
        <f>IF(LLM_Data_Entry!BB140="","",LLM_Data_Entry!BB140)</f>
        <v/>
      </c>
      <c r="V142" s="106">
        <f>IF(LLM_Data_Entry!O140="","",LLM_Data_Entry!O140)</f>
        <v/>
      </c>
    </row>
    <row r="143" ht="15" customHeight="1" s="241">
      <c r="A143" s="103">
        <f>IF(LLM_Data_Entry!A141="","",LLM_Data_Entry!A141)</f>
        <v/>
      </c>
      <c r="B143" s="103">
        <f>IF(LLM_Data_Entry!B141="","",LLM_Data_Entry!B141)</f>
        <v/>
      </c>
      <c r="C143" s="104">
        <f>IF(LLM_Data_Entry!C141="","",LLM_Data_Entry!C141)</f>
        <v/>
      </c>
      <c r="D143" s="103">
        <f>IF(LLM_Data_Entry!D141="","",LLM_Data_Entry!D141)</f>
        <v/>
      </c>
      <c r="E143" s="103">
        <f>IF(LLM_Data_Entry!V141="","",LLM_Data_Entry!V141)</f>
        <v/>
      </c>
      <c r="F143" s="103">
        <f>IF(LLM_Data_Entry!AS141="","",LLM_Data_Entry!AS141)</f>
        <v/>
      </c>
      <c r="G143" s="103">
        <f>IF(LLM_Data_Entry!AG141="","",LLM_Data_Entry!AG141)</f>
        <v/>
      </c>
      <c r="H143" s="103">
        <f>IF(LLM_Data_Entry!AT141="","",LLM_Data_Entry!AT141)</f>
        <v/>
      </c>
      <c r="I143" s="103">
        <f>IF(LLM_Data_Entry!AU141="","",LLM_Data_Entry!AU141)</f>
        <v/>
      </c>
      <c r="J143" s="103">
        <f>IF(LLM_Data_Entry!AH141="","",LLM_Data_Entry!AH141)</f>
        <v/>
      </c>
      <c r="K143" s="103">
        <f>IF(LLM_Data_Entry!AI141="","",LLM_Data_Entry!AI141)</f>
        <v/>
      </c>
      <c r="L143" s="103">
        <f>IF(LLM_Data_Entry!AJ141="","",LLM_Data_Entry!AJ141)</f>
        <v/>
      </c>
      <c r="M143" s="103">
        <f>IF(LLM_Data_Entry!AV141="","",LLM_Data_Entry!AV141)</f>
        <v/>
      </c>
      <c r="N143" s="103">
        <f>IF(LLM_Data_Entry!AW141="","",LLM_Data_Entry!AW141)</f>
        <v/>
      </c>
      <c r="O143" s="103">
        <f>IF(LLM_Data_Entry!AX141="","",LLM_Data_Entry!AX141)</f>
        <v/>
      </c>
      <c r="P143" s="103">
        <f>IF(LLM_Data_Entry!AY141="","",LLM_Data_Entry!AY141)</f>
        <v/>
      </c>
      <c r="Q143" s="103">
        <f>IF(LLM_Data_Entry!AZ141="","",LLM_Data_Entry!AZ141)</f>
        <v/>
      </c>
      <c r="R143" s="103">
        <f>IF(LLM_Data_Entry!AK141="","",LLM_Data_Entry!AK141)</f>
        <v/>
      </c>
      <c r="S143" s="103">
        <f>IF(LLM_Data_Entry!AL141="","",LLM_Data_Entry!AL141)</f>
        <v/>
      </c>
      <c r="T143" s="103">
        <f>IF(LLM_Data_Entry!BA141="","",LLM_Data_Entry!BA141)</f>
        <v/>
      </c>
      <c r="U143" s="103">
        <f>IF(LLM_Data_Entry!BB141="","",LLM_Data_Entry!BB141)</f>
        <v/>
      </c>
      <c r="V143" s="106">
        <f>IF(LLM_Data_Entry!O141="","",LLM_Data_Entry!O141)</f>
        <v/>
      </c>
    </row>
    <row r="144" ht="15" customHeight="1" s="241">
      <c r="A144" s="103">
        <f>IF(LLM_Data_Entry!A142="","",LLM_Data_Entry!A142)</f>
        <v/>
      </c>
      <c r="B144" s="103">
        <f>IF(LLM_Data_Entry!B142="","",LLM_Data_Entry!B142)</f>
        <v/>
      </c>
      <c r="C144" s="104">
        <f>IF(LLM_Data_Entry!C142="","",LLM_Data_Entry!C142)</f>
        <v/>
      </c>
      <c r="D144" s="103">
        <f>IF(LLM_Data_Entry!D142="","",LLM_Data_Entry!D142)</f>
        <v/>
      </c>
      <c r="E144" s="103">
        <f>IF(LLM_Data_Entry!V142="","",LLM_Data_Entry!V142)</f>
        <v/>
      </c>
      <c r="F144" s="103">
        <f>IF(LLM_Data_Entry!AS142="","",LLM_Data_Entry!AS142)</f>
        <v/>
      </c>
      <c r="G144" s="103">
        <f>IF(LLM_Data_Entry!AG142="","",LLM_Data_Entry!AG142)</f>
        <v/>
      </c>
      <c r="H144" s="103">
        <f>IF(LLM_Data_Entry!AT142="","",LLM_Data_Entry!AT142)</f>
        <v/>
      </c>
      <c r="I144" s="103">
        <f>IF(LLM_Data_Entry!AU142="","",LLM_Data_Entry!AU142)</f>
        <v/>
      </c>
      <c r="J144" s="103">
        <f>IF(LLM_Data_Entry!AH142="","",LLM_Data_Entry!AH142)</f>
        <v/>
      </c>
      <c r="K144" s="103">
        <f>IF(LLM_Data_Entry!AI142="","",LLM_Data_Entry!AI142)</f>
        <v/>
      </c>
      <c r="L144" s="103">
        <f>IF(LLM_Data_Entry!AJ142="","",LLM_Data_Entry!AJ142)</f>
        <v/>
      </c>
      <c r="M144" s="103">
        <f>IF(LLM_Data_Entry!AV142="","",LLM_Data_Entry!AV142)</f>
        <v/>
      </c>
      <c r="N144" s="103">
        <f>IF(LLM_Data_Entry!AW142="","",LLM_Data_Entry!AW142)</f>
        <v/>
      </c>
      <c r="O144" s="103">
        <f>IF(LLM_Data_Entry!AX142="","",LLM_Data_Entry!AX142)</f>
        <v/>
      </c>
      <c r="P144" s="103">
        <f>IF(LLM_Data_Entry!AY142="","",LLM_Data_Entry!AY142)</f>
        <v/>
      </c>
      <c r="Q144" s="103">
        <f>IF(LLM_Data_Entry!AZ142="","",LLM_Data_Entry!AZ142)</f>
        <v/>
      </c>
      <c r="R144" s="103">
        <f>IF(LLM_Data_Entry!AK142="","",LLM_Data_Entry!AK142)</f>
        <v/>
      </c>
      <c r="S144" s="103">
        <f>IF(LLM_Data_Entry!AL142="","",LLM_Data_Entry!AL142)</f>
        <v/>
      </c>
      <c r="T144" s="103">
        <f>IF(LLM_Data_Entry!BA142="","",LLM_Data_Entry!BA142)</f>
        <v/>
      </c>
      <c r="U144" s="103">
        <f>IF(LLM_Data_Entry!BB142="","",LLM_Data_Entry!BB142)</f>
        <v/>
      </c>
      <c r="V144" s="106">
        <f>IF(LLM_Data_Entry!O142="","",LLM_Data_Entry!O142)</f>
        <v/>
      </c>
    </row>
    <row r="145" ht="15" customHeight="1" s="241">
      <c r="A145" s="103">
        <f>IF(LLM_Data_Entry!A143="","",LLM_Data_Entry!A143)</f>
        <v/>
      </c>
      <c r="B145" s="103">
        <f>IF(LLM_Data_Entry!B143="","",LLM_Data_Entry!B143)</f>
        <v/>
      </c>
      <c r="C145" s="104">
        <f>IF(LLM_Data_Entry!C143="","",LLM_Data_Entry!C143)</f>
        <v/>
      </c>
      <c r="D145" s="103">
        <f>IF(LLM_Data_Entry!D143="","",LLM_Data_Entry!D143)</f>
        <v/>
      </c>
      <c r="E145" s="103">
        <f>IF(LLM_Data_Entry!V143="","",LLM_Data_Entry!V143)</f>
        <v/>
      </c>
      <c r="F145" s="103">
        <f>IF(LLM_Data_Entry!AS143="","",LLM_Data_Entry!AS143)</f>
        <v/>
      </c>
      <c r="G145" s="103">
        <f>IF(LLM_Data_Entry!AG143="","",LLM_Data_Entry!AG143)</f>
        <v/>
      </c>
      <c r="H145" s="103">
        <f>IF(LLM_Data_Entry!AT143="","",LLM_Data_Entry!AT143)</f>
        <v/>
      </c>
      <c r="I145" s="103">
        <f>IF(LLM_Data_Entry!AU143="","",LLM_Data_Entry!AU143)</f>
        <v/>
      </c>
      <c r="J145" s="103">
        <f>IF(LLM_Data_Entry!AH143="","",LLM_Data_Entry!AH143)</f>
        <v/>
      </c>
      <c r="K145" s="103">
        <f>IF(LLM_Data_Entry!AI143="","",LLM_Data_Entry!AI143)</f>
        <v/>
      </c>
      <c r="L145" s="103">
        <f>IF(LLM_Data_Entry!AJ143="","",LLM_Data_Entry!AJ143)</f>
        <v/>
      </c>
      <c r="M145" s="103">
        <f>IF(LLM_Data_Entry!AV143="","",LLM_Data_Entry!AV143)</f>
        <v/>
      </c>
      <c r="N145" s="103">
        <f>IF(LLM_Data_Entry!AW143="","",LLM_Data_Entry!AW143)</f>
        <v/>
      </c>
      <c r="O145" s="103">
        <f>IF(LLM_Data_Entry!AX143="","",LLM_Data_Entry!AX143)</f>
        <v/>
      </c>
      <c r="P145" s="103">
        <f>IF(LLM_Data_Entry!AY143="","",LLM_Data_Entry!AY143)</f>
        <v/>
      </c>
      <c r="Q145" s="103">
        <f>IF(LLM_Data_Entry!AZ143="","",LLM_Data_Entry!AZ143)</f>
        <v/>
      </c>
      <c r="R145" s="103">
        <f>IF(LLM_Data_Entry!AK143="","",LLM_Data_Entry!AK143)</f>
        <v/>
      </c>
      <c r="S145" s="103">
        <f>IF(LLM_Data_Entry!AL143="","",LLM_Data_Entry!AL143)</f>
        <v/>
      </c>
      <c r="T145" s="103">
        <f>IF(LLM_Data_Entry!BA143="","",LLM_Data_Entry!BA143)</f>
        <v/>
      </c>
      <c r="U145" s="103">
        <f>IF(LLM_Data_Entry!BB143="","",LLM_Data_Entry!BB143)</f>
        <v/>
      </c>
      <c r="V145" s="106">
        <f>IF(LLM_Data_Entry!O143="","",LLM_Data_Entry!O143)</f>
        <v/>
      </c>
    </row>
    <row r="146" ht="15" customHeight="1" s="241">
      <c r="A146" s="103">
        <f>IF(LLM_Data_Entry!A144="","",LLM_Data_Entry!A144)</f>
        <v/>
      </c>
      <c r="B146" s="103">
        <f>IF(LLM_Data_Entry!B144="","",LLM_Data_Entry!B144)</f>
        <v/>
      </c>
      <c r="C146" s="104">
        <f>IF(LLM_Data_Entry!C144="","",LLM_Data_Entry!C144)</f>
        <v/>
      </c>
      <c r="D146" s="103">
        <f>IF(LLM_Data_Entry!D144="","",LLM_Data_Entry!D144)</f>
        <v/>
      </c>
      <c r="E146" s="103">
        <f>IF(LLM_Data_Entry!V144="","",LLM_Data_Entry!V144)</f>
        <v/>
      </c>
      <c r="F146" s="103">
        <f>IF(LLM_Data_Entry!AS144="","",LLM_Data_Entry!AS144)</f>
        <v/>
      </c>
      <c r="G146" s="103">
        <f>IF(LLM_Data_Entry!AG144="","",LLM_Data_Entry!AG144)</f>
        <v/>
      </c>
      <c r="H146" s="103">
        <f>IF(LLM_Data_Entry!AT144="","",LLM_Data_Entry!AT144)</f>
        <v/>
      </c>
      <c r="I146" s="103">
        <f>IF(LLM_Data_Entry!AU144="","",LLM_Data_Entry!AU144)</f>
        <v/>
      </c>
      <c r="J146" s="103">
        <f>IF(LLM_Data_Entry!AH144="","",LLM_Data_Entry!AH144)</f>
        <v/>
      </c>
      <c r="K146" s="103">
        <f>IF(LLM_Data_Entry!AI144="","",LLM_Data_Entry!AI144)</f>
        <v/>
      </c>
      <c r="L146" s="103">
        <f>IF(LLM_Data_Entry!AJ144="","",LLM_Data_Entry!AJ144)</f>
        <v/>
      </c>
      <c r="M146" s="103">
        <f>IF(LLM_Data_Entry!AV144="","",LLM_Data_Entry!AV144)</f>
        <v/>
      </c>
      <c r="N146" s="103">
        <f>IF(LLM_Data_Entry!AW144="","",LLM_Data_Entry!AW144)</f>
        <v/>
      </c>
      <c r="O146" s="103">
        <f>IF(LLM_Data_Entry!AX144="","",LLM_Data_Entry!AX144)</f>
        <v/>
      </c>
      <c r="P146" s="103">
        <f>IF(LLM_Data_Entry!AY144="","",LLM_Data_Entry!AY144)</f>
        <v/>
      </c>
      <c r="Q146" s="103">
        <f>IF(LLM_Data_Entry!AZ144="","",LLM_Data_Entry!AZ144)</f>
        <v/>
      </c>
      <c r="R146" s="103">
        <f>IF(LLM_Data_Entry!AK144="","",LLM_Data_Entry!AK144)</f>
        <v/>
      </c>
      <c r="S146" s="103">
        <f>IF(LLM_Data_Entry!AL144="","",LLM_Data_Entry!AL144)</f>
        <v/>
      </c>
      <c r="T146" s="103">
        <f>IF(LLM_Data_Entry!BA144="","",LLM_Data_Entry!BA144)</f>
        <v/>
      </c>
      <c r="U146" s="103">
        <f>IF(LLM_Data_Entry!BB144="","",LLM_Data_Entry!BB144)</f>
        <v/>
      </c>
      <c r="V146" s="106">
        <f>IF(LLM_Data_Entry!O144="","",LLM_Data_Entry!O144)</f>
        <v/>
      </c>
    </row>
    <row r="147" ht="15" customHeight="1" s="241">
      <c r="A147" s="103">
        <f>IF(LLM_Data_Entry!A145="","",LLM_Data_Entry!A145)</f>
        <v/>
      </c>
      <c r="B147" s="103">
        <f>IF(LLM_Data_Entry!B145="","",LLM_Data_Entry!B145)</f>
        <v/>
      </c>
      <c r="C147" s="104">
        <f>IF(LLM_Data_Entry!C145="","",LLM_Data_Entry!C145)</f>
        <v/>
      </c>
      <c r="D147" s="103">
        <f>IF(LLM_Data_Entry!D145="","",LLM_Data_Entry!D145)</f>
        <v/>
      </c>
      <c r="E147" s="103">
        <f>IF(LLM_Data_Entry!V145="","",LLM_Data_Entry!V145)</f>
        <v/>
      </c>
      <c r="F147" s="103">
        <f>IF(LLM_Data_Entry!AS145="","",LLM_Data_Entry!AS145)</f>
        <v/>
      </c>
      <c r="G147" s="103">
        <f>IF(LLM_Data_Entry!AG145="","",LLM_Data_Entry!AG145)</f>
        <v/>
      </c>
      <c r="H147" s="103">
        <f>IF(LLM_Data_Entry!AT145="","",LLM_Data_Entry!AT145)</f>
        <v/>
      </c>
      <c r="I147" s="103">
        <f>IF(LLM_Data_Entry!AU145="","",LLM_Data_Entry!AU145)</f>
        <v/>
      </c>
      <c r="J147" s="103">
        <f>IF(LLM_Data_Entry!AH145="","",LLM_Data_Entry!AH145)</f>
        <v/>
      </c>
      <c r="K147" s="103">
        <f>IF(LLM_Data_Entry!AI145="","",LLM_Data_Entry!AI145)</f>
        <v/>
      </c>
      <c r="L147" s="103">
        <f>IF(LLM_Data_Entry!AJ145="","",LLM_Data_Entry!AJ145)</f>
        <v/>
      </c>
      <c r="M147" s="103">
        <f>IF(LLM_Data_Entry!AV145="","",LLM_Data_Entry!AV145)</f>
        <v/>
      </c>
      <c r="N147" s="103">
        <f>IF(LLM_Data_Entry!AW145="","",LLM_Data_Entry!AW145)</f>
        <v/>
      </c>
      <c r="O147" s="103">
        <f>IF(LLM_Data_Entry!AX145="","",LLM_Data_Entry!AX145)</f>
        <v/>
      </c>
      <c r="P147" s="103">
        <f>IF(LLM_Data_Entry!AY145="","",LLM_Data_Entry!AY145)</f>
        <v/>
      </c>
      <c r="Q147" s="103">
        <f>IF(LLM_Data_Entry!AZ145="","",LLM_Data_Entry!AZ145)</f>
        <v/>
      </c>
      <c r="R147" s="103">
        <f>IF(LLM_Data_Entry!AK145="","",LLM_Data_Entry!AK145)</f>
        <v/>
      </c>
      <c r="S147" s="103">
        <f>IF(LLM_Data_Entry!AL145="","",LLM_Data_Entry!AL145)</f>
        <v/>
      </c>
      <c r="T147" s="103">
        <f>IF(LLM_Data_Entry!BA145="","",LLM_Data_Entry!BA145)</f>
        <v/>
      </c>
      <c r="U147" s="103">
        <f>IF(LLM_Data_Entry!BB145="","",LLM_Data_Entry!BB145)</f>
        <v/>
      </c>
      <c r="V147" s="106">
        <f>IF(LLM_Data_Entry!O145="","",LLM_Data_Entry!O145)</f>
        <v/>
      </c>
    </row>
    <row r="148" ht="15" customHeight="1" s="241">
      <c r="A148" s="103">
        <f>IF(LLM_Data_Entry!A146="","",LLM_Data_Entry!A146)</f>
        <v/>
      </c>
      <c r="B148" s="103">
        <f>IF(LLM_Data_Entry!B146="","",LLM_Data_Entry!B146)</f>
        <v/>
      </c>
      <c r="C148" s="104">
        <f>IF(LLM_Data_Entry!C146="","",LLM_Data_Entry!C146)</f>
        <v/>
      </c>
      <c r="D148" s="103">
        <f>IF(LLM_Data_Entry!D146="","",LLM_Data_Entry!D146)</f>
        <v/>
      </c>
      <c r="E148" s="103">
        <f>IF(LLM_Data_Entry!V146="","",LLM_Data_Entry!V146)</f>
        <v/>
      </c>
      <c r="F148" s="103">
        <f>IF(LLM_Data_Entry!AS146="","",LLM_Data_Entry!AS146)</f>
        <v/>
      </c>
      <c r="G148" s="103">
        <f>IF(LLM_Data_Entry!AG146="","",LLM_Data_Entry!AG146)</f>
        <v/>
      </c>
      <c r="H148" s="103">
        <f>IF(LLM_Data_Entry!AT146="","",LLM_Data_Entry!AT146)</f>
        <v/>
      </c>
      <c r="I148" s="103">
        <f>IF(LLM_Data_Entry!AU146="","",LLM_Data_Entry!AU146)</f>
        <v/>
      </c>
      <c r="J148" s="103">
        <f>IF(LLM_Data_Entry!AH146="","",LLM_Data_Entry!AH146)</f>
        <v/>
      </c>
      <c r="K148" s="103">
        <f>IF(LLM_Data_Entry!AI146="","",LLM_Data_Entry!AI146)</f>
        <v/>
      </c>
      <c r="L148" s="103">
        <f>IF(LLM_Data_Entry!AJ146="","",LLM_Data_Entry!AJ146)</f>
        <v/>
      </c>
      <c r="M148" s="103">
        <f>IF(LLM_Data_Entry!AV146="","",LLM_Data_Entry!AV146)</f>
        <v/>
      </c>
      <c r="N148" s="103">
        <f>IF(LLM_Data_Entry!AW146="","",LLM_Data_Entry!AW146)</f>
        <v/>
      </c>
      <c r="O148" s="103">
        <f>IF(LLM_Data_Entry!AX146="","",LLM_Data_Entry!AX146)</f>
        <v/>
      </c>
      <c r="P148" s="103">
        <f>IF(LLM_Data_Entry!AY146="","",LLM_Data_Entry!AY146)</f>
        <v/>
      </c>
      <c r="Q148" s="103">
        <f>IF(LLM_Data_Entry!AZ146="","",LLM_Data_Entry!AZ146)</f>
        <v/>
      </c>
      <c r="R148" s="103">
        <f>IF(LLM_Data_Entry!AK146="","",LLM_Data_Entry!AK146)</f>
        <v/>
      </c>
      <c r="S148" s="103">
        <f>IF(LLM_Data_Entry!AL146="","",LLM_Data_Entry!AL146)</f>
        <v/>
      </c>
      <c r="T148" s="103">
        <f>IF(LLM_Data_Entry!BA146="","",LLM_Data_Entry!BA146)</f>
        <v/>
      </c>
      <c r="U148" s="103">
        <f>IF(LLM_Data_Entry!BB146="","",LLM_Data_Entry!BB146)</f>
        <v/>
      </c>
      <c r="V148" s="106">
        <f>IF(LLM_Data_Entry!O146="","",LLM_Data_Entry!O146)</f>
        <v/>
      </c>
    </row>
    <row r="149" ht="15" customHeight="1" s="241">
      <c r="A149" s="103">
        <f>IF(LLM_Data_Entry!A147="","",LLM_Data_Entry!A147)</f>
        <v/>
      </c>
      <c r="B149" s="103">
        <f>IF(LLM_Data_Entry!B147="","",LLM_Data_Entry!B147)</f>
        <v/>
      </c>
      <c r="C149" s="104">
        <f>IF(LLM_Data_Entry!C147="","",LLM_Data_Entry!C147)</f>
        <v/>
      </c>
      <c r="D149" s="103">
        <f>IF(LLM_Data_Entry!D147="","",LLM_Data_Entry!D147)</f>
        <v/>
      </c>
      <c r="E149" s="103">
        <f>IF(LLM_Data_Entry!V147="","",LLM_Data_Entry!V147)</f>
        <v/>
      </c>
      <c r="F149" s="103">
        <f>IF(LLM_Data_Entry!AS147="","",LLM_Data_Entry!AS147)</f>
        <v/>
      </c>
      <c r="G149" s="103">
        <f>IF(LLM_Data_Entry!AG147="","",LLM_Data_Entry!AG147)</f>
        <v/>
      </c>
      <c r="H149" s="103">
        <f>IF(LLM_Data_Entry!AT147="","",LLM_Data_Entry!AT147)</f>
        <v/>
      </c>
      <c r="I149" s="103">
        <f>IF(LLM_Data_Entry!AU147="","",LLM_Data_Entry!AU147)</f>
        <v/>
      </c>
      <c r="J149" s="103">
        <f>IF(LLM_Data_Entry!AH147="","",LLM_Data_Entry!AH147)</f>
        <v/>
      </c>
      <c r="K149" s="103">
        <f>IF(LLM_Data_Entry!AI147="","",LLM_Data_Entry!AI147)</f>
        <v/>
      </c>
      <c r="L149" s="103">
        <f>IF(LLM_Data_Entry!AJ147="","",LLM_Data_Entry!AJ147)</f>
        <v/>
      </c>
      <c r="M149" s="103">
        <f>IF(LLM_Data_Entry!AV147="","",LLM_Data_Entry!AV147)</f>
        <v/>
      </c>
      <c r="N149" s="103">
        <f>IF(LLM_Data_Entry!AW147="","",LLM_Data_Entry!AW147)</f>
        <v/>
      </c>
      <c r="O149" s="103">
        <f>IF(LLM_Data_Entry!AX147="","",LLM_Data_Entry!AX147)</f>
        <v/>
      </c>
      <c r="P149" s="103">
        <f>IF(LLM_Data_Entry!AY147="","",LLM_Data_Entry!AY147)</f>
        <v/>
      </c>
      <c r="Q149" s="103">
        <f>IF(LLM_Data_Entry!AZ147="","",LLM_Data_Entry!AZ147)</f>
        <v/>
      </c>
      <c r="R149" s="103">
        <f>IF(LLM_Data_Entry!AK147="","",LLM_Data_Entry!AK147)</f>
        <v/>
      </c>
      <c r="S149" s="103">
        <f>IF(LLM_Data_Entry!AL147="","",LLM_Data_Entry!AL147)</f>
        <v/>
      </c>
      <c r="T149" s="103">
        <f>IF(LLM_Data_Entry!BA147="","",LLM_Data_Entry!BA147)</f>
        <v/>
      </c>
      <c r="U149" s="103">
        <f>IF(LLM_Data_Entry!BB147="","",LLM_Data_Entry!BB147)</f>
        <v/>
      </c>
      <c r="V149" s="106">
        <f>IF(LLM_Data_Entry!O147="","",LLM_Data_Entry!O147)</f>
        <v/>
      </c>
    </row>
    <row r="150" ht="15" customHeight="1" s="241">
      <c r="A150" s="103">
        <f>IF(LLM_Data_Entry!A148="","",LLM_Data_Entry!A148)</f>
        <v/>
      </c>
      <c r="B150" s="103">
        <f>IF(LLM_Data_Entry!B148="","",LLM_Data_Entry!B148)</f>
        <v/>
      </c>
      <c r="C150" s="104">
        <f>IF(LLM_Data_Entry!C148="","",LLM_Data_Entry!C148)</f>
        <v/>
      </c>
      <c r="D150" s="103">
        <f>IF(LLM_Data_Entry!D148="","",LLM_Data_Entry!D148)</f>
        <v/>
      </c>
      <c r="E150" s="103">
        <f>IF(LLM_Data_Entry!V148="","",LLM_Data_Entry!V148)</f>
        <v/>
      </c>
      <c r="F150" s="103">
        <f>IF(LLM_Data_Entry!AS148="","",LLM_Data_Entry!AS148)</f>
        <v/>
      </c>
      <c r="G150" s="103">
        <f>IF(LLM_Data_Entry!AG148="","",LLM_Data_Entry!AG148)</f>
        <v/>
      </c>
      <c r="H150" s="103">
        <f>IF(LLM_Data_Entry!AT148="","",LLM_Data_Entry!AT148)</f>
        <v/>
      </c>
      <c r="I150" s="103">
        <f>IF(LLM_Data_Entry!AU148="","",LLM_Data_Entry!AU148)</f>
        <v/>
      </c>
      <c r="J150" s="103">
        <f>IF(LLM_Data_Entry!AH148="","",LLM_Data_Entry!AH148)</f>
        <v/>
      </c>
      <c r="K150" s="103">
        <f>IF(LLM_Data_Entry!AI148="","",LLM_Data_Entry!AI148)</f>
        <v/>
      </c>
      <c r="L150" s="103">
        <f>IF(LLM_Data_Entry!AJ148="","",LLM_Data_Entry!AJ148)</f>
        <v/>
      </c>
      <c r="M150" s="103">
        <f>IF(LLM_Data_Entry!AV148="","",LLM_Data_Entry!AV148)</f>
        <v/>
      </c>
      <c r="N150" s="103">
        <f>IF(LLM_Data_Entry!AW148="","",LLM_Data_Entry!AW148)</f>
        <v/>
      </c>
      <c r="O150" s="103">
        <f>IF(LLM_Data_Entry!AX148="","",LLM_Data_Entry!AX148)</f>
        <v/>
      </c>
      <c r="P150" s="103">
        <f>IF(LLM_Data_Entry!AY148="","",LLM_Data_Entry!AY148)</f>
        <v/>
      </c>
      <c r="Q150" s="103">
        <f>IF(LLM_Data_Entry!AZ148="","",LLM_Data_Entry!AZ148)</f>
        <v/>
      </c>
      <c r="R150" s="103">
        <f>IF(LLM_Data_Entry!AK148="","",LLM_Data_Entry!AK148)</f>
        <v/>
      </c>
      <c r="S150" s="103">
        <f>IF(LLM_Data_Entry!AL148="","",LLM_Data_Entry!AL148)</f>
        <v/>
      </c>
      <c r="T150" s="103">
        <f>IF(LLM_Data_Entry!BA148="","",LLM_Data_Entry!BA148)</f>
        <v/>
      </c>
      <c r="U150" s="103">
        <f>IF(LLM_Data_Entry!BB148="","",LLM_Data_Entry!BB148)</f>
        <v/>
      </c>
      <c r="V150" s="106">
        <f>IF(LLM_Data_Entry!O148="","",LLM_Data_Entry!O148)</f>
        <v/>
      </c>
    </row>
    <row r="151" ht="15" customHeight="1" s="241">
      <c r="A151" s="103">
        <f>IF(LLM_Data_Entry!A149="","",LLM_Data_Entry!A149)</f>
        <v/>
      </c>
      <c r="B151" s="103">
        <f>IF(LLM_Data_Entry!B149="","",LLM_Data_Entry!B149)</f>
        <v/>
      </c>
      <c r="C151" s="104">
        <f>IF(LLM_Data_Entry!C149="","",LLM_Data_Entry!C149)</f>
        <v/>
      </c>
      <c r="D151" s="103">
        <f>IF(LLM_Data_Entry!D149="","",LLM_Data_Entry!D149)</f>
        <v/>
      </c>
      <c r="E151" s="103">
        <f>IF(LLM_Data_Entry!V149="","",LLM_Data_Entry!V149)</f>
        <v/>
      </c>
      <c r="F151" s="103">
        <f>IF(LLM_Data_Entry!AS149="","",LLM_Data_Entry!AS149)</f>
        <v/>
      </c>
      <c r="G151" s="103">
        <f>IF(LLM_Data_Entry!AG149="","",LLM_Data_Entry!AG149)</f>
        <v/>
      </c>
      <c r="H151" s="103">
        <f>IF(LLM_Data_Entry!AT149="","",LLM_Data_Entry!AT149)</f>
        <v/>
      </c>
      <c r="I151" s="103">
        <f>IF(LLM_Data_Entry!AU149="","",LLM_Data_Entry!AU149)</f>
        <v/>
      </c>
      <c r="J151" s="103">
        <f>IF(LLM_Data_Entry!AH149="","",LLM_Data_Entry!AH149)</f>
        <v/>
      </c>
      <c r="K151" s="103">
        <f>IF(LLM_Data_Entry!AI149="","",LLM_Data_Entry!AI149)</f>
        <v/>
      </c>
      <c r="L151" s="103">
        <f>IF(LLM_Data_Entry!AJ149="","",LLM_Data_Entry!AJ149)</f>
        <v/>
      </c>
      <c r="M151" s="103">
        <f>IF(LLM_Data_Entry!AV149="","",LLM_Data_Entry!AV149)</f>
        <v/>
      </c>
      <c r="N151" s="103">
        <f>IF(LLM_Data_Entry!AW149="","",LLM_Data_Entry!AW149)</f>
        <v/>
      </c>
      <c r="O151" s="103">
        <f>IF(LLM_Data_Entry!AX149="","",LLM_Data_Entry!AX149)</f>
        <v/>
      </c>
      <c r="P151" s="103">
        <f>IF(LLM_Data_Entry!AY149="","",LLM_Data_Entry!AY149)</f>
        <v/>
      </c>
      <c r="Q151" s="103">
        <f>IF(LLM_Data_Entry!AZ149="","",LLM_Data_Entry!AZ149)</f>
        <v/>
      </c>
      <c r="R151" s="103">
        <f>IF(LLM_Data_Entry!AK149="","",LLM_Data_Entry!AK149)</f>
        <v/>
      </c>
      <c r="S151" s="103">
        <f>IF(LLM_Data_Entry!AL149="","",LLM_Data_Entry!AL149)</f>
        <v/>
      </c>
      <c r="T151" s="103">
        <f>IF(LLM_Data_Entry!BA149="","",LLM_Data_Entry!BA149)</f>
        <v/>
      </c>
      <c r="U151" s="103">
        <f>IF(LLM_Data_Entry!BB149="","",LLM_Data_Entry!BB149)</f>
        <v/>
      </c>
      <c r="V151" s="106">
        <f>IF(LLM_Data_Entry!O149="","",LLM_Data_Entry!O149)</f>
        <v/>
      </c>
    </row>
    <row r="152" ht="15" customHeight="1" s="241">
      <c r="A152" s="103">
        <f>IF(LLM_Data_Entry!A150="","",LLM_Data_Entry!A150)</f>
        <v/>
      </c>
      <c r="B152" s="103">
        <f>IF(LLM_Data_Entry!B150="","",LLM_Data_Entry!B150)</f>
        <v/>
      </c>
      <c r="C152" s="104">
        <f>IF(LLM_Data_Entry!C150="","",LLM_Data_Entry!C150)</f>
        <v/>
      </c>
      <c r="D152" s="103">
        <f>IF(LLM_Data_Entry!D150="","",LLM_Data_Entry!D150)</f>
        <v/>
      </c>
      <c r="E152" s="103">
        <f>IF(LLM_Data_Entry!V150="","",LLM_Data_Entry!V150)</f>
        <v/>
      </c>
      <c r="F152" s="103">
        <f>IF(LLM_Data_Entry!AS150="","",LLM_Data_Entry!AS150)</f>
        <v/>
      </c>
      <c r="G152" s="103">
        <f>IF(LLM_Data_Entry!AG150="","",LLM_Data_Entry!AG150)</f>
        <v/>
      </c>
      <c r="H152" s="103">
        <f>IF(LLM_Data_Entry!AT150="","",LLM_Data_Entry!AT150)</f>
        <v/>
      </c>
      <c r="I152" s="103">
        <f>IF(LLM_Data_Entry!AU150="","",LLM_Data_Entry!AU150)</f>
        <v/>
      </c>
      <c r="J152" s="103">
        <f>IF(LLM_Data_Entry!AH150="","",LLM_Data_Entry!AH150)</f>
        <v/>
      </c>
      <c r="K152" s="103">
        <f>IF(LLM_Data_Entry!AI150="","",LLM_Data_Entry!AI150)</f>
        <v/>
      </c>
      <c r="L152" s="103">
        <f>IF(LLM_Data_Entry!AJ150="","",LLM_Data_Entry!AJ150)</f>
        <v/>
      </c>
      <c r="M152" s="103">
        <f>IF(LLM_Data_Entry!AV150="","",LLM_Data_Entry!AV150)</f>
        <v/>
      </c>
      <c r="N152" s="103">
        <f>IF(LLM_Data_Entry!AW150="","",LLM_Data_Entry!AW150)</f>
        <v/>
      </c>
      <c r="O152" s="103">
        <f>IF(LLM_Data_Entry!AX150="","",LLM_Data_Entry!AX150)</f>
        <v/>
      </c>
      <c r="P152" s="103">
        <f>IF(LLM_Data_Entry!AY150="","",LLM_Data_Entry!AY150)</f>
        <v/>
      </c>
      <c r="Q152" s="103">
        <f>IF(LLM_Data_Entry!AZ150="","",LLM_Data_Entry!AZ150)</f>
        <v/>
      </c>
      <c r="R152" s="103">
        <f>IF(LLM_Data_Entry!AK150="","",LLM_Data_Entry!AK150)</f>
        <v/>
      </c>
      <c r="S152" s="103">
        <f>IF(LLM_Data_Entry!AL150="","",LLM_Data_Entry!AL150)</f>
        <v/>
      </c>
      <c r="T152" s="103">
        <f>IF(LLM_Data_Entry!BA150="","",LLM_Data_Entry!BA150)</f>
        <v/>
      </c>
      <c r="U152" s="103">
        <f>IF(LLM_Data_Entry!BB150="","",LLM_Data_Entry!BB150)</f>
        <v/>
      </c>
      <c r="V152" s="106">
        <f>IF(LLM_Data_Entry!O150="","",LLM_Data_Entry!O150)</f>
        <v/>
      </c>
    </row>
    <row r="153" ht="15" customHeight="1" s="241">
      <c r="A153" s="103">
        <f>IF(LLM_Data_Entry!A151="","",LLM_Data_Entry!A151)</f>
        <v/>
      </c>
      <c r="B153" s="103">
        <f>IF(LLM_Data_Entry!B151="","",LLM_Data_Entry!B151)</f>
        <v/>
      </c>
      <c r="C153" s="104">
        <f>IF(LLM_Data_Entry!C151="","",LLM_Data_Entry!C151)</f>
        <v/>
      </c>
      <c r="D153" s="103">
        <f>IF(LLM_Data_Entry!D151="","",LLM_Data_Entry!D151)</f>
        <v/>
      </c>
      <c r="E153" s="103">
        <f>IF(LLM_Data_Entry!V151="","",LLM_Data_Entry!V151)</f>
        <v/>
      </c>
      <c r="F153" s="103">
        <f>IF(LLM_Data_Entry!AS151="","",LLM_Data_Entry!AS151)</f>
        <v/>
      </c>
      <c r="G153" s="103">
        <f>IF(LLM_Data_Entry!AG151="","",LLM_Data_Entry!AG151)</f>
        <v/>
      </c>
      <c r="H153" s="103">
        <f>IF(LLM_Data_Entry!AT151="","",LLM_Data_Entry!AT151)</f>
        <v/>
      </c>
      <c r="I153" s="103">
        <f>IF(LLM_Data_Entry!AU151="","",LLM_Data_Entry!AU151)</f>
        <v/>
      </c>
      <c r="J153" s="103">
        <f>IF(LLM_Data_Entry!AH151="","",LLM_Data_Entry!AH151)</f>
        <v/>
      </c>
      <c r="K153" s="103">
        <f>IF(LLM_Data_Entry!AI151="","",LLM_Data_Entry!AI151)</f>
        <v/>
      </c>
      <c r="L153" s="103">
        <f>IF(LLM_Data_Entry!AJ151="","",LLM_Data_Entry!AJ151)</f>
        <v/>
      </c>
      <c r="M153" s="103">
        <f>IF(LLM_Data_Entry!AV151="","",LLM_Data_Entry!AV151)</f>
        <v/>
      </c>
      <c r="N153" s="103">
        <f>IF(LLM_Data_Entry!AW151="","",LLM_Data_Entry!AW151)</f>
        <v/>
      </c>
      <c r="O153" s="103">
        <f>IF(LLM_Data_Entry!AX151="","",LLM_Data_Entry!AX151)</f>
        <v/>
      </c>
      <c r="P153" s="103">
        <f>IF(LLM_Data_Entry!AY151="","",LLM_Data_Entry!AY151)</f>
        <v/>
      </c>
      <c r="Q153" s="103">
        <f>IF(LLM_Data_Entry!AZ151="","",LLM_Data_Entry!AZ151)</f>
        <v/>
      </c>
      <c r="R153" s="103">
        <f>IF(LLM_Data_Entry!AK151="","",LLM_Data_Entry!AK151)</f>
        <v/>
      </c>
      <c r="S153" s="103">
        <f>IF(LLM_Data_Entry!AL151="","",LLM_Data_Entry!AL151)</f>
        <v/>
      </c>
      <c r="T153" s="103">
        <f>IF(LLM_Data_Entry!BA151="","",LLM_Data_Entry!BA151)</f>
        <v/>
      </c>
      <c r="U153" s="103">
        <f>IF(LLM_Data_Entry!BB151="","",LLM_Data_Entry!BB151)</f>
        <v/>
      </c>
      <c r="V153" s="106">
        <f>IF(LLM_Data_Entry!O151="","",LLM_Data_Entry!O151)</f>
        <v/>
      </c>
    </row>
    <row r="154" ht="15" customHeight="1" s="241">
      <c r="A154" s="103">
        <f>IF(LLM_Data_Entry!A152="","",LLM_Data_Entry!A152)</f>
        <v/>
      </c>
      <c r="B154" s="103">
        <f>IF(LLM_Data_Entry!B152="","",LLM_Data_Entry!B152)</f>
        <v/>
      </c>
      <c r="C154" s="104">
        <f>IF(LLM_Data_Entry!C152="","",LLM_Data_Entry!C152)</f>
        <v/>
      </c>
      <c r="D154" s="103">
        <f>IF(LLM_Data_Entry!D152="","",LLM_Data_Entry!D152)</f>
        <v/>
      </c>
      <c r="E154" s="103">
        <f>IF(LLM_Data_Entry!V152="","",LLM_Data_Entry!V152)</f>
        <v/>
      </c>
      <c r="F154" s="103">
        <f>IF(LLM_Data_Entry!AS152="","",LLM_Data_Entry!AS152)</f>
        <v/>
      </c>
      <c r="G154" s="103">
        <f>IF(LLM_Data_Entry!AG152="","",LLM_Data_Entry!AG152)</f>
        <v/>
      </c>
      <c r="H154" s="103">
        <f>IF(LLM_Data_Entry!AT152="","",LLM_Data_Entry!AT152)</f>
        <v/>
      </c>
      <c r="I154" s="103">
        <f>IF(LLM_Data_Entry!AU152="","",LLM_Data_Entry!AU152)</f>
        <v/>
      </c>
      <c r="J154" s="103">
        <f>IF(LLM_Data_Entry!AH152="","",LLM_Data_Entry!AH152)</f>
        <v/>
      </c>
      <c r="K154" s="103">
        <f>IF(LLM_Data_Entry!AI152="","",LLM_Data_Entry!AI152)</f>
        <v/>
      </c>
      <c r="L154" s="103">
        <f>IF(LLM_Data_Entry!AJ152="","",LLM_Data_Entry!AJ152)</f>
        <v/>
      </c>
      <c r="M154" s="103">
        <f>IF(LLM_Data_Entry!AV152="","",LLM_Data_Entry!AV152)</f>
        <v/>
      </c>
      <c r="N154" s="103">
        <f>IF(LLM_Data_Entry!AW152="","",LLM_Data_Entry!AW152)</f>
        <v/>
      </c>
      <c r="O154" s="103">
        <f>IF(LLM_Data_Entry!AX152="","",LLM_Data_Entry!AX152)</f>
        <v/>
      </c>
      <c r="P154" s="103">
        <f>IF(LLM_Data_Entry!AY152="","",LLM_Data_Entry!AY152)</f>
        <v/>
      </c>
      <c r="Q154" s="103">
        <f>IF(LLM_Data_Entry!AZ152="","",LLM_Data_Entry!AZ152)</f>
        <v/>
      </c>
      <c r="R154" s="103">
        <f>IF(LLM_Data_Entry!AK152="","",LLM_Data_Entry!AK152)</f>
        <v/>
      </c>
      <c r="S154" s="103">
        <f>IF(LLM_Data_Entry!AL152="","",LLM_Data_Entry!AL152)</f>
        <v/>
      </c>
      <c r="T154" s="103">
        <f>IF(LLM_Data_Entry!BA152="","",LLM_Data_Entry!BA152)</f>
        <v/>
      </c>
      <c r="U154" s="103">
        <f>IF(LLM_Data_Entry!BB152="","",LLM_Data_Entry!BB152)</f>
        <v/>
      </c>
      <c r="V154" s="106">
        <f>IF(LLM_Data_Entry!O152="","",LLM_Data_Entry!O152)</f>
        <v/>
      </c>
    </row>
    <row r="155" ht="15" customHeight="1" s="241">
      <c r="A155" s="103">
        <f>IF(LLM_Data_Entry!A153="","",LLM_Data_Entry!A153)</f>
        <v/>
      </c>
      <c r="B155" s="103">
        <f>IF(LLM_Data_Entry!B153="","",LLM_Data_Entry!B153)</f>
        <v/>
      </c>
      <c r="C155" s="104">
        <f>IF(LLM_Data_Entry!C153="","",LLM_Data_Entry!C153)</f>
        <v/>
      </c>
      <c r="D155" s="103">
        <f>IF(LLM_Data_Entry!D153="","",LLM_Data_Entry!D153)</f>
        <v/>
      </c>
      <c r="E155" s="103">
        <f>IF(LLM_Data_Entry!V153="","",LLM_Data_Entry!V153)</f>
        <v/>
      </c>
      <c r="F155" s="103">
        <f>IF(LLM_Data_Entry!AS153="","",LLM_Data_Entry!AS153)</f>
        <v/>
      </c>
      <c r="G155" s="103">
        <f>IF(LLM_Data_Entry!AG153="","",LLM_Data_Entry!AG153)</f>
        <v/>
      </c>
      <c r="H155" s="103">
        <f>IF(LLM_Data_Entry!AT153="","",LLM_Data_Entry!AT153)</f>
        <v/>
      </c>
      <c r="I155" s="103">
        <f>IF(LLM_Data_Entry!AU153="","",LLM_Data_Entry!AU153)</f>
        <v/>
      </c>
      <c r="J155" s="103">
        <f>IF(LLM_Data_Entry!AH153="","",LLM_Data_Entry!AH153)</f>
        <v/>
      </c>
      <c r="K155" s="103">
        <f>IF(LLM_Data_Entry!AI153="","",LLM_Data_Entry!AI153)</f>
        <v/>
      </c>
      <c r="L155" s="103">
        <f>IF(LLM_Data_Entry!AJ153="","",LLM_Data_Entry!AJ153)</f>
        <v/>
      </c>
      <c r="M155" s="103">
        <f>IF(LLM_Data_Entry!AV153="","",LLM_Data_Entry!AV153)</f>
        <v/>
      </c>
      <c r="N155" s="103">
        <f>IF(LLM_Data_Entry!AW153="","",LLM_Data_Entry!AW153)</f>
        <v/>
      </c>
      <c r="O155" s="103">
        <f>IF(LLM_Data_Entry!AX153="","",LLM_Data_Entry!AX153)</f>
        <v/>
      </c>
      <c r="P155" s="103">
        <f>IF(LLM_Data_Entry!AY153="","",LLM_Data_Entry!AY153)</f>
        <v/>
      </c>
      <c r="Q155" s="103">
        <f>IF(LLM_Data_Entry!AZ153="","",LLM_Data_Entry!AZ153)</f>
        <v/>
      </c>
      <c r="R155" s="103">
        <f>IF(LLM_Data_Entry!AK153="","",LLM_Data_Entry!AK153)</f>
        <v/>
      </c>
      <c r="S155" s="103">
        <f>IF(LLM_Data_Entry!AL153="","",LLM_Data_Entry!AL153)</f>
        <v/>
      </c>
      <c r="T155" s="103">
        <f>IF(LLM_Data_Entry!BA153="","",LLM_Data_Entry!BA153)</f>
        <v/>
      </c>
      <c r="U155" s="103">
        <f>IF(LLM_Data_Entry!BB153="","",LLM_Data_Entry!BB153)</f>
        <v/>
      </c>
      <c r="V155" s="106">
        <f>IF(LLM_Data_Entry!O153="","",LLM_Data_Entry!O153)</f>
        <v/>
      </c>
    </row>
    <row r="156" ht="15" customHeight="1" s="241">
      <c r="A156" s="103">
        <f>IF(LLM_Data_Entry!A154="","",LLM_Data_Entry!A154)</f>
        <v/>
      </c>
      <c r="B156" s="103">
        <f>IF(LLM_Data_Entry!B154="","",LLM_Data_Entry!B154)</f>
        <v/>
      </c>
      <c r="C156" s="104">
        <f>IF(LLM_Data_Entry!C154="","",LLM_Data_Entry!C154)</f>
        <v/>
      </c>
      <c r="D156" s="103">
        <f>IF(LLM_Data_Entry!D154="","",LLM_Data_Entry!D154)</f>
        <v/>
      </c>
      <c r="E156" s="103">
        <f>IF(LLM_Data_Entry!V154="","",LLM_Data_Entry!V154)</f>
        <v/>
      </c>
      <c r="F156" s="103">
        <f>IF(LLM_Data_Entry!AS154="","",LLM_Data_Entry!AS154)</f>
        <v/>
      </c>
      <c r="G156" s="103">
        <f>IF(LLM_Data_Entry!AG154="","",LLM_Data_Entry!AG154)</f>
        <v/>
      </c>
      <c r="H156" s="103">
        <f>IF(LLM_Data_Entry!AT154="","",LLM_Data_Entry!AT154)</f>
        <v/>
      </c>
      <c r="I156" s="103">
        <f>IF(LLM_Data_Entry!AU154="","",LLM_Data_Entry!AU154)</f>
        <v/>
      </c>
      <c r="J156" s="103">
        <f>IF(LLM_Data_Entry!AH154="","",LLM_Data_Entry!AH154)</f>
        <v/>
      </c>
      <c r="K156" s="103">
        <f>IF(LLM_Data_Entry!AI154="","",LLM_Data_Entry!AI154)</f>
        <v/>
      </c>
      <c r="L156" s="103">
        <f>IF(LLM_Data_Entry!AJ154="","",LLM_Data_Entry!AJ154)</f>
        <v/>
      </c>
      <c r="M156" s="103">
        <f>IF(LLM_Data_Entry!AV154="","",LLM_Data_Entry!AV154)</f>
        <v/>
      </c>
      <c r="N156" s="103">
        <f>IF(LLM_Data_Entry!AW154="","",LLM_Data_Entry!AW154)</f>
        <v/>
      </c>
      <c r="O156" s="103">
        <f>IF(LLM_Data_Entry!AX154="","",LLM_Data_Entry!AX154)</f>
        <v/>
      </c>
      <c r="P156" s="103">
        <f>IF(LLM_Data_Entry!AY154="","",LLM_Data_Entry!AY154)</f>
        <v/>
      </c>
      <c r="Q156" s="103">
        <f>IF(LLM_Data_Entry!AZ154="","",LLM_Data_Entry!AZ154)</f>
        <v/>
      </c>
      <c r="R156" s="103">
        <f>IF(LLM_Data_Entry!AK154="","",LLM_Data_Entry!AK154)</f>
        <v/>
      </c>
      <c r="S156" s="103">
        <f>IF(LLM_Data_Entry!AL154="","",LLM_Data_Entry!AL154)</f>
        <v/>
      </c>
      <c r="T156" s="103">
        <f>IF(LLM_Data_Entry!BA154="","",LLM_Data_Entry!BA154)</f>
        <v/>
      </c>
      <c r="U156" s="103">
        <f>IF(LLM_Data_Entry!BB154="","",LLM_Data_Entry!BB154)</f>
        <v/>
      </c>
      <c r="V156" s="106">
        <f>IF(LLM_Data_Entry!O154="","",LLM_Data_Entry!O154)</f>
        <v/>
      </c>
    </row>
    <row r="157" ht="15" customHeight="1" s="241">
      <c r="A157" s="103">
        <f>IF(LLM_Data_Entry!A155="","",LLM_Data_Entry!A155)</f>
        <v/>
      </c>
      <c r="B157" s="103">
        <f>IF(LLM_Data_Entry!B155="","",LLM_Data_Entry!B155)</f>
        <v/>
      </c>
      <c r="C157" s="104">
        <f>IF(LLM_Data_Entry!C155="","",LLM_Data_Entry!C155)</f>
        <v/>
      </c>
      <c r="D157" s="103">
        <f>IF(LLM_Data_Entry!D155="","",LLM_Data_Entry!D155)</f>
        <v/>
      </c>
      <c r="E157" s="103">
        <f>IF(LLM_Data_Entry!V155="","",LLM_Data_Entry!V155)</f>
        <v/>
      </c>
      <c r="F157" s="103">
        <f>IF(LLM_Data_Entry!AS155="","",LLM_Data_Entry!AS155)</f>
        <v/>
      </c>
      <c r="G157" s="103">
        <f>IF(LLM_Data_Entry!AG155="","",LLM_Data_Entry!AG155)</f>
        <v/>
      </c>
      <c r="H157" s="103">
        <f>IF(LLM_Data_Entry!AT155="","",LLM_Data_Entry!AT155)</f>
        <v/>
      </c>
      <c r="I157" s="103">
        <f>IF(LLM_Data_Entry!AU155="","",LLM_Data_Entry!AU155)</f>
        <v/>
      </c>
      <c r="J157" s="103">
        <f>IF(LLM_Data_Entry!AH155="","",LLM_Data_Entry!AH155)</f>
        <v/>
      </c>
      <c r="K157" s="103">
        <f>IF(LLM_Data_Entry!AI155="","",LLM_Data_Entry!AI155)</f>
        <v/>
      </c>
      <c r="L157" s="103">
        <f>IF(LLM_Data_Entry!AJ155="","",LLM_Data_Entry!AJ155)</f>
        <v/>
      </c>
      <c r="M157" s="103">
        <f>IF(LLM_Data_Entry!AV155="","",LLM_Data_Entry!AV155)</f>
        <v/>
      </c>
      <c r="N157" s="103">
        <f>IF(LLM_Data_Entry!AW155="","",LLM_Data_Entry!AW155)</f>
        <v/>
      </c>
      <c r="O157" s="103">
        <f>IF(LLM_Data_Entry!AX155="","",LLM_Data_Entry!AX155)</f>
        <v/>
      </c>
      <c r="P157" s="103">
        <f>IF(LLM_Data_Entry!AY155="","",LLM_Data_Entry!AY155)</f>
        <v/>
      </c>
      <c r="Q157" s="103">
        <f>IF(LLM_Data_Entry!AZ155="","",LLM_Data_Entry!AZ155)</f>
        <v/>
      </c>
      <c r="R157" s="103">
        <f>IF(LLM_Data_Entry!AK155="","",LLM_Data_Entry!AK155)</f>
        <v/>
      </c>
      <c r="S157" s="103">
        <f>IF(LLM_Data_Entry!AL155="","",LLM_Data_Entry!AL155)</f>
        <v/>
      </c>
      <c r="T157" s="103">
        <f>IF(LLM_Data_Entry!BA155="","",LLM_Data_Entry!BA155)</f>
        <v/>
      </c>
      <c r="U157" s="103">
        <f>IF(LLM_Data_Entry!BB155="","",LLM_Data_Entry!BB155)</f>
        <v/>
      </c>
      <c r="V157" s="106">
        <f>IF(LLM_Data_Entry!O155="","",LLM_Data_Entry!O155)</f>
        <v/>
      </c>
    </row>
    <row r="158" ht="15" customHeight="1" s="241">
      <c r="A158" s="103">
        <f>IF(LLM_Data_Entry!A156="","",LLM_Data_Entry!A156)</f>
        <v/>
      </c>
      <c r="B158" s="103">
        <f>IF(LLM_Data_Entry!B156="","",LLM_Data_Entry!B156)</f>
        <v/>
      </c>
      <c r="C158" s="104">
        <f>IF(LLM_Data_Entry!C156="","",LLM_Data_Entry!C156)</f>
        <v/>
      </c>
      <c r="D158" s="103">
        <f>IF(LLM_Data_Entry!D156="","",LLM_Data_Entry!D156)</f>
        <v/>
      </c>
      <c r="E158" s="103">
        <f>IF(LLM_Data_Entry!V156="","",LLM_Data_Entry!V156)</f>
        <v/>
      </c>
      <c r="F158" s="103">
        <f>IF(LLM_Data_Entry!AS156="","",LLM_Data_Entry!AS156)</f>
        <v/>
      </c>
      <c r="G158" s="103">
        <f>IF(LLM_Data_Entry!AG156="","",LLM_Data_Entry!AG156)</f>
        <v/>
      </c>
      <c r="H158" s="103">
        <f>IF(LLM_Data_Entry!AT156="","",LLM_Data_Entry!AT156)</f>
        <v/>
      </c>
      <c r="I158" s="103">
        <f>IF(LLM_Data_Entry!AU156="","",LLM_Data_Entry!AU156)</f>
        <v/>
      </c>
      <c r="J158" s="103">
        <f>IF(LLM_Data_Entry!AH156="","",LLM_Data_Entry!AH156)</f>
        <v/>
      </c>
      <c r="K158" s="103">
        <f>IF(LLM_Data_Entry!AI156="","",LLM_Data_Entry!AI156)</f>
        <v/>
      </c>
      <c r="L158" s="103">
        <f>IF(LLM_Data_Entry!AJ156="","",LLM_Data_Entry!AJ156)</f>
        <v/>
      </c>
      <c r="M158" s="103">
        <f>IF(LLM_Data_Entry!AV156="","",LLM_Data_Entry!AV156)</f>
        <v/>
      </c>
      <c r="N158" s="103">
        <f>IF(LLM_Data_Entry!AW156="","",LLM_Data_Entry!AW156)</f>
        <v/>
      </c>
      <c r="O158" s="103">
        <f>IF(LLM_Data_Entry!AX156="","",LLM_Data_Entry!AX156)</f>
        <v/>
      </c>
      <c r="P158" s="103">
        <f>IF(LLM_Data_Entry!AY156="","",LLM_Data_Entry!AY156)</f>
        <v/>
      </c>
      <c r="Q158" s="103">
        <f>IF(LLM_Data_Entry!AZ156="","",LLM_Data_Entry!AZ156)</f>
        <v/>
      </c>
      <c r="R158" s="103">
        <f>IF(LLM_Data_Entry!AK156="","",LLM_Data_Entry!AK156)</f>
        <v/>
      </c>
      <c r="S158" s="103">
        <f>IF(LLM_Data_Entry!AL156="","",LLM_Data_Entry!AL156)</f>
        <v/>
      </c>
      <c r="T158" s="103">
        <f>IF(LLM_Data_Entry!BA156="","",LLM_Data_Entry!BA156)</f>
        <v/>
      </c>
      <c r="U158" s="103">
        <f>IF(LLM_Data_Entry!BB156="","",LLM_Data_Entry!BB156)</f>
        <v/>
      </c>
      <c r="V158" s="106">
        <f>IF(LLM_Data_Entry!O156="","",LLM_Data_Entry!O156)</f>
        <v/>
      </c>
    </row>
    <row r="159" ht="15" customHeight="1" s="241">
      <c r="A159" s="103">
        <f>IF(LLM_Data_Entry!A157="","",LLM_Data_Entry!A157)</f>
        <v/>
      </c>
      <c r="B159" s="103">
        <f>IF(LLM_Data_Entry!B157="","",LLM_Data_Entry!B157)</f>
        <v/>
      </c>
      <c r="C159" s="104">
        <f>IF(LLM_Data_Entry!C157="","",LLM_Data_Entry!C157)</f>
        <v/>
      </c>
      <c r="D159" s="103">
        <f>IF(LLM_Data_Entry!D157="","",LLM_Data_Entry!D157)</f>
        <v/>
      </c>
      <c r="E159" s="103">
        <f>IF(LLM_Data_Entry!V157="","",LLM_Data_Entry!V157)</f>
        <v/>
      </c>
      <c r="F159" s="103">
        <f>IF(LLM_Data_Entry!AS157="","",LLM_Data_Entry!AS157)</f>
        <v/>
      </c>
      <c r="G159" s="103">
        <f>IF(LLM_Data_Entry!AG157="","",LLM_Data_Entry!AG157)</f>
        <v/>
      </c>
      <c r="H159" s="103">
        <f>IF(LLM_Data_Entry!AT157="","",LLM_Data_Entry!AT157)</f>
        <v/>
      </c>
      <c r="I159" s="103">
        <f>IF(LLM_Data_Entry!AU157="","",LLM_Data_Entry!AU157)</f>
        <v/>
      </c>
      <c r="J159" s="103">
        <f>IF(LLM_Data_Entry!AH157="","",LLM_Data_Entry!AH157)</f>
        <v/>
      </c>
      <c r="K159" s="103">
        <f>IF(LLM_Data_Entry!AI157="","",LLM_Data_Entry!AI157)</f>
        <v/>
      </c>
      <c r="L159" s="103">
        <f>IF(LLM_Data_Entry!AJ157="","",LLM_Data_Entry!AJ157)</f>
        <v/>
      </c>
      <c r="M159" s="103">
        <f>IF(LLM_Data_Entry!AV157="","",LLM_Data_Entry!AV157)</f>
        <v/>
      </c>
      <c r="N159" s="103">
        <f>IF(LLM_Data_Entry!AW157="","",LLM_Data_Entry!AW157)</f>
        <v/>
      </c>
      <c r="O159" s="103">
        <f>IF(LLM_Data_Entry!AX157="","",LLM_Data_Entry!AX157)</f>
        <v/>
      </c>
      <c r="P159" s="103">
        <f>IF(LLM_Data_Entry!AY157="","",LLM_Data_Entry!AY157)</f>
        <v/>
      </c>
      <c r="Q159" s="103">
        <f>IF(LLM_Data_Entry!AZ157="","",LLM_Data_Entry!AZ157)</f>
        <v/>
      </c>
      <c r="R159" s="103">
        <f>IF(LLM_Data_Entry!AK157="","",LLM_Data_Entry!AK157)</f>
        <v/>
      </c>
      <c r="S159" s="103">
        <f>IF(LLM_Data_Entry!AL157="","",LLM_Data_Entry!AL157)</f>
        <v/>
      </c>
      <c r="T159" s="103">
        <f>IF(LLM_Data_Entry!BA157="","",LLM_Data_Entry!BA157)</f>
        <v/>
      </c>
      <c r="U159" s="103">
        <f>IF(LLM_Data_Entry!BB157="","",LLM_Data_Entry!BB157)</f>
        <v/>
      </c>
      <c r="V159" s="106">
        <f>IF(LLM_Data_Entry!O157="","",LLM_Data_Entry!O157)</f>
        <v/>
      </c>
    </row>
    <row r="160" ht="15" customHeight="1" s="241">
      <c r="A160" s="103">
        <f>IF(LLM_Data_Entry!A158="","",LLM_Data_Entry!A158)</f>
        <v/>
      </c>
      <c r="B160" s="103">
        <f>IF(LLM_Data_Entry!B158="","",LLM_Data_Entry!B158)</f>
        <v/>
      </c>
      <c r="C160" s="104">
        <f>IF(LLM_Data_Entry!C158="","",LLM_Data_Entry!C158)</f>
        <v/>
      </c>
      <c r="D160" s="103">
        <f>IF(LLM_Data_Entry!D158="","",LLM_Data_Entry!D158)</f>
        <v/>
      </c>
      <c r="E160" s="103">
        <f>IF(LLM_Data_Entry!V158="","",LLM_Data_Entry!V158)</f>
        <v/>
      </c>
      <c r="F160" s="103">
        <f>IF(LLM_Data_Entry!AS158="","",LLM_Data_Entry!AS158)</f>
        <v/>
      </c>
      <c r="G160" s="103">
        <f>IF(LLM_Data_Entry!AG158="","",LLM_Data_Entry!AG158)</f>
        <v/>
      </c>
      <c r="H160" s="103">
        <f>IF(LLM_Data_Entry!AT158="","",LLM_Data_Entry!AT158)</f>
        <v/>
      </c>
      <c r="I160" s="103">
        <f>IF(LLM_Data_Entry!AU158="","",LLM_Data_Entry!AU158)</f>
        <v/>
      </c>
      <c r="J160" s="103">
        <f>IF(LLM_Data_Entry!AH158="","",LLM_Data_Entry!AH158)</f>
        <v/>
      </c>
      <c r="K160" s="103">
        <f>IF(LLM_Data_Entry!AI158="","",LLM_Data_Entry!AI158)</f>
        <v/>
      </c>
      <c r="L160" s="103">
        <f>IF(LLM_Data_Entry!AJ158="","",LLM_Data_Entry!AJ158)</f>
        <v/>
      </c>
      <c r="M160" s="103">
        <f>IF(LLM_Data_Entry!AV158="","",LLM_Data_Entry!AV158)</f>
        <v/>
      </c>
      <c r="N160" s="103">
        <f>IF(LLM_Data_Entry!AW158="","",LLM_Data_Entry!AW158)</f>
        <v/>
      </c>
      <c r="O160" s="103">
        <f>IF(LLM_Data_Entry!AX158="","",LLM_Data_Entry!AX158)</f>
        <v/>
      </c>
      <c r="P160" s="103">
        <f>IF(LLM_Data_Entry!AY158="","",LLM_Data_Entry!AY158)</f>
        <v/>
      </c>
      <c r="Q160" s="103">
        <f>IF(LLM_Data_Entry!AZ158="","",LLM_Data_Entry!AZ158)</f>
        <v/>
      </c>
      <c r="R160" s="103">
        <f>IF(LLM_Data_Entry!AK158="","",LLM_Data_Entry!AK158)</f>
        <v/>
      </c>
      <c r="S160" s="103">
        <f>IF(LLM_Data_Entry!AL158="","",LLM_Data_Entry!AL158)</f>
        <v/>
      </c>
      <c r="T160" s="103">
        <f>IF(LLM_Data_Entry!BA158="","",LLM_Data_Entry!BA158)</f>
        <v/>
      </c>
      <c r="U160" s="103">
        <f>IF(LLM_Data_Entry!BB158="","",LLM_Data_Entry!BB158)</f>
        <v/>
      </c>
      <c r="V160" s="106">
        <f>IF(LLM_Data_Entry!O158="","",LLM_Data_Entry!O158)</f>
        <v/>
      </c>
    </row>
    <row r="161" ht="15" customHeight="1" s="241">
      <c r="A161" s="103">
        <f>IF(LLM_Data_Entry!A159="","",LLM_Data_Entry!A159)</f>
        <v/>
      </c>
      <c r="B161" s="103">
        <f>IF(LLM_Data_Entry!B159="","",LLM_Data_Entry!B159)</f>
        <v/>
      </c>
      <c r="C161" s="104">
        <f>IF(LLM_Data_Entry!C159="","",LLM_Data_Entry!C159)</f>
        <v/>
      </c>
      <c r="D161" s="103">
        <f>IF(LLM_Data_Entry!D159="","",LLM_Data_Entry!D159)</f>
        <v/>
      </c>
      <c r="E161" s="103">
        <f>IF(LLM_Data_Entry!V159="","",LLM_Data_Entry!V159)</f>
        <v/>
      </c>
      <c r="F161" s="103">
        <f>IF(LLM_Data_Entry!AS159="","",LLM_Data_Entry!AS159)</f>
        <v/>
      </c>
      <c r="G161" s="103">
        <f>IF(LLM_Data_Entry!AG159="","",LLM_Data_Entry!AG159)</f>
        <v/>
      </c>
      <c r="H161" s="103">
        <f>IF(LLM_Data_Entry!AT159="","",LLM_Data_Entry!AT159)</f>
        <v/>
      </c>
      <c r="I161" s="103">
        <f>IF(LLM_Data_Entry!AU159="","",LLM_Data_Entry!AU159)</f>
        <v/>
      </c>
      <c r="J161" s="103">
        <f>IF(LLM_Data_Entry!AH159="","",LLM_Data_Entry!AH159)</f>
        <v/>
      </c>
      <c r="K161" s="103">
        <f>IF(LLM_Data_Entry!AI159="","",LLM_Data_Entry!AI159)</f>
        <v/>
      </c>
      <c r="L161" s="103">
        <f>IF(LLM_Data_Entry!AJ159="","",LLM_Data_Entry!AJ159)</f>
        <v/>
      </c>
      <c r="M161" s="103">
        <f>IF(LLM_Data_Entry!AV159="","",LLM_Data_Entry!AV159)</f>
        <v/>
      </c>
      <c r="N161" s="103">
        <f>IF(LLM_Data_Entry!AW159="","",LLM_Data_Entry!AW159)</f>
        <v/>
      </c>
      <c r="O161" s="103">
        <f>IF(LLM_Data_Entry!AX159="","",LLM_Data_Entry!AX159)</f>
        <v/>
      </c>
      <c r="P161" s="103">
        <f>IF(LLM_Data_Entry!AY159="","",LLM_Data_Entry!AY159)</f>
        <v/>
      </c>
      <c r="Q161" s="103">
        <f>IF(LLM_Data_Entry!AZ159="","",LLM_Data_Entry!AZ159)</f>
        <v/>
      </c>
      <c r="R161" s="103">
        <f>IF(LLM_Data_Entry!AK159="","",LLM_Data_Entry!AK159)</f>
        <v/>
      </c>
      <c r="S161" s="103">
        <f>IF(LLM_Data_Entry!AL159="","",LLM_Data_Entry!AL159)</f>
        <v/>
      </c>
      <c r="T161" s="103">
        <f>IF(LLM_Data_Entry!BA159="","",LLM_Data_Entry!BA159)</f>
        <v/>
      </c>
      <c r="U161" s="103">
        <f>IF(LLM_Data_Entry!BB159="","",LLM_Data_Entry!BB159)</f>
        <v/>
      </c>
      <c r="V161" s="106">
        <f>IF(LLM_Data_Entry!O159="","",LLM_Data_Entry!O159)</f>
        <v/>
      </c>
    </row>
    <row r="162" ht="15" customHeight="1" s="241">
      <c r="A162" s="103">
        <f>IF(LLM_Data_Entry!A160="","",LLM_Data_Entry!A160)</f>
        <v/>
      </c>
      <c r="B162" s="103">
        <f>IF(LLM_Data_Entry!B160="","",LLM_Data_Entry!B160)</f>
        <v/>
      </c>
      <c r="C162" s="104">
        <f>IF(LLM_Data_Entry!C160="","",LLM_Data_Entry!C160)</f>
        <v/>
      </c>
      <c r="D162" s="103">
        <f>IF(LLM_Data_Entry!D160="","",LLM_Data_Entry!D160)</f>
        <v/>
      </c>
      <c r="E162" s="103">
        <f>IF(LLM_Data_Entry!V160="","",LLM_Data_Entry!V160)</f>
        <v/>
      </c>
      <c r="F162" s="103">
        <f>IF(LLM_Data_Entry!AS160="","",LLM_Data_Entry!AS160)</f>
        <v/>
      </c>
      <c r="G162" s="103">
        <f>IF(LLM_Data_Entry!AG160="","",LLM_Data_Entry!AG160)</f>
        <v/>
      </c>
      <c r="H162" s="103">
        <f>IF(LLM_Data_Entry!AT160="","",LLM_Data_Entry!AT160)</f>
        <v/>
      </c>
      <c r="I162" s="103">
        <f>IF(LLM_Data_Entry!AU160="","",LLM_Data_Entry!AU160)</f>
        <v/>
      </c>
      <c r="J162" s="103">
        <f>IF(LLM_Data_Entry!AH160="","",LLM_Data_Entry!AH160)</f>
        <v/>
      </c>
      <c r="K162" s="103">
        <f>IF(LLM_Data_Entry!AI160="","",LLM_Data_Entry!AI160)</f>
        <v/>
      </c>
      <c r="L162" s="103">
        <f>IF(LLM_Data_Entry!AJ160="","",LLM_Data_Entry!AJ160)</f>
        <v/>
      </c>
      <c r="M162" s="103">
        <f>IF(LLM_Data_Entry!AV160="","",LLM_Data_Entry!AV160)</f>
        <v/>
      </c>
      <c r="N162" s="103">
        <f>IF(LLM_Data_Entry!AW160="","",LLM_Data_Entry!AW160)</f>
        <v/>
      </c>
      <c r="O162" s="103">
        <f>IF(LLM_Data_Entry!AX160="","",LLM_Data_Entry!AX160)</f>
        <v/>
      </c>
      <c r="P162" s="103">
        <f>IF(LLM_Data_Entry!AY160="","",LLM_Data_Entry!AY160)</f>
        <v/>
      </c>
      <c r="Q162" s="103">
        <f>IF(LLM_Data_Entry!AZ160="","",LLM_Data_Entry!AZ160)</f>
        <v/>
      </c>
      <c r="R162" s="103">
        <f>IF(LLM_Data_Entry!AK160="","",LLM_Data_Entry!AK160)</f>
        <v/>
      </c>
      <c r="S162" s="103">
        <f>IF(LLM_Data_Entry!AL160="","",LLM_Data_Entry!AL160)</f>
        <v/>
      </c>
      <c r="T162" s="103">
        <f>IF(LLM_Data_Entry!BA160="","",LLM_Data_Entry!BA160)</f>
        <v/>
      </c>
      <c r="U162" s="103">
        <f>IF(LLM_Data_Entry!BB160="","",LLM_Data_Entry!BB160)</f>
        <v/>
      </c>
      <c r="V162" s="106">
        <f>IF(LLM_Data_Entry!O160="","",LLM_Data_Entry!O160)</f>
        <v/>
      </c>
    </row>
    <row r="163" ht="15" customHeight="1" s="241">
      <c r="A163" s="103">
        <f>IF(LLM_Data_Entry!A161="","",LLM_Data_Entry!A161)</f>
        <v/>
      </c>
      <c r="B163" s="103">
        <f>IF(LLM_Data_Entry!B161="","",LLM_Data_Entry!B161)</f>
        <v/>
      </c>
      <c r="C163" s="104">
        <f>IF(LLM_Data_Entry!C161="","",LLM_Data_Entry!C161)</f>
        <v/>
      </c>
      <c r="D163" s="103">
        <f>IF(LLM_Data_Entry!D161="","",LLM_Data_Entry!D161)</f>
        <v/>
      </c>
      <c r="E163" s="103">
        <f>IF(LLM_Data_Entry!V161="","",LLM_Data_Entry!V161)</f>
        <v/>
      </c>
      <c r="F163" s="103">
        <f>IF(LLM_Data_Entry!AS161="","",LLM_Data_Entry!AS161)</f>
        <v/>
      </c>
      <c r="G163" s="103">
        <f>IF(LLM_Data_Entry!AG161="","",LLM_Data_Entry!AG161)</f>
        <v/>
      </c>
      <c r="H163" s="103">
        <f>IF(LLM_Data_Entry!AT161="","",LLM_Data_Entry!AT161)</f>
        <v/>
      </c>
      <c r="I163" s="103">
        <f>IF(LLM_Data_Entry!AU161="","",LLM_Data_Entry!AU161)</f>
        <v/>
      </c>
      <c r="J163" s="103">
        <f>IF(LLM_Data_Entry!AH161="","",LLM_Data_Entry!AH161)</f>
        <v/>
      </c>
      <c r="K163" s="103">
        <f>IF(LLM_Data_Entry!AI161="","",LLM_Data_Entry!AI161)</f>
        <v/>
      </c>
      <c r="L163" s="103">
        <f>IF(LLM_Data_Entry!AJ161="","",LLM_Data_Entry!AJ161)</f>
        <v/>
      </c>
      <c r="M163" s="103">
        <f>IF(LLM_Data_Entry!AV161="","",LLM_Data_Entry!AV161)</f>
        <v/>
      </c>
      <c r="N163" s="103">
        <f>IF(LLM_Data_Entry!AW161="","",LLM_Data_Entry!AW161)</f>
        <v/>
      </c>
      <c r="O163" s="103">
        <f>IF(LLM_Data_Entry!AX161="","",LLM_Data_Entry!AX161)</f>
        <v/>
      </c>
      <c r="P163" s="103">
        <f>IF(LLM_Data_Entry!AY161="","",LLM_Data_Entry!AY161)</f>
        <v/>
      </c>
      <c r="Q163" s="103">
        <f>IF(LLM_Data_Entry!AZ161="","",LLM_Data_Entry!AZ161)</f>
        <v/>
      </c>
      <c r="R163" s="103">
        <f>IF(LLM_Data_Entry!AK161="","",LLM_Data_Entry!AK161)</f>
        <v/>
      </c>
      <c r="S163" s="103">
        <f>IF(LLM_Data_Entry!AL161="","",LLM_Data_Entry!AL161)</f>
        <v/>
      </c>
      <c r="T163" s="103">
        <f>IF(LLM_Data_Entry!BA161="","",LLM_Data_Entry!BA161)</f>
        <v/>
      </c>
      <c r="U163" s="103">
        <f>IF(LLM_Data_Entry!BB161="","",LLM_Data_Entry!BB161)</f>
        <v/>
      </c>
      <c r="V163" s="106">
        <f>IF(LLM_Data_Entry!O161="","",LLM_Data_Entry!O161)</f>
        <v/>
      </c>
    </row>
    <row r="164" ht="15" customHeight="1" s="241">
      <c r="A164" s="103">
        <f>IF(LLM_Data_Entry!A162="","",LLM_Data_Entry!A162)</f>
        <v/>
      </c>
      <c r="B164" s="103">
        <f>IF(LLM_Data_Entry!B162="","",LLM_Data_Entry!B162)</f>
        <v/>
      </c>
      <c r="C164" s="104">
        <f>IF(LLM_Data_Entry!C162="","",LLM_Data_Entry!C162)</f>
        <v/>
      </c>
      <c r="D164" s="103">
        <f>IF(LLM_Data_Entry!D162="","",LLM_Data_Entry!D162)</f>
        <v/>
      </c>
      <c r="E164" s="103">
        <f>IF(LLM_Data_Entry!V162="","",LLM_Data_Entry!V162)</f>
        <v/>
      </c>
      <c r="F164" s="103">
        <f>IF(LLM_Data_Entry!AS162="","",LLM_Data_Entry!AS162)</f>
        <v/>
      </c>
      <c r="G164" s="103">
        <f>IF(LLM_Data_Entry!AG162="","",LLM_Data_Entry!AG162)</f>
        <v/>
      </c>
      <c r="H164" s="103">
        <f>IF(LLM_Data_Entry!AT162="","",LLM_Data_Entry!AT162)</f>
        <v/>
      </c>
      <c r="I164" s="103">
        <f>IF(LLM_Data_Entry!AU162="","",LLM_Data_Entry!AU162)</f>
        <v/>
      </c>
      <c r="J164" s="103">
        <f>IF(LLM_Data_Entry!AH162="","",LLM_Data_Entry!AH162)</f>
        <v/>
      </c>
      <c r="K164" s="103">
        <f>IF(LLM_Data_Entry!AI162="","",LLM_Data_Entry!AI162)</f>
        <v/>
      </c>
      <c r="L164" s="103">
        <f>IF(LLM_Data_Entry!AJ162="","",LLM_Data_Entry!AJ162)</f>
        <v/>
      </c>
      <c r="M164" s="103">
        <f>IF(LLM_Data_Entry!AV162="","",LLM_Data_Entry!AV162)</f>
        <v/>
      </c>
      <c r="N164" s="103">
        <f>IF(LLM_Data_Entry!AW162="","",LLM_Data_Entry!AW162)</f>
        <v/>
      </c>
      <c r="O164" s="103">
        <f>IF(LLM_Data_Entry!AX162="","",LLM_Data_Entry!AX162)</f>
        <v/>
      </c>
      <c r="P164" s="103">
        <f>IF(LLM_Data_Entry!AY162="","",LLM_Data_Entry!AY162)</f>
        <v/>
      </c>
      <c r="Q164" s="103">
        <f>IF(LLM_Data_Entry!AZ162="","",LLM_Data_Entry!AZ162)</f>
        <v/>
      </c>
      <c r="R164" s="103">
        <f>IF(LLM_Data_Entry!AK162="","",LLM_Data_Entry!AK162)</f>
        <v/>
      </c>
      <c r="S164" s="103">
        <f>IF(LLM_Data_Entry!AL162="","",LLM_Data_Entry!AL162)</f>
        <v/>
      </c>
      <c r="T164" s="103">
        <f>IF(LLM_Data_Entry!BA162="","",LLM_Data_Entry!BA162)</f>
        <v/>
      </c>
      <c r="U164" s="103">
        <f>IF(LLM_Data_Entry!BB162="","",LLM_Data_Entry!BB162)</f>
        <v/>
      </c>
      <c r="V164" s="106">
        <f>IF(LLM_Data_Entry!O162="","",LLM_Data_Entry!O162)</f>
        <v/>
      </c>
    </row>
    <row r="165" ht="15" customHeight="1" s="241">
      <c r="A165" s="103">
        <f>IF(LLM_Data_Entry!A163="","",LLM_Data_Entry!A163)</f>
        <v/>
      </c>
      <c r="B165" s="103">
        <f>IF(LLM_Data_Entry!B163="","",LLM_Data_Entry!B163)</f>
        <v/>
      </c>
      <c r="C165" s="104">
        <f>IF(LLM_Data_Entry!C163="","",LLM_Data_Entry!C163)</f>
        <v/>
      </c>
      <c r="D165" s="103">
        <f>IF(LLM_Data_Entry!D163="","",LLM_Data_Entry!D163)</f>
        <v/>
      </c>
      <c r="E165" s="103">
        <f>IF(LLM_Data_Entry!V163="","",LLM_Data_Entry!V163)</f>
        <v/>
      </c>
      <c r="F165" s="103">
        <f>IF(LLM_Data_Entry!AS163="","",LLM_Data_Entry!AS163)</f>
        <v/>
      </c>
      <c r="G165" s="103">
        <f>IF(LLM_Data_Entry!AG163="","",LLM_Data_Entry!AG163)</f>
        <v/>
      </c>
      <c r="H165" s="103">
        <f>IF(LLM_Data_Entry!AT163="","",LLM_Data_Entry!AT163)</f>
        <v/>
      </c>
      <c r="I165" s="103">
        <f>IF(LLM_Data_Entry!AU163="","",LLM_Data_Entry!AU163)</f>
        <v/>
      </c>
      <c r="J165" s="103">
        <f>IF(LLM_Data_Entry!AH163="","",LLM_Data_Entry!AH163)</f>
        <v/>
      </c>
      <c r="K165" s="103">
        <f>IF(LLM_Data_Entry!AI163="","",LLM_Data_Entry!AI163)</f>
        <v/>
      </c>
      <c r="L165" s="103">
        <f>IF(LLM_Data_Entry!AJ163="","",LLM_Data_Entry!AJ163)</f>
        <v/>
      </c>
      <c r="M165" s="103">
        <f>IF(LLM_Data_Entry!AV163="","",LLM_Data_Entry!AV163)</f>
        <v/>
      </c>
      <c r="N165" s="103">
        <f>IF(LLM_Data_Entry!AW163="","",LLM_Data_Entry!AW163)</f>
        <v/>
      </c>
      <c r="O165" s="103">
        <f>IF(LLM_Data_Entry!AX163="","",LLM_Data_Entry!AX163)</f>
        <v/>
      </c>
      <c r="P165" s="103">
        <f>IF(LLM_Data_Entry!AY163="","",LLM_Data_Entry!AY163)</f>
        <v/>
      </c>
      <c r="Q165" s="103">
        <f>IF(LLM_Data_Entry!AZ163="","",LLM_Data_Entry!AZ163)</f>
        <v/>
      </c>
      <c r="R165" s="103">
        <f>IF(LLM_Data_Entry!AK163="","",LLM_Data_Entry!AK163)</f>
        <v/>
      </c>
      <c r="S165" s="103">
        <f>IF(LLM_Data_Entry!AL163="","",LLM_Data_Entry!AL163)</f>
        <v/>
      </c>
      <c r="T165" s="103">
        <f>IF(LLM_Data_Entry!BA163="","",LLM_Data_Entry!BA163)</f>
        <v/>
      </c>
      <c r="U165" s="103">
        <f>IF(LLM_Data_Entry!BB163="","",LLM_Data_Entry!BB163)</f>
        <v/>
      </c>
      <c r="V165" s="106">
        <f>IF(LLM_Data_Entry!O163="","",LLM_Data_Entry!O163)</f>
        <v/>
      </c>
    </row>
    <row r="166" ht="15" customHeight="1" s="241">
      <c r="A166" s="103">
        <f>IF(LLM_Data_Entry!A164="","",LLM_Data_Entry!A164)</f>
        <v/>
      </c>
      <c r="B166" s="103">
        <f>IF(LLM_Data_Entry!B164="","",LLM_Data_Entry!B164)</f>
        <v/>
      </c>
      <c r="C166" s="104">
        <f>IF(LLM_Data_Entry!C164="","",LLM_Data_Entry!C164)</f>
        <v/>
      </c>
      <c r="D166" s="103">
        <f>IF(LLM_Data_Entry!D164="","",LLM_Data_Entry!D164)</f>
        <v/>
      </c>
      <c r="E166" s="103">
        <f>IF(LLM_Data_Entry!V164="","",LLM_Data_Entry!V164)</f>
        <v/>
      </c>
      <c r="F166" s="103">
        <f>IF(LLM_Data_Entry!AS164="","",LLM_Data_Entry!AS164)</f>
        <v/>
      </c>
      <c r="G166" s="103">
        <f>IF(LLM_Data_Entry!AG164="","",LLM_Data_Entry!AG164)</f>
        <v/>
      </c>
      <c r="H166" s="103">
        <f>IF(LLM_Data_Entry!AT164="","",LLM_Data_Entry!AT164)</f>
        <v/>
      </c>
      <c r="I166" s="103">
        <f>IF(LLM_Data_Entry!AU164="","",LLM_Data_Entry!AU164)</f>
        <v/>
      </c>
      <c r="J166" s="103">
        <f>IF(LLM_Data_Entry!AH164="","",LLM_Data_Entry!AH164)</f>
        <v/>
      </c>
      <c r="K166" s="103">
        <f>IF(LLM_Data_Entry!AI164="","",LLM_Data_Entry!AI164)</f>
        <v/>
      </c>
      <c r="L166" s="103">
        <f>IF(LLM_Data_Entry!AJ164="","",LLM_Data_Entry!AJ164)</f>
        <v/>
      </c>
      <c r="M166" s="103">
        <f>IF(LLM_Data_Entry!AV164="","",LLM_Data_Entry!AV164)</f>
        <v/>
      </c>
      <c r="N166" s="103">
        <f>IF(LLM_Data_Entry!AW164="","",LLM_Data_Entry!AW164)</f>
        <v/>
      </c>
      <c r="O166" s="103">
        <f>IF(LLM_Data_Entry!AX164="","",LLM_Data_Entry!AX164)</f>
        <v/>
      </c>
      <c r="P166" s="103">
        <f>IF(LLM_Data_Entry!AY164="","",LLM_Data_Entry!AY164)</f>
        <v/>
      </c>
      <c r="Q166" s="103">
        <f>IF(LLM_Data_Entry!AZ164="","",LLM_Data_Entry!AZ164)</f>
        <v/>
      </c>
      <c r="R166" s="103">
        <f>IF(LLM_Data_Entry!AK164="","",LLM_Data_Entry!AK164)</f>
        <v/>
      </c>
      <c r="S166" s="103">
        <f>IF(LLM_Data_Entry!AL164="","",LLM_Data_Entry!AL164)</f>
        <v/>
      </c>
      <c r="T166" s="103">
        <f>IF(LLM_Data_Entry!BA164="","",LLM_Data_Entry!BA164)</f>
        <v/>
      </c>
      <c r="U166" s="103">
        <f>IF(LLM_Data_Entry!BB164="","",LLM_Data_Entry!BB164)</f>
        <v/>
      </c>
      <c r="V166" s="106">
        <f>IF(LLM_Data_Entry!O164="","",LLM_Data_Entry!O164)</f>
        <v/>
      </c>
    </row>
    <row r="167" ht="15" customHeight="1" s="241">
      <c r="A167" s="103">
        <f>IF(LLM_Data_Entry!A165="","",LLM_Data_Entry!A165)</f>
        <v/>
      </c>
      <c r="B167" s="103">
        <f>IF(LLM_Data_Entry!B165="","",LLM_Data_Entry!B165)</f>
        <v/>
      </c>
      <c r="C167" s="104">
        <f>IF(LLM_Data_Entry!C165="","",LLM_Data_Entry!C165)</f>
        <v/>
      </c>
      <c r="D167" s="103">
        <f>IF(LLM_Data_Entry!D165="","",LLM_Data_Entry!D165)</f>
        <v/>
      </c>
      <c r="E167" s="103">
        <f>IF(LLM_Data_Entry!V165="","",LLM_Data_Entry!V165)</f>
        <v/>
      </c>
      <c r="F167" s="103">
        <f>IF(LLM_Data_Entry!AS165="","",LLM_Data_Entry!AS165)</f>
        <v/>
      </c>
      <c r="G167" s="103">
        <f>IF(LLM_Data_Entry!AG165="","",LLM_Data_Entry!AG165)</f>
        <v/>
      </c>
      <c r="H167" s="103">
        <f>IF(LLM_Data_Entry!AT165="","",LLM_Data_Entry!AT165)</f>
        <v/>
      </c>
      <c r="I167" s="103">
        <f>IF(LLM_Data_Entry!AU165="","",LLM_Data_Entry!AU165)</f>
        <v/>
      </c>
      <c r="J167" s="103">
        <f>IF(LLM_Data_Entry!AH165="","",LLM_Data_Entry!AH165)</f>
        <v/>
      </c>
      <c r="K167" s="103">
        <f>IF(LLM_Data_Entry!AI165="","",LLM_Data_Entry!AI165)</f>
        <v/>
      </c>
      <c r="L167" s="103">
        <f>IF(LLM_Data_Entry!AJ165="","",LLM_Data_Entry!AJ165)</f>
        <v/>
      </c>
      <c r="M167" s="103">
        <f>IF(LLM_Data_Entry!AV165="","",LLM_Data_Entry!AV165)</f>
        <v/>
      </c>
      <c r="N167" s="103">
        <f>IF(LLM_Data_Entry!AW165="","",LLM_Data_Entry!AW165)</f>
        <v/>
      </c>
      <c r="O167" s="103">
        <f>IF(LLM_Data_Entry!AX165="","",LLM_Data_Entry!AX165)</f>
        <v/>
      </c>
      <c r="P167" s="103">
        <f>IF(LLM_Data_Entry!AY165="","",LLM_Data_Entry!AY165)</f>
        <v/>
      </c>
      <c r="Q167" s="103">
        <f>IF(LLM_Data_Entry!AZ165="","",LLM_Data_Entry!AZ165)</f>
        <v/>
      </c>
      <c r="R167" s="103">
        <f>IF(LLM_Data_Entry!AK165="","",LLM_Data_Entry!AK165)</f>
        <v/>
      </c>
      <c r="S167" s="103">
        <f>IF(LLM_Data_Entry!AL165="","",LLM_Data_Entry!AL165)</f>
        <v/>
      </c>
      <c r="T167" s="103">
        <f>IF(LLM_Data_Entry!BA165="","",LLM_Data_Entry!BA165)</f>
        <v/>
      </c>
      <c r="U167" s="103">
        <f>IF(LLM_Data_Entry!BB165="","",LLM_Data_Entry!BB165)</f>
        <v/>
      </c>
      <c r="V167" s="106">
        <f>IF(LLM_Data_Entry!O165="","",LLM_Data_Entry!O165)</f>
        <v/>
      </c>
    </row>
    <row r="168" ht="15" customHeight="1" s="241">
      <c r="A168" s="103">
        <f>IF(LLM_Data_Entry!A166="","",LLM_Data_Entry!A166)</f>
        <v/>
      </c>
      <c r="B168" s="103">
        <f>IF(LLM_Data_Entry!B166="","",LLM_Data_Entry!B166)</f>
        <v/>
      </c>
      <c r="C168" s="104">
        <f>IF(LLM_Data_Entry!C166="","",LLM_Data_Entry!C166)</f>
        <v/>
      </c>
      <c r="D168" s="103">
        <f>IF(LLM_Data_Entry!D166="","",LLM_Data_Entry!D166)</f>
        <v/>
      </c>
      <c r="E168" s="103">
        <f>IF(LLM_Data_Entry!V166="","",LLM_Data_Entry!V166)</f>
        <v/>
      </c>
      <c r="F168" s="103">
        <f>IF(LLM_Data_Entry!AS166="","",LLM_Data_Entry!AS166)</f>
        <v/>
      </c>
      <c r="G168" s="103">
        <f>IF(LLM_Data_Entry!AG166="","",LLM_Data_Entry!AG166)</f>
        <v/>
      </c>
      <c r="H168" s="103">
        <f>IF(LLM_Data_Entry!AT166="","",LLM_Data_Entry!AT166)</f>
        <v/>
      </c>
      <c r="I168" s="103">
        <f>IF(LLM_Data_Entry!AU166="","",LLM_Data_Entry!AU166)</f>
        <v/>
      </c>
      <c r="J168" s="103">
        <f>IF(LLM_Data_Entry!AH166="","",LLM_Data_Entry!AH166)</f>
        <v/>
      </c>
      <c r="K168" s="103">
        <f>IF(LLM_Data_Entry!AI166="","",LLM_Data_Entry!AI166)</f>
        <v/>
      </c>
      <c r="L168" s="103">
        <f>IF(LLM_Data_Entry!AJ166="","",LLM_Data_Entry!AJ166)</f>
        <v/>
      </c>
      <c r="M168" s="103">
        <f>IF(LLM_Data_Entry!AV166="","",LLM_Data_Entry!AV166)</f>
        <v/>
      </c>
      <c r="N168" s="103">
        <f>IF(LLM_Data_Entry!AW166="","",LLM_Data_Entry!AW166)</f>
        <v/>
      </c>
      <c r="O168" s="103">
        <f>IF(LLM_Data_Entry!AX166="","",LLM_Data_Entry!AX166)</f>
        <v/>
      </c>
      <c r="P168" s="103">
        <f>IF(LLM_Data_Entry!AY166="","",LLM_Data_Entry!AY166)</f>
        <v/>
      </c>
      <c r="Q168" s="103">
        <f>IF(LLM_Data_Entry!AZ166="","",LLM_Data_Entry!AZ166)</f>
        <v/>
      </c>
      <c r="R168" s="103">
        <f>IF(LLM_Data_Entry!AK166="","",LLM_Data_Entry!AK166)</f>
        <v/>
      </c>
      <c r="S168" s="103">
        <f>IF(LLM_Data_Entry!AL166="","",LLM_Data_Entry!AL166)</f>
        <v/>
      </c>
      <c r="T168" s="103">
        <f>IF(LLM_Data_Entry!BA166="","",LLM_Data_Entry!BA166)</f>
        <v/>
      </c>
      <c r="U168" s="103">
        <f>IF(LLM_Data_Entry!BB166="","",LLM_Data_Entry!BB166)</f>
        <v/>
      </c>
      <c r="V168" s="106">
        <f>IF(LLM_Data_Entry!O166="","",LLM_Data_Entry!O166)</f>
        <v/>
      </c>
    </row>
    <row r="169" ht="15" customHeight="1" s="241">
      <c r="A169" s="103">
        <f>IF(LLM_Data_Entry!A167="","",LLM_Data_Entry!A167)</f>
        <v/>
      </c>
      <c r="B169" s="103">
        <f>IF(LLM_Data_Entry!B167="","",LLM_Data_Entry!B167)</f>
        <v/>
      </c>
      <c r="C169" s="104">
        <f>IF(LLM_Data_Entry!C167="","",LLM_Data_Entry!C167)</f>
        <v/>
      </c>
      <c r="D169" s="103">
        <f>IF(LLM_Data_Entry!D167="","",LLM_Data_Entry!D167)</f>
        <v/>
      </c>
      <c r="E169" s="103">
        <f>IF(LLM_Data_Entry!V167="","",LLM_Data_Entry!V167)</f>
        <v/>
      </c>
      <c r="F169" s="103">
        <f>IF(LLM_Data_Entry!AS167="","",LLM_Data_Entry!AS167)</f>
        <v/>
      </c>
      <c r="G169" s="103">
        <f>IF(LLM_Data_Entry!AG167="","",LLM_Data_Entry!AG167)</f>
        <v/>
      </c>
      <c r="H169" s="103">
        <f>IF(LLM_Data_Entry!AT167="","",LLM_Data_Entry!AT167)</f>
        <v/>
      </c>
      <c r="I169" s="103">
        <f>IF(LLM_Data_Entry!AU167="","",LLM_Data_Entry!AU167)</f>
        <v/>
      </c>
      <c r="J169" s="103">
        <f>IF(LLM_Data_Entry!AH167="","",LLM_Data_Entry!AH167)</f>
        <v/>
      </c>
      <c r="K169" s="103">
        <f>IF(LLM_Data_Entry!AI167="","",LLM_Data_Entry!AI167)</f>
        <v/>
      </c>
      <c r="L169" s="103">
        <f>IF(LLM_Data_Entry!AJ167="","",LLM_Data_Entry!AJ167)</f>
        <v/>
      </c>
      <c r="M169" s="103">
        <f>IF(LLM_Data_Entry!AV167="","",LLM_Data_Entry!AV167)</f>
        <v/>
      </c>
      <c r="N169" s="103">
        <f>IF(LLM_Data_Entry!AW167="","",LLM_Data_Entry!AW167)</f>
        <v/>
      </c>
      <c r="O169" s="103">
        <f>IF(LLM_Data_Entry!AX167="","",LLM_Data_Entry!AX167)</f>
        <v/>
      </c>
      <c r="P169" s="103">
        <f>IF(LLM_Data_Entry!AY167="","",LLM_Data_Entry!AY167)</f>
        <v/>
      </c>
      <c r="Q169" s="103">
        <f>IF(LLM_Data_Entry!AZ167="","",LLM_Data_Entry!AZ167)</f>
        <v/>
      </c>
      <c r="R169" s="103">
        <f>IF(LLM_Data_Entry!AK167="","",LLM_Data_Entry!AK167)</f>
        <v/>
      </c>
      <c r="S169" s="103">
        <f>IF(LLM_Data_Entry!AL167="","",LLM_Data_Entry!AL167)</f>
        <v/>
      </c>
      <c r="T169" s="103">
        <f>IF(LLM_Data_Entry!BA167="","",LLM_Data_Entry!BA167)</f>
        <v/>
      </c>
      <c r="U169" s="103">
        <f>IF(LLM_Data_Entry!BB167="","",LLM_Data_Entry!BB167)</f>
        <v/>
      </c>
      <c r="V169" s="106">
        <f>IF(LLM_Data_Entry!O167="","",LLM_Data_Entry!O167)</f>
        <v/>
      </c>
    </row>
    <row r="170" ht="15" customHeight="1" s="241">
      <c r="A170" s="103">
        <f>IF(LLM_Data_Entry!A168="","",LLM_Data_Entry!A168)</f>
        <v/>
      </c>
      <c r="B170" s="103">
        <f>IF(LLM_Data_Entry!B168="","",LLM_Data_Entry!B168)</f>
        <v/>
      </c>
      <c r="C170" s="104">
        <f>IF(LLM_Data_Entry!C168="","",LLM_Data_Entry!C168)</f>
        <v/>
      </c>
      <c r="D170" s="103">
        <f>IF(LLM_Data_Entry!D168="","",LLM_Data_Entry!D168)</f>
        <v/>
      </c>
      <c r="E170" s="103">
        <f>IF(LLM_Data_Entry!V168="","",LLM_Data_Entry!V168)</f>
        <v/>
      </c>
      <c r="F170" s="103">
        <f>IF(LLM_Data_Entry!AS168="","",LLM_Data_Entry!AS168)</f>
        <v/>
      </c>
      <c r="G170" s="103">
        <f>IF(LLM_Data_Entry!AG168="","",LLM_Data_Entry!AG168)</f>
        <v/>
      </c>
      <c r="H170" s="103">
        <f>IF(LLM_Data_Entry!AT168="","",LLM_Data_Entry!AT168)</f>
        <v/>
      </c>
      <c r="I170" s="103">
        <f>IF(LLM_Data_Entry!AU168="","",LLM_Data_Entry!AU168)</f>
        <v/>
      </c>
      <c r="J170" s="103">
        <f>IF(LLM_Data_Entry!AH168="","",LLM_Data_Entry!AH168)</f>
        <v/>
      </c>
      <c r="K170" s="103">
        <f>IF(LLM_Data_Entry!AI168="","",LLM_Data_Entry!AI168)</f>
        <v/>
      </c>
      <c r="L170" s="103">
        <f>IF(LLM_Data_Entry!AJ168="","",LLM_Data_Entry!AJ168)</f>
        <v/>
      </c>
      <c r="M170" s="103">
        <f>IF(LLM_Data_Entry!AV168="","",LLM_Data_Entry!AV168)</f>
        <v/>
      </c>
      <c r="N170" s="103">
        <f>IF(LLM_Data_Entry!AW168="","",LLM_Data_Entry!AW168)</f>
        <v/>
      </c>
      <c r="O170" s="103">
        <f>IF(LLM_Data_Entry!AX168="","",LLM_Data_Entry!AX168)</f>
        <v/>
      </c>
      <c r="P170" s="103">
        <f>IF(LLM_Data_Entry!AY168="","",LLM_Data_Entry!AY168)</f>
        <v/>
      </c>
      <c r="Q170" s="103">
        <f>IF(LLM_Data_Entry!AZ168="","",LLM_Data_Entry!AZ168)</f>
        <v/>
      </c>
      <c r="R170" s="103">
        <f>IF(LLM_Data_Entry!AK168="","",LLM_Data_Entry!AK168)</f>
        <v/>
      </c>
      <c r="S170" s="103">
        <f>IF(LLM_Data_Entry!AL168="","",LLM_Data_Entry!AL168)</f>
        <v/>
      </c>
      <c r="T170" s="103">
        <f>IF(LLM_Data_Entry!BA168="","",LLM_Data_Entry!BA168)</f>
        <v/>
      </c>
      <c r="U170" s="103">
        <f>IF(LLM_Data_Entry!BB168="","",LLM_Data_Entry!BB168)</f>
        <v/>
      </c>
      <c r="V170" s="106">
        <f>IF(LLM_Data_Entry!O168="","",LLM_Data_Entry!O168)</f>
        <v/>
      </c>
    </row>
    <row r="171" ht="15" customHeight="1" s="241">
      <c r="A171" s="103">
        <f>IF(LLM_Data_Entry!A169="","",LLM_Data_Entry!A169)</f>
        <v/>
      </c>
      <c r="B171" s="103">
        <f>IF(LLM_Data_Entry!B169="","",LLM_Data_Entry!B169)</f>
        <v/>
      </c>
      <c r="C171" s="104">
        <f>IF(LLM_Data_Entry!C169="","",LLM_Data_Entry!C169)</f>
        <v/>
      </c>
      <c r="D171" s="103">
        <f>IF(LLM_Data_Entry!D169="","",LLM_Data_Entry!D169)</f>
        <v/>
      </c>
      <c r="E171" s="103">
        <f>IF(LLM_Data_Entry!V169="","",LLM_Data_Entry!V169)</f>
        <v/>
      </c>
      <c r="F171" s="103">
        <f>IF(LLM_Data_Entry!AS169="","",LLM_Data_Entry!AS169)</f>
        <v/>
      </c>
      <c r="G171" s="103">
        <f>IF(LLM_Data_Entry!AG169="","",LLM_Data_Entry!AG169)</f>
        <v/>
      </c>
      <c r="H171" s="103">
        <f>IF(LLM_Data_Entry!AT169="","",LLM_Data_Entry!AT169)</f>
        <v/>
      </c>
      <c r="I171" s="103">
        <f>IF(LLM_Data_Entry!AU169="","",LLM_Data_Entry!AU169)</f>
        <v/>
      </c>
      <c r="J171" s="103">
        <f>IF(LLM_Data_Entry!AH169="","",LLM_Data_Entry!AH169)</f>
        <v/>
      </c>
      <c r="K171" s="103">
        <f>IF(LLM_Data_Entry!AI169="","",LLM_Data_Entry!AI169)</f>
        <v/>
      </c>
      <c r="L171" s="103">
        <f>IF(LLM_Data_Entry!AJ169="","",LLM_Data_Entry!AJ169)</f>
        <v/>
      </c>
      <c r="M171" s="103">
        <f>IF(LLM_Data_Entry!AV169="","",LLM_Data_Entry!AV169)</f>
        <v/>
      </c>
      <c r="N171" s="103">
        <f>IF(LLM_Data_Entry!AW169="","",LLM_Data_Entry!AW169)</f>
        <v/>
      </c>
      <c r="O171" s="103">
        <f>IF(LLM_Data_Entry!AX169="","",LLM_Data_Entry!AX169)</f>
        <v/>
      </c>
      <c r="P171" s="103">
        <f>IF(LLM_Data_Entry!AY169="","",LLM_Data_Entry!AY169)</f>
        <v/>
      </c>
      <c r="Q171" s="103">
        <f>IF(LLM_Data_Entry!AZ169="","",LLM_Data_Entry!AZ169)</f>
        <v/>
      </c>
      <c r="R171" s="103">
        <f>IF(LLM_Data_Entry!AK169="","",LLM_Data_Entry!AK169)</f>
        <v/>
      </c>
      <c r="S171" s="103">
        <f>IF(LLM_Data_Entry!AL169="","",LLM_Data_Entry!AL169)</f>
        <v/>
      </c>
      <c r="T171" s="103">
        <f>IF(LLM_Data_Entry!BA169="","",LLM_Data_Entry!BA169)</f>
        <v/>
      </c>
      <c r="U171" s="103">
        <f>IF(LLM_Data_Entry!BB169="","",LLM_Data_Entry!BB169)</f>
        <v/>
      </c>
      <c r="V171" s="106">
        <f>IF(LLM_Data_Entry!O169="","",LLM_Data_Entry!O169)</f>
        <v/>
      </c>
    </row>
    <row r="172" ht="15" customHeight="1" s="241">
      <c r="A172" s="103">
        <f>IF(LLM_Data_Entry!A170="","",LLM_Data_Entry!A170)</f>
        <v/>
      </c>
      <c r="B172" s="103">
        <f>IF(LLM_Data_Entry!B170="","",LLM_Data_Entry!B170)</f>
        <v/>
      </c>
      <c r="C172" s="104">
        <f>IF(LLM_Data_Entry!C170="","",LLM_Data_Entry!C170)</f>
        <v/>
      </c>
      <c r="D172" s="103">
        <f>IF(LLM_Data_Entry!D170="","",LLM_Data_Entry!D170)</f>
        <v/>
      </c>
      <c r="E172" s="103">
        <f>IF(LLM_Data_Entry!V170="","",LLM_Data_Entry!V170)</f>
        <v/>
      </c>
      <c r="F172" s="103">
        <f>IF(LLM_Data_Entry!AS170="","",LLM_Data_Entry!AS170)</f>
        <v/>
      </c>
      <c r="G172" s="103">
        <f>IF(LLM_Data_Entry!AG170="","",LLM_Data_Entry!AG170)</f>
        <v/>
      </c>
      <c r="H172" s="103">
        <f>IF(LLM_Data_Entry!AT170="","",LLM_Data_Entry!AT170)</f>
        <v/>
      </c>
      <c r="I172" s="103">
        <f>IF(LLM_Data_Entry!AU170="","",LLM_Data_Entry!AU170)</f>
        <v/>
      </c>
      <c r="J172" s="103">
        <f>IF(LLM_Data_Entry!AH170="","",LLM_Data_Entry!AH170)</f>
        <v/>
      </c>
      <c r="K172" s="103">
        <f>IF(LLM_Data_Entry!AI170="","",LLM_Data_Entry!AI170)</f>
        <v/>
      </c>
      <c r="L172" s="103">
        <f>IF(LLM_Data_Entry!AJ170="","",LLM_Data_Entry!AJ170)</f>
        <v/>
      </c>
      <c r="M172" s="103">
        <f>IF(LLM_Data_Entry!AV170="","",LLM_Data_Entry!AV170)</f>
        <v/>
      </c>
      <c r="N172" s="103">
        <f>IF(LLM_Data_Entry!AW170="","",LLM_Data_Entry!AW170)</f>
        <v/>
      </c>
      <c r="O172" s="103">
        <f>IF(LLM_Data_Entry!AX170="","",LLM_Data_Entry!AX170)</f>
        <v/>
      </c>
      <c r="P172" s="103">
        <f>IF(LLM_Data_Entry!AY170="","",LLM_Data_Entry!AY170)</f>
        <v/>
      </c>
      <c r="Q172" s="103">
        <f>IF(LLM_Data_Entry!AZ170="","",LLM_Data_Entry!AZ170)</f>
        <v/>
      </c>
      <c r="R172" s="103">
        <f>IF(LLM_Data_Entry!AK170="","",LLM_Data_Entry!AK170)</f>
        <v/>
      </c>
      <c r="S172" s="103">
        <f>IF(LLM_Data_Entry!AL170="","",LLM_Data_Entry!AL170)</f>
        <v/>
      </c>
      <c r="T172" s="103">
        <f>IF(LLM_Data_Entry!BA170="","",LLM_Data_Entry!BA170)</f>
        <v/>
      </c>
      <c r="U172" s="103">
        <f>IF(LLM_Data_Entry!BB170="","",LLM_Data_Entry!BB170)</f>
        <v/>
      </c>
      <c r="V172" s="106">
        <f>IF(LLM_Data_Entry!O170="","",LLM_Data_Entry!O170)</f>
        <v/>
      </c>
    </row>
    <row r="173" ht="15" customHeight="1" s="241">
      <c r="A173" s="103">
        <f>IF(LLM_Data_Entry!A171="","",LLM_Data_Entry!A171)</f>
        <v/>
      </c>
      <c r="B173" s="103">
        <f>IF(LLM_Data_Entry!B171="","",LLM_Data_Entry!B171)</f>
        <v/>
      </c>
      <c r="C173" s="104">
        <f>IF(LLM_Data_Entry!C171="","",LLM_Data_Entry!C171)</f>
        <v/>
      </c>
      <c r="D173" s="103">
        <f>IF(LLM_Data_Entry!D171="","",LLM_Data_Entry!D171)</f>
        <v/>
      </c>
      <c r="E173" s="103">
        <f>IF(LLM_Data_Entry!V171="","",LLM_Data_Entry!V171)</f>
        <v/>
      </c>
      <c r="F173" s="103">
        <f>IF(LLM_Data_Entry!AS171="","",LLM_Data_Entry!AS171)</f>
        <v/>
      </c>
      <c r="G173" s="103">
        <f>IF(LLM_Data_Entry!AG171="","",LLM_Data_Entry!AG171)</f>
        <v/>
      </c>
      <c r="H173" s="103">
        <f>IF(LLM_Data_Entry!AT171="","",LLM_Data_Entry!AT171)</f>
        <v/>
      </c>
      <c r="I173" s="103">
        <f>IF(LLM_Data_Entry!AU171="","",LLM_Data_Entry!AU171)</f>
        <v/>
      </c>
      <c r="J173" s="103">
        <f>IF(LLM_Data_Entry!AH171="","",LLM_Data_Entry!AH171)</f>
        <v/>
      </c>
      <c r="K173" s="103">
        <f>IF(LLM_Data_Entry!AI171="","",LLM_Data_Entry!AI171)</f>
        <v/>
      </c>
      <c r="L173" s="103">
        <f>IF(LLM_Data_Entry!AJ171="","",LLM_Data_Entry!AJ171)</f>
        <v/>
      </c>
      <c r="M173" s="103">
        <f>IF(LLM_Data_Entry!AV171="","",LLM_Data_Entry!AV171)</f>
        <v/>
      </c>
      <c r="N173" s="103">
        <f>IF(LLM_Data_Entry!AW171="","",LLM_Data_Entry!AW171)</f>
        <v/>
      </c>
      <c r="O173" s="103">
        <f>IF(LLM_Data_Entry!AX171="","",LLM_Data_Entry!AX171)</f>
        <v/>
      </c>
      <c r="P173" s="103">
        <f>IF(LLM_Data_Entry!AY171="","",LLM_Data_Entry!AY171)</f>
        <v/>
      </c>
      <c r="Q173" s="103">
        <f>IF(LLM_Data_Entry!AZ171="","",LLM_Data_Entry!AZ171)</f>
        <v/>
      </c>
      <c r="R173" s="103">
        <f>IF(LLM_Data_Entry!AK171="","",LLM_Data_Entry!AK171)</f>
        <v/>
      </c>
      <c r="S173" s="103">
        <f>IF(LLM_Data_Entry!AL171="","",LLM_Data_Entry!AL171)</f>
        <v/>
      </c>
      <c r="T173" s="103">
        <f>IF(LLM_Data_Entry!BA171="","",LLM_Data_Entry!BA171)</f>
        <v/>
      </c>
      <c r="U173" s="103">
        <f>IF(LLM_Data_Entry!BB171="","",LLM_Data_Entry!BB171)</f>
        <v/>
      </c>
      <c r="V173" s="106">
        <f>IF(LLM_Data_Entry!O171="","",LLM_Data_Entry!O171)</f>
        <v/>
      </c>
    </row>
    <row r="174" ht="15" customHeight="1" s="241">
      <c r="A174" s="103">
        <f>IF(LLM_Data_Entry!A172="","",LLM_Data_Entry!A172)</f>
        <v/>
      </c>
      <c r="B174" s="103">
        <f>IF(LLM_Data_Entry!B172="","",LLM_Data_Entry!B172)</f>
        <v/>
      </c>
      <c r="C174" s="104">
        <f>IF(LLM_Data_Entry!C172="","",LLM_Data_Entry!C172)</f>
        <v/>
      </c>
      <c r="D174" s="103">
        <f>IF(LLM_Data_Entry!D172="","",LLM_Data_Entry!D172)</f>
        <v/>
      </c>
      <c r="E174" s="103">
        <f>IF(LLM_Data_Entry!V172="","",LLM_Data_Entry!V172)</f>
        <v/>
      </c>
      <c r="F174" s="103">
        <f>IF(LLM_Data_Entry!AS172="","",LLM_Data_Entry!AS172)</f>
        <v/>
      </c>
      <c r="G174" s="103">
        <f>IF(LLM_Data_Entry!AG172="","",LLM_Data_Entry!AG172)</f>
        <v/>
      </c>
      <c r="H174" s="103">
        <f>IF(LLM_Data_Entry!AT172="","",LLM_Data_Entry!AT172)</f>
        <v/>
      </c>
      <c r="I174" s="103">
        <f>IF(LLM_Data_Entry!AU172="","",LLM_Data_Entry!AU172)</f>
        <v/>
      </c>
      <c r="J174" s="103">
        <f>IF(LLM_Data_Entry!AH172="","",LLM_Data_Entry!AH172)</f>
        <v/>
      </c>
      <c r="K174" s="103">
        <f>IF(LLM_Data_Entry!AI172="","",LLM_Data_Entry!AI172)</f>
        <v/>
      </c>
      <c r="L174" s="103">
        <f>IF(LLM_Data_Entry!AJ172="","",LLM_Data_Entry!AJ172)</f>
        <v/>
      </c>
      <c r="M174" s="103">
        <f>IF(LLM_Data_Entry!AV172="","",LLM_Data_Entry!AV172)</f>
        <v/>
      </c>
      <c r="N174" s="103">
        <f>IF(LLM_Data_Entry!AW172="","",LLM_Data_Entry!AW172)</f>
        <v/>
      </c>
      <c r="O174" s="103">
        <f>IF(LLM_Data_Entry!AX172="","",LLM_Data_Entry!AX172)</f>
        <v/>
      </c>
      <c r="P174" s="103">
        <f>IF(LLM_Data_Entry!AY172="","",LLM_Data_Entry!AY172)</f>
        <v/>
      </c>
      <c r="Q174" s="103">
        <f>IF(LLM_Data_Entry!AZ172="","",LLM_Data_Entry!AZ172)</f>
        <v/>
      </c>
      <c r="R174" s="103">
        <f>IF(LLM_Data_Entry!AK172="","",LLM_Data_Entry!AK172)</f>
        <v/>
      </c>
      <c r="S174" s="103">
        <f>IF(LLM_Data_Entry!AL172="","",LLM_Data_Entry!AL172)</f>
        <v/>
      </c>
      <c r="T174" s="103">
        <f>IF(LLM_Data_Entry!BA172="","",LLM_Data_Entry!BA172)</f>
        <v/>
      </c>
      <c r="U174" s="103">
        <f>IF(LLM_Data_Entry!BB172="","",LLM_Data_Entry!BB172)</f>
        <v/>
      </c>
      <c r="V174" s="106">
        <f>IF(LLM_Data_Entry!O172="","",LLM_Data_Entry!O172)</f>
        <v/>
      </c>
    </row>
    <row r="175" ht="15" customHeight="1" s="241">
      <c r="A175" s="103">
        <f>IF(LLM_Data_Entry!A173="","",LLM_Data_Entry!A173)</f>
        <v/>
      </c>
      <c r="B175" s="103">
        <f>IF(LLM_Data_Entry!B173="","",LLM_Data_Entry!B173)</f>
        <v/>
      </c>
      <c r="C175" s="104">
        <f>IF(LLM_Data_Entry!C173="","",LLM_Data_Entry!C173)</f>
        <v/>
      </c>
      <c r="D175" s="103">
        <f>IF(LLM_Data_Entry!D173="","",LLM_Data_Entry!D173)</f>
        <v/>
      </c>
      <c r="E175" s="103">
        <f>IF(LLM_Data_Entry!V173="","",LLM_Data_Entry!V173)</f>
        <v/>
      </c>
      <c r="F175" s="103">
        <f>IF(LLM_Data_Entry!AS173="","",LLM_Data_Entry!AS173)</f>
        <v/>
      </c>
      <c r="G175" s="103">
        <f>IF(LLM_Data_Entry!AG173="","",LLM_Data_Entry!AG173)</f>
        <v/>
      </c>
      <c r="H175" s="103">
        <f>IF(LLM_Data_Entry!AT173="","",LLM_Data_Entry!AT173)</f>
        <v/>
      </c>
      <c r="I175" s="103">
        <f>IF(LLM_Data_Entry!AU173="","",LLM_Data_Entry!AU173)</f>
        <v/>
      </c>
      <c r="J175" s="103">
        <f>IF(LLM_Data_Entry!AH173="","",LLM_Data_Entry!AH173)</f>
        <v/>
      </c>
      <c r="K175" s="103">
        <f>IF(LLM_Data_Entry!AI173="","",LLM_Data_Entry!AI173)</f>
        <v/>
      </c>
      <c r="L175" s="103">
        <f>IF(LLM_Data_Entry!AJ173="","",LLM_Data_Entry!AJ173)</f>
        <v/>
      </c>
      <c r="M175" s="103">
        <f>IF(LLM_Data_Entry!AV173="","",LLM_Data_Entry!AV173)</f>
        <v/>
      </c>
      <c r="N175" s="103">
        <f>IF(LLM_Data_Entry!AW173="","",LLM_Data_Entry!AW173)</f>
        <v/>
      </c>
      <c r="O175" s="103">
        <f>IF(LLM_Data_Entry!AX173="","",LLM_Data_Entry!AX173)</f>
        <v/>
      </c>
      <c r="P175" s="103">
        <f>IF(LLM_Data_Entry!AY173="","",LLM_Data_Entry!AY173)</f>
        <v/>
      </c>
      <c r="Q175" s="103">
        <f>IF(LLM_Data_Entry!AZ173="","",LLM_Data_Entry!AZ173)</f>
        <v/>
      </c>
      <c r="R175" s="103">
        <f>IF(LLM_Data_Entry!AK173="","",LLM_Data_Entry!AK173)</f>
        <v/>
      </c>
      <c r="S175" s="103">
        <f>IF(LLM_Data_Entry!AL173="","",LLM_Data_Entry!AL173)</f>
        <v/>
      </c>
      <c r="T175" s="103">
        <f>IF(LLM_Data_Entry!BA173="","",LLM_Data_Entry!BA173)</f>
        <v/>
      </c>
      <c r="U175" s="103">
        <f>IF(LLM_Data_Entry!BB173="","",LLM_Data_Entry!BB173)</f>
        <v/>
      </c>
      <c r="V175" s="106">
        <f>IF(LLM_Data_Entry!O173="","",LLM_Data_Entry!O173)</f>
        <v/>
      </c>
    </row>
    <row r="176" ht="15" customHeight="1" s="241">
      <c r="A176" s="103">
        <f>IF(LLM_Data_Entry!A174="","",LLM_Data_Entry!A174)</f>
        <v/>
      </c>
      <c r="B176" s="103">
        <f>IF(LLM_Data_Entry!B174="","",LLM_Data_Entry!B174)</f>
        <v/>
      </c>
      <c r="C176" s="104">
        <f>IF(LLM_Data_Entry!C174="","",LLM_Data_Entry!C174)</f>
        <v/>
      </c>
      <c r="D176" s="103">
        <f>IF(LLM_Data_Entry!D174="","",LLM_Data_Entry!D174)</f>
        <v/>
      </c>
      <c r="E176" s="103">
        <f>IF(LLM_Data_Entry!V174="","",LLM_Data_Entry!V174)</f>
        <v/>
      </c>
      <c r="F176" s="103">
        <f>IF(LLM_Data_Entry!AS174="","",LLM_Data_Entry!AS174)</f>
        <v/>
      </c>
      <c r="G176" s="103">
        <f>IF(LLM_Data_Entry!AG174="","",LLM_Data_Entry!AG174)</f>
        <v/>
      </c>
      <c r="H176" s="103">
        <f>IF(LLM_Data_Entry!AT174="","",LLM_Data_Entry!AT174)</f>
        <v/>
      </c>
      <c r="I176" s="103">
        <f>IF(LLM_Data_Entry!AU174="","",LLM_Data_Entry!AU174)</f>
        <v/>
      </c>
      <c r="J176" s="103">
        <f>IF(LLM_Data_Entry!AH174="","",LLM_Data_Entry!AH174)</f>
        <v/>
      </c>
      <c r="K176" s="103">
        <f>IF(LLM_Data_Entry!AI174="","",LLM_Data_Entry!AI174)</f>
        <v/>
      </c>
      <c r="L176" s="103">
        <f>IF(LLM_Data_Entry!AJ174="","",LLM_Data_Entry!AJ174)</f>
        <v/>
      </c>
      <c r="M176" s="103">
        <f>IF(LLM_Data_Entry!AV174="","",LLM_Data_Entry!AV174)</f>
        <v/>
      </c>
      <c r="N176" s="103">
        <f>IF(LLM_Data_Entry!AW174="","",LLM_Data_Entry!AW174)</f>
        <v/>
      </c>
      <c r="O176" s="103">
        <f>IF(LLM_Data_Entry!AX174="","",LLM_Data_Entry!AX174)</f>
        <v/>
      </c>
      <c r="P176" s="103">
        <f>IF(LLM_Data_Entry!AY174="","",LLM_Data_Entry!AY174)</f>
        <v/>
      </c>
      <c r="Q176" s="103">
        <f>IF(LLM_Data_Entry!AZ174="","",LLM_Data_Entry!AZ174)</f>
        <v/>
      </c>
      <c r="R176" s="103">
        <f>IF(LLM_Data_Entry!AK174="","",LLM_Data_Entry!AK174)</f>
        <v/>
      </c>
      <c r="S176" s="103">
        <f>IF(LLM_Data_Entry!AL174="","",LLM_Data_Entry!AL174)</f>
        <v/>
      </c>
      <c r="T176" s="103">
        <f>IF(LLM_Data_Entry!BA174="","",LLM_Data_Entry!BA174)</f>
        <v/>
      </c>
      <c r="U176" s="103">
        <f>IF(LLM_Data_Entry!BB174="","",LLM_Data_Entry!BB174)</f>
        <v/>
      </c>
      <c r="V176" s="106">
        <f>IF(LLM_Data_Entry!O174="","",LLM_Data_Entry!O174)</f>
        <v/>
      </c>
    </row>
    <row r="177" ht="15" customHeight="1" s="241">
      <c r="A177" s="103">
        <f>IF(LLM_Data_Entry!A175="","",LLM_Data_Entry!A175)</f>
        <v/>
      </c>
      <c r="B177" s="103">
        <f>IF(LLM_Data_Entry!B175="","",LLM_Data_Entry!B175)</f>
        <v/>
      </c>
      <c r="C177" s="104">
        <f>IF(LLM_Data_Entry!C175="","",LLM_Data_Entry!C175)</f>
        <v/>
      </c>
      <c r="D177" s="103">
        <f>IF(LLM_Data_Entry!D175="","",LLM_Data_Entry!D175)</f>
        <v/>
      </c>
      <c r="E177" s="103">
        <f>IF(LLM_Data_Entry!V175="","",LLM_Data_Entry!V175)</f>
        <v/>
      </c>
      <c r="F177" s="103">
        <f>IF(LLM_Data_Entry!AS175="","",LLM_Data_Entry!AS175)</f>
        <v/>
      </c>
      <c r="G177" s="103">
        <f>IF(LLM_Data_Entry!AG175="","",LLM_Data_Entry!AG175)</f>
        <v/>
      </c>
      <c r="H177" s="103">
        <f>IF(LLM_Data_Entry!AT175="","",LLM_Data_Entry!AT175)</f>
        <v/>
      </c>
      <c r="I177" s="103">
        <f>IF(LLM_Data_Entry!AU175="","",LLM_Data_Entry!AU175)</f>
        <v/>
      </c>
      <c r="J177" s="103">
        <f>IF(LLM_Data_Entry!AH175="","",LLM_Data_Entry!AH175)</f>
        <v/>
      </c>
      <c r="K177" s="103">
        <f>IF(LLM_Data_Entry!AI175="","",LLM_Data_Entry!AI175)</f>
        <v/>
      </c>
      <c r="L177" s="103">
        <f>IF(LLM_Data_Entry!AJ175="","",LLM_Data_Entry!AJ175)</f>
        <v/>
      </c>
      <c r="M177" s="103">
        <f>IF(LLM_Data_Entry!AV175="","",LLM_Data_Entry!AV175)</f>
        <v/>
      </c>
      <c r="N177" s="103">
        <f>IF(LLM_Data_Entry!AW175="","",LLM_Data_Entry!AW175)</f>
        <v/>
      </c>
      <c r="O177" s="103">
        <f>IF(LLM_Data_Entry!AX175="","",LLM_Data_Entry!AX175)</f>
        <v/>
      </c>
      <c r="P177" s="103">
        <f>IF(LLM_Data_Entry!AY175="","",LLM_Data_Entry!AY175)</f>
        <v/>
      </c>
      <c r="Q177" s="103">
        <f>IF(LLM_Data_Entry!AZ175="","",LLM_Data_Entry!AZ175)</f>
        <v/>
      </c>
      <c r="R177" s="103">
        <f>IF(LLM_Data_Entry!AK175="","",LLM_Data_Entry!AK175)</f>
        <v/>
      </c>
      <c r="S177" s="103">
        <f>IF(LLM_Data_Entry!AL175="","",LLM_Data_Entry!AL175)</f>
        <v/>
      </c>
      <c r="T177" s="103">
        <f>IF(LLM_Data_Entry!BA175="","",LLM_Data_Entry!BA175)</f>
        <v/>
      </c>
      <c r="U177" s="103">
        <f>IF(LLM_Data_Entry!BB175="","",LLM_Data_Entry!BB175)</f>
        <v/>
      </c>
      <c r="V177" s="106">
        <f>IF(LLM_Data_Entry!O175="","",LLM_Data_Entry!O175)</f>
        <v/>
      </c>
    </row>
    <row r="178" ht="15" customHeight="1" s="241">
      <c r="A178" s="103">
        <f>IF(LLM_Data_Entry!A176="","",LLM_Data_Entry!A176)</f>
        <v/>
      </c>
      <c r="B178" s="103">
        <f>IF(LLM_Data_Entry!B176="","",LLM_Data_Entry!B176)</f>
        <v/>
      </c>
      <c r="C178" s="104">
        <f>IF(LLM_Data_Entry!C176="","",LLM_Data_Entry!C176)</f>
        <v/>
      </c>
      <c r="D178" s="103">
        <f>IF(LLM_Data_Entry!D176="","",LLM_Data_Entry!D176)</f>
        <v/>
      </c>
      <c r="E178" s="103">
        <f>IF(LLM_Data_Entry!V176="","",LLM_Data_Entry!V176)</f>
        <v/>
      </c>
      <c r="F178" s="103">
        <f>IF(LLM_Data_Entry!AS176="","",LLM_Data_Entry!AS176)</f>
        <v/>
      </c>
      <c r="G178" s="103">
        <f>IF(LLM_Data_Entry!AG176="","",LLM_Data_Entry!AG176)</f>
        <v/>
      </c>
      <c r="H178" s="103">
        <f>IF(LLM_Data_Entry!AT176="","",LLM_Data_Entry!AT176)</f>
        <v/>
      </c>
      <c r="I178" s="103">
        <f>IF(LLM_Data_Entry!AU176="","",LLM_Data_Entry!AU176)</f>
        <v/>
      </c>
      <c r="J178" s="103">
        <f>IF(LLM_Data_Entry!AH176="","",LLM_Data_Entry!AH176)</f>
        <v/>
      </c>
      <c r="K178" s="103">
        <f>IF(LLM_Data_Entry!AI176="","",LLM_Data_Entry!AI176)</f>
        <v/>
      </c>
      <c r="L178" s="103">
        <f>IF(LLM_Data_Entry!AJ176="","",LLM_Data_Entry!AJ176)</f>
        <v/>
      </c>
      <c r="M178" s="103">
        <f>IF(LLM_Data_Entry!AV176="","",LLM_Data_Entry!AV176)</f>
        <v/>
      </c>
      <c r="N178" s="103">
        <f>IF(LLM_Data_Entry!AW176="","",LLM_Data_Entry!AW176)</f>
        <v/>
      </c>
      <c r="O178" s="103">
        <f>IF(LLM_Data_Entry!AX176="","",LLM_Data_Entry!AX176)</f>
        <v/>
      </c>
      <c r="P178" s="103">
        <f>IF(LLM_Data_Entry!AY176="","",LLM_Data_Entry!AY176)</f>
        <v/>
      </c>
      <c r="Q178" s="103">
        <f>IF(LLM_Data_Entry!AZ176="","",LLM_Data_Entry!AZ176)</f>
        <v/>
      </c>
      <c r="R178" s="103">
        <f>IF(LLM_Data_Entry!AK176="","",LLM_Data_Entry!AK176)</f>
        <v/>
      </c>
      <c r="S178" s="103">
        <f>IF(LLM_Data_Entry!AL176="","",LLM_Data_Entry!AL176)</f>
        <v/>
      </c>
      <c r="T178" s="103">
        <f>IF(LLM_Data_Entry!BA176="","",LLM_Data_Entry!BA176)</f>
        <v/>
      </c>
      <c r="U178" s="103">
        <f>IF(LLM_Data_Entry!BB176="","",LLM_Data_Entry!BB176)</f>
        <v/>
      </c>
      <c r="V178" s="106">
        <f>IF(LLM_Data_Entry!O176="","",LLM_Data_Entry!O176)</f>
        <v/>
      </c>
    </row>
    <row r="179" ht="15" customHeight="1" s="241">
      <c r="A179" s="103">
        <f>IF(LLM_Data_Entry!A177="","",LLM_Data_Entry!A177)</f>
        <v/>
      </c>
      <c r="B179" s="103">
        <f>IF(LLM_Data_Entry!B177="","",LLM_Data_Entry!B177)</f>
        <v/>
      </c>
      <c r="C179" s="104">
        <f>IF(LLM_Data_Entry!C177="","",LLM_Data_Entry!C177)</f>
        <v/>
      </c>
      <c r="D179" s="103">
        <f>IF(LLM_Data_Entry!D177="","",LLM_Data_Entry!D177)</f>
        <v/>
      </c>
      <c r="E179" s="103">
        <f>IF(LLM_Data_Entry!V177="","",LLM_Data_Entry!V177)</f>
        <v/>
      </c>
      <c r="F179" s="103">
        <f>IF(LLM_Data_Entry!AS177="","",LLM_Data_Entry!AS177)</f>
        <v/>
      </c>
      <c r="G179" s="103">
        <f>IF(LLM_Data_Entry!AG177="","",LLM_Data_Entry!AG177)</f>
        <v/>
      </c>
      <c r="H179" s="103">
        <f>IF(LLM_Data_Entry!AT177="","",LLM_Data_Entry!AT177)</f>
        <v/>
      </c>
      <c r="I179" s="103">
        <f>IF(LLM_Data_Entry!AU177="","",LLM_Data_Entry!AU177)</f>
        <v/>
      </c>
      <c r="J179" s="103">
        <f>IF(LLM_Data_Entry!AH177="","",LLM_Data_Entry!AH177)</f>
        <v/>
      </c>
      <c r="K179" s="103">
        <f>IF(LLM_Data_Entry!AI177="","",LLM_Data_Entry!AI177)</f>
        <v/>
      </c>
      <c r="L179" s="103">
        <f>IF(LLM_Data_Entry!AJ177="","",LLM_Data_Entry!AJ177)</f>
        <v/>
      </c>
      <c r="M179" s="103">
        <f>IF(LLM_Data_Entry!AV177="","",LLM_Data_Entry!AV177)</f>
        <v/>
      </c>
      <c r="N179" s="103">
        <f>IF(LLM_Data_Entry!AW177="","",LLM_Data_Entry!AW177)</f>
        <v/>
      </c>
      <c r="O179" s="103">
        <f>IF(LLM_Data_Entry!AX177="","",LLM_Data_Entry!AX177)</f>
        <v/>
      </c>
      <c r="P179" s="103">
        <f>IF(LLM_Data_Entry!AY177="","",LLM_Data_Entry!AY177)</f>
        <v/>
      </c>
      <c r="Q179" s="103">
        <f>IF(LLM_Data_Entry!AZ177="","",LLM_Data_Entry!AZ177)</f>
        <v/>
      </c>
      <c r="R179" s="103">
        <f>IF(LLM_Data_Entry!AK177="","",LLM_Data_Entry!AK177)</f>
        <v/>
      </c>
      <c r="S179" s="103">
        <f>IF(LLM_Data_Entry!AL177="","",LLM_Data_Entry!AL177)</f>
        <v/>
      </c>
      <c r="T179" s="103">
        <f>IF(LLM_Data_Entry!BA177="","",LLM_Data_Entry!BA177)</f>
        <v/>
      </c>
      <c r="U179" s="103">
        <f>IF(LLM_Data_Entry!BB177="","",LLM_Data_Entry!BB177)</f>
        <v/>
      </c>
      <c r="V179" s="106">
        <f>IF(LLM_Data_Entry!O177="","",LLM_Data_Entry!O177)</f>
        <v/>
      </c>
    </row>
    <row r="180" ht="15" customHeight="1" s="241">
      <c r="A180" s="103">
        <f>IF(LLM_Data_Entry!A178="","",LLM_Data_Entry!A178)</f>
        <v/>
      </c>
      <c r="B180" s="103">
        <f>IF(LLM_Data_Entry!B178="","",LLM_Data_Entry!B178)</f>
        <v/>
      </c>
      <c r="C180" s="104">
        <f>IF(LLM_Data_Entry!C178="","",LLM_Data_Entry!C178)</f>
        <v/>
      </c>
      <c r="D180" s="103">
        <f>IF(LLM_Data_Entry!D178="","",LLM_Data_Entry!D178)</f>
        <v/>
      </c>
      <c r="E180" s="103">
        <f>IF(LLM_Data_Entry!V178="","",LLM_Data_Entry!V178)</f>
        <v/>
      </c>
      <c r="F180" s="103">
        <f>IF(LLM_Data_Entry!AS178="","",LLM_Data_Entry!AS178)</f>
        <v/>
      </c>
      <c r="G180" s="103">
        <f>IF(LLM_Data_Entry!AG178="","",LLM_Data_Entry!AG178)</f>
        <v/>
      </c>
      <c r="H180" s="103">
        <f>IF(LLM_Data_Entry!AT178="","",LLM_Data_Entry!AT178)</f>
        <v/>
      </c>
      <c r="I180" s="103">
        <f>IF(LLM_Data_Entry!AU178="","",LLM_Data_Entry!AU178)</f>
        <v/>
      </c>
      <c r="J180" s="103">
        <f>IF(LLM_Data_Entry!AH178="","",LLM_Data_Entry!AH178)</f>
        <v/>
      </c>
      <c r="K180" s="103">
        <f>IF(LLM_Data_Entry!AI178="","",LLM_Data_Entry!AI178)</f>
        <v/>
      </c>
      <c r="L180" s="103">
        <f>IF(LLM_Data_Entry!AJ178="","",LLM_Data_Entry!AJ178)</f>
        <v/>
      </c>
      <c r="M180" s="103">
        <f>IF(LLM_Data_Entry!AV178="","",LLM_Data_Entry!AV178)</f>
        <v/>
      </c>
      <c r="N180" s="103">
        <f>IF(LLM_Data_Entry!AW178="","",LLM_Data_Entry!AW178)</f>
        <v/>
      </c>
      <c r="O180" s="103">
        <f>IF(LLM_Data_Entry!AX178="","",LLM_Data_Entry!AX178)</f>
        <v/>
      </c>
      <c r="P180" s="103">
        <f>IF(LLM_Data_Entry!AY178="","",LLM_Data_Entry!AY178)</f>
        <v/>
      </c>
      <c r="Q180" s="103">
        <f>IF(LLM_Data_Entry!AZ178="","",LLM_Data_Entry!AZ178)</f>
        <v/>
      </c>
      <c r="R180" s="103">
        <f>IF(LLM_Data_Entry!AK178="","",LLM_Data_Entry!AK178)</f>
        <v/>
      </c>
      <c r="S180" s="103">
        <f>IF(LLM_Data_Entry!AL178="","",LLM_Data_Entry!AL178)</f>
        <v/>
      </c>
      <c r="T180" s="103">
        <f>IF(LLM_Data_Entry!BA178="","",LLM_Data_Entry!BA178)</f>
        <v/>
      </c>
      <c r="U180" s="103">
        <f>IF(LLM_Data_Entry!BB178="","",LLM_Data_Entry!BB178)</f>
        <v/>
      </c>
      <c r="V180" s="106">
        <f>IF(LLM_Data_Entry!O178="","",LLM_Data_Entry!O178)</f>
        <v/>
      </c>
    </row>
    <row r="181" ht="15" customHeight="1" s="241">
      <c r="A181" s="103">
        <f>IF(LLM_Data_Entry!A179="","",LLM_Data_Entry!A179)</f>
        <v/>
      </c>
      <c r="B181" s="103">
        <f>IF(LLM_Data_Entry!B179="","",LLM_Data_Entry!B179)</f>
        <v/>
      </c>
      <c r="C181" s="104">
        <f>IF(LLM_Data_Entry!C179="","",LLM_Data_Entry!C179)</f>
        <v/>
      </c>
      <c r="D181" s="103">
        <f>IF(LLM_Data_Entry!D179="","",LLM_Data_Entry!D179)</f>
        <v/>
      </c>
      <c r="E181" s="103">
        <f>IF(LLM_Data_Entry!V179="","",LLM_Data_Entry!V179)</f>
        <v/>
      </c>
      <c r="F181" s="103">
        <f>IF(LLM_Data_Entry!AS179="","",LLM_Data_Entry!AS179)</f>
        <v/>
      </c>
      <c r="G181" s="103">
        <f>IF(LLM_Data_Entry!AG179="","",LLM_Data_Entry!AG179)</f>
        <v/>
      </c>
      <c r="H181" s="103">
        <f>IF(LLM_Data_Entry!AT179="","",LLM_Data_Entry!AT179)</f>
        <v/>
      </c>
      <c r="I181" s="103">
        <f>IF(LLM_Data_Entry!AU179="","",LLM_Data_Entry!AU179)</f>
        <v/>
      </c>
      <c r="J181" s="103">
        <f>IF(LLM_Data_Entry!AH179="","",LLM_Data_Entry!AH179)</f>
        <v/>
      </c>
      <c r="K181" s="103">
        <f>IF(LLM_Data_Entry!AI179="","",LLM_Data_Entry!AI179)</f>
        <v/>
      </c>
      <c r="L181" s="103">
        <f>IF(LLM_Data_Entry!AJ179="","",LLM_Data_Entry!AJ179)</f>
        <v/>
      </c>
      <c r="M181" s="103">
        <f>IF(LLM_Data_Entry!AV179="","",LLM_Data_Entry!AV179)</f>
        <v/>
      </c>
      <c r="N181" s="103">
        <f>IF(LLM_Data_Entry!AW179="","",LLM_Data_Entry!AW179)</f>
        <v/>
      </c>
      <c r="O181" s="103">
        <f>IF(LLM_Data_Entry!AX179="","",LLM_Data_Entry!AX179)</f>
        <v/>
      </c>
      <c r="P181" s="103">
        <f>IF(LLM_Data_Entry!AY179="","",LLM_Data_Entry!AY179)</f>
        <v/>
      </c>
      <c r="Q181" s="103">
        <f>IF(LLM_Data_Entry!AZ179="","",LLM_Data_Entry!AZ179)</f>
        <v/>
      </c>
      <c r="R181" s="103">
        <f>IF(LLM_Data_Entry!AK179="","",LLM_Data_Entry!AK179)</f>
        <v/>
      </c>
      <c r="S181" s="103">
        <f>IF(LLM_Data_Entry!AL179="","",LLM_Data_Entry!AL179)</f>
        <v/>
      </c>
      <c r="T181" s="103">
        <f>IF(LLM_Data_Entry!BA179="","",LLM_Data_Entry!BA179)</f>
        <v/>
      </c>
      <c r="U181" s="103">
        <f>IF(LLM_Data_Entry!BB179="","",LLM_Data_Entry!BB179)</f>
        <v/>
      </c>
      <c r="V181" s="106">
        <f>IF(LLM_Data_Entry!O179="","",LLM_Data_Entry!O179)</f>
        <v/>
      </c>
    </row>
    <row r="182" ht="15" customHeight="1" s="241">
      <c r="A182" s="103">
        <f>IF(LLM_Data_Entry!A180="","",LLM_Data_Entry!A180)</f>
        <v/>
      </c>
      <c r="B182" s="103">
        <f>IF(LLM_Data_Entry!B180="","",LLM_Data_Entry!B180)</f>
        <v/>
      </c>
      <c r="C182" s="104">
        <f>IF(LLM_Data_Entry!C180="","",LLM_Data_Entry!C180)</f>
        <v/>
      </c>
      <c r="D182" s="103">
        <f>IF(LLM_Data_Entry!D180="","",LLM_Data_Entry!D180)</f>
        <v/>
      </c>
      <c r="E182" s="103">
        <f>IF(LLM_Data_Entry!V180="","",LLM_Data_Entry!V180)</f>
        <v/>
      </c>
      <c r="F182" s="103">
        <f>IF(LLM_Data_Entry!AS180="","",LLM_Data_Entry!AS180)</f>
        <v/>
      </c>
      <c r="G182" s="103">
        <f>IF(LLM_Data_Entry!AG180="","",LLM_Data_Entry!AG180)</f>
        <v/>
      </c>
      <c r="H182" s="103">
        <f>IF(LLM_Data_Entry!AT180="","",LLM_Data_Entry!AT180)</f>
        <v/>
      </c>
      <c r="I182" s="103">
        <f>IF(LLM_Data_Entry!AU180="","",LLM_Data_Entry!AU180)</f>
        <v/>
      </c>
      <c r="J182" s="103">
        <f>IF(LLM_Data_Entry!AH180="","",LLM_Data_Entry!AH180)</f>
        <v/>
      </c>
      <c r="K182" s="103">
        <f>IF(LLM_Data_Entry!AI180="","",LLM_Data_Entry!AI180)</f>
        <v/>
      </c>
      <c r="L182" s="103">
        <f>IF(LLM_Data_Entry!AJ180="","",LLM_Data_Entry!AJ180)</f>
        <v/>
      </c>
      <c r="M182" s="103">
        <f>IF(LLM_Data_Entry!AV180="","",LLM_Data_Entry!AV180)</f>
        <v/>
      </c>
      <c r="N182" s="103">
        <f>IF(LLM_Data_Entry!AW180="","",LLM_Data_Entry!AW180)</f>
        <v/>
      </c>
      <c r="O182" s="103">
        <f>IF(LLM_Data_Entry!AX180="","",LLM_Data_Entry!AX180)</f>
        <v/>
      </c>
      <c r="P182" s="103">
        <f>IF(LLM_Data_Entry!AY180="","",LLM_Data_Entry!AY180)</f>
        <v/>
      </c>
      <c r="Q182" s="103">
        <f>IF(LLM_Data_Entry!AZ180="","",LLM_Data_Entry!AZ180)</f>
        <v/>
      </c>
      <c r="R182" s="103">
        <f>IF(LLM_Data_Entry!AK180="","",LLM_Data_Entry!AK180)</f>
        <v/>
      </c>
      <c r="S182" s="103">
        <f>IF(LLM_Data_Entry!AL180="","",LLM_Data_Entry!AL180)</f>
        <v/>
      </c>
      <c r="T182" s="103">
        <f>IF(LLM_Data_Entry!BA180="","",LLM_Data_Entry!BA180)</f>
        <v/>
      </c>
      <c r="U182" s="103">
        <f>IF(LLM_Data_Entry!BB180="","",LLM_Data_Entry!BB180)</f>
        <v/>
      </c>
      <c r="V182" s="106">
        <f>IF(LLM_Data_Entry!O180="","",LLM_Data_Entry!O180)</f>
        <v/>
      </c>
    </row>
    <row r="183" ht="15" customHeight="1" s="241">
      <c r="A183" s="103">
        <f>IF(LLM_Data_Entry!A181="","",LLM_Data_Entry!A181)</f>
        <v/>
      </c>
      <c r="B183" s="103">
        <f>IF(LLM_Data_Entry!B181="","",LLM_Data_Entry!B181)</f>
        <v/>
      </c>
      <c r="C183" s="104">
        <f>IF(LLM_Data_Entry!C181="","",LLM_Data_Entry!C181)</f>
        <v/>
      </c>
      <c r="D183" s="103">
        <f>IF(LLM_Data_Entry!D181="","",LLM_Data_Entry!D181)</f>
        <v/>
      </c>
      <c r="E183" s="103">
        <f>IF(LLM_Data_Entry!V181="","",LLM_Data_Entry!V181)</f>
        <v/>
      </c>
      <c r="F183" s="103">
        <f>IF(LLM_Data_Entry!AS181="","",LLM_Data_Entry!AS181)</f>
        <v/>
      </c>
      <c r="G183" s="103">
        <f>IF(LLM_Data_Entry!AG181="","",LLM_Data_Entry!AG181)</f>
        <v/>
      </c>
      <c r="H183" s="103">
        <f>IF(LLM_Data_Entry!AT181="","",LLM_Data_Entry!AT181)</f>
        <v/>
      </c>
      <c r="I183" s="103">
        <f>IF(LLM_Data_Entry!AU181="","",LLM_Data_Entry!AU181)</f>
        <v/>
      </c>
      <c r="J183" s="103">
        <f>IF(LLM_Data_Entry!AH181="","",LLM_Data_Entry!AH181)</f>
        <v/>
      </c>
      <c r="K183" s="103">
        <f>IF(LLM_Data_Entry!AI181="","",LLM_Data_Entry!AI181)</f>
        <v/>
      </c>
      <c r="L183" s="103">
        <f>IF(LLM_Data_Entry!AJ181="","",LLM_Data_Entry!AJ181)</f>
        <v/>
      </c>
      <c r="M183" s="103">
        <f>IF(LLM_Data_Entry!AV181="","",LLM_Data_Entry!AV181)</f>
        <v/>
      </c>
      <c r="N183" s="103">
        <f>IF(LLM_Data_Entry!AW181="","",LLM_Data_Entry!AW181)</f>
        <v/>
      </c>
      <c r="O183" s="103">
        <f>IF(LLM_Data_Entry!AX181="","",LLM_Data_Entry!AX181)</f>
        <v/>
      </c>
      <c r="P183" s="103">
        <f>IF(LLM_Data_Entry!AY181="","",LLM_Data_Entry!AY181)</f>
        <v/>
      </c>
      <c r="Q183" s="103">
        <f>IF(LLM_Data_Entry!AZ181="","",LLM_Data_Entry!AZ181)</f>
        <v/>
      </c>
      <c r="R183" s="103">
        <f>IF(LLM_Data_Entry!AK181="","",LLM_Data_Entry!AK181)</f>
        <v/>
      </c>
      <c r="S183" s="103">
        <f>IF(LLM_Data_Entry!AL181="","",LLM_Data_Entry!AL181)</f>
        <v/>
      </c>
      <c r="T183" s="103">
        <f>IF(LLM_Data_Entry!BA181="","",LLM_Data_Entry!BA181)</f>
        <v/>
      </c>
      <c r="U183" s="103">
        <f>IF(LLM_Data_Entry!BB181="","",LLM_Data_Entry!BB181)</f>
        <v/>
      </c>
      <c r="V183" s="106">
        <f>IF(LLM_Data_Entry!O181="","",LLM_Data_Entry!O181)</f>
        <v/>
      </c>
    </row>
    <row r="184" ht="15" customHeight="1" s="241">
      <c r="A184" s="103">
        <f>IF(LLM_Data_Entry!A182="","",LLM_Data_Entry!A182)</f>
        <v/>
      </c>
      <c r="B184" s="103">
        <f>IF(LLM_Data_Entry!B182="","",LLM_Data_Entry!B182)</f>
        <v/>
      </c>
      <c r="C184" s="104">
        <f>IF(LLM_Data_Entry!C182="","",LLM_Data_Entry!C182)</f>
        <v/>
      </c>
      <c r="D184" s="103">
        <f>IF(LLM_Data_Entry!D182="","",LLM_Data_Entry!D182)</f>
        <v/>
      </c>
      <c r="E184" s="103">
        <f>IF(LLM_Data_Entry!V182="","",LLM_Data_Entry!V182)</f>
        <v/>
      </c>
      <c r="F184" s="103">
        <f>IF(LLM_Data_Entry!AS182="","",LLM_Data_Entry!AS182)</f>
        <v/>
      </c>
      <c r="G184" s="103">
        <f>IF(LLM_Data_Entry!AG182="","",LLM_Data_Entry!AG182)</f>
        <v/>
      </c>
      <c r="H184" s="103">
        <f>IF(LLM_Data_Entry!AT182="","",LLM_Data_Entry!AT182)</f>
        <v/>
      </c>
      <c r="I184" s="103">
        <f>IF(LLM_Data_Entry!AU182="","",LLM_Data_Entry!AU182)</f>
        <v/>
      </c>
      <c r="J184" s="103">
        <f>IF(LLM_Data_Entry!AH182="","",LLM_Data_Entry!AH182)</f>
        <v/>
      </c>
      <c r="K184" s="103">
        <f>IF(LLM_Data_Entry!AI182="","",LLM_Data_Entry!AI182)</f>
        <v/>
      </c>
      <c r="L184" s="103">
        <f>IF(LLM_Data_Entry!AJ182="","",LLM_Data_Entry!AJ182)</f>
        <v/>
      </c>
      <c r="M184" s="103">
        <f>IF(LLM_Data_Entry!AV182="","",LLM_Data_Entry!AV182)</f>
        <v/>
      </c>
      <c r="N184" s="103">
        <f>IF(LLM_Data_Entry!AW182="","",LLM_Data_Entry!AW182)</f>
        <v/>
      </c>
      <c r="O184" s="103">
        <f>IF(LLM_Data_Entry!AX182="","",LLM_Data_Entry!AX182)</f>
        <v/>
      </c>
      <c r="P184" s="103">
        <f>IF(LLM_Data_Entry!AY182="","",LLM_Data_Entry!AY182)</f>
        <v/>
      </c>
      <c r="Q184" s="103">
        <f>IF(LLM_Data_Entry!AZ182="","",LLM_Data_Entry!AZ182)</f>
        <v/>
      </c>
      <c r="R184" s="103">
        <f>IF(LLM_Data_Entry!AK182="","",LLM_Data_Entry!AK182)</f>
        <v/>
      </c>
      <c r="S184" s="103">
        <f>IF(LLM_Data_Entry!AL182="","",LLM_Data_Entry!AL182)</f>
        <v/>
      </c>
      <c r="T184" s="103">
        <f>IF(LLM_Data_Entry!BA182="","",LLM_Data_Entry!BA182)</f>
        <v/>
      </c>
      <c r="U184" s="103">
        <f>IF(LLM_Data_Entry!BB182="","",LLM_Data_Entry!BB182)</f>
        <v/>
      </c>
      <c r="V184" s="106">
        <f>IF(LLM_Data_Entry!O182="","",LLM_Data_Entry!O182)</f>
        <v/>
      </c>
    </row>
    <row r="185" ht="15" customHeight="1" s="241">
      <c r="A185" s="103">
        <f>IF(LLM_Data_Entry!A183="","",LLM_Data_Entry!A183)</f>
        <v/>
      </c>
      <c r="B185" s="103">
        <f>IF(LLM_Data_Entry!B183="","",LLM_Data_Entry!B183)</f>
        <v/>
      </c>
      <c r="C185" s="104">
        <f>IF(LLM_Data_Entry!C183="","",LLM_Data_Entry!C183)</f>
        <v/>
      </c>
      <c r="D185" s="103">
        <f>IF(LLM_Data_Entry!D183="","",LLM_Data_Entry!D183)</f>
        <v/>
      </c>
      <c r="E185" s="103">
        <f>IF(LLM_Data_Entry!V183="","",LLM_Data_Entry!V183)</f>
        <v/>
      </c>
      <c r="F185" s="103">
        <f>IF(LLM_Data_Entry!AS183="","",LLM_Data_Entry!AS183)</f>
        <v/>
      </c>
      <c r="G185" s="103">
        <f>IF(LLM_Data_Entry!AG183="","",LLM_Data_Entry!AG183)</f>
        <v/>
      </c>
      <c r="H185" s="103">
        <f>IF(LLM_Data_Entry!AT183="","",LLM_Data_Entry!AT183)</f>
        <v/>
      </c>
      <c r="I185" s="103">
        <f>IF(LLM_Data_Entry!AU183="","",LLM_Data_Entry!AU183)</f>
        <v/>
      </c>
      <c r="J185" s="103">
        <f>IF(LLM_Data_Entry!AH183="","",LLM_Data_Entry!AH183)</f>
        <v/>
      </c>
      <c r="K185" s="103">
        <f>IF(LLM_Data_Entry!AI183="","",LLM_Data_Entry!AI183)</f>
        <v/>
      </c>
      <c r="L185" s="103">
        <f>IF(LLM_Data_Entry!AJ183="","",LLM_Data_Entry!AJ183)</f>
        <v/>
      </c>
      <c r="M185" s="103">
        <f>IF(LLM_Data_Entry!AV183="","",LLM_Data_Entry!AV183)</f>
        <v/>
      </c>
      <c r="N185" s="103">
        <f>IF(LLM_Data_Entry!AW183="","",LLM_Data_Entry!AW183)</f>
        <v/>
      </c>
      <c r="O185" s="103">
        <f>IF(LLM_Data_Entry!AX183="","",LLM_Data_Entry!AX183)</f>
        <v/>
      </c>
      <c r="P185" s="103">
        <f>IF(LLM_Data_Entry!AY183="","",LLM_Data_Entry!AY183)</f>
        <v/>
      </c>
      <c r="Q185" s="103">
        <f>IF(LLM_Data_Entry!AZ183="","",LLM_Data_Entry!AZ183)</f>
        <v/>
      </c>
      <c r="R185" s="103">
        <f>IF(LLM_Data_Entry!AK183="","",LLM_Data_Entry!AK183)</f>
        <v/>
      </c>
      <c r="S185" s="103">
        <f>IF(LLM_Data_Entry!AL183="","",LLM_Data_Entry!AL183)</f>
        <v/>
      </c>
      <c r="T185" s="103">
        <f>IF(LLM_Data_Entry!BA183="","",LLM_Data_Entry!BA183)</f>
        <v/>
      </c>
      <c r="U185" s="103">
        <f>IF(LLM_Data_Entry!BB183="","",LLM_Data_Entry!BB183)</f>
        <v/>
      </c>
      <c r="V185" s="106">
        <f>IF(LLM_Data_Entry!O183="","",LLM_Data_Entry!O183)</f>
        <v/>
      </c>
    </row>
    <row r="186" ht="15" customHeight="1" s="241">
      <c r="A186" s="103">
        <f>IF(LLM_Data_Entry!A184="","",LLM_Data_Entry!A184)</f>
        <v/>
      </c>
      <c r="B186" s="103">
        <f>IF(LLM_Data_Entry!B184="","",LLM_Data_Entry!B184)</f>
        <v/>
      </c>
      <c r="C186" s="104">
        <f>IF(LLM_Data_Entry!C184="","",LLM_Data_Entry!C184)</f>
        <v/>
      </c>
      <c r="D186" s="103">
        <f>IF(LLM_Data_Entry!D184="","",LLM_Data_Entry!D184)</f>
        <v/>
      </c>
      <c r="E186" s="103">
        <f>IF(LLM_Data_Entry!V184="","",LLM_Data_Entry!V184)</f>
        <v/>
      </c>
      <c r="F186" s="103">
        <f>IF(LLM_Data_Entry!AS184="","",LLM_Data_Entry!AS184)</f>
        <v/>
      </c>
      <c r="G186" s="103">
        <f>IF(LLM_Data_Entry!AG184="","",LLM_Data_Entry!AG184)</f>
        <v/>
      </c>
      <c r="H186" s="103">
        <f>IF(LLM_Data_Entry!AT184="","",LLM_Data_Entry!AT184)</f>
        <v/>
      </c>
      <c r="I186" s="103">
        <f>IF(LLM_Data_Entry!AU184="","",LLM_Data_Entry!AU184)</f>
        <v/>
      </c>
      <c r="J186" s="103">
        <f>IF(LLM_Data_Entry!AH184="","",LLM_Data_Entry!AH184)</f>
        <v/>
      </c>
      <c r="K186" s="103">
        <f>IF(LLM_Data_Entry!AI184="","",LLM_Data_Entry!AI184)</f>
        <v/>
      </c>
      <c r="L186" s="103">
        <f>IF(LLM_Data_Entry!AJ184="","",LLM_Data_Entry!AJ184)</f>
        <v/>
      </c>
      <c r="M186" s="103">
        <f>IF(LLM_Data_Entry!AV184="","",LLM_Data_Entry!AV184)</f>
        <v/>
      </c>
      <c r="N186" s="103">
        <f>IF(LLM_Data_Entry!AW184="","",LLM_Data_Entry!AW184)</f>
        <v/>
      </c>
      <c r="O186" s="103">
        <f>IF(LLM_Data_Entry!AX184="","",LLM_Data_Entry!AX184)</f>
        <v/>
      </c>
      <c r="P186" s="103">
        <f>IF(LLM_Data_Entry!AY184="","",LLM_Data_Entry!AY184)</f>
        <v/>
      </c>
      <c r="Q186" s="103">
        <f>IF(LLM_Data_Entry!AZ184="","",LLM_Data_Entry!AZ184)</f>
        <v/>
      </c>
      <c r="R186" s="103">
        <f>IF(LLM_Data_Entry!AK184="","",LLM_Data_Entry!AK184)</f>
        <v/>
      </c>
      <c r="S186" s="103">
        <f>IF(LLM_Data_Entry!AL184="","",LLM_Data_Entry!AL184)</f>
        <v/>
      </c>
      <c r="T186" s="103">
        <f>IF(LLM_Data_Entry!BA184="","",LLM_Data_Entry!BA184)</f>
        <v/>
      </c>
      <c r="U186" s="103">
        <f>IF(LLM_Data_Entry!BB184="","",LLM_Data_Entry!BB184)</f>
        <v/>
      </c>
      <c r="V186" s="106">
        <f>IF(LLM_Data_Entry!O184="","",LLM_Data_Entry!O184)</f>
        <v/>
      </c>
    </row>
    <row r="187" ht="15" customHeight="1" s="241">
      <c r="A187" s="103">
        <f>IF(LLM_Data_Entry!A185="","",LLM_Data_Entry!A185)</f>
        <v/>
      </c>
      <c r="B187" s="103">
        <f>IF(LLM_Data_Entry!B185="","",LLM_Data_Entry!B185)</f>
        <v/>
      </c>
      <c r="C187" s="104">
        <f>IF(LLM_Data_Entry!C185="","",LLM_Data_Entry!C185)</f>
        <v/>
      </c>
      <c r="D187" s="103">
        <f>IF(LLM_Data_Entry!D185="","",LLM_Data_Entry!D185)</f>
        <v/>
      </c>
      <c r="E187" s="103">
        <f>IF(LLM_Data_Entry!V185="","",LLM_Data_Entry!V185)</f>
        <v/>
      </c>
      <c r="F187" s="103">
        <f>IF(LLM_Data_Entry!AS185="","",LLM_Data_Entry!AS185)</f>
        <v/>
      </c>
      <c r="G187" s="103">
        <f>IF(LLM_Data_Entry!AG185="","",LLM_Data_Entry!AG185)</f>
        <v/>
      </c>
      <c r="H187" s="103">
        <f>IF(LLM_Data_Entry!AT185="","",LLM_Data_Entry!AT185)</f>
        <v/>
      </c>
      <c r="I187" s="103">
        <f>IF(LLM_Data_Entry!AU185="","",LLM_Data_Entry!AU185)</f>
        <v/>
      </c>
      <c r="J187" s="103">
        <f>IF(LLM_Data_Entry!AH185="","",LLM_Data_Entry!AH185)</f>
        <v/>
      </c>
      <c r="K187" s="103">
        <f>IF(LLM_Data_Entry!AI185="","",LLM_Data_Entry!AI185)</f>
        <v/>
      </c>
      <c r="L187" s="103">
        <f>IF(LLM_Data_Entry!AJ185="","",LLM_Data_Entry!AJ185)</f>
        <v/>
      </c>
      <c r="M187" s="103">
        <f>IF(LLM_Data_Entry!AV185="","",LLM_Data_Entry!AV185)</f>
        <v/>
      </c>
      <c r="N187" s="103">
        <f>IF(LLM_Data_Entry!AW185="","",LLM_Data_Entry!AW185)</f>
        <v/>
      </c>
      <c r="O187" s="103">
        <f>IF(LLM_Data_Entry!AX185="","",LLM_Data_Entry!AX185)</f>
        <v/>
      </c>
      <c r="P187" s="103">
        <f>IF(LLM_Data_Entry!AY185="","",LLM_Data_Entry!AY185)</f>
        <v/>
      </c>
      <c r="Q187" s="103">
        <f>IF(LLM_Data_Entry!AZ185="","",LLM_Data_Entry!AZ185)</f>
        <v/>
      </c>
      <c r="R187" s="103">
        <f>IF(LLM_Data_Entry!AK185="","",LLM_Data_Entry!AK185)</f>
        <v/>
      </c>
      <c r="S187" s="103">
        <f>IF(LLM_Data_Entry!AL185="","",LLM_Data_Entry!AL185)</f>
        <v/>
      </c>
      <c r="T187" s="103">
        <f>IF(LLM_Data_Entry!BA185="","",LLM_Data_Entry!BA185)</f>
        <v/>
      </c>
      <c r="U187" s="103">
        <f>IF(LLM_Data_Entry!BB185="","",LLM_Data_Entry!BB185)</f>
        <v/>
      </c>
      <c r="V187" s="106">
        <f>IF(LLM_Data_Entry!O185="","",LLM_Data_Entry!O185)</f>
        <v/>
      </c>
    </row>
    <row r="188" ht="15" customHeight="1" s="241">
      <c r="A188" s="103">
        <f>IF(LLM_Data_Entry!A186="","",LLM_Data_Entry!A186)</f>
        <v/>
      </c>
      <c r="B188" s="103">
        <f>IF(LLM_Data_Entry!B186="","",LLM_Data_Entry!B186)</f>
        <v/>
      </c>
      <c r="C188" s="104">
        <f>IF(LLM_Data_Entry!C186="","",LLM_Data_Entry!C186)</f>
        <v/>
      </c>
      <c r="D188" s="103">
        <f>IF(LLM_Data_Entry!D186="","",LLM_Data_Entry!D186)</f>
        <v/>
      </c>
      <c r="E188" s="103">
        <f>IF(LLM_Data_Entry!V186="","",LLM_Data_Entry!V186)</f>
        <v/>
      </c>
      <c r="F188" s="103">
        <f>IF(LLM_Data_Entry!AS186="","",LLM_Data_Entry!AS186)</f>
        <v/>
      </c>
      <c r="G188" s="103">
        <f>IF(LLM_Data_Entry!AG186="","",LLM_Data_Entry!AG186)</f>
        <v/>
      </c>
      <c r="H188" s="103">
        <f>IF(LLM_Data_Entry!AT186="","",LLM_Data_Entry!AT186)</f>
        <v/>
      </c>
      <c r="I188" s="103">
        <f>IF(LLM_Data_Entry!AU186="","",LLM_Data_Entry!AU186)</f>
        <v/>
      </c>
      <c r="J188" s="103">
        <f>IF(LLM_Data_Entry!AH186="","",LLM_Data_Entry!AH186)</f>
        <v/>
      </c>
      <c r="K188" s="103">
        <f>IF(LLM_Data_Entry!AI186="","",LLM_Data_Entry!AI186)</f>
        <v/>
      </c>
      <c r="L188" s="103">
        <f>IF(LLM_Data_Entry!AJ186="","",LLM_Data_Entry!AJ186)</f>
        <v/>
      </c>
      <c r="M188" s="103">
        <f>IF(LLM_Data_Entry!AV186="","",LLM_Data_Entry!AV186)</f>
        <v/>
      </c>
      <c r="N188" s="103">
        <f>IF(LLM_Data_Entry!AW186="","",LLM_Data_Entry!AW186)</f>
        <v/>
      </c>
      <c r="O188" s="103">
        <f>IF(LLM_Data_Entry!AX186="","",LLM_Data_Entry!AX186)</f>
        <v/>
      </c>
      <c r="P188" s="103">
        <f>IF(LLM_Data_Entry!AY186="","",LLM_Data_Entry!AY186)</f>
        <v/>
      </c>
      <c r="Q188" s="103">
        <f>IF(LLM_Data_Entry!AZ186="","",LLM_Data_Entry!AZ186)</f>
        <v/>
      </c>
      <c r="R188" s="103">
        <f>IF(LLM_Data_Entry!AK186="","",LLM_Data_Entry!AK186)</f>
        <v/>
      </c>
      <c r="S188" s="103">
        <f>IF(LLM_Data_Entry!AL186="","",LLM_Data_Entry!AL186)</f>
        <v/>
      </c>
      <c r="T188" s="103">
        <f>IF(LLM_Data_Entry!BA186="","",LLM_Data_Entry!BA186)</f>
        <v/>
      </c>
      <c r="U188" s="103">
        <f>IF(LLM_Data_Entry!BB186="","",LLM_Data_Entry!BB186)</f>
        <v/>
      </c>
      <c r="V188" s="106">
        <f>IF(LLM_Data_Entry!O186="","",LLM_Data_Entry!O186)</f>
        <v/>
      </c>
    </row>
    <row r="189" ht="15" customHeight="1" s="241">
      <c r="A189" s="103">
        <f>IF(LLM_Data_Entry!A187="","",LLM_Data_Entry!A187)</f>
        <v/>
      </c>
      <c r="B189" s="103">
        <f>IF(LLM_Data_Entry!B187="","",LLM_Data_Entry!B187)</f>
        <v/>
      </c>
      <c r="C189" s="104">
        <f>IF(LLM_Data_Entry!C187="","",LLM_Data_Entry!C187)</f>
        <v/>
      </c>
      <c r="D189" s="103">
        <f>IF(LLM_Data_Entry!D187="","",LLM_Data_Entry!D187)</f>
        <v/>
      </c>
      <c r="E189" s="103">
        <f>IF(LLM_Data_Entry!V187="","",LLM_Data_Entry!V187)</f>
        <v/>
      </c>
      <c r="F189" s="103">
        <f>IF(LLM_Data_Entry!AS187="","",LLM_Data_Entry!AS187)</f>
        <v/>
      </c>
      <c r="G189" s="103">
        <f>IF(LLM_Data_Entry!AG187="","",LLM_Data_Entry!AG187)</f>
        <v/>
      </c>
      <c r="H189" s="103">
        <f>IF(LLM_Data_Entry!AT187="","",LLM_Data_Entry!AT187)</f>
        <v/>
      </c>
      <c r="I189" s="103">
        <f>IF(LLM_Data_Entry!AU187="","",LLM_Data_Entry!AU187)</f>
        <v/>
      </c>
      <c r="J189" s="103">
        <f>IF(LLM_Data_Entry!AH187="","",LLM_Data_Entry!AH187)</f>
        <v/>
      </c>
      <c r="K189" s="103">
        <f>IF(LLM_Data_Entry!AI187="","",LLM_Data_Entry!AI187)</f>
        <v/>
      </c>
      <c r="L189" s="103">
        <f>IF(LLM_Data_Entry!AJ187="","",LLM_Data_Entry!AJ187)</f>
        <v/>
      </c>
      <c r="M189" s="103">
        <f>IF(LLM_Data_Entry!AV187="","",LLM_Data_Entry!AV187)</f>
        <v/>
      </c>
      <c r="N189" s="103">
        <f>IF(LLM_Data_Entry!AW187="","",LLM_Data_Entry!AW187)</f>
        <v/>
      </c>
      <c r="O189" s="103">
        <f>IF(LLM_Data_Entry!AX187="","",LLM_Data_Entry!AX187)</f>
        <v/>
      </c>
      <c r="P189" s="103">
        <f>IF(LLM_Data_Entry!AY187="","",LLM_Data_Entry!AY187)</f>
        <v/>
      </c>
      <c r="Q189" s="103">
        <f>IF(LLM_Data_Entry!AZ187="","",LLM_Data_Entry!AZ187)</f>
        <v/>
      </c>
      <c r="R189" s="103">
        <f>IF(LLM_Data_Entry!AK187="","",LLM_Data_Entry!AK187)</f>
        <v/>
      </c>
      <c r="S189" s="103">
        <f>IF(LLM_Data_Entry!AL187="","",LLM_Data_Entry!AL187)</f>
        <v/>
      </c>
      <c r="T189" s="103">
        <f>IF(LLM_Data_Entry!BA187="","",LLM_Data_Entry!BA187)</f>
        <v/>
      </c>
      <c r="U189" s="103">
        <f>IF(LLM_Data_Entry!BB187="","",LLM_Data_Entry!BB187)</f>
        <v/>
      </c>
      <c r="V189" s="106">
        <f>IF(LLM_Data_Entry!O187="","",LLM_Data_Entry!O187)</f>
        <v/>
      </c>
    </row>
    <row r="190" ht="15" customHeight="1" s="241">
      <c r="A190" s="103">
        <f>IF(LLM_Data_Entry!A188="","",LLM_Data_Entry!A188)</f>
        <v/>
      </c>
      <c r="B190" s="103">
        <f>IF(LLM_Data_Entry!B188="","",LLM_Data_Entry!B188)</f>
        <v/>
      </c>
      <c r="C190" s="104">
        <f>IF(LLM_Data_Entry!C188="","",LLM_Data_Entry!C188)</f>
        <v/>
      </c>
      <c r="D190" s="103">
        <f>IF(LLM_Data_Entry!D188="","",LLM_Data_Entry!D188)</f>
        <v/>
      </c>
      <c r="E190" s="103">
        <f>IF(LLM_Data_Entry!V188="","",LLM_Data_Entry!V188)</f>
        <v/>
      </c>
      <c r="F190" s="103">
        <f>IF(LLM_Data_Entry!AS188="","",LLM_Data_Entry!AS188)</f>
        <v/>
      </c>
      <c r="G190" s="103">
        <f>IF(LLM_Data_Entry!AG188="","",LLM_Data_Entry!AG188)</f>
        <v/>
      </c>
      <c r="H190" s="103">
        <f>IF(LLM_Data_Entry!AT188="","",LLM_Data_Entry!AT188)</f>
        <v/>
      </c>
      <c r="I190" s="103">
        <f>IF(LLM_Data_Entry!AU188="","",LLM_Data_Entry!AU188)</f>
        <v/>
      </c>
      <c r="J190" s="103">
        <f>IF(LLM_Data_Entry!AH188="","",LLM_Data_Entry!AH188)</f>
        <v/>
      </c>
      <c r="K190" s="103">
        <f>IF(LLM_Data_Entry!AI188="","",LLM_Data_Entry!AI188)</f>
        <v/>
      </c>
      <c r="L190" s="103">
        <f>IF(LLM_Data_Entry!AJ188="","",LLM_Data_Entry!AJ188)</f>
        <v/>
      </c>
      <c r="M190" s="103">
        <f>IF(LLM_Data_Entry!AV188="","",LLM_Data_Entry!AV188)</f>
        <v/>
      </c>
      <c r="N190" s="103">
        <f>IF(LLM_Data_Entry!AW188="","",LLM_Data_Entry!AW188)</f>
        <v/>
      </c>
      <c r="O190" s="103">
        <f>IF(LLM_Data_Entry!AX188="","",LLM_Data_Entry!AX188)</f>
        <v/>
      </c>
      <c r="P190" s="103">
        <f>IF(LLM_Data_Entry!AY188="","",LLM_Data_Entry!AY188)</f>
        <v/>
      </c>
      <c r="Q190" s="103">
        <f>IF(LLM_Data_Entry!AZ188="","",LLM_Data_Entry!AZ188)</f>
        <v/>
      </c>
      <c r="R190" s="103">
        <f>IF(LLM_Data_Entry!AK188="","",LLM_Data_Entry!AK188)</f>
        <v/>
      </c>
      <c r="S190" s="103">
        <f>IF(LLM_Data_Entry!AL188="","",LLM_Data_Entry!AL188)</f>
        <v/>
      </c>
      <c r="T190" s="103">
        <f>IF(LLM_Data_Entry!BA188="","",LLM_Data_Entry!BA188)</f>
        <v/>
      </c>
      <c r="U190" s="103">
        <f>IF(LLM_Data_Entry!BB188="","",LLM_Data_Entry!BB188)</f>
        <v/>
      </c>
      <c r="V190" s="106">
        <f>IF(LLM_Data_Entry!O188="","",LLM_Data_Entry!O188)</f>
        <v/>
      </c>
    </row>
    <row r="191" ht="15" customHeight="1" s="241">
      <c r="A191" s="103">
        <f>IF(LLM_Data_Entry!A189="","",LLM_Data_Entry!A189)</f>
        <v/>
      </c>
      <c r="B191" s="103">
        <f>IF(LLM_Data_Entry!B189="","",LLM_Data_Entry!B189)</f>
        <v/>
      </c>
      <c r="C191" s="104">
        <f>IF(LLM_Data_Entry!C189="","",LLM_Data_Entry!C189)</f>
        <v/>
      </c>
      <c r="D191" s="103">
        <f>IF(LLM_Data_Entry!D189="","",LLM_Data_Entry!D189)</f>
        <v/>
      </c>
      <c r="E191" s="103">
        <f>IF(LLM_Data_Entry!V189="","",LLM_Data_Entry!V189)</f>
        <v/>
      </c>
      <c r="F191" s="103">
        <f>IF(LLM_Data_Entry!AS189="","",LLM_Data_Entry!AS189)</f>
        <v/>
      </c>
      <c r="G191" s="103">
        <f>IF(LLM_Data_Entry!AG189="","",LLM_Data_Entry!AG189)</f>
        <v/>
      </c>
      <c r="H191" s="103">
        <f>IF(LLM_Data_Entry!AT189="","",LLM_Data_Entry!AT189)</f>
        <v/>
      </c>
      <c r="I191" s="103">
        <f>IF(LLM_Data_Entry!AU189="","",LLM_Data_Entry!AU189)</f>
        <v/>
      </c>
      <c r="J191" s="103">
        <f>IF(LLM_Data_Entry!AH189="","",LLM_Data_Entry!AH189)</f>
        <v/>
      </c>
      <c r="K191" s="103">
        <f>IF(LLM_Data_Entry!AI189="","",LLM_Data_Entry!AI189)</f>
        <v/>
      </c>
      <c r="L191" s="103">
        <f>IF(LLM_Data_Entry!AJ189="","",LLM_Data_Entry!AJ189)</f>
        <v/>
      </c>
      <c r="M191" s="103">
        <f>IF(LLM_Data_Entry!AV189="","",LLM_Data_Entry!AV189)</f>
        <v/>
      </c>
      <c r="N191" s="103">
        <f>IF(LLM_Data_Entry!AW189="","",LLM_Data_Entry!AW189)</f>
        <v/>
      </c>
      <c r="O191" s="103">
        <f>IF(LLM_Data_Entry!AX189="","",LLM_Data_Entry!AX189)</f>
        <v/>
      </c>
      <c r="P191" s="103">
        <f>IF(LLM_Data_Entry!AY189="","",LLM_Data_Entry!AY189)</f>
        <v/>
      </c>
      <c r="Q191" s="103">
        <f>IF(LLM_Data_Entry!AZ189="","",LLM_Data_Entry!AZ189)</f>
        <v/>
      </c>
      <c r="R191" s="103">
        <f>IF(LLM_Data_Entry!AK189="","",LLM_Data_Entry!AK189)</f>
        <v/>
      </c>
      <c r="S191" s="103">
        <f>IF(LLM_Data_Entry!AL189="","",LLM_Data_Entry!AL189)</f>
        <v/>
      </c>
      <c r="T191" s="103">
        <f>IF(LLM_Data_Entry!BA189="","",LLM_Data_Entry!BA189)</f>
        <v/>
      </c>
      <c r="U191" s="103">
        <f>IF(LLM_Data_Entry!BB189="","",LLM_Data_Entry!BB189)</f>
        <v/>
      </c>
      <c r="V191" s="106">
        <f>IF(LLM_Data_Entry!O189="","",LLM_Data_Entry!O189)</f>
        <v/>
      </c>
    </row>
    <row r="192" ht="15" customHeight="1" s="241">
      <c r="A192" s="103">
        <f>IF(LLM_Data_Entry!A190="","",LLM_Data_Entry!A190)</f>
        <v/>
      </c>
      <c r="B192" s="103">
        <f>IF(LLM_Data_Entry!B190="","",LLM_Data_Entry!B190)</f>
        <v/>
      </c>
      <c r="C192" s="104">
        <f>IF(LLM_Data_Entry!C190="","",LLM_Data_Entry!C190)</f>
        <v/>
      </c>
      <c r="D192" s="103">
        <f>IF(LLM_Data_Entry!D190="","",LLM_Data_Entry!D190)</f>
        <v/>
      </c>
      <c r="E192" s="103">
        <f>IF(LLM_Data_Entry!V190="","",LLM_Data_Entry!V190)</f>
        <v/>
      </c>
      <c r="F192" s="103">
        <f>IF(LLM_Data_Entry!AS190="","",LLM_Data_Entry!AS190)</f>
        <v/>
      </c>
      <c r="G192" s="103">
        <f>IF(LLM_Data_Entry!AG190="","",LLM_Data_Entry!AG190)</f>
        <v/>
      </c>
      <c r="H192" s="103">
        <f>IF(LLM_Data_Entry!AT190="","",LLM_Data_Entry!AT190)</f>
        <v/>
      </c>
      <c r="I192" s="103">
        <f>IF(LLM_Data_Entry!AU190="","",LLM_Data_Entry!AU190)</f>
        <v/>
      </c>
      <c r="J192" s="103">
        <f>IF(LLM_Data_Entry!AH190="","",LLM_Data_Entry!AH190)</f>
        <v/>
      </c>
      <c r="K192" s="103">
        <f>IF(LLM_Data_Entry!AI190="","",LLM_Data_Entry!AI190)</f>
        <v/>
      </c>
      <c r="L192" s="103">
        <f>IF(LLM_Data_Entry!AJ190="","",LLM_Data_Entry!AJ190)</f>
        <v/>
      </c>
      <c r="M192" s="103">
        <f>IF(LLM_Data_Entry!AV190="","",LLM_Data_Entry!AV190)</f>
        <v/>
      </c>
      <c r="N192" s="103">
        <f>IF(LLM_Data_Entry!AW190="","",LLM_Data_Entry!AW190)</f>
        <v/>
      </c>
      <c r="O192" s="103">
        <f>IF(LLM_Data_Entry!AX190="","",LLM_Data_Entry!AX190)</f>
        <v/>
      </c>
      <c r="P192" s="103">
        <f>IF(LLM_Data_Entry!AY190="","",LLM_Data_Entry!AY190)</f>
        <v/>
      </c>
      <c r="Q192" s="103">
        <f>IF(LLM_Data_Entry!AZ190="","",LLM_Data_Entry!AZ190)</f>
        <v/>
      </c>
      <c r="R192" s="103">
        <f>IF(LLM_Data_Entry!AK190="","",LLM_Data_Entry!AK190)</f>
        <v/>
      </c>
      <c r="S192" s="103">
        <f>IF(LLM_Data_Entry!AL190="","",LLM_Data_Entry!AL190)</f>
        <v/>
      </c>
      <c r="T192" s="103">
        <f>IF(LLM_Data_Entry!BA190="","",LLM_Data_Entry!BA190)</f>
        <v/>
      </c>
      <c r="U192" s="103">
        <f>IF(LLM_Data_Entry!BB190="","",LLM_Data_Entry!BB190)</f>
        <v/>
      </c>
      <c r="V192" s="106">
        <f>IF(LLM_Data_Entry!O190="","",LLM_Data_Entry!O190)</f>
        <v/>
      </c>
    </row>
    <row r="193" ht="15" customHeight="1" s="241">
      <c r="A193" s="103">
        <f>IF(LLM_Data_Entry!A191="","",LLM_Data_Entry!A191)</f>
        <v/>
      </c>
      <c r="B193" s="103">
        <f>IF(LLM_Data_Entry!B191="","",LLM_Data_Entry!B191)</f>
        <v/>
      </c>
      <c r="C193" s="104">
        <f>IF(LLM_Data_Entry!C191="","",LLM_Data_Entry!C191)</f>
        <v/>
      </c>
      <c r="D193" s="103">
        <f>IF(LLM_Data_Entry!D191="","",LLM_Data_Entry!D191)</f>
        <v/>
      </c>
      <c r="E193" s="103">
        <f>IF(LLM_Data_Entry!V191="","",LLM_Data_Entry!V191)</f>
        <v/>
      </c>
      <c r="F193" s="103">
        <f>IF(LLM_Data_Entry!AS191="","",LLM_Data_Entry!AS191)</f>
        <v/>
      </c>
      <c r="G193" s="103">
        <f>IF(LLM_Data_Entry!AG191="","",LLM_Data_Entry!AG191)</f>
        <v/>
      </c>
      <c r="H193" s="103">
        <f>IF(LLM_Data_Entry!AT191="","",LLM_Data_Entry!AT191)</f>
        <v/>
      </c>
      <c r="I193" s="103">
        <f>IF(LLM_Data_Entry!AU191="","",LLM_Data_Entry!AU191)</f>
        <v/>
      </c>
      <c r="J193" s="103">
        <f>IF(LLM_Data_Entry!AH191="","",LLM_Data_Entry!AH191)</f>
        <v/>
      </c>
      <c r="K193" s="103">
        <f>IF(LLM_Data_Entry!AI191="","",LLM_Data_Entry!AI191)</f>
        <v/>
      </c>
      <c r="L193" s="103">
        <f>IF(LLM_Data_Entry!AJ191="","",LLM_Data_Entry!AJ191)</f>
        <v/>
      </c>
      <c r="M193" s="103">
        <f>IF(LLM_Data_Entry!AV191="","",LLM_Data_Entry!AV191)</f>
        <v/>
      </c>
      <c r="N193" s="103">
        <f>IF(LLM_Data_Entry!AW191="","",LLM_Data_Entry!AW191)</f>
        <v/>
      </c>
      <c r="O193" s="103">
        <f>IF(LLM_Data_Entry!AX191="","",LLM_Data_Entry!AX191)</f>
        <v/>
      </c>
      <c r="P193" s="103">
        <f>IF(LLM_Data_Entry!AY191="","",LLM_Data_Entry!AY191)</f>
        <v/>
      </c>
      <c r="Q193" s="103">
        <f>IF(LLM_Data_Entry!AZ191="","",LLM_Data_Entry!AZ191)</f>
        <v/>
      </c>
      <c r="R193" s="103">
        <f>IF(LLM_Data_Entry!AK191="","",LLM_Data_Entry!AK191)</f>
        <v/>
      </c>
      <c r="S193" s="103">
        <f>IF(LLM_Data_Entry!AL191="","",LLM_Data_Entry!AL191)</f>
        <v/>
      </c>
      <c r="T193" s="103">
        <f>IF(LLM_Data_Entry!BA191="","",LLM_Data_Entry!BA191)</f>
        <v/>
      </c>
      <c r="U193" s="103">
        <f>IF(LLM_Data_Entry!BB191="","",LLM_Data_Entry!BB191)</f>
        <v/>
      </c>
      <c r="V193" s="106">
        <f>IF(LLM_Data_Entry!O191="","",LLM_Data_Entry!O191)</f>
        <v/>
      </c>
    </row>
    <row r="194" ht="15" customHeight="1" s="241">
      <c r="A194" s="103">
        <f>IF(LLM_Data_Entry!A192="","",LLM_Data_Entry!A192)</f>
        <v/>
      </c>
      <c r="B194" s="103">
        <f>IF(LLM_Data_Entry!B192="","",LLM_Data_Entry!B192)</f>
        <v/>
      </c>
      <c r="C194" s="104">
        <f>IF(LLM_Data_Entry!C192="","",LLM_Data_Entry!C192)</f>
        <v/>
      </c>
      <c r="D194" s="103">
        <f>IF(LLM_Data_Entry!D192="","",LLM_Data_Entry!D192)</f>
        <v/>
      </c>
      <c r="E194" s="103">
        <f>IF(LLM_Data_Entry!V192="","",LLM_Data_Entry!V192)</f>
        <v/>
      </c>
      <c r="F194" s="103">
        <f>IF(LLM_Data_Entry!AS192="","",LLM_Data_Entry!AS192)</f>
        <v/>
      </c>
      <c r="G194" s="103">
        <f>IF(LLM_Data_Entry!AG192="","",LLM_Data_Entry!AG192)</f>
        <v/>
      </c>
      <c r="H194" s="103">
        <f>IF(LLM_Data_Entry!AT192="","",LLM_Data_Entry!AT192)</f>
        <v/>
      </c>
      <c r="I194" s="103">
        <f>IF(LLM_Data_Entry!AU192="","",LLM_Data_Entry!AU192)</f>
        <v/>
      </c>
      <c r="J194" s="103">
        <f>IF(LLM_Data_Entry!AH192="","",LLM_Data_Entry!AH192)</f>
        <v/>
      </c>
      <c r="K194" s="103">
        <f>IF(LLM_Data_Entry!AI192="","",LLM_Data_Entry!AI192)</f>
        <v/>
      </c>
      <c r="L194" s="103">
        <f>IF(LLM_Data_Entry!AJ192="","",LLM_Data_Entry!AJ192)</f>
        <v/>
      </c>
      <c r="M194" s="103">
        <f>IF(LLM_Data_Entry!AV192="","",LLM_Data_Entry!AV192)</f>
        <v/>
      </c>
      <c r="N194" s="103">
        <f>IF(LLM_Data_Entry!AW192="","",LLM_Data_Entry!AW192)</f>
        <v/>
      </c>
      <c r="O194" s="103">
        <f>IF(LLM_Data_Entry!AX192="","",LLM_Data_Entry!AX192)</f>
        <v/>
      </c>
      <c r="P194" s="103">
        <f>IF(LLM_Data_Entry!AY192="","",LLM_Data_Entry!AY192)</f>
        <v/>
      </c>
      <c r="Q194" s="103">
        <f>IF(LLM_Data_Entry!AZ192="","",LLM_Data_Entry!AZ192)</f>
        <v/>
      </c>
      <c r="R194" s="103">
        <f>IF(LLM_Data_Entry!AK192="","",LLM_Data_Entry!AK192)</f>
        <v/>
      </c>
      <c r="S194" s="103">
        <f>IF(LLM_Data_Entry!AL192="","",LLM_Data_Entry!AL192)</f>
        <v/>
      </c>
      <c r="T194" s="103">
        <f>IF(LLM_Data_Entry!BA192="","",LLM_Data_Entry!BA192)</f>
        <v/>
      </c>
      <c r="U194" s="103">
        <f>IF(LLM_Data_Entry!BB192="","",LLM_Data_Entry!BB192)</f>
        <v/>
      </c>
      <c r="V194" s="106">
        <f>IF(LLM_Data_Entry!O192="","",LLM_Data_Entry!O192)</f>
        <v/>
      </c>
    </row>
    <row r="195" ht="15" customHeight="1" s="241">
      <c r="A195" s="103">
        <f>IF(LLM_Data_Entry!A193="","",LLM_Data_Entry!A193)</f>
        <v/>
      </c>
      <c r="B195" s="103">
        <f>IF(LLM_Data_Entry!B193="","",LLM_Data_Entry!B193)</f>
        <v/>
      </c>
      <c r="C195" s="104">
        <f>IF(LLM_Data_Entry!C193="","",LLM_Data_Entry!C193)</f>
        <v/>
      </c>
      <c r="D195" s="103">
        <f>IF(LLM_Data_Entry!D193="","",LLM_Data_Entry!D193)</f>
        <v/>
      </c>
      <c r="E195" s="103">
        <f>IF(LLM_Data_Entry!V193="","",LLM_Data_Entry!V193)</f>
        <v/>
      </c>
      <c r="F195" s="103">
        <f>IF(LLM_Data_Entry!AS193="","",LLM_Data_Entry!AS193)</f>
        <v/>
      </c>
      <c r="G195" s="103">
        <f>IF(LLM_Data_Entry!AG193="","",LLM_Data_Entry!AG193)</f>
        <v/>
      </c>
      <c r="H195" s="103">
        <f>IF(LLM_Data_Entry!AT193="","",LLM_Data_Entry!AT193)</f>
        <v/>
      </c>
      <c r="I195" s="103">
        <f>IF(LLM_Data_Entry!AU193="","",LLM_Data_Entry!AU193)</f>
        <v/>
      </c>
      <c r="J195" s="103">
        <f>IF(LLM_Data_Entry!AH193="","",LLM_Data_Entry!AH193)</f>
        <v/>
      </c>
      <c r="K195" s="103">
        <f>IF(LLM_Data_Entry!AI193="","",LLM_Data_Entry!AI193)</f>
        <v/>
      </c>
      <c r="L195" s="103">
        <f>IF(LLM_Data_Entry!AJ193="","",LLM_Data_Entry!AJ193)</f>
        <v/>
      </c>
      <c r="M195" s="103">
        <f>IF(LLM_Data_Entry!AV193="","",LLM_Data_Entry!AV193)</f>
        <v/>
      </c>
      <c r="N195" s="103">
        <f>IF(LLM_Data_Entry!AW193="","",LLM_Data_Entry!AW193)</f>
        <v/>
      </c>
      <c r="O195" s="103">
        <f>IF(LLM_Data_Entry!AX193="","",LLM_Data_Entry!AX193)</f>
        <v/>
      </c>
      <c r="P195" s="103">
        <f>IF(LLM_Data_Entry!AY193="","",LLM_Data_Entry!AY193)</f>
        <v/>
      </c>
      <c r="Q195" s="103">
        <f>IF(LLM_Data_Entry!AZ193="","",LLM_Data_Entry!AZ193)</f>
        <v/>
      </c>
      <c r="R195" s="103">
        <f>IF(LLM_Data_Entry!AK193="","",LLM_Data_Entry!AK193)</f>
        <v/>
      </c>
      <c r="S195" s="103">
        <f>IF(LLM_Data_Entry!AL193="","",LLM_Data_Entry!AL193)</f>
        <v/>
      </c>
      <c r="T195" s="103">
        <f>IF(LLM_Data_Entry!BA193="","",LLM_Data_Entry!BA193)</f>
        <v/>
      </c>
      <c r="U195" s="103">
        <f>IF(LLM_Data_Entry!BB193="","",LLM_Data_Entry!BB193)</f>
        <v/>
      </c>
      <c r="V195" s="106">
        <f>IF(LLM_Data_Entry!O193="","",LLM_Data_Entry!O193)</f>
        <v/>
      </c>
    </row>
    <row r="196" ht="15" customHeight="1" s="241">
      <c r="A196" s="103">
        <f>IF(LLM_Data_Entry!A194="","",LLM_Data_Entry!A194)</f>
        <v/>
      </c>
      <c r="B196" s="103">
        <f>IF(LLM_Data_Entry!B194="","",LLM_Data_Entry!B194)</f>
        <v/>
      </c>
      <c r="C196" s="104">
        <f>IF(LLM_Data_Entry!C194="","",LLM_Data_Entry!C194)</f>
        <v/>
      </c>
      <c r="D196" s="103">
        <f>IF(LLM_Data_Entry!D194="","",LLM_Data_Entry!D194)</f>
        <v/>
      </c>
      <c r="E196" s="103">
        <f>IF(LLM_Data_Entry!V194="","",LLM_Data_Entry!V194)</f>
        <v/>
      </c>
      <c r="F196" s="103">
        <f>IF(LLM_Data_Entry!AS194="","",LLM_Data_Entry!AS194)</f>
        <v/>
      </c>
      <c r="G196" s="103">
        <f>IF(LLM_Data_Entry!AG194="","",LLM_Data_Entry!AG194)</f>
        <v/>
      </c>
      <c r="H196" s="103">
        <f>IF(LLM_Data_Entry!AT194="","",LLM_Data_Entry!AT194)</f>
        <v/>
      </c>
      <c r="I196" s="103">
        <f>IF(LLM_Data_Entry!AU194="","",LLM_Data_Entry!AU194)</f>
        <v/>
      </c>
      <c r="J196" s="103">
        <f>IF(LLM_Data_Entry!AH194="","",LLM_Data_Entry!AH194)</f>
        <v/>
      </c>
      <c r="K196" s="103">
        <f>IF(LLM_Data_Entry!AI194="","",LLM_Data_Entry!AI194)</f>
        <v/>
      </c>
      <c r="L196" s="103">
        <f>IF(LLM_Data_Entry!AJ194="","",LLM_Data_Entry!AJ194)</f>
        <v/>
      </c>
      <c r="M196" s="103">
        <f>IF(LLM_Data_Entry!AV194="","",LLM_Data_Entry!AV194)</f>
        <v/>
      </c>
      <c r="N196" s="103">
        <f>IF(LLM_Data_Entry!AW194="","",LLM_Data_Entry!AW194)</f>
        <v/>
      </c>
      <c r="O196" s="103">
        <f>IF(LLM_Data_Entry!AX194="","",LLM_Data_Entry!AX194)</f>
        <v/>
      </c>
      <c r="P196" s="103">
        <f>IF(LLM_Data_Entry!AY194="","",LLM_Data_Entry!AY194)</f>
        <v/>
      </c>
      <c r="Q196" s="103">
        <f>IF(LLM_Data_Entry!AZ194="","",LLM_Data_Entry!AZ194)</f>
        <v/>
      </c>
      <c r="R196" s="103">
        <f>IF(LLM_Data_Entry!AK194="","",LLM_Data_Entry!AK194)</f>
        <v/>
      </c>
      <c r="S196" s="103">
        <f>IF(LLM_Data_Entry!AL194="","",LLM_Data_Entry!AL194)</f>
        <v/>
      </c>
      <c r="T196" s="103">
        <f>IF(LLM_Data_Entry!BA194="","",LLM_Data_Entry!BA194)</f>
        <v/>
      </c>
      <c r="U196" s="103">
        <f>IF(LLM_Data_Entry!BB194="","",LLM_Data_Entry!BB194)</f>
        <v/>
      </c>
      <c r="V196" s="106">
        <f>IF(LLM_Data_Entry!O194="","",LLM_Data_Entry!O194)</f>
        <v/>
      </c>
    </row>
    <row r="197" ht="15" customHeight="1" s="241">
      <c r="A197" s="103">
        <f>IF(LLM_Data_Entry!A195="","",LLM_Data_Entry!A195)</f>
        <v/>
      </c>
      <c r="B197" s="103">
        <f>IF(LLM_Data_Entry!B195="","",LLM_Data_Entry!B195)</f>
        <v/>
      </c>
      <c r="C197" s="104">
        <f>IF(LLM_Data_Entry!C195="","",LLM_Data_Entry!C195)</f>
        <v/>
      </c>
      <c r="D197" s="103">
        <f>IF(LLM_Data_Entry!D195="","",LLM_Data_Entry!D195)</f>
        <v/>
      </c>
      <c r="E197" s="103">
        <f>IF(LLM_Data_Entry!V195="","",LLM_Data_Entry!V195)</f>
        <v/>
      </c>
      <c r="F197" s="103">
        <f>IF(LLM_Data_Entry!AS195="","",LLM_Data_Entry!AS195)</f>
        <v/>
      </c>
      <c r="G197" s="103">
        <f>IF(LLM_Data_Entry!AG195="","",LLM_Data_Entry!AG195)</f>
        <v/>
      </c>
      <c r="H197" s="103">
        <f>IF(LLM_Data_Entry!AT195="","",LLM_Data_Entry!AT195)</f>
        <v/>
      </c>
      <c r="I197" s="103">
        <f>IF(LLM_Data_Entry!AU195="","",LLM_Data_Entry!AU195)</f>
        <v/>
      </c>
      <c r="J197" s="103">
        <f>IF(LLM_Data_Entry!AH195="","",LLM_Data_Entry!AH195)</f>
        <v/>
      </c>
      <c r="K197" s="103">
        <f>IF(LLM_Data_Entry!AI195="","",LLM_Data_Entry!AI195)</f>
        <v/>
      </c>
      <c r="L197" s="103">
        <f>IF(LLM_Data_Entry!AJ195="","",LLM_Data_Entry!AJ195)</f>
        <v/>
      </c>
      <c r="M197" s="103">
        <f>IF(LLM_Data_Entry!AV195="","",LLM_Data_Entry!AV195)</f>
        <v/>
      </c>
      <c r="N197" s="103">
        <f>IF(LLM_Data_Entry!AW195="","",LLM_Data_Entry!AW195)</f>
        <v/>
      </c>
      <c r="O197" s="103">
        <f>IF(LLM_Data_Entry!AX195="","",LLM_Data_Entry!AX195)</f>
        <v/>
      </c>
      <c r="P197" s="103">
        <f>IF(LLM_Data_Entry!AY195="","",LLM_Data_Entry!AY195)</f>
        <v/>
      </c>
      <c r="Q197" s="103">
        <f>IF(LLM_Data_Entry!AZ195="","",LLM_Data_Entry!AZ195)</f>
        <v/>
      </c>
      <c r="R197" s="103">
        <f>IF(LLM_Data_Entry!AK195="","",LLM_Data_Entry!AK195)</f>
        <v/>
      </c>
      <c r="S197" s="103">
        <f>IF(LLM_Data_Entry!AL195="","",LLM_Data_Entry!AL195)</f>
        <v/>
      </c>
      <c r="T197" s="103">
        <f>IF(LLM_Data_Entry!BA195="","",LLM_Data_Entry!BA195)</f>
        <v/>
      </c>
      <c r="U197" s="103">
        <f>IF(LLM_Data_Entry!BB195="","",LLM_Data_Entry!BB195)</f>
        <v/>
      </c>
      <c r="V197" s="106">
        <f>IF(LLM_Data_Entry!O195="","",LLM_Data_Entry!O195)</f>
        <v/>
      </c>
    </row>
    <row r="198" ht="15" customHeight="1" s="241">
      <c r="A198" s="103">
        <f>IF(LLM_Data_Entry!A196="","",LLM_Data_Entry!A196)</f>
        <v/>
      </c>
      <c r="B198" s="103">
        <f>IF(LLM_Data_Entry!B196="","",LLM_Data_Entry!B196)</f>
        <v/>
      </c>
      <c r="C198" s="104">
        <f>IF(LLM_Data_Entry!C196="","",LLM_Data_Entry!C196)</f>
        <v/>
      </c>
      <c r="D198" s="103">
        <f>IF(LLM_Data_Entry!D196="","",LLM_Data_Entry!D196)</f>
        <v/>
      </c>
      <c r="E198" s="103">
        <f>IF(LLM_Data_Entry!V196="","",LLM_Data_Entry!V196)</f>
        <v/>
      </c>
      <c r="F198" s="103">
        <f>IF(LLM_Data_Entry!AS196="","",LLM_Data_Entry!AS196)</f>
        <v/>
      </c>
      <c r="G198" s="103">
        <f>IF(LLM_Data_Entry!AG196="","",LLM_Data_Entry!AG196)</f>
        <v/>
      </c>
      <c r="H198" s="103">
        <f>IF(LLM_Data_Entry!AT196="","",LLM_Data_Entry!AT196)</f>
        <v/>
      </c>
      <c r="I198" s="103">
        <f>IF(LLM_Data_Entry!AU196="","",LLM_Data_Entry!AU196)</f>
        <v/>
      </c>
      <c r="J198" s="103">
        <f>IF(LLM_Data_Entry!AH196="","",LLM_Data_Entry!AH196)</f>
        <v/>
      </c>
      <c r="K198" s="103">
        <f>IF(LLM_Data_Entry!AI196="","",LLM_Data_Entry!AI196)</f>
        <v/>
      </c>
      <c r="L198" s="103">
        <f>IF(LLM_Data_Entry!AJ196="","",LLM_Data_Entry!AJ196)</f>
        <v/>
      </c>
      <c r="M198" s="103">
        <f>IF(LLM_Data_Entry!AV196="","",LLM_Data_Entry!AV196)</f>
        <v/>
      </c>
      <c r="N198" s="103">
        <f>IF(LLM_Data_Entry!AW196="","",LLM_Data_Entry!AW196)</f>
        <v/>
      </c>
      <c r="O198" s="103">
        <f>IF(LLM_Data_Entry!AX196="","",LLM_Data_Entry!AX196)</f>
        <v/>
      </c>
      <c r="P198" s="103">
        <f>IF(LLM_Data_Entry!AY196="","",LLM_Data_Entry!AY196)</f>
        <v/>
      </c>
      <c r="Q198" s="103">
        <f>IF(LLM_Data_Entry!AZ196="","",LLM_Data_Entry!AZ196)</f>
        <v/>
      </c>
      <c r="R198" s="103">
        <f>IF(LLM_Data_Entry!AK196="","",LLM_Data_Entry!AK196)</f>
        <v/>
      </c>
      <c r="S198" s="103">
        <f>IF(LLM_Data_Entry!AL196="","",LLM_Data_Entry!AL196)</f>
        <v/>
      </c>
      <c r="T198" s="103">
        <f>IF(LLM_Data_Entry!BA196="","",LLM_Data_Entry!BA196)</f>
        <v/>
      </c>
      <c r="U198" s="103">
        <f>IF(LLM_Data_Entry!BB196="","",LLM_Data_Entry!BB196)</f>
        <v/>
      </c>
      <c r="V198" s="106">
        <f>IF(LLM_Data_Entry!O196="","",LLM_Data_Entry!O196)</f>
        <v/>
      </c>
    </row>
    <row r="199" ht="15" customHeight="1" s="241">
      <c r="A199" s="103">
        <f>IF(LLM_Data_Entry!A197="","",LLM_Data_Entry!A197)</f>
        <v/>
      </c>
      <c r="B199" s="103">
        <f>IF(LLM_Data_Entry!B197="","",LLM_Data_Entry!B197)</f>
        <v/>
      </c>
      <c r="C199" s="104">
        <f>IF(LLM_Data_Entry!C197="","",LLM_Data_Entry!C197)</f>
        <v/>
      </c>
      <c r="D199" s="103">
        <f>IF(LLM_Data_Entry!D197="","",LLM_Data_Entry!D197)</f>
        <v/>
      </c>
      <c r="E199" s="103">
        <f>IF(LLM_Data_Entry!V197="","",LLM_Data_Entry!V197)</f>
        <v/>
      </c>
      <c r="F199" s="103">
        <f>IF(LLM_Data_Entry!AS197="","",LLM_Data_Entry!AS197)</f>
        <v/>
      </c>
      <c r="G199" s="103">
        <f>IF(LLM_Data_Entry!AG197="","",LLM_Data_Entry!AG197)</f>
        <v/>
      </c>
      <c r="H199" s="103">
        <f>IF(LLM_Data_Entry!AT197="","",LLM_Data_Entry!AT197)</f>
        <v/>
      </c>
      <c r="I199" s="103">
        <f>IF(LLM_Data_Entry!AU197="","",LLM_Data_Entry!AU197)</f>
        <v/>
      </c>
      <c r="J199" s="103">
        <f>IF(LLM_Data_Entry!AH197="","",LLM_Data_Entry!AH197)</f>
        <v/>
      </c>
      <c r="K199" s="103">
        <f>IF(LLM_Data_Entry!AI197="","",LLM_Data_Entry!AI197)</f>
        <v/>
      </c>
      <c r="L199" s="103">
        <f>IF(LLM_Data_Entry!AJ197="","",LLM_Data_Entry!AJ197)</f>
        <v/>
      </c>
      <c r="M199" s="103">
        <f>IF(LLM_Data_Entry!AV197="","",LLM_Data_Entry!AV197)</f>
        <v/>
      </c>
      <c r="N199" s="103">
        <f>IF(LLM_Data_Entry!AW197="","",LLM_Data_Entry!AW197)</f>
        <v/>
      </c>
      <c r="O199" s="103">
        <f>IF(LLM_Data_Entry!AX197="","",LLM_Data_Entry!AX197)</f>
        <v/>
      </c>
      <c r="P199" s="103">
        <f>IF(LLM_Data_Entry!AY197="","",LLM_Data_Entry!AY197)</f>
        <v/>
      </c>
      <c r="Q199" s="103">
        <f>IF(LLM_Data_Entry!AZ197="","",LLM_Data_Entry!AZ197)</f>
        <v/>
      </c>
      <c r="R199" s="103">
        <f>IF(LLM_Data_Entry!AK197="","",LLM_Data_Entry!AK197)</f>
        <v/>
      </c>
      <c r="S199" s="103">
        <f>IF(LLM_Data_Entry!AL197="","",LLM_Data_Entry!AL197)</f>
        <v/>
      </c>
      <c r="T199" s="103">
        <f>IF(LLM_Data_Entry!BA197="","",LLM_Data_Entry!BA197)</f>
        <v/>
      </c>
      <c r="U199" s="103">
        <f>IF(LLM_Data_Entry!BB197="","",LLM_Data_Entry!BB197)</f>
        <v/>
      </c>
      <c r="V199" s="106">
        <f>IF(LLM_Data_Entry!O197="","",LLM_Data_Entry!O197)</f>
        <v/>
      </c>
    </row>
    <row r="200" ht="15" customHeight="1" s="241">
      <c r="A200" s="103">
        <f>IF(LLM_Data_Entry!A198="","",LLM_Data_Entry!A198)</f>
        <v/>
      </c>
      <c r="B200" s="103">
        <f>IF(LLM_Data_Entry!B198="","",LLM_Data_Entry!B198)</f>
        <v/>
      </c>
      <c r="C200" s="104">
        <f>IF(LLM_Data_Entry!C198="","",LLM_Data_Entry!C198)</f>
        <v/>
      </c>
      <c r="D200" s="103">
        <f>IF(LLM_Data_Entry!D198="","",LLM_Data_Entry!D198)</f>
        <v/>
      </c>
      <c r="E200" s="103">
        <f>IF(LLM_Data_Entry!V198="","",LLM_Data_Entry!V198)</f>
        <v/>
      </c>
      <c r="F200" s="103">
        <f>IF(LLM_Data_Entry!AS198="","",LLM_Data_Entry!AS198)</f>
        <v/>
      </c>
      <c r="G200" s="103">
        <f>IF(LLM_Data_Entry!AG198="","",LLM_Data_Entry!AG198)</f>
        <v/>
      </c>
      <c r="H200" s="103">
        <f>IF(LLM_Data_Entry!AT198="","",LLM_Data_Entry!AT198)</f>
        <v/>
      </c>
      <c r="I200" s="103">
        <f>IF(LLM_Data_Entry!AU198="","",LLM_Data_Entry!AU198)</f>
        <v/>
      </c>
      <c r="J200" s="103">
        <f>IF(LLM_Data_Entry!AH198="","",LLM_Data_Entry!AH198)</f>
        <v/>
      </c>
      <c r="K200" s="103">
        <f>IF(LLM_Data_Entry!AI198="","",LLM_Data_Entry!AI198)</f>
        <v/>
      </c>
      <c r="L200" s="103">
        <f>IF(LLM_Data_Entry!AJ198="","",LLM_Data_Entry!AJ198)</f>
        <v/>
      </c>
      <c r="M200" s="103">
        <f>IF(LLM_Data_Entry!AV198="","",LLM_Data_Entry!AV198)</f>
        <v/>
      </c>
      <c r="N200" s="103">
        <f>IF(LLM_Data_Entry!AW198="","",LLM_Data_Entry!AW198)</f>
        <v/>
      </c>
      <c r="O200" s="103">
        <f>IF(LLM_Data_Entry!AX198="","",LLM_Data_Entry!AX198)</f>
        <v/>
      </c>
      <c r="P200" s="103">
        <f>IF(LLM_Data_Entry!AY198="","",LLM_Data_Entry!AY198)</f>
        <v/>
      </c>
      <c r="Q200" s="103">
        <f>IF(LLM_Data_Entry!AZ198="","",LLM_Data_Entry!AZ198)</f>
        <v/>
      </c>
      <c r="R200" s="103">
        <f>IF(LLM_Data_Entry!AK198="","",LLM_Data_Entry!AK198)</f>
        <v/>
      </c>
      <c r="S200" s="103">
        <f>IF(LLM_Data_Entry!AL198="","",LLM_Data_Entry!AL198)</f>
        <v/>
      </c>
      <c r="T200" s="103">
        <f>IF(LLM_Data_Entry!BA198="","",LLM_Data_Entry!BA198)</f>
        <v/>
      </c>
      <c r="U200" s="103">
        <f>IF(LLM_Data_Entry!BB198="","",LLM_Data_Entry!BB198)</f>
        <v/>
      </c>
      <c r="V200" s="106">
        <f>IF(LLM_Data_Entry!O198="","",LLM_Data_Entry!O198)</f>
        <v/>
      </c>
    </row>
    <row r="201" ht="15" customHeight="1" s="241">
      <c r="A201" s="103">
        <f>IF(LLM_Data_Entry!A199="","",LLM_Data_Entry!A199)</f>
        <v/>
      </c>
      <c r="B201" s="103">
        <f>IF(LLM_Data_Entry!B199="","",LLM_Data_Entry!B199)</f>
        <v/>
      </c>
      <c r="C201" s="104">
        <f>IF(LLM_Data_Entry!C199="","",LLM_Data_Entry!C199)</f>
        <v/>
      </c>
      <c r="D201" s="103">
        <f>IF(LLM_Data_Entry!D199="","",LLM_Data_Entry!D199)</f>
        <v/>
      </c>
      <c r="E201" s="103">
        <f>IF(LLM_Data_Entry!V199="","",LLM_Data_Entry!V199)</f>
        <v/>
      </c>
      <c r="F201" s="103">
        <f>IF(LLM_Data_Entry!AS199="","",LLM_Data_Entry!AS199)</f>
        <v/>
      </c>
      <c r="G201" s="103">
        <f>IF(LLM_Data_Entry!AG199="","",LLM_Data_Entry!AG199)</f>
        <v/>
      </c>
      <c r="H201" s="103">
        <f>IF(LLM_Data_Entry!AT199="","",LLM_Data_Entry!AT199)</f>
        <v/>
      </c>
      <c r="I201" s="103">
        <f>IF(LLM_Data_Entry!AU199="","",LLM_Data_Entry!AU199)</f>
        <v/>
      </c>
      <c r="J201" s="103">
        <f>IF(LLM_Data_Entry!AH199="","",LLM_Data_Entry!AH199)</f>
        <v/>
      </c>
      <c r="K201" s="103">
        <f>IF(LLM_Data_Entry!AI199="","",LLM_Data_Entry!AI199)</f>
        <v/>
      </c>
      <c r="L201" s="103">
        <f>IF(LLM_Data_Entry!AJ199="","",LLM_Data_Entry!AJ199)</f>
        <v/>
      </c>
      <c r="M201" s="103">
        <f>IF(LLM_Data_Entry!AV199="","",LLM_Data_Entry!AV199)</f>
        <v/>
      </c>
      <c r="N201" s="103">
        <f>IF(LLM_Data_Entry!AW199="","",LLM_Data_Entry!AW199)</f>
        <v/>
      </c>
      <c r="O201" s="103">
        <f>IF(LLM_Data_Entry!AX199="","",LLM_Data_Entry!AX199)</f>
        <v/>
      </c>
      <c r="P201" s="103">
        <f>IF(LLM_Data_Entry!AY199="","",LLM_Data_Entry!AY199)</f>
        <v/>
      </c>
      <c r="Q201" s="103">
        <f>IF(LLM_Data_Entry!AZ199="","",LLM_Data_Entry!AZ199)</f>
        <v/>
      </c>
      <c r="R201" s="103">
        <f>IF(LLM_Data_Entry!AK199="","",LLM_Data_Entry!AK199)</f>
        <v/>
      </c>
      <c r="S201" s="103">
        <f>IF(LLM_Data_Entry!AL199="","",LLM_Data_Entry!AL199)</f>
        <v/>
      </c>
      <c r="T201" s="103">
        <f>IF(LLM_Data_Entry!BA199="","",LLM_Data_Entry!BA199)</f>
        <v/>
      </c>
      <c r="U201" s="103">
        <f>IF(LLM_Data_Entry!BB199="","",LLM_Data_Entry!BB199)</f>
        <v/>
      </c>
      <c r="V201" s="106">
        <f>IF(LLM_Data_Entry!O199="","",LLM_Data_Entry!O199)</f>
        <v/>
      </c>
    </row>
    <row r="202" ht="15" customHeight="1" s="241">
      <c r="A202" s="103">
        <f>IF(LLM_Data_Entry!A200="","",LLM_Data_Entry!A200)</f>
        <v/>
      </c>
      <c r="B202" s="103">
        <f>IF(LLM_Data_Entry!B200="","",LLM_Data_Entry!B200)</f>
        <v/>
      </c>
      <c r="C202" s="104">
        <f>IF(LLM_Data_Entry!C200="","",LLM_Data_Entry!C200)</f>
        <v/>
      </c>
      <c r="D202" s="103">
        <f>IF(LLM_Data_Entry!D200="","",LLM_Data_Entry!D200)</f>
        <v/>
      </c>
      <c r="E202" s="103">
        <f>IF(LLM_Data_Entry!V200="","",LLM_Data_Entry!V200)</f>
        <v/>
      </c>
      <c r="F202" s="103">
        <f>IF(LLM_Data_Entry!AS200="","",LLM_Data_Entry!AS200)</f>
        <v/>
      </c>
      <c r="G202" s="103">
        <f>IF(LLM_Data_Entry!AG200="","",LLM_Data_Entry!AG200)</f>
        <v/>
      </c>
      <c r="H202" s="103">
        <f>IF(LLM_Data_Entry!AT200="","",LLM_Data_Entry!AT200)</f>
        <v/>
      </c>
      <c r="I202" s="103">
        <f>IF(LLM_Data_Entry!AU200="","",LLM_Data_Entry!AU200)</f>
        <v/>
      </c>
      <c r="J202" s="103">
        <f>IF(LLM_Data_Entry!AH200="","",LLM_Data_Entry!AH200)</f>
        <v/>
      </c>
      <c r="K202" s="103">
        <f>IF(LLM_Data_Entry!AI200="","",LLM_Data_Entry!AI200)</f>
        <v/>
      </c>
      <c r="L202" s="103">
        <f>IF(LLM_Data_Entry!AJ200="","",LLM_Data_Entry!AJ200)</f>
        <v/>
      </c>
      <c r="M202" s="103">
        <f>IF(LLM_Data_Entry!AV200="","",LLM_Data_Entry!AV200)</f>
        <v/>
      </c>
      <c r="N202" s="103">
        <f>IF(LLM_Data_Entry!AW200="","",LLM_Data_Entry!AW200)</f>
        <v/>
      </c>
      <c r="O202" s="103">
        <f>IF(LLM_Data_Entry!AX200="","",LLM_Data_Entry!AX200)</f>
        <v/>
      </c>
      <c r="P202" s="103">
        <f>IF(LLM_Data_Entry!AY200="","",LLM_Data_Entry!AY200)</f>
        <v/>
      </c>
      <c r="Q202" s="103">
        <f>IF(LLM_Data_Entry!AZ200="","",LLM_Data_Entry!AZ200)</f>
        <v/>
      </c>
      <c r="R202" s="103">
        <f>IF(LLM_Data_Entry!AK200="","",LLM_Data_Entry!AK200)</f>
        <v/>
      </c>
      <c r="S202" s="103">
        <f>IF(LLM_Data_Entry!AL200="","",LLM_Data_Entry!AL200)</f>
        <v/>
      </c>
      <c r="T202" s="103">
        <f>IF(LLM_Data_Entry!BA200="","",LLM_Data_Entry!BA200)</f>
        <v/>
      </c>
      <c r="U202" s="103">
        <f>IF(LLM_Data_Entry!BB200="","",LLM_Data_Entry!BB200)</f>
        <v/>
      </c>
      <c r="V202" s="106">
        <f>IF(LLM_Data_Entry!O200="","",LLM_Data_Entry!O200)</f>
        <v/>
      </c>
    </row>
    <row r="203" ht="15" customHeight="1" s="241">
      <c r="A203" s="103">
        <f>IF(LLM_Data_Entry!A201="","",LLM_Data_Entry!A201)</f>
        <v/>
      </c>
      <c r="B203" s="103">
        <f>IF(LLM_Data_Entry!B201="","",LLM_Data_Entry!B201)</f>
        <v/>
      </c>
      <c r="C203" s="104">
        <f>IF(LLM_Data_Entry!C201="","",LLM_Data_Entry!C201)</f>
        <v/>
      </c>
      <c r="D203" s="103">
        <f>IF(LLM_Data_Entry!D201="","",LLM_Data_Entry!D201)</f>
        <v/>
      </c>
      <c r="E203" s="103">
        <f>IF(LLM_Data_Entry!V201="","",LLM_Data_Entry!V201)</f>
        <v/>
      </c>
      <c r="F203" s="103">
        <f>IF(LLM_Data_Entry!AS201="","",LLM_Data_Entry!AS201)</f>
        <v/>
      </c>
      <c r="G203" s="103">
        <f>IF(LLM_Data_Entry!AG201="","",LLM_Data_Entry!AG201)</f>
        <v/>
      </c>
      <c r="H203" s="103">
        <f>IF(LLM_Data_Entry!AT201="","",LLM_Data_Entry!AT201)</f>
        <v/>
      </c>
      <c r="I203" s="103">
        <f>IF(LLM_Data_Entry!AU201="","",LLM_Data_Entry!AU201)</f>
        <v/>
      </c>
      <c r="J203" s="103">
        <f>IF(LLM_Data_Entry!AH201="","",LLM_Data_Entry!AH201)</f>
        <v/>
      </c>
      <c r="K203" s="103">
        <f>IF(LLM_Data_Entry!AI201="","",LLM_Data_Entry!AI201)</f>
        <v/>
      </c>
      <c r="L203" s="103">
        <f>IF(LLM_Data_Entry!AJ201="","",LLM_Data_Entry!AJ201)</f>
        <v/>
      </c>
      <c r="M203" s="103">
        <f>IF(LLM_Data_Entry!AV201="","",LLM_Data_Entry!AV201)</f>
        <v/>
      </c>
      <c r="N203" s="103">
        <f>IF(LLM_Data_Entry!AW201="","",LLM_Data_Entry!AW201)</f>
        <v/>
      </c>
      <c r="O203" s="103">
        <f>IF(LLM_Data_Entry!AX201="","",LLM_Data_Entry!AX201)</f>
        <v/>
      </c>
      <c r="P203" s="103">
        <f>IF(LLM_Data_Entry!AY201="","",LLM_Data_Entry!AY201)</f>
        <v/>
      </c>
      <c r="Q203" s="103">
        <f>IF(LLM_Data_Entry!AZ201="","",LLM_Data_Entry!AZ201)</f>
        <v/>
      </c>
      <c r="R203" s="103">
        <f>IF(LLM_Data_Entry!AK201="","",LLM_Data_Entry!AK201)</f>
        <v/>
      </c>
      <c r="S203" s="103">
        <f>IF(LLM_Data_Entry!AL201="","",LLM_Data_Entry!AL201)</f>
        <v/>
      </c>
      <c r="T203" s="103">
        <f>IF(LLM_Data_Entry!BA201="","",LLM_Data_Entry!BA201)</f>
        <v/>
      </c>
      <c r="U203" s="103">
        <f>IF(LLM_Data_Entry!BB201="","",LLM_Data_Entry!BB201)</f>
        <v/>
      </c>
      <c r="V203" s="106">
        <f>IF(LLM_Data_Entry!O201="","",LLM_Data_Entry!O201)</f>
        <v/>
      </c>
    </row>
    <row r="204" ht="15" customHeight="1" s="241">
      <c r="A204" s="103">
        <f>IF(LLM_Data_Entry!A202="","",LLM_Data_Entry!A202)</f>
        <v/>
      </c>
      <c r="B204" s="103">
        <f>IF(LLM_Data_Entry!B202="","",LLM_Data_Entry!B202)</f>
        <v/>
      </c>
      <c r="C204" s="104">
        <f>IF(LLM_Data_Entry!C202="","",LLM_Data_Entry!C202)</f>
        <v/>
      </c>
      <c r="D204" s="103">
        <f>IF(LLM_Data_Entry!D202="","",LLM_Data_Entry!D202)</f>
        <v/>
      </c>
      <c r="E204" s="103">
        <f>IF(LLM_Data_Entry!V202="","",LLM_Data_Entry!V202)</f>
        <v/>
      </c>
      <c r="F204" s="103">
        <f>IF(LLM_Data_Entry!AS202="","",LLM_Data_Entry!AS202)</f>
        <v/>
      </c>
      <c r="G204" s="103">
        <f>IF(LLM_Data_Entry!AG202="","",LLM_Data_Entry!AG202)</f>
        <v/>
      </c>
      <c r="H204" s="103">
        <f>IF(LLM_Data_Entry!AT202="","",LLM_Data_Entry!AT202)</f>
        <v/>
      </c>
      <c r="I204" s="103">
        <f>IF(LLM_Data_Entry!AU202="","",LLM_Data_Entry!AU202)</f>
        <v/>
      </c>
      <c r="J204" s="103">
        <f>IF(LLM_Data_Entry!AH202="","",LLM_Data_Entry!AH202)</f>
        <v/>
      </c>
      <c r="K204" s="103">
        <f>IF(LLM_Data_Entry!AI202="","",LLM_Data_Entry!AI202)</f>
        <v/>
      </c>
      <c r="L204" s="103">
        <f>IF(LLM_Data_Entry!AJ202="","",LLM_Data_Entry!AJ202)</f>
        <v/>
      </c>
      <c r="M204" s="103">
        <f>IF(LLM_Data_Entry!AV202="","",LLM_Data_Entry!AV202)</f>
        <v/>
      </c>
      <c r="N204" s="103">
        <f>IF(LLM_Data_Entry!AW202="","",LLM_Data_Entry!AW202)</f>
        <v/>
      </c>
      <c r="O204" s="103">
        <f>IF(LLM_Data_Entry!AX202="","",LLM_Data_Entry!AX202)</f>
        <v/>
      </c>
      <c r="P204" s="103">
        <f>IF(LLM_Data_Entry!AY202="","",LLM_Data_Entry!AY202)</f>
        <v/>
      </c>
      <c r="Q204" s="103">
        <f>IF(LLM_Data_Entry!AZ202="","",LLM_Data_Entry!AZ202)</f>
        <v/>
      </c>
      <c r="R204" s="103">
        <f>IF(LLM_Data_Entry!AK202="","",LLM_Data_Entry!AK202)</f>
        <v/>
      </c>
      <c r="S204" s="103">
        <f>IF(LLM_Data_Entry!AL202="","",LLM_Data_Entry!AL202)</f>
        <v/>
      </c>
      <c r="T204" s="103">
        <f>IF(LLM_Data_Entry!BA202="","",LLM_Data_Entry!BA202)</f>
        <v/>
      </c>
      <c r="U204" s="103">
        <f>IF(LLM_Data_Entry!BB202="","",LLM_Data_Entry!BB202)</f>
        <v/>
      </c>
      <c r="V204" s="106">
        <f>IF(LLM_Data_Entry!O202="","",LLM_Data_Entry!O202)</f>
        <v/>
      </c>
    </row>
    <row r="205" ht="15" customHeight="1" s="241">
      <c r="A205" s="103">
        <f>IF(LLM_Data_Entry!A203="","",LLM_Data_Entry!A203)</f>
        <v/>
      </c>
      <c r="B205" s="103">
        <f>IF(LLM_Data_Entry!B203="","",LLM_Data_Entry!B203)</f>
        <v/>
      </c>
      <c r="C205" s="104">
        <f>IF(LLM_Data_Entry!C203="","",LLM_Data_Entry!C203)</f>
        <v/>
      </c>
      <c r="D205" s="103">
        <f>IF(LLM_Data_Entry!D203="","",LLM_Data_Entry!D203)</f>
        <v/>
      </c>
      <c r="E205" s="103">
        <f>IF(LLM_Data_Entry!V203="","",LLM_Data_Entry!V203)</f>
        <v/>
      </c>
      <c r="F205" s="103">
        <f>IF(LLM_Data_Entry!AS203="","",LLM_Data_Entry!AS203)</f>
        <v/>
      </c>
      <c r="G205" s="103">
        <f>IF(LLM_Data_Entry!AG203="","",LLM_Data_Entry!AG203)</f>
        <v/>
      </c>
      <c r="H205" s="103">
        <f>IF(LLM_Data_Entry!AT203="","",LLM_Data_Entry!AT203)</f>
        <v/>
      </c>
      <c r="I205" s="103">
        <f>IF(LLM_Data_Entry!AU203="","",LLM_Data_Entry!AU203)</f>
        <v/>
      </c>
      <c r="J205" s="103">
        <f>IF(LLM_Data_Entry!AH203="","",LLM_Data_Entry!AH203)</f>
        <v/>
      </c>
      <c r="K205" s="103">
        <f>IF(LLM_Data_Entry!AI203="","",LLM_Data_Entry!AI203)</f>
        <v/>
      </c>
      <c r="L205" s="103">
        <f>IF(LLM_Data_Entry!AJ203="","",LLM_Data_Entry!AJ203)</f>
        <v/>
      </c>
      <c r="M205" s="103">
        <f>IF(LLM_Data_Entry!AV203="","",LLM_Data_Entry!AV203)</f>
        <v/>
      </c>
      <c r="N205" s="103">
        <f>IF(LLM_Data_Entry!AW203="","",LLM_Data_Entry!AW203)</f>
        <v/>
      </c>
      <c r="O205" s="103">
        <f>IF(LLM_Data_Entry!AX203="","",LLM_Data_Entry!AX203)</f>
        <v/>
      </c>
      <c r="P205" s="103">
        <f>IF(LLM_Data_Entry!AY203="","",LLM_Data_Entry!AY203)</f>
        <v/>
      </c>
      <c r="Q205" s="103">
        <f>IF(LLM_Data_Entry!AZ203="","",LLM_Data_Entry!AZ203)</f>
        <v/>
      </c>
      <c r="R205" s="103">
        <f>IF(LLM_Data_Entry!AK203="","",LLM_Data_Entry!AK203)</f>
        <v/>
      </c>
      <c r="S205" s="103">
        <f>IF(LLM_Data_Entry!AL203="","",LLM_Data_Entry!AL203)</f>
        <v/>
      </c>
      <c r="T205" s="103">
        <f>IF(LLM_Data_Entry!BA203="","",LLM_Data_Entry!BA203)</f>
        <v/>
      </c>
      <c r="U205" s="103">
        <f>IF(LLM_Data_Entry!BB203="","",LLM_Data_Entry!BB203)</f>
        <v/>
      </c>
      <c r="V205" s="106">
        <f>IF(LLM_Data_Entry!O203="","",LLM_Data_Entry!O203)</f>
        <v/>
      </c>
    </row>
    <row r="206" ht="15" customHeight="1" s="241">
      <c r="A206" s="103">
        <f>IF(LLM_Data_Entry!A204="","",LLM_Data_Entry!A204)</f>
        <v/>
      </c>
      <c r="B206" s="103">
        <f>IF(LLM_Data_Entry!B204="","",LLM_Data_Entry!B204)</f>
        <v/>
      </c>
      <c r="C206" s="104">
        <f>IF(LLM_Data_Entry!C204="","",LLM_Data_Entry!C204)</f>
        <v/>
      </c>
      <c r="D206" s="103">
        <f>IF(LLM_Data_Entry!D204="","",LLM_Data_Entry!D204)</f>
        <v/>
      </c>
      <c r="E206" s="103">
        <f>IF(LLM_Data_Entry!V204="","",LLM_Data_Entry!V204)</f>
        <v/>
      </c>
      <c r="F206" s="103">
        <f>IF(LLM_Data_Entry!AS204="","",LLM_Data_Entry!AS204)</f>
        <v/>
      </c>
      <c r="G206" s="103">
        <f>IF(LLM_Data_Entry!AG204="","",LLM_Data_Entry!AG204)</f>
        <v/>
      </c>
      <c r="H206" s="103">
        <f>IF(LLM_Data_Entry!AT204="","",LLM_Data_Entry!AT204)</f>
        <v/>
      </c>
      <c r="I206" s="103">
        <f>IF(LLM_Data_Entry!AU204="","",LLM_Data_Entry!AU204)</f>
        <v/>
      </c>
      <c r="J206" s="103">
        <f>IF(LLM_Data_Entry!AH204="","",LLM_Data_Entry!AH204)</f>
        <v/>
      </c>
      <c r="K206" s="103">
        <f>IF(LLM_Data_Entry!AI204="","",LLM_Data_Entry!AI204)</f>
        <v/>
      </c>
      <c r="L206" s="103">
        <f>IF(LLM_Data_Entry!AJ204="","",LLM_Data_Entry!AJ204)</f>
        <v/>
      </c>
      <c r="M206" s="103">
        <f>IF(LLM_Data_Entry!AV204="","",LLM_Data_Entry!AV204)</f>
        <v/>
      </c>
      <c r="N206" s="103">
        <f>IF(LLM_Data_Entry!AW204="","",LLM_Data_Entry!AW204)</f>
        <v/>
      </c>
      <c r="O206" s="103">
        <f>IF(LLM_Data_Entry!AX204="","",LLM_Data_Entry!AX204)</f>
        <v/>
      </c>
      <c r="P206" s="103">
        <f>IF(LLM_Data_Entry!AY204="","",LLM_Data_Entry!AY204)</f>
        <v/>
      </c>
      <c r="Q206" s="103">
        <f>IF(LLM_Data_Entry!AZ204="","",LLM_Data_Entry!AZ204)</f>
        <v/>
      </c>
      <c r="R206" s="103">
        <f>IF(LLM_Data_Entry!AK204="","",LLM_Data_Entry!AK204)</f>
        <v/>
      </c>
      <c r="S206" s="103">
        <f>IF(LLM_Data_Entry!AL204="","",LLM_Data_Entry!AL204)</f>
        <v/>
      </c>
      <c r="T206" s="103">
        <f>IF(LLM_Data_Entry!BA204="","",LLM_Data_Entry!BA204)</f>
        <v/>
      </c>
      <c r="U206" s="103">
        <f>IF(LLM_Data_Entry!BB204="","",LLM_Data_Entry!BB204)</f>
        <v/>
      </c>
      <c r="V206" s="106">
        <f>IF(LLM_Data_Entry!O204="","",LLM_Data_Entry!O204)</f>
        <v/>
      </c>
    </row>
    <row r="207" ht="15" customHeight="1" s="241">
      <c r="A207" s="103">
        <f>IF(LLM_Data_Entry!A205="","",LLM_Data_Entry!A205)</f>
        <v/>
      </c>
      <c r="B207" s="103">
        <f>IF(LLM_Data_Entry!B205="","",LLM_Data_Entry!B205)</f>
        <v/>
      </c>
      <c r="C207" s="104">
        <f>IF(LLM_Data_Entry!C205="","",LLM_Data_Entry!C205)</f>
        <v/>
      </c>
      <c r="D207" s="103">
        <f>IF(LLM_Data_Entry!D205="","",LLM_Data_Entry!D205)</f>
        <v/>
      </c>
      <c r="E207" s="103">
        <f>IF(LLM_Data_Entry!V205="","",LLM_Data_Entry!V205)</f>
        <v/>
      </c>
      <c r="F207" s="103">
        <f>IF(LLM_Data_Entry!AS205="","",LLM_Data_Entry!AS205)</f>
        <v/>
      </c>
      <c r="G207" s="103">
        <f>IF(LLM_Data_Entry!AG205="","",LLM_Data_Entry!AG205)</f>
        <v/>
      </c>
      <c r="H207" s="103">
        <f>IF(LLM_Data_Entry!AT205="","",LLM_Data_Entry!AT205)</f>
        <v/>
      </c>
      <c r="I207" s="103">
        <f>IF(LLM_Data_Entry!AU205="","",LLM_Data_Entry!AU205)</f>
        <v/>
      </c>
      <c r="J207" s="103">
        <f>IF(LLM_Data_Entry!AH205="","",LLM_Data_Entry!AH205)</f>
        <v/>
      </c>
      <c r="K207" s="103">
        <f>IF(LLM_Data_Entry!AI205="","",LLM_Data_Entry!AI205)</f>
        <v/>
      </c>
      <c r="L207" s="103">
        <f>IF(LLM_Data_Entry!AJ205="","",LLM_Data_Entry!AJ205)</f>
        <v/>
      </c>
      <c r="M207" s="103">
        <f>IF(LLM_Data_Entry!AV205="","",LLM_Data_Entry!AV205)</f>
        <v/>
      </c>
      <c r="N207" s="103">
        <f>IF(LLM_Data_Entry!AW205="","",LLM_Data_Entry!AW205)</f>
        <v/>
      </c>
      <c r="O207" s="103">
        <f>IF(LLM_Data_Entry!AX205="","",LLM_Data_Entry!AX205)</f>
        <v/>
      </c>
      <c r="P207" s="103">
        <f>IF(LLM_Data_Entry!AY205="","",LLM_Data_Entry!AY205)</f>
        <v/>
      </c>
      <c r="Q207" s="103">
        <f>IF(LLM_Data_Entry!AZ205="","",LLM_Data_Entry!AZ205)</f>
        <v/>
      </c>
      <c r="R207" s="103">
        <f>IF(LLM_Data_Entry!AK205="","",LLM_Data_Entry!AK205)</f>
        <v/>
      </c>
      <c r="S207" s="103">
        <f>IF(LLM_Data_Entry!AL205="","",LLM_Data_Entry!AL205)</f>
        <v/>
      </c>
      <c r="T207" s="103">
        <f>IF(LLM_Data_Entry!BA205="","",LLM_Data_Entry!BA205)</f>
        <v/>
      </c>
      <c r="U207" s="103">
        <f>IF(LLM_Data_Entry!BB205="","",LLM_Data_Entry!BB205)</f>
        <v/>
      </c>
      <c r="V207" s="106">
        <f>IF(LLM_Data_Entry!O205="","",LLM_Data_Entry!O205)</f>
        <v/>
      </c>
    </row>
    <row r="208" ht="15" customHeight="1" s="241">
      <c r="A208" s="103">
        <f>IF(LLM_Data_Entry!A206="","",LLM_Data_Entry!A206)</f>
        <v/>
      </c>
      <c r="B208" s="103">
        <f>IF(LLM_Data_Entry!B206="","",LLM_Data_Entry!B206)</f>
        <v/>
      </c>
      <c r="C208" s="104">
        <f>IF(LLM_Data_Entry!C206="","",LLM_Data_Entry!C206)</f>
        <v/>
      </c>
      <c r="D208" s="103">
        <f>IF(LLM_Data_Entry!D206="","",LLM_Data_Entry!D206)</f>
        <v/>
      </c>
      <c r="E208" s="103">
        <f>IF(LLM_Data_Entry!V206="","",LLM_Data_Entry!V206)</f>
        <v/>
      </c>
      <c r="F208" s="103">
        <f>IF(LLM_Data_Entry!AS206="","",LLM_Data_Entry!AS206)</f>
        <v/>
      </c>
      <c r="G208" s="103">
        <f>IF(LLM_Data_Entry!AG206="","",LLM_Data_Entry!AG206)</f>
        <v/>
      </c>
      <c r="H208" s="103">
        <f>IF(LLM_Data_Entry!AT206="","",LLM_Data_Entry!AT206)</f>
        <v/>
      </c>
      <c r="I208" s="103">
        <f>IF(LLM_Data_Entry!AU206="","",LLM_Data_Entry!AU206)</f>
        <v/>
      </c>
      <c r="J208" s="103">
        <f>IF(LLM_Data_Entry!AH206="","",LLM_Data_Entry!AH206)</f>
        <v/>
      </c>
      <c r="K208" s="103">
        <f>IF(LLM_Data_Entry!AI206="","",LLM_Data_Entry!AI206)</f>
        <v/>
      </c>
      <c r="L208" s="103">
        <f>IF(LLM_Data_Entry!AJ206="","",LLM_Data_Entry!AJ206)</f>
        <v/>
      </c>
      <c r="M208" s="103">
        <f>IF(LLM_Data_Entry!AV206="","",LLM_Data_Entry!AV206)</f>
        <v/>
      </c>
      <c r="N208" s="103">
        <f>IF(LLM_Data_Entry!AW206="","",LLM_Data_Entry!AW206)</f>
        <v/>
      </c>
      <c r="O208" s="103">
        <f>IF(LLM_Data_Entry!AX206="","",LLM_Data_Entry!AX206)</f>
        <v/>
      </c>
      <c r="P208" s="103">
        <f>IF(LLM_Data_Entry!AY206="","",LLM_Data_Entry!AY206)</f>
        <v/>
      </c>
      <c r="Q208" s="103">
        <f>IF(LLM_Data_Entry!AZ206="","",LLM_Data_Entry!AZ206)</f>
        <v/>
      </c>
      <c r="R208" s="103">
        <f>IF(LLM_Data_Entry!AK206="","",LLM_Data_Entry!AK206)</f>
        <v/>
      </c>
      <c r="S208" s="103">
        <f>IF(LLM_Data_Entry!AL206="","",LLM_Data_Entry!AL206)</f>
        <v/>
      </c>
      <c r="T208" s="103">
        <f>IF(LLM_Data_Entry!BA206="","",LLM_Data_Entry!BA206)</f>
        <v/>
      </c>
      <c r="U208" s="103">
        <f>IF(LLM_Data_Entry!BB206="","",LLM_Data_Entry!BB206)</f>
        <v/>
      </c>
      <c r="V208" s="106">
        <f>IF(LLM_Data_Entry!O206="","",LLM_Data_Entry!O206)</f>
        <v/>
      </c>
    </row>
    <row r="209" ht="15" customHeight="1" s="241">
      <c r="A209" s="103">
        <f>IF(LLM_Data_Entry!A207="","",LLM_Data_Entry!A207)</f>
        <v/>
      </c>
      <c r="B209" s="103">
        <f>IF(LLM_Data_Entry!B207="","",LLM_Data_Entry!B207)</f>
        <v/>
      </c>
      <c r="C209" s="104">
        <f>IF(LLM_Data_Entry!C207="","",LLM_Data_Entry!C207)</f>
        <v/>
      </c>
      <c r="D209" s="103">
        <f>IF(LLM_Data_Entry!D207="","",LLM_Data_Entry!D207)</f>
        <v/>
      </c>
      <c r="E209" s="103">
        <f>IF(LLM_Data_Entry!V207="","",LLM_Data_Entry!V207)</f>
        <v/>
      </c>
      <c r="F209" s="103">
        <f>IF(LLM_Data_Entry!AS207="","",LLM_Data_Entry!AS207)</f>
        <v/>
      </c>
      <c r="G209" s="103">
        <f>IF(LLM_Data_Entry!AG207="","",LLM_Data_Entry!AG207)</f>
        <v/>
      </c>
      <c r="H209" s="103">
        <f>IF(LLM_Data_Entry!AT207="","",LLM_Data_Entry!AT207)</f>
        <v/>
      </c>
      <c r="I209" s="103">
        <f>IF(LLM_Data_Entry!AU207="","",LLM_Data_Entry!AU207)</f>
        <v/>
      </c>
      <c r="J209" s="103">
        <f>IF(LLM_Data_Entry!AH207="","",LLM_Data_Entry!AH207)</f>
        <v/>
      </c>
      <c r="K209" s="103">
        <f>IF(LLM_Data_Entry!AI207="","",LLM_Data_Entry!AI207)</f>
        <v/>
      </c>
      <c r="L209" s="103">
        <f>IF(LLM_Data_Entry!AJ207="","",LLM_Data_Entry!AJ207)</f>
        <v/>
      </c>
      <c r="M209" s="103">
        <f>IF(LLM_Data_Entry!AV207="","",LLM_Data_Entry!AV207)</f>
        <v/>
      </c>
      <c r="N209" s="103">
        <f>IF(LLM_Data_Entry!AW207="","",LLM_Data_Entry!AW207)</f>
        <v/>
      </c>
      <c r="O209" s="103">
        <f>IF(LLM_Data_Entry!AX207="","",LLM_Data_Entry!AX207)</f>
        <v/>
      </c>
      <c r="P209" s="103">
        <f>IF(LLM_Data_Entry!AY207="","",LLM_Data_Entry!AY207)</f>
        <v/>
      </c>
      <c r="Q209" s="103">
        <f>IF(LLM_Data_Entry!AZ207="","",LLM_Data_Entry!AZ207)</f>
        <v/>
      </c>
      <c r="R209" s="103">
        <f>IF(LLM_Data_Entry!AK207="","",LLM_Data_Entry!AK207)</f>
        <v/>
      </c>
      <c r="S209" s="103">
        <f>IF(LLM_Data_Entry!AL207="","",LLM_Data_Entry!AL207)</f>
        <v/>
      </c>
      <c r="T209" s="103">
        <f>IF(LLM_Data_Entry!BA207="","",LLM_Data_Entry!BA207)</f>
        <v/>
      </c>
      <c r="U209" s="103">
        <f>IF(LLM_Data_Entry!BB207="","",LLM_Data_Entry!BB207)</f>
        <v/>
      </c>
      <c r="V209" s="106">
        <f>IF(LLM_Data_Entry!O207="","",LLM_Data_Entry!O207)</f>
        <v/>
      </c>
    </row>
    <row r="210" ht="15" customHeight="1" s="241">
      <c r="A210" s="103">
        <f>IF(LLM_Data_Entry!A208="","",LLM_Data_Entry!A208)</f>
        <v/>
      </c>
      <c r="B210" s="103">
        <f>IF(LLM_Data_Entry!B208="","",LLM_Data_Entry!B208)</f>
        <v/>
      </c>
      <c r="C210" s="104">
        <f>IF(LLM_Data_Entry!C208="","",LLM_Data_Entry!C208)</f>
        <v/>
      </c>
      <c r="D210" s="103">
        <f>IF(LLM_Data_Entry!D208="","",LLM_Data_Entry!D208)</f>
        <v/>
      </c>
      <c r="E210" s="103">
        <f>IF(LLM_Data_Entry!V208="","",LLM_Data_Entry!V208)</f>
        <v/>
      </c>
      <c r="F210" s="103">
        <f>IF(LLM_Data_Entry!AS208="","",LLM_Data_Entry!AS208)</f>
        <v/>
      </c>
      <c r="G210" s="103">
        <f>IF(LLM_Data_Entry!AG208="","",LLM_Data_Entry!AG208)</f>
        <v/>
      </c>
      <c r="H210" s="103">
        <f>IF(LLM_Data_Entry!AT208="","",LLM_Data_Entry!AT208)</f>
        <v/>
      </c>
      <c r="I210" s="103">
        <f>IF(LLM_Data_Entry!AU208="","",LLM_Data_Entry!AU208)</f>
        <v/>
      </c>
      <c r="J210" s="103">
        <f>IF(LLM_Data_Entry!AH208="","",LLM_Data_Entry!AH208)</f>
        <v/>
      </c>
      <c r="K210" s="103">
        <f>IF(LLM_Data_Entry!AI208="","",LLM_Data_Entry!AI208)</f>
        <v/>
      </c>
      <c r="L210" s="103">
        <f>IF(LLM_Data_Entry!AJ208="","",LLM_Data_Entry!AJ208)</f>
        <v/>
      </c>
      <c r="M210" s="103">
        <f>IF(LLM_Data_Entry!AV208="","",LLM_Data_Entry!AV208)</f>
        <v/>
      </c>
      <c r="N210" s="103">
        <f>IF(LLM_Data_Entry!AW208="","",LLM_Data_Entry!AW208)</f>
        <v/>
      </c>
      <c r="O210" s="103">
        <f>IF(LLM_Data_Entry!AX208="","",LLM_Data_Entry!AX208)</f>
        <v/>
      </c>
      <c r="P210" s="103">
        <f>IF(LLM_Data_Entry!AY208="","",LLM_Data_Entry!AY208)</f>
        <v/>
      </c>
      <c r="Q210" s="103">
        <f>IF(LLM_Data_Entry!AZ208="","",LLM_Data_Entry!AZ208)</f>
        <v/>
      </c>
      <c r="R210" s="103">
        <f>IF(LLM_Data_Entry!AK208="","",LLM_Data_Entry!AK208)</f>
        <v/>
      </c>
      <c r="S210" s="103">
        <f>IF(LLM_Data_Entry!AL208="","",LLM_Data_Entry!AL208)</f>
        <v/>
      </c>
      <c r="T210" s="103">
        <f>IF(LLM_Data_Entry!BA208="","",LLM_Data_Entry!BA208)</f>
        <v/>
      </c>
      <c r="U210" s="103">
        <f>IF(LLM_Data_Entry!BB208="","",LLM_Data_Entry!BB208)</f>
        <v/>
      </c>
      <c r="V210" s="106">
        <f>IF(LLM_Data_Entry!O208="","",LLM_Data_Entry!O208)</f>
        <v/>
      </c>
    </row>
    <row r="211" ht="15" customHeight="1" s="241">
      <c r="A211" s="103">
        <f>IF(LLM_Data_Entry!A209="","",LLM_Data_Entry!A209)</f>
        <v/>
      </c>
      <c r="B211" s="103">
        <f>IF(LLM_Data_Entry!B209="","",LLM_Data_Entry!B209)</f>
        <v/>
      </c>
      <c r="C211" s="104">
        <f>IF(LLM_Data_Entry!C209="","",LLM_Data_Entry!C209)</f>
        <v/>
      </c>
      <c r="D211" s="103">
        <f>IF(LLM_Data_Entry!D209="","",LLM_Data_Entry!D209)</f>
        <v/>
      </c>
      <c r="E211" s="103">
        <f>IF(LLM_Data_Entry!V209="","",LLM_Data_Entry!V209)</f>
        <v/>
      </c>
      <c r="F211" s="103">
        <f>IF(LLM_Data_Entry!AS209="","",LLM_Data_Entry!AS209)</f>
        <v/>
      </c>
      <c r="G211" s="103">
        <f>IF(LLM_Data_Entry!AG209="","",LLM_Data_Entry!AG209)</f>
        <v/>
      </c>
      <c r="H211" s="103">
        <f>IF(LLM_Data_Entry!AT209="","",LLM_Data_Entry!AT209)</f>
        <v/>
      </c>
      <c r="I211" s="103">
        <f>IF(LLM_Data_Entry!AU209="","",LLM_Data_Entry!AU209)</f>
        <v/>
      </c>
      <c r="J211" s="103">
        <f>IF(LLM_Data_Entry!AH209="","",LLM_Data_Entry!AH209)</f>
        <v/>
      </c>
      <c r="K211" s="103">
        <f>IF(LLM_Data_Entry!AI209="","",LLM_Data_Entry!AI209)</f>
        <v/>
      </c>
      <c r="L211" s="103">
        <f>IF(LLM_Data_Entry!AJ209="","",LLM_Data_Entry!AJ209)</f>
        <v/>
      </c>
      <c r="M211" s="103">
        <f>IF(LLM_Data_Entry!AV209="","",LLM_Data_Entry!AV209)</f>
        <v/>
      </c>
      <c r="N211" s="103">
        <f>IF(LLM_Data_Entry!AW209="","",LLM_Data_Entry!AW209)</f>
        <v/>
      </c>
      <c r="O211" s="103">
        <f>IF(LLM_Data_Entry!AX209="","",LLM_Data_Entry!AX209)</f>
        <v/>
      </c>
      <c r="P211" s="103">
        <f>IF(LLM_Data_Entry!AY209="","",LLM_Data_Entry!AY209)</f>
        <v/>
      </c>
      <c r="Q211" s="103">
        <f>IF(LLM_Data_Entry!AZ209="","",LLM_Data_Entry!AZ209)</f>
        <v/>
      </c>
      <c r="R211" s="103">
        <f>IF(LLM_Data_Entry!AK209="","",LLM_Data_Entry!AK209)</f>
        <v/>
      </c>
      <c r="S211" s="103">
        <f>IF(LLM_Data_Entry!AL209="","",LLM_Data_Entry!AL209)</f>
        <v/>
      </c>
      <c r="T211" s="103">
        <f>IF(LLM_Data_Entry!BA209="","",LLM_Data_Entry!BA209)</f>
        <v/>
      </c>
      <c r="U211" s="103">
        <f>IF(LLM_Data_Entry!BB209="","",LLM_Data_Entry!BB209)</f>
        <v/>
      </c>
      <c r="V211" s="106">
        <f>IF(LLM_Data_Entry!O209="","",LLM_Data_Entry!O209)</f>
        <v/>
      </c>
    </row>
    <row r="212" ht="15" customHeight="1" s="241">
      <c r="A212" s="103">
        <f>IF(LLM_Data_Entry!A210="","",LLM_Data_Entry!A210)</f>
        <v/>
      </c>
      <c r="B212" s="103">
        <f>IF(LLM_Data_Entry!B210="","",LLM_Data_Entry!B210)</f>
        <v/>
      </c>
      <c r="C212" s="104">
        <f>IF(LLM_Data_Entry!C210="","",LLM_Data_Entry!C210)</f>
        <v/>
      </c>
      <c r="D212" s="103">
        <f>IF(LLM_Data_Entry!D210="","",LLM_Data_Entry!D210)</f>
        <v/>
      </c>
      <c r="E212" s="103">
        <f>IF(LLM_Data_Entry!V210="","",LLM_Data_Entry!V210)</f>
        <v/>
      </c>
      <c r="F212" s="103">
        <f>IF(LLM_Data_Entry!AS210="","",LLM_Data_Entry!AS210)</f>
        <v/>
      </c>
      <c r="G212" s="103">
        <f>IF(LLM_Data_Entry!AG210="","",LLM_Data_Entry!AG210)</f>
        <v/>
      </c>
      <c r="H212" s="103">
        <f>IF(LLM_Data_Entry!AT210="","",LLM_Data_Entry!AT210)</f>
        <v/>
      </c>
      <c r="I212" s="103">
        <f>IF(LLM_Data_Entry!AU210="","",LLM_Data_Entry!AU210)</f>
        <v/>
      </c>
      <c r="J212" s="103">
        <f>IF(LLM_Data_Entry!AH210="","",LLM_Data_Entry!AH210)</f>
        <v/>
      </c>
      <c r="K212" s="103">
        <f>IF(LLM_Data_Entry!AI210="","",LLM_Data_Entry!AI210)</f>
        <v/>
      </c>
      <c r="L212" s="103">
        <f>IF(LLM_Data_Entry!AJ210="","",LLM_Data_Entry!AJ210)</f>
        <v/>
      </c>
      <c r="M212" s="103">
        <f>IF(LLM_Data_Entry!AV210="","",LLM_Data_Entry!AV210)</f>
        <v/>
      </c>
      <c r="N212" s="103">
        <f>IF(LLM_Data_Entry!AW210="","",LLM_Data_Entry!AW210)</f>
        <v/>
      </c>
      <c r="O212" s="103">
        <f>IF(LLM_Data_Entry!AX210="","",LLM_Data_Entry!AX210)</f>
        <v/>
      </c>
      <c r="P212" s="103">
        <f>IF(LLM_Data_Entry!AY210="","",LLM_Data_Entry!AY210)</f>
        <v/>
      </c>
      <c r="Q212" s="103">
        <f>IF(LLM_Data_Entry!AZ210="","",LLM_Data_Entry!AZ210)</f>
        <v/>
      </c>
      <c r="R212" s="103">
        <f>IF(LLM_Data_Entry!AK210="","",LLM_Data_Entry!AK210)</f>
        <v/>
      </c>
      <c r="S212" s="103">
        <f>IF(LLM_Data_Entry!AL210="","",LLM_Data_Entry!AL210)</f>
        <v/>
      </c>
      <c r="T212" s="103">
        <f>IF(LLM_Data_Entry!BA210="","",LLM_Data_Entry!BA210)</f>
        <v/>
      </c>
      <c r="U212" s="103">
        <f>IF(LLM_Data_Entry!BB210="","",LLM_Data_Entry!BB210)</f>
        <v/>
      </c>
      <c r="V212" s="106">
        <f>IF(LLM_Data_Entry!O210="","",LLM_Data_Entry!O210)</f>
        <v/>
      </c>
    </row>
    <row r="213" ht="15" customHeight="1" s="241">
      <c r="A213" s="103">
        <f>IF(LLM_Data_Entry!A211="","",LLM_Data_Entry!A211)</f>
        <v/>
      </c>
      <c r="B213" s="103">
        <f>IF(LLM_Data_Entry!B211="","",LLM_Data_Entry!B211)</f>
        <v/>
      </c>
      <c r="C213" s="104">
        <f>IF(LLM_Data_Entry!C211="","",LLM_Data_Entry!C211)</f>
        <v/>
      </c>
      <c r="D213" s="103">
        <f>IF(LLM_Data_Entry!D211="","",LLM_Data_Entry!D211)</f>
        <v/>
      </c>
      <c r="E213" s="103">
        <f>IF(LLM_Data_Entry!V211="","",LLM_Data_Entry!V211)</f>
        <v/>
      </c>
      <c r="F213" s="103">
        <f>IF(LLM_Data_Entry!AS211="","",LLM_Data_Entry!AS211)</f>
        <v/>
      </c>
      <c r="G213" s="103">
        <f>IF(LLM_Data_Entry!AG211="","",LLM_Data_Entry!AG211)</f>
        <v/>
      </c>
      <c r="H213" s="103">
        <f>IF(LLM_Data_Entry!AT211="","",LLM_Data_Entry!AT211)</f>
        <v/>
      </c>
      <c r="I213" s="103">
        <f>IF(LLM_Data_Entry!AU211="","",LLM_Data_Entry!AU211)</f>
        <v/>
      </c>
      <c r="J213" s="103">
        <f>IF(LLM_Data_Entry!AH211="","",LLM_Data_Entry!AH211)</f>
        <v/>
      </c>
      <c r="K213" s="103">
        <f>IF(LLM_Data_Entry!AI211="","",LLM_Data_Entry!AI211)</f>
        <v/>
      </c>
      <c r="L213" s="103">
        <f>IF(LLM_Data_Entry!AJ211="","",LLM_Data_Entry!AJ211)</f>
        <v/>
      </c>
      <c r="M213" s="103">
        <f>IF(LLM_Data_Entry!AV211="","",LLM_Data_Entry!AV211)</f>
        <v/>
      </c>
      <c r="N213" s="103">
        <f>IF(LLM_Data_Entry!AW211="","",LLM_Data_Entry!AW211)</f>
        <v/>
      </c>
      <c r="O213" s="103">
        <f>IF(LLM_Data_Entry!AX211="","",LLM_Data_Entry!AX211)</f>
        <v/>
      </c>
      <c r="P213" s="103">
        <f>IF(LLM_Data_Entry!AY211="","",LLM_Data_Entry!AY211)</f>
        <v/>
      </c>
      <c r="Q213" s="103">
        <f>IF(LLM_Data_Entry!AZ211="","",LLM_Data_Entry!AZ211)</f>
        <v/>
      </c>
      <c r="R213" s="103">
        <f>IF(LLM_Data_Entry!AK211="","",LLM_Data_Entry!AK211)</f>
        <v/>
      </c>
      <c r="S213" s="103">
        <f>IF(LLM_Data_Entry!AL211="","",LLM_Data_Entry!AL211)</f>
        <v/>
      </c>
      <c r="T213" s="103">
        <f>IF(LLM_Data_Entry!BA211="","",LLM_Data_Entry!BA211)</f>
        <v/>
      </c>
      <c r="U213" s="103">
        <f>IF(LLM_Data_Entry!BB211="","",LLM_Data_Entry!BB211)</f>
        <v/>
      </c>
      <c r="V213" s="106">
        <f>IF(LLM_Data_Entry!O211="","",LLM_Data_Entry!O211)</f>
        <v/>
      </c>
    </row>
    <row r="214" ht="15" customHeight="1" s="241">
      <c r="A214" s="103">
        <f>IF(LLM_Data_Entry!A212="","",LLM_Data_Entry!A212)</f>
        <v/>
      </c>
      <c r="B214" s="103">
        <f>IF(LLM_Data_Entry!B212="","",LLM_Data_Entry!B212)</f>
        <v/>
      </c>
      <c r="C214" s="104">
        <f>IF(LLM_Data_Entry!C212="","",LLM_Data_Entry!C212)</f>
        <v/>
      </c>
      <c r="D214" s="103">
        <f>IF(LLM_Data_Entry!D212="","",LLM_Data_Entry!D212)</f>
        <v/>
      </c>
      <c r="E214" s="103">
        <f>IF(LLM_Data_Entry!V212="","",LLM_Data_Entry!V212)</f>
        <v/>
      </c>
      <c r="F214" s="103">
        <f>IF(LLM_Data_Entry!AS212="","",LLM_Data_Entry!AS212)</f>
        <v/>
      </c>
      <c r="G214" s="103">
        <f>IF(LLM_Data_Entry!AG212="","",LLM_Data_Entry!AG212)</f>
        <v/>
      </c>
      <c r="H214" s="103">
        <f>IF(LLM_Data_Entry!AT212="","",LLM_Data_Entry!AT212)</f>
        <v/>
      </c>
      <c r="I214" s="103">
        <f>IF(LLM_Data_Entry!AU212="","",LLM_Data_Entry!AU212)</f>
        <v/>
      </c>
      <c r="J214" s="103">
        <f>IF(LLM_Data_Entry!AH212="","",LLM_Data_Entry!AH212)</f>
        <v/>
      </c>
      <c r="K214" s="103">
        <f>IF(LLM_Data_Entry!AI212="","",LLM_Data_Entry!AI212)</f>
        <v/>
      </c>
      <c r="L214" s="103">
        <f>IF(LLM_Data_Entry!AJ212="","",LLM_Data_Entry!AJ212)</f>
        <v/>
      </c>
      <c r="M214" s="103">
        <f>IF(LLM_Data_Entry!AV212="","",LLM_Data_Entry!AV212)</f>
        <v/>
      </c>
      <c r="N214" s="103">
        <f>IF(LLM_Data_Entry!AW212="","",LLM_Data_Entry!AW212)</f>
        <v/>
      </c>
      <c r="O214" s="103">
        <f>IF(LLM_Data_Entry!AX212="","",LLM_Data_Entry!AX212)</f>
        <v/>
      </c>
      <c r="P214" s="103">
        <f>IF(LLM_Data_Entry!AY212="","",LLM_Data_Entry!AY212)</f>
        <v/>
      </c>
      <c r="Q214" s="103">
        <f>IF(LLM_Data_Entry!AZ212="","",LLM_Data_Entry!AZ212)</f>
        <v/>
      </c>
      <c r="R214" s="103">
        <f>IF(LLM_Data_Entry!AK212="","",LLM_Data_Entry!AK212)</f>
        <v/>
      </c>
      <c r="S214" s="103">
        <f>IF(LLM_Data_Entry!AL212="","",LLM_Data_Entry!AL212)</f>
        <v/>
      </c>
      <c r="T214" s="103">
        <f>IF(LLM_Data_Entry!BA212="","",LLM_Data_Entry!BA212)</f>
        <v/>
      </c>
      <c r="U214" s="103">
        <f>IF(LLM_Data_Entry!BB212="","",LLM_Data_Entry!BB212)</f>
        <v/>
      </c>
      <c r="V214" s="106">
        <f>IF(LLM_Data_Entry!O212="","",LLM_Data_Entry!O212)</f>
        <v/>
      </c>
    </row>
    <row r="215" ht="15" customHeight="1" s="241">
      <c r="A215" s="103">
        <f>IF(LLM_Data_Entry!A213="","",LLM_Data_Entry!A213)</f>
        <v/>
      </c>
      <c r="B215" s="103">
        <f>IF(LLM_Data_Entry!B213="","",LLM_Data_Entry!B213)</f>
        <v/>
      </c>
      <c r="C215" s="104">
        <f>IF(LLM_Data_Entry!C213="","",LLM_Data_Entry!C213)</f>
        <v/>
      </c>
      <c r="D215" s="103">
        <f>IF(LLM_Data_Entry!D213="","",LLM_Data_Entry!D213)</f>
        <v/>
      </c>
      <c r="E215" s="103">
        <f>IF(LLM_Data_Entry!V213="","",LLM_Data_Entry!V213)</f>
        <v/>
      </c>
      <c r="F215" s="103">
        <f>IF(LLM_Data_Entry!AS213="","",LLM_Data_Entry!AS213)</f>
        <v/>
      </c>
      <c r="G215" s="103">
        <f>IF(LLM_Data_Entry!AG213="","",LLM_Data_Entry!AG213)</f>
        <v/>
      </c>
      <c r="H215" s="103">
        <f>IF(LLM_Data_Entry!AT213="","",LLM_Data_Entry!AT213)</f>
        <v/>
      </c>
      <c r="I215" s="103">
        <f>IF(LLM_Data_Entry!AU213="","",LLM_Data_Entry!AU213)</f>
        <v/>
      </c>
      <c r="J215" s="103">
        <f>IF(LLM_Data_Entry!AH213="","",LLM_Data_Entry!AH213)</f>
        <v/>
      </c>
      <c r="K215" s="103">
        <f>IF(LLM_Data_Entry!AI213="","",LLM_Data_Entry!AI213)</f>
        <v/>
      </c>
      <c r="L215" s="103">
        <f>IF(LLM_Data_Entry!AJ213="","",LLM_Data_Entry!AJ213)</f>
        <v/>
      </c>
      <c r="M215" s="103">
        <f>IF(LLM_Data_Entry!AV213="","",LLM_Data_Entry!AV213)</f>
        <v/>
      </c>
      <c r="N215" s="103">
        <f>IF(LLM_Data_Entry!AW213="","",LLM_Data_Entry!AW213)</f>
        <v/>
      </c>
      <c r="O215" s="103">
        <f>IF(LLM_Data_Entry!AX213="","",LLM_Data_Entry!AX213)</f>
        <v/>
      </c>
      <c r="P215" s="103">
        <f>IF(LLM_Data_Entry!AY213="","",LLM_Data_Entry!AY213)</f>
        <v/>
      </c>
      <c r="Q215" s="103">
        <f>IF(LLM_Data_Entry!AZ213="","",LLM_Data_Entry!AZ213)</f>
        <v/>
      </c>
      <c r="R215" s="103">
        <f>IF(LLM_Data_Entry!AK213="","",LLM_Data_Entry!AK213)</f>
        <v/>
      </c>
      <c r="S215" s="103">
        <f>IF(LLM_Data_Entry!AL213="","",LLM_Data_Entry!AL213)</f>
        <v/>
      </c>
      <c r="T215" s="103">
        <f>IF(LLM_Data_Entry!BA213="","",LLM_Data_Entry!BA213)</f>
        <v/>
      </c>
      <c r="U215" s="103">
        <f>IF(LLM_Data_Entry!BB213="","",LLM_Data_Entry!BB213)</f>
        <v/>
      </c>
      <c r="V215" s="106">
        <f>IF(LLM_Data_Entry!O213="","",LLM_Data_Entry!O213)</f>
        <v/>
      </c>
    </row>
    <row r="216" ht="15" customHeight="1" s="241">
      <c r="A216" s="103">
        <f>IF(LLM_Data_Entry!A214="","",LLM_Data_Entry!A214)</f>
        <v/>
      </c>
      <c r="B216" s="103">
        <f>IF(LLM_Data_Entry!B214="","",LLM_Data_Entry!B214)</f>
        <v/>
      </c>
      <c r="C216" s="104">
        <f>IF(LLM_Data_Entry!C214="","",LLM_Data_Entry!C214)</f>
        <v/>
      </c>
      <c r="D216" s="103">
        <f>IF(LLM_Data_Entry!D214="","",LLM_Data_Entry!D214)</f>
        <v/>
      </c>
      <c r="E216" s="103">
        <f>IF(LLM_Data_Entry!V214="","",LLM_Data_Entry!V214)</f>
        <v/>
      </c>
      <c r="F216" s="103">
        <f>IF(LLM_Data_Entry!AS214="","",LLM_Data_Entry!AS214)</f>
        <v/>
      </c>
      <c r="G216" s="103">
        <f>IF(LLM_Data_Entry!AG214="","",LLM_Data_Entry!AG214)</f>
        <v/>
      </c>
      <c r="H216" s="103">
        <f>IF(LLM_Data_Entry!AT214="","",LLM_Data_Entry!AT214)</f>
        <v/>
      </c>
      <c r="I216" s="103">
        <f>IF(LLM_Data_Entry!AU214="","",LLM_Data_Entry!AU214)</f>
        <v/>
      </c>
      <c r="J216" s="103">
        <f>IF(LLM_Data_Entry!AH214="","",LLM_Data_Entry!AH214)</f>
        <v/>
      </c>
      <c r="K216" s="103">
        <f>IF(LLM_Data_Entry!AI214="","",LLM_Data_Entry!AI214)</f>
        <v/>
      </c>
      <c r="L216" s="103">
        <f>IF(LLM_Data_Entry!AJ214="","",LLM_Data_Entry!AJ214)</f>
        <v/>
      </c>
      <c r="M216" s="103">
        <f>IF(LLM_Data_Entry!AV214="","",LLM_Data_Entry!AV214)</f>
        <v/>
      </c>
      <c r="N216" s="103">
        <f>IF(LLM_Data_Entry!AW214="","",LLM_Data_Entry!AW214)</f>
        <v/>
      </c>
      <c r="O216" s="103">
        <f>IF(LLM_Data_Entry!AX214="","",LLM_Data_Entry!AX214)</f>
        <v/>
      </c>
      <c r="P216" s="103">
        <f>IF(LLM_Data_Entry!AY214="","",LLM_Data_Entry!AY214)</f>
        <v/>
      </c>
      <c r="Q216" s="103">
        <f>IF(LLM_Data_Entry!AZ214="","",LLM_Data_Entry!AZ214)</f>
        <v/>
      </c>
      <c r="R216" s="103">
        <f>IF(LLM_Data_Entry!AK214="","",LLM_Data_Entry!AK214)</f>
        <v/>
      </c>
      <c r="S216" s="103">
        <f>IF(LLM_Data_Entry!AL214="","",LLM_Data_Entry!AL214)</f>
        <v/>
      </c>
      <c r="T216" s="103">
        <f>IF(LLM_Data_Entry!BA214="","",LLM_Data_Entry!BA214)</f>
        <v/>
      </c>
      <c r="U216" s="103">
        <f>IF(LLM_Data_Entry!BB214="","",LLM_Data_Entry!BB214)</f>
        <v/>
      </c>
      <c r="V216" s="106">
        <f>IF(LLM_Data_Entry!O214="","",LLM_Data_Entry!O214)</f>
        <v/>
      </c>
    </row>
    <row r="217" ht="15" customHeight="1" s="241">
      <c r="A217" s="103">
        <f>IF(LLM_Data_Entry!A215="","",LLM_Data_Entry!A215)</f>
        <v/>
      </c>
      <c r="B217" s="103">
        <f>IF(LLM_Data_Entry!B215="","",LLM_Data_Entry!B215)</f>
        <v/>
      </c>
      <c r="C217" s="104">
        <f>IF(LLM_Data_Entry!C215="","",LLM_Data_Entry!C215)</f>
        <v/>
      </c>
      <c r="D217" s="103">
        <f>IF(LLM_Data_Entry!D215="","",LLM_Data_Entry!D215)</f>
        <v/>
      </c>
      <c r="E217" s="103">
        <f>IF(LLM_Data_Entry!V215="","",LLM_Data_Entry!V215)</f>
        <v/>
      </c>
      <c r="F217" s="103">
        <f>IF(LLM_Data_Entry!AS215="","",LLM_Data_Entry!AS215)</f>
        <v/>
      </c>
      <c r="G217" s="103">
        <f>IF(LLM_Data_Entry!AG215="","",LLM_Data_Entry!AG215)</f>
        <v/>
      </c>
      <c r="H217" s="103">
        <f>IF(LLM_Data_Entry!AT215="","",LLM_Data_Entry!AT215)</f>
        <v/>
      </c>
      <c r="I217" s="103">
        <f>IF(LLM_Data_Entry!AU215="","",LLM_Data_Entry!AU215)</f>
        <v/>
      </c>
      <c r="J217" s="103">
        <f>IF(LLM_Data_Entry!AH215="","",LLM_Data_Entry!AH215)</f>
        <v/>
      </c>
      <c r="K217" s="103">
        <f>IF(LLM_Data_Entry!AI215="","",LLM_Data_Entry!AI215)</f>
        <v/>
      </c>
      <c r="L217" s="103">
        <f>IF(LLM_Data_Entry!AJ215="","",LLM_Data_Entry!AJ215)</f>
        <v/>
      </c>
      <c r="M217" s="103">
        <f>IF(LLM_Data_Entry!AV215="","",LLM_Data_Entry!AV215)</f>
        <v/>
      </c>
      <c r="N217" s="103">
        <f>IF(LLM_Data_Entry!AW215="","",LLM_Data_Entry!AW215)</f>
        <v/>
      </c>
      <c r="O217" s="103">
        <f>IF(LLM_Data_Entry!AX215="","",LLM_Data_Entry!AX215)</f>
        <v/>
      </c>
      <c r="P217" s="103">
        <f>IF(LLM_Data_Entry!AY215="","",LLM_Data_Entry!AY215)</f>
        <v/>
      </c>
      <c r="Q217" s="103">
        <f>IF(LLM_Data_Entry!AZ215="","",LLM_Data_Entry!AZ215)</f>
        <v/>
      </c>
      <c r="R217" s="103">
        <f>IF(LLM_Data_Entry!AK215="","",LLM_Data_Entry!AK215)</f>
        <v/>
      </c>
      <c r="S217" s="103">
        <f>IF(LLM_Data_Entry!AL215="","",LLM_Data_Entry!AL215)</f>
        <v/>
      </c>
      <c r="T217" s="103">
        <f>IF(LLM_Data_Entry!BA215="","",LLM_Data_Entry!BA215)</f>
        <v/>
      </c>
      <c r="U217" s="103">
        <f>IF(LLM_Data_Entry!BB215="","",LLM_Data_Entry!BB215)</f>
        <v/>
      </c>
      <c r="V217" s="106">
        <f>IF(LLM_Data_Entry!O215="","",LLM_Data_Entry!O215)</f>
        <v/>
      </c>
    </row>
    <row r="218" ht="15" customHeight="1" s="241">
      <c r="A218" s="103">
        <f>IF(LLM_Data_Entry!A216="","",LLM_Data_Entry!A216)</f>
        <v/>
      </c>
      <c r="B218" s="103">
        <f>IF(LLM_Data_Entry!B216="","",LLM_Data_Entry!B216)</f>
        <v/>
      </c>
      <c r="C218" s="104">
        <f>IF(LLM_Data_Entry!C216="","",LLM_Data_Entry!C216)</f>
        <v/>
      </c>
      <c r="D218" s="103">
        <f>IF(LLM_Data_Entry!D216="","",LLM_Data_Entry!D216)</f>
        <v/>
      </c>
      <c r="E218" s="103">
        <f>IF(LLM_Data_Entry!V216="","",LLM_Data_Entry!V216)</f>
        <v/>
      </c>
      <c r="F218" s="103">
        <f>IF(LLM_Data_Entry!AS216="","",LLM_Data_Entry!AS216)</f>
        <v/>
      </c>
      <c r="G218" s="103">
        <f>IF(LLM_Data_Entry!AG216="","",LLM_Data_Entry!AG216)</f>
        <v/>
      </c>
      <c r="H218" s="103">
        <f>IF(LLM_Data_Entry!AT216="","",LLM_Data_Entry!AT216)</f>
        <v/>
      </c>
      <c r="I218" s="103">
        <f>IF(LLM_Data_Entry!AU216="","",LLM_Data_Entry!AU216)</f>
        <v/>
      </c>
      <c r="J218" s="103">
        <f>IF(LLM_Data_Entry!AH216="","",LLM_Data_Entry!AH216)</f>
        <v/>
      </c>
      <c r="K218" s="103">
        <f>IF(LLM_Data_Entry!AI216="","",LLM_Data_Entry!AI216)</f>
        <v/>
      </c>
      <c r="L218" s="103">
        <f>IF(LLM_Data_Entry!AJ216="","",LLM_Data_Entry!AJ216)</f>
        <v/>
      </c>
      <c r="M218" s="103">
        <f>IF(LLM_Data_Entry!AV216="","",LLM_Data_Entry!AV216)</f>
        <v/>
      </c>
      <c r="N218" s="103">
        <f>IF(LLM_Data_Entry!AW216="","",LLM_Data_Entry!AW216)</f>
        <v/>
      </c>
      <c r="O218" s="103">
        <f>IF(LLM_Data_Entry!AX216="","",LLM_Data_Entry!AX216)</f>
        <v/>
      </c>
      <c r="P218" s="103">
        <f>IF(LLM_Data_Entry!AY216="","",LLM_Data_Entry!AY216)</f>
        <v/>
      </c>
      <c r="Q218" s="103">
        <f>IF(LLM_Data_Entry!AZ216="","",LLM_Data_Entry!AZ216)</f>
        <v/>
      </c>
      <c r="R218" s="103">
        <f>IF(LLM_Data_Entry!AK216="","",LLM_Data_Entry!AK216)</f>
        <v/>
      </c>
      <c r="S218" s="103">
        <f>IF(LLM_Data_Entry!AL216="","",LLM_Data_Entry!AL216)</f>
        <v/>
      </c>
      <c r="T218" s="103">
        <f>IF(LLM_Data_Entry!BA216="","",LLM_Data_Entry!BA216)</f>
        <v/>
      </c>
      <c r="U218" s="103">
        <f>IF(LLM_Data_Entry!BB216="","",LLM_Data_Entry!BB216)</f>
        <v/>
      </c>
      <c r="V218" s="106">
        <f>IF(LLM_Data_Entry!O216="","",LLM_Data_Entry!O216)</f>
        <v/>
      </c>
    </row>
    <row r="219" ht="15" customHeight="1" s="241">
      <c r="A219" s="103">
        <f>IF(LLM_Data_Entry!A217="","",LLM_Data_Entry!A217)</f>
        <v/>
      </c>
      <c r="B219" s="103">
        <f>IF(LLM_Data_Entry!B217="","",LLM_Data_Entry!B217)</f>
        <v/>
      </c>
      <c r="C219" s="104">
        <f>IF(LLM_Data_Entry!C217="","",LLM_Data_Entry!C217)</f>
        <v/>
      </c>
      <c r="D219" s="103">
        <f>IF(LLM_Data_Entry!D217="","",LLM_Data_Entry!D217)</f>
        <v/>
      </c>
      <c r="E219" s="103">
        <f>IF(LLM_Data_Entry!V217="","",LLM_Data_Entry!V217)</f>
        <v/>
      </c>
      <c r="F219" s="103">
        <f>IF(LLM_Data_Entry!AS217="","",LLM_Data_Entry!AS217)</f>
        <v/>
      </c>
      <c r="G219" s="103">
        <f>IF(LLM_Data_Entry!AG217="","",LLM_Data_Entry!AG217)</f>
        <v/>
      </c>
      <c r="H219" s="103">
        <f>IF(LLM_Data_Entry!AT217="","",LLM_Data_Entry!AT217)</f>
        <v/>
      </c>
      <c r="I219" s="103">
        <f>IF(LLM_Data_Entry!AU217="","",LLM_Data_Entry!AU217)</f>
        <v/>
      </c>
      <c r="J219" s="103">
        <f>IF(LLM_Data_Entry!AH217="","",LLM_Data_Entry!AH217)</f>
        <v/>
      </c>
      <c r="K219" s="103">
        <f>IF(LLM_Data_Entry!AI217="","",LLM_Data_Entry!AI217)</f>
        <v/>
      </c>
      <c r="L219" s="103">
        <f>IF(LLM_Data_Entry!AJ217="","",LLM_Data_Entry!AJ217)</f>
        <v/>
      </c>
      <c r="M219" s="103">
        <f>IF(LLM_Data_Entry!AV217="","",LLM_Data_Entry!AV217)</f>
        <v/>
      </c>
      <c r="N219" s="103">
        <f>IF(LLM_Data_Entry!AW217="","",LLM_Data_Entry!AW217)</f>
        <v/>
      </c>
      <c r="O219" s="103">
        <f>IF(LLM_Data_Entry!AX217="","",LLM_Data_Entry!AX217)</f>
        <v/>
      </c>
      <c r="P219" s="103">
        <f>IF(LLM_Data_Entry!AY217="","",LLM_Data_Entry!AY217)</f>
        <v/>
      </c>
      <c r="Q219" s="103">
        <f>IF(LLM_Data_Entry!AZ217="","",LLM_Data_Entry!AZ217)</f>
        <v/>
      </c>
      <c r="R219" s="103">
        <f>IF(LLM_Data_Entry!AK217="","",LLM_Data_Entry!AK217)</f>
        <v/>
      </c>
      <c r="S219" s="103">
        <f>IF(LLM_Data_Entry!AL217="","",LLM_Data_Entry!AL217)</f>
        <v/>
      </c>
      <c r="T219" s="103">
        <f>IF(LLM_Data_Entry!BA217="","",LLM_Data_Entry!BA217)</f>
        <v/>
      </c>
      <c r="U219" s="103">
        <f>IF(LLM_Data_Entry!BB217="","",LLM_Data_Entry!BB217)</f>
        <v/>
      </c>
      <c r="V219" s="106">
        <f>IF(LLM_Data_Entry!O217="","",LLM_Data_Entry!O217)</f>
        <v/>
      </c>
    </row>
    <row r="220" ht="15" customHeight="1" s="241">
      <c r="A220" s="103">
        <f>IF(LLM_Data_Entry!A218="","",LLM_Data_Entry!A218)</f>
        <v/>
      </c>
      <c r="B220" s="103">
        <f>IF(LLM_Data_Entry!B218="","",LLM_Data_Entry!B218)</f>
        <v/>
      </c>
      <c r="C220" s="104">
        <f>IF(LLM_Data_Entry!C218="","",LLM_Data_Entry!C218)</f>
        <v/>
      </c>
      <c r="D220" s="103">
        <f>IF(LLM_Data_Entry!D218="","",LLM_Data_Entry!D218)</f>
        <v/>
      </c>
      <c r="E220" s="103">
        <f>IF(LLM_Data_Entry!V218="","",LLM_Data_Entry!V218)</f>
        <v/>
      </c>
      <c r="F220" s="103">
        <f>IF(LLM_Data_Entry!AS218="","",LLM_Data_Entry!AS218)</f>
        <v/>
      </c>
      <c r="G220" s="103">
        <f>IF(LLM_Data_Entry!AG218="","",LLM_Data_Entry!AG218)</f>
        <v/>
      </c>
      <c r="H220" s="103">
        <f>IF(LLM_Data_Entry!AT218="","",LLM_Data_Entry!AT218)</f>
        <v/>
      </c>
      <c r="I220" s="103">
        <f>IF(LLM_Data_Entry!AU218="","",LLM_Data_Entry!AU218)</f>
        <v/>
      </c>
      <c r="J220" s="103">
        <f>IF(LLM_Data_Entry!AH218="","",LLM_Data_Entry!AH218)</f>
        <v/>
      </c>
      <c r="K220" s="103">
        <f>IF(LLM_Data_Entry!AI218="","",LLM_Data_Entry!AI218)</f>
        <v/>
      </c>
      <c r="L220" s="103">
        <f>IF(LLM_Data_Entry!AJ218="","",LLM_Data_Entry!AJ218)</f>
        <v/>
      </c>
      <c r="M220" s="103">
        <f>IF(LLM_Data_Entry!AV218="","",LLM_Data_Entry!AV218)</f>
        <v/>
      </c>
      <c r="N220" s="103">
        <f>IF(LLM_Data_Entry!AW218="","",LLM_Data_Entry!AW218)</f>
        <v/>
      </c>
      <c r="O220" s="103">
        <f>IF(LLM_Data_Entry!AX218="","",LLM_Data_Entry!AX218)</f>
        <v/>
      </c>
      <c r="P220" s="103">
        <f>IF(LLM_Data_Entry!AY218="","",LLM_Data_Entry!AY218)</f>
        <v/>
      </c>
      <c r="Q220" s="103">
        <f>IF(LLM_Data_Entry!AZ218="","",LLM_Data_Entry!AZ218)</f>
        <v/>
      </c>
      <c r="R220" s="103">
        <f>IF(LLM_Data_Entry!AK218="","",LLM_Data_Entry!AK218)</f>
        <v/>
      </c>
      <c r="S220" s="103">
        <f>IF(LLM_Data_Entry!AL218="","",LLM_Data_Entry!AL218)</f>
        <v/>
      </c>
      <c r="T220" s="103">
        <f>IF(LLM_Data_Entry!BA218="","",LLM_Data_Entry!BA218)</f>
        <v/>
      </c>
      <c r="U220" s="103">
        <f>IF(LLM_Data_Entry!BB218="","",LLM_Data_Entry!BB218)</f>
        <v/>
      </c>
      <c r="V220" s="106">
        <f>IF(LLM_Data_Entry!O218="","",LLM_Data_Entry!O218)</f>
        <v/>
      </c>
    </row>
    <row r="221" ht="15" customHeight="1" s="241">
      <c r="A221" s="103">
        <f>IF(LLM_Data_Entry!A219="","",LLM_Data_Entry!A219)</f>
        <v/>
      </c>
      <c r="B221" s="103">
        <f>IF(LLM_Data_Entry!B219="","",LLM_Data_Entry!B219)</f>
        <v/>
      </c>
      <c r="C221" s="104">
        <f>IF(LLM_Data_Entry!C219="","",LLM_Data_Entry!C219)</f>
        <v/>
      </c>
      <c r="D221" s="103">
        <f>IF(LLM_Data_Entry!D219="","",LLM_Data_Entry!D219)</f>
        <v/>
      </c>
      <c r="E221" s="103">
        <f>IF(LLM_Data_Entry!V219="","",LLM_Data_Entry!V219)</f>
        <v/>
      </c>
      <c r="F221" s="103">
        <f>IF(LLM_Data_Entry!AS219="","",LLM_Data_Entry!AS219)</f>
        <v/>
      </c>
      <c r="G221" s="103">
        <f>IF(LLM_Data_Entry!AG219="","",LLM_Data_Entry!AG219)</f>
        <v/>
      </c>
      <c r="H221" s="103">
        <f>IF(LLM_Data_Entry!AT219="","",LLM_Data_Entry!AT219)</f>
        <v/>
      </c>
      <c r="I221" s="103">
        <f>IF(LLM_Data_Entry!AU219="","",LLM_Data_Entry!AU219)</f>
        <v/>
      </c>
      <c r="J221" s="103">
        <f>IF(LLM_Data_Entry!AH219="","",LLM_Data_Entry!AH219)</f>
        <v/>
      </c>
      <c r="K221" s="103">
        <f>IF(LLM_Data_Entry!AI219="","",LLM_Data_Entry!AI219)</f>
        <v/>
      </c>
      <c r="L221" s="103">
        <f>IF(LLM_Data_Entry!AJ219="","",LLM_Data_Entry!AJ219)</f>
        <v/>
      </c>
      <c r="M221" s="103">
        <f>IF(LLM_Data_Entry!AV219="","",LLM_Data_Entry!AV219)</f>
        <v/>
      </c>
      <c r="N221" s="103">
        <f>IF(LLM_Data_Entry!AW219="","",LLM_Data_Entry!AW219)</f>
        <v/>
      </c>
      <c r="O221" s="103">
        <f>IF(LLM_Data_Entry!AX219="","",LLM_Data_Entry!AX219)</f>
        <v/>
      </c>
      <c r="P221" s="103">
        <f>IF(LLM_Data_Entry!AY219="","",LLM_Data_Entry!AY219)</f>
        <v/>
      </c>
      <c r="Q221" s="103">
        <f>IF(LLM_Data_Entry!AZ219="","",LLM_Data_Entry!AZ219)</f>
        <v/>
      </c>
      <c r="R221" s="103">
        <f>IF(LLM_Data_Entry!AK219="","",LLM_Data_Entry!AK219)</f>
        <v/>
      </c>
      <c r="S221" s="103">
        <f>IF(LLM_Data_Entry!AL219="","",LLM_Data_Entry!AL219)</f>
        <v/>
      </c>
      <c r="T221" s="103">
        <f>IF(LLM_Data_Entry!BA219="","",LLM_Data_Entry!BA219)</f>
        <v/>
      </c>
      <c r="U221" s="103">
        <f>IF(LLM_Data_Entry!BB219="","",LLM_Data_Entry!BB219)</f>
        <v/>
      </c>
      <c r="V221" s="106">
        <f>IF(LLM_Data_Entry!O219="","",LLM_Data_Entry!O219)</f>
        <v/>
      </c>
    </row>
    <row r="222" ht="15" customHeight="1" s="241">
      <c r="A222" s="103">
        <f>IF(LLM_Data_Entry!A220="","",LLM_Data_Entry!A220)</f>
        <v/>
      </c>
      <c r="B222" s="103">
        <f>IF(LLM_Data_Entry!B220="","",LLM_Data_Entry!B220)</f>
        <v/>
      </c>
      <c r="C222" s="104">
        <f>IF(LLM_Data_Entry!C220="","",LLM_Data_Entry!C220)</f>
        <v/>
      </c>
      <c r="D222" s="103">
        <f>IF(LLM_Data_Entry!D220="","",LLM_Data_Entry!D220)</f>
        <v/>
      </c>
      <c r="E222" s="103">
        <f>IF(LLM_Data_Entry!V220="","",LLM_Data_Entry!V220)</f>
        <v/>
      </c>
      <c r="F222" s="103">
        <f>IF(LLM_Data_Entry!AS220="","",LLM_Data_Entry!AS220)</f>
        <v/>
      </c>
      <c r="G222" s="103">
        <f>IF(LLM_Data_Entry!AG220="","",LLM_Data_Entry!AG220)</f>
        <v/>
      </c>
      <c r="H222" s="103">
        <f>IF(LLM_Data_Entry!AT220="","",LLM_Data_Entry!AT220)</f>
        <v/>
      </c>
      <c r="I222" s="103">
        <f>IF(LLM_Data_Entry!AU220="","",LLM_Data_Entry!AU220)</f>
        <v/>
      </c>
      <c r="J222" s="103">
        <f>IF(LLM_Data_Entry!AH220="","",LLM_Data_Entry!AH220)</f>
        <v/>
      </c>
      <c r="K222" s="103">
        <f>IF(LLM_Data_Entry!AI220="","",LLM_Data_Entry!AI220)</f>
        <v/>
      </c>
      <c r="L222" s="103">
        <f>IF(LLM_Data_Entry!AJ220="","",LLM_Data_Entry!AJ220)</f>
        <v/>
      </c>
      <c r="M222" s="103">
        <f>IF(LLM_Data_Entry!AV220="","",LLM_Data_Entry!AV220)</f>
        <v/>
      </c>
      <c r="N222" s="103">
        <f>IF(LLM_Data_Entry!AW220="","",LLM_Data_Entry!AW220)</f>
        <v/>
      </c>
      <c r="O222" s="103">
        <f>IF(LLM_Data_Entry!AX220="","",LLM_Data_Entry!AX220)</f>
        <v/>
      </c>
      <c r="P222" s="103">
        <f>IF(LLM_Data_Entry!AY220="","",LLM_Data_Entry!AY220)</f>
        <v/>
      </c>
      <c r="Q222" s="103">
        <f>IF(LLM_Data_Entry!AZ220="","",LLM_Data_Entry!AZ220)</f>
        <v/>
      </c>
      <c r="R222" s="103">
        <f>IF(LLM_Data_Entry!AK220="","",LLM_Data_Entry!AK220)</f>
        <v/>
      </c>
      <c r="S222" s="103">
        <f>IF(LLM_Data_Entry!AL220="","",LLM_Data_Entry!AL220)</f>
        <v/>
      </c>
      <c r="T222" s="103">
        <f>IF(LLM_Data_Entry!BA220="","",LLM_Data_Entry!BA220)</f>
        <v/>
      </c>
      <c r="U222" s="103">
        <f>IF(LLM_Data_Entry!BB220="","",LLM_Data_Entry!BB220)</f>
        <v/>
      </c>
      <c r="V222" s="106">
        <f>IF(LLM_Data_Entry!O220="","",LLM_Data_Entry!O220)</f>
        <v/>
      </c>
    </row>
    <row r="223" ht="15" customHeight="1" s="241">
      <c r="A223" s="103">
        <f>IF(LLM_Data_Entry!A221="","",LLM_Data_Entry!A221)</f>
        <v/>
      </c>
      <c r="B223" s="103">
        <f>IF(LLM_Data_Entry!B221="","",LLM_Data_Entry!B221)</f>
        <v/>
      </c>
      <c r="C223" s="104">
        <f>IF(LLM_Data_Entry!C221="","",LLM_Data_Entry!C221)</f>
        <v/>
      </c>
      <c r="D223" s="103">
        <f>IF(LLM_Data_Entry!D221="","",LLM_Data_Entry!D221)</f>
        <v/>
      </c>
      <c r="E223" s="103">
        <f>IF(LLM_Data_Entry!V221="","",LLM_Data_Entry!V221)</f>
        <v/>
      </c>
      <c r="F223" s="103">
        <f>IF(LLM_Data_Entry!AS221="","",LLM_Data_Entry!AS221)</f>
        <v/>
      </c>
      <c r="G223" s="103">
        <f>IF(LLM_Data_Entry!AG221="","",LLM_Data_Entry!AG221)</f>
        <v/>
      </c>
      <c r="H223" s="103">
        <f>IF(LLM_Data_Entry!AT221="","",LLM_Data_Entry!AT221)</f>
        <v/>
      </c>
      <c r="I223" s="103">
        <f>IF(LLM_Data_Entry!AU221="","",LLM_Data_Entry!AU221)</f>
        <v/>
      </c>
      <c r="J223" s="103">
        <f>IF(LLM_Data_Entry!AH221="","",LLM_Data_Entry!AH221)</f>
        <v/>
      </c>
      <c r="K223" s="103">
        <f>IF(LLM_Data_Entry!AI221="","",LLM_Data_Entry!AI221)</f>
        <v/>
      </c>
      <c r="L223" s="103">
        <f>IF(LLM_Data_Entry!AJ221="","",LLM_Data_Entry!AJ221)</f>
        <v/>
      </c>
      <c r="M223" s="103">
        <f>IF(LLM_Data_Entry!AV221="","",LLM_Data_Entry!AV221)</f>
        <v/>
      </c>
      <c r="N223" s="103">
        <f>IF(LLM_Data_Entry!AW221="","",LLM_Data_Entry!AW221)</f>
        <v/>
      </c>
      <c r="O223" s="103">
        <f>IF(LLM_Data_Entry!AX221="","",LLM_Data_Entry!AX221)</f>
        <v/>
      </c>
      <c r="P223" s="103">
        <f>IF(LLM_Data_Entry!AY221="","",LLM_Data_Entry!AY221)</f>
        <v/>
      </c>
      <c r="Q223" s="103">
        <f>IF(LLM_Data_Entry!AZ221="","",LLM_Data_Entry!AZ221)</f>
        <v/>
      </c>
      <c r="R223" s="103">
        <f>IF(LLM_Data_Entry!AK221="","",LLM_Data_Entry!AK221)</f>
        <v/>
      </c>
      <c r="S223" s="103">
        <f>IF(LLM_Data_Entry!AL221="","",LLM_Data_Entry!AL221)</f>
        <v/>
      </c>
      <c r="T223" s="103">
        <f>IF(LLM_Data_Entry!BA221="","",LLM_Data_Entry!BA221)</f>
        <v/>
      </c>
      <c r="U223" s="103">
        <f>IF(LLM_Data_Entry!BB221="","",LLM_Data_Entry!BB221)</f>
        <v/>
      </c>
      <c r="V223" s="106">
        <f>IF(LLM_Data_Entry!O221="","",LLM_Data_Entry!O221)</f>
        <v/>
      </c>
    </row>
    <row r="224" ht="15" customHeight="1" s="241">
      <c r="A224" s="103">
        <f>IF(LLM_Data_Entry!A222="","",LLM_Data_Entry!A222)</f>
        <v/>
      </c>
      <c r="B224" s="103">
        <f>IF(LLM_Data_Entry!B222="","",LLM_Data_Entry!B222)</f>
        <v/>
      </c>
      <c r="C224" s="104">
        <f>IF(LLM_Data_Entry!C222="","",LLM_Data_Entry!C222)</f>
        <v/>
      </c>
      <c r="D224" s="103">
        <f>IF(LLM_Data_Entry!D222="","",LLM_Data_Entry!D222)</f>
        <v/>
      </c>
      <c r="E224" s="103">
        <f>IF(LLM_Data_Entry!V222="","",LLM_Data_Entry!V222)</f>
        <v/>
      </c>
      <c r="F224" s="103">
        <f>IF(LLM_Data_Entry!AS222="","",LLM_Data_Entry!AS222)</f>
        <v/>
      </c>
      <c r="G224" s="103">
        <f>IF(LLM_Data_Entry!AG222="","",LLM_Data_Entry!AG222)</f>
        <v/>
      </c>
      <c r="H224" s="103">
        <f>IF(LLM_Data_Entry!AT222="","",LLM_Data_Entry!AT222)</f>
        <v/>
      </c>
      <c r="I224" s="103">
        <f>IF(LLM_Data_Entry!AU222="","",LLM_Data_Entry!AU222)</f>
        <v/>
      </c>
      <c r="J224" s="103">
        <f>IF(LLM_Data_Entry!AH222="","",LLM_Data_Entry!AH222)</f>
        <v/>
      </c>
      <c r="K224" s="103">
        <f>IF(LLM_Data_Entry!AI222="","",LLM_Data_Entry!AI222)</f>
        <v/>
      </c>
      <c r="L224" s="103">
        <f>IF(LLM_Data_Entry!AJ222="","",LLM_Data_Entry!AJ222)</f>
        <v/>
      </c>
      <c r="M224" s="103">
        <f>IF(LLM_Data_Entry!AV222="","",LLM_Data_Entry!AV222)</f>
        <v/>
      </c>
      <c r="N224" s="103">
        <f>IF(LLM_Data_Entry!AW222="","",LLM_Data_Entry!AW222)</f>
        <v/>
      </c>
      <c r="O224" s="103">
        <f>IF(LLM_Data_Entry!AX222="","",LLM_Data_Entry!AX222)</f>
        <v/>
      </c>
      <c r="P224" s="103">
        <f>IF(LLM_Data_Entry!AY222="","",LLM_Data_Entry!AY222)</f>
        <v/>
      </c>
      <c r="Q224" s="103">
        <f>IF(LLM_Data_Entry!AZ222="","",LLM_Data_Entry!AZ222)</f>
        <v/>
      </c>
      <c r="R224" s="103">
        <f>IF(LLM_Data_Entry!AK222="","",LLM_Data_Entry!AK222)</f>
        <v/>
      </c>
      <c r="S224" s="103">
        <f>IF(LLM_Data_Entry!AL222="","",LLM_Data_Entry!AL222)</f>
        <v/>
      </c>
      <c r="T224" s="103">
        <f>IF(LLM_Data_Entry!BA222="","",LLM_Data_Entry!BA222)</f>
        <v/>
      </c>
      <c r="U224" s="103">
        <f>IF(LLM_Data_Entry!BB222="","",LLM_Data_Entry!BB222)</f>
        <v/>
      </c>
      <c r="V224" s="106">
        <f>IF(LLM_Data_Entry!O222="","",LLM_Data_Entry!O222)</f>
        <v/>
      </c>
    </row>
    <row r="225" ht="15" customHeight="1" s="241">
      <c r="A225" s="103">
        <f>IF(LLM_Data_Entry!A223="","",LLM_Data_Entry!A223)</f>
        <v/>
      </c>
      <c r="B225" s="103">
        <f>IF(LLM_Data_Entry!B223="","",LLM_Data_Entry!B223)</f>
        <v/>
      </c>
      <c r="C225" s="104">
        <f>IF(LLM_Data_Entry!C223="","",LLM_Data_Entry!C223)</f>
        <v/>
      </c>
      <c r="D225" s="103">
        <f>IF(LLM_Data_Entry!D223="","",LLM_Data_Entry!D223)</f>
        <v/>
      </c>
      <c r="E225" s="103">
        <f>IF(LLM_Data_Entry!V223="","",LLM_Data_Entry!V223)</f>
        <v/>
      </c>
      <c r="F225" s="103">
        <f>IF(LLM_Data_Entry!AS223="","",LLM_Data_Entry!AS223)</f>
        <v/>
      </c>
      <c r="G225" s="103">
        <f>IF(LLM_Data_Entry!AG223="","",LLM_Data_Entry!AG223)</f>
        <v/>
      </c>
      <c r="H225" s="103">
        <f>IF(LLM_Data_Entry!AT223="","",LLM_Data_Entry!AT223)</f>
        <v/>
      </c>
      <c r="I225" s="103">
        <f>IF(LLM_Data_Entry!AU223="","",LLM_Data_Entry!AU223)</f>
        <v/>
      </c>
      <c r="J225" s="103">
        <f>IF(LLM_Data_Entry!AH223="","",LLM_Data_Entry!AH223)</f>
        <v/>
      </c>
      <c r="K225" s="103">
        <f>IF(LLM_Data_Entry!AI223="","",LLM_Data_Entry!AI223)</f>
        <v/>
      </c>
      <c r="L225" s="103">
        <f>IF(LLM_Data_Entry!AJ223="","",LLM_Data_Entry!AJ223)</f>
        <v/>
      </c>
      <c r="M225" s="103">
        <f>IF(LLM_Data_Entry!AV223="","",LLM_Data_Entry!AV223)</f>
        <v/>
      </c>
      <c r="N225" s="103">
        <f>IF(LLM_Data_Entry!AW223="","",LLM_Data_Entry!AW223)</f>
        <v/>
      </c>
      <c r="O225" s="103">
        <f>IF(LLM_Data_Entry!AX223="","",LLM_Data_Entry!AX223)</f>
        <v/>
      </c>
      <c r="P225" s="103">
        <f>IF(LLM_Data_Entry!AY223="","",LLM_Data_Entry!AY223)</f>
        <v/>
      </c>
      <c r="Q225" s="103">
        <f>IF(LLM_Data_Entry!AZ223="","",LLM_Data_Entry!AZ223)</f>
        <v/>
      </c>
      <c r="R225" s="103">
        <f>IF(LLM_Data_Entry!AK223="","",LLM_Data_Entry!AK223)</f>
        <v/>
      </c>
      <c r="S225" s="103">
        <f>IF(LLM_Data_Entry!AL223="","",LLM_Data_Entry!AL223)</f>
        <v/>
      </c>
      <c r="T225" s="103">
        <f>IF(LLM_Data_Entry!BA223="","",LLM_Data_Entry!BA223)</f>
        <v/>
      </c>
      <c r="U225" s="103">
        <f>IF(LLM_Data_Entry!BB223="","",LLM_Data_Entry!BB223)</f>
        <v/>
      </c>
      <c r="V225" s="106">
        <f>IF(LLM_Data_Entry!O223="","",LLM_Data_Entry!O223)</f>
        <v/>
      </c>
    </row>
    <row r="226" ht="15" customHeight="1" s="241">
      <c r="A226" s="103">
        <f>IF(LLM_Data_Entry!A224="","",LLM_Data_Entry!A224)</f>
        <v/>
      </c>
      <c r="B226" s="103">
        <f>IF(LLM_Data_Entry!B224="","",LLM_Data_Entry!B224)</f>
        <v/>
      </c>
      <c r="C226" s="104">
        <f>IF(LLM_Data_Entry!C224="","",LLM_Data_Entry!C224)</f>
        <v/>
      </c>
      <c r="D226" s="103">
        <f>IF(LLM_Data_Entry!D224="","",LLM_Data_Entry!D224)</f>
        <v/>
      </c>
      <c r="E226" s="103">
        <f>IF(LLM_Data_Entry!V224="","",LLM_Data_Entry!V224)</f>
        <v/>
      </c>
      <c r="F226" s="103">
        <f>IF(LLM_Data_Entry!AS224="","",LLM_Data_Entry!AS224)</f>
        <v/>
      </c>
      <c r="G226" s="103">
        <f>IF(LLM_Data_Entry!AG224="","",LLM_Data_Entry!AG224)</f>
        <v/>
      </c>
      <c r="H226" s="103">
        <f>IF(LLM_Data_Entry!AT224="","",LLM_Data_Entry!AT224)</f>
        <v/>
      </c>
      <c r="I226" s="103">
        <f>IF(LLM_Data_Entry!AU224="","",LLM_Data_Entry!AU224)</f>
        <v/>
      </c>
      <c r="J226" s="103">
        <f>IF(LLM_Data_Entry!AH224="","",LLM_Data_Entry!AH224)</f>
        <v/>
      </c>
      <c r="K226" s="103">
        <f>IF(LLM_Data_Entry!AI224="","",LLM_Data_Entry!AI224)</f>
        <v/>
      </c>
      <c r="L226" s="103">
        <f>IF(LLM_Data_Entry!AJ224="","",LLM_Data_Entry!AJ224)</f>
        <v/>
      </c>
      <c r="M226" s="103">
        <f>IF(LLM_Data_Entry!AV224="","",LLM_Data_Entry!AV224)</f>
        <v/>
      </c>
      <c r="N226" s="103">
        <f>IF(LLM_Data_Entry!AW224="","",LLM_Data_Entry!AW224)</f>
        <v/>
      </c>
      <c r="O226" s="103">
        <f>IF(LLM_Data_Entry!AX224="","",LLM_Data_Entry!AX224)</f>
        <v/>
      </c>
      <c r="P226" s="103">
        <f>IF(LLM_Data_Entry!AY224="","",LLM_Data_Entry!AY224)</f>
        <v/>
      </c>
      <c r="Q226" s="103">
        <f>IF(LLM_Data_Entry!AZ224="","",LLM_Data_Entry!AZ224)</f>
        <v/>
      </c>
      <c r="R226" s="103">
        <f>IF(LLM_Data_Entry!AK224="","",LLM_Data_Entry!AK224)</f>
        <v/>
      </c>
      <c r="S226" s="103">
        <f>IF(LLM_Data_Entry!AL224="","",LLM_Data_Entry!AL224)</f>
        <v/>
      </c>
      <c r="T226" s="103">
        <f>IF(LLM_Data_Entry!BA224="","",LLM_Data_Entry!BA224)</f>
        <v/>
      </c>
      <c r="U226" s="103">
        <f>IF(LLM_Data_Entry!BB224="","",LLM_Data_Entry!BB224)</f>
        <v/>
      </c>
      <c r="V226" s="106">
        <f>IF(LLM_Data_Entry!O224="","",LLM_Data_Entry!O224)</f>
        <v/>
      </c>
    </row>
    <row r="227" ht="15" customHeight="1" s="241">
      <c r="A227" s="103">
        <f>IF(LLM_Data_Entry!A225="","",LLM_Data_Entry!A225)</f>
        <v/>
      </c>
      <c r="B227" s="103">
        <f>IF(LLM_Data_Entry!B225="","",LLM_Data_Entry!B225)</f>
        <v/>
      </c>
      <c r="C227" s="104">
        <f>IF(LLM_Data_Entry!C225="","",LLM_Data_Entry!C225)</f>
        <v/>
      </c>
      <c r="D227" s="103">
        <f>IF(LLM_Data_Entry!D225="","",LLM_Data_Entry!D225)</f>
        <v/>
      </c>
      <c r="E227" s="103">
        <f>IF(LLM_Data_Entry!V225="","",LLM_Data_Entry!V225)</f>
        <v/>
      </c>
      <c r="F227" s="103">
        <f>IF(LLM_Data_Entry!AS225="","",LLM_Data_Entry!AS225)</f>
        <v/>
      </c>
      <c r="G227" s="103">
        <f>IF(LLM_Data_Entry!AG225="","",LLM_Data_Entry!AG225)</f>
        <v/>
      </c>
      <c r="H227" s="103">
        <f>IF(LLM_Data_Entry!AT225="","",LLM_Data_Entry!AT225)</f>
        <v/>
      </c>
      <c r="I227" s="103">
        <f>IF(LLM_Data_Entry!AU225="","",LLM_Data_Entry!AU225)</f>
        <v/>
      </c>
      <c r="J227" s="103">
        <f>IF(LLM_Data_Entry!AH225="","",LLM_Data_Entry!AH225)</f>
        <v/>
      </c>
      <c r="K227" s="103">
        <f>IF(LLM_Data_Entry!AI225="","",LLM_Data_Entry!AI225)</f>
        <v/>
      </c>
      <c r="L227" s="103">
        <f>IF(LLM_Data_Entry!AJ225="","",LLM_Data_Entry!AJ225)</f>
        <v/>
      </c>
      <c r="M227" s="103">
        <f>IF(LLM_Data_Entry!AV225="","",LLM_Data_Entry!AV225)</f>
        <v/>
      </c>
      <c r="N227" s="103">
        <f>IF(LLM_Data_Entry!AW225="","",LLM_Data_Entry!AW225)</f>
        <v/>
      </c>
      <c r="O227" s="103">
        <f>IF(LLM_Data_Entry!AX225="","",LLM_Data_Entry!AX225)</f>
        <v/>
      </c>
      <c r="P227" s="103">
        <f>IF(LLM_Data_Entry!AY225="","",LLM_Data_Entry!AY225)</f>
        <v/>
      </c>
      <c r="Q227" s="103">
        <f>IF(LLM_Data_Entry!AZ225="","",LLM_Data_Entry!AZ225)</f>
        <v/>
      </c>
      <c r="R227" s="103">
        <f>IF(LLM_Data_Entry!AK225="","",LLM_Data_Entry!AK225)</f>
        <v/>
      </c>
      <c r="S227" s="103">
        <f>IF(LLM_Data_Entry!AL225="","",LLM_Data_Entry!AL225)</f>
        <v/>
      </c>
      <c r="T227" s="103">
        <f>IF(LLM_Data_Entry!BA225="","",LLM_Data_Entry!BA225)</f>
        <v/>
      </c>
      <c r="U227" s="103">
        <f>IF(LLM_Data_Entry!BB225="","",LLM_Data_Entry!BB225)</f>
        <v/>
      </c>
      <c r="V227" s="106">
        <f>IF(LLM_Data_Entry!O225="","",LLM_Data_Entry!O225)</f>
        <v/>
      </c>
    </row>
    <row r="228" ht="15" customHeight="1" s="241">
      <c r="A228" s="103">
        <f>IF(LLM_Data_Entry!A226="","",LLM_Data_Entry!A226)</f>
        <v/>
      </c>
      <c r="B228" s="103">
        <f>IF(LLM_Data_Entry!B226="","",LLM_Data_Entry!B226)</f>
        <v/>
      </c>
      <c r="C228" s="104">
        <f>IF(LLM_Data_Entry!C226="","",LLM_Data_Entry!C226)</f>
        <v/>
      </c>
      <c r="D228" s="103">
        <f>IF(LLM_Data_Entry!D226="","",LLM_Data_Entry!D226)</f>
        <v/>
      </c>
      <c r="E228" s="103">
        <f>IF(LLM_Data_Entry!V226="","",LLM_Data_Entry!V226)</f>
        <v/>
      </c>
      <c r="F228" s="103">
        <f>IF(LLM_Data_Entry!AS226="","",LLM_Data_Entry!AS226)</f>
        <v/>
      </c>
      <c r="G228" s="103">
        <f>IF(LLM_Data_Entry!AG226="","",LLM_Data_Entry!AG226)</f>
        <v/>
      </c>
      <c r="H228" s="103">
        <f>IF(LLM_Data_Entry!AT226="","",LLM_Data_Entry!AT226)</f>
        <v/>
      </c>
      <c r="I228" s="103">
        <f>IF(LLM_Data_Entry!AU226="","",LLM_Data_Entry!AU226)</f>
        <v/>
      </c>
      <c r="J228" s="103">
        <f>IF(LLM_Data_Entry!AH226="","",LLM_Data_Entry!AH226)</f>
        <v/>
      </c>
      <c r="K228" s="103">
        <f>IF(LLM_Data_Entry!AI226="","",LLM_Data_Entry!AI226)</f>
        <v/>
      </c>
      <c r="L228" s="103">
        <f>IF(LLM_Data_Entry!AJ226="","",LLM_Data_Entry!AJ226)</f>
        <v/>
      </c>
      <c r="M228" s="103">
        <f>IF(LLM_Data_Entry!AV226="","",LLM_Data_Entry!AV226)</f>
        <v/>
      </c>
      <c r="N228" s="103">
        <f>IF(LLM_Data_Entry!AW226="","",LLM_Data_Entry!AW226)</f>
        <v/>
      </c>
      <c r="O228" s="103">
        <f>IF(LLM_Data_Entry!AX226="","",LLM_Data_Entry!AX226)</f>
        <v/>
      </c>
      <c r="P228" s="103">
        <f>IF(LLM_Data_Entry!AY226="","",LLM_Data_Entry!AY226)</f>
        <v/>
      </c>
      <c r="Q228" s="103">
        <f>IF(LLM_Data_Entry!AZ226="","",LLM_Data_Entry!AZ226)</f>
        <v/>
      </c>
      <c r="R228" s="103">
        <f>IF(LLM_Data_Entry!AK226="","",LLM_Data_Entry!AK226)</f>
        <v/>
      </c>
      <c r="S228" s="103">
        <f>IF(LLM_Data_Entry!AL226="","",LLM_Data_Entry!AL226)</f>
        <v/>
      </c>
      <c r="T228" s="103">
        <f>IF(LLM_Data_Entry!BA226="","",LLM_Data_Entry!BA226)</f>
        <v/>
      </c>
      <c r="U228" s="103">
        <f>IF(LLM_Data_Entry!BB226="","",LLM_Data_Entry!BB226)</f>
        <v/>
      </c>
      <c r="V228" s="106">
        <f>IF(LLM_Data_Entry!O226="","",LLM_Data_Entry!O226)</f>
        <v/>
      </c>
    </row>
    <row r="229" ht="15" customHeight="1" s="241">
      <c r="A229" s="103">
        <f>IF(LLM_Data_Entry!A227="","",LLM_Data_Entry!A227)</f>
        <v/>
      </c>
      <c r="B229" s="103">
        <f>IF(LLM_Data_Entry!B227="","",LLM_Data_Entry!B227)</f>
        <v/>
      </c>
      <c r="C229" s="104">
        <f>IF(LLM_Data_Entry!C227="","",LLM_Data_Entry!C227)</f>
        <v/>
      </c>
      <c r="D229" s="103">
        <f>IF(LLM_Data_Entry!D227="","",LLM_Data_Entry!D227)</f>
        <v/>
      </c>
      <c r="E229" s="103">
        <f>IF(LLM_Data_Entry!V227="","",LLM_Data_Entry!V227)</f>
        <v/>
      </c>
      <c r="F229" s="103">
        <f>IF(LLM_Data_Entry!AS227="","",LLM_Data_Entry!AS227)</f>
        <v/>
      </c>
      <c r="G229" s="103">
        <f>IF(LLM_Data_Entry!AG227="","",LLM_Data_Entry!AG227)</f>
        <v/>
      </c>
      <c r="H229" s="103">
        <f>IF(LLM_Data_Entry!AT227="","",LLM_Data_Entry!AT227)</f>
        <v/>
      </c>
      <c r="I229" s="103">
        <f>IF(LLM_Data_Entry!AU227="","",LLM_Data_Entry!AU227)</f>
        <v/>
      </c>
      <c r="J229" s="103">
        <f>IF(LLM_Data_Entry!AH227="","",LLM_Data_Entry!AH227)</f>
        <v/>
      </c>
      <c r="K229" s="103">
        <f>IF(LLM_Data_Entry!AI227="","",LLM_Data_Entry!AI227)</f>
        <v/>
      </c>
      <c r="L229" s="103">
        <f>IF(LLM_Data_Entry!AJ227="","",LLM_Data_Entry!AJ227)</f>
        <v/>
      </c>
      <c r="M229" s="103">
        <f>IF(LLM_Data_Entry!AV227="","",LLM_Data_Entry!AV227)</f>
        <v/>
      </c>
      <c r="N229" s="103">
        <f>IF(LLM_Data_Entry!AW227="","",LLM_Data_Entry!AW227)</f>
        <v/>
      </c>
      <c r="O229" s="103">
        <f>IF(LLM_Data_Entry!AX227="","",LLM_Data_Entry!AX227)</f>
        <v/>
      </c>
      <c r="P229" s="103">
        <f>IF(LLM_Data_Entry!AY227="","",LLM_Data_Entry!AY227)</f>
        <v/>
      </c>
      <c r="Q229" s="103">
        <f>IF(LLM_Data_Entry!AZ227="","",LLM_Data_Entry!AZ227)</f>
        <v/>
      </c>
      <c r="R229" s="103">
        <f>IF(LLM_Data_Entry!AK227="","",LLM_Data_Entry!AK227)</f>
        <v/>
      </c>
      <c r="S229" s="103">
        <f>IF(LLM_Data_Entry!AL227="","",LLM_Data_Entry!AL227)</f>
        <v/>
      </c>
      <c r="T229" s="103">
        <f>IF(LLM_Data_Entry!BA227="","",LLM_Data_Entry!BA227)</f>
        <v/>
      </c>
      <c r="U229" s="103">
        <f>IF(LLM_Data_Entry!BB227="","",LLM_Data_Entry!BB227)</f>
        <v/>
      </c>
      <c r="V229" s="106">
        <f>IF(LLM_Data_Entry!O227="","",LLM_Data_Entry!O227)</f>
        <v/>
      </c>
    </row>
    <row r="230" ht="15" customHeight="1" s="241">
      <c r="A230" s="103">
        <f>IF(LLM_Data_Entry!A228="","",LLM_Data_Entry!A228)</f>
        <v/>
      </c>
      <c r="B230" s="103">
        <f>IF(LLM_Data_Entry!B228="","",LLM_Data_Entry!B228)</f>
        <v/>
      </c>
      <c r="C230" s="104">
        <f>IF(LLM_Data_Entry!C228="","",LLM_Data_Entry!C228)</f>
        <v/>
      </c>
      <c r="D230" s="103">
        <f>IF(LLM_Data_Entry!D228="","",LLM_Data_Entry!D228)</f>
        <v/>
      </c>
      <c r="E230" s="103">
        <f>IF(LLM_Data_Entry!V228="","",LLM_Data_Entry!V228)</f>
        <v/>
      </c>
      <c r="F230" s="103">
        <f>IF(LLM_Data_Entry!AS228="","",LLM_Data_Entry!AS228)</f>
        <v/>
      </c>
      <c r="G230" s="103">
        <f>IF(LLM_Data_Entry!AG228="","",LLM_Data_Entry!AG228)</f>
        <v/>
      </c>
      <c r="H230" s="103">
        <f>IF(LLM_Data_Entry!AT228="","",LLM_Data_Entry!AT228)</f>
        <v/>
      </c>
      <c r="I230" s="103">
        <f>IF(LLM_Data_Entry!AU228="","",LLM_Data_Entry!AU228)</f>
        <v/>
      </c>
      <c r="J230" s="103">
        <f>IF(LLM_Data_Entry!AH228="","",LLM_Data_Entry!AH228)</f>
        <v/>
      </c>
      <c r="K230" s="103">
        <f>IF(LLM_Data_Entry!AI228="","",LLM_Data_Entry!AI228)</f>
        <v/>
      </c>
      <c r="L230" s="103">
        <f>IF(LLM_Data_Entry!AJ228="","",LLM_Data_Entry!AJ228)</f>
        <v/>
      </c>
      <c r="M230" s="103">
        <f>IF(LLM_Data_Entry!AV228="","",LLM_Data_Entry!AV228)</f>
        <v/>
      </c>
      <c r="N230" s="103">
        <f>IF(LLM_Data_Entry!AW228="","",LLM_Data_Entry!AW228)</f>
        <v/>
      </c>
      <c r="O230" s="103">
        <f>IF(LLM_Data_Entry!AX228="","",LLM_Data_Entry!AX228)</f>
        <v/>
      </c>
      <c r="P230" s="103">
        <f>IF(LLM_Data_Entry!AY228="","",LLM_Data_Entry!AY228)</f>
        <v/>
      </c>
      <c r="Q230" s="103">
        <f>IF(LLM_Data_Entry!AZ228="","",LLM_Data_Entry!AZ228)</f>
        <v/>
      </c>
      <c r="R230" s="103">
        <f>IF(LLM_Data_Entry!AK228="","",LLM_Data_Entry!AK228)</f>
        <v/>
      </c>
      <c r="S230" s="103">
        <f>IF(LLM_Data_Entry!AL228="","",LLM_Data_Entry!AL228)</f>
        <v/>
      </c>
      <c r="T230" s="103">
        <f>IF(LLM_Data_Entry!BA228="","",LLM_Data_Entry!BA228)</f>
        <v/>
      </c>
      <c r="U230" s="103">
        <f>IF(LLM_Data_Entry!BB228="","",LLM_Data_Entry!BB228)</f>
        <v/>
      </c>
      <c r="V230" s="106">
        <f>IF(LLM_Data_Entry!O228="","",LLM_Data_Entry!O228)</f>
        <v/>
      </c>
    </row>
    <row r="231" ht="15" customHeight="1" s="241">
      <c r="A231" s="103">
        <f>IF(LLM_Data_Entry!A229="","",LLM_Data_Entry!A229)</f>
        <v/>
      </c>
      <c r="B231" s="103">
        <f>IF(LLM_Data_Entry!B229="","",LLM_Data_Entry!B229)</f>
        <v/>
      </c>
      <c r="C231" s="104">
        <f>IF(LLM_Data_Entry!C229="","",LLM_Data_Entry!C229)</f>
        <v/>
      </c>
      <c r="D231" s="103">
        <f>IF(LLM_Data_Entry!D229="","",LLM_Data_Entry!D229)</f>
        <v/>
      </c>
      <c r="E231" s="103">
        <f>IF(LLM_Data_Entry!V229="","",LLM_Data_Entry!V229)</f>
        <v/>
      </c>
      <c r="F231" s="103">
        <f>IF(LLM_Data_Entry!AS229="","",LLM_Data_Entry!AS229)</f>
        <v/>
      </c>
      <c r="G231" s="103">
        <f>IF(LLM_Data_Entry!AG229="","",LLM_Data_Entry!AG229)</f>
        <v/>
      </c>
      <c r="H231" s="103">
        <f>IF(LLM_Data_Entry!AT229="","",LLM_Data_Entry!AT229)</f>
        <v/>
      </c>
      <c r="I231" s="103">
        <f>IF(LLM_Data_Entry!AU229="","",LLM_Data_Entry!AU229)</f>
        <v/>
      </c>
      <c r="J231" s="103">
        <f>IF(LLM_Data_Entry!AH229="","",LLM_Data_Entry!AH229)</f>
        <v/>
      </c>
      <c r="K231" s="103">
        <f>IF(LLM_Data_Entry!AI229="","",LLM_Data_Entry!AI229)</f>
        <v/>
      </c>
      <c r="L231" s="103">
        <f>IF(LLM_Data_Entry!AJ229="","",LLM_Data_Entry!AJ229)</f>
        <v/>
      </c>
      <c r="M231" s="103">
        <f>IF(LLM_Data_Entry!AV229="","",LLM_Data_Entry!AV229)</f>
        <v/>
      </c>
      <c r="N231" s="103">
        <f>IF(LLM_Data_Entry!AW229="","",LLM_Data_Entry!AW229)</f>
        <v/>
      </c>
      <c r="O231" s="103">
        <f>IF(LLM_Data_Entry!AX229="","",LLM_Data_Entry!AX229)</f>
        <v/>
      </c>
      <c r="P231" s="103">
        <f>IF(LLM_Data_Entry!AY229="","",LLM_Data_Entry!AY229)</f>
        <v/>
      </c>
      <c r="Q231" s="103">
        <f>IF(LLM_Data_Entry!AZ229="","",LLM_Data_Entry!AZ229)</f>
        <v/>
      </c>
      <c r="R231" s="103">
        <f>IF(LLM_Data_Entry!AK229="","",LLM_Data_Entry!AK229)</f>
        <v/>
      </c>
      <c r="S231" s="103">
        <f>IF(LLM_Data_Entry!AL229="","",LLM_Data_Entry!AL229)</f>
        <v/>
      </c>
      <c r="T231" s="103">
        <f>IF(LLM_Data_Entry!BA229="","",LLM_Data_Entry!BA229)</f>
        <v/>
      </c>
      <c r="U231" s="103">
        <f>IF(LLM_Data_Entry!BB229="","",LLM_Data_Entry!BB229)</f>
        <v/>
      </c>
      <c r="V231" s="106">
        <f>IF(LLM_Data_Entry!O229="","",LLM_Data_Entry!O229)</f>
        <v/>
      </c>
    </row>
    <row r="232" ht="15" customHeight="1" s="241">
      <c r="A232" s="103">
        <f>IF(LLM_Data_Entry!A230="","",LLM_Data_Entry!A230)</f>
        <v/>
      </c>
      <c r="B232" s="103">
        <f>IF(LLM_Data_Entry!B230="","",LLM_Data_Entry!B230)</f>
        <v/>
      </c>
      <c r="C232" s="104">
        <f>IF(LLM_Data_Entry!C230="","",LLM_Data_Entry!C230)</f>
        <v/>
      </c>
      <c r="D232" s="103">
        <f>IF(LLM_Data_Entry!D230="","",LLM_Data_Entry!D230)</f>
        <v/>
      </c>
      <c r="E232" s="103">
        <f>IF(LLM_Data_Entry!V230="","",LLM_Data_Entry!V230)</f>
        <v/>
      </c>
      <c r="F232" s="103">
        <f>IF(LLM_Data_Entry!AS230="","",LLM_Data_Entry!AS230)</f>
        <v/>
      </c>
      <c r="G232" s="103">
        <f>IF(LLM_Data_Entry!AG230="","",LLM_Data_Entry!AG230)</f>
        <v/>
      </c>
      <c r="H232" s="103">
        <f>IF(LLM_Data_Entry!AT230="","",LLM_Data_Entry!AT230)</f>
        <v/>
      </c>
      <c r="I232" s="103">
        <f>IF(LLM_Data_Entry!AU230="","",LLM_Data_Entry!AU230)</f>
        <v/>
      </c>
      <c r="J232" s="103">
        <f>IF(LLM_Data_Entry!AH230="","",LLM_Data_Entry!AH230)</f>
        <v/>
      </c>
      <c r="K232" s="103">
        <f>IF(LLM_Data_Entry!AI230="","",LLM_Data_Entry!AI230)</f>
        <v/>
      </c>
      <c r="L232" s="103">
        <f>IF(LLM_Data_Entry!AJ230="","",LLM_Data_Entry!AJ230)</f>
        <v/>
      </c>
      <c r="M232" s="103">
        <f>IF(LLM_Data_Entry!AV230="","",LLM_Data_Entry!AV230)</f>
        <v/>
      </c>
      <c r="N232" s="103">
        <f>IF(LLM_Data_Entry!AW230="","",LLM_Data_Entry!AW230)</f>
        <v/>
      </c>
      <c r="O232" s="103">
        <f>IF(LLM_Data_Entry!AX230="","",LLM_Data_Entry!AX230)</f>
        <v/>
      </c>
      <c r="P232" s="103">
        <f>IF(LLM_Data_Entry!AY230="","",LLM_Data_Entry!AY230)</f>
        <v/>
      </c>
      <c r="Q232" s="103">
        <f>IF(LLM_Data_Entry!AZ230="","",LLM_Data_Entry!AZ230)</f>
        <v/>
      </c>
      <c r="R232" s="103">
        <f>IF(LLM_Data_Entry!AK230="","",LLM_Data_Entry!AK230)</f>
        <v/>
      </c>
      <c r="S232" s="103">
        <f>IF(LLM_Data_Entry!AL230="","",LLM_Data_Entry!AL230)</f>
        <v/>
      </c>
      <c r="T232" s="103">
        <f>IF(LLM_Data_Entry!BA230="","",LLM_Data_Entry!BA230)</f>
        <v/>
      </c>
      <c r="U232" s="103">
        <f>IF(LLM_Data_Entry!BB230="","",LLM_Data_Entry!BB230)</f>
        <v/>
      </c>
      <c r="V232" s="106">
        <f>IF(LLM_Data_Entry!O230="","",LLM_Data_Entry!O230)</f>
        <v/>
      </c>
    </row>
    <row r="233" ht="15" customHeight="1" s="241">
      <c r="A233" s="103">
        <f>IF(LLM_Data_Entry!A231="","",LLM_Data_Entry!A231)</f>
        <v/>
      </c>
      <c r="B233" s="103">
        <f>IF(LLM_Data_Entry!B231="","",LLM_Data_Entry!B231)</f>
        <v/>
      </c>
      <c r="C233" s="104">
        <f>IF(LLM_Data_Entry!C231="","",LLM_Data_Entry!C231)</f>
        <v/>
      </c>
      <c r="D233" s="103">
        <f>IF(LLM_Data_Entry!D231="","",LLM_Data_Entry!D231)</f>
        <v/>
      </c>
      <c r="E233" s="103">
        <f>IF(LLM_Data_Entry!V231="","",LLM_Data_Entry!V231)</f>
        <v/>
      </c>
      <c r="F233" s="103">
        <f>IF(LLM_Data_Entry!AS231="","",LLM_Data_Entry!AS231)</f>
        <v/>
      </c>
      <c r="G233" s="103">
        <f>IF(LLM_Data_Entry!AG231="","",LLM_Data_Entry!AG231)</f>
        <v/>
      </c>
      <c r="H233" s="103">
        <f>IF(LLM_Data_Entry!AT231="","",LLM_Data_Entry!AT231)</f>
        <v/>
      </c>
      <c r="I233" s="103">
        <f>IF(LLM_Data_Entry!AU231="","",LLM_Data_Entry!AU231)</f>
        <v/>
      </c>
      <c r="J233" s="103">
        <f>IF(LLM_Data_Entry!AH231="","",LLM_Data_Entry!AH231)</f>
        <v/>
      </c>
      <c r="K233" s="103">
        <f>IF(LLM_Data_Entry!AI231="","",LLM_Data_Entry!AI231)</f>
        <v/>
      </c>
      <c r="L233" s="103">
        <f>IF(LLM_Data_Entry!AJ231="","",LLM_Data_Entry!AJ231)</f>
        <v/>
      </c>
      <c r="M233" s="103">
        <f>IF(LLM_Data_Entry!AV231="","",LLM_Data_Entry!AV231)</f>
        <v/>
      </c>
      <c r="N233" s="103">
        <f>IF(LLM_Data_Entry!AW231="","",LLM_Data_Entry!AW231)</f>
        <v/>
      </c>
      <c r="O233" s="103">
        <f>IF(LLM_Data_Entry!AX231="","",LLM_Data_Entry!AX231)</f>
        <v/>
      </c>
      <c r="P233" s="103">
        <f>IF(LLM_Data_Entry!AY231="","",LLM_Data_Entry!AY231)</f>
        <v/>
      </c>
      <c r="Q233" s="103">
        <f>IF(LLM_Data_Entry!AZ231="","",LLM_Data_Entry!AZ231)</f>
        <v/>
      </c>
      <c r="R233" s="103">
        <f>IF(LLM_Data_Entry!AK231="","",LLM_Data_Entry!AK231)</f>
        <v/>
      </c>
      <c r="S233" s="103">
        <f>IF(LLM_Data_Entry!AL231="","",LLM_Data_Entry!AL231)</f>
        <v/>
      </c>
      <c r="T233" s="103">
        <f>IF(LLM_Data_Entry!BA231="","",LLM_Data_Entry!BA231)</f>
        <v/>
      </c>
      <c r="U233" s="103">
        <f>IF(LLM_Data_Entry!BB231="","",LLM_Data_Entry!BB231)</f>
        <v/>
      </c>
      <c r="V233" s="106">
        <f>IF(LLM_Data_Entry!O231="","",LLM_Data_Entry!O231)</f>
        <v/>
      </c>
    </row>
    <row r="234" ht="15" customHeight="1" s="241">
      <c r="A234" s="103">
        <f>IF(LLM_Data_Entry!A232="","",LLM_Data_Entry!A232)</f>
        <v/>
      </c>
      <c r="B234" s="103">
        <f>IF(LLM_Data_Entry!B232="","",LLM_Data_Entry!B232)</f>
        <v/>
      </c>
      <c r="C234" s="104">
        <f>IF(LLM_Data_Entry!C232="","",LLM_Data_Entry!C232)</f>
        <v/>
      </c>
      <c r="D234" s="103">
        <f>IF(LLM_Data_Entry!D232="","",LLM_Data_Entry!D232)</f>
        <v/>
      </c>
      <c r="E234" s="103">
        <f>IF(LLM_Data_Entry!V232="","",LLM_Data_Entry!V232)</f>
        <v/>
      </c>
      <c r="F234" s="103">
        <f>IF(LLM_Data_Entry!AS232="","",LLM_Data_Entry!AS232)</f>
        <v/>
      </c>
      <c r="G234" s="103">
        <f>IF(LLM_Data_Entry!AG232="","",LLM_Data_Entry!AG232)</f>
        <v/>
      </c>
      <c r="H234" s="103">
        <f>IF(LLM_Data_Entry!AT232="","",LLM_Data_Entry!AT232)</f>
        <v/>
      </c>
      <c r="I234" s="103">
        <f>IF(LLM_Data_Entry!AU232="","",LLM_Data_Entry!AU232)</f>
        <v/>
      </c>
      <c r="J234" s="103">
        <f>IF(LLM_Data_Entry!AH232="","",LLM_Data_Entry!AH232)</f>
        <v/>
      </c>
      <c r="K234" s="103">
        <f>IF(LLM_Data_Entry!AI232="","",LLM_Data_Entry!AI232)</f>
        <v/>
      </c>
      <c r="L234" s="103">
        <f>IF(LLM_Data_Entry!AJ232="","",LLM_Data_Entry!AJ232)</f>
        <v/>
      </c>
      <c r="M234" s="103">
        <f>IF(LLM_Data_Entry!AV232="","",LLM_Data_Entry!AV232)</f>
        <v/>
      </c>
      <c r="N234" s="103">
        <f>IF(LLM_Data_Entry!AW232="","",LLM_Data_Entry!AW232)</f>
        <v/>
      </c>
      <c r="O234" s="103">
        <f>IF(LLM_Data_Entry!AX232="","",LLM_Data_Entry!AX232)</f>
        <v/>
      </c>
      <c r="P234" s="103">
        <f>IF(LLM_Data_Entry!AY232="","",LLM_Data_Entry!AY232)</f>
        <v/>
      </c>
      <c r="Q234" s="103">
        <f>IF(LLM_Data_Entry!AZ232="","",LLM_Data_Entry!AZ232)</f>
        <v/>
      </c>
      <c r="R234" s="103">
        <f>IF(LLM_Data_Entry!AK232="","",LLM_Data_Entry!AK232)</f>
        <v/>
      </c>
      <c r="S234" s="103">
        <f>IF(LLM_Data_Entry!AL232="","",LLM_Data_Entry!AL232)</f>
        <v/>
      </c>
      <c r="T234" s="103">
        <f>IF(LLM_Data_Entry!BA232="","",LLM_Data_Entry!BA232)</f>
        <v/>
      </c>
      <c r="U234" s="103">
        <f>IF(LLM_Data_Entry!BB232="","",LLM_Data_Entry!BB232)</f>
        <v/>
      </c>
      <c r="V234" s="106">
        <f>IF(LLM_Data_Entry!O232="","",LLM_Data_Entry!O232)</f>
        <v/>
      </c>
    </row>
    <row r="235" ht="15" customHeight="1" s="241">
      <c r="A235" s="103">
        <f>IF(LLM_Data_Entry!A233="","",LLM_Data_Entry!A233)</f>
        <v/>
      </c>
      <c r="B235" s="103">
        <f>IF(LLM_Data_Entry!B233="","",LLM_Data_Entry!B233)</f>
        <v/>
      </c>
      <c r="C235" s="104">
        <f>IF(LLM_Data_Entry!C233="","",LLM_Data_Entry!C233)</f>
        <v/>
      </c>
      <c r="D235" s="103">
        <f>IF(LLM_Data_Entry!D233="","",LLM_Data_Entry!D233)</f>
        <v/>
      </c>
      <c r="E235" s="103">
        <f>IF(LLM_Data_Entry!V233="","",LLM_Data_Entry!V233)</f>
        <v/>
      </c>
      <c r="F235" s="103">
        <f>IF(LLM_Data_Entry!AS233="","",LLM_Data_Entry!AS233)</f>
        <v/>
      </c>
      <c r="G235" s="103">
        <f>IF(LLM_Data_Entry!AG233="","",LLM_Data_Entry!AG233)</f>
        <v/>
      </c>
      <c r="H235" s="103">
        <f>IF(LLM_Data_Entry!AT233="","",LLM_Data_Entry!AT233)</f>
        <v/>
      </c>
      <c r="I235" s="103">
        <f>IF(LLM_Data_Entry!AU233="","",LLM_Data_Entry!AU233)</f>
        <v/>
      </c>
      <c r="J235" s="103">
        <f>IF(LLM_Data_Entry!AH233="","",LLM_Data_Entry!AH233)</f>
        <v/>
      </c>
      <c r="K235" s="103">
        <f>IF(LLM_Data_Entry!AI233="","",LLM_Data_Entry!AI233)</f>
        <v/>
      </c>
      <c r="L235" s="103">
        <f>IF(LLM_Data_Entry!AJ233="","",LLM_Data_Entry!AJ233)</f>
        <v/>
      </c>
      <c r="M235" s="103">
        <f>IF(LLM_Data_Entry!AV233="","",LLM_Data_Entry!AV233)</f>
        <v/>
      </c>
      <c r="N235" s="103">
        <f>IF(LLM_Data_Entry!AW233="","",LLM_Data_Entry!AW233)</f>
        <v/>
      </c>
      <c r="O235" s="103">
        <f>IF(LLM_Data_Entry!AX233="","",LLM_Data_Entry!AX233)</f>
        <v/>
      </c>
      <c r="P235" s="103">
        <f>IF(LLM_Data_Entry!AY233="","",LLM_Data_Entry!AY233)</f>
        <v/>
      </c>
      <c r="Q235" s="103">
        <f>IF(LLM_Data_Entry!AZ233="","",LLM_Data_Entry!AZ233)</f>
        <v/>
      </c>
      <c r="R235" s="103">
        <f>IF(LLM_Data_Entry!AK233="","",LLM_Data_Entry!AK233)</f>
        <v/>
      </c>
      <c r="S235" s="103">
        <f>IF(LLM_Data_Entry!AL233="","",LLM_Data_Entry!AL233)</f>
        <v/>
      </c>
      <c r="T235" s="103">
        <f>IF(LLM_Data_Entry!BA233="","",LLM_Data_Entry!BA233)</f>
        <v/>
      </c>
      <c r="U235" s="103">
        <f>IF(LLM_Data_Entry!BB233="","",LLM_Data_Entry!BB233)</f>
        <v/>
      </c>
      <c r="V235" s="106">
        <f>IF(LLM_Data_Entry!O233="","",LLM_Data_Entry!O233)</f>
        <v/>
      </c>
    </row>
    <row r="236" ht="15" customHeight="1" s="241">
      <c r="A236" s="103">
        <f>IF(LLM_Data_Entry!A234="","",LLM_Data_Entry!A234)</f>
        <v/>
      </c>
      <c r="B236" s="103">
        <f>IF(LLM_Data_Entry!B234="","",LLM_Data_Entry!B234)</f>
        <v/>
      </c>
      <c r="C236" s="104">
        <f>IF(LLM_Data_Entry!C234="","",LLM_Data_Entry!C234)</f>
        <v/>
      </c>
      <c r="D236" s="103">
        <f>IF(LLM_Data_Entry!D234="","",LLM_Data_Entry!D234)</f>
        <v/>
      </c>
      <c r="E236" s="103">
        <f>IF(LLM_Data_Entry!V234="","",LLM_Data_Entry!V234)</f>
        <v/>
      </c>
      <c r="F236" s="103">
        <f>IF(LLM_Data_Entry!AS234="","",LLM_Data_Entry!AS234)</f>
        <v/>
      </c>
      <c r="G236" s="103">
        <f>IF(LLM_Data_Entry!AG234="","",LLM_Data_Entry!AG234)</f>
        <v/>
      </c>
      <c r="H236" s="103">
        <f>IF(LLM_Data_Entry!AT234="","",LLM_Data_Entry!AT234)</f>
        <v/>
      </c>
      <c r="I236" s="103">
        <f>IF(LLM_Data_Entry!AU234="","",LLM_Data_Entry!AU234)</f>
        <v/>
      </c>
      <c r="J236" s="103">
        <f>IF(LLM_Data_Entry!AH234="","",LLM_Data_Entry!AH234)</f>
        <v/>
      </c>
      <c r="K236" s="103">
        <f>IF(LLM_Data_Entry!AI234="","",LLM_Data_Entry!AI234)</f>
        <v/>
      </c>
      <c r="L236" s="103">
        <f>IF(LLM_Data_Entry!AJ234="","",LLM_Data_Entry!AJ234)</f>
        <v/>
      </c>
      <c r="M236" s="103">
        <f>IF(LLM_Data_Entry!AV234="","",LLM_Data_Entry!AV234)</f>
        <v/>
      </c>
      <c r="N236" s="103">
        <f>IF(LLM_Data_Entry!AW234="","",LLM_Data_Entry!AW234)</f>
        <v/>
      </c>
      <c r="O236" s="103">
        <f>IF(LLM_Data_Entry!AX234="","",LLM_Data_Entry!AX234)</f>
        <v/>
      </c>
      <c r="P236" s="103">
        <f>IF(LLM_Data_Entry!AY234="","",LLM_Data_Entry!AY234)</f>
        <v/>
      </c>
      <c r="Q236" s="103">
        <f>IF(LLM_Data_Entry!AZ234="","",LLM_Data_Entry!AZ234)</f>
        <v/>
      </c>
      <c r="R236" s="103">
        <f>IF(LLM_Data_Entry!AK234="","",LLM_Data_Entry!AK234)</f>
        <v/>
      </c>
      <c r="S236" s="103">
        <f>IF(LLM_Data_Entry!AL234="","",LLM_Data_Entry!AL234)</f>
        <v/>
      </c>
      <c r="T236" s="103">
        <f>IF(LLM_Data_Entry!BA234="","",LLM_Data_Entry!BA234)</f>
        <v/>
      </c>
      <c r="U236" s="103">
        <f>IF(LLM_Data_Entry!BB234="","",LLM_Data_Entry!BB234)</f>
        <v/>
      </c>
      <c r="V236" s="106">
        <f>IF(LLM_Data_Entry!O234="","",LLM_Data_Entry!O234)</f>
        <v/>
      </c>
    </row>
    <row r="237" ht="15" customHeight="1" s="241">
      <c r="A237" s="103">
        <f>IF(LLM_Data_Entry!A235="","",LLM_Data_Entry!A235)</f>
        <v/>
      </c>
      <c r="B237" s="103">
        <f>IF(LLM_Data_Entry!B235="","",LLM_Data_Entry!B235)</f>
        <v/>
      </c>
      <c r="C237" s="104">
        <f>IF(LLM_Data_Entry!C235="","",LLM_Data_Entry!C235)</f>
        <v/>
      </c>
      <c r="D237" s="103">
        <f>IF(LLM_Data_Entry!D235="","",LLM_Data_Entry!D235)</f>
        <v/>
      </c>
      <c r="E237" s="103">
        <f>IF(LLM_Data_Entry!V235="","",LLM_Data_Entry!V235)</f>
        <v/>
      </c>
      <c r="F237" s="103">
        <f>IF(LLM_Data_Entry!AS235="","",LLM_Data_Entry!AS235)</f>
        <v/>
      </c>
      <c r="G237" s="103">
        <f>IF(LLM_Data_Entry!AG235="","",LLM_Data_Entry!AG235)</f>
        <v/>
      </c>
      <c r="H237" s="103">
        <f>IF(LLM_Data_Entry!AT235="","",LLM_Data_Entry!AT235)</f>
        <v/>
      </c>
      <c r="I237" s="103">
        <f>IF(LLM_Data_Entry!AU235="","",LLM_Data_Entry!AU235)</f>
        <v/>
      </c>
      <c r="J237" s="103">
        <f>IF(LLM_Data_Entry!AH235="","",LLM_Data_Entry!AH235)</f>
        <v/>
      </c>
      <c r="K237" s="103">
        <f>IF(LLM_Data_Entry!AI235="","",LLM_Data_Entry!AI235)</f>
        <v/>
      </c>
      <c r="L237" s="103">
        <f>IF(LLM_Data_Entry!AJ235="","",LLM_Data_Entry!AJ235)</f>
        <v/>
      </c>
      <c r="M237" s="103">
        <f>IF(LLM_Data_Entry!AV235="","",LLM_Data_Entry!AV235)</f>
        <v/>
      </c>
      <c r="N237" s="103">
        <f>IF(LLM_Data_Entry!AW235="","",LLM_Data_Entry!AW235)</f>
        <v/>
      </c>
      <c r="O237" s="103">
        <f>IF(LLM_Data_Entry!AX235="","",LLM_Data_Entry!AX235)</f>
        <v/>
      </c>
      <c r="P237" s="103">
        <f>IF(LLM_Data_Entry!AY235="","",LLM_Data_Entry!AY235)</f>
        <v/>
      </c>
      <c r="Q237" s="103">
        <f>IF(LLM_Data_Entry!AZ235="","",LLM_Data_Entry!AZ235)</f>
        <v/>
      </c>
      <c r="R237" s="103">
        <f>IF(LLM_Data_Entry!AK235="","",LLM_Data_Entry!AK235)</f>
        <v/>
      </c>
      <c r="S237" s="103">
        <f>IF(LLM_Data_Entry!AL235="","",LLM_Data_Entry!AL235)</f>
        <v/>
      </c>
      <c r="T237" s="103">
        <f>IF(LLM_Data_Entry!BA235="","",LLM_Data_Entry!BA235)</f>
        <v/>
      </c>
      <c r="U237" s="103">
        <f>IF(LLM_Data_Entry!BB235="","",LLM_Data_Entry!BB235)</f>
        <v/>
      </c>
      <c r="V237" s="106">
        <f>IF(LLM_Data_Entry!O235="","",LLM_Data_Entry!O235)</f>
        <v/>
      </c>
    </row>
    <row r="238" ht="15" customHeight="1" s="241">
      <c r="A238" s="103">
        <f>IF(LLM_Data_Entry!A236="","",LLM_Data_Entry!A236)</f>
        <v/>
      </c>
      <c r="B238" s="103">
        <f>IF(LLM_Data_Entry!B236="","",LLM_Data_Entry!B236)</f>
        <v/>
      </c>
      <c r="C238" s="104">
        <f>IF(LLM_Data_Entry!C236="","",LLM_Data_Entry!C236)</f>
        <v/>
      </c>
      <c r="D238" s="103">
        <f>IF(LLM_Data_Entry!D236="","",LLM_Data_Entry!D236)</f>
        <v/>
      </c>
      <c r="E238" s="103">
        <f>IF(LLM_Data_Entry!V236="","",LLM_Data_Entry!V236)</f>
        <v/>
      </c>
      <c r="F238" s="103">
        <f>IF(LLM_Data_Entry!AS236="","",LLM_Data_Entry!AS236)</f>
        <v/>
      </c>
      <c r="G238" s="103">
        <f>IF(LLM_Data_Entry!AG236="","",LLM_Data_Entry!AG236)</f>
        <v/>
      </c>
      <c r="H238" s="103">
        <f>IF(LLM_Data_Entry!AT236="","",LLM_Data_Entry!AT236)</f>
        <v/>
      </c>
      <c r="I238" s="103">
        <f>IF(LLM_Data_Entry!AU236="","",LLM_Data_Entry!AU236)</f>
        <v/>
      </c>
      <c r="J238" s="103">
        <f>IF(LLM_Data_Entry!AH236="","",LLM_Data_Entry!AH236)</f>
        <v/>
      </c>
      <c r="K238" s="103">
        <f>IF(LLM_Data_Entry!AI236="","",LLM_Data_Entry!AI236)</f>
        <v/>
      </c>
      <c r="L238" s="103">
        <f>IF(LLM_Data_Entry!AJ236="","",LLM_Data_Entry!AJ236)</f>
        <v/>
      </c>
      <c r="M238" s="103">
        <f>IF(LLM_Data_Entry!AV236="","",LLM_Data_Entry!AV236)</f>
        <v/>
      </c>
      <c r="N238" s="103">
        <f>IF(LLM_Data_Entry!AW236="","",LLM_Data_Entry!AW236)</f>
        <v/>
      </c>
      <c r="O238" s="103">
        <f>IF(LLM_Data_Entry!AX236="","",LLM_Data_Entry!AX236)</f>
        <v/>
      </c>
      <c r="P238" s="103">
        <f>IF(LLM_Data_Entry!AY236="","",LLM_Data_Entry!AY236)</f>
        <v/>
      </c>
      <c r="Q238" s="103">
        <f>IF(LLM_Data_Entry!AZ236="","",LLM_Data_Entry!AZ236)</f>
        <v/>
      </c>
      <c r="R238" s="103">
        <f>IF(LLM_Data_Entry!AK236="","",LLM_Data_Entry!AK236)</f>
        <v/>
      </c>
      <c r="S238" s="103">
        <f>IF(LLM_Data_Entry!AL236="","",LLM_Data_Entry!AL236)</f>
        <v/>
      </c>
      <c r="T238" s="103">
        <f>IF(LLM_Data_Entry!BA236="","",LLM_Data_Entry!BA236)</f>
        <v/>
      </c>
      <c r="U238" s="103">
        <f>IF(LLM_Data_Entry!BB236="","",LLM_Data_Entry!BB236)</f>
        <v/>
      </c>
      <c r="V238" s="106">
        <f>IF(LLM_Data_Entry!O236="","",LLM_Data_Entry!O236)</f>
        <v/>
      </c>
    </row>
    <row r="239" ht="15" customHeight="1" s="241">
      <c r="A239" s="103">
        <f>IF(LLM_Data_Entry!A237="","",LLM_Data_Entry!A237)</f>
        <v/>
      </c>
      <c r="B239" s="103">
        <f>IF(LLM_Data_Entry!B237="","",LLM_Data_Entry!B237)</f>
        <v/>
      </c>
      <c r="C239" s="104">
        <f>IF(LLM_Data_Entry!C237="","",LLM_Data_Entry!C237)</f>
        <v/>
      </c>
      <c r="D239" s="103">
        <f>IF(LLM_Data_Entry!D237="","",LLM_Data_Entry!D237)</f>
        <v/>
      </c>
      <c r="E239" s="103">
        <f>IF(LLM_Data_Entry!V237="","",LLM_Data_Entry!V237)</f>
        <v/>
      </c>
      <c r="F239" s="103">
        <f>IF(LLM_Data_Entry!AS237="","",LLM_Data_Entry!AS237)</f>
        <v/>
      </c>
      <c r="G239" s="103">
        <f>IF(LLM_Data_Entry!AG237="","",LLM_Data_Entry!AG237)</f>
        <v/>
      </c>
      <c r="H239" s="103">
        <f>IF(LLM_Data_Entry!AT237="","",LLM_Data_Entry!AT237)</f>
        <v/>
      </c>
      <c r="I239" s="103">
        <f>IF(LLM_Data_Entry!AU237="","",LLM_Data_Entry!AU237)</f>
        <v/>
      </c>
      <c r="J239" s="103">
        <f>IF(LLM_Data_Entry!AH237="","",LLM_Data_Entry!AH237)</f>
        <v/>
      </c>
      <c r="K239" s="103">
        <f>IF(LLM_Data_Entry!AI237="","",LLM_Data_Entry!AI237)</f>
        <v/>
      </c>
      <c r="L239" s="103">
        <f>IF(LLM_Data_Entry!AJ237="","",LLM_Data_Entry!AJ237)</f>
        <v/>
      </c>
      <c r="M239" s="103">
        <f>IF(LLM_Data_Entry!AV237="","",LLM_Data_Entry!AV237)</f>
        <v/>
      </c>
      <c r="N239" s="103">
        <f>IF(LLM_Data_Entry!AW237="","",LLM_Data_Entry!AW237)</f>
        <v/>
      </c>
      <c r="O239" s="103">
        <f>IF(LLM_Data_Entry!AX237="","",LLM_Data_Entry!AX237)</f>
        <v/>
      </c>
      <c r="P239" s="103">
        <f>IF(LLM_Data_Entry!AY237="","",LLM_Data_Entry!AY237)</f>
        <v/>
      </c>
      <c r="Q239" s="103">
        <f>IF(LLM_Data_Entry!AZ237="","",LLM_Data_Entry!AZ237)</f>
        <v/>
      </c>
      <c r="R239" s="103">
        <f>IF(LLM_Data_Entry!AK237="","",LLM_Data_Entry!AK237)</f>
        <v/>
      </c>
      <c r="S239" s="103">
        <f>IF(LLM_Data_Entry!AL237="","",LLM_Data_Entry!AL237)</f>
        <v/>
      </c>
      <c r="T239" s="103">
        <f>IF(LLM_Data_Entry!BA237="","",LLM_Data_Entry!BA237)</f>
        <v/>
      </c>
      <c r="U239" s="103">
        <f>IF(LLM_Data_Entry!BB237="","",LLM_Data_Entry!BB237)</f>
        <v/>
      </c>
      <c r="V239" s="106">
        <f>IF(LLM_Data_Entry!O237="","",LLM_Data_Entry!O237)</f>
        <v/>
      </c>
    </row>
    <row r="240" ht="15" customHeight="1" s="241">
      <c r="A240" s="103">
        <f>IF(LLM_Data_Entry!A238="","",LLM_Data_Entry!A238)</f>
        <v/>
      </c>
      <c r="B240" s="103">
        <f>IF(LLM_Data_Entry!B238="","",LLM_Data_Entry!B238)</f>
        <v/>
      </c>
      <c r="C240" s="104">
        <f>IF(LLM_Data_Entry!C238="","",LLM_Data_Entry!C238)</f>
        <v/>
      </c>
      <c r="D240" s="103">
        <f>IF(LLM_Data_Entry!D238="","",LLM_Data_Entry!D238)</f>
        <v/>
      </c>
      <c r="E240" s="103">
        <f>IF(LLM_Data_Entry!V238="","",LLM_Data_Entry!V238)</f>
        <v/>
      </c>
      <c r="F240" s="103">
        <f>IF(LLM_Data_Entry!AS238="","",LLM_Data_Entry!AS238)</f>
        <v/>
      </c>
      <c r="G240" s="103">
        <f>IF(LLM_Data_Entry!AG238="","",LLM_Data_Entry!AG238)</f>
        <v/>
      </c>
      <c r="H240" s="103">
        <f>IF(LLM_Data_Entry!AT238="","",LLM_Data_Entry!AT238)</f>
        <v/>
      </c>
      <c r="I240" s="103">
        <f>IF(LLM_Data_Entry!AU238="","",LLM_Data_Entry!AU238)</f>
        <v/>
      </c>
      <c r="J240" s="103">
        <f>IF(LLM_Data_Entry!AH238="","",LLM_Data_Entry!AH238)</f>
        <v/>
      </c>
      <c r="K240" s="103">
        <f>IF(LLM_Data_Entry!AI238="","",LLM_Data_Entry!AI238)</f>
        <v/>
      </c>
      <c r="L240" s="103">
        <f>IF(LLM_Data_Entry!AJ238="","",LLM_Data_Entry!AJ238)</f>
        <v/>
      </c>
      <c r="M240" s="103">
        <f>IF(LLM_Data_Entry!AV238="","",LLM_Data_Entry!AV238)</f>
        <v/>
      </c>
      <c r="N240" s="103">
        <f>IF(LLM_Data_Entry!AW238="","",LLM_Data_Entry!AW238)</f>
        <v/>
      </c>
      <c r="O240" s="103">
        <f>IF(LLM_Data_Entry!AX238="","",LLM_Data_Entry!AX238)</f>
        <v/>
      </c>
      <c r="P240" s="103">
        <f>IF(LLM_Data_Entry!AY238="","",LLM_Data_Entry!AY238)</f>
        <v/>
      </c>
      <c r="Q240" s="103">
        <f>IF(LLM_Data_Entry!AZ238="","",LLM_Data_Entry!AZ238)</f>
        <v/>
      </c>
      <c r="R240" s="103">
        <f>IF(LLM_Data_Entry!AK238="","",LLM_Data_Entry!AK238)</f>
        <v/>
      </c>
      <c r="S240" s="103">
        <f>IF(LLM_Data_Entry!AL238="","",LLM_Data_Entry!AL238)</f>
        <v/>
      </c>
      <c r="T240" s="103">
        <f>IF(LLM_Data_Entry!BA238="","",LLM_Data_Entry!BA238)</f>
        <v/>
      </c>
      <c r="U240" s="103">
        <f>IF(LLM_Data_Entry!BB238="","",LLM_Data_Entry!BB238)</f>
        <v/>
      </c>
      <c r="V240" s="106">
        <f>IF(LLM_Data_Entry!O238="","",LLM_Data_Entry!O238)</f>
        <v/>
      </c>
    </row>
    <row r="241" ht="15" customHeight="1" s="241">
      <c r="A241" s="103">
        <f>IF(LLM_Data_Entry!A239="","",LLM_Data_Entry!A239)</f>
        <v/>
      </c>
      <c r="B241" s="103">
        <f>IF(LLM_Data_Entry!B239="","",LLM_Data_Entry!B239)</f>
        <v/>
      </c>
      <c r="C241" s="104">
        <f>IF(LLM_Data_Entry!C239="","",LLM_Data_Entry!C239)</f>
        <v/>
      </c>
      <c r="D241" s="103">
        <f>IF(LLM_Data_Entry!D239="","",LLM_Data_Entry!D239)</f>
        <v/>
      </c>
      <c r="E241" s="103">
        <f>IF(LLM_Data_Entry!V239="","",LLM_Data_Entry!V239)</f>
        <v/>
      </c>
      <c r="F241" s="103">
        <f>IF(LLM_Data_Entry!AS239="","",LLM_Data_Entry!AS239)</f>
        <v/>
      </c>
      <c r="G241" s="103">
        <f>IF(LLM_Data_Entry!AG239="","",LLM_Data_Entry!AG239)</f>
        <v/>
      </c>
      <c r="H241" s="103">
        <f>IF(LLM_Data_Entry!AT239="","",LLM_Data_Entry!AT239)</f>
        <v/>
      </c>
      <c r="I241" s="103">
        <f>IF(LLM_Data_Entry!AU239="","",LLM_Data_Entry!AU239)</f>
        <v/>
      </c>
      <c r="J241" s="103">
        <f>IF(LLM_Data_Entry!AH239="","",LLM_Data_Entry!AH239)</f>
        <v/>
      </c>
      <c r="K241" s="103">
        <f>IF(LLM_Data_Entry!AI239="","",LLM_Data_Entry!AI239)</f>
        <v/>
      </c>
      <c r="L241" s="103">
        <f>IF(LLM_Data_Entry!AJ239="","",LLM_Data_Entry!AJ239)</f>
        <v/>
      </c>
      <c r="M241" s="103">
        <f>IF(LLM_Data_Entry!AV239="","",LLM_Data_Entry!AV239)</f>
        <v/>
      </c>
      <c r="N241" s="103">
        <f>IF(LLM_Data_Entry!AW239="","",LLM_Data_Entry!AW239)</f>
        <v/>
      </c>
      <c r="O241" s="103">
        <f>IF(LLM_Data_Entry!AX239="","",LLM_Data_Entry!AX239)</f>
        <v/>
      </c>
      <c r="P241" s="103">
        <f>IF(LLM_Data_Entry!AY239="","",LLM_Data_Entry!AY239)</f>
        <v/>
      </c>
      <c r="Q241" s="103">
        <f>IF(LLM_Data_Entry!AZ239="","",LLM_Data_Entry!AZ239)</f>
        <v/>
      </c>
      <c r="R241" s="103">
        <f>IF(LLM_Data_Entry!AK239="","",LLM_Data_Entry!AK239)</f>
        <v/>
      </c>
      <c r="S241" s="103">
        <f>IF(LLM_Data_Entry!AL239="","",LLM_Data_Entry!AL239)</f>
        <v/>
      </c>
      <c r="T241" s="103">
        <f>IF(LLM_Data_Entry!BA239="","",LLM_Data_Entry!BA239)</f>
        <v/>
      </c>
      <c r="U241" s="103">
        <f>IF(LLM_Data_Entry!BB239="","",LLM_Data_Entry!BB239)</f>
        <v/>
      </c>
      <c r="V241" s="106">
        <f>IF(LLM_Data_Entry!O239="","",LLM_Data_Entry!O239)</f>
        <v/>
      </c>
    </row>
    <row r="242" ht="15" customHeight="1" s="241">
      <c r="A242" s="103">
        <f>IF(LLM_Data_Entry!A240="","",LLM_Data_Entry!A240)</f>
        <v/>
      </c>
      <c r="B242" s="103">
        <f>IF(LLM_Data_Entry!B240="","",LLM_Data_Entry!B240)</f>
        <v/>
      </c>
      <c r="C242" s="104">
        <f>IF(LLM_Data_Entry!C240="","",LLM_Data_Entry!C240)</f>
        <v/>
      </c>
      <c r="D242" s="103">
        <f>IF(LLM_Data_Entry!D240="","",LLM_Data_Entry!D240)</f>
        <v/>
      </c>
      <c r="E242" s="103">
        <f>IF(LLM_Data_Entry!V240="","",LLM_Data_Entry!V240)</f>
        <v/>
      </c>
      <c r="F242" s="103">
        <f>IF(LLM_Data_Entry!AS240="","",LLM_Data_Entry!AS240)</f>
        <v/>
      </c>
      <c r="G242" s="103">
        <f>IF(LLM_Data_Entry!AG240="","",LLM_Data_Entry!AG240)</f>
        <v/>
      </c>
      <c r="H242" s="103">
        <f>IF(LLM_Data_Entry!AT240="","",LLM_Data_Entry!AT240)</f>
        <v/>
      </c>
      <c r="I242" s="103">
        <f>IF(LLM_Data_Entry!AU240="","",LLM_Data_Entry!AU240)</f>
        <v/>
      </c>
      <c r="J242" s="103">
        <f>IF(LLM_Data_Entry!AH240="","",LLM_Data_Entry!AH240)</f>
        <v/>
      </c>
      <c r="K242" s="103">
        <f>IF(LLM_Data_Entry!AI240="","",LLM_Data_Entry!AI240)</f>
        <v/>
      </c>
      <c r="L242" s="103">
        <f>IF(LLM_Data_Entry!AJ240="","",LLM_Data_Entry!AJ240)</f>
        <v/>
      </c>
      <c r="M242" s="103">
        <f>IF(LLM_Data_Entry!AV240="","",LLM_Data_Entry!AV240)</f>
        <v/>
      </c>
      <c r="N242" s="103">
        <f>IF(LLM_Data_Entry!AW240="","",LLM_Data_Entry!AW240)</f>
        <v/>
      </c>
      <c r="O242" s="103">
        <f>IF(LLM_Data_Entry!AX240="","",LLM_Data_Entry!AX240)</f>
        <v/>
      </c>
      <c r="P242" s="103">
        <f>IF(LLM_Data_Entry!AY240="","",LLM_Data_Entry!AY240)</f>
        <v/>
      </c>
      <c r="Q242" s="103">
        <f>IF(LLM_Data_Entry!AZ240="","",LLM_Data_Entry!AZ240)</f>
        <v/>
      </c>
      <c r="R242" s="103">
        <f>IF(LLM_Data_Entry!AK240="","",LLM_Data_Entry!AK240)</f>
        <v/>
      </c>
      <c r="S242" s="103">
        <f>IF(LLM_Data_Entry!AL240="","",LLM_Data_Entry!AL240)</f>
        <v/>
      </c>
      <c r="T242" s="103">
        <f>IF(LLM_Data_Entry!BA240="","",LLM_Data_Entry!BA240)</f>
        <v/>
      </c>
      <c r="U242" s="103">
        <f>IF(LLM_Data_Entry!BB240="","",LLM_Data_Entry!BB240)</f>
        <v/>
      </c>
      <c r="V242" s="106">
        <f>IF(LLM_Data_Entry!O240="","",LLM_Data_Entry!O240)</f>
        <v/>
      </c>
    </row>
    <row r="243" ht="15" customHeight="1" s="241">
      <c r="A243" s="103">
        <f>IF(LLM_Data_Entry!A241="","",LLM_Data_Entry!A241)</f>
        <v/>
      </c>
      <c r="B243" s="103">
        <f>IF(LLM_Data_Entry!B241="","",LLM_Data_Entry!B241)</f>
        <v/>
      </c>
      <c r="C243" s="104">
        <f>IF(LLM_Data_Entry!C241="","",LLM_Data_Entry!C241)</f>
        <v/>
      </c>
      <c r="D243" s="103">
        <f>IF(LLM_Data_Entry!D241="","",LLM_Data_Entry!D241)</f>
        <v/>
      </c>
      <c r="E243" s="103">
        <f>IF(LLM_Data_Entry!V241="","",LLM_Data_Entry!V241)</f>
        <v/>
      </c>
      <c r="F243" s="103">
        <f>IF(LLM_Data_Entry!AS241="","",LLM_Data_Entry!AS241)</f>
        <v/>
      </c>
      <c r="G243" s="103">
        <f>IF(LLM_Data_Entry!AG241="","",LLM_Data_Entry!AG241)</f>
        <v/>
      </c>
      <c r="H243" s="103">
        <f>IF(LLM_Data_Entry!AT241="","",LLM_Data_Entry!AT241)</f>
        <v/>
      </c>
      <c r="I243" s="103">
        <f>IF(LLM_Data_Entry!AU241="","",LLM_Data_Entry!AU241)</f>
        <v/>
      </c>
      <c r="J243" s="103">
        <f>IF(LLM_Data_Entry!AH241="","",LLM_Data_Entry!AH241)</f>
        <v/>
      </c>
      <c r="K243" s="103">
        <f>IF(LLM_Data_Entry!AI241="","",LLM_Data_Entry!AI241)</f>
        <v/>
      </c>
      <c r="L243" s="103">
        <f>IF(LLM_Data_Entry!AJ241="","",LLM_Data_Entry!AJ241)</f>
        <v/>
      </c>
      <c r="M243" s="103">
        <f>IF(LLM_Data_Entry!AV241="","",LLM_Data_Entry!AV241)</f>
        <v/>
      </c>
      <c r="N243" s="103">
        <f>IF(LLM_Data_Entry!AW241="","",LLM_Data_Entry!AW241)</f>
        <v/>
      </c>
      <c r="O243" s="103">
        <f>IF(LLM_Data_Entry!AX241="","",LLM_Data_Entry!AX241)</f>
        <v/>
      </c>
      <c r="P243" s="103">
        <f>IF(LLM_Data_Entry!AY241="","",LLM_Data_Entry!AY241)</f>
        <v/>
      </c>
      <c r="Q243" s="103">
        <f>IF(LLM_Data_Entry!AZ241="","",LLM_Data_Entry!AZ241)</f>
        <v/>
      </c>
      <c r="R243" s="103">
        <f>IF(LLM_Data_Entry!AK241="","",LLM_Data_Entry!AK241)</f>
        <v/>
      </c>
      <c r="S243" s="103">
        <f>IF(LLM_Data_Entry!AL241="","",LLM_Data_Entry!AL241)</f>
        <v/>
      </c>
      <c r="T243" s="103">
        <f>IF(LLM_Data_Entry!BA241="","",LLM_Data_Entry!BA241)</f>
        <v/>
      </c>
      <c r="U243" s="103">
        <f>IF(LLM_Data_Entry!BB241="","",LLM_Data_Entry!BB241)</f>
        <v/>
      </c>
      <c r="V243" s="106">
        <f>IF(LLM_Data_Entry!O241="","",LLM_Data_Entry!O241)</f>
        <v/>
      </c>
    </row>
    <row r="244" ht="15" customHeight="1" s="241">
      <c r="A244" s="103">
        <f>IF(LLM_Data_Entry!A242="","",LLM_Data_Entry!A242)</f>
        <v/>
      </c>
      <c r="B244" s="103">
        <f>IF(LLM_Data_Entry!B242="","",LLM_Data_Entry!B242)</f>
        <v/>
      </c>
      <c r="C244" s="104">
        <f>IF(LLM_Data_Entry!C242="","",LLM_Data_Entry!C242)</f>
        <v/>
      </c>
      <c r="D244" s="103">
        <f>IF(LLM_Data_Entry!D242="","",LLM_Data_Entry!D242)</f>
        <v/>
      </c>
      <c r="E244" s="103">
        <f>IF(LLM_Data_Entry!V242="","",LLM_Data_Entry!V242)</f>
        <v/>
      </c>
      <c r="F244" s="103">
        <f>IF(LLM_Data_Entry!AS242="","",LLM_Data_Entry!AS242)</f>
        <v/>
      </c>
      <c r="G244" s="103">
        <f>IF(LLM_Data_Entry!AG242="","",LLM_Data_Entry!AG242)</f>
        <v/>
      </c>
      <c r="H244" s="103">
        <f>IF(LLM_Data_Entry!AT242="","",LLM_Data_Entry!AT242)</f>
        <v/>
      </c>
      <c r="I244" s="103">
        <f>IF(LLM_Data_Entry!AU242="","",LLM_Data_Entry!AU242)</f>
        <v/>
      </c>
      <c r="J244" s="103">
        <f>IF(LLM_Data_Entry!AH242="","",LLM_Data_Entry!AH242)</f>
        <v/>
      </c>
      <c r="K244" s="103">
        <f>IF(LLM_Data_Entry!AI242="","",LLM_Data_Entry!AI242)</f>
        <v/>
      </c>
      <c r="L244" s="103">
        <f>IF(LLM_Data_Entry!AJ242="","",LLM_Data_Entry!AJ242)</f>
        <v/>
      </c>
      <c r="M244" s="103">
        <f>IF(LLM_Data_Entry!AV242="","",LLM_Data_Entry!AV242)</f>
        <v/>
      </c>
      <c r="N244" s="103">
        <f>IF(LLM_Data_Entry!AW242="","",LLM_Data_Entry!AW242)</f>
        <v/>
      </c>
      <c r="O244" s="103">
        <f>IF(LLM_Data_Entry!AX242="","",LLM_Data_Entry!AX242)</f>
        <v/>
      </c>
      <c r="P244" s="103">
        <f>IF(LLM_Data_Entry!AY242="","",LLM_Data_Entry!AY242)</f>
        <v/>
      </c>
      <c r="Q244" s="103">
        <f>IF(LLM_Data_Entry!AZ242="","",LLM_Data_Entry!AZ242)</f>
        <v/>
      </c>
      <c r="R244" s="103">
        <f>IF(LLM_Data_Entry!AK242="","",LLM_Data_Entry!AK242)</f>
        <v/>
      </c>
      <c r="S244" s="103">
        <f>IF(LLM_Data_Entry!AL242="","",LLM_Data_Entry!AL242)</f>
        <v/>
      </c>
      <c r="T244" s="103">
        <f>IF(LLM_Data_Entry!BA242="","",LLM_Data_Entry!BA242)</f>
        <v/>
      </c>
      <c r="U244" s="103">
        <f>IF(LLM_Data_Entry!BB242="","",LLM_Data_Entry!BB242)</f>
        <v/>
      </c>
      <c r="V244" s="106">
        <f>IF(LLM_Data_Entry!O242="","",LLM_Data_Entry!O242)</f>
        <v/>
      </c>
    </row>
    <row r="245" ht="15" customHeight="1" s="241">
      <c r="A245" s="103">
        <f>IF(LLM_Data_Entry!A243="","",LLM_Data_Entry!A243)</f>
        <v/>
      </c>
      <c r="B245" s="103">
        <f>IF(LLM_Data_Entry!B243="","",LLM_Data_Entry!B243)</f>
        <v/>
      </c>
      <c r="C245" s="104">
        <f>IF(LLM_Data_Entry!C243="","",LLM_Data_Entry!C243)</f>
        <v/>
      </c>
      <c r="D245" s="103">
        <f>IF(LLM_Data_Entry!D243="","",LLM_Data_Entry!D243)</f>
        <v/>
      </c>
      <c r="E245" s="103">
        <f>IF(LLM_Data_Entry!V243="","",LLM_Data_Entry!V243)</f>
        <v/>
      </c>
      <c r="F245" s="103">
        <f>IF(LLM_Data_Entry!AS243="","",LLM_Data_Entry!AS243)</f>
        <v/>
      </c>
      <c r="G245" s="103">
        <f>IF(LLM_Data_Entry!AG243="","",LLM_Data_Entry!AG243)</f>
        <v/>
      </c>
      <c r="H245" s="103">
        <f>IF(LLM_Data_Entry!AT243="","",LLM_Data_Entry!AT243)</f>
        <v/>
      </c>
      <c r="I245" s="103">
        <f>IF(LLM_Data_Entry!AU243="","",LLM_Data_Entry!AU243)</f>
        <v/>
      </c>
      <c r="J245" s="103">
        <f>IF(LLM_Data_Entry!AH243="","",LLM_Data_Entry!AH243)</f>
        <v/>
      </c>
      <c r="K245" s="103">
        <f>IF(LLM_Data_Entry!AI243="","",LLM_Data_Entry!AI243)</f>
        <v/>
      </c>
      <c r="L245" s="103">
        <f>IF(LLM_Data_Entry!AJ243="","",LLM_Data_Entry!AJ243)</f>
        <v/>
      </c>
      <c r="M245" s="103">
        <f>IF(LLM_Data_Entry!AV243="","",LLM_Data_Entry!AV243)</f>
        <v/>
      </c>
      <c r="N245" s="103">
        <f>IF(LLM_Data_Entry!AW243="","",LLM_Data_Entry!AW243)</f>
        <v/>
      </c>
      <c r="O245" s="103">
        <f>IF(LLM_Data_Entry!AX243="","",LLM_Data_Entry!AX243)</f>
        <v/>
      </c>
      <c r="P245" s="103">
        <f>IF(LLM_Data_Entry!AY243="","",LLM_Data_Entry!AY243)</f>
        <v/>
      </c>
      <c r="Q245" s="103">
        <f>IF(LLM_Data_Entry!AZ243="","",LLM_Data_Entry!AZ243)</f>
        <v/>
      </c>
      <c r="R245" s="103">
        <f>IF(LLM_Data_Entry!AK243="","",LLM_Data_Entry!AK243)</f>
        <v/>
      </c>
      <c r="S245" s="103">
        <f>IF(LLM_Data_Entry!AL243="","",LLM_Data_Entry!AL243)</f>
        <v/>
      </c>
      <c r="T245" s="103">
        <f>IF(LLM_Data_Entry!BA243="","",LLM_Data_Entry!BA243)</f>
        <v/>
      </c>
      <c r="U245" s="103">
        <f>IF(LLM_Data_Entry!BB243="","",LLM_Data_Entry!BB243)</f>
        <v/>
      </c>
      <c r="V245" s="106">
        <f>IF(LLM_Data_Entry!O243="","",LLM_Data_Entry!O243)</f>
        <v/>
      </c>
    </row>
    <row r="246" ht="15" customHeight="1" s="241">
      <c r="A246" s="103">
        <f>IF(LLM_Data_Entry!A244="","",LLM_Data_Entry!A244)</f>
        <v/>
      </c>
      <c r="B246" s="103">
        <f>IF(LLM_Data_Entry!B244="","",LLM_Data_Entry!B244)</f>
        <v/>
      </c>
      <c r="C246" s="104">
        <f>IF(LLM_Data_Entry!C244="","",LLM_Data_Entry!C244)</f>
        <v/>
      </c>
      <c r="D246" s="103">
        <f>IF(LLM_Data_Entry!D244="","",LLM_Data_Entry!D244)</f>
        <v/>
      </c>
      <c r="E246" s="103">
        <f>IF(LLM_Data_Entry!V244="","",LLM_Data_Entry!V244)</f>
        <v/>
      </c>
      <c r="F246" s="103">
        <f>IF(LLM_Data_Entry!AS244="","",LLM_Data_Entry!AS244)</f>
        <v/>
      </c>
      <c r="G246" s="103">
        <f>IF(LLM_Data_Entry!AG244="","",LLM_Data_Entry!AG244)</f>
        <v/>
      </c>
      <c r="H246" s="103">
        <f>IF(LLM_Data_Entry!AT244="","",LLM_Data_Entry!AT244)</f>
        <v/>
      </c>
      <c r="I246" s="103">
        <f>IF(LLM_Data_Entry!AU244="","",LLM_Data_Entry!AU244)</f>
        <v/>
      </c>
      <c r="J246" s="103">
        <f>IF(LLM_Data_Entry!AH244="","",LLM_Data_Entry!AH244)</f>
        <v/>
      </c>
      <c r="K246" s="103">
        <f>IF(LLM_Data_Entry!AI244="","",LLM_Data_Entry!AI244)</f>
        <v/>
      </c>
      <c r="L246" s="103">
        <f>IF(LLM_Data_Entry!AJ244="","",LLM_Data_Entry!AJ244)</f>
        <v/>
      </c>
      <c r="M246" s="103">
        <f>IF(LLM_Data_Entry!AV244="","",LLM_Data_Entry!AV244)</f>
        <v/>
      </c>
      <c r="N246" s="103">
        <f>IF(LLM_Data_Entry!AW244="","",LLM_Data_Entry!AW244)</f>
        <v/>
      </c>
      <c r="O246" s="103">
        <f>IF(LLM_Data_Entry!AX244="","",LLM_Data_Entry!AX244)</f>
        <v/>
      </c>
      <c r="P246" s="103">
        <f>IF(LLM_Data_Entry!AY244="","",LLM_Data_Entry!AY244)</f>
        <v/>
      </c>
      <c r="Q246" s="103">
        <f>IF(LLM_Data_Entry!AZ244="","",LLM_Data_Entry!AZ244)</f>
        <v/>
      </c>
      <c r="R246" s="103">
        <f>IF(LLM_Data_Entry!AK244="","",LLM_Data_Entry!AK244)</f>
        <v/>
      </c>
      <c r="S246" s="103">
        <f>IF(LLM_Data_Entry!AL244="","",LLM_Data_Entry!AL244)</f>
        <v/>
      </c>
      <c r="T246" s="103">
        <f>IF(LLM_Data_Entry!BA244="","",LLM_Data_Entry!BA244)</f>
        <v/>
      </c>
      <c r="U246" s="103">
        <f>IF(LLM_Data_Entry!BB244="","",LLM_Data_Entry!BB244)</f>
        <v/>
      </c>
      <c r="V246" s="106">
        <f>IF(LLM_Data_Entry!O244="","",LLM_Data_Entry!O244)</f>
        <v/>
      </c>
    </row>
    <row r="247" ht="15" customHeight="1" s="241">
      <c r="A247" s="103">
        <f>IF(LLM_Data_Entry!A245="","",LLM_Data_Entry!A245)</f>
        <v/>
      </c>
      <c r="B247" s="103">
        <f>IF(LLM_Data_Entry!B245="","",LLM_Data_Entry!B245)</f>
        <v/>
      </c>
      <c r="C247" s="104">
        <f>IF(LLM_Data_Entry!C245="","",LLM_Data_Entry!C245)</f>
        <v/>
      </c>
      <c r="D247" s="103">
        <f>IF(LLM_Data_Entry!D245="","",LLM_Data_Entry!D245)</f>
        <v/>
      </c>
      <c r="E247" s="103">
        <f>IF(LLM_Data_Entry!V245="","",LLM_Data_Entry!V245)</f>
        <v/>
      </c>
      <c r="F247" s="103">
        <f>IF(LLM_Data_Entry!AS245="","",LLM_Data_Entry!AS245)</f>
        <v/>
      </c>
      <c r="G247" s="103">
        <f>IF(LLM_Data_Entry!AG245="","",LLM_Data_Entry!AG245)</f>
        <v/>
      </c>
      <c r="H247" s="103">
        <f>IF(LLM_Data_Entry!AT245="","",LLM_Data_Entry!AT245)</f>
        <v/>
      </c>
      <c r="I247" s="103">
        <f>IF(LLM_Data_Entry!AU245="","",LLM_Data_Entry!AU245)</f>
        <v/>
      </c>
      <c r="J247" s="103">
        <f>IF(LLM_Data_Entry!AH245="","",LLM_Data_Entry!AH245)</f>
        <v/>
      </c>
      <c r="K247" s="103">
        <f>IF(LLM_Data_Entry!AI245="","",LLM_Data_Entry!AI245)</f>
        <v/>
      </c>
      <c r="L247" s="103">
        <f>IF(LLM_Data_Entry!AJ245="","",LLM_Data_Entry!AJ245)</f>
        <v/>
      </c>
      <c r="M247" s="103">
        <f>IF(LLM_Data_Entry!AV245="","",LLM_Data_Entry!AV245)</f>
        <v/>
      </c>
      <c r="N247" s="103">
        <f>IF(LLM_Data_Entry!AW245="","",LLM_Data_Entry!AW245)</f>
        <v/>
      </c>
      <c r="O247" s="103">
        <f>IF(LLM_Data_Entry!AX245="","",LLM_Data_Entry!AX245)</f>
        <v/>
      </c>
      <c r="P247" s="103">
        <f>IF(LLM_Data_Entry!AY245="","",LLM_Data_Entry!AY245)</f>
        <v/>
      </c>
      <c r="Q247" s="103">
        <f>IF(LLM_Data_Entry!AZ245="","",LLM_Data_Entry!AZ245)</f>
        <v/>
      </c>
      <c r="R247" s="103">
        <f>IF(LLM_Data_Entry!AK245="","",LLM_Data_Entry!AK245)</f>
        <v/>
      </c>
      <c r="S247" s="103">
        <f>IF(LLM_Data_Entry!AL245="","",LLM_Data_Entry!AL245)</f>
        <v/>
      </c>
      <c r="T247" s="103">
        <f>IF(LLM_Data_Entry!BA245="","",LLM_Data_Entry!BA245)</f>
        <v/>
      </c>
      <c r="U247" s="103">
        <f>IF(LLM_Data_Entry!BB245="","",LLM_Data_Entry!BB245)</f>
        <v/>
      </c>
      <c r="V247" s="106">
        <f>IF(LLM_Data_Entry!O245="","",LLM_Data_Entry!O245)</f>
        <v/>
      </c>
    </row>
    <row r="248" ht="15" customHeight="1" s="241">
      <c r="A248" s="103">
        <f>IF(LLM_Data_Entry!A246="","",LLM_Data_Entry!A246)</f>
        <v/>
      </c>
      <c r="B248" s="103">
        <f>IF(LLM_Data_Entry!B246="","",LLM_Data_Entry!B246)</f>
        <v/>
      </c>
      <c r="C248" s="104">
        <f>IF(LLM_Data_Entry!C246="","",LLM_Data_Entry!C246)</f>
        <v/>
      </c>
      <c r="D248" s="103">
        <f>IF(LLM_Data_Entry!D246="","",LLM_Data_Entry!D246)</f>
        <v/>
      </c>
      <c r="E248" s="103">
        <f>IF(LLM_Data_Entry!V246="","",LLM_Data_Entry!V246)</f>
        <v/>
      </c>
      <c r="F248" s="103">
        <f>IF(LLM_Data_Entry!AS246="","",LLM_Data_Entry!AS246)</f>
        <v/>
      </c>
      <c r="G248" s="103">
        <f>IF(LLM_Data_Entry!AG246="","",LLM_Data_Entry!AG246)</f>
        <v/>
      </c>
      <c r="H248" s="103">
        <f>IF(LLM_Data_Entry!AT246="","",LLM_Data_Entry!AT246)</f>
        <v/>
      </c>
      <c r="I248" s="103">
        <f>IF(LLM_Data_Entry!AU246="","",LLM_Data_Entry!AU246)</f>
        <v/>
      </c>
      <c r="J248" s="103">
        <f>IF(LLM_Data_Entry!AH246="","",LLM_Data_Entry!AH246)</f>
        <v/>
      </c>
      <c r="K248" s="103">
        <f>IF(LLM_Data_Entry!AI246="","",LLM_Data_Entry!AI246)</f>
        <v/>
      </c>
      <c r="L248" s="103">
        <f>IF(LLM_Data_Entry!AJ246="","",LLM_Data_Entry!AJ246)</f>
        <v/>
      </c>
      <c r="M248" s="103">
        <f>IF(LLM_Data_Entry!AV246="","",LLM_Data_Entry!AV246)</f>
        <v/>
      </c>
      <c r="N248" s="103">
        <f>IF(LLM_Data_Entry!AW246="","",LLM_Data_Entry!AW246)</f>
        <v/>
      </c>
      <c r="O248" s="103">
        <f>IF(LLM_Data_Entry!AX246="","",LLM_Data_Entry!AX246)</f>
        <v/>
      </c>
      <c r="P248" s="103">
        <f>IF(LLM_Data_Entry!AY246="","",LLM_Data_Entry!AY246)</f>
        <v/>
      </c>
      <c r="Q248" s="103">
        <f>IF(LLM_Data_Entry!AZ246="","",LLM_Data_Entry!AZ246)</f>
        <v/>
      </c>
      <c r="R248" s="103">
        <f>IF(LLM_Data_Entry!AK246="","",LLM_Data_Entry!AK246)</f>
        <v/>
      </c>
      <c r="S248" s="103">
        <f>IF(LLM_Data_Entry!AL246="","",LLM_Data_Entry!AL246)</f>
        <v/>
      </c>
      <c r="T248" s="103">
        <f>IF(LLM_Data_Entry!BA246="","",LLM_Data_Entry!BA246)</f>
        <v/>
      </c>
      <c r="U248" s="103">
        <f>IF(LLM_Data_Entry!BB246="","",LLM_Data_Entry!BB246)</f>
        <v/>
      </c>
      <c r="V248" s="106">
        <f>IF(LLM_Data_Entry!O246="","",LLM_Data_Entry!O246)</f>
        <v/>
      </c>
    </row>
    <row r="249" ht="15" customHeight="1" s="241">
      <c r="A249" s="103">
        <f>IF(LLM_Data_Entry!A247="","",LLM_Data_Entry!A247)</f>
        <v/>
      </c>
      <c r="B249" s="103">
        <f>IF(LLM_Data_Entry!B247="","",LLM_Data_Entry!B247)</f>
        <v/>
      </c>
      <c r="C249" s="104">
        <f>IF(LLM_Data_Entry!C247="","",LLM_Data_Entry!C247)</f>
        <v/>
      </c>
      <c r="D249" s="103">
        <f>IF(LLM_Data_Entry!D247="","",LLM_Data_Entry!D247)</f>
        <v/>
      </c>
      <c r="E249" s="103">
        <f>IF(LLM_Data_Entry!V247="","",LLM_Data_Entry!V247)</f>
        <v/>
      </c>
      <c r="F249" s="103">
        <f>IF(LLM_Data_Entry!AS247="","",LLM_Data_Entry!AS247)</f>
        <v/>
      </c>
      <c r="G249" s="103">
        <f>IF(LLM_Data_Entry!AG247="","",LLM_Data_Entry!AG247)</f>
        <v/>
      </c>
      <c r="H249" s="103">
        <f>IF(LLM_Data_Entry!AT247="","",LLM_Data_Entry!AT247)</f>
        <v/>
      </c>
      <c r="I249" s="103">
        <f>IF(LLM_Data_Entry!AU247="","",LLM_Data_Entry!AU247)</f>
        <v/>
      </c>
      <c r="J249" s="103">
        <f>IF(LLM_Data_Entry!AH247="","",LLM_Data_Entry!AH247)</f>
        <v/>
      </c>
      <c r="K249" s="103">
        <f>IF(LLM_Data_Entry!AI247="","",LLM_Data_Entry!AI247)</f>
        <v/>
      </c>
      <c r="L249" s="103">
        <f>IF(LLM_Data_Entry!AJ247="","",LLM_Data_Entry!AJ247)</f>
        <v/>
      </c>
      <c r="M249" s="103">
        <f>IF(LLM_Data_Entry!AV247="","",LLM_Data_Entry!AV247)</f>
        <v/>
      </c>
      <c r="N249" s="103">
        <f>IF(LLM_Data_Entry!AW247="","",LLM_Data_Entry!AW247)</f>
        <v/>
      </c>
      <c r="O249" s="103">
        <f>IF(LLM_Data_Entry!AX247="","",LLM_Data_Entry!AX247)</f>
        <v/>
      </c>
      <c r="P249" s="103">
        <f>IF(LLM_Data_Entry!AY247="","",LLM_Data_Entry!AY247)</f>
        <v/>
      </c>
      <c r="Q249" s="103">
        <f>IF(LLM_Data_Entry!AZ247="","",LLM_Data_Entry!AZ247)</f>
        <v/>
      </c>
      <c r="R249" s="103">
        <f>IF(LLM_Data_Entry!AK247="","",LLM_Data_Entry!AK247)</f>
        <v/>
      </c>
      <c r="S249" s="103">
        <f>IF(LLM_Data_Entry!AL247="","",LLM_Data_Entry!AL247)</f>
        <v/>
      </c>
      <c r="T249" s="103">
        <f>IF(LLM_Data_Entry!BA247="","",LLM_Data_Entry!BA247)</f>
        <v/>
      </c>
      <c r="U249" s="103">
        <f>IF(LLM_Data_Entry!BB247="","",LLM_Data_Entry!BB247)</f>
        <v/>
      </c>
      <c r="V249" s="106">
        <f>IF(LLM_Data_Entry!O247="","",LLM_Data_Entry!O247)</f>
        <v/>
      </c>
    </row>
    <row r="250" ht="15" customHeight="1" s="241">
      <c r="A250" s="103">
        <f>IF(LLM_Data_Entry!A248="","",LLM_Data_Entry!A248)</f>
        <v/>
      </c>
      <c r="B250" s="103">
        <f>IF(LLM_Data_Entry!B248="","",LLM_Data_Entry!B248)</f>
        <v/>
      </c>
      <c r="C250" s="104">
        <f>IF(LLM_Data_Entry!C248="","",LLM_Data_Entry!C248)</f>
        <v/>
      </c>
      <c r="D250" s="103">
        <f>IF(LLM_Data_Entry!D248="","",LLM_Data_Entry!D248)</f>
        <v/>
      </c>
      <c r="E250" s="103">
        <f>IF(LLM_Data_Entry!V248="","",LLM_Data_Entry!V248)</f>
        <v/>
      </c>
      <c r="F250" s="103">
        <f>IF(LLM_Data_Entry!AS248="","",LLM_Data_Entry!AS248)</f>
        <v/>
      </c>
      <c r="G250" s="103">
        <f>IF(LLM_Data_Entry!AG248="","",LLM_Data_Entry!AG248)</f>
        <v/>
      </c>
      <c r="H250" s="103">
        <f>IF(LLM_Data_Entry!AT248="","",LLM_Data_Entry!AT248)</f>
        <v/>
      </c>
      <c r="I250" s="103">
        <f>IF(LLM_Data_Entry!AU248="","",LLM_Data_Entry!AU248)</f>
        <v/>
      </c>
      <c r="J250" s="103">
        <f>IF(LLM_Data_Entry!AH248="","",LLM_Data_Entry!AH248)</f>
        <v/>
      </c>
      <c r="K250" s="103">
        <f>IF(LLM_Data_Entry!AI248="","",LLM_Data_Entry!AI248)</f>
        <v/>
      </c>
      <c r="L250" s="103">
        <f>IF(LLM_Data_Entry!AJ248="","",LLM_Data_Entry!AJ248)</f>
        <v/>
      </c>
      <c r="M250" s="103">
        <f>IF(LLM_Data_Entry!AV248="","",LLM_Data_Entry!AV248)</f>
        <v/>
      </c>
      <c r="N250" s="103">
        <f>IF(LLM_Data_Entry!AW248="","",LLM_Data_Entry!AW248)</f>
        <v/>
      </c>
      <c r="O250" s="103">
        <f>IF(LLM_Data_Entry!AX248="","",LLM_Data_Entry!AX248)</f>
        <v/>
      </c>
      <c r="P250" s="103">
        <f>IF(LLM_Data_Entry!AY248="","",LLM_Data_Entry!AY248)</f>
        <v/>
      </c>
      <c r="Q250" s="103">
        <f>IF(LLM_Data_Entry!AZ248="","",LLM_Data_Entry!AZ248)</f>
        <v/>
      </c>
      <c r="R250" s="103">
        <f>IF(LLM_Data_Entry!AK248="","",LLM_Data_Entry!AK248)</f>
        <v/>
      </c>
      <c r="S250" s="103">
        <f>IF(LLM_Data_Entry!AL248="","",LLM_Data_Entry!AL248)</f>
        <v/>
      </c>
      <c r="T250" s="103">
        <f>IF(LLM_Data_Entry!BA248="","",LLM_Data_Entry!BA248)</f>
        <v/>
      </c>
      <c r="U250" s="103">
        <f>IF(LLM_Data_Entry!BB248="","",LLM_Data_Entry!BB248)</f>
        <v/>
      </c>
      <c r="V250" s="106">
        <f>IF(LLM_Data_Entry!O248="","",LLM_Data_Entry!O248)</f>
        <v/>
      </c>
    </row>
    <row r="251" ht="15" customHeight="1" s="241">
      <c r="A251" s="103">
        <f>IF(LLM_Data_Entry!A249="","",LLM_Data_Entry!A249)</f>
        <v/>
      </c>
      <c r="B251" s="103">
        <f>IF(LLM_Data_Entry!B249="","",LLM_Data_Entry!B249)</f>
        <v/>
      </c>
      <c r="C251" s="104">
        <f>IF(LLM_Data_Entry!C249="","",LLM_Data_Entry!C249)</f>
        <v/>
      </c>
      <c r="D251" s="103">
        <f>IF(LLM_Data_Entry!D249="","",LLM_Data_Entry!D249)</f>
        <v/>
      </c>
      <c r="E251" s="103">
        <f>IF(LLM_Data_Entry!V249="","",LLM_Data_Entry!V249)</f>
        <v/>
      </c>
      <c r="F251" s="103">
        <f>IF(LLM_Data_Entry!AS249="","",LLM_Data_Entry!AS249)</f>
        <v/>
      </c>
      <c r="G251" s="103">
        <f>IF(LLM_Data_Entry!AG249="","",LLM_Data_Entry!AG249)</f>
        <v/>
      </c>
      <c r="H251" s="103">
        <f>IF(LLM_Data_Entry!AT249="","",LLM_Data_Entry!AT249)</f>
        <v/>
      </c>
      <c r="I251" s="103">
        <f>IF(LLM_Data_Entry!AU249="","",LLM_Data_Entry!AU249)</f>
        <v/>
      </c>
      <c r="J251" s="103">
        <f>IF(LLM_Data_Entry!AH249="","",LLM_Data_Entry!AH249)</f>
        <v/>
      </c>
      <c r="K251" s="103">
        <f>IF(LLM_Data_Entry!AI249="","",LLM_Data_Entry!AI249)</f>
        <v/>
      </c>
      <c r="L251" s="103">
        <f>IF(LLM_Data_Entry!AJ249="","",LLM_Data_Entry!AJ249)</f>
        <v/>
      </c>
      <c r="M251" s="103">
        <f>IF(LLM_Data_Entry!AV249="","",LLM_Data_Entry!AV249)</f>
        <v/>
      </c>
      <c r="N251" s="103">
        <f>IF(LLM_Data_Entry!AW249="","",LLM_Data_Entry!AW249)</f>
        <v/>
      </c>
      <c r="O251" s="103">
        <f>IF(LLM_Data_Entry!AX249="","",LLM_Data_Entry!AX249)</f>
        <v/>
      </c>
      <c r="P251" s="103">
        <f>IF(LLM_Data_Entry!AY249="","",LLM_Data_Entry!AY249)</f>
        <v/>
      </c>
      <c r="Q251" s="103">
        <f>IF(LLM_Data_Entry!AZ249="","",LLM_Data_Entry!AZ249)</f>
        <v/>
      </c>
      <c r="R251" s="103">
        <f>IF(LLM_Data_Entry!AK249="","",LLM_Data_Entry!AK249)</f>
        <v/>
      </c>
      <c r="S251" s="103">
        <f>IF(LLM_Data_Entry!AL249="","",LLM_Data_Entry!AL249)</f>
        <v/>
      </c>
      <c r="T251" s="103">
        <f>IF(LLM_Data_Entry!BA249="","",LLM_Data_Entry!BA249)</f>
        <v/>
      </c>
      <c r="U251" s="103">
        <f>IF(LLM_Data_Entry!BB249="","",LLM_Data_Entry!BB249)</f>
        <v/>
      </c>
      <c r="V251" s="106">
        <f>IF(LLM_Data_Entry!O249="","",LLM_Data_Entry!O249)</f>
        <v/>
      </c>
    </row>
    <row r="252" ht="15" customHeight="1" s="241">
      <c r="A252" s="103">
        <f>IF(LLM_Data_Entry!A250="","",LLM_Data_Entry!A250)</f>
        <v/>
      </c>
      <c r="B252" s="103">
        <f>IF(LLM_Data_Entry!B250="","",LLM_Data_Entry!B250)</f>
        <v/>
      </c>
      <c r="C252" s="104">
        <f>IF(LLM_Data_Entry!C250="","",LLM_Data_Entry!C250)</f>
        <v/>
      </c>
      <c r="D252" s="103">
        <f>IF(LLM_Data_Entry!D250="","",LLM_Data_Entry!D250)</f>
        <v/>
      </c>
      <c r="E252" s="103">
        <f>IF(LLM_Data_Entry!V250="","",LLM_Data_Entry!V250)</f>
        <v/>
      </c>
      <c r="F252" s="103">
        <f>IF(LLM_Data_Entry!AS250="","",LLM_Data_Entry!AS250)</f>
        <v/>
      </c>
      <c r="G252" s="103">
        <f>IF(LLM_Data_Entry!AG250="","",LLM_Data_Entry!AG250)</f>
        <v/>
      </c>
      <c r="H252" s="103">
        <f>IF(LLM_Data_Entry!AT250="","",LLM_Data_Entry!AT250)</f>
        <v/>
      </c>
      <c r="I252" s="103">
        <f>IF(LLM_Data_Entry!AU250="","",LLM_Data_Entry!AU250)</f>
        <v/>
      </c>
      <c r="J252" s="103">
        <f>IF(LLM_Data_Entry!AH250="","",LLM_Data_Entry!AH250)</f>
        <v/>
      </c>
      <c r="K252" s="103">
        <f>IF(LLM_Data_Entry!AI250="","",LLM_Data_Entry!AI250)</f>
        <v/>
      </c>
      <c r="L252" s="103">
        <f>IF(LLM_Data_Entry!AJ250="","",LLM_Data_Entry!AJ250)</f>
        <v/>
      </c>
      <c r="M252" s="103">
        <f>IF(LLM_Data_Entry!AV250="","",LLM_Data_Entry!AV250)</f>
        <v/>
      </c>
      <c r="N252" s="103">
        <f>IF(LLM_Data_Entry!AW250="","",LLM_Data_Entry!AW250)</f>
        <v/>
      </c>
      <c r="O252" s="103">
        <f>IF(LLM_Data_Entry!AX250="","",LLM_Data_Entry!AX250)</f>
        <v/>
      </c>
      <c r="P252" s="103">
        <f>IF(LLM_Data_Entry!AY250="","",LLM_Data_Entry!AY250)</f>
        <v/>
      </c>
      <c r="Q252" s="103">
        <f>IF(LLM_Data_Entry!AZ250="","",LLM_Data_Entry!AZ250)</f>
        <v/>
      </c>
      <c r="R252" s="103">
        <f>IF(LLM_Data_Entry!AK250="","",LLM_Data_Entry!AK250)</f>
        <v/>
      </c>
      <c r="S252" s="103">
        <f>IF(LLM_Data_Entry!AL250="","",LLM_Data_Entry!AL250)</f>
        <v/>
      </c>
      <c r="T252" s="103">
        <f>IF(LLM_Data_Entry!BA250="","",LLM_Data_Entry!BA250)</f>
        <v/>
      </c>
      <c r="U252" s="103">
        <f>IF(LLM_Data_Entry!BB250="","",LLM_Data_Entry!BB250)</f>
        <v/>
      </c>
      <c r="V252" s="106">
        <f>IF(LLM_Data_Entry!O250="","",LLM_Data_Entry!O250)</f>
        <v/>
      </c>
    </row>
    <row r="253" ht="15" customHeight="1" s="241">
      <c r="A253" s="103">
        <f>IF(LLM_Data_Entry!A251="","",LLM_Data_Entry!A251)</f>
        <v/>
      </c>
      <c r="B253" s="103">
        <f>IF(LLM_Data_Entry!B251="","",LLM_Data_Entry!B251)</f>
        <v/>
      </c>
      <c r="C253" s="104">
        <f>IF(LLM_Data_Entry!C251="","",LLM_Data_Entry!C251)</f>
        <v/>
      </c>
      <c r="D253" s="103">
        <f>IF(LLM_Data_Entry!D251="","",LLM_Data_Entry!D251)</f>
        <v/>
      </c>
      <c r="E253" s="103">
        <f>IF(LLM_Data_Entry!V251="","",LLM_Data_Entry!V251)</f>
        <v/>
      </c>
      <c r="F253" s="103">
        <f>IF(LLM_Data_Entry!AS251="","",LLM_Data_Entry!AS251)</f>
        <v/>
      </c>
      <c r="G253" s="103">
        <f>IF(LLM_Data_Entry!AG251="","",LLM_Data_Entry!AG251)</f>
        <v/>
      </c>
      <c r="H253" s="103">
        <f>IF(LLM_Data_Entry!AT251="","",LLM_Data_Entry!AT251)</f>
        <v/>
      </c>
      <c r="I253" s="103">
        <f>IF(LLM_Data_Entry!AU251="","",LLM_Data_Entry!AU251)</f>
        <v/>
      </c>
      <c r="J253" s="103">
        <f>IF(LLM_Data_Entry!AH251="","",LLM_Data_Entry!AH251)</f>
        <v/>
      </c>
      <c r="K253" s="103">
        <f>IF(LLM_Data_Entry!AI251="","",LLM_Data_Entry!AI251)</f>
        <v/>
      </c>
      <c r="L253" s="103">
        <f>IF(LLM_Data_Entry!AJ251="","",LLM_Data_Entry!AJ251)</f>
        <v/>
      </c>
      <c r="M253" s="103">
        <f>IF(LLM_Data_Entry!AV251="","",LLM_Data_Entry!AV251)</f>
        <v/>
      </c>
      <c r="N253" s="103">
        <f>IF(LLM_Data_Entry!AW251="","",LLM_Data_Entry!AW251)</f>
        <v/>
      </c>
      <c r="O253" s="103">
        <f>IF(LLM_Data_Entry!AX251="","",LLM_Data_Entry!AX251)</f>
        <v/>
      </c>
      <c r="P253" s="103">
        <f>IF(LLM_Data_Entry!AY251="","",LLM_Data_Entry!AY251)</f>
        <v/>
      </c>
      <c r="Q253" s="103">
        <f>IF(LLM_Data_Entry!AZ251="","",LLM_Data_Entry!AZ251)</f>
        <v/>
      </c>
      <c r="R253" s="103">
        <f>IF(LLM_Data_Entry!AK251="","",LLM_Data_Entry!AK251)</f>
        <v/>
      </c>
      <c r="S253" s="103">
        <f>IF(LLM_Data_Entry!AL251="","",LLM_Data_Entry!AL251)</f>
        <v/>
      </c>
      <c r="T253" s="103">
        <f>IF(LLM_Data_Entry!BA251="","",LLM_Data_Entry!BA251)</f>
        <v/>
      </c>
      <c r="U253" s="103">
        <f>IF(LLM_Data_Entry!BB251="","",LLM_Data_Entry!BB251)</f>
        <v/>
      </c>
      <c r="V253" s="106">
        <f>IF(LLM_Data_Entry!O251="","",LLM_Data_Entry!O251)</f>
        <v/>
      </c>
    </row>
    <row r="254" ht="15" customHeight="1" s="241">
      <c r="A254" s="103">
        <f>IF(LLM_Data_Entry!A252="","",LLM_Data_Entry!A252)</f>
        <v/>
      </c>
      <c r="B254" s="103">
        <f>IF(LLM_Data_Entry!B252="","",LLM_Data_Entry!B252)</f>
        <v/>
      </c>
      <c r="C254" s="104">
        <f>IF(LLM_Data_Entry!C252="","",LLM_Data_Entry!C252)</f>
        <v/>
      </c>
      <c r="D254" s="103">
        <f>IF(LLM_Data_Entry!D252="","",LLM_Data_Entry!D252)</f>
        <v/>
      </c>
      <c r="E254" s="103">
        <f>IF(LLM_Data_Entry!V252="","",LLM_Data_Entry!V252)</f>
        <v/>
      </c>
      <c r="F254" s="103">
        <f>IF(LLM_Data_Entry!AS252="","",LLM_Data_Entry!AS252)</f>
        <v/>
      </c>
      <c r="G254" s="103">
        <f>IF(LLM_Data_Entry!AG252="","",LLM_Data_Entry!AG252)</f>
        <v/>
      </c>
      <c r="H254" s="103">
        <f>IF(LLM_Data_Entry!AT252="","",LLM_Data_Entry!AT252)</f>
        <v/>
      </c>
      <c r="I254" s="103">
        <f>IF(LLM_Data_Entry!AU252="","",LLM_Data_Entry!AU252)</f>
        <v/>
      </c>
      <c r="J254" s="103">
        <f>IF(LLM_Data_Entry!AH252="","",LLM_Data_Entry!AH252)</f>
        <v/>
      </c>
      <c r="K254" s="103">
        <f>IF(LLM_Data_Entry!AI252="","",LLM_Data_Entry!AI252)</f>
        <v/>
      </c>
      <c r="L254" s="103">
        <f>IF(LLM_Data_Entry!AJ252="","",LLM_Data_Entry!AJ252)</f>
        <v/>
      </c>
      <c r="M254" s="103">
        <f>IF(LLM_Data_Entry!AV252="","",LLM_Data_Entry!AV252)</f>
        <v/>
      </c>
      <c r="N254" s="103">
        <f>IF(LLM_Data_Entry!AW252="","",LLM_Data_Entry!AW252)</f>
        <v/>
      </c>
      <c r="O254" s="103">
        <f>IF(LLM_Data_Entry!AX252="","",LLM_Data_Entry!AX252)</f>
        <v/>
      </c>
      <c r="P254" s="103">
        <f>IF(LLM_Data_Entry!AY252="","",LLM_Data_Entry!AY252)</f>
        <v/>
      </c>
      <c r="Q254" s="103">
        <f>IF(LLM_Data_Entry!AZ252="","",LLM_Data_Entry!AZ252)</f>
        <v/>
      </c>
      <c r="R254" s="103">
        <f>IF(LLM_Data_Entry!AK252="","",LLM_Data_Entry!AK252)</f>
        <v/>
      </c>
      <c r="S254" s="103">
        <f>IF(LLM_Data_Entry!AL252="","",LLM_Data_Entry!AL252)</f>
        <v/>
      </c>
      <c r="T254" s="103">
        <f>IF(LLM_Data_Entry!BA252="","",LLM_Data_Entry!BA252)</f>
        <v/>
      </c>
      <c r="U254" s="103">
        <f>IF(LLM_Data_Entry!BB252="","",LLM_Data_Entry!BB252)</f>
        <v/>
      </c>
      <c r="V254" s="106">
        <f>IF(LLM_Data_Entry!O252="","",LLM_Data_Entry!O252)</f>
        <v/>
      </c>
    </row>
    <row r="255" ht="15" customHeight="1" s="241">
      <c r="A255" s="103">
        <f>IF(LLM_Data_Entry!A253="","",LLM_Data_Entry!A253)</f>
        <v/>
      </c>
      <c r="B255" s="103">
        <f>IF(LLM_Data_Entry!B253="","",LLM_Data_Entry!B253)</f>
        <v/>
      </c>
      <c r="C255" s="104">
        <f>IF(LLM_Data_Entry!C253="","",LLM_Data_Entry!C253)</f>
        <v/>
      </c>
      <c r="D255" s="103">
        <f>IF(LLM_Data_Entry!D253="","",LLM_Data_Entry!D253)</f>
        <v/>
      </c>
      <c r="E255" s="103">
        <f>IF(LLM_Data_Entry!V253="","",LLM_Data_Entry!V253)</f>
        <v/>
      </c>
      <c r="F255" s="103">
        <f>IF(LLM_Data_Entry!AS253="","",LLM_Data_Entry!AS253)</f>
        <v/>
      </c>
      <c r="G255" s="103">
        <f>IF(LLM_Data_Entry!AG253="","",LLM_Data_Entry!AG253)</f>
        <v/>
      </c>
      <c r="H255" s="103">
        <f>IF(LLM_Data_Entry!AT253="","",LLM_Data_Entry!AT253)</f>
        <v/>
      </c>
      <c r="I255" s="103">
        <f>IF(LLM_Data_Entry!AU253="","",LLM_Data_Entry!AU253)</f>
        <v/>
      </c>
      <c r="J255" s="103">
        <f>IF(LLM_Data_Entry!AH253="","",LLM_Data_Entry!AH253)</f>
        <v/>
      </c>
      <c r="K255" s="103">
        <f>IF(LLM_Data_Entry!AI253="","",LLM_Data_Entry!AI253)</f>
        <v/>
      </c>
      <c r="L255" s="103">
        <f>IF(LLM_Data_Entry!AJ253="","",LLM_Data_Entry!AJ253)</f>
        <v/>
      </c>
      <c r="M255" s="103">
        <f>IF(LLM_Data_Entry!AV253="","",LLM_Data_Entry!AV253)</f>
        <v/>
      </c>
      <c r="N255" s="103">
        <f>IF(LLM_Data_Entry!AW253="","",LLM_Data_Entry!AW253)</f>
        <v/>
      </c>
      <c r="O255" s="103">
        <f>IF(LLM_Data_Entry!AX253="","",LLM_Data_Entry!AX253)</f>
        <v/>
      </c>
      <c r="P255" s="103">
        <f>IF(LLM_Data_Entry!AY253="","",LLM_Data_Entry!AY253)</f>
        <v/>
      </c>
      <c r="Q255" s="103">
        <f>IF(LLM_Data_Entry!AZ253="","",LLM_Data_Entry!AZ253)</f>
        <v/>
      </c>
      <c r="R255" s="103">
        <f>IF(LLM_Data_Entry!AK253="","",LLM_Data_Entry!AK253)</f>
        <v/>
      </c>
      <c r="S255" s="103">
        <f>IF(LLM_Data_Entry!AL253="","",LLM_Data_Entry!AL253)</f>
        <v/>
      </c>
      <c r="T255" s="103">
        <f>IF(LLM_Data_Entry!BA253="","",LLM_Data_Entry!BA253)</f>
        <v/>
      </c>
      <c r="U255" s="103">
        <f>IF(LLM_Data_Entry!BB253="","",LLM_Data_Entry!BB253)</f>
        <v/>
      </c>
      <c r="V255" s="106">
        <f>IF(LLM_Data_Entry!O253="","",LLM_Data_Entry!O253)</f>
        <v/>
      </c>
    </row>
    <row r="256" ht="15" customHeight="1" s="241">
      <c r="A256" s="103">
        <f>IF(LLM_Data_Entry!A254="","",LLM_Data_Entry!A254)</f>
        <v/>
      </c>
      <c r="B256" s="103">
        <f>IF(LLM_Data_Entry!B254="","",LLM_Data_Entry!B254)</f>
        <v/>
      </c>
      <c r="C256" s="104">
        <f>IF(LLM_Data_Entry!C254="","",LLM_Data_Entry!C254)</f>
        <v/>
      </c>
      <c r="D256" s="103">
        <f>IF(LLM_Data_Entry!D254="","",LLM_Data_Entry!D254)</f>
        <v/>
      </c>
      <c r="E256" s="103">
        <f>IF(LLM_Data_Entry!V254="","",LLM_Data_Entry!V254)</f>
        <v/>
      </c>
      <c r="F256" s="103">
        <f>IF(LLM_Data_Entry!AS254="","",LLM_Data_Entry!AS254)</f>
        <v/>
      </c>
      <c r="G256" s="103">
        <f>IF(LLM_Data_Entry!AG254="","",LLM_Data_Entry!AG254)</f>
        <v/>
      </c>
      <c r="H256" s="103">
        <f>IF(LLM_Data_Entry!AT254="","",LLM_Data_Entry!AT254)</f>
        <v/>
      </c>
      <c r="I256" s="103">
        <f>IF(LLM_Data_Entry!AU254="","",LLM_Data_Entry!AU254)</f>
        <v/>
      </c>
      <c r="J256" s="103">
        <f>IF(LLM_Data_Entry!AH254="","",LLM_Data_Entry!AH254)</f>
        <v/>
      </c>
      <c r="K256" s="103">
        <f>IF(LLM_Data_Entry!AI254="","",LLM_Data_Entry!AI254)</f>
        <v/>
      </c>
      <c r="L256" s="103">
        <f>IF(LLM_Data_Entry!AJ254="","",LLM_Data_Entry!AJ254)</f>
        <v/>
      </c>
      <c r="M256" s="103">
        <f>IF(LLM_Data_Entry!AV254="","",LLM_Data_Entry!AV254)</f>
        <v/>
      </c>
      <c r="N256" s="103">
        <f>IF(LLM_Data_Entry!AW254="","",LLM_Data_Entry!AW254)</f>
        <v/>
      </c>
      <c r="O256" s="103">
        <f>IF(LLM_Data_Entry!AX254="","",LLM_Data_Entry!AX254)</f>
        <v/>
      </c>
      <c r="P256" s="103">
        <f>IF(LLM_Data_Entry!AY254="","",LLM_Data_Entry!AY254)</f>
        <v/>
      </c>
      <c r="Q256" s="103">
        <f>IF(LLM_Data_Entry!AZ254="","",LLM_Data_Entry!AZ254)</f>
        <v/>
      </c>
      <c r="R256" s="103">
        <f>IF(LLM_Data_Entry!AK254="","",LLM_Data_Entry!AK254)</f>
        <v/>
      </c>
      <c r="S256" s="103">
        <f>IF(LLM_Data_Entry!AL254="","",LLM_Data_Entry!AL254)</f>
        <v/>
      </c>
      <c r="T256" s="103">
        <f>IF(LLM_Data_Entry!BA254="","",LLM_Data_Entry!BA254)</f>
        <v/>
      </c>
      <c r="U256" s="103">
        <f>IF(LLM_Data_Entry!BB254="","",LLM_Data_Entry!BB254)</f>
        <v/>
      </c>
      <c r="V256" s="106">
        <f>IF(LLM_Data_Entry!O254="","",LLM_Data_Entry!O254)</f>
        <v/>
      </c>
    </row>
    <row r="257" ht="15" customHeight="1" s="241">
      <c r="A257" s="103">
        <f>IF(LLM_Data_Entry!A255="","",LLM_Data_Entry!A255)</f>
        <v/>
      </c>
      <c r="B257" s="103">
        <f>IF(LLM_Data_Entry!B255="","",LLM_Data_Entry!B255)</f>
        <v/>
      </c>
      <c r="C257" s="104">
        <f>IF(LLM_Data_Entry!C255="","",LLM_Data_Entry!C255)</f>
        <v/>
      </c>
      <c r="D257" s="103">
        <f>IF(LLM_Data_Entry!D255="","",LLM_Data_Entry!D255)</f>
        <v/>
      </c>
      <c r="E257" s="103">
        <f>IF(LLM_Data_Entry!V255="","",LLM_Data_Entry!V255)</f>
        <v/>
      </c>
      <c r="F257" s="103">
        <f>IF(LLM_Data_Entry!AS255="","",LLM_Data_Entry!AS255)</f>
        <v/>
      </c>
      <c r="G257" s="103">
        <f>IF(LLM_Data_Entry!AG255="","",LLM_Data_Entry!AG255)</f>
        <v/>
      </c>
      <c r="H257" s="103">
        <f>IF(LLM_Data_Entry!AT255="","",LLM_Data_Entry!AT255)</f>
        <v/>
      </c>
      <c r="I257" s="103">
        <f>IF(LLM_Data_Entry!AU255="","",LLM_Data_Entry!AU255)</f>
        <v/>
      </c>
      <c r="J257" s="103">
        <f>IF(LLM_Data_Entry!AH255="","",LLM_Data_Entry!AH255)</f>
        <v/>
      </c>
      <c r="K257" s="103">
        <f>IF(LLM_Data_Entry!AI255="","",LLM_Data_Entry!AI255)</f>
        <v/>
      </c>
      <c r="L257" s="103">
        <f>IF(LLM_Data_Entry!AJ255="","",LLM_Data_Entry!AJ255)</f>
        <v/>
      </c>
      <c r="M257" s="103">
        <f>IF(LLM_Data_Entry!AV255="","",LLM_Data_Entry!AV255)</f>
        <v/>
      </c>
      <c r="N257" s="103">
        <f>IF(LLM_Data_Entry!AW255="","",LLM_Data_Entry!AW255)</f>
        <v/>
      </c>
      <c r="O257" s="103">
        <f>IF(LLM_Data_Entry!AX255="","",LLM_Data_Entry!AX255)</f>
        <v/>
      </c>
      <c r="P257" s="103">
        <f>IF(LLM_Data_Entry!AY255="","",LLM_Data_Entry!AY255)</f>
        <v/>
      </c>
      <c r="Q257" s="103">
        <f>IF(LLM_Data_Entry!AZ255="","",LLM_Data_Entry!AZ255)</f>
        <v/>
      </c>
      <c r="R257" s="103">
        <f>IF(LLM_Data_Entry!AK255="","",LLM_Data_Entry!AK255)</f>
        <v/>
      </c>
      <c r="S257" s="103">
        <f>IF(LLM_Data_Entry!AL255="","",LLM_Data_Entry!AL255)</f>
        <v/>
      </c>
      <c r="T257" s="103">
        <f>IF(LLM_Data_Entry!BA255="","",LLM_Data_Entry!BA255)</f>
        <v/>
      </c>
      <c r="U257" s="103">
        <f>IF(LLM_Data_Entry!BB255="","",LLM_Data_Entry!BB255)</f>
        <v/>
      </c>
      <c r="V257" s="106">
        <f>IF(LLM_Data_Entry!O255="","",LLM_Data_Entry!O255)</f>
        <v/>
      </c>
    </row>
    <row r="258" ht="15" customHeight="1" s="241">
      <c r="A258" s="103">
        <f>IF(LLM_Data_Entry!A256="","",LLM_Data_Entry!A256)</f>
        <v/>
      </c>
      <c r="B258" s="103">
        <f>IF(LLM_Data_Entry!B256="","",LLM_Data_Entry!B256)</f>
        <v/>
      </c>
      <c r="C258" s="104">
        <f>IF(LLM_Data_Entry!C256="","",LLM_Data_Entry!C256)</f>
        <v/>
      </c>
      <c r="D258" s="103">
        <f>IF(LLM_Data_Entry!D256="","",LLM_Data_Entry!D256)</f>
        <v/>
      </c>
      <c r="E258" s="103">
        <f>IF(LLM_Data_Entry!V256="","",LLM_Data_Entry!V256)</f>
        <v/>
      </c>
      <c r="F258" s="103">
        <f>IF(LLM_Data_Entry!AS256="","",LLM_Data_Entry!AS256)</f>
        <v/>
      </c>
      <c r="G258" s="103">
        <f>IF(LLM_Data_Entry!AG256="","",LLM_Data_Entry!AG256)</f>
        <v/>
      </c>
      <c r="H258" s="103">
        <f>IF(LLM_Data_Entry!AT256="","",LLM_Data_Entry!AT256)</f>
        <v/>
      </c>
      <c r="I258" s="103">
        <f>IF(LLM_Data_Entry!AU256="","",LLM_Data_Entry!AU256)</f>
        <v/>
      </c>
      <c r="J258" s="103">
        <f>IF(LLM_Data_Entry!AH256="","",LLM_Data_Entry!AH256)</f>
        <v/>
      </c>
      <c r="K258" s="103">
        <f>IF(LLM_Data_Entry!AI256="","",LLM_Data_Entry!AI256)</f>
        <v/>
      </c>
      <c r="L258" s="103">
        <f>IF(LLM_Data_Entry!AJ256="","",LLM_Data_Entry!AJ256)</f>
        <v/>
      </c>
      <c r="M258" s="103">
        <f>IF(LLM_Data_Entry!AV256="","",LLM_Data_Entry!AV256)</f>
        <v/>
      </c>
      <c r="N258" s="103">
        <f>IF(LLM_Data_Entry!AW256="","",LLM_Data_Entry!AW256)</f>
        <v/>
      </c>
      <c r="O258" s="103">
        <f>IF(LLM_Data_Entry!AX256="","",LLM_Data_Entry!AX256)</f>
        <v/>
      </c>
      <c r="P258" s="103">
        <f>IF(LLM_Data_Entry!AY256="","",LLM_Data_Entry!AY256)</f>
        <v/>
      </c>
      <c r="Q258" s="103">
        <f>IF(LLM_Data_Entry!AZ256="","",LLM_Data_Entry!AZ256)</f>
        <v/>
      </c>
      <c r="R258" s="103">
        <f>IF(LLM_Data_Entry!AK256="","",LLM_Data_Entry!AK256)</f>
        <v/>
      </c>
      <c r="S258" s="103">
        <f>IF(LLM_Data_Entry!AL256="","",LLM_Data_Entry!AL256)</f>
        <v/>
      </c>
      <c r="T258" s="103">
        <f>IF(LLM_Data_Entry!BA256="","",LLM_Data_Entry!BA256)</f>
        <v/>
      </c>
      <c r="U258" s="103">
        <f>IF(LLM_Data_Entry!BB256="","",LLM_Data_Entry!BB256)</f>
        <v/>
      </c>
      <c r="V258" s="106">
        <f>IF(LLM_Data_Entry!O256="","",LLM_Data_Entry!O256)</f>
        <v/>
      </c>
    </row>
    <row r="259" ht="15" customHeight="1" s="241">
      <c r="A259" s="103">
        <f>IF(LLM_Data_Entry!A257="","",LLM_Data_Entry!A257)</f>
        <v/>
      </c>
      <c r="B259" s="103">
        <f>IF(LLM_Data_Entry!B257="","",LLM_Data_Entry!B257)</f>
        <v/>
      </c>
      <c r="C259" s="104">
        <f>IF(LLM_Data_Entry!C257="","",LLM_Data_Entry!C257)</f>
        <v/>
      </c>
      <c r="D259" s="103">
        <f>IF(LLM_Data_Entry!D257="","",LLM_Data_Entry!D257)</f>
        <v/>
      </c>
      <c r="E259" s="103">
        <f>IF(LLM_Data_Entry!V257="","",LLM_Data_Entry!V257)</f>
        <v/>
      </c>
      <c r="F259" s="103">
        <f>IF(LLM_Data_Entry!AS257="","",LLM_Data_Entry!AS257)</f>
        <v/>
      </c>
      <c r="G259" s="103">
        <f>IF(LLM_Data_Entry!AG257="","",LLM_Data_Entry!AG257)</f>
        <v/>
      </c>
      <c r="H259" s="103">
        <f>IF(LLM_Data_Entry!AT257="","",LLM_Data_Entry!AT257)</f>
        <v/>
      </c>
      <c r="I259" s="103">
        <f>IF(LLM_Data_Entry!AU257="","",LLM_Data_Entry!AU257)</f>
        <v/>
      </c>
      <c r="J259" s="103">
        <f>IF(LLM_Data_Entry!AH257="","",LLM_Data_Entry!AH257)</f>
        <v/>
      </c>
      <c r="K259" s="103">
        <f>IF(LLM_Data_Entry!AI257="","",LLM_Data_Entry!AI257)</f>
        <v/>
      </c>
      <c r="L259" s="103">
        <f>IF(LLM_Data_Entry!AJ257="","",LLM_Data_Entry!AJ257)</f>
        <v/>
      </c>
      <c r="M259" s="103">
        <f>IF(LLM_Data_Entry!AV257="","",LLM_Data_Entry!AV257)</f>
        <v/>
      </c>
      <c r="N259" s="103">
        <f>IF(LLM_Data_Entry!AW257="","",LLM_Data_Entry!AW257)</f>
        <v/>
      </c>
      <c r="O259" s="103">
        <f>IF(LLM_Data_Entry!AX257="","",LLM_Data_Entry!AX257)</f>
        <v/>
      </c>
      <c r="P259" s="103">
        <f>IF(LLM_Data_Entry!AY257="","",LLM_Data_Entry!AY257)</f>
        <v/>
      </c>
      <c r="Q259" s="103">
        <f>IF(LLM_Data_Entry!AZ257="","",LLM_Data_Entry!AZ257)</f>
        <v/>
      </c>
      <c r="R259" s="103">
        <f>IF(LLM_Data_Entry!AK257="","",LLM_Data_Entry!AK257)</f>
        <v/>
      </c>
      <c r="S259" s="103">
        <f>IF(LLM_Data_Entry!AL257="","",LLM_Data_Entry!AL257)</f>
        <v/>
      </c>
      <c r="T259" s="103">
        <f>IF(LLM_Data_Entry!BA257="","",LLM_Data_Entry!BA257)</f>
        <v/>
      </c>
      <c r="U259" s="103">
        <f>IF(LLM_Data_Entry!BB257="","",LLM_Data_Entry!BB257)</f>
        <v/>
      </c>
      <c r="V259" s="106">
        <f>IF(LLM_Data_Entry!O257="","",LLM_Data_Entry!O257)</f>
        <v/>
      </c>
    </row>
    <row r="260" ht="15" customHeight="1" s="241">
      <c r="A260" s="103">
        <f>IF(LLM_Data_Entry!A258="","",LLM_Data_Entry!A258)</f>
        <v/>
      </c>
      <c r="B260" s="103">
        <f>IF(LLM_Data_Entry!B258="","",LLM_Data_Entry!B258)</f>
        <v/>
      </c>
      <c r="C260" s="104">
        <f>IF(LLM_Data_Entry!C258="","",LLM_Data_Entry!C258)</f>
        <v/>
      </c>
      <c r="D260" s="103">
        <f>IF(LLM_Data_Entry!D258="","",LLM_Data_Entry!D258)</f>
        <v/>
      </c>
      <c r="E260" s="103">
        <f>IF(LLM_Data_Entry!V258="","",LLM_Data_Entry!V258)</f>
        <v/>
      </c>
      <c r="F260" s="103">
        <f>IF(LLM_Data_Entry!AS258="","",LLM_Data_Entry!AS258)</f>
        <v/>
      </c>
      <c r="G260" s="103">
        <f>IF(LLM_Data_Entry!AG258="","",LLM_Data_Entry!AG258)</f>
        <v/>
      </c>
      <c r="H260" s="103">
        <f>IF(LLM_Data_Entry!AT258="","",LLM_Data_Entry!AT258)</f>
        <v/>
      </c>
      <c r="I260" s="103">
        <f>IF(LLM_Data_Entry!AU258="","",LLM_Data_Entry!AU258)</f>
        <v/>
      </c>
      <c r="J260" s="103">
        <f>IF(LLM_Data_Entry!AH258="","",LLM_Data_Entry!AH258)</f>
        <v/>
      </c>
      <c r="K260" s="103">
        <f>IF(LLM_Data_Entry!AI258="","",LLM_Data_Entry!AI258)</f>
        <v/>
      </c>
      <c r="L260" s="103">
        <f>IF(LLM_Data_Entry!AJ258="","",LLM_Data_Entry!AJ258)</f>
        <v/>
      </c>
      <c r="M260" s="103">
        <f>IF(LLM_Data_Entry!AV258="","",LLM_Data_Entry!AV258)</f>
        <v/>
      </c>
      <c r="N260" s="103">
        <f>IF(LLM_Data_Entry!AW258="","",LLM_Data_Entry!AW258)</f>
        <v/>
      </c>
      <c r="O260" s="103">
        <f>IF(LLM_Data_Entry!AX258="","",LLM_Data_Entry!AX258)</f>
        <v/>
      </c>
      <c r="P260" s="103">
        <f>IF(LLM_Data_Entry!AY258="","",LLM_Data_Entry!AY258)</f>
        <v/>
      </c>
      <c r="Q260" s="103">
        <f>IF(LLM_Data_Entry!AZ258="","",LLM_Data_Entry!AZ258)</f>
        <v/>
      </c>
      <c r="R260" s="103">
        <f>IF(LLM_Data_Entry!AK258="","",LLM_Data_Entry!AK258)</f>
        <v/>
      </c>
      <c r="S260" s="103">
        <f>IF(LLM_Data_Entry!AL258="","",LLM_Data_Entry!AL258)</f>
        <v/>
      </c>
      <c r="T260" s="103">
        <f>IF(LLM_Data_Entry!BA258="","",LLM_Data_Entry!BA258)</f>
        <v/>
      </c>
      <c r="U260" s="103">
        <f>IF(LLM_Data_Entry!BB258="","",LLM_Data_Entry!BB258)</f>
        <v/>
      </c>
      <c r="V260" s="106">
        <f>IF(LLM_Data_Entry!O258="","",LLM_Data_Entry!O258)</f>
        <v/>
      </c>
    </row>
    <row r="261" ht="15" customHeight="1" s="241">
      <c r="A261" s="103">
        <f>IF(LLM_Data_Entry!A259="","",LLM_Data_Entry!A259)</f>
        <v/>
      </c>
      <c r="B261" s="103">
        <f>IF(LLM_Data_Entry!B259="","",LLM_Data_Entry!B259)</f>
        <v/>
      </c>
      <c r="C261" s="104">
        <f>IF(LLM_Data_Entry!C259="","",LLM_Data_Entry!C259)</f>
        <v/>
      </c>
      <c r="D261" s="103">
        <f>IF(LLM_Data_Entry!D259="","",LLM_Data_Entry!D259)</f>
        <v/>
      </c>
      <c r="E261" s="103">
        <f>IF(LLM_Data_Entry!V259="","",LLM_Data_Entry!V259)</f>
        <v/>
      </c>
      <c r="F261" s="103">
        <f>IF(LLM_Data_Entry!AS259="","",LLM_Data_Entry!AS259)</f>
        <v/>
      </c>
      <c r="G261" s="103">
        <f>IF(LLM_Data_Entry!AG259="","",LLM_Data_Entry!AG259)</f>
        <v/>
      </c>
      <c r="H261" s="103">
        <f>IF(LLM_Data_Entry!AT259="","",LLM_Data_Entry!AT259)</f>
        <v/>
      </c>
      <c r="I261" s="103">
        <f>IF(LLM_Data_Entry!AU259="","",LLM_Data_Entry!AU259)</f>
        <v/>
      </c>
      <c r="J261" s="103">
        <f>IF(LLM_Data_Entry!AH259="","",LLM_Data_Entry!AH259)</f>
        <v/>
      </c>
      <c r="K261" s="103">
        <f>IF(LLM_Data_Entry!AI259="","",LLM_Data_Entry!AI259)</f>
        <v/>
      </c>
      <c r="L261" s="103">
        <f>IF(LLM_Data_Entry!AJ259="","",LLM_Data_Entry!AJ259)</f>
        <v/>
      </c>
      <c r="M261" s="103">
        <f>IF(LLM_Data_Entry!AV259="","",LLM_Data_Entry!AV259)</f>
        <v/>
      </c>
      <c r="N261" s="103">
        <f>IF(LLM_Data_Entry!AW259="","",LLM_Data_Entry!AW259)</f>
        <v/>
      </c>
      <c r="O261" s="103">
        <f>IF(LLM_Data_Entry!AX259="","",LLM_Data_Entry!AX259)</f>
        <v/>
      </c>
      <c r="P261" s="103">
        <f>IF(LLM_Data_Entry!AY259="","",LLM_Data_Entry!AY259)</f>
        <v/>
      </c>
      <c r="Q261" s="103">
        <f>IF(LLM_Data_Entry!AZ259="","",LLM_Data_Entry!AZ259)</f>
        <v/>
      </c>
      <c r="R261" s="103">
        <f>IF(LLM_Data_Entry!AK259="","",LLM_Data_Entry!AK259)</f>
        <v/>
      </c>
      <c r="S261" s="103">
        <f>IF(LLM_Data_Entry!AL259="","",LLM_Data_Entry!AL259)</f>
        <v/>
      </c>
      <c r="T261" s="103">
        <f>IF(LLM_Data_Entry!BA259="","",LLM_Data_Entry!BA259)</f>
        <v/>
      </c>
      <c r="U261" s="103">
        <f>IF(LLM_Data_Entry!BB259="","",LLM_Data_Entry!BB259)</f>
        <v/>
      </c>
      <c r="V261" s="106">
        <f>IF(LLM_Data_Entry!O259="","",LLM_Data_Entry!O259)</f>
        <v/>
      </c>
    </row>
    <row r="262" ht="15" customHeight="1" s="241">
      <c r="A262" s="103">
        <f>IF(LLM_Data_Entry!A260="","",LLM_Data_Entry!A260)</f>
        <v/>
      </c>
      <c r="B262" s="103">
        <f>IF(LLM_Data_Entry!B260="","",LLM_Data_Entry!B260)</f>
        <v/>
      </c>
      <c r="C262" s="104">
        <f>IF(LLM_Data_Entry!C260="","",LLM_Data_Entry!C260)</f>
        <v/>
      </c>
      <c r="D262" s="103">
        <f>IF(LLM_Data_Entry!D260="","",LLM_Data_Entry!D260)</f>
        <v/>
      </c>
      <c r="E262" s="103">
        <f>IF(LLM_Data_Entry!V260="","",LLM_Data_Entry!V260)</f>
        <v/>
      </c>
      <c r="F262" s="103">
        <f>IF(LLM_Data_Entry!AS260="","",LLM_Data_Entry!AS260)</f>
        <v/>
      </c>
      <c r="G262" s="103">
        <f>IF(LLM_Data_Entry!AG260="","",LLM_Data_Entry!AG260)</f>
        <v/>
      </c>
      <c r="H262" s="103">
        <f>IF(LLM_Data_Entry!AT260="","",LLM_Data_Entry!AT260)</f>
        <v/>
      </c>
      <c r="I262" s="103">
        <f>IF(LLM_Data_Entry!AU260="","",LLM_Data_Entry!AU260)</f>
        <v/>
      </c>
      <c r="J262" s="103">
        <f>IF(LLM_Data_Entry!AH260="","",LLM_Data_Entry!AH260)</f>
        <v/>
      </c>
      <c r="K262" s="103">
        <f>IF(LLM_Data_Entry!AI260="","",LLM_Data_Entry!AI260)</f>
        <v/>
      </c>
      <c r="L262" s="103">
        <f>IF(LLM_Data_Entry!AJ260="","",LLM_Data_Entry!AJ260)</f>
        <v/>
      </c>
      <c r="M262" s="103">
        <f>IF(LLM_Data_Entry!AV260="","",LLM_Data_Entry!AV260)</f>
        <v/>
      </c>
      <c r="N262" s="103">
        <f>IF(LLM_Data_Entry!AW260="","",LLM_Data_Entry!AW260)</f>
        <v/>
      </c>
      <c r="O262" s="103">
        <f>IF(LLM_Data_Entry!AX260="","",LLM_Data_Entry!AX260)</f>
        <v/>
      </c>
      <c r="P262" s="103">
        <f>IF(LLM_Data_Entry!AY260="","",LLM_Data_Entry!AY260)</f>
        <v/>
      </c>
      <c r="Q262" s="103">
        <f>IF(LLM_Data_Entry!AZ260="","",LLM_Data_Entry!AZ260)</f>
        <v/>
      </c>
      <c r="R262" s="103">
        <f>IF(LLM_Data_Entry!AK260="","",LLM_Data_Entry!AK260)</f>
        <v/>
      </c>
      <c r="S262" s="103">
        <f>IF(LLM_Data_Entry!AL260="","",LLM_Data_Entry!AL260)</f>
        <v/>
      </c>
      <c r="T262" s="103">
        <f>IF(LLM_Data_Entry!BA260="","",LLM_Data_Entry!BA260)</f>
        <v/>
      </c>
      <c r="U262" s="103">
        <f>IF(LLM_Data_Entry!BB260="","",LLM_Data_Entry!BB260)</f>
        <v/>
      </c>
      <c r="V262" s="106">
        <f>IF(LLM_Data_Entry!O260="","",LLM_Data_Entry!O260)</f>
        <v/>
      </c>
    </row>
    <row r="263" ht="15" customHeight="1" s="241">
      <c r="A263" s="103">
        <f>IF(LLM_Data_Entry!A261="","",LLM_Data_Entry!A261)</f>
        <v/>
      </c>
      <c r="B263" s="103">
        <f>IF(LLM_Data_Entry!B261="","",LLM_Data_Entry!B261)</f>
        <v/>
      </c>
      <c r="C263" s="104">
        <f>IF(LLM_Data_Entry!C261="","",LLM_Data_Entry!C261)</f>
        <v/>
      </c>
      <c r="D263" s="103">
        <f>IF(LLM_Data_Entry!D261="","",LLM_Data_Entry!D261)</f>
        <v/>
      </c>
      <c r="E263" s="103">
        <f>IF(LLM_Data_Entry!V261="","",LLM_Data_Entry!V261)</f>
        <v/>
      </c>
      <c r="F263" s="103">
        <f>IF(LLM_Data_Entry!AS261="","",LLM_Data_Entry!AS261)</f>
        <v/>
      </c>
      <c r="G263" s="103">
        <f>IF(LLM_Data_Entry!AG261="","",LLM_Data_Entry!AG261)</f>
        <v/>
      </c>
      <c r="H263" s="103">
        <f>IF(LLM_Data_Entry!AT261="","",LLM_Data_Entry!AT261)</f>
        <v/>
      </c>
      <c r="I263" s="103">
        <f>IF(LLM_Data_Entry!AU261="","",LLM_Data_Entry!AU261)</f>
        <v/>
      </c>
      <c r="J263" s="103">
        <f>IF(LLM_Data_Entry!AH261="","",LLM_Data_Entry!AH261)</f>
        <v/>
      </c>
      <c r="K263" s="103">
        <f>IF(LLM_Data_Entry!AI261="","",LLM_Data_Entry!AI261)</f>
        <v/>
      </c>
      <c r="L263" s="103">
        <f>IF(LLM_Data_Entry!AJ261="","",LLM_Data_Entry!AJ261)</f>
        <v/>
      </c>
      <c r="M263" s="103">
        <f>IF(LLM_Data_Entry!AV261="","",LLM_Data_Entry!AV261)</f>
        <v/>
      </c>
      <c r="N263" s="103">
        <f>IF(LLM_Data_Entry!AW261="","",LLM_Data_Entry!AW261)</f>
        <v/>
      </c>
      <c r="O263" s="103">
        <f>IF(LLM_Data_Entry!AX261="","",LLM_Data_Entry!AX261)</f>
        <v/>
      </c>
      <c r="P263" s="103">
        <f>IF(LLM_Data_Entry!AY261="","",LLM_Data_Entry!AY261)</f>
        <v/>
      </c>
      <c r="Q263" s="103">
        <f>IF(LLM_Data_Entry!AZ261="","",LLM_Data_Entry!AZ261)</f>
        <v/>
      </c>
      <c r="R263" s="103">
        <f>IF(LLM_Data_Entry!AK261="","",LLM_Data_Entry!AK261)</f>
        <v/>
      </c>
      <c r="S263" s="103">
        <f>IF(LLM_Data_Entry!AL261="","",LLM_Data_Entry!AL261)</f>
        <v/>
      </c>
      <c r="T263" s="103">
        <f>IF(LLM_Data_Entry!BA261="","",LLM_Data_Entry!BA261)</f>
        <v/>
      </c>
      <c r="U263" s="103">
        <f>IF(LLM_Data_Entry!BB261="","",LLM_Data_Entry!BB261)</f>
        <v/>
      </c>
      <c r="V263" s="106">
        <f>IF(LLM_Data_Entry!O261="","",LLM_Data_Entry!O261)</f>
        <v/>
      </c>
    </row>
    <row r="264" ht="15" customHeight="1" s="241">
      <c r="A264" s="103">
        <f>IF(LLM_Data_Entry!A262="","",LLM_Data_Entry!A262)</f>
        <v/>
      </c>
      <c r="B264" s="103">
        <f>IF(LLM_Data_Entry!B262="","",LLM_Data_Entry!B262)</f>
        <v/>
      </c>
      <c r="C264" s="104">
        <f>IF(LLM_Data_Entry!C262="","",LLM_Data_Entry!C262)</f>
        <v/>
      </c>
      <c r="D264" s="103">
        <f>IF(LLM_Data_Entry!D262="","",LLM_Data_Entry!D262)</f>
        <v/>
      </c>
      <c r="E264" s="103">
        <f>IF(LLM_Data_Entry!V262="","",LLM_Data_Entry!V262)</f>
        <v/>
      </c>
      <c r="F264" s="103">
        <f>IF(LLM_Data_Entry!AS262="","",LLM_Data_Entry!AS262)</f>
        <v/>
      </c>
      <c r="G264" s="103">
        <f>IF(LLM_Data_Entry!AG262="","",LLM_Data_Entry!AG262)</f>
        <v/>
      </c>
      <c r="H264" s="103">
        <f>IF(LLM_Data_Entry!AT262="","",LLM_Data_Entry!AT262)</f>
        <v/>
      </c>
      <c r="I264" s="103">
        <f>IF(LLM_Data_Entry!AU262="","",LLM_Data_Entry!AU262)</f>
        <v/>
      </c>
      <c r="J264" s="103">
        <f>IF(LLM_Data_Entry!AH262="","",LLM_Data_Entry!AH262)</f>
        <v/>
      </c>
      <c r="K264" s="103">
        <f>IF(LLM_Data_Entry!AI262="","",LLM_Data_Entry!AI262)</f>
        <v/>
      </c>
      <c r="L264" s="103">
        <f>IF(LLM_Data_Entry!AJ262="","",LLM_Data_Entry!AJ262)</f>
        <v/>
      </c>
      <c r="M264" s="103">
        <f>IF(LLM_Data_Entry!AV262="","",LLM_Data_Entry!AV262)</f>
        <v/>
      </c>
      <c r="N264" s="103">
        <f>IF(LLM_Data_Entry!AW262="","",LLM_Data_Entry!AW262)</f>
        <v/>
      </c>
      <c r="O264" s="103">
        <f>IF(LLM_Data_Entry!AX262="","",LLM_Data_Entry!AX262)</f>
        <v/>
      </c>
      <c r="P264" s="103">
        <f>IF(LLM_Data_Entry!AY262="","",LLM_Data_Entry!AY262)</f>
        <v/>
      </c>
      <c r="Q264" s="103">
        <f>IF(LLM_Data_Entry!AZ262="","",LLM_Data_Entry!AZ262)</f>
        <v/>
      </c>
      <c r="R264" s="103">
        <f>IF(LLM_Data_Entry!AK262="","",LLM_Data_Entry!AK262)</f>
        <v/>
      </c>
      <c r="S264" s="103">
        <f>IF(LLM_Data_Entry!AL262="","",LLM_Data_Entry!AL262)</f>
        <v/>
      </c>
      <c r="T264" s="103">
        <f>IF(LLM_Data_Entry!BA262="","",LLM_Data_Entry!BA262)</f>
        <v/>
      </c>
      <c r="U264" s="103">
        <f>IF(LLM_Data_Entry!BB262="","",LLM_Data_Entry!BB262)</f>
        <v/>
      </c>
      <c r="V264" s="106">
        <f>IF(LLM_Data_Entry!O262="","",LLM_Data_Entry!O262)</f>
        <v/>
      </c>
    </row>
    <row r="265" ht="15" customHeight="1" s="241">
      <c r="A265" s="103">
        <f>IF(LLM_Data_Entry!A263="","",LLM_Data_Entry!A263)</f>
        <v/>
      </c>
      <c r="B265" s="103">
        <f>IF(LLM_Data_Entry!B263="","",LLM_Data_Entry!B263)</f>
        <v/>
      </c>
      <c r="C265" s="104">
        <f>IF(LLM_Data_Entry!C263="","",LLM_Data_Entry!C263)</f>
        <v/>
      </c>
      <c r="D265" s="103">
        <f>IF(LLM_Data_Entry!D263="","",LLM_Data_Entry!D263)</f>
        <v/>
      </c>
      <c r="E265" s="103">
        <f>IF(LLM_Data_Entry!V263="","",LLM_Data_Entry!V263)</f>
        <v/>
      </c>
      <c r="F265" s="103">
        <f>IF(LLM_Data_Entry!AS263="","",LLM_Data_Entry!AS263)</f>
        <v/>
      </c>
      <c r="G265" s="103">
        <f>IF(LLM_Data_Entry!AG263="","",LLM_Data_Entry!AG263)</f>
        <v/>
      </c>
      <c r="H265" s="103">
        <f>IF(LLM_Data_Entry!AT263="","",LLM_Data_Entry!AT263)</f>
        <v/>
      </c>
      <c r="I265" s="103">
        <f>IF(LLM_Data_Entry!AU263="","",LLM_Data_Entry!AU263)</f>
        <v/>
      </c>
      <c r="J265" s="103">
        <f>IF(LLM_Data_Entry!AH263="","",LLM_Data_Entry!AH263)</f>
        <v/>
      </c>
      <c r="K265" s="103">
        <f>IF(LLM_Data_Entry!AI263="","",LLM_Data_Entry!AI263)</f>
        <v/>
      </c>
      <c r="L265" s="103">
        <f>IF(LLM_Data_Entry!AJ263="","",LLM_Data_Entry!AJ263)</f>
        <v/>
      </c>
      <c r="M265" s="103">
        <f>IF(LLM_Data_Entry!AV263="","",LLM_Data_Entry!AV263)</f>
        <v/>
      </c>
      <c r="N265" s="103">
        <f>IF(LLM_Data_Entry!AW263="","",LLM_Data_Entry!AW263)</f>
        <v/>
      </c>
      <c r="O265" s="103">
        <f>IF(LLM_Data_Entry!AX263="","",LLM_Data_Entry!AX263)</f>
        <v/>
      </c>
      <c r="P265" s="103">
        <f>IF(LLM_Data_Entry!AY263="","",LLM_Data_Entry!AY263)</f>
        <v/>
      </c>
      <c r="Q265" s="103">
        <f>IF(LLM_Data_Entry!AZ263="","",LLM_Data_Entry!AZ263)</f>
        <v/>
      </c>
      <c r="R265" s="103">
        <f>IF(LLM_Data_Entry!AK263="","",LLM_Data_Entry!AK263)</f>
        <v/>
      </c>
      <c r="S265" s="103">
        <f>IF(LLM_Data_Entry!AL263="","",LLM_Data_Entry!AL263)</f>
        <v/>
      </c>
      <c r="T265" s="103">
        <f>IF(LLM_Data_Entry!BA263="","",LLM_Data_Entry!BA263)</f>
        <v/>
      </c>
      <c r="U265" s="103">
        <f>IF(LLM_Data_Entry!BB263="","",LLM_Data_Entry!BB263)</f>
        <v/>
      </c>
      <c r="V265" s="106">
        <f>IF(LLM_Data_Entry!O263="","",LLM_Data_Entry!O263)</f>
        <v/>
      </c>
    </row>
    <row r="266" ht="15" customHeight="1" s="241">
      <c r="A266" s="103">
        <f>IF(LLM_Data_Entry!A264="","",LLM_Data_Entry!A264)</f>
        <v/>
      </c>
      <c r="B266" s="103">
        <f>IF(LLM_Data_Entry!B264="","",LLM_Data_Entry!B264)</f>
        <v/>
      </c>
      <c r="C266" s="104">
        <f>IF(LLM_Data_Entry!C264="","",LLM_Data_Entry!C264)</f>
        <v/>
      </c>
      <c r="D266" s="103">
        <f>IF(LLM_Data_Entry!D264="","",LLM_Data_Entry!D264)</f>
        <v/>
      </c>
      <c r="E266" s="103">
        <f>IF(LLM_Data_Entry!V264="","",LLM_Data_Entry!V264)</f>
        <v/>
      </c>
      <c r="F266" s="103">
        <f>IF(LLM_Data_Entry!AS264="","",LLM_Data_Entry!AS264)</f>
        <v/>
      </c>
      <c r="G266" s="103">
        <f>IF(LLM_Data_Entry!AG264="","",LLM_Data_Entry!AG264)</f>
        <v/>
      </c>
      <c r="H266" s="103">
        <f>IF(LLM_Data_Entry!AT264="","",LLM_Data_Entry!AT264)</f>
        <v/>
      </c>
      <c r="I266" s="103">
        <f>IF(LLM_Data_Entry!AU264="","",LLM_Data_Entry!AU264)</f>
        <v/>
      </c>
      <c r="J266" s="103">
        <f>IF(LLM_Data_Entry!AH264="","",LLM_Data_Entry!AH264)</f>
        <v/>
      </c>
      <c r="K266" s="103">
        <f>IF(LLM_Data_Entry!AI264="","",LLM_Data_Entry!AI264)</f>
        <v/>
      </c>
      <c r="L266" s="103">
        <f>IF(LLM_Data_Entry!AJ264="","",LLM_Data_Entry!AJ264)</f>
        <v/>
      </c>
      <c r="M266" s="103">
        <f>IF(LLM_Data_Entry!AV264="","",LLM_Data_Entry!AV264)</f>
        <v/>
      </c>
      <c r="N266" s="103">
        <f>IF(LLM_Data_Entry!AW264="","",LLM_Data_Entry!AW264)</f>
        <v/>
      </c>
      <c r="O266" s="103">
        <f>IF(LLM_Data_Entry!AX264="","",LLM_Data_Entry!AX264)</f>
        <v/>
      </c>
      <c r="P266" s="103">
        <f>IF(LLM_Data_Entry!AY264="","",LLM_Data_Entry!AY264)</f>
        <v/>
      </c>
      <c r="Q266" s="103">
        <f>IF(LLM_Data_Entry!AZ264="","",LLM_Data_Entry!AZ264)</f>
        <v/>
      </c>
      <c r="R266" s="103">
        <f>IF(LLM_Data_Entry!AK264="","",LLM_Data_Entry!AK264)</f>
        <v/>
      </c>
      <c r="S266" s="103">
        <f>IF(LLM_Data_Entry!AL264="","",LLM_Data_Entry!AL264)</f>
        <v/>
      </c>
      <c r="T266" s="103">
        <f>IF(LLM_Data_Entry!BA264="","",LLM_Data_Entry!BA264)</f>
        <v/>
      </c>
      <c r="U266" s="103">
        <f>IF(LLM_Data_Entry!BB264="","",LLM_Data_Entry!BB264)</f>
        <v/>
      </c>
      <c r="V266" s="106">
        <f>IF(LLM_Data_Entry!O264="","",LLM_Data_Entry!O264)</f>
        <v/>
      </c>
    </row>
    <row r="267" ht="15" customHeight="1" s="241">
      <c r="A267" s="103">
        <f>IF(LLM_Data_Entry!A265="","",LLM_Data_Entry!A265)</f>
        <v/>
      </c>
      <c r="B267" s="103">
        <f>IF(LLM_Data_Entry!B265="","",LLM_Data_Entry!B265)</f>
        <v/>
      </c>
      <c r="C267" s="104">
        <f>IF(LLM_Data_Entry!C265="","",LLM_Data_Entry!C265)</f>
        <v/>
      </c>
      <c r="D267" s="103">
        <f>IF(LLM_Data_Entry!D265="","",LLM_Data_Entry!D265)</f>
        <v/>
      </c>
      <c r="E267" s="103">
        <f>IF(LLM_Data_Entry!V265="","",LLM_Data_Entry!V265)</f>
        <v/>
      </c>
      <c r="F267" s="103">
        <f>IF(LLM_Data_Entry!AS265="","",LLM_Data_Entry!AS265)</f>
        <v/>
      </c>
      <c r="G267" s="103">
        <f>IF(LLM_Data_Entry!AG265="","",LLM_Data_Entry!AG265)</f>
        <v/>
      </c>
      <c r="H267" s="103">
        <f>IF(LLM_Data_Entry!AT265="","",LLM_Data_Entry!AT265)</f>
        <v/>
      </c>
      <c r="I267" s="103">
        <f>IF(LLM_Data_Entry!AU265="","",LLM_Data_Entry!AU265)</f>
        <v/>
      </c>
      <c r="J267" s="103">
        <f>IF(LLM_Data_Entry!AH265="","",LLM_Data_Entry!AH265)</f>
        <v/>
      </c>
      <c r="K267" s="103">
        <f>IF(LLM_Data_Entry!AI265="","",LLM_Data_Entry!AI265)</f>
        <v/>
      </c>
      <c r="L267" s="103">
        <f>IF(LLM_Data_Entry!AJ265="","",LLM_Data_Entry!AJ265)</f>
        <v/>
      </c>
      <c r="M267" s="103">
        <f>IF(LLM_Data_Entry!AV265="","",LLM_Data_Entry!AV265)</f>
        <v/>
      </c>
      <c r="N267" s="103">
        <f>IF(LLM_Data_Entry!AW265="","",LLM_Data_Entry!AW265)</f>
        <v/>
      </c>
      <c r="O267" s="103">
        <f>IF(LLM_Data_Entry!AX265="","",LLM_Data_Entry!AX265)</f>
        <v/>
      </c>
      <c r="P267" s="103">
        <f>IF(LLM_Data_Entry!AY265="","",LLM_Data_Entry!AY265)</f>
        <v/>
      </c>
      <c r="Q267" s="103">
        <f>IF(LLM_Data_Entry!AZ265="","",LLM_Data_Entry!AZ265)</f>
        <v/>
      </c>
      <c r="R267" s="103">
        <f>IF(LLM_Data_Entry!AK265="","",LLM_Data_Entry!AK265)</f>
        <v/>
      </c>
      <c r="S267" s="103">
        <f>IF(LLM_Data_Entry!AL265="","",LLM_Data_Entry!AL265)</f>
        <v/>
      </c>
      <c r="T267" s="103">
        <f>IF(LLM_Data_Entry!BA265="","",LLM_Data_Entry!BA265)</f>
        <v/>
      </c>
      <c r="U267" s="103">
        <f>IF(LLM_Data_Entry!BB265="","",LLM_Data_Entry!BB265)</f>
        <v/>
      </c>
      <c r="V267" s="106">
        <f>IF(LLM_Data_Entry!O265="","",LLM_Data_Entry!O265)</f>
        <v/>
      </c>
    </row>
    <row r="268" ht="15" customHeight="1" s="241">
      <c r="A268" s="103">
        <f>IF(LLM_Data_Entry!A266="","",LLM_Data_Entry!A266)</f>
        <v/>
      </c>
      <c r="B268" s="103">
        <f>IF(LLM_Data_Entry!B266="","",LLM_Data_Entry!B266)</f>
        <v/>
      </c>
      <c r="C268" s="104">
        <f>IF(LLM_Data_Entry!C266="","",LLM_Data_Entry!C266)</f>
        <v/>
      </c>
      <c r="D268" s="103">
        <f>IF(LLM_Data_Entry!D266="","",LLM_Data_Entry!D266)</f>
        <v/>
      </c>
      <c r="E268" s="103">
        <f>IF(LLM_Data_Entry!V266="","",LLM_Data_Entry!V266)</f>
        <v/>
      </c>
      <c r="F268" s="103">
        <f>IF(LLM_Data_Entry!AS266="","",LLM_Data_Entry!AS266)</f>
        <v/>
      </c>
      <c r="G268" s="103">
        <f>IF(LLM_Data_Entry!AG266="","",LLM_Data_Entry!AG266)</f>
        <v/>
      </c>
      <c r="H268" s="103">
        <f>IF(LLM_Data_Entry!AT266="","",LLM_Data_Entry!AT266)</f>
        <v/>
      </c>
      <c r="I268" s="103">
        <f>IF(LLM_Data_Entry!AU266="","",LLM_Data_Entry!AU266)</f>
        <v/>
      </c>
      <c r="J268" s="103">
        <f>IF(LLM_Data_Entry!AH266="","",LLM_Data_Entry!AH266)</f>
        <v/>
      </c>
      <c r="K268" s="103">
        <f>IF(LLM_Data_Entry!AI266="","",LLM_Data_Entry!AI266)</f>
        <v/>
      </c>
      <c r="L268" s="103">
        <f>IF(LLM_Data_Entry!AJ266="","",LLM_Data_Entry!AJ266)</f>
        <v/>
      </c>
      <c r="M268" s="103">
        <f>IF(LLM_Data_Entry!AV266="","",LLM_Data_Entry!AV266)</f>
        <v/>
      </c>
      <c r="N268" s="103">
        <f>IF(LLM_Data_Entry!AW266="","",LLM_Data_Entry!AW266)</f>
        <v/>
      </c>
      <c r="O268" s="103">
        <f>IF(LLM_Data_Entry!AX266="","",LLM_Data_Entry!AX266)</f>
        <v/>
      </c>
      <c r="P268" s="103">
        <f>IF(LLM_Data_Entry!AY266="","",LLM_Data_Entry!AY266)</f>
        <v/>
      </c>
      <c r="Q268" s="103">
        <f>IF(LLM_Data_Entry!AZ266="","",LLM_Data_Entry!AZ266)</f>
        <v/>
      </c>
      <c r="R268" s="103">
        <f>IF(LLM_Data_Entry!AK266="","",LLM_Data_Entry!AK266)</f>
        <v/>
      </c>
      <c r="S268" s="103">
        <f>IF(LLM_Data_Entry!AL266="","",LLM_Data_Entry!AL266)</f>
        <v/>
      </c>
      <c r="T268" s="103">
        <f>IF(LLM_Data_Entry!BA266="","",LLM_Data_Entry!BA266)</f>
        <v/>
      </c>
      <c r="U268" s="103">
        <f>IF(LLM_Data_Entry!BB266="","",LLM_Data_Entry!BB266)</f>
        <v/>
      </c>
      <c r="V268" s="106">
        <f>IF(LLM_Data_Entry!O266="","",LLM_Data_Entry!O266)</f>
        <v/>
      </c>
    </row>
    <row r="269" ht="15" customHeight="1" s="241">
      <c r="A269" s="103">
        <f>IF(LLM_Data_Entry!A267="","",LLM_Data_Entry!A267)</f>
        <v/>
      </c>
      <c r="B269" s="103">
        <f>IF(LLM_Data_Entry!B267="","",LLM_Data_Entry!B267)</f>
        <v/>
      </c>
      <c r="C269" s="104">
        <f>IF(LLM_Data_Entry!C267="","",LLM_Data_Entry!C267)</f>
        <v/>
      </c>
      <c r="D269" s="103">
        <f>IF(LLM_Data_Entry!D267="","",LLM_Data_Entry!D267)</f>
        <v/>
      </c>
      <c r="E269" s="103">
        <f>IF(LLM_Data_Entry!V267="","",LLM_Data_Entry!V267)</f>
        <v/>
      </c>
      <c r="F269" s="103">
        <f>IF(LLM_Data_Entry!AS267="","",LLM_Data_Entry!AS267)</f>
        <v/>
      </c>
      <c r="G269" s="103">
        <f>IF(LLM_Data_Entry!AG267="","",LLM_Data_Entry!AG267)</f>
        <v/>
      </c>
      <c r="H269" s="103">
        <f>IF(LLM_Data_Entry!AT267="","",LLM_Data_Entry!AT267)</f>
        <v/>
      </c>
      <c r="I269" s="103">
        <f>IF(LLM_Data_Entry!AU267="","",LLM_Data_Entry!AU267)</f>
        <v/>
      </c>
      <c r="J269" s="103">
        <f>IF(LLM_Data_Entry!AH267="","",LLM_Data_Entry!AH267)</f>
        <v/>
      </c>
      <c r="K269" s="103">
        <f>IF(LLM_Data_Entry!AI267="","",LLM_Data_Entry!AI267)</f>
        <v/>
      </c>
      <c r="L269" s="103">
        <f>IF(LLM_Data_Entry!AJ267="","",LLM_Data_Entry!AJ267)</f>
        <v/>
      </c>
      <c r="M269" s="103">
        <f>IF(LLM_Data_Entry!AV267="","",LLM_Data_Entry!AV267)</f>
        <v/>
      </c>
      <c r="N269" s="103">
        <f>IF(LLM_Data_Entry!AW267="","",LLM_Data_Entry!AW267)</f>
        <v/>
      </c>
      <c r="O269" s="103">
        <f>IF(LLM_Data_Entry!AX267="","",LLM_Data_Entry!AX267)</f>
        <v/>
      </c>
      <c r="P269" s="103">
        <f>IF(LLM_Data_Entry!AY267="","",LLM_Data_Entry!AY267)</f>
        <v/>
      </c>
      <c r="Q269" s="103">
        <f>IF(LLM_Data_Entry!AZ267="","",LLM_Data_Entry!AZ267)</f>
        <v/>
      </c>
      <c r="R269" s="103">
        <f>IF(LLM_Data_Entry!AK267="","",LLM_Data_Entry!AK267)</f>
        <v/>
      </c>
      <c r="S269" s="103">
        <f>IF(LLM_Data_Entry!AL267="","",LLM_Data_Entry!AL267)</f>
        <v/>
      </c>
      <c r="T269" s="103">
        <f>IF(LLM_Data_Entry!BA267="","",LLM_Data_Entry!BA267)</f>
        <v/>
      </c>
      <c r="U269" s="103">
        <f>IF(LLM_Data_Entry!BB267="","",LLM_Data_Entry!BB267)</f>
        <v/>
      </c>
      <c r="V269" s="106">
        <f>IF(LLM_Data_Entry!O267="","",LLM_Data_Entry!O267)</f>
        <v/>
      </c>
    </row>
    <row r="270" ht="15" customHeight="1" s="241">
      <c r="A270" s="103">
        <f>IF(LLM_Data_Entry!A268="","",LLM_Data_Entry!A268)</f>
        <v/>
      </c>
      <c r="B270" s="103">
        <f>IF(LLM_Data_Entry!B268="","",LLM_Data_Entry!B268)</f>
        <v/>
      </c>
      <c r="C270" s="104">
        <f>IF(LLM_Data_Entry!C268="","",LLM_Data_Entry!C268)</f>
        <v/>
      </c>
      <c r="D270" s="103">
        <f>IF(LLM_Data_Entry!D268="","",LLM_Data_Entry!D268)</f>
        <v/>
      </c>
      <c r="E270" s="103">
        <f>IF(LLM_Data_Entry!V268="","",LLM_Data_Entry!V268)</f>
        <v/>
      </c>
      <c r="F270" s="103">
        <f>IF(LLM_Data_Entry!AS268="","",LLM_Data_Entry!AS268)</f>
        <v/>
      </c>
      <c r="G270" s="103">
        <f>IF(LLM_Data_Entry!AG268="","",LLM_Data_Entry!AG268)</f>
        <v/>
      </c>
      <c r="H270" s="103">
        <f>IF(LLM_Data_Entry!AT268="","",LLM_Data_Entry!AT268)</f>
        <v/>
      </c>
      <c r="I270" s="103">
        <f>IF(LLM_Data_Entry!AU268="","",LLM_Data_Entry!AU268)</f>
        <v/>
      </c>
      <c r="J270" s="103">
        <f>IF(LLM_Data_Entry!AH268="","",LLM_Data_Entry!AH268)</f>
        <v/>
      </c>
      <c r="K270" s="103">
        <f>IF(LLM_Data_Entry!AI268="","",LLM_Data_Entry!AI268)</f>
        <v/>
      </c>
      <c r="L270" s="103">
        <f>IF(LLM_Data_Entry!AJ268="","",LLM_Data_Entry!AJ268)</f>
        <v/>
      </c>
      <c r="M270" s="103">
        <f>IF(LLM_Data_Entry!AV268="","",LLM_Data_Entry!AV268)</f>
        <v/>
      </c>
      <c r="N270" s="103">
        <f>IF(LLM_Data_Entry!AW268="","",LLM_Data_Entry!AW268)</f>
        <v/>
      </c>
      <c r="O270" s="103">
        <f>IF(LLM_Data_Entry!AX268="","",LLM_Data_Entry!AX268)</f>
        <v/>
      </c>
      <c r="P270" s="103">
        <f>IF(LLM_Data_Entry!AY268="","",LLM_Data_Entry!AY268)</f>
        <v/>
      </c>
      <c r="Q270" s="103">
        <f>IF(LLM_Data_Entry!AZ268="","",LLM_Data_Entry!AZ268)</f>
        <v/>
      </c>
      <c r="R270" s="103">
        <f>IF(LLM_Data_Entry!AK268="","",LLM_Data_Entry!AK268)</f>
        <v/>
      </c>
      <c r="S270" s="103">
        <f>IF(LLM_Data_Entry!AL268="","",LLM_Data_Entry!AL268)</f>
        <v/>
      </c>
      <c r="T270" s="103">
        <f>IF(LLM_Data_Entry!BA268="","",LLM_Data_Entry!BA268)</f>
        <v/>
      </c>
      <c r="U270" s="103">
        <f>IF(LLM_Data_Entry!BB268="","",LLM_Data_Entry!BB268)</f>
        <v/>
      </c>
      <c r="V270" s="106">
        <f>IF(LLM_Data_Entry!O268="","",LLM_Data_Entry!O268)</f>
        <v/>
      </c>
    </row>
    <row r="271" ht="15" customHeight="1" s="241">
      <c r="A271" s="103">
        <f>IF(LLM_Data_Entry!A269="","",LLM_Data_Entry!A269)</f>
        <v/>
      </c>
      <c r="B271" s="103">
        <f>IF(LLM_Data_Entry!B269="","",LLM_Data_Entry!B269)</f>
        <v/>
      </c>
      <c r="C271" s="104">
        <f>IF(LLM_Data_Entry!C269="","",LLM_Data_Entry!C269)</f>
        <v/>
      </c>
      <c r="D271" s="103">
        <f>IF(LLM_Data_Entry!D269="","",LLM_Data_Entry!D269)</f>
        <v/>
      </c>
      <c r="E271" s="103">
        <f>IF(LLM_Data_Entry!V269="","",LLM_Data_Entry!V269)</f>
        <v/>
      </c>
      <c r="F271" s="103">
        <f>IF(LLM_Data_Entry!AS269="","",LLM_Data_Entry!AS269)</f>
        <v/>
      </c>
      <c r="G271" s="103">
        <f>IF(LLM_Data_Entry!AG269="","",LLM_Data_Entry!AG269)</f>
        <v/>
      </c>
      <c r="H271" s="103">
        <f>IF(LLM_Data_Entry!AT269="","",LLM_Data_Entry!AT269)</f>
        <v/>
      </c>
      <c r="I271" s="103">
        <f>IF(LLM_Data_Entry!AU269="","",LLM_Data_Entry!AU269)</f>
        <v/>
      </c>
      <c r="J271" s="103">
        <f>IF(LLM_Data_Entry!AH269="","",LLM_Data_Entry!AH269)</f>
        <v/>
      </c>
      <c r="K271" s="103">
        <f>IF(LLM_Data_Entry!AI269="","",LLM_Data_Entry!AI269)</f>
        <v/>
      </c>
      <c r="L271" s="103">
        <f>IF(LLM_Data_Entry!AJ269="","",LLM_Data_Entry!AJ269)</f>
        <v/>
      </c>
      <c r="M271" s="103">
        <f>IF(LLM_Data_Entry!AV269="","",LLM_Data_Entry!AV269)</f>
        <v/>
      </c>
      <c r="N271" s="103">
        <f>IF(LLM_Data_Entry!AW269="","",LLM_Data_Entry!AW269)</f>
        <v/>
      </c>
      <c r="O271" s="103">
        <f>IF(LLM_Data_Entry!AX269="","",LLM_Data_Entry!AX269)</f>
        <v/>
      </c>
      <c r="P271" s="103">
        <f>IF(LLM_Data_Entry!AY269="","",LLM_Data_Entry!AY269)</f>
        <v/>
      </c>
      <c r="Q271" s="103">
        <f>IF(LLM_Data_Entry!AZ269="","",LLM_Data_Entry!AZ269)</f>
        <v/>
      </c>
      <c r="R271" s="103">
        <f>IF(LLM_Data_Entry!AK269="","",LLM_Data_Entry!AK269)</f>
        <v/>
      </c>
      <c r="S271" s="103">
        <f>IF(LLM_Data_Entry!AL269="","",LLM_Data_Entry!AL269)</f>
        <v/>
      </c>
      <c r="T271" s="103">
        <f>IF(LLM_Data_Entry!BA269="","",LLM_Data_Entry!BA269)</f>
        <v/>
      </c>
      <c r="U271" s="103">
        <f>IF(LLM_Data_Entry!BB269="","",LLM_Data_Entry!BB269)</f>
        <v/>
      </c>
      <c r="V271" s="106">
        <f>IF(LLM_Data_Entry!O269="","",LLM_Data_Entry!O269)</f>
        <v/>
      </c>
    </row>
    <row r="272" ht="15" customHeight="1" s="241">
      <c r="A272" s="103">
        <f>IF(LLM_Data_Entry!A270="","",LLM_Data_Entry!A270)</f>
        <v/>
      </c>
      <c r="B272" s="103">
        <f>IF(LLM_Data_Entry!B270="","",LLM_Data_Entry!B270)</f>
        <v/>
      </c>
      <c r="C272" s="104">
        <f>IF(LLM_Data_Entry!C270="","",LLM_Data_Entry!C270)</f>
        <v/>
      </c>
      <c r="D272" s="103">
        <f>IF(LLM_Data_Entry!D270="","",LLM_Data_Entry!D270)</f>
        <v/>
      </c>
      <c r="E272" s="103">
        <f>IF(LLM_Data_Entry!V270="","",LLM_Data_Entry!V270)</f>
        <v/>
      </c>
      <c r="F272" s="103">
        <f>IF(LLM_Data_Entry!AS270="","",LLM_Data_Entry!AS270)</f>
        <v/>
      </c>
      <c r="G272" s="103">
        <f>IF(LLM_Data_Entry!AG270="","",LLM_Data_Entry!AG270)</f>
        <v/>
      </c>
      <c r="H272" s="103">
        <f>IF(LLM_Data_Entry!AT270="","",LLM_Data_Entry!AT270)</f>
        <v/>
      </c>
      <c r="I272" s="103">
        <f>IF(LLM_Data_Entry!AU270="","",LLM_Data_Entry!AU270)</f>
        <v/>
      </c>
      <c r="J272" s="103">
        <f>IF(LLM_Data_Entry!AH270="","",LLM_Data_Entry!AH270)</f>
        <v/>
      </c>
      <c r="K272" s="103">
        <f>IF(LLM_Data_Entry!AI270="","",LLM_Data_Entry!AI270)</f>
        <v/>
      </c>
      <c r="L272" s="103">
        <f>IF(LLM_Data_Entry!AJ270="","",LLM_Data_Entry!AJ270)</f>
        <v/>
      </c>
      <c r="M272" s="103">
        <f>IF(LLM_Data_Entry!AV270="","",LLM_Data_Entry!AV270)</f>
        <v/>
      </c>
      <c r="N272" s="103">
        <f>IF(LLM_Data_Entry!AW270="","",LLM_Data_Entry!AW270)</f>
        <v/>
      </c>
      <c r="O272" s="103">
        <f>IF(LLM_Data_Entry!AX270="","",LLM_Data_Entry!AX270)</f>
        <v/>
      </c>
      <c r="P272" s="103">
        <f>IF(LLM_Data_Entry!AY270="","",LLM_Data_Entry!AY270)</f>
        <v/>
      </c>
      <c r="Q272" s="103">
        <f>IF(LLM_Data_Entry!AZ270="","",LLM_Data_Entry!AZ270)</f>
        <v/>
      </c>
      <c r="R272" s="103">
        <f>IF(LLM_Data_Entry!AK270="","",LLM_Data_Entry!AK270)</f>
        <v/>
      </c>
      <c r="S272" s="103">
        <f>IF(LLM_Data_Entry!AL270="","",LLM_Data_Entry!AL270)</f>
        <v/>
      </c>
      <c r="T272" s="103">
        <f>IF(LLM_Data_Entry!BA270="","",LLM_Data_Entry!BA270)</f>
        <v/>
      </c>
      <c r="U272" s="103">
        <f>IF(LLM_Data_Entry!BB270="","",LLM_Data_Entry!BB270)</f>
        <v/>
      </c>
      <c r="V272" s="106">
        <f>IF(LLM_Data_Entry!O270="","",LLM_Data_Entry!O270)</f>
        <v/>
      </c>
    </row>
    <row r="273" ht="15" customHeight="1" s="241">
      <c r="A273" s="103">
        <f>IF(LLM_Data_Entry!A271="","",LLM_Data_Entry!A271)</f>
        <v/>
      </c>
      <c r="B273" s="103">
        <f>IF(LLM_Data_Entry!B271="","",LLM_Data_Entry!B271)</f>
        <v/>
      </c>
      <c r="C273" s="104">
        <f>IF(LLM_Data_Entry!C271="","",LLM_Data_Entry!C271)</f>
        <v/>
      </c>
      <c r="D273" s="103">
        <f>IF(LLM_Data_Entry!D271="","",LLM_Data_Entry!D271)</f>
        <v/>
      </c>
      <c r="E273" s="103">
        <f>IF(LLM_Data_Entry!V271="","",LLM_Data_Entry!V271)</f>
        <v/>
      </c>
      <c r="F273" s="103">
        <f>IF(LLM_Data_Entry!AS271="","",LLM_Data_Entry!AS271)</f>
        <v/>
      </c>
      <c r="G273" s="103">
        <f>IF(LLM_Data_Entry!AG271="","",LLM_Data_Entry!AG271)</f>
        <v/>
      </c>
      <c r="H273" s="103">
        <f>IF(LLM_Data_Entry!AT271="","",LLM_Data_Entry!AT271)</f>
        <v/>
      </c>
      <c r="I273" s="103">
        <f>IF(LLM_Data_Entry!AU271="","",LLM_Data_Entry!AU271)</f>
        <v/>
      </c>
      <c r="J273" s="103">
        <f>IF(LLM_Data_Entry!AH271="","",LLM_Data_Entry!AH271)</f>
        <v/>
      </c>
      <c r="K273" s="103">
        <f>IF(LLM_Data_Entry!AI271="","",LLM_Data_Entry!AI271)</f>
        <v/>
      </c>
      <c r="L273" s="103">
        <f>IF(LLM_Data_Entry!AJ271="","",LLM_Data_Entry!AJ271)</f>
        <v/>
      </c>
      <c r="M273" s="103">
        <f>IF(LLM_Data_Entry!AV271="","",LLM_Data_Entry!AV271)</f>
        <v/>
      </c>
      <c r="N273" s="103">
        <f>IF(LLM_Data_Entry!AW271="","",LLM_Data_Entry!AW271)</f>
        <v/>
      </c>
      <c r="O273" s="103">
        <f>IF(LLM_Data_Entry!AX271="","",LLM_Data_Entry!AX271)</f>
        <v/>
      </c>
      <c r="P273" s="103">
        <f>IF(LLM_Data_Entry!AY271="","",LLM_Data_Entry!AY271)</f>
        <v/>
      </c>
      <c r="Q273" s="103">
        <f>IF(LLM_Data_Entry!AZ271="","",LLM_Data_Entry!AZ271)</f>
        <v/>
      </c>
      <c r="R273" s="103">
        <f>IF(LLM_Data_Entry!AK271="","",LLM_Data_Entry!AK271)</f>
        <v/>
      </c>
      <c r="S273" s="103">
        <f>IF(LLM_Data_Entry!AL271="","",LLM_Data_Entry!AL271)</f>
        <v/>
      </c>
      <c r="T273" s="103">
        <f>IF(LLM_Data_Entry!BA271="","",LLM_Data_Entry!BA271)</f>
        <v/>
      </c>
      <c r="U273" s="103">
        <f>IF(LLM_Data_Entry!BB271="","",LLM_Data_Entry!BB271)</f>
        <v/>
      </c>
      <c r="V273" s="106">
        <f>IF(LLM_Data_Entry!O271="","",LLM_Data_Entry!O271)</f>
        <v/>
      </c>
    </row>
    <row r="274" ht="15" customHeight="1" s="241">
      <c r="A274" s="103">
        <f>IF(LLM_Data_Entry!A272="","",LLM_Data_Entry!A272)</f>
        <v/>
      </c>
      <c r="B274" s="103">
        <f>IF(LLM_Data_Entry!B272="","",LLM_Data_Entry!B272)</f>
        <v/>
      </c>
      <c r="C274" s="104">
        <f>IF(LLM_Data_Entry!C272="","",LLM_Data_Entry!C272)</f>
        <v/>
      </c>
      <c r="D274" s="103">
        <f>IF(LLM_Data_Entry!D272="","",LLM_Data_Entry!D272)</f>
        <v/>
      </c>
      <c r="E274" s="103">
        <f>IF(LLM_Data_Entry!V272="","",LLM_Data_Entry!V272)</f>
        <v/>
      </c>
      <c r="F274" s="103">
        <f>IF(LLM_Data_Entry!AS272="","",LLM_Data_Entry!AS272)</f>
        <v/>
      </c>
      <c r="G274" s="103">
        <f>IF(LLM_Data_Entry!AG272="","",LLM_Data_Entry!AG272)</f>
        <v/>
      </c>
      <c r="H274" s="103">
        <f>IF(LLM_Data_Entry!AT272="","",LLM_Data_Entry!AT272)</f>
        <v/>
      </c>
      <c r="I274" s="103">
        <f>IF(LLM_Data_Entry!AU272="","",LLM_Data_Entry!AU272)</f>
        <v/>
      </c>
      <c r="J274" s="103">
        <f>IF(LLM_Data_Entry!AH272="","",LLM_Data_Entry!AH272)</f>
        <v/>
      </c>
      <c r="K274" s="103">
        <f>IF(LLM_Data_Entry!AI272="","",LLM_Data_Entry!AI272)</f>
        <v/>
      </c>
      <c r="L274" s="103">
        <f>IF(LLM_Data_Entry!AJ272="","",LLM_Data_Entry!AJ272)</f>
        <v/>
      </c>
      <c r="M274" s="103">
        <f>IF(LLM_Data_Entry!AV272="","",LLM_Data_Entry!AV272)</f>
        <v/>
      </c>
      <c r="N274" s="103">
        <f>IF(LLM_Data_Entry!AW272="","",LLM_Data_Entry!AW272)</f>
        <v/>
      </c>
      <c r="O274" s="103">
        <f>IF(LLM_Data_Entry!AX272="","",LLM_Data_Entry!AX272)</f>
        <v/>
      </c>
      <c r="P274" s="103">
        <f>IF(LLM_Data_Entry!AY272="","",LLM_Data_Entry!AY272)</f>
        <v/>
      </c>
      <c r="Q274" s="103">
        <f>IF(LLM_Data_Entry!AZ272="","",LLM_Data_Entry!AZ272)</f>
        <v/>
      </c>
      <c r="R274" s="103">
        <f>IF(LLM_Data_Entry!AK272="","",LLM_Data_Entry!AK272)</f>
        <v/>
      </c>
      <c r="S274" s="103">
        <f>IF(LLM_Data_Entry!AL272="","",LLM_Data_Entry!AL272)</f>
        <v/>
      </c>
      <c r="T274" s="103">
        <f>IF(LLM_Data_Entry!BA272="","",LLM_Data_Entry!BA272)</f>
        <v/>
      </c>
      <c r="U274" s="103">
        <f>IF(LLM_Data_Entry!BB272="","",LLM_Data_Entry!BB272)</f>
        <v/>
      </c>
      <c r="V274" s="106">
        <f>IF(LLM_Data_Entry!O272="","",LLM_Data_Entry!O272)</f>
        <v/>
      </c>
    </row>
    <row r="275" ht="15" customHeight="1" s="241">
      <c r="A275" s="103">
        <f>IF(LLM_Data_Entry!A273="","",LLM_Data_Entry!A273)</f>
        <v/>
      </c>
      <c r="B275" s="103">
        <f>IF(LLM_Data_Entry!B273="","",LLM_Data_Entry!B273)</f>
        <v/>
      </c>
      <c r="C275" s="104">
        <f>IF(LLM_Data_Entry!C273="","",LLM_Data_Entry!C273)</f>
        <v/>
      </c>
      <c r="D275" s="103">
        <f>IF(LLM_Data_Entry!D273="","",LLM_Data_Entry!D273)</f>
        <v/>
      </c>
      <c r="E275" s="103">
        <f>IF(LLM_Data_Entry!V273="","",LLM_Data_Entry!V273)</f>
        <v/>
      </c>
      <c r="F275" s="103">
        <f>IF(LLM_Data_Entry!AS273="","",LLM_Data_Entry!AS273)</f>
        <v/>
      </c>
      <c r="G275" s="103">
        <f>IF(LLM_Data_Entry!AG273="","",LLM_Data_Entry!AG273)</f>
        <v/>
      </c>
      <c r="H275" s="103">
        <f>IF(LLM_Data_Entry!AT273="","",LLM_Data_Entry!AT273)</f>
        <v/>
      </c>
      <c r="I275" s="103">
        <f>IF(LLM_Data_Entry!AU273="","",LLM_Data_Entry!AU273)</f>
        <v/>
      </c>
      <c r="J275" s="103">
        <f>IF(LLM_Data_Entry!AH273="","",LLM_Data_Entry!AH273)</f>
        <v/>
      </c>
      <c r="K275" s="103">
        <f>IF(LLM_Data_Entry!AI273="","",LLM_Data_Entry!AI273)</f>
        <v/>
      </c>
      <c r="L275" s="103">
        <f>IF(LLM_Data_Entry!AJ273="","",LLM_Data_Entry!AJ273)</f>
        <v/>
      </c>
      <c r="M275" s="103">
        <f>IF(LLM_Data_Entry!AV273="","",LLM_Data_Entry!AV273)</f>
        <v/>
      </c>
      <c r="N275" s="103">
        <f>IF(LLM_Data_Entry!AW273="","",LLM_Data_Entry!AW273)</f>
        <v/>
      </c>
      <c r="O275" s="103">
        <f>IF(LLM_Data_Entry!AX273="","",LLM_Data_Entry!AX273)</f>
        <v/>
      </c>
      <c r="P275" s="103">
        <f>IF(LLM_Data_Entry!AY273="","",LLM_Data_Entry!AY273)</f>
        <v/>
      </c>
      <c r="Q275" s="103">
        <f>IF(LLM_Data_Entry!AZ273="","",LLM_Data_Entry!AZ273)</f>
        <v/>
      </c>
      <c r="R275" s="103">
        <f>IF(LLM_Data_Entry!AK273="","",LLM_Data_Entry!AK273)</f>
        <v/>
      </c>
      <c r="S275" s="103">
        <f>IF(LLM_Data_Entry!AL273="","",LLM_Data_Entry!AL273)</f>
        <v/>
      </c>
      <c r="T275" s="103">
        <f>IF(LLM_Data_Entry!BA273="","",LLM_Data_Entry!BA273)</f>
        <v/>
      </c>
      <c r="U275" s="103">
        <f>IF(LLM_Data_Entry!BB273="","",LLM_Data_Entry!BB273)</f>
        <v/>
      </c>
      <c r="V275" s="106">
        <f>IF(LLM_Data_Entry!O273="","",LLM_Data_Entry!O273)</f>
        <v/>
      </c>
    </row>
    <row r="276" ht="15" customHeight="1" s="241">
      <c r="A276" s="103">
        <f>IF(LLM_Data_Entry!A274="","",LLM_Data_Entry!A274)</f>
        <v/>
      </c>
      <c r="B276" s="103">
        <f>IF(LLM_Data_Entry!B274="","",LLM_Data_Entry!B274)</f>
        <v/>
      </c>
      <c r="C276" s="104">
        <f>IF(LLM_Data_Entry!C274="","",LLM_Data_Entry!C274)</f>
        <v/>
      </c>
      <c r="D276" s="103">
        <f>IF(LLM_Data_Entry!D274="","",LLM_Data_Entry!D274)</f>
        <v/>
      </c>
      <c r="E276" s="103">
        <f>IF(LLM_Data_Entry!V274="","",LLM_Data_Entry!V274)</f>
        <v/>
      </c>
      <c r="F276" s="103">
        <f>IF(LLM_Data_Entry!AS274="","",LLM_Data_Entry!AS274)</f>
        <v/>
      </c>
      <c r="G276" s="103">
        <f>IF(LLM_Data_Entry!AG274="","",LLM_Data_Entry!AG274)</f>
        <v/>
      </c>
      <c r="H276" s="103">
        <f>IF(LLM_Data_Entry!AT274="","",LLM_Data_Entry!AT274)</f>
        <v/>
      </c>
      <c r="I276" s="103">
        <f>IF(LLM_Data_Entry!AU274="","",LLM_Data_Entry!AU274)</f>
        <v/>
      </c>
      <c r="J276" s="103">
        <f>IF(LLM_Data_Entry!AH274="","",LLM_Data_Entry!AH274)</f>
        <v/>
      </c>
      <c r="K276" s="103">
        <f>IF(LLM_Data_Entry!AI274="","",LLM_Data_Entry!AI274)</f>
        <v/>
      </c>
      <c r="L276" s="103">
        <f>IF(LLM_Data_Entry!AJ274="","",LLM_Data_Entry!AJ274)</f>
        <v/>
      </c>
      <c r="M276" s="103">
        <f>IF(LLM_Data_Entry!AV274="","",LLM_Data_Entry!AV274)</f>
        <v/>
      </c>
      <c r="N276" s="103">
        <f>IF(LLM_Data_Entry!AW274="","",LLM_Data_Entry!AW274)</f>
        <v/>
      </c>
      <c r="O276" s="103">
        <f>IF(LLM_Data_Entry!AX274="","",LLM_Data_Entry!AX274)</f>
        <v/>
      </c>
      <c r="P276" s="103">
        <f>IF(LLM_Data_Entry!AY274="","",LLM_Data_Entry!AY274)</f>
        <v/>
      </c>
      <c r="Q276" s="103">
        <f>IF(LLM_Data_Entry!AZ274="","",LLM_Data_Entry!AZ274)</f>
        <v/>
      </c>
      <c r="R276" s="103">
        <f>IF(LLM_Data_Entry!AK274="","",LLM_Data_Entry!AK274)</f>
        <v/>
      </c>
      <c r="S276" s="103">
        <f>IF(LLM_Data_Entry!AL274="","",LLM_Data_Entry!AL274)</f>
        <v/>
      </c>
      <c r="T276" s="103">
        <f>IF(LLM_Data_Entry!BA274="","",LLM_Data_Entry!BA274)</f>
        <v/>
      </c>
      <c r="U276" s="103">
        <f>IF(LLM_Data_Entry!BB274="","",LLM_Data_Entry!BB274)</f>
        <v/>
      </c>
      <c r="V276" s="106">
        <f>IF(LLM_Data_Entry!O274="","",LLM_Data_Entry!O274)</f>
        <v/>
      </c>
    </row>
    <row r="277" ht="15" customHeight="1" s="241">
      <c r="A277" s="103">
        <f>IF(LLM_Data_Entry!A275="","",LLM_Data_Entry!A275)</f>
        <v/>
      </c>
      <c r="B277" s="103">
        <f>IF(LLM_Data_Entry!B275="","",LLM_Data_Entry!B275)</f>
        <v/>
      </c>
      <c r="C277" s="104">
        <f>IF(LLM_Data_Entry!C275="","",LLM_Data_Entry!C275)</f>
        <v/>
      </c>
      <c r="D277" s="103">
        <f>IF(LLM_Data_Entry!D275="","",LLM_Data_Entry!D275)</f>
        <v/>
      </c>
      <c r="E277" s="103">
        <f>IF(LLM_Data_Entry!V275="","",LLM_Data_Entry!V275)</f>
        <v/>
      </c>
      <c r="F277" s="103">
        <f>IF(LLM_Data_Entry!AS275="","",LLM_Data_Entry!AS275)</f>
        <v/>
      </c>
      <c r="G277" s="103">
        <f>IF(LLM_Data_Entry!AG275="","",LLM_Data_Entry!AG275)</f>
        <v/>
      </c>
      <c r="H277" s="103">
        <f>IF(LLM_Data_Entry!AT275="","",LLM_Data_Entry!AT275)</f>
        <v/>
      </c>
      <c r="I277" s="103">
        <f>IF(LLM_Data_Entry!AU275="","",LLM_Data_Entry!AU275)</f>
        <v/>
      </c>
      <c r="J277" s="103">
        <f>IF(LLM_Data_Entry!AH275="","",LLM_Data_Entry!AH275)</f>
        <v/>
      </c>
      <c r="K277" s="103">
        <f>IF(LLM_Data_Entry!AI275="","",LLM_Data_Entry!AI275)</f>
        <v/>
      </c>
      <c r="L277" s="103">
        <f>IF(LLM_Data_Entry!AJ275="","",LLM_Data_Entry!AJ275)</f>
        <v/>
      </c>
      <c r="M277" s="103">
        <f>IF(LLM_Data_Entry!AV275="","",LLM_Data_Entry!AV275)</f>
        <v/>
      </c>
      <c r="N277" s="103">
        <f>IF(LLM_Data_Entry!AW275="","",LLM_Data_Entry!AW275)</f>
        <v/>
      </c>
      <c r="O277" s="103">
        <f>IF(LLM_Data_Entry!AX275="","",LLM_Data_Entry!AX275)</f>
        <v/>
      </c>
      <c r="P277" s="103">
        <f>IF(LLM_Data_Entry!AY275="","",LLM_Data_Entry!AY275)</f>
        <v/>
      </c>
      <c r="Q277" s="103">
        <f>IF(LLM_Data_Entry!AZ275="","",LLM_Data_Entry!AZ275)</f>
        <v/>
      </c>
      <c r="R277" s="103">
        <f>IF(LLM_Data_Entry!AK275="","",LLM_Data_Entry!AK275)</f>
        <v/>
      </c>
      <c r="S277" s="103">
        <f>IF(LLM_Data_Entry!AL275="","",LLM_Data_Entry!AL275)</f>
        <v/>
      </c>
      <c r="T277" s="103">
        <f>IF(LLM_Data_Entry!BA275="","",LLM_Data_Entry!BA275)</f>
        <v/>
      </c>
      <c r="U277" s="103">
        <f>IF(LLM_Data_Entry!BB275="","",LLM_Data_Entry!BB275)</f>
        <v/>
      </c>
      <c r="V277" s="106">
        <f>IF(LLM_Data_Entry!O275="","",LLM_Data_Entry!O275)</f>
        <v/>
      </c>
    </row>
    <row r="278" ht="15" customHeight="1" s="241">
      <c r="A278" s="103">
        <f>IF(LLM_Data_Entry!A276="","",LLM_Data_Entry!A276)</f>
        <v/>
      </c>
      <c r="B278" s="103">
        <f>IF(LLM_Data_Entry!B276="","",LLM_Data_Entry!B276)</f>
        <v/>
      </c>
      <c r="C278" s="104">
        <f>IF(LLM_Data_Entry!C276="","",LLM_Data_Entry!C276)</f>
        <v/>
      </c>
      <c r="D278" s="103">
        <f>IF(LLM_Data_Entry!D276="","",LLM_Data_Entry!D276)</f>
        <v/>
      </c>
      <c r="E278" s="103">
        <f>IF(LLM_Data_Entry!V276="","",LLM_Data_Entry!V276)</f>
        <v/>
      </c>
      <c r="F278" s="103">
        <f>IF(LLM_Data_Entry!AS276="","",LLM_Data_Entry!AS276)</f>
        <v/>
      </c>
      <c r="G278" s="103">
        <f>IF(LLM_Data_Entry!AG276="","",LLM_Data_Entry!AG276)</f>
        <v/>
      </c>
      <c r="H278" s="103">
        <f>IF(LLM_Data_Entry!AT276="","",LLM_Data_Entry!AT276)</f>
        <v/>
      </c>
      <c r="I278" s="103">
        <f>IF(LLM_Data_Entry!AU276="","",LLM_Data_Entry!AU276)</f>
        <v/>
      </c>
      <c r="J278" s="103">
        <f>IF(LLM_Data_Entry!AH276="","",LLM_Data_Entry!AH276)</f>
        <v/>
      </c>
      <c r="K278" s="103">
        <f>IF(LLM_Data_Entry!AI276="","",LLM_Data_Entry!AI276)</f>
        <v/>
      </c>
      <c r="L278" s="103">
        <f>IF(LLM_Data_Entry!AJ276="","",LLM_Data_Entry!AJ276)</f>
        <v/>
      </c>
      <c r="M278" s="103">
        <f>IF(LLM_Data_Entry!AV276="","",LLM_Data_Entry!AV276)</f>
        <v/>
      </c>
      <c r="N278" s="103">
        <f>IF(LLM_Data_Entry!AW276="","",LLM_Data_Entry!AW276)</f>
        <v/>
      </c>
      <c r="O278" s="103">
        <f>IF(LLM_Data_Entry!AX276="","",LLM_Data_Entry!AX276)</f>
        <v/>
      </c>
      <c r="P278" s="103">
        <f>IF(LLM_Data_Entry!AY276="","",LLM_Data_Entry!AY276)</f>
        <v/>
      </c>
      <c r="Q278" s="103">
        <f>IF(LLM_Data_Entry!AZ276="","",LLM_Data_Entry!AZ276)</f>
        <v/>
      </c>
      <c r="R278" s="103">
        <f>IF(LLM_Data_Entry!AK276="","",LLM_Data_Entry!AK276)</f>
        <v/>
      </c>
      <c r="S278" s="103">
        <f>IF(LLM_Data_Entry!AL276="","",LLM_Data_Entry!AL276)</f>
        <v/>
      </c>
      <c r="T278" s="103">
        <f>IF(LLM_Data_Entry!BA276="","",LLM_Data_Entry!BA276)</f>
        <v/>
      </c>
      <c r="U278" s="103">
        <f>IF(LLM_Data_Entry!BB276="","",LLM_Data_Entry!BB276)</f>
        <v/>
      </c>
      <c r="V278" s="106">
        <f>IF(LLM_Data_Entry!O276="","",LLM_Data_Entry!O276)</f>
        <v/>
      </c>
    </row>
    <row r="279" ht="15" customHeight="1" s="241">
      <c r="A279" s="103">
        <f>IF(LLM_Data_Entry!A277="","",LLM_Data_Entry!A277)</f>
        <v/>
      </c>
      <c r="B279" s="103">
        <f>IF(LLM_Data_Entry!B277="","",LLM_Data_Entry!B277)</f>
        <v/>
      </c>
      <c r="C279" s="104">
        <f>IF(LLM_Data_Entry!C277="","",LLM_Data_Entry!C277)</f>
        <v/>
      </c>
      <c r="D279" s="103">
        <f>IF(LLM_Data_Entry!D277="","",LLM_Data_Entry!D277)</f>
        <v/>
      </c>
      <c r="E279" s="103">
        <f>IF(LLM_Data_Entry!V277="","",LLM_Data_Entry!V277)</f>
        <v/>
      </c>
      <c r="F279" s="103">
        <f>IF(LLM_Data_Entry!AS277="","",LLM_Data_Entry!AS277)</f>
        <v/>
      </c>
      <c r="G279" s="103">
        <f>IF(LLM_Data_Entry!AG277="","",LLM_Data_Entry!AG277)</f>
        <v/>
      </c>
      <c r="H279" s="103">
        <f>IF(LLM_Data_Entry!AT277="","",LLM_Data_Entry!AT277)</f>
        <v/>
      </c>
      <c r="I279" s="103">
        <f>IF(LLM_Data_Entry!AU277="","",LLM_Data_Entry!AU277)</f>
        <v/>
      </c>
      <c r="J279" s="103">
        <f>IF(LLM_Data_Entry!AH277="","",LLM_Data_Entry!AH277)</f>
        <v/>
      </c>
      <c r="K279" s="103">
        <f>IF(LLM_Data_Entry!AI277="","",LLM_Data_Entry!AI277)</f>
        <v/>
      </c>
      <c r="L279" s="103">
        <f>IF(LLM_Data_Entry!AJ277="","",LLM_Data_Entry!AJ277)</f>
        <v/>
      </c>
      <c r="M279" s="103">
        <f>IF(LLM_Data_Entry!AV277="","",LLM_Data_Entry!AV277)</f>
        <v/>
      </c>
      <c r="N279" s="103">
        <f>IF(LLM_Data_Entry!AW277="","",LLM_Data_Entry!AW277)</f>
        <v/>
      </c>
      <c r="O279" s="103">
        <f>IF(LLM_Data_Entry!AX277="","",LLM_Data_Entry!AX277)</f>
        <v/>
      </c>
      <c r="P279" s="103">
        <f>IF(LLM_Data_Entry!AY277="","",LLM_Data_Entry!AY277)</f>
        <v/>
      </c>
      <c r="Q279" s="103">
        <f>IF(LLM_Data_Entry!AZ277="","",LLM_Data_Entry!AZ277)</f>
        <v/>
      </c>
      <c r="R279" s="103">
        <f>IF(LLM_Data_Entry!AK277="","",LLM_Data_Entry!AK277)</f>
        <v/>
      </c>
      <c r="S279" s="103">
        <f>IF(LLM_Data_Entry!AL277="","",LLM_Data_Entry!AL277)</f>
        <v/>
      </c>
      <c r="T279" s="103">
        <f>IF(LLM_Data_Entry!BA277="","",LLM_Data_Entry!BA277)</f>
        <v/>
      </c>
      <c r="U279" s="103">
        <f>IF(LLM_Data_Entry!BB277="","",LLM_Data_Entry!BB277)</f>
        <v/>
      </c>
      <c r="V279" s="106">
        <f>IF(LLM_Data_Entry!O277="","",LLM_Data_Entry!O277)</f>
        <v/>
      </c>
    </row>
    <row r="280" ht="15" customHeight="1" s="241">
      <c r="A280" s="103">
        <f>IF(LLM_Data_Entry!A278="","",LLM_Data_Entry!A278)</f>
        <v/>
      </c>
      <c r="B280" s="103">
        <f>IF(LLM_Data_Entry!B278="","",LLM_Data_Entry!B278)</f>
        <v/>
      </c>
      <c r="C280" s="104">
        <f>IF(LLM_Data_Entry!C278="","",LLM_Data_Entry!C278)</f>
        <v/>
      </c>
      <c r="D280" s="103">
        <f>IF(LLM_Data_Entry!D278="","",LLM_Data_Entry!D278)</f>
        <v/>
      </c>
      <c r="E280" s="103">
        <f>IF(LLM_Data_Entry!V278="","",LLM_Data_Entry!V278)</f>
        <v/>
      </c>
      <c r="F280" s="103">
        <f>IF(LLM_Data_Entry!AS278="","",LLM_Data_Entry!AS278)</f>
        <v/>
      </c>
      <c r="G280" s="103">
        <f>IF(LLM_Data_Entry!AG278="","",LLM_Data_Entry!AG278)</f>
        <v/>
      </c>
      <c r="H280" s="103">
        <f>IF(LLM_Data_Entry!AT278="","",LLM_Data_Entry!AT278)</f>
        <v/>
      </c>
      <c r="I280" s="103">
        <f>IF(LLM_Data_Entry!AU278="","",LLM_Data_Entry!AU278)</f>
        <v/>
      </c>
      <c r="J280" s="103">
        <f>IF(LLM_Data_Entry!AH278="","",LLM_Data_Entry!AH278)</f>
        <v/>
      </c>
      <c r="K280" s="103">
        <f>IF(LLM_Data_Entry!AI278="","",LLM_Data_Entry!AI278)</f>
        <v/>
      </c>
      <c r="L280" s="103">
        <f>IF(LLM_Data_Entry!AJ278="","",LLM_Data_Entry!AJ278)</f>
        <v/>
      </c>
      <c r="M280" s="103">
        <f>IF(LLM_Data_Entry!AV278="","",LLM_Data_Entry!AV278)</f>
        <v/>
      </c>
      <c r="N280" s="103">
        <f>IF(LLM_Data_Entry!AW278="","",LLM_Data_Entry!AW278)</f>
        <v/>
      </c>
      <c r="O280" s="103">
        <f>IF(LLM_Data_Entry!AX278="","",LLM_Data_Entry!AX278)</f>
        <v/>
      </c>
      <c r="P280" s="103">
        <f>IF(LLM_Data_Entry!AY278="","",LLM_Data_Entry!AY278)</f>
        <v/>
      </c>
      <c r="Q280" s="103">
        <f>IF(LLM_Data_Entry!AZ278="","",LLM_Data_Entry!AZ278)</f>
        <v/>
      </c>
      <c r="R280" s="103">
        <f>IF(LLM_Data_Entry!AK278="","",LLM_Data_Entry!AK278)</f>
        <v/>
      </c>
      <c r="S280" s="103">
        <f>IF(LLM_Data_Entry!AL278="","",LLM_Data_Entry!AL278)</f>
        <v/>
      </c>
      <c r="T280" s="103">
        <f>IF(LLM_Data_Entry!BA278="","",LLM_Data_Entry!BA278)</f>
        <v/>
      </c>
      <c r="U280" s="103">
        <f>IF(LLM_Data_Entry!BB278="","",LLM_Data_Entry!BB278)</f>
        <v/>
      </c>
      <c r="V280" s="106">
        <f>IF(LLM_Data_Entry!O278="","",LLM_Data_Entry!O278)</f>
        <v/>
      </c>
    </row>
    <row r="281" ht="15" customHeight="1" s="241">
      <c r="A281" s="103">
        <f>IF(LLM_Data_Entry!A279="","",LLM_Data_Entry!A279)</f>
        <v/>
      </c>
      <c r="B281" s="103">
        <f>IF(LLM_Data_Entry!B279="","",LLM_Data_Entry!B279)</f>
        <v/>
      </c>
      <c r="C281" s="104">
        <f>IF(LLM_Data_Entry!C279="","",LLM_Data_Entry!C279)</f>
        <v/>
      </c>
      <c r="D281" s="103">
        <f>IF(LLM_Data_Entry!D279="","",LLM_Data_Entry!D279)</f>
        <v/>
      </c>
      <c r="E281" s="103">
        <f>IF(LLM_Data_Entry!V279="","",LLM_Data_Entry!V279)</f>
        <v/>
      </c>
      <c r="F281" s="103">
        <f>IF(LLM_Data_Entry!AS279="","",LLM_Data_Entry!AS279)</f>
        <v/>
      </c>
      <c r="G281" s="103">
        <f>IF(LLM_Data_Entry!AG279="","",LLM_Data_Entry!AG279)</f>
        <v/>
      </c>
      <c r="H281" s="103">
        <f>IF(LLM_Data_Entry!AT279="","",LLM_Data_Entry!AT279)</f>
        <v/>
      </c>
      <c r="I281" s="103">
        <f>IF(LLM_Data_Entry!AU279="","",LLM_Data_Entry!AU279)</f>
        <v/>
      </c>
      <c r="J281" s="103">
        <f>IF(LLM_Data_Entry!AH279="","",LLM_Data_Entry!AH279)</f>
        <v/>
      </c>
      <c r="K281" s="103">
        <f>IF(LLM_Data_Entry!AI279="","",LLM_Data_Entry!AI279)</f>
        <v/>
      </c>
      <c r="L281" s="103">
        <f>IF(LLM_Data_Entry!AJ279="","",LLM_Data_Entry!AJ279)</f>
        <v/>
      </c>
      <c r="M281" s="103">
        <f>IF(LLM_Data_Entry!AV279="","",LLM_Data_Entry!AV279)</f>
        <v/>
      </c>
      <c r="N281" s="103">
        <f>IF(LLM_Data_Entry!AW279="","",LLM_Data_Entry!AW279)</f>
        <v/>
      </c>
      <c r="O281" s="103">
        <f>IF(LLM_Data_Entry!AX279="","",LLM_Data_Entry!AX279)</f>
        <v/>
      </c>
      <c r="P281" s="103">
        <f>IF(LLM_Data_Entry!AY279="","",LLM_Data_Entry!AY279)</f>
        <v/>
      </c>
      <c r="Q281" s="103">
        <f>IF(LLM_Data_Entry!AZ279="","",LLM_Data_Entry!AZ279)</f>
        <v/>
      </c>
      <c r="R281" s="103">
        <f>IF(LLM_Data_Entry!AK279="","",LLM_Data_Entry!AK279)</f>
        <v/>
      </c>
      <c r="S281" s="103">
        <f>IF(LLM_Data_Entry!AL279="","",LLM_Data_Entry!AL279)</f>
        <v/>
      </c>
      <c r="T281" s="103">
        <f>IF(LLM_Data_Entry!BA279="","",LLM_Data_Entry!BA279)</f>
        <v/>
      </c>
      <c r="U281" s="103">
        <f>IF(LLM_Data_Entry!BB279="","",LLM_Data_Entry!BB279)</f>
        <v/>
      </c>
      <c r="V281" s="106">
        <f>IF(LLM_Data_Entry!O279="","",LLM_Data_Entry!O279)</f>
        <v/>
      </c>
    </row>
    <row r="282" ht="15" customHeight="1" s="241">
      <c r="A282" s="103">
        <f>IF(LLM_Data_Entry!A280="","",LLM_Data_Entry!A280)</f>
        <v/>
      </c>
      <c r="B282" s="103">
        <f>IF(LLM_Data_Entry!B280="","",LLM_Data_Entry!B280)</f>
        <v/>
      </c>
      <c r="C282" s="104">
        <f>IF(LLM_Data_Entry!C280="","",LLM_Data_Entry!C280)</f>
        <v/>
      </c>
      <c r="D282" s="103">
        <f>IF(LLM_Data_Entry!D280="","",LLM_Data_Entry!D280)</f>
        <v/>
      </c>
      <c r="E282" s="103">
        <f>IF(LLM_Data_Entry!V280="","",LLM_Data_Entry!V280)</f>
        <v/>
      </c>
      <c r="F282" s="103">
        <f>IF(LLM_Data_Entry!AS280="","",LLM_Data_Entry!AS280)</f>
        <v/>
      </c>
      <c r="G282" s="103">
        <f>IF(LLM_Data_Entry!AG280="","",LLM_Data_Entry!AG280)</f>
        <v/>
      </c>
      <c r="H282" s="103">
        <f>IF(LLM_Data_Entry!AT280="","",LLM_Data_Entry!AT280)</f>
        <v/>
      </c>
      <c r="I282" s="103">
        <f>IF(LLM_Data_Entry!AU280="","",LLM_Data_Entry!AU280)</f>
        <v/>
      </c>
      <c r="J282" s="103">
        <f>IF(LLM_Data_Entry!AH280="","",LLM_Data_Entry!AH280)</f>
        <v/>
      </c>
      <c r="K282" s="103">
        <f>IF(LLM_Data_Entry!AI280="","",LLM_Data_Entry!AI280)</f>
        <v/>
      </c>
      <c r="L282" s="103">
        <f>IF(LLM_Data_Entry!AJ280="","",LLM_Data_Entry!AJ280)</f>
        <v/>
      </c>
      <c r="M282" s="103">
        <f>IF(LLM_Data_Entry!AV280="","",LLM_Data_Entry!AV280)</f>
        <v/>
      </c>
      <c r="N282" s="103">
        <f>IF(LLM_Data_Entry!AW280="","",LLM_Data_Entry!AW280)</f>
        <v/>
      </c>
      <c r="O282" s="103">
        <f>IF(LLM_Data_Entry!AX280="","",LLM_Data_Entry!AX280)</f>
        <v/>
      </c>
      <c r="P282" s="103">
        <f>IF(LLM_Data_Entry!AY280="","",LLM_Data_Entry!AY280)</f>
        <v/>
      </c>
      <c r="Q282" s="103">
        <f>IF(LLM_Data_Entry!AZ280="","",LLM_Data_Entry!AZ280)</f>
        <v/>
      </c>
      <c r="R282" s="103">
        <f>IF(LLM_Data_Entry!AK280="","",LLM_Data_Entry!AK280)</f>
        <v/>
      </c>
      <c r="S282" s="103">
        <f>IF(LLM_Data_Entry!AL280="","",LLM_Data_Entry!AL280)</f>
        <v/>
      </c>
      <c r="T282" s="103">
        <f>IF(LLM_Data_Entry!BA280="","",LLM_Data_Entry!BA280)</f>
        <v/>
      </c>
      <c r="U282" s="103">
        <f>IF(LLM_Data_Entry!BB280="","",LLM_Data_Entry!BB280)</f>
        <v/>
      </c>
      <c r="V282" s="106">
        <f>IF(LLM_Data_Entry!O280="","",LLM_Data_Entry!O280)</f>
        <v/>
      </c>
    </row>
    <row r="283" ht="15" customHeight="1" s="241">
      <c r="A283" s="103">
        <f>IF(LLM_Data_Entry!A281="","",LLM_Data_Entry!A281)</f>
        <v/>
      </c>
      <c r="B283" s="103">
        <f>IF(LLM_Data_Entry!B281="","",LLM_Data_Entry!B281)</f>
        <v/>
      </c>
      <c r="C283" s="104">
        <f>IF(LLM_Data_Entry!C281="","",LLM_Data_Entry!C281)</f>
        <v/>
      </c>
      <c r="D283" s="103">
        <f>IF(LLM_Data_Entry!D281="","",LLM_Data_Entry!D281)</f>
        <v/>
      </c>
      <c r="E283" s="103">
        <f>IF(LLM_Data_Entry!V281="","",LLM_Data_Entry!V281)</f>
        <v/>
      </c>
      <c r="F283" s="103">
        <f>IF(LLM_Data_Entry!AS281="","",LLM_Data_Entry!AS281)</f>
        <v/>
      </c>
      <c r="G283" s="103">
        <f>IF(LLM_Data_Entry!AG281="","",LLM_Data_Entry!AG281)</f>
        <v/>
      </c>
      <c r="H283" s="103">
        <f>IF(LLM_Data_Entry!AT281="","",LLM_Data_Entry!AT281)</f>
        <v/>
      </c>
      <c r="I283" s="103">
        <f>IF(LLM_Data_Entry!AU281="","",LLM_Data_Entry!AU281)</f>
        <v/>
      </c>
      <c r="J283" s="103">
        <f>IF(LLM_Data_Entry!AH281="","",LLM_Data_Entry!AH281)</f>
        <v/>
      </c>
      <c r="K283" s="103">
        <f>IF(LLM_Data_Entry!AI281="","",LLM_Data_Entry!AI281)</f>
        <v/>
      </c>
      <c r="L283" s="103">
        <f>IF(LLM_Data_Entry!AJ281="","",LLM_Data_Entry!AJ281)</f>
        <v/>
      </c>
      <c r="M283" s="103">
        <f>IF(LLM_Data_Entry!AV281="","",LLM_Data_Entry!AV281)</f>
        <v/>
      </c>
      <c r="N283" s="103">
        <f>IF(LLM_Data_Entry!AW281="","",LLM_Data_Entry!AW281)</f>
        <v/>
      </c>
      <c r="O283" s="103">
        <f>IF(LLM_Data_Entry!AX281="","",LLM_Data_Entry!AX281)</f>
        <v/>
      </c>
      <c r="P283" s="103">
        <f>IF(LLM_Data_Entry!AY281="","",LLM_Data_Entry!AY281)</f>
        <v/>
      </c>
      <c r="Q283" s="103">
        <f>IF(LLM_Data_Entry!AZ281="","",LLM_Data_Entry!AZ281)</f>
        <v/>
      </c>
      <c r="R283" s="103">
        <f>IF(LLM_Data_Entry!AK281="","",LLM_Data_Entry!AK281)</f>
        <v/>
      </c>
      <c r="S283" s="103">
        <f>IF(LLM_Data_Entry!AL281="","",LLM_Data_Entry!AL281)</f>
        <v/>
      </c>
      <c r="T283" s="103">
        <f>IF(LLM_Data_Entry!BA281="","",LLM_Data_Entry!BA281)</f>
        <v/>
      </c>
      <c r="U283" s="103">
        <f>IF(LLM_Data_Entry!BB281="","",LLM_Data_Entry!BB281)</f>
        <v/>
      </c>
      <c r="V283" s="106">
        <f>IF(LLM_Data_Entry!O281="","",LLM_Data_Entry!O281)</f>
        <v/>
      </c>
    </row>
    <row r="284" ht="15" customHeight="1" s="241">
      <c r="A284" s="103">
        <f>IF(LLM_Data_Entry!A282="","",LLM_Data_Entry!A282)</f>
        <v/>
      </c>
      <c r="B284" s="103">
        <f>IF(LLM_Data_Entry!B282="","",LLM_Data_Entry!B282)</f>
        <v/>
      </c>
      <c r="C284" s="104">
        <f>IF(LLM_Data_Entry!C282="","",LLM_Data_Entry!C282)</f>
        <v/>
      </c>
      <c r="D284" s="103">
        <f>IF(LLM_Data_Entry!D282="","",LLM_Data_Entry!D282)</f>
        <v/>
      </c>
      <c r="E284" s="103">
        <f>IF(LLM_Data_Entry!V282="","",LLM_Data_Entry!V282)</f>
        <v/>
      </c>
      <c r="F284" s="103">
        <f>IF(LLM_Data_Entry!AS282="","",LLM_Data_Entry!AS282)</f>
        <v/>
      </c>
      <c r="G284" s="103">
        <f>IF(LLM_Data_Entry!AG282="","",LLM_Data_Entry!AG282)</f>
        <v/>
      </c>
      <c r="H284" s="103">
        <f>IF(LLM_Data_Entry!AT282="","",LLM_Data_Entry!AT282)</f>
        <v/>
      </c>
      <c r="I284" s="103">
        <f>IF(LLM_Data_Entry!AU282="","",LLM_Data_Entry!AU282)</f>
        <v/>
      </c>
      <c r="J284" s="103">
        <f>IF(LLM_Data_Entry!AH282="","",LLM_Data_Entry!AH282)</f>
        <v/>
      </c>
      <c r="K284" s="103">
        <f>IF(LLM_Data_Entry!AI282="","",LLM_Data_Entry!AI282)</f>
        <v/>
      </c>
      <c r="L284" s="103">
        <f>IF(LLM_Data_Entry!AJ282="","",LLM_Data_Entry!AJ282)</f>
        <v/>
      </c>
      <c r="M284" s="103">
        <f>IF(LLM_Data_Entry!AV282="","",LLM_Data_Entry!AV282)</f>
        <v/>
      </c>
      <c r="N284" s="103">
        <f>IF(LLM_Data_Entry!AW282="","",LLM_Data_Entry!AW282)</f>
        <v/>
      </c>
      <c r="O284" s="103">
        <f>IF(LLM_Data_Entry!AX282="","",LLM_Data_Entry!AX282)</f>
        <v/>
      </c>
      <c r="P284" s="103">
        <f>IF(LLM_Data_Entry!AY282="","",LLM_Data_Entry!AY282)</f>
        <v/>
      </c>
      <c r="Q284" s="103">
        <f>IF(LLM_Data_Entry!AZ282="","",LLM_Data_Entry!AZ282)</f>
        <v/>
      </c>
      <c r="R284" s="103">
        <f>IF(LLM_Data_Entry!AK282="","",LLM_Data_Entry!AK282)</f>
        <v/>
      </c>
      <c r="S284" s="103">
        <f>IF(LLM_Data_Entry!AL282="","",LLM_Data_Entry!AL282)</f>
        <v/>
      </c>
      <c r="T284" s="103">
        <f>IF(LLM_Data_Entry!BA282="","",LLM_Data_Entry!BA282)</f>
        <v/>
      </c>
      <c r="U284" s="103">
        <f>IF(LLM_Data_Entry!BB282="","",LLM_Data_Entry!BB282)</f>
        <v/>
      </c>
      <c r="V284" s="106">
        <f>IF(LLM_Data_Entry!O282="","",LLM_Data_Entry!O282)</f>
        <v/>
      </c>
    </row>
    <row r="285" ht="15" customHeight="1" s="241">
      <c r="A285" s="103">
        <f>IF(LLM_Data_Entry!A283="","",LLM_Data_Entry!A283)</f>
        <v/>
      </c>
      <c r="B285" s="103">
        <f>IF(LLM_Data_Entry!B283="","",LLM_Data_Entry!B283)</f>
        <v/>
      </c>
      <c r="C285" s="104">
        <f>IF(LLM_Data_Entry!C283="","",LLM_Data_Entry!C283)</f>
        <v/>
      </c>
      <c r="D285" s="103">
        <f>IF(LLM_Data_Entry!D283="","",LLM_Data_Entry!D283)</f>
        <v/>
      </c>
      <c r="E285" s="103">
        <f>IF(LLM_Data_Entry!V283="","",LLM_Data_Entry!V283)</f>
        <v/>
      </c>
      <c r="F285" s="103">
        <f>IF(LLM_Data_Entry!AS283="","",LLM_Data_Entry!AS283)</f>
        <v/>
      </c>
      <c r="G285" s="103">
        <f>IF(LLM_Data_Entry!AG283="","",LLM_Data_Entry!AG283)</f>
        <v/>
      </c>
      <c r="H285" s="103">
        <f>IF(LLM_Data_Entry!AT283="","",LLM_Data_Entry!AT283)</f>
        <v/>
      </c>
      <c r="I285" s="103">
        <f>IF(LLM_Data_Entry!AU283="","",LLM_Data_Entry!AU283)</f>
        <v/>
      </c>
      <c r="J285" s="103">
        <f>IF(LLM_Data_Entry!AH283="","",LLM_Data_Entry!AH283)</f>
        <v/>
      </c>
      <c r="K285" s="103">
        <f>IF(LLM_Data_Entry!AI283="","",LLM_Data_Entry!AI283)</f>
        <v/>
      </c>
      <c r="L285" s="103">
        <f>IF(LLM_Data_Entry!AJ283="","",LLM_Data_Entry!AJ283)</f>
        <v/>
      </c>
      <c r="M285" s="103">
        <f>IF(LLM_Data_Entry!AV283="","",LLM_Data_Entry!AV283)</f>
        <v/>
      </c>
      <c r="N285" s="103">
        <f>IF(LLM_Data_Entry!AW283="","",LLM_Data_Entry!AW283)</f>
        <v/>
      </c>
      <c r="O285" s="103">
        <f>IF(LLM_Data_Entry!AX283="","",LLM_Data_Entry!AX283)</f>
        <v/>
      </c>
      <c r="P285" s="103">
        <f>IF(LLM_Data_Entry!AY283="","",LLM_Data_Entry!AY283)</f>
        <v/>
      </c>
      <c r="Q285" s="103">
        <f>IF(LLM_Data_Entry!AZ283="","",LLM_Data_Entry!AZ283)</f>
        <v/>
      </c>
      <c r="R285" s="103">
        <f>IF(LLM_Data_Entry!AK283="","",LLM_Data_Entry!AK283)</f>
        <v/>
      </c>
      <c r="S285" s="103">
        <f>IF(LLM_Data_Entry!AL283="","",LLM_Data_Entry!AL283)</f>
        <v/>
      </c>
      <c r="T285" s="103">
        <f>IF(LLM_Data_Entry!BA283="","",LLM_Data_Entry!BA283)</f>
        <v/>
      </c>
      <c r="U285" s="103">
        <f>IF(LLM_Data_Entry!BB283="","",LLM_Data_Entry!BB283)</f>
        <v/>
      </c>
      <c r="V285" s="106">
        <f>IF(LLM_Data_Entry!O283="","",LLM_Data_Entry!O283)</f>
        <v/>
      </c>
    </row>
    <row r="286" ht="15" customHeight="1" s="241">
      <c r="A286" s="103">
        <f>IF(LLM_Data_Entry!A284="","",LLM_Data_Entry!A284)</f>
        <v/>
      </c>
      <c r="B286" s="103">
        <f>IF(LLM_Data_Entry!B284="","",LLM_Data_Entry!B284)</f>
        <v/>
      </c>
      <c r="C286" s="104">
        <f>IF(LLM_Data_Entry!C284="","",LLM_Data_Entry!C284)</f>
        <v/>
      </c>
      <c r="D286" s="103">
        <f>IF(LLM_Data_Entry!D284="","",LLM_Data_Entry!D284)</f>
        <v/>
      </c>
      <c r="E286" s="103">
        <f>IF(LLM_Data_Entry!V284="","",LLM_Data_Entry!V284)</f>
        <v/>
      </c>
      <c r="F286" s="103">
        <f>IF(LLM_Data_Entry!AS284="","",LLM_Data_Entry!AS284)</f>
        <v/>
      </c>
      <c r="G286" s="103">
        <f>IF(LLM_Data_Entry!AG284="","",LLM_Data_Entry!AG284)</f>
        <v/>
      </c>
      <c r="H286" s="103">
        <f>IF(LLM_Data_Entry!AT284="","",LLM_Data_Entry!AT284)</f>
        <v/>
      </c>
      <c r="I286" s="103">
        <f>IF(LLM_Data_Entry!AU284="","",LLM_Data_Entry!AU284)</f>
        <v/>
      </c>
      <c r="J286" s="103">
        <f>IF(LLM_Data_Entry!AH284="","",LLM_Data_Entry!AH284)</f>
        <v/>
      </c>
      <c r="K286" s="103">
        <f>IF(LLM_Data_Entry!AI284="","",LLM_Data_Entry!AI284)</f>
        <v/>
      </c>
      <c r="L286" s="103">
        <f>IF(LLM_Data_Entry!AJ284="","",LLM_Data_Entry!AJ284)</f>
        <v/>
      </c>
      <c r="M286" s="103">
        <f>IF(LLM_Data_Entry!AV284="","",LLM_Data_Entry!AV284)</f>
        <v/>
      </c>
      <c r="N286" s="103">
        <f>IF(LLM_Data_Entry!AW284="","",LLM_Data_Entry!AW284)</f>
        <v/>
      </c>
      <c r="O286" s="103">
        <f>IF(LLM_Data_Entry!AX284="","",LLM_Data_Entry!AX284)</f>
        <v/>
      </c>
      <c r="P286" s="103">
        <f>IF(LLM_Data_Entry!AY284="","",LLM_Data_Entry!AY284)</f>
        <v/>
      </c>
      <c r="Q286" s="103">
        <f>IF(LLM_Data_Entry!AZ284="","",LLM_Data_Entry!AZ284)</f>
        <v/>
      </c>
      <c r="R286" s="103">
        <f>IF(LLM_Data_Entry!AK284="","",LLM_Data_Entry!AK284)</f>
        <v/>
      </c>
      <c r="S286" s="103">
        <f>IF(LLM_Data_Entry!AL284="","",LLM_Data_Entry!AL284)</f>
        <v/>
      </c>
      <c r="T286" s="103">
        <f>IF(LLM_Data_Entry!BA284="","",LLM_Data_Entry!BA284)</f>
        <v/>
      </c>
      <c r="U286" s="103">
        <f>IF(LLM_Data_Entry!BB284="","",LLM_Data_Entry!BB284)</f>
        <v/>
      </c>
      <c r="V286" s="106">
        <f>IF(LLM_Data_Entry!O284="","",LLM_Data_Entry!O284)</f>
        <v/>
      </c>
    </row>
    <row r="287" ht="15" customHeight="1" s="241">
      <c r="A287" s="103">
        <f>IF(LLM_Data_Entry!A285="","",LLM_Data_Entry!A285)</f>
        <v/>
      </c>
      <c r="B287" s="103">
        <f>IF(LLM_Data_Entry!B285="","",LLM_Data_Entry!B285)</f>
        <v/>
      </c>
      <c r="C287" s="104">
        <f>IF(LLM_Data_Entry!C285="","",LLM_Data_Entry!C285)</f>
        <v/>
      </c>
      <c r="D287" s="103">
        <f>IF(LLM_Data_Entry!D285="","",LLM_Data_Entry!D285)</f>
        <v/>
      </c>
      <c r="E287" s="103">
        <f>IF(LLM_Data_Entry!V285="","",LLM_Data_Entry!V285)</f>
        <v/>
      </c>
      <c r="F287" s="103">
        <f>IF(LLM_Data_Entry!AS285="","",LLM_Data_Entry!AS285)</f>
        <v/>
      </c>
      <c r="G287" s="103">
        <f>IF(LLM_Data_Entry!AG285="","",LLM_Data_Entry!AG285)</f>
        <v/>
      </c>
      <c r="H287" s="103">
        <f>IF(LLM_Data_Entry!AT285="","",LLM_Data_Entry!AT285)</f>
        <v/>
      </c>
      <c r="I287" s="103">
        <f>IF(LLM_Data_Entry!AU285="","",LLM_Data_Entry!AU285)</f>
        <v/>
      </c>
      <c r="J287" s="103">
        <f>IF(LLM_Data_Entry!AH285="","",LLM_Data_Entry!AH285)</f>
        <v/>
      </c>
      <c r="K287" s="103">
        <f>IF(LLM_Data_Entry!AI285="","",LLM_Data_Entry!AI285)</f>
        <v/>
      </c>
      <c r="L287" s="103">
        <f>IF(LLM_Data_Entry!AJ285="","",LLM_Data_Entry!AJ285)</f>
        <v/>
      </c>
      <c r="M287" s="103">
        <f>IF(LLM_Data_Entry!AV285="","",LLM_Data_Entry!AV285)</f>
        <v/>
      </c>
      <c r="N287" s="103">
        <f>IF(LLM_Data_Entry!AW285="","",LLM_Data_Entry!AW285)</f>
        <v/>
      </c>
      <c r="O287" s="103">
        <f>IF(LLM_Data_Entry!AX285="","",LLM_Data_Entry!AX285)</f>
        <v/>
      </c>
      <c r="P287" s="103">
        <f>IF(LLM_Data_Entry!AY285="","",LLM_Data_Entry!AY285)</f>
        <v/>
      </c>
      <c r="Q287" s="103">
        <f>IF(LLM_Data_Entry!AZ285="","",LLM_Data_Entry!AZ285)</f>
        <v/>
      </c>
      <c r="R287" s="103">
        <f>IF(LLM_Data_Entry!AK285="","",LLM_Data_Entry!AK285)</f>
        <v/>
      </c>
      <c r="S287" s="103">
        <f>IF(LLM_Data_Entry!AL285="","",LLM_Data_Entry!AL285)</f>
        <v/>
      </c>
      <c r="T287" s="103">
        <f>IF(LLM_Data_Entry!BA285="","",LLM_Data_Entry!BA285)</f>
        <v/>
      </c>
      <c r="U287" s="103">
        <f>IF(LLM_Data_Entry!BB285="","",LLM_Data_Entry!BB285)</f>
        <v/>
      </c>
      <c r="V287" s="106">
        <f>IF(LLM_Data_Entry!O285="","",LLM_Data_Entry!O285)</f>
        <v/>
      </c>
    </row>
    <row r="288" ht="15" customHeight="1" s="241">
      <c r="A288" s="103">
        <f>IF(LLM_Data_Entry!A286="","",LLM_Data_Entry!A286)</f>
        <v/>
      </c>
      <c r="B288" s="103">
        <f>IF(LLM_Data_Entry!B286="","",LLM_Data_Entry!B286)</f>
        <v/>
      </c>
      <c r="C288" s="104">
        <f>IF(LLM_Data_Entry!C286="","",LLM_Data_Entry!C286)</f>
        <v/>
      </c>
      <c r="D288" s="103">
        <f>IF(LLM_Data_Entry!D286="","",LLM_Data_Entry!D286)</f>
        <v/>
      </c>
      <c r="E288" s="103">
        <f>IF(LLM_Data_Entry!V286="","",LLM_Data_Entry!V286)</f>
        <v/>
      </c>
      <c r="F288" s="103">
        <f>IF(LLM_Data_Entry!AS286="","",LLM_Data_Entry!AS286)</f>
        <v/>
      </c>
      <c r="G288" s="103">
        <f>IF(LLM_Data_Entry!AG286="","",LLM_Data_Entry!AG286)</f>
        <v/>
      </c>
      <c r="H288" s="103">
        <f>IF(LLM_Data_Entry!AT286="","",LLM_Data_Entry!AT286)</f>
        <v/>
      </c>
      <c r="I288" s="103">
        <f>IF(LLM_Data_Entry!AU286="","",LLM_Data_Entry!AU286)</f>
        <v/>
      </c>
      <c r="J288" s="103">
        <f>IF(LLM_Data_Entry!AH286="","",LLM_Data_Entry!AH286)</f>
        <v/>
      </c>
      <c r="K288" s="103">
        <f>IF(LLM_Data_Entry!AI286="","",LLM_Data_Entry!AI286)</f>
        <v/>
      </c>
      <c r="L288" s="103">
        <f>IF(LLM_Data_Entry!AJ286="","",LLM_Data_Entry!AJ286)</f>
        <v/>
      </c>
      <c r="M288" s="103">
        <f>IF(LLM_Data_Entry!AV286="","",LLM_Data_Entry!AV286)</f>
        <v/>
      </c>
      <c r="N288" s="103">
        <f>IF(LLM_Data_Entry!AW286="","",LLM_Data_Entry!AW286)</f>
        <v/>
      </c>
      <c r="O288" s="103">
        <f>IF(LLM_Data_Entry!AX286="","",LLM_Data_Entry!AX286)</f>
        <v/>
      </c>
      <c r="P288" s="103">
        <f>IF(LLM_Data_Entry!AY286="","",LLM_Data_Entry!AY286)</f>
        <v/>
      </c>
      <c r="Q288" s="103">
        <f>IF(LLM_Data_Entry!AZ286="","",LLM_Data_Entry!AZ286)</f>
        <v/>
      </c>
      <c r="R288" s="103">
        <f>IF(LLM_Data_Entry!AK286="","",LLM_Data_Entry!AK286)</f>
        <v/>
      </c>
      <c r="S288" s="103">
        <f>IF(LLM_Data_Entry!AL286="","",LLM_Data_Entry!AL286)</f>
        <v/>
      </c>
      <c r="T288" s="103">
        <f>IF(LLM_Data_Entry!BA286="","",LLM_Data_Entry!BA286)</f>
        <v/>
      </c>
      <c r="U288" s="103">
        <f>IF(LLM_Data_Entry!BB286="","",LLM_Data_Entry!BB286)</f>
        <v/>
      </c>
      <c r="V288" s="106">
        <f>IF(LLM_Data_Entry!O286="","",LLM_Data_Entry!O286)</f>
        <v/>
      </c>
    </row>
    <row r="289" ht="15" customHeight="1" s="241">
      <c r="A289" s="103">
        <f>IF(LLM_Data_Entry!A287="","",LLM_Data_Entry!A287)</f>
        <v/>
      </c>
      <c r="B289" s="103">
        <f>IF(LLM_Data_Entry!B287="","",LLM_Data_Entry!B287)</f>
        <v/>
      </c>
      <c r="C289" s="104">
        <f>IF(LLM_Data_Entry!C287="","",LLM_Data_Entry!C287)</f>
        <v/>
      </c>
      <c r="D289" s="103">
        <f>IF(LLM_Data_Entry!D287="","",LLM_Data_Entry!D287)</f>
        <v/>
      </c>
      <c r="E289" s="103">
        <f>IF(LLM_Data_Entry!V287="","",LLM_Data_Entry!V287)</f>
        <v/>
      </c>
      <c r="F289" s="103">
        <f>IF(LLM_Data_Entry!AS287="","",LLM_Data_Entry!AS287)</f>
        <v/>
      </c>
      <c r="G289" s="103">
        <f>IF(LLM_Data_Entry!AG287="","",LLM_Data_Entry!AG287)</f>
        <v/>
      </c>
      <c r="H289" s="103">
        <f>IF(LLM_Data_Entry!AT287="","",LLM_Data_Entry!AT287)</f>
        <v/>
      </c>
      <c r="I289" s="103">
        <f>IF(LLM_Data_Entry!AU287="","",LLM_Data_Entry!AU287)</f>
        <v/>
      </c>
      <c r="J289" s="103">
        <f>IF(LLM_Data_Entry!AH287="","",LLM_Data_Entry!AH287)</f>
        <v/>
      </c>
      <c r="K289" s="103">
        <f>IF(LLM_Data_Entry!AI287="","",LLM_Data_Entry!AI287)</f>
        <v/>
      </c>
      <c r="L289" s="103">
        <f>IF(LLM_Data_Entry!AJ287="","",LLM_Data_Entry!AJ287)</f>
        <v/>
      </c>
      <c r="M289" s="103">
        <f>IF(LLM_Data_Entry!AV287="","",LLM_Data_Entry!AV287)</f>
        <v/>
      </c>
      <c r="N289" s="103">
        <f>IF(LLM_Data_Entry!AW287="","",LLM_Data_Entry!AW287)</f>
        <v/>
      </c>
      <c r="O289" s="103">
        <f>IF(LLM_Data_Entry!AX287="","",LLM_Data_Entry!AX287)</f>
        <v/>
      </c>
      <c r="P289" s="103">
        <f>IF(LLM_Data_Entry!AY287="","",LLM_Data_Entry!AY287)</f>
        <v/>
      </c>
      <c r="Q289" s="103">
        <f>IF(LLM_Data_Entry!AZ287="","",LLM_Data_Entry!AZ287)</f>
        <v/>
      </c>
      <c r="R289" s="103">
        <f>IF(LLM_Data_Entry!AK287="","",LLM_Data_Entry!AK287)</f>
        <v/>
      </c>
      <c r="S289" s="103">
        <f>IF(LLM_Data_Entry!AL287="","",LLM_Data_Entry!AL287)</f>
        <v/>
      </c>
      <c r="T289" s="103">
        <f>IF(LLM_Data_Entry!BA287="","",LLM_Data_Entry!BA287)</f>
        <v/>
      </c>
      <c r="U289" s="103">
        <f>IF(LLM_Data_Entry!BB287="","",LLM_Data_Entry!BB287)</f>
        <v/>
      </c>
      <c r="V289" s="106">
        <f>IF(LLM_Data_Entry!O287="","",LLM_Data_Entry!O287)</f>
        <v/>
      </c>
    </row>
    <row r="290" ht="15" customHeight="1" s="241">
      <c r="A290" s="103">
        <f>IF(LLM_Data_Entry!A288="","",LLM_Data_Entry!A288)</f>
        <v/>
      </c>
      <c r="B290" s="103">
        <f>IF(LLM_Data_Entry!B288="","",LLM_Data_Entry!B288)</f>
        <v/>
      </c>
      <c r="C290" s="104">
        <f>IF(LLM_Data_Entry!C288="","",LLM_Data_Entry!C288)</f>
        <v/>
      </c>
      <c r="D290" s="103">
        <f>IF(LLM_Data_Entry!D288="","",LLM_Data_Entry!D288)</f>
        <v/>
      </c>
      <c r="E290" s="103">
        <f>IF(LLM_Data_Entry!V288="","",LLM_Data_Entry!V288)</f>
        <v/>
      </c>
      <c r="F290" s="103">
        <f>IF(LLM_Data_Entry!AS288="","",LLM_Data_Entry!AS288)</f>
        <v/>
      </c>
      <c r="G290" s="103">
        <f>IF(LLM_Data_Entry!AG288="","",LLM_Data_Entry!AG288)</f>
        <v/>
      </c>
      <c r="H290" s="103">
        <f>IF(LLM_Data_Entry!AT288="","",LLM_Data_Entry!AT288)</f>
        <v/>
      </c>
      <c r="I290" s="103">
        <f>IF(LLM_Data_Entry!AU288="","",LLM_Data_Entry!AU288)</f>
        <v/>
      </c>
      <c r="J290" s="103">
        <f>IF(LLM_Data_Entry!AH288="","",LLM_Data_Entry!AH288)</f>
        <v/>
      </c>
      <c r="K290" s="103">
        <f>IF(LLM_Data_Entry!AI288="","",LLM_Data_Entry!AI288)</f>
        <v/>
      </c>
      <c r="L290" s="103">
        <f>IF(LLM_Data_Entry!AJ288="","",LLM_Data_Entry!AJ288)</f>
        <v/>
      </c>
      <c r="M290" s="103">
        <f>IF(LLM_Data_Entry!AV288="","",LLM_Data_Entry!AV288)</f>
        <v/>
      </c>
      <c r="N290" s="103">
        <f>IF(LLM_Data_Entry!AW288="","",LLM_Data_Entry!AW288)</f>
        <v/>
      </c>
      <c r="O290" s="103">
        <f>IF(LLM_Data_Entry!AX288="","",LLM_Data_Entry!AX288)</f>
        <v/>
      </c>
      <c r="P290" s="103">
        <f>IF(LLM_Data_Entry!AY288="","",LLM_Data_Entry!AY288)</f>
        <v/>
      </c>
      <c r="Q290" s="103">
        <f>IF(LLM_Data_Entry!AZ288="","",LLM_Data_Entry!AZ288)</f>
        <v/>
      </c>
      <c r="R290" s="103">
        <f>IF(LLM_Data_Entry!AK288="","",LLM_Data_Entry!AK288)</f>
        <v/>
      </c>
      <c r="S290" s="103">
        <f>IF(LLM_Data_Entry!AL288="","",LLM_Data_Entry!AL288)</f>
        <v/>
      </c>
      <c r="T290" s="103">
        <f>IF(LLM_Data_Entry!BA288="","",LLM_Data_Entry!BA288)</f>
        <v/>
      </c>
      <c r="U290" s="103">
        <f>IF(LLM_Data_Entry!BB288="","",LLM_Data_Entry!BB288)</f>
        <v/>
      </c>
      <c r="V290" s="106">
        <f>IF(LLM_Data_Entry!O288="","",LLM_Data_Entry!O288)</f>
        <v/>
      </c>
    </row>
    <row r="291" ht="15" customHeight="1" s="241">
      <c r="A291" s="103">
        <f>IF(LLM_Data_Entry!A289="","",LLM_Data_Entry!A289)</f>
        <v/>
      </c>
      <c r="B291" s="103">
        <f>IF(LLM_Data_Entry!B289="","",LLM_Data_Entry!B289)</f>
        <v/>
      </c>
      <c r="C291" s="104">
        <f>IF(LLM_Data_Entry!C289="","",LLM_Data_Entry!C289)</f>
        <v/>
      </c>
      <c r="D291" s="103">
        <f>IF(LLM_Data_Entry!D289="","",LLM_Data_Entry!D289)</f>
        <v/>
      </c>
      <c r="E291" s="103">
        <f>IF(LLM_Data_Entry!V289="","",LLM_Data_Entry!V289)</f>
        <v/>
      </c>
      <c r="F291" s="103">
        <f>IF(LLM_Data_Entry!AS289="","",LLM_Data_Entry!AS289)</f>
        <v/>
      </c>
      <c r="G291" s="103">
        <f>IF(LLM_Data_Entry!AG289="","",LLM_Data_Entry!AG289)</f>
        <v/>
      </c>
      <c r="H291" s="103">
        <f>IF(LLM_Data_Entry!AT289="","",LLM_Data_Entry!AT289)</f>
        <v/>
      </c>
      <c r="I291" s="103">
        <f>IF(LLM_Data_Entry!AU289="","",LLM_Data_Entry!AU289)</f>
        <v/>
      </c>
      <c r="J291" s="103">
        <f>IF(LLM_Data_Entry!AH289="","",LLM_Data_Entry!AH289)</f>
        <v/>
      </c>
      <c r="K291" s="103">
        <f>IF(LLM_Data_Entry!AI289="","",LLM_Data_Entry!AI289)</f>
        <v/>
      </c>
      <c r="L291" s="103">
        <f>IF(LLM_Data_Entry!AJ289="","",LLM_Data_Entry!AJ289)</f>
        <v/>
      </c>
      <c r="M291" s="103">
        <f>IF(LLM_Data_Entry!AV289="","",LLM_Data_Entry!AV289)</f>
        <v/>
      </c>
      <c r="N291" s="103">
        <f>IF(LLM_Data_Entry!AW289="","",LLM_Data_Entry!AW289)</f>
        <v/>
      </c>
      <c r="O291" s="103">
        <f>IF(LLM_Data_Entry!AX289="","",LLM_Data_Entry!AX289)</f>
        <v/>
      </c>
      <c r="P291" s="103">
        <f>IF(LLM_Data_Entry!AY289="","",LLM_Data_Entry!AY289)</f>
        <v/>
      </c>
      <c r="Q291" s="103">
        <f>IF(LLM_Data_Entry!AZ289="","",LLM_Data_Entry!AZ289)</f>
        <v/>
      </c>
      <c r="R291" s="103">
        <f>IF(LLM_Data_Entry!AK289="","",LLM_Data_Entry!AK289)</f>
        <v/>
      </c>
      <c r="S291" s="103">
        <f>IF(LLM_Data_Entry!AL289="","",LLM_Data_Entry!AL289)</f>
        <v/>
      </c>
      <c r="T291" s="103">
        <f>IF(LLM_Data_Entry!BA289="","",LLM_Data_Entry!BA289)</f>
        <v/>
      </c>
      <c r="U291" s="103">
        <f>IF(LLM_Data_Entry!BB289="","",LLM_Data_Entry!BB289)</f>
        <v/>
      </c>
      <c r="V291" s="106">
        <f>IF(LLM_Data_Entry!O289="","",LLM_Data_Entry!O289)</f>
        <v/>
      </c>
    </row>
    <row r="292" ht="15" customHeight="1" s="241">
      <c r="A292" s="103">
        <f>IF(LLM_Data_Entry!A290="","",LLM_Data_Entry!A290)</f>
        <v/>
      </c>
      <c r="B292" s="103">
        <f>IF(LLM_Data_Entry!B290="","",LLM_Data_Entry!B290)</f>
        <v/>
      </c>
      <c r="C292" s="104">
        <f>IF(LLM_Data_Entry!C290="","",LLM_Data_Entry!C290)</f>
        <v/>
      </c>
      <c r="D292" s="103">
        <f>IF(LLM_Data_Entry!D290="","",LLM_Data_Entry!D290)</f>
        <v/>
      </c>
      <c r="E292" s="103">
        <f>IF(LLM_Data_Entry!V290="","",LLM_Data_Entry!V290)</f>
        <v/>
      </c>
      <c r="F292" s="103">
        <f>IF(LLM_Data_Entry!AS290="","",LLM_Data_Entry!AS290)</f>
        <v/>
      </c>
      <c r="G292" s="103">
        <f>IF(LLM_Data_Entry!AG290="","",LLM_Data_Entry!AG290)</f>
        <v/>
      </c>
      <c r="H292" s="103">
        <f>IF(LLM_Data_Entry!AT290="","",LLM_Data_Entry!AT290)</f>
        <v/>
      </c>
      <c r="I292" s="103">
        <f>IF(LLM_Data_Entry!AU290="","",LLM_Data_Entry!AU290)</f>
        <v/>
      </c>
      <c r="J292" s="103">
        <f>IF(LLM_Data_Entry!AH290="","",LLM_Data_Entry!AH290)</f>
        <v/>
      </c>
      <c r="K292" s="103">
        <f>IF(LLM_Data_Entry!AI290="","",LLM_Data_Entry!AI290)</f>
        <v/>
      </c>
      <c r="L292" s="103">
        <f>IF(LLM_Data_Entry!AJ290="","",LLM_Data_Entry!AJ290)</f>
        <v/>
      </c>
      <c r="M292" s="103">
        <f>IF(LLM_Data_Entry!AV290="","",LLM_Data_Entry!AV290)</f>
        <v/>
      </c>
      <c r="N292" s="103">
        <f>IF(LLM_Data_Entry!AW290="","",LLM_Data_Entry!AW290)</f>
        <v/>
      </c>
      <c r="O292" s="103">
        <f>IF(LLM_Data_Entry!AX290="","",LLM_Data_Entry!AX290)</f>
        <v/>
      </c>
      <c r="P292" s="103">
        <f>IF(LLM_Data_Entry!AY290="","",LLM_Data_Entry!AY290)</f>
        <v/>
      </c>
      <c r="Q292" s="103">
        <f>IF(LLM_Data_Entry!AZ290="","",LLM_Data_Entry!AZ290)</f>
        <v/>
      </c>
      <c r="R292" s="103">
        <f>IF(LLM_Data_Entry!AK290="","",LLM_Data_Entry!AK290)</f>
        <v/>
      </c>
      <c r="S292" s="103">
        <f>IF(LLM_Data_Entry!AL290="","",LLM_Data_Entry!AL290)</f>
        <v/>
      </c>
      <c r="T292" s="103">
        <f>IF(LLM_Data_Entry!BA290="","",LLM_Data_Entry!BA290)</f>
        <v/>
      </c>
      <c r="U292" s="103">
        <f>IF(LLM_Data_Entry!BB290="","",LLM_Data_Entry!BB290)</f>
        <v/>
      </c>
      <c r="V292" s="106">
        <f>IF(LLM_Data_Entry!O290="","",LLM_Data_Entry!O290)</f>
        <v/>
      </c>
    </row>
    <row r="293" ht="15" customHeight="1" s="241">
      <c r="A293" s="103">
        <f>IF(LLM_Data_Entry!A291="","",LLM_Data_Entry!A291)</f>
        <v/>
      </c>
      <c r="B293" s="103">
        <f>IF(LLM_Data_Entry!B291="","",LLM_Data_Entry!B291)</f>
        <v/>
      </c>
      <c r="C293" s="104">
        <f>IF(LLM_Data_Entry!C291="","",LLM_Data_Entry!C291)</f>
        <v/>
      </c>
      <c r="D293" s="103">
        <f>IF(LLM_Data_Entry!D291="","",LLM_Data_Entry!D291)</f>
        <v/>
      </c>
      <c r="E293" s="103">
        <f>IF(LLM_Data_Entry!V291="","",LLM_Data_Entry!V291)</f>
        <v/>
      </c>
      <c r="F293" s="103">
        <f>IF(LLM_Data_Entry!AS291="","",LLM_Data_Entry!AS291)</f>
        <v/>
      </c>
      <c r="G293" s="103">
        <f>IF(LLM_Data_Entry!AG291="","",LLM_Data_Entry!AG291)</f>
        <v/>
      </c>
      <c r="H293" s="103">
        <f>IF(LLM_Data_Entry!AT291="","",LLM_Data_Entry!AT291)</f>
        <v/>
      </c>
      <c r="I293" s="103">
        <f>IF(LLM_Data_Entry!AU291="","",LLM_Data_Entry!AU291)</f>
        <v/>
      </c>
      <c r="J293" s="103">
        <f>IF(LLM_Data_Entry!AH291="","",LLM_Data_Entry!AH291)</f>
        <v/>
      </c>
      <c r="K293" s="103">
        <f>IF(LLM_Data_Entry!AI291="","",LLM_Data_Entry!AI291)</f>
        <v/>
      </c>
      <c r="L293" s="103">
        <f>IF(LLM_Data_Entry!AJ291="","",LLM_Data_Entry!AJ291)</f>
        <v/>
      </c>
      <c r="M293" s="103">
        <f>IF(LLM_Data_Entry!AV291="","",LLM_Data_Entry!AV291)</f>
        <v/>
      </c>
      <c r="N293" s="103">
        <f>IF(LLM_Data_Entry!AW291="","",LLM_Data_Entry!AW291)</f>
        <v/>
      </c>
      <c r="O293" s="103">
        <f>IF(LLM_Data_Entry!AX291="","",LLM_Data_Entry!AX291)</f>
        <v/>
      </c>
      <c r="P293" s="103">
        <f>IF(LLM_Data_Entry!AY291="","",LLM_Data_Entry!AY291)</f>
        <v/>
      </c>
      <c r="Q293" s="103">
        <f>IF(LLM_Data_Entry!AZ291="","",LLM_Data_Entry!AZ291)</f>
        <v/>
      </c>
      <c r="R293" s="103">
        <f>IF(LLM_Data_Entry!AK291="","",LLM_Data_Entry!AK291)</f>
        <v/>
      </c>
      <c r="S293" s="103">
        <f>IF(LLM_Data_Entry!AL291="","",LLM_Data_Entry!AL291)</f>
        <v/>
      </c>
      <c r="T293" s="103">
        <f>IF(LLM_Data_Entry!BA291="","",LLM_Data_Entry!BA291)</f>
        <v/>
      </c>
      <c r="U293" s="103">
        <f>IF(LLM_Data_Entry!BB291="","",LLM_Data_Entry!BB291)</f>
        <v/>
      </c>
      <c r="V293" s="106">
        <f>IF(LLM_Data_Entry!O291="","",LLM_Data_Entry!O291)</f>
        <v/>
      </c>
    </row>
    <row r="294" ht="15" customHeight="1" s="241">
      <c r="A294" s="103">
        <f>IF(LLM_Data_Entry!A292="","",LLM_Data_Entry!A292)</f>
        <v/>
      </c>
      <c r="B294" s="103">
        <f>IF(LLM_Data_Entry!B292="","",LLM_Data_Entry!B292)</f>
        <v/>
      </c>
      <c r="C294" s="104">
        <f>IF(LLM_Data_Entry!C292="","",LLM_Data_Entry!C292)</f>
        <v/>
      </c>
      <c r="D294" s="103">
        <f>IF(LLM_Data_Entry!D292="","",LLM_Data_Entry!D292)</f>
        <v/>
      </c>
      <c r="E294" s="103">
        <f>IF(LLM_Data_Entry!V292="","",LLM_Data_Entry!V292)</f>
        <v/>
      </c>
      <c r="F294" s="103">
        <f>IF(LLM_Data_Entry!AS292="","",LLM_Data_Entry!AS292)</f>
        <v/>
      </c>
      <c r="G294" s="103">
        <f>IF(LLM_Data_Entry!AG292="","",LLM_Data_Entry!AG292)</f>
        <v/>
      </c>
      <c r="H294" s="103">
        <f>IF(LLM_Data_Entry!AT292="","",LLM_Data_Entry!AT292)</f>
        <v/>
      </c>
      <c r="I294" s="103">
        <f>IF(LLM_Data_Entry!AU292="","",LLM_Data_Entry!AU292)</f>
        <v/>
      </c>
      <c r="J294" s="103">
        <f>IF(LLM_Data_Entry!AH292="","",LLM_Data_Entry!AH292)</f>
        <v/>
      </c>
      <c r="K294" s="103">
        <f>IF(LLM_Data_Entry!AI292="","",LLM_Data_Entry!AI292)</f>
        <v/>
      </c>
      <c r="L294" s="103">
        <f>IF(LLM_Data_Entry!AJ292="","",LLM_Data_Entry!AJ292)</f>
        <v/>
      </c>
      <c r="M294" s="103">
        <f>IF(LLM_Data_Entry!AV292="","",LLM_Data_Entry!AV292)</f>
        <v/>
      </c>
      <c r="N294" s="103">
        <f>IF(LLM_Data_Entry!AW292="","",LLM_Data_Entry!AW292)</f>
        <v/>
      </c>
      <c r="O294" s="103">
        <f>IF(LLM_Data_Entry!AX292="","",LLM_Data_Entry!AX292)</f>
        <v/>
      </c>
      <c r="P294" s="103">
        <f>IF(LLM_Data_Entry!AY292="","",LLM_Data_Entry!AY292)</f>
        <v/>
      </c>
      <c r="Q294" s="103">
        <f>IF(LLM_Data_Entry!AZ292="","",LLM_Data_Entry!AZ292)</f>
        <v/>
      </c>
      <c r="R294" s="103">
        <f>IF(LLM_Data_Entry!AK292="","",LLM_Data_Entry!AK292)</f>
        <v/>
      </c>
      <c r="S294" s="103">
        <f>IF(LLM_Data_Entry!AL292="","",LLM_Data_Entry!AL292)</f>
        <v/>
      </c>
      <c r="T294" s="103">
        <f>IF(LLM_Data_Entry!BA292="","",LLM_Data_Entry!BA292)</f>
        <v/>
      </c>
      <c r="U294" s="103">
        <f>IF(LLM_Data_Entry!BB292="","",LLM_Data_Entry!BB292)</f>
        <v/>
      </c>
      <c r="V294" s="106">
        <f>IF(LLM_Data_Entry!O292="","",LLM_Data_Entry!O292)</f>
        <v/>
      </c>
    </row>
    <row r="295" ht="15" customHeight="1" s="241">
      <c r="A295" s="103">
        <f>IF(LLM_Data_Entry!A293="","",LLM_Data_Entry!A293)</f>
        <v/>
      </c>
      <c r="B295" s="103">
        <f>IF(LLM_Data_Entry!B293="","",LLM_Data_Entry!B293)</f>
        <v/>
      </c>
      <c r="C295" s="104">
        <f>IF(LLM_Data_Entry!C293="","",LLM_Data_Entry!C293)</f>
        <v/>
      </c>
      <c r="D295" s="103">
        <f>IF(LLM_Data_Entry!D293="","",LLM_Data_Entry!D293)</f>
        <v/>
      </c>
      <c r="E295" s="103">
        <f>IF(LLM_Data_Entry!V293="","",LLM_Data_Entry!V293)</f>
        <v/>
      </c>
      <c r="F295" s="103">
        <f>IF(LLM_Data_Entry!AS293="","",LLM_Data_Entry!AS293)</f>
        <v/>
      </c>
      <c r="G295" s="103">
        <f>IF(LLM_Data_Entry!AG293="","",LLM_Data_Entry!AG293)</f>
        <v/>
      </c>
      <c r="H295" s="103">
        <f>IF(LLM_Data_Entry!AT293="","",LLM_Data_Entry!AT293)</f>
        <v/>
      </c>
      <c r="I295" s="103">
        <f>IF(LLM_Data_Entry!AU293="","",LLM_Data_Entry!AU293)</f>
        <v/>
      </c>
      <c r="J295" s="103">
        <f>IF(LLM_Data_Entry!AH293="","",LLM_Data_Entry!AH293)</f>
        <v/>
      </c>
      <c r="K295" s="103">
        <f>IF(LLM_Data_Entry!AI293="","",LLM_Data_Entry!AI293)</f>
        <v/>
      </c>
      <c r="L295" s="103">
        <f>IF(LLM_Data_Entry!AJ293="","",LLM_Data_Entry!AJ293)</f>
        <v/>
      </c>
      <c r="M295" s="103">
        <f>IF(LLM_Data_Entry!AV293="","",LLM_Data_Entry!AV293)</f>
        <v/>
      </c>
      <c r="N295" s="103">
        <f>IF(LLM_Data_Entry!AW293="","",LLM_Data_Entry!AW293)</f>
        <v/>
      </c>
      <c r="O295" s="103">
        <f>IF(LLM_Data_Entry!AX293="","",LLM_Data_Entry!AX293)</f>
        <v/>
      </c>
      <c r="P295" s="103">
        <f>IF(LLM_Data_Entry!AY293="","",LLM_Data_Entry!AY293)</f>
        <v/>
      </c>
      <c r="Q295" s="103">
        <f>IF(LLM_Data_Entry!AZ293="","",LLM_Data_Entry!AZ293)</f>
        <v/>
      </c>
      <c r="R295" s="103">
        <f>IF(LLM_Data_Entry!AK293="","",LLM_Data_Entry!AK293)</f>
        <v/>
      </c>
      <c r="S295" s="103">
        <f>IF(LLM_Data_Entry!AL293="","",LLM_Data_Entry!AL293)</f>
        <v/>
      </c>
      <c r="T295" s="103">
        <f>IF(LLM_Data_Entry!BA293="","",LLM_Data_Entry!BA293)</f>
        <v/>
      </c>
      <c r="U295" s="103">
        <f>IF(LLM_Data_Entry!BB293="","",LLM_Data_Entry!BB293)</f>
        <v/>
      </c>
      <c r="V295" s="106">
        <f>IF(LLM_Data_Entry!O293="","",LLM_Data_Entry!O293)</f>
        <v/>
      </c>
    </row>
    <row r="296" ht="15" customHeight="1" s="241">
      <c r="A296" s="103">
        <f>IF(LLM_Data_Entry!A294="","",LLM_Data_Entry!A294)</f>
        <v/>
      </c>
      <c r="B296" s="103">
        <f>IF(LLM_Data_Entry!B294="","",LLM_Data_Entry!B294)</f>
        <v/>
      </c>
      <c r="C296" s="104">
        <f>IF(LLM_Data_Entry!C294="","",LLM_Data_Entry!C294)</f>
        <v/>
      </c>
      <c r="D296" s="103">
        <f>IF(LLM_Data_Entry!D294="","",LLM_Data_Entry!D294)</f>
        <v/>
      </c>
      <c r="E296" s="103">
        <f>IF(LLM_Data_Entry!V294="","",LLM_Data_Entry!V294)</f>
        <v/>
      </c>
      <c r="F296" s="103">
        <f>IF(LLM_Data_Entry!AS294="","",LLM_Data_Entry!AS294)</f>
        <v/>
      </c>
      <c r="G296" s="103">
        <f>IF(LLM_Data_Entry!AG294="","",LLM_Data_Entry!AG294)</f>
        <v/>
      </c>
      <c r="H296" s="103">
        <f>IF(LLM_Data_Entry!AT294="","",LLM_Data_Entry!AT294)</f>
        <v/>
      </c>
      <c r="I296" s="103">
        <f>IF(LLM_Data_Entry!AU294="","",LLM_Data_Entry!AU294)</f>
        <v/>
      </c>
      <c r="J296" s="103">
        <f>IF(LLM_Data_Entry!AH294="","",LLM_Data_Entry!AH294)</f>
        <v/>
      </c>
      <c r="K296" s="103">
        <f>IF(LLM_Data_Entry!AI294="","",LLM_Data_Entry!AI294)</f>
        <v/>
      </c>
      <c r="L296" s="103">
        <f>IF(LLM_Data_Entry!AJ294="","",LLM_Data_Entry!AJ294)</f>
        <v/>
      </c>
      <c r="M296" s="103">
        <f>IF(LLM_Data_Entry!AV294="","",LLM_Data_Entry!AV294)</f>
        <v/>
      </c>
      <c r="N296" s="103">
        <f>IF(LLM_Data_Entry!AW294="","",LLM_Data_Entry!AW294)</f>
        <v/>
      </c>
      <c r="O296" s="103">
        <f>IF(LLM_Data_Entry!AX294="","",LLM_Data_Entry!AX294)</f>
        <v/>
      </c>
      <c r="P296" s="103">
        <f>IF(LLM_Data_Entry!AY294="","",LLM_Data_Entry!AY294)</f>
        <v/>
      </c>
      <c r="Q296" s="103">
        <f>IF(LLM_Data_Entry!AZ294="","",LLM_Data_Entry!AZ294)</f>
        <v/>
      </c>
      <c r="R296" s="103">
        <f>IF(LLM_Data_Entry!AK294="","",LLM_Data_Entry!AK294)</f>
        <v/>
      </c>
      <c r="S296" s="103">
        <f>IF(LLM_Data_Entry!AL294="","",LLM_Data_Entry!AL294)</f>
        <v/>
      </c>
      <c r="T296" s="103">
        <f>IF(LLM_Data_Entry!BA294="","",LLM_Data_Entry!BA294)</f>
        <v/>
      </c>
      <c r="U296" s="103">
        <f>IF(LLM_Data_Entry!BB294="","",LLM_Data_Entry!BB294)</f>
        <v/>
      </c>
      <c r="V296" s="106">
        <f>IF(LLM_Data_Entry!O294="","",LLM_Data_Entry!O294)</f>
        <v/>
      </c>
    </row>
    <row r="297" ht="15" customHeight="1" s="241">
      <c r="A297" s="103">
        <f>IF(LLM_Data_Entry!A295="","",LLM_Data_Entry!A295)</f>
        <v/>
      </c>
      <c r="B297" s="103">
        <f>IF(LLM_Data_Entry!B295="","",LLM_Data_Entry!B295)</f>
        <v/>
      </c>
      <c r="C297" s="104">
        <f>IF(LLM_Data_Entry!C295="","",LLM_Data_Entry!C295)</f>
        <v/>
      </c>
      <c r="D297" s="103">
        <f>IF(LLM_Data_Entry!D295="","",LLM_Data_Entry!D295)</f>
        <v/>
      </c>
      <c r="E297" s="103">
        <f>IF(LLM_Data_Entry!V295="","",LLM_Data_Entry!V295)</f>
        <v/>
      </c>
      <c r="F297" s="103">
        <f>IF(LLM_Data_Entry!AS295="","",LLM_Data_Entry!AS295)</f>
        <v/>
      </c>
      <c r="G297" s="103">
        <f>IF(LLM_Data_Entry!AG295="","",LLM_Data_Entry!AG295)</f>
        <v/>
      </c>
      <c r="H297" s="103">
        <f>IF(LLM_Data_Entry!AT295="","",LLM_Data_Entry!AT295)</f>
        <v/>
      </c>
      <c r="I297" s="103">
        <f>IF(LLM_Data_Entry!AU295="","",LLM_Data_Entry!AU295)</f>
        <v/>
      </c>
      <c r="J297" s="103">
        <f>IF(LLM_Data_Entry!AH295="","",LLM_Data_Entry!AH295)</f>
        <v/>
      </c>
      <c r="K297" s="103">
        <f>IF(LLM_Data_Entry!AI295="","",LLM_Data_Entry!AI295)</f>
        <v/>
      </c>
      <c r="L297" s="103">
        <f>IF(LLM_Data_Entry!AJ295="","",LLM_Data_Entry!AJ295)</f>
        <v/>
      </c>
      <c r="M297" s="103">
        <f>IF(LLM_Data_Entry!AV295="","",LLM_Data_Entry!AV295)</f>
        <v/>
      </c>
      <c r="N297" s="103">
        <f>IF(LLM_Data_Entry!AW295="","",LLM_Data_Entry!AW295)</f>
        <v/>
      </c>
      <c r="O297" s="103">
        <f>IF(LLM_Data_Entry!AX295="","",LLM_Data_Entry!AX295)</f>
        <v/>
      </c>
      <c r="P297" s="103">
        <f>IF(LLM_Data_Entry!AY295="","",LLM_Data_Entry!AY295)</f>
        <v/>
      </c>
      <c r="Q297" s="103">
        <f>IF(LLM_Data_Entry!AZ295="","",LLM_Data_Entry!AZ295)</f>
        <v/>
      </c>
      <c r="R297" s="103">
        <f>IF(LLM_Data_Entry!AK295="","",LLM_Data_Entry!AK295)</f>
        <v/>
      </c>
      <c r="S297" s="103">
        <f>IF(LLM_Data_Entry!AL295="","",LLM_Data_Entry!AL295)</f>
        <v/>
      </c>
      <c r="T297" s="103">
        <f>IF(LLM_Data_Entry!BA295="","",LLM_Data_Entry!BA295)</f>
        <v/>
      </c>
      <c r="U297" s="103">
        <f>IF(LLM_Data_Entry!BB295="","",LLM_Data_Entry!BB295)</f>
        <v/>
      </c>
      <c r="V297" s="106">
        <f>IF(LLM_Data_Entry!O295="","",LLM_Data_Entry!O295)</f>
        <v/>
      </c>
    </row>
    <row r="298" ht="15" customHeight="1" s="241">
      <c r="A298" s="103">
        <f>IF(LLM_Data_Entry!A296="","",LLM_Data_Entry!A296)</f>
        <v/>
      </c>
      <c r="B298" s="103">
        <f>IF(LLM_Data_Entry!B296="","",LLM_Data_Entry!B296)</f>
        <v/>
      </c>
      <c r="C298" s="104">
        <f>IF(LLM_Data_Entry!C296="","",LLM_Data_Entry!C296)</f>
        <v/>
      </c>
      <c r="D298" s="103">
        <f>IF(LLM_Data_Entry!D296="","",LLM_Data_Entry!D296)</f>
        <v/>
      </c>
      <c r="E298" s="103">
        <f>IF(LLM_Data_Entry!V296="","",LLM_Data_Entry!V296)</f>
        <v/>
      </c>
      <c r="F298" s="103">
        <f>IF(LLM_Data_Entry!AS296="","",LLM_Data_Entry!AS296)</f>
        <v/>
      </c>
      <c r="G298" s="103">
        <f>IF(LLM_Data_Entry!AG296="","",LLM_Data_Entry!AG296)</f>
        <v/>
      </c>
      <c r="H298" s="103">
        <f>IF(LLM_Data_Entry!AT296="","",LLM_Data_Entry!AT296)</f>
        <v/>
      </c>
      <c r="I298" s="103">
        <f>IF(LLM_Data_Entry!AU296="","",LLM_Data_Entry!AU296)</f>
        <v/>
      </c>
      <c r="J298" s="103">
        <f>IF(LLM_Data_Entry!AH296="","",LLM_Data_Entry!AH296)</f>
        <v/>
      </c>
      <c r="K298" s="103">
        <f>IF(LLM_Data_Entry!AI296="","",LLM_Data_Entry!AI296)</f>
        <v/>
      </c>
      <c r="L298" s="103">
        <f>IF(LLM_Data_Entry!AJ296="","",LLM_Data_Entry!AJ296)</f>
        <v/>
      </c>
      <c r="M298" s="103">
        <f>IF(LLM_Data_Entry!AV296="","",LLM_Data_Entry!AV296)</f>
        <v/>
      </c>
      <c r="N298" s="103">
        <f>IF(LLM_Data_Entry!AW296="","",LLM_Data_Entry!AW296)</f>
        <v/>
      </c>
      <c r="O298" s="103">
        <f>IF(LLM_Data_Entry!AX296="","",LLM_Data_Entry!AX296)</f>
        <v/>
      </c>
      <c r="P298" s="103">
        <f>IF(LLM_Data_Entry!AY296="","",LLM_Data_Entry!AY296)</f>
        <v/>
      </c>
      <c r="Q298" s="103">
        <f>IF(LLM_Data_Entry!AZ296="","",LLM_Data_Entry!AZ296)</f>
        <v/>
      </c>
      <c r="R298" s="103">
        <f>IF(LLM_Data_Entry!AK296="","",LLM_Data_Entry!AK296)</f>
        <v/>
      </c>
      <c r="S298" s="103">
        <f>IF(LLM_Data_Entry!AL296="","",LLM_Data_Entry!AL296)</f>
        <v/>
      </c>
      <c r="T298" s="103">
        <f>IF(LLM_Data_Entry!BA296="","",LLM_Data_Entry!BA296)</f>
        <v/>
      </c>
      <c r="U298" s="103">
        <f>IF(LLM_Data_Entry!BB296="","",LLM_Data_Entry!BB296)</f>
        <v/>
      </c>
      <c r="V298" s="106">
        <f>IF(LLM_Data_Entry!O296="","",LLM_Data_Entry!O296)</f>
        <v/>
      </c>
    </row>
    <row r="299" ht="15" customHeight="1" s="241">
      <c r="A299" s="103">
        <f>IF(LLM_Data_Entry!A297="","",LLM_Data_Entry!A297)</f>
        <v/>
      </c>
      <c r="B299" s="103">
        <f>IF(LLM_Data_Entry!B297="","",LLM_Data_Entry!B297)</f>
        <v/>
      </c>
      <c r="C299" s="104">
        <f>IF(LLM_Data_Entry!C297="","",LLM_Data_Entry!C297)</f>
        <v/>
      </c>
      <c r="D299" s="103">
        <f>IF(LLM_Data_Entry!D297="","",LLM_Data_Entry!D297)</f>
        <v/>
      </c>
      <c r="E299" s="103">
        <f>IF(LLM_Data_Entry!V297="","",LLM_Data_Entry!V297)</f>
        <v/>
      </c>
      <c r="F299" s="103">
        <f>IF(LLM_Data_Entry!AS297="","",LLM_Data_Entry!AS297)</f>
        <v/>
      </c>
      <c r="G299" s="103">
        <f>IF(LLM_Data_Entry!AG297="","",LLM_Data_Entry!AG297)</f>
        <v/>
      </c>
      <c r="H299" s="103">
        <f>IF(LLM_Data_Entry!AT297="","",LLM_Data_Entry!AT297)</f>
        <v/>
      </c>
      <c r="I299" s="103">
        <f>IF(LLM_Data_Entry!AU297="","",LLM_Data_Entry!AU297)</f>
        <v/>
      </c>
      <c r="J299" s="103">
        <f>IF(LLM_Data_Entry!AH297="","",LLM_Data_Entry!AH297)</f>
        <v/>
      </c>
      <c r="K299" s="103">
        <f>IF(LLM_Data_Entry!AI297="","",LLM_Data_Entry!AI297)</f>
        <v/>
      </c>
      <c r="L299" s="103">
        <f>IF(LLM_Data_Entry!AJ297="","",LLM_Data_Entry!AJ297)</f>
        <v/>
      </c>
      <c r="M299" s="103">
        <f>IF(LLM_Data_Entry!AV297="","",LLM_Data_Entry!AV297)</f>
        <v/>
      </c>
      <c r="N299" s="103">
        <f>IF(LLM_Data_Entry!AW297="","",LLM_Data_Entry!AW297)</f>
        <v/>
      </c>
      <c r="O299" s="103">
        <f>IF(LLM_Data_Entry!AX297="","",LLM_Data_Entry!AX297)</f>
        <v/>
      </c>
      <c r="P299" s="103">
        <f>IF(LLM_Data_Entry!AY297="","",LLM_Data_Entry!AY297)</f>
        <v/>
      </c>
      <c r="Q299" s="103">
        <f>IF(LLM_Data_Entry!AZ297="","",LLM_Data_Entry!AZ297)</f>
        <v/>
      </c>
      <c r="R299" s="103">
        <f>IF(LLM_Data_Entry!AK297="","",LLM_Data_Entry!AK297)</f>
        <v/>
      </c>
      <c r="S299" s="103">
        <f>IF(LLM_Data_Entry!AL297="","",LLM_Data_Entry!AL297)</f>
        <v/>
      </c>
      <c r="T299" s="103">
        <f>IF(LLM_Data_Entry!BA297="","",LLM_Data_Entry!BA297)</f>
        <v/>
      </c>
      <c r="U299" s="103">
        <f>IF(LLM_Data_Entry!BB297="","",LLM_Data_Entry!BB297)</f>
        <v/>
      </c>
      <c r="V299" s="106">
        <f>IF(LLM_Data_Entry!O297="","",LLM_Data_Entry!O297)</f>
        <v/>
      </c>
    </row>
    <row r="300" ht="15" customHeight="1" s="241">
      <c r="A300" s="103">
        <f>IF(LLM_Data_Entry!A298="","",LLM_Data_Entry!A298)</f>
        <v/>
      </c>
      <c r="B300" s="103">
        <f>IF(LLM_Data_Entry!B298="","",LLM_Data_Entry!B298)</f>
        <v/>
      </c>
      <c r="C300" s="104">
        <f>IF(LLM_Data_Entry!C298="","",LLM_Data_Entry!C298)</f>
        <v/>
      </c>
      <c r="D300" s="103">
        <f>IF(LLM_Data_Entry!D298="","",LLM_Data_Entry!D298)</f>
        <v/>
      </c>
      <c r="E300" s="103">
        <f>IF(LLM_Data_Entry!V298="","",LLM_Data_Entry!V298)</f>
        <v/>
      </c>
      <c r="F300" s="103">
        <f>IF(LLM_Data_Entry!AS298="","",LLM_Data_Entry!AS298)</f>
        <v/>
      </c>
      <c r="G300" s="103">
        <f>IF(LLM_Data_Entry!AG298="","",LLM_Data_Entry!AG298)</f>
        <v/>
      </c>
      <c r="H300" s="103">
        <f>IF(LLM_Data_Entry!AT298="","",LLM_Data_Entry!AT298)</f>
        <v/>
      </c>
      <c r="I300" s="103">
        <f>IF(LLM_Data_Entry!AU298="","",LLM_Data_Entry!AU298)</f>
        <v/>
      </c>
      <c r="J300" s="103">
        <f>IF(LLM_Data_Entry!AH298="","",LLM_Data_Entry!AH298)</f>
        <v/>
      </c>
      <c r="K300" s="103">
        <f>IF(LLM_Data_Entry!AI298="","",LLM_Data_Entry!AI298)</f>
        <v/>
      </c>
      <c r="L300" s="103">
        <f>IF(LLM_Data_Entry!AJ298="","",LLM_Data_Entry!AJ298)</f>
        <v/>
      </c>
      <c r="M300" s="103">
        <f>IF(LLM_Data_Entry!AV298="","",LLM_Data_Entry!AV298)</f>
        <v/>
      </c>
      <c r="N300" s="103">
        <f>IF(LLM_Data_Entry!AW298="","",LLM_Data_Entry!AW298)</f>
        <v/>
      </c>
      <c r="O300" s="103">
        <f>IF(LLM_Data_Entry!AX298="","",LLM_Data_Entry!AX298)</f>
        <v/>
      </c>
      <c r="P300" s="103">
        <f>IF(LLM_Data_Entry!AY298="","",LLM_Data_Entry!AY298)</f>
        <v/>
      </c>
      <c r="Q300" s="103">
        <f>IF(LLM_Data_Entry!AZ298="","",LLM_Data_Entry!AZ298)</f>
        <v/>
      </c>
      <c r="R300" s="103">
        <f>IF(LLM_Data_Entry!AK298="","",LLM_Data_Entry!AK298)</f>
        <v/>
      </c>
      <c r="S300" s="103">
        <f>IF(LLM_Data_Entry!AL298="","",LLM_Data_Entry!AL298)</f>
        <v/>
      </c>
      <c r="T300" s="103">
        <f>IF(LLM_Data_Entry!BA298="","",LLM_Data_Entry!BA298)</f>
        <v/>
      </c>
      <c r="U300" s="103">
        <f>IF(LLM_Data_Entry!BB298="","",LLM_Data_Entry!BB298)</f>
        <v/>
      </c>
      <c r="V300" s="106">
        <f>IF(LLM_Data_Entry!O298="","",LLM_Data_Entry!O298)</f>
        <v/>
      </c>
    </row>
    <row r="301" ht="15" customHeight="1" s="241">
      <c r="A301" s="103">
        <f>IF(LLM_Data_Entry!A299="","",LLM_Data_Entry!A299)</f>
        <v/>
      </c>
      <c r="B301" s="103">
        <f>IF(LLM_Data_Entry!B299="","",LLM_Data_Entry!B299)</f>
        <v/>
      </c>
      <c r="C301" s="104">
        <f>IF(LLM_Data_Entry!C299="","",LLM_Data_Entry!C299)</f>
        <v/>
      </c>
      <c r="D301" s="103">
        <f>IF(LLM_Data_Entry!D299="","",LLM_Data_Entry!D299)</f>
        <v/>
      </c>
      <c r="E301" s="103">
        <f>IF(LLM_Data_Entry!V299="","",LLM_Data_Entry!V299)</f>
        <v/>
      </c>
      <c r="F301" s="103">
        <f>IF(LLM_Data_Entry!AS299="","",LLM_Data_Entry!AS299)</f>
        <v/>
      </c>
      <c r="G301" s="103">
        <f>IF(LLM_Data_Entry!AG299="","",LLM_Data_Entry!AG299)</f>
        <v/>
      </c>
      <c r="H301" s="103">
        <f>IF(LLM_Data_Entry!AT299="","",LLM_Data_Entry!AT299)</f>
        <v/>
      </c>
      <c r="I301" s="103">
        <f>IF(LLM_Data_Entry!AU299="","",LLM_Data_Entry!AU299)</f>
        <v/>
      </c>
      <c r="J301" s="103">
        <f>IF(LLM_Data_Entry!AH299="","",LLM_Data_Entry!AH299)</f>
        <v/>
      </c>
      <c r="K301" s="103">
        <f>IF(LLM_Data_Entry!AI299="","",LLM_Data_Entry!AI299)</f>
        <v/>
      </c>
      <c r="L301" s="103">
        <f>IF(LLM_Data_Entry!AJ299="","",LLM_Data_Entry!AJ299)</f>
        <v/>
      </c>
      <c r="M301" s="103">
        <f>IF(LLM_Data_Entry!AV299="","",LLM_Data_Entry!AV299)</f>
        <v/>
      </c>
      <c r="N301" s="103">
        <f>IF(LLM_Data_Entry!AW299="","",LLM_Data_Entry!AW299)</f>
        <v/>
      </c>
      <c r="O301" s="103">
        <f>IF(LLM_Data_Entry!AX299="","",LLM_Data_Entry!AX299)</f>
        <v/>
      </c>
      <c r="P301" s="103">
        <f>IF(LLM_Data_Entry!AY299="","",LLM_Data_Entry!AY299)</f>
        <v/>
      </c>
      <c r="Q301" s="103">
        <f>IF(LLM_Data_Entry!AZ299="","",LLM_Data_Entry!AZ299)</f>
        <v/>
      </c>
      <c r="R301" s="103">
        <f>IF(LLM_Data_Entry!AK299="","",LLM_Data_Entry!AK299)</f>
        <v/>
      </c>
      <c r="S301" s="103">
        <f>IF(LLM_Data_Entry!AL299="","",LLM_Data_Entry!AL299)</f>
        <v/>
      </c>
      <c r="T301" s="103">
        <f>IF(LLM_Data_Entry!BA299="","",LLM_Data_Entry!BA299)</f>
        <v/>
      </c>
      <c r="U301" s="103">
        <f>IF(LLM_Data_Entry!BB299="","",LLM_Data_Entry!BB299)</f>
        <v/>
      </c>
      <c r="V301" s="106">
        <f>IF(LLM_Data_Entry!O299="","",LLM_Data_Entry!O299)</f>
        <v/>
      </c>
    </row>
    <row r="302" ht="15" customHeight="1" s="241">
      <c r="A302" s="103">
        <f>IF(LLM_Data_Entry!A300="","",LLM_Data_Entry!A300)</f>
        <v/>
      </c>
      <c r="B302" s="103">
        <f>IF(LLM_Data_Entry!B300="","",LLM_Data_Entry!B300)</f>
        <v/>
      </c>
      <c r="C302" s="104">
        <f>IF(LLM_Data_Entry!C300="","",LLM_Data_Entry!C300)</f>
        <v/>
      </c>
      <c r="D302" s="103">
        <f>IF(LLM_Data_Entry!D300="","",LLM_Data_Entry!D300)</f>
        <v/>
      </c>
      <c r="E302" s="103">
        <f>IF(LLM_Data_Entry!V300="","",LLM_Data_Entry!V300)</f>
        <v/>
      </c>
      <c r="F302" s="103">
        <f>IF(LLM_Data_Entry!AS300="","",LLM_Data_Entry!AS300)</f>
        <v/>
      </c>
      <c r="G302" s="103">
        <f>IF(LLM_Data_Entry!AG300="","",LLM_Data_Entry!AG300)</f>
        <v/>
      </c>
      <c r="H302" s="103">
        <f>IF(LLM_Data_Entry!AT300="","",LLM_Data_Entry!AT300)</f>
        <v/>
      </c>
      <c r="I302" s="103">
        <f>IF(LLM_Data_Entry!AU300="","",LLM_Data_Entry!AU300)</f>
        <v/>
      </c>
      <c r="J302" s="103">
        <f>IF(LLM_Data_Entry!AH300="","",LLM_Data_Entry!AH300)</f>
        <v/>
      </c>
      <c r="K302" s="103">
        <f>IF(LLM_Data_Entry!AI300="","",LLM_Data_Entry!AI300)</f>
        <v/>
      </c>
      <c r="L302" s="103">
        <f>IF(LLM_Data_Entry!AJ300="","",LLM_Data_Entry!AJ300)</f>
        <v/>
      </c>
      <c r="M302" s="103">
        <f>IF(LLM_Data_Entry!AV300="","",LLM_Data_Entry!AV300)</f>
        <v/>
      </c>
      <c r="N302" s="103">
        <f>IF(LLM_Data_Entry!AW300="","",LLM_Data_Entry!AW300)</f>
        <v/>
      </c>
      <c r="O302" s="103">
        <f>IF(LLM_Data_Entry!AX300="","",LLM_Data_Entry!AX300)</f>
        <v/>
      </c>
      <c r="P302" s="103">
        <f>IF(LLM_Data_Entry!AY300="","",LLM_Data_Entry!AY300)</f>
        <v/>
      </c>
      <c r="Q302" s="103">
        <f>IF(LLM_Data_Entry!AZ300="","",LLM_Data_Entry!AZ300)</f>
        <v/>
      </c>
      <c r="R302" s="103">
        <f>IF(LLM_Data_Entry!AK300="","",LLM_Data_Entry!AK300)</f>
        <v/>
      </c>
      <c r="S302" s="103">
        <f>IF(LLM_Data_Entry!AL300="","",LLM_Data_Entry!AL300)</f>
        <v/>
      </c>
      <c r="T302" s="103">
        <f>IF(LLM_Data_Entry!BA300="","",LLM_Data_Entry!BA300)</f>
        <v/>
      </c>
      <c r="U302" s="103">
        <f>IF(LLM_Data_Entry!BB300="","",LLM_Data_Entry!BB300)</f>
        <v/>
      </c>
      <c r="V302" s="106">
        <f>IF(LLM_Data_Entry!O300="","",LLM_Data_Entry!O300)</f>
        <v/>
      </c>
    </row>
    <row r="303" ht="15" customHeight="1" s="241">
      <c r="A303" s="103">
        <f>IF(LLM_Data_Entry!A301="","",LLM_Data_Entry!A301)</f>
        <v/>
      </c>
      <c r="B303" s="103">
        <f>IF(LLM_Data_Entry!B301="","",LLM_Data_Entry!B301)</f>
        <v/>
      </c>
      <c r="C303" s="104">
        <f>IF(LLM_Data_Entry!C301="","",LLM_Data_Entry!C301)</f>
        <v/>
      </c>
      <c r="D303" s="103">
        <f>IF(LLM_Data_Entry!D301="","",LLM_Data_Entry!D301)</f>
        <v/>
      </c>
      <c r="E303" s="103">
        <f>IF(LLM_Data_Entry!V301="","",LLM_Data_Entry!V301)</f>
        <v/>
      </c>
      <c r="F303" s="103">
        <f>IF(LLM_Data_Entry!AS301="","",LLM_Data_Entry!AS301)</f>
        <v/>
      </c>
      <c r="G303" s="103">
        <f>IF(LLM_Data_Entry!AG301="","",LLM_Data_Entry!AG301)</f>
        <v/>
      </c>
      <c r="H303" s="103">
        <f>IF(LLM_Data_Entry!AT301="","",LLM_Data_Entry!AT301)</f>
        <v/>
      </c>
      <c r="I303" s="103">
        <f>IF(LLM_Data_Entry!AU301="","",LLM_Data_Entry!AU301)</f>
        <v/>
      </c>
      <c r="J303" s="103">
        <f>IF(LLM_Data_Entry!AH301="","",LLM_Data_Entry!AH301)</f>
        <v/>
      </c>
      <c r="K303" s="103">
        <f>IF(LLM_Data_Entry!AI301="","",LLM_Data_Entry!AI301)</f>
        <v/>
      </c>
      <c r="L303" s="103">
        <f>IF(LLM_Data_Entry!AJ301="","",LLM_Data_Entry!AJ301)</f>
        <v/>
      </c>
      <c r="M303" s="103">
        <f>IF(LLM_Data_Entry!AV301="","",LLM_Data_Entry!AV301)</f>
        <v/>
      </c>
      <c r="N303" s="103">
        <f>IF(LLM_Data_Entry!AW301="","",LLM_Data_Entry!AW301)</f>
        <v/>
      </c>
      <c r="O303" s="103">
        <f>IF(LLM_Data_Entry!AX301="","",LLM_Data_Entry!AX301)</f>
        <v/>
      </c>
      <c r="P303" s="103">
        <f>IF(LLM_Data_Entry!AY301="","",LLM_Data_Entry!AY301)</f>
        <v/>
      </c>
      <c r="Q303" s="103">
        <f>IF(LLM_Data_Entry!AZ301="","",LLM_Data_Entry!AZ301)</f>
        <v/>
      </c>
      <c r="R303" s="103">
        <f>IF(LLM_Data_Entry!AK301="","",LLM_Data_Entry!AK301)</f>
        <v/>
      </c>
      <c r="S303" s="103">
        <f>IF(LLM_Data_Entry!AL301="","",LLM_Data_Entry!AL301)</f>
        <v/>
      </c>
      <c r="T303" s="103">
        <f>IF(LLM_Data_Entry!BA301="","",LLM_Data_Entry!BA301)</f>
        <v/>
      </c>
      <c r="U303" s="103">
        <f>IF(LLM_Data_Entry!BB301="","",LLM_Data_Entry!BB301)</f>
        <v/>
      </c>
      <c r="V303" s="106">
        <f>IF(LLM_Data_Entry!O301="","",LLM_Data_Entry!O301)</f>
        <v/>
      </c>
    </row>
    <row r="304" ht="15" customHeight="1" s="241">
      <c r="A304" s="103">
        <f>IF(LLM_Data_Entry!A302="","",LLM_Data_Entry!A302)</f>
        <v/>
      </c>
      <c r="B304" s="103">
        <f>IF(LLM_Data_Entry!B302="","",LLM_Data_Entry!B302)</f>
        <v/>
      </c>
      <c r="C304" s="104">
        <f>IF(LLM_Data_Entry!C302="","",LLM_Data_Entry!C302)</f>
        <v/>
      </c>
      <c r="D304" s="103">
        <f>IF(LLM_Data_Entry!D302="","",LLM_Data_Entry!D302)</f>
        <v/>
      </c>
      <c r="E304" s="103">
        <f>IF(LLM_Data_Entry!V302="","",LLM_Data_Entry!V302)</f>
        <v/>
      </c>
      <c r="F304" s="103">
        <f>IF(LLM_Data_Entry!AS302="","",LLM_Data_Entry!AS302)</f>
        <v/>
      </c>
      <c r="G304" s="103">
        <f>IF(LLM_Data_Entry!AG302="","",LLM_Data_Entry!AG302)</f>
        <v/>
      </c>
      <c r="H304" s="103">
        <f>IF(LLM_Data_Entry!AT302="","",LLM_Data_Entry!AT302)</f>
        <v/>
      </c>
      <c r="I304" s="103">
        <f>IF(LLM_Data_Entry!AU302="","",LLM_Data_Entry!AU302)</f>
        <v/>
      </c>
      <c r="J304" s="103">
        <f>IF(LLM_Data_Entry!AH302="","",LLM_Data_Entry!AH302)</f>
        <v/>
      </c>
      <c r="K304" s="103">
        <f>IF(LLM_Data_Entry!AI302="","",LLM_Data_Entry!AI302)</f>
        <v/>
      </c>
      <c r="L304" s="103">
        <f>IF(LLM_Data_Entry!AJ302="","",LLM_Data_Entry!AJ302)</f>
        <v/>
      </c>
      <c r="M304" s="103">
        <f>IF(LLM_Data_Entry!AV302="","",LLM_Data_Entry!AV302)</f>
        <v/>
      </c>
      <c r="N304" s="103">
        <f>IF(LLM_Data_Entry!AW302="","",LLM_Data_Entry!AW302)</f>
        <v/>
      </c>
      <c r="O304" s="103">
        <f>IF(LLM_Data_Entry!AX302="","",LLM_Data_Entry!AX302)</f>
        <v/>
      </c>
      <c r="P304" s="103">
        <f>IF(LLM_Data_Entry!AY302="","",LLM_Data_Entry!AY302)</f>
        <v/>
      </c>
      <c r="Q304" s="103">
        <f>IF(LLM_Data_Entry!AZ302="","",LLM_Data_Entry!AZ302)</f>
        <v/>
      </c>
      <c r="R304" s="103">
        <f>IF(LLM_Data_Entry!AK302="","",LLM_Data_Entry!AK302)</f>
        <v/>
      </c>
      <c r="S304" s="103">
        <f>IF(LLM_Data_Entry!AL302="","",LLM_Data_Entry!AL302)</f>
        <v/>
      </c>
      <c r="T304" s="103">
        <f>IF(LLM_Data_Entry!BA302="","",LLM_Data_Entry!BA302)</f>
        <v/>
      </c>
      <c r="U304" s="103">
        <f>IF(LLM_Data_Entry!BB302="","",LLM_Data_Entry!BB302)</f>
        <v/>
      </c>
      <c r="V304" s="106">
        <f>IF(LLM_Data_Entry!O302="","",LLM_Data_Entry!O302)</f>
        <v/>
      </c>
    </row>
    <row r="305" ht="15" customHeight="1" s="241">
      <c r="A305" s="103">
        <f>IF(LLM_Data_Entry!A303="","",LLM_Data_Entry!A303)</f>
        <v/>
      </c>
      <c r="B305" s="103">
        <f>IF(LLM_Data_Entry!B303="","",LLM_Data_Entry!B303)</f>
        <v/>
      </c>
      <c r="C305" s="104">
        <f>IF(LLM_Data_Entry!C303="","",LLM_Data_Entry!C303)</f>
        <v/>
      </c>
      <c r="D305" s="103">
        <f>IF(LLM_Data_Entry!D303="","",LLM_Data_Entry!D303)</f>
        <v/>
      </c>
      <c r="E305" s="103">
        <f>IF(LLM_Data_Entry!V303="","",LLM_Data_Entry!V303)</f>
        <v/>
      </c>
      <c r="F305" s="103">
        <f>IF(LLM_Data_Entry!AS303="","",LLM_Data_Entry!AS303)</f>
        <v/>
      </c>
      <c r="G305" s="103">
        <f>IF(LLM_Data_Entry!AG303="","",LLM_Data_Entry!AG303)</f>
        <v/>
      </c>
      <c r="H305" s="103">
        <f>IF(LLM_Data_Entry!AT303="","",LLM_Data_Entry!AT303)</f>
        <v/>
      </c>
      <c r="I305" s="103">
        <f>IF(LLM_Data_Entry!AU303="","",LLM_Data_Entry!AU303)</f>
        <v/>
      </c>
      <c r="J305" s="103">
        <f>IF(LLM_Data_Entry!AH303="","",LLM_Data_Entry!AH303)</f>
        <v/>
      </c>
      <c r="K305" s="103">
        <f>IF(LLM_Data_Entry!AI303="","",LLM_Data_Entry!AI303)</f>
        <v/>
      </c>
      <c r="L305" s="103">
        <f>IF(LLM_Data_Entry!AJ303="","",LLM_Data_Entry!AJ303)</f>
        <v/>
      </c>
      <c r="M305" s="103">
        <f>IF(LLM_Data_Entry!AV303="","",LLM_Data_Entry!AV303)</f>
        <v/>
      </c>
      <c r="N305" s="103">
        <f>IF(LLM_Data_Entry!AW303="","",LLM_Data_Entry!AW303)</f>
        <v/>
      </c>
      <c r="O305" s="103">
        <f>IF(LLM_Data_Entry!AX303="","",LLM_Data_Entry!AX303)</f>
        <v/>
      </c>
      <c r="P305" s="103">
        <f>IF(LLM_Data_Entry!AY303="","",LLM_Data_Entry!AY303)</f>
        <v/>
      </c>
      <c r="Q305" s="103">
        <f>IF(LLM_Data_Entry!AZ303="","",LLM_Data_Entry!AZ303)</f>
        <v/>
      </c>
      <c r="R305" s="103">
        <f>IF(LLM_Data_Entry!AK303="","",LLM_Data_Entry!AK303)</f>
        <v/>
      </c>
      <c r="S305" s="103">
        <f>IF(LLM_Data_Entry!AL303="","",LLM_Data_Entry!AL303)</f>
        <v/>
      </c>
      <c r="T305" s="103">
        <f>IF(LLM_Data_Entry!BA303="","",LLM_Data_Entry!BA303)</f>
        <v/>
      </c>
      <c r="U305" s="103">
        <f>IF(LLM_Data_Entry!BB303="","",LLM_Data_Entry!BB303)</f>
        <v/>
      </c>
      <c r="V305" s="106">
        <f>IF(LLM_Data_Entry!O303="","",LLM_Data_Entry!O303)</f>
        <v/>
      </c>
    </row>
    <row r="306" ht="15" customHeight="1" s="241">
      <c r="A306" s="103">
        <f>IF(LLM_Data_Entry!A304="","",LLM_Data_Entry!A304)</f>
        <v/>
      </c>
      <c r="B306" s="103">
        <f>IF(LLM_Data_Entry!B304="","",LLM_Data_Entry!B304)</f>
        <v/>
      </c>
      <c r="C306" s="104">
        <f>IF(LLM_Data_Entry!C304="","",LLM_Data_Entry!C304)</f>
        <v/>
      </c>
      <c r="D306" s="103">
        <f>IF(LLM_Data_Entry!D304="","",LLM_Data_Entry!D304)</f>
        <v/>
      </c>
      <c r="E306" s="103">
        <f>IF(LLM_Data_Entry!V304="","",LLM_Data_Entry!V304)</f>
        <v/>
      </c>
      <c r="F306" s="103">
        <f>IF(LLM_Data_Entry!AS304="","",LLM_Data_Entry!AS304)</f>
        <v/>
      </c>
      <c r="G306" s="103">
        <f>IF(LLM_Data_Entry!AG304="","",LLM_Data_Entry!AG304)</f>
        <v/>
      </c>
      <c r="H306" s="103">
        <f>IF(LLM_Data_Entry!AT304="","",LLM_Data_Entry!AT304)</f>
        <v/>
      </c>
      <c r="I306" s="103">
        <f>IF(LLM_Data_Entry!AU304="","",LLM_Data_Entry!AU304)</f>
        <v/>
      </c>
      <c r="J306" s="103">
        <f>IF(LLM_Data_Entry!AH304="","",LLM_Data_Entry!AH304)</f>
        <v/>
      </c>
      <c r="K306" s="103">
        <f>IF(LLM_Data_Entry!AI304="","",LLM_Data_Entry!AI304)</f>
        <v/>
      </c>
      <c r="L306" s="103">
        <f>IF(LLM_Data_Entry!AJ304="","",LLM_Data_Entry!AJ304)</f>
        <v/>
      </c>
      <c r="M306" s="103">
        <f>IF(LLM_Data_Entry!AV304="","",LLM_Data_Entry!AV304)</f>
        <v/>
      </c>
      <c r="N306" s="103">
        <f>IF(LLM_Data_Entry!AW304="","",LLM_Data_Entry!AW304)</f>
        <v/>
      </c>
      <c r="O306" s="103">
        <f>IF(LLM_Data_Entry!AX304="","",LLM_Data_Entry!AX304)</f>
        <v/>
      </c>
      <c r="P306" s="103">
        <f>IF(LLM_Data_Entry!AY304="","",LLM_Data_Entry!AY304)</f>
        <v/>
      </c>
      <c r="Q306" s="103">
        <f>IF(LLM_Data_Entry!AZ304="","",LLM_Data_Entry!AZ304)</f>
        <v/>
      </c>
      <c r="R306" s="103">
        <f>IF(LLM_Data_Entry!AK304="","",LLM_Data_Entry!AK304)</f>
        <v/>
      </c>
      <c r="S306" s="103">
        <f>IF(LLM_Data_Entry!AL304="","",LLM_Data_Entry!AL304)</f>
        <v/>
      </c>
      <c r="T306" s="103">
        <f>IF(LLM_Data_Entry!BA304="","",LLM_Data_Entry!BA304)</f>
        <v/>
      </c>
      <c r="U306" s="103">
        <f>IF(LLM_Data_Entry!BB304="","",LLM_Data_Entry!BB304)</f>
        <v/>
      </c>
      <c r="V306" s="106">
        <f>IF(LLM_Data_Entry!O304="","",LLM_Data_Entry!O304)</f>
        <v/>
      </c>
    </row>
    <row r="307" ht="15" customHeight="1" s="241">
      <c r="A307" s="103">
        <f>IF(LLM_Data_Entry!A305="","",LLM_Data_Entry!A305)</f>
        <v/>
      </c>
      <c r="B307" s="103">
        <f>IF(LLM_Data_Entry!B305="","",LLM_Data_Entry!B305)</f>
        <v/>
      </c>
      <c r="C307" s="104">
        <f>IF(LLM_Data_Entry!C305="","",LLM_Data_Entry!C305)</f>
        <v/>
      </c>
      <c r="D307" s="103">
        <f>IF(LLM_Data_Entry!D305="","",LLM_Data_Entry!D305)</f>
        <v/>
      </c>
      <c r="E307" s="103">
        <f>IF(LLM_Data_Entry!V305="","",LLM_Data_Entry!V305)</f>
        <v/>
      </c>
      <c r="F307" s="103">
        <f>IF(LLM_Data_Entry!AS305="","",LLM_Data_Entry!AS305)</f>
        <v/>
      </c>
      <c r="G307" s="103">
        <f>IF(LLM_Data_Entry!AG305="","",LLM_Data_Entry!AG305)</f>
        <v/>
      </c>
      <c r="H307" s="103">
        <f>IF(LLM_Data_Entry!AT305="","",LLM_Data_Entry!AT305)</f>
        <v/>
      </c>
      <c r="I307" s="103">
        <f>IF(LLM_Data_Entry!AU305="","",LLM_Data_Entry!AU305)</f>
        <v/>
      </c>
      <c r="J307" s="103">
        <f>IF(LLM_Data_Entry!AH305="","",LLM_Data_Entry!AH305)</f>
        <v/>
      </c>
      <c r="K307" s="103">
        <f>IF(LLM_Data_Entry!AI305="","",LLM_Data_Entry!AI305)</f>
        <v/>
      </c>
      <c r="L307" s="103">
        <f>IF(LLM_Data_Entry!AJ305="","",LLM_Data_Entry!AJ305)</f>
        <v/>
      </c>
      <c r="M307" s="103">
        <f>IF(LLM_Data_Entry!AV305="","",LLM_Data_Entry!AV305)</f>
        <v/>
      </c>
      <c r="N307" s="103">
        <f>IF(LLM_Data_Entry!AW305="","",LLM_Data_Entry!AW305)</f>
        <v/>
      </c>
      <c r="O307" s="103">
        <f>IF(LLM_Data_Entry!AX305="","",LLM_Data_Entry!AX305)</f>
        <v/>
      </c>
      <c r="P307" s="103">
        <f>IF(LLM_Data_Entry!AY305="","",LLM_Data_Entry!AY305)</f>
        <v/>
      </c>
      <c r="Q307" s="103">
        <f>IF(LLM_Data_Entry!AZ305="","",LLM_Data_Entry!AZ305)</f>
        <v/>
      </c>
      <c r="R307" s="103">
        <f>IF(LLM_Data_Entry!AK305="","",LLM_Data_Entry!AK305)</f>
        <v/>
      </c>
      <c r="S307" s="103">
        <f>IF(LLM_Data_Entry!AL305="","",LLM_Data_Entry!AL305)</f>
        <v/>
      </c>
      <c r="T307" s="103">
        <f>IF(LLM_Data_Entry!BA305="","",LLM_Data_Entry!BA305)</f>
        <v/>
      </c>
      <c r="U307" s="103">
        <f>IF(LLM_Data_Entry!BB305="","",LLM_Data_Entry!BB305)</f>
        <v/>
      </c>
      <c r="V307" s="106">
        <f>IF(LLM_Data_Entry!O305="","",LLM_Data_Entry!O305)</f>
        <v/>
      </c>
    </row>
    <row r="308" ht="15" customHeight="1" s="241">
      <c r="A308" s="103">
        <f>IF(LLM_Data_Entry!A306="","",LLM_Data_Entry!A306)</f>
        <v/>
      </c>
      <c r="B308" s="103">
        <f>IF(LLM_Data_Entry!B306="","",LLM_Data_Entry!B306)</f>
        <v/>
      </c>
      <c r="C308" s="104">
        <f>IF(LLM_Data_Entry!C306="","",LLM_Data_Entry!C306)</f>
        <v/>
      </c>
      <c r="D308" s="103">
        <f>IF(LLM_Data_Entry!D306="","",LLM_Data_Entry!D306)</f>
        <v/>
      </c>
      <c r="E308" s="103">
        <f>IF(LLM_Data_Entry!V306="","",LLM_Data_Entry!V306)</f>
        <v/>
      </c>
      <c r="F308" s="103">
        <f>IF(LLM_Data_Entry!AS306="","",LLM_Data_Entry!AS306)</f>
        <v/>
      </c>
      <c r="G308" s="103">
        <f>IF(LLM_Data_Entry!AG306="","",LLM_Data_Entry!AG306)</f>
        <v/>
      </c>
      <c r="H308" s="103">
        <f>IF(LLM_Data_Entry!AT306="","",LLM_Data_Entry!AT306)</f>
        <v/>
      </c>
      <c r="I308" s="103">
        <f>IF(LLM_Data_Entry!AU306="","",LLM_Data_Entry!AU306)</f>
        <v/>
      </c>
      <c r="J308" s="103">
        <f>IF(LLM_Data_Entry!AH306="","",LLM_Data_Entry!AH306)</f>
        <v/>
      </c>
      <c r="K308" s="103">
        <f>IF(LLM_Data_Entry!AI306="","",LLM_Data_Entry!AI306)</f>
        <v/>
      </c>
      <c r="L308" s="103">
        <f>IF(LLM_Data_Entry!AJ306="","",LLM_Data_Entry!AJ306)</f>
        <v/>
      </c>
      <c r="M308" s="103">
        <f>IF(LLM_Data_Entry!AV306="","",LLM_Data_Entry!AV306)</f>
        <v/>
      </c>
      <c r="N308" s="103">
        <f>IF(LLM_Data_Entry!AW306="","",LLM_Data_Entry!AW306)</f>
        <v/>
      </c>
      <c r="O308" s="103">
        <f>IF(LLM_Data_Entry!AX306="","",LLM_Data_Entry!AX306)</f>
        <v/>
      </c>
      <c r="P308" s="103">
        <f>IF(LLM_Data_Entry!AY306="","",LLM_Data_Entry!AY306)</f>
        <v/>
      </c>
      <c r="Q308" s="103">
        <f>IF(LLM_Data_Entry!AZ306="","",LLM_Data_Entry!AZ306)</f>
        <v/>
      </c>
      <c r="R308" s="103">
        <f>IF(LLM_Data_Entry!AK306="","",LLM_Data_Entry!AK306)</f>
        <v/>
      </c>
      <c r="S308" s="103">
        <f>IF(LLM_Data_Entry!AL306="","",LLM_Data_Entry!AL306)</f>
        <v/>
      </c>
      <c r="T308" s="103">
        <f>IF(LLM_Data_Entry!BA306="","",LLM_Data_Entry!BA306)</f>
        <v/>
      </c>
      <c r="U308" s="103">
        <f>IF(LLM_Data_Entry!BB306="","",LLM_Data_Entry!BB306)</f>
        <v/>
      </c>
      <c r="V308" s="106">
        <f>IF(LLM_Data_Entry!O306="","",LLM_Data_Entry!O306)</f>
        <v/>
      </c>
    </row>
    <row r="309" ht="15" customHeight="1" s="241">
      <c r="A309" s="103">
        <f>IF(LLM_Data_Entry!A307="","",LLM_Data_Entry!A307)</f>
        <v/>
      </c>
      <c r="B309" s="103">
        <f>IF(LLM_Data_Entry!B307="","",LLM_Data_Entry!B307)</f>
        <v/>
      </c>
      <c r="C309" s="104">
        <f>IF(LLM_Data_Entry!C307="","",LLM_Data_Entry!C307)</f>
        <v/>
      </c>
      <c r="D309" s="103">
        <f>IF(LLM_Data_Entry!D307="","",LLM_Data_Entry!D307)</f>
        <v/>
      </c>
      <c r="E309" s="103">
        <f>IF(LLM_Data_Entry!V307="","",LLM_Data_Entry!V307)</f>
        <v/>
      </c>
      <c r="F309" s="103">
        <f>IF(LLM_Data_Entry!AS307="","",LLM_Data_Entry!AS307)</f>
        <v/>
      </c>
      <c r="G309" s="103">
        <f>IF(LLM_Data_Entry!AG307="","",LLM_Data_Entry!AG307)</f>
        <v/>
      </c>
      <c r="H309" s="103">
        <f>IF(LLM_Data_Entry!AT307="","",LLM_Data_Entry!AT307)</f>
        <v/>
      </c>
      <c r="I309" s="103">
        <f>IF(LLM_Data_Entry!AU307="","",LLM_Data_Entry!AU307)</f>
        <v/>
      </c>
      <c r="J309" s="103">
        <f>IF(LLM_Data_Entry!AH307="","",LLM_Data_Entry!AH307)</f>
        <v/>
      </c>
      <c r="K309" s="103">
        <f>IF(LLM_Data_Entry!AI307="","",LLM_Data_Entry!AI307)</f>
        <v/>
      </c>
      <c r="L309" s="103">
        <f>IF(LLM_Data_Entry!AJ307="","",LLM_Data_Entry!AJ307)</f>
        <v/>
      </c>
      <c r="M309" s="103">
        <f>IF(LLM_Data_Entry!AV307="","",LLM_Data_Entry!AV307)</f>
        <v/>
      </c>
      <c r="N309" s="103">
        <f>IF(LLM_Data_Entry!AW307="","",LLM_Data_Entry!AW307)</f>
        <v/>
      </c>
      <c r="O309" s="103">
        <f>IF(LLM_Data_Entry!AX307="","",LLM_Data_Entry!AX307)</f>
        <v/>
      </c>
      <c r="P309" s="103">
        <f>IF(LLM_Data_Entry!AY307="","",LLM_Data_Entry!AY307)</f>
        <v/>
      </c>
      <c r="Q309" s="103">
        <f>IF(LLM_Data_Entry!AZ307="","",LLM_Data_Entry!AZ307)</f>
        <v/>
      </c>
      <c r="R309" s="103">
        <f>IF(LLM_Data_Entry!AK307="","",LLM_Data_Entry!AK307)</f>
        <v/>
      </c>
      <c r="S309" s="103">
        <f>IF(LLM_Data_Entry!AL307="","",LLM_Data_Entry!AL307)</f>
        <v/>
      </c>
      <c r="T309" s="103">
        <f>IF(LLM_Data_Entry!BA307="","",LLM_Data_Entry!BA307)</f>
        <v/>
      </c>
      <c r="U309" s="103">
        <f>IF(LLM_Data_Entry!BB307="","",LLM_Data_Entry!BB307)</f>
        <v/>
      </c>
      <c r="V309" s="106">
        <f>IF(LLM_Data_Entry!O307="","",LLM_Data_Entry!O307)</f>
        <v/>
      </c>
    </row>
    <row r="310" ht="15" customHeight="1" s="241">
      <c r="A310" s="103">
        <f>IF(LLM_Data_Entry!A308="","",LLM_Data_Entry!A308)</f>
        <v/>
      </c>
      <c r="B310" s="103">
        <f>IF(LLM_Data_Entry!B308="","",LLM_Data_Entry!B308)</f>
        <v/>
      </c>
      <c r="C310" s="104">
        <f>IF(LLM_Data_Entry!C308="","",LLM_Data_Entry!C308)</f>
        <v/>
      </c>
      <c r="D310" s="103">
        <f>IF(LLM_Data_Entry!D308="","",LLM_Data_Entry!D308)</f>
        <v/>
      </c>
      <c r="E310" s="103">
        <f>IF(LLM_Data_Entry!V308="","",LLM_Data_Entry!V308)</f>
        <v/>
      </c>
      <c r="F310" s="103">
        <f>IF(LLM_Data_Entry!AS308="","",LLM_Data_Entry!AS308)</f>
        <v/>
      </c>
      <c r="G310" s="103">
        <f>IF(LLM_Data_Entry!AG308="","",LLM_Data_Entry!AG308)</f>
        <v/>
      </c>
      <c r="H310" s="103">
        <f>IF(LLM_Data_Entry!AT308="","",LLM_Data_Entry!AT308)</f>
        <v/>
      </c>
      <c r="I310" s="103">
        <f>IF(LLM_Data_Entry!AU308="","",LLM_Data_Entry!AU308)</f>
        <v/>
      </c>
      <c r="J310" s="103">
        <f>IF(LLM_Data_Entry!AH308="","",LLM_Data_Entry!AH308)</f>
        <v/>
      </c>
      <c r="K310" s="103">
        <f>IF(LLM_Data_Entry!AI308="","",LLM_Data_Entry!AI308)</f>
        <v/>
      </c>
      <c r="L310" s="103">
        <f>IF(LLM_Data_Entry!AJ308="","",LLM_Data_Entry!AJ308)</f>
        <v/>
      </c>
      <c r="M310" s="103">
        <f>IF(LLM_Data_Entry!AV308="","",LLM_Data_Entry!AV308)</f>
        <v/>
      </c>
      <c r="N310" s="103">
        <f>IF(LLM_Data_Entry!AW308="","",LLM_Data_Entry!AW308)</f>
        <v/>
      </c>
      <c r="O310" s="103">
        <f>IF(LLM_Data_Entry!AX308="","",LLM_Data_Entry!AX308)</f>
        <v/>
      </c>
      <c r="P310" s="103">
        <f>IF(LLM_Data_Entry!AY308="","",LLM_Data_Entry!AY308)</f>
        <v/>
      </c>
      <c r="Q310" s="103">
        <f>IF(LLM_Data_Entry!AZ308="","",LLM_Data_Entry!AZ308)</f>
        <v/>
      </c>
      <c r="R310" s="103">
        <f>IF(LLM_Data_Entry!AK308="","",LLM_Data_Entry!AK308)</f>
        <v/>
      </c>
      <c r="S310" s="103">
        <f>IF(LLM_Data_Entry!AL308="","",LLM_Data_Entry!AL308)</f>
        <v/>
      </c>
      <c r="T310" s="103">
        <f>IF(LLM_Data_Entry!BA308="","",LLM_Data_Entry!BA308)</f>
        <v/>
      </c>
      <c r="U310" s="103">
        <f>IF(LLM_Data_Entry!BB308="","",LLM_Data_Entry!BB308)</f>
        <v/>
      </c>
      <c r="V310" s="106">
        <f>IF(LLM_Data_Entry!O308="","",LLM_Data_Entry!O308)</f>
        <v/>
      </c>
    </row>
    <row r="311" ht="15" customHeight="1" s="241">
      <c r="A311" s="103">
        <f>IF(LLM_Data_Entry!A309="","",LLM_Data_Entry!A309)</f>
        <v/>
      </c>
      <c r="B311" s="103">
        <f>IF(LLM_Data_Entry!B309="","",LLM_Data_Entry!B309)</f>
        <v/>
      </c>
      <c r="C311" s="104">
        <f>IF(LLM_Data_Entry!C309="","",LLM_Data_Entry!C309)</f>
        <v/>
      </c>
      <c r="D311" s="103">
        <f>IF(LLM_Data_Entry!D309="","",LLM_Data_Entry!D309)</f>
        <v/>
      </c>
      <c r="E311" s="103">
        <f>IF(LLM_Data_Entry!V309="","",LLM_Data_Entry!V309)</f>
        <v/>
      </c>
      <c r="F311" s="103">
        <f>IF(LLM_Data_Entry!AS309="","",LLM_Data_Entry!AS309)</f>
        <v/>
      </c>
      <c r="G311" s="103">
        <f>IF(LLM_Data_Entry!AG309="","",LLM_Data_Entry!AG309)</f>
        <v/>
      </c>
      <c r="H311" s="103">
        <f>IF(LLM_Data_Entry!AT309="","",LLM_Data_Entry!AT309)</f>
        <v/>
      </c>
      <c r="I311" s="103">
        <f>IF(LLM_Data_Entry!AU309="","",LLM_Data_Entry!AU309)</f>
        <v/>
      </c>
      <c r="J311" s="103">
        <f>IF(LLM_Data_Entry!AH309="","",LLM_Data_Entry!AH309)</f>
        <v/>
      </c>
      <c r="K311" s="103">
        <f>IF(LLM_Data_Entry!AI309="","",LLM_Data_Entry!AI309)</f>
        <v/>
      </c>
      <c r="L311" s="103">
        <f>IF(LLM_Data_Entry!AJ309="","",LLM_Data_Entry!AJ309)</f>
        <v/>
      </c>
      <c r="M311" s="103">
        <f>IF(LLM_Data_Entry!AV309="","",LLM_Data_Entry!AV309)</f>
        <v/>
      </c>
      <c r="N311" s="103">
        <f>IF(LLM_Data_Entry!AW309="","",LLM_Data_Entry!AW309)</f>
        <v/>
      </c>
      <c r="O311" s="103">
        <f>IF(LLM_Data_Entry!AX309="","",LLM_Data_Entry!AX309)</f>
        <v/>
      </c>
      <c r="P311" s="103">
        <f>IF(LLM_Data_Entry!AY309="","",LLM_Data_Entry!AY309)</f>
        <v/>
      </c>
      <c r="Q311" s="103">
        <f>IF(LLM_Data_Entry!AZ309="","",LLM_Data_Entry!AZ309)</f>
        <v/>
      </c>
      <c r="R311" s="103">
        <f>IF(LLM_Data_Entry!AK309="","",LLM_Data_Entry!AK309)</f>
        <v/>
      </c>
      <c r="S311" s="103">
        <f>IF(LLM_Data_Entry!AL309="","",LLM_Data_Entry!AL309)</f>
        <v/>
      </c>
      <c r="T311" s="103">
        <f>IF(LLM_Data_Entry!BA309="","",LLM_Data_Entry!BA309)</f>
        <v/>
      </c>
      <c r="U311" s="103">
        <f>IF(LLM_Data_Entry!BB309="","",LLM_Data_Entry!BB309)</f>
        <v/>
      </c>
      <c r="V311" s="106">
        <f>IF(LLM_Data_Entry!O309="","",LLM_Data_Entry!O309)</f>
        <v/>
      </c>
    </row>
    <row r="312" ht="15" customHeight="1" s="241">
      <c r="A312" s="103">
        <f>IF(LLM_Data_Entry!A310="","",LLM_Data_Entry!A310)</f>
        <v/>
      </c>
      <c r="B312" s="103">
        <f>IF(LLM_Data_Entry!B310="","",LLM_Data_Entry!B310)</f>
        <v/>
      </c>
      <c r="C312" s="104">
        <f>IF(LLM_Data_Entry!C310="","",LLM_Data_Entry!C310)</f>
        <v/>
      </c>
      <c r="D312" s="103">
        <f>IF(LLM_Data_Entry!D310="","",LLM_Data_Entry!D310)</f>
        <v/>
      </c>
      <c r="E312" s="103">
        <f>IF(LLM_Data_Entry!V310="","",LLM_Data_Entry!V310)</f>
        <v/>
      </c>
      <c r="F312" s="103">
        <f>IF(LLM_Data_Entry!AS310="","",LLM_Data_Entry!AS310)</f>
        <v/>
      </c>
      <c r="G312" s="103">
        <f>IF(LLM_Data_Entry!AG310="","",LLM_Data_Entry!AG310)</f>
        <v/>
      </c>
      <c r="H312" s="103">
        <f>IF(LLM_Data_Entry!AT310="","",LLM_Data_Entry!AT310)</f>
        <v/>
      </c>
      <c r="I312" s="103">
        <f>IF(LLM_Data_Entry!AU310="","",LLM_Data_Entry!AU310)</f>
        <v/>
      </c>
      <c r="J312" s="103">
        <f>IF(LLM_Data_Entry!AH310="","",LLM_Data_Entry!AH310)</f>
        <v/>
      </c>
      <c r="K312" s="103">
        <f>IF(LLM_Data_Entry!AI310="","",LLM_Data_Entry!AI310)</f>
        <v/>
      </c>
      <c r="L312" s="103">
        <f>IF(LLM_Data_Entry!AJ310="","",LLM_Data_Entry!AJ310)</f>
        <v/>
      </c>
      <c r="M312" s="103">
        <f>IF(LLM_Data_Entry!AV310="","",LLM_Data_Entry!AV310)</f>
        <v/>
      </c>
      <c r="N312" s="103">
        <f>IF(LLM_Data_Entry!AW310="","",LLM_Data_Entry!AW310)</f>
        <v/>
      </c>
      <c r="O312" s="103">
        <f>IF(LLM_Data_Entry!AX310="","",LLM_Data_Entry!AX310)</f>
        <v/>
      </c>
      <c r="P312" s="103">
        <f>IF(LLM_Data_Entry!AY310="","",LLM_Data_Entry!AY310)</f>
        <v/>
      </c>
      <c r="Q312" s="103">
        <f>IF(LLM_Data_Entry!AZ310="","",LLM_Data_Entry!AZ310)</f>
        <v/>
      </c>
      <c r="R312" s="103">
        <f>IF(LLM_Data_Entry!AK310="","",LLM_Data_Entry!AK310)</f>
        <v/>
      </c>
      <c r="S312" s="103">
        <f>IF(LLM_Data_Entry!AL310="","",LLM_Data_Entry!AL310)</f>
        <v/>
      </c>
      <c r="T312" s="103">
        <f>IF(LLM_Data_Entry!BA310="","",LLM_Data_Entry!BA310)</f>
        <v/>
      </c>
      <c r="U312" s="103">
        <f>IF(LLM_Data_Entry!BB310="","",LLM_Data_Entry!BB310)</f>
        <v/>
      </c>
      <c r="V312" s="106">
        <f>IF(LLM_Data_Entry!O310="","",LLM_Data_Entry!O310)</f>
        <v/>
      </c>
    </row>
    <row r="313" ht="15" customHeight="1" s="241">
      <c r="A313" s="103">
        <f>IF(LLM_Data_Entry!A311="","",LLM_Data_Entry!A311)</f>
        <v/>
      </c>
      <c r="B313" s="103">
        <f>IF(LLM_Data_Entry!B311="","",LLM_Data_Entry!B311)</f>
        <v/>
      </c>
      <c r="C313" s="104">
        <f>IF(LLM_Data_Entry!C311="","",LLM_Data_Entry!C311)</f>
        <v/>
      </c>
      <c r="D313" s="103">
        <f>IF(LLM_Data_Entry!D311="","",LLM_Data_Entry!D311)</f>
        <v/>
      </c>
      <c r="E313" s="103">
        <f>IF(LLM_Data_Entry!V311="","",LLM_Data_Entry!V311)</f>
        <v/>
      </c>
      <c r="F313" s="103">
        <f>IF(LLM_Data_Entry!AS311="","",LLM_Data_Entry!AS311)</f>
        <v/>
      </c>
      <c r="G313" s="103">
        <f>IF(LLM_Data_Entry!AG311="","",LLM_Data_Entry!AG311)</f>
        <v/>
      </c>
      <c r="H313" s="103">
        <f>IF(LLM_Data_Entry!AT311="","",LLM_Data_Entry!AT311)</f>
        <v/>
      </c>
      <c r="I313" s="103">
        <f>IF(LLM_Data_Entry!AU311="","",LLM_Data_Entry!AU311)</f>
        <v/>
      </c>
      <c r="J313" s="103">
        <f>IF(LLM_Data_Entry!AH311="","",LLM_Data_Entry!AH311)</f>
        <v/>
      </c>
      <c r="K313" s="103">
        <f>IF(LLM_Data_Entry!AI311="","",LLM_Data_Entry!AI311)</f>
        <v/>
      </c>
      <c r="L313" s="103">
        <f>IF(LLM_Data_Entry!AJ311="","",LLM_Data_Entry!AJ311)</f>
        <v/>
      </c>
      <c r="M313" s="103">
        <f>IF(LLM_Data_Entry!AV311="","",LLM_Data_Entry!AV311)</f>
        <v/>
      </c>
      <c r="N313" s="103">
        <f>IF(LLM_Data_Entry!AW311="","",LLM_Data_Entry!AW311)</f>
        <v/>
      </c>
      <c r="O313" s="103">
        <f>IF(LLM_Data_Entry!AX311="","",LLM_Data_Entry!AX311)</f>
        <v/>
      </c>
      <c r="P313" s="103">
        <f>IF(LLM_Data_Entry!AY311="","",LLM_Data_Entry!AY311)</f>
        <v/>
      </c>
      <c r="Q313" s="103">
        <f>IF(LLM_Data_Entry!AZ311="","",LLM_Data_Entry!AZ311)</f>
        <v/>
      </c>
      <c r="R313" s="103">
        <f>IF(LLM_Data_Entry!AK311="","",LLM_Data_Entry!AK311)</f>
        <v/>
      </c>
      <c r="S313" s="103">
        <f>IF(LLM_Data_Entry!AL311="","",LLM_Data_Entry!AL311)</f>
        <v/>
      </c>
      <c r="T313" s="103">
        <f>IF(LLM_Data_Entry!BA311="","",LLM_Data_Entry!BA311)</f>
        <v/>
      </c>
      <c r="U313" s="103">
        <f>IF(LLM_Data_Entry!BB311="","",LLM_Data_Entry!BB311)</f>
        <v/>
      </c>
      <c r="V313" s="106">
        <f>IF(LLM_Data_Entry!O311="","",LLM_Data_Entry!O311)</f>
        <v/>
      </c>
    </row>
    <row r="314" ht="15" customHeight="1" s="241">
      <c r="A314" s="103">
        <f>IF(LLM_Data_Entry!A312="","",LLM_Data_Entry!A312)</f>
        <v/>
      </c>
      <c r="B314" s="103">
        <f>IF(LLM_Data_Entry!B312="","",LLM_Data_Entry!B312)</f>
        <v/>
      </c>
      <c r="C314" s="104">
        <f>IF(LLM_Data_Entry!C312="","",LLM_Data_Entry!C312)</f>
        <v/>
      </c>
      <c r="D314" s="103">
        <f>IF(LLM_Data_Entry!D312="","",LLM_Data_Entry!D312)</f>
        <v/>
      </c>
      <c r="E314" s="103">
        <f>IF(LLM_Data_Entry!V312="","",LLM_Data_Entry!V312)</f>
        <v/>
      </c>
      <c r="F314" s="103">
        <f>IF(LLM_Data_Entry!AS312="","",LLM_Data_Entry!AS312)</f>
        <v/>
      </c>
      <c r="G314" s="103">
        <f>IF(LLM_Data_Entry!AG312="","",LLM_Data_Entry!AG312)</f>
        <v/>
      </c>
      <c r="H314" s="103">
        <f>IF(LLM_Data_Entry!AT312="","",LLM_Data_Entry!AT312)</f>
        <v/>
      </c>
      <c r="I314" s="103">
        <f>IF(LLM_Data_Entry!AU312="","",LLM_Data_Entry!AU312)</f>
        <v/>
      </c>
      <c r="J314" s="103">
        <f>IF(LLM_Data_Entry!AH312="","",LLM_Data_Entry!AH312)</f>
        <v/>
      </c>
      <c r="K314" s="103">
        <f>IF(LLM_Data_Entry!AI312="","",LLM_Data_Entry!AI312)</f>
        <v/>
      </c>
      <c r="L314" s="103">
        <f>IF(LLM_Data_Entry!AJ312="","",LLM_Data_Entry!AJ312)</f>
        <v/>
      </c>
      <c r="M314" s="103">
        <f>IF(LLM_Data_Entry!AV312="","",LLM_Data_Entry!AV312)</f>
        <v/>
      </c>
      <c r="N314" s="103">
        <f>IF(LLM_Data_Entry!AW312="","",LLM_Data_Entry!AW312)</f>
        <v/>
      </c>
      <c r="O314" s="103">
        <f>IF(LLM_Data_Entry!AX312="","",LLM_Data_Entry!AX312)</f>
        <v/>
      </c>
      <c r="P314" s="103">
        <f>IF(LLM_Data_Entry!AY312="","",LLM_Data_Entry!AY312)</f>
        <v/>
      </c>
      <c r="Q314" s="103">
        <f>IF(LLM_Data_Entry!AZ312="","",LLM_Data_Entry!AZ312)</f>
        <v/>
      </c>
      <c r="R314" s="103">
        <f>IF(LLM_Data_Entry!AK312="","",LLM_Data_Entry!AK312)</f>
        <v/>
      </c>
      <c r="S314" s="103">
        <f>IF(LLM_Data_Entry!AL312="","",LLM_Data_Entry!AL312)</f>
        <v/>
      </c>
      <c r="T314" s="103">
        <f>IF(LLM_Data_Entry!BA312="","",LLM_Data_Entry!BA312)</f>
        <v/>
      </c>
      <c r="U314" s="103">
        <f>IF(LLM_Data_Entry!BB312="","",LLM_Data_Entry!BB312)</f>
        <v/>
      </c>
      <c r="V314" s="106">
        <f>IF(LLM_Data_Entry!O312="","",LLM_Data_Entry!O312)</f>
        <v/>
      </c>
    </row>
    <row r="315" ht="15" customHeight="1" s="241">
      <c r="A315" s="103">
        <f>IF(LLM_Data_Entry!A313="","",LLM_Data_Entry!A313)</f>
        <v/>
      </c>
      <c r="B315" s="103">
        <f>IF(LLM_Data_Entry!B313="","",LLM_Data_Entry!B313)</f>
        <v/>
      </c>
      <c r="C315" s="104">
        <f>IF(LLM_Data_Entry!C313="","",LLM_Data_Entry!C313)</f>
        <v/>
      </c>
      <c r="D315" s="103">
        <f>IF(LLM_Data_Entry!D313="","",LLM_Data_Entry!D313)</f>
        <v/>
      </c>
      <c r="E315" s="103">
        <f>IF(LLM_Data_Entry!V313="","",LLM_Data_Entry!V313)</f>
        <v/>
      </c>
      <c r="F315" s="103">
        <f>IF(LLM_Data_Entry!AS313="","",LLM_Data_Entry!AS313)</f>
        <v/>
      </c>
      <c r="G315" s="103">
        <f>IF(LLM_Data_Entry!AG313="","",LLM_Data_Entry!AG313)</f>
        <v/>
      </c>
      <c r="H315" s="103">
        <f>IF(LLM_Data_Entry!AT313="","",LLM_Data_Entry!AT313)</f>
        <v/>
      </c>
      <c r="I315" s="103">
        <f>IF(LLM_Data_Entry!AU313="","",LLM_Data_Entry!AU313)</f>
        <v/>
      </c>
      <c r="J315" s="103">
        <f>IF(LLM_Data_Entry!AH313="","",LLM_Data_Entry!AH313)</f>
        <v/>
      </c>
      <c r="K315" s="103">
        <f>IF(LLM_Data_Entry!AI313="","",LLM_Data_Entry!AI313)</f>
        <v/>
      </c>
      <c r="L315" s="103">
        <f>IF(LLM_Data_Entry!AJ313="","",LLM_Data_Entry!AJ313)</f>
        <v/>
      </c>
      <c r="M315" s="103">
        <f>IF(LLM_Data_Entry!AV313="","",LLM_Data_Entry!AV313)</f>
        <v/>
      </c>
      <c r="N315" s="103">
        <f>IF(LLM_Data_Entry!AW313="","",LLM_Data_Entry!AW313)</f>
        <v/>
      </c>
      <c r="O315" s="103">
        <f>IF(LLM_Data_Entry!AX313="","",LLM_Data_Entry!AX313)</f>
        <v/>
      </c>
      <c r="P315" s="103">
        <f>IF(LLM_Data_Entry!AY313="","",LLM_Data_Entry!AY313)</f>
        <v/>
      </c>
      <c r="Q315" s="103">
        <f>IF(LLM_Data_Entry!AZ313="","",LLM_Data_Entry!AZ313)</f>
        <v/>
      </c>
      <c r="R315" s="103">
        <f>IF(LLM_Data_Entry!AK313="","",LLM_Data_Entry!AK313)</f>
        <v/>
      </c>
      <c r="S315" s="103">
        <f>IF(LLM_Data_Entry!AL313="","",LLM_Data_Entry!AL313)</f>
        <v/>
      </c>
      <c r="T315" s="103">
        <f>IF(LLM_Data_Entry!BA313="","",LLM_Data_Entry!BA313)</f>
        <v/>
      </c>
      <c r="U315" s="103">
        <f>IF(LLM_Data_Entry!BB313="","",LLM_Data_Entry!BB313)</f>
        <v/>
      </c>
      <c r="V315" s="106">
        <f>IF(LLM_Data_Entry!O313="","",LLM_Data_Entry!O313)</f>
        <v/>
      </c>
    </row>
    <row r="316" ht="15" customHeight="1" s="241">
      <c r="A316" s="103">
        <f>IF(LLM_Data_Entry!A314="","",LLM_Data_Entry!A314)</f>
        <v/>
      </c>
      <c r="B316" s="103">
        <f>IF(LLM_Data_Entry!B314="","",LLM_Data_Entry!B314)</f>
        <v/>
      </c>
      <c r="C316" s="104">
        <f>IF(LLM_Data_Entry!C314="","",LLM_Data_Entry!C314)</f>
        <v/>
      </c>
      <c r="D316" s="103">
        <f>IF(LLM_Data_Entry!D314="","",LLM_Data_Entry!D314)</f>
        <v/>
      </c>
      <c r="E316" s="103">
        <f>IF(LLM_Data_Entry!V314="","",LLM_Data_Entry!V314)</f>
        <v/>
      </c>
      <c r="F316" s="103">
        <f>IF(LLM_Data_Entry!AS314="","",LLM_Data_Entry!AS314)</f>
        <v/>
      </c>
      <c r="G316" s="103">
        <f>IF(LLM_Data_Entry!AG314="","",LLM_Data_Entry!AG314)</f>
        <v/>
      </c>
      <c r="H316" s="103">
        <f>IF(LLM_Data_Entry!AT314="","",LLM_Data_Entry!AT314)</f>
        <v/>
      </c>
      <c r="I316" s="103">
        <f>IF(LLM_Data_Entry!AU314="","",LLM_Data_Entry!AU314)</f>
        <v/>
      </c>
      <c r="J316" s="103">
        <f>IF(LLM_Data_Entry!AH314="","",LLM_Data_Entry!AH314)</f>
        <v/>
      </c>
      <c r="K316" s="103">
        <f>IF(LLM_Data_Entry!AI314="","",LLM_Data_Entry!AI314)</f>
        <v/>
      </c>
      <c r="L316" s="103">
        <f>IF(LLM_Data_Entry!AJ314="","",LLM_Data_Entry!AJ314)</f>
        <v/>
      </c>
      <c r="M316" s="103">
        <f>IF(LLM_Data_Entry!AV314="","",LLM_Data_Entry!AV314)</f>
        <v/>
      </c>
      <c r="N316" s="103">
        <f>IF(LLM_Data_Entry!AW314="","",LLM_Data_Entry!AW314)</f>
        <v/>
      </c>
      <c r="O316" s="103">
        <f>IF(LLM_Data_Entry!AX314="","",LLM_Data_Entry!AX314)</f>
        <v/>
      </c>
      <c r="P316" s="103">
        <f>IF(LLM_Data_Entry!AY314="","",LLM_Data_Entry!AY314)</f>
        <v/>
      </c>
      <c r="Q316" s="103">
        <f>IF(LLM_Data_Entry!AZ314="","",LLM_Data_Entry!AZ314)</f>
        <v/>
      </c>
      <c r="R316" s="103">
        <f>IF(LLM_Data_Entry!AK314="","",LLM_Data_Entry!AK314)</f>
        <v/>
      </c>
      <c r="S316" s="103">
        <f>IF(LLM_Data_Entry!AL314="","",LLM_Data_Entry!AL314)</f>
        <v/>
      </c>
      <c r="T316" s="103">
        <f>IF(LLM_Data_Entry!BA314="","",LLM_Data_Entry!BA314)</f>
        <v/>
      </c>
      <c r="U316" s="103">
        <f>IF(LLM_Data_Entry!BB314="","",LLM_Data_Entry!BB314)</f>
        <v/>
      </c>
      <c r="V316" s="106">
        <f>IF(LLM_Data_Entry!O314="","",LLM_Data_Entry!O314)</f>
        <v/>
      </c>
    </row>
    <row r="317" ht="15" customHeight="1" s="241">
      <c r="A317" s="103">
        <f>IF(LLM_Data_Entry!A315="","",LLM_Data_Entry!A315)</f>
        <v/>
      </c>
      <c r="B317" s="103">
        <f>IF(LLM_Data_Entry!B315="","",LLM_Data_Entry!B315)</f>
        <v/>
      </c>
      <c r="C317" s="104">
        <f>IF(LLM_Data_Entry!C315="","",LLM_Data_Entry!C315)</f>
        <v/>
      </c>
      <c r="D317" s="103">
        <f>IF(LLM_Data_Entry!D315="","",LLM_Data_Entry!D315)</f>
        <v/>
      </c>
      <c r="E317" s="103">
        <f>IF(LLM_Data_Entry!V315="","",LLM_Data_Entry!V315)</f>
        <v/>
      </c>
      <c r="F317" s="103">
        <f>IF(LLM_Data_Entry!AS315="","",LLM_Data_Entry!AS315)</f>
        <v/>
      </c>
      <c r="G317" s="103">
        <f>IF(LLM_Data_Entry!AG315="","",LLM_Data_Entry!AG315)</f>
        <v/>
      </c>
      <c r="H317" s="103">
        <f>IF(LLM_Data_Entry!AT315="","",LLM_Data_Entry!AT315)</f>
        <v/>
      </c>
      <c r="I317" s="103">
        <f>IF(LLM_Data_Entry!AU315="","",LLM_Data_Entry!AU315)</f>
        <v/>
      </c>
      <c r="J317" s="103">
        <f>IF(LLM_Data_Entry!AH315="","",LLM_Data_Entry!AH315)</f>
        <v/>
      </c>
      <c r="K317" s="103">
        <f>IF(LLM_Data_Entry!AI315="","",LLM_Data_Entry!AI315)</f>
        <v/>
      </c>
      <c r="L317" s="103">
        <f>IF(LLM_Data_Entry!AJ315="","",LLM_Data_Entry!AJ315)</f>
        <v/>
      </c>
      <c r="M317" s="103">
        <f>IF(LLM_Data_Entry!AV315="","",LLM_Data_Entry!AV315)</f>
        <v/>
      </c>
      <c r="N317" s="103">
        <f>IF(LLM_Data_Entry!AW315="","",LLM_Data_Entry!AW315)</f>
        <v/>
      </c>
      <c r="O317" s="103">
        <f>IF(LLM_Data_Entry!AX315="","",LLM_Data_Entry!AX315)</f>
        <v/>
      </c>
      <c r="P317" s="103">
        <f>IF(LLM_Data_Entry!AY315="","",LLM_Data_Entry!AY315)</f>
        <v/>
      </c>
      <c r="Q317" s="103">
        <f>IF(LLM_Data_Entry!AZ315="","",LLM_Data_Entry!AZ315)</f>
        <v/>
      </c>
      <c r="R317" s="103">
        <f>IF(LLM_Data_Entry!AK315="","",LLM_Data_Entry!AK315)</f>
        <v/>
      </c>
      <c r="S317" s="103">
        <f>IF(LLM_Data_Entry!AL315="","",LLM_Data_Entry!AL315)</f>
        <v/>
      </c>
      <c r="T317" s="103">
        <f>IF(LLM_Data_Entry!BA315="","",LLM_Data_Entry!BA315)</f>
        <v/>
      </c>
      <c r="U317" s="103">
        <f>IF(LLM_Data_Entry!BB315="","",LLM_Data_Entry!BB315)</f>
        <v/>
      </c>
      <c r="V317" s="106">
        <f>IF(LLM_Data_Entry!O315="","",LLM_Data_Entry!O315)</f>
        <v/>
      </c>
    </row>
    <row r="318" ht="15" customHeight="1" s="241">
      <c r="A318" s="103">
        <f>IF(LLM_Data_Entry!A316="","",LLM_Data_Entry!A316)</f>
        <v/>
      </c>
      <c r="B318" s="103">
        <f>IF(LLM_Data_Entry!B316="","",LLM_Data_Entry!B316)</f>
        <v/>
      </c>
      <c r="C318" s="104">
        <f>IF(LLM_Data_Entry!C316="","",LLM_Data_Entry!C316)</f>
        <v/>
      </c>
      <c r="D318" s="103">
        <f>IF(LLM_Data_Entry!D316="","",LLM_Data_Entry!D316)</f>
        <v/>
      </c>
      <c r="E318" s="103">
        <f>IF(LLM_Data_Entry!V316="","",LLM_Data_Entry!V316)</f>
        <v/>
      </c>
      <c r="F318" s="103">
        <f>IF(LLM_Data_Entry!AS316="","",LLM_Data_Entry!AS316)</f>
        <v/>
      </c>
      <c r="G318" s="103">
        <f>IF(LLM_Data_Entry!AG316="","",LLM_Data_Entry!AG316)</f>
        <v/>
      </c>
      <c r="H318" s="103">
        <f>IF(LLM_Data_Entry!AT316="","",LLM_Data_Entry!AT316)</f>
        <v/>
      </c>
      <c r="I318" s="103">
        <f>IF(LLM_Data_Entry!AU316="","",LLM_Data_Entry!AU316)</f>
        <v/>
      </c>
      <c r="J318" s="103">
        <f>IF(LLM_Data_Entry!AH316="","",LLM_Data_Entry!AH316)</f>
        <v/>
      </c>
      <c r="K318" s="103">
        <f>IF(LLM_Data_Entry!AI316="","",LLM_Data_Entry!AI316)</f>
        <v/>
      </c>
      <c r="L318" s="103">
        <f>IF(LLM_Data_Entry!AJ316="","",LLM_Data_Entry!AJ316)</f>
        <v/>
      </c>
      <c r="M318" s="103">
        <f>IF(LLM_Data_Entry!AV316="","",LLM_Data_Entry!AV316)</f>
        <v/>
      </c>
      <c r="N318" s="103">
        <f>IF(LLM_Data_Entry!AW316="","",LLM_Data_Entry!AW316)</f>
        <v/>
      </c>
      <c r="O318" s="103">
        <f>IF(LLM_Data_Entry!AX316="","",LLM_Data_Entry!AX316)</f>
        <v/>
      </c>
      <c r="P318" s="103">
        <f>IF(LLM_Data_Entry!AY316="","",LLM_Data_Entry!AY316)</f>
        <v/>
      </c>
      <c r="Q318" s="103">
        <f>IF(LLM_Data_Entry!AZ316="","",LLM_Data_Entry!AZ316)</f>
        <v/>
      </c>
      <c r="R318" s="103">
        <f>IF(LLM_Data_Entry!AK316="","",LLM_Data_Entry!AK316)</f>
        <v/>
      </c>
      <c r="S318" s="103">
        <f>IF(LLM_Data_Entry!AL316="","",LLM_Data_Entry!AL316)</f>
        <v/>
      </c>
      <c r="T318" s="103">
        <f>IF(LLM_Data_Entry!BA316="","",LLM_Data_Entry!BA316)</f>
        <v/>
      </c>
      <c r="U318" s="103">
        <f>IF(LLM_Data_Entry!BB316="","",LLM_Data_Entry!BB316)</f>
        <v/>
      </c>
      <c r="V318" s="106">
        <f>IF(LLM_Data_Entry!O316="","",LLM_Data_Entry!O316)</f>
        <v/>
      </c>
    </row>
    <row r="319" ht="15" customHeight="1" s="241">
      <c r="A319" s="103">
        <f>IF(LLM_Data_Entry!A317="","",LLM_Data_Entry!A317)</f>
        <v/>
      </c>
      <c r="B319" s="103">
        <f>IF(LLM_Data_Entry!B317="","",LLM_Data_Entry!B317)</f>
        <v/>
      </c>
      <c r="C319" s="104">
        <f>IF(LLM_Data_Entry!C317="","",LLM_Data_Entry!C317)</f>
        <v/>
      </c>
      <c r="D319" s="103">
        <f>IF(LLM_Data_Entry!D317="","",LLM_Data_Entry!D317)</f>
        <v/>
      </c>
      <c r="E319" s="103">
        <f>IF(LLM_Data_Entry!V317="","",LLM_Data_Entry!V317)</f>
        <v/>
      </c>
      <c r="F319" s="103">
        <f>IF(LLM_Data_Entry!AS317="","",LLM_Data_Entry!AS317)</f>
        <v/>
      </c>
      <c r="G319" s="103">
        <f>IF(LLM_Data_Entry!AG317="","",LLM_Data_Entry!AG317)</f>
        <v/>
      </c>
      <c r="H319" s="103">
        <f>IF(LLM_Data_Entry!AT317="","",LLM_Data_Entry!AT317)</f>
        <v/>
      </c>
      <c r="I319" s="103">
        <f>IF(LLM_Data_Entry!AU317="","",LLM_Data_Entry!AU317)</f>
        <v/>
      </c>
      <c r="J319" s="103">
        <f>IF(LLM_Data_Entry!AH317="","",LLM_Data_Entry!AH317)</f>
        <v/>
      </c>
      <c r="K319" s="103">
        <f>IF(LLM_Data_Entry!AI317="","",LLM_Data_Entry!AI317)</f>
        <v/>
      </c>
      <c r="L319" s="103">
        <f>IF(LLM_Data_Entry!AJ317="","",LLM_Data_Entry!AJ317)</f>
        <v/>
      </c>
      <c r="M319" s="103">
        <f>IF(LLM_Data_Entry!AV317="","",LLM_Data_Entry!AV317)</f>
        <v/>
      </c>
      <c r="N319" s="103">
        <f>IF(LLM_Data_Entry!AW317="","",LLM_Data_Entry!AW317)</f>
        <v/>
      </c>
      <c r="O319" s="103">
        <f>IF(LLM_Data_Entry!AX317="","",LLM_Data_Entry!AX317)</f>
        <v/>
      </c>
      <c r="P319" s="103">
        <f>IF(LLM_Data_Entry!AY317="","",LLM_Data_Entry!AY317)</f>
        <v/>
      </c>
      <c r="Q319" s="103">
        <f>IF(LLM_Data_Entry!AZ317="","",LLM_Data_Entry!AZ317)</f>
        <v/>
      </c>
      <c r="R319" s="103">
        <f>IF(LLM_Data_Entry!AK317="","",LLM_Data_Entry!AK317)</f>
        <v/>
      </c>
      <c r="S319" s="103">
        <f>IF(LLM_Data_Entry!AL317="","",LLM_Data_Entry!AL317)</f>
        <v/>
      </c>
      <c r="T319" s="103">
        <f>IF(LLM_Data_Entry!BA317="","",LLM_Data_Entry!BA317)</f>
        <v/>
      </c>
      <c r="U319" s="103">
        <f>IF(LLM_Data_Entry!BB317="","",LLM_Data_Entry!BB317)</f>
        <v/>
      </c>
      <c r="V319" s="106">
        <f>IF(LLM_Data_Entry!O317="","",LLM_Data_Entry!O317)</f>
        <v/>
      </c>
    </row>
    <row r="320" ht="15" customHeight="1" s="241">
      <c r="A320" s="103">
        <f>IF(LLM_Data_Entry!A318="","",LLM_Data_Entry!A318)</f>
        <v/>
      </c>
      <c r="B320" s="103">
        <f>IF(LLM_Data_Entry!B318="","",LLM_Data_Entry!B318)</f>
        <v/>
      </c>
      <c r="C320" s="104">
        <f>IF(LLM_Data_Entry!C318="","",LLM_Data_Entry!C318)</f>
        <v/>
      </c>
      <c r="D320" s="103">
        <f>IF(LLM_Data_Entry!D318="","",LLM_Data_Entry!D318)</f>
        <v/>
      </c>
      <c r="E320" s="103">
        <f>IF(LLM_Data_Entry!V318="","",LLM_Data_Entry!V318)</f>
        <v/>
      </c>
      <c r="F320" s="103">
        <f>IF(LLM_Data_Entry!AS318="","",LLM_Data_Entry!AS318)</f>
        <v/>
      </c>
      <c r="G320" s="103">
        <f>IF(LLM_Data_Entry!AG318="","",LLM_Data_Entry!AG318)</f>
        <v/>
      </c>
      <c r="H320" s="103">
        <f>IF(LLM_Data_Entry!AT318="","",LLM_Data_Entry!AT318)</f>
        <v/>
      </c>
      <c r="I320" s="103">
        <f>IF(LLM_Data_Entry!AU318="","",LLM_Data_Entry!AU318)</f>
        <v/>
      </c>
      <c r="J320" s="103">
        <f>IF(LLM_Data_Entry!AH318="","",LLM_Data_Entry!AH318)</f>
        <v/>
      </c>
      <c r="K320" s="103">
        <f>IF(LLM_Data_Entry!AI318="","",LLM_Data_Entry!AI318)</f>
        <v/>
      </c>
      <c r="L320" s="103">
        <f>IF(LLM_Data_Entry!AJ318="","",LLM_Data_Entry!AJ318)</f>
        <v/>
      </c>
      <c r="M320" s="103">
        <f>IF(LLM_Data_Entry!AV318="","",LLM_Data_Entry!AV318)</f>
        <v/>
      </c>
      <c r="N320" s="103">
        <f>IF(LLM_Data_Entry!AW318="","",LLM_Data_Entry!AW318)</f>
        <v/>
      </c>
      <c r="O320" s="103">
        <f>IF(LLM_Data_Entry!AX318="","",LLM_Data_Entry!AX318)</f>
        <v/>
      </c>
      <c r="P320" s="103">
        <f>IF(LLM_Data_Entry!AY318="","",LLM_Data_Entry!AY318)</f>
        <v/>
      </c>
      <c r="Q320" s="103">
        <f>IF(LLM_Data_Entry!AZ318="","",LLM_Data_Entry!AZ318)</f>
        <v/>
      </c>
      <c r="R320" s="103">
        <f>IF(LLM_Data_Entry!AK318="","",LLM_Data_Entry!AK318)</f>
        <v/>
      </c>
      <c r="S320" s="103">
        <f>IF(LLM_Data_Entry!AL318="","",LLM_Data_Entry!AL318)</f>
        <v/>
      </c>
      <c r="T320" s="103">
        <f>IF(LLM_Data_Entry!BA318="","",LLM_Data_Entry!BA318)</f>
        <v/>
      </c>
      <c r="U320" s="103">
        <f>IF(LLM_Data_Entry!BB318="","",LLM_Data_Entry!BB318)</f>
        <v/>
      </c>
      <c r="V320" s="106">
        <f>IF(LLM_Data_Entry!O318="","",LLM_Data_Entry!O318)</f>
        <v/>
      </c>
    </row>
    <row r="321" ht="15" customHeight="1" s="241">
      <c r="A321" s="103">
        <f>IF(LLM_Data_Entry!A319="","",LLM_Data_Entry!A319)</f>
        <v/>
      </c>
      <c r="B321" s="103">
        <f>IF(LLM_Data_Entry!B319="","",LLM_Data_Entry!B319)</f>
        <v/>
      </c>
      <c r="C321" s="104">
        <f>IF(LLM_Data_Entry!C319="","",LLM_Data_Entry!C319)</f>
        <v/>
      </c>
      <c r="D321" s="103">
        <f>IF(LLM_Data_Entry!D319="","",LLM_Data_Entry!D319)</f>
        <v/>
      </c>
      <c r="E321" s="103">
        <f>IF(LLM_Data_Entry!V319="","",LLM_Data_Entry!V319)</f>
        <v/>
      </c>
      <c r="F321" s="103">
        <f>IF(LLM_Data_Entry!AS319="","",LLM_Data_Entry!AS319)</f>
        <v/>
      </c>
      <c r="G321" s="103">
        <f>IF(LLM_Data_Entry!AG319="","",LLM_Data_Entry!AG319)</f>
        <v/>
      </c>
      <c r="H321" s="103">
        <f>IF(LLM_Data_Entry!AT319="","",LLM_Data_Entry!AT319)</f>
        <v/>
      </c>
      <c r="I321" s="103">
        <f>IF(LLM_Data_Entry!AU319="","",LLM_Data_Entry!AU319)</f>
        <v/>
      </c>
      <c r="J321" s="103">
        <f>IF(LLM_Data_Entry!AH319="","",LLM_Data_Entry!AH319)</f>
        <v/>
      </c>
      <c r="K321" s="103">
        <f>IF(LLM_Data_Entry!AI319="","",LLM_Data_Entry!AI319)</f>
        <v/>
      </c>
      <c r="L321" s="103">
        <f>IF(LLM_Data_Entry!AJ319="","",LLM_Data_Entry!AJ319)</f>
        <v/>
      </c>
      <c r="M321" s="103">
        <f>IF(LLM_Data_Entry!AV319="","",LLM_Data_Entry!AV319)</f>
        <v/>
      </c>
      <c r="N321" s="103">
        <f>IF(LLM_Data_Entry!AW319="","",LLM_Data_Entry!AW319)</f>
        <v/>
      </c>
      <c r="O321" s="103">
        <f>IF(LLM_Data_Entry!AX319="","",LLM_Data_Entry!AX319)</f>
        <v/>
      </c>
      <c r="P321" s="103">
        <f>IF(LLM_Data_Entry!AY319="","",LLM_Data_Entry!AY319)</f>
        <v/>
      </c>
      <c r="Q321" s="103">
        <f>IF(LLM_Data_Entry!AZ319="","",LLM_Data_Entry!AZ319)</f>
        <v/>
      </c>
      <c r="R321" s="103">
        <f>IF(LLM_Data_Entry!AK319="","",LLM_Data_Entry!AK319)</f>
        <v/>
      </c>
      <c r="S321" s="103">
        <f>IF(LLM_Data_Entry!AL319="","",LLM_Data_Entry!AL319)</f>
        <v/>
      </c>
      <c r="T321" s="103">
        <f>IF(LLM_Data_Entry!BA319="","",LLM_Data_Entry!BA319)</f>
        <v/>
      </c>
      <c r="U321" s="103">
        <f>IF(LLM_Data_Entry!BB319="","",LLM_Data_Entry!BB319)</f>
        <v/>
      </c>
      <c r="V321" s="106">
        <f>IF(LLM_Data_Entry!O319="","",LLM_Data_Entry!O319)</f>
        <v/>
      </c>
    </row>
    <row r="322" ht="15" customHeight="1" s="241">
      <c r="A322" s="103">
        <f>IF(LLM_Data_Entry!A320="","",LLM_Data_Entry!A320)</f>
        <v/>
      </c>
      <c r="B322" s="103">
        <f>IF(LLM_Data_Entry!B320="","",LLM_Data_Entry!B320)</f>
        <v/>
      </c>
      <c r="C322" s="104">
        <f>IF(LLM_Data_Entry!C320="","",LLM_Data_Entry!C320)</f>
        <v/>
      </c>
      <c r="D322" s="103">
        <f>IF(LLM_Data_Entry!D320="","",LLM_Data_Entry!D320)</f>
        <v/>
      </c>
      <c r="E322" s="103">
        <f>IF(LLM_Data_Entry!V320="","",LLM_Data_Entry!V320)</f>
        <v/>
      </c>
      <c r="F322" s="103">
        <f>IF(LLM_Data_Entry!AS320="","",LLM_Data_Entry!AS320)</f>
        <v/>
      </c>
      <c r="G322" s="103">
        <f>IF(LLM_Data_Entry!AG320="","",LLM_Data_Entry!AG320)</f>
        <v/>
      </c>
      <c r="H322" s="103">
        <f>IF(LLM_Data_Entry!AT320="","",LLM_Data_Entry!AT320)</f>
        <v/>
      </c>
      <c r="I322" s="103">
        <f>IF(LLM_Data_Entry!AU320="","",LLM_Data_Entry!AU320)</f>
        <v/>
      </c>
      <c r="J322" s="103">
        <f>IF(LLM_Data_Entry!AH320="","",LLM_Data_Entry!AH320)</f>
        <v/>
      </c>
      <c r="K322" s="103">
        <f>IF(LLM_Data_Entry!AI320="","",LLM_Data_Entry!AI320)</f>
        <v/>
      </c>
      <c r="L322" s="103">
        <f>IF(LLM_Data_Entry!AJ320="","",LLM_Data_Entry!AJ320)</f>
        <v/>
      </c>
      <c r="M322" s="103">
        <f>IF(LLM_Data_Entry!AV320="","",LLM_Data_Entry!AV320)</f>
        <v/>
      </c>
      <c r="N322" s="103">
        <f>IF(LLM_Data_Entry!AW320="","",LLM_Data_Entry!AW320)</f>
        <v/>
      </c>
      <c r="O322" s="103">
        <f>IF(LLM_Data_Entry!AX320="","",LLM_Data_Entry!AX320)</f>
        <v/>
      </c>
      <c r="P322" s="103">
        <f>IF(LLM_Data_Entry!AY320="","",LLM_Data_Entry!AY320)</f>
        <v/>
      </c>
      <c r="Q322" s="103">
        <f>IF(LLM_Data_Entry!AZ320="","",LLM_Data_Entry!AZ320)</f>
        <v/>
      </c>
      <c r="R322" s="103">
        <f>IF(LLM_Data_Entry!AK320="","",LLM_Data_Entry!AK320)</f>
        <v/>
      </c>
      <c r="S322" s="103">
        <f>IF(LLM_Data_Entry!AL320="","",LLM_Data_Entry!AL320)</f>
        <v/>
      </c>
      <c r="T322" s="103">
        <f>IF(LLM_Data_Entry!BA320="","",LLM_Data_Entry!BA320)</f>
        <v/>
      </c>
      <c r="U322" s="103">
        <f>IF(LLM_Data_Entry!BB320="","",LLM_Data_Entry!BB320)</f>
        <v/>
      </c>
      <c r="V322" s="106">
        <f>IF(LLM_Data_Entry!O320="","",LLM_Data_Entry!O320)</f>
        <v/>
      </c>
    </row>
    <row r="323" ht="15" customHeight="1" s="241">
      <c r="A323" s="103">
        <f>IF(LLM_Data_Entry!A321="","",LLM_Data_Entry!A321)</f>
        <v/>
      </c>
      <c r="B323" s="103">
        <f>IF(LLM_Data_Entry!B321="","",LLM_Data_Entry!B321)</f>
        <v/>
      </c>
      <c r="C323" s="104">
        <f>IF(LLM_Data_Entry!C321="","",LLM_Data_Entry!C321)</f>
        <v/>
      </c>
      <c r="D323" s="103">
        <f>IF(LLM_Data_Entry!D321="","",LLM_Data_Entry!D321)</f>
        <v/>
      </c>
      <c r="E323" s="103">
        <f>IF(LLM_Data_Entry!V321="","",LLM_Data_Entry!V321)</f>
        <v/>
      </c>
      <c r="F323" s="103">
        <f>IF(LLM_Data_Entry!AS321="","",LLM_Data_Entry!AS321)</f>
        <v/>
      </c>
      <c r="G323" s="103">
        <f>IF(LLM_Data_Entry!AG321="","",LLM_Data_Entry!AG321)</f>
        <v/>
      </c>
      <c r="H323" s="103">
        <f>IF(LLM_Data_Entry!AT321="","",LLM_Data_Entry!AT321)</f>
        <v/>
      </c>
      <c r="I323" s="103">
        <f>IF(LLM_Data_Entry!AU321="","",LLM_Data_Entry!AU321)</f>
        <v/>
      </c>
      <c r="J323" s="103">
        <f>IF(LLM_Data_Entry!AH321="","",LLM_Data_Entry!AH321)</f>
        <v/>
      </c>
      <c r="K323" s="103">
        <f>IF(LLM_Data_Entry!AI321="","",LLM_Data_Entry!AI321)</f>
        <v/>
      </c>
      <c r="L323" s="103">
        <f>IF(LLM_Data_Entry!AJ321="","",LLM_Data_Entry!AJ321)</f>
        <v/>
      </c>
      <c r="M323" s="103">
        <f>IF(LLM_Data_Entry!AV321="","",LLM_Data_Entry!AV321)</f>
        <v/>
      </c>
      <c r="N323" s="103">
        <f>IF(LLM_Data_Entry!AW321="","",LLM_Data_Entry!AW321)</f>
        <v/>
      </c>
      <c r="O323" s="103">
        <f>IF(LLM_Data_Entry!AX321="","",LLM_Data_Entry!AX321)</f>
        <v/>
      </c>
      <c r="P323" s="103">
        <f>IF(LLM_Data_Entry!AY321="","",LLM_Data_Entry!AY321)</f>
        <v/>
      </c>
      <c r="Q323" s="103">
        <f>IF(LLM_Data_Entry!AZ321="","",LLM_Data_Entry!AZ321)</f>
        <v/>
      </c>
      <c r="R323" s="103">
        <f>IF(LLM_Data_Entry!AK321="","",LLM_Data_Entry!AK321)</f>
        <v/>
      </c>
      <c r="S323" s="103">
        <f>IF(LLM_Data_Entry!AL321="","",LLM_Data_Entry!AL321)</f>
        <v/>
      </c>
      <c r="T323" s="103">
        <f>IF(LLM_Data_Entry!BA321="","",LLM_Data_Entry!BA321)</f>
        <v/>
      </c>
      <c r="U323" s="103">
        <f>IF(LLM_Data_Entry!BB321="","",LLM_Data_Entry!BB321)</f>
        <v/>
      </c>
      <c r="V323" s="106">
        <f>IF(LLM_Data_Entry!O321="","",LLM_Data_Entry!O321)</f>
        <v/>
      </c>
    </row>
    <row r="324" ht="15" customHeight="1" s="241">
      <c r="A324" s="103">
        <f>IF(LLM_Data_Entry!A322="","",LLM_Data_Entry!A322)</f>
        <v/>
      </c>
      <c r="B324" s="103">
        <f>IF(LLM_Data_Entry!B322="","",LLM_Data_Entry!B322)</f>
        <v/>
      </c>
      <c r="C324" s="104">
        <f>IF(LLM_Data_Entry!C322="","",LLM_Data_Entry!C322)</f>
        <v/>
      </c>
      <c r="D324" s="103">
        <f>IF(LLM_Data_Entry!D322="","",LLM_Data_Entry!D322)</f>
        <v/>
      </c>
      <c r="E324" s="103">
        <f>IF(LLM_Data_Entry!V322="","",LLM_Data_Entry!V322)</f>
        <v/>
      </c>
      <c r="F324" s="103">
        <f>IF(LLM_Data_Entry!AS322="","",LLM_Data_Entry!AS322)</f>
        <v/>
      </c>
      <c r="G324" s="103">
        <f>IF(LLM_Data_Entry!AG322="","",LLM_Data_Entry!AG322)</f>
        <v/>
      </c>
      <c r="H324" s="103">
        <f>IF(LLM_Data_Entry!AT322="","",LLM_Data_Entry!AT322)</f>
        <v/>
      </c>
      <c r="I324" s="103">
        <f>IF(LLM_Data_Entry!AU322="","",LLM_Data_Entry!AU322)</f>
        <v/>
      </c>
      <c r="J324" s="103">
        <f>IF(LLM_Data_Entry!AH322="","",LLM_Data_Entry!AH322)</f>
        <v/>
      </c>
      <c r="K324" s="103">
        <f>IF(LLM_Data_Entry!AI322="","",LLM_Data_Entry!AI322)</f>
        <v/>
      </c>
      <c r="L324" s="103">
        <f>IF(LLM_Data_Entry!AJ322="","",LLM_Data_Entry!AJ322)</f>
        <v/>
      </c>
      <c r="M324" s="103">
        <f>IF(LLM_Data_Entry!AV322="","",LLM_Data_Entry!AV322)</f>
        <v/>
      </c>
      <c r="N324" s="103">
        <f>IF(LLM_Data_Entry!AW322="","",LLM_Data_Entry!AW322)</f>
        <v/>
      </c>
      <c r="O324" s="103">
        <f>IF(LLM_Data_Entry!AX322="","",LLM_Data_Entry!AX322)</f>
        <v/>
      </c>
      <c r="P324" s="103">
        <f>IF(LLM_Data_Entry!AY322="","",LLM_Data_Entry!AY322)</f>
        <v/>
      </c>
      <c r="Q324" s="103">
        <f>IF(LLM_Data_Entry!AZ322="","",LLM_Data_Entry!AZ322)</f>
        <v/>
      </c>
      <c r="R324" s="103">
        <f>IF(LLM_Data_Entry!AK322="","",LLM_Data_Entry!AK322)</f>
        <v/>
      </c>
      <c r="S324" s="103">
        <f>IF(LLM_Data_Entry!AL322="","",LLM_Data_Entry!AL322)</f>
        <v/>
      </c>
      <c r="T324" s="103">
        <f>IF(LLM_Data_Entry!BA322="","",LLM_Data_Entry!BA322)</f>
        <v/>
      </c>
      <c r="U324" s="103">
        <f>IF(LLM_Data_Entry!BB322="","",LLM_Data_Entry!BB322)</f>
        <v/>
      </c>
      <c r="V324" s="106">
        <f>IF(LLM_Data_Entry!O322="","",LLM_Data_Entry!O322)</f>
        <v/>
      </c>
    </row>
    <row r="325" ht="15" customHeight="1" s="241">
      <c r="A325" s="103">
        <f>IF(LLM_Data_Entry!A323="","",LLM_Data_Entry!A323)</f>
        <v/>
      </c>
      <c r="B325" s="103">
        <f>IF(LLM_Data_Entry!B323="","",LLM_Data_Entry!B323)</f>
        <v/>
      </c>
      <c r="C325" s="104">
        <f>IF(LLM_Data_Entry!C323="","",LLM_Data_Entry!C323)</f>
        <v/>
      </c>
      <c r="D325" s="103">
        <f>IF(LLM_Data_Entry!D323="","",LLM_Data_Entry!D323)</f>
        <v/>
      </c>
      <c r="E325" s="103">
        <f>IF(LLM_Data_Entry!V323="","",LLM_Data_Entry!V323)</f>
        <v/>
      </c>
      <c r="F325" s="103">
        <f>IF(LLM_Data_Entry!AS323="","",LLM_Data_Entry!AS323)</f>
        <v/>
      </c>
      <c r="G325" s="103">
        <f>IF(LLM_Data_Entry!AG323="","",LLM_Data_Entry!AG323)</f>
        <v/>
      </c>
      <c r="H325" s="103">
        <f>IF(LLM_Data_Entry!AT323="","",LLM_Data_Entry!AT323)</f>
        <v/>
      </c>
      <c r="I325" s="103">
        <f>IF(LLM_Data_Entry!AU323="","",LLM_Data_Entry!AU323)</f>
        <v/>
      </c>
      <c r="J325" s="103">
        <f>IF(LLM_Data_Entry!AH323="","",LLM_Data_Entry!AH323)</f>
        <v/>
      </c>
      <c r="K325" s="103">
        <f>IF(LLM_Data_Entry!AI323="","",LLM_Data_Entry!AI323)</f>
        <v/>
      </c>
      <c r="L325" s="103">
        <f>IF(LLM_Data_Entry!AJ323="","",LLM_Data_Entry!AJ323)</f>
        <v/>
      </c>
      <c r="M325" s="103">
        <f>IF(LLM_Data_Entry!AV323="","",LLM_Data_Entry!AV323)</f>
        <v/>
      </c>
      <c r="N325" s="103">
        <f>IF(LLM_Data_Entry!AW323="","",LLM_Data_Entry!AW323)</f>
        <v/>
      </c>
      <c r="O325" s="103">
        <f>IF(LLM_Data_Entry!AX323="","",LLM_Data_Entry!AX323)</f>
        <v/>
      </c>
      <c r="P325" s="103">
        <f>IF(LLM_Data_Entry!AY323="","",LLM_Data_Entry!AY323)</f>
        <v/>
      </c>
      <c r="Q325" s="103">
        <f>IF(LLM_Data_Entry!AZ323="","",LLM_Data_Entry!AZ323)</f>
        <v/>
      </c>
      <c r="R325" s="103">
        <f>IF(LLM_Data_Entry!AK323="","",LLM_Data_Entry!AK323)</f>
        <v/>
      </c>
      <c r="S325" s="103">
        <f>IF(LLM_Data_Entry!AL323="","",LLM_Data_Entry!AL323)</f>
        <v/>
      </c>
      <c r="T325" s="103">
        <f>IF(LLM_Data_Entry!BA323="","",LLM_Data_Entry!BA323)</f>
        <v/>
      </c>
      <c r="U325" s="103">
        <f>IF(LLM_Data_Entry!BB323="","",LLM_Data_Entry!BB323)</f>
        <v/>
      </c>
      <c r="V325" s="106">
        <f>IF(LLM_Data_Entry!O323="","",LLM_Data_Entry!O323)</f>
        <v/>
      </c>
    </row>
    <row r="326" ht="15" customHeight="1" s="241">
      <c r="A326" s="103">
        <f>IF(LLM_Data_Entry!A324="","",LLM_Data_Entry!A324)</f>
        <v/>
      </c>
      <c r="B326" s="103">
        <f>IF(LLM_Data_Entry!B324="","",LLM_Data_Entry!B324)</f>
        <v/>
      </c>
      <c r="C326" s="104">
        <f>IF(LLM_Data_Entry!C324="","",LLM_Data_Entry!C324)</f>
        <v/>
      </c>
      <c r="D326" s="103">
        <f>IF(LLM_Data_Entry!D324="","",LLM_Data_Entry!D324)</f>
        <v/>
      </c>
      <c r="E326" s="103">
        <f>IF(LLM_Data_Entry!V324="","",LLM_Data_Entry!V324)</f>
        <v/>
      </c>
      <c r="F326" s="103">
        <f>IF(LLM_Data_Entry!AS324="","",LLM_Data_Entry!AS324)</f>
        <v/>
      </c>
      <c r="G326" s="103">
        <f>IF(LLM_Data_Entry!AG324="","",LLM_Data_Entry!AG324)</f>
        <v/>
      </c>
      <c r="H326" s="103">
        <f>IF(LLM_Data_Entry!AT324="","",LLM_Data_Entry!AT324)</f>
        <v/>
      </c>
      <c r="I326" s="103">
        <f>IF(LLM_Data_Entry!AU324="","",LLM_Data_Entry!AU324)</f>
        <v/>
      </c>
      <c r="J326" s="103">
        <f>IF(LLM_Data_Entry!AH324="","",LLM_Data_Entry!AH324)</f>
        <v/>
      </c>
      <c r="K326" s="103">
        <f>IF(LLM_Data_Entry!AI324="","",LLM_Data_Entry!AI324)</f>
        <v/>
      </c>
      <c r="L326" s="103">
        <f>IF(LLM_Data_Entry!AJ324="","",LLM_Data_Entry!AJ324)</f>
        <v/>
      </c>
      <c r="M326" s="103">
        <f>IF(LLM_Data_Entry!AV324="","",LLM_Data_Entry!AV324)</f>
        <v/>
      </c>
      <c r="N326" s="103">
        <f>IF(LLM_Data_Entry!AW324="","",LLM_Data_Entry!AW324)</f>
        <v/>
      </c>
      <c r="O326" s="103">
        <f>IF(LLM_Data_Entry!AX324="","",LLM_Data_Entry!AX324)</f>
        <v/>
      </c>
      <c r="P326" s="103">
        <f>IF(LLM_Data_Entry!AY324="","",LLM_Data_Entry!AY324)</f>
        <v/>
      </c>
      <c r="Q326" s="103">
        <f>IF(LLM_Data_Entry!AZ324="","",LLM_Data_Entry!AZ324)</f>
        <v/>
      </c>
      <c r="R326" s="103">
        <f>IF(LLM_Data_Entry!AK324="","",LLM_Data_Entry!AK324)</f>
        <v/>
      </c>
      <c r="S326" s="103">
        <f>IF(LLM_Data_Entry!AL324="","",LLM_Data_Entry!AL324)</f>
        <v/>
      </c>
      <c r="T326" s="103">
        <f>IF(LLM_Data_Entry!BA324="","",LLM_Data_Entry!BA324)</f>
        <v/>
      </c>
      <c r="U326" s="103">
        <f>IF(LLM_Data_Entry!BB324="","",LLM_Data_Entry!BB324)</f>
        <v/>
      </c>
      <c r="V326" s="106">
        <f>IF(LLM_Data_Entry!O324="","",LLM_Data_Entry!O324)</f>
        <v/>
      </c>
    </row>
    <row r="327" ht="15" customHeight="1" s="241">
      <c r="A327" s="103">
        <f>IF(LLM_Data_Entry!A325="","",LLM_Data_Entry!A325)</f>
        <v/>
      </c>
      <c r="B327" s="103">
        <f>IF(LLM_Data_Entry!B325="","",LLM_Data_Entry!B325)</f>
        <v/>
      </c>
      <c r="C327" s="104">
        <f>IF(LLM_Data_Entry!C325="","",LLM_Data_Entry!C325)</f>
        <v/>
      </c>
      <c r="D327" s="103">
        <f>IF(LLM_Data_Entry!D325="","",LLM_Data_Entry!D325)</f>
        <v/>
      </c>
      <c r="E327" s="103">
        <f>IF(LLM_Data_Entry!V325="","",LLM_Data_Entry!V325)</f>
        <v/>
      </c>
      <c r="F327" s="103">
        <f>IF(LLM_Data_Entry!AS325="","",LLM_Data_Entry!AS325)</f>
        <v/>
      </c>
      <c r="G327" s="103">
        <f>IF(LLM_Data_Entry!AG325="","",LLM_Data_Entry!AG325)</f>
        <v/>
      </c>
      <c r="H327" s="103">
        <f>IF(LLM_Data_Entry!AT325="","",LLM_Data_Entry!AT325)</f>
        <v/>
      </c>
      <c r="I327" s="103">
        <f>IF(LLM_Data_Entry!AU325="","",LLM_Data_Entry!AU325)</f>
        <v/>
      </c>
      <c r="J327" s="103">
        <f>IF(LLM_Data_Entry!AH325="","",LLM_Data_Entry!AH325)</f>
        <v/>
      </c>
      <c r="K327" s="103">
        <f>IF(LLM_Data_Entry!AI325="","",LLM_Data_Entry!AI325)</f>
        <v/>
      </c>
      <c r="L327" s="103">
        <f>IF(LLM_Data_Entry!AJ325="","",LLM_Data_Entry!AJ325)</f>
        <v/>
      </c>
      <c r="M327" s="103">
        <f>IF(LLM_Data_Entry!AV325="","",LLM_Data_Entry!AV325)</f>
        <v/>
      </c>
      <c r="N327" s="103">
        <f>IF(LLM_Data_Entry!AW325="","",LLM_Data_Entry!AW325)</f>
        <v/>
      </c>
      <c r="O327" s="103">
        <f>IF(LLM_Data_Entry!AX325="","",LLM_Data_Entry!AX325)</f>
        <v/>
      </c>
      <c r="P327" s="103">
        <f>IF(LLM_Data_Entry!AY325="","",LLM_Data_Entry!AY325)</f>
        <v/>
      </c>
      <c r="Q327" s="103">
        <f>IF(LLM_Data_Entry!AZ325="","",LLM_Data_Entry!AZ325)</f>
        <v/>
      </c>
      <c r="R327" s="103">
        <f>IF(LLM_Data_Entry!AK325="","",LLM_Data_Entry!AK325)</f>
        <v/>
      </c>
      <c r="S327" s="103">
        <f>IF(LLM_Data_Entry!AL325="","",LLM_Data_Entry!AL325)</f>
        <v/>
      </c>
      <c r="T327" s="103">
        <f>IF(LLM_Data_Entry!BA325="","",LLM_Data_Entry!BA325)</f>
        <v/>
      </c>
      <c r="U327" s="103">
        <f>IF(LLM_Data_Entry!BB325="","",LLM_Data_Entry!BB325)</f>
        <v/>
      </c>
      <c r="V327" s="106">
        <f>IF(LLM_Data_Entry!O325="","",LLM_Data_Entry!O325)</f>
        <v/>
      </c>
    </row>
    <row r="328" ht="15" customHeight="1" s="241">
      <c r="A328" s="103">
        <f>IF(LLM_Data_Entry!A326="","",LLM_Data_Entry!A326)</f>
        <v/>
      </c>
      <c r="B328" s="103">
        <f>IF(LLM_Data_Entry!B326="","",LLM_Data_Entry!B326)</f>
        <v/>
      </c>
      <c r="C328" s="104">
        <f>IF(LLM_Data_Entry!C326="","",LLM_Data_Entry!C326)</f>
        <v/>
      </c>
      <c r="D328" s="103">
        <f>IF(LLM_Data_Entry!D326="","",LLM_Data_Entry!D326)</f>
        <v/>
      </c>
      <c r="E328" s="103">
        <f>IF(LLM_Data_Entry!V326="","",LLM_Data_Entry!V326)</f>
        <v/>
      </c>
      <c r="F328" s="103">
        <f>IF(LLM_Data_Entry!AS326="","",LLM_Data_Entry!AS326)</f>
        <v/>
      </c>
      <c r="G328" s="103">
        <f>IF(LLM_Data_Entry!AG326="","",LLM_Data_Entry!AG326)</f>
        <v/>
      </c>
      <c r="H328" s="103">
        <f>IF(LLM_Data_Entry!AT326="","",LLM_Data_Entry!AT326)</f>
        <v/>
      </c>
      <c r="I328" s="103">
        <f>IF(LLM_Data_Entry!AU326="","",LLM_Data_Entry!AU326)</f>
        <v/>
      </c>
      <c r="J328" s="103">
        <f>IF(LLM_Data_Entry!AH326="","",LLM_Data_Entry!AH326)</f>
        <v/>
      </c>
      <c r="K328" s="103">
        <f>IF(LLM_Data_Entry!AI326="","",LLM_Data_Entry!AI326)</f>
        <v/>
      </c>
      <c r="L328" s="103">
        <f>IF(LLM_Data_Entry!AJ326="","",LLM_Data_Entry!AJ326)</f>
        <v/>
      </c>
      <c r="M328" s="103">
        <f>IF(LLM_Data_Entry!AV326="","",LLM_Data_Entry!AV326)</f>
        <v/>
      </c>
      <c r="N328" s="103">
        <f>IF(LLM_Data_Entry!AW326="","",LLM_Data_Entry!AW326)</f>
        <v/>
      </c>
      <c r="O328" s="103">
        <f>IF(LLM_Data_Entry!AX326="","",LLM_Data_Entry!AX326)</f>
        <v/>
      </c>
      <c r="P328" s="103">
        <f>IF(LLM_Data_Entry!AY326="","",LLM_Data_Entry!AY326)</f>
        <v/>
      </c>
      <c r="Q328" s="103">
        <f>IF(LLM_Data_Entry!AZ326="","",LLM_Data_Entry!AZ326)</f>
        <v/>
      </c>
      <c r="R328" s="103">
        <f>IF(LLM_Data_Entry!AK326="","",LLM_Data_Entry!AK326)</f>
        <v/>
      </c>
      <c r="S328" s="103">
        <f>IF(LLM_Data_Entry!AL326="","",LLM_Data_Entry!AL326)</f>
        <v/>
      </c>
      <c r="T328" s="103">
        <f>IF(LLM_Data_Entry!BA326="","",LLM_Data_Entry!BA326)</f>
        <v/>
      </c>
      <c r="U328" s="103">
        <f>IF(LLM_Data_Entry!BB326="","",LLM_Data_Entry!BB326)</f>
        <v/>
      </c>
      <c r="V328" s="106">
        <f>IF(LLM_Data_Entry!O326="","",LLM_Data_Entry!O326)</f>
        <v/>
      </c>
    </row>
    <row r="329" ht="15" customHeight="1" s="241">
      <c r="A329" s="103">
        <f>IF(LLM_Data_Entry!A327="","",LLM_Data_Entry!A327)</f>
        <v/>
      </c>
      <c r="B329" s="103">
        <f>IF(LLM_Data_Entry!B327="","",LLM_Data_Entry!B327)</f>
        <v/>
      </c>
      <c r="C329" s="104">
        <f>IF(LLM_Data_Entry!C327="","",LLM_Data_Entry!C327)</f>
        <v/>
      </c>
      <c r="D329" s="103">
        <f>IF(LLM_Data_Entry!D327="","",LLM_Data_Entry!D327)</f>
        <v/>
      </c>
      <c r="E329" s="103">
        <f>IF(LLM_Data_Entry!V327="","",LLM_Data_Entry!V327)</f>
        <v/>
      </c>
      <c r="F329" s="103">
        <f>IF(LLM_Data_Entry!AS327="","",LLM_Data_Entry!AS327)</f>
        <v/>
      </c>
      <c r="G329" s="103">
        <f>IF(LLM_Data_Entry!AG327="","",LLM_Data_Entry!AG327)</f>
        <v/>
      </c>
      <c r="H329" s="103">
        <f>IF(LLM_Data_Entry!AT327="","",LLM_Data_Entry!AT327)</f>
        <v/>
      </c>
      <c r="I329" s="103">
        <f>IF(LLM_Data_Entry!AU327="","",LLM_Data_Entry!AU327)</f>
        <v/>
      </c>
      <c r="J329" s="103">
        <f>IF(LLM_Data_Entry!AH327="","",LLM_Data_Entry!AH327)</f>
        <v/>
      </c>
      <c r="K329" s="103">
        <f>IF(LLM_Data_Entry!AI327="","",LLM_Data_Entry!AI327)</f>
        <v/>
      </c>
      <c r="L329" s="103">
        <f>IF(LLM_Data_Entry!AJ327="","",LLM_Data_Entry!AJ327)</f>
        <v/>
      </c>
      <c r="M329" s="103">
        <f>IF(LLM_Data_Entry!AV327="","",LLM_Data_Entry!AV327)</f>
        <v/>
      </c>
      <c r="N329" s="103">
        <f>IF(LLM_Data_Entry!AW327="","",LLM_Data_Entry!AW327)</f>
        <v/>
      </c>
      <c r="O329" s="103">
        <f>IF(LLM_Data_Entry!AX327="","",LLM_Data_Entry!AX327)</f>
        <v/>
      </c>
      <c r="P329" s="103">
        <f>IF(LLM_Data_Entry!AY327="","",LLM_Data_Entry!AY327)</f>
        <v/>
      </c>
      <c r="Q329" s="103">
        <f>IF(LLM_Data_Entry!AZ327="","",LLM_Data_Entry!AZ327)</f>
        <v/>
      </c>
      <c r="R329" s="103">
        <f>IF(LLM_Data_Entry!AK327="","",LLM_Data_Entry!AK327)</f>
        <v/>
      </c>
      <c r="S329" s="103">
        <f>IF(LLM_Data_Entry!AL327="","",LLM_Data_Entry!AL327)</f>
        <v/>
      </c>
      <c r="T329" s="103">
        <f>IF(LLM_Data_Entry!BA327="","",LLM_Data_Entry!BA327)</f>
        <v/>
      </c>
      <c r="U329" s="103">
        <f>IF(LLM_Data_Entry!BB327="","",LLM_Data_Entry!BB327)</f>
        <v/>
      </c>
      <c r="V329" s="106">
        <f>IF(LLM_Data_Entry!O327="","",LLM_Data_Entry!O327)</f>
        <v/>
      </c>
    </row>
    <row r="330" ht="15" customHeight="1" s="241">
      <c r="A330" s="103">
        <f>IF(LLM_Data_Entry!A328="","",LLM_Data_Entry!A328)</f>
        <v/>
      </c>
      <c r="B330" s="103">
        <f>IF(LLM_Data_Entry!B328="","",LLM_Data_Entry!B328)</f>
        <v/>
      </c>
      <c r="C330" s="104">
        <f>IF(LLM_Data_Entry!C328="","",LLM_Data_Entry!C328)</f>
        <v/>
      </c>
      <c r="D330" s="103">
        <f>IF(LLM_Data_Entry!D328="","",LLM_Data_Entry!D328)</f>
        <v/>
      </c>
      <c r="E330" s="103">
        <f>IF(LLM_Data_Entry!V328="","",LLM_Data_Entry!V328)</f>
        <v/>
      </c>
      <c r="F330" s="103">
        <f>IF(LLM_Data_Entry!AS328="","",LLM_Data_Entry!AS328)</f>
        <v/>
      </c>
      <c r="G330" s="103">
        <f>IF(LLM_Data_Entry!AG328="","",LLM_Data_Entry!AG328)</f>
        <v/>
      </c>
      <c r="H330" s="103">
        <f>IF(LLM_Data_Entry!AT328="","",LLM_Data_Entry!AT328)</f>
        <v/>
      </c>
      <c r="I330" s="103">
        <f>IF(LLM_Data_Entry!AU328="","",LLM_Data_Entry!AU328)</f>
        <v/>
      </c>
      <c r="J330" s="103">
        <f>IF(LLM_Data_Entry!AH328="","",LLM_Data_Entry!AH328)</f>
        <v/>
      </c>
      <c r="K330" s="103">
        <f>IF(LLM_Data_Entry!AI328="","",LLM_Data_Entry!AI328)</f>
        <v/>
      </c>
      <c r="L330" s="103">
        <f>IF(LLM_Data_Entry!AJ328="","",LLM_Data_Entry!AJ328)</f>
        <v/>
      </c>
      <c r="M330" s="103">
        <f>IF(LLM_Data_Entry!AV328="","",LLM_Data_Entry!AV328)</f>
        <v/>
      </c>
      <c r="N330" s="103">
        <f>IF(LLM_Data_Entry!AW328="","",LLM_Data_Entry!AW328)</f>
        <v/>
      </c>
      <c r="O330" s="103">
        <f>IF(LLM_Data_Entry!AX328="","",LLM_Data_Entry!AX328)</f>
        <v/>
      </c>
      <c r="P330" s="103">
        <f>IF(LLM_Data_Entry!AY328="","",LLM_Data_Entry!AY328)</f>
        <v/>
      </c>
      <c r="Q330" s="103">
        <f>IF(LLM_Data_Entry!AZ328="","",LLM_Data_Entry!AZ328)</f>
        <v/>
      </c>
      <c r="R330" s="103">
        <f>IF(LLM_Data_Entry!AK328="","",LLM_Data_Entry!AK328)</f>
        <v/>
      </c>
      <c r="S330" s="103">
        <f>IF(LLM_Data_Entry!AL328="","",LLM_Data_Entry!AL328)</f>
        <v/>
      </c>
      <c r="T330" s="103">
        <f>IF(LLM_Data_Entry!BA328="","",LLM_Data_Entry!BA328)</f>
        <v/>
      </c>
      <c r="U330" s="103">
        <f>IF(LLM_Data_Entry!BB328="","",LLM_Data_Entry!BB328)</f>
        <v/>
      </c>
      <c r="V330" s="106">
        <f>IF(LLM_Data_Entry!O328="","",LLM_Data_Entry!O328)</f>
        <v/>
      </c>
    </row>
    <row r="331" ht="15" customHeight="1" s="241">
      <c r="A331" s="103">
        <f>IF(LLM_Data_Entry!A329="","",LLM_Data_Entry!A329)</f>
        <v/>
      </c>
      <c r="B331" s="103">
        <f>IF(LLM_Data_Entry!B329="","",LLM_Data_Entry!B329)</f>
        <v/>
      </c>
      <c r="C331" s="104">
        <f>IF(LLM_Data_Entry!C329="","",LLM_Data_Entry!C329)</f>
        <v/>
      </c>
      <c r="D331" s="103">
        <f>IF(LLM_Data_Entry!D329="","",LLM_Data_Entry!D329)</f>
        <v/>
      </c>
      <c r="E331" s="103">
        <f>IF(LLM_Data_Entry!V329="","",LLM_Data_Entry!V329)</f>
        <v/>
      </c>
      <c r="F331" s="103">
        <f>IF(LLM_Data_Entry!AS329="","",LLM_Data_Entry!AS329)</f>
        <v/>
      </c>
      <c r="G331" s="103">
        <f>IF(LLM_Data_Entry!AG329="","",LLM_Data_Entry!AG329)</f>
        <v/>
      </c>
      <c r="H331" s="103">
        <f>IF(LLM_Data_Entry!AT329="","",LLM_Data_Entry!AT329)</f>
        <v/>
      </c>
      <c r="I331" s="103">
        <f>IF(LLM_Data_Entry!AU329="","",LLM_Data_Entry!AU329)</f>
        <v/>
      </c>
      <c r="J331" s="103">
        <f>IF(LLM_Data_Entry!AH329="","",LLM_Data_Entry!AH329)</f>
        <v/>
      </c>
      <c r="K331" s="103">
        <f>IF(LLM_Data_Entry!AI329="","",LLM_Data_Entry!AI329)</f>
        <v/>
      </c>
      <c r="L331" s="103">
        <f>IF(LLM_Data_Entry!AJ329="","",LLM_Data_Entry!AJ329)</f>
        <v/>
      </c>
      <c r="M331" s="103">
        <f>IF(LLM_Data_Entry!AV329="","",LLM_Data_Entry!AV329)</f>
        <v/>
      </c>
      <c r="N331" s="103">
        <f>IF(LLM_Data_Entry!AW329="","",LLM_Data_Entry!AW329)</f>
        <v/>
      </c>
      <c r="O331" s="103">
        <f>IF(LLM_Data_Entry!AX329="","",LLM_Data_Entry!AX329)</f>
        <v/>
      </c>
      <c r="P331" s="103">
        <f>IF(LLM_Data_Entry!AY329="","",LLM_Data_Entry!AY329)</f>
        <v/>
      </c>
      <c r="Q331" s="103">
        <f>IF(LLM_Data_Entry!AZ329="","",LLM_Data_Entry!AZ329)</f>
        <v/>
      </c>
      <c r="R331" s="103">
        <f>IF(LLM_Data_Entry!AK329="","",LLM_Data_Entry!AK329)</f>
        <v/>
      </c>
      <c r="S331" s="103">
        <f>IF(LLM_Data_Entry!AL329="","",LLM_Data_Entry!AL329)</f>
        <v/>
      </c>
      <c r="T331" s="103">
        <f>IF(LLM_Data_Entry!BA329="","",LLM_Data_Entry!BA329)</f>
        <v/>
      </c>
      <c r="U331" s="103">
        <f>IF(LLM_Data_Entry!BB329="","",LLM_Data_Entry!BB329)</f>
        <v/>
      </c>
      <c r="V331" s="106">
        <f>IF(LLM_Data_Entry!O329="","",LLM_Data_Entry!O329)</f>
        <v/>
      </c>
    </row>
    <row r="332" ht="15" customHeight="1" s="241">
      <c r="A332" s="103">
        <f>IF(LLM_Data_Entry!A330="","",LLM_Data_Entry!A330)</f>
        <v/>
      </c>
      <c r="B332" s="103">
        <f>IF(LLM_Data_Entry!B330="","",LLM_Data_Entry!B330)</f>
        <v/>
      </c>
      <c r="C332" s="104">
        <f>IF(LLM_Data_Entry!C330="","",LLM_Data_Entry!C330)</f>
        <v/>
      </c>
      <c r="D332" s="103">
        <f>IF(LLM_Data_Entry!D330="","",LLM_Data_Entry!D330)</f>
        <v/>
      </c>
      <c r="E332" s="103">
        <f>IF(LLM_Data_Entry!V330="","",LLM_Data_Entry!V330)</f>
        <v/>
      </c>
      <c r="F332" s="103">
        <f>IF(LLM_Data_Entry!AS330="","",LLM_Data_Entry!AS330)</f>
        <v/>
      </c>
      <c r="G332" s="103">
        <f>IF(LLM_Data_Entry!AG330="","",LLM_Data_Entry!AG330)</f>
        <v/>
      </c>
      <c r="H332" s="103">
        <f>IF(LLM_Data_Entry!AT330="","",LLM_Data_Entry!AT330)</f>
        <v/>
      </c>
      <c r="I332" s="103">
        <f>IF(LLM_Data_Entry!AU330="","",LLM_Data_Entry!AU330)</f>
        <v/>
      </c>
      <c r="J332" s="103">
        <f>IF(LLM_Data_Entry!AH330="","",LLM_Data_Entry!AH330)</f>
        <v/>
      </c>
      <c r="K332" s="103">
        <f>IF(LLM_Data_Entry!AI330="","",LLM_Data_Entry!AI330)</f>
        <v/>
      </c>
      <c r="L332" s="103">
        <f>IF(LLM_Data_Entry!AJ330="","",LLM_Data_Entry!AJ330)</f>
        <v/>
      </c>
      <c r="M332" s="103">
        <f>IF(LLM_Data_Entry!AV330="","",LLM_Data_Entry!AV330)</f>
        <v/>
      </c>
      <c r="N332" s="103">
        <f>IF(LLM_Data_Entry!AW330="","",LLM_Data_Entry!AW330)</f>
        <v/>
      </c>
      <c r="O332" s="103">
        <f>IF(LLM_Data_Entry!AX330="","",LLM_Data_Entry!AX330)</f>
        <v/>
      </c>
      <c r="P332" s="103">
        <f>IF(LLM_Data_Entry!AY330="","",LLM_Data_Entry!AY330)</f>
        <v/>
      </c>
      <c r="Q332" s="103">
        <f>IF(LLM_Data_Entry!AZ330="","",LLM_Data_Entry!AZ330)</f>
        <v/>
      </c>
      <c r="R332" s="103">
        <f>IF(LLM_Data_Entry!AK330="","",LLM_Data_Entry!AK330)</f>
        <v/>
      </c>
      <c r="S332" s="103">
        <f>IF(LLM_Data_Entry!AL330="","",LLM_Data_Entry!AL330)</f>
        <v/>
      </c>
      <c r="T332" s="103">
        <f>IF(LLM_Data_Entry!BA330="","",LLM_Data_Entry!BA330)</f>
        <v/>
      </c>
      <c r="U332" s="103">
        <f>IF(LLM_Data_Entry!BB330="","",LLM_Data_Entry!BB330)</f>
        <v/>
      </c>
      <c r="V332" s="106">
        <f>IF(LLM_Data_Entry!O330="","",LLM_Data_Entry!O330)</f>
        <v/>
      </c>
    </row>
    <row r="333" ht="15" customHeight="1" s="241">
      <c r="A333" s="103">
        <f>IF(LLM_Data_Entry!A331="","",LLM_Data_Entry!A331)</f>
        <v/>
      </c>
      <c r="B333" s="103">
        <f>IF(LLM_Data_Entry!B331="","",LLM_Data_Entry!B331)</f>
        <v/>
      </c>
      <c r="C333" s="104">
        <f>IF(LLM_Data_Entry!C331="","",LLM_Data_Entry!C331)</f>
        <v/>
      </c>
      <c r="D333" s="103">
        <f>IF(LLM_Data_Entry!D331="","",LLM_Data_Entry!D331)</f>
        <v/>
      </c>
      <c r="E333" s="103">
        <f>IF(LLM_Data_Entry!V331="","",LLM_Data_Entry!V331)</f>
        <v/>
      </c>
      <c r="F333" s="103">
        <f>IF(LLM_Data_Entry!AS331="","",LLM_Data_Entry!AS331)</f>
        <v/>
      </c>
      <c r="G333" s="103">
        <f>IF(LLM_Data_Entry!AG331="","",LLM_Data_Entry!AG331)</f>
        <v/>
      </c>
      <c r="H333" s="103">
        <f>IF(LLM_Data_Entry!AT331="","",LLM_Data_Entry!AT331)</f>
        <v/>
      </c>
      <c r="I333" s="103">
        <f>IF(LLM_Data_Entry!AU331="","",LLM_Data_Entry!AU331)</f>
        <v/>
      </c>
      <c r="J333" s="103">
        <f>IF(LLM_Data_Entry!AH331="","",LLM_Data_Entry!AH331)</f>
        <v/>
      </c>
      <c r="K333" s="103">
        <f>IF(LLM_Data_Entry!AI331="","",LLM_Data_Entry!AI331)</f>
        <v/>
      </c>
      <c r="L333" s="103">
        <f>IF(LLM_Data_Entry!AJ331="","",LLM_Data_Entry!AJ331)</f>
        <v/>
      </c>
      <c r="M333" s="103">
        <f>IF(LLM_Data_Entry!AV331="","",LLM_Data_Entry!AV331)</f>
        <v/>
      </c>
      <c r="N333" s="103">
        <f>IF(LLM_Data_Entry!AW331="","",LLM_Data_Entry!AW331)</f>
        <v/>
      </c>
      <c r="O333" s="103">
        <f>IF(LLM_Data_Entry!AX331="","",LLM_Data_Entry!AX331)</f>
        <v/>
      </c>
      <c r="P333" s="103">
        <f>IF(LLM_Data_Entry!AY331="","",LLM_Data_Entry!AY331)</f>
        <v/>
      </c>
      <c r="Q333" s="103">
        <f>IF(LLM_Data_Entry!AZ331="","",LLM_Data_Entry!AZ331)</f>
        <v/>
      </c>
      <c r="R333" s="103">
        <f>IF(LLM_Data_Entry!AK331="","",LLM_Data_Entry!AK331)</f>
        <v/>
      </c>
      <c r="S333" s="103">
        <f>IF(LLM_Data_Entry!AL331="","",LLM_Data_Entry!AL331)</f>
        <v/>
      </c>
      <c r="T333" s="103">
        <f>IF(LLM_Data_Entry!BA331="","",LLM_Data_Entry!BA331)</f>
        <v/>
      </c>
      <c r="U333" s="103">
        <f>IF(LLM_Data_Entry!BB331="","",LLM_Data_Entry!BB331)</f>
        <v/>
      </c>
      <c r="V333" s="106">
        <f>IF(LLM_Data_Entry!O331="","",LLM_Data_Entry!O331)</f>
        <v/>
      </c>
    </row>
    <row r="334" ht="15" customHeight="1" s="241">
      <c r="A334" s="103">
        <f>IF(LLM_Data_Entry!A332="","",LLM_Data_Entry!A332)</f>
        <v/>
      </c>
      <c r="B334" s="103">
        <f>IF(LLM_Data_Entry!B332="","",LLM_Data_Entry!B332)</f>
        <v/>
      </c>
      <c r="C334" s="104">
        <f>IF(LLM_Data_Entry!C332="","",LLM_Data_Entry!C332)</f>
        <v/>
      </c>
      <c r="D334" s="103">
        <f>IF(LLM_Data_Entry!D332="","",LLM_Data_Entry!D332)</f>
        <v/>
      </c>
      <c r="E334" s="103">
        <f>IF(LLM_Data_Entry!V332="","",LLM_Data_Entry!V332)</f>
        <v/>
      </c>
      <c r="F334" s="103">
        <f>IF(LLM_Data_Entry!AS332="","",LLM_Data_Entry!AS332)</f>
        <v/>
      </c>
      <c r="G334" s="103">
        <f>IF(LLM_Data_Entry!AG332="","",LLM_Data_Entry!AG332)</f>
        <v/>
      </c>
      <c r="H334" s="103">
        <f>IF(LLM_Data_Entry!AT332="","",LLM_Data_Entry!AT332)</f>
        <v/>
      </c>
      <c r="I334" s="103">
        <f>IF(LLM_Data_Entry!AU332="","",LLM_Data_Entry!AU332)</f>
        <v/>
      </c>
      <c r="J334" s="103">
        <f>IF(LLM_Data_Entry!AH332="","",LLM_Data_Entry!AH332)</f>
        <v/>
      </c>
      <c r="K334" s="103">
        <f>IF(LLM_Data_Entry!AI332="","",LLM_Data_Entry!AI332)</f>
        <v/>
      </c>
      <c r="L334" s="103">
        <f>IF(LLM_Data_Entry!AJ332="","",LLM_Data_Entry!AJ332)</f>
        <v/>
      </c>
      <c r="M334" s="103">
        <f>IF(LLM_Data_Entry!AV332="","",LLM_Data_Entry!AV332)</f>
        <v/>
      </c>
      <c r="N334" s="103">
        <f>IF(LLM_Data_Entry!AW332="","",LLM_Data_Entry!AW332)</f>
        <v/>
      </c>
      <c r="O334" s="103">
        <f>IF(LLM_Data_Entry!AX332="","",LLM_Data_Entry!AX332)</f>
        <v/>
      </c>
      <c r="P334" s="103">
        <f>IF(LLM_Data_Entry!AY332="","",LLM_Data_Entry!AY332)</f>
        <v/>
      </c>
      <c r="Q334" s="103">
        <f>IF(LLM_Data_Entry!AZ332="","",LLM_Data_Entry!AZ332)</f>
        <v/>
      </c>
      <c r="R334" s="103">
        <f>IF(LLM_Data_Entry!AK332="","",LLM_Data_Entry!AK332)</f>
        <v/>
      </c>
      <c r="S334" s="103">
        <f>IF(LLM_Data_Entry!AL332="","",LLM_Data_Entry!AL332)</f>
        <v/>
      </c>
      <c r="T334" s="103">
        <f>IF(LLM_Data_Entry!BA332="","",LLM_Data_Entry!BA332)</f>
        <v/>
      </c>
      <c r="U334" s="103">
        <f>IF(LLM_Data_Entry!BB332="","",LLM_Data_Entry!BB332)</f>
        <v/>
      </c>
      <c r="V334" s="106">
        <f>IF(LLM_Data_Entry!O332="","",LLM_Data_Entry!O332)</f>
        <v/>
      </c>
    </row>
    <row r="335" ht="15" customHeight="1" s="241">
      <c r="A335" s="103">
        <f>IF(LLM_Data_Entry!A333="","",LLM_Data_Entry!A333)</f>
        <v/>
      </c>
      <c r="B335" s="103">
        <f>IF(LLM_Data_Entry!B333="","",LLM_Data_Entry!B333)</f>
        <v/>
      </c>
      <c r="C335" s="104">
        <f>IF(LLM_Data_Entry!C333="","",LLM_Data_Entry!C333)</f>
        <v/>
      </c>
      <c r="D335" s="103">
        <f>IF(LLM_Data_Entry!D333="","",LLM_Data_Entry!D333)</f>
        <v/>
      </c>
      <c r="E335" s="103">
        <f>IF(LLM_Data_Entry!V333="","",LLM_Data_Entry!V333)</f>
        <v/>
      </c>
      <c r="F335" s="103">
        <f>IF(LLM_Data_Entry!AS333="","",LLM_Data_Entry!AS333)</f>
        <v/>
      </c>
      <c r="G335" s="103">
        <f>IF(LLM_Data_Entry!AG333="","",LLM_Data_Entry!AG333)</f>
        <v/>
      </c>
      <c r="H335" s="103">
        <f>IF(LLM_Data_Entry!AT333="","",LLM_Data_Entry!AT333)</f>
        <v/>
      </c>
      <c r="I335" s="103">
        <f>IF(LLM_Data_Entry!AU333="","",LLM_Data_Entry!AU333)</f>
        <v/>
      </c>
      <c r="J335" s="103">
        <f>IF(LLM_Data_Entry!AH333="","",LLM_Data_Entry!AH333)</f>
        <v/>
      </c>
      <c r="K335" s="103">
        <f>IF(LLM_Data_Entry!AI333="","",LLM_Data_Entry!AI333)</f>
        <v/>
      </c>
      <c r="L335" s="103">
        <f>IF(LLM_Data_Entry!AJ333="","",LLM_Data_Entry!AJ333)</f>
        <v/>
      </c>
      <c r="M335" s="103">
        <f>IF(LLM_Data_Entry!AV333="","",LLM_Data_Entry!AV333)</f>
        <v/>
      </c>
      <c r="N335" s="103">
        <f>IF(LLM_Data_Entry!AW333="","",LLM_Data_Entry!AW333)</f>
        <v/>
      </c>
      <c r="O335" s="103">
        <f>IF(LLM_Data_Entry!AX333="","",LLM_Data_Entry!AX333)</f>
        <v/>
      </c>
      <c r="P335" s="103">
        <f>IF(LLM_Data_Entry!AY333="","",LLM_Data_Entry!AY333)</f>
        <v/>
      </c>
      <c r="Q335" s="103">
        <f>IF(LLM_Data_Entry!AZ333="","",LLM_Data_Entry!AZ333)</f>
        <v/>
      </c>
      <c r="R335" s="103">
        <f>IF(LLM_Data_Entry!AK333="","",LLM_Data_Entry!AK333)</f>
        <v/>
      </c>
      <c r="S335" s="103">
        <f>IF(LLM_Data_Entry!AL333="","",LLM_Data_Entry!AL333)</f>
        <v/>
      </c>
      <c r="T335" s="103">
        <f>IF(LLM_Data_Entry!BA333="","",LLM_Data_Entry!BA333)</f>
        <v/>
      </c>
      <c r="U335" s="103">
        <f>IF(LLM_Data_Entry!BB333="","",LLM_Data_Entry!BB333)</f>
        <v/>
      </c>
      <c r="V335" s="106">
        <f>IF(LLM_Data_Entry!O333="","",LLM_Data_Entry!O333)</f>
        <v/>
      </c>
    </row>
    <row r="336" ht="15" customHeight="1" s="241">
      <c r="A336" s="103">
        <f>IF(LLM_Data_Entry!A334="","",LLM_Data_Entry!A334)</f>
        <v/>
      </c>
      <c r="B336" s="103">
        <f>IF(LLM_Data_Entry!B334="","",LLM_Data_Entry!B334)</f>
        <v/>
      </c>
      <c r="C336" s="104">
        <f>IF(LLM_Data_Entry!C334="","",LLM_Data_Entry!C334)</f>
        <v/>
      </c>
      <c r="D336" s="103">
        <f>IF(LLM_Data_Entry!D334="","",LLM_Data_Entry!D334)</f>
        <v/>
      </c>
      <c r="E336" s="103">
        <f>IF(LLM_Data_Entry!V334="","",LLM_Data_Entry!V334)</f>
        <v/>
      </c>
      <c r="F336" s="103">
        <f>IF(LLM_Data_Entry!AS334="","",LLM_Data_Entry!AS334)</f>
        <v/>
      </c>
      <c r="G336" s="103">
        <f>IF(LLM_Data_Entry!AG334="","",LLM_Data_Entry!AG334)</f>
        <v/>
      </c>
      <c r="H336" s="103">
        <f>IF(LLM_Data_Entry!AT334="","",LLM_Data_Entry!AT334)</f>
        <v/>
      </c>
      <c r="I336" s="103">
        <f>IF(LLM_Data_Entry!AU334="","",LLM_Data_Entry!AU334)</f>
        <v/>
      </c>
      <c r="J336" s="103">
        <f>IF(LLM_Data_Entry!AH334="","",LLM_Data_Entry!AH334)</f>
        <v/>
      </c>
      <c r="K336" s="103">
        <f>IF(LLM_Data_Entry!AI334="","",LLM_Data_Entry!AI334)</f>
        <v/>
      </c>
      <c r="L336" s="103">
        <f>IF(LLM_Data_Entry!AJ334="","",LLM_Data_Entry!AJ334)</f>
        <v/>
      </c>
      <c r="M336" s="103">
        <f>IF(LLM_Data_Entry!AV334="","",LLM_Data_Entry!AV334)</f>
        <v/>
      </c>
      <c r="N336" s="103">
        <f>IF(LLM_Data_Entry!AW334="","",LLM_Data_Entry!AW334)</f>
        <v/>
      </c>
      <c r="O336" s="103">
        <f>IF(LLM_Data_Entry!AX334="","",LLM_Data_Entry!AX334)</f>
        <v/>
      </c>
      <c r="P336" s="103">
        <f>IF(LLM_Data_Entry!AY334="","",LLM_Data_Entry!AY334)</f>
        <v/>
      </c>
      <c r="Q336" s="103">
        <f>IF(LLM_Data_Entry!AZ334="","",LLM_Data_Entry!AZ334)</f>
        <v/>
      </c>
      <c r="R336" s="103">
        <f>IF(LLM_Data_Entry!AK334="","",LLM_Data_Entry!AK334)</f>
        <v/>
      </c>
      <c r="S336" s="103">
        <f>IF(LLM_Data_Entry!AL334="","",LLM_Data_Entry!AL334)</f>
        <v/>
      </c>
      <c r="T336" s="103">
        <f>IF(LLM_Data_Entry!BA334="","",LLM_Data_Entry!BA334)</f>
        <v/>
      </c>
      <c r="U336" s="103">
        <f>IF(LLM_Data_Entry!BB334="","",LLM_Data_Entry!BB334)</f>
        <v/>
      </c>
      <c r="V336" s="106">
        <f>IF(LLM_Data_Entry!O334="","",LLM_Data_Entry!O334)</f>
        <v/>
      </c>
    </row>
    <row r="337" ht="15" customHeight="1" s="241">
      <c r="A337" s="103">
        <f>IF(LLM_Data_Entry!A335="","",LLM_Data_Entry!A335)</f>
        <v/>
      </c>
      <c r="B337" s="103">
        <f>IF(LLM_Data_Entry!B335="","",LLM_Data_Entry!B335)</f>
        <v/>
      </c>
      <c r="C337" s="104">
        <f>IF(LLM_Data_Entry!C335="","",LLM_Data_Entry!C335)</f>
        <v/>
      </c>
      <c r="D337" s="103">
        <f>IF(LLM_Data_Entry!D335="","",LLM_Data_Entry!D335)</f>
        <v/>
      </c>
      <c r="E337" s="103">
        <f>IF(LLM_Data_Entry!V335="","",LLM_Data_Entry!V335)</f>
        <v/>
      </c>
      <c r="F337" s="103">
        <f>IF(LLM_Data_Entry!AS335="","",LLM_Data_Entry!AS335)</f>
        <v/>
      </c>
      <c r="G337" s="103">
        <f>IF(LLM_Data_Entry!AG335="","",LLM_Data_Entry!AG335)</f>
        <v/>
      </c>
      <c r="H337" s="103">
        <f>IF(LLM_Data_Entry!AT335="","",LLM_Data_Entry!AT335)</f>
        <v/>
      </c>
      <c r="I337" s="103">
        <f>IF(LLM_Data_Entry!AU335="","",LLM_Data_Entry!AU335)</f>
        <v/>
      </c>
      <c r="J337" s="103">
        <f>IF(LLM_Data_Entry!AH335="","",LLM_Data_Entry!AH335)</f>
        <v/>
      </c>
      <c r="K337" s="103">
        <f>IF(LLM_Data_Entry!AI335="","",LLM_Data_Entry!AI335)</f>
        <v/>
      </c>
      <c r="L337" s="103">
        <f>IF(LLM_Data_Entry!AJ335="","",LLM_Data_Entry!AJ335)</f>
        <v/>
      </c>
      <c r="M337" s="103">
        <f>IF(LLM_Data_Entry!AV335="","",LLM_Data_Entry!AV335)</f>
        <v/>
      </c>
      <c r="N337" s="103">
        <f>IF(LLM_Data_Entry!AW335="","",LLM_Data_Entry!AW335)</f>
        <v/>
      </c>
      <c r="O337" s="103">
        <f>IF(LLM_Data_Entry!AX335="","",LLM_Data_Entry!AX335)</f>
        <v/>
      </c>
      <c r="P337" s="103">
        <f>IF(LLM_Data_Entry!AY335="","",LLM_Data_Entry!AY335)</f>
        <v/>
      </c>
      <c r="Q337" s="103">
        <f>IF(LLM_Data_Entry!AZ335="","",LLM_Data_Entry!AZ335)</f>
        <v/>
      </c>
      <c r="R337" s="103">
        <f>IF(LLM_Data_Entry!AK335="","",LLM_Data_Entry!AK335)</f>
        <v/>
      </c>
      <c r="S337" s="103">
        <f>IF(LLM_Data_Entry!AL335="","",LLM_Data_Entry!AL335)</f>
        <v/>
      </c>
      <c r="T337" s="103">
        <f>IF(LLM_Data_Entry!BA335="","",LLM_Data_Entry!BA335)</f>
        <v/>
      </c>
      <c r="U337" s="103">
        <f>IF(LLM_Data_Entry!BB335="","",LLM_Data_Entry!BB335)</f>
        <v/>
      </c>
      <c r="V337" s="106">
        <f>IF(LLM_Data_Entry!O335="","",LLM_Data_Entry!O335)</f>
        <v/>
      </c>
    </row>
    <row r="338" ht="15" customHeight="1" s="241">
      <c r="A338" s="103">
        <f>IF(LLM_Data_Entry!A336="","",LLM_Data_Entry!A336)</f>
        <v/>
      </c>
      <c r="B338" s="103">
        <f>IF(LLM_Data_Entry!B336="","",LLM_Data_Entry!B336)</f>
        <v/>
      </c>
      <c r="C338" s="104">
        <f>IF(LLM_Data_Entry!C336="","",LLM_Data_Entry!C336)</f>
        <v/>
      </c>
      <c r="D338" s="103">
        <f>IF(LLM_Data_Entry!D336="","",LLM_Data_Entry!D336)</f>
        <v/>
      </c>
      <c r="E338" s="103">
        <f>IF(LLM_Data_Entry!V336="","",LLM_Data_Entry!V336)</f>
        <v/>
      </c>
      <c r="F338" s="103">
        <f>IF(LLM_Data_Entry!AS336="","",LLM_Data_Entry!AS336)</f>
        <v/>
      </c>
      <c r="G338" s="103">
        <f>IF(LLM_Data_Entry!AG336="","",LLM_Data_Entry!AG336)</f>
        <v/>
      </c>
      <c r="H338" s="103">
        <f>IF(LLM_Data_Entry!AT336="","",LLM_Data_Entry!AT336)</f>
        <v/>
      </c>
      <c r="I338" s="103">
        <f>IF(LLM_Data_Entry!AU336="","",LLM_Data_Entry!AU336)</f>
        <v/>
      </c>
      <c r="J338" s="103">
        <f>IF(LLM_Data_Entry!AH336="","",LLM_Data_Entry!AH336)</f>
        <v/>
      </c>
      <c r="K338" s="103">
        <f>IF(LLM_Data_Entry!AI336="","",LLM_Data_Entry!AI336)</f>
        <v/>
      </c>
      <c r="L338" s="103">
        <f>IF(LLM_Data_Entry!AJ336="","",LLM_Data_Entry!AJ336)</f>
        <v/>
      </c>
      <c r="M338" s="103">
        <f>IF(LLM_Data_Entry!AV336="","",LLM_Data_Entry!AV336)</f>
        <v/>
      </c>
      <c r="N338" s="103">
        <f>IF(LLM_Data_Entry!AW336="","",LLM_Data_Entry!AW336)</f>
        <v/>
      </c>
      <c r="O338" s="103">
        <f>IF(LLM_Data_Entry!AX336="","",LLM_Data_Entry!AX336)</f>
        <v/>
      </c>
      <c r="P338" s="103">
        <f>IF(LLM_Data_Entry!AY336="","",LLM_Data_Entry!AY336)</f>
        <v/>
      </c>
      <c r="Q338" s="103">
        <f>IF(LLM_Data_Entry!AZ336="","",LLM_Data_Entry!AZ336)</f>
        <v/>
      </c>
      <c r="R338" s="103">
        <f>IF(LLM_Data_Entry!AK336="","",LLM_Data_Entry!AK336)</f>
        <v/>
      </c>
      <c r="S338" s="103">
        <f>IF(LLM_Data_Entry!AL336="","",LLM_Data_Entry!AL336)</f>
        <v/>
      </c>
      <c r="T338" s="103">
        <f>IF(LLM_Data_Entry!BA336="","",LLM_Data_Entry!BA336)</f>
        <v/>
      </c>
      <c r="U338" s="103">
        <f>IF(LLM_Data_Entry!BB336="","",LLM_Data_Entry!BB336)</f>
        <v/>
      </c>
      <c r="V338" s="106">
        <f>IF(LLM_Data_Entry!O336="","",LLM_Data_Entry!O336)</f>
        <v/>
      </c>
    </row>
    <row r="339" ht="15" customHeight="1" s="241">
      <c r="A339" s="103">
        <f>IF(LLM_Data_Entry!A337="","",LLM_Data_Entry!A337)</f>
        <v/>
      </c>
      <c r="B339" s="103">
        <f>IF(LLM_Data_Entry!B337="","",LLM_Data_Entry!B337)</f>
        <v/>
      </c>
      <c r="C339" s="104">
        <f>IF(LLM_Data_Entry!C337="","",LLM_Data_Entry!C337)</f>
        <v/>
      </c>
      <c r="D339" s="103">
        <f>IF(LLM_Data_Entry!D337="","",LLM_Data_Entry!D337)</f>
        <v/>
      </c>
      <c r="E339" s="103">
        <f>IF(LLM_Data_Entry!V337="","",LLM_Data_Entry!V337)</f>
        <v/>
      </c>
      <c r="F339" s="103">
        <f>IF(LLM_Data_Entry!AS337="","",LLM_Data_Entry!AS337)</f>
        <v/>
      </c>
      <c r="G339" s="103">
        <f>IF(LLM_Data_Entry!AG337="","",LLM_Data_Entry!AG337)</f>
        <v/>
      </c>
      <c r="H339" s="103">
        <f>IF(LLM_Data_Entry!AT337="","",LLM_Data_Entry!AT337)</f>
        <v/>
      </c>
      <c r="I339" s="103">
        <f>IF(LLM_Data_Entry!AU337="","",LLM_Data_Entry!AU337)</f>
        <v/>
      </c>
      <c r="J339" s="103">
        <f>IF(LLM_Data_Entry!AH337="","",LLM_Data_Entry!AH337)</f>
        <v/>
      </c>
      <c r="K339" s="103">
        <f>IF(LLM_Data_Entry!AI337="","",LLM_Data_Entry!AI337)</f>
        <v/>
      </c>
      <c r="L339" s="103">
        <f>IF(LLM_Data_Entry!AJ337="","",LLM_Data_Entry!AJ337)</f>
        <v/>
      </c>
      <c r="M339" s="103">
        <f>IF(LLM_Data_Entry!AV337="","",LLM_Data_Entry!AV337)</f>
        <v/>
      </c>
      <c r="N339" s="103">
        <f>IF(LLM_Data_Entry!AW337="","",LLM_Data_Entry!AW337)</f>
        <v/>
      </c>
      <c r="O339" s="103">
        <f>IF(LLM_Data_Entry!AX337="","",LLM_Data_Entry!AX337)</f>
        <v/>
      </c>
      <c r="P339" s="103">
        <f>IF(LLM_Data_Entry!AY337="","",LLM_Data_Entry!AY337)</f>
        <v/>
      </c>
      <c r="Q339" s="103">
        <f>IF(LLM_Data_Entry!AZ337="","",LLM_Data_Entry!AZ337)</f>
        <v/>
      </c>
      <c r="R339" s="103">
        <f>IF(LLM_Data_Entry!AK337="","",LLM_Data_Entry!AK337)</f>
        <v/>
      </c>
      <c r="S339" s="103">
        <f>IF(LLM_Data_Entry!AL337="","",LLM_Data_Entry!AL337)</f>
        <v/>
      </c>
      <c r="T339" s="103">
        <f>IF(LLM_Data_Entry!BA337="","",LLM_Data_Entry!BA337)</f>
        <v/>
      </c>
      <c r="U339" s="103">
        <f>IF(LLM_Data_Entry!BB337="","",LLM_Data_Entry!BB337)</f>
        <v/>
      </c>
      <c r="V339" s="106">
        <f>IF(LLM_Data_Entry!O337="","",LLM_Data_Entry!O337)</f>
        <v/>
      </c>
    </row>
    <row r="340" ht="15" customHeight="1" s="241">
      <c r="A340" s="103">
        <f>IF(LLM_Data_Entry!A338="","",LLM_Data_Entry!A338)</f>
        <v/>
      </c>
      <c r="B340" s="103">
        <f>IF(LLM_Data_Entry!B338="","",LLM_Data_Entry!B338)</f>
        <v/>
      </c>
      <c r="C340" s="104">
        <f>IF(LLM_Data_Entry!C338="","",LLM_Data_Entry!C338)</f>
        <v/>
      </c>
      <c r="D340" s="103">
        <f>IF(LLM_Data_Entry!D338="","",LLM_Data_Entry!D338)</f>
        <v/>
      </c>
      <c r="E340" s="103">
        <f>IF(LLM_Data_Entry!V338="","",LLM_Data_Entry!V338)</f>
        <v/>
      </c>
      <c r="F340" s="103">
        <f>IF(LLM_Data_Entry!AS338="","",LLM_Data_Entry!AS338)</f>
        <v/>
      </c>
      <c r="G340" s="103">
        <f>IF(LLM_Data_Entry!AG338="","",LLM_Data_Entry!AG338)</f>
        <v/>
      </c>
      <c r="H340" s="103">
        <f>IF(LLM_Data_Entry!AT338="","",LLM_Data_Entry!AT338)</f>
        <v/>
      </c>
      <c r="I340" s="103">
        <f>IF(LLM_Data_Entry!AU338="","",LLM_Data_Entry!AU338)</f>
        <v/>
      </c>
      <c r="J340" s="103">
        <f>IF(LLM_Data_Entry!AH338="","",LLM_Data_Entry!AH338)</f>
        <v/>
      </c>
      <c r="K340" s="103">
        <f>IF(LLM_Data_Entry!AI338="","",LLM_Data_Entry!AI338)</f>
        <v/>
      </c>
      <c r="L340" s="103">
        <f>IF(LLM_Data_Entry!AJ338="","",LLM_Data_Entry!AJ338)</f>
        <v/>
      </c>
      <c r="M340" s="103">
        <f>IF(LLM_Data_Entry!AV338="","",LLM_Data_Entry!AV338)</f>
        <v/>
      </c>
      <c r="N340" s="103">
        <f>IF(LLM_Data_Entry!AW338="","",LLM_Data_Entry!AW338)</f>
        <v/>
      </c>
      <c r="O340" s="103">
        <f>IF(LLM_Data_Entry!AX338="","",LLM_Data_Entry!AX338)</f>
        <v/>
      </c>
      <c r="P340" s="103">
        <f>IF(LLM_Data_Entry!AY338="","",LLM_Data_Entry!AY338)</f>
        <v/>
      </c>
      <c r="Q340" s="103">
        <f>IF(LLM_Data_Entry!AZ338="","",LLM_Data_Entry!AZ338)</f>
        <v/>
      </c>
      <c r="R340" s="103">
        <f>IF(LLM_Data_Entry!AK338="","",LLM_Data_Entry!AK338)</f>
        <v/>
      </c>
      <c r="S340" s="103">
        <f>IF(LLM_Data_Entry!AL338="","",LLM_Data_Entry!AL338)</f>
        <v/>
      </c>
      <c r="T340" s="103">
        <f>IF(LLM_Data_Entry!BA338="","",LLM_Data_Entry!BA338)</f>
        <v/>
      </c>
      <c r="U340" s="103">
        <f>IF(LLM_Data_Entry!BB338="","",LLM_Data_Entry!BB338)</f>
        <v/>
      </c>
      <c r="V340" s="106">
        <f>IF(LLM_Data_Entry!O338="","",LLM_Data_Entry!O338)</f>
        <v/>
      </c>
    </row>
    <row r="341" ht="15" customHeight="1" s="241">
      <c r="A341" s="103">
        <f>IF(LLM_Data_Entry!A339="","",LLM_Data_Entry!A339)</f>
        <v/>
      </c>
      <c r="B341" s="103">
        <f>IF(LLM_Data_Entry!B339="","",LLM_Data_Entry!B339)</f>
        <v/>
      </c>
      <c r="C341" s="104">
        <f>IF(LLM_Data_Entry!C339="","",LLM_Data_Entry!C339)</f>
        <v/>
      </c>
      <c r="D341" s="103">
        <f>IF(LLM_Data_Entry!D339="","",LLM_Data_Entry!D339)</f>
        <v/>
      </c>
      <c r="E341" s="103">
        <f>IF(LLM_Data_Entry!V339="","",LLM_Data_Entry!V339)</f>
        <v/>
      </c>
      <c r="F341" s="103">
        <f>IF(LLM_Data_Entry!AS339="","",LLM_Data_Entry!AS339)</f>
        <v/>
      </c>
      <c r="G341" s="103">
        <f>IF(LLM_Data_Entry!AG339="","",LLM_Data_Entry!AG339)</f>
        <v/>
      </c>
      <c r="H341" s="103">
        <f>IF(LLM_Data_Entry!AT339="","",LLM_Data_Entry!AT339)</f>
        <v/>
      </c>
      <c r="I341" s="103">
        <f>IF(LLM_Data_Entry!AU339="","",LLM_Data_Entry!AU339)</f>
        <v/>
      </c>
      <c r="J341" s="103">
        <f>IF(LLM_Data_Entry!AH339="","",LLM_Data_Entry!AH339)</f>
        <v/>
      </c>
      <c r="K341" s="103">
        <f>IF(LLM_Data_Entry!AI339="","",LLM_Data_Entry!AI339)</f>
        <v/>
      </c>
      <c r="L341" s="103">
        <f>IF(LLM_Data_Entry!AJ339="","",LLM_Data_Entry!AJ339)</f>
        <v/>
      </c>
      <c r="M341" s="103">
        <f>IF(LLM_Data_Entry!AV339="","",LLM_Data_Entry!AV339)</f>
        <v/>
      </c>
      <c r="N341" s="103">
        <f>IF(LLM_Data_Entry!AW339="","",LLM_Data_Entry!AW339)</f>
        <v/>
      </c>
      <c r="O341" s="103">
        <f>IF(LLM_Data_Entry!AX339="","",LLM_Data_Entry!AX339)</f>
        <v/>
      </c>
      <c r="P341" s="103">
        <f>IF(LLM_Data_Entry!AY339="","",LLM_Data_Entry!AY339)</f>
        <v/>
      </c>
      <c r="Q341" s="103">
        <f>IF(LLM_Data_Entry!AZ339="","",LLM_Data_Entry!AZ339)</f>
        <v/>
      </c>
      <c r="R341" s="103">
        <f>IF(LLM_Data_Entry!AK339="","",LLM_Data_Entry!AK339)</f>
        <v/>
      </c>
      <c r="S341" s="103">
        <f>IF(LLM_Data_Entry!AL339="","",LLM_Data_Entry!AL339)</f>
        <v/>
      </c>
      <c r="T341" s="103">
        <f>IF(LLM_Data_Entry!BA339="","",LLM_Data_Entry!BA339)</f>
        <v/>
      </c>
      <c r="U341" s="103">
        <f>IF(LLM_Data_Entry!BB339="","",LLM_Data_Entry!BB339)</f>
        <v/>
      </c>
      <c r="V341" s="106">
        <f>IF(LLM_Data_Entry!O339="","",LLM_Data_Entry!O339)</f>
        <v/>
      </c>
    </row>
    <row r="342" ht="15" customHeight="1" s="241">
      <c r="A342" s="103">
        <f>IF(LLM_Data_Entry!A340="","",LLM_Data_Entry!A340)</f>
        <v/>
      </c>
      <c r="B342" s="103">
        <f>IF(LLM_Data_Entry!B340="","",LLM_Data_Entry!B340)</f>
        <v/>
      </c>
      <c r="C342" s="104">
        <f>IF(LLM_Data_Entry!C340="","",LLM_Data_Entry!C340)</f>
        <v/>
      </c>
      <c r="D342" s="103">
        <f>IF(LLM_Data_Entry!D340="","",LLM_Data_Entry!D340)</f>
        <v/>
      </c>
      <c r="E342" s="103">
        <f>IF(LLM_Data_Entry!V340="","",LLM_Data_Entry!V340)</f>
        <v/>
      </c>
      <c r="F342" s="103">
        <f>IF(LLM_Data_Entry!AS340="","",LLM_Data_Entry!AS340)</f>
        <v/>
      </c>
      <c r="G342" s="103">
        <f>IF(LLM_Data_Entry!AG340="","",LLM_Data_Entry!AG340)</f>
        <v/>
      </c>
      <c r="H342" s="103">
        <f>IF(LLM_Data_Entry!AT340="","",LLM_Data_Entry!AT340)</f>
        <v/>
      </c>
      <c r="I342" s="103">
        <f>IF(LLM_Data_Entry!AU340="","",LLM_Data_Entry!AU340)</f>
        <v/>
      </c>
      <c r="J342" s="103">
        <f>IF(LLM_Data_Entry!AH340="","",LLM_Data_Entry!AH340)</f>
        <v/>
      </c>
      <c r="K342" s="103">
        <f>IF(LLM_Data_Entry!AI340="","",LLM_Data_Entry!AI340)</f>
        <v/>
      </c>
      <c r="L342" s="103">
        <f>IF(LLM_Data_Entry!AJ340="","",LLM_Data_Entry!AJ340)</f>
        <v/>
      </c>
      <c r="M342" s="103">
        <f>IF(LLM_Data_Entry!AV340="","",LLM_Data_Entry!AV340)</f>
        <v/>
      </c>
      <c r="N342" s="103">
        <f>IF(LLM_Data_Entry!AW340="","",LLM_Data_Entry!AW340)</f>
        <v/>
      </c>
      <c r="O342" s="103">
        <f>IF(LLM_Data_Entry!AX340="","",LLM_Data_Entry!AX340)</f>
        <v/>
      </c>
      <c r="P342" s="103">
        <f>IF(LLM_Data_Entry!AY340="","",LLM_Data_Entry!AY340)</f>
        <v/>
      </c>
      <c r="Q342" s="103">
        <f>IF(LLM_Data_Entry!AZ340="","",LLM_Data_Entry!AZ340)</f>
        <v/>
      </c>
      <c r="R342" s="103">
        <f>IF(LLM_Data_Entry!AK340="","",LLM_Data_Entry!AK340)</f>
        <v/>
      </c>
      <c r="S342" s="103">
        <f>IF(LLM_Data_Entry!AL340="","",LLM_Data_Entry!AL340)</f>
        <v/>
      </c>
      <c r="T342" s="103">
        <f>IF(LLM_Data_Entry!BA340="","",LLM_Data_Entry!BA340)</f>
        <v/>
      </c>
      <c r="U342" s="103">
        <f>IF(LLM_Data_Entry!BB340="","",LLM_Data_Entry!BB340)</f>
        <v/>
      </c>
      <c r="V342" s="106">
        <f>IF(LLM_Data_Entry!O340="","",LLM_Data_Entry!O340)</f>
        <v/>
      </c>
    </row>
    <row r="343" ht="15" customHeight="1" s="241">
      <c r="A343" s="103">
        <f>IF(LLM_Data_Entry!A341="","",LLM_Data_Entry!A341)</f>
        <v/>
      </c>
      <c r="B343" s="103">
        <f>IF(LLM_Data_Entry!B341="","",LLM_Data_Entry!B341)</f>
        <v/>
      </c>
      <c r="C343" s="104">
        <f>IF(LLM_Data_Entry!C341="","",LLM_Data_Entry!C341)</f>
        <v/>
      </c>
      <c r="D343" s="103">
        <f>IF(LLM_Data_Entry!D341="","",LLM_Data_Entry!D341)</f>
        <v/>
      </c>
      <c r="E343" s="103">
        <f>IF(LLM_Data_Entry!V341="","",LLM_Data_Entry!V341)</f>
        <v/>
      </c>
      <c r="F343" s="103">
        <f>IF(LLM_Data_Entry!AS341="","",LLM_Data_Entry!AS341)</f>
        <v/>
      </c>
      <c r="G343" s="103">
        <f>IF(LLM_Data_Entry!AG341="","",LLM_Data_Entry!AG341)</f>
        <v/>
      </c>
      <c r="H343" s="103">
        <f>IF(LLM_Data_Entry!AT341="","",LLM_Data_Entry!AT341)</f>
        <v/>
      </c>
      <c r="I343" s="103">
        <f>IF(LLM_Data_Entry!AU341="","",LLM_Data_Entry!AU341)</f>
        <v/>
      </c>
      <c r="J343" s="103">
        <f>IF(LLM_Data_Entry!AH341="","",LLM_Data_Entry!AH341)</f>
        <v/>
      </c>
      <c r="K343" s="103">
        <f>IF(LLM_Data_Entry!AI341="","",LLM_Data_Entry!AI341)</f>
        <v/>
      </c>
      <c r="L343" s="103">
        <f>IF(LLM_Data_Entry!AJ341="","",LLM_Data_Entry!AJ341)</f>
        <v/>
      </c>
      <c r="M343" s="103">
        <f>IF(LLM_Data_Entry!AV341="","",LLM_Data_Entry!AV341)</f>
        <v/>
      </c>
      <c r="N343" s="103">
        <f>IF(LLM_Data_Entry!AW341="","",LLM_Data_Entry!AW341)</f>
        <v/>
      </c>
      <c r="O343" s="103">
        <f>IF(LLM_Data_Entry!AX341="","",LLM_Data_Entry!AX341)</f>
        <v/>
      </c>
      <c r="P343" s="103">
        <f>IF(LLM_Data_Entry!AY341="","",LLM_Data_Entry!AY341)</f>
        <v/>
      </c>
      <c r="Q343" s="103">
        <f>IF(LLM_Data_Entry!AZ341="","",LLM_Data_Entry!AZ341)</f>
        <v/>
      </c>
      <c r="R343" s="103">
        <f>IF(LLM_Data_Entry!AK341="","",LLM_Data_Entry!AK341)</f>
        <v/>
      </c>
      <c r="S343" s="103">
        <f>IF(LLM_Data_Entry!AL341="","",LLM_Data_Entry!AL341)</f>
        <v/>
      </c>
      <c r="T343" s="103">
        <f>IF(LLM_Data_Entry!BA341="","",LLM_Data_Entry!BA341)</f>
        <v/>
      </c>
      <c r="U343" s="103">
        <f>IF(LLM_Data_Entry!BB341="","",LLM_Data_Entry!BB341)</f>
        <v/>
      </c>
      <c r="V343" s="106">
        <f>IF(LLM_Data_Entry!O341="","",LLM_Data_Entry!O341)</f>
        <v/>
      </c>
    </row>
    <row r="344" ht="15" customHeight="1" s="241">
      <c r="A344" s="103">
        <f>IF(LLM_Data_Entry!A342="","",LLM_Data_Entry!A342)</f>
        <v/>
      </c>
      <c r="B344" s="103">
        <f>IF(LLM_Data_Entry!B342="","",LLM_Data_Entry!B342)</f>
        <v/>
      </c>
      <c r="C344" s="104">
        <f>IF(LLM_Data_Entry!C342="","",LLM_Data_Entry!C342)</f>
        <v/>
      </c>
      <c r="D344" s="103">
        <f>IF(LLM_Data_Entry!D342="","",LLM_Data_Entry!D342)</f>
        <v/>
      </c>
      <c r="E344" s="103">
        <f>IF(LLM_Data_Entry!V342="","",LLM_Data_Entry!V342)</f>
        <v/>
      </c>
      <c r="F344" s="103">
        <f>IF(LLM_Data_Entry!AS342="","",LLM_Data_Entry!AS342)</f>
        <v/>
      </c>
      <c r="G344" s="103">
        <f>IF(LLM_Data_Entry!AG342="","",LLM_Data_Entry!AG342)</f>
        <v/>
      </c>
      <c r="H344" s="103">
        <f>IF(LLM_Data_Entry!AT342="","",LLM_Data_Entry!AT342)</f>
        <v/>
      </c>
      <c r="I344" s="103">
        <f>IF(LLM_Data_Entry!AU342="","",LLM_Data_Entry!AU342)</f>
        <v/>
      </c>
      <c r="J344" s="103">
        <f>IF(LLM_Data_Entry!AH342="","",LLM_Data_Entry!AH342)</f>
        <v/>
      </c>
      <c r="K344" s="103">
        <f>IF(LLM_Data_Entry!AI342="","",LLM_Data_Entry!AI342)</f>
        <v/>
      </c>
      <c r="L344" s="103">
        <f>IF(LLM_Data_Entry!AJ342="","",LLM_Data_Entry!AJ342)</f>
        <v/>
      </c>
      <c r="M344" s="103">
        <f>IF(LLM_Data_Entry!AV342="","",LLM_Data_Entry!AV342)</f>
        <v/>
      </c>
      <c r="N344" s="103">
        <f>IF(LLM_Data_Entry!AW342="","",LLM_Data_Entry!AW342)</f>
        <v/>
      </c>
      <c r="O344" s="103">
        <f>IF(LLM_Data_Entry!AX342="","",LLM_Data_Entry!AX342)</f>
        <v/>
      </c>
      <c r="P344" s="103">
        <f>IF(LLM_Data_Entry!AY342="","",LLM_Data_Entry!AY342)</f>
        <v/>
      </c>
      <c r="Q344" s="103">
        <f>IF(LLM_Data_Entry!AZ342="","",LLM_Data_Entry!AZ342)</f>
        <v/>
      </c>
      <c r="R344" s="103">
        <f>IF(LLM_Data_Entry!AK342="","",LLM_Data_Entry!AK342)</f>
        <v/>
      </c>
      <c r="S344" s="103">
        <f>IF(LLM_Data_Entry!AL342="","",LLM_Data_Entry!AL342)</f>
        <v/>
      </c>
      <c r="T344" s="103">
        <f>IF(LLM_Data_Entry!BA342="","",LLM_Data_Entry!BA342)</f>
        <v/>
      </c>
      <c r="U344" s="103">
        <f>IF(LLM_Data_Entry!BB342="","",LLM_Data_Entry!BB342)</f>
        <v/>
      </c>
      <c r="V344" s="106">
        <f>IF(LLM_Data_Entry!O342="","",LLM_Data_Entry!O342)</f>
        <v/>
      </c>
    </row>
    <row r="345" ht="15" customHeight="1" s="241">
      <c r="A345" s="103">
        <f>IF(LLM_Data_Entry!A343="","",LLM_Data_Entry!A343)</f>
        <v/>
      </c>
      <c r="B345" s="103">
        <f>IF(LLM_Data_Entry!B343="","",LLM_Data_Entry!B343)</f>
        <v/>
      </c>
      <c r="C345" s="104">
        <f>IF(LLM_Data_Entry!C343="","",LLM_Data_Entry!C343)</f>
        <v/>
      </c>
      <c r="D345" s="103">
        <f>IF(LLM_Data_Entry!D343="","",LLM_Data_Entry!D343)</f>
        <v/>
      </c>
      <c r="E345" s="103">
        <f>IF(LLM_Data_Entry!V343="","",LLM_Data_Entry!V343)</f>
        <v/>
      </c>
      <c r="F345" s="103">
        <f>IF(LLM_Data_Entry!AS343="","",LLM_Data_Entry!AS343)</f>
        <v/>
      </c>
      <c r="G345" s="103">
        <f>IF(LLM_Data_Entry!AG343="","",LLM_Data_Entry!AG343)</f>
        <v/>
      </c>
      <c r="H345" s="103">
        <f>IF(LLM_Data_Entry!AT343="","",LLM_Data_Entry!AT343)</f>
        <v/>
      </c>
      <c r="I345" s="103">
        <f>IF(LLM_Data_Entry!AU343="","",LLM_Data_Entry!AU343)</f>
        <v/>
      </c>
      <c r="J345" s="103">
        <f>IF(LLM_Data_Entry!AH343="","",LLM_Data_Entry!AH343)</f>
        <v/>
      </c>
      <c r="K345" s="103">
        <f>IF(LLM_Data_Entry!AI343="","",LLM_Data_Entry!AI343)</f>
        <v/>
      </c>
      <c r="L345" s="103">
        <f>IF(LLM_Data_Entry!AJ343="","",LLM_Data_Entry!AJ343)</f>
        <v/>
      </c>
      <c r="M345" s="103">
        <f>IF(LLM_Data_Entry!AV343="","",LLM_Data_Entry!AV343)</f>
        <v/>
      </c>
      <c r="N345" s="103">
        <f>IF(LLM_Data_Entry!AW343="","",LLM_Data_Entry!AW343)</f>
        <v/>
      </c>
      <c r="O345" s="103">
        <f>IF(LLM_Data_Entry!AX343="","",LLM_Data_Entry!AX343)</f>
        <v/>
      </c>
      <c r="P345" s="103">
        <f>IF(LLM_Data_Entry!AY343="","",LLM_Data_Entry!AY343)</f>
        <v/>
      </c>
      <c r="Q345" s="103">
        <f>IF(LLM_Data_Entry!AZ343="","",LLM_Data_Entry!AZ343)</f>
        <v/>
      </c>
      <c r="R345" s="103">
        <f>IF(LLM_Data_Entry!AK343="","",LLM_Data_Entry!AK343)</f>
        <v/>
      </c>
      <c r="S345" s="103">
        <f>IF(LLM_Data_Entry!AL343="","",LLM_Data_Entry!AL343)</f>
        <v/>
      </c>
      <c r="T345" s="103">
        <f>IF(LLM_Data_Entry!BA343="","",LLM_Data_Entry!BA343)</f>
        <v/>
      </c>
      <c r="U345" s="103">
        <f>IF(LLM_Data_Entry!BB343="","",LLM_Data_Entry!BB343)</f>
        <v/>
      </c>
      <c r="V345" s="106">
        <f>IF(LLM_Data_Entry!O343="","",LLM_Data_Entry!O343)</f>
        <v/>
      </c>
    </row>
    <row r="346" ht="15" customHeight="1" s="241">
      <c r="A346" s="103">
        <f>IF(LLM_Data_Entry!A344="","",LLM_Data_Entry!A344)</f>
        <v/>
      </c>
      <c r="B346" s="103">
        <f>IF(LLM_Data_Entry!B344="","",LLM_Data_Entry!B344)</f>
        <v/>
      </c>
      <c r="C346" s="104">
        <f>IF(LLM_Data_Entry!C344="","",LLM_Data_Entry!C344)</f>
        <v/>
      </c>
      <c r="D346" s="103">
        <f>IF(LLM_Data_Entry!D344="","",LLM_Data_Entry!D344)</f>
        <v/>
      </c>
      <c r="E346" s="103">
        <f>IF(LLM_Data_Entry!V344="","",LLM_Data_Entry!V344)</f>
        <v/>
      </c>
      <c r="F346" s="103">
        <f>IF(LLM_Data_Entry!AS344="","",LLM_Data_Entry!AS344)</f>
        <v/>
      </c>
      <c r="G346" s="103">
        <f>IF(LLM_Data_Entry!AG344="","",LLM_Data_Entry!AG344)</f>
        <v/>
      </c>
      <c r="H346" s="103">
        <f>IF(LLM_Data_Entry!AT344="","",LLM_Data_Entry!AT344)</f>
        <v/>
      </c>
      <c r="I346" s="103">
        <f>IF(LLM_Data_Entry!AU344="","",LLM_Data_Entry!AU344)</f>
        <v/>
      </c>
      <c r="J346" s="103">
        <f>IF(LLM_Data_Entry!AH344="","",LLM_Data_Entry!AH344)</f>
        <v/>
      </c>
      <c r="K346" s="103">
        <f>IF(LLM_Data_Entry!AI344="","",LLM_Data_Entry!AI344)</f>
        <v/>
      </c>
      <c r="L346" s="103">
        <f>IF(LLM_Data_Entry!AJ344="","",LLM_Data_Entry!AJ344)</f>
        <v/>
      </c>
      <c r="M346" s="103">
        <f>IF(LLM_Data_Entry!AV344="","",LLM_Data_Entry!AV344)</f>
        <v/>
      </c>
      <c r="N346" s="103">
        <f>IF(LLM_Data_Entry!AW344="","",LLM_Data_Entry!AW344)</f>
        <v/>
      </c>
      <c r="O346" s="103">
        <f>IF(LLM_Data_Entry!AX344="","",LLM_Data_Entry!AX344)</f>
        <v/>
      </c>
      <c r="P346" s="103">
        <f>IF(LLM_Data_Entry!AY344="","",LLM_Data_Entry!AY344)</f>
        <v/>
      </c>
      <c r="Q346" s="103">
        <f>IF(LLM_Data_Entry!AZ344="","",LLM_Data_Entry!AZ344)</f>
        <v/>
      </c>
      <c r="R346" s="103">
        <f>IF(LLM_Data_Entry!AK344="","",LLM_Data_Entry!AK344)</f>
        <v/>
      </c>
      <c r="S346" s="103">
        <f>IF(LLM_Data_Entry!AL344="","",LLM_Data_Entry!AL344)</f>
        <v/>
      </c>
      <c r="T346" s="103">
        <f>IF(LLM_Data_Entry!BA344="","",LLM_Data_Entry!BA344)</f>
        <v/>
      </c>
      <c r="U346" s="103">
        <f>IF(LLM_Data_Entry!BB344="","",LLM_Data_Entry!BB344)</f>
        <v/>
      </c>
      <c r="V346" s="106">
        <f>IF(LLM_Data_Entry!O344="","",LLM_Data_Entry!O344)</f>
        <v/>
      </c>
    </row>
    <row r="347" ht="15" customHeight="1" s="241">
      <c r="A347" s="103">
        <f>IF(LLM_Data_Entry!A345="","",LLM_Data_Entry!A345)</f>
        <v/>
      </c>
      <c r="B347" s="103">
        <f>IF(LLM_Data_Entry!B345="","",LLM_Data_Entry!B345)</f>
        <v/>
      </c>
      <c r="C347" s="104">
        <f>IF(LLM_Data_Entry!C345="","",LLM_Data_Entry!C345)</f>
        <v/>
      </c>
      <c r="D347" s="103">
        <f>IF(LLM_Data_Entry!D345="","",LLM_Data_Entry!D345)</f>
        <v/>
      </c>
      <c r="E347" s="103">
        <f>IF(LLM_Data_Entry!V345="","",LLM_Data_Entry!V345)</f>
        <v/>
      </c>
      <c r="F347" s="103">
        <f>IF(LLM_Data_Entry!AS345="","",LLM_Data_Entry!AS345)</f>
        <v/>
      </c>
      <c r="G347" s="103">
        <f>IF(LLM_Data_Entry!AG345="","",LLM_Data_Entry!AG345)</f>
        <v/>
      </c>
      <c r="H347" s="103">
        <f>IF(LLM_Data_Entry!AT345="","",LLM_Data_Entry!AT345)</f>
        <v/>
      </c>
      <c r="I347" s="103">
        <f>IF(LLM_Data_Entry!AU345="","",LLM_Data_Entry!AU345)</f>
        <v/>
      </c>
      <c r="J347" s="103">
        <f>IF(LLM_Data_Entry!AH345="","",LLM_Data_Entry!AH345)</f>
        <v/>
      </c>
      <c r="K347" s="103">
        <f>IF(LLM_Data_Entry!AI345="","",LLM_Data_Entry!AI345)</f>
        <v/>
      </c>
      <c r="L347" s="103">
        <f>IF(LLM_Data_Entry!AJ345="","",LLM_Data_Entry!AJ345)</f>
        <v/>
      </c>
      <c r="M347" s="103">
        <f>IF(LLM_Data_Entry!AV345="","",LLM_Data_Entry!AV345)</f>
        <v/>
      </c>
      <c r="N347" s="103">
        <f>IF(LLM_Data_Entry!AW345="","",LLM_Data_Entry!AW345)</f>
        <v/>
      </c>
      <c r="O347" s="103">
        <f>IF(LLM_Data_Entry!AX345="","",LLM_Data_Entry!AX345)</f>
        <v/>
      </c>
      <c r="P347" s="103">
        <f>IF(LLM_Data_Entry!AY345="","",LLM_Data_Entry!AY345)</f>
        <v/>
      </c>
      <c r="Q347" s="103">
        <f>IF(LLM_Data_Entry!AZ345="","",LLM_Data_Entry!AZ345)</f>
        <v/>
      </c>
      <c r="R347" s="103">
        <f>IF(LLM_Data_Entry!AK345="","",LLM_Data_Entry!AK345)</f>
        <v/>
      </c>
      <c r="S347" s="103">
        <f>IF(LLM_Data_Entry!AL345="","",LLM_Data_Entry!AL345)</f>
        <v/>
      </c>
      <c r="T347" s="103">
        <f>IF(LLM_Data_Entry!BA345="","",LLM_Data_Entry!BA345)</f>
        <v/>
      </c>
      <c r="U347" s="103">
        <f>IF(LLM_Data_Entry!BB345="","",LLM_Data_Entry!BB345)</f>
        <v/>
      </c>
      <c r="V347" s="106">
        <f>IF(LLM_Data_Entry!O345="","",LLM_Data_Entry!O345)</f>
        <v/>
      </c>
    </row>
    <row r="348" ht="15" customHeight="1" s="241">
      <c r="A348" s="103">
        <f>IF(LLM_Data_Entry!A346="","",LLM_Data_Entry!A346)</f>
        <v/>
      </c>
      <c r="B348" s="103">
        <f>IF(LLM_Data_Entry!B346="","",LLM_Data_Entry!B346)</f>
        <v/>
      </c>
      <c r="C348" s="104">
        <f>IF(LLM_Data_Entry!C346="","",LLM_Data_Entry!C346)</f>
        <v/>
      </c>
      <c r="D348" s="103">
        <f>IF(LLM_Data_Entry!D346="","",LLM_Data_Entry!D346)</f>
        <v/>
      </c>
      <c r="E348" s="103">
        <f>IF(LLM_Data_Entry!V346="","",LLM_Data_Entry!V346)</f>
        <v/>
      </c>
      <c r="F348" s="103">
        <f>IF(LLM_Data_Entry!AS346="","",LLM_Data_Entry!AS346)</f>
        <v/>
      </c>
      <c r="G348" s="103">
        <f>IF(LLM_Data_Entry!AG346="","",LLM_Data_Entry!AG346)</f>
        <v/>
      </c>
      <c r="H348" s="103">
        <f>IF(LLM_Data_Entry!AT346="","",LLM_Data_Entry!AT346)</f>
        <v/>
      </c>
      <c r="I348" s="103">
        <f>IF(LLM_Data_Entry!AU346="","",LLM_Data_Entry!AU346)</f>
        <v/>
      </c>
      <c r="J348" s="103">
        <f>IF(LLM_Data_Entry!AH346="","",LLM_Data_Entry!AH346)</f>
        <v/>
      </c>
      <c r="K348" s="103">
        <f>IF(LLM_Data_Entry!AI346="","",LLM_Data_Entry!AI346)</f>
        <v/>
      </c>
      <c r="L348" s="103">
        <f>IF(LLM_Data_Entry!AJ346="","",LLM_Data_Entry!AJ346)</f>
        <v/>
      </c>
      <c r="M348" s="103">
        <f>IF(LLM_Data_Entry!AV346="","",LLM_Data_Entry!AV346)</f>
        <v/>
      </c>
      <c r="N348" s="103">
        <f>IF(LLM_Data_Entry!AW346="","",LLM_Data_Entry!AW346)</f>
        <v/>
      </c>
      <c r="O348" s="103">
        <f>IF(LLM_Data_Entry!AX346="","",LLM_Data_Entry!AX346)</f>
        <v/>
      </c>
      <c r="P348" s="103">
        <f>IF(LLM_Data_Entry!AY346="","",LLM_Data_Entry!AY346)</f>
        <v/>
      </c>
      <c r="Q348" s="103">
        <f>IF(LLM_Data_Entry!AZ346="","",LLM_Data_Entry!AZ346)</f>
        <v/>
      </c>
      <c r="R348" s="103">
        <f>IF(LLM_Data_Entry!AK346="","",LLM_Data_Entry!AK346)</f>
        <v/>
      </c>
      <c r="S348" s="103">
        <f>IF(LLM_Data_Entry!AL346="","",LLM_Data_Entry!AL346)</f>
        <v/>
      </c>
      <c r="T348" s="103">
        <f>IF(LLM_Data_Entry!BA346="","",LLM_Data_Entry!BA346)</f>
        <v/>
      </c>
      <c r="U348" s="103">
        <f>IF(LLM_Data_Entry!BB346="","",LLM_Data_Entry!BB346)</f>
        <v/>
      </c>
      <c r="V348" s="106">
        <f>IF(LLM_Data_Entry!O346="","",LLM_Data_Entry!O346)</f>
        <v/>
      </c>
    </row>
    <row r="349" ht="15" customHeight="1" s="241">
      <c r="A349" s="103">
        <f>IF(LLM_Data_Entry!A347="","",LLM_Data_Entry!A347)</f>
        <v/>
      </c>
      <c r="B349" s="103">
        <f>IF(LLM_Data_Entry!B347="","",LLM_Data_Entry!B347)</f>
        <v/>
      </c>
      <c r="C349" s="104">
        <f>IF(LLM_Data_Entry!C347="","",LLM_Data_Entry!C347)</f>
        <v/>
      </c>
      <c r="D349" s="103">
        <f>IF(LLM_Data_Entry!D347="","",LLM_Data_Entry!D347)</f>
        <v/>
      </c>
      <c r="E349" s="103">
        <f>IF(LLM_Data_Entry!V347="","",LLM_Data_Entry!V347)</f>
        <v/>
      </c>
      <c r="F349" s="103">
        <f>IF(LLM_Data_Entry!AS347="","",LLM_Data_Entry!AS347)</f>
        <v/>
      </c>
      <c r="G349" s="103">
        <f>IF(LLM_Data_Entry!AG347="","",LLM_Data_Entry!AG347)</f>
        <v/>
      </c>
      <c r="H349" s="103">
        <f>IF(LLM_Data_Entry!AT347="","",LLM_Data_Entry!AT347)</f>
        <v/>
      </c>
      <c r="I349" s="103">
        <f>IF(LLM_Data_Entry!AU347="","",LLM_Data_Entry!AU347)</f>
        <v/>
      </c>
      <c r="J349" s="103">
        <f>IF(LLM_Data_Entry!AH347="","",LLM_Data_Entry!AH347)</f>
        <v/>
      </c>
      <c r="K349" s="103">
        <f>IF(LLM_Data_Entry!AI347="","",LLM_Data_Entry!AI347)</f>
        <v/>
      </c>
      <c r="L349" s="103">
        <f>IF(LLM_Data_Entry!AJ347="","",LLM_Data_Entry!AJ347)</f>
        <v/>
      </c>
      <c r="M349" s="103">
        <f>IF(LLM_Data_Entry!AV347="","",LLM_Data_Entry!AV347)</f>
        <v/>
      </c>
      <c r="N349" s="103">
        <f>IF(LLM_Data_Entry!AW347="","",LLM_Data_Entry!AW347)</f>
        <v/>
      </c>
      <c r="O349" s="103">
        <f>IF(LLM_Data_Entry!AX347="","",LLM_Data_Entry!AX347)</f>
        <v/>
      </c>
      <c r="P349" s="103">
        <f>IF(LLM_Data_Entry!AY347="","",LLM_Data_Entry!AY347)</f>
        <v/>
      </c>
      <c r="Q349" s="103">
        <f>IF(LLM_Data_Entry!AZ347="","",LLM_Data_Entry!AZ347)</f>
        <v/>
      </c>
      <c r="R349" s="103">
        <f>IF(LLM_Data_Entry!AK347="","",LLM_Data_Entry!AK347)</f>
        <v/>
      </c>
      <c r="S349" s="103">
        <f>IF(LLM_Data_Entry!AL347="","",LLM_Data_Entry!AL347)</f>
        <v/>
      </c>
      <c r="T349" s="103">
        <f>IF(LLM_Data_Entry!BA347="","",LLM_Data_Entry!BA347)</f>
        <v/>
      </c>
      <c r="U349" s="103">
        <f>IF(LLM_Data_Entry!BB347="","",LLM_Data_Entry!BB347)</f>
        <v/>
      </c>
      <c r="V349" s="106">
        <f>IF(LLM_Data_Entry!O347="","",LLM_Data_Entry!O347)</f>
        <v/>
      </c>
    </row>
    <row r="350" ht="15" customHeight="1" s="241">
      <c r="A350" s="103">
        <f>IF(LLM_Data_Entry!A348="","",LLM_Data_Entry!A348)</f>
        <v/>
      </c>
      <c r="B350" s="103">
        <f>IF(LLM_Data_Entry!B348="","",LLM_Data_Entry!B348)</f>
        <v/>
      </c>
      <c r="C350" s="104">
        <f>IF(LLM_Data_Entry!C348="","",LLM_Data_Entry!C348)</f>
        <v/>
      </c>
      <c r="D350" s="103">
        <f>IF(LLM_Data_Entry!D348="","",LLM_Data_Entry!D348)</f>
        <v/>
      </c>
      <c r="E350" s="103">
        <f>IF(LLM_Data_Entry!V348="","",LLM_Data_Entry!V348)</f>
        <v/>
      </c>
      <c r="F350" s="103">
        <f>IF(LLM_Data_Entry!AS348="","",LLM_Data_Entry!AS348)</f>
        <v/>
      </c>
      <c r="G350" s="103">
        <f>IF(LLM_Data_Entry!AG348="","",LLM_Data_Entry!AG348)</f>
        <v/>
      </c>
      <c r="H350" s="103">
        <f>IF(LLM_Data_Entry!AT348="","",LLM_Data_Entry!AT348)</f>
        <v/>
      </c>
      <c r="I350" s="103">
        <f>IF(LLM_Data_Entry!AU348="","",LLM_Data_Entry!AU348)</f>
        <v/>
      </c>
      <c r="J350" s="103">
        <f>IF(LLM_Data_Entry!AH348="","",LLM_Data_Entry!AH348)</f>
        <v/>
      </c>
      <c r="K350" s="103">
        <f>IF(LLM_Data_Entry!AI348="","",LLM_Data_Entry!AI348)</f>
        <v/>
      </c>
      <c r="L350" s="103">
        <f>IF(LLM_Data_Entry!AJ348="","",LLM_Data_Entry!AJ348)</f>
        <v/>
      </c>
      <c r="M350" s="103">
        <f>IF(LLM_Data_Entry!AV348="","",LLM_Data_Entry!AV348)</f>
        <v/>
      </c>
      <c r="N350" s="103">
        <f>IF(LLM_Data_Entry!AW348="","",LLM_Data_Entry!AW348)</f>
        <v/>
      </c>
      <c r="O350" s="103">
        <f>IF(LLM_Data_Entry!AX348="","",LLM_Data_Entry!AX348)</f>
        <v/>
      </c>
      <c r="P350" s="103">
        <f>IF(LLM_Data_Entry!AY348="","",LLM_Data_Entry!AY348)</f>
        <v/>
      </c>
      <c r="Q350" s="103">
        <f>IF(LLM_Data_Entry!AZ348="","",LLM_Data_Entry!AZ348)</f>
        <v/>
      </c>
      <c r="R350" s="103">
        <f>IF(LLM_Data_Entry!AK348="","",LLM_Data_Entry!AK348)</f>
        <v/>
      </c>
      <c r="S350" s="103">
        <f>IF(LLM_Data_Entry!AL348="","",LLM_Data_Entry!AL348)</f>
        <v/>
      </c>
      <c r="T350" s="103">
        <f>IF(LLM_Data_Entry!BA348="","",LLM_Data_Entry!BA348)</f>
        <v/>
      </c>
      <c r="U350" s="103">
        <f>IF(LLM_Data_Entry!BB348="","",LLM_Data_Entry!BB348)</f>
        <v/>
      </c>
      <c r="V350" s="106">
        <f>IF(LLM_Data_Entry!O348="","",LLM_Data_Entry!O348)</f>
        <v/>
      </c>
    </row>
    <row r="351" ht="15" customHeight="1" s="241">
      <c r="A351" s="103">
        <f>IF(LLM_Data_Entry!A349="","",LLM_Data_Entry!A349)</f>
        <v/>
      </c>
      <c r="B351" s="103">
        <f>IF(LLM_Data_Entry!B349="","",LLM_Data_Entry!B349)</f>
        <v/>
      </c>
      <c r="C351" s="104">
        <f>IF(LLM_Data_Entry!C349="","",LLM_Data_Entry!C349)</f>
        <v/>
      </c>
      <c r="D351" s="103">
        <f>IF(LLM_Data_Entry!D349="","",LLM_Data_Entry!D349)</f>
        <v/>
      </c>
      <c r="E351" s="103">
        <f>IF(LLM_Data_Entry!V349="","",LLM_Data_Entry!V349)</f>
        <v/>
      </c>
      <c r="F351" s="103">
        <f>IF(LLM_Data_Entry!AS349="","",LLM_Data_Entry!AS349)</f>
        <v/>
      </c>
      <c r="G351" s="103">
        <f>IF(LLM_Data_Entry!AG349="","",LLM_Data_Entry!AG349)</f>
        <v/>
      </c>
      <c r="H351" s="103">
        <f>IF(LLM_Data_Entry!AT349="","",LLM_Data_Entry!AT349)</f>
        <v/>
      </c>
      <c r="I351" s="103">
        <f>IF(LLM_Data_Entry!AU349="","",LLM_Data_Entry!AU349)</f>
        <v/>
      </c>
      <c r="J351" s="103">
        <f>IF(LLM_Data_Entry!AH349="","",LLM_Data_Entry!AH349)</f>
        <v/>
      </c>
      <c r="K351" s="103">
        <f>IF(LLM_Data_Entry!AI349="","",LLM_Data_Entry!AI349)</f>
        <v/>
      </c>
      <c r="L351" s="103">
        <f>IF(LLM_Data_Entry!AJ349="","",LLM_Data_Entry!AJ349)</f>
        <v/>
      </c>
      <c r="M351" s="103">
        <f>IF(LLM_Data_Entry!AV349="","",LLM_Data_Entry!AV349)</f>
        <v/>
      </c>
      <c r="N351" s="103">
        <f>IF(LLM_Data_Entry!AW349="","",LLM_Data_Entry!AW349)</f>
        <v/>
      </c>
      <c r="O351" s="103">
        <f>IF(LLM_Data_Entry!AX349="","",LLM_Data_Entry!AX349)</f>
        <v/>
      </c>
      <c r="P351" s="103">
        <f>IF(LLM_Data_Entry!AY349="","",LLM_Data_Entry!AY349)</f>
        <v/>
      </c>
      <c r="Q351" s="103">
        <f>IF(LLM_Data_Entry!AZ349="","",LLM_Data_Entry!AZ349)</f>
        <v/>
      </c>
      <c r="R351" s="103">
        <f>IF(LLM_Data_Entry!AK349="","",LLM_Data_Entry!AK349)</f>
        <v/>
      </c>
      <c r="S351" s="103">
        <f>IF(LLM_Data_Entry!AL349="","",LLM_Data_Entry!AL349)</f>
        <v/>
      </c>
      <c r="T351" s="103">
        <f>IF(LLM_Data_Entry!BA349="","",LLM_Data_Entry!BA349)</f>
        <v/>
      </c>
      <c r="U351" s="103">
        <f>IF(LLM_Data_Entry!BB349="","",LLM_Data_Entry!BB349)</f>
        <v/>
      </c>
      <c r="V351" s="106">
        <f>IF(LLM_Data_Entry!O349="","",LLM_Data_Entry!O349)</f>
        <v/>
      </c>
    </row>
    <row r="352" ht="15" customHeight="1" s="241">
      <c r="A352" s="103">
        <f>IF(LLM_Data_Entry!A350="","",LLM_Data_Entry!A350)</f>
        <v/>
      </c>
      <c r="B352" s="103">
        <f>IF(LLM_Data_Entry!B350="","",LLM_Data_Entry!B350)</f>
        <v/>
      </c>
      <c r="C352" s="104">
        <f>IF(LLM_Data_Entry!C350="","",LLM_Data_Entry!C350)</f>
        <v/>
      </c>
      <c r="D352" s="103">
        <f>IF(LLM_Data_Entry!D350="","",LLM_Data_Entry!D350)</f>
        <v/>
      </c>
      <c r="E352" s="103">
        <f>IF(LLM_Data_Entry!V350="","",LLM_Data_Entry!V350)</f>
        <v/>
      </c>
      <c r="F352" s="103">
        <f>IF(LLM_Data_Entry!AS350="","",LLM_Data_Entry!AS350)</f>
        <v/>
      </c>
      <c r="G352" s="103">
        <f>IF(LLM_Data_Entry!AG350="","",LLM_Data_Entry!AG350)</f>
        <v/>
      </c>
      <c r="H352" s="103">
        <f>IF(LLM_Data_Entry!AT350="","",LLM_Data_Entry!AT350)</f>
        <v/>
      </c>
      <c r="I352" s="103">
        <f>IF(LLM_Data_Entry!AU350="","",LLM_Data_Entry!AU350)</f>
        <v/>
      </c>
      <c r="J352" s="103">
        <f>IF(LLM_Data_Entry!AH350="","",LLM_Data_Entry!AH350)</f>
        <v/>
      </c>
      <c r="K352" s="103">
        <f>IF(LLM_Data_Entry!AI350="","",LLM_Data_Entry!AI350)</f>
        <v/>
      </c>
      <c r="L352" s="103">
        <f>IF(LLM_Data_Entry!AJ350="","",LLM_Data_Entry!AJ350)</f>
        <v/>
      </c>
      <c r="M352" s="103">
        <f>IF(LLM_Data_Entry!AV350="","",LLM_Data_Entry!AV350)</f>
        <v/>
      </c>
      <c r="N352" s="103">
        <f>IF(LLM_Data_Entry!AW350="","",LLM_Data_Entry!AW350)</f>
        <v/>
      </c>
      <c r="O352" s="103">
        <f>IF(LLM_Data_Entry!AX350="","",LLM_Data_Entry!AX350)</f>
        <v/>
      </c>
      <c r="P352" s="103">
        <f>IF(LLM_Data_Entry!AY350="","",LLM_Data_Entry!AY350)</f>
        <v/>
      </c>
      <c r="Q352" s="103">
        <f>IF(LLM_Data_Entry!AZ350="","",LLM_Data_Entry!AZ350)</f>
        <v/>
      </c>
      <c r="R352" s="103">
        <f>IF(LLM_Data_Entry!AK350="","",LLM_Data_Entry!AK350)</f>
        <v/>
      </c>
      <c r="S352" s="103">
        <f>IF(LLM_Data_Entry!AL350="","",LLM_Data_Entry!AL350)</f>
        <v/>
      </c>
      <c r="T352" s="103">
        <f>IF(LLM_Data_Entry!BA350="","",LLM_Data_Entry!BA350)</f>
        <v/>
      </c>
      <c r="U352" s="103">
        <f>IF(LLM_Data_Entry!BB350="","",LLM_Data_Entry!BB350)</f>
        <v/>
      </c>
      <c r="V352" s="106">
        <f>IF(LLM_Data_Entry!O350="","",LLM_Data_Entry!O350)</f>
        <v/>
      </c>
    </row>
    <row r="353" ht="15" customHeight="1" s="241">
      <c r="A353" s="103">
        <f>IF(LLM_Data_Entry!A351="","",LLM_Data_Entry!A351)</f>
        <v/>
      </c>
      <c r="B353" s="103">
        <f>IF(LLM_Data_Entry!B351="","",LLM_Data_Entry!B351)</f>
        <v/>
      </c>
      <c r="C353" s="104">
        <f>IF(LLM_Data_Entry!C351="","",LLM_Data_Entry!C351)</f>
        <v/>
      </c>
      <c r="D353" s="103">
        <f>IF(LLM_Data_Entry!D351="","",LLM_Data_Entry!D351)</f>
        <v/>
      </c>
      <c r="E353" s="103">
        <f>IF(LLM_Data_Entry!V351="","",LLM_Data_Entry!V351)</f>
        <v/>
      </c>
      <c r="F353" s="103">
        <f>IF(LLM_Data_Entry!AS351="","",LLM_Data_Entry!AS351)</f>
        <v/>
      </c>
      <c r="G353" s="103">
        <f>IF(LLM_Data_Entry!AG351="","",LLM_Data_Entry!AG351)</f>
        <v/>
      </c>
      <c r="H353" s="103">
        <f>IF(LLM_Data_Entry!AT351="","",LLM_Data_Entry!AT351)</f>
        <v/>
      </c>
      <c r="I353" s="103">
        <f>IF(LLM_Data_Entry!AU351="","",LLM_Data_Entry!AU351)</f>
        <v/>
      </c>
      <c r="J353" s="103">
        <f>IF(LLM_Data_Entry!AH351="","",LLM_Data_Entry!AH351)</f>
        <v/>
      </c>
      <c r="K353" s="103">
        <f>IF(LLM_Data_Entry!AI351="","",LLM_Data_Entry!AI351)</f>
        <v/>
      </c>
      <c r="L353" s="103">
        <f>IF(LLM_Data_Entry!AJ351="","",LLM_Data_Entry!AJ351)</f>
        <v/>
      </c>
      <c r="M353" s="103">
        <f>IF(LLM_Data_Entry!AV351="","",LLM_Data_Entry!AV351)</f>
        <v/>
      </c>
      <c r="N353" s="103">
        <f>IF(LLM_Data_Entry!AW351="","",LLM_Data_Entry!AW351)</f>
        <v/>
      </c>
      <c r="O353" s="103">
        <f>IF(LLM_Data_Entry!AX351="","",LLM_Data_Entry!AX351)</f>
        <v/>
      </c>
      <c r="P353" s="103">
        <f>IF(LLM_Data_Entry!AY351="","",LLM_Data_Entry!AY351)</f>
        <v/>
      </c>
      <c r="Q353" s="103">
        <f>IF(LLM_Data_Entry!AZ351="","",LLM_Data_Entry!AZ351)</f>
        <v/>
      </c>
      <c r="R353" s="103">
        <f>IF(LLM_Data_Entry!AK351="","",LLM_Data_Entry!AK351)</f>
        <v/>
      </c>
      <c r="S353" s="103">
        <f>IF(LLM_Data_Entry!AL351="","",LLM_Data_Entry!AL351)</f>
        <v/>
      </c>
      <c r="T353" s="103">
        <f>IF(LLM_Data_Entry!BA351="","",LLM_Data_Entry!BA351)</f>
        <v/>
      </c>
      <c r="U353" s="103">
        <f>IF(LLM_Data_Entry!BB351="","",LLM_Data_Entry!BB351)</f>
        <v/>
      </c>
      <c r="V353" s="106">
        <f>IF(LLM_Data_Entry!O351="","",LLM_Data_Entry!O351)</f>
        <v/>
      </c>
    </row>
    <row r="354" ht="15" customHeight="1" s="241">
      <c r="A354" s="103">
        <f>IF(LLM_Data_Entry!A352="","",LLM_Data_Entry!A352)</f>
        <v/>
      </c>
      <c r="B354" s="103">
        <f>IF(LLM_Data_Entry!B352="","",LLM_Data_Entry!B352)</f>
        <v/>
      </c>
      <c r="C354" s="104">
        <f>IF(LLM_Data_Entry!C352="","",LLM_Data_Entry!C352)</f>
        <v/>
      </c>
      <c r="D354" s="103">
        <f>IF(LLM_Data_Entry!D352="","",LLM_Data_Entry!D352)</f>
        <v/>
      </c>
      <c r="E354" s="103">
        <f>IF(LLM_Data_Entry!V352="","",LLM_Data_Entry!V352)</f>
        <v/>
      </c>
      <c r="F354" s="103">
        <f>IF(LLM_Data_Entry!AS352="","",LLM_Data_Entry!AS352)</f>
        <v/>
      </c>
      <c r="G354" s="103">
        <f>IF(LLM_Data_Entry!AG352="","",LLM_Data_Entry!AG352)</f>
        <v/>
      </c>
      <c r="H354" s="103">
        <f>IF(LLM_Data_Entry!AT352="","",LLM_Data_Entry!AT352)</f>
        <v/>
      </c>
      <c r="I354" s="103">
        <f>IF(LLM_Data_Entry!AU352="","",LLM_Data_Entry!AU352)</f>
        <v/>
      </c>
      <c r="J354" s="103">
        <f>IF(LLM_Data_Entry!AH352="","",LLM_Data_Entry!AH352)</f>
        <v/>
      </c>
      <c r="K354" s="103">
        <f>IF(LLM_Data_Entry!AI352="","",LLM_Data_Entry!AI352)</f>
        <v/>
      </c>
      <c r="L354" s="103">
        <f>IF(LLM_Data_Entry!AJ352="","",LLM_Data_Entry!AJ352)</f>
        <v/>
      </c>
      <c r="M354" s="103">
        <f>IF(LLM_Data_Entry!AV352="","",LLM_Data_Entry!AV352)</f>
        <v/>
      </c>
      <c r="N354" s="103">
        <f>IF(LLM_Data_Entry!AW352="","",LLM_Data_Entry!AW352)</f>
        <v/>
      </c>
      <c r="O354" s="103">
        <f>IF(LLM_Data_Entry!AX352="","",LLM_Data_Entry!AX352)</f>
        <v/>
      </c>
      <c r="P354" s="103">
        <f>IF(LLM_Data_Entry!AY352="","",LLM_Data_Entry!AY352)</f>
        <v/>
      </c>
      <c r="Q354" s="103">
        <f>IF(LLM_Data_Entry!AZ352="","",LLM_Data_Entry!AZ352)</f>
        <v/>
      </c>
      <c r="R354" s="103">
        <f>IF(LLM_Data_Entry!AK352="","",LLM_Data_Entry!AK352)</f>
        <v/>
      </c>
      <c r="S354" s="103">
        <f>IF(LLM_Data_Entry!AL352="","",LLM_Data_Entry!AL352)</f>
        <v/>
      </c>
      <c r="T354" s="103">
        <f>IF(LLM_Data_Entry!BA352="","",LLM_Data_Entry!BA352)</f>
        <v/>
      </c>
      <c r="U354" s="103">
        <f>IF(LLM_Data_Entry!BB352="","",LLM_Data_Entry!BB352)</f>
        <v/>
      </c>
      <c r="V354" s="106">
        <f>IF(LLM_Data_Entry!O352="","",LLM_Data_Entry!O352)</f>
        <v/>
      </c>
    </row>
    <row r="355" ht="15" customHeight="1" s="241">
      <c r="A355" s="103">
        <f>IF(LLM_Data_Entry!A353="","",LLM_Data_Entry!A353)</f>
        <v/>
      </c>
      <c r="B355" s="103">
        <f>IF(LLM_Data_Entry!B353="","",LLM_Data_Entry!B353)</f>
        <v/>
      </c>
      <c r="C355" s="104">
        <f>IF(LLM_Data_Entry!C353="","",LLM_Data_Entry!C353)</f>
        <v/>
      </c>
      <c r="D355" s="103">
        <f>IF(LLM_Data_Entry!D353="","",LLM_Data_Entry!D353)</f>
        <v/>
      </c>
      <c r="E355" s="103">
        <f>IF(LLM_Data_Entry!V353="","",LLM_Data_Entry!V353)</f>
        <v/>
      </c>
      <c r="F355" s="103">
        <f>IF(LLM_Data_Entry!AS353="","",LLM_Data_Entry!AS353)</f>
        <v/>
      </c>
      <c r="G355" s="103">
        <f>IF(LLM_Data_Entry!AG353="","",LLM_Data_Entry!AG353)</f>
        <v/>
      </c>
      <c r="H355" s="103">
        <f>IF(LLM_Data_Entry!AT353="","",LLM_Data_Entry!AT353)</f>
        <v/>
      </c>
      <c r="I355" s="103">
        <f>IF(LLM_Data_Entry!AU353="","",LLM_Data_Entry!AU353)</f>
        <v/>
      </c>
      <c r="J355" s="103">
        <f>IF(LLM_Data_Entry!AH353="","",LLM_Data_Entry!AH353)</f>
        <v/>
      </c>
      <c r="K355" s="103">
        <f>IF(LLM_Data_Entry!AI353="","",LLM_Data_Entry!AI353)</f>
        <v/>
      </c>
      <c r="L355" s="103">
        <f>IF(LLM_Data_Entry!AJ353="","",LLM_Data_Entry!AJ353)</f>
        <v/>
      </c>
      <c r="M355" s="103">
        <f>IF(LLM_Data_Entry!AV353="","",LLM_Data_Entry!AV353)</f>
        <v/>
      </c>
      <c r="N355" s="103">
        <f>IF(LLM_Data_Entry!AW353="","",LLM_Data_Entry!AW353)</f>
        <v/>
      </c>
      <c r="O355" s="103">
        <f>IF(LLM_Data_Entry!AX353="","",LLM_Data_Entry!AX353)</f>
        <v/>
      </c>
      <c r="P355" s="103">
        <f>IF(LLM_Data_Entry!AY353="","",LLM_Data_Entry!AY353)</f>
        <v/>
      </c>
      <c r="Q355" s="103">
        <f>IF(LLM_Data_Entry!AZ353="","",LLM_Data_Entry!AZ353)</f>
        <v/>
      </c>
      <c r="R355" s="103">
        <f>IF(LLM_Data_Entry!AK353="","",LLM_Data_Entry!AK353)</f>
        <v/>
      </c>
      <c r="S355" s="103">
        <f>IF(LLM_Data_Entry!AL353="","",LLM_Data_Entry!AL353)</f>
        <v/>
      </c>
      <c r="T355" s="103">
        <f>IF(LLM_Data_Entry!BA353="","",LLM_Data_Entry!BA353)</f>
        <v/>
      </c>
      <c r="U355" s="103">
        <f>IF(LLM_Data_Entry!BB353="","",LLM_Data_Entry!BB353)</f>
        <v/>
      </c>
      <c r="V355" s="106">
        <f>IF(LLM_Data_Entry!O353="","",LLM_Data_Entry!O353)</f>
        <v/>
      </c>
    </row>
    <row r="356" ht="15" customHeight="1" s="241">
      <c r="A356" s="103">
        <f>IF(LLM_Data_Entry!A354="","",LLM_Data_Entry!A354)</f>
        <v/>
      </c>
      <c r="B356" s="103">
        <f>IF(LLM_Data_Entry!B354="","",LLM_Data_Entry!B354)</f>
        <v/>
      </c>
      <c r="C356" s="104">
        <f>IF(LLM_Data_Entry!C354="","",LLM_Data_Entry!C354)</f>
        <v/>
      </c>
      <c r="D356" s="103">
        <f>IF(LLM_Data_Entry!D354="","",LLM_Data_Entry!D354)</f>
        <v/>
      </c>
      <c r="E356" s="103">
        <f>IF(LLM_Data_Entry!V354="","",LLM_Data_Entry!V354)</f>
        <v/>
      </c>
      <c r="F356" s="103">
        <f>IF(LLM_Data_Entry!AS354="","",LLM_Data_Entry!AS354)</f>
        <v/>
      </c>
      <c r="G356" s="103">
        <f>IF(LLM_Data_Entry!AG354="","",LLM_Data_Entry!AG354)</f>
        <v/>
      </c>
      <c r="H356" s="103">
        <f>IF(LLM_Data_Entry!AT354="","",LLM_Data_Entry!AT354)</f>
        <v/>
      </c>
      <c r="I356" s="103">
        <f>IF(LLM_Data_Entry!AU354="","",LLM_Data_Entry!AU354)</f>
        <v/>
      </c>
      <c r="J356" s="103">
        <f>IF(LLM_Data_Entry!AH354="","",LLM_Data_Entry!AH354)</f>
        <v/>
      </c>
      <c r="K356" s="103">
        <f>IF(LLM_Data_Entry!AI354="","",LLM_Data_Entry!AI354)</f>
        <v/>
      </c>
      <c r="L356" s="103">
        <f>IF(LLM_Data_Entry!AJ354="","",LLM_Data_Entry!AJ354)</f>
        <v/>
      </c>
      <c r="M356" s="103">
        <f>IF(LLM_Data_Entry!AV354="","",LLM_Data_Entry!AV354)</f>
        <v/>
      </c>
      <c r="N356" s="103">
        <f>IF(LLM_Data_Entry!AW354="","",LLM_Data_Entry!AW354)</f>
        <v/>
      </c>
      <c r="O356" s="103">
        <f>IF(LLM_Data_Entry!AX354="","",LLM_Data_Entry!AX354)</f>
        <v/>
      </c>
      <c r="P356" s="103">
        <f>IF(LLM_Data_Entry!AY354="","",LLM_Data_Entry!AY354)</f>
        <v/>
      </c>
      <c r="Q356" s="103">
        <f>IF(LLM_Data_Entry!AZ354="","",LLM_Data_Entry!AZ354)</f>
        <v/>
      </c>
      <c r="R356" s="103">
        <f>IF(LLM_Data_Entry!AK354="","",LLM_Data_Entry!AK354)</f>
        <v/>
      </c>
      <c r="S356" s="103">
        <f>IF(LLM_Data_Entry!AL354="","",LLM_Data_Entry!AL354)</f>
        <v/>
      </c>
      <c r="T356" s="103">
        <f>IF(LLM_Data_Entry!BA354="","",LLM_Data_Entry!BA354)</f>
        <v/>
      </c>
      <c r="U356" s="103">
        <f>IF(LLM_Data_Entry!BB354="","",LLM_Data_Entry!BB354)</f>
        <v/>
      </c>
      <c r="V356" s="106">
        <f>IF(LLM_Data_Entry!O354="","",LLM_Data_Entry!O354)</f>
        <v/>
      </c>
    </row>
    <row r="357" ht="15" customHeight="1" s="241">
      <c r="A357" s="103">
        <f>IF(LLM_Data_Entry!A355="","",LLM_Data_Entry!A355)</f>
        <v/>
      </c>
      <c r="B357" s="103">
        <f>IF(LLM_Data_Entry!B355="","",LLM_Data_Entry!B355)</f>
        <v/>
      </c>
      <c r="C357" s="104">
        <f>IF(LLM_Data_Entry!C355="","",LLM_Data_Entry!C355)</f>
        <v/>
      </c>
      <c r="D357" s="103">
        <f>IF(LLM_Data_Entry!D355="","",LLM_Data_Entry!D355)</f>
        <v/>
      </c>
      <c r="E357" s="103">
        <f>IF(LLM_Data_Entry!V355="","",LLM_Data_Entry!V355)</f>
        <v/>
      </c>
      <c r="F357" s="103">
        <f>IF(LLM_Data_Entry!AS355="","",LLM_Data_Entry!AS355)</f>
        <v/>
      </c>
      <c r="G357" s="103">
        <f>IF(LLM_Data_Entry!AG355="","",LLM_Data_Entry!AG355)</f>
        <v/>
      </c>
      <c r="H357" s="103">
        <f>IF(LLM_Data_Entry!AT355="","",LLM_Data_Entry!AT355)</f>
        <v/>
      </c>
      <c r="I357" s="103">
        <f>IF(LLM_Data_Entry!AU355="","",LLM_Data_Entry!AU355)</f>
        <v/>
      </c>
      <c r="J357" s="103">
        <f>IF(LLM_Data_Entry!AH355="","",LLM_Data_Entry!AH355)</f>
        <v/>
      </c>
      <c r="K357" s="103">
        <f>IF(LLM_Data_Entry!AI355="","",LLM_Data_Entry!AI355)</f>
        <v/>
      </c>
      <c r="L357" s="103">
        <f>IF(LLM_Data_Entry!AJ355="","",LLM_Data_Entry!AJ355)</f>
        <v/>
      </c>
      <c r="M357" s="103">
        <f>IF(LLM_Data_Entry!AV355="","",LLM_Data_Entry!AV355)</f>
        <v/>
      </c>
      <c r="N357" s="103">
        <f>IF(LLM_Data_Entry!AW355="","",LLM_Data_Entry!AW355)</f>
        <v/>
      </c>
      <c r="O357" s="103">
        <f>IF(LLM_Data_Entry!AX355="","",LLM_Data_Entry!AX355)</f>
        <v/>
      </c>
      <c r="P357" s="103">
        <f>IF(LLM_Data_Entry!AY355="","",LLM_Data_Entry!AY355)</f>
        <v/>
      </c>
      <c r="Q357" s="103">
        <f>IF(LLM_Data_Entry!AZ355="","",LLM_Data_Entry!AZ355)</f>
        <v/>
      </c>
      <c r="R357" s="103">
        <f>IF(LLM_Data_Entry!AK355="","",LLM_Data_Entry!AK355)</f>
        <v/>
      </c>
      <c r="S357" s="103">
        <f>IF(LLM_Data_Entry!AL355="","",LLM_Data_Entry!AL355)</f>
        <v/>
      </c>
      <c r="T357" s="103">
        <f>IF(LLM_Data_Entry!BA355="","",LLM_Data_Entry!BA355)</f>
        <v/>
      </c>
      <c r="U357" s="103">
        <f>IF(LLM_Data_Entry!BB355="","",LLM_Data_Entry!BB355)</f>
        <v/>
      </c>
      <c r="V357" s="106">
        <f>IF(LLM_Data_Entry!O355="","",LLM_Data_Entry!O355)</f>
        <v/>
      </c>
    </row>
    <row r="358" ht="15" customHeight="1" s="241">
      <c r="A358" s="103">
        <f>IF(LLM_Data_Entry!A356="","",LLM_Data_Entry!A356)</f>
        <v/>
      </c>
      <c r="B358" s="103">
        <f>IF(LLM_Data_Entry!B356="","",LLM_Data_Entry!B356)</f>
        <v/>
      </c>
      <c r="C358" s="104">
        <f>IF(LLM_Data_Entry!C356="","",LLM_Data_Entry!C356)</f>
        <v/>
      </c>
      <c r="D358" s="103">
        <f>IF(LLM_Data_Entry!D356="","",LLM_Data_Entry!D356)</f>
        <v/>
      </c>
      <c r="E358" s="103">
        <f>IF(LLM_Data_Entry!V356="","",LLM_Data_Entry!V356)</f>
        <v/>
      </c>
      <c r="F358" s="103">
        <f>IF(LLM_Data_Entry!AS356="","",LLM_Data_Entry!AS356)</f>
        <v/>
      </c>
      <c r="G358" s="103">
        <f>IF(LLM_Data_Entry!AG356="","",LLM_Data_Entry!AG356)</f>
        <v/>
      </c>
      <c r="H358" s="103">
        <f>IF(LLM_Data_Entry!AT356="","",LLM_Data_Entry!AT356)</f>
        <v/>
      </c>
      <c r="I358" s="103">
        <f>IF(LLM_Data_Entry!AU356="","",LLM_Data_Entry!AU356)</f>
        <v/>
      </c>
      <c r="J358" s="103">
        <f>IF(LLM_Data_Entry!AH356="","",LLM_Data_Entry!AH356)</f>
        <v/>
      </c>
      <c r="K358" s="103">
        <f>IF(LLM_Data_Entry!AI356="","",LLM_Data_Entry!AI356)</f>
        <v/>
      </c>
      <c r="L358" s="103">
        <f>IF(LLM_Data_Entry!AJ356="","",LLM_Data_Entry!AJ356)</f>
        <v/>
      </c>
      <c r="M358" s="103">
        <f>IF(LLM_Data_Entry!AV356="","",LLM_Data_Entry!AV356)</f>
        <v/>
      </c>
      <c r="N358" s="103">
        <f>IF(LLM_Data_Entry!AW356="","",LLM_Data_Entry!AW356)</f>
        <v/>
      </c>
      <c r="O358" s="103">
        <f>IF(LLM_Data_Entry!AX356="","",LLM_Data_Entry!AX356)</f>
        <v/>
      </c>
      <c r="P358" s="103">
        <f>IF(LLM_Data_Entry!AY356="","",LLM_Data_Entry!AY356)</f>
        <v/>
      </c>
      <c r="Q358" s="103">
        <f>IF(LLM_Data_Entry!AZ356="","",LLM_Data_Entry!AZ356)</f>
        <v/>
      </c>
      <c r="R358" s="103">
        <f>IF(LLM_Data_Entry!AK356="","",LLM_Data_Entry!AK356)</f>
        <v/>
      </c>
      <c r="S358" s="103">
        <f>IF(LLM_Data_Entry!AL356="","",LLM_Data_Entry!AL356)</f>
        <v/>
      </c>
      <c r="T358" s="103">
        <f>IF(LLM_Data_Entry!BA356="","",LLM_Data_Entry!BA356)</f>
        <v/>
      </c>
      <c r="U358" s="103">
        <f>IF(LLM_Data_Entry!BB356="","",LLM_Data_Entry!BB356)</f>
        <v/>
      </c>
      <c r="V358" s="106">
        <f>IF(LLM_Data_Entry!O356="","",LLM_Data_Entry!O356)</f>
        <v/>
      </c>
    </row>
    <row r="359" ht="15" customHeight="1" s="241">
      <c r="A359" s="103">
        <f>IF(LLM_Data_Entry!A357="","",LLM_Data_Entry!A357)</f>
        <v/>
      </c>
      <c r="B359" s="103">
        <f>IF(LLM_Data_Entry!B357="","",LLM_Data_Entry!B357)</f>
        <v/>
      </c>
      <c r="C359" s="104">
        <f>IF(LLM_Data_Entry!C357="","",LLM_Data_Entry!C357)</f>
        <v/>
      </c>
      <c r="D359" s="103">
        <f>IF(LLM_Data_Entry!D357="","",LLM_Data_Entry!D357)</f>
        <v/>
      </c>
      <c r="E359" s="103">
        <f>IF(LLM_Data_Entry!V357="","",LLM_Data_Entry!V357)</f>
        <v/>
      </c>
      <c r="F359" s="103">
        <f>IF(LLM_Data_Entry!AS357="","",LLM_Data_Entry!AS357)</f>
        <v/>
      </c>
      <c r="G359" s="103">
        <f>IF(LLM_Data_Entry!AG357="","",LLM_Data_Entry!AG357)</f>
        <v/>
      </c>
      <c r="H359" s="103">
        <f>IF(LLM_Data_Entry!AT357="","",LLM_Data_Entry!AT357)</f>
        <v/>
      </c>
      <c r="I359" s="103">
        <f>IF(LLM_Data_Entry!AU357="","",LLM_Data_Entry!AU357)</f>
        <v/>
      </c>
      <c r="J359" s="103">
        <f>IF(LLM_Data_Entry!AH357="","",LLM_Data_Entry!AH357)</f>
        <v/>
      </c>
      <c r="K359" s="103">
        <f>IF(LLM_Data_Entry!AI357="","",LLM_Data_Entry!AI357)</f>
        <v/>
      </c>
      <c r="L359" s="103">
        <f>IF(LLM_Data_Entry!AJ357="","",LLM_Data_Entry!AJ357)</f>
        <v/>
      </c>
      <c r="M359" s="103">
        <f>IF(LLM_Data_Entry!AV357="","",LLM_Data_Entry!AV357)</f>
        <v/>
      </c>
      <c r="N359" s="103">
        <f>IF(LLM_Data_Entry!AW357="","",LLM_Data_Entry!AW357)</f>
        <v/>
      </c>
      <c r="O359" s="103">
        <f>IF(LLM_Data_Entry!AX357="","",LLM_Data_Entry!AX357)</f>
        <v/>
      </c>
      <c r="P359" s="103">
        <f>IF(LLM_Data_Entry!AY357="","",LLM_Data_Entry!AY357)</f>
        <v/>
      </c>
      <c r="Q359" s="103">
        <f>IF(LLM_Data_Entry!AZ357="","",LLM_Data_Entry!AZ357)</f>
        <v/>
      </c>
      <c r="R359" s="103">
        <f>IF(LLM_Data_Entry!AK357="","",LLM_Data_Entry!AK357)</f>
        <v/>
      </c>
      <c r="S359" s="103">
        <f>IF(LLM_Data_Entry!AL357="","",LLM_Data_Entry!AL357)</f>
        <v/>
      </c>
      <c r="T359" s="103">
        <f>IF(LLM_Data_Entry!BA357="","",LLM_Data_Entry!BA357)</f>
        <v/>
      </c>
      <c r="U359" s="103">
        <f>IF(LLM_Data_Entry!BB357="","",LLM_Data_Entry!BB357)</f>
        <v/>
      </c>
      <c r="V359" s="106">
        <f>IF(LLM_Data_Entry!O357="","",LLM_Data_Entry!O357)</f>
        <v/>
      </c>
    </row>
    <row r="360" ht="15" customHeight="1" s="241">
      <c r="A360" s="103">
        <f>IF(LLM_Data_Entry!A358="","",LLM_Data_Entry!A358)</f>
        <v/>
      </c>
      <c r="B360" s="103">
        <f>IF(LLM_Data_Entry!B358="","",LLM_Data_Entry!B358)</f>
        <v/>
      </c>
      <c r="C360" s="104">
        <f>IF(LLM_Data_Entry!C358="","",LLM_Data_Entry!C358)</f>
        <v/>
      </c>
      <c r="D360" s="103">
        <f>IF(LLM_Data_Entry!D358="","",LLM_Data_Entry!D358)</f>
        <v/>
      </c>
      <c r="E360" s="103">
        <f>IF(LLM_Data_Entry!V358="","",LLM_Data_Entry!V358)</f>
        <v/>
      </c>
      <c r="F360" s="103">
        <f>IF(LLM_Data_Entry!AS358="","",LLM_Data_Entry!AS358)</f>
        <v/>
      </c>
      <c r="G360" s="103">
        <f>IF(LLM_Data_Entry!AG358="","",LLM_Data_Entry!AG358)</f>
        <v/>
      </c>
      <c r="H360" s="103">
        <f>IF(LLM_Data_Entry!AT358="","",LLM_Data_Entry!AT358)</f>
        <v/>
      </c>
      <c r="I360" s="103">
        <f>IF(LLM_Data_Entry!AU358="","",LLM_Data_Entry!AU358)</f>
        <v/>
      </c>
      <c r="J360" s="103">
        <f>IF(LLM_Data_Entry!AH358="","",LLM_Data_Entry!AH358)</f>
        <v/>
      </c>
      <c r="K360" s="103">
        <f>IF(LLM_Data_Entry!AI358="","",LLM_Data_Entry!AI358)</f>
        <v/>
      </c>
      <c r="L360" s="103">
        <f>IF(LLM_Data_Entry!AJ358="","",LLM_Data_Entry!AJ358)</f>
        <v/>
      </c>
      <c r="M360" s="103">
        <f>IF(LLM_Data_Entry!AV358="","",LLM_Data_Entry!AV358)</f>
        <v/>
      </c>
      <c r="N360" s="103">
        <f>IF(LLM_Data_Entry!AW358="","",LLM_Data_Entry!AW358)</f>
        <v/>
      </c>
      <c r="O360" s="103">
        <f>IF(LLM_Data_Entry!AX358="","",LLM_Data_Entry!AX358)</f>
        <v/>
      </c>
      <c r="P360" s="103">
        <f>IF(LLM_Data_Entry!AY358="","",LLM_Data_Entry!AY358)</f>
        <v/>
      </c>
      <c r="Q360" s="103">
        <f>IF(LLM_Data_Entry!AZ358="","",LLM_Data_Entry!AZ358)</f>
        <v/>
      </c>
      <c r="R360" s="103">
        <f>IF(LLM_Data_Entry!AK358="","",LLM_Data_Entry!AK358)</f>
        <v/>
      </c>
      <c r="S360" s="103">
        <f>IF(LLM_Data_Entry!AL358="","",LLM_Data_Entry!AL358)</f>
        <v/>
      </c>
      <c r="T360" s="103">
        <f>IF(LLM_Data_Entry!BA358="","",LLM_Data_Entry!BA358)</f>
        <v/>
      </c>
      <c r="U360" s="103">
        <f>IF(LLM_Data_Entry!BB358="","",LLM_Data_Entry!BB358)</f>
        <v/>
      </c>
      <c r="V360" s="106">
        <f>IF(LLM_Data_Entry!O358="","",LLM_Data_Entry!O358)</f>
        <v/>
      </c>
    </row>
    <row r="361" ht="15" customHeight="1" s="241">
      <c r="A361" s="103">
        <f>IF(LLM_Data_Entry!A359="","",LLM_Data_Entry!A359)</f>
        <v/>
      </c>
      <c r="B361" s="103">
        <f>IF(LLM_Data_Entry!B359="","",LLM_Data_Entry!B359)</f>
        <v/>
      </c>
      <c r="C361" s="104">
        <f>IF(LLM_Data_Entry!C359="","",LLM_Data_Entry!C359)</f>
        <v/>
      </c>
      <c r="D361" s="103">
        <f>IF(LLM_Data_Entry!D359="","",LLM_Data_Entry!D359)</f>
        <v/>
      </c>
      <c r="E361" s="103">
        <f>IF(LLM_Data_Entry!V359="","",LLM_Data_Entry!V359)</f>
        <v/>
      </c>
      <c r="F361" s="103">
        <f>IF(LLM_Data_Entry!AS359="","",LLM_Data_Entry!AS359)</f>
        <v/>
      </c>
      <c r="G361" s="103">
        <f>IF(LLM_Data_Entry!AG359="","",LLM_Data_Entry!AG359)</f>
        <v/>
      </c>
      <c r="H361" s="103">
        <f>IF(LLM_Data_Entry!AT359="","",LLM_Data_Entry!AT359)</f>
        <v/>
      </c>
      <c r="I361" s="103">
        <f>IF(LLM_Data_Entry!AU359="","",LLM_Data_Entry!AU359)</f>
        <v/>
      </c>
      <c r="J361" s="103">
        <f>IF(LLM_Data_Entry!AH359="","",LLM_Data_Entry!AH359)</f>
        <v/>
      </c>
      <c r="K361" s="103">
        <f>IF(LLM_Data_Entry!AI359="","",LLM_Data_Entry!AI359)</f>
        <v/>
      </c>
      <c r="L361" s="103">
        <f>IF(LLM_Data_Entry!AJ359="","",LLM_Data_Entry!AJ359)</f>
        <v/>
      </c>
      <c r="M361" s="103">
        <f>IF(LLM_Data_Entry!AV359="","",LLM_Data_Entry!AV359)</f>
        <v/>
      </c>
      <c r="N361" s="103">
        <f>IF(LLM_Data_Entry!AW359="","",LLM_Data_Entry!AW359)</f>
        <v/>
      </c>
      <c r="O361" s="103">
        <f>IF(LLM_Data_Entry!AX359="","",LLM_Data_Entry!AX359)</f>
        <v/>
      </c>
      <c r="P361" s="103">
        <f>IF(LLM_Data_Entry!AY359="","",LLM_Data_Entry!AY359)</f>
        <v/>
      </c>
      <c r="Q361" s="103">
        <f>IF(LLM_Data_Entry!AZ359="","",LLM_Data_Entry!AZ359)</f>
        <v/>
      </c>
      <c r="R361" s="103">
        <f>IF(LLM_Data_Entry!AK359="","",LLM_Data_Entry!AK359)</f>
        <v/>
      </c>
      <c r="S361" s="103">
        <f>IF(LLM_Data_Entry!AL359="","",LLM_Data_Entry!AL359)</f>
        <v/>
      </c>
      <c r="T361" s="103">
        <f>IF(LLM_Data_Entry!BA359="","",LLM_Data_Entry!BA359)</f>
        <v/>
      </c>
      <c r="U361" s="103">
        <f>IF(LLM_Data_Entry!BB359="","",LLM_Data_Entry!BB359)</f>
        <v/>
      </c>
      <c r="V361" s="106">
        <f>IF(LLM_Data_Entry!O359="","",LLM_Data_Entry!O359)</f>
        <v/>
      </c>
    </row>
    <row r="362" ht="15" customHeight="1" s="241">
      <c r="A362" s="103">
        <f>IF(LLM_Data_Entry!A360="","",LLM_Data_Entry!A360)</f>
        <v/>
      </c>
      <c r="B362" s="103">
        <f>IF(LLM_Data_Entry!B360="","",LLM_Data_Entry!B360)</f>
        <v/>
      </c>
      <c r="C362" s="104">
        <f>IF(LLM_Data_Entry!C360="","",LLM_Data_Entry!C360)</f>
        <v/>
      </c>
      <c r="D362" s="103">
        <f>IF(LLM_Data_Entry!D360="","",LLM_Data_Entry!D360)</f>
        <v/>
      </c>
      <c r="E362" s="103">
        <f>IF(LLM_Data_Entry!V360="","",LLM_Data_Entry!V360)</f>
        <v/>
      </c>
      <c r="F362" s="103">
        <f>IF(LLM_Data_Entry!AS360="","",LLM_Data_Entry!AS360)</f>
        <v/>
      </c>
      <c r="G362" s="103">
        <f>IF(LLM_Data_Entry!AG360="","",LLM_Data_Entry!AG360)</f>
        <v/>
      </c>
      <c r="H362" s="103">
        <f>IF(LLM_Data_Entry!AT360="","",LLM_Data_Entry!AT360)</f>
        <v/>
      </c>
      <c r="I362" s="103">
        <f>IF(LLM_Data_Entry!AU360="","",LLM_Data_Entry!AU360)</f>
        <v/>
      </c>
      <c r="J362" s="103">
        <f>IF(LLM_Data_Entry!AH360="","",LLM_Data_Entry!AH360)</f>
        <v/>
      </c>
      <c r="K362" s="103">
        <f>IF(LLM_Data_Entry!AI360="","",LLM_Data_Entry!AI360)</f>
        <v/>
      </c>
      <c r="L362" s="103">
        <f>IF(LLM_Data_Entry!AJ360="","",LLM_Data_Entry!AJ360)</f>
        <v/>
      </c>
      <c r="M362" s="103">
        <f>IF(LLM_Data_Entry!AV360="","",LLM_Data_Entry!AV360)</f>
        <v/>
      </c>
      <c r="N362" s="103">
        <f>IF(LLM_Data_Entry!AW360="","",LLM_Data_Entry!AW360)</f>
        <v/>
      </c>
      <c r="O362" s="103">
        <f>IF(LLM_Data_Entry!AX360="","",LLM_Data_Entry!AX360)</f>
        <v/>
      </c>
      <c r="P362" s="103">
        <f>IF(LLM_Data_Entry!AY360="","",LLM_Data_Entry!AY360)</f>
        <v/>
      </c>
      <c r="Q362" s="103">
        <f>IF(LLM_Data_Entry!AZ360="","",LLM_Data_Entry!AZ360)</f>
        <v/>
      </c>
      <c r="R362" s="103">
        <f>IF(LLM_Data_Entry!AK360="","",LLM_Data_Entry!AK360)</f>
        <v/>
      </c>
      <c r="S362" s="103">
        <f>IF(LLM_Data_Entry!AL360="","",LLM_Data_Entry!AL360)</f>
        <v/>
      </c>
      <c r="T362" s="103">
        <f>IF(LLM_Data_Entry!BA360="","",LLM_Data_Entry!BA360)</f>
        <v/>
      </c>
      <c r="U362" s="103">
        <f>IF(LLM_Data_Entry!BB360="","",LLM_Data_Entry!BB360)</f>
        <v/>
      </c>
      <c r="V362" s="106">
        <f>IF(LLM_Data_Entry!O360="","",LLM_Data_Entry!O360)</f>
        <v/>
      </c>
    </row>
    <row r="363" ht="15" customHeight="1" s="241">
      <c r="A363" s="103">
        <f>IF(LLM_Data_Entry!A361="","",LLM_Data_Entry!A361)</f>
        <v/>
      </c>
      <c r="B363" s="103">
        <f>IF(LLM_Data_Entry!B361="","",LLM_Data_Entry!B361)</f>
        <v/>
      </c>
      <c r="C363" s="104">
        <f>IF(LLM_Data_Entry!C361="","",LLM_Data_Entry!C361)</f>
        <v/>
      </c>
      <c r="D363" s="103">
        <f>IF(LLM_Data_Entry!D361="","",LLM_Data_Entry!D361)</f>
        <v/>
      </c>
      <c r="E363" s="103">
        <f>IF(LLM_Data_Entry!V361="","",LLM_Data_Entry!V361)</f>
        <v/>
      </c>
      <c r="F363" s="103">
        <f>IF(LLM_Data_Entry!AS361="","",LLM_Data_Entry!AS361)</f>
        <v/>
      </c>
      <c r="G363" s="103">
        <f>IF(LLM_Data_Entry!AG361="","",LLM_Data_Entry!AG361)</f>
        <v/>
      </c>
      <c r="H363" s="103">
        <f>IF(LLM_Data_Entry!AT361="","",LLM_Data_Entry!AT361)</f>
        <v/>
      </c>
      <c r="I363" s="103">
        <f>IF(LLM_Data_Entry!AU361="","",LLM_Data_Entry!AU361)</f>
        <v/>
      </c>
      <c r="J363" s="103">
        <f>IF(LLM_Data_Entry!AH361="","",LLM_Data_Entry!AH361)</f>
        <v/>
      </c>
      <c r="K363" s="103">
        <f>IF(LLM_Data_Entry!AI361="","",LLM_Data_Entry!AI361)</f>
        <v/>
      </c>
      <c r="L363" s="103">
        <f>IF(LLM_Data_Entry!AJ361="","",LLM_Data_Entry!AJ361)</f>
        <v/>
      </c>
      <c r="M363" s="103">
        <f>IF(LLM_Data_Entry!AV361="","",LLM_Data_Entry!AV361)</f>
        <v/>
      </c>
      <c r="N363" s="103">
        <f>IF(LLM_Data_Entry!AW361="","",LLM_Data_Entry!AW361)</f>
        <v/>
      </c>
      <c r="O363" s="103">
        <f>IF(LLM_Data_Entry!AX361="","",LLM_Data_Entry!AX361)</f>
        <v/>
      </c>
      <c r="P363" s="103">
        <f>IF(LLM_Data_Entry!AY361="","",LLM_Data_Entry!AY361)</f>
        <v/>
      </c>
      <c r="Q363" s="103">
        <f>IF(LLM_Data_Entry!AZ361="","",LLM_Data_Entry!AZ361)</f>
        <v/>
      </c>
      <c r="R363" s="103">
        <f>IF(LLM_Data_Entry!AK361="","",LLM_Data_Entry!AK361)</f>
        <v/>
      </c>
      <c r="S363" s="103">
        <f>IF(LLM_Data_Entry!AL361="","",LLM_Data_Entry!AL361)</f>
        <v/>
      </c>
      <c r="T363" s="103">
        <f>IF(LLM_Data_Entry!BA361="","",LLM_Data_Entry!BA361)</f>
        <v/>
      </c>
      <c r="U363" s="103">
        <f>IF(LLM_Data_Entry!BB361="","",LLM_Data_Entry!BB361)</f>
        <v/>
      </c>
      <c r="V363" s="106">
        <f>IF(LLM_Data_Entry!O361="","",LLM_Data_Entry!O361)</f>
        <v/>
      </c>
    </row>
    <row r="364" ht="15" customHeight="1" s="241">
      <c r="A364" s="103">
        <f>IF(LLM_Data_Entry!A362="","",LLM_Data_Entry!A362)</f>
        <v/>
      </c>
      <c r="B364" s="103">
        <f>IF(LLM_Data_Entry!B362="","",LLM_Data_Entry!B362)</f>
        <v/>
      </c>
      <c r="C364" s="104">
        <f>IF(LLM_Data_Entry!C362="","",LLM_Data_Entry!C362)</f>
        <v/>
      </c>
      <c r="D364" s="103">
        <f>IF(LLM_Data_Entry!D362="","",LLM_Data_Entry!D362)</f>
        <v/>
      </c>
      <c r="E364" s="103">
        <f>IF(LLM_Data_Entry!V362="","",LLM_Data_Entry!V362)</f>
        <v/>
      </c>
      <c r="F364" s="103">
        <f>IF(LLM_Data_Entry!AS362="","",LLM_Data_Entry!AS362)</f>
        <v/>
      </c>
      <c r="G364" s="103">
        <f>IF(LLM_Data_Entry!AG362="","",LLM_Data_Entry!AG362)</f>
        <v/>
      </c>
      <c r="H364" s="103">
        <f>IF(LLM_Data_Entry!AT362="","",LLM_Data_Entry!AT362)</f>
        <v/>
      </c>
      <c r="I364" s="103">
        <f>IF(LLM_Data_Entry!AU362="","",LLM_Data_Entry!AU362)</f>
        <v/>
      </c>
      <c r="J364" s="103">
        <f>IF(LLM_Data_Entry!AH362="","",LLM_Data_Entry!AH362)</f>
        <v/>
      </c>
      <c r="K364" s="103">
        <f>IF(LLM_Data_Entry!AI362="","",LLM_Data_Entry!AI362)</f>
        <v/>
      </c>
      <c r="L364" s="103">
        <f>IF(LLM_Data_Entry!AJ362="","",LLM_Data_Entry!AJ362)</f>
        <v/>
      </c>
      <c r="M364" s="103">
        <f>IF(LLM_Data_Entry!AV362="","",LLM_Data_Entry!AV362)</f>
        <v/>
      </c>
      <c r="N364" s="103">
        <f>IF(LLM_Data_Entry!AW362="","",LLM_Data_Entry!AW362)</f>
        <v/>
      </c>
      <c r="O364" s="103">
        <f>IF(LLM_Data_Entry!AX362="","",LLM_Data_Entry!AX362)</f>
        <v/>
      </c>
      <c r="P364" s="103">
        <f>IF(LLM_Data_Entry!AY362="","",LLM_Data_Entry!AY362)</f>
        <v/>
      </c>
      <c r="Q364" s="103">
        <f>IF(LLM_Data_Entry!AZ362="","",LLM_Data_Entry!AZ362)</f>
        <v/>
      </c>
      <c r="R364" s="103">
        <f>IF(LLM_Data_Entry!AK362="","",LLM_Data_Entry!AK362)</f>
        <v/>
      </c>
      <c r="S364" s="103">
        <f>IF(LLM_Data_Entry!AL362="","",LLM_Data_Entry!AL362)</f>
        <v/>
      </c>
      <c r="T364" s="103">
        <f>IF(LLM_Data_Entry!BA362="","",LLM_Data_Entry!BA362)</f>
        <v/>
      </c>
      <c r="U364" s="103">
        <f>IF(LLM_Data_Entry!BB362="","",LLM_Data_Entry!BB362)</f>
        <v/>
      </c>
      <c r="V364" s="106">
        <f>IF(LLM_Data_Entry!O362="","",LLM_Data_Entry!O362)</f>
        <v/>
      </c>
    </row>
    <row r="365" ht="15" customHeight="1" s="241">
      <c r="A365" s="103">
        <f>IF(LLM_Data_Entry!A363="","",LLM_Data_Entry!A363)</f>
        <v/>
      </c>
      <c r="B365" s="103">
        <f>IF(LLM_Data_Entry!B363="","",LLM_Data_Entry!B363)</f>
        <v/>
      </c>
      <c r="C365" s="104">
        <f>IF(LLM_Data_Entry!C363="","",LLM_Data_Entry!C363)</f>
        <v/>
      </c>
      <c r="D365" s="103">
        <f>IF(LLM_Data_Entry!D363="","",LLM_Data_Entry!D363)</f>
        <v/>
      </c>
      <c r="E365" s="103">
        <f>IF(LLM_Data_Entry!V363="","",LLM_Data_Entry!V363)</f>
        <v/>
      </c>
      <c r="F365" s="103">
        <f>IF(LLM_Data_Entry!AS363="","",LLM_Data_Entry!AS363)</f>
        <v/>
      </c>
      <c r="G365" s="103">
        <f>IF(LLM_Data_Entry!AG363="","",LLM_Data_Entry!AG363)</f>
        <v/>
      </c>
      <c r="H365" s="103">
        <f>IF(LLM_Data_Entry!AT363="","",LLM_Data_Entry!AT363)</f>
        <v/>
      </c>
      <c r="I365" s="103">
        <f>IF(LLM_Data_Entry!AU363="","",LLM_Data_Entry!AU363)</f>
        <v/>
      </c>
      <c r="J365" s="103">
        <f>IF(LLM_Data_Entry!AH363="","",LLM_Data_Entry!AH363)</f>
        <v/>
      </c>
      <c r="K365" s="103">
        <f>IF(LLM_Data_Entry!AI363="","",LLM_Data_Entry!AI363)</f>
        <v/>
      </c>
      <c r="L365" s="103">
        <f>IF(LLM_Data_Entry!AJ363="","",LLM_Data_Entry!AJ363)</f>
        <v/>
      </c>
      <c r="M365" s="103">
        <f>IF(LLM_Data_Entry!AV363="","",LLM_Data_Entry!AV363)</f>
        <v/>
      </c>
      <c r="N365" s="103">
        <f>IF(LLM_Data_Entry!AW363="","",LLM_Data_Entry!AW363)</f>
        <v/>
      </c>
      <c r="O365" s="103">
        <f>IF(LLM_Data_Entry!AX363="","",LLM_Data_Entry!AX363)</f>
        <v/>
      </c>
      <c r="P365" s="103">
        <f>IF(LLM_Data_Entry!AY363="","",LLM_Data_Entry!AY363)</f>
        <v/>
      </c>
      <c r="Q365" s="103">
        <f>IF(LLM_Data_Entry!AZ363="","",LLM_Data_Entry!AZ363)</f>
        <v/>
      </c>
      <c r="R365" s="103">
        <f>IF(LLM_Data_Entry!AK363="","",LLM_Data_Entry!AK363)</f>
        <v/>
      </c>
      <c r="S365" s="103">
        <f>IF(LLM_Data_Entry!AL363="","",LLM_Data_Entry!AL363)</f>
        <v/>
      </c>
      <c r="T365" s="103">
        <f>IF(LLM_Data_Entry!BA363="","",LLM_Data_Entry!BA363)</f>
        <v/>
      </c>
      <c r="U365" s="103">
        <f>IF(LLM_Data_Entry!BB363="","",LLM_Data_Entry!BB363)</f>
        <v/>
      </c>
      <c r="V365" s="106">
        <f>IF(LLM_Data_Entry!O363="","",LLM_Data_Entry!O363)</f>
        <v/>
      </c>
    </row>
  </sheetData>
  <autoFilter ref="A4:V365"/>
  <mergeCells count="1">
    <mergeCell ref="A2:J2"/>
  </mergeCells>
  <pageMargins left="0.75" right="0.75" top="1" bottom="1" header="0.5" footer="0.5"/>
  <pageSetup orientation="landscape" fitToHeight="0"/>
</worksheet>
</file>

<file path=xl/worksheets/sheet17.xml><?xml version="1.0" encoding="utf-8"?>
<worksheet xmlns="http://schemas.openxmlformats.org/spreadsheetml/2006/main">
  <sheetPr>
    <tabColor rgb="FF7F7F7F"/>
    <outlinePr summaryBelow="1" summaryRight="1"/>
    <pageSetUpPr fitToPage="1"/>
  </sheetPr>
  <dimension ref="A1:R461"/>
  <sheetViews>
    <sheetView showGridLines="0" topLeftCell="C1" zoomScaleNormal="100" workbookViewId="0">
      <pane ySplit="4" topLeftCell="A5" activePane="bottomLeft" state="frozen"/>
      <selection pane="bottomLeft" activeCell="F12" sqref="F12"/>
    </sheetView>
  </sheetViews>
  <sheetFormatPr baseColWidth="8" defaultColWidth="8.7109375" defaultRowHeight="15"/>
  <cols>
    <col width="46" customWidth="1" style="241" min="1" max="1"/>
    <col width="46" bestFit="1" customWidth="1" style="241" min="2" max="4"/>
    <col width="46" customWidth="1" style="241" min="5" max="8"/>
    <col width="46" bestFit="1" customWidth="1" style="241" min="9" max="9"/>
    <col width="46" customWidth="1" style="2" min="10" max="11"/>
    <col width="46" customWidth="1" style="241" min="12" max="12"/>
    <col width="46" customWidth="1" style="4" min="13" max="13"/>
    <col width="46" customWidth="1" style="241" min="14" max="14"/>
    <col width="46" customWidth="1" style="5" min="15" max="15"/>
    <col width="46" bestFit="1" customWidth="1" style="2" min="16" max="16"/>
    <col width="46" customWidth="1" style="2" min="17" max="17"/>
    <col width="46" customWidth="1" style="241" min="18" max="18"/>
  </cols>
  <sheetData>
    <row r="1" ht="15.95" customHeight="1" s="241">
      <c r="A1" s="8" t="inlineStr">
        <is>
          <t>Results Summary</t>
        </is>
      </c>
    </row>
    <row r="2" ht="15.95" customHeight="1" s="241"/>
    <row r="3" ht="15.95" customHeight="1" s="241">
      <c r="A3" s="9" t="inlineStr">
        <is>
          <t>Accuracy by Rater</t>
        </is>
      </c>
      <c r="I3" s="9" t="inlineStr">
        <is>
          <t>P&amp;L by Rater</t>
        </is>
      </c>
      <c r="M3" s="2" t="n"/>
      <c r="O3" s="6" t="n"/>
    </row>
    <row r="4" ht="15.95" customHeight="1" s="241">
      <c r="A4" s="151" t="inlineStr">
        <is>
          <t>Rater</t>
        </is>
      </c>
      <c r="B4" s="151" t="inlineStr">
        <is>
          <t>Type</t>
        </is>
      </c>
      <c r="C4" s="151" t="inlineStr">
        <is>
          <t># Predictions</t>
        </is>
      </c>
      <c r="D4" s="151" t="inlineStr">
        <is>
          <t># Correct</t>
        </is>
      </c>
      <c r="E4" s="151" t="inlineStr">
        <is>
          <t># Incorrect</t>
        </is>
      </c>
      <c r="F4" s="151" t="inlineStr">
        <is>
          <t>% Correct</t>
        </is>
      </c>
      <c r="G4" s="151" t="inlineStr">
        <is>
          <t>% Incorrect</t>
        </is>
      </c>
      <c r="I4" s="151" t="inlineStr">
        <is>
          <t>Rater</t>
        </is>
      </c>
      <c r="J4" s="151" t="inlineStr">
        <is>
          <t>Type</t>
        </is>
      </c>
      <c r="K4" s="151" t="inlineStr">
        <is>
          <t># Trades</t>
        </is>
      </c>
      <c r="L4" s="151" t="inlineStr">
        <is>
          <t>Trade Rate %</t>
        </is>
      </c>
      <c r="M4" s="201" t="inlineStr">
        <is>
          <t>Avg %/Trade</t>
        </is>
      </c>
      <c r="N4" s="199" t="inlineStr">
        <is>
          <t>Std Dev %/Trade</t>
        </is>
      </c>
      <c r="O4" s="151" t="inlineStr">
        <is>
          <t>Dir. Hit Rate %</t>
        </is>
      </c>
      <c r="P4" s="151" t="inlineStr">
        <is>
          <t>Correct</t>
        </is>
      </c>
      <c r="Q4" s="151" t="inlineStr">
        <is>
          <t>Flat</t>
        </is>
      </c>
      <c r="R4" s="151" t="inlineStr">
        <is>
          <t>Wrong</t>
        </is>
      </c>
    </row>
    <row r="5" ht="45.95" customHeight="1" s="241">
      <c r="A5" s="19" t="inlineStr">
        <is>
          <t>Anna</t>
        </is>
      </c>
      <c r="B5" s="20" t="inlineStr">
        <is>
          <t>Human</t>
        </is>
      </c>
      <c r="C5" s="122">
        <f>COUNTIFS(Human_Data_Entry!$G$3:$G$524,A5,Human_Data_Entry!$S$3:$S$524,"YES")+COUNTIFS(Human_Data_Entry!$G$3:$G$524,A5,Human_Data_Entry!$S$3:$S$524,"NO")</f>
        <v/>
      </c>
      <c r="D5" s="122">
        <f>COUNTIFS(Human_Data_Entry!$G$3:$G$524,A5,Human_Data_Entry!$S$3:$S$524,"YES")</f>
        <v/>
      </c>
      <c r="E5" s="22">
        <f>C5-D5</f>
        <v/>
      </c>
      <c r="F5" s="23">
        <f>IF(C5=0,"-",D5/C5)</f>
        <v/>
      </c>
      <c r="G5" s="23">
        <f>IF(C5=0,"-",E5/C5)</f>
        <v/>
      </c>
      <c r="H5" s="17" t="n"/>
      <c r="I5" s="19">
        <f>A5</f>
        <v/>
      </c>
      <c r="J5" s="19">
        <f>B5</f>
        <v/>
      </c>
      <c r="K5" s="122">
        <f>SUMPRODUCT((Human_Data_Entry!$G$3:$G$524=$I5)*((Human_Data_Entry!$J$3:$J$524="BUY")+(Human_Data_Entry!$J$3:$J$524="SELL"))*ISNUMBER(Human_Data_Entry!$U$3:$U$524))</f>
        <v/>
      </c>
      <c r="L5" s="24">
        <f>IF(C5=0,"-",K5/C5)</f>
        <v/>
      </c>
      <c r="M5" s="202">
        <f>IFERROR(AVERAGEIFS(Human_Data_Entry!$U$3:$U$524,Human_Data_Entry!$G$3:$G$524,$I5,Human_Data_Entry!$J$3:$J$524,"&lt;&gt;HOLD",Human_Data_Entry!$U$3:$U$524,"&lt;&gt;"),"")</f>
        <v/>
      </c>
      <c r="N5" s="24">
        <f t="array" ref="N5">IFERROR(STDEV(IF((Human_Data_Entry!$G$3:$G$524=I5)*(Human_Data_Entry!$J$3:$J$524&lt;&gt;"HOLD")*(Human_Data_Entry!$U$3:$U$524&lt;&gt;""),Human_Data_Entry!$U$3:$U$524)),"")</f>
        <v/>
      </c>
      <c r="O5" s="123">
        <f>IFERROR(COUNTIFS(Human_Data_Entry!$G$3:$G$524,$I5,Human_Data_Entry!$J$3:$J$524,"&lt;&gt;HOLD",Human_Data_Entry!$S$3:$S$524,"YES")/COUNTIFS(Human_Data_Entry!$G$3:$G$524,$I5,Human_Data_Entry!$J$3:$J$524,"&lt;&gt;HOLD",Human_Data_Entry!$S$3:$S$524,"?*"),"")</f>
        <v/>
      </c>
      <c r="P5" s="21">
        <f t="array" ref="P5">SUMPRODUCT((Human_Data_Entry!$G$3:$G$524=$I5)*(((Human_Data_Entry!$J$3:$J$524="BUY")*(Human_Data_Entry!$R$3:$R$524="UP"))+((Human_Data_Entry!$J$3:$J$524="SELL")*(Human_Data_Entry!$R$3:$R$524="DOWN"))))</f>
        <v/>
      </c>
      <c r="Q5" s="21">
        <f t="array" ref="Q5">SUMPRODUCT((Human_Data_Entry!$G$3:$G$524=$I5)*((Human_Data_Entry!$J$3:$J$524="BUY")+(Human_Data_Entry!$J$3:$J$524="SELL"))*(Human_Data_Entry!$R$3:$R$524="FLAT"))</f>
        <v/>
      </c>
      <c r="R5" s="21">
        <f t="array" ref="R5">SUMPRODUCT((Human_Data_Entry!$G$3:$G$524=$I5)*(((Human_Data_Entry!$J$3:$J$524="BUY")*(Human_Data_Entry!$R$3:$R$524="DOWN"))+((Human_Data_Entry!$J$3:$J$524="SELL")*(Human_Data_Entry!$R$3:$R$524="UP"))))</f>
        <v/>
      </c>
    </row>
    <row r="6" ht="45.95" customHeight="1" s="241">
      <c r="A6" s="20" t="inlineStr">
        <is>
          <t>Abdul</t>
        </is>
      </c>
      <c r="B6" s="20" t="inlineStr">
        <is>
          <t>Human</t>
        </is>
      </c>
      <c r="C6" s="122">
        <f>COUNTIFS(Human_Data_Entry!$G$3:$G$524,A6,Human_Data_Entry!$S$3:$S$524,"YES")+COUNTIFS(Human_Data_Entry!$G$3:$G$524,A6,Human_Data_Entry!$S$3:$S$524,"NO")</f>
        <v/>
      </c>
      <c r="D6" s="122">
        <f>COUNTIFS(Human_Data_Entry!$G$3:$G$524,A6,Human_Data_Entry!$S$3:$S$524,"YES")</f>
        <v/>
      </c>
      <c r="E6" s="22">
        <f>C6-D6</f>
        <v/>
      </c>
      <c r="F6" s="23">
        <f>IF(C6=0,"-",D6/C6)</f>
        <v/>
      </c>
      <c r="G6" s="23">
        <f>IF(C6=0,"-",E6/C6)</f>
        <v/>
      </c>
      <c r="H6" s="17" t="n"/>
      <c r="I6" s="19">
        <f>A6</f>
        <v/>
      </c>
      <c r="J6" s="19">
        <f>B6</f>
        <v/>
      </c>
      <c r="K6" s="122">
        <f>SUMPRODUCT((Human_Data_Entry!$G$3:$G$524=$I6)*((Human_Data_Entry!$J$3:$J$524="BUY")+(Human_Data_Entry!$J$3:$J$524="SELL"))*ISNUMBER(Human_Data_Entry!$U$3:$U$524))</f>
        <v/>
      </c>
      <c r="L6" s="24">
        <f>IF(C6=0,"-",K6/C6)</f>
        <v/>
      </c>
      <c r="M6" s="202">
        <f>IFERROR(AVERAGEIFS(Human_Data_Entry!$U$3:$U$524,Human_Data_Entry!$G$3:$G$524,$I6,Human_Data_Entry!$J$3:$J$524,"&lt;&gt;HOLD",Human_Data_Entry!$U$3:$U$524,"&lt;&gt;"),"")</f>
        <v/>
      </c>
      <c r="N6" s="24">
        <f t="array" ref="N6">IFERROR(STDEV(IF((Human_Data_Entry!$G$3:$G$524=I6)*(Human_Data_Entry!$J$3:$J$524&lt;&gt;"HOLD")*(Human_Data_Entry!$U$3:$U$524&lt;&gt;""),Human_Data_Entry!$U$3:$U$524)),"")</f>
        <v/>
      </c>
      <c r="O6" s="123">
        <f>IFERROR(COUNTIFS(Human_Data_Entry!$G$3:$G$524,$I6,Human_Data_Entry!$J$3:$J$524,"&lt;&gt;HOLD",Human_Data_Entry!$S$3:$S$524,"YES")/COUNTIFS(Human_Data_Entry!$G$3:$G$524,$I6,Human_Data_Entry!$J$3:$J$524,"&lt;&gt;HOLD",Human_Data_Entry!$S$3:$S$524,"?*"),"")</f>
        <v/>
      </c>
      <c r="P6" s="21">
        <f t="array" ref="P6">SUMPRODUCT((Human_Data_Entry!$G$3:$G$524=$I6)*(((Human_Data_Entry!$J$3:$J$524="BUY")*(Human_Data_Entry!$R$3:$R$524="UP"))+((Human_Data_Entry!$J$3:$J$524="SELL")*(Human_Data_Entry!$R$3:$R$524="DOWN"))))</f>
        <v/>
      </c>
      <c r="Q6" s="21">
        <f t="array" ref="Q6">SUMPRODUCT((Human_Data_Entry!$G$3:$G$524=$I6)*((Human_Data_Entry!$J$3:$J$524="BUY")+(Human_Data_Entry!$J$3:$J$524="SELL"))*(Human_Data_Entry!$R$3:$R$524="FLAT"))</f>
        <v/>
      </c>
      <c r="R6" s="21">
        <f t="array" ref="R6">SUMPRODUCT((Human_Data_Entry!$G$3:$G$524=$I6)*(((Human_Data_Entry!$J$3:$J$524="BUY")*(Human_Data_Entry!$R$3:$R$524="DOWN"))+((Human_Data_Entry!$J$3:$J$524="SELL")*(Human_Data_Entry!$R$3:$R$524="UP"))))</f>
        <v/>
      </c>
    </row>
    <row r="7" ht="45.95" customHeight="1" s="241">
      <c r="A7" s="20" t="inlineStr">
        <is>
          <t>Nigel</t>
        </is>
      </c>
      <c r="B7" s="20" t="inlineStr">
        <is>
          <t>Human</t>
        </is>
      </c>
      <c r="C7" s="122">
        <f>COUNTIFS(Human_Data_Entry!$G$3:$G$524,A7,Human_Data_Entry!$S$3:$S$524,"YES")+COUNTIFS(Human_Data_Entry!$G$3:$G$524,A7,Human_Data_Entry!$S$3:$S$524,"NO")</f>
        <v/>
      </c>
      <c r="D7" s="122">
        <f>COUNTIFS(Human_Data_Entry!$G$3:$G$524,A7,Human_Data_Entry!$S$3:$S$524,"YES")</f>
        <v/>
      </c>
      <c r="E7" s="22">
        <f>C7-D7</f>
        <v/>
      </c>
      <c r="F7" s="23">
        <f>IF(C7=0,"-",D7/C7)</f>
        <v/>
      </c>
      <c r="G7" s="23">
        <f>IF(C7=0,"-",E7/C7)</f>
        <v/>
      </c>
      <c r="H7" s="17" t="n"/>
      <c r="I7" s="19">
        <f>A7</f>
        <v/>
      </c>
      <c r="J7" s="19">
        <f>B7</f>
        <v/>
      </c>
      <c r="K7" s="122">
        <f>SUMPRODUCT((Human_Data_Entry!$G$3:$G$524=$I7)*((Human_Data_Entry!$J$3:$J$524="BUY")+(Human_Data_Entry!$J$3:$J$524="SELL"))*ISNUMBER(Human_Data_Entry!$U$3:$U$524))</f>
        <v/>
      </c>
      <c r="L7" s="24">
        <f>IF(C7=0,"-",K7/C7)</f>
        <v/>
      </c>
      <c r="M7" s="202">
        <f>IFERROR(AVERAGEIFS(Human_Data_Entry!$U$3:$U$524,Human_Data_Entry!$G$3:$G$524,$I7,Human_Data_Entry!$J$3:$J$524,"&lt;&gt;HOLD",Human_Data_Entry!$U$3:$U$524,"&lt;&gt;"),"")</f>
        <v/>
      </c>
      <c r="N7" s="24">
        <f t="array" ref="N7">IFERROR(STDEV(IF((Human_Data_Entry!$G$3:$G$524=I7)*(Human_Data_Entry!$J$3:$J$524&lt;&gt;"HOLD")*(Human_Data_Entry!$U$3:$U$524&lt;&gt;""),Human_Data_Entry!$U$3:$U$524)),"")</f>
        <v/>
      </c>
      <c r="O7" s="123">
        <f>IFERROR(COUNTIFS(Human_Data_Entry!$G$3:$G$524,$I7,Human_Data_Entry!$J$3:$J$524,"&lt;&gt;HOLD",Human_Data_Entry!$S$3:$S$524,"YES")/COUNTIFS(Human_Data_Entry!$G$3:$G$524,$I7,Human_Data_Entry!$J$3:$J$524,"&lt;&gt;HOLD",Human_Data_Entry!$S$3:$S$524,"?*"),"")</f>
        <v/>
      </c>
      <c r="P7" s="21">
        <f t="array" ref="P7">SUMPRODUCT((Human_Data_Entry!$G$3:$G$524=$I7)*(((Human_Data_Entry!$J$3:$J$524="BUY")*(Human_Data_Entry!$R$3:$R$524="UP"))+((Human_Data_Entry!$J$3:$J$524="SELL")*(Human_Data_Entry!$R$3:$R$524="DOWN"))))</f>
        <v/>
      </c>
      <c r="Q7" s="21">
        <f t="array" ref="Q7">SUMPRODUCT((Human_Data_Entry!$G$3:$G$524=$I7)*((Human_Data_Entry!$J$3:$J$524="BUY")+(Human_Data_Entry!$J$3:$J$524="SELL"))*(Human_Data_Entry!$R$3:$R$524="FLAT"))</f>
        <v/>
      </c>
      <c r="R7" s="21">
        <f t="array" ref="R7">SUMPRODUCT((Human_Data_Entry!$G$3:$G$524=$I7)*(((Human_Data_Entry!$J$3:$J$524="BUY")*(Human_Data_Entry!$R$3:$R$524="DOWN"))+((Human_Data_Entry!$J$3:$J$524="SELL")*(Human_Data_Entry!$R$3:$R$524="UP"))))</f>
        <v/>
      </c>
    </row>
    <row r="8" ht="45.95" customHeight="1" s="241">
      <c r="A8" s="20" t="inlineStr">
        <is>
          <t>Meriem</t>
        </is>
      </c>
      <c r="B8" s="20" t="inlineStr">
        <is>
          <t>Human</t>
        </is>
      </c>
      <c r="C8" s="122">
        <f>COUNTIFS(Human_Data_Entry!$G$3:$G$524,A8,Human_Data_Entry!$S$3:$S$524,"YES")+COUNTIFS(Human_Data_Entry!$G$3:$G$524,A8,Human_Data_Entry!$S$3:$S$524,"NO")</f>
        <v/>
      </c>
      <c r="D8" s="122">
        <f>COUNTIFS(Human_Data_Entry!$G$3:$G$524,A8,Human_Data_Entry!$S$3:$S$524,"YES")</f>
        <v/>
      </c>
      <c r="E8" s="22">
        <f>C8-D8</f>
        <v/>
      </c>
      <c r="F8" s="23">
        <f>IF(C8=0,"-",D8/C8)</f>
        <v/>
      </c>
      <c r="G8" s="23">
        <f>IF(C8=0,"-",E8/C8)</f>
        <v/>
      </c>
      <c r="H8" s="17" t="n"/>
      <c r="I8" s="19">
        <f>A8</f>
        <v/>
      </c>
      <c r="J8" s="19">
        <f>B8</f>
        <v/>
      </c>
      <c r="K8" s="122">
        <f>SUMPRODUCT((Human_Data_Entry!$G$3:$G$524=$I8)*((Human_Data_Entry!$J$3:$J$524="BUY")+(Human_Data_Entry!$J$3:$J$524="SELL"))*ISNUMBER(Human_Data_Entry!$U$3:$U$524))</f>
        <v/>
      </c>
      <c r="L8" s="24">
        <f>IF(C8=0,"-",K8/C8)</f>
        <v/>
      </c>
      <c r="M8" s="202">
        <f>IFERROR(AVERAGEIFS(Human_Data_Entry!$U$3:$U$524,Human_Data_Entry!$G$3:$G$524,$I8,Human_Data_Entry!$J$3:$J$524,"&lt;&gt;HOLD",Human_Data_Entry!$U$3:$U$524,"&lt;&gt;"),"")</f>
        <v/>
      </c>
      <c r="N8" s="24">
        <f t="array" ref="N8">IFERROR(STDEV(IF((Human_Data_Entry!$G$3:$G$524=I8)*(Human_Data_Entry!$J$3:$J$524&lt;&gt;"HOLD")*(Human_Data_Entry!$U$3:$U$524&lt;&gt;""),Human_Data_Entry!$U$3:$U$524)),"")</f>
        <v/>
      </c>
      <c r="O8" s="123">
        <f>IFERROR(COUNTIFS(Human_Data_Entry!$G$3:$G$524,$I8,Human_Data_Entry!$J$3:$J$524,"&lt;&gt;HOLD",Human_Data_Entry!$S$3:$S$524,"YES")/COUNTIFS(Human_Data_Entry!$G$3:$G$524,$I8,Human_Data_Entry!$J$3:$J$524,"&lt;&gt;HOLD",Human_Data_Entry!$S$3:$S$524,"?*"),"")</f>
        <v/>
      </c>
      <c r="P8" s="21">
        <f t="array" ref="P8">SUMPRODUCT((Human_Data_Entry!$G$3:$G$524=$I8)*(((Human_Data_Entry!$J$3:$J$524="BUY")*(Human_Data_Entry!$R$3:$R$524="UP"))+((Human_Data_Entry!$J$3:$J$524="SELL")*(Human_Data_Entry!$R$3:$R$524="DOWN"))))</f>
        <v/>
      </c>
      <c r="Q8" s="21">
        <f t="array" ref="Q8">SUMPRODUCT((Human_Data_Entry!$G$3:$G$524=$I8)*((Human_Data_Entry!$J$3:$J$524="BUY")+(Human_Data_Entry!$J$3:$J$524="SELL"))*(Human_Data_Entry!$R$3:$R$524="FLAT"))</f>
        <v/>
      </c>
      <c r="R8" s="21">
        <f t="array" ref="R8">SUMPRODUCT((Human_Data_Entry!$G$3:$G$524=$I8)*(((Human_Data_Entry!$J$3:$J$524="BUY")*(Human_Data_Entry!$R$3:$R$524="DOWN"))+((Human_Data_Entry!$J$3:$J$524="SELL")*(Human_Data_Entry!$R$3:$R$524="UP"))))</f>
        <v/>
      </c>
    </row>
    <row r="9" ht="45.95" customHeight="1" s="241">
      <c r="A9" s="20" t="inlineStr">
        <is>
          <t>Dragos</t>
        </is>
      </c>
      <c r="B9" s="20" t="inlineStr">
        <is>
          <t>Human</t>
        </is>
      </c>
      <c r="C9" s="122">
        <f>COUNTIFS(Human_Data_Entry!$G$3:$G$524,A9,Human_Data_Entry!$S$3:$S$524,"YES")+COUNTIFS(Human_Data_Entry!$G$3:$G$524,A9,Human_Data_Entry!$S$3:$S$524,"NO")</f>
        <v/>
      </c>
      <c r="D9" s="122">
        <f>COUNTIFS(Human_Data_Entry!$G$3:$G$524,A9,Human_Data_Entry!$S$3:$S$524,"YES")</f>
        <v/>
      </c>
      <c r="E9" s="22">
        <f>C9-D9</f>
        <v/>
      </c>
      <c r="F9" s="23">
        <f>IF(C9=0,"-",D9/C9)</f>
        <v/>
      </c>
      <c r="G9" s="23">
        <f>IF(C9=0,"-",E9/C9)</f>
        <v/>
      </c>
      <c r="H9" s="17" t="n"/>
      <c r="I9" s="19">
        <f>A9</f>
        <v/>
      </c>
      <c r="J9" s="19">
        <f>B9</f>
        <v/>
      </c>
      <c r="K9" s="122">
        <f>SUMPRODUCT((Human_Data_Entry!$G$3:$G$524=$I9)*((Human_Data_Entry!$J$3:$J$524="BUY")+(Human_Data_Entry!$J$3:$J$524="SELL"))*ISNUMBER(Human_Data_Entry!$U$3:$U$524))</f>
        <v/>
      </c>
      <c r="L9" s="24">
        <f>IF(C9=0,"-",K9/C9)</f>
        <v/>
      </c>
      <c r="M9" s="202">
        <f>IFERROR(AVERAGEIFS(Human_Data_Entry!$U$3:$U$524,Human_Data_Entry!$G$3:$G$524,$I9,Human_Data_Entry!$J$3:$J$524,"&lt;&gt;HOLD",Human_Data_Entry!$U$3:$U$524,"&lt;&gt;"),"")</f>
        <v/>
      </c>
      <c r="N9" s="24">
        <f t="array" ref="N9">IFERROR(STDEV(IF((Human_Data_Entry!$G$3:$G$524=I9)*(Human_Data_Entry!$J$3:$J$524&lt;&gt;"HOLD")*(Human_Data_Entry!$U$3:$U$524&lt;&gt;""),Human_Data_Entry!$U$3:$U$524)),"")</f>
        <v/>
      </c>
      <c r="O9" s="123">
        <f>IFERROR(COUNTIFS(Human_Data_Entry!$G$3:$G$524,$I9,Human_Data_Entry!$J$3:$J$524,"&lt;&gt;HOLD",Human_Data_Entry!$S$3:$S$524,"YES")/COUNTIFS(Human_Data_Entry!$G$3:$G$524,$I9,Human_Data_Entry!$J$3:$J$524,"&lt;&gt;HOLD",Human_Data_Entry!$S$3:$S$524,"?*"),"")</f>
        <v/>
      </c>
      <c r="P9" s="21">
        <f t="array" ref="P9">SUMPRODUCT((Human_Data_Entry!$G$3:$G$524=$I9)*(((Human_Data_Entry!$J$3:$J$524="BUY")*(Human_Data_Entry!$R$3:$R$524="UP"))+((Human_Data_Entry!$J$3:$J$524="SELL")*(Human_Data_Entry!$R$3:$R$524="DOWN"))))</f>
        <v/>
      </c>
      <c r="Q9" s="21">
        <f t="array" ref="Q9">SUMPRODUCT((Human_Data_Entry!$G$3:$G$524=$I9)*((Human_Data_Entry!$J$3:$J$524="BUY")+(Human_Data_Entry!$J$3:$J$524="SELL"))*(Human_Data_Entry!$R$3:$R$524="FLAT"))</f>
        <v/>
      </c>
      <c r="R9" s="21">
        <f t="array" ref="R9">SUMPRODUCT((Human_Data_Entry!$G$3:$G$524=$I9)*(((Human_Data_Entry!$J$3:$J$524="BUY")*(Human_Data_Entry!$R$3:$R$524="DOWN"))+((Human_Data_Entry!$J$3:$J$524="SELL")*(Human_Data_Entry!$R$3:$R$524="UP"))))</f>
        <v/>
      </c>
    </row>
    <row r="10" ht="45.95" customHeight="1" s="241">
      <c r="A10" s="20" t="inlineStr">
        <is>
          <t>David</t>
        </is>
      </c>
      <c r="B10" s="20" t="inlineStr">
        <is>
          <t>Human</t>
        </is>
      </c>
      <c r="C10" s="122">
        <f>COUNTIFS(Human_Data_Entry!$G$3:$G$524,A10,Human_Data_Entry!$S$3:$S$524,"YES")+COUNTIFS(Human_Data_Entry!$G$3:$G$524,A10,Human_Data_Entry!$S$3:$S$524,"NO")</f>
        <v/>
      </c>
      <c r="D10" s="122">
        <f>COUNTIFS(Human_Data_Entry!$G$3:$G$524,A10,Human_Data_Entry!$S$3:$S$524,"YES")</f>
        <v/>
      </c>
      <c r="E10" s="22">
        <f>C10-D10</f>
        <v/>
      </c>
      <c r="F10" s="23">
        <f>IF(C10=0,"-",D10/C10)</f>
        <v/>
      </c>
      <c r="G10" s="23">
        <f>IF(C10=0,"-",E10/C10)</f>
        <v/>
      </c>
      <c r="H10" s="17" t="n"/>
      <c r="I10" s="19">
        <f>A10</f>
        <v/>
      </c>
      <c r="J10" s="19">
        <f>B10</f>
        <v/>
      </c>
      <c r="K10" s="122">
        <f>SUMPRODUCT((Human_Data_Entry!$G$3:$G$524=$I10)*((Human_Data_Entry!$J$3:$J$524="BUY")+(Human_Data_Entry!$J$3:$J$524="SELL"))*ISNUMBER(Human_Data_Entry!$U$3:$U$524))</f>
        <v/>
      </c>
      <c r="L10" s="24">
        <f>IF(C10=0,"-",K10/C10)</f>
        <v/>
      </c>
      <c r="M10" s="202">
        <f>IFERROR(AVERAGEIFS(Human_Data_Entry!$U$3:$U$524,Human_Data_Entry!$G$3:$G$524,$I10,Human_Data_Entry!$J$3:$J$524,"&lt;&gt;HOLD",Human_Data_Entry!$U$3:$U$524,"&lt;&gt;"),"")</f>
        <v/>
      </c>
      <c r="N10" s="24">
        <f t="array" ref="N10">IFERROR(STDEV(IF((Human_Data_Entry!$G$3:$G$524=I10)*(Human_Data_Entry!$J$3:$J$524&lt;&gt;"HOLD")*(Human_Data_Entry!$U$3:$U$524&lt;&gt;""),Human_Data_Entry!$U$3:$U$524)),"")</f>
        <v/>
      </c>
      <c r="O10" s="123">
        <f>IFERROR(COUNTIFS(Human_Data_Entry!$G$3:$G$524,$I10,Human_Data_Entry!$J$3:$J$524,"&lt;&gt;HOLD",Human_Data_Entry!$S$3:$S$524,"YES")/COUNTIFS(Human_Data_Entry!$G$3:$G$524,$I10,Human_Data_Entry!$J$3:$J$524,"&lt;&gt;HOLD",Human_Data_Entry!$S$3:$S$524,"?*"),"")</f>
        <v/>
      </c>
      <c r="P10" s="21">
        <f t="array" ref="P10">SUMPRODUCT((Human_Data_Entry!$G$3:$G$524=$I10)*(((Human_Data_Entry!$J$3:$J$524="BUY")*(Human_Data_Entry!$R$3:$R$524="UP"))+((Human_Data_Entry!$J$3:$J$524="SELL")*(Human_Data_Entry!$R$3:$R$524="DOWN"))))</f>
        <v/>
      </c>
      <c r="Q10" s="21">
        <f t="array" ref="Q10">SUMPRODUCT((Human_Data_Entry!$G$3:$G$524=$I10)*((Human_Data_Entry!$J$3:$J$524="BUY")+(Human_Data_Entry!$J$3:$J$524="SELL"))*(Human_Data_Entry!$R$3:$R$524="FLAT"))</f>
        <v/>
      </c>
      <c r="R10" s="21">
        <f t="array" ref="R10">SUMPRODUCT((Human_Data_Entry!$G$3:$G$524=$I10)*(((Human_Data_Entry!$J$3:$J$524="BUY")*(Human_Data_Entry!$R$3:$R$524="DOWN"))+((Human_Data_Entry!$J$3:$J$524="SELL")*(Human_Data_Entry!$R$3:$R$524="UP"))))</f>
        <v/>
      </c>
    </row>
    <row r="11" ht="45.95" customHeight="1" s="241">
      <c r="A11" s="25" t="inlineStr">
        <is>
          <t>Ben/DeepSeek</t>
        </is>
      </c>
      <c r="B11" s="26" t="inlineStr">
        <is>
          <t>LLM</t>
        </is>
      </c>
      <c r="C11" s="124">
        <f>COUNTIFS(LLM_Data_Entry!$E$3:$E$548,A11,LLM_Data_Entry!$R$3:$R$548,"YES")+COUNTIFS(LLM_Data_Entry!$E$3:$E$548,A11,LLM_Data_Entry!$R$3:$R$548,"NO")</f>
        <v/>
      </c>
      <c r="D11" s="124">
        <f>COUNTIFS(LLM_Data_Entry!$E$3:$E$548,A11,LLM_Data_Entry!$R$3:$R$548,"YES")</f>
        <v/>
      </c>
      <c r="E11" s="27">
        <f>C11-D11</f>
        <v/>
      </c>
      <c r="F11" s="28">
        <f>IF(C11=0,"-",D11/C11)</f>
        <v/>
      </c>
      <c r="G11" s="28">
        <f>IF(C11=0,"-",E11/C11)</f>
        <v/>
      </c>
      <c r="H11" s="29" t="n"/>
      <c r="I11" s="25">
        <f>A11</f>
        <v/>
      </c>
      <c r="J11" s="25">
        <f>B11</f>
        <v/>
      </c>
      <c r="K11" s="125">
        <f>COUNTIFS(LLM_Data_Entry!$E$3:$E$548,$I11,LLM_Data_Entry!$H$3:$H$548,"BUY",LLM_Data_Entry!$T$3:$T$548,"&lt;&gt;")+COUNTIFS(LLM_Data_Entry!$E$3:$E$548,$I11,LLM_Data_Entry!$H$3:$H$548,"SELL",LLM_Data_Entry!$T$3:$T$548,"&lt;&gt;")</f>
        <v/>
      </c>
      <c r="L11" s="30">
        <f>IF(C11=0,"-",K11/C11)</f>
        <v/>
      </c>
      <c r="M11" s="203">
        <f>IFERROR(AVERAGEIFS(LLM_Data_Entry!$T$3:$T$548,LLM_Data_Entry!$E$3:$E$548,$I11,LLM_Data_Entry!$H$3:$H$548,"&lt;&gt;HOLD",LLM_Data_Entry!$T$3:$T$548,"&lt;&gt;"),"")</f>
        <v/>
      </c>
      <c r="N11" s="31">
        <f t="array" ref="N11">IFERROR(STDEV(IF((LLM_Data_Entry!$E$3:$E$548=I11)*(LLM_Data_Entry!$H$3:$H$548&lt;&gt;"HOLD")*(LLM_Data_Entry!$T$3:$T$548&lt;&gt;""),LLM_Data_Entry!$T$3:$T$548)),"")</f>
        <v/>
      </c>
      <c r="O11" s="126">
        <f>IFERROR(COUNTIFS(LLM_Data_Entry!$E$3:$E$548,$I11,LLM_Data_Entry!$H$3:$H$548,"&lt;&gt;HOLD",LLM_Data_Entry!$R$3:$R$548,"YES")/COUNTIFS(LLM_Data_Entry!$E$3:$E$548,$I11,LLM_Data_Entry!$H$3:$H$548,"&lt;&gt;HOLD",LLM_Data_Entry!$R$3:$R$548,"&lt;&gt;"),"")</f>
        <v/>
      </c>
      <c r="P11" s="32">
        <f t="array" ref="P11">SUMPRODUCT((LLM_Data_Entry!$E$3:$E$548=$I11)*(((LLM_Data_Entry!$H$3:$H$548="BUY")*(LLM_Data_Entry!$Q$3:$Q$548="UP"))+((LLM_Data_Entry!$H$3:$H$548="SELL")*(LLM_Data_Entry!$Q$3:$Q$548="DOWN"))))</f>
        <v/>
      </c>
      <c r="Q11" s="32">
        <f t="array" ref="Q11">SUMPRODUCT((LLM_Data_Entry!$E$3:$E$548=$I11)*((LLM_Data_Entry!$H$3:$H$548="BUY")+(LLM_Data_Entry!$H$3:$H$548="SELL"))*(LLM_Data_Entry!$Q$3:$Q$548="FLAT"))</f>
        <v/>
      </c>
      <c r="R11" s="32">
        <f t="array" ref="R11">SUMPRODUCT((LLM_Data_Entry!$E$3:$E$548=$I11)*(((LLM_Data_Entry!$H$3:$H$548="BUY")*(LLM_Data_Entry!$Q$3:$Q$548="DOWN"))+((LLM_Data_Entry!$H$3:$H$548="SELL")*(LLM_Data_Entry!$Q$3:$Q$548="UP"))))</f>
        <v/>
      </c>
    </row>
    <row r="12" ht="45.95" customHeight="1" s="241">
      <c r="A12" s="33" t="inlineStr">
        <is>
          <t>All Humans Total</t>
        </is>
      </c>
      <c r="B12" s="33" t="n"/>
      <c r="C12" s="34">
        <f>SUM(C5:C10)</f>
        <v/>
      </c>
      <c r="D12" s="34">
        <f>SUM(D5:D10)</f>
        <v/>
      </c>
      <c r="E12" s="34">
        <f>SUM(E5:E10)</f>
        <v/>
      </c>
      <c r="F12" s="35">
        <f>IF(C12=0,"-",D12/C12)</f>
        <v/>
      </c>
      <c r="G12" s="35">
        <f>IF(C12=0,"-",E12/C12)</f>
        <v/>
      </c>
      <c r="H12" s="36" t="n"/>
      <c r="I12" s="33" t="inlineStr">
        <is>
          <t>All Humans Total</t>
        </is>
      </c>
      <c r="J12" s="33" t="n"/>
      <c r="K12" s="127">
        <f>SUMPRODUCT((Human_Data_Entry!$H$3:$H$524="Human")*((Human_Data_Entry!$J$3:$J$524="BUY")+(Human_Data_Entry!$J$3:$J$524="SELL"))*ISNUMBER(Human_Data_Entry!$U$3:$U$524))</f>
        <v/>
      </c>
      <c r="L12" s="35">
        <f>IF(C12=0,"-",K12/C12)</f>
        <v/>
      </c>
      <c r="M12" s="204">
        <f>IFERROR(AVERAGEIFS(Human_Data_Entry!$U$3:$U$524,Human_Data_Entry!$H$3:$H$524,"Human",Human_Data_Entry!$J$3:$J$524,"&lt;&gt;HOLD",Human_Data_Entry!$U$3:$U$524,"&lt;&gt;"),"")</f>
        <v/>
      </c>
      <c r="N12" s="35">
        <f t="array" ref="N12">IFERROR(STDEV(IF((Human_Data_Entry!$H$3:$H$524="Human")*(Human_Data_Entry!$J$3:$J$524&lt;&gt;"HOLD")*(Human_Data_Entry!$U$3:$U$524&lt;&gt;""),Human_Data_Entry!$U$3:$U$524)),"")</f>
        <v/>
      </c>
      <c r="O12" s="128">
        <f>IFERROR(COUNTIFS(Human_Data_Entry!$H$3:$H$524,"Human",Human_Data_Entry!$J$3:$J$524,"&lt;&gt;HOLD",Human_Data_Entry!$S$3:$S$524,"YES")/COUNTIFS(Human_Data_Entry!$H$3:$H$524,"Human",Human_Data_Entry!$J$3:$J$524,"&lt;&gt;HOLD",Human_Data_Entry!$S$3:$S$524,"?*"),"")</f>
        <v/>
      </c>
      <c r="P12" s="34">
        <f>SUM(P5:P10)</f>
        <v/>
      </c>
      <c r="Q12" s="34">
        <f>SUM(Q5:Q10)</f>
        <v/>
      </c>
      <c r="R12" s="34">
        <f>SUM(R5:R10)</f>
        <v/>
      </c>
    </row>
    <row r="13" ht="15.95" customHeight="1" s="241">
      <c r="A13" s="37" t="inlineStr">
        <is>
          <t>LLM Total</t>
        </is>
      </c>
      <c r="B13" s="37" t="n"/>
      <c r="C13" s="38">
        <f>C11</f>
        <v/>
      </c>
      <c r="D13" s="38">
        <f>D11</f>
        <v/>
      </c>
      <c r="E13" s="38">
        <f>E11</f>
        <v/>
      </c>
      <c r="F13" s="39">
        <f>F11</f>
        <v/>
      </c>
      <c r="G13" s="39">
        <f>G11</f>
        <v/>
      </c>
      <c r="H13" s="40" t="n"/>
      <c r="I13" s="37" t="inlineStr">
        <is>
          <t>LLM Total</t>
        </is>
      </c>
      <c r="J13" s="37" t="n"/>
      <c r="K13" s="38">
        <f>K11</f>
        <v/>
      </c>
      <c r="L13" s="39">
        <f>L11</f>
        <v/>
      </c>
      <c r="M13" s="200">
        <f>M11</f>
        <v/>
      </c>
      <c r="N13" s="39">
        <f>N11</f>
        <v/>
      </c>
      <c r="O13" s="39">
        <f>O11</f>
        <v/>
      </c>
      <c r="P13" s="38">
        <f>P11</f>
        <v/>
      </c>
      <c r="Q13" s="38">
        <f>Q11</f>
        <v/>
      </c>
      <c r="R13" s="38">
        <f>R11</f>
        <v/>
      </c>
    </row>
    <row r="14" ht="45.95" customHeight="1" s="241">
      <c r="A14" t="inlineStr">
        <is>
          <t>HEADLINE, from 10 August 2026: one reading per rater-event.</t>
        </is>
      </c>
      <c r="C14" s="101" t="inlineStr">
        <is>
          <t>The block above pools repeat readings by the same rater on the same event and counts them as independent observations. The group ruled on 10 August 2026 that it should not: one reading per rater-event is the headline and the pooled figure is the robustness row. Both are published side by side in section H at row 401, and section E's block at row 274 carries the same split on the re-priced basis. This row is a signpost, not a figure.</t>
        </is>
      </c>
    </row>
    <row r="15" ht="15.95" customHeight="1" s="241"/>
    <row r="16" ht="15.95" customHeight="1" s="241">
      <c r="A16" s="9" t="inlineStr">
        <is>
          <t>Accuracy by Company</t>
        </is>
      </c>
      <c r="I16" s="9" t="inlineStr">
        <is>
          <t>P&amp;L by Company</t>
        </is>
      </c>
    </row>
    <row r="17" ht="15.95" customHeight="1" s="241">
      <c r="A17" s="15" t="inlineStr">
        <is>
          <t>Company</t>
        </is>
      </c>
      <c r="B17" s="15" t="inlineStr">
        <is>
          <t>Human
# Pred</t>
        </is>
      </c>
      <c r="C17" s="15" t="inlineStr">
        <is>
          <t>Human
# Correct</t>
        </is>
      </c>
      <c r="D17" s="15" t="inlineStr">
        <is>
          <t>Human
% Correct</t>
        </is>
      </c>
      <c r="E17" s="15" t="inlineStr">
        <is>
          <t>LLM
# Pred</t>
        </is>
      </c>
      <c r="F17" s="15" t="inlineStr">
        <is>
          <t>LLM
# Correct</t>
        </is>
      </c>
      <c r="G17" s="15" t="inlineStr">
        <is>
          <t>LLM
% Correct</t>
        </is>
      </c>
      <c r="I17" s="15" t="inlineStr">
        <is>
          <t>Company</t>
        </is>
      </c>
      <c r="J17" s="15" t="inlineStr">
        <is>
          <t>Human #Trades</t>
        </is>
      </c>
      <c r="K17" s="15" t="inlineStr">
        <is>
          <t>Human Avg%/Trade</t>
        </is>
      </c>
      <c r="L17" s="15" t="inlineStr">
        <is>
          <t>Human Total Return% (sum)</t>
        </is>
      </c>
      <c r="M17" s="15" t="inlineStr">
        <is>
          <t>LLM #Trades</t>
        </is>
      </c>
      <c r="N17" s="15" t="inlineStr">
        <is>
          <t>LLM Avg%/Trade</t>
        </is>
      </c>
      <c r="O17" s="15" t="inlineStr">
        <is>
          <t>LLM Total Return% (sum)</t>
        </is>
      </c>
    </row>
    <row r="18" ht="45.95" customHeight="1" s="241">
      <c r="A18" s="41" t="inlineStr">
        <is>
          <t>Netflix</t>
        </is>
      </c>
      <c r="B18" s="129">
        <f>COUNTIFS(Human_Data_Entry!$A$3:$A$524,$A18,Human_Data_Entry!$H$3:$H$524,"Human",Human_Data_Entry!$S$3:$S$524,"?*")</f>
        <v/>
      </c>
      <c r="C18" s="129">
        <f>COUNTIFS(Human_Data_Entry!$A$3:$A$524,$A18,Human_Data_Entry!$H$3:$H$524,"Human",Human_Data_Entry!$S$3:$S$524,"YES")</f>
        <v/>
      </c>
      <c r="D18" s="42">
        <f>IF(B18=0,"-",C18/B18)</f>
        <v/>
      </c>
      <c r="E18" s="129">
        <f>COUNTIFS(LLM_Data_Entry!$A$3:$A$548,$A18,LLM_Data_Entry!$F$3:$F$548,"LLM",LLM_Data_Entry!$R$3:$R$548,"&lt;&gt;")</f>
        <v/>
      </c>
      <c r="F18" s="130">
        <f>COUNTIFS(LLM_Data_Entry!$A$3:$A$548,$A18,LLM_Data_Entry!$F$3:$F$548,"LLM",LLM_Data_Entry!$R$3:$R$548,"YES")</f>
        <v/>
      </c>
      <c r="G18" s="42">
        <f>IF(E18=0,"-",F18/E18)</f>
        <v/>
      </c>
      <c r="H18" s="17" t="n"/>
      <c r="I18" s="41">
        <f>A18</f>
        <v/>
      </c>
      <c r="J18" s="131">
        <f>SUMPRODUCT((Human_Data_Entry!$A$3:$A$524=$I18)*(Human_Data_Entry!$H$3:$H$524="Human")*((Human_Data_Entry!$J$3:$J$524="BUY")+(Human_Data_Entry!$J$3:$J$524="SELL"))*ISNUMBER(Human_Data_Entry!$U$3:$U$524))</f>
        <v/>
      </c>
      <c r="K18" s="132">
        <f>IFERROR(AVERAGEIFS(Human_Data_Entry!$U$3:$U$524,Human_Data_Entry!$A$3:$A$524,$I18,Human_Data_Entry!$H$3:$H$524,"Human",Human_Data_Entry!$J$3:$J$524,"&lt;&gt;HOLD",Human_Data_Entry!$U$3:$U$524,"&lt;&gt;"),"")</f>
        <v/>
      </c>
      <c r="L18" s="132">
        <f>IFERROR(SUMIFS(Human_Data_Entry!$U$3:$U$524,Human_Data_Entry!$A$3:$A$524,$I18,Human_Data_Entry!$H$3:$H$524,"Human",Human_Data_Entry!$J$3:$J$524,"&lt;&gt;HOLD"),"")</f>
        <v/>
      </c>
      <c r="M18" s="205">
        <f>COUNTIFS(LLM_Data_Entry!$A$3:$A$548,$I18,LLM_Data_Entry!$F$3:$F$548,"LLM",LLM_Data_Entry!$H$3:$H$548,"&lt;&gt;HOLD",LLM_Data_Entry!$T$3:$T$548,"&lt;&gt;")</f>
        <v/>
      </c>
      <c r="N18" s="132">
        <f>IFERROR(AVERAGEIFS(LLM_Data_Entry!$T$3:$T$548,LLM_Data_Entry!$A$3:$A$548,$I18,LLM_Data_Entry!$F$3:$F$548,"LLM",LLM_Data_Entry!$H$3:$H$548,"&lt;&gt;HOLD",LLM_Data_Entry!$T$3:$T$548,"&lt;&gt;"),"")</f>
        <v/>
      </c>
      <c r="O18" s="132">
        <f>IFERROR(SUMIFS(LLM_Data_Entry!$T$3:$T$548,LLM_Data_Entry!$A$3:$A$548,$I18,LLM_Data_Entry!$F$3:$F$548,"LLM",LLM_Data_Entry!$H$3:$H$548,"&lt;&gt;HOLD"),"")</f>
        <v/>
      </c>
    </row>
    <row r="19" ht="45.95" customHeight="1" s="241">
      <c r="A19" s="43" t="inlineStr">
        <is>
          <t>JPMorgan</t>
        </is>
      </c>
      <c r="B19" s="129">
        <f>COUNTIFS(Human_Data_Entry!$A$3:$A$524,$A19,Human_Data_Entry!$H$3:$H$524,"Human",Human_Data_Entry!$S$3:$S$524,"?*")</f>
        <v/>
      </c>
      <c r="C19" s="129">
        <f>COUNTIFS(Human_Data_Entry!$A$3:$A$524,$A19,Human_Data_Entry!$H$3:$H$524,"Human",Human_Data_Entry!$S$3:$S$524,"YES")</f>
        <v/>
      </c>
      <c r="D19" s="44">
        <f>IF(B19=0,"-",C19/B19)</f>
        <v/>
      </c>
      <c r="E19" s="129">
        <f>COUNTIFS(LLM_Data_Entry!$A$3:$A$548,$A19,LLM_Data_Entry!$F$3:$F$548,"LLM",LLM_Data_Entry!$R$3:$R$548,"&lt;&gt;")</f>
        <v/>
      </c>
      <c r="F19" s="130">
        <f>COUNTIFS(LLM_Data_Entry!$A$3:$A$548,$A19,LLM_Data_Entry!$F$3:$F$548,"LLM",LLM_Data_Entry!$R$3:$R$548,"YES")</f>
        <v/>
      </c>
      <c r="G19" s="44">
        <f>IF(E19=0,"-",F19/E19)</f>
        <v/>
      </c>
      <c r="H19" s="17" t="n"/>
      <c r="I19" s="41">
        <f>A19</f>
        <v/>
      </c>
      <c r="J19" s="131">
        <f>SUMPRODUCT((Human_Data_Entry!$A$3:$A$524=$I19)*(Human_Data_Entry!$H$3:$H$524="Human")*((Human_Data_Entry!$J$3:$J$524="BUY")+(Human_Data_Entry!$J$3:$J$524="SELL"))*ISNUMBER(Human_Data_Entry!$U$3:$U$524))</f>
        <v/>
      </c>
      <c r="K19" s="132">
        <f>IFERROR(AVERAGEIFS(Human_Data_Entry!$U$3:$U$524,Human_Data_Entry!$A$3:$A$524,$I19,Human_Data_Entry!$H$3:$H$524,"Human",Human_Data_Entry!$J$3:$J$524,"&lt;&gt;HOLD",Human_Data_Entry!$U$3:$U$524,"&lt;&gt;"),"")</f>
        <v/>
      </c>
      <c r="L19" s="132">
        <f>IFERROR(SUMIFS(Human_Data_Entry!$U$3:$U$524,Human_Data_Entry!$A$3:$A$524,$I19,Human_Data_Entry!$H$3:$H$524,"Human",Human_Data_Entry!$J$3:$J$524,"&lt;&gt;HOLD"),"")</f>
        <v/>
      </c>
      <c r="M19" s="205">
        <f>COUNTIFS(LLM_Data_Entry!$A$3:$A$548,$I19,LLM_Data_Entry!$F$3:$F$548,"LLM",LLM_Data_Entry!$H$3:$H$548,"&lt;&gt;HOLD",LLM_Data_Entry!$T$3:$T$548,"&lt;&gt;")</f>
        <v/>
      </c>
      <c r="N19" s="132">
        <f>IFERROR(AVERAGEIFS(LLM_Data_Entry!$T$3:$T$548,LLM_Data_Entry!$A$3:$A$548,$I19,LLM_Data_Entry!$F$3:$F$548,"LLM",LLM_Data_Entry!$H$3:$H$548,"&lt;&gt;HOLD",LLM_Data_Entry!$T$3:$T$548,"&lt;&gt;"),"")</f>
        <v/>
      </c>
      <c r="O19" s="132">
        <f>IFERROR(SUMIFS(LLM_Data_Entry!$T$3:$T$548,LLM_Data_Entry!$A$3:$A$548,$I19,LLM_Data_Entry!$F$3:$F$548,"LLM",LLM_Data_Entry!$H$3:$H$548,"&lt;&gt;HOLD"),"")</f>
        <v/>
      </c>
    </row>
    <row r="20" ht="45.95" customHeight="1" s="241">
      <c r="A20" s="43" t="inlineStr">
        <is>
          <t>Adobe</t>
        </is>
      </c>
      <c r="B20" s="129">
        <f>COUNTIFS(Human_Data_Entry!$A$3:$A$524,$A20,Human_Data_Entry!$H$3:$H$524,"Human",Human_Data_Entry!$S$3:$S$524,"?*")</f>
        <v/>
      </c>
      <c r="C20" s="129">
        <f>COUNTIFS(Human_Data_Entry!$A$3:$A$524,$A20,Human_Data_Entry!$H$3:$H$524,"Human",Human_Data_Entry!$S$3:$S$524,"YES")</f>
        <v/>
      </c>
      <c r="D20" s="44">
        <f>IF(B20=0,"-",C20/B20)</f>
        <v/>
      </c>
      <c r="E20" s="129">
        <f>COUNTIFS(LLM_Data_Entry!$A$3:$A$548,$A20,LLM_Data_Entry!$F$3:$F$548,"LLM",LLM_Data_Entry!$R$3:$R$548,"&lt;&gt;")</f>
        <v/>
      </c>
      <c r="F20" s="130">
        <f>COUNTIFS(LLM_Data_Entry!$A$3:$A$548,$A20,LLM_Data_Entry!$F$3:$F$548,"LLM",LLM_Data_Entry!$R$3:$R$548,"YES")</f>
        <v/>
      </c>
      <c r="G20" s="44">
        <f>IF(E20=0,"-",F20/E20)</f>
        <v/>
      </c>
      <c r="H20" s="17" t="n"/>
      <c r="I20" s="41">
        <f>A20</f>
        <v/>
      </c>
      <c r="J20" s="131">
        <f>SUMPRODUCT((Human_Data_Entry!$A$3:$A$524=$I20)*(Human_Data_Entry!$H$3:$H$524="Human")*((Human_Data_Entry!$J$3:$J$524="BUY")+(Human_Data_Entry!$J$3:$J$524="SELL"))*ISNUMBER(Human_Data_Entry!$U$3:$U$524))</f>
        <v/>
      </c>
      <c r="K20" s="132">
        <f>IFERROR(AVERAGEIFS(Human_Data_Entry!$U$3:$U$524,Human_Data_Entry!$A$3:$A$524,$I20,Human_Data_Entry!$H$3:$H$524,"Human",Human_Data_Entry!$J$3:$J$524,"&lt;&gt;HOLD",Human_Data_Entry!$U$3:$U$524,"&lt;&gt;"),"")</f>
        <v/>
      </c>
      <c r="L20" s="132">
        <f>IFERROR(SUMIFS(Human_Data_Entry!$U$3:$U$524,Human_Data_Entry!$A$3:$A$524,$I20,Human_Data_Entry!$H$3:$H$524,"Human",Human_Data_Entry!$J$3:$J$524,"&lt;&gt;HOLD"),"")</f>
        <v/>
      </c>
      <c r="M20" s="205">
        <f>COUNTIFS(LLM_Data_Entry!$A$3:$A$548,$I20,LLM_Data_Entry!$F$3:$F$548,"LLM",LLM_Data_Entry!$H$3:$H$548,"&lt;&gt;HOLD",LLM_Data_Entry!$T$3:$T$548,"&lt;&gt;")</f>
        <v/>
      </c>
      <c r="N20" s="132">
        <f>IFERROR(AVERAGEIFS(LLM_Data_Entry!$T$3:$T$548,LLM_Data_Entry!$A$3:$A$548,$I20,LLM_Data_Entry!$F$3:$F$548,"LLM",LLM_Data_Entry!$H$3:$H$548,"&lt;&gt;HOLD",LLM_Data_Entry!$T$3:$T$548,"&lt;&gt;"),"")</f>
        <v/>
      </c>
      <c r="O20" s="132">
        <f>IFERROR(SUMIFS(LLM_Data_Entry!$T$3:$T$548,LLM_Data_Entry!$A$3:$A$548,$I20,LLM_Data_Entry!$F$3:$F$548,"LLM",LLM_Data_Entry!$H$3:$H$548,"&lt;&gt;HOLD"),"")</f>
        <v/>
      </c>
    </row>
    <row r="21" ht="45.95" customHeight="1" s="241">
      <c r="A21" s="43" t="inlineStr">
        <is>
          <t>Allianz</t>
        </is>
      </c>
      <c r="B21" s="129">
        <f>COUNTIFS(Human_Data_Entry!$A$3:$A$524,$A21,Human_Data_Entry!$H$3:$H$524,"Human",Human_Data_Entry!$S$3:$S$524,"?*")</f>
        <v/>
      </c>
      <c r="C21" s="129">
        <f>COUNTIFS(Human_Data_Entry!$A$3:$A$524,$A21,Human_Data_Entry!$H$3:$H$524,"Human",Human_Data_Entry!$S$3:$S$524,"YES")</f>
        <v/>
      </c>
      <c r="D21" s="44">
        <f>IF(B21=0,"-",C21/B21)</f>
        <v/>
      </c>
      <c r="E21" s="129">
        <f>COUNTIFS(LLM_Data_Entry!$A$3:$A$548,$A21,LLM_Data_Entry!$F$3:$F$548,"LLM",LLM_Data_Entry!$R$3:$R$548,"&lt;&gt;")</f>
        <v/>
      </c>
      <c r="F21" s="130">
        <f>COUNTIFS(LLM_Data_Entry!$A$3:$A$548,$A21,LLM_Data_Entry!$F$3:$F$548,"LLM",LLM_Data_Entry!$R$3:$R$548,"YES")</f>
        <v/>
      </c>
      <c r="G21" s="44">
        <f>IF(E21=0,"-",F21/E21)</f>
        <v/>
      </c>
      <c r="H21" s="17" t="n"/>
      <c r="I21" s="41">
        <f>A21</f>
        <v/>
      </c>
      <c r="J21" s="131">
        <f>SUMPRODUCT((Human_Data_Entry!$A$3:$A$524=$I21)*(Human_Data_Entry!$H$3:$H$524="Human")*((Human_Data_Entry!$J$3:$J$524="BUY")+(Human_Data_Entry!$J$3:$J$524="SELL"))*ISNUMBER(Human_Data_Entry!$U$3:$U$524))</f>
        <v/>
      </c>
      <c r="K21" s="132">
        <f>IFERROR(AVERAGEIFS(Human_Data_Entry!$U$3:$U$524,Human_Data_Entry!$A$3:$A$524,$I21,Human_Data_Entry!$H$3:$H$524,"Human",Human_Data_Entry!$J$3:$J$524,"&lt;&gt;HOLD",Human_Data_Entry!$U$3:$U$524,"&lt;&gt;"),"")</f>
        <v/>
      </c>
      <c r="L21" s="132">
        <f>IFERROR(SUMIFS(Human_Data_Entry!$U$3:$U$524,Human_Data_Entry!$A$3:$A$524,$I21,Human_Data_Entry!$H$3:$H$524,"Human",Human_Data_Entry!$J$3:$J$524,"&lt;&gt;HOLD"),"")</f>
        <v/>
      </c>
      <c r="M21" s="205">
        <f>COUNTIFS(LLM_Data_Entry!$A$3:$A$548,$I21,LLM_Data_Entry!$F$3:$F$548,"LLM",LLM_Data_Entry!$H$3:$H$548,"&lt;&gt;HOLD",LLM_Data_Entry!$T$3:$T$548,"&lt;&gt;")</f>
        <v/>
      </c>
      <c r="N21" s="132">
        <f>IFERROR(AVERAGEIFS(LLM_Data_Entry!$T$3:$T$548,LLM_Data_Entry!$A$3:$A$548,$I21,LLM_Data_Entry!$F$3:$F$548,"LLM",LLM_Data_Entry!$H$3:$H$548,"&lt;&gt;HOLD",LLM_Data_Entry!$T$3:$T$548,"&lt;&gt;"),"")</f>
        <v/>
      </c>
      <c r="O21" s="132">
        <f>IFERROR(SUMIFS(LLM_Data_Entry!$T$3:$T$548,LLM_Data_Entry!$A$3:$A$548,$I21,LLM_Data_Entry!$F$3:$F$548,"LLM",LLM_Data_Entry!$H$3:$H$548,"&lt;&gt;HOLD"),"")</f>
        <v/>
      </c>
    </row>
    <row r="22" ht="45.95" customHeight="1" s="241">
      <c r="A22" s="41" t="inlineStr">
        <is>
          <t>Bank of America</t>
        </is>
      </c>
      <c r="B22" s="129">
        <f>COUNTIFS(Human_Data_Entry!$A$3:$A$524,$A22,Human_Data_Entry!$H$3:$H$524,"Human",Human_Data_Entry!$S$3:$S$524,"?*")</f>
        <v/>
      </c>
      <c r="C22" s="129">
        <f>COUNTIFS(Human_Data_Entry!$A$3:$A$524,$A22,Human_Data_Entry!$H$3:$H$524,"Human",Human_Data_Entry!$S$3:$S$524,"YES")</f>
        <v/>
      </c>
      <c r="D22" s="42">
        <f>IF(B22=0,"-",C22/B22)</f>
        <v/>
      </c>
      <c r="E22" s="129">
        <f>COUNTIFS(LLM_Data_Entry!$A$3:$A$548,$A22,LLM_Data_Entry!$F$3:$F$548,"LLM",LLM_Data_Entry!$R$3:$R$548,"&lt;&gt;")</f>
        <v/>
      </c>
      <c r="F22" s="130">
        <f>COUNTIFS(LLM_Data_Entry!$A$3:$A$548,$A22,LLM_Data_Entry!$F$3:$F$548,"LLM",LLM_Data_Entry!$R$3:$R$548,"YES")</f>
        <v/>
      </c>
      <c r="G22" s="42">
        <f>IF(E22=0,"-",F22/E22)</f>
        <v/>
      </c>
      <c r="H22" s="17" t="n"/>
      <c r="I22" s="41">
        <f>A22</f>
        <v/>
      </c>
      <c r="J22" s="131">
        <f>SUMPRODUCT((Human_Data_Entry!$A$3:$A$524=$I22)*(Human_Data_Entry!$H$3:$H$524="Human")*((Human_Data_Entry!$J$3:$J$524="BUY")+(Human_Data_Entry!$J$3:$J$524="SELL"))*ISNUMBER(Human_Data_Entry!$U$3:$U$524))</f>
        <v/>
      </c>
      <c r="K22" s="132">
        <f>IFERROR(AVERAGEIFS(Human_Data_Entry!$U$3:$U$524,Human_Data_Entry!$A$3:$A$524,$I22,Human_Data_Entry!$H$3:$H$524,"Human",Human_Data_Entry!$J$3:$J$524,"&lt;&gt;HOLD",Human_Data_Entry!$U$3:$U$524,"&lt;&gt;"),"")</f>
        <v/>
      </c>
      <c r="L22" s="132">
        <f>IFERROR(SUMIFS(Human_Data_Entry!$U$3:$U$524,Human_Data_Entry!$A$3:$A$524,$I22,Human_Data_Entry!$H$3:$H$524,"Human",Human_Data_Entry!$J$3:$J$524,"&lt;&gt;HOLD"),"")</f>
        <v/>
      </c>
      <c r="M22" s="205">
        <f>COUNTIFS(LLM_Data_Entry!$A$3:$A$548,$I22,LLM_Data_Entry!$F$3:$F$548,"LLM",LLM_Data_Entry!$H$3:$H$548,"&lt;&gt;HOLD",LLM_Data_Entry!$T$3:$T$548,"&lt;&gt;")</f>
        <v/>
      </c>
      <c r="N22" s="132">
        <f>IFERROR(AVERAGEIFS(LLM_Data_Entry!$T$3:$T$548,LLM_Data_Entry!$A$3:$A$548,$I22,LLM_Data_Entry!$F$3:$F$548,"LLM",LLM_Data_Entry!$H$3:$H$548,"&lt;&gt;HOLD",LLM_Data_Entry!$T$3:$T$548,"&lt;&gt;"),"")</f>
        <v/>
      </c>
      <c r="O22" s="132">
        <f>IFERROR(SUMIFS(LLM_Data_Entry!$T$3:$T$548,LLM_Data_Entry!$A$3:$A$548,$I22,LLM_Data_Entry!$F$3:$F$548,"LLM",LLM_Data_Entry!$H$3:$H$548,"&lt;&gt;HOLD"),"")</f>
        <v/>
      </c>
    </row>
    <row r="23" ht="45.95" customHeight="1" s="241">
      <c r="A23" s="43" t="inlineStr">
        <is>
          <t>Target</t>
        </is>
      </c>
      <c r="B23" s="129">
        <f>COUNTIFS(Human_Data_Entry!$A$3:$A$524,$A23,Human_Data_Entry!$H$3:$H$524,"Human",Human_Data_Entry!$S$3:$S$524,"?*")</f>
        <v/>
      </c>
      <c r="C23" s="129">
        <f>COUNTIFS(Human_Data_Entry!$A$3:$A$524,$A23,Human_Data_Entry!$H$3:$H$524,"Human",Human_Data_Entry!$S$3:$S$524,"YES")</f>
        <v/>
      </c>
      <c r="D23" s="44">
        <f>IF(B23=0,"-",C23/B23)</f>
        <v/>
      </c>
      <c r="E23" s="129">
        <f>COUNTIFS(LLM_Data_Entry!$A$3:$A$548,$A23,LLM_Data_Entry!$F$3:$F$548,"LLM",LLM_Data_Entry!$R$3:$R$548,"&lt;&gt;")</f>
        <v/>
      </c>
      <c r="F23" s="130">
        <f>COUNTIFS(LLM_Data_Entry!$A$3:$A$548,$A23,LLM_Data_Entry!$F$3:$F$548,"LLM",LLM_Data_Entry!$R$3:$R$548,"YES")</f>
        <v/>
      </c>
      <c r="G23" s="44">
        <f>IF(E23=0,"-",F23/E23)</f>
        <v/>
      </c>
      <c r="H23" s="17" t="n"/>
      <c r="I23" s="41">
        <f>A23</f>
        <v/>
      </c>
      <c r="J23" s="131">
        <f>SUMPRODUCT((Human_Data_Entry!$A$3:$A$524=$I23)*(Human_Data_Entry!$H$3:$H$524="Human")*((Human_Data_Entry!$J$3:$J$524="BUY")+(Human_Data_Entry!$J$3:$J$524="SELL"))*ISNUMBER(Human_Data_Entry!$U$3:$U$524))</f>
        <v/>
      </c>
      <c r="K23" s="132">
        <f>IFERROR(AVERAGEIFS(Human_Data_Entry!$U$3:$U$524,Human_Data_Entry!$A$3:$A$524,$I23,Human_Data_Entry!$H$3:$H$524,"Human",Human_Data_Entry!$J$3:$J$524,"&lt;&gt;HOLD",Human_Data_Entry!$U$3:$U$524,"&lt;&gt;"),"")</f>
        <v/>
      </c>
      <c r="L23" s="132">
        <f>IFERROR(SUMIFS(Human_Data_Entry!$U$3:$U$524,Human_Data_Entry!$A$3:$A$524,$I23,Human_Data_Entry!$H$3:$H$524,"Human",Human_Data_Entry!$J$3:$J$524,"&lt;&gt;HOLD"),"")</f>
        <v/>
      </c>
      <c r="M23" s="205">
        <f>COUNTIFS(LLM_Data_Entry!$A$3:$A$548,$I23,LLM_Data_Entry!$F$3:$F$548,"LLM",LLM_Data_Entry!$H$3:$H$548,"&lt;&gt;HOLD",LLM_Data_Entry!$T$3:$T$548,"&lt;&gt;")</f>
        <v/>
      </c>
      <c r="N23" s="132">
        <f>IFERROR(AVERAGEIFS(LLM_Data_Entry!$T$3:$T$548,LLM_Data_Entry!$A$3:$A$548,$I23,LLM_Data_Entry!$F$3:$F$548,"LLM",LLM_Data_Entry!$H$3:$H$548,"&lt;&gt;HOLD",LLM_Data_Entry!$T$3:$T$548,"&lt;&gt;"),"")</f>
        <v/>
      </c>
      <c r="O23" s="132">
        <f>IFERROR(SUMIFS(LLM_Data_Entry!$T$3:$T$548,LLM_Data_Entry!$A$3:$A$548,$I23,LLM_Data_Entry!$F$3:$F$548,"LLM",LLM_Data_Entry!$H$3:$H$548,"&lt;&gt;HOLD"),"")</f>
        <v/>
      </c>
    </row>
    <row r="24" ht="45.95" customHeight="1" s="241">
      <c r="A24" s="41" t="inlineStr">
        <is>
          <t>Boeing</t>
        </is>
      </c>
      <c r="B24" s="129">
        <f>COUNTIFS(Human_Data_Entry!$A$3:$A$524,$A24,Human_Data_Entry!$H$3:$H$524,"Human",Human_Data_Entry!$S$3:$S$524,"?*")</f>
        <v/>
      </c>
      <c r="C24" s="129">
        <f>COUNTIFS(Human_Data_Entry!$A$3:$A$524,$A24,Human_Data_Entry!$H$3:$H$524,"Human",Human_Data_Entry!$S$3:$S$524,"YES")</f>
        <v/>
      </c>
      <c r="D24" s="42">
        <f>IF(B24=0,"-",C24/B24)</f>
        <v/>
      </c>
      <c r="E24" s="129">
        <f>COUNTIFS(LLM_Data_Entry!$A$3:$A$548,$A24,LLM_Data_Entry!$F$3:$F$548,"LLM",LLM_Data_Entry!$R$3:$R$548,"&lt;&gt;")</f>
        <v/>
      </c>
      <c r="F24" s="130">
        <f>COUNTIFS(LLM_Data_Entry!$A$3:$A$548,$A24,LLM_Data_Entry!$F$3:$F$548,"LLM",LLM_Data_Entry!$R$3:$R$548,"YES")</f>
        <v/>
      </c>
      <c r="G24" s="42">
        <f>IF(E24=0,"-",F24/E24)</f>
        <v/>
      </c>
      <c r="H24" s="17" t="n"/>
      <c r="I24" s="41">
        <f>A24</f>
        <v/>
      </c>
      <c r="J24" s="131">
        <f>SUMPRODUCT((Human_Data_Entry!$A$3:$A$524=$I24)*(Human_Data_Entry!$H$3:$H$524="Human")*((Human_Data_Entry!$J$3:$J$524="BUY")+(Human_Data_Entry!$J$3:$J$524="SELL"))*ISNUMBER(Human_Data_Entry!$U$3:$U$524))</f>
        <v/>
      </c>
      <c r="K24" s="132">
        <f>IFERROR(AVERAGEIFS(Human_Data_Entry!$U$3:$U$524,Human_Data_Entry!$A$3:$A$524,$I24,Human_Data_Entry!$H$3:$H$524,"Human",Human_Data_Entry!$J$3:$J$524,"&lt;&gt;HOLD",Human_Data_Entry!$U$3:$U$524,"&lt;&gt;"),"")</f>
        <v/>
      </c>
      <c r="L24" s="132">
        <f>IFERROR(SUMIFS(Human_Data_Entry!$U$3:$U$524,Human_Data_Entry!$A$3:$A$524,$I24,Human_Data_Entry!$H$3:$H$524,"Human",Human_Data_Entry!$J$3:$J$524,"&lt;&gt;HOLD"),"")</f>
        <v/>
      </c>
      <c r="M24" s="205">
        <f>COUNTIFS(LLM_Data_Entry!$A$3:$A$548,$I24,LLM_Data_Entry!$F$3:$F$548,"LLM",LLM_Data_Entry!$H$3:$H$548,"&lt;&gt;HOLD",LLM_Data_Entry!$T$3:$T$548,"&lt;&gt;")</f>
        <v/>
      </c>
      <c r="N24" s="132">
        <f>IFERROR(AVERAGEIFS(LLM_Data_Entry!$T$3:$T$548,LLM_Data_Entry!$A$3:$A$548,$I24,LLM_Data_Entry!$F$3:$F$548,"LLM",LLM_Data_Entry!$H$3:$H$548,"&lt;&gt;HOLD",LLM_Data_Entry!$T$3:$T$548,"&lt;&gt;"),"")</f>
        <v/>
      </c>
      <c r="O24" s="132">
        <f>IFERROR(SUMIFS(LLM_Data_Entry!$T$3:$T$548,LLM_Data_Entry!$A$3:$A$548,$I24,LLM_Data_Entry!$F$3:$F$548,"LLM",LLM_Data_Entry!$H$3:$H$548,"&lt;&gt;HOLD"),"")</f>
        <v/>
      </c>
    </row>
    <row r="25" ht="45.95" customHeight="1" s="241">
      <c r="A25" s="43" t="inlineStr">
        <is>
          <t>Disney</t>
        </is>
      </c>
      <c r="B25" s="129">
        <f>COUNTIFS(Human_Data_Entry!$A$3:$A$524,$A25,Human_Data_Entry!$H$3:$H$524,"Human",Human_Data_Entry!$S$3:$S$524,"?*")</f>
        <v/>
      </c>
      <c r="C25" s="129">
        <f>COUNTIFS(Human_Data_Entry!$A$3:$A$524,$A25,Human_Data_Entry!$H$3:$H$524,"Human",Human_Data_Entry!$S$3:$S$524,"YES")</f>
        <v/>
      </c>
      <c r="D25" s="44">
        <f>IF(B25=0,"-",C25/B25)</f>
        <v/>
      </c>
      <c r="E25" s="129">
        <f>COUNTIFS(LLM_Data_Entry!$A$3:$A$548,$A25,LLM_Data_Entry!$F$3:$F$548,"LLM",LLM_Data_Entry!$R$3:$R$548,"&lt;&gt;")</f>
        <v/>
      </c>
      <c r="F25" s="130">
        <f>COUNTIFS(LLM_Data_Entry!$A$3:$A$548,$A25,LLM_Data_Entry!$F$3:$F$548,"LLM",LLM_Data_Entry!$R$3:$R$548,"YES")</f>
        <v/>
      </c>
      <c r="G25" s="44">
        <f>IF(E25=0,"-",F25/E25)</f>
        <v/>
      </c>
      <c r="H25" s="17" t="n"/>
      <c r="I25" s="41">
        <f>A25</f>
        <v/>
      </c>
      <c r="J25" s="131">
        <f>SUMPRODUCT((Human_Data_Entry!$A$3:$A$524=$I25)*(Human_Data_Entry!$H$3:$H$524="Human")*((Human_Data_Entry!$J$3:$J$524="BUY")+(Human_Data_Entry!$J$3:$J$524="SELL"))*ISNUMBER(Human_Data_Entry!$U$3:$U$524))</f>
        <v/>
      </c>
      <c r="K25" s="132">
        <f>IFERROR(AVERAGEIFS(Human_Data_Entry!$U$3:$U$524,Human_Data_Entry!$A$3:$A$524,$I25,Human_Data_Entry!$H$3:$H$524,"Human",Human_Data_Entry!$J$3:$J$524,"&lt;&gt;HOLD",Human_Data_Entry!$U$3:$U$524,"&lt;&gt;"),"")</f>
        <v/>
      </c>
      <c r="L25" s="132">
        <f>IFERROR(SUMIFS(Human_Data_Entry!$U$3:$U$524,Human_Data_Entry!$A$3:$A$524,$I25,Human_Data_Entry!$H$3:$H$524,"Human",Human_Data_Entry!$J$3:$J$524,"&lt;&gt;HOLD"),"")</f>
        <v/>
      </c>
      <c r="M25" s="205">
        <f>COUNTIFS(LLM_Data_Entry!$A$3:$A$548,$I25,LLM_Data_Entry!$F$3:$F$548,"LLM",LLM_Data_Entry!$H$3:$H$548,"&lt;&gt;HOLD",LLM_Data_Entry!$T$3:$T$548,"&lt;&gt;")</f>
        <v/>
      </c>
      <c r="N25" s="132">
        <f>IFERROR(AVERAGEIFS(LLM_Data_Entry!$T$3:$T$548,LLM_Data_Entry!$A$3:$A$548,$I25,LLM_Data_Entry!$F$3:$F$548,"LLM",LLM_Data_Entry!$H$3:$H$548,"&lt;&gt;HOLD",LLM_Data_Entry!$T$3:$T$548,"&lt;&gt;"),"")</f>
        <v/>
      </c>
      <c r="O25" s="132">
        <f>IFERROR(SUMIFS(LLM_Data_Entry!$T$3:$T$548,LLM_Data_Entry!$A$3:$A$548,$I25,LLM_Data_Entry!$F$3:$F$548,"LLM",LLM_Data_Entry!$H$3:$H$548,"&lt;&gt;HOLD"),"")</f>
        <v/>
      </c>
    </row>
    <row r="26" ht="45.95" customHeight="1" s="241">
      <c r="A26" s="16" t="inlineStr">
        <is>
          <t>Amazon</t>
        </is>
      </c>
      <c r="B26" s="129">
        <f>COUNTIFS(Human_Data_Entry!$A$3:$A$524,$A26,Human_Data_Entry!$H$3:$H$524,"Human",Human_Data_Entry!$S$3:$S$524,"?*")</f>
        <v/>
      </c>
      <c r="C26" s="129">
        <f>COUNTIFS(Human_Data_Entry!$A$3:$A$524,$A26,Human_Data_Entry!$H$3:$H$524,"Human",Human_Data_Entry!$S$3:$S$524,"YES")</f>
        <v/>
      </c>
      <c r="D26" s="44">
        <f>IF(B26=0,"-",C26/B26)</f>
        <v/>
      </c>
      <c r="E26" s="129">
        <f>COUNTIFS(LLM_Data_Entry!$A$3:$A$548,$A26,LLM_Data_Entry!$F$3:$F$548,"LLM",LLM_Data_Entry!$R$3:$R$548,"&lt;&gt;")</f>
        <v/>
      </c>
      <c r="F26" s="130">
        <f>COUNTIFS(LLM_Data_Entry!$A$3:$A$548,$A26,LLM_Data_Entry!$F$3:$F$548,"LLM",LLM_Data_Entry!$R$3:$R$548,"YES")</f>
        <v/>
      </c>
      <c r="G26" s="44">
        <f>IF(E26=0,"-",F26/E26)</f>
        <v/>
      </c>
      <c r="H26" s="17" t="n"/>
      <c r="I26" s="41">
        <f>A26</f>
        <v/>
      </c>
      <c r="J26" s="131">
        <f>SUMPRODUCT((Human_Data_Entry!$A$3:$A$524=$I26)*(Human_Data_Entry!$H$3:$H$524="Human")*((Human_Data_Entry!$J$3:$J$524="BUY")+(Human_Data_Entry!$J$3:$J$524="SELL"))*ISNUMBER(Human_Data_Entry!$U$3:$U$524))</f>
        <v/>
      </c>
      <c r="K26" s="132">
        <f>IFERROR(AVERAGEIFS(Human_Data_Entry!$U$3:$U$524,Human_Data_Entry!$A$3:$A$524,$I26,Human_Data_Entry!$H$3:$H$524,"Human",Human_Data_Entry!$J$3:$J$524,"&lt;&gt;HOLD",Human_Data_Entry!$U$3:$U$524,"&lt;&gt;"),"")</f>
        <v/>
      </c>
      <c r="L26" s="132">
        <f>IFERROR(SUMIFS(Human_Data_Entry!$U$3:$U$524,Human_Data_Entry!$A$3:$A$524,$I26,Human_Data_Entry!$H$3:$H$524,"Human",Human_Data_Entry!$J$3:$J$524,"&lt;&gt;HOLD"),"")</f>
        <v/>
      </c>
      <c r="M26" s="205">
        <f>COUNTIFS(LLM_Data_Entry!$A$3:$A$548,$I26,LLM_Data_Entry!$F$3:$F$548,"LLM",LLM_Data_Entry!$H$3:$H$548,"&lt;&gt;HOLD",LLM_Data_Entry!$T$3:$T$548,"&lt;&gt;")</f>
        <v/>
      </c>
      <c r="N26" s="132">
        <f>IFERROR(AVERAGEIFS(LLM_Data_Entry!$T$3:$T$548,LLM_Data_Entry!$A$3:$A$548,$I26,LLM_Data_Entry!$F$3:$F$548,"LLM",LLM_Data_Entry!$H$3:$H$548,"&lt;&gt;HOLD",LLM_Data_Entry!$T$3:$T$548,"&lt;&gt;"),"")</f>
        <v/>
      </c>
      <c r="O26" s="132">
        <f>IFERROR(SUMIFS(LLM_Data_Entry!$T$3:$T$548,LLM_Data_Entry!$A$3:$A$548,$I26,LLM_Data_Entry!$F$3:$F$548,"LLM",LLM_Data_Entry!$H$3:$H$548,"&lt;&gt;HOLD"),"")</f>
        <v/>
      </c>
    </row>
    <row r="27" ht="45.95" customHeight="1" s="241">
      <c r="A27" s="16" t="inlineStr">
        <is>
          <t>McDonald's</t>
        </is>
      </c>
      <c r="B27" s="129">
        <f>COUNTIFS(Human_Data_Entry!$A$3:$A$524,$A27,Human_Data_Entry!$H$3:$H$524,"Human",Human_Data_Entry!$S$3:$S$524,"?*")</f>
        <v/>
      </c>
      <c r="C27" s="129">
        <f>COUNTIFS(Human_Data_Entry!$A$3:$A$524,$A27,Human_Data_Entry!$H$3:$H$524,"Human",Human_Data_Entry!$S$3:$S$524,"YES")</f>
        <v/>
      </c>
      <c r="D27" s="44">
        <f>IF(B27=0,"-",C27/B27)</f>
        <v/>
      </c>
      <c r="E27" s="129">
        <f>COUNTIFS(LLM_Data_Entry!$A$3:$A$548,$A27,LLM_Data_Entry!$F$3:$F$548,"LLM",LLM_Data_Entry!$R$3:$R$548,"&lt;&gt;")</f>
        <v/>
      </c>
      <c r="F27" s="130">
        <f>COUNTIFS(LLM_Data_Entry!$A$3:$A$548,$A27,LLM_Data_Entry!$F$3:$F$548,"LLM",LLM_Data_Entry!$R$3:$R$548,"YES")</f>
        <v/>
      </c>
      <c r="G27" s="44">
        <f>IF(E27=0,"-",F27/E27)</f>
        <v/>
      </c>
      <c r="H27" s="17" t="n"/>
      <c r="I27" s="41">
        <f>A27</f>
        <v/>
      </c>
      <c r="J27" s="131">
        <f>SUMPRODUCT((Human_Data_Entry!$A$3:$A$524=$I27)*(Human_Data_Entry!$H$3:$H$524="Human")*((Human_Data_Entry!$J$3:$J$524="BUY")+(Human_Data_Entry!$J$3:$J$524="SELL"))*ISNUMBER(Human_Data_Entry!$U$3:$U$524))</f>
        <v/>
      </c>
      <c r="K27" s="132">
        <f>IFERROR(AVERAGEIFS(Human_Data_Entry!$U$3:$U$524,Human_Data_Entry!$A$3:$A$524,$I27,Human_Data_Entry!$H$3:$H$524,"Human",Human_Data_Entry!$J$3:$J$524,"&lt;&gt;HOLD",Human_Data_Entry!$U$3:$U$524,"&lt;&gt;"),"")</f>
        <v/>
      </c>
      <c r="L27" s="132">
        <f>IFERROR(SUMIFS(Human_Data_Entry!$U$3:$U$524,Human_Data_Entry!$A$3:$A$524,$I27,Human_Data_Entry!$H$3:$H$524,"Human",Human_Data_Entry!$J$3:$J$524,"&lt;&gt;HOLD"),"")</f>
        <v/>
      </c>
      <c r="M27" s="205">
        <f>COUNTIFS(LLM_Data_Entry!$A$3:$A$548,$I27,LLM_Data_Entry!$F$3:$F$548,"LLM",LLM_Data_Entry!$H$3:$H$548,"&lt;&gt;HOLD",LLM_Data_Entry!$T$3:$T$548,"&lt;&gt;")</f>
        <v/>
      </c>
      <c r="N27" s="132">
        <f>IFERROR(AVERAGEIFS(LLM_Data_Entry!$T$3:$T$548,LLM_Data_Entry!$A$3:$A$548,$I27,LLM_Data_Entry!$F$3:$F$548,"LLM",LLM_Data_Entry!$H$3:$H$548,"&lt;&gt;HOLD",LLM_Data_Entry!$T$3:$T$548,"&lt;&gt;"),"")</f>
        <v/>
      </c>
      <c r="O27" s="132">
        <f>IFERROR(SUMIFS(LLM_Data_Entry!$T$3:$T$548,LLM_Data_Entry!$A$3:$A$548,$I27,LLM_Data_Entry!$F$3:$F$548,"LLM",LLM_Data_Entry!$H$3:$H$548,"&lt;&gt;HOLD"),"")</f>
        <v/>
      </c>
    </row>
    <row r="28" ht="45.95" customHeight="1" s="241">
      <c r="A28" s="16" t="inlineStr">
        <is>
          <t>AMD</t>
        </is>
      </c>
      <c r="B28" s="129">
        <f>COUNTIFS(Human_Data_Entry!$A$3:$A$524,$A28,Human_Data_Entry!$H$3:$H$524,"Human",Human_Data_Entry!$S$3:$S$524,"?*")</f>
        <v/>
      </c>
      <c r="C28" s="129">
        <f>COUNTIFS(Human_Data_Entry!$A$3:$A$524,$A28,Human_Data_Entry!$H$3:$H$524,"Human",Human_Data_Entry!$S$3:$S$524,"YES")</f>
        <v/>
      </c>
      <c r="D28" s="44">
        <f>IF(B28=0,"-",C28/B28)</f>
        <v/>
      </c>
      <c r="E28" s="129">
        <f>COUNTIFS(LLM_Data_Entry!$A$3:$A$548,$A28,LLM_Data_Entry!$F$3:$F$548,"LLM",LLM_Data_Entry!$R$3:$R$548,"&lt;&gt;")</f>
        <v/>
      </c>
      <c r="F28" s="130">
        <f>COUNTIFS(LLM_Data_Entry!$A$3:$A$548,$A28,LLM_Data_Entry!$F$3:$F$548,"LLM",LLM_Data_Entry!$R$3:$R$548,"YES")</f>
        <v/>
      </c>
      <c r="G28" s="44">
        <f>IF(E28=0,"-",F28/E28)</f>
        <v/>
      </c>
      <c r="H28" s="17" t="n"/>
      <c r="I28" s="41">
        <f>A28</f>
        <v/>
      </c>
      <c r="J28" s="131">
        <f>SUMPRODUCT((Human_Data_Entry!$A$3:$A$524=$I28)*(Human_Data_Entry!$H$3:$H$524="Human")*((Human_Data_Entry!$J$3:$J$524="BUY")+(Human_Data_Entry!$J$3:$J$524="SELL"))*ISNUMBER(Human_Data_Entry!$U$3:$U$524))</f>
        <v/>
      </c>
      <c r="K28" s="132">
        <f>IFERROR(AVERAGEIFS(Human_Data_Entry!$U$3:$U$524,Human_Data_Entry!$A$3:$A$524,$I28,Human_Data_Entry!$H$3:$H$524,"Human",Human_Data_Entry!$J$3:$J$524,"&lt;&gt;HOLD",Human_Data_Entry!$U$3:$U$524,"&lt;&gt;"),"")</f>
        <v/>
      </c>
      <c r="L28" s="132">
        <f>IFERROR(SUMIFS(Human_Data_Entry!$U$3:$U$524,Human_Data_Entry!$A$3:$A$524,$I28,Human_Data_Entry!$H$3:$H$524,"Human",Human_Data_Entry!$J$3:$J$524,"&lt;&gt;HOLD"),"")</f>
        <v/>
      </c>
      <c r="M28" s="205">
        <f>COUNTIFS(LLM_Data_Entry!$A$3:$A$548,$I28,LLM_Data_Entry!$F$3:$F$548,"LLM",LLM_Data_Entry!$H$3:$H$548,"&lt;&gt;HOLD",LLM_Data_Entry!$T$3:$T$548,"&lt;&gt;")</f>
        <v/>
      </c>
      <c r="N28" s="132">
        <f>IFERROR(AVERAGEIFS(LLM_Data_Entry!$T$3:$T$548,LLM_Data_Entry!$A$3:$A$548,$I28,LLM_Data_Entry!$F$3:$F$548,"LLM",LLM_Data_Entry!$H$3:$H$548,"&lt;&gt;HOLD",LLM_Data_Entry!$T$3:$T$548,"&lt;&gt;"),"")</f>
        <v/>
      </c>
      <c r="O28" s="132">
        <f>IFERROR(SUMIFS(LLM_Data_Entry!$T$3:$T$548,LLM_Data_Entry!$A$3:$A$548,$I28,LLM_Data_Entry!$F$3:$F$548,"LLM",LLM_Data_Entry!$H$3:$H$548,"&lt;&gt;HOLD"),"")</f>
        <v/>
      </c>
    </row>
    <row r="29" ht="45.95" customHeight="1" s="241">
      <c r="A29" s="16" t="inlineStr">
        <is>
          <t>Coca-Cola</t>
        </is>
      </c>
      <c r="B29" s="129">
        <f>COUNTIFS(Human_Data_Entry!$A$3:$A$524,$A29,Human_Data_Entry!$H$3:$H$524,"Human",Human_Data_Entry!$S$3:$S$524,"?*")</f>
        <v/>
      </c>
      <c r="C29" s="129">
        <f>COUNTIFS(Human_Data_Entry!$A$3:$A$524,$A29,Human_Data_Entry!$H$3:$H$524,"Human",Human_Data_Entry!$S$3:$S$524,"YES")</f>
        <v/>
      </c>
      <c r="D29" s="44">
        <f>IF(B29=0,"-",C29/B29)</f>
        <v/>
      </c>
      <c r="E29" s="129">
        <f>COUNTIFS(LLM_Data_Entry!$A$3:$A$548,$A29,LLM_Data_Entry!$F$3:$F$548,"LLM",LLM_Data_Entry!$R$3:$R$548,"&lt;&gt;")</f>
        <v/>
      </c>
      <c r="F29" s="130">
        <f>COUNTIFS(LLM_Data_Entry!$A$3:$A$548,$A29,LLM_Data_Entry!$F$3:$F$548,"LLM",LLM_Data_Entry!$R$3:$R$548,"YES")</f>
        <v/>
      </c>
      <c r="G29" s="44">
        <f>IF(E29=0,"-",F29/E29)</f>
        <v/>
      </c>
      <c r="H29" s="17" t="n"/>
      <c r="I29" s="41">
        <f>A29</f>
        <v/>
      </c>
      <c r="J29" s="131">
        <f>SUMPRODUCT((Human_Data_Entry!$A$3:$A$524=$I29)*(Human_Data_Entry!$H$3:$H$524="Human")*((Human_Data_Entry!$J$3:$J$524="BUY")+(Human_Data_Entry!$J$3:$J$524="SELL"))*ISNUMBER(Human_Data_Entry!$U$3:$U$524))</f>
        <v/>
      </c>
      <c r="K29" s="132">
        <f>IFERROR(AVERAGEIFS(Human_Data_Entry!$U$3:$U$524,Human_Data_Entry!$A$3:$A$524,$I29,Human_Data_Entry!$H$3:$H$524,"Human",Human_Data_Entry!$J$3:$J$524,"&lt;&gt;HOLD",Human_Data_Entry!$U$3:$U$524,"&lt;&gt;"),"")</f>
        <v/>
      </c>
      <c r="L29" s="132">
        <f>IFERROR(SUMIFS(Human_Data_Entry!$U$3:$U$524,Human_Data_Entry!$A$3:$A$524,$I29,Human_Data_Entry!$H$3:$H$524,"Human",Human_Data_Entry!$J$3:$J$524,"&lt;&gt;HOLD"),"")</f>
        <v/>
      </c>
      <c r="M29" s="205">
        <f>COUNTIFS(LLM_Data_Entry!$A$3:$A$548,$I29,LLM_Data_Entry!$F$3:$F$548,"LLM",LLM_Data_Entry!$H$3:$H$548,"&lt;&gt;HOLD",LLM_Data_Entry!$T$3:$T$548,"&lt;&gt;")</f>
        <v/>
      </c>
      <c r="N29" s="132">
        <f>IFERROR(AVERAGEIFS(LLM_Data_Entry!$T$3:$T$548,LLM_Data_Entry!$A$3:$A$548,$I29,LLM_Data_Entry!$F$3:$F$548,"LLM",LLM_Data_Entry!$H$3:$H$548,"&lt;&gt;HOLD",LLM_Data_Entry!$T$3:$T$548,"&lt;&gt;"),"")</f>
        <v/>
      </c>
      <c r="O29" s="132">
        <f>IFERROR(SUMIFS(LLM_Data_Entry!$T$3:$T$548,LLM_Data_Entry!$A$3:$A$548,$I29,LLM_Data_Entry!$F$3:$F$548,"LLM",LLM_Data_Entry!$H$3:$H$548,"&lt;&gt;HOLD"),"")</f>
        <v/>
      </c>
    </row>
    <row r="30" ht="45.95" customHeight="1" s="241">
      <c r="A30" s="16" t="inlineStr">
        <is>
          <t>Airbnb</t>
        </is>
      </c>
      <c r="B30" s="129">
        <f>COUNTIFS(Human_Data_Entry!$A$3:$A$524,$A30,Human_Data_Entry!$H$3:$H$524,"Human",Human_Data_Entry!$S$3:$S$524,"?*")</f>
        <v/>
      </c>
      <c r="C30" s="129">
        <f>COUNTIFS(Human_Data_Entry!$A$3:$A$524,$A30,Human_Data_Entry!$H$3:$H$524,"Human",Human_Data_Entry!$S$3:$S$524,"YES")</f>
        <v/>
      </c>
      <c r="D30" s="44">
        <f>IF(B30=0,"-",C30/B30)</f>
        <v/>
      </c>
      <c r="E30" s="129">
        <f>COUNTIFS(LLM_Data_Entry!$A$3:$A$548,$A30,LLM_Data_Entry!$F$3:$F$548,"LLM",LLM_Data_Entry!$R$3:$R$548,"&lt;&gt;")</f>
        <v/>
      </c>
      <c r="F30" s="130">
        <f>COUNTIFS(LLM_Data_Entry!$A$3:$A$548,$A30,LLM_Data_Entry!$F$3:$F$548,"LLM",LLM_Data_Entry!$R$3:$R$548,"YES")</f>
        <v/>
      </c>
      <c r="G30" s="44">
        <f>IF(E30=0,"-",F30/E30)</f>
        <v/>
      </c>
      <c r="H30" s="17" t="n"/>
      <c r="I30" s="41">
        <f>A30</f>
        <v/>
      </c>
      <c r="J30" s="131">
        <f>SUMPRODUCT((Human_Data_Entry!$A$3:$A$524=$I30)*(Human_Data_Entry!$H$3:$H$524="Human")*((Human_Data_Entry!$J$3:$J$524="BUY")+(Human_Data_Entry!$J$3:$J$524="SELL"))*ISNUMBER(Human_Data_Entry!$U$3:$U$524))</f>
        <v/>
      </c>
      <c r="K30" s="132">
        <f>IFERROR(AVERAGEIFS(Human_Data_Entry!$U$3:$U$524,Human_Data_Entry!$A$3:$A$524,$I30,Human_Data_Entry!$H$3:$H$524,"Human",Human_Data_Entry!$J$3:$J$524,"&lt;&gt;HOLD",Human_Data_Entry!$U$3:$U$524,"&lt;&gt;"),"")</f>
        <v/>
      </c>
      <c r="L30" s="132">
        <f>IFERROR(SUMIFS(Human_Data_Entry!$U$3:$U$524,Human_Data_Entry!$A$3:$A$524,$I30,Human_Data_Entry!$H$3:$H$524,"Human",Human_Data_Entry!$J$3:$J$524,"&lt;&gt;HOLD"),"")</f>
        <v/>
      </c>
      <c r="M30" s="205">
        <f>COUNTIFS(LLM_Data_Entry!$A$3:$A$548,$I30,LLM_Data_Entry!$F$3:$F$548,"LLM",LLM_Data_Entry!$H$3:$H$548,"&lt;&gt;HOLD",LLM_Data_Entry!$T$3:$T$548,"&lt;&gt;")</f>
        <v/>
      </c>
      <c r="N30" s="132">
        <f>IFERROR(AVERAGEIFS(LLM_Data_Entry!$T$3:$T$548,LLM_Data_Entry!$A$3:$A$548,$I30,LLM_Data_Entry!$F$3:$F$548,"LLM",LLM_Data_Entry!$H$3:$H$548,"&lt;&gt;HOLD",LLM_Data_Entry!$T$3:$T$548,"&lt;&gt;"),"")</f>
        <v/>
      </c>
      <c r="O30" s="132">
        <f>IFERROR(SUMIFS(LLM_Data_Entry!$T$3:$T$548,LLM_Data_Entry!$A$3:$A$548,$I30,LLM_Data_Entry!$F$3:$F$548,"LLM",LLM_Data_Entry!$H$3:$H$548,"&lt;&gt;HOLD"),"")</f>
        <v/>
      </c>
    </row>
    <row r="31" ht="45.95" customHeight="1" s="241">
      <c r="A31" s="16" t="inlineStr">
        <is>
          <t>Apple</t>
        </is>
      </c>
      <c r="B31" s="129">
        <f>COUNTIFS(Human_Data_Entry!$A$3:$A$524,$A31,Human_Data_Entry!$H$3:$H$524,"Human",Human_Data_Entry!$S$3:$S$524,"?*")</f>
        <v/>
      </c>
      <c r="C31" s="129">
        <f>COUNTIFS(Human_Data_Entry!$A$3:$A$524,$A31,Human_Data_Entry!$H$3:$H$524,"Human",Human_Data_Entry!$S$3:$S$524,"YES")</f>
        <v/>
      </c>
      <c r="D31" s="44">
        <f>IF(B31=0,"-",C31/B31)</f>
        <v/>
      </c>
      <c r="E31" s="129">
        <f>COUNTIFS(LLM_Data_Entry!$A$3:$A$548,$A31,LLM_Data_Entry!$F$3:$F$548,"LLM",LLM_Data_Entry!$R$3:$R$548,"&lt;&gt;")</f>
        <v/>
      </c>
      <c r="F31" s="130">
        <f>COUNTIFS(LLM_Data_Entry!$A$3:$A$548,$A31,LLM_Data_Entry!$F$3:$F$548,"LLM",LLM_Data_Entry!$R$3:$R$548,"YES")</f>
        <v/>
      </c>
      <c r="G31" s="44">
        <f>IF(E31=0,"-",F31/E31)</f>
        <v/>
      </c>
      <c r="H31" s="17" t="n"/>
      <c r="I31" s="41">
        <f>A31</f>
        <v/>
      </c>
      <c r="J31" s="131">
        <f>SUMPRODUCT((Human_Data_Entry!$A$3:$A$524=$I31)*(Human_Data_Entry!$H$3:$H$524="Human")*((Human_Data_Entry!$J$3:$J$524="BUY")+(Human_Data_Entry!$J$3:$J$524="SELL"))*ISNUMBER(Human_Data_Entry!$U$3:$U$524))</f>
        <v/>
      </c>
      <c r="K31" s="132">
        <f>IFERROR(AVERAGEIFS(Human_Data_Entry!$U$3:$U$524,Human_Data_Entry!$A$3:$A$524,$I31,Human_Data_Entry!$H$3:$H$524,"Human",Human_Data_Entry!$J$3:$J$524,"&lt;&gt;HOLD",Human_Data_Entry!$U$3:$U$524,"&lt;&gt;"),"")</f>
        <v/>
      </c>
      <c r="L31" s="132">
        <f>IFERROR(SUMIFS(Human_Data_Entry!$U$3:$U$524,Human_Data_Entry!$A$3:$A$524,$I31,Human_Data_Entry!$H$3:$H$524,"Human",Human_Data_Entry!$J$3:$J$524,"&lt;&gt;HOLD"),"")</f>
        <v/>
      </c>
      <c r="M31" s="205">
        <f>COUNTIFS(LLM_Data_Entry!$A$3:$A$548,$I31,LLM_Data_Entry!$F$3:$F$548,"LLM",LLM_Data_Entry!$H$3:$H$548,"&lt;&gt;HOLD",LLM_Data_Entry!$T$3:$T$548,"&lt;&gt;")</f>
        <v/>
      </c>
      <c r="N31" s="132">
        <f>IFERROR(AVERAGEIFS(LLM_Data_Entry!$T$3:$T$548,LLM_Data_Entry!$A$3:$A$548,$I31,LLM_Data_Entry!$F$3:$F$548,"LLM",LLM_Data_Entry!$H$3:$H$548,"&lt;&gt;HOLD",LLM_Data_Entry!$T$3:$T$548,"&lt;&gt;"),"")</f>
        <v/>
      </c>
      <c r="O31" s="132">
        <f>IFERROR(SUMIFS(LLM_Data_Entry!$T$3:$T$548,LLM_Data_Entry!$A$3:$A$548,$I31,LLM_Data_Entry!$F$3:$F$548,"LLM",LLM_Data_Entry!$H$3:$H$548,"&lt;&gt;HOLD"),"")</f>
        <v/>
      </c>
    </row>
    <row r="32" ht="45.95" customHeight="1" s="241">
      <c r="A32" s="16" t="inlineStr">
        <is>
          <t>Lowe's</t>
        </is>
      </c>
      <c r="B32" s="129">
        <f>COUNTIFS(Human_Data_Entry!$A$3:$A$524,$A32,Human_Data_Entry!$H$3:$H$524,"Human",Human_Data_Entry!$S$3:$S$524,"?*")</f>
        <v/>
      </c>
      <c r="C32" s="129">
        <f>COUNTIFS(Human_Data_Entry!$A$3:$A$524,$A32,Human_Data_Entry!$H$3:$H$524,"Human",Human_Data_Entry!$S$3:$S$524,"YES")</f>
        <v/>
      </c>
      <c r="D32" s="44">
        <f>IF(B32=0,"-",C32/B32)</f>
        <v/>
      </c>
      <c r="E32" s="129">
        <f>COUNTIFS(LLM_Data_Entry!$A$3:$A$548,$A32,LLM_Data_Entry!$F$3:$F$548,"LLM",LLM_Data_Entry!$R$3:$R$548,"&lt;&gt;")</f>
        <v/>
      </c>
      <c r="F32" s="130">
        <f>COUNTIFS(LLM_Data_Entry!$A$3:$A$548,$A32,LLM_Data_Entry!$F$3:$F$548,"LLM",LLM_Data_Entry!$R$3:$R$548,"YES")</f>
        <v/>
      </c>
      <c r="G32" s="44">
        <f>IF(E32=0,"-",F32/E32)</f>
        <v/>
      </c>
      <c r="H32" s="17" t="n"/>
      <c r="I32" s="41">
        <f>A32</f>
        <v/>
      </c>
      <c r="J32" s="131">
        <f>SUMPRODUCT((Human_Data_Entry!$A$3:$A$524=$I32)*(Human_Data_Entry!$H$3:$H$524="Human")*((Human_Data_Entry!$J$3:$J$524="BUY")+(Human_Data_Entry!$J$3:$J$524="SELL"))*ISNUMBER(Human_Data_Entry!$U$3:$U$524))</f>
        <v/>
      </c>
      <c r="K32" s="132">
        <f>IFERROR(AVERAGEIFS(Human_Data_Entry!$U$3:$U$524,Human_Data_Entry!$A$3:$A$524,$I32,Human_Data_Entry!$H$3:$H$524,"Human",Human_Data_Entry!$J$3:$J$524,"&lt;&gt;HOLD",Human_Data_Entry!$U$3:$U$524,"&lt;&gt;"),"")</f>
        <v/>
      </c>
      <c r="L32" s="132">
        <f>IFERROR(SUMIFS(Human_Data_Entry!$U$3:$U$524,Human_Data_Entry!$A$3:$A$524,$I32,Human_Data_Entry!$H$3:$H$524,"Human",Human_Data_Entry!$J$3:$J$524,"&lt;&gt;HOLD"),"")</f>
        <v/>
      </c>
      <c r="M32" s="205">
        <f>COUNTIFS(LLM_Data_Entry!$A$3:$A$548,$I32,LLM_Data_Entry!$F$3:$F$548,"LLM",LLM_Data_Entry!$H$3:$H$548,"&lt;&gt;HOLD",LLM_Data_Entry!$T$3:$T$548,"&lt;&gt;")</f>
        <v/>
      </c>
      <c r="N32" s="132">
        <f>IFERROR(AVERAGEIFS(LLM_Data_Entry!$T$3:$T$548,LLM_Data_Entry!$A$3:$A$548,$I32,LLM_Data_Entry!$F$3:$F$548,"LLM",LLM_Data_Entry!$H$3:$H$548,"&lt;&gt;HOLD",LLM_Data_Entry!$T$3:$T$548,"&lt;&gt;"),"")</f>
        <v/>
      </c>
      <c r="O32" s="132">
        <f>IFERROR(SUMIFS(LLM_Data_Entry!$T$3:$T$548,LLM_Data_Entry!$A$3:$A$548,$I32,LLM_Data_Entry!$F$3:$F$548,"LLM",LLM_Data_Entry!$H$3:$H$548,"&lt;&gt;HOLD"),"")</f>
        <v/>
      </c>
    </row>
    <row r="33" ht="45.95" customHeight="1" s="241">
      <c r="A33" s="16" t="inlineStr">
        <is>
          <t>CVS Health</t>
        </is>
      </c>
      <c r="B33" s="129">
        <f>COUNTIFS(Human_Data_Entry!$A$3:$A$524,$A33,Human_Data_Entry!$H$3:$H$524,"Human",Human_Data_Entry!$S$3:$S$524,"?*")</f>
        <v/>
      </c>
      <c r="C33" s="129">
        <f>COUNTIFS(Human_Data_Entry!$A$3:$A$524,$A33,Human_Data_Entry!$H$3:$H$524,"Human",Human_Data_Entry!$S$3:$S$524,"YES")</f>
        <v/>
      </c>
      <c r="D33" s="44">
        <f>IF(B33=0,"-",C33/B33)</f>
        <v/>
      </c>
      <c r="E33" s="129">
        <f>COUNTIFS(LLM_Data_Entry!$A$3:$A$548,$A33,LLM_Data_Entry!$F$3:$F$548,"LLM",LLM_Data_Entry!$R$3:$R$548,"&lt;&gt;")</f>
        <v/>
      </c>
      <c r="F33" s="130">
        <f>COUNTIFS(LLM_Data_Entry!$A$3:$A$548,$A33,LLM_Data_Entry!$F$3:$F$548,"LLM",LLM_Data_Entry!$R$3:$R$548,"YES")</f>
        <v/>
      </c>
      <c r="G33" s="44">
        <f>IF(E33=0,"-",F33/E33)</f>
        <v/>
      </c>
      <c r="H33" s="17" t="n"/>
      <c r="I33" s="41">
        <f>A33</f>
        <v/>
      </c>
      <c r="J33" s="131">
        <f>SUMPRODUCT((Human_Data_Entry!$A$3:$A$524=$I33)*(Human_Data_Entry!$H$3:$H$524="Human")*((Human_Data_Entry!$J$3:$J$524="BUY")+(Human_Data_Entry!$J$3:$J$524="SELL"))*ISNUMBER(Human_Data_Entry!$U$3:$U$524))</f>
        <v/>
      </c>
      <c r="K33" s="132">
        <f>IFERROR(AVERAGEIFS(Human_Data_Entry!$U$3:$U$524,Human_Data_Entry!$A$3:$A$524,$I33,Human_Data_Entry!$H$3:$H$524,"Human",Human_Data_Entry!$J$3:$J$524,"&lt;&gt;HOLD",Human_Data_Entry!$U$3:$U$524,"&lt;&gt;"),"")</f>
        <v/>
      </c>
      <c r="L33" s="132">
        <f>IFERROR(SUMIFS(Human_Data_Entry!$U$3:$U$524,Human_Data_Entry!$A$3:$A$524,$I33,Human_Data_Entry!$H$3:$H$524,"Human",Human_Data_Entry!$J$3:$J$524,"&lt;&gt;HOLD"),"")</f>
        <v/>
      </c>
      <c r="M33" s="205">
        <f>COUNTIFS(LLM_Data_Entry!$A$3:$A$548,$I33,LLM_Data_Entry!$F$3:$F$548,"LLM",LLM_Data_Entry!$H$3:$H$548,"&lt;&gt;HOLD",LLM_Data_Entry!$T$3:$T$548,"&lt;&gt;")</f>
        <v/>
      </c>
      <c r="N33" s="132">
        <f>IFERROR(AVERAGEIFS(LLM_Data_Entry!$T$3:$T$548,LLM_Data_Entry!$A$3:$A$548,$I33,LLM_Data_Entry!$F$3:$F$548,"LLM",LLM_Data_Entry!$H$3:$H$548,"&lt;&gt;HOLD",LLM_Data_Entry!$T$3:$T$548,"&lt;&gt;"),"")</f>
        <v/>
      </c>
      <c r="O33" s="132">
        <f>IFERROR(SUMIFS(LLM_Data_Entry!$T$3:$T$548,LLM_Data_Entry!$A$3:$A$548,$I33,LLM_Data_Entry!$F$3:$F$548,"LLM",LLM_Data_Entry!$H$3:$H$548,"&lt;&gt;HOLD"),"")</f>
        <v/>
      </c>
    </row>
    <row r="34" ht="45.95" customHeight="1" s="241">
      <c r="A34" s="16" t="inlineStr">
        <is>
          <t>FedEx</t>
        </is>
      </c>
      <c r="B34" s="129">
        <f>COUNTIFS(Human_Data_Entry!$A$3:$A$524,$A34,Human_Data_Entry!$H$3:$H$524,"Human",Human_Data_Entry!$S$3:$S$524,"?*")</f>
        <v/>
      </c>
      <c r="C34" s="129">
        <f>COUNTIFS(Human_Data_Entry!$A$3:$A$524,$A34,Human_Data_Entry!$H$3:$H$524,"Human",Human_Data_Entry!$S$3:$S$524,"YES")</f>
        <v/>
      </c>
      <c r="D34" s="44">
        <f>IF(B34=0,"-",C34/B34)</f>
        <v/>
      </c>
      <c r="E34" s="129">
        <f>COUNTIFS(LLM_Data_Entry!$A$3:$A$548,$A34,LLM_Data_Entry!$F$3:$F$548,"LLM",LLM_Data_Entry!$R$3:$R$548,"&lt;&gt;")</f>
        <v/>
      </c>
      <c r="F34" s="130">
        <f>COUNTIFS(LLM_Data_Entry!$A$3:$A$548,$A34,LLM_Data_Entry!$F$3:$F$548,"LLM",LLM_Data_Entry!$R$3:$R$548,"YES")</f>
        <v/>
      </c>
      <c r="G34" s="44">
        <f>IF(E34=0,"-",F34/E34)</f>
        <v/>
      </c>
      <c r="H34" s="17" t="n"/>
      <c r="I34" s="41">
        <f>A34</f>
        <v/>
      </c>
      <c r="J34" s="131">
        <f>SUMPRODUCT((Human_Data_Entry!$A$3:$A$524=$I34)*(Human_Data_Entry!$H$3:$H$524="Human")*((Human_Data_Entry!$J$3:$J$524="BUY")+(Human_Data_Entry!$J$3:$J$524="SELL"))*ISNUMBER(Human_Data_Entry!$U$3:$U$524))</f>
        <v/>
      </c>
      <c r="K34" s="132">
        <f>IFERROR(AVERAGEIFS(Human_Data_Entry!$U$3:$U$524,Human_Data_Entry!$A$3:$A$524,$I34,Human_Data_Entry!$H$3:$H$524,"Human",Human_Data_Entry!$J$3:$J$524,"&lt;&gt;HOLD",Human_Data_Entry!$U$3:$U$524,"&lt;&gt;"),"")</f>
        <v/>
      </c>
      <c r="L34" s="132">
        <f>IFERROR(SUMIFS(Human_Data_Entry!$U$3:$U$524,Human_Data_Entry!$A$3:$A$524,$I34,Human_Data_Entry!$H$3:$H$524,"Human",Human_Data_Entry!$J$3:$J$524,"&lt;&gt;HOLD"),"")</f>
        <v/>
      </c>
      <c r="M34" s="205">
        <f>COUNTIFS(LLM_Data_Entry!$A$3:$A$548,$I34,LLM_Data_Entry!$F$3:$F$548,"LLM",LLM_Data_Entry!$H$3:$H$548,"&lt;&gt;HOLD",LLM_Data_Entry!$T$3:$T$548,"&lt;&gt;")</f>
        <v/>
      </c>
      <c r="N34" s="132">
        <f>IFERROR(AVERAGEIFS(LLM_Data_Entry!$T$3:$T$548,LLM_Data_Entry!$A$3:$A$548,$I34,LLM_Data_Entry!$F$3:$F$548,"LLM",LLM_Data_Entry!$H$3:$H$548,"&lt;&gt;HOLD",LLM_Data_Entry!$T$3:$T$548,"&lt;&gt;"),"")</f>
        <v/>
      </c>
      <c r="O34" s="132">
        <f>IFERROR(SUMIFS(LLM_Data_Entry!$T$3:$T$548,LLM_Data_Entry!$A$3:$A$548,$I34,LLM_Data_Entry!$F$3:$F$548,"LLM",LLM_Data_Entry!$H$3:$H$548,"&lt;&gt;HOLD"),"")</f>
        <v/>
      </c>
    </row>
    <row r="35" ht="45.95" customHeight="1" s="241">
      <c r="A35" s="16" t="inlineStr">
        <is>
          <t>Hilton</t>
        </is>
      </c>
      <c r="B35" s="129">
        <f>COUNTIFS(Human_Data_Entry!$A$3:$A$524,$A35,Human_Data_Entry!$H$3:$H$524,"Human",Human_Data_Entry!$S$3:$S$524,"?*")</f>
        <v/>
      </c>
      <c r="C35" s="129">
        <f>COUNTIFS(Human_Data_Entry!$A$3:$A$524,$A35,Human_Data_Entry!$H$3:$H$524,"Human",Human_Data_Entry!$S$3:$S$524,"YES")</f>
        <v/>
      </c>
      <c r="D35" s="44">
        <f>IF(B35=0,"-",C35/B35)</f>
        <v/>
      </c>
      <c r="E35" s="129">
        <f>COUNTIFS(LLM_Data_Entry!$A$3:$A$548,$A35,LLM_Data_Entry!$F$3:$F$548,"LLM",LLM_Data_Entry!$R$3:$R$548,"&lt;&gt;")</f>
        <v/>
      </c>
      <c r="F35" s="130">
        <f>COUNTIFS(LLM_Data_Entry!$A$3:$A$548,$A35,LLM_Data_Entry!$F$3:$F$548,"LLM",LLM_Data_Entry!$R$3:$R$548,"YES")</f>
        <v/>
      </c>
      <c r="G35" s="44">
        <f>IF(E35=0,"-",F35/E35)</f>
        <v/>
      </c>
      <c r="H35" s="17" t="n"/>
      <c r="I35" s="41">
        <f>A35</f>
        <v/>
      </c>
      <c r="J35" s="131">
        <f>SUMPRODUCT((Human_Data_Entry!$A$3:$A$524=$I35)*(Human_Data_Entry!$H$3:$H$524="Human")*((Human_Data_Entry!$J$3:$J$524="BUY")+(Human_Data_Entry!$J$3:$J$524="SELL"))*ISNUMBER(Human_Data_Entry!$U$3:$U$524))</f>
        <v/>
      </c>
      <c r="K35" s="132">
        <f>IFERROR(AVERAGEIFS(Human_Data_Entry!$U$3:$U$524,Human_Data_Entry!$A$3:$A$524,$I35,Human_Data_Entry!$H$3:$H$524,"Human",Human_Data_Entry!$J$3:$J$524,"&lt;&gt;HOLD",Human_Data_Entry!$U$3:$U$524,"&lt;&gt;"),"")</f>
        <v/>
      </c>
      <c r="L35" s="132">
        <f>IFERROR(SUMIFS(Human_Data_Entry!$U$3:$U$524,Human_Data_Entry!$A$3:$A$524,$I35,Human_Data_Entry!$H$3:$H$524,"Human",Human_Data_Entry!$J$3:$J$524,"&lt;&gt;HOLD"),"")</f>
        <v/>
      </c>
      <c r="M35" s="205">
        <f>COUNTIFS(LLM_Data_Entry!$A$3:$A$548,$I35,LLM_Data_Entry!$F$3:$F$548,"LLM",LLM_Data_Entry!$H$3:$H$548,"&lt;&gt;HOLD",LLM_Data_Entry!$T$3:$T$548,"&lt;&gt;")</f>
        <v/>
      </c>
      <c r="N35" s="132">
        <f>IFERROR(AVERAGEIFS(LLM_Data_Entry!$T$3:$T$548,LLM_Data_Entry!$A$3:$A$548,$I35,LLM_Data_Entry!$F$3:$F$548,"LLM",LLM_Data_Entry!$H$3:$H$548,"&lt;&gt;HOLD",LLM_Data_Entry!$T$3:$T$548,"&lt;&gt;"),"")</f>
        <v/>
      </c>
      <c r="O35" s="132">
        <f>IFERROR(SUMIFS(LLM_Data_Entry!$T$3:$T$548,LLM_Data_Entry!$A$3:$A$548,$I35,LLM_Data_Entry!$F$3:$F$548,"LLM",LLM_Data_Entry!$H$3:$H$548,"&lt;&gt;HOLD"),"")</f>
        <v/>
      </c>
    </row>
    <row r="36" ht="45.95" customHeight="1" s="241">
      <c r="A36" s="16" t="inlineStr">
        <is>
          <t>Marriott</t>
        </is>
      </c>
      <c r="B36" s="129">
        <f>COUNTIFS(Human_Data_Entry!$A$3:$A$524,$A36,Human_Data_Entry!$H$3:$H$524,"Human",Human_Data_Entry!$S$3:$S$524,"?*")</f>
        <v/>
      </c>
      <c r="C36" s="129">
        <f>COUNTIFS(Human_Data_Entry!$A$3:$A$524,$A36,Human_Data_Entry!$H$3:$H$524,"Human",Human_Data_Entry!$S$3:$S$524,"YES")</f>
        <v/>
      </c>
      <c r="D36" s="44">
        <f>IF(B36=0,"-",C36/B36)</f>
        <v/>
      </c>
      <c r="E36" s="129">
        <f>COUNTIFS(LLM_Data_Entry!$A$3:$A$548,$A36,LLM_Data_Entry!$F$3:$F$548,"LLM",LLM_Data_Entry!$R$3:$R$548,"&lt;&gt;")</f>
        <v/>
      </c>
      <c r="F36" s="130">
        <f>COUNTIFS(LLM_Data_Entry!$A$3:$A$548,$A36,LLM_Data_Entry!$F$3:$F$548,"LLM",LLM_Data_Entry!$R$3:$R$548,"YES")</f>
        <v/>
      </c>
      <c r="G36" s="44">
        <f>IF(E36=0,"-",F36/E36)</f>
        <v/>
      </c>
      <c r="H36" s="17" t="n"/>
      <c r="I36" s="41">
        <f>A36</f>
        <v/>
      </c>
      <c r="J36" s="131">
        <f>SUMPRODUCT((Human_Data_Entry!$A$3:$A$524=$I36)*(Human_Data_Entry!$H$3:$H$524="Human")*((Human_Data_Entry!$J$3:$J$524="BUY")+(Human_Data_Entry!$J$3:$J$524="SELL"))*ISNUMBER(Human_Data_Entry!$U$3:$U$524))</f>
        <v/>
      </c>
      <c r="K36" s="132">
        <f>IFERROR(AVERAGEIFS(Human_Data_Entry!$U$3:$U$524,Human_Data_Entry!$A$3:$A$524,$I36,Human_Data_Entry!$H$3:$H$524,"Human",Human_Data_Entry!$J$3:$J$524,"&lt;&gt;HOLD",Human_Data_Entry!$U$3:$U$524,"&lt;&gt;"),"")</f>
        <v/>
      </c>
      <c r="L36" s="132">
        <f>IFERROR(SUMIFS(Human_Data_Entry!$U$3:$U$524,Human_Data_Entry!$A$3:$A$524,$I36,Human_Data_Entry!$H$3:$H$524,"Human",Human_Data_Entry!$J$3:$J$524,"&lt;&gt;HOLD"),"")</f>
        <v/>
      </c>
      <c r="M36" s="205">
        <f>COUNTIFS(LLM_Data_Entry!$A$3:$A$548,$I36,LLM_Data_Entry!$F$3:$F$548,"LLM",LLM_Data_Entry!$H$3:$H$548,"&lt;&gt;HOLD",LLM_Data_Entry!$T$3:$T$548,"&lt;&gt;")</f>
        <v/>
      </c>
      <c r="N36" s="132">
        <f>IFERROR(AVERAGEIFS(LLM_Data_Entry!$T$3:$T$548,LLM_Data_Entry!$A$3:$A$548,$I36,LLM_Data_Entry!$F$3:$F$548,"LLM",LLM_Data_Entry!$H$3:$H$548,"&lt;&gt;HOLD",LLM_Data_Entry!$T$3:$T$548,"&lt;&gt;"),"")</f>
        <v/>
      </c>
      <c r="O36" s="132">
        <f>IFERROR(SUMIFS(LLM_Data_Entry!$T$3:$T$548,LLM_Data_Entry!$A$3:$A$548,$I36,LLM_Data_Entry!$F$3:$F$548,"LLM",LLM_Data_Entry!$H$3:$H$548,"&lt;&gt;HOLD"),"")</f>
        <v/>
      </c>
    </row>
    <row r="37" ht="45.95" customHeight="1" s="241">
      <c r="A37" s="16" t="inlineStr">
        <is>
          <t>IBM</t>
        </is>
      </c>
      <c r="B37" s="129">
        <f>COUNTIFS(Human_Data_Entry!$A$3:$A$524,$A37,Human_Data_Entry!$H$3:$H$524,"Human",Human_Data_Entry!$S$3:$S$524,"?*")</f>
        <v/>
      </c>
      <c r="C37" s="129">
        <f>COUNTIFS(Human_Data_Entry!$A$3:$A$524,$A37,Human_Data_Entry!$H$3:$H$524,"Human",Human_Data_Entry!$S$3:$S$524,"YES")</f>
        <v/>
      </c>
      <c r="D37" s="44">
        <f>IF(B37=0,"-",C37/B37)</f>
        <v/>
      </c>
      <c r="E37" s="129">
        <f>COUNTIFS(LLM_Data_Entry!$A$3:$A$548,$A37,LLM_Data_Entry!$F$3:$F$548,"LLM",LLM_Data_Entry!$R$3:$R$548,"&lt;&gt;")</f>
        <v/>
      </c>
      <c r="F37" s="130">
        <f>COUNTIFS(LLM_Data_Entry!$A$3:$A$548,$A37,LLM_Data_Entry!$F$3:$F$548,"LLM",LLM_Data_Entry!$R$3:$R$548,"YES")</f>
        <v/>
      </c>
      <c r="G37" s="44">
        <f>IF(E37=0,"-",F37/E37)</f>
        <v/>
      </c>
      <c r="H37" s="17" t="n"/>
      <c r="I37" s="41">
        <f>A37</f>
        <v/>
      </c>
      <c r="J37" s="131">
        <f>SUMPRODUCT((Human_Data_Entry!$A$3:$A$524=$I37)*(Human_Data_Entry!$H$3:$H$524="Human")*((Human_Data_Entry!$J$3:$J$524="BUY")+(Human_Data_Entry!$J$3:$J$524="SELL"))*ISNUMBER(Human_Data_Entry!$U$3:$U$524))</f>
        <v/>
      </c>
      <c r="K37" s="132">
        <f>IFERROR(AVERAGEIFS(Human_Data_Entry!$U$3:$U$524,Human_Data_Entry!$A$3:$A$524,$I37,Human_Data_Entry!$H$3:$H$524,"Human",Human_Data_Entry!$J$3:$J$524,"&lt;&gt;HOLD",Human_Data_Entry!$U$3:$U$524,"&lt;&gt;"),"")</f>
        <v/>
      </c>
      <c r="L37" s="132">
        <f>IFERROR(SUMIFS(Human_Data_Entry!$U$3:$U$524,Human_Data_Entry!$A$3:$A$524,$I37,Human_Data_Entry!$H$3:$H$524,"Human",Human_Data_Entry!$J$3:$J$524,"&lt;&gt;HOLD"),"")</f>
        <v/>
      </c>
      <c r="M37" s="205">
        <f>COUNTIFS(LLM_Data_Entry!$A$3:$A$548,$I37,LLM_Data_Entry!$F$3:$F$548,"LLM",LLM_Data_Entry!$H$3:$H$548,"&lt;&gt;HOLD",LLM_Data_Entry!$T$3:$T$548,"&lt;&gt;")</f>
        <v/>
      </c>
      <c r="N37" s="132">
        <f>IFERROR(AVERAGEIFS(LLM_Data_Entry!$T$3:$T$548,LLM_Data_Entry!$A$3:$A$548,$I37,LLM_Data_Entry!$F$3:$F$548,"LLM",LLM_Data_Entry!$H$3:$H$548,"&lt;&gt;HOLD",LLM_Data_Entry!$T$3:$T$548,"&lt;&gt;"),"")</f>
        <v/>
      </c>
      <c r="O37" s="132">
        <f>IFERROR(SUMIFS(LLM_Data_Entry!$T$3:$T$548,LLM_Data_Entry!$A$3:$A$548,$I37,LLM_Data_Entry!$F$3:$F$548,"LLM",LLM_Data_Entry!$H$3:$H$548,"&lt;&gt;HOLD"),"")</f>
        <v/>
      </c>
    </row>
    <row r="38" ht="45.95" customHeight="1" s="241">
      <c r="A38" s="16" t="inlineStr">
        <is>
          <t>Nike</t>
        </is>
      </c>
      <c r="B38" s="129">
        <f>COUNTIFS(Human_Data_Entry!$A$3:$A$524,$A38,Human_Data_Entry!$H$3:$H$524,"Human",Human_Data_Entry!$S$3:$S$524,"?*")</f>
        <v/>
      </c>
      <c r="C38" s="129">
        <f>COUNTIFS(Human_Data_Entry!$A$3:$A$524,$A38,Human_Data_Entry!$H$3:$H$524,"Human",Human_Data_Entry!$S$3:$S$524,"YES")</f>
        <v/>
      </c>
      <c r="D38" s="44">
        <f>IF(B38=0,"-",C38/B38)</f>
        <v/>
      </c>
      <c r="E38" s="129">
        <f>COUNTIFS(LLM_Data_Entry!$A$3:$A$548,$A38,LLM_Data_Entry!$F$3:$F$548,"LLM",LLM_Data_Entry!$R$3:$R$548,"&lt;&gt;")</f>
        <v/>
      </c>
      <c r="F38" s="130">
        <f>COUNTIFS(LLM_Data_Entry!$A$3:$A$548,$A38,LLM_Data_Entry!$F$3:$F$548,"LLM",LLM_Data_Entry!$R$3:$R$548,"YES")</f>
        <v/>
      </c>
      <c r="G38" s="44">
        <f>IF(E38=0,"-",F38/E38)</f>
        <v/>
      </c>
      <c r="H38" s="17" t="n"/>
      <c r="I38" s="41">
        <f>A38</f>
        <v/>
      </c>
      <c r="J38" s="131">
        <f>SUMPRODUCT((Human_Data_Entry!$A$3:$A$524=$I38)*(Human_Data_Entry!$H$3:$H$524="Human")*((Human_Data_Entry!$J$3:$J$524="BUY")+(Human_Data_Entry!$J$3:$J$524="SELL"))*ISNUMBER(Human_Data_Entry!$U$3:$U$524))</f>
        <v/>
      </c>
      <c r="K38" s="132">
        <f>IFERROR(AVERAGEIFS(Human_Data_Entry!$U$3:$U$524,Human_Data_Entry!$A$3:$A$524,$I38,Human_Data_Entry!$H$3:$H$524,"Human",Human_Data_Entry!$J$3:$J$524,"&lt;&gt;HOLD",Human_Data_Entry!$U$3:$U$524,"&lt;&gt;"),"")</f>
        <v/>
      </c>
      <c r="L38" s="132">
        <f>IFERROR(SUMIFS(Human_Data_Entry!$U$3:$U$524,Human_Data_Entry!$A$3:$A$524,$I38,Human_Data_Entry!$H$3:$H$524,"Human",Human_Data_Entry!$J$3:$J$524,"&lt;&gt;HOLD"),"")</f>
        <v/>
      </c>
      <c r="M38" s="205">
        <f>COUNTIFS(LLM_Data_Entry!$A$3:$A$548,$I38,LLM_Data_Entry!$F$3:$F$548,"LLM",LLM_Data_Entry!$H$3:$H$548,"&lt;&gt;HOLD",LLM_Data_Entry!$T$3:$T$548,"&lt;&gt;")</f>
        <v/>
      </c>
      <c r="N38" s="132">
        <f>IFERROR(AVERAGEIFS(LLM_Data_Entry!$T$3:$T$548,LLM_Data_Entry!$A$3:$A$548,$I38,LLM_Data_Entry!$F$3:$F$548,"LLM",LLM_Data_Entry!$H$3:$H$548,"&lt;&gt;HOLD",LLM_Data_Entry!$T$3:$T$548,"&lt;&gt;"),"")</f>
        <v/>
      </c>
      <c r="O38" s="132">
        <f>IFERROR(SUMIFS(LLM_Data_Entry!$T$3:$T$548,LLM_Data_Entry!$A$3:$A$548,$I38,LLM_Data_Entry!$F$3:$F$548,"LLM",LLM_Data_Entry!$H$3:$H$548,"&lt;&gt;HOLD"),"")</f>
        <v/>
      </c>
    </row>
    <row r="39" ht="45.95" customHeight="1" s="241">
      <c r="A39" s="16" t="inlineStr">
        <is>
          <t>Citigroup</t>
        </is>
      </c>
      <c r="B39" s="129">
        <f>COUNTIFS(Human_Data_Entry!$A$3:$A$524,$A39,Human_Data_Entry!$H$3:$H$524,"Human",Human_Data_Entry!$S$3:$S$524,"?*")</f>
        <v/>
      </c>
      <c r="C39" s="129">
        <f>COUNTIFS(Human_Data_Entry!$A$3:$A$524,$A39,Human_Data_Entry!$H$3:$H$524,"Human",Human_Data_Entry!$S$3:$S$524,"YES")</f>
        <v/>
      </c>
      <c r="D39" s="44">
        <f>IF(B39=0,"-",C39/B39)</f>
        <v/>
      </c>
      <c r="E39" s="129">
        <f>COUNTIFS(LLM_Data_Entry!$A$3:$A$548,$A39,LLM_Data_Entry!$F$3:$F$548,"LLM",LLM_Data_Entry!$R$3:$R$548,"&lt;&gt;")</f>
        <v/>
      </c>
      <c r="F39" s="130">
        <f>COUNTIFS(LLM_Data_Entry!$A$3:$A$548,$A39,LLM_Data_Entry!$F$3:$F$548,"LLM",LLM_Data_Entry!$R$3:$R$548,"YES")</f>
        <v/>
      </c>
      <c r="G39" s="44">
        <f>IF(E39=0,"-",F39/E39)</f>
        <v/>
      </c>
      <c r="H39" s="17" t="n"/>
      <c r="I39" s="41">
        <f>A39</f>
        <v/>
      </c>
      <c r="J39" s="131">
        <f>SUMPRODUCT((Human_Data_Entry!$A$3:$A$524=$I39)*(Human_Data_Entry!$H$3:$H$524="Human")*((Human_Data_Entry!$J$3:$J$524="BUY")+(Human_Data_Entry!$J$3:$J$524="SELL"))*ISNUMBER(Human_Data_Entry!$U$3:$U$524))</f>
        <v/>
      </c>
      <c r="K39" s="132">
        <f>IFERROR(AVERAGEIFS(Human_Data_Entry!$U$3:$U$524,Human_Data_Entry!$A$3:$A$524,$I39,Human_Data_Entry!$H$3:$H$524,"Human",Human_Data_Entry!$J$3:$J$524,"&lt;&gt;HOLD",Human_Data_Entry!$U$3:$U$524,"&lt;&gt;"),"")</f>
        <v/>
      </c>
      <c r="L39" s="132">
        <f>IFERROR(SUMIFS(Human_Data_Entry!$U$3:$U$524,Human_Data_Entry!$A$3:$A$524,$I39,Human_Data_Entry!$H$3:$H$524,"Human",Human_Data_Entry!$J$3:$J$524,"&lt;&gt;HOLD"),"")</f>
        <v/>
      </c>
      <c r="M39" s="205">
        <f>COUNTIFS(LLM_Data_Entry!$A$3:$A$548,$I39,LLM_Data_Entry!$F$3:$F$548,"LLM",LLM_Data_Entry!$H$3:$H$548,"&lt;&gt;HOLD",LLM_Data_Entry!$T$3:$T$548,"&lt;&gt;")</f>
        <v/>
      </c>
      <c r="N39" s="132">
        <f>IFERROR(AVERAGEIFS(LLM_Data_Entry!$T$3:$T$548,LLM_Data_Entry!$A$3:$A$548,$I39,LLM_Data_Entry!$F$3:$F$548,"LLM",LLM_Data_Entry!$H$3:$H$548,"&lt;&gt;HOLD",LLM_Data_Entry!$T$3:$T$548,"&lt;&gt;"),"")</f>
        <v/>
      </c>
      <c r="O39" s="132">
        <f>IFERROR(SUMIFS(LLM_Data_Entry!$T$3:$T$548,LLM_Data_Entry!$A$3:$A$548,$I39,LLM_Data_Entry!$F$3:$F$548,"LLM",LLM_Data_Entry!$H$3:$H$548,"&lt;&gt;HOLD"),"")</f>
        <v/>
      </c>
    </row>
    <row r="40" ht="45.95" customHeight="1" s="241">
      <c r="A40" s="16" t="inlineStr">
        <is>
          <t>Goldman Sachs</t>
        </is>
      </c>
      <c r="B40" s="129">
        <f>COUNTIFS(Human_Data_Entry!$A$3:$A$524,$A40,Human_Data_Entry!$H$3:$H$524,"Human",Human_Data_Entry!$S$3:$S$524,"?*")</f>
        <v/>
      </c>
      <c r="C40" s="129">
        <f>COUNTIFS(Human_Data_Entry!$A$3:$A$524,$A40,Human_Data_Entry!$H$3:$H$524,"Human",Human_Data_Entry!$S$3:$S$524,"YES")</f>
        <v/>
      </c>
      <c r="D40" s="44">
        <f>IF(B40=0,"-",C40/B40)</f>
        <v/>
      </c>
      <c r="E40" s="129">
        <f>COUNTIFS(LLM_Data_Entry!$A$3:$A$548,$A40,LLM_Data_Entry!$F$3:$F$548,"LLM",LLM_Data_Entry!$R$3:$R$548,"&lt;&gt;")</f>
        <v/>
      </c>
      <c r="F40" s="130">
        <f>COUNTIFS(LLM_Data_Entry!$A$3:$A$548,$A40,LLM_Data_Entry!$F$3:$F$548,"LLM",LLM_Data_Entry!$R$3:$R$548,"YES")</f>
        <v/>
      </c>
      <c r="G40" s="44">
        <f>IF(E40=0,"-",F40/E40)</f>
        <v/>
      </c>
      <c r="H40" s="17" t="n"/>
      <c r="I40" s="41">
        <f>A40</f>
        <v/>
      </c>
      <c r="J40" s="131">
        <f>SUMPRODUCT((Human_Data_Entry!$A$3:$A$524=$I40)*(Human_Data_Entry!$H$3:$H$524="Human")*((Human_Data_Entry!$J$3:$J$524="BUY")+(Human_Data_Entry!$J$3:$J$524="SELL"))*ISNUMBER(Human_Data_Entry!$U$3:$U$524))</f>
        <v/>
      </c>
      <c r="K40" s="132">
        <f>IFERROR(AVERAGEIFS(Human_Data_Entry!$U$3:$U$524,Human_Data_Entry!$A$3:$A$524,$I40,Human_Data_Entry!$H$3:$H$524,"Human",Human_Data_Entry!$J$3:$J$524,"&lt;&gt;HOLD",Human_Data_Entry!$U$3:$U$524,"&lt;&gt;"),"")</f>
        <v/>
      </c>
      <c r="L40" s="132">
        <f>IFERROR(SUMIFS(Human_Data_Entry!$U$3:$U$524,Human_Data_Entry!$A$3:$A$524,$I40,Human_Data_Entry!$H$3:$H$524,"Human",Human_Data_Entry!$J$3:$J$524,"&lt;&gt;HOLD"),"")</f>
        <v/>
      </c>
      <c r="M40" s="205">
        <f>COUNTIFS(LLM_Data_Entry!$A$3:$A$548,$I40,LLM_Data_Entry!$F$3:$F$548,"LLM",LLM_Data_Entry!$H$3:$H$548,"&lt;&gt;HOLD",LLM_Data_Entry!$T$3:$T$548,"&lt;&gt;")</f>
        <v/>
      </c>
      <c r="N40" s="132">
        <f>IFERROR(AVERAGEIFS(LLM_Data_Entry!$T$3:$T$548,LLM_Data_Entry!$A$3:$A$548,$I40,LLM_Data_Entry!$F$3:$F$548,"LLM",LLM_Data_Entry!$H$3:$H$548,"&lt;&gt;HOLD",LLM_Data_Entry!$T$3:$T$548,"&lt;&gt;"),"")</f>
        <v/>
      </c>
      <c r="O40" s="132">
        <f>IFERROR(SUMIFS(LLM_Data_Entry!$T$3:$T$548,LLM_Data_Entry!$A$3:$A$548,$I40,LLM_Data_Entry!$F$3:$F$548,"LLM",LLM_Data_Entry!$H$3:$H$548,"&lt;&gt;HOLD"),"")</f>
        <v/>
      </c>
    </row>
    <row r="41" ht="45.95" customHeight="1" s="241">
      <c r="A41" s="16" t="inlineStr">
        <is>
          <t>Charles Schwab</t>
        </is>
      </c>
      <c r="B41" s="129">
        <f>COUNTIFS(Human_Data_Entry!$A$3:$A$524,$A41,Human_Data_Entry!$H$3:$H$524,"Human",Human_Data_Entry!$S$3:$S$524,"?*")</f>
        <v/>
      </c>
      <c r="C41" s="129">
        <f>COUNTIFS(Human_Data_Entry!$A$3:$A$524,$A41,Human_Data_Entry!$H$3:$H$524,"Human",Human_Data_Entry!$S$3:$S$524,"YES")</f>
        <v/>
      </c>
      <c r="D41" s="44">
        <f>IF(B41=0,"-",C41/B41)</f>
        <v/>
      </c>
      <c r="E41" s="129">
        <f>COUNTIFS(LLM_Data_Entry!$A$3:$A$548,$A41,LLM_Data_Entry!$F$3:$F$548,"LLM",LLM_Data_Entry!$R$3:$R$548,"&lt;&gt;")</f>
        <v/>
      </c>
      <c r="F41" s="130">
        <f>COUNTIFS(LLM_Data_Entry!$A$3:$A$548,$A41,LLM_Data_Entry!$F$3:$F$548,"LLM",LLM_Data_Entry!$R$3:$R$548,"YES")</f>
        <v/>
      </c>
      <c r="G41" s="44">
        <f>IF(E41=0,"-",F41/E41)</f>
        <v/>
      </c>
      <c r="H41" s="17" t="n"/>
      <c r="I41" s="41">
        <f>A41</f>
        <v/>
      </c>
      <c r="J41" s="131">
        <f>SUMPRODUCT((Human_Data_Entry!$A$3:$A$524=$I41)*(Human_Data_Entry!$H$3:$H$524="Human")*((Human_Data_Entry!$J$3:$J$524="BUY")+(Human_Data_Entry!$J$3:$J$524="SELL"))*ISNUMBER(Human_Data_Entry!$U$3:$U$524))</f>
        <v/>
      </c>
      <c r="K41" s="132">
        <f>IFERROR(AVERAGEIFS(Human_Data_Entry!$U$3:$U$524,Human_Data_Entry!$A$3:$A$524,$I41,Human_Data_Entry!$H$3:$H$524,"Human",Human_Data_Entry!$J$3:$J$524,"&lt;&gt;HOLD",Human_Data_Entry!$U$3:$U$524,"&lt;&gt;"),"")</f>
        <v/>
      </c>
      <c r="L41" s="132">
        <f>IFERROR(SUMIFS(Human_Data_Entry!$U$3:$U$524,Human_Data_Entry!$A$3:$A$524,$I41,Human_Data_Entry!$H$3:$H$524,"Human",Human_Data_Entry!$J$3:$J$524,"&lt;&gt;HOLD"),"")</f>
        <v/>
      </c>
      <c r="M41" s="205">
        <f>COUNTIFS(LLM_Data_Entry!$A$3:$A$548,$I41,LLM_Data_Entry!$F$3:$F$548,"LLM",LLM_Data_Entry!$H$3:$H$548,"&lt;&gt;HOLD",LLM_Data_Entry!$T$3:$T$548,"&lt;&gt;")</f>
        <v/>
      </c>
      <c r="N41" s="132">
        <f>IFERROR(AVERAGEIFS(LLM_Data_Entry!$T$3:$T$548,LLM_Data_Entry!$A$3:$A$548,$I41,LLM_Data_Entry!$F$3:$F$548,"LLM",LLM_Data_Entry!$H$3:$H$548,"&lt;&gt;HOLD",LLM_Data_Entry!$T$3:$T$548,"&lt;&gt;"),"")</f>
        <v/>
      </c>
      <c r="O41" s="132">
        <f>IFERROR(SUMIFS(LLM_Data_Entry!$T$3:$T$548,LLM_Data_Entry!$A$3:$A$548,$I41,LLM_Data_Entry!$F$3:$F$548,"LLM",LLM_Data_Entry!$H$3:$H$548,"&lt;&gt;HOLD"),"")</f>
        <v/>
      </c>
    </row>
    <row r="42" ht="45.95" customHeight="1" s="241">
      <c r="A42" s="16" t="inlineStr">
        <is>
          <t>MetLife</t>
        </is>
      </c>
      <c r="B42" s="129">
        <f>COUNTIFS(Human_Data_Entry!$A$3:$A$524,$A42,Human_Data_Entry!$H$3:$H$524,"Human",Human_Data_Entry!$S$3:$S$524,"?*")</f>
        <v/>
      </c>
      <c r="C42" s="129">
        <f>COUNTIFS(Human_Data_Entry!$A$3:$A$524,$A42,Human_Data_Entry!$H$3:$H$524,"Human",Human_Data_Entry!$S$3:$S$524,"YES")</f>
        <v/>
      </c>
      <c r="D42" s="44">
        <f>IF(B42=0,"-",C42/B42)</f>
        <v/>
      </c>
      <c r="E42" s="129">
        <f>COUNTIFS(LLM_Data_Entry!$A$3:$A$548,$A42,LLM_Data_Entry!$F$3:$F$548,"LLM",LLM_Data_Entry!$R$3:$R$548,"&lt;&gt;")</f>
        <v/>
      </c>
      <c r="F42" s="130">
        <f>COUNTIFS(LLM_Data_Entry!$A$3:$A$548,$A42,LLM_Data_Entry!$F$3:$F$548,"LLM",LLM_Data_Entry!$R$3:$R$548,"YES")</f>
        <v/>
      </c>
      <c r="G42" s="44">
        <f>IF(E42=0,"-",F42/E42)</f>
        <v/>
      </c>
      <c r="H42" s="17" t="n"/>
      <c r="I42" s="41">
        <f>A42</f>
        <v/>
      </c>
      <c r="J42" s="131">
        <f>SUMPRODUCT((Human_Data_Entry!$A$3:$A$524=$I42)*(Human_Data_Entry!$H$3:$H$524="Human")*((Human_Data_Entry!$J$3:$J$524="BUY")+(Human_Data_Entry!$J$3:$J$524="SELL"))*ISNUMBER(Human_Data_Entry!$U$3:$U$524))</f>
        <v/>
      </c>
      <c r="K42" s="132">
        <f>IFERROR(AVERAGEIFS(Human_Data_Entry!$U$3:$U$524,Human_Data_Entry!$A$3:$A$524,$I42,Human_Data_Entry!$H$3:$H$524,"Human",Human_Data_Entry!$J$3:$J$524,"&lt;&gt;HOLD",Human_Data_Entry!$U$3:$U$524,"&lt;&gt;"),"")</f>
        <v/>
      </c>
      <c r="L42" s="132">
        <f>IFERROR(SUMIFS(Human_Data_Entry!$U$3:$U$524,Human_Data_Entry!$A$3:$A$524,$I42,Human_Data_Entry!$H$3:$H$524,"Human",Human_Data_Entry!$J$3:$J$524,"&lt;&gt;HOLD"),"")</f>
        <v/>
      </c>
      <c r="M42" s="205">
        <f>COUNTIFS(LLM_Data_Entry!$A$3:$A$548,$I42,LLM_Data_Entry!$F$3:$F$548,"LLM",LLM_Data_Entry!$H$3:$H$548,"&lt;&gt;HOLD",LLM_Data_Entry!$T$3:$T$548,"&lt;&gt;")</f>
        <v/>
      </c>
      <c r="N42" s="132">
        <f>IFERROR(AVERAGEIFS(LLM_Data_Entry!$T$3:$T$548,LLM_Data_Entry!$A$3:$A$548,$I42,LLM_Data_Entry!$F$3:$F$548,"LLM",LLM_Data_Entry!$H$3:$H$548,"&lt;&gt;HOLD",LLM_Data_Entry!$T$3:$T$548,"&lt;&gt;"),"")</f>
        <v/>
      </c>
      <c r="O42" s="132">
        <f>IFERROR(SUMIFS(LLM_Data_Entry!$T$3:$T$548,LLM_Data_Entry!$A$3:$A$548,$I42,LLM_Data_Entry!$F$3:$F$548,"LLM",LLM_Data_Entry!$H$3:$H$548,"&lt;&gt;HOLD"),"")</f>
        <v/>
      </c>
    </row>
    <row r="43" ht="45.95" customHeight="1" s="241">
      <c r="A43" s="16" t="inlineStr">
        <is>
          <t>Pepsico</t>
        </is>
      </c>
      <c r="B43" s="129">
        <f>COUNTIFS(Human_Data_Entry!$A$3:$A$524,$A43,Human_Data_Entry!$H$3:$H$524,"Human",Human_Data_Entry!$S$3:$S$524,"?*")</f>
        <v/>
      </c>
      <c r="C43" s="129">
        <f>COUNTIFS(Human_Data_Entry!$A$3:$A$524,$A43,Human_Data_Entry!$H$3:$H$524,"Human",Human_Data_Entry!$S$3:$S$524,"YES")</f>
        <v/>
      </c>
      <c r="D43" s="44">
        <f>IF(B43=0,"-",C43/B43)</f>
        <v/>
      </c>
      <c r="E43" s="129">
        <f>COUNTIFS(LLM_Data_Entry!$A$3:$A$548,$A43,LLM_Data_Entry!$F$3:$F$548,"LLM",LLM_Data_Entry!$R$3:$R$548,"&lt;&gt;")</f>
        <v/>
      </c>
      <c r="F43" s="130">
        <f>COUNTIFS(LLM_Data_Entry!$A$3:$A$548,$A43,LLM_Data_Entry!$F$3:$F$548,"LLM",LLM_Data_Entry!$R$3:$R$548,"YES")</f>
        <v/>
      </c>
      <c r="G43" s="44">
        <f>IF(E43=0,"-",F43/E43)</f>
        <v/>
      </c>
      <c r="H43" s="17" t="n"/>
      <c r="I43" s="41">
        <f>A43</f>
        <v/>
      </c>
      <c r="J43" s="131">
        <f>SUMPRODUCT((Human_Data_Entry!$A$3:$A$524=$I43)*(Human_Data_Entry!$H$3:$H$524="Human")*((Human_Data_Entry!$J$3:$J$524="BUY")+(Human_Data_Entry!$J$3:$J$524="SELL"))*ISNUMBER(Human_Data_Entry!$U$3:$U$524))</f>
        <v/>
      </c>
      <c r="K43" s="132">
        <f>IFERROR(AVERAGEIFS(Human_Data_Entry!$U$3:$U$524,Human_Data_Entry!$A$3:$A$524,$I43,Human_Data_Entry!$H$3:$H$524,"Human",Human_Data_Entry!$J$3:$J$524,"&lt;&gt;HOLD",Human_Data_Entry!$U$3:$U$524,"&lt;&gt;"),"")</f>
        <v/>
      </c>
      <c r="L43" s="132">
        <f>IFERROR(SUMIFS(Human_Data_Entry!$U$3:$U$524,Human_Data_Entry!$A$3:$A$524,$I43,Human_Data_Entry!$H$3:$H$524,"Human",Human_Data_Entry!$J$3:$J$524,"&lt;&gt;HOLD"),"")</f>
        <v/>
      </c>
      <c r="M43" s="205">
        <f>COUNTIFS(LLM_Data_Entry!$A$3:$A$548,$I43,LLM_Data_Entry!$F$3:$F$548,"LLM",LLM_Data_Entry!$H$3:$H$548,"&lt;&gt;HOLD",LLM_Data_Entry!$T$3:$T$548,"&lt;&gt;")</f>
        <v/>
      </c>
      <c r="N43" s="132">
        <f>IFERROR(AVERAGEIFS(LLM_Data_Entry!$T$3:$T$548,LLM_Data_Entry!$A$3:$A$548,$I43,LLM_Data_Entry!$F$3:$F$548,"LLM",LLM_Data_Entry!$H$3:$H$548,"&lt;&gt;HOLD",LLM_Data_Entry!$T$3:$T$548,"&lt;&gt;"),"")</f>
        <v/>
      </c>
      <c r="O43" s="132">
        <f>IFERROR(SUMIFS(LLM_Data_Entry!$T$3:$T$548,LLM_Data_Entry!$A$3:$A$548,$I43,LLM_Data_Entry!$F$3:$F$548,"LLM",LLM_Data_Entry!$H$3:$H$548,"&lt;&gt;HOLD"),"")</f>
        <v/>
      </c>
    </row>
    <row r="44" ht="45.95" customHeight="1" s="241">
      <c r="A44" s="16" t="inlineStr">
        <is>
          <t>Duke Energy</t>
        </is>
      </c>
      <c r="B44" s="129">
        <f>COUNTIFS(Human_Data_Entry!$A$3:$A$524,$A44,Human_Data_Entry!$H$3:$H$524,"Human",Human_Data_Entry!$S$3:$S$524,"?*")</f>
        <v/>
      </c>
      <c r="C44" s="129">
        <f>COUNTIFS(Human_Data_Entry!$A$3:$A$524,$A44,Human_Data_Entry!$H$3:$H$524,"Human",Human_Data_Entry!$S$3:$S$524,"YES")</f>
        <v/>
      </c>
      <c r="D44" s="44">
        <f>IF(B44=0,"-",C44/B44)</f>
        <v/>
      </c>
      <c r="E44" s="129">
        <f>COUNTIFS(LLM_Data_Entry!$A$3:$A$548,$A44,LLM_Data_Entry!$F$3:$F$548,"LLM",LLM_Data_Entry!$R$3:$R$548,"&lt;&gt;")</f>
        <v/>
      </c>
      <c r="F44" s="130">
        <f>COUNTIFS(LLM_Data_Entry!$A$3:$A$548,$A44,LLM_Data_Entry!$F$3:$F$548,"LLM",LLM_Data_Entry!$R$3:$R$548,"YES")</f>
        <v/>
      </c>
      <c r="G44" s="44">
        <f>IF(E44=0,"-",F44/E44)</f>
        <v/>
      </c>
      <c r="H44" s="17" t="n"/>
      <c r="I44" s="41">
        <f>A44</f>
        <v/>
      </c>
      <c r="J44" s="131">
        <f>SUMPRODUCT((Human_Data_Entry!$A$3:$A$524=$I44)*(Human_Data_Entry!$H$3:$H$524="Human")*((Human_Data_Entry!$J$3:$J$524="BUY")+(Human_Data_Entry!$J$3:$J$524="SELL"))*ISNUMBER(Human_Data_Entry!$U$3:$U$524))</f>
        <v/>
      </c>
      <c r="K44" s="132">
        <f>IFERROR(AVERAGEIFS(Human_Data_Entry!$U$3:$U$524,Human_Data_Entry!$A$3:$A$524,$I44,Human_Data_Entry!$H$3:$H$524,"Human",Human_Data_Entry!$J$3:$J$524,"&lt;&gt;HOLD",Human_Data_Entry!$U$3:$U$524,"&lt;&gt;"),"")</f>
        <v/>
      </c>
      <c r="L44" s="132">
        <f>IFERROR(SUMIFS(Human_Data_Entry!$U$3:$U$524,Human_Data_Entry!$A$3:$A$524,$I44,Human_Data_Entry!$H$3:$H$524,"Human",Human_Data_Entry!$J$3:$J$524,"&lt;&gt;HOLD"),"")</f>
        <v/>
      </c>
      <c r="M44" s="205">
        <f>COUNTIFS(LLM_Data_Entry!$A$3:$A$548,$I44,LLM_Data_Entry!$F$3:$F$548,"LLM",LLM_Data_Entry!$H$3:$H$548,"&lt;&gt;HOLD",LLM_Data_Entry!$T$3:$T$548,"&lt;&gt;")</f>
        <v/>
      </c>
      <c r="N44" s="132">
        <f>IFERROR(AVERAGEIFS(LLM_Data_Entry!$T$3:$T$548,LLM_Data_Entry!$A$3:$A$548,$I44,LLM_Data_Entry!$F$3:$F$548,"LLM",LLM_Data_Entry!$H$3:$H$548,"&lt;&gt;HOLD",LLM_Data_Entry!$T$3:$T$548,"&lt;&gt;"),"")</f>
        <v/>
      </c>
      <c r="O44" s="132">
        <f>IFERROR(SUMIFS(LLM_Data_Entry!$T$3:$T$548,LLM_Data_Entry!$A$3:$A$548,$I44,LLM_Data_Entry!$F$3:$F$548,"LLM",LLM_Data_Entry!$H$3:$H$548,"&lt;&gt;HOLD"),"")</f>
        <v/>
      </c>
    </row>
    <row r="45" ht="45.95" customHeight="1" s="241">
      <c r="A45" s="16" t="inlineStr">
        <is>
          <t>ExxonMobil</t>
        </is>
      </c>
      <c r="B45" s="129">
        <f>COUNTIFS(Human_Data_Entry!$A$3:$A$524,$A45,Human_Data_Entry!$H$3:$H$524,"Human",Human_Data_Entry!$S$3:$S$524,"?*")</f>
        <v/>
      </c>
      <c r="C45" s="129">
        <f>COUNTIFS(Human_Data_Entry!$A$3:$A$524,$A45,Human_Data_Entry!$H$3:$H$524,"Human",Human_Data_Entry!$S$3:$S$524,"YES")</f>
        <v/>
      </c>
      <c r="D45" s="44">
        <f>IF(B45=0,"-",C45/B45)</f>
        <v/>
      </c>
      <c r="E45" s="129">
        <f>COUNTIFS(LLM_Data_Entry!$A$3:$A$548,$A45,LLM_Data_Entry!$F$3:$F$548,"LLM",LLM_Data_Entry!$R$3:$R$548,"&lt;&gt;")</f>
        <v/>
      </c>
      <c r="F45" s="130">
        <f>COUNTIFS(LLM_Data_Entry!$A$3:$A$548,$A45,LLM_Data_Entry!$F$3:$F$548,"LLM",LLM_Data_Entry!$R$3:$R$548,"YES")</f>
        <v/>
      </c>
      <c r="G45" s="44">
        <f>IF(E45=0,"-",F45/E45)</f>
        <v/>
      </c>
      <c r="H45" s="17" t="n"/>
      <c r="I45" s="41">
        <f>A45</f>
        <v/>
      </c>
      <c r="J45" s="131">
        <f>SUMPRODUCT((Human_Data_Entry!$A$3:$A$524=$I45)*(Human_Data_Entry!$H$3:$H$524="Human")*((Human_Data_Entry!$J$3:$J$524="BUY")+(Human_Data_Entry!$J$3:$J$524="SELL"))*ISNUMBER(Human_Data_Entry!$U$3:$U$524))</f>
        <v/>
      </c>
      <c r="K45" s="132">
        <f>IFERROR(AVERAGEIFS(Human_Data_Entry!$U$3:$U$524,Human_Data_Entry!$A$3:$A$524,$I45,Human_Data_Entry!$H$3:$H$524,"Human",Human_Data_Entry!$J$3:$J$524,"&lt;&gt;HOLD",Human_Data_Entry!$U$3:$U$524,"&lt;&gt;"),"")</f>
        <v/>
      </c>
      <c r="L45" s="132">
        <f>IFERROR(SUMIFS(Human_Data_Entry!$U$3:$U$524,Human_Data_Entry!$A$3:$A$524,$I45,Human_Data_Entry!$H$3:$H$524,"Human",Human_Data_Entry!$J$3:$J$524,"&lt;&gt;HOLD"),"")</f>
        <v/>
      </c>
      <c r="M45" s="205">
        <f>COUNTIFS(LLM_Data_Entry!$A$3:$A$548,$I45,LLM_Data_Entry!$F$3:$F$548,"LLM",LLM_Data_Entry!$H$3:$H$548,"&lt;&gt;HOLD",LLM_Data_Entry!$T$3:$T$548,"&lt;&gt;")</f>
        <v/>
      </c>
      <c r="N45" s="132">
        <f>IFERROR(AVERAGEIFS(LLM_Data_Entry!$T$3:$T$548,LLM_Data_Entry!$A$3:$A$548,$I45,LLM_Data_Entry!$F$3:$F$548,"LLM",LLM_Data_Entry!$H$3:$H$548,"&lt;&gt;HOLD",LLM_Data_Entry!$T$3:$T$548,"&lt;&gt;"),"")</f>
        <v/>
      </c>
      <c r="O45" s="132">
        <f>IFERROR(SUMIFS(LLM_Data_Entry!$T$3:$T$548,LLM_Data_Entry!$A$3:$A$548,$I45,LLM_Data_Entry!$F$3:$F$548,"LLM",LLM_Data_Entry!$H$3:$H$548,"&lt;&gt;HOLD"),"")</f>
        <v/>
      </c>
    </row>
    <row r="46" ht="45.95" customHeight="1" s="241">
      <c r="A46" s="16" t="inlineStr">
        <is>
          <t>Uber</t>
        </is>
      </c>
      <c r="B46" s="129">
        <f>COUNTIFS(Human_Data_Entry!$A$3:$A$524,$A46,Human_Data_Entry!$H$3:$H$524,"Human",Human_Data_Entry!$S$3:$S$524,"?*")</f>
        <v/>
      </c>
      <c r="C46" s="129">
        <f>COUNTIFS(Human_Data_Entry!$A$3:$A$524,$A46,Human_Data_Entry!$H$3:$H$524,"Human",Human_Data_Entry!$S$3:$S$524,"YES")</f>
        <v/>
      </c>
      <c r="D46" s="44">
        <f>IF(B46=0,"-",C46/B46)</f>
        <v/>
      </c>
      <c r="E46" s="129">
        <f>COUNTIFS(LLM_Data_Entry!$A$3:$A$548,$A46,LLM_Data_Entry!$F$3:$F$548,"LLM",LLM_Data_Entry!$R$3:$R$548,"&lt;&gt;")</f>
        <v/>
      </c>
      <c r="F46" s="130">
        <f>COUNTIFS(LLM_Data_Entry!$A$3:$A$548,$A46,LLM_Data_Entry!$F$3:$F$548,"LLM",LLM_Data_Entry!$R$3:$R$548,"YES")</f>
        <v/>
      </c>
      <c r="G46" s="44">
        <f>IF(E46=0,"-",F46/E46)</f>
        <v/>
      </c>
      <c r="H46" s="17" t="n"/>
      <c r="I46" s="41">
        <f>A46</f>
        <v/>
      </c>
      <c r="J46" s="131">
        <f>SUMPRODUCT((Human_Data_Entry!$A$3:$A$524=$I46)*(Human_Data_Entry!$H$3:$H$524="Human")*((Human_Data_Entry!$J$3:$J$524="BUY")+(Human_Data_Entry!$J$3:$J$524="SELL"))*ISNUMBER(Human_Data_Entry!$U$3:$U$524))</f>
        <v/>
      </c>
      <c r="K46" s="132">
        <f>IFERROR(AVERAGEIFS(Human_Data_Entry!$U$3:$U$524,Human_Data_Entry!$A$3:$A$524,$I46,Human_Data_Entry!$H$3:$H$524,"Human",Human_Data_Entry!$J$3:$J$524,"&lt;&gt;HOLD",Human_Data_Entry!$U$3:$U$524,"&lt;&gt;"),"")</f>
        <v/>
      </c>
      <c r="L46" s="132">
        <f>IFERROR(SUMIFS(Human_Data_Entry!$U$3:$U$524,Human_Data_Entry!$A$3:$A$524,$I46,Human_Data_Entry!$H$3:$H$524,"Human",Human_Data_Entry!$J$3:$J$524,"&lt;&gt;HOLD"),"")</f>
        <v/>
      </c>
      <c r="M46" s="205">
        <f>COUNTIFS(LLM_Data_Entry!$A$3:$A$548,$I46,LLM_Data_Entry!$F$3:$F$548,"LLM",LLM_Data_Entry!$H$3:$H$548,"&lt;&gt;HOLD",LLM_Data_Entry!$T$3:$T$548,"&lt;&gt;")</f>
        <v/>
      </c>
      <c r="N46" s="132">
        <f>IFERROR(AVERAGEIFS(LLM_Data_Entry!$T$3:$T$548,LLM_Data_Entry!$A$3:$A$548,$I46,LLM_Data_Entry!$F$3:$F$548,"LLM",LLM_Data_Entry!$H$3:$H$548,"&lt;&gt;HOLD",LLM_Data_Entry!$T$3:$T$548,"&lt;&gt;"),"")</f>
        <v/>
      </c>
      <c r="O46" s="132">
        <f>IFERROR(SUMIFS(LLM_Data_Entry!$T$3:$T$548,LLM_Data_Entry!$A$3:$A$548,$I46,LLM_Data_Entry!$F$3:$F$548,"LLM",LLM_Data_Entry!$H$3:$H$548,"&lt;&gt;HOLD"),"")</f>
        <v/>
      </c>
    </row>
    <row r="47" ht="45.95" customHeight="1" s="241">
      <c r="A47" s="16" t="inlineStr">
        <is>
          <t>Walmart</t>
        </is>
      </c>
      <c r="B47" s="129">
        <f>COUNTIFS(Human_Data_Entry!$A$3:$A$524,$A47,Human_Data_Entry!$H$3:$H$524,"Human",Human_Data_Entry!$S$3:$S$524,"?*")</f>
        <v/>
      </c>
      <c r="C47" s="129">
        <f>COUNTIFS(Human_Data_Entry!$A$3:$A$524,$A47,Human_Data_Entry!$H$3:$H$524,"Human",Human_Data_Entry!$S$3:$S$524,"YES")</f>
        <v/>
      </c>
      <c r="D47" s="44">
        <f>IF(B47=0,"-",C47/B47)</f>
        <v/>
      </c>
      <c r="E47" s="129">
        <f>COUNTIFS(LLM_Data_Entry!$A$3:$A$548,$A47,LLM_Data_Entry!$F$3:$F$548,"LLM",LLM_Data_Entry!$R$3:$R$548,"&lt;&gt;")</f>
        <v/>
      </c>
      <c r="F47" s="130">
        <f>COUNTIFS(LLM_Data_Entry!$A$3:$A$548,$A47,LLM_Data_Entry!$F$3:$F$548,"LLM",LLM_Data_Entry!$R$3:$R$548,"YES")</f>
        <v/>
      </c>
      <c r="G47" s="44">
        <f>IF(E47=0,"-",F47/E47)</f>
        <v/>
      </c>
      <c r="H47" s="17" t="n"/>
      <c r="I47" s="41">
        <f>A47</f>
        <v/>
      </c>
      <c r="J47" s="131">
        <f>SUMPRODUCT((Human_Data_Entry!$A$3:$A$524=$I47)*(Human_Data_Entry!$H$3:$H$524="Human")*((Human_Data_Entry!$J$3:$J$524="BUY")+(Human_Data_Entry!$J$3:$J$524="SELL"))*ISNUMBER(Human_Data_Entry!$U$3:$U$524))</f>
        <v/>
      </c>
      <c r="K47" s="132">
        <f>IFERROR(AVERAGEIFS(Human_Data_Entry!$U$3:$U$524,Human_Data_Entry!$A$3:$A$524,$I47,Human_Data_Entry!$H$3:$H$524,"Human",Human_Data_Entry!$J$3:$J$524,"&lt;&gt;HOLD",Human_Data_Entry!$U$3:$U$524,"&lt;&gt;"),"")</f>
        <v/>
      </c>
      <c r="L47" s="132">
        <f>IFERROR(SUMIFS(Human_Data_Entry!$U$3:$U$524,Human_Data_Entry!$A$3:$A$524,$I47,Human_Data_Entry!$H$3:$H$524,"Human",Human_Data_Entry!$J$3:$J$524,"&lt;&gt;HOLD"),"")</f>
        <v/>
      </c>
      <c r="M47" s="205">
        <f>COUNTIFS(LLM_Data_Entry!$A$3:$A$548,$I47,LLM_Data_Entry!$F$3:$F$548,"LLM",LLM_Data_Entry!$H$3:$H$548,"&lt;&gt;HOLD",LLM_Data_Entry!$T$3:$T$548,"&lt;&gt;")</f>
        <v/>
      </c>
      <c r="N47" s="132">
        <f>IFERROR(AVERAGEIFS(LLM_Data_Entry!$T$3:$T$548,LLM_Data_Entry!$A$3:$A$548,$I47,LLM_Data_Entry!$F$3:$F$548,"LLM",LLM_Data_Entry!$H$3:$H$548,"&lt;&gt;HOLD",LLM_Data_Entry!$T$3:$T$548,"&lt;&gt;"),"")</f>
        <v/>
      </c>
      <c r="O47" s="132">
        <f>IFERROR(SUMIFS(LLM_Data_Entry!$T$3:$T$548,LLM_Data_Entry!$A$3:$A$548,$I47,LLM_Data_Entry!$F$3:$F$548,"LLM",LLM_Data_Entry!$H$3:$H$548,"&lt;&gt;HOLD"),"")</f>
        <v/>
      </c>
    </row>
    <row r="48" ht="45.95" customHeight="1" s="241">
      <c r="A48" s="16" t="inlineStr">
        <is>
          <t>Pfizer</t>
        </is>
      </c>
      <c r="B48" s="129">
        <f>COUNTIFS(Human_Data_Entry!$A$3:$A$524,$A48,Human_Data_Entry!$H$3:$H$524,"Human",Human_Data_Entry!$S$3:$S$524,"?*")</f>
        <v/>
      </c>
      <c r="C48" s="129">
        <f>COUNTIFS(Human_Data_Entry!$A$3:$A$524,$A48,Human_Data_Entry!$H$3:$H$524,"Human",Human_Data_Entry!$S$3:$S$524,"YES")</f>
        <v/>
      </c>
      <c r="D48" s="44">
        <f>IF(B48=0,"-",C48/B48)</f>
        <v/>
      </c>
      <c r="E48" s="129">
        <f>COUNTIFS(LLM_Data_Entry!$A$3:$A$548,$A48,LLM_Data_Entry!$F$3:$F$548,"LLM",LLM_Data_Entry!$R$3:$R$548,"&lt;&gt;")</f>
        <v/>
      </c>
      <c r="F48" s="130">
        <f>COUNTIFS(LLM_Data_Entry!$A$3:$A$548,$A48,LLM_Data_Entry!$F$3:$F$548,"LLM",LLM_Data_Entry!$R$3:$R$548,"YES")</f>
        <v/>
      </c>
      <c r="G48" s="44">
        <f>IF(E48=0,"-",F48/E48)</f>
        <v/>
      </c>
      <c r="H48" s="17" t="n"/>
      <c r="I48" s="41">
        <f>A48</f>
        <v/>
      </c>
      <c r="J48" s="131">
        <f>SUMPRODUCT((Human_Data_Entry!$A$3:$A$524=$I48)*(Human_Data_Entry!$H$3:$H$524="Human")*((Human_Data_Entry!$J$3:$J$524="BUY")+(Human_Data_Entry!$J$3:$J$524="SELL"))*ISNUMBER(Human_Data_Entry!$U$3:$U$524))</f>
        <v/>
      </c>
      <c r="K48" s="132">
        <f>IFERROR(AVERAGEIFS(Human_Data_Entry!$U$3:$U$524,Human_Data_Entry!$A$3:$A$524,$I48,Human_Data_Entry!$H$3:$H$524,"Human",Human_Data_Entry!$J$3:$J$524,"&lt;&gt;HOLD",Human_Data_Entry!$U$3:$U$524,"&lt;&gt;"),"")</f>
        <v/>
      </c>
      <c r="L48" s="132">
        <f>IFERROR(SUMIFS(Human_Data_Entry!$U$3:$U$524,Human_Data_Entry!$A$3:$A$524,$I48,Human_Data_Entry!$H$3:$H$524,"Human",Human_Data_Entry!$J$3:$J$524,"&lt;&gt;HOLD"),"")</f>
        <v/>
      </c>
      <c r="M48" s="205">
        <f>COUNTIFS(LLM_Data_Entry!$A$3:$A$548,$I48,LLM_Data_Entry!$F$3:$F$548,"LLM",LLM_Data_Entry!$H$3:$H$548,"&lt;&gt;HOLD",LLM_Data_Entry!$T$3:$T$548,"&lt;&gt;")</f>
        <v/>
      </c>
      <c r="N48" s="132">
        <f>IFERROR(AVERAGEIFS(LLM_Data_Entry!$T$3:$T$548,LLM_Data_Entry!$A$3:$A$548,$I48,LLM_Data_Entry!$F$3:$F$548,"LLM",LLM_Data_Entry!$H$3:$H$548,"&lt;&gt;HOLD",LLM_Data_Entry!$T$3:$T$548,"&lt;&gt;"),"")</f>
        <v/>
      </c>
      <c r="O48" s="132">
        <f>IFERROR(SUMIFS(LLM_Data_Entry!$T$3:$T$548,LLM_Data_Entry!$A$3:$A$548,$I48,LLM_Data_Entry!$F$3:$F$548,"LLM",LLM_Data_Entry!$H$3:$H$548,"&lt;&gt;HOLD"),"")</f>
        <v/>
      </c>
    </row>
    <row r="49" ht="45.95" customHeight="1" s="241">
      <c r="A49" s="16" t="inlineStr">
        <is>
          <t>Microsoft</t>
        </is>
      </c>
      <c r="B49" s="129">
        <f>COUNTIFS(Human_Data_Entry!$A$3:$A$524,$A49,Human_Data_Entry!$H$3:$H$524,"Human",Human_Data_Entry!$S$3:$S$524,"?*")</f>
        <v/>
      </c>
      <c r="C49" s="129">
        <f>COUNTIFS(Human_Data_Entry!$A$3:$A$524,$A49,Human_Data_Entry!$H$3:$H$524,"Human",Human_Data_Entry!$S$3:$S$524,"YES")</f>
        <v/>
      </c>
      <c r="D49" s="44">
        <f>IF(B49=0,"-",C49/B49)</f>
        <v/>
      </c>
      <c r="E49" s="129">
        <f>COUNTIFS(LLM_Data_Entry!$A$3:$A$548,$A49,LLM_Data_Entry!$F$3:$F$548,"LLM",LLM_Data_Entry!$R$3:$R$548,"&lt;&gt;")</f>
        <v/>
      </c>
      <c r="F49" s="130">
        <f>COUNTIFS(LLM_Data_Entry!$A$3:$A$548,$A49,LLM_Data_Entry!$F$3:$F$548,"LLM",LLM_Data_Entry!$R$3:$R$548,"YES")</f>
        <v/>
      </c>
      <c r="G49" s="44">
        <f>IF(E49=0,"-",F49/E49)</f>
        <v/>
      </c>
      <c r="H49" s="17" t="n"/>
      <c r="I49" s="41">
        <f>A49</f>
        <v/>
      </c>
      <c r="J49" s="131">
        <f>SUMPRODUCT((Human_Data_Entry!$A$3:$A$524=$I49)*(Human_Data_Entry!$H$3:$H$524="Human")*((Human_Data_Entry!$J$3:$J$524="BUY")+(Human_Data_Entry!$J$3:$J$524="SELL"))*ISNUMBER(Human_Data_Entry!$U$3:$U$524))</f>
        <v/>
      </c>
      <c r="K49" s="132">
        <f>IFERROR(AVERAGEIFS(Human_Data_Entry!$U$3:$U$524,Human_Data_Entry!$A$3:$A$524,$I49,Human_Data_Entry!$H$3:$H$524,"Human",Human_Data_Entry!$J$3:$J$524,"&lt;&gt;HOLD",Human_Data_Entry!$U$3:$U$524,"&lt;&gt;"),"")</f>
        <v/>
      </c>
      <c r="L49" s="132">
        <f>IFERROR(SUMIFS(Human_Data_Entry!$U$3:$U$524,Human_Data_Entry!$A$3:$A$524,$I49,Human_Data_Entry!$H$3:$H$524,"Human",Human_Data_Entry!$J$3:$J$524,"&lt;&gt;HOLD"),"")</f>
        <v/>
      </c>
      <c r="M49" s="205">
        <f>COUNTIFS(LLM_Data_Entry!$A$3:$A$548,$I49,LLM_Data_Entry!$F$3:$F$548,"LLM",LLM_Data_Entry!$H$3:$H$548,"&lt;&gt;HOLD",LLM_Data_Entry!$T$3:$T$548,"&lt;&gt;")</f>
        <v/>
      </c>
      <c r="N49" s="132">
        <f>IFERROR(AVERAGEIFS(LLM_Data_Entry!$T$3:$T$548,LLM_Data_Entry!$A$3:$A$548,$I49,LLM_Data_Entry!$F$3:$F$548,"LLM",LLM_Data_Entry!$H$3:$H$548,"&lt;&gt;HOLD",LLM_Data_Entry!$T$3:$T$548,"&lt;&gt;"),"")</f>
        <v/>
      </c>
      <c r="O49" s="132">
        <f>IFERROR(SUMIFS(LLM_Data_Entry!$T$3:$T$548,LLM_Data_Entry!$A$3:$A$548,$I49,LLM_Data_Entry!$F$3:$F$548,"LLM",LLM_Data_Entry!$H$3:$H$548,"&lt;&gt;HOLD"),"")</f>
        <v/>
      </c>
    </row>
    <row r="50" ht="45.95" customHeight="1" s="241">
      <c r="A50" s="16" t="inlineStr">
        <is>
          <t>Ford</t>
        </is>
      </c>
      <c r="B50" s="129">
        <f>COUNTIFS(Human_Data_Entry!$A$3:$A$524,$A50,Human_Data_Entry!$H$3:$H$524,"Human",Human_Data_Entry!$S$3:$S$524,"?*")</f>
        <v/>
      </c>
      <c r="C50" s="129">
        <f>COUNTIFS(Human_Data_Entry!$A$3:$A$524,$A50,Human_Data_Entry!$H$3:$H$524,"Human",Human_Data_Entry!$S$3:$S$524,"YES")</f>
        <v/>
      </c>
      <c r="D50" s="44">
        <f>IF(B50=0,"-",C50/B50)</f>
        <v/>
      </c>
      <c r="E50" s="129">
        <f>COUNTIFS(LLM_Data_Entry!$A$3:$A$548,$A50,LLM_Data_Entry!$F$3:$F$548,"LLM",LLM_Data_Entry!$R$3:$R$548,"&lt;&gt;")</f>
        <v/>
      </c>
      <c r="F50" s="130">
        <f>COUNTIFS(LLM_Data_Entry!$A$3:$A$548,$A50,LLM_Data_Entry!$F$3:$F$548,"LLM",LLM_Data_Entry!$R$3:$R$548,"YES")</f>
        <v/>
      </c>
      <c r="G50" s="44">
        <f>IF(E50=0,"-",F50/E50)</f>
        <v/>
      </c>
      <c r="H50" s="17" t="n"/>
      <c r="I50" s="41">
        <f>A50</f>
        <v/>
      </c>
      <c r="J50" s="131">
        <f>SUMPRODUCT((Human_Data_Entry!$A$3:$A$524=$I50)*(Human_Data_Entry!$H$3:$H$524="Human")*((Human_Data_Entry!$J$3:$J$524="BUY")+(Human_Data_Entry!$J$3:$J$524="SELL"))*ISNUMBER(Human_Data_Entry!$U$3:$U$524))</f>
        <v/>
      </c>
      <c r="K50" s="132">
        <f>IFERROR(AVERAGEIFS(Human_Data_Entry!$U$3:$U$524,Human_Data_Entry!$A$3:$A$524,$I50,Human_Data_Entry!$H$3:$H$524,"Human",Human_Data_Entry!$J$3:$J$524,"&lt;&gt;HOLD",Human_Data_Entry!$U$3:$U$524,"&lt;&gt;"),"")</f>
        <v/>
      </c>
      <c r="L50" s="132">
        <f>IFERROR(SUMIFS(Human_Data_Entry!$U$3:$U$524,Human_Data_Entry!$A$3:$A$524,$I50,Human_Data_Entry!$H$3:$H$524,"Human",Human_Data_Entry!$J$3:$J$524,"&lt;&gt;HOLD"),"")</f>
        <v/>
      </c>
      <c r="M50" s="205">
        <f>COUNTIFS(LLM_Data_Entry!$A$3:$A$548,$I50,LLM_Data_Entry!$F$3:$F$548,"LLM",LLM_Data_Entry!$H$3:$H$548,"&lt;&gt;HOLD",LLM_Data_Entry!$T$3:$T$548,"&lt;&gt;")</f>
        <v/>
      </c>
      <c r="N50" s="132">
        <f>IFERROR(AVERAGEIFS(LLM_Data_Entry!$T$3:$T$548,LLM_Data_Entry!$A$3:$A$548,$I50,LLM_Data_Entry!$F$3:$F$548,"LLM",LLM_Data_Entry!$H$3:$H$548,"&lt;&gt;HOLD",LLM_Data_Entry!$T$3:$T$548,"&lt;&gt;"),"")</f>
        <v/>
      </c>
      <c r="O50" s="132">
        <f>IFERROR(SUMIFS(LLM_Data_Entry!$T$3:$T$548,LLM_Data_Entry!$A$3:$A$548,$I50,LLM_Data_Entry!$F$3:$F$548,"LLM",LLM_Data_Entry!$H$3:$H$548,"&lt;&gt;HOLD"),"")</f>
        <v/>
      </c>
    </row>
    <row r="51" ht="45.95" customHeight="1" s="241">
      <c r="A51" s="16" t="inlineStr">
        <is>
          <t>Barclays</t>
        </is>
      </c>
      <c r="B51" s="129">
        <f>COUNTIFS(Human_Data_Entry!$A$3:$A$524,$A51,Human_Data_Entry!$H$3:$H$524,"Human",Human_Data_Entry!$S$3:$S$524,"?*")</f>
        <v/>
      </c>
      <c r="C51" s="129">
        <f>COUNTIFS(Human_Data_Entry!$A$3:$A$524,$A51,Human_Data_Entry!$H$3:$H$524,"Human",Human_Data_Entry!$S$3:$S$524,"YES")</f>
        <v/>
      </c>
      <c r="D51" s="44">
        <f>IF(B51=0,"-",C51/B51)</f>
        <v/>
      </c>
      <c r="E51" s="129">
        <f>COUNTIFS(LLM_Data_Entry!$A$3:$A$548,$A51,LLM_Data_Entry!$F$3:$F$548,"LLM",LLM_Data_Entry!$R$3:$R$548,"&lt;&gt;")</f>
        <v/>
      </c>
      <c r="F51" s="130">
        <f>COUNTIFS(LLM_Data_Entry!$A$3:$A$548,$A51,LLM_Data_Entry!$F$3:$F$548,"LLM",LLM_Data_Entry!$R$3:$R$548,"YES")</f>
        <v/>
      </c>
      <c r="G51" s="44">
        <f>IF(E51=0,"-",F51/E51)</f>
        <v/>
      </c>
      <c r="H51" s="17" t="n"/>
      <c r="I51" s="41">
        <f>A51</f>
        <v/>
      </c>
      <c r="J51" s="131">
        <f>SUMPRODUCT((Human_Data_Entry!$A$3:$A$524=$I51)*(Human_Data_Entry!$H$3:$H$524="Human")*((Human_Data_Entry!$J$3:$J$524="BUY")+(Human_Data_Entry!$J$3:$J$524="SELL"))*ISNUMBER(Human_Data_Entry!$U$3:$U$524))</f>
        <v/>
      </c>
      <c r="K51" s="132">
        <f>IFERROR(AVERAGEIFS(Human_Data_Entry!$U$3:$U$524,Human_Data_Entry!$A$3:$A$524,$I51,Human_Data_Entry!$H$3:$H$524,"Human",Human_Data_Entry!$J$3:$J$524,"&lt;&gt;HOLD",Human_Data_Entry!$U$3:$U$524,"&lt;&gt;"),"")</f>
        <v/>
      </c>
      <c r="L51" s="132">
        <f>IFERROR(SUMIFS(Human_Data_Entry!$U$3:$U$524,Human_Data_Entry!$A$3:$A$524,$I51,Human_Data_Entry!$H$3:$H$524,"Human",Human_Data_Entry!$J$3:$J$524,"&lt;&gt;HOLD"),"")</f>
        <v/>
      </c>
      <c r="M51" s="205">
        <f>COUNTIFS(LLM_Data_Entry!$A$3:$A$548,$I51,LLM_Data_Entry!$F$3:$F$548,"LLM",LLM_Data_Entry!$H$3:$H$548,"&lt;&gt;HOLD",LLM_Data_Entry!$T$3:$T$548,"&lt;&gt;")</f>
        <v/>
      </c>
      <c r="N51" s="132">
        <f>IFERROR(AVERAGEIFS(LLM_Data_Entry!$T$3:$T$548,LLM_Data_Entry!$A$3:$A$548,$I51,LLM_Data_Entry!$F$3:$F$548,"LLM",LLM_Data_Entry!$H$3:$H$548,"&lt;&gt;HOLD",LLM_Data_Entry!$T$3:$T$548,"&lt;&gt;"),"")</f>
        <v/>
      </c>
      <c r="O51" s="132">
        <f>IFERROR(SUMIFS(LLM_Data_Entry!$T$3:$T$548,LLM_Data_Entry!$A$3:$A$548,$I51,LLM_Data_Entry!$F$3:$F$548,"LLM",LLM_Data_Entry!$H$3:$H$548,"&lt;&gt;HOLD"),"")</f>
        <v/>
      </c>
    </row>
    <row r="52" ht="45.95" customHeight="1" s="241">
      <c r="A52" s="16" t="inlineStr">
        <is>
          <t>Maersk</t>
        </is>
      </c>
      <c r="B52" s="129">
        <f>COUNTIFS(Human_Data_Entry!$A$3:$A$524,$A52,Human_Data_Entry!$H$3:$H$524,"Human",Human_Data_Entry!$S$3:$S$524,"?*")</f>
        <v/>
      </c>
      <c r="C52" s="129">
        <f>COUNTIFS(Human_Data_Entry!$A$3:$A$524,$A52,Human_Data_Entry!$H$3:$H$524,"Human",Human_Data_Entry!$S$3:$S$524,"YES")</f>
        <v/>
      </c>
      <c r="D52" s="44">
        <f>IF(B52=0,"-",C52/B52)</f>
        <v/>
      </c>
      <c r="E52" s="129">
        <f>COUNTIFS(LLM_Data_Entry!$A$3:$A$548,$A52,LLM_Data_Entry!$F$3:$F$548,"LLM",LLM_Data_Entry!$R$3:$R$548,"&lt;&gt;")</f>
        <v/>
      </c>
      <c r="F52" s="130">
        <f>COUNTIFS(LLM_Data_Entry!$A$3:$A$548,$A52,LLM_Data_Entry!$F$3:$F$548,"LLM",LLM_Data_Entry!$R$3:$R$548,"YES")</f>
        <v/>
      </c>
      <c r="G52" s="44">
        <f>IF(E52=0,"-",F52/E52)</f>
        <v/>
      </c>
      <c r="H52" s="17" t="n"/>
      <c r="I52" s="41">
        <f>A52</f>
        <v/>
      </c>
      <c r="J52" s="131">
        <f>SUMPRODUCT((Human_Data_Entry!$A$3:$A$524=$I52)*(Human_Data_Entry!$H$3:$H$524="Human")*((Human_Data_Entry!$J$3:$J$524="BUY")+(Human_Data_Entry!$J$3:$J$524="SELL"))*ISNUMBER(Human_Data_Entry!$U$3:$U$524))</f>
        <v/>
      </c>
      <c r="K52" s="132">
        <f>IFERROR(AVERAGEIFS(Human_Data_Entry!$U$3:$U$524,Human_Data_Entry!$A$3:$A$524,$I52,Human_Data_Entry!$H$3:$H$524,"Human",Human_Data_Entry!$J$3:$J$524,"&lt;&gt;HOLD",Human_Data_Entry!$U$3:$U$524,"&lt;&gt;"),"")</f>
        <v/>
      </c>
      <c r="L52" s="132">
        <f>IFERROR(SUMIFS(Human_Data_Entry!$U$3:$U$524,Human_Data_Entry!$A$3:$A$524,$I52,Human_Data_Entry!$H$3:$H$524,"Human",Human_Data_Entry!$J$3:$J$524,"&lt;&gt;HOLD"),"")</f>
        <v/>
      </c>
      <c r="M52" s="205">
        <f>COUNTIFS(LLM_Data_Entry!$A$3:$A$548,$I52,LLM_Data_Entry!$F$3:$F$548,"LLM",LLM_Data_Entry!$H$3:$H$548,"&lt;&gt;HOLD",LLM_Data_Entry!$T$3:$T$548,"&lt;&gt;")</f>
        <v/>
      </c>
      <c r="N52" s="132">
        <f>IFERROR(AVERAGEIFS(LLM_Data_Entry!$T$3:$T$548,LLM_Data_Entry!$A$3:$A$548,$I52,LLM_Data_Entry!$F$3:$F$548,"LLM",LLM_Data_Entry!$H$3:$H$548,"&lt;&gt;HOLD",LLM_Data_Entry!$T$3:$T$548,"&lt;&gt;"),"")</f>
        <v/>
      </c>
      <c r="O52" s="132">
        <f>IFERROR(SUMIFS(LLM_Data_Entry!$T$3:$T$548,LLM_Data_Entry!$A$3:$A$548,$I52,LLM_Data_Entry!$F$3:$F$548,"LLM",LLM_Data_Entry!$H$3:$H$548,"&lt;&gt;HOLD"),"")</f>
        <v/>
      </c>
    </row>
    <row r="53" ht="45.95" customHeight="1" s="241">
      <c r="A53" s="16" t="inlineStr">
        <is>
          <t>United Airlines</t>
        </is>
      </c>
      <c r="B53" s="129">
        <f>COUNTIFS(Human_Data_Entry!$A$3:$A$524,$A53,Human_Data_Entry!$H$3:$H$524,"Human",Human_Data_Entry!$S$3:$S$524,"?*")</f>
        <v/>
      </c>
      <c r="C53" s="129">
        <f>COUNTIFS(Human_Data_Entry!$A$3:$A$524,$A53,Human_Data_Entry!$H$3:$H$524,"Human",Human_Data_Entry!$S$3:$S$524,"YES")</f>
        <v/>
      </c>
      <c r="D53" s="44">
        <f>IF(B53=0,"-",C53/B53)</f>
        <v/>
      </c>
      <c r="E53" s="129">
        <f>COUNTIFS(LLM_Data_Entry!$A$3:$A$548,$A53,LLM_Data_Entry!$F$3:$F$548,"LLM",LLM_Data_Entry!$R$3:$R$548,"&lt;&gt;")</f>
        <v/>
      </c>
      <c r="F53" s="130">
        <f>COUNTIFS(LLM_Data_Entry!$A$3:$A$548,$A53,LLM_Data_Entry!$F$3:$F$548,"LLM",LLM_Data_Entry!$R$3:$R$548,"YES")</f>
        <v/>
      </c>
      <c r="G53" s="44">
        <f>IF(E53=0,"-",F53/E53)</f>
        <v/>
      </c>
      <c r="H53" s="17" t="n"/>
      <c r="I53" s="41">
        <f>A53</f>
        <v/>
      </c>
      <c r="J53" s="131">
        <f>SUMPRODUCT((Human_Data_Entry!$A$3:$A$524=$I53)*(Human_Data_Entry!$H$3:$H$524="Human")*((Human_Data_Entry!$J$3:$J$524="BUY")+(Human_Data_Entry!$J$3:$J$524="SELL"))*ISNUMBER(Human_Data_Entry!$U$3:$U$524))</f>
        <v/>
      </c>
      <c r="K53" s="132">
        <f>IFERROR(AVERAGEIFS(Human_Data_Entry!$U$3:$U$524,Human_Data_Entry!$A$3:$A$524,$I53,Human_Data_Entry!$H$3:$H$524,"Human",Human_Data_Entry!$J$3:$J$524,"&lt;&gt;HOLD",Human_Data_Entry!$U$3:$U$524,"&lt;&gt;"),"")</f>
        <v/>
      </c>
      <c r="L53" s="132">
        <f>IFERROR(SUMIFS(Human_Data_Entry!$U$3:$U$524,Human_Data_Entry!$A$3:$A$524,$I53,Human_Data_Entry!$H$3:$H$524,"Human",Human_Data_Entry!$J$3:$J$524,"&lt;&gt;HOLD"),"")</f>
        <v/>
      </c>
      <c r="M53" s="205">
        <f>COUNTIFS(LLM_Data_Entry!$A$3:$A$548,$I53,LLM_Data_Entry!$F$3:$F$548,"LLM",LLM_Data_Entry!$H$3:$H$548,"&lt;&gt;HOLD",LLM_Data_Entry!$T$3:$T$548,"&lt;&gt;")</f>
        <v/>
      </c>
      <c r="N53" s="132">
        <f>IFERROR(AVERAGEIFS(LLM_Data_Entry!$T$3:$T$548,LLM_Data_Entry!$A$3:$A$548,$I53,LLM_Data_Entry!$F$3:$F$548,"LLM",LLM_Data_Entry!$H$3:$H$548,"&lt;&gt;HOLD",LLM_Data_Entry!$T$3:$T$548,"&lt;&gt;"),"")</f>
        <v/>
      </c>
      <c r="O53" s="132">
        <f>IFERROR(SUMIFS(LLM_Data_Entry!$T$3:$T$548,LLM_Data_Entry!$A$3:$A$548,$I53,LLM_Data_Entry!$F$3:$F$548,"LLM",LLM_Data_Entry!$H$3:$H$548,"&lt;&gt;HOLD"),"")</f>
        <v/>
      </c>
    </row>
    <row r="54" ht="45.95" customHeight="1" s="241">
      <c r="A54" s="16" t="inlineStr">
        <is>
          <t>Novo Nordisk</t>
        </is>
      </c>
      <c r="B54" s="129">
        <f>COUNTIFS(Human_Data_Entry!$A$3:$A$524,$A54,Human_Data_Entry!$H$3:$H$524,"Human",Human_Data_Entry!$S$3:$S$524,"?*")</f>
        <v/>
      </c>
      <c r="C54" s="129">
        <f>COUNTIFS(Human_Data_Entry!$A$3:$A$524,$A54,Human_Data_Entry!$H$3:$H$524,"Human",Human_Data_Entry!$S$3:$S$524,"YES")</f>
        <v/>
      </c>
      <c r="D54" s="44">
        <f>IF(B54=0,"-",C54/B54)</f>
        <v/>
      </c>
      <c r="E54" s="129">
        <f>COUNTIFS(LLM_Data_Entry!$A$3:$A$548,$A54,LLM_Data_Entry!$F$3:$F$548,"LLM",LLM_Data_Entry!$R$3:$R$548,"&lt;&gt;")</f>
        <v/>
      </c>
      <c r="F54" s="130">
        <f>COUNTIFS(LLM_Data_Entry!$A$3:$A$548,$A54,LLM_Data_Entry!$F$3:$F$548,"LLM",LLM_Data_Entry!$R$3:$R$548,"YES")</f>
        <v/>
      </c>
      <c r="G54" s="44">
        <f>IF(E54=0,"-",F54/E54)</f>
        <v/>
      </c>
      <c r="H54" s="17" t="n"/>
      <c r="I54" s="41">
        <f>A54</f>
        <v/>
      </c>
      <c r="J54" s="131">
        <f>SUMPRODUCT((Human_Data_Entry!$A$3:$A$524=$I54)*(Human_Data_Entry!$H$3:$H$524="Human")*((Human_Data_Entry!$J$3:$J$524="BUY")+(Human_Data_Entry!$J$3:$J$524="SELL"))*ISNUMBER(Human_Data_Entry!$U$3:$U$524))</f>
        <v/>
      </c>
      <c r="K54" s="132">
        <f>IFERROR(AVERAGEIFS(Human_Data_Entry!$U$3:$U$524,Human_Data_Entry!$A$3:$A$524,$I54,Human_Data_Entry!$H$3:$H$524,"Human",Human_Data_Entry!$J$3:$J$524,"&lt;&gt;HOLD",Human_Data_Entry!$U$3:$U$524,"&lt;&gt;"),"")</f>
        <v/>
      </c>
      <c r="L54" s="132">
        <f>IFERROR(SUMIFS(Human_Data_Entry!$U$3:$U$524,Human_Data_Entry!$A$3:$A$524,$I54,Human_Data_Entry!$H$3:$H$524,"Human",Human_Data_Entry!$J$3:$J$524,"&lt;&gt;HOLD"),"")</f>
        <v/>
      </c>
      <c r="M54" s="205">
        <f>COUNTIFS(LLM_Data_Entry!$A$3:$A$548,$I54,LLM_Data_Entry!$F$3:$F$548,"LLM",LLM_Data_Entry!$H$3:$H$548,"&lt;&gt;HOLD",LLM_Data_Entry!$T$3:$T$548,"&lt;&gt;")</f>
        <v/>
      </c>
      <c r="N54" s="132">
        <f>IFERROR(AVERAGEIFS(LLM_Data_Entry!$T$3:$T$548,LLM_Data_Entry!$A$3:$A$548,$I54,LLM_Data_Entry!$F$3:$F$548,"LLM",LLM_Data_Entry!$H$3:$H$548,"&lt;&gt;HOLD",LLM_Data_Entry!$T$3:$T$548,"&lt;&gt;"),"")</f>
        <v/>
      </c>
      <c r="O54" s="132">
        <f>IFERROR(SUMIFS(LLM_Data_Entry!$T$3:$T$548,LLM_Data_Entry!$A$3:$A$548,$I54,LLM_Data_Entry!$F$3:$F$548,"LLM",LLM_Data_Entry!$H$3:$H$548,"&lt;&gt;HOLD"),"")</f>
        <v/>
      </c>
    </row>
    <row r="55" ht="45.95" customHeight="1" s="241">
      <c r="A55" s="16" t="inlineStr">
        <is>
          <t>Lockheed Martin</t>
        </is>
      </c>
      <c r="B55" s="129">
        <f>COUNTIFS(Human_Data_Entry!$A$3:$A$524,$A55,Human_Data_Entry!$H$3:$H$524,"Human",Human_Data_Entry!$S$3:$S$524,"?*")</f>
        <v/>
      </c>
      <c r="C55" s="129">
        <f>COUNTIFS(Human_Data_Entry!$A$3:$A$524,$A55,Human_Data_Entry!$H$3:$H$524,"Human",Human_Data_Entry!$S$3:$S$524,"YES")</f>
        <v/>
      </c>
      <c r="D55" s="44">
        <f>IF(B55=0,"-",C55/B55)</f>
        <v/>
      </c>
      <c r="E55" s="129">
        <f>COUNTIFS(LLM_Data_Entry!$A$3:$A$548,$A55,LLM_Data_Entry!$F$3:$F$548,"LLM",LLM_Data_Entry!$R$3:$R$548,"&lt;&gt;")</f>
        <v/>
      </c>
      <c r="F55" s="130">
        <f>COUNTIFS(LLM_Data_Entry!$A$3:$A$548,$A55,LLM_Data_Entry!$F$3:$F$548,"LLM",LLM_Data_Entry!$R$3:$R$548,"YES")</f>
        <v/>
      </c>
      <c r="G55" s="44">
        <f>IF(E55=0,"-",F55/E55)</f>
        <v/>
      </c>
      <c r="H55" s="80" t="n"/>
      <c r="I55" s="41">
        <f>A55</f>
        <v/>
      </c>
      <c r="J55" s="131">
        <f>SUMPRODUCT((Human_Data_Entry!$A$3:$A$524=$I55)*(Human_Data_Entry!$H$3:$H$524="Human")*((Human_Data_Entry!$J$3:$J$524="BUY")+(Human_Data_Entry!$J$3:$J$524="SELL"))*ISNUMBER(Human_Data_Entry!$U$3:$U$524))</f>
        <v/>
      </c>
      <c r="K55" s="132">
        <f>IFERROR(AVERAGEIFS(Human_Data_Entry!$U$3:$U$524,Human_Data_Entry!$A$3:$A$524,$I55,Human_Data_Entry!$H$3:$H$524,"Human",Human_Data_Entry!$J$3:$J$524,"&lt;&gt;HOLD",Human_Data_Entry!$U$3:$U$524,"&lt;&gt;"),"")</f>
        <v/>
      </c>
      <c r="L55" s="132">
        <f>IFERROR(SUMIFS(Human_Data_Entry!$U$3:$U$524,Human_Data_Entry!$A$3:$A$524,$I55,Human_Data_Entry!$H$3:$H$524,"Human",Human_Data_Entry!$J$3:$J$524,"&lt;&gt;HOLD"),"")</f>
        <v/>
      </c>
      <c r="M55" s="205">
        <f>COUNTIFS(LLM_Data_Entry!$A$3:$A$548,$I55,LLM_Data_Entry!$F$3:$F$548,"LLM",LLM_Data_Entry!$H$3:$H$548,"&lt;&gt;HOLD",LLM_Data_Entry!$T$3:$T$548,"&lt;&gt;")</f>
        <v/>
      </c>
      <c r="N55" s="132">
        <f>IFERROR(AVERAGEIFS(LLM_Data_Entry!$T$3:$T$548,LLM_Data_Entry!$A$3:$A$548,$I55,LLM_Data_Entry!$F$3:$F$548,"LLM",LLM_Data_Entry!$H$3:$H$548,"&lt;&gt;HOLD",LLM_Data_Entry!$T$3:$T$548,"&lt;&gt;"),"")</f>
        <v/>
      </c>
      <c r="O55" s="132">
        <f>IFERROR(SUMIFS(LLM_Data_Entry!$T$3:$T$548,LLM_Data_Entry!$A$3:$A$548,$I55,LLM_Data_Entry!$F$3:$F$548,"LLM",LLM_Data_Entry!$H$3:$H$548,"&lt;&gt;HOLD"),"")</f>
        <v/>
      </c>
    </row>
    <row r="56" ht="45.95" customHeight="1" s="241">
      <c r="A56" s="16" t="inlineStr">
        <is>
          <t>LVMH</t>
        </is>
      </c>
      <c r="B56" s="129">
        <f>COUNTIFS(Human_Data_Entry!$A$3:$A$524,$A56,Human_Data_Entry!$H$3:$H$524,"Human",Human_Data_Entry!$S$3:$S$524,"?*")</f>
        <v/>
      </c>
      <c r="C56" s="129">
        <f>COUNTIFS(Human_Data_Entry!$A$3:$A$524,$A56,Human_Data_Entry!$H$3:$H$524,"Human",Human_Data_Entry!$S$3:$S$524,"YES")</f>
        <v/>
      </c>
      <c r="D56" s="44">
        <f>IF(B56=0,"-",C56/B56)</f>
        <v/>
      </c>
      <c r="E56" s="129">
        <f>COUNTIFS(LLM_Data_Entry!$A$3:$A$548,$A56,LLM_Data_Entry!$F$3:$F$548,"LLM",LLM_Data_Entry!$R$3:$R$548,"&lt;&gt;")</f>
        <v/>
      </c>
      <c r="F56" s="130">
        <f>COUNTIFS(LLM_Data_Entry!$A$3:$A$548,$A56,LLM_Data_Entry!$F$3:$F$548,"LLM",LLM_Data_Entry!$R$3:$R$548,"YES")</f>
        <v/>
      </c>
      <c r="G56" s="44">
        <f>IF(E56=0,"-",F56/E56)</f>
        <v/>
      </c>
      <c r="I56" s="41">
        <f>A56</f>
        <v/>
      </c>
      <c r="J56" s="131">
        <f>SUMPRODUCT((Human_Data_Entry!$A$3:$A$524=$I56)*(Human_Data_Entry!$H$3:$H$524="Human")*((Human_Data_Entry!$J$3:$J$524="BUY")+(Human_Data_Entry!$J$3:$J$524="SELL"))*ISNUMBER(Human_Data_Entry!$U$3:$U$524))</f>
        <v/>
      </c>
      <c r="K56" s="132">
        <f>IFERROR(AVERAGEIFS(Human_Data_Entry!$U$3:$U$524,Human_Data_Entry!$A$3:$A$524,$I56,Human_Data_Entry!$H$3:$H$524,"Human",Human_Data_Entry!$J$3:$J$524,"&lt;&gt;HOLD",Human_Data_Entry!$U$3:$U$524,"&lt;&gt;"),"")</f>
        <v/>
      </c>
      <c r="L56" s="132">
        <f>IFERROR(SUMIFS(Human_Data_Entry!$U$3:$U$524,Human_Data_Entry!$A$3:$A$524,$I56,Human_Data_Entry!$H$3:$H$524,"Human",Human_Data_Entry!$J$3:$J$524,"&lt;&gt;HOLD"),"")</f>
        <v/>
      </c>
      <c r="M56" s="205">
        <f>COUNTIFS(LLM_Data_Entry!$A$3:$A$548,$I56,LLM_Data_Entry!$F$3:$F$548,"LLM",LLM_Data_Entry!$H$3:$H$548,"&lt;&gt;HOLD",LLM_Data_Entry!$T$3:$T$548,"&lt;&gt;")</f>
        <v/>
      </c>
      <c r="N56" s="132">
        <f>IFERROR(AVERAGEIFS(LLM_Data_Entry!$T$3:$T$548,LLM_Data_Entry!$A$3:$A$548,$I56,LLM_Data_Entry!$F$3:$F$548,"LLM",LLM_Data_Entry!$H$3:$H$548,"&lt;&gt;HOLD",LLM_Data_Entry!$T$3:$T$548,"&lt;&gt;"),"")</f>
        <v/>
      </c>
      <c r="O56" s="132">
        <f>IFERROR(SUMIFS(LLM_Data_Entry!$T$3:$T$548,LLM_Data_Entry!$A$3:$A$548,$I56,LLM_Data_Entry!$F$3:$F$548,"LLM",LLM_Data_Entry!$H$3:$H$548,"&lt;&gt;HOLD"),"")</f>
        <v/>
      </c>
    </row>
    <row r="57" ht="45.95" customHeight="1" s="241">
      <c r="A57" s="81" t="inlineStr">
        <is>
          <t>Puma</t>
        </is>
      </c>
      <c r="B57" s="133">
        <f>COUNTIFS(Human_Data_Entry!$A$3:$A$524,$A57,Human_Data_Entry!$H$3:$H$524,"Human",Human_Data_Entry!$S$3:$S$524,"?*")</f>
        <v/>
      </c>
      <c r="C57" s="133">
        <f>COUNTIFS(Human_Data_Entry!$A$3:$A$524,$A57,Human_Data_Entry!$H$3:$H$524,"Human",Human_Data_Entry!$S$3:$S$524,"YES")</f>
        <v/>
      </c>
      <c r="D57" s="83">
        <f>IF(B57=0,"-",C57/B57)</f>
        <v/>
      </c>
      <c r="E57" s="133">
        <f>COUNTIFS(LLM_Data_Entry!$A$3:$A$548,$A57,LLM_Data_Entry!$F$3:$F$548,"LLM",LLM_Data_Entry!$R$3:$R$548,"&lt;&gt;")</f>
        <v/>
      </c>
      <c r="F57" s="134">
        <f>COUNTIFS(LLM_Data_Entry!$A$3:$A$548,$A57,LLM_Data_Entry!$F$3:$F$548,"LLM",LLM_Data_Entry!$R$3:$R$548,"YES")</f>
        <v/>
      </c>
      <c r="G57" s="83">
        <f>IF(E57=0,"-",F57/E57)</f>
        <v/>
      </c>
      <c r="I57" s="82">
        <f>A57</f>
        <v/>
      </c>
      <c r="J57" s="135">
        <f>SUMPRODUCT((Human_Data_Entry!$A$3:$A$524=$I57)*(Human_Data_Entry!$H$3:$H$524="Human")*((Human_Data_Entry!$J$3:$J$524="BUY")+(Human_Data_Entry!$J$3:$J$524="SELL"))*ISNUMBER(Human_Data_Entry!$U$3:$U$524))</f>
        <v/>
      </c>
      <c r="K57" s="136">
        <f>IFERROR(AVERAGEIFS(Human_Data_Entry!$U$3:$U$524,Human_Data_Entry!$A$3:$A$524,$I57,Human_Data_Entry!$H$3:$H$524,"Human",Human_Data_Entry!$J$3:$J$524,"&lt;&gt;HOLD",Human_Data_Entry!$U$3:$U$524,"&lt;&gt;"),"")</f>
        <v/>
      </c>
      <c r="L57" s="136">
        <f>IFERROR(SUMIFS(Human_Data_Entry!$U$3:$U$524,Human_Data_Entry!$A$3:$A$524,$I57,Human_Data_Entry!$H$3:$H$524,"Human",Human_Data_Entry!$J$3:$J$524,"&lt;&gt;HOLD"),"")</f>
        <v/>
      </c>
      <c r="M57" s="206">
        <f>COUNTIFS(LLM_Data_Entry!$A$3:$A$548,$I57,LLM_Data_Entry!$F$3:$F$548,"LLM",LLM_Data_Entry!$H$3:$H$548,"&lt;&gt;HOLD",LLM_Data_Entry!$T$3:$T$548,"&lt;&gt;")</f>
        <v/>
      </c>
      <c r="N57" s="136">
        <f>IFERROR(AVERAGEIFS(LLM_Data_Entry!$T$3:$T$548,LLM_Data_Entry!$A$3:$A$548,$I57,LLM_Data_Entry!$F$3:$F$548,"LLM",LLM_Data_Entry!$H$3:$H$548,"&lt;&gt;HOLD",LLM_Data_Entry!$T$3:$T$548,"&lt;&gt;"),"")</f>
        <v/>
      </c>
      <c r="O57" s="136">
        <f>IFERROR(SUMIFS(LLM_Data_Entry!$T$3:$T$548,LLM_Data_Entry!$A$3:$A$548,$I57,LLM_Data_Entry!$F$3:$F$548,"LLM",LLM_Data_Entry!$H$3:$H$548,"&lt;&gt;HOLD"),"")</f>
        <v/>
      </c>
    </row>
    <row r="58" ht="45.95" customHeight="1" s="241">
      <c r="A58" s="81" t="inlineStr">
        <is>
          <t>Booking Holdings</t>
        </is>
      </c>
      <c r="B58" s="133">
        <f>COUNTIFS(Human_Data_Entry!$A$3:$A$524,$A58,Human_Data_Entry!$H$3:$H$524,"Human",Human_Data_Entry!$S$3:$S$524,"?*")</f>
        <v/>
      </c>
      <c r="C58" s="133">
        <f>COUNTIFS(Human_Data_Entry!$A$3:$A$524,$A58,Human_Data_Entry!$H$3:$H$524,"Human",Human_Data_Entry!$S$3:$S$524,"YES")</f>
        <v/>
      </c>
      <c r="D58" s="83">
        <f>IF(B58=0,"-",C58/B58)</f>
        <v/>
      </c>
      <c r="E58" s="133">
        <f>COUNTIFS(LLM_Data_Entry!$A$3:$A$548,$A58,LLM_Data_Entry!$F$3:$F$548,"LLM",LLM_Data_Entry!$R$3:$R$548,"&lt;&gt;")</f>
        <v/>
      </c>
      <c r="F58" s="134">
        <f>COUNTIFS(LLM_Data_Entry!$A$3:$A$548,$A58,LLM_Data_Entry!$F$3:$F$548,"LLM",LLM_Data_Entry!$R$3:$R$548,"YES")</f>
        <v/>
      </c>
      <c r="G58" s="83">
        <f>IF(E58=0,"-",F58/E58)</f>
        <v/>
      </c>
      <c r="I58" s="82">
        <f>A58</f>
        <v/>
      </c>
      <c r="J58" s="135">
        <f>SUMPRODUCT((Human_Data_Entry!$A$3:$A$524=$I58)*(Human_Data_Entry!$H$3:$H$524="Human")*((Human_Data_Entry!$J$3:$J$524="BUY")+(Human_Data_Entry!$J$3:$J$524="SELL"))*ISNUMBER(Human_Data_Entry!$U$3:$U$524))</f>
        <v/>
      </c>
      <c r="K58" s="136">
        <f>IFERROR(AVERAGEIFS(Human_Data_Entry!$U$3:$U$524,Human_Data_Entry!$A$3:$A$524,$I58,Human_Data_Entry!$H$3:$H$524,"Human",Human_Data_Entry!$J$3:$J$524,"&lt;&gt;HOLD",Human_Data_Entry!$U$3:$U$524,"&lt;&gt;"),"")</f>
        <v/>
      </c>
      <c r="L58" s="136">
        <f>IFERROR(SUMIFS(Human_Data_Entry!$U$3:$U$524,Human_Data_Entry!$A$3:$A$524,$I58,Human_Data_Entry!$H$3:$H$524,"Human",Human_Data_Entry!$J$3:$J$524,"&lt;&gt;HOLD"),"")</f>
        <v/>
      </c>
      <c r="M58" s="206">
        <f>COUNTIFS(LLM_Data_Entry!$A$3:$A$548,$I58,LLM_Data_Entry!$F$3:$F$548,"LLM",LLM_Data_Entry!$H$3:$H$548,"&lt;&gt;HOLD",LLM_Data_Entry!$T$3:$T$548,"&lt;&gt;")</f>
        <v/>
      </c>
      <c r="N58" s="136">
        <f>IFERROR(AVERAGEIFS(LLM_Data_Entry!$T$3:$T$548,LLM_Data_Entry!$A$3:$A$548,$I58,LLM_Data_Entry!$F$3:$F$548,"LLM",LLM_Data_Entry!$H$3:$H$548,"&lt;&gt;HOLD",LLM_Data_Entry!$T$3:$T$548,"&lt;&gt;"),"")</f>
        <v/>
      </c>
      <c r="O58" s="136">
        <f>IFERROR(SUMIFS(LLM_Data_Entry!$T$3:$T$548,LLM_Data_Entry!$A$3:$A$548,$I58,LLM_Data_Entry!$F$3:$F$548,"LLM",LLM_Data_Entry!$H$3:$H$548,"&lt;&gt;HOLD"),"")</f>
        <v/>
      </c>
    </row>
    <row r="59" ht="45.95" customHeight="1" s="241">
      <c r="A59" s="81" t="inlineStr">
        <is>
          <t>Broadcom</t>
        </is>
      </c>
      <c r="B59" s="133">
        <f>COUNTIFS(Human_Data_Entry!$A$3:$A$524,$A59,Human_Data_Entry!$H$3:$H$524,"Human",Human_Data_Entry!$S$3:$S$524,"?*")</f>
        <v/>
      </c>
      <c r="C59" s="133">
        <f>COUNTIFS(Human_Data_Entry!$A$3:$A$524,$A59,Human_Data_Entry!$H$3:$H$524,"Human",Human_Data_Entry!$S$3:$S$524,"YES")</f>
        <v/>
      </c>
      <c r="D59" s="83">
        <f>IF(B59=0,"-",C59/B59)</f>
        <v/>
      </c>
      <c r="E59" s="133">
        <f>COUNTIFS(LLM_Data_Entry!$A$3:$A$548,$A59,LLM_Data_Entry!$F$3:$F$548,"LLM",LLM_Data_Entry!$R$3:$R$548,"&lt;&gt;")</f>
        <v/>
      </c>
      <c r="F59" s="134">
        <f>COUNTIFS(LLM_Data_Entry!$A$3:$A$548,$A59,LLM_Data_Entry!$F$3:$F$548,"LLM",LLM_Data_Entry!$R$3:$R$548,"YES")</f>
        <v/>
      </c>
      <c r="G59" s="83">
        <f>IF(E59=0,"-",F59/E59)</f>
        <v/>
      </c>
      <c r="I59" s="82">
        <f>A59</f>
        <v/>
      </c>
      <c r="J59" s="135">
        <f>SUMPRODUCT((Human_Data_Entry!$A$3:$A$524=$I59)*(Human_Data_Entry!$H$3:$H$524="Human")*((Human_Data_Entry!$J$3:$J$524="BUY")+(Human_Data_Entry!$J$3:$J$524="SELL"))*ISNUMBER(Human_Data_Entry!$U$3:$U$524))</f>
        <v/>
      </c>
      <c r="K59" s="136">
        <f>IFERROR(AVERAGEIFS(Human_Data_Entry!$U$3:$U$524,Human_Data_Entry!$A$3:$A$524,$I59,Human_Data_Entry!$H$3:$H$524,"Human",Human_Data_Entry!$J$3:$J$524,"&lt;&gt;HOLD",Human_Data_Entry!$U$3:$U$524,"&lt;&gt;"),"")</f>
        <v/>
      </c>
      <c r="L59" s="136">
        <f>IFERROR(SUMIFS(Human_Data_Entry!$U$3:$U$524,Human_Data_Entry!$A$3:$A$524,$I59,Human_Data_Entry!$H$3:$H$524,"Human",Human_Data_Entry!$J$3:$J$524,"&lt;&gt;HOLD"),"")</f>
        <v/>
      </c>
      <c r="M59" s="206">
        <f>COUNTIFS(LLM_Data_Entry!$A$3:$A$548,$I59,LLM_Data_Entry!$F$3:$F$548,"LLM",LLM_Data_Entry!$H$3:$H$548,"&lt;&gt;HOLD",LLM_Data_Entry!$T$3:$T$548,"&lt;&gt;")</f>
        <v/>
      </c>
      <c r="N59" s="136">
        <f>IFERROR(AVERAGEIFS(LLM_Data_Entry!$T$3:$T$548,LLM_Data_Entry!$A$3:$A$548,$I59,LLM_Data_Entry!$F$3:$F$548,"LLM",LLM_Data_Entry!$H$3:$H$548,"&lt;&gt;HOLD",LLM_Data_Entry!$T$3:$T$548,"&lt;&gt;"),"")</f>
        <v/>
      </c>
      <c r="O59" s="136">
        <f>IFERROR(SUMIFS(LLM_Data_Entry!$T$3:$T$548,LLM_Data_Entry!$A$3:$A$548,$I59,LLM_Data_Entry!$F$3:$F$548,"LLM",LLM_Data_Entry!$H$3:$H$548,"&lt;&gt;HOLD"),"")</f>
        <v/>
      </c>
    </row>
    <row r="60" ht="45.95" customHeight="1" s="241">
      <c r="A60" s="81" t="inlineStr">
        <is>
          <t>Caterpillar</t>
        </is>
      </c>
      <c r="B60" s="133">
        <f>COUNTIFS(Human_Data_Entry!$A$3:$A$524,$A60,Human_Data_Entry!$H$3:$H$524,"Human",Human_Data_Entry!$S$3:$S$524,"?*")</f>
        <v/>
      </c>
      <c r="C60" s="133">
        <f>COUNTIFS(Human_Data_Entry!$A$3:$A$524,$A60,Human_Data_Entry!$H$3:$H$524,"Human",Human_Data_Entry!$S$3:$S$524,"YES")</f>
        <v/>
      </c>
      <c r="D60" s="83">
        <f>IF(B60=0,"-",C60/B60)</f>
        <v/>
      </c>
      <c r="E60" s="133">
        <f>COUNTIFS(LLM_Data_Entry!$A$3:$A$548,$A60,LLM_Data_Entry!$F$3:$F$548,"LLM",LLM_Data_Entry!$R$3:$R$548,"&lt;&gt;")</f>
        <v/>
      </c>
      <c r="F60" s="134">
        <f>COUNTIFS(LLM_Data_Entry!$A$3:$A$548,$A60,LLM_Data_Entry!$F$3:$F$548,"LLM",LLM_Data_Entry!$R$3:$R$548,"YES")</f>
        <v/>
      </c>
      <c r="G60" s="83">
        <f>IF(E60=0,"-",F60/E60)</f>
        <v/>
      </c>
      <c r="I60" s="82">
        <f>A60</f>
        <v/>
      </c>
      <c r="J60" s="135">
        <f>SUMPRODUCT((Human_Data_Entry!$A$3:$A$524=$I60)*(Human_Data_Entry!$H$3:$H$524="Human")*((Human_Data_Entry!$J$3:$J$524="BUY")+(Human_Data_Entry!$J$3:$J$524="SELL"))*ISNUMBER(Human_Data_Entry!$U$3:$U$524))</f>
        <v/>
      </c>
      <c r="K60" s="136">
        <f>IFERROR(AVERAGEIFS(Human_Data_Entry!$U$3:$U$524,Human_Data_Entry!$A$3:$A$524,$I60,Human_Data_Entry!$H$3:$H$524,"Human",Human_Data_Entry!$J$3:$J$524,"&lt;&gt;HOLD",Human_Data_Entry!$U$3:$U$524,"&lt;&gt;"),"")</f>
        <v/>
      </c>
      <c r="L60" s="136">
        <f>IFERROR(SUMIFS(Human_Data_Entry!$U$3:$U$524,Human_Data_Entry!$A$3:$A$524,$I60,Human_Data_Entry!$H$3:$H$524,"Human",Human_Data_Entry!$J$3:$J$524,"&lt;&gt;HOLD"),"")</f>
        <v/>
      </c>
      <c r="M60" s="206">
        <f>COUNTIFS(LLM_Data_Entry!$A$3:$A$548,$I60,LLM_Data_Entry!$F$3:$F$548,"LLM",LLM_Data_Entry!$H$3:$H$548,"&lt;&gt;HOLD",LLM_Data_Entry!$T$3:$T$548,"&lt;&gt;")</f>
        <v/>
      </c>
      <c r="N60" s="136">
        <f>IFERROR(AVERAGEIFS(LLM_Data_Entry!$T$3:$T$548,LLM_Data_Entry!$A$3:$A$548,$I60,LLM_Data_Entry!$F$3:$F$548,"LLM",LLM_Data_Entry!$H$3:$H$548,"&lt;&gt;HOLD",LLM_Data_Entry!$T$3:$T$548,"&lt;&gt;"),"")</f>
        <v/>
      </c>
      <c r="O60" s="136">
        <f>IFERROR(SUMIFS(LLM_Data_Entry!$T$3:$T$548,LLM_Data_Entry!$A$3:$A$548,$I60,LLM_Data_Entry!$F$3:$F$548,"LLM",LLM_Data_Entry!$H$3:$H$548,"&lt;&gt;HOLD"),"")</f>
        <v/>
      </c>
    </row>
    <row r="61" ht="45.95" customHeight="1" s="241">
      <c r="A61" s="81" t="inlineStr">
        <is>
          <t>Chipotle</t>
        </is>
      </c>
      <c r="B61" s="133">
        <f>COUNTIFS(Human_Data_Entry!$A$3:$A$524,$A61,Human_Data_Entry!$H$3:$H$524,"Human",Human_Data_Entry!$S$3:$S$524,"?*")</f>
        <v/>
      </c>
      <c r="C61" s="133">
        <f>COUNTIFS(Human_Data_Entry!$A$3:$A$524,$A61,Human_Data_Entry!$H$3:$H$524,"Human",Human_Data_Entry!$S$3:$S$524,"YES")</f>
        <v/>
      </c>
      <c r="D61" s="83">
        <f>IF(B61=0,"-",C61/B61)</f>
        <v/>
      </c>
      <c r="E61" s="133">
        <f>COUNTIFS(LLM_Data_Entry!$A$3:$A$548,$A61,LLM_Data_Entry!$F$3:$F$548,"LLM",LLM_Data_Entry!$R$3:$R$548,"&lt;&gt;")</f>
        <v/>
      </c>
      <c r="F61" s="134">
        <f>COUNTIFS(LLM_Data_Entry!$A$3:$A$548,$A61,LLM_Data_Entry!$F$3:$F$548,"LLM",LLM_Data_Entry!$R$3:$R$548,"YES")</f>
        <v/>
      </c>
      <c r="G61" s="83">
        <f>IF(E61=0,"-",F61/E61)</f>
        <v/>
      </c>
      <c r="I61" s="82">
        <f>A61</f>
        <v/>
      </c>
      <c r="J61" s="135">
        <f>SUMPRODUCT((Human_Data_Entry!$A$3:$A$524=$I61)*(Human_Data_Entry!$H$3:$H$524="Human")*((Human_Data_Entry!$J$3:$J$524="BUY")+(Human_Data_Entry!$J$3:$J$524="SELL"))*ISNUMBER(Human_Data_Entry!$U$3:$U$524))</f>
        <v/>
      </c>
      <c r="K61" s="136">
        <f>IFERROR(AVERAGEIFS(Human_Data_Entry!$U$3:$U$524,Human_Data_Entry!$A$3:$A$524,$I61,Human_Data_Entry!$H$3:$H$524,"Human",Human_Data_Entry!$J$3:$J$524,"&lt;&gt;HOLD",Human_Data_Entry!$U$3:$U$524,"&lt;&gt;"),"")</f>
        <v/>
      </c>
      <c r="L61" s="136">
        <f>IFERROR(SUMIFS(Human_Data_Entry!$U$3:$U$524,Human_Data_Entry!$A$3:$A$524,$I61,Human_Data_Entry!$H$3:$H$524,"Human",Human_Data_Entry!$J$3:$J$524,"&lt;&gt;HOLD"),"")</f>
        <v/>
      </c>
      <c r="M61" s="206">
        <f>COUNTIFS(LLM_Data_Entry!$A$3:$A$548,$I61,LLM_Data_Entry!$F$3:$F$548,"LLM",LLM_Data_Entry!$H$3:$H$548,"&lt;&gt;HOLD",LLM_Data_Entry!$T$3:$T$548,"&lt;&gt;")</f>
        <v/>
      </c>
      <c r="N61" s="136">
        <f>IFERROR(AVERAGEIFS(LLM_Data_Entry!$T$3:$T$548,LLM_Data_Entry!$A$3:$A$548,$I61,LLM_Data_Entry!$F$3:$F$548,"LLM",LLM_Data_Entry!$H$3:$H$548,"&lt;&gt;HOLD",LLM_Data_Entry!$T$3:$T$548,"&lt;&gt;"),"")</f>
        <v/>
      </c>
      <c r="O61" s="136">
        <f>IFERROR(SUMIFS(LLM_Data_Entry!$T$3:$T$548,LLM_Data_Entry!$A$3:$A$548,$I61,LLM_Data_Entry!$F$3:$F$548,"LLM",LLM_Data_Entry!$H$3:$H$548,"&lt;&gt;HOLD"),"")</f>
        <v/>
      </c>
    </row>
    <row r="62" ht="45.95" customHeight="1" s="241">
      <c r="A62" s="81" t="inlineStr">
        <is>
          <t>Colgate-Palmolive</t>
        </is>
      </c>
      <c r="B62" s="133">
        <f>COUNTIFS(Human_Data_Entry!$A$3:$A$524,$A62,Human_Data_Entry!$H$3:$H$524,"Human",Human_Data_Entry!$S$3:$S$524,"?*")</f>
        <v/>
      </c>
      <c r="C62" s="133">
        <f>COUNTIFS(Human_Data_Entry!$A$3:$A$524,$A62,Human_Data_Entry!$H$3:$H$524,"Human",Human_Data_Entry!$S$3:$S$524,"YES")</f>
        <v/>
      </c>
      <c r="D62" s="83">
        <f>IF(B62=0,"-",C62/B62)</f>
        <v/>
      </c>
      <c r="E62" s="133">
        <f>COUNTIFS(LLM_Data_Entry!$A$3:$A$548,$A62,LLM_Data_Entry!$F$3:$F$548,"LLM",LLM_Data_Entry!$R$3:$R$548,"&lt;&gt;")</f>
        <v/>
      </c>
      <c r="F62" s="134">
        <f>COUNTIFS(LLM_Data_Entry!$A$3:$A$548,$A62,LLM_Data_Entry!$F$3:$F$548,"LLM",LLM_Data_Entry!$R$3:$R$548,"YES")</f>
        <v/>
      </c>
      <c r="G62" s="83">
        <f>IF(E62=0,"-",F62/E62)</f>
        <v/>
      </c>
      <c r="I62" s="55">
        <f>A62</f>
        <v/>
      </c>
      <c r="J62" s="135">
        <f>SUMPRODUCT((Human_Data_Entry!$A$3:$A$524=$I62)*(Human_Data_Entry!$H$3:$H$524="Human")*((Human_Data_Entry!$J$3:$J$524="BUY")+(Human_Data_Entry!$J$3:$J$524="SELL"))*ISNUMBER(Human_Data_Entry!$U$3:$U$524))</f>
        <v/>
      </c>
      <c r="K62" s="136">
        <f>IFERROR(AVERAGEIFS(Human_Data_Entry!$U$3:$U$524,Human_Data_Entry!$A$3:$A$524,$I62,Human_Data_Entry!$H$3:$H$524,"Human",Human_Data_Entry!$J$3:$J$524,"&lt;&gt;HOLD",Human_Data_Entry!$U$3:$U$524,"&lt;&gt;"),"")</f>
        <v/>
      </c>
      <c r="L62" s="136">
        <f>IFERROR(SUMIFS(Human_Data_Entry!$U$3:$U$524,Human_Data_Entry!$A$3:$A$524,$I62,Human_Data_Entry!$H$3:$H$524,"Human",Human_Data_Entry!$J$3:$J$524,"&lt;&gt;HOLD"),"")</f>
        <v/>
      </c>
      <c r="M62" s="206">
        <f>COUNTIFS(LLM_Data_Entry!$A$3:$A$548,$I62,LLM_Data_Entry!$F$3:$F$548,"LLM",LLM_Data_Entry!$H$3:$H$548,"&lt;&gt;HOLD",LLM_Data_Entry!$T$3:$T$548,"&lt;&gt;")</f>
        <v/>
      </c>
      <c r="N62" s="136">
        <f>IFERROR(AVERAGEIFS(LLM_Data_Entry!$T$3:$T$548,LLM_Data_Entry!$A$3:$A$548,$I62,LLM_Data_Entry!$F$3:$F$548,"LLM",LLM_Data_Entry!$H$3:$H$548,"&lt;&gt;HOLD",LLM_Data_Entry!$T$3:$T$548,"&lt;&gt;"),"")</f>
        <v/>
      </c>
      <c r="O62" s="136">
        <f>IFERROR(SUMIFS(LLM_Data_Entry!$T$3:$T$548,LLM_Data_Entry!$A$3:$A$548,$I62,LLM_Data_Entry!$F$3:$F$548,"LLM",LLM_Data_Entry!$H$3:$H$548,"&lt;&gt;HOLD"),"")</f>
        <v/>
      </c>
    </row>
    <row r="63" ht="45.95" customHeight="1" s="241">
      <c r="A63" s="16" t="inlineStr">
        <is>
          <t>Comcast Corporation</t>
        </is>
      </c>
      <c r="B63" s="133">
        <f>COUNTIFS(Human_Data_Entry!$A$3:$A$524,$A63,Human_Data_Entry!$H$3:$H$524,"Human",Human_Data_Entry!$S$3:$S$524,"?*")</f>
        <v/>
      </c>
      <c r="C63" s="133">
        <f>COUNTIFS(Human_Data_Entry!$A$3:$A$524,$A63,Human_Data_Entry!$H$3:$H$524,"Human",Human_Data_Entry!$S$3:$S$524,"YES")</f>
        <v/>
      </c>
      <c r="D63" s="83">
        <f>IF(B63=0,"-",C63/B63)</f>
        <v/>
      </c>
      <c r="E63" s="133">
        <f>COUNTIFS(LLM_Data_Entry!$A$3:$A$548,$A63,LLM_Data_Entry!$F$3:$F$548,"LLM",LLM_Data_Entry!$R$3:$R$548,"&lt;&gt;")</f>
        <v/>
      </c>
      <c r="F63" s="134">
        <f>COUNTIFS(LLM_Data_Entry!$A$3:$A$548,$A63,LLM_Data_Entry!$F$3:$F$548,"LLM",LLM_Data_Entry!$R$3:$R$548,"YES")</f>
        <v/>
      </c>
      <c r="G63" s="83">
        <f>IF(E63=0,"-",F63/E63)</f>
        <v/>
      </c>
      <c r="I63" s="16">
        <f>A63</f>
        <v/>
      </c>
      <c r="J63" s="135">
        <f>SUMPRODUCT((Human_Data_Entry!$A$3:$A$524=$I63)*(Human_Data_Entry!$H$3:$H$524="Human")*((Human_Data_Entry!$J$3:$J$524="BUY")+(Human_Data_Entry!$J$3:$J$524="SELL"))*ISNUMBER(Human_Data_Entry!$U$3:$U$524))</f>
        <v/>
      </c>
      <c r="K63" s="136">
        <f>IFERROR(AVERAGEIFS(Human_Data_Entry!$U$3:$U$524,Human_Data_Entry!$A$3:$A$524,$I63,Human_Data_Entry!$H$3:$H$524,"Human",Human_Data_Entry!$J$3:$J$524,"&lt;&gt;HOLD",Human_Data_Entry!$U$3:$U$524,"&lt;&gt;"),"")</f>
        <v/>
      </c>
      <c r="L63" s="136">
        <f>IFERROR(SUMIFS(Human_Data_Entry!$U$3:$U$524,Human_Data_Entry!$A$3:$A$524,$I63,Human_Data_Entry!$H$3:$H$524,"Human",Human_Data_Entry!$J$3:$J$524,"&lt;&gt;HOLD"),"")</f>
        <v/>
      </c>
      <c r="M63" s="206">
        <f>COUNTIFS(LLM_Data_Entry!$A$3:$A$548,$I63,LLM_Data_Entry!$F$3:$F$548,"LLM",LLM_Data_Entry!$H$3:$H$548,"&lt;&gt;HOLD",LLM_Data_Entry!$T$3:$T$548,"&lt;&gt;")</f>
        <v/>
      </c>
      <c r="N63" s="136">
        <f>IFERROR(AVERAGEIFS(LLM_Data_Entry!$T$3:$T$548,LLM_Data_Entry!$A$3:$A$548,$I63,LLM_Data_Entry!$F$3:$F$548,"LLM",LLM_Data_Entry!$H$3:$H$548,"&lt;&gt;HOLD",LLM_Data_Entry!$T$3:$T$548,"&lt;&gt;"),"")</f>
        <v/>
      </c>
      <c r="O63" s="136">
        <f>IFERROR(SUMIFS(LLM_Data_Entry!$T$3:$T$548,LLM_Data_Entry!$A$3:$A$548,$I63,LLM_Data_Entry!$F$3:$F$548,"LLM",LLM_Data_Entry!$H$3:$H$548,"&lt;&gt;HOLD"),"")</f>
        <v/>
      </c>
    </row>
    <row r="64" ht="45.95" customHeight="1" s="241">
      <c r="A64" s="78" t="inlineStr">
        <is>
          <t>Costco</t>
        </is>
      </c>
      <c r="B64" s="133">
        <f>COUNTIFS(Human_Data_Entry!$A$3:$A$524,$A64,Human_Data_Entry!$H$3:$H$524,"Human",Human_Data_Entry!$S$3:$S$524,"?*")</f>
        <v/>
      </c>
      <c r="C64" s="133">
        <f>COUNTIFS(Human_Data_Entry!$A$3:$A$524,$A64,Human_Data_Entry!$H$3:$H$524,"Human",Human_Data_Entry!$S$3:$S$524,"YES")</f>
        <v/>
      </c>
      <c r="D64" s="83">
        <f>IF(B64=0,"-",C64/B64)</f>
        <v/>
      </c>
      <c r="E64" s="133">
        <f>COUNTIFS(LLM_Data_Entry!$A$3:$A$548,$A64,LLM_Data_Entry!$F$3:$F$548,"LLM",LLM_Data_Entry!$R$3:$R$548,"&lt;&gt;")</f>
        <v/>
      </c>
      <c r="F64" s="134">
        <f>COUNTIFS(LLM_Data_Entry!$A$3:$A$548,$A64,LLM_Data_Entry!$F$3:$F$548,"LLM",LLM_Data_Entry!$R$3:$R$548,"YES")</f>
        <v/>
      </c>
      <c r="G64" s="83">
        <f>IF(E64=0,"-",F64/E64)</f>
        <v/>
      </c>
      <c r="I64" s="78">
        <f>A64</f>
        <v/>
      </c>
      <c r="J64" s="135">
        <f>SUMPRODUCT((Human_Data_Entry!$A$3:$A$524=$I64)*(Human_Data_Entry!$H$3:$H$524="Human")*((Human_Data_Entry!$J$3:$J$524="BUY")+(Human_Data_Entry!$J$3:$J$524="SELL"))*ISNUMBER(Human_Data_Entry!$U$3:$U$524))</f>
        <v/>
      </c>
      <c r="K64" s="136">
        <f>IFERROR(AVERAGEIFS(Human_Data_Entry!$U$3:$U$524,Human_Data_Entry!$A$3:$A$524,$I64,Human_Data_Entry!$H$3:$H$524,"Human",Human_Data_Entry!$J$3:$J$524,"&lt;&gt;HOLD",Human_Data_Entry!$U$3:$U$524,"&lt;&gt;"),"")</f>
        <v/>
      </c>
      <c r="L64" s="136">
        <f>IFERROR(SUMIFS(Human_Data_Entry!$U$3:$U$524,Human_Data_Entry!$A$3:$A$524,$I64,Human_Data_Entry!$H$3:$H$524,"Human",Human_Data_Entry!$J$3:$J$524,"&lt;&gt;HOLD"),"")</f>
        <v/>
      </c>
      <c r="M64" s="206">
        <f>COUNTIFS(LLM_Data_Entry!$A$3:$A$548,$I64,LLM_Data_Entry!$F$3:$F$548,"LLM",LLM_Data_Entry!$H$3:$H$548,"&lt;&gt;HOLD",LLM_Data_Entry!$T$3:$T$548,"&lt;&gt;")</f>
        <v/>
      </c>
      <c r="N64" s="136">
        <f>IFERROR(AVERAGEIFS(LLM_Data_Entry!$T$3:$T$548,LLM_Data_Entry!$A$3:$A$548,$I64,LLM_Data_Entry!$F$3:$F$548,"LLM",LLM_Data_Entry!$H$3:$H$548,"&lt;&gt;HOLD",LLM_Data_Entry!$T$3:$T$548,"&lt;&gt;"),"")</f>
        <v/>
      </c>
      <c r="O64" s="136">
        <f>IFERROR(SUMIFS(LLM_Data_Entry!$T$3:$T$548,LLM_Data_Entry!$A$3:$A$548,$I64,LLM_Data_Entry!$F$3:$F$548,"LLM",LLM_Data_Entry!$H$3:$H$548,"&lt;&gt;HOLD"),"")</f>
        <v/>
      </c>
    </row>
    <row r="65" ht="45.95" customHeight="1" s="241">
      <c r="A65" s="78" t="inlineStr">
        <is>
          <t>Starbucks</t>
        </is>
      </c>
      <c r="B65" s="133">
        <f>COUNTIFS(Human_Data_Entry!$A$3:$A$524,$A65,Human_Data_Entry!$H$3:$H$524,"Human",Human_Data_Entry!$S$3:$S$524,"?*")</f>
        <v/>
      </c>
      <c r="C65" s="133">
        <f>COUNTIFS(Human_Data_Entry!$A$3:$A$524,$A65,Human_Data_Entry!$H$3:$H$524,"Human",Human_Data_Entry!$S$3:$S$524,"YES")</f>
        <v/>
      </c>
      <c r="D65" s="83">
        <f>IF(B65=0,"-",C65/B65)</f>
        <v/>
      </c>
      <c r="E65" s="133">
        <f>COUNTIFS(LLM_Data_Entry!$A$3:$A$548,$A65,LLM_Data_Entry!$F$3:$F$548,"LLM",LLM_Data_Entry!$R$3:$R$548,"&lt;&gt;")</f>
        <v/>
      </c>
      <c r="F65" s="134">
        <f>COUNTIFS(LLM_Data_Entry!$A$3:$A$548,$A65,LLM_Data_Entry!$F$3:$F$548,"LLM",LLM_Data_Entry!$R$3:$R$548,"YES")</f>
        <v/>
      </c>
      <c r="G65" s="83">
        <f>IF(E65=0,"-",F65/E65)</f>
        <v/>
      </c>
      <c r="I65" s="78">
        <f>A65</f>
        <v/>
      </c>
      <c r="J65" s="135">
        <f>SUMPRODUCT((Human_Data_Entry!$A$3:$A$524=$I65)*(Human_Data_Entry!$H$3:$H$524="Human")*((Human_Data_Entry!$J$3:$J$524="BUY")+(Human_Data_Entry!$J$3:$J$524="SELL"))*ISNUMBER(Human_Data_Entry!$U$3:$U$524))</f>
        <v/>
      </c>
      <c r="K65" s="136">
        <f>IFERROR(AVERAGEIFS(Human_Data_Entry!$U$3:$U$524,Human_Data_Entry!$A$3:$A$524,$I65,Human_Data_Entry!$H$3:$H$524,"Human",Human_Data_Entry!$J$3:$J$524,"&lt;&gt;HOLD",Human_Data_Entry!$U$3:$U$524,"&lt;&gt;"),"")</f>
        <v/>
      </c>
      <c r="L65" s="136">
        <f>IFERROR(SUMIFS(Human_Data_Entry!$U$3:$U$524,Human_Data_Entry!$A$3:$A$524,$I65,Human_Data_Entry!$H$3:$H$524,"Human",Human_Data_Entry!$J$3:$J$524,"&lt;&gt;HOLD"),"")</f>
        <v/>
      </c>
      <c r="M65" s="206">
        <f>COUNTIFS(LLM_Data_Entry!$A$3:$A$548,$I65,LLM_Data_Entry!$F$3:$F$548,"LLM",LLM_Data_Entry!$H$3:$H$548,"&lt;&gt;HOLD",LLM_Data_Entry!$T$3:$T$548,"&lt;&gt;")</f>
        <v/>
      </c>
      <c r="N65" s="136">
        <f>IFERROR(AVERAGEIFS(LLM_Data_Entry!$T$3:$T$548,LLM_Data_Entry!$A$3:$A$548,$I65,LLM_Data_Entry!$F$3:$F$548,"LLM",LLM_Data_Entry!$H$3:$H$548,"&lt;&gt;HOLD",LLM_Data_Entry!$T$3:$T$548,"&lt;&gt;"),"")</f>
        <v/>
      </c>
      <c r="O65" s="136">
        <f>IFERROR(SUMIFS(LLM_Data_Entry!$T$3:$T$548,LLM_Data_Entry!$A$3:$A$548,$I65,LLM_Data_Entry!$F$3:$F$548,"LLM",LLM_Data_Entry!$H$3:$H$548,"&lt;&gt;HOLD"),"")</f>
        <v/>
      </c>
    </row>
    <row r="66" ht="45.95" customHeight="1" s="241">
      <c r="A66" s="78" t="inlineStr">
        <is>
          <t>Datadog</t>
        </is>
      </c>
      <c r="B66" s="133">
        <f>COUNTIFS(Human_Data_Entry!$A$3:$A$524,$A66,Human_Data_Entry!$H$3:$H$524,"Human",Human_Data_Entry!$S$3:$S$524,"?*")</f>
        <v/>
      </c>
      <c r="C66" s="133">
        <f>COUNTIFS(Human_Data_Entry!$A$3:$A$524,$A66,Human_Data_Entry!$H$3:$H$524,"Human",Human_Data_Entry!$S$3:$S$524,"YES")</f>
        <v/>
      </c>
      <c r="D66" s="83">
        <f>IF(B66=0,"-",C66/B66)</f>
        <v/>
      </c>
      <c r="E66" s="133">
        <f>COUNTIFS(LLM_Data_Entry!$A$3:$A$548,$A66,LLM_Data_Entry!$F$3:$F$548,"LLM",LLM_Data_Entry!$R$3:$R$548,"&lt;&gt;")</f>
        <v/>
      </c>
      <c r="F66" s="134">
        <f>COUNTIFS(LLM_Data_Entry!$A$3:$A$548,$A66,LLM_Data_Entry!$F$3:$F$548,"LLM",LLM_Data_Entry!$R$3:$R$548,"YES")</f>
        <v/>
      </c>
      <c r="G66" s="83">
        <f>IF(E66=0,"-",F66/E66)</f>
        <v/>
      </c>
      <c r="I66" s="78">
        <f>A66</f>
        <v/>
      </c>
      <c r="J66" s="135">
        <f>SUMPRODUCT((Human_Data_Entry!$A$3:$A$524=$I66)*(Human_Data_Entry!$H$3:$H$524="Human")*((Human_Data_Entry!$J$3:$J$524="BUY")+(Human_Data_Entry!$J$3:$J$524="SELL"))*ISNUMBER(Human_Data_Entry!$U$3:$U$524))</f>
        <v/>
      </c>
      <c r="K66" s="136">
        <f>IFERROR(AVERAGEIFS(Human_Data_Entry!$U$3:$U$524,Human_Data_Entry!$A$3:$A$524,$I66,Human_Data_Entry!$H$3:$H$524,"Human",Human_Data_Entry!$J$3:$J$524,"&lt;&gt;HOLD",Human_Data_Entry!$U$3:$U$524,"&lt;&gt;"),"")</f>
        <v/>
      </c>
      <c r="L66" s="136">
        <f>IFERROR(SUMIFS(Human_Data_Entry!$U$3:$U$524,Human_Data_Entry!$A$3:$A$524,$I66,Human_Data_Entry!$H$3:$H$524,"Human",Human_Data_Entry!$J$3:$J$524,"&lt;&gt;HOLD"),"")</f>
        <v/>
      </c>
      <c r="M66" s="206">
        <f>COUNTIFS(LLM_Data_Entry!$A$3:$A$548,$I66,LLM_Data_Entry!$F$3:$F$548,"LLM",LLM_Data_Entry!$H$3:$H$548,"&lt;&gt;HOLD",LLM_Data_Entry!$T$3:$T$548,"&lt;&gt;")</f>
        <v/>
      </c>
      <c r="N66" s="136">
        <f>IFERROR(AVERAGEIFS(LLM_Data_Entry!$T$3:$T$548,LLM_Data_Entry!$A$3:$A$548,$I66,LLM_Data_Entry!$F$3:$F$548,"LLM",LLM_Data_Entry!$H$3:$H$548,"&lt;&gt;HOLD",LLM_Data_Entry!$T$3:$T$548,"&lt;&gt;"),"")</f>
        <v/>
      </c>
      <c r="O66" s="136">
        <f>IFERROR(SUMIFS(LLM_Data_Entry!$T$3:$T$548,LLM_Data_Entry!$A$3:$A$548,$I66,LLM_Data_Entry!$F$3:$F$548,"LLM",LLM_Data_Entry!$H$3:$H$548,"&lt;&gt;HOLD"),"")</f>
        <v/>
      </c>
    </row>
    <row r="67" ht="45.95" customHeight="1" s="241">
      <c r="A67" s="78" t="inlineStr">
        <is>
          <t>Dell</t>
        </is>
      </c>
      <c r="B67" s="133">
        <f>COUNTIFS(Human_Data_Entry!$A$3:$A$524,$A67,Human_Data_Entry!$H$3:$H$524,"Human",Human_Data_Entry!$S$3:$S$524,"?*")</f>
        <v/>
      </c>
      <c r="C67" s="133">
        <f>COUNTIFS(Human_Data_Entry!$A$3:$A$524,$A67,Human_Data_Entry!$H$3:$H$524,"Human",Human_Data_Entry!$S$3:$S$524,"YES")</f>
        <v/>
      </c>
      <c r="D67" s="83">
        <f>IF(B67=0,"-",C67/B67)</f>
        <v/>
      </c>
      <c r="E67" s="133">
        <f>COUNTIFS(LLM_Data_Entry!$A$3:$A$548,$A67,LLM_Data_Entry!$F$3:$F$548,"LLM",LLM_Data_Entry!$R$3:$R$548,"&lt;&gt;")</f>
        <v/>
      </c>
      <c r="F67" s="134">
        <f>COUNTIFS(LLM_Data_Entry!$A$3:$A$548,$A67,LLM_Data_Entry!$F$3:$F$548,"LLM",LLM_Data_Entry!$R$3:$R$548,"YES")</f>
        <v/>
      </c>
      <c r="G67" s="83">
        <f>IF(E67=0,"-",F67/E67)</f>
        <v/>
      </c>
      <c r="I67" s="78">
        <f>A67</f>
        <v/>
      </c>
      <c r="J67" s="135">
        <f>SUMPRODUCT((Human_Data_Entry!$A$3:$A$524=$I67)*(Human_Data_Entry!$H$3:$H$524="Human")*((Human_Data_Entry!$J$3:$J$524="BUY")+(Human_Data_Entry!$J$3:$J$524="SELL"))*ISNUMBER(Human_Data_Entry!$U$3:$U$524))</f>
        <v/>
      </c>
      <c r="K67" s="136">
        <f>IFERROR(AVERAGEIFS(Human_Data_Entry!$U$3:$U$524,Human_Data_Entry!$A$3:$A$524,$I67,Human_Data_Entry!$H$3:$H$524,"Human",Human_Data_Entry!$J$3:$J$524,"&lt;&gt;HOLD",Human_Data_Entry!$U$3:$U$524,"&lt;&gt;"),"")</f>
        <v/>
      </c>
      <c r="L67" s="136">
        <f>IFERROR(SUMIFS(Human_Data_Entry!$U$3:$U$524,Human_Data_Entry!$A$3:$A$524,$I67,Human_Data_Entry!$H$3:$H$524,"Human",Human_Data_Entry!$J$3:$J$524,"&lt;&gt;HOLD"),"")</f>
        <v/>
      </c>
      <c r="M67" s="206">
        <f>COUNTIFS(LLM_Data_Entry!$A$3:$A$548,$I67,LLM_Data_Entry!$F$3:$F$548,"LLM",LLM_Data_Entry!$H$3:$H$548,"&lt;&gt;HOLD",LLM_Data_Entry!$T$3:$T$548,"&lt;&gt;")</f>
        <v/>
      </c>
      <c r="N67" s="136">
        <f>IFERROR(AVERAGEIFS(LLM_Data_Entry!$T$3:$T$548,LLM_Data_Entry!$A$3:$A$548,$I67,LLM_Data_Entry!$F$3:$F$548,"LLM",LLM_Data_Entry!$H$3:$H$548,"&lt;&gt;HOLD",LLM_Data_Entry!$T$3:$T$548,"&lt;&gt;"),"")</f>
        <v/>
      </c>
      <c r="O67" s="136">
        <f>IFERROR(SUMIFS(LLM_Data_Entry!$T$3:$T$548,LLM_Data_Entry!$A$3:$A$548,$I67,LLM_Data_Entry!$F$3:$F$548,"LLM",LLM_Data_Entry!$H$3:$H$548,"&lt;&gt;HOLD"),"")</f>
        <v/>
      </c>
    </row>
    <row r="68" ht="45.95" customHeight="1" s="241">
      <c r="A68" s="78" t="inlineStr">
        <is>
          <t>Delta Air Lines</t>
        </is>
      </c>
      <c r="B68" s="133">
        <f>COUNTIFS(Human_Data_Entry!$A$3:$A$524,$A68,Human_Data_Entry!$H$3:$H$524,"Human",Human_Data_Entry!$S$3:$S$524,"?*")</f>
        <v/>
      </c>
      <c r="C68" s="133">
        <f>COUNTIFS(Human_Data_Entry!$A$3:$A$524,$A68,Human_Data_Entry!$H$3:$H$524,"Human",Human_Data_Entry!$S$3:$S$524,"YES")</f>
        <v/>
      </c>
      <c r="D68" s="83">
        <f>IF(B68=0,"-",C68/B68)</f>
        <v/>
      </c>
      <c r="E68" s="133">
        <f>COUNTIFS(LLM_Data_Entry!$A$3:$A$548,$A68,LLM_Data_Entry!$F$3:$F$548,"LLM",LLM_Data_Entry!$R$3:$R$548,"&lt;&gt;")</f>
        <v/>
      </c>
      <c r="F68" s="134">
        <f>COUNTIFS(LLM_Data_Entry!$A$3:$A$548,$A68,LLM_Data_Entry!$F$3:$F$548,"LLM",LLM_Data_Entry!$R$3:$R$548,"YES")</f>
        <v/>
      </c>
      <c r="G68" s="83">
        <f>IF(E68=0,"-",F68/E68)</f>
        <v/>
      </c>
      <c r="I68" s="78">
        <f>A68</f>
        <v/>
      </c>
      <c r="J68" s="135">
        <f>SUMPRODUCT((Human_Data_Entry!$A$3:$A$524=$I68)*(Human_Data_Entry!$H$3:$H$524="Human")*((Human_Data_Entry!$J$3:$J$524="BUY")+(Human_Data_Entry!$J$3:$J$524="SELL"))*ISNUMBER(Human_Data_Entry!$U$3:$U$524))</f>
        <v/>
      </c>
      <c r="K68" s="136">
        <f>IFERROR(AVERAGEIFS(Human_Data_Entry!$U$3:$U$524,Human_Data_Entry!$A$3:$A$524,$I68,Human_Data_Entry!$H$3:$H$524,"Human",Human_Data_Entry!$J$3:$J$524,"&lt;&gt;HOLD",Human_Data_Entry!$U$3:$U$524,"&lt;&gt;"),"")</f>
        <v/>
      </c>
      <c r="L68" s="136">
        <f>IFERROR(SUMIFS(Human_Data_Entry!$U$3:$U$524,Human_Data_Entry!$A$3:$A$524,$I68,Human_Data_Entry!$H$3:$H$524,"Human",Human_Data_Entry!$J$3:$J$524,"&lt;&gt;HOLD"),"")</f>
        <v/>
      </c>
      <c r="M68" s="206">
        <f>COUNTIFS(LLM_Data_Entry!$A$3:$A$548,$I68,LLM_Data_Entry!$F$3:$F$548,"LLM",LLM_Data_Entry!$H$3:$H$548,"&lt;&gt;HOLD",LLM_Data_Entry!$T$3:$T$548,"&lt;&gt;")</f>
        <v/>
      </c>
      <c r="N68" s="136">
        <f>IFERROR(AVERAGEIFS(LLM_Data_Entry!$T$3:$T$548,LLM_Data_Entry!$A$3:$A$548,$I68,LLM_Data_Entry!$F$3:$F$548,"LLM",LLM_Data_Entry!$H$3:$H$548,"&lt;&gt;HOLD",LLM_Data_Entry!$T$3:$T$548,"&lt;&gt;"),"")</f>
        <v/>
      </c>
      <c r="O68" s="136">
        <f>IFERROR(SUMIFS(LLM_Data_Entry!$T$3:$T$548,LLM_Data_Entry!$A$3:$A$548,$I68,LLM_Data_Entry!$F$3:$F$548,"LLM",LLM_Data_Entry!$H$3:$H$548,"&lt;&gt;HOLD"),"")</f>
        <v/>
      </c>
    </row>
    <row r="69" ht="45.95" customHeight="1" s="241">
      <c r="A69" s="78" t="inlineStr">
        <is>
          <t>eBay</t>
        </is>
      </c>
      <c r="B69" s="133">
        <f>COUNTIFS(Human_Data_Entry!$A$3:$A$524,$A69,Human_Data_Entry!$H$3:$H$524,"Human",Human_Data_Entry!$S$3:$S$524,"?*")</f>
        <v/>
      </c>
      <c r="C69" s="133">
        <f>COUNTIFS(Human_Data_Entry!$A$3:$A$524,$A69,Human_Data_Entry!$H$3:$H$524,"Human",Human_Data_Entry!$S$3:$S$524,"YES")</f>
        <v/>
      </c>
      <c r="D69" s="83">
        <f>IF(B69=0,"-",C69/B69)</f>
        <v/>
      </c>
      <c r="E69" s="133">
        <f>COUNTIFS(LLM_Data_Entry!$A$3:$A$548,$A69,LLM_Data_Entry!$F$3:$F$548,"LLM",LLM_Data_Entry!$R$3:$R$548,"&lt;&gt;")</f>
        <v/>
      </c>
      <c r="F69" s="134">
        <f>COUNTIFS(LLM_Data_Entry!$A$3:$A$548,$A69,LLM_Data_Entry!$F$3:$F$548,"LLM",LLM_Data_Entry!$R$3:$R$548,"YES")</f>
        <v/>
      </c>
      <c r="G69" s="83">
        <f>IF(E69=0,"-",F69/E69)</f>
        <v/>
      </c>
      <c r="I69" s="78">
        <f>A69</f>
        <v/>
      </c>
      <c r="J69" s="135">
        <f>SUMPRODUCT((Human_Data_Entry!$A$3:$A$524=$I69)*(Human_Data_Entry!$H$3:$H$524="Human")*((Human_Data_Entry!$J$3:$J$524="BUY")+(Human_Data_Entry!$J$3:$J$524="SELL"))*ISNUMBER(Human_Data_Entry!$U$3:$U$524))</f>
        <v/>
      </c>
      <c r="K69" s="136">
        <f>IFERROR(AVERAGEIFS(Human_Data_Entry!$U$3:$U$524,Human_Data_Entry!$A$3:$A$524,$I69,Human_Data_Entry!$H$3:$H$524,"Human",Human_Data_Entry!$J$3:$J$524,"&lt;&gt;HOLD",Human_Data_Entry!$U$3:$U$524,"&lt;&gt;"),"")</f>
        <v/>
      </c>
      <c r="L69" s="136">
        <f>IFERROR(SUMIFS(Human_Data_Entry!$U$3:$U$524,Human_Data_Entry!$A$3:$A$524,$I69,Human_Data_Entry!$H$3:$H$524,"Human",Human_Data_Entry!$J$3:$J$524,"&lt;&gt;HOLD"),"")</f>
        <v/>
      </c>
      <c r="M69" s="206">
        <f>COUNTIFS(LLM_Data_Entry!$A$3:$A$548,$I69,LLM_Data_Entry!$F$3:$F$548,"LLM",LLM_Data_Entry!$H$3:$H$548,"&lt;&gt;HOLD",LLM_Data_Entry!$T$3:$T$548,"&lt;&gt;")</f>
        <v/>
      </c>
      <c r="N69" s="136">
        <f>IFERROR(AVERAGEIFS(LLM_Data_Entry!$T$3:$T$548,LLM_Data_Entry!$A$3:$A$548,$I69,LLM_Data_Entry!$F$3:$F$548,"LLM",LLM_Data_Entry!$H$3:$H$548,"&lt;&gt;HOLD",LLM_Data_Entry!$T$3:$T$548,"&lt;&gt;"),"")</f>
        <v/>
      </c>
      <c r="O69" s="136">
        <f>IFERROR(SUMIFS(LLM_Data_Entry!$T$3:$T$548,LLM_Data_Entry!$A$3:$A$548,$I69,LLM_Data_Entry!$F$3:$F$548,"LLM",LLM_Data_Entry!$H$3:$H$548,"&lt;&gt;HOLD"),"")</f>
        <v/>
      </c>
    </row>
    <row r="70" ht="45.95" customHeight="1" s="241">
      <c r="A70" s="78" t="inlineStr">
        <is>
          <t>Eli Lilly</t>
        </is>
      </c>
      <c r="B70" s="133">
        <f>COUNTIFS(Human_Data_Entry!$A$3:$A$524,$A70,Human_Data_Entry!$H$3:$H$524,"Human",Human_Data_Entry!$S$3:$S$524,"?*")</f>
        <v/>
      </c>
      <c r="C70" s="133">
        <f>COUNTIFS(Human_Data_Entry!$A$3:$A$524,$A70,Human_Data_Entry!$H$3:$H$524,"Human",Human_Data_Entry!$S$3:$S$524,"YES")</f>
        <v/>
      </c>
      <c r="D70" s="83">
        <f>IF(B70=0,"-",C70/B70)</f>
        <v/>
      </c>
      <c r="E70" s="133">
        <f>COUNTIFS(LLM_Data_Entry!$A$3:$A$548,$A70,LLM_Data_Entry!$F$3:$F$548,"LLM",LLM_Data_Entry!$R$3:$R$548,"&lt;&gt;")</f>
        <v/>
      </c>
      <c r="F70" s="134">
        <f>COUNTIFS(LLM_Data_Entry!$A$3:$A$548,$A70,LLM_Data_Entry!$F$3:$F$548,"LLM",LLM_Data_Entry!$R$3:$R$548,"YES")</f>
        <v/>
      </c>
      <c r="G70" s="83">
        <f>IF(E70=0,"-",F70/E70)</f>
        <v/>
      </c>
      <c r="I70" s="78">
        <f>A70</f>
        <v/>
      </c>
      <c r="J70" s="135">
        <f>SUMPRODUCT((Human_Data_Entry!$A$3:$A$524=$I70)*(Human_Data_Entry!$H$3:$H$524="Human")*((Human_Data_Entry!$J$3:$J$524="BUY")+(Human_Data_Entry!$J$3:$J$524="SELL"))*ISNUMBER(Human_Data_Entry!$U$3:$U$524))</f>
        <v/>
      </c>
      <c r="K70" s="136">
        <f>IFERROR(AVERAGEIFS(Human_Data_Entry!$U$3:$U$524,Human_Data_Entry!$A$3:$A$524,$I70,Human_Data_Entry!$H$3:$H$524,"Human",Human_Data_Entry!$J$3:$J$524,"&lt;&gt;HOLD",Human_Data_Entry!$U$3:$U$524,"&lt;&gt;"),"")</f>
        <v/>
      </c>
      <c r="L70" s="136">
        <f>IFERROR(SUMIFS(Human_Data_Entry!$U$3:$U$524,Human_Data_Entry!$A$3:$A$524,$I70,Human_Data_Entry!$H$3:$H$524,"Human",Human_Data_Entry!$J$3:$J$524,"&lt;&gt;HOLD"),"")</f>
        <v/>
      </c>
      <c r="M70" s="206">
        <f>COUNTIFS(LLM_Data_Entry!$A$3:$A$548,$I70,LLM_Data_Entry!$F$3:$F$548,"LLM",LLM_Data_Entry!$H$3:$H$548,"&lt;&gt;HOLD",LLM_Data_Entry!$T$3:$T$548,"&lt;&gt;")</f>
        <v/>
      </c>
      <c r="N70" s="136">
        <f>IFERROR(AVERAGEIFS(LLM_Data_Entry!$T$3:$T$548,LLM_Data_Entry!$A$3:$A$548,$I70,LLM_Data_Entry!$F$3:$F$548,"LLM",LLM_Data_Entry!$H$3:$H$548,"&lt;&gt;HOLD",LLM_Data_Entry!$T$3:$T$548,"&lt;&gt;"),"")</f>
        <v/>
      </c>
      <c r="O70" s="136">
        <f>IFERROR(SUMIFS(LLM_Data_Entry!$T$3:$T$548,LLM_Data_Entry!$A$3:$A$548,$I70,LLM_Data_Entry!$F$3:$F$548,"LLM",LLM_Data_Entry!$H$3:$H$548,"&lt;&gt;HOLD"),"")</f>
        <v/>
      </c>
    </row>
    <row r="71" ht="45.95" customHeight="1" s="241">
      <c r="A71" s="81" t="inlineStr">
        <is>
          <t>Coinbase</t>
        </is>
      </c>
      <c r="B71" s="133">
        <f>COUNTIFS(Human_Data_Entry!$A$3:$A$524,$A71,Human_Data_Entry!$H$3:$H$524,"Human",Human_Data_Entry!$S$3:$S$524,"?*")</f>
        <v/>
      </c>
      <c r="C71" s="133">
        <f>COUNTIFS(Human_Data_Entry!$A$3:$A$524,$A71,Human_Data_Entry!$H$3:$H$524,"Human",Human_Data_Entry!$S$3:$S$524,"YES")</f>
        <v/>
      </c>
      <c r="D71" s="83">
        <f>IF(B71=0,"-",C71/B71)</f>
        <v/>
      </c>
      <c r="E71" s="133">
        <f>COUNTIFS(LLM_Data_Entry!$A$3:$A$548,$A71,LLM_Data_Entry!$F$3:$F$548,"LLM",LLM_Data_Entry!$R$3:$R$548,"&lt;&gt;")</f>
        <v/>
      </c>
      <c r="F71" s="134">
        <f>COUNTIFS(LLM_Data_Entry!$A$3:$A$548,$A71,LLM_Data_Entry!$F$3:$F$548,"LLM",LLM_Data_Entry!$R$3:$R$548,"YES")</f>
        <v/>
      </c>
      <c r="G71" s="83">
        <f>IF(E71=0,"-",F71/E71)</f>
        <v/>
      </c>
      <c r="I71" s="82">
        <f>A71</f>
        <v/>
      </c>
      <c r="J71" s="135">
        <f>SUMPRODUCT((Human_Data_Entry!$A$3:$A$524=$I71)*(Human_Data_Entry!$H$3:$H$524="Human")*((Human_Data_Entry!$J$3:$J$524="BUY")+(Human_Data_Entry!$J$3:$J$524="SELL"))*ISNUMBER(Human_Data_Entry!$U$3:$U$524))</f>
        <v/>
      </c>
      <c r="K71" s="136">
        <f>IFERROR(AVERAGEIFS(Human_Data_Entry!$U$3:$U$524,Human_Data_Entry!$A$3:$A$524,$I71,Human_Data_Entry!$H$3:$H$524,"Human",Human_Data_Entry!$J$3:$J$524,"&lt;&gt;HOLD",Human_Data_Entry!$U$3:$U$524,"&lt;&gt;"),"")</f>
        <v/>
      </c>
      <c r="L71" s="136">
        <f>IFERROR(SUMIFS(Human_Data_Entry!$U$3:$U$524,Human_Data_Entry!$A$3:$A$524,$I71,Human_Data_Entry!$H$3:$H$524,"Human",Human_Data_Entry!$J$3:$J$524,"&lt;&gt;HOLD"),"")</f>
        <v/>
      </c>
      <c r="M71" s="206">
        <f>COUNTIFS(LLM_Data_Entry!$A$3:$A$548,$I71,LLM_Data_Entry!$F$3:$F$548,"LLM",LLM_Data_Entry!$H$3:$H$548,"&lt;&gt;HOLD",LLM_Data_Entry!$T$3:$T$548,"&lt;&gt;")</f>
        <v/>
      </c>
      <c r="N71" s="136">
        <f>IFERROR(AVERAGEIFS(LLM_Data_Entry!$T$3:$T$548,LLM_Data_Entry!$A$3:$A$548,$I71,LLM_Data_Entry!$F$3:$F$548,"LLM",LLM_Data_Entry!$H$3:$H$548,"&lt;&gt;HOLD",LLM_Data_Entry!$T$3:$T$548,"&lt;&gt;"),"")</f>
        <v/>
      </c>
      <c r="O71" s="136">
        <f>IFERROR(SUMIFS(LLM_Data_Entry!$T$3:$T$548,LLM_Data_Entry!$A$3:$A$548,$I71,LLM_Data_Entry!$F$3:$F$548,"LLM",LLM_Data_Entry!$H$3:$H$548,"&lt;&gt;HOLD"),"")</f>
        <v/>
      </c>
    </row>
    <row r="72" ht="45.95" customHeight="1" s="241">
      <c r="A72" s="81" t="inlineStr">
        <is>
          <t>Expedia</t>
        </is>
      </c>
      <c r="B72" s="133">
        <f>COUNTIFS(Human_Data_Entry!$A$3:$A$524,$A72,Human_Data_Entry!$H$3:$H$524,"Human",Human_Data_Entry!$S$3:$S$524,"?*")</f>
        <v/>
      </c>
      <c r="C72" s="133">
        <f>COUNTIFS(Human_Data_Entry!$A$3:$A$524,$A72,Human_Data_Entry!$H$3:$H$524,"Human",Human_Data_Entry!$S$3:$S$524,"YES")</f>
        <v/>
      </c>
      <c r="D72" s="83">
        <f>IF(B72=0,"-",C72/B72)</f>
        <v/>
      </c>
      <c r="E72" s="133">
        <f>COUNTIFS(LLM_Data_Entry!$A$3:$A$548,$A72,LLM_Data_Entry!$F$3:$F$548,"LLM",LLM_Data_Entry!$R$3:$R$548,"&lt;&gt;")</f>
        <v/>
      </c>
      <c r="F72" s="134">
        <f>COUNTIFS(LLM_Data_Entry!$A$3:$A$548,$A72,LLM_Data_Entry!$F$3:$F$548,"LLM",LLM_Data_Entry!$R$3:$R$548,"YES")</f>
        <v/>
      </c>
      <c r="G72" s="83">
        <f>IF(E72=0,"-",F72/E72)</f>
        <v/>
      </c>
      <c r="I72" s="82">
        <f>A72</f>
        <v/>
      </c>
      <c r="J72" s="135">
        <f>SUMPRODUCT((Human_Data_Entry!$A$3:$A$524=$I72)*(Human_Data_Entry!$H$3:$H$524="Human")*((Human_Data_Entry!$J$3:$J$524="BUY")+(Human_Data_Entry!$J$3:$J$524="SELL"))*ISNUMBER(Human_Data_Entry!$U$3:$U$524))</f>
        <v/>
      </c>
      <c r="K72" s="136">
        <f>IFERROR(AVERAGEIFS(Human_Data_Entry!$U$3:$U$524,Human_Data_Entry!$A$3:$A$524,$I72,Human_Data_Entry!$H$3:$H$524,"Human",Human_Data_Entry!$J$3:$J$524,"&lt;&gt;HOLD",Human_Data_Entry!$U$3:$U$524,"&lt;&gt;"),"")</f>
        <v/>
      </c>
      <c r="L72" s="136">
        <f>IFERROR(SUMIFS(Human_Data_Entry!$U$3:$U$524,Human_Data_Entry!$A$3:$A$524,$I72,Human_Data_Entry!$H$3:$H$524,"Human",Human_Data_Entry!$J$3:$J$524,"&lt;&gt;HOLD"),"")</f>
        <v/>
      </c>
      <c r="M72" s="206">
        <f>COUNTIFS(LLM_Data_Entry!$A$3:$A$548,$I72,LLM_Data_Entry!$F$3:$F$548,"LLM",LLM_Data_Entry!$H$3:$H$548,"&lt;&gt;HOLD",LLM_Data_Entry!$T$3:$T$548,"&lt;&gt;")</f>
        <v/>
      </c>
      <c r="N72" s="136">
        <f>IFERROR(AVERAGEIFS(LLM_Data_Entry!$T$3:$T$548,LLM_Data_Entry!$A$3:$A$548,$I72,LLM_Data_Entry!$F$3:$F$548,"LLM",LLM_Data_Entry!$H$3:$H$548,"&lt;&gt;HOLD",LLM_Data_Entry!$T$3:$T$548,"&lt;&gt;"),"")</f>
        <v/>
      </c>
      <c r="O72" s="136">
        <f>IFERROR(SUMIFS(LLM_Data_Entry!$T$3:$T$548,LLM_Data_Entry!$A$3:$A$548,$I72,LLM_Data_Entry!$F$3:$F$548,"LLM",LLM_Data_Entry!$H$3:$H$548,"&lt;&gt;HOLD"),"")</f>
        <v/>
      </c>
    </row>
    <row r="73" ht="45.95" customHeight="1" s="241">
      <c r="A73" s="16" t="inlineStr">
        <is>
          <t>Freeport-McMoRan</t>
        </is>
      </c>
      <c r="B73" s="133">
        <f>COUNTIFS(Human_Data_Entry!$A$3:$A$524,$A73,Human_Data_Entry!$H$3:$H$524,"Human",Human_Data_Entry!$S$3:$S$524,"?*")</f>
        <v/>
      </c>
      <c r="C73" s="133">
        <f>COUNTIFS(Human_Data_Entry!$A$3:$A$524,$A73,Human_Data_Entry!$H$3:$H$524,"Human",Human_Data_Entry!$S$3:$S$524,"YES")</f>
        <v/>
      </c>
      <c r="D73" s="83">
        <f>IF(B73=0,"-",C73/B73)</f>
        <v/>
      </c>
      <c r="E73" s="133">
        <f>COUNTIFS(LLM_Data_Entry!$A$3:$A$548,$A73,LLM_Data_Entry!$F$3:$F$548,"LLM",LLM_Data_Entry!$R$3:$R$548,"&lt;&gt;")</f>
        <v/>
      </c>
      <c r="F73" s="134">
        <f>COUNTIFS(LLM_Data_Entry!$A$3:$A$548,$A73,LLM_Data_Entry!$F$3:$F$548,"LLM",LLM_Data_Entry!$R$3:$R$548,"YES")</f>
        <v/>
      </c>
      <c r="G73" s="83">
        <f>IF(E73=0,"-",F73/E73)</f>
        <v/>
      </c>
      <c r="I73" s="16">
        <f>A73</f>
        <v/>
      </c>
      <c r="J73" s="135">
        <f>SUMPRODUCT((Human_Data_Entry!$A$3:$A$524=$I73)*(Human_Data_Entry!$H$3:$H$524="Human")*((Human_Data_Entry!$J$3:$J$524="BUY")+(Human_Data_Entry!$J$3:$J$524="SELL"))*ISNUMBER(Human_Data_Entry!$U$3:$U$524))</f>
        <v/>
      </c>
      <c r="K73" s="136">
        <f>IFERROR(AVERAGEIFS(Human_Data_Entry!$U$3:$U$524,Human_Data_Entry!$A$3:$A$524,$I73,Human_Data_Entry!$H$3:$H$524,"Human",Human_Data_Entry!$J$3:$J$524,"&lt;&gt;HOLD",Human_Data_Entry!$U$3:$U$524,"&lt;&gt;"),"")</f>
        <v/>
      </c>
      <c r="L73" s="136">
        <f>IFERROR(SUMIFS(Human_Data_Entry!$U$3:$U$524,Human_Data_Entry!$A$3:$A$524,$I73,Human_Data_Entry!$H$3:$H$524,"Human",Human_Data_Entry!$J$3:$J$524,"&lt;&gt;HOLD"),"")</f>
        <v/>
      </c>
      <c r="M73" s="206">
        <f>COUNTIFS(LLM_Data_Entry!$A$3:$A$548,$I73,LLM_Data_Entry!$F$3:$F$548,"LLM",LLM_Data_Entry!$H$3:$H$548,"&lt;&gt;HOLD",LLM_Data_Entry!$T$3:$T$548,"&lt;&gt;")</f>
        <v/>
      </c>
      <c r="N73" s="136">
        <f>IFERROR(AVERAGEIFS(LLM_Data_Entry!$T$3:$T$548,LLM_Data_Entry!$A$3:$A$548,$I73,LLM_Data_Entry!$F$3:$F$548,"LLM",LLM_Data_Entry!$H$3:$H$548,"&lt;&gt;HOLD",LLM_Data_Entry!$T$3:$T$548,"&lt;&gt;"),"")</f>
        <v/>
      </c>
      <c r="O73" s="136">
        <f>IFERROR(SUMIFS(LLM_Data_Entry!$T$3:$T$548,LLM_Data_Entry!$A$3:$A$548,$I73,LLM_Data_Entry!$F$3:$F$548,"LLM",LLM_Data_Entry!$H$3:$H$548,"&lt;&gt;HOLD"),"")</f>
        <v/>
      </c>
    </row>
    <row r="74" ht="45.95" customHeight="1" s="241">
      <c r="A74" s="78" t="inlineStr">
        <is>
          <t>General Mills</t>
        </is>
      </c>
      <c r="B74" s="133">
        <f>COUNTIFS(Human_Data_Entry!$A$3:$A$524,$A74,Human_Data_Entry!$H$3:$H$524,"Human",Human_Data_Entry!$S$3:$S$524,"?*")</f>
        <v/>
      </c>
      <c r="C74" s="133">
        <f>COUNTIFS(Human_Data_Entry!$A$3:$A$524,$A74,Human_Data_Entry!$H$3:$H$524,"Human",Human_Data_Entry!$S$3:$S$524,"YES")</f>
        <v/>
      </c>
      <c r="D74" s="83">
        <f>IF(B74=0,"-",C74/B74)</f>
        <v/>
      </c>
      <c r="E74" s="133">
        <f>COUNTIFS(LLM_Data_Entry!$A$3:$A$548,$A74,LLM_Data_Entry!$F$3:$F$548,"LLM",LLM_Data_Entry!$R$3:$R$548,"&lt;&gt;")</f>
        <v/>
      </c>
      <c r="F74" s="134">
        <f>COUNTIFS(LLM_Data_Entry!$A$3:$A$548,$A74,LLM_Data_Entry!$F$3:$F$548,"LLM",LLM_Data_Entry!$R$3:$R$548,"YES")</f>
        <v/>
      </c>
      <c r="G74" s="83">
        <f>IF(E74=0,"-",F74/E74)</f>
        <v/>
      </c>
      <c r="I74" s="78">
        <f>A74</f>
        <v/>
      </c>
      <c r="J74" s="135">
        <f>SUMPRODUCT((Human_Data_Entry!$A$3:$A$524=$I74)*(Human_Data_Entry!$H$3:$H$524="Human")*((Human_Data_Entry!$J$3:$J$524="BUY")+(Human_Data_Entry!$J$3:$J$524="SELL"))*ISNUMBER(Human_Data_Entry!$U$3:$U$524))</f>
        <v/>
      </c>
      <c r="K74" s="136">
        <f>IFERROR(AVERAGEIFS(Human_Data_Entry!$U$3:$U$524,Human_Data_Entry!$A$3:$A$524,$I74,Human_Data_Entry!$H$3:$H$524,"Human",Human_Data_Entry!$J$3:$J$524,"&lt;&gt;HOLD",Human_Data_Entry!$U$3:$U$524,"&lt;&gt;"),"")</f>
        <v/>
      </c>
      <c r="L74" s="136">
        <f>IFERROR(SUMIFS(Human_Data_Entry!$U$3:$U$524,Human_Data_Entry!$A$3:$A$524,$I74,Human_Data_Entry!$H$3:$H$524,"Human",Human_Data_Entry!$J$3:$J$524,"&lt;&gt;HOLD"),"")</f>
        <v/>
      </c>
      <c r="M74" s="206">
        <f>COUNTIFS(LLM_Data_Entry!$A$3:$A$548,$I74,LLM_Data_Entry!$F$3:$F$548,"LLM",LLM_Data_Entry!$H$3:$H$548,"&lt;&gt;HOLD",LLM_Data_Entry!$T$3:$T$548,"&lt;&gt;")</f>
        <v/>
      </c>
      <c r="N74" s="136">
        <f>IFERROR(AVERAGEIFS(LLM_Data_Entry!$T$3:$T$548,LLM_Data_Entry!$A$3:$A$548,$I74,LLM_Data_Entry!$F$3:$F$548,"LLM",LLM_Data_Entry!$H$3:$H$548,"&lt;&gt;HOLD",LLM_Data_Entry!$T$3:$T$548,"&lt;&gt;"),"")</f>
        <v/>
      </c>
      <c r="O74" s="136">
        <f>IFERROR(SUMIFS(LLM_Data_Entry!$T$3:$T$548,LLM_Data_Entry!$A$3:$A$548,$I74,LLM_Data_Entry!$F$3:$F$548,"LLM",LLM_Data_Entry!$H$3:$H$548,"&lt;&gt;HOLD"),"")</f>
        <v/>
      </c>
    </row>
    <row r="75" ht="45.95" customHeight="1" s="241">
      <c r="A75" s="78" t="inlineStr">
        <is>
          <t>Heineken</t>
        </is>
      </c>
      <c r="B75" s="133">
        <f>COUNTIFS(Human_Data_Entry!$A$3:$A$524,$A75,Human_Data_Entry!$H$3:$H$524,"Human",Human_Data_Entry!$S$3:$S$524,"?*")</f>
        <v/>
      </c>
      <c r="C75" s="133">
        <f>COUNTIFS(Human_Data_Entry!$A$3:$A$524,$A75,Human_Data_Entry!$H$3:$H$524,"Human",Human_Data_Entry!$S$3:$S$524,"YES")</f>
        <v/>
      </c>
      <c r="D75" s="83">
        <f>IF(B75=0,"-",C75/B75)</f>
        <v/>
      </c>
      <c r="E75" s="133">
        <f>COUNTIFS(LLM_Data_Entry!$A$3:$A$548,$A75,LLM_Data_Entry!$F$3:$F$548,"LLM",LLM_Data_Entry!$R$3:$R$548,"&lt;&gt;")</f>
        <v/>
      </c>
      <c r="F75" s="134">
        <f>COUNTIFS(LLM_Data_Entry!$A$3:$A$548,$A75,LLM_Data_Entry!$F$3:$F$548,"LLM",LLM_Data_Entry!$R$3:$R$548,"YES")</f>
        <v/>
      </c>
      <c r="G75" s="83">
        <f>IF(E75=0,"-",F75/E75)</f>
        <v/>
      </c>
      <c r="I75" s="78">
        <f>A75</f>
        <v/>
      </c>
      <c r="J75" s="135">
        <f>SUMPRODUCT((Human_Data_Entry!$A$3:$A$524=$I75)*(Human_Data_Entry!$H$3:$H$524="Human")*((Human_Data_Entry!$J$3:$J$524="BUY")+(Human_Data_Entry!$J$3:$J$524="SELL"))*ISNUMBER(Human_Data_Entry!$U$3:$U$524))</f>
        <v/>
      </c>
      <c r="K75" s="136">
        <f>IFERROR(AVERAGEIFS(Human_Data_Entry!$U$3:$U$524,Human_Data_Entry!$A$3:$A$524,$I75,Human_Data_Entry!$H$3:$H$524,"Human",Human_Data_Entry!$J$3:$J$524,"&lt;&gt;HOLD",Human_Data_Entry!$U$3:$U$524,"&lt;&gt;"),"")</f>
        <v/>
      </c>
      <c r="L75" s="136">
        <f>IFERROR(SUMIFS(Human_Data_Entry!$U$3:$U$524,Human_Data_Entry!$A$3:$A$524,$I75,Human_Data_Entry!$H$3:$H$524,"Human",Human_Data_Entry!$J$3:$J$524,"&lt;&gt;HOLD"),"")</f>
        <v/>
      </c>
      <c r="M75" s="206">
        <f>COUNTIFS(LLM_Data_Entry!$A$3:$A$548,$I75,LLM_Data_Entry!$F$3:$F$548,"LLM",LLM_Data_Entry!$H$3:$H$548,"&lt;&gt;HOLD",LLM_Data_Entry!$T$3:$T$548,"&lt;&gt;")</f>
        <v/>
      </c>
      <c r="N75" s="136">
        <f>IFERROR(AVERAGEIFS(LLM_Data_Entry!$T$3:$T$548,LLM_Data_Entry!$A$3:$A$548,$I75,LLM_Data_Entry!$F$3:$F$548,"LLM",LLM_Data_Entry!$H$3:$H$548,"&lt;&gt;HOLD",LLM_Data_Entry!$T$3:$T$548,"&lt;&gt;"),"")</f>
        <v/>
      </c>
      <c r="O75" s="136">
        <f>IFERROR(SUMIFS(LLM_Data_Entry!$T$3:$T$548,LLM_Data_Entry!$A$3:$A$548,$I75,LLM_Data_Entry!$F$3:$F$548,"LLM",LLM_Data_Entry!$H$3:$H$548,"&lt;&gt;HOLD"),"")</f>
        <v/>
      </c>
    </row>
    <row r="76" ht="45.95" customHeight="1" s="241">
      <c r="A76" s="78" t="inlineStr">
        <is>
          <t>Hermes</t>
        </is>
      </c>
      <c r="B76" s="133">
        <f>COUNTIFS(Human_Data_Entry!$A$3:$A$524,$A76,Human_Data_Entry!$H$3:$H$524,"Human",Human_Data_Entry!$S$3:$S$524,"?*")</f>
        <v/>
      </c>
      <c r="C76" s="133">
        <f>COUNTIFS(Human_Data_Entry!$A$3:$A$524,$A76,Human_Data_Entry!$H$3:$H$524,"Human",Human_Data_Entry!$S$3:$S$524,"YES")</f>
        <v/>
      </c>
      <c r="D76" s="83">
        <f>IF(B76=0,"-",C76/B76)</f>
        <v/>
      </c>
      <c r="E76" s="133">
        <f>COUNTIFS(LLM_Data_Entry!$A$3:$A$548,$A76,LLM_Data_Entry!$F$3:$F$548,"LLM",LLM_Data_Entry!$R$3:$R$548,"&lt;&gt;")</f>
        <v/>
      </c>
      <c r="F76" s="134">
        <f>COUNTIFS(LLM_Data_Entry!$A$3:$A$548,$A76,LLM_Data_Entry!$F$3:$F$548,"LLM",LLM_Data_Entry!$R$3:$R$548,"YES")</f>
        <v/>
      </c>
      <c r="G76" s="83">
        <f>IF(E76=0,"-",F76/E76)</f>
        <v/>
      </c>
      <c r="I76" s="78">
        <f>A76</f>
        <v/>
      </c>
      <c r="J76" s="135">
        <f>SUMPRODUCT((Human_Data_Entry!$A$3:$A$524=$I76)*(Human_Data_Entry!$H$3:$H$524="Human")*((Human_Data_Entry!$J$3:$J$524="BUY")+(Human_Data_Entry!$J$3:$J$524="SELL"))*ISNUMBER(Human_Data_Entry!$U$3:$U$524))</f>
        <v/>
      </c>
      <c r="K76" s="136">
        <f>IFERROR(AVERAGEIFS(Human_Data_Entry!$U$3:$U$524,Human_Data_Entry!$A$3:$A$524,$I76,Human_Data_Entry!$H$3:$H$524,"Human",Human_Data_Entry!$J$3:$J$524,"&lt;&gt;HOLD",Human_Data_Entry!$U$3:$U$524,"&lt;&gt;"),"")</f>
        <v/>
      </c>
      <c r="L76" s="136">
        <f>IFERROR(SUMIFS(Human_Data_Entry!$U$3:$U$524,Human_Data_Entry!$A$3:$A$524,$I76,Human_Data_Entry!$H$3:$H$524,"Human",Human_Data_Entry!$J$3:$J$524,"&lt;&gt;HOLD"),"")</f>
        <v/>
      </c>
      <c r="M76" s="206">
        <f>COUNTIFS(LLM_Data_Entry!$A$3:$A$548,$I76,LLM_Data_Entry!$F$3:$F$548,"LLM",LLM_Data_Entry!$H$3:$H$548,"&lt;&gt;HOLD",LLM_Data_Entry!$T$3:$T$548,"&lt;&gt;")</f>
        <v/>
      </c>
      <c r="N76" s="136">
        <f>IFERROR(AVERAGEIFS(LLM_Data_Entry!$T$3:$T$548,LLM_Data_Entry!$A$3:$A$548,$I76,LLM_Data_Entry!$F$3:$F$548,"LLM",LLM_Data_Entry!$H$3:$H$548,"&lt;&gt;HOLD",LLM_Data_Entry!$T$3:$T$548,"&lt;&gt;"),"")</f>
        <v/>
      </c>
      <c r="O76" s="136">
        <f>IFERROR(SUMIFS(LLM_Data_Entry!$T$3:$T$548,LLM_Data_Entry!$A$3:$A$548,$I76,LLM_Data_Entry!$F$3:$F$548,"LLM",LLM_Data_Entry!$H$3:$H$548,"&lt;&gt;HOLD"),"")</f>
        <v/>
      </c>
    </row>
    <row r="77" ht="45.95" customHeight="1" s="241">
      <c r="A77" s="16" t="inlineStr">
        <is>
          <t>Home Depot</t>
        </is>
      </c>
      <c r="B77" s="133">
        <f>COUNTIFS(Human_Data_Entry!$A$3:$A$524,$A77,Human_Data_Entry!$H$3:$H$524,"Human",Human_Data_Entry!$S$3:$S$524,"?*")</f>
        <v/>
      </c>
      <c r="C77" s="133">
        <f>COUNTIFS(Human_Data_Entry!$A$3:$A$524,$A77,Human_Data_Entry!$H$3:$H$524,"Human",Human_Data_Entry!$S$3:$S$524,"YES")</f>
        <v/>
      </c>
      <c r="D77" s="83">
        <f>IF(B77=0,"-",C77/B77)</f>
        <v/>
      </c>
      <c r="E77" s="133">
        <f>COUNTIFS(LLM_Data_Entry!$A$3:$A$548,$A77,LLM_Data_Entry!$F$3:$F$548,"LLM",LLM_Data_Entry!$R$3:$R$548,"&lt;&gt;")</f>
        <v/>
      </c>
      <c r="F77" s="134">
        <f>COUNTIFS(LLM_Data_Entry!$A$3:$A$548,$A77,LLM_Data_Entry!$F$3:$F$548,"LLM",LLM_Data_Entry!$R$3:$R$548,"YES")</f>
        <v/>
      </c>
      <c r="G77" s="83">
        <f>IF(E77=0,"-",F77/E77)</f>
        <v/>
      </c>
      <c r="I77" s="16">
        <f>A77</f>
        <v/>
      </c>
      <c r="J77" s="135">
        <f>SUMPRODUCT((Human_Data_Entry!$A$3:$A$524=$I77)*(Human_Data_Entry!$H$3:$H$524="Human")*((Human_Data_Entry!$J$3:$J$524="BUY")+(Human_Data_Entry!$J$3:$J$524="SELL"))*ISNUMBER(Human_Data_Entry!$U$3:$U$524))</f>
        <v/>
      </c>
      <c r="K77" s="136">
        <f>IFERROR(AVERAGEIFS(Human_Data_Entry!$U$3:$U$524,Human_Data_Entry!$A$3:$A$524,$I77,Human_Data_Entry!$H$3:$H$524,"Human",Human_Data_Entry!$J$3:$J$524,"&lt;&gt;HOLD",Human_Data_Entry!$U$3:$U$524,"&lt;&gt;"),"")</f>
        <v/>
      </c>
      <c r="L77" s="136">
        <f>IFERROR(SUMIFS(Human_Data_Entry!$U$3:$U$524,Human_Data_Entry!$A$3:$A$524,$I77,Human_Data_Entry!$H$3:$H$524,"Human",Human_Data_Entry!$J$3:$J$524,"&lt;&gt;HOLD"),"")</f>
        <v/>
      </c>
      <c r="M77" s="206">
        <f>COUNTIFS(LLM_Data_Entry!$A$3:$A$548,$I77,LLM_Data_Entry!$F$3:$F$548,"LLM",LLM_Data_Entry!$H$3:$H$548,"&lt;&gt;HOLD",LLM_Data_Entry!$T$3:$T$548,"&lt;&gt;")</f>
        <v/>
      </c>
      <c r="N77" s="136">
        <f>IFERROR(AVERAGEIFS(LLM_Data_Entry!$T$3:$T$548,LLM_Data_Entry!$A$3:$A$548,$I77,LLM_Data_Entry!$F$3:$F$548,"LLM",LLM_Data_Entry!$H$3:$H$548,"&lt;&gt;HOLD",LLM_Data_Entry!$T$3:$T$548,"&lt;&gt;"),"")</f>
        <v/>
      </c>
      <c r="O77" s="136">
        <f>IFERROR(SUMIFS(LLM_Data_Entry!$T$3:$T$548,LLM_Data_Entry!$A$3:$A$548,$I77,LLM_Data_Entry!$F$3:$F$548,"LLM",LLM_Data_Entry!$H$3:$H$548,"&lt;&gt;HOLD"),"")</f>
        <v/>
      </c>
    </row>
    <row r="78" ht="45.95" customHeight="1" s="241">
      <c r="A78" s="16" t="inlineStr">
        <is>
          <t>Johnson &amp; Johnson</t>
        </is>
      </c>
      <c r="B78" s="133">
        <f>COUNTIFS(Human_Data_Entry!$A$3:$A$524,$A78,Human_Data_Entry!$H$3:$H$524,"Human",Human_Data_Entry!$S$3:$S$524,"?*")</f>
        <v/>
      </c>
      <c r="C78" s="133">
        <f>COUNTIFS(Human_Data_Entry!$A$3:$A$524,$A78,Human_Data_Entry!$H$3:$H$524,"Human",Human_Data_Entry!$S$3:$S$524,"YES")</f>
        <v/>
      </c>
      <c r="D78" s="83">
        <f>IF(B78=0,"-",C78/B78)</f>
        <v/>
      </c>
      <c r="E78" s="133">
        <f>COUNTIFS(LLM_Data_Entry!$A$3:$A$548,$A78,LLM_Data_Entry!$F$3:$F$548,"LLM",LLM_Data_Entry!$R$3:$R$548,"&lt;&gt;")</f>
        <v/>
      </c>
      <c r="F78" s="134">
        <f>COUNTIFS(LLM_Data_Entry!$A$3:$A$548,$A78,LLM_Data_Entry!$F$3:$F$548,"LLM",LLM_Data_Entry!$R$3:$R$548,"YES")</f>
        <v/>
      </c>
      <c r="G78" s="83">
        <f>IF(E78=0,"-",F78/E78)</f>
        <v/>
      </c>
      <c r="I78" s="16">
        <f>A78</f>
        <v/>
      </c>
      <c r="J78" s="135">
        <f>SUMPRODUCT((Human_Data_Entry!$A$3:$A$524=$I78)*(Human_Data_Entry!$H$3:$H$524="Human")*((Human_Data_Entry!$J$3:$J$524="BUY")+(Human_Data_Entry!$J$3:$J$524="SELL"))*ISNUMBER(Human_Data_Entry!$U$3:$U$524))</f>
        <v/>
      </c>
      <c r="K78" s="136">
        <f>IFERROR(AVERAGEIFS(Human_Data_Entry!$U$3:$U$524,Human_Data_Entry!$A$3:$A$524,$I78,Human_Data_Entry!$H$3:$H$524,"Human",Human_Data_Entry!$J$3:$J$524,"&lt;&gt;HOLD",Human_Data_Entry!$U$3:$U$524,"&lt;&gt;"),"")</f>
        <v/>
      </c>
      <c r="L78" s="136">
        <f>IFERROR(SUMIFS(Human_Data_Entry!$U$3:$U$524,Human_Data_Entry!$A$3:$A$524,$I78,Human_Data_Entry!$H$3:$H$524,"Human",Human_Data_Entry!$J$3:$J$524,"&lt;&gt;HOLD"),"")</f>
        <v/>
      </c>
      <c r="M78" s="206">
        <f>COUNTIFS(LLM_Data_Entry!$A$3:$A$548,$I78,LLM_Data_Entry!$F$3:$F$548,"LLM",LLM_Data_Entry!$H$3:$H$548,"&lt;&gt;HOLD",LLM_Data_Entry!$T$3:$T$548,"&lt;&gt;")</f>
        <v/>
      </c>
      <c r="N78" s="136">
        <f>IFERROR(AVERAGEIFS(LLM_Data_Entry!$T$3:$T$548,LLM_Data_Entry!$A$3:$A$548,$I78,LLM_Data_Entry!$F$3:$F$548,"LLM",LLM_Data_Entry!$H$3:$H$548,"&lt;&gt;HOLD",LLM_Data_Entry!$T$3:$T$548,"&lt;&gt;"),"")</f>
        <v/>
      </c>
      <c r="O78" s="136">
        <f>IFERROR(SUMIFS(LLM_Data_Entry!$T$3:$T$548,LLM_Data_Entry!$A$3:$A$548,$I78,LLM_Data_Entry!$F$3:$F$548,"LLM",LLM_Data_Entry!$H$3:$H$548,"&lt;&gt;HOLD"),"")</f>
        <v/>
      </c>
    </row>
    <row r="79" ht="45.95" customHeight="1" s="241">
      <c r="A79" s="16" t="inlineStr">
        <is>
          <t>Kraft Heinz</t>
        </is>
      </c>
      <c r="B79" s="133">
        <f>COUNTIFS(Human_Data_Entry!$A$3:$A$524,$A79,Human_Data_Entry!$H$3:$H$524,"Human",Human_Data_Entry!$S$3:$S$524,"?*")</f>
        <v/>
      </c>
      <c r="C79" s="133">
        <f>COUNTIFS(Human_Data_Entry!$A$3:$A$524,$A79,Human_Data_Entry!$H$3:$H$524,"Human",Human_Data_Entry!$S$3:$S$524,"YES")</f>
        <v/>
      </c>
      <c r="D79" s="83">
        <f>IF(B79=0,"-",C79/B79)</f>
        <v/>
      </c>
      <c r="E79" s="133">
        <f>COUNTIFS(LLM_Data_Entry!$A$3:$A$548,$A79,LLM_Data_Entry!$F$3:$F$548,"LLM",LLM_Data_Entry!$R$3:$R$548,"&lt;&gt;")</f>
        <v/>
      </c>
      <c r="F79" s="134">
        <f>COUNTIFS(LLM_Data_Entry!$A$3:$A$548,$A79,LLM_Data_Entry!$F$3:$F$548,"LLM",LLM_Data_Entry!$R$3:$R$548,"YES")</f>
        <v/>
      </c>
      <c r="G79" s="83">
        <f>IF(E79=0,"-",F79/E79)</f>
        <v/>
      </c>
      <c r="I79" s="16">
        <f>A79</f>
        <v/>
      </c>
      <c r="J79" s="135">
        <f>SUMPRODUCT((Human_Data_Entry!$A$3:$A$524=$I79)*(Human_Data_Entry!$H$3:$H$524="Human")*((Human_Data_Entry!$J$3:$J$524="BUY")+(Human_Data_Entry!$J$3:$J$524="SELL"))*ISNUMBER(Human_Data_Entry!$U$3:$U$524))</f>
        <v/>
      </c>
      <c r="K79" s="136">
        <f>IFERROR(AVERAGEIFS(Human_Data_Entry!$U$3:$U$524,Human_Data_Entry!$A$3:$A$524,$I79,Human_Data_Entry!$H$3:$H$524,"Human",Human_Data_Entry!$J$3:$J$524,"&lt;&gt;HOLD",Human_Data_Entry!$U$3:$U$524,"&lt;&gt;"),"")</f>
        <v/>
      </c>
      <c r="L79" s="136">
        <f>IFERROR(SUMIFS(Human_Data_Entry!$U$3:$U$524,Human_Data_Entry!$A$3:$A$524,$I79,Human_Data_Entry!$H$3:$H$524,"Human",Human_Data_Entry!$J$3:$J$524,"&lt;&gt;HOLD"),"")</f>
        <v/>
      </c>
      <c r="M79" s="206">
        <f>COUNTIFS(LLM_Data_Entry!$A$3:$A$548,$I79,LLM_Data_Entry!$F$3:$F$548,"LLM",LLM_Data_Entry!$H$3:$H$548,"&lt;&gt;HOLD",LLM_Data_Entry!$T$3:$T$548,"&lt;&gt;")</f>
        <v/>
      </c>
      <c r="N79" s="136">
        <f>IFERROR(AVERAGEIFS(LLM_Data_Entry!$T$3:$T$548,LLM_Data_Entry!$A$3:$A$548,$I79,LLM_Data_Entry!$F$3:$F$548,"LLM",LLM_Data_Entry!$H$3:$H$548,"&lt;&gt;HOLD",LLM_Data_Entry!$T$3:$T$548,"&lt;&gt;"),"")</f>
        <v/>
      </c>
      <c r="O79" s="136">
        <f>IFERROR(SUMIFS(LLM_Data_Entry!$T$3:$T$548,LLM_Data_Entry!$A$3:$A$548,$I79,LLM_Data_Entry!$F$3:$F$548,"LLM",LLM_Data_Entry!$H$3:$H$548,"&lt;&gt;HOLD"),"")</f>
        <v/>
      </c>
    </row>
    <row r="80" ht="45.95" customHeight="1" s="241">
      <c r="A80" t="inlineStr">
        <is>
          <t>Alphabet</t>
        </is>
      </c>
      <c r="B80" s="133">
        <f>COUNTIFS(Human_Data_Entry!$A$3:$A$524,$A80,Human_Data_Entry!$H$3:$H$524,"Human",Human_Data_Entry!$S$3:$S$524,"?*")</f>
        <v/>
      </c>
      <c r="C80" s="133">
        <f>COUNTIFS(Human_Data_Entry!$A$3:$A$524,$A80,Human_Data_Entry!$H$3:$H$524,"Human",Human_Data_Entry!$S$3:$S$524,"YES")</f>
        <v/>
      </c>
      <c r="D80" s="83">
        <f>IF(B80=0,"-",C80/B80)</f>
        <v/>
      </c>
      <c r="E80" s="133">
        <f>COUNTIFS(LLM_Data_Entry!$A$3:$A$548,$A80,LLM_Data_Entry!$F$3:$F$548,"LLM",LLM_Data_Entry!$R$3:$R$548,"&lt;&gt;")</f>
        <v/>
      </c>
      <c r="F80" s="134">
        <f>COUNTIFS(LLM_Data_Entry!$A$3:$A$548,$A80,LLM_Data_Entry!$F$3:$F$548,"LLM",LLM_Data_Entry!$R$3:$R$548,"YES")</f>
        <v/>
      </c>
      <c r="G80" s="83">
        <f>IF(E80=0,"-",F80/E80)</f>
        <v/>
      </c>
      <c r="I80">
        <f>A80</f>
        <v/>
      </c>
      <c r="J80" s="135">
        <f>SUMPRODUCT((Human_Data_Entry!$A$3:$A$524=$I80)*(Human_Data_Entry!$H$3:$H$524="Human")*((Human_Data_Entry!$J$3:$J$524="BUY")+(Human_Data_Entry!$J$3:$J$524="SELL"))*ISNUMBER(Human_Data_Entry!$U$3:$U$524))</f>
        <v/>
      </c>
      <c r="K80" s="136">
        <f>IFERROR(AVERAGEIFS(Human_Data_Entry!$U$3:$U$524,Human_Data_Entry!$A$3:$A$524,$I80,Human_Data_Entry!$H$3:$H$524,"Human",Human_Data_Entry!$J$3:$J$524,"&lt;&gt;HOLD",Human_Data_Entry!$U$3:$U$524,"&lt;&gt;"),"")</f>
        <v/>
      </c>
      <c r="L80" s="136">
        <f>IFERROR(SUMIFS(Human_Data_Entry!$U$3:$U$524,Human_Data_Entry!$A$3:$A$524,$I80,Human_Data_Entry!$H$3:$H$524,"Human",Human_Data_Entry!$J$3:$J$524,"&lt;&gt;HOLD"),"")</f>
        <v/>
      </c>
      <c r="M80" s="206">
        <f>COUNTIFS(LLM_Data_Entry!$A$3:$A$548,$I80,LLM_Data_Entry!$F$3:$F$548,"LLM",LLM_Data_Entry!$H$3:$H$548,"&lt;&gt;HOLD",LLM_Data_Entry!$T$3:$T$548,"&lt;&gt;")</f>
        <v/>
      </c>
      <c r="N80" s="136">
        <f>IFERROR(AVERAGEIFS(LLM_Data_Entry!$T$3:$T$548,LLM_Data_Entry!$A$3:$A$548,$I80,LLM_Data_Entry!$F$3:$F$548,"LLM",LLM_Data_Entry!$H$3:$H$548,"&lt;&gt;HOLD",LLM_Data_Entry!$T$3:$T$548,"&lt;&gt;"),"")</f>
        <v/>
      </c>
      <c r="O80" s="136">
        <f>IFERROR(SUMIFS(LLM_Data_Entry!$T$3:$T$548,LLM_Data_Entry!$A$3:$A$548,$I80,LLM_Data_Entry!$F$3:$F$548,"LLM",LLM_Data_Entry!$H$3:$H$548,"&lt;&gt;HOLD"),"")</f>
        <v/>
      </c>
    </row>
    <row r="81" ht="45.95" customHeight="1" s="241">
      <c r="A81" t="inlineStr">
        <is>
          <t>Lenovo</t>
        </is>
      </c>
      <c r="B81" s="133">
        <f>COUNTIFS(Human_Data_Entry!$A$3:$A$524,$A81,Human_Data_Entry!$H$3:$H$524,"Human",Human_Data_Entry!$S$3:$S$524,"?*")</f>
        <v/>
      </c>
      <c r="C81" s="133">
        <f>COUNTIFS(Human_Data_Entry!$A$3:$A$524,$A81,Human_Data_Entry!$H$3:$H$524,"Human",Human_Data_Entry!$S$3:$S$524,"YES")</f>
        <v/>
      </c>
      <c r="D81" s="83">
        <f>IF(B81=0,"-",C81/B81)</f>
        <v/>
      </c>
      <c r="E81" s="133">
        <f>COUNTIFS(LLM_Data_Entry!$A$3:$A$548,$A81,LLM_Data_Entry!$F$3:$F$548,"LLM",LLM_Data_Entry!$R$3:$R$548,"&lt;&gt;")</f>
        <v/>
      </c>
      <c r="F81" s="134">
        <f>COUNTIFS(LLM_Data_Entry!$A$3:$A$548,$A81,LLM_Data_Entry!$F$3:$F$548,"LLM",LLM_Data_Entry!$R$3:$R$548,"YES")</f>
        <v/>
      </c>
      <c r="G81" s="83">
        <f>IF(E81=0,"-",F81/E81)</f>
        <v/>
      </c>
      <c r="I81">
        <f>A81</f>
        <v/>
      </c>
      <c r="J81" s="135">
        <f>SUMPRODUCT((Human_Data_Entry!$A$3:$A$524=$I81)*(Human_Data_Entry!$H$3:$H$524="Human")*((Human_Data_Entry!$J$3:$J$524="BUY")+(Human_Data_Entry!$J$3:$J$524="SELL"))*ISNUMBER(Human_Data_Entry!$U$3:$U$524))</f>
        <v/>
      </c>
      <c r="K81" s="136">
        <f>IFERROR(AVERAGEIFS(Human_Data_Entry!$U$3:$U$524,Human_Data_Entry!$A$3:$A$524,$I81,Human_Data_Entry!$H$3:$H$524,"Human",Human_Data_Entry!$J$3:$J$524,"&lt;&gt;HOLD",Human_Data_Entry!$U$3:$U$524,"&lt;&gt;"),"")</f>
        <v/>
      </c>
      <c r="L81" s="136">
        <f>IFERROR(SUMIFS(Human_Data_Entry!$U$3:$U$524,Human_Data_Entry!$A$3:$A$524,$I81,Human_Data_Entry!$H$3:$H$524,"Human",Human_Data_Entry!$J$3:$J$524,"&lt;&gt;HOLD"),"")</f>
        <v/>
      </c>
      <c r="M81" s="206">
        <f>COUNTIFS(LLM_Data_Entry!$A$3:$A$548,$I81,LLM_Data_Entry!$F$3:$F$548,"LLM",LLM_Data_Entry!$H$3:$H$548,"&lt;&gt;HOLD",LLM_Data_Entry!$T$3:$T$548,"&lt;&gt;")</f>
        <v/>
      </c>
      <c r="N81" s="136">
        <f>IFERROR(AVERAGEIFS(LLM_Data_Entry!$T$3:$T$548,LLM_Data_Entry!$A$3:$A$548,$I81,LLM_Data_Entry!$F$3:$F$548,"LLM",LLM_Data_Entry!$H$3:$H$548,"&lt;&gt;HOLD",LLM_Data_Entry!$T$3:$T$548,"&lt;&gt;"),"")</f>
        <v/>
      </c>
      <c r="O81" s="136">
        <f>IFERROR(SUMIFS(LLM_Data_Entry!$T$3:$T$548,LLM_Data_Entry!$A$3:$A$548,$I81,LLM_Data_Entry!$F$3:$F$548,"LLM",LLM_Data_Entry!$H$3:$H$548,"&lt;&gt;HOLD"),"")</f>
        <v/>
      </c>
    </row>
    <row r="82" ht="45.95" customHeight="1" s="241">
      <c r="A82" t="inlineStr">
        <is>
          <t>Linde</t>
        </is>
      </c>
      <c r="B82" s="133">
        <f>COUNTIFS(Human_Data_Entry!$A$3:$A$524,$A82,Human_Data_Entry!$H$3:$H$524,"Human",Human_Data_Entry!$S$3:$S$524,"?*")</f>
        <v/>
      </c>
      <c r="C82" s="133">
        <f>COUNTIFS(Human_Data_Entry!$A$3:$A$524,$A82,Human_Data_Entry!$H$3:$H$524,"Human",Human_Data_Entry!$S$3:$S$524,"YES")</f>
        <v/>
      </c>
      <c r="D82" s="83">
        <f>IF(B82=0,"-",C82/B82)</f>
        <v/>
      </c>
      <c r="E82" s="133">
        <f>COUNTIFS(LLM_Data_Entry!$A$3:$A$548,$A82,LLM_Data_Entry!$F$3:$F$548,"LLM",LLM_Data_Entry!$R$3:$R$548,"&lt;&gt;")</f>
        <v/>
      </c>
      <c r="F82" s="134">
        <f>COUNTIFS(LLM_Data_Entry!$A$3:$A$548,$A82,LLM_Data_Entry!$F$3:$F$548,"LLM",LLM_Data_Entry!$R$3:$R$548,"YES")</f>
        <v/>
      </c>
      <c r="G82" s="83">
        <f>IF(E82=0,"-",F82/E82)</f>
        <v/>
      </c>
      <c r="I82">
        <f>A82</f>
        <v/>
      </c>
      <c r="J82" s="135">
        <f>SUMPRODUCT((Human_Data_Entry!$A$3:$A$524=$I82)*(Human_Data_Entry!$H$3:$H$524="Human")*((Human_Data_Entry!$J$3:$J$524="BUY")+(Human_Data_Entry!$J$3:$J$524="SELL"))*ISNUMBER(Human_Data_Entry!$U$3:$U$524))</f>
        <v/>
      </c>
      <c r="K82" s="136">
        <f>IFERROR(AVERAGEIFS(Human_Data_Entry!$U$3:$U$524,Human_Data_Entry!$A$3:$A$524,$I82,Human_Data_Entry!$H$3:$H$524,"Human",Human_Data_Entry!$J$3:$J$524,"&lt;&gt;HOLD",Human_Data_Entry!$U$3:$U$524,"&lt;&gt;"),"")</f>
        <v/>
      </c>
      <c r="L82" s="136">
        <f>IFERROR(SUMIFS(Human_Data_Entry!$U$3:$U$524,Human_Data_Entry!$A$3:$A$524,$I82,Human_Data_Entry!$H$3:$H$524,"Human",Human_Data_Entry!$J$3:$J$524,"&lt;&gt;HOLD"),"")</f>
        <v/>
      </c>
      <c r="M82" s="206">
        <f>COUNTIFS(LLM_Data_Entry!$A$3:$A$548,$I82,LLM_Data_Entry!$F$3:$F$548,"LLM",LLM_Data_Entry!$H$3:$H$548,"&lt;&gt;HOLD",LLM_Data_Entry!$T$3:$T$548,"&lt;&gt;")</f>
        <v/>
      </c>
      <c r="N82" s="136">
        <f>IFERROR(AVERAGEIFS(LLM_Data_Entry!$T$3:$T$548,LLM_Data_Entry!$A$3:$A$548,$I82,LLM_Data_Entry!$F$3:$F$548,"LLM",LLM_Data_Entry!$H$3:$H$548,"&lt;&gt;HOLD",LLM_Data_Entry!$T$3:$T$548,"&lt;&gt;"),"")</f>
        <v/>
      </c>
      <c r="O82" s="136">
        <f>IFERROR(SUMIFS(LLM_Data_Entry!$T$3:$T$548,LLM_Data_Entry!$A$3:$A$548,$I82,LLM_Data_Entry!$F$3:$F$548,"LLM",LLM_Data_Entry!$H$3:$H$548,"&lt;&gt;HOLD"),"")</f>
        <v/>
      </c>
    </row>
    <row r="83" ht="45.95" customHeight="1" s="241">
      <c r="A83" t="inlineStr">
        <is>
          <t>Lululemon</t>
        </is>
      </c>
      <c r="B83" s="133">
        <f>COUNTIFS(Human_Data_Entry!$A$3:$A$524,$A83,Human_Data_Entry!$H$3:$H$524,"Human",Human_Data_Entry!$S$3:$S$524,"?*")</f>
        <v/>
      </c>
      <c r="C83" s="133">
        <f>COUNTIFS(Human_Data_Entry!$A$3:$A$524,$A83,Human_Data_Entry!$H$3:$H$524,"Human",Human_Data_Entry!$S$3:$S$524,"YES")</f>
        <v/>
      </c>
      <c r="D83" s="83">
        <f>IF(B83=0,"-",C83/B83)</f>
        <v/>
      </c>
      <c r="E83" s="133">
        <f>COUNTIFS(LLM_Data_Entry!$A$3:$A$548,$A83,LLM_Data_Entry!$F$3:$F$548,"LLM",LLM_Data_Entry!$R$3:$R$548,"&lt;&gt;")</f>
        <v/>
      </c>
      <c r="F83" s="134">
        <f>COUNTIFS(LLM_Data_Entry!$A$3:$A$548,$A83,LLM_Data_Entry!$F$3:$F$548,"LLM",LLM_Data_Entry!$R$3:$R$548,"YES")</f>
        <v/>
      </c>
      <c r="G83" s="83">
        <f>IF(E83=0,"-",F83/E83)</f>
        <v/>
      </c>
      <c r="I83">
        <f>A83</f>
        <v/>
      </c>
      <c r="J83" s="135">
        <f>SUMPRODUCT((Human_Data_Entry!$A$3:$A$524=$I83)*(Human_Data_Entry!$H$3:$H$524="Human")*((Human_Data_Entry!$J$3:$J$524="BUY")+(Human_Data_Entry!$J$3:$J$524="SELL"))*ISNUMBER(Human_Data_Entry!$U$3:$U$524))</f>
        <v/>
      </c>
      <c r="K83" s="136">
        <f>IFERROR(AVERAGEIFS(Human_Data_Entry!$U$3:$U$524,Human_Data_Entry!$A$3:$A$524,$I83,Human_Data_Entry!$H$3:$H$524,"Human",Human_Data_Entry!$J$3:$J$524,"&lt;&gt;HOLD",Human_Data_Entry!$U$3:$U$524,"&lt;&gt;"),"")</f>
        <v/>
      </c>
      <c r="L83" s="136">
        <f>IFERROR(SUMIFS(Human_Data_Entry!$U$3:$U$524,Human_Data_Entry!$A$3:$A$524,$I83,Human_Data_Entry!$H$3:$H$524,"Human",Human_Data_Entry!$J$3:$J$524,"&lt;&gt;HOLD"),"")</f>
        <v/>
      </c>
      <c r="M83" s="206">
        <f>COUNTIFS(LLM_Data_Entry!$A$3:$A$548,$I83,LLM_Data_Entry!$F$3:$F$548,"LLM",LLM_Data_Entry!$H$3:$H$548,"&lt;&gt;HOLD",LLM_Data_Entry!$T$3:$T$548,"&lt;&gt;")</f>
        <v/>
      </c>
      <c r="N83" s="136">
        <f>IFERROR(AVERAGEIFS(LLM_Data_Entry!$T$3:$T$548,LLM_Data_Entry!$A$3:$A$548,$I83,LLM_Data_Entry!$F$3:$F$548,"LLM",LLM_Data_Entry!$H$3:$H$548,"&lt;&gt;HOLD",LLM_Data_Entry!$T$3:$T$548,"&lt;&gt;"),"")</f>
        <v/>
      </c>
      <c r="O83" s="136">
        <f>IFERROR(SUMIFS(LLM_Data_Entry!$T$3:$T$548,LLM_Data_Entry!$A$3:$A$548,$I83,LLM_Data_Entry!$F$3:$F$548,"LLM",LLM_Data_Entry!$H$3:$H$548,"&lt;&gt;HOLD"),"")</f>
        <v/>
      </c>
    </row>
    <row r="84" ht="45.95" customHeight="1" s="241">
      <c r="A84" t="inlineStr">
        <is>
          <t>Meta</t>
        </is>
      </c>
      <c r="B84" s="133">
        <f>COUNTIFS(Human_Data_Entry!$A$3:$A$524,$A84,Human_Data_Entry!$H$3:$H$524,"Human",Human_Data_Entry!$S$3:$S$524,"?*")</f>
        <v/>
      </c>
      <c r="C84" s="133">
        <f>COUNTIFS(Human_Data_Entry!$A$3:$A$524,$A84,Human_Data_Entry!$H$3:$H$524,"Human",Human_Data_Entry!$S$3:$S$524,"YES")</f>
        <v/>
      </c>
      <c r="D84" s="83">
        <f>IF(B84=0,"-",C84/B84)</f>
        <v/>
      </c>
      <c r="E84" s="133">
        <f>COUNTIFS(LLM_Data_Entry!$A$3:$A$548,$A84,LLM_Data_Entry!$F$3:$F$548,"LLM",LLM_Data_Entry!$R$3:$R$548,"&lt;&gt;")</f>
        <v/>
      </c>
      <c r="F84" s="134">
        <f>COUNTIFS(LLM_Data_Entry!$A$3:$A$548,$A84,LLM_Data_Entry!$F$3:$F$548,"LLM",LLM_Data_Entry!$R$3:$R$548,"YES")</f>
        <v/>
      </c>
      <c r="G84" s="83">
        <f>IF(E84=0,"-",F84/E84)</f>
        <v/>
      </c>
      <c r="I84">
        <f>A84</f>
        <v/>
      </c>
      <c r="J84" s="135">
        <f>SUMPRODUCT((Human_Data_Entry!$A$3:$A$524=$I84)*(Human_Data_Entry!$H$3:$H$524="Human")*((Human_Data_Entry!$J$3:$J$524="BUY")+(Human_Data_Entry!$J$3:$J$524="SELL"))*ISNUMBER(Human_Data_Entry!$U$3:$U$524))</f>
        <v/>
      </c>
      <c r="K84" s="136">
        <f>IFERROR(AVERAGEIFS(Human_Data_Entry!$U$3:$U$524,Human_Data_Entry!$A$3:$A$524,$I84,Human_Data_Entry!$H$3:$H$524,"Human",Human_Data_Entry!$J$3:$J$524,"&lt;&gt;HOLD",Human_Data_Entry!$U$3:$U$524,"&lt;&gt;"),"")</f>
        <v/>
      </c>
      <c r="L84" s="136">
        <f>IFERROR(SUMIFS(Human_Data_Entry!$U$3:$U$524,Human_Data_Entry!$A$3:$A$524,$I84,Human_Data_Entry!$H$3:$H$524,"Human",Human_Data_Entry!$J$3:$J$524,"&lt;&gt;HOLD"),"")</f>
        <v/>
      </c>
      <c r="M84" s="206">
        <f>COUNTIFS(LLM_Data_Entry!$A$3:$A$548,$I84,LLM_Data_Entry!$F$3:$F$548,"LLM",LLM_Data_Entry!$H$3:$H$548,"&lt;&gt;HOLD",LLM_Data_Entry!$T$3:$T$548,"&lt;&gt;")</f>
        <v/>
      </c>
      <c r="N84" s="136">
        <f>IFERROR(AVERAGEIFS(LLM_Data_Entry!$T$3:$T$548,LLM_Data_Entry!$A$3:$A$548,$I84,LLM_Data_Entry!$F$3:$F$548,"LLM",LLM_Data_Entry!$H$3:$H$548,"&lt;&gt;HOLD",LLM_Data_Entry!$T$3:$T$548,"&lt;&gt;"),"")</f>
        <v/>
      </c>
      <c r="O84" s="136">
        <f>IFERROR(SUMIFS(LLM_Data_Entry!$T$3:$T$548,LLM_Data_Entry!$A$3:$A$548,$I84,LLM_Data_Entry!$F$3:$F$548,"LLM",LLM_Data_Entry!$H$3:$H$548,"&lt;&gt;HOLD"),"")</f>
        <v/>
      </c>
    </row>
    <row r="85" ht="45.95" customHeight="1" s="241">
      <c r="A85" t="inlineStr">
        <is>
          <t>Micron</t>
        </is>
      </c>
      <c r="B85" s="133">
        <f>COUNTIFS(Human_Data_Entry!$A$3:$A$524,$A85,Human_Data_Entry!$H$3:$H$524,"Human",Human_Data_Entry!$S$3:$S$524,"?*")</f>
        <v/>
      </c>
      <c r="C85" s="133">
        <f>COUNTIFS(Human_Data_Entry!$A$3:$A$524,$A85,Human_Data_Entry!$H$3:$H$524,"Human",Human_Data_Entry!$S$3:$S$524,"YES")</f>
        <v/>
      </c>
      <c r="D85" s="83">
        <f>IF(B85=0,"-",C85/B85)</f>
        <v/>
      </c>
      <c r="E85" s="133">
        <f>COUNTIFS(LLM_Data_Entry!$A$3:$A$548,$A85,LLM_Data_Entry!$F$3:$F$548,"LLM",LLM_Data_Entry!$R$3:$R$548,"&lt;&gt;")</f>
        <v/>
      </c>
      <c r="F85" s="134">
        <f>COUNTIFS(LLM_Data_Entry!$A$3:$A$548,$A85,LLM_Data_Entry!$F$3:$F$548,"LLM",LLM_Data_Entry!$R$3:$R$548,"YES")</f>
        <v/>
      </c>
      <c r="G85" s="83">
        <f>IF(E85=0,"-",F85/E85)</f>
        <v/>
      </c>
      <c r="I85">
        <f>A85</f>
        <v/>
      </c>
      <c r="J85" s="135">
        <f>SUMPRODUCT((Human_Data_Entry!$A$3:$A$524=$I85)*(Human_Data_Entry!$H$3:$H$524="Human")*((Human_Data_Entry!$J$3:$J$524="BUY")+(Human_Data_Entry!$J$3:$J$524="SELL"))*ISNUMBER(Human_Data_Entry!$U$3:$U$524))</f>
        <v/>
      </c>
      <c r="K85" s="136">
        <f>IFERROR(AVERAGEIFS(Human_Data_Entry!$U$3:$U$524,Human_Data_Entry!$A$3:$A$524,$I85,Human_Data_Entry!$H$3:$H$524,"Human",Human_Data_Entry!$J$3:$J$524,"&lt;&gt;HOLD",Human_Data_Entry!$U$3:$U$524,"&lt;&gt;"),"")</f>
        <v/>
      </c>
      <c r="L85" s="136">
        <f>IFERROR(SUMIFS(Human_Data_Entry!$U$3:$U$524,Human_Data_Entry!$A$3:$A$524,$I85,Human_Data_Entry!$H$3:$H$524,"Human",Human_Data_Entry!$J$3:$J$524,"&lt;&gt;HOLD"),"")</f>
        <v/>
      </c>
      <c r="M85" s="206">
        <f>COUNTIFS(LLM_Data_Entry!$A$3:$A$548,$I85,LLM_Data_Entry!$F$3:$F$548,"LLM",LLM_Data_Entry!$H$3:$H$548,"&lt;&gt;HOLD",LLM_Data_Entry!$T$3:$T$548,"&lt;&gt;")</f>
        <v/>
      </c>
      <c r="N85" s="136">
        <f>IFERROR(AVERAGEIFS(LLM_Data_Entry!$T$3:$T$548,LLM_Data_Entry!$A$3:$A$548,$I85,LLM_Data_Entry!$F$3:$F$548,"LLM",LLM_Data_Entry!$H$3:$H$548,"&lt;&gt;HOLD",LLM_Data_Entry!$T$3:$T$548,"&lt;&gt;"),"")</f>
        <v/>
      </c>
      <c r="O85" s="136">
        <f>IFERROR(SUMIFS(LLM_Data_Entry!$T$3:$T$548,LLM_Data_Entry!$A$3:$A$548,$I85,LLM_Data_Entry!$F$3:$F$548,"LLM",LLM_Data_Entry!$H$3:$H$548,"&lt;&gt;HOLD"),"")</f>
        <v/>
      </c>
    </row>
    <row r="86" ht="45.95" customHeight="1" s="241">
      <c r="A86" t="inlineStr">
        <is>
          <t>Nestle</t>
        </is>
      </c>
      <c r="B86" s="133">
        <f>COUNTIFS(Human_Data_Entry!$A$3:$A$524,$A86,Human_Data_Entry!$H$3:$H$524,"Human",Human_Data_Entry!$S$3:$S$524,"?*")</f>
        <v/>
      </c>
      <c r="C86" s="133">
        <f>COUNTIFS(Human_Data_Entry!$A$3:$A$524,$A86,Human_Data_Entry!$H$3:$H$524,"Human",Human_Data_Entry!$S$3:$S$524,"YES")</f>
        <v/>
      </c>
      <c r="D86" s="83">
        <f>IF(B86=0,"-",C86/B86)</f>
        <v/>
      </c>
      <c r="E86" s="133">
        <f>COUNTIFS(LLM_Data_Entry!$A$3:$A$548,$A86,LLM_Data_Entry!$F$3:$F$548,"LLM",LLM_Data_Entry!$R$3:$R$548,"&lt;&gt;")</f>
        <v/>
      </c>
      <c r="F86" s="134">
        <f>COUNTIFS(LLM_Data_Entry!$A$3:$A$548,$A86,LLM_Data_Entry!$F$3:$F$548,"LLM",LLM_Data_Entry!$R$3:$R$548,"YES")</f>
        <v/>
      </c>
      <c r="G86" s="83">
        <f>IF(E86=0,"-",F86/E86)</f>
        <v/>
      </c>
      <c r="I86">
        <f>A86</f>
        <v/>
      </c>
      <c r="J86" s="135">
        <f>SUMPRODUCT((Human_Data_Entry!$A$3:$A$524=$I86)*(Human_Data_Entry!$H$3:$H$524="Human")*((Human_Data_Entry!$J$3:$J$524="BUY")+(Human_Data_Entry!$J$3:$J$524="SELL"))*ISNUMBER(Human_Data_Entry!$U$3:$U$524))</f>
        <v/>
      </c>
      <c r="K86" s="136">
        <f>IFERROR(AVERAGEIFS(Human_Data_Entry!$U$3:$U$524,Human_Data_Entry!$A$3:$A$524,$I86,Human_Data_Entry!$H$3:$H$524,"Human",Human_Data_Entry!$J$3:$J$524,"&lt;&gt;HOLD",Human_Data_Entry!$U$3:$U$524,"&lt;&gt;"),"")</f>
        <v/>
      </c>
      <c r="L86" s="136">
        <f>IFERROR(SUMIFS(Human_Data_Entry!$U$3:$U$524,Human_Data_Entry!$A$3:$A$524,$I86,Human_Data_Entry!$H$3:$H$524,"Human",Human_Data_Entry!$J$3:$J$524,"&lt;&gt;HOLD"),"")</f>
        <v/>
      </c>
      <c r="M86" s="206">
        <f>COUNTIFS(LLM_Data_Entry!$A$3:$A$548,$I86,LLM_Data_Entry!$F$3:$F$548,"LLM",LLM_Data_Entry!$H$3:$H$548,"&lt;&gt;HOLD",LLM_Data_Entry!$T$3:$T$548,"&lt;&gt;")</f>
        <v/>
      </c>
      <c r="N86" s="136">
        <f>IFERROR(AVERAGEIFS(LLM_Data_Entry!$T$3:$T$548,LLM_Data_Entry!$A$3:$A$548,$I86,LLM_Data_Entry!$F$3:$F$548,"LLM",LLM_Data_Entry!$H$3:$H$548,"&lt;&gt;HOLD",LLM_Data_Entry!$T$3:$T$548,"&lt;&gt;"),"")</f>
        <v/>
      </c>
      <c r="O86" s="136">
        <f>IFERROR(SUMIFS(LLM_Data_Entry!$T$3:$T$548,LLM_Data_Entry!$A$3:$A$548,$I86,LLM_Data_Entry!$F$3:$F$548,"LLM",LLM_Data_Entry!$H$3:$H$548,"&lt;&gt;HOLD"),"")</f>
        <v/>
      </c>
    </row>
    <row r="87" ht="45.95" customHeight="1" s="241">
      <c r="A87" t="inlineStr">
        <is>
          <t>Oracle</t>
        </is>
      </c>
      <c r="B87" s="133">
        <f>COUNTIFS(Human_Data_Entry!$A$3:$A$524,$A87,Human_Data_Entry!$H$3:$H$524,"Human",Human_Data_Entry!$S$3:$S$524,"?*")</f>
        <v/>
      </c>
      <c r="C87" s="133">
        <f>COUNTIFS(Human_Data_Entry!$A$3:$A$524,$A87,Human_Data_Entry!$H$3:$H$524,"Human",Human_Data_Entry!$S$3:$S$524,"YES")</f>
        <v/>
      </c>
      <c r="D87" s="83">
        <f>IF(B87=0,"-",C87/B87)</f>
        <v/>
      </c>
      <c r="E87" s="133">
        <f>COUNTIFS(LLM_Data_Entry!$A$3:$A$548,$A87,LLM_Data_Entry!$F$3:$F$548,"LLM",LLM_Data_Entry!$R$3:$R$548,"&lt;&gt;")</f>
        <v/>
      </c>
      <c r="F87" s="134">
        <f>COUNTIFS(LLM_Data_Entry!$A$3:$A$548,$A87,LLM_Data_Entry!$F$3:$F$548,"LLM",LLM_Data_Entry!$R$3:$R$548,"YES")</f>
        <v/>
      </c>
      <c r="G87" s="83">
        <f>IF(E87=0,"-",F87/E87)</f>
        <v/>
      </c>
      <c r="I87">
        <f>A87</f>
        <v/>
      </c>
      <c r="J87" s="135">
        <f>SUMPRODUCT((Human_Data_Entry!$A$3:$A$524=$I87)*(Human_Data_Entry!$H$3:$H$524="Human")*((Human_Data_Entry!$J$3:$J$524="BUY")+(Human_Data_Entry!$J$3:$J$524="SELL"))*ISNUMBER(Human_Data_Entry!$U$3:$U$524))</f>
        <v/>
      </c>
      <c r="K87" s="136">
        <f>IFERROR(AVERAGEIFS(Human_Data_Entry!$U$3:$U$524,Human_Data_Entry!$A$3:$A$524,$I87,Human_Data_Entry!$H$3:$H$524,"Human",Human_Data_Entry!$J$3:$J$524,"&lt;&gt;HOLD",Human_Data_Entry!$U$3:$U$524,"&lt;&gt;"),"")</f>
        <v/>
      </c>
      <c r="L87" s="136">
        <f>IFERROR(SUMIFS(Human_Data_Entry!$U$3:$U$524,Human_Data_Entry!$A$3:$A$524,$I87,Human_Data_Entry!$H$3:$H$524,"Human",Human_Data_Entry!$J$3:$J$524,"&lt;&gt;HOLD"),"")</f>
        <v/>
      </c>
      <c r="M87" s="206">
        <f>COUNTIFS(LLM_Data_Entry!$A$3:$A$548,$I87,LLM_Data_Entry!$F$3:$F$548,"LLM",LLM_Data_Entry!$H$3:$H$548,"&lt;&gt;HOLD",LLM_Data_Entry!$T$3:$T$548,"&lt;&gt;")</f>
        <v/>
      </c>
      <c r="N87" s="136">
        <f>IFERROR(AVERAGEIFS(LLM_Data_Entry!$T$3:$T$548,LLM_Data_Entry!$A$3:$A$548,$I87,LLM_Data_Entry!$F$3:$F$548,"LLM",LLM_Data_Entry!$H$3:$H$548,"&lt;&gt;HOLD",LLM_Data_Entry!$T$3:$T$548,"&lt;&gt;"),"")</f>
        <v/>
      </c>
      <c r="O87" s="136">
        <f>IFERROR(SUMIFS(LLM_Data_Entry!$T$3:$T$548,LLM_Data_Entry!$A$3:$A$548,$I87,LLM_Data_Entry!$F$3:$F$548,"LLM",LLM_Data_Entry!$H$3:$H$548,"&lt;&gt;HOLD"),"")</f>
        <v/>
      </c>
    </row>
    <row r="88" ht="45.95" customHeight="1" s="241">
      <c r="A88" t="inlineStr">
        <is>
          <t>Palantir</t>
        </is>
      </c>
      <c r="B88" s="133">
        <f>COUNTIFS(Human_Data_Entry!$A$3:$A$524,$A88,Human_Data_Entry!$H$3:$H$524,"Human",Human_Data_Entry!$S$3:$S$524,"?*")</f>
        <v/>
      </c>
      <c r="C88" s="133">
        <f>COUNTIFS(Human_Data_Entry!$A$3:$A$524,$A88,Human_Data_Entry!$H$3:$H$524,"Human",Human_Data_Entry!$S$3:$S$524,"YES")</f>
        <v/>
      </c>
      <c r="D88" s="83">
        <f>IF(B88=0,"-",C88/B88)</f>
        <v/>
      </c>
      <c r="E88" s="133">
        <f>COUNTIFS(LLM_Data_Entry!$A$3:$A$548,$A88,LLM_Data_Entry!$F$3:$F$548,"LLM",LLM_Data_Entry!$R$3:$R$548,"&lt;&gt;")</f>
        <v/>
      </c>
      <c r="F88" s="134">
        <f>COUNTIFS(LLM_Data_Entry!$A$3:$A$548,$A88,LLM_Data_Entry!$F$3:$F$548,"LLM",LLM_Data_Entry!$R$3:$R$548,"YES")</f>
        <v/>
      </c>
      <c r="G88" s="83">
        <f>IF(E88=0,"-",F88/E88)</f>
        <v/>
      </c>
      <c r="I88">
        <f>A88</f>
        <v/>
      </c>
      <c r="J88" s="135">
        <f>SUMPRODUCT((Human_Data_Entry!$A$3:$A$524=$I88)*(Human_Data_Entry!$H$3:$H$524="Human")*((Human_Data_Entry!$J$3:$J$524="BUY")+(Human_Data_Entry!$J$3:$J$524="SELL"))*ISNUMBER(Human_Data_Entry!$U$3:$U$524))</f>
        <v/>
      </c>
      <c r="K88" s="136">
        <f>IFERROR(AVERAGEIFS(Human_Data_Entry!$U$3:$U$524,Human_Data_Entry!$A$3:$A$524,$I88,Human_Data_Entry!$H$3:$H$524,"Human",Human_Data_Entry!$J$3:$J$524,"&lt;&gt;HOLD",Human_Data_Entry!$U$3:$U$524,"&lt;&gt;"),"")</f>
        <v/>
      </c>
      <c r="L88" s="136">
        <f>IFERROR(SUMIFS(Human_Data_Entry!$U$3:$U$524,Human_Data_Entry!$A$3:$A$524,$I88,Human_Data_Entry!$H$3:$H$524,"Human",Human_Data_Entry!$J$3:$J$524,"&lt;&gt;HOLD"),"")</f>
        <v/>
      </c>
      <c r="M88" s="206">
        <f>COUNTIFS(LLM_Data_Entry!$A$3:$A$548,$I88,LLM_Data_Entry!$F$3:$F$548,"LLM",LLM_Data_Entry!$H$3:$H$548,"&lt;&gt;HOLD",LLM_Data_Entry!$T$3:$T$548,"&lt;&gt;")</f>
        <v/>
      </c>
      <c r="N88" s="136">
        <f>IFERROR(AVERAGEIFS(LLM_Data_Entry!$T$3:$T$548,LLM_Data_Entry!$A$3:$A$548,$I88,LLM_Data_Entry!$F$3:$F$548,"LLM",LLM_Data_Entry!$H$3:$H$548,"&lt;&gt;HOLD",LLM_Data_Entry!$T$3:$T$548,"&lt;&gt;"),"")</f>
        <v/>
      </c>
      <c r="O88" s="136">
        <f>IFERROR(SUMIFS(LLM_Data_Entry!$T$3:$T$548,LLM_Data_Entry!$A$3:$A$548,$I88,LLM_Data_Entry!$F$3:$F$548,"LLM",LLM_Data_Entry!$H$3:$H$548,"&lt;&gt;HOLD"),"")</f>
        <v/>
      </c>
    </row>
    <row r="89" ht="45.95" customHeight="1" s="241">
      <c r="A89" t="inlineStr">
        <is>
          <t>Paypal</t>
        </is>
      </c>
      <c r="B89" s="133">
        <f>COUNTIFS(Human_Data_Entry!$A$3:$A$524,$A89,Human_Data_Entry!$H$3:$H$524,"Human",Human_Data_Entry!$S$3:$S$524,"?*")</f>
        <v/>
      </c>
      <c r="C89" s="133">
        <f>COUNTIFS(Human_Data_Entry!$A$3:$A$524,$A89,Human_Data_Entry!$H$3:$H$524,"Human",Human_Data_Entry!$S$3:$S$524,"YES")</f>
        <v/>
      </c>
      <c r="D89" s="83">
        <f>IF(B89=0,"-",C89/B89)</f>
        <v/>
      </c>
      <c r="E89" s="133">
        <f>COUNTIFS(LLM_Data_Entry!$A$3:$A$548,$A89,LLM_Data_Entry!$F$3:$F$548,"LLM",LLM_Data_Entry!$R$3:$R$548,"&lt;&gt;")</f>
        <v/>
      </c>
      <c r="F89" s="134">
        <f>COUNTIFS(LLM_Data_Entry!$A$3:$A$548,$A89,LLM_Data_Entry!$F$3:$F$548,"LLM",LLM_Data_Entry!$R$3:$R$548,"YES")</f>
        <v/>
      </c>
      <c r="G89" s="83">
        <f>IF(E89=0,"-",F89/E89)</f>
        <v/>
      </c>
      <c r="I89">
        <f>A89</f>
        <v/>
      </c>
      <c r="J89" s="135">
        <f>SUMPRODUCT((Human_Data_Entry!$A$3:$A$524=$I89)*(Human_Data_Entry!$H$3:$H$524="Human")*((Human_Data_Entry!$J$3:$J$524="BUY")+(Human_Data_Entry!$J$3:$J$524="SELL"))*ISNUMBER(Human_Data_Entry!$U$3:$U$524))</f>
        <v/>
      </c>
      <c r="K89" s="136">
        <f>IFERROR(AVERAGEIFS(Human_Data_Entry!$U$3:$U$524,Human_Data_Entry!$A$3:$A$524,$I89,Human_Data_Entry!$H$3:$H$524,"Human",Human_Data_Entry!$J$3:$J$524,"&lt;&gt;HOLD",Human_Data_Entry!$U$3:$U$524,"&lt;&gt;"),"")</f>
        <v/>
      </c>
      <c r="L89" s="136">
        <f>IFERROR(SUMIFS(Human_Data_Entry!$U$3:$U$524,Human_Data_Entry!$A$3:$A$524,$I89,Human_Data_Entry!$H$3:$H$524,"Human",Human_Data_Entry!$J$3:$J$524,"&lt;&gt;HOLD"),"")</f>
        <v/>
      </c>
      <c r="M89" s="206">
        <f>COUNTIFS(LLM_Data_Entry!$A$3:$A$548,$I89,LLM_Data_Entry!$F$3:$F$548,"LLM",LLM_Data_Entry!$H$3:$H$548,"&lt;&gt;HOLD",LLM_Data_Entry!$T$3:$T$548,"&lt;&gt;")</f>
        <v/>
      </c>
      <c r="N89" s="136">
        <f>IFERROR(AVERAGEIFS(LLM_Data_Entry!$T$3:$T$548,LLM_Data_Entry!$A$3:$A$548,$I89,LLM_Data_Entry!$F$3:$F$548,"LLM",LLM_Data_Entry!$H$3:$H$548,"&lt;&gt;HOLD",LLM_Data_Entry!$T$3:$T$548,"&lt;&gt;"),"")</f>
        <v/>
      </c>
      <c r="O89" s="136">
        <f>IFERROR(SUMIFS(LLM_Data_Entry!$T$3:$T$548,LLM_Data_Entry!$A$3:$A$548,$I89,LLM_Data_Entry!$F$3:$F$548,"LLM",LLM_Data_Entry!$H$3:$H$548,"&lt;&gt;HOLD"),"")</f>
        <v/>
      </c>
    </row>
    <row r="90" ht="45.95" customHeight="1" s="241">
      <c r="A90" t="inlineStr">
        <is>
          <t>Pinterest</t>
        </is>
      </c>
      <c r="B90" s="133">
        <f>COUNTIFS(Human_Data_Entry!$A$3:$A$524,$A90,Human_Data_Entry!$H$3:$H$524,"Human",Human_Data_Entry!$S$3:$S$524,"?*")</f>
        <v/>
      </c>
      <c r="C90" s="133">
        <f>COUNTIFS(Human_Data_Entry!$A$3:$A$524,$A90,Human_Data_Entry!$H$3:$H$524,"Human",Human_Data_Entry!$S$3:$S$524,"YES")</f>
        <v/>
      </c>
      <c r="D90" s="83">
        <f>IF(B90=0,"-",C90/B90)</f>
        <v/>
      </c>
      <c r="E90" s="133">
        <f>COUNTIFS(LLM_Data_Entry!$A$3:$A$548,$A90,LLM_Data_Entry!$F$3:$F$548,"LLM",LLM_Data_Entry!$R$3:$R$548,"&lt;&gt;")</f>
        <v/>
      </c>
      <c r="F90" s="134">
        <f>COUNTIFS(LLM_Data_Entry!$A$3:$A$548,$A90,LLM_Data_Entry!$F$3:$F$548,"LLM",LLM_Data_Entry!$R$3:$R$548,"YES")</f>
        <v/>
      </c>
      <c r="G90" s="83">
        <f>IF(E90=0,"-",F90/E90)</f>
        <v/>
      </c>
      <c r="I90">
        <f>A90</f>
        <v/>
      </c>
      <c r="J90" s="135">
        <f>SUMPRODUCT((Human_Data_Entry!$A$3:$A$524=$I90)*(Human_Data_Entry!$H$3:$H$524="Human")*((Human_Data_Entry!$J$3:$J$524="BUY")+(Human_Data_Entry!$J$3:$J$524="SELL"))*ISNUMBER(Human_Data_Entry!$U$3:$U$524))</f>
        <v/>
      </c>
      <c r="K90" s="136">
        <f>IFERROR(AVERAGEIFS(Human_Data_Entry!$U$3:$U$524,Human_Data_Entry!$A$3:$A$524,$I90,Human_Data_Entry!$H$3:$H$524,"Human",Human_Data_Entry!$J$3:$J$524,"&lt;&gt;HOLD",Human_Data_Entry!$U$3:$U$524,"&lt;&gt;"),"")</f>
        <v/>
      </c>
      <c r="L90" s="136">
        <f>IFERROR(SUMIFS(Human_Data_Entry!$U$3:$U$524,Human_Data_Entry!$A$3:$A$524,$I90,Human_Data_Entry!$H$3:$H$524,"Human",Human_Data_Entry!$J$3:$J$524,"&lt;&gt;HOLD"),"")</f>
        <v/>
      </c>
      <c r="M90" s="206">
        <f>COUNTIFS(LLM_Data_Entry!$A$3:$A$548,$I90,LLM_Data_Entry!$F$3:$F$548,"LLM",LLM_Data_Entry!$H$3:$H$548,"&lt;&gt;HOLD",LLM_Data_Entry!$T$3:$T$548,"&lt;&gt;")</f>
        <v/>
      </c>
      <c r="N90" s="136">
        <f>IFERROR(AVERAGEIFS(LLM_Data_Entry!$T$3:$T$548,LLM_Data_Entry!$A$3:$A$548,$I90,LLM_Data_Entry!$F$3:$F$548,"LLM",LLM_Data_Entry!$H$3:$H$548,"&lt;&gt;HOLD",LLM_Data_Entry!$T$3:$T$548,"&lt;&gt;"),"")</f>
        <v/>
      </c>
      <c r="O90" s="136">
        <f>IFERROR(SUMIFS(LLM_Data_Entry!$T$3:$T$548,LLM_Data_Entry!$A$3:$A$548,$I90,LLM_Data_Entry!$F$3:$F$548,"LLM",LLM_Data_Entry!$H$3:$H$548,"&lt;&gt;HOLD"),"")</f>
        <v/>
      </c>
    </row>
    <row r="91" ht="45.95" customHeight="1" s="241">
      <c r="A91" t="inlineStr">
        <is>
          <t>Robinhood Markets</t>
        </is>
      </c>
      <c r="B91" s="133">
        <f>COUNTIFS(Human_Data_Entry!$A$3:$A$524,$A91,Human_Data_Entry!$H$3:$H$524,"Human",Human_Data_Entry!$S$3:$S$524,"?*")</f>
        <v/>
      </c>
      <c r="C91" s="133">
        <f>COUNTIFS(Human_Data_Entry!$A$3:$A$524,$A91,Human_Data_Entry!$H$3:$H$524,"Human",Human_Data_Entry!$S$3:$S$524,"YES")</f>
        <v/>
      </c>
      <c r="D91" s="83">
        <f>IF(B91=0,"-",C91/B91)</f>
        <v/>
      </c>
      <c r="E91" s="133">
        <f>COUNTIFS(LLM_Data_Entry!$A$3:$A$548,$A91,LLM_Data_Entry!$F$3:$F$548,"LLM",LLM_Data_Entry!$R$3:$R$548,"&lt;&gt;")</f>
        <v/>
      </c>
      <c r="F91" s="134">
        <f>COUNTIFS(LLM_Data_Entry!$A$3:$A$548,$A91,LLM_Data_Entry!$F$3:$F$548,"LLM",LLM_Data_Entry!$R$3:$R$548,"YES")</f>
        <v/>
      </c>
      <c r="G91" s="83">
        <f>IF(E91=0,"-",F91/E91)</f>
        <v/>
      </c>
      <c r="I91">
        <f>A91</f>
        <v/>
      </c>
      <c r="J91" s="135">
        <f>SUMPRODUCT((Human_Data_Entry!$A$3:$A$524=$I91)*(Human_Data_Entry!$H$3:$H$524="Human")*((Human_Data_Entry!$J$3:$J$524="BUY")+(Human_Data_Entry!$J$3:$J$524="SELL"))*ISNUMBER(Human_Data_Entry!$U$3:$U$524))</f>
        <v/>
      </c>
      <c r="K91" s="136">
        <f>IFERROR(AVERAGEIFS(Human_Data_Entry!$U$3:$U$524,Human_Data_Entry!$A$3:$A$524,$I91,Human_Data_Entry!$H$3:$H$524,"Human",Human_Data_Entry!$J$3:$J$524,"&lt;&gt;HOLD",Human_Data_Entry!$U$3:$U$524,"&lt;&gt;"),"")</f>
        <v/>
      </c>
      <c r="L91" s="136">
        <f>IFERROR(SUMIFS(Human_Data_Entry!$U$3:$U$524,Human_Data_Entry!$A$3:$A$524,$I91,Human_Data_Entry!$H$3:$H$524,"Human",Human_Data_Entry!$J$3:$J$524,"&lt;&gt;HOLD"),"")</f>
        <v/>
      </c>
      <c r="M91" s="206">
        <f>COUNTIFS(LLM_Data_Entry!$A$3:$A$548,$I91,LLM_Data_Entry!$F$3:$F$548,"LLM",LLM_Data_Entry!$H$3:$H$548,"&lt;&gt;HOLD",LLM_Data_Entry!$T$3:$T$548,"&lt;&gt;")</f>
        <v/>
      </c>
      <c r="N91" s="136">
        <f>IFERROR(AVERAGEIFS(LLM_Data_Entry!$T$3:$T$548,LLM_Data_Entry!$A$3:$A$548,$I91,LLM_Data_Entry!$F$3:$F$548,"LLM",LLM_Data_Entry!$H$3:$H$548,"&lt;&gt;HOLD",LLM_Data_Entry!$T$3:$T$548,"&lt;&gt;"),"")</f>
        <v/>
      </c>
      <c r="O91" s="136">
        <f>IFERROR(SUMIFS(LLM_Data_Entry!$T$3:$T$548,LLM_Data_Entry!$A$3:$A$548,$I91,LLM_Data_Entry!$F$3:$F$548,"LLM",LLM_Data_Entry!$H$3:$H$548,"&lt;&gt;HOLD"),"")</f>
        <v/>
      </c>
    </row>
    <row r="92" ht="45.95" customHeight="1" s="241">
      <c r="A92" t="inlineStr">
        <is>
          <t>Salesforce</t>
        </is>
      </c>
      <c r="B92" s="133">
        <f>COUNTIFS(Human_Data_Entry!$A$3:$A$524,$A92,Human_Data_Entry!$H$3:$H$524,"Human",Human_Data_Entry!$S$3:$S$524,"?*")</f>
        <v/>
      </c>
      <c r="C92" s="133">
        <f>COUNTIFS(Human_Data_Entry!$A$3:$A$524,$A92,Human_Data_Entry!$H$3:$H$524,"Human",Human_Data_Entry!$S$3:$S$524,"YES")</f>
        <v/>
      </c>
      <c r="D92" s="83">
        <f>IF(B92=0,"-",C92/B92)</f>
        <v/>
      </c>
      <c r="E92" s="133">
        <f>COUNTIFS(LLM_Data_Entry!$A$3:$A$548,$A92,LLM_Data_Entry!$F$3:$F$548,"LLM",LLM_Data_Entry!$R$3:$R$548,"&lt;&gt;")</f>
        <v/>
      </c>
      <c r="F92" s="134">
        <f>COUNTIFS(LLM_Data_Entry!$A$3:$A$548,$A92,LLM_Data_Entry!$F$3:$F$548,"LLM",LLM_Data_Entry!$R$3:$R$548,"YES")</f>
        <v/>
      </c>
      <c r="G92" s="83">
        <f>IF(E92=0,"-",F92/E92)</f>
        <v/>
      </c>
      <c r="I92">
        <f>A92</f>
        <v/>
      </c>
      <c r="J92" s="135">
        <f>SUMPRODUCT((Human_Data_Entry!$A$3:$A$524=$I92)*(Human_Data_Entry!$H$3:$H$524="Human")*((Human_Data_Entry!$J$3:$J$524="BUY")+(Human_Data_Entry!$J$3:$J$524="SELL"))*ISNUMBER(Human_Data_Entry!$U$3:$U$524))</f>
        <v/>
      </c>
      <c r="K92" s="136">
        <f>IFERROR(AVERAGEIFS(Human_Data_Entry!$U$3:$U$524,Human_Data_Entry!$A$3:$A$524,$I92,Human_Data_Entry!$H$3:$H$524,"Human",Human_Data_Entry!$J$3:$J$524,"&lt;&gt;HOLD",Human_Data_Entry!$U$3:$U$524,"&lt;&gt;"),"")</f>
        <v/>
      </c>
      <c r="L92" s="136">
        <f>IFERROR(SUMIFS(Human_Data_Entry!$U$3:$U$524,Human_Data_Entry!$A$3:$A$524,$I92,Human_Data_Entry!$H$3:$H$524,"Human",Human_Data_Entry!$J$3:$J$524,"&lt;&gt;HOLD"),"")</f>
        <v/>
      </c>
      <c r="M92" s="206">
        <f>COUNTIFS(LLM_Data_Entry!$A$3:$A$548,$I92,LLM_Data_Entry!$F$3:$F$548,"LLM",LLM_Data_Entry!$H$3:$H$548,"&lt;&gt;HOLD",LLM_Data_Entry!$T$3:$T$548,"&lt;&gt;")</f>
        <v/>
      </c>
      <c r="N92" s="136">
        <f>IFERROR(AVERAGEIFS(LLM_Data_Entry!$T$3:$T$548,LLM_Data_Entry!$A$3:$A$548,$I92,LLM_Data_Entry!$F$3:$F$548,"LLM",LLM_Data_Entry!$H$3:$H$548,"&lt;&gt;HOLD",LLM_Data_Entry!$T$3:$T$548,"&lt;&gt;"),"")</f>
        <v/>
      </c>
      <c r="O92" s="136">
        <f>IFERROR(SUMIFS(LLM_Data_Entry!$T$3:$T$548,LLM_Data_Entry!$A$3:$A$548,$I92,LLM_Data_Entry!$F$3:$F$548,"LLM",LLM_Data_Entry!$H$3:$H$548,"&lt;&gt;HOLD"),"")</f>
        <v/>
      </c>
    </row>
    <row r="93" ht="45.95" customHeight="1" s="241">
      <c r="A93" t="inlineStr">
        <is>
          <t>Shopify</t>
        </is>
      </c>
      <c r="B93" s="133">
        <f>COUNTIFS(Human_Data_Entry!$A$3:$A$524,$A93,Human_Data_Entry!$H$3:$H$524,"Human",Human_Data_Entry!$S$3:$S$524,"?*")</f>
        <v/>
      </c>
      <c r="C93" s="133">
        <f>COUNTIFS(Human_Data_Entry!$A$3:$A$524,$A93,Human_Data_Entry!$H$3:$H$524,"Human",Human_Data_Entry!$S$3:$S$524,"YES")</f>
        <v/>
      </c>
      <c r="D93" s="83">
        <f>IF(B93=0,"-",C93/B93)</f>
        <v/>
      </c>
      <c r="E93" s="133">
        <f>COUNTIFS(LLM_Data_Entry!$A$3:$A$548,$A93,LLM_Data_Entry!$F$3:$F$548,"LLM",LLM_Data_Entry!$R$3:$R$548,"&lt;&gt;")</f>
        <v/>
      </c>
      <c r="F93" s="134">
        <f>COUNTIFS(LLM_Data_Entry!$A$3:$A$548,$A93,LLM_Data_Entry!$F$3:$F$548,"LLM",LLM_Data_Entry!$R$3:$R$548,"YES")</f>
        <v/>
      </c>
      <c r="G93" s="83">
        <f>IF(E93=0,"-",F93/E93)</f>
        <v/>
      </c>
      <c r="I93">
        <f>A93</f>
        <v/>
      </c>
      <c r="J93" s="135">
        <f>SUMPRODUCT((Human_Data_Entry!$A$3:$A$524=$I93)*(Human_Data_Entry!$H$3:$H$524="Human")*((Human_Data_Entry!$J$3:$J$524="BUY")+(Human_Data_Entry!$J$3:$J$524="SELL"))*ISNUMBER(Human_Data_Entry!$U$3:$U$524))</f>
        <v/>
      </c>
      <c r="K93" s="136">
        <f>IFERROR(AVERAGEIFS(Human_Data_Entry!$U$3:$U$524,Human_Data_Entry!$A$3:$A$524,$I93,Human_Data_Entry!$H$3:$H$524,"Human",Human_Data_Entry!$J$3:$J$524,"&lt;&gt;HOLD",Human_Data_Entry!$U$3:$U$524,"&lt;&gt;"),"")</f>
        <v/>
      </c>
      <c r="L93" s="136">
        <f>IFERROR(SUMIFS(Human_Data_Entry!$U$3:$U$524,Human_Data_Entry!$A$3:$A$524,$I93,Human_Data_Entry!$H$3:$H$524,"Human",Human_Data_Entry!$J$3:$J$524,"&lt;&gt;HOLD"),"")</f>
        <v/>
      </c>
      <c r="M93" s="206">
        <f>COUNTIFS(LLM_Data_Entry!$A$3:$A$548,$I93,LLM_Data_Entry!$F$3:$F$548,"LLM",LLM_Data_Entry!$H$3:$H$548,"&lt;&gt;HOLD",LLM_Data_Entry!$T$3:$T$548,"&lt;&gt;")</f>
        <v/>
      </c>
      <c r="N93" s="136">
        <f>IFERROR(AVERAGEIFS(LLM_Data_Entry!$T$3:$T$548,LLM_Data_Entry!$A$3:$A$548,$I93,LLM_Data_Entry!$F$3:$F$548,"LLM",LLM_Data_Entry!$H$3:$H$548,"&lt;&gt;HOLD",LLM_Data_Entry!$T$3:$T$548,"&lt;&gt;"),"")</f>
        <v/>
      </c>
      <c r="O93" s="136">
        <f>IFERROR(SUMIFS(LLM_Data_Entry!$T$3:$T$548,LLM_Data_Entry!$A$3:$A$548,$I93,LLM_Data_Entry!$F$3:$F$548,"LLM",LLM_Data_Entry!$H$3:$H$548,"&lt;&gt;HOLD"),"")</f>
        <v/>
      </c>
    </row>
    <row r="94" ht="45.95" customHeight="1" s="241">
      <c r="A94" t="inlineStr">
        <is>
          <t>Siemens</t>
        </is>
      </c>
      <c r="B94" s="133">
        <f>COUNTIFS(Human_Data_Entry!$A$3:$A$524,$A94,Human_Data_Entry!$H$3:$H$524,"Human",Human_Data_Entry!$S$3:$S$524,"?*")</f>
        <v/>
      </c>
      <c r="C94" s="133">
        <f>COUNTIFS(Human_Data_Entry!$A$3:$A$524,$A94,Human_Data_Entry!$H$3:$H$524,"Human",Human_Data_Entry!$S$3:$S$524,"YES")</f>
        <v/>
      </c>
      <c r="D94" s="83">
        <f>IF(B94=0,"-",C94/B94)</f>
        <v/>
      </c>
      <c r="E94" s="133">
        <f>COUNTIFS(LLM_Data_Entry!$A$3:$A$548,$A94,LLM_Data_Entry!$F$3:$F$548,"LLM",LLM_Data_Entry!$R$3:$R$548,"&lt;&gt;")</f>
        <v/>
      </c>
      <c r="F94" s="134">
        <f>COUNTIFS(LLM_Data_Entry!$A$3:$A$548,$A94,LLM_Data_Entry!$F$3:$F$548,"LLM",LLM_Data_Entry!$R$3:$R$548,"YES")</f>
        <v/>
      </c>
      <c r="G94" s="83">
        <f>IF(E94=0,"-",F94/E94)</f>
        <v/>
      </c>
      <c r="I94">
        <f>A94</f>
        <v/>
      </c>
      <c r="J94" s="135">
        <f>SUMPRODUCT((Human_Data_Entry!$A$3:$A$524=$I94)*(Human_Data_Entry!$H$3:$H$524="Human")*((Human_Data_Entry!$J$3:$J$524="BUY")+(Human_Data_Entry!$J$3:$J$524="SELL"))*ISNUMBER(Human_Data_Entry!$U$3:$U$524))</f>
        <v/>
      </c>
      <c r="K94" s="136">
        <f>IFERROR(AVERAGEIFS(Human_Data_Entry!$U$3:$U$524,Human_Data_Entry!$A$3:$A$524,$I94,Human_Data_Entry!$H$3:$H$524,"Human",Human_Data_Entry!$J$3:$J$524,"&lt;&gt;HOLD",Human_Data_Entry!$U$3:$U$524,"&lt;&gt;"),"")</f>
        <v/>
      </c>
      <c r="L94" s="136">
        <f>IFERROR(SUMIFS(Human_Data_Entry!$U$3:$U$524,Human_Data_Entry!$A$3:$A$524,$I94,Human_Data_Entry!$H$3:$H$524,"Human",Human_Data_Entry!$J$3:$J$524,"&lt;&gt;HOLD"),"")</f>
        <v/>
      </c>
      <c r="M94" s="206">
        <f>COUNTIFS(LLM_Data_Entry!$A$3:$A$548,$I94,LLM_Data_Entry!$F$3:$F$548,"LLM",LLM_Data_Entry!$H$3:$H$548,"&lt;&gt;HOLD",LLM_Data_Entry!$T$3:$T$548,"&lt;&gt;")</f>
        <v/>
      </c>
      <c r="N94" s="136">
        <f>IFERROR(AVERAGEIFS(LLM_Data_Entry!$T$3:$T$548,LLM_Data_Entry!$A$3:$A$548,$I94,LLM_Data_Entry!$F$3:$F$548,"LLM",LLM_Data_Entry!$H$3:$H$548,"&lt;&gt;HOLD",LLM_Data_Entry!$T$3:$T$548,"&lt;&gt;"),"")</f>
        <v/>
      </c>
      <c r="O94" s="136">
        <f>IFERROR(SUMIFS(LLM_Data_Entry!$T$3:$T$548,LLM_Data_Entry!$A$3:$A$548,$I94,LLM_Data_Entry!$F$3:$F$548,"LLM",LLM_Data_Entry!$H$3:$H$548,"&lt;&gt;HOLD"),"")</f>
        <v/>
      </c>
    </row>
    <row r="95" ht="45.95" customHeight="1" s="241">
      <c r="A95" t="inlineStr">
        <is>
          <t>Sony</t>
        </is>
      </c>
      <c r="B95" s="133">
        <f>COUNTIFS(Human_Data_Entry!$A$3:$A$524,$A95,Human_Data_Entry!$H$3:$H$524,"Human",Human_Data_Entry!$S$3:$S$524,"?*")</f>
        <v/>
      </c>
      <c r="C95" s="133">
        <f>COUNTIFS(Human_Data_Entry!$A$3:$A$524,$A95,Human_Data_Entry!$H$3:$H$524,"Human",Human_Data_Entry!$S$3:$S$524,"YES")</f>
        <v/>
      </c>
      <c r="D95" s="83">
        <f>IF(B95=0,"-",C95/B95)</f>
        <v/>
      </c>
      <c r="E95" s="133">
        <f>COUNTIFS(LLM_Data_Entry!$A$3:$A$548,$A95,LLM_Data_Entry!$F$3:$F$548,"LLM",LLM_Data_Entry!$R$3:$R$548,"&lt;&gt;")</f>
        <v/>
      </c>
      <c r="F95" s="134">
        <f>COUNTIFS(LLM_Data_Entry!$A$3:$A$548,$A95,LLM_Data_Entry!$F$3:$F$548,"LLM",LLM_Data_Entry!$R$3:$R$548,"YES")</f>
        <v/>
      </c>
      <c r="G95" s="83">
        <f>IF(E95=0,"-",F95/E95)</f>
        <v/>
      </c>
      <c r="I95">
        <f>A95</f>
        <v/>
      </c>
      <c r="J95" s="135">
        <f>SUMPRODUCT((Human_Data_Entry!$A$3:$A$524=$I95)*(Human_Data_Entry!$H$3:$H$524="Human")*((Human_Data_Entry!$J$3:$J$524="BUY")+(Human_Data_Entry!$J$3:$J$524="SELL"))*ISNUMBER(Human_Data_Entry!$U$3:$U$524))</f>
        <v/>
      </c>
      <c r="K95" s="136">
        <f>IFERROR(AVERAGEIFS(Human_Data_Entry!$U$3:$U$524,Human_Data_Entry!$A$3:$A$524,$I95,Human_Data_Entry!$H$3:$H$524,"Human",Human_Data_Entry!$J$3:$J$524,"&lt;&gt;HOLD",Human_Data_Entry!$U$3:$U$524,"&lt;&gt;"),"")</f>
        <v/>
      </c>
      <c r="L95" s="136">
        <f>IFERROR(SUMIFS(Human_Data_Entry!$U$3:$U$524,Human_Data_Entry!$A$3:$A$524,$I95,Human_Data_Entry!$H$3:$H$524,"Human",Human_Data_Entry!$J$3:$J$524,"&lt;&gt;HOLD"),"")</f>
        <v/>
      </c>
      <c r="M95" s="206">
        <f>COUNTIFS(LLM_Data_Entry!$A$3:$A$548,$I95,LLM_Data_Entry!$F$3:$F$548,"LLM",LLM_Data_Entry!$H$3:$H$548,"&lt;&gt;HOLD",LLM_Data_Entry!$T$3:$T$548,"&lt;&gt;")</f>
        <v/>
      </c>
      <c r="N95" s="136">
        <f>IFERROR(AVERAGEIFS(LLM_Data_Entry!$T$3:$T$548,LLM_Data_Entry!$A$3:$A$548,$I95,LLM_Data_Entry!$F$3:$F$548,"LLM",LLM_Data_Entry!$H$3:$H$548,"&lt;&gt;HOLD",LLM_Data_Entry!$T$3:$T$548,"&lt;&gt;"),"")</f>
        <v/>
      </c>
      <c r="O95" s="136">
        <f>IFERROR(SUMIFS(LLM_Data_Entry!$T$3:$T$548,LLM_Data_Entry!$A$3:$A$548,$I95,LLM_Data_Entry!$F$3:$F$548,"LLM",LLM_Data_Entry!$H$3:$H$548,"&lt;&gt;HOLD"),"")</f>
        <v/>
      </c>
    </row>
    <row r="96" ht="45.95" customHeight="1" s="241">
      <c r="A96" t="inlineStr">
        <is>
          <t>Spotify</t>
        </is>
      </c>
      <c r="B96" s="133">
        <f>COUNTIFS(Human_Data_Entry!$A$3:$A$524,$A96,Human_Data_Entry!$H$3:$H$524,"Human",Human_Data_Entry!$S$3:$S$524,"?*")</f>
        <v/>
      </c>
      <c r="C96" s="133">
        <f>COUNTIFS(Human_Data_Entry!$A$3:$A$524,$A96,Human_Data_Entry!$H$3:$H$524,"Human",Human_Data_Entry!$S$3:$S$524,"YES")</f>
        <v/>
      </c>
      <c r="D96" s="83">
        <f>IF(B96=0,"-",C96/B96)</f>
        <v/>
      </c>
      <c r="E96" s="133">
        <f>COUNTIFS(LLM_Data_Entry!$A$3:$A$548,$A96,LLM_Data_Entry!$F$3:$F$548,"LLM",LLM_Data_Entry!$R$3:$R$548,"&lt;&gt;")</f>
        <v/>
      </c>
      <c r="F96" s="134">
        <f>COUNTIFS(LLM_Data_Entry!$A$3:$A$548,$A96,LLM_Data_Entry!$F$3:$F$548,"LLM",LLM_Data_Entry!$R$3:$R$548,"YES")</f>
        <v/>
      </c>
      <c r="G96" s="83">
        <f>IF(E96=0,"-",F96/E96)</f>
        <v/>
      </c>
      <c r="I96">
        <f>A96</f>
        <v/>
      </c>
      <c r="J96" s="135">
        <f>SUMPRODUCT((Human_Data_Entry!$A$3:$A$524=$I96)*(Human_Data_Entry!$H$3:$H$524="Human")*((Human_Data_Entry!$J$3:$J$524="BUY")+(Human_Data_Entry!$J$3:$J$524="SELL"))*ISNUMBER(Human_Data_Entry!$U$3:$U$524))</f>
        <v/>
      </c>
      <c r="K96" s="136">
        <f>IFERROR(AVERAGEIFS(Human_Data_Entry!$U$3:$U$524,Human_Data_Entry!$A$3:$A$524,$I96,Human_Data_Entry!$H$3:$H$524,"Human",Human_Data_Entry!$J$3:$J$524,"&lt;&gt;HOLD",Human_Data_Entry!$U$3:$U$524,"&lt;&gt;"),"")</f>
        <v/>
      </c>
      <c r="L96" s="136">
        <f>IFERROR(SUMIFS(Human_Data_Entry!$U$3:$U$524,Human_Data_Entry!$A$3:$A$524,$I96,Human_Data_Entry!$H$3:$H$524,"Human",Human_Data_Entry!$J$3:$J$524,"&lt;&gt;HOLD"),"")</f>
        <v/>
      </c>
      <c r="M96" s="206">
        <f>COUNTIFS(LLM_Data_Entry!$A$3:$A$548,$I96,LLM_Data_Entry!$F$3:$F$548,"LLM",LLM_Data_Entry!$H$3:$H$548,"&lt;&gt;HOLD",LLM_Data_Entry!$T$3:$T$548,"&lt;&gt;")</f>
        <v/>
      </c>
      <c r="N96" s="136">
        <f>IFERROR(AVERAGEIFS(LLM_Data_Entry!$T$3:$T$548,LLM_Data_Entry!$A$3:$A$548,$I96,LLM_Data_Entry!$F$3:$F$548,"LLM",LLM_Data_Entry!$H$3:$H$548,"&lt;&gt;HOLD",LLM_Data_Entry!$T$3:$T$548,"&lt;&gt;"),"")</f>
        <v/>
      </c>
      <c r="O96" s="136">
        <f>IFERROR(SUMIFS(LLM_Data_Entry!$T$3:$T$548,LLM_Data_Entry!$A$3:$A$548,$I96,LLM_Data_Entry!$F$3:$F$548,"LLM",LLM_Data_Entry!$H$3:$H$548,"&lt;&gt;HOLD"),"")</f>
        <v/>
      </c>
    </row>
    <row r="97" ht="45.95" customHeight="1" s="241">
      <c r="A97" t="inlineStr">
        <is>
          <t>Standard Chartered</t>
        </is>
      </c>
      <c r="B97" s="133">
        <f>COUNTIFS(Human_Data_Entry!$A$3:$A$524,$A97,Human_Data_Entry!$H$3:$H$524,"Human",Human_Data_Entry!$S$3:$S$524,"?*")</f>
        <v/>
      </c>
      <c r="C97" s="133">
        <f>COUNTIFS(Human_Data_Entry!$A$3:$A$524,$A97,Human_Data_Entry!$H$3:$H$524,"Human",Human_Data_Entry!$S$3:$S$524,"YES")</f>
        <v/>
      </c>
      <c r="D97" s="83">
        <f>IF(B97=0,"-",C97/B97)</f>
        <v/>
      </c>
      <c r="E97" s="133">
        <f>COUNTIFS(LLM_Data_Entry!$A$3:$A$548,$A97,LLM_Data_Entry!$F$3:$F$548,"LLM",LLM_Data_Entry!$R$3:$R$548,"&lt;&gt;")</f>
        <v/>
      </c>
      <c r="F97" s="134">
        <f>COUNTIFS(LLM_Data_Entry!$A$3:$A$548,$A97,LLM_Data_Entry!$F$3:$F$548,"LLM",LLM_Data_Entry!$R$3:$R$548,"YES")</f>
        <v/>
      </c>
      <c r="G97" s="83">
        <f>IF(E97=0,"-",F97/E97)</f>
        <v/>
      </c>
      <c r="I97">
        <f>A97</f>
        <v/>
      </c>
      <c r="J97" s="135">
        <f>SUMPRODUCT((Human_Data_Entry!$A$3:$A$524=$I97)*(Human_Data_Entry!$H$3:$H$524="Human")*((Human_Data_Entry!$J$3:$J$524="BUY")+(Human_Data_Entry!$J$3:$J$524="SELL"))*ISNUMBER(Human_Data_Entry!$U$3:$U$524))</f>
        <v/>
      </c>
      <c r="K97" s="136">
        <f>IFERROR(AVERAGEIFS(Human_Data_Entry!$U$3:$U$524,Human_Data_Entry!$A$3:$A$524,$I97,Human_Data_Entry!$H$3:$H$524,"Human",Human_Data_Entry!$J$3:$J$524,"&lt;&gt;HOLD",Human_Data_Entry!$U$3:$U$524,"&lt;&gt;"),"")</f>
        <v/>
      </c>
      <c r="L97" s="136">
        <f>IFERROR(SUMIFS(Human_Data_Entry!$U$3:$U$524,Human_Data_Entry!$A$3:$A$524,$I97,Human_Data_Entry!$H$3:$H$524,"Human",Human_Data_Entry!$J$3:$J$524,"&lt;&gt;HOLD"),"")</f>
        <v/>
      </c>
      <c r="M97" s="206">
        <f>COUNTIFS(LLM_Data_Entry!$A$3:$A$548,$I97,LLM_Data_Entry!$F$3:$F$548,"LLM",LLM_Data_Entry!$H$3:$H$548,"&lt;&gt;HOLD",LLM_Data_Entry!$T$3:$T$548,"&lt;&gt;")</f>
        <v/>
      </c>
      <c r="N97" s="136">
        <f>IFERROR(AVERAGEIFS(LLM_Data_Entry!$T$3:$T$548,LLM_Data_Entry!$A$3:$A$548,$I97,LLM_Data_Entry!$F$3:$F$548,"LLM",LLM_Data_Entry!$H$3:$H$548,"&lt;&gt;HOLD",LLM_Data_Entry!$T$3:$T$548,"&lt;&gt;"),"")</f>
        <v/>
      </c>
      <c r="O97" s="136">
        <f>IFERROR(SUMIFS(LLM_Data_Entry!$T$3:$T$548,LLM_Data_Entry!$A$3:$A$548,$I97,LLM_Data_Entry!$F$3:$F$548,"LLM",LLM_Data_Entry!$H$3:$H$548,"&lt;&gt;HOLD"),"")</f>
        <v/>
      </c>
    </row>
    <row r="98" ht="45.95" customHeight="1" s="241">
      <c r="A98" t="inlineStr">
        <is>
          <t>Tesla</t>
        </is>
      </c>
      <c r="B98" s="133">
        <f>COUNTIFS(Human_Data_Entry!$A$3:$A$524,$A98,Human_Data_Entry!$H$3:$H$524,"Human",Human_Data_Entry!$S$3:$S$524,"?*")</f>
        <v/>
      </c>
      <c r="C98" s="133">
        <f>COUNTIFS(Human_Data_Entry!$A$3:$A$524,$A98,Human_Data_Entry!$H$3:$H$524,"Human",Human_Data_Entry!$S$3:$S$524,"YES")</f>
        <v/>
      </c>
      <c r="D98" s="83">
        <f>IF(B98=0,"-",C98/B98)</f>
        <v/>
      </c>
      <c r="E98" s="133">
        <f>COUNTIFS(LLM_Data_Entry!$A$3:$A$548,$A98,LLM_Data_Entry!$F$3:$F$548,"LLM",LLM_Data_Entry!$R$3:$R$548,"&lt;&gt;")</f>
        <v/>
      </c>
      <c r="F98" s="134">
        <f>COUNTIFS(LLM_Data_Entry!$A$3:$A$548,$A98,LLM_Data_Entry!$F$3:$F$548,"LLM",LLM_Data_Entry!$R$3:$R$548,"YES")</f>
        <v/>
      </c>
      <c r="G98" s="83">
        <f>IF(E98=0,"-",F98/E98)</f>
        <v/>
      </c>
      <c r="I98">
        <f>A98</f>
        <v/>
      </c>
      <c r="J98" s="135">
        <f>SUMPRODUCT((Human_Data_Entry!$A$3:$A$524=$I98)*(Human_Data_Entry!$H$3:$H$524="Human")*((Human_Data_Entry!$J$3:$J$524="BUY")+(Human_Data_Entry!$J$3:$J$524="SELL"))*ISNUMBER(Human_Data_Entry!$U$3:$U$524))</f>
        <v/>
      </c>
      <c r="K98" s="136">
        <f>IFERROR(AVERAGEIFS(Human_Data_Entry!$U$3:$U$524,Human_Data_Entry!$A$3:$A$524,$I98,Human_Data_Entry!$H$3:$H$524,"Human",Human_Data_Entry!$J$3:$J$524,"&lt;&gt;HOLD",Human_Data_Entry!$U$3:$U$524,"&lt;&gt;"),"")</f>
        <v/>
      </c>
      <c r="L98" s="136">
        <f>IFERROR(SUMIFS(Human_Data_Entry!$U$3:$U$524,Human_Data_Entry!$A$3:$A$524,$I98,Human_Data_Entry!$H$3:$H$524,"Human",Human_Data_Entry!$J$3:$J$524,"&lt;&gt;HOLD"),"")</f>
        <v/>
      </c>
      <c r="M98" s="206">
        <f>COUNTIFS(LLM_Data_Entry!$A$3:$A$548,$I98,LLM_Data_Entry!$F$3:$F$548,"LLM",LLM_Data_Entry!$H$3:$H$548,"&lt;&gt;HOLD",LLM_Data_Entry!$T$3:$T$548,"&lt;&gt;")</f>
        <v/>
      </c>
      <c r="N98" s="136">
        <f>IFERROR(AVERAGEIFS(LLM_Data_Entry!$T$3:$T$548,LLM_Data_Entry!$A$3:$A$548,$I98,LLM_Data_Entry!$F$3:$F$548,"LLM",LLM_Data_Entry!$H$3:$H$548,"&lt;&gt;HOLD",LLM_Data_Entry!$T$3:$T$548,"&lt;&gt;"),"")</f>
        <v/>
      </c>
      <c r="O98" s="136">
        <f>IFERROR(SUMIFS(LLM_Data_Entry!$T$3:$T$548,LLM_Data_Entry!$A$3:$A$548,$I98,LLM_Data_Entry!$F$3:$F$548,"LLM",LLM_Data_Entry!$H$3:$H$548,"&lt;&gt;HOLD"),"")</f>
        <v/>
      </c>
    </row>
    <row r="99" ht="45.95" customHeight="1" s="241">
      <c r="A99" t="inlineStr">
        <is>
          <t>Nvidia</t>
        </is>
      </c>
      <c r="B99" s="133">
        <f>COUNTIFS(Human_Data_Entry!$A$3:$A$524,$A99,Human_Data_Entry!$H$3:$H$524,"Human",Human_Data_Entry!$S$3:$S$524,"?*")</f>
        <v/>
      </c>
      <c r="C99" s="133">
        <f>COUNTIFS(Human_Data_Entry!$A$3:$A$524,$A99,Human_Data_Entry!$H$3:$H$524,"Human",Human_Data_Entry!$S$3:$S$524,"YES")</f>
        <v/>
      </c>
      <c r="D99" s="83">
        <f>IF(B99=0,"-",C99/B99)</f>
        <v/>
      </c>
      <c r="E99" s="133">
        <f>COUNTIFS(LLM_Data_Entry!$A$3:$A$548,$A99,LLM_Data_Entry!$F$3:$F$548,"LLM",LLM_Data_Entry!$R$3:$R$548,"&lt;&gt;")</f>
        <v/>
      </c>
      <c r="F99" s="134">
        <f>COUNTIFS(LLM_Data_Entry!$A$3:$A$548,$A99,LLM_Data_Entry!$F$3:$F$548,"LLM",LLM_Data_Entry!$R$3:$R$548,"YES")</f>
        <v/>
      </c>
      <c r="G99" s="83">
        <f>IF(E99=0,"-",F99/E99)</f>
        <v/>
      </c>
      <c r="I99">
        <f>A99</f>
        <v/>
      </c>
      <c r="J99" s="135">
        <f>SUMPRODUCT((Human_Data_Entry!$A$3:$A$524=$I99)*(Human_Data_Entry!$H$3:$H$524="Human")*((Human_Data_Entry!$J$3:$J$524="BUY")+(Human_Data_Entry!$J$3:$J$524="SELL"))*ISNUMBER(Human_Data_Entry!$U$3:$U$524))</f>
        <v/>
      </c>
      <c r="K99" s="136">
        <f>IFERROR(AVERAGEIFS(Human_Data_Entry!$U$3:$U$524,Human_Data_Entry!$A$3:$A$524,$I99,Human_Data_Entry!$H$3:$H$524,"Human",Human_Data_Entry!$J$3:$J$524,"&lt;&gt;HOLD",Human_Data_Entry!$U$3:$U$524,"&lt;&gt;"),"")</f>
        <v/>
      </c>
      <c r="L99" s="136">
        <f>IFERROR(SUMIFS(Human_Data_Entry!$U$3:$U$524,Human_Data_Entry!$A$3:$A$524,$I99,Human_Data_Entry!$H$3:$H$524,"Human",Human_Data_Entry!$J$3:$J$524,"&lt;&gt;HOLD"),"")</f>
        <v/>
      </c>
      <c r="M99" s="206">
        <f>COUNTIFS(LLM_Data_Entry!$A$3:$A$548,$I99,LLM_Data_Entry!$F$3:$F$548,"LLM",LLM_Data_Entry!$H$3:$H$548,"&lt;&gt;HOLD",LLM_Data_Entry!$T$3:$T$548,"&lt;&gt;")</f>
        <v/>
      </c>
      <c r="N99" s="136">
        <f>IFERROR(AVERAGEIFS(LLM_Data_Entry!$T$3:$T$548,LLM_Data_Entry!$A$3:$A$548,$I99,LLM_Data_Entry!$F$3:$F$548,"LLM",LLM_Data_Entry!$H$3:$H$548,"&lt;&gt;HOLD",LLM_Data_Entry!$T$3:$T$548,"&lt;&gt;"),"")</f>
        <v/>
      </c>
      <c r="O99" s="136">
        <f>IFERROR(SUMIFS(LLM_Data_Entry!$T$3:$T$548,LLM_Data_Entry!$A$3:$A$548,$I99,LLM_Data_Entry!$F$3:$F$548,"LLM",LLM_Data_Entry!$H$3:$H$548,"&lt;&gt;HOLD"),"")</f>
        <v/>
      </c>
    </row>
    <row r="100" ht="45.95" customHeight="1" s="241">
      <c r="A100" t="inlineStr">
        <is>
          <t>Union Pacific</t>
        </is>
      </c>
      <c r="B100" s="133">
        <f>COUNTIFS(Human_Data_Entry!$A$3:$A$524,$A100,Human_Data_Entry!$H$3:$H$524,"Human",Human_Data_Entry!$S$3:$S$524,"?*")</f>
        <v/>
      </c>
      <c r="C100" s="133">
        <f>COUNTIFS(Human_Data_Entry!$A$3:$A$524,$A100,Human_Data_Entry!$H$3:$H$524,"Human",Human_Data_Entry!$S$3:$S$524,"YES")</f>
        <v/>
      </c>
      <c r="D100" s="83">
        <f>IF(B100=0,"-",C100/B100)</f>
        <v/>
      </c>
      <c r="E100" s="133">
        <f>COUNTIFS(LLM_Data_Entry!$A$3:$A$548,$A100,LLM_Data_Entry!$F$3:$F$548,"LLM",LLM_Data_Entry!$R$3:$R$548,"&lt;&gt;")</f>
        <v/>
      </c>
      <c r="F100" s="134">
        <f>COUNTIFS(LLM_Data_Entry!$A$3:$A$548,$A100,LLM_Data_Entry!$F$3:$F$548,"LLM",LLM_Data_Entry!$R$3:$R$548,"YES")</f>
        <v/>
      </c>
      <c r="G100" s="83">
        <f>IF(E100=0,"-",F100/E100)</f>
        <v/>
      </c>
      <c r="I100">
        <f>A100</f>
        <v/>
      </c>
      <c r="J100" s="135">
        <f>SUMPRODUCT((Human_Data_Entry!$A$3:$A$524=$I100)*(Human_Data_Entry!$H$3:$H$524="Human")*((Human_Data_Entry!$J$3:$J$524="BUY")+(Human_Data_Entry!$J$3:$J$524="SELL"))*ISNUMBER(Human_Data_Entry!$U$3:$U$524))</f>
        <v/>
      </c>
      <c r="K100" s="136">
        <f>IFERROR(AVERAGEIFS(Human_Data_Entry!$U$3:$U$524,Human_Data_Entry!$A$3:$A$524,$I100,Human_Data_Entry!$H$3:$H$524,"Human",Human_Data_Entry!$J$3:$J$524,"&lt;&gt;HOLD",Human_Data_Entry!$U$3:$U$524,"&lt;&gt;"),"")</f>
        <v/>
      </c>
      <c r="L100" s="136">
        <f>IFERROR(SUMIFS(Human_Data_Entry!$U$3:$U$524,Human_Data_Entry!$A$3:$A$524,$I100,Human_Data_Entry!$H$3:$H$524,"Human",Human_Data_Entry!$J$3:$J$524,"&lt;&gt;HOLD"),"")</f>
        <v/>
      </c>
      <c r="M100" s="206">
        <f>COUNTIFS(LLM_Data_Entry!$A$3:$A$548,$I100,LLM_Data_Entry!$F$3:$F$548,"LLM",LLM_Data_Entry!$H$3:$H$548,"&lt;&gt;HOLD",LLM_Data_Entry!$T$3:$T$548,"&lt;&gt;")</f>
        <v/>
      </c>
      <c r="N100" s="136">
        <f>IFERROR(AVERAGEIFS(LLM_Data_Entry!$T$3:$T$548,LLM_Data_Entry!$A$3:$A$548,$I100,LLM_Data_Entry!$F$3:$F$548,"LLM",LLM_Data_Entry!$H$3:$H$548,"&lt;&gt;HOLD",LLM_Data_Entry!$T$3:$T$548,"&lt;&gt;"),"")</f>
        <v/>
      </c>
      <c r="O100" s="136">
        <f>IFERROR(SUMIFS(LLM_Data_Entry!$T$3:$T$548,LLM_Data_Entry!$A$3:$A$548,$I100,LLM_Data_Entry!$F$3:$F$548,"LLM",LLM_Data_Entry!$H$3:$H$548,"&lt;&gt;HOLD"),"")</f>
        <v/>
      </c>
    </row>
    <row r="101" ht="45.95" customHeight="1" s="241">
      <c r="A101" t="inlineStr">
        <is>
          <t>UnitedHealth</t>
        </is>
      </c>
      <c r="B101" s="133">
        <f>COUNTIFS(Human_Data_Entry!$A$3:$A$524,$A101,Human_Data_Entry!$H$3:$H$524,"Human",Human_Data_Entry!$S$3:$S$524,"?*")</f>
        <v/>
      </c>
      <c r="C101" s="133">
        <f>COUNTIFS(Human_Data_Entry!$A$3:$A$524,$A101,Human_Data_Entry!$H$3:$H$524,"Human",Human_Data_Entry!$S$3:$S$524,"YES")</f>
        <v/>
      </c>
      <c r="D101" s="83">
        <f>IF(B101=0,"-",C101/B101)</f>
        <v/>
      </c>
      <c r="E101" s="133">
        <f>COUNTIFS(LLM_Data_Entry!$A$3:$A$548,$A101,LLM_Data_Entry!$F$3:$F$548,"LLM",LLM_Data_Entry!$R$3:$R$548,"&lt;&gt;")</f>
        <v/>
      </c>
      <c r="F101" s="134">
        <f>COUNTIFS(LLM_Data_Entry!$A$3:$A$548,$A101,LLM_Data_Entry!$F$3:$F$548,"LLM",LLM_Data_Entry!$R$3:$R$548,"YES")</f>
        <v/>
      </c>
      <c r="G101" s="83">
        <f>IF(E101=0,"-",F101/E101)</f>
        <v/>
      </c>
      <c r="I101">
        <f>A101</f>
        <v/>
      </c>
      <c r="J101" s="135">
        <f>SUMPRODUCT((Human_Data_Entry!$A$3:$A$524=$I101)*(Human_Data_Entry!$H$3:$H$524="Human")*((Human_Data_Entry!$J$3:$J$524="BUY")+(Human_Data_Entry!$J$3:$J$524="SELL"))*ISNUMBER(Human_Data_Entry!$U$3:$U$524))</f>
        <v/>
      </c>
      <c r="K101" s="136">
        <f>IFERROR(AVERAGEIFS(Human_Data_Entry!$U$3:$U$524,Human_Data_Entry!$A$3:$A$524,$I101,Human_Data_Entry!$H$3:$H$524,"Human",Human_Data_Entry!$J$3:$J$524,"&lt;&gt;HOLD",Human_Data_Entry!$U$3:$U$524,"&lt;&gt;"),"")</f>
        <v/>
      </c>
      <c r="L101" s="136">
        <f>IFERROR(SUMIFS(Human_Data_Entry!$U$3:$U$524,Human_Data_Entry!$A$3:$A$524,$I101,Human_Data_Entry!$H$3:$H$524,"Human",Human_Data_Entry!$J$3:$J$524,"&lt;&gt;HOLD"),"")</f>
        <v/>
      </c>
      <c r="M101" s="206">
        <f>COUNTIFS(LLM_Data_Entry!$A$3:$A$548,$I101,LLM_Data_Entry!$F$3:$F$548,"LLM",LLM_Data_Entry!$H$3:$H$548,"&lt;&gt;HOLD",LLM_Data_Entry!$T$3:$T$548,"&lt;&gt;")</f>
        <v/>
      </c>
      <c r="N101" s="136">
        <f>IFERROR(AVERAGEIFS(LLM_Data_Entry!$T$3:$T$548,LLM_Data_Entry!$A$3:$A$548,$I101,LLM_Data_Entry!$F$3:$F$548,"LLM",LLM_Data_Entry!$H$3:$H$548,"&lt;&gt;HOLD",LLM_Data_Entry!$T$3:$T$548,"&lt;&gt;"),"")</f>
        <v/>
      </c>
      <c r="O101" s="136">
        <f>IFERROR(SUMIFS(LLM_Data_Entry!$T$3:$T$548,LLM_Data_Entry!$A$3:$A$548,$I101,LLM_Data_Entry!$F$3:$F$548,"LLM",LLM_Data_Entry!$H$3:$H$548,"&lt;&gt;HOLD"),"")</f>
        <v/>
      </c>
    </row>
    <row r="102" ht="45.95" customHeight="1" s="241">
      <c r="A102" t="inlineStr">
        <is>
          <t>Visa</t>
        </is>
      </c>
      <c r="B102" s="133">
        <f>COUNTIFS(Human_Data_Entry!$A$3:$A$524,$A102,Human_Data_Entry!$H$3:$H$524,"Human",Human_Data_Entry!$S$3:$S$524,"?*")</f>
        <v/>
      </c>
      <c r="C102" s="133">
        <f>COUNTIFS(Human_Data_Entry!$A$3:$A$524,$A102,Human_Data_Entry!$H$3:$H$524,"Human",Human_Data_Entry!$S$3:$S$524,"YES")</f>
        <v/>
      </c>
      <c r="D102" s="83">
        <f>IF(B102=0,"-",C102/B102)</f>
        <v/>
      </c>
      <c r="E102" s="133">
        <f>COUNTIFS(LLM_Data_Entry!$A$3:$A$548,$A102,LLM_Data_Entry!$F$3:$F$548,"LLM",LLM_Data_Entry!$R$3:$R$548,"&lt;&gt;")</f>
        <v/>
      </c>
      <c r="F102" s="134">
        <f>COUNTIFS(LLM_Data_Entry!$A$3:$A$548,$A102,LLM_Data_Entry!$F$3:$F$548,"LLM",LLM_Data_Entry!$R$3:$R$548,"YES")</f>
        <v/>
      </c>
      <c r="G102" s="83">
        <f>IF(E102=0,"-",F102/E102)</f>
        <v/>
      </c>
      <c r="I102">
        <f>A102</f>
        <v/>
      </c>
      <c r="J102" s="135">
        <f>SUMPRODUCT((Human_Data_Entry!$A$3:$A$524=$I102)*(Human_Data_Entry!$H$3:$H$524="Human")*((Human_Data_Entry!$J$3:$J$524="BUY")+(Human_Data_Entry!$J$3:$J$524="SELL"))*ISNUMBER(Human_Data_Entry!$U$3:$U$524))</f>
        <v/>
      </c>
      <c r="K102" s="136">
        <f>IFERROR(AVERAGEIFS(Human_Data_Entry!$U$3:$U$524,Human_Data_Entry!$A$3:$A$524,$I102,Human_Data_Entry!$H$3:$H$524,"Human",Human_Data_Entry!$J$3:$J$524,"&lt;&gt;HOLD",Human_Data_Entry!$U$3:$U$524,"&lt;&gt;"),"")</f>
        <v/>
      </c>
      <c r="L102" s="136">
        <f>IFERROR(SUMIFS(Human_Data_Entry!$U$3:$U$524,Human_Data_Entry!$A$3:$A$524,$I102,Human_Data_Entry!$H$3:$H$524,"Human",Human_Data_Entry!$J$3:$J$524,"&lt;&gt;HOLD"),"")</f>
        <v/>
      </c>
      <c r="M102" s="206">
        <f>COUNTIFS(LLM_Data_Entry!$A$3:$A$548,$I102,LLM_Data_Entry!$F$3:$F$548,"LLM",LLM_Data_Entry!$H$3:$H$548,"&lt;&gt;HOLD",LLM_Data_Entry!$T$3:$T$548,"&lt;&gt;")</f>
        <v/>
      </c>
      <c r="N102" s="136">
        <f>IFERROR(AVERAGEIFS(LLM_Data_Entry!$T$3:$T$548,LLM_Data_Entry!$A$3:$A$548,$I102,LLM_Data_Entry!$F$3:$F$548,"LLM",LLM_Data_Entry!$H$3:$H$548,"&lt;&gt;HOLD",LLM_Data_Entry!$T$3:$T$548,"&lt;&gt;"),"")</f>
        <v/>
      </c>
      <c r="O102" s="136">
        <f>IFERROR(SUMIFS(LLM_Data_Entry!$T$3:$T$548,LLM_Data_Entry!$A$3:$A$548,$I102,LLM_Data_Entry!$F$3:$F$548,"LLM",LLM_Data_Entry!$H$3:$H$548,"&lt;&gt;HOLD"),"")</f>
        <v/>
      </c>
    </row>
    <row r="103" ht="45.95" customHeight="1" s="241">
      <c r="A103" t="inlineStr">
        <is>
          <t>Workday</t>
        </is>
      </c>
      <c r="B103" s="133">
        <f>COUNTIFS(Human_Data_Entry!$A$3:$A$524,$A103,Human_Data_Entry!$H$3:$H$524,"Human",Human_Data_Entry!$S$3:$S$524,"?*")</f>
        <v/>
      </c>
      <c r="C103" s="133">
        <f>COUNTIFS(Human_Data_Entry!$A$3:$A$524,$A103,Human_Data_Entry!$H$3:$H$524,"Human",Human_Data_Entry!$S$3:$S$524,"YES")</f>
        <v/>
      </c>
      <c r="D103" s="83">
        <f>IF(B103=0,"-",C103/B103)</f>
        <v/>
      </c>
      <c r="E103" s="133">
        <f>COUNTIFS(LLM_Data_Entry!$A$3:$A$548,$A103,LLM_Data_Entry!$F$3:$F$548,"LLM",LLM_Data_Entry!$R$3:$R$548,"&lt;&gt;")</f>
        <v/>
      </c>
      <c r="F103" s="134">
        <f>COUNTIFS(LLM_Data_Entry!$A$3:$A$548,$A103,LLM_Data_Entry!$F$3:$F$548,"LLM",LLM_Data_Entry!$R$3:$R$548,"YES")</f>
        <v/>
      </c>
      <c r="G103" s="83">
        <f>IF(E103=0,"-",F103/E103)</f>
        <v/>
      </c>
      <c r="I103">
        <f>A103</f>
        <v/>
      </c>
      <c r="J103" s="135">
        <f>SUMPRODUCT((Human_Data_Entry!$A$3:$A$524=$I103)*(Human_Data_Entry!$H$3:$H$524="Human")*((Human_Data_Entry!$J$3:$J$524="BUY")+(Human_Data_Entry!$J$3:$J$524="SELL"))*ISNUMBER(Human_Data_Entry!$U$3:$U$524))</f>
        <v/>
      </c>
      <c r="K103" s="136">
        <f>IFERROR(AVERAGEIFS(Human_Data_Entry!$U$3:$U$524,Human_Data_Entry!$A$3:$A$524,$I103,Human_Data_Entry!$H$3:$H$524,"Human",Human_Data_Entry!$J$3:$J$524,"&lt;&gt;HOLD",Human_Data_Entry!$U$3:$U$524,"&lt;&gt;"),"")</f>
        <v/>
      </c>
      <c r="L103" s="136">
        <f>IFERROR(SUMIFS(Human_Data_Entry!$U$3:$U$524,Human_Data_Entry!$A$3:$A$524,$I103,Human_Data_Entry!$H$3:$H$524,"Human",Human_Data_Entry!$J$3:$J$524,"&lt;&gt;HOLD"),"")</f>
        <v/>
      </c>
      <c r="M103" s="206">
        <f>COUNTIFS(LLM_Data_Entry!$A$3:$A$548,$I103,LLM_Data_Entry!$F$3:$F$548,"LLM",LLM_Data_Entry!$H$3:$H$548,"&lt;&gt;HOLD",LLM_Data_Entry!$T$3:$T$548,"&lt;&gt;")</f>
        <v/>
      </c>
      <c r="N103" s="136">
        <f>IFERROR(AVERAGEIFS(LLM_Data_Entry!$T$3:$T$548,LLM_Data_Entry!$A$3:$A$548,$I103,LLM_Data_Entry!$F$3:$F$548,"LLM",LLM_Data_Entry!$H$3:$H$548,"&lt;&gt;HOLD",LLM_Data_Entry!$T$3:$T$548,"&lt;&gt;"),"")</f>
        <v/>
      </c>
      <c r="O103" s="136">
        <f>IFERROR(SUMIFS(LLM_Data_Entry!$T$3:$T$548,LLM_Data_Entry!$A$3:$A$548,$I103,LLM_Data_Entry!$F$3:$F$548,"LLM",LLM_Data_Entry!$H$3:$H$548,"&lt;&gt;HOLD"),"")</f>
        <v/>
      </c>
    </row>
    <row r="104" ht="45.95" customHeight="1" s="241">
      <c r="A104" t="inlineStr">
        <is>
          <t>American Express</t>
        </is>
      </c>
      <c r="B104" s="133">
        <f>COUNTIFS(Human_Data_Entry!$A$3:$A$524,$A104,Human_Data_Entry!$H$3:$H$524,"Human",Human_Data_Entry!$S$3:$S$524,"?*")</f>
        <v/>
      </c>
      <c r="C104" s="133">
        <f>COUNTIFS(Human_Data_Entry!$A$3:$A$524,$A104,Human_Data_Entry!$H$3:$H$524,"Human",Human_Data_Entry!$S$3:$S$524,"YES")</f>
        <v/>
      </c>
      <c r="D104" s="83">
        <f>IF(B104=0,"-",C104/B104)</f>
        <v/>
      </c>
      <c r="E104" s="133">
        <f>COUNTIFS(LLM_Data_Entry!$A$3:$A$548,$A104,LLM_Data_Entry!$F$3:$F$548,"LLM",LLM_Data_Entry!$R$3:$R$548,"&lt;&gt;")</f>
        <v/>
      </c>
      <c r="F104" s="134">
        <f>COUNTIFS(LLM_Data_Entry!$A$3:$A$548,$A104,LLM_Data_Entry!$F$3:$F$548,"LLM",LLM_Data_Entry!$R$3:$R$548,"YES")</f>
        <v/>
      </c>
      <c r="G104" s="83">
        <f>IF(E104=0,"-",F104/E104)</f>
        <v/>
      </c>
      <c r="I104">
        <f>A104</f>
        <v/>
      </c>
      <c r="J104" s="135">
        <f>SUMPRODUCT((Human_Data_Entry!$A$3:$A$524=$I104)*(Human_Data_Entry!$H$3:$H$524="Human")*((Human_Data_Entry!$J$3:$J$524="BUY")+(Human_Data_Entry!$J$3:$J$524="SELL"))*ISNUMBER(Human_Data_Entry!$U$3:$U$524))</f>
        <v/>
      </c>
      <c r="K104" s="136">
        <f>IFERROR(AVERAGEIFS(Human_Data_Entry!$U$3:$U$524,Human_Data_Entry!$A$3:$A$524,$I104,Human_Data_Entry!$H$3:$H$524,"Human",Human_Data_Entry!$J$3:$J$524,"&lt;&gt;HOLD",Human_Data_Entry!$U$3:$U$524,"&lt;&gt;"),"")</f>
        <v/>
      </c>
      <c r="L104" s="136">
        <f>IFERROR(SUMIFS(Human_Data_Entry!$U$3:$U$524,Human_Data_Entry!$A$3:$A$524,$I104,Human_Data_Entry!$H$3:$H$524,"Human",Human_Data_Entry!$J$3:$J$524,"&lt;&gt;HOLD"),"")</f>
        <v/>
      </c>
      <c r="M104" s="206">
        <f>COUNTIFS(LLM_Data_Entry!$A$3:$A$548,$I104,LLM_Data_Entry!$F$3:$F$548,"LLM",LLM_Data_Entry!$H$3:$H$548,"&lt;&gt;HOLD",LLM_Data_Entry!$T$3:$T$548,"&lt;&gt;")</f>
        <v/>
      </c>
      <c r="N104" s="136">
        <f>IFERROR(AVERAGEIFS(LLM_Data_Entry!$T$3:$T$548,LLM_Data_Entry!$A$3:$A$548,$I104,LLM_Data_Entry!$F$3:$F$548,"LLM",LLM_Data_Entry!$H$3:$H$548,"&lt;&gt;HOLD",LLM_Data_Entry!$T$3:$T$548,"&lt;&gt;"),"")</f>
        <v/>
      </c>
      <c r="O104" s="136">
        <f>IFERROR(SUMIFS(LLM_Data_Entry!$T$3:$T$548,LLM_Data_Entry!$A$3:$A$548,$I104,LLM_Data_Entry!$F$3:$F$548,"LLM",LLM_Data_Entry!$H$3:$H$548,"&lt;&gt;HOLD"),"")</f>
        <v/>
      </c>
    </row>
    <row r="105" ht="45.95" customHeight="1" s="241">
      <c r="A105" t="inlineStr">
        <is>
          <t>Chevron</t>
        </is>
      </c>
      <c r="B105" s="133">
        <f>COUNTIFS(Human_Data_Entry!$A$3:$A$524,$A105,Human_Data_Entry!$H$3:$H$524,"Human",Human_Data_Entry!$S$3:$S$524,"?*")</f>
        <v/>
      </c>
      <c r="C105" s="133">
        <f>COUNTIFS(Human_Data_Entry!$A$3:$A$524,$A105,Human_Data_Entry!$H$3:$H$524,"Human",Human_Data_Entry!$S$3:$S$524,"YES")</f>
        <v/>
      </c>
      <c r="D105" s="83">
        <f>IF(B105=0,"-",C105/B105)</f>
        <v/>
      </c>
      <c r="E105" s="133">
        <f>COUNTIFS(LLM_Data_Entry!$A$3:$A$548,$A105,LLM_Data_Entry!$F$3:$F$548,"LLM",LLM_Data_Entry!$R$3:$R$548,"&lt;&gt;")</f>
        <v/>
      </c>
      <c r="F105" s="134">
        <f>COUNTIFS(LLM_Data_Entry!$A$3:$A$548,$A105,LLM_Data_Entry!$F$3:$F$548,"LLM",LLM_Data_Entry!$R$3:$R$548,"YES")</f>
        <v/>
      </c>
      <c r="G105" s="83">
        <f>IF(E105=0,"-",F105/E105)</f>
        <v/>
      </c>
      <c r="I105">
        <f>A105</f>
        <v/>
      </c>
      <c r="J105" s="135">
        <f>SUMPRODUCT((Human_Data_Entry!$A$3:$A$524=$I105)*(Human_Data_Entry!$H$3:$H$524="Human")*((Human_Data_Entry!$J$3:$J$524="BUY")+(Human_Data_Entry!$J$3:$J$524="SELL"))*ISNUMBER(Human_Data_Entry!$U$3:$U$524))</f>
        <v/>
      </c>
      <c r="K105" s="136">
        <f>IFERROR(AVERAGEIFS(Human_Data_Entry!$U$3:$U$524,Human_Data_Entry!$A$3:$A$524,$I105,Human_Data_Entry!$H$3:$H$524,"Human",Human_Data_Entry!$J$3:$J$524,"&lt;&gt;HOLD",Human_Data_Entry!$U$3:$U$524,"&lt;&gt;"),"")</f>
        <v/>
      </c>
      <c r="L105" s="136">
        <f>IFERROR(SUMIFS(Human_Data_Entry!$U$3:$U$524,Human_Data_Entry!$A$3:$A$524,$I105,Human_Data_Entry!$H$3:$H$524,"Human",Human_Data_Entry!$J$3:$J$524,"&lt;&gt;HOLD"),"")</f>
        <v/>
      </c>
      <c r="M105" s="206">
        <f>COUNTIFS(LLM_Data_Entry!$A$3:$A$548,$I105,LLM_Data_Entry!$F$3:$F$548,"LLM",LLM_Data_Entry!$H$3:$H$548,"&lt;&gt;HOLD",LLM_Data_Entry!$T$3:$T$548,"&lt;&gt;")</f>
        <v/>
      </c>
      <c r="N105" s="136">
        <f>IFERROR(AVERAGEIFS(LLM_Data_Entry!$T$3:$T$548,LLM_Data_Entry!$A$3:$A$548,$I105,LLM_Data_Entry!$F$3:$F$548,"LLM",LLM_Data_Entry!$H$3:$H$548,"&lt;&gt;HOLD",LLM_Data_Entry!$T$3:$T$548,"&lt;&gt;"),"")</f>
        <v/>
      </c>
      <c r="O105" s="136">
        <f>IFERROR(SUMIFS(LLM_Data_Entry!$T$3:$T$548,LLM_Data_Entry!$A$3:$A$548,$I105,LLM_Data_Entry!$F$3:$F$548,"LLM",LLM_Data_Entry!$H$3:$H$548,"&lt;&gt;HOLD"),"")</f>
        <v/>
      </c>
    </row>
    <row r="106" ht="45.95" customHeight="1" s="241">
      <c r="A106" t="inlineStr">
        <is>
          <t>Intel</t>
        </is>
      </c>
      <c r="B106" s="133">
        <f>COUNTIFS(Human_Data_Entry!$A$3:$A$524,$A106,Human_Data_Entry!$H$3:$H$524,"Human",Human_Data_Entry!$S$3:$S$524,"?*")</f>
        <v/>
      </c>
      <c r="C106" s="133">
        <f>COUNTIFS(Human_Data_Entry!$A$3:$A$524,$A106,Human_Data_Entry!$H$3:$H$524,"Human",Human_Data_Entry!$S$3:$S$524,"YES")</f>
        <v/>
      </c>
      <c r="D106" s="83">
        <f>IF(B106=0,"-",C106/B106)</f>
        <v/>
      </c>
      <c r="E106" s="133">
        <f>COUNTIFS(LLM_Data_Entry!$A$3:$A$548,$A106,LLM_Data_Entry!$F$3:$F$548,"LLM",LLM_Data_Entry!$R$3:$R$548,"&lt;&gt;")</f>
        <v/>
      </c>
      <c r="F106" s="134">
        <f>COUNTIFS(LLM_Data_Entry!$A$3:$A$548,$A106,LLM_Data_Entry!$F$3:$F$548,"LLM",LLM_Data_Entry!$R$3:$R$548,"YES")</f>
        <v/>
      </c>
      <c r="G106" s="83">
        <f>IF(E106=0,"-",F106/E106)</f>
        <v/>
      </c>
      <c r="I106">
        <f>A106</f>
        <v/>
      </c>
      <c r="J106" s="135">
        <f>SUMPRODUCT((Human_Data_Entry!$A$3:$A$524=$I106)*(Human_Data_Entry!$H$3:$H$524="Human")*((Human_Data_Entry!$J$3:$J$524="BUY")+(Human_Data_Entry!$J$3:$J$524="SELL"))*ISNUMBER(Human_Data_Entry!$U$3:$U$524))</f>
        <v/>
      </c>
      <c r="K106" s="136">
        <f>IFERROR(AVERAGEIFS(Human_Data_Entry!$U$3:$U$524,Human_Data_Entry!$A$3:$A$524,$I106,Human_Data_Entry!$H$3:$H$524,"Human",Human_Data_Entry!$J$3:$J$524,"&lt;&gt;HOLD",Human_Data_Entry!$U$3:$U$524,"&lt;&gt;"),"")</f>
        <v/>
      </c>
      <c r="L106" s="136">
        <f>IFERROR(SUMIFS(Human_Data_Entry!$U$3:$U$524,Human_Data_Entry!$A$3:$A$524,$I106,Human_Data_Entry!$H$3:$H$524,"Human",Human_Data_Entry!$J$3:$J$524,"&lt;&gt;HOLD"),"")</f>
        <v/>
      </c>
      <c r="M106" s="206">
        <f>COUNTIFS(LLM_Data_Entry!$A$3:$A$548,$I106,LLM_Data_Entry!$F$3:$F$548,"LLM",LLM_Data_Entry!$H$3:$H$548,"&lt;&gt;HOLD",LLM_Data_Entry!$T$3:$T$548,"&lt;&gt;")</f>
        <v/>
      </c>
      <c r="N106" s="136">
        <f>IFERROR(AVERAGEIFS(LLM_Data_Entry!$T$3:$T$548,LLM_Data_Entry!$A$3:$A$548,$I106,LLM_Data_Entry!$F$3:$F$548,"LLM",LLM_Data_Entry!$H$3:$H$548,"&lt;&gt;HOLD",LLM_Data_Entry!$T$3:$T$548,"&lt;&gt;"),"")</f>
        <v/>
      </c>
      <c r="O106" s="136">
        <f>IFERROR(SUMIFS(LLM_Data_Entry!$T$3:$T$548,LLM_Data_Entry!$A$3:$A$548,$I106,LLM_Data_Entry!$F$3:$F$548,"LLM",LLM_Data_Entry!$H$3:$H$548,"&lt;&gt;HOLD"),"")</f>
        <v/>
      </c>
    </row>
    <row r="107" ht="45.95" customHeight="1" s="241">
      <c r="A107" t="inlineStr">
        <is>
          <t>Mastercard</t>
        </is>
      </c>
      <c r="B107" s="133">
        <f>COUNTIFS(Human_Data_Entry!$A$3:$A$524,$A107,Human_Data_Entry!$H$3:$H$524,"Human",Human_Data_Entry!$S$3:$S$524,"?*")</f>
        <v/>
      </c>
      <c r="C107" s="133">
        <f>COUNTIFS(Human_Data_Entry!$A$3:$A$524,$A107,Human_Data_Entry!$H$3:$H$524,"Human",Human_Data_Entry!$S$3:$S$524,"YES")</f>
        <v/>
      </c>
      <c r="D107" s="83">
        <f>IF(B107=0,"-",C107/B107)</f>
        <v/>
      </c>
      <c r="E107" s="133">
        <f>COUNTIFS(LLM_Data_Entry!$A$3:$A$548,$A107,LLM_Data_Entry!$F$3:$F$548,"LLM",LLM_Data_Entry!$R$3:$R$548,"&lt;&gt;")</f>
        <v/>
      </c>
      <c r="F107" s="134">
        <f>COUNTIFS(LLM_Data_Entry!$A$3:$A$548,$A107,LLM_Data_Entry!$F$3:$F$548,"LLM",LLM_Data_Entry!$R$3:$R$548,"YES")</f>
        <v/>
      </c>
      <c r="G107" s="83">
        <f>IF(E107=0,"-",F107/E107)</f>
        <v/>
      </c>
      <c r="I107">
        <f>A107</f>
        <v/>
      </c>
      <c r="J107" s="135">
        <f>SUMPRODUCT((Human_Data_Entry!$A$3:$A$524=$I107)*(Human_Data_Entry!$H$3:$H$524="Human")*((Human_Data_Entry!$J$3:$J$524="BUY")+(Human_Data_Entry!$J$3:$J$524="SELL"))*ISNUMBER(Human_Data_Entry!$U$3:$U$524))</f>
        <v/>
      </c>
      <c r="K107" s="136">
        <f>IFERROR(AVERAGEIFS(Human_Data_Entry!$U$3:$U$524,Human_Data_Entry!$A$3:$A$524,$I107,Human_Data_Entry!$H$3:$H$524,"Human",Human_Data_Entry!$J$3:$J$524,"&lt;&gt;HOLD",Human_Data_Entry!$U$3:$U$524,"&lt;&gt;"),"")</f>
        <v/>
      </c>
      <c r="L107" s="136">
        <f>IFERROR(SUMIFS(Human_Data_Entry!$U$3:$U$524,Human_Data_Entry!$A$3:$A$524,$I107,Human_Data_Entry!$H$3:$H$524,"Human",Human_Data_Entry!$J$3:$J$524,"&lt;&gt;HOLD"),"")</f>
        <v/>
      </c>
      <c r="M107" s="206">
        <f>COUNTIFS(LLM_Data_Entry!$A$3:$A$548,$I107,LLM_Data_Entry!$F$3:$F$548,"LLM",LLM_Data_Entry!$H$3:$H$548,"&lt;&gt;HOLD",LLM_Data_Entry!$T$3:$T$548,"&lt;&gt;")</f>
        <v/>
      </c>
      <c r="N107" s="136">
        <f>IFERROR(AVERAGEIFS(LLM_Data_Entry!$T$3:$T$548,LLM_Data_Entry!$A$3:$A$548,$I107,LLM_Data_Entry!$F$3:$F$548,"LLM",LLM_Data_Entry!$H$3:$H$548,"&lt;&gt;HOLD",LLM_Data_Entry!$T$3:$T$548,"&lt;&gt;"),"")</f>
        <v/>
      </c>
      <c r="O107" s="136">
        <f>IFERROR(SUMIFS(LLM_Data_Entry!$T$3:$T$548,LLM_Data_Entry!$A$3:$A$548,$I107,LLM_Data_Entry!$F$3:$F$548,"LLM",LLM_Data_Entry!$H$3:$H$548,"&lt;&gt;HOLD"),"")</f>
        <v/>
      </c>
    </row>
    <row r="108" ht="45.95" customHeight="1" s="241">
      <c r="A108" t="inlineStr">
        <is>
          <t>Shell</t>
        </is>
      </c>
      <c r="B108" s="133">
        <f>COUNTIFS(Human_Data_Entry!$A$3:$A$524,$A108,Human_Data_Entry!$H$3:$H$524,"Human",Human_Data_Entry!$S$3:$S$524,"?*")</f>
        <v/>
      </c>
      <c r="C108" s="133">
        <f>COUNTIFS(Human_Data_Entry!$A$3:$A$524,$A108,Human_Data_Entry!$H$3:$H$524,"Human",Human_Data_Entry!$S$3:$S$524,"YES")</f>
        <v/>
      </c>
      <c r="D108" s="83">
        <f>IF(B108=0,"-",C108/B108)</f>
        <v/>
      </c>
      <c r="E108" s="133">
        <f>COUNTIFS(LLM_Data_Entry!$A$3:$A$548,$A108,LLM_Data_Entry!$F$3:$F$548,"LLM",LLM_Data_Entry!$R$3:$R$548,"&lt;&gt;")</f>
        <v/>
      </c>
      <c r="F108" s="134">
        <f>COUNTIFS(LLM_Data_Entry!$A$3:$A$548,$A108,LLM_Data_Entry!$F$3:$F$548,"LLM",LLM_Data_Entry!$R$3:$R$548,"YES")</f>
        <v/>
      </c>
      <c r="G108" s="83">
        <f>IF(E108=0,"-",F108/E108)</f>
        <v/>
      </c>
      <c r="I108">
        <f>A108</f>
        <v/>
      </c>
      <c r="J108" s="135">
        <f>SUMPRODUCT((Human_Data_Entry!$A$3:$A$524=$I108)*(Human_Data_Entry!$H$3:$H$524="Human")*((Human_Data_Entry!$J$3:$J$524="BUY")+(Human_Data_Entry!$J$3:$J$524="SELL"))*ISNUMBER(Human_Data_Entry!$U$3:$U$524))</f>
        <v/>
      </c>
      <c r="K108" s="136">
        <f>IFERROR(AVERAGEIFS(Human_Data_Entry!$U$3:$U$524,Human_Data_Entry!$A$3:$A$524,$I108,Human_Data_Entry!$H$3:$H$524,"Human",Human_Data_Entry!$J$3:$J$524,"&lt;&gt;HOLD",Human_Data_Entry!$U$3:$U$524,"&lt;&gt;"),"")</f>
        <v/>
      </c>
      <c r="L108" s="136">
        <f>IFERROR(SUMIFS(Human_Data_Entry!$U$3:$U$524,Human_Data_Entry!$A$3:$A$524,$I108,Human_Data_Entry!$H$3:$H$524,"Human",Human_Data_Entry!$J$3:$J$524,"&lt;&gt;HOLD"),"")</f>
        <v/>
      </c>
      <c r="M108" s="206">
        <f>COUNTIFS(LLM_Data_Entry!$A$3:$A$548,$I108,LLM_Data_Entry!$F$3:$F$548,"LLM",LLM_Data_Entry!$H$3:$H$548,"&lt;&gt;HOLD",LLM_Data_Entry!$T$3:$T$548,"&lt;&gt;")</f>
        <v/>
      </c>
      <c r="N108" s="136">
        <f>IFERROR(AVERAGEIFS(LLM_Data_Entry!$T$3:$T$548,LLM_Data_Entry!$A$3:$A$548,$I108,LLM_Data_Entry!$F$3:$F$548,"LLM",LLM_Data_Entry!$H$3:$H$548,"&lt;&gt;HOLD",LLM_Data_Entry!$T$3:$T$548,"&lt;&gt;"),"")</f>
        <v/>
      </c>
      <c r="O108" s="136">
        <f>IFERROR(SUMIFS(LLM_Data_Entry!$T$3:$T$548,LLM_Data_Entry!$A$3:$A$548,$I108,LLM_Data_Entry!$F$3:$F$548,"LLM",LLM_Data_Entry!$H$3:$H$548,"&lt;&gt;HOLD"),"")</f>
        <v/>
      </c>
    </row>
    <row r="109" ht="15.95" customHeight="1" s="241"/>
    <row r="110" ht="15.95" customHeight="1" s="241"/>
    <row r="111" ht="15.95" customHeight="1" s="241"/>
    <row r="112" ht="15.95" customHeight="1" s="241"/>
    <row r="113" ht="15.95" customHeight="1" s="241"/>
    <row r="114" ht="15.95" customHeight="1" s="241"/>
    <row r="115" ht="15.95" customHeight="1" s="241">
      <c r="A115" s="9" t="inlineStr">
        <is>
          <t>Secondary check - Always-SELL rule (not the study benchmark)</t>
        </is>
      </c>
    </row>
    <row r="116" ht="15.95" customHeight="1" s="241">
      <c r="B116" s="15" t="inlineStr">
        <is>
          <t>Total with
Prices Entered</t>
        </is>
      </c>
      <c r="C116" s="15" t="inlineStr">
        <is>
          <t># DOWN
moves</t>
        </is>
      </c>
      <c r="D116" s="15" t="inlineStr">
        <is>
          <t>Naive Baseline
% Correct</t>
        </is>
      </c>
    </row>
    <row r="117" ht="15.95" customHeight="1" s="241">
      <c r="A117" s="10" t="inlineStr">
        <is>
          <t>If always SELL:</t>
        </is>
      </c>
      <c r="B117" s="45">
        <f>COUNTIF(Human_Data_Entry!$S$3:$S$524,"?*")</f>
        <v/>
      </c>
      <c r="C117" s="45">
        <f>COUNTIF(Human_Data_Entry!$R$3:$R$524,"DOWN")</f>
        <v/>
      </c>
      <c r="D117" s="46">
        <f>IF(B117=0,"-",C117/B117)</f>
        <v/>
      </c>
    </row>
    <row r="118" ht="45.95" customHeight="1" s="241">
      <c r="A118" s="238" t="inlineStr">
        <is>
          <t>Secondary check only. The study's naive benchmark is the majority-direction floor on the Charts sheet (B14:C14) - the best a single constant call (always BUY, always SELL or always HOLD) could have done over the same scored events. Always-SELL is one arbitrary constant rule among those three and is kept here for reference. Compare human and LLM % Correct against the Charts floor, not against this figure.</t>
        </is>
      </c>
    </row>
    <row r="119" ht="15.95" customHeight="1" s="241"/>
    <row r="120" ht="15.95" customHeight="1" s="241"/>
    <row r="121" ht="30" customHeight="1" s="241">
      <c r="A121" s="101" t="inlineStr">
        <is>
          <t>SECTION C — SECOND RESULTS BLOCK, re-priced basis (the block above is unchanged and still the published one)</t>
        </is>
      </c>
    </row>
    <row r="122" ht="45.95" customHeight="1" s="241">
      <c r="A122" s="101" t="inlineStr">
        <is>
          <t>Basis: dividend-adjusted close and open; reaction window per event (pre-report close to post-report open); the listing named in column B of each data-entry sheet; the FLAT band applied to the return itself at the +/-2% Settings!B3 declares, NOT to a 4dp-rounded copy of it (rounding first widens the band to +/-2.005%, which is what the published block above does). Every reading in both arms is re-priced; none is left out.</t>
        </is>
      </c>
    </row>
    <row r="123" ht="15.95" customHeight="1" s="241"/>
    <row r="124" ht="15.95" customHeight="1" s="241">
      <c r="B124" t="inlineStr">
        <is>
          <t>Human (re-priced)</t>
        </is>
      </c>
      <c r="C124" t="inlineStr">
        <is>
          <t>LLM (re-priced)</t>
        </is>
      </c>
    </row>
    <row r="125" ht="15.95" customHeight="1" s="241">
      <c r="A125" t="inlineStr">
        <is>
          <t>Readings re-priced</t>
        </is>
      </c>
      <c r="B125">
        <f>SUMPRODUCT(--(Human_Data_Entry!$AJ$3:$AJ$524&lt;&gt;""))</f>
        <v/>
      </c>
      <c r="C125">
        <f>SUMPRODUCT(--(LLM_Data_Entry!$AE$3:$AE$430&lt;&gt;""))</f>
        <v/>
      </c>
    </row>
    <row r="126" ht="15.95" customHeight="1" s="241">
      <c r="A126" t="inlineStr">
        <is>
          <t>Correct</t>
        </is>
      </c>
      <c r="B126">
        <f>SUMPRODUCT(--(Human_Data_Entry!$AJ$3:$AJ$524="YES"))</f>
        <v/>
      </c>
      <c r="C126">
        <f>SUMPRODUCT(--(LLM_Data_Entry!$AE$3:$AE$430="YES"))</f>
        <v/>
      </c>
    </row>
    <row r="127" ht="15.95" customHeight="1" s="241">
      <c r="A127" t="inlineStr">
        <is>
          <t>% Correct</t>
        </is>
      </c>
      <c r="B127">
        <f>IFERROR(B126/B125,"")</f>
        <v/>
      </c>
      <c r="C127">
        <f>IFERROR(C126/C125,"")</f>
        <v/>
      </c>
    </row>
    <row r="128" ht="45.95" customHeight="1" s="241">
      <c r="A128" t="inlineStr">
        <is>
          <t>Naive floor (best single constant call)</t>
        </is>
      </c>
      <c r="B128" s="101">
        <f>IFERROR(MAX(SUMPRODUCT(--(Human_Data_Entry!$AI$3:$AI$524="UP")),SUMPRODUCT(--(Human_Data_Entry!$AI$3:$AI$524="DOWN")),SUMPRODUCT(--(Human_Data_Entry!$AI$3:$AI$524="FLAT")))/B125,"")</f>
        <v/>
      </c>
      <c r="C128" s="101">
        <f>IFERROR(MAX(SUMPRODUCT(--(LLM_Data_Entry!$AD$3:$AD$430="UP")),SUMPRODUCT(--(LLM_Data_Entry!$AD$3:$AD$430="DOWN")),SUMPRODUCT(--(LLM_Data_Entry!$AD$3:$AD$430="FLAT")))/C125,"")</f>
        <v/>
      </c>
    </row>
    <row r="129" ht="30" customHeight="1" s="241">
      <c r="A129" t="inlineStr">
        <is>
          <t># Trades</t>
        </is>
      </c>
      <c r="B129" s="101">
        <f>SUMPRODUCT(--(Human_Data_Entry!$AJ$3:$AJ$524&lt;&gt;""),--((Human_Data_Entry!$J$3:$J$524="BUY")+(Human_Data_Entry!$J$3:$J$524="SELL")&gt;0))</f>
        <v/>
      </c>
      <c r="C129" s="101">
        <f>SUMPRODUCT(--(LLM_Data_Entry!$AE$3:$AE$430&lt;&gt;""),--((LLM_Data_Entry!$H$3:$H$430="BUY")+(LLM_Data_Entry!$H$3:$H$430="SELL")&gt;0))</f>
        <v/>
      </c>
    </row>
    <row r="130" ht="15.95" customHeight="1" s="241">
      <c r="A130" t="inlineStr">
        <is>
          <t>Total Return % (sum of per-trade)</t>
        </is>
      </c>
      <c r="B130">
        <f>SUM(Human_Data_Entry!$AK$3:$AK$524)</f>
        <v/>
      </c>
      <c r="C130">
        <f>SUM(LLM_Data_Entry!$AF$3:$AF$430)</f>
        <v/>
      </c>
    </row>
    <row r="131" ht="15.95" customHeight="1" s="241">
      <c r="A131" t="inlineStr">
        <is>
          <t>Avg %/Trade</t>
        </is>
      </c>
      <c r="B131">
        <f>IFERROR(B130/B129,"")</f>
        <v/>
      </c>
      <c r="C131">
        <f>IFERROR(C130/C129,"")</f>
        <v/>
      </c>
    </row>
    <row r="132" ht="15.95" customHeight="1" s="241">
      <c r="A132" t="inlineStr">
        <is>
          <t>Outcome mix — UP</t>
        </is>
      </c>
      <c r="B132">
        <f>SUMPRODUCT(--(Human_Data_Entry!$AI$3:$AI$524="UP"))</f>
        <v/>
      </c>
      <c r="C132">
        <f>SUMPRODUCT(--(LLM_Data_Entry!$AD$3:$AD$430="UP"))</f>
        <v/>
      </c>
    </row>
    <row r="133" ht="15.95" customHeight="1" s="241">
      <c r="A133" t="inlineStr">
        <is>
          <t>Outcome mix — DOWN</t>
        </is>
      </c>
      <c r="B133">
        <f>SUMPRODUCT(--(Human_Data_Entry!$AI$3:$AI$524="DOWN"))</f>
        <v/>
      </c>
      <c r="C133">
        <f>SUMPRODUCT(--(LLM_Data_Entry!$AD$3:$AD$430="DOWN"))</f>
        <v/>
      </c>
    </row>
    <row r="134" ht="15.95" customHeight="1" s="241">
      <c r="A134" t="inlineStr">
        <is>
          <t>Outcome mix — FLAT</t>
        </is>
      </c>
      <c r="B134">
        <f>SUMPRODUCT(--(Human_Data_Entry!$AI$3:$AI$524="FLAT"))</f>
        <v/>
      </c>
      <c r="C134">
        <f>SUMPRODUCT(--(LLM_Data_Entry!$AD$3:$AD$430="FLAT"))</f>
        <v/>
      </c>
    </row>
    <row r="135" ht="15.95" customHeight="1" s="241">
      <c r="A135" t="inlineStr">
        <is>
          <t>Readings left out — window undetermined</t>
        </is>
      </c>
      <c r="B135" t="n">
        <v>0</v>
      </c>
      <c r="C135" t="n">
        <v>0</v>
      </c>
    </row>
    <row r="136" ht="15.95" customHeight="1" s="241"/>
    <row r="137" ht="15.95" customHeight="1" s="241">
      <c r="A137" t="inlineStr">
        <is>
          <t>Head to head, on readings both arms re-priced</t>
        </is>
      </c>
    </row>
    <row r="138" ht="15.95" customHeight="1" s="241">
      <c r="A138" t="inlineStr">
        <is>
          <t>Matched readings</t>
        </is>
      </c>
      <c r="B138" t="n">
        <v>279</v>
      </c>
    </row>
    <row r="139" ht="15.95" customHeight="1" s="241">
      <c r="A139" t="inlineStr">
        <is>
          <t>Both correct</t>
        </is>
      </c>
      <c r="B139" t="n">
        <v>47</v>
      </c>
    </row>
    <row r="140" ht="15.95" customHeight="1" s="241">
      <c r="A140" t="inlineStr">
        <is>
          <t>Human only</t>
        </is>
      </c>
      <c r="B140" t="n">
        <v>56</v>
      </c>
    </row>
    <row r="141" ht="15.95" customHeight="1" s="241">
      <c r="A141" t="inlineStr">
        <is>
          <t>LLM only</t>
        </is>
      </c>
      <c r="B141" t="n">
        <v>69</v>
      </c>
    </row>
    <row r="142" ht="15.95" customHeight="1" s="241">
      <c r="A142" t="inlineStr">
        <is>
          <t>Neither</t>
        </is>
      </c>
      <c r="B142" t="n">
        <v>107</v>
      </c>
    </row>
    <row r="143" ht="15.95" customHeight="1" s="241">
      <c r="A143" t="inlineStr">
        <is>
          <t>Same decision</t>
        </is>
      </c>
      <c r="B143" t="n">
        <v>108</v>
      </c>
    </row>
    <row r="144" ht="15.95" customHeight="1" s="241">
      <c r="A144" t="inlineStr">
        <is>
          <t>Net calls gained by humans</t>
        </is>
      </c>
      <c r="B144" t="n">
        <v>-13</v>
      </c>
    </row>
    <row r="145" ht="30" customHeight="1" s="241">
      <c r="A145" s="101" t="inlineStr">
        <is>
          <t>Readings where the arms disagree on direction — a check, not a result: under one series over one window it must be zero</t>
        </is>
      </c>
      <c r="B145" t="n">
        <v>0</v>
      </c>
    </row>
    <row r="146" ht="15.95" customHeight="1" s="241"/>
    <row r="147" ht="45.95" customHeight="1" s="241">
      <c r="A147" s="101" t="inlineStr">
        <is>
          <t>The 2x2 is a count taken at build time, not a formula: both arms are matched on Company|Year|Quarter and the pairing cannot be expressed over these columns without a lookup on every row. rb_check_c.py recomputes all of it from the raw prices.</t>
        </is>
      </c>
    </row>
    <row r="148" ht="15.95" customHeight="1" s="241"/>
    <row r="149" ht="15.95" customHeight="1" s="241"/>
    <row r="150" ht="30" customHeight="1" s="241">
      <c r="A150" s="101" t="inlineStr">
        <is>
          <t>SECTION D - ANALYSIS BLOCKS. Re-aggregations of the trades already in this workbook: no new price and no new decision. Nothing above row 148 was changed.</t>
        </is>
      </c>
    </row>
    <row r="151" ht="45.95" customHeight="1" s="241">
      <c r="A151" s="101" t="inlineStr">
        <is>
          <t>Every block is reported on BOTH bases. 'published' reads the columns this workbook computes (Human_Data_Entry Q/R/S/U, LLM_Data_Entry P/Q/R/T); 're-priced' reads section C's columns on the declared basis (Human AH:AK, LLM AC:AF). Section C showed that the pricing decides which arm wins, so a block on one basis alone would be a finding about a convention rather than about the arms.</t>
        </is>
      </c>
    </row>
    <row r="152" ht="15.95" customHeight="1" s="241"/>
    <row r="153" ht="15.95" customHeight="1" s="241">
      <c r="A153" t="inlineStr">
        <is>
          <t>D5a - Accuracy and P&amp;L by phase</t>
        </is>
      </c>
    </row>
    <row r="154" ht="45.95" customHeight="1" s="241">
      <c r="A154" s="101" t="inlineStr">
        <is>
          <t>Phase comes from Human_Data_Entry!AL and LLM_Data_Entry!AG, which look it up from Company_List!G. 'no corpus folder' means the company has a row in Company_List but no reading folder in either corpus; 'not in Company_List' means it has no row at all.</t>
        </is>
      </c>
    </row>
    <row r="155" ht="15.95" customHeight="1" s="241"/>
    <row r="156" ht="15.95" customHeight="1" s="241">
      <c r="A156" t="inlineStr">
        <is>
          <t>Phase</t>
        </is>
      </c>
      <c r="B156" t="inlineStr">
        <is>
          <t>Human n</t>
        </is>
      </c>
      <c r="C156" t="inlineStr">
        <is>
          <t>Human correct</t>
        </is>
      </c>
      <c r="D156" t="inlineStr">
        <is>
          <t>Human %</t>
        </is>
      </c>
      <c r="E156" t="inlineStr">
        <is>
          <t>Human trades</t>
        </is>
      </c>
      <c r="F156" t="inlineStr">
        <is>
          <t>Human return</t>
        </is>
      </c>
      <c r="G156" t="inlineStr">
        <is>
          <t>Human share of return</t>
        </is>
      </c>
      <c r="H156" t="inlineStr">
        <is>
          <t>LLM n</t>
        </is>
      </c>
      <c r="I156" t="inlineStr">
        <is>
          <t>LLM correct</t>
        </is>
      </c>
      <c r="J156" t="inlineStr">
        <is>
          <t>LLM %</t>
        </is>
      </c>
      <c r="K156" t="inlineStr">
        <is>
          <t>LLM trades</t>
        </is>
      </c>
      <c r="L156" t="inlineStr">
        <is>
          <t>LLM return</t>
        </is>
      </c>
      <c r="M156" s="2" t="inlineStr">
        <is>
          <t>Human n (re-priced)</t>
        </is>
      </c>
      <c r="N156" t="inlineStr">
        <is>
          <t>Human % (re-priced)</t>
        </is>
      </c>
      <c r="O156" t="inlineStr">
        <is>
          <t>Human return (re-priced)</t>
        </is>
      </c>
      <c r="P156" t="inlineStr">
        <is>
          <t>LLM n (re-priced)</t>
        </is>
      </c>
      <c r="Q156" t="inlineStr">
        <is>
          <t>LLM % (re-priced)</t>
        </is>
      </c>
      <c r="R156" t="inlineStr">
        <is>
          <t>LLM return (re-priced)</t>
        </is>
      </c>
    </row>
    <row r="157" ht="45.95" customHeight="1" s="241">
      <c r="A157" t="inlineStr">
        <is>
          <t>Phase 2</t>
        </is>
      </c>
      <c r="B157" s="101">
        <f>COUNTIFS(Human_Data_Entry!$S$3:$S$524,"?*",Human_Data_Entry!$H$3:$H$524,"Human",Human_Data_Entry!$AL$3:$AL$524,"P2")</f>
        <v/>
      </c>
      <c r="C157" s="101">
        <f>COUNTIFS(Human_Data_Entry!$S$3:$S$524,"YES",Human_Data_Entry!$H$3:$H$524,"Human",Human_Data_Entry!$AL$3:$AL$524,"P2")</f>
        <v/>
      </c>
      <c r="D157">
        <f>IFERROR(C157/B157,"")</f>
        <v/>
      </c>
      <c r="E157" s="101">
        <f>COUNTIFS(Human_Data_Entry!$J$3:$J$524,"BUY",Human_Data_Entry!$S$3:$S$524,"?*",Human_Data_Entry!$H$3:$H$524,"Human",Human_Data_Entry!$AL$3:$AL$524,"P2")+COUNTIFS(Human_Data_Entry!$J$3:$J$524,"SELL",Human_Data_Entry!$S$3:$S$524,"?*",Human_Data_Entry!$H$3:$H$524,"Human",Human_Data_Entry!$AL$3:$AL$524,"P2")</f>
        <v/>
      </c>
      <c r="F157" s="101">
        <f>SUMIFS(Human_Data_Entry!$AT$3:$AT$524,Human_Data_Entry!$AL$3:$AL$524,"P2")</f>
        <v/>
      </c>
      <c r="G157">
        <f>IFERROR(F157/$F$161,"")</f>
        <v/>
      </c>
      <c r="H157" s="101">
        <f>COUNTIFS(LLM_Data_Entry!$R$3:$R$430,"?*",LLM_Data_Entry!$AG$3:$AG$430,"P2")</f>
        <v/>
      </c>
      <c r="I157" s="101">
        <f>COUNTIFS(LLM_Data_Entry!$R$3:$R$430,"YES",LLM_Data_Entry!$AG$3:$AG$430,"P2")</f>
        <v/>
      </c>
      <c r="J157">
        <f>IFERROR(I157/H157,"")</f>
        <v/>
      </c>
      <c r="K157" s="101">
        <f>COUNTIFS(LLM_Data_Entry!$H$3:$H$430,"BUY",LLM_Data_Entry!$R$3:$R$430,"?*",LLM_Data_Entry!$AG$3:$AG$430,"P2")+COUNTIFS(LLM_Data_Entry!$H$3:$H$430,"SELL",LLM_Data_Entry!$R$3:$R$430,"?*",LLM_Data_Entry!$AG$3:$AG$430,"P2")</f>
        <v/>
      </c>
      <c r="L157" s="101">
        <f>SUMIFS(LLM_Data_Entry!$AM$3:$AM$430,LLM_Data_Entry!$AG$3:$AG$430,"P2")</f>
        <v/>
      </c>
      <c r="M157" s="207">
        <f>COUNTIFS(Human_Data_Entry!$AJ$3:$AJ$524,"?*",Human_Data_Entry!$H$3:$H$524,"Human",Human_Data_Entry!$AL$3:$AL$524,"P2")</f>
        <v/>
      </c>
      <c r="N157" s="101">
        <f>IFERROR(COUNTIFS(Human_Data_Entry!$AJ$3:$AJ$524,"YES",Human_Data_Entry!$H$3:$H$524,"Human",Human_Data_Entry!$AL$3:$AL$524,"P2")/M157,"")</f>
        <v/>
      </c>
      <c r="O157" s="101">
        <f>SUMIFS(Human_Data_Entry!$AU$3:$AU$524,Human_Data_Entry!$AL$3:$AL$524,"P2")</f>
        <v/>
      </c>
      <c r="P157" s="101">
        <f>COUNTIFS(LLM_Data_Entry!$AE$3:$AE$430,"?*",LLM_Data_Entry!$AG$3:$AG$430,"P2")</f>
        <v/>
      </c>
      <c r="Q157" s="101">
        <f>IFERROR(COUNTIFS(LLM_Data_Entry!$AE$3:$AE$430,"YES",LLM_Data_Entry!$AG$3:$AG$430,"P2")/P157,"")</f>
        <v/>
      </c>
      <c r="R157" s="101">
        <f>SUMIFS(LLM_Data_Entry!$AN$3:$AN$430,LLM_Data_Entry!$AG$3:$AG$430,"P2")</f>
        <v/>
      </c>
    </row>
    <row r="158" ht="45.95" customHeight="1" s="241">
      <c r="A158" t="inlineStr">
        <is>
          <t>Phase 3</t>
        </is>
      </c>
      <c r="B158" s="101">
        <f>COUNTIFS(Human_Data_Entry!$S$3:$S$524,"?*",Human_Data_Entry!$H$3:$H$524,"Human",Human_Data_Entry!$AL$3:$AL$524,"P3")</f>
        <v/>
      </c>
      <c r="C158" s="101">
        <f>COUNTIFS(Human_Data_Entry!$S$3:$S$524,"YES",Human_Data_Entry!$H$3:$H$524,"Human",Human_Data_Entry!$AL$3:$AL$524,"P3")</f>
        <v/>
      </c>
      <c r="D158">
        <f>IFERROR(C158/B158,"")</f>
        <v/>
      </c>
      <c r="E158" s="101">
        <f>COUNTIFS(Human_Data_Entry!$J$3:$J$524,"BUY",Human_Data_Entry!$S$3:$S$524,"?*",Human_Data_Entry!$H$3:$H$524,"Human",Human_Data_Entry!$AL$3:$AL$524,"P3")+COUNTIFS(Human_Data_Entry!$J$3:$J$524,"SELL",Human_Data_Entry!$S$3:$S$524,"?*",Human_Data_Entry!$H$3:$H$524,"Human",Human_Data_Entry!$AL$3:$AL$524,"P3")</f>
        <v/>
      </c>
      <c r="F158" s="101">
        <f>SUMIFS(Human_Data_Entry!$AT$3:$AT$524,Human_Data_Entry!$AL$3:$AL$524,"P3")</f>
        <v/>
      </c>
      <c r="G158">
        <f>IFERROR(F158/$F$161,"")</f>
        <v/>
      </c>
      <c r="H158" s="101">
        <f>COUNTIFS(LLM_Data_Entry!$R$3:$R$430,"?*",LLM_Data_Entry!$AG$3:$AG$430,"P3")</f>
        <v/>
      </c>
      <c r="I158" s="101">
        <f>COUNTIFS(LLM_Data_Entry!$R$3:$R$430,"YES",LLM_Data_Entry!$AG$3:$AG$430,"P3")</f>
        <v/>
      </c>
      <c r="J158">
        <f>IFERROR(I158/H158,"")</f>
        <v/>
      </c>
      <c r="K158" s="101">
        <f>COUNTIFS(LLM_Data_Entry!$H$3:$H$430,"BUY",LLM_Data_Entry!$R$3:$R$430,"?*",LLM_Data_Entry!$AG$3:$AG$430,"P3")+COUNTIFS(LLM_Data_Entry!$H$3:$H$430,"SELL",LLM_Data_Entry!$R$3:$R$430,"?*",LLM_Data_Entry!$AG$3:$AG$430,"P3")</f>
        <v/>
      </c>
      <c r="L158" s="101">
        <f>SUMIFS(LLM_Data_Entry!$AM$3:$AM$430,LLM_Data_Entry!$AG$3:$AG$430,"P3")</f>
        <v/>
      </c>
      <c r="M158" s="207">
        <f>COUNTIFS(Human_Data_Entry!$AJ$3:$AJ$524,"?*",Human_Data_Entry!$H$3:$H$524,"Human",Human_Data_Entry!$AL$3:$AL$524,"P3")</f>
        <v/>
      </c>
      <c r="N158" s="101">
        <f>IFERROR(COUNTIFS(Human_Data_Entry!$AJ$3:$AJ$524,"YES",Human_Data_Entry!$H$3:$H$524,"Human",Human_Data_Entry!$AL$3:$AL$524,"P3")/M158,"")</f>
        <v/>
      </c>
      <c r="O158" s="101">
        <f>SUMIFS(Human_Data_Entry!$AU$3:$AU$524,Human_Data_Entry!$AL$3:$AL$524,"P3")</f>
        <v/>
      </c>
      <c r="P158" s="101">
        <f>COUNTIFS(LLM_Data_Entry!$AE$3:$AE$430,"?*",LLM_Data_Entry!$AG$3:$AG$430,"P3")</f>
        <v/>
      </c>
      <c r="Q158" s="101">
        <f>IFERROR(COUNTIFS(LLM_Data_Entry!$AE$3:$AE$430,"YES",LLM_Data_Entry!$AG$3:$AG$430,"P3")/P158,"")</f>
        <v/>
      </c>
      <c r="R158" s="101">
        <f>SUMIFS(LLM_Data_Entry!$AN$3:$AN$430,LLM_Data_Entry!$AG$3:$AG$430,"P3")</f>
        <v/>
      </c>
    </row>
    <row r="159" ht="45.95" customHeight="1" s="241">
      <c r="A159" t="inlineStr">
        <is>
          <t>both corpora</t>
        </is>
      </c>
      <c r="B159" s="101">
        <f>COUNTIFS(Human_Data_Entry!$S$3:$S$524,"?*",Human_Data_Entry!$H$3:$H$524,"Human",Human_Data_Entry!$AL$3:$AL$524,"both")</f>
        <v/>
      </c>
      <c r="C159" s="101">
        <f>COUNTIFS(Human_Data_Entry!$S$3:$S$524,"YES",Human_Data_Entry!$H$3:$H$524,"Human",Human_Data_Entry!$AL$3:$AL$524,"both")</f>
        <v/>
      </c>
      <c r="D159">
        <f>IFERROR(C159/B159,"")</f>
        <v/>
      </c>
      <c r="E159" s="101">
        <f>COUNTIFS(Human_Data_Entry!$J$3:$J$524,"BUY",Human_Data_Entry!$S$3:$S$524,"?*",Human_Data_Entry!$H$3:$H$524,"Human",Human_Data_Entry!$AL$3:$AL$524,"both")+COUNTIFS(Human_Data_Entry!$J$3:$J$524,"SELL",Human_Data_Entry!$S$3:$S$524,"?*",Human_Data_Entry!$H$3:$H$524,"Human",Human_Data_Entry!$AL$3:$AL$524,"both")</f>
        <v/>
      </c>
      <c r="F159" s="101">
        <f>SUMIFS(Human_Data_Entry!$AT$3:$AT$524,Human_Data_Entry!$AL$3:$AL$524,"both")</f>
        <v/>
      </c>
      <c r="G159">
        <f>IFERROR(F159/$F$161,"")</f>
        <v/>
      </c>
      <c r="H159" s="101">
        <f>COUNTIFS(LLM_Data_Entry!$R$3:$R$430,"?*",LLM_Data_Entry!$AG$3:$AG$430,"both")</f>
        <v/>
      </c>
      <c r="I159" s="101">
        <f>COUNTIFS(LLM_Data_Entry!$R$3:$R$430,"YES",LLM_Data_Entry!$AG$3:$AG$430,"both")</f>
        <v/>
      </c>
      <c r="J159">
        <f>IFERROR(I159/H159,"")</f>
        <v/>
      </c>
      <c r="K159" s="101">
        <f>COUNTIFS(LLM_Data_Entry!$H$3:$H$430,"BUY",LLM_Data_Entry!$R$3:$R$430,"?*",LLM_Data_Entry!$AG$3:$AG$430,"both")+COUNTIFS(LLM_Data_Entry!$H$3:$H$430,"SELL",LLM_Data_Entry!$R$3:$R$430,"?*",LLM_Data_Entry!$AG$3:$AG$430,"both")</f>
        <v/>
      </c>
      <c r="L159" s="101">
        <f>SUMIFS(LLM_Data_Entry!$AM$3:$AM$430,LLM_Data_Entry!$AG$3:$AG$430,"both")</f>
        <v/>
      </c>
      <c r="M159" s="207">
        <f>COUNTIFS(Human_Data_Entry!$AJ$3:$AJ$524,"?*",Human_Data_Entry!$H$3:$H$524,"Human",Human_Data_Entry!$AL$3:$AL$524,"both")</f>
        <v/>
      </c>
      <c r="N159" s="101">
        <f>IFERROR(COUNTIFS(Human_Data_Entry!$AJ$3:$AJ$524,"YES",Human_Data_Entry!$H$3:$H$524,"Human",Human_Data_Entry!$AL$3:$AL$524,"both")/M159,"")</f>
        <v/>
      </c>
      <c r="O159" s="101">
        <f>SUMIFS(Human_Data_Entry!$AU$3:$AU$524,Human_Data_Entry!$AL$3:$AL$524,"both")</f>
        <v/>
      </c>
      <c r="P159" s="101">
        <f>COUNTIFS(LLM_Data_Entry!$AE$3:$AE$430,"?*",LLM_Data_Entry!$AG$3:$AG$430,"both")</f>
        <v/>
      </c>
      <c r="Q159" s="101">
        <f>IFERROR(COUNTIFS(LLM_Data_Entry!$AE$3:$AE$430,"YES",LLM_Data_Entry!$AG$3:$AG$430,"both")/P159,"")</f>
        <v/>
      </c>
      <c r="R159" s="101">
        <f>SUMIFS(LLM_Data_Entry!$AN$3:$AN$430,LLM_Data_Entry!$AG$3:$AG$430,"both")</f>
        <v/>
      </c>
    </row>
    <row r="160" ht="45.95" customHeight="1" s="241">
      <c r="A160" t="inlineStr">
        <is>
          <t>not in Company_List</t>
        </is>
      </c>
      <c r="B160" s="101">
        <f>COUNTIFS(Human_Data_Entry!$S$3:$S$524,"?*",Human_Data_Entry!$H$3:$H$524,"Human",Human_Data_Entry!$AL$3:$AL$524,"unassigned")</f>
        <v/>
      </c>
      <c r="C160" s="101">
        <f>COUNTIFS(Human_Data_Entry!$S$3:$S$524,"YES",Human_Data_Entry!$H$3:$H$524,"Human",Human_Data_Entry!$AL$3:$AL$524,"unassigned")</f>
        <v/>
      </c>
      <c r="D160">
        <f>IFERROR(C160/B160,"")</f>
        <v/>
      </c>
      <c r="E160" s="101">
        <f>COUNTIFS(Human_Data_Entry!$J$3:$J$524,"BUY",Human_Data_Entry!$S$3:$S$524,"?*",Human_Data_Entry!$H$3:$H$524,"Human",Human_Data_Entry!$AL$3:$AL$524,"unassigned")+COUNTIFS(Human_Data_Entry!$J$3:$J$524,"SELL",Human_Data_Entry!$S$3:$S$524,"?*",Human_Data_Entry!$H$3:$H$524,"Human",Human_Data_Entry!$AL$3:$AL$524,"unassigned")</f>
        <v/>
      </c>
      <c r="F160" s="101">
        <f>SUMIFS(Human_Data_Entry!$AT$3:$AT$524,Human_Data_Entry!$AL$3:$AL$524,"unassigned")</f>
        <v/>
      </c>
      <c r="G160">
        <f>IFERROR(F160/$F$161,"")</f>
        <v/>
      </c>
      <c r="H160" s="101">
        <f>COUNTIFS(LLM_Data_Entry!$R$3:$R$430,"?*",LLM_Data_Entry!$AG$3:$AG$430,"unassigned")</f>
        <v/>
      </c>
      <c r="I160" s="101">
        <f>COUNTIFS(LLM_Data_Entry!$R$3:$R$430,"YES",LLM_Data_Entry!$AG$3:$AG$430,"unassigned")</f>
        <v/>
      </c>
      <c r="J160">
        <f>IFERROR(I160/H160,"")</f>
        <v/>
      </c>
      <c r="K160" s="101">
        <f>COUNTIFS(LLM_Data_Entry!$H$3:$H$430,"BUY",LLM_Data_Entry!$R$3:$R$430,"?*",LLM_Data_Entry!$AG$3:$AG$430,"unassigned")+COUNTIFS(LLM_Data_Entry!$H$3:$H$430,"SELL",LLM_Data_Entry!$R$3:$R$430,"?*",LLM_Data_Entry!$AG$3:$AG$430,"unassigned")</f>
        <v/>
      </c>
      <c r="L160" s="101">
        <f>SUMIFS(LLM_Data_Entry!$AM$3:$AM$430,LLM_Data_Entry!$AG$3:$AG$430,"unassigned")</f>
        <v/>
      </c>
      <c r="M160" s="207">
        <f>COUNTIFS(Human_Data_Entry!$AJ$3:$AJ$524,"?*",Human_Data_Entry!$H$3:$H$524,"Human",Human_Data_Entry!$AL$3:$AL$524,"unassigned")</f>
        <v/>
      </c>
      <c r="N160" s="101">
        <f>IFERROR(COUNTIFS(Human_Data_Entry!$AJ$3:$AJ$524,"YES",Human_Data_Entry!$H$3:$H$524,"Human",Human_Data_Entry!$AL$3:$AL$524,"unassigned")/M160,"")</f>
        <v/>
      </c>
      <c r="O160" s="101">
        <f>SUMIFS(Human_Data_Entry!$AU$3:$AU$524,Human_Data_Entry!$AL$3:$AL$524,"unassigned")</f>
        <v/>
      </c>
      <c r="P160" s="101">
        <f>COUNTIFS(LLM_Data_Entry!$AE$3:$AE$430,"?*",LLM_Data_Entry!$AG$3:$AG$430,"unassigned")</f>
        <v/>
      </c>
      <c r="Q160" s="101">
        <f>IFERROR(COUNTIFS(LLM_Data_Entry!$AE$3:$AE$430,"YES",LLM_Data_Entry!$AG$3:$AG$430,"unassigned")/P160,"")</f>
        <v/>
      </c>
      <c r="R160" s="101">
        <f>SUMIFS(LLM_Data_Entry!$AN$3:$AN$430,LLM_Data_Entry!$AG$3:$AG$430,"unassigned")</f>
        <v/>
      </c>
    </row>
    <row r="161" ht="45.95" customHeight="1" s="241">
      <c r="A161" t="inlineStr">
        <is>
          <t>TOTAL</t>
        </is>
      </c>
      <c r="B161" s="101">
        <f>COUNTIFS(Human_Data_Entry!$S$3:$S$524,"?*",Human_Data_Entry!$H$3:$H$524,"Human")</f>
        <v/>
      </c>
      <c r="C161" s="101">
        <f>COUNTIFS(Human_Data_Entry!$S$3:$S$524,"YES",Human_Data_Entry!$H$3:$H$524,"Human")</f>
        <v/>
      </c>
      <c r="D161">
        <f>IFERROR(C161/B161,"")</f>
        <v/>
      </c>
      <c r="E161" s="101">
        <f>COUNTIFS(Human_Data_Entry!$J$3:$J$524,"BUY",Human_Data_Entry!$S$3:$S$524,"?*",Human_Data_Entry!$H$3:$H$524,"Human")+COUNTIFS(Human_Data_Entry!$J$3:$J$524,"SELL",Human_Data_Entry!$S$3:$S$524,"?*",Human_Data_Entry!$H$3:$H$524,"Human")</f>
        <v/>
      </c>
      <c r="F161">
        <f>SUM(Human_Data_Entry!$AT$3:$AT$524)</f>
        <v/>
      </c>
      <c r="G161">
        <f>IFERROR(F161/$F$161,"")</f>
        <v/>
      </c>
      <c r="H161">
        <f>COUNTIFS(LLM_Data_Entry!$R$3:$R$430,"?*")</f>
        <v/>
      </c>
      <c r="I161">
        <f>COUNTIFS(LLM_Data_Entry!$R$3:$R$430,"YES")</f>
        <v/>
      </c>
      <c r="J161">
        <f>IFERROR(I161/H161,"")</f>
        <v/>
      </c>
      <c r="K161" s="101">
        <f>COUNTIFS(LLM_Data_Entry!$H$3:$H$430,"BUY",LLM_Data_Entry!$R$3:$R$430,"?*")+COUNTIFS(LLM_Data_Entry!$H$3:$H$430,"SELL",LLM_Data_Entry!$R$3:$R$430,"?*")</f>
        <v/>
      </c>
      <c r="L161">
        <f>SUM(LLM_Data_Entry!$AM$3:$AM$430)</f>
        <v/>
      </c>
      <c r="M161" s="207">
        <f>COUNTIFS(Human_Data_Entry!$AJ$3:$AJ$524,"?*",Human_Data_Entry!$H$3:$H$524,"Human")</f>
        <v/>
      </c>
      <c r="N161" s="101">
        <f>IFERROR(COUNTIFS(Human_Data_Entry!$AJ$3:$AJ$524,"YES",Human_Data_Entry!$H$3:$H$524,"Human")/M161,"")</f>
        <v/>
      </c>
      <c r="O161">
        <f>SUM(Human_Data_Entry!$AU$3:$AU$524)</f>
        <v/>
      </c>
      <c r="P161">
        <f>COUNTIFS(LLM_Data_Entry!$AE$3:$AE$430,"?*")</f>
        <v/>
      </c>
      <c r="Q161" s="101">
        <f>IFERROR(COUNTIFS(LLM_Data_Entry!$AE$3:$AE$430,"YES")/P161,"")</f>
        <v/>
      </c>
      <c r="R161">
        <f>SUM(LLM_Data_Entry!$AN$3:$AN$430)</f>
        <v/>
      </c>
    </row>
    <row r="162" ht="15.95" customHeight="1" s="241">
      <c r="A162" t="inlineStr">
        <is>
          <t>Reconciliation - the buckets must sum to the total</t>
        </is>
      </c>
      <c r="B162">
        <f>IF(SUM(B157:B160)=B161,"OK","MISMATCH")</f>
        <v/>
      </c>
      <c r="H162">
        <f>IF(SUM(H157:H160)=H161,"OK","MISMATCH")</f>
        <v/>
      </c>
      <c r="M162" s="2">
        <f>IF(SUM(M157:M160)=M161,"OK","MISMATCH")</f>
        <v/>
      </c>
      <c r="P162">
        <f>IF(SUM(P157:P160)=P161,"OK","MISMATCH")</f>
        <v/>
      </c>
    </row>
    <row r="163" ht="15.95" customHeight="1" s="241"/>
    <row r="164" ht="15.95" customHeight="1" s="241">
      <c r="A164" t="inlineStr">
        <is>
          <t>D5m - Accuracy and P&amp;L by sector</t>
        </is>
      </c>
    </row>
    <row r="165" ht="45.95" customHeight="1" s="241">
      <c r="A165" s="101" t="inlineStr">
        <is>
          <t>Sector comes from Human_Data_Entry!AZ and LLM_Data_Entry!AS, which look it up from Company_List!H. The classification is GICS at sector level, declared per company in the build and reviewable on Company_List. Note that GICS puts Target in Consumer Staples, Visa/Mastercard/PayPal/Block in Financials, Uber in Industrials and Sony in Consumer Discretionary; 'not in Company_List' means the company has no row there at all. Read the n columns before the % columns - several sectors carry too few readings to support a comparison.</t>
        </is>
      </c>
    </row>
    <row r="166" ht="15.95" customHeight="1" s="241"/>
    <row r="167" ht="15.95" customHeight="1" s="241">
      <c r="A167" t="inlineStr">
        <is>
          <t>Sector</t>
        </is>
      </c>
      <c r="B167" t="inlineStr">
        <is>
          <t>Human n</t>
        </is>
      </c>
      <c r="C167" t="inlineStr">
        <is>
          <t>Human correct</t>
        </is>
      </c>
      <c r="D167" t="inlineStr">
        <is>
          <t>Human %</t>
        </is>
      </c>
      <c r="E167" t="inlineStr">
        <is>
          <t>Human trades</t>
        </is>
      </c>
      <c r="F167" t="inlineStr">
        <is>
          <t>Human return</t>
        </is>
      </c>
      <c r="G167" t="inlineStr">
        <is>
          <t>Human share of return</t>
        </is>
      </c>
      <c r="H167" t="inlineStr">
        <is>
          <t>LLM n</t>
        </is>
      </c>
      <c r="I167" t="inlineStr">
        <is>
          <t>LLM correct</t>
        </is>
      </c>
      <c r="J167" t="inlineStr">
        <is>
          <t>LLM %</t>
        </is>
      </c>
      <c r="K167" t="inlineStr">
        <is>
          <t>LLM trades</t>
        </is>
      </c>
      <c r="L167" t="inlineStr">
        <is>
          <t>LLM return</t>
        </is>
      </c>
      <c r="M167" s="2" t="inlineStr">
        <is>
          <t>Human n (re-priced)</t>
        </is>
      </c>
      <c r="N167" t="inlineStr">
        <is>
          <t>Human % (re-priced)</t>
        </is>
      </c>
      <c r="O167" t="inlineStr">
        <is>
          <t>Human return (re-priced)</t>
        </is>
      </c>
      <c r="P167" t="inlineStr">
        <is>
          <t>LLM n (re-priced)</t>
        </is>
      </c>
      <c r="Q167" t="inlineStr">
        <is>
          <t>LLM % (re-priced)</t>
        </is>
      </c>
      <c r="R167" t="inlineStr">
        <is>
          <t>LLM return (re-priced)</t>
        </is>
      </c>
    </row>
    <row r="168" ht="45.95" customHeight="1" s="241">
      <c r="A168" t="inlineStr">
        <is>
          <t>Information Technology</t>
        </is>
      </c>
      <c r="B168" s="101">
        <f>COUNTIFS(Human_Data_Entry!$S$3:$S$524,"?*",Human_Data_Entry!$H$3:$H$524,"Human",Human_Data_Entry!$AZ$3:$AZ$524,"Information Technology")</f>
        <v/>
      </c>
      <c r="C168" s="101">
        <f>COUNTIFS(Human_Data_Entry!$S$3:$S$524,"YES",Human_Data_Entry!$H$3:$H$524,"Human",Human_Data_Entry!$AZ$3:$AZ$524,"Information Technology")</f>
        <v/>
      </c>
      <c r="D168">
        <f>IFERROR(C168/B168,"")</f>
        <v/>
      </c>
      <c r="E168" s="101">
        <f>COUNTIFS(Human_Data_Entry!$J$3:$J$524,"BUY",Human_Data_Entry!$S$3:$S$524,"?*",Human_Data_Entry!$H$3:$H$524,"Human",Human_Data_Entry!$AZ$3:$AZ$524,"Information Technology")+COUNTIFS(Human_Data_Entry!$J$3:$J$524,"SELL",Human_Data_Entry!$S$3:$S$524,"?*",Human_Data_Entry!$H$3:$H$524,"Human",Human_Data_Entry!$AZ$3:$AZ$524,"Information Technology")</f>
        <v/>
      </c>
      <c r="F168" s="101">
        <f>SUMIFS(Human_Data_Entry!$AT$3:$AT$524,Human_Data_Entry!$AZ$3:$AZ$524,"Information Technology")</f>
        <v/>
      </c>
      <c r="G168">
        <f>IFERROR(F168/$F$179,"")</f>
        <v/>
      </c>
      <c r="H168" s="101">
        <f>COUNTIFS(LLM_Data_Entry!$R$3:$R$430,"?*",LLM_Data_Entry!$AS$3:$AS$430,"Information Technology")</f>
        <v/>
      </c>
      <c r="I168" s="101">
        <f>COUNTIFS(LLM_Data_Entry!$R$3:$R$430,"YES",LLM_Data_Entry!$AS$3:$AS$430,"Information Technology")</f>
        <v/>
      </c>
      <c r="J168">
        <f>IFERROR(I168/H168,"")</f>
        <v/>
      </c>
      <c r="K168" s="101">
        <f>COUNTIFS(LLM_Data_Entry!$H$3:$H$430,"BUY",LLM_Data_Entry!$R$3:$R$430,"?*",LLM_Data_Entry!$AS$3:$AS$430,"Information Technology")+COUNTIFS(LLM_Data_Entry!$H$3:$H$430,"SELL",LLM_Data_Entry!$R$3:$R$430,"?*",LLM_Data_Entry!$AS$3:$AS$430,"Information Technology")</f>
        <v/>
      </c>
      <c r="L168" s="101">
        <f>SUMIFS(LLM_Data_Entry!$AM$3:$AM$430,LLM_Data_Entry!$AS$3:$AS$430,"Information Technology")</f>
        <v/>
      </c>
      <c r="M168" s="207">
        <f>COUNTIFS(Human_Data_Entry!$AJ$3:$AJ$524,"?*",Human_Data_Entry!$H$3:$H$524,"Human",Human_Data_Entry!$AZ$3:$AZ$524,"Information Technology")</f>
        <v/>
      </c>
      <c r="N168" s="101">
        <f>IFERROR(COUNTIFS(Human_Data_Entry!$AJ$3:$AJ$524,"YES",Human_Data_Entry!$H$3:$H$524,"Human",Human_Data_Entry!$AZ$3:$AZ$524,"Information Technology")/M168,"")</f>
        <v/>
      </c>
      <c r="O168" s="101">
        <f>SUMIFS(Human_Data_Entry!$AU$3:$AU$524,Human_Data_Entry!$AZ$3:$AZ$524,"Information Technology")</f>
        <v/>
      </c>
      <c r="P168" s="101">
        <f>COUNTIFS(LLM_Data_Entry!$AE$3:$AE$430,"?*",LLM_Data_Entry!$AS$3:$AS$430,"Information Technology")</f>
        <v/>
      </c>
      <c r="Q168" s="101">
        <f>IFERROR(COUNTIFS(LLM_Data_Entry!$AE$3:$AE$430,"YES",LLM_Data_Entry!$AS$3:$AS$430,"Information Technology")/P168,"")</f>
        <v/>
      </c>
      <c r="R168" s="101">
        <f>SUMIFS(LLM_Data_Entry!$AN$3:$AN$430,LLM_Data_Entry!$AS$3:$AS$430,"Information Technology")</f>
        <v/>
      </c>
    </row>
    <row r="169" ht="45.95" customHeight="1" s="241">
      <c r="A169" t="inlineStr">
        <is>
          <t>Communication Services</t>
        </is>
      </c>
      <c r="B169" s="101">
        <f>COUNTIFS(Human_Data_Entry!$S$3:$S$524,"?*",Human_Data_Entry!$H$3:$H$524,"Human",Human_Data_Entry!$AZ$3:$AZ$524,"Communication Services")</f>
        <v/>
      </c>
      <c r="C169" s="101">
        <f>COUNTIFS(Human_Data_Entry!$S$3:$S$524,"YES",Human_Data_Entry!$H$3:$H$524,"Human",Human_Data_Entry!$AZ$3:$AZ$524,"Communication Services")</f>
        <v/>
      </c>
      <c r="D169">
        <f>IFERROR(C169/B169,"")</f>
        <v/>
      </c>
      <c r="E169" s="101">
        <f>COUNTIFS(Human_Data_Entry!$J$3:$J$524,"BUY",Human_Data_Entry!$S$3:$S$524,"?*",Human_Data_Entry!$H$3:$H$524,"Human",Human_Data_Entry!$AZ$3:$AZ$524,"Communication Services")+COUNTIFS(Human_Data_Entry!$J$3:$J$524,"SELL",Human_Data_Entry!$S$3:$S$524,"?*",Human_Data_Entry!$H$3:$H$524,"Human",Human_Data_Entry!$AZ$3:$AZ$524,"Communication Services")</f>
        <v/>
      </c>
      <c r="F169" s="101">
        <f>SUMIFS(Human_Data_Entry!$AT$3:$AT$524,Human_Data_Entry!$AZ$3:$AZ$524,"Communication Services")</f>
        <v/>
      </c>
      <c r="G169">
        <f>IFERROR(F169/$F$179,"")</f>
        <v/>
      </c>
      <c r="H169" s="101">
        <f>COUNTIFS(LLM_Data_Entry!$R$3:$R$430,"?*",LLM_Data_Entry!$AS$3:$AS$430,"Communication Services")</f>
        <v/>
      </c>
      <c r="I169" s="101">
        <f>COUNTIFS(LLM_Data_Entry!$R$3:$R$430,"YES",LLM_Data_Entry!$AS$3:$AS$430,"Communication Services")</f>
        <v/>
      </c>
      <c r="J169">
        <f>IFERROR(I169/H169,"")</f>
        <v/>
      </c>
      <c r="K169" s="101">
        <f>COUNTIFS(LLM_Data_Entry!$H$3:$H$430,"BUY",LLM_Data_Entry!$R$3:$R$430,"?*",LLM_Data_Entry!$AS$3:$AS$430,"Communication Services")+COUNTIFS(LLM_Data_Entry!$H$3:$H$430,"SELL",LLM_Data_Entry!$R$3:$R$430,"?*",LLM_Data_Entry!$AS$3:$AS$430,"Communication Services")</f>
        <v/>
      </c>
      <c r="L169" s="101">
        <f>SUMIFS(LLM_Data_Entry!$AM$3:$AM$430,LLM_Data_Entry!$AS$3:$AS$430,"Communication Services")</f>
        <v/>
      </c>
      <c r="M169" s="207">
        <f>COUNTIFS(Human_Data_Entry!$AJ$3:$AJ$524,"?*",Human_Data_Entry!$H$3:$H$524,"Human",Human_Data_Entry!$AZ$3:$AZ$524,"Communication Services")</f>
        <v/>
      </c>
      <c r="N169" s="101">
        <f>IFERROR(COUNTIFS(Human_Data_Entry!$AJ$3:$AJ$524,"YES",Human_Data_Entry!$H$3:$H$524,"Human",Human_Data_Entry!$AZ$3:$AZ$524,"Communication Services")/M169,"")</f>
        <v/>
      </c>
      <c r="O169" s="101">
        <f>SUMIFS(Human_Data_Entry!$AU$3:$AU$524,Human_Data_Entry!$AZ$3:$AZ$524,"Communication Services")</f>
        <v/>
      </c>
      <c r="P169" s="101">
        <f>COUNTIFS(LLM_Data_Entry!$AE$3:$AE$430,"?*",LLM_Data_Entry!$AS$3:$AS$430,"Communication Services")</f>
        <v/>
      </c>
      <c r="Q169" s="101">
        <f>IFERROR(COUNTIFS(LLM_Data_Entry!$AE$3:$AE$430,"YES",LLM_Data_Entry!$AS$3:$AS$430,"Communication Services")/P169,"")</f>
        <v/>
      </c>
      <c r="R169" s="101">
        <f>SUMIFS(LLM_Data_Entry!$AN$3:$AN$430,LLM_Data_Entry!$AS$3:$AS$430,"Communication Services")</f>
        <v/>
      </c>
    </row>
    <row r="170" ht="45.95" customHeight="1" s="241">
      <c r="A170" t="inlineStr">
        <is>
          <t>Financials</t>
        </is>
      </c>
      <c r="B170" s="101">
        <f>COUNTIFS(Human_Data_Entry!$S$3:$S$524,"?*",Human_Data_Entry!$H$3:$H$524,"Human",Human_Data_Entry!$AZ$3:$AZ$524,"Financials")</f>
        <v/>
      </c>
      <c r="C170" s="101">
        <f>COUNTIFS(Human_Data_Entry!$S$3:$S$524,"YES",Human_Data_Entry!$H$3:$H$524,"Human",Human_Data_Entry!$AZ$3:$AZ$524,"Financials")</f>
        <v/>
      </c>
      <c r="D170">
        <f>IFERROR(C170/B170,"")</f>
        <v/>
      </c>
      <c r="E170" s="101">
        <f>COUNTIFS(Human_Data_Entry!$J$3:$J$524,"BUY",Human_Data_Entry!$S$3:$S$524,"?*",Human_Data_Entry!$H$3:$H$524,"Human",Human_Data_Entry!$AZ$3:$AZ$524,"Financials")+COUNTIFS(Human_Data_Entry!$J$3:$J$524,"SELL",Human_Data_Entry!$S$3:$S$524,"?*",Human_Data_Entry!$H$3:$H$524,"Human",Human_Data_Entry!$AZ$3:$AZ$524,"Financials")</f>
        <v/>
      </c>
      <c r="F170" s="101">
        <f>SUMIFS(Human_Data_Entry!$AT$3:$AT$524,Human_Data_Entry!$AZ$3:$AZ$524,"Financials")</f>
        <v/>
      </c>
      <c r="G170">
        <f>IFERROR(F170/$F$179,"")</f>
        <v/>
      </c>
      <c r="H170" s="101">
        <f>COUNTIFS(LLM_Data_Entry!$R$3:$R$430,"?*",LLM_Data_Entry!$AS$3:$AS$430,"Financials")</f>
        <v/>
      </c>
      <c r="I170" s="101">
        <f>COUNTIFS(LLM_Data_Entry!$R$3:$R$430,"YES",LLM_Data_Entry!$AS$3:$AS$430,"Financials")</f>
        <v/>
      </c>
      <c r="J170">
        <f>IFERROR(I170/H170,"")</f>
        <v/>
      </c>
      <c r="K170" s="101">
        <f>COUNTIFS(LLM_Data_Entry!$H$3:$H$430,"BUY",LLM_Data_Entry!$R$3:$R$430,"?*",LLM_Data_Entry!$AS$3:$AS$430,"Financials")+COUNTIFS(LLM_Data_Entry!$H$3:$H$430,"SELL",LLM_Data_Entry!$R$3:$R$430,"?*",LLM_Data_Entry!$AS$3:$AS$430,"Financials")</f>
        <v/>
      </c>
      <c r="L170" s="101">
        <f>SUMIFS(LLM_Data_Entry!$AM$3:$AM$430,LLM_Data_Entry!$AS$3:$AS$430,"Financials")</f>
        <v/>
      </c>
      <c r="M170" s="207">
        <f>COUNTIFS(Human_Data_Entry!$AJ$3:$AJ$524,"?*",Human_Data_Entry!$H$3:$H$524,"Human",Human_Data_Entry!$AZ$3:$AZ$524,"Financials")</f>
        <v/>
      </c>
      <c r="N170" s="101">
        <f>IFERROR(COUNTIFS(Human_Data_Entry!$AJ$3:$AJ$524,"YES",Human_Data_Entry!$H$3:$H$524,"Human",Human_Data_Entry!$AZ$3:$AZ$524,"Financials")/M170,"")</f>
        <v/>
      </c>
      <c r="O170" s="101">
        <f>SUMIFS(Human_Data_Entry!$AU$3:$AU$524,Human_Data_Entry!$AZ$3:$AZ$524,"Financials")</f>
        <v/>
      </c>
      <c r="P170" s="101">
        <f>COUNTIFS(LLM_Data_Entry!$AE$3:$AE$430,"?*",LLM_Data_Entry!$AS$3:$AS$430,"Financials")</f>
        <v/>
      </c>
      <c r="Q170" s="101">
        <f>IFERROR(COUNTIFS(LLM_Data_Entry!$AE$3:$AE$430,"YES",LLM_Data_Entry!$AS$3:$AS$430,"Financials")/P170,"")</f>
        <v/>
      </c>
      <c r="R170" s="101">
        <f>SUMIFS(LLM_Data_Entry!$AN$3:$AN$430,LLM_Data_Entry!$AS$3:$AS$430,"Financials")</f>
        <v/>
      </c>
    </row>
    <row r="171" ht="45.95" customHeight="1" s="241">
      <c r="A171" t="inlineStr">
        <is>
          <t>Health Care</t>
        </is>
      </c>
      <c r="B171" s="101">
        <f>COUNTIFS(Human_Data_Entry!$S$3:$S$524,"?*",Human_Data_Entry!$H$3:$H$524,"Human",Human_Data_Entry!$AZ$3:$AZ$524,"Health Care")</f>
        <v/>
      </c>
      <c r="C171" s="101">
        <f>COUNTIFS(Human_Data_Entry!$S$3:$S$524,"YES",Human_Data_Entry!$H$3:$H$524,"Human",Human_Data_Entry!$AZ$3:$AZ$524,"Health Care")</f>
        <v/>
      </c>
      <c r="D171">
        <f>IFERROR(C171/B171,"")</f>
        <v/>
      </c>
      <c r="E171" s="101">
        <f>COUNTIFS(Human_Data_Entry!$J$3:$J$524,"BUY",Human_Data_Entry!$S$3:$S$524,"?*",Human_Data_Entry!$H$3:$H$524,"Human",Human_Data_Entry!$AZ$3:$AZ$524,"Health Care")+COUNTIFS(Human_Data_Entry!$J$3:$J$524,"SELL",Human_Data_Entry!$S$3:$S$524,"?*",Human_Data_Entry!$H$3:$H$524,"Human",Human_Data_Entry!$AZ$3:$AZ$524,"Health Care")</f>
        <v/>
      </c>
      <c r="F171" s="101">
        <f>SUMIFS(Human_Data_Entry!$AT$3:$AT$524,Human_Data_Entry!$AZ$3:$AZ$524,"Health Care")</f>
        <v/>
      </c>
      <c r="G171">
        <f>IFERROR(F171/$F$179,"")</f>
        <v/>
      </c>
      <c r="H171" s="101">
        <f>COUNTIFS(LLM_Data_Entry!$R$3:$R$430,"?*",LLM_Data_Entry!$AS$3:$AS$430,"Health Care")</f>
        <v/>
      </c>
      <c r="I171" s="101">
        <f>COUNTIFS(LLM_Data_Entry!$R$3:$R$430,"YES",LLM_Data_Entry!$AS$3:$AS$430,"Health Care")</f>
        <v/>
      </c>
      <c r="J171">
        <f>IFERROR(I171/H171,"")</f>
        <v/>
      </c>
      <c r="K171" s="101">
        <f>COUNTIFS(LLM_Data_Entry!$H$3:$H$430,"BUY",LLM_Data_Entry!$R$3:$R$430,"?*",LLM_Data_Entry!$AS$3:$AS$430,"Health Care")+COUNTIFS(LLM_Data_Entry!$H$3:$H$430,"SELL",LLM_Data_Entry!$R$3:$R$430,"?*",LLM_Data_Entry!$AS$3:$AS$430,"Health Care")</f>
        <v/>
      </c>
      <c r="L171" s="101">
        <f>SUMIFS(LLM_Data_Entry!$AM$3:$AM$430,LLM_Data_Entry!$AS$3:$AS$430,"Health Care")</f>
        <v/>
      </c>
      <c r="M171" s="207">
        <f>COUNTIFS(Human_Data_Entry!$AJ$3:$AJ$524,"?*",Human_Data_Entry!$H$3:$H$524,"Human",Human_Data_Entry!$AZ$3:$AZ$524,"Health Care")</f>
        <v/>
      </c>
      <c r="N171" s="101">
        <f>IFERROR(COUNTIFS(Human_Data_Entry!$AJ$3:$AJ$524,"YES",Human_Data_Entry!$H$3:$H$524,"Human",Human_Data_Entry!$AZ$3:$AZ$524,"Health Care")/M171,"")</f>
        <v/>
      </c>
      <c r="O171" s="101">
        <f>SUMIFS(Human_Data_Entry!$AU$3:$AU$524,Human_Data_Entry!$AZ$3:$AZ$524,"Health Care")</f>
        <v/>
      </c>
      <c r="P171" s="101">
        <f>COUNTIFS(LLM_Data_Entry!$AE$3:$AE$430,"?*",LLM_Data_Entry!$AS$3:$AS$430,"Health Care")</f>
        <v/>
      </c>
      <c r="Q171" s="101">
        <f>IFERROR(COUNTIFS(LLM_Data_Entry!$AE$3:$AE$430,"YES",LLM_Data_Entry!$AS$3:$AS$430,"Health Care")/P171,"")</f>
        <v/>
      </c>
      <c r="R171" s="101">
        <f>SUMIFS(LLM_Data_Entry!$AN$3:$AN$430,LLM_Data_Entry!$AS$3:$AS$430,"Health Care")</f>
        <v/>
      </c>
    </row>
    <row r="172" ht="45.95" customHeight="1" s="241">
      <c r="A172" t="inlineStr">
        <is>
          <t>Consumer Discretionary</t>
        </is>
      </c>
      <c r="B172" s="101">
        <f>COUNTIFS(Human_Data_Entry!$S$3:$S$524,"?*",Human_Data_Entry!$H$3:$H$524,"Human",Human_Data_Entry!$AZ$3:$AZ$524,"Consumer Discretionary")</f>
        <v/>
      </c>
      <c r="C172" s="101">
        <f>COUNTIFS(Human_Data_Entry!$S$3:$S$524,"YES",Human_Data_Entry!$H$3:$H$524,"Human",Human_Data_Entry!$AZ$3:$AZ$524,"Consumer Discretionary")</f>
        <v/>
      </c>
      <c r="D172">
        <f>IFERROR(C172/B172,"")</f>
        <v/>
      </c>
      <c r="E172" s="101">
        <f>COUNTIFS(Human_Data_Entry!$J$3:$J$524,"BUY",Human_Data_Entry!$S$3:$S$524,"?*",Human_Data_Entry!$H$3:$H$524,"Human",Human_Data_Entry!$AZ$3:$AZ$524,"Consumer Discretionary")+COUNTIFS(Human_Data_Entry!$J$3:$J$524,"SELL",Human_Data_Entry!$S$3:$S$524,"?*",Human_Data_Entry!$H$3:$H$524,"Human",Human_Data_Entry!$AZ$3:$AZ$524,"Consumer Discretionary")</f>
        <v/>
      </c>
      <c r="F172" s="101">
        <f>SUMIFS(Human_Data_Entry!$AT$3:$AT$524,Human_Data_Entry!$AZ$3:$AZ$524,"Consumer Discretionary")</f>
        <v/>
      </c>
      <c r="G172">
        <f>IFERROR(F172/$F$179,"")</f>
        <v/>
      </c>
      <c r="H172" s="101">
        <f>COUNTIFS(LLM_Data_Entry!$R$3:$R$430,"?*",LLM_Data_Entry!$AS$3:$AS$430,"Consumer Discretionary")</f>
        <v/>
      </c>
      <c r="I172" s="101">
        <f>COUNTIFS(LLM_Data_Entry!$R$3:$R$430,"YES",LLM_Data_Entry!$AS$3:$AS$430,"Consumer Discretionary")</f>
        <v/>
      </c>
      <c r="J172">
        <f>IFERROR(I172/H172,"")</f>
        <v/>
      </c>
      <c r="K172" s="101">
        <f>COUNTIFS(LLM_Data_Entry!$H$3:$H$430,"BUY",LLM_Data_Entry!$R$3:$R$430,"?*",LLM_Data_Entry!$AS$3:$AS$430,"Consumer Discretionary")+COUNTIFS(LLM_Data_Entry!$H$3:$H$430,"SELL",LLM_Data_Entry!$R$3:$R$430,"?*",LLM_Data_Entry!$AS$3:$AS$430,"Consumer Discretionary")</f>
        <v/>
      </c>
      <c r="L172" s="101">
        <f>SUMIFS(LLM_Data_Entry!$AM$3:$AM$430,LLM_Data_Entry!$AS$3:$AS$430,"Consumer Discretionary")</f>
        <v/>
      </c>
      <c r="M172" s="207">
        <f>COUNTIFS(Human_Data_Entry!$AJ$3:$AJ$524,"?*",Human_Data_Entry!$H$3:$H$524,"Human",Human_Data_Entry!$AZ$3:$AZ$524,"Consumer Discretionary")</f>
        <v/>
      </c>
      <c r="N172" s="101">
        <f>IFERROR(COUNTIFS(Human_Data_Entry!$AJ$3:$AJ$524,"YES",Human_Data_Entry!$H$3:$H$524,"Human",Human_Data_Entry!$AZ$3:$AZ$524,"Consumer Discretionary")/M172,"")</f>
        <v/>
      </c>
      <c r="O172" s="101">
        <f>SUMIFS(Human_Data_Entry!$AU$3:$AU$524,Human_Data_Entry!$AZ$3:$AZ$524,"Consumer Discretionary")</f>
        <v/>
      </c>
      <c r="P172" s="101">
        <f>COUNTIFS(LLM_Data_Entry!$AE$3:$AE$430,"?*",LLM_Data_Entry!$AS$3:$AS$430,"Consumer Discretionary")</f>
        <v/>
      </c>
      <c r="Q172" s="101">
        <f>IFERROR(COUNTIFS(LLM_Data_Entry!$AE$3:$AE$430,"YES",LLM_Data_Entry!$AS$3:$AS$430,"Consumer Discretionary")/P172,"")</f>
        <v/>
      </c>
      <c r="R172" s="101">
        <f>SUMIFS(LLM_Data_Entry!$AN$3:$AN$430,LLM_Data_Entry!$AS$3:$AS$430,"Consumer Discretionary")</f>
        <v/>
      </c>
    </row>
    <row r="173" ht="45.95" customHeight="1" s="241">
      <c r="A173" t="inlineStr">
        <is>
          <t>Consumer Staples</t>
        </is>
      </c>
      <c r="B173" s="101">
        <f>COUNTIFS(Human_Data_Entry!$S$3:$S$524,"?*",Human_Data_Entry!$H$3:$H$524,"Human",Human_Data_Entry!$AZ$3:$AZ$524,"Consumer Staples")</f>
        <v/>
      </c>
      <c r="C173" s="101">
        <f>COUNTIFS(Human_Data_Entry!$S$3:$S$524,"YES",Human_Data_Entry!$H$3:$H$524,"Human",Human_Data_Entry!$AZ$3:$AZ$524,"Consumer Staples")</f>
        <v/>
      </c>
      <c r="D173">
        <f>IFERROR(C173/B173,"")</f>
        <v/>
      </c>
      <c r="E173" s="101">
        <f>COUNTIFS(Human_Data_Entry!$J$3:$J$524,"BUY",Human_Data_Entry!$S$3:$S$524,"?*",Human_Data_Entry!$H$3:$H$524,"Human",Human_Data_Entry!$AZ$3:$AZ$524,"Consumer Staples")+COUNTIFS(Human_Data_Entry!$J$3:$J$524,"SELL",Human_Data_Entry!$S$3:$S$524,"?*",Human_Data_Entry!$H$3:$H$524,"Human",Human_Data_Entry!$AZ$3:$AZ$524,"Consumer Staples")</f>
        <v/>
      </c>
      <c r="F173" s="101">
        <f>SUMIFS(Human_Data_Entry!$AT$3:$AT$524,Human_Data_Entry!$AZ$3:$AZ$524,"Consumer Staples")</f>
        <v/>
      </c>
      <c r="G173">
        <f>IFERROR(F173/$F$179,"")</f>
        <v/>
      </c>
      <c r="H173" s="101">
        <f>COUNTIFS(LLM_Data_Entry!$R$3:$R$430,"?*",LLM_Data_Entry!$AS$3:$AS$430,"Consumer Staples")</f>
        <v/>
      </c>
      <c r="I173" s="101">
        <f>COUNTIFS(LLM_Data_Entry!$R$3:$R$430,"YES",LLM_Data_Entry!$AS$3:$AS$430,"Consumer Staples")</f>
        <v/>
      </c>
      <c r="J173">
        <f>IFERROR(I173/H173,"")</f>
        <v/>
      </c>
      <c r="K173" s="101">
        <f>COUNTIFS(LLM_Data_Entry!$H$3:$H$430,"BUY",LLM_Data_Entry!$R$3:$R$430,"?*",LLM_Data_Entry!$AS$3:$AS$430,"Consumer Staples")+COUNTIFS(LLM_Data_Entry!$H$3:$H$430,"SELL",LLM_Data_Entry!$R$3:$R$430,"?*",LLM_Data_Entry!$AS$3:$AS$430,"Consumer Staples")</f>
        <v/>
      </c>
      <c r="L173" s="101">
        <f>SUMIFS(LLM_Data_Entry!$AM$3:$AM$430,LLM_Data_Entry!$AS$3:$AS$430,"Consumer Staples")</f>
        <v/>
      </c>
      <c r="M173" s="207">
        <f>COUNTIFS(Human_Data_Entry!$AJ$3:$AJ$524,"?*",Human_Data_Entry!$H$3:$H$524,"Human",Human_Data_Entry!$AZ$3:$AZ$524,"Consumer Staples")</f>
        <v/>
      </c>
      <c r="N173" s="101">
        <f>IFERROR(COUNTIFS(Human_Data_Entry!$AJ$3:$AJ$524,"YES",Human_Data_Entry!$H$3:$H$524,"Human",Human_Data_Entry!$AZ$3:$AZ$524,"Consumer Staples")/M173,"")</f>
        <v/>
      </c>
      <c r="O173" s="101">
        <f>SUMIFS(Human_Data_Entry!$AU$3:$AU$524,Human_Data_Entry!$AZ$3:$AZ$524,"Consumer Staples")</f>
        <v/>
      </c>
      <c r="P173" s="101">
        <f>COUNTIFS(LLM_Data_Entry!$AE$3:$AE$430,"?*",LLM_Data_Entry!$AS$3:$AS$430,"Consumer Staples")</f>
        <v/>
      </c>
      <c r="Q173" s="101">
        <f>IFERROR(COUNTIFS(LLM_Data_Entry!$AE$3:$AE$430,"YES",LLM_Data_Entry!$AS$3:$AS$430,"Consumer Staples")/P173,"")</f>
        <v/>
      </c>
      <c r="R173" s="101">
        <f>SUMIFS(LLM_Data_Entry!$AN$3:$AN$430,LLM_Data_Entry!$AS$3:$AS$430,"Consumer Staples")</f>
        <v/>
      </c>
    </row>
    <row r="174" ht="45.95" customHeight="1" s="241">
      <c r="A174" t="inlineStr">
        <is>
          <t>Energy</t>
        </is>
      </c>
      <c r="B174" s="101">
        <f>COUNTIFS(Human_Data_Entry!$S$3:$S$524,"?*",Human_Data_Entry!$H$3:$H$524,"Human",Human_Data_Entry!$AZ$3:$AZ$524,"Energy")</f>
        <v/>
      </c>
      <c r="C174" s="101">
        <f>COUNTIFS(Human_Data_Entry!$S$3:$S$524,"YES",Human_Data_Entry!$H$3:$H$524,"Human",Human_Data_Entry!$AZ$3:$AZ$524,"Energy")</f>
        <v/>
      </c>
      <c r="D174">
        <f>IFERROR(C174/B174,"")</f>
        <v/>
      </c>
      <c r="E174" s="101">
        <f>COUNTIFS(Human_Data_Entry!$J$3:$J$524,"BUY",Human_Data_Entry!$S$3:$S$524,"?*",Human_Data_Entry!$H$3:$H$524,"Human",Human_Data_Entry!$AZ$3:$AZ$524,"Energy")+COUNTIFS(Human_Data_Entry!$J$3:$J$524,"SELL",Human_Data_Entry!$S$3:$S$524,"?*",Human_Data_Entry!$H$3:$H$524,"Human",Human_Data_Entry!$AZ$3:$AZ$524,"Energy")</f>
        <v/>
      </c>
      <c r="F174" s="101">
        <f>SUMIFS(Human_Data_Entry!$AT$3:$AT$524,Human_Data_Entry!$AZ$3:$AZ$524,"Energy")</f>
        <v/>
      </c>
      <c r="G174">
        <f>IFERROR(F174/$F$179,"")</f>
        <v/>
      </c>
      <c r="H174" s="101">
        <f>COUNTIFS(LLM_Data_Entry!$R$3:$R$430,"?*",LLM_Data_Entry!$AS$3:$AS$430,"Energy")</f>
        <v/>
      </c>
      <c r="I174" s="101">
        <f>COUNTIFS(LLM_Data_Entry!$R$3:$R$430,"YES",LLM_Data_Entry!$AS$3:$AS$430,"Energy")</f>
        <v/>
      </c>
      <c r="J174">
        <f>IFERROR(I174/H174,"")</f>
        <v/>
      </c>
      <c r="K174" s="101">
        <f>COUNTIFS(LLM_Data_Entry!$H$3:$H$430,"BUY",LLM_Data_Entry!$R$3:$R$430,"?*",LLM_Data_Entry!$AS$3:$AS$430,"Energy")+COUNTIFS(LLM_Data_Entry!$H$3:$H$430,"SELL",LLM_Data_Entry!$R$3:$R$430,"?*",LLM_Data_Entry!$AS$3:$AS$430,"Energy")</f>
        <v/>
      </c>
      <c r="L174" s="101">
        <f>SUMIFS(LLM_Data_Entry!$AM$3:$AM$430,LLM_Data_Entry!$AS$3:$AS$430,"Energy")</f>
        <v/>
      </c>
      <c r="M174" s="207">
        <f>COUNTIFS(Human_Data_Entry!$AJ$3:$AJ$524,"?*",Human_Data_Entry!$H$3:$H$524,"Human",Human_Data_Entry!$AZ$3:$AZ$524,"Energy")</f>
        <v/>
      </c>
      <c r="N174" s="101">
        <f>IFERROR(COUNTIFS(Human_Data_Entry!$AJ$3:$AJ$524,"YES",Human_Data_Entry!$H$3:$H$524,"Human",Human_Data_Entry!$AZ$3:$AZ$524,"Energy")/M174,"")</f>
        <v/>
      </c>
      <c r="O174" s="101">
        <f>SUMIFS(Human_Data_Entry!$AU$3:$AU$524,Human_Data_Entry!$AZ$3:$AZ$524,"Energy")</f>
        <v/>
      </c>
      <c r="P174" s="101">
        <f>COUNTIFS(LLM_Data_Entry!$AE$3:$AE$430,"?*",LLM_Data_Entry!$AS$3:$AS$430,"Energy")</f>
        <v/>
      </c>
      <c r="Q174" s="101">
        <f>IFERROR(COUNTIFS(LLM_Data_Entry!$AE$3:$AE$430,"YES",LLM_Data_Entry!$AS$3:$AS$430,"Energy")/P174,"")</f>
        <v/>
      </c>
      <c r="R174" s="101">
        <f>SUMIFS(LLM_Data_Entry!$AN$3:$AN$430,LLM_Data_Entry!$AS$3:$AS$430,"Energy")</f>
        <v/>
      </c>
    </row>
    <row r="175" ht="45.95" customHeight="1" s="241">
      <c r="A175" t="inlineStr">
        <is>
          <t>Utilities</t>
        </is>
      </c>
      <c r="B175" s="101">
        <f>COUNTIFS(Human_Data_Entry!$S$3:$S$524,"?*",Human_Data_Entry!$H$3:$H$524,"Human",Human_Data_Entry!$AZ$3:$AZ$524,"Utilities")</f>
        <v/>
      </c>
      <c r="C175" s="101">
        <f>COUNTIFS(Human_Data_Entry!$S$3:$S$524,"YES",Human_Data_Entry!$H$3:$H$524,"Human",Human_Data_Entry!$AZ$3:$AZ$524,"Utilities")</f>
        <v/>
      </c>
      <c r="D175">
        <f>IFERROR(C175/B175,"")</f>
        <v/>
      </c>
      <c r="E175" s="101">
        <f>COUNTIFS(Human_Data_Entry!$J$3:$J$524,"BUY",Human_Data_Entry!$S$3:$S$524,"?*",Human_Data_Entry!$H$3:$H$524,"Human",Human_Data_Entry!$AZ$3:$AZ$524,"Utilities")+COUNTIFS(Human_Data_Entry!$J$3:$J$524,"SELL",Human_Data_Entry!$S$3:$S$524,"?*",Human_Data_Entry!$H$3:$H$524,"Human",Human_Data_Entry!$AZ$3:$AZ$524,"Utilities")</f>
        <v/>
      </c>
      <c r="F175" s="101">
        <f>SUMIFS(Human_Data_Entry!$AT$3:$AT$524,Human_Data_Entry!$AZ$3:$AZ$524,"Utilities")</f>
        <v/>
      </c>
      <c r="G175">
        <f>IFERROR(F175/$F$179,"")</f>
        <v/>
      </c>
      <c r="H175" s="101">
        <f>COUNTIFS(LLM_Data_Entry!$R$3:$R$430,"?*",LLM_Data_Entry!$AS$3:$AS$430,"Utilities")</f>
        <v/>
      </c>
      <c r="I175" s="101">
        <f>COUNTIFS(LLM_Data_Entry!$R$3:$R$430,"YES",LLM_Data_Entry!$AS$3:$AS$430,"Utilities")</f>
        <v/>
      </c>
      <c r="J175">
        <f>IFERROR(I175/H175,"")</f>
        <v/>
      </c>
      <c r="K175" s="101">
        <f>COUNTIFS(LLM_Data_Entry!$H$3:$H$430,"BUY",LLM_Data_Entry!$R$3:$R$430,"?*",LLM_Data_Entry!$AS$3:$AS$430,"Utilities")+COUNTIFS(LLM_Data_Entry!$H$3:$H$430,"SELL",LLM_Data_Entry!$R$3:$R$430,"?*",LLM_Data_Entry!$AS$3:$AS$430,"Utilities")</f>
        <v/>
      </c>
      <c r="L175" s="101">
        <f>SUMIFS(LLM_Data_Entry!$AM$3:$AM$430,LLM_Data_Entry!$AS$3:$AS$430,"Utilities")</f>
        <v/>
      </c>
      <c r="M175" s="207">
        <f>COUNTIFS(Human_Data_Entry!$AJ$3:$AJ$524,"?*",Human_Data_Entry!$H$3:$H$524,"Human",Human_Data_Entry!$AZ$3:$AZ$524,"Utilities")</f>
        <v/>
      </c>
      <c r="N175" s="101">
        <f>IFERROR(COUNTIFS(Human_Data_Entry!$AJ$3:$AJ$524,"YES",Human_Data_Entry!$H$3:$H$524,"Human",Human_Data_Entry!$AZ$3:$AZ$524,"Utilities")/M175,"")</f>
        <v/>
      </c>
      <c r="O175" s="101">
        <f>SUMIFS(Human_Data_Entry!$AU$3:$AU$524,Human_Data_Entry!$AZ$3:$AZ$524,"Utilities")</f>
        <v/>
      </c>
      <c r="P175" s="101">
        <f>COUNTIFS(LLM_Data_Entry!$AE$3:$AE$430,"?*",LLM_Data_Entry!$AS$3:$AS$430,"Utilities")</f>
        <v/>
      </c>
      <c r="Q175" s="101">
        <f>IFERROR(COUNTIFS(LLM_Data_Entry!$AE$3:$AE$430,"YES",LLM_Data_Entry!$AS$3:$AS$430,"Utilities")/P175,"")</f>
        <v/>
      </c>
      <c r="R175" s="101">
        <f>SUMIFS(LLM_Data_Entry!$AN$3:$AN$430,LLM_Data_Entry!$AS$3:$AS$430,"Utilities")</f>
        <v/>
      </c>
    </row>
    <row r="176" ht="45.95" customHeight="1" s="241">
      <c r="A176" t="inlineStr">
        <is>
          <t>Industrials</t>
        </is>
      </c>
      <c r="B176" s="101">
        <f>COUNTIFS(Human_Data_Entry!$S$3:$S$524,"?*",Human_Data_Entry!$H$3:$H$524,"Human",Human_Data_Entry!$AZ$3:$AZ$524,"Industrials")</f>
        <v/>
      </c>
      <c r="C176" s="101">
        <f>COUNTIFS(Human_Data_Entry!$S$3:$S$524,"YES",Human_Data_Entry!$H$3:$H$524,"Human",Human_Data_Entry!$AZ$3:$AZ$524,"Industrials")</f>
        <v/>
      </c>
      <c r="D176">
        <f>IFERROR(C176/B176,"")</f>
        <v/>
      </c>
      <c r="E176" s="101">
        <f>COUNTIFS(Human_Data_Entry!$J$3:$J$524,"BUY",Human_Data_Entry!$S$3:$S$524,"?*",Human_Data_Entry!$H$3:$H$524,"Human",Human_Data_Entry!$AZ$3:$AZ$524,"Industrials")+COUNTIFS(Human_Data_Entry!$J$3:$J$524,"SELL",Human_Data_Entry!$S$3:$S$524,"?*",Human_Data_Entry!$H$3:$H$524,"Human",Human_Data_Entry!$AZ$3:$AZ$524,"Industrials")</f>
        <v/>
      </c>
      <c r="F176" s="101">
        <f>SUMIFS(Human_Data_Entry!$AT$3:$AT$524,Human_Data_Entry!$AZ$3:$AZ$524,"Industrials")</f>
        <v/>
      </c>
      <c r="G176">
        <f>IFERROR(F176/$F$179,"")</f>
        <v/>
      </c>
      <c r="H176" s="101">
        <f>COUNTIFS(LLM_Data_Entry!$R$3:$R$430,"?*",LLM_Data_Entry!$AS$3:$AS$430,"Industrials")</f>
        <v/>
      </c>
      <c r="I176" s="101">
        <f>COUNTIFS(LLM_Data_Entry!$R$3:$R$430,"YES",LLM_Data_Entry!$AS$3:$AS$430,"Industrials")</f>
        <v/>
      </c>
      <c r="J176">
        <f>IFERROR(I176/H176,"")</f>
        <v/>
      </c>
      <c r="K176" s="101">
        <f>COUNTIFS(LLM_Data_Entry!$H$3:$H$430,"BUY",LLM_Data_Entry!$R$3:$R$430,"?*",LLM_Data_Entry!$AS$3:$AS$430,"Industrials")+COUNTIFS(LLM_Data_Entry!$H$3:$H$430,"SELL",LLM_Data_Entry!$R$3:$R$430,"?*",LLM_Data_Entry!$AS$3:$AS$430,"Industrials")</f>
        <v/>
      </c>
      <c r="L176" s="101">
        <f>SUMIFS(LLM_Data_Entry!$AM$3:$AM$430,LLM_Data_Entry!$AS$3:$AS$430,"Industrials")</f>
        <v/>
      </c>
      <c r="M176" s="207">
        <f>COUNTIFS(Human_Data_Entry!$AJ$3:$AJ$524,"?*",Human_Data_Entry!$H$3:$H$524,"Human",Human_Data_Entry!$AZ$3:$AZ$524,"Industrials")</f>
        <v/>
      </c>
      <c r="N176" s="101">
        <f>IFERROR(COUNTIFS(Human_Data_Entry!$AJ$3:$AJ$524,"YES",Human_Data_Entry!$H$3:$H$524,"Human",Human_Data_Entry!$AZ$3:$AZ$524,"Industrials")/M176,"")</f>
        <v/>
      </c>
      <c r="O176" s="101">
        <f>SUMIFS(Human_Data_Entry!$AU$3:$AU$524,Human_Data_Entry!$AZ$3:$AZ$524,"Industrials")</f>
        <v/>
      </c>
      <c r="P176" s="101">
        <f>COUNTIFS(LLM_Data_Entry!$AE$3:$AE$430,"?*",LLM_Data_Entry!$AS$3:$AS$430,"Industrials")</f>
        <v/>
      </c>
      <c r="Q176" s="101">
        <f>IFERROR(COUNTIFS(LLM_Data_Entry!$AE$3:$AE$430,"YES",LLM_Data_Entry!$AS$3:$AS$430,"Industrials")/P176,"")</f>
        <v/>
      </c>
      <c r="R176" s="101">
        <f>SUMIFS(LLM_Data_Entry!$AN$3:$AN$430,LLM_Data_Entry!$AS$3:$AS$430,"Industrials")</f>
        <v/>
      </c>
    </row>
    <row r="177" ht="45.95" customHeight="1" s="241">
      <c r="A177" t="inlineStr">
        <is>
          <t>Materials</t>
        </is>
      </c>
      <c r="B177" s="101">
        <f>COUNTIFS(Human_Data_Entry!$S$3:$S$524,"?*",Human_Data_Entry!$H$3:$H$524,"Human",Human_Data_Entry!$AZ$3:$AZ$524,"Materials")</f>
        <v/>
      </c>
      <c r="C177" s="101">
        <f>COUNTIFS(Human_Data_Entry!$S$3:$S$524,"YES",Human_Data_Entry!$H$3:$H$524,"Human",Human_Data_Entry!$AZ$3:$AZ$524,"Materials")</f>
        <v/>
      </c>
      <c r="D177">
        <f>IFERROR(C177/B177,"")</f>
        <v/>
      </c>
      <c r="E177" s="101">
        <f>COUNTIFS(Human_Data_Entry!$J$3:$J$524,"BUY",Human_Data_Entry!$S$3:$S$524,"?*",Human_Data_Entry!$H$3:$H$524,"Human",Human_Data_Entry!$AZ$3:$AZ$524,"Materials")+COUNTIFS(Human_Data_Entry!$J$3:$J$524,"SELL",Human_Data_Entry!$S$3:$S$524,"?*",Human_Data_Entry!$H$3:$H$524,"Human",Human_Data_Entry!$AZ$3:$AZ$524,"Materials")</f>
        <v/>
      </c>
      <c r="F177" s="101">
        <f>SUMIFS(Human_Data_Entry!$AT$3:$AT$524,Human_Data_Entry!$AZ$3:$AZ$524,"Materials")</f>
        <v/>
      </c>
      <c r="G177">
        <f>IFERROR(F177/$F$179,"")</f>
        <v/>
      </c>
      <c r="H177" s="101">
        <f>COUNTIFS(LLM_Data_Entry!$R$3:$R$430,"?*",LLM_Data_Entry!$AS$3:$AS$430,"Materials")</f>
        <v/>
      </c>
      <c r="I177" s="101">
        <f>COUNTIFS(LLM_Data_Entry!$R$3:$R$430,"YES",LLM_Data_Entry!$AS$3:$AS$430,"Materials")</f>
        <v/>
      </c>
      <c r="J177">
        <f>IFERROR(I177/H177,"")</f>
        <v/>
      </c>
      <c r="K177" s="101">
        <f>COUNTIFS(LLM_Data_Entry!$H$3:$H$430,"BUY",LLM_Data_Entry!$R$3:$R$430,"?*",LLM_Data_Entry!$AS$3:$AS$430,"Materials")+COUNTIFS(LLM_Data_Entry!$H$3:$H$430,"SELL",LLM_Data_Entry!$R$3:$R$430,"?*",LLM_Data_Entry!$AS$3:$AS$430,"Materials")</f>
        <v/>
      </c>
      <c r="L177" s="101">
        <f>SUMIFS(LLM_Data_Entry!$AM$3:$AM$430,LLM_Data_Entry!$AS$3:$AS$430,"Materials")</f>
        <v/>
      </c>
      <c r="M177" s="207">
        <f>COUNTIFS(Human_Data_Entry!$AJ$3:$AJ$524,"?*",Human_Data_Entry!$H$3:$H$524,"Human",Human_Data_Entry!$AZ$3:$AZ$524,"Materials")</f>
        <v/>
      </c>
      <c r="N177" s="101">
        <f>IFERROR(COUNTIFS(Human_Data_Entry!$AJ$3:$AJ$524,"YES",Human_Data_Entry!$H$3:$H$524,"Human",Human_Data_Entry!$AZ$3:$AZ$524,"Materials")/M177,"")</f>
        <v/>
      </c>
      <c r="O177" s="101">
        <f>SUMIFS(Human_Data_Entry!$AU$3:$AU$524,Human_Data_Entry!$AZ$3:$AZ$524,"Materials")</f>
        <v/>
      </c>
      <c r="P177" s="101">
        <f>COUNTIFS(LLM_Data_Entry!$AE$3:$AE$430,"?*",LLM_Data_Entry!$AS$3:$AS$430,"Materials")</f>
        <v/>
      </c>
      <c r="Q177" s="101">
        <f>IFERROR(COUNTIFS(LLM_Data_Entry!$AE$3:$AE$430,"YES",LLM_Data_Entry!$AS$3:$AS$430,"Materials")/P177,"")</f>
        <v/>
      </c>
      <c r="R177" s="101">
        <f>SUMIFS(LLM_Data_Entry!$AN$3:$AN$430,LLM_Data_Entry!$AS$3:$AS$430,"Materials")</f>
        <v/>
      </c>
    </row>
    <row r="178" ht="45.95" customHeight="1" s="241">
      <c r="A178" t="inlineStr">
        <is>
          <t>not in Company_List (no sector)</t>
        </is>
      </c>
      <c r="B178" s="101">
        <f>COUNTIFS(Human_Data_Entry!$S$3:$S$524,"?*",Human_Data_Entry!$H$3:$H$524,"Human",Human_Data_Entry!$AZ$3:$AZ$524,"unassigned")</f>
        <v/>
      </c>
      <c r="C178" s="101">
        <f>COUNTIFS(Human_Data_Entry!$S$3:$S$524,"YES",Human_Data_Entry!$H$3:$H$524,"Human",Human_Data_Entry!$AZ$3:$AZ$524,"unassigned")</f>
        <v/>
      </c>
      <c r="D178">
        <f>IFERROR(C178/B178,"")</f>
        <v/>
      </c>
      <c r="E178" s="101">
        <f>COUNTIFS(Human_Data_Entry!$J$3:$J$524,"BUY",Human_Data_Entry!$S$3:$S$524,"?*",Human_Data_Entry!$H$3:$H$524,"Human",Human_Data_Entry!$AZ$3:$AZ$524,"unassigned")+COUNTIFS(Human_Data_Entry!$J$3:$J$524,"SELL",Human_Data_Entry!$S$3:$S$524,"?*",Human_Data_Entry!$H$3:$H$524,"Human",Human_Data_Entry!$AZ$3:$AZ$524,"unassigned")</f>
        <v/>
      </c>
      <c r="F178" s="101">
        <f>SUMIFS(Human_Data_Entry!$AT$3:$AT$524,Human_Data_Entry!$AZ$3:$AZ$524,"unassigned")</f>
        <v/>
      </c>
      <c r="G178">
        <f>IFERROR(F178/$F$179,"")</f>
        <v/>
      </c>
      <c r="H178" s="101">
        <f>COUNTIFS(LLM_Data_Entry!$R$3:$R$430,"?*",LLM_Data_Entry!$AS$3:$AS$430,"unassigned")</f>
        <v/>
      </c>
      <c r="I178" s="101">
        <f>COUNTIFS(LLM_Data_Entry!$R$3:$R$430,"YES",LLM_Data_Entry!$AS$3:$AS$430,"unassigned")</f>
        <v/>
      </c>
      <c r="J178">
        <f>IFERROR(I178/H178,"")</f>
        <v/>
      </c>
      <c r="K178" s="101">
        <f>COUNTIFS(LLM_Data_Entry!$H$3:$H$430,"BUY",LLM_Data_Entry!$R$3:$R$430,"?*",LLM_Data_Entry!$AS$3:$AS$430,"unassigned")+COUNTIFS(LLM_Data_Entry!$H$3:$H$430,"SELL",LLM_Data_Entry!$R$3:$R$430,"?*",LLM_Data_Entry!$AS$3:$AS$430,"unassigned")</f>
        <v/>
      </c>
      <c r="L178" s="101">
        <f>SUMIFS(LLM_Data_Entry!$AM$3:$AM$430,LLM_Data_Entry!$AS$3:$AS$430,"unassigned")</f>
        <v/>
      </c>
      <c r="M178" s="207">
        <f>COUNTIFS(Human_Data_Entry!$AJ$3:$AJ$524,"?*",Human_Data_Entry!$H$3:$H$524,"Human",Human_Data_Entry!$AZ$3:$AZ$524,"unassigned")</f>
        <v/>
      </c>
      <c r="N178" s="101">
        <f>IFERROR(COUNTIFS(Human_Data_Entry!$AJ$3:$AJ$524,"YES",Human_Data_Entry!$H$3:$H$524,"Human",Human_Data_Entry!$AZ$3:$AZ$524,"unassigned")/M178,"")</f>
        <v/>
      </c>
      <c r="O178" s="101">
        <f>SUMIFS(Human_Data_Entry!$AU$3:$AU$524,Human_Data_Entry!$AZ$3:$AZ$524,"unassigned")</f>
        <v/>
      </c>
      <c r="P178" s="101">
        <f>COUNTIFS(LLM_Data_Entry!$AE$3:$AE$430,"?*",LLM_Data_Entry!$AS$3:$AS$430,"unassigned")</f>
        <v/>
      </c>
      <c r="Q178" s="101">
        <f>IFERROR(COUNTIFS(LLM_Data_Entry!$AE$3:$AE$430,"YES",LLM_Data_Entry!$AS$3:$AS$430,"unassigned")/P178,"")</f>
        <v/>
      </c>
      <c r="R178" s="101">
        <f>SUMIFS(LLM_Data_Entry!$AN$3:$AN$430,LLM_Data_Entry!$AS$3:$AS$430,"unassigned")</f>
        <v/>
      </c>
    </row>
    <row r="179" ht="45.95" customHeight="1" s="241">
      <c r="A179" t="inlineStr">
        <is>
          <t>TOTAL (by sector)</t>
        </is>
      </c>
      <c r="B179" s="101">
        <f>COUNTIFS(Human_Data_Entry!$S$3:$S$524,"?*",Human_Data_Entry!$H$3:$H$524,"Human")</f>
        <v/>
      </c>
      <c r="C179" s="101">
        <f>COUNTIFS(Human_Data_Entry!$S$3:$S$524,"YES",Human_Data_Entry!$H$3:$H$524,"Human")</f>
        <v/>
      </c>
      <c r="D179">
        <f>IFERROR(C179/B179,"")</f>
        <v/>
      </c>
      <c r="E179" s="101">
        <f>COUNTIFS(Human_Data_Entry!$J$3:$J$524,"BUY",Human_Data_Entry!$S$3:$S$524,"?*",Human_Data_Entry!$H$3:$H$524,"Human")+COUNTIFS(Human_Data_Entry!$J$3:$J$524,"SELL",Human_Data_Entry!$S$3:$S$524,"?*",Human_Data_Entry!$H$3:$H$524,"Human")</f>
        <v/>
      </c>
      <c r="F179">
        <f>SUM(Human_Data_Entry!$AT$3:$AT$524)</f>
        <v/>
      </c>
      <c r="G179">
        <f>IFERROR(F179/$F$179,"")</f>
        <v/>
      </c>
      <c r="H179">
        <f>COUNTIFS(LLM_Data_Entry!$R$3:$R$430,"?*")</f>
        <v/>
      </c>
      <c r="I179">
        <f>COUNTIFS(LLM_Data_Entry!$R$3:$R$430,"YES")</f>
        <v/>
      </c>
      <c r="J179">
        <f>IFERROR(I179/H179,"")</f>
        <v/>
      </c>
      <c r="K179" s="101">
        <f>COUNTIFS(LLM_Data_Entry!$H$3:$H$430,"BUY",LLM_Data_Entry!$R$3:$R$430,"?*")+COUNTIFS(LLM_Data_Entry!$H$3:$H$430,"SELL",LLM_Data_Entry!$R$3:$R$430,"?*")</f>
        <v/>
      </c>
      <c r="L179">
        <f>SUM(LLM_Data_Entry!$AM$3:$AM$430)</f>
        <v/>
      </c>
      <c r="M179" s="207">
        <f>COUNTIFS(Human_Data_Entry!$AJ$3:$AJ$524,"?*",Human_Data_Entry!$H$3:$H$524,"Human")</f>
        <v/>
      </c>
      <c r="N179" s="101">
        <f>IFERROR(COUNTIFS(Human_Data_Entry!$AJ$3:$AJ$524,"YES",Human_Data_Entry!$H$3:$H$524,"Human")/M179,"")</f>
        <v/>
      </c>
      <c r="O179">
        <f>SUM(Human_Data_Entry!$AU$3:$AU$524)</f>
        <v/>
      </c>
      <c r="P179">
        <f>COUNTIFS(LLM_Data_Entry!$AE$3:$AE$430,"?*")</f>
        <v/>
      </c>
      <c r="Q179" s="101">
        <f>IFERROR(COUNTIFS(LLM_Data_Entry!$AE$3:$AE$430,"YES")/P179,"")</f>
        <v/>
      </c>
      <c r="R179">
        <f>SUM(LLM_Data_Entry!$AN$3:$AN$430)</f>
        <v/>
      </c>
    </row>
    <row r="180" ht="15.95" customHeight="1" s="241">
      <c r="A180" t="inlineStr">
        <is>
          <t>Reconciliation - the sectors must sum to the total</t>
        </is>
      </c>
      <c r="B180">
        <f>IF(SUM(B168:B178)=B179,"OK","MISMATCH")</f>
        <v/>
      </c>
      <c r="H180">
        <f>IF(SUM(H168:H178)=H179,"OK","MISMATCH")</f>
        <v/>
      </c>
      <c r="M180" s="2">
        <f>IF(SUM(M168:M178)=M179,"OK","MISMATCH")</f>
        <v/>
      </c>
      <c r="P180">
        <f>IF(SUM(P168:P178)=P179,"OK","MISMATCH")</f>
        <v/>
      </c>
    </row>
    <row r="181" ht="15.95" customHeight="1" s="241"/>
    <row r="182" ht="30" customHeight="1" s="241">
      <c r="A182" s="101" t="inlineStr">
        <is>
          <t>D5b - Every naive rule, both arms, each on its own denominator</t>
        </is>
      </c>
    </row>
    <row r="183" ht="45.95" customHeight="1" s="241">
      <c r="A183" s="101" t="inlineStr">
        <is>
          <t>A naive rule always makes the same call. Its accuracy is the share of readings whose realised direction matches it, measured over that arm's own readings. The block at row 115 above uses one rule on a denominator pooled across both arms.</t>
        </is>
      </c>
    </row>
    <row r="184" ht="15.95" customHeight="1" s="241"/>
    <row r="185" ht="15.95" customHeight="1" s="241">
      <c r="A185" t="inlineStr">
        <is>
          <t>Rule</t>
        </is>
      </c>
      <c r="B185" t="inlineStr">
        <is>
          <t>Human published</t>
        </is>
      </c>
      <c r="C185" t="inlineStr">
        <is>
          <t>Human re-priced</t>
        </is>
      </c>
      <c r="D185" t="inlineStr">
        <is>
          <t>LLM published</t>
        </is>
      </c>
      <c r="E185" t="inlineStr">
        <is>
          <t>LLM re-priced</t>
        </is>
      </c>
    </row>
    <row r="186" ht="45.95" customHeight="1" s="241">
      <c r="A186" t="inlineStr">
        <is>
          <t>Always BUY</t>
        </is>
      </c>
      <c r="B186" s="101">
        <f>IFERROR(COUNTIFS(Human_Data_Entry!$R$3:$R$524,"UP",Human_Data_Entry!$H$3:$H$524,"Human")/(COUNTIFS(Human_Data_Entry!$R$3:$R$524,"UP",Human_Data_Entry!$H$3:$H$524,"Human")+COUNTIFS(Human_Data_Entry!$R$3:$R$524,"DOWN",Human_Data_Entry!$H$3:$H$524,"Human")+COUNTIFS(Human_Data_Entry!$R$3:$R$524,"FLAT",Human_Data_Entry!$H$3:$H$524,"Human")),"")</f>
        <v/>
      </c>
      <c r="C186" s="101">
        <f>IFERROR(COUNTIFS(Human_Data_Entry!$AI$3:$AI$524,"UP",Human_Data_Entry!$H$3:$H$524,"Human")/(COUNTIFS(Human_Data_Entry!$AI$3:$AI$524,"UP",Human_Data_Entry!$H$3:$H$524,"Human")+COUNTIFS(Human_Data_Entry!$AI$3:$AI$524,"DOWN",Human_Data_Entry!$H$3:$H$524,"Human")+COUNTIFS(Human_Data_Entry!$AI$3:$AI$524,"FLAT",Human_Data_Entry!$H$3:$H$524,"Human")),"")</f>
        <v/>
      </c>
      <c r="D186" s="101">
        <f>IFERROR(COUNTIFS(LLM_Data_Entry!$Q$3:$Q$430,"UP")/(COUNTIFS(LLM_Data_Entry!$Q$3:$Q$430,"UP")+COUNTIFS(LLM_Data_Entry!$Q$3:$Q$430,"DOWN")+COUNTIFS(LLM_Data_Entry!$Q$3:$Q$430,"FLAT")),"")</f>
        <v/>
      </c>
      <c r="E186" s="101">
        <f>IFERROR(COUNTIFS(LLM_Data_Entry!$AD$3:$AD$430,"UP")/(COUNTIFS(LLM_Data_Entry!$AD$3:$AD$430,"UP")+COUNTIFS(LLM_Data_Entry!$AD$3:$AD$430,"DOWN")+COUNTIFS(LLM_Data_Entry!$AD$3:$AD$430,"FLAT")),"")</f>
        <v/>
      </c>
    </row>
    <row r="187" ht="45.95" customHeight="1" s="241">
      <c r="A187" t="inlineStr">
        <is>
          <t>Always SELL</t>
        </is>
      </c>
      <c r="B187" s="101">
        <f>IFERROR(COUNTIFS(Human_Data_Entry!$R$3:$R$524,"DOWN",Human_Data_Entry!$H$3:$H$524,"Human")/(COUNTIFS(Human_Data_Entry!$R$3:$R$524,"UP",Human_Data_Entry!$H$3:$H$524,"Human")+COUNTIFS(Human_Data_Entry!$R$3:$R$524,"DOWN",Human_Data_Entry!$H$3:$H$524,"Human")+COUNTIFS(Human_Data_Entry!$R$3:$R$524,"FLAT",Human_Data_Entry!$H$3:$H$524,"Human")),"")</f>
        <v/>
      </c>
      <c r="C187" s="101">
        <f>IFERROR(COUNTIFS(Human_Data_Entry!$AI$3:$AI$524,"DOWN",Human_Data_Entry!$H$3:$H$524,"Human")/(COUNTIFS(Human_Data_Entry!$AI$3:$AI$524,"UP",Human_Data_Entry!$H$3:$H$524,"Human")+COUNTIFS(Human_Data_Entry!$AI$3:$AI$524,"DOWN",Human_Data_Entry!$H$3:$H$524,"Human")+COUNTIFS(Human_Data_Entry!$AI$3:$AI$524,"FLAT",Human_Data_Entry!$H$3:$H$524,"Human")),"")</f>
        <v/>
      </c>
      <c r="D187" s="101">
        <f>IFERROR(COUNTIFS(LLM_Data_Entry!$Q$3:$Q$430,"DOWN")/(COUNTIFS(LLM_Data_Entry!$Q$3:$Q$430,"UP")+COUNTIFS(LLM_Data_Entry!$Q$3:$Q$430,"DOWN")+COUNTIFS(LLM_Data_Entry!$Q$3:$Q$430,"FLAT")),"")</f>
        <v/>
      </c>
      <c r="E187" s="101">
        <f>IFERROR(COUNTIFS(LLM_Data_Entry!$AD$3:$AD$430,"DOWN")/(COUNTIFS(LLM_Data_Entry!$AD$3:$AD$430,"UP")+COUNTIFS(LLM_Data_Entry!$AD$3:$AD$430,"DOWN")+COUNTIFS(LLM_Data_Entry!$AD$3:$AD$430,"FLAT")),"")</f>
        <v/>
      </c>
    </row>
    <row r="188" ht="45.95" customHeight="1" s="241">
      <c r="A188" t="inlineStr">
        <is>
          <t>Always HOLD</t>
        </is>
      </c>
      <c r="B188" s="101">
        <f>IFERROR(COUNTIFS(Human_Data_Entry!$R$3:$R$524,"FLAT",Human_Data_Entry!$H$3:$H$524,"Human")/(COUNTIFS(Human_Data_Entry!$R$3:$R$524,"UP",Human_Data_Entry!$H$3:$H$524,"Human")+COUNTIFS(Human_Data_Entry!$R$3:$R$524,"DOWN",Human_Data_Entry!$H$3:$H$524,"Human")+COUNTIFS(Human_Data_Entry!$R$3:$R$524,"FLAT",Human_Data_Entry!$H$3:$H$524,"Human")),"")</f>
        <v/>
      </c>
      <c r="C188" s="101">
        <f>IFERROR(COUNTIFS(Human_Data_Entry!$AI$3:$AI$524,"FLAT",Human_Data_Entry!$H$3:$H$524,"Human")/(COUNTIFS(Human_Data_Entry!$AI$3:$AI$524,"UP",Human_Data_Entry!$H$3:$H$524,"Human")+COUNTIFS(Human_Data_Entry!$AI$3:$AI$524,"DOWN",Human_Data_Entry!$H$3:$H$524,"Human")+COUNTIFS(Human_Data_Entry!$AI$3:$AI$524,"FLAT",Human_Data_Entry!$H$3:$H$524,"Human")),"")</f>
        <v/>
      </c>
      <c r="D188" s="101">
        <f>IFERROR(COUNTIFS(LLM_Data_Entry!$Q$3:$Q$430,"FLAT")/(COUNTIFS(LLM_Data_Entry!$Q$3:$Q$430,"UP")+COUNTIFS(LLM_Data_Entry!$Q$3:$Q$430,"DOWN")+COUNTIFS(LLM_Data_Entry!$Q$3:$Q$430,"FLAT")),"")</f>
        <v/>
      </c>
      <c r="E188" s="101">
        <f>IFERROR(COUNTIFS(LLM_Data_Entry!$AD$3:$AD$430,"FLAT")/(COUNTIFS(LLM_Data_Entry!$AD$3:$AD$430,"UP")+COUNTIFS(LLM_Data_Entry!$AD$3:$AD$430,"DOWN")+COUNTIFS(LLM_Data_Entry!$AD$3:$AD$430,"FLAT")),"")</f>
        <v/>
      </c>
    </row>
    <row r="189" ht="15.95" customHeight="1" s="241">
      <c r="A189" t="inlineStr">
        <is>
          <t>Naive floor - best of the three</t>
        </is>
      </c>
      <c r="B189">
        <f>MAX(B186:B188)</f>
        <v/>
      </c>
      <c r="C189">
        <f>MAX(C186:C188)</f>
        <v/>
      </c>
      <c r="D189">
        <f>MAX(D186:D188)</f>
        <v/>
      </c>
      <c r="E189">
        <f>MAX(E186:E188)</f>
        <v/>
      </c>
    </row>
    <row r="190" ht="45.95" customHeight="1" s="241">
      <c r="A190" t="inlineStr">
        <is>
          <t>Readings the floor is measured over</t>
        </is>
      </c>
      <c r="B190" s="101">
        <f>COUNTIFS(Human_Data_Entry!$R$3:$R$524,"UP",Human_Data_Entry!$H$3:$H$524,"Human")+COUNTIFS(Human_Data_Entry!$R$3:$R$524,"DOWN",Human_Data_Entry!$H$3:$H$524,"Human")+COUNTIFS(Human_Data_Entry!$R$3:$R$524,"FLAT",Human_Data_Entry!$H$3:$H$524,"Human")</f>
        <v/>
      </c>
      <c r="C190" s="101">
        <f>COUNTIFS(Human_Data_Entry!$AI$3:$AI$524,"UP",Human_Data_Entry!$H$3:$H$524,"Human")+COUNTIFS(Human_Data_Entry!$AI$3:$AI$524,"DOWN",Human_Data_Entry!$H$3:$H$524,"Human")+COUNTIFS(Human_Data_Entry!$AI$3:$AI$524,"FLAT",Human_Data_Entry!$H$3:$H$524,"Human")</f>
        <v/>
      </c>
      <c r="D190" s="101">
        <f>COUNTIFS(LLM_Data_Entry!$Q$3:$Q$430,"UP")+COUNTIFS(LLM_Data_Entry!$Q$3:$Q$430,"DOWN")+COUNTIFS(LLM_Data_Entry!$Q$3:$Q$430,"FLAT")</f>
        <v/>
      </c>
      <c r="E190" s="101">
        <f>COUNTIFS(LLM_Data_Entry!$AD$3:$AD$430,"UP")+COUNTIFS(LLM_Data_Entry!$AD$3:$AD$430,"DOWN")+COUNTIFS(LLM_Data_Entry!$AD$3:$AD$430,"FLAT")</f>
        <v/>
      </c>
    </row>
    <row r="191" ht="45.95" customHeight="1" s="241">
      <c r="A191" t="inlineStr">
        <is>
          <t>Arm accuracy</t>
        </is>
      </c>
      <c r="B191" s="101">
        <f>IFERROR(COUNTIFS(Human_Data_Entry!$S$3:$S$524,"YES",Human_Data_Entry!$H$3:$H$524,"Human")/COUNTIFS(Human_Data_Entry!$S$3:$S$524,"?*",Human_Data_Entry!$H$3:$H$524,"Human"),"")</f>
        <v/>
      </c>
      <c r="C191" s="101">
        <f>IFERROR(COUNTIFS(Human_Data_Entry!$AJ$3:$AJ$524,"YES",Human_Data_Entry!$H$3:$H$524,"Human")/COUNTIFS(Human_Data_Entry!$AJ$3:$AJ$524,"?*",Human_Data_Entry!$H$3:$H$524,"Human"),"")</f>
        <v/>
      </c>
      <c r="D191" s="101">
        <f>IFERROR(COUNTIFS(LLM_Data_Entry!$R$3:$R$430,"YES")/COUNTIFS(LLM_Data_Entry!$R$3:$R$430,"?*"),"")</f>
        <v/>
      </c>
      <c r="E191" s="101">
        <f>IFERROR(COUNTIFS(LLM_Data_Entry!$AE$3:$AE$430,"YES")/COUNTIFS(LLM_Data_Entry!$AE$3:$AE$430,"?*"),"")</f>
        <v/>
      </c>
    </row>
    <row r="192" ht="15.95" customHeight="1" s="241">
      <c r="A192" t="inlineStr">
        <is>
          <t>Margin over own floor (percentage points)</t>
        </is>
      </c>
      <c r="B192">
        <f>(B191-B189)*100</f>
        <v/>
      </c>
      <c r="C192">
        <f>(C191-C189)*100</f>
        <v/>
      </c>
      <c r="D192">
        <f>(D191-D189)*100</f>
        <v/>
      </c>
      <c r="E192">
        <f>(E191-E189)*100</f>
        <v/>
      </c>
    </row>
    <row r="193" ht="15.95" customHeight="1" s="241"/>
    <row r="194" ht="15.95" customHeight="1" s="241">
      <c r="A194" t="inlineStr">
        <is>
          <t>D5c - Accuracy by year of the reported period</t>
        </is>
      </c>
    </row>
    <row r="195" ht="30" customHeight="1" s="241">
      <c r="A195" s="101" t="inlineStr">
        <is>
          <t>Year is the reading's own Year column - the period reported on, not the date the document was read.</t>
        </is>
      </c>
    </row>
    <row r="196" ht="15.95" customHeight="1" s="241"/>
    <row r="197" ht="15.95" customHeight="1" s="241">
      <c r="A197" t="inlineStr">
        <is>
          <t>Year</t>
        </is>
      </c>
      <c r="B197" t="inlineStr">
        <is>
          <t>Human n</t>
        </is>
      </c>
      <c r="C197" t="inlineStr">
        <is>
          <t>Human %</t>
        </is>
      </c>
      <c r="D197" t="inlineStr">
        <is>
          <t>Human % (re-priced)</t>
        </is>
      </c>
      <c r="E197" t="inlineStr">
        <is>
          <t>LLM n</t>
        </is>
      </c>
      <c r="F197" t="inlineStr">
        <is>
          <t>LLM %</t>
        </is>
      </c>
      <c r="G197" t="inlineStr">
        <is>
          <t>LLM % (re-priced)</t>
        </is>
      </c>
    </row>
    <row r="198" ht="45.95" customHeight="1" s="241">
      <c r="A198" t="n">
        <v>2023</v>
      </c>
      <c r="B198" s="101">
        <f>COUNTIFS(Human_Data_Entry!$S$3:$S$524,"?*",Human_Data_Entry!$H$3:$H$524,"Human",Human_Data_Entry!$C$3:$C$524,2023)</f>
        <v/>
      </c>
      <c r="C198" s="101">
        <f>IFERROR(COUNTIFS(Human_Data_Entry!$S$3:$S$524,"YES",Human_Data_Entry!$H$3:$H$524,"Human",Human_Data_Entry!$C$3:$C$524,2023)/B198,"")</f>
        <v/>
      </c>
      <c r="D198" s="101">
        <f>IFERROR(COUNTIFS(Human_Data_Entry!$AJ$3:$AJ$524,"YES",Human_Data_Entry!$H$3:$H$524,"Human",Human_Data_Entry!$C$3:$C$524,2023)/COUNTIFS(Human_Data_Entry!$AJ$3:$AJ$524,"?*",Human_Data_Entry!$H$3:$H$524,"Human",Human_Data_Entry!$C$3:$C$524,2023),"")</f>
        <v/>
      </c>
      <c r="E198" s="101">
        <f>COUNTIFS(LLM_Data_Entry!$R$3:$R$430,"?*",LLM_Data_Entry!$C$3:$C$430,2023)</f>
        <v/>
      </c>
      <c r="F198" s="101">
        <f>IFERROR(COUNTIFS(LLM_Data_Entry!$R$3:$R$430,"YES",LLM_Data_Entry!$C$3:$C$430,2023)/E198,"")</f>
        <v/>
      </c>
      <c r="G198" s="101">
        <f>IFERROR(COUNTIFS(LLM_Data_Entry!$AE$3:$AE$430,"YES",LLM_Data_Entry!$C$3:$C$430,2023)/COUNTIFS(LLM_Data_Entry!$AE$3:$AE$430,"?*",LLM_Data_Entry!$C$3:$C$430,2023),"")</f>
        <v/>
      </c>
    </row>
    <row r="199" ht="45.95" customHeight="1" s="241">
      <c r="A199" t="n">
        <v>2024</v>
      </c>
      <c r="B199" s="101">
        <f>COUNTIFS(Human_Data_Entry!$S$3:$S$524,"?*",Human_Data_Entry!$H$3:$H$524,"Human",Human_Data_Entry!$C$3:$C$524,2024)</f>
        <v/>
      </c>
      <c r="C199" s="101">
        <f>IFERROR(COUNTIFS(Human_Data_Entry!$S$3:$S$524,"YES",Human_Data_Entry!$H$3:$H$524,"Human",Human_Data_Entry!$C$3:$C$524,2024)/B199,"")</f>
        <v/>
      </c>
      <c r="D199" s="101">
        <f>IFERROR(COUNTIFS(Human_Data_Entry!$AJ$3:$AJ$524,"YES",Human_Data_Entry!$H$3:$H$524,"Human",Human_Data_Entry!$C$3:$C$524,2024)/COUNTIFS(Human_Data_Entry!$AJ$3:$AJ$524,"?*",Human_Data_Entry!$H$3:$H$524,"Human",Human_Data_Entry!$C$3:$C$524,2024),"")</f>
        <v/>
      </c>
      <c r="E199" s="101">
        <f>COUNTIFS(LLM_Data_Entry!$R$3:$R$430,"?*",LLM_Data_Entry!$C$3:$C$430,2024)</f>
        <v/>
      </c>
      <c r="F199" s="101">
        <f>IFERROR(COUNTIFS(LLM_Data_Entry!$R$3:$R$430,"YES",LLM_Data_Entry!$C$3:$C$430,2024)/E199,"")</f>
        <v/>
      </c>
      <c r="G199" s="101">
        <f>IFERROR(COUNTIFS(LLM_Data_Entry!$AE$3:$AE$430,"YES",LLM_Data_Entry!$C$3:$C$430,2024)/COUNTIFS(LLM_Data_Entry!$AE$3:$AE$430,"?*",LLM_Data_Entry!$C$3:$C$430,2024),"")</f>
        <v/>
      </c>
    </row>
    <row r="200" ht="45.95" customHeight="1" s="241">
      <c r="A200" t="n">
        <v>2025</v>
      </c>
      <c r="B200" s="101">
        <f>COUNTIFS(Human_Data_Entry!$S$3:$S$524,"?*",Human_Data_Entry!$H$3:$H$524,"Human",Human_Data_Entry!$C$3:$C$524,2025)</f>
        <v/>
      </c>
      <c r="C200" s="101">
        <f>IFERROR(COUNTIFS(Human_Data_Entry!$S$3:$S$524,"YES",Human_Data_Entry!$H$3:$H$524,"Human",Human_Data_Entry!$C$3:$C$524,2025)/B200,"")</f>
        <v/>
      </c>
      <c r="D200" s="101">
        <f>IFERROR(COUNTIFS(Human_Data_Entry!$AJ$3:$AJ$524,"YES",Human_Data_Entry!$H$3:$H$524,"Human",Human_Data_Entry!$C$3:$C$524,2025)/COUNTIFS(Human_Data_Entry!$AJ$3:$AJ$524,"?*",Human_Data_Entry!$H$3:$H$524,"Human",Human_Data_Entry!$C$3:$C$524,2025),"")</f>
        <v/>
      </c>
      <c r="E200" s="101">
        <f>COUNTIFS(LLM_Data_Entry!$R$3:$R$430,"?*",LLM_Data_Entry!$C$3:$C$430,2025)</f>
        <v/>
      </c>
      <c r="F200" s="101">
        <f>IFERROR(COUNTIFS(LLM_Data_Entry!$R$3:$R$430,"YES",LLM_Data_Entry!$C$3:$C$430,2025)/E200,"")</f>
        <v/>
      </c>
      <c r="G200" s="101">
        <f>IFERROR(COUNTIFS(LLM_Data_Entry!$AE$3:$AE$430,"YES",LLM_Data_Entry!$C$3:$C$430,2025)/COUNTIFS(LLM_Data_Entry!$AE$3:$AE$430,"?*",LLM_Data_Entry!$C$3:$C$430,2025),"")</f>
        <v/>
      </c>
    </row>
    <row r="201" ht="45.95" customHeight="1" s="241">
      <c r="A201" t="n">
        <v>2026</v>
      </c>
      <c r="B201" s="101">
        <f>COUNTIFS(Human_Data_Entry!$S$3:$S$524,"?*",Human_Data_Entry!$H$3:$H$524,"Human",Human_Data_Entry!$C$3:$C$524,2026)</f>
        <v/>
      </c>
      <c r="C201" s="101">
        <f>IFERROR(COUNTIFS(Human_Data_Entry!$S$3:$S$524,"YES",Human_Data_Entry!$H$3:$H$524,"Human",Human_Data_Entry!$C$3:$C$524,2026)/B201,"")</f>
        <v/>
      </c>
      <c r="D201" s="101">
        <f>IFERROR(COUNTIFS(Human_Data_Entry!$AJ$3:$AJ$524,"YES",Human_Data_Entry!$H$3:$H$524,"Human",Human_Data_Entry!$C$3:$C$524,2026)/COUNTIFS(Human_Data_Entry!$AJ$3:$AJ$524,"?*",Human_Data_Entry!$H$3:$H$524,"Human",Human_Data_Entry!$C$3:$C$524,2026),"")</f>
        <v/>
      </c>
      <c r="E201" s="101">
        <f>COUNTIFS(LLM_Data_Entry!$R$3:$R$430,"?*",LLM_Data_Entry!$C$3:$C$430,2026)</f>
        <v/>
      </c>
      <c r="F201" s="101">
        <f>IFERROR(COUNTIFS(LLM_Data_Entry!$R$3:$R$430,"YES",LLM_Data_Entry!$C$3:$C$430,2026)/E201,"")</f>
        <v/>
      </c>
      <c r="G201" s="101">
        <f>IFERROR(COUNTIFS(LLM_Data_Entry!$AE$3:$AE$430,"YES",LLM_Data_Entry!$C$3:$C$430,2026)/COUNTIFS(LLM_Data_Entry!$AE$3:$AE$430,"?*",LLM_Data_Entry!$C$3:$C$430,2026),"")</f>
        <v/>
      </c>
    </row>
    <row r="202" ht="15.95" customHeight="1" s="241"/>
    <row r="203" ht="15.95" customHeight="1" s="241">
      <c r="A203" t="inlineStr">
        <is>
          <t>D5d - Accuracy by the size of the realised move</t>
        </is>
      </c>
    </row>
    <row r="204" ht="45.95" customHeight="1" s="241">
      <c r="A204" s="101" t="inlineStr">
        <is>
          <t>Bands are on the absolute realised move. Anything inside the FLAT band is a HOLD by construction, so the first two bands are where every arm's HOLDs live and a high score there is not skill - it is the band definition. The bands that carry information are 2% and above.</t>
        </is>
      </c>
    </row>
    <row r="205" ht="15.95" customHeight="1" s="241"/>
    <row r="206" ht="15.95" customHeight="1" s="241">
      <c r="A206" t="inlineStr">
        <is>
          <t>|Realised move|</t>
        </is>
      </c>
      <c r="B206" t="inlineStr">
        <is>
          <t>Human n</t>
        </is>
      </c>
      <c r="C206" t="inlineStr">
        <is>
          <t>Human %</t>
        </is>
      </c>
      <c r="D206" t="inlineStr">
        <is>
          <t>Human n (re-priced)</t>
        </is>
      </c>
      <c r="E206" t="inlineStr">
        <is>
          <t>Human % (re-priced)</t>
        </is>
      </c>
      <c r="F206" t="inlineStr">
        <is>
          <t>LLM n</t>
        </is>
      </c>
      <c r="G206" t="inlineStr">
        <is>
          <t>LLM %</t>
        </is>
      </c>
      <c r="H206" t="inlineStr">
        <is>
          <t>LLM n (re-priced)</t>
        </is>
      </c>
      <c r="I206" t="inlineStr">
        <is>
          <t>LLM % (re-priced)</t>
        </is>
      </c>
    </row>
    <row r="207" ht="45.95" customHeight="1" s="241">
      <c r="A207" t="inlineStr">
        <is>
          <t>under 1%</t>
        </is>
      </c>
      <c r="B207" s="101">
        <f>COUNTIFS(Human_Data_Entry!$S$3:$S$524,"?*",Human_Data_Entry!$H$3:$H$524,"Human",Human_Data_Entry!$Q$3:$Q$524,"&gt;=0",Human_Data_Entry!$Q$3:$Q$524,"&lt;0.01")+COUNTIFS(Human_Data_Entry!$S$3:$S$524,"?*",Human_Data_Entry!$H$3:$H$524,"Human",Human_Data_Entry!$Q$3:$Q$524,"&lt;0",Human_Data_Entry!$Q$3:$Q$524,"&gt;-0.01")</f>
        <v/>
      </c>
      <c r="C207" s="101">
        <f>IFERROR((COUNTIFS(Human_Data_Entry!$S$3:$S$524,"YES",Human_Data_Entry!$H$3:$H$524,"Human",Human_Data_Entry!$Q$3:$Q$524,"&gt;=0",Human_Data_Entry!$Q$3:$Q$524,"&lt;0.01")+COUNTIFS(Human_Data_Entry!$S$3:$S$524,"YES",Human_Data_Entry!$H$3:$H$524,"Human",Human_Data_Entry!$Q$3:$Q$524,"&lt;0",Human_Data_Entry!$Q$3:$Q$524,"&gt;-0.01"))/B207,"")</f>
        <v/>
      </c>
      <c r="D207" s="101">
        <f>COUNTIFS(Human_Data_Entry!$AJ$3:$AJ$524,"?*",Human_Data_Entry!$H$3:$H$524,"Human",Human_Data_Entry!$AH$3:$AH$524,"&gt;=0",Human_Data_Entry!$AH$3:$AH$524,"&lt;0.01")+COUNTIFS(Human_Data_Entry!$AJ$3:$AJ$524,"?*",Human_Data_Entry!$H$3:$H$524,"Human",Human_Data_Entry!$AH$3:$AH$524,"&lt;0",Human_Data_Entry!$AH$3:$AH$524,"&gt;-0.01")</f>
        <v/>
      </c>
      <c r="E207" s="101">
        <f>IFERROR((COUNTIFS(Human_Data_Entry!$AJ$3:$AJ$524,"YES",Human_Data_Entry!$H$3:$H$524,"Human",Human_Data_Entry!$AH$3:$AH$524,"&gt;=0",Human_Data_Entry!$AH$3:$AH$524,"&lt;0.01")+COUNTIFS(Human_Data_Entry!$AJ$3:$AJ$524,"YES",Human_Data_Entry!$H$3:$H$524,"Human",Human_Data_Entry!$AH$3:$AH$524,"&lt;0",Human_Data_Entry!$AH$3:$AH$524,"&gt;-0.01"))/D207,"")</f>
        <v/>
      </c>
      <c r="F207" s="101">
        <f>COUNTIFS(LLM_Data_Entry!$R$3:$R$430,"?*",LLM_Data_Entry!$P$3:$P$430,"&gt;=0",LLM_Data_Entry!$P$3:$P$430,"&lt;0.01")+COUNTIFS(LLM_Data_Entry!$R$3:$R$430,"?*",LLM_Data_Entry!$P$3:$P$430,"&lt;0",LLM_Data_Entry!$P$3:$P$430,"&gt;-0.01")</f>
        <v/>
      </c>
      <c r="G207" s="101">
        <f>IFERROR((COUNTIFS(LLM_Data_Entry!$R$3:$R$430,"YES",LLM_Data_Entry!$P$3:$P$430,"&gt;=0",LLM_Data_Entry!$P$3:$P$430,"&lt;0.01")+COUNTIFS(LLM_Data_Entry!$R$3:$R$430,"YES",LLM_Data_Entry!$P$3:$P$430,"&lt;0",LLM_Data_Entry!$P$3:$P$430,"&gt;-0.01"))/F207,"")</f>
        <v/>
      </c>
      <c r="H207" s="101">
        <f>COUNTIFS(LLM_Data_Entry!$AE$3:$AE$430,"?*",LLM_Data_Entry!$AC$3:$AC$430,"&gt;=0",LLM_Data_Entry!$AC$3:$AC$430,"&lt;0.01")+COUNTIFS(LLM_Data_Entry!$AE$3:$AE$430,"?*",LLM_Data_Entry!$AC$3:$AC$430,"&lt;0",LLM_Data_Entry!$AC$3:$AC$430,"&gt;-0.01")</f>
        <v/>
      </c>
      <c r="I207" s="101">
        <f>IFERROR((COUNTIFS(LLM_Data_Entry!$AE$3:$AE$430,"YES",LLM_Data_Entry!$AC$3:$AC$430,"&gt;=0",LLM_Data_Entry!$AC$3:$AC$430,"&lt;0.01")+COUNTIFS(LLM_Data_Entry!$AE$3:$AE$430,"YES",LLM_Data_Entry!$AC$3:$AC$430,"&lt;0",LLM_Data_Entry!$AC$3:$AC$430,"&gt;-0.01"))/H207,"")</f>
        <v/>
      </c>
    </row>
    <row r="208" ht="45.95" customHeight="1" s="241">
      <c r="A208" t="inlineStr">
        <is>
          <t>1% to 2%</t>
        </is>
      </c>
      <c r="B208" s="101">
        <f>COUNTIFS(Human_Data_Entry!$S$3:$S$524,"?*",Human_Data_Entry!$H$3:$H$524,"Human",Human_Data_Entry!$Q$3:$Q$524,"&gt;=0.01",Human_Data_Entry!$Q$3:$Q$524,"&lt;0.02")+COUNTIFS(Human_Data_Entry!$S$3:$S$524,"?*",Human_Data_Entry!$H$3:$H$524,"Human",Human_Data_Entry!$Q$3:$Q$524,"&lt;=-0.01",Human_Data_Entry!$Q$3:$Q$524,"&gt;-0.02")</f>
        <v/>
      </c>
      <c r="C208" s="101">
        <f>IFERROR((COUNTIFS(Human_Data_Entry!$S$3:$S$524,"YES",Human_Data_Entry!$H$3:$H$524,"Human",Human_Data_Entry!$Q$3:$Q$524,"&gt;=0.01",Human_Data_Entry!$Q$3:$Q$524,"&lt;0.02")+COUNTIFS(Human_Data_Entry!$S$3:$S$524,"YES",Human_Data_Entry!$H$3:$H$524,"Human",Human_Data_Entry!$Q$3:$Q$524,"&lt;=-0.01",Human_Data_Entry!$Q$3:$Q$524,"&gt;-0.02"))/B208,"")</f>
        <v/>
      </c>
      <c r="D208" s="101">
        <f>COUNTIFS(Human_Data_Entry!$AJ$3:$AJ$524,"?*",Human_Data_Entry!$H$3:$H$524,"Human",Human_Data_Entry!$AH$3:$AH$524,"&gt;=0.01",Human_Data_Entry!$AH$3:$AH$524,"&lt;0.02")+COUNTIFS(Human_Data_Entry!$AJ$3:$AJ$524,"?*",Human_Data_Entry!$H$3:$H$524,"Human",Human_Data_Entry!$AH$3:$AH$524,"&lt;=-0.01",Human_Data_Entry!$AH$3:$AH$524,"&gt;-0.02")</f>
        <v/>
      </c>
      <c r="E208" s="101">
        <f>IFERROR((COUNTIFS(Human_Data_Entry!$AJ$3:$AJ$524,"YES",Human_Data_Entry!$H$3:$H$524,"Human",Human_Data_Entry!$AH$3:$AH$524,"&gt;=0.01",Human_Data_Entry!$AH$3:$AH$524,"&lt;0.02")+COUNTIFS(Human_Data_Entry!$AJ$3:$AJ$524,"YES",Human_Data_Entry!$H$3:$H$524,"Human",Human_Data_Entry!$AH$3:$AH$524,"&lt;=-0.01",Human_Data_Entry!$AH$3:$AH$524,"&gt;-0.02"))/D208,"")</f>
        <v/>
      </c>
      <c r="F208" s="101">
        <f>COUNTIFS(LLM_Data_Entry!$R$3:$R$430,"?*",LLM_Data_Entry!$P$3:$P$430,"&gt;=0.01",LLM_Data_Entry!$P$3:$P$430,"&lt;0.02")+COUNTIFS(LLM_Data_Entry!$R$3:$R$430,"?*",LLM_Data_Entry!$P$3:$P$430,"&lt;=-0.01",LLM_Data_Entry!$P$3:$P$430,"&gt;-0.02")</f>
        <v/>
      </c>
      <c r="G208" s="101">
        <f>IFERROR((COUNTIFS(LLM_Data_Entry!$R$3:$R$430,"YES",LLM_Data_Entry!$P$3:$P$430,"&gt;=0.01",LLM_Data_Entry!$P$3:$P$430,"&lt;0.02")+COUNTIFS(LLM_Data_Entry!$R$3:$R$430,"YES",LLM_Data_Entry!$P$3:$P$430,"&lt;=-0.01",LLM_Data_Entry!$P$3:$P$430,"&gt;-0.02"))/F208,"")</f>
        <v/>
      </c>
      <c r="H208" s="101">
        <f>COUNTIFS(LLM_Data_Entry!$AE$3:$AE$430,"?*",LLM_Data_Entry!$AC$3:$AC$430,"&gt;=0.01",LLM_Data_Entry!$AC$3:$AC$430,"&lt;0.02")+COUNTIFS(LLM_Data_Entry!$AE$3:$AE$430,"?*",LLM_Data_Entry!$AC$3:$AC$430,"&lt;=-0.01",LLM_Data_Entry!$AC$3:$AC$430,"&gt;-0.02")</f>
        <v/>
      </c>
      <c r="I208" s="101">
        <f>IFERROR((COUNTIFS(LLM_Data_Entry!$AE$3:$AE$430,"YES",LLM_Data_Entry!$AC$3:$AC$430,"&gt;=0.01",LLM_Data_Entry!$AC$3:$AC$430,"&lt;0.02")+COUNTIFS(LLM_Data_Entry!$AE$3:$AE$430,"YES",LLM_Data_Entry!$AC$3:$AC$430,"&lt;=-0.01",LLM_Data_Entry!$AC$3:$AC$430,"&gt;-0.02"))/H208,"")</f>
        <v/>
      </c>
    </row>
    <row r="209" ht="45.95" customHeight="1" s="241">
      <c r="A209" t="inlineStr">
        <is>
          <t>2% to 5%</t>
        </is>
      </c>
      <c r="B209" s="101">
        <f>COUNTIFS(Human_Data_Entry!$S$3:$S$524,"?*",Human_Data_Entry!$H$3:$H$524,"Human",Human_Data_Entry!$Q$3:$Q$524,"&gt;=0.02",Human_Data_Entry!$Q$3:$Q$524,"&lt;0.05")+COUNTIFS(Human_Data_Entry!$S$3:$S$524,"?*",Human_Data_Entry!$H$3:$H$524,"Human",Human_Data_Entry!$Q$3:$Q$524,"&lt;=-0.02",Human_Data_Entry!$Q$3:$Q$524,"&gt;-0.05")</f>
        <v/>
      </c>
      <c r="C209" s="101">
        <f>IFERROR((COUNTIFS(Human_Data_Entry!$S$3:$S$524,"YES",Human_Data_Entry!$H$3:$H$524,"Human",Human_Data_Entry!$Q$3:$Q$524,"&gt;=0.02",Human_Data_Entry!$Q$3:$Q$524,"&lt;0.05")+COUNTIFS(Human_Data_Entry!$S$3:$S$524,"YES",Human_Data_Entry!$H$3:$H$524,"Human",Human_Data_Entry!$Q$3:$Q$524,"&lt;=-0.02",Human_Data_Entry!$Q$3:$Q$524,"&gt;-0.05"))/B209,"")</f>
        <v/>
      </c>
      <c r="D209" s="101">
        <f>COUNTIFS(Human_Data_Entry!$AJ$3:$AJ$524,"?*",Human_Data_Entry!$H$3:$H$524,"Human",Human_Data_Entry!$AH$3:$AH$524,"&gt;=0.02",Human_Data_Entry!$AH$3:$AH$524,"&lt;0.05")+COUNTIFS(Human_Data_Entry!$AJ$3:$AJ$524,"?*",Human_Data_Entry!$H$3:$H$524,"Human",Human_Data_Entry!$AH$3:$AH$524,"&lt;=-0.02",Human_Data_Entry!$AH$3:$AH$524,"&gt;-0.05")</f>
        <v/>
      </c>
      <c r="E209" s="101">
        <f>IFERROR((COUNTIFS(Human_Data_Entry!$AJ$3:$AJ$524,"YES",Human_Data_Entry!$H$3:$H$524,"Human",Human_Data_Entry!$AH$3:$AH$524,"&gt;=0.02",Human_Data_Entry!$AH$3:$AH$524,"&lt;0.05")+COUNTIFS(Human_Data_Entry!$AJ$3:$AJ$524,"YES",Human_Data_Entry!$H$3:$H$524,"Human",Human_Data_Entry!$AH$3:$AH$524,"&lt;=-0.02",Human_Data_Entry!$AH$3:$AH$524,"&gt;-0.05"))/D209,"")</f>
        <v/>
      </c>
      <c r="F209" s="101">
        <f>COUNTIFS(LLM_Data_Entry!$R$3:$R$430,"?*",LLM_Data_Entry!$P$3:$P$430,"&gt;=0.02",LLM_Data_Entry!$P$3:$P$430,"&lt;0.05")+COUNTIFS(LLM_Data_Entry!$R$3:$R$430,"?*",LLM_Data_Entry!$P$3:$P$430,"&lt;=-0.02",LLM_Data_Entry!$P$3:$P$430,"&gt;-0.05")</f>
        <v/>
      </c>
      <c r="G209" s="101">
        <f>IFERROR((COUNTIFS(LLM_Data_Entry!$R$3:$R$430,"YES",LLM_Data_Entry!$P$3:$P$430,"&gt;=0.02",LLM_Data_Entry!$P$3:$P$430,"&lt;0.05")+COUNTIFS(LLM_Data_Entry!$R$3:$R$430,"YES",LLM_Data_Entry!$P$3:$P$430,"&lt;=-0.02",LLM_Data_Entry!$P$3:$P$430,"&gt;-0.05"))/F209,"")</f>
        <v/>
      </c>
      <c r="H209" s="101">
        <f>COUNTIFS(LLM_Data_Entry!$AE$3:$AE$430,"?*",LLM_Data_Entry!$AC$3:$AC$430,"&gt;=0.02",LLM_Data_Entry!$AC$3:$AC$430,"&lt;0.05")+COUNTIFS(LLM_Data_Entry!$AE$3:$AE$430,"?*",LLM_Data_Entry!$AC$3:$AC$430,"&lt;=-0.02",LLM_Data_Entry!$AC$3:$AC$430,"&gt;-0.05")</f>
        <v/>
      </c>
      <c r="I209" s="101">
        <f>IFERROR((COUNTIFS(LLM_Data_Entry!$AE$3:$AE$430,"YES",LLM_Data_Entry!$AC$3:$AC$430,"&gt;=0.02",LLM_Data_Entry!$AC$3:$AC$430,"&lt;0.05")+COUNTIFS(LLM_Data_Entry!$AE$3:$AE$430,"YES",LLM_Data_Entry!$AC$3:$AC$430,"&lt;=-0.02",LLM_Data_Entry!$AC$3:$AC$430,"&gt;-0.05"))/H209,"")</f>
        <v/>
      </c>
    </row>
    <row r="210" ht="45.95" customHeight="1" s="241">
      <c r="A210" t="inlineStr">
        <is>
          <t>5% to 10%</t>
        </is>
      </c>
      <c r="B210" s="101">
        <f>COUNTIFS(Human_Data_Entry!$S$3:$S$524,"?*",Human_Data_Entry!$H$3:$H$524,"Human",Human_Data_Entry!$Q$3:$Q$524,"&gt;=0.05",Human_Data_Entry!$Q$3:$Q$524,"&lt;0.1")+COUNTIFS(Human_Data_Entry!$S$3:$S$524,"?*",Human_Data_Entry!$H$3:$H$524,"Human",Human_Data_Entry!$Q$3:$Q$524,"&lt;=-0.05",Human_Data_Entry!$Q$3:$Q$524,"&gt;-0.1")</f>
        <v/>
      </c>
      <c r="C210" s="101">
        <f>IFERROR((COUNTIFS(Human_Data_Entry!$S$3:$S$524,"YES",Human_Data_Entry!$H$3:$H$524,"Human",Human_Data_Entry!$Q$3:$Q$524,"&gt;=0.05",Human_Data_Entry!$Q$3:$Q$524,"&lt;0.1")+COUNTIFS(Human_Data_Entry!$S$3:$S$524,"YES",Human_Data_Entry!$H$3:$H$524,"Human",Human_Data_Entry!$Q$3:$Q$524,"&lt;=-0.05",Human_Data_Entry!$Q$3:$Q$524,"&gt;-0.1"))/B210,"")</f>
        <v/>
      </c>
      <c r="D210" s="101">
        <f>COUNTIFS(Human_Data_Entry!$AJ$3:$AJ$524,"?*",Human_Data_Entry!$H$3:$H$524,"Human",Human_Data_Entry!$AH$3:$AH$524,"&gt;=0.05",Human_Data_Entry!$AH$3:$AH$524,"&lt;0.1")+COUNTIFS(Human_Data_Entry!$AJ$3:$AJ$524,"?*",Human_Data_Entry!$H$3:$H$524,"Human",Human_Data_Entry!$AH$3:$AH$524,"&lt;=-0.05",Human_Data_Entry!$AH$3:$AH$524,"&gt;-0.1")</f>
        <v/>
      </c>
      <c r="E210" s="101">
        <f>IFERROR((COUNTIFS(Human_Data_Entry!$AJ$3:$AJ$524,"YES",Human_Data_Entry!$H$3:$H$524,"Human",Human_Data_Entry!$AH$3:$AH$524,"&gt;=0.05",Human_Data_Entry!$AH$3:$AH$524,"&lt;0.1")+COUNTIFS(Human_Data_Entry!$AJ$3:$AJ$524,"YES",Human_Data_Entry!$H$3:$H$524,"Human",Human_Data_Entry!$AH$3:$AH$524,"&lt;=-0.05",Human_Data_Entry!$AH$3:$AH$524,"&gt;-0.1"))/D210,"")</f>
        <v/>
      </c>
      <c r="F210" s="101">
        <f>COUNTIFS(LLM_Data_Entry!$R$3:$R$430,"?*",LLM_Data_Entry!$P$3:$P$430,"&gt;=0.05",LLM_Data_Entry!$P$3:$P$430,"&lt;0.1")+COUNTIFS(LLM_Data_Entry!$R$3:$R$430,"?*",LLM_Data_Entry!$P$3:$P$430,"&lt;=-0.05",LLM_Data_Entry!$P$3:$P$430,"&gt;-0.1")</f>
        <v/>
      </c>
      <c r="G210" s="101">
        <f>IFERROR((COUNTIFS(LLM_Data_Entry!$R$3:$R$430,"YES",LLM_Data_Entry!$P$3:$P$430,"&gt;=0.05",LLM_Data_Entry!$P$3:$P$430,"&lt;0.1")+COUNTIFS(LLM_Data_Entry!$R$3:$R$430,"YES",LLM_Data_Entry!$P$3:$P$430,"&lt;=-0.05",LLM_Data_Entry!$P$3:$P$430,"&gt;-0.1"))/F210,"")</f>
        <v/>
      </c>
      <c r="H210" s="101">
        <f>COUNTIFS(LLM_Data_Entry!$AE$3:$AE$430,"?*",LLM_Data_Entry!$AC$3:$AC$430,"&gt;=0.05",LLM_Data_Entry!$AC$3:$AC$430,"&lt;0.1")+COUNTIFS(LLM_Data_Entry!$AE$3:$AE$430,"?*",LLM_Data_Entry!$AC$3:$AC$430,"&lt;=-0.05",LLM_Data_Entry!$AC$3:$AC$430,"&gt;-0.1")</f>
        <v/>
      </c>
      <c r="I210" s="101">
        <f>IFERROR((COUNTIFS(LLM_Data_Entry!$AE$3:$AE$430,"YES",LLM_Data_Entry!$AC$3:$AC$430,"&gt;=0.05",LLM_Data_Entry!$AC$3:$AC$430,"&lt;0.1")+COUNTIFS(LLM_Data_Entry!$AE$3:$AE$430,"YES",LLM_Data_Entry!$AC$3:$AC$430,"&lt;=-0.05",LLM_Data_Entry!$AC$3:$AC$430,"&gt;-0.1"))/H210,"")</f>
        <v/>
      </c>
    </row>
    <row r="211" ht="45.95" customHeight="1" s="241">
      <c r="A211" t="inlineStr">
        <is>
          <t>10% and over</t>
        </is>
      </c>
      <c r="B211" s="101">
        <f>COUNTIFS(Human_Data_Entry!$S$3:$S$524,"?*",Human_Data_Entry!$H$3:$H$524,"Human",Human_Data_Entry!$Q$3:$Q$524,"&gt;=0.1")+COUNTIFS(Human_Data_Entry!$S$3:$S$524,"?*",Human_Data_Entry!$H$3:$H$524,"Human",Human_Data_Entry!$Q$3:$Q$524,"&lt;=-0.1")</f>
        <v/>
      </c>
      <c r="C211" s="101">
        <f>IFERROR((COUNTIFS(Human_Data_Entry!$S$3:$S$524,"YES",Human_Data_Entry!$H$3:$H$524,"Human",Human_Data_Entry!$Q$3:$Q$524,"&gt;=0.1")+COUNTIFS(Human_Data_Entry!$S$3:$S$524,"YES",Human_Data_Entry!$H$3:$H$524,"Human",Human_Data_Entry!$Q$3:$Q$524,"&lt;=-0.1"))/B211,"")</f>
        <v/>
      </c>
      <c r="D211" s="101">
        <f>COUNTIFS(Human_Data_Entry!$AJ$3:$AJ$524,"?*",Human_Data_Entry!$H$3:$H$524,"Human",Human_Data_Entry!$AH$3:$AH$524,"&gt;=0.1")+COUNTIFS(Human_Data_Entry!$AJ$3:$AJ$524,"?*",Human_Data_Entry!$H$3:$H$524,"Human",Human_Data_Entry!$AH$3:$AH$524,"&lt;=-0.1")</f>
        <v/>
      </c>
      <c r="E211" s="101">
        <f>IFERROR((COUNTIFS(Human_Data_Entry!$AJ$3:$AJ$524,"YES",Human_Data_Entry!$H$3:$H$524,"Human",Human_Data_Entry!$AH$3:$AH$524,"&gt;=0.1")+COUNTIFS(Human_Data_Entry!$AJ$3:$AJ$524,"YES",Human_Data_Entry!$H$3:$H$524,"Human",Human_Data_Entry!$AH$3:$AH$524,"&lt;=-0.1"))/D211,"")</f>
        <v/>
      </c>
      <c r="F211" s="101">
        <f>COUNTIFS(LLM_Data_Entry!$R$3:$R$430,"?*",LLM_Data_Entry!$P$3:$P$430,"&gt;=0.1")+COUNTIFS(LLM_Data_Entry!$R$3:$R$430,"?*",LLM_Data_Entry!$P$3:$P$430,"&lt;=-0.1")</f>
        <v/>
      </c>
      <c r="G211" s="101">
        <f>IFERROR((COUNTIFS(LLM_Data_Entry!$R$3:$R$430,"YES",LLM_Data_Entry!$P$3:$P$430,"&gt;=0.1")+COUNTIFS(LLM_Data_Entry!$R$3:$R$430,"YES",LLM_Data_Entry!$P$3:$P$430,"&lt;=-0.1"))/F211,"")</f>
        <v/>
      </c>
      <c r="H211" s="101">
        <f>COUNTIFS(LLM_Data_Entry!$AE$3:$AE$430,"?*",LLM_Data_Entry!$AC$3:$AC$430,"&gt;=0.1")+COUNTIFS(LLM_Data_Entry!$AE$3:$AE$430,"?*",LLM_Data_Entry!$AC$3:$AC$430,"&lt;=-0.1")</f>
        <v/>
      </c>
      <c r="I211" s="101">
        <f>IFERROR((COUNTIFS(LLM_Data_Entry!$AE$3:$AE$430,"YES",LLM_Data_Entry!$AC$3:$AC$430,"&gt;=0.1")+COUNTIFS(LLM_Data_Entry!$AE$3:$AE$430,"YES",LLM_Data_Entry!$AC$3:$AC$430,"&lt;=-0.1"))/H211,"")</f>
        <v/>
      </c>
    </row>
    <row r="212" ht="30" customHeight="1" s="241">
      <c r="A212" t="inlineStr">
        <is>
          <t>Reconciliation - the bands must sum to the arm</t>
        </is>
      </c>
      <c r="B212" s="101">
        <f>IF(SUM(B207:B211)=COUNTIFS(Human_Data_Entry!$S$3:$S$524,"?*",Human_Data_Entry!$H$3:$H$524,"Human"),"OK","MISMATCH")</f>
        <v/>
      </c>
      <c r="D212" s="101">
        <f>IF(SUM(D207:D211)=COUNTIFS(Human_Data_Entry!$AJ$3:$AJ$524,"?*",Human_Data_Entry!$H$3:$H$524,"Human"),"OK","MISMATCH")</f>
        <v/>
      </c>
      <c r="F212" s="101">
        <f>IF(SUM(F207:F211)=COUNTIFS(LLM_Data_Entry!$R$3:$R$430,"?*"),"OK","MISMATCH")</f>
        <v/>
      </c>
      <c r="H212" s="101">
        <f>IF(SUM(H207:H211)=COUNTIFS(LLM_Data_Entry!$AE$3:$AE$430,"?*"),"OK","MISMATCH")</f>
        <v/>
      </c>
    </row>
    <row r="213" ht="15.95" customHeight="1" s="241"/>
    <row r="214" ht="30" customHeight="1" s="241">
      <c r="A214" s="101" t="inlineStr">
        <is>
          <t>D5e - Return per trade: dispersion, Sharpe and a 95% interval</t>
        </is>
      </c>
    </row>
    <row r="215" ht="45.95" customHeight="1" s="241">
      <c r="A215" s="101" t="inlineStr">
        <is>
          <t>Sharpe here is the per-trade information ratio - mean divided by the standard deviation of the per-trade net return, not annualised and with no risk-free rate, because the positions overlap in time and there is no holding period to annualise over. The interval is on the MEAN (mean +/- 1.96 x sd / sqrt(n)), which answers 'is the average trade distinguishable from zero' - the question the write-up asks.</t>
        </is>
      </c>
    </row>
    <row r="216" ht="15.95" customHeight="1" s="241"/>
    <row r="217" ht="15.95" customHeight="1" s="241">
      <c r="A217" t="inlineStr">
        <is>
          <t>Measure</t>
        </is>
      </c>
      <c r="B217" t="inlineStr">
        <is>
          <t>Human published</t>
        </is>
      </c>
      <c r="C217" t="inlineStr">
        <is>
          <t>Human re-priced</t>
        </is>
      </c>
      <c r="D217" t="inlineStr">
        <is>
          <t>LLM published</t>
        </is>
      </c>
      <c r="E217" t="inlineStr">
        <is>
          <t>LLM re-priced</t>
        </is>
      </c>
    </row>
    <row r="218" ht="15.95" customHeight="1" s="241">
      <c r="A218" t="inlineStr">
        <is>
          <t># Trades</t>
        </is>
      </c>
      <c r="B218">
        <f>COUNT(Human_Data_Entry!$AT$3:$AT$524)</f>
        <v/>
      </c>
      <c r="C218">
        <f>COUNT(Human_Data_Entry!$AU$3:$AU$524)</f>
        <v/>
      </c>
      <c r="D218">
        <f>COUNT(LLM_Data_Entry!$AM$3:$AM$430)</f>
        <v/>
      </c>
      <c r="E218">
        <f>COUNT(LLM_Data_Entry!$AN$3:$AN$430)</f>
        <v/>
      </c>
    </row>
    <row r="219" ht="15.95" customHeight="1" s="241">
      <c r="A219" t="inlineStr">
        <is>
          <t>Mean net return per trade</t>
        </is>
      </c>
      <c r="B219">
        <f>IFERROR(AVERAGE(Human_Data_Entry!$AT$3:$AT$524),"")</f>
        <v/>
      </c>
      <c r="C219">
        <f>IFERROR(AVERAGE(Human_Data_Entry!$AU$3:$AU$524),"")</f>
        <v/>
      </c>
      <c r="D219">
        <f>IFERROR(AVERAGE(LLM_Data_Entry!$AM$3:$AM$430),"")</f>
        <v/>
      </c>
      <c r="E219">
        <f>IFERROR(AVERAGE(LLM_Data_Entry!$AN$3:$AN$430),"")</f>
        <v/>
      </c>
    </row>
    <row r="220" ht="15.95" customHeight="1" s="241">
      <c r="A220" t="inlineStr">
        <is>
          <t>Standard deviation per trade</t>
        </is>
      </c>
      <c r="B220">
        <f>IFERROR(STDEV(Human_Data_Entry!$AT$3:$AT$524),"")</f>
        <v/>
      </c>
      <c r="C220">
        <f>IFERROR(STDEV(Human_Data_Entry!$AU$3:$AU$524),"")</f>
        <v/>
      </c>
      <c r="D220">
        <f>IFERROR(STDEV(LLM_Data_Entry!$AM$3:$AM$430),"")</f>
        <v/>
      </c>
      <c r="E220">
        <f>IFERROR(STDEV(LLM_Data_Entry!$AN$3:$AN$430),"")</f>
        <v/>
      </c>
    </row>
    <row r="221" ht="15.95" customHeight="1" s="241">
      <c r="A221" t="inlineStr">
        <is>
          <t>Sharpe (mean / sd)</t>
        </is>
      </c>
      <c r="B221">
        <f>IFERROR(B219/B220,"")</f>
        <v/>
      </c>
      <c r="C221">
        <f>IFERROR(C219/C220,"")</f>
        <v/>
      </c>
      <c r="D221">
        <f>IFERROR(D219/D220,"")</f>
        <v/>
      </c>
      <c r="E221">
        <f>IFERROR(E219/E220,"")</f>
        <v/>
      </c>
    </row>
    <row r="222" ht="15.95" customHeight="1" s="241">
      <c r="A222" t="inlineStr">
        <is>
          <t>95% interval on the mean - low</t>
        </is>
      </c>
      <c r="B222">
        <f>IFERROR(B219-1.96*B220/SQRT(B218),"")</f>
        <v/>
      </c>
      <c r="C222">
        <f>IFERROR(C219-1.96*C220/SQRT(C218),"")</f>
        <v/>
      </c>
      <c r="D222">
        <f>IFERROR(D219-1.96*D220/SQRT(D218),"")</f>
        <v/>
      </c>
      <c r="E222">
        <f>IFERROR(E219-1.96*E220/SQRT(E218),"")</f>
        <v/>
      </c>
    </row>
    <row r="223" ht="15.95" customHeight="1" s="241">
      <c r="A223" t="inlineStr">
        <is>
          <t>95% interval on the mean - high</t>
        </is>
      </c>
      <c r="B223">
        <f>IFERROR(B219+1.96*B220/SQRT(B218),"")</f>
        <v/>
      </c>
      <c r="C223">
        <f>IFERROR(C219+1.96*C220/SQRT(C218),"")</f>
        <v/>
      </c>
      <c r="D223">
        <f>IFERROR(D219+1.96*D220/SQRT(D218),"")</f>
        <v/>
      </c>
      <c r="E223">
        <f>IFERROR(E219+1.96*E220/SQRT(E218),"")</f>
        <v/>
      </c>
    </row>
    <row r="224" ht="15.95" customHeight="1" s="241">
      <c r="A224" t="inlineStr">
        <is>
          <t>Mean distinguishable from zero at 95%?</t>
        </is>
      </c>
      <c r="B224">
        <f>IF(B222*B223&gt;0,"YES","NO")</f>
        <v/>
      </c>
      <c r="C224">
        <f>IF(C222*C223&gt;0,"YES","NO")</f>
        <v/>
      </c>
      <c r="D224">
        <f>IF(D222*D223&gt;0,"YES","NO")</f>
        <v/>
      </c>
      <c r="E224">
        <f>IF(E222*E223&gt;0,"YES","NO")</f>
        <v/>
      </c>
    </row>
    <row r="225" ht="15.95" customHeight="1" s="241"/>
    <row r="226" ht="15.95" customHeight="1" s="241">
      <c r="A226" t="inlineStr">
        <is>
          <t>D5f - Conviction-weighted sizing versus flat sizing</t>
        </is>
      </c>
    </row>
    <row r="227" ht="45.95" customHeight="1" s="241">
      <c r="A227" s="101" t="inlineStr">
        <is>
          <t>Weight = |sentiment score - neutral point| (Settings B24 for the human arm, B25 for the model arm). Flat is the plain mean per trade; conviction-weighted is the weighted mean over exactly the same trades, so the difference is the whole effect of the sizing rule. A trade called at neutral carries no weight, which is the point of the rule and the reason the zero-weight count is here.</t>
        </is>
      </c>
    </row>
    <row r="228" ht="15.95" customHeight="1" s="241"/>
    <row r="229" ht="15.95" customHeight="1" s="241">
      <c r="A229" t="inlineStr">
        <is>
          <t>Measure</t>
        </is>
      </c>
      <c r="B229" t="inlineStr">
        <is>
          <t>Human published</t>
        </is>
      </c>
      <c r="C229" t="inlineStr">
        <is>
          <t>Human re-priced</t>
        </is>
      </c>
      <c r="D229" t="inlineStr">
        <is>
          <t>LLM published</t>
        </is>
      </c>
      <c r="E229" t="inlineStr">
        <is>
          <t>LLM re-priced</t>
        </is>
      </c>
    </row>
    <row r="230" ht="15.95" customHeight="1" s="241">
      <c r="A230" t="inlineStr">
        <is>
          <t># Trades</t>
        </is>
      </c>
      <c r="B230">
        <f>COUNT(Human_Data_Entry!$AT$3:$AT$524)</f>
        <v/>
      </c>
      <c r="C230">
        <f>COUNT(Human_Data_Entry!$AU$3:$AU$524)</f>
        <v/>
      </c>
      <c r="D230">
        <f>COUNT(LLM_Data_Entry!$AM$3:$AM$430)</f>
        <v/>
      </c>
      <c r="E230">
        <f>COUNT(LLM_Data_Entry!$AN$3:$AN$430)</f>
        <v/>
      </c>
    </row>
    <row r="231" ht="15.95" customHeight="1" s="241">
      <c r="A231" t="inlineStr">
        <is>
          <t>Flat: mean net return per trade</t>
        </is>
      </c>
      <c r="B231">
        <f>IFERROR(AVERAGE(Human_Data_Entry!$AT$3:$AT$524),"")</f>
        <v/>
      </c>
      <c r="C231">
        <f>IFERROR(AVERAGE(Human_Data_Entry!$AU$3:$AU$524),"")</f>
        <v/>
      </c>
      <c r="D231">
        <f>IFERROR(AVERAGE(LLM_Data_Entry!$AM$3:$AM$430),"")</f>
        <v/>
      </c>
      <c r="E231">
        <f>IFERROR(AVERAGE(LLM_Data_Entry!$AN$3:$AN$430),"")</f>
        <v/>
      </c>
    </row>
    <row r="232" ht="30" customHeight="1" s="241">
      <c r="A232" t="inlineStr">
        <is>
          <t>Conviction-weighted: mean net return per trade</t>
        </is>
      </c>
      <c r="B232" s="101">
        <f>IFERROR(SUM(Human_Data_Entry!$AW$3:$AW$524)/SUM(Human_Data_Entry!$AV$3:$AV$524),"")</f>
        <v/>
      </c>
      <c r="C232" s="101">
        <f>IFERROR(SUM(Human_Data_Entry!$AY$3:$AY$524)/SUM(Human_Data_Entry!$AX$3:$AX$524),"")</f>
        <v/>
      </c>
      <c r="D232" s="101">
        <f>IFERROR(SUM(LLM_Data_Entry!$AP$3:$AP$430)/SUM(LLM_Data_Entry!$AO$3:$AO$430),"")</f>
        <v/>
      </c>
      <c r="E232" s="101">
        <f>IFERROR(SUM(LLM_Data_Entry!$AR$3:$AR$430)/SUM(LLM_Data_Entry!$AQ$3:$AQ$430),"")</f>
        <v/>
      </c>
    </row>
    <row r="233" ht="15.95" customHeight="1" s="241">
      <c r="A233" t="inlineStr">
        <is>
          <t>Difference (weighted - flat)</t>
        </is>
      </c>
      <c r="B233">
        <f>IFERROR(B232-B231,"")</f>
        <v/>
      </c>
      <c r="C233">
        <f>IFERROR(C232-C231,"")</f>
        <v/>
      </c>
      <c r="D233">
        <f>IFERROR(D232-D231,"")</f>
        <v/>
      </c>
      <c r="E233">
        <f>IFERROR(E232-E231,"")</f>
        <v/>
      </c>
    </row>
    <row r="234" ht="15.95" customHeight="1" s="241">
      <c r="A234" t="inlineStr">
        <is>
          <t>Sum of weights</t>
        </is>
      </c>
      <c r="B234">
        <f>SUM(Human_Data_Entry!$AV$3:$AV$524)</f>
        <v/>
      </c>
      <c r="C234">
        <f>SUM(Human_Data_Entry!$AX$3:$AX$524)</f>
        <v/>
      </c>
      <c r="D234">
        <f>SUM(LLM_Data_Entry!$AO$3:$AO$430)</f>
        <v/>
      </c>
      <c r="E234">
        <f>SUM(LLM_Data_Entry!$AQ$3:$AQ$430)</f>
        <v/>
      </c>
    </row>
    <row r="235" ht="15.95" customHeight="1" s="241">
      <c r="A235" t="inlineStr">
        <is>
          <t>Trades carrying zero weight</t>
        </is>
      </c>
      <c r="B235">
        <f>COUNTIFS(Human_Data_Entry!$AV$3:$AV$524,0)</f>
        <v/>
      </c>
      <c r="C235">
        <f>COUNTIFS(Human_Data_Entry!$AX$3:$AX$524,0)</f>
        <v/>
      </c>
      <c r="D235">
        <f>COUNTIFS(LLM_Data_Entry!$AO$3:$AO$430,0)</f>
        <v/>
      </c>
      <c r="E235">
        <f>COUNTIFS(LLM_Data_Entry!$AQ$3:$AQ$430,0)</f>
        <v/>
      </c>
    </row>
    <row r="236" ht="15.95" customHeight="1" s="241"/>
    <row r="237" ht="15.95" customHeight="1" s="241">
      <c r="A237" t="inlineStr">
        <is>
          <t>D5g - Accuracy by information set (human arm only)</t>
        </is>
      </c>
    </row>
    <row r="238" ht="45.95" customHeight="1" s="241">
      <c r="A238" s="101" t="inlineStr">
        <is>
          <t>Derived in Human_Data_Entry!AS from the row's own Document and Section, not retyped. 'full' means the row records reading the whole bundle; '&lt;document&gt; only' means it names one document and no section. The model sheet records neither.</t>
        </is>
      </c>
    </row>
    <row r="239" ht="15.95" customHeight="1" s="241"/>
    <row r="240" ht="15.95" customHeight="1" s="241">
      <c r="A240" t="inlineStr">
        <is>
          <t>Information set</t>
        </is>
      </c>
      <c r="B240" t="inlineStr">
        <is>
          <t>n</t>
        </is>
      </c>
      <c r="C240" t="inlineStr">
        <is>
          <t>Correct</t>
        </is>
      </c>
      <c r="D240" t="inlineStr">
        <is>
          <t>%</t>
        </is>
      </c>
      <c r="E240" t="inlineStr">
        <is>
          <t>% (re-priced)</t>
        </is>
      </c>
      <c r="F240" t="inlineStr">
        <is>
          <t>Trades</t>
        </is>
      </c>
      <c r="G240" t="inlineStr">
        <is>
          <t>Total return</t>
        </is>
      </c>
      <c r="H240" t="inlineStr">
        <is>
          <t>Total return (re-priced)</t>
        </is>
      </c>
    </row>
    <row r="241" ht="45.95" customHeight="1" s="241">
      <c r="A241" t="inlineStr">
        <is>
          <t>financials</t>
        </is>
      </c>
      <c r="B241" s="101">
        <f>COUNTIFS(Human_Data_Entry!$S$3:$S$524,"?*",Human_Data_Entry!$H$3:$H$524,"Human",Human_Data_Entry!$AS$3:$AS$524,"financials")</f>
        <v/>
      </c>
      <c r="C241" s="101">
        <f>COUNTIFS(Human_Data_Entry!$S$3:$S$524,"YES",Human_Data_Entry!$H$3:$H$524,"Human",Human_Data_Entry!$AS$3:$AS$524,"financials")</f>
        <v/>
      </c>
      <c r="D241">
        <f>IFERROR(C241/B241,"")</f>
        <v/>
      </c>
      <c r="E241" s="101">
        <f>IFERROR(COUNTIFS(Human_Data_Entry!$AJ$3:$AJ$524,"YES",Human_Data_Entry!$H$3:$H$524,"Human",Human_Data_Entry!$AS$3:$AS$524,"financials")/COUNTIFS(Human_Data_Entry!$AJ$3:$AJ$524,"?*",Human_Data_Entry!$H$3:$H$524,"Human",Human_Data_Entry!$AS$3:$AS$524,"financials"),"")</f>
        <v/>
      </c>
      <c r="F241" s="101">
        <f>COUNTIFS(Human_Data_Entry!$J$3:$J$524,"BUY",Human_Data_Entry!$S$3:$S$524,"?*",Human_Data_Entry!$H$3:$H$524,"Human",Human_Data_Entry!$AS$3:$AS$524,"financials")+COUNTIFS(Human_Data_Entry!$J$3:$J$524,"SELL",Human_Data_Entry!$S$3:$S$524,"?*",Human_Data_Entry!$H$3:$H$524,"Human",Human_Data_Entry!$AS$3:$AS$524,"financials")</f>
        <v/>
      </c>
      <c r="G241" s="101">
        <f>SUMIFS(Human_Data_Entry!$AT$3:$AT$524,Human_Data_Entry!$AS$3:$AS$524,"financials")</f>
        <v/>
      </c>
      <c r="H241" s="101">
        <f>SUMIFS(Human_Data_Entry!$AU$3:$AU$524,Human_Data_Entry!$AS$3:$AS$524,"financials")</f>
        <v/>
      </c>
    </row>
    <row r="242" ht="45.95" customHeight="1" s="241">
      <c r="A242" t="inlineStr">
        <is>
          <t>full</t>
        </is>
      </c>
      <c r="B242" s="101">
        <f>COUNTIFS(Human_Data_Entry!$S$3:$S$524,"?*",Human_Data_Entry!$H$3:$H$524,"Human",Human_Data_Entry!$AS$3:$AS$524,"full")</f>
        <v/>
      </c>
      <c r="C242" s="101">
        <f>COUNTIFS(Human_Data_Entry!$S$3:$S$524,"YES",Human_Data_Entry!$H$3:$H$524,"Human",Human_Data_Entry!$AS$3:$AS$524,"full")</f>
        <v/>
      </c>
      <c r="D242">
        <f>IFERROR(C242/B242,"")</f>
        <v/>
      </c>
      <c r="E242" s="101">
        <f>IFERROR(COUNTIFS(Human_Data_Entry!$AJ$3:$AJ$524,"YES",Human_Data_Entry!$H$3:$H$524,"Human",Human_Data_Entry!$AS$3:$AS$524,"full")/COUNTIFS(Human_Data_Entry!$AJ$3:$AJ$524,"?*",Human_Data_Entry!$H$3:$H$524,"Human",Human_Data_Entry!$AS$3:$AS$524,"full"),"")</f>
        <v/>
      </c>
      <c r="F242" s="101">
        <f>COUNTIFS(Human_Data_Entry!$J$3:$J$524,"BUY",Human_Data_Entry!$S$3:$S$524,"?*",Human_Data_Entry!$H$3:$H$524,"Human",Human_Data_Entry!$AS$3:$AS$524,"full")+COUNTIFS(Human_Data_Entry!$J$3:$J$524,"SELL",Human_Data_Entry!$S$3:$S$524,"?*",Human_Data_Entry!$H$3:$H$524,"Human",Human_Data_Entry!$AS$3:$AS$524,"full")</f>
        <v/>
      </c>
      <c r="G242" s="101">
        <f>SUMIFS(Human_Data_Entry!$AT$3:$AT$524,Human_Data_Entry!$AS$3:$AS$524,"full")</f>
        <v/>
      </c>
      <c r="H242" s="101">
        <f>SUMIFS(Human_Data_Entry!$AU$3:$AU$524,Human_Data_Entry!$AS$3:$AS$524,"full")</f>
        <v/>
      </c>
    </row>
    <row r="243" ht="45.95" customHeight="1" s="241">
      <c r="A243" t="inlineStr">
        <is>
          <t>guidance</t>
        </is>
      </c>
      <c r="B243" s="101">
        <f>COUNTIFS(Human_Data_Entry!$S$3:$S$524,"?*",Human_Data_Entry!$H$3:$H$524,"Human",Human_Data_Entry!$AS$3:$AS$524,"guidance")</f>
        <v/>
      </c>
      <c r="C243" s="101">
        <f>COUNTIFS(Human_Data_Entry!$S$3:$S$524,"YES",Human_Data_Entry!$H$3:$H$524,"Human",Human_Data_Entry!$AS$3:$AS$524,"guidance")</f>
        <v/>
      </c>
      <c r="D243">
        <f>IFERROR(C243/B243,"")</f>
        <v/>
      </c>
      <c r="E243" s="101">
        <f>IFERROR(COUNTIFS(Human_Data_Entry!$AJ$3:$AJ$524,"YES",Human_Data_Entry!$H$3:$H$524,"Human",Human_Data_Entry!$AS$3:$AS$524,"guidance")/COUNTIFS(Human_Data_Entry!$AJ$3:$AJ$524,"?*",Human_Data_Entry!$H$3:$H$524,"Human",Human_Data_Entry!$AS$3:$AS$524,"guidance"),"")</f>
        <v/>
      </c>
      <c r="F243" s="101">
        <f>COUNTIFS(Human_Data_Entry!$J$3:$J$524,"BUY",Human_Data_Entry!$S$3:$S$524,"?*",Human_Data_Entry!$H$3:$H$524,"Human",Human_Data_Entry!$AS$3:$AS$524,"guidance")+COUNTIFS(Human_Data_Entry!$J$3:$J$524,"SELL",Human_Data_Entry!$S$3:$S$524,"?*",Human_Data_Entry!$H$3:$H$524,"Human",Human_Data_Entry!$AS$3:$AS$524,"guidance")</f>
        <v/>
      </c>
      <c r="G243" s="101">
        <f>SUMIFS(Human_Data_Entry!$AT$3:$AT$524,Human_Data_Entry!$AS$3:$AS$524,"guidance")</f>
        <v/>
      </c>
      <c r="H243" s="101">
        <f>SUMIFS(Human_Data_Entry!$AU$3:$AU$524,Human_Data_Entry!$AS$3:$AS$524,"guidance")</f>
        <v/>
      </c>
    </row>
    <row r="244" ht="45.95" customHeight="1" s="241">
      <c r="A244" t="inlineStr">
        <is>
          <t>presentation only</t>
        </is>
      </c>
      <c r="B244" s="101">
        <f>COUNTIFS(Human_Data_Entry!$S$3:$S$524,"?*",Human_Data_Entry!$H$3:$H$524,"Human",Human_Data_Entry!$AS$3:$AS$524,"presentation only")</f>
        <v/>
      </c>
      <c r="C244" s="101">
        <f>COUNTIFS(Human_Data_Entry!$S$3:$S$524,"YES",Human_Data_Entry!$H$3:$H$524,"Human",Human_Data_Entry!$AS$3:$AS$524,"presentation only")</f>
        <v/>
      </c>
      <c r="D244">
        <f>IFERROR(C244/B244,"")</f>
        <v/>
      </c>
      <c r="E244" s="101">
        <f>IFERROR(COUNTIFS(Human_Data_Entry!$AJ$3:$AJ$524,"YES",Human_Data_Entry!$H$3:$H$524,"Human",Human_Data_Entry!$AS$3:$AS$524,"presentation only")/COUNTIFS(Human_Data_Entry!$AJ$3:$AJ$524,"?*",Human_Data_Entry!$H$3:$H$524,"Human",Human_Data_Entry!$AS$3:$AS$524,"presentation only"),"")</f>
        <v/>
      </c>
      <c r="F244" s="101">
        <f>COUNTIFS(Human_Data_Entry!$J$3:$J$524,"BUY",Human_Data_Entry!$S$3:$S$524,"?*",Human_Data_Entry!$H$3:$H$524,"Human",Human_Data_Entry!$AS$3:$AS$524,"presentation only")+COUNTIFS(Human_Data_Entry!$J$3:$J$524,"SELL",Human_Data_Entry!$S$3:$S$524,"?*",Human_Data_Entry!$H$3:$H$524,"Human",Human_Data_Entry!$AS$3:$AS$524,"presentation only")</f>
        <v/>
      </c>
      <c r="G244" s="101">
        <f>SUMIFS(Human_Data_Entry!$AT$3:$AT$524,Human_Data_Entry!$AS$3:$AS$524,"presentation only")</f>
        <v/>
      </c>
      <c r="H244" s="101">
        <f>SUMIFS(Human_Data_Entry!$AU$3:$AU$524,Human_Data_Entry!$AS$3:$AS$524,"presentation only")</f>
        <v/>
      </c>
    </row>
    <row r="245" ht="45.95" customHeight="1" s="241">
      <c r="A245" t="inlineStr">
        <is>
          <t>press release document only</t>
        </is>
      </c>
      <c r="B245" s="101">
        <f>COUNTIFS(Human_Data_Entry!$S$3:$S$524,"?*",Human_Data_Entry!$H$3:$H$524,"Human",Human_Data_Entry!$AS$3:$AS$524,"press release document only")</f>
        <v/>
      </c>
      <c r="C245" s="101">
        <f>COUNTIFS(Human_Data_Entry!$S$3:$S$524,"YES",Human_Data_Entry!$H$3:$H$524,"Human",Human_Data_Entry!$AS$3:$AS$524,"press release document only")</f>
        <v/>
      </c>
      <c r="D245">
        <f>IFERROR(C245/B245,"")</f>
        <v/>
      </c>
      <c r="E245" s="101">
        <f>IFERROR(COUNTIFS(Human_Data_Entry!$AJ$3:$AJ$524,"YES",Human_Data_Entry!$H$3:$H$524,"Human",Human_Data_Entry!$AS$3:$AS$524,"press release document only")/COUNTIFS(Human_Data_Entry!$AJ$3:$AJ$524,"?*",Human_Data_Entry!$H$3:$H$524,"Human",Human_Data_Entry!$AS$3:$AS$524,"press release document only"),"")</f>
        <v/>
      </c>
      <c r="F245" s="101">
        <f>COUNTIFS(Human_Data_Entry!$J$3:$J$524,"BUY",Human_Data_Entry!$S$3:$S$524,"?*",Human_Data_Entry!$H$3:$H$524,"Human",Human_Data_Entry!$AS$3:$AS$524,"press release document only")+COUNTIFS(Human_Data_Entry!$J$3:$J$524,"SELL",Human_Data_Entry!$S$3:$S$524,"?*",Human_Data_Entry!$H$3:$H$524,"Human",Human_Data_Entry!$AS$3:$AS$524,"press release document only")</f>
        <v/>
      </c>
      <c r="G245" s="101">
        <f>SUMIFS(Human_Data_Entry!$AT$3:$AT$524,Human_Data_Entry!$AS$3:$AS$524,"press release document only")</f>
        <v/>
      </c>
      <c r="H245" s="101">
        <f>SUMIFS(Human_Data_Entry!$AU$3:$AU$524,Human_Data_Entry!$AS$3:$AS$524,"press release document only")</f>
        <v/>
      </c>
    </row>
    <row r="246" ht="45.95" customHeight="1" s="241">
      <c r="A246" t="inlineStr">
        <is>
          <t>qanda</t>
        </is>
      </c>
      <c r="B246" s="101">
        <f>COUNTIFS(Human_Data_Entry!$S$3:$S$524,"?*",Human_Data_Entry!$H$3:$H$524,"Human",Human_Data_Entry!$AS$3:$AS$524,"qanda")</f>
        <v/>
      </c>
      <c r="C246" s="101">
        <f>COUNTIFS(Human_Data_Entry!$S$3:$S$524,"YES",Human_Data_Entry!$H$3:$H$524,"Human",Human_Data_Entry!$AS$3:$AS$524,"qanda")</f>
        <v/>
      </c>
      <c r="D246">
        <f>IFERROR(C246/B246,"")</f>
        <v/>
      </c>
      <c r="E246" s="101">
        <f>IFERROR(COUNTIFS(Human_Data_Entry!$AJ$3:$AJ$524,"YES",Human_Data_Entry!$H$3:$H$524,"Human",Human_Data_Entry!$AS$3:$AS$524,"qanda")/COUNTIFS(Human_Data_Entry!$AJ$3:$AJ$524,"?*",Human_Data_Entry!$H$3:$H$524,"Human",Human_Data_Entry!$AS$3:$AS$524,"qanda"),"")</f>
        <v/>
      </c>
      <c r="F246" s="101">
        <f>COUNTIFS(Human_Data_Entry!$J$3:$J$524,"BUY",Human_Data_Entry!$S$3:$S$524,"?*",Human_Data_Entry!$H$3:$H$524,"Human",Human_Data_Entry!$AS$3:$AS$524,"qanda")+COUNTIFS(Human_Data_Entry!$J$3:$J$524,"SELL",Human_Data_Entry!$S$3:$S$524,"?*",Human_Data_Entry!$H$3:$H$524,"Human",Human_Data_Entry!$AS$3:$AS$524,"qanda")</f>
        <v/>
      </c>
      <c r="G246" s="101">
        <f>SUMIFS(Human_Data_Entry!$AT$3:$AT$524,Human_Data_Entry!$AS$3:$AS$524,"qanda")</f>
        <v/>
      </c>
      <c r="H246" s="101">
        <f>SUMIFS(Human_Data_Entry!$AU$3:$AU$524,Human_Data_Entry!$AS$3:$AS$524,"qanda")</f>
        <v/>
      </c>
    </row>
    <row r="247" ht="45.95" customHeight="1" s="241">
      <c r="A247" t="inlineStr">
        <is>
          <t>transcript only</t>
        </is>
      </c>
      <c r="B247" s="101">
        <f>COUNTIFS(Human_Data_Entry!$S$3:$S$524,"?*",Human_Data_Entry!$H$3:$H$524,"Human",Human_Data_Entry!$AS$3:$AS$524,"transcript only")</f>
        <v/>
      </c>
      <c r="C247" s="101">
        <f>COUNTIFS(Human_Data_Entry!$S$3:$S$524,"YES",Human_Data_Entry!$H$3:$H$524,"Human",Human_Data_Entry!$AS$3:$AS$524,"transcript only")</f>
        <v/>
      </c>
      <c r="D247">
        <f>IFERROR(C247/B247,"")</f>
        <v/>
      </c>
      <c r="E247" s="101">
        <f>IFERROR(COUNTIFS(Human_Data_Entry!$AJ$3:$AJ$524,"YES",Human_Data_Entry!$H$3:$H$524,"Human",Human_Data_Entry!$AS$3:$AS$524,"transcript only")/COUNTIFS(Human_Data_Entry!$AJ$3:$AJ$524,"?*",Human_Data_Entry!$H$3:$H$524,"Human",Human_Data_Entry!$AS$3:$AS$524,"transcript only"),"")</f>
        <v/>
      </c>
      <c r="F247" s="101">
        <f>COUNTIFS(Human_Data_Entry!$J$3:$J$524,"BUY",Human_Data_Entry!$S$3:$S$524,"?*",Human_Data_Entry!$H$3:$H$524,"Human",Human_Data_Entry!$AS$3:$AS$524,"transcript only")+COUNTIFS(Human_Data_Entry!$J$3:$J$524,"SELL",Human_Data_Entry!$S$3:$S$524,"?*",Human_Data_Entry!$H$3:$H$524,"Human",Human_Data_Entry!$AS$3:$AS$524,"transcript only")</f>
        <v/>
      </c>
      <c r="G247" s="101">
        <f>SUMIFS(Human_Data_Entry!$AT$3:$AT$524,Human_Data_Entry!$AS$3:$AS$524,"transcript only")</f>
        <v/>
      </c>
      <c r="H247" s="101">
        <f>SUMIFS(Human_Data_Entry!$AU$3:$AU$524,Human_Data_Entry!$AS$3:$AS$524,"transcript only")</f>
        <v/>
      </c>
    </row>
    <row r="248" ht="45.95" customHeight="1" s="241">
      <c r="A248" t="inlineStr">
        <is>
          <t>unrecorded</t>
        </is>
      </c>
      <c r="B248" s="101">
        <f>COUNTIFS(Human_Data_Entry!$S$3:$S$524,"?*",Human_Data_Entry!$H$3:$H$524,"Human",Human_Data_Entry!$AS$3:$AS$524,"unrecorded")</f>
        <v/>
      </c>
      <c r="C248" s="101">
        <f>COUNTIFS(Human_Data_Entry!$S$3:$S$524,"YES",Human_Data_Entry!$H$3:$H$524,"Human",Human_Data_Entry!$AS$3:$AS$524,"unrecorded")</f>
        <v/>
      </c>
      <c r="D248">
        <f>IFERROR(C248/B248,"")</f>
        <v/>
      </c>
      <c r="E248" s="101">
        <f>IFERROR(COUNTIFS(Human_Data_Entry!$AJ$3:$AJ$524,"YES",Human_Data_Entry!$H$3:$H$524,"Human",Human_Data_Entry!$AS$3:$AS$524,"unrecorded")/COUNTIFS(Human_Data_Entry!$AJ$3:$AJ$524,"?*",Human_Data_Entry!$H$3:$H$524,"Human",Human_Data_Entry!$AS$3:$AS$524,"unrecorded"),"")</f>
        <v/>
      </c>
      <c r="F248" s="101">
        <f>COUNTIFS(Human_Data_Entry!$J$3:$J$524,"BUY",Human_Data_Entry!$S$3:$S$524,"?*",Human_Data_Entry!$H$3:$H$524,"Human",Human_Data_Entry!$AS$3:$AS$524,"unrecorded")+COUNTIFS(Human_Data_Entry!$J$3:$J$524,"SELL",Human_Data_Entry!$S$3:$S$524,"?*",Human_Data_Entry!$H$3:$H$524,"Human",Human_Data_Entry!$AS$3:$AS$524,"unrecorded")</f>
        <v/>
      </c>
      <c r="G248" s="101">
        <f>SUMIFS(Human_Data_Entry!$AT$3:$AT$524,Human_Data_Entry!$AS$3:$AS$524,"unrecorded")</f>
        <v/>
      </c>
      <c r="H248" s="101">
        <f>SUMIFS(Human_Data_Entry!$AU$3:$AU$524,Human_Data_Entry!$AS$3:$AS$524,"unrecorded")</f>
        <v/>
      </c>
    </row>
    <row r="249" ht="30" customHeight="1" s="241">
      <c r="A249" t="inlineStr">
        <is>
          <t>Reconciliation - the buckets must sum to the arm</t>
        </is>
      </c>
      <c r="B249" s="101">
        <f>IF(SUM(B241:B248)=COUNTIFS(Human_Data_Entry!$S$3:$S$524,"?*",Human_Data_Entry!$H$3:$H$524,"Human"),"OK","MISMATCH")</f>
        <v/>
      </c>
    </row>
    <row r="250" ht="15.95" customHeight="1" s="241"/>
    <row r="251" ht="15.95" customHeight="1" s="241">
      <c r="A251" t="inlineStr">
        <is>
          <t>D5h - Inside and outside the declared study window</t>
        </is>
      </c>
    </row>
    <row r="252" ht="45.95" customHeight="1" s="241">
      <c r="A252" s="101" t="inlineStr">
        <is>
          <t>The window is Settings B19:B20, currently the full observed span, so every reading is IN and nothing is excluded from any published figure. Narrow it and this block shows immediately what that costs. Rows are flagged, never deleted.</t>
        </is>
      </c>
    </row>
    <row r="253" ht="15.95" customHeight="1" s="241"/>
    <row r="254" ht="15.95" customHeight="1" s="241">
      <c r="A254" t="inlineStr">
        <is>
          <t>In window</t>
        </is>
      </c>
      <c r="B254" t="inlineStr">
        <is>
          <t>Human n</t>
        </is>
      </c>
      <c r="C254" t="inlineStr">
        <is>
          <t>Human %</t>
        </is>
      </c>
      <c r="D254" t="inlineStr">
        <is>
          <t>Human % (re-priced)</t>
        </is>
      </c>
      <c r="E254" t="inlineStr">
        <is>
          <t>Human trades</t>
        </is>
      </c>
      <c r="F254" t="inlineStr">
        <is>
          <t>Human return</t>
        </is>
      </c>
      <c r="G254" t="inlineStr">
        <is>
          <t>LLM n</t>
        </is>
      </c>
      <c r="H254" t="inlineStr">
        <is>
          <t>LLM %</t>
        </is>
      </c>
      <c r="I254" t="inlineStr">
        <is>
          <t>LLM % (re-priced)</t>
        </is>
      </c>
      <c r="J254" t="inlineStr">
        <is>
          <t>LLM trades</t>
        </is>
      </c>
      <c r="K254" t="inlineStr">
        <is>
          <t>LLM return</t>
        </is>
      </c>
    </row>
    <row r="255" ht="45.95" customHeight="1" s="241">
      <c r="A255" t="inlineStr">
        <is>
          <t>IN</t>
        </is>
      </c>
      <c r="B255" s="101">
        <f>COUNTIFS(Human_Data_Entry!$S$3:$S$524,"?*",Human_Data_Entry!$H$3:$H$524,"Human",Human_Data_Entry!$AR$3:$AR$524,"IN")</f>
        <v/>
      </c>
      <c r="C255" s="101">
        <f>IFERROR(COUNTIFS(Human_Data_Entry!$S$3:$S$524,"YES",Human_Data_Entry!$H$3:$H$524,"Human",Human_Data_Entry!$AR$3:$AR$524,"IN")/B255,"")</f>
        <v/>
      </c>
      <c r="D255" s="101">
        <f>IFERROR(COUNTIFS(Human_Data_Entry!$AJ$3:$AJ$524,"YES",Human_Data_Entry!$H$3:$H$524,"Human",Human_Data_Entry!$AR$3:$AR$524,"IN")/COUNTIFS(Human_Data_Entry!$AJ$3:$AJ$524,"?*",Human_Data_Entry!$H$3:$H$524,"Human",Human_Data_Entry!$AR$3:$AR$524,"IN"),"")</f>
        <v/>
      </c>
      <c r="E255" s="101">
        <f>COUNTIFS(Human_Data_Entry!$J$3:$J$524,"BUY",Human_Data_Entry!$S$3:$S$524,"?*",Human_Data_Entry!$H$3:$H$524,"Human",Human_Data_Entry!$AR$3:$AR$524,"IN")+COUNTIFS(Human_Data_Entry!$J$3:$J$524,"SELL",Human_Data_Entry!$S$3:$S$524,"?*",Human_Data_Entry!$H$3:$H$524,"Human",Human_Data_Entry!$AR$3:$AR$524,"IN")</f>
        <v/>
      </c>
      <c r="F255" s="101">
        <f>SUMIFS(Human_Data_Entry!$AT$3:$AT$524,Human_Data_Entry!$AR$3:$AR$524,"IN")</f>
        <v/>
      </c>
      <c r="G255" s="101">
        <f>COUNTIFS(LLM_Data_Entry!$R$3:$R$430,"?*",LLM_Data_Entry!$AL$3:$AL$430,"IN")</f>
        <v/>
      </c>
      <c r="H255" s="101">
        <f>IFERROR(COUNTIFS(LLM_Data_Entry!$R$3:$R$430,"YES",LLM_Data_Entry!$AL$3:$AL$430,"IN")/G255,"")</f>
        <v/>
      </c>
      <c r="I255" s="101">
        <f>IFERROR(COUNTIFS(LLM_Data_Entry!$AE$3:$AE$430,"YES",LLM_Data_Entry!$AL$3:$AL$430,"IN")/COUNTIFS(LLM_Data_Entry!$AE$3:$AE$430,"?*",LLM_Data_Entry!$AL$3:$AL$430,"IN"),"")</f>
        <v/>
      </c>
      <c r="J255" s="101">
        <f>COUNTIFS(LLM_Data_Entry!$H$3:$H$430,"BUY",LLM_Data_Entry!$R$3:$R$430,"?*",LLM_Data_Entry!$AL$3:$AL$430,"IN")+COUNTIFS(LLM_Data_Entry!$H$3:$H$430,"SELL",LLM_Data_Entry!$R$3:$R$430,"?*",LLM_Data_Entry!$AL$3:$AL$430,"IN")</f>
        <v/>
      </c>
      <c r="K255" s="101">
        <f>SUMIFS(LLM_Data_Entry!$AM$3:$AM$430,LLM_Data_Entry!$AL$3:$AL$430,"IN")</f>
        <v/>
      </c>
    </row>
    <row r="256" ht="45.95" customHeight="1" s="241">
      <c r="A256" t="inlineStr">
        <is>
          <t>OUT</t>
        </is>
      </c>
      <c r="B256" s="101">
        <f>COUNTIFS(Human_Data_Entry!$S$3:$S$524,"?*",Human_Data_Entry!$H$3:$H$524,"Human",Human_Data_Entry!$AR$3:$AR$524,"OUT")</f>
        <v/>
      </c>
      <c r="C256" s="101">
        <f>IFERROR(COUNTIFS(Human_Data_Entry!$S$3:$S$524,"YES",Human_Data_Entry!$H$3:$H$524,"Human",Human_Data_Entry!$AR$3:$AR$524,"OUT")/B256,"")</f>
        <v/>
      </c>
      <c r="D256" s="101">
        <f>IFERROR(COUNTIFS(Human_Data_Entry!$AJ$3:$AJ$524,"YES",Human_Data_Entry!$H$3:$H$524,"Human",Human_Data_Entry!$AR$3:$AR$524,"OUT")/COUNTIFS(Human_Data_Entry!$AJ$3:$AJ$524,"?*",Human_Data_Entry!$H$3:$H$524,"Human",Human_Data_Entry!$AR$3:$AR$524,"OUT"),"")</f>
        <v/>
      </c>
      <c r="E256" s="101">
        <f>COUNTIFS(Human_Data_Entry!$J$3:$J$524,"BUY",Human_Data_Entry!$S$3:$S$524,"?*",Human_Data_Entry!$H$3:$H$524,"Human",Human_Data_Entry!$AR$3:$AR$524,"OUT")+COUNTIFS(Human_Data_Entry!$J$3:$J$524,"SELL",Human_Data_Entry!$S$3:$S$524,"?*",Human_Data_Entry!$H$3:$H$524,"Human",Human_Data_Entry!$AR$3:$AR$524,"OUT")</f>
        <v/>
      </c>
      <c r="F256" s="101">
        <f>SUMIFS(Human_Data_Entry!$AT$3:$AT$524,Human_Data_Entry!$AR$3:$AR$524,"OUT")</f>
        <v/>
      </c>
      <c r="G256" s="101">
        <f>COUNTIFS(LLM_Data_Entry!$R$3:$R$430,"?*",LLM_Data_Entry!$AL$3:$AL$430,"OUT")</f>
        <v/>
      </c>
      <c r="H256" s="101">
        <f>IFERROR(COUNTIFS(LLM_Data_Entry!$R$3:$R$430,"YES",LLM_Data_Entry!$AL$3:$AL$430,"OUT")/G256,"")</f>
        <v/>
      </c>
      <c r="I256" s="101">
        <f>IFERROR(COUNTIFS(LLM_Data_Entry!$AE$3:$AE$430,"YES",LLM_Data_Entry!$AL$3:$AL$430,"OUT")/COUNTIFS(LLM_Data_Entry!$AE$3:$AE$430,"?*",LLM_Data_Entry!$AL$3:$AL$430,"OUT"),"")</f>
        <v/>
      </c>
      <c r="J256" s="101">
        <f>COUNTIFS(LLM_Data_Entry!$H$3:$H$430,"BUY",LLM_Data_Entry!$R$3:$R$430,"?*",LLM_Data_Entry!$AL$3:$AL$430,"OUT")+COUNTIFS(LLM_Data_Entry!$H$3:$H$430,"SELL",LLM_Data_Entry!$R$3:$R$430,"?*",LLM_Data_Entry!$AL$3:$AL$430,"OUT")</f>
        <v/>
      </c>
      <c r="K256" s="101">
        <f>SUMIFS(LLM_Data_Entry!$AM$3:$AM$430,LLM_Data_Entry!$AL$3:$AL$430,"OUT")</f>
        <v/>
      </c>
    </row>
    <row r="257" ht="15.95" customHeight="1" s="241"/>
    <row r="258" ht="15.95" customHeight="1" s="241"/>
    <row r="259" ht="15.95" customHeight="1" s="241">
      <c r="A259" t="inlineStr">
        <is>
          <t>D5l - Concentration: how much of the total is a few readings</t>
        </is>
      </c>
    </row>
    <row r="260" ht="45.95" customHeight="1" s="241">
      <c r="A260" s="101" t="inlineStr">
        <is>
          <t>Read over each arm's own trades. The point is not that a large winner is suspect - every price in this workbook has been checked against the market - but that a total carried by one or five readings supports a much weaker claim than the same total spread over 262.</t>
        </is>
      </c>
    </row>
    <row r="261" ht="15.95" customHeight="1" s="241"/>
    <row r="262" ht="15.95" customHeight="1" s="241">
      <c r="A262" t="inlineStr">
        <is>
          <t>Measure</t>
        </is>
      </c>
      <c r="B262" t="inlineStr">
        <is>
          <t>Human published</t>
        </is>
      </c>
      <c r="C262" t="inlineStr">
        <is>
          <t>Human re-priced</t>
        </is>
      </c>
      <c r="D262" t="inlineStr">
        <is>
          <t>LLM published</t>
        </is>
      </c>
      <c r="E262" t="inlineStr">
        <is>
          <t>LLM re-priced</t>
        </is>
      </c>
    </row>
    <row r="263" ht="15.95" customHeight="1" s="241">
      <c r="A263" t="inlineStr">
        <is>
          <t>Winning trades</t>
        </is>
      </c>
      <c r="B263">
        <f>COUNTIFS(Human_Data_Entry!$AT$3:$AT$524,"&gt;0")</f>
        <v/>
      </c>
      <c r="C263">
        <f>COUNTIFS(Human_Data_Entry!$AU$3:$AU$524,"&gt;0")</f>
        <v/>
      </c>
      <c r="D263">
        <f>COUNTIFS(LLM_Data_Entry!$AM$3:$AM$430,"&gt;0")</f>
        <v/>
      </c>
      <c r="E263">
        <f>COUNTIFS(LLM_Data_Entry!$AN$3:$AN$430,"&gt;0")</f>
        <v/>
      </c>
    </row>
    <row r="264" ht="15.95" customHeight="1" s="241">
      <c r="A264" t="inlineStr">
        <is>
          <t>Losing trades</t>
        </is>
      </c>
      <c r="B264">
        <f>COUNTIFS(Human_Data_Entry!$AT$3:$AT$524,"&lt;0")</f>
        <v/>
      </c>
      <c r="C264">
        <f>COUNTIFS(Human_Data_Entry!$AU$3:$AU$524,"&lt;0")</f>
        <v/>
      </c>
      <c r="D264">
        <f>COUNTIFS(LLM_Data_Entry!$AM$3:$AM$430,"&lt;0")</f>
        <v/>
      </c>
      <c r="E264">
        <f>COUNTIFS(LLM_Data_Entry!$AN$3:$AN$430,"&lt;0")</f>
        <v/>
      </c>
    </row>
    <row r="265" ht="15.95" customHeight="1" s="241">
      <c r="A265" t="inlineStr">
        <is>
          <t>Largest single winning trade</t>
        </is>
      </c>
      <c r="B265">
        <f>MAX(Human_Data_Entry!$AT$3:$AT$524)</f>
        <v/>
      </c>
      <c r="C265">
        <f>MAX(Human_Data_Entry!$AU$3:$AU$524)</f>
        <v/>
      </c>
      <c r="D265">
        <f>MAX(LLM_Data_Entry!$AM$3:$AM$430)</f>
        <v/>
      </c>
      <c r="E265">
        <f>MAX(LLM_Data_Entry!$AN$3:$AN$430)</f>
        <v/>
      </c>
    </row>
    <row r="266" ht="15.95" customHeight="1" s="241">
      <c r="A266" t="inlineStr">
        <is>
          <t>Its share of the arm's total return</t>
        </is>
      </c>
      <c r="B266">
        <f>IFERROR(B265/SUM(Human_Data_Entry!$AT$3:$AT$524),"")</f>
        <v/>
      </c>
      <c r="C266">
        <f>IFERROR(C265/SUM(Human_Data_Entry!$AU$3:$AU$524),"")</f>
        <v/>
      </c>
      <c r="D266">
        <f>IFERROR(D265/SUM(LLM_Data_Entry!$AM$3:$AM$430),"")</f>
        <v/>
      </c>
      <c r="E266">
        <f>IFERROR(E265/SUM(LLM_Data_Entry!$AN$3:$AN$430),"")</f>
        <v/>
      </c>
    </row>
    <row r="267" ht="15.95" customHeight="1" s="241">
      <c r="A267" t="inlineStr">
        <is>
          <t>Total return excluding it</t>
        </is>
      </c>
      <c r="B267">
        <f>SUM(Human_Data_Entry!$AT$3:$AT$524)-B265</f>
        <v/>
      </c>
      <c r="C267">
        <f>SUM(Human_Data_Entry!$AU$3:$AU$524)-C265</f>
        <v/>
      </c>
      <c r="D267">
        <f>SUM(LLM_Data_Entry!$AM$3:$AM$430)-D265</f>
        <v/>
      </c>
      <c r="E267">
        <f>SUM(LLM_Data_Entry!$AN$3:$AN$430)-E265</f>
        <v/>
      </c>
    </row>
    <row r="268" ht="45.95" customHeight="1" s="241">
      <c r="A268" t="inlineStr">
        <is>
          <t>Sum of the five largest winning trades</t>
        </is>
      </c>
      <c r="B268" s="101">
        <f>LARGE(Human_Data_Entry!$AT$3:$AT$524,1)+LARGE(Human_Data_Entry!$AT$3:$AT$524,2)+LARGE(Human_Data_Entry!$AT$3:$AT$524,3)+LARGE(Human_Data_Entry!$AT$3:$AT$524,4)+LARGE(Human_Data_Entry!$AT$3:$AT$524,5)</f>
        <v/>
      </c>
      <c r="C268" s="101">
        <f>LARGE(Human_Data_Entry!$AU$3:$AU$524,1)+LARGE(Human_Data_Entry!$AU$3:$AU$524,2)+LARGE(Human_Data_Entry!$AU$3:$AU$524,3)+LARGE(Human_Data_Entry!$AU$3:$AU$524,4)+LARGE(Human_Data_Entry!$AU$3:$AU$524,5)</f>
        <v/>
      </c>
      <c r="D268" s="101">
        <f>LARGE(LLM_Data_Entry!$AM$3:$AM$430,1)+LARGE(LLM_Data_Entry!$AM$3:$AM$430,2)+LARGE(LLM_Data_Entry!$AM$3:$AM$430,3)+LARGE(LLM_Data_Entry!$AM$3:$AM$430,4)+LARGE(LLM_Data_Entry!$AM$3:$AM$430,5)</f>
        <v/>
      </c>
      <c r="E268" s="101">
        <f>LARGE(LLM_Data_Entry!$AN$3:$AN$430,1)+LARGE(LLM_Data_Entry!$AN$3:$AN$430,2)+LARGE(LLM_Data_Entry!$AN$3:$AN$430,3)+LARGE(LLM_Data_Entry!$AN$3:$AN$430,4)+LARGE(LLM_Data_Entry!$AN$3:$AN$430,5)</f>
        <v/>
      </c>
    </row>
    <row r="269" ht="15.95" customHeight="1" s="241">
      <c r="A269" t="inlineStr">
        <is>
          <t>Their share of the arm's total return</t>
        </is>
      </c>
      <c r="B269">
        <f>IFERROR(B268/SUM(Human_Data_Entry!$AT$3:$AT$524),"")</f>
        <v/>
      </c>
      <c r="C269">
        <f>IFERROR(C268/SUM(Human_Data_Entry!$AU$3:$AU$524),"")</f>
        <v/>
      </c>
      <c r="D269">
        <f>IFERROR(D268/SUM(LLM_Data_Entry!$AM$3:$AM$430),"")</f>
        <v/>
      </c>
      <c r="E269">
        <f>IFERROR(E268/SUM(LLM_Data_Entry!$AN$3:$AN$430),"")</f>
        <v/>
      </c>
    </row>
    <row r="270" ht="15.95" customHeight="1" s="241">
      <c r="A270" t="inlineStr">
        <is>
          <t>Total return excluding them</t>
        </is>
      </c>
      <c r="B270">
        <f>SUM(Human_Data_Entry!$AT$3:$AT$524)-B268</f>
        <v/>
      </c>
      <c r="C270">
        <f>SUM(Human_Data_Entry!$AU$3:$AU$524)-C268</f>
        <v/>
      </c>
      <c r="D270">
        <f>SUM(LLM_Data_Entry!$AM$3:$AM$430)-D268</f>
        <v/>
      </c>
      <c r="E270">
        <f>SUM(LLM_Data_Entry!$AN$3:$AN$430)-E268</f>
        <v/>
      </c>
    </row>
    <row r="271" ht="15.95" customHeight="1" s="241">
      <c r="A271" t="inlineStr">
        <is>
          <t>Largest single losing trade</t>
        </is>
      </c>
      <c r="B271">
        <f>MIN(Human_Data_Entry!$AT$3:$AT$524)</f>
        <v/>
      </c>
      <c r="C271">
        <f>MIN(Human_Data_Entry!$AU$3:$AU$524)</f>
        <v/>
      </c>
      <c r="D271">
        <f>MIN(LLM_Data_Entry!$AM$3:$AM$430)</f>
        <v/>
      </c>
      <c r="E271">
        <f>MIN(LLM_Data_Entry!$AN$3:$AN$430)</f>
        <v/>
      </c>
    </row>
    <row r="272" ht="15.95" customHeight="1" s="241">
      <c r="A272" t="inlineStr">
        <is>
          <t>Still positive without the five largest winners?</t>
        </is>
      </c>
      <c r="B272">
        <f>IF(B270&gt;0,"YES","NO")</f>
        <v/>
      </c>
      <c r="C272">
        <f>IF(C270&gt;0,"YES","NO")</f>
        <v/>
      </c>
      <c r="D272">
        <f>IF(D270&gt;0,"YES","NO")</f>
        <v/>
      </c>
      <c r="E272">
        <f>IF(E270&gt;0,"YES","NO")</f>
        <v/>
      </c>
    </row>
    <row r="273" ht="15.95" customHeight="1" s="241"/>
    <row r="274" ht="30" customHeight="1" s="241">
      <c r="A274" t="inlineStr">
        <is>
          <t>SECTION E - STUDY DESIGN AND SCHEMA</t>
        </is>
      </c>
      <c r="C274" s="101" t="inlineStr">
        <is>
          <t>Added 10 August 2026. Nothing in this block moves a published figure; every row either counts what the sheet now records or states what it does not record.</t>
        </is>
      </c>
    </row>
    <row r="275" ht="15.95" customHeight="1" s="241"/>
    <row r="276" ht="30" customHeight="1" s="241">
      <c r="A276" t="inlineStr">
        <is>
          <t>E5a. What the rater records evidence</t>
        </is>
      </c>
      <c r="C276" s="101" t="inlineStr">
        <is>
          <t>The fields were specified in Phase 3/ARP_Human_Arm_Instructions and collected by the raters. They were dropped at data entry.</t>
        </is>
      </c>
    </row>
    <row r="277" ht="15.95" customHeight="1" s="241">
      <c r="A277" t="inlineStr">
        <is>
          <t>Measure</t>
        </is>
      </c>
      <c r="B277" t="inlineStr">
        <is>
          <t>Value</t>
        </is>
      </c>
      <c r="C277" t="inlineStr">
        <is>
          <t>Note</t>
        </is>
      </c>
    </row>
    <row r="278" ht="30" customHeight="1" s="241">
      <c r="A278" t="inlineStr">
        <is>
          <t>Scored human readings</t>
        </is>
      </c>
      <c r="B278" s="101">
        <f>COUNTIFS(Human_Data_Entry!$H$3:$H$524,"Human",Human_Data_Entry!$S$3:$S$524,"?*")</f>
        <v/>
      </c>
      <c r="C278" s="101" t="inlineStr">
        <is>
          <t>Text criterion, not "&lt;&gt;", because a formula-blank counts as non-blank - trap 7.</t>
        </is>
      </c>
    </row>
    <row r="279" ht="15.95" customHeight="1" s="241">
      <c r="A279" t="inlineStr">
        <is>
          <t>Readings with a rater record</t>
        </is>
      </c>
      <c r="B279">
        <f>COUNTIFS(Human_Data_Entry!$BJ$3:$BJ$524,"?*")</f>
        <v/>
      </c>
      <c r="C279" t="inlineStr">
        <is>
          <t>64 at build time, from 3 files.</t>
        </is>
      </c>
    </row>
    <row r="280" ht="45.95" customHeight="1" s="241">
      <c r="A280" t="inlineStr">
        <is>
          <t>Peeked = no (the blindness check passed)</t>
        </is>
      </c>
      <c r="B280">
        <f>COUNTIFS(Human_Data_Entry!$BG$3:$BG$524,"no")</f>
        <v/>
      </c>
      <c r="C280" s="101" t="inlineStr">
        <is>
          <t>The group's decision of 10 August 2026: the check is recorded as passed on every reading unless something says otherwise. Count the BASIS below, never this row - it is a default, not evidence.</t>
        </is>
      </c>
    </row>
    <row r="281" ht="30" customHeight="1" s="241">
      <c r="A281" t="inlineStr">
        <is>
          <t xml:space="preserve">  of which ATTESTED by a rater record</t>
        </is>
      </c>
      <c r="B281">
        <f>COUNTIFS(Human_Data_Entry!$BL$3:$BL$524,"attested*")</f>
        <v/>
      </c>
      <c r="C281" s="101" t="inlineStr">
        <is>
          <t>A rater signed a blindness box, or wrote that the score was sealed. This is the only row that is evidence.</t>
        </is>
      </c>
    </row>
    <row r="282" ht="30" customHeight="1" s="241">
      <c r="A282" t="inlineStr">
        <is>
          <t xml:space="preserve">  of which ASSUMED, no rater record</t>
        </is>
      </c>
      <c r="B282" s="101">
        <f>COUNTIFS(Human_Data_Entry!$BL$3:$BL$524,"assumed - no rater record")</f>
        <v/>
      </c>
      <c r="C282" t="inlineStr">
        <is>
          <t>Not evidence of peeking, and not evidence of blindness.</t>
        </is>
      </c>
    </row>
    <row r="283" ht="30" customHeight="1" s="241">
      <c r="A283" t="inlineStr">
        <is>
          <t xml:space="preserve">  of which ASSUMED, record has no blindness field</t>
        </is>
      </c>
      <c r="B283" s="101">
        <f>COUNTIFS(Human_Data_Entry!$BL$3:$BL$524,"assumed - rater record carries no*")</f>
        <v/>
      </c>
      <c r="C283" s="101" t="inlineStr">
        <is>
          <t>Nigel's notes record the reading but not whether a price was seen first.</t>
        </is>
      </c>
    </row>
    <row r="284" ht="45.95" customHeight="1" s="241">
      <c r="A284" t="inlineStr">
        <is>
          <t xml:space="preserve">  of which flagged for review</t>
        </is>
      </c>
      <c r="B284" s="101">
        <f>COUNTIFS(Human_Data_Entry!$BL$3:$BL$524,"assumed - note names*")</f>
        <v/>
      </c>
      <c r="C284" s="101" t="inlineStr">
        <is>
          <t>Reads 0 from 10 August 2026. The row is kept rather than removed so the question is visibly answered instead of visibly absent; query E-a is settled - the two readings it named are counted in section H's block, which is where the decision that settled them is recorded. This block's shape is deliberately unchanged: one more row here would run section E into section F at row 319.</t>
        </is>
      </c>
    </row>
    <row r="285" ht="30" customHeight="1" s="241">
      <c r="A285" t="inlineStr">
        <is>
          <t>Peeked = yes</t>
        </is>
      </c>
      <c r="B285">
        <f>COUNTIFS(Human_Data_Entry!$BG$3:$BG$524,"yes")</f>
        <v/>
      </c>
      <c r="C285" s="101" t="inlineStr">
        <is>
          <t>An honest peeked flag costs one event; a hidden one costs the result - the instructions' own words.</t>
        </is>
      </c>
    </row>
    <row r="286" ht="15.95" customHeight="1" s="241">
      <c r="A286" t="inlineStr">
        <is>
          <t>Readings that are one of two passes</t>
        </is>
      </c>
      <c r="B286">
        <f>COUNTIFS(Human_Data_Entry!$BB$3:$BB$524,"&gt;1")</f>
        <v/>
      </c>
      <c r="C286" t="inlineStr">
        <is>
          <t>41 at build time.</t>
        </is>
      </c>
    </row>
    <row r="287" ht="45.95" customHeight="1" s="241">
      <c r="A287" t="inlineStr">
        <is>
          <t>Readings hiding an unrecorded first pass</t>
        </is>
      </c>
      <c r="B287" t="n">
        <v>17</v>
      </c>
      <c r="C287" s="101" t="inlineStr">
        <is>
          <t>One row holding two passes, with Time (mins) summed and the first pass surviving only in the Notes prose. The other block of the same experiment puts each pass on its own row.</t>
        </is>
      </c>
    </row>
    <row r="288" ht="30" customHeight="1" s="241">
      <c r="A288" t="inlineStr">
        <is>
          <t>First-pass minutes not separately recorded</t>
        </is>
      </c>
      <c r="B288" t="n">
        <v>229</v>
      </c>
      <c r="C288" s="101" t="inlineStr">
        <is>
          <t>Inside the rows above. Counted once in the human total, attributed to a single read.</t>
        </is>
      </c>
    </row>
    <row r="289" ht="30" customHeight="1" s="241">
      <c r="A289" t="inlineStr">
        <is>
          <t>Readings with a written expectation</t>
        </is>
      </c>
      <c r="B289" t="n">
        <v>28</v>
      </c>
      <c r="C289" s="101" t="inlineStr">
        <is>
          <t>The instructions ask for one line before opening anything. Human_Data_Entry!BI now carries it where it exists.</t>
        </is>
      </c>
    </row>
    <row r="290" ht="15.95" customHeight="1" s="241"/>
    <row r="291" ht="45.95" customHeight="1" s="241">
      <c r="A291" t="inlineStr">
        <is>
          <t>E5b. The headline with each rater-event counted once</t>
        </is>
      </c>
      <c r="C291" s="101" t="inlineStr">
        <is>
          <t>Two raters on one event are two observations. One rater twice is one. The published figures pool both; these do not. Published basis and section C's re-priced basis side by side.</t>
        </is>
      </c>
    </row>
    <row r="292" ht="15.95" customHeight="1" s="241">
      <c r="A292" t="inlineStr">
        <is>
          <t>Measure</t>
        </is>
      </c>
      <c r="B292" t="inlineStr">
        <is>
          <t>Pooled (published)</t>
        </is>
      </c>
      <c r="C292" t="inlineStr">
        <is>
          <t>One per rater-event</t>
        </is>
      </c>
      <c r="D292" t="inlineStr">
        <is>
          <t>Pooled (re-priced)</t>
        </is>
      </c>
      <c r="E292" t="inlineStr">
        <is>
          <t>One per rater-event (re-priced)</t>
        </is>
      </c>
    </row>
    <row r="293" ht="30" customHeight="1" s="241">
      <c r="A293" t="inlineStr">
        <is>
          <t>Readings</t>
        </is>
      </c>
      <c r="B293" s="101">
        <f>COUNTIFS(Human_Data_Entry!$H$3:$H$524,"Human",Human_Data_Entry!$S$3:$S$524,"?*")</f>
        <v/>
      </c>
      <c r="C293" s="101">
        <f>COUNTIFS(Human_Data_Entry!$H$3:$H$524,"Human",Human_Data_Entry!$S$3:$S$524,"?*",Human_Data_Entry!$BC$3:$BC$524,1)</f>
        <v/>
      </c>
      <c r="D293" s="101">
        <f>COUNTIFS(Human_Data_Entry!$H$3:$H$524,"Human",Human_Data_Entry!$AJ$3:$AJ$524,"?*")</f>
        <v/>
      </c>
      <c r="E293" s="101">
        <f>COUNTIFS(Human_Data_Entry!$H$3:$H$524,"Human",Human_Data_Entry!$AJ$3:$AJ$524,"?*",Human_Data_Entry!$BC$3:$BC$524,1)</f>
        <v/>
      </c>
    </row>
    <row r="294" ht="30" customHeight="1" s="241">
      <c r="A294" t="inlineStr">
        <is>
          <t>Correct</t>
        </is>
      </c>
      <c r="B294" s="101">
        <f>COUNTIFS(Human_Data_Entry!$H$3:$H$524,"Human",Human_Data_Entry!$S$3:$S$524,"YES")</f>
        <v/>
      </c>
      <c r="C294" s="101">
        <f>COUNTIFS(Human_Data_Entry!$H$3:$H$524,"Human",Human_Data_Entry!$S$3:$S$524,"YES",Human_Data_Entry!$BC$3:$BC$524,1)</f>
        <v/>
      </c>
      <c r="D294" s="101">
        <f>COUNTIFS(Human_Data_Entry!$H$3:$H$524,"Human",Human_Data_Entry!$AJ$3:$AJ$524,"YES")</f>
        <v/>
      </c>
      <c r="E294" s="101">
        <f>COUNTIFS(Human_Data_Entry!$H$3:$H$524,"Human",Human_Data_Entry!$AJ$3:$AJ$524,"YES",Human_Data_Entry!$BC$3:$BC$524,1)</f>
        <v/>
      </c>
    </row>
    <row r="295" ht="45.95" customHeight="1" s="241">
      <c r="A295" t="inlineStr">
        <is>
          <t>% Correct</t>
        </is>
      </c>
      <c r="B295" s="101">
        <f>IFERROR(COUNTIFS(Human_Data_Entry!$H$3:$H$524,"Human",Human_Data_Entry!$S$3:$S$524,"YES")/COUNTIFS(Human_Data_Entry!$H$3:$H$524,"Human",Human_Data_Entry!$S$3:$S$524,"?*"),"")</f>
        <v/>
      </c>
      <c r="C295" s="101">
        <f>IFERROR(COUNTIFS(Human_Data_Entry!$H$3:$H$524,"Human",Human_Data_Entry!$S$3:$S$524,"YES",Human_Data_Entry!$BC$3:$BC$524,1)/COUNTIFS(Human_Data_Entry!$H$3:$H$524,"Human",Human_Data_Entry!$S$3:$S$524,"?*",Human_Data_Entry!$BC$3:$BC$524,1),"")</f>
        <v/>
      </c>
      <c r="D295" s="101">
        <f>IFERROR(COUNTIFS(Human_Data_Entry!$H$3:$H$524,"Human",Human_Data_Entry!$AJ$3:$AJ$524,"YES")/COUNTIFS(Human_Data_Entry!$H$3:$H$524,"Human",Human_Data_Entry!$AJ$3:$AJ$524,"?*"),"")</f>
        <v/>
      </c>
      <c r="E295" s="101">
        <f>IFERROR(COUNTIFS(Human_Data_Entry!$H$3:$H$524,"Human",Human_Data_Entry!$AJ$3:$AJ$524,"YES",Human_Data_Entry!$BC$3:$BC$524,1)/COUNTIFS(Human_Data_Entry!$H$3:$H$524,"Human",Human_Data_Entry!$AJ$3:$AJ$524,"?*",Human_Data_Entry!$BC$3:$BC$524,1),"")</f>
        <v/>
      </c>
    </row>
    <row r="296" ht="30" customHeight="1" s="241">
      <c r="A296" t="inlineStr">
        <is>
          <t># Trades</t>
        </is>
      </c>
      <c r="B296" s="101">
        <f>COUNTIFS(Human_Data_Entry!$H$3:$H$524,"Human",Human_Data_Entry!$J$3:$J$524,"&lt;&gt;HOLD",Human_Data_Entry!$S$3:$S$524,"?*")</f>
        <v/>
      </c>
      <c r="C296" s="101">
        <f>COUNTIFS(Human_Data_Entry!$H$3:$H$524,"Human",Human_Data_Entry!$J$3:$J$524,"&lt;&gt;HOLD",Human_Data_Entry!$S$3:$S$524,"?*",Human_Data_Entry!$BC$3:$BC$524,1)</f>
        <v/>
      </c>
      <c r="D296" s="101">
        <f>COUNTIFS(Human_Data_Entry!$H$3:$H$524,"Human",Human_Data_Entry!$J$3:$J$524,"&lt;&gt;HOLD",Human_Data_Entry!$AJ$3:$AJ$524,"?*")</f>
        <v/>
      </c>
      <c r="E296" s="101">
        <f>COUNTIFS(Human_Data_Entry!$H$3:$H$524,"Human",Human_Data_Entry!$J$3:$J$524,"&lt;&gt;HOLD",Human_Data_Entry!$AJ$3:$AJ$524,"?*",Human_Data_Entry!$BC$3:$BC$524,1)</f>
        <v/>
      </c>
    </row>
    <row r="297" ht="30" customHeight="1" s="241">
      <c r="A297" t="inlineStr">
        <is>
          <t>Total Return %</t>
        </is>
      </c>
      <c r="B297" s="101">
        <f>SUMIFS(Human_Data_Entry!$U$3:$U$524,Human_Data_Entry!$H$3:$H$524,"Human",Human_Data_Entry!$J$3:$J$524,"&lt;&gt;HOLD")</f>
        <v/>
      </c>
      <c r="C297" s="101">
        <f>SUMIFS(Human_Data_Entry!$U$3:$U$524,Human_Data_Entry!$H$3:$H$524,"Human",Human_Data_Entry!$J$3:$J$524,"&lt;&gt;HOLD",Human_Data_Entry!$BC$3:$BC$524,1)</f>
        <v/>
      </c>
      <c r="D297" s="101">
        <f>SUMIFS(Human_Data_Entry!$AK$3:$AK$524,Human_Data_Entry!$H$3:$H$524,"Human",Human_Data_Entry!$J$3:$J$524,"&lt;&gt;HOLD")</f>
        <v/>
      </c>
      <c r="E297" s="101">
        <f>SUMIFS(Human_Data_Entry!$AK$3:$AK$524,Human_Data_Entry!$H$3:$H$524,"Human",Human_Data_Entry!$J$3:$J$524,"&lt;&gt;HOLD",Human_Data_Entry!$BC$3:$BC$524,1)</f>
        <v/>
      </c>
      <c r="F297" t="inlineStr">
        <is>
          <t>The difference is what the repeat readings contribute.</t>
        </is>
      </c>
    </row>
    <row r="298" ht="15.95" customHeight="1" s="241"/>
    <row r="299" ht="45.95" customHeight="1" s="241">
      <c r="A299" t="inlineStr">
        <is>
          <t>E5c. Agreement between the arms, against chance</t>
        </is>
      </c>
      <c r="C299" s="101" t="inlineStr">
        <is>
          <t>The workbook reports how often the two arms said the same thing. Two arms that both say HOLD often agree often by construction. Cohen's kappa is agreement net of what the marginals would give by chance, and it is the number a reviewer asks for.</t>
        </is>
      </c>
    </row>
    <row r="300" ht="15.95" customHeight="1" s="241">
      <c r="A300" t="inlineStr">
        <is>
          <t>Measure</t>
        </is>
      </c>
      <c r="B300" t="inlineStr">
        <is>
          <t>Value</t>
        </is>
      </c>
      <c r="C300" t="inlineStr">
        <is>
          <t>Note</t>
        </is>
      </c>
    </row>
    <row r="301" ht="30" customHeight="1" s="241">
      <c r="A301" t="inlineStr">
        <is>
          <t>Paired readings</t>
        </is>
      </c>
      <c r="B301" s="101">
        <f>COUNTIFS(Human_Data_Entry!$H$3:$H$524,"Human",Human_Data_Entry!$S$3:$S$524,"?*",Human_Data_Entry!$Z$3:$Z$524,"?*")</f>
        <v/>
      </c>
      <c r="C301" t="inlineStr">
        <is>
          <t>A human reading whose event the model also read.</t>
        </is>
      </c>
    </row>
    <row r="302" ht="15.95" customHeight="1" s="241">
      <c r="A302" t="inlineStr">
        <is>
          <t>Same decision</t>
        </is>
      </c>
      <c r="B302">
        <f>SUM(Human_Data_Entry!$BK$3:$BK$524)</f>
        <v/>
      </c>
      <c r="C302" t="inlineStr">
        <is>
          <t>Human_Data_Entry!BK is 1 where the two decisions match.</t>
        </is>
      </c>
    </row>
    <row r="303" ht="45.95" customHeight="1" s="241">
      <c r="A303" t="inlineStr">
        <is>
          <t>Observed agreement</t>
        </is>
      </c>
      <c r="B303" s="101">
        <f>IFERROR(SUM(Human_Data_Entry!$BK$3:$BK$524)/COUNTIFS(Human_Data_Entry!$H$3:$H$524,"Human",Human_Data_Entry!$S$3:$S$524,"?*",Human_Data_Entry!$Z$3:$Z$524,"?*"),"")</f>
        <v/>
      </c>
    </row>
    <row r="304" ht="45.95" customHeight="1" s="241">
      <c r="A304" t="inlineStr">
        <is>
          <t>Agreement expected by chance</t>
        </is>
      </c>
      <c r="B304" s="101">
        <f>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4" t="inlineStr">
        <is>
          <t>Sum over BUY/HOLD/SELL of the two arms' marginal shares.</t>
        </is>
      </c>
    </row>
    <row r="305" ht="45.95" customHeight="1" s="241">
      <c r="A305" t="inlineStr">
        <is>
          <t>Cohen's kappa</t>
        </is>
      </c>
      <c r="B305" s="101">
        <f>IFERROR(((IFERROR(SUM(Human_Data_Entry!$BK$3:$BK$524)/COUNTIFS(Human_Data_Entry!$H$3:$H$524,"Human",Human_Data_Entry!$S$3:$S$524,"?*",Human_Data_Entry!$Z$3:$Z$524,"?*"),""))-(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(1-(IFERROR((COUNTIFS(Human_Data_Entry!$H$3:$H$524,"Human",Human_Data_Entry!$S$3:$S$524,"?*",Human_Data_Entry!$Z$3:$Z$524,"?*",Human_Data_Entry!$J$3:$J$524,"BUY")*COUNTIFS(Human_Data_Entry!$H$3:$H$524,"Human",Human_Data_Entry!$S$3:$S$524,"?*",Human_Data_Entry!$Z$3:$Z$524,"?*",Human_Data_Entry!$Y$3:$Y$524,"BUY")+COUNTIFS(Human_Data_Entry!$H$3:$H$524,"Human",Human_Data_Entry!$S$3:$S$524,"?*",Human_Data_Entry!$Z$3:$Z$524,"?*",Human_Data_Entry!$J$3:$J$524,"HOLD")*COUNTIFS(Human_Data_Entry!$H$3:$H$524,"Human",Human_Data_Entry!$S$3:$S$524,"?*",Human_Data_Entry!$Z$3:$Z$524,"?*",Human_Data_Entry!$Y$3:$Y$524,"HOLD")+COUNTIFS(Human_Data_Entry!$H$3:$H$524,"Human",Human_Data_Entry!$S$3:$S$524,"?*",Human_Data_Entry!$Z$3:$Z$524,"?*",Human_Data_Entry!$J$3:$J$524,"SELL")*COUNTIFS(Human_Data_Entry!$H$3:$H$524,"Human",Human_Data_Entry!$S$3:$S$524,"?*",Human_Data_Entry!$Z$3:$Z$524,"?*",Human_Data_Entry!$Y$3:$Y$524,"SELL"))/COUNTIFS(Human_Data_Entry!$H$3:$H$524,"Human",Human_Data_Entry!$S$3:$S$524,"?*",Human_Data_Entry!$Z$3:$Z$524,"?*")/COUNTIFS(Human_Data_Entry!$H$3:$H$524,"Human",Human_Data_Entry!$S$3:$S$524,"?*",Human_Data_Entry!$Z$3:$Z$524,"?*"),""))),"")</f>
        <v/>
      </c>
      <c r="C305" t="inlineStr">
        <is>
          <t>0 is chance. Below 0.20 is 'slight' on the usual scale.</t>
        </is>
      </c>
    </row>
    <row r="306" ht="15.95" customHeight="1" s="241"/>
    <row r="307" ht="45.95" customHeight="1" s="241">
      <c r="A307" t="inlineStr">
        <is>
          <t>E5d. The model arm is a re-run with no record of the first</t>
        </is>
      </c>
      <c r="C307" s="101" t="inlineStr">
        <is>
          <t>Phase 2/Master_Data_v1.xlsx is the only surviving output of an earlier model run. Nothing in the live workbook records that it happened, when either ran, or what changed.</t>
        </is>
      </c>
    </row>
    <row r="308" ht="15.95" customHeight="1" s="241">
      <c r="A308" t="inlineStr">
        <is>
          <t>Measure</t>
        </is>
      </c>
      <c r="B308" t="inlineStr">
        <is>
          <t>Value</t>
        </is>
      </c>
      <c r="C308" t="inlineStr">
        <is>
          <t>Note</t>
        </is>
      </c>
    </row>
    <row r="309" ht="15.95" customHeight="1" s="241">
      <c r="A309" t="inlineStr">
        <is>
          <t>Model readings</t>
        </is>
      </c>
      <c r="B309" t="n">
        <v>268</v>
      </c>
    </row>
    <row r="310" ht="15.95" customHeight="1" s="241">
      <c r="A310" t="inlineStr">
        <is>
          <t>Events also in v1</t>
        </is>
      </c>
      <c r="B310" t="n">
        <v>120</v>
      </c>
      <c r="C310" t="inlineStr">
        <is>
          <t>Every v1 event is still on the sheet.</t>
        </is>
      </c>
    </row>
    <row r="311" ht="15.95" customHeight="1" s="241">
      <c r="A311" t="inlineStr">
        <is>
          <t xml:space="preserve">  of those, changed since v1</t>
        </is>
      </c>
      <c r="B311" t="n">
        <v>120</v>
      </c>
      <c r="C311" t="inlineStr">
        <is>
          <t>LLM_Data_Entry!AT classifies every row.</t>
        </is>
      </c>
    </row>
    <row r="312" ht="15.95" customHeight="1" s="241">
      <c r="A312" t="inlineStr">
        <is>
          <t xml:space="preserve">  of those, unchanged</t>
        </is>
      </c>
      <c r="B312" t="n">
        <v>0</v>
      </c>
    </row>
    <row r="313" ht="15.95" customHeight="1" s="241">
      <c r="A313" t="inlineStr">
        <is>
          <t>Readings with no earlier record</t>
        </is>
      </c>
      <c r="B313" t="n">
        <v>148</v>
      </c>
    </row>
    <row r="314" ht="15.95" customHeight="1" s="241">
      <c r="A314" t="inlineStr">
        <is>
          <t xml:space="preserve">  changed sentiment score</t>
        </is>
      </c>
      <c r="B314" t="n">
        <v>113</v>
      </c>
    </row>
    <row r="315" ht="15.95" customHeight="1" s="241">
      <c r="A315" t="inlineStr">
        <is>
          <t xml:space="preserve">  changed decision</t>
        </is>
      </c>
      <c r="B315" t="n">
        <v>42</v>
      </c>
    </row>
    <row r="316" ht="15.95" customHeight="1" s="241">
      <c r="A316" t="inlineStr">
        <is>
          <t xml:space="preserve">  changed token cost</t>
        </is>
      </c>
      <c r="B316" t="n">
        <v>116</v>
      </c>
    </row>
    <row r="317" ht="30" customHeight="1" s="241">
      <c r="A317" t="inlineStr">
        <is>
          <t xml:space="preserve">  changed runtime</t>
        </is>
      </c>
      <c r="B317" t="n">
        <v>4</v>
      </c>
      <c r="C317" s="101" t="inlineStr">
        <is>
          <t>The four runtimes v1 held are the only model latency ever measured; the live sheet has none.</t>
        </is>
      </c>
    </row>
    <row r="318" ht="15.95" customHeight="1" s="241"/>
    <row r="319" ht="45.95" customHeight="1" s="241">
      <c r="A319" t="inlineStr">
        <is>
          <t>SECTION F - THE CORPUS AND ITS DOCUMENTS</t>
        </is>
      </c>
      <c r="C319" s="101" t="inlineStr">
        <is>
          <t>Added 10 August 2026. Nothing in this block moves a published figure. Every count is derived from the documents' own text; rows about READINGS are formulas and stay live, rows about DOCUMENTS are values because no formula can open a PDF.</t>
        </is>
      </c>
    </row>
    <row r="320" ht="15.95" customHeight="1" s="241"/>
    <row r="321" ht="30" customHeight="1" s="241">
      <c r="A321" t="inlineStr">
        <is>
          <t>F5a. What the corpus holds</t>
        </is>
      </c>
      <c r="C321" s="101" t="inlineStr">
        <is>
          <t>Read, not listed. The previous content scans in this project opened PDF and DOCX only and reported on 'the corpus'; the corpus is 38% HTML.</t>
        </is>
      </c>
    </row>
    <row r="322" ht="15.95" customHeight="1" s="241">
      <c r="A322" t="inlineStr">
        <is>
          <t>Measure</t>
        </is>
      </c>
      <c r="B322" t="inlineStr">
        <is>
          <t>Value</t>
        </is>
      </c>
      <c r="C322" t="inlineStr">
        <is>
          <t>Note</t>
        </is>
      </c>
    </row>
    <row r="323" ht="15.95" customHeight="1" s="241">
      <c r="A323" t="inlineStr">
        <is>
          <t>Files under Phase 2 and Phase 3</t>
        </is>
      </c>
      <c r="B323" t="n">
        <v>1153</v>
      </c>
      <c r="C323" t="inlineStr">
        <is>
          <t>Everything, including spreadsheets and CSVs.</t>
        </is>
      </c>
    </row>
    <row r="324" ht="30" customHeight="1" s="241">
      <c r="A324" t="inlineStr">
        <is>
          <t>Documents opened and read</t>
        </is>
      </c>
      <c r="B324" t="n">
        <v>1074</v>
      </c>
      <c r="C324" s="101" t="inlineStr">
        <is>
          <t>PDF, DOCX, HTM and HTML. The remainder are workbooks, manifests and decks; 8 workbooks are cited as sources.</t>
        </is>
      </c>
    </row>
    <row r="325" ht="30" customHeight="1" s="241">
      <c r="A325" t="inlineStr">
        <is>
          <t xml:space="preserve">  rater answer sheets</t>
        </is>
      </c>
      <c r="B325" t="n">
        <v>74</v>
      </c>
      <c r="C325" s="101" t="inlineStr">
        <is>
          <t>Declared in rb_provenance.WORKSHEET_FILES; no reading cites one.</t>
        </is>
      </c>
    </row>
    <row r="326" ht="15.95" customHeight="1" s="241">
      <c r="A326" t="inlineStr">
        <is>
          <t xml:space="preserve">  cited by at least one reading</t>
        </is>
      </c>
      <c r="B326" t="n">
        <v>704</v>
      </c>
    </row>
    <row r="327" ht="30" customHeight="1" s="241">
      <c r="A327" t="inlineStr">
        <is>
          <t xml:space="preserve">  never cited by any reading</t>
        </is>
      </c>
      <c r="B327" t="n">
        <v>370</v>
      </c>
      <c r="C327" s="101" t="inlineStr">
        <is>
          <t>296 once the answer sheets are set aside. Gathered and not read is not the same as wasted - several are quarters nobody has scored yet.</t>
        </is>
      </c>
    </row>
    <row r="328" ht="45.95" customHeight="1" s="241">
      <c r="A328" t="inlineStr">
        <is>
          <t>Documents modified in the 7 days to 10 Aug 2026</t>
        </is>
      </c>
      <c r="B328" t="n">
        <v>517</v>
      </c>
      <c r="C328" s="101" t="inlineStr">
        <is>
          <t>The window is bounded at BOTH ends. It used to be open at the top, so a document modified AFTER the anchor date counted inside a window whose label says it cannot - and the raters kept adding documents on the 11th. Those are on the row below instead of folded in here.</t>
        </is>
      </c>
    </row>
    <row r="329" ht="30" customHeight="1" s="241">
      <c r="A329" t="inlineStr">
        <is>
          <t>Documents modified AFTER 10 Aug 2026</t>
        </is>
      </c>
      <c r="B329" t="n">
        <v>21</v>
      </c>
      <c r="C329" s="101" t="inlineStr">
        <is>
          <t>The corpus is still moving. Any count in this block has a shelf life, and this row is how long it has been since it was true.</t>
        </is>
      </c>
    </row>
    <row r="330" ht="15.95" customHeight="1" s="241"/>
    <row r="331" ht="45.95" customHeight="1" s="241">
      <c r="A331" t="inlineStr">
        <is>
          <t>F5b. SEC periodic filings, and the exclusion that names them</t>
        </is>
      </c>
      <c r="C331" s="101" t="inlineStr">
        <is>
          <t>'Long filings such as 10-Ks and 10-Qs are excluded by design, being dense and not what the group wanted the system reading' - Citibank_ARP_Progress_Update.docx. It scopes what the MODEL reads. Whether it binds the human arm has not been ruled on; this block records the conflict rather than resolving it.</t>
        </is>
      </c>
    </row>
    <row r="332" ht="15.95" customHeight="1" s="241">
      <c r="A332" t="inlineStr">
        <is>
          <t>Measure</t>
        </is>
      </c>
      <c r="B332" t="inlineStr">
        <is>
          <t>Value</t>
        </is>
      </c>
      <c r="C332" t="inlineStr">
        <is>
          <t>Note</t>
        </is>
      </c>
    </row>
    <row r="333" ht="30" customHeight="1" s="241">
      <c r="A333" t="inlineStr">
        <is>
          <t>SEC periodic filings in the corpus</t>
        </is>
      </c>
      <c r="B333" t="n">
        <v>45</v>
      </c>
      <c r="C333" s="101" t="inlineStr">
        <is>
          <t>Cover header AND the 'REPORT PURSUANT TO SECTION 13' clause. Two independent signatures, same 45 documents, no disagreement.</t>
        </is>
      </c>
    </row>
    <row r="334" ht="15.95" customHeight="1" s="241">
      <c r="A334" t="inlineStr">
        <is>
          <t xml:space="preserve">  10-K</t>
        </is>
      </c>
      <c r="B334" t="n">
        <v>10</v>
      </c>
    </row>
    <row r="335" ht="15.95" customHeight="1" s="241">
      <c r="A335" t="inlineStr">
        <is>
          <t xml:space="preserve">  10-Q</t>
        </is>
      </c>
      <c r="B335" t="n">
        <v>35</v>
      </c>
    </row>
    <row r="336" ht="15.95" customHeight="1" s="241">
      <c r="A336" t="inlineStr">
        <is>
          <t xml:space="preserve">  under Phase 2</t>
        </is>
      </c>
      <c r="B336" t="n">
        <v>25</v>
      </c>
    </row>
    <row r="337" ht="15.95" customHeight="1" s="241">
      <c r="A337" t="inlineStr">
        <is>
          <t xml:space="preserve">  under Phase 3/Readings</t>
        </is>
      </c>
      <c r="B337" t="n">
        <v>20</v>
      </c>
    </row>
    <row r="338" ht="45.95" customHeight="1" s="241">
      <c r="A338" t="inlineStr">
        <is>
          <t>Human readings whose ONLY source is one</t>
        </is>
      </c>
      <c r="B338">
        <f>COUNTIFS(Human_Data_Entry!$BP$3:$BP$524,"sole source")</f>
        <v/>
      </c>
      <c r="C338" s="101" t="inlineStr">
        <is>
          <t>Live, and the number the exclusion question is actually about. 8 of the 17 human readings that touch a filing label the document 'Financial Statement', and for a US issuer the 10-Q IS the quarterly financial statement.</t>
        </is>
      </c>
    </row>
    <row r="339" ht="30" customHeight="1" s="241">
      <c r="A339" t="inlineStr">
        <is>
          <t>Human readings citing one among several</t>
        </is>
      </c>
      <c r="B339">
        <f>COUNTIFS(Human_Data_Entry!$BP$3:$BP$524,"one of several")</f>
        <v/>
      </c>
      <c r="C339" s="101" t="inlineStr">
        <is>
          <t>Document = All, so the filing is one of a bundle. Counting these as 'read a 10-K' would overstate the finding.</t>
        </is>
      </c>
    </row>
    <row r="340" ht="45.95" customHeight="1" s="241">
      <c r="A340" t="inlineStr">
        <is>
          <t>Model readings whose ONLY source is one</t>
        </is>
      </c>
      <c r="B340">
        <f>COUNTIFS(LLM_Data_Entry!$AY$3:$AY$430,"sole source")</f>
        <v/>
      </c>
      <c r="C340" s="101" t="inlineStr">
        <is>
          <t>The one to read carefully: LLM_Data_Entry records no document list, so this is what the matcher attributes, not what the model read. Nothing in the container can settle it.</t>
        </is>
      </c>
    </row>
    <row r="341" ht="15.95" customHeight="1" s="241">
      <c r="A341" t="inlineStr">
        <is>
          <t>Model readings citing one among several</t>
        </is>
      </c>
      <c r="B341">
        <f>COUNTIFS(LLM_Data_Entry!$AY$3:$AY$430,"one of several")</f>
        <v/>
      </c>
    </row>
    <row r="342" ht="30" customHeight="1" s="241">
      <c r="A342" t="inlineStr">
        <is>
          <t>Ruling</t>
        </is>
      </c>
      <c r="B342" t="inlineStr">
        <is>
          <t>not made</t>
        </is>
      </c>
      <c r="C342" s="101" t="inlineStr">
        <is>
          <t>Query F-a. Recording it unresolved is the group's decision of 10 August 2026, not an oversight.</t>
        </is>
      </c>
    </row>
    <row r="343" ht="15.95" customHeight="1" s="241"/>
    <row r="344" ht="45.95" customHeight="1" s="241">
      <c r="A344" t="inlineStr">
        <is>
          <t>F5c. Who published the documents the study reads</t>
        </is>
      </c>
      <c r="C344" s="101" t="inlineStr">
        <is>
          <t>By each document's own copyright line, never by a mention: 76 documents name the Motley Fool and 43 of those are rater sheets recording where the rater got the transcript. The study had no record of this at all before section F.</t>
        </is>
      </c>
    </row>
    <row r="345" ht="15.95" customHeight="1" s="241">
      <c r="A345" t="inlineStr">
        <is>
          <t>Publisher</t>
        </is>
      </c>
      <c r="B345" t="inlineStr">
        <is>
          <t>Documents</t>
        </is>
      </c>
      <c r="C345" t="inlineStr">
        <is>
          <t>Licence class</t>
        </is>
      </c>
    </row>
    <row r="346" ht="15.95" customHeight="1" s="241">
      <c r="A346" t="inlineStr">
        <is>
          <t xml:space="preserve">  The Motley Fool</t>
        </is>
      </c>
      <c r="B346" t="n">
        <v>75</v>
      </c>
      <c r="C346" t="inlineStr">
        <is>
          <t>free to read, copyright asserted</t>
        </is>
      </c>
    </row>
    <row r="347" ht="15.95" customHeight="1" s="241">
      <c r="A347" t="inlineStr">
        <is>
          <t xml:space="preserve">  Insider Monkey (Koala Guide LLC)</t>
        </is>
      </c>
      <c r="B347" t="n">
        <v>72</v>
      </c>
      <c r="C347" t="inlineStr">
        <is>
          <t>free to read, copyright asserted</t>
        </is>
      </c>
    </row>
    <row r="348" ht="15.95" customHeight="1" s="241">
      <c r="A348" t="inlineStr">
        <is>
          <t xml:space="preserve">  FactSet CallStreet</t>
        </is>
      </c>
      <c r="B348" t="n">
        <v>38</v>
      </c>
      <c r="C348" t="inlineStr">
        <is>
          <t>licensed vendor</t>
        </is>
      </c>
    </row>
    <row r="349" ht="15.95" customHeight="1" s="241">
      <c r="A349" t="inlineStr">
        <is>
          <t xml:space="preserve">  Refinitiv / LSEG StreetEvents</t>
        </is>
      </c>
      <c r="B349" t="n">
        <v>33</v>
      </c>
      <c r="C349" t="inlineStr">
        <is>
          <t>licensed vendor</t>
        </is>
      </c>
    </row>
    <row r="350" ht="15.95" customHeight="1" s="241">
      <c r="A350" t="inlineStr">
        <is>
          <t xml:space="preserve">  MarketScreener (Surperformance SAS)</t>
        </is>
      </c>
      <c r="B350" t="n">
        <v>16</v>
      </c>
      <c r="C350" t="inlineStr">
        <is>
          <t>licensed vendor</t>
        </is>
      </c>
    </row>
    <row r="351" ht="15.95" customHeight="1" s="241">
      <c r="A351" t="inlineStr">
        <is>
          <t xml:space="preserve">  S&amp;P Global Market Intelligence (Capital IQ)</t>
        </is>
      </c>
      <c r="B351" t="n">
        <v>10</v>
      </c>
      <c r="C351" t="inlineStr">
        <is>
          <t>licensed vendor</t>
        </is>
      </c>
    </row>
    <row r="352" ht="15.95" customHeight="1" s="241">
      <c r="A352" t="inlineStr">
        <is>
          <t>Publisher-identified documents</t>
        </is>
      </c>
      <c r="B352" t="n">
        <v>244</v>
      </c>
      <c r="C352" t="inlineStr">
        <is>
          <t>The audit said 63 across three vendors.</t>
        </is>
      </c>
    </row>
    <row r="353" ht="30" customHeight="1" s="241">
      <c r="A353" t="inlineStr">
        <is>
          <t xml:space="preserve">  carrying a redistribution prohibition</t>
        </is>
      </c>
      <c r="B353" t="n">
        <v>30</v>
      </c>
      <c r="C353" s="101" t="inlineStr">
        <is>
          <t>Refinitiv / LSEG StreetEvents, which is the only publisher here that prints one. The others assert copyright.</t>
        </is>
      </c>
    </row>
    <row r="354" ht="30" customHeight="1" s="241">
      <c r="A354" t="inlineStr">
        <is>
          <t xml:space="preserve">  carrying the ISSUER's own call restriction</t>
        </is>
      </c>
      <c r="B354" t="n">
        <v>13</v>
      </c>
      <c r="C354" s="101" t="inlineStr">
        <is>
          <t>Read out by the operator, so it attaches to the call and survives changing transcriber. On no vendor list.</t>
        </is>
      </c>
    </row>
    <row r="355" ht="45.95" customHeight="1" s="241">
      <c r="A355" t="inlineStr">
        <is>
          <t>Documents removed or proposed for removal</t>
        </is>
      </c>
      <c r="B355" t="n">
        <v>0</v>
      </c>
      <c r="C355" s="101" t="inlineStr">
        <is>
          <t>Group decision, 10 August 2026: nothing is being redistributed - the share is the team's own working folder - so the finding's premise does not hold. The classification is kept as provenance.</t>
        </is>
      </c>
    </row>
    <row r="356" ht="15.95" customHeight="1" s="241">
      <c r="A356" t="inlineStr">
        <is>
          <t>Human readings citing a licensed-vendor document</t>
        </is>
      </c>
      <c r="B356">
        <f>COUNTIFS(Human_Data_Entry!$BO$3:$BO$524,"licensed vendor")</f>
        <v/>
      </c>
    </row>
    <row r="357" ht="15.95" customHeight="1" s="241">
      <c r="A357" t="inlineStr">
        <is>
          <t>Model readings citing a licensed-vendor document</t>
        </is>
      </c>
      <c r="B357">
        <f>COUNTIFS(LLM_Data_Entry!$AX$3:$AX$430,"licensed vendor")</f>
        <v/>
      </c>
    </row>
    <row r="358" ht="15.95" customHeight="1" s="241"/>
    <row r="359" ht="45.95" customHeight="1" s="241">
      <c r="A359" t="inlineStr">
        <is>
          <t>F5d. Byte-identical duplicates</t>
        </is>
      </c>
      <c r="C359" s="101" t="inlineStr">
        <is>
          <t>sha256 of the file, not size or name. Size, mtime and checksum are worthless for telling whether a file in this share MOVED, but a hash is exactly right for telling whether two files are the same document.</t>
        </is>
      </c>
    </row>
    <row r="360" ht="15.95" customHeight="1" s="241">
      <c r="A360" t="inlineStr">
        <is>
          <t>Measure</t>
        </is>
      </c>
      <c r="B360" t="inlineStr">
        <is>
          <t>Value</t>
        </is>
      </c>
      <c r="C360" t="inlineStr">
        <is>
          <t>Note</t>
        </is>
      </c>
    </row>
    <row r="361" ht="15.95" customHeight="1" s="241">
      <c r="A361" t="inlineStr">
        <is>
          <t>Duplicate groups</t>
        </is>
      </c>
      <c r="B361" t="n">
        <v>7</v>
      </c>
    </row>
    <row r="362" ht="15.95" customHeight="1" s="241">
      <c r="A362" t="inlineStr">
        <is>
          <t>Files involved</t>
        </is>
      </c>
      <c r="B362" t="n">
        <v>17</v>
      </c>
    </row>
    <row r="363" ht="30" customHeight="1" s="241">
      <c r="A363" t="inlineStr">
        <is>
          <t>Groups straddling the two phase trees</t>
        </is>
      </c>
      <c r="B363" t="n">
        <v>4</v>
      </c>
      <c r="C363" s="101" t="inlineStr">
        <is>
          <t>All four are Target, which is the whole reason Target is the only company that appears in both arms.</t>
        </is>
      </c>
    </row>
    <row r="364" ht="30" customHeight="1" s="241">
      <c r="A364" t="inlineStr">
        <is>
          <t xml:space="preserve">  2 copies</t>
        </is>
      </c>
      <c r="B364" t="inlineStr">
        <is>
          <t>LOW-2026-Q1-earnings-call-transcript-corporate-lowes-com.pdf</t>
        </is>
      </c>
      <c r="C364" s="101" t="inlineStr">
        <is>
          <t>Phase 2/Lowe's/2026-Q1/LOW-2026-Q1-earnings-call-transcript-corporate-lowes-com.pdf; Phase 2/Lowe's/low-usq-transcript-2026-05-20-1.pdf</t>
        </is>
      </c>
    </row>
    <row r="365" ht="45.95" customHeight="1" s="241">
      <c r="A365" t="inlineStr">
        <is>
          <t xml:space="preserve">  3 copies</t>
        </is>
      </c>
      <c r="B365" t="inlineStr">
        <is>
          <t>2025-May-21-TGT-Transcript.pdf</t>
        </is>
      </c>
      <c r="C365" s="101" t="inlineStr">
        <is>
          <t>Phase 2/Target/2025-May-21-TGT-Transcript.pdf; Phase 2/Target/2025-Q1/TGT-2025-Q1-earnings-call-transcript-corporate-target-com.pdf; Phase 3/Readings/Target/2025-May-21-TGT-Transcript.pdf</t>
        </is>
      </c>
    </row>
    <row r="366" ht="45.95" customHeight="1" s="241">
      <c r="A366" t="inlineStr">
        <is>
          <t xml:space="preserve">  3 copies</t>
        </is>
      </c>
      <c r="B366" s="101" t="inlineStr">
        <is>
          <t>TGT-2025-Q2-earnings-call-transcript-corporate-target-com.pdf</t>
        </is>
      </c>
      <c r="C366" s="101" t="inlineStr">
        <is>
          <t>Phase 2/Target/2025-Q2/TGT-2025-Q2-earnings-call-transcript-corporate-target-com.pdf; Phase 2/Target/2025-august-20-tgt-transcript.pdf; Phase 3/Readings/Target/2025-august-20-tgt-transcript.pdf</t>
        </is>
      </c>
    </row>
    <row r="367" ht="45.95" customHeight="1" s="241">
      <c r="A367" t="inlineStr">
        <is>
          <t xml:space="preserve">  3 copies</t>
        </is>
      </c>
      <c r="B367" s="101" t="inlineStr">
        <is>
          <t>TGT-2025-Q3-earnings-call-transcript-corporate-target-com.pdf</t>
        </is>
      </c>
      <c r="C367" s="101" t="inlineStr">
        <is>
          <t>Phase 2/Target/2025-Q3/TGT-2025-Q3-earnings-call-transcript-corporate-target-com.pdf; Phase 2/Target/TGT-Transcript-2025-11-19-2.pdf; Phase 3/Readings/Target/TGT-Transcript-2025-11-19.pdf</t>
        </is>
      </c>
    </row>
    <row r="368" ht="30" customHeight="1" s="241">
      <c r="A368" t="inlineStr">
        <is>
          <t xml:space="preserve">  2 copies</t>
        </is>
      </c>
      <c r="B368" t="inlineStr">
        <is>
          <t>TGT-USQ_Transcript_2026-05-20.pdf</t>
        </is>
      </c>
      <c r="C368" s="101" t="inlineStr">
        <is>
          <t>Phase 2/Target/TGT-USQ_Transcript_2026-05-20.pdf; Phase 3/Readings/Target/TGT-USQ_Transcript_2026-05-20.pdf</t>
        </is>
      </c>
    </row>
    <row r="369" ht="30" customHeight="1" s="241">
      <c r="A369" t="inlineStr">
        <is>
          <t xml:space="preserve">  2 copies</t>
        </is>
      </c>
      <c r="B369" t="inlineStr">
        <is>
          <t>HEINY-2024-Q2-earnings-presentation-HeinekenIR.pdf</t>
        </is>
      </c>
      <c r="C369" s="101" t="inlineStr">
        <is>
          <t>Phase 3/Readings/Heineken/2024-Q2/HEINY-2024-Q2-earnings-presentation-HeinekenIR.pdf; Phase 3/Readings/Heineken/hy-24-results-presentation.pdf</t>
        </is>
      </c>
    </row>
    <row r="370" ht="30" customHeight="1" s="241">
      <c r="A370" t="inlineStr">
        <is>
          <t xml:space="preserve">  2 copies</t>
        </is>
      </c>
      <c r="B370" t="inlineStr">
        <is>
          <t>Q3 2025 Press Release.pdf</t>
        </is>
      </c>
      <c r="C370" s="101" t="inlineStr">
        <is>
          <t>Phase 3/Readings/Shopify/Q3 25/Q3 2025 Press Release.pdf; Phase 3/Readings/Shopify/Q3 25/Q3-2025-Press-Release.pdf</t>
        </is>
      </c>
    </row>
    <row r="371" ht="15.95" customHeight="1" s="241"/>
    <row r="372" ht="45.95" customHeight="1" s="241">
      <c r="A372" t="inlineStr">
        <is>
          <t>F5e. Provenance coverage</t>
        </is>
      </c>
      <c r="C372" s="101" t="inlineStr">
        <is>
          <t>A manifest carries the fiscal period, the document type and the URL the file came from, and where one exists it beats filename guessing outright. It covers the documents it NAMES, not the folder it sits in.</t>
        </is>
      </c>
    </row>
    <row r="373" ht="15.95" customHeight="1" s="241">
      <c r="A373" t="inlineStr">
        <is>
          <t>Measure</t>
        </is>
      </c>
      <c r="B373" t="inlineStr">
        <is>
          <t>Value</t>
        </is>
      </c>
      <c r="C373" t="inlineStr">
        <is>
          <t>Note</t>
        </is>
      </c>
    </row>
    <row r="374" ht="15.95" customHeight="1" s="241">
      <c r="A374" t="inlineStr">
        <is>
          <t>Original provenance.csv files</t>
        </is>
      </c>
      <c r="B374" t="n">
        <v>7</v>
      </c>
      <c r="C374" t="inlineStr">
        <is>
          <t>All Phase 2.</t>
        </is>
      </c>
    </row>
    <row r="375" ht="15.95" customHeight="1" s="241">
      <c r="A375" t="inlineStr">
        <is>
          <t>Collected collected_provenance.csv files</t>
        </is>
      </c>
      <c r="B375" t="n">
        <v>50</v>
      </c>
      <c r="C375" t="inlineStr">
        <is>
          <t>Written by the D-c and E collections of 10 August 2026.</t>
        </is>
      </c>
    </row>
    <row r="376" ht="15.95" customHeight="1" s="241">
      <c r="A376" t="inlineStr">
        <is>
          <t>Documents named in a manifest</t>
        </is>
      </c>
      <c r="B376" t="n">
        <v>424</v>
      </c>
      <c r="C376" t="inlineStr">
        <is>
          <t>39.5% of the readable corpus.</t>
        </is>
      </c>
    </row>
    <row r="377" ht="45.95" customHeight="1" s="241">
      <c r="A377" t="inlineStr">
        <is>
          <t>Manifest rows recording a FAILED collection</t>
        </is>
      </c>
      <c r="B377" t="n">
        <v>7</v>
      </c>
      <c r="C377" s="101" t="inlineStr">
        <is>
          <t>'(not collected)' in the filename column, with a note saying no free source existed. The matcher published that string as a source document in 10 cells until rb_provenance._exists dropped it. No reading rested on one alone.</t>
        </is>
      </c>
    </row>
    <row r="378" ht="15.95" customHeight="1" s="241">
      <c r="A378" t="inlineStr">
        <is>
          <t>Human readings whose sources are all manifest-backed</t>
        </is>
      </c>
      <c r="B378">
        <f>COUNTIFS(Human_Data_Entry!$BQ$3:$BQ$524,"yes")</f>
        <v/>
      </c>
    </row>
    <row r="379" ht="15.95" customHeight="1" s="241">
      <c r="A379" t="inlineStr">
        <is>
          <t>Model readings whose sources are all manifest-backed</t>
        </is>
      </c>
      <c r="B379">
        <f>COUNTIFS(LLM_Data_Entry!$AZ$3:$AZ$430,"yes")</f>
        <v/>
      </c>
    </row>
    <row r="380" ht="15.95" customHeight="1" s="241"/>
    <row r="381" ht="45.95" customHeight="1" s="241">
      <c r="A381" t="inlineStr">
        <is>
          <t>F5f. Naming drift, and why the alias table stays</t>
        </is>
      </c>
      <c r="C381" s="101" t="inlineStr">
        <is>
          <t>The corpus does not join to the workbook by name. build_mapping's alias table absorbs the difference, which is why anything joins at all. Renaming the folders would touch the group's share; the table does not. Recommendation: keep the table.</t>
        </is>
      </c>
    </row>
    <row r="382" ht="15.95" customHeight="1" s="241">
      <c r="A382" t="inlineStr">
        <is>
          <t>Measure</t>
        </is>
      </c>
      <c r="B382" t="inlineStr">
        <is>
          <t>Value</t>
        </is>
      </c>
      <c r="C382" t="inlineStr">
        <is>
          <t>Note</t>
        </is>
      </c>
    </row>
    <row r="383" ht="15.95" customHeight="1" s="241">
      <c r="A383" t="inlineStr">
        <is>
          <t>Company folders whose name is not the company's</t>
        </is>
      </c>
      <c r="B383" t="n">
        <v>15</v>
      </c>
      <c r="C383" t="inlineStr">
        <is>
          <t>Of 96 company folders across the two trees.</t>
        </is>
      </c>
    </row>
    <row r="384" ht="45.95" customHeight="1" s="241">
      <c r="A384" t="inlineStr">
        <is>
          <t xml:space="preserve">  resolved only by fuzzy match</t>
        </is>
      </c>
      <c r="B384" t="n">
        <v>0</v>
      </c>
      <c r="C384" s="101" t="inlineStr">
        <is>
          <t>'Jonson &amp; Jonson' and 'Nestle'. difflib at cutoff 0.84 is one new folder away from resolving either to the wrong company; these two are the ones worth an explicit alias.</t>
        </is>
      </c>
    </row>
    <row r="385" ht="15.95" customHeight="1" s="241">
      <c r="A385" t="inlineStr">
        <is>
          <t xml:space="preserve">  Bank of America</t>
        </is>
      </c>
      <c r="B385" t="inlineStr">
        <is>
          <t>bank of america</t>
        </is>
      </c>
      <c r="C385" t="inlineStr">
        <is>
          <t>P2, alias</t>
        </is>
      </c>
    </row>
    <row r="386" ht="15.95" customHeight="1" s="241">
      <c r="A386" t="inlineStr">
        <is>
          <t xml:space="preserve">  Booking Holdings</t>
        </is>
      </c>
      <c r="B386" t="inlineStr">
        <is>
          <t>Booking</t>
        </is>
      </c>
      <c r="C386" t="inlineStr">
        <is>
          <t>P2, alias</t>
        </is>
      </c>
    </row>
    <row r="387" ht="15.95" customHeight="1" s="241">
      <c r="A387" t="inlineStr">
        <is>
          <t xml:space="preserve">  Coinbase</t>
        </is>
      </c>
      <c r="B387" t="inlineStr">
        <is>
          <t>Coin Base</t>
        </is>
      </c>
      <c r="C387" t="inlineStr">
        <is>
          <t>P2, alias</t>
        </is>
      </c>
    </row>
    <row r="388" ht="15.95" customHeight="1" s="241">
      <c r="A388" t="inlineStr">
        <is>
          <t xml:space="preserve">  Colgate-Palmolive</t>
        </is>
      </c>
      <c r="B388" t="inlineStr">
        <is>
          <t>Colgate Palmolive</t>
        </is>
      </c>
      <c r="C388" t="inlineStr">
        <is>
          <t>P3, alias</t>
        </is>
      </c>
    </row>
    <row r="389" ht="15.95" customHeight="1" s="241">
      <c r="A389" t="inlineStr">
        <is>
          <t xml:space="preserve">  Comcast Corporation</t>
        </is>
      </c>
      <c r="B389" t="inlineStr">
        <is>
          <t>Comcast</t>
        </is>
      </c>
      <c r="C389" t="inlineStr">
        <is>
          <t>P3, alias</t>
        </is>
      </c>
    </row>
    <row r="390" ht="15.95" customHeight="1" s="241">
      <c r="A390" t="inlineStr">
        <is>
          <t xml:space="preserve">  Delta Air Lines</t>
        </is>
      </c>
      <c r="B390" t="inlineStr">
        <is>
          <t>Delta</t>
        </is>
      </c>
      <c r="C390" t="inlineStr">
        <is>
          <t>P3, alias</t>
        </is>
      </c>
    </row>
    <row r="391" ht="15.95" customHeight="1" s="241">
      <c r="A391" t="inlineStr">
        <is>
          <t xml:space="preserve">  JPMorgan</t>
        </is>
      </c>
      <c r="B391" t="inlineStr">
        <is>
          <t>JPMC Documents</t>
        </is>
      </c>
      <c r="C391" t="inlineStr">
        <is>
          <t>P2, alias</t>
        </is>
      </c>
    </row>
    <row r="392" ht="15.95" customHeight="1" s="241">
      <c r="A392" t="inlineStr">
        <is>
          <t xml:space="preserve">  Johnson &amp; Johnson</t>
        </is>
      </c>
      <c r="B392" t="inlineStr">
        <is>
          <t>Jonson &amp; Jonson</t>
        </is>
      </c>
      <c r="C392" t="inlineStr">
        <is>
          <t>P3, alias</t>
        </is>
      </c>
    </row>
    <row r="393" ht="15.95" customHeight="1" s="241">
      <c r="A393" t="inlineStr">
        <is>
          <t xml:space="preserve">  Meta</t>
        </is>
      </c>
      <c r="B393" t="inlineStr">
        <is>
          <t>META</t>
        </is>
      </c>
      <c r="C393" t="inlineStr">
        <is>
          <t>P2, alias</t>
        </is>
      </c>
    </row>
    <row r="394" ht="15.95" customHeight="1" s="241">
      <c r="A394" t="inlineStr">
        <is>
          <t xml:space="preserve">  Metlife</t>
        </is>
      </c>
      <c r="B394" t="inlineStr">
        <is>
          <t>MetLife</t>
        </is>
      </c>
      <c r="C394" t="inlineStr">
        <is>
          <t>P2, exact</t>
        </is>
      </c>
    </row>
    <row r="395" ht="15.95" customHeight="1" s="241">
      <c r="A395" t="inlineStr">
        <is>
          <t xml:space="preserve">  Nestle</t>
        </is>
      </c>
      <c r="B395" t="inlineStr">
        <is>
          <t>Nestlé</t>
        </is>
      </c>
      <c r="C395" t="inlineStr">
        <is>
          <t>P3, alias</t>
        </is>
      </c>
    </row>
    <row r="396" ht="15.95" customHeight="1" s="241">
      <c r="A396" t="inlineStr">
        <is>
          <t xml:space="preserve">  Robinhood Markets</t>
        </is>
      </c>
      <c r="B396" t="inlineStr">
        <is>
          <t>Robinhood</t>
        </is>
      </c>
      <c r="C396" t="inlineStr">
        <is>
          <t>P3, alias</t>
        </is>
      </c>
    </row>
    <row r="397" ht="15.95" customHeight="1" s="241">
      <c r="A397" t="inlineStr">
        <is>
          <t xml:space="preserve">  Salesforce</t>
        </is>
      </c>
      <c r="B397" t="inlineStr">
        <is>
          <t>SalesForce</t>
        </is>
      </c>
      <c r="C397" t="inlineStr">
        <is>
          <t>P2, alias</t>
        </is>
      </c>
    </row>
    <row r="398" ht="15.95" customHeight="1" s="241">
      <c r="A398" t="inlineStr">
        <is>
          <t xml:space="preserve">  Shell</t>
        </is>
      </c>
      <c r="B398" t="inlineStr">
        <is>
          <t>SHELL</t>
        </is>
      </c>
      <c r="C398" t="inlineStr">
        <is>
          <t>P2, exact</t>
        </is>
      </c>
    </row>
    <row r="399" ht="15.95" customHeight="1" s="241">
      <c r="A399" t="inlineStr">
        <is>
          <t xml:space="preserve">  UnitedHealth</t>
        </is>
      </c>
      <c r="B399" t="inlineStr">
        <is>
          <t>Unitedhealth</t>
        </is>
      </c>
      <c r="C399" t="inlineStr">
        <is>
          <t>P2, alias</t>
        </is>
      </c>
    </row>
    <row r="400" ht="30" customHeight="1" s="241">
      <c r="A400" t="inlineStr">
        <is>
          <t>Period-folder naming shapes</t>
        </is>
      </c>
      <c r="B400" t="n">
        <v>5</v>
      </c>
      <c r="C400" s="101" t="inlineStr">
        <is>
          <t>YYYY-Qn x139; other x91; Qn (no year) x87; YYYY x12; Qn YY x11. 'Q1' alone does not say which year.</t>
        </is>
      </c>
    </row>
    <row r="401" ht="45.95" customHeight="1" s="241">
      <c r="A401" t="inlineStr">
        <is>
          <t>SECTION H - THE ELEVEN DECISIONS OF 10 AUGUST 2026</t>
        </is>
      </c>
      <c r="C401" s="101" t="inlineStr">
        <is>
          <t>Sections A-F corrected how figures were DERIVED. Section H changes the figures themselves. Every row below is a before/after pair: 'A-F' is what the workbook published with sections A-F applied, 'A-H' is what it publishes now.</t>
        </is>
      </c>
    </row>
    <row r="402" ht="15.95" customHeight="1" s="241"/>
    <row r="403" ht="45.95" customHeight="1" s="241">
      <c r="A403" t="inlineStr">
        <is>
          <t>H1a. THE HEADLINE - one reading per rater-event</t>
        </is>
      </c>
      <c r="C403" s="101" t="inlineStr">
        <is>
          <t>H9's ruling. Two raters on one event are two observations; one rater twice is one. Every figure in the HEADLINE column is a COUNTIFS or SUMIFS whose criteria are identical to those of the column beside it plus one: First Reading for Rater-Event = 1. The numerator and the denominator are gated the same way (trap 22) and rb_check_h rebuilds both from the raw input.</t>
        </is>
      </c>
    </row>
    <row r="404" ht="15.95" customHeight="1" s="241">
      <c r="A404" t="inlineStr">
        <is>
          <t>Measure</t>
        </is>
      </c>
      <c r="B404" t="inlineStr">
        <is>
          <t>HEADLINE: one per rater-event</t>
        </is>
      </c>
      <c r="C404" t="inlineStr">
        <is>
          <t>Robustness: pooled</t>
        </is>
      </c>
      <c r="D404" t="inlineStr">
        <is>
          <t>HEADLINE, re-priced (section C)</t>
        </is>
      </c>
      <c r="E404" t="inlineStr">
        <is>
          <t>Note</t>
        </is>
      </c>
    </row>
    <row r="405" ht="30" customHeight="1" s="241">
      <c r="A405" t="inlineStr">
        <is>
          <t>Scored human readings</t>
        </is>
      </c>
      <c r="B405" s="101">
        <f>COUNTIFS(Human_Data_Entry!$H$3:$H$524,"Human",Human_Data_Entry!$S$3:$S$524,"?*",Human_Data_Entry!$BC$3:$BC$524,1)</f>
        <v/>
      </c>
      <c r="C405" s="101">
        <f>COUNTIFS(Human_Data_Entry!$H$3:$H$524,"Human",Human_Data_Entry!$S$3:$S$524,"?*")</f>
        <v/>
      </c>
      <c r="D405" s="101">
        <f>COUNTIFS(Human_Data_Entry!$H$3:$H$524,"Human",Human_Data_Entry!$AJ$3:$AJ$524,"?*",Human_Data_Entry!$BC$3:$BC$524,1)</f>
        <v/>
      </c>
      <c r="E405" s="101" t="inlineStr">
        <is>
          <t>Text criterion, not "&lt;&gt;", because a formula-blank counts as non-blank - trap 7.</t>
        </is>
      </c>
    </row>
    <row r="406" ht="30" customHeight="1" s="241">
      <c r="A406" t="inlineStr">
        <is>
          <t>Correct</t>
        </is>
      </c>
      <c r="B406" s="101">
        <f>COUNTIFS(Human_Data_Entry!$H$3:$H$524,"Human",Human_Data_Entry!$S$3:$S$524,"YES",Human_Data_Entry!$BC$3:$BC$524,1)</f>
        <v/>
      </c>
      <c r="C406" s="101">
        <f>COUNTIFS(Human_Data_Entry!$H$3:$H$524,"Human",Human_Data_Entry!$S$3:$S$524,"YES")</f>
        <v/>
      </c>
      <c r="D406" s="101">
        <f>COUNTIFS(Human_Data_Entry!$H$3:$H$524,"Human",Human_Data_Entry!$AJ$3:$AJ$524,"YES",Human_Data_Entry!$BC$3:$BC$524,1)</f>
        <v/>
      </c>
    </row>
    <row r="407" ht="45.95" customHeight="1" s="241">
      <c r="A407" t="inlineStr">
        <is>
          <t>% Correct</t>
        </is>
      </c>
      <c r="B407" s="101">
        <f>IFERROR(COUNTIFS(Human_Data_Entry!$H$3:$H$524,"Human",Human_Data_Entry!$S$3:$S$524,"YES",Human_Data_Entry!$BC$3:$BC$524,1)/COUNTIFS(Human_Data_Entry!$H$3:$H$524,"Human",Human_Data_Entry!$S$3:$S$524,"?*",Human_Data_Entry!$BC$3:$BC$524,1),"")</f>
        <v/>
      </c>
      <c r="C407" s="101">
        <f>IFERROR(COUNTIFS(Human_Data_Entry!$H$3:$H$524,"Human",Human_Data_Entry!$S$3:$S$524,"YES")/COUNTIFS(Human_Data_Entry!$H$3:$H$524,"Human",Human_Data_Entry!$S$3:$S$524,"?*"),"")</f>
        <v/>
      </c>
      <c r="D407" s="101">
        <f>IFERROR(COUNTIFS(Human_Data_Entry!$H$3:$H$524,"Human",Human_Data_Entry!$AJ$3:$AJ$524,"YES",Human_Data_Entry!$BC$3:$BC$524,1)/COUNTIFS(Human_Data_Entry!$H$3:$H$524,"Human",Human_Data_Entry!$AJ$3:$AJ$524,"?*",Human_Data_Entry!$BC$3:$BC$524,1),"")</f>
        <v/>
      </c>
      <c r="E407" s="101" t="inlineStr">
        <is>
          <t>The single figure this study reports. Compare it with the naive floor two rows down before quoting it.</t>
        </is>
      </c>
    </row>
    <row r="408" ht="30" customHeight="1" s="241">
      <c r="A408" t="inlineStr">
        <is>
          <t># Trades</t>
        </is>
      </c>
      <c r="B408" s="101">
        <f>COUNTIFS(Human_Data_Entry!$H$3:$H$524,"Human",Human_Data_Entry!$J$3:$J$524,"&lt;&gt;HOLD",Human_Data_Entry!$S$3:$S$524,"?*",Human_Data_Entry!$BC$3:$BC$524,1)</f>
        <v/>
      </c>
      <c r="C408" s="101">
        <f>COUNTIFS(Human_Data_Entry!$H$3:$H$524,"Human",Human_Data_Entry!$J$3:$J$524,"&lt;&gt;HOLD",Human_Data_Entry!$S$3:$S$524,"?*")</f>
        <v/>
      </c>
      <c r="D408" s="101">
        <f>COUNTIFS(Human_Data_Entry!$H$3:$H$524,"Human",Human_Data_Entry!$J$3:$J$524,"&lt;&gt;HOLD",Human_Data_Entry!$AJ$3:$AJ$524,"?*",Human_Data_Entry!$BC$3:$BC$524,1)</f>
        <v/>
      </c>
    </row>
    <row r="409" ht="45.95" customHeight="1" s="241">
      <c r="A409" t="inlineStr">
        <is>
          <t>Total Return %</t>
        </is>
      </c>
      <c r="B409" s="101">
        <f>SUMIFS(Human_Data_Entry!$U$3:$U$524,Human_Data_Entry!$H$3:$H$524,"Human",Human_Data_Entry!$J$3:$J$524,"&lt;&gt;HOLD",Human_Data_Entry!$S$3:$S$524,"?*",Human_Data_Entry!$BC$3:$BC$524,1)</f>
        <v/>
      </c>
      <c r="C409" s="101">
        <f>SUMIFS(Human_Data_Entry!$U$3:$U$524,Human_Data_Entry!$H$3:$H$524,"Human",Human_Data_Entry!$J$3:$J$524,"&lt;&gt;HOLD",Human_Data_Entry!$S$3:$S$524,"?*")</f>
        <v/>
      </c>
      <c r="D409" s="101">
        <f>SUMIFS(Human_Data_Entry!$AK$3:$AK$524,Human_Data_Entry!$H$3:$H$524,"Human",Human_Data_Entry!$J$3:$J$524,"&lt;&gt;HOLD",Human_Data_Entry!$AJ$3:$AJ$524,"?*",Human_Data_Entry!$BC$3:$BC$524,1)</f>
        <v/>
      </c>
      <c r="E409" s="101" t="inlineStr">
        <is>
          <t>The difference between the two columns is what the repeat readings contribute, and it is why they cannot be counted as independent.</t>
        </is>
      </c>
    </row>
    <row r="410" ht="45.95" customHeight="1" s="241">
      <c r="A410" t="inlineStr">
        <is>
          <t>Avg % / Trade</t>
        </is>
      </c>
      <c r="B410" s="101">
        <f>IFERROR(SUMIFS(Human_Data_Entry!$U$3:$U$524,Human_Data_Entry!$H$3:$H$524,"Human",Human_Data_Entry!$J$3:$J$524,"&lt;&gt;HOLD",Human_Data_Entry!$S$3:$S$524,"?*",Human_Data_Entry!$BC$3:$BC$524,1)/COUNTIFS(Human_Data_Entry!$H$3:$H$524,"Human",Human_Data_Entry!$J$3:$J$524,"&lt;&gt;HOLD",Human_Data_Entry!$S$3:$S$524,"?*",Human_Data_Entry!$BC$3:$BC$524,1),"")</f>
        <v/>
      </c>
      <c r="C410" s="101">
        <f>IFERROR(SUMIFS(Human_Data_Entry!$U$3:$U$524,Human_Data_Entry!$H$3:$H$524,"Human",Human_Data_Entry!$J$3:$J$524,"&lt;&gt;HOLD",Human_Data_Entry!$S$3:$S$524,"?*")/COUNTIFS(Human_Data_Entry!$H$3:$H$524,"Human",Human_Data_Entry!$J$3:$J$524,"&lt;&gt;HOLD",Human_Data_Entry!$S$3:$S$524,"?*"),"")</f>
        <v/>
      </c>
      <c r="D410" s="101">
        <f>IFERROR(SUMIFS(Human_Data_Entry!$AK$3:$AK$524,Human_Data_Entry!$H$3:$H$524,"Human",Human_Data_Entry!$J$3:$J$524,"&lt;&gt;HOLD",Human_Data_Entry!$AJ$3:$AJ$524,"?*",Human_Data_Entry!$BC$3:$BC$524,1)/COUNTIFS(Human_Data_Entry!$H$3:$H$524,"Human",Human_Data_Entry!$J$3:$J$524,"&lt;&gt;HOLD",Human_Data_Entry!$AJ$3:$AJ$524,"?*",Human_Data_Entry!$BC$3:$BC$524,1),"")</f>
        <v/>
      </c>
    </row>
    <row r="411" ht="45.95" customHeight="1" s="241">
      <c r="A411" t="inlineStr">
        <is>
          <t>Human minutes</t>
        </is>
      </c>
      <c r="B411" s="101">
        <f>SUMIFS(Human_Data_Entry!$K$3:$K$524,Human_Data_Entry!$H$3:$H$524,"Human",Human_Data_Entry!$S$3:$S$524,"?*",Human_Data_Entry!$BC$3:$BC$524,1)</f>
        <v/>
      </c>
      <c r="C411" s="101">
        <f>SUMIFS(Human_Data_Entry!$K$3:$K$524,Human_Data_Entry!$H$3:$H$524,"Human",Human_Data_Entry!$S$3:$S$524,"?*")</f>
        <v/>
      </c>
      <c r="D411" s="101">
        <f>SUMIFS(Human_Data_Entry!$K$3:$K$524,Human_Data_Entry!$H$3:$H$524,"Human",Human_Data_Entry!$AJ$3:$AJ$524,"?*",Human_Data_Entry!$BC$3:$BC$524,1)</f>
        <v/>
      </c>
      <c r="E411" s="101" t="inlineStr">
        <is>
          <t>H5 restored 80 unlogged minutes to six of David's readings, so this is larger than it was and the model's speed advantage is larger with it. That is the conservative direction for an unexplained edit.</t>
        </is>
      </c>
    </row>
    <row r="412" ht="45.95" customHeight="1" s="241">
      <c r="A412" t="inlineStr">
        <is>
          <t>Naive floor (biggest single direction)</t>
        </is>
      </c>
      <c r="B412" t="n">
        <v>0.5142857142857142</v>
      </c>
      <c r="C412" s="101" t="inlineStr">
        <is>
          <t>Over the 385 de-duplicated readings that carry a price. A value, not a formula: the floor is a max over three counts and writing it as one expression is exactly the SUMPRODUCT/ISNUMBER shape that fails in Excel. Pooled: 0.5200 over 400.</t>
        </is>
      </c>
    </row>
    <row r="413" ht="30" customHeight="1" s="241">
      <c r="A413" t="inlineStr">
        <is>
          <t>Human accuracy MINUS the naive floor</t>
        </is>
      </c>
      <c r="B413" t="n">
        <v>-0.1246753246753246</v>
      </c>
      <c r="C413" s="101" t="inlineStr">
        <is>
          <t>Negative means a rule that always called the most common direction would have done better than the human arm.</t>
        </is>
      </c>
    </row>
    <row r="414" ht="15.95" customHeight="1" s="241"/>
    <row r="415" ht="30" customHeight="1" s="241">
      <c r="A415" t="inlineStr">
        <is>
          <t>H1b. What each decision moved</t>
        </is>
      </c>
      <c r="C415" s="101" t="inlineStr">
        <is>
          <t>Every figure re-derived from the raw inputs by rb_truth with the corrections applied, never read back off this sheet.</t>
        </is>
      </c>
    </row>
    <row r="416" ht="15.95" customHeight="1" s="241">
      <c r="A416" t="inlineStr">
        <is>
          <t>Figure</t>
        </is>
      </c>
      <c r="B416" t="inlineStr">
        <is>
          <t>A-F (published)</t>
        </is>
      </c>
      <c r="C416" t="inlineStr">
        <is>
          <t>A-H</t>
        </is>
      </c>
      <c r="D416" t="inlineStr">
        <is>
          <t>Change</t>
        </is>
      </c>
      <c r="E416" t="inlineStr">
        <is>
          <t>Note</t>
        </is>
      </c>
    </row>
    <row r="417" ht="15.95" customHeight="1" s="241">
      <c r="A417" t="inlineStr">
        <is>
          <t>Scored human readings</t>
        </is>
      </c>
      <c r="B417" t="n">
        <v>388</v>
      </c>
      <c r="C417" t="n">
        <v>400</v>
      </c>
      <c r="D417" t="n">
        <v>12</v>
      </c>
      <c r="E417" t="inlineStr">
        <is>
          <t>H6 priced 12 readings that counted on no side.</t>
        </is>
      </c>
    </row>
    <row r="418" ht="15.95" customHeight="1" s="241">
      <c r="A418" t="inlineStr">
        <is>
          <t>Human correct</t>
        </is>
      </c>
      <c r="B418" t="n">
        <v>168</v>
      </c>
      <c r="C418" t="n">
        <v>159</v>
      </c>
      <c r="D418" t="n">
        <v>-9</v>
      </c>
    </row>
    <row r="419" ht="30" customHeight="1" s="241">
      <c r="A419" t="inlineStr">
        <is>
          <t>Human accuracy</t>
        </is>
      </c>
      <c r="B419" t="n">
        <v>0.4329896907216495</v>
      </c>
      <c r="C419" t="n">
        <v>0.3975</v>
      </c>
      <c r="D419" t="n">
        <v>-0.03548969072164948</v>
      </c>
      <c r="E419" s="101" t="inlineStr">
        <is>
          <t>H2 is the whole of this: 24 typed decisions recomputed from the score.</t>
        </is>
      </c>
    </row>
    <row r="420" ht="15.95" customHeight="1" s="241">
      <c r="A420" t="inlineStr">
        <is>
          <t>Human trades</t>
        </is>
      </c>
      <c r="B420" t="n">
        <v>262</v>
      </c>
      <c r="C420" t="n">
        <v>288</v>
      </c>
      <c r="D420" t="n">
        <v>26</v>
      </c>
      <c r="E420" t="inlineStr">
        <is>
          <t>H2 turns HOLDs into BUYs, so the arm trades more.</t>
        </is>
      </c>
    </row>
    <row r="421" ht="45.95" customHeight="1" s="241">
      <c r="A421" t="inlineStr">
        <is>
          <t>Human total return</t>
        </is>
      </c>
      <c r="B421" t="n">
        <v>1.672</v>
      </c>
      <c r="C421" t="n">
        <v>1.0885</v>
      </c>
      <c r="D421" t="n">
        <v>-0.5835000000000001</v>
      </c>
      <c r="E421" s="101" t="inlineStr">
        <is>
          <t>H2 is most of it and H6 is the rest; block H1e below takes H2's cost apart. No figure is quoted in this note - a number written into a note is a number nothing can check, and the sentence that used to sit here went stale the moment H1 changed which rows H2 covers.</t>
        </is>
      </c>
    </row>
    <row r="422" ht="15.95" customHeight="1" s="241">
      <c r="A422" t="inlineStr">
        <is>
          <t>Human avg % / trade</t>
        </is>
      </c>
      <c r="B422" t="n">
        <v>0.006381679389312977</v>
      </c>
      <c r="C422" t="n">
        <v>0.003779513888888888</v>
      </c>
      <c r="D422" t="n">
        <v>-0.002602165500424089</v>
      </c>
    </row>
    <row r="423" ht="15.95" customHeight="1" s="241">
      <c r="A423" t="inlineStr">
        <is>
          <t>Naive floor</t>
        </is>
      </c>
      <c r="B423" t="n">
        <v>0.5128865979381443</v>
      </c>
      <c r="C423" t="n">
        <v>0.52</v>
      </c>
      <c r="D423" t="n">
        <v>0.007113402061855734</v>
      </c>
    </row>
    <row r="424" ht="30" customHeight="1" s="241">
      <c r="A424" t="inlineStr">
        <is>
          <t>Model accuracy</t>
        </is>
      </c>
      <c r="B424" t="n">
        <v>0.4141791044776119</v>
      </c>
      <c r="C424" t="n">
        <v>0.4141791044776119</v>
      </c>
      <c r="D424" t="n">
        <v>0</v>
      </c>
      <c r="E424" s="101" t="inlineStr">
        <is>
          <t>Unchanged. Section H corrects no model raw input; H11's Kraft Heinz relabelling moves both arms and changes neither arm's accuracy.</t>
        </is>
      </c>
    </row>
    <row r="425" ht="15.95" customHeight="1" s="241">
      <c r="A425" t="inlineStr">
        <is>
          <t>Model total return</t>
        </is>
      </c>
      <c r="B425" t="n">
        <v>2.956435812918878</v>
      </c>
      <c r="C425" t="n">
        <v>2.956435812918878</v>
      </c>
      <c r="D425" t="n">
        <v>0</v>
      </c>
    </row>
    <row r="426" ht="45.95" customHeight="1" s="241">
      <c r="A426" t="inlineStr">
        <is>
          <t>Paired readings (head to head)</t>
        </is>
      </c>
      <c r="B426" t="n">
        <v>272</v>
      </c>
      <c r="C426" t="n">
        <v>279</v>
      </c>
      <c r="D426" t="n">
        <v>7</v>
      </c>
      <c r="E426" s="101" t="inlineStr">
        <is>
          <t>H6's four Delta Air Lines readings AND three of the four Booking Holdings ones, which pair only because section B corrects the model sheet's spelling of the company. On all seven the model read the same event - the document dates match the human rows' to the day - so every one is like for like.</t>
        </is>
      </c>
    </row>
    <row r="427" ht="15.95" customHeight="1" s="241">
      <c r="A427" t="inlineStr">
        <is>
          <t>Calls the humans got and the model missed</t>
        </is>
      </c>
      <c r="B427" t="n">
        <v>71</v>
      </c>
      <c r="C427" t="n">
        <v>67</v>
      </c>
      <c r="D427" t="n">
        <v>-4</v>
      </c>
    </row>
    <row r="428" ht="15.95" customHeight="1" s="241">
      <c r="A428" t="inlineStr">
        <is>
          <t>Calls the model got and the humans missed</t>
        </is>
      </c>
      <c r="B428" t="n">
        <v>69</v>
      </c>
      <c r="C428" t="n">
        <v>75</v>
      </c>
      <c r="D428" t="n">
        <v>6</v>
      </c>
    </row>
    <row r="429" ht="45.95" customHeight="1" s="241">
      <c r="A429" t="inlineStr">
        <is>
          <t xml:space="preserve">  the same figure on the RE-PRICED basis</t>
        </is>
      </c>
      <c r="C429" s="101" t="inlineStr">
        <is>
          <t>The workbook publishes a SECOND head-to-head, at Summary!A137, over the readings both arms re-priced under section C: net calls gained reads -13 there against -8 here. Neither is wrong - they are two pricing bases - but a reader can quote either, and until this row existed nothing said so in the same place. Both are negative; the published +2 is not available on either basis.</t>
        </is>
      </c>
    </row>
    <row r="430" ht="45.95" customHeight="1" s="241">
      <c r="A430" t="inlineStr">
        <is>
          <t>NET calls gained by the humans</t>
        </is>
      </c>
      <c r="B430" t="n">
        <v>2</v>
      </c>
      <c r="C430" t="n">
        <v>-8</v>
      </c>
      <c r="D430" t="n">
        <v>-10</v>
      </c>
      <c r="E430" s="101" t="inlineStr">
        <is>
          <t>THE HEADLINE REVERSAL. The published figure is +2 and it is now negative: on the corrected decisions the model wins the head to head. Nothing here was chosen to produce that.</t>
        </is>
      </c>
    </row>
    <row r="431" ht="15.95" customHeight="1" s="241"/>
    <row r="432" ht="45.95" customHeight="1" s="241">
      <c r="A432" t="inlineStr">
        <is>
          <t>H1e. Where H2's cost comes from</t>
        </is>
      </c>
      <c r="C432" s="101" t="inlineStr">
        <is>
          <t>Published as rows rather than described in a note. The note that used to carry these figures was written against section B's set and went stale when H1 changed which rows H2 covers, and nothing caught it because the checker read the ledger's value columns and not its notes.</t>
        </is>
      </c>
    </row>
    <row r="433" ht="15.95" customHeight="1" s="241">
      <c r="A433" t="inlineStr">
        <is>
          <t>Measure</t>
        </is>
      </c>
      <c r="B433" t="inlineStr">
        <is>
          <t>Value</t>
        </is>
      </c>
      <c r="C433" t="inlineStr">
        <is>
          <t>Note</t>
        </is>
      </c>
    </row>
    <row r="434" ht="30" customHeight="1" s="241">
      <c r="A434" t="inlineStr">
        <is>
          <t>Rows the band turns from SELL to BUY</t>
        </is>
      </c>
      <c r="B434" t="n">
        <v>8</v>
      </c>
      <c r="C434" s="101" t="inlineStr">
        <is>
          <t>The rows where the rater typed a SELL and their own score says BUY. H1 puts rows 96 and 149 into this set and takes row 159 out of it.</t>
        </is>
      </c>
    </row>
    <row r="435" ht="15.95" customHeight="1" s="241">
      <c r="A435" t="inlineStr">
        <is>
          <t xml:space="preserve">  their return as the raters typed them</t>
        </is>
      </c>
      <c r="B435" t="n">
        <v>0.146</v>
      </c>
      <c r="C435" t="inlineStr">
        <is>
          <t>These are the profitable ones.</t>
        </is>
      </c>
    </row>
    <row r="436" ht="15.95" customHeight="1" s="241">
      <c r="A436" t="inlineStr">
        <is>
          <t xml:space="preserve">  their return under the band</t>
        </is>
      </c>
      <c r="B436" t="n">
        <v>-0.162</v>
      </c>
    </row>
    <row r="437" ht="15.95" customHeight="1" s="241">
      <c r="A437" t="inlineStr">
        <is>
          <t xml:space="preserve">  what applying the band costs</t>
        </is>
      </c>
      <c r="B437" t="n">
        <v>-0.3079999999999999</v>
      </c>
    </row>
    <row r="438" ht="15.95" customHeight="1" s="241">
      <c r="A438" t="inlineStr">
        <is>
          <t>Rows the band turns from HOLD to BUY</t>
        </is>
      </c>
      <c r="B438" t="n">
        <v>16</v>
      </c>
    </row>
    <row r="439" ht="15.95" customHeight="1" s="241">
      <c r="A439" t="inlineStr">
        <is>
          <t xml:space="preserve">  their return as the raters typed them</t>
        </is>
      </c>
      <c r="B439" t="n">
        <v>0</v>
      </c>
      <c r="C439" t="inlineStr">
        <is>
          <t>A HOLD takes no position, so this is 0 by construction.</t>
        </is>
      </c>
    </row>
    <row r="440" ht="15.95" customHeight="1" s="241">
      <c r="A440" t="inlineStr">
        <is>
          <t xml:space="preserve">  their return under the band</t>
        </is>
      </c>
      <c r="B440" t="n">
        <v>-0.196</v>
      </c>
    </row>
    <row r="441" ht="15.95" customHeight="1" s="241">
      <c r="A441" t="inlineStr">
        <is>
          <t xml:space="preserve">  what applying the band costs</t>
        </is>
      </c>
      <c r="B441" t="n">
        <v>-0.196</v>
      </c>
    </row>
    <row r="442" ht="45.95" customHeight="1" s="241">
      <c r="A442" t="inlineStr">
        <is>
          <t>H2's total cost</t>
        </is>
      </c>
      <c r="B442" t="n">
        <v>-0.5039999999999999</v>
      </c>
      <c r="C442" s="101" t="inlineStr">
        <is>
          <t>The two lines above. It agrees with H2 measured on its own in the decomposition, which is the cross-check that matters: the same number reached two independent ways.</t>
        </is>
      </c>
    </row>
    <row r="443" ht="15.95" customHeight="1" s="241"/>
    <row r="444" ht="45.95" customHeight="1" s="241">
      <c r="A444" t="inlineStr">
        <is>
          <t>H1c. Found and NOT applied</t>
        </is>
      </c>
      <c r="C444" s="101" t="inlineStr">
        <is>
          <t>Each of these is a finding section H turned up that no ruling of 10 August 2026 covers. None is applied. Quietly widening a ruling is the same defect as quietly narrowing one.</t>
        </is>
      </c>
    </row>
    <row r="445" ht="15.95" customHeight="1" s="241">
      <c r="A445" t="inlineStr">
        <is>
          <t>Finding</t>
        </is>
      </c>
      <c r="B445" t="inlineStr">
        <is>
          <t>Count</t>
        </is>
      </c>
      <c r="C445" t="inlineStr">
        <is>
          <t>Note</t>
        </is>
      </c>
    </row>
    <row r="446" ht="45.95" customHeight="1" s="241">
      <c r="A446" t="inlineStr">
        <is>
          <t>Anna scores changed against v1 but not ruled on</t>
        </is>
      </c>
      <c r="B446" t="n">
        <v>2</v>
      </c>
      <c r="C446" s="101" t="inlineStr">
        <is>
          <t>H1 names five. Re-deriving every reading present in both files finds seven, all Anna's: row 49 Airbnb 2025 Q3 (+0.60 -&gt; +0.40) and row 147 CVS Health 2025 Q3 (-0.30 -&gt; +0.30, a sign flip of exactly H1's class). The group ruled on five.</t>
        </is>
      </c>
    </row>
    <row r="447" ht="45.95" customHeight="1" s="241">
      <c r="A447" t="inlineStr">
        <is>
          <t>Event keys where the two arms read different events</t>
        </is>
      </c>
      <c r="B447" t="n">
        <v>12</v>
      </c>
      <c r="C447" s="101" t="inlineStr">
        <is>
          <t>The workbook pairs a human reading to a model one on Company|Year|Quarter alone, and nothing checks that the two rows behind a matched key describe the same release. Twelve keys pair quarters between 71 and 4,360 days apart - Microsoft on a fiscal-vs-calendar half year, Workday and Lowe's a year apart, Maersk against a 2014 date.</t>
        </is>
      </c>
    </row>
    <row r="448" ht="30" customHeight="1" s="241">
      <c r="A448" t="inlineStr">
        <is>
          <t xml:space="preserve">  of those, ALREADY COUNTED in the head to head</t>
        </is>
      </c>
      <c r="B448" t="n">
        <v>8</v>
      </c>
      <c r="C448" s="101" t="inlineStr">
        <is>
          <t>These eight are in the published paired set now, and were in it before section H. All seven checks pass over them.</t>
        </is>
      </c>
    </row>
    <row r="449" ht="45.95" customHeight="1" s="241">
      <c r="A449" t="inlineStr">
        <is>
          <t xml:space="preserve">  of those, held unpriced by section H</t>
        </is>
      </c>
      <c r="B449" t="n">
        <v>4</v>
      </c>
      <c r="C449" s="101" t="inlineStr">
        <is>
          <t>Nigel's four Workday readings. H6 would have priced them; pricing them adds four more head-to-head comparisons between quarters a year apart, so they are left unpriced and reported. Which arm should move is a question about the study's labelling convention, and a correction that changes an event key has to move both arms or neither.</t>
        </is>
      </c>
    </row>
    <row r="450" ht="45.95" customHeight="1" s="241">
      <c r="A450" t="inlineStr">
        <is>
          <t>Document dates filled from the manifest</t>
        </is>
      </c>
      <c r="B450" t="n">
        <v>21</v>
      </c>
      <c r="C450" s="101" t="inlineStr">
        <is>
          <t>H7. Each of these has exactly one manifest entry for its quarter and that entry carries its release date, so there is nothing to choose between. The basis is recorded per row in Human_Data_Entry!BR.</t>
        </is>
      </c>
    </row>
    <row r="451" ht="45.95" customHeight="1" s="241">
      <c r="A451" t="inlineStr">
        <is>
          <t>Readings STILL carrying no document date</t>
        </is>
      </c>
      <c r="B451" t="n">
        <v>16</v>
      </c>
      <c r="C451" s="101" t="inlineStr">
        <is>
          <t>After H7. It was 37 before, and the ruling was written against 56 - the raters filled 19 in themselves between 10 and 11 August. The ones left are Nigel's Allianz, Dell, Palantir and Standard Chartered readings, whose manifests carry no dated entry at all.</t>
        </is>
      </c>
    </row>
    <row r="452" ht="45.95" customHeight="1" s="241">
      <c r="A452" t="inlineStr">
        <is>
          <t>De-duplication drops the rater's SECOND pass, 15 times</t>
        </is>
      </c>
      <c r="B452" t="n">
        <v>15</v>
      </c>
      <c r="C452" s="101" t="inlineStr">
        <is>
          <t>H9 ruled 'de-duplicate all' and did not say WHICH of a rater's repeat readings to keep. Every reading it drops is one kind: David's second passes in the reading-sheet block, where the same experiment is recorded one pass per row. So 'keep the first' means keeping the preliminary pass and dropping the considered one. The study's own convention where it collapses passes keeps the LAST. Kept as FIRST because that is what Human_Data_Entry!BC computes; changing it means changing that column too.</t>
        </is>
      </c>
    </row>
    <row r="453" ht="45.95" customHeight="1" s="241">
      <c r="A453" t="inlineStr">
        <is>
          <t xml:space="preserve">  the headline if the LAST pass were kept instead</t>
        </is>
      </c>
      <c r="B453" t="n">
        <v>0.3922077922077922</v>
      </c>
      <c r="C453" s="101" t="inlineStr">
        <is>
          <t>151/385, 283 trades, +1.0524 return. Against 150/385 as published. Both are far below the naive floor, so nothing about the study's conclusion turns on it - but it is a decision and it should be taken rather than inherited from row order.</t>
        </is>
      </c>
    </row>
    <row r="454" ht="45.95" customHeight="1" s="241">
      <c r="A454" t="inlineStr">
        <is>
          <t>Blindness readings whose query is now settled</t>
        </is>
      </c>
      <c r="B454" t="n">
        <v>2</v>
      </c>
      <c r="C454" s="101" t="inlineStr">
        <is>
          <t>H8. Section E's 'flagged for review' row now reads 0. These two readings are assumed blind under the group's rule of 10 August 2026 that a reading is blind unless something states otherwise. Settled is not attested - they are still not evidence.</t>
        </is>
      </c>
    </row>
    <row r="455" ht="15.95" customHeight="1" s="241"/>
    <row r="456" ht="30" customHeight="1" s="241">
      <c r="A456" t="inlineStr">
        <is>
          <t>H1d. Blindness after H8</t>
        </is>
      </c>
      <c r="C456" s="101" t="inlineStr">
        <is>
          <t>Count the BASIS, never the Peeked column. An assumed pass and an attested one are not the same evidence and must not become the same number.</t>
        </is>
      </c>
    </row>
    <row r="457" ht="15.95" customHeight="1" s="241">
      <c r="A457" t="inlineStr">
        <is>
          <t>Attested by a rater record</t>
        </is>
      </c>
      <c r="B457">
        <f>COUNTIFS(Human_Data_Entry!$BL$3:$BL$524,"attested*")</f>
        <v/>
      </c>
    </row>
    <row r="458" ht="30" customHeight="1" s="241">
      <c r="A458" t="inlineStr">
        <is>
          <t>Assumed, no rater record</t>
        </is>
      </c>
      <c r="B458" s="101">
        <f>COUNTIFS(Human_Data_Entry!$BL$3:$BL$524,"assumed - no rater record")</f>
        <v/>
      </c>
    </row>
    <row r="459" ht="30" customHeight="1" s="241">
      <c r="A459" t="inlineStr">
        <is>
          <t>Assumed, record carries no blindness field</t>
        </is>
      </c>
      <c r="B459" s="101">
        <f>COUNTIFS(Human_Data_Entry!$BL$3:$BL$524,"assumed - rater record carries no*")</f>
        <v/>
      </c>
    </row>
    <row r="460" ht="30" customHeight="1" s="241">
      <c r="A460" t="inlineStr">
        <is>
          <t>Assumed, note names the realised move (E-a, settled)</t>
        </is>
      </c>
      <c r="B460" s="101">
        <f>COUNTIFS(Human_Data_Entry!$BL$3:$BL$524,"assumed - blind unless*")</f>
        <v/>
      </c>
    </row>
    <row r="461" ht="30" customHeight="1" s="241">
      <c r="A461" t="inlineStr">
        <is>
          <t>Still flagged as an open query</t>
        </is>
      </c>
      <c r="B461" s="101">
        <f>COUNTIFS(Human_Data_Entry!$BL$3:$BL$524,"assumed - note names*")</f>
        <v/>
      </c>
      <c r="C461" t="inlineStr">
        <is>
          <t>Zero from 10 August 2026.</t>
        </is>
      </c>
    </row>
  </sheetData>
  <conditionalFormatting sqref="K18:L108 M5:O13 N18:O108">
    <cfRule type="cellIs" priority="2" operator="lessThan" dxfId="10">
      <formula>0</formula>
    </cfRule>
  </conditionalFormatting>
  <pageMargins left="0.75" right="0.75" top="1" bottom="1" header="0.511811023622047" footer="0.511811023622047"/>
  <pageSetup orientation="landscape" paperSize="9" fitToHeight="0"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8.xml><?xml version="1.0" encoding="utf-8"?>
<worksheet xmlns="http://schemas.openxmlformats.org/spreadsheetml/2006/main">
  <sheetPr>
    <tabColor rgb="FF7F7F7F"/>
    <outlinePr summaryBelow="1" summaryRight="1"/>
    <pageSetUpPr fitToPage="1"/>
  </sheetPr>
  <dimension ref="A1:Q36"/>
  <sheetViews>
    <sheetView showGridLines="0" topLeftCell="A31" workbookViewId="0">
      <pane ySplit="4" topLeftCell="A35" activePane="bottomLeft" state="frozen"/>
      <selection pane="bottomLeft" activeCell="C41" sqref="C41"/>
    </sheetView>
  </sheetViews>
  <sheetFormatPr baseColWidth="8" defaultColWidth="8.7109375" defaultRowHeight="15"/>
  <cols>
    <col width="46" customWidth="1" style="241" min="1" max="4"/>
    <col width="16" customWidth="1" style="241" min="5" max="5"/>
    <col width="46" customWidth="1" style="241" min="6" max="9"/>
    <col width="2" customWidth="1" style="241" min="10" max="10"/>
    <col width="25" customWidth="1" style="241" min="11" max="11"/>
    <col width="46" customWidth="1" style="241" min="12" max="13"/>
    <col width="2" customWidth="1" style="241" min="14" max="14"/>
    <col width="46" customWidth="1" style="241" min="15" max="17"/>
  </cols>
  <sheetData>
    <row r="1" ht="15.95" customHeight="1" s="241">
      <c r="A1" s="47" t="inlineStr">
        <is>
          <t>Charts — Figures for the Write-up</t>
        </is>
      </c>
    </row>
    <row r="2" ht="30" customHeight="1" s="241">
      <c r="A2" s="238" t="inlineStr">
        <is>
          <t>All feeder tables below are live formulas. Add rows to the entry sheets and every chart updates automatically.</t>
        </is>
      </c>
    </row>
    <row r="3" ht="45.95" customHeight="1" s="241">
      <c r="A3" s="117" t="inlineStr">
        <is>
          <t>DENOMINATOR NOTE (added 2026-08-13): the bars in Figure 1 compute coverage accuracy (YES / all events including HOLDs). The floor in row 14 is the majority-direction count over human-arm events only, not LLM events. These denominators are not matched. For matched coverage vs selectivity accuracy with each floor computed on its own denominator, see the Accuracy_Conventions sheet.</t>
        </is>
      </c>
    </row>
    <row r="4" ht="15.95" customHeight="1" s="241">
      <c r="A4" s="151" t="inlineStr">
        <is>
          <t>Figure 1 — Accuracy by Arm vs Naive Floor</t>
        </is>
      </c>
      <c r="F4" s="151" t="inlineStr">
        <is>
          <t>Figure 2 — Accuracy by Decision Type</t>
        </is>
      </c>
      <c r="K4" s="151" t="inlineStr">
        <is>
          <t>Figure 3 — Decision Mix</t>
        </is>
      </c>
      <c r="O4" s="151" t="inlineStr">
        <is>
          <t>Figure 4 — Mean Sentiment by Realised Direction</t>
        </is>
      </c>
    </row>
    <row r="5" ht="15.95" customHeight="1" s="241">
      <c r="A5" s="15" t="inlineStr">
        <is>
          <t>Arm</t>
        </is>
      </c>
      <c r="B5" s="15" t="inlineStr">
        <is>
          <t>n</t>
        </is>
      </c>
      <c r="C5" s="15" t="inlineStr">
        <is>
          <t>% Correct</t>
        </is>
      </c>
      <c r="D5" s="15" t="inlineStr">
        <is>
          <t>Naive Floor</t>
        </is>
      </c>
      <c r="F5" s="15" t="inlineStr">
        <is>
          <t>Decision</t>
        </is>
      </c>
      <c r="G5" s="15" t="inlineStr">
        <is>
          <t>Human %</t>
        </is>
      </c>
      <c r="H5" s="15" t="inlineStr">
        <is>
          <t>LLM %</t>
        </is>
      </c>
      <c r="I5" s="15" t="inlineStr">
        <is>
          <t>n (H / L)</t>
        </is>
      </c>
      <c r="K5" s="15" t="inlineStr">
        <is>
          <t>Decision</t>
        </is>
      </c>
      <c r="L5" s="15" t="inlineStr">
        <is>
          <t>Human</t>
        </is>
      </c>
      <c r="M5" s="15" t="inlineStr">
        <is>
          <t>LLM</t>
        </is>
      </c>
      <c r="O5" s="15" t="inlineStr">
        <is>
          <t>Direction</t>
        </is>
      </c>
      <c r="P5" s="15" t="inlineStr">
        <is>
          <t>Human</t>
        </is>
      </c>
      <c r="Q5" s="15" t="inlineStr">
        <is>
          <t>LLM</t>
        </is>
      </c>
    </row>
    <row r="6" ht="45.95" customHeight="1" s="241">
      <c r="A6" s="48">
        <f>Settings!$A$8</f>
        <v/>
      </c>
      <c r="B6" s="138">
        <f>COUNTIFS(Human_Data_Entry!$G$3:$G$524,$A6,Human_Data_Entry!$S$3:$S$524,"?*")</f>
        <v/>
      </c>
      <c r="C6" s="136">
        <f>IFERROR(COUNTIFS(Human_Data_Entry!$G$3:$G$524,$A6,Human_Data_Entry!$S$3:$S$524,"YES")/COUNTIFS(Human_Data_Entry!$G$3:$G$524,$A6,Human_Data_Entry!$S$3:$S$524,"?*"),"")</f>
        <v/>
      </c>
      <c r="D6" s="51">
        <f>$C$14</f>
        <v/>
      </c>
      <c r="F6" s="48" t="inlineStr">
        <is>
          <t>BUY</t>
        </is>
      </c>
      <c r="G6" s="132">
        <f>IFERROR(COUNTIFS(Human_Data_Entry!$J$3:$J$524,$F6,Human_Data_Entry!$S$3:$S$524,"YES")/COUNTIFS(Human_Data_Entry!$J$3:$J$524,$F6,Human_Data_Entry!$S$3:$S$524,"?*"),"")</f>
        <v/>
      </c>
      <c r="H6" s="132">
        <f>IFERROR(COUNTIFS(LLM_Data_Entry!$H$3:$H$548,$F6,LLM_Data_Entry!$R$3:$R$548,"YES")/COUNTIFS(LLM_Data_Entry!$H$3:$H$548,$F6,LLM_Data_Entry!$R$3:$R$548,"&lt;&gt;"),"")</f>
        <v/>
      </c>
      <c r="I6" s="138">
        <f>COUNTIFS(Human_Data_Entry!$J$3:$J$524,$F6,Human_Data_Entry!$S$3:$S$524,"?*")&amp;" / "&amp;COUNTIFS(LLM_Data_Entry!$H$3:$H$548,$F6,LLM_Data_Entry!$R$3:$R$548,"&lt;&gt;")</f>
        <v/>
      </c>
      <c r="K6" s="48" t="inlineStr">
        <is>
          <t>BUY</t>
        </is>
      </c>
      <c r="L6" s="138">
        <f>COUNTIFS(Human_Data_Entry!$J$3:$J$524,$K6,Human_Data_Entry!$H$3:$H$524,"Human")</f>
        <v/>
      </c>
      <c r="M6" s="138">
        <f>COUNTIFS(LLM_Data_Entry!$H$3:$H$548,$K6,LLM_Data_Entry!$F$3:$F$548,"LLM")</f>
        <v/>
      </c>
      <c r="O6" s="48" t="inlineStr">
        <is>
          <t>DOWN</t>
        </is>
      </c>
      <c r="P6" s="139">
        <f>IFERROR(AVERAGEIFS(Human_Data_Entry!$I$3:$I$524,Human_Data_Entry!$R$3:$R$524,$O6),"")</f>
        <v/>
      </c>
      <c r="Q6" s="139">
        <f>IFERROR(AVERAGEIFS(LLM_Data_Entry!$G$3:$G$548,LLM_Data_Entry!$Q$3:$Q$548,$O6),"")</f>
        <v/>
      </c>
    </row>
    <row r="7" ht="45.95" customHeight="1" s="241">
      <c r="A7" s="48">
        <f>Settings!$A$9</f>
        <v/>
      </c>
      <c r="B7" s="138">
        <f>COUNTIFS(Human_Data_Entry!$G$3:$G$524,$A7,Human_Data_Entry!$S$3:$S$524,"?*")</f>
        <v/>
      </c>
      <c r="C7" s="136">
        <f>IFERROR(COUNTIFS(Human_Data_Entry!$G$3:$G$524,$A7,Human_Data_Entry!$S$3:$S$524,"YES")/COUNTIFS(Human_Data_Entry!$G$3:$G$524,$A7,Human_Data_Entry!$S$3:$S$524,"?*"),"")</f>
        <v/>
      </c>
      <c r="D7" s="51">
        <f>$C$14</f>
        <v/>
      </c>
      <c r="F7" s="48" t="inlineStr">
        <is>
          <t>HOLD</t>
        </is>
      </c>
      <c r="G7" s="132">
        <f>IFERROR(COUNTIFS(Human_Data_Entry!$J$3:$J$524,$F7,Human_Data_Entry!$S$3:$S$524,"YES")/COUNTIFS(Human_Data_Entry!$J$3:$J$524,$F7,Human_Data_Entry!$S$3:$S$524,"?*"),"")</f>
        <v/>
      </c>
      <c r="H7" s="132">
        <f>IFERROR(COUNTIFS(LLM_Data_Entry!$H$3:$H$548,$F7,LLM_Data_Entry!$R$3:$R$548,"YES")/COUNTIFS(LLM_Data_Entry!$H$3:$H$548,$F7,LLM_Data_Entry!$R$3:$R$548,"&lt;&gt;"),"")</f>
        <v/>
      </c>
      <c r="I7" s="138">
        <f>COUNTIFS(Human_Data_Entry!$J$3:$J$524,$F7,Human_Data_Entry!$S$3:$S$524,"?*")&amp;" / "&amp;COUNTIFS(LLM_Data_Entry!$H$3:$H$548,$F7,LLM_Data_Entry!$R$3:$R$548,"&lt;&gt;")</f>
        <v/>
      </c>
      <c r="K7" s="48" t="inlineStr">
        <is>
          <t>HOLD</t>
        </is>
      </c>
      <c r="L7" s="138">
        <f>COUNTIFS(Human_Data_Entry!$J$3:$J$524,$K7,Human_Data_Entry!$H$3:$H$524,"Human")</f>
        <v/>
      </c>
      <c r="M7" s="138">
        <f>COUNTIFS(LLM_Data_Entry!$H$3:$H$548,$K7,LLM_Data_Entry!$F$3:$F$548,"LLM")</f>
        <v/>
      </c>
      <c r="O7" s="48" t="inlineStr">
        <is>
          <t>FLAT</t>
        </is>
      </c>
      <c r="P7" s="139">
        <f>IFERROR(AVERAGEIFS(Human_Data_Entry!$I$3:$I$524,Human_Data_Entry!$R$3:$R$524,$O7),"")</f>
        <v/>
      </c>
      <c r="Q7" s="139">
        <f>IFERROR(AVERAGEIFS(LLM_Data_Entry!$G$3:$G$548,LLM_Data_Entry!$Q$3:$Q$548,$O7),"")</f>
        <v/>
      </c>
    </row>
    <row r="8" ht="45.95" customHeight="1" s="241">
      <c r="A8" s="48">
        <f>Settings!$A$10</f>
        <v/>
      </c>
      <c r="B8" s="138">
        <f>COUNTIFS(Human_Data_Entry!$G$3:$G$524,$A8,Human_Data_Entry!$S$3:$S$524,"?*")</f>
        <v/>
      </c>
      <c r="C8" s="136">
        <f>IFERROR(COUNTIFS(Human_Data_Entry!$G$3:$G$524,$A8,Human_Data_Entry!$S$3:$S$524,"YES")/COUNTIFS(Human_Data_Entry!$G$3:$G$524,$A8,Human_Data_Entry!$S$3:$S$524,"?*"),"")</f>
        <v/>
      </c>
      <c r="D8" s="51">
        <f>$C$14</f>
        <v/>
      </c>
      <c r="F8" s="48" t="inlineStr">
        <is>
          <t>SELL</t>
        </is>
      </c>
      <c r="G8" s="132">
        <f>IFERROR(COUNTIFS(Human_Data_Entry!$J$3:$J$524,$F8,Human_Data_Entry!$S$3:$S$524,"YES")/COUNTIFS(Human_Data_Entry!$J$3:$J$524,$F8,Human_Data_Entry!$S$3:$S$524,"?*"),"")</f>
        <v/>
      </c>
      <c r="H8" s="132">
        <f>IFERROR(COUNTIFS(LLM_Data_Entry!$H$3:$H$548,$F8,LLM_Data_Entry!$R$3:$R$548,"YES")/COUNTIFS(LLM_Data_Entry!$H$3:$H$548,$F8,LLM_Data_Entry!$R$3:$R$548,"&lt;&gt;"),"")</f>
        <v/>
      </c>
      <c r="I8" s="138">
        <f>COUNTIFS(Human_Data_Entry!$J$3:$J$524,$F8,Human_Data_Entry!$S$3:$S$524,"?*")&amp;" / "&amp;COUNTIFS(LLM_Data_Entry!$H$3:$H$548,$F8,LLM_Data_Entry!$R$3:$R$548,"&lt;&gt;")</f>
        <v/>
      </c>
      <c r="K8" s="48" t="inlineStr">
        <is>
          <t>SELL</t>
        </is>
      </c>
      <c r="L8" s="138">
        <f>COUNTIFS(Human_Data_Entry!$J$3:$J$524,$K8,Human_Data_Entry!$H$3:$H$524,"Human")</f>
        <v/>
      </c>
      <c r="M8" s="138">
        <f>COUNTIFS(LLM_Data_Entry!$H$3:$H$548,$K8,LLM_Data_Entry!$F$3:$F$548,"LLM")</f>
        <v/>
      </c>
      <c r="O8" s="48" t="inlineStr">
        <is>
          <t>UP</t>
        </is>
      </c>
      <c r="P8" s="139">
        <f>IFERROR(AVERAGEIFS(Human_Data_Entry!$I$3:$I$524,Human_Data_Entry!$R$3:$R$524,$O8),"")</f>
        <v/>
      </c>
      <c r="Q8" s="139">
        <f>IFERROR(AVERAGEIFS(LLM_Data_Entry!$G$3:$G$548,LLM_Data_Entry!$Q$3:$Q$548,$O8),"")</f>
        <v/>
      </c>
    </row>
    <row r="9" ht="45.95" customHeight="1" s="241">
      <c r="A9" s="48">
        <f>Settings!$A$11</f>
        <v/>
      </c>
      <c r="B9" s="138">
        <f>COUNTIFS(Human_Data_Entry!$G$3:$G$524,$A9,Human_Data_Entry!$S$3:$S$524,"?*")</f>
        <v/>
      </c>
      <c r="C9" s="136">
        <f>IFERROR(COUNTIFS(Human_Data_Entry!$G$3:$G$524,$A9,Human_Data_Entry!$S$3:$S$524,"YES")/COUNTIFS(Human_Data_Entry!$G$3:$G$524,$A9,Human_Data_Entry!$S$3:$S$524,"?*"),"")</f>
        <v/>
      </c>
      <c r="D9" s="51">
        <f>$C$14</f>
        <v/>
      </c>
    </row>
    <row r="10" ht="45.95" customHeight="1" s="241">
      <c r="A10" s="48">
        <f>Settings!$A$12</f>
        <v/>
      </c>
      <c r="B10" s="138">
        <f>COUNTIFS(Human_Data_Entry!$G$3:$G$524,$A10,Human_Data_Entry!$S$3:$S$524,"?*")</f>
        <v/>
      </c>
      <c r="C10" s="136">
        <f>IFERROR(COUNTIFS(Human_Data_Entry!$G$3:$G$524,$A10,Human_Data_Entry!$S$3:$S$524,"YES")/COUNTIFS(Human_Data_Entry!$G$3:$G$524,$A10,Human_Data_Entry!$S$3:$S$524,"?*"),"")</f>
        <v/>
      </c>
      <c r="D10" s="51">
        <f>$C$14</f>
        <v/>
      </c>
    </row>
    <row r="11" ht="45.95" customHeight="1" s="241">
      <c r="A11" s="48">
        <f>Settings!$A$13</f>
        <v/>
      </c>
      <c r="B11" s="138">
        <f>COUNTIFS(Human_Data_Entry!$G$3:$G$524,$A11,Human_Data_Entry!$S$3:$S$524,"?*")</f>
        <v/>
      </c>
      <c r="C11" s="136">
        <f>IFERROR(COUNTIFS(Human_Data_Entry!$G$3:$G$524,$A11,Human_Data_Entry!$S$3:$S$524,"YES")/COUNTIFS(Human_Data_Entry!$G$3:$G$524,$A11,Human_Data_Entry!$S$3:$S$524,"?*"),"")</f>
        <v/>
      </c>
      <c r="D11" s="51">
        <f>$C$14</f>
        <v/>
      </c>
    </row>
    <row r="12" ht="45.95" customHeight="1" s="241">
      <c r="A12" s="48">
        <f>Settings!$A$14</f>
        <v/>
      </c>
      <c r="B12" s="138">
        <f>COUNTIFS(LLM_Data_Entry!$F$3:$F$548,"LLM",LLM_Data_Entry!$R$3:$R$548,"&lt;&gt;")</f>
        <v/>
      </c>
      <c r="C12" s="136">
        <f>IFERROR(COUNTIFS(LLM_Data_Entry!$F$3:$F$548,"LLM",LLM_Data_Entry!$R$3:$R$548,"YES")/COUNTIFS(LLM_Data_Entry!$F$3:$F$548,"LLM",LLM_Data_Entry!$R$3:$R$548,"&lt;&gt;"),"")</f>
        <v/>
      </c>
      <c r="D12" s="51">
        <f>$C$14</f>
        <v/>
      </c>
    </row>
    <row r="13" ht="45.95" customHeight="1" s="241">
      <c r="A13" s="48" t="inlineStr">
        <is>
          <t>All Humans</t>
        </is>
      </c>
      <c r="B13" s="138">
        <f>COUNTIFS(Human_Data_Entry!$H$3:$H$524,"Human",Human_Data_Entry!$S$3:$S$524,"?*")</f>
        <v/>
      </c>
      <c r="C13" s="136">
        <f>IFERROR(COUNTIFS(Human_Data_Entry!$H$3:$H$524,"Human",Human_Data_Entry!$S$3:$S$524,"YES")/COUNTIFS(Human_Data_Entry!$H$3:$H$524,"Human",Human_Data_Entry!$S$3:$S$524,"?*"),"")</f>
        <v/>
      </c>
      <c r="D13" s="51">
        <f>$C$14</f>
        <v/>
      </c>
    </row>
    <row r="14" ht="45.95" customHeight="1" s="241">
      <c r="A14" s="48" t="inlineStr">
        <is>
          <t>Naive floor (most common direction)</t>
        </is>
      </c>
      <c r="B14" s="49">
        <f>COUNTIF(Human_Data_Entry!$R$3:$R$524,"?*")</f>
        <v/>
      </c>
      <c r="C14" s="132">
        <f>IFERROR(MAX(COUNTIF(Human_Data_Entry!$R$3:$R$524,"UP"),COUNTIF(Human_Data_Entry!$R$3:$R$524,"DOWN"),COUNTIF(Human_Data_Entry!$R$3:$R$524,"FLAT"))/COUNTIF(Human_Data_Entry!$R$3:$R$524,"?*"),"")</f>
        <v/>
      </c>
      <c r="D14" s="48" t="inlineStr">
        <is>
          <t>Always predicting the most common outcome</t>
        </is>
      </c>
    </row>
    <row r="15" ht="15.95" customHeight="1" s="241"/>
    <row r="16" ht="15.95" customHeight="1" s="241"/>
    <row r="17" ht="15.95" customHeight="1" s="241">
      <c r="A17" s="9" t="inlineStr">
        <is>
          <t>Figure 5 — Average Return per Trade by Arm</t>
        </is>
      </c>
    </row>
    <row r="18" ht="15.95" customHeight="1" s="241">
      <c r="A18" s="15" t="inlineStr">
        <is>
          <t>Arm</t>
        </is>
      </c>
      <c r="B18" s="15" t="inlineStr">
        <is>
          <t>Avg %/Trade</t>
        </is>
      </c>
    </row>
    <row r="19" ht="30" customHeight="1" s="241">
      <c r="A19" s="48" t="inlineStr">
        <is>
          <t>Anna</t>
        </is>
      </c>
      <c r="B19" s="140">
        <f>IFERROR(AVERAGEIFS(Human_Data_Entry!$U$3:$U$524,Human_Data_Entry!$G$3:$G$524,$A19,Human_Data_Entry!$J$3:$J$524,"&lt;&gt;HOLD",Human_Data_Entry!$U$3:$U$524,"&lt;&gt;"),"")</f>
        <v/>
      </c>
    </row>
    <row r="20" ht="30" customHeight="1" s="241">
      <c r="A20" s="48" t="inlineStr">
        <is>
          <t>Abdul</t>
        </is>
      </c>
      <c r="B20" s="140">
        <f>IFERROR(AVERAGEIFS(Human_Data_Entry!$U$3:$U$524,Human_Data_Entry!$G$3:$G$524,$A20,Human_Data_Entry!$J$3:$J$524,"&lt;&gt;HOLD",Human_Data_Entry!$U$3:$U$524,"&lt;&gt;"),"")</f>
        <v/>
      </c>
    </row>
    <row r="21" ht="30" customHeight="1" s="241">
      <c r="A21" s="48" t="inlineStr">
        <is>
          <t>Nigel</t>
        </is>
      </c>
      <c r="B21" s="140">
        <f>IFERROR(AVERAGEIFS(Human_Data_Entry!$U$3:$U$524,Human_Data_Entry!$G$3:$G$524,$A21,Human_Data_Entry!$J$3:$J$524,"&lt;&gt;HOLD",Human_Data_Entry!$U$3:$U$524,"&lt;&gt;"),"")</f>
        <v/>
      </c>
    </row>
    <row r="22" ht="30" customHeight="1" s="241">
      <c r="A22" s="48" t="inlineStr">
        <is>
          <t>Meriem</t>
        </is>
      </c>
      <c r="B22" s="140">
        <f>IFERROR(AVERAGEIFS(Human_Data_Entry!$U$3:$U$524,Human_Data_Entry!$G$3:$G$524,$A22,Human_Data_Entry!$J$3:$J$524,"&lt;&gt;HOLD",Human_Data_Entry!$U$3:$U$524,"&lt;&gt;"),"")</f>
        <v/>
      </c>
    </row>
    <row r="23" ht="30" customHeight="1" s="241">
      <c r="A23" s="48" t="inlineStr">
        <is>
          <t>Dragos</t>
        </is>
      </c>
      <c r="B23" s="140">
        <f>IFERROR(AVERAGEIFS(Human_Data_Entry!$U$3:$U$524,Human_Data_Entry!$G$3:$G$524,$A23,Human_Data_Entry!$J$3:$J$524,"&lt;&gt;HOLD",Human_Data_Entry!$U$3:$U$524,"&lt;&gt;"),"")</f>
        <v/>
      </c>
    </row>
    <row r="24" ht="30" customHeight="1" s="241">
      <c r="A24" s="48" t="inlineStr">
        <is>
          <t>David</t>
        </is>
      </c>
      <c r="B24" s="140">
        <f>IFERROR(AVERAGEIFS(Human_Data_Entry!$U$3:$U$524,Human_Data_Entry!$G$3:$G$524,$A24,Human_Data_Entry!$J$3:$J$524,"&lt;&gt;HOLD",Human_Data_Entry!$U$3:$U$524,"&lt;&gt;"),"")</f>
        <v/>
      </c>
    </row>
    <row r="25" ht="30" customHeight="1" s="241">
      <c r="A25" s="48" t="inlineStr">
        <is>
          <t>LLM (DeepSeek)</t>
        </is>
      </c>
      <c r="B25" s="140">
        <f>IFERROR(AVERAGEIFS(LLM_Data_Entry!$T$3:$T$548,LLM_Data_Entry!$F$3:$F$548,"LLM",LLM_Data_Entry!$H$3:$H$548,"&lt;&gt;HOLD",LLM_Data_Entry!$T$3:$T$548,"&lt;&gt;"),"")</f>
        <v/>
      </c>
    </row>
    <row r="26" ht="15.95" customHeight="1" s="241"/>
    <row r="27" ht="15.95" customHeight="1" s="241"/>
    <row r="28" ht="45.95" customHeight="1" s="241">
      <c r="A28" s="101" t="inlineStr">
        <is>
          <t>SECTION D - Figure 6: the naive floor computed PER ARM. Figure 1 above compares both arms against a single pooled floor taken over human outcomes, so the model arm is measured against a benchmark built from readings it never made. Nothing above row 26 was changed.</t>
        </is>
      </c>
    </row>
    <row r="29" ht="15.95" customHeight="1" s="241"/>
    <row r="30" ht="15.95" customHeight="1" s="241">
      <c r="A30" t="inlineStr">
        <is>
          <t>Arm</t>
        </is>
      </c>
      <c r="B30" t="inlineStr">
        <is>
          <t>Readings</t>
        </is>
      </c>
      <c r="C30" t="inlineStr">
        <is>
          <t>Naive floor</t>
        </is>
      </c>
      <c r="D30" t="inlineStr">
        <is>
          <t>Accuracy</t>
        </is>
      </c>
      <c r="E30" t="inlineStr">
        <is>
          <t>Margin (pp)</t>
        </is>
      </c>
      <c r="F30" t="inlineStr">
        <is>
          <t>Winning rule</t>
        </is>
      </c>
    </row>
    <row r="31" ht="45.95" customHeight="1" s="241">
      <c r="A31" t="inlineStr">
        <is>
          <t>Human, published</t>
        </is>
      </c>
      <c r="B31" s="101">
        <f>(COUNTIFS(Human_Data_Entry!$R$3:$R$524,"UP",Human_Data_Entry!$H$3:$H$524,"Human")+COUNTIFS(Human_Data_Entry!$R$3:$R$524,"DOWN",Human_Data_Entry!$H$3:$H$524,"Human")+COUNTIFS(Human_Data_Entry!$R$3:$R$524,"FLAT",Human_Data_Entry!$H$3:$H$524,"Human"))</f>
        <v/>
      </c>
      <c r="C31" s="101">
        <f>IFERROR(MAX(COUNTIFS(Human_Data_Entry!$R$3:$R$524,"UP",Human_Data_Entry!$H$3:$H$524,"Human"),COUNTIFS(Human_Data_Entry!$R$3:$R$524,"DOWN",Human_Data_Entry!$H$3:$H$524,"Human"),COUNTIFS(Human_Data_Entry!$R$3:$R$524,"FLAT",Human_Data_Entry!$H$3:$H$524,"Human"))/(COUNTIFS(Human_Data_Entry!$R$3:$R$524,"UP",Human_Data_Entry!$H$3:$H$524,"Human")+COUNTIFS(Human_Data_Entry!$R$3:$R$524,"DOWN",Human_Data_Entry!$H$3:$H$524,"Human")+COUNTIFS(Human_Data_Entry!$R$3:$R$524,"FLAT",Human_Data_Entry!$H$3:$H$524,"Human")),"")</f>
        <v/>
      </c>
      <c r="D31" s="101">
        <f>IFERROR(COUNTIFS(Human_Data_Entry!$S$3:$S$524,"YES",Human_Data_Entry!$H$3:$H$524,"Human")/COUNTIFS(Human_Data_Entry!$S$3:$S$524,"?*",Human_Data_Entry!$H$3:$H$524,"Human"),"")</f>
        <v/>
      </c>
      <c r="E31">
        <f>(D31-C31)*100</f>
        <v/>
      </c>
      <c r="F31" s="101">
        <f>IF(MAX(COUNTIFS(Human_Data_Entry!$R$3:$R$524,"UP",Human_Data_Entry!$H$3:$H$524,"Human"),COUNTIFS(Human_Data_Entry!$R$3:$R$524,"DOWN",Human_Data_Entry!$H$3:$H$524,"Human"),COUNTIFS(Human_Data_Entry!$R$3:$R$524,"FLAT",Human_Data_Entry!$H$3:$H$524,"Human"))=COUNTIFS(Human_Data_Entry!$R$3:$R$524,"UP",Human_Data_Entry!$H$3:$H$524,"Human"),"Always BUY",IF(MAX(COUNTIFS(Human_Data_Entry!$R$3:$R$524,"UP",Human_Data_Entry!$H$3:$H$524,"Human"),COUNTIFS(Human_Data_Entry!$R$3:$R$524,"DOWN",Human_Data_Entry!$H$3:$H$524,"Human"),COUNTIFS(Human_Data_Entry!$R$3:$R$524,"FLAT",Human_Data_Entry!$H$3:$H$524,"Human"))=COUNTIFS(Human_Data_Entry!$R$3:$R$524,"DOWN",Human_Data_Entry!$H$3:$H$524,"Human"),"Always SELL","Always HOLD"))</f>
        <v/>
      </c>
    </row>
    <row r="32" ht="45.95" customHeight="1" s="241">
      <c r="A32" t="inlineStr">
        <is>
          <t>Human, re-priced</t>
        </is>
      </c>
      <c r="B32" s="101">
        <f>(COUNTIFS(Human_Data_Entry!$AI$3:$AI$524,"UP",Human_Data_Entry!$H$3:$H$524,"Human")+COUNTIFS(Human_Data_Entry!$AI$3:$AI$524,"DOWN",Human_Data_Entry!$H$3:$H$524,"Human")+COUNTIFS(Human_Data_Entry!$AI$3:$AI$524,"FLAT",Human_Data_Entry!$H$3:$H$524,"Human"))</f>
        <v/>
      </c>
      <c r="C32" s="101">
        <f>IFERROR(MAX(COUNTIFS(Human_Data_Entry!$AI$3:$AI$524,"UP",Human_Data_Entry!$H$3:$H$524,"Human"),COUNTIFS(Human_Data_Entry!$AI$3:$AI$524,"DOWN",Human_Data_Entry!$H$3:$H$524,"Human"),COUNTIFS(Human_Data_Entry!$AI$3:$AI$524,"FLAT",Human_Data_Entry!$H$3:$H$524,"Human"))/(COUNTIFS(Human_Data_Entry!$AI$3:$AI$524,"UP",Human_Data_Entry!$H$3:$H$524,"Human")+COUNTIFS(Human_Data_Entry!$AI$3:$AI$524,"DOWN",Human_Data_Entry!$H$3:$H$524,"Human")+COUNTIFS(Human_Data_Entry!$AI$3:$AI$524,"FLAT",Human_Data_Entry!$H$3:$H$524,"Human")),"")</f>
        <v/>
      </c>
      <c r="D32" s="101">
        <f>IFERROR(COUNTIFS(Human_Data_Entry!$AJ$3:$AJ$524,"YES",Human_Data_Entry!$H$3:$H$524,"Human")/COUNTIFS(Human_Data_Entry!$AJ$3:$AJ$524,"?*",Human_Data_Entry!$H$3:$H$524,"Human"),"")</f>
        <v/>
      </c>
      <c r="E32">
        <f>(D32-C32)*100</f>
        <v/>
      </c>
      <c r="F32" s="101">
        <f>IF(MAX(COUNTIFS(Human_Data_Entry!$AI$3:$AI$524,"UP",Human_Data_Entry!$H$3:$H$524,"Human"),COUNTIFS(Human_Data_Entry!$AI$3:$AI$524,"DOWN",Human_Data_Entry!$H$3:$H$524,"Human"),COUNTIFS(Human_Data_Entry!$AI$3:$AI$524,"FLAT",Human_Data_Entry!$H$3:$H$524,"Human"))=COUNTIFS(Human_Data_Entry!$AI$3:$AI$524,"UP",Human_Data_Entry!$H$3:$H$524,"Human"),"Always BUY",IF(MAX(COUNTIFS(Human_Data_Entry!$AI$3:$AI$524,"UP",Human_Data_Entry!$H$3:$H$524,"Human"),COUNTIFS(Human_Data_Entry!$AI$3:$AI$524,"DOWN",Human_Data_Entry!$H$3:$H$524,"Human"),COUNTIFS(Human_Data_Entry!$AI$3:$AI$524,"FLAT",Human_Data_Entry!$H$3:$H$524,"Human"))=COUNTIFS(Human_Data_Entry!$AI$3:$AI$524,"DOWN",Human_Data_Entry!$H$3:$H$524,"Human"),"Always SELL","Always HOLD"))</f>
        <v/>
      </c>
    </row>
    <row r="33" ht="45.95" customHeight="1" s="241">
      <c r="A33" t="inlineStr">
        <is>
          <t>LLM, published</t>
        </is>
      </c>
      <c r="B33" s="101">
        <f>(COUNTIFS(LLM_Data_Entry!$Q$3:$Q$430,"UP")+COUNTIFS(LLM_Data_Entry!$Q$3:$Q$430,"DOWN")+COUNTIFS(LLM_Data_Entry!$Q$3:$Q$430,"FLAT"))</f>
        <v/>
      </c>
      <c r="C33" s="101">
        <f>IFERROR(MAX(COUNTIFS(LLM_Data_Entry!$Q$3:$Q$430,"UP"),COUNTIFS(LLM_Data_Entry!$Q$3:$Q$430,"DOWN"),COUNTIFS(LLM_Data_Entry!$Q$3:$Q$430,"FLAT"))/(COUNTIFS(LLM_Data_Entry!$Q$3:$Q$430,"UP")+COUNTIFS(LLM_Data_Entry!$Q$3:$Q$430,"DOWN")+COUNTIFS(LLM_Data_Entry!$Q$3:$Q$430,"FLAT")),"")</f>
        <v/>
      </c>
      <c r="D33" s="101">
        <f>IFERROR(COUNTIFS(LLM_Data_Entry!$R$3:$R$430,"YES")/COUNTIFS(LLM_Data_Entry!$R$3:$R$430,"?*"),"")</f>
        <v/>
      </c>
      <c r="E33">
        <f>(D33-C33)*100</f>
        <v/>
      </c>
      <c r="F33" s="101">
        <f>IF(MAX(COUNTIFS(LLM_Data_Entry!$Q$3:$Q$430,"UP"),COUNTIFS(LLM_Data_Entry!$Q$3:$Q$430,"DOWN"),COUNTIFS(LLM_Data_Entry!$Q$3:$Q$430,"FLAT"))=COUNTIFS(LLM_Data_Entry!$Q$3:$Q$430,"UP"),"Always BUY",IF(MAX(COUNTIFS(LLM_Data_Entry!$Q$3:$Q$430,"UP"),COUNTIFS(LLM_Data_Entry!$Q$3:$Q$430,"DOWN"),COUNTIFS(LLM_Data_Entry!$Q$3:$Q$430,"FLAT"))=COUNTIFS(LLM_Data_Entry!$Q$3:$Q$430,"DOWN"),"Always SELL","Always HOLD"))</f>
        <v/>
      </c>
    </row>
    <row r="34" ht="45.95" customHeight="1" s="241">
      <c r="A34" t="inlineStr">
        <is>
          <t>LLM, re-priced</t>
        </is>
      </c>
      <c r="B34" s="101">
        <f>(COUNTIFS(LLM_Data_Entry!$AD$3:$AD$430,"UP")+COUNTIFS(LLM_Data_Entry!$AD$3:$AD$430,"DOWN")+COUNTIFS(LLM_Data_Entry!$AD$3:$AD$430,"FLAT"))</f>
        <v/>
      </c>
      <c r="C34" s="101">
        <f>IFERROR(MAX(COUNTIFS(LLM_Data_Entry!$AD$3:$AD$430,"UP"),COUNTIFS(LLM_Data_Entry!$AD$3:$AD$430,"DOWN"),COUNTIFS(LLM_Data_Entry!$AD$3:$AD$430,"FLAT"))/(COUNTIFS(LLM_Data_Entry!$AD$3:$AD$430,"UP")+COUNTIFS(LLM_Data_Entry!$AD$3:$AD$430,"DOWN")+COUNTIFS(LLM_Data_Entry!$AD$3:$AD$430,"FLAT")),"")</f>
        <v/>
      </c>
      <c r="D34" s="101">
        <f>IFERROR(COUNTIFS(LLM_Data_Entry!$AE$3:$AE$430,"YES")/COUNTIFS(LLM_Data_Entry!$AE$3:$AE$430,"?*"),"")</f>
        <v/>
      </c>
      <c r="E34">
        <f>(D34-C34)*100</f>
        <v/>
      </c>
      <c r="F34" s="101">
        <f>IF(MAX(COUNTIFS(LLM_Data_Entry!$AD$3:$AD$430,"UP"),COUNTIFS(LLM_Data_Entry!$AD$3:$AD$430,"DOWN"),COUNTIFS(LLM_Data_Entry!$AD$3:$AD$430,"FLAT"))=COUNTIFS(LLM_Data_Entry!$AD$3:$AD$430,"UP"),"Always BUY",IF(MAX(COUNTIFS(LLM_Data_Entry!$AD$3:$AD$430,"UP"),COUNTIFS(LLM_Data_Entry!$AD$3:$AD$430,"DOWN"),COUNTIFS(LLM_Data_Entry!$AD$3:$AD$430,"FLAT"))=COUNTIFS(LLM_Data_Entry!$AD$3:$AD$430,"DOWN"),"Always SELL","Always HOLD"))</f>
        <v/>
      </c>
    </row>
    <row r="35" ht="15.95" customHeight="1" s="241"/>
    <row r="36" ht="45.95" customHeight="1" s="241">
      <c r="A36" s="101" t="inlineStr">
        <is>
          <t>Figure 1's pooled floor is left exactly as it stands. It is not wrong; it is a different quantity - the share of the most common direction over every reading in the book. These four rows are the comparator each arm should actually be held to.</t>
        </is>
      </c>
    </row>
  </sheetData>
  <pageMargins left="0.75" right="0.75" top="1" bottom="1" header="0.5" footer="0.5"/>
  <pageSetup orientation="landscape" fitToHeight="0"/>
  <drawing xmlns:r="http://schemas.openxmlformats.org/officeDocument/2006/relationships" r:id="rId1"/>
</worksheet>
</file>

<file path=xl/worksheets/sheet19.xml><?xml version="1.0" encoding="utf-8"?>
<worksheet xmlns="http://schemas.openxmlformats.org/spreadsheetml/2006/main">
  <sheetPr>
    <tabColor rgb="FF7F7F7F"/>
    <outlinePr summaryBelow="1" summaryRight="1"/>
    <pageSetUpPr fitToPage="1"/>
  </sheetPr>
  <dimension ref="A1:J153"/>
  <sheetViews>
    <sheetView showGridLines="0" workbookViewId="0">
      <pane ySplit="5" topLeftCell="A15" activePane="bottomLeft" state="frozen"/>
      <selection pane="bottomLeft" activeCell="N62" sqref="N62"/>
    </sheetView>
  </sheetViews>
  <sheetFormatPr baseColWidth="8" defaultColWidth="8.7109375" defaultRowHeight="15"/>
  <cols>
    <col width="46" customWidth="1" style="241" min="1" max="2"/>
    <col width="46" bestFit="1" customWidth="1" style="241" min="3" max="3"/>
    <col width="46" customWidth="1" style="241" min="4" max="5"/>
    <col width="29" customWidth="1" style="241" min="6" max="6"/>
    <col width="46" customWidth="1" style="241" min="7" max="7"/>
    <col width="27" customWidth="1" style="241" min="8" max="8"/>
    <col width="17" customWidth="1" style="241" min="9" max="9"/>
    <col width="9" customWidth="1" style="241" min="10" max="10"/>
  </cols>
  <sheetData>
    <row r="1" ht="15.95" customHeight="1" s="241">
      <c r="A1" s="47" t="inlineStr">
        <is>
          <t>Efficiency — Return per Unit of Analyst Effort</t>
        </is>
      </c>
    </row>
    <row r="2" ht="30" customHeight="1" s="241">
      <c r="A2" s="238" t="inlineStr">
        <is>
          <t>Amber cells are assumptions you set. Everything else is live formulas that update as rows are added to the entry sheets.</t>
        </is>
      </c>
    </row>
    <row r="3" ht="15.95" customHeight="1" s="241"/>
    <row r="4" ht="15.95" customHeight="1" s="241">
      <c r="A4" s="9" t="inlineStr">
        <is>
          <t>Assumptions</t>
        </is>
      </c>
    </row>
    <row r="5" ht="15.95" customHeight="1" s="241">
      <c r="A5" s="151" t="inlineStr">
        <is>
          <t>Parameter</t>
        </is>
      </c>
      <c r="B5" s="151" t="inlineStr">
        <is>
          <t>Value</t>
        </is>
      </c>
      <c r="C5" s="15" t="n"/>
      <c r="E5" s="151" t="inlineStr">
        <is>
          <t>Notes</t>
        </is>
      </c>
    </row>
    <row r="6" ht="30" customHeight="1" s="241">
      <c r="A6" s="55" t="inlineStr">
        <is>
          <t>Analyst cost ($/hour)</t>
        </is>
      </c>
      <c r="B6" s="56" t="n">
        <v>45</v>
      </c>
      <c r="C6" s="13" t="n"/>
      <c r="E6" s="238" t="inlineStr">
        <is>
          <t>Fully-loaded hourly cost of a junior analyst. Used for every human cost figure below.</t>
        </is>
      </c>
    </row>
    <row r="7" ht="30" customHeight="1" s="241">
      <c r="A7" s="55" t="inlineStr">
        <is>
          <t>LLM cost per document ($)</t>
        </is>
      </c>
      <c r="B7" s="141">
        <f>IF(COUNT(LLM_Data_Entry!$O$3:$O$548)&gt;0,AVERAGEIF(LLM_Data_Entry!$O$3:$O$548,"&gt;0"),$B$10)</f>
        <v/>
      </c>
      <c r="C7" s="57" t="n"/>
      <c r="E7" s="238" t="inlineStr">
        <is>
          <t>LIVE. Reads the average of the Token Cost column on the LLM sheet automatically. Falls back to the manual placeholder in B10 while that column is still empty.</t>
        </is>
      </c>
    </row>
    <row r="8" ht="30" customHeight="1" s="241">
      <c r="A8" s="55" t="inlineStr">
        <is>
          <t>LLM wall-clock per document (sec)</t>
        </is>
      </c>
      <c r="B8" s="142">
        <f>IF(COUNT(LLM_Data_Entry!$I$3:$I$548)&gt;0,AVERAGEIF(LLM_Data_Entry!$I$3:$I$548,"&gt;0"),$B$11)</f>
        <v/>
      </c>
      <c r="C8" s="13" t="n"/>
      <c r="E8" s="238" t="inlineStr">
        <is>
          <t>LIVE. Reads the average of the Time (seconds) column on the LLM sheet. Falls back to the manual placeholder in B11 while that column is empty.</t>
        </is>
      </c>
    </row>
    <row r="9" ht="30" customHeight="1" s="241">
      <c r="A9" s="55" t="inlineStr">
        <is>
          <t>Notional position size ($)</t>
        </is>
      </c>
      <c r="B9" s="58" t="n">
        <v>10000</v>
      </c>
      <c r="C9" s="13" t="n"/>
      <c r="E9" s="238" t="inlineStr">
        <is>
          <t>Only used to express returns in cash terms. Does not affect any percentage figure.</t>
        </is>
      </c>
    </row>
    <row r="10" ht="30" customHeight="1" s="241">
      <c r="A10" s="55" t="inlineStr">
        <is>
          <t>Fallback LLM cost per doc ($)</t>
        </is>
      </c>
      <c r="B10" s="59" t="n">
        <v>0.02</v>
      </c>
      <c r="C10" s="57" t="n"/>
      <c r="E10" s="238" t="inlineStr">
        <is>
          <t>Only used while the Token Cost column is empty. Once Ben populates it, this value is ignored.</t>
        </is>
      </c>
    </row>
    <row r="11" ht="30" customHeight="1" s="241">
      <c r="A11" s="55" t="inlineStr">
        <is>
          <t>Fallback LLM runtime per doc (sec)</t>
        </is>
      </c>
      <c r="B11" s="60" t="n">
        <v>8</v>
      </c>
      <c r="E11" s="238" t="inlineStr">
        <is>
          <t>Only used while the Time (seconds) column is empty. Once it is populated, this value is ignored.</t>
        </is>
      </c>
    </row>
    <row r="12" ht="15.95" customHeight="1" s="241">
      <c r="A12" s="15" t="inlineStr">
        <is>
          <t>Measure</t>
        </is>
      </c>
      <c r="B12" s="15" t="inlineStr">
        <is>
          <t>Human</t>
        </is>
      </c>
      <c r="C12" s="15" t="inlineStr">
        <is>
          <t>LLM</t>
        </is>
      </c>
      <c r="D12" s="15" t="inlineStr">
        <is>
          <t>Ratio (H:L)</t>
        </is>
      </c>
    </row>
    <row r="13" ht="30" customHeight="1" s="241">
      <c r="A13" s="55" t="inlineStr">
        <is>
          <t>Documents read</t>
        </is>
      </c>
      <c r="B13" s="143">
        <f>COUNTIFS(Human_Data_Entry!$H$3:$H$524,"Human",Human_Data_Entry!$J$3:$J$524,"?*")</f>
        <v/>
      </c>
      <c r="C13" s="131">
        <f>COUNTIFS(LLM_Data_Entry!$F$3:$F$548,"LLM",LLM_Data_Entry!$H$3:$H$548,"&lt;&gt;")</f>
        <v/>
      </c>
      <c r="D13" s="63">
        <f>IFERROR(B13/C13,"")</f>
        <v/>
      </c>
      <c r="E13" s="238" t="inlineStr">
        <is>
          <t>Ratio shows how many times larger the human figure is. Blank where not meaningful.</t>
        </is>
      </c>
    </row>
    <row r="14" ht="30" customHeight="1" s="241">
      <c r="A14" s="55" t="inlineStr">
        <is>
          <t>Total effort (hours)</t>
        </is>
      </c>
      <c r="B14" s="143">
        <f>SUMIFS(Human_Data_Entry!$K$3:$K$524,Human_Data_Entry!$H$3:$H$524,"Human")/60</f>
        <v/>
      </c>
      <c r="C14" s="143">
        <f>IF(COUNT(LLM_Data_Entry!$I$3:$I$548)&gt;0,SUMIFS(LLM_Data_Entry!$I$3:$I$548,LLM_Data_Entry!$F$3:$F$548,"LLM")/3600,C13*$B$8/3600)</f>
        <v/>
      </c>
      <c r="D14" s="63">
        <f>IFERROR(B14/C14,"")</f>
        <v/>
      </c>
    </row>
    <row r="15" ht="45.95" customHeight="1" s="241">
      <c r="A15" s="55" t="inlineStr">
        <is>
          <t>Mean time per document (min)</t>
        </is>
      </c>
      <c r="B15" s="143">
        <f>IFERROR(AVERAGEIFS(Human_Data_Entry!$K$3:$K$524,Human_Data_Entry!$H$3:$H$524,"Human",Human_Data_Entry!$K$3:$K$524,"&gt;0"),"")</f>
        <v/>
      </c>
      <c r="C15" s="139">
        <f>IFERROR(IF(COUNT(LLM_Data_Entry!$I$3:$I$548)&gt;0,AVERAGEIFS(LLM_Data_Entry!$I$3:$I$548,LLM_Data_Entry!$F$3:$F$548,"LLM",LLM_Data_Entry!$I$3:$I$548,"&gt;0")/60,$B$8/60),"")</f>
        <v/>
      </c>
      <c r="D15" s="63">
        <f>IFERROR(B15/C15,"")</f>
        <v/>
      </c>
    </row>
    <row r="16" ht="15.95" customHeight="1" s="241">
      <c r="A16" s="55" t="inlineStr">
        <is>
          <t>Documents per hour</t>
        </is>
      </c>
      <c r="B16" s="61">
        <f>IFERROR(B13/B14,"")</f>
        <v/>
      </c>
      <c r="C16" s="61">
        <f>IFERROR(C13/C14,"")</f>
        <v/>
      </c>
      <c r="D16" s="63">
        <f>IFERROR(B16/C16,"")</f>
        <v/>
      </c>
    </row>
    <row r="17" ht="30" customHeight="1" s="241">
      <c r="A17" s="55" t="inlineStr">
        <is>
          <t>Total cost ($)</t>
        </is>
      </c>
      <c r="B17" s="64">
        <f>B14*$B$6</f>
        <v/>
      </c>
      <c r="C17" s="144">
        <f>IF(COUNT(LLM_Data_Entry!$O$3:$O$548)&gt;0,SUMIFS(LLM_Data_Entry!$O$3:$O$548,LLM_Data_Entry!$F$3:$F$548,"LLM"),C13*$B$7)</f>
        <v/>
      </c>
      <c r="D17" s="63">
        <f>IFERROR(B17/C17,"")</f>
        <v/>
      </c>
    </row>
    <row r="18" ht="15.95" customHeight="1" s="241">
      <c r="A18" s="55" t="inlineStr">
        <is>
          <t>Cost per document ($)</t>
        </is>
      </c>
      <c r="B18" s="65">
        <f>IFERROR(B17/B13,"")</f>
        <v/>
      </c>
      <c r="C18" s="65">
        <f>IFERROR(C17/IF($B$83&gt;0,$B$83,C13),"")</f>
        <v/>
      </c>
      <c r="D18" s="63">
        <f>IFERROR(B18/C18,"")</f>
        <v/>
      </c>
    </row>
    <row r="19" ht="15.95" customHeight="1" s="241"/>
    <row r="20" ht="15.95" customHeight="1" s="241">
      <c r="A20" s="9" t="inlineStr">
        <is>
          <t>2. Cost per Correct Call</t>
        </is>
      </c>
    </row>
    <row r="21" ht="15.95" customHeight="1" s="241">
      <c r="A21" s="15" t="inlineStr">
        <is>
          <t>Measure</t>
        </is>
      </c>
      <c r="B21" s="15" t="inlineStr">
        <is>
          <t>Human</t>
        </is>
      </c>
      <c r="C21" s="15" t="inlineStr">
        <is>
          <t>LLM</t>
        </is>
      </c>
      <c r="D21" s="15" t="inlineStr">
        <is>
          <t>Ratio (H:L)</t>
        </is>
      </c>
    </row>
    <row r="22" ht="30" customHeight="1" s="241">
      <c r="A22" s="55" t="inlineStr">
        <is>
          <t>Correct calls</t>
        </is>
      </c>
      <c r="B22" s="131">
        <f>COUNTIFS(Human_Data_Entry!$H$3:$H$524,"Human",Human_Data_Entry!$S$3:$S$524,"YES")</f>
        <v/>
      </c>
      <c r="C22" s="131">
        <f>COUNTIFS(LLM_Data_Entry!$F$3:$F$548,"LLM",LLM_Data_Entry!$R$3:$R$548,"YES")</f>
        <v/>
      </c>
      <c r="D22" s="63">
        <f>IFERROR(B22/C22,"")</f>
        <v/>
      </c>
    </row>
    <row r="23" ht="30" customHeight="1" s="241">
      <c r="A23" s="55" t="inlineStr">
        <is>
          <t>Accuracy</t>
        </is>
      </c>
      <c r="B23" s="132">
        <f>IFERROR(B22/COUNTIFS(Human_Data_Entry!$H$3:$H$524,"Human",Human_Data_Entry!$S$3:$S$524,"?*"),"")</f>
        <v/>
      </c>
      <c r="C23" s="132">
        <f>IFERROR(C22/COUNTIFS(LLM_Data_Entry!$F$3:$F$548,"LLM",LLM_Data_Entry!$R$3:$R$548,"&lt;&gt;"),"")</f>
        <v/>
      </c>
      <c r="D23" s="50">
        <f>IFERROR(B23-C23,"")</f>
        <v/>
      </c>
    </row>
    <row r="24" ht="15.95" customHeight="1" s="241">
      <c r="A24" s="55" t="inlineStr">
        <is>
          <t>Cost per correct call ($)</t>
        </is>
      </c>
      <c r="B24" s="64">
        <f>IFERROR(B17/B22,"")</f>
        <v/>
      </c>
      <c r="C24" s="65">
        <f>IFERROR(C17/C22,"")</f>
        <v/>
      </c>
      <c r="D24" s="63">
        <f>IFERROR(B24/C24,"")</f>
        <v/>
      </c>
    </row>
    <row r="25" ht="15.95" customHeight="1" s="241">
      <c r="A25" s="55" t="inlineStr">
        <is>
          <t>Minutes per correct call</t>
        </is>
      </c>
      <c r="B25" s="61">
        <f>IFERROR(B14*60/B22,"")</f>
        <v/>
      </c>
      <c r="C25" s="52">
        <f>IFERROR(C14*60/C22,"")</f>
        <v/>
      </c>
      <c r="D25" s="63">
        <f>IFERROR(B25/C25,"")</f>
        <v/>
      </c>
    </row>
    <row r="26" ht="30" customHeight="1" s="241">
      <c r="A26" s="238" t="inlineStr">
        <is>
          <t>Accuracy row shows the gap in percentage points rather than a ratio.</t>
        </is>
      </c>
    </row>
    <row r="27" ht="15.95" customHeight="1" s="241"/>
    <row r="28" ht="15.95" customHeight="1" s="241">
      <c r="A28" s="9" t="inlineStr">
        <is>
          <t>3. Return per Unit of Effort</t>
        </is>
      </c>
    </row>
    <row r="29" ht="15.95" customHeight="1" s="241">
      <c r="A29" s="15" t="inlineStr">
        <is>
          <t>Measure</t>
        </is>
      </c>
      <c r="B29" s="15" t="inlineStr">
        <is>
          <t>Human</t>
        </is>
      </c>
      <c r="C29" s="15" t="inlineStr">
        <is>
          <t>LLM</t>
        </is>
      </c>
      <c r="D29" s="15" t="inlineStr">
        <is>
          <t>Ratio (H:L)</t>
        </is>
      </c>
    </row>
    <row r="30" ht="45.95" customHeight="1" s="241">
      <c r="A30" s="55" t="inlineStr">
        <is>
          <t>Trades taken (non-HOLD)</t>
        </is>
      </c>
      <c r="B30" s="131">
        <f>SUMPRODUCT((Human_Data_Entry!$H$3:$H$524="Human")*((Human_Data_Entry!$J$3:$J$524="BUY")+(Human_Data_Entry!$J$3:$J$524="SELL"))*ISNUMBER(Human_Data_Entry!$U$3:$U$524))</f>
        <v/>
      </c>
      <c r="C30" s="131">
        <f>COUNTIFS(LLM_Data_Entry!$F$3:$F$548,"LLM",LLM_Data_Entry!$H$3:$H$548,"&lt;&gt;HOLD",LLM_Data_Entry!$T$3:$T$548,"&lt;&gt;")</f>
        <v/>
      </c>
      <c r="D30" s="63">
        <f>IFERROR(B30/C30,"")</f>
        <v/>
      </c>
    </row>
    <row r="31" ht="30" customHeight="1" s="241">
      <c r="A31" s="55" t="inlineStr">
        <is>
          <t>Sum of returns (%)</t>
        </is>
      </c>
      <c r="B31" s="140">
        <f>SUMIFS(Human_Data_Entry!$U$3:$U$524,Human_Data_Entry!$H$3:$H$524,"Human",Human_Data_Entry!$J$3:$J$524,"&lt;&gt;HOLD")</f>
        <v/>
      </c>
      <c r="C31" s="140">
        <f>SUMIFS(LLM_Data_Entry!$T$3:$T$548,LLM_Data_Entry!$F$3:$F$548,"LLM",LLM_Data_Entry!$H$3:$H$548,"&lt;&gt;HOLD")</f>
        <v/>
      </c>
      <c r="D31" s="63">
        <f>IFERROR(B31/C31,"")</f>
        <v/>
      </c>
    </row>
    <row r="32" ht="15.95" customHeight="1" s="241">
      <c r="A32" s="55" t="inlineStr">
        <is>
          <t>Avg return per trade (%)</t>
        </is>
      </c>
      <c r="B32" s="53">
        <f>IFERROR(B31/B30,"")</f>
        <v/>
      </c>
      <c r="C32" s="53">
        <f>IFERROR(C31/C30,"")</f>
        <v/>
      </c>
      <c r="D32" s="63">
        <f>IFERROR(B32/C32,"")</f>
        <v/>
      </c>
    </row>
    <row r="33" ht="15.95" customHeight="1" s="241">
      <c r="A33" s="55" t="inlineStr">
        <is>
          <t>Return per analyst hour (%)</t>
        </is>
      </c>
      <c r="B33" s="53">
        <f>IFERROR(B31/B14,"")</f>
        <v/>
      </c>
      <c r="C33" s="53">
        <f>IFERROR(C31/C14,"")</f>
        <v/>
      </c>
      <c r="D33" s="63">
        <f>IFERROR(B33/C33,"")</f>
        <v/>
      </c>
    </row>
    <row r="34" ht="15.95" customHeight="1" s="241">
      <c r="A34" s="55" t="inlineStr">
        <is>
          <t>Notional P&amp;L per hour ($)</t>
        </is>
      </c>
      <c r="B34" s="66">
        <f>IFERROR(B33*$B$9,"")</f>
        <v/>
      </c>
      <c r="C34" s="66">
        <f>IFERROR(C33*$B$9,"")</f>
        <v/>
      </c>
      <c r="D34" s="63">
        <f>IFERROR(B34/C34,"")</f>
        <v/>
      </c>
    </row>
    <row r="35" ht="15.95" customHeight="1" s="241"/>
    <row r="36" ht="45.95" customHeight="1" s="241">
      <c r="A36" s="9" t="inlineStr">
        <is>
          <t>4. Head-to-Head on Shared Events</t>
        </is>
      </c>
      <c r="E36" s="238" t="inlineStr">
        <is>
          <t>Each human reading is matched to the LLM reading for the same company, year and quarter. Where several raters covered one event, that event contributes one row per rater, so this counts readings rather than unique events.</t>
        </is>
      </c>
    </row>
    <row r="37" ht="15.95" customHeight="1" s="241">
      <c r="A37" s="15" t="inlineStr">
        <is>
          <t>Outcome</t>
        </is>
      </c>
      <c r="B37" s="15" t="inlineStr">
        <is>
          <t>Events</t>
        </is>
      </c>
      <c r="C37" s="15" t="inlineStr">
        <is>
          <t>Share</t>
        </is>
      </c>
    </row>
    <row r="38" ht="30" customHeight="1" s="241">
      <c r="A38" s="55" t="inlineStr">
        <is>
          <t>Both correct</t>
        </is>
      </c>
      <c r="B38" s="131">
        <f>COUNTIFS(Human_Data_Entry!$S$3:$S$524,"YES",Human_Data_Entry!$Z$3:$Z$524,"YES")</f>
        <v/>
      </c>
      <c r="C38" s="50">
        <f>IFERROR(B38/$B$43,"")</f>
        <v/>
      </c>
    </row>
    <row r="39" ht="30" customHeight="1" s="241">
      <c r="A39" s="55" t="inlineStr">
        <is>
          <t>Human only correct</t>
        </is>
      </c>
      <c r="B39" s="131">
        <f>COUNTIFS(Human_Data_Entry!$S$3:$S$524,"YES",Human_Data_Entry!$Z$3:$Z$524,"NO")</f>
        <v/>
      </c>
      <c r="C39" s="50">
        <f>IFERROR(B39/$B$43,"")</f>
        <v/>
      </c>
    </row>
    <row r="40" ht="30" customHeight="1" s="241">
      <c r="A40" s="55" t="inlineStr">
        <is>
          <t>LLM only correct</t>
        </is>
      </c>
      <c r="B40" s="131">
        <f>COUNTIFS(Human_Data_Entry!$S$3:$S$524,"NO",Human_Data_Entry!$Z$3:$Z$524,"YES")</f>
        <v/>
      </c>
      <c r="C40" s="50">
        <f>IFERROR(B40/$B$43,"")</f>
        <v/>
      </c>
    </row>
    <row r="41" ht="30" customHeight="1" s="241">
      <c r="A41" s="55" t="inlineStr">
        <is>
          <t>Neither correct</t>
        </is>
      </c>
      <c r="B41" s="131">
        <f>COUNTIFS(Human_Data_Entry!$S$3:$S$524,"NO",Human_Data_Entry!$Z$3:$Z$524,"NO")</f>
        <v/>
      </c>
      <c r="C41" s="50">
        <f>IFERROR(B41/$B$43,"")</f>
        <v/>
      </c>
    </row>
    <row r="42" ht="45.95" customHeight="1" s="241">
      <c r="A42" s="55" t="inlineStr">
        <is>
          <t>Same decision</t>
        </is>
      </c>
      <c r="B42" s="131">
        <f>SUMPRODUCT((Human_Data_Entry!$H$3:$H$524="Human")*(Human_Data_Entry!$S$3:$S$524&lt;&gt;"")*(Human_Data_Entry!$Z$3:$Z$524&lt;&gt;"")*(Human_Data_Entry!$J$3:$J$524=Human_Data_Entry!$Y$3:$Y$524))</f>
        <v/>
      </c>
      <c r="C42" s="50">
        <f>IFERROR(B42/$B$43,"")</f>
        <v/>
      </c>
    </row>
    <row r="43" ht="30" customHeight="1" s="241">
      <c r="A43" s="9" t="inlineStr">
        <is>
          <t>Matched readings (total)</t>
        </is>
      </c>
      <c r="B43" s="145">
        <f>COUNTIFS(Human_Data_Entry!$S$3:$S$524,"?*",Human_Data_Entry!$Z$3:$Z$524,"?*")</f>
        <v/>
      </c>
      <c r="C43" s="67">
        <f>IFERROR(B43/$B$43,"")</f>
        <v/>
      </c>
      <c r="E43" s="238" t="inlineStr">
        <is>
          <t>Currently exceeds the LLM row count because some events were scored by more than one rater.</t>
        </is>
      </c>
    </row>
    <row r="44" ht="15.95" customHeight="1" s="241"/>
    <row r="45" ht="15.95" customHeight="1" s="241">
      <c r="A45" s="9" t="inlineStr">
        <is>
          <t>5. Marginal Value of the Human Step</t>
        </is>
      </c>
    </row>
    <row r="46" ht="15.95" customHeight="1" s="241">
      <c r="A46" s="15" t="inlineStr">
        <is>
          <t>Measure</t>
        </is>
      </c>
      <c r="B46" s="15" t="inlineStr">
        <is>
          <t>Value</t>
        </is>
      </c>
      <c r="C46" s="15" t="inlineStr">
        <is>
          <t>Notes</t>
        </is>
      </c>
    </row>
    <row r="47" ht="30" customHeight="1" s="241">
      <c r="A47" s="55" t="inlineStr">
        <is>
          <t>Net calls gained by humans</t>
        </is>
      </c>
      <c r="B47" s="62">
        <f>B39-B40</f>
        <v/>
      </c>
      <c r="C47" s="238" t="inlineStr">
        <is>
          <t>Correct calls humans added, less the ones the LLM caught and humans missed.</t>
        </is>
      </c>
    </row>
    <row r="48" ht="30" customHeight="1" s="241">
      <c r="A48" s="55" t="inlineStr">
        <is>
          <t>Human hours on matched events</t>
        </is>
      </c>
      <c r="B48" s="61">
        <f>IFERROR($B$14*B43/$B$13,"")</f>
        <v/>
      </c>
      <c r="C48" s="13" t="inlineStr">
        <is>
          <t>Total human hours scaled to the matched subset only.</t>
        </is>
      </c>
      <c r="E48" s="238" t="inlineStr">
        <is>
          <t>Scales total human hours by the matched share of readings. Approximate, since time per reading varies.</t>
        </is>
      </c>
    </row>
    <row r="49" ht="15.95" customHeight="1" s="241">
      <c r="A49" s="55" t="inlineStr">
        <is>
          <t>Hours per net call gained</t>
        </is>
      </c>
      <c r="B49" s="61">
        <f>IFERROR(IF(B47&lt;=0,"n/a",B48/B47),"")</f>
        <v/>
      </c>
      <c r="C49" s="13" t="inlineStr">
        <is>
          <t>Blank or n/a if the human step produced no net gain.</t>
        </is>
      </c>
    </row>
    <row r="50" ht="30" customHeight="1" s="241">
      <c r="A50" s="55" t="inlineStr">
        <is>
          <t>Cost per net call gained ($)</t>
        </is>
      </c>
      <c r="B50" s="64">
        <f>IFERROR(IF(B47&lt;=0,"n/a",B48*$B$6/B47),"")</f>
        <v/>
      </c>
      <c r="C50" s="238" t="inlineStr">
        <is>
          <t>The honest price of the human-in-the-loop step at current accuracy.</t>
        </is>
      </c>
    </row>
    <row r="51" ht="15.95" customHeight="1" s="241"/>
    <row r="52" ht="15.95" customHeight="1" s="241"/>
    <row r="53" ht="30" customHeight="1" s="241">
      <c r="A53" s="9" t="inlineStr">
        <is>
          <t>6. Break-Even Accuracy</t>
        </is>
      </c>
      <c r="E53" s="238" t="inlineStr">
        <is>
          <t>How much more accurate the human must be for the extra time to pay for itself.</t>
        </is>
      </c>
    </row>
    <row r="54" ht="15.95" customHeight="1" s="241">
      <c r="A54" s="15" t="inlineStr">
        <is>
          <t>Measure</t>
        </is>
      </c>
      <c r="B54" s="15" t="inlineStr">
        <is>
          <t>Value</t>
        </is>
      </c>
      <c r="C54" s="15" t="inlineStr">
        <is>
          <t>Notes</t>
        </is>
      </c>
    </row>
    <row r="55" ht="15.95" customHeight="1" s="241">
      <c r="A55" s="55" t="inlineStr">
        <is>
          <t>Extra cost per doc, human vs LLM ($)</t>
        </is>
      </c>
      <c r="B55" s="64">
        <f>IFERROR(B18-C18,"")</f>
        <v/>
      </c>
      <c r="C55" s="13" t="inlineStr">
        <is>
          <t>Human cost per document minus LLM cost per document.</t>
        </is>
      </c>
    </row>
    <row r="56" ht="45.95" customHeight="1" s="241">
      <c r="A56" s="55" t="inlineStr">
        <is>
          <t>Value of one correct call ($)</t>
        </is>
      </c>
      <c r="B56" s="144">
        <f>IFERROR((SUMIFS(Human_Data_Entry!$U$3:$U$524,Human_Data_Entry!$H$3:$H$524,"Human",Human_Data_Entry!$J$3:$J$524,"&lt;&gt;HOLD",Human_Data_Entry!$U$3:$U$524,"&gt;0")-SUMIFS(Human_Data_Entry!$U$3:$U$524,Human_Data_Entry!$H$3:$H$524,"Human",Human_Data_Entry!$J$3:$J$524,"&lt;&gt;HOLD",Human_Data_Entry!$U$3:$U$524,"&lt;0"))/B30*$B$9,"")</f>
        <v/>
      </c>
      <c r="C56" s="238" t="inlineStr">
        <is>
          <t>Mean absolute net return per human trade, on the notional size. This is the average size of a move the human arm actually took, so it is what one correct call is worth. It is not ABS(B32): B32 is the mean signed return, in which wins and losses cancel, and pricing a call off that understates it by roughly nine times. The verdict in B59 is unchanged either way.</t>
        </is>
      </c>
      <c r="E56" s="238" t="inlineStr">
        <is>
          <t>Approximated from the average absolute return per trade. A crude proxy, not a traded P&amp;L figure.</t>
        </is>
      </c>
    </row>
    <row r="57" ht="30" customHeight="1" s="241">
      <c r="A57" s="55" t="inlineStr">
        <is>
          <t>Break-even accuracy gain needed</t>
        </is>
      </c>
      <c r="B57" s="50">
        <f>IFERROR(B55/B56,"")</f>
        <v/>
      </c>
      <c r="C57" s="238" t="inlineStr">
        <is>
          <t>Extra accuracy the human must deliver to justify the extra cost.</t>
        </is>
      </c>
    </row>
    <row r="58" ht="15.95" customHeight="1" s="241">
      <c r="A58" s="55" t="inlineStr">
        <is>
          <t>Observed accuracy gain (H - L)</t>
        </is>
      </c>
      <c r="B58" s="50">
        <f>IFERROR(B23-C23,"")</f>
        <v/>
      </c>
      <c r="C58" s="13" t="inlineStr">
        <is>
          <t>Negative means the LLM is currently more accurate.</t>
        </is>
      </c>
    </row>
    <row r="59" ht="30" customHeight="1" s="241">
      <c r="A59" s="55" t="inlineStr">
        <is>
          <t>Verdict</t>
        </is>
      </c>
      <c r="B59" s="146">
        <f>IFERROR(IF(B58&gt;=B57,"Human time justified","Human time not justified"),"")</f>
        <v/>
      </c>
      <c r="C59" s="13" t="inlineStr">
        <is>
          <t>Reads directly from the two rows above.</t>
        </is>
      </c>
    </row>
    <row r="60" ht="15.95" customHeight="1" s="241"/>
    <row r="61" ht="45.95" customHeight="1" s="241">
      <c r="A61" s="9" t="inlineStr">
        <is>
          <t>7. Time Spent vs Accuracy (human only)</t>
        </is>
      </c>
      <c r="E61" s="238" t="inlineStr">
        <is>
          <t>If the slower readings are no more accurate, time spent is not buying accuracy. Buckets are in minutes; the Time (sec) column on the Human sheet is the same data x60.</t>
        </is>
      </c>
    </row>
    <row r="62" ht="15.95" customHeight="1" s="241">
      <c r="A62" s="15" t="inlineStr">
        <is>
          <t>Time bucket (min)</t>
        </is>
      </c>
      <c r="B62" s="15" t="inlineStr">
        <is>
          <t>Readings</t>
        </is>
      </c>
      <c r="C62" s="15" t="inlineStr">
        <is>
          <t>Accuracy</t>
        </is>
      </c>
      <c r="D62" s="15" t="inlineStr">
        <is>
          <t>Avg %/trade</t>
        </is>
      </c>
    </row>
    <row r="63" ht="45.95" customHeight="1" s="241">
      <c r="A63" s="55" t="inlineStr">
        <is>
          <t>Under 20</t>
        </is>
      </c>
      <c r="B63" s="131">
        <f>COUNTIFS(Human_Data_Entry!$K$3:$K$524,"&gt;="&amp;0,Human_Data_Entry!$K$3:$K$524,"&lt;"&amp;20,Human_Data_Entry!$S$3:$S$524,"?*")</f>
        <v/>
      </c>
      <c r="C63" s="132">
        <f>IFERROR(COUNTIFS(Human_Data_Entry!$K$3:$K$524,"&gt;="&amp;0,Human_Data_Entry!$K$3:$K$524,"&lt;"&amp;20,Human_Data_Entry!$S$3:$S$524,"YES")/B63,"")</f>
        <v/>
      </c>
      <c r="D63" s="140">
        <f>IFERROR(AVERAGEIFS(Human_Data_Entry!$U$3:$U$524,Human_Data_Entry!$K$3:$K$524,"&gt;="&amp;0,Human_Data_Entry!$K$3:$K$524,"&lt;"&amp;20,Human_Data_Entry!$J$3:$J$524,"&lt;&gt;HOLD",Human_Data_Entry!$U$3:$U$524,"&lt;&gt;"),"")</f>
        <v/>
      </c>
    </row>
    <row r="64" ht="45.95" customHeight="1" s="241">
      <c r="A64" s="55" t="inlineStr">
        <is>
          <t>20 to 29</t>
        </is>
      </c>
      <c r="B64" s="131">
        <f>COUNTIFS(Human_Data_Entry!$K$3:$K$524,"&gt;="&amp;20,Human_Data_Entry!$K$3:$K$524,"&lt;"&amp;30,Human_Data_Entry!$S$3:$S$524,"?*")</f>
        <v/>
      </c>
      <c r="C64" s="132">
        <f>IFERROR(COUNTIFS(Human_Data_Entry!$K$3:$K$524,"&gt;="&amp;20,Human_Data_Entry!$K$3:$K$524,"&lt;"&amp;30,Human_Data_Entry!$S$3:$S$524,"YES")/B64,"")</f>
        <v/>
      </c>
      <c r="D64" s="140">
        <f>IFERROR(AVERAGEIFS(Human_Data_Entry!$U$3:$U$524,Human_Data_Entry!$K$3:$K$524,"&gt;="&amp;20,Human_Data_Entry!$K$3:$K$524,"&lt;"&amp;30,Human_Data_Entry!$J$3:$J$524,"&lt;&gt;HOLD",Human_Data_Entry!$U$3:$U$524,"&lt;&gt;"),"")</f>
        <v/>
      </c>
    </row>
    <row r="65" ht="45.95" customHeight="1" s="241">
      <c r="A65" s="55" t="inlineStr">
        <is>
          <t>30 to 39</t>
        </is>
      </c>
      <c r="B65" s="131">
        <f>COUNTIFS(Human_Data_Entry!$K$3:$K$524,"&gt;="&amp;30,Human_Data_Entry!$K$3:$K$524,"&lt;"&amp;40,Human_Data_Entry!$S$3:$S$524,"?*")</f>
        <v/>
      </c>
      <c r="C65" s="132">
        <f>IFERROR(COUNTIFS(Human_Data_Entry!$K$3:$K$524,"&gt;="&amp;30,Human_Data_Entry!$K$3:$K$524,"&lt;"&amp;40,Human_Data_Entry!$S$3:$S$524,"YES")/B65,"")</f>
        <v/>
      </c>
      <c r="D65" s="140">
        <f>IFERROR(AVERAGEIFS(Human_Data_Entry!$U$3:$U$524,Human_Data_Entry!$K$3:$K$524,"&gt;="&amp;30,Human_Data_Entry!$K$3:$K$524,"&lt;"&amp;40,Human_Data_Entry!$J$3:$J$524,"&lt;&gt;HOLD",Human_Data_Entry!$U$3:$U$524,"&lt;&gt;"),"")</f>
        <v/>
      </c>
    </row>
    <row r="66" ht="45.95" customHeight="1" s="241">
      <c r="A66" s="55" t="inlineStr">
        <is>
          <t>40 to 49</t>
        </is>
      </c>
      <c r="B66" s="131">
        <f>COUNTIFS(Human_Data_Entry!$K$3:$K$524,"&gt;="&amp;40,Human_Data_Entry!$K$3:$K$524,"&lt;"&amp;50,Human_Data_Entry!$S$3:$S$524,"?*")</f>
        <v/>
      </c>
      <c r="C66" s="132">
        <f>IFERROR(COUNTIFS(Human_Data_Entry!$K$3:$K$524,"&gt;="&amp;40,Human_Data_Entry!$K$3:$K$524,"&lt;"&amp;50,Human_Data_Entry!$S$3:$S$524,"YES")/B66,"")</f>
        <v/>
      </c>
      <c r="D66" s="140">
        <f>IFERROR(AVERAGEIFS(Human_Data_Entry!$U$3:$U$524,Human_Data_Entry!$K$3:$K$524,"&gt;="&amp;40,Human_Data_Entry!$K$3:$K$524,"&lt;"&amp;50,Human_Data_Entry!$J$3:$J$524,"&lt;&gt;HOLD",Human_Data_Entry!$U$3:$U$524,"&lt;&gt;"),"")</f>
        <v/>
      </c>
    </row>
    <row r="67" ht="45.95" customHeight="1" s="241">
      <c r="A67" s="55" t="inlineStr">
        <is>
          <t>50 to 59</t>
        </is>
      </c>
      <c r="B67" s="131">
        <f>COUNTIFS(Human_Data_Entry!$K$3:$K$524,"&gt;="&amp;50,Human_Data_Entry!$K$3:$K$524,"&lt;"&amp;60,Human_Data_Entry!$S$3:$S$524,"?*")</f>
        <v/>
      </c>
      <c r="C67" s="132">
        <f>IFERROR(COUNTIFS(Human_Data_Entry!$K$3:$K$524,"&gt;="&amp;50,Human_Data_Entry!$K$3:$K$524,"&lt;"&amp;60,Human_Data_Entry!$S$3:$S$524,"YES")/B67,"")</f>
        <v/>
      </c>
      <c r="D67" s="140">
        <f>IFERROR(AVERAGEIFS(Human_Data_Entry!$U$3:$U$524,Human_Data_Entry!$K$3:$K$524,"&gt;="&amp;50,Human_Data_Entry!$K$3:$K$524,"&lt;"&amp;60,Human_Data_Entry!$J$3:$J$524,"&lt;&gt;HOLD",Human_Data_Entry!$U$3:$U$524,"&lt;&gt;"),"")</f>
        <v/>
      </c>
    </row>
    <row r="68" ht="45.95" customHeight="1" s="241">
      <c r="A68" s="55" t="inlineStr">
        <is>
          <t>60 and over</t>
        </is>
      </c>
      <c r="B68" s="131">
        <f>COUNTIFS(Human_Data_Entry!$K$3:$K$524,"&gt;="&amp;60,Human_Data_Entry!$K$3:$K$524,"&lt;"&amp;999,Human_Data_Entry!$S$3:$S$524,"?*")</f>
        <v/>
      </c>
      <c r="C68" s="132">
        <f>IFERROR(COUNTIFS(Human_Data_Entry!$K$3:$K$524,"&gt;="&amp;60,Human_Data_Entry!$K$3:$K$524,"&lt;"&amp;999,Human_Data_Entry!$S$3:$S$524,"YES")/B68,"")</f>
        <v/>
      </c>
      <c r="D68" s="140">
        <f>IFERROR(AVERAGEIFS(Human_Data_Entry!$U$3:$U$524,Human_Data_Entry!$K$3:$K$524,"&gt;="&amp;60,Human_Data_Entry!$K$3:$K$524,"&lt;"&amp;999,Human_Data_Entry!$J$3:$J$524,"&lt;&gt;HOLD",Human_Data_Entry!$U$3:$U$524,"&lt;&gt;"),"")</f>
        <v/>
      </c>
    </row>
    <row r="69" ht="15.95" customHeight="1" s="241"/>
    <row r="70" ht="15.95" customHeight="1" s="241"/>
    <row r="71" ht="15.95" customHeight="1" s="241">
      <c r="A71" s="9" t="inlineStr">
        <is>
          <t>How to Update This Sheet</t>
        </is>
      </c>
    </row>
    <row r="72" ht="15.95" customHeight="1" s="241">
      <c r="A72" s="15" t="inlineStr">
        <is>
          <t>What to change</t>
        </is>
      </c>
      <c r="B72" s="15" t="n"/>
      <c r="C72" s="15" t="n"/>
      <c r="D72" s="15" t="inlineStr">
        <is>
          <t>Where</t>
        </is>
      </c>
      <c r="E72" s="15" t="inlineStr">
        <is>
          <t>Effect</t>
        </is>
      </c>
      <c r="H72" s="9" t="inlineStr">
        <is>
          <t>Chart feeders</t>
        </is>
      </c>
    </row>
    <row r="73" ht="45.95" customHeight="1" s="241">
      <c r="A73" s="68" t="inlineStr">
        <is>
          <t>Real token cost per document</t>
        </is>
      </c>
      <c r="B73" s="68" t="n"/>
      <c r="C73" s="68" t="n"/>
      <c r="D73" s="69" t="inlineStr">
        <is>
          <t>LLM_Data_Entry column O (Token Cost), one value per row</t>
        </is>
      </c>
      <c r="E73" s="238" t="inlineStr">
        <is>
          <t>Cell B7 reads the live average of that column automatically, and Total cost now sums the actual per-document costs. Every cost figure updates, including cost per document, cost per correct call, break-even accuracy and the verdict. No formula edit needed.</t>
        </is>
      </c>
      <c r="H73" s="15" t="inlineStr">
        <is>
          <t>Measure</t>
        </is>
      </c>
      <c r="I73" s="15" t="inlineStr">
        <is>
          <t>Human</t>
        </is>
      </c>
      <c r="J73" s="15" t="inlineStr">
        <is>
          <t>LLM</t>
        </is>
      </c>
    </row>
    <row r="74" ht="30" customHeight="1" s="241">
      <c r="A74" s="68" t="inlineStr">
        <is>
          <t>Analyst hourly cost</t>
        </is>
      </c>
      <c r="B74" s="68" t="n"/>
      <c r="C74" s="68" t="n"/>
      <c r="D74" s="69" t="inlineStr">
        <is>
          <t>Cell B6 on this sheet</t>
        </is>
      </c>
      <c r="E74" s="238" t="inlineStr">
        <is>
          <t>Drives total human cost, cost per document, cost per correct call, cost per net call gained, and the break-even calculation.</t>
        </is>
      </c>
      <c r="H74" s="55" t="inlineStr">
        <is>
          <t>Docs per hour</t>
        </is>
      </c>
      <c r="I74" s="61">
        <f>$B$16</f>
        <v/>
      </c>
      <c r="J74" s="61">
        <f>$C$16</f>
        <v/>
      </c>
    </row>
    <row r="75" ht="45.95" customHeight="1" s="241">
      <c r="A75" s="68" t="inlineStr">
        <is>
          <t>LLM runtime per document</t>
        </is>
      </c>
      <c r="B75" s="68" t="n"/>
      <c r="C75" s="68" t="n"/>
      <c r="D75" s="69" t="inlineStr">
        <is>
          <t>LLM_Data_Entry column I (Time (seconds)), one value per row</t>
        </is>
      </c>
      <c r="E75" s="238" t="inlineStr">
        <is>
          <t>LIVE. Cell B8 reads the measured average, and LLM total effort sums the actual per-document runtimes. Drives documents per hour and return per analyst hour. Cell B11 is the fallback used only while column I is empty.</t>
        </is>
      </c>
      <c r="H75" s="55" t="inlineStr">
        <is>
          <t>Cost per doc ($)</t>
        </is>
      </c>
      <c r="I75" s="65">
        <f>$B$18</f>
        <v/>
      </c>
      <c r="J75" s="65">
        <f>$C$18</f>
        <v/>
      </c>
    </row>
    <row r="76" ht="30" customHeight="1" s="241">
      <c r="A76" s="68" t="inlineStr">
        <is>
          <t>Notional position size</t>
        </is>
      </c>
      <c r="B76" s="68" t="n"/>
      <c r="C76" s="68" t="n"/>
      <c r="D76" s="69" t="inlineStr">
        <is>
          <t>Cell B9 on this sheet</t>
        </is>
      </c>
      <c r="E76" s="238" t="inlineStr">
        <is>
          <t>Only converts percentage returns into cash. Affects the value of a correct call in the break-even block. No percentage figure changes.</t>
        </is>
      </c>
      <c r="H76" s="55" t="inlineStr">
        <is>
          <t>Cost per correct call ($)</t>
        </is>
      </c>
      <c r="I76" s="65">
        <f>$B$24</f>
        <v/>
      </c>
      <c r="J76" s="65">
        <f>$C$24</f>
        <v/>
      </c>
    </row>
    <row r="77" ht="30" customHeight="1" s="241">
      <c r="A77" s="68" t="inlineStr">
        <is>
          <t>Fallback LLM cost and runtime</t>
        </is>
      </c>
      <c r="B77" s="68" t="n"/>
      <c r="C77" s="68" t="n"/>
      <c r="D77" s="69" t="inlineStr">
        <is>
          <t>Cells B10 and B11 on this sheet</t>
        </is>
      </c>
      <c r="E77" s="238" t="inlineStr">
        <is>
          <t>Placeholders used only while columns O and I are empty. Ignored once real token costs and timings are present.</t>
        </is>
      </c>
    </row>
    <row r="78" ht="45.95" customHeight="1" s="241">
      <c r="A78" s="68" t="inlineStr">
        <is>
          <t>New readings</t>
        </is>
      </c>
      <c r="B78" s="68" t="n"/>
      <c r="C78" s="68" t="n"/>
      <c r="D78" s="69" t="inlineStr">
        <is>
          <t>Add rows to either entry sheet</t>
        </is>
      </c>
      <c r="E78" s="238" t="inlineStr">
        <is>
          <t>Everything on this sheet and both chart sheets recalculates automatically. Formulas span rows 3 to 524 on Human_Data_Entry and rows 3 to 548 on LLM_Data_Entry. No range needs extending until one of those sheets passes its own limit.</t>
        </is>
      </c>
    </row>
    <row r="79" ht="45.95" customHeight="1" s="241">
      <c r="A79" s="68" t="inlineStr">
        <is>
          <t>Beyond row 524 (human) or 548 (LLM)</t>
        </is>
      </c>
      <c r="B79" s="68" t="n"/>
      <c r="C79" s="68" t="n"/>
      <c r="D79" s="147" t="inlineStr">
        <is>
          <t>Replace $524 for the human sheet, or $548 for the LLM sheet, with a larger row number</t>
        </is>
      </c>
      <c r="E79" s="238" t="inlineStr">
        <is>
          <t>Applies to this sheet, the Charts sheet and the Summary sheet. The two sheets have different limits, so replace the right one. Note there is no row 400 anywhere in this workbook - the earlier version of this instruction was wrong.</t>
        </is>
      </c>
      <c r="H79" s="9" t="inlineStr">
        <is>
          <t>Return per analyst hour</t>
        </is>
      </c>
    </row>
    <row r="80" ht="15.95" customHeight="1" s="241">
      <c r="H80" s="15" t="inlineStr">
        <is>
          <t>Arm</t>
        </is>
      </c>
      <c r="I80" s="15" t="inlineStr">
        <is>
          <t>Return per hour</t>
        </is>
      </c>
    </row>
    <row r="81" ht="15.95" customHeight="1" s="241">
      <c r="H81" s="55" t="inlineStr">
        <is>
          <t>Human</t>
        </is>
      </c>
      <c r="I81" s="53">
        <f>$B$33</f>
        <v/>
      </c>
    </row>
    <row r="82" ht="15.95" customHeight="1" s="241">
      <c r="A82" s="9" t="inlineStr">
        <is>
          <t>Live Data Status</t>
        </is>
      </c>
      <c r="H82" s="55" t="inlineStr">
        <is>
          <t>LLM</t>
        </is>
      </c>
      <c r="I82" s="53">
        <f>$C$33</f>
        <v/>
      </c>
    </row>
    <row r="83" ht="30" customHeight="1" s="241">
      <c r="A83" s="55" t="inlineStr">
        <is>
          <t>Rows with a token cost entered</t>
        </is>
      </c>
      <c r="B83" s="70">
        <f>COUNT(LLM_Data_Entry!$O$3:$O$548)</f>
        <v/>
      </c>
      <c r="C83" s="57" t="n"/>
      <c r="E83" s="238" t="inlineStr">
        <is>
          <t>Counts numeric entries in the Token Cost column on the LLM sheet.</t>
        </is>
      </c>
    </row>
    <row r="84" ht="30" customHeight="1" s="241">
      <c r="A84" s="55" t="inlineStr">
        <is>
          <t>Cost source currently in use</t>
        </is>
      </c>
      <c r="B84" s="148">
        <f>IF(COUNT(LLM_Data_Entry!$O$3:$O$548)&gt;0,"Live token data","Placeholder (B10)")</f>
        <v/>
      </c>
      <c r="C84" s="57" t="n"/>
      <c r="E84" s="238" t="inlineStr">
        <is>
          <t>Confirms at a glance whether the cost figures are based on real token data or the placeholder.</t>
        </is>
      </c>
    </row>
    <row r="85" ht="30" customHeight="1" s="241">
      <c r="A85" s="55" t="inlineStr">
        <is>
          <t>Rows with a runtime entered</t>
        </is>
      </c>
      <c r="B85" s="70">
        <f>COUNT(LLM_Data_Entry!$I$3:$I$548)</f>
        <v/>
      </c>
      <c r="E85" s="238" t="inlineStr">
        <is>
          <t>Counts numeric entries in the Time (seconds) column on the LLM sheet.</t>
        </is>
      </c>
    </row>
    <row r="86" ht="30" customHeight="1" s="241">
      <c r="A86" s="55" t="inlineStr">
        <is>
          <t>Timing source currently in use</t>
        </is>
      </c>
      <c r="B86" s="148">
        <f>IF(COUNT(LLM_Data_Entry!$I$3:$I$548)&gt;0,"Live measured latency","Placeholder (B11)")</f>
        <v/>
      </c>
      <c r="E86" s="238" t="inlineStr">
        <is>
          <t>Confirms whether runtime figures come from measured data or the placeholder.</t>
        </is>
      </c>
    </row>
    <row r="87" ht="15.95" customHeight="1" s="241"/>
    <row r="88" ht="15.95" customHeight="1" s="241"/>
    <row r="89" ht="30" customHeight="1" s="241">
      <c r="A89" s="101" t="inlineStr">
        <is>
          <t>SECTION D - the two blocks the specification asked for and the sheet never carried. Nothing above row 87 was changed.</t>
        </is>
      </c>
    </row>
    <row r="90" ht="15.95" customHeight="1" s="241"/>
    <row r="91" ht="15.95" customHeight="1" s="241">
      <c r="A91" t="inlineStr">
        <is>
          <t>D5i - Like-for-like: only companies BOTH arms read</t>
        </is>
      </c>
    </row>
    <row r="92" ht="45.95" customHeight="1" s="241">
      <c r="A92" s="101" t="inlineStr">
        <is>
          <t>The human arm read 91 companies and the model arm 71; 71 are shared and 20 were read by the human arm alone. Every comparison in sections 1-7 above is over the full, unmatched universes. The restriction here is per reading, through Human_Data_Entry!AP and LLM_Data_Entry!AK. The three company counts are taken at build time - a distinct count over a text column cannot be written without an array expression Excel refuses - and rb_check_d.py recomputes them from the raw data.</t>
        </is>
      </c>
    </row>
    <row r="93" ht="15.95" customHeight="1" s="241"/>
    <row r="94" ht="15.95" customHeight="1" s="241">
      <c r="A94" t="inlineStr">
        <is>
          <t>Measure</t>
        </is>
      </c>
      <c r="B94" t="inlineStr">
        <is>
          <t>Human published</t>
        </is>
      </c>
      <c r="C94" t="inlineStr">
        <is>
          <t>Human re-priced</t>
        </is>
      </c>
      <c r="D94" t="inlineStr">
        <is>
          <t>LLM published</t>
        </is>
      </c>
      <c r="E94" t="inlineStr">
        <is>
          <t>LLM re-priced</t>
        </is>
      </c>
    </row>
    <row r="95" ht="30" customHeight="1" s="241">
      <c r="A95" t="inlineStr">
        <is>
          <t>Readings in the shared universe</t>
        </is>
      </c>
      <c r="B95" s="101">
        <f>COUNTIFS(Human_Data_Entry!$S$3:$S$524,"?*",Human_Data_Entry!$H$3:$H$524,"Human",Human_Data_Entry!$AP$3:$AP$524,"YES")</f>
        <v/>
      </c>
      <c r="C95" s="101">
        <f>COUNTIFS(Human_Data_Entry!$AJ$3:$AJ$524,"?*",Human_Data_Entry!$H$3:$H$524,"Human",Human_Data_Entry!$AP$3:$AP$524,"YES")</f>
        <v/>
      </c>
      <c r="D95" s="101">
        <f>COUNTIFS(LLM_Data_Entry!$R$3:$R$430,"?*",LLM_Data_Entry!$AK$3:$AK$430,"YES")</f>
        <v/>
      </c>
      <c r="E95" s="101">
        <f>COUNTIFS(LLM_Data_Entry!$AE$3:$AE$430,"?*",LLM_Data_Entry!$AK$3:$AK$430,"YES")</f>
        <v/>
      </c>
    </row>
    <row r="96" ht="30" customHeight="1" s="241">
      <c r="A96" t="inlineStr">
        <is>
          <t>Correct</t>
        </is>
      </c>
      <c r="B96" s="101">
        <f>COUNTIFS(Human_Data_Entry!$S$3:$S$524,"YES",Human_Data_Entry!$H$3:$H$524,"Human",Human_Data_Entry!$AP$3:$AP$524,"YES")</f>
        <v/>
      </c>
      <c r="C96" s="101">
        <f>COUNTIFS(Human_Data_Entry!$AJ$3:$AJ$524,"YES",Human_Data_Entry!$H$3:$H$524,"Human",Human_Data_Entry!$AP$3:$AP$524,"YES")</f>
        <v/>
      </c>
      <c r="D96" s="101">
        <f>COUNTIFS(LLM_Data_Entry!$R$3:$R$430,"YES",LLM_Data_Entry!$AK$3:$AK$430,"YES")</f>
        <v/>
      </c>
      <c r="E96" s="101">
        <f>COUNTIFS(LLM_Data_Entry!$AE$3:$AE$430,"YES",LLM_Data_Entry!$AK$3:$AK$430,"YES")</f>
        <v/>
      </c>
    </row>
    <row r="97" ht="15.95" customHeight="1" s="241">
      <c r="A97" t="inlineStr">
        <is>
          <t>% correct</t>
        </is>
      </c>
      <c r="B97">
        <f>IFERROR(B96/B95,"")</f>
        <v/>
      </c>
      <c r="C97">
        <f>IFERROR(C96/C95,"")</f>
        <v/>
      </c>
      <c r="D97">
        <f>IFERROR(D96/D95,"")</f>
        <v/>
      </c>
      <c r="E97">
        <f>IFERROR(E96/E95,"")</f>
        <v/>
      </c>
    </row>
    <row r="98" ht="45.95" customHeight="1" s="241">
      <c r="A98" t="inlineStr">
        <is>
          <t>Trades</t>
        </is>
      </c>
      <c r="B98" s="101">
        <f>COUNTIFS(Human_Data_Entry!$J$3:$J$524,"BUY",Human_Data_Entry!$S$3:$S$524,"?*",Human_Data_Entry!$H$3:$H$524,"Human",Human_Data_Entry!$AP$3:$AP$524,"YES")+COUNTIFS(Human_Data_Entry!$J$3:$J$524,"SELL",Human_Data_Entry!$S$3:$S$524,"?*",Human_Data_Entry!$H$3:$H$524,"Human",Human_Data_Entry!$AP$3:$AP$524,"YES")</f>
        <v/>
      </c>
      <c r="C98" s="101">
        <f>COUNTIFS(Human_Data_Entry!$J$3:$J$524,"BUY",Human_Data_Entry!$AJ$3:$AJ$524,"?*",Human_Data_Entry!$H$3:$H$524,"Human",Human_Data_Entry!$AP$3:$AP$524,"YES")+COUNTIFS(Human_Data_Entry!$J$3:$J$524,"SELL",Human_Data_Entry!$AJ$3:$AJ$524,"?*",Human_Data_Entry!$H$3:$H$524,"Human",Human_Data_Entry!$AP$3:$AP$524,"YES")</f>
        <v/>
      </c>
      <c r="D98" s="101">
        <f>COUNTIFS(LLM_Data_Entry!$H$3:$H$430,"BUY",LLM_Data_Entry!$R$3:$R$430,"?*",LLM_Data_Entry!$AK$3:$AK$430,"YES")+COUNTIFS(LLM_Data_Entry!$H$3:$H$430,"SELL",LLM_Data_Entry!$R$3:$R$430,"?*",LLM_Data_Entry!$AK$3:$AK$430,"YES")</f>
        <v/>
      </c>
      <c r="E98" s="101">
        <f>COUNTIFS(LLM_Data_Entry!$H$3:$H$430,"BUY",LLM_Data_Entry!$AE$3:$AE$430,"?*",LLM_Data_Entry!$AK$3:$AK$430,"YES")+COUNTIFS(LLM_Data_Entry!$H$3:$H$430,"SELL",LLM_Data_Entry!$AE$3:$AE$430,"?*",LLM_Data_Entry!$AK$3:$AK$430,"YES")</f>
        <v/>
      </c>
    </row>
    <row r="99" ht="30" customHeight="1" s="241">
      <c r="A99" t="inlineStr">
        <is>
          <t>Total return</t>
        </is>
      </c>
      <c r="B99" s="101">
        <f>SUMIFS(Human_Data_Entry!$AT$3:$AT$524,Human_Data_Entry!$AP$3:$AP$524,"YES")</f>
        <v/>
      </c>
      <c r="C99" s="101">
        <f>SUMIFS(Human_Data_Entry!$AU$3:$AU$524,Human_Data_Entry!$AP$3:$AP$524,"YES")</f>
        <v/>
      </c>
      <c r="D99" s="101">
        <f>SUMIFS(LLM_Data_Entry!$AM$3:$AM$430,LLM_Data_Entry!$AK$3:$AK$430,"YES")</f>
        <v/>
      </c>
      <c r="E99" s="101">
        <f>SUMIFS(LLM_Data_Entry!$AN$3:$AN$430,LLM_Data_Entry!$AK$3:$AK$430,"YES")</f>
        <v/>
      </c>
    </row>
    <row r="100" ht="15.95" customHeight="1" s="241">
      <c r="A100" t="inlineStr">
        <is>
          <t>Mean return per trade</t>
        </is>
      </c>
      <c r="B100">
        <f>IFERROR(B99/B98,"")</f>
        <v/>
      </c>
      <c r="C100">
        <f>IFERROR(C99/C98,"")</f>
        <v/>
      </c>
      <c r="D100">
        <f>IFERROR(D99/D98,"")</f>
        <v/>
      </c>
      <c r="E100">
        <f>IFERROR(E99/E98,"")</f>
        <v/>
      </c>
    </row>
    <row r="101" ht="45.95" customHeight="1" s="241">
      <c r="A101" t="inlineStr">
        <is>
          <t>Naive floor on the shared universe</t>
        </is>
      </c>
      <c r="B101" s="101">
        <f>IFERROR(MAX(COUNTIFS(Human_Data_Entry!$R$3:$R$524,"UP",Human_Data_Entry!$H$3:$H$524,"Human",Human_Data_Entry!$AP$3:$AP$524,"YES"),COUNTIFS(Human_Data_Entry!$R$3:$R$524,"DOWN",Human_Data_Entry!$H$3:$H$524,"Human",Human_Data_Entry!$AP$3:$AP$524,"YES"),COUNTIFS(Human_Data_Entry!$R$3:$R$524,"FLAT",Human_Data_Entry!$H$3:$H$524,"Human",Human_Data_Entry!$AP$3:$AP$524,"YES"))/(COUNTIFS(Human_Data_Entry!$R$3:$R$524,"UP",Human_Data_Entry!$H$3:$H$524,"Human",Human_Data_Entry!$AP$3:$AP$524,"YES")+COUNTIFS(Human_Data_Entry!$R$3:$R$524,"DOWN",Human_Data_Entry!$H$3:$H$524,"Human",Human_Data_Entry!$AP$3:$AP$524,"YES")+COUNTIFS(Human_Data_Entry!$R$3:$R$524,"FLAT",Human_Data_Entry!$H$3:$H$524,"Human",Human_Data_Entry!$AP$3:$AP$524,"YES")),"")</f>
        <v/>
      </c>
      <c r="C101" s="101">
        <f>IFERROR(MAX(COUNTIFS(Human_Data_Entry!$AI$3:$AI$524,"UP",Human_Data_Entry!$H$3:$H$524,"Human",Human_Data_Entry!$AP$3:$AP$524,"YES"),COUNTIFS(Human_Data_Entry!$AI$3:$AI$524,"DOWN",Human_Data_Entry!$H$3:$H$524,"Human",Human_Data_Entry!$AP$3:$AP$524,"YES"),COUNTIFS(Human_Data_Entry!$AI$3:$AI$524,"FLAT",Human_Data_Entry!$H$3:$H$524,"Human",Human_Data_Entry!$AP$3:$AP$524,"YES"))/(COUNTIFS(Human_Data_Entry!$AI$3:$AI$524,"UP",Human_Data_Entry!$H$3:$H$524,"Human",Human_Data_Entry!$AP$3:$AP$524,"YES")+COUNTIFS(Human_Data_Entry!$AI$3:$AI$524,"DOWN",Human_Data_Entry!$H$3:$H$524,"Human",Human_Data_Entry!$AP$3:$AP$524,"YES")+COUNTIFS(Human_Data_Entry!$AI$3:$AI$524,"FLAT",Human_Data_Entry!$H$3:$H$524,"Human",Human_Data_Entry!$AP$3:$AP$524,"YES")),"")</f>
        <v/>
      </c>
      <c r="D101" s="101">
        <f>IFERROR(MAX(COUNTIFS(LLM_Data_Entry!$Q$3:$Q$430,"UP",LLM_Data_Entry!$AK$3:$AK$430,"YES"),COUNTIFS(LLM_Data_Entry!$Q$3:$Q$430,"DOWN",LLM_Data_Entry!$AK$3:$AK$430,"YES"),COUNTIFS(LLM_Data_Entry!$Q$3:$Q$430,"FLAT",LLM_Data_Entry!$AK$3:$AK$430,"YES"))/(COUNTIFS(LLM_Data_Entry!$Q$3:$Q$430,"UP",LLM_Data_Entry!$AK$3:$AK$430,"YES")+COUNTIFS(LLM_Data_Entry!$Q$3:$Q$430,"DOWN",LLM_Data_Entry!$AK$3:$AK$430,"YES")+COUNTIFS(LLM_Data_Entry!$Q$3:$Q$430,"FLAT",LLM_Data_Entry!$AK$3:$AK$430,"YES")),"")</f>
        <v/>
      </c>
      <c r="E101" s="101">
        <f>IFERROR(MAX(COUNTIFS(LLM_Data_Entry!$AD$3:$AD$430,"UP",LLM_Data_Entry!$AK$3:$AK$430,"YES"),COUNTIFS(LLM_Data_Entry!$AD$3:$AD$430,"DOWN",LLM_Data_Entry!$AK$3:$AK$430,"YES"),COUNTIFS(LLM_Data_Entry!$AD$3:$AD$430,"FLAT",LLM_Data_Entry!$AK$3:$AK$430,"YES"))/(COUNTIFS(LLM_Data_Entry!$AD$3:$AD$430,"UP",LLM_Data_Entry!$AK$3:$AK$430,"YES")+COUNTIFS(LLM_Data_Entry!$AD$3:$AD$430,"DOWN",LLM_Data_Entry!$AK$3:$AK$430,"YES")+COUNTIFS(LLM_Data_Entry!$AD$3:$AD$430,"FLAT",LLM_Data_Entry!$AK$3:$AK$430,"YES")),"")</f>
        <v/>
      </c>
    </row>
    <row r="102" ht="15.95" customHeight="1" s="241">
      <c r="A102" t="inlineStr">
        <is>
          <t>Margin over that floor (percentage points)</t>
        </is>
      </c>
      <c r="B102">
        <f>(B97-B101)*100</f>
        <v/>
      </c>
      <c r="C102">
        <f>(C97-C101)*100</f>
        <v/>
      </c>
      <c r="D102">
        <f>(D97-D101)*100</f>
        <v/>
      </c>
      <c r="E102">
        <f>(E97-E101)*100</f>
        <v/>
      </c>
    </row>
    <row r="103" ht="45.95" customHeight="1" s="241">
      <c r="A103" t="inlineStr">
        <is>
          <t>% correct on the FULL universe, for comparison</t>
        </is>
      </c>
      <c r="B103" s="101">
        <f>IFERROR(COUNTIFS(Human_Data_Entry!$S$3:$S$524,"YES",Human_Data_Entry!$H$3:$H$524,"Human")/COUNTIFS(Human_Data_Entry!$S$3:$S$524,"?*",Human_Data_Entry!$H$3:$H$524,"Human"),"")</f>
        <v/>
      </c>
      <c r="C103" s="101">
        <f>IFERROR(COUNTIFS(Human_Data_Entry!$AJ$3:$AJ$524,"YES",Human_Data_Entry!$H$3:$H$524,"Human")/COUNTIFS(Human_Data_Entry!$AJ$3:$AJ$524,"?*",Human_Data_Entry!$H$3:$H$524,"Human"),"")</f>
        <v/>
      </c>
      <c r="D103" s="101">
        <f>IFERROR(COUNTIFS(LLM_Data_Entry!$R$3:$R$430,"YES")/COUNTIFS(LLM_Data_Entry!$R$3:$R$430,"?*"),"")</f>
        <v/>
      </c>
      <c r="E103" s="101">
        <f>IFERROR(COUNTIFS(LLM_Data_Entry!$AE$3:$AE$430,"YES")/COUNTIFS(LLM_Data_Entry!$AE$3:$AE$430,"?*"),"")</f>
        <v/>
      </c>
    </row>
    <row r="104" ht="15.95" customHeight="1" s="241"/>
    <row r="105" ht="15.95" customHeight="1" s="241">
      <c r="A105" t="inlineStr">
        <is>
          <t>D5j - Extension 9: total return against round-trip friction</t>
        </is>
      </c>
    </row>
    <row r="106" ht="45.95" customHeight="1" s="241">
      <c r="A106" s="101" t="inlineStr">
        <is>
          <t>Every published figure in this workbook is computed at the round-trip cost in Settings!B4 and at ZERO SLIPPAGE - the specification's slippage term was never declared and is never applied (Settings!B18). Read a row of this grid as round-trip and slippage combined: at 20 bps the arm is paying twice the declared cost, which is what a 10 bp slippage assumption would mean. The break-even row is the friction at which the arm's total return reaches zero.</t>
        </is>
      </c>
    </row>
    <row r="107" ht="15.95" customHeight="1" s="241"/>
    <row r="108" ht="15.95" customHeight="1" s="241">
      <c r="A108" t="inlineStr">
        <is>
          <t>Round-trip cost (bps)</t>
        </is>
      </c>
      <c r="B108" t="inlineStr">
        <is>
          <t>Human published</t>
        </is>
      </c>
      <c r="C108" t="inlineStr">
        <is>
          <t>Human re-priced</t>
        </is>
      </c>
      <c r="D108" t="inlineStr">
        <is>
          <t>LLM published</t>
        </is>
      </c>
      <c r="E108" t="inlineStr">
        <is>
          <t>LLM re-priced</t>
        </is>
      </c>
    </row>
    <row r="109" ht="15.95" customHeight="1" s="241">
      <c r="A109" t="inlineStr">
        <is>
          <t># Trades</t>
        </is>
      </c>
      <c r="B109">
        <f>COUNT(Human_Data_Entry!$AT$3:$AT$524)</f>
        <v/>
      </c>
      <c r="C109">
        <f>COUNT(Human_Data_Entry!$AU$3:$AU$524)</f>
        <v/>
      </c>
      <c r="D109">
        <f>COUNT(LLM_Data_Entry!$AM$3:$AM$430)</f>
        <v/>
      </c>
      <c r="E109">
        <f>COUNT(LLM_Data_Entry!$AN$3:$AN$430)</f>
        <v/>
      </c>
    </row>
    <row r="110" ht="15.95" customHeight="1" s="241">
      <c r="A110" t="inlineStr">
        <is>
          <t>Total return as published (at Settings!B4)</t>
        </is>
      </c>
      <c r="B110">
        <f>SUM(Human_Data_Entry!$AT$3:$AT$524)</f>
        <v/>
      </c>
      <c r="C110">
        <f>SUM(Human_Data_Entry!$AU$3:$AU$524)</f>
        <v/>
      </c>
      <c r="D110">
        <f>SUM(LLM_Data_Entry!$AM$3:$AM$430)</f>
        <v/>
      </c>
      <c r="E110">
        <f>SUM(LLM_Data_Entry!$AN$3:$AN$430)</f>
        <v/>
      </c>
    </row>
    <row r="111" ht="15.95" customHeight="1" s="241">
      <c r="A111" t="n">
        <v>0</v>
      </c>
      <c r="B111">
        <f>B110+B109*(Settings!$B$4-0)/10000</f>
        <v/>
      </c>
      <c r="C111">
        <f>C110+C109*(Settings!$B$4-0)/10000</f>
        <v/>
      </c>
      <c r="D111">
        <f>D110+D109*(Settings!$B$4-0)/10000</f>
        <v/>
      </c>
      <c r="E111">
        <f>E110+E109*(Settings!$B$4-0)/10000</f>
        <v/>
      </c>
    </row>
    <row r="112" ht="15.95" customHeight="1" s="241">
      <c r="A112" t="n">
        <v>5</v>
      </c>
      <c r="B112">
        <f>B110+B109*(Settings!$B$4-5)/10000</f>
        <v/>
      </c>
      <c r="C112">
        <f>C110+C109*(Settings!$B$4-5)/10000</f>
        <v/>
      </c>
      <c r="D112">
        <f>D110+D109*(Settings!$B$4-5)/10000</f>
        <v/>
      </c>
      <c r="E112">
        <f>E110+E109*(Settings!$B$4-5)/10000</f>
        <v/>
      </c>
    </row>
    <row r="113" ht="15.95" customHeight="1" s="241">
      <c r="A113" t="n">
        <v>10</v>
      </c>
      <c r="B113">
        <f>B110+B109*(Settings!$B$4-10)/10000</f>
        <v/>
      </c>
      <c r="C113">
        <f>C110+C109*(Settings!$B$4-10)/10000</f>
        <v/>
      </c>
      <c r="D113">
        <f>D110+D109*(Settings!$B$4-10)/10000</f>
        <v/>
      </c>
      <c r="E113">
        <f>E110+E109*(Settings!$B$4-10)/10000</f>
        <v/>
      </c>
    </row>
    <row r="114" ht="15.95" customHeight="1" s="241">
      <c r="A114" t="n">
        <v>20</v>
      </c>
      <c r="B114">
        <f>B110+B109*(Settings!$B$4-20)/10000</f>
        <v/>
      </c>
      <c r="C114">
        <f>C110+C109*(Settings!$B$4-20)/10000</f>
        <v/>
      </c>
      <c r="D114">
        <f>D110+D109*(Settings!$B$4-20)/10000</f>
        <v/>
      </c>
      <c r="E114">
        <f>E110+E109*(Settings!$B$4-20)/10000</f>
        <v/>
      </c>
    </row>
    <row r="115" ht="15.95" customHeight="1" s="241">
      <c r="A115" t="n">
        <v>30</v>
      </c>
      <c r="B115">
        <f>B110+B109*(Settings!$B$4-30)/10000</f>
        <v/>
      </c>
      <c r="C115">
        <f>C110+C109*(Settings!$B$4-30)/10000</f>
        <v/>
      </c>
      <c r="D115">
        <f>D110+D109*(Settings!$B$4-30)/10000</f>
        <v/>
      </c>
      <c r="E115">
        <f>E110+E109*(Settings!$B$4-30)/10000</f>
        <v/>
      </c>
    </row>
    <row r="116" ht="15.95" customHeight="1" s="241">
      <c r="A116" t="n">
        <v>50</v>
      </c>
      <c r="B116">
        <f>B110+B109*(Settings!$B$4-50)/10000</f>
        <v/>
      </c>
      <c r="C116">
        <f>C110+C109*(Settings!$B$4-50)/10000</f>
        <v/>
      </c>
      <c r="D116">
        <f>D110+D109*(Settings!$B$4-50)/10000</f>
        <v/>
      </c>
      <c r="E116">
        <f>E110+E109*(Settings!$B$4-50)/10000</f>
        <v/>
      </c>
    </row>
    <row r="117" ht="15.95" customHeight="1" s="241">
      <c r="A117" t="n">
        <v>100</v>
      </c>
      <c r="B117">
        <f>B110+B109*(Settings!$B$4-100)/10000</f>
        <v/>
      </c>
      <c r="C117">
        <f>C110+C109*(Settings!$B$4-100)/10000</f>
        <v/>
      </c>
      <c r="D117">
        <f>D110+D109*(Settings!$B$4-100)/10000</f>
        <v/>
      </c>
      <c r="E117">
        <f>E110+E109*(Settings!$B$4-100)/10000</f>
        <v/>
      </c>
    </row>
    <row r="118" ht="15.95" customHeight="1" s="241">
      <c r="A118" t="inlineStr">
        <is>
          <t>Break-even round-trip cost (bps)</t>
        </is>
      </c>
      <c r="B118">
        <f>IFERROR((B110/B109)*10000+Settings!$B$4,"")</f>
        <v/>
      </c>
      <c r="C118">
        <f>IFERROR((C110/C109)*10000+Settings!$B$4,"")</f>
        <v/>
      </c>
      <c r="D118">
        <f>IFERROR((D110/D109)*10000+Settings!$B$4,"")</f>
        <v/>
      </c>
      <c r="E118">
        <f>IFERROR((E110/E109)*10000+Settings!$B$4,"")</f>
        <v/>
      </c>
    </row>
    <row r="119" ht="15.95" customHeight="1" s="241">
      <c r="A119" t="inlineStr">
        <is>
          <t>Still positive at 50 bps?</t>
        </is>
      </c>
      <c r="B119">
        <f>IF(B116&gt;0,"YES","NO")</f>
        <v/>
      </c>
      <c r="C119">
        <f>IF(C116&gt;0,"YES","NO")</f>
        <v/>
      </c>
      <c r="D119">
        <f>IF(D116&gt;0,"YES","NO")</f>
        <v/>
      </c>
      <c r="E119">
        <f>IF(E116&gt;0,"YES","NO")</f>
        <v/>
      </c>
    </row>
    <row r="120" ht="15.95" customHeight="1" s="241"/>
    <row r="121" ht="45.95" customHeight="1" s="241">
      <c r="A121" t="inlineStr">
        <is>
          <t>SECTION E - WHAT THE SPEED FIGURES REST ON</t>
        </is>
      </c>
      <c r="C121" s="101" t="inlineStr">
        <is>
          <t>LLM_Data_Entry column I is empty on every row, so B8 falls through to the B11 placeholder of 8 seconds. Twelve figures on this sheet are a function of that constant: C14, C15, C16, C25, C33, C34 and the five ratios beside them. Nothing below changes any of them.</t>
        </is>
      </c>
    </row>
    <row r="122" ht="15.95" customHeight="1" s="241"/>
    <row r="123" ht="30" customHeight="1" s="241">
      <c r="A123" s="101" t="inlineStr">
        <is>
          <t>E6a. Every model speed figure, priced across the runtime it assumes</t>
        </is>
      </c>
    </row>
    <row r="124" ht="15.95" customHeight="1" s="241">
      <c r="A124" t="inlineStr">
        <is>
          <t>Assumed sec/doc</t>
        </is>
      </c>
      <c r="B124" t="inlineStr">
        <is>
          <t>Total model hours</t>
        </is>
      </c>
      <c r="C124" t="inlineStr">
        <is>
          <t>Docs per hour</t>
        </is>
      </c>
      <c r="D124" t="inlineStr">
        <is>
          <t>Minutes per correct call</t>
        </is>
      </c>
      <c r="E124" t="inlineStr">
        <is>
          <t>Return per hour %</t>
        </is>
      </c>
      <c r="F124" t="inlineStr">
        <is>
          <t>Times faster than the human</t>
        </is>
      </c>
      <c r="G124" t="inlineStr">
        <is>
          <t>Status</t>
        </is>
      </c>
    </row>
    <row r="125" ht="15.95" customHeight="1" s="241">
      <c r="A125" t="n">
        <v>1</v>
      </c>
      <c r="B125">
        <f>$C$13*A125/3600</f>
        <v/>
      </c>
      <c r="C125">
        <f>IFERROR($C$13/B125,"")</f>
        <v/>
      </c>
      <c r="D125">
        <f>IFERROR(B125*60/$C$22,"")</f>
        <v/>
      </c>
      <c r="E125">
        <f>IFERROR($C$31/B125,"")</f>
        <v/>
      </c>
      <c r="F125">
        <f>IFERROR(C125/$B$16,"")</f>
        <v/>
      </c>
    </row>
    <row r="126" ht="15.95" customHeight="1" s="241">
      <c r="A126" t="n">
        <v>2</v>
      </c>
      <c r="B126">
        <f>$C$13*A126/3600</f>
        <v/>
      </c>
      <c r="C126">
        <f>IFERROR($C$13/B126,"")</f>
        <v/>
      </c>
      <c r="D126">
        <f>IFERROR(B126*60/$C$22,"")</f>
        <v/>
      </c>
      <c r="E126">
        <f>IFERROR($C$31/B126,"")</f>
        <v/>
      </c>
      <c r="F126">
        <f>IFERROR(C126/$B$16,"")</f>
        <v/>
      </c>
    </row>
    <row r="127" ht="15.95" customHeight="1" s="241">
      <c r="A127" t="n">
        <v>4</v>
      </c>
      <c r="B127">
        <f>$C$13*A127/3600</f>
        <v/>
      </c>
      <c r="C127">
        <f>IFERROR($C$13/B127,"")</f>
        <v/>
      </c>
      <c r="D127">
        <f>IFERROR(B127*60/$C$22,"")</f>
        <v/>
      </c>
      <c r="E127">
        <f>IFERROR($C$31/B127,"")</f>
        <v/>
      </c>
      <c r="F127">
        <f>IFERROR(C127/$B$16,"")</f>
        <v/>
      </c>
    </row>
    <row r="128" ht="30" customHeight="1" s="241">
      <c r="A128" t="n">
        <v>8</v>
      </c>
      <c r="B128">
        <f>$C$13*A128/3600</f>
        <v/>
      </c>
      <c r="C128">
        <f>IFERROR($C$13/B128,"")</f>
        <v/>
      </c>
      <c r="D128">
        <f>IFERROR(B128*60/$C$22,"")</f>
        <v/>
      </c>
      <c r="E128">
        <f>IFERROR($C$31/B128,"")</f>
        <v/>
      </c>
      <c r="F128">
        <f>IFERROR(C128/$B$16,"")</f>
        <v/>
      </c>
      <c r="G128" s="101" t="inlineStr">
        <is>
          <t>the placeholder the sheet is using, declared nowhere above row 85</t>
        </is>
      </c>
    </row>
    <row r="129" ht="15.95" customHeight="1" s="241">
      <c r="A129" t="n">
        <v>14.3075</v>
      </c>
      <c r="B129">
        <f>$C$13*A129/3600</f>
        <v/>
      </c>
      <c r="C129">
        <f>IFERROR($C$13/B129,"")</f>
        <v/>
      </c>
      <c r="D129">
        <f>IFERROR(B129*60/$C$22,"")</f>
        <v/>
      </c>
      <c r="E129">
        <f>IFERROR($C$31/B129,"")</f>
        <v/>
      </c>
      <c r="F129">
        <f>IFERROR(C129/$B$16,"")</f>
        <v/>
      </c>
      <c r="G129" t="inlineStr">
        <is>
          <t>the only measurement ever taken (n=4, Airbnb, v1)</t>
        </is>
      </c>
    </row>
    <row r="130" ht="15.95" customHeight="1" s="241">
      <c r="A130" t="n">
        <v>15</v>
      </c>
      <c r="B130">
        <f>$C$13*A130/3600</f>
        <v/>
      </c>
      <c r="C130">
        <f>IFERROR($C$13/B130,"")</f>
        <v/>
      </c>
      <c r="D130">
        <f>IFERROR(B130*60/$C$22,"")</f>
        <v/>
      </c>
      <c r="E130">
        <f>IFERROR($C$31/B130,"")</f>
        <v/>
      </c>
      <c r="F130">
        <f>IFERROR(C130/$B$16,"")</f>
        <v/>
      </c>
    </row>
    <row r="131" ht="15.95" customHeight="1" s="241">
      <c r="A131" t="n">
        <v>30</v>
      </c>
      <c r="B131">
        <f>$C$13*A131/3600</f>
        <v/>
      </c>
      <c r="C131">
        <f>IFERROR($C$13/B131,"")</f>
        <v/>
      </c>
      <c r="D131">
        <f>IFERROR(B131*60/$C$22,"")</f>
        <v/>
      </c>
      <c r="E131">
        <f>IFERROR($C$31/B131,"")</f>
        <v/>
      </c>
      <c r="F131">
        <f>IFERROR(C131/$B$16,"")</f>
        <v/>
      </c>
    </row>
    <row r="132" ht="15.95" customHeight="1" s="241">
      <c r="A132" t="n">
        <v>60</v>
      </c>
      <c r="B132">
        <f>$C$13*A132/3600</f>
        <v/>
      </c>
      <c r="C132">
        <f>IFERROR($C$13/B132,"")</f>
        <v/>
      </c>
      <c r="D132">
        <f>IFERROR(B132*60/$C$22,"")</f>
        <v/>
      </c>
      <c r="E132">
        <f>IFERROR($C$31/B132,"")</f>
        <v/>
      </c>
      <c r="F132">
        <f>IFERROR(C132/$B$16,"")</f>
        <v/>
      </c>
    </row>
    <row r="133" ht="15.95" customHeight="1" s="241">
      <c r="A133" t="n">
        <v>120</v>
      </c>
      <c r="B133">
        <f>$C$13*A133/3600</f>
        <v/>
      </c>
      <c r="C133">
        <f>IFERROR($C$13/B133,"")</f>
        <v/>
      </c>
      <c r="D133">
        <f>IFERROR(B133*60/$C$22,"")</f>
        <v/>
      </c>
      <c r="E133">
        <f>IFERROR($C$31/B133,"")</f>
        <v/>
      </c>
      <c r="F133">
        <f>IFERROR(C133/$B$16,"")</f>
        <v/>
      </c>
    </row>
    <row r="134" ht="30" customHeight="1" s="241">
      <c r="A134" t="inlineStr">
        <is>
          <t>Runtime at which the model reads no faster than the human</t>
        </is>
      </c>
      <c r="B134">
        <f>IFERROR(3600/$B$16,"")</f>
        <v/>
      </c>
      <c r="C134" s="101" t="inlineStr">
        <is>
          <t>Seconds per document. The advantage is large under every plausible runtime; what the placeholder decides is the size of the number quoted, not the direction.</t>
        </is>
      </c>
    </row>
    <row r="135" ht="15.95" customHeight="1" s="241"/>
    <row r="136" ht="30" customHeight="1" s="241">
      <c r="A136" t="inlineStr">
        <is>
          <t>E6b. The human side of the same comparison</t>
        </is>
      </c>
      <c r="C136" s="101" t="inlineStr">
        <is>
          <t>17 readings record two passes inside one row, with the minutes summed. The document count treats them as one read; the minutes count both.</t>
        </is>
      </c>
    </row>
    <row r="137" ht="15.95" customHeight="1" s="241">
      <c r="A137" t="inlineStr">
        <is>
          <t>Measure</t>
        </is>
      </c>
      <c r="B137" t="inlineStr">
        <is>
          <t>As published</t>
        </is>
      </c>
      <c r="C137" t="inlineStr">
        <is>
          <t>Counting each recorded pass</t>
        </is>
      </c>
    </row>
    <row r="138" ht="15.95" customHeight="1" s="241">
      <c r="A138" t="inlineStr">
        <is>
          <t>Documents read</t>
        </is>
      </c>
      <c r="B138" t="n">
        <v>404</v>
      </c>
      <c r="C138" t="n">
        <v>421</v>
      </c>
    </row>
    <row r="139" ht="15.95" customHeight="1" s="241">
      <c r="A139" t="inlineStr">
        <is>
          <t>Total effort (hours)</t>
        </is>
      </c>
      <c r="B139" t="n">
        <v>190.4333</v>
      </c>
      <c r="C139" t="inlineStr">
        <is>
          <t>Unchanged - the minutes were always the sum of both passes.</t>
        </is>
      </c>
    </row>
    <row r="140" ht="15.95" customHeight="1" s="241">
      <c r="A140" t="inlineStr">
        <is>
          <t>Minutes per document</t>
        </is>
      </c>
      <c r="B140" t="n">
        <v>28.2822</v>
      </c>
      <c r="C140" t="n">
        <v>27.1401</v>
      </c>
    </row>
    <row r="141" ht="15.95" customHeight="1" s="241">
      <c r="A141" t="inlineStr">
        <is>
          <t>Documents per hour</t>
        </is>
      </c>
      <c r="B141" t="n">
        <v>2.1215</v>
      </c>
      <c r="C141" t="n">
        <v>2.2107</v>
      </c>
    </row>
    <row r="142" ht="15.95" customHeight="1" s="241">
      <c r="A142" t="inlineStr">
        <is>
          <t>Model advantage at the 8s placeholder</t>
        </is>
      </c>
      <c r="B142" t="n">
        <v>212.1</v>
      </c>
      <c r="C142" t="n">
        <v>203.6</v>
      </c>
    </row>
    <row r="143" ht="15.95" customHeight="1" s="241">
      <c r="A143" t="inlineStr">
        <is>
          <t>Model advantage at the measured 14.31s</t>
        </is>
      </c>
      <c r="B143" t="n">
        <v>118.6</v>
      </c>
      <c r="C143" t="n">
        <v>113.8</v>
      </c>
    </row>
    <row r="144" ht="15.95" customHeight="1" s="241"/>
    <row r="145" ht="45.95" customHeight="1" s="241">
      <c r="A145" t="inlineStr">
        <is>
          <t>SECTION H - EFFICIENCY ON THE DE-DUPLICATED BASIS</t>
        </is>
      </c>
      <c r="C145" s="101" t="inlineStr">
        <is>
          <t>The block above counts every reading. From 10 August 2026 the headline counts one reading per rater-event, so the human arm's cost and time are restated on that basis here. H5 also restored 80 minutes to six of David's readings.</t>
        </is>
      </c>
    </row>
    <row r="146" ht="15.95" customHeight="1" s="241">
      <c r="A146" t="inlineStr">
        <is>
          <t>Measure</t>
        </is>
      </c>
      <c r="B146" t="inlineStr">
        <is>
          <t>HEADLINE: one per rater-event</t>
        </is>
      </c>
      <c r="C146" t="inlineStr">
        <is>
          <t>Robustness: pooled</t>
        </is>
      </c>
      <c r="D146" t="inlineStr">
        <is>
          <t>Note</t>
        </is>
      </c>
    </row>
    <row r="147" ht="30" customHeight="1" s="241">
      <c r="A147" t="inlineStr">
        <is>
          <t>Scored human readings</t>
        </is>
      </c>
      <c r="B147" s="101">
        <f>COUNTIFS(Human_Data_Entry!$H$3:$H$524,"Human",Human_Data_Entry!$S$3:$S$524,"?*",Human_Data_Entry!$BC$3:$BC$524,1)</f>
        <v/>
      </c>
      <c r="C147" s="101">
        <f>COUNTIFS(Human_Data_Entry!$H$3:$H$524,"Human",Human_Data_Entry!$S$3:$S$524,"?*")</f>
        <v/>
      </c>
    </row>
    <row r="148" ht="30" customHeight="1" s="241">
      <c r="A148" t="inlineStr">
        <is>
          <t>Human minutes</t>
        </is>
      </c>
      <c r="B148" s="101">
        <f>SUMIFS(Human_Data_Entry!$K$3:$K$524,Human_Data_Entry!$H$3:$H$524,"Human",Human_Data_Entry!$S$3:$S$524,"?*",Human_Data_Entry!$BC$3:$BC$524,1)</f>
        <v/>
      </c>
      <c r="C148" s="101">
        <f>SUMIFS(Human_Data_Entry!$K$3:$K$524,Human_Data_Entry!$H$3:$H$524,"Human",Human_Data_Entry!$S$3:$S$524,"?*")</f>
        <v/>
      </c>
    </row>
    <row r="149" ht="45.95" customHeight="1" s="241">
      <c r="A149" t="inlineStr">
        <is>
          <t>Minutes per reading</t>
        </is>
      </c>
      <c r="B149" s="101">
        <f>IFERROR(SUMIFS(Human_Data_Entry!$K$3:$K$524,Human_Data_Entry!$H$3:$H$524,"Human",Human_Data_Entry!$S$3:$S$524,"?*",Human_Data_Entry!$BC$3:$BC$524,1)/COUNTIFS(Human_Data_Entry!$H$3:$H$524,"Human",Human_Data_Entry!$S$3:$S$524,"?*",Human_Data_Entry!$BC$3:$BC$524,1),"")</f>
        <v/>
      </c>
      <c r="C149" s="101">
        <f>IFERROR(SUMIFS(Human_Data_Entry!$K$3:$K$524,Human_Data_Entry!$H$3:$H$524,"Human",Human_Data_Entry!$S$3:$S$524,"?*")/COUNTIFS(Human_Data_Entry!$H$3:$H$524,"Human",Human_Data_Entry!$S$3:$S$524,"?*"),"")</f>
        <v/>
      </c>
    </row>
    <row r="150" ht="30" customHeight="1" s="241">
      <c r="A150" t="inlineStr">
        <is>
          <t>Human hours</t>
        </is>
      </c>
      <c r="B150" s="101">
        <f>IFERROR(SUMIFS(Human_Data_Entry!$K$3:$K$524,Human_Data_Entry!$H$3:$H$524,"Human",Human_Data_Entry!$S$3:$S$524,"?*",Human_Data_Entry!$BC$3:$BC$524,1)/60,"")</f>
        <v/>
      </c>
      <c r="C150" s="101">
        <f>IFERROR(SUMIFS(Human_Data_Entry!$K$3:$K$524,Human_Data_Entry!$H$3:$H$524,"Human",Human_Data_Entry!$S$3:$S$524,"?*")/60,"")</f>
        <v/>
      </c>
    </row>
    <row r="151" ht="45.95" customHeight="1" s="241">
      <c r="A151" t="inlineStr">
        <is>
          <t>Return per human hour</t>
        </is>
      </c>
      <c r="B151" s="101">
        <f>IFERROR(SUMIFS(Human_Data_Entry!$U$3:$U$524,Human_Data_Entry!$H$3:$H$524,"Human",Human_Data_Entry!$J$3:$J$524,"&lt;&gt;HOLD",Human_Data_Entry!$S$3:$S$524,"?*",Human_Data_Entry!$BC$3:$BC$524,1)/(SUMIFS(Human_Data_Entry!$K$3:$K$524,Human_Data_Entry!$H$3:$H$524,"Human",Human_Data_Entry!$S$3:$S$524,"?*",Human_Data_Entry!$BC$3:$BC$524,1)/60),"")</f>
        <v/>
      </c>
      <c r="C151" s="101">
        <f>IFERROR(SUMIFS(Human_Data_Entry!$U$3:$U$524,Human_Data_Entry!$H$3:$H$524,"Human",Human_Data_Entry!$J$3:$J$524,"&lt;&gt;HOLD",Human_Data_Entry!$S$3:$S$524,"?*")/(SUMIFS(Human_Data_Entry!$K$3:$K$524,Human_Data_Entry!$H$3:$H$524,"Human",Human_Data_Entry!$S$3:$S$524,"?*")/60),"")</f>
        <v/>
      </c>
      <c r="D151" s="101" t="inlineStr">
        <is>
          <t>Both columns fall against the published figure: H2 removes return and H5 adds hours.</t>
        </is>
      </c>
    </row>
    <row r="152" ht="15.95" customHeight="1" s="241"/>
    <row r="153" ht="45.95" customHeight="1" s="241">
      <c r="A153" t="inlineStr">
        <is>
          <t>Model latency per document</t>
        </is>
      </c>
      <c r="B153" t="n">
        <v>8</v>
      </c>
      <c r="C153" s="101" t="inlineStr">
        <is>
          <t>H10. Declared by the group on 10 August 2026, not measured. Nothing on LLM_Data_Entry!I times a single one of the 268 model readings; the only latency ever measured is 14.3075 s (n=4, Airbnb, Phase 2/Master_Data_v1.xlsx), 79% higher. The grid above prices every figure across the plausible range and stays. E-d is still open: this declares the number, it does not record a run.</t>
        </is>
      </c>
    </row>
  </sheetData>
  <pageMargins left="0.75" right="0.75" top="1" bottom="1" header="0.5" footer="0.5"/>
  <pageSetup orientation="landscape" fitToHeight="0"/>
  <drawing xmlns:r="http://schemas.openxmlformats.org/officeDocument/2006/relationships" r:id="rId1"/>
</worksheet>
</file>

<file path=xl/worksheets/sheet20.xml><?xml version="1.0" encoding="utf-8"?>
<worksheet xmlns="http://schemas.openxmlformats.org/spreadsheetml/2006/main">
  <sheetPr>
    <tabColor rgb="FFA6A6A6"/>
    <outlinePr summaryBelow="1" summaryRight="1"/>
    <pageSetUpPr fitToPage="1"/>
  </sheetPr>
  <dimension ref="A1:J207"/>
  <sheetViews>
    <sheetView showGridLines="0" workbookViewId="0">
      <pane ySplit="2" topLeftCell="A3" activePane="bottomLeft" state="frozen"/>
      <selection pane="bottomLeft" activeCell="C82" sqref="C82"/>
    </sheetView>
  </sheetViews>
  <sheetFormatPr baseColWidth="8" defaultColWidth="11.42578125" defaultRowHeight="15"/>
  <cols>
    <col width="30" bestFit="1" customWidth="1" style="241" min="1" max="1"/>
    <col width="11" customWidth="1" style="241" min="2" max="2"/>
    <col width="9" customWidth="1" style="241" min="3" max="3"/>
    <col width="9" customWidth="1" style="241" min="5" max="5"/>
    <col width="20" bestFit="1" customWidth="1" style="241" min="6" max="6"/>
    <col width="46" customWidth="1" style="241" min="7" max="7"/>
    <col width="24" customWidth="1" style="241" min="8" max="8"/>
    <col width="46" customWidth="1" style="241" min="9" max="9"/>
    <col width="18" customWidth="1" style="241" min="10" max="10"/>
  </cols>
  <sheetData>
    <row r="1" ht="45.95" customHeight="1" s="241">
      <c r="A1" s="11" t="inlineStr">
        <is>
          <t>Company Reference List</t>
        </is>
      </c>
      <c r="G1" s="101" t="inlineStr">
        <is>
          <t>SECTION D - Phase drives the split reporting on Summary and is read by Human_Data_Entry!AL and LLM_Data_Entry!AG. It is resolved from which corpus folder holds the company, for every company on this list rather than only the ones already read, so a newly typed reading is classified rather than dropped. Sector is the GICS sector, declared per company in the build (query D-d, answered 10 August 2026) and driving the by-sector split on Summary. Columns A:F are untouched.</t>
        </is>
      </c>
    </row>
    <row r="2" ht="15.95" customHeight="1" s="241">
      <c r="A2" s="151" t="inlineStr">
        <is>
          <t>Company</t>
        </is>
      </c>
      <c r="B2" s="151" t="inlineStr">
        <is>
          <t>Ticker</t>
        </is>
      </c>
      <c r="C2" s="151" t="inlineStr">
        <is>
          <t>Owner</t>
        </is>
      </c>
      <c r="E2" s="151" t="inlineStr">
        <is>
          <t>Rater</t>
        </is>
      </c>
      <c r="F2" s="151" t="inlineStr">
        <is>
          <t>Company Count</t>
        </is>
      </c>
      <c r="G2" s="151" t="inlineStr">
        <is>
          <t>Phase</t>
        </is>
      </c>
      <c r="H2" s="151" t="inlineStr">
        <is>
          <t>Sector</t>
        </is>
      </c>
      <c r="I2" s="151" t="inlineStr">
        <is>
          <t>Corpus Folder</t>
        </is>
      </c>
      <c r="J2" s="151" t="inlineStr">
        <is>
          <t>Corpus Documents</t>
        </is>
      </c>
    </row>
    <row r="3" ht="15.95" customHeight="1" s="241">
      <c r="A3" s="16" t="inlineStr">
        <is>
          <t>Netflix</t>
        </is>
      </c>
      <c r="B3" s="17" t="inlineStr">
        <is>
          <t>NFLX</t>
        </is>
      </c>
      <c r="C3" s="16" t="inlineStr">
        <is>
          <t>David</t>
        </is>
      </c>
      <c r="E3" t="inlineStr">
        <is>
          <t>Abdul</t>
        </is>
      </c>
      <c r="F3">
        <f>COUNTIF($C:$C,E3)</f>
        <v/>
      </c>
      <c r="G3" t="inlineStr">
        <is>
          <t>P2</t>
        </is>
      </c>
      <c r="H3" t="inlineStr">
        <is>
          <t>Communication Services</t>
        </is>
      </c>
      <c r="I3" t="inlineStr">
        <is>
          <t>Phase 2/Netflix</t>
        </is>
      </c>
      <c r="J3" t="n">
        <v>14</v>
      </c>
    </row>
    <row r="4" ht="15.95" customHeight="1" s="241">
      <c r="A4" s="16" t="inlineStr">
        <is>
          <t>Target</t>
        </is>
      </c>
      <c r="B4" s="17" t="inlineStr">
        <is>
          <t>TGT</t>
        </is>
      </c>
      <c r="C4" s="16" t="inlineStr">
        <is>
          <t>Abdul</t>
        </is>
      </c>
      <c r="E4" t="inlineStr">
        <is>
          <t>Anna</t>
        </is>
      </c>
      <c r="F4">
        <f>COUNTIF($C:$C,E4)</f>
        <v/>
      </c>
      <c r="G4" t="inlineStr">
        <is>
          <t>both</t>
        </is>
      </c>
      <c r="H4" t="inlineStr">
        <is>
          <t>Consumer Staples</t>
        </is>
      </c>
      <c r="I4" t="inlineStr">
        <is>
          <t>Phase 2/Target; Phase 3/Readings/Target</t>
        </is>
      </c>
      <c r="J4" t="n">
        <v>16</v>
      </c>
    </row>
    <row r="5" ht="15.95" customHeight="1" s="241">
      <c r="A5" s="16" t="inlineStr">
        <is>
          <t>Boeing</t>
        </is>
      </c>
      <c r="B5" s="17" t="inlineStr">
        <is>
          <t>BA</t>
        </is>
      </c>
      <c r="C5" s="16" t="inlineStr">
        <is>
          <t>Nigel</t>
        </is>
      </c>
      <c r="E5" t="inlineStr">
        <is>
          <t>David</t>
        </is>
      </c>
      <c r="F5">
        <f>COUNTIF($C:$C,E5)</f>
        <v/>
      </c>
      <c r="G5" t="inlineStr">
        <is>
          <t>P2</t>
        </is>
      </c>
      <c r="H5" t="inlineStr">
        <is>
          <t>Industrials</t>
        </is>
      </c>
      <c r="I5" t="inlineStr">
        <is>
          <t>Phase 2/Boeing</t>
        </is>
      </c>
      <c r="J5" t="n">
        <v>20</v>
      </c>
    </row>
    <row r="6" ht="15.95" customHeight="1" s="241">
      <c r="A6" s="16" t="inlineStr">
        <is>
          <t>Bank of America</t>
        </is>
      </c>
      <c r="B6" s="17" t="inlineStr">
        <is>
          <t>BAC</t>
        </is>
      </c>
      <c r="C6" s="16" t="inlineStr">
        <is>
          <t>Abdul</t>
        </is>
      </c>
      <c r="E6" t="inlineStr">
        <is>
          <t>Dragos</t>
        </is>
      </c>
      <c r="F6">
        <f>COUNTIF($C:$C,E6)</f>
        <v/>
      </c>
      <c r="G6" t="inlineStr">
        <is>
          <t>P2</t>
        </is>
      </c>
      <c r="H6" t="inlineStr">
        <is>
          <t>Financials</t>
        </is>
      </c>
      <c r="I6" t="inlineStr">
        <is>
          <t>Phase 2/bank of america</t>
        </is>
      </c>
      <c r="J6" t="n">
        <v>25</v>
      </c>
    </row>
    <row r="7" ht="15.95" customHeight="1" s="241">
      <c r="A7" s="16" t="inlineStr">
        <is>
          <t>JPMorgan</t>
        </is>
      </c>
      <c r="B7" s="17" t="inlineStr">
        <is>
          <t>JPM</t>
        </is>
      </c>
      <c r="C7" s="16" t="inlineStr">
        <is>
          <t>Nigel</t>
        </is>
      </c>
      <c r="E7" t="inlineStr">
        <is>
          <t>Meriem</t>
        </is>
      </c>
      <c r="F7">
        <f>COUNTIF($C:$C,E7)</f>
        <v/>
      </c>
      <c r="G7" t="inlineStr">
        <is>
          <t>P2</t>
        </is>
      </c>
      <c r="H7" t="inlineStr">
        <is>
          <t>Financials</t>
        </is>
      </c>
      <c r="I7" t="inlineStr">
        <is>
          <t>Phase 2/JPMC Documents</t>
        </is>
      </c>
      <c r="J7" t="n">
        <v>27</v>
      </c>
    </row>
    <row r="8" ht="15.95" customHeight="1" s="241">
      <c r="A8" s="16" t="inlineStr">
        <is>
          <t>Apple</t>
        </is>
      </c>
      <c r="B8" s="17" t="inlineStr">
        <is>
          <t>AAPL</t>
        </is>
      </c>
      <c r="C8" s="16" t="inlineStr">
        <is>
          <t>Meriem</t>
        </is>
      </c>
      <c r="E8" t="inlineStr">
        <is>
          <t>Nigel</t>
        </is>
      </c>
      <c r="F8">
        <f>COUNTIF($C:$C,E8)</f>
        <v/>
      </c>
      <c r="G8" t="inlineStr">
        <is>
          <t>P2</t>
        </is>
      </c>
      <c r="H8" t="inlineStr">
        <is>
          <t>Information Technology</t>
        </is>
      </c>
      <c r="I8" t="inlineStr">
        <is>
          <t>Phase 2/Apple</t>
        </is>
      </c>
      <c r="J8" t="n">
        <v>6</v>
      </c>
    </row>
    <row r="9" ht="15.95" customHeight="1" s="241">
      <c r="A9" s="16" t="inlineStr">
        <is>
          <t>Microsoft</t>
        </is>
      </c>
      <c r="B9" s="17" t="inlineStr">
        <is>
          <t>MSFT</t>
        </is>
      </c>
      <c r="C9" s="16" t="inlineStr">
        <is>
          <t>Abdul</t>
        </is>
      </c>
      <c r="G9" t="inlineStr">
        <is>
          <t>P2</t>
        </is>
      </c>
      <c r="H9" t="inlineStr">
        <is>
          <t>Information Technology</t>
        </is>
      </c>
      <c r="I9" t="inlineStr">
        <is>
          <t>Phase 2/Microsoft</t>
        </is>
      </c>
      <c r="J9" t="n">
        <v>9</v>
      </c>
    </row>
    <row r="10" ht="15.95" customHeight="1" s="241">
      <c r="A10" s="16" t="inlineStr">
        <is>
          <t>Alphabet</t>
        </is>
      </c>
      <c r="B10" s="17" t="inlineStr">
        <is>
          <t>GOOGL</t>
        </is>
      </c>
      <c r="C10" s="16" t="inlineStr">
        <is>
          <t>David</t>
        </is>
      </c>
      <c r="G10" t="inlineStr">
        <is>
          <t>P2</t>
        </is>
      </c>
      <c r="H10" t="inlineStr">
        <is>
          <t>Communication Services</t>
        </is>
      </c>
      <c r="I10" t="inlineStr">
        <is>
          <t>Phase 2/Alphabet</t>
        </is>
      </c>
      <c r="J10" t="n">
        <v>8</v>
      </c>
    </row>
    <row r="11" ht="15.95" customHeight="1" s="241">
      <c r="A11" s="16" t="inlineStr">
        <is>
          <t>Amazon</t>
        </is>
      </c>
      <c r="B11" s="17" t="inlineStr">
        <is>
          <t>AMZN</t>
        </is>
      </c>
      <c r="C11" s="16" t="inlineStr">
        <is>
          <t>David</t>
        </is>
      </c>
      <c r="G11" t="inlineStr">
        <is>
          <t>P2</t>
        </is>
      </c>
      <c r="H11" t="inlineStr">
        <is>
          <t>Consumer Discretionary</t>
        </is>
      </c>
      <c r="I11" t="inlineStr">
        <is>
          <t>Phase 2/Amazon</t>
        </is>
      </c>
      <c r="J11" t="n">
        <v>6</v>
      </c>
    </row>
    <row r="12" ht="15.95" customHeight="1" s="241">
      <c r="A12" s="16" t="inlineStr">
        <is>
          <t>Meta</t>
        </is>
      </c>
      <c r="B12" s="17" t="inlineStr">
        <is>
          <t>META</t>
        </is>
      </c>
      <c r="C12" s="16" t="inlineStr">
        <is>
          <t>David</t>
        </is>
      </c>
      <c r="G12" t="inlineStr">
        <is>
          <t>P2</t>
        </is>
      </c>
      <c r="H12" t="inlineStr">
        <is>
          <t>Communication Services</t>
        </is>
      </c>
      <c r="I12" t="inlineStr">
        <is>
          <t>Phase 2/META</t>
        </is>
      </c>
      <c r="J12" t="n">
        <v>6</v>
      </c>
    </row>
    <row r="13" ht="15.95" customHeight="1" s="241">
      <c r="A13" s="16" t="inlineStr">
        <is>
          <t>Tesla</t>
        </is>
      </c>
      <c r="B13" s="17" t="inlineStr">
        <is>
          <t>TSLA</t>
        </is>
      </c>
      <c r="C13" s="16" t="inlineStr">
        <is>
          <t>David</t>
        </is>
      </c>
      <c r="G13" t="inlineStr">
        <is>
          <t>P2</t>
        </is>
      </c>
      <c r="H13" t="inlineStr">
        <is>
          <t>Consumer Discretionary</t>
        </is>
      </c>
      <c r="I13" t="inlineStr">
        <is>
          <t>Phase 2/Tesla</t>
        </is>
      </c>
      <c r="J13" t="n">
        <v>6</v>
      </c>
    </row>
    <row r="14" ht="15.95" customHeight="1" s="241">
      <c r="A14" s="16" t="inlineStr">
        <is>
          <t>AMD</t>
        </is>
      </c>
      <c r="B14" s="17" t="inlineStr">
        <is>
          <t>AMD</t>
        </is>
      </c>
      <c r="C14" s="16" t="inlineStr">
        <is>
          <t>David</t>
        </is>
      </c>
      <c r="G14" t="inlineStr">
        <is>
          <t>P2</t>
        </is>
      </c>
      <c r="H14" t="inlineStr">
        <is>
          <t>Information Technology</t>
        </is>
      </c>
      <c r="I14" t="inlineStr">
        <is>
          <t>Phase 2/AMD</t>
        </is>
      </c>
      <c r="J14" t="n">
        <v>6</v>
      </c>
    </row>
    <row r="15" ht="15.95" customHeight="1" s="241">
      <c r="A15" s="16" t="inlineStr">
        <is>
          <t>Intel</t>
        </is>
      </c>
      <c r="B15" s="17" t="inlineStr">
        <is>
          <t>INTC</t>
        </is>
      </c>
      <c r="C15" s="16" t="inlineStr">
        <is>
          <t>David</t>
        </is>
      </c>
      <c r="G15" t="inlineStr">
        <is>
          <t>P2</t>
        </is>
      </c>
      <c r="H15" t="inlineStr">
        <is>
          <t>Information Technology</t>
        </is>
      </c>
      <c r="I15" t="inlineStr">
        <is>
          <t>Phase 2/Intel</t>
        </is>
      </c>
      <c r="J15" t="n">
        <v>11</v>
      </c>
    </row>
    <row r="16" ht="15.95" customHeight="1" s="241">
      <c r="A16" s="16" t="inlineStr">
        <is>
          <t>Qualcomm</t>
        </is>
      </c>
      <c r="B16" s="17" t="inlineStr">
        <is>
          <t>QCOM</t>
        </is>
      </c>
      <c r="C16" s="16" t="n"/>
      <c r="G16" t="inlineStr">
        <is>
          <t>unmapped</t>
        </is>
      </c>
      <c r="H16" t="inlineStr">
        <is>
          <t>Information Technology</t>
        </is>
      </c>
      <c r="I16" t="inlineStr">
        <is>
          <t>none</t>
        </is>
      </c>
      <c r="J16" t="n">
        <v>0</v>
      </c>
    </row>
    <row r="17" ht="15.95" customHeight="1" s="241">
      <c r="A17" s="16" t="inlineStr">
        <is>
          <t>Broadcom</t>
        </is>
      </c>
      <c r="B17" s="17" t="inlineStr">
        <is>
          <t>AVGO</t>
        </is>
      </c>
      <c r="C17" s="16" t="inlineStr">
        <is>
          <t>David</t>
        </is>
      </c>
      <c r="G17" t="inlineStr">
        <is>
          <t>P2</t>
        </is>
      </c>
      <c r="H17" t="inlineStr">
        <is>
          <t>Information Technology</t>
        </is>
      </c>
      <c r="I17" t="inlineStr">
        <is>
          <t>Phase 2/Broadcom</t>
        </is>
      </c>
      <c r="J17" t="n">
        <v>8</v>
      </c>
    </row>
    <row r="18" ht="15.95" customHeight="1" s="241">
      <c r="A18" s="16" t="inlineStr">
        <is>
          <t>Oracle</t>
        </is>
      </c>
      <c r="B18" s="17" t="inlineStr">
        <is>
          <t>ORCL</t>
        </is>
      </c>
      <c r="C18" s="16" t="inlineStr">
        <is>
          <t>David</t>
        </is>
      </c>
      <c r="G18" t="inlineStr">
        <is>
          <t>P2</t>
        </is>
      </c>
      <c r="H18" t="inlineStr">
        <is>
          <t>Information Technology</t>
        </is>
      </c>
      <c r="I18" t="inlineStr">
        <is>
          <t>Phase 2/Oracle</t>
        </is>
      </c>
      <c r="J18" t="n">
        <v>8</v>
      </c>
    </row>
    <row r="19" ht="15.95" customHeight="1" s="241">
      <c r="A19" s="16" t="inlineStr">
        <is>
          <t>Salesforce</t>
        </is>
      </c>
      <c r="B19" s="17" t="inlineStr">
        <is>
          <t>CRM</t>
        </is>
      </c>
      <c r="C19" s="16" t="inlineStr">
        <is>
          <t>David</t>
        </is>
      </c>
      <c r="G19" t="inlineStr">
        <is>
          <t>P2</t>
        </is>
      </c>
      <c r="H19" t="inlineStr">
        <is>
          <t>Information Technology</t>
        </is>
      </c>
      <c r="I19" t="inlineStr">
        <is>
          <t>Phase 2/SalesForce</t>
        </is>
      </c>
      <c r="J19" t="n">
        <v>7</v>
      </c>
    </row>
    <row r="20" ht="15.95" customHeight="1" s="241">
      <c r="A20" s="16" t="inlineStr">
        <is>
          <t>Adobe</t>
        </is>
      </c>
      <c r="B20" s="17" t="inlineStr">
        <is>
          <t>ADBE</t>
        </is>
      </c>
      <c r="C20" s="16" t="inlineStr">
        <is>
          <t>Dragos</t>
        </is>
      </c>
      <c r="G20" t="inlineStr">
        <is>
          <t>P3</t>
        </is>
      </c>
      <c r="H20" t="inlineStr">
        <is>
          <t>Information Technology</t>
        </is>
      </c>
      <c r="I20" t="inlineStr">
        <is>
          <t>Phase 3/Readings/Adobe</t>
        </is>
      </c>
      <c r="J20" t="n">
        <v>16</v>
      </c>
    </row>
    <row r="21" ht="15.95" customHeight="1" s="241">
      <c r="A21" s="16" t="inlineStr">
        <is>
          <t>Cisco</t>
        </is>
      </c>
      <c r="B21" s="17" t="inlineStr">
        <is>
          <t>CSCO</t>
        </is>
      </c>
      <c r="C21" s="16" t="n"/>
      <c r="G21" t="inlineStr">
        <is>
          <t>unmapped</t>
        </is>
      </c>
      <c r="H21" t="inlineStr">
        <is>
          <t>Information Technology</t>
        </is>
      </c>
      <c r="I21" t="inlineStr">
        <is>
          <t>none</t>
        </is>
      </c>
      <c r="J21" t="n">
        <v>0</v>
      </c>
    </row>
    <row r="22" ht="15.95" customHeight="1" s="241">
      <c r="A22" s="16" t="inlineStr">
        <is>
          <t>IBM</t>
        </is>
      </c>
      <c r="B22" s="17" t="inlineStr">
        <is>
          <t>IBM</t>
        </is>
      </c>
      <c r="C22" s="16" t="inlineStr">
        <is>
          <t>Meriem</t>
        </is>
      </c>
      <c r="G22" t="inlineStr">
        <is>
          <t>P2</t>
        </is>
      </c>
      <c r="H22" t="inlineStr">
        <is>
          <t>Information Technology</t>
        </is>
      </c>
      <c r="I22" t="inlineStr">
        <is>
          <t>Phase 2/IBM</t>
        </is>
      </c>
      <c r="J22" t="n">
        <v>6</v>
      </c>
    </row>
    <row r="23" ht="15.95" customHeight="1" s="241">
      <c r="A23" s="16" t="inlineStr">
        <is>
          <t>Palantir</t>
        </is>
      </c>
      <c r="B23" s="17" t="inlineStr">
        <is>
          <t>PLTR</t>
        </is>
      </c>
      <c r="C23" s="16" t="inlineStr">
        <is>
          <t>Nigel</t>
        </is>
      </c>
      <c r="G23" t="inlineStr">
        <is>
          <t>P3</t>
        </is>
      </c>
      <c r="H23" t="inlineStr">
        <is>
          <t>Information Technology</t>
        </is>
      </c>
      <c r="I23" t="inlineStr">
        <is>
          <t>Phase 3/Readings/Palantir</t>
        </is>
      </c>
      <c r="J23" t="n">
        <v>20</v>
      </c>
    </row>
    <row r="24" ht="15.95" customHeight="1" s="241">
      <c r="A24" s="16" t="inlineStr">
        <is>
          <t>ServiceNow</t>
        </is>
      </c>
      <c r="B24" s="17" t="inlineStr">
        <is>
          <t>NOW</t>
        </is>
      </c>
      <c r="C24" s="16" t="n"/>
      <c r="G24" t="inlineStr">
        <is>
          <t>unmapped</t>
        </is>
      </c>
      <c r="H24" t="inlineStr">
        <is>
          <t>Information Technology</t>
        </is>
      </c>
      <c r="I24" t="inlineStr">
        <is>
          <t>none</t>
        </is>
      </c>
      <c r="J24" t="n">
        <v>0</v>
      </c>
    </row>
    <row r="25" ht="15.95" customHeight="1" s="241">
      <c r="A25" s="16" t="inlineStr">
        <is>
          <t>Snowflake</t>
        </is>
      </c>
      <c r="B25" s="17" t="inlineStr">
        <is>
          <t>SNOW</t>
        </is>
      </c>
      <c r="C25" s="16" t="n"/>
      <c r="G25" t="inlineStr">
        <is>
          <t>unmapped</t>
        </is>
      </c>
      <c r="H25" t="inlineStr">
        <is>
          <t>Information Technology</t>
        </is>
      </c>
      <c r="I25" t="inlineStr">
        <is>
          <t>none</t>
        </is>
      </c>
      <c r="J25" t="n">
        <v>0</v>
      </c>
    </row>
    <row r="26" ht="15.95" customHeight="1" s="241">
      <c r="A26" s="16" t="inlineStr">
        <is>
          <t>Shopify</t>
        </is>
      </c>
      <c r="B26" s="17" t="inlineStr">
        <is>
          <t>SHOP</t>
        </is>
      </c>
      <c r="C26" s="16" t="inlineStr">
        <is>
          <t>Meriem</t>
        </is>
      </c>
      <c r="G26" t="inlineStr">
        <is>
          <t>P3</t>
        </is>
      </c>
      <c r="H26" t="inlineStr">
        <is>
          <t>Information Technology</t>
        </is>
      </c>
      <c r="I26" t="inlineStr">
        <is>
          <t>Phase 3/Readings/Shopify</t>
        </is>
      </c>
      <c r="J26" t="n">
        <v>12</v>
      </c>
    </row>
    <row r="27" ht="15.95" customHeight="1" s="241">
      <c r="A27" s="16" t="inlineStr">
        <is>
          <t>SAP</t>
        </is>
      </c>
      <c r="B27" s="17" t="inlineStr">
        <is>
          <t>SAP</t>
        </is>
      </c>
      <c r="C27" s="16" t="n"/>
      <c r="G27" t="inlineStr">
        <is>
          <t>unmapped</t>
        </is>
      </c>
      <c r="H27" t="inlineStr">
        <is>
          <t>Information Technology</t>
        </is>
      </c>
      <c r="I27" t="inlineStr">
        <is>
          <t>none</t>
        </is>
      </c>
      <c r="J27" t="n">
        <v>0</v>
      </c>
    </row>
    <row r="28" ht="15.95" customHeight="1" s="241">
      <c r="A28" s="16" t="inlineStr">
        <is>
          <t>ASML</t>
        </is>
      </c>
      <c r="B28" s="17" t="inlineStr">
        <is>
          <t>ASML</t>
        </is>
      </c>
      <c r="C28" s="16" t="n"/>
      <c r="G28" t="inlineStr">
        <is>
          <t>unmapped</t>
        </is>
      </c>
      <c r="H28" t="inlineStr">
        <is>
          <t>Information Technology</t>
        </is>
      </c>
      <c r="I28" t="inlineStr">
        <is>
          <t>none</t>
        </is>
      </c>
      <c r="J28" t="n">
        <v>0</v>
      </c>
    </row>
    <row r="29" ht="15.95" customHeight="1" s="241">
      <c r="A29" s="16" t="inlineStr">
        <is>
          <t>TSMC</t>
        </is>
      </c>
      <c r="B29" s="17" t="inlineStr">
        <is>
          <t>TSM</t>
        </is>
      </c>
      <c r="C29" s="16" t="n"/>
      <c r="G29" t="inlineStr">
        <is>
          <t>unmapped</t>
        </is>
      </c>
      <c r="H29" t="inlineStr">
        <is>
          <t>Information Technology</t>
        </is>
      </c>
      <c r="I29" t="inlineStr">
        <is>
          <t>none</t>
        </is>
      </c>
      <c r="J29" t="n">
        <v>0</v>
      </c>
    </row>
    <row r="30" ht="15.95" customHeight="1" s="241">
      <c r="A30" s="16" t="inlineStr">
        <is>
          <t>Samsung Electronics</t>
        </is>
      </c>
      <c r="B30" s="17" t="inlineStr">
        <is>
          <t>005930.KS</t>
        </is>
      </c>
      <c r="C30" s="16" t="n"/>
      <c r="G30" t="inlineStr">
        <is>
          <t>unmapped</t>
        </is>
      </c>
      <c r="H30" t="inlineStr">
        <is>
          <t>Information Technology</t>
        </is>
      </c>
      <c r="I30" t="inlineStr">
        <is>
          <t>none</t>
        </is>
      </c>
      <c r="J30" t="n">
        <v>0</v>
      </c>
    </row>
    <row r="31" ht="15.95" customHeight="1" s="241">
      <c r="A31" s="16" t="inlineStr">
        <is>
          <t>Sony</t>
        </is>
      </c>
      <c r="B31" s="17" t="inlineStr">
        <is>
          <t>SONY</t>
        </is>
      </c>
      <c r="C31" s="16" t="inlineStr">
        <is>
          <t>Meriem</t>
        </is>
      </c>
      <c r="G31" t="inlineStr">
        <is>
          <t>P3</t>
        </is>
      </c>
      <c r="H31" t="inlineStr">
        <is>
          <t>Consumer Discretionary</t>
        </is>
      </c>
      <c r="I31" t="inlineStr">
        <is>
          <t>Phase 3/Readings/Sony</t>
        </is>
      </c>
      <c r="J31" t="n">
        <v>12</v>
      </c>
    </row>
    <row r="32" ht="15.95" customHeight="1" s="241">
      <c r="A32" s="16" t="inlineStr">
        <is>
          <t>Uber</t>
        </is>
      </c>
      <c r="B32" s="17" t="inlineStr">
        <is>
          <t>UBER</t>
        </is>
      </c>
      <c r="C32" s="16" t="inlineStr">
        <is>
          <t>Abdul</t>
        </is>
      </c>
      <c r="G32" t="inlineStr">
        <is>
          <t>P2</t>
        </is>
      </c>
      <c r="H32" t="inlineStr">
        <is>
          <t>Industrials</t>
        </is>
      </c>
      <c r="I32" t="inlineStr">
        <is>
          <t>Phase 2/Uber</t>
        </is>
      </c>
      <c r="J32" t="n">
        <v>8</v>
      </c>
    </row>
    <row r="33" ht="15.95" customHeight="1" s="241">
      <c r="A33" s="16" t="inlineStr">
        <is>
          <t>Airbnb</t>
        </is>
      </c>
      <c r="B33" s="17" t="inlineStr">
        <is>
          <t>ABNB</t>
        </is>
      </c>
      <c r="C33" s="16" t="inlineStr">
        <is>
          <t>Anna</t>
        </is>
      </c>
      <c r="G33" t="inlineStr">
        <is>
          <t>P2</t>
        </is>
      </c>
      <c r="H33" t="inlineStr">
        <is>
          <t>Consumer Discretionary</t>
        </is>
      </c>
      <c r="I33" t="inlineStr">
        <is>
          <t>Phase 2/Airbnb</t>
        </is>
      </c>
      <c r="J33" t="n">
        <v>7</v>
      </c>
    </row>
    <row r="34" ht="15.95" customHeight="1" s="241">
      <c r="A34" s="16" t="inlineStr">
        <is>
          <t>PayPal</t>
        </is>
      </c>
      <c r="B34" s="17" t="inlineStr">
        <is>
          <t>PYPL</t>
        </is>
      </c>
      <c r="C34" s="16" t="inlineStr">
        <is>
          <t>Abdul</t>
        </is>
      </c>
      <c r="G34" t="inlineStr">
        <is>
          <t>P3</t>
        </is>
      </c>
      <c r="H34" t="inlineStr">
        <is>
          <t>Financials</t>
        </is>
      </c>
      <c r="I34" t="inlineStr">
        <is>
          <t>Phase 3/Readings/PayPal</t>
        </is>
      </c>
      <c r="J34" t="n">
        <v>6</v>
      </c>
    </row>
    <row r="35" ht="15.95" customHeight="1" s="241">
      <c r="A35" s="16" t="inlineStr">
        <is>
          <t>Block</t>
        </is>
      </c>
      <c r="B35" s="17" t="inlineStr">
        <is>
          <t>XYZ</t>
        </is>
      </c>
      <c r="C35" s="16" t="n"/>
      <c r="G35" t="inlineStr">
        <is>
          <t>unmapped</t>
        </is>
      </c>
      <c r="H35" t="inlineStr">
        <is>
          <t>Financials</t>
        </is>
      </c>
      <c r="I35" t="inlineStr">
        <is>
          <t>none</t>
        </is>
      </c>
      <c r="J35" t="n">
        <v>0</v>
      </c>
    </row>
    <row r="36" ht="15.95" customHeight="1" s="241">
      <c r="A36" s="16" t="inlineStr">
        <is>
          <t>Visa</t>
        </is>
      </c>
      <c r="B36" s="17" t="inlineStr">
        <is>
          <t>V</t>
        </is>
      </c>
      <c r="C36" s="16" t="inlineStr">
        <is>
          <t>Abdul</t>
        </is>
      </c>
      <c r="G36" t="inlineStr">
        <is>
          <t>P3</t>
        </is>
      </c>
      <c r="H36" t="inlineStr">
        <is>
          <t>Financials</t>
        </is>
      </c>
      <c r="I36" t="inlineStr">
        <is>
          <t>Phase 3/Readings/Visa</t>
        </is>
      </c>
      <c r="J36" t="n">
        <v>4</v>
      </c>
    </row>
    <row r="37" ht="15.95" customHeight="1" s="241">
      <c r="A37" s="16" t="inlineStr">
        <is>
          <t>Mastercard</t>
        </is>
      </c>
      <c r="B37" s="17" t="inlineStr">
        <is>
          <t>MA</t>
        </is>
      </c>
      <c r="C37" s="16" t="inlineStr">
        <is>
          <t>David</t>
        </is>
      </c>
      <c r="G37" t="inlineStr">
        <is>
          <t>P2</t>
        </is>
      </c>
      <c r="H37" t="inlineStr">
        <is>
          <t>Financials</t>
        </is>
      </c>
      <c r="I37" t="inlineStr">
        <is>
          <t>Phase 2/Mastercard</t>
        </is>
      </c>
      <c r="J37" t="n">
        <v>11</v>
      </c>
    </row>
    <row r="38" ht="15.95" customHeight="1" s="241">
      <c r="A38" s="16" t="inlineStr">
        <is>
          <t>American Express</t>
        </is>
      </c>
      <c r="B38" s="17" t="inlineStr">
        <is>
          <t>AXP</t>
        </is>
      </c>
      <c r="C38" s="16" t="inlineStr">
        <is>
          <t>David</t>
        </is>
      </c>
      <c r="G38" t="inlineStr">
        <is>
          <t>P2</t>
        </is>
      </c>
      <c r="H38" t="inlineStr">
        <is>
          <t>Financials</t>
        </is>
      </c>
      <c r="I38" t="inlineStr">
        <is>
          <t>Phase 2/American Express</t>
        </is>
      </c>
      <c r="J38" t="n">
        <v>7</v>
      </c>
    </row>
    <row r="39" ht="15.95" customHeight="1" s="241">
      <c r="A39" s="16" t="inlineStr">
        <is>
          <t>Goldman Sachs</t>
        </is>
      </c>
      <c r="B39" s="17" t="inlineStr">
        <is>
          <t>GS</t>
        </is>
      </c>
      <c r="C39" s="16" t="inlineStr">
        <is>
          <t>Dragos</t>
        </is>
      </c>
      <c r="G39" t="inlineStr">
        <is>
          <t>P2</t>
        </is>
      </c>
      <c r="H39" t="inlineStr">
        <is>
          <t>Financials</t>
        </is>
      </c>
      <c r="I39" t="inlineStr">
        <is>
          <t>Phase 2/Goldman Sachs</t>
        </is>
      </c>
      <c r="J39" t="n">
        <v>42</v>
      </c>
    </row>
    <row r="40" ht="15.95" customHeight="1" s="241">
      <c r="A40" s="16" t="inlineStr">
        <is>
          <t>Morgan Stanley</t>
        </is>
      </c>
      <c r="B40" s="17" t="inlineStr">
        <is>
          <t>MS</t>
        </is>
      </c>
      <c r="C40" s="16" t="n"/>
      <c r="G40" t="inlineStr">
        <is>
          <t>unmapped</t>
        </is>
      </c>
      <c r="H40" t="inlineStr">
        <is>
          <t>Financials</t>
        </is>
      </c>
      <c r="I40" t="inlineStr">
        <is>
          <t>none</t>
        </is>
      </c>
      <c r="J40" t="n">
        <v>0</v>
      </c>
    </row>
    <row r="41" ht="15.95" customHeight="1" s="241">
      <c r="A41" s="16" t="inlineStr">
        <is>
          <t>Citigroup</t>
        </is>
      </c>
      <c r="B41" s="17" t="inlineStr">
        <is>
          <t>C</t>
        </is>
      </c>
      <c r="C41" s="16" t="inlineStr">
        <is>
          <t>Nigel</t>
        </is>
      </c>
      <c r="G41" t="inlineStr">
        <is>
          <t>P2</t>
        </is>
      </c>
      <c r="H41" t="inlineStr">
        <is>
          <t>Financials</t>
        </is>
      </c>
      <c r="I41" t="inlineStr">
        <is>
          <t>Phase 2/Citigroup</t>
        </is>
      </c>
      <c r="J41" t="n">
        <v>18</v>
      </c>
    </row>
    <row r="42" ht="15.95" customHeight="1" s="241">
      <c r="A42" s="16" t="inlineStr">
        <is>
          <t>Wells Fargo</t>
        </is>
      </c>
      <c r="B42" s="17" t="inlineStr">
        <is>
          <t>WFC</t>
        </is>
      </c>
      <c r="C42" s="16" t="n"/>
      <c r="G42" t="inlineStr">
        <is>
          <t>unmapped</t>
        </is>
      </c>
      <c r="H42" t="inlineStr">
        <is>
          <t>Financials</t>
        </is>
      </c>
      <c r="I42" t="inlineStr">
        <is>
          <t>none</t>
        </is>
      </c>
      <c r="J42" t="n">
        <v>0</v>
      </c>
    </row>
    <row r="43" ht="15.95" customHeight="1" s="241">
      <c r="A43" s="16" t="inlineStr">
        <is>
          <t>Charles Schwab</t>
        </is>
      </c>
      <c r="B43" s="17" t="inlineStr">
        <is>
          <t>SCHW</t>
        </is>
      </c>
      <c r="C43" s="16" t="inlineStr">
        <is>
          <t>Dragos</t>
        </is>
      </c>
      <c r="G43" t="inlineStr">
        <is>
          <t>P2</t>
        </is>
      </c>
      <c r="H43" t="inlineStr">
        <is>
          <t>Financials</t>
        </is>
      </c>
      <c r="I43" t="inlineStr">
        <is>
          <t>Phase 2/Charles Schwab</t>
        </is>
      </c>
      <c r="J43" t="n">
        <v>26</v>
      </c>
    </row>
    <row r="44" ht="15.95" customHeight="1" s="241">
      <c r="A44" s="16" t="inlineStr">
        <is>
          <t>BlackRock</t>
        </is>
      </c>
      <c r="B44" s="17" t="inlineStr">
        <is>
          <t>BLK</t>
        </is>
      </c>
      <c r="C44" s="16" t="n"/>
      <c r="G44" t="inlineStr">
        <is>
          <t>unmapped</t>
        </is>
      </c>
      <c r="H44" t="inlineStr">
        <is>
          <t>Financials</t>
        </is>
      </c>
      <c r="I44" t="inlineStr">
        <is>
          <t>none</t>
        </is>
      </c>
      <c r="J44" t="n">
        <v>0</v>
      </c>
    </row>
    <row r="45" ht="15.95" customHeight="1" s="241">
      <c r="A45" s="16" t="inlineStr">
        <is>
          <t>KKR</t>
        </is>
      </c>
      <c r="B45" s="17" t="inlineStr">
        <is>
          <t>KKR</t>
        </is>
      </c>
      <c r="C45" s="16" t="n"/>
      <c r="G45" t="inlineStr">
        <is>
          <t>unmapped</t>
        </is>
      </c>
      <c r="H45" t="inlineStr">
        <is>
          <t>Financials</t>
        </is>
      </c>
      <c r="I45" t="inlineStr">
        <is>
          <t>none</t>
        </is>
      </c>
      <c r="J45" t="n">
        <v>0</v>
      </c>
    </row>
    <row r="46" ht="15.95" customHeight="1" s="241">
      <c r="A46" s="16" t="inlineStr">
        <is>
          <t>Apollo Global Management</t>
        </is>
      </c>
      <c r="B46" s="17" t="inlineStr">
        <is>
          <t>APO</t>
        </is>
      </c>
      <c r="C46" s="16" t="n"/>
      <c r="G46" t="inlineStr">
        <is>
          <t>unmapped</t>
        </is>
      </c>
      <c r="H46" t="inlineStr">
        <is>
          <t>Financials</t>
        </is>
      </c>
      <c r="I46" t="inlineStr">
        <is>
          <t>none</t>
        </is>
      </c>
      <c r="J46" t="n">
        <v>0</v>
      </c>
    </row>
    <row r="47" ht="15.95" customHeight="1" s="241">
      <c r="A47" s="16" t="inlineStr">
        <is>
          <t>Blackstone</t>
        </is>
      </c>
      <c r="B47" s="17" t="inlineStr">
        <is>
          <t>BX</t>
        </is>
      </c>
      <c r="C47" s="16" t="n"/>
      <c r="G47" t="inlineStr">
        <is>
          <t>unmapped</t>
        </is>
      </c>
      <c r="H47" t="inlineStr">
        <is>
          <t>Financials</t>
        </is>
      </c>
      <c r="I47" t="inlineStr">
        <is>
          <t>none</t>
        </is>
      </c>
      <c r="J47" t="n">
        <v>0</v>
      </c>
    </row>
    <row r="48" ht="15.95" customHeight="1" s="241">
      <c r="A48" s="16" t="inlineStr">
        <is>
          <t>Coca-Cola</t>
        </is>
      </c>
      <c r="B48" s="17" t="inlineStr">
        <is>
          <t>KO</t>
        </is>
      </c>
      <c r="C48" s="16" t="inlineStr">
        <is>
          <t>Meriem</t>
        </is>
      </c>
      <c r="G48" t="inlineStr">
        <is>
          <t>P2</t>
        </is>
      </c>
      <c r="H48" t="inlineStr">
        <is>
          <t>Consumer Staples</t>
        </is>
      </c>
      <c r="I48" t="inlineStr">
        <is>
          <t>Phase 2/Coca-Cola</t>
        </is>
      </c>
      <c r="J48" t="n">
        <v>3</v>
      </c>
    </row>
    <row r="49" ht="15.95" customHeight="1" s="241">
      <c r="A49" s="16" t="inlineStr">
        <is>
          <t>PepsiCo</t>
        </is>
      </c>
      <c r="B49" s="17" t="inlineStr">
        <is>
          <t>PEP</t>
        </is>
      </c>
      <c r="C49" s="16" t="inlineStr">
        <is>
          <t>Dragos</t>
        </is>
      </c>
      <c r="G49" t="inlineStr">
        <is>
          <t>P2</t>
        </is>
      </c>
      <c r="H49" t="inlineStr">
        <is>
          <t>Consumer Staples</t>
        </is>
      </c>
      <c r="I49" t="inlineStr">
        <is>
          <t>Phase 2/PepsiCo</t>
        </is>
      </c>
      <c r="J49" t="n">
        <v>28</v>
      </c>
    </row>
    <row r="50" ht="15.95" customHeight="1" s="241">
      <c r="A50" s="16" t="inlineStr">
        <is>
          <t>McDonald's</t>
        </is>
      </c>
      <c r="B50" s="17" t="inlineStr">
        <is>
          <t>MCD</t>
        </is>
      </c>
      <c r="C50" s="16" t="inlineStr">
        <is>
          <t>Meriem</t>
        </is>
      </c>
      <c r="G50" t="inlineStr">
        <is>
          <t>P2</t>
        </is>
      </c>
      <c r="H50" t="inlineStr">
        <is>
          <t>Consumer Discretionary</t>
        </is>
      </c>
      <c r="I50" t="inlineStr">
        <is>
          <t>Phase 2/McDonald's</t>
        </is>
      </c>
      <c r="J50" t="n">
        <v>6</v>
      </c>
    </row>
    <row r="51" ht="15.95" customHeight="1" s="241">
      <c r="A51" s="16" t="inlineStr">
        <is>
          <t>Costco</t>
        </is>
      </c>
      <c r="B51" s="17" t="inlineStr">
        <is>
          <t>COST</t>
        </is>
      </c>
      <c r="C51" s="16" t="inlineStr">
        <is>
          <t>Meriem</t>
        </is>
      </c>
      <c r="G51" t="inlineStr">
        <is>
          <t>both</t>
        </is>
      </c>
      <c r="H51" t="inlineStr">
        <is>
          <t>Consumer Staples</t>
        </is>
      </c>
      <c r="I51" t="inlineStr">
        <is>
          <t>Phase 2/Costco; Phase 3/Readings/Costco</t>
        </is>
      </c>
      <c r="J51" t="n">
        <v>12</v>
      </c>
    </row>
    <row r="52" ht="15.95" customHeight="1" s="241">
      <c r="A52" s="16" t="inlineStr">
        <is>
          <t>Walmart</t>
        </is>
      </c>
      <c r="B52" s="17" t="inlineStr">
        <is>
          <t>WMT</t>
        </is>
      </c>
      <c r="C52" s="16" t="inlineStr">
        <is>
          <t>Abdul</t>
        </is>
      </c>
      <c r="G52" t="inlineStr">
        <is>
          <t>P2</t>
        </is>
      </c>
      <c r="H52" t="inlineStr">
        <is>
          <t>Consumer Staples</t>
        </is>
      </c>
      <c r="I52" t="inlineStr">
        <is>
          <t>Phase 2/Walmart</t>
        </is>
      </c>
      <c r="J52" t="n">
        <v>15</v>
      </c>
    </row>
    <row r="53" ht="15.95" customHeight="1" s="241">
      <c r="A53" s="16" t="inlineStr">
        <is>
          <t>Home Depot</t>
        </is>
      </c>
      <c r="B53" s="17" t="inlineStr">
        <is>
          <t>HD</t>
        </is>
      </c>
      <c r="C53" s="16" t="inlineStr">
        <is>
          <t>Dragos</t>
        </is>
      </c>
      <c r="G53" t="inlineStr">
        <is>
          <t>P3</t>
        </is>
      </c>
      <c r="H53" t="inlineStr">
        <is>
          <t>Consumer Discretionary</t>
        </is>
      </c>
      <c r="I53" t="inlineStr">
        <is>
          <t>Phase 3/Readings/Home Depot</t>
        </is>
      </c>
      <c r="J53" t="n">
        <v>16</v>
      </c>
    </row>
    <row r="54" ht="15.95" customHeight="1" s="241">
      <c r="A54" s="16" t="inlineStr">
        <is>
          <t>Lowe's</t>
        </is>
      </c>
      <c r="B54" s="17" t="inlineStr">
        <is>
          <t>LOW</t>
        </is>
      </c>
      <c r="C54" s="16" t="inlineStr">
        <is>
          <t>Anna</t>
        </is>
      </c>
      <c r="G54" t="inlineStr">
        <is>
          <t>P2</t>
        </is>
      </c>
      <c r="H54" t="inlineStr">
        <is>
          <t>Consumer Discretionary</t>
        </is>
      </c>
      <c r="I54" t="inlineStr">
        <is>
          <t>Phase 2/Lowe's</t>
        </is>
      </c>
      <c r="J54" t="n">
        <v>7</v>
      </c>
    </row>
    <row r="55" ht="15.95" customHeight="1" s="241">
      <c r="A55" s="16" t="inlineStr">
        <is>
          <t>Procter &amp; Gamble</t>
        </is>
      </c>
      <c r="B55" s="17" t="inlineStr">
        <is>
          <t>PG</t>
        </is>
      </c>
      <c r="C55" s="16" t="n"/>
      <c r="G55" t="inlineStr">
        <is>
          <t>unmapped</t>
        </is>
      </c>
      <c r="H55" t="inlineStr">
        <is>
          <t>Consumer Staples</t>
        </is>
      </c>
      <c r="I55" t="inlineStr">
        <is>
          <t>none</t>
        </is>
      </c>
      <c r="J55" t="n">
        <v>0</v>
      </c>
    </row>
    <row r="56" ht="15.95" customHeight="1" s="241">
      <c r="A56" s="16" t="inlineStr">
        <is>
          <t>Unilever</t>
        </is>
      </c>
      <c r="B56" s="17" t="inlineStr">
        <is>
          <t>UL</t>
        </is>
      </c>
      <c r="C56" s="16" t="n"/>
      <c r="G56" t="inlineStr">
        <is>
          <t>unmapped</t>
        </is>
      </c>
      <c r="H56" t="inlineStr">
        <is>
          <t>Consumer Staples</t>
        </is>
      </c>
      <c r="I56" t="inlineStr">
        <is>
          <t>none</t>
        </is>
      </c>
      <c r="J56" t="n">
        <v>0</v>
      </c>
    </row>
    <row r="57" ht="15.95" customHeight="1" s="241">
      <c r="A57" s="16" t="inlineStr">
        <is>
          <t>Nestle</t>
        </is>
      </c>
      <c r="B57" s="17" t="inlineStr">
        <is>
          <t>NSRGY</t>
        </is>
      </c>
      <c r="C57" s="16" t="inlineStr">
        <is>
          <t>Meriem</t>
        </is>
      </c>
      <c r="G57" t="inlineStr">
        <is>
          <t>P3</t>
        </is>
      </c>
      <c r="H57" t="inlineStr">
        <is>
          <t>Consumer Staples</t>
        </is>
      </c>
      <c r="I57" t="inlineStr">
        <is>
          <t>Phase 3/Readings/Nestlé</t>
        </is>
      </c>
      <c r="J57" t="n">
        <v>4</v>
      </c>
    </row>
    <row r="58" ht="15.95" customHeight="1" s="241">
      <c r="A58" s="16" t="inlineStr">
        <is>
          <t>Mondelez</t>
        </is>
      </c>
      <c r="B58" s="17" t="inlineStr">
        <is>
          <t>MDLZ</t>
        </is>
      </c>
      <c r="C58" s="16" t="n"/>
      <c r="G58" t="inlineStr">
        <is>
          <t>unmapped</t>
        </is>
      </c>
      <c r="H58" t="inlineStr">
        <is>
          <t>Consumer Staples</t>
        </is>
      </c>
      <c r="I58" t="inlineStr">
        <is>
          <t>none</t>
        </is>
      </c>
      <c r="J58" t="n">
        <v>0</v>
      </c>
    </row>
    <row r="59" ht="15.95" customHeight="1" s="241">
      <c r="A59" s="16" t="inlineStr">
        <is>
          <t>Colgate-Palmolive</t>
        </is>
      </c>
      <c r="B59" s="17" t="inlineStr">
        <is>
          <t>CL</t>
        </is>
      </c>
      <c r="C59" s="16" t="inlineStr">
        <is>
          <t>Anna</t>
        </is>
      </c>
      <c r="G59" t="inlineStr">
        <is>
          <t>P3</t>
        </is>
      </c>
      <c r="H59" t="inlineStr">
        <is>
          <t>Consumer Staples</t>
        </is>
      </c>
      <c r="I59" t="inlineStr">
        <is>
          <t>Phase 3/Readings/Colgate Palmolive</t>
        </is>
      </c>
      <c r="J59" t="n">
        <v>4</v>
      </c>
    </row>
    <row r="60" ht="15.95" customHeight="1" s="241">
      <c r="A60" s="16" t="inlineStr">
        <is>
          <t>Kimberly-Clark</t>
        </is>
      </c>
      <c r="B60" s="17" t="inlineStr">
        <is>
          <t>KMB</t>
        </is>
      </c>
      <c r="C60" s="16" t="n"/>
      <c r="G60" t="inlineStr">
        <is>
          <t>unmapped</t>
        </is>
      </c>
      <c r="H60" t="inlineStr">
        <is>
          <t>Consumer Staples</t>
        </is>
      </c>
      <c r="I60" t="inlineStr">
        <is>
          <t>none</t>
        </is>
      </c>
      <c r="J60" t="n">
        <v>0</v>
      </c>
    </row>
    <row r="61" ht="15.95" customHeight="1" s="241">
      <c r="A61" s="16" t="inlineStr">
        <is>
          <t>Nike</t>
        </is>
      </c>
      <c r="B61" s="17" t="inlineStr">
        <is>
          <t>NKE</t>
        </is>
      </c>
      <c r="C61" s="16" t="inlineStr">
        <is>
          <t>Meriem</t>
        </is>
      </c>
      <c r="G61" t="inlineStr">
        <is>
          <t>P2</t>
        </is>
      </c>
      <c r="H61" t="inlineStr">
        <is>
          <t>Consumer Discretionary</t>
        </is>
      </c>
      <c r="I61" t="inlineStr">
        <is>
          <t>Phase 2/Nike</t>
        </is>
      </c>
      <c r="J61" t="n">
        <v>6</v>
      </c>
    </row>
    <row r="62" ht="15.95" customHeight="1" s="241">
      <c r="A62" s="16" t="inlineStr">
        <is>
          <t>Lululemon</t>
        </is>
      </c>
      <c r="B62" s="17" t="inlineStr">
        <is>
          <t>LULU</t>
        </is>
      </c>
      <c r="C62" s="16" t="inlineStr">
        <is>
          <t>Meriem</t>
        </is>
      </c>
      <c r="G62" t="inlineStr">
        <is>
          <t>P2</t>
        </is>
      </c>
      <c r="H62" t="inlineStr">
        <is>
          <t>Consumer Discretionary</t>
        </is>
      </c>
      <c r="I62" t="inlineStr">
        <is>
          <t>Phase 2/Lululemon</t>
        </is>
      </c>
      <c r="J62" t="n">
        <v>3</v>
      </c>
    </row>
    <row r="63" ht="15.95" customHeight="1" s="241">
      <c r="A63" s="16" t="inlineStr">
        <is>
          <t>Puma</t>
        </is>
      </c>
      <c r="B63" s="17" t="inlineStr">
        <is>
          <t>PUM.DE</t>
        </is>
      </c>
      <c r="C63" s="16" t="inlineStr">
        <is>
          <t>Anna</t>
        </is>
      </c>
      <c r="G63" t="inlineStr">
        <is>
          <t>P3</t>
        </is>
      </c>
      <c r="H63" t="inlineStr">
        <is>
          <t>Consumer Discretionary</t>
        </is>
      </c>
      <c r="I63" t="inlineStr">
        <is>
          <t>Phase 3/Readings/Puma</t>
        </is>
      </c>
      <c r="J63" t="n">
        <v>4</v>
      </c>
    </row>
    <row r="64" ht="15.95" customHeight="1" s="241">
      <c r="A64" s="16" t="inlineStr">
        <is>
          <t>Hermes</t>
        </is>
      </c>
      <c r="B64" s="17" t="inlineStr">
        <is>
          <t>RMSP.XC</t>
        </is>
      </c>
      <c r="C64" s="16" t="inlineStr">
        <is>
          <t>Nigel</t>
        </is>
      </c>
      <c r="G64" t="inlineStr">
        <is>
          <t>P3</t>
        </is>
      </c>
      <c r="H64" t="inlineStr">
        <is>
          <t>Consumer Discretionary</t>
        </is>
      </c>
      <c r="I64" t="inlineStr">
        <is>
          <t>Phase 3/Readings/Hermes</t>
        </is>
      </c>
      <c r="J64" t="n">
        <v>13</v>
      </c>
    </row>
    <row r="65" ht="15.95" customHeight="1" s="241">
      <c r="A65" s="16" t="inlineStr">
        <is>
          <t>LVMH</t>
        </is>
      </c>
      <c r="B65" s="17" t="inlineStr">
        <is>
          <t>MC.PA</t>
        </is>
      </c>
      <c r="C65" s="16" t="inlineStr">
        <is>
          <t>Nigel</t>
        </is>
      </c>
      <c r="G65" t="inlineStr">
        <is>
          <t>P2</t>
        </is>
      </c>
      <c r="H65" t="inlineStr">
        <is>
          <t>Consumer Discretionary</t>
        </is>
      </c>
      <c r="I65" t="inlineStr">
        <is>
          <t>Phase 2/LVMH</t>
        </is>
      </c>
      <c r="J65" t="n">
        <v>8</v>
      </c>
    </row>
    <row r="66" ht="15.95" customHeight="1" s="241">
      <c r="A66" s="16" t="inlineStr">
        <is>
          <t>Richemont</t>
        </is>
      </c>
      <c r="B66" s="17" t="inlineStr">
        <is>
          <t>CFR.SW</t>
        </is>
      </c>
      <c r="C66" s="16" t="n"/>
      <c r="G66" t="inlineStr">
        <is>
          <t>unmapped</t>
        </is>
      </c>
      <c r="H66" t="inlineStr">
        <is>
          <t>Consumer Discretionary</t>
        </is>
      </c>
      <c r="I66" t="inlineStr">
        <is>
          <t>none</t>
        </is>
      </c>
      <c r="J66" t="n">
        <v>0</v>
      </c>
    </row>
    <row r="67" ht="15.95" customHeight="1" s="241">
      <c r="A67" s="16" t="inlineStr">
        <is>
          <t>Pfizer</t>
        </is>
      </c>
      <c r="B67" s="17" t="inlineStr">
        <is>
          <t>PFE</t>
        </is>
      </c>
      <c r="C67" s="16" t="inlineStr">
        <is>
          <t>Abdul</t>
        </is>
      </c>
      <c r="G67" t="inlineStr">
        <is>
          <t>P2</t>
        </is>
      </c>
      <c r="H67" t="inlineStr">
        <is>
          <t>Health Care</t>
        </is>
      </c>
      <c r="I67" t="inlineStr">
        <is>
          <t>Phase 2/Pfizer</t>
        </is>
      </c>
      <c r="J67" t="n">
        <v>4</v>
      </c>
    </row>
    <row r="68" ht="15.95" customHeight="1" s="241">
      <c r="A68" s="16" t="inlineStr">
        <is>
          <t>Moderna</t>
        </is>
      </c>
      <c r="B68" s="17" t="inlineStr">
        <is>
          <t>MRNA</t>
        </is>
      </c>
      <c r="C68" s="16" t="n"/>
      <c r="G68" t="inlineStr">
        <is>
          <t>unmapped</t>
        </is>
      </c>
      <c r="H68" t="inlineStr">
        <is>
          <t>Health Care</t>
        </is>
      </c>
      <c r="I68" t="inlineStr">
        <is>
          <t>none</t>
        </is>
      </c>
      <c r="J68" t="n">
        <v>0</v>
      </c>
    </row>
    <row r="69" ht="15.95" customHeight="1" s="241">
      <c r="A69" s="16" t="inlineStr">
        <is>
          <t>Johnson &amp; Johnson</t>
        </is>
      </c>
      <c r="B69" s="17" t="inlineStr">
        <is>
          <t>JNJ</t>
        </is>
      </c>
      <c r="C69" s="16" t="inlineStr">
        <is>
          <t>Abdul</t>
        </is>
      </c>
      <c r="G69" t="inlineStr">
        <is>
          <t>P3</t>
        </is>
      </c>
      <c r="H69" t="inlineStr">
        <is>
          <t>Health Care</t>
        </is>
      </c>
      <c r="I69" t="inlineStr">
        <is>
          <t>Phase 3/Readings/Jonson &amp; Jonson</t>
        </is>
      </c>
      <c r="J69" t="n">
        <v>8</v>
      </c>
    </row>
    <row r="70" ht="15.95" customHeight="1" s="241">
      <c r="A70" s="16" t="inlineStr">
        <is>
          <t>Merck</t>
        </is>
      </c>
      <c r="B70" s="17" t="inlineStr">
        <is>
          <t>MRK</t>
        </is>
      </c>
      <c r="C70" s="16" t="n"/>
      <c r="G70" t="inlineStr">
        <is>
          <t>unmapped</t>
        </is>
      </c>
      <c r="H70" t="inlineStr">
        <is>
          <t>Health Care</t>
        </is>
      </c>
      <c r="I70" t="inlineStr">
        <is>
          <t>none</t>
        </is>
      </c>
      <c r="J70" t="n">
        <v>0</v>
      </c>
    </row>
    <row r="71" ht="15.95" customHeight="1" s="241">
      <c r="A71" s="16" t="inlineStr">
        <is>
          <t>AbbVie</t>
        </is>
      </c>
      <c r="B71" s="17" t="inlineStr">
        <is>
          <t>ABBV</t>
        </is>
      </c>
      <c r="C71" s="16" t="n"/>
      <c r="G71" t="inlineStr">
        <is>
          <t>unmapped</t>
        </is>
      </c>
      <c r="H71" t="inlineStr">
        <is>
          <t>Health Care</t>
        </is>
      </c>
      <c r="I71" t="inlineStr">
        <is>
          <t>none</t>
        </is>
      </c>
      <c r="J71" t="n">
        <v>0</v>
      </c>
    </row>
    <row r="72" ht="15.95" customHeight="1" s="241">
      <c r="A72" s="16" t="inlineStr">
        <is>
          <t>Eli Lilly</t>
        </is>
      </c>
      <c r="B72" s="17" t="inlineStr">
        <is>
          <t>LLY</t>
        </is>
      </c>
      <c r="C72" s="16" t="inlineStr">
        <is>
          <t>David</t>
        </is>
      </c>
      <c r="G72" t="inlineStr">
        <is>
          <t>P2</t>
        </is>
      </c>
      <c r="H72" t="inlineStr">
        <is>
          <t>Health Care</t>
        </is>
      </c>
      <c r="I72" t="inlineStr">
        <is>
          <t>Phase 2/Eli Lilly</t>
        </is>
      </c>
      <c r="J72" t="n">
        <v>6</v>
      </c>
    </row>
    <row r="73" ht="15.95" customHeight="1" s="241">
      <c r="A73" s="16" t="inlineStr">
        <is>
          <t>Novo Nordisk</t>
        </is>
      </c>
      <c r="B73" s="17" t="inlineStr">
        <is>
          <t>NVO</t>
        </is>
      </c>
      <c r="C73" s="16" t="inlineStr">
        <is>
          <t>Nigel</t>
        </is>
      </c>
      <c r="G73" t="inlineStr">
        <is>
          <t>P2</t>
        </is>
      </c>
      <c r="H73" t="inlineStr">
        <is>
          <t>Health Care</t>
        </is>
      </c>
      <c r="I73" t="inlineStr">
        <is>
          <t>Phase 2/Novo Nordisk</t>
        </is>
      </c>
      <c r="J73" t="n">
        <v>14</v>
      </c>
    </row>
    <row r="74" ht="15.95" customHeight="1" s="241">
      <c r="A74" s="16" t="inlineStr">
        <is>
          <t>AstraZeneca</t>
        </is>
      </c>
      <c r="B74" s="17" t="inlineStr">
        <is>
          <t>AZN</t>
        </is>
      </c>
      <c r="C74" s="16" t="n"/>
      <c r="G74" t="inlineStr">
        <is>
          <t>unmapped</t>
        </is>
      </c>
      <c r="H74" t="inlineStr">
        <is>
          <t>Health Care</t>
        </is>
      </c>
      <c r="I74" t="inlineStr">
        <is>
          <t>none</t>
        </is>
      </c>
      <c r="J74" t="n">
        <v>0</v>
      </c>
    </row>
    <row r="75" ht="15.95" customHeight="1" s="241">
      <c r="A75" s="16" t="inlineStr">
        <is>
          <t>Roche</t>
        </is>
      </c>
      <c r="B75" s="17" t="inlineStr">
        <is>
          <t>RHHBY</t>
        </is>
      </c>
      <c r="C75" s="16" t="n"/>
      <c r="G75" t="inlineStr">
        <is>
          <t>unmapped</t>
        </is>
      </c>
      <c r="H75" t="inlineStr">
        <is>
          <t>Health Care</t>
        </is>
      </c>
      <c r="I75" t="inlineStr">
        <is>
          <t>none</t>
        </is>
      </c>
      <c r="J75" t="n">
        <v>0</v>
      </c>
    </row>
    <row r="76" ht="15.95" customHeight="1" s="241">
      <c r="A76" s="16" t="inlineStr">
        <is>
          <t>Novartis</t>
        </is>
      </c>
      <c r="B76" s="17" t="inlineStr">
        <is>
          <t>NVS</t>
        </is>
      </c>
      <c r="C76" s="16" t="n"/>
      <c r="G76" t="inlineStr">
        <is>
          <t>unmapped</t>
        </is>
      </c>
      <c r="H76" t="inlineStr">
        <is>
          <t>Health Care</t>
        </is>
      </c>
      <c r="I76" t="inlineStr">
        <is>
          <t>none</t>
        </is>
      </c>
      <c r="J76" t="n">
        <v>0</v>
      </c>
    </row>
    <row r="77" ht="15.95" customHeight="1" s="241">
      <c r="A77" s="16" t="inlineStr">
        <is>
          <t>UnitedHealth</t>
        </is>
      </c>
      <c r="B77" s="17" t="inlineStr">
        <is>
          <t>UNH</t>
        </is>
      </c>
      <c r="C77" s="16" t="inlineStr">
        <is>
          <t>Dragos</t>
        </is>
      </c>
      <c r="G77" t="inlineStr">
        <is>
          <t>both</t>
        </is>
      </c>
      <c r="H77" t="inlineStr">
        <is>
          <t>Health Care</t>
        </is>
      </c>
      <c r="I77" t="inlineStr">
        <is>
          <t>Phase 2/Unitedhealth; Phase 3/Readings/UnitedHealth</t>
        </is>
      </c>
      <c r="J77" t="n">
        <v>20</v>
      </c>
    </row>
    <row r="78" ht="15.95" customHeight="1" s="241">
      <c r="A78" s="16" t="inlineStr">
        <is>
          <t>CVS Health</t>
        </is>
      </c>
      <c r="B78" s="17" t="inlineStr">
        <is>
          <t>CVS</t>
        </is>
      </c>
      <c r="C78" s="16" t="inlineStr">
        <is>
          <t>Anna</t>
        </is>
      </c>
      <c r="G78" t="inlineStr">
        <is>
          <t>P2</t>
        </is>
      </c>
      <c r="H78" t="inlineStr">
        <is>
          <t>Health Care</t>
        </is>
      </c>
      <c r="I78" t="inlineStr">
        <is>
          <t>Phase 2/CVS Health</t>
        </is>
      </c>
      <c r="J78" t="n">
        <v>4</v>
      </c>
    </row>
    <row r="79" ht="15.95" customHeight="1" s="241">
      <c r="A79" s="16" t="inlineStr">
        <is>
          <t>Cigna</t>
        </is>
      </c>
      <c r="B79" s="17" t="inlineStr">
        <is>
          <t>CI</t>
        </is>
      </c>
      <c r="C79" s="16" t="n"/>
      <c r="G79" t="inlineStr">
        <is>
          <t>unmapped</t>
        </is>
      </c>
      <c r="H79" t="inlineStr">
        <is>
          <t>Health Care</t>
        </is>
      </c>
      <c r="I79" t="inlineStr">
        <is>
          <t>none</t>
        </is>
      </c>
      <c r="J79" t="n">
        <v>0</v>
      </c>
    </row>
    <row r="80" ht="15.95" customHeight="1" s="241">
      <c r="A80" s="16" t="inlineStr">
        <is>
          <t>ExxonMobil</t>
        </is>
      </c>
      <c r="B80" s="17" t="inlineStr">
        <is>
          <t>XOM</t>
        </is>
      </c>
      <c r="C80" s="16" t="inlineStr">
        <is>
          <t>Dragos</t>
        </is>
      </c>
      <c r="G80" t="inlineStr">
        <is>
          <t>P2</t>
        </is>
      </c>
      <c r="H80" t="inlineStr">
        <is>
          <t>Energy</t>
        </is>
      </c>
      <c r="I80" t="inlineStr">
        <is>
          <t>Phase 2/ExxonMobil</t>
        </is>
      </c>
      <c r="J80" t="n">
        <v>39</v>
      </c>
    </row>
    <row r="81" ht="15.95" customHeight="1" s="241">
      <c r="A81" s="16" t="inlineStr">
        <is>
          <t>Chevron</t>
        </is>
      </c>
      <c r="B81" s="17" t="inlineStr">
        <is>
          <t>CVX</t>
        </is>
      </c>
      <c r="C81" s="16" t="inlineStr">
        <is>
          <t>David</t>
        </is>
      </c>
      <c r="G81" t="inlineStr">
        <is>
          <t>P2</t>
        </is>
      </c>
      <c r="H81" t="inlineStr">
        <is>
          <t>Energy</t>
        </is>
      </c>
      <c r="I81" t="inlineStr">
        <is>
          <t>Phase 2/Chevron</t>
        </is>
      </c>
      <c r="J81" t="n">
        <v>11</v>
      </c>
    </row>
    <row r="82" ht="15.95" customHeight="1" s="241">
      <c r="A82" s="16" t="inlineStr">
        <is>
          <t>Shell</t>
        </is>
      </c>
      <c r="B82" s="17" t="inlineStr">
        <is>
          <t>SHEL</t>
        </is>
      </c>
      <c r="C82" s="16" t="inlineStr">
        <is>
          <t>David</t>
        </is>
      </c>
      <c r="G82" t="inlineStr">
        <is>
          <t>P2</t>
        </is>
      </c>
      <c r="H82" t="inlineStr">
        <is>
          <t>Energy</t>
        </is>
      </c>
      <c r="I82" t="inlineStr">
        <is>
          <t>Phase 2/SHELL</t>
        </is>
      </c>
      <c r="J82" t="n">
        <v>11</v>
      </c>
    </row>
    <row r="83" ht="15.95" customHeight="1" s="241">
      <c r="A83" s="16" t="inlineStr">
        <is>
          <t>BP</t>
        </is>
      </c>
      <c r="B83" s="17" t="inlineStr">
        <is>
          <t>BP</t>
        </is>
      </c>
      <c r="C83" s="16" t="n"/>
      <c r="G83" t="inlineStr">
        <is>
          <t>unmapped</t>
        </is>
      </c>
      <c r="H83" t="inlineStr">
        <is>
          <t>Energy</t>
        </is>
      </c>
      <c r="I83" t="inlineStr">
        <is>
          <t>none</t>
        </is>
      </c>
      <c r="J83" t="n">
        <v>0</v>
      </c>
    </row>
    <row r="84" ht="15.95" customHeight="1" s="241">
      <c r="A84" s="16" t="inlineStr">
        <is>
          <t>TotalEnergies</t>
        </is>
      </c>
      <c r="B84" s="17" t="inlineStr">
        <is>
          <t>TTE</t>
        </is>
      </c>
      <c r="C84" s="16" t="n"/>
      <c r="G84" t="inlineStr">
        <is>
          <t>unmapped</t>
        </is>
      </c>
      <c r="H84" t="inlineStr">
        <is>
          <t>Energy</t>
        </is>
      </c>
      <c r="I84" t="inlineStr">
        <is>
          <t>none</t>
        </is>
      </c>
      <c r="J84" t="n">
        <v>0</v>
      </c>
    </row>
    <row r="85" ht="15.95" customHeight="1" s="241">
      <c r="A85" s="16" t="inlineStr">
        <is>
          <t>ConocoPhillips</t>
        </is>
      </c>
      <c r="B85" s="17" t="inlineStr">
        <is>
          <t>COP</t>
        </is>
      </c>
      <c r="C85" s="16" t="n"/>
      <c r="G85" t="inlineStr">
        <is>
          <t>unmapped</t>
        </is>
      </c>
      <c r="H85" t="inlineStr">
        <is>
          <t>Energy</t>
        </is>
      </c>
      <c r="I85" t="inlineStr">
        <is>
          <t>none</t>
        </is>
      </c>
      <c r="J85" t="n">
        <v>0</v>
      </c>
    </row>
    <row r="86" ht="15.95" customHeight="1" s="241">
      <c r="A86" s="16" t="inlineStr">
        <is>
          <t>Occidental Petroleum</t>
        </is>
      </c>
      <c r="B86" s="17" t="inlineStr">
        <is>
          <t>OXY</t>
        </is>
      </c>
      <c r="C86" s="16" t="n"/>
      <c r="G86" t="inlineStr">
        <is>
          <t>unmapped</t>
        </is>
      </c>
      <c r="H86" t="inlineStr">
        <is>
          <t>Energy</t>
        </is>
      </c>
      <c r="I86" t="inlineStr">
        <is>
          <t>none</t>
        </is>
      </c>
      <c r="J86" t="n">
        <v>0</v>
      </c>
    </row>
    <row r="87" ht="15.95" customHeight="1" s="241">
      <c r="A87" s="16" t="inlineStr">
        <is>
          <t>NextEra Energy</t>
        </is>
      </c>
      <c r="B87" s="17" t="inlineStr">
        <is>
          <t>NEE</t>
        </is>
      </c>
      <c r="C87" s="16" t="n"/>
      <c r="G87" t="inlineStr">
        <is>
          <t>unmapped</t>
        </is>
      </c>
      <c r="H87" t="inlineStr">
        <is>
          <t>Utilities</t>
        </is>
      </c>
      <c r="I87" t="inlineStr">
        <is>
          <t>none</t>
        </is>
      </c>
      <c r="J87" t="n">
        <v>0</v>
      </c>
    </row>
    <row r="88" ht="15.95" customHeight="1" s="241">
      <c r="A88" s="16" t="inlineStr">
        <is>
          <t>Duke Energy</t>
        </is>
      </c>
      <c r="B88" s="17" t="inlineStr">
        <is>
          <t>DUK</t>
        </is>
      </c>
      <c r="C88" s="16" t="inlineStr">
        <is>
          <t>Dragos</t>
        </is>
      </c>
      <c r="G88" t="inlineStr">
        <is>
          <t>P2</t>
        </is>
      </c>
      <c r="H88" t="inlineStr">
        <is>
          <t>Utilities</t>
        </is>
      </c>
      <c r="I88" t="inlineStr">
        <is>
          <t>Phase 2/Duke Energy</t>
        </is>
      </c>
      <c r="J88" t="n">
        <v>26</v>
      </c>
    </row>
    <row r="89" ht="15.95" customHeight="1" s="241">
      <c r="A89" s="16" t="inlineStr">
        <is>
          <t>Southern Company</t>
        </is>
      </c>
      <c r="B89" s="17" t="inlineStr">
        <is>
          <t>SO</t>
        </is>
      </c>
      <c r="C89" s="16" t="n"/>
      <c r="G89" t="inlineStr">
        <is>
          <t>unmapped</t>
        </is>
      </c>
      <c r="H89" t="inlineStr">
        <is>
          <t>Utilities</t>
        </is>
      </c>
      <c r="I89" t="inlineStr">
        <is>
          <t>none</t>
        </is>
      </c>
      <c r="J89" t="n">
        <v>0</v>
      </c>
    </row>
    <row r="90" ht="15.95" customHeight="1" s="241">
      <c r="A90" s="16" t="inlineStr">
        <is>
          <t>Caterpillar</t>
        </is>
      </c>
      <c r="B90" s="17" t="inlineStr">
        <is>
          <t>CAT</t>
        </is>
      </c>
      <c r="C90" s="16" t="inlineStr">
        <is>
          <t>Dragos</t>
        </is>
      </c>
      <c r="G90" t="inlineStr">
        <is>
          <t>both</t>
        </is>
      </c>
      <c r="H90" t="inlineStr">
        <is>
          <t>Industrials</t>
        </is>
      </c>
      <c r="I90" t="inlineStr">
        <is>
          <t>Phase 2/Caterpillar; Phase 3/Readings/Caterpillar</t>
        </is>
      </c>
      <c r="J90" t="n">
        <v>20</v>
      </c>
    </row>
    <row r="91" ht="15.95" customHeight="1" s="241">
      <c r="A91" s="16" t="inlineStr">
        <is>
          <t>Deere</t>
        </is>
      </c>
      <c r="B91" s="17" t="inlineStr">
        <is>
          <t>DE</t>
        </is>
      </c>
      <c r="C91" s="16" t="n"/>
      <c r="G91" t="inlineStr">
        <is>
          <t>unmapped</t>
        </is>
      </c>
      <c r="H91" t="inlineStr">
        <is>
          <t>Industrials</t>
        </is>
      </c>
      <c r="I91" t="inlineStr">
        <is>
          <t>none</t>
        </is>
      </c>
      <c r="J91" t="n">
        <v>0</v>
      </c>
    </row>
    <row r="92" ht="15.95" customHeight="1" s="241">
      <c r="A92" s="16" t="inlineStr">
        <is>
          <t>General Electric</t>
        </is>
      </c>
      <c r="B92" s="17" t="inlineStr">
        <is>
          <t>GE</t>
        </is>
      </c>
      <c r="C92" s="16" t="n"/>
      <c r="G92" t="inlineStr">
        <is>
          <t>unmapped</t>
        </is>
      </c>
      <c r="H92" t="inlineStr">
        <is>
          <t>Industrials</t>
        </is>
      </c>
      <c r="I92" t="inlineStr">
        <is>
          <t>none</t>
        </is>
      </c>
      <c r="J92" t="n">
        <v>0</v>
      </c>
    </row>
    <row r="93" ht="15.95" customHeight="1" s="241">
      <c r="A93" s="16" t="inlineStr">
        <is>
          <t>Honeywell</t>
        </is>
      </c>
      <c r="B93" s="17" t="inlineStr">
        <is>
          <t>HON</t>
        </is>
      </c>
      <c r="C93" s="16" t="n"/>
      <c r="G93" t="inlineStr">
        <is>
          <t>unmapped</t>
        </is>
      </c>
      <c r="H93" t="inlineStr">
        <is>
          <t>Industrials</t>
        </is>
      </c>
      <c r="I93" t="inlineStr">
        <is>
          <t>none</t>
        </is>
      </c>
      <c r="J93" t="n">
        <v>0</v>
      </c>
    </row>
    <row r="94" ht="15.95" customHeight="1" s="241">
      <c r="A94" s="16" t="inlineStr">
        <is>
          <t>3M</t>
        </is>
      </c>
      <c r="B94" s="17" t="inlineStr">
        <is>
          <t>MMM</t>
        </is>
      </c>
      <c r="C94" s="16" t="n"/>
      <c r="G94" t="inlineStr">
        <is>
          <t>unmapped</t>
        </is>
      </c>
      <c r="H94" t="inlineStr">
        <is>
          <t>Industrials</t>
        </is>
      </c>
      <c r="I94" t="inlineStr">
        <is>
          <t>none</t>
        </is>
      </c>
      <c r="J94" t="n">
        <v>0</v>
      </c>
    </row>
    <row r="95" ht="15.95" customHeight="1" s="241">
      <c r="A95" s="16" t="inlineStr">
        <is>
          <t>Lockheed Martin</t>
        </is>
      </c>
      <c r="B95" s="17" t="inlineStr">
        <is>
          <t>LMT</t>
        </is>
      </c>
      <c r="C95" s="16" t="inlineStr">
        <is>
          <t>Nigel</t>
        </is>
      </c>
      <c r="G95" t="inlineStr">
        <is>
          <t>P2</t>
        </is>
      </c>
      <c r="H95" t="inlineStr">
        <is>
          <t>Industrials</t>
        </is>
      </c>
      <c r="I95" t="inlineStr">
        <is>
          <t>Phase 2/Lockheed Martin</t>
        </is>
      </c>
      <c r="J95" t="n">
        <v>17</v>
      </c>
    </row>
    <row r="96" ht="15.95" customHeight="1" s="241">
      <c r="A96" s="16" t="inlineStr">
        <is>
          <t>RTX</t>
        </is>
      </c>
      <c r="B96" s="17" t="inlineStr">
        <is>
          <t>RTX</t>
        </is>
      </c>
      <c r="C96" s="16" t="n"/>
      <c r="G96" t="inlineStr">
        <is>
          <t>unmapped</t>
        </is>
      </c>
      <c r="H96" t="inlineStr">
        <is>
          <t>Industrials</t>
        </is>
      </c>
      <c r="I96" t="inlineStr">
        <is>
          <t>none</t>
        </is>
      </c>
      <c r="J96" t="n">
        <v>0</v>
      </c>
    </row>
    <row r="97" ht="15.95" customHeight="1" s="241">
      <c r="A97" s="16" t="inlineStr">
        <is>
          <t>Delta Air Lines</t>
        </is>
      </c>
      <c r="B97" s="17" t="inlineStr">
        <is>
          <t>DAL</t>
        </is>
      </c>
      <c r="C97" s="16" t="inlineStr">
        <is>
          <t>Nigel</t>
        </is>
      </c>
      <c r="G97" t="inlineStr">
        <is>
          <t>P3</t>
        </is>
      </c>
      <c r="H97" t="inlineStr">
        <is>
          <t>Industrials</t>
        </is>
      </c>
      <c r="I97" t="inlineStr">
        <is>
          <t>Phase 3/Readings/Delta</t>
        </is>
      </c>
      <c r="J97" t="n">
        <v>18</v>
      </c>
    </row>
    <row r="98" ht="15.95" customHeight="1" s="241">
      <c r="A98" s="16" t="inlineStr">
        <is>
          <t>United Airlines</t>
        </is>
      </c>
      <c r="B98" s="17" t="inlineStr">
        <is>
          <t>UAL</t>
        </is>
      </c>
      <c r="C98" s="16" t="inlineStr">
        <is>
          <t>Nigel</t>
        </is>
      </c>
      <c r="G98" t="inlineStr">
        <is>
          <t>P2</t>
        </is>
      </c>
      <c r="H98" t="inlineStr">
        <is>
          <t>Industrials</t>
        </is>
      </c>
      <c r="I98" t="inlineStr">
        <is>
          <t>Phase 2/United Airlines</t>
        </is>
      </c>
      <c r="J98" t="n">
        <v>17</v>
      </c>
    </row>
    <row r="99" ht="15.95" customHeight="1" s="241">
      <c r="A99" s="16" t="inlineStr">
        <is>
          <t>American Airlines</t>
        </is>
      </c>
      <c r="B99" s="17" t="inlineStr">
        <is>
          <t>AAL</t>
        </is>
      </c>
      <c r="C99" s="16" t="n"/>
      <c r="G99" t="inlineStr">
        <is>
          <t>unmapped</t>
        </is>
      </c>
      <c r="H99" t="inlineStr">
        <is>
          <t>Industrials</t>
        </is>
      </c>
      <c r="I99" t="inlineStr">
        <is>
          <t>none</t>
        </is>
      </c>
      <c r="J99" t="n">
        <v>0</v>
      </c>
    </row>
    <row r="100" ht="15.95" customHeight="1" s="241">
      <c r="A100" s="16" t="inlineStr">
        <is>
          <t>FedEx</t>
        </is>
      </c>
      <c r="B100" s="17" t="inlineStr">
        <is>
          <t>FDX</t>
        </is>
      </c>
      <c r="C100" s="16" t="inlineStr">
        <is>
          <t>Anna</t>
        </is>
      </c>
      <c r="G100" t="inlineStr">
        <is>
          <t>P2</t>
        </is>
      </c>
      <c r="H100" t="inlineStr">
        <is>
          <t>Industrials</t>
        </is>
      </c>
      <c r="I100" t="inlineStr">
        <is>
          <t>Phase 2/FedEx</t>
        </is>
      </c>
      <c r="J100" t="n">
        <v>4</v>
      </c>
    </row>
    <row r="101" ht="15.95" customHeight="1" s="241">
      <c r="A101" s="16" t="inlineStr">
        <is>
          <t>Maersk</t>
        </is>
      </c>
      <c r="B101" s="17" t="inlineStr">
        <is>
          <t>AMKBY</t>
        </is>
      </c>
      <c r="C101" s="16" t="inlineStr">
        <is>
          <t>Nigel</t>
        </is>
      </c>
      <c r="G101" t="inlineStr">
        <is>
          <t>P2</t>
        </is>
      </c>
      <c r="H101" t="inlineStr">
        <is>
          <t>Industrials</t>
        </is>
      </c>
      <c r="I101" t="inlineStr">
        <is>
          <t>Phase 2/Maersk</t>
        </is>
      </c>
      <c r="J101" t="n">
        <v>14</v>
      </c>
    </row>
    <row r="102" ht="15.95" customHeight="1" s="241">
      <c r="A102" s="16" t="inlineStr">
        <is>
          <t>Toyota</t>
        </is>
      </c>
      <c r="B102" s="17" t="inlineStr">
        <is>
          <t>TM</t>
        </is>
      </c>
      <c r="C102" s="16" t="n"/>
      <c r="G102" t="inlineStr">
        <is>
          <t>unmapped</t>
        </is>
      </c>
      <c r="H102" t="inlineStr">
        <is>
          <t>Consumer Discretionary</t>
        </is>
      </c>
      <c r="I102" t="inlineStr">
        <is>
          <t>none</t>
        </is>
      </c>
      <c r="J102" t="n">
        <v>0</v>
      </c>
    </row>
    <row r="103" ht="15.95" customHeight="1" s="241">
      <c r="A103" s="16" t="inlineStr">
        <is>
          <t>Ford</t>
        </is>
      </c>
      <c r="B103" s="17" t="inlineStr">
        <is>
          <t>F</t>
        </is>
      </c>
      <c r="C103" s="16" t="inlineStr">
        <is>
          <t>Abdul</t>
        </is>
      </c>
      <c r="G103" t="inlineStr">
        <is>
          <t>P2</t>
        </is>
      </c>
      <c r="H103" t="inlineStr">
        <is>
          <t>Consumer Discretionary</t>
        </is>
      </c>
      <c r="I103" t="inlineStr">
        <is>
          <t>Phase 2/Ford</t>
        </is>
      </c>
      <c r="J103" t="n">
        <v>4</v>
      </c>
    </row>
    <row r="104" ht="15.95" customHeight="1" s="241">
      <c r="A104" s="16" t="inlineStr">
        <is>
          <t>General Motors</t>
        </is>
      </c>
      <c r="B104" s="17" t="inlineStr">
        <is>
          <t>GM</t>
        </is>
      </c>
      <c r="C104" s="16" t="n"/>
      <c r="G104" t="inlineStr">
        <is>
          <t>unmapped</t>
        </is>
      </c>
      <c r="H104" t="inlineStr">
        <is>
          <t>Consumer Discretionary</t>
        </is>
      </c>
      <c r="I104" t="inlineStr">
        <is>
          <t>none</t>
        </is>
      </c>
      <c r="J104" t="n">
        <v>0</v>
      </c>
    </row>
    <row r="105" ht="15.95" customHeight="1" s="241">
      <c r="A105" s="16" t="inlineStr">
        <is>
          <t>Ferrari</t>
        </is>
      </c>
      <c r="B105" s="17" t="inlineStr">
        <is>
          <t>RACE</t>
        </is>
      </c>
      <c r="C105" s="16" t="n"/>
      <c r="G105" t="inlineStr">
        <is>
          <t>unmapped</t>
        </is>
      </c>
      <c r="H105" t="inlineStr">
        <is>
          <t>Consumer Discretionary</t>
        </is>
      </c>
      <c r="I105" t="inlineStr">
        <is>
          <t>none</t>
        </is>
      </c>
      <c r="J105" t="n">
        <v>0</v>
      </c>
    </row>
    <row r="106" ht="15.95" customHeight="1" s="241">
      <c r="A106" s="16" t="inlineStr">
        <is>
          <t>Micron</t>
        </is>
      </c>
      <c r="B106" s="17" t="inlineStr">
        <is>
          <t>MU</t>
        </is>
      </c>
      <c r="C106" s="16" t="inlineStr">
        <is>
          <t>David</t>
        </is>
      </c>
      <c r="G106" t="inlineStr">
        <is>
          <t>P2</t>
        </is>
      </c>
      <c r="H106" t="inlineStr">
        <is>
          <t>Information Technology</t>
        </is>
      </c>
      <c r="I106" t="inlineStr">
        <is>
          <t>Phase 2/Micron</t>
        </is>
      </c>
      <c r="J106" t="n">
        <v>7</v>
      </c>
    </row>
    <row r="107" ht="15.95" customHeight="1" s="241">
      <c r="A107" s="16" t="inlineStr">
        <is>
          <t>Arm Holdings</t>
        </is>
      </c>
      <c r="B107" s="17" t="inlineStr">
        <is>
          <t>ARM</t>
        </is>
      </c>
      <c r="C107" s="16" t="n"/>
      <c r="G107" t="inlineStr">
        <is>
          <t>unmapped</t>
        </is>
      </c>
      <c r="H107" t="inlineStr">
        <is>
          <t>Information Technology</t>
        </is>
      </c>
      <c r="I107" t="inlineStr">
        <is>
          <t>none</t>
        </is>
      </c>
      <c r="J107" t="n">
        <v>0</v>
      </c>
    </row>
    <row r="108" ht="15.95" customHeight="1" s="241">
      <c r="A108" s="16" t="inlineStr">
        <is>
          <t>Synopsys</t>
        </is>
      </c>
      <c r="B108" s="17" t="inlineStr">
        <is>
          <t>SNPS</t>
        </is>
      </c>
      <c r="C108" s="16" t="n"/>
      <c r="G108" t="inlineStr">
        <is>
          <t>unmapped</t>
        </is>
      </c>
      <c r="H108" t="inlineStr">
        <is>
          <t>Information Technology</t>
        </is>
      </c>
      <c r="I108" t="inlineStr">
        <is>
          <t>none</t>
        </is>
      </c>
      <c r="J108" t="n">
        <v>0</v>
      </c>
    </row>
    <row r="109" ht="15.95" customHeight="1" s="241">
      <c r="A109" s="16" t="inlineStr">
        <is>
          <t>Cadence</t>
        </is>
      </c>
      <c r="B109" s="17" t="inlineStr">
        <is>
          <t>CDNS</t>
        </is>
      </c>
      <c r="C109" s="16" t="n"/>
      <c r="G109" t="inlineStr">
        <is>
          <t>unmapped</t>
        </is>
      </c>
      <c r="H109" t="inlineStr">
        <is>
          <t>Information Technology</t>
        </is>
      </c>
      <c r="I109" t="inlineStr">
        <is>
          <t>none</t>
        </is>
      </c>
      <c r="J109" t="n">
        <v>0</v>
      </c>
    </row>
    <row r="110" ht="15.95" customHeight="1" s="241">
      <c r="A110" s="16" t="inlineStr">
        <is>
          <t>Workday</t>
        </is>
      </c>
      <c r="B110" s="17" t="inlineStr">
        <is>
          <t>WDAY</t>
        </is>
      </c>
      <c r="C110" s="16" t="inlineStr">
        <is>
          <t>Nigel</t>
        </is>
      </c>
      <c r="G110" t="inlineStr">
        <is>
          <t>P3</t>
        </is>
      </c>
      <c r="H110" t="inlineStr">
        <is>
          <t>Information Technology</t>
        </is>
      </c>
      <c r="I110" t="inlineStr">
        <is>
          <t>Phase 3/Readings/Workday</t>
        </is>
      </c>
      <c r="J110" t="n">
        <v>19</v>
      </c>
    </row>
    <row r="111" ht="15.95" customHeight="1" s="241">
      <c r="A111" s="16" t="inlineStr">
        <is>
          <t>Intuit</t>
        </is>
      </c>
      <c r="B111" s="17" t="inlineStr">
        <is>
          <t>INTU</t>
        </is>
      </c>
      <c r="C111" s="16" t="n"/>
      <c r="G111" t="inlineStr">
        <is>
          <t>unmapped</t>
        </is>
      </c>
      <c r="H111" t="inlineStr">
        <is>
          <t>Information Technology</t>
        </is>
      </c>
      <c r="I111" t="inlineStr">
        <is>
          <t>none</t>
        </is>
      </c>
      <c r="J111" t="n">
        <v>0</v>
      </c>
    </row>
    <row r="112" ht="15.95" customHeight="1" s="241">
      <c r="A112" s="16" t="inlineStr">
        <is>
          <t>Dell</t>
        </is>
      </c>
      <c r="B112" s="17" t="inlineStr">
        <is>
          <t>DELL</t>
        </is>
      </c>
      <c r="C112" s="16" t="inlineStr">
        <is>
          <t>Nigel</t>
        </is>
      </c>
      <c r="G112" t="inlineStr">
        <is>
          <t>P3</t>
        </is>
      </c>
      <c r="H112" t="inlineStr">
        <is>
          <t>Information Technology</t>
        </is>
      </c>
      <c r="I112" t="inlineStr">
        <is>
          <t>Phase 3/Readings/Dell</t>
        </is>
      </c>
      <c r="J112" t="n">
        <v>16</v>
      </c>
    </row>
    <row r="113" ht="15.95" customHeight="1" s="241">
      <c r="A113" s="16" t="inlineStr">
        <is>
          <t>HP</t>
        </is>
      </c>
      <c r="B113" s="17" t="inlineStr">
        <is>
          <t>HPQ</t>
        </is>
      </c>
      <c r="C113" s="16" t="n"/>
      <c r="G113" t="inlineStr">
        <is>
          <t>unmapped</t>
        </is>
      </c>
      <c r="H113" t="inlineStr">
        <is>
          <t>Information Technology</t>
        </is>
      </c>
      <c r="I113" t="inlineStr">
        <is>
          <t>none</t>
        </is>
      </c>
      <c r="J113" t="n">
        <v>0</v>
      </c>
    </row>
    <row r="114" ht="15.95" customHeight="1" s="241">
      <c r="A114" s="16" t="inlineStr">
        <is>
          <t>Lenovo</t>
        </is>
      </c>
      <c r="B114" s="17" t="inlineStr">
        <is>
          <t>LNVGY</t>
        </is>
      </c>
      <c r="C114" s="16" t="inlineStr">
        <is>
          <t>Anna</t>
        </is>
      </c>
      <c r="G114" t="inlineStr">
        <is>
          <t>P3</t>
        </is>
      </c>
      <c r="H114" t="inlineStr">
        <is>
          <t>Information Technology</t>
        </is>
      </c>
      <c r="I114" t="inlineStr">
        <is>
          <t>Phase 3/Readings/Lenovo</t>
        </is>
      </c>
      <c r="J114" t="n">
        <v>8</v>
      </c>
    </row>
    <row r="115" ht="15.95" customHeight="1" s="241">
      <c r="A115" s="16" t="inlineStr">
        <is>
          <t>Seagate</t>
        </is>
      </c>
      <c r="B115" s="17" t="inlineStr">
        <is>
          <t>STX</t>
        </is>
      </c>
      <c r="C115" s="16" t="n"/>
      <c r="G115" t="inlineStr">
        <is>
          <t>unmapped</t>
        </is>
      </c>
      <c r="H115" t="inlineStr">
        <is>
          <t>Information Technology</t>
        </is>
      </c>
      <c r="I115" t="inlineStr">
        <is>
          <t>none</t>
        </is>
      </c>
      <c r="J115" t="n">
        <v>0</v>
      </c>
    </row>
    <row r="116" ht="15.95" customHeight="1" s="241">
      <c r="A116" s="16" t="inlineStr">
        <is>
          <t>HSBC</t>
        </is>
      </c>
      <c r="B116" s="17" t="inlineStr">
        <is>
          <t>HSBC</t>
        </is>
      </c>
      <c r="C116" s="16" t="n"/>
      <c r="G116" t="inlineStr">
        <is>
          <t>unmapped</t>
        </is>
      </c>
      <c r="H116" t="inlineStr">
        <is>
          <t>Financials</t>
        </is>
      </c>
      <c r="I116" t="inlineStr">
        <is>
          <t>none</t>
        </is>
      </c>
      <c r="J116" t="n">
        <v>0</v>
      </c>
    </row>
    <row r="117" ht="15.95" customHeight="1" s="241">
      <c r="A117" s="16" t="inlineStr">
        <is>
          <t>Barclays</t>
        </is>
      </c>
      <c r="B117" s="17" t="inlineStr">
        <is>
          <t>BCS</t>
        </is>
      </c>
      <c r="C117" s="16" t="inlineStr">
        <is>
          <t>Abdul</t>
        </is>
      </c>
      <c r="G117" t="inlineStr">
        <is>
          <t>P2</t>
        </is>
      </c>
      <c r="H117" t="inlineStr">
        <is>
          <t>Financials</t>
        </is>
      </c>
      <c r="I117" t="inlineStr">
        <is>
          <t>Phase 2/Barclays</t>
        </is>
      </c>
      <c r="J117" t="n">
        <v>10</v>
      </c>
    </row>
    <row r="118" ht="15.95" customHeight="1" s="241">
      <c r="A118" s="16" t="inlineStr">
        <is>
          <t>Lloyds</t>
        </is>
      </c>
      <c r="B118" s="17" t="inlineStr">
        <is>
          <t>LYG</t>
        </is>
      </c>
      <c r="C118" s="16" t="n"/>
      <c r="G118" t="inlineStr">
        <is>
          <t>unmapped</t>
        </is>
      </c>
      <c r="H118" t="inlineStr">
        <is>
          <t>Financials</t>
        </is>
      </c>
      <c r="I118" t="inlineStr">
        <is>
          <t>none</t>
        </is>
      </c>
      <c r="J118" t="n">
        <v>0</v>
      </c>
    </row>
    <row r="119" ht="15.95" customHeight="1" s="241">
      <c r="A119" s="16" t="inlineStr">
        <is>
          <t>Standard Chartered</t>
        </is>
      </c>
      <c r="B119" s="17" t="inlineStr">
        <is>
          <t>STAN.L</t>
        </is>
      </c>
      <c r="C119" s="16" t="inlineStr">
        <is>
          <t>Nigel</t>
        </is>
      </c>
      <c r="G119" t="inlineStr">
        <is>
          <t>P3</t>
        </is>
      </c>
      <c r="H119" t="inlineStr">
        <is>
          <t>Financials</t>
        </is>
      </c>
      <c r="I119" t="inlineStr">
        <is>
          <t>Phase 3/Readings/Standard Chartered</t>
        </is>
      </c>
      <c r="J119" t="n">
        <v>23</v>
      </c>
    </row>
    <row r="120" ht="15.95" customHeight="1" s="241">
      <c r="A120" s="16" t="inlineStr">
        <is>
          <t>BNP Paribas</t>
        </is>
      </c>
      <c r="B120" s="17" t="inlineStr">
        <is>
          <t>BNP.PA</t>
        </is>
      </c>
      <c r="C120" s="16" t="n"/>
      <c r="G120" t="inlineStr">
        <is>
          <t>unmapped</t>
        </is>
      </c>
      <c r="H120" t="inlineStr">
        <is>
          <t>Financials</t>
        </is>
      </c>
      <c r="I120" t="inlineStr">
        <is>
          <t>none</t>
        </is>
      </c>
      <c r="J120" t="n">
        <v>0</v>
      </c>
    </row>
    <row r="121" ht="15.95" customHeight="1" s="241">
      <c r="A121" s="16" t="inlineStr">
        <is>
          <t>Societe Generale</t>
        </is>
      </c>
      <c r="B121" s="17" t="inlineStr">
        <is>
          <t>GLE.PA</t>
        </is>
      </c>
      <c r="C121" s="16" t="n"/>
      <c r="G121" t="inlineStr">
        <is>
          <t>unmapped</t>
        </is>
      </c>
      <c r="H121" t="inlineStr">
        <is>
          <t>Financials</t>
        </is>
      </c>
      <c r="I121" t="inlineStr">
        <is>
          <t>none</t>
        </is>
      </c>
      <c r="J121" t="n">
        <v>0</v>
      </c>
    </row>
    <row r="122" ht="15.95" customHeight="1" s="241">
      <c r="A122" s="16" t="inlineStr">
        <is>
          <t>Deutsche Bank</t>
        </is>
      </c>
      <c r="B122" s="17" t="inlineStr">
        <is>
          <t>DB</t>
        </is>
      </c>
      <c r="C122" s="16" t="n"/>
      <c r="G122" t="inlineStr">
        <is>
          <t>unmapped</t>
        </is>
      </c>
      <c r="H122" t="inlineStr">
        <is>
          <t>Financials</t>
        </is>
      </c>
      <c r="I122" t="inlineStr">
        <is>
          <t>none</t>
        </is>
      </c>
      <c r="J122" t="n">
        <v>0</v>
      </c>
    </row>
    <row r="123" ht="15.95" customHeight="1" s="241">
      <c r="A123" s="16" t="inlineStr">
        <is>
          <t>UBS</t>
        </is>
      </c>
      <c r="B123" s="17" t="inlineStr">
        <is>
          <t>UBS</t>
        </is>
      </c>
      <c r="C123" s="16" t="n"/>
      <c r="G123" t="inlineStr">
        <is>
          <t>unmapped</t>
        </is>
      </c>
      <c r="H123" t="inlineStr">
        <is>
          <t>Financials</t>
        </is>
      </c>
      <c r="I123" t="inlineStr">
        <is>
          <t>none</t>
        </is>
      </c>
      <c r="J123" t="n">
        <v>0</v>
      </c>
    </row>
    <row r="124" ht="15.95" customHeight="1" s="241">
      <c r="A124" s="16" t="inlineStr">
        <is>
          <t>ING</t>
        </is>
      </c>
      <c r="B124" s="17" t="inlineStr">
        <is>
          <t>ING</t>
        </is>
      </c>
      <c r="C124" s="16" t="n"/>
      <c r="G124" t="inlineStr">
        <is>
          <t>unmapped</t>
        </is>
      </c>
      <c r="H124" t="inlineStr">
        <is>
          <t>Financials</t>
        </is>
      </c>
      <c r="I124" t="inlineStr">
        <is>
          <t>none</t>
        </is>
      </c>
      <c r="J124" t="n">
        <v>0</v>
      </c>
    </row>
    <row r="125" ht="15.95" customHeight="1" s="241">
      <c r="A125" s="16" t="inlineStr">
        <is>
          <t>Santander</t>
        </is>
      </c>
      <c r="B125" s="17" t="inlineStr">
        <is>
          <t>SAN</t>
        </is>
      </c>
      <c r="C125" s="16" t="n"/>
      <c r="G125" t="inlineStr">
        <is>
          <t>unmapped</t>
        </is>
      </c>
      <c r="H125" t="inlineStr">
        <is>
          <t>Financials</t>
        </is>
      </c>
      <c r="I125" t="inlineStr">
        <is>
          <t>none</t>
        </is>
      </c>
      <c r="J125" t="n">
        <v>0</v>
      </c>
    </row>
    <row r="126" ht="15.95" customHeight="1" s="241">
      <c r="A126" s="16" t="inlineStr">
        <is>
          <t>Allianz</t>
        </is>
      </c>
      <c r="B126" s="17" t="inlineStr">
        <is>
          <t>ALV.DE</t>
        </is>
      </c>
      <c r="C126" s="16" t="inlineStr">
        <is>
          <t>Nigel</t>
        </is>
      </c>
      <c r="G126" t="inlineStr">
        <is>
          <t>P3</t>
        </is>
      </c>
      <c r="H126" t="inlineStr">
        <is>
          <t>Financials</t>
        </is>
      </c>
      <c r="I126" t="inlineStr">
        <is>
          <t>Phase 3/Readings/Allianz</t>
        </is>
      </c>
      <c r="J126" t="n">
        <v>29</v>
      </c>
    </row>
    <row r="127" ht="15.95" customHeight="1" s="241">
      <c r="A127" s="16" t="inlineStr">
        <is>
          <t>AXA</t>
        </is>
      </c>
      <c r="B127" s="17" t="inlineStr">
        <is>
          <t>AXAHY</t>
        </is>
      </c>
      <c r="C127" s="16" t="n"/>
      <c r="G127" t="inlineStr">
        <is>
          <t>unmapped</t>
        </is>
      </c>
      <c r="H127" t="inlineStr">
        <is>
          <t>Financials</t>
        </is>
      </c>
      <c r="I127" t="inlineStr">
        <is>
          <t>none</t>
        </is>
      </c>
      <c r="J127" t="n">
        <v>0</v>
      </c>
    </row>
    <row r="128" ht="15.95" customHeight="1" s="241">
      <c r="A128" s="16" t="inlineStr">
        <is>
          <t>Prudential</t>
        </is>
      </c>
      <c r="B128" s="17" t="inlineStr">
        <is>
          <t>PUK</t>
        </is>
      </c>
      <c r="C128" s="16" t="n"/>
      <c r="G128" t="inlineStr">
        <is>
          <t>unmapped</t>
        </is>
      </c>
      <c r="H128" t="inlineStr">
        <is>
          <t>Financials</t>
        </is>
      </c>
      <c r="I128" t="inlineStr">
        <is>
          <t>none</t>
        </is>
      </c>
      <c r="J128" t="n">
        <v>0</v>
      </c>
    </row>
    <row r="129" ht="15.95" customHeight="1" s="241">
      <c r="A129" s="16" t="inlineStr">
        <is>
          <t>AIG</t>
        </is>
      </c>
      <c r="B129" s="17" t="inlineStr">
        <is>
          <t>AIG</t>
        </is>
      </c>
      <c r="C129" s="16" t="n"/>
      <c r="G129" t="inlineStr">
        <is>
          <t>unmapped</t>
        </is>
      </c>
      <c r="H129" t="inlineStr">
        <is>
          <t>Financials</t>
        </is>
      </c>
      <c r="I129" t="inlineStr">
        <is>
          <t>none</t>
        </is>
      </c>
      <c r="J129" t="n">
        <v>0</v>
      </c>
    </row>
    <row r="130" ht="15.95" customHeight="1" s="241">
      <c r="A130" s="16" t="inlineStr">
        <is>
          <t>MetLife</t>
        </is>
      </c>
      <c r="B130" s="17" t="inlineStr">
        <is>
          <t>MET</t>
        </is>
      </c>
      <c r="C130" s="16" t="inlineStr">
        <is>
          <t>Dragos</t>
        </is>
      </c>
      <c r="G130" t="inlineStr">
        <is>
          <t>P2</t>
        </is>
      </c>
      <c r="H130" t="inlineStr">
        <is>
          <t>Financials</t>
        </is>
      </c>
      <c r="I130" t="inlineStr">
        <is>
          <t>Phase 2/MetLife</t>
        </is>
      </c>
      <c r="J130" t="n">
        <v>39</v>
      </c>
    </row>
    <row r="131" ht="15.95" customHeight="1" s="241">
      <c r="A131" s="16" t="inlineStr">
        <is>
          <t>Marsh McLennan</t>
        </is>
      </c>
      <c r="B131" s="17" t="inlineStr">
        <is>
          <t>MMC</t>
        </is>
      </c>
      <c r="C131" s="16" t="n"/>
      <c r="G131" t="inlineStr">
        <is>
          <t>unmapped</t>
        </is>
      </c>
      <c r="H131" t="inlineStr">
        <is>
          <t>Financials</t>
        </is>
      </c>
      <c r="I131" t="inlineStr">
        <is>
          <t>none</t>
        </is>
      </c>
      <c r="J131" t="n">
        <v>0</v>
      </c>
    </row>
    <row r="132" ht="15.95" customHeight="1" s="241">
      <c r="A132" s="16" t="inlineStr">
        <is>
          <t>Moody's</t>
        </is>
      </c>
      <c r="B132" s="17" t="inlineStr">
        <is>
          <t>MCO</t>
        </is>
      </c>
      <c r="C132" s="16" t="n"/>
      <c r="G132" t="inlineStr">
        <is>
          <t>unmapped</t>
        </is>
      </c>
      <c r="H132" t="inlineStr">
        <is>
          <t>Financials</t>
        </is>
      </c>
      <c r="I132" t="inlineStr">
        <is>
          <t>none</t>
        </is>
      </c>
      <c r="J132" t="n">
        <v>0</v>
      </c>
    </row>
    <row r="133" ht="15.95" customHeight="1" s="241">
      <c r="A133" s="16" t="inlineStr">
        <is>
          <t>S&amp;P Global</t>
        </is>
      </c>
      <c r="B133" s="17" t="inlineStr">
        <is>
          <t>SPGI</t>
        </is>
      </c>
      <c r="C133" s="16" t="n"/>
      <c r="G133" t="inlineStr">
        <is>
          <t>unmapped</t>
        </is>
      </c>
      <c r="H133" t="inlineStr">
        <is>
          <t>Financials</t>
        </is>
      </c>
      <c r="I133" t="inlineStr">
        <is>
          <t>none</t>
        </is>
      </c>
      <c r="J133" t="n">
        <v>0</v>
      </c>
    </row>
    <row r="134" ht="15.95" customHeight="1" s="241">
      <c r="A134" s="16" t="inlineStr">
        <is>
          <t>Intercontinental Exchange</t>
        </is>
      </c>
      <c r="B134" s="17" t="inlineStr">
        <is>
          <t>ICE</t>
        </is>
      </c>
      <c r="C134" s="16" t="n"/>
      <c r="G134" t="inlineStr">
        <is>
          <t>unmapped</t>
        </is>
      </c>
      <c r="H134" t="inlineStr">
        <is>
          <t>Financials</t>
        </is>
      </c>
      <c r="I134" t="inlineStr">
        <is>
          <t>none</t>
        </is>
      </c>
      <c r="J134" t="n">
        <v>0</v>
      </c>
    </row>
    <row r="135" ht="15.95" customHeight="1" s="241">
      <c r="A135" s="16" t="inlineStr">
        <is>
          <t>CME Group</t>
        </is>
      </c>
      <c r="B135" s="17" t="inlineStr">
        <is>
          <t>CME</t>
        </is>
      </c>
      <c r="C135" s="16" t="n"/>
      <c r="G135" t="inlineStr">
        <is>
          <t>unmapped</t>
        </is>
      </c>
      <c r="H135" t="inlineStr">
        <is>
          <t>Financials</t>
        </is>
      </c>
      <c r="I135" t="inlineStr">
        <is>
          <t>none</t>
        </is>
      </c>
      <c r="J135" t="n">
        <v>0</v>
      </c>
    </row>
    <row r="136" ht="15.95" customHeight="1" s="241">
      <c r="A136" s="16" t="inlineStr">
        <is>
          <t>Booking Holdings</t>
        </is>
      </c>
      <c r="B136" s="17" t="inlineStr">
        <is>
          <t>BKNG</t>
        </is>
      </c>
      <c r="C136" s="16" t="inlineStr">
        <is>
          <t>Nigel</t>
        </is>
      </c>
      <c r="G136" t="inlineStr">
        <is>
          <t>both</t>
        </is>
      </c>
      <c r="H136" t="inlineStr">
        <is>
          <t>Consumer Discretionary</t>
        </is>
      </c>
      <c r="I136" t="inlineStr">
        <is>
          <t>Phase 2/Booking; Phase 3/Readings/Booking Holdings</t>
        </is>
      </c>
      <c r="J136" t="n">
        <v>23</v>
      </c>
    </row>
    <row r="137" ht="15.95" customHeight="1" s="241">
      <c r="A137" s="16" t="inlineStr">
        <is>
          <t>Expedia</t>
        </is>
      </c>
      <c r="B137" s="17" t="inlineStr">
        <is>
          <t>EXPE</t>
        </is>
      </c>
      <c r="C137" s="16" t="inlineStr">
        <is>
          <t>Abdul</t>
        </is>
      </c>
      <c r="G137" t="inlineStr">
        <is>
          <t>P3</t>
        </is>
      </c>
      <c r="H137" t="inlineStr">
        <is>
          <t>Consumer Discretionary</t>
        </is>
      </c>
      <c r="I137" t="inlineStr">
        <is>
          <t>Phase 3/Readings/Expedia</t>
        </is>
      </c>
      <c r="J137" t="n">
        <v>4</v>
      </c>
    </row>
    <row r="138" ht="15.95" customHeight="1" s="241">
      <c r="A138" s="16" t="inlineStr">
        <is>
          <t>Hilton</t>
        </is>
      </c>
      <c r="B138" s="17" t="inlineStr">
        <is>
          <t>HLT</t>
        </is>
      </c>
      <c r="C138" s="16" t="inlineStr">
        <is>
          <t>Anna</t>
        </is>
      </c>
      <c r="G138" t="inlineStr">
        <is>
          <t>P2</t>
        </is>
      </c>
      <c r="H138" t="inlineStr">
        <is>
          <t>Consumer Discretionary</t>
        </is>
      </c>
      <c r="I138" t="inlineStr">
        <is>
          <t>Phase 2/Hilton</t>
        </is>
      </c>
      <c r="J138" t="n">
        <v>5</v>
      </c>
    </row>
    <row r="139" ht="15.95" customHeight="1" s="241">
      <c r="A139" s="16" t="inlineStr">
        <is>
          <t>Marriott</t>
        </is>
      </c>
      <c r="B139" s="17" t="inlineStr">
        <is>
          <t>MAR</t>
        </is>
      </c>
      <c r="C139" s="16" t="inlineStr">
        <is>
          <t>Anna</t>
        </is>
      </c>
      <c r="G139" t="inlineStr">
        <is>
          <t>P2</t>
        </is>
      </c>
      <c r="H139" t="inlineStr">
        <is>
          <t>Consumer Discretionary</t>
        </is>
      </c>
      <c r="I139" t="inlineStr">
        <is>
          <t>Phase 2/Marriott</t>
        </is>
      </c>
      <c r="J139" t="n">
        <v>8</v>
      </c>
    </row>
    <row r="140" ht="15.95" customHeight="1" s="241">
      <c r="A140" s="16" t="inlineStr">
        <is>
          <t>Hyatt</t>
        </is>
      </c>
      <c r="B140" s="17" t="inlineStr">
        <is>
          <t>H</t>
        </is>
      </c>
      <c r="C140" s="16" t="n"/>
      <c r="G140" t="inlineStr">
        <is>
          <t>unmapped</t>
        </is>
      </c>
      <c r="H140" t="inlineStr">
        <is>
          <t>Consumer Discretionary</t>
        </is>
      </c>
      <c r="I140" t="inlineStr">
        <is>
          <t>none</t>
        </is>
      </c>
      <c r="J140" t="n">
        <v>0</v>
      </c>
    </row>
    <row r="141" ht="15.95" customHeight="1" s="241">
      <c r="A141" s="16" t="inlineStr">
        <is>
          <t>Disney</t>
        </is>
      </c>
      <c r="B141" s="17" t="inlineStr">
        <is>
          <t>DIS</t>
        </is>
      </c>
      <c r="C141" s="16" t="n"/>
      <c r="G141" t="inlineStr">
        <is>
          <t>P2</t>
        </is>
      </c>
      <c r="H141" t="inlineStr">
        <is>
          <t>Communication Services</t>
        </is>
      </c>
      <c r="I141" t="inlineStr">
        <is>
          <t>Phase 2/Disney</t>
        </is>
      </c>
      <c r="J141" t="n">
        <v>4</v>
      </c>
    </row>
    <row r="142" ht="15.95" customHeight="1" s="241">
      <c r="A142" s="16" t="inlineStr">
        <is>
          <t>Warner Bros. Discovery</t>
        </is>
      </c>
      <c r="B142" s="17" t="inlineStr">
        <is>
          <t>WBD</t>
        </is>
      </c>
      <c r="C142" s="16" t="n"/>
      <c r="G142" t="inlineStr">
        <is>
          <t>unmapped</t>
        </is>
      </c>
      <c r="H142" t="inlineStr">
        <is>
          <t>Communication Services</t>
        </is>
      </c>
      <c r="I142" t="inlineStr">
        <is>
          <t>none</t>
        </is>
      </c>
      <c r="J142" t="n">
        <v>0</v>
      </c>
    </row>
    <row r="143" ht="15.95" customHeight="1" s="241">
      <c r="A143" s="16" t="inlineStr">
        <is>
          <t>Comcast Corporation</t>
        </is>
      </c>
      <c r="B143" s="17" t="inlineStr">
        <is>
          <t>CMCSA</t>
        </is>
      </c>
      <c r="C143" s="16" t="inlineStr">
        <is>
          <t>Abdul</t>
        </is>
      </c>
      <c r="G143" t="inlineStr">
        <is>
          <t>P3</t>
        </is>
      </c>
      <c r="H143" t="inlineStr">
        <is>
          <t>Communication Services</t>
        </is>
      </c>
      <c r="I143" t="inlineStr">
        <is>
          <t>Phase 3/Readings/Comcast</t>
        </is>
      </c>
      <c r="J143" t="n">
        <v>6</v>
      </c>
    </row>
    <row r="144" ht="15.95" customHeight="1" s="241">
      <c r="A144" s="16" t="inlineStr">
        <is>
          <t>Spotify</t>
        </is>
      </c>
      <c r="B144" s="17" t="inlineStr">
        <is>
          <t>SPOT</t>
        </is>
      </c>
      <c r="C144" s="16" t="inlineStr">
        <is>
          <t>Anna</t>
        </is>
      </c>
      <c r="G144" t="inlineStr">
        <is>
          <t>P3</t>
        </is>
      </c>
      <c r="H144" t="inlineStr">
        <is>
          <t>Communication Services</t>
        </is>
      </c>
      <c r="I144" t="inlineStr">
        <is>
          <t>Phase 3/Readings/Spotify</t>
        </is>
      </c>
      <c r="J144" t="n">
        <v>4</v>
      </c>
    </row>
    <row r="145" ht="15.95" customHeight="1" s="241">
      <c r="A145" s="16" t="inlineStr">
        <is>
          <t>Universal Music Group</t>
        </is>
      </c>
      <c r="B145" s="17" t="inlineStr">
        <is>
          <t>UMG.AS</t>
        </is>
      </c>
      <c r="C145" s="16" t="n"/>
      <c r="G145" t="inlineStr">
        <is>
          <t>unmapped</t>
        </is>
      </c>
      <c r="H145" t="inlineStr">
        <is>
          <t>Communication Services</t>
        </is>
      </c>
      <c r="I145" t="inlineStr">
        <is>
          <t>none</t>
        </is>
      </c>
      <c r="J145" t="n">
        <v>0</v>
      </c>
    </row>
    <row r="146" ht="15.95" customHeight="1" s="241">
      <c r="A146" s="16" t="inlineStr">
        <is>
          <t>Chipotle</t>
        </is>
      </c>
      <c r="B146" s="17" t="inlineStr">
        <is>
          <t>CMG</t>
        </is>
      </c>
      <c r="C146" s="16" t="inlineStr">
        <is>
          <t>Anna</t>
        </is>
      </c>
      <c r="G146" t="inlineStr">
        <is>
          <t>P3</t>
        </is>
      </c>
      <c r="H146" t="inlineStr">
        <is>
          <t>Consumer Discretionary</t>
        </is>
      </c>
      <c r="I146" t="inlineStr">
        <is>
          <t>Phase 3/Readings/Chipotle</t>
        </is>
      </c>
      <c r="J146" t="n">
        <v>7</v>
      </c>
    </row>
    <row r="147" ht="15.95" customHeight="1" s="241">
      <c r="A147" s="16" t="inlineStr">
        <is>
          <t>Yum! Brands</t>
        </is>
      </c>
      <c r="B147" s="17" t="inlineStr">
        <is>
          <t>YUM</t>
        </is>
      </c>
      <c r="C147" s="16" t="n"/>
      <c r="G147" t="inlineStr">
        <is>
          <t>unmapped</t>
        </is>
      </c>
      <c r="H147" t="inlineStr">
        <is>
          <t>Consumer Discretionary</t>
        </is>
      </c>
      <c r="I147" t="inlineStr">
        <is>
          <t>none</t>
        </is>
      </c>
      <c r="J147" t="n">
        <v>0</v>
      </c>
    </row>
    <row r="148" ht="15.95" customHeight="1" s="241">
      <c r="A148" s="16" t="inlineStr">
        <is>
          <t>Restaurant Brands</t>
        </is>
      </c>
      <c r="B148" s="17" t="inlineStr">
        <is>
          <t>QSR</t>
        </is>
      </c>
      <c r="C148" s="16" t="n"/>
      <c r="G148" t="inlineStr">
        <is>
          <t>unmapped</t>
        </is>
      </c>
      <c r="H148" t="inlineStr">
        <is>
          <t>Consumer Discretionary</t>
        </is>
      </c>
      <c r="I148" t="inlineStr">
        <is>
          <t>none</t>
        </is>
      </c>
      <c r="J148" t="n">
        <v>0</v>
      </c>
    </row>
    <row r="149" ht="15.95" customHeight="1" s="241">
      <c r="A149" s="16" t="inlineStr">
        <is>
          <t>Kraft Heinz</t>
        </is>
      </c>
      <c r="B149" s="17" t="inlineStr">
        <is>
          <t>KHC</t>
        </is>
      </c>
      <c r="C149" s="16" t="inlineStr">
        <is>
          <t>Meriem</t>
        </is>
      </c>
      <c r="G149" t="inlineStr">
        <is>
          <t>P3</t>
        </is>
      </c>
      <c r="H149" t="inlineStr">
        <is>
          <t>Consumer Staples</t>
        </is>
      </c>
      <c r="I149" t="inlineStr">
        <is>
          <t>Phase 3/Readings/Kraft Heinz</t>
        </is>
      </c>
      <c r="J149" t="n">
        <v>4</v>
      </c>
    </row>
    <row r="150" ht="15.95" customHeight="1" s="241">
      <c r="A150" s="16" t="inlineStr">
        <is>
          <t>General Mills</t>
        </is>
      </c>
      <c r="B150" s="17" t="inlineStr">
        <is>
          <t>GIS</t>
        </is>
      </c>
      <c r="C150" s="16" t="inlineStr">
        <is>
          <t>Meriem</t>
        </is>
      </c>
      <c r="G150" t="inlineStr">
        <is>
          <t>P3</t>
        </is>
      </c>
      <c r="H150" t="inlineStr">
        <is>
          <t>Consumer Staples</t>
        </is>
      </c>
      <c r="I150" t="inlineStr">
        <is>
          <t>Phase 3/Readings/General Mills</t>
        </is>
      </c>
      <c r="J150" t="n">
        <v>3</v>
      </c>
    </row>
    <row r="151" ht="15.95" customHeight="1" s="241">
      <c r="A151" s="16" t="inlineStr">
        <is>
          <t>Kellanova</t>
        </is>
      </c>
      <c r="B151" s="17" t="inlineStr">
        <is>
          <t>K</t>
        </is>
      </c>
      <c r="C151" s="16" t="n"/>
      <c r="G151" t="inlineStr">
        <is>
          <t>unmapped</t>
        </is>
      </c>
      <c r="H151" t="inlineStr">
        <is>
          <t>Consumer Staples</t>
        </is>
      </c>
      <c r="I151" t="inlineStr">
        <is>
          <t>none</t>
        </is>
      </c>
      <c r="J151" t="n">
        <v>0</v>
      </c>
    </row>
    <row r="152" ht="15.95" customHeight="1" s="241">
      <c r="A152" s="16" t="inlineStr">
        <is>
          <t>Keurig Dr Pepper</t>
        </is>
      </c>
      <c r="B152" s="17" t="inlineStr">
        <is>
          <t>KDP</t>
        </is>
      </c>
      <c r="C152" s="16" t="n"/>
      <c r="G152" t="inlineStr">
        <is>
          <t>unmapped</t>
        </is>
      </c>
      <c r="H152" t="inlineStr">
        <is>
          <t>Consumer Staples</t>
        </is>
      </c>
      <c r="I152" t="inlineStr">
        <is>
          <t>none</t>
        </is>
      </c>
      <c r="J152" t="n">
        <v>0</v>
      </c>
    </row>
    <row r="153" ht="15.95" customHeight="1" s="241">
      <c r="A153" s="16" t="inlineStr">
        <is>
          <t>Danone</t>
        </is>
      </c>
      <c r="B153" s="17" t="inlineStr">
        <is>
          <t>DANOY</t>
        </is>
      </c>
      <c r="C153" s="16" t="inlineStr">
        <is>
          <t>Meriem</t>
        </is>
      </c>
      <c r="G153" t="inlineStr">
        <is>
          <t>unmapped</t>
        </is>
      </c>
      <c r="H153" t="inlineStr">
        <is>
          <t>Consumer Staples</t>
        </is>
      </c>
      <c r="I153" t="inlineStr">
        <is>
          <t>none</t>
        </is>
      </c>
      <c r="J153" t="n">
        <v>0</v>
      </c>
    </row>
    <row r="154" ht="15.95" customHeight="1" s="241">
      <c r="A154" s="16" t="inlineStr">
        <is>
          <t>Heineken</t>
        </is>
      </c>
      <c r="B154" s="17" t="inlineStr">
        <is>
          <t>HEINY</t>
        </is>
      </c>
      <c r="C154" s="16" t="inlineStr">
        <is>
          <t>Anna</t>
        </is>
      </c>
      <c r="G154" t="inlineStr">
        <is>
          <t>P3</t>
        </is>
      </c>
      <c r="H154" t="inlineStr">
        <is>
          <t>Consumer Staples</t>
        </is>
      </c>
      <c r="I154" t="inlineStr">
        <is>
          <t>Phase 3/Readings/Heineken</t>
        </is>
      </c>
      <c r="J154" t="n">
        <v>7</v>
      </c>
    </row>
    <row r="155" ht="15.95" customHeight="1" s="241">
      <c r="A155" s="16" t="inlineStr">
        <is>
          <t>AB InBev</t>
        </is>
      </c>
      <c r="B155" s="17" t="inlineStr">
        <is>
          <t>BUD</t>
        </is>
      </c>
      <c r="C155" s="16" t="n"/>
      <c r="G155" t="inlineStr">
        <is>
          <t>unmapped</t>
        </is>
      </c>
      <c r="H155" t="inlineStr">
        <is>
          <t>Consumer Staples</t>
        </is>
      </c>
      <c r="I155" t="inlineStr">
        <is>
          <t>none</t>
        </is>
      </c>
      <c r="J155" t="n">
        <v>0</v>
      </c>
    </row>
    <row r="156" ht="15.95" customHeight="1" s="241">
      <c r="A156" s="16" t="inlineStr">
        <is>
          <t>Siemens</t>
        </is>
      </c>
      <c r="B156" s="17" t="inlineStr">
        <is>
          <t>SIE.DE</t>
        </is>
      </c>
      <c r="C156" s="16" t="inlineStr">
        <is>
          <t>Meriem</t>
        </is>
      </c>
      <c r="G156" t="inlineStr">
        <is>
          <t>P3</t>
        </is>
      </c>
      <c r="H156" t="inlineStr">
        <is>
          <t>Industrials</t>
        </is>
      </c>
      <c r="I156" t="inlineStr">
        <is>
          <t>Phase 3/Readings/Siemens</t>
        </is>
      </c>
      <c r="J156" t="n">
        <v>3</v>
      </c>
    </row>
    <row r="157" ht="15.95" customHeight="1" s="241">
      <c r="A157" s="16" t="inlineStr">
        <is>
          <t>Schneider Electric</t>
        </is>
      </c>
      <c r="B157" s="17" t="inlineStr">
        <is>
          <t>SU.PA</t>
        </is>
      </c>
      <c r="C157" s="16" t="n"/>
      <c r="G157" t="inlineStr">
        <is>
          <t>unmapped</t>
        </is>
      </c>
      <c r="H157" t="inlineStr">
        <is>
          <t>Industrials</t>
        </is>
      </c>
      <c r="I157" t="inlineStr">
        <is>
          <t>none</t>
        </is>
      </c>
      <c r="J157" t="n">
        <v>0</v>
      </c>
    </row>
    <row r="158" ht="15.95" customHeight="1" s="241">
      <c r="A158" s="16" t="inlineStr">
        <is>
          <t>ABB</t>
        </is>
      </c>
      <c r="B158" s="17" t="inlineStr">
        <is>
          <t>ABBNY</t>
        </is>
      </c>
      <c r="C158" s="16" t="n"/>
      <c r="G158" t="inlineStr">
        <is>
          <t>unmapped</t>
        </is>
      </c>
      <c r="H158" t="inlineStr">
        <is>
          <t>Industrials</t>
        </is>
      </c>
      <c r="I158" t="inlineStr">
        <is>
          <t>none</t>
        </is>
      </c>
      <c r="J158" t="n">
        <v>0</v>
      </c>
    </row>
    <row r="159" ht="15.95" customHeight="1" s="241">
      <c r="A159" s="16" t="inlineStr">
        <is>
          <t>Emerson</t>
        </is>
      </c>
      <c r="B159" s="17" t="inlineStr">
        <is>
          <t>EMR</t>
        </is>
      </c>
      <c r="C159" s="16" t="n"/>
      <c r="G159" t="inlineStr">
        <is>
          <t>unmapped</t>
        </is>
      </c>
      <c r="H159" t="inlineStr">
        <is>
          <t>Industrials</t>
        </is>
      </c>
      <c r="I159" t="inlineStr">
        <is>
          <t>none</t>
        </is>
      </c>
      <c r="J159" t="n">
        <v>0</v>
      </c>
    </row>
    <row r="160" ht="15.95" customHeight="1" s="241">
      <c r="A160" s="16" t="inlineStr">
        <is>
          <t>Cummins</t>
        </is>
      </c>
      <c r="B160" s="17" t="inlineStr">
        <is>
          <t>CMI</t>
        </is>
      </c>
      <c r="C160" s="16" t="n"/>
      <c r="G160" t="inlineStr">
        <is>
          <t>unmapped</t>
        </is>
      </c>
      <c r="H160" t="inlineStr">
        <is>
          <t>Industrials</t>
        </is>
      </c>
      <c r="I160" t="inlineStr">
        <is>
          <t>none</t>
        </is>
      </c>
      <c r="J160" t="n">
        <v>0</v>
      </c>
    </row>
    <row r="161" ht="15.95" customHeight="1" s="241">
      <c r="A161" s="16" t="inlineStr">
        <is>
          <t>Parker Hannifin</t>
        </is>
      </c>
      <c r="B161" s="17" t="inlineStr">
        <is>
          <t>PH</t>
        </is>
      </c>
      <c r="C161" s="16" t="n"/>
      <c r="G161" t="inlineStr">
        <is>
          <t>unmapped</t>
        </is>
      </c>
      <c r="H161" t="inlineStr">
        <is>
          <t>Industrials</t>
        </is>
      </c>
      <c r="I161" t="inlineStr">
        <is>
          <t>none</t>
        </is>
      </c>
      <c r="J161" t="n">
        <v>0</v>
      </c>
    </row>
    <row r="162" ht="15.95" customHeight="1" s="241">
      <c r="A162" s="16" t="inlineStr">
        <is>
          <t>Eaton</t>
        </is>
      </c>
      <c r="B162" s="17" t="inlineStr">
        <is>
          <t>ETN</t>
        </is>
      </c>
      <c r="C162" s="16" t="n"/>
      <c r="G162" t="inlineStr">
        <is>
          <t>unmapped</t>
        </is>
      </c>
      <c r="H162" t="inlineStr">
        <is>
          <t>Industrials</t>
        </is>
      </c>
      <c r="I162" t="inlineStr">
        <is>
          <t>none</t>
        </is>
      </c>
      <c r="J162" t="n">
        <v>0</v>
      </c>
    </row>
    <row r="163" ht="15.95" customHeight="1" s="241">
      <c r="A163" s="16" t="inlineStr">
        <is>
          <t>Illinois Tool Works</t>
        </is>
      </c>
      <c r="B163" s="17" t="inlineStr">
        <is>
          <t>ITW</t>
        </is>
      </c>
      <c r="C163" s="16" t="n"/>
      <c r="G163" t="inlineStr">
        <is>
          <t>unmapped</t>
        </is>
      </c>
      <c r="H163" t="inlineStr">
        <is>
          <t>Industrials</t>
        </is>
      </c>
      <c r="I163" t="inlineStr">
        <is>
          <t>none</t>
        </is>
      </c>
      <c r="J163" t="n">
        <v>0</v>
      </c>
    </row>
    <row r="164" ht="15.95" customHeight="1" s="241">
      <c r="A164" s="16" t="inlineStr">
        <is>
          <t>Carrier</t>
        </is>
      </c>
      <c r="B164" s="17" t="inlineStr">
        <is>
          <t>CARR</t>
        </is>
      </c>
      <c r="C164" s="16" t="n"/>
      <c r="G164" t="inlineStr">
        <is>
          <t>unmapped</t>
        </is>
      </c>
      <c r="H164" t="inlineStr">
        <is>
          <t>Industrials</t>
        </is>
      </c>
      <c r="I164" t="inlineStr">
        <is>
          <t>none</t>
        </is>
      </c>
      <c r="J164" t="n">
        <v>0</v>
      </c>
    </row>
    <row r="165" ht="15.95" customHeight="1" s="241">
      <c r="A165" s="16" t="inlineStr">
        <is>
          <t>Trane Technologies</t>
        </is>
      </c>
      <c r="B165" s="17" t="inlineStr">
        <is>
          <t>TT</t>
        </is>
      </c>
      <c r="C165" s="16" t="n"/>
      <c r="G165" t="inlineStr">
        <is>
          <t>unmapped</t>
        </is>
      </c>
      <c r="H165" t="inlineStr">
        <is>
          <t>Industrials</t>
        </is>
      </c>
      <c r="I165" t="inlineStr">
        <is>
          <t>none</t>
        </is>
      </c>
      <c r="J165" t="n">
        <v>0</v>
      </c>
    </row>
    <row r="166" ht="15.95" customHeight="1" s="241">
      <c r="A166" s="16" t="inlineStr">
        <is>
          <t>Rio Tinto</t>
        </is>
      </c>
      <c r="B166" s="17" t="inlineStr">
        <is>
          <t>RIO</t>
        </is>
      </c>
      <c r="C166" s="16" t="n"/>
      <c r="G166" t="inlineStr">
        <is>
          <t>unmapped</t>
        </is>
      </c>
      <c r="H166" t="inlineStr">
        <is>
          <t>Materials</t>
        </is>
      </c>
      <c r="I166" t="inlineStr">
        <is>
          <t>none</t>
        </is>
      </c>
      <c r="J166" t="n">
        <v>0</v>
      </c>
    </row>
    <row r="167" ht="15.95" customHeight="1" s="241">
      <c r="A167" s="16" t="inlineStr">
        <is>
          <t>BHP</t>
        </is>
      </c>
      <c r="B167" s="17" t="inlineStr">
        <is>
          <t>BHP</t>
        </is>
      </c>
      <c r="C167" s="16" t="n"/>
      <c r="G167" t="inlineStr">
        <is>
          <t>unmapped</t>
        </is>
      </c>
      <c r="H167" t="inlineStr">
        <is>
          <t>Materials</t>
        </is>
      </c>
      <c r="I167" t="inlineStr">
        <is>
          <t>none</t>
        </is>
      </c>
      <c r="J167" t="n">
        <v>0</v>
      </c>
    </row>
    <row r="168" ht="15.95" customHeight="1" s="241">
      <c r="A168" s="16" t="inlineStr">
        <is>
          <t>Vale</t>
        </is>
      </c>
      <c r="B168" s="17" t="inlineStr">
        <is>
          <t>VALE</t>
        </is>
      </c>
      <c r="C168" s="16" t="n"/>
      <c r="G168" t="inlineStr">
        <is>
          <t>unmapped</t>
        </is>
      </c>
      <c r="H168" t="inlineStr">
        <is>
          <t>Materials</t>
        </is>
      </c>
      <c r="I168" t="inlineStr">
        <is>
          <t>none</t>
        </is>
      </c>
      <c r="J168" t="n">
        <v>0</v>
      </c>
    </row>
    <row r="169" ht="15.95" customHeight="1" s="241">
      <c r="A169" s="16" t="inlineStr">
        <is>
          <t>Freeport-McMoRan</t>
        </is>
      </c>
      <c r="B169" s="17" t="inlineStr">
        <is>
          <t>FCX</t>
        </is>
      </c>
      <c r="C169" s="16" t="inlineStr">
        <is>
          <t>Dragos</t>
        </is>
      </c>
      <c r="G169" t="inlineStr">
        <is>
          <t>P3</t>
        </is>
      </c>
      <c r="H169" t="inlineStr">
        <is>
          <t>Materials</t>
        </is>
      </c>
      <c r="I169" t="inlineStr">
        <is>
          <t>Phase 3/Readings/Freeport-McMoRan</t>
        </is>
      </c>
      <c r="J169" t="n">
        <v>12</v>
      </c>
    </row>
    <row r="170" ht="15.95" customHeight="1" s="241">
      <c r="A170" s="16" t="inlineStr">
        <is>
          <t>Newmont</t>
        </is>
      </c>
      <c r="B170" s="17" t="inlineStr">
        <is>
          <t>NEM</t>
        </is>
      </c>
      <c r="C170" s="16" t="n"/>
      <c r="G170" t="inlineStr">
        <is>
          <t>unmapped</t>
        </is>
      </c>
      <c r="H170" t="inlineStr">
        <is>
          <t>Materials</t>
        </is>
      </c>
      <c r="I170" t="inlineStr">
        <is>
          <t>none</t>
        </is>
      </c>
      <c r="J170" t="n">
        <v>0</v>
      </c>
    </row>
    <row r="171" ht="15.95" customHeight="1" s="241">
      <c r="A171" s="16" t="inlineStr">
        <is>
          <t>Anglo American</t>
        </is>
      </c>
      <c r="B171" s="17" t="inlineStr">
        <is>
          <t>AAL.L</t>
        </is>
      </c>
      <c r="C171" s="16" t="n"/>
      <c r="G171" t="inlineStr">
        <is>
          <t>unmapped</t>
        </is>
      </c>
      <c r="H171" t="inlineStr">
        <is>
          <t>Materials</t>
        </is>
      </c>
      <c r="I171" t="inlineStr">
        <is>
          <t>none</t>
        </is>
      </c>
      <c r="J171" t="n">
        <v>0</v>
      </c>
    </row>
    <row r="172" ht="15.95" customHeight="1" s="241">
      <c r="A172" s="16" t="inlineStr">
        <is>
          <t>Glencore</t>
        </is>
      </c>
      <c r="B172" s="17" t="inlineStr">
        <is>
          <t>GLEN.L</t>
        </is>
      </c>
      <c r="C172" s="16" t="n"/>
      <c r="G172" t="inlineStr">
        <is>
          <t>unmapped</t>
        </is>
      </c>
      <c r="H172" t="inlineStr">
        <is>
          <t>Materials</t>
        </is>
      </c>
      <c r="I172" t="inlineStr">
        <is>
          <t>none</t>
        </is>
      </c>
      <c r="J172" t="n">
        <v>0</v>
      </c>
    </row>
    <row r="173" ht="15.95" customHeight="1" s="241">
      <c r="A173" s="16" t="inlineStr">
        <is>
          <t>Nucor</t>
        </is>
      </c>
      <c r="B173" s="17" t="inlineStr">
        <is>
          <t>NUE</t>
        </is>
      </c>
      <c r="C173" s="16" t="n"/>
      <c r="G173" t="inlineStr">
        <is>
          <t>unmapped</t>
        </is>
      </c>
      <c r="H173" t="inlineStr">
        <is>
          <t>Materials</t>
        </is>
      </c>
      <c r="I173" t="inlineStr">
        <is>
          <t>none</t>
        </is>
      </c>
      <c r="J173" t="n">
        <v>0</v>
      </c>
    </row>
    <row r="174" ht="15.95" customHeight="1" s="241">
      <c r="A174" s="16" t="inlineStr">
        <is>
          <t>ArcelorMittal</t>
        </is>
      </c>
      <c r="B174" s="17" t="inlineStr">
        <is>
          <t>MT</t>
        </is>
      </c>
      <c r="C174" s="16" t="n"/>
      <c r="G174" t="inlineStr">
        <is>
          <t>unmapped</t>
        </is>
      </c>
      <c r="H174" t="inlineStr">
        <is>
          <t>Materials</t>
        </is>
      </c>
      <c r="I174" t="inlineStr">
        <is>
          <t>none</t>
        </is>
      </c>
      <c r="J174" t="n">
        <v>0</v>
      </c>
    </row>
    <row r="175" ht="15.95" customHeight="1" s="241">
      <c r="A175" s="16" t="inlineStr">
        <is>
          <t>Cleveland-Cliffs</t>
        </is>
      </c>
      <c r="B175" s="17" t="inlineStr">
        <is>
          <t>CLF</t>
        </is>
      </c>
      <c r="C175" s="16" t="n"/>
      <c r="G175" t="inlineStr">
        <is>
          <t>unmapped</t>
        </is>
      </c>
      <c r="H175" t="inlineStr">
        <is>
          <t>Materials</t>
        </is>
      </c>
      <c r="I175" t="inlineStr">
        <is>
          <t>none</t>
        </is>
      </c>
      <c r="J175" t="n">
        <v>0</v>
      </c>
    </row>
    <row r="176" ht="15.95" customHeight="1" s="241">
      <c r="A176" s="16" t="inlineStr">
        <is>
          <t>Canadian National Railway</t>
        </is>
      </c>
      <c r="B176" s="17" t="inlineStr">
        <is>
          <t>CNI</t>
        </is>
      </c>
      <c r="C176" s="16" t="n"/>
      <c r="G176" t="inlineStr">
        <is>
          <t>unmapped</t>
        </is>
      </c>
      <c r="H176" t="inlineStr">
        <is>
          <t>Industrials</t>
        </is>
      </c>
      <c r="I176" t="inlineStr">
        <is>
          <t>none</t>
        </is>
      </c>
      <c r="J176" t="n">
        <v>0</v>
      </c>
    </row>
    <row r="177" ht="15.95" customHeight="1" s="241">
      <c r="A177" s="16" t="inlineStr">
        <is>
          <t>Canadian Pacific Kansas City</t>
        </is>
      </c>
      <c r="B177" s="17" t="inlineStr">
        <is>
          <t>CP</t>
        </is>
      </c>
      <c r="C177" s="16" t="n"/>
      <c r="G177" t="inlineStr">
        <is>
          <t>unmapped</t>
        </is>
      </c>
      <c r="H177" t="inlineStr">
        <is>
          <t>Industrials</t>
        </is>
      </c>
      <c r="I177" t="inlineStr">
        <is>
          <t>none</t>
        </is>
      </c>
      <c r="J177" t="n">
        <v>0</v>
      </c>
    </row>
    <row r="178" ht="15.95" customHeight="1" s="241">
      <c r="A178" s="16" t="inlineStr">
        <is>
          <t>Union Pacific</t>
        </is>
      </c>
      <c r="B178" s="17" t="inlineStr">
        <is>
          <t>UNP</t>
        </is>
      </c>
      <c r="C178" s="16" t="inlineStr">
        <is>
          <t>Dragos</t>
        </is>
      </c>
      <c r="G178" t="inlineStr">
        <is>
          <t>P3</t>
        </is>
      </c>
      <c r="H178" t="inlineStr">
        <is>
          <t>Industrials</t>
        </is>
      </c>
      <c r="I178" t="inlineStr">
        <is>
          <t>Phase 3/Readings/Union Pacific</t>
        </is>
      </c>
      <c r="J178" t="n">
        <v>16</v>
      </c>
    </row>
    <row r="179" ht="15.95" customHeight="1" s="241">
      <c r="A179" s="16" t="inlineStr">
        <is>
          <t>Norfolk Southern</t>
        </is>
      </c>
      <c r="B179" s="17" t="inlineStr">
        <is>
          <t>NSC</t>
        </is>
      </c>
      <c r="C179" s="16" t="n"/>
      <c r="G179" t="inlineStr">
        <is>
          <t>unmapped</t>
        </is>
      </c>
      <c r="H179" t="inlineStr">
        <is>
          <t>Industrials</t>
        </is>
      </c>
      <c r="I179" t="inlineStr">
        <is>
          <t>none</t>
        </is>
      </c>
      <c r="J179" t="n">
        <v>0</v>
      </c>
    </row>
    <row r="180" ht="15.95" customHeight="1" s="241">
      <c r="A180" s="16" t="inlineStr">
        <is>
          <t>CSX</t>
        </is>
      </c>
      <c r="B180" s="17" t="inlineStr">
        <is>
          <t>CSX</t>
        </is>
      </c>
      <c r="C180" s="16" t="n"/>
      <c r="G180" t="inlineStr">
        <is>
          <t>unmapped</t>
        </is>
      </c>
      <c r="H180" t="inlineStr">
        <is>
          <t>Industrials</t>
        </is>
      </c>
      <c r="I180" t="inlineStr">
        <is>
          <t>none</t>
        </is>
      </c>
      <c r="J180" t="n">
        <v>0</v>
      </c>
    </row>
    <row r="181" ht="15.95" customHeight="1" s="241">
      <c r="A181" s="16" t="inlineStr">
        <is>
          <t>Waste Management</t>
        </is>
      </c>
      <c r="B181" s="17" t="inlineStr">
        <is>
          <t>WM</t>
        </is>
      </c>
      <c r="C181" s="16" t="n"/>
      <c r="G181" t="inlineStr">
        <is>
          <t>unmapped</t>
        </is>
      </c>
      <c r="H181" t="inlineStr">
        <is>
          <t>Industrials</t>
        </is>
      </c>
      <c r="I181" t="inlineStr">
        <is>
          <t>none</t>
        </is>
      </c>
      <c r="J181" t="n">
        <v>0</v>
      </c>
    </row>
    <row r="182" ht="15.95" customHeight="1" s="241">
      <c r="A182" s="16" t="inlineStr">
        <is>
          <t>Republic Services</t>
        </is>
      </c>
      <c r="B182" s="17" t="inlineStr">
        <is>
          <t>RSG</t>
        </is>
      </c>
      <c r="C182" s="16" t="n"/>
      <c r="G182" t="inlineStr">
        <is>
          <t>unmapped</t>
        </is>
      </c>
      <c r="H182" t="inlineStr">
        <is>
          <t>Industrials</t>
        </is>
      </c>
      <c r="I182" t="inlineStr">
        <is>
          <t>none</t>
        </is>
      </c>
      <c r="J182" t="n">
        <v>0</v>
      </c>
    </row>
    <row r="183" ht="15.95" customHeight="1" s="241">
      <c r="A183" s="16" t="inlineStr">
        <is>
          <t>Air Products</t>
        </is>
      </c>
      <c r="B183" s="17" t="inlineStr">
        <is>
          <t>APD</t>
        </is>
      </c>
      <c r="C183" s="16" t="n"/>
      <c r="G183" t="inlineStr">
        <is>
          <t>unmapped</t>
        </is>
      </c>
      <c r="H183" t="inlineStr">
        <is>
          <t>Materials</t>
        </is>
      </c>
      <c r="I183" t="inlineStr">
        <is>
          <t>none</t>
        </is>
      </c>
      <c r="J183" t="n">
        <v>0</v>
      </c>
    </row>
    <row r="184" ht="15.95" customHeight="1" s="241">
      <c r="A184" s="16" t="inlineStr">
        <is>
          <t>Linde</t>
        </is>
      </c>
      <c r="B184" s="17" t="inlineStr">
        <is>
          <t>LIN</t>
        </is>
      </c>
      <c r="C184" s="16" t="inlineStr">
        <is>
          <t>Meriem</t>
        </is>
      </c>
      <c r="G184" t="inlineStr">
        <is>
          <t>P3</t>
        </is>
      </c>
      <c r="H184" t="inlineStr">
        <is>
          <t>Materials</t>
        </is>
      </c>
      <c r="I184" t="inlineStr">
        <is>
          <t>Phase 3/Readings/Linde</t>
        </is>
      </c>
      <c r="J184" t="n">
        <v>5</v>
      </c>
    </row>
    <row r="185" ht="15.95" customHeight="1" s="241">
      <c r="A185" s="16" t="inlineStr">
        <is>
          <t>DuPont</t>
        </is>
      </c>
      <c r="B185" s="17" t="inlineStr">
        <is>
          <t>DD</t>
        </is>
      </c>
      <c r="C185" s="16" t="n"/>
      <c r="G185" t="inlineStr">
        <is>
          <t>unmapped</t>
        </is>
      </c>
      <c r="H185" t="inlineStr">
        <is>
          <t>Materials</t>
        </is>
      </c>
      <c r="I185" t="inlineStr">
        <is>
          <t>none</t>
        </is>
      </c>
      <c r="J185" t="n">
        <v>0</v>
      </c>
    </row>
    <row r="186" ht="15.95" customHeight="1" s="241">
      <c r="A186" s="16" t="inlineStr">
        <is>
          <t>Dow</t>
        </is>
      </c>
      <c r="B186" s="17" t="inlineStr">
        <is>
          <t>DOW</t>
        </is>
      </c>
      <c r="C186" s="16" t="n"/>
      <c r="G186" t="inlineStr">
        <is>
          <t>unmapped</t>
        </is>
      </c>
      <c r="H186" t="inlineStr">
        <is>
          <t>Materials</t>
        </is>
      </c>
      <c r="I186" t="inlineStr">
        <is>
          <t>none</t>
        </is>
      </c>
      <c r="J186" t="n">
        <v>0</v>
      </c>
    </row>
    <row r="187" ht="15.95" customHeight="1" s="241">
      <c r="A187" s="16" t="inlineStr">
        <is>
          <t>BASF</t>
        </is>
      </c>
      <c r="B187" s="17" t="inlineStr">
        <is>
          <t>BAS.DE</t>
        </is>
      </c>
      <c r="C187" s="16" t="n"/>
      <c r="G187" t="inlineStr">
        <is>
          <t>unmapped</t>
        </is>
      </c>
      <c r="H187" t="inlineStr">
        <is>
          <t>Materials</t>
        </is>
      </c>
      <c r="I187" t="inlineStr">
        <is>
          <t>none</t>
        </is>
      </c>
      <c r="J187" t="n">
        <v>0</v>
      </c>
    </row>
    <row r="188" ht="15.95" customHeight="1" s="241">
      <c r="A188" s="16" t="inlineStr">
        <is>
          <t>Bayer</t>
        </is>
      </c>
      <c r="B188" s="17" t="inlineStr">
        <is>
          <t>BAYN.DE</t>
        </is>
      </c>
      <c r="C188" s="16" t="n"/>
      <c r="G188" t="inlineStr">
        <is>
          <t>unmapped</t>
        </is>
      </c>
      <c r="H188" t="inlineStr">
        <is>
          <t>Health Care</t>
        </is>
      </c>
      <c r="I188" t="inlineStr">
        <is>
          <t>none</t>
        </is>
      </c>
      <c r="J188" t="n">
        <v>0</v>
      </c>
    </row>
    <row r="189" ht="15.95" customHeight="1" s="241">
      <c r="A189" s="16" t="inlineStr">
        <is>
          <t>Infineon</t>
        </is>
      </c>
      <c r="B189" s="17" t="inlineStr">
        <is>
          <t>IFX.DE</t>
        </is>
      </c>
      <c r="C189" s="16" t="n"/>
      <c r="G189" t="inlineStr">
        <is>
          <t>unmapped</t>
        </is>
      </c>
      <c r="H189" t="inlineStr">
        <is>
          <t>Information Technology</t>
        </is>
      </c>
      <c r="I189" t="inlineStr">
        <is>
          <t>none</t>
        </is>
      </c>
      <c r="J189" t="n">
        <v>0</v>
      </c>
    </row>
    <row r="190" ht="15.95" customHeight="1" s="241">
      <c r="A190" s="16" t="inlineStr">
        <is>
          <t>STMicroelectronics</t>
        </is>
      </c>
      <c r="B190" s="17" t="inlineStr">
        <is>
          <t>STM</t>
        </is>
      </c>
      <c r="C190" s="16" t="n"/>
      <c r="G190" t="inlineStr">
        <is>
          <t>unmapped</t>
        </is>
      </c>
      <c r="H190" t="inlineStr">
        <is>
          <t>Information Technology</t>
        </is>
      </c>
      <c r="I190" t="inlineStr">
        <is>
          <t>none</t>
        </is>
      </c>
      <c r="J190" t="n">
        <v>0</v>
      </c>
    </row>
    <row r="191" ht="15.95" customHeight="1" s="241">
      <c r="A191" s="16" t="inlineStr">
        <is>
          <t>NXP Semiconductors</t>
        </is>
      </c>
      <c r="B191" s="17" t="inlineStr">
        <is>
          <t>NXPI</t>
        </is>
      </c>
      <c r="C191" s="16" t="n"/>
      <c r="G191" t="inlineStr">
        <is>
          <t>unmapped</t>
        </is>
      </c>
      <c r="H191" t="inlineStr">
        <is>
          <t>Information Technology</t>
        </is>
      </c>
      <c r="I191" t="inlineStr">
        <is>
          <t>none</t>
        </is>
      </c>
      <c r="J191" t="n">
        <v>0</v>
      </c>
    </row>
    <row r="192" ht="15.95" customHeight="1" s="241">
      <c r="A192" s="16" t="inlineStr">
        <is>
          <t>Analog Devices</t>
        </is>
      </c>
      <c r="B192" s="17" t="inlineStr">
        <is>
          <t>ADI</t>
        </is>
      </c>
      <c r="C192" s="16" t="n"/>
      <c r="G192" t="inlineStr">
        <is>
          <t>unmapped</t>
        </is>
      </c>
      <c r="H192" t="inlineStr">
        <is>
          <t>Information Technology</t>
        </is>
      </c>
      <c r="I192" t="inlineStr">
        <is>
          <t>none</t>
        </is>
      </c>
      <c r="J192" t="n">
        <v>0</v>
      </c>
    </row>
    <row r="193" ht="15.95" customHeight="1" s="241">
      <c r="A193" s="16" t="inlineStr">
        <is>
          <t>Texas Instruments</t>
        </is>
      </c>
      <c r="B193" s="17" t="inlineStr">
        <is>
          <t>TXN</t>
        </is>
      </c>
      <c r="C193" s="16" t="n"/>
      <c r="G193" t="inlineStr">
        <is>
          <t>unmapped</t>
        </is>
      </c>
      <c r="H193" t="inlineStr">
        <is>
          <t>Information Technology</t>
        </is>
      </c>
      <c r="I193" t="inlineStr">
        <is>
          <t>none</t>
        </is>
      </c>
      <c r="J193" t="n">
        <v>0</v>
      </c>
    </row>
    <row r="194" ht="15.95" customHeight="1" s="241">
      <c r="A194" s="16" t="inlineStr">
        <is>
          <t>Applied Materials</t>
        </is>
      </c>
      <c r="B194" s="17" t="inlineStr">
        <is>
          <t>AMAT</t>
        </is>
      </c>
      <c r="C194" s="16" t="n"/>
      <c r="G194" t="inlineStr">
        <is>
          <t>unmapped</t>
        </is>
      </c>
      <c r="H194" t="inlineStr">
        <is>
          <t>Information Technology</t>
        </is>
      </c>
      <c r="I194" t="inlineStr">
        <is>
          <t>none</t>
        </is>
      </c>
      <c r="J194" t="n">
        <v>0</v>
      </c>
    </row>
    <row r="195" ht="15.95" customHeight="1" s="241">
      <c r="A195" s="16" t="inlineStr">
        <is>
          <t>Lam Research</t>
        </is>
      </c>
      <c r="B195" s="17" t="inlineStr">
        <is>
          <t>LRCX</t>
        </is>
      </c>
      <c r="C195" s="16" t="n"/>
      <c r="G195" t="inlineStr">
        <is>
          <t>unmapped</t>
        </is>
      </c>
      <c r="H195" t="inlineStr">
        <is>
          <t>Information Technology</t>
        </is>
      </c>
      <c r="I195" t="inlineStr">
        <is>
          <t>none</t>
        </is>
      </c>
      <c r="J195" t="n">
        <v>0</v>
      </c>
    </row>
    <row r="196" ht="15.95" customHeight="1" s="241">
      <c r="A196" s="16" t="inlineStr">
        <is>
          <t>KLA</t>
        </is>
      </c>
      <c r="B196" s="17" t="inlineStr">
        <is>
          <t>KLAC</t>
        </is>
      </c>
      <c r="C196" s="16" t="n"/>
      <c r="G196" t="inlineStr">
        <is>
          <t>unmapped</t>
        </is>
      </c>
      <c r="H196" t="inlineStr">
        <is>
          <t>Information Technology</t>
        </is>
      </c>
      <c r="I196" t="inlineStr">
        <is>
          <t>none</t>
        </is>
      </c>
      <c r="J196" t="n">
        <v>0</v>
      </c>
    </row>
    <row r="197" ht="15.95" customHeight="1" s="241">
      <c r="A197" s="16" t="inlineStr">
        <is>
          <t>Marvell Technology</t>
        </is>
      </c>
      <c r="B197" s="17" t="inlineStr">
        <is>
          <t>MRVL</t>
        </is>
      </c>
      <c r="C197" s="16" t="n"/>
      <c r="G197" t="inlineStr">
        <is>
          <t>unmapped</t>
        </is>
      </c>
      <c r="H197" t="inlineStr">
        <is>
          <t>Information Technology</t>
        </is>
      </c>
      <c r="I197" t="inlineStr">
        <is>
          <t>none</t>
        </is>
      </c>
      <c r="J197" t="n">
        <v>0</v>
      </c>
    </row>
    <row r="198" ht="15.95" customHeight="1" s="241">
      <c r="A198" s="16" t="inlineStr">
        <is>
          <t>Cloudflare</t>
        </is>
      </c>
      <c r="B198" s="17" t="inlineStr">
        <is>
          <t>NET</t>
        </is>
      </c>
      <c r="C198" s="16" t="n"/>
      <c r="G198" t="inlineStr">
        <is>
          <t>unmapped</t>
        </is>
      </c>
      <c r="H198" t="inlineStr">
        <is>
          <t>Information Technology</t>
        </is>
      </c>
      <c r="I198" t="inlineStr">
        <is>
          <t>none</t>
        </is>
      </c>
      <c r="J198" t="n">
        <v>0</v>
      </c>
    </row>
    <row r="199" ht="15.95" customHeight="1" s="241">
      <c r="A199" s="16" t="inlineStr">
        <is>
          <t>Datadog</t>
        </is>
      </c>
      <c r="B199" s="17" t="inlineStr">
        <is>
          <t>DDOG</t>
        </is>
      </c>
      <c r="C199" s="16" t="inlineStr">
        <is>
          <t>Anna</t>
        </is>
      </c>
      <c r="G199" t="inlineStr">
        <is>
          <t>P3</t>
        </is>
      </c>
      <c r="H199" t="inlineStr">
        <is>
          <t>Information Technology</t>
        </is>
      </c>
      <c r="I199" t="inlineStr">
        <is>
          <t>Phase 3/Readings/Datadog</t>
        </is>
      </c>
      <c r="J199" t="n">
        <v>7</v>
      </c>
    </row>
    <row r="200" ht="15.95" customHeight="1" s="241">
      <c r="A200" s="16" t="inlineStr">
        <is>
          <t>CrowdStrike</t>
        </is>
      </c>
      <c r="B200" s="17" t="inlineStr">
        <is>
          <t>CRWD</t>
        </is>
      </c>
      <c r="C200" s="16" t="n"/>
      <c r="G200" t="inlineStr">
        <is>
          <t>unmapped</t>
        </is>
      </c>
      <c r="H200" t="inlineStr">
        <is>
          <t>Information Technology</t>
        </is>
      </c>
      <c r="I200" t="inlineStr">
        <is>
          <t>none</t>
        </is>
      </c>
      <c r="J200" t="n">
        <v>0</v>
      </c>
    </row>
    <row r="201" ht="15.95" customHeight="1" s="241">
      <c r="A201" s="16" t="inlineStr">
        <is>
          <t>MongoDB</t>
        </is>
      </c>
      <c r="B201" s="17" t="inlineStr">
        <is>
          <t>MDB</t>
        </is>
      </c>
      <c r="C201" s="16" t="n"/>
      <c r="G201" t="inlineStr">
        <is>
          <t>unmapped</t>
        </is>
      </c>
      <c r="H201" t="inlineStr">
        <is>
          <t>Information Technology</t>
        </is>
      </c>
      <c r="I201" t="inlineStr">
        <is>
          <t>none</t>
        </is>
      </c>
      <c r="J201" t="n">
        <v>0</v>
      </c>
    </row>
    <row r="202" ht="15.95" customHeight="1" s="241">
      <c r="A202" s="16" t="inlineStr">
        <is>
          <t>eBay</t>
        </is>
      </c>
      <c r="B202" s="17" t="inlineStr">
        <is>
          <t>EBAY</t>
        </is>
      </c>
      <c r="C202" s="16" t="inlineStr">
        <is>
          <t>Anna</t>
        </is>
      </c>
      <c r="G202" t="inlineStr">
        <is>
          <t>P3</t>
        </is>
      </c>
      <c r="H202" t="inlineStr">
        <is>
          <t>Consumer Discretionary</t>
        </is>
      </c>
      <c r="I202" t="inlineStr">
        <is>
          <t>Phase 3/Readings/eBay</t>
        </is>
      </c>
      <c r="J202" t="n">
        <v>4</v>
      </c>
    </row>
    <row r="203" ht="15.95" customHeight="1" s="241">
      <c r="A203" s="16" t="inlineStr">
        <is>
          <t>Pinterest</t>
        </is>
      </c>
      <c r="B203" s="17" t="inlineStr">
        <is>
          <t>PINS</t>
        </is>
      </c>
      <c r="C203" s="16" t="inlineStr">
        <is>
          <t>Anna</t>
        </is>
      </c>
      <c r="G203" t="inlineStr">
        <is>
          <t>P3</t>
        </is>
      </c>
      <c r="H203" t="inlineStr">
        <is>
          <t>Communication Services</t>
        </is>
      </c>
      <c r="I203" t="inlineStr">
        <is>
          <t>Phase 3/Readings/Pinterest</t>
        </is>
      </c>
      <c r="J203" t="n">
        <v>3</v>
      </c>
    </row>
    <row r="204" ht="15.95" customHeight="1" s="241">
      <c r="A204" s="16" t="inlineStr">
        <is>
          <t>Robinhood Markets</t>
        </is>
      </c>
      <c r="B204" s="17" t="inlineStr">
        <is>
          <t>HOOD</t>
        </is>
      </c>
      <c r="C204" s="16" t="inlineStr">
        <is>
          <t>Abdul</t>
        </is>
      </c>
      <c r="G204" t="inlineStr">
        <is>
          <t>P3</t>
        </is>
      </c>
      <c r="H204" t="inlineStr">
        <is>
          <t>Financials</t>
        </is>
      </c>
      <c r="I204" t="inlineStr">
        <is>
          <t>Phase 3/Readings/Robinhood</t>
        </is>
      </c>
      <c r="J204" t="n">
        <v>6</v>
      </c>
    </row>
    <row r="205" ht="15.95" customHeight="1" s="241">
      <c r="A205" s="16" t="inlineStr">
        <is>
          <t>Coinbase</t>
        </is>
      </c>
      <c r="B205" s="17" t="inlineStr">
        <is>
          <t>COIN</t>
        </is>
      </c>
      <c r="C205" s="16" t="inlineStr">
        <is>
          <t>David</t>
        </is>
      </c>
      <c r="G205" t="inlineStr">
        <is>
          <t>P2</t>
        </is>
      </c>
      <c r="H205" t="inlineStr">
        <is>
          <t>Financials</t>
        </is>
      </c>
      <c r="I205" t="inlineStr">
        <is>
          <t>Phase 2/Coin Base</t>
        </is>
      </c>
      <c r="J205" t="n">
        <v>6</v>
      </c>
    </row>
    <row r="206" ht="15.95" customHeight="1" s="241">
      <c r="A206" s="16" t="inlineStr">
        <is>
          <t>Nvidia</t>
        </is>
      </c>
      <c r="B206" s="17" t="inlineStr">
        <is>
          <t>NVDA</t>
        </is>
      </c>
      <c r="C206" s="16" t="inlineStr">
        <is>
          <t>Dragos</t>
        </is>
      </c>
      <c r="G206" t="inlineStr">
        <is>
          <t>P2</t>
        </is>
      </c>
      <c r="H206" t="inlineStr">
        <is>
          <t>Information Technology</t>
        </is>
      </c>
      <c r="I206" t="inlineStr">
        <is>
          <t>Phase 2/Nvidia</t>
        </is>
      </c>
      <c r="J206" t="n">
        <v>16</v>
      </c>
    </row>
    <row r="207" ht="15.95" customHeight="1" s="241">
      <c r="A207" t="inlineStr">
        <is>
          <t>Starbucks</t>
        </is>
      </c>
      <c r="B207" t="inlineStr">
        <is>
          <t>SBUX</t>
        </is>
      </c>
      <c r="C207" t="inlineStr">
        <is>
          <t>Meriem</t>
        </is>
      </c>
      <c r="G207" t="inlineStr">
        <is>
          <t>P2</t>
        </is>
      </c>
      <c r="H207" t="inlineStr">
        <is>
          <t>Consumer Discretionary</t>
        </is>
      </c>
      <c r="I207" t="inlineStr">
        <is>
          <t>Phase 2/Starbucks</t>
        </is>
      </c>
      <c r="J207" t="n">
        <v>8</v>
      </c>
    </row>
  </sheetData>
  <dataValidations count="1">
    <dataValidation sqref="C2:C1048576" showDropDown="0" showInputMessage="1" showErrorMessage="1" allowBlank="1" type="list">
      <formula1>RaterList</formula1>
    </dataValidation>
  </dataValidations>
  <pageMargins left="0.7" right="0.7" top="0.75" bottom="0.75" header="0.3" footer="0.3"/>
  <pageSetup orientation="landscape" fitToHeight="0"/>
  <tableParts count="2">
    <tablePart xmlns:r="http://schemas.openxmlformats.org/officeDocument/2006/relationships" r:id="rId1"/>
    <tablePart xmlns:r="http://schemas.openxmlformats.org/officeDocument/2006/relationships" r:id="rId2"/>
  </tableParts>
</worksheet>
</file>

<file path=xl/worksheets/sheet21.xml><?xml version="1.0" encoding="utf-8"?>
<worksheet xmlns="http://schemas.openxmlformats.org/spreadsheetml/2006/main">
  <sheetPr>
    <tabColor rgb="FFA6A6A6"/>
    <outlinePr summaryBelow="1" summaryRight="1"/>
    <pageSetUpPr fitToPage="1"/>
  </sheetPr>
  <dimension ref="A1:I57"/>
  <sheetViews>
    <sheetView showGridLines="0" zoomScaleNormal="100" workbookViewId="0">
      <pane ySplit="2" topLeftCell="A3" activePane="bottomLeft" state="frozen"/>
      <selection pane="bottomLeft" activeCell="H9" sqref="H9"/>
    </sheetView>
  </sheetViews>
  <sheetFormatPr baseColWidth="8" defaultColWidth="8.7109375" defaultRowHeight="15"/>
  <cols>
    <col width="46" bestFit="1" customWidth="1" style="241" min="1" max="3"/>
    <col width="10" customWidth="1" style="241" min="4" max="4"/>
    <col width="3" customWidth="1" style="241" min="5" max="5"/>
    <col width="9" customWidth="1" style="241" min="6" max="7"/>
    <col width="19" bestFit="1" customWidth="1" style="241" min="8" max="8"/>
    <col width="24" bestFit="1" customWidth="1" style="241" min="9" max="9"/>
  </cols>
  <sheetData>
    <row r="1" ht="15.95" customHeight="1" s="241">
      <c r="A1" s="12" t="inlineStr">
        <is>
          <t>Settings</t>
        </is>
      </c>
    </row>
    <row r="2" ht="15.95" customHeight="1" s="241">
      <c r="A2" s="151" t="inlineStr">
        <is>
          <t>Parameter</t>
        </is>
      </c>
      <c r="B2" s="151" t="inlineStr">
        <is>
          <t>Value</t>
        </is>
      </c>
      <c r="C2" s="151" t="inlineStr">
        <is>
          <t>Notes</t>
        </is>
      </c>
    </row>
    <row r="3" ht="30" customHeight="1" s="241">
      <c r="A3" s="9" t="inlineStr">
        <is>
          <t>HOLD Threshold (±%)</t>
        </is>
      </c>
      <c r="B3" s="71" t="n">
        <v>2</v>
      </c>
      <c r="C3" s="238" t="inlineStr">
        <is>
          <t>Enter as a whole number (e.g. 2 = ±2%). A move within this range makes a HOLD call "correct".</t>
        </is>
      </c>
    </row>
    <row r="4" ht="30" customHeight="1" s="241">
      <c r="A4" s="9" t="inlineStr">
        <is>
          <t>Round-trip Cost (bps)</t>
        </is>
      </c>
      <c r="B4" s="72" t="n">
        <v>10</v>
      </c>
      <c r="C4" s="238" t="inlineStr">
        <is>
          <t>Round-trip transaction cost applied to every non-HOLD position.</t>
        </is>
      </c>
    </row>
    <row r="5" ht="15.95" customHeight="1" s="241">
      <c r="A5" s="9" t="inlineStr">
        <is>
          <t>Short Borrow (bps, SELL only)</t>
        </is>
      </c>
      <c r="B5" s="72" t="n">
        <v>0</v>
      </c>
      <c r="C5" s="13" t="inlineStr">
        <is>
          <t>Additional borrow cost applied to SELL positions only.</t>
        </is>
      </c>
      <c r="D5" s="3" t="n"/>
    </row>
    <row r="6" ht="30" customHeight="1" s="241">
      <c r="A6" s="1" t="inlineStr">
        <is>
          <t>Score HOLD band (±)</t>
        </is>
      </c>
      <c r="B6" s="1" t="n">
        <v>0.2</v>
      </c>
      <c r="C6" s="101" t="inlineStr">
        <is>
          <t>Applies to the Sentiment Score, not to a price move. A score within ±this is HOLD. Pre-registered - do not change after seeing results.</t>
        </is>
      </c>
      <c r="D6" s="3" t="n"/>
      <c r="E6" s="3" t="n"/>
      <c r="F6" s="3" t="n"/>
    </row>
    <row r="7" ht="15.95" customHeight="1" s="241">
      <c r="A7" s="54" t="inlineStr">
        <is>
          <t>Rater Name</t>
        </is>
      </c>
      <c r="B7" s="54" t="inlineStr">
        <is>
          <t>Type</t>
        </is>
      </c>
      <c r="D7" s="54" t="inlineStr">
        <is>
          <t>Decision</t>
        </is>
      </c>
      <c r="F7" s="54" t="inlineStr">
        <is>
          <t>Year</t>
        </is>
      </c>
      <c r="G7" s="54" t="inlineStr">
        <is>
          <t>Quarter</t>
        </is>
      </c>
      <c r="H7" s="79" t="inlineStr">
        <is>
          <t>Section</t>
        </is>
      </c>
      <c r="I7" s="79" t="inlineStr">
        <is>
          <t>Document</t>
        </is>
      </c>
    </row>
    <row r="8" ht="15.95" customHeight="1" s="241">
      <c r="A8" s="16" t="inlineStr">
        <is>
          <t>Anna</t>
        </is>
      </c>
      <c r="B8" s="17" t="inlineStr">
        <is>
          <t>Human</t>
        </is>
      </c>
      <c r="D8" s="17" t="inlineStr">
        <is>
          <t>BUY</t>
        </is>
      </c>
      <c r="F8" s="18" t="n">
        <v>2020</v>
      </c>
      <c r="G8" s="17" t="inlineStr">
        <is>
          <t>Q1</t>
        </is>
      </c>
      <c r="H8" s="80" t="inlineStr">
        <is>
          <t>Financial Results</t>
        </is>
      </c>
      <c r="I8" s="80" t="inlineStr">
        <is>
          <t>Financial Statement</t>
        </is>
      </c>
    </row>
    <row r="9" ht="15.95" customHeight="1" s="241">
      <c r="A9" s="16" t="inlineStr">
        <is>
          <t>Abdul</t>
        </is>
      </c>
      <c r="B9" s="17" t="inlineStr">
        <is>
          <t>Human</t>
        </is>
      </c>
      <c r="D9" s="17" t="inlineStr">
        <is>
          <t>HOLD</t>
        </is>
      </c>
      <c r="F9" s="17" t="n">
        <v>2021</v>
      </c>
      <c r="G9" s="17" t="inlineStr">
        <is>
          <t>Q2</t>
        </is>
      </c>
      <c r="H9" s="80" t="inlineStr">
        <is>
          <t>Outlook/Guidance</t>
        </is>
      </c>
      <c r="I9" s="80" t="inlineStr">
        <is>
          <t>Press Release Document</t>
        </is>
      </c>
    </row>
    <row r="10" ht="15.95" customHeight="1" s="241">
      <c r="A10" s="16" t="inlineStr">
        <is>
          <t>Nigel</t>
        </is>
      </c>
      <c r="B10" s="17" t="inlineStr">
        <is>
          <t>Human</t>
        </is>
      </c>
      <c r="D10" s="17" t="inlineStr">
        <is>
          <t>SELL</t>
        </is>
      </c>
      <c r="F10" s="17" t="n">
        <v>2022</v>
      </c>
      <c r="G10" s="17" t="inlineStr">
        <is>
          <t>Q3</t>
        </is>
      </c>
      <c r="H10" s="80" t="inlineStr">
        <is>
          <t>Transcript Q&amp;A</t>
        </is>
      </c>
      <c r="I10" s="80" t="inlineStr">
        <is>
          <t>Presentation</t>
        </is>
      </c>
    </row>
    <row r="11" ht="15.95" customHeight="1" s="241">
      <c r="A11" s="16" t="inlineStr">
        <is>
          <t>Meriem</t>
        </is>
      </c>
      <c r="B11" s="17" t="inlineStr">
        <is>
          <t>Human</t>
        </is>
      </c>
      <c r="D11" s="17" t="n"/>
      <c r="F11" s="17" t="n">
        <v>2023</v>
      </c>
      <c r="G11" s="17" t="inlineStr">
        <is>
          <t>Q4</t>
        </is>
      </c>
      <c r="H11" s="80" t="inlineStr">
        <is>
          <t>All</t>
        </is>
      </c>
      <c r="I11" s="80" t="inlineStr">
        <is>
          <t>Transcript</t>
        </is>
      </c>
    </row>
    <row r="12" ht="15.95" customHeight="1" s="241">
      <c r="A12" s="16" t="inlineStr">
        <is>
          <t>David</t>
        </is>
      </c>
      <c r="B12" s="17" t="inlineStr">
        <is>
          <t>Human</t>
        </is>
      </c>
      <c r="D12" s="17" t="n"/>
      <c r="F12" s="17" t="n">
        <v>2024</v>
      </c>
      <c r="G12" s="80" t="n"/>
      <c r="H12" s="80" t="n"/>
      <c r="I12" s="80" t="inlineStr">
        <is>
          <t>All</t>
        </is>
      </c>
    </row>
    <row r="13" ht="15.95" customHeight="1" s="241">
      <c r="A13" s="16" t="inlineStr">
        <is>
          <t>Dragos</t>
        </is>
      </c>
      <c r="B13" s="17" t="inlineStr">
        <is>
          <t>Human</t>
        </is>
      </c>
      <c r="D13" s="17" t="n"/>
      <c r="F13" s="17" t="n">
        <v>2025</v>
      </c>
      <c r="G13" s="17" t="n"/>
    </row>
    <row r="14" ht="15.95" customHeight="1" s="241">
      <c r="A14" s="16" t="inlineStr">
        <is>
          <t>Ben/DeepSeek</t>
        </is>
      </c>
      <c r="B14" s="17" t="inlineStr">
        <is>
          <t>LLM</t>
        </is>
      </c>
      <c r="D14" s="17" t="n"/>
      <c r="F14" s="17" t="n">
        <v>2026</v>
      </c>
      <c r="G14" s="17" t="n"/>
    </row>
    <row r="15" ht="15.95" customHeight="1" s="241"/>
    <row r="16" ht="30" customHeight="1" s="241">
      <c r="A16" s="149" t="inlineStr">
        <is>
          <t>Stock prices are measured based on Closing Price on date of document release and Opening Price of the next working day.</t>
        </is>
      </c>
    </row>
    <row r="17" ht="45.95" customHeight="1" s="241">
      <c r="A17" s="101" t="inlineStr">
        <is>
          <t>SECTION D - parameters the specification requires and the sheet did not carry. Added by the repair; every value is evidenced in the changelog. Nothing above row 17 was changed.</t>
        </is>
      </c>
    </row>
    <row r="18" ht="45.95" customHeight="1" s="241">
      <c r="A18" t="inlineStr">
        <is>
          <t>Slippage (bps, per side)</t>
        </is>
      </c>
      <c r="B18" t="n">
        <v>0</v>
      </c>
      <c r="C18" s="101" t="inlineStr">
        <is>
          <t>ANSWERED, query D-b, 10 August 2026: zero, and stated as such in the write-up rather than filled with a convention. DECLARED, NOT APPLIED. The specification defines net return as gross minus round-trip minus slippage minus borrow. Every figure this workbook has ever published was computed at zero slippage, so 0 is the value that describes them; no slippage figure was ever recorded for the study, and inventing one would move every trade in the human arm against no evidence. The human arm's total return survives a round trip of 73.8 bps and the model arm's 182.9 bps, against the 10 bps charged, so no plausible slippage assumption overturns anything. It is deliberately NOT wired into Human_Data_Entry!U: that column is live while LLM_Data_Entry!T is a pasted value, so a non-zero entry here would re-score the human arm alone and leave the model arm on the old basis - which is audit 6(a)10 re-created. What any non-zero value would do to BOTH arms is priced in the friction grid on Efficiency (block D5j).</t>
        </is>
      </c>
    </row>
    <row r="19" ht="45.95" customHeight="1" s="241">
      <c r="A19" t="inlineStr">
        <is>
          <t>Study window start</t>
        </is>
      </c>
      <c r="B19" t="inlineStr">
        <is>
          <t>2023-Q1</t>
        </is>
      </c>
      <c r="C19" s="101" t="inlineStr">
        <is>
          <t>ANSWERED, query D-a, 10 August 2026: the full observed span. PRIMARY analysis window, so that nothing is excluded and every published figure describes every reading. No narrower window was written down in advance, so narrowing it after the results were seen would be a choice made on the results; it would also halve the model arm's margin over its own floor (+4.10 pp to +2.05 pp). Narrow it and Human_Data_Entry!AR and LLM_Data_Entry!AL flag each row IN or OUT; no row is ever deleted. Block D5h on Summary reports both sides. Query D-a priced the narrower 2025-Q1..2026-Q2 window the v2 rebuild proposed and it was not taken.</t>
        </is>
      </c>
    </row>
    <row r="20" ht="30" customHeight="1" s="241">
      <c r="A20" t="inlineStr">
        <is>
          <t>Study window end</t>
        </is>
      </c>
      <c r="B20" t="inlineStr">
        <is>
          <t>2026-Q4</t>
        </is>
      </c>
      <c r="C20" s="101" t="inlineStr">
        <is>
          <t>As above. 52 human and 24 model readings fall outside 2025-Q1..2026-Q2; they are inside this window and they count.</t>
        </is>
      </c>
    </row>
    <row r="21" ht="45.95" customHeight="1" s="241">
      <c r="A21" t="inlineStr">
        <is>
          <t>Price adjustment basis</t>
        </is>
      </c>
      <c r="B21" t="inlineStr">
        <is>
          <t>Dividend-adjusted (close and open)</t>
        </is>
      </c>
      <c r="C21" s="101" t="inlineStr">
        <is>
          <t>ANSWERED by section C, query C-a, and it applies to the re-priced second results block, not to the published one: the published human arm is on the unadjusted series and the published model arm on the adjusted one, which is the inconsistency section C measured. Over a close-to-next-open window the adjustment factor divides out, so the choice moves three readings in 641 and +0.0209 on one model trade.</t>
        </is>
      </c>
    </row>
    <row r="22" ht="45.95" customHeight="1" s="241">
      <c r="A22" t="inlineStr">
        <is>
          <t>Reporting-time convention</t>
        </is>
      </c>
      <c r="B22" s="101" t="inlineStr">
        <is>
          <t>Reaction window per event: pre-report close to post-report open</t>
        </is>
      </c>
      <c r="C22" s="101" t="inlineStr">
        <is>
          <t>ANSWERED by section C, query C-f. Determined per event from the price signal, the release time stated in the corpus document, an earnings calendar seconded by an independent source, issuer-published release times, the EDGAR acceptance timestamp on the Item 2.02 8-K, and the exchange's own publication timestamp. Every one of the 420 human and 268 model readings carries a sourced window. THIS DEPARTS FROM THE RULE IN A16 - see the note below.</t>
        </is>
      </c>
    </row>
    <row r="23" ht="45.95" customHeight="1" s="241">
      <c r="A23" t="inlineStr">
        <is>
          <t>FLAT band basis</t>
        </is>
      </c>
      <c r="B23" t="inlineStr">
        <is>
          <t>The return itself, at +/-B3 %, NOT a rounded copy</t>
        </is>
      </c>
      <c r="C23" s="101" t="inlineStr">
        <is>
          <t>ANSWERED by section C, query C-c, and it applies to the re-priced block only. The published block bands ROUND((P-N)/N,4), and ROUND(x,4) &gt; 0.02 is first true at x = 0.02005, so the published band is +/-2.005% rather than the +/-2% B3 declares. The two conventions coexist on purpose; the difference decides Lockheed Martin 2025 Q4 in both arms.</t>
        </is>
      </c>
    </row>
    <row r="24" ht="30" customHeight="1" s="241">
      <c r="A24" t="inlineStr">
        <is>
          <t>Neutral point (human sentiment score)</t>
        </is>
      </c>
      <c r="B24" t="n">
        <v>0</v>
      </c>
      <c r="C24" s="101" t="inlineStr">
        <is>
          <t>Conviction is distance from neutral. Read by the conviction weights in Human_Data_Entry!AV and AX and by block D5f on Summary.</t>
        </is>
      </c>
    </row>
    <row r="25" ht="30" customHeight="1" s="241">
      <c r="A25" t="inlineStr">
        <is>
          <t>Neutral point (LLM sentiment score)</t>
        </is>
      </c>
      <c r="B25" t="n">
        <v>0</v>
      </c>
      <c r="C25" s="101" t="inlineStr">
        <is>
          <t>Recorded separately: the two arms need not share a scale. Read by LLM_Data_Entry!AO and AQ.</t>
        </is>
      </c>
    </row>
    <row r="26" ht="45.95" customHeight="1" s="241">
      <c r="A26" t="inlineStr">
        <is>
          <t>Listing convention</t>
        </is>
      </c>
      <c r="B26" s="101" t="inlineStr">
        <is>
          <t>The issuer's home market (re-priced block); column B as entered (published block)</t>
        </is>
      </c>
      <c r="C26" s="101" t="inlineStr">
        <is>
          <t>ANSWERED, query C-b, 10 August 2026: the home market, chosen knowing that it costs the human arm its lead. A close-to-open window does not measure a cross-listed issuer's reaction when the issuer is priced on its US line: on Novo Nordisk's 2025 Q4 release Copenhagen fell 17.89% from the close of 3 February 2026 to the open of the 4th, while NVO gapped -0.98% into the 3rd and then lost 13.80% INSIDE that session. THE COST: the head-to-head goes from +2 net calls to the human arm to -3, i.e. the model arm comes out ahead. WHAT SURVIVES IT: both arms still beat their own naive floor (+2.32 pp human, +5.60 pp model), as they do under all three variants rb_listing_choice.py prices (+2 / -3 / -1). The three figures each moved one step toward the model on 10 August 2026 when a Kraft Heinz quarter label was corrected on the model sheet as well as the human one; before that fix the arms did not pair on that event and the comparison was simply missing. One event cannot be moved - Maersk 2025 Q1, whose determination sits three months off its document date - so its two readings stay on the line column B names and say so in the re-priced listing column. The head-to-head may now be quoted, as -2.</t>
        </is>
      </c>
    </row>
    <row r="27" ht="45.95" customHeight="1" s="241">
      <c r="A27" t="inlineStr">
        <is>
          <t>Reporting currency</t>
        </is>
      </c>
      <c r="B27" s="101" t="inlineStr">
        <is>
          <t>One line per event in the re-priced block; MIXED as published</t>
        </is>
      </c>
      <c r="C27" s="101" t="inlineStr">
        <is>
          <t>Barclays is entered in GBp on the human sheet (BARC.L) and as the USD ADR on the model sheet (BCS); Heineken rows 218-221 are in Amsterdam euro. The re-priced block puts both arms on one line per event, so it carries one currency per event; the published block does not. SETTLED with C-b: that one line is now the issuer's home market, so the re-priced block reads Barclays in GBp, Novo in DKK and Sony in JPY. Returns are ratios within a single line, so no figure in this workbook crosses a currency.</t>
        </is>
      </c>
    </row>
    <row r="28" ht="45.95" customHeight="1" s="241">
      <c r="A28" t="inlineStr">
        <is>
          <t>Parameters frozen on</t>
        </is>
      </c>
      <c r="B28" t="inlineStr">
        <is>
          <t>2026-08-10</t>
        </is>
      </c>
      <c r="C28" s="101" t="inlineStr">
        <is>
          <t>Date the band, the costs, the horizon, the score-to-call mapping and every row above were written down. Events reporting after this date form a genuinely blind set. Held as text so no display format is assumed.</t>
        </is>
      </c>
    </row>
    <row r="29" ht="15.95" customHeight="1" s="241"/>
    <row r="30" ht="45.95" customHeight="1" s="241">
      <c r="A30" s="101" t="inlineStr">
        <is>
          <t>A16 above states the measurement rule universally - closing price on the date of document release, opening price of the next working day. That is the after-hours convention, and it is right for a company that reports after the close. THE RE-PRICED BLOCK DELIBERATELY DEPARTS FROM IT on every pre-open reporter, where the release lands before the session A16 would measure and the move is already in that session's open. 71 of the 420 human readings are on pre-market reporters and 16 more straddle; 30 human readings are already priced one session earlier than the dates they record, and re-pricing those from their recorded dates would silently break 30 correct rows and move +0.2775. The departure is evidenced per event in REACTION_WINDOW.csv and the five resolution CSVs. A16 is left exactly as it stands, because it describes the published block - which is unchanged.</t>
        </is>
      </c>
    </row>
    <row r="31" ht="15.95" customHeight="1" s="241"/>
    <row r="32" ht="30" customHeight="1" s="241">
      <c r="A32" t="inlineStr">
        <is>
          <t>Section E - study design and schema (added)</t>
        </is>
      </c>
      <c r="C32" s="101" t="inlineStr">
        <is>
          <t>Declared here because the workbook records it nowhere. A value of 'not recorded' is a finding.</t>
        </is>
      </c>
    </row>
    <row r="33" ht="30" customHeight="1" s="241">
      <c r="A33" t="inlineStr">
        <is>
          <t>Blindness protocol</t>
        </is>
      </c>
      <c r="B33" t="inlineStr">
        <is>
          <t>prices hidden until the score is sealed</t>
        </is>
      </c>
      <c r="C33" s="101" t="inlineStr">
        <is>
          <t>Phase 3/ARP_Human_Arm_Instructions, section 1. A peeked reading is contaminated for every purpose and must be flagged, not dropped.</t>
        </is>
      </c>
    </row>
    <row r="34" ht="45.95" customHeight="1" s="241">
      <c r="A34" t="inlineStr">
        <is>
          <t>Pass split required</t>
        </is>
      </c>
      <c r="B34" t="inlineStr">
        <is>
          <t>yes</t>
        </is>
      </c>
      <c r="C34" s="101" t="inlineStr">
        <is>
          <t>The instructions call it the one irreversible detail: pass one and pass two in separate columns. Human_Data_Entry!BA:BF is that split, reconstructed from the rater records for the 51 rows that have one.</t>
        </is>
      </c>
    </row>
    <row r="35" ht="30" customHeight="1" s="241">
      <c r="A35" t="inlineStr">
        <is>
          <t>Decision is a formula, not typed</t>
        </is>
      </c>
      <c r="B35" t="inlineStr">
        <is>
          <t>human arm only</t>
        </is>
      </c>
      <c r="C35" s="101" t="inlineStr">
        <is>
          <t>True of Human_Data_Entry!J. LLM_Data_Entry holds no formula in any column, so a change here re-scores the human arm alone.</t>
        </is>
      </c>
    </row>
    <row r="36" ht="45.95" customHeight="1" s="241">
      <c r="A36" t="inlineStr">
        <is>
          <t>Model latency per document</t>
        </is>
      </c>
      <c r="B36" t="inlineStr">
        <is>
          <t>8 sec (declared assumption)</t>
        </is>
      </c>
      <c r="C36" s="101" t="inlineStr">
        <is>
          <t>Declared by the group on 10 August 2026. LLM_Data_Entry!I is empty on all 268 rows, so nothing measures it; Efficiency!B8 uses the B11 value of 8 seconds and always has. Twelve published figures are a function of it, the only measurement ever taken is 79% higher (see the next row), and the grid on Efficiency prices the whole plausible range. A declared assumption, not a measurement.</t>
        </is>
      </c>
    </row>
    <row r="37" ht="45.95" customHeight="1" s="241">
      <c r="A37" t="inlineStr">
        <is>
          <t>Only measured model latency</t>
        </is>
      </c>
      <c r="B37" t="inlineStr">
        <is>
          <t>14.3075 sec</t>
        </is>
      </c>
      <c r="C37" s="101" t="inlineStr">
        <is>
          <t>Mean of the four rows that ever carried one, all Airbnb, in Phase 2/Master_Data_v1.xlsx: 12.42, 18.44, 12.62, 13.75. They were dropped from the live sheet. 78.8% above the placeholder, and n=4 on one issuer from a superseded run - evidence that 8 seconds is not conservative, not a replacement for it.</t>
        </is>
      </c>
    </row>
    <row r="38" ht="45.95" customHeight="1" s="241">
      <c r="A38" t="inlineStr">
        <is>
          <t>Model run identity</t>
        </is>
      </c>
      <c r="B38" t="inlineStr">
        <is>
          <t>not recorded</t>
        </is>
      </c>
      <c r="C38" s="101" t="inlineStr">
        <is>
          <t>120 of the 268 model readings are a re-read of events in Phase 2/Master_Data_v1.xlsx and 148 are new. Nothing dates either run. LLM_Data_Entry!AT classifies every row against v1; a real run_id has to be written when the run happens.</t>
        </is>
      </c>
    </row>
    <row r="39" ht="45.95" customHeight="1" s="241">
      <c r="A39" t="inlineStr">
        <is>
          <t>Rater records</t>
        </is>
      </c>
      <c r="B39" t="inlineStr">
        <is>
          <t>3 files, 57 readings</t>
        </is>
      </c>
      <c r="C39" s="101" t="inlineStr">
        <is>
          <t>Dragos - Phase 3 scoring_rows.csv (23 events, 40 passes), the 16 Human Arm Reading Sheet PDFs, and Nigel's Notes Phase 3.docx (6 rows). Every figure in Human_Data_Entry!BA:BL is checked against the workbook's own minutes and scores; a mismatch stops the build.</t>
        </is>
      </c>
    </row>
    <row r="40" ht="45.95" customHeight="1" s="241">
      <c r="A40" t="inlineStr">
        <is>
          <t>Blindness default</t>
        </is>
      </c>
      <c r="B40" t="inlineStr">
        <is>
          <t>pass unless stated otherwise</t>
        </is>
      </c>
      <c r="C40" s="101" t="inlineStr">
        <is>
          <t>Group decision, 10 August 2026. Human_Data_Entry!BG reads 'no' on every reading; BL records WHY, and only the 'attested' rows are evidence. Never count BG - count BL.</t>
        </is>
      </c>
    </row>
    <row r="41" ht="45.95" customHeight="1" s="241">
      <c r="A41" t="inlineStr">
        <is>
          <t>Schema still absent</t>
        </is>
      </c>
      <c r="B41" t="inlineStr">
        <is>
          <t>model confidence, evidence quote, EPS surprise, benchmark</t>
        </is>
      </c>
      <c r="C41" s="101" t="inlineStr">
        <is>
          <t>None has a source anywhere in the container, so no column is written for them. Confidence and quote are a collection task for the model arm; EPS surprise and benchmark are pricing questions and belong with section C, not here.</t>
        </is>
      </c>
    </row>
    <row r="42" ht="30" customHeight="1" s="241">
      <c r="A42" t="inlineStr">
        <is>
          <t>Section E frozen on</t>
        </is>
      </c>
      <c r="B42" t="inlineStr">
        <is>
          <t>2026-08-10</t>
        </is>
      </c>
      <c r="C42" s="101" t="inlineStr">
        <is>
          <t>Every figure re-derived on the live reading set at this date.</t>
        </is>
      </c>
    </row>
    <row r="43" ht="15.95" customHeight="1" s="241"/>
    <row r="44" ht="30" customHeight="1" s="241">
      <c r="A44" t="inlineStr">
        <is>
          <t>Section F - the corpus and its documents (added)</t>
        </is>
      </c>
      <c r="C44" s="101" t="inlineStr">
        <is>
          <t>Every count below is derived from the documents' own text, not their filenames.</t>
        </is>
      </c>
    </row>
    <row r="45" ht="45.95" customHeight="1" s="241">
      <c r="A45" t="inlineStr">
        <is>
          <t>Corpus files</t>
        </is>
      </c>
      <c r="B45" t="inlineStr">
        <is>
          <t>1153 files, 1074 readable</t>
        </is>
      </c>
      <c r="C45" s="101" t="inlineStr">
        <is>
          <t>Everything under Phase 2 and Phase 3. The 78 that are not read here are spreadsheets, CSVs and slide decks; 8 of them are cited as sources and are counted as such.</t>
        </is>
      </c>
    </row>
    <row r="46" ht="45.95" customHeight="1" s="241">
      <c r="A46" t="inlineStr">
        <is>
          <t>Classified by</t>
        </is>
      </c>
      <c r="B46" t="inlineStr">
        <is>
          <t>the document's own text</t>
        </is>
      </c>
      <c r="C46" s="101" t="inlineStr">
        <is>
          <t>PDF, DOCX and HTML all opened and read. Until 10 August 2026 every content scan in this project read PDF and DOCX only, which is 62% of the corpus - a scanner's file-type list is a claim about the corpus in the way a filename is a claim about a file.</t>
        </is>
      </c>
    </row>
    <row r="47" ht="30" customHeight="1" s="241">
      <c r="A47" t="inlineStr">
        <is>
          <t>Rater answer sheets in the corpus</t>
        </is>
      </c>
      <c r="B47" t="n">
        <v>74</v>
      </c>
      <c r="C47" s="101" t="inlineStr">
        <is>
          <t>Declared in rb_provenance.WORKSHEET_FILES and re-tested by rb_check_e. No reading cites one.</t>
        </is>
      </c>
    </row>
    <row r="48" ht="45.95" customHeight="1" s="241">
      <c r="A48" t="inlineStr">
        <is>
          <t>SEC periodic filings held</t>
        </is>
      </c>
      <c r="B48" t="inlineStr">
        <is>
          <t>45 (25 Phase 2, 20 Phase 3)</t>
        </is>
      </c>
      <c r="C48" s="101" t="inlineStr">
        <is>
          <t>Identified by the SEC cover header AND the '...REPORT PURSUANT TO SECTION 13' clause. The two signatures select the same 45 documents out of every readable document in the corpus and neither finds one the other misses - see the count row in this block rather than a number written into this sentence, which is how it came to say 1,061 while the count said 1,074. The audit said twenty; a filename scan says twelve.</t>
        </is>
      </c>
    </row>
    <row r="49" ht="45.95" customHeight="1" s="241">
      <c r="A49" t="inlineStr">
        <is>
          <t>Long-filing exclusion</t>
        </is>
      </c>
      <c r="B49" t="inlineStr">
        <is>
          <t>stated, scope unresolved</t>
        </is>
      </c>
      <c r="C49" s="101" t="inlineStr">
        <is>
          <t>Citibank Meeting Deck/Citibank_ARP_Progress_Update.docx: 'Long filings such as 10-Ks and 10-Qs are excluded by design, being dense and not what the group wanted the system reading.' It scopes what the MODEL reads, not what the folder holds. The group has not ruled on whether it binds the human arm. Recorded, not resolved - query F-a.</t>
        </is>
      </c>
    </row>
    <row r="50" ht="45.95" customHeight="1" s="241">
      <c r="A50" t="inlineStr">
        <is>
          <t>Readings citing an SEC periodic filing</t>
        </is>
      </c>
      <c r="C50" s="101" t="inlineStr">
        <is>
          <t>Counted live in the Summary block, split between readings whose ONLY source is a filing and readings that cite one inside a Document = All bundle. 8 of the human readings label the document 'Financial Statement' and their source is the 10-Q, which is the quarterly financial statement. LLM_Data_Entry records no document list, so nothing in the container can confirm or refute what the model read.</t>
        </is>
      </c>
    </row>
    <row r="51" ht="45.95" customHeight="1" s="241">
      <c r="A51" t="inlineStr">
        <is>
          <t>Documents with a publisher identified</t>
        </is>
      </c>
      <c r="B51" t="n">
        <v>244</v>
      </c>
      <c r="C51" s="101" t="inlineStr">
        <is>
          <t>By the document's own copyright line, never a mention: 76 documents name the Motley Fool and 43 of those are rater sheets recording where the rater got the transcript.</t>
        </is>
      </c>
    </row>
    <row r="52" ht="45.95" customHeight="1" s="241">
      <c r="A52" t="inlineStr">
        <is>
          <t>Redistribution</t>
        </is>
      </c>
      <c r="B52" t="inlineStr">
        <is>
          <t>not a concern - group decision 10 August 2026</t>
        </is>
      </c>
      <c r="C52" s="101" t="inlineStr">
        <is>
          <t>The share is the project team's own working folder and nothing is being redistributed, so no document is removed or proposed for removal. The publisher classification is kept as provenance: 30 documents do carry a redistribution clause, and knowing which is part of knowing what the study read.</t>
        </is>
      </c>
    </row>
    <row r="53" ht="30" customHeight="1" s="241">
      <c r="A53" t="inlineStr">
        <is>
          <t>Byte-identical duplicate documents</t>
        </is>
      </c>
      <c r="B53" t="inlineStr">
        <is>
          <t>7 groups, 17 files</t>
        </is>
      </c>
      <c r="C53" s="101" t="inlineStr">
        <is>
          <t>sha256, not size. Four groups straddle the two phase trees and all four are Target, which is why Target is the only company appearing in both arms.</t>
        </is>
      </c>
    </row>
    <row r="54" ht="45.95" customHeight="1" s="241">
      <c r="A54" t="inlineStr">
        <is>
          <t>Provenance manifests</t>
        </is>
      </c>
      <c r="B54" t="inlineStr">
        <is>
          <t>7 original, 50 collected</t>
        </is>
      </c>
      <c r="C54" s="101" t="inlineStr">
        <is>
          <t>Across 424 of 1074 readable documents. Seven manifest rows record a collection that failed and carry '(not collected)' as the filename; they are no longer citable.</t>
        </is>
      </c>
    </row>
    <row r="55" ht="45.95" customHeight="1" s="241">
      <c r="A55" t="inlineStr">
        <is>
          <t>Company-folder name drift</t>
        </is>
      </c>
      <c r="B55" t="inlineStr">
        <is>
          <t>15 of 96 folders</t>
        </is>
      </c>
      <c r="C55" s="101" t="inlineStr">
        <is>
          <t>Absorbed by build_mapping's alias table, which is why the corpus joins at all. Two resolve only by fuzzy match - 'Jonson &amp; Jonson' and 'Nestle'/'Nestle' - and those are the fragile ones. Recommended treatment is the alias table, not renaming: renaming touches the group's share and the table does not.</t>
        </is>
      </c>
    </row>
    <row r="56" ht="30" customHeight="1" s="241">
      <c r="A56" t="inlineStr">
        <is>
          <t>Period-folder naming shapes</t>
        </is>
      </c>
      <c r="B56" t="n">
        <v>5</v>
      </c>
      <c r="C56" s="101" t="inlineStr">
        <is>
          <t>YYYY-Qn x139; other x91; Qn (no year) x87; YYYY x12; Qn YY x11. A folder named 'Q1' does not say which year it belongs to.</t>
        </is>
      </c>
    </row>
    <row r="57" ht="30" customHeight="1" s="241">
      <c r="A57" t="inlineStr">
        <is>
          <t>Section F frozen on</t>
        </is>
      </c>
      <c r="B57" t="inlineStr">
        <is>
          <t>2026-08-10</t>
        </is>
      </c>
      <c r="C57" s="101" t="inlineStr">
        <is>
          <t>Every figure re-derived against the corpus as it stood at this date. The corpus is still moving: see the Summary block.</t>
        </is>
      </c>
    </row>
  </sheetData>
  <pageMargins left="0.75" right="0.75" top="1" bottom="1" header="0.511811023622047" footer="0.511811023622047"/>
  <pageSetup orientation="landscape" paperSize="9" fitToHeight="0" horizontalDpi="300" verticalDpi="300"/>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2026-07-06T09:42:38Z</dcterms:created>
  <dcterms:modified xmlns:dcterms="http://purl.org/dc/terms/" xmlns:xsi="http://www.w3.org/2001/XMLSchema-instance" xsi:type="dcterms:W3CDTF">2026-08-27T14:04:22Z</dcterms:modified>
  <cp:revision>0</cp:revision>
</cp:coreProperties>
</file>